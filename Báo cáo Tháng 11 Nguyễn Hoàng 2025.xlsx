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 Thang" sheetId="1" r:id="rId4"/>
    <sheet state="visible" name="CSDL" sheetId="2" r:id="rId5"/>
    <sheet state="visible" name="Danh muc Chi" sheetId="3" r:id="rId6"/>
    <sheet state="visible" name="Can doi thu chi" sheetId="4" r:id="rId7"/>
    <sheet state="visible" name="Chi petshop" sheetId="5" r:id="rId8"/>
    <sheet state="visible" name="BC Vat Tu" sheetId="6" r:id="rId9"/>
    <sheet state="visible" name="Hang muc chi" sheetId="7" r:id="rId10"/>
    <sheet state="visible" name="DM benh" sheetId="8" r:id="rId11"/>
    <sheet state="visible" name="Ma hang" sheetId="9" r:id="rId12"/>
    <sheet state="visible" name="NH ngoài giờ" sheetId="10" r:id="rId13"/>
  </sheets>
  <definedNames>
    <definedName name="Mã_số_ca">#REF!</definedName>
    <definedName name="Vật_Tư">#REF!</definedName>
    <definedName name="Bang_dulieu">#REF!</definedName>
    <definedName name="Số_Lượng">#REF!</definedName>
    <definedName name="Ngày">#REF!</definedName>
    <definedName name="Tên_con_vật">#REF!</definedName>
    <definedName name="Gia_chủ">#REF!</definedName>
    <definedName name="Sđt">#REF!</definedName>
    <definedName name="Mã_Hàng">#REF!</definedName>
    <definedName name="Bệnh_lý">#REF!</definedName>
    <definedName name="Địa_chỉ">#REF!</definedName>
    <definedName name="Đơn_giá">#REF!</definedName>
    <definedName hidden="1" localSheetId="0" name="_xlnm._FilterDatabase">'BC Thang'!$A$1:$Q$2401</definedName>
    <definedName hidden="1" localSheetId="2" name="_xlnm._FilterDatabase">'Danh muc Chi'!$A$1:$J$602</definedName>
    <definedName hidden="1" localSheetId="0" name="Z_D43714D5_4155_4A1D_9805_C3BAB7551809_.wvu.FilterData">'BC Thang'!$A$1:$Q$3</definedName>
    <definedName hidden="1" localSheetId="5" name="Z_D43714D5_4155_4A1D_9805_C3BAB7551809_.wvu.FilterData">'BC Vat Tu'!$A$1:$V$202</definedName>
    <definedName hidden="1" localSheetId="2" name="Z_6C8B3B70_B9B2_46EC_B679_04560AB35606_.wvu.FilterData">'Danh muc Chi'!$A$1:$J$3</definedName>
    <definedName hidden="1" localSheetId="0" name="Z_5F60A7BD_C805_40CA_9E37_3817D241B0DA_.wvu.FilterData">'BC Thang'!$A$1:$Q$3</definedName>
  </definedNames>
  <calcPr/>
  <customWorkbookViews>
    <customWorkbookView activeSheetId="0" maximized="1" windowHeight="0" windowWidth="0" guid="{6C8B3B70-B9B2-46EC-B679-04560AB35606}" name="Filter 1"/>
    <customWorkbookView activeSheetId="0" maximized="1" windowHeight="0" windowWidth="0" guid="{D43714D5-4155-4A1D-9805-C3BAB7551809}" name="Bộ lọc 1"/>
    <customWorkbookView activeSheetId="0" maximized="1" windowHeight="0" windowWidth="0" guid="{5F60A7BD-C805-40CA-9E37-3817D241B0DA}" name="Bộ lọc 2"/>
  </customWorkbookViews>
</workbook>
</file>

<file path=xl/sharedStrings.xml><?xml version="1.0" encoding="utf-8"?>
<sst xmlns="http://schemas.openxmlformats.org/spreadsheetml/2006/main" count="2464" uniqueCount="534">
  <si>
    <t>CSDL khách hàng</t>
  </si>
  <si>
    <t>Số tiền CBC</t>
  </si>
  <si>
    <t>Số ca CBC</t>
  </si>
  <si>
    <t>Total</t>
  </si>
  <si>
    <t>Ngày</t>
  </si>
  <si>
    <t>MS ca</t>
  </si>
  <si>
    <t>SDT</t>
  </si>
  <si>
    <t>Gia chủ</t>
  </si>
  <si>
    <t>Địa chỉ</t>
  </si>
  <si>
    <t>Loài</t>
  </si>
  <si>
    <t>Tên 
thú</t>
  </si>
  <si>
    <t>TL(Kg)</t>
  </si>
  <si>
    <t>Bệnh lý/Thủ thuật/thuốc</t>
  </si>
  <si>
    <t>Phí
 thu</t>
  </si>
  <si>
    <t>Số lượng</t>
  </si>
  <si>
    <t>Thành tiền</t>
  </si>
  <si>
    <t>Tổng 
thu</t>
  </si>
  <si>
    <t xml:space="preserve">Người 
thu </t>
  </si>
  <si>
    <t>Chú ý</t>
  </si>
  <si>
    <t>Ngày 
ra viện</t>
  </si>
  <si>
    <t>Tổng thu
Tuần</t>
  </si>
  <si>
    <t>khách lẻ</t>
  </si>
  <si>
    <t>Tẩy giun nhỏ</t>
  </si>
  <si>
    <t>Thầy</t>
  </si>
  <si>
    <t>Thuốc bán</t>
  </si>
  <si>
    <t>CK thầy</t>
  </si>
  <si>
    <t>1/11 - Nguyen Phan Ha My ct</t>
  </si>
  <si>
    <t>Tẩy giun lớn</t>
  </si>
  <si>
    <t>1/11 - Tran Thi Ny ct</t>
  </si>
  <si>
    <t>0833 555 733</t>
  </si>
  <si>
    <t>Chích thuốc nhỏ</t>
  </si>
  <si>
    <t>1/11 - Minh Tri ct</t>
  </si>
  <si>
    <t>0935 403 717</t>
  </si>
  <si>
    <t>Petshop</t>
  </si>
  <si>
    <t>CK petshop thầy</t>
  </si>
  <si>
    <t>269k - 1/11 - Ho Vu Nhat ct</t>
  </si>
  <si>
    <t>1/11 - Tran Duc Anh Quan ct</t>
  </si>
  <si>
    <t>0372 033 490</t>
  </si>
  <si>
    <t>Lưu trú nhỏ</t>
  </si>
  <si>
    <t>4/11 - Tran Dinh Huu Tho</t>
  </si>
  <si>
    <t>0903 565 648</t>
  </si>
  <si>
    <t>Bảo Bảo</t>
  </si>
  <si>
    <t>2/11 - Phan Thi Thanh Phuong ct</t>
  </si>
  <si>
    <t>Ánh</t>
  </si>
  <si>
    <t>0935 919 137</t>
  </si>
  <si>
    <t>2/11 - Bui Van Cuong</t>
  </si>
  <si>
    <t>0903 584 535</t>
  </si>
  <si>
    <t>2571k - 2/11 - Tran Thi Anh Nguyet ct</t>
  </si>
  <si>
    <t>CBC</t>
  </si>
  <si>
    <t>Sinh hóa máu</t>
  </si>
  <si>
    <t>Thuốc FIP tiêm</t>
  </si>
  <si>
    <t>0905 563 662</t>
  </si>
  <si>
    <t>Vaccine 7b chó</t>
  </si>
  <si>
    <t>Men tiêu hoá</t>
  </si>
  <si>
    <t>4/11- Huong Giang ct</t>
  </si>
  <si>
    <t>0888 671 489</t>
  </si>
  <si>
    <t>Hỏa Táng</t>
  </si>
  <si>
    <t>4/11 - Nguyen Ngoc Quy ct</t>
  </si>
  <si>
    <t>0905 733 786</t>
  </si>
  <si>
    <t>Lưu điều trị nhỏ</t>
  </si>
  <si>
    <t>29/11 - Bao Uyen ct</t>
  </si>
  <si>
    <t>0934 769 696</t>
  </si>
  <si>
    <t>4/11 - Bui Van Vu ct</t>
  </si>
  <si>
    <t>23/11 - Bui Van Vu ct</t>
  </si>
  <si>
    <t>0796 052 617</t>
  </si>
  <si>
    <t>Trà</t>
  </si>
  <si>
    <t>7/11 - Diem Thuy ct</t>
  </si>
  <si>
    <t>0944 208 167</t>
  </si>
  <si>
    <t>4/11 - Truong Dien Huong ct</t>
  </si>
  <si>
    <t>Diệt ve Hantox</t>
  </si>
  <si>
    <t>Ngọc Anh</t>
  </si>
  <si>
    <t>4/11 - Ngoc Anh - hẹn 25/11 tiêm 7b + dại</t>
  </si>
  <si>
    <t>4/11 - Vo Thi Kim Hang ct</t>
  </si>
  <si>
    <t>0349 978 213</t>
  </si>
  <si>
    <t>Mèo</t>
  </si>
  <si>
    <t>Chó</t>
  </si>
  <si>
    <t>FPV-</t>
  </si>
  <si>
    <t>7/11 - Tran tan Anh Khoa</t>
  </si>
  <si>
    <t>Bảo</t>
  </si>
  <si>
    <t>4/11 - Phan Thi Thanh Phuong ct</t>
  </si>
  <si>
    <t>Về nhà</t>
  </si>
  <si>
    <t>Tắm chó nhỏ</t>
  </si>
  <si>
    <t>0971 008 346</t>
  </si>
  <si>
    <t>Diệt ve Simparica &lt;10</t>
  </si>
  <si>
    <t>5/11 - Nguyen Thi Thu Tra ct</t>
  </si>
  <si>
    <t>0935 131 718</t>
  </si>
  <si>
    <t>Hóa</t>
  </si>
  <si>
    <t>5/11 - Le Ngoc Van Anh ct</t>
  </si>
  <si>
    <t>5/11 - Momo</t>
  </si>
  <si>
    <t>Chị Thúy</t>
  </si>
  <si>
    <t>Khám lâm sàng</t>
  </si>
  <si>
    <t>5/11 - Truong Ngoc My Dung ct</t>
  </si>
  <si>
    <t>0931 941 343</t>
  </si>
  <si>
    <t>Gấu</t>
  </si>
  <si>
    <t>295k - 5/11 - Tran Thi Minh Chau ct</t>
  </si>
  <si>
    <t>Vaccine Dại</t>
  </si>
  <si>
    <t>5/11 - Pham Thi Hoang Anh ct</t>
  </si>
  <si>
    <t>0935 291 288</t>
  </si>
  <si>
    <t>Đốm</t>
  </si>
  <si>
    <t>5/11 - vaccine cho Dom</t>
  </si>
  <si>
    <t>6/11 - Ho Vu Nhat ct</t>
  </si>
  <si>
    <t>Tuấn</t>
  </si>
  <si>
    <t>6/11 - Nguyen Thi Diem Thuy ct</t>
  </si>
  <si>
    <t>0779 434 164</t>
  </si>
  <si>
    <t>PT hoạn chó nhỏ</t>
  </si>
  <si>
    <t>21/11 -Nguyen Thi Diem Thuy ct</t>
  </si>
  <si>
    <t>0935 260 770</t>
  </si>
  <si>
    <t>Vaccine mèo 4b</t>
  </si>
  <si>
    <t>7/11 - Tong Thi Thuyen ct</t>
  </si>
  <si>
    <t>0941 344 265</t>
  </si>
  <si>
    <t>7/11 - Truong DInh Thinh ct</t>
  </si>
  <si>
    <t>7/11 - Duong Thien Phuc ct</t>
  </si>
  <si>
    <t>0327 745 030</t>
  </si>
  <si>
    <t>550k - 7/11 - Huong Giang</t>
  </si>
  <si>
    <t>150k - 8/11 - Huong Giang</t>
  </si>
  <si>
    <t>9/11 - Le Thi Huong Giang ct mèo</t>
  </si>
  <si>
    <t>8/11 - Ho Nhat Ly ct</t>
  </si>
  <si>
    <t>Peter Dương</t>
  </si>
  <si>
    <t>940 k - Duong Thien Phuc ct</t>
  </si>
  <si>
    <t>Thuốc tắm nấm nhỏ</t>
  </si>
  <si>
    <t>0906 566 226</t>
  </si>
  <si>
    <t>8/11 -??</t>
  </si>
  <si>
    <t>0905 109 559</t>
  </si>
  <si>
    <t>Siêu âm</t>
  </si>
  <si>
    <t>8/11 - Yen ct</t>
  </si>
  <si>
    <t>8/11 - Nguyen Van Hieu ct</t>
  </si>
  <si>
    <t>Tuần 1</t>
  </si>
  <si>
    <t>0915 061 282</t>
  </si>
  <si>
    <t>0388 119 098</t>
  </si>
  <si>
    <t>9/11 - Nguyen Thu Ha ct</t>
  </si>
  <si>
    <t>19/11 - Nguyen Thu Ha ct</t>
  </si>
  <si>
    <t>Chích KST máu</t>
  </si>
  <si>
    <t>Diệt ve Simparica 20,1-40</t>
  </si>
  <si>
    <t>0945 714 323</t>
  </si>
  <si>
    <t>PT hoạn mèo</t>
  </si>
  <si>
    <t>640k - 9/11 - Hoang Huyen ct</t>
  </si>
  <si>
    <t>0762 632 444</t>
  </si>
  <si>
    <t>Pi</t>
  </si>
  <si>
    <t>Thu Hiền</t>
  </si>
  <si>
    <t>Vaccine 5b chó</t>
  </si>
  <si>
    <t>13/11 - Phung Thi Yen ct</t>
  </si>
  <si>
    <t>0915 218 234</t>
  </si>
  <si>
    <t>9/11 - Nguyen Thanh Hai ct</t>
  </si>
  <si>
    <t>0901 122 920</t>
  </si>
  <si>
    <t>Tắm chó lớn</t>
  </si>
  <si>
    <t>9/11 - Tran Pham Thi Khanh Thuan ct</t>
  </si>
  <si>
    <t>16/11 -ck meo</t>
  </si>
  <si>
    <t>10/11 - Momo 10h19'</t>
  </si>
  <si>
    <t>0862 586 375</t>
  </si>
  <si>
    <t>Mật</t>
  </si>
  <si>
    <t>PT thiến mèo</t>
  </si>
  <si>
    <t>10/11 - NH1203</t>
  </si>
  <si>
    <t>0901 981 180</t>
  </si>
  <si>
    <t>0799 394 115</t>
  </si>
  <si>
    <t>Chi</t>
  </si>
  <si>
    <t>11/11 - Ha Thi Thanh Thao ct</t>
  </si>
  <si>
    <t>12/11 - Ha Thi Thanh Thao ct</t>
  </si>
  <si>
    <t>13/11 - Ha Thi Thanh Thao ct</t>
  </si>
  <si>
    <t>0988 723 851</t>
  </si>
  <si>
    <t>Meo</t>
  </si>
  <si>
    <t>12/11 - coc tien thuoc</t>
  </si>
  <si>
    <t>1206b</t>
  </si>
  <si>
    <t>0335 983 431</t>
  </si>
  <si>
    <t>Zab</t>
  </si>
  <si>
    <t>11/11 - Willam ct</t>
  </si>
  <si>
    <t>12/11 - William ct</t>
  </si>
  <si>
    <t>Cạo lông nhỏ</t>
  </si>
  <si>
    <t>CPV-</t>
  </si>
  <si>
    <t>11/11 - Nguyen Ngoc Hoang ct</t>
  </si>
  <si>
    <t>0823 519 029</t>
  </si>
  <si>
    <t>Anh Nghĩa</t>
  </si>
  <si>
    <t>11/11 - Ho Van Nghia ct</t>
  </si>
  <si>
    <t>0834 620 949</t>
  </si>
  <si>
    <t>Hà</t>
  </si>
  <si>
    <t>11/11 - Nguyen Cuu Quang Phuoc ct</t>
  </si>
  <si>
    <t>0914 550 177</t>
  </si>
  <si>
    <t>140k - 11/11 - Dinh Thi Vu Nguyen ct</t>
  </si>
  <si>
    <t>Chụp phim</t>
  </si>
  <si>
    <t>12/11 -Minh Nhat ct</t>
  </si>
  <si>
    <t>Em Nga</t>
  </si>
  <si>
    <t>12/11 - Top ct</t>
  </si>
  <si>
    <t>0869 019 107</t>
  </si>
  <si>
    <t>12/11 - Bui Van Rin ct</t>
  </si>
  <si>
    <t>Thuốc nhỏ mắt</t>
  </si>
  <si>
    <t>thú y phú bài</t>
  </si>
  <si>
    <t>Nghĩa</t>
  </si>
  <si>
    <t>13/11 - Ho Van Nghia ct</t>
  </si>
  <si>
    <t>Thu Thảo</t>
  </si>
  <si>
    <t>13/11 - Ha Thi Thao ct</t>
  </si>
  <si>
    <t>0779 457 218</t>
  </si>
  <si>
    <t>0372 073 898</t>
  </si>
  <si>
    <t>Cấp cứu nhỏ</t>
  </si>
  <si>
    <t>mất 15/11</t>
  </si>
  <si>
    <t>13/11 - Nguyen Tan Dung ct</t>
  </si>
  <si>
    <t>0775 421 672</t>
  </si>
  <si>
    <t>0903 511 675</t>
  </si>
  <si>
    <t>Xám</t>
  </si>
  <si>
    <t>14/11 - Huynh Tan Toan ct</t>
  </si>
  <si>
    <t>0935 222 215</t>
  </si>
  <si>
    <t>25/11 - Thay ck tam ung Gau</t>
  </si>
  <si>
    <t>Lưu điều trị lớn</t>
  </si>
  <si>
    <t>PT hoạn chó lớn</t>
  </si>
  <si>
    <t>Cạo lông lớn</t>
  </si>
  <si>
    <t>14/11 - Nguyen Thi Diem Thuy ct</t>
  </si>
  <si>
    <t>Tuần 2</t>
  </si>
  <si>
    <t>Diệt ve xanh</t>
  </si>
  <si>
    <t>15/11 - Diem Thuy ct</t>
  </si>
  <si>
    <t>Em Huyền</t>
  </si>
  <si>
    <t>Gây mê nhỏ</t>
  </si>
  <si>
    <t>0905 152 886</t>
  </si>
  <si>
    <t>15/11 - Nguyen Thanh Truc ct</t>
  </si>
  <si>
    <t>0833 175 175</t>
  </si>
  <si>
    <t>15/11 - Ngoc Hieu</t>
  </si>
  <si>
    <t>0354 170 192</t>
  </si>
  <si>
    <t>16/11 - Nguyen Vu Phuong Thao ct</t>
  </si>
  <si>
    <t>Trump</t>
  </si>
  <si>
    <t>420k - 16/11 - Trump ct</t>
  </si>
  <si>
    <t>16/11 - Ho Van Nghia ct</t>
  </si>
  <si>
    <t>Em Trúc</t>
  </si>
  <si>
    <t>15 Phạm Tu</t>
  </si>
  <si>
    <t>Xử lý vết thương</t>
  </si>
  <si>
    <t>660k - 16/11 - Nguyen Thanh Truc</t>
  </si>
  <si>
    <t>17/11 - Phuong Thao ct</t>
  </si>
  <si>
    <t>17/11 - Thanh Truc ct</t>
  </si>
  <si>
    <t>0795 245 175</t>
  </si>
  <si>
    <t>Mực</t>
  </si>
  <si>
    <t>20/11 - Vo Thi Bich Ngoc ct</t>
  </si>
  <si>
    <t>18/11 - Bui Xuan Quan ct</t>
  </si>
  <si>
    <t>18/11 - Thanh Truc ct</t>
  </si>
  <si>
    <t>Em Châu</t>
  </si>
  <si>
    <t>18/11 - Minh Chau ct</t>
  </si>
  <si>
    <t>18/11 - Phan Linh ct</t>
  </si>
  <si>
    <t>18/11 - Ho Van Nghia ct</t>
  </si>
  <si>
    <t>0901 754 903</t>
  </si>
  <si>
    <t>0334 823 009</t>
  </si>
  <si>
    <t>22/11 Le Thi Mai Anh ct</t>
  </si>
  <si>
    <t>0384 718 796</t>
  </si>
  <si>
    <t>Long sv</t>
  </si>
  <si>
    <t>18/11 - Nguyen Thi Thuy Nga ct</t>
  </si>
  <si>
    <t>1045k - 18/11 - Anh Nguyet ct</t>
  </si>
  <si>
    <t>Thụt rửa trực tràng</t>
  </si>
  <si>
    <t>150k - 19/11 - Nguyen Thu Ha ct</t>
  </si>
  <si>
    <t>19/11 - Nguyen Thanh Truc ct</t>
  </si>
  <si>
    <t>0985 511 469</t>
  </si>
  <si>
    <t>19/11 - Nguyen Ha Vy ct</t>
  </si>
  <si>
    <t>20/11 - Nguyen Ha Vy ct</t>
  </si>
  <si>
    <t>Truyền dịch</t>
  </si>
  <si>
    <t>PT khác nhỏ</t>
  </si>
  <si>
    <t>20/11 - Ho Thi Man</t>
  </si>
  <si>
    <t>20/11 - Nguyen Thanh Truc ct</t>
  </si>
  <si>
    <t>22/11 - Meo</t>
  </si>
  <si>
    <t>25/11 - Vinh ct</t>
  </si>
  <si>
    <t>27/11 - CK meo</t>
  </si>
  <si>
    <t>Hấu</t>
  </si>
  <si>
    <t>20/11 - ??</t>
  </si>
  <si>
    <t>0343 787 737</t>
  </si>
  <si>
    <t>27/11 - Le Hoang Bao Nhi ct</t>
  </si>
  <si>
    <t>28/11 - Le Hoang Bao Nhi ct</t>
  </si>
  <si>
    <t>21/11 - gia haan</t>
  </si>
  <si>
    <t>670k - 21/11 - Nguyen Thi Diem Thuy ct</t>
  </si>
  <si>
    <t>Em Thảo</t>
  </si>
  <si>
    <t>21/11 - Nguyen Vu Phuong Thao ct</t>
  </si>
  <si>
    <t>21/11 - Trunp mua hạt</t>
  </si>
  <si>
    <t>0772 409 399</t>
  </si>
  <si>
    <t>21/11 - Nguyen Doan Phuong Quy ct</t>
  </si>
  <si>
    <t>chết 22/11</t>
  </si>
  <si>
    <t>trả khách</t>
  </si>
  <si>
    <t>0934 946 122</t>
  </si>
  <si>
    <t>Ngoài giờ</t>
  </si>
  <si>
    <t>22/11 - Ho Van Nghia ct</t>
  </si>
  <si>
    <t>0792 339 465</t>
  </si>
  <si>
    <t>21/11 - Phan Thi Khanh Ha ct</t>
  </si>
  <si>
    <t>23/11 - Phan Thi Khanh Ha ct</t>
  </si>
  <si>
    <t>25/11 - Phan Thi Khanh Ha ct</t>
  </si>
  <si>
    <t>0395 840 357</t>
  </si>
  <si>
    <t>23/11 - NH1142</t>
  </si>
  <si>
    <t>22/11 - Yen ct</t>
  </si>
  <si>
    <t>Chị Hà</t>
  </si>
  <si>
    <t>Táo</t>
  </si>
  <si>
    <t>Chị Thy</t>
  </si>
  <si>
    <t>Bông</t>
  </si>
  <si>
    <t>22/11 - Bich Thuy ct</t>
  </si>
  <si>
    <t>Thuốc tắm nấm lớn</t>
  </si>
  <si>
    <t>0978 981 007</t>
  </si>
  <si>
    <t>22/11 - Linh ct</t>
  </si>
  <si>
    <t>0768 586 325</t>
  </si>
  <si>
    <t>22/11 - Hoang Phuc Nhat Long ct</t>
  </si>
  <si>
    <t>23/11 - Hoang Phuc Nhat Long ct</t>
  </si>
  <si>
    <t>Tuần 3</t>
  </si>
  <si>
    <t>0779 407 337</t>
  </si>
  <si>
    <t>CPV+</t>
  </si>
  <si>
    <t>23/11 - Le Van Hiep ct</t>
  </si>
  <si>
    <t>24/11 - Le Van Hiep ct</t>
  </si>
  <si>
    <t>25/11 - Le Van Hiep ct</t>
  </si>
  <si>
    <t>26/11 - Le VanHiep ct</t>
  </si>
  <si>
    <t>27/11 - Le Van Hiep ct</t>
  </si>
  <si>
    <t>0779 490 005</t>
  </si>
  <si>
    <t>23/11 - Nguyen Thi Ngoc Anh ct</t>
  </si>
  <si>
    <t>0788 661 197</t>
  </si>
  <si>
    <t>Chip</t>
  </si>
  <si>
    <t>328k - 23/11 - Nguyen Ho Anh Thi ct</t>
  </si>
  <si>
    <t>0339 649 989</t>
  </si>
  <si>
    <t>Nem</t>
  </si>
  <si>
    <t>0862 361 369</t>
  </si>
  <si>
    <t>23/11 - Boi Giang ct</t>
  </si>
  <si>
    <t>865k - 24/11 - Anh Nguyet ct</t>
  </si>
  <si>
    <t>24/11 - Vo Thi Thu Thao ct</t>
  </si>
  <si>
    <t>0705 333 374</t>
  </si>
  <si>
    <t>Cấp cứu tụt Ca nhỏ</t>
  </si>
  <si>
    <t>26/11 - Nguyen Thi Thanh Thuy ct</t>
  </si>
  <si>
    <t>0915 192 614</t>
  </si>
  <si>
    <t>Lưu hậu phẫu nhỏ</t>
  </si>
  <si>
    <t>26/11 - Momo 17h</t>
  </si>
  <si>
    <t>26/11 - Bui Van Vu ct</t>
  </si>
  <si>
    <t>26/11 - Thien Phuc ct</t>
  </si>
  <si>
    <t>0776 372 948</t>
  </si>
  <si>
    <t>chết 27/11</t>
  </si>
  <si>
    <t>36k - 27/11 - Loan Chau ct</t>
  </si>
  <si>
    <t>0945 222 024</t>
  </si>
  <si>
    <t>80k - 27/11 - Minh Phuong ct</t>
  </si>
  <si>
    <t>0961 160 540</t>
  </si>
  <si>
    <t>PT cắt đuôi SS</t>
  </si>
  <si>
    <t>Vàng</t>
  </si>
  <si>
    <t>0384 668 350</t>
  </si>
  <si>
    <t>Chích thuốc lớn</t>
  </si>
  <si>
    <t>27/11 - Dang Khoa ct</t>
  </si>
  <si>
    <t>27/11 - Minh Chau ct</t>
  </si>
  <si>
    <t>27/11 - Nguyen Thi Kieu Lan ct</t>
  </si>
  <si>
    <t>1261b</t>
  </si>
  <si>
    <t>0387 781 009</t>
  </si>
  <si>
    <t>615k - 28/11 - Dong Nguyen Suong ct</t>
  </si>
  <si>
    <t>1261c</t>
  </si>
  <si>
    <t>0905 809 805</t>
  </si>
  <si>
    <t>Lem</t>
  </si>
  <si>
    <t>27/11 - Momo</t>
  </si>
  <si>
    <t>28/11 - Momo</t>
  </si>
  <si>
    <t>29/11 - Dang Bao Chi ct</t>
  </si>
  <si>
    <t>27/11 - ct Okada</t>
  </si>
  <si>
    <t>28/11 - Ho Vu Nhat ct</t>
  </si>
  <si>
    <t>0795 043 833</t>
  </si>
  <si>
    <t>340k - 28/11 - ??</t>
  </si>
  <si>
    <t>29/11 - 32 Kim Long</t>
  </si>
  <si>
    <t>0914 415 890</t>
  </si>
  <si>
    <t>Bạch Tuyết</t>
  </si>
  <si>
    <t>0962 137 147</t>
  </si>
  <si>
    <t>0989 872 172</t>
  </si>
  <si>
    <t>Vệ sinh tai</t>
  </si>
  <si>
    <t>Anh Hoàn</t>
  </si>
  <si>
    <t>29/11 - Chich ngua cho Dom</t>
  </si>
  <si>
    <t>0943 711 033</t>
  </si>
  <si>
    <t>500k - 29/11 - Vo Thi Kim Hang</t>
  </si>
  <si>
    <t>0916 347 518</t>
  </si>
  <si>
    <t>575k - 29/11 - Nguyen Nu Quynh Tram</t>
  </si>
  <si>
    <t>Cô Hương</t>
  </si>
  <si>
    <t>Chị Tuyền</t>
  </si>
  <si>
    <t>0914 125 501</t>
  </si>
  <si>
    <t>Sư cô Tường Quang</t>
  </si>
  <si>
    <t xml:space="preserve"> Meo</t>
  </si>
  <si>
    <t>0344 043 684</t>
  </si>
  <si>
    <t>600k - 29/11 - Ngo Le Han Minh ct</t>
  </si>
  <si>
    <t>30/11 - Ngo Le Han Minh ct</t>
  </si>
  <si>
    <t>0523 659 817</t>
  </si>
  <si>
    <t>30/11 - Tran Ngoc Khanh Ha ct</t>
  </si>
  <si>
    <t>Chị Châu</t>
  </si>
  <si>
    <t>Siro</t>
  </si>
  <si>
    <t>30/11 - Ngo Thi Minh Chau ct</t>
  </si>
  <si>
    <t>0385 026 903</t>
  </si>
  <si>
    <t>0383 191 544</t>
  </si>
  <si>
    <t>Beo</t>
  </si>
  <si>
    <t>Trợ Tử nhỏ</t>
  </si>
  <si>
    <t>30/11 - Than Ngoc Nghia ct</t>
  </si>
  <si>
    <t>0774 436 800</t>
  </si>
  <si>
    <t>Anh Bội</t>
  </si>
  <si>
    <t>30/11 - Nguyen Phan Anh Boi ct</t>
  </si>
  <si>
    <t>Chị Trang</t>
  </si>
  <si>
    <t>0383 401 738</t>
  </si>
  <si>
    <t>30/11 - Le Thuy Uyen ct</t>
  </si>
  <si>
    <t>0983 455 726</t>
  </si>
  <si>
    <t>Tuần 4</t>
  </si>
  <si>
    <t>Chi hỗn hợp</t>
  </si>
  <si>
    <t>Tổng</t>
  </si>
  <si>
    <t>Chi lưu kho</t>
  </si>
  <si>
    <t>Nội dung</t>
  </si>
  <si>
    <t>Số lượng</t>
  </si>
  <si>
    <t>Đơn vị tính</t>
  </si>
  <si>
    <t>Đơn giá</t>
  </si>
  <si>
    <t>Thuộc hạng mục</t>
  </si>
  <si>
    <t>Số tiền</t>
  </si>
  <si>
    <t>Người chi</t>
  </si>
  <si>
    <t>Tổng chi theo tuần/tháng</t>
  </si>
  <si>
    <t>Xăng xe Tuấn</t>
  </si>
  <si>
    <t>lần</t>
  </si>
  <si>
    <t>Xăng xe ca</t>
  </si>
  <si>
    <t>giấy vs</t>
  </si>
  <si>
    <t>lốc</t>
  </si>
  <si>
    <t>Chi khac</t>
  </si>
  <si>
    <t>tiền điện</t>
  </si>
  <si>
    <t>hóa đơn</t>
  </si>
  <si>
    <t>Tien dien</t>
  </si>
  <si>
    <t>internet</t>
  </si>
  <si>
    <t>Internet</t>
  </si>
  <si>
    <t>gan, phổi</t>
  </si>
  <si>
    <t>kg</t>
  </si>
  <si>
    <t>Thuc an cho thu luu tru</t>
  </si>
  <si>
    <t>hộp nhựa</t>
  </si>
  <si>
    <t>bao</t>
  </si>
  <si>
    <t>Hỏa táng</t>
  </si>
  <si>
    <t>xn phong châu</t>
  </si>
  <si>
    <t>Xet nghiem</t>
  </si>
  <si>
    <t>túi</t>
  </si>
  <si>
    <t>gạo</t>
  </si>
  <si>
    <t>nhận hàng thầy</t>
  </si>
  <si>
    <t>Hàng của thầy</t>
  </si>
  <si>
    <t>cephalexin</t>
  </si>
  <si>
    <t>hộp</t>
  </si>
  <si>
    <t>Thuoc dieu tri</t>
  </si>
  <si>
    <t>boganic</t>
  </si>
  <si>
    <t>jasunny</t>
  </si>
  <si>
    <t>men th</t>
  </si>
  <si>
    <t>metro</t>
  </si>
  <si>
    <t>vtm c</t>
  </si>
  <si>
    <t>smecta</t>
  </si>
  <si>
    <t>xylanh 3cc</t>
  </si>
  <si>
    <t>Vat tu</t>
  </si>
  <si>
    <t>nước muối rửa</t>
  </si>
  <si>
    <t>chai</t>
  </si>
  <si>
    <t>pate lon meo</t>
  </si>
  <si>
    <t>lon</t>
  </si>
  <si>
    <t>sữa bi-o</t>
  </si>
  <si>
    <t>gói</t>
  </si>
  <si>
    <t>pate lon mèo</t>
  </si>
  <si>
    <t>xăng xe trà</t>
  </si>
  <si>
    <t>hoa hỏa táng</t>
  </si>
  <si>
    <t>bó</t>
  </si>
  <si>
    <t>xăng xe Ánh</t>
  </si>
  <si>
    <t>men vi sinh</t>
  </si>
  <si>
    <t>gas</t>
  </si>
  <si>
    <t>bình</t>
  </si>
  <si>
    <t>Tien gas</t>
  </si>
  <si>
    <t>nước rửa chén</t>
  </si>
  <si>
    <t>Hoa chat</t>
  </si>
  <si>
    <t>gan phổi</t>
  </si>
  <si>
    <t>doxy</t>
  </si>
  <si>
    <t>pred</t>
  </si>
  <si>
    <t>xylanh 1cc</t>
  </si>
  <si>
    <t>nacl truyền</t>
  </si>
  <si>
    <t>thùng</t>
  </si>
  <si>
    <t>hương</t>
  </si>
  <si>
    <t>hàng thầy</t>
  </si>
  <si>
    <t>xăng xe tuấn</t>
  </si>
  <si>
    <t>gà, bí, khoai</t>
  </si>
  <si>
    <t>keo 502</t>
  </si>
  <si>
    <t>lọ</t>
  </si>
  <si>
    <t>hoa hảo táng</t>
  </si>
  <si>
    <t>thuốc fip</t>
  </si>
  <si>
    <t>găng tay nilon</t>
  </si>
  <si>
    <t>túi zip</t>
  </si>
  <si>
    <t>chà khay</t>
  </si>
  <si>
    <t>cái</t>
  </si>
  <si>
    <t>dép</t>
  </si>
  <si>
    <t>bí, khoai</t>
  </si>
  <si>
    <t>pate chó lon</t>
  </si>
  <si>
    <t>catosal</t>
  </si>
  <si>
    <t>vtm k</t>
  </si>
  <si>
    <t>doc</t>
  </si>
  <si>
    <t>atro</t>
  </si>
  <si>
    <t>hepatol</t>
  </si>
  <si>
    <t>ức gà</t>
  </si>
  <si>
    <t>pin</t>
  </si>
  <si>
    <t>sv P.Anh</t>
  </si>
  <si>
    <t>sv Lộc</t>
  </si>
  <si>
    <t>găng tay cao su</t>
  </si>
  <si>
    <t>xăng xe ca ánh</t>
  </si>
  <si>
    <t>pate mèo lon</t>
  </si>
  <si>
    <t>sanpet</t>
  </si>
  <si>
    <t>Can doi thu chi</t>
  </si>
  <si>
    <t>Thu</t>
  </si>
  <si>
    <t>Chi
tuần</t>
  </si>
  <si>
    <t>đã nhận</t>
  </si>
  <si>
    <t>Doanh thu tháng</t>
  </si>
  <si>
    <t>Doanh thu thuần</t>
  </si>
  <si>
    <t>Giá vốn</t>
  </si>
  <si>
    <t>Lợi nhuận</t>
  </si>
  <si>
    <t>Thu petshop</t>
  </si>
  <si>
    <t>Chi petshop (xuất chuyển cơ sở)</t>
  </si>
  <si>
    <t>chuyển khoản petshop(báo cáo)</t>
  </si>
  <si>
    <t>Chuyển khoản thầy (Petshop)</t>
  </si>
  <si>
    <t>Thầy chi</t>
  </si>
  <si>
    <t>Tổng gửi thầy petshop</t>
  </si>
  <si>
    <t>Thầy nhận trực tiếp</t>
  </si>
  <si>
    <t>Chuyển khoản thầy (khám chữa bệnh)</t>
  </si>
  <si>
    <t>Tiền nhà</t>
  </si>
  <si>
    <t>Tổng gửi thầy báo cáo</t>
  </si>
  <si>
    <t>Gửi thầy cuối tháng Báo cáo + petshop</t>
  </si>
  <si>
    <t>Chenh lech</t>
  </si>
  <si>
    <t xml:space="preserve">   </t>
  </si>
  <si>
    <t xml:space="preserve"> </t>
  </si>
  <si>
    <t>Nhận tiền mặt</t>
  </si>
  <si>
    <t>Nội dung petshop</t>
  </si>
  <si>
    <t>SL Tồn đầu tháng</t>
  </si>
  <si>
    <t>Nhập</t>
  </si>
  <si>
    <t>Xuất chuyển CS</t>
  </si>
  <si>
    <t>Tiền tồn đầu tháng</t>
  </si>
  <si>
    <t>Tuần 1</t>
  </si>
  <si>
    <t>Tuần 2</t>
  </si>
  <si>
    <t>Tuần 3</t>
  </si>
  <si>
    <t>Tuần 4</t>
  </si>
  <si>
    <t>Tổng SL Nhập</t>
  </si>
  <si>
    <t>Tổng tiền nhập</t>
  </si>
  <si>
    <t>Tổng SL Xuất</t>
  </si>
  <si>
    <t>Tổng tiền xuất</t>
  </si>
  <si>
    <t>Kiêm kê (tồn cuối)</t>
  </si>
  <si>
    <t>SL SD trong tháng</t>
  </si>
  <si>
    <t>Tiền SD trong tháng</t>
  </si>
  <si>
    <t>Số tiền tồn cuối</t>
  </si>
  <si>
    <t>Thành tiền</t>
  </si>
  <si>
    <t xml:space="preserve">Ca </t>
  </si>
  <si>
    <t>Nội dung thực hiện</t>
  </si>
  <si>
    <t>Chi phí</t>
  </si>
  <si>
    <t>Tổng thu</t>
  </si>
  <si>
    <t>NV tiếp nhận</t>
  </si>
  <si>
    <t>Trần Phú</t>
  </si>
  <si>
    <t>Phẫu Thuật Viêm tử cung</t>
  </si>
  <si>
    <t>Tuấn , Trà</t>
  </si>
  <si>
    <t>Phẫu thuật cắt lưỡi</t>
  </si>
  <si>
    <t>Tuấn, Ánh</t>
  </si>
  <si>
    <t xml:space="preserve">Chích thuốc </t>
  </si>
  <si>
    <t>chụp phim</t>
  </si>
  <si>
    <t>Tuấn , Ánh , Trà</t>
  </si>
  <si>
    <t>siêu âm</t>
  </si>
  <si>
    <t>Tuấn , Ánh</t>
  </si>
  <si>
    <t>chích thuốc+xử lý vết thương</t>
  </si>
  <si>
    <t>Cấp cứu ngộ độc</t>
  </si>
  <si>
    <t>Lưu chăm sóc đêm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</si>
</sst>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.m"/>
    <numFmt numFmtId="166" formatCode="&quot;$&quot;#,##0.000"/>
    <numFmt numFmtId="167" formatCode="d/m/yy"/>
    <numFmt numFmtId="168" formatCode="dd/mm/yyyy"/>
    <numFmt numFmtId="169" formatCode="_(* #,##0_);_(* \(#,##0\);_(* &quot;-&quot;??_);_(@_)"/>
    <numFmt numFmtId="170" formatCode="#,##0.000"/>
  </numFmts>
  <fonts count="59">
    <font>
      <sz val="11.0"/>
      <color theme="1"/>
      <name val="Calibri"/>
      <scheme val="minor"/>
    </font>
    <font>
      <color theme="1"/>
      <name val="Calibri"/>
    </font>
    <font>
      <b/>
      <u/>
      <sz val="12.0"/>
      <color rgb="FF0000FF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4.0"/>
      <color rgb="FFFF0000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9.0"/>
      <color rgb="FF000000"/>
      <name val="&quot;Google Sans Mono&quot;"/>
    </font>
    <font>
      <sz val="11.0"/>
      <color rgb="FF000000"/>
      <name val="Inconsolata"/>
    </font>
    <font>
      <sz val="14.0"/>
      <color rgb="FFFF0000"/>
      <name val="Calibri"/>
      <scheme val="minor"/>
    </font>
    <font>
      <sz val="11.0"/>
      <color rgb="FF000000"/>
      <name val="Arial"/>
    </font>
    <font>
      <b/>
      <sz val="14.0"/>
      <color rgb="FFFF0000"/>
      <name val="Calibri"/>
      <scheme val="minor"/>
    </font>
    <font>
      <b/>
      <sz val="15.0"/>
      <color rgb="FFFF0000"/>
      <name val="Calibri"/>
      <scheme val="minor"/>
    </font>
    <font>
      <b/>
      <sz val="14.0"/>
      <color theme="1"/>
      <name val="Calibri"/>
      <scheme val="minor"/>
    </font>
    <font>
      <color theme="0"/>
      <name val="Calibri"/>
      <scheme val="minor"/>
    </font>
    <font>
      <b/>
      <sz val="12.0"/>
      <color rgb="FFFF0000"/>
      <name val="Calibri"/>
      <scheme val="minor"/>
    </font>
    <font>
      <b/>
      <sz val="13.0"/>
      <color rgb="FFFF0000"/>
      <name val="Calibri"/>
      <scheme val="minor"/>
    </font>
    <font>
      <sz val="12.0"/>
      <color theme="1"/>
      <name val="Calibri"/>
      <scheme val="minor"/>
    </font>
    <font>
      <sz val="11.0"/>
      <color theme="1"/>
      <name val="Calibri"/>
    </font>
    <font>
      <b/>
      <sz val="14.0"/>
      <color rgb="FFFF0000"/>
      <name val="Calibri"/>
    </font>
    <font>
      <sz val="15.0"/>
      <color rgb="FFFF0000"/>
      <name val="Arial"/>
    </font>
    <font>
      <sz val="15.0"/>
      <color rgb="FFFF0000"/>
      <name val="Calibri"/>
      <scheme val="minor"/>
    </font>
    <font>
      <b/>
      <sz val="15.0"/>
      <color rgb="FFFF0000"/>
      <name val="Arial"/>
    </font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color theme="1"/>
      <name val="Arial"/>
    </font>
    <font>
      <sz val="11.0"/>
      <color rgb="FFFF0000"/>
      <name val="Calibri"/>
    </font>
    <font>
      <sz val="11.0"/>
      <color rgb="FFFF0000"/>
      <name val="Arial"/>
    </font>
    <font>
      <sz val="11.0"/>
      <color theme="1"/>
      <name val="Roboto"/>
    </font>
    <font>
      <sz val="11.0"/>
      <color rgb="FF434343"/>
      <name val="Arial"/>
    </font>
    <font>
      <sz val="12.0"/>
      <color theme="1"/>
      <name val="Roboto"/>
    </font>
    <font>
      <sz val="14.0"/>
      <color theme="1"/>
      <name val="Calibri"/>
    </font>
    <font>
      <sz val="12.0"/>
      <color rgb="FFFF0000"/>
      <name val="Arial"/>
    </font>
    <font>
      <b/>
      <sz val="12.0"/>
      <color rgb="FF434343"/>
      <name val="Arial"/>
    </font>
    <font>
      <sz val="14.0"/>
      <color theme="1"/>
      <name val="Arial"/>
    </font>
    <font>
      <sz val="14.0"/>
      <color rgb="FF7E3794"/>
      <name val="Calibri"/>
      <scheme val="minor"/>
    </font>
    <font>
      <sz val="14.0"/>
      <color rgb="FF000000"/>
      <name val="Calibri"/>
      <scheme val="minor"/>
    </font>
    <font>
      <sz val="14.0"/>
      <color theme="1"/>
      <name val="Calibri"/>
      <scheme val="minor"/>
    </font>
    <font>
      <b/>
      <sz val="12.0"/>
      <color theme="1"/>
      <name val="Calibri"/>
    </font>
    <font/>
    <font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rgb="FF000000"/>
      <name val="Calibri"/>
    </font>
    <font>
      <b/>
      <sz val="12.0"/>
      <color rgb="FFFF0000"/>
      <name val="Calibri"/>
    </font>
    <font>
      <b/>
      <sz val="12.0"/>
      <color rgb="FF6D9EEB"/>
      <name val="Calibri"/>
    </font>
    <font>
      <sz val="12.0"/>
      <color theme="1"/>
      <name val="Inconsolata"/>
    </font>
    <font>
      <b/>
      <sz val="11.0"/>
      <color rgb="FF777777"/>
      <name val="Inconsolata"/>
    </font>
    <font>
      <b/>
      <sz val="12.0"/>
      <color rgb="FFCC0000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2.0"/>
      <color rgb="FFCC0000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sz val="9.0"/>
      <color rgb="FFA61D4C"/>
      <name val="&quot;Google Sans Mono&quot;"/>
    </font>
    <font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vertical="center"/>
    </xf>
    <xf borderId="1" fillId="3" fontId="1" numFmtId="0" xfId="0" applyBorder="1" applyFont="1"/>
    <xf borderId="1" fillId="3" fontId="3" numFmtId="3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1" fillId="4" fontId="8" numFmtId="164" xfId="0" applyAlignment="1" applyBorder="1" applyFill="1" applyFont="1" applyNumberFormat="1">
      <alignment readingOrder="0"/>
    </xf>
    <xf borderId="1" fillId="4" fontId="8" numFmtId="0" xfId="0" applyAlignment="1" applyBorder="1" applyFont="1">
      <alignment readingOrder="0"/>
    </xf>
    <xf borderId="1" fillId="2" fontId="9" numFmtId="0" xfId="0" applyAlignment="1" applyBorder="1" applyFont="1">
      <alignment readingOrder="0" vertical="center"/>
    </xf>
    <xf borderId="1" fillId="5" fontId="10" numFmtId="0" xfId="0" applyAlignment="1" applyBorder="1" applyFill="1" applyFont="1">
      <alignment readingOrder="0"/>
    </xf>
    <xf borderId="1" fillId="4" fontId="11" numFmtId="0" xfId="0" applyBorder="1" applyFont="1"/>
    <xf borderId="1" fillId="4" fontId="11" numFmtId="0" xfId="0" applyAlignment="1" applyBorder="1" applyFont="1">
      <alignment horizontal="center"/>
    </xf>
    <xf borderId="1" fillId="6" fontId="9" numFmtId="0" xfId="0" applyAlignment="1" applyBorder="1" applyFill="1" applyFont="1">
      <alignment readingOrder="0" vertical="center"/>
    </xf>
    <xf borderId="1" fillId="4" fontId="9" numFmtId="3" xfId="0" applyAlignment="1" applyBorder="1" applyFont="1" applyNumberFormat="1">
      <alignment readingOrder="0" vertical="center"/>
    </xf>
    <xf borderId="1" fillId="4" fontId="9" numFmtId="0" xfId="0" applyAlignment="1" applyBorder="1" applyFont="1">
      <alignment readingOrder="0" vertical="center"/>
    </xf>
    <xf borderId="1" fillId="4" fontId="12" numFmtId="0" xfId="0" applyAlignment="1" applyBorder="1" applyFont="1">
      <alignment readingOrder="0"/>
    </xf>
    <xf borderId="1" fillId="4" fontId="8" numFmtId="0" xfId="0" applyBorder="1" applyFont="1"/>
    <xf borderId="1" fillId="5" fontId="8" numFmtId="164" xfId="0" applyBorder="1" applyFont="1" applyNumberFormat="1"/>
    <xf borderId="1" fillId="5" fontId="11" numFmtId="0" xfId="0" applyAlignment="1" applyBorder="1" applyFont="1">
      <alignment horizontal="center"/>
    </xf>
    <xf borderId="1" fillId="5" fontId="8" numFmtId="0" xfId="0" applyAlignment="1" applyBorder="1" applyFont="1">
      <alignment readingOrder="0"/>
    </xf>
    <xf borderId="1" fillId="5" fontId="9" numFmtId="0" xfId="0" applyAlignment="1" applyBorder="1" applyFont="1">
      <alignment readingOrder="0" vertical="center"/>
    </xf>
    <xf borderId="1" fillId="5" fontId="12" numFmtId="0" xfId="0" applyAlignment="1" applyBorder="1" applyFont="1">
      <alignment readingOrder="0"/>
    </xf>
    <xf borderId="1" fillId="5" fontId="8" numFmtId="164" xfId="0" applyAlignment="1" applyBorder="1" applyFont="1" applyNumberFormat="1">
      <alignment readingOrder="0"/>
    </xf>
    <xf borderId="1" fillId="5" fontId="8" numFmtId="0" xfId="0" applyBorder="1" applyFont="1"/>
    <xf borderId="1" fillId="4" fontId="8" numFmtId="164" xfId="0" applyBorder="1" applyFont="1" applyNumberFormat="1"/>
    <xf borderId="1" fillId="5" fontId="10" numFmtId="0" xfId="0" applyBorder="1" applyFont="1"/>
    <xf borderId="1" fillId="5" fontId="11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/>
    </xf>
    <xf borderId="1" fillId="4" fontId="11" numFmtId="0" xfId="0" applyAlignment="1" applyBorder="1" applyFont="1">
      <alignment readingOrder="0"/>
    </xf>
    <xf borderId="0" fillId="2" fontId="13" numFmtId="0" xfId="0" applyAlignment="1" applyFont="1">
      <alignment horizontal="left" readingOrder="0"/>
    </xf>
    <xf borderId="1" fillId="5" fontId="14" numFmtId="0" xfId="0" applyAlignment="1" applyBorder="1" applyFont="1">
      <alignment readingOrder="0"/>
    </xf>
    <xf borderId="1" fillId="5" fontId="14" numFmtId="0" xfId="0" applyBorder="1" applyFont="1"/>
    <xf borderId="1" fillId="5" fontId="15" numFmtId="0" xfId="0" applyAlignment="1" applyBorder="1" applyFont="1">
      <alignment readingOrder="0"/>
    </xf>
    <xf borderId="1" fillId="4" fontId="14" numFmtId="0" xfId="0" applyAlignment="1" applyBorder="1" applyFont="1">
      <alignment readingOrder="0"/>
    </xf>
    <xf borderId="1" fillId="4" fontId="14" numFmtId="0" xfId="0" applyBorder="1" applyFont="1"/>
    <xf borderId="1" fillId="4" fontId="16" numFmtId="0" xfId="0" applyBorder="1" applyFont="1"/>
    <xf borderId="1" fillId="5" fontId="15" numFmtId="0" xfId="0" applyBorder="1" applyFont="1"/>
    <xf borderId="1" fillId="4" fontId="15" numFmtId="164" xfId="0" applyBorder="1" applyFont="1" applyNumberFormat="1"/>
    <xf borderId="1" fillId="4" fontId="15" numFmtId="0" xfId="0" applyBorder="1" applyFont="1"/>
    <xf borderId="1" fillId="7" fontId="8" numFmtId="164" xfId="0" applyBorder="1" applyFill="1" applyFont="1" applyNumberFormat="1"/>
    <xf borderId="1" fillId="7" fontId="8" numFmtId="0" xfId="0" applyAlignment="1" applyBorder="1" applyFont="1">
      <alignment readingOrder="0"/>
    </xf>
    <xf borderId="1" fillId="7" fontId="12" numFmtId="164" xfId="0" applyAlignment="1" applyBorder="1" applyFont="1" applyNumberFormat="1">
      <alignment readingOrder="0"/>
    </xf>
    <xf borderId="1" fillId="7" fontId="17" numFmtId="0" xfId="0" applyBorder="1" applyFont="1"/>
    <xf borderId="1" fillId="2" fontId="9" numFmtId="0" xfId="0" applyAlignment="1" applyBorder="1" applyFont="1">
      <alignment readingOrder="0" vertical="center"/>
    </xf>
    <xf borderId="1" fillId="4" fontId="18" numFmtId="0" xfId="0" applyBorder="1" applyFont="1"/>
    <xf borderId="1" fillId="4" fontId="15" numFmtId="0" xfId="0" applyAlignment="1" applyBorder="1" applyFont="1">
      <alignment readingOrder="0"/>
    </xf>
    <xf borderId="1" fillId="7" fontId="8" numFmtId="0" xfId="0" applyBorder="1" applyFont="1"/>
    <xf borderId="1" fillId="7" fontId="9" numFmtId="0" xfId="0" applyAlignment="1" applyBorder="1" applyFont="1">
      <alignment readingOrder="0" vertical="center"/>
    </xf>
    <xf borderId="1" fillId="4" fontId="19" numFmtId="0" xfId="0" applyBorder="1" applyFont="1"/>
    <xf borderId="1" fillId="5" fontId="19" numFmtId="0" xfId="0" applyBorder="1" applyFont="1"/>
    <xf borderId="0" fillId="4" fontId="8" numFmtId="164" xfId="0" applyFont="1" applyNumberFormat="1"/>
    <xf borderId="1" fillId="4" fontId="20" numFmtId="164" xfId="0" applyBorder="1" applyFont="1" applyNumberFormat="1"/>
    <xf borderId="1" fillId="4" fontId="20" numFmtId="0" xfId="0" applyBorder="1" applyFont="1"/>
    <xf borderId="1" fillId="5" fontId="20" numFmtId="164" xfId="0" applyBorder="1" applyFont="1" applyNumberFormat="1"/>
    <xf borderId="1" fillId="5" fontId="20" numFmtId="0" xfId="0" applyBorder="1" applyFont="1"/>
    <xf borderId="1" fillId="4" fontId="20" numFmtId="164" xfId="0" applyAlignment="1" applyBorder="1" applyFont="1" applyNumberFormat="1">
      <alignment readingOrder="0"/>
    </xf>
    <xf borderId="1" fillId="4" fontId="14" numFmtId="164" xfId="0" applyBorder="1" applyFont="1" applyNumberFormat="1"/>
    <xf borderId="1" fillId="5" fontId="15" numFmtId="164" xfId="0" applyBorder="1" applyFont="1" applyNumberFormat="1"/>
    <xf borderId="1" fillId="7" fontId="15" numFmtId="0" xfId="0" applyAlignment="1" applyBorder="1" applyFont="1">
      <alignment readingOrder="0"/>
    </xf>
    <xf borderId="1" fillId="4" fontId="12" numFmtId="164" xfId="0" applyBorder="1" applyFont="1" applyNumberFormat="1"/>
    <xf borderId="1" fillId="4" fontId="12" numFmtId="0" xfId="0" applyBorder="1" applyFont="1"/>
    <xf borderId="1" fillId="5" fontId="12" numFmtId="164" xfId="0" applyBorder="1" applyFont="1" applyNumberFormat="1"/>
    <xf borderId="1" fillId="5" fontId="12" numFmtId="0" xfId="0" applyBorder="1" applyFont="1"/>
    <xf borderId="1" fillId="5" fontId="14" numFmtId="164" xfId="0" applyBorder="1" applyFont="1" applyNumberFormat="1"/>
    <xf borderId="1" fillId="4" fontId="21" numFmtId="164" xfId="0" applyAlignment="1" applyBorder="1" applyFont="1" applyNumberFormat="1">
      <alignment vertical="bottom"/>
    </xf>
    <xf borderId="1" fillId="4" fontId="22" numFmtId="0" xfId="0" applyAlignment="1" applyBorder="1" applyFont="1">
      <alignment vertical="bottom"/>
    </xf>
    <xf borderId="1" fillId="5" fontId="9" numFmtId="0" xfId="0" applyAlignment="1" applyBorder="1" applyFont="1">
      <alignment vertical="center"/>
    </xf>
    <xf borderId="1" fillId="4" fontId="23" numFmtId="0" xfId="0" applyAlignment="1" applyBorder="1" applyFont="1">
      <alignment readingOrder="0" vertical="center"/>
    </xf>
    <xf borderId="1" fillId="4" fontId="24" numFmtId="0" xfId="0" applyAlignment="1" applyBorder="1" applyFont="1">
      <alignment readingOrder="0"/>
    </xf>
    <xf borderId="1" fillId="4" fontId="9" numFmtId="0" xfId="0" applyAlignment="1" applyBorder="1" applyFont="1">
      <alignment vertical="center"/>
    </xf>
    <xf borderId="1" fillId="4" fontId="6" numFmtId="0" xfId="0" applyAlignment="1" applyBorder="1" applyFont="1">
      <alignment readingOrder="0" vertical="center"/>
    </xf>
    <xf borderId="1" fillId="5" fontId="6" numFmtId="0" xfId="0" applyAlignment="1" applyBorder="1" applyFont="1">
      <alignment readingOrder="0" vertical="center"/>
    </xf>
    <xf borderId="1" fillId="7" fontId="12" numFmtId="0" xfId="0" applyAlignment="1" applyBorder="1" applyFont="1">
      <alignment readingOrder="0"/>
    </xf>
    <xf borderId="1" fillId="4" fontId="25" numFmtId="0" xfId="0" applyAlignment="1" applyBorder="1" applyFont="1">
      <alignment readingOrder="0" vertical="center"/>
    </xf>
    <xf borderId="1" fillId="5" fontId="25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vertical="center"/>
    </xf>
    <xf borderId="1" fillId="4" fontId="26" numFmtId="0" xfId="0" applyAlignment="1" applyBorder="1" applyFont="1">
      <alignment readingOrder="0"/>
    </xf>
    <xf borderId="1" fillId="4" fontId="13" numFmtId="0" xfId="0" applyAlignment="1" applyBorder="1" applyFont="1">
      <alignment readingOrder="0" vertical="center"/>
    </xf>
    <xf borderId="1" fillId="4" fontId="26" numFmtId="0" xfId="0" applyBorder="1" applyFont="1"/>
    <xf borderId="1" fillId="4" fontId="26" numFmtId="164" xfId="0" applyBorder="1" applyFont="1" applyNumberFormat="1"/>
    <xf borderId="1" fillId="5" fontId="26" numFmtId="0" xfId="0" applyAlignment="1" applyBorder="1" applyFont="1">
      <alignment readingOrder="0"/>
    </xf>
    <xf borderId="1" fillId="5" fontId="13" numFmtId="0" xfId="0" applyAlignment="1" applyBorder="1" applyFont="1">
      <alignment vertical="center"/>
    </xf>
    <xf borderId="1" fillId="5" fontId="26" numFmtId="0" xfId="0" applyBorder="1" applyFont="1"/>
    <xf borderId="1" fillId="5" fontId="26" numFmtId="164" xfId="0" applyBorder="1" applyFont="1" applyNumberFormat="1"/>
    <xf borderId="1" fillId="5" fontId="25" numFmtId="0" xfId="0" applyAlignment="1" applyBorder="1" applyFont="1">
      <alignment vertical="center"/>
    </xf>
    <xf borderId="1" fillId="4" fontId="9" numFmtId="3" xfId="0" applyAlignment="1" applyBorder="1" applyFont="1" applyNumberFormat="1">
      <alignment vertical="center"/>
    </xf>
    <xf borderId="0" fillId="2" fontId="27" numFmtId="0" xfId="0" applyAlignment="1" applyFont="1">
      <alignment horizontal="left" readingOrder="0"/>
    </xf>
    <xf borderId="0" fillId="2" fontId="9" numFmtId="0" xfId="0" applyAlignment="1" applyFont="1">
      <alignment readingOrder="0" vertical="center"/>
    </xf>
    <xf borderId="1" fillId="5" fontId="11" numFmtId="0" xfId="0" applyBorder="1" applyFont="1"/>
    <xf borderId="1" fillId="4" fontId="8" numFmtId="165" xfId="0" applyAlignment="1" applyBorder="1" applyFont="1" applyNumberFormat="1">
      <alignment readingOrder="0"/>
    </xf>
    <xf borderId="1" fillId="5" fontId="6" numFmtId="0" xfId="0" applyAlignment="1" applyBorder="1" applyFont="1">
      <alignment vertical="center"/>
    </xf>
    <xf borderId="1" fillId="2" fontId="6" numFmtId="0" xfId="0" applyAlignment="1" applyBorder="1" applyFont="1">
      <alignment readingOrder="0" vertical="center"/>
    </xf>
    <xf borderId="1" fillId="4" fontId="6" numFmtId="0" xfId="0" applyAlignment="1" applyBorder="1" applyFont="1">
      <alignment vertical="center"/>
    </xf>
    <xf borderId="1" fillId="4" fontId="6" numFmtId="3" xfId="0" applyAlignment="1" applyBorder="1" applyFont="1" applyNumberFormat="1">
      <alignment vertical="center"/>
    </xf>
    <xf borderId="0" fillId="5" fontId="9" numFmtId="0" xfId="0" applyAlignment="1" applyFont="1">
      <alignment vertical="center"/>
    </xf>
    <xf borderId="0" fillId="4" fontId="8" numFmtId="0" xfId="0" applyFont="1"/>
    <xf borderId="0" fillId="4" fontId="11" numFmtId="0" xfId="0" applyFont="1"/>
    <xf borderId="0" fillId="4" fontId="11" numFmtId="0" xfId="0" applyAlignment="1" applyFont="1">
      <alignment horizontal="center"/>
    </xf>
    <xf borderId="0" fillId="4" fontId="9" numFmtId="0" xfId="0" applyAlignment="1" applyFont="1">
      <alignment vertical="center"/>
    </xf>
    <xf borderId="0" fillId="4" fontId="9" numFmtId="3" xfId="0" applyAlignment="1" applyFont="1" applyNumberFormat="1">
      <alignment vertical="center"/>
    </xf>
    <xf borderId="0" fillId="4" fontId="12" numFmtId="0" xfId="0" applyFont="1"/>
    <xf borderId="0" fillId="5" fontId="8" numFmtId="164" xfId="0" applyFont="1" applyNumberFormat="1"/>
    <xf borderId="0" fillId="5" fontId="8" numFmtId="0" xfId="0" applyFont="1"/>
    <xf borderId="0" fillId="5" fontId="11" numFmtId="0" xfId="0" applyFont="1"/>
    <xf borderId="0" fillId="5" fontId="11" numFmtId="0" xfId="0" applyAlignment="1" applyFont="1">
      <alignment horizontal="center"/>
    </xf>
    <xf borderId="0" fillId="5" fontId="1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1" fillId="0" fontId="21" numFmtId="0" xfId="0" applyAlignment="1" applyBorder="1" applyFont="1">
      <alignment shrinkToFit="0" vertical="bottom" wrapText="0"/>
    </xf>
    <xf borderId="0" fillId="0" fontId="30" numFmtId="0" xfId="0" applyAlignment="1" applyFont="1">
      <alignment horizontal="center" vertical="bottom"/>
    </xf>
    <xf borderId="0" fillId="0" fontId="30" numFmtId="0" xfId="0" applyAlignment="1" applyFont="1">
      <alignment vertical="bottom"/>
    </xf>
    <xf borderId="1" fillId="0" fontId="29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center" vertical="bottom"/>
    </xf>
    <xf borderId="1" fillId="0" fontId="9" numFmtId="0" xfId="0" applyAlignment="1" applyBorder="1" applyFont="1">
      <alignment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" fillId="0" fontId="21" numFmtId="0" xfId="0" applyAlignment="1" applyBorder="1" applyFont="1">
      <alignment vertical="bottom"/>
    </xf>
    <xf borderId="0" fillId="0" fontId="32" numFmtId="0" xfId="0" applyAlignment="1" applyFont="1">
      <alignment vertical="bottom"/>
    </xf>
    <xf borderId="1" fillId="0" fontId="31" numFmtId="0" xfId="0" applyAlignment="1" applyBorder="1" applyFont="1">
      <alignment vertical="bottom"/>
    </xf>
    <xf borderId="0" fillId="0" fontId="33" numFmtId="0" xfId="0" applyAlignment="1" applyFont="1">
      <alignment horizontal="center" vertical="bottom"/>
    </xf>
    <xf borderId="0" fillId="0" fontId="33" numFmtId="0" xfId="0" applyAlignment="1" applyFont="1">
      <alignment vertical="bottom"/>
    </xf>
    <xf borderId="0" fillId="0" fontId="21" numFmtId="3" xfId="0" applyAlignment="1" applyFont="1" applyNumberFormat="1">
      <alignment vertical="bottom"/>
    </xf>
    <xf borderId="0" fillId="0" fontId="34" numFmtId="0" xfId="0" applyAlignment="1" applyFont="1">
      <alignment horizontal="center" vertical="bottom"/>
    </xf>
    <xf borderId="0" fillId="0" fontId="35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1" fillId="0" fontId="28" numFmtId="0" xfId="0" applyAlignment="1" applyBorder="1" applyFont="1">
      <alignment vertical="bottom"/>
    </xf>
    <xf borderId="0" fillId="0" fontId="21" numFmtId="0" xfId="0" applyAlignment="1" applyFont="1">
      <alignment horizontal="right" vertical="bottom"/>
    </xf>
    <xf borderId="0" fillId="0" fontId="28" numFmtId="0" xfId="0" applyAlignment="1" applyFont="1">
      <alignment horizontal="right" vertical="bottom"/>
    </xf>
    <xf borderId="0" fillId="0" fontId="36" numFmtId="0" xfId="0" applyAlignment="1" applyFont="1">
      <alignment horizontal="center" vertical="bottom"/>
    </xf>
    <xf borderId="0" fillId="0" fontId="36" numFmtId="0" xfId="0" applyAlignment="1" applyFont="1">
      <alignment vertical="bottom"/>
    </xf>
    <xf borderId="0" fillId="0" fontId="37" numFmtId="0" xfId="0" applyAlignment="1" applyFont="1">
      <alignment horizontal="center" vertical="bottom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29" numFmtId="3" xfId="0" applyAlignment="1" applyFont="1" applyNumberFormat="1">
      <alignment vertical="bottom"/>
    </xf>
    <xf borderId="0" fillId="8" fontId="16" numFmtId="164" xfId="0" applyAlignment="1" applyFill="1" applyFont="1" applyNumberFormat="1">
      <alignment horizontal="center" shrinkToFit="0" vertical="center" wrapText="1"/>
    </xf>
    <xf borderId="0" fillId="8" fontId="16" numFmtId="0" xfId="0" applyAlignment="1" applyFont="1">
      <alignment horizontal="center" shrinkToFit="0" vertical="center" wrapText="1"/>
    </xf>
    <xf borderId="0" fillId="8" fontId="16" numFmtId="0" xfId="0" applyAlignment="1" applyFont="1">
      <alignment horizontal="center" readingOrder="0" shrinkToFit="0" vertical="center" wrapText="0"/>
    </xf>
    <xf borderId="0" fillId="5" fontId="39" numFmtId="166" xfId="0" applyFont="1" applyNumberFormat="1"/>
    <xf borderId="0" fillId="8" fontId="16" numFmtId="4" xfId="0" applyAlignment="1" applyFont="1" applyNumberFormat="1">
      <alignment horizontal="center" readingOrder="0" shrinkToFit="0" vertical="center" wrapText="1"/>
    </xf>
    <xf borderId="0" fillId="5" fontId="40" numFmtId="166" xfId="0" applyFont="1" applyNumberFormat="1"/>
    <xf borderId="0" fillId="8" fontId="16" numFmtId="0" xfId="0" applyAlignment="1" applyFont="1">
      <alignment horizontal="center" readingOrder="0" shrinkToFit="0" vertical="center" wrapText="1"/>
    </xf>
    <xf borderId="0" fillId="0" fontId="41" numFmtId="3" xfId="0" applyAlignment="1" applyFont="1" applyNumberFormat="1">
      <alignment shrinkToFit="0" vertical="center" wrapText="0"/>
    </xf>
    <xf borderId="2" fillId="8" fontId="16" numFmtId="0" xfId="0" applyAlignment="1" applyBorder="1" applyFont="1">
      <alignment horizontal="center" readingOrder="0" shrinkToFit="0" vertical="center" wrapText="1"/>
    </xf>
    <xf borderId="0" fillId="8" fontId="16" numFmtId="0" xfId="0" applyAlignment="1" applyFont="1">
      <alignment horizontal="center" shrinkToFit="0" wrapText="1"/>
    </xf>
    <xf borderId="0" fillId="8" fontId="16" numFmtId="4" xfId="0" applyAlignment="1" applyFont="1" applyNumberFormat="1">
      <alignment horizontal="center" shrinkToFit="0" wrapText="1"/>
    </xf>
    <xf borderId="0" fillId="8" fontId="16" numFmtId="3" xfId="0" applyAlignment="1" applyFont="1" applyNumberFormat="1">
      <alignment horizontal="center" shrinkToFit="0" wrapText="1"/>
    </xf>
    <xf borderId="0" fillId="0" fontId="41" numFmtId="164" xfId="0" applyAlignment="1" applyFont="1" applyNumberFormat="1">
      <alignment readingOrder="0" shrinkToFit="0" vertical="center" wrapText="0"/>
    </xf>
    <xf borderId="0" fillId="9" fontId="41" numFmtId="0" xfId="0" applyAlignment="1" applyFill="1" applyFont="1">
      <alignment readingOrder="0" shrinkToFit="0" wrapText="0"/>
    </xf>
    <xf borderId="0" fillId="0" fontId="41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vertical="center"/>
    </xf>
    <xf borderId="0" fillId="0" fontId="41" numFmtId="4" xfId="0" applyAlignment="1" applyFont="1" applyNumberFormat="1">
      <alignment readingOrder="0" vertical="center"/>
    </xf>
    <xf borderId="0" fillId="9" fontId="35" numFmtId="3" xfId="0" applyAlignment="1" applyFont="1" applyNumberFormat="1">
      <alignment horizontal="right"/>
    </xf>
    <xf borderId="0" fillId="0" fontId="8" numFmtId="0" xfId="0" applyFont="1"/>
    <xf borderId="0" fillId="0" fontId="41" numFmtId="0" xfId="0" applyAlignment="1" applyFont="1">
      <alignment readingOrder="0"/>
    </xf>
    <xf borderId="0" fillId="0" fontId="41" numFmtId="0" xfId="0" applyAlignment="1" applyFont="1">
      <alignment shrinkToFit="0" vertical="center" wrapText="0"/>
    </xf>
    <xf borderId="0" fillId="0" fontId="14" numFmtId="3" xfId="0" applyAlignment="1" applyFont="1" applyNumberFormat="1">
      <alignment shrinkToFit="0" vertical="center" wrapText="0"/>
    </xf>
    <xf borderId="0" fillId="7" fontId="14" numFmtId="0" xfId="0" applyAlignment="1" applyFont="1">
      <alignment readingOrder="0" shrinkToFit="0" vertical="center" wrapText="0"/>
    </xf>
    <xf borderId="0" fillId="0" fontId="41" numFmtId="167" xfId="0" applyAlignment="1" applyFont="1" applyNumberFormat="1">
      <alignment readingOrder="0"/>
    </xf>
    <xf borderId="0" fillId="0" fontId="41" numFmtId="0" xfId="0" applyFont="1"/>
    <xf borderId="0" fillId="0" fontId="14" numFmtId="0" xfId="0" applyAlignment="1" applyFont="1">
      <alignment readingOrder="0" shrinkToFit="0" vertical="center" wrapText="0"/>
    </xf>
    <xf borderId="0" fillId="0" fontId="14" numFmtId="0" xfId="0" applyFont="1"/>
    <xf borderId="0" fillId="0" fontId="41" numFmtId="3" xfId="0" applyAlignment="1" applyFont="1" applyNumberFormat="1">
      <alignment readingOrder="0"/>
    </xf>
    <xf borderId="0" fillId="0" fontId="41" numFmtId="3" xfId="0" applyAlignment="1" applyFont="1" applyNumberFormat="1">
      <alignment readingOrder="0" shrinkToFit="0" vertical="center" wrapText="0"/>
    </xf>
    <xf borderId="0" fillId="0" fontId="41" numFmtId="168" xfId="0" applyAlignment="1" applyFont="1" applyNumberFormat="1">
      <alignment readingOrder="0"/>
    </xf>
    <xf borderId="0" fillId="9" fontId="14" numFmtId="0" xfId="0" applyAlignment="1" applyFont="1">
      <alignment readingOrder="0" shrinkToFit="0" wrapText="0"/>
    </xf>
    <xf borderId="0" fillId="0" fontId="14" numFmtId="0" xfId="0" applyAlignment="1" applyFont="1">
      <alignment readingOrder="0" vertical="center"/>
    </xf>
    <xf borderId="0" fillId="0" fontId="14" numFmtId="4" xfId="0" applyAlignment="1" applyFont="1" applyNumberFormat="1">
      <alignment readingOrder="0" vertical="center"/>
    </xf>
    <xf borderId="0" fillId="0" fontId="41" numFmtId="164" xfId="0" applyAlignment="1" applyFont="1" applyNumberFormat="1">
      <alignment shrinkToFit="0" vertical="center" wrapText="0"/>
    </xf>
    <xf borderId="0" fillId="0" fontId="41" numFmtId="3" xfId="0" applyAlignment="1" applyFont="1" applyNumberFormat="1">
      <alignment readingOrder="0" vertical="center"/>
    </xf>
    <xf borderId="1" fillId="10" fontId="42" numFmtId="0" xfId="0" applyAlignment="1" applyBorder="1" applyFill="1" applyFont="1">
      <alignment readingOrder="0"/>
    </xf>
    <xf borderId="3" fillId="10" fontId="42" numFmtId="0" xfId="0" applyAlignment="1" applyBorder="1" applyFont="1">
      <alignment horizontal="center"/>
    </xf>
    <xf borderId="4" fillId="0" fontId="43" numFmtId="0" xfId="0" applyBorder="1" applyFont="1"/>
    <xf borderId="0" fillId="10" fontId="42" numFmtId="0" xfId="0" applyAlignment="1" applyFont="1">
      <alignment horizontal="center"/>
    </xf>
    <xf borderId="5" fillId="10" fontId="42" numFmtId="0" xfId="0" applyAlignment="1" applyBorder="1" applyFont="1">
      <alignment horizontal="center" vertical="bottom"/>
    </xf>
    <xf borderId="5" fillId="10" fontId="21" numFmtId="0" xfId="0" applyAlignment="1" applyBorder="1" applyFont="1">
      <alignment vertical="bottom"/>
    </xf>
    <xf borderId="1" fillId="5" fontId="42" numFmtId="0" xfId="0" applyAlignment="1" applyBorder="1" applyFont="1">
      <alignment horizontal="center" shrinkToFit="0" vertical="center" wrapText="1"/>
    </xf>
    <xf borderId="0" fillId="5" fontId="42" numFmtId="0" xfId="0" applyAlignment="1" applyFont="1">
      <alignment horizontal="center" readingOrder="0" shrinkToFit="0" vertical="center" wrapText="1"/>
    </xf>
    <xf borderId="6" fillId="11" fontId="42" numFmtId="0" xfId="0" applyAlignment="1" applyBorder="1" applyFill="1" applyFont="1">
      <alignment vertical="bottom"/>
    </xf>
    <xf borderId="1" fillId="0" fontId="44" numFmtId="3" xfId="0" applyAlignment="1" applyBorder="1" applyFont="1" applyNumberFormat="1">
      <alignment readingOrder="0"/>
    </xf>
    <xf borderId="7" fillId="0" fontId="21" numFmtId="168" xfId="0" applyAlignment="1" applyBorder="1" applyFont="1" applyNumberFormat="1">
      <alignment readingOrder="0" vertical="bottom"/>
    </xf>
    <xf borderId="0" fillId="5" fontId="42" numFmtId="0" xfId="0" applyAlignment="1" applyFont="1">
      <alignment horizontal="center" shrinkToFit="0" vertical="center" wrapText="1"/>
    </xf>
    <xf borderId="1" fillId="11" fontId="42" numFmtId="0" xfId="0" applyBorder="1" applyFont="1"/>
    <xf borderId="1" fillId="11" fontId="42" numFmtId="3" xfId="0" applyAlignment="1" applyBorder="1" applyFont="1" applyNumberFormat="1">
      <alignment horizontal="right" readingOrder="0"/>
    </xf>
    <xf borderId="0" fillId="11" fontId="42" numFmtId="3" xfId="0" applyAlignment="1" applyFont="1" applyNumberFormat="1">
      <alignment horizontal="right" readingOrder="0"/>
    </xf>
    <xf borderId="6" fillId="11" fontId="42" numFmtId="0" xfId="0" applyAlignment="1" applyBorder="1" applyFont="1">
      <alignment vertical="bottom"/>
    </xf>
    <xf borderId="7" fillId="11" fontId="21" numFmtId="0" xfId="0" applyAlignment="1" applyBorder="1" applyFont="1">
      <alignment vertical="bottom"/>
    </xf>
    <xf borderId="0" fillId="0" fontId="45" numFmtId="0" xfId="0" applyFont="1"/>
    <xf borderId="1" fillId="5" fontId="42" numFmtId="0" xfId="0" applyBorder="1" applyFont="1"/>
    <xf borderId="1" fillId="11" fontId="42" numFmtId="0" xfId="0" applyAlignment="1" applyBorder="1" applyFont="1">
      <alignment horizontal="right" readingOrder="0"/>
    </xf>
    <xf borderId="0" fillId="5" fontId="42" numFmtId="3" xfId="0" applyAlignment="1" applyFont="1" applyNumberFormat="1">
      <alignment horizontal="right"/>
    </xf>
    <xf borderId="7" fillId="0" fontId="21" numFmtId="0" xfId="0" applyAlignment="1" applyBorder="1" applyFont="1">
      <alignment vertical="bottom"/>
    </xf>
    <xf borderId="0" fillId="11" fontId="46" numFmtId="0" xfId="0" applyAlignment="1" applyFont="1">
      <alignment horizontal="right"/>
    </xf>
    <xf borderId="0" fillId="11" fontId="42" numFmtId="3" xfId="0" applyAlignment="1" applyFont="1" applyNumberFormat="1">
      <alignment horizontal="right"/>
    </xf>
    <xf borderId="0" fillId="0" fontId="47" numFmtId="3" xfId="0" applyAlignment="1" applyFont="1" applyNumberFormat="1">
      <alignment horizontal="right"/>
    </xf>
    <xf borderId="0" fillId="5" fontId="42" numFmtId="3" xfId="0" applyAlignment="1" applyFont="1" applyNumberFormat="1">
      <alignment horizontal="right" readingOrder="0"/>
    </xf>
    <xf borderId="6" fillId="0" fontId="21" numFmtId="0" xfId="0" applyAlignment="1" applyBorder="1" applyFont="1">
      <alignment vertical="bottom"/>
    </xf>
    <xf borderId="7" fillId="0" fontId="42" numFmtId="0" xfId="0" applyAlignment="1" applyBorder="1" applyFont="1">
      <alignment vertical="bottom"/>
    </xf>
    <xf borderId="5" fillId="0" fontId="42" numFmtId="0" xfId="0" applyAlignment="1" applyBorder="1" applyFont="1">
      <alignment shrinkToFit="0" vertical="bottom" wrapText="0"/>
    </xf>
    <xf borderId="0" fillId="0" fontId="18" numFmtId="0" xfId="0" applyFont="1"/>
    <xf borderId="0" fillId="5" fontId="11" numFmtId="3" xfId="0" applyFont="1" applyNumberFormat="1"/>
    <xf borderId="1" fillId="11" fontId="42" numFmtId="3" xfId="0" applyAlignment="1" applyBorder="1" applyFont="1" applyNumberFormat="1">
      <alignment horizontal="right"/>
    </xf>
    <xf borderId="0" fillId="11" fontId="42" numFmtId="0" xfId="0" applyAlignment="1" applyFont="1">
      <alignment horizontal="right"/>
    </xf>
    <xf borderId="7" fillId="0" fontId="21" numFmtId="3" xfId="0" applyAlignment="1" applyBorder="1" applyFont="1" applyNumberFormat="1">
      <alignment readingOrder="0" vertical="bottom"/>
    </xf>
    <xf borderId="7" fillId="0" fontId="21" numFmtId="3" xfId="0" applyAlignment="1" applyBorder="1" applyFont="1" applyNumberFormat="1">
      <alignment horizontal="right" vertical="bottom"/>
    </xf>
    <xf borderId="1" fillId="5" fontId="47" numFmtId="3" xfId="0" applyBorder="1" applyFont="1" applyNumberFormat="1"/>
    <xf borderId="1" fillId="5" fontId="47" numFmtId="3" xfId="0" applyAlignment="1" applyBorder="1" applyFont="1" applyNumberFormat="1">
      <alignment horizontal="right"/>
    </xf>
    <xf borderId="0" fillId="5" fontId="48" numFmtId="3" xfId="0" applyAlignment="1" applyFont="1" applyNumberFormat="1">
      <alignment horizontal="right"/>
    </xf>
    <xf borderId="6" fillId="5" fontId="42" numFmtId="0" xfId="0" applyAlignment="1" applyBorder="1" applyFont="1">
      <alignment vertical="bottom"/>
    </xf>
    <xf borderId="7" fillId="5" fontId="21" numFmtId="0" xfId="0" applyAlignment="1" applyBorder="1" applyFont="1">
      <alignment vertical="bottom"/>
    </xf>
    <xf borderId="7" fillId="5" fontId="49" numFmtId="0" xfId="0" applyAlignment="1" applyBorder="1" applyFont="1">
      <alignment horizontal="right" vertical="bottom"/>
    </xf>
    <xf borderId="0" fillId="5" fontId="47" numFmtId="3" xfId="0" applyAlignment="1" applyFont="1" applyNumberFormat="1">
      <alignment horizontal="right"/>
    </xf>
    <xf borderId="1" fillId="0" fontId="50" numFmtId="3" xfId="0" applyBorder="1" applyFont="1" applyNumberFormat="1"/>
    <xf borderId="6" fillId="0" fontId="51" numFmtId="0" xfId="0" applyAlignment="1" applyBorder="1" applyFont="1">
      <alignment vertical="bottom"/>
    </xf>
    <xf borderId="7" fillId="0" fontId="47" numFmtId="3" xfId="0" applyAlignment="1" applyBorder="1" applyFont="1" applyNumberFormat="1">
      <alignment horizontal="right" vertical="bottom"/>
    </xf>
    <xf borderId="1" fillId="5" fontId="52" numFmtId="0" xfId="0" applyAlignment="1" applyBorder="1" applyFont="1">
      <alignment readingOrder="0"/>
    </xf>
    <xf borderId="0" fillId="0" fontId="42" numFmtId="169" xfId="0" applyAlignment="1" applyFont="1" applyNumberFormat="1">
      <alignment horizontal="right"/>
    </xf>
    <xf borderId="1" fillId="11" fontId="52" numFmtId="0" xfId="0" applyAlignment="1" applyBorder="1" applyFont="1">
      <alignment readingOrder="0"/>
    </xf>
    <xf borderId="1" fillId="3" fontId="53" numFmtId="169" xfId="0" applyAlignment="1" applyBorder="1" applyFont="1" applyNumberFormat="1">
      <alignment horizontal="right"/>
    </xf>
    <xf borderId="0" fillId="0" fontId="53" numFmtId="169" xfId="0" applyAlignment="1" applyFont="1" applyNumberFormat="1">
      <alignment horizontal="right" readingOrder="0"/>
    </xf>
    <xf borderId="0" fillId="0" fontId="46" numFmtId="169" xfId="0" applyAlignment="1" applyFont="1" applyNumberFormat="1">
      <alignment horizontal="right" readingOrder="0"/>
    </xf>
    <xf borderId="0" fillId="0" fontId="53" numFmtId="169" xfId="0" applyAlignment="1" applyFont="1" applyNumberFormat="1">
      <alignment horizontal="right"/>
    </xf>
    <xf borderId="0" fillId="5" fontId="1" numFmtId="3" xfId="0" applyAlignment="1" applyFont="1" applyNumberFormat="1">
      <alignment readingOrder="0"/>
    </xf>
    <xf borderId="0" fillId="5" fontId="52" numFmtId="3" xfId="0" applyAlignment="1" applyFont="1" applyNumberFormat="1">
      <alignment readingOrder="0"/>
    </xf>
    <xf borderId="0" fillId="0" fontId="45" numFmtId="0" xfId="0" applyAlignment="1" applyFont="1">
      <alignment horizontal="right" readingOrder="0"/>
    </xf>
    <xf borderId="0" fillId="0" fontId="54" numFmtId="0" xfId="0" applyAlignment="1" applyFont="1">
      <alignment readingOrder="0"/>
    </xf>
    <xf borderId="0" fillId="11" fontId="47" numFmtId="3" xfId="0" applyFont="1" applyNumberFormat="1"/>
    <xf borderId="1" fillId="0" fontId="54" numFmtId="0" xfId="0" applyAlignment="1" applyBorder="1" applyFont="1">
      <alignment readingOrder="0"/>
    </xf>
    <xf borderId="1" fillId="11" fontId="47" numFmtId="3" xfId="0" applyBorder="1" applyFont="1" applyNumberFormat="1"/>
    <xf borderId="0" fillId="5" fontId="46" numFmtId="0" xfId="0" applyAlignment="1" applyFont="1">
      <alignment horizontal="right" readingOrder="0"/>
    </xf>
    <xf borderId="1" fillId="11" fontId="51" numFmtId="0" xfId="0" applyAlignment="1" applyBorder="1" applyFont="1">
      <alignment readingOrder="0"/>
    </xf>
    <xf borderId="1" fillId="11" fontId="42" numFmtId="0" xfId="0" applyAlignment="1" applyBorder="1" applyFont="1">
      <alignment horizontal="right"/>
    </xf>
    <xf borderId="0" fillId="0" fontId="8" numFmtId="0" xfId="0" applyAlignment="1" applyFont="1">
      <alignment readingOrder="0"/>
    </xf>
    <xf borderId="0" fillId="5" fontId="47" numFmtId="3" xfId="0" applyAlignment="1" applyFont="1" applyNumberFormat="1">
      <alignment horizontal="right" readingOrder="0"/>
    </xf>
    <xf borderId="0" fillId="11" fontId="47" numFmtId="0" xfId="0" applyFont="1"/>
    <xf borderId="0" fillId="11" fontId="47" numFmtId="3" xfId="0" applyAlignment="1" applyFont="1" applyNumberFormat="1">
      <alignment readingOrder="0"/>
    </xf>
    <xf borderId="0" fillId="5" fontId="47" numFmtId="0" xfId="0" applyFont="1"/>
    <xf borderId="0" fillId="5" fontId="47" numFmtId="3" xfId="0" applyAlignment="1" applyFont="1" applyNumberFormat="1">
      <alignment readingOrder="0"/>
    </xf>
    <xf borderId="0" fillId="5" fontId="47" numFmtId="0" xfId="0" applyAlignment="1" applyFont="1">
      <alignment readingOrder="0"/>
    </xf>
    <xf borderId="0" fillId="11" fontId="47" numFmtId="0" xfId="0" applyAlignment="1" applyFont="1">
      <alignment readingOrder="0"/>
    </xf>
    <xf borderId="0" fillId="5" fontId="47" numFmtId="3" xfId="0" applyFont="1" applyNumberFormat="1"/>
    <xf borderId="0" fillId="2" fontId="55" numFmtId="164" xfId="0" applyAlignment="1" applyFont="1" applyNumberFormat="1">
      <alignment horizontal="center" shrinkToFit="0" vertical="center" wrapText="1"/>
    </xf>
    <xf borderId="0" fillId="2" fontId="55" numFmtId="0" xfId="0" applyAlignment="1" applyFont="1">
      <alignment horizontal="center" readingOrder="0" shrinkToFit="0" vertical="center" wrapText="1"/>
    </xf>
    <xf borderId="0" fillId="2" fontId="55" numFmtId="0" xfId="0" applyAlignment="1" applyFont="1">
      <alignment horizontal="center" shrinkToFit="0" vertical="center" wrapText="1"/>
    </xf>
    <xf borderId="0" fillId="2" fontId="55" numFmtId="4" xfId="0" applyAlignment="1" applyFont="1" applyNumberFormat="1">
      <alignment horizontal="center" shrinkToFit="0" vertical="center" wrapText="1"/>
    </xf>
    <xf borderId="0" fillId="2" fontId="22" numFmtId="3" xfId="0" applyAlignment="1" applyFont="1" applyNumberFormat="1">
      <alignment horizontal="center" shrinkToFit="0" vertical="center" wrapText="1"/>
    </xf>
    <xf borderId="0" fillId="2" fontId="55" numFmtId="3" xfId="0" applyAlignment="1" applyFont="1" applyNumberFormat="1">
      <alignment horizontal="center" shrinkToFit="0" vertical="center" wrapText="1"/>
    </xf>
    <xf borderId="2" fillId="2" fontId="55" numFmtId="0" xfId="0" applyAlignment="1" applyBorder="1" applyFont="1">
      <alignment horizontal="center" readingOrder="0" shrinkToFit="0" vertical="center" wrapText="1"/>
    </xf>
    <xf borderId="0" fillId="0" fontId="35" numFmtId="164" xfId="0" applyAlignment="1" applyFont="1" applyNumberFormat="1">
      <alignment readingOrder="0" vertical="center"/>
    </xf>
    <xf borderId="0" fillId="0" fontId="35" numFmtId="0" xfId="0" applyAlignment="1" applyFont="1">
      <alignment readingOrder="0" vertical="center"/>
    </xf>
    <xf borderId="0" fillId="0" fontId="35" numFmtId="170" xfId="0" applyAlignment="1" applyFont="1" applyNumberFormat="1">
      <alignment readingOrder="0" vertical="center"/>
    </xf>
    <xf borderId="0" fillId="0" fontId="35" numFmtId="3" xfId="0" applyAlignment="1" applyFont="1" applyNumberFormat="1">
      <alignment vertical="center"/>
    </xf>
    <xf borderId="0" fillId="0" fontId="35" numFmtId="164" xfId="0" applyAlignment="1" applyFont="1" applyNumberFormat="1">
      <alignment vertical="center"/>
    </xf>
    <xf borderId="0" fillId="0" fontId="35" numFmtId="0" xfId="0" applyAlignment="1" applyFont="1">
      <alignment vertical="center"/>
    </xf>
    <xf borderId="1" fillId="0" fontId="47" numFmtId="0" xfId="0" applyAlignment="1" applyBorder="1" applyFont="1">
      <alignment horizontal="center" readingOrder="0" shrinkToFit="0" vertical="center" wrapText="1"/>
    </xf>
    <xf borderId="1" fillId="0" fontId="47" numFmtId="14" xfId="0" applyAlignment="1" applyBorder="1" applyFont="1" applyNumberFormat="1">
      <alignment horizontal="center" shrinkToFit="0" vertical="center" wrapText="1"/>
    </xf>
    <xf borderId="1" fillId="0" fontId="47" numFmtId="14" xfId="0" applyAlignment="1" applyBorder="1" applyFont="1" applyNumberFormat="1">
      <alignment horizontal="left" shrinkToFit="0" vertical="center" wrapText="1"/>
    </xf>
    <xf borderId="1" fillId="0" fontId="47" numFmtId="14" xfId="0" applyAlignment="1" applyBorder="1" applyFont="1" applyNumberFormat="1">
      <alignment horizontal="right" shrinkToFit="0" vertical="center" wrapText="1"/>
    </xf>
    <xf borderId="1" fillId="0" fontId="47" numFmtId="0" xfId="0" applyAlignment="1" applyBorder="1" applyFont="1">
      <alignment horizontal="center" shrinkToFit="0" vertical="center" wrapText="1"/>
    </xf>
    <xf borderId="0" fillId="12" fontId="56" numFmtId="38" xfId="0" applyFill="1" applyFont="1" applyNumberFormat="1"/>
    <xf borderId="0" fillId="0" fontId="56" numFmtId="0" xfId="0" applyAlignment="1" applyFont="1">
      <alignment horizontal="center" shrinkToFit="0" vertical="center" wrapText="1"/>
    </xf>
    <xf borderId="0" fillId="0" fontId="56" numFmtId="0" xfId="0" applyFont="1"/>
    <xf borderId="3" fillId="0" fontId="47" numFmtId="0" xfId="0" applyAlignment="1" applyBorder="1" applyFont="1">
      <alignment horizontal="center" shrinkToFit="0" vertical="center" wrapText="0"/>
    </xf>
    <xf borderId="8" fillId="0" fontId="47" numFmtId="14" xfId="0" applyAlignment="1" applyBorder="1" applyFont="1" applyNumberFormat="1">
      <alignment horizontal="center" shrinkToFit="0" vertical="center" wrapText="1"/>
    </xf>
    <xf borderId="1" fillId="0" fontId="56" numFmtId="0" xfId="0" applyAlignment="1" applyBorder="1" applyFont="1">
      <alignment horizontal="center" shrinkToFit="0" vertical="center" wrapText="1"/>
    </xf>
    <xf borderId="0" fillId="12" fontId="56" numFmtId="3" xfId="0" applyAlignment="1" applyFont="1" applyNumberFormat="1">
      <alignment horizontal="center" shrinkToFit="0" vertical="center" wrapText="1"/>
    </xf>
    <xf borderId="0" fillId="12" fontId="56" numFmtId="3" xfId="0" applyAlignment="1" applyFont="1" applyNumberFormat="1">
      <alignment horizontal="right" shrinkToFit="0" vertical="center" wrapText="1"/>
    </xf>
    <xf borderId="0" fillId="0" fontId="56" numFmtId="0" xfId="0" applyFont="1"/>
    <xf borderId="1" fillId="0" fontId="42" numFmtId="14" xfId="0" applyAlignment="1" applyBorder="1" applyFont="1" applyNumberFormat="1">
      <alignment horizontal="center" shrinkToFit="0" vertical="center" wrapText="1"/>
    </xf>
    <xf borderId="1" fillId="0" fontId="42" numFmtId="14" xfId="0" applyAlignment="1" applyBorder="1" applyFont="1" applyNumberFormat="1">
      <alignment horizontal="left" shrinkToFit="0" vertical="center" wrapText="1"/>
    </xf>
    <xf borderId="1" fillId="0" fontId="42" numFmtId="14" xfId="0" applyAlignment="1" applyBorder="1" applyFont="1" applyNumberFormat="1">
      <alignment horizontal="right" shrinkToFit="0" vertical="center" wrapText="1"/>
    </xf>
    <xf borderId="1" fillId="0" fontId="42" numFmtId="164" xfId="0" applyAlignment="1" applyBorder="1" applyFont="1" applyNumberFormat="1">
      <alignment horizontal="center" readingOrder="0" shrinkToFit="0" vertical="center" wrapText="1"/>
    </xf>
    <xf borderId="1" fillId="12" fontId="47" numFmtId="0" xfId="0" applyAlignment="1" applyBorder="1" applyFont="1">
      <alignment horizontal="center" shrinkToFit="0" vertical="center" wrapText="1"/>
    </xf>
    <xf borderId="9" fillId="0" fontId="47" numFmtId="0" xfId="0" applyAlignment="1" applyBorder="1" applyFont="1">
      <alignment horizontal="center" shrinkToFit="0" vertical="center" wrapText="1"/>
    </xf>
    <xf borderId="9" fillId="12" fontId="47" numFmtId="0" xfId="0" applyAlignment="1" applyBorder="1" applyFont="1">
      <alignment horizontal="center" shrinkToFit="0" vertical="center" wrapText="1"/>
    </xf>
    <xf borderId="9" fillId="12" fontId="47" numFmtId="4" xfId="0" applyAlignment="1" applyBorder="1" applyFont="1" applyNumberFormat="1">
      <alignment horizontal="center" shrinkToFit="0" vertical="center" wrapText="1"/>
    </xf>
    <xf borderId="1" fillId="12" fontId="42" numFmtId="0" xfId="0" applyAlignment="1" applyBorder="1" applyFont="1">
      <alignment horizontal="center" shrinkToFit="0" vertical="center" wrapText="1"/>
    </xf>
    <xf borderId="1" fillId="0" fontId="56" numFmtId="38" xfId="0" applyAlignment="1" applyBorder="1" applyFont="1" applyNumberFormat="1">
      <alignment horizontal="center" shrinkToFit="0" vertical="center" wrapText="1"/>
    </xf>
    <xf borderId="1" fillId="4" fontId="56" numFmtId="0" xfId="0" applyAlignment="1" applyBorder="1" applyFont="1">
      <alignment horizontal="center" shrinkToFit="0" wrapText="1"/>
    </xf>
    <xf borderId="1" fillId="12" fontId="56" numFmtId="38" xfId="0" applyAlignment="1" applyBorder="1" applyFont="1" applyNumberFormat="1">
      <alignment horizontal="center" shrinkToFit="0" vertical="center" wrapText="1"/>
    </xf>
    <xf borderId="1" fillId="0" fontId="56" numFmtId="38" xfId="0" applyAlignment="1" applyBorder="1" applyFont="1" applyNumberFormat="1">
      <alignment horizontal="center" readingOrder="0" shrinkToFit="0" vertical="center" wrapText="1"/>
    </xf>
    <xf borderId="1" fillId="0" fontId="42" numFmtId="38" xfId="0" applyAlignment="1" applyBorder="1" applyFont="1" applyNumberFormat="1">
      <alignment horizontal="center" shrinkToFit="0" vertical="center" wrapText="1"/>
    </xf>
    <xf borderId="1" fillId="4" fontId="56" numFmtId="0" xfId="0" applyAlignment="1" applyBorder="1" applyFont="1">
      <alignment horizontal="center" shrinkToFit="0" wrapText="1"/>
    </xf>
    <xf borderId="1" fillId="0" fontId="42" numFmtId="0" xfId="0" applyAlignment="1" applyBorder="1" applyFont="1">
      <alignment horizontal="center" shrinkToFit="0" vertical="center" wrapText="1"/>
    </xf>
    <xf borderId="1" fillId="12" fontId="56" numFmtId="38" xfId="0" applyAlignment="1" applyBorder="1" applyFont="1" applyNumberFormat="1">
      <alignment horizontal="center" shrinkToFit="0" wrapText="1"/>
    </xf>
    <xf borderId="0" fillId="5" fontId="57" numFmtId="38" xfId="0" applyFont="1" applyNumberFormat="1"/>
    <xf borderId="1" fillId="12" fontId="42" numFmtId="3" xfId="0" applyAlignment="1" applyBorder="1" applyFont="1" applyNumberFormat="1">
      <alignment horizontal="center" shrinkToFit="0" vertical="center" wrapText="1"/>
    </xf>
    <xf borderId="1" fillId="5" fontId="56" numFmtId="0" xfId="0" applyAlignment="1" applyBorder="1" applyFont="1">
      <alignment horizontal="center" shrinkToFit="0" wrapText="1"/>
    </xf>
    <xf borderId="1" fillId="5" fontId="56" numFmtId="0" xfId="0" applyAlignment="1" applyBorder="1" applyFont="1">
      <alignment horizontal="center" shrinkToFit="0" wrapText="1"/>
    </xf>
    <xf borderId="6" fillId="12" fontId="56" numFmtId="38" xfId="0" applyAlignment="1" applyBorder="1" applyFont="1" applyNumberFormat="1">
      <alignment horizontal="center" shrinkToFit="0" wrapText="1"/>
    </xf>
    <xf borderId="1" fillId="0" fontId="56" numFmtId="0" xfId="0" applyAlignment="1" applyBorder="1" applyFont="1">
      <alignment horizontal="center" readingOrder="0" shrinkToFit="0" vertical="center" wrapText="1"/>
    </xf>
    <xf borderId="1" fillId="5" fontId="56" numFmtId="0" xfId="0" applyAlignment="1" applyBorder="1" applyFont="1">
      <alignment horizontal="center" readingOrder="0" shrinkToFit="0" wrapText="1"/>
    </xf>
    <xf borderId="1" fillId="5" fontId="56" numFmtId="0" xfId="0" applyAlignment="1" applyBorder="1" applyFont="1">
      <alignment horizontal="center" shrinkToFit="0" vertical="bottom" wrapText="1"/>
    </xf>
    <xf borderId="1" fillId="4" fontId="56" numFmtId="0" xfId="0" applyAlignment="1" applyBorder="1" applyFont="1">
      <alignment horizontal="center" shrinkToFit="0" vertical="bottom" wrapText="1"/>
    </xf>
    <xf borderId="1" fillId="4" fontId="56" numFmtId="0" xfId="0" applyAlignment="1" applyBorder="1" applyFont="1">
      <alignment horizontal="center" readingOrder="0" shrinkToFit="0" vertical="bottom" wrapText="1"/>
    </xf>
    <xf borderId="1" fillId="4" fontId="56" numFmtId="0" xfId="0" applyAlignment="1" applyBorder="1" applyFont="1">
      <alignment horizontal="center" readingOrder="0" shrinkToFit="0" wrapText="1"/>
    </xf>
    <xf borderId="1" fillId="5" fontId="56" numFmtId="0" xfId="0" applyAlignment="1" applyBorder="1" applyFont="1">
      <alignment horizontal="center" readingOrder="0" shrinkToFit="0" vertical="bottom" wrapText="1"/>
    </xf>
    <xf borderId="1" fillId="0" fontId="56" numFmtId="38" xfId="0" applyAlignment="1" applyBorder="1" applyFont="1" applyNumberFormat="1">
      <alignment horizontal="center" shrinkToFit="0" vertical="center" wrapText="1"/>
    </xf>
    <xf borderId="1" fillId="0" fontId="56" numFmtId="38" xfId="0" applyAlignment="1" applyBorder="1" applyFont="1" applyNumberFormat="1">
      <alignment horizontal="center" readingOrder="0" shrinkToFit="0" vertical="center" wrapText="1"/>
    </xf>
    <xf borderId="1" fillId="0" fontId="42" numFmtId="38" xfId="0" applyAlignment="1" applyBorder="1" applyFont="1" applyNumberFormat="1">
      <alignment horizontal="center" shrinkToFit="0" vertical="center" wrapText="1"/>
    </xf>
    <xf borderId="1" fillId="0" fontId="56" numFmtId="0" xfId="0" applyAlignment="1" applyBorder="1" applyFont="1">
      <alignment horizontal="center" readingOrder="0" shrinkToFit="0" vertical="center" wrapText="1"/>
    </xf>
    <xf borderId="1" fillId="0" fontId="56" numFmtId="0" xfId="0" applyAlignment="1" applyBorder="1" applyFont="1">
      <alignment horizontal="center" readingOrder="0" shrinkToFit="0" wrapText="1"/>
    </xf>
    <xf borderId="1" fillId="0" fontId="42" numFmtId="0" xfId="0" applyAlignment="1" applyBorder="1" applyFont="1">
      <alignment horizontal="center" shrinkToFit="0" vertical="center" wrapText="1"/>
    </xf>
    <xf borderId="6" fillId="0" fontId="56" numFmtId="38" xfId="0" applyAlignment="1" applyBorder="1" applyFont="1" applyNumberFormat="1">
      <alignment horizontal="center" readingOrder="0" shrinkToFit="0" wrapText="1"/>
    </xf>
    <xf borderId="0" fillId="0" fontId="57" numFmtId="38" xfId="0" applyFont="1" applyNumberFormat="1"/>
    <xf borderId="1" fillId="0" fontId="42" numFmtId="3" xfId="0" applyAlignment="1" applyBorder="1" applyFont="1" applyNumberFormat="1">
      <alignment horizontal="center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6" fillId="4" fontId="56" numFmtId="0" xfId="0" applyAlignment="1" applyBorder="1" applyFont="1">
      <alignment horizontal="center" shrinkToFit="0" vertical="bottom" wrapText="1"/>
    </xf>
    <xf borderId="6" fillId="5" fontId="56" numFmtId="0" xfId="0" applyAlignment="1" applyBorder="1" applyFont="1">
      <alignment horizontal="center" shrinkToFit="0" vertical="bottom" wrapText="1"/>
    </xf>
    <xf borderId="0" fillId="4" fontId="56" numFmtId="0" xfId="0" applyAlignment="1" applyFont="1">
      <alignment horizontal="center" vertical="bottom"/>
    </xf>
    <xf borderId="0" fillId="0" fontId="56" numFmtId="0" xfId="0" applyAlignment="1" applyFont="1">
      <alignment horizontal="center" readingOrder="0"/>
    </xf>
    <xf borderId="1" fillId="9" fontId="56" numFmtId="0" xfId="0" applyAlignment="1" applyBorder="1" applyFont="1">
      <alignment horizontal="center"/>
    </xf>
    <xf borderId="1" fillId="9" fontId="56" numFmtId="38" xfId="0" applyAlignment="1" applyBorder="1" applyFont="1" applyNumberFormat="1">
      <alignment horizontal="center"/>
    </xf>
    <xf borderId="1" fillId="9" fontId="56" numFmtId="0" xfId="0" applyBorder="1" applyFont="1"/>
    <xf borderId="1" fillId="9" fontId="56" numFmtId="1" xfId="0" applyBorder="1" applyFont="1" applyNumberFormat="1"/>
    <xf borderId="1" fillId="0" fontId="56" numFmtId="0" xfId="0" applyAlignment="1" applyBorder="1" applyFont="1">
      <alignment horizontal="center" vertical="bottom"/>
    </xf>
    <xf borderId="1" fillId="0" fontId="56" numFmtId="0" xfId="0" applyAlignment="1" applyBorder="1" applyFont="1">
      <alignment readingOrder="0"/>
    </xf>
    <xf borderId="1" fillId="0" fontId="56" numFmtId="0" xfId="0" applyBorder="1" applyFont="1"/>
    <xf borderId="1" fillId="0" fontId="56" numFmtId="0" xfId="0" applyAlignment="1" applyBorder="1" applyFont="1">
      <alignment horizontal="center" readingOrder="0"/>
    </xf>
    <xf borderId="1" fillId="0" fontId="56" numFmtId="0" xfId="0" applyAlignment="1" applyBorder="1" applyFont="1">
      <alignment horizontal="center"/>
    </xf>
    <xf borderId="1" fillId="0" fontId="56" numFmtId="1" xfId="0" applyBorder="1" applyFont="1" applyNumberFormat="1"/>
    <xf borderId="1" fillId="0" fontId="56" numFmtId="38" xfId="0" applyAlignment="1" applyBorder="1" applyFont="1" applyNumberFormat="1">
      <alignment horizontal="center"/>
    </xf>
    <xf borderId="1" fillId="0" fontId="56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vertical="bottom"/>
    </xf>
    <xf borderId="0" fillId="0" fontId="56" numFmtId="0" xfId="0" applyAlignment="1" applyFont="1">
      <alignment horizontal="center"/>
    </xf>
    <xf borderId="0" fillId="0" fontId="56" numFmtId="1" xfId="0" applyFont="1" applyNumberFormat="1"/>
    <xf borderId="0" fillId="0" fontId="21" numFmtId="0" xfId="0" applyAlignment="1" applyFont="1">
      <alignment vertical="bottom"/>
    </xf>
    <xf borderId="0" fillId="3" fontId="55" numFmtId="0" xfId="0" applyFont="1"/>
    <xf borderId="0" fillId="0" fontId="55" numFmtId="0" xfId="0" applyAlignment="1" applyFont="1">
      <alignment shrinkToFit="0" vertical="bottom" wrapText="1"/>
    </xf>
    <xf borderId="0" fillId="0" fontId="55" numFmtId="0" xfId="0" applyFont="1"/>
    <xf borderId="0" fillId="0" fontId="55" numFmtId="0" xfId="0" applyAlignment="1" applyFont="1">
      <alignment vertical="bottom"/>
    </xf>
    <xf borderId="0" fillId="0" fontId="55" numFmtId="0" xfId="0" applyAlignment="1" applyFont="1">
      <alignment readingOrder="0"/>
    </xf>
    <xf borderId="1" fillId="5" fontId="58" numFmtId="0" xfId="0" applyAlignment="1" applyBorder="1" applyFont="1">
      <alignment horizontal="center" vertical="center"/>
    </xf>
    <xf borderId="1" fillId="3" fontId="58" numFmtId="3" xfId="0" applyAlignment="1" applyBorder="1" applyFont="1" applyNumberFormat="1">
      <alignment horizontal="center" vertical="center"/>
    </xf>
    <xf borderId="1" fillId="0" fontId="58" numFmtId="0" xfId="0" applyAlignment="1" applyBorder="1" applyFont="1">
      <alignment horizontal="center" vertical="center"/>
    </xf>
    <xf borderId="1" fillId="0" fontId="58" numFmtId="0" xfId="0" applyAlignment="1" applyBorder="1" applyFont="1">
      <alignment horizontal="center" readingOrder="0" vertical="center"/>
    </xf>
    <xf borderId="1" fillId="12" fontId="56" numFmtId="0" xfId="0" applyAlignment="1" applyBorder="1" applyFont="1">
      <alignment horizontal="center" shrinkToFit="0" vertical="center" wrapText="1"/>
    </xf>
    <xf borderId="1" fillId="12" fontId="56" numFmtId="1" xfId="0" applyAlignment="1" applyBorder="1" applyFont="1" applyNumberFormat="1">
      <alignment horizontal="center" shrinkToFit="0" vertical="center" wrapText="1"/>
    </xf>
    <xf borderId="1" fillId="0" fontId="56" numFmtId="0" xfId="0" applyAlignment="1" applyBorder="1" applyFont="1">
      <alignment horizontal="center" vertical="center"/>
    </xf>
    <xf borderId="1" fillId="0" fontId="56" numFmtId="1" xfId="0" applyAlignment="1" applyBorder="1" applyFont="1" applyNumberFormat="1">
      <alignment horizontal="center" vertical="center"/>
    </xf>
    <xf borderId="1" fillId="0" fontId="56" numFmtId="38" xfId="0" applyAlignment="1" applyBorder="1" applyFont="1" applyNumberFormat="1">
      <alignment horizontal="center" vertical="center"/>
    </xf>
    <xf borderId="0" fillId="0" fontId="56" numFmtId="0" xfId="0" applyAlignment="1" applyFont="1">
      <alignment horizontal="center" vertical="center"/>
    </xf>
    <xf borderId="0" fillId="0" fontId="56" numFmtId="38" xfId="0" applyAlignment="1" applyFont="1" applyNumberFormat="1">
      <alignment horizontal="center" vertical="center"/>
    </xf>
    <xf borderId="0" fillId="0" fontId="56" numFmtId="1" xfId="0" applyAlignment="1" applyFont="1" applyNumberFormat="1">
      <alignment horizontal="center" vertical="center"/>
    </xf>
    <xf borderId="0" fillId="6" fontId="55" numFmtId="0" xfId="0" applyAlignment="1" applyFont="1">
      <alignment vertical="bottom"/>
    </xf>
    <xf borderId="0" fillId="6" fontId="21" numFmtId="0" xfId="0" applyAlignment="1" applyFont="1">
      <alignment vertical="bottom"/>
    </xf>
    <xf borderId="0" fillId="4" fontId="35" numFmtId="0" xfId="0" applyAlignment="1" applyFont="1">
      <alignment horizontal="right" readingOrder="0" vertical="bottom"/>
    </xf>
    <xf borderId="0" fillId="4" fontId="35" numFmtId="0" xfId="0" applyAlignment="1" applyFont="1">
      <alignment readingOrder="0" vertical="bottom"/>
    </xf>
    <xf borderId="0" fillId="4" fontId="35" numFmtId="0" xfId="0" applyAlignment="1" applyFont="1">
      <alignment horizontal="right" vertical="bottom"/>
    </xf>
    <xf borderId="0" fillId="4" fontId="21" numFmtId="0" xfId="0" applyAlignment="1" applyFont="1">
      <alignment vertical="bottom"/>
    </xf>
    <xf borderId="0" fillId="0" fontId="35" numFmtId="0" xfId="0" applyAlignment="1" applyFont="1">
      <alignment horizontal="right" readingOrder="0" vertical="bottom"/>
    </xf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horizontal="right" vertical="bottom"/>
    </xf>
    <xf borderId="0" fillId="4" fontId="35" numFmtId="0" xfId="0" applyAlignment="1" applyFont="1">
      <alignment vertical="bottom"/>
    </xf>
    <xf borderId="0" fillId="0" fontId="3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BC Vat Tu-style">
      <tableStyleElement dxfId="2" type="headerRow"/>
      <tableStyleElement dxfId="3" type="firstRowStripe"/>
      <tableStyleElement dxfId="4" type="secondRowStripe"/>
    </tableStyle>
    <tableStyle count="3" pivot="0" name="DM benh-style">
      <tableStyleElement dxfId="2" type="headerRow"/>
      <tableStyleElement dxfId="3" type="firstRowStripe"/>
      <tableStyleElement dxfId="4" type="secondRowStripe"/>
    </tableStyle>
    <tableStyle count="3" pivot="0" name="Ma hang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202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C Vat T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D63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M be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D393" displayName="Table_3" name="Table_3" id="3">
  <tableColumns count="4">
    <tableColumn name="Mã Hàng" id="1"/>
    <tableColumn name="Tên hàng" id="2"/>
    <tableColumn name="Đơn vị Tính" id="3"/>
    <tableColumn name="Giá nhập TB" id="4"/>
  </tableColumns>
  <tableStyleInfo name="Ma ha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yEsKu3EMT_o1gfopKM8FAT3y4j4rENhR6GH49MzHc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1.29"/>
    <col customWidth="1" min="2" max="2" width="7.71"/>
    <col customWidth="1" min="3" max="3" width="16.43"/>
    <col customWidth="1" min="4" max="4" width="20.86"/>
    <col customWidth="1" min="5" max="5" width="24.0"/>
    <col customWidth="1" min="6" max="6" width="6.57"/>
    <col customWidth="1" min="7" max="7" width="9.29"/>
    <col customWidth="1" min="8" max="8" width="5.29"/>
    <col customWidth="1" min="9" max="9" width="27.86"/>
    <col customWidth="1" min="10" max="10" width="6.43"/>
    <col customWidth="1" min="11" max="11" width="5.71"/>
    <col customWidth="1" min="12" max="12" width="8.0"/>
    <col customWidth="1" min="13" max="13" width="9.86"/>
    <col customWidth="1" min="14" max="14" width="10.14"/>
    <col customWidth="1" min="15" max="15" width="13.0"/>
    <col customWidth="1" min="16" max="16" width="11.71"/>
    <col customWidth="1" min="17" max="17" width="16.14"/>
  </cols>
  <sheetData>
    <row r="1" ht="32.25" customHeight="1">
      <c r="A1" s="1"/>
      <c r="B1" s="2" t="s">
        <v>0</v>
      </c>
      <c r="C1" s="3"/>
      <c r="D1" s="4"/>
      <c r="E1" s="5" t="s">
        <v>1</v>
      </c>
      <c r="F1" s="4">
        <f>SUMIFS(L4:L3085, I4:I3085, "CBC")</f>
        <v>4070</v>
      </c>
      <c r="G1" s="4" t="s">
        <v>2</v>
      </c>
      <c r="H1" s="6"/>
      <c r="I1" s="7">
        <f>countifs(I4:I3086,"CBC")</f>
        <v>21</v>
      </c>
      <c r="J1" s="8"/>
      <c r="K1" s="9"/>
      <c r="L1" s="9" t="s">
        <v>3</v>
      </c>
      <c r="M1" s="9">
        <f>O1-N1</f>
        <v>119414</v>
      </c>
      <c r="N1" s="7">
        <f>SUMIFS(M4:M3342, N4:N3342, "CK petshop thầy")</f>
        <v>2816</v>
      </c>
      <c r="O1" s="10">
        <f>SUM(M4:M2974)</f>
        <v>122230</v>
      </c>
      <c r="P1" s="11"/>
      <c r="Q1" s="9">
        <f>SUM(Q4:Q2974)</f>
        <v>122230</v>
      </c>
    </row>
    <row r="2" ht="44.25" customHeight="1">
      <c r="A2" s="11"/>
      <c r="B2" s="12"/>
      <c r="C2" s="3"/>
      <c r="D2" s="7"/>
      <c r="E2" s="5"/>
      <c r="F2" s="4"/>
      <c r="G2" s="4"/>
      <c r="H2" s="7"/>
      <c r="I2" s="13"/>
      <c r="J2" s="9"/>
      <c r="K2" s="12"/>
      <c r="L2" s="12"/>
      <c r="M2" s="9"/>
      <c r="N2" s="7"/>
      <c r="O2" s="10"/>
      <c r="P2" s="11"/>
      <c r="Q2" s="14"/>
    </row>
    <row r="3" ht="44.25" customHeight="1">
      <c r="A3" s="11" t="s">
        <v>4</v>
      </c>
      <c r="B3" s="12" t="s">
        <v>5</v>
      </c>
      <c r="C3" s="3" t="s">
        <v>6</v>
      </c>
      <c r="D3" s="7" t="s">
        <v>7</v>
      </c>
      <c r="E3" s="5" t="s">
        <v>8</v>
      </c>
      <c r="F3" s="4" t="s">
        <v>9</v>
      </c>
      <c r="G3" s="4" t="s">
        <v>10</v>
      </c>
      <c r="H3" s="7" t="s">
        <v>11</v>
      </c>
      <c r="I3" s="13" t="s">
        <v>12</v>
      </c>
      <c r="J3" s="9" t="s">
        <v>13</v>
      </c>
      <c r="K3" s="12" t="s">
        <v>14</v>
      </c>
      <c r="L3" s="12" t="s">
        <v>15</v>
      </c>
      <c r="M3" s="9" t="s">
        <v>16</v>
      </c>
      <c r="N3" s="7" t="s">
        <v>17</v>
      </c>
      <c r="O3" s="10" t="s">
        <v>18</v>
      </c>
      <c r="P3" s="11" t="s">
        <v>19</v>
      </c>
      <c r="Q3" s="14" t="s">
        <v>20</v>
      </c>
    </row>
    <row r="4" ht="25.5" customHeight="1">
      <c r="A4" s="15">
        <v>45962.0</v>
      </c>
      <c r="B4" s="16"/>
      <c r="C4" s="17"/>
      <c r="D4" s="18" t="s">
        <v>21</v>
      </c>
      <c r="E4" s="19" t="str">
        <f>vlookup($C4,CSDL!$A:$E,3,0)</f>
        <v>#N/A</v>
      </c>
      <c r="F4" s="19" t="str">
        <f>vlookup($C4,CSDL!$A:$E,4,0)</f>
        <v>#N/A</v>
      </c>
      <c r="G4" s="20" t="str">
        <f>vlookup($C4,CSDL!$A:$E,5,0)</f>
        <v>#N/A</v>
      </c>
      <c r="H4" s="16"/>
      <c r="I4" s="21" t="s">
        <v>22</v>
      </c>
      <c r="J4" s="21">
        <v>20.0</v>
      </c>
      <c r="K4" s="21">
        <v>3.0</v>
      </c>
      <c r="L4" s="22">
        <f t="shared" ref="L4:L29" si="1">K4*J4</f>
        <v>60</v>
      </c>
      <c r="M4" s="23">
        <v>60.0</v>
      </c>
      <c r="N4" s="21" t="s">
        <v>23</v>
      </c>
      <c r="O4" s="24"/>
      <c r="P4" s="15"/>
      <c r="Q4" s="25"/>
    </row>
    <row r="5" ht="25.5" customHeight="1">
      <c r="A5" s="26"/>
      <c r="B5" s="16"/>
      <c r="C5" s="17"/>
      <c r="D5" s="18" t="s">
        <v>21</v>
      </c>
      <c r="E5" s="19" t="str">
        <f>vlookup($C5,CSDL!$A:$E,3,0)</f>
        <v>#N/A</v>
      </c>
      <c r="F5" s="19" t="str">
        <f>vlookup($C5,CSDL!$A:$E,4,0)</f>
        <v>#N/A</v>
      </c>
      <c r="G5" s="27" t="str">
        <f>vlookup($C5,CSDL!$A:$E,5,0)</f>
        <v>#N/A</v>
      </c>
      <c r="H5" s="28"/>
      <c r="I5" s="29" t="s">
        <v>24</v>
      </c>
      <c r="J5" s="29">
        <v>30.0</v>
      </c>
      <c r="K5" s="29">
        <v>7.0</v>
      </c>
      <c r="L5" s="22">
        <f t="shared" si="1"/>
        <v>210</v>
      </c>
      <c r="M5" s="23">
        <v>250.0</v>
      </c>
      <c r="N5" s="29" t="s">
        <v>25</v>
      </c>
      <c r="O5" s="30" t="s">
        <v>26</v>
      </c>
      <c r="P5" s="31"/>
      <c r="Q5" s="32"/>
    </row>
    <row r="6" ht="25.5" customHeight="1">
      <c r="A6" s="33"/>
      <c r="B6" s="16"/>
      <c r="C6" s="17"/>
      <c r="D6" s="34" t="str">
        <f>vlookup($C6,CSDL!$A:$E,2,0)</f>
        <v>#N/A</v>
      </c>
      <c r="E6" s="19" t="str">
        <f>vlookup($C6,CSDL!$A:$E,3,0)</f>
        <v>#N/A</v>
      </c>
      <c r="F6" s="19" t="str">
        <f>vlookup($C6,CSDL!$A:$E,4,0)</f>
        <v>#N/A</v>
      </c>
      <c r="G6" s="20" t="str">
        <f>vlookup($C6,CSDL!$A:$E,5,0)</f>
        <v>#N/A</v>
      </c>
      <c r="H6" s="16"/>
      <c r="I6" s="23" t="s">
        <v>22</v>
      </c>
      <c r="J6" s="23">
        <v>40.0</v>
      </c>
      <c r="K6" s="23">
        <v>1.0</v>
      </c>
      <c r="L6" s="22">
        <f t="shared" si="1"/>
        <v>40</v>
      </c>
      <c r="M6" s="23"/>
      <c r="N6" s="23"/>
      <c r="O6" s="24"/>
      <c r="P6" s="15"/>
      <c r="Q6" s="25"/>
    </row>
    <row r="7" ht="25.5" customHeight="1">
      <c r="A7" s="26"/>
      <c r="B7" s="16"/>
      <c r="C7" s="17"/>
      <c r="D7" s="18" t="s">
        <v>21</v>
      </c>
      <c r="E7" s="19"/>
      <c r="F7" s="19"/>
      <c r="G7" s="27"/>
      <c r="H7" s="28"/>
      <c r="I7" s="29" t="s">
        <v>27</v>
      </c>
      <c r="J7" s="29">
        <v>50.0</v>
      </c>
      <c r="K7" s="29">
        <v>1.0</v>
      </c>
      <c r="L7" s="22">
        <f t="shared" si="1"/>
        <v>50</v>
      </c>
      <c r="M7" s="23">
        <v>50.0</v>
      </c>
      <c r="N7" s="29" t="s">
        <v>25</v>
      </c>
      <c r="O7" s="30" t="s">
        <v>28</v>
      </c>
      <c r="P7" s="31"/>
      <c r="Q7" s="32"/>
    </row>
    <row r="8" ht="25.5" customHeight="1">
      <c r="A8" s="33"/>
      <c r="B8" s="16">
        <v>1170.0</v>
      </c>
      <c r="C8" s="17" t="s">
        <v>29</v>
      </c>
      <c r="D8" s="34" t="str">
        <f>vlookup($C8,CSDL!$A:$E,2,0)</f>
        <v>ANh Trí</v>
      </c>
      <c r="E8" s="19" t="str">
        <f>vlookup($C8,CSDL!$A:$E,3,0)</f>
        <v>An NInh</v>
      </c>
      <c r="F8" s="19" t="str">
        <f>vlookup($C8,CSDL!$A:$E,4,0)</f>
        <v>n</v>
      </c>
      <c r="G8" s="20" t="str">
        <f>vlookup($C8,CSDL!$A:$E,5,0)</f>
        <v>Miu</v>
      </c>
      <c r="H8" s="16"/>
      <c r="I8" s="23" t="s">
        <v>30</v>
      </c>
      <c r="J8" s="23">
        <v>120.0</v>
      </c>
      <c r="K8" s="23">
        <v>1.0</v>
      </c>
      <c r="L8" s="22">
        <f t="shared" si="1"/>
        <v>120</v>
      </c>
      <c r="M8" s="23">
        <v>120.0</v>
      </c>
      <c r="N8" s="23" t="s">
        <v>25</v>
      </c>
      <c r="O8" s="24" t="s">
        <v>31</v>
      </c>
      <c r="P8" s="15"/>
      <c r="Q8" s="25"/>
    </row>
    <row r="9" ht="25.5" customHeight="1">
      <c r="A9" s="26"/>
      <c r="B9" s="16">
        <v>1171.0</v>
      </c>
      <c r="C9" s="17" t="s">
        <v>32</v>
      </c>
      <c r="D9" s="34" t="str">
        <f>vlookup($C9,CSDL!$A:$E,2,0)</f>
        <v/>
      </c>
      <c r="E9" s="19" t="str">
        <f>vlookup($C9,CSDL!$A:$E,3,0)</f>
        <v>Ngõ 29/245A Bùi Thị Xuân</v>
      </c>
      <c r="F9" s="19" t="str">
        <f>vlookup($C9,CSDL!$A:$E,4,0)</f>
        <v>Mèo</v>
      </c>
      <c r="G9" s="27" t="str">
        <f>vlookup($C9,CSDL!$A:$E,5,0)</f>
        <v/>
      </c>
      <c r="H9" s="28"/>
      <c r="I9" s="29" t="s">
        <v>33</v>
      </c>
      <c r="J9" s="29">
        <f>170+39</f>
        <v>209</v>
      </c>
      <c r="K9" s="29">
        <v>1.0</v>
      </c>
      <c r="L9" s="22">
        <f t="shared" si="1"/>
        <v>209</v>
      </c>
      <c r="M9" s="23">
        <v>219.0</v>
      </c>
      <c r="N9" s="29" t="s">
        <v>34</v>
      </c>
      <c r="O9" s="30" t="s">
        <v>35</v>
      </c>
      <c r="P9" s="31"/>
      <c r="Q9" s="32"/>
    </row>
    <row r="10" ht="25.5" customHeight="1">
      <c r="A10" s="33"/>
      <c r="B10" s="16">
        <v>1171.0</v>
      </c>
      <c r="C10" s="17"/>
      <c r="D10" s="34" t="str">
        <f>vlookup($C10,CSDL!$A:$E,2,0)</f>
        <v>#N/A</v>
      </c>
      <c r="E10" s="19" t="str">
        <f>vlookup($C10,CSDL!$A:$E,3,0)</f>
        <v>#N/A</v>
      </c>
      <c r="F10" s="19" t="str">
        <f>vlookup($C10,CSDL!$A:$E,4,0)</f>
        <v>#N/A</v>
      </c>
      <c r="G10" s="20" t="str">
        <f>vlookup($C10,CSDL!$A:$E,5,0)</f>
        <v>#N/A</v>
      </c>
      <c r="H10" s="16"/>
      <c r="I10" s="23" t="s">
        <v>22</v>
      </c>
      <c r="J10" s="23">
        <v>50.0</v>
      </c>
      <c r="K10" s="23">
        <v>1.0</v>
      </c>
      <c r="L10" s="22">
        <f t="shared" si="1"/>
        <v>50</v>
      </c>
      <c r="M10" s="23">
        <v>50.0</v>
      </c>
      <c r="N10" s="23" t="s">
        <v>25</v>
      </c>
      <c r="O10" s="24"/>
      <c r="P10" s="15"/>
      <c r="Q10" s="25"/>
    </row>
    <row r="11" ht="25.5" customHeight="1">
      <c r="A11" s="26"/>
      <c r="B11" s="16"/>
      <c r="C11" s="17"/>
      <c r="D11" s="18" t="s">
        <v>21</v>
      </c>
      <c r="E11" s="19" t="str">
        <f>vlookup($C11,CSDL!$A:$E,3,0)</f>
        <v>#N/A</v>
      </c>
      <c r="F11" s="19" t="str">
        <f>vlookup($C11,CSDL!$A:$E,4,0)</f>
        <v>#N/A</v>
      </c>
      <c r="G11" s="27" t="str">
        <f>vlookup($C11,CSDL!$A:$E,5,0)</f>
        <v>#N/A</v>
      </c>
      <c r="H11" s="28"/>
      <c r="I11" s="29" t="s">
        <v>33</v>
      </c>
      <c r="J11" s="29">
        <v>50.0</v>
      </c>
      <c r="K11" s="29">
        <v>1.0</v>
      </c>
      <c r="L11" s="22">
        <f t="shared" si="1"/>
        <v>50</v>
      </c>
      <c r="M11" s="23">
        <v>50.0</v>
      </c>
      <c r="N11" s="29" t="s">
        <v>34</v>
      </c>
      <c r="O11" s="30" t="s">
        <v>36</v>
      </c>
      <c r="P11" s="26"/>
      <c r="Q11" s="32"/>
    </row>
    <row r="12" ht="25.5" customHeight="1">
      <c r="A12" s="33"/>
      <c r="B12" s="16">
        <v>1172.0</v>
      </c>
      <c r="C12" s="17" t="s">
        <v>37</v>
      </c>
      <c r="D12" s="34" t="str">
        <f>vlookup($C12,CSDL!$A:$E,2,0)</f>
        <v>Em Thọ</v>
      </c>
      <c r="E12" s="19" t="str">
        <f>vlookup($C12,CSDL!$A:$E,3,0)</f>
        <v/>
      </c>
      <c r="F12" s="19" t="str">
        <f>vlookup($C12,CSDL!$A:$E,4,0)</f>
        <v/>
      </c>
      <c r="G12" s="20" t="str">
        <f>vlookup($C12,CSDL!$A:$E,5,0)</f>
        <v/>
      </c>
      <c r="H12" s="16"/>
      <c r="I12" s="23" t="s">
        <v>38</v>
      </c>
      <c r="J12" s="23">
        <v>150.0</v>
      </c>
      <c r="K12" s="23">
        <v>3.0</v>
      </c>
      <c r="L12" s="22">
        <f t="shared" si="1"/>
        <v>450</v>
      </c>
      <c r="M12" s="23">
        <v>450.0</v>
      </c>
      <c r="N12" s="23" t="s">
        <v>25</v>
      </c>
      <c r="O12" s="24" t="s">
        <v>39</v>
      </c>
      <c r="P12" s="15"/>
      <c r="Q12" s="25"/>
    </row>
    <row r="13" ht="25.5" customHeight="1">
      <c r="A13" s="31">
        <v>45963.0</v>
      </c>
      <c r="B13" s="28">
        <v>1101.0</v>
      </c>
      <c r="C13" s="17" t="s">
        <v>40</v>
      </c>
      <c r="D13" s="34" t="str">
        <f>vlookup($C13,CSDL!$A:$E,2,0)</f>
        <v>Sư Cô Thanh Nhã</v>
      </c>
      <c r="E13" s="19" t="str">
        <f>vlookup($C13,CSDL!$A:$E,3,0)</f>
        <v>Quảng Trị</v>
      </c>
      <c r="F13" s="19" t="str">
        <f>vlookup($C13,CSDL!$A:$E,4,0)</f>
        <v>Chó</v>
      </c>
      <c r="G13" s="35" t="s">
        <v>41</v>
      </c>
      <c r="H13" s="28"/>
      <c r="I13" s="29"/>
      <c r="J13" s="29"/>
      <c r="K13" s="29"/>
      <c r="L13" s="22">
        <f t="shared" si="1"/>
        <v>0</v>
      </c>
      <c r="M13" s="23">
        <v>4000.0</v>
      </c>
      <c r="N13" s="29" t="s">
        <v>25</v>
      </c>
      <c r="O13" s="30" t="s">
        <v>42</v>
      </c>
      <c r="P13" s="26"/>
      <c r="Q13" s="32"/>
    </row>
    <row r="14" ht="25.5" customHeight="1">
      <c r="A14" s="33"/>
      <c r="B14" s="16">
        <v>1101.0</v>
      </c>
      <c r="C14" s="17"/>
      <c r="D14" s="34" t="str">
        <f>vlookup($C14,CSDL!$A:$E,2,0)</f>
        <v>#N/A</v>
      </c>
      <c r="E14" s="19" t="str">
        <f>vlookup($C14,CSDL!$A:$E,3,0)</f>
        <v>#N/A</v>
      </c>
      <c r="F14" s="19" t="str">
        <f>vlookup($C14,CSDL!$A:$E,4,0)</f>
        <v>#N/A</v>
      </c>
      <c r="G14" s="20" t="str">
        <f>vlookup($C14,CSDL!$A:$E,5,0)</f>
        <v>#N/A</v>
      </c>
      <c r="H14" s="16"/>
      <c r="I14" s="23"/>
      <c r="J14" s="23"/>
      <c r="K14" s="23"/>
      <c r="L14" s="22">
        <f t="shared" si="1"/>
        <v>0</v>
      </c>
      <c r="M14" s="23">
        <v>300.0</v>
      </c>
      <c r="N14" s="23" t="s">
        <v>43</v>
      </c>
      <c r="O14" s="24"/>
      <c r="P14" s="15"/>
      <c r="Q14" s="25"/>
    </row>
    <row r="15" ht="25.5" customHeight="1">
      <c r="A15" s="31"/>
      <c r="B15" s="28">
        <v>1161.0</v>
      </c>
      <c r="C15" s="17" t="s">
        <v>44</v>
      </c>
      <c r="D15" s="34" t="str">
        <f>vlookup($C15,CSDL!$A:$E,2,0)</f>
        <v>Anh Cường</v>
      </c>
      <c r="E15" s="19" t="str">
        <f>vlookup($C15,CSDL!$A:$E,3,0)</f>
        <v>Hương Hồ</v>
      </c>
      <c r="F15" s="19" t="str">
        <f>vlookup($C15,CSDL!$A:$E,4,0)</f>
        <v>Chó</v>
      </c>
      <c r="G15" s="27" t="str">
        <f>vlookup($C15,CSDL!$A:$E,5,0)</f>
        <v>Nâu</v>
      </c>
      <c r="H15" s="28"/>
      <c r="I15" s="29"/>
      <c r="J15" s="29"/>
      <c r="K15" s="29"/>
      <c r="L15" s="22">
        <f t="shared" si="1"/>
        <v>0</v>
      </c>
      <c r="M15" s="23">
        <v>640.0</v>
      </c>
      <c r="N15" s="29" t="s">
        <v>25</v>
      </c>
      <c r="O15" s="30" t="s">
        <v>45</v>
      </c>
      <c r="P15" s="26"/>
      <c r="Q15" s="32"/>
    </row>
    <row r="16" ht="25.5" customHeight="1">
      <c r="A16" s="33"/>
      <c r="B16" s="16">
        <v>1173.0</v>
      </c>
      <c r="C16" s="17" t="s">
        <v>46</v>
      </c>
      <c r="D16" s="34" t="str">
        <f>vlookup($C16,CSDL!$A:$E,2,0)</f>
        <v>Chị Ánh Nguyệt</v>
      </c>
      <c r="E16" s="19" t="str">
        <f>vlookup($C16,CSDL!$A:$E,3,0)</f>
        <v>40 Lý Thái Tổ</v>
      </c>
      <c r="F16" s="19" t="str">
        <f>vlookup($C16,CSDL!$A:$E,4,0)</f>
        <v>Mèo</v>
      </c>
      <c r="G16" s="20" t="str">
        <f>vlookup($C16,CSDL!$A:$E,5,0)</f>
        <v>Sumo</v>
      </c>
      <c r="H16" s="16"/>
      <c r="I16" s="23" t="s">
        <v>24</v>
      </c>
      <c r="J16" s="23">
        <v>35.0</v>
      </c>
      <c r="K16" s="23">
        <v>1.0</v>
      </c>
      <c r="L16" s="22">
        <f t="shared" si="1"/>
        <v>35</v>
      </c>
      <c r="M16" s="23">
        <f>2571-36</f>
        <v>2535</v>
      </c>
      <c r="N16" s="23" t="s">
        <v>25</v>
      </c>
      <c r="O16" s="24" t="s">
        <v>47</v>
      </c>
      <c r="P16" s="15"/>
      <c r="Q16" s="25"/>
    </row>
    <row r="17" ht="25.5" customHeight="1">
      <c r="A17" s="28"/>
      <c r="B17" s="28">
        <v>1173.0</v>
      </c>
      <c r="C17" s="17"/>
      <c r="D17" s="34" t="str">
        <f>vlookup($C17,CSDL!$A:$E,2,0)</f>
        <v>#N/A</v>
      </c>
      <c r="E17" s="19" t="str">
        <f>vlookup($C17,CSDL!$A:$E,3,0)</f>
        <v>#N/A</v>
      </c>
      <c r="F17" s="19" t="str">
        <f>vlookup($C17,CSDL!$A:$E,4,0)</f>
        <v>#N/A</v>
      </c>
      <c r="G17" s="27" t="str">
        <f>vlookup($C17,CSDL!$A:$E,5,0)</f>
        <v>#N/A</v>
      </c>
      <c r="H17" s="28"/>
      <c r="I17" s="29" t="s">
        <v>38</v>
      </c>
      <c r="J17" s="29">
        <v>120.0</v>
      </c>
      <c r="K17" s="29">
        <v>3.0</v>
      </c>
      <c r="L17" s="22">
        <f t="shared" si="1"/>
        <v>360</v>
      </c>
      <c r="M17" s="23">
        <v>36.0</v>
      </c>
      <c r="N17" s="29" t="s">
        <v>34</v>
      </c>
      <c r="O17" s="30"/>
      <c r="P17" s="26"/>
      <c r="Q17" s="32"/>
    </row>
    <row r="18" ht="25.5" customHeight="1">
      <c r="A18" s="33"/>
      <c r="B18" s="16">
        <v>1173.0</v>
      </c>
      <c r="C18" s="17"/>
      <c r="D18" s="34" t="str">
        <f>vlookup($C18,CSDL!$A:$E,2,0)</f>
        <v>#N/A</v>
      </c>
      <c r="E18" s="19" t="str">
        <f>vlookup($C18,CSDL!$A:$E,3,0)</f>
        <v>#N/A</v>
      </c>
      <c r="F18" s="19" t="str">
        <f>vlookup($C18,CSDL!$A:$E,4,0)</f>
        <v>#N/A</v>
      </c>
      <c r="G18" s="20" t="str">
        <f>vlookup($C18,CSDL!$A:$E,5,0)</f>
        <v>#N/A</v>
      </c>
      <c r="H18" s="16"/>
      <c r="I18" s="23" t="s">
        <v>48</v>
      </c>
      <c r="J18" s="23">
        <v>150.0</v>
      </c>
      <c r="K18" s="23">
        <v>1.0</v>
      </c>
      <c r="L18" s="22">
        <f t="shared" si="1"/>
        <v>150</v>
      </c>
      <c r="M18" s="23"/>
      <c r="N18" s="23"/>
      <c r="O18" s="24"/>
      <c r="P18" s="15"/>
      <c r="Q18" s="25"/>
    </row>
    <row r="19" ht="25.5" customHeight="1">
      <c r="A19" s="26"/>
      <c r="B19" s="28">
        <v>1173.0</v>
      </c>
      <c r="C19" s="17"/>
      <c r="D19" s="34" t="str">
        <f>vlookup($C19,CSDL!$A:$E,2,0)</f>
        <v>#N/A</v>
      </c>
      <c r="E19" s="19" t="str">
        <f>vlookup($C19,CSDL!$A:$E,3,0)</f>
        <v>#N/A</v>
      </c>
      <c r="F19" s="19" t="str">
        <f>vlookup($C19,CSDL!$A:$E,4,0)</f>
        <v>#N/A</v>
      </c>
      <c r="G19" s="27" t="str">
        <f>vlookup($C19,CSDL!$A:$E,5,0)</f>
        <v>#N/A</v>
      </c>
      <c r="H19" s="28"/>
      <c r="I19" s="29" t="s">
        <v>49</v>
      </c>
      <c r="J19" s="29">
        <v>300.0</v>
      </c>
      <c r="K19" s="29">
        <v>1.0</v>
      </c>
      <c r="L19" s="22">
        <f t="shared" si="1"/>
        <v>300</v>
      </c>
      <c r="M19" s="23"/>
      <c r="N19" s="29"/>
      <c r="O19" s="30"/>
      <c r="P19" s="26"/>
      <c r="Q19" s="32"/>
    </row>
    <row r="20" ht="25.5" customHeight="1">
      <c r="A20" s="33"/>
      <c r="B20" s="16">
        <v>1173.0</v>
      </c>
      <c r="C20" s="17"/>
      <c r="D20" s="34" t="str">
        <f>vlookup($C20,CSDL!$A:$E,2,0)</f>
        <v>#N/A</v>
      </c>
      <c r="E20" s="19" t="str">
        <f>vlookup($C20,CSDL!$A:$E,3,0)</f>
        <v>#N/A</v>
      </c>
      <c r="F20" s="19" t="str">
        <f>vlookup($C20,CSDL!$A:$E,4,0)</f>
        <v>#N/A</v>
      </c>
      <c r="G20" s="20" t="str">
        <f>vlookup($C20,CSDL!$A:$E,5,0)</f>
        <v>#N/A</v>
      </c>
      <c r="H20" s="16"/>
      <c r="I20" s="23" t="s">
        <v>50</v>
      </c>
      <c r="J20" s="23">
        <v>1700.0</v>
      </c>
      <c r="K20" s="23">
        <v>1.0</v>
      </c>
      <c r="L20" s="22">
        <f t="shared" si="1"/>
        <v>1700</v>
      </c>
      <c r="M20" s="23"/>
      <c r="N20" s="23"/>
      <c r="O20" s="24"/>
      <c r="P20" s="33"/>
      <c r="Q20" s="25"/>
    </row>
    <row r="21" ht="25.5" customHeight="1">
      <c r="A21" s="26"/>
      <c r="B21" s="28">
        <v>1173.0</v>
      </c>
      <c r="C21" s="17"/>
      <c r="D21" s="34" t="str">
        <f>vlookup($C21,CSDL!$A:$E,2,0)</f>
        <v>#N/A</v>
      </c>
      <c r="E21" s="19" t="str">
        <f>vlookup($C21,CSDL!$A:$E,3,0)</f>
        <v>#N/A</v>
      </c>
      <c r="F21" s="19" t="str">
        <f>vlookup($C21,CSDL!$A:$E,4,0)</f>
        <v>#N/A</v>
      </c>
      <c r="G21" s="27" t="str">
        <f>vlookup($C21,CSDL!$A:$E,5,0)</f>
        <v>#N/A</v>
      </c>
      <c r="H21" s="28"/>
      <c r="I21" s="29" t="s">
        <v>33</v>
      </c>
      <c r="J21" s="29">
        <v>36.0</v>
      </c>
      <c r="K21" s="29">
        <v>1.0</v>
      </c>
      <c r="L21" s="22">
        <f t="shared" si="1"/>
        <v>36</v>
      </c>
      <c r="M21" s="23"/>
      <c r="N21" s="29"/>
      <c r="O21" s="30"/>
      <c r="P21" s="26"/>
      <c r="Q21" s="28"/>
    </row>
    <row r="22" ht="25.5" customHeight="1">
      <c r="A22" s="15">
        <v>45965.0</v>
      </c>
      <c r="B22" s="16">
        <v>1174.0</v>
      </c>
      <c r="C22" s="17" t="s">
        <v>51</v>
      </c>
      <c r="D22" s="34" t="str">
        <f>vlookup($C22,CSDL!$A:$E,2,0)</f>
        <v>Anh Dũng </v>
      </c>
      <c r="E22" s="19" t="str">
        <f>vlookup($C22,CSDL!$A:$E,3,0)</f>
        <v>57 Lê Duẩn</v>
      </c>
      <c r="F22" s="19" t="str">
        <f>vlookup($C22,CSDL!$A:$E,4,0)</f>
        <v>chó</v>
      </c>
      <c r="G22" s="20" t="str">
        <f>vlookup($C22,CSDL!$A:$E,5,0)</f>
        <v>Ken</v>
      </c>
      <c r="H22" s="16"/>
      <c r="I22" s="23" t="s">
        <v>52</v>
      </c>
      <c r="J22" s="23">
        <v>180.0</v>
      </c>
      <c r="K22" s="23">
        <v>1.0</v>
      </c>
      <c r="L22" s="22">
        <f t="shared" si="1"/>
        <v>180</v>
      </c>
      <c r="M22" s="23">
        <v>320.0</v>
      </c>
      <c r="N22" s="23" t="s">
        <v>43</v>
      </c>
      <c r="O22" s="24"/>
      <c r="P22" s="33"/>
      <c r="Q22" s="16"/>
    </row>
    <row r="23" ht="25.5" customHeight="1">
      <c r="A23" s="26"/>
      <c r="B23" s="28">
        <v>1174.0</v>
      </c>
      <c r="C23" s="17"/>
      <c r="D23" s="34" t="str">
        <f>vlookup($C23,CSDL!$A:$E,2,0)</f>
        <v>#N/A</v>
      </c>
      <c r="E23" s="19" t="str">
        <f>vlookup($C23,CSDL!$A:$E,3,0)</f>
        <v>#N/A</v>
      </c>
      <c r="F23" s="19" t="str">
        <f>vlookup($C23,CSDL!$A:$E,4,0)</f>
        <v>#N/A</v>
      </c>
      <c r="G23" s="27" t="str">
        <f>vlookup($C23,CSDL!$A:$E,5,0)</f>
        <v>#N/A</v>
      </c>
      <c r="H23" s="28"/>
      <c r="I23" s="29" t="s">
        <v>30</v>
      </c>
      <c r="J23" s="29">
        <v>100.0</v>
      </c>
      <c r="K23" s="29">
        <v>1.0</v>
      </c>
      <c r="L23" s="22">
        <f t="shared" si="1"/>
        <v>100</v>
      </c>
      <c r="M23" s="23"/>
      <c r="N23" s="29"/>
      <c r="O23" s="30"/>
      <c r="P23" s="26"/>
      <c r="Q23" s="32"/>
    </row>
    <row r="24" ht="25.5" customHeight="1">
      <c r="A24" s="15"/>
      <c r="B24" s="16">
        <v>1174.0</v>
      </c>
      <c r="C24" s="17"/>
      <c r="D24" s="34" t="str">
        <f>vlookup($C24,CSDL!$A:$E,2,0)</f>
        <v>#N/A</v>
      </c>
      <c r="E24" s="19" t="str">
        <f>vlookup($C24,CSDL!$A:$E,3,0)</f>
        <v>#N/A</v>
      </c>
      <c r="F24" s="19" t="str">
        <f>vlookup($C24,CSDL!$A:$E,4,0)</f>
        <v>#N/A</v>
      </c>
      <c r="G24" s="20" t="str">
        <f>vlookup($C24,CSDL!$A:$E,5,0)</f>
        <v>#N/A</v>
      </c>
      <c r="H24" s="16"/>
      <c r="I24" s="23" t="s">
        <v>22</v>
      </c>
      <c r="J24" s="23">
        <v>40.0</v>
      </c>
      <c r="K24" s="23">
        <v>1.0</v>
      </c>
      <c r="L24" s="22">
        <f t="shared" si="1"/>
        <v>40</v>
      </c>
      <c r="M24" s="23"/>
      <c r="N24" s="23"/>
      <c r="O24" s="24"/>
      <c r="P24" s="33"/>
      <c r="Q24" s="25"/>
    </row>
    <row r="25" ht="25.5" customHeight="1">
      <c r="A25" s="31"/>
      <c r="B25" s="28"/>
      <c r="C25" s="17"/>
      <c r="D25" s="18" t="s">
        <v>21</v>
      </c>
      <c r="E25" s="19"/>
      <c r="F25" s="19"/>
      <c r="G25" s="27"/>
      <c r="H25" s="28"/>
      <c r="I25" s="29" t="s">
        <v>53</v>
      </c>
      <c r="J25" s="29">
        <v>10.0</v>
      </c>
      <c r="K25" s="29">
        <v>1.0</v>
      </c>
      <c r="L25" s="22">
        <f t="shared" si="1"/>
        <v>10</v>
      </c>
      <c r="M25" s="23">
        <v>10.0</v>
      </c>
      <c r="N25" s="29" t="s">
        <v>25</v>
      </c>
      <c r="O25" s="30" t="s">
        <v>54</v>
      </c>
      <c r="P25" s="31"/>
      <c r="Q25" s="32"/>
    </row>
    <row r="26" ht="25.5" customHeight="1">
      <c r="A26" s="15"/>
      <c r="B26" s="16">
        <v>1175.0</v>
      </c>
      <c r="C26" s="17" t="s">
        <v>55</v>
      </c>
      <c r="D26" s="34" t="str">
        <f>vlookup($C26,CSDL!$A:$E,2,0)</f>
        <v/>
      </c>
      <c r="E26" s="19" t="str">
        <f>vlookup($C26,CSDL!$A:$E,3,0)</f>
        <v/>
      </c>
      <c r="F26" s="19" t="str">
        <f>vlookup($C26,CSDL!$A:$E,4,0)</f>
        <v/>
      </c>
      <c r="G26" s="20" t="str">
        <f>vlookup($C26,CSDL!$A:$E,5,0)</f>
        <v/>
      </c>
      <c r="H26" s="16"/>
      <c r="I26" s="23" t="s">
        <v>56</v>
      </c>
      <c r="J26" s="23">
        <v>1450.0</v>
      </c>
      <c r="K26" s="23">
        <v>1.0</v>
      </c>
      <c r="L26" s="22">
        <f t="shared" si="1"/>
        <v>1450</v>
      </c>
      <c r="M26" s="23">
        <v>1500.0</v>
      </c>
      <c r="N26" s="23" t="s">
        <v>25</v>
      </c>
      <c r="O26" s="24" t="s">
        <v>57</v>
      </c>
      <c r="P26" s="15"/>
      <c r="Q26" s="25"/>
    </row>
    <row r="27" ht="25.5" customHeight="1">
      <c r="B27" s="28">
        <v>1175.0</v>
      </c>
      <c r="C27" s="17"/>
      <c r="D27" s="34" t="str">
        <f>vlookup($C27,CSDL!$A:$E,2,0)</f>
        <v>#N/A</v>
      </c>
      <c r="E27" s="19" t="str">
        <f>vlookup($C27,CSDL!$A:$E,3,0)</f>
        <v>#N/A</v>
      </c>
      <c r="F27" s="19" t="str">
        <f>vlookup($C27,CSDL!$A:$E,4,0)</f>
        <v>#N/A</v>
      </c>
      <c r="G27" s="27" t="str">
        <f>vlookup($C27,CSDL!$A:$E,5,0)</f>
        <v>#N/A</v>
      </c>
      <c r="H27" s="28"/>
      <c r="I27" s="29"/>
      <c r="J27" s="29"/>
      <c r="K27" s="29"/>
      <c r="L27" s="22">
        <f t="shared" si="1"/>
        <v>0</v>
      </c>
      <c r="M27" s="23">
        <v>-50.0</v>
      </c>
      <c r="N27" s="29"/>
      <c r="O27" s="30"/>
      <c r="P27" s="26"/>
      <c r="Q27" s="28"/>
    </row>
    <row r="28" ht="25.5" customHeight="1">
      <c r="A28" s="33"/>
      <c r="B28" s="16">
        <v>1176.0</v>
      </c>
      <c r="C28" s="17" t="s">
        <v>58</v>
      </c>
      <c r="D28" s="34" t="str">
        <f>vlookup($C28,CSDL!$A:$E,2,0)</f>
        <v>Em Bảo Uyên</v>
      </c>
      <c r="E28" s="19" t="str">
        <f>vlookup($C28,CSDL!$A:$E,3,0)</f>
        <v>180 Lý Nam Đế</v>
      </c>
      <c r="F28" s="19" t="str">
        <f>vlookup($C28,CSDL!$A:$E,4,0)</f>
        <v>Chó </v>
      </c>
      <c r="G28" s="20" t="str">
        <f>vlookup($C28,CSDL!$A:$E,5,0)</f>
        <v>Lạc</v>
      </c>
      <c r="H28" s="16"/>
      <c r="I28" s="23" t="s">
        <v>59</v>
      </c>
      <c r="J28" s="23">
        <v>150.0</v>
      </c>
      <c r="K28" s="23">
        <v>1.0</v>
      </c>
      <c r="L28" s="22">
        <f t="shared" si="1"/>
        <v>150</v>
      </c>
      <c r="M28" s="23">
        <v>150.0</v>
      </c>
      <c r="N28" s="23" t="s">
        <v>25</v>
      </c>
      <c r="O28" s="24" t="s">
        <v>60</v>
      </c>
      <c r="P28" s="33"/>
      <c r="Q28" s="16"/>
    </row>
    <row r="29" ht="25.5" customHeight="1">
      <c r="A29" s="26"/>
      <c r="B29" s="28">
        <v>1177.0</v>
      </c>
      <c r="C29" s="17" t="s">
        <v>61</v>
      </c>
      <c r="D29" s="34" t="str">
        <f>vlookup($C29,CSDL!$A:$E,2,0)</f>
        <v>Anh Vũ</v>
      </c>
      <c r="E29" s="19" t="str">
        <f>vlookup($C29,CSDL!$A:$E,3,0)</f>
        <v>25 Lương Quán</v>
      </c>
      <c r="F29" s="19" t="str">
        <f>vlookup($C29,CSDL!$A:$E,4,0)</f>
        <v>Chó</v>
      </c>
      <c r="G29" s="27" t="str">
        <f>vlookup($C29,CSDL!$A:$E,5,0)</f>
        <v>Đen</v>
      </c>
      <c r="H29" s="28"/>
      <c r="I29" s="29" t="s">
        <v>38</v>
      </c>
      <c r="J29" s="29">
        <v>200.0</v>
      </c>
      <c r="K29" s="29"/>
      <c r="L29" s="22">
        <f t="shared" si="1"/>
        <v>0</v>
      </c>
      <c r="M29" s="23">
        <v>1000.0</v>
      </c>
      <c r="N29" s="29" t="s">
        <v>25</v>
      </c>
      <c r="O29" s="30" t="s">
        <v>62</v>
      </c>
      <c r="P29" s="26"/>
      <c r="Q29" s="32"/>
    </row>
    <row r="30" ht="25.5" customHeight="1">
      <c r="A30" s="33"/>
      <c r="B30" s="16">
        <v>1177.0</v>
      </c>
      <c r="C30" s="17"/>
      <c r="D30" s="34"/>
      <c r="E30" s="19"/>
      <c r="F30" s="19"/>
      <c r="G30" s="36"/>
      <c r="H30" s="16"/>
      <c r="I30" s="23"/>
      <c r="J30" s="23"/>
      <c r="K30" s="23"/>
      <c r="L30" s="22"/>
      <c r="M30" s="23">
        <v>3500.0</v>
      </c>
      <c r="N30" s="23" t="s">
        <v>25</v>
      </c>
      <c r="O30" s="24" t="s">
        <v>63</v>
      </c>
      <c r="P30" s="33"/>
      <c r="Q30" s="25"/>
    </row>
    <row r="31" ht="25.5" customHeight="1">
      <c r="A31" s="26"/>
      <c r="B31" s="28">
        <v>1178.0</v>
      </c>
      <c r="C31" s="17" t="s">
        <v>64</v>
      </c>
      <c r="D31" s="34" t="str">
        <f>vlookup($C31,CSDL!$A:$E,2,0)</f>
        <v>Chị Thuý</v>
      </c>
      <c r="E31" s="19" t="str">
        <f>vlookup($C31,CSDL!$A:$E,3,0)</f>
        <v>Lô E9 Hương Bình</v>
      </c>
      <c r="F31" s="19" t="str">
        <f>vlookup($C31,CSDL!$A:$E,4,0)</f>
        <v>chó</v>
      </c>
      <c r="G31" s="35"/>
      <c r="H31" s="28"/>
      <c r="I31" s="29" t="s">
        <v>30</v>
      </c>
      <c r="J31" s="29">
        <v>150.0</v>
      </c>
      <c r="K31" s="29">
        <v>2.0</v>
      </c>
      <c r="L31" s="22">
        <f t="shared" ref="L31:L77" si="2">K31*J31</f>
        <v>300</v>
      </c>
      <c r="M31" s="23">
        <v>150.0</v>
      </c>
      <c r="N31" s="29" t="s">
        <v>65</v>
      </c>
      <c r="O31" s="30"/>
      <c r="P31" s="26"/>
      <c r="Q31" s="32"/>
    </row>
    <row r="32" ht="25.5" customHeight="1">
      <c r="A32" s="33"/>
      <c r="B32" s="16">
        <v>1178.0</v>
      </c>
      <c r="C32" s="17"/>
      <c r="D32" s="34" t="str">
        <f>vlookup($C32,CSDL!$A:$E,2,0)</f>
        <v>#N/A</v>
      </c>
      <c r="E32" s="19" t="str">
        <f>vlookup($C32,CSDL!$A:$E,3,0)</f>
        <v>#N/A</v>
      </c>
      <c r="F32" s="19" t="str">
        <f>vlookup($C32,CSDL!$A:$E,4,0)</f>
        <v>#N/A</v>
      </c>
      <c r="G32" s="20" t="str">
        <f>vlookup($C32,CSDL!$A:$E,5,0)</f>
        <v>#N/A</v>
      </c>
      <c r="H32" s="16"/>
      <c r="I32" s="23" t="s">
        <v>22</v>
      </c>
      <c r="J32" s="23">
        <v>10.0</v>
      </c>
      <c r="K32" s="23">
        <v>1.0</v>
      </c>
      <c r="L32" s="22">
        <f t="shared" si="2"/>
        <v>10</v>
      </c>
      <c r="M32" s="23">
        <v>285.0</v>
      </c>
      <c r="N32" s="23" t="s">
        <v>25</v>
      </c>
      <c r="O32" s="24" t="s">
        <v>66</v>
      </c>
      <c r="P32" s="33"/>
      <c r="Q32" s="25"/>
    </row>
    <row r="33" ht="25.5" customHeight="1">
      <c r="A33" s="31"/>
      <c r="B33" s="28">
        <v>1178.0</v>
      </c>
      <c r="C33" s="17"/>
      <c r="D33" s="34" t="str">
        <f>vlookup($C33,CSDL!$A:$E,2,0)</f>
        <v>#N/A</v>
      </c>
      <c r="E33" s="19" t="str">
        <f>vlookup($C33,CSDL!$A:$E,3,0)</f>
        <v>#N/A</v>
      </c>
      <c r="F33" s="19" t="str">
        <f>vlookup($C33,CSDL!$A:$E,4,0)</f>
        <v>#N/A</v>
      </c>
      <c r="G33" s="27" t="str">
        <f>vlookup($C33,CSDL!$A:$E,5,0)</f>
        <v>#N/A</v>
      </c>
      <c r="H33" s="28"/>
      <c r="I33" s="29" t="s">
        <v>24</v>
      </c>
      <c r="J33" s="29">
        <v>25.0</v>
      </c>
      <c r="K33" s="29">
        <v>5.0</v>
      </c>
      <c r="L33" s="22">
        <f t="shared" si="2"/>
        <v>125</v>
      </c>
      <c r="M33" s="23"/>
      <c r="N33" s="29"/>
      <c r="O33" s="30"/>
      <c r="P33" s="31"/>
      <c r="Q33" s="32"/>
    </row>
    <row r="34" ht="25.5" customHeight="1">
      <c r="A34" s="33"/>
      <c r="B34" s="16">
        <v>1179.0</v>
      </c>
      <c r="C34" s="17" t="s">
        <v>67</v>
      </c>
      <c r="D34" s="34" t="str">
        <f>vlookup($C34,CSDL!$A:$E,2,0)</f>
        <v>Em Duy</v>
      </c>
      <c r="E34" s="19" t="str">
        <f>vlookup($C34,CSDL!$A:$E,3,0)</f>
        <v/>
      </c>
      <c r="F34" s="19" t="str">
        <f>vlookup($C34,CSDL!$A:$E,4,0)</f>
        <v>Chó</v>
      </c>
      <c r="G34" s="20" t="str">
        <f>vlookup($C34,CSDL!$A:$E,5,0)</f>
        <v>Quýt</v>
      </c>
      <c r="H34" s="16"/>
      <c r="I34" s="23" t="s">
        <v>59</v>
      </c>
      <c r="J34" s="23">
        <v>150.0</v>
      </c>
      <c r="K34" s="23">
        <v>2.0</v>
      </c>
      <c r="L34" s="22">
        <f t="shared" si="2"/>
        <v>300</v>
      </c>
      <c r="M34" s="23">
        <v>500.0</v>
      </c>
      <c r="N34" s="23" t="s">
        <v>25</v>
      </c>
      <c r="O34" s="24" t="s">
        <v>68</v>
      </c>
      <c r="P34" s="15"/>
      <c r="Q34" s="25"/>
    </row>
    <row r="35" ht="25.5" customHeight="1">
      <c r="A35" s="26"/>
      <c r="B35" s="28">
        <v>1179.0</v>
      </c>
      <c r="C35" s="17"/>
      <c r="D35" s="34" t="str">
        <f>vlookup($C35,CSDL!$A:$E,2,0)</f>
        <v>#N/A</v>
      </c>
      <c r="E35" s="19" t="str">
        <f>vlookup($C35,CSDL!$A:$E,3,0)</f>
        <v>#N/A</v>
      </c>
      <c r="F35" s="19" t="str">
        <f>vlookup($C35,CSDL!$A:$E,4,0)</f>
        <v>#N/A</v>
      </c>
      <c r="G35" s="27" t="str">
        <f>vlookup($C35,CSDL!$A:$E,5,0)</f>
        <v>#N/A</v>
      </c>
      <c r="H35" s="28"/>
      <c r="I35" s="29" t="s">
        <v>69</v>
      </c>
      <c r="J35" s="29">
        <v>50.0</v>
      </c>
      <c r="K35" s="29">
        <v>1.0</v>
      </c>
      <c r="L35" s="22">
        <f t="shared" si="2"/>
        <v>50</v>
      </c>
      <c r="M35" s="23">
        <v>-150.0</v>
      </c>
      <c r="N35" s="29"/>
      <c r="O35" s="30"/>
      <c r="P35" s="31"/>
      <c r="Q35" s="32"/>
    </row>
    <row r="36" ht="25.5" customHeight="1">
      <c r="A36" s="33"/>
      <c r="B36" s="16"/>
      <c r="C36" s="17"/>
      <c r="D36" s="18" t="s">
        <v>70</v>
      </c>
      <c r="E36" s="19" t="str">
        <f>vlookup($C36,CSDL!$A:$E,3,0)</f>
        <v>#N/A</v>
      </c>
      <c r="F36" s="19" t="str">
        <f>vlookup($C36,CSDL!$A:$E,4,0)</f>
        <v>#N/A</v>
      </c>
      <c r="G36" s="20" t="str">
        <f>vlookup($C36,CSDL!$A:$E,5,0)</f>
        <v>#N/A</v>
      </c>
      <c r="H36" s="16"/>
      <c r="I36" s="23" t="s">
        <v>52</v>
      </c>
      <c r="J36" s="23">
        <v>180.0</v>
      </c>
      <c r="K36" s="23">
        <v>1.0</v>
      </c>
      <c r="L36" s="22">
        <f t="shared" si="2"/>
        <v>180</v>
      </c>
      <c r="M36" s="23">
        <v>180.0</v>
      </c>
      <c r="N36" s="23" t="s">
        <v>25</v>
      </c>
      <c r="O36" s="24" t="s">
        <v>71</v>
      </c>
      <c r="P36" s="15"/>
      <c r="Q36" s="25"/>
    </row>
    <row r="37" ht="25.5" customHeight="1">
      <c r="A37" s="26"/>
      <c r="B37" s="28"/>
      <c r="C37" s="17"/>
      <c r="D37" s="18" t="s">
        <v>21</v>
      </c>
      <c r="E37" s="19" t="str">
        <f>vlookup($C37,CSDL!$A:$E,3,0)</f>
        <v>#N/A</v>
      </c>
      <c r="F37" s="19" t="str">
        <f>vlookup($C37,CSDL!$A:$E,4,0)</f>
        <v>#N/A</v>
      </c>
      <c r="G37" s="27" t="str">
        <f>vlookup($C37,CSDL!$A:$E,5,0)</f>
        <v>#N/A</v>
      </c>
      <c r="H37" s="28"/>
      <c r="I37" s="29" t="s">
        <v>33</v>
      </c>
      <c r="J37" s="29">
        <v>70.0</v>
      </c>
      <c r="K37" s="29">
        <v>1.0</v>
      </c>
      <c r="L37" s="22">
        <f t="shared" si="2"/>
        <v>70</v>
      </c>
      <c r="M37" s="23">
        <v>70.0</v>
      </c>
      <c r="N37" s="29" t="s">
        <v>34</v>
      </c>
      <c r="O37" s="30" t="s">
        <v>72</v>
      </c>
      <c r="P37" s="26"/>
      <c r="Q37" s="32"/>
    </row>
    <row r="38" ht="25.5" customHeight="1">
      <c r="A38" s="33"/>
      <c r="B38" s="16">
        <v>1180.0</v>
      </c>
      <c r="C38" s="17" t="s">
        <v>73</v>
      </c>
      <c r="D38" s="34" t="str">
        <f>vlookup($C38,CSDL!$A:$E,2,0)</f>
        <v>Diễm Quỳnh</v>
      </c>
      <c r="E38" s="19" t="str">
        <f>vlookup($C38,CSDL!$A:$E,3,0)</f>
        <v>2/5 Nguyễn Phúc thái</v>
      </c>
      <c r="F38" s="37" t="s">
        <v>74</v>
      </c>
      <c r="G38" s="36" t="s">
        <v>75</v>
      </c>
      <c r="H38" s="16">
        <v>2.0</v>
      </c>
      <c r="I38" s="23" t="s">
        <v>76</v>
      </c>
      <c r="J38" s="23">
        <v>150.0</v>
      </c>
      <c r="K38" s="23">
        <v>1.0</v>
      </c>
      <c r="L38" s="22">
        <f t="shared" si="2"/>
        <v>150</v>
      </c>
      <c r="M38" s="23">
        <v>500.0</v>
      </c>
      <c r="N38" s="23" t="s">
        <v>65</v>
      </c>
      <c r="O38" s="24"/>
      <c r="P38" s="15"/>
      <c r="Q38" s="16"/>
    </row>
    <row r="39" ht="25.5" customHeight="1">
      <c r="A39" s="26"/>
      <c r="B39" s="28">
        <v>1180.0</v>
      </c>
      <c r="C39" s="17"/>
      <c r="D39" s="34" t="str">
        <f>vlookup($C39,CSDL!$A:$E,2,0)</f>
        <v>#N/A</v>
      </c>
      <c r="E39" s="19" t="str">
        <f>vlookup($C39,CSDL!$A:$E,3,0)</f>
        <v>#N/A</v>
      </c>
      <c r="F39" s="19" t="str">
        <f>vlookup($C39,CSDL!$A:$E,4,0)</f>
        <v>#N/A</v>
      </c>
      <c r="G39" s="27" t="str">
        <f>vlookup($C39,CSDL!$A:$E,5,0)</f>
        <v>#N/A</v>
      </c>
      <c r="H39" s="28"/>
      <c r="I39" s="29" t="s">
        <v>59</v>
      </c>
      <c r="J39" s="29">
        <v>150.0</v>
      </c>
      <c r="K39" s="29">
        <v>4.0</v>
      </c>
      <c r="L39" s="22">
        <f t="shared" si="2"/>
        <v>600</v>
      </c>
      <c r="M39" s="23">
        <v>400.0</v>
      </c>
      <c r="N39" s="29" t="s">
        <v>25</v>
      </c>
      <c r="O39" s="30" t="s">
        <v>77</v>
      </c>
      <c r="P39" s="26"/>
      <c r="Q39" s="32"/>
    </row>
    <row r="40" ht="25.5" customHeight="1">
      <c r="A40" s="33"/>
      <c r="B40" s="16">
        <v>1180.0</v>
      </c>
      <c r="C40" s="17"/>
      <c r="D40" s="34" t="str">
        <f>vlookup($C40,CSDL!$A:$E,2,0)</f>
        <v>#N/A</v>
      </c>
      <c r="E40" s="19" t="str">
        <f>vlookup($C40,CSDL!$A:$E,3,0)</f>
        <v>#N/A</v>
      </c>
      <c r="F40" s="19" t="str">
        <f>vlookup($C40,CSDL!$A:$E,4,0)</f>
        <v>#N/A</v>
      </c>
      <c r="G40" s="20" t="str">
        <f>vlookup($C40,CSDL!$A:$E,5,0)</f>
        <v>#N/A</v>
      </c>
      <c r="H40" s="16"/>
      <c r="I40" s="23" t="s">
        <v>24</v>
      </c>
      <c r="J40" s="23">
        <v>30.0</v>
      </c>
      <c r="K40" s="23">
        <v>5.0</v>
      </c>
      <c r="L40" s="22">
        <f t="shared" si="2"/>
        <v>150</v>
      </c>
      <c r="M40" s="23"/>
      <c r="N40" s="23"/>
      <c r="O40" s="24"/>
      <c r="P40" s="33"/>
      <c r="Q40" s="25"/>
    </row>
    <row r="41" ht="25.5" customHeight="1">
      <c r="A41" s="26"/>
      <c r="B41" s="28">
        <v>1181.0</v>
      </c>
      <c r="C41" s="17" t="s">
        <v>40</v>
      </c>
      <c r="D41" s="34" t="str">
        <f>vlookup($C41,CSDL!$A:$E,2,0)</f>
        <v>Sư Cô Thanh Nhã</v>
      </c>
      <c r="E41" s="19" t="str">
        <f>vlookup($C41,CSDL!$A:$E,3,0)</f>
        <v>Quảng Trị</v>
      </c>
      <c r="F41" s="19" t="str">
        <f>vlookup($C41,CSDL!$A:$E,4,0)</f>
        <v>Chó</v>
      </c>
      <c r="G41" s="35" t="s">
        <v>78</v>
      </c>
      <c r="H41" s="28"/>
      <c r="I41" s="29" t="s">
        <v>24</v>
      </c>
      <c r="J41" s="29">
        <v>35.0</v>
      </c>
      <c r="K41" s="29">
        <v>7.0</v>
      </c>
      <c r="L41" s="22">
        <f t="shared" si="2"/>
        <v>245</v>
      </c>
      <c r="M41" s="23">
        <v>315.0</v>
      </c>
      <c r="N41" s="29" t="s">
        <v>25</v>
      </c>
      <c r="O41" s="30" t="s">
        <v>79</v>
      </c>
      <c r="P41" s="31"/>
      <c r="Q41" s="32"/>
    </row>
    <row r="42" ht="25.5" customHeight="1">
      <c r="A42" s="15"/>
      <c r="B42" s="16">
        <v>1181.0</v>
      </c>
      <c r="C42" s="17"/>
      <c r="D42" s="34" t="str">
        <f>vlookup($C42,CSDL!$A:$E,2,0)</f>
        <v>#N/A</v>
      </c>
      <c r="E42" s="19" t="str">
        <f>vlookup($C42,CSDL!$A:$E,3,0)</f>
        <v>#N/A</v>
      </c>
      <c r="F42" s="19" t="str">
        <f>vlookup($C42,CSDL!$A:$E,4,0)</f>
        <v>#N/A</v>
      </c>
      <c r="G42" s="20" t="str">
        <f>vlookup($C42,CSDL!$A:$E,5,0)</f>
        <v>#N/A</v>
      </c>
      <c r="H42" s="16"/>
      <c r="I42" s="23" t="s">
        <v>80</v>
      </c>
      <c r="J42" s="23">
        <v>70.0</v>
      </c>
      <c r="K42" s="23">
        <v>1.0</v>
      </c>
      <c r="L42" s="22">
        <f t="shared" si="2"/>
        <v>70</v>
      </c>
      <c r="M42" s="23"/>
      <c r="N42" s="23"/>
      <c r="O42" s="24"/>
      <c r="P42" s="33"/>
      <c r="Q42" s="16"/>
    </row>
    <row r="43" ht="25.5" customHeight="1">
      <c r="A43" s="26"/>
      <c r="B43" s="28">
        <v>1182.0</v>
      </c>
      <c r="C43" s="17"/>
      <c r="D43" s="18" t="s">
        <v>21</v>
      </c>
      <c r="E43" s="19" t="str">
        <f>vlookup($C43,CSDL!$A:$E,3,0)</f>
        <v>#N/A</v>
      </c>
      <c r="F43" s="19" t="str">
        <f>vlookup($C43,CSDL!$A:$E,4,0)</f>
        <v>#N/A</v>
      </c>
      <c r="G43" s="27" t="str">
        <f>vlookup($C43,CSDL!$A:$E,5,0)</f>
        <v>#N/A</v>
      </c>
      <c r="H43" s="28"/>
      <c r="I43" s="29" t="s">
        <v>81</v>
      </c>
      <c r="J43" s="29">
        <v>200.0</v>
      </c>
      <c r="K43" s="29">
        <v>1.0</v>
      </c>
      <c r="L43" s="22">
        <f t="shared" si="2"/>
        <v>200</v>
      </c>
      <c r="M43" s="23">
        <v>230.0</v>
      </c>
      <c r="N43" s="29" t="s">
        <v>65</v>
      </c>
      <c r="O43" s="30"/>
      <c r="P43" s="26"/>
      <c r="Q43" s="32"/>
    </row>
    <row r="44" ht="25.5" customHeight="1">
      <c r="A44" s="33"/>
      <c r="B44" s="16">
        <v>1182.0</v>
      </c>
      <c r="C44" s="17"/>
      <c r="D44" s="34" t="str">
        <f>vlookup($C44,CSDL!$A:$E,2,0)</f>
        <v>#N/A</v>
      </c>
      <c r="E44" s="19" t="str">
        <f>vlookup($C44,CSDL!$A:$E,3,0)</f>
        <v>#N/A</v>
      </c>
      <c r="F44" s="19" t="str">
        <f>vlookup($C44,CSDL!$A:$E,4,0)</f>
        <v>#N/A</v>
      </c>
      <c r="G44" s="20" t="str">
        <f>vlookup($C44,CSDL!$A:$E,5,0)</f>
        <v>#N/A</v>
      </c>
      <c r="H44" s="16"/>
      <c r="I44" s="23" t="s">
        <v>80</v>
      </c>
      <c r="J44" s="23">
        <v>30.0</v>
      </c>
      <c r="K44" s="23">
        <v>1.0</v>
      </c>
      <c r="L44" s="22">
        <f t="shared" si="2"/>
        <v>30</v>
      </c>
      <c r="M44" s="23"/>
      <c r="N44" s="23"/>
      <c r="O44" s="24"/>
      <c r="P44" s="33"/>
      <c r="Q44" s="25"/>
    </row>
    <row r="45" ht="25.5" customHeight="1">
      <c r="A45" s="31">
        <v>45966.0</v>
      </c>
      <c r="B45" s="28">
        <v>1183.0</v>
      </c>
      <c r="C45" s="17" t="s">
        <v>82</v>
      </c>
      <c r="D45" s="34" t="str">
        <f>vlookup($C45,CSDL!$A:$E,2,0)</f>
        <v>BSTY Trà</v>
      </c>
      <c r="E45" s="19" t="str">
        <f>vlookup($C45,CSDL!$A:$E,3,0)</f>
        <v/>
      </c>
      <c r="F45" s="19" t="str">
        <f>vlookup($C45,CSDL!$A:$E,4,0)</f>
        <v/>
      </c>
      <c r="G45" s="27" t="str">
        <f>vlookup($C45,CSDL!$A:$E,5,0)</f>
        <v/>
      </c>
      <c r="H45" s="28"/>
      <c r="I45" s="29" t="s">
        <v>83</v>
      </c>
      <c r="J45" s="29">
        <v>180.0</v>
      </c>
      <c r="K45" s="29">
        <v>1.0</v>
      </c>
      <c r="L45" s="22">
        <f t="shared" si="2"/>
        <v>180</v>
      </c>
      <c r="M45" s="23">
        <v>1000.0</v>
      </c>
      <c r="N45" s="29" t="s">
        <v>25</v>
      </c>
      <c r="O45" s="30" t="s">
        <v>84</v>
      </c>
      <c r="P45" s="31"/>
      <c r="Q45" s="32"/>
    </row>
    <row r="46" ht="25.5" customHeight="1">
      <c r="A46" s="33"/>
      <c r="B46" s="16">
        <v>1183.0</v>
      </c>
      <c r="C46" s="17"/>
      <c r="D46" s="34" t="str">
        <f>vlookup($C46,CSDL!$A:$E,2,0)</f>
        <v>#N/A</v>
      </c>
      <c r="E46" s="19" t="str">
        <f>vlookup($C46,CSDL!$A:$E,3,0)</f>
        <v>#N/A</v>
      </c>
      <c r="F46" s="19" t="str">
        <f>vlookup($C46,CSDL!$A:$E,4,0)</f>
        <v>#N/A</v>
      </c>
      <c r="G46" s="20" t="str">
        <f>vlookup($C46,CSDL!$A:$E,5,0)</f>
        <v>#N/A</v>
      </c>
      <c r="H46" s="16"/>
      <c r="I46" s="23" t="s">
        <v>33</v>
      </c>
      <c r="J46" s="23">
        <v>70.0</v>
      </c>
      <c r="K46" s="23">
        <v>1.0</v>
      </c>
      <c r="L46" s="22">
        <f t="shared" si="2"/>
        <v>70</v>
      </c>
      <c r="M46" s="23"/>
      <c r="N46" s="23"/>
      <c r="O46" s="24"/>
      <c r="P46" s="15"/>
      <c r="Q46" s="25"/>
    </row>
    <row r="47" ht="25.5" customHeight="1">
      <c r="A47" s="26"/>
      <c r="B47" s="28">
        <v>1183.0</v>
      </c>
      <c r="C47" s="17"/>
      <c r="D47" s="34" t="str">
        <f>vlookup($C47,CSDL!$A:$E,2,0)</f>
        <v>#N/A</v>
      </c>
      <c r="E47" s="19" t="str">
        <f>vlookup($C47,CSDL!$A:$E,3,0)</f>
        <v>#N/A</v>
      </c>
      <c r="F47" s="19" t="str">
        <f>vlookup($C47,CSDL!$A:$E,4,0)</f>
        <v>#N/A</v>
      </c>
      <c r="G47" s="27" t="str">
        <f>vlookup($C47,CSDL!$A:$E,5,0)</f>
        <v>#N/A</v>
      </c>
      <c r="H47" s="28"/>
      <c r="I47" s="29" t="s">
        <v>24</v>
      </c>
      <c r="J47" s="29">
        <v>20.0</v>
      </c>
      <c r="K47" s="29"/>
      <c r="L47" s="22">
        <f t="shared" si="2"/>
        <v>0</v>
      </c>
      <c r="M47" s="23"/>
      <c r="N47" s="29"/>
      <c r="O47" s="30"/>
      <c r="P47" s="31"/>
      <c r="Q47" s="32"/>
    </row>
    <row r="48" ht="25.5" customHeight="1">
      <c r="A48" s="33"/>
      <c r="B48" s="16">
        <v>1183.0</v>
      </c>
      <c r="C48" s="17"/>
      <c r="D48" s="34" t="str">
        <f>vlookup($C48,CSDL!$A:$E,2,0)</f>
        <v>#N/A</v>
      </c>
      <c r="E48" s="19" t="str">
        <f>vlookup($C48,CSDL!$A:$E,3,0)</f>
        <v>#N/A</v>
      </c>
      <c r="F48" s="19" t="str">
        <f>vlookup($C48,CSDL!$A:$E,4,0)</f>
        <v>#N/A</v>
      </c>
      <c r="G48" s="20" t="str">
        <f>vlookup($C48,CSDL!$A:$E,5,0)</f>
        <v>#N/A</v>
      </c>
      <c r="H48" s="16"/>
      <c r="I48" s="23" t="s">
        <v>38</v>
      </c>
      <c r="J48" s="23"/>
      <c r="K48" s="23"/>
      <c r="L48" s="22">
        <f t="shared" si="2"/>
        <v>0</v>
      </c>
      <c r="M48" s="23"/>
      <c r="N48" s="23"/>
      <c r="O48" s="24"/>
      <c r="P48" s="15"/>
      <c r="Q48" s="25"/>
    </row>
    <row r="49" ht="25.5" customHeight="1">
      <c r="A49" s="31"/>
      <c r="B49" s="28">
        <v>1183.0</v>
      </c>
      <c r="C49" s="17"/>
      <c r="D49" s="34" t="str">
        <f>vlookup($C49,CSDL!$A:$E,2,0)</f>
        <v>#N/A</v>
      </c>
      <c r="E49" s="19" t="str">
        <f>vlookup($C49,CSDL!$A:$E,3,0)</f>
        <v>#N/A</v>
      </c>
      <c r="F49" s="19" t="str">
        <f>vlookup($C49,CSDL!$A:$E,4,0)</f>
        <v>#N/A</v>
      </c>
      <c r="G49" s="27" t="str">
        <f>vlookup($C49,CSDL!$A:$E,5,0)</f>
        <v>#N/A</v>
      </c>
      <c r="H49" s="28"/>
      <c r="I49" s="29" t="s">
        <v>52</v>
      </c>
      <c r="J49" s="29">
        <v>180.0</v>
      </c>
      <c r="K49" s="29">
        <v>1.0</v>
      </c>
      <c r="L49" s="22">
        <f t="shared" si="2"/>
        <v>180</v>
      </c>
      <c r="M49" s="23"/>
      <c r="N49" s="29"/>
      <c r="O49" s="30"/>
      <c r="P49" s="31"/>
      <c r="Q49" s="32"/>
    </row>
    <row r="50" ht="25.5" customHeight="1">
      <c r="A50" s="33"/>
      <c r="B50" s="16">
        <v>1184.0</v>
      </c>
      <c r="C50" s="17" t="s">
        <v>85</v>
      </c>
      <c r="D50" s="34" t="str">
        <f>vlookup($C50,CSDL!$A:$E,2,0)</f>
        <v>Chị Vân Anh</v>
      </c>
      <c r="E50" s="19" t="str">
        <f>vlookup($C50,CSDL!$A:$E,3,0)</f>
        <v>130 Trường Chinh</v>
      </c>
      <c r="F50" s="19" t="str">
        <f>vlookup($C50,CSDL!$A:$E,4,0)</f>
        <v>Mèo</v>
      </c>
      <c r="G50" s="36" t="s">
        <v>86</v>
      </c>
      <c r="H50" s="16">
        <v>3.0</v>
      </c>
      <c r="I50" s="23" t="s">
        <v>59</v>
      </c>
      <c r="J50" s="23">
        <v>150.0</v>
      </c>
      <c r="K50" s="23">
        <v>5.0</v>
      </c>
      <c r="L50" s="22">
        <f t="shared" si="2"/>
        <v>750</v>
      </c>
      <c r="M50" s="23">
        <v>1050.0</v>
      </c>
      <c r="N50" s="23" t="s">
        <v>25</v>
      </c>
      <c r="O50" s="24" t="s">
        <v>87</v>
      </c>
      <c r="P50" s="15"/>
      <c r="Q50" s="25"/>
    </row>
    <row r="51" ht="25.5" customHeight="1">
      <c r="A51" s="26"/>
      <c r="B51" s="28">
        <v>1184.0</v>
      </c>
      <c r="C51" s="17"/>
      <c r="D51" s="34" t="str">
        <f>vlookup($C51,CSDL!$A:$E,2,0)</f>
        <v>#N/A</v>
      </c>
      <c r="E51" s="19" t="str">
        <f>vlookup($C51,CSDL!$A:$E,3,0)</f>
        <v>#N/A</v>
      </c>
      <c r="F51" s="19" t="str">
        <f>vlookup($C51,CSDL!$A:$E,4,0)</f>
        <v>#N/A</v>
      </c>
      <c r="G51" s="27" t="str">
        <f>vlookup($C51,CSDL!$A:$E,5,0)</f>
        <v>#N/A</v>
      </c>
      <c r="H51" s="28"/>
      <c r="I51" s="29" t="s">
        <v>24</v>
      </c>
      <c r="J51" s="29">
        <v>50.0</v>
      </c>
      <c r="K51" s="29">
        <v>5.0</v>
      </c>
      <c r="L51" s="22">
        <f t="shared" si="2"/>
        <v>250</v>
      </c>
      <c r="M51" s="23"/>
      <c r="N51" s="29"/>
      <c r="O51" s="30"/>
      <c r="P51" s="26"/>
      <c r="Q51" s="32"/>
    </row>
    <row r="52" ht="25.5" customHeight="1">
      <c r="A52" s="33"/>
      <c r="B52" s="16">
        <v>1184.0</v>
      </c>
      <c r="C52" s="17"/>
      <c r="D52" s="34" t="str">
        <f>vlookup($C52,CSDL!$A:$E,2,0)</f>
        <v>#N/A</v>
      </c>
      <c r="E52" s="19" t="str">
        <f>vlookup($C52,CSDL!$A:$E,3,0)</f>
        <v>#N/A</v>
      </c>
      <c r="F52" s="19" t="str">
        <f>vlookup($C52,CSDL!$A:$E,4,0)</f>
        <v>#N/A</v>
      </c>
      <c r="G52" s="20" t="str">
        <f>vlookup($C52,CSDL!$A:$E,5,0)</f>
        <v>#N/A</v>
      </c>
      <c r="H52" s="16"/>
      <c r="I52" s="23" t="s">
        <v>80</v>
      </c>
      <c r="J52" s="23">
        <v>50.0</v>
      </c>
      <c r="K52" s="23">
        <v>1.0</v>
      </c>
      <c r="L52" s="22">
        <f t="shared" si="2"/>
        <v>50</v>
      </c>
      <c r="M52" s="23"/>
      <c r="N52" s="23"/>
      <c r="O52" s="24"/>
      <c r="P52" s="33"/>
      <c r="Q52" s="25"/>
    </row>
    <row r="53" ht="25.5" customHeight="1">
      <c r="A53" s="26"/>
      <c r="B53" s="28"/>
      <c r="C53" s="17"/>
      <c r="D53" s="18" t="s">
        <v>21</v>
      </c>
      <c r="E53" s="19" t="str">
        <f>vlookup($C53,CSDL!$A:$E,3,0)</f>
        <v>#N/A</v>
      </c>
      <c r="F53" s="19" t="str">
        <f>vlookup($C53,CSDL!$A:$E,4,0)</f>
        <v>#N/A</v>
      </c>
      <c r="G53" s="27" t="str">
        <f>vlookup($C53,CSDL!$A:$E,5,0)</f>
        <v>#N/A</v>
      </c>
      <c r="H53" s="28"/>
      <c r="I53" s="29" t="s">
        <v>33</v>
      </c>
      <c r="J53" s="29">
        <v>70.0</v>
      </c>
      <c r="K53" s="29">
        <v>1.0</v>
      </c>
      <c r="L53" s="22">
        <f t="shared" si="2"/>
        <v>70</v>
      </c>
      <c r="M53" s="23">
        <v>70.0</v>
      </c>
      <c r="N53" s="29" t="s">
        <v>34</v>
      </c>
      <c r="O53" s="30" t="s">
        <v>88</v>
      </c>
      <c r="P53" s="26"/>
      <c r="Q53" s="32"/>
    </row>
    <row r="54" ht="25.5" customHeight="1">
      <c r="A54" s="15"/>
      <c r="B54" s="16">
        <v>1185.0</v>
      </c>
      <c r="C54" s="17"/>
      <c r="D54" s="18" t="s">
        <v>89</v>
      </c>
      <c r="E54" s="19" t="str">
        <f>vlookup($C54,CSDL!$A:$E,3,0)</f>
        <v>#N/A</v>
      </c>
      <c r="F54" s="19" t="str">
        <f>vlookup($C54,CSDL!$A:$E,4,0)</f>
        <v>#N/A</v>
      </c>
      <c r="G54" s="20" t="str">
        <f>vlookup($C54,CSDL!$A:$E,5,0)</f>
        <v>#N/A</v>
      </c>
      <c r="H54" s="16"/>
      <c r="I54" s="23" t="s">
        <v>30</v>
      </c>
      <c r="J54" s="23">
        <v>150.0</v>
      </c>
      <c r="K54" s="23">
        <v>1.0</v>
      </c>
      <c r="L54" s="22">
        <f t="shared" si="2"/>
        <v>150</v>
      </c>
      <c r="M54" s="23">
        <v>150.0</v>
      </c>
      <c r="N54" s="23" t="s">
        <v>65</v>
      </c>
      <c r="O54" s="24"/>
      <c r="P54" s="33"/>
      <c r="Q54" s="25"/>
    </row>
    <row r="55" ht="25.5" customHeight="1">
      <c r="A55" s="26"/>
      <c r="B55" s="28"/>
      <c r="C55" s="17"/>
      <c r="D55" s="18" t="s">
        <v>21</v>
      </c>
      <c r="E55" s="19" t="str">
        <f>vlookup($C55,CSDL!$A:$E,3,0)</f>
        <v>#N/A</v>
      </c>
      <c r="F55" s="19" t="str">
        <f>vlookup($C55,CSDL!$A:$E,4,0)</f>
        <v>#N/A</v>
      </c>
      <c r="G55" s="27" t="str">
        <f>vlookup($C55,CSDL!$A:$E,5,0)</f>
        <v>#N/A</v>
      </c>
      <c r="H55" s="28"/>
      <c r="I55" s="29" t="s">
        <v>90</v>
      </c>
      <c r="J55" s="29">
        <v>50.0</v>
      </c>
      <c r="K55" s="29">
        <v>1.0</v>
      </c>
      <c r="L55" s="22">
        <f t="shared" si="2"/>
        <v>50</v>
      </c>
      <c r="M55" s="23">
        <v>50.0</v>
      </c>
      <c r="N55" s="29" t="s">
        <v>43</v>
      </c>
      <c r="O55" s="30"/>
      <c r="P55" s="26"/>
      <c r="Q55" s="32"/>
    </row>
    <row r="56" ht="25.5" customHeight="1">
      <c r="A56" s="33"/>
      <c r="B56" s="16"/>
      <c r="C56" s="17"/>
      <c r="D56" s="18" t="s">
        <v>21</v>
      </c>
      <c r="E56" s="19" t="str">
        <f>vlookup($C56,CSDL!$A:$E,3,0)</f>
        <v>#N/A</v>
      </c>
      <c r="F56" s="19" t="str">
        <f>vlookup($C56,CSDL!$A:$E,4,0)</f>
        <v>#N/A</v>
      </c>
      <c r="G56" s="20" t="str">
        <f>vlookup($C56,CSDL!$A:$E,5,0)</f>
        <v>#N/A</v>
      </c>
      <c r="H56" s="16"/>
      <c r="I56" s="23" t="s">
        <v>24</v>
      </c>
      <c r="J56" s="23">
        <v>25.0</v>
      </c>
      <c r="K56" s="23">
        <v>14.0</v>
      </c>
      <c r="L56" s="22">
        <f t="shared" si="2"/>
        <v>350</v>
      </c>
      <c r="M56" s="23">
        <v>350.0</v>
      </c>
      <c r="N56" s="23" t="s">
        <v>25</v>
      </c>
      <c r="O56" s="24" t="s">
        <v>91</v>
      </c>
      <c r="P56" s="33"/>
      <c r="Q56" s="25"/>
    </row>
    <row r="57" ht="25.5" customHeight="1">
      <c r="A57" s="26"/>
      <c r="B57" s="28">
        <v>1186.0</v>
      </c>
      <c r="C57" s="17" t="s">
        <v>92</v>
      </c>
      <c r="D57" s="34" t="str">
        <f>vlookup($C57,CSDL!$A:$E,2,0)</f>
        <v>Minh Châu</v>
      </c>
      <c r="E57" s="19" t="str">
        <f>vlookup($C57,CSDL!$A:$E,3,0)</f>
        <v>16 k78 Phạm Thị Liên</v>
      </c>
      <c r="F57" s="19" t="str">
        <f>vlookup($C57,CSDL!$A:$E,4,0)</f>
        <v>chó</v>
      </c>
      <c r="G57" s="35" t="s">
        <v>93</v>
      </c>
      <c r="H57" s="28"/>
      <c r="I57" s="29" t="s">
        <v>52</v>
      </c>
      <c r="J57" s="29">
        <v>180.0</v>
      </c>
      <c r="K57" s="29">
        <v>1.0</v>
      </c>
      <c r="L57" s="22">
        <f t="shared" si="2"/>
        <v>180</v>
      </c>
      <c r="M57" s="23">
        <v>280.0</v>
      </c>
      <c r="N57" s="29" t="s">
        <v>25</v>
      </c>
      <c r="O57" s="30" t="s">
        <v>94</v>
      </c>
      <c r="P57" s="31"/>
      <c r="Q57" s="32"/>
    </row>
    <row r="58" ht="25.5" customHeight="1">
      <c r="A58" s="33"/>
      <c r="B58" s="16">
        <v>1186.0</v>
      </c>
      <c r="C58" s="17"/>
      <c r="D58" s="34" t="str">
        <f>vlookup($C58,CSDL!$A:$E,2,0)</f>
        <v>#N/A</v>
      </c>
      <c r="E58" s="19" t="str">
        <f>vlookup($C58,CSDL!$A:$E,3,0)</f>
        <v>#N/A</v>
      </c>
      <c r="F58" s="19" t="str">
        <f>vlookup($C58,CSDL!$A:$E,4,0)</f>
        <v>#N/A</v>
      </c>
      <c r="G58" s="20" t="str">
        <f>vlookup($C58,CSDL!$A:$E,5,0)</f>
        <v>#N/A</v>
      </c>
      <c r="H58" s="16"/>
      <c r="I58" s="23" t="s">
        <v>95</v>
      </c>
      <c r="J58" s="23">
        <v>100.0</v>
      </c>
      <c r="K58" s="23">
        <v>1.0</v>
      </c>
      <c r="L58" s="22">
        <f t="shared" si="2"/>
        <v>100</v>
      </c>
      <c r="M58" s="23">
        <v>15.0</v>
      </c>
      <c r="N58" s="23" t="s">
        <v>34</v>
      </c>
      <c r="O58" s="24"/>
      <c r="P58" s="33"/>
      <c r="Q58" s="25"/>
    </row>
    <row r="59" ht="25.5" customHeight="1">
      <c r="A59" s="26"/>
      <c r="B59" s="28">
        <v>1186.0</v>
      </c>
      <c r="C59" s="17"/>
      <c r="D59" s="18"/>
      <c r="E59" s="19"/>
      <c r="F59" s="19"/>
      <c r="G59" s="27"/>
      <c r="H59" s="28"/>
      <c r="I59" s="29" t="s">
        <v>33</v>
      </c>
      <c r="J59" s="29">
        <v>15.0</v>
      </c>
      <c r="K59" s="29">
        <v>1.0</v>
      </c>
      <c r="L59" s="22">
        <f t="shared" si="2"/>
        <v>15</v>
      </c>
      <c r="M59" s="23"/>
      <c r="N59" s="29"/>
      <c r="O59" s="30"/>
      <c r="P59" s="26"/>
      <c r="Q59" s="32"/>
    </row>
    <row r="60" ht="25.5" customHeight="1">
      <c r="A60" s="33"/>
      <c r="B60" s="16"/>
      <c r="C60" s="17"/>
      <c r="D60" s="18" t="s">
        <v>21</v>
      </c>
      <c r="E60" s="19" t="str">
        <f>vlookup($C60,CSDL!$A:$E,3,0)</f>
        <v>#N/A</v>
      </c>
      <c r="F60" s="19" t="str">
        <f>vlookup($C60,CSDL!$A:$E,4,0)</f>
        <v>#N/A</v>
      </c>
      <c r="G60" s="20" t="str">
        <f>vlookup($C60,CSDL!$A:$E,5,0)</f>
        <v>#N/A</v>
      </c>
      <c r="H60" s="16"/>
      <c r="I60" s="23" t="s">
        <v>24</v>
      </c>
      <c r="J60" s="23">
        <v>35.0</v>
      </c>
      <c r="K60" s="23">
        <v>14.0</v>
      </c>
      <c r="L60" s="22">
        <f t="shared" si="2"/>
        <v>490</v>
      </c>
      <c r="M60" s="23">
        <v>490.0</v>
      </c>
      <c r="N60" s="23" t="s">
        <v>25</v>
      </c>
      <c r="O60" s="24" t="s">
        <v>96</v>
      </c>
      <c r="P60" s="33"/>
      <c r="Q60" s="25"/>
    </row>
    <row r="61" ht="25.5" customHeight="1">
      <c r="A61" s="26"/>
      <c r="B61" s="28">
        <v>1187.0</v>
      </c>
      <c r="C61" s="38" t="s">
        <v>97</v>
      </c>
      <c r="D61" s="34" t="str">
        <f>vlookup($C61,CSDL!$A:$E,2,0)</f>
        <v>anh Hoàn</v>
      </c>
      <c r="E61" s="19" t="str">
        <f>vlookup($C61,CSDL!$A:$E,3,0)</f>
        <v>170 Lý Nam Đế</v>
      </c>
      <c r="F61" s="19" t="str">
        <f>vlookup($C61,CSDL!$A:$E,4,0)</f>
        <v>chó</v>
      </c>
      <c r="G61" s="35" t="s">
        <v>98</v>
      </c>
      <c r="H61" s="28"/>
      <c r="I61" s="29" t="s">
        <v>52</v>
      </c>
      <c r="J61" s="29">
        <v>160.0</v>
      </c>
      <c r="K61" s="29">
        <v>1.0</v>
      </c>
      <c r="L61" s="22">
        <f t="shared" si="2"/>
        <v>160</v>
      </c>
      <c r="M61" s="23">
        <v>160.0</v>
      </c>
      <c r="N61" s="29" t="s">
        <v>25</v>
      </c>
      <c r="O61" s="30" t="s">
        <v>99</v>
      </c>
      <c r="P61" s="28"/>
      <c r="Q61" s="32"/>
    </row>
    <row r="62" ht="25.5" customHeight="1">
      <c r="A62" s="15">
        <v>45967.0</v>
      </c>
      <c r="B62" s="16"/>
      <c r="C62" s="17"/>
      <c r="D62" s="18" t="s">
        <v>21</v>
      </c>
      <c r="E62" s="19" t="str">
        <f>vlookup($C62,CSDL!$A:$E,3,0)</f>
        <v>#N/A</v>
      </c>
      <c r="F62" s="19" t="str">
        <f>vlookup($C62,CSDL!$A:$E,4,0)</f>
        <v>#N/A</v>
      </c>
      <c r="G62" s="20" t="str">
        <f>vlookup($C62,CSDL!$A:$E,5,0)</f>
        <v>#N/A</v>
      </c>
      <c r="H62" s="16"/>
      <c r="I62" s="23" t="s">
        <v>33</v>
      </c>
      <c r="J62" s="23">
        <v>80.0</v>
      </c>
      <c r="K62" s="23">
        <v>1.0</v>
      </c>
      <c r="L62" s="22">
        <f t="shared" si="2"/>
        <v>80</v>
      </c>
      <c r="M62" s="23">
        <v>80.0</v>
      </c>
      <c r="N62" s="23" t="s">
        <v>34</v>
      </c>
      <c r="O62" s="24" t="s">
        <v>100</v>
      </c>
      <c r="P62" s="16"/>
      <c r="Q62" s="25"/>
    </row>
    <row r="63" ht="25.5" customHeight="1">
      <c r="A63" s="26"/>
      <c r="B63" s="28"/>
      <c r="C63" s="17"/>
      <c r="D63" s="18" t="s">
        <v>21</v>
      </c>
      <c r="E63" s="19" t="str">
        <f>vlookup($C63,CSDL!$A:$E,3,0)</f>
        <v>#N/A</v>
      </c>
      <c r="F63" s="19" t="str">
        <f>vlookup($C63,CSDL!$A:$E,4,0)</f>
        <v>#N/A</v>
      </c>
      <c r="G63" s="27" t="str">
        <f>vlookup($C63,CSDL!$A:$E,5,0)</f>
        <v>#N/A</v>
      </c>
      <c r="H63" s="28"/>
      <c r="I63" s="29" t="s">
        <v>22</v>
      </c>
      <c r="J63" s="29">
        <v>40.0</v>
      </c>
      <c r="K63" s="29">
        <v>1.0</v>
      </c>
      <c r="L63" s="22">
        <f t="shared" si="2"/>
        <v>40</v>
      </c>
      <c r="M63" s="23">
        <v>40.0</v>
      </c>
      <c r="N63" s="29" t="s">
        <v>101</v>
      </c>
      <c r="O63" s="30"/>
      <c r="P63" s="26"/>
      <c r="Q63" s="32"/>
    </row>
    <row r="64" ht="25.5" customHeight="1">
      <c r="A64" s="15"/>
      <c r="B64" s="16"/>
      <c r="C64" s="17"/>
      <c r="D64" s="18" t="s">
        <v>21</v>
      </c>
      <c r="E64" s="19" t="str">
        <f>vlookup($C64,CSDL!$A:$E,3,0)</f>
        <v>#N/A</v>
      </c>
      <c r="F64" s="19" t="str">
        <f>vlookup($C64,CSDL!$A:$E,4,0)</f>
        <v>#N/A</v>
      </c>
      <c r="G64" s="20" t="str">
        <f>vlookup($C64,CSDL!$A:$E,5,0)</f>
        <v>#N/A</v>
      </c>
      <c r="H64" s="16"/>
      <c r="I64" s="23" t="s">
        <v>22</v>
      </c>
      <c r="J64" s="23">
        <v>20.0</v>
      </c>
      <c r="K64" s="23">
        <v>1.0</v>
      </c>
      <c r="L64" s="22">
        <f t="shared" si="2"/>
        <v>20</v>
      </c>
      <c r="M64" s="23">
        <v>20.0</v>
      </c>
      <c r="N64" s="23" t="s">
        <v>43</v>
      </c>
      <c r="O64" s="24"/>
      <c r="P64" s="15"/>
      <c r="Q64" s="25"/>
    </row>
    <row r="65" ht="25.5" customHeight="1">
      <c r="A65" s="26"/>
      <c r="B65" s="28"/>
      <c r="C65" s="17"/>
      <c r="D65" s="18" t="s">
        <v>21</v>
      </c>
      <c r="E65" s="19" t="str">
        <f>vlookup($C65,CSDL!$A:$E,3,0)</f>
        <v>#N/A</v>
      </c>
      <c r="F65" s="19" t="str">
        <f>vlookup($C65,CSDL!$A:$E,4,0)</f>
        <v>#N/A</v>
      </c>
      <c r="G65" s="27" t="str">
        <f>vlookup($C65,CSDL!$A:$E,5,0)</f>
        <v>#N/A</v>
      </c>
      <c r="H65" s="28"/>
      <c r="I65" s="29" t="s">
        <v>30</v>
      </c>
      <c r="J65" s="29">
        <v>150.0</v>
      </c>
      <c r="K65" s="29">
        <v>1.0</v>
      </c>
      <c r="L65" s="22">
        <f t="shared" si="2"/>
        <v>150</v>
      </c>
      <c r="M65" s="23">
        <v>150.0</v>
      </c>
      <c r="N65" s="29" t="s">
        <v>25</v>
      </c>
      <c r="O65" s="30" t="s">
        <v>102</v>
      </c>
      <c r="P65" s="31"/>
      <c r="Q65" s="32"/>
    </row>
    <row r="66" ht="25.5" customHeight="1">
      <c r="A66" s="15"/>
      <c r="B66" s="16">
        <v>1188.0</v>
      </c>
      <c r="C66" s="17" t="s">
        <v>103</v>
      </c>
      <c r="D66" s="34" t="str">
        <f>vlookup($C66,CSDL!$A:$E,2,0)</f>
        <v>Chị Thùy TRang</v>
      </c>
      <c r="E66" s="19" t="str">
        <f>vlookup($C66,CSDL!$A:$E,3,0)</f>
        <v>Hồ VĂn Hiển</v>
      </c>
      <c r="F66" s="19" t="str">
        <f>vlookup($C66,CSDL!$A:$E,4,0)</f>
        <v>CHó</v>
      </c>
      <c r="G66" s="20" t="str">
        <f>vlookup($C66,CSDL!$A:$E,5,0)</f>
        <v>Đô</v>
      </c>
      <c r="H66" s="16"/>
      <c r="I66" s="23" t="s">
        <v>104</v>
      </c>
      <c r="J66" s="23">
        <v>400.0</v>
      </c>
      <c r="K66" s="23">
        <v>1.0</v>
      </c>
      <c r="L66" s="22">
        <f t="shared" si="2"/>
        <v>400</v>
      </c>
      <c r="M66" s="23">
        <v>670.0</v>
      </c>
      <c r="N66" s="23" t="s">
        <v>25</v>
      </c>
      <c r="O66" s="24" t="s">
        <v>105</v>
      </c>
      <c r="P66" s="15"/>
      <c r="Q66" s="25"/>
    </row>
    <row r="67" ht="25.5" customHeight="1">
      <c r="A67" s="31"/>
      <c r="B67" s="28">
        <v>1188.0</v>
      </c>
      <c r="C67" s="17"/>
      <c r="D67" s="34" t="str">
        <f>vlookup($C67,CSDL!$A:$E,2,0)</f>
        <v>#N/A</v>
      </c>
      <c r="E67" s="19" t="str">
        <f>vlookup($C67,CSDL!$A:$E,3,0)</f>
        <v>#N/A</v>
      </c>
      <c r="F67" s="19" t="str">
        <f>vlookup($C67,CSDL!$A:$E,4,0)</f>
        <v>#N/A</v>
      </c>
      <c r="G67" s="27" t="str">
        <f>vlookup($C67,CSDL!$A:$E,5,0)</f>
        <v>#N/A</v>
      </c>
      <c r="H67" s="28"/>
      <c r="I67" s="29" t="s">
        <v>24</v>
      </c>
      <c r="J67" s="29">
        <v>100.0</v>
      </c>
      <c r="K67" s="29">
        <v>1.0</v>
      </c>
      <c r="L67" s="22">
        <f t="shared" si="2"/>
        <v>100</v>
      </c>
      <c r="M67" s="23"/>
      <c r="N67" s="29"/>
      <c r="O67" s="30"/>
      <c r="P67" s="31"/>
      <c r="Q67" s="32"/>
    </row>
    <row r="68" ht="25.5" customHeight="1">
      <c r="A68" s="33"/>
      <c r="B68" s="16">
        <v>1188.0</v>
      </c>
      <c r="C68" s="17"/>
      <c r="D68" s="34" t="str">
        <f>vlookup($C68,CSDL!$A:$E,2,0)</f>
        <v>#N/A</v>
      </c>
      <c r="E68" s="19" t="str">
        <f>vlookup($C68,CSDL!$A:$E,3,0)</f>
        <v>#N/A</v>
      </c>
      <c r="F68" s="19" t="str">
        <f>vlookup($C68,CSDL!$A:$E,4,0)</f>
        <v>#N/A</v>
      </c>
      <c r="G68" s="20" t="str">
        <f>vlookup($C68,CSDL!$A:$E,5,0)</f>
        <v>#N/A</v>
      </c>
      <c r="H68" s="16"/>
      <c r="I68" s="23" t="s">
        <v>81</v>
      </c>
      <c r="J68" s="23">
        <v>100.0</v>
      </c>
      <c r="K68" s="23">
        <v>1.0</v>
      </c>
      <c r="L68" s="22">
        <f t="shared" si="2"/>
        <v>100</v>
      </c>
      <c r="M68" s="23"/>
      <c r="N68" s="23"/>
      <c r="O68" s="24"/>
      <c r="P68" s="33"/>
      <c r="Q68" s="25"/>
    </row>
    <row r="69" ht="25.5" customHeight="1">
      <c r="A69" s="26"/>
      <c r="B69" s="28">
        <v>1189.0</v>
      </c>
      <c r="C69" s="17" t="s">
        <v>106</v>
      </c>
      <c r="D69" s="34" t="str">
        <f>vlookup($C69,CSDL!$A:$E,2,0)</f>
        <v>Chị Ngọc </v>
      </c>
      <c r="E69" s="19" t="str">
        <f>vlookup($C69,CSDL!$A:$E,3,0)</f>
        <v/>
      </c>
      <c r="F69" s="19" t="str">
        <f>vlookup($C69,CSDL!$A:$E,4,0)</f>
        <v>Mèo</v>
      </c>
      <c r="G69" s="27" t="str">
        <f>vlookup($C69,CSDL!$A:$E,5,0)</f>
        <v>Amy</v>
      </c>
      <c r="H69" s="28"/>
      <c r="I69" s="29" t="s">
        <v>107</v>
      </c>
      <c r="J69" s="29">
        <v>280.0</v>
      </c>
      <c r="K69" s="29">
        <v>1.0</v>
      </c>
      <c r="L69" s="22">
        <f t="shared" si="2"/>
        <v>280</v>
      </c>
      <c r="M69" s="23">
        <v>280.0</v>
      </c>
      <c r="N69" s="29" t="s">
        <v>43</v>
      </c>
      <c r="O69" s="30"/>
      <c r="P69" s="33"/>
      <c r="Q69" s="25"/>
    </row>
    <row r="70" ht="25.5" customHeight="1">
      <c r="A70" s="15">
        <v>45968.0</v>
      </c>
      <c r="B70" s="16"/>
      <c r="C70" s="17"/>
      <c r="D70" s="18" t="s">
        <v>21</v>
      </c>
      <c r="E70" s="19" t="str">
        <f>vlookup($C70,CSDL!$A:$E,3,0)</f>
        <v>#N/A</v>
      </c>
      <c r="F70" s="19" t="str">
        <f>vlookup($C70,CSDL!$A:$E,4,0)</f>
        <v>#N/A</v>
      </c>
      <c r="G70" s="20" t="str">
        <f>vlookup($C70,CSDL!$A:$E,5,0)</f>
        <v>#N/A</v>
      </c>
      <c r="H70" s="16"/>
      <c r="I70" s="23" t="s">
        <v>53</v>
      </c>
      <c r="J70" s="23">
        <v>15.0</v>
      </c>
      <c r="K70" s="23">
        <v>1.0</v>
      </c>
      <c r="L70" s="22">
        <f t="shared" si="2"/>
        <v>15</v>
      </c>
      <c r="M70" s="23">
        <v>15.0</v>
      </c>
      <c r="N70" s="23" t="s">
        <v>25</v>
      </c>
      <c r="O70" s="24" t="s">
        <v>108</v>
      </c>
      <c r="P70" s="33"/>
      <c r="Q70" s="25"/>
    </row>
    <row r="71" ht="25.5" customHeight="1">
      <c r="A71" s="26"/>
      <c r="B71" s="28">
        <v>1190.0</v>
      </c>
      <c r="C71" s="17" t="s">
        <v>109</v>
      </c>
      <c r="D71" s="34" t="str">
        <f>vlookup($C71,CSDL!$A:$E,2,0)</f>
        <v>Dì Minh</v>
      </c>
      <c r="E71" s="19" t="str">
        <f>vlookup($C71,CSDL!$A:$E,3,0)</f>
        <v>55/4 Vạn Xuân</v>
      </c>
      <c r="F71" s="19" t="str">
        <f>vlookup($C71,CSDL!$A:$E,4,0)</f>
        <v>chó</v>
      </c>
      <c r="G71" s="27" t="str">
        <f>vlookup($C71,CSDL!$A:$E,5,0)</f>
        <v>Ky</v>
      </c>
      <c r="H71" s="28"/>
      <c r="I71" s="29" t="s">
        <v>38</v>
      </c>
      <c r="J71" s="29">
        <v>180.0</v>
      </c>
      <c r="K71" s="29">
        <v>3.0</v>
      </c>
      <c r="L71" s="22">
        <f t="shared" si="2"/>
        <v>540</v>
      </c>
      <c r="M71" s="23">
        <v>200.0</v>
      </c>
      <c r="N71" s="29" t="s">
        <v>25</v>
      </c>
      <c r="O71" s="30" t="s">
        <v>110</v>
      </c>
      <c r="P71" s="33"/>
      <c r="Q71" s="16"/>
    </row>
    <row r="72" ht="25.5" customHeight="1">
      <c r="A72" s="33"/>
      <c r="B72" s="16">
        <v>1190.0</v>
      </c>
      <c r="C72" s="17"/>
      <c r="D72" s="34" t="str">
        <f>vlookup($C72,CSDL!$A:$E,2,0)</f>
        <v>#N/A</v>
      </c>
      <c r="E72" s="19" t="str">
        <f>vlookup($C72,CSDL!$A:$E,3,0)</f>
        <v>#N/A</v>
      </c>
      <c r="F72" s="19" t="str">
        <f>vlookup($C72,CSDL!$A:$E,4,0)</f>
        <v>#N/A</v>
      </c>
      <c r="G72" s="20" t="str">
        <f>vlookup($C72,CSDL!$A:$E,5,0)</f>
        <v>#N/A</v>
      </c>
      <c r="H72" s="16"/>
      <c r="I72" s="23" t="s">
        <v>30</v>
      </c>
      <c r="J72" s="23">
        <v>100.0</v>
      </c>
      <c r="K72" s="23">
        <v>1.0</v>
      </c>
      <c r="L72" s="22">
        <f t="shared" si="2"/>
        <v>100</v>
      </c>
      <c r="M72" s="23">
        <v>440.0</v>
      </c>
      <c r="N72" s="23" t="s">
        <v>101</v>
      </c>
      <c r="O72" s="24"/>
      <c r="P72" s="33"/>
      <c r="Q72" s="16"/>
    </row>
    <row r="73" ht="25.5" customHeight="1">
      <c r="A73" s="26"/>
      <c r="B73" s="28"/>
      <c r="C73" s="17"/>
      <c r="D73" s="18" t="s">
        <v>21</v>
      </c>
      <c r="E73" s="19" t="str">
        <f>vlookup($C73,CSDL!$A:$E,3,0)</f>
        <v>#N/A</v>
      </c>
      <c r="F73" s="19" t="str">
        <f>vlookup($C73,CSDL!$A:$E,4,0)</f>
        <v>#N/A</v>
      </c>
      <c r="G73" s="27" t="str">
        <f>vlookup($C73,CSDL!$A:$E,5,0)</f>
        <v>#N/A</v>
      </c>
      <c r="H73" s="28"/>
      <c r="I73" s="29" t="s">
        <v>52</v>
      </c>
      <c r="J73" s="29">
        <v>180.0</v>
      </c>
      <c r="K73" s="29">
        <v>1.0</v>
      </c>
      <c r="L73" s="22">
        <f t="shared" si="2"/>
        <v>180</v>
      </c>
      <c r="M73" s="23">
        <v>180.0</v>
      </c>
      <c r="N73" s="29" t="s">
        <v>25</v>
      </c>
      <c r="O73" s="30" t="s">
        <v>111</v>
      </c>
      <c r="P73" s="33"/>
      <c r="Q73" s="25"/>
    </row>
    <row r="74" ht="25.5" customHeight="1">
      <c r="A74" s="33"/>
      <c r="B74" s="16">
        <v>1191.0</v>
      </c>
      <c r="C74" s="17" t="s">
        <v>112</v>
      </c>
      <c r="D74" s="34" t="str">
        <f>vlookup($C74,CSDL!$A:$E,2,0)</f>
        <v>Chị Hương Giang (Na)</v>
      </c>
      <c r="E74" s="19" t="str">
        <f>vlookup($C74,CSDL!$A:$E,3,0)</f>
        <v>Nguyễn Phúc Chu</v>
      </c>
      <c r="F74" s="19" t="str">
        <f>vlookup($C74,CSDL!$A:$E,4,0)</f>
        <v>Mèo</v>
      </c>
      <c r="G74" s="20" t="str">
        <f>vlookup($C74,CSDL!$A:$E,5,0)</f>
        <v>Vàng</v>
      </c>
      <c r="H74" s="16"/>
      <c r="I74" s="23" t="s">
        <v>76</v>
      </c>
      <c r="J74" s="23">
        <v>150.0</v>
      </c>
      <c r="K74" s="23">
        <v>1.0</v>
      </c>
      <c r="L74" s="22">
        <f t="shared" si="2"/>
        <v>150</v>
      </c>
      <c r="M74" s="23">
        <v>250.0</v>
      </c>
      <c r="N74" s="23" t="s">
        <v>25</v>
      </c>
      <c r="O74" s="24" t="s">
        <v>113</v>
      </c>
      <c r="P74" s="33"/>
      <c r="Q74" s="25"/>
    </row>
    <row r="75" ht="25.5" customHeight="1">
      <c r="A75" s="26"/>
      <c r="B75" s="28">
        <v>1191.0</v>
      </c>
      <c r="C75" s="17"/>
      <c r="D75" s="34" t="str">
        <f>vlookup($C75,CSDL!$A:$E,2,0)</f>
        <v>#N/A</v>
      </c>
      <c r="E75" s="19" t="str">
        <f>vlookup($C75,CSDL!$A:$E,3,0)</f>
        <v>#N/A</v>
      </c>
      <c r="F75" s="19" t="str">
        <f>vlookup($C75,CSDL!$A:$E,4,0)</f>
        <v>#N/A</v>
      </c>
      <c r="G75" s="27" t="str">
        <f>vlookup($C75,CSDL!$A:$E,5,0)</f>
        <v>#N/A</v>
      </c>
      <c r="H75" s="28"/>
      <c r="I75" s="29" t="s">
        <v>30</v>
      </c>
      <c r="J75" s="29">
        <v>100.0</v>
      </c>
      <c r="K75" s="29">
        <v>3.0</v>
      </c>
      <c r="L75" s="22">
        <f t="shared" si="2"/>
        <v>300</v>
      </c>
      <c r="M75" s="23">
        <v>300.0</v>
      </c>
      <c r="N75" s="29" t="s">
        <v>34</v>
      </c>
      <c r="O75" s="30"/>
      <c r="P75" s="26"/>
      <c r="Q75" s="32"/>
    </row>
    <row r="76" ht="25.5" customHeight="1">
      <c r="A76" s="15"/>
      <c r="B76" s="16">
        <v>1191.0</v>
      </c>
      <c r="C76" s="17"/>
      <c r="D76" s="34" t="str">
        <f>vlookup($C76,CSDL!$A:$E,2,0)</f>
        <v>#N/A</v>
      </c>
      <c r="E76" s="19" t="str">
        <f>vlookup($C76,CSDL!$A:$E,3,0)</f>
        <v>#N/A</v>
      </c>
      <c r="F76" s="19" t="str">
        <f>vlookup($C76,CSDL!$A:$E,4,0)</f>
        <v>#N/A</v>
      </c>
      <c r="G76" s="20" t="str">
        <f>vlookup($C76,CSDL!$A:$E,5,0)</f>
        <v>#N/A</v>
      </c>
      <c r="H76" s="16"/>
      <c r="I76" s="23" t="s">
        <v>33</v>
      </c>
      <c r="J76" s="23">
        <v>350.0</v>
      </c>
      <c r="K76" s="23">
        <v>1.0</v>
      </c>
      <c r="L76" s="22">
        <f t="shared" si="2"/>
        <v>350</v>
      </c>
      <c r="M76" s="23">
        <v>100.0</v>
      </c>
      <c r="N76" s="23" t="s">
        <v>25</v>
      </c>
      <c r="O76" s="24" t="s">
        <v>114</v>
      </c>
      <c r="P76" s="33"/>
      <c r="Q76" s="25"/>
    </row>
    <row r="77" ht="25.5" customHeight="1">
      <c r="A77" s="31"/>
      <c r="B77" s="28">
        <v>1191.0</v>
      </c>
      <c r="C77" s="17"/>
      <c r="D77" s="34" t="str">
        <f>vlookup($C77,CSDL!$A:$E,2,0)</f>
        <v>#N/A</v>
      </c>
      <c r="E77" s="19" t="str">
        <f>vlookup($C77,CSDL!$A:$E,3,0)</f>
        <v>#N/A</v>
      </c>
      <c r="F77" s="19" t="str">
        <f>vlookup($C77,CSDL!$A:$E,4,0)</f>
        <v>#N/A</v>
      </c>
      <c r="G77" s="27" t="str">
        <f>vlookup($C77,CSDL!$A:$E,5,0)</f>
        <v>#N/A</v>
      </c>
      <c r="H77" s="28"/>
      <c r="I77" s="29"/>
      <c r="J77" s="29"/>
      <c r="K77" s="29"/>
      <c r="L77" s="22">
        <f t="shared" si="2"/>
        <v>0</v>
      </c>
      <c r="M77" s="23">
        <v>50.0</v>
      </c>
      <c r="N77" s="29" t="s">
        <v>34</v>
      </c>
      <c r="O77" s="30"/>
      <c r="P77" s="26"/>
      <c r="Q77" s="32"/>
    </row>
    <row r="78" ht="25.5" customHeight="1">
      <c r="A78" s="15"/>
      <c r="B78" s="16">
        <v>1191.0</v>
      </c>
      <c r="C78" s="17"/>
      <c r="D78" s="18"/>
      <c r="E78" s="19"/>
      <c r="F78" s="19"/>
      <c r="G78" s="20"/>
      <c r="H78" s="16"/>
      <c r="I78" s="23"/>
      <c r="J78" s="23"/>
      <c r="K78" s="23"/>
      <c r="L78" s="22"/>
      <c r="M78" s="23">
        <v>100.0</v>
      </c>
      <c r="N78" s="23" t="s">
        <v>25</v>
      </c>
      <c r="O78" s="24" t="s">
        <v>115</v>
      </c>
      <c r="P78" s="15"/>
      <c r="Q78" s="25"/>
    </row>
    <row r="79" ht="25.5" customHeight="1">
      <c r="A79" s="31">
        <v>45969.0</v>
      </c>
      <c r="B79" s="28"/>
      <c r="C79" s="17"/>
      <c r="D79" s="18" t="s">
        <v>21</v>
      </c>
      <c r="E79" s="19" t="str">
        <f>vlookup($C79,CSDL!$A:$E,3,0)</f>
        <v>#N/A</v>
      </c>
      <c r="F79" s="19" t="str">
        <f>vlookup($C79,CSDL!$A:$E,4,0)</f>
        <v>#N/A</v>
      </c>
      <c r="G79" s="27" t="str">
        <f>vlookup($C79,CSDL!$A:$E,5,0)</f>
        <v>#N/A</v>
      </c>
      <c r="H79" s="28"/>
      <c r="I79" s="29" t="s">
        <v>33</v>
      </c>
      <c r="J79" s="29">
        <v>60.0</v>
      </c>
      <c r="K79" s="29">
        <v>1.0</v>
      </c>
      <c r="L79" s="22">
        <f t="shared" ref="L79:L90" si="3">K79*J79</f>
        <v>60</v>
      </c>
      <c r="M79" s="23">
        <v>60.0</v>
      </c>
      <c r="N79" s="29" t="s">
        <v>25</v>
      </c>
      <c r="O79" s="30" t="s">
        <v>116</v>
      </c>
      <c r="P79" s="31"/>
      <c r="Q79" s="32"/>
    </row>
    <row r="80" ht="25.5" customHeight="1">
      <c r="A80" s="33"/>
      <c r="B80" s="16"/>
      <c r="C80" s="17"/>
      <c r="D80" s="18" t="s">
        <v>21</v>
      </c>
      <c r="E80" s="19" t="str">
        <f>vlookup($C80,CSDL!$A:$E,3,0)</f>
        <v>#N/A</v>
      </c>
      <c r="F80" s="19" t="str">
        <f>vlookup($C80,CSDL!$A:$E,4,0)</f>
        <v>#N/A</v>
      </c>
      <c r="G80" s="20" t="str">
        <f>vlookup($C80,CSDL!$A:$E,5,0)</f>
        <v>#N/A</v>
      </c>
      <c r="H80" s="16"/>
      <c r="I80" s="23" t="s">
        <v>24</v>
      </c>
      <c r="J80" s="23">
        <v>60.0</v>
      </c>
      <c r="K80" s="23">
        <v>1.0</v>
      </c>
      <c r="L80" s="22">
        <f t="shared" si="3"/>
        <v>60</v>
      </c>
      <c r="M80" s="23">
        <v>60.0</v>
      </c>
      <c r="N80" s="23" t="s">
        <v>65</v>
      </c>
      <c r="O80" s="24"/>
      <c r="P80" s="33"/>
      <c r="Q80" s="25"/>
    </row>
    <row r="81" ht="25.5" customHeight="1">
      <c r="A81" s="26"/>
      <c r="B81" s="28">
        <v>1192.0</v>
      </c>
      <c r="C81" s="17"/>
      <c r="D81" s="18" t="s">
        <v>117</v>
      </c>
      <c r="E81" s="19" t="str">
        <f>vlookup($C81,CSDL!$A:$E,3,0)</f>
        <v>#N/A</v>
      </c>
      <c r="F81" s="19" t="str">
        <f>vlookup($C81,CSDL!$A:$E,4,0)</f>
        <v>#N/A</v>
      </c>
      <c r="G81" s="27" t="str">
        <f>vlookup($C81,CSDL!$A:$E,5,0)</f>
        <v>#N/A</v>
      </c>
      <c r="H81" s="28"/>
      <c r="I81" s="29" t="s">
        <v>24</v>
      </c>
      <c r="J81" s="29">
        <v>35.0</v>
      </c>
      <c r="K81" s="29">
        <v>14.0</v>
      </c>
      <c r="L81" s="22">
        <f t="shared" si="3"/>
        <v>490</v>
      </c>
      <c r="M81" s="23">
        <v>740.0</v>
      </c>
      <c r="N81" s="29" t="s">
        <v>25</v>
      </c>
      <c r="O81" s="30" t="s">
        <v>118</v>
      </c>
      <c r="P81" s="26"/>
      <c r="Q81" s="32"/>
    </row>
    <row r="82" ht="25.5" customHeight="1">
      <c r="A82" s="33"/>
      <c r="B82" s="16">
        <v>1192.0</v>
      </c>
      <c r="C82" s="17"/>
      <c r="D82" s="34" t="str">
        <f>vlookup($C82,CSDL!$A:$E,2,0)</f>
        <v>#N/A</v>
      </c>
      <c r="E82" s="19" t="str">
        <f>vlookup($C82,CSDL!$A:$E,3,0)</f>
        <v>#N/A</v>
      </c>
      <c r="F82" s="19" t="str">
        <f>vlookup($C82,CSDL!$A:$E,4,0)</f>
        <v>#N/A</v>
      </c>
      <c r="G82" s="20" t="str">
        <f>vlookup($C82,CSDL!$A:$E,5,0)</f>
        <v>#N/A</v>
      </c>
      <c r="H82" s="16"/>
      <c r="I82" s="23" t="s">
        <v>119</v>
      </c>
      <c r="J82" s="23">
        <v>250.0</v>
      </c>
      <c r="K82" s="23">
        <v>1.0</v>
      </c>
      <c r="L82" s="22">
        <f t="shared" si="3"/>
        <v>250</v>
      </c>
      <c r="M82" s="23">
        <v>200.0</v>
      </c>
      <c r="N82" s="23" t="s">
        <v>34</v>
      </c>
      <c r="P82" s="33"/>
      <c r="Q82" s="25"/>
    </row>
    <row r="83" ht="25.5" customHeight="1">
      <c r="A83" s="26"/>
      <c r="B83" s="28">
        <v>1192.0</v>
      </c>
      <c r="C83" s="17"/>
      <c r="D83" s="34" t="str">
        <f>vlookup($C83,CSDL!$A:$E,2,0)</f>
        <v>#N/A</v>
      </c>
      <c r="E83" s="19" t="str">
        <f>vlookup($C83,CSDL!$A:$E,3,0)</f>
        <v>#N/A</v>
      </c>
      <c r="F83" s="19" t="str">
        <f>vlookup($C83,CSDL!$A:$E,4,0)</f>
        <v>#N/A</v>
      </c>
      <c r="G83" s="27" t="str">
        <f>vlookup($C83,CSDL!$A:$E,5,0)</f>
        <v>#N/A</v>
      </c>
      <c r="H83" s="28"/>
      <c r="I83" s="29" t="s">
        <v>33</v>
      </c>
      <c r="J83" s="29">
        <v>200.0</v>
      </c>
      <c r="K83" s="29">
        <v>1.0</v>
      </c>
      <c r="L83" s="22">
        <f t="shared" si="3"/>
        <v>200</v>
      </c>
      <c r="M83" s="23"/>
      <c r="N83" s="29"/>
      <c r="O83" s="30"/>
      <c r="P83" s="26"/>
      <c r="Q83" s="28"/>
    </row>
    <row r="84" ht="25.5" customHeight="1">
      <c r="A84" s="15"/>
      <c r="B84" s="16"/>
      <c r="C84" s="17"/>
      <c r="D84" s="18" t="s">
        <v>21</v>
      </c>
      <c r="E84" s="19" t="str">
        <f>vlookup($C84,CSDL!$A:$E,3,0)</f>
        <v>#N/A</v>
      </c>
      <c r="F84" s="19" t="str">
        <f>vlookup($C84,CSDL!$A:$E,4,0)</f>
        <v>#N/A</v>
      </c>
      <c r="G84" s="20" t="str">
        <f>vlookup($C84,CSDL!$A:$E,5,0)</f>
        <v>#N/A</v>
      </c>
      <c r="H84" s="16"/>
      <c r="I84" s="23" t="s">
        <v>22</v>
      </c>
      <c r="J84" s="23">
        <v>20.0</v>
      </c>
      <c r="K84" s="23">
        <v>1.0</v>
      </c>
      <c r="L84" s="22">
        <f t="shared" si="3"/>
        <v>20</v>
      </c>
      <c r="M84" s="23">
        <v>20.0</v>
      </c>
      <c r="N84" s="23" t="s">
        <v>65</v>
      </c>
      <c r="O84" s="24"/>
      <c r="P84" s="33"/>
      <c r="Q84" s="16"/>
    </row>
    <row r="85" ht="25.5" customHeight="1">
      <c r="A85" s="26"/>
      <c r="B85" s="28"/>
      <c r="C85" s="17"/>
      <c r="D85" s="18" t="s">
        <v>21</v>
      </c>
      <c r="E85" s="19" t="str">
        <f>vlookup($C85,CSDL!$A:$E,3,0)</f>
        <v>#N/A</v>
      </c>
      <c r="F85" s="19" t="str">
        <f>vlookup($C85,CSDL!$A:$E,4,0)</f>
        <v>#N/A</v>
      </c>
      <c r="G85" s="27" t="str">
        <f>vlookup($C85,CSDL!$A:$E,5,0)</f>
        <v>#N/A</v>
      </c>
      <c r="H85" s="28"/>
      <c r="I85" s="29" t="s">
        <v>22</v>
      </c>
      <c r="J85" s="29"/>
      <c r="K85" s="29"/>
      <c r="L85" s="22">
        <f t="shared" si="3"/>
        <v>0</v>
      </c>
      <c r="M85" s="23"/>
      <c r="N85" s="29"/>
      <c r="O85" s="30"/>
      <c r="P85" s="26"/>
      <c r="Q85" s="28"/>
    </row>
    <row r="86" ht="25.5" customHeight="1">
      <c r="A86" s="33"/>
      <c r="B86" s="16">
        <v>1193.0</v>
      </c>
      <c r="C86" s="17" t="s">
        <v>120</v>
      </c>
      <c r="D86" s="34" t="str">
        <f>vlookup($C86,CSDL!$A:$E,2,0)</f>
        <v>Chị nhi</v>
      </c>
      <c r="E86" s="19" t="str">
        <f>vlookup($C86,CSDL!$A:$E,3,0)</f>
        <v>203 Chi Lăng</v>
      </c>
      <c r="F86" s="19" t="str">
        <f>vlookup($C86,CSDL!$A:$E,4,0)</f>
        <v>Mèo</v>
      </c>
      <c r="G86" s="20" t="str">
        <f>vlookup($C86,CSDL!$A:$E,5,0)</f>
        <v/>
      </c>
      <c r="H86" s="16"/>
      <c r="I86" s="23" t="s">
        <v>38</v>
      </c>
      <c r="J86" s="23">
        <v>100.0</v>
      </c>
      <c r="K86" s="23">
        <v>2.0</v>
      </c>
      <c r="L86" s="22">
        <f t="shared" si="3"/>
        <v>200</v>
      </c>
      <c r="M86" s="23">
        <v>200.0</v>
      </c>
      <c r="N86" s="23" t="s">
        <v>25</v>
      </c>
      <c r="O86" s="24" t="s">
        <v>121</v>
      </c>
      <c r="P86" s="33"/>
      <c r="Q86" s="25"/>
    </row>
    <row r="87" ht="25.5" customHeight="1">
      <c r="A87" s="26"/>
      <c r="B87" s="28">
        <v>1194.0</v>
      </c>
      <c r="C87" s="17" t="s">
        <v>122</v>
      </c>
      <c r="D87" s="34" t="str">
        <f>vlookup($C87,CSDL!$A:$E,2,0)</f>
        <v>Chị yến</v>
      </c>
      <c r="E87" s="19" t="str">
        <f>vlookup($C87,CSDL!$A:$E,3,0)</f>
        <v>Nguyễn Văn Đào</v>
      </c>
      <c r="F87" s="37" t="s">
        <v>74</v>
      </c>
      <c r="G87" s="27"/>
      <c r="H87" s="28"/>
      <c r="I87" s="29" t="s">
        <v>123</v>
      </c>
      <c r="J87" s="29">
        <v>100.0</v>
      </c>
      <c r="K87" s="29">
        <v>1.0</v>
      </c>
      <c r="L87" s="22">
        <f t="shared" si="3"/>
        <v>100</v>
      </c>
      <c r="M87" s="23">
        <v>350.0</v>
      </c>
      <c r="N87" s="29" t="s">
        <v>25</v>
      </c>
      <c r="O87" s="30" t="s">
        <v>124</v>
      </c>
      <c r="P87" s="26"/>
      <c r="Q87" s="32"/>
    </row>
    <row r="88" ht="25.5" customHeight="1">
      <c r="A88" s="33"/>
      <c r="B88" s="16">
        <v>1194.0</v>
      </c>
      <c r="C88" s="17"/>
      <c r="D88" s="34" t="str">
        <f>vlookup($C88,CSDL!$A:$E,2,0)</f>
        <v>#N/A</v>
      </c>
      <c r="E88" s="19" t="str">
        <f>vlookup($C88,CSDL!$A:$E,3,0)</f>
        <v>#N/A</v>
      </c>
      <c r="F88" s="19" t="str">
        <f>vlookup($C88,CSDL!$A:$E,4,0)</f>
        <v>#N/A</v>
      </c>
      <c r="G88" s="20" t="str">
        <f>vlookup($C88,CSDL!$A:$E,5,0)</f>
        <v>#N/A</v>
      </c>
      <c r="H88" s="16"/>
      <c r="I88" s="23" t="s">
        <v>30</v>
      </c>
      <c r="J88" s="23">
        <v>100.0</v>
      </c>
      <c r="K88" s="23">
        <v>1.0</v>
      </c>
      <c r="L88" s="22">
        <f t="shared" si="3"/>
        <v>100</v>
      </c>
      <c r="M88" s="23"/>
      <c r="N88" s="23"/>
      <c r="O88" s="24"/>
      <c r="P88" s="33"/>
      <c r="Q88" s="25"/>
    </row>
    <row r="89" ht="25.5" customHeight="1">
      <c r="A89" s="26"/>
      <c r="B89" s="28">
        <v>1194.0</v>
      </c>
      <c r="C89" s="17"/>
      <c r="D89" s="34" t="str">
        <f>vlookup($C89,CSDL!$A:$E,2,0)</f>
        <v>#N/A</v>
      </c>
      <c r="E89" s="19" t="str">
        <f>vlookup($C89,CSDL!$A:$E,3,0)</f>
        <v>#N/A</v>
      </c>
      <c r="F89" s="19" t="str">
        <f>vlookup($C89,CSDL!$A:$E,4,0)</f>
        <v>#N/A</v>
      </c>
      <c r="G89" s="27" t="str">
        <f>vlookup($C89,CSDL!$A:$E,5,0)</f>
        <v>#N/A</v>
      </c>
      <c r="H89" s="28"/>
      <c r="I89" s="29" t="s">
        <v>76</v>
      </c>
      <c r="J89" s="29">
        <v>150.0</v>
      </c>
      <c r="K89" s="29">
        <v>1.0</v>
      </c>
      <c r="L89" s="22">
        <f t="shared" si="3"/>
        <v>150</v>
      </c>
      <c r="M89" s="23"/>
      <c r="N89" s="29"/>
      <c r="O89" s="30"/>
      <c r="P89" s="31"/>
      <c r="Q89" s="32"/>
    </row>
    <row r="90" ht="25.5" customHeight="1">
      <c r="A90" s="15"/>
      <c r="B90" s="16"/>
      <c r="C90" s="17"/>
      <c r="D90" s="18" t="s">
        <v>21</v>
      </c>
      <c r="E90" s="19"/>
      <c r="F90" s="19"/>
      <c r="G90" s="20"/>
      <c r="H90" s="16"/>
      <c r="I90" s="23" t="s">
        <v>33</v>
      </c>
      <c r="J90" s="23">
        <v>30.0</v>
      </c>
      <c r="K90" s="23">
        <v>1.0</v>
      </c>
      <c r="L90" s="22">
        <f t="shared" si="3"/>
        <v>30</v>
      </c>
      <c r="M90" s="23">
        <v>30.0</v>
      </c>
      <c r="N90" s="23" t="s">
        <v>34</v>
      </c>
      <c r="O90" s="24" t="s">
        <v>125</v>
      </c>
      <c r="P90" s="33"/>
      <c r="Q90" s="16"/>
    </row>
    <row r="91" ht="25.5" customHeight="1">
      <c r="A91" s="39" t="s">
        <v>126</v>
      </c>
      <c r="B91" s="28"/>
      <c r="C91" s="17"/>
      <c r="D91" s="34"/>
      <c r="E91" s="19"/>
      <c r="F91" s="19"/>
      <c r="G91" s="27"/>
      <c r="H91" s="28"/>
      <c r="I91" s="29"/>
      <c r="J91" s="29"/>
      <c r="K91" s="29"/>
      <c r="L91" s="22"/>
      <c r="M91" s="23"/>
      <c r="N91" s="29"/>
      <c r="O91" s="30"/>
      <c r="P91" s="26"/>
      <c r="Q91" s="39">
        <f>sum(M4:M91)</f>
        <v>25820</v>
      </c>
    </row>
    <row r="92" ht="25.5" customHeight="1">
      <c r="A92" s="15">
        <v>45970.0</v>
      </c>
      <c r="B92" s="16">
        <v>1195.0</v>
      </c>
      <c r="C92" s="17" t="s">
        <v>127</v>
      </c>
      <c r="D92" s="34" t="str">
        <f>vlookup($C92,CSDL!$A:$E,2,0)</f>
        <v>Anh  Trung- c Hà Chung</v>
      </c>
      <c r="E92" s="19" t="str">
        <f>vlookup($C92,CSDL!$A:$E,3,0)</f>
        <v>25/250 Phan Bội Châu</v>
      </c>
      <c r="F92" s="19" t="str">
        <f>vlookup($C92,CSDL!$A:$E,4,0)</f>
        <v>chó</v>
      </c>
      <c r="G92" s="20" t="str">
        <f>vlookup($C92,CSDL!$A:$E,5,0)</f>
        <v>bà điên</v>
      </c>
      <c r="H92" s="16"/>
      <c r="I92" s="23" t="s">
        <v>123</v>
      </c>
      <c r="J92" s="23">
        <v>0.0</v>
      </c>
      <c r="K92" s="23">
        <v>1.0</v>
      </c>
      <c r="L92" s="22">
        <f t="shared" ref="L92:L111" si="4">K92*J92</f>
        <v>0</v>
      </c>
      <c r="M92" s="23">
        <v>0.0</v>
      </c>
      <c r="N92" s="23" t="s">
        <v>101</v>
      </c>
      <c r="O92" s="24"/>
      <c r="P92" s="33"/>
      <c r="Q92" s="16"/>
    </row>
    <row r="93" ht="25.5" customHeight="1">
      <c r="A93" s="26"/>
      <c r="B93" s="28">
        <v>1196.0</v>
      </c>
      <c r="C93" s="17" t="s">
        <v>128</v>
      </c>
      <c r="D93" s="34" t="str">
        <f>vlookup($C93,CSDL!$A:$E,2,0)</f>
        <v>Chị Thu Hà</v>
      </c>
      <c r="E93" s="19" t="str">
        <f>vlookup($C93,CSDL!$A:$E,3,0)</f>
        <v/>
      </c>
      <c r="F93" s="19" t="str">
        <f>vlookup($C93,CSDL!$A:$E,4,0)</f>
        <v>Chó</v>
      </c>
      <c r="G93" s="27" t="str">
        <f>vlookup($C93,CSDL!$A:$E,5,0)</f>
        <v>Bắp/Bầu/Bí</v>
      </c>
      <c r="H93" s="28">
        <v>10.0</v>
      </c>
      <c r="I93" s="29" t="s">
        <v>48</v>
      </c>
      <c r="J93" s="29">
        <v>150.0</v>
      </c>
      <c r="K93" s="29">
        <v>3.0</v>
      </c>
      <c r="L93" s="22">
        <f t="shared" si="4"/>
        <v>450</v>
      </c>
      <c r="M93" s="23">
        <v>1000.0</v>
      </c>
      <c r="N93" s="29" t="s">
        <v>25</v>
      </c>
      <c r="O93" s="30" t="s">
        <v>129</v>
      </c>
      <c r="P93" s="26"/>
      <c r="Q93" s="32"/>
    </row>
    <row r="94" ht="25.5" customHeight="1">
      <c r="A94" s="33"/>
      <c r="B94" s="16">
        <v>1196.0</v>
      </c>
      <c r="C94" s="17"/>
      <c r="D94" s="34" t="str">
        <f>vlookup($C94,CSDL!$A:$E,2,0)</f>
        <v>#N/A</v>
      </c>
      <c r="E94" s="19" t="str">
        <f>vlookup($C94,CSDL!$A:$E,3,0)</f>
        <v>#N/A</v>
      </c>
      <c r="F94" s="19" t="str">
        <f>vlookup($C94,CSDL!$A:$E,4,0)</f>
        <v>#N/A</v>
      </c>
      <c r="G94" s="20" t="str">
        <f>vlookup($C94,CSDL!$A:$E,5,0)</f>
        <v>#N/A</v>
      </c>
      <c r="H94" s="16"/>
      <c r="I94" s="23" t="s">
        <v>59</v>
      </c>
      <c r="J94" s="23">
        <v>510.0</v>
      </c>
      <c r="K94" s="23">
        <v>9.0</v>
      </c>
      <c r="L94" s="22">
        <f t="shared" si="4"/>
        <v>4590</v>
      </c>
      <c r="M94" s="23">
        <v>10900.0</v>
      </c>
      <c r="N94" s="23" t="s">
        <v>25</v>
      </c>
      <c r="O94" s="24" t="s">
        <v>130</v>
      </c>
      <c r="P94" s="33"/>
      <c r="Q94" s="16"/>
    </row>
    <row r="95" ht="25.5" customHeight="1">
      <c r="A95" s="31"/>
      <c r="B95" s="28">
        <v>1196.0</v>
      </c>
      <c r="C95" s="17"/>
      <c r="D95" s="34" t="str">
        <f>vlookup($C95,CSDL!$A:$E,2,0)</f>
        <v>#N/A</v>
      </c>
      <c r="E95" s="19" t="str">
        <f>vlookup($C95,CSDL!$A:$E,3,0)</f>
        <v>#N/A</v>
      </c>
      <c r="F95" s="19" t="str">
        <f>vlookup($C95,CSDL!$A:$E,4,0)</f>
        <v>#N/A</v>
      </c>
      <c r="G95" s="27" t="str">
        <f>vlookup($C95,CSDL!$A:$E,5,0)</f>
        <v>#N/A</v>
      </c>
      <c r="H95" s="28"/>
      <c r="I95" s="29" t="s">
        <v>22</v>
      </c>
      <c r="J95" s="29">
        <v>0.0</v>
      </c>
      <c r="K95" s="29">
        <v>1.0</v>
      </c>
      <c r="L95" s="22">
        <f t="shared" si="4"/>
        <v>0</v>
      </c>
      <c r="M95" s="23"/>
      <c r="N95" s="29"/>
      <c r="O95" s="30"/>
      <c r="P95" s="31"/>
      <c r="Q95" s="28"/>
    </row>
    <row r="96" ht="25.5" customHeight="1">
      <c r="A96" s="33"/>
      <c r="B96" s="16">
        <v>1196.0</v>
      </c>
      <c r="C96" s="17"/>
      <c r="D96" s="34" t="str">
        <f>vlookup($C96,CSDL!$A:$E,2,0)</f>
        <v>#N/A</v>
      </c>
      <c r="E96" s="19" t="str">
        <f>vlookup($C96,CSDL!$A:$E,3,0)</f>
        <v>#N/A</v>
      </c>
      <c r="F96" s="19" t="str">
        <f>vlookup($C96,CSDL!$A:$E,4,0)</f>
        <v>#N/A</v>
      </c>
      <c r="G96" s="20" t="str">
        <f>vlookup($C96,CSDL!$A:$E,5,0)</f>
        <v>#N/A</v>
      </c>
      <c r="H96" s="16"/>
      <c r="I96" s="23" t="s">
        <v>81</v>
      </c>
      <c r="J96" s="23">
        <v>0.0</v>
      </c>
      <c r="K96" s="23">
        <v>1.0</v>
      </c>
      <c r="L96" s="22">
        <f t="shared" si="4"/>
        <v>0</v>
      </c>
      <c r="M96" s="23"/>
      <c r="N96" s="23"/>
      <c r="O96" s="24"/>
      <c r="P96" s="33"/>
      <c r="Q96" s="25"/>
    </row>
    <row r="97" ht="25.5" customHeight="1">
      <c r="A97" s="39"/>
      <c r="B97" s="28">
        <v>1196.0</v>
      </c>
      <c r="C97" s="17"/>
      <c r="D97" s="34" t="str">
        <f>vlookup($C97,CSDL!$A:$E,2,0)</f>
        <v>#N/A</v>
      </c>
      <c r="E97" s="19" t="str">
        <f>vlookup($C97,CSDL!$A:$E,3,0)</f>
        <v>#N/A</v>
      </c>
      <c r="F97" s="19" t="str">
        <f>vlookup($C97,CSDL!$A:$E,4,0)</f>
        <v>#N/A</v>
      </c>
      <c r="G97" s="27" t="str">
        <f>vlookup($C97,CSDL!$A:$E,5,0)</f>
        <v>#N/A</v>
      </c>
      <c r="H97" s="28"/>
      <c r="I97" s="29" t="s">
        <v>131</v>
      </c>
      <c r="J97" s="29">
        <v>200.0</v>
      </c>
      <c r="K97" s="29">
        <v>6.0</v>
      </c>
      <c r="L97" s="22">
        <f t="shared" si="4"/>
        <v>1200</v>
      </c>
      <c r="M97" s="23"/>
      <c r="N97" s="29"/>
      <c r="O97" s="30"/>
      <c r="P97" s="26"/>
      <c r="Q97" s="40"/>
    </row>
    <row r="98" ht="25.5" customHeight="1">
      <c r="A98" s="15"/>
      <c r="B98" s="16">
        <v>1196.0</v>
      </c>
      <c r="C98" s="17"/>
      <c r="D98" s="34" t="str">
        <f>vlookup($C98,CSDL!$A:$E,2,0)</f>
        <v>#N/A</v>
      </c>
      <c r="E98" s="19" t="str">
        <f>vlookup($C98,CSDL!$A:$E,3,0)</f>
        <v>#N/A</v>
      </c>
      <c r="F98" s="19" t="str">
        <f>vlookup($C98,CSDL!$A:$E,4,0)</f>
        <v>#N/A</v>
      </c>
      <c r="G98" s="20" t="str">
        <f>vlookup($C98,CSDL!$A:$E,5,0)</f>
        <v>#N/A</v>
      </c>
      <c r="H98" s="16"/>
      <c r="I98" s="23" t="s">
        <v>24</v>
      </c>
      <c r="J98" s="23">
        <v>50.0</v>
      </c>
      <c r="K98" s="23">
        <f>18*3</f>
        <v>54</v>
      </c>
      <c r="L98" s="22">
        <f t="shared" si="4"/>
        <v>2700</v>
      </c>
      <c r="M98" s="23"/>
      <c r="N98" s="23"/>
      <c r="O98" s="24"/>
      <c r="P98" s="33"/>
      <c r="Q98" s="25"/>
    </row>
    <row r="99" ht="25.5" customHeight="1">
      <c r="A99" s="26"/>
      <c r="B99" s="28">
        <v>1196.0</v>
      </c>
      <c r="C99" s="17"/>
      <c r="D99" s="34" t="str">
        <f>vlookup($C99,CSDL!$A:$E,2,0)</f>
        <v>#N/A</v>
      </c>
      <c r="E99" s="19" t="str">
        <f>vlookup($C99,CSDL!$A:$E,3,0)</f>
        <v>#N/A</v>
      </c>
      <c r="F99" s="19" t="str">
        <f>vlookup($C99,CSDL!$A:$E,4,0)</f>
        <v>#N/A</v>
      </c>
      <c r="G99" s="27" t="str">
        <f>vlookup($C99,CSDL!$A:$E,5,0)</f>
        <v>#N/A</v>
      </c>
      <c r="H99" s="28"/>
      <c r="I99" s="29" t="s">
        <v>132</v>
      </c>
      <c r="J99" s="29">
        <v>350.0</v>
      </c>
      <c r="K99" s="29">
        <v>7.0</v>
      </c>
      <c r="L99" s="22">
        <f t="shared" si="4"/>
        <v>2450</v>
      </c>
      <c r="M99" s="23"/>
      <c r="N99" s="29"/>
      <c r="O99" s="30"/>
      <c r="P99" s="31"/>
      <c r="Q99" s="28"/>
    </row>
    <row r="100" ht="25.5" customHeight="1">
      <c r="A100" s="33"/>
      <c r="B100" s="16">
        <v>1197.0</v>
      </c>
      <c r="C100" s="17" t="s">
        <v>133</v>
      </c>
      <c r="D100" s="34" t="str">
        <f>vlookup($C100,CSDL!$A:$E,2,0)</f>
        <v>anh Duy</v>
      </c>
      <c r="E100" s="19" t="str">
        <f>vlookup($C100,CSDL!$A:$E,3,0)</f>
        <v>61 Phạm Thị Liên</v>
      </c>
      <c r="F100" s="19" t="str">
        <f>vlookup($C100,CSDL!$A:$E,4,0)</f>
        <v>Mèo</v>
      </c>
      <c r="G100" s="20" t="str">
        <f>vlookup($C100,CSDL!$A:$E,5,0)</f>
        <v>Tuyết</v>
      </c>
      <c r="H100" s="16"/>
      <c r="I100" s="23" t="s">
        <v>134</v>
      </c>
      <c r="J100" s="23">
        <v>500.0</v>
      </c>
      <c r="K100" s="23">
        <v>1.0</v>
      </c>
      <c r="L100" s="22">
        <f t="shared" si="4"/>
        <v>500</v>
      </c>
      <c r="M100" s="23">
        <v>600.0</v>
      </c>
      <c r="N100" s="23" t="s">
        <v>25</v>
      </c>
      <c r="O100" s="24" t="s">
        <v>135</v>
      </c>
      <c r="P100" s="15"/>
      <c r="Q100" s="16"/>
    </row>
    <row r="101" ht="25.5" customHeight="1">
      <c r="A101" s="26"/>
      <c r="B101" s="28">
        <v>1197.0</v>
      </c>
      <c r="C101" s="17"/>
      <c r="D101" s="34" t="str">
        <f>vlookup($C101,CSDL!$A:$E,2,0)</f>
        <v>#N/A</v>
      </c>
      <c r="E101" s="19" t="str">
        <f>vlookup($C101,CSDL!$A:$E,3,0)</f>
        <v>#N/A</v>
      </c>
      <c r="F101" s="19" t="str">
        <f>vlookup($C101,CSDL!$A:$E,4,0)</f>
        <v>#N/A</v>
      </c>
      <c r="G101" s="27" t="str">
        <f>vlookup($C101,CSDL!$A:$E,5,0)</f>
        <v>#N/A</v>
      </c>
      <c r="H101" s="28"/>
      <c r="I101" s="29" t="s">
        <v>24</v>
      </c>
      <c r="J101" s="29">
        <v>100.0</v>
      </c>
      <c r="K101" s="29">
        <v>1.0</v>
      </c>
      <c r="L101" s="22">
        <f t="shared" si="4"/>
        <v>100</v>
      </c>
      <c r="M101" s="23">
        <v>40.0</v>
      </c>
      <c r="N101" s="29" t="s">
        <v>34</v>
      </c>
      <c r="O101" s="30"/>
      <c r="P101" s="31"/>
      <c r="Q101" s="41"/>
    </row>
    <row r="102" ht="25.5" customHeight="1">
      <c r="A102" s="33"/>
      <c r="B102" s="16">
        <v>1197.0</v>
      </c>
      <c r="C102" s="17"/>
      <c r="D102" s="34" t="str">
        <f>vlookup($C102,CSDL!$A:$E,2,0)</f>
        <v>#N/A</v>
      </c>
      <c r="E102" s="19" t="str">
        <f>vlookup($C102,CSDL!$A:$E,3,0)</f>
        <v>#N/A</v>
      </c>
      <c r="F102" s="19" t="str">
        <f>vlookup($C102,CSDL!$A:$E,4,0)</f>
        <v>#N/A</v>
      </c>
      <c r="G102" s="20" t="str">
        <f>vlookup($C102,CSDL!$A:$E,5,0)</f>
        <v>#N/A</v>
      </c>
      <c r="H102" s="16"/>
      <c r="I102" s="23" t="s">
        <v>33</v>
      </c>
      <c r="J102" s="23">
        <v>40.0</v>
      </c>
      <c r="K102" s="23">
        <v>1.0</v>
      </c>
      <c r="L102" s="22">
        <f t="shared" si="4"/>
        <v>40</v>
      </c>
      <c r="M102" s="23"/>
      <c r="N102" s="23"/>
      <c r="O102" s="24"/>
      <c r="P102" s="33"/>
      <c r="Q102" s="25"/>
    </row>
    <row r="103" ht="25.5" customHeight="1">
      <c r="A103" s="26"/>
      <c r="B103" s="28">
        <v>1198.0</v>
      </c>
      <c r="C103" s="17" t="s">
        <v>136</v>
      </c>
      <c r="D103" s="34" t="str">
        <f>vlookup($C103,CSDL!$A:$E,2,0)</f>
        <v>Anh Thiên</v>
      </c>
      <c r="E103" s="19" t="str">
        <f>vlookup($C103,CSDL!$A:$E,3,0)</f>
        <v>5/293 điện biên phủ</v>
      </c>
      <c r="F103" s="19" t="str">
        <f>vlookup($C103,CSDL!$A:$E,4,0)</f>
        <v>Chó</v>
      </c>
      <c r="G103" s="35" t="s">
        <v>137</v>
      </c>
      <c r="H103" s="28"/>
      <c r="I103" s="29" t="s">
        <v>48</v>
      </c>
      <c r="J103" s="29">
        <v>150.0</v>
      </c>
      <c r="K103" s="29">
        <v>1.0</v>
      </c>
      <c r="L103" s="22">
        <f t="shared" si="4"/>
        <v>150</v>
      </c>
      <c r="M103" s="23">
        <v>650.0</v>
      </c>
      <c r="N103" s="29" t="s">
        <v>43</v>
      </c>
      <c r="O103" s="30"/>
      <c r="P103" s="26"/>
      <c r="Q103" s="32"/>
    </row>
    <row r="104" ht="25.5" customHeight="1">
      <c r="A104" s="33"/>
      <c r="B104" s="16">
        <v>1198.0</v>
      </c>
      <c r="C104" s="17"/>
      <c r="D104" s="34" t="str">
        <f>vlookup($C104,CSDL!$A:$E,2,0)</f>
        <v>#N/A</v>
      </c>
      <c r="E104" s="19" t="str">
        <f>vlookup($C104,CSDL!$A:$E,3,0)</f>
        <v>#N/A</v>
      </c>
      <c r="F104" s="19" t="str">
        <f>vlookup($C104,CSDL!$A:$E,4,0)</f>
        <v>#N/A</v>
      </c>
      <c r="G104" s="20" t="str">
        <f>vlookup($C104,CSDL!$A:$E,5,0)</f>
        <v>#N/A</v>
      </c>
      <c r="H104" s="16"/>
      <c r="I104" s="23" t="s">
        <v>49</v>
      </c>
      <c r="J104" s="23">
        <v>350.0</v>
      </c>
      <c r="K104" s="23">
        <v>1.0</v>
      </c>
      <c r="L104" s="22">
        <f t="shared" si="4"/>
        <v>350</v>
      </c>
      <c r="M104" s="23"/>
      <c r="N104" s="23"/>
      <c r="O104" s="24"/>
      <c r="P104" s="33"/>
      <c r="Q104" s="25"/>
    </row>
    <row r="105" ht="25.5" customHeight="1">
      <c r="A105" s="26"/>
      <c r="B105" s="28">
        <v>1198.0</v>
      </c>
      <c r="C105" s="17"/>
      <c r="D105" s="34" t="str">
        <f>vlookup($C105,CSDL!$A:$E,2,0)</f>
        <v>#N/A</v>
      </c>
      <c r="E105" s="19" t="str">
        <f>vlookup($C105,CSDL!$A:$E,3,0)</f>
        <v>#N/A</v>
      </c>
      <c r="F105" s="19" t="str">
        <f>vlookup($C105,CSDL!$A:$E,4,0)</f>
        <v>#N/A</v>
      </c>
      <c r="G105" s="27" t="str">
        <f>vlookup($C105,CSDL!$A:$E,5,0)</f>
        <v>#N/A</v>
      </c>
      <c r="H105" s="28"/>
      <c r="I105" s="29" t="s">
        <v>30</v>
      </c>
      <c r="J105" s="29">
        <v>150.0</v>
      </c>
      <c r="K105" s="29">
        <v>1.0</v>
      </c>
      <c r="L105" s="22">
        <f t="shared" si="4"/>
        <v>150</v>
      </c>
      <c r="M105" s="23"/>
      <c r="N105" s="29"/>
      <c r="O105" s="30"/>
      <c r="P105" s="26"/>
      <c r="Q105" s="32"/>
    </row>
    <row r="106" ht="25.5" customHeight="1">
      <c r="A106" s="33"/>
      <c r="B106" s="16">
        <v>1199.0</v>
      </c>
      <c r="C106" s="17"/>
      <c r="D106" s="34" t="str">
        <f>vlookup($C106,CSDL!$A:$E,2,0)</f>
        <v>#N/A</v>
      </c>
      <c r="E106" s="19" t="str">
        <f>vlookup($C106,CSDL!$A:$E,3,0)</f>
        <v>#N/A</v>
      </c>
      <c r="F106" s="19" t="str">
        <f>vlookup($C106,CSDL!$A:$E,4,0)</f>
        <v>#N/A</v>
      </c>
      <c r="G106" s="20" t="str">
        <f>vlookup($C106,CSDL!$A:$E,5,0)</f>
        <v>#N/A</v>
      </c>
      <c r="H106" s="16"/>
      <c r="I106" s="23" t="s">
        <v>107</v>
      </c>
      <c r="J106" s="23">
        <v>280.0</v>
      </c>
      <c r="K106" s="23">
        <v>1.0</v>
      </c>
      <c r="L106" s="22">
        <f t="shared" si="4"/>
        <v>280</v>
      </c>
      <c r="M106" s="23">
        <v>280.0</v>
      </c>
      <c r="N106" s="23" t="s">
        <v>65</v>
      </c>
      <c r="O106" s="24"/>
      <c r="P106" s="33"/>
      <c r="Q106" s="25"/>
    </row>
    <row r="107" ht="25.5" customHeight="1">
      <c r="A107" s="39"/>
      <c r="B107" s="28">
        <v>1200.0</v>
      </c>
      <c r="C107" s="17"/>
      <c r="D107" s="18" t="s">
        <v>138</v>
      </c>
      <c r="E107" s="19" t="str">
        <f>vlookup($C107,CSDL!$A:$E,3,0)</f>
        <v>#N/A</v>
      </c>
      <c r="F107" s="19" t="str">
        <f>vlookup($C107,CSDL!$A:$E,4,0)</f>
        <v>#N/A</v>
      </c>
      <c r="G107" s="27" t="str">
        <f>vlookup($C107,CSDL!$A:$E,5,0)</f>
        <v>#N/A</v>
      </c>
      <c r="H107" s="28"/>
      <c r="I107" s="29" t="s">
        <v>139</v>
      </c>
      <c r="J107" s="29">
        <v>150.0</v>
      </c>
      <c r="K107" s="29">
        <v>1.0</v>
      </c>
      <c r="L107" s="22">
        <f t="shared" si="4"/>
        <v>150</v>
      </c>
      <c r="M107" s="23">
        <v>170.0</v>
      </c>
      <c r="N107" s="29" t="s">
        <v>65</v>
      </c>
      <c r="O107" s="30"/>
      <c r="P107" s="26"/>
      <c r="Q107" s="40"/>
    </row>
    <row r="108" ht="25.5" customHeight="1">
      <c r="A108" s="42"/>
      <c r="B108" s="16">
        <v>1200.0</v>
      </c>
      <c r="C108" s="17"/>
      <c r="D108" s="34" t="str">
        <f>vlookup($C108,CSDL!$A:$E,2,0)</f>
        <v>#N/A</v>
      </c>
      <c r="E108" s="19" t="str">
        <f>vlookup($C108,CSDL!$A:$E,3,0)</f>
        <v>#N/A</v>
      </c>
      <c r="F108" s="19" t="str">
        <f>vlookup($C108,CSDL!$A:$E,4,0)</f>
        <v>#N/A</v>
      </c>
      <c r="G108" s="20" t="str">
        <f>vlookup($C108,CSDL!$A:$E,5,0)</f>
        <v>#N/A</v>
      </c>
      <c r="H108" s="16"/>
      <c r="I108" s="23" t="s">
        <v>22</v>
      </c>
      <c r="J108" s="23">
        <v>20.0</v>
      </c>
      <c r="K108" s="23">
        <v>1.0</v>
      </c>
      <c r="L108" s="22">
        <f t="shared" si="4"/>
        <v>20</v>
      </c>
      <c r="M108" s="23"/>
      <c r="N108" s="23"/>
      <c r="O108" s="24"/>
      <c r="P108" s="33"/>
      <c r="Q108" s="43"/>
    </row>
    <row r="109" ht="25.5" customHeight="1">
      <c r="A109" s="31"/>
      <c r="B109" s="28">
        <v>1201.0</v>
      </c>
      <c r="C109" s="17" t="s">
        <v>122</v>
      </c>
      <c r="D109" s="34" t="str">
        <f>vlookup($C109,CSDL!$A:$E,2,0)</f>
        <v>Chị yến</v>
      </c>
      <c r="E109" s="19" t="str">
        <f>vlookup($C109,CSDL!$A:$E,3,0)</f>
        <v>Nguyễn Văn Đào</v>
      </c>
      <c r="F109" s="19" t="str">
        <f>vlookup($C109,CSDL!$A:$E,4,0)</f>
        <v>Chó</v>
      </c>
      <c r="G109" s="27" t="str">
        <f>vlookup($C109,CSDL!$A:$E,5,0)</f>
        <v>Kiki</v>
      </c>
      <c r="H109" s="28"/>
      <c r="I109" s="29" t="s">
        <v>95</v>
      </c>
      <c r="J109" s="29">
        <v>100.0</v>
      </c>
      <c r="K109" s="29">
        <v>1.0</v>
      </c>
      <c r="L109" s="22">
        <f t="shared" si="4"/>
        <v>100</v>
      </c>
      <c r="M109" s="23">
        <v>500.0</v>
      </c>
      <c r="N109" s="29" t="s">
        <v>25</v>
      </c>
      <c r="O109" s="30" t="s">
        <v>140</v>
      </c>
      <c r="P109" s="28"/>
      <c r="Q109" s="32"/>
    </row>
    <row r="110" ht="25.5" customHeight="1">
      <c r="A110" s="33"/>
      <c r="B110" s="16">
        <v>1201.0</v>
      </c>
      <c r="C110" s="17"/>
      <c r="D110" s="34" t="str">
        <f>vlookup($C110,CSDL!$A:$E,2,0)</f>
        <v>#N/A</v>
      </c>
      <c r="E110" s="19" t="str">
        <f>vlookup($C110,CSDL!$A:$E,3,0)</f>
        <v>#N/A</v>
      </c>
      <c r="F110" s="19" t="str">
        <f>vlookup($C110,CSDL!$A:$E,4,0)</f>
        <v>#N/A</v>
      </c>
      <c r="G110" s="20" t="str">
        <f>vlookup($C110,CSDL!$A:$E,5,0)</f>
        <v>#N/A</v>
      </c>
      <c r="H110" s="16"/>
      <c r="I110" s="23" t="s">
        <v>30</v>
      </c>
      <c r="J110" s="23">
        <v>100.0</v>
      </c>
      <c r="K110" s="23">
        <v>4.0</v>
      </c>
      <c r="L110" s="22">
        <f t="shared" si="4"/>
        <v>400</v>
      </c>
      <c r="M110" s="23"/>
      <c r="N110" s="23"/>
      <c r="O110" s="24"/>
      <c r="P110" s="33"/>
      <c r="Q110" s="25"/>
    </row>
    <row r="111" ht="25.5" customHeight="1">
      <c r="A111" s="31"/>
      <c r="B111" s="28"/>
      <c r="C111" s="17"/>
      <c r="D111" s="18" t="s">
        <v>21</v>
      </c>
      <c r="E111" s="19" t="str">
        <f>vlookup($C111,CSDL!$A:$E,3,0)</f>
        <v>#N/A</v>
      </c>
      <c r="F111" s="19" t="str">
        <f>vlookup($C111,CSDL!$A:$E,4,0)</f>
        <v>#N/A</v>
      </c>
      <c r="G111" s="27" t="str">
        <f>vlookup($C111,CSDL!$A:$E,5,0)</f>
        <v>#N/A</v>
      </c>
      <c r="H111" s="28"/>
      <c r="I111" s="29" t="s">
        <v>53</v>
      </c>
      <c r="J111" s="29">
        <v>20.0</v>
      </c>
      <c r="K111" s="29">
        <v>7.0</v>
      </c>
      <c r="L111" s="22">
        <f t="shared" si="4"/>
        <v>140</v>
      </c>
      <c r="M111" s="23">
        <v>140.0</v>
      </c>
      <c r="N111" s="29" t="s">
        <v>65</v>
      </c>
      <c r="O111" s="30"/>
      <c r="P111" s="26"/>
      <c r="Q111" s="32"/>
    </row>
    <row r="112" ht="25.5" customHeight="1">
      <c r="A112" s="33"/>
      <c r="B112" s="16">
        <v>1167.0</v>
      </c>
      <c r="C112" s="17" t="s">
        <v>141</v>
      </c>
      <c r="D112" s="34" t="str">
        <f>vlookup($C112,CSDL!$A:$E,2,0)</f>
        <v>Anh Hải</v>
      </c>
      <c r="E112" s="19" t="str">
        <f>vlookup($C112,CSDL!$A:$E,3,0)</f>
        <v>Đông Hà, Quảng Trị</v>
      </c>
      <c r="F112" s="19" t="str">
        <f>vlookup($C112,CSDL!$A:$E,4,0)</f>
        <v>Chó</v>
      </c>
      <c r="G112" s="20" t="str">
        <f>vlookup($C112,CSDL!$A:$E,5,0)</f>
        <v>Heo</v>
      </c>
      <c r="H112" s="16"/>
      <c r="I112" s="23"/>
      <c r="J112" s="23"/>
      <c r="K112" s="23"/>
      <c r="L112" s="22"/>
      <c r="M112" s="23">
        <v>3680.0</v>
      </c>
      <c r="N112" s="23" t="s">
        <v>25</v>
      </c>
      <c r="O112" s="24" t="s">
        <v>142</v>
      </c>
      <c r="P112" s="33"/>
      <c r="Q112" s="16"/>
    </row>
    <row r="113" ht="25.5" customHeight="1">
      <c r="A113" s="26"/>
      <c r="B113" s="28">
        <v>1202.0</v>
      </c>
      <c r="C113" s="17" t="s">
        <v>143</v>
      </c>
      <c r="D113" s="34" t="str">
        <f>vlookup($C113,CSDL!$A:$E,2,0)</f>
        <v>Chị Ben</v>
      </c>
      <c r="E113" s="19" t="str">
        <f>vlookup($C113,CSDL!$A:$E,3,0)</f>
        <v>138 Vạn Xuân</v>
      </c>
      <c r="F113" s="19" t="str">
        <f>vlookup($C113,CSDL!$A:$E,4,0)</f>
        <v>Chó</v>
      </c>
      <c r="G113" s="27" t="str">
        <f>vlookup($C113,CSDL!$A:$E,5,0)</f>
        <v>Nâu</v>
      </c>
      <c r="H113" s="28"/>
      <c r="I113" s="29" t="s">
        <v>144</v>
      </c>
      <c r="J113" s="29">
        <v>70.0</v>
      </c>
      <c r="K113" s="29">
        <v>3.0</v>
      </c>
      <c r="L113" s="22">
        <f>K113*J113</f>
        <v>210</v>
      </c>
      <c r="M113" s="23">
        <v>210.0</v>
      </c>
      <c r="N113" s="29" t="s">
        <v>25</v>
      </c>
      <c r="O113" s="30" t="s">
        <v>145</v>
      </c>
      <c r="P113" s="26"/>
      <c r="Q113" s="28"/>
    </row>
    <row r="114" ht="25.5" customHeight="1">
      <c r="A114" s="15"/>
      <c r="B114" s="16">
        <v>1202.0</v>
      </c>
      <c r="C114" s="17"/>
      <c r="D114" s="18"/>
      <c r="E114" s="19"/>
      <c r="F114" s="19"/>
      <c r="G114" s="20"/>
      <c r="H114" s="16"/>
      <c r="I114" s="23"/>
      <c r="J114" s="23"/>
      <c r="K114" s="23"/>
      <c r="L114" s="22"/>
      <c r="M114" s="23">
        <v>1150.0</v>
      </c>
      <c r="N114" s="23" t="s">
        <v>25</v>
      </c>
      <c r="O114" s="24" t="s">
        <v>146</v>
      </c>
      <c r="P114" s="33"/>
      <c r="Q114" s="43"/>
    </row>
    <row r="115" ht="25.5" customHeight="1">
      <c r="A115" s="31">
        <v>45971.0</v>
      </c>
      <c r="B115" s="28"/>
      <c r="C115" s="17"/>
      <c r="D115" s="18" t="s">
        <v>21</v>
      </c>
      <c r="E115" s="19" t="str">
        <f>vlookup($C115,CSDL!$A:$E,3,0)</f>
        <v>#N/A</v>
      </c>
      <c r="F115" s="19" t="str">
        <f>vlookup($C115,CSDL!$A:$E,4,0)</f>
        <v>#N/A</v>
      </c>
      <c r="G115" s="27" t="str">
        <f>vlookup($C115,CSDL!$A:$E,5,0)</f>
        <v>#N/A</v>
      </c>
      <c r="H115" s="28"/>
      <c r="I115" s="29" t="s">
        <v>33</v>
      </c>
      <c r="J115" s="29">
        <v>87.0</v>
      </c>
      <c r="K115" s="29">
        <v>1.0</v>
      </c>
      <c r="L115" s="22">
        <f t="shared" ref="L115:L123" si="5">K115*J115</f>
        <v>87</v>
      </c>
      <c r="M115" s="23">
        <v>87.0</v>
      </c>
      <c r="N115" s="29" t="s">
        <v>34</v>
      </c>
      <c r="O115" s="30" t="s">
        <v>147</v>
      </c>
      <c r="P115" s="26"/>
      <c r="Q115" s="40"/>
    </row>
    <row r="116" ht="25.5" customHeight="1">
      <c r="A116" s="15"/>
      <c r="B116" s="16"/>
      <c r="C116" s="17"/>
      <c r="D116" s="18" t="s">
        <v>21</v>
      </c>
      <c r="E116" s="19" t="str">
        <f>vlookup($C116,CSDL!$A:$E,3,0)</f>
        <v>#N/A</v>
      </c>
      <c r="F116" s="19" t="str">
        <f>vlookup($C116,CSDL!$A:$E,4,0)</f>
        <v>#N/A</v>
      </c>
      <c r="G116" s="20" t="str">
        <f>vlookup($C116,CSDL!$A:$E,5,0)</f>
        <v>#N/A</v>
      </c>
      <c r="H116" s="16"/>
      <c r="I116" s="23" t="s">
        <v>90</v>
      </c>
      <c r="J116" s="23">
        <v>50.0</v>
      </c>
      <c r="K116" s="23">
        <v>1.0</v>
      </c>
      <c r="L116" s="22">
        <f t="shared" si="5"/>
        <v>50</v>
      </c>
      <c r="M116" s="23">
        <v>50.0</v>
      </c>
      <c r="N116" s="23" t="s">
        <v>101</v>
      </c>
      <c r="O116" s="24"/>
      <c r="P116" s="33"/>
      <c r="Q116" s="43"/>
    </row>
    <row r="117" ht="25.5" customHeight="1">
      <c r="A117" s="26"/>
      <c r="B117" s="28">
        <v>1203.0</v>
      </c>
      <c r="C117" s="17" t="s">
        <v>148</v>
      </c>
      <c r="D117" s="34" t="str">
        <f>vlookup($C117,CSDL!$A:$E,2,0)</f>
        <v>như quỳnh</v>
      </c>
      <c r="E117" s="19" t="str">
        <f>vlookup($C117,CSDL!$A:$E,3,0)</f>
        <v>9 Chế Lan Viên</v>
      </c>
      <c r="F117" s="19" t="str">
        <f>vlookup($C117,CSDL!$A:$E,4,0)</f>
        <v>mèo</v>
      </c>
      <c r="G117" s="35" t="s">
        <v>149</v>
      </c>
      <c r="H117" s="28"/>
      <c r="I117" s="29" t="s">
        <v>150</v>
      </c>
      <c r="J117" s="29">
        <v>350.0</v>
      </c>
      <c r="K117" s="29">
        <v>1.0</v>
      </c>
      <c r="L117" s="22">
        <f t="shared" si="5"/>
        <v>350</v>
      </c>
      <c r="M117" s="23">
        <v>350.0</v>
      </c>
      <c r="N117" s="29" t="s">
        <v>25</v>
      </c>
      <c r="O117" s="30" t="s">
        <v>151</v>
      </c>
      <c r="P117" s="26"/>
      <c r="Q117" s="32"/>
    </row>
    <row r="118" ht="25.5" customHeight="1">
      <c r="A118" s="33"/>
      <c r="B118" s="16">
        <v>1203.0</v>
      </c>
      <c r="C118" s="17"/>
      <c r="D118" s="34" t="str">
        <f>vlookup($C118,CSDL!$A:$E,2,0)</f>
        <v>#N/A</v>
      </c>
      <c r="E118" s="19" t="str">
        <f>vlookup($C118,CSDL!$A:$E,3,0)</f>
        <v>#N/A</v>
      </c>
      <c r="F118" s="19" t="str">
        <f>vlookup($C118,CSDL!$A:$E,4,0)</f>
        <v>#N/A</v>
      </c>
      <c r="G118" s="20" t="str">
        <f>vlookup($C118,CSDL!$A:$E,5,0)</f>
        <v>#N/A</v>
      </c>
      <c r="H118" s="16"/>
      <c r="I118" s="23" t="s">
        <v>123</v>
      </c>
      <c r="J118" s="23">
        <v>0.0</v>
      </c>
      <c r="K118" s="23">
        <v>1.0</v>
      </c>
      <c r="L118" s="22">
        <f t="shared" si="5"/>
        <v>0</v>
      </c>
      <c r="M118" s="23"/>
      <c r="N118" s="23"/>
      <c r="O118" s="24"/>
      <c r="P118" s="33"/>
      <c r="Q118" s="25"/>
    </row>
    <row r="119" ht="25.5" customHeight="1">
      <c r="A119" s="26"/>
      <c r="B119" s="28"/>
      <c r="C119" s="17"/>
      <c r="D119" s="18" t="s">
        <v>21</v>
      </c>
      <c r="E119" s="19" t="str">
        <f>vlookup($C119,CSDL!$A:$E,3,0)</f>
        <v>#N/A</v>
      </c>
      <c r="F119" s="19" t="str">
        <f>vlookup($C119,CSDL!$A:$E,4,0)</f>
        <v>#N/A</v>
      </c>
      <c r="G119" s="27" t="str">
        <f>vlookup($C119,CSDL!$A:$E,5,0)</f>
        <v>#N/A</v>
      </c>
      <c r="H119" s="28"/>
      <c r="I119" s="29" t="s">
        <v>22</v>
      </c>
      <c r="J119" s="29">
        <v>10.0</v>
      </c>
      <c r="K119" s="29">
        <v>1.0</v>
      </c>
      <c r="L119" s="22">
        <f t="shared" si="5"/>
        <v>10</v>
      </c>
      <c r="M119" s="23">
        <v>10.0</v>
      </c>
      <c r="N119" s="29" t="s">
        <v>43</v>
      </c>
      <c r="O119" s="30"/>
      <c r="P119" s="26"/>
      <c r="Q119" s="32"/>
    </row>
    <row r="120" ht="25.5" customHeight="1">
      <c r="A120" s="33"/>
      <c r="B120" s="16"/>
      <c r="C120" s="17"/>
      <c r="D120" s="18" t="s">
        <v>21</v>
      </c>
      <c r="E120" s="19" t="str">
        <f>vlookup($C120,CSDL!$A:$E,3,0)</f>
        <v>#N/A</v>
      </c>
      <c r="F120" s="19" t="str">
        <f>vlookup($C120,CSDL!$A:$E,4,0)</f>
        <v>#N/A</v>
      </c>
      <c r="G120" s="20" t="str">
        <f>vlookup($C120,CSDL!$A:$E,5,0)</f>
        <v>#N/A</v>
      </c>
      <c r="H120" s="16"/>
      <c r="I120" s="23" t="s">
        <v>30</v>
      </c>
      <c r="J120" s="23">
        <v>100.0</v>
      </c>
      <c r="K120" s="23">
        <v>1.0</v>
      </c>
      <c r="L120" s="22">
        <f t="shared" si="5"/>
        <v>100</v>
      </c>
      <c r="M120" s="23">
        <v>100.0</v>
      </c>
      <c r="N120" s="23" t="s">
        <v>43</v>
      </c>
      <c r="O120" s="24"/>
      <c r="P120" s="33"/>
      <c r="Q120" s="44"/>
    </row>
    <row r="121" ht="25.5" customHeight="1">
      <c r="A121" s="26"/>
      <c r="B121" s="28">
        <v>1204.0</v>
      </c>
      <c r="C121" s="17" t="s">
        <v>152</v>
      </c>
      <c r="D121" s="34" t="str">
        <f>vlookup($C121,CSDL!$A:$E,2,0)</f>
        <v>Anh Phong</v>
      </c>
      <c r="E121" s="19" t="str">
        <f>vlookup($C121,CSDL!$A:$E,3,0)</f>
        <v>Lô C70 Xuân Hòa</v>
      </c>
      <c r="F121" s="19" t="str">
        <f>vlookup($C121,CSDL!$A:$E,4,0)</f>
        <v>Chó</v>
      </c>
      <c r="G121" s="27" t="str">
        <f>vlookup($C121,CSDL!$A:$E,5,0)</f>
        <v>Lu</v>
      </c>
      <c r="H121" s="28"/>
      <c r="I121" s="29" t="s">
        <v>139</v>
      </c>
      <c r="J121" s="29">
        <v>150.0</v>
      </c>
      <c r="K121" s="29">
        <v>1.0</v>
      </c>
      <c r="L121" s="22">
        <f t="shared" si="5"/>
        <v>150</v>
      </c>
      <c r="M121" s="23">
        <v>150.0</v>
      </c>
      <c r="N121" s="29" t="s">
        <v>43</v>
      </c>
      <c r="O121" s="30"/>
      <c r="P121" s="26"/>
      <c r="Q121" s="32"/>
    </row>
    <row r="122" ht="25.5" customHeight="1">
      <c r="A122" s="15">
        <v>45972.0</v>
      </c>
      <c r="B122" s="16">
        <v>1205.0</v>
      </c>
      <c r="C122" s="17" t="s">
        <v>153</v>
      </c>
      <c r="D122" s="34" t="str">
        <f>vlookup($C122,CSDL!$A:$E,2,0)</f>
        <v>chị thảo</v>
      </c>
      <c r="E122" s="19" t="str">
        <f>vlookup($C122,CSDL!$A:$E,3,0)</f>
        <v>Phú hiệp</v>
      </c>
      <c r="F122" s="37" t="s">
        <v>74</v>
      </c>
      <c r="G122" s="36" t="s">
        <v>154</v>
      </c>
      <c r="H122" s="16"/>
      <c r="I122" s="23" t="s">
        <v>30</v>
      </c>
      <c r="J122" s="23">
        <v>100.0</v>
      </c>
      <c r="K122" s="23">
        <v>2.0</v>
      </c>
      <c r="L122" s="22">
        <f t="shared" si="5"/>
        <v>200</v>
      </c>
      <c r="M122" s="23">
        <v>100.0</v>
      </c>
      <c r="N122" s="23" t="s">
        <v>25</v>
      </c>
      <c r="O122" s="24" t="s">
        <v>155</v>
      </c>
      <c r="P122" s="15"/>
      <c r="Q122" s="25"/>
    </row>
    <row r="123" ht="25.5" customHeight="1">
      <c r="A123" s="26"/>
      <c r="B123" s="28">
        <v>1205.0</v>
      </c>
      <c r="C123" s="17"/>
      <c r="D123" s="34" t="str">
        <f>vlookup($C123,CSDL!$A:$E,2,0)</f>
        <v>#N/A</v>
      </c>
      <c r="E123" s="19" t="str">
        <f>vlookup($C123,CSDL!$A:$E,3,0)</f>
        <v>#N/A</v>
      </c>
      <c r="F123" s="19" t="str">
        <f>vlookup($C123,CSDL!$A:$E,4,0)</f>
        <v>#N/A</v>
      </c>
      <c r="G123" s="27" t="str">
        <f>vlookup($C123,CSDL!$A:$E,5,0)</f>
        <v>#N/A</v>
      </c>
      <c r="H123" s="28"/>
      <c r="I123" s="29"/>
      <c r="J123" s="29"/>
      <c r="K123" s="29"/>
      <c r="L123" s="22">
        <f t="shared" si="5"/>
        <v>0</v>
      </c>
      <c r="M123" s="23">
        <v>100.0</v>
      </c>
      <c r="N123" s="29" t="s">
        <v>25</v>
      </c>
      <c r="O123" s="30" t="s">
        <v>156</v>
      </c>
      <c r="P123" s="26"/>
      <c r="Q123" s="32"/>
    </row>
    <row r="124" ht="25.5" customHeight="1">
      <c r="A124" s="33"/>
      <c r="B124" s="16">
        <v>1205.0</v>
      </c>
      <c r="C124" s="17"/>
      <c r="D124" s="34"/>
      <c r="E124" s="19"/>
      <c r="F124" s="19"/>
      <c r="G124" s="36"/>
      <c r="H124" s="16"/>
      <c r="I124" s="23"/>
      <c r="J124" s="23"/>
      <c r="K124" s="23"/>
      <c r="L124" s="22"/>
      <c r="M124" s="23">
        <v>400.0</v>
      </c>
      <c r="N124" s="23" t="s">
        <v>25</v>
      </c>
      <c r="O124" s="24" t="s">
        <v>157</v>
      </c>
      <c r="P124" s="15"/>
      <c r="Q124" s="25"/>
    </row>
    <row r="125" ht="25.5" customHeight="1">
      <c r="A125" s="26"/>
      <c r="B125" s="28">
        <v>1206.0</v>
      </c>
      <c r="C125" s="17" t="s">
        <v>158</v>
      </c>
      <c r="D125" s="34" t="str">
        <f>vlookup($C125,CSDL!$A:$E,2,0)</f>
        <v>Nguyễn Đăng Vinh</v>
      </c>
      <c r="E125" s="19" t="str">
        <f>vlookup($C125,CSDL!$A:$E,3,0)</f>
        <v>67/1 Nguyễn Hoàng</v>
      </c>
      <c r="F125" s="19" t="str">
        <f>vlookup($C125,CSDL!$A:$E,4,0)</f>
        <v>Mèo</v>
      </c>
      <c r="G125" s="35" t="s">
        <v>159</v>
      </c>
      <c r="H125" s="28"/>
      <c r="I125" s="29" t="s">
        <v>59</v>
      </c>
      <c r="J125" s="29">
        <v>150.0</v>
      </c>
      <c r="K125" s="29">
        <v>6.0</v>
      </c>
      <c r="L125" s="22">
        <f t="shared" ref="L125:L173" si="6">K125*J125</f>
        <v>900</v>
      </c>
      <c r="M125" s="23">
        <v>3000.0</v>
      </c>
      <c r="N125" s="29" t="s">
        <v>25</v>
      </c>
      <c r="O125" s="30" t="s">
        <v>160</v>
      </c>
      <c r="P125" s="31">
        <v>45977.0</v>
      </c>
      <c r="Q125" s="32"/>
    </row>
    <row r="126" ht="25.5" customHeight="1">
      <c r="A126" s="33"/>
      <c r="B126" s="16">
        <v>1206.0</v>
      </c>
      <c r="C126" s="17"/>
      <c r="D126" s="34" t="str">
        <f>vlookup($C126,CSDL!$A:$E,2,0)</f>
        <v>#N/A</v>
      </c>
      <c r="E126" s="19" t="str">
        <f>vlookup($C126,CSDL!$A:$E,3,0)</f>
        <v>#N/A</v>
      </c>
      <c r="F126" s="19" t="str">
        <f>vlookup($C126,CSDL!$A:$E,4,0)</f>
        <v>#N/A</v>
      </c>
      <c r="G126" s="20" t="str">
        <f>vlookup($C126,CSDL!$A:$E,5,0)</f>
        <v>#N/A</v>
      </c>
      <c r="H126" s="16"/>
      <c r="I126" s="23" t="s">
        <v>48</v>
      </c>
      <c r="J126" s="23">
        <v>200.0</v>
      </c>
      <c r="K126" s="23">
        <v>1.0</v>
      </c>
      <c r="L126" s="22">
        <f t="shared" si="6"/>
        <v>200</v>
      </c>
      <c r="M126" s="23"/>
      <c r="N126" s="23"/>
      <c r="O126" s="24"/>
      <c r="P126" s="15"/>
      <c r="Q126" s="25"/>
    </row>
    <row r="127" ht="25.5" customHeight="1">
      <c r="A127" s="26"/>
      <c r="B127" s="28">
        <v>1206.0</v>
      </c>
      <c r="C127" s="17"/>
      <c r="D127" s="34" t="str">
        <f>vlookup($C127,CSDL!$A:$E,2,0)</f>
        <v>#N/A</v>
      </c>
      <c r="E127" s="19" t="str">
        <f>vlookup($C127,CSDL!$A:$E,3,0)</f>
        <v>#N/A</v>
      </c>
      <c r="F127" s="19" t="str">
        <f>vlookup($C127,CSDL!$A:$E,4,0)</f>
        <v>#N/A</v>
      </c>
      <c r="G127" s="27" t="str">
        <f>vlookup($C127,CSDL!$A:$E,5,0)</f>
        <v>#N/A</v>
      </c>
      <c r="H127" s="28"/>
      <c r="I127" s="29" t="s">
        <v>50</v>
      </c>
      <c r="J127" s="29">
        <v>1000.0</v>
      </c>
      <c r="K127" s="29">
        <v>1.0</v>
      </c>
      <c r="L127" s="22">
        <f t="shared" si="6"/>
        <v>1000</v>
      </c>
      <c r="M127" s="23"/>
      <c r="N127" s="29"/>
      <c r="O127" s="30"/>
      <c r="P127" s="31"/>
      <c r="Q127" s="28"/>
    </row>
    <row r="128" ht="25.5" customHeight="1">
      <c r="A128" s="33"/>
      <c r="B128" s="16" t="s">
        <v>161</v>
      </c>
      <c r="C128" s="17" t="s">
        <v>162</v>
      </c>
      <c r="D128" s="34" t="str">
        <f>vlookup($C128,CSDL!$A:$E,2,0)</f>
        <v>William</v>
      </c>
      <c r="E128" s="19" t="str">
        <f>vlookup($C128,CSDL!$A:$E,3,0)</f>
        <v>Trường Phượng Hoàng</v>
      </c>
      <c r="F128" s="19" t="str">
        <f>vlookup($C128,CSDL!$A:$E,4,0)</f>
        <v>Chó</v>
      </c>
      <c r="G128" s="36" t="s">
        <v>163</v>
      </c>
      <c r="H128" s="16">
        <v>16.5</v>
      </c>
      <c r="I128" s="23" t="s">
        <v>104</v>
      </c>
      <c r="J128" s="23">
        <v>2000.0</v>
      </c>
      <c r="K128" s="23">
        <v>1.0</v>
      </c>
      <c r="L128" s="22">
        <f t="shared" si="6"/>
        <v>2000</v>
      </c>
      <c r="M128" s="23">
        <v>2000.0</v>
      </c>
      <c r="N128" s="23" t="s">
        <v>25</v>
      </c>
      <c r="O128" s="24" t="s">
        <v>164</v>
      </c>
      <c r="P128" s="15"/>
      <c r="Q128" s="25"/>
    </row>
    <row r="129" ht="25.5" customHeight="1">
      <c r="A129" s="31"/>
      <c r="B129" s="28" t="s">
        <v>161</v>
      </c>
      <c r="C129" s="17"/>
      <c r="D129" s="34" t="str">
        <f>vlookup($C129,CSDL!$A:$E,2,0)</f>
        <v>#N/A</v>
      </c>
      <c r="E129" s="19" t="str">
        <f>vlookup($C129,CSDL!$A:$E,3,0)</f>
        <v>#N/A</v>
      </c>
      <c r="F129" s="19" t="str">
        <f>vlookup($C129,CSDL!$A:$E,4,0)</f>
        <v>#N/A</v>
      </c>
      <c r="G129" s="27" t="str">
        <f>vlookup($C129,CSDL!$A:$E,5,0)</f>
        <v>#N/A</v>
      </c>
      <c r="H129" s="28"/>
      <c r="I129" s="29" t="s">
        <v>30</v>
      </c>
      <c r="J129" s="29">
        <v>150.0</v>
      </c>
      <c r="K129" s="29">
        <v>1.0</v>
      </c>
      <c r="L129" s="22">
        <f t="shared" si="6"/>
        <v>150</v>
      </c>
      <c r="M129" s="23">
        <v>150.0</v>
      </c>
      <c r="N129" s="29" t="s">
        <v>25</v>
      </c>
      <c r="O129" s="30" t="s">
        <v>165</v>
      </c>
      <c r="P129" s="26"/>
      <c r="Q129" s="28"/>
    </row>
    <row r="130" ht="25.5" customHeight="1">
      <c r="A130" s="33"/>
      <c r="B130" s="16" t="s">
        <v>161</v>
      </c>
      <c r="C130" s="17"/>
      <c r="D130" s="34" t="str">
        <f>vlookup($C130,CSDL!$A:$E,2,0)</f>
        <v>#N/A</v>
      </c>
      <c r="E130" s="19" t="str">
        <f>vlookup($C130,CSDL!$A:$E,3,0)</f>
        <v>#N/A</v>
      </c>
      <c r="F130" s="19" t="str">
        <f>vlookup($C130,CSDL!$A:$E,4,0)</f>
        <v>#N/A</v>
      </c>
      <c r="G130" s="20" t="str">
        <f>vlookup($C130,CSDL!$A:$E,5,0)</f>
        <v>#N/A</v>
      </c>
      <c r="H130" s="16"/>
      <c r="I130" s="23" t="s">
        <v>24</v>
      </c>
      <c r="J130" s="23">
        <v>30.0</v>
      </c>
      <c r="K130" s="23">
        <v>5.0</v>
      </c>
      <c r="L130" s="22">
        <f t="shared" si="6"/>
        <v>150</v>
      </c>
      <c r="M130" s="23">
        <v>150.0</v>
      </c>
      <c r="N130" s="23" t="s">
        <v>25</v>
      </c>
      <c r="O130" s="24" t="s">
        <v>165</v>
      </c>
      <c r="P130" s="33"/>
      <c r="Q130" s="25"/>
    </row>
    <row r="131" ht="25.5" customHeight="1">
      <c r="A131" s="39"/>
      <c r="B131" s="28"/>
      <c r="C131" s="17"/>
      <c r="D131" s="18" t="s">
        <v>21</v>
      </c>
      <c r="E131" s="19" t="str">
        <f>vlookup($C131,CSDL!$A:$E,3,0)</f>
        <v>#N/A</v>
      </c>
      <c r="F131" s="19" t="str">
        <f>vlookup($C131,CSDL!$A:$E,4,0)</f>
        <v>#N/A</v>
      </c>
      <c r="G131" s="27" t="str">
        <f>vlookup($C131,CSDL!$A:$E,5,0)</f>
        <v>#N/A</v>
      </c>
      <c r="H131" s="28"/>
      <c r="I131" s="29" t="s">
        <v>166</v>
      </c>
      <c r="J131" s="29">
        <v>170.0</v>
      </c>
      <c r="K131" s="29">
        <v>1.0</v>
      </c>
      <c r="L131" s="22">
        <f t="shared" si="6"/>
        <v>170</v>
      </c>
      <c r="M131" s="23">
        <v>170.0</v>
      </c>
      <c r="N131" s="29" t="s">
        <v>43</v>
      </c>
      <c r="O131" s="30"/>
      <c r="P131" s="26"/>
      <c r="Q131" s="40"/>
    </row>
    <row r="132" ht="25.5" customHeight="1">
      <c r="A132" s="15"/>
      <c r="B132" s="16"/>
      <c r="C132" s="17"/>
      <c r="D132" s="18" t="s">
        <v>21</v>
      </c>
      <c r="E132" s="19" t="str">
        <f>vlookup($C132,CSDL!$A:$E,3,0)</f>
        <v>#N/A</v>
      </c>
      <c r="F132" s="19" t="str">
        <f>vlookup($C132,CSDL!$A:$E,4,0)</f>
        <v>#N/A</v>
      </c>
      <c r="G132" s="20" t="str">
        <f>vlookup($C132,CSDL!$A:$E,5,0)</f>
        <v>#N/A</v>
      </c>
      <c r="H132" s="16"/>
      <c r="I132" s="23" t="s">
        <v>24</v>
      </c>
      <c r="J132" s="23">
        <v>300.0</v>
      </c>
      <c r="K132" s="23">
        <v>1.0</v>
      </c>
      <c r="L132" s="22">
        <f t="shared" si="6"/>
        <v>300</v>
      </c>
      <c r="M132" s="23">
        <v>300.0</v>
      </c>
      <c r="N132" s="23" t="s">
        <v>101</v>
      </c>
      <c r="O132" s="24"/>
      <c r="P132" s="33"/>
      <c r="Q132" s="25"/>
    </row>
    <row r="133" ht="25.5" customHeight="1">
      <c r="A133" s="26"/>
      <c r="B133" s="28">
        <v>1207.0</v>
      </c>
      <c r="C133" s="17"/>
      <c r="D133" s="34" t="str">
        <f>vlookup($C133,CSDL!$A:$E,2,0)</f>
        <v>#N/A</v>
      </c>
      <c r="E133" s="19" t="str">
        <f>vlookup($C133,CSDL!$A:$E,3,0)</f>
        <v>#N/A</v>
      </c>
      <c r="F133" s="19" t="str">
        <f>vlookup($C133,CSDL!$A:$E,4,0)</f>
        <v>#N/A</v>
      </c>
      <c r="G133" s="27" t="str">
        <f>vlookup($C133,CSDL!$A:$E,5,0)</f>
        <v>#N/A</v>
      </c>
      <c r="H133" s="28"/>
      <c r="I133" s="29" t="s">
        <v>167</v>
      </c>
      <c r="J133" s="29">
        <v>150.0</v>
      </c>
      <c r="K133" s="29">
        <v>1.0</v>
      </c>
      <c r="L133" s="22">
        <f t="shared" si="6"/>
        <v>150</v>
      </c>
      <c r="M133" s="23">
        <v>150.0</v>
      </c>
      <c r="N133" s="29" t="s">
        <v>25</v>
      </c>
      <c r="O133" s="30" t="s">
        <v>168</v>
      </c>
      <c r="P133" s="26"/>
      <c r="Q133" s="32"/>
    </row>
    <row r="134" ht="25.5" customHeight="1">
      <c r="A134" s="33"/>
      <c r="B134" s="16">
        <v>1208.0</v>
      </c>
      <c r="C134" s="17" t="s">
        <v>169</v>
      </c>
      <c r="D134" s="34" t="str">
        <f>vlookup($C134,CSDL!$A:$E,2,0)</f>
        <v>Chị Loan</v>
      </c>
      <c r="E134" s="19" t="str">
        <f>vlookup($C134,CSDL!$A:$E,3,0)</f>
        <v>79 Hoàng Thăng</v>
      </c>
      <c r="F134" s="19" t="str">
        <f>vlookup($C134,CSDL!$A:$E,4,0)</f>
        <v>Mèo</v>
      </c>
      <c r="G134" s="20" t="str">
        <f>vlookup($C134,CSDL!$A:$E,5,0)</f>
        <v>Mèo</v>
      </c>
      <c r="H134" s="16"/>
      <c r="I134" s="23" t="s">
        <v>134</v>
      </c>
      <c r="J134" s="23">
        <v>600.0</v>
      </c>
      <c r="K134" s="23">
        <v>1.0</v>
      </c>
      <c r="L134" s="22">
        <f t="shared" si="6"/>
        <v>600</v>
      </c>
      <c r="M134" s="23">
        <v>600.0</v>
      </c>
      <c r="N134" s="23" t="s">
        <v>101</v>
      </c>
      <c r="O134" s="24"/>
      <c r="P134" s="33"/>
      <c r="Q134" s="25"/>
    </row>
    <row r="135" ht="25.5" customHeight="1">
      <c r="A135" s="31"/>
      <c r="B135" s="28"/>
      <c r="C135" s="17"/>
      <c r="D135" s="18" t="s">
        <v>170</v>
      </c>
      <c r="E135" s="19" t="str">
        <f>vlookup($C135,CSDL!$A:$E,3,0)</f>
        <v>#N/A</v>
      </c>
      <c r="F135" s="19" t="str">
        <f>vlookup($C135,CSDL!$A:$E,4,0)</f>
        <v>#N/A</v>
      </c>
      <c r="G135" s="27" t="str">
        <f>vlookup($C135,CSDL!$A:$E,5,0)</f>
        <v>#N/A</v>
      </c>
      <c r="H135" s="28"/>
      <c r="I135" s="29" t="s">
        <v>48</v>
      </c>
      <c r="J135" s="29">
        <v>70.0</v>
      </c>
      <c r="K135" s="29">
        <v>3.0</v>
      </c>
      <c r="L135" s="22">
        <f t="shared" si="6"/>
        <v>210</v>
      </c>
      <c r="M135" s="23">
        <v>210.0</v>
      </c>
      <c r="N135" s="29" t="s">
        <v>25</v>
      </c>
      <c r="O135" s="30" t="s">
        <v>171</v>
      </c>
      <c r="P135" s="26"/>
      <c r="Q135" s="32"/>
    </row>
    <row r="136" ht="25.5" customHeight="1">
      <c r="A136" s="33"/>
      <c r="B136" s="16">
        <v>1209.0</v>
      </c>
      <c r="C136" s="17" t="s">
        <v>172</v>
      </c>
      <c r="D136" s="34" t="str">
        <f>vlookup($C136,CSDL!$A:$E,2,0)</f>
        <v>Ngọc Trâm</v>
      </c>
      <c r="E136" s="19" t="str">
        <f>vlookup($C136,CSDL!$A:$E,3,0)</f>
        <v>19/25 Mai Khắc Đôn</v>
      </c>
      <c r="F136" s="19" t="str">
        <f>vlookup($C136,CSDL!$A:$E,4,0)</f>
        <v>mèo</v>
      </c>
      <c r="G136" s="36" t="s">
        <v>173</v>
      </c>
      <c r="H136" s="16">
        <v>2.8</v>
      </c>
      <c r="I136" s="23" t="s">
        <v>48</v>
      </c>
      <c r="J136" s="23">
        <v>600.0</v>
      </c>
      <c r="K136" s="23">
        <v>1.0</v>
      </c>
      <c r="L136" s="22">
        <f t="shared" si="6"/>
        <v>600</v>
      </c>
      <c r="M136" s="23">
        <v>500.0</v>
      </c>
      <c r="N136" s="23" t="s">
        <v>25</v>
      </c>
      <c r="O136" s="24" t="s">
        <v>174</v>
      </c>
      <c r="P136" s="33"/>
      <c r="Q136" s="25"/>
    </row>
    <row r="137" ht="25.5" customHeight="1">
      <c r="A137" s="26"/>
      <c r="B137" s="28">
        <v>1209.0</v>
      </c>
      <c r="C137" s="17"/>
      <c r="D137" s="34" t="str">
        <f>vlookup($C137,CSDL!$A:$E,2,0)</f>
        <v>#N/A</v>
      </c>
      <c r="E137" s="19" t="str">
        <f>vlookup($C137,CSDL!$A:$E,3,0)</f>
        <v>#N/A</v>
      </c>
      <c r="F137" s="19" t="str">
        <f>vlookup($C137,CSDL!$A:$E,4,0)</f>
        <v>#N/A</v>
      </c>
      <c r="G137" s="27" t="str">
        <f>vlookup($C137,CSDL!$A:$E,5,0)</f>
        <v>#N/A</v>
      </c>
      <c r="H137" s="28"/>
      <c r="I137" s="29" t="s">
        <v>30</v>
      </c>
      <c r="J137" s="29">
        <v>70.0</v>
      </c>
      <c r="K137" s="29">
        <v>2.0</v>
      </c>
      <c r="L137" s="22">
        <f t="shared" si="6"/>
        <v>140</v>
      </c>
      <c r="M137" s="23">
        <v>240.0</v>
      </c>
      <c r="N137" s="29" t="s">
        <v>43</v>
      </c>
      <c r="O137" s="30"/>
      <c r="P137" s="31"/>
      <c r="Q137" s="32"/>
    </row>
    <row r="138" ht="25.5" customHeight="1">
      <c r="A138" s="33"/>
      <c r="B138" s="16">
        <v>1211.0</v>
      </c>
      <c r="C138" s="17" t="s">
        <v>175</v>
      </c>
      <c r="D138" s="34" t="str">
        <f>vlookup($C138,CSDL!$A:$E,2,0)</f>
        <v>Dì Nguyên</v>
      </c>
      <c r="E138" s="19" t="str">
        <f>vlookup($C138,CSDL!$A:$E,3,0)</f>
        <v>23 Bảo Quốc</v>
      </c>
      <c r="F138" s="19" t="str">
        <f>vlookup($C138,CSDL!$A:$E,4,0)</f>
        <v>chó</v>
      </c>
      <c r="G138" s="20" t="str">
        <f>vlookup($C138,CSDL!$A:$E,5,0)</f>
        <v>Bông</v>
      </c>
      <c r="H138" s="16"/>
      <c r="I138" s="23" t="s">
        <v>24</v>
      </c>
      <c r="J138" s="23">
        <v>40.0</v>
      </c>
      <c r="K138" s="23">
        <v>1.0</v>
      </c>
      <c r="L138" s="22">
        <f t="shared" si="6"/>
        <v>40</v>
      </c>
      <c r="M138" s="23">
        <v>290.0</v>
      </c>
      <c r="N138" s="23" t="s">
        <v>25</v>
      </c>
      <c r="O138" s="24" t="s">
        <v>176</v>
      </c>
      <c r="P138" s="33"/>
      <c r="Q138" s="25"/>
    </row>
    <row r="139" ht="25.5" customHeight="1">
      <c r="A139" s="26"/>
      <c r="B139" s="28">
        <v>1211.0</v>
      </c>
      <c r="C139" s="17"/>
      <c r="D139" s="34" t="str">
        <f>vlookup($C139,CSDL!$A:$E,2,0)</f>
        <v>#N/A</v>
      </c>
      <c r="E139" s="19" t="str">
        <f>vlookup($C139,CSDL!$A:$E,3,0)</f>
        <v>#N/A</v>
      </c>
      <c r="F139" s="19" t="str">
        <f>vlookup($C139,CSDL!$A:$E,4,0)</f>
        <v>#N/A</v>
      </c>
      <c r="G139" s="27" t="str">
        <f>vlookup($C139,CSDL!$A:$E,5,0)</f>
        <v>#N/A</v>
      </c>
      <c r="H139" s="28"/>
      <c r="I139" s="29" t="s">
        <v>177</v>
      </c>
      <c r="J139" s="29">
        <v>150.0</v>
      </c>
      <c r="K139" s="29">
        <v>2.0</v>
      </c>
      <c r="L139" s="22">
        <f t="shared" si="6"/>
        <v>300</v>
      </c>
      <c r="M139" s="23">
        <v>50.0</v>
      </c>
      <c r="N139" s="29" t="s">
        <v>34</v>
      </c>
      <c r="O139" s="30"/>
      <c r="P139" s="26"/>
      <c r="Q139" s="45"/>
    </row>
    <row r="140" ht="25.5" customHeight="1">
      <c r="A140" s="33"/>
      <c r="B140" s="16">
        <v>1211.0</v>
      </c>
      <c r="C140" s="17"/>
      <c r="D140" s="34" t="str">
        <f>vlookup($C140,CSDL!$A:$E,2,0)</f>
        <v>#N/A</v>
      </c>
      <c r="E140" s="19" t="str">
        <f>vlookup($C140,CSDL!$A:$E,3,0)</f>
        <v>#N/A</v>
      </c>
      <c r="F140" s="19" t="str">
        <f>vlookup($C140,CSDL!$A:$E,4,0)</f>
        <v>#N/A</v>
      </c>
      <c r="G140" s="20" t="str">
        <f>vlookup($C140,CSDL!$A:$E,5,0)</f>
        <v>#N/A</v>
      </c>
      <c r="H140" s="16"/>
      <c r="I140" s="23" t="s">
        <v>33</v>
      </c>
      <c r="J140" s="23">
        <v>50.0</v>
      </c>
      <c r="K140" s="23">
        <v>1.0</v>
      </c>
      <c r="L140" s="22">
        <f t="shared" si="6"/>
        <v>50</v>
      </c>
      <c r="M140" s="23"/>
      <c r="N140" s="23"/>
      <c r="O140" s="24"/>
      <c r="P140" s="33"/>
      <c r="Q140" s="25"/>
    </row>
    <row r="141" ht="25.5" customHeight="1">
      <c r="A141" s="31">
        <v>45973.0</v>
      </c>
      <c r="B141" s="28"/>
      <c r="C141" s="17"/>
      <c r="D141" s="18" t="s">
        <v>21</v>
      </c>
      <c r="E141" s="19" t="str">
        <f>vlookup($C141,CSDL!$A:$E,3,0)</f>
        <v>#N/A</v>
      </c>
      <c r="F141" s="19" t="str">
        <f>vlookup($C141,CSDL!$A:$E,4,0)</f>
        <v>#N/A</v>
      </c>
      <c r="G141" s="27" t="str">
        <f>vlookup($C141,CSDL!$A:$E,5,0)</f>
        <v>#N/A</v>
      </c>
      <c r="H141" s="28"/>
      <c r="I141" s="29" t="s">
        <v>22</v>
      </c>
      <c r="J141" s="29">
        <v>40.0</v>
      </c>
      <c r="K141" s="29">
        <v>1.0</v>
      </c>
      <c r="L141" s="22">
        <f t="shared" si="6"/>
        <v>40</v>
      </c>
      <c r="M141" s="23">
        <v>40.0</v>
      </c>
      <c r="N141" s="29" t="s">
        <v>43</v>
      </c>
      <c r="O141" s="30"/>
      <c r="P141" s="26"/>
      <c r="Q141" s="32"/>
    </row>
    <row r="142" ht="25.5" customHeight="1">
      <c r="A142" s="33"/>
      <c r="B142" s="16"/>
      <c r="C142" s="17"/>
      <c r="D142" s="18" t="s">
        <v>21</v>
      </c>
      <c r="E142" s="19" t="str">
        <f>vlookup($C142,CSDL!$A:$E,3,0)</f>
        <v>#N/A</v>
      </c>
      <c r="F142" s="19" t="str">
        <f>vlookup($C142,CSDL!$A:$E,4,0)</f>
        <v>#N/A</v>
      </c>
      <c r="G142" s="20" t="str">
        <f>vlookup($C142,CSDL!$A:$E,5,0)</f>
        <v>#N/A</v>
      </c>
      <c r="H142" s="16"/>
      <c r="I142" s="23" t="s">
        <v>22</v>
      </c>
      <c r="J142" s="23">
        <v>20.0</v>
      </c>
      <c r="K142" s="23">
        <v>1.0</v>
      </c>
      <c r="L142" s="22">
        <f t="shared" si="6"/>
        <v>20</v>
      </c>
      <c r="M142" s="23">
        <v>20.0</v>
      </c>
      <c r="N142" s="23" t="s">
        <v>101</v>
      </c>
      <c r="O142" s="24"/>
      <c r="P142" s="33"/>
      <c r="Q142" s="25"/>
    </row>
    <row r="143" ht="25.5" customHeight="1">
      <c r="A143" s="26"/>
      <c r="B143" s="28"/>
      <c r="C143" s="17"/>
      <c r="D143" s="18" t="s">
        <v>21</v>
      </c>
      <c r="E143" s="19" t="str">
        <f>vlookup($C143,CSDL!$A:$E,3,0)</f>
        <v>#N/A</v>
      </c>
      <c r="F143" s="19" t="str">
        <f>vlookup($C143,CSDL!$A:$E,4,0)</f>
        <v>#N/A</v>
      </c>
      <c r="G143" s="27" t="str">
        <f>vlookup($C143,CSDL!$A:$E,5,0)</f>
        <v>#N/A</v>
      </c>
      <c r="H143" s="28"/>
      <c r="I143" s="29" t="s">
        <v>33</v>
      </c>
      <c r="J143" s="29">
        <v>140.0</v>
      </c>
      <c r="K143" s="29">
        <v>1.0</v>
      </c>
      <c r="L143" s="22">
        <f t="shared" si="6"/>
        <v>140</v>
      </c>
      <c r="M143" s="23">
        <v>140.0</v>
      </c>
      <c r="N143" s="29" t="s">
        <v>25</v>
      </c>
      <c r="O143" s="30" t="s">
        <v>178</v>
      </c>
      <c r="P143" s="26"/>
      <c r="Q143" s="32"/>
    </row>
    <row r="144" ht="25.5" customHeight="1">
      <c r="A144" s="33"/>
      <c r="B144" s="16">
        <v>1212.0</v>
      </c>
      <c r="C144" s="17"/>
      <c r="D144" s="18" t="s">
        <v>179</v>
      </c>
      <c r="E144" s="19" t="str">
        <f>vlookup($C144,CSDL!$A:$E,3,0)</f>
        <v>#N/A</v>
      </c>
      <c r="F144" s="19" t="str">
        <f>vlookup($C144,CSDL!$A:$E,4,0)</f>
        <v>#N/A</v>
      </c>
      <c r="G144" s="36" t="s">
        <v>93</v>
      </c>
      <c r="H144" s="16"/>
      <c r="I144" s="23" t="s">
        <v>24</v>
      </c>
      <c r="J144" s="23">
        <v>15.0</v>
      </c>
      <c r="K144" s="23">
        <v>7.0</v>
      </c>
      <c r="L144" s="22">
        <f t="shared" si="6"/>
        <v>105</v>
      </c>
      <c r="M144" s="23">
        <v>255.0</v>
      </c>
      <c r="N144" s="23" t="s">
        <v>65</v>
      </c>
      <c r="O144" s="24"/>
      <c r="P144" s="33"/>
      <c r="Q144" s="25"/>
    </row>
    <row r="145" ht="25.5" customHeight="1">
      <c r="A145" s="26"/>
      <c r="B145" s="28"/>
      <c r="C145" s="17"/>
      <c r="D145" s="34" t="str">
        <f>vlookup($C145,CSDL!$A:$E,2,0)</f>
        <v>#N/A</v>
      </c>
      <c r="E145" s="19" t="str">
        <f>vlookup($C145,CSDL!$A:$E,3,0)</f>
        <v>#N/A</v>
      </c>
      <c r="F145" s="19" t="str">
        <f>vlookup($C145,CSDL!$A:$E,4,0)</f>
        <v>#N/A</v>
      </c>
      <c r="G145" s="27" t="str">
        <f>vlookup($C145,CSDL!$A:$E,5,0)</f>
        <v>#N/A</v>
      </c>
      <c r="H145" s="28"/>
      <c r="I145" s="29" t="s">
        <v>48</v>
      </c>
      <c r="J145" s="29">
        <v>150.0</v>
      </c>
      <c r="K145" s="29">
        <v>1.0</v>
      </c>
      <c r="L145" s="22">
        <f t="shared" si="6"/>
        <v>150</v>
      </c>
      <c r="M145" s="23"/>
      <c r="N145" s="29"/>
      <c r="O145" s="30"/>
      <c r="P145" s="31"/>
      <c r="Q145" s="32"/>
    </row>
    <row r="146" ht="25.5" customHeight="1">
      <c r="A146" s="33"/>
      <c r="B146" s="16"/>
      <c r="C146" s="17"/>
      <c r="D146" s="18" t="s">
        <v>21</v>
      </c>
      <c r="E146" s="19" t="str">
        <f>vlookup($C146,CSDL!$A:$E,3,0)</f>
        <v>#N/A</v>
      </c>
      <c r="F146" s="19" t="str">
        <f>vlookup($C146,CSDL!$A:$E,4,0)</f>
        <v>#N/A</v>
      </c>
      <c r="G146" s="20" t="str">
        <f>vlookup($C146,CSDL!$A:$E,5,0)</f>
        <v>#N/A</v>
      </c>
      <c r="H146" s="16"/>
      <c r="I146" s="23" t="s">
        <v>24</v>
      </c>
      <c r="J146" s="23">
        <v>30.0</v>
      </c>
      <c r="K146" s="23">
        <v>1.0</v>
      </c>
      <c r="L146" s="22">
        <f t="shared" si="6"/>
        <v>30</v>
      </c>
      <c r="M146" s="23">
        <v>30.0</v>
      </c>
      <c r="N146" s="23" t="s">
        <v>25</v>
      </c>
      <c r="O146" s="24" t="s">
        <v>180</v>
      </c>
      <c r="P146" s="15"/>
      <c r="Q146" s="16"/>
    </row>
    <row r="147" ht="25.5" customHeight="1">
      <c r="A147" s="26"/>
      <c r="B147" s="28">
        <v>1213.0</v>
      </c>
      <c r="C147" s="17" t="s">
        <v>181</v>
      </c>
      <c r="D147" s="34" t="str">
        <f>vlookup($C147,CSDL!$A:$E,2,0)</f>
        <v>Anh Rin</v>
      </c>
      <c r="E147" s="19" t="str">
        <f>vlookup($C147,CSDL!$A:$E,3,0)</f>
        <v/>
      </c>
      <c r="F147" s="19" t="str">
        <f>vlookup($C147,CSDL!$A:$E,4,0)</f>
        <v>Chó</v>
      </c>
      <c r="G147" s="27" t="str">
        <f>vlookup($C147,CSDL!$A:$E,5,0)</f>
        <v>Lu</v>
      </c>
      <c r="H147" s="28"/>
      <c r="I147" s="29" t="s">
        <v>139</v>
      </c>
      <c r="J147" s="29">
        <v>150.0</v>
      </c>
      <c r="K147" s="29">
        <v>1.0</v>
      </c>
      <c r="L147" s="22">
        <f t="shared" si="6"/>
        <v>150</v>
      </c>
      <c r="M147" s="23">
        <v>140.0</v>
      </c>
      <c r="N147" s="29" t="s">
        <v>25</v>
      </c>
      <c r="O147" s="30" t="s">
        <v>182</v>
      </c>
      <c r="P147" s="26"/>
      <c r="Q147" s="32"/>
    </row>
    <row r="148" ht="25.5" customHeight="1">
      <c r="A148" s="15">
        <v>46004.0</v>
      </c>
      <c r="B148" s="16"/>
      <c r="C148" s="17"/>
      <c r="D148" s="18" t="s">
        <v>21</v>
      </c>
      <c r="E148" s="19" t="str">
        <f>vlookup($C148,CSDL!$A:$E,3,0)</f>
        <v>#N/A</v>
      </c>
      <c r="F148" s="19" t="str">
        <f>vlookup($C148,CSDL!$A:$E,4,0)</f>
        <v>#N/A</v>
      </c>
      <c r="G148" s="20" t="str">
        <f>vlookup($C148,CSDL!$A:$E,5,0)</f>
        <v>#N/A</v>
      </c>
      <c r="H148" s="16"/>
      <c r="I148" s="23" t="s">
        <v>90</v>
      </c>
      <c r="J148" s="23">
        <v>30.0</v>
      </c>
      <c r="K148" s="23">
        <v>1.0</v>
      </c>
      <c r="L148" s="22">
        <f t="shared" si="6"/>
        <v>30</v>
      </c>
      <c r="M148" s="23">
        <v>50.0</v>
      </c>
      <c r="N148" s="23" t="s">
        <v>65</v>
      </c>
      <c r="O148" s="24"/>
      <c r="P148" s="33"/>
      <c r="Q148" s="25"/>
    </row>
    <row r="149" ht="25.5" customHeight="1">
      <c r="A149" s="31"/>
      <c r="B149" s="28"/>
      <c r="C149" s="17"/>
      <c r="D149" s="34" t="str">
        <f>vlookup($C149,CSDL!$A:$E,2,0)</f>
        <v>#N/A</v>
      </c>
      <c r="E149" s="19" t="str">
        <f>vlookup($C149,CSDL!$A:$E,3,0)</f>
        <v>#N/A</v>
      </c>
      <c r="F149" s="19" t="str">
        <f>vlookup($C149,CSDL!$A:$E,4,0)</f>
        <v>#N/A</v>
      </c>
      <c r="G149" s="27" t="str">
        <f>vlookup($C149,CSDL!$A:$E,5,0)</f>
        <v>#N/A</v>
      </c>
      <c r="H149" s="28"/>
      <c r="I149" s="29" t="s">
        <v>183</v>
      </c>
      <c r="J149" s="29">
        <v>20.0</v>
      </c>
      <c r="K149" s="29">
        <v>1.0</v>
      </c>
      <c r="L149" s="22">
        <f t="shared" si="6"/>
        <v>20</v>
      </c>
      <c r="M149" s="23"/>
      <c r="N149" s="29"/>
      <c r="O149" s="30"/>
      <c r="P149" s="26"/>
      <c r="Q149" s="32"/>
    </row>
    <row r="150" ht="25.5" customHeight="1">
      <c r="A150" s="15"/>
      <c r="B150" s="16"/>
      <c r="C150" s="17"/>
      <c r="D150" s="18" t="s">
        <v>184</v>
      </c>
      <c r="E150" s="19" t="str">
        <f>vlookup($C150,CSDL!$A:$E,3,0)</f>
        <v>#N/A</v>
      </c>
      <c r="F150" s="19" t="str">
        <f>vlookup($C150,CSDL!$A:$E,4,0)</f>
        <v>#N/A</v>
      </c>
      <c r="G150" s="20" t="str">
        <f>vlookup($C150,CSDL!$A:$E,5,0)</f>
        <v>#N/A</v>
      </c>
      <c r="H150" s="16"/>
      <c r="I150" s="23" t="s">
        <v>177</v>
      </c>
      <c r="J150" s="23">
        <v>70.0</v>
      </c>
      <c r="K150" s="23">
        <v>1.0</v>
      </c>
      <c r="L150" s="22">
        <f t="shared" si="6"/>
        <v>70</v>
      </c>
      <c r="M150" s="23">
        <v>70.0</v>
      </c>
      <c r="N150" s="23" t="s">
        <v>43</v>
      </c>
      <c r="O150" s="24"/>
      <c r="P150" s="33"/>
      <c r="Q150" s="25"/>
    </row>
    <row r="151" ht="25.5" customHeight="1">
      <c r="A151" s="31"/>
      <c r="B151" s="28"/>
      <c r="C151" s="17"/>
      <c r="D151" s="18" t="s">
        <v>185</v>
      </c>
      <c r="E151" s="19" t="str">
        <f>vlookup($C151,CSDL!$A:$E,3,0)</f>
        <v>#N/A</v>
      </c>
      <c r="F151" s="19" t="str">
        <f>vlookup($C151,CSDL!$A:$E,4,0)</f>
        <v>#N/A</v>
      </c>
      <c r="G151" s="27" t="str">
        <f>vlookup($C151,CSDL!$A:$E,5,0)</f>
        <v>#N/A</v>
      </c>
      <c r="H151" s="28"/>
      <c r="I151" s="29" t="s">
        <v>177</v>
      </c>
      <c r="J151" s="29">
        <v>240.0</v>
      </c>
      <c r="K151" s="29">
        <v>1.0</v>
      </c>
      <c r="L151" s="22">
        <f t="shared" si="6"/>
        <v>240</v>
      </c>
      <c r="M151" s="23">
        <v>240.0</v>
      </c>
      <c r="N151" s="29" t="s">
        <v>25</v>
      </c>
      <c r="O151" s="30" t="s">
        <v>186</v>
      </c>
      <c r="P151" s="26"/>
      <c r="Q151" s="32"/>
    </row>
    <row r="152" ht="25.5" customHeight="1">
      <c r="A152" s="15"/>
      <c r="B152" s="16">
        <v>1214.0</v>
      </c>
      <c r="C152" s="17"/>
      <c r="D152" s="18" t="s">
        <v>187</v>
      </c>
      <c r="E152" s="19" t="str">
        <f>vlookup($C152,CSDL!$A:$E,3,0)</f>
        <v>#N/A</v>
      </c>
      <c r="F152" s="19" t="str">
        <f>vlookup($C152,CSDL!$A:$E,4,0)</f>
        <v>#N/A</v>
      </c>
      <c r="G152" s="20" t="str">
        <f>vlookup($C152,CSDL!$A:$E,5,0)</f>
        <v>#N/A</v>
      </c>
      <c r="H152" s="16"/>
      <c r="I152" s="23" t="s">
        <v>59</v>
      </c>
      <c r="J152" s="23">
        <v>100.0</v>
      </c>
      <c r="K152" s="23">
        <v>4.0</v>
      </c>
      <c r="L152" s="22">
        <f t="shared" si="6"/>
        <v>400</v>
      </c>
      <c r="M152" s="23">
        <v>400.0</v>
      </c>
      <c r="N152" s="23" t="s">
        <v>25</v>
      </c>
      <c r="O152" s="24" t="s">
        <v>188</v>
      </c>
      <c r="P152" s="33"/>
      <c r="Q152" s="25"/>
    </row>
    <row r="153" ht="25.5" customHeight="1">
      <c r="A153" s="31"/>
      <c r="B153" s="28">
        <v>1215.0</v>
      </c>
      <c r="C153" s="17" t="s">
        <v>189</v>
      </c>
      <c r="D153" s="34" t="str">
        <f>vlookup($C153,CSDL!$A:$E,2,0)</f>
        <v>Chị Thy</v>
      </c>
      <c r="E153" s="19" t="str">
        <f>vlookup($C153,CSDL!$A:$E,3,0)</f>
        <v>11B/8 hà nội</v>
      </c>
      <c r="F153" s="19" t="str">
        <f>vlookup($C153,CSDL!$A:$E,4,0)</f>
        <v>chó </v>
      </c>
      <c r="G153" s="27" t="str">
        <f>vlookup($C153,CSDL!$A:$E,5,0)</f>
        <v>Weeff</v>
      </c>
      <c r="H153" s="28"/>
      <c r="I153" s="29" t="s">
        <v>48</v>
      </c>
      <c r="J153" s="29">
        <v>150.0</v>
      </c>
      <c r="K153" s="29">
        <v>1.0</v>
      </c>
      <c r="L153" s="22">
        <f t="shared" si="6"/>
        <v>150</v>
      </c>
      <c r="M153" s="23">
        <v>150.0</v>
      </c>
      <c r="N153" s="29" t="s">
        <v>43</v>
      </c>
      <c r="O153" s="30"/>
      <c r="P153" s="26"/>
      <c r="Q153" s="32"/>
    </row>
    <row r="154" ht="25.5" customHeight="1">
      <c r="A154" s="33"/>
      <c r="B154" s="16">
        <v>1216.0</v>
      </c>
      <c r="C154" s="17" t="s">
        <v>190</v>
      </c>
      <c r="D154" s="34" t="str">
        <f>vlookup($C154,CSDL!$A:$E,2,0)</f>
        <v>Chị Mộng</v>
      </c>
      <c r="E154" s="19" t="str">
        <f>vlookup($C154,CSDL!$A:$E,3,0)</f>
        <v>Vinh Hương</v>
      </c>
      <c r="F154" s="19" t="str">
        <f>vlookup($C154,CSDL!$A:$E,4,0)</f>
        <v>Chó</v>
      </c>
      <c r="G154" s="20" t="str">
        <f>vlookup($C154,CSDL!$A:$E,5,0)</f>
        <v>Xu</v>
      </c>
      <c r="H154" s="16">
        <v>4.0</v>
      </c>
      <c r="I154" s="23" t="s">
        <v>191</v>
      </c>
      <c r="J154" s="23">
        <v>200.0</v>
      </c>
      <c r="K154" s="23">
        <v>1.0</v>
      </c>
      <c r="L154" s="22">
        <f t="shared" si="6"/>
        <v>200</v>
      </c>
      <c r="M154" s="23">
        <v>500.0</v>
      </c>
      <c r="N154" s="23" t="s">
        <v>43</v>
      </c>
      <c r="O154" s="24"/>
      <c r="P154" s="16" t="s">
        <v>192</v>
      </c>
      <c r="Q154" s="25"/>
    </row>
    <row r="155" ht="25.5" customHeight="1">
      <c r="A155" s="26"/>
      <c r="B155" s="28">
        <v>1216.0</v>
      </c>
      <c r="C155" s="17"/>
      <c r="D155" s="34" t="str">
        <f>vlookup($C155,CSDL!$A:$E,2,0)</f>
        <v>#N/A</v>
      </c>
      <c r="E155" s="19" t="str">
        <f>vlookup($C155,CSDL!$A:$E,3,0)</f>
        <v>#N/A</v>
      </c>
      <c r="F155" s="19" t="str">
        <f>vlookup($C155,CSDL!$A:$E,4,0)</f>
        <v>#N/A</v>
      </c>
      <c r="G155" s="27" t="str">
        <f>vlookup($C155,CSDL!$A:$E,5,0)</f>
        <v>#N/A</v>
      </c>
      <c r="H155" s="28"/>
      <c r="I155" s="29" t="s">
        <v>59</v>
      </c>
      <c r="J155" s="29">
        <v>150.0</v>
      </c>
      <c r="K155" s="29">
        <v>1.0</v>
      </c>
      <c r="L155" s="22">
        <f t="shared" si="6"/>
        <v>150</v>
      </c>
      <c r="M155" s="23"/>
      <c r="N155" s="29"/>
      <c r="O155" s="30"/>
      <c r="P155" s="26"/>
      <c r="Q155" s="32"/>
    </row>
    <row r="156" ht="25.5" customHeight="1">
      <c r="A156" s="15"/>
      <c r="B156" s="16">
        <v>1216.0</v>
      </c>
      <c r="C156" s="17"/>
      <c r="D156" s="34" t="str">
        <f>vlookup($C156,CSDL!$A:$E,2,0)</f>
        <v>#N/A</v>
      </c>
      <c r="E156" s="19" t="str">
        <f>vlookup($C156,CSDL!$A:$E,3,0)</f>
        <v>#N/A</v>
      </c>
      <c r="F156" s="19" t="str">
        <f>vlookup($C156,CSDL!$A:$E,4,0)</f>
        <v>#N/A</v>
      </c>
      <c r="G156" s="20" t="str">
        <f>vlookup($C156,CSDL!$A:$E,5,0)</f>
        <v>#N/A</v>
      </c>
      <c r="H156" s="16"/>
      <c r="I156" s="23" t="s">
        <v>48</v>
      </c>
      <c r="J156" s="23">
        <v>150.0</v>
      </c>
      <c r="K156" s="23">
        <v>1.0</v>
      </c>
      <c r="L156" s="22">
        <f t="shared" si="6"/>
        <v>150</v>
      </c>
      <c r="M156" s="23"/>
      <c r="N156" s="23"/>
      <c r="O156" s="24"/>
      <c r="P156" s="33"/>
      <c r="Q156" s="25"/>
    </row>
    <row r="157" ht="25.5" customHeight="1">
      <c r="A157" s="31"/>
      <c r="B157" s="28"/>
      <c r="C157" s="17"/>
      <c r="D157" s="18" t="s">
        <v>21</v>
      </c>
      <c r="E157" s="19" t="str">
        <f>vlookup($C157,CSDL!$A:$E,3,0)</f>
        <v>#N/A</v>
      </c>
      <c r="F157" s="19" t="str">
        <f>vlookup($C157,CSDL!$A:$E,4,0)</f>
        <v>#N/A</v>
      </c>
      <c r="G157" s="27" t="str">
        <f>vlookup($C157,CSDL!$A:$E,5,0)</f>
        <v>#N/A</v>
      </c>
      <c r="H157" s="28"/>
      <c r="I157" s="29" t="s">
        <v>56</v>
      </c>
      <c r="J157" s="29">
        <v>1100.0</v>
      </c>
      <c r="K157" s="29">
        <v>1.0</v>
      </c>
      <c r="L157" s="22">
        <f t="shared" si="6"/>
        <v>1100</v>
      </c>
      <c r="M157" s="23">
        <v>1100.0</v>
      </c>
      <c r="N157" s="29" t="s">
        <v>25</v>
      </c>
      <c r="O157" s="30" t="s">
        <v>193</v>
      </c>
      <c r="P157" s="26"/>
      <c r="Q157" s="32"/>
    </row>
    <row r="158" ht="25.5" customHeight="1">
      <c r="A158" s="15"/>
      <c r="B158" s="16">
        <v>1217.0</v>
      </c>
      <c r="C158" s="17" t="s">
        <v>194</v>
      </c>
      <c r="D158" s="34" t="str">
        <f>vlookup($C158,CSDL!$A:$E,2,0)</f>
        <v>Em Linh</v>
      </c>
      <c r="E158" s="19" t="str">
        <f>vlookup($C158,CSDL!$A:$E,3,0)</f>
        <v>Hương Thủy</v>
      </c>
      <c r="F158" s="19" t="str">
        <f>vlookup($C158,CSDL!$A:$E,4,0)</f>
        <v>Mèo</v>
      </c>
      <c r="G158" s="20" t="str">
        <f>vlookup($C158,CSDL!$A:$E,5,0)</f>
        <v>Ủn</v>
      </c>
      <c r="H158" s="16">
        <v>4.3</v>
      </c>
      <c r="I158" s="23" t="s">
        <v>123</v>
      </c>
      <c r="J158" s="23">
        <v>100.0</v>
      </c>
      <c r="K158" s="23">
        <v>1.0</v>
      </c>
      <c r="L158" s="22">
        <f t="shared" si="6"/>
        <v>100</v>
      </c>
      <c r="M158" s="23">
        <v>240.0</v>
      </c>
      <c r="N158" s="23" t="s">
        <v>43</v>
      </c>
      <c r="O158" s="24"/>
      <c r="P158" s="33"/>
      <c r="Q158" s="25"/>
    </row>
    <row r="159" ht="25.5" customHeight="1">
      <c r="A159" s="26"/>
      <c r="B159" s="28">
        <v>1217.0</v>
      </c>
      <c r="C159" s="17"/>
      <c r="D159" s="34" t="str">
        <f>vlookup($C159,CSDL!$A:$E,2,0)</f>
        <v>#N/A</v>
      </c>
      <c r="E159" s="19" t="str">
        <f>vlookup($C159,CSDL!$A:$E,3,0)</f>
        <v>#N/A</v>
      </c>
      <c r="F159" s="19" t="str">
        <f>vlookup($C159,CSDL!$A:$E,4,0)</f>
        <v>#N/A</v>
      </c>
      <c r="G159" s="27" t="str">
        <f>vlookup($C159,CSDL!$A:$E,5,0)</f>
        <v>#N/A</v>
      </c>
      <c r="H159" s="28"/>
      <c r="I159" s="29" t="s">
        <v>30</v>
      </c>
      <c r="J159" s="29">
        <v>100.0</v>
      </c>
      <c r="K159" s="29">
        <v>1.0</v>
      </c>
      <c r="L159" s="22">
        <f t="shared" si="6"/>
        <v>100</v>
      </c>
      <c r="M159" s="23"/>
      <c r="N159" s="29"/>
      <c r="O159" s="30"/>
      <c r="P159" s="26"/>
      <c r="Q159" s="32"/>
    </row>
    <row r="160" ht="25.5" customHeight="1">
      <c r="A160" s="33"/>
      <c r="B160" s="16">
        <v>1217.0</v>
      </c>
      <c r="C160" s="17"/>
      <c r="D160" s="34" t="str">
        <f>vlookup($C160,CSDL!$A:$E,2,0)</f>
        <v>#N/A</v>
      </c>
      <c r="E160" s="19" t="str">
        <f>vlookup($C160,CSDL!$A:$E,3,0)</f>
        <v>#N/A</v>
      </c>
      <c r="F160" s="19" t="str">
        <f>vlookup($C160,CSDL!$A:$E,4,0)</f>
        <v>#N/A</v>
      </c>
      <c r="G160" s="20" t="str">
        <f>vlookup($C160,CSDL!$A:$E,5,0)</f>
        <v>#N/A</v>
      </c>
      <c r="H160" s="16"/>
      <c r="I160" s="23" t="s">
        <v>24</v>
      </c>
      <c r="J160" s="23">
        <v>20.0</v>
      </c>
      <c r="K160" s="23">
        <v>2.0</v>
      </c>
      <c r="L160" s="22">
        <f t="shared" si="6"/>
        <v>40</v>
      </c>
      <c r="M160" s="23"/>
      <c r="N160" s="23"/>
      <c r="O160" s="24"/>
      <c r="P160" s="33"/>
      <c r="Q160" s="25"/>
    </row>
    <row r="161" ht="25.5" customHeight="1">
      <c r="A161" s="26"/>
      <c r="B161" s="28">
        <v>1217.0</v>
      </c>
      <c r="C161" s="17"/>
      <c r="D161" s="34" t="str">
        <f>vlookup($C161,CSDL!$A:$E,2,0)</f>
        <v>#N/A</v>
      </c>
      <c r="E161" s="19" t="str">
        <f>vlookup($C161,CSDL!$A:$E,3,0)</f>
        <v>#N/A</v>
      </c>
      <c r="F161" s="19" t="str">
        <f>vlookup($C161,CSDL!$A:$E,4,0)</f>
        <v>#N/A</v>
      </c>
      <c r="G161" s="27" t="str">
        <f>vlookup($C161,CSDL!$A:$E,5,0)</f>
        <v>#N/A</v>
      </c>
      <c r="H161" s="28"/>
      <c r="I161" s="29" t="s">
        <v>22</v>
      </c>
      <c r="J161" s="29">
        <v>20.0</v>
      </c>
      <c r="K161" s="29">
        <v>1.0</v>
      </c>
      <c r="L161" s="22">
        <f t="shared" si="6"/>
        <v>20</v>
      </c>
      <c r="M161" s="23"/>
      <c r="N161" s="29"/>
      <c r="O161" s="30"/>
      <c r="P161" s="26"/>
      <c r="Q161" s="28"/>
    </row>
    <row r="162" ht="25.5" customHeight="1">
      <c r="A162" s="15">
        <v>45975.0</v>
      </c>
      <c r="B162" s="16">
        <v>1218.0</v>
      </c>
      <c r="C162" s="17" t="s">
        <v>195</v>
      </c>
      <c r="D162" s="34" t="str">
        <f>vlookup($C162,CSDL!$A:$E,2,0)</f>
        <v>Chú Tiến</v>
      </c>
      <c r="E162" s="19" t="str">
        <f>vlookup($C162,CSDL!$A:$E,3,0)</f>
        <v>8/ 79 Phạm thị Liên</v>
      </c>
      <c r="F162" s="37" t="s">
        <v>74</v>
      </c>
      <c r="G162" s="36" t="s">
        <v>196</v>
      </c>
      <c r="H162" s="16"/>
      <c r="I162" s="23" t="s">
        <v>134</v>
      </c>
      <c r="J162" s="23">
        <v>450.0</v>
      </c>
      <c r="K162" s="23">
        <v>1.0</v>
      </c>
      <c r="L162" s="22">
        <f t="shared" si="6"/>
        <v>450</v>
      </c>
      <c r="M162" s="23">
        <v>450.0</v>
      </c>
      <c r="N162" s="23" t="s">
        <v>43</v>
      </c>
      <c r="O162" s="24"/>
      <c r="P162" s="46"/>
      <c r="Q162" s="47"/>
    </row>
    <row r="163" ht="25.5" customHeight="1">
      <c r="A163" s="26"/>
      <c r="B163" s="28"/>
      <c r="C163" s="17"/>
      <c r="D163" s="18" t="s">
        <v>21</v>
      </c>
      <c r="E163" s="19" t="str">
        <f>vlookup($C163,CSDL!$A:$E,3,0)</f>
        <v>#N/A</v>
      </c>
      <c r="F163" s="19" t="str">
        <f>vlookup($C163,CSDL!$A:$E,4,0)</f>
        <v>#N/A</v>
      </c>
      <c r="G163" s="27" t="str">
        <f>vlookup($C163,CSDL!$A:$E,5,0)</f>
        <v>#N/A</v>
      </c>
      <c r="H163" s="28"/>
      <c r="I163" s="29" t="s">
        <v>38</v>
      </c>
      <c r="J163" s="29">
        <v>100.0</v>
      </c>
      <c r="K163" s="29">
        <v>1.0</v>
      </c>
      <c r="L163" s="22">
        <f t="shared" si="6"/>
        <v>100</v>
      </c>
      <c r="M163" s="23">
        <v>100.0</v>
      </c>
      <c r="N163" s="29" t="s">
        <v>25</v>
      </c>
      <c r="O163" s="30" t="s">
        <v>197</v>
      </c>
      <c r="P163" s="31"/>
      <c r="Q163" s="28"/>
    </row>
    <row r="164" ht="25.5" customHeight="1">
      <c r="A164" s="33"/>
      <c r="B164" s="16"/>
      <c r="C164" s="17"/>
      <c r="D164" s="18" t="s">
        <v>21</v>
      </c>
      <c r="E164" s="19" t="str">
        <f>vlookup($C164,CSDL!$A:$E,3,0)</f>
        <v>#N/A</v>
      </c>
      <c r="F164" s="19" t="str">
        <f>vlookup($C164,CSDL!$A:$E,4,0)</f>
        <v>#N/A</v>
      </c>
      <c r="G164" s="20" t="str">
        <f>vlookup($C164,CSDL!$A:$E,5,0)</f>
        <v>#N/A</v>
      </c>
      <c r="H164" s="16"/>
      <c r="I164" s="23" t="s">
        <v>24</v>
      </c>
      <c r="J164" s="23">
        <v>60.0</v>
      </c>
      <c r="K164" s="23">
        <v>1.0</v>
      </c>
      <c r="L164" s="22">
        <f t="shared" si="6"/>
        <v>60</v>
      </c>
      <c r="M164" s="23">
        <v>60.0</v>
      </c>
      <c r="N164" s="23" t="s">
        <v>43</v>
      </c>
      <c r="O164" s="24"/>
      <c r="P164" s="15"/>
      <c r="Q164" s="25"/>
    </row>
    <row r="165" ht="25.5" customHeight="1">
      <c r="A165" s="26"/>
      <c r="B165" s="28">
        <v>1219.0</v>
      </c>
      <c r="C165" s="17" t="s">
        <v>198</v>
      </c>
      <c r="D165" s="34" t="str">
        <f>vlookup($C165,CSDL!$A:$E,2,0)</f>
        <v>Thầy Huệ Quang</v>
      </c>
      <c r="E165" s="19" t="str">
        <f>vlookup($C165,CSDL!$A:$E,3,0)</f>
        <v>Quảng Trị</v>
      </c>
      <c r="F165" s="19" t="str">
        <f>vlookup($C165,CSDL!$A:$E,4,0)</f>
        <v>chó</v>
      </c>
      <c r="G165" s="27" t="str">
        <f>vlookup($C165,CSDL!$A:$E,5,0)</f>
        <v>Gấu</v>
      </c>
      <c r="H165" s="28">
        <v>27.0</v>
      </c>
      <c r="I165" s="29" t="s">
        <v>48</v>
      </c>
      <c r="J165" s="29">
        <v>150.0</v>
      </c>
      <c r="K165" s="29">
        <v>1.0</v>
      </c>
      <c r="L165" s="22">
        <f t="shared" si="6"/>
        <v>150</v>
      </c>
      <c r="M165" s="23">
        <v>1500.0</v>
      </c>
      <c r="N165" s="29" t="s">
        <v>43</v>
      </c>
      <c r="O165" s="30"/>
      <c r="P165" s="26"/>
      <c r="Q165" s="32"/>
    </row>
    <row r="166" ht="25.5" customHeight="1">
      <c r="A166" s="33"/>
      <c r="B166" s="16">
        <v>1219.0</v>
      </c>
      <c r="C166" s="17"/>
      <c r="D166" s="34" t="str">
        <f>vlookup($C166,CSDL!$A:$E,2,0)</f>
        <v>#N/A</v>
      </c>
      <c r="E166" s="19" t="str">
        <f>vlookup($C166,CSDL!$A:$E,3,0)</f>
        <v>#N/A</v>
      </c>
      <c r="F166" s="19" t="str">
        <f>vlookup($C166,CSDL!$A:$E,4,0)</f>
        <v>#N/A</v>
      </c>
      <c r="G166" s="20" t="str">
        <f>vlookup($C166,CSDL!$A:$E,5,0)</f>
        <v>#N/A</v>
      </c>
      <c r="H166" s="16"/>
      <c r="I166" s="23" t="s">
        <v>49</v>
      </c>
      <c r="J166" s="23">
        <v>350.0</v>
      </c>
      <c r="K166" s="23">
        <v>1.0</v>
      </c>
      <c r="L166" s="22">
        <f t="shared" si="6"/>
        <v>350</v>
      </c>
      <c r="M166" s="23">
        <v>8000.0</v>
      </c>
      <c r="N166" s="23" t="s">
        <v>25</v>
      </c>
      <c r="O166" s="24" t="s">
        <v>199</v>
      </c>
      <c r="P166" s="33"/>
      <c r="Q166" s="25"/>
    </row>
    <row r="167" ht="25.5" customHeight="1">
      <c r="A167" s="26"/>
      <c r="B167" s="28">
        <v>1219.0</v>
      </c>
      <c r="C167" s="17"/>
      <c r="D167" s="34" t="str">
        <f>vlookup($C167,CSDL!$A:$E,2,0)</f>
        <v>#N/A</v>
      </c>
      <c r="E167" s="19" t="str">
        <f>vlookup($C167,CSDL!$A:$E,3,0)</f>
        <v>#N/A</v>
      </c>
      <c r="F167" s="19" t="str">
        <f>vlookup($C167,CSDL!$A:$E,4,0)</f>
        <v>#N/A</v>
      </c>
      <c r="G167" s="27" t="str">
        <f>vlookup($C167,CSDL!$A:$E,5,0)</f>
        <v>#N/A</v>
      </c>
      <c r="H167" s="28"/>
      <c r="I167" s="29" t="s">
        <v>200</v>
      </c>
      <c r="J167" s="29">
        <v>300.0</v>
      </c>
      <c r="K167" s="29"/>
      <c r="L167" s="22">
        <f t="shared" si="6"/>
        <v>0</v>
      </c>
      <c r="M167" s="23"/>
      <c r="N167" s="29"/>
      <c r="O167" s="30"/>
      <c r="P167" s="26"/>
      <c r="Q167" s="32"/>
    </row>
    <row r="168" ht="25.5" customHeight="1">
      <c r="A168" s="33"/>
      <c r="B168" s="16">
        <v>1219.0</v>
      </c>
      <c r="C168" s="17"/>
      <c r="D168" s="34" t="str">
        <f>vlookup($C168,CSDL!$A:$E,2,0)</f>
        <v>#N/A</v>
      </c>
      <c r="E168" s="19" t="str">
        <f>vlookup($C168,CSDL!$A:$E,3,0)</f>
        <v>#N/A</v>
      </c>
      <c r="F168" s="19" t="str">
        <f>vlookup($C168,CSDL!$A:$E,4,0)</f>
        <v>#N/A</v>
      </c>
      <c r="G168" s="20" t="str">
        <f>vlookup($C168,CSDL!$A:$E,5,0)</f>
        <v>#N/A</v>
      </c>
      <c r="H168" s="16"/>
      <c r="I168" s="23" t="s">
        <v>132</v>
      </c>
      <c r="J168" s="23">
        <v>350.0</v>
      </c>
      <c r="K168" s="23">
        <v>2.0</v>
      </c>
      <c r="L168" s="22">
        <f t="shared" si="6"/>
        <v>700</v>
      </c>
      <c r="M168" s="23"/>
      <c r="N168" s="23"/>
      <c r="O168" s="24"/>
      <c r="P168" s="33"/>
      <c r="Q168" s="16"/>
    </row>
    <row r="169" ht="25.5" customHeight="1">
      <c r="A169" s="31"/>
      <c r="B169" s="28">
        <v>1219.0</v>
      </c>
      <c r="C169" s="17"/>
      <c r="D169" s="34" t="str">
        <f>vlookup($C169,CSDL!$A:$E,2,0)</f>
        <v>#N/A</v>
      </c>
      <c r="E169" s="19" t="str">
        <f>vlookup($C169,CSDL!$A:$E,3,0)</f>
        <v>#N/A</v>
      </c>
      <c r="F169" s="19" t="str">
        <f>vlookup($C169,CSDL!$A:$E,4,0)</f>
        <v>#N/A</v>
      </c>
      <c r="G169" s="27" t="str">
        <f>vlookup($C169,CSDL!$A:$E,5,0)</f>
        <v>#N/A</v>
      </c>
      <c r="H169" s="28"/>
      <c r="I169" s="29" t="s">
        <v>201</v>
      </c>
      <c r="J169" s="29">
        <v>4000.0</v>
      </c>
      <c r="K169" s="29">
        <v>1.0</v>
      </c>
      <c r="L169" s="22">
        <f t="shared" si="6"/>
        <v>4000</v>
      </c>
      <c r="M169" s="23"/>
      <c r="N169" s="29"/>
      <c r="O169" s="30"/>
      <c r="P169" s="26"/>
      <c r="Q169" s="32"/>
    </row>
    <row r="170" ht="25.5" customHeight="1">
      <c r="A170" s="33"/>
      <c r="B170" s="16">
        <v>1219.0</v>
      </c>
      <c r="C170" s="17"/>
      <c r="D170" s="34" t="str">
        <f>vlookup($C170,CSDL!$A:$E,2,0)</f>
        <v>#N/A</v>
      </c>
      <c r="E170" s="19" t="str">
        <f>vlookup($C170,CSDL!$A:$E,3,0)</f>
        <v>#N/A</v>
      </c>
      <c r="F170" s="19" t="str">
        <f>vlookup($C170,CSDL!$A:$E,4,0)</f>
        <v>#N/A</v>
      </c>
      <c r="G170" s="20" t="str">
        <f>vlookup($C170,CSDL!$A:$E,5,0)</f>
        <v>#N/A</v>
      </c>
      <c r="H170" s="16"/>
      <c r="I170" s="23" t="s">
        <v>202</v>
      </c>
      <c r="J170" s="23">
        <v>550.0</v>
      </c>
      <c r="K170" s="23">
        <v>1.0</v>
      </c>
      <c r="L170" s="22">
        <f t="shared" si="6"/>
        <v>550</v>
      </c>
      <c r="M170" s="23"/>
      <c r="N170" s="23"/>
      <c r="O170" s="24"/>
      <c r="P170" s="33"/>
      <c r="Q170" s="25"/>
    </row>
    <row r="171" ht="25.5" customHeight="1">
      <c r="A171" s="26"/>
      <c r="B171" s="28">
        <v>1219.0</v>
      </c>
      <c r="C171" s="38"/>
      <c r="D171" s="34" t="str">
        <f>vlookup($C171,CSDL!$A:$E,2,0)</f>
        <v>#N/A</v>
      </c>
      <c r="E171" s="19" t="str">
        <f>vlookup($C171,CSDL!$A:$E,3,0)</f>
        <v>#N/A</v>
      </c>
      <c r="F171" s="19" t="str">
        <f>vlookup($C171,CSDL!$A:$E,4,0)</f>
        <v>#N/A</v>
      </c>
      <c r="G171" s="27" t="str">
        <f>vlookup($C171,CSDL!$A:$E,5,0)</f>
        <v>#N/A</v>
      </c>
      <c r="H171" s="28"/>
      <c r="I171" s="29" t="s">
        <v>52</v>
      </c>
      <c r="J171" s="29">
        <v>180.0</v>
      </c>
      <c r="K171" s="29">
        <v>1.0</v>
      </c>
      <c r="L171" s="22">
        <f t="shared" si="6"/>
        <v>180</v>
      </c>
      <c r="M171" s="23"/>
      <c r="N171" s="29"/>
      <c r="O171" s="30"/>
      <c r="P171" s="31"/>
      <c r="Q171" s="28"/>
    </row>
    <row r="172" ht="25.5" customHeight="1">
      <c r="A172" s="33"/>
      <c r="B172" s="16">
        <v>1219.0</v>
      </c>
      <c r="C172" s="17"/>
      <c r="D172" s="34" t="str">
        <f>vlookup($C172,CSDL!$A:$E,2,0)</f>
        <v>#N/A</v>
      </c>
      <c r="E172" s="19" t="str">
        <f>vlookup($C172,CSDL!$A:$E,3,0)</f>
        <v>#N/A</v>
      </c>
      <c r="F172" s="19" t="str">
        <f>vlookup($C172,CSDL!$A:$E,4,0)</f>
        <v>#N/A</v>
      </c>
      <c r="G172" s="20" t="str">
        <f>vlookup($C172,CSDL!$A:$E,5,0)</f>
        <v>#N/A</v>
      </c>
      <c r="H172" s="16"/>
      <c r="I172" s="23" t="s">
        <v>95</v>
      </c>
      <c r="J172" s="23">
        <v>100.0</v>
      </c>
      <c r="K172" s="23">
        <v>1.0</v>
      </c>
      <c r="L172" s="22">
        <f t="shared" si="6"/>
        <v>100</v>
      </c>
      <c r="M172" s="23"/>
      <c r="N172" s="23"/>
      <c r="O172" s="24"/>
      <c r="P172" s="33"/>
      <c r="Q172" s="16"/>
    </row>
    <row r="173" ht="25.5" customHeight="1">
      <c r="A173" s="31"/>
      <c r="B173" s="28">
        <v>1220.0</v>
      </c>
      <c r="C173" s="17" t="s">
        <v>64</v>
      </c>
      <c r="D173" s="34" t="str">
        <f>vlookup($C173,CSDL!$A:$E,2,0)</f>
        <v>Chị Thuý</v>
      </c>
      <c r="E173" s="19" t="str">
        <f>vlookup($C173,CSDL!$A:$E,3,0)</f>
        <v>Lô E9 Hương Bình</v>
      </c>
      <c r="F173" s="19" t="str">
        <f>vlookup($C173,CSDL!$A:$E,4,0)</f>
        <v>chó</v>
      </c>
      <c r="G173" s="27" t="str">
        <f>vlookup($C173,CSDL!$A:$E,5,0)</f>
        <v>Đen</v>
      </c>
      <c r="H173" s="28"/>
      <c r="I173" s="29" t="s">
        <v>107</v>
      </c>
      <c r="J173" s="29">
        <v>280.0</v>
      </c>
      <c r="K173" s="29">
        <v>1.0</v>
      </c>
      <c r="L173" s="22">
        <f t="shared" si="6"/>
        <v>280</v>
      </c>
      <c r="M173" s="23">
        <v>280.0</v>
      </c>
      <c r="N173" s="29" t="s">
        <v>25</v>
      </c>
      <c r="O173" s="30" t="s">
        <v>203</v>
      </c>
      <c r="P173" s="26"/>
      <c r="Q173" s="32"/>
    </row>
    <row r="174" ht="25.5" customHeight="1">
      <c r="A174" s="42" t="s">
        <v>204</v>
      </c>
      <c r="B174" s="16"/>
      <c r="C174" s="17"/>
      <c r="D174" s="18"/>
      <c r="E174" s="19"/>
      <c r="F174" s="19"/>
      <c r="G174" s="20"/>
      <c r="H174" s="16"/>
      <c r="I174" s="23"/>
      <c r="J174" s="23"/>
      <c r="K174" s="23"/>
      <c r="L174" s="22"/>
      <c r="M174" s="23"/>
      <c r="N174" s="23"/>
      <c r="O174" s="24"/>
      <c r="P174" s="33"/>
      <c r="Q174" s="43">
        <f>sum(M91:M174)</f>
        <v>42242</v>
      </c>
    </row>
    <row r="175" ht="25.5" customHeight="1">
      <c r="A175" s="31">
        <v>45976.0</v>
      </c>
      <c r="B175" s="28"/>
      <c r="C175" s="17"/>
      <c r="D175" s="18" t="s">
        <v>21</v>
      </c>
      <c r="E175" s="19" t="str">
        <f>vlookup($C175,CSDL!$A:$E,3,0)</f>
        <v>#N/A</v>
      </c>
      <c r="F175" s="19" t="str">
        <f>vlookup($C175,CSDL!$A:$E,4,0)</f>
        <v>#N/A</v>
      </c>
      <c r="G175" s="27" t="str">
        <f>vlookup($C175,CSDL!$A:$E,5,0)</f>
        <v>#N/A</v>
      </c>
      <c r="H175" s="28"/>
      <c r="I175" s="29" t="s">
        <v>205</v>
      </c>
      <c r="J175" s="29">
        <v>30.0</v>
      </c>
      <c r="K175" s="29">
        <v>1.0</v>
      </c>
      <c r="L175" s="22">
        <f t="shared" ref="L175:L297" si="7">K175*J175</f>
        <v>30</v>
      </c>
      <c r="M175" s="23">
        <v>30.0</v>
      </c>
      <c r="N175" s="29" t="s">
        <v>65</v>
      </c>
      <c r="O175" s="30"/>
      <c r="P175" s="26"/>
      <c r="Q175" s="32"/>
    </row>
    <row r="176" ht="25.5" customHeight="1">
      <c r="A176" s="33"/>
      <c r="B176" s="16"/>
      <c r="C176" s="17"/>
      <c r="D176" s="18" t="s">
        <v>170</v>
      </c>
      <c r="E176" s="19" t="str">
        <f>vlookup($C176,CSDL!$A:$E,3,0)</f>
        <v>#N/A</v>
      </c>
      <c r="F176" s="19" t="str">
        <f>vlookup($C176,CSDL!$A:$E,4,0)</f>
        <v>#N/A</v>
      </c>
      <c r="G176" s="20" t="str">
        <f>vlookup($C176,CSDL!$A:$E,5,0)</f>
        <v>#N/A</v>
      </c>
      <c r="H176" s="16"/>
      <c r="I176" s="23" t="s">
        <v>48</v>
      </c>
      <c r="J176" s="23">
        <v>70.0</v>
      </c>
      <c r="K176" s="23">
        <v>3.0</v>
      </c>
      <c r="L176" s="22">
        <f t="shared" si="7"/>
        <v>210</v>
      </c>
      <c r="M176" s="23">
        <v>140.0</v>
      </c>
      <c r="N176" s="23" t="s">
        <v>65</v>
      </c>
      <c r="O176" s="24"/>
      <c r="P176" s="33"/>
      <c r="Q176" s="25"/>
    </row>
    <row r="177" ht="25.5" customHeight="1">
      <c r="A177" s="26"/>
      <c r="B177" s="28"/>
      <c r="C177" s="17"/>
      <c r="D177" s="18" t="s">
        <v>21</v>
      </c>
      <c r="E177" s="19" t="str">
        <f>vlookup($C177,CSDL!$A:$E,3,0)</f>
        <v>#N/A</v>
      </c>
      <c r="F177" s="19" t="str">
        <f>vlookup($C177,CSDL!$A:$E,4,0)</f>
        <v>#N/A</v>
      </c>
      <c r="G177" s="27" t="str">
        <f>vlookup($C177,CSDL!$A:$E,5,0)</f>
        <v>#N/A</v>
      </c>
      <c r="H177" s="28"/>
      <c r="I177" s="29" t="s">
        <v>95</v>
      </c>
      <c r="J177" s="29">
        <v>100.0</v>
      </c>
      <c r="K177" s="29">
        <v>1.0</v>
      </c>
      <c r="L177" s="22">
        <f t="shared" si="7"/>
        <v>100</v>
      </c>
      <c r="M177" s="23">
        <v>100.0</v>
      </c>
      <c r="N177" s="29" t="s">
        <v>101</v>
      </c>
      <c r="O177" s="30"/>
      <c r="P177" s="26"/>
      <c r="Q177" s="32"/>
    </row>
    <row r="178" ht="25.5" customHeight="1">
      <c r="A178" s="33"/>
      <c r="B178" s="16"/>
      <c r="C178" s="17"/>
      <c r="D178" s="18" t="s">
        <v>21</v>
      </c>
      <c r="E178" s="19" t="str">
        <f>vlookup($C178,CSDL!$A:$E,3,0)</f>
        <v>#N/A</v>
      </c>
      <c r="F178" s="19" t="str">
        <f>vlookup($C178,CSDL!$A:$E,4,0)</f>
        <v>#N/A</v>
      </c>
      <c r="G178" s="20" t="str">
        <f>vlookup($C178,CSDL!$A:$E,5,0)</f>
        <v>#N/A</v>
      </c>
      <c r="H178" s="16"/>
      <c r="I178" s="23" t="s">
        <v>33</v>
      </c>
      <c r="J178" s="23">
        <v>90.0</v>
      </c>
      <c r="K178" s="23">
        <v>1.0</v>
      </c>
      <c r="L178" s="22">
        <f t="shared" si="7"/>
        <v>90</v>
      </c>
      <c r="M178" s="23">
        <v>90.0</v>
      </c>
      <c r="N178" s="23" t="s">
        <v>34</v>
      </c>
      <c r="O178" s="24" t="s">
        <v>206</v>
      </c>
      <c r="P178" s="33"/>
      <c r="Q178" s="25"/>
    </row>
    <row r="179" ht="25.5" customHeight="1">
      <c r="A179" s="31"/>
      <c r="B179" s="28">
        <v>1221.0</v>
      </c>
      <c r="C179" s="17"/>
      <c r="D179" s="18" t="s">
        <v>207</v>
      </c>
      <c r="E179" s="19" t="str">
        <f>vlookup($C179,CSDL!$A:$E,3,0)</f>
        <v>#N/A</v>
      </c>
      <c r="F179" s="19" t="str">
        <f>vlookup($C179,CSDL!$A:$E,4,0)</f>
        <v>#N/A</v>
      </c>
      <c r="G179" s="27" t="str">
        <f>vlookup($C179,CSDL!$A:$E,5,0)</f>
        <v>#N/A</v>
      </c>
      <c r="H179" s="28"/>
      <c r="I179" s="29" t="s">
        <v>30</v>
      </c>
      <c r="J179" s="29">
        <v>130.0</v>
      </c>
      <c r="K179" s="29">
        <v>3.0</v>
      </c>
      <c r="L179" s="22">
        <f t="shared" si="7"/>
        <v>390</v>
      </c>
      <c r="M179" s="23">
        <v>450.0</v>
      </c>
      <c r="N179" s="29" t="s">
        <v>65</v>
      </c>
      <c r="O179" s="30"/>
      <c r="P179" s="26"/>
      <c r="Q179" s="32"/>
    </row>
    <row r="180" ht="25.5" customHeight="1">
      <c r="A180" s="33"/>
      <c r="B180" s="16">
        <v>1221.0</v>
      </c>
      <c r="C180" s="17"/>
      <c r="D180" s="34" t="str">
        <f>vlookup($C180,CSDL!$A:$E,2,0)</f>
        <v>#N/A</v>
      </c>
      <c r="E180" s="19" t="str">
        <f>vlookup($C180,CSDL!$A:$E,3,0)</f>
        <v>#N/A</v>
      </c>
      <c r="F180" s="19" t="str">
        <f>vlookup($C180,CSDL!$A:$E,4,0)</f>
        <v>#N/A</v>
      </c>
      <c r="G180" s="20" t="str">
        <f>vlookup($C180,CSDL!$A:$E,5,0)</f>
        <v>#N/A</v>
      </c>
      <c r="H180" s="16"/>
      <c r="I180" s="23" t="s">
        <v>22</v>
      </c>
      <c r="J180" s="23">
        <v>30.0</v>
      </c>
      <c r="K180" s="23">
        <v>2.0</v>
      </c>
      <c r="L180" s="22">
        <f t="shared" si="7"/>
        <v>60</v>
      </c>
      <c r="M180" s="23"/>
      <c r="N180" s="23"/>
      <c r="O180" s="24"/>
      <c r="P180" s="33"/>
      <c r="Q180" s="25"/>
    </row>
    <row r="181" ht="25.5" customHeight="1">
      <c r="A181" s="26"/>
      <c r="B181" s="28">
        <v>1222.0</v>
      </c>
      <c r="C181" s="17"/>
      <c r="D181" s="34" t="str">
        <f>vlookup($C181,CSDL!$A:$E,2,0)</f>
        <v>#N/A</v>
      </c>
      <c r="E181" s="19" t="str">
        <f>vlookup($C181,CSDL!$A:$E,3,0)</f>
        <v>#N/A</v>
      </c>
      <c r="F181" s="19" t="str">
        <f>vlookup($C181,CSDL!$A:$E,4,0)</f>
        <v>#N/A</v>
      </c>
      <c r="G181" s="27" t="str">
        <f>vlookup($C181,CSDL!$A:$E,5,0)</f>
        <v>#N/A</v>
      </c>
      <c r="H181" s="28"/>
      <c r="I181" s="29" t="s">
        <v>208</v>
      </c>
      <c r="J181" s="29">
        <v>600.0</v>
      </c>
      <c r="K181" s="29">
        <v>1.0</v>
      </c>
      <c r="L181" s="22">
        <f t="shared" si="7"/>
        <v>600</v>
      </c>
      <c r="M181" s="23">
        <v>600.0</v>
      </c>
      <c r="N181" s="29" t="s">
        <v>65</v>
      </c>
      <c r="O181" s="30"/>
      <c r="P181" s="26"/>
      <c r="Q181" s="32"/>
    </row>
    <row r="182" ht="25.5" customHeight="1">
      <c r="A182" s="33"/>
      <c r="B182" s="16">
        <v>1223.0</v>
      </c>
      <c r="C182" s="17" t="s">
        <v>209</v>
      </c>
      <c r="D182" s="34" t="str">
        <f>vlookup($C182,CSDL!$A:$E,2,0)</f>
        <v>Chị Tuyền</v>
      </c>
      <c r="E182" s="19" t="str">
        <f>vlookup($C182,CSDL!$A:$E,3,0)</f>
        <v>21/138 Nguyễn Sinh Cung</v>
      </c>
      <c r="F182" s="19" t="str">
        <f>vlookup($C182,CSDL!$A:$E,4,0)</f>
        <v>Chó</v>
      </c>
      <c r="G182" s="20" t="str">
        <f>vlookup($C182,CSDL!$A:$E,5,0)</f>
        <v>Li</v>
      </c>
      <c r="H182" s="16">
        <v>2.0</v>
      </c>
      <c r="I182" s="23" t="s">
        <v>30</v>
      </c>
      <c r="J182" s="23">
        <v>100.0</v>
      </c>
      <c r="K182" s="23">
        <v>1.0</v>
      </c>
      <c r="L182" s="22">
        <f t="shared" si="7"/>
        <v>100</v>
      </c>
      <c r="M182" s="23">
        <v>270.0</v>
      </c>
      <c r="N182" s="23" t="s">
        <v>65</v>
      </c>
      <c r="O182" s="24"/>
      <c r="P182" s="15"/>
      <c r="Q182" s="16"/>
    </row>
    <row r="183" ht="25.5" customHeight="1">
      <c r="A183" s="26"/>
      <c r="B183" s="28">
        <v>1223.0</v>
      </c>
      <c r="C183" s="17"/>
      <c r="D183" s="34" t="str">
        <f>vlookup($C183,CSDL!$A:$E,2,0)</f>
        <v>#N/A</v>
      </c>
      <c r="E183" s="19" t="str">
        <f>vlookup($C183,CSDL!$A:$E,3,0)</f>
        <v>#N/A</v>
      </c>
      <c r="F183" s="19" t="str">
        <f>vlookup($C183,CSDL!$A:$E,4,0)</f>
        <v>#N/A</v>
      </c>
      <c r="G183" s="27" t="str">
        <f>vlookup($C183,CSDL!$A:$E,5,0)</f>
        <v>#N/A</v>
      </c>
      <c r="H183" s="28"/>
      <c r="I183" s="29" t="s">
        <v>177</v>
      </c>
      <c r="J183" s="29">
        <v>150.0</v>
      </c>
      <c r="K183" s="29">
        <v>1.0</v>
      </c>
      <c r="L183" s="22">
        <f t="shared" si="7"/>
        <v>150</v>
      </c>
      <c r="M183" s="23"/>
      <c r="N183" s="29"/>
      <c r="O183" s="30"/>
      <c r="P183" s="26"/>
      <c r="Q183" s="45"/>
    </row>
    <row r="184" ht="25.5" customHeight="1">
      <c r="A184" s="33"/>
      <c r="B184" s="16">
        <v>1223.0</v>
      </c>
      <c r="C184" s="17"/>
      <c r="D184" s="34" t="str">
        <f>vlookup($C184,CSDL!$A:$E,2,0)</f>
        <v>#N/A</v>
      </c>
      <c r="E184" s="19" t="str">
        <f>vlookup($C184,CSDL!$A:$E,3,0)</f>
        <v>#N/A</v>
      </c>
      <c r="F184" s="19" t="str">
        <f>vlookup($C184,CSDL!$A:$E,4,0)</f>
        <v>#N/A</v>
      </c>
      <c r="G184" s="20" t="str">
        <f>vlookup($C184,CSDL!$A:$E,5,0)</f>
        <v>#N/A</v>
      </c>
      <c r="H184" s="16"/>
      <c r="I184" s="23" t="s">
        <v>22</v>
      </c>
      <c r="J184" s="23">
        <v>20.0</v>
      </c>
      <c r="K184" s="23">
        <v>1.0</v>
      </c>
      <c r="L184" s="22">
        <f t="shared" si="7"/>
        <v>20</v>
      </c>
      <c r="M184" s="23"/>
      <c r="N184" s="23"/>
      <c r="O184" s="24"/>
      <c r="P184" s="33"/>
      <c r="Q184" s="25"/>
    </row>
    <row r="185" ht="25.5" customHeight="1">
      <c r="A185" s="26"/>
      <c r="B185" s="28"/>
      <c r="C185" s="17"/>
      <c r="D185" s="18" t="s">
        <v>21</v>
      </c>
      <c r="E185" s="19" t="str">
        <f>vlookup($C185,CSDL!$A:$E,3,0)</f>
        <v>#N/A</v>
      </c>
      <c r="F185" s="19" t="str">
        <f>vlookup($C185,CSDL!$A:$E,4,0)</f>
        <v>#N/A</v>
      </c>
      <c r="G185" s="27" t="str">
        <f>vlookup($C185,CSDL!$A:$E,5,0)</f>
        <v>#N/A</v>
      </c>
      <c r="H185" s="28"/>
      <c r="I185" s="29" t="s">
        <v>30</v>
      </c>
      <c r="J185" s="29">
        <v>100.0</v>
      </c>
      <c r="K185" s="29">
        <v>1.0</v>
      </c>
      <c r="L185" s="22">
        <f t="shared" si="7"/>
        <v>100</v>
      </c>
      <c r="M185" s="23">
        <v>100.0</v>
      </c>
      <c r="N185" s="29" t="s">
        <v>25</v>
      </c>
      <c r="O185" s="30" t="s">
        <v>210</v>
      </c>
      <c r="P185" s="26"/>
      <c r="Q185" s="32"/>
    </row>
    <row r="186" ht="25.5" customHeight="1">
      <c r="A186" s="33"/>
      <c r="B186" s="16">
        <v>1224.0</v>
      </c>
      <c r="C186" s="17" t="s">
        <v>211</v>
      </c>
      <c r="D186" s="34" t="str">
        <f>vlookup($C186,CSDL!$A:$E,2,0)</f>
        <v>Anh Hiếu</v>
      </c>
      <c r="E186" s="19" t="str">
        <f>vlookup($C186,CSDL!$A:$E,3,0)</f>
        <v>77 Địa Linh</v>
      </c>
      <c r="F186" s="19" t="str">
        <f>vlookup($C186,CSDL!$A:$E,4,0)</f>
        <v>Chó</v>
      </c>
      <c r="G186" s="20" t="str">
        <f>vlookup($C186,CSDL!$A:$E,5,0)</f>
        <v>Fox</v>
      </c>
      <c r="H186" s="16">
        <v>3.0</v>
      </c>
      <c r="I186" s="23" t="s">
        <v>123</v>
      </c>
      <c r="J186" s="23">
        <v>100.0</v>
      </c>
      <c r="K186" s="23">
        <v>1.0</v>
      </c>
      <c r="L186" s="22">
        <f t="shared" si="7"/>
        <v>100</v>
      </c>
      <c r="M186" s="23">
        <v>230.0</v>
      </c>
      <c r="N186" s="23" t="s">
        <v>25</v>
      </c>
      <c r="O186" s="24" t="s">
        <v>212</v>
      </c>
      <c r="P186" s="33"/>
      <c r="Q186" s="16"/>
    </row>
    <row r="187" ht="25.5" customHeight="1">
      <c r="A187" s="31"/>
      <c r="B187" s="28">
        <v>1224.0</v>
      </c>
      <c r="C187" s="17"/>
      <c r="D187" s="34" t="str">
        <f>vlookup($C187,CSDL!$A:$E,2,0)</f>
        <v>#N/A</v>
      </c>
      <c r="E187" s="19" t="str">
        <f>vlookup($C187,CSDL!$A:$E,3,0)</f>
        <v>#N/A</v>
      </c>
      <c r="F187" s="19" t="str">
        <f>vlookup($C187,CSDL!$A:$E,4,0)</f>
        <v>#N/A</v>
      </c>
      <c r="G187" s="27" t="str">
        <f>vlookup($C187,CSDL!$A:$E,5,0)</f>
        <v>#N/A</v>
      </c>
      <c r="H187" s="28"/>
      <c r="I187" s="29" t="s">
        <v>30</v>
      </c>
      <c r="J187" s="29">
        <v>130.0</v>
      </c>
      <c r="K187" s="29">
        <v>1.0</v>
      </c>
      <c r="L187" s="22">
        <f t="shared" si="7"/>
        <v>130</v>
      </c>
      <c r="M187" s="23"/>
      <c r="N187" s="29"/>
      <c r="O187" s="30"/>
      <c r="P187" s="31"/>
      <c r="Q187" s="32"/>
    </row>
    <row r="188" ht="25.5" customHeight="1">
      <c r="A188" s="15">
        <v>45977.0</v>
      </c>
      <c r="B188" s="16"/>
      <c r="C188" s="17"/>
      <c r="D188" s="18" t="s">
        <v>21</v>
      </c>
      <c r="E188" s="19" t="str">
        <f>vlookup($C188,CSDL!$A:$E,3,0)</f>
        <v>#N/A</v>
      </c>
      <c r="F188" s="19" t="str">
        <f>vlookup($C188,CSDL!$A:$E,4,0)</f>
        <v>#N/A</v>
      </c>
      <c r="G188" s="20" t="str">
        <f>vlookup($C188,CSDL!$A:$E,5,0)</f>
        <v>#N/A</v>
      </c>
      <c r="H188" s="16"/>
      <c r="I188" s="23" t="s">
        <v>52</v>
      </c>
      <c r="J188" s="23">
        <v>180.0</v>
      </c>
      <c r="K188" s="23">
        <v>1.0</v>
      </c>
      <c r="L188" s="22">
        <f t="shared" si="7"/>
        <v>180</v>
      </c>
      <c r="M188" s="23">
        <v>200.0</v>
      </c>
      <c r="N188" s="23" t="s">
        <v>101</v>
      </c>
      <c r="O188" s="24"/>
      <c r="P188" s="15"/>
      <c r="Q188" s="25"/>
    </row>
    <row r="189" ht="25.5" customHeight="1">
      <c r="A189" s="26"/>
      <c r="B189" s="28"/>
      <c r="C189" s="17"/>
      <c r="D189" s="34" t="str">
        <f>vlookup($C189,CSDL!$A:$E,2,0)</f>
        <v>#N/A</v>
      </c>
      <c r="E189" s="19" t="str">
        <f>vlookup($C189,CSDL!$A:$E,3,0)</f>
        <v>#N/A</v>
      </c>
      <c r="F189" s="19" t="str">
        <f>vlookup($C189,CSDL!$A:$E,4,0)</f>
        <v>#N/A</v>
      </c>
      <c r="G189" s="27" t="str">
        <f>vlookup($C189,CSDL!$A:$E,5,0)</f>
        <v>#N/A</v>
      </c>
      <c r="H189" s="28"/>
      <c r="I189" s="29" t="s">
        <v>22</v>
      </c>
      <c r="J189" s="29">
        <v>20.0</v>
      </c>
      <c r="K189" s="29">
        <v>1.0</v>
      </c>
      <c r="L189" s="22">
        <f t="shared" si="7"/>
        <v>20</v>
      </c>
      <c r="M189" s="23"/>
      <c r="N189" s="29"/>
      <c r="O189" s="30"/>
      <c r="P189" s="31"/>
      <c r="Q189" s="32"/>
    </row>
    <row r="190" ht="25.5" customHeight="1">
      <c r="A190" s="15"/>
      <c r="B190" s="16"/>
      <c r="C190" s="17"/>
      <c r="D190" s="18" t="s">
        <v>21</v>
      </c>
      <c r="E190" s="19" t="str">
        <f>vlookup($C190,CSDL!$A:$E,3,0)</f>
        <v>#N/A</v>
      </c>
      <c r="F190" s="19" t="str">
        <f>vlookup($C190,CSDL!$A:$E,4,0)</f>
        <v>#N/A</v>
      </c>
      <c r="G190" s="20" t="str">
        <f>vlookup($C190,CSDL!$A:$E,5,0)</f>
        <v>#N/A</v>
      </c>
      <c r="H190" s="16"/>
      <c r="I190" s="23" t="s">
        <v>22</v>
      </c>
      <c r="J190" s="23">
        <v>110.0</v>
      </c>
      <c r="K190" s="23">
        <v>1.0</v>
      </c>
      <c r="L190" s="22">
        <f t="shared" si="7"/>
        <v>110</v>
      </c>
      <c r="M190" s="23">
        <v>110.0</v>
      </c>
      <c r="N190" s="23" t="s">
        <v>65</v>
      </c>
      <c r="O190" s="24"/>
      <c r="P190" s="15"/>
      <c r="Q190" s="25"/>
    </row>
    <row r="191" ht="25.5" customHeight="1">
      <c r="A191" s="31"/>
      <c r="B191" s="28"/>
      <c r="C191" s="17"/>
      <c r="D191" s="34" t="str">
        <f>vlookup($C191,CSDL!$A:$E,2,0)</f>
        <v>#N/A</v>
      </c>
      <c r="E191" s="19" t="str">
        <f>vlookup($C191,CSDL!$A:$E,3,0)</f>
        <v>#N/A</v>
      </c>
      <c r="F191" s="19" t="str">
        <f>vlookup($C191,CSDL!$A:$E,4,0)</f>
        <v>#N/A</v>
      </c>
      <c r="G191" s="27" t="str">
        <f>vlookup($C191,CSDL!$A:$E,5,0)</f>
        <v>#N/A</v>
      </c>
      <c r="H191" s="28"/>
      <c r="I191" s="29" t="s">
        <v>53</v>
      </c>
      <c r="J191" s="29">
        <v>0.0</v>
      </c>
      <c r="K191" s="29">
        <v>1.0</v>
      </c>
      <c r="L191" s="22">
        <f t="shared" si="7"/>
        <v>0</v>
      </c>
      <c r="M191" s="23"/>
      <c r="N191" s="29"/>
      <c r="O191" s="30"/>
      <c r="P191" s="31"/>
      <c r="Q191" s="32"/>
    </row>
    <row r="192" ht="25.5" customHeight="1">
      <c r="A192" s="15"/>
      <c r="B192" s="16">
        <v>1225.0</v>
      </c>
      <c r="C192" s="17" t="s">
        <v>213</v>
      </c>
      <c r="D192" s="34" t="str">
        <f>vlookup($C192,CSDL!$A:$E,2,0)</f>
        <v>em Thảo</v>
      </c>
      <c r="E192" s="19" t="str">
        <f>vlookup($C192,CSDL!$A:$E,3,0)</f>
        <v>375 Chi Lăng</v>
      </c>
      <c r="F192" s="37" t="s">
        <v>75</v>
      </c>
      <c r="G192" s="36" t="s">
        <v>93</v>
      </c>
      <c r="H192" s="16"/>
      <c r="I192" s="23" t="s">
        <v>48</v>
      </c>
      <c r="J192" s="23">
        <v>150.0</v>
      </c>
      <c r="K192" s="23">
        <v>1.0</v>
      </c>
      <c r="L192" s="22">
        <f t="shared" si="7"/>
        <v>150</v>
      </c>
      <c r="M192" s="23">
        <v>750.0</v>
      </c>
      <c r="N192" s="23" t="s">
        <v>25</v>
      </c>
      <c r="O192" s="24" t="s">
        <v>214</v>
      </c>
      <c r="P192" s="15"/>
      <c r="Q192" s="25"/>
    </row>
    <row r="193" ht="25.5" customHeight="1">
      <c r="A193" s="39"/>
      <c r="B193" s="28">
        <v>1225.0</v>
      </c>
      <c r="C193" s="17"/>
      <c r="D193" s="34" t="str">
        <f>vlookup($C193,CSDL!$A:$E,2,0)</f>
        <v>#N/A</v>
      </c>
      <c r="E193" s="19" t="str">
        <f>vlookup($C193,CSDL!$A:$E,3,0)</f>
        <v>#N/A</v>
      </c>
      <c r="F193" s="19" t="str">
        <f>vlookup($C193,CSDL!$A:$E,4,0)</f>
        <v>#N/A</v>
      </c>
      <c r="G193" s="27" t="str">
        <f>vlookup($C193,CSDL!$A:$E,5,0)</f>
        <v>#N/A</v>
      </c>
      <c r="H193" s="28"/>
      <c r="I193" s="29" t="s">
        <v>49</v>
      </c>
      <c r="J193" s="29">
        <v>350.0</v>
      </c>
      <c r="K193" s="29">
        <v>1.0</v>
      </c>
      <c r="L193" s="22">
        <f t="shared" si="7"/>
        <v>350</v>
      </c>
      <c r="M193" s="23"/>
      <c r="N193" s="29"/>
      <c r="O193" s="30"/>
      <c r="P193" s="26"/>
      <c r="Q193" s="40"/>
    </row>
    <row r="194" ht="25.5" customHeight="1">
      <c r="A194" s="15"/>
      <c r="B194" s="16">
        <v>1225.0</v>
      </c>
      <c r="C194" s="17"/>
      <c r="D194" s="34" t="str">
        <f>vlookup($C194,CSDL!$A:$E,2,0)</f>
        <v>#N/A</v>
      </c>
      <c r="E194" s="19" t="str">
        <f>vlookup($C194,CSDL!$A:$E,3,0)</f>
        <v>#N/A</v>
      </c>
      <c r="F194" s="19" t="str">
        <f>vlookup($C194,CSDL!$A:$E,4,0)</f>
        <v>#N/A</v>
      </c>
      <c r="G194" s="20" t="str">
        <f>vlookup($C194,CSDL!$A:$E,5,0)</f>
        <v>#N/A</v>
      </c>
      <c r="H194" s="16"/>
      <c r="I194" s="23" t="s">
        <v>30</v>
      </c>
      <c r="J194" s="23">
        <v>150.0</v>
      </c>
      <c r="K194" s="23">
        <v>1.0</v>
      </c>
      <c r="L194" s="22">
        <f t="shared" si="7"/>
        <v>150</v>
      </c>
      <c r="M194" s="23"/>
      <c r="N194" s="23"/>
      <c r="O194" s="24"/>
      <c r="P194" s="15"/>
      <c r="Q194" s="25"/>
    </row>
    <row r="195" ht="25.5" customHeight="1">
      <c r="A195" s="26"/>
      <c r="B195" s="28">
        <v>1225.0</v>
      </c>
      <c r="C195" s="17"/>
      <c r="D195" s="34" t="str">
        <f>vlookup($C195,CSDL!$A:$E,2,0)</f>
        <v>#N/A</v>
      </c>
      <c r="E195" s="19" t="str">
        <f>vlookup($C195,CSDL!$A:$E,3,0)</f>
        <v>#N/A</v>
      </c>
      <c r="F195" s="19" t="str">
        <f>vlookup($C195,CSDL!$A:$E,4,0)</f>
        <v>#N/A</v>
      </c>
      <c r="G195" s="27" t="str">
        <f>vlookup($C195,CSDL!$A:$E,5,0)</f>
        <v>#N/A</v>
      </c>
      <c r="H195" s="28"/>
      <c r="I195" s="29" t="s">
        <v>80</v>
      </c>
      <c r="J195" s="29">
        <v>100.0</v>
      </c>
      <c r="K195" s="29">
        <v>1.0</v>
      </c>
      <c r="L195" s="22">
        <f t="shared" si="7"/>
        <v>100</v>
      </c>
      <c r="M195" s="23"/>
      <c r="N195" s="29"/>
      <c r="O195" s="30"/>
      <c r="P195" s="31"/>
      <c r="Q195" s="32"/>
    </row>
    <row r="196" ht="25.5" customHeight="1">
      <c r="A196" s="33"/>
      <c r="B196" s="16"/>
      <c r="C196" s="17"/>
      <c r="D196" s="18" t="s">
        <v>21</v>
      </c>
      <c r="E196" s="19" t="str">
        <f>vlookup($C196,CSDL!$A:$E,3,0)</f>
        <v>#N/A</v>
      </c>
      <c r="F196" s="19" t="str">
        <f>vlookup($C196,CSDL!$A:$E,4,0)</f>
        <v>#N/A</v>
      </c>
      <c r="G196" s="20" t="str">
        <f>vlookup($C196,CSDL!$A:$E,5,0)</f>
        <v>#N/A</v>
      </c>
      <c r="H196" s="16"/>
      <c r="I196" s="23" t="s">
        <v>30</v>
      </c>
      <c r="J196" s="23">
        <v>100.0</v>
      </c>
      <c r="K196" s="23">
        <v>1.0</v>
      </c>
      <c r="L196" s="22">
        <f t="shared" si="7"/>
        <v>100</v>
      </c>
      <c r="M196" s="23">
        <v>100.0</v>
      </c>
      <c r="N196" s="23" t="s">
        <v>65</v>
      </c>
      <c r="O196" s="24"/>
      <c r="P196" s="15"/>
      <c r="Q196" s="25"/>
    </row>
    <row r="197" ht="25.5" customHeight="1">
      <c r="A197" s="26"/>
      <c r="B197" s="28"/>
      <c r="C197" s="17"/>
      <c r="D197" s="18" t="s">
        <v>215</v>
      </c>
      <c r="E197" s="19" t="str">
        <f>vlookup($C197,CSDL!$A:$E,3,0)</f>
        <v>#N/A</v>
      </c>
      <c r="F197" s="19" t="str">
        <f>vlookup($C197,CSDL!$A:$E,4,0)</f>
        <v>#N/A</v>
      </c>
      <c r="G197" s="27" t="str">
        <f>vlookup($C197,CSDL!$A:$E,5,0)</f>
        <v>#N/A</v>
      </c>
      <c r="H197" s="28"/>
      <c r="I197" s="29" t="s">
        <v>52</v>
      </c>
      <c r="J197" s="29">
        <v>180.0</v>
      </c>
      <c r="K197" s="29">
        <v>1.0</v>
      </c>
      <c r="L197" s="22">
        <f t="shared" si="7"/>
        <v>180</v>
      </c>
      <c r="M197" s="23">
        <v>360.0</v>
      </c>
      <c r="N197" s="29" t="s">
        <v>25</v>
      </c>
      <c r="O197" s="30" t="s">
        <v>216</v>
      </c>
      <c r="P197" s="31"/>
      <c r="Q197" s="32"/>
    </row>
    <row r="198" ht="25.5" customHeight="1">
      <c r="A198" s="33"/>
      <c r="B198" s="16"/>
      <c r="C198" s="17"/>
      <c r="D198" s="34" t="str">
        <f>vlookup($C198,CSDL!$A:$E,2,0)</f>
        <v>#N/A</v>
      </c>
      <c r="E198" s="19" t="str">
        <f>vlookup($C198,CSDL!$A:$E,3,0)</f>
        <v>#N/A</v>
      </c>
      <c r="F198" s="19" t="str">
        <f>vlookup($C198,CSDL!$A:$E,4,0)</f>
        <v>#N/A</v>
      </c>
      <c r="G198" s="20" t="str">
        <f>vlookup($C198,CSDL!$A:$E,5,0)</f>
        <v>#N/A</v>
      </c>
      <c r="H198" s="16"/>
      <c r="I198" s="23" t="s">
        <v>83</v>
      </c>
      <c r="J198" s="23">
        <v>180.0</v>
      </c>
      <c r="K198" s="23">
        <v>1.0</v>
      </c>
      <c r="L198" s="22">
        <f t="shared" si="7"/>
        <v>180</v>
      </c>
      <c r="M198" s="23">
        <v>60.0</v>
      </c>
      <c r="N198" s="23" t="s">
        <v>34</v>
      </c>
      <c r="O198" s="24"/>
      <c r="P198" s="33"/>
      <c r="Q198" s="25"/>
    </row>
    <row r="199" ht="25.5" customHeight="1">
      <c r="A199" s="26"/>
      <c r="B199" s="28"/>
      <c r="C199" s="17"/>
      <c r="D199" s="34" t="str">
        <f>vlookup($C199,CSDL!$A:$E,2,0)</f>
        <v>#N/A</v>
      </c>
      <c r="E199" s="19" t="str">
        <f>vlookup($C199,CSDL!$A:$E,3,0)</f>
        <v>#N/A</v>
      </c>
      <c r="F199" s="19" t="str">
        <f>vlookup($C199,CSDL!$A:$E,4,0)</f>
        <v>#N/A</v>
      </c>
      <c r="G199" s="27" t="str">
        <f>vlookup($C199,CSDL!$A:$E,5,0)</f>
        <v>#N/A</v>
      </c>
      <c r="H199" s="28"/>
      <c r="I199" s="29" t="s">
        <v>33</v>
      </c>
      <c r="J199" s="29">
        <v>60.0</v>
      </c>
      <c r="K199" s="29">
        <v>1.0</v>
      </c>
      <c r="L199" s="22">
        <f t="shared" si="7"/>
        <v>60</v>
      </c>
      <c r="M199" s="23"/>
      <c r="N199" s="29"/>
      <c r="O199" s="30"/>
      <c r="P199" s="26"/>
      <c r="Q199" s="32"/>
    </row>
    <row r="200" ht="25.5" customHeight="1">
      <c r="A200" s="33"/>
      <c r="B200" s="16"/>
      <c r="C200" s="17"/>
      <c r="D200" s="18" t="s">
        <v>21</v>
      </c>
      <c r="E200" s="19" t="str">
        <f>vlookup($C200,CSDL!$A:$E,3,0)</f>
        <v>#N/A</v>
      </c>
      <c r="F200" s="19" t="str">
        <f>vlookup($C200,CSDL!$A:$E,4,0)</f>
        <v>#N/A</v>
      </c>
      <c r="G200" s="20" t="str">
        <f>vlookup($C200,CSDL!$A:$E,5,0)</f>
        <v>#N/A</v>
      </c>
      <c r="H200" s="16"/>
      <c r="I200" s="23" t="s">
        <v>24</v>
      </c>
      <c r="J200" s="23">
        <v>20.0</v>
      </c>
      <c r="K200" s="23">
        <v>3.0</v>
      </c>
      <c r="L200" s="22">
        <f t="shared" si="7"/>
        <v>60</v>
      </c>
      <c r="M200" s="23">
        <v>60.0</v>
      </c>
      <c r="N200" s="23" t="s">
        <v>65</v>
      </c>
      <c r="O200" s="24"/>
      <c r="P200" s="33"/>
      <c r="Q200" s="25"/>
    </row>
    <row r="201" ht="25.5" customHeight="1">
      <c r="A201" s="26"/>
      <c r="B201" s="28"/>
      <c r="C201" s="17"/>
      <c r="D201" s="18" t="s">
        <v>170</v>
      </c>
      <c r="E201" s="19" t="str">
        <f>vlookup($C201,CSDL!$A:$E,3,0)</f>
        <v>#N/A</v>
      </c>
      <c r="F201" s="19" t="str">
        <f>vlookup($C201,CSDL!$A:$E,4,0)</f>
        <v>#N/A</v>
      </c>
      <c r="G201" s="27" t="str">
        <f>vlookup($C201,CSDL!$A:$E,5,0)</f>
        <v>#N/A</v>
      </c>
      <c r="H201" s="28"/>
      <c r="I201" s="29" t="s">
        <v>48</v>
      </c>
      <c r="J201" s="29">
        <v>140.0</v>
      </c>
      <c r="K201" s="29">
        <v>1.0</v>
      </c>
      <c r="L201" s="22">
        <f t="shared" si="7"/>
        <v>140</v>
      </c>
      <c r="M201" s="23">
        <v>140.0</v>
      </c>
      <c r="N201" s="29" t="s">
        <v>25</v>
      </c>
      <c r="O201" s="30" t="s">
        <v>217</v>
      </c>
      <c r="P201" s="26"/>
      <c r="Q201" s="45"/>
    </row>
    <row r="202" ht="25.5" customHeight="1">
      <c r="A202" s="33"/>
      <c r="B202" s="16">
        <v>1226.0</v>
      </c>
      <c r="C202" s="17"/>
      <c r="D202" s="18" t="s">
        <v>218</v>
      </c>
      <c r="E202" s="37" t="s">
        <v>219</v>
      </c>
      <c r="F202" s="19" t="str">
        <f>vlookup($C202,CSDL!$A:$E,4,0)</f>
        <v>#N/A</v>
      </c>
      <c r="G202" s="20" t="str">
        <f>vlookup($C202,CSDL!$A:$E,5,0)</f>
        <v>#N/A</v>
      </c>
      <c r="H202" s="16"/>
      <c r="I202" s="23" t="s">
        <v>220</v>
      </c>
      <c r="J202" s="23">
        <v>600.0</v>
      </c>
      <c r="K202" s="23">
        <v>1.0</v>
      </c>
      <c r="L202" s="22">
        <f t="shared" si="7"/>
        <v>600</v>
      </c>
      <c r="M202" s="23">
        <v>600.0</v>
      </c>
      <c r="N202" s="23" t="s">
        <v>25</v>
      </c>
      <c r="O202" s="24" t="s">
        <v>221</v>
      </c>
      <c r="P202" s="33"/>
      <c r="Q202" s="16"/>
    </row>
    <row r="203" ht="25.5" customHeight="1">
      <c r="A203" s="31"/>
      <c r="B203" s="28">
        <v>1226.0</v>
      </c>
      <c r="C203" s="17"/>
      <c r="D203" s="34" t="str">
        <f>vlookup($C203,CSDL!$A:$E,2,0)</f>
        <v>#N/A</v>
      </c>
      <c r="E203" s="19" t="str">
        <f>vlookup($C203,CSDL!$A:$E,3,0)</f>
        <v>#N/A</v>
      </c>
      <c r="F203" s="19" t="str">
        <f>vlookup($C203,CSDL!$A:$E,4,0)</f>
        <v>#N/A</v>
      </c>
      <c r="G203" s="27" t="str">
        <f>vlookup($C203,CSDL!$A:$E,5,0)</f>
        <v>#N/A</v>
      </c>
      <c r="H203" s="28"/>
      <c r="I203" s="29" t="s">
        <v>33</v>
      </c>
      <c r="J203" s="29">
        <v>60.0</v>
      </c>
      <c r="K203" s="29">
        <v>1.0</v>
      </c>
      <c r="L203" s="22">
        <f t="shared" si="7"/>
        <v>60</v>
      </c>
      <c r="M203" s="23">
        <v>60.0</v>
      </c>
      <c r="N203" s="29" t="s">
        <v>34</v>
      </c>
      <c r="O203" s="30"/>
      <c r="P203" s="26"/>
      <c r="Q203" s="32"/>
    </row>
    <row r="204" ht="25.5" customHeight="1">
      <c r="A204" s="15">
        <v>45978.0</v>
      </c>
      <c r="B204" s="16">
        <v>1227.0</v>
      </c>
      <c r="C204" s="17" t="s">
        <v>213</v>
      </c>
      <c r="D204" s="34" t="str">
        <f>vlookup($C204,CSDL!$A:$E,2,0)</f>
        <v>em Thảo</v>
      </c>
      <c r="E204" s="19" t="str">
        <f>vlookup($C204,CSDL!$A:$E,3,0)</f>
        <v>375 Chi Lăng</v>
      </c>
      <c r="F204" s="19" t="str">
        <f>vlookup($C204,CSDL!$A:$E,4,0)</f>
        <v>mèo</v>
      </c>
      <c r="G204" s="20" t="str">
        <f>vlookup($C204,CSDL!$A:$E,5,0)</f>
        <v>Mim</v>
      </c>
      <c r="H204" s="16"/>
      <c r="I204" s="23" t="s">
        <v>48</v>
      </c>
      <c r="J204" s="23">
        <v>150.0</v>
      </c>
      <c r="K204" s="23">
        <v>2.0</v>
      </c>
      <c r="L204" s="22">
        <f t="shared" si="7"/>
        <v>300</v>
      </c>
      <c r="M204" s="23">
        <v>2350.0</v>
      </c>
      <c r="N204" s="23" t="s">
        <v>25</v>
      </c>
      <c r="O204" s="24" t="s">
        <v>222</v>
      </c>
      <c r="P204" s="15"/>
      <c r="Q204" s="25"/>
    </row>
    <row r="205" ht="25.5" customHeight="1">
      <c r="B205" s="28">
        <v>1227.0</v>
      </c>
      <c r="C205" s="17"/>
      <c r="D205" s="34" t="str">
        <f>vlookup($C205,CSDL!$A:$E,2,0)</f>
        <v>#N/A</v>
      </c>
      <c r="E205" s="19" t="str">
        <f>vlookup($C205,CSDL!$A:$E,3,0)</f>
        <v>#N/A</v>
      </c>
      <c r="F205" s="19" t="str">
        <f>vlookup($C205,CSDL!$A:$E,4,0)</f>
        <v>#N/A</v>
      </c>
      <c r="G205" s="27" t="str">
        <f>vlookup($C205,CSDL!$A:$E,5,0)</f>
        <v>#N/A</v>
      </c>
      <c r="H205" s="28"/>
      <c r="I205" s="29" t="s">
        <v>80</v>
      </c>
      <c r="J205" s="29">
        <v>100.0</v>
      </c>
      <c r="K205" s="29">
        <v>1.0</v>
      </c>
      <c r="L205" s="22">
        <f t="shared" si="7"/>
        <v>100</v>
      </c>
      <c r="M205" s="23"/>
      <c r="N205" s="29"/>
      <c r="O205" s="30"/>
      <c r="P205" s="31"/>
      <c r="Q205" s="32"/>
    </row>
    <row r="206" ht="25.5" customHeight="1">
      <c r="A206" s="33"/>
      <c r="B206" s="16">
        <v>1227.0</v>
      </c>
      <c r="C206" s="17"/>
      <c r="D206" s="34" t="str">
        <f>vlookup($C206,CSDL!$A:$E,2,0)</f>
        <v>#N/A</v>
      </c>
      <c r="E206" s="19" t="str">
        <f>vlookup($C206,CSDL!$A:$E,3,0)</f>
        <v>#N/A</v>
      </c>
      <c r="F206" s="19" t="str">
        <f>vlookup($C206,CSDL!$A:$E,4,0)</f>
        <v>#N/A</v>
      </c>
      <c r="G206" s="20" t="str">
        <f>vlookup($C206,CSDL!$A:$E,5,0)</f>
        <v>#N/A</v>
      </c>
      <c r="H206" s="16"/>
      <c r="I206" s="23" t="s">
        <v>30</v>
      </c>
      <c r="J206" s="23">
        <v>150.0</v>
      </c>
      <c r="K206" s="23">
        <v>6.0</v>
      </c>
      <c r="L206" s="22">
        <f t="shared" si="7"/>
        <v>900</v>
      </c>
      <c r="M206" s="23"/>
      <c r="N206" s="23"/>
      <c r="O206" s="24"/>
      <c r="P206" s="33"/>
      <c r="Q206" s="25"/>
    </row>
    <row r="207" ht="25.5" customHeight="1">
      <c r="A207" s="31"/>
      <c r="B207" s="28">
        <v>1227.0</v>
      </c>
      <c r="C207" s="17"/>
      <c r="D207" s="34" t="str">
        <f>vlookup($C207,CSDL!$A:$E,2,0)</f>
        <v>#N/A</v>
      </c>
      <c r="E207" s="19" t="str">
        <f>vlookup($C207,CSDL!$A:$E,3,0)</f>
        <v>#N/A</v>
      </c>
      <c r="F207" s="19" t="str">
        <f>vlookup($C207,CSDL!$A:$E,4,0)</f>
        <v>#N/A</v>
      </c>
      <c r="G207" s="27" t="str">
        <f>vlookup($C207,CSDL!$A:$E,5,0)</f>
        <v>#N/A</v>
      </c>
      <c r="H207" s="28"/>
      <c r="I207" s="29" t="s">
        <v>132</v>
      </c>
      <c r="J207" s="29">
        <v>350.0</v>
      </c>
      <c r="K207" s="29">
        <v>3.0</v>
      </c>
      <c r="L207" s="22">
        <f t="shared" si="7"/>
        <v>1050</v>
      </c>
      <c r="M207" s="23"/>
      <c r="N207" s="29"/>
      <c r="O207" s="30"/>
      <c r="P207" s="31"/>
      <c r="Q207" s="32"/>
    </row>
    <row r="208" ht="25.5" customHeight="1">
      <c r="A208" s="15"/>
      <c r="B208" s="16"/>
      <c r="C208" s="17"/>
      <c r="D208" s="18" t="s">
        <v>21</v>
      </c>
      <c r="E208" s="19" t="str">
        <f>vlookup($C208,CSDL!$A:$E,3,0)</f>
        <v>#N/A</v>
      </c>
      <c r="F208" s="19" t="str">
        <f>vlookup($C208,CSDL!$A:$E,4,0)</f>
        <v>#N/A</v>
      </c>
      <c r="G208" s="20" t="str">
        <f>vlookup($C208,CSDL!$A:$E,5,0)</f>
        <v>#N/A</v>
      </c>
      <c r="H208" s="16"/>
      <c r="I208" s="23" t="s">
        <v>30</v>
      </c>
      <c r="J208" s="23">
        <v>200.0</v>
      </c>
      <c r="K208" s="23">
        <v>1.0</v>
      </c>
      <c r="L208" s="22">
        <f t="shared" si="7"/>
        <v>200</v>
      </c>
      <c r="M208" s="23">
        <v>200.0</v>
      </c>
      <c r="N208" s="23" t="s">
        <v>101</v>
      </c>
      <c r="O208" s="24"/>
      <c r="P208" s="15"/>
      <c r="Q208" s="25"/>
    </row>
    <row r="209" ht="25.5" customHeight="1">
      <c r="A209" s="26"/>
      <c r="B209" s="28"/>
      <c r="C209" s="17"/>
      <c r="D209" s="18" t="s">
        <v>21</v>
      </c>
      <c r="E209" s="19" t="str">
        <f>vlookup($C209,CSDL!$A:$E,3,0)</f>
        <v>#N/A</v>
      </c>
      <c r="F209" s="19" t="str">
        <f>vlookup($C209,CSDL!$A:$E,4,0)</f>
        <v>#N/A</v>
      </c>
      <c r="G209" s="27" t="str">
        <f>vlookup($C209,CSDL!$A:$E,5,0)</f>
        <v>#N/A</v>
      </c>
      <c r="H209" s="28"/>
      <c r="I209" s="29" t="s">
        <v>30</v>
      </c>
      <c r="J209" s="29">
        <v>100.0</v>
      </c>
      <c r="K209" s="29">
        <v>1.0</v>
      </c>
      <c r="L209" s="22">
        <f t="shared" si="7"/>
        <v>100</v>
      </c>
      <c r="M209" s="23">
        <v>100.0</v>
      </c>
      <c r="N209" s="29" t="s">
        <v>25</v>
      </c>
      <c r="O209" s="30" t="s">
        <v>223</v>
      </c>
      <c r="P209" s="31"/>
      <c r="Q209" s="32"/>
    </row>
    <row r="210" ht="25.5" customHeight="1">
      <c r="A210" s="33"/>
      <c r="B210" s="16">
        <v>1228.0</v>
      </c>
      <c r="C210" s="17" t="s">
        <v>224</v>
      </c>
      <c r="D210" s="34" t="str">
        <f>vlookup($C210,CSDL!$A:$E,2,0)</f>
        <v>Em Bích Ngọc</v>
      </c>
      <c r="E210" s="19" t="str">
        <f>vlookup($C210,CSDL!$A:$E,3,0)</f>
        <v>8/159 Hàn Mặc Tử</v>
      </c>
      <c r="F210" s="19" t="str">
        <f>vlookup($C210,CSDL!$A:$E,4,0)</f>
        <v>chó</v>
      </c>
      <c r="G210" s="36" t="s">
        <v>225</v>
      </c>
      <c r="H210" s="16"/>
      <c r="I210" s="23" t="s">
        <v>177</v>
      </c>
      <c r="J210" s="23">
        <v>150.0</v>
      </c>
      <c r="K210" s="23">
        <v>2.0</v>
      </c>
      <c r="L210" s="22">
        <f t="shared" si="7"/>
        <v>300</v>
      </c>
      <c r="M210" s="23">
        <v>430.0</v>
      </c>
      <c r="N210" s="23" t="s">
        <v>101</v>
      </c>
      <c r="O210" s="24"/>
      <c r="P210" s="15"/>
      <c r="Q210" s="25"/>
    </row>
    <row r="211" ht="25.5" customHeight="1">
      <c r="A211" s="26"/>
      <c r="B211" s="28">
        <v>1228.0</v>
      </c>
      <c r="C211" s="17"/>
      <c r="D211" s="34" t="str">
        <f>vlookup($C211,CSDL!$A:$E,2,0)</f>
        <v>#N/A</v>
      </c>
      <c r="E211" s="19" t="str">
        <f>vlookup($C211,CSDL!$A:$E,3,0)</f>
        <v>#N/A</v>
      </c>
      <c r="F211" s="19" t="str">
        <f>vlookup($C211,CSDL!$A:$E,4,0)</f>
        <v>#N/A</v>
      </c>
      <c r="G211" s="27" t="str">
        <f>vlookup($C211,CSDL!$A:$E,5,0)</f>
        <v>#N/A</v>
      </c>
      <c r="H211" s="28"/>
      <c r="I211" s="29" t="s">
        <v>30</v>
      </c>
      <c r="J211" s="29">
        <v>130.0</v>
      </c>
      <c r="K211" s="29">
        <v>1.0</v>
      </c>
      <c r="L211" s="22">
        <f t="shared" si="7"/>
        <v>130</v>
      </c>
      <c r="M211" s="23">
        <v>150.0</v>
      </c>
      <c r="N211" s="29" t="s">
        <v>25</v>
      </c>
      <c r="O211" s="30" t="s">
        <v>226</v>
      </c>
      <c r="P211" s="31"/>
      <c r="Q211" s="32"/>
    </row>
    <row r="212" ht="25.5" customHeight="1">
      <c r="A212" s="15"/>
      <c r="B212" s="16">
        <v>1228.0</v>
      </c>
      <c r="C212" s="17"/>
      <c r="D212" s="18"/>
      <c r="E212" s="19"/>
      <c r="F212" s="19"/>
      <c r="G212" s="20"/>
      <c r="H212" s="16"/>
      <c r="I212" s="23" t="s">
        <v>30</v>
      </c>
      <c r="J212" s="23">
        <v>150.0</v>
      </c>
      <c r="K212" s="23">
        <v>1.0</v>
      </c>
      <c r="L212" s="22">
        <f t="shared" si="7"/>
        <v>150</v>
      </c>
      <c r="M212" s="23"/>
      <c r="N212" s="23"/>
      <c r="O212" s="24"/>
      <c r="P212" s="15"/>
      <c r="Q212" s="25"/>
    </row>
    <row r="213" ht="25.5" customHeight="1">
      <c r="A213" s="31"/>
      <c r="B213" s="28">
        <v>1228.0</v>
      </c>
      <c r="C213" s="17"/>
      <c r="D213" s="18"/>
      <c r="E213" s="19"/>
      <c r="F213" s="19"/>
      <c r="G213" s="27"/>
      <c r="H213" s="28"/>
      <c r="I213" s="29" t="s">
        <v>24</v>
      </c>
      <c r="J213" s="29">
        <v>30.0</v>
      </c>
      <c r="K213" s="29">
        <v>5.0</v>
      </c>
      <c r="L213" s="22">
        <f t="shared" si="7"/>
        <v>150</v>
      </c>
      <c r="M213" s="23"/>
      <c r="N213" s="29"/>
      <c r="O213" s="30"/>
      <c r="P213" s="31"/>
      <c r="Q213" s="32"/>
    </row>
    <row r="214" ht="25.5" customHeight="1">
      <c r="A214" s="15">
        <v>45979.0</v>
      </c>
      <c r="B214" s="16"/>
      <c r="C214" s="17"/>
      <c r="D214" s="18" t="s">
        <v>21</v>
      </c>
      <c r="E214" s="19" t="str">
        <f>vlookup($C214,CSDL!$A:$E,3,0)</f>
        <v>#N/A</v>
      </c>
      <c r="F214" s="19" t="str">
        <f>vlookup($C214,CSDL!$A:$E,4,0)</f>
        <v>#N/A</v>
      </c>
      <c r="G214" s="20" t="str">
        <f>vlookup($C214,CSDL!$A:$E,5,0)</f>
        <v>#N/A</v>
      </c>
      <c r="H214" s="16"/>
      <c r="I214" s="23" t="s">
        <v>22</v>
      </c>
      <c r="J214" s="23">
        <v>20.0</v>
      </c>
      <c r="K214" s="23">
        <v>1.0</v>
      </c>
      <c r="L214" s="22">
        <f t="shared" si="7"/>
        <v>20</v>
      </c>
      <c r="M214" s="23">
        <v>20.0</v>
      </c>
      <c r="N214" s="23" t="s">
        <v>25</v>
      </c>
      <c r="O214" s="24" t="s">
        <v>227</v>
      </c>
      <c r="P214" s="15"/>
      <c r="Q214" s="25"/>
    </row>
    <row r="215" ht="25.5" customHeight="1">
      <c r="A215" s="26"/>
      <c r="B215" s="28"/>
      <c r="C215" s="17"/>
      <c r="D215" s="18" t="s">
        <v>21</v>
      </c>
      <c r="E215" s="19" t="str">
        <f>vlookup($C215,CSDL!$A:$E,3,0)</f>
        <v>#N/A</v>
      </c>
      <c r="F215" s="19" t="str">
        <f>vlookup($C215,CSDL!$A:$E,4,0)</f>
        <v>#N/A</v>
      </c>
      <c r="G215" s="27" t="str">
        <f>vlookup($C215,CSDL!$A:$E,5,0)</f>
        <v>#N/A</v>
      </c>
      <c r="H215" s="28"/>
      <c r="I215" s="29" t="s">
        <v>30</v>
      </c>
      <c r="J215" s="29">
        <v>100.0</v>
      </c>
      <c r="K215" s="29">
        <v>1.0</v>
      </c>
      <c r="L215" s="22">
        <f t="shared" si="7"/>
        <v>100</v>
      </c>
      <c r="M215" s="23">
        <v>100.0</v>
      </c>
      <c r="N215" s="29" t="s">
        <v>25</v>
      </c>
      <c r="O215" s="30" t="s">
        <v>228</v>
      </c>
      <c r="P215" s="28"/>
      <c r="Q215" s="32"/>
    </row>
    <row r="216" ht="25.5" customHeight="1">
      <c r="A216" s="15"/>
      <c r="B216" s="16">
        <v>1229.0</v>
      </c>
      <c r="C216" s="17"/>
      <c r="D216" s="18" t="s">
        <v>229</v>
      </c>
      <c r="E216" s="19" t="str">
        <f>vlookup($C216,CSDL!$A:$E,3,0)</f>
        <v>#N/A</v>
      </c>
      <c r="F216" s="19" t="str">
        <f>vlookup($C216,CSDL!$A:$E,4,0)</f>
        <v>#N/A</v>
      </c>
      <c r="G216" s="20" t="str">
        <f>vlookup($C216,CSDL!$A:$E,5,0)</f>
        <v>#N/A</v>
      </c>
      <c r="H216" s="16"/>
      <c r="I216" s="23" t="s">
        <v>30</v>
      </c>
      <c r="J216" s="23">
        <v>100.0</v>
      </c>
      <c r="K216" s="23">
        <v>1.0</v>
      </c>
      <c r="L216" s="22">
        <f t="shared" si="7"/>
        <v>100</v>
      </c>
      <c r="M216" s="23">
        <v>240.0</v>
      </c>
      <c r="N216" s="23" t="s">
        <v>25</v>
      </c>
      <c r="O216" s="24" t="s">
        <v>230</v>
      </c>
      <c r="P216" s="15"/>
      <c r="Q216" s="25"/>
    </row>
    <row r="217" ht="25.5" customHeight="1">
      <c r="A217" s="26"/>
      <c r="B217" s="28">
        <v>1229.0</v>
      </c>
      <c r="C217" s="17"/>
      <c r="D217" s="34" t="str">
        <f>vlookup($C217,CSDL!$A:$E,2,0)</f>
        <v>#N/A</v>
      </c>
      <c r="E217" s="19" t="str">
        <f>vlookup($C217,CSDL!$A:$E,3,0)</f>
        <v>#N/A</v>
      </c>
      <c r="F217" s="19" t="str">
        <f>vlookup($C217,CSDL!$A:$E,4,0)</f>
        <v>#N/A</v>
      </c>
      <c r="G217" s="27" t="str">
        <f>vlookup($C217,CSDL!$A:$E,5,0)</f>
        <v>#N/A</v>
      </c>
      <c r="H217" s="28"/>
      <c r="I217" s="29" t="s">
        <v>24</v>
      </c>
      <c r="J217" s="29">
        <v>20.0</v>
      </c>
      <c r="K217" s="29">
        <v>6.0</v>
      </c>
      <c r="L217" s="22">
        <f t="shared" si="7"/>
        <v>120</v>
      </c>
      <c r="M217" s="23"/>
      <c r="N217" s="29"/>
      <c r="O217" s="30"/>
      <c r="P217" s="26"/>
      <c r="Q217" s="28"/>
    </row>
    <row r="218" ht="25.5" customHeight="1">
      <c r="A218" s="33"/>
      <c r="B218" s="16">
        <v>1229.0</v>
      </c>
      <c r="C218" s="17"/>
      <c r="D218" s="34" t="str">
        <f>vlookup($C218,CSDL!$A:$E,2,0)</f>
        <v>#N/A</v>
      </c>
      <c r="E218" s="19" t="str">
        <f>vlookup($C218,CSDL!$A:$E,3,0)</f>
        <v>#N/A</v>
      </c>
      <c r="F218" s="19" t="str">
        <f>vlookup($C218,CSDL!$A:$E,4,0)</f>
        <v>#N/A</v>
      </c>
      <c r="G218" s="20" t="str">
        <f>vlookup($C218,CSDL!$A:$E,5,0)</f>
        <v>#N/A</v>
      </c>
      <c r="H218" s="16"/>
      <c r="I218" s="23" t="s">
        <v>22</v>
      </c>
      <c r="J218" s="23">
        <v>20.0</v>
      </c>
      <c r="K218" s="23">
        <v>1.0</v>
      </c>
      <c r="L218" s="22">
        <f t="shared" si="7"/>
        <v>20</v>
      </c>
      <c r="M218" s="23"/>
      <c r="N218" s="23"/>
      <c r="O218" s="24"/>
      <c r="P218" s="33"/>
      <c r="Q218" s="25"/>
    </row>
    <row r="219" ht="25.5" customHeight="1">
      <c r="A219" s="26"/>
      <c r="B219" s="28"/>
      <c r="C219" s="17"/>
      <c r="D219" s="18" t="s">
        <v>21</v>
      </c>
      <c r="E219" s="19" t="str">
        <f>vlookup($C219,CSDL!$A:$E,3,0)</f>
        <v>#N/A</v>
      </c>
      <c r="F219" s="19" t="str">
        <f>vlookup($C219,CSDL!$A:$E,4,0)</f>
        <v>#N/A</v>
      </c>
      <c r="G219" s="27" t="str">
        <f>vlookup($C219,CSDL!$A:$E,5,0)</f>
        <v>#N/A</v>
      </c>
      <c r="H219" s="28"/>
      <c r="I219" s="29" t="s">
        <v>191</v>
      </c>
      <c r="J219" s="29">
        <v>200.0</v>
      </c>
      <c r="K219" s="29">
        <v>1.0</v>
      </c>
      <c r="L219" s="22">
        <f t="shared" si="7"/>
        <v>200</v>
      </c>
      <c r="M219" s="23">
        <v>200.0</v>
      </c>
      <c r="N219" s="29" t="s">
        <v>25</v>
      </c>
      <c r="O219" s="30" t="s">
        <v>231</v>
      </c>
      <c r="P219" s="31"/>
      <c r="Q219" s="28"/>
    </row>
    <row r="220" ht="25.5" customHeight="1">
      <c r="A220" s="33"/>
      <c r="B220" s="16"/>
      <c r="C220" s="17"/>
      <c r="D220" s="18" t="s">
        <v>170</v>
      </c>
      <c r="E220" s="19" t="str">
        <f>vlookup($C220,CSDL!$A:$E,3,0)</f>
        <v>#N/A</v>
      </c>
      <c r="F220" s="19" t="str">
        <f>vlookup($C220,CSDL!$A:$E,4,0)</f>
        <v>#N/A</v>
      </c>
      <c r="G220" s="20" t="str">
        <f>vlookup($C220,CSDL!$A:$E,5,0)</f>
        <v>#N/A</v>
      </c>
      <c r="H220" s="16"/>
      <c r="I220" s="23" t="s">
        <v>177</v>
      </c>
      <c r="J220" s="23">
        <v>100.0</v>
      </c>
      <c r="K220" s="23">
        <v>1.0</v>
      </c>
      <c r="L220" s="22">
        <f t="shared" si="7"/>
        <v>100</v>
      </c>
      <c r="M220" s="23">
        <v>100.0</v>
      </c>
      <c r="N220" s="23" t="s">
        <v>25</v>
      </c>
      <c r="O220" s="24" t="s">
        <v>232</v>
      </c>
      <c r="P220" s="33"/>
      <c r="Q220" s="25"/>
    </row>
    <row r="221" ht="25.5" customHeight="1">
      <c r="A221" s="26"/>
      <c r="B221" s="28">
        <v>1230.0</v>
      </c>
      <c r="C221" s="17" t="s">
        <v>233</v>
      </c>
      <c r="D221" s="34" t="str">
        <f>vlookup($C221,CSDL!$A:$E,2,0)</f>
        <v>Em Như</v>
      </c>
      <c r="E221" s="19" t="str">
        <f>vlookup($C221,CSDL!$A:$E,3,0)</f>
        <v/>
      </c>
      <c r="F221" s="19" t="str">
        <f>vlookup($C221,CSDL!$A:$E,4,0)</f>
        <v>Chó</v>
      </c>
      <c r="G221" s="27" t="str">
        <f>vlookup($C221,CSDL!$A:$E,5,0)</f>
        <v>Moly</v>
      </c>
      <c r="H221" s="28"/>
      <c r="I221" s="29" t="s">
        <v>52</v>
      </c>
      <c r="J221" s="29">
        <v>180.0</v>
      </c>
      <c r="K221" s="29">
        <v>1.0</v>
      </c>
      <c r="L221" s="22">
        <f t="shared" si="7"/>
        <v>180</v>
      </c>
      <c r="M221" s="23">
        <v>310.0</v>
      </c>
      <c r="N221" s="29" t="s">
        <v>65</v>
      </c>
      <c r="O221" s="30"/>
      <c r="P221" s="26"/>
      <c r="Q221" s="32"/>
    </row>
    <row r="222" ht="25.5" customHeight="1">
      <c r="A222" s="33"/>
      <c r="B222" s="16">
        <v>1230.0</v>
      </c>
      <c r="C222" s="17"/>
      <c r="D222" s="34" t="str">
        <f>vlookup($C222,CSDL!$A:$E,2,0)</f>
        <v>#N/A</v>
      </c>
      <c r="E222" s="19" t="str">
        <f>vlookup($C222,CSDL!$A:$E,3,0)</f>
        <v>#N/A</v>
      </c>
      <c r="F222" s="19" t="str">
        <f>vlookup($C222,CSDL!$A:$E,4,0)</f>
        <v>#N/A</v>
      </c>
      <c r="G222" s="20" t="str">
        <f>vlookup($C222,CSDL!$A:$E,5,0)</f>
        <v>#N/A</v>
      </c>
      <c r="H222" s="16"/>
      <c r="I222" s="23" t="s">
        <v>95</v>
      </c>
      <c r="J222" s="23">
        <v>100.0</v>
      </c>
      <c r="K222" s="23">
        <v>1.0</v>
      </c>
      <c r="L222" s="22">
        <f t="shared" si="7"/>
        <v>100</v>
      </c>
      <c r="M222" s="23"/>
      <c r="N222" s="23"/>
      <c r="O222" s="24"/>
      <c r="P222" s="33"/>
      <c r="Q222" s="25"/>
    </row>
    <row r="223" ht="25.5" customHeight="1">
      <c r="A223" s="26"/>
      <c r="B223" s="28">
        <v>1230.0</v>
      </c>
      <c r="C223" s="17"/>
      <c r="D223" s="34" t="str">
        <f>vlookup($C223,CSDL!$A:$E,2,0)</f>
        <v>#N/A</v>
      </c>
      <c r="E223" s="19" t="str">
        <f>vlookup($C223,CSDL!$A:$E,3,0)</f>
        <v>#N/A</v>
      </c>
      <c r="F223" s="19" t="str">
        <f>vlookup($C223,CSDL!$A:$E,4,0)</f>
        <v>#N/A</v>
      </c>
      <c r="G223" s="27" t="str">
        <f>vlookup($C223,CSDL!$A:$E,5,0)</f>
        <v>#N/A</v>
      </c>
      <c r="H223" s="28"/>
      <c r="I223" s="29" t="s">
        <v>22</v>
      </c>
      <c r="J223" s="29">
        <v>30.0</v>
      </c>
      <c r="K223" s="29">
        <v>1.0</v>
      </c>
      <c r="L223" s="22">
        <f t="shared" si="7"/>
        <v>30</v>
      </c>
      <c r="M223" s="23"/>
      <c r="N223" s="29"/>
      <c r="O223" s="30"/>
      <c r="P223" s="31"/>
      <c r="Q223" s="28"/>
    </row>
    <row r="224" ht="25.5" customHeight="1">
      <c r="A224" s="15"/>
      <c r="B224" s="16">
        <v>1231.0</v>
      </c>
      <c r="C224" s="17" t="s">
        <v>234</v>
      </c>
      <c r="D224" s="34" t="str">
        <f>vlookup($C224,CSDL!$A:$E,2,0)</f>
        <v>Chị Liên</v>
      </c>
      <c r="E224" s="19" t="str">
        <f>vlookup($C224,CSDL!$A:$E,3,0)</f>
        <v>Xóm Thanh Tịnh</v>
      </c>
      <c r="F224" s="19" t="str">
        <f>vlookup($C224,CSDL!$A:$E,4,0)</f>
        <v>Chó </v>
      </c>
      <c r="G224" s="20" t="str">
        <f>vlookup($C224,CSDL!$A:$E,5,0)</f>
        <v>Mưa</v>
      </c>
      <c r="H224" s="16">
        <v>9.0</v>
      </c>
      <c r="I224" s="23" t="s">
        <v>48</v>
      </c>
      <c r="J224" s="23">
        <v>150.0</v>
      </c>
      <c r="K224" s="23">
        <v>1.0</v>
      </c>
      <c r="L224" s="22">
        <f t="shared" si="7"/>
        <v>150</v>
      </c>
      <c r="M224" s="23">
        <v>400.0</v>
      </c>
      <c r="N224" s="23" t="s">
        <v>65</v>
      </c>
      <c r="O224" s="24"/>
      <c r="P224" s="15"/>
      <c r="Q224" s="16"/>
    </row>
    <row r="225" ht="25.5" customHeight="1">
      <c r="A225" s="31"/>
      <c r="B225" s="28">
        <v>1231.0</v>
      </c>
      <c r="C225" s="17"/>
      <c r="D225" s="34" t="str">
        <f>vlookup($C225,CSDL!$A:$E,2,0)</f>
        <v>#N/A</v>
      </c>
      <c r="E225" s="19" t="str">
        <f>vlookup($C225,CSDL!$A:$E,3,0)</f>
        <v>#N/A</v>
      </c>
      <c r="F225" s="19" t="str">
        <f>vlookup($C225,CSDL!$A:$E,4,0)</f>
        <v>#N/A</v>
      </c>
      <c r="G225" s="27" t="str">
        <f>vlookup($C225,CSDL!$A:$E,5,0)</f>
        <v>#N/A</v>
      </c>
      <c r="H225" s="28"/>
      <c r="I225" s="29" t="s">
        <v>59</v>
      </c>
      <c r="J225" s="29">
        <v>150.0</v>
      </c>
      <c r="K225" s="29">
        <v>4.0</v>
      </c>
      <c r="L225" s="22">
        <f t="shared" si="7"/>
        <v>600</v>
      </c>
      <c r="M225" s="23">
        <v>1230.0</v>
      </c>
      <c r="N225" s="29" t="s">
        <v>25</v>
      </c>
      <c r="O225" s="30" t="s">
        <v>235</v>
      </c>
      <c r="P225" s="31"/>
      <c r="Q225" s="28"/>
    </row>
    <row r="226" ht="25.5" customHeight="1">
      <c r="A226" s="15"/>
      <c r="B226" s="16">
        <v>1231.0</v>
      </c>
      <c r="C226" s="17"/>
      <c r="D226" s="34" t="str">
        <f>vlookup($C226,CSDL!$A:$E,2,0)</f>
        <v>#N/A</v>
      </c>
      <c r="E226" s="19" t="str">
        <f>vlookup($C226,CSDL!$A:$E,3,0)</f>
        <v>#N/A</v>
      </c>
      <c r="F226" s="19" t="str">
        <f>vlookup($C226,CSDL!$A:$E,4,0)</f>
        <v>#N/A</v>
      </c>
      <c r="G226" s="20" t="str">
        <f>vlookup($C226,CSDL!$A:$E,5,0)</f>
        <v>#N/A</v>
      </c>
      <c r="H226" s="16"/>
      <c r="I226" s="23" t="s">
        <v>83</v>
      </c>
      <c r="J226" s="23">
        <v>150.0</v>
      </c>
      <c r="K226" s="23">
        <v>1.0</v>
      </c>
      <c r="L226" s="22">
        <f t="shared" si="7"/>
        <v>150</v>
      </c>
      <c r="M226" s="23">
        <v>520.0</v>
      </c>
      <c r="N226" s="23" t="s">
        <v>65</v>
      </c>
      <c r="O226" s="24"/>
      <c r="P226" s="15"/>
      <c r="Q226" s="16"/>
    </row>
    <row r="227" ht="25.5" customHeight="1">
      <c r="A227" s="31"/>
      <c r="B227" s="28">
        <v>1231.0</v>
      </c>
      <c r="C227" s="17"/>
      <c r="D227" s="34" t="str">
        <f>vlookup($C227,CSDL!$A:$E,2,0)</f>
        <v>#N/A</v>
      </c>
      <c r="E227" s="19" t="str">
        <f>vlookup($C227,CSDL!$A:$E,3,0)</f>
        <v>#N/A</v>
      </c>
      <c r="F227" s="19" t="str">
        <f>vlookup($C227,CSDL!$A:$E,4,0)</f>
        <v>#N/A</v>
      </c>
      <c r="G227" s="27" t="str">
        <f>vlookup($C227,CSDL!$A:$E,5,0)</f>
        <v>#N/A</v>
      </c>
      <c r="H227" s="28"/>
      <c r="I227" s="29" t="s">
        <v>131</v>
      </c>
      <c r="J227" s="29">
        <v>150.0</v>
      </c>
      <c r="K227" s="29">
        <v>1.0</v>
      </c>
      <c r="L227" s="22">
        <f t="shared" si="7"/>
        <v>150</v>
      </c>
      <c r="M227" s="23"/>
      <c r="N227" s="29"/>
      <c r="O227" s="30"/>
      <c r="P227" s="31"/>
      <c r="Q227" s="28"/>
    </row>
    <row r="228" ht="25.5" customHeight="1">
      <c r="A228" s="15"/>
      <c r="B228" s="16">
        <v>1231.0</v>
      </c>
      <c r="C228" s="17"/>
      <c r="D228" s="34" t="str">
        <f>vlookup($C228,CSDL!$A:$E,2,0)</f>
        <v>#N/A</v>
      </c>
      <c r="E228" s="19" t="str">
        <f>vlookup($C228,CSDL!$A:$E,3,0)</f>
        <v>#N/A</v>
      </c>
      <c r="F228" s="19" t="str">
        <f>vlookup($C228,CSDL!$A:$E,4,0)</f>
        <v>#N/A</v>
      </c>
      <c r="G228" s="20" t="str">
        <f>vlookup($C228,CSDL!$A:$E,5,0)</f>
        <v>#N/A</v>
      </c>
      <c r="H228" s="16"/>
      <c r="I228" s="23" t="s">
        <v>30</v>
      </c>
      <c r="J228" s="23">
        <v>100.0</v>
      </c>
      <c r="K228" s="23">
        <v>1.0</v>
      </c>
      <c r="L228" s="22">
        <f t="shared" si="7"/>
        <v>100</v>
      </c>
      <c r="M228" s="23"/>
      <c r="N228" s="23"/>
      <c r="O228" s="24"/>
      <c r="P228" s="15"/>
      <c r="Q228" s="16"/>
    </row>
    <row r="229" ht="25.5" customHeight="1">
      <c r="A229" s="31"/>
      <c r="B229" s="28">
        <v>1231.0</v>
      </c>
      <c r="C229" s="17"/>
      <c r="D229" s="34" t="str">
        <f>vlookup($C229,CSDL!$A:$E,2,0)</f>
        <v>#N/A</v>
      </c>
      <c r="E229" s="19" t="str">
        <f>vlookup($C229,CSDL!$A:$E,3,0)</f>
        <v>#N/A</v>
      </c>
      <c r="F229" s="19" t="str">
        <f>vlookup($C229,CSDL!$A:$E,4,0)</f>
        <v>#N/A</v>
      </c>
      <c r="G229" s="27" t="str">
        <f>vlookup($C229,CSDL!$A:$E,5,0)</f>
        <v>#N/A</v>
      </c>
      <c r="H229" s="28"/>
      <c r="I229" s="29" t="s">
        <v>24</v>
      </c>
      <c r="J229" s="29">
        <v>30.0</v>
      </c>
      <c r="K229" s="29">
        <v>16.0</v>
      </c>
      <c r="L229" s="22">
        <f t="shared" si="7"/>
        <v>480</v>
      </c>
      <c r="M229" s="23"/>
      <c r="N229" s="29"/>
      <c r="O229" s="30"/>
      <c r="P229" s="31"/>
      <c r="Q229" s="28"/>
    </row>
    <row r="230" ht="25.5" customHeight="1">
      <c r="A230" s="33"/>
      <c r="B230" s="16">
        <v>1232.0</v>
      </c>
      <c r="C230" s="17" t="s">
        <v>236</v>
      </c>
      <c r="D230" s="34" t="str">
        <f>vlookup($C230,CSDL!$A:$E,2,0)</f>
        <v>En Minh</v>
      </c>
      <c r="E230" s="19" t="str">
        <f>vlookup($C230,CSDL!$A:$E,3,0)</f>
        <v/>
      </c>
      <c r="F230" s="19" t="str">
        <f>vlookup($C230,CSDL!$A:$E,4,0)</f>
        <v/>
      </c>
      <c r="G230" s="20" t="str">
        <f>vlookup($C230,CSDL!$A:$E,5,0)</f>
        <v/>
      </c>
      <c r="H230" s="16"/>
      <c r="I230" s="23" t="s">
        <v>208</v>
      </c>
      <c r="J230" s="23">
        <v>300.0</v>
      </c>
      <c r="K230" s="23">
        <v>1.0</v>
      </c>
      <c r="L230" s="22">
        <f t="shared" si="7"/>
        <v>300</v>
      </c>
      <c r="M230" s="23">
        <v>300.0</v>
      </c>
      <c r="N230" s="23" t="s">
        <v>65</v>
      </c>
      <c r="O230" s="24"/>
      <c r="P230" s="15"/>
      <c r="Q230" s="16"/>
    </row>
    <row r="231" ht="25.5" customHeight="1">
      <c r="A231" s="31"/>
      <c r="B231" s="28"/>
      <c r="C231" s="17"/>
      <c r="D231" s="18" t="s">
        <v>170</v>
      </c>
      <c r="E231" s="19" t="str">
        <f>vlookup($C231,CSDL!$A:$E,3,0)</f>
        <v>#N/A</v>
      </c>
      <c r="F231" s="19" t="str">
        <f>vlookup($C231,CSDL!$A:$E,4,0)</f>
        <v>#N/A</v>
      </c>
      <c r="G231" s="27" t="str">
        <f>vlookup($C231,CSDL!$A:$E,5,0)</f>
        <v>#N/A</v>
      </c>
      <c r="H231" s="28"/>
      <c r="I231" s="29" t="s">
        <v>48</v>
      </c>
      <c r="J231" s="29">
        <v>70.0</v>
      </c>
      <c r="K231" s="29">
        <v>1.0</v>
      </c>
      <c r="L231" s="22">
        <f t="shared" si="7"/>
        <v>70</v>
      </c>
      <c r="M231" s="23">
        <v>70.0</v>
      </c>
      <c r="N231" s="29" t="s">
        <v>101</v>
      </c>
      <c r="O231" s="30"/>
      <c r="P231" s="31"/>
      <c r="Q231" s="28"/>
    </row>
    <row r="232" ht="25.5" customHeight="1">
      <c r="A232" s="33"/>
      <c r="B232" s="16"/>
      <c r="C232" s="17"/>
      <c r="D232" s="18" t="s">
        <v>237</v>
      </c>
      <c r="E232" s="19" t="str">
        <f>vlookup($C232,CSDL!$A:$E,3,0)</f>
        <v>#N/A</v>
      </c>
      <c r="F232" s="19" t="str">
        <f>vlookup($C232,CSDL!$A:$E,4,0)</f>
        <v>#N/A</v>
      </c>
      <c r="G232" s="20" t="str">
        <f>vlookup($C232,CSDL!$A:$E,5,0)</f>
        <v>#N/A</v>
      </c>
      <c r="H232" s="16"/>
      <c r="I232" s="23" t="s">
        <v>22</v>
      </c>
      <c r="J232" s="23">
        <v>20.0</v>
      </c>
      <c r="K232" s="23">
        <v>1.0</v>
      </c>
      <c r="L232" s="22">
        <f t="shared" si="7"/>
        <v>20</v>
      </c>
      <c r="M232" s="23"/>
      <c r="N232" s="23"/>
      <c r="O232" s="24"/>
      <c r="P232" s="15"/>
      <c r="Q232" s="16"/>
    </row>
    <row r="233" ht="25.5" customHeight="1">
      <c r="A233" s="26"/>
      <c r="B233" s="28"/>
      <c r="C233" s="17"/>
      <c r="D233" s="34" t="str">
        <f>vlookup($C233,CSDL!$A:$E,2,0)</f>
        <v>#N/A</v>
      </c>
      <c r="E233" s="19" t="str">
        <f>vlookup($C233,CSDL!$A:$E,3,0)</f>
        <v>#N/A</v>
      </c>
      <c r="F233" s="19" t="str">
        <f>vlookup($C233,CSDL!$A:$E,4,0)</f>
        <v>#N/A</v>
      </c>
      <c r="G233" s="27" t="str">
        <f>vlookup($C233,CSDL!$A:$E,5,0)</f>
        <v>#N/A</v>
      </c>
      <c r="H233" s="28"/>
      <c r="I233" s="29" t="s">
        <v>52</v>
      </c>
      <c r="J233" s="29">
        <v>150.0</v>
      </c>
      <c r="K233" s="29">
        <v>1.0</v>
      </c>
      <c r="L233" s="22">
        <f t="shared" si="7"/>
        <v>150</v>
      </c>
      <c r="M233" s="23"/>
      <c r="N233" s="29"/>
      <c r="O233" s="30"/>
      <c r="P233" s="26"/>
      <c r="Q233" s="32"/>
    </row>
    <row r="234" ht="25.5" customHeight="1">
      <c r="A234" s="33"/>
      <c r="B234" s="16">
        <v>1233.0</v>
      </c>
      <c r="C234" s="17"/>
      <c r="D234" s="18" t="s">
        <v>179</v>
      </c>
      <c r="E234" s="19" t="str">
        <f>vlookup($C234,CSDL!$A:$E,3,0)</f>
        <v>#N/A</v>
      </c>
      <c r="F234" s="19" t="str">
        <f>vlookup($C234,CSDL!$A:$E,4,0)</f>
        <v>#N/A</v>
      </c>
      <c r="G234" s="20" t="str">
        <f>vlookup($C234,CSDL!$A:$E,5,0)</f>
        <v>#N/A</v>
      </c>
      <c r="H234" s="16"/>
      <c r="I234" s="23" t="s">
        <v>30</v>
      </c>
      <c r="J234" s="23">
        <v>100.0</v>
      </c>
      <c r="K234" s="23">
        <v>2.0</v>
      </c>
      <c r="L234" s="22">
        <f t="shared" si="7"/>
        <v>200</v>
      </c>
      <c r="M234" s="23">
        <v>515.0</v>
      </c>
      <c r="N234" s="23" t="s">
        <v>25</v>
      </c>
      <c r="O234" s="24" t="s">
        <v>238</v>
      </c>
      <c r="P234" s="33"/>
      <c r="Q234" s="25"/>
    </row>
    <row r="235" ht="25.5" customHeight="1">
      <c r="A235" s="26"/>
      <c r="B235" s="28">
        <v>1233.0</v>
      </c>
      <c r="C235" s="17"/>
      <c r="D235" s="34" t="str">
        <f>vlookup($C235,CSDL!$A:$E,2,0)</f>
        <v>#N/A</v>
      </c>
      <c r="E235" s="19" t="str">
        <f>vlookup($C235,CSDL!$A:$E,3,0)</f>
        <v>#N/A</v>
      </c>
      <c r="F235" s="19" t="str">
        <f>vlookup($C235,CSDL!$A:$E,4,0)</f>
        <v>#N/A</v>
      </c>
      <c r="G235" s="27" t="str">
        <f>vlookup($C235,CSDL!$A:$E,5,0)</f>
        <v>#N/A</v>
      </c>
      <c r="H235" s="28"/>
      <c r="I235" s="29" t="s">
        <v>24</v>
      </c>
      <c r="J235" s="29">
        <v>15.0</v>
      </c>
      <c r="K235" s="29">
        <v>21.0</v>
      </c>
      <c r="L235" s="22">
        <f t="shared" si="7"/>
        <v>315</v>
      </c>
      <c r="M235" s="23"/>
      <c r="N235" s="29"/>
      <c r="O235" s="30"/>
      <c r="P235" s="31"/>
      <c r="Q235" s="32"/>
    </row>
    <row r="236" ht="25.5" customHeight="1">
      <c r="A236" s="33"/>
      <c r="B236" s="16">
        <v>1234.0</v>
      </c>
      <c r="C236" s="17" t="s">
        <v>46</v>
      </c>
      <c r="D236" s="34" t="str">
        <f>vlookup($C236,CSDL!$A:$E,2,0)</f>
        <v>Chị Ánh Nguyệt</v>
      </c>
      <c r="E236" s="19" t="str">
        <f>vlookup($C236,CSDL!$A:$E,3,0)</f>
        <v>40 Lý Thái Tổ</v>
      </c>
      <c r="F236" s="19" t="str">
        <f>vlookup($C236,CSDL!$A:$E,4,0)</f>
        <v>Mèo</v>
      </c>
      <c r="G236" s="20" t="str">
        <f>vlookup($C236,CSDL!$A:$E,5,0)</f>
        <v>Sumo</v>
      </c>
      <c r="H236" s="16"/>
      <c r="I236" s="23" t="s">
        <v>24</v>
      </c>
      <c r="J236" s="23">
        <v>50.0</v>
      </c>
      <c r="K236" s="23">
        <v>18.0</v>
      </c>
      <c r="L236" s="22">
        <f t="shared" si="7"/>
        <v>900</v>
      </c>
      <c r="M236" s="23">
        <v>930.0</v>
      </c>
      <c r="N236" s="23" t="s">
        <v>25</v>
      </c>
      <c r="O236" s="24" t="s">
        <v>239</v>
      </c>
      <c r="P236" s="33"/>
      <c r="Q236" s="25"/>
    </row>
    <row r="237" ht="25.5" customHeight="1">
      <c r="A237" s="26"/>
      <c r="B237" s="28">
        <v>1234.0</v>
      </c>
      <c r="C237" s="17"/>
      <c r="D237" s="34" t="str">
        <f>vlookup($C237,CSDL!$A:$E,2,0)</f>
        <v>#N/A</v>
      </c>
      <c r="E237" s="19" t="str">
        <f>vlookup($C237,CSDL!$A:$E,3,0)</f>
        <v>#N/A</v>
      </c>
      <c r="F237" s="19" t="str">
        <f>vlookup($C237,CSDL!$A:$E,4,0)</f>
        <v>#N/A</v>
      </c>
      <c r="G237" s="27" t="str">
        <f>vlookup($C237,CSDL!$A:$E,5,0)</f>
        <v>#N/A</v>
      </c>
      <c r="H237" s="28"/>
      <c r="I237" s="29" t="s">
        <v>240</v>
      </c>
      <c r="J237" s="29">
        <v>30.0</v>
      </c>
      <c r="K237" s="29">
        <v>1.0</v>
      </c>
      <c r="L237" s="22">
        <f t="shared" si="7"/>
        <v>30</v>
      </c>
      <c r="M237" s="23">
        <v>115.0</v>
      </c>
      <c r="N237" s="29" t="s">
        <v>34</v>
      </c>
      <c r="O237" s="30"/>
      <c r="P237" s="26"/>
      <c r="Q237" s="32"/>
    </row>
    <row r="238" ht="25.5" customHeight="1">
      <c r="A238" s="15"/>
      <c r="B238" s="16">
        <v>1234.0</v>
      </c>
      <c r="C238" s="17"/>
      <c r="D238" s="34" t="str">
        <f>vlookup($C238,CSDL!$A:$E,2,0)</f>
        <v>#N/A</v>
      </c>
      <c r="E238" s="19" t="str">
        <f>vlookup($C238,CSDL!$A:$E,3,0)</f>
        <v>#N/A</v>
      </c>
      <c r="F238" s="19" t="str">
        <f>vlookup($C238,CSDL!$A:$E,4,0)</f>
        <v>#N/A</v>
      </c>
      <c r="G238" s="20" t="str">
        <f>vlookup($C238,CSDL!$A:$E,5,0)</f>
        <v>#N/A</v>
      </c>
      <c r="H238" s="16"/>
      <c r="I238" s="23" t="s">
        <v>33</v>
      </c>
      <c r="J238" s="23">
        <v>115.0</v>
      </c>
      <c r="K238" s="23">
        <v>1.0</v>
      </c>
      <c r="L238" s="22">
        <f t="shared" si="7"/>
        <v>115</v>
      </c>
      <c r="M238" s="23"/>
      <c r="N238" s="23"/>
      <c r="O238" s="24"/>
      <c r="P238" s="33"/>
      <c r="Q238" s="25"/>
    </row>
    <row r="239" ht="25.5" customHeight="1">
      <c r="A239" s="31">
        <v>45980.0</v>
      </c>
      <c r="B239" s="28"/>
      <c r="C239" s="17"/>
      <c r="D239" s="18" t="s">
        <v>21</v>
      </c>
      <c r="E239" s="19" t="str">
        <f>vlookup($C239,CSDL!$A:$E,3,0)</f>
        <v>#N/A</v>
      </c>
      <c r="F239" s="19" t="str">
        <f>vlookup($C239,CSDL!$A:$E,4,0)</f>
        <v>#N/A</v>
      </c>
      <c r="G239" s="27" t="str">
        <f>vlookup($C239,CSDL!$A:$E,5,0)</f>
        <v>#N/A</v>
      </c>
      <c r="H239" s="28"/>
      <c r="I239" s="29" t="s">
        <v>90</v>
      </c>
      <c r="J239" s="29">
        <v>70.0</v>
      </c>
      <c r="K239" s="29">
        <v>1.0</v>
      </c>
      <c r="L239" s="22">
        <f t="shared" si="7"/>
        <v>70</v>
      </c>
      <c r="M239" s="23">
        <v>70.0</v>
      </c>
      <c r="N239" s="29" t="s">
        <v>25</v>
      </c>
      <c r="O239" s="30" t="s">
        <v>241</v>
      </c>
      <c r="P239" s="26"/>
      <c r="Q239" s="32"/>
    </row>
    <row r="240" ht="25.5" customHeight="1">
      <c r="A240" s="33"/>
      <c r="B240" s="16"/>
      <c r="C240" s="17"/>
      <c r="D240" s="34" t="str">
        <f>vlookup($C240,CSDL!$A:$E,2,0)</f>
        <v>#N/A</v>
      </c>
      <c r="E240" s="19" t="str">
        <f>vlookup($C240,CSDL!$A:$E,3,0)</f>
        <v>#N/A</v>
      </c>
      <c r="F240" s="19" t="str">
        <f>vlookup($C240,CSDL!$A:$E,4,0)</f>
        <v>#N/A</v>
      </c>
      <c r="G240" s="20" t="str">
        <f>vlookup($C240,CSDL!$A:$E,5,0)</f>
        <v>#N/A</v>
      </c>
      <c r="H240" s="16"/>
      <c r="I240" s="23" t="s">
        <v>33</v>
      </c>
      <c r="J240" s="23">
        <v>80.0</v>
      </c>
      <c r="K240" s="23">
        <v>1.0</v>
      </c>
      <c r="L240" s="22">
        <f t="shared" si="7"/>
        <v>80</v>
      </c>
      <c r="M240" s="23">
        <v>80.0</v>
      </c>
      <c r="N240" s="23" t="s">
        <v>34</v>
      </c>
      <c r="O240" s="24"/>
      <c r="P240" s="33"/>
      <c r="Q240" s="25"/>
    </row>
    <row r="241" ht="25.5" customHeight="1">
      <c r="A241" s="26"/>
      <c r="B241" s="28"/>
      <c r="C241" s="17"/>
      <c r="D241" s="18" t="s">
        <v>21</v>
      </c>
      <c r="E241" s="19" t="str">
        <f>vlookup($C241,CSDL!$A:$E,3,0)</f>
        <v>#N/A</v>
      </c>
      <c r="F241" s="19" t="str">
        <f>vlookup($C241,CSDL!$A:$E,4,0)</f>
        <v>#N/A</v>
      </c>
      <c r="G241" s="27" t="str">
        <f>vlookup($C241,CSDL!$A:$E,5,0)</f>
        <v>#N/A</v>
      </c>
      <c r="H241" s="28"/>
      <c r="I241" s="29" t="s">
        <v>24</v>
      </c>
      <c r="J241" s="29">
        <v>50.0</v>
      </c>
      <c r="K241" s="29">
        <v>1.0</v>
      </c>
      <c r="L241" s="22">
        <f t="shared" si="7"/>
        <v>50</v>
      </c>
      <c r="M241" s="23">
        <v>50.0</v>
      </c>
      <c r="N241" s="29" t="s">
        <v>65</v>
      </c>
      <c r="O241" s="30"/>
      <c r="P241" s="26"/>
      <c r="Q241" s="32"/>
    </row>
    <row r="242" ht="25.5" customHeight="1">
      <c r="A242" s="15"/>
      <c r="B242" s="16"/>
      <c r="C242" s="17"/>
      <c r="D242" s="18" t="s">
        <v>21</v>
      </c>
      <c r="E242" s="19" t="str">
        <f>vlookup($C242,CSDL!$A:$E,3,0)</f>
        <v>#N/A</v>
      </c>
      <c r="F242" s="19" t="str">
        <f>vlookup($C242,CSDL!$A:$E,4,0)</f>
        <v>#N/A</v>
      </c>
      <c r="G242" s="20" t="str">
        <f>vlookup($C242,CSDL!$A:$E,5,0)</f>
        <v>#N/A</v>
      </c>
      <c r="H242" s="16"/>
      <c r="I242" s="23" t="s">
        <v>30</v>
      </c>
      <c r="J242" s="23">
        <v>130.0</v>
      </c>
      <c r="K242" s="23">
        <v>1.0</v>
      </c>
      <c r="L242" s="22">
        <f t="shared" si="7"/>
        <v>130</v>
      </c>
      <c r="M242" s="23">
        <v>130.0</v>
      </c>
      <c r="N242" s="23" t="s">
        <v>101</v>
      </c>
      <c r="O242" s="24"/>
      <c r="P242" s="33"/>
      <c r="Q242" s="25"/>
    </row>
    <row r="243" ht="25.5" customHeight="1">
      <c r="A243" s="26"/>
      <c r="B243" s="28"/>
      <c r="C243" s="17"/>
      <c r="D243" s="18" t="s">
        <v>21</v>
      </c>
      <c r="E243" s="19" t="str">
        <f>vlookup($C243,CSDL!$A:$E,3,0)</f>
        <v>#N/A</v>
      </c>
      <c r="F243" s="19" t="str">
        <f>vlookup($C243,CSDL!$A:$E,4,0)</f>
        <v>#N/A</v>
      </c>
      <c r="G243" s="27" t="str">
        <f>vlookup($C243,CSDL!$A:$E,5,0)</f>
        <v>#N/A</v>
      </c>
      <c r="H243" s="28"/>
      <c r="I243" s="29" t="s">
        <v>30</v>
      </c>
      <c r="J243" s="29">
        <v>100.0</v>
      </c>
      <c r="K243" s="29">
        <v>1.0</v>
      </c>
      <c r="L243" s="22">
        <f t="shared" si="7"/>
        <v>100</v>
      </c>
      <c r="M243" s="23">
        <v>100.0</v>
      </c>
      <c r="N243" s="29" t="s">
        <v>25</v>
      </c>
      <c r="O243" s="30" t="s">
        <v>242</v>
      </c>
      <c r="P243" s="26"/>
      <c r="Q243" s="32"/>
    </row>
    <row r="244" ht="25.5" customHeight="1">
      <c r="A244" s="33"/>
      <c r="B244" s="16">
        <v>1235.0</v>
      </c>
      <c r="C244" s="17" t="s">
        <v>243</v>
      </c>
      <c r="D244" s="34" t="str">
        <f>vlookup($C244,CSDL!$A:$E,2,0)</f>
        <v>chị Vy</v>
      </c>
      <c r="E244" s="19" t="str">
        <f>vlookup($C244,CSDL!$A:$E,3,0)</f>
        <v>phong điền</v>
      </c>
      <c r="F244" s="19" t="str">
        <f>vlookup($C244,CSDL!$A:$E,4,0)</f>
        <v>chó</v>
      </c>
      <c r="G244" s="20" t="str">
        <f>vlookup($C244,CSDL!$A:$E,5,0)</f>
        <v>su</v>
      </c>
      <c r="H244" s="16">
        <v>13.0</v>
      </c>
      <c r="I244" s="23" t="s">
        <v>177</v>
      </c>
      <c r="J244" s="23">
        <v>150.0</v>
      </c>
      <c r="K244" s="23">
        <v>1.0</v>
      </c>
      <c r="L244" s="22">
        <f t="shared" si="7"/>
        <v>150</v>
      </c>
      <c r="M244" s="23">
        <v>750.0</v>
      </c>
      <c r="N244" s="23" t="s">
        <v>25</v>
      </c>
      <c r="O244" s="24" t="s">
        <v>244</v>
      </c>
      <c r="P244" s="33"/>
      <c r="Q244" s="25"/>
    </row>
    <row r="245" ht="25.5" customHeight="1">
      <c r="A245" s="26"/>
      <c r="B245" s="28">
        <v>1235.0</v>
      </c>
      <c r="C245" s="17"/>
      <c r="D245" s="34" t="str">
        <f>vlookup($C245,CSDL!$A:$E,2,0)</f>
        <v>#N/A</v>
      </c>
      <c r="E245" s="19" t="str">
        <f>vlookup($C245,CSDL!$A:$E,3,0)</f>
        <v>#N/A</v>
      </c>
      <c r="F245" s="19" t="str">
        <f>vlookup($C245,CSDL!$A:$E,4,0)</f>
        <v>#N/A</v>
      </c>
      <c r="G245" s="27" t="str">
        <f>vlookup($C245,CSDL!$A:$E,5,0)</f>
        <v>#N/A</v>
      </c>
      <c r="H245" s="28"/>
      <c r="I245" s="29" t="s">
        <v>123</v>
      </c>
      <c r="J245" s="29">
        <v>200.0</v>
      </c>
      <c r="K245" s="29">
        <v>1.0</v>
      </c>
      <c r="L245" s="22">
        <f t="shared" si="7"/>
        <v>200</v>
      </c>
      <c r="M245" s="23">
        <v>4000.0</v>
      </c>
      <c r="N245" s="29" t="s">
        <v>25</v>
      </c>
      <c r="O245" s="30" t="s">
        <v>245</v>
      </c>
      <c r="P245" s="26"/>
    </row>
    <row r="246" ht="25.5" customHeight="1">
      <c r="A246" s="15"/>
      <c r="B246" s="16">
        <v>1235.0</v>
      </c>
      <c r="C246" s="17"/>
      <c r="D246" s="34" t="str">
        <f>vlookup($C246,CSDL!$A:$E,2,0)</f>
        <v>#N/A</v>
      </c>
      <c r="E246" s="19" t="str">
        <f>vlookup($C246,CSDL!$A:$E,3,0)</f>
        <v>#N/A</v>
      </c>
      <c r="F246" s="19" t="str">
        <f>vlookup($C246,CSDL!$A:$E,4,0)</f>
        <v>#N/A</v>
      </c>
      <c r="G246" s="20" t="str">
        <f>vlookup($C246,CSDL!$A:$E,5,0)</f>
        <v>#N/A</v>
      </c>
      <c r="H246" s="16"/>
      <c r="I246" s="23" t="s">
        <v>246</v>
      </c>
      <c r="J246" s="23">
        <v>250.0</v>
      </c>
      <c r="K246" s="23">
        <v>1.0</v>
      </c>
      <c r="L246" s="22">
        <f t="shared" si="7"/>
        <v>250</v>
      </c>
      <c r="M246" s="23"/>
      <c r="N246" s="23"/>
      <c r="O246" s="24"/>
      <c r="P246" s="33"/>
      <c r="Q246" s="47"/>
    </row>
    <row r="247" ht="25.5" customHeight="1">
      <c r="A247" s="26"/>
      <c r="B247" s="28">
        <v>1235.0</v>
      </c>
      <c r="C247" s="17"/>
      <c r="D247" s="34" t="str">
        <f>vlookup($C247,CSDL!$A:$E,2,0)</f>
        <v>#N/A</v>
      </c>
      <c r="E247" s="19" t="str">
        <f>vlookup($C247,CSDL!$A:$E,3,0)</f>
        <v>#N/A</v>
      </c>
      <c r="F247" s="19" t="str">
        <f>vlookup($C247,CSDL!$A:$E,4,0)</f>
        <v>#N/A</v>
      </c>
      <c r="G247" s="27" t="str">
        <f>vlookup($C247,CSDL!$A:$E,5,0)</f>
        <v>#N/A</v>
      </c>
      <c r="H247" s="28"/>
      <c r="I247" s="29" t="s">
        <v>247</v>
      </c>
      <c r="J247" s="29">
        <v>4000.0</v>
      </c>
      <c r="K247" s="29">
        <v>1.0</v>
      </c>
      <c r="L247" s="22">
        <f t="shared" si="7"/>
        <v>4000</v>
      </c>
      <c r="M247" s="23"/>
      <c r="N247" s="29"/>
      <c r="O247" s="30"/>
      <c r="P247" s="26"/>
      <c r="Q247" s="32"/>
    </row>
    <row r="248" ht="25.5" customHeight="1">
      <c r="A248" s="33"/>
      <c r="B248" s="16">
        <v>1235.0</v>
      </c>
      <c r="C248" s="17"/>
      <c r="D248" s="34" t="str">
        <f>vlookup($C248,CSDL!$A:$E,2,0)</f>
        <v>#N/A</v>
      </c>
      <c r="E248" s="19" t="str">
        <f>vlookup($C248,CSDL!$A:$E,3,0)</f>
        <v>#N/A</v>
      </c>
      <c r="F248" s="19" t="str">
        <f>vlookup($C248,CSDL!$A:$E,4,0)</f>
        <v>#N/A</v>
      </c>
      <c r="G248" s="20" t="str">
        <f>vlookup($C248,CSDL!$A:$E,5,0)</f>
        <v>#N/A</v>
      </c>
      <c r="H248" s="16"/>
      <c r="I248" s="23" t="s">
        <v>59</v>
      </c>
      <c r="J248" s="23">
        <v>250.0</v>
      </c>
      <c r="K248" s="23">
        <v>0.0</v>
      </c>
      <c r="L248" s="22">
        <f t="shared" si="7"/>
        <v>0</v>
      </c>
      <c r="M248" s="23"/>
      <c r="N248" s="23"/>
      <c r="O248" s="24"/>
      <c r="P248" s="33"/>
      <c r="Q248" s="25"/>
    </row>
    <row r="249" ht="25.5" customHeight="1">
      <c r="A249" s="26"/>
      <c r="B249" s="28">
        <v>1235.0</v>
      </c>
      <c r="C249" s="17"/>
      <c r="D249" s="34" t="str">
        <f>vlookup($C249,CSDL!$A:$E,2,0)</f>
        <v>#N/A</v>
      </c>
      <c r="E249" s="19" t="str">
        <f>vlookup($C249,CSDL!$A:$E,3,0)</f>
        <v>#N/A</v>
      </c>
      <c r="F249" s="19" t="str">
        <f>vlookup($C249,CSDL!$A:$E,4,0)</f>
        <v>#N/A</v>
      </c>
      <c r="G249" s="27" t="str">
        <f>vlookup($C249,CSDL!$A:$E,5,0)</f>
        <v>#N/A</v>
      </c>
      <c r="H249" s="28"/>
      <c r="I249" s="29" t="s">
        <v>48</v>
      </c>
      <c r="J249" s="29">
        <v>200.0</v>
      </c>
      <c r="K249" s="29">
        <v>1.0</v>
      </c>
      <c r="L249" s="22">
        <f t="shared" si="7"/>
        <v>200</v>
      </c>
      <c r="M249" s="29"/>
      <c r="N249" s="29"/>
      <c r="O249" s="30"/>
      <c r="P249" s="26"/>
      <c r="Q249" s="32"/>
    </row>
    <row r="250" ht="25.5" customHeight="1">
      <c r="A250" s="15">
        <v>45981.0</v>
      </c>
      <c r="B250" s="16"/>
      <c r="C250" s="17"/>
      <c r="D250" s="18" t="s">
        <v>21</v>
      </c>
      <c r="E250" s="19" t="str">
        <f>vlookup($C250,CSDL!$A:$E,3,0)</f>
        <v>#N/A</v>
      </c>
      <c r="F250" s="19" t="str">
        <f>vlookup($C250,CSDL!$A:$E,4,0)</f>
        <v>#N/A</v>
      </c>
      <c r="G250" s="20" t="str">
        <f>vlookup($C250,CSDL!$A:$E,5,0)</f>
        <v>#N/A</v>
      </c>
      <c r="H250" s="16"/>
      <c r="I250" s="23" t="s">
        <v>33</v>
      </c>
      <c r="J250" s="23">
        <v>150.0</v>
      </c>
      <c r="K250" s="23">
        <v>1.0</v>
      </c>
      <c r="L250" s="22">
        <f t="shared" si="7"/>
        <v>150</v>
      </c>
      <c r="M250" s="23">
        <v>150.0</v>
      </c>
      <c r="N250" s="23" t="s">
        <v>34</v>
      </c>
      <c r="O250" s="24" t="s">
        <v>248</v>
      </c>
      <c r="P250" s="15"/>
      <c r="Q250" s="25"/>
    </row>
    <row r="251" ht="25.5" customHeight="1">
      <c r="A251" s="26"/>
      <c r="B251" s="28"/>
      <c r="C251" s="17"/>
      <c r="D251" s="18" t="s">
        <v>21</v>
      </c>
      <c r="E251" s="19" t="str">
        <f>vlookup($C251,CSDL!$A:$E,3,0)</f>
        <v>#N/A</v>
      </c>
      <c r="F251" s="19" t="str">
        <f>vlookup($C251,CSDL!$A:$E,4,0)</f>
        <v>#N/A</v>
      </c>
      <c r="G251" s="27" t="str">
        <f>vlookup($C251,CSDL!$A:$E,5,0)</f>
        <v>#N/A</v>
      </c>
      <c r="H251" s="28"/>
      <c r="I251" s="29" t="s">
        <v>22</v>
      </c>
      <c r="J251" s="29">
        <v>20.0</v>
      </c>
      <c r="K251" s="29">
        <v>1.0</v>
      </c>
      <c r="L251" s="22">
        <f t="shared" si="7"/>
        <v>20</v>
      </c>
      <c r="M251" s="23">
        <v>40.0</v>
      </c>
      <c r="N251" s="29" t="s">
        <v>43</v>
      </c>
      <c r="O251" s="30"/>
      <c r="P251" s="26"/>
      <c r="Q251" s="32"/>
    </row>
    <row r="252" ht="25.5" customHeight="1">
      <c r="A252" s="33"/>
      <c r="B252" s="16"/>
      <c r="C252" s="17"/>
      <c r="D252" s="34" t="str">
        <f>vlookup($C252,CSDL!$A:$E,2,0)</f>
        <v>#N/A</v>
      </c>
      <c r="E252" s="19" t="str">
        <f>vlookup($C252,CSDL!$A:$E,3,0)</f>
        <v>#N/A</v>
      </c>
      <c r="F252" s="19" t="str">
        <f>vlookup($C252,CSDL!$A:$E,4,0)</f>
        <v>#N/A</v>
      </c>
      <c r="G252" s="20" t="str">
        <f>vlookup($C252,CSDL!$A:$E,5,0)</f>
        <v>#N/A</v>
      </c>
      <c r="H252" s="16"/>
      <c r="I252" s="23" t="s">
        <v>119</v>
      </c>
      <c r="J252" s="23">
        <v>20.0</v>
      </c>
      <c r="K252" s="23">
        <v>1.0</v>
      </c>
      <c r="L252" s="22">
        <f t="shared" si="7"/>
        <v>20</v>
      </c>
      <c r="M252" s="23"/>
      <c r="N252" s="23"/>
      <c r="O252" s="24"/>
      <c r="P252" s="33"/>
      <c r="Q252" s="25"/>
    </row>
    <row r="253" ht="25.5" customHeight="1">
      <c r="A253" s="31"/>
      <c r="B253" s="28"/>
      <c r="C253" s="17"/>
      <c r="D253" s="18" t="s">
        <v>21</v>
      </c>
      <c r="E253" s="19" t="str">
        <f>vlookup($C253,CSDL!$A:$E,3,0)</f>
        <v>#N/A</v>
      </c>
      <c r="F253" s="19" t="str">
        <f>vlookup($C253,CSDL!$A:$E,4,0)</f>
        <v>#N/A</v>
      </c>
      <c r="G253" s="27" t="str">
        <f>vlookup($C253,CSDL!$A:$E,5,0)</f>
        <v>#N/A</v>
      </c>
      <c r="H253" s="28"/>
      <c r="I253" s="29" t="s">
        <v>30</v>
      </c>
      <c r="J253" s="29">
        <v>100.0</v>
      </c>
      <c r="K253" s="29">
        <v>1.0</v>
      </c>
      <c r="L253" s="22">
        <f t="shared" si="7"/>
        <v>100</v>
      </c>
      <c r="M253" s="23">
        <v>175.0</v>
      </c>
      <c r="N253" s="29" t="s">
        <v>25</v>
      </c>
      <c r="O253" s="30" t="s">
        <v>249</v>
      </c>
      <c r="P253" s="26"/>
      <c r="Q253" s="28"/>
    </row>
    <row r="254" ht="25.5" customHeight="1">
      <c r="A254" s="33"/>
      <c r="B254" s="16"/>
      <c r="C254" s="17"/>
      <c r="D254" s="34" t="str">
        <f>vlookup($C254,CSDL!$A:$E,2,0)</f>
        <v>#N/A</v>
      </c>
      <c r="E254" s="19" t="str">
        <f>vlookup($C254,CSDL!$A:$E,3,0)</f>
        <v>#N/A</v>
      </c>
      <c r="F254" s="19" t="str">
        <f>vlookup($C254,CSDL!$A:$E,4,0)</f>
        <v>#N/A</v>
      </c>
      <c r="G254" s="20" t="str">
        <f>vlookup($C254,CSDL!$A:$E,5,0)</f>
        <v>#N/A</v>
      </c>
      <c r="H254" s="16"/>
      <c r="I254" s="23" t="s">
        <v>24</v>
      </c>
      <c r="J254" s="23">
        <v>25.0</v>
      </c>
      <c r="K254" s="23">
        <v>3.0</v>
      </c>
      <c r="L254" s="22">
        <f t="shared" si="7"/>
        <v>75</v>
      </c>
      <c r="M254" s="23"/>
      <c r="N254" s="23"/>
      <c r="O254" s="24"/>
      <c r="P254" s="15"/>
      <c r="Q254" s="25"/>
    </row>
    <row r="255" ht="25.5" customHeight="1">
      <c r="A255" s="26"/>
      <c r="B255" s="28">
        <v>1236.0</v>
      </c>
      <c r="C255" s="17" t="s">
        <v>158</v>
      </c>
      <c r="D255" s="34" t="str">
        <f>vlookup($C255,CSDL!$A:$E,2,0)</f>
        <v>Nguyễn Đăng Vinh</v>
      </c>
      <c r="E255" s="19" t="str">
        <f>vlookup($C255,CSDL!$A:$E,3,0)</f>
        <v>67/1 Nguyễn Hoàng</v>
      </c>
      <c r="F255" s="19" t="str">
        <f>vlookup($C255,CSDL!$A:$E,4,0)</f>
        <v>Mèo</v>
      </c>
      <c r="G255" s="35" t="s">
        <v>159</v>
      </c>
      <c r="H255" s="28"/>
      <c r="I255" s="29" t="s">
        <v>24</v>
      </c>
      <c r="J255" s="29">
        <v>50.0</v>
      </c>
      <c r="K255" s="29">
        <v>0.0</v>
      </c>
      <c r="L255" s="22">
        <f t="shared" si="7"/>
        <v>0</v>
      </c>
      <c r="M255" s="23">
        <v>1000.0</v>
      </c>
      <c r="N255" s="29" t="s">
        <v>25</v>
      </c>
      <c r="O255" s="30" t="s">
        <v>250</v>
      </c>
      <c r="P255" s="31"/>
      <c r="Q255" s="32"/>
    </row>
    <row r="256" ht="25.5" customHeight="1">
      <c r="A256" s="33"/>
      <c r="B256" s="16">
        <v>1236.0</v>
      </c>
      <c r="C256" s="17"/>
      <c r="D256" s="34" t="str">
        <f>vlookup($C256,CSDL!$A:$E,2,0)</f>
        <v>#N/A</v>
      </c>
      <c r="E256" s="19" t="str">
        <f>vlookup($C256,CSDL!$A:$E,3,0)</f>
        <v>#N/A</v>
      </c>
      <c r="F256" s="19" t="str">
        <f>vlookup($C256,CSDL!$A:$E,4,0)</f>
        <v>#N/A</v>
      </c>
      <c r="G256" s="20" t="str">
        <f>vlookup($C256,CSDL!$A:$E,5,0)</f>
        <v>#N/A</v>
      </c>
      <c r="H256" s="16"/>
      <c r="I256" s="23" t="s">
        <v>50</v>
      </c>
      <c r="J256" s="23">
        <v>1000.0</v>
      </c>
      <c r="K256" s="23">
        <v>1.0</v>
      </c>
      <c r="L256" s="22">
        <f t="shared" si="7"/>
        <v>1000</v>
      </c>
      <c r="M256" s="23">
        <v>1000.0</v>
      </c>
      <c r="N256" s="23" t="s">
        <v>25</v>
      </c>
      <c r="O256" s="24" t="s">
        <v>251</v>
      </c>
      <c r="P256" s="33"/>
      <c r="Q256" s="25"/>
    </row>
    <row r="257" ht="25.5" customHeight="1">
      <c r="A257" s="48"/>
      <c r="B257" s="28">
        <v>1236.0</v>
      </c>
      <c r="C257" s="17"/>
      <c r="D257" s="34" t="str">
        <f>vlookup($C257,CSDL!$A:$E,2,0)</f>
        <v>#N/A</v>
      </c>
      <c r="E257" s="19" t="str">
        <f>vlookup($C257,CSDL!$A:$E,3,0)</f>
        <v>#N/A</v>
      </c>
      <c r="F257" s="19" t="str">
        <f>vlookup($C257,CSDL!$A:$E,4,0)</f>
        <v>#N/A</v>
      </c>
      <c r="G257" s="27" t="str">
        <f>vlookup($C257,CSDL!$A:$E,5,0)</f>
        <v>#N/A</v>
      </c>
      <c r="H257" s="49"/>
      <c r="I257" s="29" t="s">
        <v>59</v>
      </c>
      <c r="J257" s="29">
        <v>180.0</v>
      </c>
      <c r="K257" s="29">
        <v>2.0</v>
      </c>
      <c r="L257" s="22">
        <f t="shared" si="7"/>
        <v>360</v>
      </c>
      <c r="M257" s="23">
        <v>1350.0</v>
      </c>
      <c r="N257" s="29" t="s">
        <v>25</v>
      </c>
      <c r="O257" s="30" t="s">
        <v>252</v>
      </c>
      <c r="P257" s="50"/>
      <c r="Q257" s="51"/>
    </row>
    <row r="258" ht="25.5" customHeight="1">
      <c r="A258" s="33"/>
      <c r="B258" s="49">
        <v>1237.0</v>
      </c>
      <c r="C258" s="17"/>
      <c r="D258" s="34" t="str">
        <f>vlookup($C258,CSDL!$A:$E,2,0)</f>
        <v>#N/A</v>
      </c>
      <c r="E258" s="19" t="str">
        <f>vlookup($C258,CSDL!$A:$E,3,0)</f>
        <v>#N/A</v>
      </c>
      <c r="F258" s="37" t="s">
        <v>74</v>
      </c>
      <c r="G258" s="36" t="s">
        <v>253</v>
      </c>
      <c r="H258" s="16"/>
      <c r="I258" s="23" t="s">
        <v>123</v>
      </c>
      <c r="J258" s="23">
        <v>130.0</v>
      </c>
      <c r="K258" s="23">
        <v>1.0</v>
      </c>
      <c r="L258" s="22">
        <f t="shared" si="7"/>
        <v>130</v>
      </c>
      <c r="M258" s="23">
        <v>130.0</v>
      </c>
      <c r="N258" s="23" t="s">
        <v>65</v>
      </c>
      <c r="O258" s="24"/>
      <c r="P258" s="15"/>
      <c r="Q258" s="32"/>
    </row>
    <row r="259" ht="25.5" customHeight="1">
      <c r="A259" s="26"/>
      <c r="B259" s="49"/>
      <c r="C259" s="17"/>
      <c r="D259" s="18" t="s">
        <v>21</v>
      </c>
      <c r="E259" s="19" t="str">
        <f>vlookup($C259,CSDL!$A:$E,3,0)</f>
        <v>#N/A</v>
      </c>
      <c r="F259" s="19" t="str">
        <f>vlookup($C259,CSDL!$A:$E,4,0)</f>
        <v>#N/A</v>
      </c>
      <c r="G259" s="27" t="str">
        <f>vlookup($C259,CSDL!$A:$E,5,0)</f>
        <v>#N/A</v>
      </c>
      <c r="H259" s="28"/>
      <c r="I259" s="29" t="s">
        <v>33</v>
      </c>
      <c r="J259" s="29">
        <v>50.0</v>
      </c>
      <c r="K259" s="29">
        <v>1.0</v>
      </c>
      <c r="L259" s="22">
        <f t="shared" si="7"/>
        <v>50</v>
      </c>
      <c r="M259" s="23">
        <v>50.0</v>
      </c>
      <c r="N259" s="29" t="s">
        <v>25</v>
      </c>
      <c r="O259" s="30" t="s">
        <v>254</v>
      </c>
      <c r="P259" s="26"/>
      <c r="Q259" s="32"/>
    </row>
    <row r="260" ht="25.5" customHeight="1">
      <c r="A260" s="33"/>
      <c r="B260" s="49">
        <v>1238.0</v>
      </c>
      <c r="C260" s="17" t="s">
        <v>255</v>
      </c>
      <c r="D260" s="34" t="str">
        <f>vlookup($C260,CSDL!$A:$E,2,0)</f>
        <v>Anh Tài</v>
      </c>
      <c r="E260" s="19" t="str">
        <f>vlookup($C260,CSDL!$A:$E,3,0)</f>
        <v>78B Phú Bài</v>
      </c>
      <c r="F260" s="19" t="str">
        <f>vlookup($C260,CSDL!$A:$E,4,0)</f>
        <v>Mèo</v>
      </c>
      <c r="G260" s="20" t="str">
        <f>vlookup($C260,CSDL!$A:$E,5,0)</f>
        <v/>
      </c>
      <c r="H260" s="16"/>
      <c r="I260" s="23" t="s">
        <v>48</v>
      </c>
      <c r="J260" s="23">
        <v>200.0</v>
      </c>
      <c r="K260" s="23">
        <v>1.0</v>
      </c>
      <c r="L260" s="22">
        <f t="shared" si="7"/>
        <v>200</v>
      </c>
      <c r="M260" s="23">
        <v>500.0</v>
      </c>
      <c r="N260" s="23" t="s">
        <v>65</v>
      </c>
      <c r="O260" s="24"/>
      <c r="P260" s="15"/>
      <c r="Q260" s="32"/>
    </row>
    <row r="261" ht="25.5" customHeight="1">
      <c r="A261" s="39"/>
      <c r="B261" s="49">
        <v>1238.0</v>
      </c>
      <c r="C261" s="17"/>
      <c r="D261" s="34" t="str">
        <f>vlookup($C261,CSDL!$A:$E,2,0)</f>
        <v>#N/A</v>
      </c>
      <c r="E261" s="19" t="str">
        <f>vlookup($C261,CSDL!$A:$E,3,0)</f>
        <v>#N/A</v>
      </c>
      <c r="F261" s="19" t="str">
        <f>vlookup($C261,CSDL!$A:$E,4,0)</f>
        <v>#N/A</v>
      </c>
      <c r="G261" s="27" t="str">
        <f>vlookup($C261,CSDL!$A:$E,5,0)</f>
        <v>#N/A</v>
      </c>
      <c r="H261" s="28"/>
      <c r="I261" s="29" t="s">
        <v>59</v>
      </c>
      <c r="J261" s="29">
        <v>150.0</v>
      </c>
      <c r="K261" s="29">
        <v>7.0</v>
      </c>
      <c r="L261" s="22">
        <f t="shared" si="7"/>
        <v>1050</v>
      </c>
      <c r="M261" s="23">
        <v>750.0</v>
      </c>
      <c r="N261" s="29" t="s">
        <v>25</v>
      </c>
      <c r="O261" s="30" t="s">
        <v>256</v>
      </c>
      <c r="P261" s="31"/>
      <c r="Q261" s="39"/>
    </row>
    <row r="262" ht="25.5" customHeight="1">
      <c r="A262" s="15"/>
      <c r="B262" s="49">
        <v>1238.0</v>
      </c>
      <c r="C262" s="17"/>
      <c r="D262" s="34" t="str">
        <f>vlookup($C262,CSDL!$A:$E,2,0)</f>
        <v>#N/A</v>
      </c>
      <c r="E262" s="19" t="str">
        <f>vlookup($C262,CSDL!$A:$E,3,0)</f>
        <v>#N/A</v>
      </c>
      <c r="F262" s="19" t="str">
        <f>vlookup($C262,CSDL!$A:$E,4,0)</f>
        <v>#N/A</v>
      </c>
      <c r="G262" s="20" t="str">
        <f>vlookup($C262,CSDL!$A:$E,5,0)</f>
        <v>#N/A</v>
      </c>
      <c r="H262" s="16"/>
      <c r="I262" s="23" t="s">
        <v>56</v>
      </c>
      <c r="J262" s="23">
        <v>1000.0</v>
      </c>
      <c r="K262" s="23">
        <v>1.0</v>
      </c>
      <c r="L262" s="22">
        <f t="shared" si="7"/>
        <v>1000</v>
      </c>
      <c r="M262" s="23">
        <v>1000.0</v>
      </c>
      <c r="N262" s="23" t="s">
        <v>25</v>
      </c>
      <c r="O262" s="24" t="s">
        <v>257</v>
      </c>
      <c r="P262" s="15"/>
      <c r="Q262" s="16"/>
    </row>
    <row r="263" ht="25.5" customHeight="1">
      <c r="A263" s="31">
        <v>45982.0</v>
      </c>
      <c r="B263" s="28"/>
      <c r="C263" s="17"/>
      <c r="D263" s="18" t="s">
        <v>21</v>
      </c>
      <c r="E263" s="19" t="str">
        <f>vlookup($C263,CSDL!$A:$E,3,0)</f>
        <v>#N/A</v>
      </c>
      <c r="F263" s="19" t="str">
        <f>vlookup($C263,CSDL!$A:$E,4,0)</f>
        <v>#N/A</v>
      </c>
      <c r="G263" s="27" t="str">
        <f>vlookup($C263,CSDL!$A:$E,5,0)</f>
        <v>#N/A</v>
      </c>
      <c r="H263" s="28"/>
      <c r="I263" s="29" t="s">
        <v>33</v>
      </c>
      <c r="J263" s="29">
        <v>270.0</v>
      </c>
      <c r="K263" s="29">
        <v>1.0</v>
      </c>
      <c r="L263" s="22">
        <f t="shared" si="7"/>
        <v>270</v>
      </c>
      <c r="M263" s="23">
        <v>270.0</v>
      </c>
      <c r="N263" s="29" t="s">
        <v>34</v>
      </c>
      <c r="O263" s="30" t="s">
        <v>258</v>
      </c>
      <c r="P263" s="26"/>
      <c r="Q263" s="32"/>
    </row>
    <row r="264" ht="25.5" customHeight="1">
      <c r="A264" s="33"/>
      <c r="B264" s="16"/>
      <c r="C264" s="17"/>
      <c r="D264" s="34" t="str">
        <f>vlookup($C264,CSDL!$A:$E,2,0)</f>
        <v>#N/A</v>
      </c>
      <c r="E264" s="19" t="str">
        <f>vlookup($C264,CSDL!$A:$E,3,0)</f>
        <v>#N/A</v>
      </c>
      <c r="F264" s="19" t="str">
        <f>vlookup($C264,CSDL!$A:$E,4,0)</f>
        <v>#N/A</v>
      </c>
      <c r="G264" s="20" t="str">
        <f>vlookup($C264,CSDL!$A:$E,5,0)</f>
        <v>#N/A</v>
      </c>
      <c r="H264" s="16"/>
      <c r="I264" s="23" t="s">
        <v>24</v>
      </c>
      <c r="J264" s="23">
        <v>30.0</v>
      </c>
      <c r="K264" s="23">
        <v>14.0</v>
      </c>
      <c r="L264" s="22">
        <f t="shared" si="7"/>
        <v>420</v>
      </c>
      <c r="M264" s="23">
        <v>600.0</v>
      </c>
      <c r="N264" s="23" t="s">
        <v>25</v>
      </c>
      <c r="O264" s="24" t="s">
        <v>259</v>
      </c>
      <c r="P264" s="33"/>
      <c r="Q264" s="16"/>
    </row>
    <row r="265" ht="25.5" customHeight="1">
      <c r="A265" s="26"/>
      <c r="B265" s="28"/>
      <c r="C265" s="17"/>
      <c r="D265" s="18" t="s">
        <v>21</v>
      </c>
      <c r="E265" s="19" t="str">
        <f>vlookup($C265,CSDL!$A:$E,3,0)</f>
        <v>#N/A</v>
      </c>
      <c r="F265" s="19" t="str">
        <f>vlookup($C265,CSDL!$A:$E,4,0)</f>
        <v>#N/A</v>
      </c>
      <c r="G265" s="27" t="str">
        <f>vlookup($C265,CSDL!$A:$E,5,0)</f>
        <v>#N/A</v>
      </c>
      <c r="H265" s="28"/>
      <c r="I265" s="29" t="s">
        <v>83</v>
      </c>
      <c r="J265" s="29">
        <v>180.0</v>
      </c>
      <c r="K265" s="29">
        <v>1.0</v>
      </c>
      <c r="L265" s="22">
        <f t="shared" si="7"/>
        <v>180</v>
      </c>
      <c r="M265" s="23">
        <v>70.0</v>
      </c>
      <c r="N265" s="29" t="s">
        <v>34</v>
      </c>
      <c r="O265" s="30"/>
      <c r="P265" s="26"/>
      <c r="Q265" s="28"/>
    </row>
    <row r="266" ht="25.5" customHeight="1">
      <c r="A266" s="42"/>
      <c r="B266" s="16"/>
      <c r="C266" s="17"/>
      <c r="D266" s="34" t="str">
        <f>vlookup($C266,CSDL!$A:$E,2,0)</f>
        <v>#N/A</v>
      </c>
      <c r="E266" s="19" t="str">
        <f>vlookup($C266,CSDL!$A:$E,3,0)</f>
        <v>#N/A</v>
      </c>
      <c r="F266" s="19" t="str">
        <f>vlookup($C266,CSDL!$A:$E,4,0)</f>
        <v>#N/A</v>
      </c>
      <c r="G266" s="20" t="str">
        <f>vlookup($C266,CSDL!$A:$E,5,0)</f>
        <v>#N/A</v>
      </c>
      <c r="H266" s="16"/>
      <c r="I266" s="23" t="s">
        <v>33</v>
      </c>
      <c r="J266" s="23">
        <v>70.0</v>
      </c>
      <c r="K266" s="23">
        <v>1.0</v>
      </c>
      <c r="L266" s="22">
        <f t="shared" si="7"/>
        <v>70</v>
      </c>
      <c r="M266" s="23"/>
      <c r="N266" s="23"/>
      <c r="O266" s="24"/>
      <c r="P266" s="33"/>
      <c r="Q266" s="42"/>
    </row>
    <row r="267" ht="25.5" customHeight="1">
      <c r="A267" s="39"/>
      <c r="B267" s="28"/>
      <c r="C267" s="52"/>
      <c r="D267" s="18" t="s">
        <v>21</v>
      </c>
      <c r="E267" s="19" t="str">
        <f>vlookup($C267,CSDL!$A:$E,3,0)</f>
        <v>#N/A</v>
      </c>
      <c r="F267" s="19" t="str">
        <f>vlookup($C267,CSDL!$A:$E,4,0)</f>
        <v>#N/A</v>
      </c>
      <c r="G267" s="27" t="str">
        <f>vlookup($C267,CSDL!$A:$E,5,0)</f>
        <v>#N/A</v>
      </c>
      <c r="H267" s="28"/>
      <c r="I267" s="29" t="s">
        <v>205</v>
      </c>
      <c r="J267" s="29">
        <v>30.0</v>
      </c>
      <c r="K267" s="29">
        <v>1.0</v>
      </c>
      <c r="L267" s="22">
        <f t="shared" si="7"/>
        <v>30</v>
      </c>
      <c r="M267" s="23">
        <v>30.0</v>
      </c>
      <c r="N267" s="29" t="s">
        <v>65</v>
      </c>
      <c r="O267" s="30"/>
      <c r="P267" s="26"/>
      <c r="Q267" s="39"/>
    </row>
    <row r="268" ht="25.5" customHeight="1">
      <c r="A268" s="15"/>
      <c r="B268" s="16"/>
      <c r="C268" s="17"/>
      <c r="D268" s="18" t="s">
        <v>260</v>
      </c>
      <c r="E268" s="19" t="str">
        <f>vlookup($C268,CSDL!$A:$E,3,0)</f>
        <v>#N/A</v>
      </c>
      <c r="F268" s="19" t="str">
        <f>vlookup($C268,CSDL!$A:$E,4,0)</f>
        <v>#N/A</v>
      </c>
      <c r="G268" s="20" t="str">
        <f>vlookup($C268,CSDL!$A:$E,5,0)</f>
        <v>#N/A</v>
      </c>
      <c r="H268" s="16"/>
      <c r="I268" s="23" t="s">
        <v>30</v>
      </c>
      <c r="J268" s="23">
        <v>200.0</v>
      </c>
      <c r="K268" s="23">
        <v>1.0</v>
      </c>
      <c r="L268" s="22">
        <f t="shared" si="7"/>
        <v>200</v>
      </c>
      <c r="M268" s="23">
        <v>790.0</v>
      </c>
      <c r="N268" s="23" t="s">
        <v>25</v>
      </c>
      <c r="O268" s="24" t="s">
        <v>261</v>
      </c>
      <c r="P268" s="33"/>
      <c r="Q268" s="44"/>
    </row>
    <row r="269" ht="25.5" customHeight="1">
      <c r="A269" s="26"/>
      <c r="B269" s="28"/>
      <c r="C269" s="17"/>
      <c r="D269" s="34" t="str">
        <f>vlookup($C269,CSDL!$A:$E,2,0)</f>
        <v>#N/A</v>
      </c>
      <c r="E269" s="19" t="str">
        <f>vlookup($C269,CSDL!$A:$E,3,0)</f>
        <v>#N/A</v>
      </c>
      <c r="F269" s="19" t="str">
        <f>vlookup($C269,CSDL!$A:$E,4,0)</f>
        <v>#N/A</v>
      </c>
      <c r="G269" s="27" t="str">
        <f>vlookup($C269,CSDL!$A:$E,5,0)</f>
        <v>#N/A</v>
      </c>
      <c r="H269" s="28"/>
      <c r="I269" s="29" t="s">
        <v>24</v>
      </c>
      <c r="J269" s="29">
        <v>35.0</v>
      </c>
      <c r="K269" s="29">
        <v>14.0</v>
      </c>
      <c r="L269" s="22">
        <f t="shared" si="7"/>
        <v>490</v>
      </c>
      <c r="M269" s="23"/>
      <c r="N269" s="29"/>
      <c r="O269" s="30"/>
      <c r="P269" s="26"/>
      <c r="Q269" s="28"/>
    </row>
    <row r="270" ht="25.5" customHeight="1">
      <c r="A270" s="33"/>
      <c r="B270" s="16"/>
      <c r="C270" s="17"/>
      <c r="D270" s="34" t="str">
        <f>vlookup($C270,CSDL!$A:$E,2,0)</f>
        <v>#N/A</v>
      </c>
      <c r="E270" s="19" t="str">
        <f>vlookup($C270,CSDL!$A:$E,3,0)</f>
        <v>#N/A</v>
      </c>
      <c r="F270" s="19" t="str">
        <f>vlookup($C270,CSDL!$A:$E,4,0)</f>
        <v>#N/A</v>
      </c>
      <c r="G270" s="20" t="str">
        <f>vlookup($C270,CSDL!$A:$E,5,0)</f>
        <v>#N/A</v>
      </c>
      <c r="H270" s="16"/>
      <c r="I270" s="23" t="s">
        <v>80</v>
      </c>
      <c r="J270" s="23">
        <v>100.0</v>
      </c>
      <c r="K270" s="23">
        <v>1.0</v>
      </c>
      <c r="L270" s="22">
        <f t="shared" si="7"/>
        <v>100</v>
      </c>
      <c r="M270" s="23"/>
      <c r="N270" s="23"/>
      <c r="O270" s="24"/>
      <c r="P270" s="33"/>
      <c r="Q270" s="25"/>
    </row>
    <row r="271" ht="25.5" customHeight="1">
      <c r="A271" s="26"/>
      <c r="B271" s="28"/>
      <c r="C271" s="17"/>
      <c r="D271" s="18" t="s">
        <v>65</v>
      </c>
      <c r="E271" s="19"/>
      <c r="F271" s="19"/>
      <c r="G271" s="27"/>
      <c r="H271" s="28"/>
      <c r="I271" s="29" t="s">
        <v>33</v>
      </c>
      <c r="J271" s="29">
        <v>30.0</v>
      </c>
      <c r="K271" s="29">
        <v>1.0</v>
      </c>
      <c r="L271" s="22">
        <f t="shared" si="7"/>
        <v>30</v>
      </c>
      <c r="M271" s="23">
        <v>30.0</v>
      </c>
      <c r="N271" s="29" t="s">
        <v>34</v>
      </c>
      <c r="O271" s="30" t="s">
        <v>262</v>
      </c>
      <c r="P271" s="28"/>
      <c r="Q271" s="32"/>
    </row>
    <row r="272" ht="25.5" customHeight="1">
      <c r="A272" s="33"/>
      <c r="B272" s="16">
        <v>1239.0</v>
      </c>
      <c r="C272" s="17" t="s">
        <v>263</v>
      </c>
      <c r="D272" s="34" t="str">
        <f>vlookup($C272,CSDL!$A:$E,2,0)</f>
        <v>Chị Qúy</v>
      </c>
      <c r="E272" s="19" t="str">
        <f>vlookup($C272,CSDL!$A:$E,3,0)</f>
        <v>14/92 Đặng Huy Trứ</v>
      </c>
      <c r="F272" s="19" t="str">
        <f>vlookup($C272,CSDL!$A:$E,4,0)</f>
        <v>Mèo</v>
      </c>
      <c r="G272" s="20" t="str">
        <f>vlookup($C272,CSDL!$A:$E,5,0)</f>
        <v>Tom</v>
      </c>
      <c r="H272" s="16"/>
      <c r="I272" s="23" t="s">
        <v>59</v>
      </c>
      <c r="J272" s="23">
        <v>150.0</v>
      </c>
      <c r="K272" s="23">
        <v>1.0</v>
      </c>
      <c r="L272" s="22">
        <f t="shared" si="7"/>
        <v>150</v>
      </c>
      <c r="M272" s="23">
        <v>450.0</v>
      </c>
      <c r="N272" s="23" t="s">
        <v>25</v>
      </c>
      <c r="O272" s="24" t="s">
        <v>264</v>
      </c>
      <c r="P272" s="16" t="s">
        <v>265</v>
      </c>
      <c r="Q272" s="25"/>
    </row>
    <row r="273" ht="25.5" customHeight="1">
      <c r="A273" s="26"/>
      <c r="B273" s="28">
        <v>1239.0</v>
      </c>
      <c r="C273" s="17"/>
      <c r="D273" s="34" t="str">
        <f>vlookup($C273,CSDL!$A:$E,2,0)</f>
        <v>#N/A</v>
      </c>
      <c r="E273" s="19" t="str">
        <f>vlookup($C273,CSDL!$A:$E,3,0)</f>
        <v>#N/A</v>
      </c>
      <c r="F273" s="19" t="str">
        <f>vlookup($C273,CSDL!$A:$E,4,0)</f>
        <v>#N/A</v>
      </c>
      <c r="G273" s="27" t="str">
        <f>vlookup($C273,CSDL!$A:$E,5,0)</f>
        <v>#N/A</v>
      </c>
      <c r="H273" s="28"/>
      <c r="I273" s="29"/>
      <c r="J273" s="29"/>
      <c r="K273" s="29"/>
      <c r="L273" s="22">
        <f t="shared" si="7"/>
        <v>0</v>
      </c>
      <c r="M273" s="23">
        <v>-300.0</v>
      </c>
      <c r="N273" s="29"/>
      <c r="O273" s="30" t="s">
        <v>266</v>
      </c>
      <c r="P273" s="31"/>
      <c r="Q273" s="32"/>
    </row>
    <row r="274" ht="25.5" customHeight="1">
      <c r="A274" s="33"/>
      <c r="B274" s="16">
        <v>1240.0</v>
      </c>
      <c r="C274" s="17" t="s">
        <v>267</v>
      </c>
      <c r="D274" s="34" t="str">
        <f>vlookup($C274,CSDL!$A:$E,2,0)</f>
        <v>Anh Zet</v>
      </c>
      <c r="E274" s="19" t="str">
        <f>vlookup($C274,CSDL!$A:$E,3,0)</f>
        <v>8 Lê Tự Nhiên</v>
      </c>
      <c r="F274" s="19" t="str">
        <f>vlookup($C274,CSDL!$A:$E,4,0)</f>
        <v>Chó</v>
      </c>
      <c r="G274" s="20" t="str">
        <f>vlookup($C274,CSDL!$A:$E,5,0)</f>
        <v>Đen</v>
      </c>
      <c r="H274" s="16">
        <v>38.0</v>
      </c>
      <c r="I274" s="23" t="s">
        <v>177</v>
      </c>
      <c r="J274" s="23">
        <v>150.0</v>
      </c>
      <c r="K274" s="23">
        <v>2.0</v>
      </c>
      <c r="L274" s="22">
        <f t="shared" si="7"/>
        <v>300</v>
      </c>
      <c r="M274" s="23">
        <v>400.0</v>
      </c>
      <c r="N274" s="23" t="s">
        <v>43</v>
      </c>
      <c r="O274" s="24"/>
      <c r="P274" s="15"/>
      <c r="Q274" s="25"/>
    </row>
    <row r="275" ht="25.5" customHeight="1">
      <c r="A275" s="31"/>
      <c r="B275" s="28">
        <v>1240.0</v>
      </c>
      <c r="C275" s="17"/>
      <c r="D275" s="34" t="str">
        <f>vlookup($C275,CSDL!$A:$E,2,0)</f>
        <v>#N/A</v>
      </c>
      <c r="E275" s="19" t="str">
        <f>vlookup($C275,CSDL!$A:$E,3,0)</f>
        <v>#N/A</v>
      </c>
      <c r="F275" s="19" t="str">
        <f>vlookup($C275,CSDL!$A:$E,4,0)</f>
        <v>#N/A</v>
      </c>
      <c r="G275" s="27" t="str">
        <f>vlookup($C275,CSDL!$A:$E,5,0)</f>
        <v>#N/A</v>
      </c>
      <c r="H275" s="28"/>
      <c r="I275" s="29" t="s">
        <v>268</v>
      </c>
      <c r="J275" s="29">
        <v>100.0</v>
      </c>
      <c r="K275" s="29">
        <v>1.0</v>
      </c>
      <c r="L275" s="22">
        <f t="shared" si="7"/>
        <v>100</v>
      </c>
      <c r="M275" s="23"/>
      <c r="N275" s="29"/>
      <c r="O275" s="30"/>
      <c r="P275" s="31"/>
      <c r="Q275" s="28"/>
    </row>
    <row r="276" ht="25.5" customHeight="1">
      <c r="A276" s="15">
        <v>45983.0</v>
      </c>
      <c r="B276" s="16"/>
      <c r="C276" s="17"/>
      <c r="D276" s="18" t="s">
        <v>170</v>
      </c>
      <c r="E276" s="19" t="str">
        <f>vlookup($C276,CSDL!$A:$E,3,0)</f>
        <v>#N/A</v>
      </c>
      <c r="F276" s="19" t="str">
        <f>vlookup($C276,CSDL!$A:$E,4,0)</f>
        <v>#N/A</v>
      </c>
      <c r="G276" s="20" t="str">
        <f>vlookup($C276,CSDL!$A:$E,5,0)</f>
        <v>#N/A</v>
      </c>
      <c r="H276" s="16"/>
      <c r="I276" s="23" t="s">
        <v>48</v>
      </c>
      <c r="J276" s="23">
        <v>70.0</v>
      </c>
      <c r="K276" s="23">
        <v>1.0</v>
      </c>
      <c r="L276" s="22">
        <f t="shared" si="7"/>
        <v>70</v>
      </c>
      <c r="M276" s="23">
        <v>70.0</v>
      </c>
      <c r="N276" s="23" t="s">
        <v>25</v>
      </c>
      <c r="O276" s="24" t="s">
        <v>269</v>
      </c>
      <c r="P276" s="33"/>
      <c r="Q276" s="25"/>
    </row>
    <row r="277" ht="25.5" customHeight="1">
      <c r="A277" s="26"/>
      <c r="B277" s="28"/>
      <c r="C277" s="17"/>
      <c r="D277" s="18" t="s">
        <v>21</v>
      </c>
      <c r="E277" s="19" t="str">
        <f>vlookup($C277,CSDL!$A:$E,3,0)</f>
        <v>#N/A</v>
      </c>
      <c r="F277" s="19" t="str">
        <f>vlookup($C277,CSDL!$A:$E,4,0)</f>
        <v>#N/A</v>
      </c>
      <c r="G277" s="27" t="str">
        <f>vlookup($C277,CSDL!$A:$E,5,0)</f>
        <v>#N/A</v>
      </c>
      <c r="H277" s="28"/>
      <c r="I277" s="29" t="s">
        <v>95</v>
      </c>
      <c r="J277" s="29">
        <v>100.0</v>
      </c>
      <c r="K277" s="29">
        <v>1.0</v>
      </c>
      <c r="L277" s="22">
        <f t="shared" si="7"/>
        <v>100</v>
      </c>
      <c r="M277" s="29">
        <v>300.0</v>
      </c>
      <c r="N277" s="29" t="s">
        <v>101</v>
      </c>
      <c r="O277" s="30"/>
      <c r="P277" s="26"/>
      <c r="Q277" s="32"/>
    </row>
    <row r="278" ht="25.5" customHeight="1">
      <c r="A278" s="33"/>
      <c r="B278" s="16"/>
      <c r="C278" s="17"/>
      <c r="D278" s="34"/>
      <c r="E278" s="19" t="str">
        <f>vlookup($C278,CSDL!$A:$E,3,0)</f>
        <v>#N/A</v>
      </c>
      <c r="F278" s="19" t="str">
        <f>vlookup($C278,CSDL!$A:$E,4,0)</f>
        <v>#N/A</v>
      </c>
      <c r="G278" s="20" t="str">
        <f>vlookup($C278,CSDL!$A:$E,5,0)</f>
        <v>#N/A</v>
      </c>
      <c r="H278" s="16"/>
      <c r="I278" s="23" t="s">
        <v>95</v>
      </c>
      <c r="J278" s="23">
        <v>100.0</v>
      </c>
      <c r="K278" s="23">
        <v>1.0</v>
      </c>
      <c r="L278" s="22">
        <f t="shared" si="7"/>
        <v>100</v>
      </c>
      <c r="M278" s="23"/>
      <c r="N278" s="23"/>
      <c r="O278" s="24"/>
      <c r="P278" s="33"/>
      <c r="Q278" s="25"/>
    </row>
    <row r="279" ht="25.5" customHeight="1">
      <c r="A279" s="31"/>
      <c r="B279" s="28"/>
      <c r="C279" s="17"/>
      <c r="D279" s="34" t="str">
        <f>vlookup($C279,CSDL!$A:$E,2,0)</f>
        <v>#N/A</v>
      </c>
      <c r="E279" s="19" t="str">
        <f>vlookup($C279,CSDL!$A:$E,3,0)</f>
        <v>#N/A</v>
      </c>
      <c r="F279" s="19" t="str">
        <f>vlookup($C279,CSDL!$A:$E,4,0)</f>
        <v>#N/A</v>
      </c>
      <c r="G279" s="27" t="str">
        <f>vlookup($C279,CSDL!$A:$E,5,0)</f>
        <v>#N/A</v>
      </c>
      <c r="H279" s="28"/>
      <c r="I279" s="29" t="s">
        <v>95</v>
      </c>
      <c r="J279" s="29">
        <v>100.0</v>
      </c>
      <c r="K279" s="29">
        <v>1.0</v>
      </c>
      <c r="L279" s="22">
        <f t="shared" si="7"/>
        <v>100</v>
      </c>
      <c r="M279" s="23"/>
      <c r="N279" s="29"/>
      <c r="O279" s="30"/>
      <c r="P279" s="26"/>
      <c r="Q279" s="32"/>
    </row>
    <row r="280" ht="25.5" customHeight="1">
      <c r="A280" s="33"/>
      <c r="B280" s="16">
        <v>1241.0</v>
      </c>
      <c r="C280" s="17" t="s">
        <v>270</v>
      </c>
      <c r="D280" s="34" t="str">
        <f>vlookup($C280,CSDL!$A:$E,2,0)</f>
        <v>Khánh Hà</v>
      </c>
      <c r="E280" s="19" t="str">
        <f>vlookup($C280,CSDL!$A:$E,3,0)</f>
        <v>10/42 Nguyễn Phúc Tần</v>
      </c>
      <c r="F280" s="19" t="str">
        <f>vlookup($C280,CSDL!$A:$E,4,0)</f>
        <v>Chó</v>
      </c>
      <c r="G280" s="20" t="str">
        <f>vlookup($C280,CSDL!$A:$E,5,0)</f>
        <v>Khoai</v>
      </c>
      <c r="H280" s="16"/>
      <c r="I280" s="23" t="s">
        <v>59</v>
      </c>
      <c r="J280" s="23">
        <v>120.0</v>
      </c>
      <c r="K280" s="23">
        <v>4.0</v>
      </c>
      <c r="L280" s="22">
        <f t="shared" si="7"/>
        <v>480</v>
      </c>
      <c r="M280" s="23">
        <v>120.0</v>
      </c>
      <c r="N280" s="23" t="s">
        <v>25</v>
      </c>
      <c r="O280" s="24" t="s">
        <v>271</v>
      </c>
      <c r="P280" s="33"/>
      <c r="Q280" s="16"/>
    </row>
    <row r="281" ht="25.5" customHeight="1">
      <c r="A281" s="26"/>
      <c r="B281" s="28">
        <v>1241.0</v>
      </c>
      <c r="C281" s="17"/>
      <c r="D281" s="34" t="str">
        <f>vlookup($C281,CSDL!$A:$E,2,0)</f>
        <v>#N/A</v>
      </c>
      <c r="E281" s="19" t="str">
        <f>vlookup($C281,CSDL!$A:$E,3,0)</f>
        <v>#N/A</v>
      </c>
      <c r="F281" s="19" t="str">
        <f>vlookup($C281,CSDL!$A:$E,4,0)</f>
        <v>#N/A</v>
      </c>
      <c r="G281" s="27" t="str">
        <f>vlookup($C281,CSDL!$A:$E,5,0)</f>
        <v>#N/A</v>
      </c>
      <c r="H281" s="28"/>
      <c r="I281" s="29" t="s">
        <v>24</v>
      </c>
      <c r="J281" s="29">
        <v>30.0</v>
      </c>
      <c r="K281" s="29">
        <v>1.0</v>
      </c>
      <c r="L281" s="22">
        <f t="shared" si="7"/>
        <v>30</v>
      </c>
      <c r="M281" s="23">
        <v>120.0</v>
      </c>
      <c r="N281" s="29" t="s">
        <v>25</v>
      </c>
      <c r="O281" s="30" t="s">
        <v>272</v>
      </c>
      <c r="P281" s="26"/>
      <c r="Q281" s="41"/>
    </row>
    <row r="282" ht="25.5" customHeight="1">
      <c r="A282" s="33"/>
      <c r="B282" s="16">
        <v>1241.0</v>
      </c>
      <c r="C282" s="17"/>
      <c r="D282" s="34" t="str">
        <f>vlookup($C282,CSDL!$A:$E,2,0)</f>
        <v>#N/A</v>
      </c>
      <c r="E282" s="19" t="str">
        <f>vlookup($C282,CSDL!$A:$E,3,0)</f>
        <v>#N/A</v>
      </c>
      <c r="F282" s="19" t="str">
        <f>vlookup($C282,CSDL!$A:$E,4,0)</f>
        <v>#N/A</v>
      </c>
      <c r="G282" s="20" t="str">
        <f>vlookup($C282,CSDL!$A:$E,5,0)</f>
        <v>#N/A</v>
      </c>
      <c r="H282" s="16"/>
      <c r="I282" s="23"/>
      <c r="J282" s="23"/>
      <c r="K282" s="23"/>
      <c r="L282" s="22">
        <f t="shared" si="7"/>
        <v>0</v>
      </c>
      <c r="M282" s="23">
        <v>120.0</v>
      </c>
      <c r="N282" s="23" t="s">
        <v>101</v>
      </c>
      <c r="O282" s="24"/>
      <c r="P282" s="26"/>
      <c r="Q282" s="28"/>
    </row>
    <row r="283" ht="25.5" customHeight="1">
      <c r="A283" s="26"/>
      <c r="B283" s="28">
        <v>1241.0</v>
      </c>
      <c r="C283" s="17"/>
      <c r="D283" s="34" t="str">
        <f>vlookup($C283,CSDL!$A:$E,2,0)</f>
        <v>#N/A</v>
      </c>
      <c r="E283" s="19" t="str">
        <f>vlookup($C283,CSDL!$A:$E,3,0)</f>
        <v>#N/A</v>
      </c>
      <c r="F283" s="19" t="str">
        <f>vlookup($C283,CSDL!$A:$E,4,0)</f>
        <v>#N/A</v>
      </c>
      <c r="G283" s="27" t="str">
        <f>vlookup($C283,CSDL!$A:$E,5,0)</f>
        <v>#N/A</v>
      </c>
      <c r="H283" s="28"/>
      <c r="I283" s="29"/>
      <c r="J283" s="29"/>
      <c r="K283" s="29"/>
      <c r="L283" s="22">
        <f t="shared" si="7"/>
        <v>0</v>
      </c>
      <c r="M283" s="23">
        <v>150.0</v>
      </c>
      <c r="N283" s="29" t="s">
        <v>25</v>
      </c>
      <c r="O283" s="30" t="s">
        <v>273</v>
      </c>
      <c r="P283" s="31"/>
      <c r="Q283" s="32"/>
    </row>
    <row r="284" ht="25.5" customHeight="1">
      <c r="A284" s="33"/>
      <c r="B284" s="16">
        <v>1242.0</v>
      </c>
      <c r="C284" s="17" t="s">
        <v>274</v>
      </c>
      <c r="D284" s="34" t="str">
        <f>vlookup($C284,CSDL!$A:$E,2,0)</f>
        <v>Chị Vân Anh</v>
      </c>
      <c r="E284" s="19" t="str">
        <f>vlookup($C284,CSDL!$A:$E,3,0)</f>
        <v>63/46 Phạm Thị Liên</v>
      </c>
      <c r="F284" s="19" t="str">
        <f>vlookup($C284,CSDL!$A:$E,4,0)</f>
        <v>Mèo</v>
      </c>
      <c r="G284" s="20" t="str">
        <f>vlookup($C284,CSDL!$A:$E,5,0)</f>
        <v/>
      </c>
      <c r="H284" s="16"/>
      <c r="I284" s="23" t="s">
        <v>59</v>
      </c>
      <c r="J284" s="23">
        <v>200.0</v>
      </c>
      <c r="K284" s="23">
        <v>1.0</v>
      </c>
      <c r="L284" s="22">
        <f t="shared" si="7"/>
        <v>200</v>
      </c>
      <c r="M284" s="23">
        <v>200.0</v>
      </c>
      <c r="N284" s="23" t="s">
        <v>101</v>
      </c>
      <c r="O284" s="24"/>
      <c r="P284" s="15"/>
      <c r="Q284" s="25"/>
    </row>
    <row r="285" ht="25.5" customHeight="1">
      <c r="A285" s="26"/>
      <c r="B285" s="28">
        <v>1242.0</v>
      </c>
      <c r="C285" s="17"/>
      <c r="D285" s="34" t="str">
        <f>vlookup($C285,CSDL!$A:$E,2,0)</f>
        <v>#N/A</v>
      </c>
      <c r="E285" s="19" t="str">
        <f>vlookup($C285,CSDL!$A:$E,3,0)</f>
        <v>#N/A</v>
      </c>
      <c r="F285" s="19" t="str">
        <f>vlookup($C285,CSDL!$A:$E,4,0)</f>
        <v>#N/A</v>
      </c>
      <c r="G285" s="27" t="str">
        <f>vlookup($C285,CSDL!$A:$E,5,0)</f>
        <v>#N/A</v>
      </c>
      <c r="H285" s="28"/>
      <c r="I285" s="29" t="s">
        <v>30</v>
      </c>
      <c r="J285" s="29">
        <v>120.0</v>
      </c>
      <c r="K285" s="29">
        <v>1.0</v>
      </c>
      <c r="L285" s="22">
        <f t="shared" si="7"/>
        <v>120</v>
      </c>
      <c r="M285" s="23">
        <v>120.0</v>
      </c>
      <c r="N285" s="29" t="s">
        <v>25</v>
      </c>
      <c r="O285" s="30" t="s">
        <v>275</v>
      </c>
      <c r="P285" s="31"/>
      <c r="Q285" s="32"/>
    </row>
    <row r="286" ht="25.5" customHeight="1">
      <c r="A286" s="15"/>
      <c r="B286" s="16">
        <v>1243.0</v>
      </c>
      <c r="C286" s="17" t="s">
        <v>122</v>
      </c>
      <c r="D286" s="34" t="str">
        <f>vlookup($C286,CSDL!$A:$E,2,0)</f>
        <v>Chị yến</v>
      </c>
      <c r="E286" s="19" t="str">
        <f>vlookup($C286,CSDL!$A:$E,3,0)</f>
        <v>Nguyễn Văn Đào</v>
      </c>
      <c r="F286" s="19" t="str">
        <f>vlookup($C286,CSDL!$A:$E,4,0)</f>
        <v>Chó</v>
      </c>
      <c r="G286" s="20" t="str">
        <f>vlookup($C286,CSDL!$A:$E,5,0)</f>
        <v>Kiki</v>
      </c>
      <c r="H286" s="16"/>
      <c r="I286" s="23" t="s">
        <v>95</v>
      </c>
      <c r="J286" s="23">
        <v>100.0</v>
      </c>
      <c r="K286" s="23">
        <v>1.0</v>
      </c>
      <c r="L286" s="22">
        <f t="shared" si="7"/>
        <v>100</v>
      </c>
      <c r="M286" s="23">
        <v>200.0</v>
      </c>
      <c r="N286" s="23" t="s">
        <v>25</v>
      </c>
      <c r="O286" s="24" t="s">
        <v>276</v>
      </c>
      <c r="P286" s="15"/>
      <c r="Q286" s="25"/>
    </row>
    <row r="287" ht="25.5" customHeight="1">
      <c r="A287" s="26"/>
      <c r="B287" s="28">
        <v>1243.0</v>
      </c>
      <c r="C287" s="17"/>
      <c r="D287" s="34" t="str">
        <f>vlookup($C287,CSDL!$A:$E,2,0)</f>
        <v>#N/A</v>
      </c>
      <c r="E287" s="19" t="str">
        <f>vlookup($C287,CSDL!$A:$E,3,0)</f>
        <v>#N/A</v>
      </c>
      <c r="F287" s="19" t="str">
        <f>vlookup($C287,CSDL!$A:$E,4,0)</f>
        <v>#N/A</v>
      </c>
      <c r="G287" s="27" t="str">
        <f>vlookup($C287,CSDL!$A:$E,5,0)</f>
        <v>#N/A</v>
      </c>
      <c r="H287" s="28"/>
      <c r="I287" s="29" t="s">
        <v>95</v>
      </c>
      <c r="J287" s="29">
        <v>100.0</v>
      </c>
      <c r="K287" s="29">
        <v>1.0</v>
      </c>
      <c r="L287" s="22">
        <f t="shared" si="7"/>
        <v>100</v>
      </c>
      <c r="M287" s="23"/>
      <c r="N287" s="29"/>
      <c r="O287" s="30"/>
      <c r="P287" s="31"/>
      <c r="Q287" s="32"/>
    </row>
    <row r="288" ht="25.5" customHeight="1">
      <c r="A288" s="33"/>
      <c r="B288" s="16">
        <v>1244.0</v>
      </c>
      <c r="C288" s="17"/>
      <c r="D288" s="18" t="s">
        <v>277</v>
      </c>
      <c r="E288" s="19" t="str">
        <f>vlookup($C288,CSDL!$A:$E,3,0)</f>
        <v>#N/A</v>
      </c>
      <c r="F288" s="37" t="s">
        <v>75</v>
      </c>
      <c r="G288" s="36" t="s">
        <v>278</v>
      </c>
      <c r="H288" s="16"/>
      <c r="I288" s="23" t="s">
        <v>81</v>
      </c>
      <c r="J288" s="23">
        <v>130.0</v>
      </c>
      <c r="K288" s="23">
        <v>1.0</v>
      </c>
      <c r="L288" s="22">
        <f t="shared" si="7"/>
        <v>130</v>
      </c>
      <c r="M288" s="23">
        <v>430.0</v>
      </c>
      <c r="N288" s="23" t="s">
        <v>65</v>
      </c>
      <c r="O288" s="24"/>
      <c r="P288" s="15"/>
      <c r="Q288" s="53"/>
    </row>
    <row r="289" ht="25.5" customHeight="1">
      <c r="A289" s="26"/>
      <c r="B289" s="28">
        <v>1244.0</v>
      </c>
      <c r="C289" s="17"/>
      <c r="D289" s="34" t="str">
        <f>vlookup($C289,CSDL!$A:$E,2,0)</f>
        <v>#N/A</v>
      </c>
      <c r="E289" s="19" t="str">
        <f>vlookup($C289,CSDL!$A:$E,3,0)</f>
        <v>#N/A</v>
      </c>
      <c r="F289" s="19" t="str">
        <f>vlookup($C289,CSDL!$A:$E,4,0)</f>
        <v>#N/A</v>
      </c>
      <c r="G289" s="27" t="str">
        <f>vlookup($C289,CSDL!$A:$E,5,0)</f>
        <v>#N/A</v>
      </c>
      <c r="H289" s="28"/>
      <c r="I289" s="29" t="s">
        <v>83</v>
      </c>
      <c r="J289" s="29">
        <v>300.0</v>
      </c>
      <c r="K289" s="29">
        <v>1.0</v>
      </c>
      <c r="L289" s="22">
        <f t="shared" si="7"/>
        <v>300</v>
      </c>
      <c r="M289" s="23"/>
      <c r="N289" s="29"/>
      <c r="O289" s="30"/>
      <c r="P289" s="31"/>
      <c r="Q289" s="32"/>
    </row>
    <row r="290" ht="25.5" customHeight="1">
      <c r="A290" s="33"/>
      <c r="B290" s="16"/>
      <c r="C290" s="17"/>
      <c r="D290" s="18" t="s">
        <v>21</v>
      </c>
      <c r="E290" s="19" t="str">
        <f>vlookup($C290,CSDL!$A:$E,3,0)</f>
        <v>#N/A</v>
      </c>
      <c r="F290" s="19" t="str">
        <f>vlookup($C290,CSDL!$A:$E,4,0)</f>
        <v>#N/A</v>
      </c>
      <c r="G290" s="20" t="str">
        <f>vlookup($C290,CSDL!$A:$E,5,0)</f>
        <v>#N/A</v>
      </c>
      <c r="H290" s="16"/>
      <c r="I290" s="23" t="s">
        <v>22</v>
      </c>
      <c r="J290" s="23">
        <v>20.0</v>
      </c>
      <c r="K290" s="23">
        <v>1.0</v>
      </c>
      <c r="L290" s="22">
        <f t="shared" si="7"/>
        <v>20</v>
      </c>
      <c r="M290" s="23">
        <v>20.0</v>
      </c>
      <c r="N290" s="23" t="s">
        <v>101</v>
      </c>
      <c r="O290" s="24"/>
      <c r="P290" s="33"/>
      <c r="Q290" s="25"/>
    </row>
    <row r="291" ht="25.5" customHeight="1">
      <c r="A291" s="26"/>
      <c r="B291" s="28">
        <v>1245.0</v>
      </c>
      <c r="C291" s="17"/>
      <c r="D291" s="18" t="s">
        <v>279</v>
      </c>
      <c r="E291" s="19" t="str">
        <f>vlookup($C291,CSDL!$A:$E,3,0)</f>
        <v>#N/A</v>
      </c>
      <c r="F291" s="37" t="s">
        <v>75</v>
      </c>
      <c r="G291" s="35" t="s">
        <v>280</v>
      </c>
      <c r="H291" s="28"/>
      <c r="I291" s="29" t="s">
        <v>24</v>
      </c>
      <c r="J291" s="29">
        <v>30.0</v>
      </c>
      <c r="K291" s="29">
        <v>5.0</v>
      </c>
      <c r="L291" s="22">
        <f t="shared" si="7"/>
        <v>150</v>
      </c>
      <c r="M291" s="23">
        <v>400.0</v>
      </c>
      <c r="N291" s="29" t="s">
        <v>25</v>
      </c>
      <c r="O291" s="30" t="s">
        <v>281</v>
      </c>
      <c r="P291" s="26"/>
      <c r="Q291" s="32"/>
    </row>
    <row r="292" ht="25.5" customHeight="1">
      <c r="A292" s="33"/>
      <c r="B292" s="16">
        <v>1245.0</v>
      </c>
      <c r="C292" s="17"/>
      <c r="D292" s="34" t="str">
        <f>vlookup($C292,CSDL!$A:$E,2,0)</f>
        <v>#N/A</v>
      </c>
      <c r="E292" s="19" t="str">
        <f>vlookup($C292,CSDL!$A:$E,3,0)</f>
        <v>#N/A</v>
      </c>
      <c r="F292" s="19" t="str">
        <f>vlookup($C292,CSDL!$A:$E,4,0)</f>
        <v>#N/A</v>
      </c>
      <c r="G292" s="20" t="str">
        <f>vlookup($C292,CSDL!$A:$E,5,0)</f>
        <v>#N/A</v>
      </c>
      <c r="H292" s="16"/>
      <c r="I292" s="23" t="s">
        <v>282</v>
      </c>
      <c r="J292" s="23">
        <v>250.0</v>
      </c>
      <c r="K292" s="23">
        <v>1.0</v>
      </c>
      <c r="L292" s="22">
        <f t="shared" si="7"/>
        <v>250</v>
      </c>
      <c r="M292" s="23"/>
      <c r="N292" s="23"/>
      <c r="O292" s="24"/>
      <c r="P292" s="33"/>
      <c r="Q292" s="25"/>
    </row>
    <row r="293" ht="25.5" customHeight="1">
      <c r="A293" s="26"/>
      <c r="B293" s="28">
        <v>1246.0</v>
      </c>
      <c r="C293" s="17" t="s">
        <v>283</v>
      </c>
      <c r="D293" s="34" t="str">
        <f>vlookup($C293,CSDL!$A:$E,2,0)</f>
        <v>Chị Linh</v>
      </c>
      <c r="E293" s="19" t="str">
        <f>vlookup($C293,CSDL!$A:$E,3,0)</f>
        <v/>
      </c>
      <c r="F293" s="19" t="str">
        <f>vlookup($C293,CSDL!$A:$E,4,0)</f>
        <v>Chó</v>
      </c>
      <c r="G293" s="27" t="str">
        <f>vlookup($C293,CSDL!$A:$E,5,0)</f>
        <v>Bông</v>
      </c>
      <c r="H293" s="28">
        <v>7.0</v>
      </c>
      <c r="I293" s="29" t="s">
        <v>177</v>
      </c>
      <c r="J293" s="29">
        <v>150.0</v>
      </c>
      <c r="K293" s="29">
        <v>1.0</v>
      </c>
      <c r="L293" s="22">
        <f t="shared" si="7"/>
        <v>150</v>
      </c>
      <c r="M293" s="23">
        <v>370.0</v>
      </c>
      <c r="N293" s="29" t="s">
        <v>25</v>
      </c>
      <c r="O293" s="30" t="s">
        <v>284</v>
      </c>
      <c r="P293" s="26"/>
      <c r="Q293" s="32"/>
    </row>
    <row r="294" ht="25.5" customHeight="1">
      <c r="A294" s="33"/>
      <c r="B294" s="16">
        <v>1246.0</v>
      </c>
      <c r="C294" s="17"/>
      <c r="D294" s="34" t="str">
        <f>vlookup($C294,CSDL!$A:$E,2,0)</f>
        <v>#N/A</v>
      </c>
      <c r="E294" s="19" t="str">
        <f>vlookup($C294,CSDL!$A:$E,3,0)</f>
        <v>#N/A</v>
      </c>
      <c r="F294" s="19" t="str">
        <f>vlookup($C294,CSDL!$A:$E,4,0)</f>
        <v>#N/A</v>
      </c>
      <c r="G294" s="20" t="str">
        <f>vlookup($C294,CSDL!$A:$E,5,0)</f>
        <v>#N/A</v>
      </c>
      <c r="H294" s="16"/>
      <c r="I294" s="23" t="s">
        <v>123</v>
      </c>
      <c r="J294" s="23">
        <v>100.0</v>
      </c>
      <c r="K294" s="23">
        <v>1.0</v>
      </c>
      <c r="L294" s="22">
        <f t="shared" si="7"/>
        <v>100</v>
      </c>
      <c r="M294" s="23">
        <v>120.0</v>
      </c>
      <c r="N294" s="23" t="s">
        <v>43</v>
      </c>
      <c r="O294" s="24"/>
      <c r="P294" s="15"/>
      <c r="Q294" s="25"/>
    </row>
    <row r="295" ht="25.5" customHeight="1">
      <c r="A295" s="26"/>
      <c r="B295" s="28">
        <v>1246.0</v>
      </c>
      <c r="C295" s="17"/>
      <c r="D295" s="34" t="str">
        <f>vlookup($C295,CSDL!$A:$E,2,0)</f>
        <v>#N/A</v>
      </c>
      <c r="E295" s="19" t="str">
        <f>vlookup($C295,CSDL!$A:$E,3,0)</f>
        <v>#N/A</v>
      </c>
      <c r="F295" s="19" t="str">
        <f>vlookup($C295,CSDL!$A:$E,4,0)</f>
        <v>#N/A</v>
      </c>
      <c r="G295" s="27" t="str">
        <f>vlookup($C295,CSDL!$A:$E,5,0)</f>
        <v>#N/A</v>
      </c>
      <c r="H295" s="28"/>
      <c r="I295" s="29" t="s">
        <v>30</v>
      </c>
      <c r="J295" s="29">
        <v>120.0</v>
      </c>
      <c r="K295" s="29">
        <v>2.0</v>
      </c>
      <c r="L295" s="22">
        <f t="shared" si="7"/>
        <v>240</v>
      </c>
      <c r="M295" s="23"/>
      <c r="N295" s="29"/>
      <c r="O295" s="30"/>
      <c r="P295" s="26"/>
      <c r="Q295" s="28"/>
    </row>
    <row r="296" ht="25.5" customHeight="1">
      <c r="A296" s="33"/>
      <c r="B296" s="16">
        <v>1247.0</v>
      </c>
      <c r="C296" s="17" t="s">
        <v>285</v>
      </c>
      <c r="D296" s="34" t="str">
        <f>vlookup($C296,CSDL!$A:$E,2,0)</f>
        <v>Thu Hà</v>
      </c>
      <c r="E296" s="19" t="str">
        <f>vlookup($C296,CSDL!$A:$E,3,0)</f>
        <v>K96 Thiên Tha</v>
      </c>
      <c r="F296" s="19" t="str">
        <f>vlookup($C296,CSDL!$A:$E,4,0)</f>
        <v>Chó</v>
      </c>
      <c r="G296" s="20" t="str">
        <f>vlookup($C296,CSDL!$A:$E,5,0)</f>
        <v>Nâu</v>
      </c>
      <c r="H296" s="16">
        <v>10.0</v>
      </c>
      <c r="I296" s="23" t="s">
        <v>191</v>
      </c>
      <c r="J296" s="23">
        <v>600.0</v>
      </c>
      <c r="K296" s="23">
        <v>1.0</v>
      </c>
      <c r="L296" s="22">
        <f t="shared" si="7"/>
        <v>600</v>
      </c>
      <c r="M296" s="23">
        <v>600.0</v>
      </c>
      <c r="N296" s="23" t="s">
        <v>25</v>
      </c>
      <c r="O296" s="24" t="s">
        <v>286</v>
      </c>
      <c r="P296" s="15"/>
      <c r="Q296" s="43"/>
    </row>
    <row r="297" ht="25.5" customHeight="1">
      <c r="A297" s="31"/>
      <c r="B297" s="28">
        <v>1247.0</v>
      </c>
      <c r="C297" s="17"/>
      <c r="D297" s="34" t="str">
        <f>vlookup($C297,CSDL!$A:$E,2,0)</f>
        <v>#N/A</v>
      </c>
      <c r="E297" s="19" t="str">
        <f>vlookup($C297,CSDL!$A:$E,3,0)</f>
        <v>#N/A</v>
      </c>
      <c r="F297" s="19" t="str">
        <f>vlookup($C297,CSDL!$A:$E,4,0)</f>
        <v>#N/A</v>
      </c>
      <c r="G297" s="27" t="str">
        <f>vlookup($C297,CSDL!$A:$E,5,0)</f>
        <v>#N/A</v>
      </c>
      <c r="H297" s="28"/>
      <c r="I297" s="29" t="s">
        <v>30</v>
      </c>
      <c r="J297" s="29">
        <v>120.0</v>
      </c>
      <c r="K297" s="29">
        <v>1.0</v>
      </c>
      <c r="L297" s="22">
        <f t="shared" si="7"/>
        <v>120</v>
      </c>
      <c r="M297" s="23">
        <v>120.0</v>
      </c>
      <c r="N297" s="29" t="s">
        <v>25</v>
      </c>
      <c r="O297" s="30" t="s">
        <v>287</v>
      </c>
      <c r="P297" s="31"/>
      <c r="Q297" s="32"/>
    </row>
    <row r="298" ht="25.5" customHeight="1">
      <c r="A298" s="42" t="s">
        <v>288</v>
      </c>
      <c r="B298" s="16"/>
      <c r="C298" s="17"/>
      <c r="D298" s="18"/>
      <c r="E298" s="19"/>
      <c r="F298" s="19"/>
      <c r="G298" s="20"/>
      <c r="H298" s="16"/>
      <c r="I298" s="23"/>
      <c r="J298" s="23"/>
      <c r="K298" s="23"/>
      <c r="L298" s="22"/>
      <c r="M298" s="23"/>
      <c r="N298" s="23"/>
      <c r="O298" s="24"/>
      <c r="P298" s="15"/>
      <c r="Q298" s="42">
        <f>sum(M174:M298)</f>
        <v>29855</v>
      </c>
    </row>
    <row r="299" ht="25.5" customHeight="1">
      <c r="A299" s="31">
        <v>45984.0</v>
      </c>
      <c r="B299" s="28"/>
      <c r="C299" s="17"/>
      <c r="D299" s="18" t="s">
        <v>21</v>
      </c>
      <c r="E299" s="19" t="str">
        <f>vlookup($C299,CSDL!$A:$E,3,0)</f>
        <v>#N/A</v>
      </c>
      <c r="F299" s="19" t="str">
        <f>vlookup($C299,CSDL!$A:$E,4,0)</f>
        <v>#N/A</v>
      </c>
      <c r="G299" s="27" t="str">
        <f>vlookup($C299,CSDL!$A:$E,5,0)</f>
        <v>#N/A</v>
      </c>
      <c r="H299" s="28"/>
      <c r="I299" s="29" t="s">
        <v>53</v>
      </c>
      <c r="J299" s="29">
        <v>10.0</v>
      </c>
      <c r="K299" s="29">
        <v>1.0</v>
      </c>
      <c r="L299" s="22">
        <f t="shared" ref="L299:L302" si="8">K299*J299</f>
        <v>10</v>
      </c>
      <c r="M299" s="23">
        <v>10.0</v>
      </c>
      <c r="N299" s="29" t="s">
        <v>43</v>
      </c>
      <c r="O299" s="30"/>
      <c r="P299" s="31"/>
      <c r="Q299" s="28"/>
    </row>
    <row r="300" ht="25.5" customHeight="1">
      <c r="A300" s="33"/>
      <c r="B300" s="16">
        <v>1248.0</v>
      </c>
      <c r="C300" s="17" t="s">
        <v>289</v>
      </c>
      <c r="D300" s="34" t="str">
        <f>vlookup($C300,CSDL!$A:$E,2,0)</f>
        <v>Em Hiệp</v>
      </c>
      <c r="E300" s="19" t="str">
        <f>vlookup($C300,CSDL!$A:$E,3,0)</f>
        <v>10/37/1 Hồ Văn Hiển</v>
      </c>
      <c r="F300" s="19" t="str">
        <f>vlookup($C300,CSDL!$A:$E,4,0)</f>
        <v>chó</v>
      </c>
      <c r="G300" s="20" t="str">
        <f>vlookup($C300,CSDL!$A:$E,5,0)</f>
        <v>bông</v>
      </c>
      <c r="H300" s="16">
        <v>3.0</v>
      </c>
      <c r="I300" s="23" t="s">
        <v>290</v>
      </c>
      <c r="J300" s="23">
        <v>150.0</v>
      </c>
      <c r="K300" s="23">
        <v>1.0</v>
      </c>
      <c r="L300" s="22">
        <f t="shared" si="8"/>
        <v>150</v>
      </c>
      <c r="M300" s="23">
        <v>270.0</v>
      </c>
      <c r="N300" s="23" t="s">
        <v>25</v>
      </c>
      <c r="O300" s="24" t="s">
        <v>291</v>
      </c>
      <c r="P300" s="15"/>
      <c r="Q300" s="16"/>
    </row>
    <row r="301" ht="25.5" customHeight="1">
      <c r="A301" s="26"/>
      <c r="B301" s="28">
        <v>1248.0</v>
      </c>
      <c r="C301" s="17"/>
      <c r="D301" s="34" t="str">
        <f>vlookup($C301,CSDL!$A:$E,2,0)</f>
        <v>#N/A</v>
      </c>
      <c r="E301" s="19" t="str">
        <f>vlookup($C301,CSDL!$A:$E,3,0)</f>
        <v>#N/A</v>
      </c>
      <c r="F301" s="19" t="str">
        <f>vlookup($C301,CSDL!$A:$E,4,0)</f>
        <v>#N/A</v>
      </c>
      <c r="G301" s="27" t="str">
        <f>vlookup($C301,CSDL!$A:$E,5,0)</f>
        <v>#N/A</v>
      </c>
      <c r="H301" s="28"/>
      <c r="I301" s="29" t="s">
        <v>59</v>
      </c>
      <c r="J301" s="29">
        <v>120.0</v>
      </c>
      <c r="K301" s="29">
        <v>3.0</v>
      </c>
      <c r="L301" s="22">
        <f t="shared" si="8"/>
        <v>360</v>
      </c>
      <c r="M301" s="23">
        <v>120.0</v>
      </c>
      <c r="N301" s="29" t="s">
        <v>25</v>
      </c>
      <c r="O301" s="30" t="s">
        <v>292</v>
      </c>
      <c r="P301" s="26"/>
      <c r="Q301" s="32"/>
    </row>
    <row r="302" ht="25.5" customHeight="1">
      <c r="A302" s="33"/>
      <c r="B302" s="16">
        <v>1248.0</v>
      </c>
      <c r="C302" s="17"/>
      <c r="D302" s="34" t="str">
        <f>vlookup($C302,CSDL!$A:$E,2,0)</f>
        <v>#N/A</v>
      </c>
      <c r="E302" s="19" t="str">
        <f>vlookup($C302,CSDL!$A:$E,3,0)</f>
        <v>#N/A</v>
      </c>
      <c r="F302" s="19" t="str">
        <f>vlookup($C302,CSDL!$A:$E,4,0)</f>
        <v>#N/A</v>
      </c>
      <c r="G302" s="20" t="str">
        <f>vlookup($C302,CSDL!$A:$E,5,0)</f>
        <v>#N/A</v>
      </c>
      <c r="H302" s="16"/>
      <c r="I302" s="23"/>
      <c r="J302" s="23"/>
      <c r="K302" s="23"/>
      <c r="L302" s="22">
        <f t="shared" si="8"/>
        <v>0</v>
      </c>
      <c r="M302" s="23">
        <v>120.0</v>
      </c>
      <c r="N302" s="23" t="s">
        <v>25</v>
      </c>
      <c r="O302" s="24" t="s">
        <v>293</v>
      </c>
      <c r="P302" s="33"/>
      <c r="Q302" s="25"/>
    </row>
    <row r="303" ht="25.5" customHeight="1">
      <c r="A303" s="26"/>
      <c r="B303" s="28">
        <v>1248.0</v>
      </c>
      <c r="C303" s="17"/>
      <c r="D303" s="34"/>
      <c r="E303" s="19"/>
      <c r="F303" s="19"/>
      <c r="G303" s="27"/>
      <c r="H303" s="28"/>
      <c r="I303" s="29"/>
      <c r="J303" s="29"/>
      <c r="K303" s="29"/>
      <c r="L303" s="22"/>
      <c r="M303" s="23">
        <v>120.0</v>
      </c>
      <c r="N303" s="29" t="s">
        <v>25</v>
      </c>
      <c r="O303" s="30" t="s">
        <v>294</v>
      </c>
      <c r="P303" s="26"/>
      <c r="Q303" s="32"/>
    </row>
    <row r="304" ht="25.5" customHeight="1">
      <c r="A304" s="33"/>
      <c r="B304" s="16">
        <v>1248.0</v>
      </c>
      <c r="C304" s="17"/>
      <c r="D304" s="34"/>
      <c r="E304" s="19"/>
      <c r="F304" s="19"/>
      <c r="G304" s="20"/>
      <c r="H304" s="16"/>
      <c r="I304" s="23"/>
      <c r="J304" s="23"/>
      <c r="K304" s="23"/>
      <c r="L304" s="22"/>
      <c r="M304" s="23">
        <v>320.0</v>
      </c>
      <c r="N304" s="23" t="s">
        <v>25</v>
      </c>
      <c r="O304" s="24" t="s">
        <v>295</v>
      </c>
      <c r="P304" s="33"/>
      <c r="Q304" s="25"/>
    </row>
    <row r="305" ht="25.5" customHeight="1">
      <c r="A305" s="26"/>
      <c r="B305" s="28">
        <v>1249.0</v>
      </c>
      <c r="C305" s="17" t="s">
        <v>296</v>
      </c>
      <c r="D305" s="34" t="str">
        <f>vlookup($C305,CSDL!$A:$E,2,0)</f>
        <v>Chị Ngọc Anh</v>
      </c>
      <c r="E305" s="19" t="str">
        <f>vlookup($C305,CSDL!$A:$E,3,0)</f>
        <v>55/9 Vạn Xuân</v>
      </c>
      <c r="F305" s="19" t="str">
        <f>vlookup($C305,CSDL!$A:$E,4,0)</f>
        <v>Chó</v>
      </c>
      <c r="G305" s="27" t="str">
        <f>vlookup($C305,CSDL!$A:$E,5,0)</f>
        <v>Tóc</v>
      </c>
      <c r="H305" s="28"/>
      <c r="I305" s="29" t="s">
        <v>52</v>
      </c>
      <c r="J305" s="29">
        <v>180.0</v>
      </c>
      <c r="K305" s="29">
        <v>1.0</v>
      </c>
      <c r="L305" s="22">
        <f t="shared" ref="L305:L913" si="9">K305*J305</f>
        <v>180</v>
      </c>
      <c r="M305" s="23">
        <v>180.0</v>
      </c>
      <c r="N305" s="29" t="s">
        <v>25</v>
      </c>
      <c r="O305" s="30" t="s">
        <v>297</v>
      </c>
      <c r="P305" s="26"/>
      <c r="Q305" s="32"/>
    </row>
    <row r="306" ht="25.5" customHeight="1">
      <c r="A306" s="42"/>
      <c r="B306" s="16">
        <v>1250.0</v>
      </c>
      <c r="C306" s="17" t="s">
        <v>298</v>
      </c>
      <c r="D306" s="34" t="str">
        <f>vlookup($C306,CSDL!$A:$E,2,0)</f>
        <v>Anh Phúc</v>
      </c>
      <c r="E306" s="19" t="str">
        <f>vlookup($C306,CSDL!$A:$E,3,0)</f>
        <v>Nguyễn Hoàng</v>
      </c>
      <c r="F306" s="19" t="str">
        <f>vlookup($C306,CSDL!$A:$E,4,0)</f>
        <v>chó</v>
      </c>
      <c r="G306" s="36" t="s">
        <v>299</v>
      </c>
      <c r="H306" s="16"/>
      <c r="I306" s="23" t="s">
        <v>95</v>
      </c>
      <c r="J306" s="23">
        <v>100.0</v>
      </c>
      <c r="K306" s="23">
        <v>1.0</v>
      </c>
      <c r="L306" s="22">
        <f t="shared" si="9"/>
        <v>100</v>
      </c>
      <c r="M306" s="23">
        <v>300.0</v>
      </c>
      <c r="N306" s="23" t="s">
        <v>25</v>
      </c>
      <c r="O306" s="24" t="s">
        <v>300</v>
      </c>
      <c r="P306" s="33"/>
      <c r="Q306" s="43"/>
    </row>
    <row r="307" ht="25.5" customHeight="1">
      <c r="A307" s="31"/>
      <c r="B307" s="28">
        <v>1250.0</v>
      </c>
      <c r="C307" s="17"/>
      <c r="D307" s="34" t="str">
        <f>vlookup($C307,CSDL!$A:$E,2,0)</f>
        <v>#N/A</v>
      </c>
      <c r="E307" s="19" t="str">
        <f>vlookup($C307,CSDL!$A:$E,3,0)</f>
        <v>#N/A</v>
      </c>
      <c r="F307" s="19" t="str">
        <f>vlookup($C307,CSDL!$A:$E,4,0)</f>
        <v>#N/A</v>
      </c>
      <c r="G307" s="27" t="str">
        <f>vlookup($C307,CSDL!$A:$E,5,0)</f>
        <v>#N/A</v>
      </c>
      <c r="H307" s="28"/>
      <c r="I307" s="29" t="s">
        <v>52</v>
      </c>
      <c r="J307" s="29">
        <v>180.0</v>
      </c>
      <c r="K307" s="29">
        <v>1.0</v>
      </c>
      <c r="L307" s="22">
        <f t="shared" si="9"/>
        <v>180</v>
      </c>
      <c r="M307" s="23">
        <v>28.0</v>
      </c>
      <c r="N307" s="29" t="s">
        <v>34</v>
      </c>
      <c r="O307" s="30"/>
      <c r="P307" s="26"/>
      <c r="Q307" s="32"/>
    </row>
    <row r="308" ht="25.5" customHeight="1">
      <c r="A308" s="33"/>
      <c r="B308" s="16">
        <v>1250.0</v>
      </c>
      <c r="C308" s="17"/>
      <c r="D308" s="34" t="str">
        <f>vlookup($C308,CSDL!$A:$E,2,0)</f>
        <v>#N/A</v>
      </c>
      <c r="E308" s="19" t="str">
        <f>vlookup($C308,CSDL!$A:$E,3,0)</f>
        <v>#N/A</v>
      </c>
      <c r="F308" s="19" t="str">
        <f>vlookup($C308,CSDL!$A:$E,4,0)</f>
        <v>#N/A</v>
      </c>
      <c r="G308" s="20" t="str">
        <f>vlookup($C308,CSDL!$A:$E,5,0)</f>
        <v>#N/A</v>
      </c>
      <c r="H308" s="16"/>
      <c r="I308" s="23" t="s">
        <v>22</v>
      </c>
      <c r="J308" s="23">
        <v>20.0</v>
      </c>
      <c r="K308" s="23">
        <v>1.0</v>
      </c>
      <c r="L308" s="22">
        <f t="shared" si="9"/>
        <v>20</v>
      </c>
      <c r="M308" s="23"/>
      <c r="N308" s="23"/>
      <c r="O308" s="24"/>
      <c r="P308" s="33"/>
      <c r="Q308" s="25"/>
    </row>
    <row r="309" ht="25.5" customHeight="1">
      <c r="A309" s="31"/>
      <c r="B309" s="28">
        <v>1250.0</v>
      </c>
      <c r="C309" s="17"/>
      <c r="D309" s="34" t="str">
        <f>vlookup($C309,CSDL!$A:$E,2,0)</f>
        <v>#N/A</v>
      </c>
      <c r="E309" s="19" t="str">
        <f>vlookup($C309,CSDL!$A:$E,3,0)</f>
        <v>#N/A</v>
      </c>
      <c r="F309" s="19" t="str">
        <f>vlookup($C309,CSDL!$A:$E,4,0)</f>
        <v>#N/A</v>
      </c>
      <c r="G309" s="27" t="str">
        <f>vlookup($C309,CSDL!$A:$E,5,0)</f>
        <v>#N/A</v>
      </c>
      <c r="H309" s="28"/>
      <c r="I309" s="29" t="s">
        <v>33</v>
      </c>
      <c r="J309" s="29">
        <v>28.0</v>
      </c>
      <c r="K309" s="29">
        <v>1.0</v>
      </c>
      <c r="L309" s="22">
        <f t="shared" si="9"/>
        <v>28</v>
      </c>
      <c r="M309" s="23"/>
      <c r="N309" s="29"/>
      <c r="O309" s="30"/>
      <c r="P309" s="26"/>
      <c r="Q309" s="28"/>
    </row>
    <row r="310" ht="25.5" customHeight="1">
      <c r="A310" s="15"/>
      <c r="B310" s="16"/>
      <c r="C310" s="17"/>
      <c r="D310" s="18" t="s">
        <v>21</v>
      </c>
      <c r="E310" s="19" t="str">
        <f>vlookup($C310,CSDL!$A:$E,3,0)</f>
        <v>#N/A</v>
      </c>
      <c r="F310" s="19" t="str">
        <f>vlookup($C310,CSDL!$A:$E,4,0)</f>
        <v>#N/A</v>
      </c>
      <c r="G310" s="20" t="str">
        <f>vlookup($C310,CSDL!$A:$E,5,0)</f>
        <v>#N/A</v>
      </c>
      <c r="H310" s="16"/>
      <c r="I310" s="23" t="s">
        <v>53</v>
      </c>
      <c r="J310" s="23">
        <v>33.0</v>
      </c>
      <c r="K310" s="23">
        <v>1.0</v>
      </c>
      <c r="L310" s="22">
        <f t="shared" si="9"/>
        <v>33</v>
      </c>
      <c r="M310" s="23">
        <v>33.0</v>
      </c>
      <c r="N310" s="23" t="s">
        <v>101</v>
      </c>
      <c r="O310" s="24"/>
      <c r="P310" s="33"/>
      <c r="Q310" s="16"/>
    </row>
    <row r="311" ht="25.5" customHeight="1">
      <c r="A311" s="26"/>
      <c r="B311" s="28">
        <v>1251.0</v>
      </c>
      <c r="C311" s="17" t="s">
        <v>301</v>
      </c>
      <c r="D311" s="34" t="str">
        <f>vlookup($C311,CSDL!$A:$E,2,0)</f>
        <v>Anh Hân-chị Diệp</v>
      </c>
      <c r="E311" s="19" t="str">
        <f>vlookup($C311,CSDL!$A:$E,3,0)</f>
        <v>hùng vương</v>
      </c>
      <c r="F311" s="19" t="str">
        <f>vlookup($C311,CSDL!$A:$E,4,0)</f>
        <v>chó</v>
      </c>
      <c r="G311" s="35" t="s">
        <v>302</v>
      </c>
      <c r="H311" s="28">
        <v>15.0</v>
      </c>
      <c r="I311" s="29" t="s">
        <v>56</v>
      </c>
      <c r="J311" s="29">
        <v>2200.0</v>
      </c>
      <c r="K311" s="29">
        <v>1.0</v>
      </c>
      <c r="L311" s="22">
        <f t="shared" si="9"/>
        <v>2200</v>
      </c>
      <c r="M311" s="23">
        <v>2200.0</v>
      </c>
      <c r="N311" s="29" t="s">
        <v>43</v>
      </c>
      <c r="O311" s="30"/>
      <c r="P311" s="26"/>
      <c r="Q311" s="28"/>
    </row>
    <row r="312" ht="25.5" customHeight="1">
      <c r="A312" s="33"/>
      <c r="B312" s="16">
        <v>1252.0</v>
      </c>
      <c r="C312" s="17" t="s">
        <v>303</v>
      </c>
      <c r="D312" s="34" t="str">
        <f>vlookup($C312,CSDL!$A:$E,2,0)</f>
        <v>Chị Giang</v>
      </c>
      <c r="E312" s="19" t="str">
        <f>vlookup($C312,CSDL!$A:$E,3,0)</f>
        <v>17 Sư Vạn Hạnh</v>
      </c>
      <c r="F312" s="19" t="str">
        <f>vlookup($C312,CSDL!$A:$E,4,0)</f>
        <v>Mèo</v>
      </c>
      <c r="G312" s="20" t="str">
        <f>vlookup($C312,CSDL!$A:$E,5,0)</f>
        <v/>
      </c>
      <c r="H312" s="16"/>
      <c r="I312" s="23" t="s">
        <v>22</v>
      </c>
      <c r="J312" s="23">
        <v>30.0</v>
      </c>
      <c r="K312" s="23">
        <v>1.0</v>
      </c>
      <c r="L312" s="22">
        <f t="shared" si="9"/>
        <v>30</v>
      </c>
      <c r="M312" s="23">
        <v>100.0</v>
      </c>
      <c r="N312" s="23" t="s">
        <v>101</v>
      </c>
      <c r="O312" s="24"/>
      <c r="P312" s="15"/>
      <c r="Q312" s="16"/>
    </row>
    <row r="313" ht="25.5" customHeight="1">
      <c r="A313" s="26"/>
      <c r="B313" s="28">
        <v>1252.0</v>
      </c>
      <c r="C313" s="17"/>
      <c r="D313" s="34" t="str">
        <f>vlookup($C313,CSDL!$A:$E,2,0)</f>
        <v>#N/A</v>
      </c>
      <c r="E313" s="19" t="str">
        <f>vlookup($C313,CSDL!$A:$E,3,0)</f>
        <v>#N/A</v>
      </c>
      <c r="F313" s="19" t="str">
        <f>vlookup($C313,CSDL!$A:$E,4,0)</f>
        <v>#N/A</v>
      </c>
      <c r="G313" s="27" t="str">
        <f>vlookup($C313,CSDL!$A:$E,5,0)</f>
        <v>#N/A</v>
      </c>
      <c r="H313" s="28"/>
      <c r="I313" s="29" t="s">
        <v>30</v>
      </c>
      <c r="J313" s="29">
        <v>100.0</v>
      </c>
      <c r="K313" s="29">
        <v>2.0</v>
      </c>
      <c r="L313" s="22">
        <f t="shared" si="9"/>
        <v>200</v>
      </c>
      <c r="M313" s="23">
        <v>100.0</v>
      </c>
      <c r="N313" s="29" t="s">
        <v>25</v>
      </c>
      <c r="O313" s="30" t="s">
        <v>304</v>
      </c>
      <c r="P313" s="26"/>
      <c r="Q313" s="28"/>
    </row>
    <row r="314" ht="25.5" customHeight="1">
      <c r="A314" s="33"/>
      <c r="B314" s="16">
        <v>1252.0</v>
      </c>
      <c r="C314" s="17"/>
      <c r="D314" s="34" t="str">
        <f>vlookup($C314,CSDL!$A:$E,2,0)</f>
        <v>#N/A</v>
      </c>
      <c r="E314" s="19" t="str">
        <f>vlookup($C314,CSDL!$A:$E,3,0)</f>
        <v>#N/A</v>
      </c>
      <c r="F314" s="19" t="str">
        <f>vlookup($C314,CSDL!$A:$E,4,0)</f>
        <v>#N/A</v>
      </c>
      <c r="G314" s="20" t="str">
        <f>vlookup($C314,CSDL!$A:$E,5,0)</f>
        <v>#N/A</v>
      </c>
      <c r="H314" s="16"/>
      <c r="I314" s="23" t="s">
        <v>30</v>
      </c>
      <c r="J314" s="23">
        <v>80.0</v>
      </c>
      <c r="K314" s="23">
        <v>2.0</v>
      </c>
      <c r="L314" s="22">
        <f t="shared" si="9"/>
        <v>160</v>
      </c>
      <c r="M314" s="23">
        <v>180.0</v>
      </c>
      <c r="N314" s="23" t="s">
        <v>101</v>
      </c>
      <c r="O314" s="24"/>
      <c r="P314" s="33"/>
      <c r="Q314" s="25"/>
    </row>
    <row r="315" ht="25.5" customHeight="1">
      <c r="A315" s="31">
        <v>45985.0</v>
      </c>
      <c r="B315" s="28"/>
      <c r="C315" s="17"/>
      <c r="D315" s="18" t="s">
        <v>21</v>
      </c>
      <c r="E315" s="19" t="str">
        <f>vlookup($C315,CSDL!$A:$E,3,0)</f>
        <v>#N/A</v>
      </c>
      <c r="F315" s="19" t="str">
        <f>vlookup($C315,CSDL!$A:$E,4,0)</f>
        <v>#N/A</v>
      </c>
      <c r="G315" s="27" t="str">
        <f>vlookup($C315,CSDL!$A:$E,5,0)</f>
        <v>#N/A</v>
      </c>
      <c r="H315" s="28"/>
      <c r="I315" s="29" t="s">
        <v>24</v>
      </c>
      <c r="J315" s="29">
        <v>50.0</v>
      </c>
      <c r="K315" s="29">
        <v>16.0</v>
      </c>
      <c r="L315" s="22">
        <f t="shared" si="9"/>
        <v>800</v>
      </c>
      <c r="M315" s="23">
        <v>800.0</v>
      </c>
      <c r="N315" s="29" t="s">
        <v>25</v>
      </c>
      <c r="O315" s="30" t="s">
        <v>305</v>
      </c>
      <c r="P315" s="26"/>
      <c r="Q315" s="32"/>
    </row>
    <row r="316" ht="25.5" customHeight="1">
      <c r="A316" s="15"/>
      <c r="B316" s="16"/>
      <c r="C316" s="17"/>
      <c r="D316" s="34" t="str">
        <f>vlookup($C316,CSDL!$A:$E,2,0)</f>
        <v>#N/A</v>
      </c>
      <c r="E316" s="19" t="str">
        <f>vlookup($C316,CSDL!$A:$E,3,0)</f>
        <v>#N/A</v>
      </c>
      <c r="F316" s="19" t="str">
        <f>vlookup($C316,CSDL!$A:$E,4,0)</f>
        <v>#N/A</v>
      </c>
      <c r="G316" s="20" t="str">
        <f>vlookup($C316,CSDL!$A:$E,5,0)</f>
        <v>#N/A</v>
      </c>
      <c r="H316" s="16"/>
      <c r="I316" s="23" t="s">
        <v>33</v>
      </c>
      <c r="J316" s="23">
        <v>65.0</v>
      </c>
      <c r="K316" s="23">
        <v>1.0</v>
      </c>
      <c r="L316" s="22">
        <f t="shared" si="9"/>
        <v>65</v>
      </c>
      <c r="M316" s="23">
        <v>65.0</v>
      </c>
      <c r="N316" s="23" t="s">
        <v>34</v>
      </c>
      <c r="O316" s="24"/>
      <c r="P316" s="33"/>
      <c r="Q316" s="25"/>
    </row>
    <row r="317" ht="25.5" customHeight="1">
      <c r="A317" s="26"/>
      <c r="B317" s="28"/>
      <c r="C317" s="17"/>
      <c r="D317" s="18" t="s">
        <v>21</v>
      </c>
      <c r="E317" s="19" t="str">
        <f>vlookup($C317,CSDL!$A:$E,3,0)</f>
        <v>#N/A</v>
      </c>
      <c r="F317" s="19" t="str">
        <f>vlookup($C317,CSDL!$A:$E,4,0)</f>
        <v>#N/A</v>
      </c>
      <c r="G317" s="27" t="str">
        <f>vlookup($C317,CSDL!$A:$E,5,0)</f>
        <v>#N/A</v>
      </c>
      <c r="H317" s="28"/>
      <c r="I317" s="29" t="s">
        <v>22</v>
      </c>
      <c r="J317" s="29">
        <v>20.0</v>
      </c>
      <c r="K317" s="29">
        <v>1.0</v>
      </c>
      <c r="L317" s="22">
        <f t="shared" si="9"/>
        <v>20</v>
      </c>
      <c r="M317" s="23">
        <v>20.0</v>
      </c>
      <c r="N317" s="29" t="s">
        <v>43</v>
      </c>
      <c r="O317" s="30"/>
      <c r="P317" s="26"/>
      <c r="Q317" s="32"/>
    </row>
    <row r="318" ht="25.5" customHeight="1">
      <c r="A318" s="33"/>
      <c r="B318" s="16"/>
      <c r="C318" s="17"/>
      <c r="D318" s="18" t="s">
        <v>21</v>
      </c>
      <c r="E318" s="19" t="str">
        <f>vlookup($C318,CSDL!$A:$E,3,0)</f>
        <v>#N/A</v>
      </c>
      <c r="F318" s="19" t="str">
        <f>vlookup($C318,CSDL!$A:$E,4,0)</f>
        <v>#N/A</v>
      </c>
      <c r="G318" s="20" t="str">
        <f>vlookup($C318,CSDL!$A:$E,5,0)</f>
        <v>#N/A</v>
      </c>
      <c r="H318" s="16"/>
      <c r="I318" s="23" t="s">
        <v>24</v>
      </c>
      <c r="J318" s="23">
        <v>25.0</v>
      </c>
      <c r="K318" s="23">
        <v>7.0</v>
      </c>
      <c r="L318" s="22">
        <f t="shared" si="9"/>
        <v>175</v>
      </c>
      <c r="M318" s="23">
        <v>175.0</v>
      </c>
      <c r="N318" s="23" t="s">
        <v>25</v>
      </c>
      <c r="O318" s="24" t="s">
        <v>306</v>
      </c>
      <c r="P318" s="33"/>
      <c r="Q318" s="25"/>
    </row>
    <row r="319" ht="25.5" customHeight="1">
      <c r="A319" s="26"/>
      <c r="B319" s="28">
        <v>1253.0</v>
      </c>
      <c r="C319" s="17" t="s">
        <v>307</v>
      </c>
      <c r="D319" s="34" t="str">
        <f>vlookup($C319,CSDL!$A:$E,2,0)</f>
        <v>Anh Sang</v>
      </c>
      <c r="E319" s="19" t="str">
        <f>vlookup($C319,CSDL!$A:$E,3,0)</f>
        <v/>
      </c>
      <c r="F319" s="19" t="str">
        <f>vlookup($C319,CSDL!$A:$E,4,0)</f>
        <v>Chó</v>
      </c>
      <c r="G319" s="27" t="str">
        <f>vlookup($C319,CSDL!$A:$E,5,0)</f>
        <v/>
      </c>
      <c r="H319" s="28"/>
      <c r="I319" s="29" t="s">
        <v>308</v>
      </c>
      <c r="J319" s="29">
        <v>300.0</v>
      </c>
      <c r="K319" s="29">
        <v>1.0</v>
      </c>
      <c r="L319" s="22">
        <f t="shared" si="9"/>
        <v>300</v>
      </c>
      <c r="M319" s="29">
        <v>300.0</v>
      </c>
      <c r="N319" s="29" t="s">
        <v>43</v>
      </c>
      <c r="O319" s="30"/>
      <c r="P319" s="26"/>
      <c r="Q319" s="32"/>
    </row>
    <row r="320" ht="25.5" customHeight="1">
      <c r="A320" s="15">
        <v>45986.0</v>
      </c>
      <c r="B320" s="16"/>
      <c r="C320" s="17"/>
      <c r="D320" s="18" t="s">
        <v>21</v>
      </c>
      <c r="E320" s="19" t="str">
        <f>vlookup($C320,CSDL!$A:$E,3,0)</f>
        <v>#N/A</v>
      </c>
      <c r="F320" s="19" t="str">
        <f>vlookup($C320,CSDL!$A:$E,4,0)</f>
        <v>#N/A</v>
      </c>
      <c r="G320" s="20" t="str">
        <f>vlookup($C320,CSDL!$A:$E,5,0)</f>
        <v>#N/A</v>
      </c>
      <c r="H320" s="16"/>
      <c r="I320" s="23" t="s">
        <v>24</v>
      </c>
      <c r="J320" s="23">
        <v>30.0</v>
      </c>
      <c r="K320" s="23">
        <v>14.0</v>
      </c>
      <c r="L320" s="22">
        <f t="shared" si="9"/>
        <v>420</v>
      </c>
      <c r="M320" s="23">
        <v>420.0</v>
      </c>
      <c r="N320" s="23" t="s">
        <v>65</v>
      </c>
      <c r="O320" s="24"/>
      <c r="P320" s="33"/>
      <c r="Q320" s="43"/>
    </row>
    <row r="321" ht="25.5" customHeight="1">
      <c r="A321" s="26"/>
      <c r="B321" s="28"/>
      <c r="C321" s="17"/>
      <c r="D321" s="18" t="s">
        <v>21</v>
      </c>
      <c r="E321" s="19" t="str">
        <f>vlookup($C321,CSDL!$A:$E,3,0)</f>
        <v>#N/A</v>
      </c>
      <c r="F321" s="19" t="str">
        <f>vlookup($C321,CSDL!$A:$E,4,0)</f>
        <v>#N/A</v>
      </c>
      <c r="G321" s="27" t="str">
        <f>vlookup($C321,CSDL!$A:$E,5,0)</f>
        <v>#N/A</v>
      </c>
      <c r="H321" s="28"/>
      <c r="I321" s="29" t="s">
        <v>30</v>
      </c>
      <c r="J321" s="29">
        <v>150.0</v>
      </c>
      <c r="K321" s="29">
        <v>1.0</v>
      </c>
      <c r="L321" s="22">
        <f t="shared" si="9"/>
        <v>150</v>
      </c>
      <c r="M321" s="29">
        <v>150.0</v>
      </c>
      <c r="N321" s="29" t="s">
        <v>101</v>
      </c>
      <c r="O321" s="30"/>
      <c r="P321" s="26"/>
      <c r="Q321" s="40"/>
    </row>
    <row r="322" ht="25.5" customHeight="1">
      <c r="A322" s="15">
        <v>45987.0</v>
      </c>
      <c r="B322" s="16"/>
      <c r="C322" s="17"/>
      <c r="D322" s="18" t="s">
        <v>21</v>
      </c>
      <c r="E322" s="19" t="str">
        <f>vlookup($C322,CSDL!$A:$E,3,0)</f>
        <v>#N/A</v>
      </c>
      <c r="F322" s="19" t="str">
        <f>vlookup($C322,CSDL!$A:$E,4,0)</f>
        <v>#N/A</v>
      </c>
      <c r="G322" s="20" t="str">
        <f>vlookup($C322,CSDL!$A:$E,5,0)</f>
        <v>#N/A</v>
      </c>
      <c r="H322" s="16"/>
      <c r="I322" s="23" t="s">
        <v>166</v>
      </c>
      <c r="J322" s="23">
        <v>50.0</v>
      </c>
      <c r="K322" s="23">
        <v>1.0</v>
      </c>
      <c r="L322" s="22">
        <f t="shared" si="9"/>
        <v>50</v>
      </c>
      <c r="M322" s="23">
        <v>50.0</v>
      </c>
      <c r="N322" s="23" t="s">
        <v>25</v>
      </c>
      <c r="O322" s="24" t="s">
        <v>309</v>
      </c>
      <c r="P322" s="33"/>
      <c r="Q322" s="25"/>
    </row>
    <row r="323" ht="25.5" customHeight="1">
      <c r="A323" s="26"/>
      <c r="B323" s="28"/>
      <c r="C323" s="17"/>
      <c r="D323" s="18" t="s">
        <v>21</v>
      </c>
      <c r="E323" s="19" t="str">
        <f>vlookup($C323,CSDL!$A:$E,3,0)</f>
        <v>#N/A</v>
      </c>
      <c r="F323" s="19" t="str">
        <f>vlookup($C323,CSDL!$A:$E,4,0)</f>
        <v>#N/A</v>
      </c>
      <c r="G323" s="27" t="str">
        <f>vlookup($C323,CSDL!$A:$E,5,0)</f>
        <v>#N/A</v>
      </c>
      <c r="H323" s="28"/>
      <c r="I323" s="29" t="s">
        <v>53</v>
      </c>
      <c r="J323" s="29">
        <v>40.0</v>
      </c>
      <c r="K323" s="29">
        <v>1.0</v>
      </c>
      <c r="L323" s="22">
        <f t="shared" si="9"/>
        <v>40</v>
      </c>
      <c r="M323" s="29">
        <v>40.0</v>
      </c>
      <c r="N323" s="29" t="s">
        <v>43</v>
      </c>
      <c r="O323" s="30"/>
      <c r="P323" s="26"/>
      <c r="Q323" s="32"/>
    </row>
    <row r="324" ht="25.5" customHeight="1">
      <c r="A324" s="33"/>
      <c r="B324" s="16">
        <v>1254.0</v>
      </c>
      <c r="C324" s="17" t="s">
        <v>310</v>
      </c>
      <c r="D324" s="34" t="str">
        <f>vlookup($C324,CSDL!$A:$E,2,0)</f>
        <v>Bác Thước</v>
      </c>
      <c r="E324" s="19" t="str">
        <f>vlookup($C324,CSDL!$A:$E,3,0)</f>
        <v>90 Nguyễn Phúc Nguyên</v>
      </c>
      <c r="F324" s="19" t="str">
        <f>vlookup($C324,CSDL!$A:$E,4,0)</f>
        <v>Mèo</v>
      </c>
      <c r="G324" s="20" t="str">
        <f>vlookup($C324,CSDL!$A:$E,5,0)</f>
        <v>Miumiu</v>
      </c>
      <c r="H324" s="16"/>
      <c r="I324" s="23" t="s">
        <v>134</v>
      </c>
      <c r="J324" s="23">
        <v>400.0</v>
      </c>
      <c r="K324" s="23">
        <v>1.0</v>
      </c>
      <c r="L324" s="22">
        <f t="shared" si="9"/>
        <v>400</v>
      </c>
      <c r="M324" s="23">
        <v>610.0</v>
      </c>
      <c r="N324" s="23" t="s">
        <v>65</v>
      </c>
      <c r="O324" s="24"/>
      <c r="P324" s="33"/>
      <c r="Q324" s="25"/>
    </row>
    <row r="325" ht="25.5" customHeight="1">
      <c r="A325" s="26"/>
      <c r="B325" s="28">
        <v>1254.0</v>
      </c>
      <c r="C325" s="17"/>
      <c r="D325" s="34" t="str">
        <f>vlookup($C325,CSDL!$A:$E,2,0)</f>
        <v>#N/A</v>
      </c>
      <c r="E325" s="19" t="str">
        <f>vlookup($C325,CSDL!$A:$E,3,0)</f>
        <v>#N/A</v>
      </c>
      <c r="F325" s="19" t="str">
        <f>vlookup($C325,CSDL!$A:$E,4,0)</f>
        <v>#N/A</v>
      </c>
      <c r="G325" s="27" t="str">
        <f>vlookup($C325,CSDL!$A:$E,5,0)</f>
        <v>#N/A</v>
      </c>
      <c r="H325" s="28"/>
      <c r="I325" s="29" t="s">
        <v>311</v>
      </c>
      <c r="J325" s="29">
        <v>210.0</v>
      </c>
      <c r="K325" s="29">
        <v>1.0</v>
      </c>
      <c r="L325" s="22">
        <f t="shared" si="9"/>
        <v>210</v>
      </c>
      <c r="M325" s="29"/>
      <c r="N325" s="29"/>
      <c r="O325" s="30"/>
      <c r="P325" s="26"/>
      <c r="Q325" s="32"/>
    </row>
    <row r="326" ht="25.5" customHeight="1">
      <c r="A326" s="33"/>
      <c r="B326" s="16"/>
      <c r="C326" s="17"/>
      <c r="D326" s="18" t="s">
        <v>21</v>
      </c>
      <c r="E326" s="19" t="str">
        <f>vlookup($C326,CSDL!$A:$E,3,0)</f>
        <v>#N/A</v>
      </c>
      <c r="F326" s="19" t="str">
        <f>vlookup($C326,CSDL!$A:$E,4,0)</f>
        <v>#N/A</v>
      </c>
      <c r="G326" s="20" t="str">
        <f>vlookup($C326,CSDL!$A:$E,5,0)</f>
        <v>#N/A</v>
      </c>
      <c r="H326" s="16"/>
      <c r="I326" s="23" t="s">
        <v>33</v>
      </c>
      <c r="J326" s="23">
        <v>65.0</v>
      </c>
      <c r="K326" s="23">
        <v>1.0</v>
      </c>
      <c r="L326" s="22">
        <f t="shared" si="9"/>
        <v>65</v>
      </c>
      <c r="M326" s="23">
        <v>65.0</v>
      </c>
      <c r="N326" s="23" t="s">
        <v>34</v>
      </c>
      <c r="O326" s="24" t="s">
        <v>312</v>
      </c>
      <c r="P326" s="33"/>
      <c r="Q326" s="25"/>
    </row>
    <row r="327" ht="25.5" customHeight="1">
      <c r="A327" s="26"/>
      <c r="B327" s="28">
        <v>1255.0</v>
      </c>
      <c r="C327" s="17" t="s">
        <v>61</v>
      </c>
      <c r="D327" s="34" t="str">
        <f>vlookup($C327,CSDL!$A:$E,2,0)</f>
        <v>Anh Vũ</v>
      </c>
      <c r="E327" s="19" t="str">
        <f>vlookup($C327,CSDL!$A:$E,3,0)</f>
        <v>25 Lương Quán</v>
      </c>
      <c r="F327" s="19" t="str">
        <f>vlookup($C327,CSDL!$A:$E,4,0)</f>
        <v>Chó</v>
      </c>
      <c r="G327" s="27" t="str">
        <f>vlookup($C327,CSDL!$A:$E,5,0)</f>
        <v>Đen</v>
      </c>
      <c r="H327" s="28"/>
      <c r="I327" s="29" t="s">
        <v>52</v>
      </c>
      <c r="J327" s="29">
        <v>180.0</v>
      </c>
      <c r="K327" s="29">
        <v>1.0</v>
      </c>
      <c r="L327" s="22">
        <f t="shared" si="9"/>
        <v>180</v>
      </c>
      <c r="M327" s="29">
        <v>980.0</v>
      </c>
      <c r="N327" s="29" t="s">
        <v>25</v>
      </c>
      <c r="O327" s="30" t="s">
        <v>313</v>
      </c>
      <c r="P327" s="26"/>
      <c r="Q327" s="32"/>
    </row>
    <row r="328" ht="25.5" customHeight="1">
      <c r="A328" s="15"/>
      <c r="B328" s="16">
        <v>1255.0</v>
      </c>
      <c r="C328" s="17"/>
      <c r="D328" s="34" t="str">
        <f>vlookup($C328,CSDL!$A:$E,2,0)</f>
        <v>#N/A</v>
      </c>
      <c r="E328" s="19" t="str">
        <f>vlookup($C328,CSDL!$A:$E,3,0)</f>
        <v>#N/A</v>
      </c>
      <c r="F328" s="19" t="str">
        <f>vlookup($C328,CSDL!$A:$E,4,0)</f>
        <v>#N/A</v>
      </c>
      <c r="G328" s="20" t="str">
        <f>vlookup($C328,CSDL!$A:$E,5,0)</f>
        <v>#N/A</v>
      </c>
      <c r="H328" s="16"/>
      <c r="I328" s="23" t="s">
        <v>52</v>
      </c>
      <c r="J328" s="23">
        <v>180.0</v>
      </c>
      <c r="K328" s="23">
        <v>1.0</v>
      </c>
      <c r="L328" s="22">
        <f t="shared" si="9"/>
        <v>180</v>
      </c>
      <c r="M328" s="23"/>
      <c r="N328" s="23"/>
      <c r="O328" s="24"/>
      <c r="P328" s="15"/>
      <c r="Q328" s="25"/>
    </row>
    <row r="329" ht="25.5" customHeight="1">
      <c r="A329" s="31"/>
      <c r="B329" s="28">
        <v>1255.0</v>
      </c>
      <c r="C329" s="17"/>
      <c r="D329" s="34" t="str">
        <f>vlookup($C329,CSDL!$A:$E,2,0)</f>
        <v>#N/A</v>
      </c>
      <c r="E329" s="19" t="str">
        <f>vlookup($C329,CSDL!$A:$E,3,0)</f>
        <v>#N/A</v>
      </c>
      <c r="F329" s="19" t="str">
        <f>vlookup($C329,CSDL!$A:$E,4,0)</f>
        <v>#N/A</v>
      </c>
      <c r="G329" s="27" t="str">
        <f>vlookup($C329,CSDL!$A:$E,5,0)</f>
        <v>#N/A</v>
      </c>
      <c r="H329" s="28"/>
      <c r="I329" s="29" t="s">
        <v>95</v>
      </c>
      <c r="J329" s="29">
        <v>100.0</v>
      </c>
      <c r="K329" s="29">
        <v>1.0</v>
      </c>
      <c r="L329" s="22">
        <f t="shared" si="9"/>
        <v>100</v>
      </c>
      <c r="M329" s="29"/>
      <c r="N329" s="29"/>
      <c r="O329" s="30"/>
      <c r="P329" s="31"/>
      <c r="Q329" s="32"/>
    </row>
    <row r="330" ht="25.5" customHeight="1">
      <c r="A330" s="33"/>
      <c r="B330" s="16">
        <v>1255.0</v>
      </c>
      <c r="C330" s="17"/>
      <c r="D330" s="34" t="str">
        <f>vlookup($C330,CSDL!$A:$E,2,0)</f>
        <v>#N/A</v>
      </c>
      <c r="E330" s="19" t="str">
        <f>vlookup($C330,CSDL!$A:$E,3,0)</f>
        <v>#N/A</v>
      </c>
      <c r="F330" s="19" t="str">
        <f>vlookup($C330,CSDL!$A:$E,4,0)</f>
        <v>#N/A</v>
      </c>
      <c r="G330" s="20" t="str">
        <f>vlookup($C330,CSDL!$A:$E,5,0)</f>
        <v>#N/A</v>
      </c>
      <c r="H330" s="16"/>
      <c r="I330" s="23" t="s">
        <v>95</v>
      </c>
      <c r="J330" s="23">
        <v>100.0</v>
      </c>
      <c r="K330" s="23">
        <v>1.0</v>
      </c>
      <c r="L330" s="22">
        <f t="shared" si="9"/>
        <v>100</v>
      </c>
      <c r="M330" s="23"/>
      <c r="N330" s="23"/>
      <c r="O330" s="24"/>
      <c r="P330" s="33"/>
      <c r="Q330" s="16"/>
    </row>
    <row r="331" ht="25.5" customHeight="1">
      <c r="A331" s="26"/>
      <c r="B331" s="28">
        <v>1255.0</v>
      </c>
      <c r="C331" s="17"/>
      <c r="D331" s="34" t="str">
        <f>vlookup($C331,CSDL!$A:$E,2,0)</f>
        <v>#N/A</v>
      </c>
      <c r="E331" s="19" t="str">
        <f>vlookup($C331,CSDL!$A:$E,3,0)</f>
        <v>#N/A</v>
      </c>
      <c r="F331" s="19" t="str">
        <f>vlookup($C331,CSDL!$A:$E,4,0)</f>
        <v>#N/A</v>
      </c>
      <c r="G331" s="27" t="str">
        <f>vlookup($C331,CSDL!$A:$E,5,0)</f>
        <v>#N/A</v>
      </c>
      <c r="H331" s="28"/>
      <c r="I331" s="29" t="s">
        <v>81</v>
      </c>
      <c r="J331" s="29">
        <v>100.0</v>
      </c>
      <c r="K331" s="29">
        <v>2.0</v>
      </c>
      <c r="L331" s="22">
        <f t="shared" si="9"/>
        <v>200</v>
      </c>
      <c r="M331" s="29"/>
      <c r="N331" s="29"/>
      <c r="O331" s="30"/>
      <c r="P331" s="26"/>
      <c r="Q331" s="28"/>
    </row>
    <row r="332" ht="25.5" customHeight="1">
      <c r="A332" s="15"/>
      <c r="B332" s="16">
        <v>1255.0</v>
      </c>
      <c r="C332" s="17"/>
      <c r="D332" s="34" t="str">
        <f>vlookup($C332,CSDL!$A:$E,2,0)</f>
        <v>#N/A</v>
      </c>
      <c r="E332" s="19" t="str">
        <f>vlookup($C332,CSDL!$A:$E,3,0)</f>
        <v>#N/A</v>
      </c>
      <c r="F332" s="19" t="str">
        <f>vlookup($C332,CSDL!$A:$E,4,0)</f>
        <v>#N/A</v>
      </c>
      <c r="G332" s="20" t="str">
        <f>vlookup($C332,CSDL!$A:$E,5,0)</f>
        <v>#N/A</v>
      </c>
      <c r="H332" s="16"/>
      <c r="I332" s="23" t="s">
        <v>80</v>
      </c>
      <c r="J332" s="23">
        <v>40.0</v>
      </c>
      <c r="K332" s="23">
        <v>1.0</v>
      </c>
      <c r="L332" s="22">
        <f t="shared" si="9"/>
        <v>40</v>
      </c>
      <c r="M332" s="23"/>
      <c r="N332" s="23"/>
      <c r="O332" s="24"/>
      <c r="P332" s="33"/>
      <c r="Q332" s="16"/>
    </row>
    <row r="333" ht="25.5" customHeight="1">
      <c r="A333" s="26"/>
      <c r="B333" s="28"/>
      <c r="C333" s="17"/>
      <c r="D333" s="18" t="s">
        <v>21</v>
      </c>
      <c r="E333" s="19" t="str">
        <f>vlookup($C333,CSDL!$A:$E,3,0)</f>
        <v>#N/A</v>
      </c>
      <c r="F333" s="19" t="str">
        <f>vlookup($C333,CSDL!$A:$E,4,0)</f>
        <v>#N/A</v>
      </c>
      <c r="G333" s="27" t="str">
        <f>vlookup($C333,CSDL!$A:$E,5,0)</f>
        <v>#N/A</v>
      </c>
      <c r="H333" s="28"/>
      <c r="I333" s="29" t="s">
        <v>22</v>
      </c>
      <c r="J333" s="29">
        <v>40.0</v>
      </c>
      <c r="K333" s="29">
        <v>1.0</v>
      </c>
      <c r="L333" s="22">
        <f t="shared" si="9"/>
        <v>40</v>
      </c>
      <c r="M333" s="29">
        <v>40.0</v>
      </c>
      <c r="N333" s="29" t="s">
        <v>65</v>
      </c>
      <c r="O333" s="30"/>
      <c r="P333" s="31"/>
      <c r="Q333" s="28"/>
    </row>
    <row r="334" ht="25.5" customHeight="1">
      <c r="A334" s="15"/>
      <c r="B334" s="16"/>
      <c r="C334" s="17"/>
      <c r="D334" s="18" t="s">
        <v>117</v>
      </c>
      <c r="E334" s="19" t="str">
        <f>vlookup($C334,CSDL!$A:$E,3,0)</f>
        <v>#N/A</v>
      </c>
      <c r="F334" s="19" t="str">
        <f>vlookup($C334,CSDL!$A:$E,4,0)</f>
        <v>#N/A</v>
      </c>
      <c r="G334" s="20" t="str">
        <f>vlookup($C334,CSDL!$A:$E,5,0)</f>
        <v>#N/A</v>
      </c>
      <c r="H334" s="16"/>
      <c r="I334" s="23" t="s">
        <v>52</v>
      </c>
      <c r="J334" s="23">
        <v>180.0</v>
      </c>
      <c r="K334" s="23">
        <v>1.0</v>
      </c>
      <c r="L334" s="22">
        <f t="shared" si="9"/>
        <v>180</v>
      </c>
      <c r="M334" s="23">
        <v>720.0</v>
      </c>
      <c r="N334" s="23" t="s">
        <v>25</v>
      </c>
      <c r="O334" s="24" t="s">
        <v>314</v>
      </c>
      <c r="P334" s="15"/>
      <c r="Q334" s="25"/>
    </row>
    <row r="335" ht="25.5" customHeight="1">
      <c r="A335" s="31"/>
      <c r="B335" s="28"/>
      <c r="C335" s="17"/>
      <c r="D335" s="18" t="s">
        <v>117</v>
      </c>
      <c r="E335" s="19" t="str">
        <f>vlookup($C335,CSDL!$A:$E,3,0)</f>
        <v>#N/A</v>
      </c>
      <c r="F335" s="19" t="str">
        <f>vlookup($C335,CSDL!$A:$E,4,0)</f>
        <v>#N/A</v>
      </c>
      <c r="G335" s="27" t="str">
        <f>vlookup($C335,CSDL!$A:$E,5,0)</f>
        <v>#N/A</v>
      </c>
      <c r="H335" s="28"/>
      <c r="I335" s="29" t="s">
        <v>95</v>
      </c>
      <c r="J335" s="29">
        <v>100.0</v>
      </c>
      <c r="K335" s="29">
        <v>1.0</v>
      </c>
      <c r="L335" s="22">
        <f t="shared" si="9"/>
        <v>100</v>
      </c>
      <c r="M335" s="29"/>
      <c r="N335" s="29"/>
      <c r="O335" s="30"/>
      <c r="P335" s="31"/>
      <c r="Q335" s="32"/>
    </row>
    <row r="336" ht="25.5" customHeight="1">
      <c r="A336" s="33"/>
      <c r="B336" s="16"/>
      <c r="C336" s="17"/>
      <c r="D336" s="18" t="s">
        <v>117</v>
      </c>
      <c r="E336" s="19" t="str">
        <f>vlookup($C336,CSDL!$A:$E,3,0)</f>
        <v>#N/A</v>
      </c>
      <c r="F336" s="19" t="str">
        <f>vlookup($C336,CSDL!$A:$E,4,0)</f>
        <v>#N/A</v>
      </c>
      <c r="G336" s="20" t="str">
        <f>vlookup($C336,CSDL!$A:$E,5,0)</f>
        <v>#N/A</v>
      </c>
      <c r="H336" s="16"/>
      <c r="I336" s="23" t="s">
        <v>22</v>
      </c>
      <c r="J336" s="23">
        <v>90.0</v>
      </c>
      <c r="K336" s="23">
        <v>1.0</v>
      </c>
      <c r="L336" s="22">
        <f t="shared" si="9"/>
        <v>90</v>
      </c>
      <c r="M336" s="23"/>
      <c r="N336" s="23"/>
      <c r="O336" s="24"/>
      <c r="P336" s="15"/>
      <c r="Q336" s="25"/>
    </row>
    <row r="337" ht="25.5" customHeight="1">
      <c r="A337" s="26"/>
      <c r="B337" s="28"/>
      <c r="C337" s="17"/>
      <c r="D337" s="18" t="s">
        <v>117</v>
      </c>
      <c r="E337" s="19" t="str">
        <f>vlookup($C337,CSDL!$A:$E,3,0)</f>
        <v>#N/A</v>
      </c>
      <c r="F337" s="19" t="str">
        <f>vlookup($C337,CSDL!$A:$E,4,0)</f>
        <v>#N/A</v>
      </c>
      <c r="G337" s="27" t="str">
        <f>vlookup($C337,CSDL!$A:$E,5,0)</f>
        <v>#N/A</v>
      </c>
      <c r="H337" s="28"/>
      <c r="I337" s="29" t="s">
        <v>132</v>
      </c>
      <c r="J337" s="29">
        <v>350.0</v>
      </c>
      <c r="K337" s="29">
        <v>1.0</v>
      </c>
      <c r="L337" s="22">
        <f t="shared" si="9"/>
        <v>350</v>
      </c>
      <c r="M337" s="29"/>
      <c r="N337" s="29"/>
      <c r="O337" s="30"/>
      <c r="P337" s="31"/>
      <c r="Q337" s="32"/>
    </row>
    <row r="338" ht="25.5" customHeight="1">
      <c r="A338" s="33"/>
      <c r="B338" s="16">
        <v>1256.0</v>
      </c>
      <c r="C338" s="17" t="s">
        <v>315</v>
      </c>
      <c r="D338" s="34" t="str">
        <f>vlookup($C338,CSDL!$A:$E,2,0)</f>
        <v>Anh Đức</v>
      </c>
      <c r="E338" s="19" t="str">
        <f>vlookup($C338,CSDL!$A:$E,3,0)</f>
        <v>21/14 Nguyễn Phúc Lan</v>
      </c>
      <c r="F338" s="19" t="str">
        <f>vlookup($C338,CSDL!$A:$E,4,0)</f>
        <v>Mèo</v>
      </c>
      <c r="G338" s="20" t="str">
        <f>vlookup($C338,CSDL!$A:$E,5,0)</f>
        <v/>
      </c>
      <c r="H338" s="16"/>
      <c r="I338" s="23" t="s">
        <v>59</v>
      </c>
      <c r="J338" s="23">
        <v>100.0</v>
      </c>
      <c r="K338" s="23">
        <v>1.0</v>
      </c>
      <c r="L338" s="22">
        <f t="shared" si="9"/>
        <v>100</v>
      </c>
      <c r="M338" s="23">
        <v>100.0</v>
      </c>
      <c r="N338" s="23" t="s">
        <v>43</v>
      </c>
      <c r="O338" s="24"/>
      <c r="P338" s="16" t="s">
        <v>316</v>
      </c>
      <c r="Q338" s="25"/>
    </row>
    <row r="339" ht="25.5" customHeight="1">
      <c r="A339" s="31">
        <v>45988.0</v>
      </c>
      <c r="B339" s="28"/>
      <c r="C339" s="17"/>
      <c r="D339" s="18" t="s">
        <v>21</v>
      </c>
      <c r="E339" s="19" t="str">
        <f>vlookup($C339,CSDL!$A:$E,3,0)</f>
        <v>#N/A</v>
      </c>
      <c r="F339" s="19" t="str">
        <f>vlookup($C339,CSDL!$A:$E,4,0)</f>
        <v>#N/A</v>
      </c>
      <c r="G339" s="27" t="str">
        <f>vlookup($C339,CSDL!$A:$E,5,0)</f>
        <v>#N/A</v>
      </c>
      <c r="H339" s="28"/>
      <c r="I339" s="29" t="s">
        <v>24</v>
      </c>
      <c r="J339" s="29">
        <v>20.0</v>
      </c>
      <c r="K339" s="29">
        <v>3.0</v>
      </c>
      <c r="L339" s="22">
        <f t="shared" si="9"/>
        <v>60</v>
      </c>
      <c r="M339" s="29">
        <v>60.0</v>
      </c>
      <c r="N339" s="29" t="s">
        <v>65</v>
      </c>
      <c r="O339" s="30"/>
      <c r="P339" s="31"/>
      <c r="Q339" s="32"/>
    </row>
    <row r="340" ht="25.5" customHeight="1">
      <c r="A340" s="33"/>
      <c r="B340" s="16"/>
      <c r="C340" s="17"/>
      <c r="D340" s="18" t="s">
        <v>21</v>
      </c>
      <c r="E340" s="19" t="str">
        <f>vlookup($C340,CSDL!$A:$E,3,0)</f>
        <v>#N/A</v>
      </c>
      <c r="F340" s="19" t="str">
        <f>vlookup($C340,CSDL!$A:$E,4,0)</f>
        <v>#N/A</v>
      </c>
      <c r="G340" s="20" t="str">
        <f>vlookup($C340,CSDL!$A:$E,5,0)</f>
        <v>#N/A</v>
      </c>
      <c r="H340" s="16"/>
      <c r="I340" s="23" t="s">
        <v>53</v>
      </c>
      <c r="J340" s="23">
        <v>10.0</v>
      </c>
      <c r="K340" s="23">
        <v>1.0</v>
      </c>
      <c r="L340" s="22">
        <f t="shared" si="9"/>
        <v>10</v>
      </c>
      <c r="M340" s="23">
        <v>10.0</v>
      </c>
      <c r="N340" s="23" t="s">
        <v>25</v>
      </c>
      <c r="O340" s="24" t="s">
        <v>317</v>
      </c>
      <c r="P340" s="33"/>
      <c r="Q340" s="25"/>
    </row>
    <row r="341" ht="25.5" customHeight="1">
      <c r="A341" s="31"/>
      <c r="B341" s="28"/>
      <c r="C341" s="17"/>
      <c r="D341" s="34" t="str">
        <f>vlookup($C341,CSDL!$A:$E,2,0)</f>
        <v>#N/A</v>
      </c>
      <c r="E341" s="19" t="str">
        <f>vlookup($C341,CSDL!$A:$E,3,0)</f>
        <v>#N/A</v>
      </c>
      <c r="F341" s="19" t="str">
        <f>vlookup($C341,CSDL!$A:$E,4,0)</f>
        <v>#N/A</v>
      </c>
      <c r="G341" s="27" t="str">
        <f>vlookup($C341,CSDL!$A:$E,5,0)</f>
        <v>#N/A</v>
      </c>
      <c r="H341" s="28"/>
      <c r="I341" s="29" t="s">
        <v>33</v>
      </c>
      <c r="J341" s="29">
        <v>26.0</v>
      </c>
      <c r="K341" s="29">
        <v>1.0</v>
      </c>
      <c r="L341" s="22">
        <f t="shared" si="9"/>
        <v>26</v>
      </c>
      <c r="M341" s="29">
        <v>26.0</v>
      </c>
      <c r="N341" s="29" t="s">
        <v>34</v>
      </c>
      <c r="O341" s="30"/>
      <c r="P341" s="26"/>
      <c r="Q341" s="32"/>
    </row>
    <row r="342" ht="25.5" customHeight="1">
      <c r="A342" s="33"/>
      <c r="B342" s="16">
        <v>1257.0</v>
      </c>
      <c r="C342" s="17" t="s">
        <v>318</v>
      </c>
      <c r="D342" s="34" t="str">
        <f>vlookup($C342,CSDL!$A:$E,2,0)</f>
        <v>Chị Phương</v>
      </c>
      <c r="E342" s="19" t="str">
        <f>vlookup($C342,CSDL!$A:$E,3,0)</f>
        <v>58/1 Nguyễn Hoàng</v>
      </c>
      <c r="F342" s="19" t="str">
        <f>vlookup($C342,CSDL!$A:$E,4,0)</f>
        <v>Mèo</v>
      </c>
      <c r="G342" s="20" t="str">
        <f>vlookup($C342,CSDL!$A:$E,5,0)</f>
        <v>Bưởi</v>
      </c>
      <c r="H342" s="16"/>
      <c r="I342" s="23" t="s">
        <v>22</v>
      </c>
      <c r="J342" s="23">
        <v>20.0</v>
      </c>
      <c r="K342" s="23">
        <v>1.0</v>
      </c>
      <c r="L342" s="22">
        <f t="shared" si="9"/>
        <v>20</v>
      </c>
      <c r="M342" s="23">
        <v>20.0</v>
      </c>
      <c r="N342" s="23" t="s">
        <v>25</v>
      </c>
      <c r="O342" s="24" t="s">
        <v>319</v>
      </c>
      <c r="P342" s="33"/>
      <c r="Q342" s="25"/>
    </row>
    <row r="343" ht="25.5" customHeight="1">
      <c r="A343" s="26"/>
      <c r="B343" s="28">
        <v>1257.0</v>
      </c>
      <c r="C343" s="17"/>
      <c r="D343" s="34" t="str">
        <f>vlookup($C343,CSDL!$A:$E,2,0)</f>
        <v>#N/A</v>
      </c>
      <c r="E343" s="19" t="str">
        <f>vlookup($C343,CSDL!$A:$E,3,0)</f>
        <v>#N/A</v>
      </c>
      <c r="F343" s="19" t="str">
        <f>vlookup($C343,CSDL!$A:$E,4,0)</f>
        <v>#N/A</v>
      </c>
      <c r="G343" s="27" t="str">
        <f>vlookup($C343,CSDL!$A:$E,5,0)</f>
        <v>#N/A</v>
      </c>
      <c r="H343" s="28"/>
      <c r="I343" s="29" t="s">
        <v>33</v>
      </c>
      <c r="J343" s="29">
        <v>60.0</v>
      </c>
      <c r="K343" s="29">
        <v>1.0</v>
      </c>
      <c r="L343" s="22">
        <f t="shared" si="9"/>
        <v>60</v>
      </c>
      <c r="M343" s="29">
        <v>60.0</v>
      </c>
      <c r="N343" s="29" t="s">
        <v>34</v>
      </c>
      <c r="O343" s="30"/>
      <c r="P343" s="26"/>
      <c r="Q343" s="32"/>
    </row>
    <row r="344" ht="25.5" customHeight="1">
      <c r="A344" s="15"/>
      <c r="B344" s="16">
        <v>1258.0</v>
      </c>
      <c r="C344" s="17" t="s">
        <v>320</v>
      </c>
      <c r="D344" s="34" t="str">
        <f>vlookup($C344,CSDL!$A:$E,2,0)</f>
        <v>Anh Duy</v>
      </c>
      <c r="E344" s="19" t="str">
        <f>vlookup($C344,CSDL!$A:$E,3,0)</f>
        <v>44 Nguyễn Phúc Lan</v>
      </c>
      <c r="F344" s="19" t="str">
        <f>vlookup($C344,CSDL!$A:$E,4,0)</f>
        <v>Chó</v>
      </c>
      <c r="G344" s="20" t="str">
        <f>vlookup($C344,CSDL!$A:$E,5,0)</f>
        <v/>
      </c>
      <c r="H344" s="16"/>
      <c r="I344" s="23" t="s">
        <v>321</v>
      </c>
      <c r="J344" s="23">
        <v>100.0</v>
      </c>
      <c r="K344" s="23">
        <v>1.0</v>
      </c>
      <c r="L344" s="22">
        <f t="shared" si="9"/>
        <v>100</v>
      </c>
      <c r="M344" s="23">
        <v>100.0</v>
      </c>
      <c r="N344" s="23" t="s">
        <v>65</v>
      </c>
      <c r="O344" s="24"/>
      <c r="P344" s="33"/>
      <c r="Q344" s="16"/>
    </row>
    <row r="345" ht="25.5" customHeight="1">
      <c r="A345" s="26"/>
      <c r="B345" s="28">
        <v>1259.0</v>
      </c>
      <c r="C345" s="17" t="s">
        <v>51</v>
      </c>
      <c r="D345" s="34" t="str">
        <f>vlookup($C345,CSDL!$A:$E,2,0)</f>
        <v>Anh Dũng </v>
      </c>
      <c r="E345" s="19" t="str">
        <f>vlookup($C345,CSDL!$A:$E,3,0)</f>
        <v>57 Lê Duẩn</v>
      </c>
      <c r="F345" s="19" t="str">
        <f>vlookup($C345,CSDL!$A:$E,4,0)</f>
        <v>chó</v>
      </c>
      <c r="G345" s="35" t="s">
        <v>322</v>
      </c>
      <c r="H345" s="28"/>
      <c r="I345" s="29" t="s">
        <v>52</v>
      </c>
      <c r="J345" s="29">
        <v>180.0</v>
      </c>
      <c r="K345" s="29">
        <v>1.0</v>
      </c>
      <c r="L345" s="22">
        <f t="shared" si="9"/>
        <v>180</v>
      </c>
      <c r="M345" s="29">
        <v>180.0</v>
      </c>
      <c r="N345" s="29" t="s">
        <v>65</v>
      </c>
      <c r="O345" s="30"/>
      <c r="P345" s="26"/>
      <c r="Q345" s="28"/>
    </row>
    <row r="346" ht="25.5" customHeight="1">
      <c r="A346" s="33"/>
      <c r="B346" s="16">
        <v>1260.0</v>
      </c>
      <c r="C346" s="17" t="s">
        <v>148</v>
      </c>
      <c r="D346" s="34" t="str">
        <f>vlookup($C346,CSDL!$A:$E,2,0)</f>
        <v>như quỳnh</v>
      </c>
      <c r="E346" s="19" t="str">
        <f>vlookup($C346,CSDL!$A:$E,3,0)</f>
        <v>9 Chế Lan Viên</v>
      </c>
      <c r="F346" s="19" t="str">
        <f>vlookup($C346,CSDL!$A:$E,4,0)</f>
        <v>mèo</v>
      </c>
      <c r="G346" s="20" t="str">
        <f>vlookup($C346,CSDL!$A:$E,5,0)</f>
        <v>gừng</v>
      </c>
      <c r="H346" s="16"/>
      <c r="I346" s="23" t="s">
        <v>95</v>
      </c>
      <c r="J346" s="23">
        <v>100.0</v>
      </c>
      <c r="K346" s="23">
        <v>1.0</v>
      </c>
      <c r="L346" s="22">
        <f t="shared" si="9"/>
        <v>100</v>
      </c>
      <c r="M346" s="23">
        <v>450.0</v>
      </c>
      <c r="N346" s="23" t="s">
        <v>43</v>
      </c>
      <c r="O346" s="24"/>
      <c r="P346" s="33"/>
      <c r="Q346" s="54"/>
    </row>
    <row r="347" ht="25.5" customHeight="1">
      <c r="A347" s="31"/>
      <c r="B347" s="28">
        <v>1260.0</v>
      </c>
      <c r="C347" s="17"/>
      <c r="D347" s="34" t="str">
        <f>vlookup($C347,CSDL!$A:$E,2,0)</f>
        <v>#N/A</v>
      </c>
      <c r="E347" s="19" t="str">
        <f>vlookup($C347,CSDL!$A:$E,3,0)</f>
        <v>#N/A</v>
      </c>
      <c r="F347" s="19" t="str">
        <f>vlookup($C347,CSDL!$A:$E,4,0)</f>
        <v>#N/A</v>
      </c>
      <c r="G347" s="27" t="str">
        <f>vlookup($C347,CSDL!$A:$E,5,0)</f>
        <v>#N/A</v>
      </c>
      <c r="H347" s="28"/>
      <c r="I347" s="29" t="s">
        <v>95</v>
      </c>
      <c r="J347" s="29">
        <v>100.0</v>
      </c>
      <c r="K347" s="29">
        <v>1.0</v>
      </c>
      <c r="L347" s="22">
        <f t="shared" si="9"/>
        <v>100</v>
      </c>
      <c r="M347" s="29"/>
      <c r="N347" s="29"/>
      <c r="O347" s="30"/>
      <c r="P347" s="31"/>
      <c r="Q347" s="32"/>
    </row>
    <row r="348" ht="25.5" customHeight="1">
      <c r="A348" s="15"/>
      <c r="B348" s="16">
        <v>1260.0</v>
      </c>
      <c r="C348" s="17"/>
      <c r="D348" s="34" t="str">
        <f>vlookup($C348,CSDL!$A:$E,2,0)</f>
        <v>#N/A</v>
      </c>
      <c r="E348" s="19" t="str">
        <f>vlookup($C348,CSDL!$A:$E,3,0)</f>
        <v>#N/A</v>
      </c>
      <c r="F348" s="19" t="str">
        <f>vlookup($C348,CSDL!$A:$E,4,0)</f>
        <v>#N/A</v>
      </c>
      <c r="G348" s="20" t="str">
        <f>vlookup($C348,CSDL!$A:$E,5,0)</f>
        <v>#N/A</v>
      </c>
      <c r="H348" s="16"/>
      <c r="I348" s="23" t="s">
        <v>95</v>
      </c>
      <c r="J348" s="23">
        <v>100.0</v>
      </c>
      <c r="K348" s="23">
        <v>1.0</v>
      </c>
      <c r="L348" s="22">
        <f t="shared" si="9"/>
        <v>100</v>
      </c>
      <c r="M348" s="23"/>
      <c r="N348" s="23"/>
      <c r="O348" s="24"/>
      <c r="P348" s="15"/>
      <c r="Q348" s="25"/>
    </row>
    <row r="349" ht="25.5" customHeight="1">
      <c r="A349" s="26"/>
      <c r="B349" s="28">
        <v>1260.0</v>
      </c>
      <c r="C349" s="17"/>
      <c r="D349" s="34" t="str">
        <f>vlookup($C349,CSDL!$A:$E,2,0)</f>
        <v>#N/A</v>
      </c>
      <c r="E349" s="19" t="str">
        <f>vlookup($C349,CSDL!$A:$E,3,0)</f>
        <v>#N/A</v>
      </c>
      <c r="F349" s="19" t="str">
        <f>vlookup($C349,CSDL!$A:$E,4,0)</f>
        <v>#N/A</v>
      </c>
      <c r="G349" s="27" t="str">
        <f>vlookup($C349,CSDL!$A:$E,5,0)</f>
        <v>#N/A</v>
      </c>
      <c r="H349" s="28"/>
      <c r="I349" s="29" t="s">
        <v>80</v>
      </c>
      <c r="J349" s="29">
        <v>150.0</v>
      </c>
      <c r="K349" s="29">
        <v>1.0</v>
      </c>
      <c r="L349" s="22">
        <f t="shared" si="9"/>
        <v>150</v>
      </c>
      <c r="M349" s="29"/>
      <c r="N349" s="29"/>
      <c r="O349" s="30"/>
      <c r="P349" s="26"/>
      <c r="Q349" s="55"/>
    </row>
    <row r="350" ht="25.5" customHeight="1">
      <c r="A350" s="33"/>
      <c r="B350" s="16">
        <v>1261.0</v>
      </c>
      <c r="C350" s="38" t="s">
        <v>323</v>
      </c>
      <c r="D350" s="34" t="str">
        <f>vlookup($C350,CSDL!$A:$E,2,0)</f>
        <v>Anh Khoa</v>
      </c>
      <c r="E350" s="19" t="str">
        <f>vlookup($C350,CSDL!$A:$E,3,0)</f>
        <v>k307 Bùi thị Xuân</v>
      </c>
      <c r="F350" s="19" t="str">
        <f>vlookup($C350,CSDL!$A:$E,4,0)</f>
        <v>chó</v>
      </c>
      <c r="G350" s="20" t="str">
        <f>vlookup($C350,CSDL!$A:$E,5,0)</f>
        <v/>
      </c>
      <c r="H350" s="16"/>
      <c r="I350" s="23" t="s">
        <v>324</v>
      </c>
      <c r="J350" s="23">
        <v>150.0</v>
      </c>
      <c r="K350" s="23">
        <v>1.0</v>
      </c>
      <c r="L350" s="22">
        <f t="shared" si="9"/>
        <v>150</v>
      </c>
      <c r="M350" s="23">
        <v>1200.0</v>
      </c>
      <c r="N350" s="23" t="s">
        <v>25</v>
      </c>
      <c r="O350" s="24" t="s">
        <v>325</v>
      </c>
      <c r="P350" s="33"/>
      <c r="Q350" s="25"/>
    </row>
    <row r="351" ht="25.5" customHeight="1">
      <c r="A351" s="31"/>
      <c r="B351" s="28">
        <v>1261.0</v>
      </c>
      <c r="C351" s="17"/>
      <c r="D351" s="34" t="str">
        <f>vlookup($C351,CSDL!$A:$E,2,0)</f>
        <v>#N/A</v>
      </c>
      <c r="E351" s="19" t="str">
        <f>vlookup($C351,CSDL!$A:$E,3,0)</f>
        <v>#N/A</v>
      </c>
      <c r="F351" s="19" t="str">
        <f>vlookup($C351,CSDL!$A:$E,4,0)</f>
        <v>#N/A</v>
      </c>
      <c r="G351" s="27" t="str">
        <f>vlookup($C351,CSDL!$A:$E,5,0)</f>
        <v>#N/A</v>
      </c>
      <c r="H351" s="28"/>
      <c r="I351" s="29" t="s">
        <v>132</v>
      </c>
      <c r="J351" s="29">
        <v>350.0</v>
      </c>
      <c r="K351" s="29">
        <v>1.0</v>
      </c>
      <c r="L351" s="22">
        <f t="shared" si="9"/>
        <v>350</v>
      </c>
      <c r="M351" s="29"/>
      <c r="N351" s="29"/>
      <c r="O351" s="30"/>
      <c r="P351" s="31"/>
      <c r="Q351" s="32"/>
    </row>
    <row r="352" ht="25.5" customHeight="1">
      <c r="A352" s="33"/>
      <c r="B352" s="16">
        <v>1261.0</v>
      </c>
      <c r="C352" s="17"/>
      <c r="D352" s="34" t="str">
        <f>vlookup($C352,CSDL!$A:$E,2,0)</f>
        <v>#N/A</v>
      </c>
      <c r="E352" s="19" t="str">
        <f>vlookup($C352,CSDL!$A:$E,3,0)</f>
        <v>#N/A</v>
      </c>
      <c r="F352" s="19" t="str">
        <f>vlookup($C352,CSDL!$A:$E,4,0)</f>
        <v>#N/A</v>
      </c>
      <c r="G352" s="20" t="str">
        <f>vlookup($C352,CSDL!$A:$E,5,0)</f>
        <v>#N/A</v>
      </c>
      <c r="H352" s="16"/>
      <c r="I352" s="23" t="s">
        <v>48</v>
      </c>
      <c r="J352" s="23">
        <v>150.0</v>
      </c>
      <c r="K352" s="23">
        <v>1.0</v>
      </c>
      <c r="L352" s="22">
        <f t="shared" si="9"/>
        <v>150</v>
      </c>
      <c r="M352" s="23"/>
      <c r="N352" s="23"/>
      <c r="O352" s="24"/>
      <c r="P352" s="15"/>
      <c r="Q352" s="25"/>
    </row>
    <row r="353" ht="25.5" customHeight="1">
      <c r="A353" s="26"/>
      <c r="B353" s="28">
        <v>1261.0</v>
      </c>
      <c r="C353" s="17"/>
      <c r="D353" s="34" t="str">
        <f>vlookup($C353,CSDL!$A:$E,2,0)</f>
        <v>#N/A</v>
      </c>
      <c r="E353" s="19" t="str">
        <f>vlookup($C353,CSDL!$A:$E,3,0)</f>
        <v>#N/A</v>
      </c>
      <c r="F353" s="19" t="str">
        <f>vlookup($C353,CSDL!$A:$E,4,0)</f>
        <v>#N/A</v>
      </c>
      <c r="G353" s="27" t="str">
        <f>vlookup($C353,CSDL!$A:$E,5,0)</f>
        <v>#N/A</v>
      </c>
      <c r="H353" s="49"/>
      <c r="I353" s="56" t="s">
        <v>282</v>
      </c>
      <c r="J353" s="56">
        <v>250.0</v>
      </c>
      <c r="K353" s="29">
        <v>1.0</v>
      </c>
      <c r="L353" s="22">
        <f t="shared" si="9"/>
        <v>250</v>
      </c>
      <c r="M353" s="56"/>
      <c r="N353" s="29"/>
      <c r="O353" s="30"/>
      <c r="P353" s="48"/>
      <c r="Q353" s="55"/>
    </row>
    <row r="354" ht="25.5" customHeight="1">
      <c r="A354" s="33"/>
      <c r="B354" s="16"/>
      <c r="C354" s="17"/>
      <c r="D354" s="18" t="s">
        <v>21</v>
      </c>
      <c r="E354" s="19" t="str">
        <f>vlookup($C354,CSDL!$A:$E,3,0)</f>
        <v>#N/A</v>
      </c>
      <c r="F354" s="19" t="str">
        <f>vlookup($C354,CSDL!$A:$E,4,0)</f>
        <v>#N/A</v>
      </c>
      <c r="G354" s="20" t="str">
        <f>vlookup($C354,CSDL!$A:$E,5,0)</f>
        <v>#N/A</v>
      </c>
      <c r="H354" s="16"/>
      <c r="I354" s="23" t="s">
        <v>33</v>
      </c>
      <c r="J354" s="23">
        <v>70.0</v>
      </c>
      <c r="K354" s="23">
        <v>1.0</v>
      </c>
      <c r="L354" s="22">
        <f t="shared" si="9"/>
        <v>70</v>
      </c>
      <c r="M354" s="23">
        <v>70.0</v>
      </c>
      <c r="N354" s="23" t="s">
        <v>34</v>
      </c>
      <c r="O354" s="24" t="s">
        <v>326</v>
      </c>
      <c r="P354" s="33"/>
      <c r="Q354" s="25"/>
    </row>
    <row r="355" ht="25.5" customHeight="1">
      <c r="A355" s="26"/>
      <c r="B355" s="28"/>
      <c r="C355" s="17"/>
      <c r="D355" s="18" t="s">
        <v>21</v>
      </c>
      <c r="E355" s="19" t="str">
        <f>vlookup($C355,CSDL!$A:$E,3,0)</f>
        <v>#N/A</v>
      </c>
      <c r="F355" s="19" t="str">
        <f>vlookup($C355,CSDL!$A:$E,4,0)</f>
        <v>#N/A</v>
      </c>
      <c r="G355" s="27" t="str">
        <f>vlookup($C355,CSDL!$A:$E,5,0)</f>
        <v>#N/A</v>
      </c>
      <c r="H355" s="28"/>
      <c r="I355" s="29" t="s">
        <v>33</v>
      </c>
      <c r="J355" s="29">
        <v>50.0</v>
      </c>
      <c r="K355" s="29">
        <v>1.0</v>
      </c>
      <c r="L355" s="22">
        <f t="shared" si="9"/>
        <v>50</v>
      </c>
      <c r="M355" s="29">
        <v>50.0</v>
      </c>
      <c r="N355" s="29" t="s">
        <v>34</v>
      </c>
      <c r="O355" s="30" t="s">
        <v>327</v>
      </c>
      <c r="P355" s="26"/>
      <c r="Q355" s="32"/>
    </row>
    <row r="356" ht="25.5" customHeight="1">
      <c r="A356" s="15"/>
      <c r="B356" s="16"/>
      <c r="C356" s="17"/>
      <c r="D356" s="18" t="s">
        <v>21</v>
      </c>
      <c r="E356" s="19" t="str">
        <f>vlookup($C356,CSDL!$A:$E,3,0)</f>
        <v>#N/A</v>
      </c>
      <c r="F356" s="19" t="str">
        <f>vlookup($C356,CSDL!$A:$E,4,0)</f>
        <v>#N/A</v>
      </c>
      <c r="G356" s="20" t="str">
        <f>vlookup($C356,CSDL!$A:$E,5,0)</f>
        <v>#N/A</v>
      </c>
      <c r="H356" s="16"/>
      <c r="I356" s="23" t="s">
        <v>24</v>
      </c>
      <c r="J356" s="23">
        <v>30.0</v>
      </c>
      <c r="K356" s="23">
        <v>7.0</v>
      </c>
      <c r="L356" s="22">
        <f t="shared" si="9"/>
        <v>210</v>
      </c>
      <c r="M356" s="23">
        <v>210.0</v>
      </c>
      <c r="N356" s="23" t="s">
        <v>65</v>
      </c>
      <c r="O356" s="24"/>
      <c r="P356" s="33"/>
      <c r="Q356" s="25"/>
    </row>
    <row r="357" ht="25.5" customHeight="1">
      <c r="A357" s="39"/>
      <c r="B357" s="28" t="s">
        <v>328</v>
      </c>
      <c r="C357" s="17" t="s">
        <v>329</v>
      </c>
      <c r="D357" s="34" t="str">
        <f>vlookup($C357,CSDL!$A:$E,2,0)</f>
        <v>Nguyên Sương</v>
      </c>
      <c r="E357" s="19" t="str">
        <f>vlookup($C357,CSDL!$A:$E,3,0)</f>
        <v>62 Lê Duẩn</v>
      </c>
      <c r="F357" s="19" t="str">
        <f>vlookup($C357,CSDL!$A:$E,4,0)</f>
        <v>Mèo</v>
      </c>
      <c r="G357" s="27" t="str">
        <f>vlookup($C357,CSDL!$A:$E,5,0)</f>
        <v>Silk</v>
      </c>
      <c r="H357" s="28"/>
      <c r="I357" s="29" t="s">
        <v>150</v>
      </c>
      <c r="J357" s="29">
        <v>400.0</v>
      </c>
      <c r="K357" s="29">
        <v>1.0</v>
      </c>
      <c r="L357" s="22">
        <f t="shared" si="9"/>
        <v>400</v>
      </c>
      <c r="M357" s="29">
        <f>615-40</f>
        <v>575</v>
      </c>
      <c r="N357" s="29" t="s">
        <v>25</v>
      </c>
      <c r="O357" s="30" t="s">
        <v>330</v>
      </c>
      <c r="P357" s="26"/>
      <c r="Q357" s="39"/>
    </row>
    <row r="358" ht="25.5" customHeight="1">
      <c r="A358" s="42"/>
      <c r="B358" s="16" t="s">
        <v>328</v>
      </c>
      <c r="C358" s="17"/>
      <c r="D358" s="34" t="str">
        <f>vlookup($C358,CSDL!$A:$E,2,0)</f>
        <v>#N/A</v>
      </c>
      <c r="E358" s="19" t="str">
        <f>vlookup($C358,CSDL!$A:$E,3,0)</f>
        <v>#N/A</v>
      </c>
      <c r="F358" s="19" t="str">
        <f>vlookup($C358,CSDL!$A:$E,4,0)</f>
        <v>#N/A</v>
      </c>
      <c r="G358" s="20" t="str">
        <f>vlookup($C358,CSDL!$A:$E,5,0)</f>
        <v>#N/A</v>
      </c>
      <c r="H358" s="16"/>
      <c r="I358" s="23" t="s">
        <v>30</v>
      </c>
      <c r="J358" s="23">
        <v>50.0</v>
      </c>
      <c r="K358" s="23">
        <v>1.0</v>
      </c>
      <c r="L358" s="22">
        <f t="shared" si="9"/>
        <v>50</v>
      </c>
      <c r="M358" s="23">
        <v>40.0</v>
      </c>
      <c r="N358" s="23" t="s">
        <v>34</v>
      </c>
      <c r="O358" s="24"/>
      <c r="P358" s="33"/>
      <c r="Q358" s="42"/>
    </row>
    <row r="359" ht="25.5" customHeight="1">
      <c r="A359" s="39"/>
      <c r="B359" s="28" t="s">
        <v>328</v>
      </c>
      <c r="C359" s="17"/>
      <c r="D359" s="34" t="str">
        <f>vlookup($C359,CSDL!$A:$E,2,0)</f>
        <v>#N/A</v>
      </c>
      <c r="E359" s="19" t="str">
        <f>vlookup($C359,CSDL!$A:$E,3,0)</f>
        <v>#N/A</v>
      </c>
      <c r="F359" s="19" t="str">
        <f>vlookup($C359,CSDL!$A:$E,4,0)</f>
        <v>#N/A</v>
      </c>
      <c r="G359" s="27" t="str">
        <f>vlookup($C359,CSDL!$A:$E,5,0)</f>
        <v>#N/A</v>
      </c>
      <c r="H359" s="28"/>
      <c r="I359" s="29" t="s">
        <v>24</v>
      </c>
      <c r="J359" s="29">
        <v>25.0</v>
      </c>
      <c r="K359" s="29">
        <v>5.0</v>
      </c>
      <c r="L359" s="22">
        <f t="shared" si="9"/>
        <v>125</v>
      </c>
      <c r="M359" s="29"/>
      <c r="N359" s="29"/>
      <c r="O359" s="30"/>
      <c r="P359" s="26"/>
      <c r="Q359" s="39"/>
    </row>
    <row r="360" ht="25.5" customHeight="1">
      <c r="A360" s="15"/>
      <c r="B360" s="16" t="s">
        <v>328</v>
      </c>
      <c r="C360" s="17"/>
      <c r="D360" s="34" t="str">
        <f>vlookup($C360,CSDL!$A:$E,2,0)</f>
        <v>#N/A</v>
      </c>
      <c r="E360" s="19" t="str">
        <f>vlookup($C360,CSDL!$A:$E,3,0)</f>
        <v>#N/A</v>
      </c>
      <c r="F360" s="19" t="str">
        <f>vlookup($C360,CSDL!$A:$E,4,0)</f>
        <v>#N/A</v>
      </c>
      <c r="G360" s="20" t="str">
        <f>vlookup($C360,CSDL!$A:$E,5,0)</f>
        <v>#N/A</v>
      </c>
      <c r="H360" s="16"/>
      <c r="I360" s="23" t="s">
        <v>33</v>
      </c>
      <c r="J360" s="23">
        <v>40.0</v>
      </c>
      <c r="K360" s="23">
        <v>1.0</v>
      </c>
      <c r="L360" s="22">
        <f t="shared" si="9"/>
        <v>40</v>
      </c>
      <c r="M360" s="23"/>
      <c r="N360" s="23"/>
      <c r="O360" s="24"/>
      <c r="P360" s="33"/>
      <c r="Q360" s="16"/>
    </row>
    <row r="361" ht="25.5" customHeight="1">
      <c r="A361" s="26"/>
      <c r="B361" s="28" t="s">
        <v>331</v>
      </c>
      <c r="C361" s="17" t="s">
        <v>332</v>
      </c>
      <c r="D361" s="34" t="str">
        <f>vlookup($C361,CSDL!$A:$E,2,0)</f>
        <v>Chị Bảo Chi</v>
      </c>
      <c r="E361" s="19" t="str">
        <f>vlookup($C361,CSDL!$A:$E,3,0)</f>
        <v>142 Tăng Bạt Hổ</v>
      </c>
      <c r="F361" s="37" t="s">
        <v>74</v>
      </c>
      <c r="G361" s="35" t="s">
        <v>333</v>
      </c>
      <c r="H361" s="28">
        <v>4.2</v>
      </c>
      <c r="I361" s="29" t="s">
        <v>30</v>
      </c>
      <c r="J361" s="29">
        <v>80.0</v>
      </c>
      <c r="K361" s="29">
        <v>1.0</v>
      </c>
      <c r="L361" s="22">
        <f t="shared" si="9"/>
        <v>80</v>
      </c>
      <c r="M361" s="29">
        <v>130.0</v>
      </c>
      <c r="N361" s="29" t="s">
        <v>25</v>
      </c>
      <c r="O361" s="30" t="s">
        <v>334</v>
      </c>
      <c r="P361" s="26"/>
      <c r="Q361" s="28"/>
    </row>
    <row r="362" ht="25.5" customHeight="1">
      <c r="A362" s="33"/>
      <c r="B362" s="16" t="s">
        <v>331</v>
      </c>
      <c r="C362" s="17"/>
      <c r="D362" s="34" t="str">
        <f>vlookup($C362,CSDL!$A:$E,2,0)</f>
        <v>#N/A</v>
      </c>
      <c r="E362" s="19" t="str">
        <f>vlookup($C362,CSDL!$A:$E,3,0)</f>
        <v>#N/A</v>
      </c>
      <c r="F362" s="19" t="str">
        <f>vlookup($C362,CSDL!$A:$E,4,0)</f>
        <v>#N/A</v>
      </c>
      <c r="G362" s="20" t="str">
        <f>vlookup($C362,CSDL!$A:$E,5,0)</f>
        <v>#N/A</v>
      </c>
      <c r="H362" s="16"/>
      <c r="I362" s="23" t="s">
        <v>30</v>
      </c>
      <c r="J362" s="23">
        <v>80.0</v>
      </c>
      <c r="K362" s="23">
        <v>1.0</v>
      </c>
      <c r="L362" s="22">
        <f t="shared" si="9"/>
        <v>80</v>
      </c>
      <c r="M362" s="23">
        <v>80.0</v>
      </c>
      <c r="N362" s="23" t="s">
        <v>25</v>
      </c>
      <c r="O362" s="24" t="s">
        <v>335</v>
      </c>
      <c r="P362" s="33"/>
      <c r="Q362" s="47"/>
    </row>
    <row r="363" ht="25.5" customHeight="1">
      <c r="A363" s="26"/>
      <c r="B363" s="28" t="s">
        <v>331</v>
      </c>
      <c r="C363" s="17"/>
      <c r="D363" s="34" t="str">
        <f>vlookup($C363,CSDL!$A:$E,2,0)</f>
        <v>#N/A</v>
      </c>
      <c r="E363" s="19" t="str">
        <f>vlookup($C363,CSDL!$A:$E,3,0)</f>
        <v>#N/A</v>
      </c>
      <c r="F363" s="19" t="str">
        <f>vlookup($C363,CSDL!$A:$E,4,0)</f>
        <v>#N/A</v>
      </c>
      <c r="G363" s="27" t="str">
        <f>vlookup($C363,CSDL!$A:$E,5,0)</f>
        <v>#N/A</v>
      </c>
      <c r="H363" s="28"/>
      <c r="I363" s="29" t="s">
        <v>246</v>
      </c>
      <c r="J363" s="29">
        <v>50.0</v>
      </c>
      <c r="K363" s="29">
        <v>2.0</v>
      </c>
      <c r="L363" s="22">
        <f t="shared" si="9"/>
        <v>100</v>
      </c>
      <c r="M363" s="29">
        <v>350.0</v>
      </c>
      <c r="N363" s="29" t="s">
        <v>25</v>
      </c>
      <c r="O363" s="30" t="s">
        <v>336</v>
      </c>
      <c r="P363" s="26"/>
      <c r="Q363" s="32"/>
    </row>
    <row r="364" ht="25.5" customHeight="1">
      <c r="A364" s="33"/>
      <c r="B364" s="16" t="s">
        <v>331</v>
      </c>
      <c r="C364" s="17"/>
      <c r="D364" s="34" t="str">
        <f>vlookup($C364,CSDL!$A:$E,2,0)</f>
        <v>#N/A</v>
      </c>
      <c r="E364" s="19" t="str">
        <f>vlookup($C364,CSDL!$A:$E,3,0)</f>
        <v>#N/A</v>
      </c>
      <c r="F364" s="19" t="str">
        <f>vlookup($C364,CSDL!$A:$E,4,0)</f>
        <v>#N/A</v>
      </c>
      <c r="G364" s="20" t="str">
        <f>vlookup($C364,CSDL!$A:$E,5,0)</f>
        <v>#N/A</v>
      </c>
      <c r="H364" s="16"/>
      <c r="I364" s="23" t="s">
        <v>177</v>
      </c>
      <c r="J364" s="23">
        <v>150.0</v>
      </c>
      <c r="K364" s="23">
        <v>1.0</v>
      </c>
      <c r="L364" s="22">
        <f t="shared" si="9"/>
        <v>150</v>
      </c>
      <c r="M364" s="23"/>
      <c r="N364" s="23"/>
      <c r="O364" s="24"/>
      <c r="P364" s="33"/>
      <c r="Q364" s="16"/>
    </row>
    <row r="365" ht="25.5" customHeight="1">
      <c r="A365" s="26"/>
      <c r="B365" s="28" t="s">
        <v>331</v>
      </c>
      <c r="C365" s="17"/>
      <c r="D365" s="34" t="str">
        <f>vlookup($C365,CSDL!$A:$E,2,0)</f>
        <v>#N/A</v>
      </c>
      <c r="E365" s="19" t="str">
        <f>vlookup($C365,CSDL!$A:$E,3,0)</f>
        <v>#N/A</v>
      </c>
      <c r="F365" s="19" t="str">
        <f>vlookup($C365,CSDL!$A:$E,4,0)</f>
        <v>#N/A</v>
      </c>
      <c r="G365" s="27" t="str">
        <f>vlookup($C365,CSDL!$A:$E,5,0)</f>
        <v>#N/A</v>
      </c>
      <c r="H365" s="28"/>
      <c r="I365" s="29" t="s">
        <v>123</v>
      </c>
      <c r="J365" s="29">
        <v>150.0</v>
      </c>
      <c r="K365" s="29">
        <v>1.0</v>
      </c>
      <c r="L365" s="22">
        <f t="shared" si="9"/>
        <v>150</v>
      </c>
      <c r="M365" s="29"/>
      <c r="N365" s="29"/>
      <c r="O365" s="30"/>
      <c r="P365" s="26"/>
      <c r="Q365" s="28"/>
    </row>
    <row r="366" ht="25.5" customHeight="1">
      <c r="A366" s="33"/>
      <c r="B366" s="16">
        <v>1262.0</v>
      </c>
      <c r="C366" s="17" t="s">
        <v>213</v>
      </c>
      <c r="D366" s="34" t="str">
        <f>vlookup($C366,CSDL!$A:$E,2,0)</f>
        <v>em Thảo</v>
      </c>
      <c r="E366" s="19" t="str">
        <f>vlookup($C366,CSDL!$A:$E,3,0)</f>
        <v>375 Chi Lăng</v>
      </c>
      <c r="F366" s="19" t="str">
        <f>vlookup($C366,CSDL!$A:$E,4,0)</f>
        <v>mèo</v>
      </c>
      <c r="G366" s="20" t="str">
        <f>vlookup($C366,CSDL!$A:$E,5,0)</f>
        <v>Mim</v>
      </c>
      <c r="H366" s="16"/>
      <c r="I366" s="23" t="s">
        <v>30</v>
      </c>
      <c r="J366" s="23">
        <v>200.0</v>
      </c>
      <c r="K366" s="23">
        <v>1.0</v>
      </c>
      <c r="L366" s="22">
        <f t="shared" si="9"/>
        <v>200</v>
      </c>
      <c r="M366" s="23">
        <v>545.0</v>
      </c>
      <c r="N366" s="23" t="s">
        <v>25</v>
      </c>
      <c r="O366" s="24" t="s">
        <v>337</v>
      </c>
      <c r="P366" s="33"/>
      <c r="Q366" s="16"/>
    </row>
    <row r="367" ht="25.5" customHeight="1">
      <c r="A367" s="26"/>
      <c r="B367" s="28">
        <v>1262.0</v>
      </c>
      <c r="C367" s="17"/>
      <c r="D367" s="34" t="str">
        <f>vlookup($C367,CSDL!$A:$E,2,0)</f>
        <v>#N/A</v>
      </c>
      <c r="E367" s="19" t="str">
        <f>vlookup($C367,CSDL!$A:$E,3,0)</f>
        <v>#N/A</v>
      </c>
      <c r="F367" s="19" t="str">
        <f>vlookup($C367,CSDL!$A:$E,4,0)</f>
        <v>#N/A</v>
      </c>
      <c r="G367" s="27" t="str">
        <f>vlookup($C367,CSDL!$A:$E,5,0)</f>
        <v>#N/A</v>
      </c>
      <c r="H367" s="28"/>
      <c r="I367" s="29" t="s">
        <v>24</v>
      </c>
      <c r="J367" s="29">
        <v>35.0</v>
      </c>
      <c r="K367" s="29">
        <v>7.0</v>
      </c>
      <c r="L367" s="22">
        <f t="shared" si="9"/>
        <v>245</v>
      </c>
      <c r="M367" s="29"/>
      <c r="N367" s="29"/>
      <c r="O367" s="30"/>
      <c r="P367" s="31"/>
      <c r="Q367" s="32"/>
    </row>
    <row r="368" ht="25.5" customHeight="1">
      <c r="A368" s="33"/>
      <c r="B368" s="16">
        <v>1262.0</v>
      </c>
      <c r="C368" s="17"/>
      <c r="D368" s="34" t="str">
        <f>vlookup($C368,CSDL!$A:$E,2,0)</f>
        <v>#N/A</v>
      </c>
      <c r="E368" s="19" t="str">
        <f>vlookup($C368,CSDL!$A:$E,3,0)</f>
        <v>#N/A</v>
      </c>
      <c r="F368" s="19" t="str">
        <f>vlookup($C368,CSDL!$A:$E,4,0)</f>
        <v>#N/A</v>
      </c>
      <c r="G368" s="20" t="str">
        <f>vlookup($C368,CSDL!$A:$E,5,0)</f>
        <v>#N/A</v>
      </c>
      <c r="H368" s="16"/>
      <c r="I368" s="23" t="s">
        <v>80</v>
      </c>
      <c r="J368" s="23">
        <v>100.0</v>
      </c>
      <c r="K368" s="23">
        <v>1.0</v>
      </c>
      <c r="L368" s="22">
        <f t="shared" si="9"/>
        <v>100</v>
      </c>
      <c r="M368" s="23"/>
      <c r="N368" s="23"/>
      <c r="O368" s="24"/>
      <c r="P368" s="33"/>
      <c r="Q368" s="25"/>
    </row>
    <row r="369" ht="25.5" customHeight="1">
      <c r="A369" s="31">
        <v>45989.0</v>
      </c>
      <c r="B369" s="28"/>
      <c r="C369" s="17"/>
      <c r="D369" s="18" t="s">
        <v>170</v>
      </c>
      <c r="E369" s="19" t="str">
        <f>vlookup($C369,CSDL!$A:$E,3,0)</f>
        <v>#N/A</v>
      </c>
      <c r="F369" s="19" t="str">
        <f>vlookup($C369,CSDL!$A:$E,4,0)</f>
        <v>#N/A</v>
      </c>
      <c r="G369" s="27" t="str">
        <f>vlookup($C369,CSDL!$A:$E,5,0)</f>
        <v>#N/A</v>
      </c>
      <c r="H369" s="28"/>
      <c r="I369" s="29" t="s">
        <v>48</v>
      </c>
      <c r="J369" s="29">
        <v>70.0</v>
      </c>
      <c r="K369" s="29">
        <v>1.0</v>
      </c>
      <c r="L369" s="22">
        <f t="shared" si="9"/>
        <v>70</v>
      </c>
      <c r="M369" s="29">
        <v>70.0</v>
      </c>
      <c r="N369" s="29" t="s">
        <v>65</v>
      </c>
      <c r="O369" s="30"/>
      <c r="P369" s="26"/>
      <c r="Q369" s="32"/>
    </row>
    <row r="370" ht="25.5" customHeight="1">
      <c r="A370" s="33"/>
      <c r="B370" s="16"/>
      <c r="C370" s="17"/>
      <c r="D370" s="18" t="s">
        <v>21</v>
      </c>
      <c r="E370" s="19" t="str">
        <f>vlookup($C370,CSDL!$A:$E,3,0)</f>
        <v>#N/A</v>
      </c>
      <c r="F370" s="19" t="str">
        <f>vlookup($C370,CSDL!$A:$E,4,0)</f>
        <v>#N/A</v>
      </c>
      <c r="G370" s="20" t="str">
        <f>vlookup($C370,CSDL!$A:$E,5,0)</f>
        <v>#N/A</v>
      </c>
      <c r="H370" s="16"/>
      <c r="I370" s="23" t="s">
        <v>22</v>
      </c>
      <c r="J370" s="23">
        <v>20.0</v>
      </c>
      <c r="K370" s="23">
        <v>1.0</v>
      </c>
      <c r="L370" s="22">
        <f t="shared" si="9"/>
        <v>20</v>
      </c>
      <c r="M370" s="23">
        <v>20.0</v>
      </c>
      <c r="N370" s="23" t="s">
        <v>43</v>
      </c>
      <c r="O370" s="24"/>
      <c r="P370" s="33"/>
      <c r="Q370" s="25"/>
    </row>
    <row r="371" ht="25.5" customHeight="1">
      <c r="A371" s="31"/>
      <c r="B371" s="28"/>
      <c r="C371" s="17"/>
      <c r="D371" s="18" t="s">
        <v>21</v>
      </c>
      <c r="E371" s="19" t="str">
        <f>vlookup($C371,CSDL!$A:$E,3,0)</f>
        <v>#N/A</v>
      </c>
      <c r="F371" s="19" t="str">
        <f>vlookup($C371,CSDL!$A:$E,4,0)</f>
        <v>#N/A</v>
      </c>
      <c r="G371" s="27" t="str">
        <f>vlookup($C371,CSDL!$A:$E,5,0)</f>
        <v>#N/A</v>
      </c>
      <c r="H371" s="28"/>
      <c r="I371" s="29" t="s">
        <v>107</v>
      </c>
      <c r="J371" s="29">
        <v>280.0</v>
      </c>
      <c r="K371" s="29">
        <v>1.0</v>
      </c>
      <c r="L371" s="22">
        <f t="shared" si="9"/>
        <v>280</v>
      </c>
      <c r="M371" s="29">
        <v>280.0</v>
      </c>
      <c r="N371" s="29" t="s">
        <v>25</v>
      </c>
      <c r="O371" s="30" t="s">
        <v>338</v>
      </c>
      <c r="P371" s="26"/>
      <c r="Q371" s="32"/>
    </row>
    <row r="372" ht="25.5" customHeight="1">
      <c r="A372" s="33"/>
      <c r="B372" s="16">
        <v>1263.0</v>
      </c>
      <c r="C372" s="17" t="s">
        <v>339</v>
      </c>
      <c r="D372" s="34" t="str">
        <f>vlookup($C372,CSDL!$A:$E,2,0)</f>
        <v/>
      </c>
      <c r="E372" s="19" t="str">
        <f>vlookup($C372,CSDL!$A:$E,3,0)</f>
        <v>32 Kim Long</v>
      </c>
      <c r="F372" s="19" t="str">
        <f>vlookup($C372,CSDL!$A:$E,4,0)</f>
        <v/>
      </c>
      <c r="G372" s="20" t="str">
        <f>vlookup($C372,CSDL!$A:$E,5,0)</f>
        <v/>
      </c>
      <c r="H372" s="16"/>
      <c r="I372" s="23" t="s">
        <v>52</v>
      </c>
      <c r="J372" s="23">
        <v>180.0</v>
      </c>
      <c r="K372" s="23">
        <v>1.0</v>
      </c>
      <c r="L372" s="22">
        <f t="shared" si="9"/>
        <v>180</v>
      </c>
      <c r="M372" s="23">
        <v>320.0</v>
      </c>
      <c r="N372" s="23" t="s">
        <v>25</v>
      </c>
      <c r="O372" s="24" t="s">
        <v>340</v>
      </c>
      <c r="P372" s="33"/>
      <c r="Q372" s="25"/>
    </row>
    <row r="373" ht="25.5" customHeight="1">
      <c r="A373" s="26"/>
      <c r="B373" s="28">
        <v>1263.0</v>
      </c>
      <c r="C373" s="17"/>
      <c r="D373" s="34" t="str">
        <f>vlookup($C373,CSDL!$A:$E,2,0)</f>
        <v>#N/A</v>
      </c>
      <c r="E373" s="19" t="str">
        <f>vlookup($C373,CSDL!$A:$E,3,0)</f>
        <v>#N/A</v>
      </c>
      <c r="F373" s="19" t="str">
        <f>vlookup($C373,CSDL!$A:$E,4,0)</f>
        <v>#N/A</v>
      </c>
      <c r="G373" s="27" t="str">
        <f>vlookup($C373,CSDL!$A:$E,5,0)</f>
        <v>#N/A</v>
      </c>
      <c r="H373" s="28"/>
      <c r="I373" s="29" t="s">
        <v>33</v>
      </c>
      <c r="J373" s="29">
        <v>20.0</v>
      </c>
      <c r="K373" s="29">
        <v>1.0</v>
      </c>
      <c r="L373" s="22">
        <f t="shared" si="9"/>
        <v>20</v>
      </c>
      <c r="M373" s="29">
        <v>20.0</v>
      </c>
      <c r="N373" s="29" t="s">
        <v>34</v>
      </c>
      <c r="O373" s="30"/>
      <c r="P373" s="26"/>
      <c r="Q373" s="28"/>
    </row>
    <row r="374" ht="25.5" customHeight="1">
      <c r="A374" s="33"/>
      <c r="B374" s="16">
        <v>1263.0</v>
      </c>
      <c r="C374" s="17"/>
      <c r="D374" s="34" t="str">
        <f>vlookup($C374,CSDL!$A:$E,2,0)</f>
        <v>#N/A</v>
      </c>
      <c r="E374" s="19" t="str">
        <f>vlookup($C374,CSDL!$A:$E,3,0)</f>
        <v>#N/A</v>
      </c>
      <c r="F374" s="19" t="str">
        <f>vlookup($C374,CSDL!$A:$E,4,0)</f>
        <v>#N/A</v>
      </c>
      <c r="G374" s="20" t="str">
        <f>vlookup($C374,CSDL!$A:$E,5,0)</f>
        <v>#N/A</v>
      </c>
      <c r="H374" s="16"/>
      <c r="I374" s="23" t="s">
        <v>27</v>
      </c>
      <c r="J374" s="23">
        <v>30.0</v>
      </c>
      <c r="K374" s="23">
        <v>4.0</v>
      </c>
      <c r="L374" s="22">
        <f t="shared" si="9"/>
        <v>120</v>
      </c>
      <c r="M374" s="23"/>
      <c r="N374" s="23"/>
      <c r="O374" s="24"/>
      <c r="P374" s="33"/>
      <c r="Q374" s="25"/>
    </row>
    <row r="375" ht="25.5" customHeight="1">
      <c r="A375" s="31"/>
      <c r="B375" s="28">
        <v>1263.0</v>
      </c>
      <c r="C375" s="17"/>
      <c r="D375" s="34" t="str">
        <f>vlookup($C375,CSDL!$A:$E,2,0)</f>
        <v>#N/A</v>
      </c>
      <c r="E375" s="19" t="str">
        <f>vlookup($C375,CSDL!$A:$E,3,0)</f>
        <v>#N/A</v>
      </c>
      <c r="F375" s="19" t="str">
        <f>vlookup($C375,CSDL!$A:$E,4,0)</f>
        <v>#N/A</v>
      </c>
      <c r="G375" s="27" t="str">
        <f>vlookup($C375,CSDL!$A:$E,5,0)</f>
        <v>#N/A</v>
      </c>
      <c r="H375" s="28"/>
      <c r="I375" s="29" t="s">
        <v>22</v>
      </c>
      <c r="J375" s="29">
        <v>20.0</v>
      </c>
      <c r="K375" s="29">
        <v>1.0</v>
      </c>
      <c r="L375" s="22">
        <f t="shared" si="9"/>
        <v>20</v>
      </c>
      <c r="M375" s="29"/>
      <c r="N375" s="29"/>
      <c r="O375" s="30"/>
      <c r="P375" s="26"/>
      <c r="Q375" s="32"/>
    </row>
    <row r="376" ht="25.5" customHeight="1">
      <c r="A376" s="15">
        <v>45990.0</v>
      </c>
      <c r="B376" s="16"/>
      <c r="C376" s="17"/>
      <c r="D376" s="18" t="s">
        <v>21</v>
      </c>
      <c r="E376" s="19" t="str">
        <f>vlookup($C376,CSDL!$A:$E,3,0)</f>
        <v>#N/A</v>
      </c>
      <c r="F376" s="19" t="str">
        <f>vlookup($C376,CSDL!$A:$E,4,0)</f>
        <v>#N/A</v>
      </c>
      <c r="G376" s="20" t="str">
        <f>vlookup($C376,CSDL!$A:$E,5,0)</f>
        <v>#N/A</v>
      </c>
      <c r="H376" s="16"/>
      <c r="I376" s="23" t="s">
        <v>83</v>
      </c>
      <c r="J376" s="23">
        <v>100.0</v>
      </c>
      <c r="K376" s="23">
        <v>1.0</v>
      </c>
      <c r="L376" s="22">
        <f t="shared" si="9"/>
        <v>100</v>
      </c>
      <c r="M376" s="23">
        <v>100.0</v>
      </c>
      <c r="N376" s="23" t="s">
        <v>43</v>
      </c>
      <c r="O376" s="24"/>
      <c r="P376" s="33"/>
      <c r="Q376" s="25"/>
    </row>
    <row r="377" ht="25.5" customHeight="1">
      <c r="A377" s="26"/>
      <c r="B377" s="28">
        <v>1264.0</v>
      </c>
      <c r="C377" s="17" t="s">
        <v>339</v>
      </c>
      <c r="D377" s="34" t="str">
        <f>vlookup($C377,CSDL!$A:$E,2,0)</f>
        <v/>
      </c>
      <c r="E377" s="19" t="str">
        <f>vlookup($C377,CSDL!$A:$E,3,0)</f>
        <v>32 Kim Long</v>
      </c>
      <c r="F377" s="19" t="str">
        <f>vlookup($C377,CSDL!$A:$E,4,0)</f>
        <v/>
      </c>
      <c r="G377" s="27" t="str">
        <f>vlookup($C377,CSDL!$A:$E,5,0)</f>
        <v/>
      </c>
      <c r="H377" s="28"/>
      <c r="I377" s="29" t="s">
        <v>132</v>
      </c>
      <c r="J377" s="29">
        <v>350.0</v>
      </c>
      <c r="K377" s="29">
        <v>2.0</v>
      </c>
      <c r="L377" s="22">
        <f t="shared" si="9"/>
        <v>700</v>
      </c>
      <c r="M377" s="29">
        <v>1410.0</v>
      </c>
      <c r="N377" s="29" t="s">
        <v>25</v>
      </c>
      <c r="O377" s="30" t="s">
        <v>341</v>
      </c>
      <c r="P377" s="26"/>
      <c r="Q377" s="32"/>
    </row>
    <row r="378" ht="25.5" customHeight="1">
      <c r="A378" s="42"/>
      <c r="B378" s="16">
        <v>1264.0</v>
      </c>
      <c r="C378" s="17"/>
      <c r="D378" s="34" t="str">
        <f>vlookup($C378,CSDL!$A:$E,2,0)</f>
        <v>#N/A</v>
      </c>
      <c r="E378" s="19" t="str">
        <f>vlookup($C378,CSDL!$A:$E,3,0)</f>
        <v>#N/A</v>
      </c>
      <c r="F378" s="19" t="str">
        <f>vlookup($C378,CSDL!$A:$E,4,0)</f>
        <v>#N/A</v>
      </c>
      <c r="G378" s="20" t="str">
        <f>vlookup($C378,CSDL!$A:$E,5,0)</f>
        <v>#N/A</v>
      </c>
      <c r="H378" s="16"/>
      <c r="I378" s="23" t="s">
        <v>95</v>
      </c>
      <c r="J378" s="23">
        <v>100.0</v>
      </c>
      <c r="K378" s="23">
        <v>1.0</v>
      </c>
      <c r="L378" s="22">
        <f t="shared" si="9"/>
        <v>100</v>
      </c>
      <c r="M378" s="23"/>
      <c r="N378" s="23"/>
      <c r="O378" s="24"/>
      <c r="P378" s="33"/>
      <c r="Q378" s="42"/>
    </row>
    <row r="379" ht="25.5" customHeight="1">
      <c r="A379" s="31"/>
      <c r="B379" s="28">
        <v>1264.0</v>
      </c>
      <c r="C379" s="17"/>
      <c r="D379" s="34" t="str">
        <f>vlookup($C379,CSDL!$A:$E,2,0)</f>
        <v>#N/A</v>
      </c>
      <c r="E379" s="19" t="str">
        <f>vlookup($C379,CSDL!$A:$E,3,0)</f>
        <v>#N/A</v>
      </c>
      <c r="F379" s="19" t="str">
        <f>vlookup($C379,CSDL!$A:$E,4,0)</f>
        <v>#N/A</v>
      </c>
      <c r="G379" s="27" t="str">
        <f>vlookup($C379,CSDL!$A:$E,5,0)</f>
        <v>#N/A</v>
      </c>
      <c r="H379" s="28"/>
      <c r="I379" s="29" t="s">
        <v>95</v>
      </c>
      <c r="J379" s="29">
        <v>100.0</v>
      </c>
      <c r="K379" s="29">
        <v>1.0</v>
      </c>
      <c r="L379" s="22">
        <f t="shared" si="9"/>
        <v>100</v>
      </c>
      <c r="M379" s="29"/>
      <c r="N379" s="29"/>
      <c r="O379" s="30"/>
      <c r="P379" s="26"/>
      <c r="Q379" s="32"/>
    </row>
    <row r="380" ht="25.5" customHeight="1">
      <c r="A380" s="33"/>
      <c r="B380" s="16">
        <v>1264.0</v>
      </c>
      <c r="C380" s="17"/>
      <c r="D380" s="34" t="str">
        <f>vlookup($C380,CSDL!$A:$E,2,0)</f>
        <v>#N/A</v>
      </c>
      <c r="E380" s="19" t="str">
        <f>vlookup($C380,CSDL!$A:$E,3,0)</f>
        <v>#N/A</v>
      </c>
      <c r="F380" s="19" t="str">
        <f>vlookup($C380,CSDL!$A:$E,4,0)</f>
        <v>#N/A</v>
      </c>
      <c r="G380" s="20" t="str">
        <f>vlookup($C380,CSDL!$A:$E,5,0)</f>
        <v>#N/A</v>
      </c>
      <c r="H380" s="16"/>
      <c r="I380" s="23" t="s">
        <v>52</v>
      </c>
      <c r="J380" s="23">
        <v>180.0</v>
      </c>
      <c r="K380" s="23">
        <v>1.0</v>
      </c>
      <c r="L380" s="22">
        <f t="shared" si="9"/>
        <v>180</v>
      </c>
      <c r="M380" s="23"/>
      <c r="N380" s="23"/>
      <c r="O380" s="24"/>
      <c r="P380" s="33"/>
      <c r="Q380" s="25"/>
    </row>
    <row r="381" ht="25.5" customHeight="1">
      <c r="A381" s="26"/>
      <c r="B381" s="28">
        <v>1264.0</v>
      </c>
      <c r="C381" s="17"/>
      <c r="D381" s="34" t="str">
        <f>vlookup($C381,CSDL!$A:$E,2,0)</f>
        <v>#N/A</v>
      </c>
      <c r="E381" s="19" t="str">
        <f>vlookup($C381,CSDL!$A:$E,3,0)</f>
        <v>#N/A</v>
      </c>
      <c r="F381" s="19" t="str">
        <f>vlookup($C381,CSDL!$A:$E,4,0)</f>
        <v>#N/A</v>
      </c>
      <c r="G381" s="27" t="str">
        <f>vlookup($C381,CSDL!$A:$E,5,0)</f>
        <v>#N/A</v>
      </c>
      <c r="H381" s="28"/>
      <c r="I381" s="29" t="s">
        <v>52</v>
      </c>
      <c r="J381" s="29">
        <v>180.0</v>
      </c>
      <c r="K381" s="29">
        <v>1.0</v>
      </c>
      <c r="L381" s="22">
        <f t="shared" si="9"/>
        <v>180</v>
      </c>
      <c r="M381" s="29"/>
      <c r="N381" s="29"/>
      <c r="O381" s="30"/>
      <c r="P381" s="26"/>
      <c r="Q381" s="32"/>
    </row>
    <row r="382" ht="25.5" customHeight="1">
      <c r="A382" s="33"/>
      <c r="B382" s="16">
        <v>1264.0</v>
      </c>
      <c r="C382" s="17"/>
      <c r="D382" s="34" t="str">
        <f>vlookup($C382,CSDL!$A:$E,2,0)</f>
        <v>#N/A</v>
      </c>
      <c r="E382" s="19" t="str">
        <f>vlookup($C382,CSDL!$A:$E,3,0)</f>
        <v>#N/A</v>
      </c>
      <c r="F382" s="19" t="str">
        <f>vlookup($C382,CSDL!$A:$E,4,0)</f>
        <v>#N/A</v>
      </c>
      <c r="G382" s="20" t="str">
        <f>vlookup($C382,CSDL!$A:$E,5,0)</f>
        <v>#N/A</v>
      </c>
      <c r="H382" s="16"/>
      <c r="I382" s="23" t="s">
        <v>83</v>
      </c>
      <c r="J382" s="23">
        <v>150.0</v>
      </c>
      <c r="K382" s="23">
        <v>1.0</v>
      </c>
      <c r="L382" s="22">
        <f t="shared" si="9"/>
        <v>150</v>
      </c>
      <c r="M382" s="23"/>
      <c r="N382" s="23"/>
      <c r="O382" s="24"/>
      <c r="P382" s="33"/>
      <c r="Q382" s="25"/>
    </row>
    <row r="383" ht="25.5" customHeight="1">
      <c r="A383" s="26"/>
      <c r="B383" s="28">
        <v>1265.0</v>
      </c>
      <c r="C383" s="17" t="s">
        <v>342</v>
      </c>
      <c r="D383" s="34" t="str">
        <f>vlookup($C383,CSDL!$A:$E,2,0)</f>
        <v>Dì Tú</v>
      </c>
      <c r="E383" s="19" t="str">
        <f>vlookup($C383,CSDL!$A:$E,3,0)</f>
        <v>12/12 Nguyễn Phúc Nguyên</v>
      </c>
      <c r="F383" s="37" t="s">
        <v>74</v>
      </c>
      <c r="G383" s="35" t="s">
        <v>343</v>
      </c>
      <c r="H383" s="28">
        <v>0.6</v>
      </c>
      <c r="I383" s="29" t="s">
        <v>56</v>
      </c>
      <c r="J383" s="29">
        <v>800.0</v>
      </c>
      <c r="K383" s="29">
        <v>1.0</v>
      </c>
      <c r="L383" s="22">
        <f t="shared" si="9"/>
        <v>800</v>
      </c>
      <c r="M383" s="29">
        <v>800.0</v>
      </c>
      <c r="N383" s="29" t="s">
        <v>43</v>
      </c>
      <c r="O383" s="30"/>
      <c r="P383" s="26"/>
      <c r="Q383" s="32"/>
    </row>
    <row r="384" ht="25.5" customHeight="1">
      <c r="A384" s="33"/>
      <c r="B384" s="16">
        <v>1266.0</v>
      </c>
      <c r="C384" s="17" t="s">
        <v>344</v>
      </c>
      <c r="D384" s="34" t="str">
        <f>vlookup($C384,CSDL!$A:$E,2,0)</f>
        <v/>
      </c>
      <c r="E384" s="19" t="str">
        <f>vlookup($C384,CSDL!$A:$E,3,0)</f>
        <v/>
      </c>
      <c r="F384" s="19" t="str">
        <f>vlookup($C384,CSDL!$A:$E,4,0)</f>
        <v/>
      </c>
      <c r="G384" s="20" t="str">
        <f>vlookup($C384,CSDL!$A:$E,5,0)</f>
        <v/>
      </c>
      <c r="H384" s="16"/>
      <c r="I384" s="23" t="s">
        <v>52</v>
      </c>
      <c r="J384" s="23">
        <v>180.0</v>
      </c>
      <c r="K384" s="23">
        <v>1.0</v>
      </c>
      <c r="L384" s="22">
        <f t="shared" si="9"/>
        <v>180</v>
      </c>
      <c r="M384" s="23">
        <v>186.0</v>
      </c>
      <c r="N384" s="23" t="s">
        <v>65</v>
      </c>
      <c r="O384" s="24"/>
      <c r="P384" s="33"/>
      <c r="Q384" s="25"/>
    </row>
    <row r="385" ht="25.5" customHeight="1">
      <c r="A385" s="26"/>
      <c r="B385" s="28">
        <v>1266.0</v>
      </c>
      <c r="C385" s="17"/>
      <c r="D385" s="34" t="str">
        <f>vlookup($C385,CSDL!$A:$E,2,0)</f>
        <v>#N/A</v>
      </c>
      <c r="E385" s="19" t="str">
        <f>vlookup($C385,CSDL!$A:$E,3,0)</f>
        <v>#N/A</v>
      </c>
      <c r="F385" s="19" t="str">
        <f>vlookup($C385,CSDL!$A:$E,4,0)</f>
        <v>#N/A</v>
      </c>
      <c r="G385" s="27" t="str">
        <f>vlookup($C385,CSDL!$A:$E,5,0)</f>
        <v>#N/A</v>
      </c>
      <c r="H385" s="28"/>
      <c r="I385" s="29" t="s">
        <v>90</v>
      </c>
      <c r="J385" s="29">
        <v>6.0</v>
      </c>
      <c r="K385" s="29">
        <v>1.0</v>
      </c>
      <c r="L385" s="22">
        <f t="shared" si="9"/>
        <v>6</v>
      </c>
      <c r="M385" s="29"/>
      <c r="N385" s="29"/>
      <c r="O385" s="30"/>
      <c r="P385" s="26"/>
      <c r="Q385" s="32"/>
    </row>
    <row r="386" ht="25.5" customHeight="1">
      <c r="A386" s="33"/>
      <c r="B386" s="16">
        <v>1267.0</v>
      </c>
      <c r="C386" s="17" t="s">
        <v>345</v>
      </c>
      <c r="D386" s="34" t="str">
        <f>vlookup($C386,CSDL!$A:$E,2,0)</f>
        <v>Chị yến</v>
      </c>
      <c r="E386" s="19" t="str">
        <f>vlookup($C386,CSDL!$A:$E,3,0)</f>
        <v>43 Trần Thúc Nhẫn</v>
      </c>
      <c r="F386" s="19" t="str">
        <f>vlookup($C386,CSDL!$A:$E,4,0)</f>
        <v>Chó</v>
      </c>
      <c r="G386" s="20" t="str">
        <f>vlookup($C386,CSDL!$A:$E,5,0)</f>
        <v>Liu</v>
      </c>
      <c r="H386" s="16"/>
      <c r="I386" s="23" t="s">
        <v>95</v>
      </c>
      <c r="J386" s="23">
        <v>100.0</v>
      </c>
      <c r="K386" s="23">
        <v>1.0</v>
      </c>
      <c r="L386" s="22">
        <f t="shared" si="9"/>
        <v>100</v>
      </c>
      <c r="M386" s="23">
        <v>230.0</v>
      </c>
      <c r="N386" s="23" t="s">
        <v>43</v>
      </c>
      <c r="O386" s="24"/>
      <c r="P386" s="33"/>
      <c r="Q386" s="25"/>
    </row>
    <row r="387" ht="25.5" customHeight="1">
      <c r="A387" s="26"/>
      <c r="B387" s="28">
        <v>1267.0</v>
      </c>
      <c r="C387" s="17"/>
      <c r="D387" s="34" t="str">
        <f>vlookup($C387,CSDL!$A:$E,2,0)</f>
        <v>#N/A</v>
      </c>
      <c r="E387" s="19" t="str">
        <f>vlookup($C387,CSDL!$A:$E,3,0)</f>
        <v>#N/A</v>
      </c>
      <c r="F387" s="19" t="str">
        <f>vlookup($C387,CSDL!$A:$E,4,0)</f>
        <v>#N/A</v>
      </c>
      <c r="G387" s="27" t="str">
        <f>vlookup($C387,CSDL!$A:$E,5,0)</f>
        <v>#N/A</v>
      </c>
      <c r="H387" s="28"/>
      <c r="I387" s="29" t="s">
        <v>346</v>
      </c>
      <c r="J387" s="29">
        <v>30.0</v>
      </c>
      <c r="K387" s="29">
        <v>1.0</v>
      </c>
      <c r="L387" s="22">
        <f t="shared" si="9"/>
        <v>30</v>
      </c>
      <c r="M387" s="29"/>
      <c r="N387" s="29"/>
      <c r="O387" s="30"/>
      <c r="P387" s="26"/>
      <c r="Q387" s="32"/>
    </row>
    <row r="388" ht="25.5" customHeight="1">
      <c r="A388" s="33"/>
      <c r="B388" s="16">
        <v>1267.0</v>
      </c>
      <c r="C388" s="17"/>
      <c r="D388" s="34" t="str">
        <f>vlookup($C388,CSDL!$A:$E,2,0)</f>
        <v>#N/A</v>
      </c>
      <c r="E388" s="19" t="str">
        <f>vlookup($C388,CSDL!$A:$E,3,0)</f>
        <v>#N/A</v>
      </c>
      <c r="F388" s="19" t="str">
        <f>vlookup($C388,CSDL!$A:$E,4,0)</f>
        <v>#N/A</v>
      </c>
      <c r="G388" s="20" t="str">
        <f>vlookup($C388,CSDL!$A:$E,5,0)</f>
        <v>#N/A</v>
      </c>
      <c r="H388" s="16"/>
      <c r="I388" s="23" t="s">
        <v>95</v>
      </c>
      <c r="J388" s="23">
        <v>100.0</v>
      </c>
      <c r="K388" s="23">
        <v>1.0</v>
      </c>
      <c r="L388" s="22">
        <f t="shared" si="9"/>
        <v>100</v>
      </c>
      <c r="M388" s="23"/>
      <c r="N388" s="23"/>
      <c r="O388" s="24"/>
      <c r="P388" s="33"/>
      <c r="Q388" s="47"/>
    </row>
    <row r="389" ht="25.5" customHeight="1">
      <c r="A389" s="26"/>
      <c r="B389" s="28"/>
      <c r="C389" s="17"/>
      <c r="D389" s="18" t="s">
        <v>21</v>
      </c>
      <c r="E389" s="19" t="str">
        <f>vlookup($C389,CSDL!$A:$E,3,0)</f>
        <v>#N/A</v>
      </c>
      <c r="F389" s="19" t="str">
        <f>vlookup($C389,CSDL!$A:$E,4,0)</f>
        <v>#N/A</v>
      </c>
      <c r="G389" s="27" t="str">
        <f>vlookup($C389,CSDL!$A:$E,5,0)</f>
        <v>#N/A</v>
      </c>
      <c r="H389" s="28"/>
      <c r="I389" s="29" t="s">
        <v>53</v>
      </c>
      <c r="J389" s="29">
        <v>10.0</v>
      </c>
      <c r="K389" s="29">
        <v>4.0</v>
      </c>
      <c r="L389" s="22">
        <f t="shared" si="9"/>
        <v>40</v>
      </c>
      <c r="M389" s="29">
        <v>40.0</v>
      </c>
      <c r="N389" s="29" t="s">
        <v>65</v>
      </c>
      <c r="O389" s="30"/>
      <c r="P389" s="26"/>
      <c r="Q389" s="41"/>
    </row>
    <row r="390" ht="25.5" customHeight="1">
      <c r="A390" s="42"/>
      <c r="B390" s="16"/>
      <c r="C390" s="17"/>
      <c r="D390" s="18" t="s">
        <v>347</v>
      </c>
      <c r="E390" s="19" t="str">
        <f>vlookup($C390,CSDL!$A:$E,3,0)</f>
        <v>#N/A</v>
      </c>
      <c r="F390" s="19" t="str">
        <f>vlookup($C390,CSDL!$A:$E,4,0)</f>
        <v>#N/A</v>
      </c>
      <c r="G390" s="20" t="str">
        <f>vlookup($C390,CSDL!$A:$E,5,0)</f>
        <v>#N/A</v>
      </c>
      <c r="H390" s="16"/>
      <c r="I390" s="23" t="s">
        <v>52</v>
      </c>
      <c r="J390" s="23">
        <v>180.0</v>
      </c>
      <c r="K390" s="23">
        <v>1.0</v>
      </c>
      <c r="L390" s="22">
        <f t="shared" si="9"/>
        <v>180</v>
      </c>
      <c r="M390" s="23">
        <v>280.0</v>
      </c>
      <c r="N390" s="23" t="s">
        <v>25</v>
      </c>
      <c r="O390" s="24" t="s">
        <v>348</v>
      </c>
      <c r="P390" s="15"/>
      <c r="Q390" s="42"/>
    </row>
    <row r="391" ht="25.5" customHeight="1">
      <c r="A391" s="31"/>
      <c r="B391" s="28"/>
      <c r="C391" s="17"/>
      <c r="D391" s="34" t="str">
        <f>vlookup($C391,CSDL!$A:$E,2,0)</f>
        <v>#N/A</v>
      </c>
      <c r="E391" s="19" t="str">
        <f>vlookup($C391,CSDL!$A:$E,3,0)</f>
        <v>#N/A</v>
      </c>
      <c r="F391" s="19" t="str">
        <f>vlookup($C391,CSDL!$A:$E,4,0)</f>
        <v>#N/A</v>
      </c>
      <c r="G391" s="27" t="str">
        <f>vlookup($C391,CSDL!$A:$E,5,0)</f>
        <v>#N/A</v>
      </c>
      <c r="H391" s="28"/>
      <c r="I391" s="29" t="s">
        <v>95</v>
      </c>
      <c r="J391" s="29">
        <v>100.0</v>
      </c>
      <c r="K391" s="29">
        <v>1.0</v>
      </c>
      <c r="L391" s="22">
        <f t="shared" si="9"/>
        <v>100</v>
      </c>
      <c r="M391" s="29"/>
      <c r="N391" s="29"/>
      <c r="O391" s="30"/>
      <c r="P391" s="31"/>
      <c r="Q391" s="28"/>
    </row>
    <row r="392" ht="25.5" customHeight="1">
      <c r="A392" s="33"/>
      <c r="B392" s="16">
        <v>1268.0</v>
      </c>
      <c r="C392" s="17" t="s">
        <v>349</v>
      </c>
      <c r="D392" s="34" t="str">
        <f>vlookup($C392,CSDL!$A:$E,2,0)</f>
        <v>Chị Hằng</v>
      </c>
      <c r="E392" s="19" t="str">
        <f>vlookup($C392,CSDL!$A:$E,3,0)</f>
        <v>111 Long Hồ</v>
      </c>
      <c r="F392" s="37" t="s">
        <v>74</v>
      </c>
      <c r="G392" s="36" t="s">
        <v>98</v>
      </c>
      <c r="H392" s="16"/>
      <c r="I392" s="23" t="s">
        <v>134</v>
      </c>
      <c r="J392" s="23">
        <v>500.0</v>
      </c>
      <c r="K392" s="23">
        <v>1.0</v>
      </c>
      <c r="L392" s="22">
        <f t="shared" si="9"/>
        <v>500</v>
      </c>
      <c r="M392" s="23">
        <f>500-35</f>
        <v>465</v>
      </c>
      <c r="N392" s="23" t="s">
        <v>25</v>
      </c>
      <c r="O392" s="24" t="s">
        <v>350</v>
      </c>
      <c r="P392" s="15"/>
      <c r="Q392" s="25"/>
    </row>
    <row r="393" ht="25.5" customHeight="1">
      <c r="A393" s="26"/>
      <c r="B393" s="28">
        <v>1268.0</v>
      </c>
      <c r="C393" s="17"/>
      <c r="D393" s="34" t="str">
        <f>vlookup($C393,CSDL!$A:$E,2,0)</f>
        <v>#N/A</v>
      </c>
      <c r="E393" s="19" t="str">
        <f>vlookup($C393,CSDL!$A:$E,3,0)</f>
        <v>#N/A</v>
      </c>
      <c r="F393" s="19" t="str">
        <f>vlookup($C393,CSDL!$A:$E,4,0)</f>
        <v>#N/A</v>
      </c>
      <c r="G393" s="27" t="str">
        <f>vlookup($C393,CSDL!$A:$E,5,0)</f>
        <v>#N/A</v>
      </c>
      <c r="H393" s="28"/>
      <c r="I393" s="29" t="s">
        <v>311</v>
      </c>
      <c r="J393" s="29">
        <v>100.0</v>
      </c>
      <c r="K393" s="29">
        <v>1.0</v>
      </c>
      <c r="L393" s="22">
        <f t="shared" si="9"/>
        <v>100</v>
      </c>
      <c r="M393" s="29">
        <v>35.0</v>
      </c>
      <c r="N393" s="29" t="s">
        <v>34</v>
      </c>
      <c r="O393" s="30"/>
      <c r="P393" s="26"/>
      <c r="Q393" s="45"/>
    </row>
    <row r="394" ht="25.5" customHeight="1">
      <c r="A394" s="15"/>
      <c r="B394" s="16">
        <v>1268.0</v>
      </c>
      <c r="C394" s="17"/>
      <c r="D394" s="34" t="str">
        <f>vlookup($C394,CSDL!$A:$E,2,0)</f>
        <v>#N/A</v>
      </c>
      <c r="E394" s="19" t="str">
        <f>vlookup($C394,CSDL!$A:$E,3,0)</f>
        <v>#N/A</v>
      </c>
      <c r="F394" s="19" t="str">
        <f>vlookup($C394,CSDL!$A:$E,4,0)</f>
        <v>#N/A</v>
      </c>
      <c r="G394" s="20" t="str">
        <f>vlookup($C394,CSDL!$A:$E,5,0)</f>
        <v>#N/A</v>
      </c>
      <c r="H394" s="16"/>
      <c r="I394" s="23" t="s">
        <v>22</v>
      </c>
      <c r="J394" s="23">
        <v>20.0</v>
      </c>
      <c r="K394" s="23">
        <v>1.0</v>
      </c>
      <c r="L394" s="22">
        <f t="shared" si="9"/>
        <v>20</v>
      </c>
      <c r="M394" s="23"/>
      <c r="N394" s="23"/>
      <c r="O394" s="24"/>
      <c r="P394" s="33"/>
      <c r="Q394" s="25"/>
    </row>
    <row r="395" ht="25.5" customHeight="1">
      <c r="A395" s="26"/>
      <c r="B395" s="28">
        <v>1268.0</v>
      </c>
      <c r="C395" s="17"/>
      <c r="D395" s="34" t="str">
        <f>vlookup($C395,CSDL!$A:$E,2,0)</f>
        <v>#N/A</v>
      </c>
      <c r="E395" s="19" t="str">
        <f>vlookup($C395,CSDL!$A:$E,3,0)</f>
        <v>#N/A</v>
      </c>
      <c r="F395" s="19" t="str">
        <f>vlookup($C395,CSDL!$A:$E,4,0)</f>
        <v>#N/A</v>
      </c>
      <c r="G395" s="27" t="str">
        <f>vlookup($C395,CSDL!$A:$E,5,0)</f>
        <v>#N/A</v>
      </c>
      <c r="H395" s="28"/>
      <c r="I395" s="29" t="s">
        <v>24</v>
      </c>
      <c r="J395" s="29">
        <v>30.0</v>
      </c>
      <c r="K395" s="29">
        <v>4.0</v>
      </c>
      <c r="L395" s="22">
        <f t="shared" si="9"/>
        <v>120</v>
      </c>
      <c r="M395" s="29"/>
      <c r="N395" s="29"/>
      <c r="O395" s="30"/>
      <c r="P395" s="26"/>
      <c r="Q395" s="32"/>
    </row>
    <row r="396" ht="25.5" customHeight="1">
      <c r="A396" s="33"/>
      <c r="B396" s="16">
        <v>1268.0</v>
      </c>
      <c r="C396" s="17"/>
      <c r="D396" s="34" t="str">
        <f>vlookup($C396,CSDL!$A:$E,2,0)</f>
        <v>#N/A</v>
      </c>
      <c r="E396" s="19" t="str">
        <f>vlookup($C396,CSDL!$A:$E,3,0)</f>
        <v>#N/A</v>
      </c>
      <c r="F396" s="19" t="str">
        <f>vlookup($C396,CSDL!$A:$E,4,0)</f>
        <v>#N/A</v>
      </c>
      <c r="G396" s="20" t="str">
        <f>vlookup($C396,CSDL!$A:$E,5,0)</f>
        <v>#N/A</v>
      </c>
      <c r="H396" s="16"/>
      <c r="I396" s="23" t="s">
        <v>33</v>
      </c>
      <c r="J396" s="23">
        <v>35.0</v>
      </c>
      <c r="K396" s="23">
        <v>1.0</v>
      </c>
      <c r="L396" s="22">
        <f t="shared" si="9"/>
        <v>35</v>
      </c>
      <c r="M396" s="23"/>
      <c r="N396" s="23"/>
      <c r="O396" s="24"/>
      <c r="P396" s="33"/>
      <c r="Q396" s="16"/>
    </row>
    <row r="397" ht="25.5" customHeight="1">
      <c r="A397" s="26"/>
      <c r="B397" s="28">
        <v>1268.0</v>
      </c>
      <c r="C397" s="17"/>
      <c r="D397" s="34" t="str">
        <f>vlookup($C397,CSDL!$A:$E,2,0)</f>
        <v>#N/A</v>
      </c>
      <c r="E397" s="19" t="str">
        <f>vlookup($C397,CSDL!$A:$E,3,0)</f>
        <v>#N/A</v>
      </c>
      <c r="F397" s="19" t="str">
        <f>vlookup($C397,CSDL!$A:$E,4,0)</f>
        <v>#N/A</v>
      </c>
      <c r="G397" s="27" t="str">
        <f>vlookup($C397,CSDL!$A:$E,5,0)</f>
        <v>#N/A</v>
      </c>
      <c r="H397" s="28"/>
      <c r="I397" s="29" t="s">
        <v>90</v>
      </c>
      <c r="J397" s="29">
        <v>15.0</v>
      </c>
      <c r="K397" s="29">
        <v>1.0</v>
      </c>
      <c r="L397" s="22">
        <f t="shared" si="9"/>
        <v>15</v>
      </c>
      <c r="M397" s="29"/>
      <c r="N397" s="29"/>
      <c r="O397" s="30"/>
      <c r="P397" s="26"/>
      <c r="Q397" s="32"/>
    </row>
    <row r="398" ht="25.5" customHeight="1">
      <c r="A398" s="33"/>
      <c r="B398" s="16">
        <v>1269.0</v>
      </c>
      <c r="C398" s="17" t="s">
        <v>351</v>
      </c>
      <c r="D398" s="34" t="str">
        <f>vlookup($C398,CSDL!$A:$E,2,0)</f>
        <v>Anh Nghĩa</v>
      </c>
      <c r="E398" s="19" t="str">
        <f>vlookup($C398,CSDL!$A:$E,3,0)</f>
        <v>9/214 Ngự Bình</v>
      </c>
      <c r="F398" s="19" t="str">
        <f>vlookup($C398,CSDL!$A:$E,4,0)</f>
        <v>Chó</v>
      </c>
      <c r="G398" s="20" t="str">
        <f>vlookup($C398,CSDL!$A:$E,5,0)</f>
        <v>Beo</v>
      </c>
      <c r="H398" s="16"/>
      <c r="I398" s="23" t="s">
        <v>290</v>
      </c>
      <c r="J398" s="23">
        <v>150.0</v>
      </c>
      <c r="K398" s="23">
        <v>1.0</v>
      </c>
      <c r="L398" s="22">
        <f t="shared" si="9"/>
        <v>150</v>
      </c>
      <c r="M398" s="23">
        <v>500.0</v>
      </c>
      <c r="N398" s="23" t="s">
        <v>25</v>
      </c>
      <c r="O398" s="24" t="s">
        <v>352</v>
      </c>
      <c r="P398" s="33"/>
      <c r="Q398" s="25"/>
    </row>
    <row r="399" ht="25.5" customHeight="1">
      <c r="A399" s="26"/>
      <c r="B399" s="28">
        <v>1269.0</v>
      </c>
      <c r="C399" s="17"/>
      <c r="D399" s="34" t="str">
        <f>vlookup($C399,CSDL!$A:$E,2,0)</f>
        <v>#N/A</v>
      </c>
      <c r="E399" s="19" t="str">
        <f>vlookup($C399,CSDL!$A:$E,3,0)</f>
        <v>#N/A</v>
      </c>
      <c r="F399" s="19" t="str">
        <f>vlookup($C399,CSDL!$A:$E,4,0)</f>
        <v>#N/A</v>
      </c>
      <c r="G399" s="27" t="str">
        <f>vlookup($C399,CSDL!$A:$E,5,0)</f>
        <v>#N/A</v>
      </c>
      <c r="H399" s="28"/>
      <c r="I399" s="29" t="s">
        <v>59</v>
      </c>
      <c r="J399" s="29">
        <v>150.0</v>
      </c>
      <c r="K399" s="29"/>
      <c r="L399" s="22">
        <f t="shared" si="9"/>
        <v>0</v>
      </c>
      <c r="M399" s="29">
        <v>75.0</v>
      </c>
      <c r="N399" s="29" t="s">
        <v>34</v>
      </c>
      <c r="O399" s="30"/>
      <c r="P399" s="26"/>
      <c r="Q399" s="32"/>
    </row>
    <row r="400" ht="25.5" customHeight="1">
      <c r="A400" s="33"/>
      <c r="B400" s="16">
        <v>1269.0</v>
      </c>
      <c r="C400" s="17"/>
      <c r="D400" s="34" t="str">
        <f>vlookup($C400,CSDL!$A:$E,2,0)</f>
        <v>#N/A</v>
      </c>
      <c r="E400" s="19" t="str">
        <f>vlookup($C400,CSDL!$A:$E,3,0)</f>
        <v>#N/A</v>
      </c>
      <c r="F400" s="19" t="str">
        <f>vlookup($C400,CSDL!$A:$E,4,0)</f>
        <v>#N/A</v>
      </c>
      <c r="G400" s="20" t="str">
        <f>vlookup($C400,CSDL!$A:$E,5,0)</f>
        <v>#N/A</v>
      </c>
      <c r="H400" s="16"/>
      <c r="I400" s="23" t="s">
        <v>33</v>
      </c>
      <c r="J400" s="23">
        <v>75.0</v>
      </c>
      <c r="K400" s="23">
        <v>1.0</v>
      </c>
      <c r="L400" s="22">
        <f t="shared" si="9"/>
        <v>75</v>
      </c>
      <c r="M400" s="23"/>
      <c r="N400" s="23"/>
      <c r="O400" s="24"/>
      <c r="P400" s="33"/>
      <c r="Q400" s="16"/>
    </row>
    <row r="401" ht="25.5" customHeight="1">
      <c r="A401" s="26"/>
      <c r="B401" s="28">
        <v>1270.0</v>
      </c>
      <c r="C401" s="17"/>
      <c r="D401" s="18" t="s">
        <v>353</v>
      </c>
      <c r="E401" s="19" t="str">
        <f>vlookup($C401,CSDL!$A:$E,3,0)</f>
        <v>#N/A</v>
      </c>
      <c r="F401" s="19" t="str">
        <f>vlookup($C401,CSDL!$A:$E,4,0)</f>
        <v>#N/A</v>
      </c>
      <c r="G401" s="27" t="str">
        <f>vlookup($C401,CSDL!$A:$E,5,0)</f>
        <v>#N/A</v>
      </c>
      <c r="H401" s="28"/>
      <c r="I401" s="29" t="s">
        <v>52</v>
      </c>
      <c r="J401" s="29">
        <v>180.0</v>
      </c>
      <c r="K401" s="29">
        <v>1.0</v>
      </c>
      <c r="L401" s="22">
        <f t="shared" si="9"/>
        <v>180</v>
      </c>
      <c r="M401" s="29">
        <v>180.0</v>
      </c>
      <c r="N401" s="29" t="s">
        <v>65</v>
      </c>
      <c r="O401" s="30"/>
      <c r="P401" s="26"/>
      <c r="Q401" s="32"/>
    </row>
    <row r="402" ht="25.5" customHeight="1">
      <c r="A402" s="33"/>
      <c r="B402" s="16">
        <v>1271.0</v>
      </c>
      <c r="C402" s="17"/>
      <c r="D402" s="18" t="s">
        <v>354</v>
      </c>
      <c r="E402" s="19" t="str">
        <f>vlookup($C402,CSDL!$A:$E,3,0)</f>
        <v>#N/A</v>
      </c>
      <c r="F402" s="19" t="str">
        <f>vlookup($C402,CSDL!$A:$E,4,0)</f>
        <v>#N/A</v>
      </c>
      <c r="G402" s="20" t="str">
        <f>vlookup($C402,CSDL!$A:$E,5,0)</f>
        <v>#N/A</v>
      </c>
      <c r="H402" s="16"/>
      <c r="I402" s="23" t="s">
        <v>282</v>
      </c>
      <c r="J402" s="23">
        <v>250.0</v>
      </c>
      <c r="K402" s="23">
        <v>1.0</v>
      </c>
      <c r="L402" s="22">
        <f t="shared" si="9"/>
        <v>250</v>
      </c>
      <c r="M402" s="23">
        <v>460.0</v>
      </c>
      <c r="N402" s="23" t="s">
        <v>65</v>
      </c>
      <c r="O402" s="24"/>
      <c r="P402" s="33"/>
      <c r="Q402" s="25"/>
    </row>
    <row r="403" ht="25.5" customHeight="1">
      <c r="A403" s="26"/>
      <c r="B403" s="28">
        <v>1271.0</v>
      </c>
      <c r="C403" s="17"/>
      <c r="D403" s="34" t="str">
        <f>vlookup($C403,CSDL!$A:$E,2,0)</f>
        <v>#N/A</v>
      </c>
      <c r="E403" s="19" t="str">
        <f>vlookup($C403,CSDL!$A:$E,3,0)</f>
        <v>#N/A</v>
      </c>
      <c r="F403" s="19" t="str">
        <f>vlookup($C403,CSDL!$A:$E,4,0)</f>
        <v>#N/A</v>
      </c>
      <c r="G403" s="27" t="str">
        <f>vlookup($C403,CSDL!$A:$E,5,0)</f>
        <v>#N/A</v>
      </c>
      <c r="H403" s="28"/>
      <c r="I403" s="29" t="s">
        <v>24</v>
      </c>
      <c r="J403" s="29">
        <v>30.0</v>
      </c>
      <c r="K403" s="29">
        <v>7.0</v>
      </c>
      <c r="L403" s="22">
        <f t="shared" si="9"/>
        <v>210</v>
      </c>
      <c r="M403" s="29"/>
      <c r="N403" s="29"/>
      <c r="O403" s="30"/>
      <c r="P403" s="26"/>
      <c r="Q403" s="28"/>
    </row>
    <row r="404" ht="25.5" customHeight="1">
      <c r="A404" s="15"/>
      <c r="B404" s="16">
        <v>1272.0</v>
      </c>
      <c r="C404" s="17" t="s">
        <v>355</v>
      </c>
      <c r="D404" s="34" t="str">
        <f>vlookup($C404,CSDL!$A:$E,2,0)</f>
        <v>Thu Hiền</v>
      </c>
      <c r="E404" s="19" t="str">
        <f>vlookup($C404,CSDL!$A:$E,3,0)</f>
        <v>43 Phan Anh</v>
      </c>
      <c r="F404" s="19" t="str">
        <f>vlookup($C404,CSDL!$A:$E,4,0)</f>
        <v>Chó</v>
      </c>
      <c r="G404" s="20" t="str">
        <f>vlookup($C404,CSDL!$A:$E,5,0)</f>
        <v>Bun</v>
      </c>
      <c r="H404" s="16">
        <v>5.0</v>
      </c>
      <c r="I404" s="23" t="s">
        <v>52</v>
      </c>
      <c r="J404" s="23">
        <v>180.0</v>
      </c>
      <c r="K404" s="23">
        <v>1.0</v>
      </c>
      <c r="L404" s="22">
        <f t="shared" si="9"/>
        <v>180</v>
      </c>
      <c r="M404" s="23">
        <v>370.0</v>
      </c>
      <c r="N404" s="23" t="s">
        <v>43</v>
      </c>
      <c r="O404" s="24"/>
      <c r="P404" s="33"/>
      <c r="Q404" s="25"/>
    </row>
    <row r="405" ht="25.5" customHeight="1">
      <c r="A405" s="26"/>
      <c r="B405" s="28">
        <v>1272.0</v>
      </c>
      <c r="C405" s="17"/>
      <c r="D405" s="34" t="str">
        <f>vlookup($C405,CSDL!$A:$E,2,0)</f>
        <v>#N/A</v>
      </c>
      <c r="E405" s="19" t="str">
        <f>vlookup($C405,CSDL!$A:$E,3,0)</f>
        <v>#N/A</v>
      </c>
      <c r="F405" s="19" t="str">
        <f>vlookup($C405,CSDL!$A:$E,4,0)</f>
        <v>#N/A</v>
      </c>
      <c r="G405" s="27" t="str">
        <f>vlookup($C405,CSDL!$A:$E,5,0)</f>
        <v>#N/A</v>
      </c>
      <c r="H405" s="28"/>
      <c r="I405" s="29" t="s">
        <v>83</v>
      </c>
      <c r="J405" s="29">
        <v>150.0</v>
      </c>
      <c r="K405" s="29">
        <v>1.0</v>
      </c>
      <c r="L405" s="22">
        <f t="shared" si="9"/>
        <v>150</v>
      </c>
      <c r="M405" s="29"/>
      <c r="N405" s="29"/>
      <c r="O405" s="30"/>
      <c r="P405" s="26"/>
      <c r="Q405" s="32"/>
    </row>
    <row r="406" ht="25.5" customHeight="1">
      <c r="A406" s="33"/>
      <c r="B406" s="16">
        <v>1272.0</v>
      </c>
      <c r="C406" s="17"/>
      <c r="D406" s="34" t="str">
        <f>vlookup($C406,CSDL!$A:$E,2,0)</f>
        <v>#N/A</v>
      </c>
      <c r="E406" s="19" t="str">
        <f>vlookup($C406,CSDL!$A:$E,3,0)</f>
        <v>#N/A</v>
      </c>
      <c r="F406" s="19" t="str">
        <f>vlookup($C406,CSDL!$A:$E,4,0)</f>
        <v>#N/A</v>
      </c>
      <c r="G406" s="20" t="str">
        <f>vlookup($C406,CSDL!$A:$E,5,0)</f>
        <v>#N/A</v>
      </c>
      <c r="H406" s="16"/>
      <c r="I406" s="23" t="s">
        <v>80</v>
      </c>
      <c r="J406" s="23">
        <v>40.0</v>
      </c>
      <c r="K406" s="23">
        <v>1.0</v>
      </c>
      <c r="L406" s="22">
        <f t="shared" si="9"/>
        <v>40</v>
      </c>
      <c r="M406" s="23"/>
      <c r="N406" s="23"/>
      <c r="O406" s="24"/>
      <c r="P406" s="33"/>
      <c r="Q406" s="25"/>
    </row>
    <row r="407" ht="25.5" customHeight="1">
      <c r="A407" s="31"/>
      <c r="B407" s="28">
        <v>1273.0</v>
      </c>
      <c r="C407" s="17"/>
      <c r="D407" s="18" t="s">
        <v>356</v>
      </c>
      <c r="E407" s="19" t="str">
        <f>vlookup($C407,CSDL!$A:$E,3,0)</f>
        <v>#N/A</v>
      </c>
      <c r="F407" s="19" t="str">
        <f>vlookup($C407,CSDL!$A:$E,4,0)</f>
        <v>#N/A</v>
      </c>
      <c r="G407" s="27" t="str">
        <f>vlookup($C407,CSDL!$A:$E,5,0)</f>
        <v>#N/A</v>
      </c>
      <c r="H407" s="28"/>
      <c r="I407" s="29" t="s">
        <v>123</v>
      </c>
      <c r="J407" s="29">
        <v>200.0</v>
      </c>
      <c r="K407" s="29">
        <v>1.0</v>
      </c>
      <c r="L407" s="22">
        <f t="shared" si="9"/>
        <v>200</v>
      </c>
      <c r="M407" s="29">
        <v>200.0</v>
      </c>
      <c r="N407" s="29" t="s">
        <v>43</v>
      </c>
      <c r="O407" s="30"/>
      <c r="P407" s="26"/>
      <c r="Q407" s="32"/>
    </row>
    <row r="408" ht="25.5" customHeight="1">
      <c r="A408" s="33"/>
      <c r="B408" s="16">
        <v>1274.0</v>
      </c>
      <c r="C408" s="17" t="s">
        <v>158</v>
      </c>
      <c r="D408" s="34" t="str">
        <f>vlookup($C408,CSDL!$A:$E,2,0)</f>
        <v>Nguyễn Đăng Vinh</v>
      </c>
      <c r="E408" s="19" t="str">
        <f>vlookup($C408,CSDL!$A:$E,3,0)</f>
        <v>67/1 Nguyễn Hoàng</v>
      </c>
      <c r="F408" s="19" t="str">
        <f>vlookup($C408,CSDL!$A:$E,4,0)</f>
        <v>Mèo</v>
      </c>
      <c r="G408" s="36" t="s">
        <v>357</v>
      </c>
      <c r="H408" s="16"/>
      <c r="I408" s="23" t="s">
        <v>59</v>
      </c>
      <c r="J408" s="23">
        <v>80.0</v>
      </c>
      <c r="K408" s="23">
        <v>2.0</v>
      </c>
      <c r="L408" s="22">
        <f t="shared" si="9"/>
        <v>160</v>
      </c>
      <c r="M408" s="23"/>
      <c r="N408" s="23"/>
      <c r="O408" s="24"/>
      <c r="P408" s="33"/>
      <c r="Q408" s="25"/>
    </row>
    <row r="409" ht="25.5" customHeight="1">
      <c r="A409" s="26"/>
      <c r="B409" s="28">
        <v>1275.0</v>
      </c>
      <c r="C409" s="17" t="s">
        <v>358</v>
      </c>
      <c r="D409" s="34" t="str">
        <f>vlookup($C409,CSDL!$A:$E,2,0)</f>
        <v>Hồng Minh</v>
      </c>
      <c r="E409" s="19" t="str">
        <f>vlookup($C409,CSDL!$A:$E,3,0)</f>
        <v>212 Bùi Thị Xuân</v>
      </c>
      <c r="F409" s="19" t="str">
        <f>vlookup($C409,CSDL!$A:$E,4,0)</f>
        <v>Mèo</v>
      </c>
      <c r="G409" s="27" t="str">
        <f>vlookup($C409,CSDL!$A:$E,5,0)</f>
        <v>Tấm</v>
      </c>
      <c r="H409" s="28"/>
      <c r="I409" s="29" t="s">
        <v>346</v>
      </c>
      <c r="J409" s="29">
        <v>30.0</v>
      </c>
      <c r="K409" s="29">
        <v>1.0</v>
      </c>
      <c r="L409" s="22">
        <f t="shared" si="9"/>
        <v>30</v>
      </c>
      <c r="M409" s="29">
        <v>540.0</v>
      </c>
      <c r="N409" s="29" t="s">
        <v>25</v>
      </c>
      <c r="O409" s="30" t="s">
        <v>359</v>
      </c>
      <c r="P409" s="26"/>
      <c r="Q409" s="32"/>
    </row>
    <row r="410" ht="25.5" customHeight="1">
      <c r="A410" s="33"/>
      <c r="B410" s="16">
        <v>1275.0</v>
      </c>
      <c r="C410" s="17"/>
      <c r="D410" s="34" t="str">
        <f>vlookup($C410,CSDL!$A:$E,2,0)</f>
        <v>#N/A</v>
      </c>
      <c r="E410" s="19" t="str">
        <f>vlookup($C410,CSDL!$A:$E,3,0)</f>
        <v>#N/A</v>
      </c>
      <c r="F410" s="19" t="str">
        <f>vlookup($C410,CSDL!$A:$E,4,0)</f>
        <v>#N/A</v>
      </c>
      <c r="G410" s="20" t="str">
        <f>vlookup($C410,CSDL!$A:$E,5,0)</f>
        <v>#N/A</v>
      </c>
      <c r="H410" s="16"/>
      <c r="I410" s="23" t="s">
        <v>33</v>
      </c>
      <c r="J410" s="23">
        <v>60.0</v>
      </c>
      <c r="K410" s="23">
        <v>1.0</v>
      </c>
      <c r="L410" s="22">
        <f t="shared" si="9"/>
        <v>60</v>
      </c>
      <c r="M410" s="23">
        <v>60.0</v>
      </c>
      <c r="N410" s="23" t="s">
        <v>34</v>
      </c>
      <c r="O410" s="24"/>
      <c r="P410" s="33"/>
      <c r="Q410" s="25"/>
    </row>
    <row r="411" ht="25.5" customHeight="1">
      <c r="A411" s="26"/>
      <c r="B411" s="28">
        <v>1275.0</v>
      </c>
      <c r="C411" s="17"/>
      <c r="D411" s="34" t="str">
        <f>vlookup($C411,CSDL!$A:$E,2,0)</f>
        <v>#N/A</v>
      </c>
      <c r="E411" s="19" t="str">
        <f>vlookup($C411,CSDL!$A:$E,3,0)</f>
        <v>#N/A</v>
      </c>
      <c r="F411" s="19" t="str">
        <f>vlookup($C411,CSDL!$A:$E,4,0)</f>
        <v>#N/A</v>
      </c>
      <c r="G411" s="27" t="str">
        <f>vlookup($C411,CSDL!$A:$E,5,0)</f>
        <v>#N/A</v>
      </c>
      <c r="H411" s="28"/>
      <c r="I411" s="29" t="s">
        <v>205</v>
      </c>
      <c r="J411" s="29">
        <v>170.0</v>
      </c>
      <c r="K411" s="29">
        <v>3.0</v>
      </c>
      <c r="L411" s="22">
        <f t="shared" si="9"/>
        <v>510</v>
      </c>
      <c r="M411" s="29">
        <v>300.0</v>
      </c>
      <c r="N411" s="29" t="s">
        <v>25</v>
      </c>
      <c r="O411" s="30" t="s">
        <v>360</v>
      </c>
      <c r="P411" s="26"/>
      <c r="Q411" s="28"/>
    </row>
    <row r="412" ht="25.5" customHeight="1">
      <c r="A412" s="15">
        <v>45991.0</v>
      </c>
      <c r="B412" s="16">
        <v>1276.0</v>
      </c>
      <c r="C412" s="17" t="s">
        <v>361</v>
      </c>
      <c r="D412" s="34" t="str">
        <f>vlookup($C412,CSDL!$A:$E,2,0)</f>
        <v>Khánh Hà</v>
      </c>
      <c r="E412" s="19" t="str">
        <f>vlookup($C412,CSDL!$A:$E,3,0)</f>
        <v/>
      </c>
      <c r="F412" s="19" t="str">
        <f>vlookup($C412,CSDL!$A:$E,4,0)</f>
        <v/>
      </c>
      <c r="G412" s="20" t="str">
        <f>vlookup($C412,CSDL!$A:$E,5,0)</f>
        <v/>
      </c>
      <c r="H412" s="16"/>
      <c r="I412" s="23" t="s">
        <v>56</v>
      </c>
      <c r="J412" s="23">
        <v>800.0</v>
      </c>
      <c r="K412" s="23">
        <v>1.0</v>
      </c>
      <c r="L412" s="22">
        <f t="shared" si="9"/>
        <v>800</v>
      </c>
      <c r="M412" s="23">
        <v>800.0</v>
      </c>
      <c r="N412" s="23" t="s">
        <v>25</v>
      </c>
      <c r="O412" s="24" t="s">
        <v>362</v>
      </c>
      <c r="P412" s="33"/>
      <c r="Q412" s="16"/>
    </row>
    <row r="413" ht="25.5" customHeight="1">
      <c r="A413" s="26"/>
      <c r="B413" s="28">
        <v>1277.0</v>
      </c>
      <c r="C413" s="17"/>
      <c r="D413" s="18" t="s">
        <v>363</v>
      </c>
      <c r="E413" s="19" t="str">
        <f>vlookup($C413,CSDL!$A:$E,3,0)</f>
        <v>#N/A</v>
      </c>
      <c r="F413" s="19" t="str">
        <f>vlookup($C413,CSDL!$A:$E,4,0)</f>
        <v>#N/A</v>
      </c>
      <c r="G413" s="35" t="s">
        <v>364</v>
      </c>
      <c r="H413" s="28"/>
      <c r="I413" s="29" t="s">
        <v>134</v>
      </c>
      <c r="J413" s="29">
        <v>600.0</v>
      </c>
      <c r="K413" s="29">
        <v>1.0</v>
      </c>
      <c r="L413" s="22">
        <f t="shared" si="9"/>
        <v>600</v>
      </c>
      <c r="M413" s="29">
        <v>600.0</v>
      </c>
      <c r="N413" s="29" t="s">
        <v>25</v>
      </c>
      <c r="O413" s="30" t="s">
        <v>365</v>
      </c>
      <c r="P413" s="26"/>
      <c r="Q413" s="32"/>
    </row>
    <row r="414" ht="25.5" customHeight="1">
      <c r="A414" s="33"/>
      <c r="B414" s="16"/>
      <c r="C414" s="17"/>
      <c r="D414" s="18" t="s">
        <v>21</v>
      </c>
      <c r="E414" s="19" t="str">
        <f>vlookup($C414,CSDL!$A:$E,3,0)</f>
        <v>#N/A</v>
      </c>
      <c r="F414" s="19" t="str">
        <f>vlookup($C414,CSDL!$A:$E,4,0)</f>
        <v>#N/A</v>
      </c>
      <c r="G414" s="20" t="str">
        <f>vlookup($C414,CSDL!$A:$E,5,0)</f>
        <v>#N/A</v>
      </c>
      <c r="H414" s="16"/>
      <c r="I414" s="23" t="s">
        <v>53</v>
      </c>
      <c r="J414" s="23">
        <v>20.0</v>
      </c>
      <c r="K414" s="23">
        <v>3.0</v>
      </c>
      <c r="L414" s="22">
        <f t="shared" si="9"/>
        <v>60</v>
      </c>
      <c r="M414" s="23">
        <v>60.0</v>
      </c>
      <c r="N414" s="23" t="s">
        <v>65</v>
      </c>
      <c r="O414" s="24"/>
      <c r="P414" s="33"/>
      <c r="Q414" s="25"/>
    </row>
    <row r="415" ht="25.5" customHeight="1">
      <c r="A415" s="26"/>
      <c r="B415" s="28">
        <v>1278.0</v>
      </c>
      <c r="C415" s="17" t="s">
        <v>366</v>
      </c>
      <c r="D415" s="34" t="str">
        <f>vlookup($C415,CSDL!$A:$E,2,0)</f>
        <v>Chị Ánh</v>
      </c>
      <c r="E415" s="19" t="str">
        <f>vlookup($C415,CSDL!$A:$E,3,0)</f>
        <v>5/59/7 nguyễn Hữu Dật</v>
      </c>
      <c r="F415" s="19" t="str">
        <f>vlookup($C415,CSDL!$A:$E,4,0)</f>
        <v>chó</v>
      </c>
      <c r="G415" s="27" t="str">
        <f>vlookup($C415,CSDL!$A:$E,5,0)</f>
        <v>Gấu</v>
      </c>
      <c r="H415" s="28"/>
      <c r="I415" s="29" t="s">
        <v>95</v>
      </c>
      <c r="J415" s="29">
        <v>100.0</v>
      </c>
      <c r="K415" s="29">
        <v>1.0</v>
      </c>
      <c r="L415" s="22">
        <f t="shared" si="9"/>
        <v>100</v>
      </c>
      <c r="M415" s="29">
        <v>100.0</v>
      </c>
      <c r="N415" s="29" t="s">
        <v>65</v>
      </c>
      <c r="O415" s="30"/>
      <c r="P415" s="26"/>
      <c r="Q415" s="32"/>
    </row>
    <row r="416" ht="25.5" customHeight="1">
      <c r="A416" s="33"/>
      <c r="B416" s="16">
        <v>1279.0</v>
      </c>
      <c r="C416" s="17" t="s">
        <v>367</v>
      </c>
      <c r="D416" s="34" t="str">
        <f>vlookup($C416,CSDL!$A:$E,2,0)</f>
        <v>Chú Nghĩa</v>
      </c>
      <c r="E416" s="19" t="str">
        <f>vlookup($C416,CSDL!$A:$E,3,0)</f>
        <v>60 Phú Mộng</v>
      </c>
      <c r="F416" s="19" t="str">
        <f>vlookup($C416,CSDL!$A:$E,4,0)</f>
        <v>Chó</v>
      </c>
      <c r="G416" s="36" t="s">
        <v>368</v>
      </c>
      <c r="H416" s="16"/>
      <c r="I416" s="23" t="s">
        <v>369</v>
      </c>
      <c r="J416" s="23">
        <v>800.0</v>
      </c>
      <c r="K416" s="23">
        <v>1.0</v>
      </c>
      <c r="L416" s="22">
        <f t="shared" si="9"/>
        <v>800</v>
      </c>
      <c r="M416" s="23">
        <v>1600.0</v>
      </c>
      <c r="N416" s="23" t="s">
        <v>25</v>
      </c>
      <c r="O416" s="24" t="s">
        <v>370</v>
      </c>
      <c r="P416" s="33"/>
      <c r="Q416" s="25"/>
    </row>
    <row r="417" ht="25.5" customHeight="1">
      <c r="A417" s="26"/>
      <c r="B417" s="28">
        <v>1279.0</v>
      </c>
      <c r="C417" s="17"/>
      <c r="D417" s="34" t="str">
        <f>vlookup($C417,CSDL!$A:$E,2,0)</f>
        <v>#N/A</v>
      </c>
      <c r="E417" s="19" t="str">
        <f>vlookup($C417,CSDL!$A:$E,3,0)</f>
        <v>#N/A</v>
      </c>
      <c r="F417" s="19" t="str">
        <f>vlookup($C417,CSDL!$A:$E,4,0)</f>
        <v>#N/A</v>
      </c>
      <c r="G417" s="27" t="str">
        <f>vlookup($C417,CSDL!$A:$E,5,0)</f>
        <v>#N/A</v>
      </c>
      <c r="H417" s="28"/>
      <c r="I417" s="29" t="s">
        <v>56</v>
      </c>
      <c r="J417" s="29">
        <v>800.0</v>
      </c>
      <c r="K417" s="29">
        <v>1.0</v>
      </c>
      <c r="L417" s="22">
        <f t="shared" si="9"/>
        <v>800</v>
      </c>
      <c r="M417" s="29"/>
      <c r="N417" s="29"/>
      <c r="O417" s="30"/>
      <c r="P417" s="26"/>
      <c r="Q417" s="28"/>
    </row>
    <row r="418" ht="25.5" customHeight="1">
      <c r="A418" s="33"/>
      <c r="B418" s="16">
        <v>1280.0</v>
      </c>
      <c r="C418" s="17" t="s">
        <v>371</v>
      </c>
      <c r="D418" s="34" t="str">
        <f>vlookup($C418,CSDL!$A:$E,2,0)</f>
        <v>Anh Quy</v>
      </c>
      <c r="E418" s="19" t="str">
        <f>vlookup($C418,CSDL!$A:$E,3,0)</f>
        <v>K104 Nguyễn Phúc Lan</v>
      </c>
      <c r="F418" s="19" t="str">
        <f>vlookup($C418,CSDL!$A:$E,4,0)</f>
        <v>Chó</v>
      </c>
      <c r="G418" s="36" t="s">
        <v>98</v>
      </c>
      <c r="H418" s="16"/>
      <c r="I418" s="23" t="s">
        <v>59</v>
      </c>
      <c r="J418" s="23">
        <v>150.0</v>
      </c>
      <c r="K418" s="23">
        <v>1.0</v>
      </c>
      <c r="L418" s="22">
        <f t="shared" si="9"/>
        <v>150</v>
      </c>
      <c r="M418" s="23"/>
      <c r="N418" s="23" t="s">
        <v>43</v>
      </c>
      <c r="O418" s="24"/>
      <c r="P418" s="15">
        <v>45993.0</v>
      </c>
      <c r="Q418" s="16"/>
    </row>
    <row r="419" ht="25.5" customHeight="1">
      <c r="A419" s="26"/>
      <c r="B419" s="28">
        <v>1280.0</v>
      </c>
      <c r="C419" s="17"/>
      <c r="D419" s="34" t="str">
        <f>vlookup($C419,CSDL!$A:$E,2,0)</f>
        <v>#N/A</v>
      </c>
      <c r="E419" s="19" t="str">
        <f>vlookup($C419,CSDL!$A:$E,3,0)</f>
        <v>#N/A</v>
      </c>
      <c r="F419" s="19" t="str">
        <f>vlookup($C419,CSDL!$A:$E,4,0)</f>
        <v>#N/A</v>
      </c>
      <c r="G419" s="27" t="str">
        <f>vlookup($C419,CSDL!$A:$E,5,0)</f>
        <v>#N/A</v>
      </c>
      <c r="H419" s="28"/>
      <c r="I419" s="29" t="s">
        <v>30</v>
      </c>
      <c r="J419" s="29">
        <v>100.0</v>
      </c>
      <c r="K419" s="29">
        <v>1.0</v>
      </c>
      <c r="L419" s="22">
        <f t="shared" si="9"/>
        <v>100</v>
      </c>
      <c r="M419" s="29"/>
      <c r="N419" s="29"/>
      <c r="O419" s="30"/>
      <c r="P419" s="26"/>
      <c r="Q419" s="32"/>
    </row>
    <row r="420" ht="25.5" customHeight="1">
      <c r="A420" s="33"/>
      <c r="B420" s="16">
        <v>1281.0</v>
      </c>
      <c r="C420" s="17"/>
      <c r="D420" s="18" t="s">
        <v>372</v>
      </c>
      <c r="E420" s="19" t="str">
        <f>vlookup($C420,CSDL!$A:$E,3,0)</f>
        <v>#N/A</v>
      </c>
      <c r="F420" s="19" t="str">
        <f>vlookup($C420,CSDL!$A:$E,4,0)</f>
        <v>#N/A</v>
      </c>
      <c r="G420" s="20" t="str">
        <f>vlookup($C420,CSDL!$A:$E,5,0)</f>
        <v>#N/A</v>
      </c>
      <c r="H420" s="16"/>
      <c r="I420" s="23" t="s">
        <v>220</v>
      </c>
      <c r="J420" s="23">
        <v>400.0</v>
      </c>
      <c r="K420" s="23">
        <v>1.0</v>
      </c>
      <c r="L420" s="22">
        <f t="shared" si="9"/>
        <v>400</v>
      </c>
      <c r="M420" s="23">
        <v>400.0</v>
      </c>
      <c r="N420" s="23" t="s">
        <v>25</v>
      </c>
      <c r="O420" s="24" t="s">
        <v>373</v>
      </c>
      <c r="P420" s="33"/>
      <c r="Q420" s="25"/>
    </row>
    <row r="421" ht="25.5" customHeight="1">
      <c r="A421" s="26"/>
      <c r="B421" s="28"/>
      <c r="C421" s="17"/>
      <c r="D421" s="18" t="s">
        <v>374</v>
      </c>
      <c r="E421" s="19" t="str">
        <f>vlookup($C421,CSDL!$A:$E,3,0)</f>
        <v>#N/A</v>
      </c>
      <c r="F421" s="19" t="str">
        <f>vlookup($C421,CSDL!$A:$E,4,0)</f>
        <v>#N/A</v>
      </c>
      <c r="G421" s="27" t="str">
        <f>vlookup($C421,CSDL!$A:$E,5,0)</f>
        <v>#N/A</v>
      </c>
      <c r="H421" s="28"/>
      <c r="I421" s="29" t="s">
        <v>282</v>
      </c>
      <c r="J421" s="29">
        <v>250.0</v>
      </c>
      <c r="K421" s="29">
        <v>1.0</v>
      </c>
      <c r="L421" s="22">
        <f t="shared" si="9"/>
        <v>250</v>
      </c>
      <c r="M421" s="29">
        <v>300.0</v>
      </c>
      <c r="N421" s="29" t="s">
        <v>43</v>
      </c>
      <c r="O421" s="30"/>
      <c r="P421" s="26"/>
      <c r="Q421" s="32"/>
    </row>
    <row r="422" ht="25.5" customHeight="1">
      <c r="A422" s="33"/>
      <c r="B422" s="16"/>
      <c r="C422" s="17"/>
      <c r="D422" s="34" t="str">
        <f>vlookup($C422,CSDL!$A:$E,2,0)</f>
        <v>#N/A</v>
      </c>
      <c r="E422" s="19" t="str">
        <f>vlookup($C422,CSDL!$A:$E,3,0)</f>
        <v>#N/A</v>
      </c>
      <c r="F422" s="19" t="str">
        <f>vlookup($C422,CSDL!$A:$E,4,0)</f>
        <v>#N/A</v>
      </c>
      <c r="G422" s="20" t="str">
        <f>vlookup($C422,CSDL!$A:$E,5,0)</f>
        <v>#N/A</v>
      </c>
      <c r="H422" s="16"/>
      <c r="I422" s="23" t="s">
        <v>53</v>
      </c>
      <c r="J422" s="23">
        <v>50.0</v>
      </c>
      <c r="K422" s="23">
        <v>1.0</v>
      </c>
      <c r="L422" s="22">
        <f t="shared" si="9"/>
        <v>50</v>
      </c>
      <c r="M422" s="23"/>
      <c r="N422" s="23"/>
      <c r="O422" s="24"/>
      <c r="P422" s="33"/>
      <c r="Q422" s="16"/>
    </row>
    <row r="423" ht="25.5" customHeight="1">
      <c r="A423" s="26"/>
      <c r="B423" s="28">
        <v>1282.0</v>
      </c>
      <c r="C423" s="17" t="s">
        <v>375</v>
      </c>
      <c r="D423" s="34" t="str">
        <f>vlookup($C423,CSDL!$A:$E,2,0)</f>
        <v>Chị Uyên</v>
      </c>
      <c r="E423" s="19" t="str">
        <f>vlookup($C423,CSDL!$A:$E,3,0)</f>
        <v>Mỹ Thượng</v>
      </c>
      <c r="F423" s="19" t="str">
        <f>vlookup($C423,CSDL!$A:$E,4,0)</f>
        <v>Chó</v>
      </c>
      <c r="G423" s="27" t="str">
        <f>vlookup($C423,CSDL!$A:$E,5,0)</f>
        <v>Lùn</v>
      </c>
      <c r="H423" s="28"/>
      <c r="I423" s="29" t="s">
        <v>167</v>
      </c>
      <c r="J423" s="29">
        <v>150.0</v>
      </c>
      <c r="K423" s="29">
        <v>1.0</v>
      </c>
      <c r="L423" s="22">
        <f t="shared" si="9"/>
        <v>150</v>
      </c>
      <c r="M423" s="29">
        <v>270.0</v>
      </c>
      <c r="N423" s="29" t="s">
        <v>25</v>
      </c>
      <c r="O423" s="30" t="s">
        <v>376</v>
      </c>
      <c r="P423" s="26"/>
      <c r="Q423" s="32"/>
    </row>
    <row r="424" ht="25.5" customHeight="1">
      <c r="A424" s="33"/>
      <c r="B424" s="16">
        <v>1282.0</v>
      </c>
      <c r="C424" s="17"/>
      <c r="D424" s="34" t="str">
        <f>vlookup($C424,CSDL!$A:$E,2,0)</f>
        <v>#N/A</v>
      </c>
      <c r="E424" s="19" t="str">
        <f>vlookup($C424,CSDL!$A:$E,3,0)</f>
        <v>#N/A</v>
      </c>
      <c r="F424" s="19" t="str">
        <f>vlookup($C424,CSDL!$A:$E,4,0)</f>
        <v>#N/A</v>
      </c>
      <c r="G424" s="20" t="str">
        <f>vlookup($C424,CSDL!$A:$E,5,0)</f>
        <v>#N/A</v>
      </c>
      <c r="H424" s="16"/>
      <c r="I424" s="23" t="s">
        <v>59</v>
      </c>
      <c r="J424" s="23">
        <v>120.0</v>
      </c>
      <c r="K424" s="23"/>
      <c r="L424" s="22">
        <f t="shared" si="9"/>
        <v>0</v>
      </c>
      <c r="M424" s="23"/>
      <c r="N424" s="23"/>
      <c r="O424" s="24"/>
      <c r="P424" s="33"/>
      <c r="Q424" s="57"/>
    </row>
    <row r="425" ht="25.5" customHeight="1">
      <c r="A425" s="31"/>
      <c r="B425" s="28">
        <v>1283.0</v>
      </c>
      <c r="C425" s="17" t="s">
        <v>377</v>
      </c>
      <c r="D425" s="34" t="str">
        <f>vlookup($C425,CSDL!$A:$E,2,0)</f>
        <v>Chú Sơn</v>
      </c>
      <c r="E425" s="19" t="str">
        <f>vlookup($C425,CSDL!$A:$E,3,0)</f>
        <v>Kim Long</v>
      </c>
      <c r="F425" s="19" t="str">
        <f>vlookup($C425,CSDL!$A:$E,4,0)</f>
        <v>Chó</v>
      </c>
      <c r="G425" s="27" t="str">
        <f>vlookup($C425,CSDL!$A:$E,5,0)</f>
        <v/>
      </c>
      <c r="H425" s="28"/>
      <c r="I425" s="29" t="s">
        <v>22</v>
      </c>
      <c r="J425" s="29">
        <v>20.0</v>
      </c>
      <c r="K425" s="29">
        <v>1.0</v>
      </c>
      <c r="L425" s="22">
        <f t="shared" si="9"/>
        <v>20</v>
      </c>
      <c r="M425" s="29">
        <v>470.0</v>
      </c>
      <c r="N425" s="29" t="s">
        <v>65</v>
      </c>
      <c r="O425" s="30"/>
      <c r="P425" s="31"/>
      <c r="Q425" s="58"/>
    </row>
    <row r="426" ht="25.5" customHeight="1">
      <c r="A426" s="33"/>
      <c r="B426" s="16"/>
      <c r="C426" s="17"/>
      <c r="D426" s="34" t="str">
        <f>vlookup($C426,CSDL!$A:$E,2,0)</f>
        <v>#N/A</v>
      </c>
      <c r="E426" s="19" t="str">
        <f>vlookup($C426,CSDL!$A:$E,3,0)</f>
        <v>#N/A</v>
      </c>
      <c r="F426" s="19" t="str">
        <f>vlookup($C426,CSDL!$A:$E,4,0)</f>
        <v>#N/A</v>
      </c>
      <c r="G426" s="20" t="str">
        <f>vlookup($C426,CSDL!$A:$E,5,0)</f>
        <v>#N/A</v>
      </c>
      <c r="H426" s="16"/>
      <c r="I426" s="23" t="s">
        <v>282</v>
      </c>
      <c r="J426" s="23">
        <v>250.0</v>
      </c>
      <c r="K426" s="23">
        <v>1.0</v>
      </c>
      <c r="L426" s="22">
        <f t="shared" si="9"/>
        <v>250</v>
      </c>
      <c r="M426" s="23"/>
      <c r="N426" s="23"/>
      <c r="O426" s="24"/>
      <c r="P426" s="33"/>
      <c r="Q426" s="25"/>
    </row>
    <row r="427" ht="25.5" customHeight="1">
      <c r="A427" s="26"/>
      <c r="B427" s="28"/>
      <c r="C427" s="17"/>
      <c r="D427" s="34" t="str">
        <f>vlookup($C427,CSDL!$A:$E,2,0)</f>
        <v>#N/A</v>
      </c>
      <c r="E427" s="19" t="str">
        <f>vlookup($C427,CSDL!$A:$E,3,0)</f>
        <v>#N/A</v>
      </c>
      <c r="F427" s="19" t="str">
        <f>vlookup($C427,CSDL!$A:$E,4,0)</f>
        <v>#N/A</v>
      </c>
      <c r="G427" s="27" t="str">
        <f>vlookup($C427,CSDL!$A:$E,5,0)</f>
        <v>#N/A</v>
      </c>
      <c r="H427" s="28"/>
      <c r="I427" s="29" t="s">
        <v>83</v>
      </c>
      <c r="J427" s="29">
        <v>150.0</v>
      </c>
      <c r="K427" s="29">
        <v>1.0</v>
      </c>
      <c r="L427" s="22">
        <f t="shared" si="9"/>
        <v>150</v>
      </c>
      <c r="M427" s="29"/>
      <c r="N427" s="29"/>
      <c r="O427" s="30"/>
      <c r="P427" s="31"/>
      <c r="Q427" s="32"/>
    </row>
    <row r="428" ht="25.5" customHeight="1">
      <c r="A428" s="42" t="s">
        <v>378</v>
      </c>
      <c r="B428" s="16"/>
      <c r="C428" s="17"/>
      <c r="D428" s="34" t="str">
        <f>vlookup($C428,CSDL!$A:$E,2,0)</f>
        <v>#N/A</v>
      </c>
      <c r="E428" s="19" t="str">
        <f>vlookup($C428,CSDL!$A:$E,3,0)</f>
        <v>#N/A</v>
      </c>
      <c r="F428" s="19" t="str">
        <f>vlookup($C428,CSDL!$A:$E,4,0)</f>
        <v>#N/A</v>
      </c>
      <c r="G428" s="20" t="str">
        <f>vlookup($C428,CSDL!$A:$E,5,0)</f>
        <v>#N/A</v>
      </c>
      <c r="H428" s="16"/>
      <c r="I428" s="23"/>
      <c r="J428" s="23"/>
      <c r="K428" s="23"/>
      <c r="L428" s="22">
        <f t="shared" si="9"/>
        <v>0</v>
      </c>
      <c r="M428" s="23"/>
      <c r="N428" s="23"/>
      <c r="O428" s="24"/>
      <c r="P428" s="59"/>
      <c r="Q428" s="43">
        <f>sum(M298:M428)</f>
        <v>24313</v>
      </c>
    </row>
    <row r="429" ht="25.5" customHeight="1">
      <c r="A429" s="26"/>
      <c r="B429" s="28"/>
      <c r="C429" s="17"/>
      <c r="D429" s="34" t="str">
        <f>vlookup($C429,CSDL!$A:$E,2,0)</f>
        <v>#N/A</v>
      </c>
      <c r="E429" s="19" t="str">
        <f>vlookup($C429,CSDL!$A:$E,3,0)</f>
        <v>#N/A</v>
      </c>
      <c r="F429" s="19" t="str">
        <f>vlookup($C429,CSDL!$A:$E,4,0)</f>
        <v>#N/A</v>
      </c>
      <c r="G429" s="27" t="str">
        <f>vlookup($C429,CSDL!$A:$E,5,0)</f>
        <v>#N/A</v>
      </c>
      <c r="H429" s="28"/>
      <c r="I429" s="29"/>
      <c r="J429" s="29"/>
      <c r="K429" s="29"/>
      <c r="L429" s="22">
        <f t="shared" si="9"/>
        <v>0</v>
      </c>
      <c r="M429" s="29"/>
      <c r="N429" s="29"/>
      <c r="O429" s="30"/>
      <c r="P429" s="31"/>
      <c r="Q429" s="32"/>
    </row>
    <row r="430" ht="25.5" customHeight="1">
      <c r="A430" s="33"/>
      <c r="B430" s="16"/>
      <c r="C430" s="17"/>
      <c r="D430" s="34" t="str">
        <f>vlookup($C430,CSDL!$A:$E,2,0)</f>
        <v>#N/A</v>
      </c>
      <c r="E430" s="19" t="str">
        <f>vlookup($C430,CSDL!$A:$E,3,0)</f>
        <v>#N/A</v>
      </c>
      <c r="F430" s="19" t="str">
        <f>vlookup($C430,CSDL!$A:$E,4,0)</f>
        <v>#N/A</v>
      </c>
      <c r="G430" s="20" t="str">
        <f>vlookup($C430,CSDL!$A:$E,5,0)</f>
        <v>#N/A</v>
      </c>
      <c r="H430" s="16"/>
      <c r="I430" s="23"/>
      <c r="J430" s="23"/>
      <c r="K430" s="23"/>
      <c r="L430" s="22">
        <f t="shared" si="9"/>
        <v>0</v>
      </c>
      <c r="M430" s="23"/>
      <c r="N430" s="23"/>
      <c r="O430" s="24"/>
      <c r="P430" s="33"/>
      <c r="Q430" s="25"/>
    </row>
    <row r="431" ht="25.5" customHeight="1">
      <c r="A431" s="26"/>
      <c r="B431" s="28"/>
      <c r="C431" s="17"/>
      <c r="D431" s="34" t="str">
        <f>vlookup($C431,CSDL!$A:$E,2,0)</f>
        <v>#N/A</v>
      </c>
      <c r="E431" s="19" t="str">
        <f>vlookup($C431,CSDL!$A:$E,3,0)</f>
        <v>#N/A</v>
      </c>
      <c r="F431" s="19" t="str">
        <f>vlookup($C431,CSDL!$A:$E,4,0)</f>
        <v>#N/A</v>
      </c>
      <c r="G431" s="27" t="str">
        <f>vlookup($C431,CSDL!$A:$E,5,0)</f>
        <v>#N/A</v>
      </c>
      <c r="H431" s="28"/>
      <c r="I431" s="29"/>
      <c r="J431" s="29"/>
      <c r="K431" s="29"/>
      <c r="L431" s="22">
        <f t="shared" si="9"/>
        <v>0</v>
      </c>
      <c r="M431" s="29"/>
      <c r="N431" s="29"/>
      <c r="O431" s="30"/>
      <c r="P431" s="26"/>
      <c r="Q431" s="32"/>
    </row>
    <row r="432" ht="25.5" customHeight="1">
      <c r="A432" s="33"/>
      <c r="B432" s="16"/>
      <c r="C432" s="17"/>
      <c r="D432" s="34" t="str">
        <f>vlookup($C432,CSDL!$A:$E,2,0)</f>
        <v>#N/A</v>
      </c>
      <c r="E432" s="19" t="str">
        <f>vlookup($C432,CSDL!$A:$E,3,0)</f>
        <v>#N/A</v>
      </c>
      <c r="F432" s="19" t="str">
        <f>vlookup($C432,CSDL!$A:$E,4,0)</f>
        <v>#N/A</v>
      </c>
      <c r="G432" s="20" t="str">
        <f>vlookup($C432,CSDL!$A:$E,5,0)</f>
        <v>#N/A</v>
      </c>
      <c r="H432" s="16"/>
      <c r="I432" s="23"/>
      <c r="J432" s="23"/>
      <c r="K432" s="23"/>
      <c r="L432" s="22">
        <f t="shared" si="9"/>
        <v>0</v>
      </c>
      <c r="M432" s="23"/>
      <c r="N432" s="23"/>
      <c r="O432" s="24"/>
      <c r="P432" s="33"/>
      <c r="Q432" s="25"/>
    </row>
    <row r="433" ht="25.5" customHeight="1">
      <c r="A433" s="26"/>
      <c r="B433" s="28"/>
      <c r="C433" s="17"/>
      <c r="D433" s="34" t="str">
        <f>vlookup($C433,CSDL!$A:$E,2,0)</f>
        <v>#N/A</v>
      </c>
      <c r="E433" s="19" t="str">
        <f>vlookup($C433,CSDL!$A:$E,3,0)</f>
        <v>#N/A</v>
      </c>
      <c r="F433" s="19" t="str">
        <f>vlookup($C433,CSDL!$A:$E,4,0)</f>
        <v>#N/A</v>
      </c>
      <c r="G433" s="27" t="str">
        <f>vlookup($C433,CSDL!$A:$E,5,0)</f>
        <v>#N/A</v>
      </c>
      <c r="H433" s="28"/>
      <c r="I433" s="29"/>
      <c r="J433" s="29"/>
      <c r="K433" s="29"/>
      <c r="L433" s="22">
        <f t="shared" si="9"/>
        <v>0</v>
      </c>
      <c r="M433" s="29"/>
      <c r="N433" s="29"/>
      <c r="O433" s="30"/>
      <c r="P433" s="31"/>
      <c r="Q433" s="32"/>
    </row>
    <row r="434" ht="25.5" customHeight="1">
      <c r="A434" s="33"/>
      <c r="B434" s="16"/>
      <c r="C434" s="17"/>
      <c r="D434" s="34" t="str">
        <f>vlookup($C434,CSDL!$A:$E,2,0)</f>
        <v>#N/A</v>
      </c>
      <c r="E434" s="19" t="str">
        <f>vlookup($C434,CSDL!$A:$E,3,0)</f>
        <v>#N/A</v>
      </c>
      <c r="F434" s="19" t="str">
        <f>vlookup($C434,CSDL!$A:$E,4,0)</f>
        <v>#N/A</v>
      </c>
      <c r="G434" s="20" t="str">
        <f>vlookup($C434,CSDL!$A:$E,5,0)</f>
        <v>#N/A</v>
      </c>
      <c r="H434" s="16"/>
      <c r="I434" s="23"/>
      <c r="J434" s="23"/>
      <c r="K434" s="23"/>
      <c r="L434" s="22">
        <f t="shared" si="9"/>
        <v>0</v>
      </c>
      <c r="M434" s="23"/>
      <c r="N434" s="23"/>
      <c r="O434" s="24"/>
      <c r="P434" s="33"/>
      <c r="Q434" s="25"/>
    </row>
    <row r="435" ht="25.5" customHeight="1">
      <c r="A435" s="26"/>
      <c r="B435" s="28"/>
      <c r="C435" s="17"/>
      <c r="D435" s="34" t="str">
        <f>vlookup($C435,CSDL!$A:$E,2,0)</f>
        <v>#N/A</v>
      </c>
      <c r="E435" s="19" t="str">
        <f>vlookup($C435,CSDL!$A:$E,3,0)</f>
        <v>#N/A</v>
      </c>
      <c r="F435" s="19" t="str">
        <f>vlookup($C435,CSDL!$A:$E,4,0)</f>
        <v>#N/A</v>
      </c>
      <c r="G435" s="27" t="str">
        <f>vlookup($C435,CSDL!$A:$E,5,0)</f>
        <v>#N/A</v>
      </c>
      <c r="H435" s="28"/>
      <c r="I435" s="29"/>
      <c r="J435" s="29"/>
      <c r="K435" s="29"/>
      <c r="L435" s="22">
        <f t="shared" si="9"/>
        <v>0</v>
      </c>
      <c r="M435" s="29"/>
      <c r="N435" s="29"/>
      <c r="O435" s="30"/>
      <c r="P435" s="26"/>
      <c r="Q435" s="32"/>
    </row>
    <row r="436" ht="25.5" customHeight="1">
      <c r="A436" s="33"/>
      <c r="B436" s="16"/>
      <c r="C436" s="17"/>
      <c r="D436" s="34" t="str">
        <f>vlookup($C436,CSDL!$A:$E,2,0)</f>
        <v>#N/A</v>
      </c>
      <c r="E436" s="19" t="str">
        <f>vlookup($C436,CSDL!$A:$E,3,0)</f>
        <v>#N/A</v>
      </c>
      <c r="F436" s="19" t="str">
        <f>vlookup($C436,CSDL!$A:$E,4,0)</f>
        <v>#N/A</v>
      </c>
      <c r="G436" s="20" t="str">
        <f>vlookup($C436,CSDL!$A:$E,5,0)</f>
        <v>#N/A</v>
      </c>
      <c r="H436" s="16"/>
      <c r="I436" s="23"/>
      <c r="J436" s="23"/>
      <c r="K436" s="23"/>
      <c r="L436" s="22">
        <f t="shared" si="9"/>
        <v>0</v>
      </c>
      <c r="M436" s="23"/>
      <c r="N436" s="23"/>
      <c r="O436" s="24"/>
      <c r="P436" s="33"/>
      <c r="Q436" s="25"/>
    </row>
    <row r="437" ht="25.5" customHeight="1">
      <c r="A437" s="31"/>
      <c r="B437" s="28"/>
      <c r="C437" s="17"/>
      <c r="D437" s="34" t="str">
        <f>vlookup($C437,CSDL!$A:$E,2,0)</f>
        <v>#N/A</v>
      </c>
      <c r="E437" s="19" t="str">
        <f>vlookup($C437,CSDL!$A:$E,3,0)</f>
        <v>#N/A</v>
      </c>
      <c r="F437" s="19" t="str">
        <f>vlookup($C437,CSDL!$A:$E,4,0)</f>
        <v>#N/A</v>
      </c>
      <c r="G437" s="27" t="str">
        <f>vlookup($C437,CSDL!$A:$E,5,0)</f>
        <v>#N/A</v>
      </c>
      <c r="H437" s="28"/>
      <c r="I437" s="29"/>
      <c r="J437" s="29"/>
      <c r="K437" s="29"/>
      <c r="L437" s="22">
        <f t="shared" si="9"/>
        <v>0</v>
      </c>
      <c r="M437" s="29"/>
      <c r="N437" s="29"/>
      <c r="O437" s="30"/>
      <c r="P437" s="26"/>
      <c r="Q437" s="32"/>
    </row>
    <row r="438" ht="25.5" customHeight="1">
      <c r="A438" s="33"/>
      <c r="B438" s="16"/>
      <c r="C438" s="17"/>
      <c r="D438" s="34" t="str">
        <f>vlookup($C438,CSDL!$A:$E,2,0)</f>
        <v>#N/A</v>
      </c>
      <c r="E438" s="19" t="str">
        <f>vlookup($C438,CSDL!$A:$E,3,0)</f>
        <v>#N/A</v>
      </c>
      <c r="F438" s="19" t="str">
        <f>vlookup($C438,CSDL!$A:$E,4,0)</f>
        <v>#N/A</v>
      </c>
      <c r="G438" s="20" t="str">
        <f>vlookup($C438,CSDL!$A:$E,5,0)</f>
        <v>#N/A</v>
      </c>
      <c r="H438" s="16"/>
      <c r="I438" s="23"/>
      <c r="J438" s="23"/>
      <c r="K438" s="23"/>
      <c r="L438" s="22">
        <f t="shared" si="9"/>
        <v>0</v>
      </c>
      <c r="M438" s="23"/>
      <c r="N438" s="23"/>
      <c r="O438" s="24"/>
      <c r="P438" s="15"/>
      <c r="Q438" s="16"/>
    </row>
    <row r="439" ht="25.5" customHeight="1">
      <c r="A439" s="26"/>
      <c r="B439" s="28"/>
      <c r="C439" s="17"/>
      <c r="D439" s="34" t="str">
        <f>vlookup($C439,CSDL!$A:$E,2,0)</f>
        <v>#N/A</v>
      </c>
      <c r="E439" s="19" t="str">
        <f>vlookup($C439,CSDL!$A:$E,3,0)</f>
        <v>#N/A</v>
      </c>
      <c r="F439" s="19" t="str">
        <f>vlookup($C439,CSDL!$A:$E,4,0)</f>
        <v>#N/A</v>
      </c>
      <c r="G439" s="27" t="str">
        <f>vlookup($C439,CSDL!$A:$E,5,0)</f>
        <v>#N/A</v>
      </c>
      <c r="H439" s="28"/>
      <c r="I439" s="29"/>
      <c r="J439" s="29"/>
      <c r="K439" s="29"/>
      <c r="L439" s="22">
        <f t="shared" si="9"/>
        <v>0</v>
      </c>
      <c r="M439" s="29"/>
      <c r="N439" s="29"/>
      <c r="O439" s="30"/>
      <c r="P439" s="26"/>
      <c r="Q439" s="32"/>
    </row>
    <row r="440" ht="25.5" customHeight="1">
      <c r="A440" s="33"/>
      <c r="B440" s="16"/>
      <c r="C440" s="17"/>
      <c r="D440" s="34" t="str">
        <f>vlookup($C440,CSDL!$A:$E,2,0)</f>
        <v>#N/A</v>
      </c>
      <c r="E440" s="19" t="str">
        <f>vlookup($C440,CSDL!$A:$E,3,0)</f>
        <v>#N/A</v>
      </c>
      <c r="F440" s="19" t="str">
        <f>vlookup($C440,CSDL!$A:$E,4,0)</f>
        <v>#N/A</v>
      </c>
      <c r="G440" s="20" t="str">
        <f>vlookup($C440,CSDL!$A:$E,5,0)</f>
        <v>#N/A</v>
      </c>
      <c r="H440" s="16"/>
      <c r="I440" s="23"/>
      <c r="J440" s="23"/>
      <c r="K440" s="23"/>
      <c r="L440" s="22">
        <f t="shared" si="9"/>
        <v>0</v>
      </c>
      <c r="M440" s="23"/>
      <c r="N440" s="23"/>
      <c r="O440" s="24"/>
      <c r="P440" s="33"/>
      <c r="Q440" s="25"/>
    </row>
    <row r="441" ht="25.5" customHeight="1">
      <c r="A441" s="26"/>
      <c r="B441" s="28"/>
      <c r="C441" s="17"/>
      <c r="D441" s="34" t="str">
        <f>vlookup($C441,CSDL!$A:$E,2,0)</f>
        <v>#N/A</v>
      </c>
      <c r="E441" s="19" t="str">
        <f>vlookup($C441,CSDL!$A:$E,3,0)</f>
        <v>#N/A</v>
      </c>
      <c r="F441" s="19" t="str">
        <f>vlookup($C441,CSDL!$A:$E,4,0)</f>
        <v>#N/A</v>
      </c>
      <c r="G441" s="27" t="str">
        <f>vlookup($C441,CSDL!$A:$E,5,0)</f>
        <v>#N/A</v>
      </c>
      <c r="H441" s="28"/>
      <c r="I441" s="29"/>
      <c r="J441" s="29"/>
      <c r="K441" s="29"/>
      <c r="L441" s="22">
        <f t="shared" si="9"/>
        <v>0</v>
      </c>
      <c r="M441" s="29"/>
      <c r="N441" s="29"/>
      <c r="O441" s="30"/>
      <c r="P441" s="26"/>
      <c r="Q441" s="32"/>
    </row>
    <row r="442" ht="25.5" customHeight="1">
      <c r="A442" s="33"/>
      <c r="B442" s="16"/>
      <c r="C442" s="17"/>
      <c r="D442" s="34" t="str">
        <f>vlookup($C442,CSDL!$A:$E,2,0)</f>
        <v>#N/A</v>
      </c>
      <c r="E442" s="19" t="str">
        <f>vlookup($C442,CSDL!$A:$E,3,0)</f>
        <v>#N/A</v>
      </c>
      <c r="F442" s="19" t="str">
        <f>vlookup($C442,CSDL!$A:$E,4,0)</f>
        <v>#N/A</v>
      </c>
      <c r="G442" s="20" t="str">
        <f>vlookup($C442,CSDL!$A:$E,5,0)</f>
        <v>#N/A</v>
      </c>
      <c r="H442" s="16"/>
      <c r="I442" s="23"/>
      <c r="J442" s="23"/>
      <c r="K442" s="23"/>
      <c r="L442" s="22">
        <f t="shared" si="9"/>
        <v>0</v>
      </c>
      <c r="M442" s="23"/>
      <c r="N442" s="23"/>
      <c r="O442" s="24"/>
      <c r="P442" s="33"/>
      <c r="Q442" s="16"/>
    </row>
    <row r="443" ht="25.5" customHeight="1">
      <c r="A443" s="26"/>
      <c r="B443" s="28"/>
      <c r="C443" s="17"/>
      <c r="D443" s="34" t="str">
        <f>vlookup($C443,CSDL!$A:$E,2,0)</f>
        <v>#N/A</v>
      </c>
      <c r="E443" s="19" t="str">
        <f>vlookup($C443,CSDL!$A:$E,3,0)</f>
        <v>#N/A</v>
      </c>
      <c r="F443" s="19" t="str">
        <f>vlookup($C443,CSDL!$A:$E,4,0)</f>
        <v>#N/A</v>
      </c>
      <c r="G443" s="27" t="str">
        <f>vlookup($C443,CSDL!$A:$E,5,0)</f>
        <v>#N/A</v>
      </c>
      <c r="H443" s="28"/>
      <c r="I443" s="29"/>
      <c r="J443" s="29"/>
      <c r="K443" s="29"/>
      <c r="L443" s="22">
        <f t="shared" si="9"/>
        <v>0</v>
      </c>
      <c r="M443" s="29"/>
      <c r="N443" s="29"/>
      <c r="O443" s="30"/>
      <c r="P443" s="26"/>
      <c r="Q443" s="28"/>
    </row>
    <row r="444" ht="25.5" customHeight="1">
      <c r="A444" s="33"/>
      <c r="B444" s="16"/>
      <c r="C444" s="17"/>
      <c r="D444" s="34" t="str">
        <f>vlookup($C444,CSDL!$A:$E,2,0)</f>
        <v>#N/A</v>
      </c>
      <c r="E444" s="19" t="str">
        <f>vlookup($C444,CSDL!$A:$E,3,0)</f>
        <v>#N/A</v>
      </c>
      <c r="F444" s="19" t="str">
        <f>vlookup($C444,CSDL!$A:$E,4,0)</f>
        <v>#N/A</v>
      </c>
      <c r="G444" s="20" t="str">
        <f>vlookup($C444,CSDL!$A:$E,5,0)</f>
        <v>#N/A</v>
      </c>
      <c r="H444" s="16"/>
      <c r="I444" s="23"/>
      <c r="J444" s="23"/>
      <c r="K444" s="23"/>
      <c r="L444" s="22">
        <f t="shared" si="9"/>
        <v>0</v>
      </c>
      <c r="M444" s="23"/>
      <c r="N444" s="23"/>
      <c r="O444" s="24"/>
      <c r="P444" s="60"/>
      <c r="Q444" s="61"/>
    </row>
    <row r="445" ht="25.5" customHeight="1">
      <c r="A445" s="31"/>
      <c r="B445" s="28"/>
      <c r="C445" s="17"/>
      <c r="D445" s="34" t="str">
        <f>vlookup($C445,CSDL!$A:$E,2,0)</f>
        <v>#N/A</v>
      </c>
      <c r="E445" s="19" t="str">
        <f>vlookup($C445,CSDL!$A:$E,3,0)</f>
        <v>#N/A</v>
      </c>
      <c r="F445" s="19" t="str">
        <f>vlookup($C445,CSDL!$A:$E,4,0)</f>
        <v>#N/A</v>
      </c>
      <c r="G445" s="27" t="str">
        <f>vlookup($C445,CSDL!$A:$E,5,0)</f>
        <v>#N/A</v>
      </c>
      <c r="H445" s="28"/>
      <c r="I445" s="29"/>
      <c r="J445" s="29"/>
      <c r="K445" s="29"/>
      <c r="L445" s="22">
        <f t="shared" si="9"/>
        <v>0</v>
      </c>
      <c r="M445" s="29"/>
      <c r="N445" s="29"/>
      <c r="O445" s="30"/>
      <c r="P445" s="62"/>
      <c r="Q445" s="63"/>
    </row>
    <row r="446" ht="25.5" customHeight="1">
      <c r="A446" s="33"/>
      <c r="B446" s="16"/>
      <c r="C446" s="17"/>
      <c r="D446" s="34" t="str">
        <f>vlookup($C446,CSDL!$A:$E,2,0)</f>
        <v>#N/A</v>
      </c>
      <c r="E446" s="19" t="str">
        <f>vlookup($C446,CSDL!$A:$E,3,0)</f>
        <v>#N/A</v>
      </c>
      <c r="F446" s="19" t="str">
        <f>vlookup($C446,CSDL!$A:$E,4,0)</f>
        <v>#N/A</v>
      </c>
      <c r="G446" s="20" t="str">
        <f>vlookup($C446,CSDL!$A:$E,5,0)</f>
        <v>#N/A</v>
      </c>
      <c r="H446" s="16"/>
      <c r="I446" s="23"/>
      <c r="J446" s="23"/>
      <c r="K446" s="23"/>
      <c r="L446" s="22">
        <f t="shared" si="9"/>
        <v>0</v>
      </c>
      <c r="M446" s="23"/>
      <c r="N446" s="23"/>
      <c r="O446" s="24"/>
      <c r="P446" s="64"/>
      <c r="Q446" s="61"/>
    </row>
    <row r="447" ht="25.5" customHeight="1">
      <c r="A447" s="26"/>
      <c r="B447" s="28"/>
      <c r="C447" s="17"/>
      <c r="D447" s="34" t="str">
        <f>vlookup($C447,CSDL!$A:$E,2,0)</f>
        <v>#N/A</v>
      </c>
      <c r="E447" s="19" t="str">
        <f>vlookup($C447,CSDL!$A:$E,3,0)</f>
        <v>#N/A</v>
      </c>
      <c r="F447" s="19" t="str">
        <f>vlookup($C447,CSDL!$A:$E,4,0)</f>
        <v>#N/A</v>
      </c>
      <c r="G447" s="27" t="str">
        <f>vlookup($C447,CSDL!$A:$E,5,0)</f>
        <v>#N/A</v>
      </c>
      <c r="H447" s="28"/>
      <c r="I447" s="29"/>
      <c r="J447" s="29"/>
      <c r="K447" s="29"/>
      <c r="L447" s="22">
        <f t="shared" si="9"/>
        <v>0</v>
      </c>
      <c r="M447" s="29"/>
      <c r="N447" s="29"/>
      <c r="O447" s="30"/>
      <c r="P447" s="62"/>
      <c r="Q447" s="45"/>
    </row>
    <row r="448" ht="25.5" customHeight="1">
      <c r="A448" s="33"/>
      <c r="B448" s="16"/>
      <c r="C448" s="17"/>
      <c r="D448" s="34" t="str">
        <f>vlookup($C448,CSDL!$A:$E,2,0)</f>
        <v>#N/A</v>
      </c>
      <c r="E448" s="19" t="str">
        <f>vlookup($C448,CSDL!$A:$E,3,0)</f>
        <v>#N/A</v>
      </c>
      <c r="F448" s="19" t="str">
        <f>vlookup($C448,CSDL!$A:$E,4,0)</f>
        <v>#N/A</v>
      </c>
      <c r="G448" s="20" t="str">
        <f>vlookup($C448,CSDL!$A:$E,5,0)</f>
        <v>#N/A</v>
      </c>
      <c r="H448" s="16"/>
      <c r="I448" s="23"/>
      <c r="J448" s="23"/>
      <c r="K448" s="23"/>
      <c r="L448" s="22">
        <f t="shared" si="9"/>
        <v>0</v>
      </c>
      <c r="M448" s="23"/>
      <c r="N448" s="23"/>
      <c r="O448" s="24"/>
      <c r="P448" s="60"/>
      <c r="Q448" s="61"/>
    </row>
    <row r="449" ht="25.5" customHeight="1">
      <c r="A449" s="26"/>
      <c r="B449" s="28"/>
      <c r="C449" s="17"/>
      <c r="D449" s="34" t="str">
        <f>vlookup($C449,CSDL!$A:$E,2,0)</f>
        <v>#N/A</v>
      </c>
      <c r="E449" s="19" t="str">
        <f>vlookup($C449,CSDL!$A:$E,3,0)</f>
        <v>#N/A</v>
      </c>
      <c r="F449" s="19" t="str">
        <f>vlookup($C449,CSDL!$A:$E,4,0)</f>
        <v>#N/A</v>
      </c>
      <c r="G449" s="27" t="str">
        <f>vlookup($C449,CSDL!$A:$E,5,0)</f>
        <v>#N/A</v>
      </c>
      <c r="H449" s="28"/>
      <c r="I449" s="29"/>
      <c r="J449" s="29"/>
      <c r="K449" s="29"/>
      <c r="L449" s="22">
        <f t="shared" si="9"/>
        <v>0</v>
      </c>
      <c r="M449" s="29"/>
      <c r="N449" s="29"/>
      <c r="O449" s="30"/>
      <c r="P449" s="26"/>
      <c r="Q449" s="32"/>
    </row>
    <row r="450" ht="25.5" customHeight="1">
      <c r="A450" s="33"/>
      <c r="B450" s="16"/>
      <c r="C450" s="17"/>
      <c r="D450" s="34" t="str">
        <f>vlookup($C450,CSDL!$A:$E,2,0)</f>
        <v>#N/A</v>
      </c>
      <c r="E450" s="19" t="str">
        <f>vlookup($C450,CSDL!$A:$E,3,0)</f>
        <v>#N/A</v>
      </c>
      <c r="F450" s="19" t="str">
        <f>vlookup($C450,CSDL!$A:$E,4,0)</f>
        <v>#N/A</v>
      </c>
      <c r="G450" s="20" t="str">
        <f>vlookup($C450,CSDL!$A:$E,5,0)</f>
        <v>#N/A</v>
      </c>
      <c r="H450" s="16"/>
      <c r="I450" s="23"/>
      <c r="J450" s="23"/>
      <c r="K450" s="23"/>
      <c r="L450" s="22">
        <f t="shared" si="9"/>
        <v>0</v>
      </c>
      <c r="M450" s="23"/>
      <c r="N450" s="23"/>
      <c r="O450" s="24"/>
      <c r="P450" s="33"/>
      <c r="Q450" s="25"/>
    </row>
    <row r="451" ht="25.5" customHeight="1">
      <c r="A451" s="26"/>
      <c r="B451" s="28"/>
      <c r="C451" s="17"/>
      <c r="D451" s="34" t="str">
        <f>vlookup($C451,CSDL!$A:$E,2,0)</f>
        <v>#N/A</v>
      </c>
      <c r="E451" s="19" t="str">
        <f>vlookup($C451,CSDL!$A:$E,3,0)</f>
        <v>#N/A</v>
      </c>
      <c r="F451" s="19" t="str">
        <f>vlookup($C451,CSDL!$A:$E,4,0)</f>
        <v>#N/A</v>
      </c>
      <c r="G451" s="27" t="str">
        <f>vlookup($C451,CSDL!$A:$E,5,0)</f>
        <v>#N/A</v>
      </c>
      <c r="H451" s="28"/>
      <c r="I451" s="29"/>
      <c r="J451" s="29"/>
      <c r="K451" s="29"/>
      <c r="L451" s="22">
        <f t="shared" si="9"/>
        <v>0</v>
      </c>
      <c r="M451" s="29"/>
      <c r="N451" s="29"/>
      <c r="O451" s="30"/>
      <c r="P451" s="26"/>
      <c r="Q451" s="32"/>
    </row>
    <row r="452" ht="25.5" customHeight="1">
      <c r="A452" s="33"/>
      <c r="B452" s="16"/>
      <c r="C452" s="17"/>
      <c r="D452" s="34" t="str">
        <f>vlookup($C452,CSDL!$A:$E,2,0)</f>
        <v>#N/A</v>
      </c>
      <c r="E452" s="19" t="str">
        <f>vlookup($C452,CSDL!$A:$E,3,0)</f>
        <v>#N/A</v>
      </c>
      <c r="F452" s="19" t="str">
        <f>vlookup($C452,CSDL!$A:$E,4,0)</f>
        <v>#N/A</v>
      </c>
      <c r="G452" s="20" t="str">
        <f>vlookup($C452,CSDL!$A:$E,5,0)</f>
        <v>#N/A</v>
      </c>
      <c r="H452" s="16"/>
      <c r="I452" s="23"/>
      <c r="J452" s="23"/>
      <c r="K452" s="23"/>
      <c r="L452" s="22">
        <f t="shared" si="9"/>
        <v>0</v>
      </c>
      <c r="M452" s="23"/>
      <c r="N452" s="23"/>
      <c r="O452" s="24"/>
      <c r="P452" s="33"/>
      <c r="Q452" s="43"/>
    </row>
    <row r="453" ht="25.5" customHeight="1">
      <c r="A453" s="26"/>
      <c r="B453" s="28"/>
      <c r="C453" s="17"/>
      <c r="D453" s="34" t="str">
        <f>vlookup($C453,CSDL!$A:$E,2,0)</f>
        <v>#N/A</v>
      </c>
      <c r="E453" s="19" t="str">
        <f>vlookup($C453,CSDL!$A:$E,3,0)</f>
        <v>#N/A</v>
      </c>
      <c r="F453" s="19" t="str">
        <f>vlookup($C453,CSDL!$A:$E,4,0)</f>
        <v>#N/A</v>
      </c>
      <c r="G453" s="27" t="str">
        <f>vlookup($C453,CSDL!$A:$E,5,0)</f>
        <v>#N/A</v>
      </c>
      <c r="H453" s="28"/>
      <c r="I453" s="29"/>
      <c r="J453" s="29"/>
      <c r="K453" s="29"/>
      <c r="L453" s="22">
        <f t="shared" si="9"/>
        <v>0</v>
      </c>
      <c r="M453" s="29"/>
      <c r="N453" s="29"/>
      <c r="O453" s="30"/>
      <c r="P453" s="26"/>
      <c r="Q453" s="32"/>
    </row>
    <row r="454" ht="25.5" customHeight="1">
      <c r="A454" s="15"/>
      <c r="B454" s="16"/>
      <c r="C454" s="17"/>
      <c r="D454" s="34" t="str">
        <f>vlookup($C454,CSDL!$A:$E,2,0)</f>
        <v>#N/A</v>
      </c>
      <c r="E454" s="19" t="str">
        <f>vlookup($C454,CSDL!$A:$E,3,0)</f>
        <v>#N/A</v>
      </c>
      <c r="F454" s="19" t="str">
        <f>vlookup($C454,CSDL!$A:$E,4,0)</f>
        <v>#N/A</v>
      </c>
      <c r="G454" s="20" t="str">
        <f>vlookup($C454,CSDL!$A:$E,5,0)</f>
        <v>#N/A</v>
      </c>
      <c r="H454" s="16"/>
      <c r="I454" s="23"/>
      <c r="J454" s="23"/>
      <c r="K454" s="23"/>
      <c r="L454" s="22">
        <f t="shared" si="9"/>
        <v>0</v>
      </c>
      <c r="M454" s="23"/>
      <c r="N454" s="23"/>
      <c r="O454" s="24"/>
      <c r="P454" s="65"/>
      <c r="Q454" s="43"/>
    </row>
    <row r="455" ht="25.5" customHeight="1">
      <c r="A455" s="26"/>
      <c r="B455" s="28"/>
      <c r="C455" s="17"/>
      <c r="D455" s="34" t="str">
        <f>vlookup($C455,CSDL!$A:$E,2,0)</f>
        <v>#N/A</v>
      </c>
      <c r="E455" s="19" t="str">
        <f>vlookup($C455,CSDL!$A:$E,3,0)</f>
        <v>#N/A</v>
      </c>
      <c r="F455" s="19" t="str">
        <f>vlookup($C455,CSDL!$A:$E,4,0)</f>
        <v>#N/A</v>
      </c>
      <c r="G455" s="27" t="str">
        <f>vlookup($C455,CSDL!$A:$E,5,0)</f>
        <v>#N/A</v>
      </c>
      <c r="H455" s="28"/>
      <c r="I455" s="29"/>
      <c r="J455" s="29"/>
      <c r="K455" s="29"/>
      <c r="L455" s="22">
        <f t="shared" si="9"/>
        <v>0</v>
      </c>
      <c r="M455" s="29"/>
      <c r="N455" s="29"/>
      <c r="O455" s="30"/>
      <c r="P455" s="31"/>
      <c r="Q455" s="32"/>
    </row>
    <row r="456" ht="25.5" customHeight="1">
      <c r="A456" s="33"/>
      <c r="B456" s="16"/>
      <c r="C456" s="17"/>
      <c r="D456" s="34" t="str">
        <f>vlookup($C456,CSDL!$A:$E,2,0)</f>
        <v>#N/A</v>
      </c>
      <c r="E456" s="19" t="str">
        <f>vlookup($C456,CSDL!$A:$E,3,0)</f>
        <v>#N/A</v>
      </c>
      <c r="F456" s="19" t="str">
        <f>vlookup($C456,CSDL!$A:$E,4,0)</f>
        <v>#N/A</v>
      </c>
      <c r="G456" s="20" t="str">
        <f>vlookup($C456,CSDL!$A:$E,5,0)</f>
        <v>#N/A</v>
      </c>
      <c r="H456" s="16"/>
      <c r="I456" s="23"/>
      <c r="J456" s="23"/>
      <c r="K456" s="23"/>
      <c r="L456" s="22">
        <f t="shared" si="9"/>
        <v>0</v>
      </c>
      <c r="M456" s="23"/>
      <c r="N456" s="23"/>
      <c r="O456" s="24"/>
      <c r="P456" s="33"/>
      <c r="Q456" s="25"/>
    </row>
    <row r="457" ht="25.5" customHeight="1">
      <c r="A457" s="26"/>
      <c r="B457" s="28"/>
      <c r="C457" s="17"/>
      <c r="D457" s="34" t="str">
        <f>vlookup($C457,CSDL!$A:$E,2,0)</f>
        <v>#N/A</v>
      </c>
      <c r="E457" s="19" t="str">
        <f>vlookup($C457,CSDL!$A:$E,3,0)</f>
        <v>#N/A</v>
      </c>
      <c r="F457" s="19" t="str">
        <f>vlookup($C457,CSDL!$A:$E,4,0)</f>
        <v>#N/A</v>
      </c>
      <c r="G457" s="27" t="str">
        <f>vlookup($C457,CSDL!$A:$E,5,0)</f>
        <v>#N/A</v>
      </c>
      <c r="H457" s="28"/>
      <c r="I457" s="29"/>
      <c r="J457" s="29"/>
      <c r="K457" s="29"/>
      <c r="L457" s="22">
        <f t="shared" si="9"/>
        <v>0</v>
      </c>
      <c r="M457" s="29"/>
      <c r="N457" s="29"/>
      <c r="O457" s="30"/>
      <c r="P457" s="26"/>
      <c r="Q457" s="32"/>
    </row>
    <row r="458" ht="25.5" customHeight="1">
      <c r="A458" s="15"/>
      <c r="B458" s="16"/>
      <c r="C458" s="17"/>
      <c r="D458" s="34" t="str">
        <f>vlookup($C458,CSDL!$A:$E,2,0)</f>
        <v>#N/A</v>
      </c>
      <c r="E458" s="19" t="str">
        <f>vlookup($C458,CSDL!$A:$E,3,0)</f>
        <v>#N/A</v>
      </c>
      <c r="F458" s="19" t="str">
        <f>vlookup($C458,CSDL!$A:$E,4,0)</f>
        <v>#N/A</v>
      </c>
      <c r="G458" s="20" t="str">
        <f>vlookup($C458,CSDL!$A:$E,5,0)</f>
        <v>#N/A</v>
      </c>
      <c r="H458" s="16"/>
      <c r="I458" s="23"/>
      <c r="J458" s="23"/>
      <c r="K458" s="23"/>
      <c r="L458" s="22">
        <f t="shared" si="9"/>
        <v>0</v>
      </c>
      <c r="M458" s="23"/>
      <c r="N458" s="23"/>
      <c r="O458" s="24"/>
      <c r="P458" s="33"/>
      <c r="Q458" s="25"/>
    </row>
    <row r="459" ht="25.5" customHeight="1">
      <c r="A459" s="26"/>
      <c r="B459" s="28"/>
      <c r="C459" s="17"/>
      <c r="D459" s="34" t="str">
        <f>vlookup($C459,CSDL!$A:$E,2,0)</f>
        <v>#N/A</v>
      </c>
      <c r="E459" s="19" t="str">
        <f>vlookup($C459,CSDL!$A:$E,3,0)</f>
        <v>#N/A</v>
      </c>
      <c r="F459" s="19" t="str">
        <f>vlookup($C459,CSDL!$A:$E,4,0)</f>
        <v>#N/A</v>
      </c>
      <c r="G459" s="27" t="str">
        <f>vlookup($C459,CSDL!$A:$E,5,0)</f>
        <v>#N/A</v>
      </c>
      <c r="H459" s="28"/>
      <c r="I459" s="29"/>
      <c r="J459" s="29"/>
      <c r="K459" s="29"/>
      <c r="L459" s="22">
        <f t="shared" si="9"/>
        <v>0</v>
      </c>
      <c r="M459" s="29"/>
      <c r="N459" s="29"/>
      <c r="O459" s="30"/>
      <c r="P459" s="26"/>
      <c r="Q459" s="32"/>
    </row>
    <row r="460" ht="25.5" customHeight="1">
      <c r="A460" s="33"/>
      <c r="B460" s="16"/>
      <c r="C460" s="17"/>
      <c r="D460" s="34" t="str">
        <f>vlookup($C460,CSDL!$A:$E,2,0)</f>
        <v>#N/A</v>
      </c>
      <c r="E460" s="19" t="str">
        <f>vlookup($C460,CSDL!$A:$E,3,0)</f>
        <v>#N/A</v>
      </c>
      <c r="F460" s="19" t="str">
        <f>vlookup($C460,CSDL!$A:$E,4,0)</f>
        <v>#N/A</v>
      </c>
      <c r="G460" s="20" t="str">
        <f>vlookup($C460,CSDL!$A:$E,5,0)</f>
        <v>#N/A</v>
      </c>
      <c r="H460" s="16"/>
      <c r="I460" s="23"/>
      <c r="J460" s="23"/>
      <c r="K460" s="23"/>
      <c r="L460" s="22">
        <f t="shared" si="9"/>
        <v>0</v>
      </c>
      <c r="M460" s="23"/>
      <c r="N460" s="23"/>
      <c r="O460" s="24"/>
      <c r="P460" s="33"/>
      <c r="Q460" s="25"/>
    </row>
    <row r="461" ht="25.5" customHeight="1">
      <c r="A461" s="26"/>
      <c r="B461" s="28"/>
      <c r="C461" s="17"/>
      <c r="D461" s="34" t="str">
        <f>vlookup($C461,CSDL!$A:$E,2,0)</f>
        <v>#N/A</v>
      </c>
      <c r="E461" s="19" t="str">
        <f>vlookup($C461,CSDL!$A:$E,3,0)</f>
        <v>#N/A</v>
      </c>
      <c r="F461" s="19" t="str">
        <f>vlookup($C461,CSDL!$A:$E,4,0)</f>
        <v>#N/A</v>
      </c>
      <c r="G461" s="27" t="str">
        <f>vlookup($C461,CSDL!$A:$E,5,0)</f>
        <v>#N/A</v>
      </c>
      <c r="H461" s="28"/>
      <c r="I461" s="29"/>
      <c r="J461" s="29"/>
      <c r="K461" s="29"/>
      <c r="L461" s="22">
        <f t="shared" si="9"/>
        <v>0</v>
      </c>
      <c r="M461" s="29"/>
      <c r="N461" s="29"/>
      <c r="O461" s="30"/>
      <c r="P461" s="26"/>
      <c r="Q461" s="32"/>
    </row>
    <row r="462" ht="25.5" customHeight="1">
      <c r="A462" s="33"/>
      <c r="B462" s="16"/>
      <c r="C462" s="17"/>
      <c r="D462" s="34" t="str">
        <f>vlookup($C462,CSDL!$A:$E,2,0)</f>
        <v>#N/A</v>
      </c>
      <c r="E462" s="19" t="str">
        <f>vlookup($C462,CSDL!$A:$E,3,0)</f>
        <v>#N/A</v>
      </c>
      <c r="F462" s="19" t="str">
        <f>vlookup($C462,CSDL!$A:$E,4,0)</f>
        <v>#N/A</v>
      </c>
      <c r="G462" s="20" t="str">
        <f>vlookup($C462,CSDL!$A:$E,5,0)</f>
        <v>#N/A</v>
      </c>
      <c r="H462" s="16"/>
      <c r="I462" s="23"/>
      <c r="J462" s="23"/>
      <c r="K462" s="23"/>
      <c r="L462" s="22">
        <f t="shared" si="9"/>
        <v>0</v>
      </c>
      <c r="M462" s="23"/>
      <c r="N462" s="23"/>
      <c r="O462" s="24"/>
      <c r="P462" s="33"/>
      <c r="Q462" s="25"/>
    </row>
    <row r="463" ht="25.5" customHeight="1">
      <c r="A463" s="26"/>
      <c r="B463" s="28"/>
      <c r="C463" s="17"/>
      <c r="D463" s="34" t="str">
        <f>vlookup($C463,CSDL!$A:$E,2,0)</f>
        <v>#N/A</v>
      </c>
      <c r="E463" s="19" t="str">
        <f>vlookup($C463,CSDL!$A:$E,3,0)</f>
        <v>#N/A</v>
      </c>
      <c r="F463" s="19" t="str">
        <f>vlookup($C463,CSDL!$A:$E,4,0)</f>
        <v>#N/A</v>
      </c>
      <c r="G463" s="27" t="str">
        <f>vlookup($C463,CSDL!$A:$E,5,0)</f>
        <v>#N/A</v>
      </c>
      <c r="H463" s="28"/>
      <c r="I463" s="29"/>
      <c r="J463" s="29"/>
      <c r="K463" s="29"/>
      <c r="L463" s="22">
        <f t="shared" si="9"/>
        <v>0</v>
      </c>
      <c r="M463" s="29"/>
      <c r="N463" s="29"/>
      <c r="O463" s="30"/>
      <c r="P463" s="66"/>
      <c r="Q463" s="45"/>
    </row>
    <row r="464" ht="25.5" customHeight="1">
      <c r="A464" s="33"/>
      <c r="B464" s="16"/>
      <c r="C464" s="17"/>
      <c r="D464" s="34" t="str">
        <f>vlookup($C464,CSDL!$A:$E,2,0)</f>
        <v>#N/A</v>
      </c>
      <c r="E464" s="19" t="str">
        <f>vlookup($C464,CSDL!$A:$E,3,0)</f>
        <v>#N/A</v>
      </c>
      <c r="F464" s="19" t="str">
        <f>vlookup($C464,CSDL!$A:$E,4,0)</f>
        <v>#N/A</v>
      </c>
      <c r="G464" s="20" t="str">
        <f>vlookup($C464,CSDL!$A:$E,5,0)</f>
        <v>#N/A</v>
      </c>
      <c r="H464" s="16"/>
      <c r="I464" s="23"/>
      <c r="J464" s="23"/>
      <c r="K464" s="23"/>
      <c r="L464" s="22">
        <f t="shared" si="9"/>
        <v>0</v>
      </c>
      <c r="M464" s="23"/>
      <c r="N464" s="23"/>
      <c r="O464" s="24"/>
      <c r="P464" s="33"/>
      <c r="Q464" s="25"/>
    </row>
    <row r="465" ht="25.5" customHeight="1">
      <c r="A465" s="26"/>
      <c r="B465" s="28"/>
      <c r="C465" s="17"/>
      <c r="D465" s="34" t="str">
        <f>vlookup($C465,CSDL!$A:$E,2,0)</f>
        <v>#N/A</v>
      </c>
      <c r="E465" s="19" t="str">
        <f>vlookup($C465,CSDL!$A:$E,3,0)</f>
        <v>#N/A</v>
      </c>
      <c r="F465" s="19" t="str">
        <f>vlookup($C465,CSDL!$A:$E,4,0)</f>
        <v>#N/A</v>
      </c>
      <c r="G465" s="27" t="str">
        <f>vlookup($C465,CSDL!$A:$E,5,0)</f>
        <v>#N/A</v>
      </c>
      <c r="H465" s="28"/>
      <c r="I465" s="29"/>
      <c r="J465" s="29"/>
      <c r="K465" s="29"/>
      <c r="L465" s="22">
        <f t="shared" si="9"/>
        <v>0</v>
      </c>
      <c r="M465" s="29"/>
      <c r="N465" s="29"/>
      <c r="O465" s="30"/>
      <c r="P465" s="26"/>
      <c r="Q465" s="32"/>
    </row>
    <row r="466" ht="25.5" customHeight="1">
      <c r="A466" s="33"/>
      <c r="B466" s="16"/>
      <c r="C466" s="17"/>
      <c r="D466" s="34" t="str">
        <f>vlookup($C466,CSDL!$A:$E,2,0)</f>
        <v>#N/A</v>
      </c>
      <c r="E466" s="19" t="str">
        <f>vlookup($C466,CSDL!$A:$E,3,0)</f>
        <v>#N/A</v>
      </c>
      <c r="F466" s="19" t="str">
        <f>vlookup($C466,CSDL!$A:$E,4,0)</f>
        <v>#N/A</v>
      </c>
      <c r="G466" s="20" t="str">
        <f>vlookup($C466,CSDL!$A:$E,5,0)</f>
        <v>#N/A</v>
      </c>
      <c r="H466" s="16"/>
      <c r="I466" s="23"/>
      <c r="J466" s="23"/>
      <c r="K466" s="23"/>
      <c r="L466" s="22">
        <f t="shared" si="9"/>
        <v>0</v>
      </c>
      <c r="M466" s="23"/>
      <c r="N466" s="23"/>
      <c r="O466" s="24"/>
      <c r="P466" s="33"/>
      <c r="Q466" s="25"/>
    </row>
    <row r="467" ht="25.5" customHeight="1">
      <c r="A467" s="26"/>
      <c r="B467" s="28"/>
      <c r="C467" s="17"/>
      <c r="D467" s="34" t="str">
        <f>vlookup($C467,CSDL!$A:$E,2,0)</f>
        <v>#N/A</v>
      </c>
      <c r="E467" s="19" t="str">
        <f>vlookup($C467,CSDL!$A:$E,3,0)</f>
        <v>#N/A</v>
      </c>
      <c r="F467" s="19" t="str">
        <f>vlookup($C467,CSDL!$A:$E,4,0)</f>
        <v>#N/A</v>
      </c>
      <c r="G467" s="27" t="str">
        <f>vlookup($C467,CSDL!$A:$E,5,0)</f>
        <v>#N/A</v>
      </c>
      <c r="H467" s="28"/>
      <c r="I467" s="29"/>
      <c r="J467" s="29"/>
      <c r="K467" s="29"/>
      <c r="L467" s="22">
        <f t="shared" si="9"/>
        <v>0</v>
      </c>
      <c r="M467" s="29"/>
      <c r="N467" s="29"/>
      <c r="O467" s="30"/>
      <c r="P467" s="26"/>
      <c r="Q467" s="32"/>
    </row>
    <row r="468" ht="25.5" customHeight="1">
      <c r="A468" s="33"/>
      <c r="B468" s="16"/>
      <c r="C468" s="17"/>
      <c r="D468" s="34" t="str">
        <f>vlookup($C468,CSDL!$A:$E,2,0)</f>
        <v>#N/A</v>
      </c>
      <c r="E468" s="19" t="str">
        <f>vlookup($C468,CSDL!$A:$E,3,0)</f>
        <v>#N/A</v>
      </c>
      <c r="F468" s="19" t="str">
        <f>vlookup($C468,CSDL!$A:$E,4,0)</f>
        <v>#N/A</v>
      </c>
      <c r="G468" s="20" t="str">
        <f>vlookup($C468,CSDL!$A:$E,5,0)</f>
        <v>#N/A</v>
      </c>
      <c r="H468" s="16"/>
      <c r="I468" s="23"/>
      <c r="J468" s="23"/>
      <c r="K468" s="23"/>
      <c r="L468" s="22">
        <f t="shared" si="9"/>
        <v>0</v>
      </c>
      <c r="M468" s="23"/>
      <c r="N468" s="23"/>
      <c r="O468" s="24"/>
      <c r="P468" s="33"/>
      <c r="Q468" s="25"/>
    </row>
    <row r="469" ht="25.5" customHeight="1">
      <c r="A469" s="26"/>
      <c r="B469" s="28"/>
      <c r="C469" s="17"/>
      <c r="D469" s="34" t="str">
        <f>vlookup($C469,CSDL!$A:$E,2,0)</f>
        <v>#N/A</v>
      </c>
      <c r="E469" s="19" t="str">
        <f>vlookup($C469,CSDL!$A:$E,3,0)</f>
        <v>#N/A</v>
      </c>
      <c r="F469" s="19" t="str">
        <f>vlookup($C469,CSDL!$A:$E,4,0)</f>
        <v>#N/A</v>
      </c>
      <c r="G469" s="27" t="str">
        <f>vlookup($C469,CSDL!$A:$E,5,0)</f>
        <v>#N/A</v>
      </c>
      <c r="H469" s="28"/>
      <c r="I469" s="29"/>
      <c r="J469" s="29"/>
      <c r="K469" s="29"/>
      <c r="L469" s="22">
        <f t="shared" si="9"/>
        <v>0</v>
      </c>
      <c r="M469" s="29"/>
      <c r="N469" s="29"/>
      <c r="O469" s="30"/>
      <c r="P469" s="26"/>
      <c r="Q469" s="32"/>
    </row>
    <row r="470" ht="25.5" customHeight="1">
      <c r="A470" s="15"/>
      <c r="B470" s="16"/>
      <c r="C470" s="17"/>
      <c r="D470" s="34" t="str">
        <f>vlookup($C470,CSDL!$A:$E,2,0)</f>
        <v>#N/A</v>
      </c>
      <c r="E470" s="19" t="str">
        <f>vlookup($C470,CSDL!$A:$E,3,0)</f>
        <v>#N/A</v>
      </c>
      <c r="F470" s="19" t="str">
        <f>vlookup($C470,CSDL!$A:$E,4,0)</f>
        <v>#N/A</v>
      </c>
      <c r="G470" s="20" t="str">
        <f>vlookup($C470,CSDL!$A:$E,5,0)</f>
        <v>#N/A</v>
      </c>
      <c r="H470" s="16"/>
      <c r="I470" s="23"/>
      <c r="J470" s="23"/>
      <c r="K470" s="23"/>
      <c r="L470" s="22">
        <f t="shared" si="9"/>
        <v>0</v>
      </c>
      <c r="M470" s="23"/>
      <c r="N470" s="23"/>
      <c r="O470" s="24"/>
      <c r="P470" s="33"/>
      <c r="Q470" s="25"/>
    </row>
    <row r="471" ht="25.5" customHeight="1">
      <c r="A471" s="31"/>
      <c r="B471" s="28"/>
      <c r="C471" s="17"/>
      <c r="D471" s="34" t="str">
        <f>vlookup($C471,CSDL!$A:$E,2,0)</f>
        <v>#N/A</v>
      </c>
      <c r="E471" s="19" t="str">
        <f>vlookup($C471,CSDL!$A:$E,3,0)</f>
        <v>#N/A</v>
      </c>
      <c r="F471" s="19" t="str">
        <f>vlookup($C471,CSDL!$A:$E,4,0)</f>
        <v>#N/A</v>
      </c>
      <c r="G471" s="27" t="str">
        <f>vlookup($C471,CSDL!$A:$E,5,0)</f>
        <v>#N/A</v>
      </c>
      <c r="H471" s="28"/>
      <c r="I471" s="29"/>
      <c r="J471" s="29"/>
      <c r="K471" s="29"/>
      <c r="L471" s="22">
        <f t="shared" si="9"/>
        <v>0</v>
      </c>
      <c r="M471" s="29"/>
      <c r="N471" s="29"/>
      <c r="O471" s="30"/>
      <c r="P471" s="31"/>
      <c r="Q471" s="32"/>
    </row>
    <row r="472" ht="25.5" customHeight="1">
      <c r="A472" s="33"/>
      <c r="B472" s="16"/>
      <c r="C472" s="17"/>
      <c r="D472" s="34" t="str">
        <f>vlookup($C472,CSDL!$A:$E,2,0)</f>
        <v>#N/A</v>
      </c>
      <c r="E472" s="19" t="str">
        <f>vlookup($C472,CSDL!$A:$E,3,0)</f>
        <v>#N/A</v>
      </c>
      <c r="F472" s="19" t="str">
        <f>vlookup($C472,CSDL!$A:$E,4,0)</f>
        <v>#N/A</v>
      </c>
      <c r="G472" s="20" t="str">
        <f>vlookup($C472,CSDL!$A:$E,5,0)</f>
        <v>#N/A</v>
      </c>
      <c r="H472" s="16"/>
      <c r="I472" s="23"/>
      <c r="J472" s="23"/>
      <c r="K472" s="23"/>
      <c r="L472" s="22">
        <f t="shared" si="9"/>
        <v>0</v>
      </c>
      <c r="M472" s="23"/>
      <c r="N472" s="23"/>
      <c r="O472" s="24"/>
      <c r="P472" s="15"/>
      <c r="Q472" s="25"/>
    </row>
    <row r="473" ht="25.5" customHeight="1">
      <c r="A473" s="26"/>
      <c r="B473" s="28"/>
      <c r="C473" s="17"/>
      <c r="D473" s="34" t="str">
        <f>vlookup($C473,CSDL!$A:$E,2,0)</f>
        <v>#N/A</v>
      </c>
      <c r="E473" s="19" t="str">
        <f>vlookup($C473,CSDL!$A:$E,3,0)</f>
        <v>#N/A</v>
      </c>
      <c r="F473" s="19" t="str">
        <f>vlookup($C473,CSDL!$A:$E,4,0)</f>
        <v>#N/A</v>
      </c>
      <c r="G473" s="27" t="str">
        <f>vlookup($C473,CSDL!$A:$E,5,0)</f>
        <v>#N/A</v>
      </c>
      <c r="H473" s="28"/>
      <c r="I473" s="29"/>
      <c r="J473" s="29"/>
      <c r="K473" s="29"/>
      <c r="L473" s="22">
        <f t="shared" si="9"/>
        <v>0</v>
      </c>
      <c r="M473" s="29"/>
      <c r="N473" s="29"/>
      <c r="O473" s="30"/>
      <c r="P473" s="26"/>
      <c r="Q473" s="32"/>
    </row>
    <row r="474" ht="25.5" customHeight="1">
      <c r="A474" s="33"/>
      <c r="B474" s="16"/>
      <c r="C474" s="17"/>
      <c r="D474" s="34" t="str">
        <f>vlookup($C474,CSDL!$A:$E,2,0)</f>
        <v>#N/A</v>
      </c>
      <c r="E474" s="19" t="str">
        <f>vlookup($C474,CSDL!$A:$E,3,0)</f>
        <v>#N/A</v>
      </c>
      <c r="F474" s="19" t="str">
        <f>vlookup($C474,CSDL!$A:$E,4,0)</f>
        <v>#N/A</v>
      </c>
      <c r="G474" s="20" t="str">
        <f>vlookup($C474,CSDL!$A:$E,5,0)</f>
        <v>#N/A</v>
      </c>
      <c r="H474" s="16"/>
      <c r="I474" s="23"/>
      <c r="J474" s="23"/>
      <c r="K474" s="23"/>
      <c r="L474" s="22">
        <f t="shared" si="9"/>
        <v>0</v>
      </c>
      <c r="M474" s="23"/>
      <c r="N474" s="23"/>
      <c r="O474" s="24"/>
      <c r="P474" s="33"/>
      <c r="Q474" s="25"/>
    </row>
    <row r="475" ht="25.5" customHeight="1">
      <c r="A475" s="31"/>
      <c r="B475" s="28"/>
      <c r="C475" s="17"/>
      <c r="D475" s="34" t="str">
        <f>vlookup($C475,CSDL!$A:$E,2,0)</f>
        <v>#N/A</v>
      </c>
      <c r="E475" s="19" t="str">
        <f>vlookup($C475,CSDL!$A:$E,3,0)</f>
        <v>#N/A</v>
      </c>
      <c r="F475" s="19" t="str">
        <f>vlookup($C475,CSDL!$A:$E,4,0)</f>
        <v>#N/A</v>
      </c>
      <c r="G475" s="27" t="str">
        <f>vlookup($C475,CSDL!$A:$E,5,0)</f>
        <v>#N/A</v>
      </c>
      <c r="H475" s="28"/>
      <c r="I475" s="29"/>
      <c r="J475" s="29"/>
      <c r="K475" s="29"/>
      <c r="L475" s="22">
        <f t="shared" si="9"/>
        <v>0</v>
      </c>
      <c r="M475" s="29"/>
      <c r="N475" s="29"/>
      <c r="O475" s="30"/>
      <c r="P475" s="26"/>
      <c r="Q475" s="32"/>
    </row>
    <row r="476" ht="25.5" customHeight="1">
      <c r="A476" s="15"/>
      <c r="B476" s="16"/>
      <c r="C476" s="17"/>
      <c r="D476" s="34" t="str">
        <f>vlookup($C476,CSDL!$A:$E,2,0)</f>
        <v>#N/A</v>
      </c>
      <c r="E476" s="19" t="str">
        <f>vlookup($C476,CSDL!$A:$E,3,0)</f>
        <v>#N/A</v>
      </c>
      <c r="F476" s="19" t="str">
        <f>vlookup($C476,CSDL!$A:$E,4,0)</f>
        <v>#N/A</v>
      </c>
      <c r="G476" s="20" t="str">
        <f>vlookup($C476,CSDL!$A:$E,5,0)</f>
        <v>#N/A</v>
      </c>
      <c r="H476" s="16"/>
      <c r="I476" s="23"/>
      <c r="J476" s="23"/>
      <c r="K476" s="23"/>
      <c r="L476" s="22">
        <f t="shared" si="9"/>
        <v>0</v>
      </c>
      <c r="M476" s="23"/>
      <c r="N476" s="23"/>
      <c r="O476" s="24"/>
      <c r="P476" s="33"/>
      <c r="Q476" s="25"/>
    </row>
    <row r="477" ht="25.5" customHeight="1">
      <c r="A477" s="26"/>
      <c r="B477" s="28"/>
      <c r="C477" s="17"/>
      <c r="D477" s="34" t="str">
        <f>vlookup($C477,CSDL!$A:$E,2,0)</f>
        <v>#N/A</v>
      </c>
      <c r="E477" s="19" t="str">
        <f>vlookup($C477,CSDL!$A:$E,3,0)</f>
        <v>#N/A</v>
      </c>
      <c r="F477" s="19" t="str">
        <f>vlookup($C477,CSDL!$A:$E,4,0)</f>
        <v>#N/A</v>
      </c>
      <c r="G477" s="27" t="str">
        <f>vlookup($C477,CSDL!$A:$E,5,0)</f>
        <v>#N/A</v>
      </c>
      <c r="H477" s="28"/>
      <c r="I477" s="29"/>
      <c r="J477" s="29"/>
      <c r="K477" s="29"/>
      <c r="L477" s="22">
        <f t="shared" si="9"/>
        <v>0</v>
      </c>
      <c r="M477" s="29"/>
      <c r="N477" s="29"/>
      <c r="O477" s="30"/>
      <c r="P477" s="26"/>
      <c r="Q477" s="32"/>
    </row>
    <row r="478" ht="25.5" customHeight="1">
      <c r="A478" s="33"/>
      <c r="B478" s="16"/>
      <c r="C478" s="17"/>
      <c r="D478" s="34" t="str">
        <f>vlookup($C478,CSDL!$A:$E,2,0)</f>
        <v>#N/A</v>
      </c>
      <c r="E478" s="19" t="str">
        <f>vlookup($C478,CSDL!$A:$E,3,0)</f>
        <v>#N/A</v>
      </c>
      <c r="F478" s="19" t="str">
        <f>vlookup($C478,CSDL!$A:$E,4,0)</f>
        <v>#N/A</v>
      </c>
      <c r="G478" s="20" t="str">
        <f>vlookup($C478,CSDL!$A:$E,5,0)</f>
        <v>#N/A</v>
      </c>
      <c r="H478" s="16"/>
      <c r="I478" s="23"/>
      <c r="J478" s="23"/>
      <c r="K478" s="23"/>
      <c r="L478" s="22">
        <f t="shared" si="9"/>
        <v>0</v>
      </c>
      <c r="M478" s="23"/>
      <c r="N478" s="23"/>
      <c r="O478" s="24"/>
      <c r="P478" s="33"/>
      <c r="Q478" s="25"/>
    </row>
    <row r="479" ht="25.5" customHeight="1">
      <c r="A479" s="26"/>
      <c r="B479" s="28"/>
      <c r="C479" s="17"/>
      <c r="D479" s="34" t="str">
        <f>vlookup($C479,CSDL!$A:$E,2,0)</f>
        <v>#N/A</v>
      </c>
      <c r="E479" s="19" t="str">
        <f>vlookup($C479,CSDL!$A:$E,3,0)</f>
        <v>#N/A</v>
      </c>
      <c r="F479" s="19" t="str">
        <f>vlookup($C479,CSDL!$A:$E,4,0)</f>
        <v>#N/A</v>
      </c>
      <c r="G479" s="27" t="str">
        <f>vlookup($C479,CSDL!$A:$E,5,0)</f>
        <v>#N/A</v>
      </c>
      <c r="H479" s="28"/>
      <c r="I479" s="29"/>
      <c r="J479" s="29"/>
      <c r="K479" s="29"/>
      <c r="L479" s="22">
        <f t="shared" si="9"/>
        <v>0</v>
      </c>
      <c r="M479" s="29"/>
      <c r="N479" s="29"/>
      <c r="O479" s="30"/>
      <c r="P479" s="26"/>
      <c r="Q479" s="32"/>
    </row>
    <row r="480" ht="25.5" customHeight="1">
      <c r="A480" s="15"/>
      <c r="B480" s="16"/>
      <c r="C480" s="17"/>
      <c r="D480" s="34" t="str">
        <f>vlookup($C480,CSDL!$A:$E,2,0)</f>
        <v>#N/A</v>
      </c>
      <c r="E480" s="19" t="str">
        <f>vlookup($C480,CSDL!$A:$E,3,0)</f>
        <v>#N/A</v>
      </c>
      <c r="F480" s="19" t="str">
        <f>vlookup($C480,CSDL!$A:$E,4,0)</f>
        <v>#N/A</v>
      </c>
      <c r="G480" s="20" t="str">
        <f>vlookup($C480,CSDL!$A:$E,5,0)</f>
        <v>#N/A</v>
      </c>
      <c r="H480" s="16"/>
      <c r="I480" s="23"/>
      <c r="J480" s="23"/>
      <c r="K480" s="23"/>
      <c r="L480" s="22">
        <f t="shared" si="9"/>
        <v>0</v>
      </c>
      <c r="M480" s="23"/>
      <c r="N480" s="23"/>
      <c r="O480" s="24"/>
      <c r="P480" s="33"/>
      <c r="Q480" s="25"/>
    </row>
    <row r="481" ht="25.5" customHeight="1">
      <c r="A481" s="26"/>
      <c r="B481" s="28"/>
      <c r="C481" s="17"/>
      <c r="D481" s="34" t="str">
        <f>vlookup($C481,CSDL!$A:$E,2,0)</f>
        <v>#N/A</v>
      </c>
      <c r="E481" s="19" t="str">
        <f>vlookup($C481,CSDL!$A:$E,3,0)</f>
        <v>#N/A</v>
      </c>
      <c r="F481" s="19" t="str">
        <f>vlookup($C481,CSDL!$A:$E,4,0)</f>
        <v>#N/A</v>
      </c>
      <c r="G481" s="27" t="str">
        <f>vlookup($C481,CSDL!$A:$E,5,0)</f>
        <v>#N/A</v>
      </c>
      <c r="H481" s="28"/>
      <c r="I481" s="29"/>
      <c r="J481" s="29"/>
      <c r="K481" s="29"/>
      <c r="L481" s="22">
        <f t="shared" si="9"/>
        <v>0</v>
      </c>
      <c r="M481" s="29"/>
      <c r="N481" s="29"/>
      <c r="O481" s="30"/>
      <c r="P481" s="26"/>
      <c r="Q481" s="32"/>
    </row>
    <row r="482" ht="25.5" customHeight="1">
      <c r="A482" s="33"/>
      <c r="B482" s="16"/>
      <c r="C482" s="17"/>
      <c r="D482" s="34" t="str">
        <f>vlookup($C482,CSDL!$A:$E,2,0)</f>
        <v>#N/A</v>
      </c>
      <c r="E482" s="19" t="str">
        <f>vlookup($C482,CSDL!$A:$E,3,0)</f>
        <v>#N/A</v>
      </c>
      <c r="F482" s="19" t="str">
        <f>vlookup($C482,CSDL!$A:$E,4,0)</f>
        <v>#N/A</v>
      </c>
      <c r="G482" s="20" t="str">
        <f>vlookup($C482,CSDL!$A:$E,5,0)</f>
        <v>#N/A</v>
      </c>
      <c r="H482" s="16"/>
      <c r="I482" s="23"/>
      <c r="J482" s="23"/>
      <c r="K482" s="23"/>
      <c r="L482" s="22">
        <f t="shared" si="9"/>
        <v>0</v>
      </c>
      <c r="M482" s="23"/>
      <c r="N482" s="23"/>
      <c r="O482" s="24"/>
      <c r="P482" s="33"/>
      <c r="Q482" s="25"/>
    </row>
    <row r="483" ht="25.5" customHeight="1">
      <c r="A483" s="26"/>
      <c r="B483" s="28"/>
      <c r="C483" s="17"/>
      <c r="D483" s="34" t="str">
        <f>vlookup($C483,CSDL!$A:$E,2,0)</f>
        <v>#N/A</v>
      </c>
      <c r="E483" s="19" t="str">
        <f>vlookup($C483,CSDL!$A:$E,3,0)</f>
        <v>#N/A</v>
      </c>
      <c r="F483" s="19" t="str">
        <f>vlookup($C483,CSDL!$A:$E,4,0)</f>
        <v>#N/A</v>
      </c>
      <c r="G483" s="27" t="str">
        <f>vlookup($C483,CSDL!$A:$E,5,0)</f>
        <v>#N/A</v>
      </c>
      <c r="H483" s="28"/>
      <c r="I483" s="29"/>
      <c r="J483" s="29"/>
      <c r="K483" s="29"/>
      <c r="L483" s="22">
        <f t="shared" si="9"/>
        <v>0</v>
      </c>
      <c r="M483" s="29"/>
      <c r="N483" s="29"/>
      <c r="O483" s="30"/>
      <c r="P483" s="26"/>
      <c r="Q483" s="32"/>
    </row>
    <row r="484" ht="25.5" customHeight="1">
      <c r="A484" s="33"/>
      <c r="B484" s="16"/>
      <c r="C484" s="17"/>
      <c r="D484" s="34" t="str">
        <f>vlookup($C484,CSDL!$A:$E,2,0)</f>
        <v>#N/A</v>
      </c>
      <c r="E484" s="19" t="str">
        <f>vlookup($C484,CSDL!$A:$E,3,0)</f>
        <v>#N/A</v>
      </c>
      <c r="F484" s="19" t="str">
        <f>vlookup($C484,CSDL!$A:$E,4,0)</f>
        <v>#N/A</v>
      </c>
      <c r="G484" s="20" t="str">
        <f>vlookup($C484,CSDL!$A:$E,5,0)</f>
        <v>#N/A</v>
      </c>
      <c r="H484" s="16"/>
      <c r="I484" s="23"/>
      <c r="J484" s="23"/>
      <c r="K484" s="23"/>
      <c r="L484" s="22">
        <f t="shared" si="9"/>
        <v>0</v>
      </c>
      <c r="M484" s="23"/>
      <c r="N484" s="23"/>
      <c r="O484" s="24"/>
      <c r="P484" s="15"/>
      <c r="Q484" s="25"/>
    </row>
    <row r="485" ht="25.5" customHeight="1">
      <c r="A485" s="26"/>
      <c r="B485" s="28"/>
      <c r="C485" s="17"/>
      <c r="D485" s="34" t="str">
        <f>vlookup($C485,CSDL!$A:$E,2,0)</f>
        <v>#N/A</v>
      </c>
      <c r="E485" s="19" t="str">
        <f>vlookup($C485,CSDL!$A:$E,3,0)</f>
        <v>#N/A</v>
      </c>
      <c r="F485" s="19" t="str">
        <f>vlookup($C485,CSDL!$A:$E,4,0)</f>
        <v>#N/A</v>
      </c>
      <c r="G485" s="27" t="str">
        <f>vlookup($C485,CSDL!$A:$E,5,0)</f>
        <v>#N/A</v>
      </c>
      <c r="H485" s="28"/>
      <c r="I485" s="29"/>
      <c r="J485" s="29"/>
      <c r="K485" s="29"/>
      <c r="L485" s="22">
        <f t="shared" si="9"/>
        <v>0</v>
      </c>
      <c r="M485" s="29"/>
      <c r="N485" s="29"/>
      <c r="O485" s="30"/>
      <c r="P485" s="31"/>
      <c r="Q485" s="32"/>
    </row>
    <row r="486" ht="25.5" customHeight="1">
      <c r="A486" s="15"/>
      <c r="B486" s="16"/>
      <c r="C486" s="17"/>
      <c r="D486" s="34" t="str">
        <f>vlookup($C486,CSDL!$A:$E,2,0)</f>
        <v>#N/A</v>
      </c>
      <c r="E486" s="19" t="str">
        <f>vlookup($C486,CSDL!$A:$E,3,0)</f>
        <v>#N/A</v>
      </c>
      <c r="F486" s="19" t="str">
        <f>vlookup($C486,CSDL!$A:$E,4,0)</f>
        <v>#N/A</v>
      </c>
      <c r="G486" s="20" t="str">
        <f>vlookup($C486,CSDL!$A:$E,5,0)</f>
        <v>#N/A</v>
      </c>
      <c r="H486" s="16"/>
      <c r="I486" s="23"/>
      <c r="J486" s="23"/>
      <c r="K486" s="23"/>
      <c r="L486" s="22">
        <f t="shared" si="9"/>
        <v>0</v>
      </c>
      <c r="M486" s="23"/>
      <c r="N486" s="23"/>
      <c r="O486" s="24"/>
      <c r="P486" s="15"/>
      <c r="Q486" s="25"/>
    </row>
    <row r="487" ht="25.5" customHeight="1">
      <c r="A487" s="26"/>
      <c r="B487" s="28"/>
      <c r="C487" s="17"/>
      <c r="D487" s="34" t="str">
        <f>vlookup($C487,CSDL!$A:$E,2,0)</f>
        <v>#N/A</v>
      </c>
      <c r="E487" s="19" t="str">
        <f>vlookup($C487,CSDL!$A:$E,3,0)</f>
        <v>#N/A</v>
      </c>
      <c r="F487" s="19" t="str">
        <f>vlookup($C487,CSDL!$A:$E,4,0)</f>
        <v>#N/A</v>
      </c>
      <c r="G487" s="27" t="str">
        <f>vlookup($C487,CSDL!$A:$E,5,0)</f>
        <v>#N/A</v>
      </c>
      <c r="H487" s="28"/>
      <c r="I487" s="29"/>
      <c r="J487" s="29"/>
      <c r="K487" s="29"/>
      <c r="L487" s="22">
        <f t="shared" si="9"/>
        <v>0</v>
      </c>
      <c r="M487" s="29"/>
      <c r="N487" s="29"/>
      <c r="O487" s="30"/>
      <c r="P487" s="31"/>
      <c r="Q487" s="32"/>
    </row>
    <row r="488" ht="25.5" customHeight="1">
      <c r="A488" s="33"/>
      <c r="B488" s="16"/>
      <c r="C488" s="17"/>
      <c r="D488" s="34" t="str">
        <f>vlookup($C488,CSDL!$A:$E,2,0)</f>
        <v>#N/A</v>
      </c>
      <c r="E488" s="19" t="str">
        <f>vlookup($C488,CSDL!$A:$E,3,0)</f>
        <v>#N/A</v>
      </c>
      <c r="F488" s="19" t="str">
        <f>vlookup($C488,CSDL!$A:$E,4,0)</f>
        <v>#N/A</v>
      </c>
      <c r="G488" s="20" t="str">
        <f>vlookup($C488,CSDL!$A:$E,5,0)</f>
        <v>#N/A</v>
      </c>
      <c r="H488" s="16"/>
      <c r="I488" s="23"/>
      <c r="J488" s="23"/>
      <c r="K488" s="23"/>
      <c r="L488" s="22">
        <f t="shared" si="9"/>
        <v>0</v>
      </c>
      <c r="M488" s="23"/>
      <c r="N488" s="23"/>
      <c r="O488" s="24"/>
      <c r="P488" s="15"/>
      <c r="Q488" s="25"/>
    </row>
    <row r="489" ht="25.5" customHeight="1">
      <c r="A489" s="26"/>
      <c r="B489" s="28"/>
      <c r="C489" s="17"/>
      <c r="D489" s="34" t="str">
        <f>vlookup($C489,CSDL!$A:$E,2,0)</f>
        <v>#N/A</v>
      </c>
      <c r="E489" s="19" t="str">
        <f>vlookup($C489,CSDL!$A:$E,3,0)</f>
        <v>#N/A</v>
      </c>
      <c r="F489" s="19" t="str">
        <f>vlookup($C489,CSDL!$A:$E,4,0)</f>
        <v>#N/A</v>
      </c>
      <c r="G489" s="27" t="str">
        <f>vlookup($C489,CSDL!$A:$E,5,0)</f>
        <v>#N/A</v>
      </c>
      <c r="H489" s="28"/>
      <c r="I489" s="29"/>
      <c r="J489" s="29"/>
      <c r="K489" s="29"/>
      <c r="L489" s="22">
        <f t="shared" si="9"/>
        <v>0</v>
      </c>
      <c r="M489" s="29"/>
      <c r="N489" s="29"/>
      <c r="O489" s="30"/>
      <c r="P489" s="31"/>
      <c r="Q489" s="32"/>
    </row>
    <row r="490" ht="25.5" customHeight="1">
      <c r="A490" s="15"/>
      <c r="B490" s="16"/>
      <c r="C490" s="17"/>
      <c r="D490" s="34" t="str">
        <f>vlookup($C490,CSDL!$A:$E,2,0)</f>
        <v>#N/A</v>
      </c>
      <c r="E490" s="19" t="str">
        <f>vlookup($C490,CSDL!$A:$E,3,0)</f>
        <v>#N/A</v>
      </c>
      <c r="F490" s="19" t="str">
        <f>vlookup($C490,CSDL!$A:$E,4,0)</f>
        <v>#N/A</v>
      </c>
      <c r="G490" s="20" t="str">
        <f>vlookup($C490,CSDL!$A:$E,5,0)</f>
        <v>#N/A</v>
      </c>
      <c r="H490" s="16"/>
      <c r="I490" s="23"/>
      <c r="J490" s="23"/>
      <c r="K490" s="23"/>
      <c r="L490" s="22">
        <f t="shared" si="9"/>
        <v>0</v>
      </c>
      <c r="M490" s="23"/>
      <c r="N490" s="23"/>
      <c r="O490" s="24"/>
      <c r="P490" s="33"/>
      <c r="Q490" s="25"/>
    </row>
    <row r="491" ht="25.5" customHeight="1">
      <c r="A491" s="26"/>
      <c r="B491" s="28"/>
      <c r="C491" s="17"/>
      <c r="D491" s="34" t="str">
        <f>vlookup($C491,CSDL!$A:$E,2,0)</f>
        <v>#N/A</v>
      </c>
      <c r="E491" s="19" t="str">
        <f>vlookup($C491,CSDL!$A:$E,3,0)</f>
        <v>#N/A</v>
      </c>
      <c r="F491" s="19" t="str">
        <f>vlookup($C491,CSDL!$A:$E,4,0)</f>
        <v>#N/A</v>
      </c>
      <c r="G491" s="27" t="str">
        <f>vlookup($C491,CSDL!$A:$E,5,0)</f>
        <v>#N/A</v>
      </c>
      <c r="H491" s="28"/>
      <c r="I491" s="29"/>
      <c r="J491" s="29"/>
      <c r="K491" s="29"/>
      <c r="L491" s="22">
        <f t="shared" si="9"/>
        <v>0</v>
      </c>
      <c r="M491" s="29"/>
      <c r="N491" s="29"/>
      <c r="O491" s="30"/>
      <c r="P491" s="26"/>
      <c r="Q491" s="45"/>
    </row>
    <row r="492" ht="25.5" customHeight="1">
      <c r="A492" s="33"/>
      <c r="B492" s="16"/>
      <c r="C492" s="17"/>
      <c r="D492" s="34" t="str">
        <f>vlookup($C492,CSDL!$A:$E,2,0)</f>
        <v>#N/A</v>
      </c>
      <c r="E492" s="19" t="str">
        <f>vlookup($C492,CSDL!$A:$E,3,0)</f>
        <v>#N/A</v>
      </c>
      <c r="F492" s="19" t="str">
        <f>vlookup($C492,CSDL!$A:$E,4,0)</f>
        <v>#N/A</v>
      </c>
      <c r="G492" s="20" t="str">
        <f>vlookup($C492,CSDL!$A:$E,5,0)</f>
        <v>#N/A</v>
      </c>
      <c r="H492" s="16"/>
      <c r="I492" s="23"/>
      <c r="J492" s="23"/>
      <c r="K492" s="23"/>
      <c r="L492" s="22">
        <f t="shared" si="9"/>
        <v>0</v>
      </c>
      <c r="M492" s="23"/>
      <c r="N492" s="23"/>
      <c r="O492" s="24"/>
      <c r="P492" s="33"/>
      <c r="Q492" s="43"/>
    </row>
    <row r="493" ht="25.5" customHeight="1">
      <c r="A493" s="26"/>
      <c r="B493" s="28"/>
      <c r="C493" s="17"/>
      <c r="D493" s="34" t="str">
        <f>vlookup($C493,CSDL!$A:$E,2,0)</f>
        <v>#N/A</v>
      </c>
      <c r="E493" s="19" t="str">
        <f>vlookup($C493,CSDL!$A:$E,3,0)</f>
        <v>#N/A</v>
      </c>
      <c r="F493" s="19" t="str">
        <f>vlookup($C493,CSDL!$A:$E,4,0)</f>
        <v>#N/A</v>
      </c>
      <c r="G493" s="27" t="str">
        <f>vlookup($C493,CSDL!$A:$E,5,0)</f>
        <v>#N/A</v>
      </c>
      <c r="H493" s="28"/>
      <c r="I493" s="29"/>
      <c r="J493" s="29"/>
      <c r="K493" s="29"/>
      <c r="L493" s="22">
        <f t="shared" si="9"/>
        <v>0</v>
      </c>
      <c r="M493" s="29"/>
      <c r="N493" s="29"/>
      <c r="O493" s="30"/>
      <c r="P493" s="26"/>
      <c r="Q493" s="32"/>
    </row>
    <row r="494" ht="25.5" customHeight="1">
      <c r="A494" s="33"/>
      <c r="B494" s="16"/>
      <c r="C494" s="17"/>
      <c r="D494" s="34" t="str">
        <f>vlookup($C494,CSDL!$A:$E,2,0)</f>
        <v>#N/A</v>
      </c>
      <c r="E494" s="19" t="str">
        <f>vlookup($C494,CSDL!$A:$E,3,0)</f>
        <v>#N/A</v>
      </c>
      <c r="F494" s="19" t="str">
        <f>vlookup($C494,CSDL!$A:$E,4,0)</f>
        <v>#N/A</v>
      </c>
      <c r="G494" s="20" t="str">
        <f>vlookup($C494,CSDL!$A:$E,5,0)</f>
        <v>#N/A</v>
      </c>
      <c r="H494" s="16"/>
      <c r="I494" s="23"/>
      <c r="J494" s="23"/>
      <c r="K494" s="23"/>
      <c r="L494" s="22">
        <f t="shared" si="9"/>
        <v>0</v>
      </c>
      <c r="M494" s="23"/>
      <c r="N494" s="23"/>
      <c r="O494" s="24"/>
      <c r="P494" s="15"/>
      <c r="Q494" s="25"/>
    </row>
    <row r="495" ht="25.5" customHeight="1">
      <c r="A495" s="26"/>
      <c r="B495" s="28"/>
      <c r="C495" s="17"/>
      <c r="D495" s="34" t="str">
        <f>vlookup($C495,CSDL!$A:$E,2,0)</f>
        <v>#N/A</v>
      </c>
      <c r="E495" s="19" t="str">
        <f>vlookup($C495,CSDL!$A:$E,3,0)</f>
        <v>#N/A</v>
      </c>
      <c r="F495" s="19" t="str">
        <f>vlookup($C495,CSDL!$A:$E,4,0)</f>
        <v>#N/A</v>
      </c>
      <c r="G495" s="27" t="str">
        <f>vlookup($C495,CSDL!$A:$E,5,0)</f>
        <v>#N/A</v>
      </c>
      <c r="H495" s="28"/>
      <c r="I495" s="29"/>
      <c r="J495" s="29"/>
      <c r="K495" s="29"/>
      <c r="L495" s="22">
        <f t="shared" si="9"/>
        <v>0</v>
      </c>
      <c r="M495" s="29"/>
      <c r="N495" s="29"/>
      <c r="O495" s="30"/>
      <c r="P495" s="31"/>
      <c r="Q495" s="32"/>
    </row>
    <row r="496" ht="25.5" customHeight="1">
      <c r="A496" s="33"/>
      <c r="B496" s="16"/>
      <c r="C496" s="17"/>
      <c r="D496" s="34" t="str">
        <f>vlookup($C496,CSDL!$A:$E,2,0)</f>
        <v>#N/A</v>
      </c>
      <c r="E496" s="19" t="str">
        <f>vlookup($C496,CSDL!$A:$E,3,0)</f>
        <v>#N/A</v>
      </c>
      <c r="F496" s="19" t="str">
        <f>vlookup($C496,CSDL!$A:$E,4,0)</f>
        <v>#N/A</v>
      </c>
      <c r="G496" s="20" t="str">
        <f>vlookup($C496,CSDL!$A:$E,5,0)</f>
        <v>#N/A</v>
      </c>
      <c r="H496" s="16"/>
      <c r="I496" s="23"/>
      <c r="J496" s="23"/>
      <c r="K496" s="23"/>
      <c r="L496" s="22">
        <f t="shared" si="9"/>
        <v>0</v>
      </c>
      <c r="M496" s="23"/>
      <c r="N496" s="23"/>
      <c r="O496" s="24"/>
      <c r="P496" s="33"/>
      <c r="Q496" s="25"/>
    </row>
    <row r="497" ht="25.5" customHeight="1">
      <c r="A497" s="26"/>
      <c r="B497" s="28"/>
      <c r="C497" s="17"/>
      <c r="D497" s="34" t="str">
        <f>vlookup($C497,CSDL!$A:$E,2,0)</f>
        <v>#N/A</v>
      </c>
      <c r="E497" s="19" t="str">
        <f>vlookup($C497,CSDL!$A:$E,3,0)</f>
        <v>#N/A</v>
      </c>
      <c r="F497" s="19" t="str">
        <f>vlookup($C497,CSDL!$A:$E,4,0)</f>
        <v>#N/A</v>
      </c>
      <c r="G497" s="27" t="str">
        <f>vlookup($C497,CSDL!$A:$E,5,0)</f>
        <v>#N/A</v>
      </c>
      <c r="H497" s="28"/>
      <c r="I497" s="29"/>
      <c r="J497" s="29"/>
      <c r="K497" s="29"/>
      <c r="L497" s="22">
        <f t="shared" si="9"/>
        <v>0</v>
      </c>
      <c r="M497" s="29"/>
      <c r="N497" s="29"/>
      <c r="O497" s="30"/>
      <c r="P497" s="26"/>
      <c r="Q497" s="32"/>
    </row>
    <row r="498" ht="25.5" customHeight="1">
      <c r="A498" s="15"/>
      <c r="B498" s="16"/>
      <c r="C498" s="17"/>
      <c r="D498" s="34" t="str">
        <f>vlookup($C498,CSDL!$A:$E,2,0)</f>
        <v>#N/A</v>
      </c>
      <c r="E498" s="19" t="str">
        <f>vlookup($C498,CSDL!$A:$E,3,0)</f>
        <v>#N/A</v>
      </c>
      <c r="F498" s="19" t="str">
        <f>vlookup($C498,CSDL!$A:$E,4,0)</f>
        <v>#N/A</v>
      </c>
      <c r="G498" s="20" t="str">
        <f>vlookup($C498,CSDL!$A:$E,5,0)</f>
        <v>#N/A</v>
      </c>
      <c r="H498" s="16"/>
      <c r="I498" s="23"/>
      <c r="J498" s="23"/>
      <c r="K498" s="23"/>
      <c r="L498" s="22">
        <f t="shared" si="9"/>
        <v>0</v>
      </c>
      <c r="M498" s="23"/>
      <c r="N498" s="23"/>
      <c r="O498" s="24"/>
      <c r="P498" s="33"/>
      <c r="Q498" s="25"/>
    </row>
    <row r="499" ht="25.5" customHeight="1">
      <c r="A499" s="26"/>
      <c r="B499" s="28"/>
      <c r="C499" s="17"/>
      <c r="D499" s="34" t="str">
        <f>vlookup($C499,CSDL!$A:$E,2,0)</f>
        <v>#N/A</v>
      </c>
      <c r="E499" s="19" t="str">
        <f>vlookup($C499,CSDL!$A:$E,3,0)</f>
        <v>#N/A</v>
      </c>
      <c r="F499" s="19" t="str">
        <f>vlookup($C499,CSDL!$A:$E,4,0)</f>
        <v>#N/A</v>
      </c>
      <c r="G499" s="27" t="str">
        <f>vlookup($C499,CSDL!$A:$E,5,0)</f>
        <v>#N/A</v>
      </c>
      <c r="H499" s="28"/>
      <c r="I499" s="29"/>
      <c r="J499" s="29"/>
      <c r="K499" s="29"/>
      <c r="L499" s="22">
        <f t="shared" si="9"/>
        <v>0</v>
      </c>
      <c r="M499" s="29"/>
      <c r="N499" s="29"/>
      <c r="O499" s="30"/>
      <c r="P499" s="26"/>
      <c r="Q499" s="32"/>
    </row>
    <row r="500" ht="25.5" customHeight="1">
      <c r="A500" s="33"/>
      <c r="B500" s="16"/>
      <c r="C500" s="17"/>
      <c r="D500" s="34" t="str">
        <f>vlookup($C500,CSDL!$A:$E,2,0)</f>
        <v>#N/A</v>
      </c>
      <c r="E500" s="19" t="str">
        <f>vlookup($C500,CSDL!$A:$E,3,0)</f>
        <v>#N/A</v>
      </c>
      <c r="F500" s="19" t="str">
        <f>vlookup($C500,CSDL!$A:$E,4,0)</f>
        <v>#N/A</v>
      </c>
      <c r="G500" s="20" t="str">
        <f>vlookup($C500,CSDL!$A:$E,5,0)</f>
        <v>#N/A</v>
      </c>
      <c r="H500" s="16"/>
      <c r="I500" s="23"/>
      <c r="J500" s="23"/>
      <c r="K500" s="23"/>
      <c r="L500" s="22">
        <f t="shared" si="9"/>
        <v>0</v>
      </c>
      <c r="M500" s="23"/>
      <c r="N500" s="23"/>
      <c r="O500" s="24"/>
      <c r="P500" s="33"/>
      <c r="Q500" s="25"/>
    </row>
    <row r="501" ht="25.5" customHeight="1">
      <c r="A501" s="26"/>
      <c r="B501" s="28"/>
      <c r="C501" s="17"/>
      <c r="D501" s="34" t="str">
        <f>vlookup($C501,CSDL!$A:$E,2,0)</f>
        <v>#N/A</v>
      </c>
      <c r="E501" s="19" t="str">
        <f>vlookup($C501,CSDL!$A:$E,3,0)</f>
        <v>#N/A</v>
      </c>
      <c r="F501" s="19" t="str">
        <f>vlookup($C501,CSDL!$A:$E,4,0)</f>
        <v>#N/A</v>
      </c>
      <c r="G501" s="27" t="str">
        <f>vlookup($C501,CSDL!$A:$E,5,0)</f>
        <v>#N/A</v>
      </c>
      <c r="H501" s="28"/>
      <c r="I501" s="29"/>
      <c r="J501" s="29"/>
      <c r="K501" s="29"/>
      <c r="L501" s="22">
        <f t="shared" si="9"/>
        <v>0</v>
      </c>
      <c r="M501" s="29"/>
      <c r="N501" s="29"/>
      <c r="O501" s="30"/>
      <c r="P501" s="26"/>
      <c r="Q501" s="32"/>
    </row>
    <row r="502" ht="25.5" customHeight="1">
      <c r="A502" s="33"/>
      <c r="B502" s="16"/>
      <c r="C502" s="17"/>
      <c r="D502" s="34" t="str">
        <f>vlookup($C502,CSDL!$A:$E,2,0)</f>
        <v>#N/A</v>
      </c>
      <c r="E502" s="19" t="str">
        <f>vlookup($C502,CSDL!$A:$E,3,0)</f>
        <v>#N/A</v>
      </c>
      <c r="F502" s="19" t="str">
        <f>vlookup($C502,CSDL!$A:$E,4,0)</f>
        <v>#N/A</v>
      </c>
      <c r="G502" s="20" t="str">
        <f>vlookup($C502,CSDL!$A:$E,5,0)</f>
        <v>#N/A</v>
      </c>
      <c r="H502" s="16"/>
      <c r="I502" s="23"/>
      <c r="J502" s="23"/>
      <c r="K502" s="23"/>
      <c r="L502" s="22">
        <f t="shared" si="9"/>
        <v>0</v>
      </c>
      <c r="M502" s="23"/>
      <c r="N502" s="23"/>
      <c r="O502" s="24"/>
      <c r="P502" s="33"/>
      <c r="Q502" s="25"/>
    </row>
    <row r="503" ht="25.5" customHeight="1">
      <c r="A503" s="26"/>
      <c r="B503" s="28"/>
      <c r="C503" s="17"/>
      <c r="D503" s="34" t="str">
        <f>vlookup($C503,CSDL!$A:$E,2,0)</f>
        <v>#N/A</v>
      </c>
      <c r="E503" s="19" t="str">
        <f>vlookup($C503,CSDL!$A:$E,3,0)</f>
        <v>#N/A</v>
      </c>
      <c r="F503" s="19" t="str">
        <f>vlookup($C503,CSDL!$A:$E,4,0)</f>
        <v>#N/A</v>
      </c>
      <c r="G503" s="27" t="str">
        <f>vlookup($C503,CSDL!$A:$E,5,0)</f>
        <v>#N/A</v>
      </c>
      <c r="H503" s="28"/>
      <c r="I503" s="29"/>
      <c r="J503" s="29"/>
      <c r="K503" s="29"/>
      <c r="L503" s="22">
        <f t="shared" si="9"/>
        <v>0</v>
      </c>
      <c r="M503" s="29"/>
      <c r="N503" s="29"/>
      <c r="O503" s="30"/>
      <c r="P503" s="26"/>
      <c r="Q503" s="32"/>
    </row>
    <row r="504" ht="25.5" customHeight="1">
      <c r="A504" s="33"/>
      <c r="B504" s="16"/>
      <c r="C504" s="17"/>
      <c r="D504" s="34" t="str">
        <f>vlookup($C504,CSDL!$A:$E,2,0)</f>
        <v>#N/A</v>
      </c>
      <c r="E504" s="19" t="str">
        <f>vlookup($C504,CSDL!$A:$E,3,0)</f>
        <v>#N/A</v>
      </c>
      <c r="F504" s="19" t="str">
        <f>vlookup($C504,CSDL!$A:$E,4,0)</f>
        <v>#N/A</v>
      </c>
      <c r="G504" s="20" t="str">
        <f>vlookup($C504,CSDL!$A:$E,5,0)</f>
        <v>#N/A</v>
      </c>
      <c r="H504" s="16"/>
      <c r="I504" s="23"/>
      <c r="J504" s="23"/>
      <c r="K504" s="23"/>
      <c r="L504" s="22">
        <f t="shared" si="9"/>
        <v>0</v>
      </c>
      <c r="M504" s="23"/>
      <c r="N504" s="23"/>
      <c r="O504" s="24"/>
      <c r="P504" s="33"/>
      <c r="Q504" s="25"/>
    </row>
    <row r="505" ht="25.5" customHeight="1">
      <c r="A505" s="26"/>
      <c r="B505" s="28"/>
      <c r="C505" s="17"/>
      <c r="D505" s="34" t="str">
        <f>vlookup($C505,CSDL!$A:$E,2,0)</f>
        <v>#N/A</v>
      </c>
      <c r="E505" s="19" t="str">
        <f>vlookup($C505,CSDL!$A:$E,3,0)</f>
        <v>#N/A</v>
      </c>
      <c r="F505" s="19" t="str">
        <f>vlookup($C505,CSDL!$A:$E,4,0)</f>
        <v>#N/A</v>
      </c>
      <c r="G505" s="27" t="str">
        <f>vlookup($C505,CSDL!$A:$E,5,0)</f>
        <v>#N/A</v>
      </c>
      <c r="H505" s="28"/>
      <c r="I505" s="29"/>
      <c r="J505" s="29"/>
      <c r="K505" s="29"/>
      <c r="L505" s="22">
        <f t="shared" si="9"/>
        <v>0</v>
      </c>
      <c r="M505" s="29"/>
      <c r="N505" s="29"/>
      <c r="O505" s="30"/>
      <c r="P505" s="26"/>
      <c r="Q505" s="32"/>
    </row>
    <row r="506" ht="25.5" customHeight="1">
      <c r="A506" s="33"/>
      <c r="B506" s="16"/>
      <c r="C506" s="17"/>
      <c r="D506" s="34" t="str">
        <f>vlookup($C506,CSDL!$A:$E,2,0)</f>
        <v>#N/A</v>
      </c>
      <c r="E506" s="19" t="str">
        <f>vlookup($C506,CSDL!$A:$E,3,0)</f>
        <v>#N/A</v>
      </c>
      <c r="F506" s="19" t="str">
        <f>vlookup($C506,CSDL!$A:$E,4,0)</f>
        <v>#N/A</v>
      </c>
      <c r="G506" s="20" t="str">
        <f>vlookup($C506,CSDL!$A:$E,5,0)</f>
        <v>#N/A</v>
      </c>
      <c r="H506" s="16"/>
      <c r="I506" s="23"/>
      <c r="J506" s="23"/>
      <c r="K506" s="23"/>
      <c r="L506" s="22">
        <f t="shared" si="9"/>
        <v>0</v>
      </c>
      <c r="M506" s="23"/>
      <c r="N506" s="23"/>
      <c r="O506" s="24"/>
      <c r="P506" s="33"/>
      <c r="Q506" s="25"/>
    </row>
    <row r="507" ht="25.5" customHeight="1">
      <c r="A507" s="39"/>
      <c r="B507" s="28"/>
      <c r="C507" s="17"/>
      <c r="D507" s="34" t="str">
        <f>vlookup($C507,CSDL!$A:$E,2,0)</f>
        <v>#N/A</v>
      </c>
      <c r="E507" s="19" t="str">
        <f>vlookup($C507,CSDL!$A:$E,3,0)</f>
        <v>#N/A</v>
      </c>
      <c r="F507" s="19" t="str">
        <f>vlookup($C507,CSDL!$A:$E,4,0)</f>
        <v>#N/A</v>
      </c>
      <c r="G507" s="27" t="str">
        <f>vlookup($C507,CSDL!$A:$E,5,0)</f>
        <v>#N/A</v>
      </c>
      <c r="H507" s="28"/>
      <c r="I507" s="29"/>
      <c r="J507" s="29"/>
      <c r="K507" s="29"/>
      <c r="L507" s="22">
        <f t="shared" si="9"/>
        <v>0</v>
      </c>
      <c r="M507" s="29"/>
      <c r="N507" s="29"/>
      <c r="O507" s="30"/>
      <c r="P507" s="31"/>
      <c r="Q507" s="40"/>
    </row>
    <row r="508" ht="25.5" customHeight="1">
      <c r="A508" s="33"/>
      <c r="B508" s="16"/>
      <c r="C508" s="17"/>
      <c r="D508" s="34" t="str">
        <f>vlookup($C508,CSDL!$A:$E,2,0)</f>
        <v>#N/A</v>
      </c>
      <c r="E508" s="19" t="str">
        <f>vlookup($C508,CSDL!$A:$E,3,0)</f>
        <v>#N/A</v>
      </c>
      <c r="F508" s="19" t="str">
        <f>vlookup($C508,CSDL!$A:$E,4,0)</f>
        <v>#N/A</v>
      </c>
      <c r="G508" s="20" t="str">
        <f>vlookup($C508,CSDL!$A:$E,5,0)</f>
        <v>#N/A</v>
      </c>
      <c r="H508" s="16"/>
      <c r="I508" s="23"/>
      <c r="J508" s="23"/>
      <c r="K508" s="23"/>
      <c r="L508" s="22">
        <f t="shared" si="9"/>
        <v>0</v>
      </c>
      <c r="M508" s="23"/>
      <c r="N508" s="23"/>
      <c r="O508" s="24"/>
      <c r="P508" s="33"/>
      <c r="Q508" s="25"/>
    </row>
    <row r="509" ht="25.5" customHeight="1">
      <c r="A509" s="26"/>
      <c r="B509" s="28"/>
      <c r="C509" s="17"/>
      <c r="D509" s="34" t="str">
        <f>vlookup($C509,CSDL!$A:$E,2,0)</f>
        <v>#N/A</v>
      </c>
      <c r="E509" s="19" t="str">
        <f>vlookup($C509,CSDL!$A:$E,3,0)</f>
        <v>#N/A</v>
      </c>
      <c r="F509" s="19" t="str">
        <f>vlookup($C509,CSDL!$A:$E,4,0)</f>
        <v>#N/A</v>
      </c>
      <c r="G509" s="27" t="str">
        <f>vlookup($C509,CSDL!$A:$E,5,0)</f>
        <v>#N/A</v>
      </c>
      <c r="H509" s="28"/>
      <c r="I509" s="29"/>
      <c r="J509" s="29"/>
      <c r="K509" s="29"/>
      <c r="L509" s="22">
        <f t="shared" si="9"/>
        <v>0</v>
      </c>
      <c r="M509" s="29"/>
      <c r="N509" s="29"/>
      <c r="O509" s="30"/>
      <c r="P509" s="31"/>
      <c r="Q509" s="32"/>
    </row>
    <row r="510" ht="25.5" customHeight="1">
      <c r="A510" s="33"/>
      <c r="B510" s="16"/>
      <c r="C510" s="17"/>
      <c r="D510" s="34" t="str">
        <f>vlookup($C510,CSDL!$A:$E,2,0)</f>
        <v>#N/A</v>
      </c>
      <c r="E510" s="19" t="str">
        <f>vlookup($C510,CSDL!$A:$E,3,0)</f>
        <v>#N/A</v>
      </c>
      <c r="F510" s="19" t="str">
        <f>vlookup($C510,CSDL!$A:$E,4,0)</f>
        <v>#N/A</v>
      </c>
      <c r="G510" s="20" t="str">
        <f>vlookup($C510,CSDL!$A:$E,5,0)</f>
        <v>#N/A</v>
      </c>
      <c r="H510" s="16"/>
      <c r="I510" s="23"/>
      <c r="J510" s="23"/>
      <c r="K510" s="23"/>
      <c r="L510" s="22">
        <f t="shared" si="9"/>
        <v>0</v>
      </c>
      <c r="M510" s="23"/>
      <c r="N510" s="23"/>
      <c r="O510" s="24"/>
      <c r="P510" s="15"/>
      <c r="Q510" s="25"/>
    </row>
    <row r="511" ht="25.5" customHeight="1">
      <c r="A511" s="26"/>
      <c r="B511" s="28"/>
      <c r="C511" s="17"/>
      <c r="D511" s="34" t="str">
        <f>vlookup($C511,CSDL!$A:$E,2,0)</f>
        <v>#N/A</v>
      </c>
      <c r="E511" s="19" t="str">
        <f>vlookup($C511,CSDL!$A:$E,3,0)</f>
        <v>#N/A</v>
      </c>
      <c r="F511" s="19" t="str">
        <f>vlookup($C511,CSDL!$A:$E,4,0)</f>
        <v>#N/A</v>
      </c>
      <c r="G511" s="27" t="str">
        <f>vlookup($C511,CSDL!$A:$E,5,0)</f>
        <v>#N/A</v>
      </c>
      <c r="H511" s="28"/>
      <c r="I511" s="29"/>
      <c r="J511" s="29"/>
      <c r="K511" s="29"/>
      <c r="L511" s="22">
        <f t="shared" si="9"/>
        <v>0</v>
      </c>
      <c r="M511" s="29"/>
      <c r="N511" s="29"/>
      <c r="O511" s="30"/>
      <c r="P511" s="26"/>
      <c r="Q511" s="32"/>
    </row>
    <row r="512" ht="25.5" customHeight="1">
      <c r="A512" s="33"/>
      <c r="B512" s="16"/>
      <c r="C512" s="17"/>
      <c r="D512" s="34" t="str">
        <f>vlookup($C512,CSDL!$A:$E,2,0)</f>
        <v>#N/A</v>
      </c>
      <c r="E512" s="19" t="str">
        <f>vlookup($C512,CSDL!$A:$E,3,0)</f>
        <v>#N/A</v>
      </c>
      <c r="F512" s="19" t="str">
        <f>vlookup($C512,CSDL!$A:$E,4,0)</f>
        <v>#N/A</v>
      </c>
      <c r="G512" s="20" t="str">
        <f>vlookup($C512,CSDL!$A:$E,5,0)</f>
        <v>#N/A</v>
      </c>
      <c r="H512" s="16"/>
      <c r="I512" s="23"/>
      <c r="J512" s="23"/>
      <c r="K512" s="23"/>
      <c r="L512" s="22">
        <f t="shared" si="9"/>
        <v>0</v>
      </c>
      <c r="M512" s="23"/>
      <c r="N512" s="23"/>
      <c r="O512" s="24"/>
      <c r="P512" s="33"/>
      <c r="Q512" s="25"/>
    </row>
    <row r="513" ht="25.5" customHeight="1">
      <c r="A513" s="26"/>
      <c r="B513" s="28"/>
      <c r="C513" s="17"/>
      <c r="D513" s="34" t="str">
        <f>vlookup($C513,CSDL!$A:$E,2,0)</f>
        <v>#N/A</v>
      </c>
      <c r="E513" s="19" t="str">
        <f>vlookup($C513,CSDL!$A:$E,3,0)</f>
        <v>#N/A</v>
      </c>
      <c r="F513" s="19" t="str">
        <f>vlookup($C513,CSDL!$A:$E,4,0)</f>
        <v>#N/A</v>
      </c>
      <c r="G513" s="27" t="str">
        <f>vlookup($C513,CSDL!$A:$E,5,0)</f>
        <v>#N/A</v>
      </c>
      <c r="H513" s="28"/>
      <c r="I513" s="29"/>
      <c r="J513" s="29"/>
      <c r="K513" s="29"/>
      <c r="L513" s="22">
        <f t="shared" si="9"/>
        <v>0</v>
      </c>
      <c r="M513" s="29"/>
      <c r="N513" s="29"/>
      <c r="O513" s="30"/>
      <c r="P513" s="26"/>
      <c r="Q513" s="32"/>
    </row>
    <row r="514" ht="25.5" customHeight="1">
      <c r="A514" s="33"/>
      <c r="B514" s="16"/>
      <c r="C514" s="17"/>
      <c r="D514" s="34" t="str">
        <f>vlookup($C514,CSDL!$A:$E,2,0)</f>
        <v>#N/A</v>
      </c>
      <c r="E514" s="19" t="str">
        <f>vlookup($C514,CSDL!$A:$E,3,0)</f>
        <v>#N/A</v>
      </c>
      <c r="F514" s="19" t="str">
        <f>vlookup($C514,CSDL!$A:$E,4,0)</f>
        <v>#N/A</v>
      </c>
      <c r="G514" s="20" t="str">
        <f>vlookup($C514,CSDL!$A:$E,5,0)</f>
        <v>#N/A</v>
      </c>
      <c r="H514" s="16"/>
      <c r="I514" s="23"/>
      <c r="J514" s="23"/>
      <c r="K514" s="23"/>
      <c r="L514" s="22">
        <f t="shared" si="9"/>
        <v>0</v>
      </c>
      <c r="M514" s="23"/>
      <c r="N514" s="23"/>
      <c r="O514" s="24"/>
      <c r="P514" s="33"/>
      <c r="Q514" s="25"/>
    </row>
    <row r="515" ht="25.5" customHeight="1">
      <c r="A515" s="26"/>
      <c r="B515" s="28"/>
      <c r="C515" s="17"/>
      <c r="D515" s="34" t="str">
        <f>vlookup($C515,CSDL!$A:$E,2,0)</f>
        <v>#N/A</v>
      </c>
      <c r="E515" s="19" t="str">
        <f>vlookup($C515,CSDL!$A:$E,3,0)</f>
        <v>#N/A</v>
      </c>
      <c r="F515" s="19" t="str">
        <f>vlookup($C515,CSDL!$A:$E,4,0)</f>
        <v>#N/A</v>
      </c>
      <c r="G515" s="27" t="str">
        <f>vlookup($C515,CSDL!$A:$E,5,0)</f>
        <v>#N/A</v>
      </c>
      <c r="H515" s="28"/>
      <c r="I515" s="29"/>
      <c r="J515" s="29"/>
      <c r="K515" s="29"/>
      <c r="L515" s="22">
        <f t="shared" si="9"/>
        <v>0</v>
      </c>
      <c r="M515" s="29"/>
      <c r="N515" s="29"/>
      <c r="O515" s="30"/>
      <c r="P515" s="26"/>
      <c r="Q515" s="32"/>
    </row>
    <row r="516" ht="25.5" customHeight="1">
      <c r="A516" s="33"/>
      <c r="B516" s="16"/>
      <c r="C516" s="17"/>
      <c r="D516" s="34" t="str">
        <f>vlookup($C516,CSDL!$A:$E,2,0)</f>
        <v>#N/A</v>
      </c>
      <c r="E516" s="19" t="str">
        <f>vlookup($C516,CSDL!$A:$E,3,0)</f>
        <v>#N/A</v>
      </c>
      <c r="F516" s="19" t="str">
        <f>vlookup($C516,CSDL!$A:$E,4,0)</f>
        <v>#N/A</v>
      </c>
      <c r="G516" s="20" t="str">
        <f>vlookup($C516,CSDL!$A:$E,5,0)</f>
        <v>#N/A</v>
      </c>
      <c r="H516" s="16"/>
      <c r="I516" s="23"/>
      <c r="J516" s="23"/>
      <c r="K516" s="23"/>
      <c r="L516" s="22">
        <f t="shared" si="9"/>
        <v>0</v>
      </c>
      <c r="M516" s="23"/>
      <c r="N516" s="23"/>
      <c r="O516" s="24"/>
      <c r="P516" s="33"/>
      <c r="Q516" s="25"/>
    </row>
    <row r="517" ht="25.5" customHeight="1">
      <c r="A517" s="26"/>
      <c r="B517" s="28"/>
      <c r="C517" s="17"/>
      <c r="D517" s="34" t="str">
        <f>vlookup($C517,CSDL!$A:$E,2,0)</f>
        <v>#N/A</v>
      </c>
      <c r="E517" s="19" t="str">
        <f>vlookup($C517,CSDL!$A:$E,3,0)</f>
        <v>#N/A</v>
      </c>
      <c r="F517" s="19" t="str">
        <f>vlookup($C517,CSDL!$A:$E,4,0)</f>
        <v>#N/A</v>
      </c>
      <c r="G517" s="27" t="str">
        <f>vlookup($C517,CSDL!$A:$E,5,0)</f>
        <v>#N/A</v>
      </c>
      <c r="H517" s="28"/>
      <c r="I517" s="29"/>
      <c r="J517" s="29"/>
      <c r="K517" s="29"/>
      <c r="L517" s="22">
        <f t="shared" si="9"/>
        <v>0</v>
      </c>
      <c r="M517" s="29"/>
      <c r="N517" s="29"/>
      <c r="O517" s="30"/>
      <c r="P517" s="26"/>
      <c r="Q517" s="32"/>
    </row>
    <row r="518" ht="25.5" customHeight="1">
      <c r="A518" s="33"/>
      <c r="B518" s="16"/>
      <c r="C518" s="17"/>
      <c r="D518" s="34" t="str">
        <f>vlookup($C518,CSDL!$A:$E,2,0)</f>
        <v>#N/A</v>
      </c>
      <c r="E518" s="19" t="str">
        <f>vlookup($C518,CSDL!$A:$E,3,0)</f>
        <v>#N/A</v>
      </c>
      <c r="F518" s="19" t="str">
        <f>vlookup($C518,CSDL!$A:$E,4,0)</f>
        <v>#N/A</v>
      </c>
      <c r="G518" s="20" t="str">
        <f>vlookup($C518,CSDL!$A:$E,5,0)</f>
        <v>#N/A</v>
      </c>
      <c r="H518" s="16"/>
      <c r="I518" s="23"/>
      <c r="J518" s="23"/>
      <c r="K518" s="23"/>
      <c r="L518" s="22">
        <f t="shared" si="9"/>
        <v>0</v>
      </c>
      <c r="M518" s="23"/>
      <c r="N518" s="23"/>
      <c r="O518" s="24"/>
      <c r="P518" s="15"/>
      <c r="Q518" s="25"/>
    </row>
    <row r="519" ht="25.5" customHeight="1">
      <c r="A519" s="31"/>
      <c r="B519" s="28"/>
      <c r="C519" s="17"/>
      <c r="D519" s="34" t="str">
        <f>vlookup($C519,CSDL!$A:$E,2,0)</f>
        <v>#N/A</v>
      </c>
      <c r="E519" s="19" t="str">
        <f>vlookup($C519,CSDL!$A:$E,3,0)</f>
        <v>#N/A</v>
      </c>
      <c r="F519" s="19" t="str">
        <f>vlookup($C519,CSDL!$A:$E,4,0)</f>
        <v>#N/A</v>
      </c>
      <c r="G519" s="27" t="str">
        <f>vlookup($C519,CSDL!$A:$E,5,0)</f>
        <v>#N/A</v>
      </c>
      <c r="H519" s="28"/>
      <c r="I519" s="29"/>
      <c r="J519" s="29"/>
      <c r="K519" s="29"/>
      <c r="L519" s="22">
        <f t="shared" si="9"/>
        <v>0</v>
      </c>
      <c r="M519" s="29"/>
      <c r="N519" s="29"/>
      <c r="O519" s="30"/>
      <c r="P519" s="31"/>
      <c r="Q519" s="32"/>
    </row>
    <row r="520" ht="25.5" customHeight="1">
      <c r="A520" s="33"/>
      <c r="B520" s="16"/>
      <c r="C520" s="17"/>
      <c r="D520" s="34" t="str">
        <f>vlookup($C520,CSDL!$A:$E,2,0)</f>
        <v>#N/A</v>
      </c>
      <c r="E520" s="19" t="str">
        <f>vlookup($C520,CSDL!$A:$E,3,0)</f>
        <v>#N/A</v>
      </c>
      <c r="F520" s="19" t="str">
        <f>vlookup($C520,CSDL!$A:$E,4,0)</f>
        <v>#N/A</v>
      </c>
      <c r="G520" s="20" t="str">
        <f>vlookup($C520,CSDL!$A:$E,5,0)</f>
        <v>#N/A</v>
      </c>
      <c r="H520" s="16"/>
      <c r="I520" s="23"/>
      <c r="J520" s="23"/>
      <c r="K520" s="23"/>
      <c r="L520" s="22">
        <f t="shared" si="9"/>
        <v>0</v>
      </c>
      <c r="M520" s="23"/>
      <c r="N520" s="23"/>
      <c r="O520" s="24"/>
      <c r="P520" s="33"/>
      <c r="Q520" s="25"/>
    </row>
    <row r="521" ht="25.5" customHeight="1">
      <c r="A521" s="26"/>
      <c r="B521" s="28"/>
      <c r="C521" s="17"/>
      <c r="D521" s="34" t="str">
        <f>vlookup($C521,CSDL!$A:$E,2,0)</f>
        <v>#N/A</v>
      </c>
      <c r="E521" s="19" t="str">
        <f>vlookup($C521,CSDL!$A:$E,3,0)</f>
        <v>#N/A</v>
      </c>
      <c r="F521" s="19" t="str">
        <f>vlookup($C521,CSDL!$A:$E,4,0)</f>
        <v>#N/A</v>
      </c>
      <c r="G521" s="27" t="str">
        <f>vlookup($C521,CSDL!$A:$E,5,0)</f>
        <v>#N/A</v>
      </c>
      <c r="H521" s="28"/>
      <c r="I521" s="29"/>
      <c r="J521" s="29"/>
      <c r="K521" s="29"/>
      <c r="L521" s="22">
        <f t="shared" si="9"/>
        <v>0</v>
      </c>
      <c r="M521" s="29"/>
      <c r="N521" s="29"/>
      <c r="O521" s="30"/>
      <c r="P521" s="26"/>
      <c r="Q521" s="32"/>
    </row>
    <row r="522" ht="25.5" customHeight="1">
      <c r="A522" s="33"/>
      <c r="B522" s="16"/>
      <c r="C522" s="17"/>
      <c r="D522" s="34" t="str">
        <f>vlookup($C522,CSDL!$A:$E,2,0)</f>
        <v>#N/A</v>
      </c>
      <c r="E522" s="19" t="str">
        <f>vlookup($C522,CSDL!$A:$E,3,0)</f>
        <v>#N/A</v>
      </c>
      <c r="F522" s="19" t="str">
        <f>vlookup($C522,CSDL!$A:$E,4,0)</f>
        <v>#N/A</v>
      </c>
      <c r="G522" s="20" t="str">
        <f>vlookup($C522,CSDL!$A:$E,5,0)</f>
        <v>#N/A</v>
      </c>
      <c r="H522" s="16"/>
      <c r="I522" s="23"/>
      <c r="J522" s="23"/>
      <c r="K522" s="23"/>
      <c r="L522" s="22">
        <f t="shared" si="9"/>
        <v>0</v>
      </c>
      <c r="M522" s="23"/>
      <c r="N522" s="23"/>
      <c r="O522" s="24"/>
      <c r="P522" s="33"/>
      <c r="Q522" s="25"/>
    </row>
    <row r="523" ht="25.5" customHeight="1">
      <c r="A523" s="26"/>
      <c r="B523" s="28"/>
      <c r="C523" s="17"/>
      <c r="D523" s="34" t="str">
        <f>vlookup($C523,CSDL!$A:$E,2,0)</f>
        <v>#N/A</v>
      </c>
      <c r="E523" s="19" t="str">
        <f>vlookup($C523,CSDL!$A:$E,3,0)</f>
        <v>#N/A</v>
      </c>
      <c r="F523" s="19" t="str">
        <f>vlookup($C523,CSDL!$A:$E,4,0)</f>
        <v>#N/A</v>
      </c>
      <c r="G523" s="27" t="str">
        <f>vlookup($C523,CSDL!$A:$E,5,0)</f>
        <v>#N/A</v>
      </c>
      <c r="H523" s="28"/>
      <c r="I523" s="29"/>
      <c r="J523" s="29"/>
      <c r="K523" s="29"/>
      <c r="L523" s="22">
        <f t="shared" si="9"/>
        <v>0</v>
      </c>
      <c r="M523" s="29"/>
      <c r="N523" s="29"/>
      <c r="O523" s="30"/>
      <c r="P523" s="26"/>
      <c r="Q523" s="32"/>
    </row>
    <row r="524" ht="25.5" customHeight="1">
      <c r="A524" s="33"/>
      <c r="B524" s="16"/>
      <c r="C524" s="17"/>
      <c r="D524" s="34" t="str">
        <f>vlookup($C524,CSDL!$A:$E,2,0)</f>
        <v>#N/A</v>
      </c>
      <c r="E524" s="19" t="str">
        <f>vlookup($C524,CSDL!$A:$E,3,0)</f>
        <v>#N/A</v>
      </c>
      <c r="F524" s="19" t="str">
        <f>vlookup($C524,CSDL!$A:$E,4,0)</f>
        <v>#N/A</v>
      </c>
      <c r="G524" s="20" t="str">
        <f>vlookup($C524,CSDL!$A:$E,5,0)</f>
        <v>#N/A</v>
      </c>
      <c r="H524" s="16"/>
      <c r="I524" s="23"/>
      <c r="J524" s="23"/>
      <c r="K524" s="23"/>
      <c r="L524" s="22">
        <f t="shared" si="9"/>
        <v>0</v>
      </c>
      <c r="M524" s="23"/>
      <c r="N524" s="23"/>
      <c r="O524" s="24"/>
      <c r="P524" s="33"/>
      <c r="Q524" s="25"/>
    </row>
    <row r="525" ht="25.5" customHeight="1">
      <c r="A525" s="26"/>
      <c r="B525" s="28"/>
      <c r="C525" s="17"/>
      <c r="D525" s="34" t="str">
        <f>vlookup($C525,CSDL!$A:$E,2,0)</f>
        <v>#N/A</v>
      </c>
      <c r="E525" s="19" t="str">
        <f>vlookup($C525,CSDL!$A:$E,3,0)</f>
        <v>#N/A</v>
      </c>
      <c r="F525" s="19" t="str">
        <f>vlookup($C525,CSDL!$A:$E,4,0)</f>
        <v>#N/A</v>
      </c>
      <c r="G525" s="27" t="str">
        <f>vlookup($C525,CSDL!$A:$E,5,0)</f>
        <v>#N/A</v>
      </c>
      <c r="H525" s="28"/>
      <c r="I525" s="29"/>
      <c r="J525" s="29"/>
      <c r="K525" s="29"/>
      <c r="L525" s="22">
        <f t="shared" si="9"/>
        <v>0</v>
      </c>
      <c r="M525" s="29"/>
      <c r="N525" s="29"/>
      <c r="O525" s="30"/>
      <c r="P525" s="26"/>
      <c r="Q525" s="32"/>
    </row>
    <row r="526" ht="25.5" customHeight="1">
      <c r="A526" s="33"/>
      <c r="B526" s="16"/>
      <c r="C526" s="17"/>
      <c r="D526" s="34" t="str">
        <f>vlookup($C526,CSDL!$A:$E,2,0)</f>
        <v>#N/A</v>
      </c>
      <c r="E526" s="19" t="str">
        <f>vlookup($C526,CSDL!$A:$E,3,0)</f>
        <v>#N/A</v>
      </c>
      <c r="F526" s="19" t="str">
        <f>vlookup($C526,CSDL!$A:$E,4,0)</f>
        <v>#N/A</v>
      </c>
      <c r="G526" s="20" t="str">
        <f>vlookup($C526,CSDL!$A:$E,5,0)</f>
        <v>#N/A</v>
      </c>
      <c r="H526" s="16"/>
      <c r="I526" s="23"/>
      <c r="J526" s="23"/>
      <c r="K526" s="23"/>
      <c r="L526" s="22">
        <f t="shared" si="9"/>
        <v>0</v>
      </c>
      <c r="M526" s="23"/>
      <c r="N526" s="23"/>
      <c r="O526" s="24"/>
      <c r="P526" s="33"/>
      <c r="Q526" s="25"/>
    </row>
    <row r="527" ht="25.5" customHeight="1">
      <c r="A527" s="26"/>
      <c r="B527" s="28"/>
      <c r="C527" s="17"/>
      <c r="D527" s="34" t="str">
        <f>vlookup($C527,CSDL!$A:$E,2,0)</f>
        <v>#N/A</v>
      </c>
      <c r="E527" s="19" t="str">
        <f>vlookup($C527,CSDL!$A:$E,3,0)</f>
        <v>#N/A</v>
      </c>
      <c r="F527" s="19" t="str">
        <f>vlookup($C527,CSDL!$A:$E,4,0)</f>
        <v>#N/A</v>
      </c>
      <c r="G527" s="27" t="str">
        <f>vlookup($C527,CSDL!$A:$E,5,0)</f>
        <v>#N/A</v>
      </c>
      <c r="H527" s="28"/>
      <c r="I527" s="29"/>
      <c r="J527" s="29"/>
      <c r="K527" s="29"/>
      <c r="L527" s="22">
        <f t="shared" si="9"/>
        <v>0</v>
      </c>
      <c r="M527" s="29"/>
      <c r="N527" s="29"/>
      <c r="O527" s="30"/>
      <c r="P527" s="26"/>
      <c r="Q527" s="32"/>
    </row>
    <row r="528" ht="25.5" customHeight="1">
      <c r="A528" s="33"/>
      <c r="B528" s="16"/>
      <c r="C528" s="17"/>
      <c r="D528" s="34" t="str">
        <f>vlookup($C528,CSDL!$A:$E,2,0)</f>
        <v>#N/A</v>
      </c>
      <c r="E528" s="19" t="str">
        <f>vlookup($C528,CSDL!$A:$E,3,0)</f>
        <v>#N/A</v>
      </c>
      <c r="F528" s="19" t="str">
        <f>vlookup($C528,CSDL!$A:$E,4,0)</f>
        <v>#N/A</v>
      </c>
      <c r="G528" s="20" t="str">
        <f>vlookup($C528,CSDL!$A:$E,5,0)</f>
        <v>#N/A</v>
      </c>
      <c r="H528" s="16"/>
      <c r="I528" s="23"/>
      <c r="J528" s="23"/>
      <c r="K528" s="23"/>
      <c r="L528" s="22">
        <f t="shared" si="9"/>
        <v>0</v>
      </c>
      <c r="M528" s="23"/>
      <c r="N528" s="23"/>
      <c r="O528" s="24"/>
      <c r="P528" s="33"/>
      <c r="Q528" s="25"/>
    </row>
    <row r="529" ht="25.5" customHeight="1">
      <c r="A529" s="26"/>
      <c r="B529" s="28"/>
      <c r="C529" s="17"/>
      <c r="D529" s="34" t="str">
        <f>vlookup($C529,CSDL!$A:$E,2,0)</f>
        <v>#N/A</v>
      </c>
      <c r="E529" s="19" t="str">
        <f>vlookup($C529,CSDL!$A:$E,3,0)</f>
        <v>#N/A</v>
      </c>
      <c r="F529" s="19" t="str">
        <f>vlookup($C529,CSDL!$A:$E,4,0)</f>
        <v>#N/A</v>
      </c>
      <c r="G529" s="27" t="str">
        <f>vlookup($C529,CSDL!$A:$E,5,0)</f>
        <v>#N/A</v>
      </c>
      <c r="H529" s="28"/>
      <c r="I529" s="29"/>
      <c r="J529" s="29"/>
      <c r="K529" s="29"/>
      <c r="L529" s="22">
        <f t="shared" si="9"/>
        <v>0</v>
      </c>
      <c r="M529" s="29"/>
      <c r="N529" s="29"/>
      <c r="O529" s="30"/>
      <c r="P529" s="26"/>
      <c r="Q529" s="32"/>
    </row>
    <row r="530" ht="25.5" customHeight="1">
      <c r="A530" s="33"/>
      <c r="B530" s="16"/>
      <c r="C530" s="17"/>
      <c r="D530" s="34" t="str">
        <f>vlookup($C530,CSDL!$A:$E,2,0)</f>
        <v>#N/A</v>
      </c>
      <c r="E530" s="19" t="str">
        <f>vlookup($C530,CSDL!$A:$E,3,0)</f>
        <v>#N/A</v>
      </c>
      <c r="F530" s="19" t="str">
        <f>vlookup($C530,CSDL!$A:$E,4,0)</f>
        <v>#N/A</v>
      </c>
      <c r="G530" s="20" t="str">
        <f>vlookup($C530,CSDL!$A:$E,5,0)</f>
        <v>#N/A</v>
      </c>
      <c r="H530" s="16"/>
      <c r="I530" s="23"/>
      <c r="J530" s="23"/>
      <c r="K530" s="23"/>
      <c r="L530" s="22">
        <f t="shared" si="9"/>
        <v>0</v>
      </c>
      <c r="M530" s="23"/>
      <c r="N530" s="23"/>
      <c r="O530" s="24"/>
      <c r="P530" s="15"/>
      <c r="Q530" s="25"/>
    </row>
    <row r="531" ht="25.5" customHeight="1">
      <c r="A531" s="31"/>
      <c r="B531" s="28"/>
      <c r="C531" s="17"/>
      <c r="D531" s="34" t="str">
        <f>vlookup($C531,CSDL!$A:$E,2,0)</f>
        <v>#N/A</v>
      </c>
      <c r="E531" s="19" t="str">
        <f>vlookup($C531,CSDL!$A:$E,3,0)</f>
        <v>#N/A</v>
      </c>
      <c r="F531" s="19" t="str">
        <f>vlookup($C531,CSDL!$A:$E,4,0)</f>
        <v>#N/A</v>
      </c>
      <c r="G531" s="27" t="str">
        <f>vlookup($C531,CSDL!$A:$E,5,0)</f>
        <v>#N/A</v>
      </c>
      <c r="H531" s="28"/>
      <c r="I531" s="29"/>
      <c r="J531" s="29"/>
      <c r="K531" s="29"/>
      <c r="L531" s="22">
        <f t="shared" si="9"/>
        <v>0</v>
      </c>
      <c r="M531" s="29"/>
      <c r="N531" s="29"/>
      <c r="O531" s="30"/>
      <c r="P531" s="26"/>
      <c r="Q531" s="32"/>
    </row>
    <row r="532" ht="25.5" customHeight="1">
      <c r="A532" s="15"/>
      <c r="B532" s="16"/>
      <c r="C532" s="17"/>
      <c r="D532" s="34" t="str">
        <f>vlookup($C532,CSDL!$A:$E,2,0)</f>
        <v>#N/A</v>
      </c>
      <c r="E532" s="19" t="str">
        <f>vlookup($C532,CSDL!$A:$E,3,0)</f>
        <v>#N/A</v>
      </c>
      <c r="F532" s="19" t="str">
        <f>vlookup($C532,CSDL!$A:$E,4,0)</f>
        <v>#N/A</v>
      </c>
      <c r="G532" s="20" t="str">
        <f>vlookup($C532,CSDL!$A:$E,5,0)</f>
        <v>#N/A</v>
      </c>
      <c r="H532" s="16"/>
      <c r="I532" s="23"/>
      <c r="J532" s="23"/>
      <c r="K532" s="23"/>
      <c r="L532" s="22">
        <f t="shared" si="9"/>
        <v>0</v>
      </c>
      <c r="M532" s="23"/>
      <c r="N532" s="23"/>
      <c r="O532" s="24"/>
      <c r="P532" s="33"/>
      <c r="Q532" s="25"/>
    </row>
    <row r="533" ht="25.5" customHeight="1">
      <c r="A533" s="26"/>
      <c r="B533" s="28"/>
      <c r="C533" s="17"/>
      <c r="D533" s="34" t="str">
        <f>vlookup($C533,CSDL!$A:$E,2,0)</f>
        <v>#N/A</v>
      </c>
      <c r="E533" s="19" t="str">
        <f>vlookup($C533,CSDL!$A:$E,3,0)</f>
        <v>#N/A</v>
      </c>
      <c r="F533" s="19" t="str">
        <f>vlookup($C533,CSDL!$A:$E,4,0)</f>
        <v>#N/A</v>
      </c>
      <c r="G533" s="27" t="str">
        <f>vlookup($C533,CSDL!$A:$E,5,0)</f>
        <v>#N/A</v>
      </c>
      <c r="H533" s="28"/>
      <c r="I533" s="29"/>
      <c r="J533" s="29"/>
      <c r="K533" s="29"/>
      <c r="L533" s="22">
        <f t="shared" si="9"/>
        <v>0</v>
      </c>
      <c r="M533" s="29"/>
      <c r="N533" s="29"/>
      <c r="O533" s="30"/>
      <c r="P533" s="26"/>
      <c r="Q533" s="32"/>
    </row>
    <row r="534" ht="25.5" customHeight="1">
      <c r="A534" s="33"/>
      <c r="B534" s="16"/>
      <c r="C534" s="17"/>
      <c r="D534" s="34" t="str">
        <f>vlookup($C534,CSDL!$A:$E,2,0)</f>
        <v>#N/A</v>
      </c>
      <c r="E534" s="19" t="str">
        <f>vlookup($C534,CSDL!$A:$E,3,0)</f>
        <v>#N/A</v>
      </c>
      <c r="F534" s="19" t="str">
        <f>vlookup($C534,CSDL!$A:$E,4,0)</f>
        <v>#N/A</v>
      </c>
      <c r="G534" s="20" t="str">
        <f>vlookup($C534,CSDL!$A:$E,5,0)</f>
        <v>#N/A</v>
      </c>
      <c r="H534" s="16"/>
      <c r="I534" s="23"/>
      <c r="J534" s="23"/>
      <c r="K534" s="23"/>
      <c r="L534" s="22">
        <f t="shared" si="9"/>
        <v>0</v>
      </c>
      <c r="M534" s="23"/>
      <c r="N534" s="23"/>
      <c r="O534" s="24"/>
      <c r="P534" s="33"/>
      <c r="Q534" s="25"/>
    </row>
    <row r="535" ht="25.5" customHeight="1">
      <c r="A535" s="26"/>
      <c r="B535" s="28"/>
      <c r="C535" s="17"/>
      <c r="D535" s="34" t="str">
        <f>vlookup($C535,CSDL!$A:$E,2,0)</f>
        <v>#N/A</v>
      </c>
      <c r="E535" s="19" t="str">
        <f>vlookup($C535,CSDL!$A:$E,3,0)</f>
        <v>#N/A</v>
      </c>
      <c r="F535" s="19" t="str">
        <f>vlookup($C535,CSDL!$A:$E,4,0)</f>
        <v>#N/A</v>
      </c>
      <c r="G535" s="27" t="str">
        <f>vlookup($C535,CSDL!$A:$E,5,0)</f>
        <v>#N/A</v>
      </c>
      <c r="H535" s="28"/>
      <c r="I535" s="29"/>
      <c r="J535" s="29"/>
      <c r="K535" s="29"/>
      <c r="L535" s="22">
        <f t="shared" si="9"/>
        <v>0</v>
      </c>
      <c r="M535" s="29"/>
      <c r="N535" s="29"/>
      <c r="O535" s="30"/>
      <c r="P535" s="26"/>
      <c r="Q535" s="32"/>
    </row>
    <row r="536" ht="25.5" customHeight="1">
      <c r="A536" s="33"/>
      <c r="B536" s="16"/>
      <c r="C536" s="17"/>
      <c r="D536" s="34" t="str">
        <f>vlookup($C536,CSDL!$A:$E,2,0)</f>
        <v>#N/A</v>
      </c>
      <c r="E536" s="19" t="str">
        <f>vlookup($C536,CSDL!$A:$E,3,0)</f>
        <v>#N/A</v>
      </c>
      <c r="F536" s="19" t="str">
        <f>vlookup($C536,CSDL!$A:$E,4,0)</f>
        <v>#N/A</v>
      </c>
      <c r="G536" s="20" t="str">
        <f>vlookup($C536,CSDL!$A:$E,5,0)</f>
        <v>#N/A</v>
      </c>
      <c r="H536" s="16"/>
      <c r="I536" s="23"/>
      <c r="J536" s="23"/>
      <c r="K536" s="23"/>
      <c r="L536" s="22">
        <f t="shared" si="9"/>
        <v>0</v>
      </c>
      <c r="M536" s="23"/>
      <c r="N536" s="23"/>
      <c r="O536" s="24"/>
      <c r="P536" s="33"/>
      <c r="Q536" s="25"/>
    </row>
    <row r="537" ht="25.5" customHeight="1">
      <c r="A537" s="26"/>
      <c r="B537" s="28"/>
      <c r="C537" s="17"/>
      <c r="D537" s="34" t="str">
        <f>vlookup($C537,CSDL!$A:$E,2,0)</f>
        <v>#N/A</v>
      </c>
      <c r="E537" s="19" t="str">
        <f>vlookup($C537,CSDL!$A:$E,3,0)</f>
        <v>#N/A</v>
      </c>
      <c r="F537" s="19" t="str">
        <f>vlookup($C537,CSDL!$A:$E,4,0)</f>
        <v>#N/A</v>
      </c>
      <c r="G537" s="27" t="str">
        <f>vlookup($C537,CSDL!$A:$E,5,0)</f>
        <v>#N/A</v>
      </c>
      <c r="H537" s="28"/>
      <c r="I537" s="29"/>
      <c r="J537" s="29"/>
      <c r="K537" s="29"/>
      <c r="L537" s="22">
        <f t="shared" si="9"/>
        <v>0</v>
      </c>
      <c r="M537" s="29"/>
      <c r="N537" s="29"/>
      <c r="O537" s="30"/>
      <c r="P537" s="26"/>
      <c r="Q537" s="32"/>
    </row>
    <row r="538" ht="25.5" customHeight="1">
      <c r="A538" s="33"/>
      <c r="B538" s="16"/>
      <c r="C538" s="17"/>
      <c r="D538" s="34" t="str">
        <f>vlookup($C538,CSDL!$A:$E,2,0)</f>
        <v>#N/A</v>
      </c>
      <c r="E538" s="19" t="str">
        <f>vlookup($C538,CSDL!$A:$E,3,0)</f>
        <v>#N/A</v>
      </c>
      <c r="F538" s="19" t="str">
        <f>vlookup($C538,CSDL!$A:$E,4,0)</f>
        <v>#N/A</v>
      </c>
      <c r="G538" s="20" t="str">
        <f>vlookup($C538,CSDL!$A:$E,5,0)</f>
        <v>#N/A</v>
      </c>
      <c r="H538" s="16"/>
      <c r="I538" s="23"/>
      <c r="J538" s="23"/>
      <c r="K538" s="23"/>
      <c r="L538" s="22">
        <f t="shared" si="9"/>
        <v>0</v>
      </c>
      <c r="M538" s="23"/>
      <c r="N538" s="23"/>
      <c r="O538" s="24"/>
      <c r="P538" s="33"/>
      <c r="Q538" s="25"/>
    </row>
    <row r="539" ht="25.5" customHeight="1">
      <c r="A539" s="26"/>
      <c r="B539" s="28"/>
      <c r="C539" s="17"/>
      <c r="D539" s="34" t="str">
        <f>vlookup($C539,CSDL!$A:$E,2,0)</f>
        <v>#N/A</v>
      </c>
      <c r="E539" s="19" t="str">
        <f>vlookup($C539,CSDL!$A:$E,3,0)</f>
        <v>#N/A</v>
      </c>
      <c r="F539" s="19" t="str">
        <f>vlookup($C539,CSDL!$A:$E,4,0)</f>
        <v>#N/A</v>
      </c>
      <c r="G539" s="27" t="str">
        <f>vlookup($C539,CSDL!$A:$E,5,0)</f>
        <v>#N/A</v>
      </c>
      <c r="H539" s="28"/>
      <c r="I539" s="29"/>
      <c r="J539" s="29"/>
      <c r="K539" s="29"/>
      <c r="L539" s="22">
        <f t="shared" si="9"/>
        <v>0</v>
      </c>
      <c r="M539" s="29"/>
      <c r="N539" s="29"/>
      <c r="O539" s="30"/>
      <c r="P539" s="26"/>
      <c r="Q539" s="32"/>
    </row>
    <row r="540" ht="25.5" customHeight="1">
      <c r="A540" s="33"/>
      <c r="B540" s="16"/>
      <c r="C540" s="17"/>
      <c r="D540" s="34" t="str">
        <f>vlookup($C540,CSDL!$A:$E,2,0)</f>
        <v>#N/A</v>
      </c>
      <c r="E540" s="19" t="str">
        <f>vlookup($C540,CSDL!$A:$E,3,0)</f>
        <v>#N/A</v>
      </c>
      <c r="F540" s="19" t="str">
        <f>vlookup($C540,CSDL!$A:$E,4,0)</f>
        <v>#N/A</v>
      </c>
      <c r="G540" s="20" t="str">
        <f>vlookup($C540,CSDL!$A:$E,5,0)</f>
        <v>#N/A</v>
      </c>
      <c r="H540" s="16"/>
      <c r="I540" s="23"/>
      <c r="J540" s="23"/>
      <c r="K540" s="23"/>
      <c r="L540" s="22">
        <f t="shared" si="9"/>
        <v>0</v>
      </c>
      <c r="M540" s="23"/>
      <c r="N540" s="23"/>
      <c r="O540" s="24"/>
      <c r="P540" s="33"/>
      <c r="Q540" s="25"/>
    </row>
    <row r="541" ht="25.5" customHeight="1">
      <c r="A541" s="26"/>
      <c r="B541" s="28"/>
      <c r="C541" s="17"/>
      <c r="D541" s="34" t="str">
        <f>vlookup($C541,CSDL!$A:$E,2,0)</f>
        <v>#N/A</v>
      </c>
      <c r="E541" s="19" t="str">
        <f>vlookup($C541,CSDL!$A:$E,3,0)</f>
        <v>#N/A</v>
      </c>
      <c r="F541" s="19" t="str">
        <f>vlookup($C541,CSDL!$A:$E,4,0)</f>
        <v>#N/A</v>
      </c>
      <c r="G541" s="27" t="str">
        <f>vlookup($C541,CSDL!$A:$E,5,0)</f>
        <v>#N/A</v>
      </c>
      <c r="H541" s="28"/>
      <c r="I541" s="29"/>
      <c r="J541" s="29"/>
      <c r="K541" s="29"/>
      <c r="L541" s="22">
        <f t="shared" si="9"/>
        <v>0</v>
      </c>
      <c r="M541" s="29"/>
      <c r="N541" s="29"/>
      <c r="O541" s="30"/>
      <c r="P541" s="26"/>
      <c r="Q541" s="32"/>
    </row>
    <row r="542" ht="25.5" customHeight="1">
      <c r="A542" s="33"/>
      <c r="B542" s="16"/>
      <c r="C542" s="17"/>
      <c r="D542" s="34" t="str">
        <f>vlookup($C542,CSDL!$A:$E,2,0)</f>
        <v>#N/A</v>
      </c>
      <c r="E542" s="19" t="str">
        <f>vlookup($C542,CSDL!$A:$E,3,0)</f>
        <v>#N/A</v>
      </c>
      <c r="F542" s="19" t="str">
        <f>vlookup($C542,CSDL!$A:$E,4,0)</f>
        <v>#N/A</v>
      </c>
      <c r="G542" s="20" t="str">
        <f>vlookup($C542,CSDL!$A:$E,5,0)</f>
        <v>#N/A</v>
      </c>
      <c r="H542" s="16"/>
      <c r="I542" s="23"/>
      <c r="J542" s="23"/>
      <c r="K542" s="23"/>
      <c r="L542" s="22">
        <f t="shared" si="9"/>
        <v>0</v>
      </c>
      <c r="M542" s="23"/>
      <c r="N542" s="23"/>
      <c r="O542" s="24"/>
      <c r="P542" s="33"/>
      <c r="Q542" s="25"/>
    </row>
    <row r="543" ht="25.5" customHeight="1">
      <c r="A543" s="26"/>
      <c r="B543" s="28"/>
      <c r="C543" s="17"/>
      <c r="D543" s="34" t="str">
        <f>vlookup($C543,CSDL!$A:$E,2,0)</f>
        <v>#N/A</v>
      </c>
      <c r="E543" s="19" t="str">
        <f>vlookup($C543,CSDL!$A:$E,3,0)</f>
        <v>#N/A</v>
      </c>
      <c r="F543" s="19" t="str">
        <f>vlookup($C543,CSDL!$A:$E,4,0)</f>
        <v>#N/A</v>
      </c>
      <c r="G543" s="27" t="str">
        <f>vlookup($C543,CSDL!$A:$E,5,0)</f>
        <v>#N/A</v>
      </c>
      <c r="H543" s="28"/>
      <c r="I543" s="29"/>
      <c r="J543" s="29"/>
      <c r="K543" s="29"/>
      <c r="L543" s="22">
        <f t="shared" si="9"/>
        <v>0</v>
      </c>
      <c r="M543" s="29"/>
      <c r="N543" s="29"/>
      <c r="O543" s="30"/>
      <c r="P543" s="26"/>
      <c r="Q543" s="32"/>
    </row>
    <row r="544" ht="25.5" customHeight="1">
      <c r="A544" s="33"/>
      <c r="B544" s="16"/>
      <c r="C544" s="17"/>
      <c r="D544" s="34" t="str">
        <f>vlookup($C544,CSDL!$A:$E,2,0)</f>
        <v>#N/A</v>
      </c>
      <c r="E544" s="19" t="str">
        <f>vlookup($C544,CSDL!$A:$E,3,0)</f>
        <v>#N/A</v>
      </c>
      <c r="F544" s="19" t="str">
        <f>vlookup($C544,CSDL!$A:$E,4,0)</f>
        <v>#N/A</v>
      </c>
      <c r="G544" s="20" t="str">
        <f>vlookup($C544,CSDL!$A:$E,5,0)</f>
        <v>#N/A</v>
      </c>
      <c r="H544" s="16"/>
      <c r="I544" s="23"/>
      <c r="J544" s="23"/>
      <c r="K544" s="23"/>
      <c r="L544" s="22">
        <f t="shared" si="9"/>
        <v>0</v>
      </c>
      <c r="M544" s="23"/>
      <c r="N544" s="23"/>
      <c r="O544" s="24"/>
      <c r="P544" s="33"/>
      <c r="Q544" s="25"/>
    </row>
    <row r="545" ht="25.5" customHeight="1">
      <c r="A545" s="67"/>
      <c r="B545" s="28"/>
      <c r="C545" s="17"/>
      <c r="D545" s="34" t="str">
        <f>vlookup($C545,CSDL!$A:$E,2,0)</f>
        <v>#N/A</v>
      </c>
      <c r="E545" s="19" t="str">
        <f>vlookup($C545,CSDL!$A:$E,3,0)</f>
        <v>#N/A</v>
      </c>
      <c r="F545" s="19" t="str">
        <f>vlookup($C545,CSDL!$A:$E,4,0)</f>
        <v>#N/A</v>
      </c>
      <c r="G545" s="27" t="str">
        <f>vlookup($C545,CSDL!$A:$E,5,0)</f>
        <v>#N/A</v>
      </c>
      <c r="H545" s="28"/>
      <c r="I545" s="29"/>
      <c r="J545" s="29"/>
      <c r="K545" s="29"/>
      <c r="L545" s="22">
        <f t="shared" si="9"/>
        <v>0</v>
      </c>
      <c r="M545" s="29"/>
      <c r="N545" s="29"/>
      <c r="O545" s="30"/>
      <c r="P545" s="26"/>
      <c r="Q545" s="45"/>
    </row>
    <row r="546" ht="25.5" customHeight="1">
      <c r="A546" s="33"/>
      <c r="B546" s="16"/>
      <c r="C546" s="17"/>
      <c r="D546" s="34" t="str">
        <f>vlookup($C546,CSDL!$A:$E,2,0)</f>
        <v>#N/A</v>
      </c>
      <c r="E546" s="19" t="str">
        <f>vlookup($C546,CSDL!$A:$E,3,0)</f>
        <v>#N/A</v>
      </c>
      <c r="F546" s="19" t="str">
        <f>vlookup($C546,CSDL!$A:$E,4,0)</f>
        <v>#N/A</v>
      </c>
      <c r="G546" s="20" t="str">
        <f>vlookup($C546,CSDL!$A:$E,5,0)</f>
        <v>#N/A</v>
      </c>
      <c r="H546" s="16"/>
      <c r="I546" s="23"/>
      <c r="J546" s="23"/>
      <c r="K546" s="23"/>
      <c r="L546" s="22">
        <f t="shared" si="9"/>
        <v>0</v>
      </c>
      <c r="M546" s="23"/>
      <c r="N546" s="23"/>
      <c r="O546" s="24"/>
      <c r="P546" s="33"/>
      <c r="Q546" s="25"/>
    </row>
    <row r="547" ht="25.5" customHeight="1">
      <c r="A547" s="26"/>
      <c r="B547" s="28"/>
      <c r="C547" s="17"/>
      <c r="D547" s="34" t="str">
        <f>vlookup($C547,CSDL!$A:$E,2,0)</f>
        <v>#N/A</v>
      </c>
      <c r="E547" s="19" t="str">
        <f>vlookup($C547,CSDL!$A:$E,3,0)</f>
        <v>#N/A</v>
      </c>
      <c r="F547" s="19" t="str">
        <f>vlookup($C547,CSDL!$A:$E,4,0)</f>
        <v>#N/A</v>
      </c>
      <c r="G547" s="27" t="str">
        <f>vlookup($C547,CSDL!$A:$E,5,0)</f>
        <v>#N/A</v>
      </c>
      <c r="H547" s="28"/>
      <c r="I547" s="29"/>
      <c r="J547" s="29"/>
      <c r="K547" s="29"/>
      <c r="L547" s="22">
        <f t="shared" si="9"/>
        <v>0</v>
      </c>
      <c r="M547" s="29"/>
      <c r="N547" s="29"/>
      <c r="O547" s="30"/>
      <c r="P547" s="26"/>
      <c r="Q547" s="45"/>
    </row>
    <row r="548" ht="25.5" customHeight="1">
      <c r="A548" s="33"/>
      <c r="B548" s="16"/>
      <c r="C548" s="17"/>
      <c r="D548" s="34" t="str">
        <f>vlookup($C548,CSDL!$A:$E,2,0)</f>
        <v>#N/A</v>
      </c>
      <c r="E548" s="19" t="str">
        <f>vlookup($C548,CSDL!$A:$E,3,0)</f>
        <v>#N/A</v>
      </c>
      <c r="F548" s="19" t="str">
        <f>vlookup($C548,CSDL!$A:$E,4,0)</f>
        <v>#N/A</v>
      </c>
      <c r="G548" s="20" t="str">
        <f>vlookup($C548,CSDL!$A:$E,5,0)</f>
        <v>#N/A</v>
      </c>
      <c r="H548" s="16"/>
      <c r="I548" s="23"/>
      <c r="J548" s="23"/>
      <c r="K548" s="23"/>
      <c r="L548" s="22">
        <f t="shared" si="9"/>
        <v>0</v>
      </c>
      <c r="M548" s="23"/>
      <c r="N548" s="23"/>
      <c r="O548" s="24"/>
      <c r="P548" s="33"/>
      <c r="Q548" s="25"/>
    </row>
    <row r="549" ht="25.5" customHeight="1">
      <c r="A549" s="26"/>
      <c r="B549" s="28"/>
      <c r="C549" s="17"/>
      <c r="D549" s="34" t="str">
        <f>vlookup($C549,CSDL!$A:$E,2,0)</f>
        <v>#N/A</v>
      </c>
      <c r="E549" s="19" t="str">
        <f>vlookup($C549,CSDL!$A:$E,3,0)</f>
        <v>#N/A</v>
      </c>
      <c r="F549" s="19" t="str">
        <f>vlookup($C549,CSDL!$A:$E,4,0)</f>
        <v>#N/A</v>
      </c>
      <c r="G549" s="27" t="str">
        <f>vlookup($C549,CSDL!$A:$E,5,0)</f>
        <v>#N/A</v>
      </c>
      <c r="H549" s="28"/>
      <c r="I549" s="29"/>
      <c r="J549" s="29"/>
      <c r="K549" s="29"/>
      <c r="L549" s="22">
        <f t="shared" si="9"/>
        <v>0</v>
      </c>
      <c r="M549" s="29"/>
      <c r="N549" s="29"/>
      <c r="O549" s="30"/>
      <c r="P549" s="26"/>
      <c r="Q549" s="32"/>
    </row>
    <row r="550" ht="25.5" customHeight="1">
      <c r="A550" s="33"/>
      <c r="B550" s="16"/>
      <c r="C550" s="17"/>
      <c r="D550" s="34" t="str">
        <f>vlookup($C550,CSDL!$A:$E,2,0)</f>
        <v>#N/A</v>
      </c>
      <c r="E550" s="19" t="str">
        <f>vlookup($C550,CSDL!$A:$E,3,0)</f>
        <v>#N/A</v>
      </c>
      <c r="F550" s="19" t="str">
        <f>vlookup($C550,CSDL!$A:$E,4,0)</f>
        <v>#N/A</v>
      </c>
      <c r="G550" s="20" t="str">
        <f>vlookup($C550,CSDL!$A:$E,5,0)</f>
        <v>#N/A</v>
      </c>
      <c r="H550" s="16"/>
      <c r="I550" s="23"/>
      <c r="J550" s="23"/>
      <c r="K550" s="23"/>
      <c r="L550" s="22">
        <f t="shared" si="9"/>
        <v>0</v>
      </c>
      <c r="M550" s="23"/>
      <c r="N550" s="23"/>
      <c r="O550" s="24"/>
      <c r="P550" s="33"/>
      <c r="Q550" s="25"/>
    </row>
    <row r="551" ht="25.5" customHeight="1">
      <c r="A551" s="26"/>
      <c r="B551" s="28"/>
      <c r="C551" s="17"/>
      <c r="D551" s="34" t="str">
        <f>vlookup($C551,CSDL!$A:$E,2,0)</f>
        <v>#N/A</v>
      </c>
      <c r="E551" s="19" t="str">
        <f>vlookup($C551,CSDL!$A:$E,3,0)</f>
        <v>#N/A</v>
      </c>
      <c r="F551" s="19" t="str">
        <f>vlookup($C551,CSDL!$A:$E,4,0)</f>
        <v>#N/A</v>
      </c>
      <c r="G551" s="27" t="str">
        <f>vlookup($C551,CSDL!$A:$E,5,0)</f>
        <v>#N/A</v>
      </c>
      <c r="H551" s="28"/>
      <c r="I551" s="29"/>
      <c r="J551" s="29"/>
      <c r="K551" s="29"/>
      <c r="L551" s="22">
        <f t="shared" si="9"/>
        <v>0</v>
      </c>
      <c r="M551" s="29"/>
      <c r="N551" s="29"/>
      <c r="O551" s="30"/>
      <c r="P551" s="26"/>
      <c r="Q551" s="32"/>
    </row>
    <row r="552" ht="25.5" customHeight="1">
      <c r="A552" s="33"/>
      <c r="B552" s="16"/>
      <c r="C552" s="17"/>
      <c r="D552" s="34" t="str">
        <f>vlookup($C552,CSDL!$A:$E,2,0)</f>
        <v>#N/A</v>
      </c>
      <c r="E552" s="19" t="str">
        <f>vlookup($C552,CSDL!$A:$E,3,0)</f>
        <v>#N/A</v>
      </c>
      <c r="F552" s="19" t="str">
        <f>vlookup($C552,CSDL!$A:$E,4,0)</f>
        <v>#N/A</v>
      </c>
      <c r="G552" s="20" t="str">
        <f>vlookup($C552,CSDL!$A:$E,5,0)</f>
        <v>#N/A</v>
      </c>
      <c r="H552" s="16"/>
      <c r="I552" s="23"/>
      <c r="J552" s="23"/>
      <c r="K552" s="23"/>
      <c r="L552" s="22">
        <f t="shared" si="9"/>
        <v>0</v>
      </c>
      <c r="M552" s="23"/>
      <c r="N552" s="23"/>
      <c r="O552" s="24"/>
      <c r="P552" s="33"/>
      <c r="Q552" s="25"/>
    </row>
    <row r="553" ht="25.5" customHeight="1">
      <c r="A553" s="26"/>
      <c r="B553" s="28"/>
      <c r="C553" s="17"/>
      <c r="D553" s="34" t="str">
        <f>vlookup($C553,CSDL!$A:$E,2,0)</f>
        <v>#N/A</v>
      </c>
      <c r="E553" s="19" t="str">
        <f>vlookup($C553,CSDL!$A:$E,3,0)</f>
        <v>#N/A</v>
      </c>
      <c r="F553" s="19" t="str">
        <f>vlookup($C553,CSDL!$A:$E,4,0)</f>
        <v>#N/A</v>
      </c>
      <c r="G553" s="27" t="str">
        <f>vlookup($C553,CSDL!$A:$E,5,0)</f>
        <v>#N/A</v>
      </c>
      <c r="H553" s="28"/>
      <c r="I553" s="29"/>
      <c r="J553" s="29"/>
      <c r="K553" s="29"/>
      <c r="L553" s="22">
        <f t="shared" si="9"/>
        <v>0</v>
      </c>
      <c r="M553" s="29"/>
      <c r="N553" s="29"/>
      <c r="O553" s="30"/>
      <c r="P553" s="31"/>
      <c r="Q553" s="32"/>
    </row>
    <row r="554" ht="25.5" customHeight="1">
      <c r="A554" s="33"/>
      <c r="B554" s="16"/>
      <c r="C554" s="17"/>
      <c r="D554" s="34" t="str">
        <f>vlookup($C554,CSDL!$A:$E,2,0)</f>
        <v>#N/A</v>
      </c>
      <c r="E554" s="19" t="str">
        <f>vlookup($C554,CSDL!$A:$E,3,0)</f>
        <v>#N/A</v>
      </c>
      <c r="F554" s="19" t="str">
        <f>vlookup($C554,CSDL!$A:$E,4,0)</f>
        <v>#N/A</v>
      </c>
      <c r="G554" s="20" t="str">
        <f>vlookup($C554,CSDL!$A:$E,5,0)</f>
        <v>#N/A</v>
      </c>
      <c r="H554" s="16"/>
      <c r="I554" s="23"/>
      <c r="J554" s="23"/>
      <c r="K554" s="23"/>
      <c r="L554" s="22">
        <f t="shared" si="9"/>
        <v>0</v>
      </c>
      <c r="M554" s="23"/>
      <c r="N554" s="23"/>
      <c r="O554" s="24"/>
      <c r="P554" s="33"/>
      <c r="Q554" s="25"/>
    </row>
    <row r="555" ht="25.5" customHeight="1">
      <c r="A555" s="26"/>
      <c r="B555" s="28"/>
      <c r="C555" s="17"/>
      <c r="D555" s="34" t="str">
        <f>vlookup($C555,CSDL!$A:$E,2,0)</f>
        <v>#N/A</v>
      </c>
      <c r="E555" s="19" t="str">
        <f>vlookup($C555,CSDL!$A:$E,3,0)</f>
        <v>#N/A</v>
      </c>
      <c r="F555" s="19" t="str">
        <f>vlookup($C555,CSDL!$A:$E,4,0)</f>
        <v>#N/A</v>
      </c>
      <c r="G555" s="27" t="str">
        <f>vlookup($C555,CSDL!$A:$E,5,0)</f>
        <v>#N/A</v>
      </c>
      <c r="H555" s="28"/>
      <c r="I555" s="29"/>
      <c r="J555" s="29"/>
      <c r="K555" s="29"/>
      <c r="L555" s="22">
        <f t="shared" si="9"/>
        <v>0</v>
      </c>
      <c r="M555" s="29"/>
      <c r="N555" s="29"/>
      <c r="O555" s="30"/>
      <c r="P555" s="26"/>
      <c r="Q555" s="32"/>
    </row>
    <row r="556" ht="25.5" customHeight="1">
      <c r="A556" s="33"/>
      <c r="B556" s="16"/>
      <c r="C556" s="17"/>
      <c r="D556" s="34" t="str">
        <f>vlookup($C556,CSDL!$A:$E,2,0)</f>
        <v>#N/A</v>
      </c>
      <c r="E556" s="19" t="str">
        <f>vlookup($C556,CSDL!$A:$E,3,0)</f>
        <v>#N/A</v>
      </c>
      <c r="F556" s="19" t="str">
        <f>vlookup($C556,CSDL!$A:$E,4,0)</f>
        <v>#N/A</v>
      </c>
      <c r="G556" s="20" t="str">
        <f>vlookup($C556,CSDL!$A:$E,5,0)</f>
        <v>#N/A</v>
      </c>
      <c r="H556" s="16"/>
      <c r="I556" s="23"/>
      <c r="J556" s="23"/>
      <c r="K556" s="23"/>
      <c r="L556" s="22">
        <f t="shared" si="9"/>
        <v>0</v>
      </c>
      <c r="M556" s="23"/>
      <c r="N556" s="23"/>
      <c r="O556" s="24"/>
      <c r="P556" s="15"/>
      <c r="Q556" s="25"/>
    </row>
    <row r="557" ht="25.5" customHeight="1">
      <c r="A557" s="26"/>
      <c r="B557" s="28"/>
      <c r="C557" s="17"/>
      <c r="D557" s="34" t="str">
        <f>vlookup($C557,CSDL!$A:$E,2,0)</f>
        <v>#N/A</v>
      </c>
      <c r="E557" s="19" t="str">
        <f>vlookup($C557,CSDL!$A:$E,3,0)</f>
        <v>#N/A</v>
      </c>
      <c r="F557" s="19" t="str">
        <f>vlookup($C557,CSDL!$A:$E,4,0)</f>
        <v>#N/A</v>
      </c>
      <c r="G557" s="27" t="str">
        <f>vlookup($C557,CSDL!$A:$E,5,0)</f>
        <v>#N/A</v>
      </c>
      <c r="H557" s="28"/>
      <c r="I557" s="29"/>
      <c r="J557" s="29"/>
      <c r="K557" s="29"/>
      <c r="L557" s="22">
        <f t="shared" si="9"/>
        <v>0</v>
      </c>
      <c r="M557" s="29"/>
      <c r="N557" s="29"/>
      <c r="O557" s="30"/>
      <c r="P557" s="26"/>
      <c r="Q557" s="32"/>
    </row>
    <row r="558" ht="25.5" customHeight="1">
      <c r="A558" s="33"/>
      <c r="B558" s="16"/>
      <c r="C558" s="17"/>
      <c r="D558" s="34" t="str">
        <f>vlookup($C558,CSDL!$A:$E,2,0)</f>
        <v>#N/A</v>
      </c>
      <c r="E558" s="19" t="str">
        <f>vlookup($C558,CSDL!$A:$E,3,0)</f>
        <v>#N/A</v>
      </c>
      <c r="F558" s="19" t="str">
        <f>vlookup($C558,CSDL!$A:$E,4,0)</f>
        <v>#N/A</v>
      </c>
      <c r="G558" s="20" t="str">
        <f>vlookup($C558,CSDL!$A:$E,5,0)</f>
        <v>#N/A</v>
      </c>
      <c r="H558" s="16"/>
      <c r="I558" s="23"/>
      <c r="J558" s="23"/>
      <c r="K558" s="23"/>
      <c r="L558" s="22">
        <f t="shared" si="9"/>
        <v>0</v>
      </c>
      <c r="M558" s="23"/>
      <c r="N558" s="23"/>
      <c r="O558" s="24"/>
      <c r="P558" s="33"/>
      <c r="Q558" s="25"/>
    </row>
    <row r="559" ht="25.5" customHeight="1">
      <c r="A559" s="26"/>
      <c r="B559" s="28"/>
      <c r="C559" s="17"/>
      <c r="D559" s="34" t="str">
        <f>vlookup($C559,CSDL!$A:$E,2,0)</f>
        <v>#N/A</v>
      </c>
      <c r="E559" s="19" t="str">
        <f>vlookup($C559,CSDL!$A:$E,3,0)</f>
        <v>#N/A</v>
      </c>
      <c r="F559" s="19" t="str">
        <f>vlookup($C559,CSDL!$A:$E,4,0)</f>
        <v>#N/A</v>
      </c>
      <c r="G559" s="27" t="str">
        <f>vlookup($C559,CSDL!$A:$E,5,0)</f>
        <v>#N/A</v>
      </c>
      <c r="H559" s="28"/>
      <c r="I559" s="29"/>
      <c r="J559" s="29"/>
      <c r="K559" s="29"/>
      <c r="L559" s="22">
        <f t="shared" si="9"/>
        <v>0</v>
      </c>
      <c r="M559" s="29"/>
      <c r="N559" s="29"/>
      <c r="O559" s="30"/>
      <c r="P559" s="26"/>
      <c r="Q559" s="32"/>
    </row>
    <row r="560" ht="25.5" customHeight="1">
      <c r="A560" s="33"/>
      <c r="B560" s="16"/>
      <c r="C560" s="17"/>
      <c r="D560" s="34" t="str">
        <f>vlookup($C560,CSDL!$A:$E,2,0)</f>
        <v>#N/A</v>
      </c>
      <c r="E560" s="19" t="str">
        <f>vlookup($C560,CSDL!$A:$E,3,0)</f>
        <v>#N/A</v>
      </c>
      <c r="F560" s="19" t="str">
        <f>vlookup($C560,CSDL!$A:$E,4,0)</f>
        <v>#N/A</v>
      </c>
      <c r="G560" s="20" t="str">
        <f>vlookup($C560,CSDL!$A:$E,5,0)</f>
        <v>#N/A</v>
      </c>
      <c r="H560" s="16"/>
      <c r="I560" s="23"/>
      <c r="J560" s="23"/>
      <c r="K560" s="23"/>
      <c r="L560" s="22">
        <f t="shared" si="9"/>
        <v>0</v>
      </c>
      <c r="M560" s="23"/>
      <c r="N560" s="23"/>
      <c r="O560" s="24"/>
      <c r="P560" s="33"/>
      <c r="Q560" s="25"/>
    </row>
    <row r="561" ht="25.5" customHeight="1">
      <c r="A561" s="26"/>
      <c r="B561" s="28"/>
      <c r="C561" s="17"/>
      <c r="D561" s="34" t="str">
        <f>vlookup($C561,CSDL!$A:$E,2,0)</f>
        <v>#N/A</v>
      </c>
      <c r="E561" s="19" t="str">
        <f>vlookup($C561,CSDL!$A:$E,3,0)</f>
        <v>#N/A</v>
      </c>
      <c r="F561" s="19" t="str">
        <f>vlookup($C561,CSDL!$A:$E,4,0)</f>
        <v>#N/A</v>
      </c>
      <c r="G561" s="27" t="str">
        <f>vlookup($C561,CSDL!$A:$E,5,0)</f>
        <v>#N/A</v>
      </c>
      <c r="H561" s="28"/>
      <c r="I561" s="29"/>
      <c r="J561" s="29"/>
      <c r="K561" s="29"/>
      <c r="L561" s="22">
        <f t="shared" si="9"/>
        <v>0</v>
      </c>
      <c r="M561" s="29"/>
      <c r="N561" s="29"/>
      <c r="O561" s="30"/>
      <c r="P561" s="31"/>
      <c r="Q561" s="32"/>
    </row>
    <row r="562" ht="25.5" customHeight="1">
      <c r="A562" s="33"/>
      <c r="B562" s="16"/>
      <c r="C562" s="17"/>
      <c r="D562" s="34" t="str">
        <f>vlookup($C562,CSDL!$A:$E,2,0)</f>
        <v>#N/A</v>
      </c>
      <c r="E562" s="19" t="str">
        <f>vlookup($C562,CSDL!$A:$E,3,0)</f>
        <v>#N/A</v>
      </c>
      <c r="F562" s="19" t="str">
        <f>vlookup($C562,CSDL!$A:$E,4,0)</f>
        <v>#N/A</v>
      </c>
      <c r="G562" s="20" t="str">
        <f>vlookup($C562,CSDL!$A:$E,5,0)</f>
        <v>#N/A</v>
      </c>
      <c r="H562" s="16"/>
      <c r="I562" s="23"/>
      <c r="J562" s="23"/>
      <c r="K562" s="23"/>
      <c r="L562" s="22">
        <f t="shared" si="9"/>
        <v>0</v>
      </c>
      <c r="M562" s="23"/>
      <c r="N562" s="23"/>
      <c r="O562" s="24"/>
      <c r="P562" s="33"/>
      <c r="Q562" s="25"/>
    </row>
    <row r="563" ht="25.5" customHeight="1">
      <c r="A563" s="26"/>
      <c r="B563" s="28"/>
      <c r="C563" s="17"/>
      <c r="D563" s="34" t="str">
        <f>vlookup($C563,CSDL!$A:$E,2,0)</f>
        <v>#N/A</v>
      </c>
      <c r="E563" s="19" t="str">
        <f>vlookup($C563,CSDL!$A:$E,3,0)</f>
        <v>#N/A</v>
      </c>
      <c r="F563" s="19" t="str">
        <f>vlookup($C563,CSDL!$A:$E,4,0)</f>
        <v>#N/A</v>
      </c>
      <c r="G563" s="27" t="str">
        <f>vlookup($C563,CSDL!$A:$E,5,0)</f>
        <v>#N/A</v>
      </c>
      <c r="H563" s="28"/>
      <c r="I563" s="29"/>
      <c r="J563" s="29"/>
      <c r="K563" s="29"/>
      <c r="L563" s="22">
        <f t="shared" si="9"/>
        <v>0</v>
      </c>
      <c r="M563" s="29"/>
      <c r="N563" s="29"/>
      <c r="O563" s="30"/>
      <c r="P563" s="26"/>
      <c r="Q563" s="32"/>
    </row>
    <row r="564" ht="25.5" customHeight="1">
      <c r="A564" s="33"/>
      <c r="B564" s="16"/>
      <c r="C564" s="17"/>
      <c r="D564" s="34" t="str">
        <f>vlookup($C564,CSDL!$A:$E,2,0)</f>
        <v>#N/A</v>
      </c>
      <c r="E564" s="19" t="str">
        <f>vlookup($C564,CSDL!$A:$E,3,0)</f>
        <v>#N/A</v>
      </c>
      <c r="F564" s="19" t="str">
        <f>vlookup($C564,CSDL!$A:$E,4,0)</f>
        <v>#N/A</v>
      </c>
      <c r="G564" s="20" t="str">
        <f>vlookup($C564,CSDL!$A:$E,5,0)</f>
        <v>#N/A</v>
      </c>
      <c r="H564" s="16"/>
      <c r="I564" s="23"/>
      <c r="J564" s="23"/>
      <c r="K564" s="23"/>
      <c r="L564" s="22">
        <f t="shared" si="9"/>
        <v>0</v>
      </c>
      <c r="M564" s="23"/>
      <c r="N564" s="23"/>
      <c r="O564" s="24"/>
      <c r="P564" s="33"/>
      <c r="Q564" s="25"/>
    </row>
    <row r="565" ht="25.5" customHeight="1">
      <c r="A565" s="26"/>
      <c r="B565" s="28"/>
      <c r="C565" s="17"/>
      <c r="D565" s="34" t="str">
        <f>vlookup($C565,CSDL!$A:$E,2,0)</f>
        <v>#N/A</v>
      </c>
      <c r="E565" s="19" t="str">
        <f>vlookup($C565,CSDL!$A:$E,3,0)</f>
        <v>#N/A</v>
      </c>
      <c r="F565" s="19" t="str">
        <f>vlookup($C565,CSDL!$A:$E,4,0)</f>
        <v>#N/A</v>
      </c>
      <c r="G565" s="27" t="str">
        <f>vlookup($C565,CSDL!$A:$E,5,0)</f>
        <v>#N/A</v>
      </c>
      <c r="H565" s="28"/>
      <c r="I565" s="29"/>
      <c r="J565" s="29"/>
      <c r="K565" s="29"/>
      <c r="L565" s="22">
        <f t="shared" si="9"/>
        <v>0</v>
      </c>
      <c r="M565" s="29"/>
      <c r="N565" s="29"/>
      <c r="O565" s="30"/>
      <c r="P565" s="26"/>
      <c r="Q565" s="32"/>
    </row>
    <row r="566" ht="25.5" customHeight="1">
      <c r="A566" s="33"/>
      <c r="B566" s="16"/>
      <c r="C566" s="17"/>
      <c r="D566" s="34" t="str">
        <f>vlookup($C566,CSDL!$A:$E,2,0)</f>
        <v>#N/A</v>
      </c>
      <c r="E566" s="19" t="str">
        <f>vlookup($C566,CSDL!$A:$E,3,0)</f>
        <v>#N/A</v>
      </c>
      <c r="F566" s="19" t="str">
        <f>vlookup($C566,CSDL!$A:$E,4,0)</f>
        <v>#N/A</v>
      </c>
      <c r="G566" s="20" t="str">
        <f>vlookup($C566,CSDL!$A:$E,5,0)</f>
        <v>#N/A</v>
      </c>
      <c r="H566" s="16"/>
      <c r="I566" s="23"/>
      <c r="J566" s="23"/>
      <c r="K566" s="23"/>
      <c r="L566" s="22">
        <f t="shared" si="9"/>
        <v>0</v>
      </c>
      <c r="M566" s="23"/>
      <c r="N566" s="23"/>
      <c r="O566" s="24"/>
      <c r="P566" s="15"/>
      <c r="Q566" s="25"/>
    </row>
    <row r="567" ht="25.5" customHeight="1">
      <c r="A567" s="26"/>
      <c r="B567" s="28"/>
      <c r="C567" s="17"/>
      <c r="D567" s="34" t="str">
        <f>vlookup($C567,CSDL!$A:$E,2,0)</f>
        <v>#N/A</v>
      </c>
      <c r="E567" s="19" t="str">
        <f>vlookup($C567,CSDL!$A:$E,3,0)</f>
        <v>#N/A</v>
      </c>
      <c r="F567" s="19" t="str">
        <f>vlookup($C567,CSDL!$A:$E,4,0)</f>
        <v>#N/A</v>
      </c>
      <c r="G567" s="27" t="str">
        <f>vlookup($C567,CSDL!$A:$E,5,0)</f>
        <v>#N/A</v>
      </c>
      <c r="H567" s="28"/>
      <c r="I567" s="29"/>
      <c r="J567" s="29"/>
      <c r="K567" s="29"/>
      <c r="L567" s="22">
        <f t="shared" si="9"/>
        <v>0</v>
      </c>
      <c r="M567" s="29"/>
      <c r="N567" s="29"/>
      <c r="O567" s="30"/>
      <c r="P567" s="31"/>
      <c r="Q567" s="32"/>
    </row>
    <row r="568" ht="25.5" customHeight="1">
      <c r="A568" s="33"/>
      <c r="B568" s="16"/>
      <c r="C568" s="17"/>
      <c r="D568" s="34" t="str">
        <f>vlookup($C568,CSDL!$A:$E,2,0)</f>
        <v>#N/A</v>
      </c>
      <c r="E568" s="19" t="str">
        <f>vlookup($C568,CSDL!$A:$E,3,0)</f>
        <v>#N/A</v>
      </c>
      <c r="F568" s="19" t="str">
        <f>vlookup($C568,CSDL!$A:$E,4,0)</f>
        <v>#N/A</v>
      </c>
      <c r="G568" s="20" t="str">
        <f>vlookup($C568,CSDL!$A:$E,5,0)</f>
        <v>#N/A</v>
      </c>
      <c r="H568" s="16"/>
      <c r="I568" s="23"/>
      <c r="J568" s="23"/>
      <c r="K568" s="23"/>
      <c r="L568" s="22">
        <f t="shared" si="9"/>
        <v>0</v>
      </c>
      <c r="M568" s="23"/>
      <c r="N568" s="23"/>
      <c r="O568" s="24"/>
      <c r="P568" s="33"/>
      <c r="Q568" s="25"/>
    </row>
    <row r="569" ht="25.5" customHeight="1">
      <c r="A569" s="26"/>
      <c r="B569" s="28"/>
      <c r="C569" s="17"/>
      <c r="D569" s="34" t="str">
        <f>vlookup($C569,CSDL!$A:$E,2,0)</f>
        <v>#N/A</v>
      </c>
      <c r="E569" s="19" t="str">
        <f>vlookup($C569,CSDL!$A:$E,3,0)</f>
        <v>#N/A</v>
      </c>
      <c r="F569" s="19" t="str">
        <f>vlookup($C569,CSDL!$A:$E,4,0)</f>
        <v>#N/A</v>
      </c>
      <c r="G569" s="27" t="str">
        <f>vlookup($C569,CSDL!$A:$E,5,0)</f>
        <v>#N/A</v>
      </c>
      <c r="H569" s="28"/>
      <c r="I569" s="29"/>
      <c r="J569" s="29"/>
      <c r="K569" s="29"/>
      <c r="L569" s="22">
        <f t="shared" si="9"/>
        <v>0</v>
      </c>
      <c r="M569" s="29"/>
      <c r="N569" s="29"/>
      <c r="O569" s="30"/>
      <c r="P569" s="26"/>
      <c r="Q569" s="32"/>
    </row>
    <row r="570" ht="25.5" customHeight="1">
      <c r="A570" s="33"/>
      <c r="B570" s="16"/>
      <c r="C570" s="17"/>
      <c r="D570" s="34" t="str">
        <f>vlookup($C570,CSDL!$A:$E,2,0)</f>
        <v>#N/A</v>
      </c>
      <c r="E570" s="19" t="str">
        <f>vlookup($C570,CSDL!$A:$E,3,0)</f>
        <v>#N/A</v>
      </c>
      <c r="F570" s="19" t="str">
        <f>vlookup($C570,CSDL!$A:$E,4,0)</f>
        <v>#N/A</v>
      </c>
      <c r="G570" s="20" t="str">
        <f>vlookup($C570,CSDL!$A:$E,5,0)</f>
        <v>#N/A</v>
      </c>
      <c r="H570" s="16"/>
      <c r="I570" s="23"/>
      <c r="J570" s="23"/>
      <c r="K570" s="23"/>
      <c r="L570" s="22">
        <f t="shared" si="9"/>
        <v>0</v>
      </c>
      <c r="M570" s="23"/>
      <c r="N570" s="23"/>
      <c r="O570" s="24"/>
      <c r="P570" s="33"/>
      <c r="Q570" s="25"/>
    </row>
    <row r="571" ht="25.5" customHeight="1">
      <c r="A571" s="26"/>
      <c r="B571" s="28"/>
      <c r="C571" s="17"/>
      <c r="D571" s="34" t="str">
        <f>vlookup($C571,CSDL!$A:$E,2,0)</f>
        <v>#N/A</v>
      </c>
      <c r="E571" s="19" t="str">
        <f>vlookup($C571,CSDL!$A:$E,3,0)</f>
        <v>#N/A</v>
      </c>
      <c r="F571" s="19" t="str">
        <f>vlookup($C571,CSDL!$A:$E,4,0)</f>
        <v>#N/A</v>
      </c>
      <c r="G571" s="27" t="str">
        <f>vlookup($C571,CSDL!$A:$E,5,0)</f>
        <v>#N/A</v>
      </c>
      <c r="H571" s="28"/>
      <c r="I571" s="29"/>
      <c r="J571" s="29"/>
      <c r="K571" s="29"/>
      <c r="L571" s="22">
        <f t="shared" si="9"/>
        <v>0</v>
      </c>
      <c r="M571" s="29"/>
      <c r="N571" s="29"/>
      <c r="O571" s="30"/>
      <c r="P571" s="26"/>
      <c r="Q571" s="32"/>
    </row>
    <row r="572" ht="25.5" customHeight="1">
      <c r="A572" s="33"/>
      <c r="B572" s="16"/>
      <c r="C572" s="17"/>
      <c r="D572" s="34" t="str">
        <f>vlookup($C572,CSDL!$A:$E,2,0)</f>
        <v>#N/A</v>
      </c>
      <c r="E572" s="19" t="str">
        <f>vlookup($C572,CSDL!$A:$E,3,0)</f>
        <v>#N/A</v>
      </c>
      <c r="F572" s="19" t="str">
        <f>vlookup($C572,CSDL!$A:$E,4,0)</f>
        <v>#N/A</v>
      </c>
      <c r="G572" s="20" t="str">
        <f>vlookup($C572,CSDL!$A:$E,5,0)</f>
        <v>#N/A</v>
      </c>
      <c r="H572" s="16"/>
      <c r="I572" s="23"/>
      <c r="J572" s="23"/>
      <c r="K572" s="23"/>
      <c r="L572" s="22">
        <f t="shared" si="9"/>
        <v>0</v>
      </c>
      <c r="M572" s="23"/>
      <c r="N572" s="23"/>
      <c r="O572" s="24"/>
      <c r="P572" s="33"/>
      <c r="Q572" s="25"/>
    </row>
    <row r="573" ht="25.5" customHeight="1">
      <c r="A573" s="26"/>
      <c r="B573" s="28"/>
      <c r="C573" s="17"/>
      <c r="D573" s="34" t="str">
        <f>vlookup($C573,CSDL!$A:$E,2,0)</f>
        <v>#N/A</v>
      </c>
      <c r="E573" s="19" t="str">
        <f>vlookup($C573,CSDL!$A:$E,3,0)</f>
        <v>#N/A</v>
      </c>
      <c r="F573" s="19" t="str">
        <f>vlookup($C573,CSDL!$A:$E,4,0)</f>
        <v>#N/A</v>
      </c>
      <c r="G573" s="27" t="str">
        <f>vlookup($C573,CSDL!$A:$E,5,0)</f>
        <v>#N/A</v>
      </c>
      <c r="H573" s="28"/>
      <c r="I573" s="29"/>
      <c r="J573" s="29"/>
      <c r="K573" s="29"/>
      <c r="L573" s="22">
        <f t="shared" si="9"/>
        <v>0</v>
      </c>
      <c r="M573" s="29"/>
      <c r="N573" s="29"/>
      <c r="O573" s="30"/>
      <c r="P573" s="26"/>
      <c r="Q573" s="32"/>
    </row>
    <row r="574" ht="25.5" customHeight="1">
      <c r="A574" s="33"/>
      <c r="B574" s="16"/>
      <c r="C574" s="17"/>
      <c r="D574" s="34" t="str">
        <f>vlookup($C574,CSDL!$A:$E,2,0)</f>
        <v>#N/A</v>
      </c>
      <c r="E574" s="19" t="str">
        <f>vlookup($C574,CSDL!$A:$E,3,0)</f>
        <v>#N/A</v>
      </c>
      <c r="F574" s="19" t="str">
        <f>vlookup($C574,CSDL!$A:$E,4,0)</f>
        <v>#N/A</v>
      </c>
      <c r="G574" s="20" t="str">
        <f>vlookup($C574,CSDL!$A:$E,5,0)</f>
        <v>#N/A</v>
      </c>
      <c r="H574" s="16"/>
      <c r="I574" s="23"/>
      <c r="J574" s="23"/>
      <c r="K574" s="23"/>
      <c r="L574" s="22">
        <f t="shared" si="9"/>
        <v>0</v>
      </c>
      <c r="M574" s="23"/>
      <c r="N574" s="23"/>
      <c r="O574" s="24"/>
      <c r="P574" s="33"/>
      <c r="Q574" s="25"/>
    </row>
    <row r="575" ht="25.5" customHeight="1">
      <c r="A575" s="26"/>
      <c r="B575" s="28"/>
      <c r="C575" s="17"/>
      <c r="D575" s="34" t="str">
        <f>vlookup($C575,CSDL!$A:$E,2,0)</f>
        <v>#N/A</v>
      </c>
      <c r="E575" s="19" t="str">
        <f>vlookup($C575,CSDL!$A:$E,3,0)</f>
        <v>#N/A</v>
      </c>
      <c r="F575" s="19" t="str">
        <f>vlookup($C575,CSDL!$A:$E,4,0)</f>
        <v>#N/A</v>
      </c>
      <c r="G575" s="27" t="str">
        <f>vlookup($C575,CSDL!$A:$E,5,0)</f>
        <v>#N/A</v>
      </c>
      <c r="H575" s="28"/>
      <c r="I575" s="29"/>
      <c r="J575" s="29"/>
      <c r="K575" s="29"/>
      <c r="L575" s="22">
        <f t="shared" si="9"/>
        <v>0</v>
      </c>
      <c r="M575" s="29"/>
      <c r="N575" s="29"/>
      <c r="O575" s="30"/>
      <c r="P575" s="26"/>
      <c r="Q575" s="32"/>
    </row>
    <row r="576" ht="25.5" customHeight="1">
      <c r="A576" s="33"/>
      <c r="B576" s="16"/>
      <c r="C576" s="17"/>
      <c r="D576" s="34" t="str">
        <f>vlookup($C576,CSDL!$A:$E,2,0)</f>
        <v>#N/A</v>
      </c>
      <c r="E576" s="19" t="str">
        <f>vlookup($C576,CSDL!$A:$E,3,0)</f>
        <v>#N/A</v>
      </c>
      <c r="F576" s="19" t="str">
        <f>vlookup($C576,CSDL!$A:$E,4,0)</f>
        <v>#N/A</v>
      </c>
      <c r="G576" s="20" t="str">
        <f>vlookup($C576,CSDL!$A:$E,5,0)</f>
        <v>#N/A</v>
      </c>
      <c r="H576" s="16"/>
      <c r="I576" s="23"/>
      <c r="J576" s="23"/>
      <c r="K576" s="23"/>
      <c r="L576" s="22">
        <f t="shared" si="9"/>
        <v>0</v>
      </c>
      <c r="M576" s="23"/>
      <c r="N576" s="23"/>
      <c r="O576" s="24"/>
      <c r="P576" s="33"/>
      <c r="Q576" s="25"/>
    </row>
    <row r="577" ht="25.5" customHeight="1">
      <c r="A577" s="26"/>
      <c r="B577" s="28"/>
      <c r="C577" s="17"/>
      <c r="D577" s="34" t="str">
        <f>vlookup($C577,CSDL!$A:$E,2,0)</f>
        <v>#N/A</v>
      </c>
      <c r="E577" s="19" t="str">
        <f>vlookup($C577,CSDL!$A:$E,3,0)</f>
        <v>#N/A</v>
      </c>
      <c r="F577" s="19" t="str">
        <f>vlookup($C577,CSDL!$A:$E,4,0)</f>
        <v>#N/A</v>
      </c>
      <c r="G577" s="27" t="str">
        <f>vlookup($C577,CSDL!$A:$E,5,0)</f>
        <v>#N/A</v>
      </c>
      <c r="H577" s="28"/>
      <c r="I577" s="29"/>
      <c r="J577" s="29"/>
      <c r="K577" s="29"/>
      <c r="L577" s="22">
        <f t="shared" si="9"/>
        <v>0</v>
      </c>
      <c r="M577" s="29"/>
      <c r="N577" s="29"/>
      <c r="O577" s="30"/>
      <c r="P577" s="31"/>
      <c r="Q577" s="32"/>
    </row>
    <row r="578" ht="25.5" customHeight="1">
      <c r="A578" s="33"/>
      <c r="B578" s="16"/>
      <c r="C578" s="17"/>
      <c r="D578" s="34" t="str">
        <f>vlookup($C578,CSDL!$A:$E,2,0)</f>
        <v>#N/A</v>
      </c>
      <c r="E578" s="19" t="str">
        <f>vlookup($C578,CSDL!$A:$E,3,0)</f>
        <v>#N/A</v>
      </c>
      <c r="F578" s="19" t="str">
        <f>vlookup($C578,CSDL!$A:$E,4,0)</f>
        <v>#N/A</v>
      </c>
      <c r="G578" s="20" t="str">
        <f>vlookup($C578,CSDL!$A:$E,5,0)</f>
        <v>#N/A</v>
      </c>
      <c r="H578" s="16"/>
      <c r="I578" s="23"/>
      <c r="J578" s="23"/>
      <c r="K578" s="23"/>
      <c r="L578" s="22">
        <f t="shared" si="9"/>
        <v>0</v>
      </c>
      <c r="M578" s="23"/>
      <c r="N578" s="23"/>
      <c r="O578" s="24"/>
      <c r="P578" s="33"/>
      <c r="Q578" s="25"/>
    </row>
    <row r="579" ht="25.5" customHeight="1">
      <c r="A579" s="26"/>
      <c r="B579" s="28"/>
      <c r="C579" s="17"/>
      <c r="D579" s="34" t="str">
        <f>vlookup($C579,CSDL!$A:$E,2,0)</f>
        <v>#N/A</v>
      </c>
      <c r="E579" s="19" t="str">
        <f>vlookup($C579,CSDL!$A:$E,3,0)</f>
        <v>#N/A</v>
      </c>
      <c r="F579" s="19" t="str">
        <f>vlookup($C579,CSDL!$A:$E,4,0)</f>
        <v>#N/A</v>
      </c>
      <c r="G579" s="27" t="str">
        <f>vlookup($C579,CSDL!$A:$E,5,0)</f>
        <v>#N/A</v>
      </c>
      <c r="H579" s="28"/>
      <c r="I579" s="29"/>
      <c r="J579" s="29"/>
      <c r="K579" s="29"/>
      <c r="L579" s="22">
        <f t="shared" si="9"/>
        <v>0</v>
      </c>
      <c r="M579" s="29"/>
      <c r="N579" s="29"/>
      <c r="O579" s="30"/>
      <c r="P579" s="26"/>
      <c r="Q579" s="40"/>
    </row>
    <row r="580" ht="25.5" customHeight="1">
      <c r="A580" s="33"/>
      <c r="B580" s="16"/>
      <c r="C580" s="17"/>
      <c r="D580" s="34" t="str">
        <f>vlookup($C580,CSDL!$A:$E,2,0)</f>
        <v>#N/A</v>
      </c>
      <c r="E580" s="19" t="str">
        <f>vlookup($C580,CSDL!$A:$E,3,0)</f>
        <v>#N/A</v>
      </c>
      <c r="F580" s="19" t="str">
        <f>vlookup($C580,CSDL!$A:$E,4,0)</f>
        <v>#N/A</v>
      </c>
      <c r="G580" s="20" t="str">
        <f>vlookup($C580,CSDL!$A:$E,5,0)</f>
        <v>#N/A</v>
      </c>
      <c r="H580" s="16"/>
      <c r="I580" s="23"/>
      <c r="J580" s="23"/>
      <c r="K580" s="23"/>
      <c r="L580" s="22">
        <f t="shared" si="9"/>
        <v>0</v>
      </c>
      <c r="M580" s="23"/>
      <c r="N580" s="23"/>
      <c r="O580" s="24"/>
      <c r="P580" s="33"/>
      <c r="Q580" s="25"/>
    </row>
    <row r="581" ht="25.5" customHeight="1">
      <c r="A581" s="26"/>
      <c r="B581" s="28"/>
      <c r="C581" s="17"/>
      <c r="D581" s="34" t="str">
        <f>vlookup($C581,CSDL!$A:$E,2,0)</f>
        <v>#N/A</v>
      </c>
      <c r="E581" s="19" t="str">
        <f>vlookup($C581,CSDL!$A:$E,3,0)</f>
        <v>#N/A</v>
      </c>
      <c r="F581" s="19" t="str">
        <f>vlookup($C581,CSDL!$A:$E,4,0)</f>
        <v>#N/A</v>
      </c>
      <c r="G581" s="27" t="str">
        <f>vlookup($C581,CSDL!$A:$E,5,0)</f>
        <v>#N/A</v>
      </c>
      <c r="H581" s="28"/>
      <c r="I581" s="29"/>
      <c r="J581" s="29"/>
      <c r="K581" s="29"/>
      <c r="L581" s="22">
        <f t="shared" si="9"/>
        <v>0</v>
      </c>
      <c r="M581" s="29"/>
      <c r="N581" s="29"/>
      <c r="O581" s="30"/>
      <c r="P581" s="26"/>
      <c r="Q581" s="32"/>
    </row>
    <row r="582" ht="25.5" customHeight="1">
      <c r="A582" s="33"/>
      <c r="B582" s="16"/>
      <c r="C582" s="17"/>
      <c r="D582" s="34" t="str">
        <f>vlookup($C582,CSDL!$A:$E,2,0)</f>
        <v>#N/A</v>
      </c>
      <c r="E582" s="19" t="str">
        <f>vlookup($C582,CSDL!$A:$E,3,0)</f>
        <v>#N/A</v>
      </c>
      <c r="F582" s="19" t="str">
        <f>vlookup($C582,CSDL!$A:$E,4,0)</f>
        <v>#N/A</v>
      </c>
      <c r="G582" s="20" t="str">
        <f>vlookup($C582,CSDL!$A:$E,5,0)</f>
        <v>#N/A</v>
      </c>
      <c r="H582" s="16"/>
      <c r="I582" s="23"/>
      <c r="J582" s="23"/>
      <c r="K582" s="23"/>
      <c r="L582" s="22">
        <f t="shared" si="9"/>
        <v>0</v>
      </c>
      <c r="M582" s="23"/>
      <c r="N582" s="23"/>
      <c r="O582" s="24"/>
      <c r="P582" s="33"/>
      <c r="Q582" s="25"/>
    </row>
    <row r="583" ht="25.5" customHeight="1">
      <c r="A583" s="26"/>
      <c r="B583" s="28"/>
      <c r="C583" s="17"/>
      <c r="D583" s="34" t="str">
        <f>vlookup($C583,CSDL!$A:$E,2,0)</f>
        <v>#N/A</v>
      </c>
      <c r="E583" s="19" t="str">
        <f>vlookup($C583,CSDL!$A:$E,3,0)</f>
        <v>#N/A</v>
      </c>
      <c r="F583" s="19" t="str">
        <f>vlookup($C583,CSDL!$A:$E,4,0)</f>
        <v>#N/A</v>
      </c>
      <c r="G583" s="27" t="str">
        <f>vlookup($C583,CSDL!$A:$E,5,0)</f>
        <v>#N/A</v>
      </c>
      <c r="H583" s="28"/>
      <c r="I583" s="29"/>
      <c r="J583" s="29"/>
      <c r="K583" s="29"/>
      <c r="L583" s="22">
        <f t="shared" si="9"/>
        <v>0</v>
      </c>
      <c r="M583" s="29"/>
      <c r="N583" s="29"/>
      <c r="O583" s="30"/>
      <c r="P583" s="26"/>
      <c r="Q583" s="32"/>
    </row>
    <row r="584" ht="25.5" customHeight="1">
      <c r="A584" s="33"/>
      <c r="B584" s="16"/>
      <c r="C584" s="17"/>
      <c r="D584" s="34" t="str">
        <f>vlookup($C584,CSDL!$A:$E,2,0)</f>
        <v>#N/A</v>
      </c>
      <c r="E584" s="19" t="str">
        <f>vlookup($C584,CSDL!$A:$E,3,0)</f>
        <v>#N/A</v>
      </c>
      <c r="F584" s="19" t="str">
        <f>vlookup($C584,CSDL!$A:$E,4,0)</f>
        <v>#N/A</v>
      </c>
      <c r="G584" s="20" t="str">
        <f>vlookup($C584,CSDL!$A:$E,5,0)</f>
        <v>#N/A</v>
      </c>
      <c r="H584" s="16"/>
      <c r="I584" s="23"/>
      <c r="J584" s="23"/>
      <c r="K584" s="23"/>
      <c r="L584" s="22">
        <f t="shared" si="9"/>
        <v>0</v>
      </c>
      <c r="M584" s="23"/>
      <c r="N584" s="23"/>
      <c r="O584" s="24"/>
      <c r="P584" s="33"/>
      <c r="Q584" s="25"/>
    </row>
    <row r="585" ht="25.5" customHeight="1">
      <c r="A585" s="26"/>
      <c r="B585" s="28"/>
      <c r="C585" s="17"/>
      <c r="D585" s="34" t="str">
        <f>vlookup($C585,CSDL!$A:$E,2,0)</f>
        <v>#N/A</v>
      </c>
      <c r="E585" s="19" t="str">
        <f>vlookup($C585,CSDL!$A:$E,3,0)</f>
        <v>#N/A</v>
      </c>
      <c r="F585" s="19" t="str">
        <f>vlookup($C585,CSDL!$A:$E,4,0)</f>
        <v>#N/A</v>
      </c>
      <c r="G585" s="27" t="str">
        <f>vlookup($C585,CSDL!$A:$E,5,0)</f>
        <v>#N/A</v>
      </c>
      <c r="H585" s="28"/>
      <c r="I585" s="29"/>
      <c r="J585" s="29"/>
      <c r="K585" s="29"/>
      <c r="L585" s="22">
        <f t="shared" si="9"/>
        <v>0</v>
      </c>
      <c r="M585" s="29"/>
      <c r="N585" s="29"/>
      <c r="O585" s="30"/>
      <c r="P585" s="26"/>
      <c r="Q585" s="32"/>
    </row>
    <row r="586" ht="25.5" customHeight="1">
      <c r="A586" s="33"/>
      <c r="B586" s="16"/>
      <c r="C586" s="17"/>
      <c r="D586" s="34" t="str">
        <f>vlookup($C586,CSDL!$A:$E,2,0)</f>
        <v>#N/A</v>
      </c>
      <c r="E586" s="19" t="str">
        <f>vlookup($C586,CSDL!$A:$E,3,0)</f>
        <v>#N/A</v>
      </c>
      <c r="F586" s="19" t="str">
        <f>vlookup($C586,CSDL!$A:$E,4,0)</f>
        <v>#N/A</v>
      </c>
      <c r="G586" s="20" t="str">
        <f>vlookup($C586,CSDL!$A:$E,5,0)</f>
        <v>#N/A</v>
      </c>
      <c r="H586" s="16"/>
      <c r="I586" s="23"/>
      <c r="J586" s="23"/>
      <c r="K586" s="23"/>
      <c r="L586" s="22">
        <f t="shared" si="9"/>
        <v>0</v>
      </c>
      <c r="M586" s="23"/>
      <c r="N586" s="23"/>
      <c r="O586" s="24"/>
      <c r="P586" s="68"/>
      <c r="Q586" s="69"/>
    </row>
    <row r="587" ht="25.5" customHeight="1">
      <c r="A587" s="26"/>
      <c r="B587" s="28"/>
      <c r="C587" s="17"/>
      <c r="D587" s="34" t="str">
        <f>vlookup($C587,CSDL!$A:$E,2,0)</f>
        <v>#N/A</v>
      </c>
      <c r="E587" s="19" t="str">
        <f>vlookup($C587,CSDL!$A:$E,3,0)</f>
        <v>#N/A</v>
      </c>
      <c r="F587" s="19" t="str">
        <f>vlookup($C587,CSDL!$A:$E,4,0)</f>
        <v>#N/A</v>
      </c>
      <c r="G587" s="27" t="str">
        <f>vlookup($C587,CSDL!$A:$E,5,0)</f>
        <v>#N/A</v>
      </c>
      <c r="H587" s="28"/>
      <c r="I587" s="29"/>
      <c r="J587" s="29"/>
      <c r="K587" s="29"/>
      <c r="L587" s="22">
        <f t="shared" si="9"/>
        <v>0</v>
      </c>
      <c r="M587" s="29"/>
      <c r="N587" s="29"/>
      <c r="O587" s="30"/>
      <c r="P587" s="70"/>
      <c r="Q587" s="71"/>
    </row>
    <row r="588" ht="25.5" customHeight="1">
      <c r="A588" s="33"/>
      <c r="B588" s="16"/>
      <c r="C588" s="17"/>
      <c r="D588" s="34" t="str">
        <f>vlookup($C588,CSDL!$A:$E,2,0)</f>
        <v>#N/A</v>
      </c>
      <c r="E588" s="19" t="str">
        <f>vlookup($C588,CSDL!$A:$E,3,0)</f>
        <v>#N/A</v>
      </c>
      <c r="F588" s="19" t="str">
        <f>vlookup($C588,CSDL!$A:$E,4,0)</f>
        <v>#N/A</v>
      </c>
      <c r="G588" s="20" t="str">
        <f>vlookup($C588,CSDL!$A:$E,5,0)</f>
        <v>#N/A</v>
      </c>
      <c r="H588" s="16"/>
      <c r="I588" s="23"/>
      <c r="J588" s="23"/>
      <c r="K588" s="23"/>
      <c r="L588" s="22">
        <f t="shared" si="9"/>
        <v>0</v>
      </c>
      <c r="M588" s="23"/>
      <c r="N588" s="23"/>
      <c r="O588" s="24"/>
      <c r="P588" s="33"/>
      <c r="Q588" s="25"/>
    </row>
    <row r="589" ht="25.5" customHeight="1">
      <c r="A589" s="26"/>
      <c r="B589" s="28"/>
      <c r="C589" s="17"/>
      <c r="D589" s="34" t="str">
        <f>vlookup($C589,CSDL!$A:$E,2,0)</f>
        <v>#N/A</v>
      </c>
      <c r="E589" s="19" t="str">
        <f>vlookup($C589,CSDL!$A:$E,3,0)</f>
        <v>#N/A</v>
      </c>
      <c r="F589" s="19" t="str">
        <f>vlookup($C589,CSDL!$A:$E,4,0)</f>
        <v>#N/A</v>
      </c>
      <c r="G589" s="27" t="str">
        <f>vlookup($C589,CSDL!$A:$E,5,0)</f>
        <v>#N/A</v>
      </c>
      <c r="H589" s="28"/>
      <c r="I589" s="29"/>
      <c r="J589" s="29"/>
      <c r="K589" s="29"/>
      <c r="L589" s="22">
        <f t="shared" si="9"/>
        <v>0</v>
      </c>
      <c r="M589" s="29"/>
      <c r="N589" s="29"/>
      <c r="O589" s="30"/>
      <c r="P589" s="26"/>
      <c r="Q589" s="32"/>
    </row>
    <row r="590" ht="25.5" customHeight="1">
      <c r="A590" s="33"/>
      <c r="B590" s="16"/>
      <c r="C590" s="17"/>
      <c r="D590" s="34" t="str">
        <f>vlookup($C590,CSDL!$A:$E,2,0)</f>
        <v>#N/A</v>
      </c>
      <c r="E590" s="19" t="str">
        <f>vlookup($C590,CSDL!$A:$E,3,0)</f>
        <v>#N/A</v>
      </c>
      <c r="F590" s="19" t="str">
        <f>vlookup($C590,CSDL!$A:$E,4,0)</f>
        <v>#N/A</v>
      </c>
      <c r="G590" s="20" t="str">
        <f>vlookup($C590,CSDL!$A:$E,5,0)</f>
        <v>#N/A</v>
      </c>
      <c r="H590" s="16"/>
      <c r="I590" s="23"/>
      <c r="J590" s="23"/>
      <c r="K590" s="23"/>
      <c r="L590" s="22">
        <f t="shared" si="9"/>
        <v>0</v>
      </c>
      <c r="M590" s="23"/>
      <c r="N590" s="23"/>
      <c r="O590" s="24"/>
      <c r="P590" s="33"/>
      <c r="Q590" s="25"/>
    </row>
    <row r="591" ht="25.5" customHeight="1">
      <c r="A591" s="26"/>
      <c r="B591" s="28"/>
      <c r="C591" s="17"/>
      <c r="D591" s="34" t="str">
        <f>vlookup($C591,CSDL!$A:$E,2,0)</f>
        <v>#N/A</v>
      </c>
      <c r="E591" s="19" t="str">
        <f>vlookup($C591,CSDL!$A:$E,3,0)</f>
        <v>#N/A</v>
      </c>
      <c r="F591" s="19" t="str">
        <f>vlookup($C591,CSDL!$A:$E,4,0)</f>
        <v>#N/A</v>
      </c>
      <c r="G591" s="27" t="str">
        <f>vlookup($C591,CSDL!$A:$E,5,0)</f>
        <v>#N/A</v>
      </c>
      <c r="H591" s="28"/>
      <c r="I591" s="29"/>
      <c r="J591" s="29"/>
      <c r="K591" s="29"/>
      <c r="L591" s="22">
        <f t="shared" si="9"/>
        <v>0</v>
      </c>
      <c r="M591" s="29"/>
      <c r="N591" s="29"/>
      <c r="O591" s="30"/>
      <c r="P591" s="72"/>
      <c r="Q591" s="40"/>
    </row>
    <row r="592" ht="25.5" customHeight="1">
      <c r="A592" s="33"/>
      <c r="B592" s="16"/>
      <c r="C592" s="17"/>
      <c r="D592" s="34" t="str">
        <f>vlookup($C592,CSDL!$A:$E,2,0)</f>
        <v>#N/A</v>
      </c>
      <c r="E592" s="19" t="str">
        <f>vlookup($C592,CSDL!$A:$E,3,0)</f>
        <v>#N/A</v>
      </c>
      <c r="F592" s="19" t="str">
        <f>vlookup($C592,CSDL!$A:$E,4,0)</f>
        <v>#N/A</v>
      </c>
      <c r="G592" s="20" t="str">
        <f>vlookup($C592,CSDL!$A:$E,5,0)</f>
        <v>#N/A</v>
      </c>
      <c r="H592" s="16"/>
      <c r="I592" s="23"/>
      <c r="J592" s="23"/>
      <c r="K592" s="23"/>
      <c r="L592" s="22">
        <f t="shared" si="9"/>
        <v>0</v>
      </c>
      <c r="M592" s="23"/>
      <c r="N592" s="23"/>
      <c r="O592" s="24"/>
      <c r="P592" s="33"/>
      <c r="Q592" s="25"/>
    </row>
    <row r="593" ht="25.5" customHeight="1">
      <c r="A593" s="26"/>
      <c r="B593" s="28"/>
      <c r="C593" s="17"/>
      <c r="D593" s="34" t="str">
        <f>vlookup($C593,CSDL!$A:$E,2,0)</f>
        <v>#N/A</v>
      </c>
      <c r="E593" s="19" t="str">
        <f>vlookup($C593,CSDL!$A:$E,3,0)</f>
        <v>#N/A</v>
      </c>
      <c r="F593" s="19" t="str">
        <f>vlookup($C593,CSDL!$A:$E,4,0)</f>
        <v>#N/A</v>
      </c>
      <c r="G593" s="27" t="str">
        <f>vlookup($C593,CSDL!$A:$E,5,0)</f>
        <v>#N/A</v>
      </c>
      <c r="H593" s="28"/>
      <c r="I593" s="29"/>
      <c r="J593" s="29"/>
      <c r="K593" s="29"/>
      <c r="L593" s="22">
        <f t="shared" si="9"/>
        <v>0</v>
      </c>
      <c r="M593" s="29"/>
      <c r="N593" s="29"/>
      <c r="O593" s="30"/>
      <c r="P593" s="26"/>
      <c r="Q593" s="32"/>
    </row>
    <row r="594" ht="25.5" customHeight="1">
      <c r="A594" s="33"/>
      <c r="B594" s="16"/>
      <c r="C594" s="17"/>
      <c r="D594" s="34" t="str">
        <f>vlookup($C594,CSDL!$A:$E,2,0)</f>
        <v>#N/A</v>
      </c>
      <c r="E594" s="19" t="str">
        <f>vlookup($C594,CSDL!$A:$E,3,0)</f>
        <v>#N/A</v>
      </c>
      <c r="F594" s="19" t="str">
        <f>vlookup($C594,CSDL!$A:$E,4,0)</f>
        <v>#N/A</v>
      </c>
      <c r="G594" s="20" t="str">
        <f>vlookup($C594,CSDL!$A:$E,5,0)</f>
        <v>#N/A</v>
      </c>
      <c r="H594" s="16"/>
      <c r="I594" s="23"/>
      <c r="J594" s="23"/>
      <c r="K594" s="23"/>
      <c r="L594" s="22">
        <f t="shared" si="9"/>
        <v>0</v>
      </c>
      <c r="M594" s="23"/>
      <c r="N594" s="23"/>
      <c r="O594" s="24"/>
      <c r="P594" s="15"/>
      <c r="Q594" s="25"/>
    </row>
    <row r="595" ht="25.5" customHeight="1">
      <c r="A595" s="26"/>
      <c r="B595" s="28"/>
      <c r="C595" s="17"/>
      <c r="D595" s="34" t="str">
        <f>vlookup($C595,CSDL!$A:$E,2,0)</f>
        <v>#N/A</v>
      </c>
      <c r="E595" s="19" t="str">
        <f>vlookup($C595,CSDL!$A:$E,3,0)</f>
        <v>#N/A</v>
      </c>
      <c r="F595" s="19" t="str">
        <f>vlookup($C595,CSDL!$A:$E,4,0)</f>
        <v>#N/A</v>
      </c>
      <c r="G595" s="27" t="str">
        <f>vlookup($C595,CSDL!$A:$E,5,0)</f>
        <v>#N/A</v>
      </c>
      <c r="H595" s="28"/>
      <c r="I595" s="29"/>
      <c r="J595" s="29"/>
      <c r="K595" s="29"/>
      <c r="L595" s="22">
        <f t="shared" si="9"/>
        <v>0</v>
      </c>
      <c r="M595" s="29"/>
      <c r="N595" s="29"/>
      <c r="O595" s="30"/>
      <c r="P595" s="31"/>
      <c r="Q595" s="32"/>
    </row>
    <row r="596" ht="25.5" customHeight="1">
      <c r="A596" s="33"/>
      <c r="B596" s="16"/>
      <c r="C596" s="17"/>
      <c r="D596" s="34" t="str">
        <f>vlookup($C596,CSDL!$A:$E,2,0)</f>
        <v>#N/A</v>
      </c>
      <c r="E596" s="19" t="str">
        <f>vlookup($C596,CSDL!$A:$E,3,0)</f>
        <v>#N/A</v>
      </c>
      <c r="F596" s="19" t="str">
        <f>vlookup($C596,CSDL!$A:$E,4,0)</f>
        <v>#N/A</v>
      </c>
      <c r="G596" s="20" t="str">
        <f>vlookup($C596,CSDL!$A:$E,5,0)</f>
        <v>#N/A</v>
      </c>
      <c r="H596" s="16"/>
      <c r="I596" s="23"/>
      <c r="J596" s="23"/>
      <c r="K596" s="23"/>
      <c r="L596" s="22">
        <f t="shared" si="9"/>
        <v>0</v>
      </c>
      <c r="M596" s="23"/>
      <c r="N596" s="23"/>
      <c r="O596" s="24"/>
      <c r="P596" s="15"/>
      <c r="Q596" s="25"/>
    </row>
    <row r="597" ht="25.5" customHeight="1">
      <c r="A597" s="26"/>
      <c r="B597" s="28"/>
      <c r="C597" s="17"/>
      <c r="D597" s="34" t="str">
        <f>vlookup($C597,CSDL!$A:$E,2,0)</f>
        <v>#N/A</v>
      </c>
      <c r="E597" s="19" t="str">
        <f>vlookup($C597,CSDL!$A:$E,3,0)</f>
        <v>#N/A</v>
      </c>
      <c r="F597" s="19" t="str">
        <f>vlookup($C597,CSDL!$A:$E,4,0)</f>
        <v>#N/A</v>
      </c>
      <c r="G597" s="27" t="str">
        <f>vlookup($C597,CSDL!$A:$E,5,0)</f>
        <v>#N/A</v>
      </c>
      <c r="H597" s="28"/>
      <c r="I597" s="29"/>
      <c r="J597" s="29"/>
      <c r="K597" s="29"/>
      <c r="L597" s="22">
        <f t="shared" si="9"/>
        <v>0</v>
      </c>
      <c r="M597" s="29"/>
      <c r="N597" s="29"/>
      <c r="O597" s="30"/>
      <c r="P597" s="26"/>
      <c r="Q597" s="32"/>
    </row>
    <row r="598" ht="25.5" customHeight="1">
      <c r="A598" s="33"/>
      <c r="B598" s="16"/>
      <c r="C598" s="17"/>
      <c r="D598" s="34" t="str">
        <f>vlookup($C598,CSDL!$A:$E,2,0)</f>
        <v>#N/A</v>
      </c>
      <c r="E598" s="19" t="str">
        <f>vlookup($C598,CSDL!$A:$E,3,0)</f>
        <v>#N/A</v>
      </c>
      <c r="F598" s="19" t="str">
        <f>vlookup($C598,CSDL!$A:$E,4,0)</f>
        <v>#N/A</v>
      </c>
      <c r="G598" s="20" t="str">
        <f>vlookup($C598,CSDL!$A:$E,5,0)</f>
        <v>#N/A</v>
      </c>
      <c r="H598" s="16"/>
      <c r="I598" s="23"/>
      <c r="J598" s="23"/>
      <c r="K598" s="23"/>
      <c r="L598" s="22">
        <f t="shared" si="9"/>
        <v>0</v>
      </c>
      <c r="M598" s="23"/>
      <c r="N598" s="23"/>
      <c r="O598" s="24"/>
      <c r="P598" s="33"/>
      <c r="Q598" s="25"/>
    </row>
    <row r="599" ht="25.5" customHeight="1">
      <c r="A599" s="26"/>
      <c r="B599" s="28"/>
      <c r="C599" s="17"/>
      <c r="D599" s="34" t="str">
        <f>vlookup($C599,CSDL!$A:$E,2,0)</f>
        <v>#N/A</v>
      </c>
      <c r="E599" s="19" t="str">
        <f>vlookup($C599,CSDL!$A:$E,3,0)</f>
        <v>#N/A</v>
      </c>
      <c r="F599" s="19" t="str">
        <f>vlookup($C599,CSDL!$A:$E,4,0)</f>
        <v>#N/A</v>
      </c>
      <c r="G599" s="27" t="str">
        <f>vlookup($C599,CSDL!$A:$E,5,0)</f>
        <v>#N/A</v>
      </c>
      <c r="H599" s="28"/>
      <c r="I599" s="29"/>
      <c r="J599" s="29"/>
      <c r="K599" s="29"/>
      <c r="L599" s="22">
        <f t="shared" si="9"/>
        <v>0</v>
      </c>
      <c r="M599" s="29"/>
      <c r="N599" s="29"/>
      <c r="O599" s="30"/>
      <c r="P599" s="26"/>
      <c r="Q599" s="32"/>
    </row>
    <row r="600" ht="25.5" customHeight="1">
      <c r="A600" s="33"/>
      <c r="B600" s="16"/>
      <c r="C600" s="17"/>
      <c r="D600" s="34" t="str">
        <f>vlookup($C600,CSDL!$A:$E,2,0)</f>
        <v>#N/A</v>
      </c>
      <c r="E600" s="19" t="str">
        <f>vlookup($C600,CSDL!$A:$E,3,0)</f>
        <v>#N/A</v>
      </c>
      <c r="F600" s="19" t="str">
        <f>vlookup($C600,CSDL!$A:$E,4,0)</f>
        <v>#N/A</v>
      </c>
      <c r="G600" s="20" t="str">
        <f>vlookup($C600,CSDL!$A:$E,5,0)</f>
        <v>#N/A</v>
      </c>
      <c r="H600" s="16"/>
      <c r="I600" s="23"/>
      <c r="J600" s="23"/>
      <c r="K600" s="23"/>
      <c r="L600" s="22">
        <f t="shared" si="9"/>
        <v>0</v>
      </c>
      <c r="M600" s="23"/>
      <c r="N600" s="23"/>
      <c r="O600" s="24"/>
      <c r="P600" s="33"/>
      <c r="Q600" s="25"/>
    </row>
    <row r="601" ht="25.5" customHeight="1">
      <c r="A601" s="26"/>
      <c r="B601" s="28"/>
      <c r="C601" s="17"/>
      <c r="D601" s="34" t="str">
        <f>vlookup($C601,CSDL!$A:$E,2,0)</f>
        <v>#N/A</v>
      </c>
      <c r="E601" s="19" t="str">
        <f>vlookup($C601,CSDL!$A:$E,3,0)</f>
        <v>#N/A</v>
      </c>
      <c r="F601" s="19" t="str">
        <f>vlookup($C601,CSDL!$A:$E,4,0)</f>
        <v>#N/A</v>
      </c>
      <c r="G601" s="27" t="str">
        <f>vlookup($C601,CSDL!$A:$E,5,0)</f>
        <v>#N/A</v>
      </c>
      <c r="H601" s="28"/>
      <c r="I601" s="29"/>
      <c r="J601" s="29"/>
      <c r="K601" s="29"/>
      <c r="L601" s="22">
        <f t="shared" si="9"/>
        <v>0</v>
      </c>
      <c r="M601" s="29"/>
      <c r="N601" s="29"/>
      <c r="O601" s="30"/>
      <c r="P601" s="31"/>
      <c r="Q601" s="32"/>
    </row>
    <row r="602" ht="25.5" customHeight="1">
      <c r="A602" s="33"/>
      <c r="B602" s="16"/>
      <c r="C602" s="17"/>
      <c r="D602" s="34" t="str">
        <f>vlookup($C602,CSDL!$A:$E,2,0)</f>
        <v>#N/A</v>
      </c>
      <c r="E602" s="19" t="str">
        <f>vlookup($C602,CSDL!$A:$E,3,0)</f>
        <v>#N/A</v>
      </c>
      <c r="F602" s="19" t="str">
        <f>vlookup($C602,CSDL!$A:$E,4,0)</f>
        <v>#N/A</v>
      </c>
      <c r="G602" s="20" t="str">
        <f>vlookup($C602,CSDL!$A:$E,5,0)</f>
        <v>#N/A</v>
      </c>
      <c r="H602" s="16"/>
      <c r="I602" s="23"/>
      <c r="J602" s="23"/>
      <c r="K602" s="23"/>
      <c r="L602" s="22">
        <f t="shared" si="9"/>
        <v>0</v>
      </c>
      <c r="M602" s="23"/>
      <c r="N602" s="23"/>
      <c r="O602" s="24"/>
      <c r="P602" s="33"/>
      <c r="Q602" s="25"/>
    </row>
    <row r="603" ht="25.5" customHeight="1">
      <c r="A603" s="26"/>
      <c r="B603" s="28"/>
      <c r="C603" s="17"/>
      <c r="D603" s="34" t="str">
        <f>vlookup($C603,CSDL!$A:$E,2,0)</f>
        <v>#N/A</v>
      </c>
      <c r="E603" s="19" t="str">
        <f>vlookup($C603,CSDL!$A:$E,3,0)</f>
        <v>#N/A</v>
      </c>
      <c r="F603" s="19" t="str">
        <f>vlookup($C603,CSDL!$A:$E,4,0)</f>
        <v>#N/A</v>
      </c>
      <c r="G603" s="27" t="str">
        <f>vlookup($C603,CSDL!$A:$E,5,0)</f>
        <v>#N/A</v>
      </c>
      <c r="H603" s="28"/>
      <c r="I603" s="29"/>
      <c r="J603" s="29"/>
      <c r="K603" s="29"/>
      <c r="L603" s="22">
        <f t="shared" si="9"/>
        <v>0</v>
      </c>
      <c r="M603" s="29"/>
      <c r="N603" s="29"/>
      <c r="O603" s="30"/>
      <c r="P603" s="26"/>
      <c r="Q603" s="32"/>
    </row>
    <row r="604" ht="25.5" customHeight="1">
      <c r="A604" s="33"/>
      <c r="B604" s="16"/>
      <c r="C604" s="17"/>
      <c r="D604" s="34" t="str">
        <f>vlookup($C604,CSDL!$A:$E,2,0)</f>
        <v>#N/A</v>
      </c>
      <c r="E604" s="19" t="str">
        <f>vlookup($C604,CSDL!$A:$E,3,0)</f>
        <v>#N/A</v>
      </c>
      <c r="F604" s="19" t="str">
        <f>vlookup($C604,CSDL!$A:$E,4,0)</f>
        <v>#N/A</v>
      </c>
      <c r="G604" s="20" t="str">
        <f>vlookup($C604,CSDL!$A:$E,5,0)</f>
        <v>#N/A</v>
      </c>
      <c r="H604" s="16"/>
      <c r="I604" s="23"/>
      <c r="J604" s="23"/>
      <c r="K604" s="23"/>
      <c r="L604" s="22">
        <f t="shared" si="9"/>
        <v>0</v>
      </c>
      <c r="M604" s="23"/>
      <c r="N604" s="23"/>
      <c r="O604" s="24"/>
      <c r="P604" s="15"/>
      <c r="Q604" s="25"/>
    </row>
    <row r="605" ht="25.5" customHeight="1">
      <c r="A605" s="26"/>
      <c r="B605" s="28"/>
      <c r="C605" s="17"/>
      <c r="D605" s="34" t="str">
        <f>vlookup($C605,CSDL!$A:$E,2,0)</f>
        <v>#N/A</v>
      </c>
      <c r="E605" s="19" t="str">
        <f>vlookup($C605,CSDL!$A:$E,3,0)</f>
        <v>#N/A</v>
      </c>
      <c r="F605" s="19" t="str">
        <f>vlookup($C605,CSDL!$A:$E,4,0)</f>
        <v>#N/A</v>
      </c>
      <c r="G605" s="27" t="str">
        <f>vlookup($C605,CSDL!$A:$E,5,0)</f>
        <v>#N/A</v>
      </c>
      <c r="H605" s="28"/>
      <c r="I605" s="29"/>
      <c r="J605" s="29"/>
      <c r="K605" s="29"/>
      <c r="L605" s="22">
        <f t="shared" si="9"/>
        <v>0</v>
      </c>
      <c r="M605" s="29"/>
      <c r="N605" s="29"/>
      <c r="O605" s="30"/>
      <c r="P605" s="26"/>
      <c r="Q605" s="32"/>
    </row>
    <row r="606" ht="25.5" customHeight="1">
      <c r="A606" s="33"/>
      <c r="B606" s="16"/>
      <c r="C606" s="17"/>
      <c r="D606" s="34" t="str">
        <f>vlookup($C606,CSDL!$A:$E,2,0)</f>
        <v>#N/A</v>
      </c>
      <c r="E606" s="19" t="str">
        <f>vlookup($C606,CSDL!$A:$E,3,0)</f>
        <v>#N/A</v>
      </c>
      <c r="F606" s="19" t="str">
        <f>vlookup($C606,CSDL!$A:$E,4,0)</f>
        <v>#N/A</v>
      </c>
      <c r="G606" s="20" t="str">
        <f>vlookup($C606,CSDL!$A:$E,5,0)</f>
        <v>#N/A</v>
      </c>
      <c r="H606" s="16"/>
      <c r="I606" s="23"/>
      <c r="J606" s="23"/>
      <c r="K606" s="23"/>
      <c r="L606" s="22">
        <f t="shared" si="9"/>
        <v>0</v>
      </c>
      <c r="M606" s="23"/>
      <c r="N606" s="23"/>
      <c r="O606" s="24"/>
      <c r="P606" s="33"/>
      <c r="Q606" s="25"/>
    </row>
    <row r="607" ht="25.5" customHeight="1">
      <c r="A607" s="26"/>
      <c r="B607" s="28"/>
      <c r="C607" s="17"/>
      <c r="D607" s="34" t="str">
        <f>vlookup($C607,CSDL!$A:$E,2,0)</f>
        <v>#N/A</v>
      </c>
      <c r="E607" s="19" t="str">
        <f>vlookup($C607,CSDL!$A:$E,3,0)</f>
        <v>#N/A</v>
      </c>
      <c r="F607" s="19" t="str">
        <f>vlookup($C607,CSDL!$A:$E,4,0)</f>
        <v>#N/A</v>
      </c>
      <c r="G607" s="27" t="str">
        <f>vlookup($C607,CSDL!$A:$E,5,0)</f>
        <v>#N/A</v>
      </c>
      <c r="H607" s="28"/>
      <c r="I607" s="29"/>
      <c r="J607" s="29"/>
      <c r="K607" s="29"/>
      <c r="L607" s="22">
        <f t="shared" si="9"/>
        <v>0</v>
      </c>
      <c r="M607" s="29"/>
      <c r="N607" s="29"/>
      <c r="O607" s="30"/>
      <c r="P607" s="26"/>
      <c r="Q607" s="32"/>
    </row>
    <row r="608" ht="25.5" customHeight="1">
      <c r="A608" s="33"/>
      <c r="B608" s="16"/>
      <c r="C608" s="17"/>
      <c r="D608" s="34" t="str">
        <f>vlookup($C608,CSDL!$A:$E,2,0)</f>
        <v>#N/A</v>
      </c>
      <c r="E608" s="19" t="str">
        <f>vlookup($C608,CSDL!$A:$E,3,0)</f>
        <v>#N/A</v>
      </c>
      <c r="F608" s="19" t="str">
        <f>vlookup($C608,CSDL!$A:$E,4,0)</f>
        <v>#N/A</v>
      </c>
      <c r="G608" s="20" t="str">
        <f>vlookup($C608,CSDL!$A:$E,5,0)</f>
        <v>#N/A</v>
      </c>
      <c r="H608" s="16"/>
      <c r="I608" s="23"/>
      <c r="J608" s="23"/>
      <c r="K608" s="23"/>
      <c r="L608" s="22">
        <f t="shared" si="9"/>
        <v>0</v>
      </c>
      <c r="M608" s="23"/>
      <c r="N608" s="23"/>
      <c r="O608" s="24"/>
      <c r="P608" s="33"/>
      <c r="Q608" s="25"/>
    </row>
    <row r="609" ht="25.5" customHeight="1">
      <c r="A609" s="26"/>
      <c r="B609" s="28"/>
      <c r="C609" s="17"/>
      <c r="D609" s="34" t="str">
        <f>vlookup($C609,CSDL!$A:$E,2,0)</f>
        <v>#N/A</v>
      </c>
      <c r="E609" s="19" t="str">
        <f>vlookup($C609,CSDL!$A:$E,3,0)</f>
        <v>#N/A</v>
      </c>
      <c r="F609" s="19" t="str">
        <f>vlookup($C609,CSDL!$A:$E,4,0)</f>
        <v>#N/A</v>
      </c>
      <c r="G609" s="27" t="str">
        <f>vlookup($C609,CSDL!$A:$E,5,0)</f>
        <v>#N/A</v>
      </c>
      <c r="H609" s="28"/>
      <c r="I609" s="29"/>
      <c r="J609" s="29"/>
      <c r="K609" s="29"/>
      <c r="L609" s="22">
        <f t="shared" si="9"/>
        <v>0</v>
      </c>
      <c r="M609" s="29"/>
      <c r="N609" s="29"/>
      <c r="O609" s="30"/>
      <c r="P609" s="26"/>
      <c r="Q609" s="32"/>
    </row>
    <row r="610" ht="25.5" customHeight="1">
      <c r="A610" s="33"/>
      <c r="B610" s="16"/>
      <c r="C610" s="17"/>
      <c r="D610" s="34" t="str">
        <f>vlookup($C610,CSDL!$A:$E,2,0)</f>
        <v>#N/A</v>
      </c>
      <c r="E610" s="19" t="str">
        <f>vlookup($C610,CSDL!$A:$E,3,0)</f>
        <v>#N/A</v>
      </c>
      <c r="F610" s="19" t="str">
        <f>vlookup($C610,CSDL!$A:$E,4,0)</f>
        <v>#N/A</v>
      </c>
      <c r="G610" s="20" t="str">
        <f>vlookup($C610,CSDL!$A:$E,5,0)</f>
        <v>#N/A</v>
      </c>
      <c r="H610" s="16"/>
      <c r="I610" s="23"/>
      <c r="J610" s="23"/>
      <c r="K610" s="23"/>
      <c r="L610" s="22">
        <f t="shared" si="9"/>
        <v>0</v>
      </c>
      <c r="M610" s="23"/>
      <c r="N610" s="23"/>
      <c r="O610" s="24"/>
      <c r="P610" s="33"/>
      <c r="Q610" s="25"/>
    </row>
    <row r="611" ht="25.5" customHeight="1">
      <c r="A611" s="26"/>
      <c r="B611" s="28"/>
      <c r="C611" s="17"/>
      <c r="D611" s="34" t="str">
        <f>vlookup($C611,CSDL!$A:$E,2,0)</f>
        <v>#N/A</v>
      </c>
      <c r="E611" s="19" t="str">
        <f>vlookup($C611,CSDL!$A:$E,3,0)</f>
        <v>#N/A</v>
      </c>
      <c r="F611" s="19" t="str">
        <f>vlookup($C611,CSDL!$A:$E,4,0)</f>
        <v>#N/A</v>
      </c>
      <c r="G611" s="27" t="str">
        <f>vlookup($C611,CSDL!$A:$E,5,0)</f>
        <v>#N/A</v>
      </c>
      <c r="H611" s="28"/>
      <c r="I611" s="29"/>
      <c r="J611" s="29"/>
      <c r="K611" s="29"/>
      <c r="L611" s="22">
        <f t="shared" si="9"/>
        <v>0</v>
      </c>
      <c r="M611" s="29"/>
      <c r="N611" s="29"/>
      <c r="O611" s="30"/>
      <c r="P611" s="26"/>
      <c r="Q611" s="32"/>
    </row>
    <row r="612" ht="25.5" customHeight="1">
      <c r="A612" s="33"/>
      <c r="B612" s="16"/>
      <c r="C612" s="17"/>
      <c r="D612" s="34" t="str">
        <f>vlookup($C612,CSDL!$A:$E,2,0)</f>
        <v>#N/A</v>
      </c>
      <c r="E612" s="19" t="str">
        <f>vlookup($C612,CSDL!$A:$E,3,0)</f>
        <v>#N/A</v>
      </c>
      <c r="F612" s="19" t="str">
        <f>vlookup($C612,CSDL!$A:$E,4,0)</f>
        <v>#N/A</v>
      </c>
      <c r="G612" s="20" t="str">
        <f>vlookup($C612,CSDL!$A:$E,5,0)</f>
        <v>#N/A</v>
      </c>
      <c r="H612" s="16"/>
      <c r="I612" s="23"/>
      <c r="J612" s="23"/>
      <c r="K612" s="23"/>
      <c r="L612" s="22">
        <f t="shared" si="9"/>
        <v>0</v>
      </c>
      <c r="M612" s="23"/>
      <c r="N612" s="23"/>
      <c r="O612" s="24"/>
      <c r="P612" s="33"/>
      <c r="Q612" s="25"/>
    </row>
    <row r="613" ht="25.5" customHeight="1">
      <c r="A613" s="26"/>
      <c r="B613" s="28"/>
      <c r="C613" s="17"/>
      <c r="D613" s="34" t="str">
        <f>vlookup($C613,CSDL!$A:$E,2,0)</f>
        <v>#N/A</v>
      </c>
      <c r="E613" s="19" t="str">
        <f>vlookup($C613,CSDL!$A:$E,3,0)</f>
        <v>#N/A</v>
      </c>
      <c r="F613" s="19" t="str">
        <f>vlookup($C613,CSDL!$A:$E,4,0)</f>
        <v>#N/A</v>
      </c>
      <c r="G613" s="27" t="str">
        <f>vlookup($C613,CSDL!$A:$E,5,0)</f>
        <v>#N/A</v>
      </c>
      <c r="H613" s="28"/>
      <c r="I613" s="29"/>
      <c r="J613" s="29"/>
      <c r="K613" s="29"/>
      <c r="L613" s="22">
        <f t="shared" si="9"/>
        <v>0</v>
      </c>
      <c r="M613" s="29"/>
      <c r="N613" s="29"/>
      <c r="O613" s="30"/>
      <c r="P613" s="26"/>
      <c r="Q613" s="32"/>
    </row>
    <row r="614" ht="25.5" customHeight="1">
      <c r="A614" s="33"/>
      <c r="B614" s="16"/>
      <c r="C614" s="17"/>
      <c r="D614" s="34" t="str">
        <f>vlookup($C614,CSDL!$A:$E,2,0)</f>
        <v>#N/A</v>
      </c>
      <c r="E614" s="19" t="str">
        <f>vlookup($C614,CSDL!$A:$E,3,0)</f>
        <v>#N/A</v>
      </c>
      <c r="F614" s="19" t="str">
        <f>vlookup($C614,CSDL!$A:$E,4,0)</f>
        <v>#N/A</v>
      </c>
      <c r="G614" s="20" t="str">
        <f>vlookup($C614,CSDL!$A:$E,5,0)</f>
        <v>#N/A</v>
      </c>
      <c r="H614" s="16"/>
      <c r="I614" s="23"/>
      <c r="J614" s="23"/>
      <c r="K614" s="23"/>
      <c r="L614" s="22">
        <f t="shared" si="9"/>
        <v>0</v>
      </c>
      <c r="M614" s="23"/>
      <c r="N614" s="23"/>
      <c r="O614" s="24"/>
      <c r="P614" s="33"/>
      <c r="Q614" s="25"/>
    </row>
    <row r="615" ht="25.5" customHeight="1">
      <c r="A615" s="26"/>
      <c r="B615" s="28"/>
      <c r="C615" s="17"/>
      <c r="D615" s="34" t="str">
        <f>vlookup($C615,CSDL!$A:$E,2,0)</f>
        <v>#N/A</v>
      </c>
      <c r="E615" s="19" t="str">
        <f>vlookup($C615,CSDL!$A:$E,3,0)</f>
        <v>#N/A</v>
      </c>
      <c r="F615" s="19" t="str">
        <f>vlookup($C615,CSDL!$A:$E,4,0)</f>
        <v>#N/A</v>
      </c>
      <c r="G615" s="27" t="str">
        <f>vlookup($C615,CSDL!$A:$E,5,0)</f>
        <v>#N/A</v>
      </c>
      <c r="H615" s="28"/>
      <c r="I615" s="29"/>
      <c r="J615" s="29"/>
      <c r="K615" s="29"/>
      <c r="L615" s="22">
        <f t="shared" si="9"/>
        <v>0</v>
      </c>
      <c r="M615" s="29"/>
      <c r="N615" s="29"/>
      <c r="O615" s="30"/>
      <c r="P615" s="26"/>
      <c r="Q615" s="32"/>
    </row>
    <row r="616" ht="25.5" customHeight="1">
      <c r="A616" s="33"/>
      <c r="B616" s="16"/>
      <c r="C616" s="17"/>
      <c r="D616" s="34" t="str">
        <f>vlookup($C616,CSDL!$A:$E,2,0)</f>
        <v>#N/A</v>
      </c>
      <c r="E616" s="19" t="str">
        <f>vlookup($C616,CSDL!$A:$E,3,0)</f>
        <v>#N/A</v>
      </c>
      <c r="F616" s="19" t="str">
        <f>vlookup($C616,CSDL!$A:$E,4,0)</f>
        <v>#N/A</v>
      </c>
      <c r="G616" s="20" t="str">
        <f>vlookup($C616,CSDL!$A:$E,5,0)</f>
        <v>#N/A</v>
      </c>
      <c r="H616" s="16"/>
      <c r="I616" s="23"/>
      <c r="J616" s="23"/>
      <c r="K616" s="23"/>
      <c r="L616" s="22">
        <f t="shared" si="9"/>
        <v>0</v>
      </c>
      <c r="M616" s="23"/>
      <c r="N616" s="23"/>
      <c r="O616" s="24"/>
      <c r="P616" s="73"/>
      <c r="Q616" s="74"/>
    </row>
    <row r="617" ht="25.5" customHeight="1">
      <c r="A617" s="26"/>
      <c r="B617" s="28"/>
      <c r="C617" s="17"/>
      <c r="D617" s="34" t="str">
        <f>vlookup($C617,CSDL!$A:$E,2,0)</f>
        <v>#N/A</v>
      </c>
      <c r="E617" s="19" t="str">
        <f>vlookup($C617,CSDL!$A:$E,3,0)</f>
        <v>#N/A</v>
      </c>
      <c r="F617" s="19" t="str">
        <f>vlookup($C617,CSDL!$A:$E,4,0)</f>
        <v>#N/A</v>
      </c>
      <c r="G617" s="27" t="str">
        <f>vlookup($C617,CSDL!$A:$E,5,0)</f>
        <v>#N/A</v>
      </c>
      <c r="H617" s="28"/>
      <c r="I617" s="29"/>
      <c r="J617" s="29"/>
      <c r="K617" s="29"/>
      <c r="L617" s="22">
        <f t="shared" si="9"/>
        <v>0</v>
      </c>
      <c r="M617" s="29"/>
      <c r="N617" s="29"/>
      <c r="O617" s="30"/>
      <c r="P617" s="26"/>
      <c r="Q617" s="40"/>
    </row>
    <row r="618" ht="25.5" customHeight="1">
      <c r="A618" s="33"/>
      <c r="B618" s="16"/>
      <c r="C618" s="17"/>
      <c r="D618" s="34" t="str">
        <f>vlookup($C618,CSDL!$A:$E,2,0)</f>
        <v>#N/A</v>
      </c>
      <c r="E618" s="19" t="str">
        <f>vlookup($C618,CSDL!$A:$E,3,0)</f>
        <v>#N/A</v>
      </c>
      <c r="F618" s="19" t="str">
        <f>vlookup($C618,CSDL!$A:$E,4,0)</f>
        <v>#N/A</v>
      </c>
      <c r="G618" s="20" t="str">
        <f>vlookup($C618,CSDL!$A:$E,5,0)</f>
        <v>#N/A</v>
      </c>
      <c r="H618" s="16"/>
      <c r="I618" s="23"/>
      <c r="J618" s="23"/>
      <c r="K618" s="23"/>
      <c r="L618" s="22">
        <f t="shared" si="9"/>
        <v>0</v>
      </c>
      <c r="M618" s="23"/>
      <c r="N618" s="23"/>
      <c r="O618" s="24"/>
      <c r="P618" s="33"/>
      <c r="Q618" s="25"/>
    </row>
    <row r="619" ht="25.5" customHeight="1">
      <c r="A619" s="26"/>
      <c r="B619" s="28"/>
      <c r="C619" s="17"/>
      <c r="D619" s="34" t="str">
        <f>vlookup($C619,CSDL!$A:$E,2,0)</f>
        <v>#N/A</v>
      </c>
      <c r="E619" s="19" t="str">
        <f>vlookup($C619,CSDL!$A:$E,3,0)</f>
        <v>#N/A</v>
      </c>
      <c r="F619" s="19" t="str">
        <f>vlookup($C619,CSDL!$A:$E,4,0)</f>
        <v>#N/A</v>
      </c>
      <c r="G619" s="27" t="str">
        <f>vlookup($C619,CSDL!$A:$E,5,0)</f>
        <v>#N/A</v>
      </c>
      <c r="H619" s="28"/>
      <c r="I619" s="29"/>
      <c r="J619" s="29"/>
      <c r="K619" s="29"/>
      <c r="L619" s="22">
        <f t="shared" si="9"/>
        <v>0</v>
      </c>
      <c r="M619" s="29"/>
      <c r="N619" s="29"/>
      <c r="O619" s="30"/>
      <c r="P619" s="31"/>
      <c r="Q619" s="32"/>
    </row>
    <row r="620" ht="25.5" customHeight="1">
      <c r="A620" s="33"/>
      <c r="B620" s="16"/>
      <c r="C620" s="17"/>
      <c r="D620" s="34" t="str">
        <f>vlookup($C620,CSDL!$A:$E,2,0)</f>
        <v>#N/A</v>
      </c>
      <c r="E620" s="19" t="str">
        <f>vlookup($C620,CSDL!$A:$E,3,0)</f>
        <v>#N/A</v>
      </c>
      <c r="F620" s="19" t="str">
        <f>vlookup($C620,CSDL!$A:$E,4,0)</f>
        <v>#N/A</v>
      </c>
      <c r="G620" s="20" t="str">
        <f>vlookup($C620,CSDL!$A:$E,5,0)</f>
        <v>#N/A</v>
      </c>
      <c r="H620" s="16"/>
      <c r="I620" s="23"/>
      <c r="J620" s="23"/>
      <c r="K620" s="23"/>
      <c r="L620" s="22">
        <f t="shared" si="9"/>
        <v>0</v>
      </c>
      <c r="M620" s="23"/>
      <c r="N620" s="23"/>
      <c r="O620" s="24"/>
      <c r="P620" s="33"/>
      <c r="Q620" s="25"/>
    </row>
    <row r="621" ht="25.5" customHeight="1">
      <c r="A621" s="26"/>
      <c r="B621" s="28"/>
      <c r="C621" s="17"/>
      <c r="D621" s="34" t="str">
        <f>vlookup($C621,CSDL!$A:$E,2,0)</f>
        <v>#N/A</v>
      </c>
      <c r="E621" s="19" t="str">
        <f>vlookup($C621,CSDL!$A:$E,3,0)</f>
        <v>#N/A</v>
      </c>
      <c r="F621" s="19" t="str">
        <f>vlookup($C621,CSDL!$A:$E,4,0)</f>
        <v>#N/A</v>
      </c>
      <c r="G621" s="27" t="str">
        <f>vlookup($C621,CSDL!$A:$E,5,0)</f>
        <v>#N/A</v>
      </c>
      <c r="H621" s="28"/>
      <c r="I621" s="29"/>
      <c r="J621" s="29"/>
      <c r="K621" s="29"/>
      <c r="L621" s="22">
        <f t="shared" si="9"/>
        <v>0</v>
      </c>
      <c r="M621" s="29"/>
      <c r="N621" s="29"/>
      <c r="O621" s="30"/>
      <c r="P621" s="26"/>
      <c r="Q621" s="32"/>
    </row>
    <row r="622" ht="25.5" customHeight="1">
      <c r="A622" s="33"/>
      <c r="B622" s="16"/>
      <c r="C622" s="17"/>
      <c r="D622" s="34" t="str">
        <f>vlookup($C622,CSDL!$A:$E,2,0)</f>
        <v>#N/A</v>
      </c>
      <c r="E622" s="19" t="str">
        <f>vlookup($C622,CSDL!$A:$E,3,0)</f>
        <v>#N/A</v>
      </c>
      <c r="F622" s="19" t="str">
        <f>vlookup($C622,CSDL!$A:$E,4,0)</f>
        <v>#N/A</v>
      </c>
      <c r="G622" s="20" t="str">
        <f>vlookup($C622,CSDL!$A:$E,5,0)</f>
        <v>#N/A</v>
      </c>
      <c r="H622" s="16"/>
      <c r="I622" s="23"/>
      <c r="J622" s="23"/>
      <c r="K622" s="23"/>
      <c r="L622" s="22">
        <f t="shared" si="9"/>
        <v>0</v>
      </c>
      <c r="M622" s="23"/>
      <c r="N622" s="23"/>
      <c r="O622" s="24"/>
      <c r="P622" s="33"/>
      <c r="Q622" s="25"/>
    </row>
    <row r="623" ht="25.5" customHeight="1">
      <c r="A623" s="26"/>
      <c r="B623" s="28"/>
      <c r="C623" s="17"/>
      <c r="D623" s="34" t="str">
        <f>vlookup($C623,CSDL!$A:$E,2,0)</f>
        <v>#N/A</v>
      </c>
      <c r="E623" s="19" t="str">
        <f>vlookup($C623,CSDL!$A:$E,3,0)</f>
        <v>#N/A</v>
      </c>
      <c r="F623" s="19" t="str">
        <f>vlookup($C623,CSDL!$A:$E,4,0)</f>
        <v>#N/A</v>
      </c>
      <c r="G623" s="27" t="str">
        <f>vlookup($C623,CSDL!$A:$E,5,0)</f>
        <v>#N/A</v>
      </c>
      <c r="H623" s="28"/>
      <c r="I623" s="29"/>
      <c r="J623" s="29"/>
      <c r="K623" s="29"/>
      <c r="L623" s="22">
        <f t="shared" si="9"/>
        <v>0</v>
      </c>
      <c r="M623" s="29"/>
      <c r="N623" s="29"/>
      <c r="O623" s="30"/>
      <c r="P623" s="26"/>
      <c r="Q623" s="32"/>
    </row>
    <row r="624" ht="25.5" customHeight="1">
      <c r="A624" s="33"/>
      <c r="B624" s="16"/>
      <c r="C624" s="17"/>
      <c r="D624" s="34" t="str">
        <f>vlookup($C624,CSDL!$A:$E,2,0)</f>
        <v>#N/A</v>
      </c>
      <c r="E624" s="19" t="str">
        <f>vlookup($C624,CSDL!$A:$E,3,0)</f>
        <v>#N/A</v>
      </c>
      <c r="F624" s="19" t="str">
        <f>vlookup($C624,CSDL!$A:$E,4,0)</f>
        <v>#N/A</v>
      </c>
      <c r="G624" s="20" t="str">
        <f>vlookup($C624,CSDL!$A:$E,5,0)</f>
        <v>#N/A</v>
      </c>
      <c r="H624" s="16"/>
      <c r="I624" s="23"/>
      <c r="J624" s="23"/>
      <c r="K624" s="23"/>
      <c r="L624" s="22">
        <f t="shared" si="9"/>
        <v>0</v>
      </c>
      <c r="M624" s="23"/>
      <c r="N624" s="23"/>
      <c r="O624" s="24"/>
      <c r="P624" s="33"/>
      <c r="Q624" s="25"/>
    </row>
    <row r="625" ht="25.5" customHeight="1">
      <c r="A625" s="26"/>
      <c r="B625" s="28"/>
      <c r="C625" s="17"/>
      <c r="D625" s="34" t="str">
        <f>vlookup($C625,CSDL!$A:$E,2,0)</f>
        <v>#N/A</v>
      </c>
      <c r="E625" s="19" t="str">
        <f>vlookup($C625,CSDL!$A:$E,3,0)</f>
        <v>#N/A</v>
      </c>
      <c r="F625" s="19" t="str">
        <f>vlookup($C625,CSDL!$A:$E,4,0)</f>
        <v>#N/A</v>
      </c>
      <c r="G625" s="27" t="str">
        <f>vlookup($C625,CSDL!$A:$E,5,0)</f>
        <v>#N/A</v>
      </c>
      <c r="H625" s="28"/>
      <c r="I625" s="29"/>
      <c r="J625" s="29"/>
      <c r="K625" s="29"/>
      <c r="L625" s="22">
        <f t="shared" si="9"/>
        <v>0</v>
      </c>
      <c r="M625" s="29"/>
      <c r="N625" s="29"/>
      <c r="O625" s="30"/>
      <c r="P625" s="26"/>
      <c r="Q625" s="32"/>
    </row>
    <row r="626" ht="25.5" customHeight="1">
      <c r="A626" s="33"/>
      <c r="B626" s="16"/>
      <c r="C626" s="17"/>
      <c r="D626" s="34" t="str">
        <f>vlookup($C626,CSDL!$A:$E,2,0)</f>
        <v>#N/A</v>
      </c>
      <c r="E626" s="19" t="str">
        <f>vlookup($C626,CSDL!$A:$E,3,0)</f>
        <v>#N/A</v>
      </c>
      <c r="F626" s="19" t="str">
        <f>vlookup($C626,CSDL!$A:$E,4,0)</f>
        <v>#N/A</v>
      </c>
      <c r="G626" s="20" t="str">
        <f>vlookup($C626,CSDL!$A:$E,5,0)</f>
        <v>#N/A</v>
      </c>
      <c r="H626" s="16"/>
      <c r="I626" s="23"/>
      <c r="J626" s="23"/>
      <c r="K626" s="23"/>
      <c r="L626" s="22">
        <f t="shared" si="9"/>
        <v>0</v>
      </c>
      <c r="M626" s="23"/>
      <c r="N626" s="23"/>
      <c r="O626" s="24"/>
      <c r="P626" s="33"/>
      <c r="Q626" s="25"/>
    </row>
    <row r="627" ht="25.5" customHeight="1">
      <c r="A627" s="26"/>
      <c r="B627" s="28"/>
      <c r="C627" s="17"/>
      <c r="D627" s="34" t="str">
        <f>vlookup($C627,CSDL!$A:$E,2,0)</f>
        <v>#N/A</v>
      </c>
      <c r="E627" s="19" t="str">
        <f>vlookup($C627,CSDL!$A:$E,3,0)</f>
        <v>#N/A</v>
      </c>
      <c r="F627" s="19" t="str">
        <f>vlookup($C627,CSDL!$A:$E,4,0)</f>
        <v>#N/A</v>
      </c>
      <c r="G627" s="27" t="str">
        <f>vlookup($C627,CSDL!$A:$E,5,0)</f>
        <v>#N/A</v>
      </c>
      <c r="H627" s="28"/>
      <c r="I627" s="29"/>
      <c r="J627" s="29"/>
      <c r="K627" s="29"/>
      <c r="L627" s="22">
        <f t="shared" si="9"/>
        <v>0</v>
      </c>
      <c r="M627" s="29"/>
      <c r="N627" s="29"/>
      <c r="O627" s="30"/>
      <c r="P627" s="26"/>
      <c r="Q627" s="32"/>
    </row>
    <row r="628" ht="25.5" customHeight="1">
      <c r="A628" s="33"/>
      <c r="B628" s="16"/>
      <c r="C628" s="17"/>
      <c r="D628" s="34" t="str">
        <f>vlookup($C628,CSDL!$A:$E,2,0)</f>
        <v>#N/A</v>
      </c>
      <c r="E628" s="19" t="str">
        <f>vlookup($C628,CSDL!$A:$E,3,0)</f>
        <v>#N/A</v>
      </c>
      <c r="F628" s="19" t="str">
        <f>vlookup($C628,CSDL!$A:$E,4,0)</f>
        <v>#N/A</v>
      </c>
      <c r="G628" s="20" t="str">
        <f>vlookup($C628,CSDL!$A:$E,5,0)</f>
        <v>#N/A</v>
      </c>
      <c r="H628" s="16"/>
      <c r="I628" s="23"/>
      <c r="J628" s="23"/>
      <c r="K628" s="23"/>
      <c r="L628" s="22">
        <f t="shared" si="9"/>
        <v>0</v>
      </c>
      <c r="M628" s="23"/>
      <c r="N628" s="23"/>
      <c r="O628" s="24"/>
      <c r="P628" s="33"/>
      <c r="Q628" s="43"/>
    </row>
    <row r="629" ht="25.5" customHeight="1">
      <c r="A629" s="26"/>
      <c r="B629" s="28"/>
      <c r="C629" s="17"/>
      <c r="D629" s="34" t="str">
        <f>vlookup($C629,CSDL!$A:$E,2,0)</f>
        <v>#N/A</v>
      </c>
      <c r="E629" s="19" t="str">
        <f>vlookup($C629,CSDL!$A:$E,3,0)</f>
        <v>#N/A</v>
      </c>
      <c r="F629" s="19" t="str">
        <f>vlookup($C629,CSDL!$A:$E,4,0)</f>
        <v>#N/A</v>
      </c>
      <c r="G629" s="27" t="str">
        <f>vlookup($C629,CSDL!$A:$E,5,0)</f>
        <v>#N/A</v>
      </c>
      <c r="H629" s="28"/>
      <c r="I629" s="29"/>
      <c r="J629" s="29"/>
      <c r="K629" s="29"/>
      <c r="L629" s="22">
        <f t="shared" si="9"/>
        <v>0</v>
      </c>
      <c r="M629" s="29"/>
      <c r="N629" s="29"/>
      <c r="O629" s="30"/>
      <c r="P629" s="26"/>
      <c r="Q629" s="40"/>
    </row>
    <row r="630" ht="25.5" customHeight="1">
      <c r="A630" s="33"/>
      <c r="B630" s="16"/>
      <c r="C630" s="17"/>
      <c r="D630" s="34" t="str">
        <f>vlookup($C630,CSDL!$A:$E,2,0)</f>
        <v>#N/A</v>
      </c>
      <c r="E630" s="19" t="str">
        <f>vlookup($C630,CSDL!$A:$E,3,0)</f>
        <v>#N/A</v>
      </c>
      <c r="F630" s="19" t="str">
        <f>vlookup($C630,CSDL!$A:$E,4,0)</f>
        <v>#N/A</v>
      </c>
      <c r="G630" s="20" t="str">
        <f>vlookup($C630,CSDL!$A:$E,5,0)</f>
        <v>#N/A</v>
      </c>
      <c r="H630" s="16"/>
      <c r="I630" s="23"/>
      <c r="J630" s="23"/>
      <c r="K630" s="23"/>
      <c r="L630" s="22">
        <f t="shared" si="9"/>
        <v>0</v>
      </c>
      <c r="M630" s="23"/>
      <c r="N630" s="23"/>
      <c r="O630" s="24"/>
      <c r="P630" s="33"/>
      <c r="Q630" s="25"/>
    </row>
    <row r="631" ht="25.5" customHeight="1">
      <c r="A631" s="26"/>
      <c r="B631" s="28"/>
      <c r="C631" s="17"/>
      <c r="D631" s="34" t="str">
        <f>vlookup($C631,CSDL!$A:$E,2,0)</f>
        <v>#N/A</v>
      </c>
      <c r="E631" s="19" t="str">
        <f>vlookup($C631,CSDL!$A:$E,3,0)</f>
        <v>#N/A</v>
      </c>
      <c r="F631" s="19" t="str">
        <f>vlookup($C631,CSDL!$A:$E,4,0)</f>
        <v>#N/A</v>
      </c>
      <c r="G631" s="27" t="str">
        <f>vlookup($C631,CSDL!$A:$E,5,0)</f>
        <v>#N/A</v>
      </c>
      <c r="H631" s="28"/>
      <c r="I631" s="29"/>
      <c r="J631" s="29"/>
      <c r="K631" s="29"/>
      <c r="L631" s="22">
        <f t="shared" si="9"/>
        <v>0</v>
      </c>
      <c r="M631" s="29"/>
      <c r="N631" s="29"/>
      <c r="O631" s="30"/>
      <c r="P631" s="26"/>
      <c r="Q631" s="32"/>
    </row>
    <row r="632" ht="25.5" customHeight="1">
      <c r="A632" s="33"/>
      <c r="B632" s="16"/>
      <c r="C632" s="17"/>
      <c r="D632" s="34" t="str">
        <f>vlookup($C632,CSDL!$A:$E,2,0)</f>
        <v>#N/A</v>
      </c>
      <c r="E632" s="19" t="str">
        <f>vlookup($C632,CSDL!$A:$E,3,0)</f>
        <v>#N/A</v>
      </c>
      <c r="F632" s="19" t="str">
        <f>vlookup($C632,CSDL!$A:$E,4,0)</f>
        <v>#N/A</v>
      </c>
      <c r="G632" s="20" t="str">
        <f>vlookup($C632,CSDL!$A:$E,5,0)</f>
        <v>#N/A</v>
      </c>
      <c r="H632" s="16"/>
      <c r="I632" s="23"/>
      <c r="J632" s="23"/>
      <c r="K632" s="23"/>
      <c r="L632" s="22">
        <f t="shared" si="9"/>
        <v>0</v>
      </c>
      <c r="M632" s="23"/>
      <c r="N632" s="23"/>
      <c r="O632" s="24"/>
      <c r="P632" s="33"/>
      <c r="Q632" s="25"/>
    </row>
    <row r="633" ht="25.5" customHeight="1">
      <c r="A633" s="26"/>
      <c r="B633" s="28"/>
      <c r="C633" s="17"/>
      <c r="D633" s="34" t="str">
        <f>vlookup($C633,CSDL!$A:$E,2,0)</f>
        <v>#N/A</v>
      </c>
      <c r="E633" s="19" t="str">
        <f>vlookup($C633,CSDL!$A:$E,3,0)</f>
        <v>#N/A</v>
      </c>
      <c r="F633" s="19" t="str">
        <f>vlookup($C633,CSDL!$A:$E,4,0)</f>
        <v>#N/A</v>
      </c>
      <c r="G633" s="27" t="str">
        <f>vlookup($C633,CSDL!$A:$E,5,0)</f>
        <v>#N/A</v>
      </c>
      <c r="H633" s="28"/>
      <c r="I633" s="29"/>
      <c r="J633" s="29"/>
      <c r="K633" s="29"/>
      <c r="L633" s="22">
        <f t="shared" si="9"/>
        <v>0</v>
      </c>
      <c r="M633" s="29"/>
      <c r="N633" s="29"/>
      <c r="O633" s="30"/>
      <c r="P633" s="26"/>
      <c r="Q633" s="32"/>
    </row>
    <row r="634" ht="25.5" customHeight="1">
      <c r="A634" s="33"/>
      <c r="B634" s="16"/>
      <c r="C634" s="17"/>
      <c r="D634" s="34" t="str">
        <f>vlookup($C634,CSDL!$A:$E,2,0)</f>
        <v>#N/A</v>
      </c>
      <c r="E634" s="19" t="str">
        <f>vlookup($C634,CSDL!$A:$E,3,0)</f>
        <v>#N/A</v>
      </c>
      <c r="F634" s="19" t="str">
        <f>vlookup($C634,CSDL!$A:$E,4,0)</f>
        <v>#N/A</v>
      </c>
      <c r="G634" s="20" t="str">
        <f>vlookup($C634,CSDL!$A:$E,5,0)</f>
        <v>#N/A</v>
      </c>
      <c r="H634" s="16"/>
      <c r="I634" s="23"/>
      <c r="J634" s="23"/>
      <c r="K634" s="23"/>
      <c r="L634" s="22">
        <f t="shared" si="9"/>
        <v>0</v>
      </c>
      <c r="M634" s="23"/>
      <c r="N634" s="23"/>
      <c r="O634" s="24"/>
      <c r="P634" s="33"/>
      <c r="Q634" s="25"/>
    </row>
    <row r="635" ht="25.5" customHeight="1">
      <c r="A635" s="26"/>
      <c r="B635" s="28"/>
      <c r="C635" s="17"/>
      <c r="D635" s="34" t="str">
        <f>vlookup($C635,CSDL!$A:$E,2,0)</f>
        <v>#N/A</v>
      </c>
      <c r="E635" s="19" t="str">
        <f>vlookup($C635,CSDL!$A:$E,3,0)</f>
        <v>#N/A</v>
      </c>
      <c r="F635" s="19" t="str">
        <f>vlookup($C635,CSDL!$A:$E,4,0)</f>
        <v>#N/A</v>
      </c>
      <c r="G635" s="27" t="str">
        <f>vlookup($C635,CSDL!$A:$E,5,0)</f>
        <v>#N/A</v>
      </c>
      <c r="H635" s="28"/>
      <c r="I635" s="29"/>
      <c r="J635" s="29"/>
      <c r="K635" s="29"/>
      <c r="L635" s="22">
        <f t="shared" si="9"/>
        <v>0</v>
      </c>
      <c r="M635" s="29"/>
      <c r="N635" s="29"/>
      <c r="O635" s="30"/>
      <c r="P635" s="26"/>
      <c r="Q635" s="32"/>
    </row>
    <row r="636" ht="25.5" customHeight="1">
      <c r="A636" s="33"/>
      <c r="B636" s="16"/>
      <c r="C636" s="17"/>
      <c r="D636" s="34" t="str">
        <f>vlookup($C636,CSDL!$A:$E,2,0)</f>
        <v>#N/A</v>
      </c>
      <c r="E636" s="19" t="str">
        <f>vlookup($C636,CSDL!$A:$E,3,0)</f>
        <v>#N/A</v>
      </c>
      <c r="F636" s="19" t="str">
        <f>vlookup($C636,CSDL!$A:$E,4,0)</f>
        <v>#N/A</v>
      </c>
      <c r="G636" s="20" t="str">
        <f>vlookup($C636,CSDL!$A:$E,5,0)</f>
        <v>#N/A</v>
      </c>
      <c r="H636" s="16"/>
      <c r="I636" s="23"/>
      <c r="J636" s="23"/>
      <c r="K636" s="23"/>
      <c r="L636" s="22">
        <f t="shared" si="9"/>
        <v>0</v>
      </c>
      <c r="M636" s="23"/>
      <c r="N636" s="23"/>
      <c r="O636" s="24"/>
      <c r="P636" s="33"/>
      <c r="Q636" s="25"/>
    </row>
    <row r="637" ht="25.5" customHeight="1">
      <c r="A637" s="26"/>
      <c r="B637" s="28"/>
      <c r="C637" s="17"/>
      <c r="D637" s="34" t="str">
        <f>vlookup($C637,CSDL!$A:$E,2,0)</f>
        <v>#N/A</v>
      </c>
      <c r="E637" s="19" t="str">
        <f>vlookup($C637,CSDL!$A:$E,3,0)</f>
        <v>#N/A</v>
      </c>
      <c r="F637" s="19" t="str">
        <f>vlookup($C637,CSDL!$A:$E,4,0)</f>
        <v>#N/A</v>
      </c>
      <c r="G637" s="27" t="str">
        <f>vlookup($C637,CSDL!$A:$E,5,0)</f>
        <v>#N/A</v>
      </c>
      <c r="H637" s="28"/>
      <c r="I637" s="29"/>
      <c r="J637" s="29"/>
      <c r="K637" s="29"/>
      <c r="L637" s="22">
        <f t="shared" si="9"/>
        <v>0</v>
      </c>
      <c r="M637" s="29"/>
      <c r="N637" s="29"/>
      <c r="O637" s="30"/>
      <c r="P637" s="26"/>
      <c r="Q637" s="32"/>
    </row>
    <row r="638" ht="25.5" customHeight="1">
      <c r="A638" s="33"/>
      <c r="B638" s="16"/>
      <c r="C638" s="17"/>
      <c r="D638" s="34" t="str">
        <f>vlookup($C638,CSDL!$A:$E,2,0)</f>
        <v>#N/A</v>
      </c>
      <c r="E638" s="19" t="str">
        <f>vlookup($C638,CSDL!$A:$E,3,0)</f>
        <v>#N/A</v>
      </c>
      <c r="F638" s="19" t="str">
        <f>vlookup($C638,CSDL!$A:$E,4,0)</f>
        <v>#N/A</v>
      </c>
      <c r="G638" s="20" t="str">
        <f>vlookup($C638,CSDL!$A:$E,5,0)</f>
        <v>#N/A</v>
      </c>
      <c r="H638" s="16"/>
      <c r="I638" s="23"/>
      <c r="J638" s="23"/>
      <c r="K638" s="23"/>
      <c r="L638" s="22">
        <f t="shared" si="9"/>
        <v>0</v>
      </c>
      <c r="M638" s="23"/>
      <c r="N638" s="23"/>
      <c r="O638" s="24"/>
      <c r="P638" s="33"/>
      <c r="Q638" s="25"/>
    </row>
    <row r="639" ht="25.5" customHeight="1">
      <c r="A639" s="26"/>
      <c r="B639" s="28"/>
      <c r="C639" s="17"/>
      <c r="D639" s="34" t="str">
        <f>vlookup($C639,CSDL!$A:$E,2,0)</f>
        <v>#N/A</v>
      </c>
      <c r="E639" s="19" t="str">
        <f>vlookup($C639,CSDL!$A:$E,3,0)</f>
        <v>#N/A</v>
      </c>
      <c r="F639" s="19" t="str">
        <f>vlookup($C639,CSDL!$A:$E,4,0)</f>
        <v>#N/A</v>
      </c>
      <c r="G639" s="27" t="str">
        <f>vlookup($C639,CSDL!$A:$E,5,0)</f>
        <v>#N/A</v>
      </c>
      <c r="H639" s="28"/>
      <c r="I639" s="29"/>
      <c r="J639" s="29"/>
      <c r="K639" s="29"/>
      <c r="L639" s="22">
        <f t="shared" si="9"/>
        <v>0</v>
      </c>
      <c r="M639" s="29"/>
      <c r="N639" s="29"/>
      <c r="O639" s="30"/>
      <c r="P639" s="26"/>
      <c r="Q639" s="32"/>
    </row>
    <row r="640" ht="25.5" customHeight="1">
      <c r="A640" s="33"/>
      <c r="B640" s="16"/>
      <c r="C640" s="17"/>
      <c r="D640" s="34" t="str">
        <f>vlookup($C640,CSDL!$A:$E,2,0)</f>
        <v>#N/A</v>
      </c>
      <c r="E640" s="19" t="str">
        <f>vlookup($C640,CSDL!$A:$E,3,0)</f>
        <v>#N/A</v>
      </c>
      <c r="F640" s="19" t="str">
        <f>vlookup($C640,CSDL!$A:$E,4,0)</f>
        <v>#N/A</v>
      </c>
      <c r="G640" s="20" t="str">
        <f>vlookup($C640,CSDL!$A:$E,5,0)</f>
        <v>#N/A</v>
      </c>
      <c r="H640" s="16"/>
      <c r="I640" s="23"/>
      <c r="J640" s="23"/>
      <c r="K640" s="23"/>
      <c r="L640" s="22">
        <f t="shared" si="9"/>
        <v>0</v>
      </c>
      <c r="M640" s="23"/>
      <c r="N640" s="23"/>
      <c r="O640" s="24"/>
      <c r="P640" s="33"/>
      <c r="Q640" s="43"/>
    </row>
    <row r="641" ht="25.5" customHeight="1">
      <c r="A641" s="26"/>
      <c r="B641" s="28"/>
      <c r="C641" s="17"/>
      <c r="D641" s="34" t="str">
        <f>vlookup($C641,CSDL!$A:$E,2,0)</f>
        <v>#N/A</v>
      </c>
      <c r="E641" s="19" t="str">
        <f>vlookup($C641,CSDL!$A:$E,3,0)</f>
        <v>#N/A</v>
      </c>
      <c r="F641" s="19" t="str">
        <f>vlookup($C641,CSDL!$A:$E,4,0)</f>
        <v>#N/A</v>
      </c>
      <c r="G641" s="27" t="str">
        <f>vlookup($C641,CSDL!$A:$E,5,0)</f>
        <v>#N/A</v>
      </c>
      <c r="H641" s="28"/>
      <c r="I641" s="29"/>
      <c r="J641" s="29"/>
      <c r="K641" s="29"/>
      <c r="L641" s="22">
        <f t="shared" si="9"/>
        <v>0</v>
      </c>
      <c r="M641" s="29"/>
      <c r="N641" s="29"/>
      <c r="O641" s="30"/>
      <c r="P641" s="26"/>
      <c r="Q641" s="32"/>
    </row>
    <row r="642" ht="25.5" customHeight="1">
      <c r="A642" s="33"/>
      <c r="B642" s="16"/>
      <c r="C642" s="17"/>
      <c r="D642" s="34" t="str">
        <f>vlookup($C642,CSDL!$A:$E,2,0)</f>
        <v>#N/A</v>
      </c>
      <c r="E642" s="19" t="str">
        <f>vlookup($C642,CSDL!$A:$E,3,0)</f>
        <v>#N/A</v>
      </c>
      <c r="F642" s="19" t="str">
        <f>vlookup($C642,CSDL!$A:$E,4,0)</f>
        <v>#N/A</v>
      </c>
      <c r="G642" s="20" t="str">
        <f>vlookup($C642,CSDL!$A:$E,5,0)</f>
        <v>#N/A</v>
      </c>
      <c r="H642" s="16"/>
      <c r="I642" s="23"/>
      <c r="J642" s="23"/>
      <c r="K642" s="23"/>
      <c r="L642" s="22">
        <f t="shared" si="9"/>
        <v>0</v>
      </c>
      <c r="M642" s="23"/>
      <c r="N642" s="23"/>
      <c r="O642" s="24"/>
      <c r="P642" s="33"/>
      <c r="Q642" s="25"/>
    </row>
    <row r="643" ht="25.5" customHeight="1">
      <c r="A643" s="26"/>
      <c r="B643" s="28"/>
      <c r="C643" s="17"/>
      <c r="D643" s="34" t="str">
        <f>vlookup($C643,CSDL!$A:$E,2,0)</f>
        <v>#N/A</v>
      </c>
      <c r="E643" s="19" t="str">
        <f>vlookup($C643,CSDL!$A:$E,3,0)</f>
        <v>#N/A</v>
      </c>
      <c r="F643" s="19" t="str">
        <f>vlookup($C643,CSDL!$A:$E,4,0)</f>
        <v>#N/A</v>
      </c>
      <c r="G643" s="27" t="str">
        <f>vlookup($C643,CSDL!$A:$E,5,0)</f>
        <v>#N/A</v>
      </c>
      <c r="H643" s="28"/>
      <c r="I643" s="29"/>
      <c r="J643" s="29"/>
      <c r="K643" s="29"/>
      <c r="L643" s="22">
        <f t="shared" si="9"/>
        <v>0</v>
      </c>
      <c r="M643" s="29"/>
      <c r="N643" s="29"/>
      <c r="O643" s="30"/>
      <c r="P643" s="26"/>
      <c r="Q643" s="32"/>
    </row>
    <row r="644" ht="25.5" customHeight="1">
      <c r="A644" s="33"/>
      <c r="B644" s="16"/>
      <c r="C644" s="17"/>
      <c r="D644" s="34" t="str">
        <f>vlookup($C644,CSDL!$A:$E,2,0)</f>
        <v>#N/A</v>
      </c>
      <c r="E644" s="19" t="str">
        <f>vlookup($C644,CSDL!$A:$E,3,0)</f>
        <v>#N/A</v>
      </c>
      <c r="F644" s="19" t="str">
        <f>vlookup($C644,CSDL!$A:$E,4,0)</f>
        <v>#N/A</v>
      </c>
      <c r="G644" s="20" t="str">
        <f>vlookup($C644,CSDL!$A:$E,5,0)</f>
        <v>#N/A</v>
      </c>
      <c r="H644" s="16"/>
      <c r="I644" s="23"/>
      <c r="J644" s="23"/>
      <c r="K644" s="23"/>
      <c r="L644" s="22">
        <f t="shared" si="9"/>
        <v>0</v>
      </c>
      <c r="M644" s="23"/>
      <c r="N644" s="23"/>
      <c r="O644" s="24"/>
      <c r="P644" s="33"/>
      <c r="Q644" s="25"/>
    </row>
    <row r="645" ht="25.5" customHeight="1">
      <c r="A645" s="26"/>
      <c r="B645" s="28"/>
      <c r="C645" s="17"/>
      <c r="D645" s="34" t="str">
        <f>vlookup($C645,CSDL!$A:$E,2,0)</f>
        <v>#N/A</v>
      </c>
      <c r="E645" s="19" t="str">
        <f>vlookup($C645,CSDL!$A:$E,3,0)</f>
        <v>#N/A</v>
      </c>
      <c r="F645" s="19" t="str">
        <f>vlookup($C645,CSDL!$A:$E,4,0)</f>
        <v>#N/A</v>
      </c>
      <c r="G645" s="27" t="str">
        <f>vlookup($C645,CSDL!$A:$E,5,0)</f>
        <v>#N/A</v>
      </c>
      <c r="H645" s="28"/>
      <c r="I645" s="29"/>
      <c r="J645" s="29"/>
      <c r="K645" s="29"/>
      <c r="L645" s="22">
        <f t="shared" si="9"/>
        <v>0</v>
      </c>
      <c r="M645" s="29"/>
      <c r="N645" s="29"/>
      <c r="O645" s="30"/>
      <c r="P645" s="26"/>
      <c r="Q645" s="32"/>
    </row>
    <row r="646" ht="25.5" customHeight="1">
      <c r="A646" s="33"/>
      <c r="B646" s="16"/>
      <c r="C646" s="17"/>
      <c r="D646" s="34" t="str">
        <f>vlookup($C646,CSDL!$A:$E,2,0)</f>
        <v>#N/A</v>
      </c>
      <c r="E646" s="19" t="str">
        <f>vlookup($C646,CSDL!$A:$E,3,0)</f>
        <v>#N/A</v>
      </c>
      <c r="F646" s="19" t="str">
        <f>vlookup($C646,CSDL!$A:$E,4,0)</f>
        <v>#N/A</v>
      </c>
      <c r="G646" s="20" t="str">
        <f>vlookup($C646,CSDL!$A:$E,5,0)</f>
        <v>#N/A</v>
      </c>
      <c r="H646" s="16"/>
      <c r="I646" s="23"/>
      <c r="J646" s="23"/>
      <c r="K646" s="23"/>
      <c r="L646" s="22">
        <f t="shared" si="9"/>
        <v>0</v>
      </c>
      <c r="M646" s="23"/>
      <c r="N646" s="23"/>
      <c r="O646" s="24"/>
      <c r="P646" s="15"/>
      <c r="Q646" s="25"/>
    </row>
    <row r="647" ht="25.5" customHeight="1">
      <c r="A647" s="26"/>
      <c r="B647" s="28"/>
      <c r="C647" s="17"/>
      <c r="D647" s="34" t="str">
        <f>vlookup($C647,CSDL!$A:$E,2,0)</f>
        <v>#N/A</v>
      </c>
      <c r="E647" s="19" t="str">
        <f>vlookup($C647,CSDL!$A:$E,3,0)</f>
        <v>#N/A</v>
      </c>
      <c r="F647" s="19" t="str">
        <f>vlookup($C647,CSDL!$A:$E,4,0)</f>
        <v>#N/A</v>
      </c>
      <c r="G647" s="27" t="str">
        <f>vlookup($C647,CSDL!$A:$E,5,0)</f>
        <v>#N/A</v>
      </c>
      <c r="H647" s="28"/>
      <c r="I647" s="29"/>
      <c r="J647" s="29"/>
      <c r="K647" s="29"/>
      <c r="L647" s="22">
        <f t="shared" si="9"/>
        <v>0</v>
      </c>
      <c r="M647" s="29"/>
      <c r="N647" s="29"/>
      <c r="O647" s="30"/>
      <c r="P647" s="26"/>
      <c r="Q647" s="32"/>
    </row>
    <row r="648" ht="25.5" customHeight="1">
      <c r="A648" s="33"/>
      <c r="B648" s="16"/>
      <c r="C648" s="17"/>
      <c r="D648" s="34" t="str">
        <f>vlookup($C648,CSDL!$A:$E,2,0)</f>
        <v>#N/A</v>
      </c>
      <c r="E648" s="19" t="str">
        <f>vlookup($C648,CSDL!$A:$E,3,0)</f>
        <v>#N/A</v>
      </c>
      <c r="F648" s="19" t="str">
        <f>vlookup($C648,CSDL!$A:$E,4,0)</f>
        <v>#N/A</v>
      </c>
      <c r="G648" s="20" t="str">
        <f>vlookup($C648,CSDL!$A:$E,5,0)</f>
        <v>#N/A</v>
      </c>
      <c r="H648" s="16"/>
      <c r="I648" s="23"/>
      <c r="J648" s="23"/>
      <c r="K648" s="23"/>
      <c r="L648" s="22">
        <f t="shared" si="9"/>
        <v>0</v>
      </c>
      <c r="M648" s="23"/>
      <c r="N648" s="23"/>
      <c r="O648" s="24"/>
      <c r="P648" s="33"/>
      <c r="Q648" s="25"/>
    </row>
    <row r="649" ht="25.5" customHeight="1">
      <c r="A649" s="26"/>
      <c r="B649" s="28"/>
      <c r="C649" s="17"/>
      <c r="D649" s="34" t="str">
        <f>vlookup($C649,CSDL!$A:$E,2,0)</f>
        <v>#N/A</v>
      </c>
      <c r="E649" s="19" t="str">
        <f>vlookup($C649,CSDL!$A:$E,3,0)</f>
        <v>#N/A</v>
      </c>
      <c r="F649" s="19" t="str">
        <f>vlookup($C649,CSDL!$A:$E,4,0)</f>
        <v>#N/A</v>
      </c>
      <c r="G649" s="27" t="str">
        <f>vlookup($C649,CSDL!$A:$E,5,0)</f>
        <v>#N/A</v>
      </c>
      <c r="H649" s="28"/>
      <c r="I649" s="29"/>
      <c r="J649" s="29"/>
      <c r="K649" s="29"/>
      <c r="L649" s="22">
        <f t="shared" si="9"/>
        <v>0</v>
      </c>
      <c r="M649" s="29"/>
      <c r="N649" s="29"/>
      <c r="O649" s="30"/>
      <c r="P649" s="26"/>
      <c r="Q649" s="32"/>
    </row>
    <row r="650" ht="25.5" customHeight="1">
      <c r="A650" s="33"/>
      <c r="B650" s="16"/>
      <c r="C650" s="17"/>
      <c r="D650" s="34" t="str">
        <f>vlookup($C650,CSDL!$A:$E,2,0)</f>
        <v>#N/A</v>
      </c>
      <c r="E650" s="19" t="str">
        <f>vlookup($C650,CSDL!$A:$E,3,0)</f>
        <v>#N/A</v>
      </c>
      <c r="F650" s="19" t="str">
        <f>vlookup($C650,CSDL!$A:$E,4,0)</f>
        <v>#N/A</v>
      </c>
      <c r="G650" s="20" t="str">
        <f>vlookup($C650,CSDL!$A:$E,5,0)</f>
        <v>#N/A</v>
      </c>
      <c r="H650" s="16"/>
      <c r="I650" s="23"/>
      <c r="J650" s="23"/>
      <c r="K650" s="23"/>
      <c r="L650" s="22">
        <f t="shared" si="9"/>
        <v>0</v>
      </c>
      <c r="M650" s="23"/>
      <c r="N650" s="23"/>
      <c r="O650" s="24"/>
      <c r="P650" s="33"/>
      <c r="Q650" s="25"/>
    </row>
    <row r="651" ht="25.5" customHeight="1">
      <c r="A651" s="26"/>
      <c r="B651" s="28"/>
      <c r="C651" s="17"/>
      <c r="D651" s="34" t="str">
        <f>vlookup($C651,CSDL!$A:$E,2,0)</f>
        <v>#N/A</v>
      </c>
      <c r="E651" s="19" t="str">
        <f>vlookup($C651,CSDL!$A:$E,3,0)</f>
        <v>#N/A</v>
      </c>
      <c r="F651" s="19" t="str">
        <f>vlookup($C651,CSDL!$A:$E,4,0)</f>
        <v>#N/A</v>
      </c>
      <c r="G651" s="27" t="str">
        <f>vlookup($C651,CSDL!$A:$E,5,0)</f>
        <v>#N/A</v>
      </c>
      <c r="H651" s="28"/>
      <c r="I651" s="29"/>
      <c r="J651" s="29"/>
      <c r="K651" s="29"/>
      <c r="L651" s="22">
        <f t="shared" si="9"/>
        <v>0</v>
      </c>
      <c r="M651" s="29"/>
      <c r="N651" s="29"/>
      <c r="O651" s="30"/>
      <c r="P651" s="26"/>
      <c r="Q651" s="32"/>
    </row>
    <row r="652" ht="25.5" customHeight="1">
      <c r="A652" s="33"/>
      <c r="B652" s="16"/>
      <c r="C652" s="17"/>
      <c r="D652" s="34" t="str">
        <f>vlookup($C652,CSDL!$A:$E,2,0)</f>
        <v>#N/A</v>
      </c>
      <c r="E652" s="19" t="str">
        <f>vlookup($C652,CSDL!$A:$E,3,0)</f>
        <v>#N/A</v>
      </c>
      <c r="F652" s="19" t="str">
        <f>vlookup($C652,CSDL!$A:$E,4,0)</f>
        <v>#N/A</v>
      </c>
      <c r="G652" s="20" t="str">
        <f>vlookup($C652,CSDL!$A:$E,5,0)</f>
        <v>#N/A</v>
      </c>
      <c r="H652" s="16"/>
      <c r="I652" s="23"/>
      <c r="J652" s="23"/>
      <c r="K652" s="23"/>
      <c r="L652" s="22">
        <f t="shared" si="9"/>
        <v>0</v>
      </c>
      <c r="M652" s="23"/>
      <c r="N652" s="23"/>
      <c r="O652" s="24"/>
      <c r="P652" s="33"/>
      <c r="Q652" s="25"/>
    </row>
    <row r="653" ht="25.5" customHeight="1">
      <c r="A653" s="26"/>
      <c r="B653" s="28"/>
      <c r="C653" s="17"/>
      <c r="D653" s="34" t="str">
        <f>vlookup($C653,CSDL!$A:$E,2,0)</f>
        <v>#N/A</v>
      </c>
      <c r="E653" s="19" t="str">
        <f>vlookup($C653,CSDL!$A:$E,3,0)</f>
        <v>#N/A</v>
      </c>
      <c r="F653" s="19" t="str">
        <f>vlookup($C653,CSDL!$A:$E,4,0)</f>
        <v>#N/A</v>
      </c>
      <c r="G653" s="27" t="str">
        <f>vlookup($C653,CSDL!$A:$E,5,0)</f>
        <v>#N/A</v>
      </c>
      <c r="H653" s="28"/>
      <c r="I653" s="29"/>
      <c r="J653" s="29"/>
      <c r="K653" s="29"/>
      <c r="L653" s="22">
        <f t="shared" si="9"/>
        <v>0</v>
      </c>
      <c r="M653" s="29"/>
      <c r="N653" s="29"/>
      <c r="O653" s="30"/>
      <c r="P653" s="26"/>
      <c r="Q653" s="32"/>
    </row>
    <row r="654" ht="25.5" customHeight="1">
      <c r="A654" s="33"/>
      <c r="B654" s="16"/>
      <c r="C654" s="17"/>
      <c r="D654" s="34" t="str">
        <f>vlookup($C654,CSDL!$A:$E,2,0)</f>
        <v>#N/A</v>
      </c>
      <c r="E654" s="19" t="str">
        <f>vlookup($C654,CSDL!$A:$E,3,0)</f>
        <v>#N/A</v>
      </c>
      <c r="F654" s="19" t="str">
        <f>vlookup($C654,CSDL!$A:$E,4,0)</f>
        <v>#N/A</v>
      </c>
      <c r="G654" s="20" t="str">
        <f>vlookup($C654,CSDL!$A:$E,5,0)</f>
        <v>#N/A</v>
      </c>
      <c r="H654" s="16"/>
      <c r="I654" s="23"/>
      <c r="J654" s="23"/>
      <c r="K654" s="23"/>
      <c r="L654" s="22">
        <f t="shared" si="9"/>
        <v>0</v>
      </c>
      <c r="M654" s="23"/>
      <c r="N654" s="23"/>
      <c r="O654" s="24"/>
      <c r="P654" s="33"/>
      <c r="Q654" s="25"/>
    </row>
    <row r="655" ht="25.5" customHeight="1">
      <c r="A655" s="26"/>
      <c r="B655" s="28"/>
      <c r="C655" s="17"/>
      <c r="D655" s="34" t="str">
        <f>vlookup($C655,CSDL!$A:$E,2,0)</f>
        <v>#N/A</v>
      </c>
      <c r="E655" s="19" t="str">
        <f>vlookup($C655,CSDL!$A:$E,3,0)</f>
        <v>#N/A</v>
      </c>
      <c r="F655" s="19" t="str">
        <f>vlookup($C655,CSDL!$A:$E,4,0)</f>
        <v>#N/A</v>
      </c>
      <c r="G655" s="27" t="str">
        <f>vlookup($C655,CSDL!$A:$E,5,0)</f>
        <v>#N/A</v>
      </c>
      <c r="H655" s="28"/>
      <c r="I655" s="29"/>
      <c r="J655" s="29"/>
      <c r="K655" s="29"/>
      <c r="L655" s="22">
        <f t="shared" si="9"/>
        <v>0</v>
      </c>
      <c r="M655" s="29"/>
      <c r="N655" s="29"/>
      <c r="O655" s="30"/>
      <c r="P655" s="26"/>
      <c r="Q655" s="32"/>
    </row>
    <row r="656" ht="25.5" customHeight="1">
      <c r="A656" s="33"/>
      <c r="B656" s="16"/>
      <c r="C656" s="17"/>
      <c r="D656" s="34" t="str">
        <f>vlookup($C656,CSDL!$A:$E,2,0)</f>
        <v>#N/A</v>
      </c>
      <c r="E656" s="19" t="str">
        <f>vlookup($C656,CSDL!$A:$E,3,0)</f>
        <v>#N/A</v>
      </c>
      <c r="F656" s="19" t="str">
        <f>vlookup($C656,CSDL!$A:$E,4,0)</f>
        <v>#N/A</v>
      </c>
      <c r="G656" s="20" t="str">
        <f>vlookup($C656,CSDL!$A:$E,5,0)</f>
        <v>#N/A</v>
      </c>
      <c r="H656" s="16"/>
      <c r="I656" s="23"/>
      <c r="J656" s="23"/>
      <c r="K656" s="23"/>
      <c r="L656" s="22">
        <f t="shared" si="9"/>
        <v>0</v>
      </c>
      <c r="M656" s="23"/>
      <c r="N656" s="23"/>
      <c r="O656" s="24"/>
      <c r="P656" s="33"/>
      <c r="Q656" s="25"/>
    </row>
    <row r="657" ht="25.5" customHeight="1">
      <c r="A657" s="26"/>
      <c r="B657" s="28"/>
      <c r="C657" s="17"/>
      <c r="D657" s="34" t="str">
        <f>vlookup($C657,CSDL!$A:$E,2,0)</f>
        <v>#N/A</v>
      </c>
      <c r="E657" s="19" t="str">
        <f>vlookup($C657,CSDL!$A:$E,3,0)</f>
        <v>#N/A</v>
      </c>
      <c r="F657" s="19" t="str">
        <f>vlookup($C657,CSDL!$A:$E,4,0)</f>
        <v>#N/A</v>
      </c>
      <c r="G657" s="27" t="str">
        <f>vlookup($C657,CSDL!$A:$E,5,0)</f>
        <v>#N/A</v>
      </c>
      <c r="H657" s="28"/>
      <c r="I657" s="29"/>
      <c r="J657" s="29"/>
      <c r="K657" s="29"/>
      <c r="L657" s="22">
        <f t="shared" si="9"/>
        <v>0</v>
      </c>
      <c r="M657" s="29"/>
      <c r="N657" s="29"/>
      <c r="O657" s="30"/>
      <c r="P657" s="26"/>
      <c r="Q657" s="32"/>
    </row>
    <row r="658" ht="25.5" customHeight="1">
      <c r="A658" s="33"/>
      <c r="B658" s="16"/>
      <c r="C658" s="17"/>
      <c r="D658" s="34" t="str">
        <f>vlookup($C658,CSDL!$A:$E,2,0)</f>
        <v>#N/A</v>
      </c>
      <c r="E658" s="19" t="str">
        <f>vlookup($C658,CSDL!$A:$E,3,0)</f>
        <v>#N/A</v>
      </c>
      <c r="F658" s="19" t="str">
        <f>vlookup($C658,CSDL!$A:$E,4,0)</f>
        <v>#N/A</v>
      </c>
      <c r="G658" s="20" t="str">
        <f>vlookup($C658,CSDL!$A:$E,5,0)</f>
        <v>#N/A</v>
      </c>
      <c r="H658" s="16"/>
      <c r="I658" s="23"/>
      <c r="J658" s="23"/>
      <c r="K658" s="23"/>
      <c r="L658" s="22">
        <f t="shared" si="9"/>
        <v>0</v>
      </c>
      <c r="M658" s="23"/>
      <c r="N658" s="23"/>
      <c r="O658" s="24"/>
      <c r="P658" s="33"/>
      <c r="Q658" s="25"/>
    </row>
    <row r="659" ht="25.5" customHeight="1">
      <c r="A659" s="26"/>
      <c r="B659" s="28"/>
      <c r="C659" s="17"/>
      <c r="D659" s="34" t="str">
        <f>vlookup($C659,CSDL!$A:$E,2,0)</f>
        <v>#N/A</v>
      </c>
      <c r="E659" s="19" t="str">
        <f>vlookup($C659,CSDL!$A:$E,3,0)</f>
        <v>#N/A</v>
      </c>
      <c r="F659" s="19" t="str">
        <f>vlookup($C659,CSDL!$A:$E,4,0)</f>
        <v>#N/A</v>
      </c>
      <c r="G659" s="27" t="str">
        <f>vlookup($C659,CSDL!$A:$E,5,0)</f>
        <v>#N/A</v>
      </c>
      <c r="H659" s="28"/>
      <c r="I659" s="29"/>
      <c r="J659" s="29"/>
      <c r="K659" s="29"/>
      <c r="L659" s="22">
        <f t="shared" si="9"/>
        <v>0</v>
      </c>
      <c r="M659" s="29"/>
      <c r="N659" s="29"/>
      <c r="O659" s="30"/>
      <c r="P659" s="31"/>
      <c r="Q659" s="32"/>
    </row>
    <row r="660" ht="25.5" customHeight="1">
      <c r="A660" s="33"/>
      <c r="B660" s="16"/>
      <c r="C660" s="17"/>
      <c r="D660" s="34" t="str">
        <f>vlookup($C660,CSDL!$A:$E,2,0)</f>
        <v>#N/A</v>
      </c>
      <c r="E660" s="19" t="str">
        <f>vlookup($C660,CSDL!$A:$E,3,0)</f>
        <v>#N/A</v>
      </c>
      <c r="F660" s="19" t="str">
        <f>vlookup($C660,CSDL!$A:$E,4,0)</f>
        <v>#N/A</v>
      </c>
      <c r="G660" s="20" t="str">
        <f>vlookup($C660,CSDL!$A:$E,5,0)</f>
        <v>#N/A</v>
      </c>
      <c r="H660" s="16"/>
      <c r="I660" s="23"/>
      <c r="J660" s="23"/>
      <c r="K660" s="23"/>
      <c r="L660" s="22">
        <f t="shared" si="9"/>
        <v>0</v>
      </c>
      <c r="M660" s="23"/>
      <c r="N660" s="23"/>
      <c r="O660" s="24"/>
      <c r="P660" s="33"/>
      <c r="Q660" s="25"/>
    </row>
    <row r="661" ht="25.5" customHeight="1">
      <c r="A661" s="26"/>
      <c r="B661" s="28"/>
      <c r="C661" s="17"/>
      <c r="D661" s="34" t="str">
        <f>vlookup($C661,CSDL!$A:$E,2,0)</f>
        <v>#N/A</v>
      </c>
      <c r="E661" s="19" t="str">
        <f>vlookup($C661,CSDL!$A:$E,3,0)</f>
        <v>#N/A</v>
      </c>
      <c r="F661" s="19" t="str">
        <f>vlookup($C661,CSDL!$A:$E,4,0)</f>
        <v>#N/A</v>
      </c>
      <c r="G661" s="27" t="str">
        <f>vlookup($C661,CSDL!$A:$E,5,0)</f>
        <v>#N/A</v>
      </c>
      <c r="H661" s="28"/>
      <c r="I661" s="29"/>
      <c r="J661" s="29"/>
      <c r="K661" s="29"/>
      <c r="L661" s="22">
        <f t="shared" si="9"/>
        <v>0</v>
      </c>
      <c r="M661" s="29"/>
      <c r="N661" s="29"/>
      <c r="O661" s="30"/>
      <c r="P661" s="26"/>
      <c r="Q661" s="32"/>
    </row>
    <row r="662" ht="25.5" customHeight="1">
      <c r="A662" s="33"/>
      <c r="B662" s="16"/>
      <c r="C662" s="17"/>
      <c r="D662" s="34" t="str">
        <f>vlookup($C662,CSDL!$A:$E,2,0)</f>
        <v>#N/A</v>
      </c>
      <c r="E662" s="19" t="str">
        <f>vlookup($C662,CSDL!$A:$E,3,0)</f>
        <v>#N/A</v>
      </c>
      <c r="F662" s="19" t="str">
        <f>vlookup($C662,CSDL!$A:$E,4,0)</f>
        <v>#N/A</v>
      </c>
      <c r="G662" s="20" t="str">
        <f>vlookup($C662,CSDL!$A:$E,5,0)</f>
        <v>#N/A</v>
      </c>
      <c r="H662" s="16"/>
      <c r="I662" s="23"/>
      <c r="J662" s="23"/>
      <c r="K662" s="23"/>
      <c r="L662" s="22">
        <f t="shared" si="9"/>
        <v>0</v>
      </c>
      <c r="M662" s="23"/>
      <c r="N662" s="23"/>
      <c r="O662" s="24"/>
      <c r="P662" s="33"/>
      <c r="Q662" s="25"/>
    </row>
    <row r="663" ht="25.5" customHeight="1">
      <c r="A663" s="26"/>
      <c r="B663" s="28"/>
      <c r="C663" s="17"/>
      <c r="D663" s="34" t="str">
        <f>vlookup($C663,CSDL!$A:$E,2,0)</f>
        <v>#N/A</v>
      </c>
      <c r="E663" s="19" t="str">
        <f>vlookup($C663,CSDL!$A:$E,3,0)</f>
        <v>#N/A</v>
      </c>
      <c r="F663" s="19" t="str">
        <f>vlookup($C663,CSDL!$A:$E,4,0)</f>
        <v>#N/A</v>
      </c>
      <c r="G663" s="27" t="str">
        <f>vlookup($C663,CSDL!$A:$E,5,0)</f>
        <v>#N/A</v>
      </c>
      <c r="H663" s="28"/>
      <c r="I663" s="29"/>
      <c r="J663" s="29"/>
      <c r="K663" s="29"/>
      <c r="L663" s="22">
        <f t="shared" si="9"/>
        <v>0</v>
      </c>
      <c r="M663" s="29"/>
      <c r="N663" s="29"/>
      <c r="O663" s="30"/>
      <c r="P663" s="26"/>
      <c r="Q663" s="32"/>
    </row>
    <row r="664" ht="25.5" customHeight="1">
      <c r="A664" s="33"/>
      <c r="B664" s="16"/>
      <c r="C664" s="17"/>
      <c r="D664" s="34" t="str">
        <f>vlookup($C664,CSDL!$A:$E,2,0)</f>
        <v>#N/A</v>
      </c>
      <c r="E664" s="19" t="str">
        <f>vlookup($C664,CSDL!$A:$E,3,0)</f>
        <v>#N/A</v>
      </c>
      <c r="F664" s="19" t="str">
        <f>vlookup($C664,CSDL!$A:$E,4,0)</f>
        <v>#N/A</v>
      </c>
      <c r="G664" s="20" t="str">
        <f>vlookup($C664,CSDL!$A:$E,5,0)</f>
        <v>#N/A</v>
      </c>
      <c r="H664" s="16"/>
      <c r="I664" s="23"/>
      <c r="J664" s="23"/>
      <c r="K664" s="23"/>
      <c r="L664" s="22">
        <f t="shared" si="9"/>
        <v>0</v>
      </c>
      <c r="M664" s="23"/>
      <c r="N664" s="23"/>
      <c r="O664" s="24"/>
      <c r="P664" s="33"/>
      <c r="Q664" s="25"/>
    </row>
    <row r="665" ht="25.5" customHeight="1">
      <c r="A665" s="26"/>
      <c r="B665" s="28"/>
      <c r="C665" s="17"/>
      <c r="D665" s="34" t="str">
        <f>vlookup($C665,CSDL!$A:$E,2,0)</f>
        <v>#N/A</v>
      </c>
      <c r="E665" s="19" t="str">
        <f>vlookup($C665,CSDL!$A:$E,3,0)</f>
        <v>#N/A</v>
      </c>
      <c r="F665" s="19" t="str">
        <f>vlookup($C665,CSDL!$A:$E,4,0)</f>
        <v>#N/A</v>
      </c>
      <c r="G665" s="27" t="str">
        <f>vlookup($C665,CSDL!$A:$E,5,0)</f>
        <v>#N/A</v>
      </c>
      <c r="H665" s="28"/>
      <c r="I665" s="29"/>
      <c r="J665" s="29"/>
      <c r="K665" s="29"/>
      <c r="L665" s="22">
        <f t="shared" si="9"/>
        <v>0</v>
      </c>
      <c r="M665" s="29"/>
      <c r="N665" s="29"/>
      <c r="O665" s="30"/>
      <c r="P665" s="26"/>
      <c r="Q665" s="32"/>
    </row>
    <row r="666" ht="25.5" customHeight="1">
      <c r="A666" s="33"/>
      <c r="B666" s="16"/>
      <c r="C666" s="17"/>
      <c r="D666" s="34" t="str">
        <f>vlookup($C666,CSDL!$A:$E,2,0)</f>
        <v>#N/A</v>
      </c>
      <c r="E666" s="19" t="str">
        <f>vlookup($C666,CSDL!$A:$E,3,0)</f>
        <v>#N/A</v>
      </c>
      <c r="F666" s="19" t="str">
        <f>vlookup($C666,CSDL!$A:$E,4,0)</f>
        <v>#N/A</v>
      </c>
      <c r="G666" s="20" t="str">
        <f>vlookup($C666,CSDL!$A:$E,5,0)</f>
        <v>#N/A</v>
      </c>
      <c r="H666" s="16"/>
      <c r="I666" s="23"/>
      <c r="J666" s="23"/>
      <c r="K666" s="23"/>
      <c r="L666" s="22">
        <f t="shared" si="9"/>
        <v>0</v>
      </c>
      <c r="M666" s="23"/>
      <c r="N666" s="23"/>
      <c r="O666" s="24"/>
      <c r="P666" s="33"/>
      <c r="Q666" s="25"/>
    </row>
    <row r="667" ht="25.5" customHeight="1">
      <c r="A667" s="26"/>
      <c r="B667" s="28"/>
      <c r="C667" s="17"/>
      <c r="D667" s="34" t="str">
        <f>vlookup($C667,CSDL!$A:$E,2,0)</f>
        <v>#N/A</v>
      </c>
      <c r="E667" s="19" t="str">
        <f>vlookup($C667,CSDL!$A:$E,3,0)</f>
        <v>#N/A</v>
      </c>
      <c r="F667" s="19" t="str">
        <f>vlookup($C667,CSDL!$A:$E,4,0)</f>
        <v>#N/A</v>
      </c>
      <c r="G667" s="27" t="str">
        <f>vlookup($C667,CSDL!$A:$E,5,0)</f>
        <v>#N/A</v>
      </c>
      <c r="H667" s="28"/>
      <c r="I667" s="29"/>
      <c r="J667" s="29"/>
      <c r="K667" s="29"/>
      <c r="L667" s="22">
        <f t="shared" si="9"/>
        <v>0</v>
      </c>
      <c r="M667" s="29"/>
      <c r="N667" s="29"/>
      <c r="O667" s="30"/>
      <c r="P667" s="26"/>
      <c r="Q667" s="32"/>
    </row>
    <row r="668" ht="25.5" customHeight="1">
      <c r="A668" s="33"/>
      <c r="B668" s="16"/>
      <c r="C668" s="17"/>
      <c r="D668" s="34" t="str">
        <f>vlookup($C668,CSDL!$A:$E,2,0)</f>
        <v>#N/A</v>
      </c>
      <c r="E668" s="19" t="str">
        <f>vlookup($C668,CSDL!$A:$E,3,0)</f>
        <v>#N/A</v>
      </c>
      <c r="F668" s="19" t="str">
        <f>vlookup($C668,CSDL!$A:$E,4,0)</f>
        <v>#N/A</v>
      </c>
      <c r="G668" s="20" t="str">
        <f>vlookup($C668,CSDL!$A:$E,5,0)</f>
        <v>#N/A</v>
      </c>
      <c r="H668" s="16"/>
      <c r="I668" s="23"/>
      <c r="J668" s="23"/>
      <c r="K668" s="23"/>
      <c r="L668" s="22">
        <f t="shared" si="9"/>
        <v>0</v>
      </c>
      <c r="M668" s="23"/>
      <c r="N668" s="23"/>
      <c r="O668" s="24"/>
      <c r="P668" s="33"/>
      <c r="Q668" s="47"/>
    </row>
    <row r="669" ht="25.5" customHeight="1">
      <c r="A669" s="26"/>
      <c r="B669" s="28"/>
      <c r="C669" s="17"/>
      <c r="D669" s="34" t="str">
        <f>vlookup($C669,CSDL!$A:$E,2,0)</f>
        <v>#N/A</v>
      </c>
      <c r="E669" s="19" t="str">
        <f>vlookup($C669,CSDL!$A:$E,3,0)</f>
        <v>#N/A</v>
      </c>
      <c r="F669" s="19" t="str">
        <f>vlookup($C669,CSDL!$A:$E,4,0)</f>
        <v>#N/A</v>
      </c>
      <c r="G669" s="27" t="str">
        <f>vlookup($C669,CSDL!$A:$E,5,0)</f>
        <v>#N/A</v>
      </c>
      <c r="H669" s="28"/>
      <c r="I669" s="29"/>
      <c r="J669" s="29"/>
      <c r="K669" s="29"/>
      <c r="L669" s="22">
        <f t="shared" si="9"/>
        <v>0</v>
      </c>
      <c r="M669" s="29"/>
      <c r="N669" s="29"/>
      <c r="O669" s="30"/>
      <c r="P669" s="26"/>
      <c r="Q669" s="32"/>
    </row>
    <row r="670" ht="25.5" customHeight="1">
      <c r="A670" s="33"/>
      <c r="B670" s="16"/>
      <c r="C670" s="17"/>
      <c r="D670" s="34" t="str">
        <f>vlookup($C670,CSDL!$A:$E,2,0)</f>
        <v>#N/A</v>
      </c>
      <c r="E670" s="19" t="str">
        <f>vlookup($C670,CSDL!$A:$E,3,0)</f>
        <v>#N/A</v>
      </c>
      <c r="F670" s="19" t="str">
        <f>vlookup($C670,CSDL!$A:$E,4,0)</f>
        <v>#N/A</v>
      </c>
      <c r="G670" s="20" t="str">
        <f>vlookup($C670,CSDL!$A:$E,5,0)</f>
        <v>#N/A</v>
      </c>
      <c r="H670" s="16"/>
      <c r="I670" s="23"/>
      <c r="J670" s="23"/>
      <c r="K670" s="23"/>
      <c r="L670" s="22">
        <f t="shared" si="9"/>
        <v>0</v>
      </c>
      <c r="M670" s="23"/>
      <c r="N670" s="23"/>
      <c r="O670" s="24"/>
      <c r="P670" s="33"/>
      <c r="Q670" s="25"/>
    </row>
    <row r="671" ht="25.5" customHeight="1">
      <c r="A671" s="26"/>
      <c r="B671" s="28"/>
      <c r="C671" s="17"/>
      <c r="D671" s="34" t="str">
        <f>vlookup($C671,CSDL!$A:$E,2,0)</f>
        <v>#N/A</v>
      </c>
      <c r="E671" s="19" t="str">
        <f>vlookup($C671,CSDL!$A:$E,3,0)</f>
        <v>#N/A</v>
      </c>
      <c r="F671" s="19" t="str">
        <f>vlookup($C671,CSDL!$A:$E,4,0)</f>
        <v>#N/A</v>
      </c>
      <c r="G671" s="27" t="str">
        <f>vlookup($C671,CSDL!$A:$E,5,0)</f>
        <v>#N/A</v>
      </c>
      <c r="H671" s="28"/>
      <c r="I671" s="29"/>
      <c r="J671" s="29"/>
      <c r="K671" s="29"/>
      <c r="L671" s="22">
        <f t="shared" si="9"/>
        <v>0</v>
      </c>
      <c r="M671" s="29"/>
      <c r="N671" s="29"/>
      <c r="O671" s="30"/>
      <c r="P671" s="26"/>
      <c r="Q671" s="32"/>
    </row>
    <row r="672" ht="25.5" customHeight="1">
      <c r="A672" s="33"/>
      <c r="B672" s="16"/>
      <c r="C672" s="17"/>
      <c r="D672" s="34" t="str">
        <f>vlookup($C672,CSDL!$A:$E,2,0)</f>
        <v>#N/A</v>
      </c>
      <c r="E672" s="19" t="str">
        <f>vlookup($C672,CSDL!$A:$E,3,0)</f>
        <v>#N/A</v>
      </c>
      <c r="F672" s="19" t="str">
        <f>vlookup($C672,CSDL!$A:$E,4,0)</f>
        <v>#N/A</v>
      </c>
      <c r="G672" s="20" t="str">
        <f>vlookup($C672,CSDL!$A:$E,5,0)</f>
        <v>#N/A</v>
      </c>
      <c r="H672" s="25"/>
      <c r="I672" s="23"/>
      <c r="J672" s="23"/>
      <c r="K672" s="23"/>
      <c r="L672" s="22">
        <f t="shared" si="9"/>
        <v>0</v>
      </c>
      <c r="M672" s="23"/>
      <c r="N672" s="23"/>
      <c r="O672" s="24"/>
      <c r="P672" s="33"/>
      <c r="Q672" s="25"/>
    </row>
    <row r="673" ht="25.5" customHeight="1">
      <c r="A673" s="26"/>
      <c r="B673" s="28"/>
      <c r="C673" s="17"/>
      <c r="D673" s="34" t="str">
        <f>vlookup($C673,CSDL!$A:$E,2,0)</f>
        <v>#N/A</v>
      </c>
      <c r="E673" s="19" t="str">
        <f>vlookup($C673,CSDL!$A:$E,3,0)</f>
        <v>#N/A</v>
      </c>
      <c r="F673" s="19" t="str">
        <f>vlookup($C673,CSDL!$A:$E,4,0)</f>
        <v>#N/A</v>
      </c>
      <c r="G673" s="27" t="str">
        <f>vlookup($C673,CSDL!$A:$E,5,0)</f>
        <v>#N/A</v>
      </c>
      <c r="H673" s="28"/>
      <c r="I673" s="29"/>
      <c r="J673" s="29"/>
      <c r="K673" s="29"/>
      <c r="L673" s="22">
        <f t="shared" si="9"/>
        <v>0</v>
      </c>
      <c r="M673" s="29"/>
      <c r="N673" s="29"/>
      <c r="O673" s="30"/>
      <c r="P673" s="26"/>
      <c r="Q673" s="32"/>
    </row>
    <row r="674" ht="25.5" customHeight="1">
      <c r="A674" s="33"/>
      <c r="B674" s="16"/>
      <c r="C674" s="17"/>
      <c r="D674" s="34" t="str">
        <f>vlookup($C674,CSDL!$A:$E,2,0)</f>
        <v>#N/A</v>
      </c>
      <c r="E674" s="19" t="str">
        <f>vlookup($C674,CSDL!$A:$E,3,0)</f>
        <v>#N/A</v>
      </c>
      <c r="F674" s="19" t="str">
        <f>vlookup($C674,CSDL!$A:$E,4,0)</f>
        <v>#N/A</v>
      </c>
      <c r="G674" s="20" t="str">
        <f>vlookup($C674,CSDL!$A:$E,5,0)</f>
        <v>#N/A</v>
      </c>
      <c r="H674" s="16"/>
      <c r="I674" s="23"/>
      <c r="J674" s="23"/>
      <c r="K674" s="23"/>
      <c r="L674" s="22">
        <f t="shared" si="9"/>
        <v>0</v>
      </c>
      <c r="M674" s="23"/>
      <c r="N674" s="23"/>
      <c r="O674" s="24"/>
      <c r="P674" s="15"/>
      <c r="Q674" s="25"/>
    </row>
    <row r="675" ht="25.5" customHeight="1">
      <c r="A675" s="26"/>
      <c r="B675" s="28"/>
      <c r="C675" s="17"/>
      <c r="D675" s="34" t="str">
        <f>vlookup($C675,CSDL!$A:$E,2,0)</f>
        <v>#N/A</v>
      </c>
      <c r="E675" s="19" t="str">
        <f>vlookup($C675,CSDL!$A:$E,3,0)</f>
        <v>#N/A</v>
      </c>
      <c r="F675" s="19" t="str">
        <f>vlookup($C675,CSDL!$A:$E,4,0)</f>
        <v>#N/A</v>
      </c>
      <c r="G675" s="27" t="str">
        <f>vlookup($C675,CSDL!$A:$E,5,0)</f>
        <v>#N/A</v>
      </c>
      <c r="H675" s="32"/>
      <c r="I675" s="29"/>
      <c r="J675" s="29"/>
      <c r="K675" s="29"/>
      <c r="L675" s="22">
        <f t="shared" si="9"/>
        <v>0</v>
      </c>
      <c r="M675" s="29"/>
      <c r="N675" s="29"/>
      <c r="O675" s="30"/>
      <c r="P675" s="26"/>
      <c r="Q675" s="32"/>
    </row>
    <row r="676" ht="25.5" customHeight="1">
      <c r="A676" s="33"/>
      <c r="B676" s="16"/>
      <c r="C676" s="17"/>
      <c r="D676" s="34" t="str">
        <f>vlookup($C676,CSDL!$A:$E,2,0)</f>
        <v>#N/A</v>
      </c>
      <c r="E676" s="19" t="str">
        <f>vlookup($C676,CSDL!$A:$E,3,0)</f>
        <v>#N/A</v>
      </c>
      <c r="F676" s="19" t="str">
        <f>vlookup($C676,CSDL!$A:$E,4,0)</f>
        <v>#N/A</v>
      </c>
      <c r="G676" s="20" t="str">
        <f>vlookup($C676,CSDL!$A:$E,5,0)</f>
        <v>#N/A</v>
      </c>
      <c r="H676" s="25"/>
      <c r="I676" s="23"/>
      <c r="J676" s="23"/>
      <c r="K676" s="23"/>
      <c r="L676" s="22">
        <f t="shared" si="9"/>
        <v>0</v>
      </c>
      <c r="M676" s="23"/>
      <c r="N676" s="23"/>
      <c r="O676" s="69"/>
      <c r="P676" s="33"/>
      <c r="Q676" s="25"/>
    </row>
    <row r="677" ht="25.5" customHeight="1">
      <c r="A677" s="26"/>
      <c r="B677" s="28"/>
      <c r="C677" s="17"/>
      <c r="D677" s="34" t="str">
        <f>vlookup($C677,CSDL!$A:$E,2,0)</f>
        <v>#N/A</v>
      </c>
      <c r="E677" s="19" t="str">
        <f>vlookup($C677,CSDL!$A:$E,3,0)</f>
        <v>#N/A</v>
      </c>
      <c r="F677" s="19" t="str">
        <f>vlookup($C677,CSDL!$A:$E,4,0)</f>
        <v>#N/A</v>
      </c>
      <c r="G677" s="27" t="str">
        <f>vlookup($C677,CSDL!$A:$E,5,0)</f>
        <v>#N/A</v>
      </c>
      <c r="H677" s="32"/>
      <c r="I677" s="29"/>
      <c r="J677" s="29"/>
      <c r="K677" s="29"/>
      <c r="L677" s="22">
        <f t="shared" si="9"/>
        <v>0</v>
      </c>
      <c r="M677" s="29"/>
      <c r="N677" s="29"/>
      <c r="O677" s="71"/>
      <c r="P677" s="26"/>
      <c r="Q677" s="32"/>
    </row>
    <row r="678" ht="25.5" customHeight="1">
      <c r="A678" s="33"/>
      <c r="B678" s="16"/>
      <c r="C678" s="17"/>
      <c r="D678" s="34" t="str">
        <f>vlookup($C678,CSDL!$A:$E,2,0)</f>
        <v>#N/A</v>
      </c>
      <c r="E678" s="19" t="str">
        <f>vlookup($C678,CSDL!$A:$E,3,0)</f>
        <v>#N/A</v>
      </c>
      <c r="F678" s="19" t="str">
        <f>vlookup($C678,CSDL!$A:$E,4,0)</f>
        <v>#N/A</v>
      </c>
      <c r="G678" s="20" t="str">
        <f>vlookup($C678,CSDL!$A:$E,5,0)</f>
        <v>#N/A</v>
      </c>
      <c r="H678" s="25"/>
      <c r="I678" s="23"/>
      <c r="J678" s="23"/>
      <c r="K678" s="23"/>
      <c r="L678" s="22">
        <f t="shared" si="9"/>
        <v>0</v>
      </c>
      <c r="M678" s="23"/>
      <c r="N678" s="23"/>
      <c r="O678" s="69"/>
      <c r="P678" s="33"/>
      <c r="Q678" s="25"/>
    </row>
    <row r="679" ht="25.5" customHeight="1">
      <c r="A679" s="26"/>
      <c r="B679" s="28"/>
      <c r="C679" s="17"/>
      <c r="D679" s="34" t="str">
        <f>vlookup($C679,CSDL!$A:$E,2,0)</f>
        <v>#N/A</v>
      </c>
      <c r="E679" s="19" t="str">
        <f>vlookup($C679,CSDL!$A:$E,3,0)</f>
        <v>#N/A</v>
      </c>
      <c r="F679" s="19" t="str">
        <f>vlookup($C679,CSDL!$A:$E,4,0)</f>
        <v>#N/A</v>
      </c>
      <c r="G679" s="27" t="str">
        <f>vlookup($C679,CSDL!$A:$E,5,0)</f>
        <v>#N/A</v>
      </c>
      <c r="H679" s="32"/>
      <c r="I679" s="29"/>
      <c r="J679" s="29"/>
      <c r="K679" s="29"/>
      <c r="L679" s="22">
        <f t="shared" si="9"/>
        <v>0</v>
      </c>
      <c r="M679" s="29"/>
      <c r="N679" s="29"/>
      <c r="O679" s="30"/>
      <c r="P679" s="26"/>
      <c r="Q679" s="32"/>
    </row>
    <row r="680" ht="25.5" customHeight="1">
      <c r="A680" s="33"/>
      <c r="B680" s="16"/>
      <c r="C680" s="17"/>
      <c r="D680" s="34" t="str">
        <f>vlookup($C680,CSDL!$A:$E,2,0)</f>
        <v>#N/A</v>
      </c>
      <c r="E680" s="19" t="str">
        <f>vlookup($C680,CSDL!$A:$E,3,0)</f>
        <v>#N/A</v>
      </c>
      <c r="F680" s="19" t="str">
        <f>vlookup($C680,CSDL!$A:$E,4,0)</f>
        <v>#N/A</v>
      </c>
      <c r="G680" s="20" t="str">
        <f>vlookup($C680,CSDL!$A:$E,5,0)</f>
        <v>#N/A</v>
      </c>
      <c r="H680" s="16"/>
      <c r="I680" s="23"/>
      <c r="J680" s="23"/>
      <c r="K680" s="23"/>
      <c r="L680" s="22">
        <f t="shared" si="9"/>
        <v>0</v>
      </c>
      <c r="M680" s="23"/>
      <c r="N680" s="23"/>
      <c r="O680" s="24"/>
      <c r="P680" s="33"/>
      <c r="Q680" s="25"/>
    </row>
    <row r="681" ht="25.5" customHeight="1">
      <c r="A681" s="26"/>
      <c r="B681" s="28"/>
      <c r="C681" s="17"/>
      <c r="D681" s="34" t="str">
        <f>vlookup($C681,CSDL!$A:$E,2,0)</f>
        <v>#N/A</v>
      </c>
      <c r="E681" s="19" t="str">
        <f>vlookup($C681,CSDL!$A:$E,3,0)</f>
        <v>#N/A</v>
      </c>
      <c r="F681" s="19" t="str">
        <f>vlookup($C681,CSDL!$A:$E,4,0)</f>
        <v>#N/A</v>
      </c>
      <c r="G681" s="27" t="str">
        <f>vlookup($C681,CSDL!$A:$E,5,0)</f>
        <v>#N/A</v>
      </c>
      <c r="H681" s="28"/>
      <c r="I681" s="29"/>
      <c r="J681" s="29"/>
      <c r="K681" s="29"/>
      <c r="L681" s="22">
        <f t="shared" si="9"/>
        <v>0</v>
      </c>
      <c r="M681" s="29"/>
      <c r="N681" s="29"/>
      <c r="O681" s="30"/>
      <c r="P681" s="26"/>
      <c r="Q681" s="32"/>
    </row>
    <row r="682" ht="25.5" customHeight="1">
      <c r="A682" s="33"/>
      <c r="B682" s="16"/>
      <c r="C682" s="17"/>
      <c r="D682" s="34" t="str">
        <f>vlookup($C682,CSDL!$A:$E,2,0)</f>
        <v>#N/A</v>
      </c>
      <c r="E682" s="19" t="str">
        <f>vlookup($C682,CSDL!$A:$E,3,0)</f>
        <v>#N/A</v>
      </c>
      <c r="F682" s="19" t="str">
        <f>vlookup($C682,CSDL!$A:$E,4,0)</f>
        <v>#N/A</v>
      </c>
      <c r="G682" s="20" t="str">
        <f>vlookup($C682,CSDL!$A:$E,5,0)</f>
        <v>#N/A</v>
      </c>
      <c r="H682" s="16"/>
      <c r="I682" s="23"/>
      <c r="J682" s="23"/>
      <c r="K682" s="23"/>
      <c r="L682" s="22">
        <f t="shared" si="9"/>
        <v>0</v>
      </c>
      <c r="M682" s="23"/>
      <c r="N682" s="23"/>
      <c r="O682" s="24"/>
      <c r="P682" s="33"/>
      <c r="Q682" s="25"/>
    </row>
    <row r="683" ht="25.5" customHeight="1">
      <c r="A683" s="26"/>
      <c r="B683" s="28"/>
      <c r="C683" s="17"/>
      <c r="D683" s="34" t="str">
        <f>vlookup($C683,CSDL!$A:$E,2,0)</f>
        <v>#N/A</v>
      </c>
      <c r="E683" s="19" t="str">
        <f>vlookup($C683,CSDL!$A:$E,3,0)</f>
        <v>#N/A</v>
      </c>
      <c r="F683" s="19" t="str">
        <f>vlookup($C683,CSDL!$A:$E,4,0)</f>
        <v>#N/A</v>
      </c>
      <c r="G683" s="27" t="str">
        <f>vlookup($C683,CSDL!$A:$E,5,0)</f>
        <v>#N/A</v>
      </c>
      <c r="H683" s="28"/>
      <c r="I683" s="29"/>
      <c r="J683" s="29"/>
      <c r="K683" s="29"/>
      <c r="L683" s="22">
        <f t="shared" si="9"/>
        <v>0</v>
      </c>
      <c r="M683" s="29"/>
      <c r="N683" s="29"/>
      <c r="O683" s="30"/>
      <c r="P683" s="26"/>
      <c r="Q683" s="32"/>
    </row>
    <row r="684" ht="25.5" customHeight="1">
      <c r="A684" s="33"/>
      <c r="B684" s="16"/>
      <c r="C684" s="17"/>
      <c r="D684" s="34" t="str">
        <f>vlookup($C684,CSDL!$A:$E,2,0)</f>
        <v>#N/A</v>
      </c>
      <c r="E684" s="19" t="str">
        <f>vlookup($C684,CSDL!$A:$E,3,0)</f>
        <v>#N/A</v>
      </c>
      <c r="F684" s="19" t="str">
        <f>vlookup($C684,CSDL!$A:$E,4,0)</f>
        <v>#N/A</v>
      </c>
      <c r="G684" s="20" t="str">
        <f>vlookup($C684,CSDL!$A:$E,5,0)</f>
        <v>#N/A</v>
      </c>
      <c r="H684" s="16"/>
      <c r="I684" s="23"/>
      <c r="J684" s="23"/>
      <c r="K684" s="23"/>
      <c r="L684" s="22">
        <f t="shared" si="9"/>
        <v>0</v>
      </c>
      <c r="M684" s="23"/>
      <c r="N684" s="23"/>
      <c r="O684" s="24"/>
      <c r="P684" s="33"/>
      <c r="Q684" s="25"/>
    </row>
    <row r="685" ht="25.5" customHeight="1">
      <c r="A685" s="26"/>
      <c r="B685" s="28"/>
      <c r="C685" s="17"/>
      <c r="D685" s="34" t="str">
        <f>vlookup($C685,CSDL!$A:$E,2,0)</f>
        <v>#N/A</v>
      </c>
      <c r="E685" s="19" t="str">
        <f>vlookup($C685,CSDL!$A:$E,3,0)</f>
        <v>#N/A</v>
      </c>
      <c r="F685" s="19" t="str">
        <f>vlookup($C685,CSDL!$A:$E,4,0)</f>
        <v>#N/A</v>
      </c>
      <c r="G685" s="27" t="str">
        <f>vlookup($C685,CSDL!$A:$E,5,0)</f>
        <v>#N/A</v>
      </c>
      <c r="H685" s="28"/>
      <c r="I685" s="29"/>
      <c r="J685" s="29"/>
      <c r="K685" s="29"/>
      <c r="L685" s="22">
        <f t="shared" si="9"/>
        <v>0</v>
      </c>
      <c r="M685" s="29"/>
      <c r="N685" s="29"/>
      <c r="O685" s="30"/>
      <c r="P685" s="26"/>
      <c r="Q685" s="32"/>
    </row>
    <row r="686" ht="25.5" customHeight="1">
      <c r="A686" s="33"/>
      <c r="B686" s="16"/>
      <c r="C686" s="17"/>
      <c r="D686" s="34" t="str">
        <f>vlookup($C686,CSDL!$A:$E,2,0)</f>
        <v>#N/A</v>
      </c>
      <c r="E686" s="19" t="str">
        <f>vlookup($C686,CSDL!$A:$E,3,0)</f>
        <v>#N/A</v>
      </c>
      <c r="F686" s="19" t="str">
        <f>vlookup($C686,CSDL!$A:$E,4,0)</f>
        <v>#N/A</v>
      </c>
      <c r="G686" s="20" t="str">
        <f>vlookup($C686,CSDL!$A:$E,5,0)</f>
        <v>#N/A</v>
      </c>
      <c r="H686" s="25"/>
      <c r="I686" s="23"/>
      <c r="J686" s="23"/>
      <c r="K686" s="23"/>
      <c r="L686" s="22">
        <f t="shared" si="9"/>
        <v>0</v>
      </c>
      <c r="M686" s="23"/>
      <c r="N686" s="23"/>
      <c r="O686" s="24"/>
      <c r="P686" s="15"/>
      <c r="Q686" s="25"/>
    </row>
    <row r="687" ht="25.5" customHeight="1">
      <c r="A687" s="26"/>
      <c r="B687" s="28"/>
      <c r="C687" s="17"/>
      <c r="D687" s="34" t="str">
        <f>vlookup($C687,CSDL!$A:$E,2,0)</f>
        <v>#N/A</v>
      </c>
      <c r="E687" s="19" t="str">
        <f>vlookup($C687,CSDL!$A:$E,3,0)</f>
        <v>#N/A</v>
      </c>
      <c r="F687" s="19" t="str">
        <f>vlookup($C687,CSDL!$A:$E,4,0)</f>
        <v>#N/A</v>
      </c>
      <c r="G687" s="27" t="str">
        <f>vlookup($C687,CSDL!$A:$E,5,0)</f>
        <v>#N/A</v>
      </c>
      <c r="H687" s="32"/>
      <c r="I687" s="29"/>
      <c r="J687" s="29"/>
      <c r="K687" s="29"/>
      <c r="L687" s="22">
        <f t="shared" si="9"/>
        <v>0</v>
      </c>
      <c r="M687" s="75"/>
      <c r="N687" s="75"/>
      <c r="O687" s="71"/>
      <c r="P687" s="26"/>
      <c r="Q687" s="32"/>
    </row>
    <row r="688" ht="25.5" customHeight="1">
      <c r="A688" s="33"/>
      <c r="B688" s="16"/>
      <c r="C688" s="17"/>
      <c r="D688" s="34" t="str">
        <f>vlookup($C688,CSDL!$A:$E,2,0)</f>
        <v>#N/A</v>
      </c>
      <c r="E688" s="19" t="str">
        <f>vlookup($C688,CSDL!$A:$E,3,0)</f>
        <v>#N/A</v>
      </c>
      <c r="F688" s="19" t="str">
        <f>vlookup($C688,CSDL!$A:$E,4,0)</f>
        <v>#N/A</v>
      </c>
      <c r="G688" s="20" t="str">
        <f>vlookup($C688,CSDL!$A:$E,5,0)</f>
        <v>#N/A</v>
      </c>
      <c r="H688" s="16"/>
      <c r="I688" s="23"/>
      <c r="J688" s="23"/>
      <c r="K688" s="23"/>
      <c r="L688" s="22">
        <f t="shared" si="9"/>
        <v>0</v>
      </c>
      <c r="M688" s="23"/>
      <c r="N688" s="76"/>
      <c r="O688" s="77"/>
      <c r="P688" s="46"/>
      <c r="Q688" s="47"/>
    </row>
    <row r="689" ht="25.5" customHeight="1">
      <c r="A689" s="26"/>
      <c r="B689" s="28"/>
      <c r="C689" s="17"/>
      <c r="D689" s="34" t="str">
        <f>vlookup($C689,CSDL!$A:$E,2,0)</f>
        <v>#N/A</v>
      </c>
      <c r="E689" s="19" t="str">
        <f>vlookup($C689,CSDL!$A:$E,3,0)</f>
        <v>#N/A</v>
      </c>
      <c r="F689" s="19" t="str">
        <f>vlookup($C689,CSDL!$A:$E,4,0)</f>
        <v>#N/A</v>
      </c>
      <c r="G689" s="27" t="str">
        <f>vlookup($C689,CSDL!$A:$E,5,0)</f>
        <v>#N/A</v>
      </c>
      <c r="H689" s="32"/>
      <c r="I689" s="29"/>
      <c r="J689" s="29"/>
      <c r="K689" s="29"/>
      <c r="L689" s="22">
        <f t="shared" si="9"/>
        <v>0</v>
      </c>
      <c r="M689" s="29"/>
      <c r="N689" s="29"/>
      <c r="O689" s="30"/>
      <c r="P689" s="26"/>
      <c r="Q689" s="32"/>
    </row>
    <row r="690" ht="25.5" customHeight="1">
      <c r="A690" s="33"/>
      <c r="B690" s="16"/>
      <c r="C690" s="17"/>
      <c r="D690" s="34" t="str">
        <f>vlookup($C690,CSDL!$A:$E,2,0)</f>
        <v>#N/A</v>
      </c>
      <c r="E690" s="19" t="str">
        <f>vlookup($C690,CSDL!$A:$E,3,0)</f>
        <v>#N/A</v>
      </c>
      <c r="F690" s="19" t="str">
        <f>vlookup($C690,CSDL!$A:$E,4,0)</f>
        <v>#N/A</v>
      </c>
      <c r="G690" s="20" t="str">
        <f>vlookup($C690,CSDL!$A:$E,5,0)</f>
        <v>#N/A</v>
      </c>
      <c r="H690" s="25"/>
      <c r="I690" s="23"/>
      <c r="J690" s="23"/>
      <c r="K690" s="23"/>
      <c r="L690" s="22">
        <f t="shared" si="9"/>
        <v>0</v>
      </c>
      <c r="M690" s="23"/>
      <c r="N690" s="23"/>
      <c r="O690" s="24"/>
      <c r="P690" s="33"/>
      <c r="Q690" s="25"/>
    </row>
    <row r="691" ht="25.5" customHeight="1">
      <c r="A691" s="26"/>
      <c r="B691" s="28"/>
      <c r="C691" s="17"/>
      <c r="D691" s="34" t="str">
        <f>vlookup($C691,CSDL!$A:$E,2,0)</f>
        <v>#N/A</v>
      </c>
      <c r="E691" s="19" t="str">
        <f>vlookup($C691,CSDL!$A:$E,3,0)</f>
        <v>#N/A</v>
      </c>
      <c r="F691" s="19" t="str">
        <f>vlookup($C691,CSDL!$A:$E,4,0)</f>
        <v>#N/A</v>
      </c>
      <c r="G691" s="27" t="str">
        <f>vlookup($C691,CSDL!$A:$E,5,0)</f>
        <v>#N/A</v>
      </c>
      <c r="H691" s="32"/>
      <c r="I691" s="29"/>
      <c r="J691" s="29"/>
      <c r="K691" s="29"/>
      <c r="L691" s="22">
        <f t="shared" si="9"/>
        <v>0</v>
      </c>
      <c r="M691" s="29"/>
      <c r="N691" s="29"/>
      <c r="O691" s="30"/>
      <c r="P691" s="26"/>
      <c r="Q691" s="32"/>
    </row>
    <row r="692" ht="25.5" customHeight="1">
      <c r="A692" s="33"/>
      <c r="B692" s="16"/>
      <c r="C692" s="17"/>
      <c r="D692" s="34" t="str">
        <f>vlookup($C692,CSDL!$A:$E,2,0)</f>
        <v>#N/A</v>
      </c>
      <c r="E692" s="19" t="str">
        <f>vlookup($C692,CSDL!$A:$E,3,0)</f>
        <v>#N/A</v>
      </c>
      <c r="F692" s="19" t="str">
        <f>vlookup($C692,CSDL!$A:$E,4,0)</f>
        <v>#N/A</v>
      </c>
      <c r="G692" s="20" t="str">
        <f>vlookup($C692,CSDL!$A:$E,5,0)</f>
        <v>#N/A</v>
      </c>
      <c r="H692" s="16"/>
      <c r="I692" s="23"/>
      <c r="J692" s="23"/>
      <c r="K692" s="23"/>
      <c r="L692" s="22">
        <f t="shared" si="9"/>
        <v>0</v>
      </c>
      <c r="M692" s="23"/>
      <c r="N692" s="23"/>
      <c r="O692" s="24"/>
      <c r="P692" s="15"/>
      <c r="Q692" s="25"/>
    </row>
    <row r="693" ht="25.5" customHeight="1">
      <c r="A693" s="26"/>
      <c r="B693" s="28"/>
      <c r="C693" s="17"/>
      <c r="D693" s="34" t="str">
        <f>vlookup($C693,CSDL!$A:$E,2,0)</f>
        <v>#N/A</v>
      </c>
      <c r="E693" s="19" t="str">
        <f>vlookup($C693,CSDL!$A:$E,3,0)</f>
        <v>#N/A</v>
      </c>
      <c r="F693" s="19" t="str">
        <f>vlookup($C693,CSDL!$A:$E,4,0)</f>
        <v>#N/A</v>
      </c>
      <c r="G693" s="27" t="str">
        <f>vlookup($C693,CSDL!$A:$E,5,0)</f>
        <v>#N/A</v>
      </c>
      <c r="H693" s="32"/>
      <c r="I693" s="29"/>
      <c r="J693" s="29"/>
      <c r="K693" s="29"/>
      <c r="L693" s="22">
        <f t="shared" si="9"/>
        <v>0</v>
      </c>
      <c r="M693" s="29"/>
      <c r="N693" s="29"/>
      <c r="O693" s="30"/>
      <c r="P693" s="26"/>
      <c r="Q693" s="32"/>
    </row>
    <row r="694" ht="25.5" customHeight="1">
      <c r="A694" s="33"/>
      <c r="B694" s="16"/>
      <c r="C694" s="17"/>
      <c r="D694" s="34" t="str">
        <f>vlookup($C694,CSDL!$A:$E,2,0)</f>
        <v>#N/A</v>
      </c>
      <c r="E694" s="19" t="str">
        <f>vlookup($C694,CSDL!$A:$E,3,0)</f>
        <v>#N/A</v>
      </c>
      <c r="F694" s="19" t="str">
        <f>vlookup($C694,CSDL!$A:$E,4,0)</f>
        <v>#N/A</v>
      </c>
      <c r="G694" s="20" t="str">
        <f>vlookup($C694,CSDL!$A:$E,5,0)</f>
        <v>#N/A</v>
      </c>
      <c r="H694" s="25"/>
      <c r="I694" s="23"/>
      <c r="J694" s="23"/>
      <c r="K694" s="23"/>
      <c r="L694" s="22">
        <f t="shared" si="9"/>
        <v>0</v>
      </c>
      <c r="M694" s="23"/>
      <c r="N694" s="23"/>
      <c r="O694" s="24"/>
      <c r="P694" s="33"/>
      <c r="Q694" s="25"/>
    </row>
    <row r="695" ht="25.5" customHeight="1">
      <c r="A695" s="26"/>
      <c r="B695" s="28"/>
      <c r="C695" s="17"/>
      <c r="D695" s="34" t="str">
        <f>vlookup($C695,CSDL!$A:$E,2,0)</f>
        <v>#N/A</v>
      </c>
      <c r="E695" s="19" t="str">
        <f>vlookup($C695,CSDL!$A:$E,3,0)</f>
        <v>#N/A</v>
      </c>
      <c r="F695" s="19" t="str">
        <f>vlookup($C695,CSDL!$A:$E,4,0)</f>
        <v>#N/A</v>
      </c>
      <c r="G695" s="27" t="str">
        <f>vlookup($C695,CSDL!$A:$E,5,0)</f>
        <v>#N/A</v>
      </c>
      <c r="H695" s="28"/>
      <c r="I695" s="29"/>
      <c r="J695" s="29"/>
      <c r="K695" s="29"/>
      <c r="L695" s="22">
        <f t="shared" si="9"/>
        <v>0</v>
      </c>
      <c r="M695" s="29"/>
      <c r="N695" s="29"/>
      <c r="O695" s="30"/>
      <c r="P695" s="31"/>
      <c r="Q695" s="32"/>
    </row>
    <row r="696" ht="25.5" customHeight="1">
      <c r="A696" s="33"/>
      <c r="B696" s="16"/>
      <c r="C696" s="17"/>
      <c r="D696" s="34" t="str">
        <f>vlookup($C696,CSDL!$A:$E,2,0)</f>
        <v>#N/A</v>
      </c>
      <c r="E696" s="19" t="str">
        <f>vlookup($C696,CSDL!$A:$E,3,0)</f>
        <v>#N/A</v>
      </c>
      <c r="F696" s="19" t="str">
        <f>vlookup($C696,CSDL!$A:$E,4,0)</f>
        <v>#N/A</v>
      </c>
      <c r="G696" s="20" t="str">
        <f>vlookup($C696,CSDL!$A:$E,5,0)</f>
        <v>#N/A</v>
      </c>
      <c r="H696" s="25"/>
      <c r="I696" s="23"/>
      <c r="J696" s="23"/>
      <c r="K696" s="23"/>
      <c r="L696" s="22">
        <f t="shared" si="9"/>
        <v>0</v>
      </c>
      <c r="M696" s="23"/>
      <c r="N696" s="23"/>
      <c r="O696" s="69"/>
      <c r="P696" s="33"/>
      <c r="Q696" s="25"/>
    </row>
    <row r="697" ht="25.5" customHeight="1">
      <c r="A697" s="26"/>
      <c r="B697" s="28"/>
      <c r="C697" s="17"/>
      <c r="D697" s="34" t="str">
        <f>vlookup($C697,CSDL!$A:$E,2,0)</f>
        <v>#N/A</v>
      </c>
      <c r="E697" s="19" t="str">
        <f>vlookup($C697,CSDL!$A:$E,3,0)</f>
        <v>#N/A</v>
      </c>
      <c r="F697" s="19" t="str">
        <f>vlookup($C697,CSDL!$A:$E,4,0)</f>
        <v>#N/A</v>
      </c>
      <c r="G697" s="27" t="str">
        <f>vlookup($C697,CSDL!$A:$E,5,0)</f>
        <v>#N/A</v>
      </c>
      <c r="H697" s="32"/>
      <c r="I697" s="29"/>
      <c r="J697" s="29"/>
      <c r="K697" s="29"/>
      <c r="L697" s="22">
        <f t="shared" si="9"/>
        <v>0</v>
      </c>
      <c r="M697" s="29"/>
      <c r="N697" s="29"/>
      <c r="O697" s="30"/>
      <c r="P697" s="26"/>
      <c r="Q697" s="32"/>
    </row>
    <row r="698" ht="25.5" customHeight="1">
      <c r="A698" s="33"/>
      <c r="B698" s="16"/>
      <c r="C698" s="17"/>
      <c r="D698" s="34" t="str">
        <f>vlookup($C698,CSDL!$A:$E,2,0)</f>
        <v>#N/A</v>
      </c>
      <c r="E698" s="19" t="str">
        <f>vlookup($C698,CSDL!$A:$E,3,0)</f>
        <v>#N/A</v>
      </c>
      <c r="F698" s="19" t="str">
        <f>vlookup($C698,CSDL!$A:$E,4,0)</f>
        <v>#N/A</v>
      </c>
      <c r="G698" s="20" t="str">
        <f>vlookup($C698,CSDL!$A:$E,5,0)</f>
        <v>#N/A</v>
      </c>
      <c r="H698" s="25"/>
      <c r="I698" s="23"/>
      <c r="J698" s="23"/>
      <c r="K698" s="23"/>
      <c r="L698" s="22">
        <f t="shared" si="9"/>
        <v>0</v>
      </c>
      <c r="M698" s="23"/>
      <c r="N698" s="23"/>
      <c r="O698" s="24"/>
      <c r="P698" s="15"/>
      <c r="Q698" s="47"/>
    </row>
    <row r="699" ht="25.5" customHeight="1">
      <c r="A699" s="26"/>
      <c r="B699" s="28"/>
      <c r="C699" s="17"/>
      <c r="D699" s="34" t="str">
        <f>vlookup($C699,CSDL!$A:$E,2,0)</f>
        <v>#N/A</v>
      </c>
      <c r="E699" s="19" t="str">
        <f>vlookup($C699,CSDL!$A:$E,3,0)</f>
        <v>#N/A</v>
      </c>
      <c r="F699" s="19" t="str">
        <f>vlookup($C699,CSDL!$A:$E,4,0)</f>
        <v>#N/A</v>
      </c>
      <c r="G699" s="27" t="str">
        <f>vlookup($C699,CSDL!$A:$E,5,0)</f>
        <v>#N/A</v>
      </c>
      <c r="H699" s="32"/>
      <c r="I699" s="29"/>
      <c r="J699" s="29"/>
      <c r="K699" s="29"/>
      <c r="L699" s="22">
        <f t="shared" si="9"/>
        <v>0</v>
      </c>
      <c r="M699" s="29"/>
      <c r="N699" s="29"/>
      <c r="O699" s="30"/>
      <c r="P699" s="26"/>
      <c r="Q699" s="45"/>
    </row>
    <row r="700" ht="25.5" customHeight="1">
      <c r="A700" s="33"/>
      <c r="B700" s="16"/>
      <c r="C700" s="17"/>
      <c r="D700" s="34" t="str">
        <f>vlookup($C700,CSDL!$A:$E,2,0)</f>
        <v>#N/A</v>
      </c>
      <c r="E700" s="19" t="str">
        <f>vlookup($C700,CSDL!$A:$E,3,0)</f>
        <v>#N/A</v>
      </c>
      <c r="F700" s="19" t="str">
        <f>vlookup($C700,CSDL!$A:$E,4,0)</f>
        <v>#N/A</v>
      </c>
      <c r="G700" s="20" t="str">
        <f>vlookup($C700,CSDL!$A:$E,5,0)</f>
        <v>#N/A</v>
      </c>
      <c r="H700" s="16"/>
      <c r="I700" s="23"/>
      <c r="J700" s="23"/>
      <c r="K700" s="23"/>
      <c r="L700" s="22">
        <f t="shared" si="9"/>
        <v>0</v>
      </c>
      <c r="M700" s="23"/>
      <c r="N700" s="23"/>
      <c r="O700" s="24"/>
      <c r="P700" s="33"/>
      <c r="Q700" s="25"/>
    </row>
    <row r="701" ht="25.5" customHeight="1">
      <c r="A701" s="26"/>
      <c r="B701" s="28"/>
      <c r="C701" s="17"/>
      <c r="D701" s="34" t="str">
        <f>vlookup($C701,CSDL!$A:$E,2,0)</f>
        <v>#N/A</v>
      </c>
      <c r="E701" s="19" t="str">
        <f>vlookup($C701,CSDL!$A:$E,3,0)</f>
        <v>#N/A</v>
      </c>
      <c r="F701" s="19" t="str">
        <f>vlookup($C701,CSDL!$A:$E,4,0)</f>
        <v>#N/A</v>
      </c>
      <c r="G701" s="27" t="str">
        <f>vlookup($C701,CSDL!$A:$E,5,0)</f>
        <v>#N/A</v>
      </c>
      <c r="H701" s="32"/>
      <c r="I701" s="29"/>
      <c r="J701" s="29"/>
      <c r="K701" s="29"/>
      <c r="L701" s="22">
        <f t="shared" si="9"/>
        <v>0</v>
      </c>
      <c r="M701" s="75"/>
      <c r="N701" s="75"/>
      <c r="O701" s="71"/>
      <c r="P701" s="26"/>
      <c r="Q701" s="32"/>
    </row>
    <row r="702" ht="25.5" customHeight="1">
      <c r="A702" s="33"/>
      <c r="B702" s="16"/>
      <c r="C702" s="17"/>
      <c r="D702" s="34" t="str">
        <f>vlookup($C702,CSDL!$A:$E,2,0)</f>
        <v>#N/A</v>
      </c>
      <c r="E702" s="19" t="str">
        <f>vlookup($C702,CSDL!$A:$E,3,0)</f>
        <v>#N/A</v>
      </c>
      <c r="F702" s="19" t="str">
        <f>vlookup($C702,CSDL!$A:$E,4,0)</f>
        <v>#N/A</v>
      </c>
      <c r="G702" s="20" t="str">
        <f>vlookup($C702,CSDL!$A:$E,5,0)</f>
        <v>#N/A</v>
      </c>
      <c r="H702" s="16"/>
      <c r="I702" s="23"/>
      <c r="J702" s="23"/>
      <c r="K702" s="23"/>
      <c r="L702" s="22">
        <f t="shared" si="9"/>
        <v>0</v>
      </c>
      <c r="M702" s="23"/>
      <c r="N702" s="23"/>
      <c r="O702" s="24"/>
      <c r="P702" s="33"/>
      <c r="Q702" s="25"/>
    </row>
    <row r="703" ht="25.5" customHeight="1">
      <c r="A703" s="26"/>
      <c r="B703" s="28"/>
      <c r="C703" s="17"/>
      <c r="D703" s="34" t="str">
        <f>vlookup($C703,CSDL!$A:$E,2,0)</f>
        <v>#N/A</v>
      </c>
      <c r="E703" s="19" t="str">
        <f>vlookup($C703,CSDL!$A:$E,3,0)</f>
        <v>#N/A</v>
      </c>
      <c r="F703" s="19" t="str">
        <f>vlookup($C703,CSDL!$A:$E,4,0)</f>
        <v>#N/A</v>
      </c>
      <c r="G703" s="27" t="str">
        <f>vlookup($C703,CSDL!$A:$E,5,0)</f>
        <v>#N/A</v>
      </c>
      <c r="H703" s="28"/>
      <c r="I703" s="29"/>
      <c r="J703" s="29"/>
      <c r="K703" s="29"/>
      <c r="L703" s="22">
        <f t="shared" si="9"/>
        <v>0</v>
      </c>
      <c r="M703" s="29"/>
      <c r="N703" s="29"/>
      <c r="O703" s="30"/>
      <c r="P703" s="26"/>
      <c r="Q703" s="32"/>
    </row>
    <row r="704" ht="25.5" customHeight="1">
      <c r="A704" s="33"/>
      <c r="B704" s="16"/>
      <c r="C704" s="17"/>
      <c r="D704" s="34" t="str">
        <f>vlookup($C704,CSDL!$A:$E,2,0)</f>
        <v>#N/A</v>
      </c>
      <c r="E704" s="19" t="str">
        <f>vlookup($C704,CSDL!$A:$E,3,0)</f>
        <v>#N/A</v>
      </c>
      <c r="F704" s="19" t="str">
        <f>vlookup($C704,CSDL!$A:$E,4,0)</f>
        <v>#N/A</v>
      </c>
      <c r="G704" s="20" t="str">
        <f>vlookup($C704,CSDL!$A:$E,5,0)</f>
        <v>#N/A</v>
      </c>
      <c r="H704" s="25"/>
      <c r="I704" s="23"/>
      <c r="J704" s="23"/>
      <c r="K704" s="23"/>
      <c r="L704" s="22">
        <f t="shared" si="9"/>
        <v>0</v>
      </c>
      <c r="M704" s="78"/>
      <c r="N704" s="78"/>
      <c r="O704" s="24"/>
      <c r="P704" s="33"/>
      <c r="Q704" s="25"/>
    </row>
    <row r="705" ht="25.5" customHeight="1">
      <c r="A705" s="26"/>
      <c r="B705" s="28"/>
      <c r="C705" s="17"/>
      <c r="D705" s="34" t="str">
        <f>vlookup($C705,CSDL!$A:$E,2,0)</f>
        <v>#N/A</v>
      </c>
      <c r="E705" s="19" t="str">
        <f>vlookup($C705,CSDL!$A:$E,3,0)</f>
        <v>#N/A</v>
      </c>
      <c r="F705" s="19" t="str">
        <f>vlookup($C705,CSDL!$A:$E,4,0)</f>
        <v>#N/A</v>
      </c>
      <c r="G705" s="27" t="str">
        <f>vlookup($C705,CSDL!$A:$E,5,0)</f>
        <v>#N/A</v>
      </c>
      <c r="H705" s="28"/>
      <c r="I705" s="29"/>
      <c r="J705" s="29"/>
      <c r="K705" s="29"/>
      <c r="L705" s="22">
        <f t="shared" si="9"/>
        <v>0</v>
      </c>
      <c r="M705" s="29"/>
      <c r="N705" s="29"/>
      <c r="O705" s="30"/>
      <c r="P705" s="26"/>
      <c r="Q705" s="32"/>
    </row>
    <row r="706" ht="25.5" customHeight="1">
      <c r="A706" s="33"/>
      <c r="B706" s="16"/>
      <c r="C706" s="17"/>
      <c r="D706" s="34" t="str">
        <f>vlookup($C706,CSDL!$A:$E,2,0)</f>
        <v>#N/A</v>
      </c>
      <c r="E706" s="19" t="str">
        <f>vlookup($C706,CSDL!$A:$E,3,0)</f>
        <v>#N/A</v>
      </c>
      <c r="F706" s="19" t="str">
        <f>vlookup($C706,CSDL!$A:$E,4,0)</f>
        <v>#N/A</v>
      </c>
      <c r="G706" s="20" t="str">
        <f>vlookup($C706,CSDL!$A:$E,5,0)</f>
        <v>#N/A</v>
      </c>
      <c r="H706" s="25"/>
      <c r="I706" s="23"/>
      <c r="J706" s="23"/>
      <c r="K706" s="23"/>
      <c r="L706" s="22">
        <f t="shared" si="9"/>
        <v>0</v>
      </c>
      <c r="M706" s="23"/>
      <c r="N706" s="23"/>
      <c r="O706" s="69"/>
      <c r="P706" s="33"/>
      <c r="Q706" s="25"/>
    </row>
    <row r="707" ht="25.5" customHeight="1">
      <c r="A707" s="26"/>
      <c r="B707" s="28"/>
      <c r="C707" s="17"/>
      <c r="D707" s="34" t="str">
        <f>vlookup($C707,CSDL!$A:$E,2,0)</f>
        <v>#N/A</v>
      </c>
      <c r="E707" s="19" t="str">
        <f>vlookup($C707,CSDL!$A:$E,3,0)</f>
        <v>#N/A</v>
      </c>
      <c r="F707" s="19" t="str">
        <f>vlookup($C707,CSDL!$A:$E,4,0)</f>
        <v>#N/A</v>
      </c>
      <c r="G707" s="27" t="str">
        <f>vlookup($C707,CSDL!$A:$E,5,0)</f>
        <v>#N/A</v>
      </c>
      <c r="H707" s="32"/>
      <c r="I707" s="29"/>
      <c r="J707" s="29"/>
      <c r="K707" s="29"/>
      <c r="L707" s="22">
        <f t="shared" si="9"/>
        <v>0</v>
      </c>
      <c r="M707" s="29"/>
      <c r="N707" s="29"/>
      <c r="O707" s="30"/>
      <c r="P707" s="26"/>
      <c r="Q707" s="32"/>
    </row>
    <row r="708" ht="25.5" customHeight="1">
      <c r="A708" s="33"/>
      <c r="B708" s="16"/>
      <c r="C708" s="17"/>
      <c r="D708" s="34" t="str">
        <f>vlookup($C708,CSDL!$A:$E,2,0)</f>
        <v>#N/A</v>
      </c>
      <c r="E708" s="19" t="str">
        <f>vlookup($C708,CSDL!$A:$E,3,0)</f>
        <v>#N/A</v>
      </c>
      <c r="F708" s="19" t="str">
        <f>vlookup($C708,CSDL!$A:$E,4,0)</f>
        <v>#N/A</v>
      </c>
      <c r="G708" s="20" t="str">
        <f>vlookup($C708,CSDL!$A:$E,5,0)</f>
        <v>#N/A</v>
      </c>
      <c r="H708" s="16"/>
      <c r="I708" s="23"/>
      <c r="J708" s="23"/>
      <c r="K708" s="23"/>
      <c r="L708" s="22">
        <f t="shared" si="9"/>
        <v>0</v>
      </c>
      <c r="M708" s="23"/>
      <c r="N708" s="23"/>
      <c r="O708" s="69"/>
      <c r="P708" s="33"/>
      <c r="Q708" s="25"/>
    </row>
    <row r="709" ht="25.5" customHeight="1">
      <c r="A709" s="26"/>
      <c r="B709" s="28"/>
      <c r="C709" s="17"/>
      <c r="D709" s="34" t="str">
        <f>vlookup($C709,CSDL!$A:$E,2,0)</f>
        <v>#N/A</v>
      </c>
      <c r="E709" s="19" t="str">
        <f>vlookup($C709,CSDL!$A:$E,3,0)</f>
        <v>#N/A</v>
      </c>
      <c r="F709" s="19" t="str">
        <f>vlookup($C709,CSDL!$A:$E,4,0)</f>
        <v>#N/A</v>
      </c>
      <c r="G709" s="27" t="str">
        <f>vlookup($C709,CSDL!$A:$E,5,0)</f>
        <v>#N/A</v>
      </c>
      <c r="H709" s="28"/>
      <c r="I709" s="29"/>
      <c r="J709" s="29"/>
      <c r="K709" s="29"/>
      <c r="L709" s="22">
        <f t="shared" si="9"/>
        <v>0</v>
      </c>
      <c r="M709" s="29"/>
      <c r="N709" s="29"/>
      <c r="O709" s="71"/>
      <c r="P709" s="26"/>
      <c r="Q709" s="32"/>
    </row>
    <row r="710" ht="25.5" customHeight="1">
      <c r="A710" s="33"/>
      <c r="B710" s="16"/>
      <c r="C710" s="17"/>
      <c r="D710" s="34" t="str">
        <f>vlookup($C710,CSDL!$A:$E,2,0)</f>
        <v>#N/A</v>
      </c>
      <c r="E710" s="19" t="str">
        <f>vlookup($C710,CSDL!$A:$E,3,0)</f>
        <v>#N/A</v>
      </c>
      <c r="F710" s="19" t="str">
        <f>vlookup($C710,CSDL!$A:$E,4,0)</f>
        <v>#N/A</v>
      </c>
      <c r="G710" s="20" t="str">
        <f>vlookup($C710,CSDL!$A:$E,5,0)</f>
        <v>#N/A</v>
      </c>
      <c r="H710" s="16"/>
      <c r="I710" s="23"/>
      <c r="J710" s="23"/>
      <c r="K710" s="23"/>
      <c r="L710" s="22">
        <f t="shared" si="9"/>
        <v>0</v>
      </c>
      <c r="M710" s="78"/>
      <c r="N710" s="78"/>
      <c r="O710" s="69"/>
      <c r="P710" s="33"/>
      <c r="Q710" s="25"/>
    </row>
    <row r="711" ht="25.5" customHeight="1">
      <c r="A711" s="26"/>
      <c r="B711" s="28"/>
      <c r="C711" s="17"/>
      <c r="D711" s="34" t="str">
        <f>vlookup($C711,CSDL!$A:$E,2,0)</f>
        <v>#N/A</v>
      </c>
      <c r="E711" s="19" t="str">
        <f>vlookup($C711,CSDL!$A:$E,3,0)</f>
        <v>#N/A</v>
      </c>
      <c r="F711" s="19" t="str">
        <f>vlookup($C711,CSDL!$A:$E,4,0)</f>
        <v>#N/A</v>
      </c>
      <c r="G711" s="27" t="str">
        <f>vlookup($C711,CSDL!$A:$E,5,0)</f>
        <v>#N/A</v>
      </c>
      <c r="H711" s="28"/>
      <c r="I711" s="29"/>
      <c r="J711" s="29"/>
      <c r="K711" s="29"/>
      <c r="L711" s="22">
        <f t="shared" si="9"/>
        <v>0</v>
      </c>
      <c r="M711" s="29"/>
      <c r="N711" s="29"/>
      <c r="O711" s="30"/>
      <c r="P711" s="26"/>
      <c r="Q711" s="32"/>
    </row>
    <row r="712" ht="25.5" customHeight="1">
      <c r="A712" s="33"/>
      <c r="B712" s="16"/>
      <c r="C712" s="17"/>
      <c r="D712" s="34" t="str">
        <f>vlookup($C712,CSDL!$A:$E,2,0)</f>
        <v>#N/A</v>
      </c>
      <c r="E712" s="19" t="str">
        <f>vlookup($C712,CSDL!$A:$E,3,0)</f>
        <v>#N/A</v>
      </c>
      <c r="F712" s="19" t="str">
        <f>vlookup($C712,CSDL!$A:$E,4,0)</f>
        <v>#N/A</v>
      </c>
      <c r="G712" s="20" t="str">
        <f>vlookup($C712,CSDL!$A:$E,5,0)</f>
        <v>#N/A</v>
      </c>
      <c r="H712" s="25"/>
      <c r="I712" s="23"/>
      <c r="J712" s="23"/>
      <c r="K712" s="23"/>
      <c r="L712" s="22">
        <f t="shared" si="9"/>
        <v>0</v>
      </c>
      <c r="M712" s="78"/>
      <c r="N712" s="78"/>
      <c r="O712" s="69"/>
      <c r="P712" s="33"/>
      <c r="Q712" s="25"/>
    </row>
    <row r="713" ht="25.5" customHeight="1">
      <c r="A713" s="26"/>
      <c r="B713" s="28"/>
      <c r="C713" s="17"/>
      <c r="D713" s="34" t="str">
        <f>vlookup($C713,CSDL!$A:$E,2,0)</f>
        <v>#N/A</v>
      </c>
      <c r="E713" s="19" t="str">
        <f>vlookup($C713,CSDL!$A:$E,3,0)</f>
        <v>#N/A</v>
      </c>
      <c r="F713" s="19" t="str">
        <f>vlookup($C713,CSDL!$A:$E,4,0)</f>
        <v>#N/A</v>
      </c>
      <c r="G713" s="27" t="str">
        <f>vlookup($C713,CSDL!$A:$E,5,0)</f>
        <v>#N/A</v>
      </c>
      <c r="H713" s="32"/>
      <c r="I713" s="29"/>
      <c r="J713" s="29"/>
      <c r="K713" s="29"/>
      <c r="L713" s="22">
        <f t="shared" si="9"/>
        <v>0</v>
      </c>
      <c r="M713" s="29"/>
      <c r="N713" s="29"/>
      <c r="O713" s="30"/>
      <c r="P713" s="26"/>
      <c r="Q713" s="32"/>
    </row>
    <row r="714" ht="25.5" customHeight="1">
      <c r="A714" s="33"/>
      <c r="B714" s="16"/>
      <c r="C714" s="17"/>
      <c r="D714" s="34" t="str">
        <f>vlookup($C714,CSDL!$A:$E,2,0)</f>
        <v>#N/A</v>
      </c>
      <c r="E714" s="19" t="str">
        <f>vlookup($C714,CSDL!$A:$E,3,0)</f>
        <v>#N/A</v>
      </c>
      <c r="F714" s="19" t="str">
        <f>vlookup($C714,CSDL!$A:$E,4,0)</f>
        <v>#N/A</v>
      </c>
      <c r="G714" s="20" t="str">
        <f>vlookup($C714,CSDL!$A:$E,5,0)</f>
        <v>#N/A</v>
      </c>
      <c r="H714" s="16"/>
      <c r="I714" s="23"/>
      <c r="J714" s="23"/>
      <c r="K714" s="23"/>
      <c r="L714" s="22">
        <f t="shared" si="9"/>
        <v>0</v>
      </c>
      <c r="M714" s="23"/>
      <c r="N714" s="23"/>
      <c r="O714" s="24"/>
      <c r="P714" s="33"/>
      <c r="Q714" s="25"/>
    </row>
    <row r="715" ht="25.5" customHeight="1">
      <c r="A715" s="26"/>
      <c r="B715" s="28"/>
      <c r="C715" s="17"/>
      <c r="D715" s="34" t="str">
        <f>vlookup($C715,CSDL!$A:$E,2,0)</f>
        <v>#N/A</v>
      </c>
      <c r="E715" s="19" t="str">
        <f>vlookup($C715,CSDL!$A:$E,3,0)</f>
        <v>#N/A</v>
      </c>
      <c r="F715" s="19" t="str">
        <f>vlookup($C715,CSDL!$A:$E,4,0)</f>
        <v>#N/A</v>
      </c>
      <c r="G715" s="27" t="str">
        <f>vlookup($C715,CSDL!$A:$E,5,0)</f>
        <v>#N/A</v>
      </c>
      <c r="H715" s="32"/>
      <c r="I715" s="29"/>
      <c r="J715" s="29"/>
      <c r="K715" s="29"/>
      <c r="L715" s="22">
        <f t="shared" si="9"/>
        <v>0</v>
      </c>
      <c r="M715" s="29"/>
      <c r="N715" s="29"/>
      <c r="O715" s="30"/>
      <c r="P715" s="26"/>
      <c r="Q715" s="32"/>
    </row>
    <row r="716" ht="25.5" customHeight="1">
      <c r="A716" s="33"/>
      <c r="B716" s="16"/>
      <c r="C716" s="17"/>
      <c r="D716" s="34" t="str">
        <f>vlookup($C716,CSDL!$A:$E,2,0)</f>
        <v>#N/A</v>
      </c>
      <c r="E716" s="19" t="str">
        <f>vlookup($C716,CSDL!$A:$E,3,0)</f>
        <v>#N/A</v>
      </c>
      <c r="F716" s="19" t="str">
        <f>vlookup($C716,CSDL!$A:$E,4,0)</f>
        <v>#N/A</v>
      </c>
      <c r="G716" s="20" t="str">
        <f>vlookup($C716,CSDL!$A:$E,5,0)</f>
        <v>#N/A</v>
      </c>
      <c r="H716" s="25"/>
      <c r="I716" s="23"/>
      <c r="J716" s="23"/>
      <c r="K716" s="23"/>
      <c r="L716" s="22">
        <f t="shared" si="9"/>
        <v>0</v>
      </c>
      <c r="M716" s="23"/>
      <c r="N716" s="23"/>
      <c r="O716" s="69"/>
      <c r="P716" s="33"/>
      <c r="Q716" s="25"/>
    </row>
    <row r="717" ht="25.5" customHeight="1">
      <c r="A717" s="26"/>
      <c r="B717" s="28"/>
      <c r="C717" s="17"/>
      <c r="D717" s="34" t="str">
        <f>vlookup($C717,CSDL!$A:$E,2,0)</f>
        <v>#N/A</v>
      </c>
      <c r="E717" s="19" t="str">
        <f>vlookup($C717,CSDL!$A:$E,3,0)</f>
        <v>#N/A</v>
      </c>
      <c r="F717" s="19" t="str">
        <f>vlookup($C717,CSDL!$A:$E,4,0)</f>
        <v>#N/A</v>
      </c>
      <c r="G717" s="27" t="str">
        <f>vlookup($C717,CSDL!$A:$E,5,0)</f>
        <v>#N/A</v>
      </c>
      <c r="H717" s="28"/>
      <c r="I717" s="29"/>
      <c r="J717" s="29"/>
      <c r="K717" s="29"/>
      <c r="L717" s="22">
        <f t="shared" si="9"/>
        <v>0</v>
      </c>
      <c r="M717" s="29"/>
      <c r="N717" s="29"/>
      <c r="O717" s="71"/>
      <c r="P717" s="26"/>
      <c r="Q717" s="32"/>
    </row>
    <row r="718" ht="25.5" customHeight="1">
      <c r="A718" s="33"/>
      <c r="B718" s="16"/>
      <c r="C718" s="17"/>
      <c r="D718" s="34" t="str">
        <f>vlookup($C718,CSDL!$A:$E,2,0)</f>
        <v>#N/A</v>
      </c>
      <c r="E718" s="19" t="str">
        <f>vlookup($C718,CSDL!$A:$E,3,0)</f>
        <v>#N/A</v>
      </c>
      <c r="F718" s="19" t="str">
        <f>vlookup($C718,CSDL!$A:$E,4,0)</f>
        <v>#N/A</v>
      </c>
      <c r="G718" s="20" t="str">
        <f>vlookup($C718,CSDL!$A:$E,5,0)</f>
        <v>#N/A</v>
      </c>
      <c r="H718" s="16"/>
      <c r="I718" s="23"/>
      <c r="J718" s="23"/>
      <c r="K718" s="23"/>
      <c r="L718" s="22">
        <f t="shared" si="9"/>
        <v>0</v>
      </c>
      <c r="M718" s="23"/>
      <c r="N718" s="23"/>
      <c r="O718" s="24"/>
      <c r="P718" s="33"/>
      <c r="Q718" s="25"/>
    </row>
    <row r="719" ht="25.5" customHeight="1">
      <c r="A719" s="26"/>
      <c r="B719" s="28"/>
      <c r="C719" s="17"/>
      <c r="D719" s="34" t="str">
        <f>vlookup($C719,CSDL!$A:$E,2,0)</f>
        <v>#N/A</v>
      </c>
      <c r="E719" s="19" t="str">
        <f>vlookup($C719,CSDL!$A:$E,3,0)</f>
        <v>#N/A</v>
      </c>
      <c r="F719" s="19" t="str">
        <f>vlookup($C719,CSDL!$A:$E,4,0)</f>
        <v>#N/A</v>
      </c>
      <c r="G719" s="27" t="str">
        <f>vlookup($C719,CSDL!$A:$E,5,0)</f>
        <v>#N/A</v>
      </c>
      <c r="H719" s="28"/>
      <c r="I719" s="29"/>
      <c r="J719" s="29"/>
      <c r="K719" s="29"/>
      <c r="L719" s="22">
        <f t="shared" si="9"/>
        <v>0</v>
      </c>
      <c r="M719" s="29"/>
      <c r="N719" s="29"/>
      <c r="O719" s="30"/>
      <c r="P719" s="26"/>
      <c r="Q719" s="32"/>
    </row>
    <row r="720" ht="25.5" customHeight="1">
      <c r="A720" s="33"/>
      <c r="B720" s="16"/>
      <c r="C720" s="17"/>
      <c r="D720" s="34" t="str">
        <f>vlookup($C720,CSDL!$A:$E,2,0)</f>
        <v>#N/A</v>
      </c>
      <c r="E720" s="19" t="str">
        <f>vlookup($C720,CSDL!$A:$E,3,0)</f>
        <v>#N/A</v>
      </c>
      <c r="F720" s="19" t="str">
        <f>vlookup($C720,CSDL!$A:$E,4,0)</f>
        <v>#N/A</v>
      </c>
      <c r="G720" s="20" t="str">
        <f>vlookup($C720,CSDL!$A:$E,5,0)</f>
        <v>#N/A</v>
      </c>
      <c r="H720" s="25"/>
      <c r="I720" s="23"/>
      <c r="J720" s="23"/>
      <c r="K720" s="23"/>
      <c r="L720" s="22">
        <f t="shared" si="9"/>
        <v>0</v>
      </c>
      <c r="M720" s="23"/>
      <c r="N720" s="23"/>
      <c r="O720" s="24"/>
      <c r="P720" s="33"/>
      <c r="Q720" s="25"/>
    </row>
    <row r="721" ht="25.5" customHeight="1">
      <c r="A721" s="26"/>
      <c r="B721" s="28"/>
      <c r="C721" s="17"/>
      <c r="D721" s="34" t="str">
        <f>vlookup($C721,CSDL!$A:$E,2,0)</f>
        <v>#N/A</v>
      </c>
      <c r="E721" s="19" t="str">
        <f>vlookup($C721,CSDL!$A:$E,3,0)</f>
        <v>#N/A</v>
      </c>
      <c r="F721" s="19" t="str">
        <f>vlookup($C721,CSDL!$A:$E,4,0)</f>
        <v>#N/A</v>
      </c>
      <c r="G721" s="27" t="str">
        <f>vlookup($C721,CSDL!$A:$E,5,0)</f>
        <v>#N/A</v>
      </c>
      <c r="H721" s="32"/>
      <c r="I721" s="29"/>
      <c r="J721" s="29"/>
      <c r="K721" s="29"/>
      <c r="L721" s="22">
        <f t="shared" si="9"/>
        <v>0</v>
      </c>
      <c r="M721" s="29"/>
      <c r="N721" s="29"/>
      <c r="O721" s="30"/>
      <c r="P721" s="31"/>
      <c r="Q721" s="32"/>
    </row>
    <row r="722" ht="25.5" customHeight="1">
      <c r="A722" s="33"/>
      <c r="B722" s="16"/>
      <c r="C722" s="17"/>
      <c r="D722" s="34" t="str">
        <f>vlookup($C722,CSDL!$A:$E,2,0)</f>
        <v>#N/A</v>
      </c>
      <c r="E722" s="19" t="str">
        <f>vlookup($C722,CSDL!$A:$E,3,0)</f>
        <v>#N/A</v>
      </c>
      <c r="F722" s="19" t="str">
        <f>vlookup($C722,CSDL!$A:$E,4,0)</f>
        <v>#N/A</v>
      </c>
      <c r="G722" s="20" t="str">
        <f>vlookup($C722,CSDL!$A:$E,5,0)</f>
        <v>#N/A</v>
      </c>
      <c r="H722" s="16"/>
      <c r="I722" s="23"/>
      <c r="J722" s="23"/>
      <c r="K722" s="23"/>
      <c r="L722" s="22">
        <f t="shared" si="9"/>
        <v>0</v>
      </c>
      <c r="M722" s="23"/>
      <c r="N722" s="23"/>
      <c r="O722" s="69"/>
      <c r="P722" s="33"/>
      <c r="Q722" s="25"/>
    </row>
    <row r="723" ht="25.5" customHeight="1">
      <c r="A723" s="26"/>
      <c r="B723" s="28"/>
      <c r="C723" s="17"/>
      <c r="D723" s="34" t="str">
        <f>vlookup($C723,CSDL!$A:$E,2,0)</f>
        <v>#N/A</v>
      </c>
      <c r="E723" s="19" t="str">
        <f>vlookup($C723,CSDL!$A:$E,3,0)</f>
        <v>#N/A</v>
      </c>
      <c r="F723" s="19" t="str">
        <f>vlookup($C723,CSDL!$A:$E,4,0)</f>
        <v>#N/A</v>
      </c>
      <c r="G723" s="27" t="str">
        <f>vlookup($C723,CSDL!$A:$E,5,0)</f>
        <v>#N/A</v>
      </c>
      <c r="H723" s="32"/>
      <c r="I723" s="29"/>
      <c r="J723" s="29"/>
      <c r="K723" s="29"/>
      <c r="L723" s="22">
        <f t="shared" si="9"/>
        <v>0</v>
      </c>
      <c r="M723" s="29"/>
      <c r="N723" s="29"/>
      <c r="O723" s="30"/>
      <c r="P723" s="26"/>
      <c r="Q723" s="32"/>
    </row>
    <row r="724" ht="25.5" customHeight="1">
      <c r="A724" s="33"/>
      <c r="B724" s="16"/>
      <c r="C724" s="17"/>
      <c r="D724" s="34" t="str">
        <f>vlookup($C724,CSDL!$A:$E,2,0)</f>
        <v>#N/A</v>
      </c>
      <c r="E724" s="19" t="str">
        <f>vlookup($C724,CSDL!$A:$E,3,0)</f>
        <v>#N/A</v>
      </c>
      <c r="F724" s="19" t="str">
        <f>vlookup($C724,CSDL!$A:$E,4,0)</f>
        <v>#N/A</v>
      </c>
      <c r="G724" s="20" t="str">
        <f>vlookup($C724,CSDL!$A:$E,5,0)</f>
        <v>#N/A</v>
      </c>
      <c r="H724" s="25"/>
      <c r="I724" s="23"/>
      <c r="J724" s="23"/>
      <c r="K724" s="23"/>
      <c r="L724" s="22">
        <f t="shared" si="9"/>
        <v>0</v>
      </c>
      <c r="M724" s="23"/>
      <c r="N724" s="23"/>
      <c r="O724" s="24"/>
      <c r="P724" s="33"/>
      <c r="Q724" s="25"/>
    </row>
    <row r="725" ht="25.5" customHeight="1">
      <c r="A725" s="26"/>
      <c r="B725" s="28"/>
      <c r="C725" s="17"/>
      <c r="D725" s="34" t="str">
        <f>vlookup($C725,CSDL!$A:$E,2,0)</f>
        <v>#N/A</v>
      </c>
      <c r="E725" s="19" t="str">
        <f>vlookup($C725,CSDL!$A:$E,3,0)</f>
        <v>#N/A</v>
      </c>
      <c r="F725" s="19" t="str">
        <f>vlookup($C725,CSDL!$A:$E,4,0)</f>
        <v>#N/A</v>
      </c>
      <c r="G725" s="27" t="str">
        <f>vlookup($C725,CSDL!$A:$E,5,0)</f>
        <v>#N/A</v>
      </c>
      <c r="H725" s="28"/>
      <c r="I725" s="29"/>
      <c r="J725" s="29"/>
      <c r="K725" s="29"/>
      <c r="L725" s="22">
        <f t="shared" si="9"/>
        <v>0</v>
      </c>
      <c r="M725" s="29"/>
      <c r="N725" s="29"/>
      <c r="O725" s="30"/>
      <c r="P725" s="26"/>
      <c r="Q725" s="32"/>
    </row>
    <row r="726" ht="25.5" customHeight="1">
      <c r="A726" s="33"/>
      <c r="B726" s="16"/>
      <c r="C726" s="17"/>
      <c r="D726" s="34" t="str">
        <f>vlookup($C726,CSDL!$A:$E,2,0)</f>
        <v>#N/A</v>
      </c>
      <c r="E726" s="19" t="str">
        <f>vlookup($C726,CSDL!$A:$E,3,0)</f>
        <v>#N/A</v>
      </c>
      <c r="F726" s="19" t="str">
        <f>vlookup($C726,CSDL!$A:$E,4,0)</f>
        <v>#N/A</v>
      </c>
      <c r="G726" s="20" t="str">
        <f>vlookup($C726,CSDL!$A:$E,5,0)</f>
        <v>#N/A</v>
      </c>
      <c r="H726" s="25"/>
      <c r="I726" s="23"/>
      <c r="J726" s="23"/>
      <c r="K726" s="23"/>
      <c r="L726" s="22">
        <f t="shared" si="9"/>
        <v>0</v>
      </c>
      <c r="M726" s="23"/>
      <c r="N726" s="23"/>
      <c r="O726" s="69"/>
      <c r="P726" s="33"/>
      <c r="Q726" s="47"/>
    </row>
    <row r="727" ht="25.5" customHeight="1">
      <c r="A727" s="26"/>
      <c r="B727" s="28"/>
      <c r="C727" s="17"/>
      <c r="D727" s="34" t="str">
        <f>vlookup($C727,CSDL!$A:$E,2,0)</f>
        <v>#N/A</v>
      </c>
      <c r="E727" s="19" t="str">
        <f>vlookup($C727,CSDL!$A:$E,3,0)</f>
        <v>#N/A</v>
      </c>
      <c r="F727" s="19" t="str">
        <f>vlookup($C727,CSDL!$A:$E,4,0)</f>
        <v>#N/A</v>
      </c>
      <c r="G727" s="27" t="str">
        <f>vlookup($C727,CSDL!$A:$E,5,0)</f>
        <v>#N/A</v>
      </c>
      <c r="H727" s="28"/>
      <c r="I727" s="29"/>
      <c r="J727" s="29"/>
      <c r="K727" s="29"/>
      <c r="L727" s="22">
        <f t="shared" si="9"/>
        <v>0</v>
      </c>
      <c r="M727" s="29"/>
      <c r="N727" s="29"/>
      <c r="O727" s="30"/>
      <c r="P727" s="26"/>
      <c r="Q727" s="32"/>
    </row>
    <row r="728" ht="25.5" customHeight="1">
      <c r="A728" s="33"/>
      <c r="B728" s="16"/>
      <c r="C728" s="17"/>
      <c r="D728" s="34" t="str">
        <f>vlookup($C728,CSDL!$A:$E,2,0)</f>
        <v>#N/A</v>
      </c>
      <c r="E728" s="19" t="str">
        <f>vlookup($C728,CSDL!$A:$E,3,0)</f>
        <v>#N/A</v>
      </c>
      <c r="F728" s="19" t="str">
        <f>vlookup($C728,CSDL!$A:$E,4,0)</f>
        <v>#N/A</v>
      </c>
      <c r="G728" s="20" t="str">
        <f>vlookup($C728,CSDL!$A:$E,5,0)</f>
        <v>#N/A</v>
      </c>
      <c r="H728" s="25"/>
      <c r="I728" s="23"/>
      <c r="J728" s="23"/>
      <c r="K728" s="23"/>
      <c r="L728" s="22">
        <f t="shared" si="9"/>
        <v>0</v>
      </c>
      <c r="M728" s="78"/>
      <c r="N728" s="78"/>
      <c r="O728" s="69"/>
      <c r="P728" s="33"/>
      <c r="Q728" s="25"/>
    </row>
    <row r="729" ht="25.5" customHeight="1">
      <c r="A729" s="26"/>
      <c r="B729" s="28"/>
      <c r="C729" s="17"/>
      <c r="D729" s="34" t="str">
        <f>vlookup($C729,CSDL!$A:$E,2,0)</f>
        <v>#N/A</v>
      </c>
      <c r="E729" s="19" t="str">
        <f>vlookup($C729,CSDL!$A:$E,3,0)</f>
        <v>#N/A</v>
      </c>
      <c r="F729" s="19" t="str">
        <f>vlookup($C729,CSDL!$A:$E,4,0)</f>
        <v>#N/A</v>
      </c>
      <c r="G729" s="27" t="str">
        <f>vlookup($C729,CSDL!$A:$E,5,0)</f>
        <v>#N/A</v>
      </c>
      <c r="H729" s="28"/>
      <c r="I729" s="29"/>
      <c r="J729" s="29"/>
      <c r="K729" s="29"/>
      <c r="L729" s="22">
        <f t="shared" si="9"/>
        <v>0</v>
      </c>
      <c r="M729" s="29"/>
      <c r="N729" s="29"/>
      <c r="O729" s="71"/>
      <c r="P729" s="26"/>
      <c r="Q729" s="32"/>
    </row>
    <row r="730" ht="25.5" customHeight="1">
      <c r="A730" s="33"/>
      <c r="B730" s="16"/>
      <c r="C730" s="17"/>
      <c r="D730" s="34" t="str">
        <f>vlookup($C730,CSDL!$A:$E,2,0)</f>
        <v>#N/A</v>
      </c>
      <c r="E730" s="19" t="str">
        <f>vlookup($C730,CSDL!$A:$E,3,0)</f>
        <v>#N/A</v>
      </c>
      <c r="F730" s="19" t="str">
        <f>vlookup($C730,CSDL!$A:$E,4,0)</f>
        <v>#N/A</v>
      </c>
      <c r="G730" s="20" t="str">
        <f>vlookup($C730,CSDL!$A:$E,5,0)</f>
        <v>#N/A</v>
      </c>
      <c r="H730" s="25"/>
      <c r="I730" s="23"/>
      <c r="J730" s="23"/>
      <c r="K730" s="23"/>
      <c r="L730" s="22">
        <f t="shared" si="9"/>
        <v>0</v>
      </c>
      <c r="M730" s="23"/>
      <c r="N730" s="23"/>
      <c r="O730" s="24"/>
      <c r="P730" s="33"/>
      <c r="Q730" s="25"/>
    </row>
    <row r="731" ht="25.5" customHeight="1">
      <c r="A731" s="26"/>
      <c r="B731" s="28"/>
      <c r="C731" s="17"/>
      <c r="D731" s="34" t="str">
        <f>vlookup($C731,CSDL!$A:$E,2,0)</f>
        <v>#N/A</v>
      </c>
      <c r="E731" s="19" t="str">
        <f>vlookup($C731,CSDL!$A:$E,3,0)</f>
        <v>#N/A</v>
      </c>
      <c r="F731" s="19" t="str">
        <f>vlookup($C731,CSDL!$A:$E,4,0)</f>
        <v>#N/A</v>
      </c>
      <c r="G731" s="27" t="str">
        <f>vlookup($C731,CSDL!$A:$E,5,0)</f>
        <v>#N/A</v>
      </c>
      <c r="H731" s="28"/>
      <c r="I731" s="29"/>
      <c r="J731" s="29"/>
      <c r="K731" s="29"/>
      <c r="L731" s="22">
        <f t="shared" si="9"/>
        <v>0</v>
      </c>
      <c r="M731" s="29"/>
      <c r="N731" s="29"/>
      <c r="O731" s="30"/>
      <c r="P731" s="26"/>
      <c r="Q731" s="32"/>
    </row>
    <row r="732" ht="25.5" customHeight="1">
      <c r="A732" s="33"/>
      <c r="B732" s="16"/>
      <c r="C732" s="17"/>
      <c r="D732" s="34" t="str">
        <f>vlookup($C732,CSDL!$A:$E,2,0)</f>
        <v>#N/A</v>
      </c>
      <c r="E732" s="19" t="str">
        <f>vlookup($C732,CSDL!$A:$E,3,0)</f>
        <v>#N/A</v>
      </c>
      <c r="F732" s="19" t="str">
        <f>vlookup($C732,CSDL!$A:$E,4,0)</f>
        <v>#N/A</v>
      </c>
      <c r="G732" s="20" t="str">
        <f>vlookup($C732,CSDL!$A:$E,5,0)</f>
        <v>#N/A</v>
      </c>
      <c r="H732" s="25"/>
      <c r="I732" s="23"/>
      <c r="J732" s="23"/>
      <c r="K732" s="23"/>
      <c r="L732" s="22">
        <f t="shared" si="9"/>
        <v>0</v>
      </c>
      <c r="M732" s="23"/>
      <c r="N732" s="23"/>
      <c r="O732" s="24"/>
      <c r="P732" s="33"/>
      <c r="Q732" s="25"/>
    </row>
    <row r="733" ht="25.5" customHeight="1">
      <c r="A733" s="26"/>
      <c r="B733" s="28"/>
      <c r="C733" s="17"/>
      <c r="D733" s="34" t="str">
        <f>vlookup($C733,CSDL!$A:$E,2,0)</f>
        <v>#N/A</v>
      </c>
      <c r="E733" s="19" t="str">
        <f>vlookup($C733,CSDL!$A:$E,3,0)</f>
        <v>#N/A</v>
      </c>
      <c r="F733" s="19" t="str">
        <f>vlookup($C733,CSDL!$A:$E,4,0)</f>
        <v>#N/A</v>
      </c>
      <c r="G733" s="27" t="str">
        <f>vlookup($C733,CSDL!$A:$E,5,0)</f>
        <v>#N/A</v>
      </c>
      <c r="H733" s="32"/>
      <c r="I733" s="29"/>
      <c r="J733" s="29"/>
      <c r="K733" s="29"/>
      <c r="L733" s="22">
        <f t="shared" si="9"/>
        <v>0</v>
      </c>
      <c r="M733" s="29"/>
      <c r="N733" s="29"/>
      <c r="O733" s="71"/>
      <c r="P733" s="26"/>
      <c r="Q733" s="32"/>
    </row>
    <row r="734" ht="25.5" customHeight="1">
      <c r="A734" s="33"/>
      <c r="B734" s="16"/>
      <c r="C734" s="17"/>
      <c r="D734" s="34" t="str">
        <f>vlookup($C734,CSDL!$A:$E,2,0)</f>
        <v>#N/A</v>
      </c>
      <c r="E734" s="19" t="str">
        <f>vlookup($C734,CSDL!$A:$E,3,0)</f>
        <v>#N/A</v>
      </c>
      <c r="F734" s="19" t="str">
        <f>vlookup($C734,CSDL!$A:$E,4,0)</f>
        <v>#N/A</v>
      </c>
      <c r="G734" s="20" t="str">
        <f>vlookup($C734,CSDL!$A:$E,5,0)</f>
        <v>#N/A</v>
      </c>
      <c r="H734" s="25"/>
      <c r="I734" s="23"/>
      <c r="J734" s="23"/>
      <c r="K734" s="23"/>
      <c r="L734" s="22">
        <f t="shared" si="9"/>
        <v>0</v>
      </c>
      <c r="M734" s="23"/>
      <c r="N734" s="23"/>
      <c r="O734" s="69"/>
      <c r="P734" s="33"/>
      <c r="Q734" s="25"/>
    </row>
    <row r="735" ht="25.5" customHeight="1">
      <c r="A735" s="26"/>
      <c r="B735" s="28"/>
      <c r="C735" s="17"/>
      <c r="D735" s="34" t="str">
        <f>vlookup($C735,CSDL!$A:$E,2,0)</f>
        <v>#N/A</v>
      </c>
      <c r="E735" s="19" t="str">
        <f>vlookup($C735,CSDL!$A:$E,3,0)</f>
        <v>#N/A</v>
      </c>
      <c r="F735" s="19" t="str">
        <f>vlookup($C735,CSDL!$A:$E,4,0)</f>
        <v>#N/A</v>
      </c>
      <c r="G735" s="27" t="str">
        <f>vlookup($C735,CSDL!$A:$E,5,0)</f>
        <v>#N/A</v>
      </c>
      <c r="H735" s="28"/>
      <c r="I735" s="29"/>
      <c r="J735" s="29"/>
      <c r="K735" s="29"/>
      <c r="L735" s="22">
        <f t="shared" si="9"/>
        <v>0</v>
      </c>
      <c r="M735" s="29"/>
      <c r="N735" s="29"/>
      <c r="O735" s="30"/>
      <c r="P735" s="26"/>
      <c r="Q735" s="32"/>
    </row>
    <row r="736" ht="25.5" customHeight="1">
      <c r="A736" s="33"/>
      <c r="B736" s="16"/>
      <c r="C736" s="17"/>
      <c r="D736" s="34" t="str">
        <f>vlookup($C736,CSDL!$A:$E,2,0)</f>
        <v>#N/A</v>
      </c>
      <c r="E736" s="19" t="str">
        <f>vlookup($C736,CSDL!$A:$E,3,0)</f>
        <v>#N/A</v>
      </c>
      <c r="F736" s="19" t="str">
        <f>vlookup($C736,CSDL!$A:$E,4,0)</f>
        <v>#N/A</v>
      </c>
      <c r="G736" s="20" t="str">
        <f>vlookup($C736,CSDL!$A:$E,5,0)</f>
        <v>#N/A</v>
      </c>
      <c r="H736" s="25"/>
      <c r="I736" s="23"/>
      <c r="J736" s="23"/>
      <c r="K736" s="23"/>
      <c r="L736" s="22">
        <f t="shared" si="9"/>
        <v>0</v>
      </c>
      <c r="M736" s="23"/>
      <c r="N736" s="23"/>
      <c r="O736" s="69"/>
      <c r="P736" s="33"/>
      <c r="Q736" s="25"/>
    </row>
    <row r="737" ht="25.5" customHeight="1">
      <c r="A737" s="26"/>
      <c r="B737" s="28"/>
      <c r="C737" s="17"/>
      <c r="D737" s="34" t="str">
        <f>vlookup($C737,CSDL!$A:$E,2,0)</f>
        <v>#N/A</v>
      </c>
      <c r="E737" s="19" t="str">
        <f>vlookup($C737,CSDL!$A:$E,3,0)</f>
        <v>#N/A</v>
      </c>
      <c r="F737" s="19" t="str">
        <f>vlookup($C737,CSDL!$A:$E,4,0)</f>
        <v>#N/A</v>
      </c>
      <c r="G737" s="27" t="str">
        <f>vlookup($C737,CSDL!$A:$E,5,0)</f>
        <v>#N/A</v>
      </c>
      <c r="H737" s="28"/>
      <c r="I737" s="29"/>
      <c r="J737" s="29"/>
      <c r="K737" s="29"/>
      <c r="L737" s="22">
        <f t="shared" si="9"/>
        <v>0</v>
      </c>
      <c r="M737" s="29"/>
      <c r="N737" s="29"/>
      <c r="O737" s="71"/>
      <c r="P737" s="26"/>
      <c r="Q737" s="32"/>
    </row>
    <row r="738" ht="25.5" customHeight="1">
      <c r="A738" s="33"/>
      <c r="B738" s="16"/>
      <c r="C738" s="17"/>
      <c r="D738" s="34" t="str">
        <f>vlookup($C738,CSDL!$A:$E,2,0)</f>
        <v>#N/A</v>
      </c>
      <c r="E738" s="19" t="str">
        <f>vlookup($C738,CSDL!$A:$E,3,0)</f>
        <v>#N/A</v>
      </c>
      <c r="F738" s="19" t="str">
        <f>vlookup($C738,CSDL!$A:$E,4,0)</f>
        <v>#N/A</v>
      </c>
      <c r="G738" s="20" t="str">
        <f>vlookup($C738,CSDL!$A:$E,5,0)</f>
        <v>#N/A</v>
      </c>
      <c r="H738" s="25"/>
      <c r="I738" s="79"/>
      <c r="J738" s="23"/>
      <c r="K738" s="23"/>
      <c r="L738" s="22">
        <f t="shared" si="9"/>
        <v>0</v>
      </c>
      <c r="M738" s="23"/>
      <c r="N738" s="23"/>
      <c r="O738" s="69"/>
      <c r="P738" s="33"/>
      <c r="Q738" s="25"/>
    </row>
    <row r="739" ht="25.5" customHeight="1">
      <c r="A739" s="26"/>
      <c r="B739" s="28"/>
      <c r="C739" s="17"/>
      <c r="D739" s="34" t="str">
        <f>vlookup($C739,CSDL!$A:$E,2,0)</f>
        <v>#N/A</v>
      </c>
      <c r="E739" s="19" t="str">
        <f>vlookup($C739,CSDL!$A:$E,3,0)</f>
        <v>#N/A</v>
      </c>
      <c r="F739" s="19" t="str">
        <f>vlookup($C739,CSDL!$A:$E,4,0)</f>
        <v>#N/A</v>
      </c>
      <c r="G739" s="27" t="str">
        <f>vlookup($C739,CSDL!$A:$E,5,0)</f>
        <v>#N/A</v>
      </c>
      <c r="H739" s="40"/>
      <c r="I739" s="29"/>
      <c r="J739" s="80"/>
      <c r="K739" s="80"/>
      <c r="L739" s="22">
        <f t="shared" si="9"/>
        <v>0</v>
      </c>
      <c r="M739" s="80"/>
      <c r="N739" s="80"/>
      <c r="O739" s="40"/>
      <c r="P739" s="72"/>
      <c r="Q739" s="40"/>
    </row>
    <row r="740" ht="25.5" customHeight="1">
      <c r="A740" s="33"/>
      <c r="B740" s="16"/>
      <c r="C740" s="17"/>
      <c r="D740" s="34" t="str">
        <f>vlookup($C740,CSDL!$A:$E,2,0)</f>
        <v>#N/A</v>
      </c>
      <c r="E740" s="19" t="str">
        <f>vlookup($C740,CSDL!$A:$E,3,0)</f>
        <v>#N/A</v>
      </c>
      <c r="F740" s="19" t="str">
        <f>vlookup($C740,CSDL!$A:$E,4,0)</f>
        <v>#N/A</v>
      </c>
      <c r="G740" s="20" t="str">
        <f>vlookup($C740,CSDL!$A:$E,5,0)</f>
        <v>#N/A</v>
      </c>
      <c r="H740" s="25"/>
      <c r="I740" s="23"/>
      <c r="J740" s="23"/>
      <c r="K740" s="23"/>
      <c r="L740" s="22">
        <f t="shared" si="9"/>
        <v>0</v>
      </c>
      <c r="M740" s="23"/>
      <c r="N740" s="23"/>
      <c r="O740" s="24"/>
      <c r="P740" s="33"/>
      <c r="Q740" s="25"/>
    </row>
    <row r="741" ht="25.5" customHeight="1">
      <c r="A741" s="26"/>
      <c r="B741" s="28"/>
      <c r="C741" s="17"/>
      <c r="D741" s="34" t="str">
        <f>vlookup($C741,CSDL!$A:$E,2,0)</f>
        <v>#N/A</v>
      </c>
      <c r="E741" s="19" t="str">
        <f>vlookup($C741,CSDL!$A:$E,3,0)</f>
        <v>#N/A</v>
      </c>
      <c r="F741" s="19" t="str">
        <f>vlookup($C741,CSDL!$A:$E,4,0)</f>
        <v>#N/A</v>
      </c>
      <c r="G741" s="27" t="str">
        <f>vlookup($C741,CSDL!$A:$E,5,0)</f>
        <v>#N/A</v>
      </c>
      <c r="H741" s="32"/>
      <c r="I741" s="29"/>
      <c r="J741" s="29"/>
      <c r="K741" s="29"/>
      <c r="L741" s="22">
        <f t="shared" si="9"/>
        <v>0</v>
      </c>
      <c r="M741" s="29"/>
      <c r="N741" s="29"/>
      <c r="O741" s="71"/>
      <c r="P741" s="26"/>
      <c r="Q741" s="32"/>
    </row>
    <row r="742" ht="25.5" customHeight="1">
      <c r="A742" s="33"/>
      <c r="B742" s="16"/>
      <c r="C742" s="17"/>
      <c r="D742" s="34" t="str">
        <f>vlookup($C742,CSDL!$A:$E,2,0)</f>
        <v>#N/A</v>
      </c>
      <c r="E742" s="19" t="str">
        <f>vlookup($C742,CSDL!$A:$E,3,0)</f>
        <v>#N/A</v>
      </c>
      <c r="F742" s="19" t="str">
        <f>vlookup($C742,CSDL!$A:$E,4,0)</f>
        <v>#N/A</v>
      </c>
      <c r="G742" s="20" t="str">
        <f>vlookup($C742,CSDL!$A:$E,5,0)</f>
        <v>#N/A</v>
      </c>
      <c r="H742" s="25"/>
      <c r="I742" s="23"/>
      <c r="J742" s="23"/>
      <c r="K742" s="23"/>
      <c r="L742" s="22">
        <f t="shared" si="9"/>
        <v>0</v>
      </c>
      <c r="M742" s="23"/>
      <c r="N742" s="23"/>
      <c r="O742" s="69"/>
      <c r="P742" s="33"/>
      <c r="Q742" s="25"/>
    </row>
    <row r="743" ht="25.5" customHeight="1">
      <c r="A743" s="26"/>
      <c r="B743" s="28"/>
      <c r="C743" s="17"/>
      <c r="D743" s="34" t="str">
        <f>vlookup($C743,CSDL!$A:$E,2,0)</f>
        <v>#N/A</v>
      </c>
      <c r="E743" s="19" t="str">
        <f>vlookup($C743,CSDL!$A:$E,3,0)</f>
        <v>#N/A</v>
      </c>
      <c r="F743" s="19" t="str">
        <f>vlookup($C743,CSDL!$A:$E,4,0)</f>
        <v>#N/A</v>
      </c>
      <c r="G743" s="27" t="str">
        <f>vlookup($C743,CSDL!$A:$E,5,0)</f>
        <v>#N/A</v>
      </c>
      <c r="H743" s="32"/>
      <c r="I743" s="29"/>
      <c r="J743" s="29"/>
      <c r="K743" s="29"/>
      <c r="L743" s="22">
        <f t="shared" si="9"/>
        <v>0</v>
      </c>
      <c r="M743" s="29"/>
      <c r="N743" s="29"/>
      <c r="O743" s="71"/>
      <c r="P743" s="26"/>
      <c r="Q743" s="32"/>
    </row>
    <row r="744" ht="25.5" customHeight="1">
      <c r="A744" s="33"/>
      <c r="B744" s="16"/>
      <c r="C744" s="17"/>
      <c r="D744" s="34" t="str">
        <f>vlookup($C744,CSDL!$A:$E,2,0)</f>
        <v>#N/A</v>
      </c>
      <c r="E744" s="19" t="str">
        <f>vlookup($C744,CSDL!$A:$E,3,0)</f>
        <v>#N/A</v>
      </c>
      <c r="F744" s="19" t="str">
        <f>vlookup($C744,CSDL!$A:$E,4,0)</f>
        <v>#N/A</v>
      </c>
      <c r="G744" s="20" t="str">
        <f>vlookup($C744,CSDL!$A:$E,5,0)</f>
        <v>#N/A</v>
      </c>
      <c r="H744" s="25"/>
      <c r="I744" s="23"/>
      <c r="J744" s="23"/>
      <c r="K744" s="23"/>
      <c r="L744" s="22">
        <f t="shared" si="9"/>
        <v>0</v>
      </c>
      <c r="M744" s="78"/>
      <c r="N744" s="23"/>
      <c r="O744" s="69"/>
      <c r="P744" s="33"/>
      <c r="Q744" s="25"/>
    </row>
    <row r="745" ht="25.5" customHeight="1">
      <c r="A745" s="26"/>
      <c r="B745" s="28"/>
      <c r="C745" s="17"/>
      <c r="D745" s="34" t="str">
        <f>vlookup($C745,CSDL!$A:$E,2,0)</f>
        <v>#N/A</v>
      </c>
      <c r="E745" s="19" t="str">
        <f>vlookup($C745,CSDL!$A:$E,3,0)</f>
        <v>#N/A</v>
      </c>
      <c r="F745" s="19" t="str">
        <f>vlookup($C745,CSDL!$A:$E,4,0)</f>
        <v>#N/A</v>
      </c>
      <c r="G745" s="27" t="str">
        <f>vlookup($C745,CSDL!$A:$E,5,0)</f>
        <v>#N/A</v>
      </c>
      <c r="H745" s="32"/>
      <c r="I745" s="29"/>
      <c r="J745" s="29"/>
      <c r="K745" s="29"/>
      <c r="L745" s="22">
        <f t="shared" si="9"/>
        <v>0</v>
      </c>
      <c r="M745" s="29"/>
      <c r="N745" s="29"/>
      <c r="O745" s="71"/>
      <c r="P745" s="26"/>
      <c r="Q745" s="32"/>
    </row>
    <row r="746" ht="25.5" customHeight="1">
      <c r="A746" s="33"/>
      <c r="B746" s="16"/>
      <c r="C746" s="17"/>
      <c r="D746" s="34" t="str">
        <f>vlookup($C746,CSDL!$A:$E,2,0)</f>
        <v>#N/A</v>
      </c>
      <c r="E746" s="19" t="str">
        <f>vlookup($C746,CSDL!$A:$E,3,0)</f>
        <v>#N/A</v>
      </c>
      <c r="F746" s="19" t="str">
        <f>vlookup($C746,CSDL!$A:$E,4,0)</f>
        <v>#N/A</v>
      </c>
      <c r="G746" s="20" t="str">
        <f>vlookup($C746,CSDL!$A:$E,5,0)</f>
        <v>#N/A</v>
      </c>
      <c r="H746" s="25"/>
      <c r="I746" s="23"/>
      <c r="J746" s="23"/>
      <c r="K746" s="23"/>
      <c r="L746" s="22">
        <f t="shared" si="9"/>
        <v>0</v>
      </c>
      <c r="M746" s="78"/>
      <c r="N746" s="23"/>
      <c r="O746" s="24"/>
      <c r="P746" s="33"/>
      <c r="Q746" s="25"/>
    </row>
    <row r="747" ht="25.5" customHeight="1">
      <c r="A747" s="26"/>
      <c r="B747" s="28"/>
      <c r="C747" s="17"/>
      <c r="D747" s="34" t="str">
        <f>vlookup($C747,CSDL!$A:$E,2,0)</f>
        <v>#N/A</v>
      </c>
      <c r="E747" s="19" t="str">
        <f>vlookup($C747,CSDL!$A:$E,3,0)</f>
        <v>#N/A</v>
      </c>
      <c r="F747" s="19" t="str">
        <f>vlookup($C747,CSDL!$A:$E,4,0)</f>
        <v>#N/A</v>
      </c>
      <c r="G747" s="27" t="str">
        <f>vlookup($C747,CSDL!$A:$E,5,0)</f>
        <v>#N/A</v>
      </c>
      <c r="H747" s="32"/>
      <c r="I747" s="29"/>
      <c r="J747" s="29"/>
      <c r="K747" s="29"/>
      <c r="L747" s="22">
        <f t="shared" si="9"/>
        <v>0</v>
      </c>
      <c r="M747" s="29"/>
      <c r="N747" s="29"/>
      <c r="O747" s="71"/>
      <c r="P747" s="26"/>
      <c r="Q747" s="32"/>
    </row>
    <row r="748" ht="25.5" customHeight="1">
      <c r="A748" s="33"/>
      <c r="B748" s="16"/>
      <c r="C748" s="17"/>
      <c r="D748" s="34" t="str">
        <f>vlookup($C748,CSDL!$A:$E,2,0)</f>
        <v>#N/A</v>
      </c>
      <c r="E748" s="19" t="str">
        <f>vlookup($C748,CSDL!$A:$E,3,0)</f>
        <v>#N/A</v>
      </c>
      <c r="F748" s="19" t="str">
        <f>vlookup($C748,CSDL!$A:$E,4,0)</f>
        <v>#N/A</v>
      </c>
      <c r="G748" s="20" t="str">
        <f>vlookup($C748,CSDL!$A:$E,5,0)</f>
        <v>#N/A</v>
      </c>
      <c r="H748" s="25"/>
      <c r="I748" s="23"/>
      <c r="J748" s="23"/>
      <c r="K748" s="23"/>
      <c r="L748" s="22">
        <f t="shared" si="9"/>
        <v>0</v>
      </c>
      <c r="M748" s="78"/>
      <c r="N748" s="78"/>
      <c r="O748" s="69"/>
      <c r="P748" s="33"/>
      <c r="Q748" s="25"/>
    </row>
    <row r="749" ht="25.5" customHeight="1">
      <c r="A749" s="26"/>
      <c r="B749" s="28"/>
      <c r="C749" s="17"/>
      <c r="D749" s="34" t="str">
        <f>vlookup($C749,CSDL!$A:$E,2,0)</f>
        <v>#N/A</v>
      </c>
      <c r="E749" s="19" t="str">
        <f>vlookup($C749,CSDL!$A:$E,3,0)</f>
        <v>#N/A</v>
      </c>
      <c r="F749" s="19" t="str">
        <f>vlookup($C749,CSDL!$A:$E,4,0)</f>
        <v>#N/A</v>
      </c>
      <c r="G749" s="27" t="str">
        <f>vlookup($C749,CSDL!$A:$E,5,0)</f>
        <v>#N/A</v>
      </c>
      <c r="H749" s="32"/>
      <c r="I749" s="29"/>
      <c r="J749" s="29"/>
      <c r="K749" s="29"/>
      <c r="L749" s="22">
        <f t="shared" si="9"/>
        <v>0</v>
      </c>
      <c r="M749" s="29"/>
      <c r="N749" s="29"/>
      <c r="O749" s="71"/>
      <c r="P749" s="26"/>
      <c r="Q749" s="32"/>
    </row>
    <row r="750" ht="25.5" customHeight="1">
      <c r="A750" s="33"/>
      <c r="B750" s="16"/>
      <c r="C750" s="17"/>
      <c r="D750" s="34" t="str">
        <f>vlookup($C750,CSDL!$A:$E,2,0)</f>
        <v>#N/A</v>
      </c>
      <c r="E750" s="19" t="str">
        <f>vlookup($C750,CSDL!$A:$E,3,0)</f>
        <v>#N/A</v>
      </c>
      <c r="F750" s="19" t="str">
        <f>vlookup($C750,CSDL!$A:$E,4,0)</f>
        <v>#N/A</v>
      </c>
      <c r="G750" s="20" t="str">
        <f>vlookup($C750,CSDL!$A:$E,5,0)</f>
        <v>#N/A</v>
      </c>
      <c r="H750" s="25"/>
      <c r="I750" s="23"/>
      <c r="J750" s="23"/>
      <c r="K750" s="23"/>
      <c r="L750" s="22">
        <f t="shared" si="9"/>
        <v>0</v>
      </c>
      <c r="M750" s="23"/>
      <c r="N750" s="23"/>
      <c r="O750" s="69"/>
      <c r="P750" s="33"/>
      <c r="Q750" s="25"/>
    </row>
    <row r="751" ht="25.5" customHeight="1">
      <c r="A751" s="26"/>
      <c r="B751" s="28"/>
      <c r="C751" s="17"/>
      <c r="D751" s="34" t="str">
        <f>vlookup($C751,CSDL!$A:$E,2,0)</f>
        <v>#N/A</v>
      </c>
      <c r="E751" s="19" t="str">
        <f>vlookup($C751,CSDL!$A:$E,3,0)</f>
        <v>#N/A</v>
      </c>
      <c r="F751" s="19" t="str">
        <f>vlookup($C751,CSDL!$A:$E,4,0)</f>
        <v>#N/A</v>
      </c>
      <c r="G751" s="27" t="str">
        <f>vlookup($C751,CSDL!$A:$E,5,0)</f>
        <v>#N/A</v>
      </c>
      <c r="H751" s="32"/>
      <c r="I751" s="29"/>
      <c r="J751" s="29"/>
      <c r="K751" s="29"/>
      <c r="L751" s="22">
        <f t="shared" si="9"/>
        <v>0</v>
      </c>
      <c r="M751" s="75"/>
      <c r="N751" s="75"/>
      <c r="O751" s="71"/>
      <c r="P751" s="26"/>
      <c r="Q751" s="32"/>
    </row>
    <row r="752" ht="25.5" customHeight="1">
      <c r="A752" s="33"/>
      <c r="B752" s="16"/>
      <c r="C752" s="17"/>
      <c r="D752" s="34" t="str">
        <f>vlookup($C752,CSDL!$A:$E,2,0)</f>
        <v>#N/A</v>
      </c>
      <c r="E752" s="19" t="str">
        <f>vlookup($C752,CSDL!$A:$E,3,0)</f>
        <v>#N/A</v>
      </c>
      <c r="F752" s="19" t="str">
        <f>vlookup($C752,CSDL!$A:$E,4,0)</f>
        <v>#N/A</v>
      </c>
      <c r="G752" s="20" t="str">
        <f>vlookup($C752,CSDL!$A:$E,5,0)</f>
        <v>#N/A</v>
      </c>
      <c r="H752" s="25"/>
      <c r="I752" s="23"/>
      <c r="J752" s="23"/>
      <c r="K752" s="23"/>
      <c r="L752" s="22">
        <f t="shared" si="9"/>
        <v>0</v>
      </c>
      <c r="M752" s="23"/>
      <c r="N752" s="23"/>
      <c r="O752" s="24"/>
      <c r="P752" s="33"/>
      <c r="Q752" s="25"/>
    </row>
    <row r="753" ht="25.5" customHeight="1">
      <c r="A753" s="26"/>
      <c r="B753" s="28"/>
      <c r="C753" s="17"/>
      <c r="D753" s="34" t="str">
        <f>vlookup($C753,CSDL!$A:$E,2,0)</f>
        <v>#N/A</v>
      </c>
      <c r="E753" s="19" t="str">
        <f>vlookup($C753,CSDL!$A:$E,3,0)</f>
        <v>#N/A</v>
      </c>
      <c r="F753" s="19" t="str">
        <f>vlookup($C753,CSDL!$A:$E,4,0)</f>
        <v>#N/A</v>
      </c>
      <c r="G753" s="27" t="str">
        <f>vlookup($C753,CSDL!$A:$E,5,0)</f>
        <v>#N/A</v>
      </c>
      <c r="H753" s="32"/>
      <c r="I753" s="29"/>
      <c r="J753" s="29"/>
      <c r="K753" s="29"/>
      <c r="L753" s="22">
        <f t="shared" si="9"/>
        <v>0</v>
      </c>
      <c r="M753" s="29"/>
      <c r="N753" s="29"/>
      <c r="O753" s="71"/>
      <c r="P753" s="26"/>
      <c r="Q753" s="32"/>
    </row>
    <row r="754" ht="25.5" customHeight="1">
      <c r="A754" s="33"/>
      <c r="B754" s="16"/>
      <c r="C754" s="17"/>
      <c r="D754" s="34" t="str">
        <f>vlookup($C754,CSDL!$A:$E,2,0)</f>
        <v>#N/A</v>
      </c>
      <c r="E754" s="19" t="str">
        <f>vlookup($C754,CSDL!$A:$E,3,0)</f>
        <v>#N/A</v>
      </c>
      <c r="F754" s="19" t="str">
        <f>vlookup($C754,CSDL!$A:$E,4,0)</f>
        <v>#N/A</v>
      </c>
      <c r="G754" s="20" t="str">
        <f>vlookup($C754,CSDL!$A:$E,5,0)</f>
        <v>#N/A</v>
      </c>
      <c r="H754" s="25"/>
      <c r="I754" s="23"/>
      <c r="J754" s="23"/>
      <c r="K754" s="23"/>
      <c r="L754" s="22">
        <f t="shared" si="9"/>
        <v>0</v>
      </c>
      <c r="M754" s="23"/>
      <c r="N754" s="23"/>
      <c r="O754" s="69"/>
      <c r="P754" s="33"/>
      <c r="Q754" s="25"/>
    </row>
    <row r="755" ht="25.5" customHeight="1">
      <c r="A755" s="26"/>
      <c r="B755" s="28"/>
      <c r="C755" s="17"/>
      <c r="D755" s="34" t="str">
        <f>vlookup($C755,CSDL!$A:$E,2,0)</f>
        <v>#N/A</v>
      </c>
      <c r="E755" s="19" t="str">
        <f>vlookup($C755,CSDL!$A:$E,3,0)</f>
        <v>#N/A</v>
      </c>
      <c r="F755" s="19" t="str">
        <f>vlookup($C755,CSDL!$A:$E,4,0)</f>
        <v>#N/A</v>
      </c>
      <c r="G755" s="27" t="str">
        <f>vlookup($C755,CSDL!$A:$E,5,0)</f>
        <v>#N/A</v>
      </c>
      <c r="H755" s="32"/>
      <c r="I755" s="29"/>
      <c r="J755" s="29"/>
      <c r="K755" s="29"/>
      <c r="L755" s="22">
        <f t="shared" si="9"/>
        <v>0</v>
      </c>
      <c r="M755" s="29"/>
      <c r="N755" s="29"/>
      <c r="O755" s="71"/>
      <c r="P755" s="26"/>
      <c r="Q755" s="32"/>
    </row>
    <row r="756" ht="25.5" customHeight="1">
      <c r="A756" s="33"/>
      <c r="B756" s="16"/>
      <c r="C756" s="17"/>
      <c r="D756" s="34" t="str">
        <f>vlookup($C756,CSDL!$A:$E,2,0)</f>
        <v>#N/A</v>
      </c>
      <c r="E756" s="19" t="str">
        <f>vlookup($C756,CSDL!$A:$E,3,0)</f>
        <v>#N/A</v>
      </c>
      <c r="F756" s="19" t="str">
        <f>vlookup($C756,CSDL!$A:$E,4,0)</f>
        <v>#N/A</v>
      </c>
      <c r="G756" s="20" t="str">
        <f>vlookup($C756,CSDL!$A:$E,5,0)</f>
        <v>#N/A</v>
      </c>
      <c r="H756" s="25"/>
      <c r="I756" s="23"/>
      <c r="J756" s="23"/>
      <c r="K756" s="23"/>
      <c r="L756" s="22">
        <f t="shared" si="9"/>
        <v>0</v>
      </c>
      <c r="M756" s="23"/>
      <c r="N756" s="23"/>
      <c r="O756" s="24"/>
      <c r="P756" s="33"/>
      <c r="Q756" s="25"/>
    </row>
    <row r="757" ht="25.5" customHeight="1">
      <c r="A757" s="26"/>
      <c r="B757" s="28"/>
      <c r="C757" s="17"/>
      <c r="D757" s="34" t="str">
        <f>vlookup($C757,CSDL!$A:$E,2,0)</f>
        <v>#N/A</v>
      </c>
      <c r="E757" s="19" t="str">
        <f>vlookup($C757,CSDL!$A:$E,3,0)</f>
        <v>#N/A</v>
      </c>
      <c r="F757" s="19" t="str">
        <f>vlookup($C757,CSDL!$A:$E,4,0)</f>
        <v>#N/A</v>
      </c>
      <c r="G757" s="27" t="str">
        <f>vlookup($C757,CSDL!$A:$E,5,0)</f>
        <v>#N/A</v>
      </c>
      <c r="H757" s="32"/>
      <c r="I757" s="29"/>
      <c r="J757" s="29"/>
      <c r="K757" s="29"/>
      <c r="L757" s="22">
        <f t="shared" si="9"/>
        <v>0</v>
      </c>
      <c r="M757" s="29"/>
      <c r="N757" s="29"/>
      <c r="O757" s="30"/>
      <c r="P757" s="26"/>
      <c r="Q757" s="32"/>
    </row>
    <row r="758" ht="25.5" customHeight="1">
      <c r="A758" s="33"/>
      <c r="B758" s="16"/>
      <c r="C758" s="17"/>
      <c r="D758" s="34" t="str">
        <f>vlookup($C758,CSDL!$A:$E,2,0)</f>
        <v>#N/A</v>
      </c>
      <c r="E758" s="19" t="str">
        <f>vlookup($C758,CSDL!$A:$E,3,0)</f>
        <v>#N/A</v>
      </c>
      <c r="F758" s="19" t="str">
        <f>vlookup($C758,CSDL!$A:$E,4,0)</f>
        <v>#N/A</v>
      </c>
      <c r="G758" s="20" t="str">
        <f>vlookup($C758,CSDL!$A:$E,5,0)</f>
        <v>#N/A</v>
      </c>
      <c r="H758" s="25"/>
      <c r="I758" s="23"/>
      <c r="J758" s="23"/>
      <c r="K758" s="23"/>
      <c r="L758" s="22">
        <f t="shared" si="9"/>
        <v>0</v>
      </c>
      <c r="M758" s="23"/>
      <c r="N758" s="23"/>
      <c r="O758" s="69"/>
      <c r="P758" s="33"/>
      <c r="Q758" s="25"/>
    </row>
    <row r="759" ht="25.5" customHeight="1">
      <c r="A759" s="26"/>
      <c r="B759" s="28"/>
      <c r="C759" s="17"/>
      <c r="D759" s="34" t="str">
        <f>vlookup($C759,CSDL!$A:$E,2,0)</f>
        <v>#N/A</v>
      </c>
      <c r="E759" s="19" t="str">
        <f>vlookup($C759,CSDL!$A:$E,3,0)</f>
        <v>#N/A</v>
      </c>
      <c r="F759" s="19" t="str">
        <f>vlookup($C759,CSDL!$A:$E,4,0)</f>
        <v>#N/A</v>
      </c>
      <c r="G759" s="27" t="str">
        <f>vlookup($C759,CSDL!$A:$E,5,0)</f>
        <v>#N/A</v>
      </c>
      <c r="H759" s="32"/>
      <c r="I759" s="29"/>
      <c r="J759" s="29"/>
      <c r="K759" s="29"/>
      <c r="L759" s="22">
        <f t="shared" si="9"/>
        <v>0</v>
      </c>
      <c r="M759" s="29"/>
      <c r="N759" s="29"/>
      <c r="O759" s="30"/>
      <c r="P759" s="26"/>
      <c r="Q759" s="32"/>
    </row>
    <row r="760" ht="25.5" customHeight="1">
      <c r="A760" s="33"/>
      <c r="B760" s="16"/>
      <c r="C760" s="17"/>
      <c r="D760" s="34" t="str">
        <f>vlookup($C760,CSDL!$A:$E,2,0)</f>
        <v>#N/A</v>
      </c>
      <c r="E760" s="19" t="str">
        <f>vlookup($C760,CSDL!$A:$E,3,0)</f>
        <v>#N/A</v>
      </c>
      <c r="F760" s="19" t="str">
        <f>vlookup($C760,CSDL!$A:$E,4,0)</f>
        <v>#N/A</v>
      </c>
      <c r="G760" s="20" t="str">
        <f>vlookup($C760,CSDL!$A:$E,5,0)</f>
        <v>#N/A</v>
      </c>
      <c r="H760" s="25"/>
      <c r="I760" s="23"/>
      <c r="J760" s="23"/>
      <c r="K760" s="23"/>
      <c r="L760" s="22">
        <f t="shared" si="9"/>
        <v>0</v>
      </c>
      <c r="M760" s="23"/>
      <c r="N760" s="23"/>
      <c r="O760" s="69"/>
      <c r="P760" s="33"/>
      <c r="Q760" s="25"/>
    </row>
    <row r="761" ht="25.5" customHeight="1">
      <c r="A761" s="26"/>
      <c r="B761" s="28"/>
      <c r="C761" s="17"/>
      <c r="D761" s="34" t="str">
        <f>vlookup($C761,CSDL!$A:$E,2,0)</f>
        <v>#N/A</v>
      </c>
      <c r="E761" s="19" t="str">
        <f>vlookup($C761,CSDL!$A:$E,3,0)</f>
        <v>#N/A</v>
      </c>
      <c r="F761" s="19" t="str">
        <f>vlookup($C761,CSDL!$A:$E,4,0)</f>
        <v>#N/A</v>
      </c>
      <c r="G761" s="27" t="str">
        <f>vlookup($C761,CSDL!$A:$E,5,0)</f>
        <v>#N/A</v>
      </c>
      <c r="H761" s="32"/>
      <c r="I761" s="29"/>
      <c r="J761" s="29"/>
      <c r="K761" s="29"/>
      <c r="L761" s="22">
        <f t="shared" si="9"/>
        <v>0</v>
      </c>
      <c r="M761" s="75"/>
      <c r="N761" s="75"/>
      <c r="O761" s="71"/>
      <c r="P761" s="26"/>
      <c r="Q761" s="32"/>
    </row>
    <row r="762" ht="25.5" customHeight="1">
      <c r="A762" s="33"/>
      <c r="B762" s="16"/>
      <c r="C762" s="17"/>
      <c r="D762" s="34" t="str">
        <f>vlookup($C762,CSDL!$A:$E,2,0)</f>
        <v>#N/A</v>
      </c>
      <c r="E762" s="19" t="str">
        <f>vlookup($C762,CSDL!$A:$E,3,0)</f>
        <v>#N/A</v>
      </c>
      <c r="F762" s="19" t="str">
        <f>vlookup($C762,CSDL!$A:$E,4,0)</f>
        <v>#N/A</v>
      </c>
      <c r="G762" s="20" t="str">
        <f>vlookup($C762,CSDL!$A:$E,5,0)</f>
        <v>#N/A</v>
      </c>
      <c r="H762" s="25"/>
      <c r="I762" s="23"/>
      <c r="J762" s="23"/>
      <c r="K762" s="23"/>
      <c r="L762" s="22">
        <f t="shared" si="9"/>
        <v>0</v>
      </c>
      <c r="M762" s="23"/>
      <c r="N762" s="23"/>
      <c r="O762" s="24"/>
      <c r="P762" s="33"/>
      <c r="Q762" s="25"/>
    </row>
    <row r="763" ht="25.5" customHeight="1">
      <c r="A763" s="26"/>
      <c r="B763" s="28"/>
      <c r="C763" s="17"/>
      <c r="D763" s="34" t="str">
        <f>vlookup($C763,CSDL!$A:$E,2,0)</f>
        <v>#N/A</v>
      </c>
      <c r="E763" s="19" t="str">
        <f>vlookup($C763,CSDL!$A:$E,3,0)</f>
        <v>#N/A</v>
      </c>
      <c r="F763" s="19" t="str">
        <f>vlookup($C763,CSDL!$A:$E,4,0)</f>
        <v>#N/A</v>
      </c>
      <c r="G763" s="27" t="str">
        <f>vlookup($C763,CSDL!$A:$E,5,0)</f>
        <v>#N/A</v>
      </c>
      <c r="H763" s="32"/>
      <c r="I763" s="29"/>
      <c r="J763" s="29"/>
      <c r="K763" s="29"/>
      <c r="L763" s="22">
        <f t="shared" si="9"/>
        <v>0</v>
      </c>
      <c r="M763" s="29"/>
      <c r="N763" s="29"/>
      <c r="O763" s="30"/>
      <c r="P763" s="26"/>
      <c r="Q763" s="32"/>
    </row>
    <row r="764" ht="25.5" customHeight="1">
      <c r="A764" s="33"/>
      <c r="B764" s="16"/>
      <c r="C764" s="17"/>
      <c r="D764" s="34" t="str">
        <f>vlookup($C764,CSDL!$A:$E,2,0)</f>
        <v>#N/A</v>
      </c>
      <c r="E764" s="19" t="str">
        <f>vlookup($C764,CSDL!$A:$E,3,0)</f>
        <v>#N/A</v>
      </c>
      <c r="F764" s="19" t="str">
        <f>vlookup($C764,CSDL!$A:$E,4,0)</f>
        <v>#N/A</v>
      </c>
      <c r="G764" s="20" t="str">
        <f>vlookup($C764,CSDL!$A:$E,5,0)</f>
        <v>#N/A</v>
      </c>
      <c r="H764" s="25"/>
      <c r="I764" s="23"/>
      <c r="J764" s="23"/>
      <c r="K764" s="23"/>
      <c r="L764" s="22">
        <f t="shared" si="9"/>
        <v>0</v>
      </c>
      <c r="M764" s="23"/>
      <c r="N764" s="23"/>
      <c r="O764" s="24"/>
      <c r="P764" s="33"/>
      <c r="Q764" s="25"/>
    </row>
    <row r="765" ht="25.5" customHeight="1">
      <c r="A765" s="26"/>
      <c r="B765" s="28"/>
      <c r="C765" s="17"/>
      <c r="D765" s="34" t="str">
        <f>vlookup($C765,CSDL!$A:$E,2,0)</f>
        <v>#N/A</v>
      </c>
      <c r="E765" s="19" t="str">
        <f>vlookup($C765,CSDL!$A:$E,3,0)</f>
        <v>#N/A</v>
      </c>
      <c r="F765" s="19" t="str">
        <f>vlookup($C765,CSDL!$A:$E,4,0)</f>
        <v>#N/A</v>
      </c>
      <c r="G765" s="27" t="str">
        <f>vlookup($C765,CSDL!$A:$E,5,0)</f>
        <v>#N/A</v>
      </c>
      <c r="H765" s="32"/>
      <c r="I765" s="29"/>
      <c r="J765" s="29"/>
      <c r="K765" s="29"/>
      <c r="L765" s="22">
        <f t="shared" si="9"/>
        <v>0</v>
      </c>
      <c r="M765" s="29"/>
      <c r="N765" s="29"/>
      <c r="O765" s="30"/>
      <c r="P765" s="26"/>
      <c r="Q765" s="32"/>
    </row>
    <row r="766" ht="25.5" customHeight="1">
      <c r="A766" s="33"/>
      <c r="B766" s="16"/>
      <c r="C766" s="17"/>
      <c r="D766" s="34" t="str">
        <f>vlookup($C766,CSDL!$A:$E,2,0)</f>
        <v>#N/A</v>
      </c>
      <c r="E766" s="19" t="str">
        <f>vlookup($C766,CSDL!$A:$E,3,0)</f>
        <v>#N/A</v>
      </c>
      <c r="F766" s="19" t="str">
        <f>vlookup($C766,CSDL!$A:$E,4,0)</f>
        <v>#N/A</v>
      </c>
      <c r="G766" s="20" t="str">
        <f>vlookup($C766,CSDL!$A:$E,5,0)</f>
        <v>#N/A</v>
      </c>
      <c r="H766" s="25"/>
      <c r="I766" s="23"/>
      <c r="J766" s="23"/>
      <c r="K766" s="23"/>
      <c r="L766" s="22">
        <f t="shared" si="9"/>
        <v>0</v>
      </c>
      <c r="M766" s="23"/>
      <c r="N766" s="23"/>
      <c r="O766" s="24"/>
      <c r="P766" s="33"/>
      <c r="Q766" s="25"/>
    </row>
    <row r="767" ht="25.5" customHeight="1">
      <c r="A767" s="26"/>
      <c r="B767" s="28"/>
      <c r="C767" s="17"/>
      <c r="D767" s="34" t="str">
        <f>vlookup($C767,CSDL!$A:$E,2,0)</f>
        <v>#N/A</v>
      </c>
      <c r="E767" s="19" t="str">
        <f>vlookup($C767,CSDL!$A:$E,3,0)</f>
        <v>#N/A</v>
      </c>
      <c r="F767" s="19" t="str">
        <f>vlookup($C767,CSDL!$A:$E,4,0)</f>
        <v>#N/A</v>
      </c>
      <c r="G767" s="27" t="str">
        <f>vlookup($C767,CSDL!$A:$E,5,0)</f>
        <v>#N/A</v>
      </c>
      <c r="H767" s="32"/>
      <c r="I767" s="29"/>
      <c r="J767" s="29"/>
      <c r="K767" s="29"/>
      <c r="L767" s="22">
        <f t="shared" si="9"/>
        <v>0</v>
      </c>
      <c r="M767" s="29"/>
      <c r="N767" s="29"/>
      <c r="O767" s="71"/>
      <c r="P767" s="26"/>
      <c r="Q767" s="32"/>
    </row>
    <row r="768" ht="25.5" customHeight="1">
      <c r="A768" s="33"/>
      <c r="B768" s="16"/>
      <c r="C768" s="17"/>
      <c r="D768" s="34" t="str">
        <f>vlookup($C768,CSDL!$A:$E,2,0)</f>
        <v>#N/A</v>
      </c>
      <c r="E768" s="19" t="str">
        <f>vlookup($C768,CSDL!$A:$E,3,0)</f>
        <v>#N/A</v>
      </c>
      <c r="F768" s="19" t="str">
        <f>vlookup($C768,CSDL!$A:$E,4,0)</f>
        <v>#N/A</v>
      </c>
      <c r="G768" s="20" t="str">
        <f>vlookup($C768,CSDL!$A:$E,5,0)</f>
        <v>#N/A</v>
      </c>
      <c r="H768" s="25"/>
      <c r="I768" s="23"/>
      <c r="J768" s="23"/>
      <c r="K768" s="23"/>
      <c r="L768" s="22">
        <f t="shared" si="9"/>
        <v>0</v>
      </c>
      <c r="M768" s="23"/>
      <c r="N768" s="23"/>
      <c r="O768" s="69"/>
      <c r="P768" s="33"/>
      <c r="Q768" s="25"/>
    </row>
    <row r="769" ht="25.5" customHeight="1">
      <c r="A769" s="26"/>
      <c r="B769" s="28"/>
      <c r="C769" s="17"/>
      <c r="D769" s="34" t="str">
        <f>vlookup($C769,CSDL!$A:$E,2,0)</f>
        <v>#N/A</v>
      </c>
      <c r="E769" s="19" t="str">
        <f>vlookup($C769,CSDL!$A:$E,3,0)</f>
        <v>#N/A</v>
      </c>
      <c r="F769" s="19" t="str">
        <f>vlookup($C769,CSDL!$A:$E,4,0)</f>
        <v>#N/A</v>
      </c>
      <c r="G769" s="27" t="str">
        <f>vlookup($C769,CSDL!$A:$E,5,0)</f>
        <v>#N/A</v>
      </c>
      <c r="H769" s="32"/>
      <c r="I769" s="29"/>
      <c r="J769" s="29"/>
      <c r="K769" s="29"/>
      <c r="L769" s="22">
        <f t="shared" si="9"/>
        <v>0</v>
      </c>
      <c r="M769" s="29"/>
      <c r="N769" s="29"/>
      <c r="O769" s="30"/>
      <c r="P769" s="26"/>
      <c r="Q769" s="32"/>
    </row>
    <row r="770" ht="25.5" customHeight="1">
      <c r="A770" s="33"/>
      <c r="B770" s="16"/>
      <c r="C770" s="17"/>
      <c r="D770" s="34" t="str">
        <f>vlookup($C770,CSDL!$A:$E,2,0)</f>
        <v>#N/A</v>
      </c>
      <c r="E770" s="19" t="str">
        <f>vlookup($C770,CSDL!$A:$E,3,0)</f>
        <v>#N/A</v>
      </c>
      <c r="F770" s="19" t="str">
        <f>vlookup($C770,CSDL!$A:$E,4,0)</f>
        <v>#N/A</v>
      </c>
      <c r="G770" s="20" t="str">
        <f>vlookup($C770,CSDL!$A:$E,5,0)</f>
        <v>#N/A</v>
      </c>
      <c r="H770" s="25"/>
      <c r="I770" s="23"/>
      <c r="J770" s="23"/>
      <c r="K770" s="23"/>
      <c r="L770" s="22">
        <f t="shared" si="9"/>
        <v>0</v>
      </c>
      <c r="M770" s="23"/>
      <c r="N770" s="23"/>
      <c r="O770" s="24"/>
      <c r="P770" s="33"/>
      <c r="Q770" s="25"/>
    </row>
    <row r="771" ht="25.5" customHeight="1">
      <c r="A771" s="26"/>
      <c r="B771" s="28"/>
      <c r="C771" s="17"/>
      <c r="D771" s="34" t="str">
        <f>vlookup($C771,CSDL!$A:$E,2,0)</f>
        <v>#N/A</v>
      </c>
      <c r="E771" s="19" t="str">
        <f>vlookup($C771,CSDL!$A:$E,3,0)</f>
        <v>#N/A</v>
      </c>
      <c r="F771" s="19" t="str">
        <f>vlookup($C771,CSDL!$A:$E,4,0)</f>
        <v>#N/A</v>
      </c>
      <c r="G771" s="27" t="str">
        <f>vlookup($C771,CSDL!$A:$E,5,0)</f>
        <v>#N/A</v>
      </c>
      <c r="H771" s="32"/>
      <c r="I771" s="29"/>
      <c r="J771" s="29"/>
      <c r="K771" s="29"/>
      <c r="L771" s="22">
        <f t="shared" si="9"/>
        <v>0</v>
      </c>
      <c r="M771" s="29"/>
      <c r="N771" s="29"/>
      <c r="O771" s="71"/>
      <c r="P771" s="26"/>
      <c r="Q771" s="32"/>
    </row>
    <row r="772" ht="25.5" customHeight="1">
      <c r="A772" s="33"/>
      <c r="B772" s="16"/>
      <c r="C772" s="17"/>
      <c r="D772" s="34" t="str">
        <f>vlookup($C772,CSDL!$A:$E,2,0)</f>
        <v>#N/A</v>
      </c>
      <c r="E772" s="19" t="str">
        <f>vlookup($C772,CSDL!$A:$E,3,0)</f>
        <v>#N/A</v>
      </c>
      <c r="F772" s="19" t="str">
        <f>vlookup($C772,CSDL!$A:$E,4,0)</f>
        <v>#N/A</v>
      </c>
      <c r="G772" s="20" t="str">
        <f>vlookup($C772,CSDL!$A:$E,5,0)</f>
        <v>#N/A</v>
      </c>
      <c r="H772" s="25"/>
      <c r="I772" s="23"/>
      <c r="J772" s="23"/>
      <c r="K772" s="23"/>
      <c r="L772" s="22">
        <f t="shared" si="9"/>
        <v>0</v>
      </c>
      <c r="M772" s="78"/>
      <c r="N772" s="78"/>
      <c r="O772" s="69"/>
      <c r="P772" s="33"/>
      <c r="Q772" s="25"/>
    </row>
    <row r="773" ht="25.5" customHeight="1">
      <c r="A773" s="26"/>
      <c r="B773" s="28"/>
      <c r="C773" s="17"/>
      <c r="D773" s="34" t="str">
        <f>vlookup($C773,CSDL!$A:$E,2,0)</f>
        <v>#N/A</v>
      </c>
      <c r="E773" s="19" t="str">
        <f>vlookup($C773,CSDL!$A:$E,3,0)</f>
        <v>#N/A</v>
      </c>
      <c r="F773" s="19" t="str">
        <f>vlookup($C773,CSDL!$A:$E,4,0)</f>
        <v>#N/A</v>
      </c>
      <c r="G773" s="27" t="str">
        <f>vlookup($C773,CSDL!$A:$E,5,0)</f>
        <v>#N/A</v>
      </c>
      <c r="H773" s="32"/>
      <c r="I773" s="29"/>
      <c r="J773" s="29"/>
      <c r="K773" s="29"/>
      <c r="L773" s="22">
        <f t="shared" si="9"/>
        <v>0</v>
      </c>
      <c r="M773" s="29"/>
      <c r="N773" s="29"/>
      <c r="O773" s="71"/>
      <c r="P773" s="26"/>
      <c r="Q773" s="32"/>
    </row>
    <row r="774" ht="25.5" customHeight="1">
      <c r="A774" s="33"/>
      <c r="B774" s="16"/>
      <c r="C774" s="17"/>
      <c r="D774" s="34" t="str">
        <f>vlookup($C774,CSDL!$A:$E,2,0)</f>
        <v>#N/A</v>
      </c>
      <c r="E774" s="19" t="str">
        <f>vlookup($C774,CSDL!$A:$E,3,0)</f>
        <v>#N/A</v>
      </c>
      <c r="F774" s="19" t="str">
        <f>vlookup($C774,CSDL!$A:$E,4,0)</f>
        <v>#N/A</v>
      </c>
      <c r="G774" s="20" t="str">
        <f>vlookup($C774,CSDL!$A:$E,5,0)</f>
        <v>#N/A</v>
      </c>
      <c r="H774" s="25"/>
      <c r="I774" s="23"/>
      <c r="J774" s="23"/>
      <c r="K774" s="23"/>
      <c r="L774" s="22">
        <f t="shared" si="9"/>
        <v>0</v>
      </c>
      <c r="M774" s="78"/>
      <c r="N774" s="78"/>
      <c r="O774" s="69"/>
      <c r="P774" s="33"/>
      <c r="Q774" s="25"/>
    </row>
    <row r="775" ht="25.5" customHeight="1">
      <c r="A775" s="26"/>
      <c r="B775" s="28"/>
      <c r="C775" s="17"/>
      <c r="D775" s="34" t="str">
        <f>vlookup($C775,CSDL!$A:$E,2,0)</f>
        <v>#N/A</v>
      </c>
      <c r="E775" s="19" t="str">
        <f>vlookup($C775,CSDL!$A:$E,3,0)</f>
        <v>#N/A</v>
      </c>
      <c r="F775" s="19" t="str">
        <f>vlookup($C775,CSDL!$A:$E,4,0)</f>
        <v>#N/A</v>
      </c>
      <c r="G775" s="27" t="str">
        <f>vlookup($C775,CSDL!$A:$E,5,0)</f>
        <v>#N/A</v>
      </c>
      <c r="H775" s="32"/>
      <c r="I775" s="29"/>
      <c r="J775" s="29"/>
      <c r="K775" s="29"/>
      <c r="L775" s="22">
        <f t="shared" si="9"/>
        <v>0</v>
      </c>
      <c r="M775" s="29"/>
      <c r="N775" s="29"/>
      <c r="O775" s="71"/>
      <c r="P775" s="26"/>
      <c r="Q775" s="32"/>
    </row>
    <row r="776" ht="25.5" customHeight="1">
      <c r="A776" s="33"/>
      <c r="B776" s="16"/>
      <c r="C776" s="17"/>
      <c r="D776" s="34" t="str">
        <f>vlookup($C776,CSDL!$A:$E,2,0)</f>
        <v>#N/A</v>
      </c>
      <c r="E776" s="19" t="str">
        <f>vlookup($C776,CSDL!$A:$E,3,0)</f>
        <v>#N/A</v>
      </c>
      <c r="F776" s="19" t="str">
        <f>vlookup($C776,CSDL!$A:$E,4,0)</f>
        <v>#N/A</v>
      </c>
      <c r="G776" s="20" t="str">
        <f>vlookup($C776,CSDL!$A:$E,5,0)</f>
        <v>#N/A</v>
      </c>
      <c r="H776" s="25"/>
      <c r="I776" s="23"/>
      <c r="J776" s="23"/>
      <c r="K776" s="23"/>
      <c r="L776" s="22">
        <f t="shared" si="9"/>
        <v>0</v>
      </c>
      <c r="M776" s="23"/>
      <c r="N776" s="23"/>
      <c r="O776" s="69"/>
      <c r="P776" s="33"/>
      <c r="Q776" s="25"/>
    </row>
    <row r="777" ht="25.5" customHeight="1">
      <c r="A777" s="26"/>
      <c r="B777" s="28"/>
      <c r="C777" s="17"/>
      <c r="D777" s="34" t="str">
        <f>vlookup($C777,CSDL!$A:$E,2,0)</f>
        <v>#N/A</v>
      </c>
      <c r="E777" s="19" t="str">
        <f>vlookup($C777,CSDL!$A:$E,3,0)</f>
        <v>#N/A</v>
      </c>
      <c r="F777" s="19" t="str">
        <f>vlookup($C777,CSDL!$A:$E,4,0)</f>
        <v>#N/A</v>
      </c>
      <c r="G777" s="27" t="str">
        <f>vlookup($C777,CSDL!$A:$E,5,0)</f>
        <v>#N/A</v>
      </c>
      <c r="H777" s="32"/>
      <c r="I777" s="29"/>
      <c r="J777" s="29"/>
      <c r="K777" s="29"/>
      <c r="L777" s="22">
        <f t="shared" si="9"/>
        <v>0</v>
      </c>
      <c r="M777" s="29"/>
      <c r="N777" s="29"/>
      <c r="O777" s="71"/>
      <c r="P777" s="26"/>
      <c r="Q777" s="32"/>
    </row>
    <row r="778" ht="25.5" customHeight="1">
      <c r="A778" s="33"/>
      <c r="B778" s="16"/>
      <c r="C778" s="17"/>
      <c r="D778" s="34" t="str">
        <f>vlookup($C778,CSDL!$A:$E,2,0)</f>
        <v>#N/A</v>
      </c>
      <c r="E778" s="19" t="str">
        <f>vlookup($C778,CSDL!$A:$E,3,0)</f>
        <v>#N/A</v>
      </c>
      <c r="F778" s="19" t="str">
        <f>vlookup($C778,CSDL!$A:$E,4,0)</f>
        <v>#N/A</v>
      </c>
      <c r="G778" s="20" t="str">
        <f>vlookup($C778,CSDL!$A:$E,5,0)</f>
        <v>#N/A</v>
      </c>
      <c r="H778" s="25"/>
      <c r="I778" s="23"/>
      <c r="J778" s="23"/>
      <c r="K778" s="23"/>
      <c r="L778" s="22">
        <f t="shared" si="9"/>
        <v>0</v>
      </c>
      <c r="M778" s="23"/>
      <c r="N778" s="23"/>
      <c r="O778" s="24"/>
      <c r="P778" s="33"/>
      <c r="Q778" s="25"/>
    </row>
    <row r="779" ht="25.5" customHeight="1">
      <c r="A779" s="26"/>
      <c r="B779" s="28"/>
      <c r="C779" s="17"/>
      <c r="D779" s="34" t="str">
        <f>vlookup($C779,CSDL!$A:$E,2,0)</f>
        <v>#N/A</v>
      </c>
      <c r="E779" s="19" t="str">
        <f>vlookup($C779,CSDL!$A:$E,3,0)</f>
        <v>#N/A</v>
      </c>
      <c r="F779" s="19" t="str">
        <f>vlookup($C779,CSDL!$A:$E,4,0)</f>
        <v>#N/A</v>
      </c>
      <c r="G779" s="27" t="str">
        <f>vlookup($C779,CSDL!$A:$E,5,0)</f>
        <v>#N/A</v>
      </c>
      <c r="H779" s="32"/>
      <c r="I779" s="29"/>
      <c r="J779" s="29"/>
      <c r="K779" s="29"/>
      <c r="L779" s="22">
        <f t="shared" si="9"/>
        <v>0</v>
      </c>
      <c r="M779" s="29"/>
      <c r="N779" s="29"/>
      <c r="O779" s="30"/>
      <c r="P779" s="26"/>
      <c r="Q779" s="32"/>
    </row>
    <row r="780" ht="25.5" customHeight="1">
      <c r="A780" s="33"/>
      <c r="B780" s="16"/>
      <c r="C780" s="17"/>
      <c r="D780" s="34" t="str">
        <f>vlookup($C780,CSDL!$A:$E,2,0)</f>
        <v>#N/A</v>
      </c>
      <c r="E780" s="19" t="str">
        <f>vlookup($C780,CSDL!$A:$E,3,0)</f>
        <v>#N/A</v>
      </c>
      <c r="F780" s="19" t="str">
        <f>vlookup($C780,CSDL!$A:$E,4,0)</f>
        <v>#N/A</v>
      </c>
      <c r="G780" s="20" t="str">
        <f>vlookup($C780,CSDL!$A:$E,5,0)</f>
        <v>#N/A</v>
      </c>
      <c r="H780" s="25"/>
      <c r="I780" s="23"/>
      <c r="J780" s="23"/>
      <c r="K780" s="23"/>
      <c r="L780" s="22">
        <f t="shared" si="9"/>
        <v>0</v>
      </c>
      <c r="M780" s="23"/>
      <c r="N780" s="23"/>
      <c r="O780" s="24"/>
      <c r="P780" s="33"/>
      <c r="Q780" s="25"/>
    </row>
    <row r="781" ht="25.5" customHeight="1">
      <c r="A781" s="26"/>
      <c r="B781" s="28"/>
      <c r="C781" s="17"/>
      <c r="D781" s="34" t="str">
        <f>vlookup($C781,CSDL!$A:$E,2,0)</f>
        <v>#N/A</v>
      </c>
      <c r="E781" s="19" t="str">
        <f>vlookup($C781,CSDL!$A:$E,3,0)</f>
        <v>#N/A</v>
      </c>
      <c r="F781" s="19" t="str">
        <f>vlookup($C781,CSDL!$A:$E,4,0)</f>
        <v>#N/A</v>
      </c>
      <c r="G781" s="27" t="str">
        <f>vlookup($C781,CSDL!$A:$E,5,0)</f>
        <v>#N/A</v>
      </c>
      <c r="H781" s="32"/>
      <c r="I781" s="29"/>
      <c r="J781" s="29"/>
      <c r="K781" s="29"/>
      <c r="L781" s="22">
        <f t="shared" si="9"/>
        <v>0</v>
      </c>
      <c r="M781" s="29"/>
      <c r="N781" s="29"/>
      <c r="O781" s="30"/>
      <c r="P781" s="26"/>
      <c r="Q781" s="32"/>
    </row>
    <row r="782" ht="25.5" customHeight="1">
      <c r="A782" s="33"/>
      <c r="B782" s="16"/>
      <c r="C782" s="17"/>
      <c r="D782" s="34" t="str">
        <f>vlookup($C782,CSDL!$A:$E,2,0)</f>
        <v>#N/A</v>
      </c>
      <c r="E782" s="19" t="str">
        <f>vlookup($C782,CSDL!$A:$E,3,0)</f>
        <v>#N/A</v>
      </c>
      <c r="F782" s="19" t="str">
        <f>vlookup($C782,CSDL!$A:$E,4,0)</f>
        <v>#N/A</v>
      </c>
      <c r="G782" s="20" t="str">
        <f>vlookup($C782,CSDL!$A:$E,5,0)</f>
        <v>#N/A</v>
      </c>
      <c r="H782" s="25"/>
      <c r="I782" s="23"/>
      <c r="J782" s="23"/>
      <c r="K782" s="23"/>
      <c r="L782" s="22">
        <f t="shared" si="9"/>
        <v>0</v>
      </c>
      <c r="M782" s="23"/>
      <c r="N782" s="23"/>
      <c r="O782" s="24"/>
      <c r="P782" s="33"/>
      <c r="Q782" s="25"/>
    </row>
    <row r="783" ht="25.5" customHeight="1">
      <c r="A783" s="26"/>
      <c r="B783" s="28"/>
      <c r="C783" s="17"/>
      <c r="D783" s="34" t="str">
        <f>vlookup($C783,CSDL!$A:$E,2,0)</f>
        <v>#N/A</v>
      </c>
      <c r="E783" s="19" t="str">
        <f>vlookup($C783,CSDL!$A:$E,3,0)</f>
        <v>#N/A</v>
      </c>
      <c r="F783" s="19" t="str">
        <f>vlookup($C783,CSDL!$A:$E,4,0)</f>
        <v>#N/A</v>
      </c>
      <c r="G783" s="27" t="str">
        <f>vlookup($C783,CSDL!$A:$E,5,0)</f>
        <v>#N/A</v>
      </c>
      <c r="H783" s="32"/>
      <c r="I783" s="29"/>
      <c r="J783" s="29"/>
      <c r="K783" s="29"/>
      <c r="L783" s="22">
        <f t="shared" si="9"/>
        <v>0</v>
      </c>
      <c r="M783" s="29"/>
      <c r="N783" s="29"/>
      <c r="O783" s="30"/>
      <c r="P783" s="26"/>
      <c r="Q783" s="32"/>
    </row>
    <row r="784" ht="25.5" customHeight="1">
      <c r="A784" s="33"/>
      <c r="B784" s="16"/>
      <c r="C784" s="17"/>
      <c r="D784" s="34" t="str">
        <f>vlookup($C784,CSDL!$A:$E,2,0)</f>
        <v>#N/A</v>
      </c>
      <c r="E784" s="19" t="str">
        <f>vlookup($C784,CSDL!$A:$E,3,0)</f>
        <v>#N/A</v>
      </c>
      <c r="F784" s="19" t="str">
        <f>vlookup($C784,CSDL!$A:$E,4,0)</f>
        <v>#N/A</v>
      </c>
      <c r="G784" s="20" t="str">
        <f>vlookup($C784,CSDL!$A:$E,5,0)</f>
        <v>#N/A</v>
      </c>
      <c r="H784" s="25"/>
      <c r="I784" s="23"/>
      <c r="J784" s="23"/>
      <c r="K784" s="23"/>
      <c r="L784" s="22">
        <f t="shared" si="9"/>
        <v>0</v>
      </c>
      <c r="M784" s="23"/>
      <c r="N784" s="23"/>
      <c r="O784" s="24"/>
      <c r="P784" s="33"/>
      <c r="Q784" s="25"/>
    </row>
    <row r="785" ht="25.5" customHeight="1">
      <c r="A785" s="26"/>
      <c r="B785" s="28"/>
      <c r="C785" s="17"/>
      <c r="D785" s="34" t="str">
        <f>vlookup($C785,CSDL!$A:$E,2,0)</f>
        <v>#N/A</v>
      </c>
      <c r="E785" s="19" t="str">
        <f>vlookup($C785,CSDL!$A:$E,3,0)</f>
        <v>#N/A</v>
      </c>
      <c r="F785" s="19" t="str">
        <f>vlookup($C785,CSDL!$A:$E,4,0)</f>
        <v>#N/A</v>
      </c>
      <c r="G785" s="27" t="str">
        <f>vlookup($C785,CSDL!$A:$E,5,0)</f>
        <v>#N/A</v>
      </c>
      <c r="H785" s="32"/>
      <c r="I785" s="29"/>
      <c r="J785" s="29"/>
      <c r="K785" s="29"/>
      <c r="L785" s="22">
        <f t="shared" si="9"/>
        <v>0</v>
      </c>
      <c r="M785" s="29"/>
      <c r="N785" s="29"/>
      <c r="O785" s="30"/>
      <c r="P785" s="26"/>
      <c r="Q785" s="32"/>
    </row>
    <row r="786" ht="25.5" customHeight="1">
      <c r="A786" s="33"/>
      <c r="B786" s="16"/>
      <c r="C786" s="17"/>
      <c r="D786" s="34" t="str">
        <f>vlookup($C786,CSDL!$A:$E,2,0)</f>
        <v>#N/A</v>
      </c>
      <c r="E786" s="19" t="str">
        <f>vlookup($C786,CSDL!$A:$E,3,0)</f>
        <v>#N/A</v>
      </c>
      <c r="F786" s="19" t="str">
        <f>vlookup($C786,CSDL!$A:$E,4,0)</f>
        <v>#N/A</v>
      </c>
      <c r="G786" s="20" t="str">
        <f>vlookup($C786,CSDL!$A:$E,5,0)</f>
        <v>#N/A</v>
      </c>
      <c r="H786" s="25"/>
      <c r="I786" s="23"/>
      <c r="J786" s="23"/>
      <c r="K786" s="23"/>
      <c r="L786" s="22">
        <f t="shared" si="9"/>
        <v>0</v>
      </c>
      <c r="M786" s="23"/>
      <c r="N786" s="23"/>
      <c r="O786" s="69"/>
      <c r="P786" s="33"/>
      <c r="Q786" s="25"/>
    </row>
    <row r="787" ht="25.5" customHeight="1">
      <c r="A787" s="26"/>
      <c r="B787" s="28"/>
      <c r="C787" s="17"/>
      <c r="D787" s="34" t="str">
        <f>vlookup($C787,CSDL!$A:$E,2,0)</f>
        <v>#N/A</v>
      </c>
      <c r="E787" s="19" t="str">
        <f>vlookup($C787,CSDL!$A:$E,3,0)</f>
        <v>#N/A</v>
      </c>
      <c r="F787" s="19" t="str">
        <f>vlookup($C787,CSDL!$A:$E,4,0)</f>
        <v>#N/A</v>
      </c>
      <c r="G787" s="27" t="str">
        <f>vlookup($C787,CSDL!$A:$E,5,0)</f>
        <v>#N/A</v>
      </c>
      <c r="H787" s="32"/>
      <c r="I787" s="29"/>
      <c r="J787" s="29"/>
      <c r="K787" s="29"/>
      <c r="L787" s="22">
        <f t="shared" si="9"/>
        <v>0</v>
      </c>
      <c r="M787" s="29"/>
      <c r="N787" s="29"/>
      <c r="O787" s="30"/>
      <c r="P787" s="26"/>
      <c r="Q787" s="32"/>
    </row>
    <row r="788" ht="25.5" customHeight="1">
      <c r="A788" s="33"/>
      <c r="B788" s="16"/>
      <c r="C788" s="17"/>
      <c r="D788" s="34" t="str">
        <f>vlookup($C788,CSDL!$A:$E,2,0)</f>
        <v>#N/A</v>
      </c>
      <c r="E788" s="19" t="str">
        <f>vlookup($C788,CSDL!$A:$E,3,0)</f>
        <v>#N/A</v>
      </c>
      <c r="F788" s="19" t="str">
        <f>vlookup($C788,CSDL!$A:$E,4,0)</f>
        <v>#N/A</v>
      </c>
      <c r="G788" s="20" t="str">
        <f>vlookup($C788,CSDL!$A:$E,5,0)</f>
        <v>#N/A</v>
      </c>
      <c r="H788" s="25"/>
      <c r="I788" s="23"/>
      <c r="J788" s="23"/>
      <c r="K788" s="23"/>
      <c r="L788" s="22">
        <f t="shared" si="9"/>
        <v>0</v>
      </c>
      <c r="M788" s="78"/>
      <c r="N788" s="78"/>
      <c r="O788" s="69"/>
      <c r="P788" s="33"/>
      <c r="Q788" s="25"/>
    </row>
    <row r="789" ht="25.5" customHeight="1">
      <c r="A789" s="26"/>
      <c r="B789" s="28"/>
      <c r="C789" s="17"/>
      <c r="D789" s="34" t="str">
        <f>vlookup($C789,CSDL!$A:$E,2,0)</f>
        <v>#N/A</v>
      </c>
      <c r="E789" s="19" t="str">
        <f>vlookup($C789,CSDL!$A:$E,3,0)</f>
        <v>#N/A</v>
      </c>
      <c r="F789" s="19" t="str">
        <f>vlookup($C789,CSDL!$A:$E,4,0)</f>
        <v>#N/A</v>
      </c>
      <c r="G789" s="27" t="str">
        <f>vlookup($C789,CSDL!$A:$E,5,0)</f>
        <v>#N/A</v>
      </c>
      <c r="H789" s="32"/>
      <c r="I789" s="29"/>
      <c r="J789" s="29"/>
      <c r="K789" s="29"/>
      <c r="L789" s="22">
        <f t="shared" si="9"/>
        <v>0</v>
      </c>
      <c r="M789" s="75"/>
      <c r="N789" s="75"/>
      <c r="O789" s="71"/>
      <c r="P789" s="26"/>
      <c r="Q789" s="32"/>
    </row>
    <row r="790" ht="25.5" customHeight="1">
      <c r="A790" s="33"/>
      <c r="B790" s="16"/>
      <c r="C790" s="17"/>
      <c r="D790" s="34" t="str">
        <f>vlookup($C790,CSDL!$A:$E,2,0)</f>
        <v>#N/A</v>
      </c>
      <c r="E790" s="19" t="str">
        <f>vlookup($C790,CSDL!$A:$E,3,0)</f>
        <v>#N/A</v>
      </c>
      <c r="F790" s="19" t="str">
        <f>vlookup($C790,CSDL!$A:$E,4,0)</f>
        <v>#N/A</v>
      </c>
      <c r="G790" s="20" t="str">
        <f>vlookup($C790,CSDL!$A:$E,5,0)</f>
        <v>#N/A</v>
      </c>
      <c r="H790" s="25"/>
      <c r="I790" s="23"/>
      <c r="J790" s="23"/>
      <c r="K790" s="23"/>
      <c r="L790" s="22">
        <f t="shared" si="9"/>
        <v>0</v>
      </c>
      <c r="M790" s="23"/>
      <c r="N790" s="23"/>
      <c r="O790" s="69"/>
      <c r="P790" s="33"/>
      <c r="Q790" s="25"/>
    </row>
    <row r="791" ht="25.5" customHeight="1">
      <c r="A791" s="26"/>
      <c r="B791" s="28"/>
      <c r="C791" s="17"/>
      <c r="D791" s="34" t="str">
        <f>vlookup($C791,CSDL!$A:$E,2,0)</f>
        <v>#N/A</v>
      </c>
      <c r="E791" s="19" t="str">
        <f>vlookup($C791,CSDL!$A:$E,3,0)</f>
        <v>#N/A</v>
      </c>
      <c r="F791" s="19" t="str">
        <f>vlookup($C791,CSDL!$A:$E,4,0)</f>
        <v>#N/A</v>
      </c>
      <c r="G791" s="27" t="str">
        <f>vlookup($C791,CSDL!$A:$E,5,0)</f>
        <v>#N/A</v>
      </c>
      <c r="H791" s="32"/>
      <c r="I791" s="29"/>
      <c r="J791" s="29"/>
      <c r="K791" s="29"/>
      <c r="L791" s="22">
        <f t="shared" si="9"/>
        <v>0</v>
      </c>
      <c r="M791" s="29"/>
      <c r="N791" s="29"/>
      <c r="O791" s="30"/>
      <c r="P791" s="26"/>
      <c r="Q791" s="32"/>
    </row>
    <row r="792" ht="25.5" customHeight="1">
      <c r="A792" s="33"/>
      <c r="B792" s="16"/>
      <c r="C792" s="17"/>
      <c r="D792" s="34" t="str">
        <f>vlookup($C792,CSDL!$A:$E,2,0)</f>
        <v>#N/A</v>
      </c>
      <c r="E792" s="19" t="str">
        <f>vlookup($C792,CSDL!$A:$E,3,0)</f>
        <v>#N/A</v>
      </c>
      <c r="F792" s="19" t="str">
        <f>vlookup($C792,CSDL!$A:$E,4,0)</f>
        <v>#N/A</v>
      </c>
      <c r="G792" s="20" t="str">
        <f>vlookup($C792,CSDL!$A:$E,5,0)</f>
        <v>#N/A</v>
      </c>
      <c r="H792" s="25"/>
      <c r="I792" s="23"/>
      <c r="J792" s="23"/>
      <c r="K792" s="23"/>
      <c r="L792" s="22">
        <f t="shared" si="9"/>
        <v>0</v>
      </c>
      <c r="M792" s="23"/>
      <c r="N792" s="23"/>
      <c r="O792" s="69"/>
      <c r="P792" s="33"/>
      <c r="Q792" s="25"/>
    </row>
    <row r="793" ht="25.5" customHeight="1">
      <c r="A793" s="26"/>
      <c r="B793" s="28"/>
      <c r="C793" s="17"/>
      <c r="D793" s="34" t="str">
        <f>vlookup($C793,CSDL!$A:$E,2,0)</f>
        <v>#N/A</v>
      </c>
      <c r="E793" s="19" t="str">
        <f>vlookup($C793,CSDL!$A:$E,3,0)</f>
        <v>#N/A</v>
      </c>
      <c r="F793" s="19" t="str">
        <f>vlookup($C793,CSDL!$A:$E,4,0)</f>
        <v>#N/A</v>
      </c>
      <c r="G793" s="27" t="str">
        <f>vlookup($C793,CSDL!$A:$E,5,0)</f>
        <v>#N/A</v>
      </c>
      <c r="H793" s="32"/>
      <c r="I793" s="29"/>
      <c r="J793" s="29"/>
      <c r="K793" s="29"/>
      <c r="L793" s="22">
        <f t="shared" si="9"/>
        <v>0</v>
      </c>
      <c r="M793" s="29"/>
      <c r="N793" s="29"/>
      <c r="O793" s="71"/>
      <c r="P793" s="26"/>
      <c r="Q793" s="32"/>
    </row>
    <row r="794" ht="25.5" customHeight="1">
      <c r="A794" s="33"/>
      <c r="B794" s="16"/>
      <c r="C794" s="17"/>
      <c r="D794" s="34" t="str">
        <f>vlookup($C794,CSDL!$A:$E,2,0)</f>
        <v>#N/A</v>
      </c>
      <c r="E794" s="19" t="str">
        <f>vlookup($C794,CSDL!$A:$E,3,0)</f>
        <v>#N/A</v>
      </c>
      <c r="F794" s="19" t="str">
        <f>vlookup($C794,CSDL!$A:$E,4,0)</f>
        <v>#N/A</v>
      </c>
      <c r="G794" s="20" t="str">
        <f>vlookup($C794,CSDL!$A:$E,5,0)</f>
        <v>#N/A</v>
      </c>
      <c r="H794" s="25"/>
      <c r="I794" s="23"/>
      <c r="J794" s="23"/>
      <c r="K794" s="23"/>
      <c r="L794" s="22">
        <f t="shared" si="9"/>
        <v>0</v>
      </c>
      <c r="M794" s="23"/>
      <c r="N794" s="23"/>
      <c r="O794" s="24"/>
      <c r="P794" s="33"/>
      <c r="Q794" s="25"/>
    </row>
    <row r="795" ht="25.5" customHeight="1">
      <c r="A795" s="26"/>
      <c r="B795" s="28"/>
      <c r="C795" s="17"/>
      <c r="D795" s="34" t="str">
        <f>vlookup($C795,CSDL!$A:$E,2,0)</f>
        <v>#N/A</v>
      </c>
      <c r="E795" s="19" t="str">
        <f>vlookup($C795,CSDL!$A:$E,3,0)</f>
        <v>#N/A</v>
      </c>
      <c r="F795" s="19" t="str">
        <f>vlookup($C795,CSDL!$A:$E,4,0)</f>
        <v>#N/A</v>
      </c>
      <c r="G795" s="27" t="str">
        <f>vlookup($C795,CSDL!$A:$E,5,0)</f>
        <v>#N/A</v>
      </c>
      <c r="H795" s="32"/>
      <c r="I795" s="29"/>
      <c r="J795" s="29"/>
      <c r="K795" s="29"/>
      <c r="L795" s="22">
        <f t="shared" si="9"/>
        <v>0</v>
      </c>
      <c r="M795" s="29"/>
      <c r="N795" s="29"/>
      <c r="O795" s="30"/>
      <c r="P795" s="26"/>
      <c r="Q795" s="32"/>
    </row>
    <row r="796" ht="25.5" customHeight="1">
      <c r="A796" s="33"/>
      <c r="B796" s="16"/>
      <c r="C796" s="17"/>
      <c r="D796" s="34" t="str">
        <f>vlookup($C796,CSDL!$A:$E,2,0)</f>
        <v>#N/A</v>
      </c>
      <c r="E796" s="19" t="str">
        <f>vlookup($C796,CSDL!$A:$E,3,0)</f>
        <v>#N/A</v>
      </c>
      <c r="F796" s="19" t="str">
        <f>vlookup($C796,CSDL!$A:$E,4,0)</f>
        <v>#N/A</v>
      </c>
      <c r="G796" s="20" t="str">
        <f>vlookup($C796,CSDL!$A:$E,5,0)</f>
        <v>#N/A</v>
      </c>
      <c r="H796" s="25"/>
      <c r="I796" s="56"/>
      <c r="J796" s="23"/>
      <c r="K796" s="23"/>
      <c r="L796" s="22">
        <f t="shared" si="9"/>
        <v>0</v>
      </c>
      <c r="M796" s="23"/>
      <c r="N796" s="23"/>
      <c r="O796" s="24"/>
      <c r="P796" s="33"/>
      <c r="Q796" s="25"/>
    </row>
    <row r="797" ht="25.5" customHeight="1">
      <c r="A797" s="26"/>
      <c r="B797" s="28"/>
      <c r="C797" s="17"/>
      <c r="D797" s="34" t="str">
        <f>vlookup($C797,CSDL!$A:$E,2,0)</f>
        <v>#N/A</v>
      </c>
      <c r="E797" s="19" t="str">
        <f>vlookup($C797,CSDL!$A:$E,3,0)</f>
        <v>#N/A</v>
      </c>
      <c r="F797" s="19" t="str">
        <f>vlookup($C797,CSDL!$A:$E,4,0)</f>
        <v>#N/A</v>
      </c>
      <c r="G797" s="27" t="str">
        <f>vlookup($C797,CSDL!$A:$E,5,0)</f>
        <v>#N/A</v>
      </c>
      <c r="H797" s="32"/>
      <c r="I797" s="29"/>
      <c r="J797" s="56"/>
      <c r="K797" s="56"/>
      <c r="L797" s="22">
        <f t="shared" si="9"/>
        <v>0</v>
      </c>
      <c r="M797" s="56"/>
      <c r="N797" s="56"/>
      <c r="O797" s="81"/>
      <c r="P797" s="48"/>
      <c r="Q797" s="55"/>
    </row>
    <row r="798" ht="25.5" customHeight="1">
      <c r="A798" s="33"/>
      <c r="B798" s="16"/>
      <c r="C798" s="17"/>
      <c r="D798" s="34" t="str">
        <f>vlookup($C798,CSDL!$A:$E,2,0)</f>
        <v>#N/A</v>
      </c>
      <c r="E798" s="19" t="str">
        <f>vlookup($C798,CSDL!$A:$E,3,0)</f>
        <v>#N/A</v>
      </c>
      <c r="F798" s="19" t="str">
        <f>vlookup($C798,CSDL!$A:$E,4,0)</f>
        <v>#N/A</v>
      </c>
      <c r="G798" s="20" t="str">
        <f>vlookup($C798,CSDL!$A:$E,5,0)</f>
        <v>#N/A</v>
      </c>
      <c r="H798" s="25"/>
      <c r="I798" s="23"/>
      <c r="J798" s="23"/>
      <c r="K798" s="23"/>
      <c r="L798" s="22">
        <f t="shared" si="9"/>
        <v>0</v>
      </c>
      <c r="M798" s="23"/>
      <c r="N798" s="23"/>
      <c r="O798" s="24"/>
      <c r="P798" s="33"/>
      <c r="Q798" s="25"/>
    </row>
    <row r="799" ht="25.5" customHeight="1">
      <c r="A799" s="26"/>
      <c r="B799" s="28"/>
      <c r="C799" s="17"/>
      <c r="D799" s="34" t="str">
        <f>vlookup($C799,CSDL!$A:$E,2,0)</f>
        <v>#N/A</v>
      </c>
      <c r="E799" s="19" t="str">
        <f>vlookup($C799,CSDL!$A:$E,3,0)</f>
        <v>#N/A</v>
      </c>
      <c r="F799" s="19" t="str">
        <f>vlookup($C799,CSDL!$A:$E,4,0)</f>
        <v>#N/A</v>
      </c>
      <c r="G799" s="27" t="str">
        <f>vlookup($C799,CSDL!$A:$E,5,0)</f>
        <v>#N/A</v>
      </c>
      <c r="H799" s="32"/>
      <c r="I799" s="29"/>
      <c r="J799" s="29"/>
      <c r="K799" s="29"/>
      <c r="L799" s="22">
        <f t="shared" si="9"/>
        <v>0</v>
      </c>
      <c r="M799" s="29"/>
      <c r="N799" s="29"/>
      <c r="O799" s="30"/>
      <c r="P799" s="26"/>
      <c r="Q799" s="32"/>
    </row>
    <row r="800" ht="25.5" customHeight="1">
      <c r="A800" s="33"/>
      <c r="B800" s="16"/>
      <c r="C800" s="17"/>
      <c r="D800" s="34" t="str">
        <f>vlookup($C800,CSDL!$A:$E,2,0)</f>
        <v>#N/A</v>
      </c>
      <c r="E800" s="19" t="str">
        <f>vlookup($C800,CSDL!$A:$E,3,0)</f>
        <v>#N/A</v>
      </c>
      <c r="F800" s="19" t="str">
        <f>vlookup($C800,CSDL!$A:$E,4,0)</f>
        <v>#N/A</v>
      </c>
      <c r="G800" s="20" t="str">
        <f>vlookup($C800,CSDL!$A:$E,5,0)</f>
        <v>#N/A</v>
      </c>
      <c r="H800" s="25"/>
      <c r="I800" s="23"/>
      <c r="J800" s="23"/>
      <c r="K800" s="23"/>
      <c r="L800" s="22">
        <f t="shared" si="9"/>
        <v>0</v>
      </c>
      <c r="M800" s="78"/>
      <c r="N800" s="78"/>
      <c r="O800" s="69"/>
      <c r="P800" s="33"/>
      <c r="Q800" s="25"/>
    </row>
    <row r="801" ht="25.5" customHeight="1">
      <c r="A801" s="26"/>
      <c r="B801" s="28"/>
      <c r="C801" s="17"/>
      <c r="D801" s="34" t="str">
        <f>vlookup($C801,CSDL!$A:$E,2,0)</f>
        <v>#N/A</v>
      </c>
      <c r="E801" s="19" t="str">
        <f>vlookup($C801,CSDL!$A:$E,3,0)</f>
        <v>#N/A</v>
      </c>
      <c r="F801" s="19" t="str">
        <f>vlookup($C801,CSDL!$A:$E,4,0)</f>
        <v>#N/A</v>
      </c>
      <c r="G801" s="27" t="str">
        <f>vlookup($C801,CSDL!$A:$E,5,0)</f>
        <v>#N/A</v>
      </c>
      <c r="H801" s="32"/>
      <c r="I801" s="29"/>
      <c r="J801" s="29"/>
      <c r="K801" s="29"/>
      <c r="L801" s="22">
        <f t="shared" si="9"/>
        <v>0</v>
      </c>
      <c r="M801" s="29"/>
      <c r="N801" s="29"/>
      <c r="O801" s="71"/>
      <c r="P801" s="26"/>
      <c r="Q801" s="32"/>
    </row>
    <row r="802" ht="25.5" customHeight="1">
      <c r="A802" s="33"/>
      <c r="B802" s="16"/>
      <c r="C802" s="17"/>
      <c r="D802" s="34" t="str">
        <f>vlookup($C802,CSDL!$A:$E,2,0)</f>
        <v>#N/A</v>
      </c>
      <c r="E802" s="19" t="str">
        <f>vlookup($C802,CSDL!$A:$E,3,0)</f>
        <v>#N/A</v>
      </c>
      <c r="F802" s="19" t="str">
        <f>vlookup($C802,CSDL!$A:$E,4,0)</f>
        <v>#N/A</v>
      </c>
      <c r="G802" s="20" t="str">
        <f>vlookup($C802,CSDL!$A:$E,5,0)</f>
        <v>#N/A</v>
      </c>
      <c r="H802" s="25"/>
      <c r="I802" s="23"/>
      <c r="J802" s="23"/>
      <c r="K802" s="23"/>
      <c r="L802" s="22">
        <f t="shared" si="9"/>
        <v>0</v>
      </c>
      <c r="M802" s="23"/>
      <c r="N802" s="23"/>
      <c r="O802" s="24"/>
      <c r="P802" s="33"/>
      <c r="Q802" s="25"/>
    </row>
    <row r="803" ht="25.5" customHeight="1">
      <c r="A803" s="26"/>
      <c r="B803" s="28"/>
      <c r="C803" s="17"/>
      <c r="D803" s="34" t="str">
        <f>vlookup($C803,CSDL!$A:$E,2,0)</f>
        <v>#N/A</v>
      </c>
      <c r="E803" s="19" t="str">
        <f>vlookup($C803,CSDL!$A:$E,3,0)</f>
        <v>#N/A</v>
      </c>
      <c r="F803" s="19" t="str">
        <f>vlookup($C803,CSDL!$A:$E,4,0)</f>
        <v>#N/A</v>
      </c>
      <c r="G803" s="27" t="str">
        <f>vlookup($C803,CSDL!$A:$E,5,0)</f>
        <v>#N/A</v>
      </c>
      <c r="H803" s="32"/>
      <c r="I803" s="29"/>
      <c r="J803" s="29"/>
      <c r="K803" s="29"/>
      <c r="L803" s="22">
        <f t="shared" si="9"/>
        <v>0</v>
      </c>
      <c r="M803" s="29"/>
      <c r="N803" s="29"/>
      <c r="O803" s="30"/>
      <c r="P803" s="26"/>
      <c r="Q803" s="32"/>
    </row>
    <row r="804" ht="25.5" customHeight="1">
      <c r="A804" s="33"/>
      <c r="B804" s="16"/>
      <c r="C804" s="17"/>
      <c r="D804" s="34" t="str">
        <f>vlookup($C804,CSDL!$A:$E,2,0)</f>
        <v>#N/A</v>
      </c>
      <c r="E804" s="19" t="str">
        <f>vlookup($C804,CSDL!$A:$E,3,0)</f>
        <v>#N/A</v>
      </c>
      <c r="F804" s="19" t="str">
        <f>vlookup($C804,CSDL!$A:$E,4,0)</f>
        <v>#N/A</v>
      </c>
      <c r="G804" s="20" t="str">
        <f>vlookup($C804,CSDL!$A:$E,5,0)</f>
        <v>#N/A</v>
      </c>
      <c r="H804" s="25"/>
      <c r="I804" s="23"/>
      <c r="J804" s="23"/>
      <c r="K804" s="23"/>
      <c r="L804" s="22">
        <f t="shared" si="9"/>
        <v>0</v>
      </c>
      <c r="M804" s="78"/>
      <c r="N804" s="78"/>
      <c r="O804" s="69"/>
      <c r="P804" s="33"/>
      <c r="Q804" s="25"/>
    </row>
    <row r="805" ht="25.5" customHeight="1">
      <c r="A805" s="26"/>
      <c r="B805" s="28"/>
      <c r="C805" s="17"/>
      <c r="D805" s="34" t="str">
        <f>vlookup($C805,CSDL!$A:$E,2,0)</f>
        <v>#N/A</v>
      </c>
      <c r="E805" s="19" t="str">
        <f>vlookup($C805,CSDL!$A:$E,3,0)</f>
        <v>#N/A</v>
      </c>
      <c r="F805" s="19" t="str">
        <f>vlookup($C805,CSDL!$A:$E,4,0)</f>
        <v>#N/A</v>
      </c>
      <c r="G805" s="27" t="str">
        <f>vlookup($C805,CSDL!$A:$E,5,0)</f>
        <v>#N/A</v>
      </c>
      <c r="H805" s="32"/>
      <c r="I805" s="29"/>
      <c r="J805" s="29"/>
      <c r="K805" s="29"/>
      <c r="L805" s="22">
        <f t="shared" si="9"/>
        <v>0</v>
      </c>
      <c r="M805" s="29"/>
      <c r="N805" s="29"/>
      <c r="O805" s="30"/>
      <c r="P805" s="26"/>
      <c r="Q805" s="32"/>
    </row>
    <row r="806" ht="25.5" customHeight="1">
      <c r="A806" s="33"/>
      <c r="B806" s="16"/>
      <c r="C806" s="17"/>
      <c r="D806" s="34" t="str">
        <f>vlookup($C806,CSDL!$A:$E,2,0)</f>
        <v>#N/A</v>
      </c>
      <c r="E806" s="19" t="str">
        <f>vlookup($C806,CSDL!$A:$E,3,0)</f>
        <v>#N/A</v>
      </c>
      <c r="F806" s="19" t="str">
        <f>vlookup($C806,CSDL!$A:$E,4,0)</f>
        <v>#N/A</v>
      </c>
      <c r="G806" s="20" t="str">
        <f>vlookup($C806,CSDL!$A:$E,5,0)</f>
        <v>#N/A</v>
      </c>
      <c r="H806" s="25"/>
      <c r="I806" s="23"/>
      <c r="J806" s="23"/>
      <c r="K806" s="23"/>
      <c r="L806" s="22">
        <f t="shared" si="9"/>
        <v>0</v>
      </c>
      <c r="M806" s="23"/>
      <c r="N806" s="23"/>
      <c r="O806" s="24"/>
      <c r="P806" s="33"/>
      <c r="Q806" s="25"/>
    </row>
    <row r="807" ht="25.5" customHeight="1">
      <c r="A807" s="26"/>
      <c r="B807" s="28"/>
      <c r="C807" s="17"/>
      <c r="D807" s="34" t="str">
        <f>vlookup($C807,CSDL!$A:$E,2,0)</f>
        <v>#N/A</v>
      </c>
      <c r="E807" s="19" t="str">
        <f>vlookup($C807,CSDL!$A:$E,3,0)</f>
        <v>#N/A</v>
      </c>
      <c r="F807" s="19" t="str">
        <f>vlookup($C807,CSDL!$A:$E,4,0)</f>
        <v>#N/A</v>
      </c>
      <c r="G807" s="27" t="str">
        <f>vlookup($C807,CSDL!$A:$E,5,0)</f>
        <v>#N/A</v>
      </c>
      <c r="H807" s="32"/>
      <c r="I807" s="29"/>
      <c r="J807" s="29"/>
      <c r="K807" s="29"/>
      <c r="L807" s="22">
        <f t="shared" si="9"/>
        <v>0</v>
      </c>
      <c r="M807" s="75"/>
      <c r="N807" s="75"/>
      <c r="O807" s="71"/>
      <c r="P807" s="26"/>
      <c r="Q807" s="32"/>
    </row>
    <row r="808" ht="25.5" customHeight="1">
      <c r="A808" s="33"/>
      <c r="B808" s="16"/>
      <c r="C808" s="17"/>
      <c r="D808" s="34" t="str">
        <f>vlookup($C808,CSDL!$A:$E,2,0)</f>
        <v>#N/A</v>
      </c>
      <c r="E808" s="19" t="str">
        <f>vlookup($C808,CSDL!$A:$E,3,0)</f>
        <v>#N/A</v>
      </c>
      <c r="F808" s="19" t="str">
        <f>vlookup($C808,CSDL!$A:$E,4,0)</f>
        <v>#N/A</v>
      </c>
      <c r="G808" s="20" t="str">
        <f>vlookup($C808,CSDL!$A:$E,5,0)</f>
        <v>#N/A</v>
      </c>
      <c r="H808" s="25"/>
      <c r="I808" s="23"/>
      <c r="J808" s="23"/>
      <c r="K808" s="23"/>
      <c r="L808" s="22">
        <f t="shared" si="9"/>
        <v>0</v>
      </c>
      <c r="M808" s="23"/>
      <c r="N808" s="23"/>
      <c r="O808" s="24"/>
      <c r="P808" s="33"/>
      <c r="Q808" s="25"/>
    </row>
    <row r="809" ht="25.5" customHeight="1">
      <c r="A809" s="26"/>
      <c r="B809" s="28"/>
      <c r="C809" s="17"/>
      <c r="D809" s="34" t="str">
        <f>vlookup($C809,CSDL!$A:$E,2,0)</f>
        <v>#N/A</v>
      </c>
      <c r="E809" s="19" t="str">
        <f>vlookup($C809,CSDL!$A:$E,3,0)</f>
        <v>#N/A</v>
      </c>
      <c r="F809" s="19" t="str">
        <f>vlookup($C809,CSDL!$A:$E,4,0)</f>
        <v>#N/A</v>
      </c>
      <c r="G809" s="27" t="str">
        <f>vlookup($C809,CSDL!$A:$E,5,0)</f>
        <v>#N/A</v>
      </c>
      <c r="H809" s="32"/>
      <c r="I809" s="29"/>
      <c r="J809" s="29"/>
      <c r="K809" s="29"/>
      <c r="L809" s="22">
        <f t="shared" si="9"/>
        <v>0</v>
      </c>
      <c r="M809" s="29"/>
      <c r="N809" s="29"/>
      <c r="O809" s="71"/>
      <c r="P809" s="26"/>
      <c r="Q809" s="32"/>
    </row>
    <row r="810" ht="25.5" customHeight="1">
      <c r="A810" s="33"/>
      <c r="B810" s="16"/>
      <c r="C810" s="17"/>
      <c r="D810" s="34" t="str">
        <f>vlookup($C810,CSDL!$A:$E,2,0)</f>
        <v>#N/A</v>
      </c>
      <c r="E810" s="19" t="str">
        <f>vlookup($C810,CSDL!$A:$E,3,0)</f>
        <v>#N/A</v>
      </c>
      <c r="F810" s="19" t="str">
        <f>vlookup($C810,CSDL!$A:$E,4,0)</f>
        <v>#N/A</v>
      </c>
      <c r="G810" s="20" t="str">
        <f>vlookup($C810,CSDL!$A:$E,5,0)</f>
        <v>#N/A</v>
      </c>
      <c r="H810" s="25"/>
      <c r="I810" s="82"/>
      <c r="J810" s="23"/>
      <c r="K810" s="23"/>
      <c r="L810" s="22">
        <f t="shared" si="9"/>
        <v>0</v>
      </c>
      <c r="M810" s="23"/>
      <c r="N810" s="23"/>
      <c r="O810" s="24"/>
      <c r="P810" s="33"/>
      <c r="Q810" s="25"/>
    </row>
    <row r="811" ht="25.5" customHeight="1">
      <c r="A811" s="26"/>
      <c r="B811" s="28"/>
      <c r="C811" s="17"/>
      <c r="D811" s="34" t="str">
        <f>vlookup($C811,CSDL!$A:$E,2,0)</f>
        <v>#N/A</v>
      </c>
      <c r="E811" s="19" t="str">
        <f>vlookup($C811,CSDL!$A:$E,3,0)</f>
        <v>#N/A</v>
      </c>
      <c r="F811" s="19" t="str">
        <f>vlookup($C811,CSDL!$A:$E,4,0)</f>
        <v>#N/A</v>
      </c>
      <c r="G811" s="27" t="str">
        <f>vlookup($C811,CSDL!$A:$E,5,0)</f>
        <v>#N/A</v>
      </c>
      <c r="H811" s="32"/>
      <c r="I811" s="29"/>
      <c r="J811" s="83"/>
      <c r="K811" s="83"/>
      <c r="L811" s="22">
        <f t="shared" si="9"/>
        <v>0</v>
      </c>
      <c r="M811" s="83"/>
      <c r="N811" s="83"/>
      <c r="O811" s="45"/>
      <c r="P811" s="66"/>
      <c r="Q811" s="45"/>
    </row>
    <row r="812" ht="25.5" customHeight="1">
      <c r="A812" s="33"/>
      <c r="B812" s="16"/>
      <c r="C812" s="17"/>
      <c r="D812" s="34" t="str">
        <f>vlookup($C812,CSDL!$A:$E,2,0)</f>
        <v>#N/A</v>
      </c>
      <c r="E812" s="19" t="str">
        <f>vlookup($C812,CSDL!$A:$E,3,0)</f>
        <v>#N/A</v>
      </c>
      <c r="F812" s="19" t="str">
        <f>vlookup($C812,CSDL!$A:$E,4,0)</f>
        <v>#N/A</v>
      </c>
      <c r="G812" s="20" t="str">
        <f>vlookup($C812,CSDL!$A:$E,5,0)</f>
        <v>#N/A</v>
      </c>
      <c r="H812" s="25"/>
      <c r="I812" s="23"/>
      <c r="J812" s="23"/>
      <c r="K812" s="23"/>
      <c r="L812" s="22">
        <f t="shared" si="9"/>
        <v>0</v>
      </c>
      <c r="M812" s="23"/>
      <c r="N812" s="23"/>
      <c r="O812" s="69"/>
      <c r="P812" s="33"/>
      <c r="Q812" s="25"/>
    </row>
    <row r="813" ht="25.5" customHeight="1">
      <c r="A813" s="26"/>
      <c r="B813" s="28"/>
      <c r="C813" s="17"/>
      <c r="D813" s="34" t="str">
        <f>vlookup($C813,CSDL!$A:$E,2,0)</f>
        <v>#N/A</v>
      </c>
      <c r="E813" s="19" t="str">
        <f>vlookup($C813,CSDL!$A:$E,3,0)</f>
        <v>#N/A</v>
      </c>
      <c r="F813" s="19" t="str">
        <f>vlookup($C813,CSDL!$A:$E,4,0)</f>
        <v>#N/A</v>
      </c>
      <c r="G813" s="27" t="str">
        <f>vlookup($C813,CSDL!$A:$E,5,0)</f>
        <v>#N/A</v>
      </c>
      <c r="H813" s="32"/>
      <c r="I813" s="29"/>
      <c r="J813" s="29"/>
      <c r="K813" s="29"/>
      <c r="L813" s="22">
        <f t="shared" si="9"/>
        <v>0</v>
      </c>
      <c r="M813" s="29"/>
      <c r="N813" s="29"/>
      <c r="O813" s="71"/>
      <c r="P813" s="26"/>
      <c r="Q813" s="32"/>
    </row>
    <row r="814" ht="25.5" customHeight="1">
      <c r="A814" s="33"/>
      <c r="B814" s="16"/>
      <c r="C814" s="17"/>
      <c r="D814" s="34" t="str">
        <f>vlookup($C814,CSDL!$A:$E,2,0)</f>
        <v>#N/A</v>
      </c>
      <c r="E814" s="19" t="str">
        <f>vlookup($C814,CSDL!$A:$E,3,0)</f>
        <v>#N/A</v>
      </c>
      <c r="F814" s="19" t="str">
        <f>vlookup($C814,CSDL!$A:$E,4,0)</f>
        <v>#N/A</v>
      </c>
      <c r="G814" s="20" t="str">
        <f>vlookup($C814,CSDL!$A:$E,5,0)</f>
        <v>#N/A</v>
      </c>
      <c r="H814" s="25"/>
      <c r="I814" s="23"/>
      <c r="J814" s="23"/>
      <c r="K814" s="23"/>
      <c r="L814" s="22">
        <f t="shared" si="9"/>
        <v>0</v>
      </c>
      <c r="M814" s="23"/>
      <c r="N814" s="23"/>
      <c r="O814" s="24"/>
      <c r="P814" s="15"/>
      <c r="Q814" s="25"/>
    </row>
    <row r="815" ht="25.5" customHeight="1">
      <c r="A815" s="26"/>
      <c r="B815" s="28"/>
      <c r="C815" s="17"/>
      <c r="D815" s="34" t="str">
        <f>vlookup($C815,CSDL!$A:$E,2,0)</f>
        <v>#N/A</v>
      </c>
      <c r="E815" s="19" t="str">
        <f>vlookup($C815,CSDL!$A:$E,3,0)</f>
        <v>#N/A</v>
      </c>
      <c r="F815" s="19" t="str">
        <f>vlookup($C815,CSDL!$A:$E,4,0)</f>
        <v>#N/A</v>
      </c>
      <c r="G815" s="27" t="str">
        <f>vlookup($C815,CSDL!$A:$E,5,0)</f>
        <v>#N/A</v>
      </c>
      <c r="H815" s="32"/>
      <c r="I815" s="29"/>
      <c r="J815" s="29"/>
      <c r="K815" s="29"/>
      <c r="L815" s="22">
        <f t="shared" si="9"/>
        <v>0</v>
      </c>
      <c r="M815" s="29"/>
      <c r="N815" s="29"/>
      <c r="O815" s="30"/>
      <c r="P815" s="26"/>
      <c r="Q815" s="32"/>
    </row>
    <row r="816" ht="25.5" customHeight="1">
      <c r="A816" s="33"/>
      <c r="B816" s="16"/>
      <c r="C816" s="17"/>
      <c r="D816" s="34" t="str">
        <f>vlookup($C816,CSDL!$A:$E,2,0)</f>
        <v>#N/A</v>
      </c>
      <c r="E816" s="19" t="str">
        <f>vlookup($C816,CSDL!$A:$E,3,0)</f>
        <v>#N/A</v>
      </c>
      <c r="F816" s="19" t="str">
        <f>vlookup($C816,CSDL!$A:$E,4,0)</f>
        <v>#N/A</v>
      </c>
      <c r="G816" s="20" t="str">
        <f>vlookup($C816,CSDL!$A:$E,5,0)</f>
        <v>#N/A</v>
      </c>
      <c r="H816" s="25"/>
      <c r="I816" s="23"/>
      <c r="J816" s="23"/>
      <c r="K816" s="23"/>
      <c r="L816" s="22">
        <f t="shared" si="9"/>
        <v>0</v>
      </c>
      <c r="M816" s="23"/>
      <c r="N816" s="23"/>
      <c r="O816" s="69"/>
      <c r="P816" s="33"/>
      <c r="Q816" s="25"/>
    </row>
    <row r="817" ht="25.5" customHeight="1">
      <c r="A817" s="26"/>
      <c r="B817" s="28"/>
      <c r="C817" s="17"/>
      <c r="D817" s="34" t="str">
        <f>vlookup($C817,CSDL!$A:$E,2,0)</f>
        <v>#N/A</v>
      </c>
      <c r="E817" s="19" t="str">
        <f>vlookup($C817,CSDL!$A:$E,3,0)</f>
        <v>#N/A</v>
      </c>
      <c r="F817" s="19" t="str">
        <f>vlookup($C817,CSDL!$A:$E,4,0)</f>
        <v>#N/A</v>
      </c>
      <c r="G817" s="27" t="str">
        <f>vlookup($C817,CSDL!$A:$E,5,0)</f>
        <v>#N/A</v>
      </c>
      <c r="H817" s="32"/>
      <c r="I817" s="29"/>
      <c r="J817" s="29"/>
      <c r="K817" s="29"/>
      <c r="L817" s="22">
        <f t="shared" si="9"/>
        <v>0</v>
      </c>
      <c r="M817" s="29"/>
      <c r="N817" s="29"/>
      <c r="O817" s="30"/>
      <c r="P817" s="26"/>
      <c r="Q817" s="32"/>
    </row>
    <row r="818" ht="25.5" customHeight="1">
      <c r="A818" s="33"/>
      <c r="B818" s="16"/>
      <c r="C818" s="17"/>
      <c r="D818" s="34" t="str">
        <f>vlookup($C818,CSDL!$A:$E,2,0)</f>
        <v>#N/A</v>
      </c>
      <c r="E818" s="19" t="str">
        <f>vlookup($C818,CSDL!$A:$E,3,0)</f>
        <v>#N/A</v>
      </c>
      <c r="F818" s="19" t="str">
        <f>vlookup($C818,CSDL!$A:$E,4,0)</f>
        <v>#N/A</v>
      </c>
      <c r="G818" s="20" t="str">
        <f>vlookup($C818,CSDL!$A:$E,5,0)</f>
        <v>#N/A</v>
      </c>
      <c r="H818" s="25"/>
      <c r="I818" s="23"/>
      <c r="J818" s="23"/>
      <c r="K818" s="23"/>
      <c r="L818" s="22">
        <f t="shared" si="9"/>
        <v>0</v>
      </c>
      <c r="M818" s="23"/>
      <c r="N818" s="23"/>
      <c r="O818" s="24"/>
      <c r="P818" s="33"/>
      <c r="Q818" s="25"/>
    </row>
    <row r="819" ht="25.5" customHeight="1">
      <c r="A819" s="26"/>
      <c r="B819" s="28"/>
      <c r="C819" s="17"/>
      <c r="D819" s="34" t="str">
        <f>vlookup($C819,CSDL!$A:$E,2,0)</f>
        <v>#N/A</v>
      </c>
      <c r="E819" s="19" t="str">
        <f>vlookup($C819,CSDL!$A:$E,3,0)</f>
        <v>#N/A</v>
      </c>
      <c r="F819" s="19" t="str">
        <f>vlookup($C819,CSDL!$A:$E,4,0)</f>
        <v>#N/A</v>
      </c>
      <c r="G819" s="27" t="str">
        <f>vlookup($C819,CSDL!$A:$E,5,0)</f>
        <v>#N/A</v>
      </c>
      <c r="H819" s="32"/>
      <c r="I819" s="29"/>
      <c r="J819" s="29"/>
      <c r="K819" s="29"/>
      <c r="L819" s="22">
        <f t="shared" si="9"/>
        <v>0</v>
      </c>
      <c r="M819" s="29"/>
      <c r="N819" s="29"/>
      <c r="O819" s="30"/>
      <c r="P819" s="26"/>
      <c r="Q819" s="32"/>
    </row>
    <row r="820" ht="25.5" customHeight="1">
      <c r="A820" s="33"/>
      <c r="B820" s="16"/>
      <c r="C820" s="17"/>
      <c r="D820" s="34" t="str">
        <f>vlookup($C820,CSDL!$A:$E,2,0)</f>
        <v>#N/A</v>
      </c>
      <c r="E820" s="19" t="str">
        <f>vlookup($C820,CSDL!$A:$E,3,0)</f>
        <v>#N/A</v>
      </c>
      <c r="F820" s="19" t="str">
        <f>vlookup($C820,CSDL!$A:$E,4,0)</f>
        <v>#N/A</v>
      </c>
      <c r="G820" s="20" t="str">
        <f>vlookup($C820,CSDL!$A:$E,5,0)</f>
        <v>#N/A</v>
      </c>
      <c r="H820" s="25"/>
      <c r="I820" s="23"/>
      <c r="J820" s="23"/>
      <c r="K820" s="23"/>
      <c r="L820" s="22">
        <f t="shared" si="9"/>
        <v>0</v>
      </c>
      <c r="M820" s="23"/>
      <c r="N820" s="23"/>
      <c r="O820" s="24"/>
      <c r="P820" s="33"/>
      <c r="Q820" s="25"/>
    </row>
    <row r="821" ht="25.5" customHeight="1">
      <c r="A821" s="26"/>
      <c r="B821" s="28"/>
      <c r="C821" s="17"/>
      <c r="D821" s="34" t="str">
        <f>vlookup($C821,CSDL!$A:$E,2,0)</f>
        <v>#N/A</v>
      </c>
      <c r="E821" s="19" t="str">
        <f>vlookup($C821,CSDL!$A:$E,3,0)</f>
        <v>#N/A</v>
      </c>
      <c r="F821" s="19" t="str">
        <f>vlookup($C821,CSDL!$A:$E,4,0)</f>
        <v>#N/A</v>
      </c>
      <c r="G821" s="27" t="str">
        <f>vlookup($C821,CSDL!$A:$E,5,0)</f>
        <v>#N/A</v>
      </c>
      <c r="H821" s="32"/>
      <c r="I821" s="29"/>
      <c r="J821" s="29"/>
      <c r="K821" s="29"/>
      <c r="L821" s="22">
        <f t="shared" si="9"/>
        <v>0</v>
      </c>
      <c r="M821" s="29"/>
      <c r="N821" s="29"/>
      <c r="O821" s="30"/>
      <c r="P821" s="26"/>
      <c r="Q821" s="32"/>
    </row>
    <row r="822" ht="25.5" customHeight="1">
      <c r="A822" s="33"/>
      <c r="B822" s="16"/>
      <c r="C822" s="17"/>
      <c r="D822" s="34" t="str">
        <f>vlookup($C822,CSDL!$A:$E,2,0)</f>
        <v>#N/A</v>
      </c>
      <c r="E822" s="19" t="str">
        <f>vlookup($C822,CSDL!$A:$E,3,0)</f>
        <v>#N/A</v>
      </c>
      <c r="F822" s="19" t="str">
        <f>vlookup($C822,CSDL!$A:$E,4,0)</f>
        <v>#N/A</v>
      </c>
      <c r="G822" s="20" t="str">
        <f>vlookup($C822,CSDL!$A:$E,5,0)</f>
        <v>#N/A</v>
      </c>
      <c r="H822" s="25"/>
      <c r="I822" s="23"/>
      <c r="J822" s="23"/>
      <c r="K822" s="23"/>
      <c r="L822" s="22">
        <f t="shared" si="9"/>
        <v>0</v>
      </c>
      <c r="M822" s="23"/>
      <c r="N822" s="23"/>
      <c r="O822" s="69"/>
      <c r="P822" s="33"/>
      <c r="Q822" s="25"/>
    </row>
    <row r="823" ht="25.5" customHeight="1">
      <c r="A823" s="26"/>
      <c r="B823" s="28"/>
      <c r="C823" s="17"/>
      <c r="D823" s="34" t="str">
        <f>vlookup($C823,CSDL!$A:$E,2,0)</f>
        <v>#N/A</v>
      </c>
      <c r="E823" s="19" t="str">
        <f>vlookup($C823,CSDL!$A:$E,3,0)</f>
        <v>#N/A</v>
      </c>
      <c r="F823" s="19" t="str">
        <f>vlookup($C823,CSDL!$A:$E,4,0)</f>
        <v>#N/A</v>
      </c>
      <c r="G823" s="27" t="str">
        <f>vlookup($C823,CSDL!$A:$E,5,0)</f>
        <v>#N/A</v>
      </c>
      <c r="H823" s="32"/>
      <c r="I823" s="29"/>
      <c r="J823" s="29"/>
      <c r="K823" s="29"/>
      <c r="L823" s="22">
        <f t="shared" si="9"/>
        <v>0</v>
      </c>
      <c r="M823" s="29"/>
      <c r="N823" s="29"/>
      <c r="O823" s="30"/>
      <c r="P823" s="26"/>
      <c r="Q823" s="32"/>
    </row>
    <row r="824" ht="25.5" customHeight="1">
      <c r="A824" s="33"/>
      <c r="B824" s="16"/>
      <c r="C824" s="17"/>
      <c r="D824" s="34" t="str">
        <f>vlookup($C824,CSDL!$A:$E,2,0)</f>
        <v>#N/A</v>
      </c>
      <c r="E824" s="19" t="str">
        <f>vlookup($C824,CSDL!$A:$E,3,0)</f>
        <v>#N/A</v>
      </c>
      <c r="F824" s="19" t="str">
        <f>vlookup($C824,CSDL!$A:$E,4,0)</f>
        <v>#N/A</v>
      </c>
      <c r="G824" s="20" t="str">
        <f>vlookup($C824,CSDL!$A:$E,5,0)</f>
        <v>#N/A</v>
      </c>
      <c r="H824" s="25"/>
      <c r="I824" s="23"/>
      <c r="J824" s="23"/>
      <c r="K824" s="23"/>
      <c r="L824" s="22">
        <f t="shared" si="9"/>
        <v>0</v>
      </c>
      <c r="M824" s="23"/>
      <c r="N824" s="23"/>
      <c r="O824" s="24"/>
      <c r="P824" s="33"/>
      <c r="Q824" s="25"/>
    </row>
    <row r="825" ht="25.5" customHeight="1">
      <c r="A825" s="26"/>
      <c r="B825" s="28"/>
      <c r="C825" s="17"/>
      <c r="D825" s="34" t="str">
        <f>vlookup($C825,CSDL!$A:$E,2,0)</f>
        <v>#N/A</v>
      </c>
      <c r="E825" s="19" t="str">
        <f>vlookup($C825,CSDL!$A:$E,3,0)</f>
        <v>#N/A</v>
      </c>
      <c r="F825" s="19" t="str">
        <f>vlookup($C825,CSDL!$A:$E,4,0)</f>
        <v>#N/A</v>
      </c>
      <c r="G825" s="27" t="str">
        <f>vlookup($C825,CSDL!$A:$E,5,0)</f>
        <v>#N/A</v>
      </c>
      <c r="H825" s="32"/>
      <c r="I825" s="29"/>
      <c r="J825" s="29"/>
      <c r="K825" s="29"/>
      <c r="L825" s="22">
        <f t="shared" si="9"/>
        <v>0</v>
      </c>
      <c r="M825" s="29"/>
      <c r="N825" s="29"/>
      <c r="O825" s="30"/>
      <c r="P825" s="26"/>
      <c r="Q825" s="32"/>
    </row>
    <row r="826" ht="25.5" customHeight="1">
      <c r="A826" s="33"/>
      <c r="B826" s="16"/>
      <c r="C826" s="17"/>
      <c r="D826" s="34" t="str">
        <f>vlookup($C826,CSDL!$A:$E,2,0)</f>
        <v>#N/A</v>
      </c>
      <c r="E826" s="19" t="str">
        <f>vlookup($C826,CSDL!$A:$E,3,0)</f>
        <v>#N/A</v>
      </c>
      <c r="F826" s="19" t="str">
        <f>vlookup($C826,CSDL!$A:$E,4,0)</f>
        <v>#N/A</v>
      </c>
      <c r="G826" s="20" t="str">
        <f>vlookup($C826,CSDL!$A:$E,5,0)</f>
        <v>#N/A</v>
      </c>
      <c r="H826" s="25"/>
      <c r="I826" s="23"/>
      <c r="J826" s="23"/>
      <c r="K826" s="23"/>
      <c r="L826" s="22">
        <f t="shared" si="9"/>
        <v>0</v>
      </c>
      <c r="M826" s="23"/>
      <c r="N826" s="23"/>
      <c r="O826" s="24"/>
      <c r="P826" s="33"/>
      <c r="Q826" s="25"/>
    </row>
    <row r="827" ht="25.5" customHeight="1">
      <c r="A827" s="26"/>
      <c r="B827" s="28"/>
      <c r="C827" s="17"/>
      <c r="D827" s="34" t="str">
        <f>vlookup($C827,CSDL!$A:$E,2,0)</f>
        <v>#N/A</v>
      </c>
      <c r="E827" s="19" t="str">
        <f>vlookup($C827,CSDL!$A:$E,3,0)</f>
        <v>#N/A</v>
      </c>
      <c r="F827" s="19" t="str">
        <f>vlookup($C827,CSDL!$A:$E,4,0)</f>
        <v>#N/A</v>
      </c>
      <c r="G827" s="27" t="str">
        <f>vlookup($C827,CSDL!$A:$E,5,0)</f>
        <v>#N/A</v>
      </c>
      <c r="H827" s="32"/>
      <c r="I827" s="29"/>
      <c r="J827" s="29"/>
      <c r="K827" s="29"/>
      <c r="L827" s="22">
        <f t="shared" si="9"/>
        <v>0</v>
      </c>
      <c r="M827" s="29"/>
      <c r="N827" s="29"/>
      <c r="O827" s="30"/>
      <c r="P827" s="26"/>
      <c r="Q827" s="32"/>
    </row>
    <row r="828" ht="25.5" customHeight="1">
      <c r="A828" s="33"/>
      <c r="B828" s="16"/>
      <c r="C828" s="17"/>
      <c r="D828" s="34" t="str">
        <f>vlookup($C828,CSDL!$A:$E,2,0)</f>
        <v>#N/A</v>
      </c>
      <c r="E828" s="19" t="str">
        <f>vlookup($C828,CSDL!$A:$E,3,0)</f>
        <v>#N/A</v>
      </c>
      <c r="F828" s="19" t="str">
        <f>vlookup($C828,CSDL!$A:$E,4,0)</f>
        <v>#N/A</v>
      </c>
      <c r="G828" s="20" t="str">
        <f>vlookup($C828,CSDL!$A:$E,5,0)</f>
        <v>#N/A</v>
      </c>
      <c r="H828" s="25"/>
      <c r="I828" s="23"/>
      <c r="J828" s="23"/>
      <c r="K828" s="23"/>
      <c r="L828" s="22">
        <f t="shared" si="9"/>
        <v>0</v>
      </c>
      <c r="M828" s="23"/>
      <c r="N828" s="23"/>
      <c r="O828" s="24"/>
      <c r="P828" s="33"/>
      <c r="Q828" s="25"/>
    </row>
    <row r="829" ht="25.5" customHeight="1">
      <c r="A829" s="26"/>
      <c r="B829" s="28"/>
      <c r="C829" s="17"/>
      <c r="D829" s="34" t="str">
        <f>vlookup($C829,CSDL!$A:$E,2,0)</f>
        <v>#N/A</v>
      </c>
      <c r="E829" s="19" t="str">
        <f>vlookup($C829,CSDL!$A:$E,3,0)</f>
        <v>#N/A</v>
      </c>
      <c r="F829" s="19" t="str">
        <f>vlookup($C829,CSDL!$A:$E,4,0)</f>
        <v>#N/A</v>
      </c>
      <c r="G829" s="27" t="str">
        <f>vlookup($C829,CSDL!$A:$E,5,0)</f>
        <v>#N/A</v>
      </c>
      <c r="H829" s="32"/>
      <c r="I829" s="29"/>
      <c r="J829" s="29"/>
      <c r="K829" s="29"/>
      <c r="L829" s="22">
        <f t="shared" si="9"/>
        <v>0</v>
      </c>
      <c r="M829" s="75"/>
      <c r="N829" s="75"/>
      <c r="O829" s="71"/>
      <c r="P829" s="26"/>
      <c r="Q829" s="32"/>
    </row>
    <row r="830" ht="25.5" customHeight="1">
      <c r="A830" s="33"/>
      <c r="B830" s="16"/>
      <c r="C830" s="17"/>
      <c r="D830" s="34" t="str">
        <f>vlookup($C830,CSDL!$A:$E,2,0)</f>
        <v>#N/A</v>
      </c>
      <c r="E830" s="19" t="str">
        <f>vlookup($C830,CSDL!$A:$E,3,0)</f>
        <v>#N/A</v>
      </c>
      <c r="F830" s="19" t="str">
        <f>vlookup($C830,CSDL!$A:$E,4,0)</f>
        <v>#N/A</v>
      </c>
      <c r="G830" s="20" t="str">
        <f>vlookup($C830,CSDL!$A:$E,5,0)</f>
        <v>#N/A</v>
      </c>
      <c r="H830" s="25"/>
      <c r="I830" s="23"/>
      <c r="J830" s="23"/>
      <c r="K830" s="23"/>
      <c r="L830" s="22">
        <f t="shared" si="9"/>
        <v>0</v>
      </c>
      <c r="M830" s="78"/>
      <c r="N830" s="78"/>
      <c r="O830" s="69"/>
      <c r="P830" s="15"/>
      <c r="Q830" s="25"/>
    </row>
    <row r="831" ht="25.5" customHeight="1">
      <c r="A831" s="26"/>
      <c r="B831" s="28"/>
      <c r="C831" s="17"/>
      <c r="D831" s="34" t="str">
        <f>vlookup($C831,CSDL!$A:$E,2,0)</f>
        <v>#N/A</v>
      </c>
      <c r="E831" s="19" t="str">
        <f>vlookup($C831,CSDL!$A:$E,3,0)</f>
        <v>#N/A</v>
      </c>
      <c r="F831" s="19" t="str">
        <f>vlookup($C831,CSDL!$A:$E,4,0)</f>
        <v>#N/A</v>
      </c>
      <c r="G831" s="27" t="str">
        <f>vlookup($C831,CSDL!$A:$E,5,0)</f>
        <v>#N/A</v>
      </c>
      <c r="H831" s="32"/>
      <c r="I831" s="29"/>
      <c r="J831" s="29"/>
      <c r="K831" s="29"/>
      <c r="L831" s="22">
        <f t="shared" si="9"/>
        <v>0</v>
      </c>
      <c r="M831" s="29"/>
      <c r="N831" s="29"/>
      <c r="O831" s="71"/>
      <c r="P831" s="26"/>
      <c r="Q831" s="32"/>
    </row>
    <row r="832" ht="25.5" customHeight="1">
      <c r="A832" s="33"/>
      <c r="B832" s="16"/>
      <c r="C832" s="17"/>
      <c r="D832" s="34" t="str">
        <f>vlookup($C832,CSDL!$A:$E,2,0)</f>
        <v>#N/A</v>
      </c>
      <c r="E832" s="19" t="str">
        <f>vlookup($C832,CSDL!$A:$E,3,0)</f>
        <v>#N/A</v>
      </c>
      <c r="F832" s="19" t="str">
        <f>vlookup($C832,CSDL!$A:$E,4,0)</f>
        <v>#N/A</v>
      </c>
      <c r="G832" s="20" t="str">
        <f>vlookup($C832,CSDL!$A:$E,5,0)</f>
        <v>#N/A</v>
      </c>
      <c r="H832" s="25"/>
      <c r="I832" s="23"/>
      <c r="J832" s="23"/>
      <c r="K832" s="23"/>
      <c r="L832" s="22">
        <f t="shared" si="9"/>
        <v>0</v>
      </c>
      <c r="M832" s="23"/>
      <c r="N832" s="23"/>
      <c r="O832" s="69"/>
      <c r="P832" s="33"/>
      <c r="Q832" s="25"/>
    </row>
    <row r="833" ht="25.5" customHeight="1">
      <c r="A833" s="26"/>
      <c r="B833" s="28"/>
      <c r="C833" s="17"/>
      <c r="D833" s="34" t="str">
        <f>vlookup($C833,CSDL!$A:$E,2,0)</f>
        <v>#N/A</v>
      </c>
      <c r="E833" s="19" t="str">
        <f>vlookup($C833,CSDL!$A:$E,3,0)</f>
        <v>#N/A</v>
      </c>
      <c r="F833" s="19" t="str">
        <f>vlookup($C833,CSDL!$A:$E,4,0)</f>
        <v>#N/A</v>
      </c>
      <c r="G833" s="27" t="str">
        <f>vlookup($C833,CSDL!$A:$E,5,0)</f>
        <v>#N/A</v>
      </c>
      <c r="H833" s="32"/>
      <c r="I833" s="29"/>
      <c r="J833" s="29"/>
      <c r="K833" s="29"/>
      <c r="L833" s="22">
        <f t="shared" si="9"/>
        <v>0</v>
      </c>
      <c r="M833" s="29"/>
      <c r="N833" s="29"/>
      <c r="O833" s="71"/>
      <c r="P833" s="26"/>
      <c r="Q833" s="32"/>
    </row>
    <row r="834" ht="25.5" customHeight="1">
      <c r="A834" s="33"/>
      <c r="B834" s="16"/>
      <c r="C834" s="17"/>
      <c r="D834" s="34" t="str">
        <f>vlookup($C834,CSDL!$A:$E,2,0)</f>
        <v>#N/A</v>
      </c>
      <c r="E834" s="19" t="str">
        <f>vlookup($C834,CSDL!$A:$E,3,0)</f>
        <v>#N/A</v>
      </c>
      <c r="F834" s="19" t="str">
        <f>vlookup($C834,CSDL!$A:$E,4,0)</f>
        <v>#N/A</v>
      </c>
      <c r="G834" s="20" t="str">
        <f>vlookup($C834,CSDL!$A:$E,5,0)</f>
        <v>#N/A</v>
      </c>
      <c r="H834" s="25"/>
      <c r="I834" s="23"/>
      <c r="J834" s="23"/>
      <c r="K834" s="23"/>
      <c r="L834" s="22">
        <f t="shared" si="9"/>
        <v>0</v>
      </c>
      <c r="M834" s="23"/>
      <c r="N834" s="23"/>
      <c r="O834" s="24"/>
      <c r="P834" s="33"/>
      <c r="Q834" s="25"/>
    </row>
    <row r="835" ht="25.5" customHeight="1">
      <c r="A835" s="26"/>
      <c r="B835" s="28"/>
      <c r="C835" s="17"/>
      <c r="D835" s="34" t="str">
        <f>vlookup($C835,CSDL!$A:$E,2,0)</f>
        <v>#N/A</v>
      </c>
      <c r="E835" s="19" t="str">
        <f>vlookup($C835,CSDL!$A:$E,3,0)</f>
        <v>#N/A</v>
      </c>
      <c r="F835" s="19" t="str">
        <f>vlookup($C835,CSDL!$A:$E,4,0)</f>
        <v>#N/A</v>
      </c>
      <c r="G835" s="27" t="str">
        <f>vlookup($C835,CSDL!$A:$E,5,0)</f>
        <v>#N/A</v>
      </c>
      <c r="H835" s="32"/>
      <c r="I835" s="29"/>
      <c r="J835" s="29"/>
      <c r="K835" s="29"/>
      <c r="L835" s="22">
        <f t="shared" si="9"/>
        <v>0</v>
      </c>
      <c r="M835" s="29"/>
      <c r="N835" s="29"/>
      <c r="O835" s="30"/>
      <c r="P835" s="26"/>
      <c r="Q835" s="32"/>
    </row>
    <row r="836" ht="25.5" customHeight="1">
      <c r="A836" s="33"/>
      <c r="B836" s="16"/>
      <c r="C836" s="17"/>
      <c r="D836" s="34" t="str">
        <f>vlookup($C836,CSDL!$A:$E,2,0)</f>
        <v>#N/A</v>
      </c>
      <c r="E836" s="19" t="str">
        <f>vlookup($C836,CSDL!$A:$E,3,0)</f>
        <v>#N/A</v>
      </c>
      <c r="F836" s="19" t="str">
        <f>vlookup($C836,CSDL!$A:$E,4,0)</f>
        <v>#N/A</v>
      </c>
      <c r="G836" s="20" t="str">
        <f>vlookup($C836,CSDL!$A:$E,5,0)</f>
        <v>#N/A</v>
      </c>
      <c r="H836" s="25"/>
      <c r="I836" s="23"/>
      <c r="J836" s="23"/>
      <c r="K836" s="23"/>
      <c r="L836" s="22">
        <f t="shared" si="9"/>
        <v>0</v>
      </c>
      <c r="M836" s="23"/>
      <c r="N836" s="23"/>
      <c r="O836" s="24"/>
      <c r="P836" s="33"/>
      <c r="Q836" s="25"/>
    </row>
    <row r="837" ht="25.5" customHeight="1">
      <c r="A837" s="26"/>
      <c r="B837" s="28"/>
      <c r="C837" s="17"/>
      <c r="D837" s="34" t="str">
        <f>vlookup($C837,CSDL!$A:$E,2,0)</f>
        <v>#N/A</v>
      </c>
      <c r="E837" s="19" t="str">
        <f>vlookup($C837,CSDL!$A:$E,3,0)</f>
        <v>#N/A</v>
      </c>
      <c r="F837" s="19" t="str">
        <f>vlookup($C837,CSDL!$A:$E,4,0)</f>
        <v>#N/A</v>
      </c>
      <c r="G837" s="27" t="str">
        <f>vlookup($C837,CSDL!$A:$E,5,0)</f>
        <v>#N/A</v>
      </c>
      <c r="H837" s="32"/>
      <c r="I837" s="29"/>
      <c r="J837" s="29"/>
      <c r="K837" s="29"/>
      <c r="L837" s="22">
        <f t="shared" si="9"/>
        <v>0</v>
      </c>
      <c r="M837" s="29"/>
      <c r="N837" s="29"/>
      <c r="O837" s="71"/>
      <c r="P837" s="26"/>
      <c r="Q837" s="32"/>
    </row>
    <row r="838" ht="25.5" customHeight="1">
      <c r="A838" s="33"/>
      <c r="B838" s="16"/>
      <c r="C838" s="17"/>
      <c r="D838" s="34" t="str">
        <f>vlookup($C838,CSDL!$A:$E,2,0)</f>
        <v>#N/A</v>
      </c>
      <c r="E838" s="19" t="str">
        <f>vlookup($C838,CSDL!$A:$E,3,0)</f>
        <v>#N/A</v>
      </c>
      <c r="F838" s="19" t="str">
        <f>vlookup($C838,CSDL!$A:$E,4,0)</f>
        <v>#N/A</v>
      </c>
      <c r="G838" s="20" t="str">
        <f>vlookup($C838,CSDL!$A:$E,5,0)</f>
        <v>#N/A</v>
      </c>
      <c r="H838" s="25"/>
      <c r="I838" s="23"/>
      <c r="J838" s="23"/>
      <c r="K838" s="23"/>
      <c r="L838" s="22">
        <f t="shared" si="9"/>
        <v>0</v>
      </c>
      <c r="M838" s="23"/>
      <c r="N838" s="23"/>
      <c r="O838" s="24"/>
      <c r="P838" s="33"/>
      <c r="Q838" s="25"/>
    </row>
    <row r="839" ht="25.5" customHeight="1">
      <c r="A839" s="26"/>
      <c r="B839" s="28"/>
      <c r="C839" s="17"/>
      <c r="D839" s="34" t="str">
        <f>vlookup($C839,CSDL!$A:$E,2,0)</f>
        <v>#N/A</v>
      </c>
      <c r="E839" s="19" t="str">
        <f>vlookup($C839,CSDL!$A:$E,3,0)</f>
        <v>#N/A</v>
      </c>
      <c r="F839" s="19" t="str">
        <f>vlookup($C839,CSDL!$A:$E,4,0)</f>
        <v>#N/A</v>
      </c>
      <c r="G839" s="27" t="str">
        <f>vlookup($C839,CSDL!$A:$E,5,0)</f>
        <v>#N/A</v>
      </c>
      <c r="H839" s="32"/>
      <c r="I839" s="29"/>
      <c r="J839" s="29"/>
      <c r="K839" s="29"/>
      <c r="L839" s="22">
        <f t="shared" si="9"/>
        <v>0</v>
      </c>
      <c r="M839" s="29"/>
      <c r="N839" s="29"/>
      <c r="O839" s="30"/>
      <c r="P839" s="26"/>
      <c r="Q839" s="32"/>
    </row>
    <row r="840" ht="25.5" customHeight="1">
      <c r="A840" s="33"/>
      <c r="B840" s="16"/>
      <c r="C840" s="17"/>
      <c r="D840" s="34" t="str">
        <f>vlookup($C840,CSDL!$A:$E,2,0)</f>
        <v>#N/A</v>
      </c>
      <c r="E840" s="19" t="str">
        <f>vlookup($C840,CSDL!$A:$E,3,0)</f>
        <v>#N/A</v>
      </c>
      <c r="F840" s="19" t="str">
        <f>vlookup($C840,CSDL!$A:$E,4,0)</f>
        <v>#N/A</v>
      </c>
      <c r="G840" s="20" t="str">
        <f>vlookup($C840,CSDL!$A:$E,5,0)</f>
        <v>#N/A</v>
      </c>
      <c r="H840" s="25"/>
      <c r="I840" s="23"/>
      <c r="J840" s="23"/>
      <c r="K840" s="23"/>
      <c r="L840" s="22">
        <f t="shared" si="9"/>
        <v>0</v>
      </c>
      <c r="M840" s="23"/>
      <c r="N840" s="23"/>
      <c r="O840" s="69"/>
      <c r="P840" s="33"/>
      <c r="Q840" s="25"/>
    </row>
    <row r="841" ht="25.5" customHeight="1">
      <c r="A841" s="26"/>
      <c r="B841" s="28"/>
      <c r="C841" s="17"/>
      <c r="D841" s="34" t="str">
        <f>vlookup($C841,CSDL!$A:$E,2,0)</f>
        <v>#N/A</v>
      </c>
      <c r="E841" s="19" t="str">
        <f>vlookup($C841,CSDL!$A:$E,3,0)</f>
        <v>#N/A</v>
      </c>
      <c r="F841" s="19" t="str">
        <f>vlookup($C841,CSDL!$A:$E,4,0)</f>
        <v>#N/A</v>
      </c>
      <c r="G841" s="27" t="str">
        <f>vlookup($C841,CSDL!$A:$E,5,0)</f>
        <v>#N/A</v>
      </c>
      <c r="H841" s="32"/>
      <c r="I841" s="29"/>
      <c r="J841" s="29"/>
      <c r="K841" s="29"/>
      <c r="L841" s="22">
        <f t="shared" si="9"/>
        <v>0</v>
      </c>
      <c r="M841" s="29"/>
      <c r="N841" s="29"/>
      <c r="O841" s="71"/>
      <c r="P841" s="26"/>
      <c r="Q841" s="32"/>
    </row>
    <row r="842" ht="25.5" customHeight="1">
      <c r="A842" s="33"/>
      <c r="B842" s="16"/>
      <c r="C842" s="17"/>
      <c r="D842" s="34" t="str">
        <f>vlookup($C842,CSDL!$A:$E,2,0)</f>
        <v>#N/A</v>
      </c>
      <c r="E842" s="19" t="str">
        <f>vlookup($C842,CSDL!$A:$E,3,0)</f>
        <v>#N/A</v>
      </c>
      <c r="F842" s="19" t="str">
        <f>vlookup($C842,CSDL!$A:$E,4,0)</f>
        <v>#N/A</v>
      </c>
      <c r="G842" s="20" t="str">
        <f>vlookup($C842,CSDL!$A:$E,5,0)</f>
        <v>#N/A</v>
      </c>
      <c r="H842" s="25"/>
      <c r="I842" s="23"/>
      <c r="J842" s="23"/>
      <c r="K842" s="23"/>
      <c r="L842" s="22">
        <f t="shared" si="9"/>
        <v>0</v>
      </c>
      <c r="M842" s="23"/>
      <c r="N842" s="23"/>
      <c r="O842" s="24"/>
      <c r="P842" s="33"/>
      <c r="Q842" s="25"/>
    </row>
    <row r="843" ht="25.5" customHeight="1">
      <c r="A843" s="26"/>
      <c r="B843" s="28"/>
      <c r="C843" s="17"/>
      <c r="D843" s="34" t="str">
        <f>vlookup($C843,CSDL!$A:$E,2,0)</f>
        <v>#N/A</v>
      </c>
      <c r="E843" s="19" t="str">
        <f>vlookup($C843,CSDL!$A:$E,3,0)</f>
        <v>#N/A</v>
      </c>
      <c r="F843" s="19" t="str">
        <f>vlookup($C843,CSDL!$A:$E,4,0)</f>
        <v>#N/A</v>
      </c>
      <c r="G843" s="27" t="str">
        <f>vlookup($C843,CSDL!$A:$E,5,0)</f>
        <v>#N/A</v>
      </c>
      <c r="H843" s="32"/>
      <c r="I843" s="29"/>
      <c r="J843" s="29"/>
      <c r="K843" s="29"/>
      <c r="L843" s="22">
        <f t="shared" si="9"/>
        <v>0</v>
      </c>
      <c r="M843" s="29"/>
      <c r="N843" s="29"/>
      <c r="O843" s="71"/>
      <c r="P843" s="26"/>
      <c r="Q843" s="32"/>
    </row>
    <row r="844" ht="25.5" customHeight="1">
      <c r="A844" s="33"/>
      <c r="B844" s="16"/>
      <c r="C844" s="17"/>
      <c r="D844" s="34" t="str">
        <f>vlookup($C844,CSDL!$A:$E,2,0)</f>
        <v>#N/A</v>
      </c>
      <c r="E844" s="19" t="str">
        <f>vlookup($C844,CSDL!$A:$E,3,0)</f>
        <v>#N/A</v>
      </c>
      <c r="F844" s="19" t="str">
        <f>vlookup($C844,CSDL!$A:$E,4,0)</f>
        <v>#N/A</v>
      </c>
      <c r="G844" s="20" t="str">
        <f>vlookup($C844,CSDL!$A:$E,5,0)</f>
        <v>#N/A</v>
      </c>
      <c r="H844" s="25"/>
      <c r="I844" s="23"/>
      <c r="J844" s="23"/>
      <c r="K844" s="23"/>
      <c r="L844" s="22">
        <f t="shared" si="9"/>
        <v>0</v>
      </c>
      <c r="M844" s="23"/>
      <c r="N844" s="23"/>
      <c r="O844" s="24"/>
      <c r="P844" s="33"/>
      <c r="Q844" s="25"/>
    </row>
    <row r="845" ht="25.5" customHeight="1">
      <c r="A845" s="26"/>
      <c r="B845" s="28"/>
      <c r="C845" s="17"/>
      <c r="D845" s="34" t="str">
        <f>vlookup($C845,CSDL!$A:$E,2,0)</f>
        <v>#N/A</v>
      </c>
      <c r="E845" s="19" t="str">
        <f>vlookup($C845,CSDL!$A:$E,3,0)</f>
        <v>#N/A</v>
      </c>
      <c r="F845" s="19" t="str">
        <f>vlookup($C845,CSDL!$A:$E,4,0)</f>
        <v>#N/A</v>
      </c>
      <c r="G845" s="27" t="str">
        <f>vlookup($C845,CSDL!$A:$E,5,0)</f>
        <v>#N/A</v>
      </c>
      <c r="H845" s="32"/>
      <c r="I845" s="29"/>
      <c r="J845" s="29"/>
      <c r="K845" s="29"/>
      <c r="L845" s="22">
        <f t="shared" si="9"/>
        <v>0</v>
      </c>
      <c r="M845" s="29"/>
      <c r="N845" s="29"/>
      <c r="O845" s="30"/>
      <c r="P845" s="26"/>
      <c r="Q845" s="32"/>
    </row>
    <row r="846" ht="25.5" customHeight="1">
      <c r="A846" s="33"/>
      <c r="B846" s="16"/>
      <c r="C846" s="17"/>
      <c r="D846" s="34" t="str">
        <f>vlookup($C846,CSDL!$A:$E,2,0)</f>
        <v>#N/A</v>
      </c>
      <c r="E846" s="19" t="str">
        <f>vlookup($C846,CSDL!$A:$E,3,0)</f>
        <v>#N/A</v>
      </c>
      <c r="F846" s="19" t="str">
        <f>vlookup($C846,CSDL!$A:$E,4,0)</f>
        <v>#N/A</v>
      </c>
      <c r="G846" s="20" t="str">
        <f>vlookup($C846,CSDL!$A:$E,5,0)</f>
        <v>#N/A</v>
      </c>
      <c r="H846" s="25"/>
      <c r="I846" s="23"/>
      <c r="J846" s="23"/>
      <c r="K846" s="23"/>
      <c r="L846" s="22">
        <f t="shared" si="9"/>
        <v>0</v>
      </c>
      <c r="M846" s="23"/>
      <c r="N846" s="23"/>
      <c r="O846" s="24"/>
      <c r="P846" s="33"/>
      <c r="Q846" s="25"/>
    </row>
    <row r="847" ht="25.5" customHeight="1">
      <c r="A847" s="26"/>
      <c r="B847" s="28"/>
      <c r="C847" s="17"/>
      <c r="D847" s="34" t="str">
        <f>vlookup($C847,CSDL!$A:$E,2,0)</f>
        <v>#N/A</v>
      </c>
      <c r="E847" s="19" t="str">
        <f>vlookup($C847,CSDL!$A:$E,3,0)</f>
        <v>#N/A</v>
      </c>
      <c r="F847" s="19" t="str">
        <f>vlookup($C847,CSDL!$A:$E,4,0)</f>
        <v>#N/A</v>
      </c>
      <c r="G847" s="27" t="str">
        <f>vlookup($C847,CSDL!$A:$E,5,0)</f>
        <v>#N/A</v>
      </c>
      <c r="H847" s="32"/>
      <c r="I847" s="29"/>
      <c r="J847" s="29"/>
      <c r="K847" s="29"/>
      <c r="L847" s="22">
        <f t="shared" si="9"/>
        <v>0</v>
      </c>
      <c r="M847" s="29"/>
      <c r="N847" s="29"/>
      <c r="O847" s="71"/>
      <c r="P847" s="26"/>
      <c r="Q847" s="32"/>
    </row>
    <row r="848" ht="25.5" customHeight="1">
      <c r="A848" s="33"/>
      <c r="B848" s="16"/>
      <c r="C848" s="17"/>
      <c r="D848" s="34" t="str">
        <f>vlookup($C848,CSDL!$A:$E,2,0)</f>
        <v>#N/A</v>
      </c>
      <c r="E848" s="19" t="str">
        <f>vlookup($C848,CSDL!$A:$E,3,0)</f>
        <v>#N/A</v>
      </c>
      <c r="F848" s="19" t="str">
        <f>vlookup($C848,CSDL!$A:$E,4,0)</f>
        <v>#N/A</v>
      </c>
      <c r="G848" s="20" t="str">
        <f>vlookup($C848,CSDL!$A:$E,5,0)</f>
        <v>#N/A</v>
      </c>
      <c r="H848" s="25"/>
      <c r="I848" s="23"/>
      <c r="J848" s="23"/>
      <c r="K848" s="23"/>
      <c r="L848" s="22">
        <f t="shared" si="9"/>
        <v>0</v>
      </c>
      <c r="M848" s="23"/>
      <c r="N848" s="23"/>
      <c r="O848" s="69"/>
      <c r="P848" s="15"/>
      <c r="Q848" s="16"/>
    </row>
    <row r="849" ht="25.5" customHeight="1">
      <c r="A849" s="26"/>
      <c r="B849" s="28"/>
      <c r="C849" s="17"/>
      <c r="D849" s="34" t="str">
        <f>vlookup($C849,CSDL!$A:$E,2,0)</f>
        <v>#N/A</v>
      </c>
      <c r="E849" s="19" t="str">
        <f>vlookup($C849,CSDL!$A:$E,3,0)</f>
        <v>#N/A</v>
      </c>
      <c r="F849" s="19" t="str">
        <f>vlookup($C849,CSDL!$A:$E,4,0)</f>
        <v>#N/A</v>
      </c>
      <c r="G849" s="27" t="str">
        <f>vlookup($C849,CSDL!$A:$E,5,0)</f>
        <v>#N/A</v>
      </c>
      <c r="H849" s="32"/>
      <c r="I849" s="29"/>
      <c r="J849" s="29"/>
      <c r="K849" s="29"/>
      <c r="L849" s="22">
        <f t="shared" si="9"/>
        <v>0</v>
      </c>
      <c r="M849" s="29"/>
      <c r="N849" s="29"/>
      <c r="O849" s="30"/>
      <c r="P849" s="31"/>
      <c r="Q849" s="28"/>
    </row>
    <row r="850" ht="25.5" customHeight="1">
      <c r="A850" s="33"/>
      <c r="B850" s="16"/>
      <c r="C850" s="17"/>
      <c r="D850" s="34" t="str">
        <f>vlookup($C850,CSDL!$A:$E,2,0)</f>
        <v>#N/A</v>
      </c>
      <c r="E850" s="19" t="str">
        <f>vlookup($C850,CSDL!$A:$E,3,0)</f>
        <v>#N/A</v>
      </c>
      <c r="F850" s="19" t="str">
        <f>vlookup($C850,CSDL!$A:$E,4,0)</f>
        <v>#N/A</v>
      </c>
      <c r="G850" s="20" t="str">
        <f>vlookup($C850,CSDL!$A:$E,5,0)</f>
        <v>#N/A</v>
      </c>
      <c r="H850" s="25"/>
      <c r="I850" s="23"/>
      <c r="J850" s="23"/>
      <c r="K850" s="23"/>
      <c r="L850" s="22">
        <f t="shared" si="9"/>
        <v>0</v>
      </c>
      <c r="M850" s="23"/>
      <c r="N850" s="23"/>
      <c r="O850" s="24"/>
      <c r="P850" s="15"/>
      <c r="Q850" s="16"/>
    </row>
    <row r="851" ht="25.5" customHeight="1">
      <c r="A851" s="26"/>
      <c r="B851" s="28"/>
      <c r="C851" s="17"/>
      <c r="D851" s="34" t="str">
        <f>vlookup($C851,CSDL!$A:$E,2,0)</f>
        <v>#N/A</v>
      </c>
      <c r="E851" s="19" t="str">
        <f>vlookup($C851,CSDL!$A:$E,3,0)</f>
        <v>#N/A</v>
      </c>
      <c r="F851" s="19" t="str">
        <f>vlookup($C851,CSDL!$A:$E,4,0)</f>
        <v>#N/A</v>
      </c>
      <c r="G851" s="27" t="str">
        <f>vlookup($C851,CSDL!$A:$E,5,0)</f>
        <v>#N/A</v>
      </c>
      <c r="H851" s="32"/>
      <c r="I851" s="29"/>
      <c r="J851" s="29"/>
      <c r="K851" s="29"/>
      <c r="L851" s="22">
        <f t="shared" si="9"/>
        <v>0</v>
      </c>
      <c r="M851" s="75"/>
      <c r="N851" s="75"/>
      <c r="O851" s="71"/>
      <c r="P851" s="26"/>
      <c r="Q851" s="32"/>
    </row>
    <row r="852" ht="25.5" customHeight="1">
      <c r="A852" s="33"/>
      <c r="B852" s="16"/>
      <c r="C852" s="17"/>
      <c r="D852" s="34" t="str">
        <f>vlookup($C852,CSDL!$A:$E,2,0)</f>
        <v>#N/A</v>
      </c>
      <c r="E852" s="19" t="str">
        <f>vlookup($C852,CSDL!$A:$E,3,0)</f>
        <v>#N/A</v>
      </c>
      <c r="F852" s="19" t="str">
        <f>vlookup($C852,CSDL!$A:$E,4,0)</f>
        <v>#N/A</v>
      </c>
      <c r="G852" s="20" t="str">
        <f>vlookup($C852,CSDL!$A:$E,5,0)</f>
        <v>#N/A</v>
      </c>
      <c r="H852" s="25"/>
      <c r="I852" s="23"/>
      <c r="J852" s="23"/>
      <c r="K852" s="23"/>
      <c r="L852" s="22">
        <f t="shared" si="9"/>
        <v>0</v>
      </c>
      <c r="M852" s="78"/>
      <c r="N852" s="78"/>
      <c r="O852" s="24"/>
      <c r="P852" s="33"/>
      <c r="Q852" s="25"/>
    </row>
    <row r="853" ht="25.5" customHeight="1">
      <c r="A853" s="26"/>
      <c r="B853" s="28"/>
      <c r="C853" s="17"/>
      <c r="D853" s="34" t="str">
        <f>vlookup($C853,CSDL!$A:$E,2,0)</f>
        <v>#N/A</v>
      </c>
      <c r="E853" s="19" t="str">
        <f>vlookup($C853,CSDL!$A:$E,3,0)</f>
        <v>#N/A</v>
      </c>
      <c r="F853" s="19" t="str">
        <f>vlookup($C853,CSDL!$A:$E,4,0)</f>
        <v>#N/A</v>
      </c>
      <c r="G853" s="27" t="str">
        <f>vlookup($C853,CSDL!$A:$E,5,0)</f>
        <v>#N/A</v>
      </c>
      <c r="H853" s="32"/>
      <c r="I853" s="29"/>
      <c r="J853" s="29"/>
      <c r="K853" s="29"/>
      <c r="L853" s="22">
        <f t="shared" si="9"/>
        <v>0</v>
      </c>
      <c r="M853" s="29"/>
      <c r="N853" s="29"/>
      <c r="O853" s="30"/>
      <c r="P853" s="26"/>
      <c r="Q853" s="32"/>
    </row>
    <row r="854" ht="25.5" customHeight="1">
      <c r="A854" s="33"/>
      <c r="B854" s="16"/>
      <c r="C854" s="17"/>
      <c r="D854" s="34" t="str">
        <f>vlookup($C854,CSDL!$A:$E,2,0)</f>
        <v>#N/A</v>
      </c>
      <c r="E854" s="19" t="str">
        <f>vlookup($C854,CSDL!$A:$E,3,0)</f>
        <v>#N/A</v>
      </c>
      <c r="F854" s="19" t="str">
        <f>vlookup($C854,CSDL!$A:$E,4,0)</f>
        <v>#N/A</v>
      </c>
      <c r="G854" s="20" t="str">
        <f>vlookup($C854,CSDL!$A:$E,5,0)</f>
        <v>#N/A</v>
      </c>
      <c r="H854" s="25"/>
      <c r="I854" s="23"/>
      <c r="J854" s="23"/>
      <c r="K854" s="23"/>
      <c r="L854" s="22">
        <f t="shared" si="9"/>
        <v>0</v>
      </c>
      <c r="M854" s="78"/>
      <c r="N854" s="78"/>
      <c r="O854" s="69"/>
      <c r="P854" s="33"/>
      <c r="Q854" s="25"/>
    </row>
    <row r="855" ht="25.5" customHeight="1">
      <c r="A855" s="26"/>
      <c r="B855" s="28"/>
      <c r="C855" s="17"/>
      <c r="D855" s="34" t="str">
        <f>vlookup($C855,CSDL!$A:$E,2,0)</f>
        <v>#N/A</v>
      </c>
      <c r="E855" s="19" t="str">
        <f>vlookup($C855,CSDL!$A:$E,3,0)</f>
        <v>#N/A</v>
      </c>
      <c r="F855" s="19" t="str">
        <f>vlookup($C855,CSDL!$A:$E,4,0)</f>
        <v>#N/A</v>
      </c>
      <c r="G855" s="27" t="str">
        <f>vlookup($C855,CSDL!$A:$E,5,0)</f>
        <v>#N/A</v>
      </c>
      <c r="H855" s="32"/>
      <c r="I855" s="29"/>
      <c r="J855" s="29"/>
      <c r="K855" s="29"/>
      <c r="L855" s="22">
        <f t="shared" si="9"/>
        <v>0</v>
      </c>
      <c r="M855" s="29"/>
      <c r="N855" s="29"/>
      <c r="O855" s="71"/>
      <c r="P855" s="26"/>
      <c r="Q855" s="32"/>
    </row>
    <row r="856" ht="25.5" customHeight="1">
      <c r="A856" s="33"/>
      <c r="B856" s="16"/>
      <c r="C856" s="17"/>
      <c r="D856" s="34" t="str">
        <f>vlookup($C856,CSDL!$A:$E,2,0)</f>
        <v>#N/A</v>
      </c>
      <c r="E856" s="19" t="str">
        <f>vlookup($C856,CSDL!$A:$E,3,0)</f>
        <v>#N/A</v>
      </c>
      <c r="F856" s="19" t="str">
        <f>vlookup($C856,CSDL!$A:$E,4,0)</f>
        <v>#N/A</v>
      </c>
      <c r="G856" s="20" t="str">
        <f>vlookup($C856,CSDL!$A:$E,5,0)</f>
        <v>#N/A</v>
      </c>
      <c r="H856" s="25"/>
      <c r="I856" s="23"/>
      <c r="J856" s="23"/>
      <c r="K856" s="23"/>
      <c r="L856" s="22">
        <f t="shared" si="9"/>
        <v>0</v>
      </c>
      <c r="M856" s="23"/>
      <c r="N856" s="23"/>
      <c r="O856" s="24"/>
      <c r="P856" s="33"/>
      <c r="Q856" s="25"/>
    </row>
    <row r="857" ht="25.5" customHeight="1">
      <c r="A857" s="26"/>
      <c r="B857" s="28"/>
      <c r="C857" s="17"/>
      <c r="D857" s="34" t="str">
        <f>vlookup($C857,CSDL!$A:$E,2,0)</f>
        <v>#N/A</v>
      </c>
      <c r="E857" s="19" t="str">
        <f>vlookup($C857,CSDL!$A:$E,3,0)</f>
        <v>#N/A</v>
      </c>
      <c r="F857" s="19" t="str">
        <f>vlookup($C857,CSDL!$A:$E,4,0)</f>
        <v>#N/A</v>
      </c>
      <c r="G857" s="27" t="str">
        <f>vlookup($C857,CSDL!$A:$E,5,0)</f>
        <v>#N/A</v>
      </c>
      <c r="H857" s="32"/>
      <c r="I857" s="29"/>
      <c r="J857" s="29"/>
      <c r="K857" s="29"/>
      <c r="L857" s="22">
        <f t="shared" si="9"/>
        <v>0</v>
      </c>
      <c r="M857" s="29"/>
      <c r="N857" s="29"/>
      <c r="O857" s="71"/>
      <c r="P857" s="26"/>
      <c r="Q857" s="32"/>
    </row>
    <row r="858" ht="25.5" customHeight="1">
      <c r="A858" s="33"/>
      <c r="B858" s="16"/>
      <c r="C858" s="17"/>
      <c r="D858" s="34" t="str">
        <f>vlookup($C858,CSDL!$A:$E,2,0)</f>
        <v>#N/A</v>
      </c>
      <c r="E858" s="19" t="str">
        <f>vlookup($C858,CSDL!$A:$E,3,0)</f>
        <v>#N/A</v>
      </c>
      <c r="F858" s="19" t="str">
        <f>vlookup($C858,CSDL!$A:$E,4,0)</f>
        <v>#N/A</v>
      </c>
      <c r="G858" s="20" t="str">
        <f>vlookup($C858,CSDL!$A:$E,5,0)</f>
        <v>#N/A</v>
      </c>
      <c r="H858" s="25"/>
      <c r="I858" s="23"/>
      <c r="J858" s="23"/>
      <c r="K858" s="23"/>
      <c r="L858" s="22">
        <f t="shared" si="9"/>
        <v>0</v>
      </c>
      <c r="M858" s="78"/>
      <c r="N858" s="78"/>
      <c r="O858" s="69"/>
      <c r="P858" s="33"/>
      <c r="Q858" s="25"/>
    </row>
    <row r="859" ht="25.5" customHeight="1">
      <c r="A859" s="26"/>
      <c r="B859" s="28"/>
      <c r="C859" s="17"/>
      <c r="D859" s="34" t="str">
        <f>vlookup($C859,CSDL!$A:$E,2,0)</f>
        <v>#N/A</v>
      </c>
      <c r="E859" s="19" t="str">
        <f>vlookup($C859,CSDL!$A:$E,3,0)</f>
        <v>#N/A</v>
      </c>
      <c r="F859" s="19" t="str">
        <f>vlookup($C859,CSDL!$A:$E,4,0)</f>
        <v>#N/A</v>
      </c>
      <c r="G859" s="27" t="str">
        <f>vlookup($C859,CSDL!$A:$E,5,0)</f>
        <v>#N/A</v>
      </c>
      <c r="H859" s="32"/>
      <c r="I859" s="29"/>
      <c r="J859" s="29"/>
      <c r="K859" s="29"/>
      <c r="L859" s="22">
        <f t="shared" si="9"/>
        <v>0</v>
      </c>
      <c r="M859" s="75"/>
      <c r="N859" s="75"/>
      <c r="O859" s="71"/>
      <c r="P859" s="26"/>
      <c r="Q859" s="32"/>
    </row>
    <row r="860" ht="25.5" customHeight="1">
      <c r="A860" s="33"/>
      <c r="B860" s="16"/>
      <c r="C860" s="17"/>
      <c r="D860" s="34" t="str">
        <f>vlookup($C860,CSDL!$A:$E,2,0)</f>
        <v>#N/A</v>
      </c>
      <c r="E860" s="19" t="str">
        <f>vlookup($C860,CSDL!$A:$E,3,0)</f>
        <v>#N/A</v>
      </c>
      <c r="F860" s="19" t="str">
        <f>vlookup($C860,CSDL!$A:$E,4,0)</f>
        <v>#N/A</v>
      </c>
      <c r="G860" s="20" t="str">
        <f>vlookup($C860,CSDL!$A:$E,5,0)</f>
        <v>#N/A</v>
      </c>
      <c r="H860" s="25"/>
      <c r="I860" s="23"/>
      <c r="J860" s="23"/>
      <c r="K860" s="23"/>
      <c r="L860" s="22">
        <f t="shared" si="9"/>
        <v>0</v>
      </c>
      <c r="M860" s="23"/>
      <c r="N860" s="23"/>
      <c r="O860" s="69"/>
      <c r="P860" s="33"/>
      <c r="Q860" s="25"/>
    </row>
    <row r="861" ht="25.5" customHeight="1">
      <c r="A861" s="26"/>
      <c r="B861" s="28"/>
      <c r="C861" s="17"/>
      <c r="D861" s="34" t="str">
        <f>vlookup($C861,CSDL!$A:$E,2,0)</f>
        <v>#N/A</v>
      </c>
      <c r="E861" s="19" t="str">
        <f>vlookup($C861,CSDL!$A:$E,3,0)</f>
        <v>#N/A</v>
      </c>
      <c r="F861" s="19" t="str">
        <f>vlookup($C861,CSDL!$A:$E,4,0)</f>
        <v>#N/A</v>
      </c>
      <c r="G861" s="27" t="str">
        <f>vlookup($C861,CSDL!$A:$E,5,0)</f>
        <v>#N/A</v>
      </c>
      <c r="H861" s="32"/>
      <c r="I861" s="29"/>
      <c r="J861" s="29"/>
      <c r="K861" s="29"/>
      <c r="L861" s="22">
        <f t="shared" si="9"/>
        <v>0</v>
      </c>
      <c r="M861" s="29"/>
      <c r="N861" s="29"/>
      <c r="O861" s="30"/>
      <c r="P861" s="26"/>
      <c r="Q861" s="32"/>
    </row>
    <row r="862" ht="25.5" customHeight="1">
      <c r="A862" s="33"/>
      <c r="B862" s="16"/>
      <c r="C862" s="17"/>
      <c r="D862" s="34" t="str">
        <f>vlookup($C862,CSDL!$A:$E,2,0)</f>
        <v>#N/A</v>
      </c>
      <c r="E862" s="19" t="str">
        <f>vlookup($C862,CSDL!$A:$E,3,0)</f>
        <v>#N/A</v>
      </c>
      <c r="F862" s="19" t="str">
        <f>vlookup($C862,CSDL!$A:$E,4,0)</f>
        <v>#N/A</v>
      </c>
      <c r="G862" s="20" t="str">
        <f>vlookup($C862,CSDL!$A:$E,5,0)</f>
        <v>#N/A</v>
      </c>
      <c r="H862" s="25"/>
      <c r="I862" s="23"/>
      <c r="J862" s="23"/>
      <c r="K862" s="23"/>
      <c r="L862" s="22">
        <f t="shared" si="9"/>
        <v>0</v>
      </c>
      <c r="M862" s="23"/>
      <c r="N862" s="23"/>
      <c r="O862" s="24"/>
      <c r="P862" s="33"/>
      <c r="Q862" s="25"/>
    </row>
    <row r="863" ht="25.5" customHeight="1">
      <c r="A863" s="26"/>
      <c r="B863" s="28"/>
      <c r="C863" s="17"/>
      <c r="D863" s="34" t="str">
        <f>vlookup($C863,CSDL!$A:$E,2,0)</f>
        <v>#N/A</v>
      </c>
      <c r="E863" s="19" t="str">
        <f>vlookup($C863,CSDL!$A:$E,3,0)</f>
        <v>#N/A</v>
      </c>
      <c r="F863" s="19" t="str">
        <f>vlookup($C863,CSDL!$A:$E,4,0)</f>
        <v>#N/A</v>
      </c>
      <c r="G863" s="27" t="str">
        <f>vlookup($C863,CSDL!$A:$E,5,0)</f>
        <v>#N/A</v>
      </c>
      <c r="H863" s="32"/>
      <c r="I863" s="29"/>
      <c r="J863" s="29"/>
      <c r="K863" s="29"/>
      <c r="L863" s="22">
        <f t="shared" si="9"/>
        <v>0</v>
      </c>
      <c r="M863" s="29"/>
      <c r="N863" s="29"/>
      <c r="O863" s="30"/>
      <c r="P863" s="26"/>
      <c r="Q863" s="32"/>
    </row>
    <row r="864" ht="25.5" customHeight="1">
      <c r="A864" s="33"/>
      <c r="B864" s="16"/>
      <c r="C864" s="17"/>
      <c r="D864" s="34" t="str">
        <f>vlookup($C864,CSDL!$A:$E,2,0)</f>
        <v>#N/A</v>
      </c>
      <c r="E864" s="19" t="str">
        <f>vlookup($C864,CSDL!$A:$E,3,0)</f>
        <v>#N/A</v>
      </c>
      <c r="F864" s="19" t="str">
        <f>vlookup($C864,CSDL!$A:$E,4,0)</f>
        <v>#N/A</v>
      </c>
      <c r="G864" s="20" t="str">
        <f>vlookup($C864,CSDL!$A:$E,5,0)</f>
        <v>#N/A</v>
      </c>
      <c r="H864" s="25"/>
      <c r="I864" s="23"/>
      <c r="J864" s="23"/>
      <c r="K864" s="23"/>
      <c r="L864" s="22">
        <f t="shared" si="9"/>
        <v>0</v>
      </c>
      <c r="M864" s="23"/>
      <c r="N864" s="23"/>
      <c r="O864" s="24"/>
      <c r="P864" s="33"/>
      <c r="Q864" s="25"/>
    </row>
    <row r="865" ht="25.5" customHeight="1">
      <c r="A865" s="26"/>
      <c r="B865" s="28"/>
      <c r="C865" s="17"/>
      <c r="D865" s="34" t="str">
        <f>vlookup($C865,CSDL!$A:$E,2,0)</f>
        <v>#N/A</v>
      </c>
      <c r="E865" s="19" t="str">
        <f>vlookup($C865,CSDL!$A:$E,3,0)</f>
        <v>#N/A</v>
      </c>
      <c r="F865" s="19" t="str">
        <f>vlookup($C865,CSDL!$A:$E,4,0)</f>
        <v>#N/A</v>
      </c>
      <c r="G865" s="27" t="str">
        <f>vlookup($C865,CSDL!$A:$E,5,0)</f>
        <v>#N/A</v>
      </c>
      <c r="H865" s="32"/>
      <c r="I865" s="29"/>
      <c r="J865" s="29"/>
      <c r="K865" s="29"/>
      <c r="L865" s="22">
        <f t="shared" si="9"/>
        <v>0</v>
      </c>
      <c r="M865" s="29"/>
      <c r="N865" s="29"/>
      <c r="O865" s="71"/>
      <c r="P865" s="26"/>
      <c r="Q865" s="32"/>
    </row>
    <row r="866" ht="25.5" customHeight="1">
      <c r="A866" s="33"/>
      <c r="B866" s="16"/>
      <c r="C866" s="17"/>
      <c r="D866" s="34" t="str">
        <f>vlookup($C866,CSDL!$A:$E,2,0)</f>
        <v>#N/A</v>
      </c>
      <c r="E866" s="19" t="str">
        <f>vlookup($C866,CSDL!$A:$E,3,0)</f>
        <v>#N/A</v>
      </c>
      <c r="F866" s="19" t="str">
        <f>vlookup($C866,CSDL!$A:$E,4,0)</f>
        <v>#N/A</v>
      </c>
      <c r="G866" s="20" t="str">
        <f>vlookup($C866,CSDL!$A:$E,5,0)</f>
        <v>#N/A</v>
      </c>
      <c r="H866" s="25"/>
      <c r="I866" s="23"/>
      <c r="J866" s="23"/>
      <c r="K866" s="23"/>
      <c r="L866" s="22">
        <f t="shared" si="9"/>
        <v>0</v>
      </c>
      <c r="M866" s="78"/>
      <c r="N866" s="78"/>
      <c r="O866" s="69"/>
      <c r="P866" s="33"/>
      <c r="Q866" s="25"/>
    </row>
    <row r="867" ht="25.5" customHeight="1">
      <c r="A867" s="26"/>
      <c r="B867" s="28"/>
      <c r="C867" s="17"/>
      <c r="D867" s="34" t="str">
        <f>vlookup($C867,CSDL!$A:$E,2,0)</f>
        <v>#N/A</v>
      </c>
      <c r="E867" s="19" t="str">
        <f>vlookup($C867,CSDL!$A:$E,3,0)</f>
        <v>#N/A</v>
      </c>
      <c r="F867" s="19" t="str">
        <f>vlookup($C867,CSDL!$A:$E,4,0)</f>
        <v>#N/A</v>
      </c>
      <c r="G867" s="27" t="str">
        <f>vlookup($C867,CSDL!$A:$E,5,0)</f>
        <v>#N/A</v>
      </c>
      <c r="H867" s="32"/>
      <c r="I867" s="29"/>
      <c r="J867" s="29"/>
      <c r="K867" s="29"/>
      <c r="L867" s="22">
        <f t="shared" si="9"/>
        <v>0</v>
      </c>
      <c r="M867" s="75"/>
      <c r="N867" s="75"/>
      <c r="O867" s="71"/>
      <c r="P867" s="26"/>
      <c r="Q867" s="32"/>
    </row>
    <row r="868" ht="25.5" customHeight="1">
      <c r="A868" s="33"/>
      <c r="B868" s="16"/>
      <c r="C868" s="17"/>
      <c r="D868" s="34" t="str">
        <f>vlookup($C868,CSDL!$A:$E,2,0)</f>
        <v>#N/A</v>
      </c>
      <c r="E868" s="19" t="str">
        <f>vlookup($C868,CSDL!$A:$E,3,0)</f>
        <v>#N/A</v>
      </c>
      <c r="F868" s="19" t="str">
        <f>vlookup($C868,CSDL!$A:$E,4,0)</f>
        <v>#N/A</v>
      </c>
      <c r="G868" s="20" t="str">
        <f>vlookup($C868,CSDL!$A:$E,5,0)</f>
        <v>#N/A</v>
      </c>
      <c r="H868" s="25"/>
      <c r="I868" s="23"/>
      <c r="J868" s="23"/>
      <c r="K868" s="23"/>
      <c r="L868" s="22">
        <f t="shared" si="9"/>
        <v>0</v>
      </c>
      <c r="M868" s="23"/>
      <c r="N868" s="23"/>
      <c r="O868" s="24"/>
      <c r="P868" s="33"/>
      <c r="Q868" s="25"/>
    </row>
    <row r="869" ht="25.5" customHeight="1">
      <c r="A869" s="26"/>
      <c r="C869" s="17"/>
      <c r="D869" s="34" t="str">
        <f>vlookup($C869,CSDL!$A:$E,2,0)</f>
        <v>#N/A</v>
      </c>
      <c r="E869" s="19" t="str">
        <f>vlookup($C869,CSDL!$A:$E,3,0)</f>
        <v>#N/A</v>
      </c>
      <c r="F869" s="19" t="str">
        <f>vlookup($C869,CSDL!$A:$E,4,0)</f>
        <v>#N/A</v>
      </c>
      <c r="G869" s="27" t="str">
        <f>vlookup($C869,CSDL!$A:$E,5,0)</f>
        <v>#N/A</v>
      </c>
      <c r="H869" s="32"/>
      <c r="I869" s="29"/>
      <c r="J869" s="29"/>
      <c r="K869" s="29"/>
      <c r="L869" s="22">
        <f t="shared" si="9"/>
        <v>0</v>
      </c>
      <c r="M869" s="29"/>
      <c r="N869" s="29"/>
      <c r="O869" s="71"/>
      <c r="P869" s="26"/>
      <c r="Q869" s="32"/>
    </row>
    <row r="870" ht="25.5" customHeight="1">
      <c r="A870" s="33"/>
      <c r="B870" s="16"/>
      <c r="C870" s="17"/>
      <c r="D870" s="34" t="str">
        <f>vlookup($C870,CSDL!$A:$E,2,0)</f>
        <v>#N/A</v>
      </c>
      <c r="E870" s="19" t="str">
        <f>vlookup($C870,CSDL!$A:$E,3,0)</f>
        <v>#N/A</v>
      </c>
      <c r="F870" s="19" t="str">
        <f>vlookup($C870,CSDL!$A:$E,4,0)</f>
        <v>#N/A</v>
      </c>
      <c r="G870" s="20" t="str">
        <f>vlookup($C870,CSDL!$A:$E,5,0)</f>
        <v>#N/A</v>
      </c>
      <c r="H870" s="25"/>
      <c r="I870" s="23"/>
      <c r="J870" s="23"/>
      <c r="K870" s="23"/>
      <c r="L870" s="22">
        <f t="shared" si="9"/>
        <v>0</v>
      </c>
      <c r="M870" s="23"/>
      <c r="N870" s="23"/>
      <c r="O870" s="69"/>
      <c r="P870" s="33"/>
      <c r="Q870" s="25"/>
    </row>
    <row r="871" ht="25.5" customHeight="1">
      <c r="A871" s="26"/>
      <c r="B871" s="28"/>
      <c r="C871" s="17"/>
      <c r="D871" s="34" t="str">
        <f>vlookup($C871,CSDL!$A:$E,2,0)</f>
        <v>#N/A</v>
      </c>
      <c r="E871" s="19" t="str">
        <f>vlookup($C871,CSDL!$A:$E,3,0)</f>
        <v>#N/A</v>
      </c>
      <c r="F871" s="19" t="str">
        <f>vlookup($C871,CSDL!$A:$E,4,0)</f>
        <v>#N/A</v>
      </c>
      <c r="G871" s="27" t="str">
        <f>vlookup($C871,CSDL!$A:$E,5,0)</f>
        <v>#N/A</v>
      </c>
      <c r="H871" s="32"/>
      <c r="I871" s="29"/>
      <c r="J871" s="29"/>
      <c r="K871" s="29"/>
      <c r="L871" s="22">
        <f t="shared" si="9"/>
        <v>0</v>
      </c>
      <c r="M871" s="75"/>
      <c r="N871" s="75"/>
      <c r="O871" s="71"/>
      <c r="P871" s="26"/>
      <c r="Q871" s="32"/>
    </row>
    <row r="872" ht="25.5" customHeight="1">
      <c r="A872" s="33"/>
      <c r="B872" s="16"/>
      <c r="C872" s="17"/>
      <c r="D872" s="34" t="str">
        <f>vlookup($C872,CSDL!$A:$E,2,0)</f>
        <v>#N/A</v>
      </c>
      <c r="E872" s="19" t="str">
        <f>vlookup($C872,CSDL!$A:$E,3,0)</f>
        <v>#N/A</v>
      </c>
      <c r="F872" s="19" t="str">
        <f>vlookup($C872,CSDL!$A:$E,4,0)</f>
        <v>#N/A</v>
      </c>
      <c r="G872" s="20" t="str">
        <f>vlookup($C872,CSDL!$A:$E,5,0)</f>
        <v>#N/A</v>
      </c>
      <c r="H872" s="25"/>
      <c r="I872" s="23"/>
      <c r="J872" s="23"/>
      <c r="K872" s="23"/>
      <c r="L872" s="22">
        <f t="shared" si="9"/>
        <v>0</v>
      </c>
      <c r="M872" s="23"/>
      <c r="N872" s="23"/>
      <c r="O872" s="24"/>
      <c r="P872" s="33"/>
      <c r="Q872" s="25"/>
    </row>
    <row r="873" ht="25.5" customHeight="1">
      <c r="A873" s="26"/>
      <c r="B873" s="28"/>
      <c r="C873" s="17"/>
      <c r="D873" s="34" t="str">
        <f>vlookup($C873,CSDL!$A:$E,2,0)</f>
        <v>#N/A</v>
      </c>
      <c r="E873" s="19" t="str">
        <f>vlookup($C873,CSDL!$A:$E,3,0)</f>
        <v>#N/A</v>
      </c>
      <c r="F873" s="19" t="str">
        <f>vlookup($C873,CSDL!$A:$E,4,0)</f>
        <v>#N/A</v>
      </c>
      <c r="G873" s="27" t="str">
        <f>vlookup($C873,CSDL!$A:$E,5,0)</f>
        <v>#N/A</v>
      </c>
      <c r="H873" s="32"/>
      <c r="I873" s="29"/>
      <c r="J873" s="29"/>
      <c r="K873" s="29"/>
      <c r="L873" s="22">
        <f t="shared" si="9"/>
        <v>0</v>
      </c>
      <c r="M873" s="29"/>
      <c r="N873" s="29"/>
      <c r="O873" s="30"/>
      <c r="P873" s="26"/>
      <c r="Q873" s="32"/>
    </row>
    <row r="874" ht="25.5" customHeight="1">
      <c r="A874" s="33"/>
      <c r="B874" s="16"/>
      <c r="C874" s="17"/>
      <c r="D874" s="34" t="str">
        <f>vlookup($C874,CSDL!$A:$E,2,0)</f>
        <v>#N/A</v>
      </c>
      <c r="E874" s="19" t="str">
        <f>vlookup($C874,CSDL!$A:$E,3,0)</f>
        <v>#N/A</v>
      </c>
      <c r="F874" s="19" t="str">
        <f>vlookup($C874,CSDL!$A:$E,4,0)</f>
        <v>#N/A</v>
      </c>
      <c r="G874" s="20" t="str">
        <f>vlookup($C874,CSDL!$A:$E,5,0)</f>
        <v>#N/A</v>
      </c>
      <c r="H874" s="25"/>
      <c r="I874" s="23"/>
      <c r="J874" s="23"/>
      <c r="K874" s="23"/>
      <c r="L874" s="22">
        <f t="shared" si="9"/>
        <v>0</v>
      </c>
      <c r="M874" s="23"/>
      <c r="N874" s="23"/>
      <c r="O874" s="24"/>
      <c r="P874" s="33"/>
      <c r="Q874" s="25"/>
    </row>
    <row r="875" ht="25.5" customHeight="1">
      <c r="A875" s="26"/>
      <c r="B875" s="28"/>
      <c r="C875" s="17"/>
      <c r="D875" s="34" t="str">
        <f>vlookup($C875,CSDL!$A:$E,2,0)</f>
        <v>#N/A</v>
      </c>
      <c r="E875" s="19" t="str">
        <f>vlookup($C875,CSDL!$A:$E,3,0)</f>
        <v>#N/A</v>
      </c>
      <c r="F875" s="19" t="str">
        <f>vlookup($C875,CSDL!$A:$E,4,0)</f>
        <v>#N/A</v>
      </c>
      <c r="G875" s="27" t="str">
        <f>vlookup($C875,CSDL!$A:$E,5,0)</f>
        <v>#N/A</v>
      </c>
      <c r="H875" s="32"/>
      <c r="I875" s="29"/>
      <c r="J875" s="29"/>
      <c r="K875" s="29"/>
      <c r="L875" s="22">
        <f t="shared" si="9"/>
        <v>0</v>
      </c>
      <c r="M875" s="29"/>
      <c r="N875" s="29"/>
      <c r="O875" s="71"/>
      <c r="P875" s="26"/>
      <c r="Q875" s="32"/>
    </row>
    <row r="876" ht="25.5" customHeight="1">
      <c r="A876" s="33"/>
      <c r="B876" s="16"/>
      <c r="C876" s="17"/>
      <c r="D876" s="34" t="str">
        <f>vlookup($C876,CSDL!$A:$E,2,0)</f>
        <v>#N/A</v>
      </c>
      <c r="E876" s="19" t="str">
        <f>vlookup($C876,CSDL!$A:$E,3,0)</f>
        <v>#N/A</v>
      </c>
      <c r="F876" s="19" t="str">
        <f>vlookup($C876,CSDL!$A:$E,4,0)</f>
        <v>#N/A</v>
      </c>
      <c r="G876" s="20" t="str">
        <f>vlookup($C876,CSDL!$A:$E,5,0)</f>
        <v>#N/A</v>
      </c>
      <c r="H876" s="25"/>
      <c r="I876" s="23"/>
      <c r="J876" s="23"/>
      <c r="K876" s="23"/>
      <c r="L876" s="22">
        <f t="shared" si="9"/>
        <v>0</v>
      </c>
      <c r="M876" s="23"/>
      <c r="N876" s="23"/>
      <c r="O876" s="24"/>
      <c r="P876" s="33"/>
      <c r="Q876" s="25"/>
    </row>
    <row r="877" ht="25.5" customHeight="1">
      <c r="A877" s="26"/>
      <c r="B877" s="28"/>
      <c r="C877" s="17"/>
      <c r="D877" s="34" t="str">
        <f>vlookup($C877,CSDL!$A:$E,2,0)</f>
        <v>#N/A</v>
      </c>
      <c r="E877" s="19" t="str">
        <f>vlookup($C877,CSDL!$A:$E,3,0)</f>
        <v>#N/A</v>
      </c>
      <c r="F877" s="19" t="str">
        <f>vlookup($C877,CSDL!$A:$E,4,0)</f>
        <v>#N/A</v>
      </c>
      <c r="G877" s="27" t="str">
        <f>vlookup($C877,CSDL!$A:$E,5,0)</f>
        <v>#N/A</v>
      </c>
      <c r="H877" s="32"/>
      <c r="I877" s="29"/>
      <c r="J877" s="29"/>
      <c r="K877" s="29"/>
      <c r="L877" s="22">
        <f t="shared" si="9"/>
        <v>0</v>
      </c>
      <c r="M877" s="29"/>
      <c r="N877" s="29"/>
      <c r="O877" s="30"/>
      <c r="P877" s="26"/>
      <c r="Q877" s="32"/>
    </row>
    <row r="878" ht="25.5" customHeight="1">
      <c r="A878" s="33"/>
      <c r="B878" s="16"/>
      <c r="C878" s="17"/>
      <c r="D878" s="34" t="str">
        <f>vlookup($C878,CSDL!$A:$E,2,0)</f>
        <v>#N/A</v>
      </c>
      <c r="E878" s="19" t="str">
        <f>vlookup($C878,CSDL!$A:$E,3,0)</f>
        <v>#N/A</v>
      </c>
      <c r="F878" s="19" t="str">
        <f>vlookup($C878,CSDL!$A:$E,4,0)</f>
        <v>#N/A</v>
      </c>
      <c r="G878" s="20" t="str">
        <f>vlookup($C878,CSDL!$A:$E,5,0)</f>
        <v>#N/A</v>
      </c>
      <c r="H878" s="25"/>
      <c r="I878" s="23"/>
      <c r="J878" s="23"/>
      <c r="K878" s="23"/>
      <c r="L878" s="22">
        <f t="shared" si="9"/>
        <v>0</v>
      </c>
      <c r="M878" s="23"/>
      <c r="N878" s="23"/>
      <c r="O878" s="24"/>
      <c r="P878" s="33"/>
      <c r="Q878" s="25"/>
    </row>
    <row r="879" ht="25.5" customHeight="1">
      <c r="A879" s="26"/>
      <c r="B879" s="28"/>
      <c r="C879" s="17"/>
      <c r="D879" s="34" t="str">
        <f>vlookup($C879,CSDL!$A:$E,2,0)</f>
        <v>#N/A</v>
      </c>
      <c r="E879" s="19" t="str">
        <f>vlookup($C879,CSDL!$A:$E,3,0)</f>
        <v>#N/A</v>
      </c>
      <c r="F879" s="19" t="str">
        <f>vlookup($C879,CSDL!$A:$E,4,0)</f>
        <v>#N/A</v>
      </c>
      <c r="G879" s="27" t="str">
        <f>vlookup($C879,CSDL!$A:$E,5,0)</f>
        <v>#N/A</v>
      </c>
      <c r="H879" s="32"/>
      <c r="I879" s="29"/>
      <c r="J879" s="29"/>
      <c r="K879" s="29"/>
      <c r="L879" s="22">
        <f t="shared" si="9"/>
        <v>0</v>
      </c>
      <c r="M879" s="29"/>
      <c r="N879" s="29"/>
      <c r="O879" s="71"/>
      <c r="P879" s="26"/>
      <c r="Q879" s="32"/>
    </row>
    <row r="880" ht="25.5" customHeight="1">
      <c r="A880" s="33"/>
      <c r="B880" s="16"/>
      <c r="C880" s="17"/>
      <c r="D880" s="34" t="str">
        <f>vlookup($C880,CSDL!$A:$E,2,0)</f>
        <v>#N/A</v>
      </c>
      <c r="E880" s="19" t="str">
        <f>vlookup($C880,CSDL!$A:$E,3,0)</f>
        <v>#N/A</v>
      </c>
      <c r="F880" s="19" t="str">
        <f>vlookup($C880,CSDL!$A:$E,4,0)</f>
        <v>#N/A</v>
      </c>
      <c r="G880" s="20" t="str">
        <f>vlookup($C880,CSDL!$A:$E,5,0)</f>
        <v>#N/A</v>
      </c>
      <c r="H880" s="25"/>
      <c r="I880" s="23"/>
      <c r="J880" s="23"/>
      <c r="K880" s="23"/>
      <c r="L880" s="22">
        <f t="shared" si="9"/>
        <v>0</v>
      </c>
      <c r="M880" s="23"/>
      <c r="N880" s="23"/>
      <c r="O880" s="69"/>
      <c r="P880" s="33"/>
      <c r="Q880" s="25"/>
    </row>
    <row r="881" ht="25.5" customHeight="1">
      <c r="A881" s="26"/>
      <c r="B881" s="28"/>
      <c r="C881" s="17"/>
      <c r="D881" s="34" t="str">
        <f>vlookup($C881,CSDL!$A:$E,2,0)</f>
        <v>#N/A</v>
      </c>
      <c r="E881" s="19" t="str">
        <f>vlookup($C881,CSDL!$A:$E,3,0)</f>
        <v>#N/A</v>
      </c>
      <c r="F881" s="19" t="str">
        <f>vlookup($C881,CSDL!$A:$E,4,0)</f>
        <v>#N/A</v>
      </c>
      <c r="G881" s="27" t="str">
        <f>vlookup($C881,CSDL!$A:$E,5,0)</f>
        <v>#N/A</v>
      </c>
      <c r="H881" s="32"/>
      <c r="I881" s="29"/>
      <c r="J881" s="29"/>
      <c r="K881" s="29"/>
      <c r="L881" s="22">
        <f t="shared" si="9"/>
        <v>0</v>
      </c>
      <c r="M881" s="75"/>
      <c r="N881" s="75"/>
      <c r="O881" s="71"/>
      <c r="P881" s="26"/>
      <c r="Q881" s="32"/>
    </row>
    <row r="882" ht="25.5" customHeight="1">
      <c r="A882" s="33"/>
      <c r="B882" s="16"/>
      <c r="C882" s="17"/>
      <c r="D882" s="34" t="str">
        <f>vlookup($C882,CSDL!$A:$E,2,0)</f>
        <v>#N/A</v>
      </c>
      <c r="E882" s="19" t="str">
        <f>vlookup($C882,CSDL!$A:$E,3,0)</f>
        <v>#N/A</v>
      </c>
      <c r="F882" s="19" t="str">
        <f>vlookup($C882,CSDL!$A:$E,4,0)</f>
        <v>#N/A</v>
      </c>
      <c r="G882" s="20" t="str">
        <f>vlookup($C882,CSDL!$A:$E,5,0)</f>
        <v>#N/A</v>
      </c>
      <c r="H882" s="25"/>
      <c r="I882" s="23"/>
      <c r="J882" s="23"/>
      <c r="K882" s="23"/>
      <c r="L882" s="22">
        <f t="shared" si="9"/>
        <v>0</v>
      </c>
      <c r="M882" s="23"/>
      <c r="N882" s="23"/>
      <c r="O882" s="24"/>
      <c r="P882" s="33"/>
      <c r="Q882" s="25"/>
    </row>
    <row r="883" ht="25.5" customHeight="1">
      <c r="A883" s="26"/>
      <c r="B883" s="28"/>
      <c r="C883" s="17"/>
      <c r="D883" s="34" t="str">
        <f>vlookup($C883,CSDL!$A:$E,2,0)</f>
        <v>#N/A</v>
      </c>
      <c r="E883" s="19" t="str">
        <f>vlookup($C883,CSDL!$A:$E,3,0)</f>
        <v>#N/A</v>
      </c>
      <c r="F883" s="19" t="str">
        <f>vlookup($C883,CSDL!$A:$E,4,0)</f>
        <v>#N/A</v>
      </c>
      <c r="G883" s="27" t="str">
        <f>vlookup($C883,CSDL!$A:$E,5,0)</f>
        <v>#N/A</v>
      </c>
      <c r="H883" s="32"/>
      <c r="I883" s="29"/>
      <c r="J883" s="29"/>
      <c r="K883" s="29"/>
      <c r="L883" s="22">
        <f t="shared" si="9"/>
        <v>0</v>
      </c>
      <c r="M883" s="29"/>
      <c r="N883" s="29"/>
      <c r="O883" s="30"/>
      <c r="P883" s="26"/>
      <c r="Q883" s="32"/>
    </row>
    <row r="884" ht="25.5" customHeight="1">
      <c r="A884" s="33"/>
      <c r="B884" s="16"/>
      <c r="C884" s="17"/>
      <c r="D884" s="34" t="str">
        <f>vlookup($C884,CSDL!$A:$E,2,0)</f>
        <v>#N/A</v>
      </c>
      <c r="E884" s="19" t="str">
        <f>vlookup($C884,CSDL!$A:$E,3,0)</f>
        <v>#N/A</v>
      </c>
      <c r="F884" s="19" t="str">
        <f>vlookup($C884,CSDL!$A:$E,4,0)</f>
        <v>#N/A</v>
      </c>
      <c r="G884" s="20" t="str">
        <f>vlookup($C884,CSDL!$A:$E,5,0)</f>
        <v>#N/A</v>
      </c>
      <c r="H884" s="25"/>
      <c r="I884" s="23"/>
      <c r="J884" s="23"/>
      <c r="K884" s="23"/>
      <c r="L884" s="22">
        <f t="shared" si="9"/>
        <v>0</v>
      </c>
      <c r="M884" s="23"/>
      <c r="N884" s="23"/>
      <c r="O884" s="24"/>
      <c r="P884" s="33"/>
      <c r="Q884" s="25"/>
    </row>
    <row r="885" ht="25.5" customHeight="1">
      <c r="A885" s="26"/>
      <c r="B885" s="28"/>
      <c r="C885" s="17"/>
      <c r="D885" s="34" t="str">
        <f>vlookup($C885,CSDL!$A:$E,2,0)</f>
        <v>#N/A</v>
      </c>
      <c r="E885" s="19" t="str">
        <f>vlookup($C885,CSDL!$A:$E,3,0)</f>
        <v>#N/A</v>
      </c>
      <c r="F885" s="19" t="str">
        <f>vlookup($C885,CSDL!$A:$E,4,0)</f>
        <v>#N/A</v>
      </c>
      <c r="G885" s="27" t="str">
        <f>vlookup($C885,CSDL!$A:$E,5,0)</f>
        <v>#N/A</v>
      </c>
      <c r="H885" s="32"/>
      <c r="I885" s="29"/>
      <c r="J885" s="29"/>
      <c r="K885" s="29"/>
      <c r="L885" s="22">
        <f t="shared" si="9"/>
        <v>0</v>
      </c>
      <c r="M885" s="29"/>
      <c r="N885" s="29"/>
      <c r="O885" s="71"/>
      <c r="P885" s="26"/>
      <c r="Q885" s="32"/>
    </row>
    <row r="886" ht="25.5" customHeight="1">
      <c r="A886" s="33"/>
      <c r="B886" s="16"/>
      <c r="C886" s="17"/>
      <c r="D886" s="34" t="str">
        <f>vlookup($C886,CSDL!$A:$E,2,0)</f>
        <v>#N/A</v>
      </c>
      <c r="E886" s="19" t="str">
        <f>vlookup($C886,CSDL!$A:$E,3,0)</f>
        <v>#N/A</v>
      </c>
      <c r="F886" s="19" t="str">
        <f>vlookup($C886,CSDL!$A:$E,4,0)</f>
        <v>#N/A</v>
      </c>
      <c r="G886" s="20" t="str">
        <f>vlookup($C886,CSDL!$A:$E,5,0)</f>
        <v>#N/A</v>
      </c>
      <c r="H886" s="25"/>
      <c r="I886" s="23"/>
      <c r="J886" s="23"/>
      <c r="K886" s="23"/>
      <c r="L886" s="22">
        <f t="shared" si="9"/>
        <v>0</v>
      </c>
      <c r="M886" s="23"/>
      <c r="N886" s="23"/>
      <c r="O886" s="24"/>
      <c r="P886" s="33"/>
      <c r="Q886" s="25"/>
    </row>
    <row r="887" ht="25.5" customHeight="1">
      <c r="A887" s="26"/>
      <c r="B887" s="28"/>
      <c r="C887" s="17"/>
      <c r="D887" s="34" t="str">
        <f>vlookup($C887,CSDL!$A:$E,2,0)</f>
        <v>#N/A</v>
      </c>
      <c r="E887" s="19" t="str">
        <f>vlookup($C887,CSDL!$A:$E,3,0)</f>
        <v>#N/A</v>
      </c>
      <c r="F887" s="19" t="str">
        <f>vlookup($C887,CSDL!$A:$E,4,0)</f>
        <v>#N/A</v>
      </c>
      <c r="G887" s="27" t="str">
        <f>vlookup($C887,CSDL!$A:$E,5,0)</f>
        <v>#N/A</v>
      </c>
      <c r="H887" s="32"/>
      <c r="I887" s="29"/>
      <c r="J887" s="29"/>
      <c r="K887" s="29"/>
      <c r="L887" s="22">
        <f t="shared" si="9"/>
        <v>0</v>
      </c>
      <c r="M887" s="29"/>
      <c r="N887" s="29"/>
      <c r="O887" s="30"/>
      <c r="P887" s="26"/>
      <c r="Q887" s="32"/>
    </row>
    <row r="888" ht="25.5" customHeight="1">
      <c r="A888" s="33"/>
      <c r="B888" s="16"/>
      <c r="C888" s="17"/>
      <c r="D888" s="34" t="str">
        <f>vlookup($C888,CSDL!$A:$E,2,0)</f>
        <v>#N/A</v>
      </c>
      <c r="E888" s="19" t="str">
        <f>vlookup($C888,CSDL!$A:$E,3,0)</f>
        <v>#N/A</v>
      </c>
      <c r="F888" s="19" t="str">
        <f>vlookup($C888,CSDL!$A:$E,4,0)</f>
        <v>#N/A</v>
      </c>
      <c r="G888" s="20" t="str">
        <f>vlookup($C888,CSDL!$A:$E,5,0)</f>
        <v>#N/A</v>
      </c>
      <c r="H888" s="25"/>
      <c r="I888" s="23"/>
      <c r="J888" s="23"/>
      <c r="K888" s="23"/>
      <c r="L888" s="22">
        <f t="shared" si="9"/>
        <v>0</v>
      </c>
      <c r="M888" s="23"/>
      <c r="N888" s="23"/>
      <c r="O888" s="69"/>
      <c r="P888" s="33"/>
      <c r="Q888" s="25"/>
    </row>
    <row r="889" ht="25.5" customHeight="1">
      <c r="A889" s="26"/>
      <c r="B889" s="28"/>
      <c r="C889" s="17"/>
      <c r="D889" s="34" t="str">
        <f>vlookup($C889,CSDL!$A:$E,2,0)</f>
        <v>#N/A</v>
      </c>
      <c r="E889" s="19" t="str">
        <f>vlookup($C889,CSDL!$A:$E,3,0)</f>
        <v>#N/A</v>
      </c>
      <c r="F889" s="19" t="str">
        <f>vlookup($C889,CSDL!$A:$E,4,0)</f>
        <v>#N/A</v>
      </c>
      <c r="G889" s="27" t="str">
        <f>vlookup($C889,CSDL!$A:$E,5,0)</f>
        <v>#N/A</v>
      </c>
      <c r="H889" s="32"/>
      <c r="I889" s="84"/>
      <c r="J889" s="29"/>
      <c r="K889" s="29"/>
      <c r="L889" s="22">
        <f t="shared" si="9"/>
        <v>0</v>
      </c>
      <c r="M889" s="29"/>
      <c r="N889" s="29"/>
      <c r="O889" s="30"/>
      <c r="P889" s="26"/>
      <c r="Q889" s="32"/>
    </row>
    <row r="890" ht="25.5" customHeight="1">
      <c r="A890" s="33"/>
      <c r="B890" s="85"/>
      <c r="C890" s="17"/>
      <c r="D890" s="34" t="str">
        <f>vlookup($C890,CSDL!$A:$E,2,0)</f>
        <v>#N/A</v>
      </c>
      <c r="E890" s="19" t="str">
        <f>vlookup($C890,CSDL!$A:$E,3,0)</f>
        <v>#N/A</v>
      </c>
      <c r="F890" s="19" t="str">
        <f>vlookup($C890,CSDL!$A:$E,4,0)</f>
        <v>#N/A</v>
      </c>
      <c r="G890" s="20" t="str">
        <f>vlookup($C890,CSDL!$A:$E,5,0)</f>
        <v>#N/A</v>
      </c>
      <c r="H890" s="25"/>
      <c r="I890" s="86"/>
      <c r="J890" s="86"/>
      <c r="K890" s="86"/>
      <c r="L890" s="22">
        <f t="shared" si="9"/>
        <v>0</v>
      </c>
      <c r="M890" s="86"/>
      <c r="N890" s="86"/>
      <c r="O890" s="87"/>
      <c r="P890" s="88"/>
      <c r="Q890" s="87"/>
    </row>
    <row r="891" ht="25.5" customHeight="1">
      <c r="A891" s="26"/>
      <c r="B891" s="89"/>
      <c r="C891" s="17"/>
      <c r="D891" s="34" t="str">
        <f>vlookup($C891,CSDL!$A:$E,2,0)</f>
        <v>#N/A</v>
      </c>
      <c r="E891" s="19" t="str">
        <f>vlookup($C891,CSDL!$A:$E,3,0)</f>
        <v>#N/A</v>
      </c>
      <c r="F891" s="19" t="str">
        <f>vlookup($C891,CSDL!$A:$E,4,0)</f>
        <v>#N/A</v>
      </c>
      <c r="G891" s="27" t="str">
        <f>vlookup($C891,CSDL!$A:$E,5,0)</f>
        <v>#N/A</v>
      </c>
      <c r="H891" s="32"/>
      <c r="I891" s="84"/>
      <c r="J891" s="84"/>
      <c r="K891" s="84"/>
      <c r="L891" s="22">
        <f t="shared" si="9"/>
        <v>0</v>
      </c>
      <c r="M891" s="90"/>
      <c r="N891" s="90"/>
      <c r="O891" s="91"/>
      <c r="P891" s="92"/>
      <c r="Q891" s="91"/>
    </row>
    <row r="892" ht="25.5" customHeight="1">
      <c r="A892" s="33"/>
      <c r="B892" s="85"/>
      <c r="C892" s="17"/>
      <c r="D892" s="34" t="str">
        <f>vlookup($C892,CSDL!$A:$E,2,0)</f>
        <v>#N/A</v>
      </c>
      <c r="E892" s="19" t="str">
        <f>vlookup($C892,CSDL!$A:$E,3,0)</f>
        <v>#N/A</v>
      </c>
      <c r="F892" s="19" t="str">
        <f>vlookup($C892,CSDL!$A:$E,4,0)</f>
        <v>#N/A</v>
      </c>
      <c r="G892" s="20" t="str">
        <f>vlookup($C892,CSDL!$A:$E,5,0)</f>
        <v>#N/A</v>
      </c>
      <c r="H892" s="25"/>
      <c r="I892" s="86"/>
      <c r="J892" s="86"/>
      <c r="K892" s="86"/>
      <c r="L892" s="22">
        <f t="shared" si="9"/>
        <v>0</v>
      </c>
      <c r="M892" s="86"/>
      <c r="N892" s="86"/>
      <c r="O892" s="85"/>
      <c r="P892" s="88"/>
      <c r="Q892" s="87"/>
    </row>
    <row r="893" ht="25.5" customHeight="1">
      <c r="A893" s="26"/>
      <c r="B893" s="89"/>
      <c r="C893" s="17"/>
      <c r="D893" s="34" t="str">
        <f>vlookup($C893,CSDL!$A:$E,2,0)</f>
        <v>#N/A</v>
      </c>
      <c r="E893" s="19" t="str">
        <f>vlookup($C893,CSDL!$A:$E,3,0)</f>
        <v>#N/A</v>
      </c>
      <c r="F893" s="19" t="str">
        <f>vlookup($C893,CSDL!$A:$E,4,0)</f>
        <v>#N/A</v>
      </c>
      <c r="G893" s="27" t="str">
        <f>vlookup($C893,CSDL!$A:$E,5,0)</f>
        <v>#N/A</v>
      </c>
      <c r="H893" s="32"/>
      <c r="I893" s="84"/>
      <c r="J893" s="84"/>
      <c r="K893" s="84"/>
      <c r="L893" s="22">
        <f t="shared" si="9"/>
        <v>0</v>
      </c>
      <c r="M893" s="84"/>
      <c r="N893" s="84"/>
      <c r="O893" s="89"/>
      <c r="P893" s="92"/>
      <c r="Q893" s="91"/>
    </row>
    <row r="894" ht="25.5" customHeight="1">
      <c r="A894" s="33"/>
      <c r="B894" s="85"/>
      <c r="C894" s="17"/>
      <c r="D894" s="34" t="str">
        <f>vlookup($C894,CSDL!$A:$E,2,0)</f>
        <v>#N/A</v>
      </c>
      <c r="E894" s="19" t="str">
        <f>vlookup($C894,CSDL!$A:$E,3,0)</f>
        <v>#N/A</v>
      </c>
      <c r="F894" s="19" t="str">
        <f>vlookup($C894,CSDL!$A:$E,4,0)</f>
        <v>#N/A</v>
      </c>
      <c r="G894" s="20" t="str">
        <f>vlookup($C894,CSDL!$A:$E,5,0)</f>
        <v>#N/A</v>
      </c>
      <c r="H894" s="25"/>
      <c r="I894" s="82"/>
      <c r="J894" s="86"/>
      <c r="K894" s="86"/>
      <c r="L894" s="22">
        <f t="shared" si="9"/>
        <v>0</v>
      </c>
      <c r="M894" s="86"/>
      <c r="N894" s="86"/>
      <c r="O894" s="87"/>
      <c r="P894" s="88"/>
      <c r="Q894" s="87"/>
    </row>
    <row r="895" ht="25.5" customHeight="1">
      <c r="A895" s="26"/>
      <c r="B895" s="41"/>
      <c r="C895" s="17"/>
      <c r="D895" s="34" t="str">
        <f>vlookup($C895,CSDL!$A:$E,2,0)</f>
        <v>#N/A</v>
      </c>
      <c r="E895" s="19" t="str">
        <f>vlookup($C895,CSDL!$A:$E,3,0)</f>
        <v>#N/A</v>
      </c>
      <c r="F895" s="19" t="str">
        <f>vlookup($C895,CSDL!$A:$E,4,0)</f>
        <v>#N/A</v>
      </c>
      <c r="G895" s="27" t="str">
        <f>vlookup($C895,CSDL!$A:$E,5,0)</f>
        <v>#N/A</v>
      </c>
      <c r="H895" s="32"/>
      <c r="I895" s="29"/>
      <c r="J895" s="83"/>
      <c r="K895" s="83"/>
      <c r="L895" s="22">
        <f t="shared" si="9"/>
        <v>0</v>
      </c>
      <c r="M895" s="93"/>
      <c r="N895" s="93"/>
      <c r="O895" s="45"/>
      <c r="P895" s="66"/>
      <c r="Q895" s="45"/>
    </row>
    <row r="896" ht="25.5" customHeight="1">
      <c r="A896" s="33"/>
      <c r="B896" s="16"/>
      <c r="C896" s="17"/>
      <c r="D896" s="34" t="str">
        <f>vlookup($C896,CSDL!$A:$E,2,0)</f>
        <v>#N/A</v>
      </c>
      <c r="E896" s="19" t="str">
        <f>vlookup($C896,CSDL!$A:$E,3,0)</f>
        <v>#N/A</v>
      </c>
      <c r="F896" s="19" t="str">
        <f>vlookup($C896,CSDL!$A:$E,4,0)</f>
        <v>#N/A</v>
      </c>
      <c r="G896" s="20" t="str">
        <f>vlookup($C896,CSDL!$A:$E,5,0)</f>
        <v>#N/A</v>
      </c>
      <c r="H896" s="25"/>
      <c r="I896" s="23"/>
      <c r="J896" s="23"/>
      <c r="K896" s="23"/>
      <c r="L896" s="22">
        <f t="shared" si="9"/>
        <v>0</v>
      </c>
      <c r="M896" s="78"/>
      <c r="N896" s="78"/>
      <c r="O896" s="69"/>
      <c r="P896" s="33"/>
      <c r="Q896" s="25"/>
    </row>
    <row r="897" ht="25.5" customHeight="1">
      <c r="A897" s="26"/>
      <c r="B897" s="28"/>
      <c r="C897" s="17"/>
      <c r="D897" s="34" t="str">
        <f>vlookup($C897,CSDL!$A:$E,2,0)</f>
        <v>#N/A</v>
      </c>
      <c r="E897" s="19" t="str">
        <f>vlookup($C897,CSDL!$A:$E,3,0)</f>
        <v>#N/A</v>
      </c>
      <c r="F897" s="19" t="str">
        <f>vlookup($C897,CSDL!$A:$E,4,0)</f>
        <v>#N/A</v>
      </c>
      <c r="G897" s="27" t="str">
        <f>vlookup($C897,CSDL!$A:$E,5,0)</f>
        <v>#N/A</v>
      </c>
      <c r="H897" s="32"/>
      <c r="I897" s="29"/>
      <c r="J897" s="29"/>
      <c r="K897" s="29"/>
      <c r="L897" s="22">
        <f t="shared" si="9"/>
        <v>0</v>
      </c>
      <c r="M897" s="75"/>
      <c r="N897" s="75"/>
      <c r="O897" s="71"/>
      <c r="P897" s="26"/>
      <c r="Q897" s="32"/>
    </row>
    <row r="898" ht="25.5" customHeight="1">
      <c r="A898" s="33"/>
      <c r="B898" s="16"/>
      <c r="C898" s="17"/>
      <c r="D898" s="34" t="str">
        <f>vlookup($C898,CSDL!$A:$E,2,0)</f>
        <v>#N/A</v>
      </c>
      <c r="E898" s="19" t="str">
        <f>vlookup($C898,CSDL!$A:$E,3,0)</f>
        <v>#N/A</v>
      </c>
      <c r="F898" s="19" t="str">
        <f>vlookup($C898,CSDL!$A:$E,4,0)</f>
        <v>#N/A</v>
      </c>
      <c r="G898" s="20" t="str">
        <f>vlookup($C898,CSDL!$A:$E,5,0)</f>
        <v>#N/A</v>
      </c>
      <c r="H898" s="25"/>
      <c r="I898" s="23"/>
      <c r="J898" s="23"/>
      <c r="K898" s="23"/>
      <c r="L898" s="22">
        <f t="shared" si="9"/>
        <v>0</v>
      </c>
      <c r="M898" s="23"/>
      <c r="N898" s="23"/>
      <c r="O898" s="69"/>
      <c r="P898" s="33"/>
      <c r="Q898" s="25"/>
    </row>
    <row r="899" ht="25.5" customHeight="1">
      <c r="A899" s="26"/>
      <c r="B899" s="28"/>
      <c r="C899" s="17"/>
      <c r="D899" s="34" t="str">
        <f>vlookup($C899,CSDL!$A:$E,2,0)</f>
        <v>#N/A</v>
      </c>
      <c r="E899" s="19" t="str">
        <f>vlookup($C899,CSDL!$A:$E,3,0)</f>
        <v>#N/A</v>
      </c>
      <c r="F899" s="19" t="str">
        <f>vlookup($C899,CSDL!$A:$E,4,0)</f>
        <v>#N/A</v>
      </c>
      <c r="G899" s="27" t="str">
        <f>vlookup($C899,CSDL!$A:$E,5,0)</f>
        <v>#N/A</v>
      </c>
      <c r="H899" s="32"/>
      <c r="I899" s="29"/>
      <c r="J899" s="29"/>
      <c r="K899" s="29"/>
      <c r="L899" s="22">
        <f t="shared" si="9"/>
        <v>0</v>
      </c>
      <c r="M899" s="29"/>
      <c r="N899" s="29"/>
      <c r="O899" s="30"/>
      <c r="P899" s="26"/>
      <c r="Q899" s="32"/>
    </row>
    <row r="900" ht="25.5" customHeight="1">
      <c r="A900" s="33"/>
      <c r="B900" s="16"/>
      <c r="C900" s="17"/>
      <c r="D900" s="34" t="str">
        <f>vlookup($C900,CSDL!$A:$E,2,0)</f>
        <v>#N/A</v>
      </c>
      <c r="E900" s="19" t="str">
        <f>vlookup($C900,CSDL!$A:$E,3,0)</f>
        <v>#N/A</v>
      </c>
      <c r="F900" s="19" t="str">
        <f>vlookup($C900,CSDL!$A:$E,4,0)</f>
        <v>#N/A</v>
      </c>
      <c r="G900" s="20" t="str">
        <f>vlookup($C900,CSDL!$A:$E,5,0)</f>
        <v>#N/A</v>
      </c>
      <c r="H900" s="25"/>
      <c r="I900" s="23"/>
      <c r="J900" s="23"/>
      <c r="K900" s="23"/>
      <c r="L900" s="22">
        <f t="shared" si="9"/>
        <v>0</v>
      </c>
      <c r="M900" s="23"/>
      <c r="N900" s="23"/>
      <c r="O900" s="24"/>
      <c r="P900" s="33"/>
      <c r="Q900" s="25"/>
    </row>
    <row r="901" ht="25.5" customHeight="1">
      <c r="A901" s="26"/>
      <c r="B901" s="28"/>
      <c r="C901" s="17"/>
      <c r="D901" s="34" t="str">
        <f>vlookup($C901,CSDL!$A:$E,2,0)</f>
        <v>#N/A</v>
      </c>
      <c r="E901" s="19" t="str">
        <f>vlookup($C901,CSDL!$A:$E,3,0)</f>
        <v>#N/A</v>
      </c>
      <c r="F901" s="19" t="str">
        <f>vlookup($C901,CSDL!$A:$E,4,0)</f>
        <v>#N/A</v>
      </c>
      <c r="G901" s="27" t="str">
        <f>vlookup($C901,CSDL!$A:$E,5,0)</f>
        <v>#N/A</v>
      </c>
      <c r="H901" s="32"/>
      <c r="I901" s="29"/>
      <c r="J901" s="29"/>
      <c r="K901" s="29"/>
      <c r="L901" s="22">
        <f t="shared" si="9"/>
        <v>0</v>
      </c>
      <c r="M901" s="29"/>
      <c r="N901" s="29"/>
      <c r="O901" s="71"/>
      <c r="P901" s="26"/>
      <c r="Q901" s="32"/>
    </row>
    <row r="902" ht="25.5" customHeight="1">
      <c r="A902" s="33"/>
      <c r="B902" s="25"/>
      <c r="C902" s="17"/>
      <c r="D902" s="34" t="str">
        <f>vlookup($C902,CSDL!$A:$E,2,0)</f>
        <v>#N/A</v>
      </c>
      <c r="E902" s="19" t="str">
        <f>vlookup($C902,CSDL!$A:$E,3,0)</f>
        <v>#N/A</v>
      </c>
      <c r="F902" s="19" t="str">
        <f>vlookup($C902,CSDL!$A:$E,4,0)</f>
        <v>#N/A</v>
      </c>
      <c r="G902" s="20" t="str">
        <f>vlookup($C902,CSDL!$A:$E,5,0)</f>
        <v>#N/A</v>
      </c>
      <c r="H902" s="25"/>
      <c r="I902" s="23"/>
      <c r="J902" s="23"/>
      <c r="K902" s="23"/>
      <c r="L902" s="22">
        <f t="shared" si="9"/>
        <v>0</v>
      </c>
      <c r="M902" s="23"/>
      <c r="N902" s="23"/>
      <c r="O902" s="69"/>
      <c r="P902" s="33"/>
      <c r="Q902" s="25"/>
    </row>
    <row r="903" ht="25.5" customHeight="1">
      <c r="A903" s="26"/>
      <c r="B903" s="32"/>
      <c r="C903" s="17"/>
      <c r="D903" s="34" t="str">
        <f>vlookup($C903,CSDL!$A:$E,2,0)</f>
        <v>#N/A</v>
      </c>
      <c r="E903" s="19" t="str">
        <f>vlookup($C903,CSDL!$A:$E,3,0)</f>
        <v>#N/A</v>
      </c>
      <c r="F903" s="19" t="str">
        <f>vlookup($C903,CSDL!$A:$E,4,0)</f>
        <v>#N/A</v>
      </c>
      <c r="G903" s="27" t="str">
        <f>vlookup($C903,CSDL!$A:$E,5,0)</f>
        <v>#N/A</v>
      </c>
      <c r="H903" s="32"/>
      <c r="I903" s="29"/>
      <c r="J903" s="29"/>
      <c r="K903" s="29"/>
      <c r="L903" s="22">
        <f t="shared" si="9"/>
        <v>0</v>
      </c>
      <c r="M903" s="75"/>
      <c r="N903" s="75"/>
      <c r="O903" s="71"/>
      <c r="P903" s="26"/>
      <c r="Q903" s="32"/>
    </row>
    <row r="904" ht="25.5" customHeight="1">
      <c r="A904" s="33"/>
      <c r="B904" s="25"/>
      <c r="C904" s="17"/>
      <c r="D904" s="34" t="str">
        <f>vlookup($C904,CSDL!$A:$E,2,0)</f>
        <v>#N/A</v>
      </c>
      <c r="E904" s="19" t="str">
        <f>vlookup($C904,CSDL!$A:$E,3,0)</f>
        <v>#N/A</v>
      </c>
      <c r="F904" s="19" t="str">
        <f>vlookup($C904,CSDL!$A:$E,4,0)</f>
        <v>#N/A</v>
      </c>
      <c r="G904" s="20" t="str">
        <f>vlookup($C904,CSDL!$A:$E,5,0)</f>
        <v>#N/A</v>
      </c>
      <c r="H904" s="25"/>
      <c r="I904" s="23"/>
      <c r="J904" s="23"/>
      <c r="K904" s="23"/>
      <c r="L904" s="22">
        <f t="shared" si="9"/>
        <v>0</v>
      </c>
      <c r="M904" s="78"/>
      <c r="N904" s="78"/>
      <c r="O904" s="69"/>
      <c r="P904" s="33"/>
      <c r="Q904" s="25"/>
    </row>
    <row r="905" ht="25.5" customHeight="1">
      <c r="A905" s="26"/>
      <c r="B905" s="28"/>
      <c r="C905" s="17"/>
      <c r="D905" s="34" t="str">
        <f>vlookup($C905,CSDL!$A:$E,2,0)</f>
        <v>#N/A</v>
      </c>
      <c r="E905" s="19" t="str">
        <f>vlookup($C905,CSDL!$A:$E,3,0)</f>
        <v>#N/A</v>
      </c>
      <c r="F905" s="19" t="str">
        <f>vlookup($C905,CSDL!$A:$E,4,0)</f>
        <v>#N/A</v>
      </c>
      <c r="G905" s="27" t="str">
        <f>vlookup($C905,CSDL!$A:$E,5,0)</f>
        <v>#N/A</v>
      </c>
      <c r="H905" s="32"/>
      <c r="I905" s="29"/>
      <c r="J905" s="29"/>
      <c r="K905" s="29"/>
      <c r="L905" s="22">
        <f t="shared" si="9"/>
        <v>0</v>
      </c>
      <c r="M905" s="29"/>
      <c r="N905" s="29"/>
      <c r="O905" s="71"/>
      <c r="P905" s="26"/>
      <c r="Q905" s="32"/>
    </row>
    <row r="906" ht="25.5" customHeight="1">
      <c r="A906" s="33"/>
      <c r="B906" s="16"/>
      <c r="C906" s="17"/>
      <c r="D906" s="34" t="str">
        <f>vlookup($C906,CSDL!$A:$E,2,0)</f>
        <v>#N/A</v>
      </c>
      <c r="E906" s="19" t="str">
        <f>vlookup($C906,CSDL!$A:$E,3,0)</f>
        <v>#N/A</v>
      </c>
      <c r="F906" s="19" t="str">
        <f>vlookup($C906,CSDL!$A:$E,4,0)</f>
        <v>#N/A</v>
      </c>
      <c r="G906" s="20" t="str">
        <f>vlookup($C906,CSDL!$A:$E,5,0)</f>
        <v>#N/A</v>
      </c>
      <c r="H906" s="25"/>
      <c r="I906" s="23"/>
      <c r="J906" s="23"/>
      <c r="K906" s="23"/>
      <c r="L906" s="22">
        <f t="shared" si="9"/>
        <v>0</v>
      </c>
      <c r="M906" s="78"/>
      <c r="N906" s="78"/>
      <c r="O906" s="69"/>
      <c r="P906" s="33"/>
      <c r="Q906" s="25"/>
    </row>
    <row r="907" ht="25.5" customHeight="1">
      <c r="A907" s="26"/>
      <c r="B907" s="28"/>
      <c r="C907" s="17"/>
      <c r="D907" s="34" t="str">
        <f>vlookup($C907,CSDL!$A:$E,2,0)</f>
        <v>#N/A</v>
      </c>
      <c r="E907" s="19" t="str">
        <f>vlookup($C907,CSDL!$A:$E,3,0)</f>
        <v>#N/A</v>
      </c>
      <c r="F907" s="19" t="str">
        <f>vlookup($C907,CSDL!$A:$E,4,0)</f>
        <v>#N/A</v>
      </c>
      <c r="G907" s="27" t="str">
        <f>vlookup($C907,CSDL!$A:$E,5,0)</f>
        <v>#N/A</v>
      </c>
      <c r="H907" s="32"/>
      <c r="I907" s="29"/>
      <c r="J907" s="29"/>
      <c r="K907" s="29"/>
      <c r="L907" s="22">
        <f t="shared" si="9"/>
        <v>0</v>
      </c>
      <c r="M907" s="75"/>
      <c r="N907" s="75"/>
      <c r="O907" s="71"/>
      <c r="P907" s="26"/>
      <c r="Q907" s="32"/>
    </row>
    <row r="908" ht="25.5" customHeight="1">
      <c r="A908" s="33"/>
      <c r="B908" s="16"/>
      <c r="C908" s="17"/>
      <c r="D908" s="34" t="str">
        <f>vlookup($C908,CSDL!$A:$E,2,0)</f>
        <v>#N/A</v>
      </c>
      <c r="E908" s="19" t="str">
        <f>vlookup($C908,CSDL!$A:$E,3,0)</f>
        <v>#N/A</v>
      </c>
      <c r="F908" s="19" t="str">
        <f>vlookup($C908,CSDL!$A:$E,4,0)</f>
        <v>#N/A</v>
      </c>
      <c r="G908" s="20" t="str">
        <f>vlookup($C908,CSDL!$A:$E,5,0)</f>
        <v>#N/A</v>
      </c>
      <c r="H908" s="25"/>
      <c r="I908" s="23"/>
      <c r="J908" s="23"/>
      <c r="K908" s="23"/>
      <c r="L908" s="22">
        <f t="shared" si="9"/>
        <v>0</v>
      </c>
      <c r="M908" s="23"/>
      <c r="N908" s="78"/>
      <c r="O908" s="24"/>
      <c r="P908" s="33"/>
      <c r="Q908" s="25"/>
    </row>
    <row r="909" ht="25.5" customHeight="1">
      <c r="A909" s="26"/>
      <c r="B909" s="28"/>
      <c r="C909" s="17"/>
      <c r="D909" s="34" t="str">
        <f>vlookup($C909,CSDL!$A:$E,2,0)</f>
        <v>#N/A</v>
      </c>
      <c r="E909" s="19" t="str">
        <f>vlookup($C909,CSDL!$A:$E,3,0)</f>
        <v>#N/A</v>
      </c>
      <c r="F909" s="19" t="str">
        <f>vlookup($C909,CSDL!$A:$E,4,0)</f>
        <v>#N/A</v>
      </c>
      <c r="G909" s="27" t="str">
        <f>vlookup($C909,CSDL!$A:$E,5,0)</f>
        <v>#N/A</v>
      </c>
      <c r="H909" s="32"/>
      <c r="I909" s="29"/>
      <c r="J909" s="29"/>
      <c r="K909" s="29"/>
      <c r="L909" s="22">
        <f t="shared" si="9"/>
        <v>0</v>
      </c>
      <c r="M909" s="29"/>
      <c r="N909" s="29"/>
      <c r="O909" s="30"/>
      <c r="P909" s="26"/>
      <c r="Q909" s="32"/>
    </row>
    <row r="910" ht="25.5" customHeight="1">
      <c r="A910" s="33"/>
      <c r="B910" s="16"/>
      <c r="C910" s="17"/>
      <c r="D910" s="34" t="str">
        <f>vlookup($C910,CSDL!$A:$E,2,0)</f>
        <v>#N/A</v>
      </c>
      <c r="E910" s="19" t="str">
        <f>vlookup($C910,CSDL!$A:$E,3,0)</f>
        <v>#N/A</v>
      </c>
      <c r="F910" s="19" t="str">
        <f>vlookup($C910,CSDL!$A:$E,4,0)</f>
        <v>#N/A</v>
      </c>
      <c r="G910" s="20" t="str">
        <f>vlookup($C910,CSDL!$A:$E,5,0)</f>
        <v>#N/A</v>
      </c>
      <c r="H910" s="25"/>
      <c r="I910" s="23"/>
      <c r="J910" s="23"/>
      <c r="K910" s="23"/>
      <c r="L910" s="22">
        <f t="shared" si="9"/>
        <v>0</v>
      </c>
      <c r="M910" s="23"/>
      <c r="N910" s="23"/>
      <c r="O910" s="69"/>
      <c r="P910" s="33"/>
      <c r="Q910" s="25"/>
    </row>
    <row r="911" ht="25.5" customHeight="1">
      <c r="A911" s="26"/>
      <c r="B911" s="28"/>
      <c r="C911" s="17"/>
      <c r="D911" s="34" t="str">
        <f>vlookup($C911,CSDL!$A:$E,2,0)</f>
        <v>#N/A</v>
      </c>
      <c r="E911" s="19" t="str">
        <f>vlookup($C911,CSDL!$A:$E,3,0)</f>
        <v>#N/A</v>
      </c>
      <c r="F911" s="19" t="str">
        <f>vlookup($C911,CSDL!$A:$E,4,0)</f>
        <v>#N/A</v>
      </c>
      <c r="G911" s="27" t="str">
        <f>vlookup($C911,CSDL!$A:$E,5,0)</f>
        <v>#N/A</v>
      </c>
      <c r="H911" s="32"/>
      <c r="I911" s="29"/>
      <c r="J911" s="29"/>
      <c r="K911" s="29"/>
      <c r="L911" s="22">
        <f t="shared" si="9"/>
        <v>0</v>
      </c>
      <c r="M911" s="29"/>
      <c r="N911" s="29"/>
      <c r="O911" s="71"/>
      <c r="P911" s="26"/>
      <c r="Q911" s="32"/>
    </row>
    <row r="912" ht="25.5" customHeight="1">
      <c r="A912" s="33"/>
      <c r="B912" s="16"/>
      <c r="C912" s="17"/>
      <c r="D912" s="34" t="str">
        <f>vlookup($C912,CSDL!$A:$E,2,0)</f>
        <v>#N/A</v>
      </c>
      <c r="E912" s="19" t="str">
        <f>vlookup($C912,CSDL!$A:$E,3,0)</f>
        <v>#N/A</v>
      </c>
      <c r="F912" s="19" t="str">
        <f>vlookup($C912,CSDL!$A:$E,4,0)</f>
        <v>#N/A</v>
      </c>
      <c r="G912" s="20" t="str">
        <f>vlookup($C912,CSDL!$A:$E,5,0)</f>
        <v>#N/A</v>
      </c>
      <c r="H912" s="25"/>
      <c r="I912" s="23"/>
      <c r="J912" s="23"/>
      <c r="K912" s="23"/>
      <c r="L912" s="22">
        <f t="shared" si="9"/>
        <v>0</v>
      </c>
      <c r="M912" s="78"/>
      <c r="N912" s="78"/>
      <c r="O912" s="69"/>
      <c r="P912" s="33"/>
      <c r="Q912" s="25"/>
    </row>
    <row r="913" ht="25.5" customHeight="1">
      <c r="A913" s="26"/>
      <c r="B913" s="28"/>
      <c r="C913" s="17"/>
      <c r="D913" s="34" t="str">
        <f>vlookup($C913,CSDL!$A:$E,2,0)</f>
        <v>#N/A</v>
      </c>
      <c r="E913" s="19" t="str">
        <f>vlookup($C913,CSDL!$A:$E,3,0)</f>
        <v>#N/A</v>
      </c>
      <c r="F913" s="19" t="str">
        <f>vlookup($C913,CSDL!$A:$E,4,0)</f>
        <v>#N/A</v>
      </c>
      <c r="G913" s="27" t="str">
        <f>vlookup($C913,CSDL!$A:$E,5,0)</f>
        <v>#N/A</v>
      </c>
      <c r="H913" s="32"/>
      <c r="I913" s="29"/>
      <c r="J913" s="29"/>
      <c r="K913" s="75"/>
      <c r="L913" s="22">
        <f t="shared" si="9"/>
        <v>0</v>
      </c>
      <c r="M913" s="75"/>
      <c r="N913" s="75"/>
      <c r="O913" s="71"/>
      <c r="P913" s="26"/>
      <c r="Q913" s="32"/>
    </row>
    <row r="914" ht="25.5" customHeight="1">
      <c r="A914" s="33"/>
      <c r="B914" s="16"/>
      <c r="C914" s="17"/>
      <c r="D914" s="34" t="str">
        <f>vlookup($C914,CSDL!$A:$E,2,0)</f>
        <v>#N/A</v>
      </c>
      <c r="E914" s="19" t="str">
        <f>vlookup($C914,CSDL!$A:$E,3,0)</f>
        <v>#N/A</v>
      </c>
      <c r="F914" s="19" t="str">
        <f>vlookup($C914,CSDL!$A:$E,4,0)</f>
        <v>#N/A</v>
      </c>
      <c r="G914" s="20" t="str">
        <f>vlookup($C914,CSDL!$A:$E,5,0)</f>
        <v>#N/A</v>
      </c>
      <c r="H914" s="25"/>
      <c r="I914" s="23"/>
      <c r="J914" s="23"/>
      <c r="K914" s="23"/>
      <c r="L914" s="94"/>
      <c r="M914" s="23"/>
      <c r="N914" s="23"/>
      <c r="O914" s="69"/>
      <c r="P914" s="33"/>
      <c r="Q914" s="25"/>
    </row>
    <row r="915" ht="25.5" customHeight="1">
      <c r="A915" s="26"/>
      <c r="B915" s="28"/>
      <c r="C915" s="17"/>
      <c r="D915" s="34" t="str">
        <f>vlookup($C915,CSDL!$A:$E,2,0)</f>
        <v>#N/A</v>
      </c>
      <c r="E915" s="19" t="str">
        <f>vlookup($C915,CSDL!$A:$E,3,0)</f>
        <v>#N/A</v>
      </c>
      <c r="F915" s="19" t="str">
        <f>vlookup($C915,CSDL!$A:$E,4,0)</f>
        <v>#N/A</v>
      </c>
      <c r="G915" s="27" t="str">
        <f>vlookup($C915,CSDL!$A:$E,5,0)</f>
        <v>#N/A</v>
      </c>
      <c r="H915" s="32"/>
      <c r="I915" s="29"/>
      <c r="J915" s="29"/>
      <c r="K915" s="29"/>
      <c r="L915" s="94"/>
      <c r="M915" s="29"/>
      <c r="N915" s="29"/>
      <c r="O915" s="71"/>
      <c r="P915" s="26"/>
      <c r="Q915" s="32"/>
    </row>
    <row r="916" ht="25.5" customHeight="1">
      <c r="A916" s="33"/>
      <c r="B916" s="16"/>
      <c r="C916" s="17"/>
      <c r="D916" s="34" t="str">
        <f>vlookup($C916,CSDL!$A:$E,2,0)</f>
        <v>#N/A</v>
      </c>
      <c r="E916" s="19" t="str">
        <f>vlookup($C916,CSDL!$A:$E,3,0)</f>
        <v>#N/A</v>
      </c>
      <c r="F916" s="19" t="str">
        <f>vlookup($C916,CSDL!$A:$E,4,0)</f>
        <v>#N/A</v>
      </c>
      <c r="G916" s="20" t="str">
        <f>vlookup($C916,CSDL!$A:$E,5,0)</f>
        <v>#N/A</v>
      </c>
      <c r="H916" s="25"/>
      <c r="I916" s="23"/>
      <c r="J916" s="23"/>
      <c r="K916" s="23"/>
      <c r="L916" s="94"/>
      <c r="M916" s="23"/>
      <c r="N916" s="23"/>
      <c r="O916" s="24"/>
      <c r="P916" s="33"/>
      <c r="Q916" s="25"/>
    </row>
    <row r="917" ht="25.5" customHeight="1">
      <c r="A917" s="26"/>
      <c r="B917" s="28"/>
      <c r="C917" s="17"/>
      <c r="D917" s="34" t="str">
        <f>vlookup($C917,CSDL!$A:$E,2,0)</f>
        <v>#N/A</v>
      </c>
      <c r="E917" s="19" t="str">
        <f>vlookup($C917,CSDL!$A:$E,3,0)</f>
        <v>#N/A</v>
      </c>
      <c r="F917" s="19" t="str">
        <f>vlookup($C917,CSDL!$A:$E,4,0)</f>
        <v>#N/A</v>
      </c>
      <c r="G917" s="27" t="str">
        <f>vlookup($C917,CSDL!$A:$E,5,0)</f>
        <v>#N/A</v>
      </c>
      <c r="H917" s="32"/>
      <c r="I917" s="29"/>
      <c r="J917" s="29"/>
      <c r="K917" s="29"/>
      <c r="L917" s="94"/>
      <c r="M917" s="75"/>
      <c r="N917" s="75"/>
      <c r="O917" s="71"/>
      <c r="P917" s="26"/>
      <c r="Q917" s="32"/>
    </row>
    <row r="918" ht="25.5" customHeight="1">
      <c r="A918" s="33"/>
      <c r="B918" s="16"/>
      <c r="C918" s="17"/>
      <c r="D918" s="34" t="str">
        <f>vlookup($C918,CSDL!$A:$E,2,0)</f>
        <v>#N/A</v>
      </c>
      <c r="E918" s="19" t="str">
        <f>vlookup($C918,CSDL!$A:$E,3,0)</f>
        <v>#N/A</v>
      </c>
      <c r="F918" s="19" t="str">
        <f>vlookup($C918,CSDL!$A:$E,4,0)</f>
        <v>#N/A</v>
      </c>
      <c r="G918" s="20" t="str">
        <f>vlookup($C918,CSDL!$A:$E,5,0)</f>
        <v>#N/A</v>
      </c>
      <c r="H918" s="25"/>
      <c r="I918" s="23"/>
      <c r="J918" s="23"/>
      <c r="K918" s="23"/>
      <c r="L918" s="94"/>
      <c r="M918" s="78"/>
      <c r="N918" s="78"/>
      <c r="O918" s="69"/>
      <c r="P918" s="33"/>
      <c r="Q918" s="25"/>
    </row>
    <row r="919" ht="25.5" customHeight="1">
      <c r="A919" s="26"/>
      <c r="B919" s="32"/>
      <c r="C919" s="17"/>
      <c r="D919" s="34" t="str">
        <f>vlookup($C919,CSDL!$A:$E,2,0)</f>
        <v>#N/A</v>
      </c>
      <c r="E919" s="19" t="str">
        <f>vlookup($C919,CSDL!$A:$E,3,0)</f>
        <v>#N/A</v>
      </c>
      <c r="F919" s="19" t="str">
        <f>vlookup($C919,CSDL!$A:$E,4,0)</f>
        <v>#N/A</v>
      </c>
      <c r="G919" s="27" t="str">
        <f>vlookup($C919,CSDL!$A:$E,5,0)</f>
        <v>#N/A</v>
      </c>
      <c r="H919" s="32"/>
      <c r="I919" s="29"/>
      <c r="J919" s="29"/>
      <c r="K919" s="29"/>
      <c r="L919" s="94"/>
      <c r="M919" s="29"/>
      <c r="N919" s="29"/>
      <c r="O919" s="30"/>
      <c r="P919" s="26"/>
      <c r="Q919" s="32"/>
    </row>
    <row r="920" ht="25.5" customHeight="1">
      <c r="A920" s="33"/>
      <c r="B920" s="16"/>
      <c r="C920" s="17"/>
      <c r="D920" s="34" t="str">
        <f>vlookup($C920,CSDL!$A:$E,2,0)</f>
        <v>#N/A</v>
      </c>
      <c r="E920" s="19" t="str">
        <f>vlookup($C920,CSDL!$A:$E,3,0)</f>
        <v>#N/A</v>
      </c>
      <c r="F920" s="19" t="str">
        <f>vlookup($C920,CSDL!$A:$E,4,0)</f>
        <v>#N/A</v>
      </c>
      <c r="G920" s="20" t="str">
        <f>vlookup($C920,CSDL!$A:$E,5,0)</f>
        <v>#N/A</v>
      </c>
      <c r="H920" s="25"/>
      <c r="I920" s="23"/>
      <c r="J920" s="23"/>
      <c r="K920" s="23"/>
      <c r="L920" s="94"/>
      <c r="M920" s="23"/>
      <c r="N920" s="23"/>
      <c r="O920" s="24"/>
      <c r="P920" s="33"/>
      <c r="Q920" s="25"/>
    </row>
    <row r="921" ht="25.5" customHeight="1">
      <c r="A921" s="26"/>
      <c r="B921" s="28"/>
      <c r="C921" s="17"/>
      <c r="D921" s="34" t="str">
        <f>vlookup($C921,CSDL!$A:$E,2,0)</f>
        <v>#N/A</v>
      </c>
      <c r="E921" s="19" t="str">
        <f>vlookup($C921,CSDL!$A:$E,3,0)</f>
        <v>#N/A</v>
      </c>
      <c r="F921" s="19" t="str">
        <f>vlookup($C921,CSDL!$A:$E,4,0)</f>
        <v>#N/A</v>
      </c>
      <c r="G921" s="27" t="str">
        <f>vlookup($C921,CSDL!$A:$E,5,0)</f>
        <v>#N/A</v>
      </c>
      <c r="H921" s="32"/>
      <c r="I921" s="29"/>
      <c r="J921" s="29"/>
      <c r="K921" s="29"/>
      <c r="L921" s="22"/>
      <c r="M921" s="29"/>
      <c r="N921" s="29"/>
      <c r="O921" s="30"/>
      <c r="P921" s="26"/>
      <c r="Q921" s="32"/>
    </row>
    <row r="922" ht="25.5" customHeight="1">
      <c r="A922" s="33"/>
      <c r="B922" s="16"/>
      <c r="C922" s="17"/>
      <c r="D922" s="34" t="str">
        <f>vlookup($C922,CSDL!$A:$E,2,0)</f>
        <v>#N/A</v>
      </c>
      <c r="E922" s="19" t="str">
        <f>vlookup($C922,CSDL!$A:$E,3,0)</f>
        <v>#N/A</v>
      </c>
      <c r="F922" s="19" t="str">
        <f>vlookup($C922,CSDL!$A:$E,4,0)</f>
        <v>#N/A</v>
      </c>
      <c r="G922" s="20" t="str">
        <f>vlookup($C922,CSDL!$A:$E,5,0)</f>
        <v>#N/A</v>
      </c>
      <c r="H922" s="25"/>
      <c r="I922" s="23"/>
      <c r="J922" s="23"/>
      <c r="K922" s="23"/>
      <c r="L922" s="94"/>
      <c r="M922" s="23"/>
      <c r="N922" s="23"/>
      <c r="O922" s="69"/>
      <c r="P922" s="33"/>
      <c r="Q922" s="25"/>
    </row>
    <row r="923" ht="25.5" customHeight="1">
      <c r="A923" s="26"/>
      <c r="B923" s="28"/>
      <c r="C923" s="17"/>
      <c r="D923" s="34" t="str">
        <f>vlookup($C923,CSDL!$A:$E,2,0)</f>
        <v>#N/A</v>
      </c>
      <c r="E923" s="19" t="str">
        <f>vlookup($C923,CSDL!$A:$E,3,0)</f>
        <v>#N/A</v>
      </c>
      <c r="F923" s="19" t="str">
        <f>vlookup($C923,CSDL!$A:$E,4,0)</f>
        <v>#N/A</v>
      </c>
      <c r="G923" s="27" t="str">
        <f>vlookup($C923,CSDL!$A:$E,5,0)</f>
        <v>#N/A</v>
      </c>
      <c r="H923" s="32"/>
      <c r="I923" s="29"/>
      <c r="J923" s="29"/>
      <c r="K923" s="29"/>
      <c r="L923" s="94"/>
      <c r="M923" s="75"/>
      <c r="N923" s="75"/>
      <c r="O923" s="71"/>
      <c r="P923" s="26"/>
      <c r="Q923" s="32"/>
    </row>
    <row r="924" ht="25.5" customHeight="1">
      <c r="A924" s="33"/>
      <c r="B924" s="16"/>
      <c r="C924" s="17"/>
      <c r="D924" s="34" t="str">
        <f>vlookup($C924,CSDL!$A:$E,2,0)</f>
        <v>#N/A</v>
      </c>
      <c r="E924" s="19" t="str">
        <f>vlookup($C924,CSDL!$A:$E,3,0)</f>
        <v>#N/A</v>
      </c>
      <c r="F924" s="19" t="str">
        <f>vlookup($C924,CSDL!$A:$E,4,0)</f>
        <v>#N/A</v>
      </c>
      <c r="G924" s="20" t="str">
        <f>vlookup($C924,CSDL!$A:$E,5,0)</f>
        <v>#N/A</v>
      </c>
      <c r="H924" s="25"/>
      <c r="I924" s="23"/>
      <c r="J924" s="23"/>
      <c r="K924" s="23"/>
      <c r="L924" s="94"/>
      <c r="M924" s="78"/>
      <c r="N924" s="78"/>
      <c r="O924" s="69"/>
      <c r="P924" s="33"/>
      <c r="Q924" s="25"/>
    </row>
    <row r="925" ht="25.5" customHeight="1">
      <c r="A925" s="26"/>
      <c r="B925" s="28"/>
      <c r="C925" s="17"/>
      <c r="D925" s="34" t="str">
        <f>vlookup($C925,CSDL!$A:$E,2,0)</f>
        <v>#N/A</v>
      </c>
      <c r="E925" s="19" t="str">
        <f>vlookup($C925,CSDL!$A:$E,3,0)</f>
        <v>#N/A</v>
      </c>
      <c r="F925" s="19" t="str">
        <f>vlookup($C925,CSDL!$A:$E,4,0)</f>
        <v>#N/A</v>
      </c>
      <c r="G925" s="27" t="str">
        <f>vlookup($C925,CSDL!$A:$E,5,0)</f>
        <v>#N/A</v>
      </c>
      <c r="H925" s="32"/>
      <c r="I925" s="29"/>
      <c r="J925" s="29"/>
      <c r="K925" s="29"/>
      <c r="L925" s="94"/>
      <c r="M925" s="29"/>
      <c r="N925" s="29"/>
      <c r="O925" s="71"/>
      <c r="P925" s="26"/>
      <c r="Q925" s="32"/>
    </row>
    <row r="926" ht="25.5" customHeight="1">
      <c r="A926" s="33"/>
      <c r="B926" s="16"/>
      <c r="C926" s="17"/>
      <c r="D926" s="34" t="str">
        <f>vlookup($C926,CSDL!$A:$E,2,0)</f>
        <v>#N/A</v>
      </c>
      <c r="E926" s="19" t="str">
        <f>vlookup($C926,CSDL!$A:$E,3,0)</f>
        <v>#N/A</v>
      </c>
      <c r="F926" s="19" t="str">
        <f>vlookup($C926,CSDL!$A:$E,4,0)</f>
        <v>#N/A</v>
      </c>
      <c r="G926" s="20" t="str">
        <f>vlookup($C926,CSDL!$A:$E,5,0)</f>
        <v>#N/A</v>
      </c>
      <c r="H926" s="25"/>
      <c r="I926" s="23"/>
      <c r="J926" s="23"/>
      <c r="K926" s="23"/>
      <c r="L926" s="94"/>
      <c r="M926" s="78"/>
      <c r="N926" s="78"/>
      <c r="O926" s="69"/>
      <c r="P926" s="33"/>
      <c r="Q926" s="25"/>
    </row>
    <row r="927" ht="25.5" customHeight="1">
      <c r="A927" s="26"/>
      <c r="B927" s="28"/>
      <c r="C927" s="17"/>
      <c r="D927" s="34" t="str">
        <f>vlookup($C927,CSDL!$A:$E,2,0)</f>
        <v>#N/A</v>
      </c>
      <c r="E927" s="19" t="str">
        <f>vlookup($C927,CSDL!$A:$E,3,0)</f>
        <v>#N/A</v>
      </c>
      <c r="F927" s="19" t="str">
        <f>vlookup($C927,CSDL!$A:$E,4,0)</f>
        <v>#N/A</v>
      </c>
      <c r="G927" s="27" t="str">
        <f>vlookup($C927,CSDL!$A:$E,5,0)</f>
        <v>#N/A</v>
      </c>
      <c r="H927" s="32"/>
      <c r="I927" s="29"/>
      <c r="J927" s="29"/>
      <c r="K927" s="29"/>
      <c r="L927" s="94"/>
      <c r="M927" s="75"/>
      <c r="N927" s="75"/>
      <c r="O927" s="71"/>
      <c r="P927" s="26"/>
      <c r="Q927" s="32"/>
    </row>
    <row r="928" ht="25.5" customHeight="1">
      <c r="A928" s="33"/>
      <c r="B928" s="16"/>
      <c r="C928" s="17"/>
      <c r="D928" s="34" t="str">
        <f>vlookup($C928,CSDL!$A:$E,2,0)</f>
        <v>#N/A</v>
      </c>
      <c r="E928" s="19" t="str">
        <f>vlookup($C928,CSDL!$A:$E,3,0)</f>
        <v>#N/A</v>
      </c>
      <c r="F928" s="19" t="str">
        <f>vlookup($C928,CSDL!$A:$E,4,0)</f>
        <v>#N/A</v>
      </c>
      <c r="G928" s="20" t="str">
        <f>vlookup($C928,CSDL!$A:$E,5,0)</f>
        <v>#N/A</v>
      </c>
      <c r="H928" s="25"/>
      <c r="I928" s="23"/>
      <c r="J928" s="23"/>
      <c r="K928" s="23"/>
      <c r="L928" s="94"/>
      <c r="M928" s="23"/>
      <c r="N928" s="23"/>
      <c r="O928" s="24"/>
      <c r="P928" s="33"/>
      <c r="Q928" s="25"/>
    </row>
    <row r="929" ht="25.5" customHeight="1">
      <c r="A929" s="26"/>
      <c r="B929" s="28"/>
      <c r="C929" s="17"/>
      <c r="D929" s="34" t="str">
        <f>vlookup($C929,CSDL!$A:$E,2,0)</f>
        <v>#N/A</v>
      </c>
      <c r="E929" s="19" t="str">
        <f>vlookup($C929,CSDL!$A:$E,3,0)</f>
        <v>#N/A</v>
      </c>
      <c r="F929" s="19" t="str">
        <f>vlookup($C929,CSDL!$A:$E,4,0)</f>
        <v>#N/A</v>
      </c>
      <c r="G929" s="27" t="str">
        <f>vlookup($C929,CSDL!$A:$E,5,0)</f>
        <v>#N/A</v>
      </c>
      <c r="H929" s="32"/>
      <c r="I929" s="29"/>
      <c r="J929" s="29"/>
      <c r="K929" s="29"/>
      <c r="L929" s="94"/>
      <c r="M929" s="75"/>
      <c r="N929" s="75"/>
      <c r="O929" s="30"/>
      <c r="P929" s="26"/>
      <c r="Q929" s="32"/>
    </row>
    <row r="930" ht="25.5" customHeight="1">
      <c r="A930" s="33"/>
      <c r="B930" s="16"/>
      <c r="C930" s="17"/>
      <c r="D930" s="34" t="str">
        <f>vlookup($C930,CSDL!$A:$E,2,0)</f>
        <v>#N/A</v>
      </c>
      <c r="E930" s="19" t="str">
        <f>vlookup($C930,CSDL!$A:$E,3,0)</f>
        <v>#N/A</v>
      </c>
      <c r="F930" s="19" t="str">
        <f>vlookup($C930,CSDL!$A:$E,4,0)</f>
        <v>#N/A</v>
      </c>
      <c r="G930" s="20" t="str">
        <f>vlookup($C930,CSDL!$A:$E,5,0)</f>
        <v>#N/A</v>
      </c>
      <c r="H930" s="25"/>
      <c r="I930" s="23"/>
      <c r="J930" s="23"/>
      <c r="K930" s="23"/>
      <c r="L930" s="94"/>
      <c r="M930" s="78"/>
      <c r="N930" s="78"/>
      <c r="O930" s="24"/>
      <c r="P930" s="33"/>
      <c r="Q930" s="25"/>
    </row>
    <row r="931" ht="25.5" customHeight="1">
      <c r="A931" s="26"/>
      <c r="B931" s="28"/>
      <c r="C931" s="17"/>
      <c r="D931" s="34" t="str">
        <f>vlookup($C931,CSDL!$A:$E,2,0)</f>
        <v>#N/A</v>
      </c>
      <c r="E931" s="19" t="str">
        <f>vlookup($C931,CSDL!$A:$E,3,0)</f>
        <v>#N/A</v>
      </c>
      <c r="F931" s="19" t="str">
        <f>vlookup($C931,CSDL!$A:$E,4,0)</f>
        <v>#N/A</v>
      </c>
      <c r="G931" s="27" t="str">
        <f>vlookup($C931,CSDL!$A:$E,5,0)</f>
        <v>#N/A</v>
      </c>
      <c r="H931" s="32"/>
      <c r="I931" s="29"/>
      <c r="J931" s="29"/>
      <c r="K931" s="29"/>
      <c r="L931" s="94"/>
      <c r="M931" s="75"/>
      <c r="N931" s="75"/>
      <c r="O931" s="71"/>
      <c r="P931" s="26"/>
      <c r="Q931" s="32"/>
    </row>
    <row r="932" ht="25.5" customHeight="1">
      <c r="A932" s="33"/>
      <c r="B932" s="16"/>
      <c r="C932" s="17"/>
      <c r="D932" s="34" t="str">
        <f>vlookup($C932,CSDL!$A:$E,2,0)</f>
        <v>#N/A</v>
      </c>
      <c r="E932" s="19" t="str">
        <f>vlookup($C932,CSDL!$A:$E,3,0)</f>
        <v>#N/A</v>
      </c>
      <c r="F932" s="19" t="str">
        <f>vlookup($C932,CSDL!$A:$E,4,0)</f>
        <v>#N/A</v>
      </c>
      <c r="G932" s="20" t="str">
        <f>vlookup($C932,CSDL!$A:$E,5,0)</f>
        <v>#N/A</v>
      </c>
      <c r="H932" s="25"/>
      <c r="I932" s="23"/>
      <c r="J932" s="23"/>
      <c r="K932" s="23"/>
      <c r="L932" s="94"/>
      <c r="M932" s="23"/>
      <c r="N932" s="23"/>
      <c r="O932" s="69"/>
      <c r="P932" s="33"/>
      <c r="Q932" s="25"/>
    </row>
    <row r="933" ht="25.5" customHeight="1">
      <c r="A933" s="26"/>
      <c r="B933" s="32"/>
      <c r="C933" s="17"/>
      <c r="D933" s="34" t="str">
        <f>vlookup($C933,CSDL!$A:$E,2,0)</f>
        <v>#N/A</v>
      </c>
      <c r="E933" s="19" t="str">
        <f>vlookup($C933,CSDL!$A:$E,3,0)</f>
        <v>#N/A</v>
      </c>
      <c r="F933" s="19" t="str">
        <f>vlookup($C933,CSDL!$A:$E,4,0)</f>
        <v>#N/A</v>
      </c>
      <c r="G933" s="27" t="str">
        <f>vlookup($C933,CSDL!$A:$E,5,0)</f>
        <v>#N/A</v>
      </c>
      <c r="H933" s="32"/>
      <c r="I933" s="29"/>
      <c r="J933" s="29"/>
      <c r="K933" s="29"/>
      <c r="L933" s="94"/>
      <c r="M933" s="29"/>
      <c r="N933" s="29"/>
      <c r="O933" s="71"/>
      <c r="P933" s="26"/>
      <c r="Q933" s="32"/>
    </row>
    <row r="934" ht="25.5" customHeight="1">
      <c r="A934" s="33"/>
      <c r="B934" s="16"/>
      <c r="C934" s="17"/>
      <c r="D934" s="34" t="str">
        <f>vlookup($C934,CSDL!$A:$E,2,0)</f>
        <v>#N/A</v>
      </c>
      <c r="E934" s="19" t="str">
        <f>vlookup($C934,CSDL!$A:$E,3,0)</f>
        <v>#N/A</v>
      </c>
      <c r="F934" s="19" t="str">
        <f>vlookup($C934,CSDL!$A:$E,4,0)</f>
        <v>#N/A</v>
      </c>
      <c r="G934" s="20" t="str">
        <f>vlookup($C934,CSDL!$A:$E,5,0)</f>
        <v>#N/A</v>
      </c>
      <c r="H934" s="25"/>
      <c r="I934" s="23"/>
      <c r="J934" s="23"/>
      <c r="K934" s="23"/>
      <c r="L934" s="94"/>
      <c r="M934" s="23"/>
      <c r="N934" s="23"/>
      <c r="O934" s="69"/>
      <c r="P934" s="33"/>
      <c r="Q934" s="25"/>
    </row>
    <row r="935" ht="25.5" customHeight="1">
      <c r="A935" s="26"/>
      <c r="B935" s="28"/>
      <c r="C935" s="17"/>
      <c r="D935" s="34" t="str">
        <f>vlookup($C935,CSDL!$A:$E,2,0)</f>
        <v>#N/A</v>
      </c>
      <c r="E935" s="19" t="str">
        <f>vlookup($C935,CSDL!$A:$E,3,0)</f>
        <v>#N/A</v>
      </c>
      <c r="F935" s="19" t="str">
        <f>vlookup($C935,CSDL!$A:$E,4,0)</f>
        <v>#N/A</v>
      </c>
      <c r="G935" s="27" t="str">
        <f>vlookup($C935,CSDL!$A:$E,5,0)</f>
        <v>#N/A</v>
      </c>
      <c r="H935" s="32"/>
      <c r="I935" s="75"/>
      <c r="J935" s="29"/>
      <c r="K935" s="29"/>
      <c r="L935" s="94"/>
      <c r="M935" s="29"/>
      <c r="N935" s="29"/>
      <c r="O935" s="30"/>
      <c r="P935" s="26"/>
      <c r="Q935" s="32"/>
    </row>
    <row r="936" ht="25.5" customHeight="1">
      <c r="A936" s="33"/>
      <c r="B936" s="16"/>
      <c r="C936" s="17"/>
      <c r="D936" s="34" t="str">
        <f>vlookup($C936,CSDL!$A:$E,2,0)</f>
        <v>#N/A</v>
      </c>
      <c r="E936" s="19" t="str">
        <f>vlookup($C936,CSDL!$A:$E,3,0)</f>
        <v>#N/A</v>
      </c>
      <c r="F936" s="19" t="str">
        <f>vlookup($C936,CSDL!$A:$E,4,0)</f>
        <v>#N/A</v>
      </c>
      <c r="G936" s="20" t="str">
        <f>vlookup($C936,CSDL!$A:$E,5,0)</f>
        <v>#N/A</v>
      </c>
      <c r="H936" s="25"/>
      <c r="I936" s="23"/>
      <c r="J936" s="78"/>
      <c r="K936" s="78"/>
      <c r="L936" s="94"/>
      <c r="M936" s="23"/>
      <c r="N936" s="23"/>
      <c r="O936" s="69"/>
      <c r="P936" s="33"/>
      <c r="Q936" s="25"/>
    </row>
    <row r="937" ht="25.5" customHeight="1">
      <c r="A937" s="26"/>
      <c r="B937" s="28"/>
      <c r="C937" s="17"/>
      <c r="D937" s="34" t="str">
        <f>vlookup($C937,CSDL!$A:$E,2,0)</f>
        <v>#N/A</v>
      </c>
      <c r="E937" s="19" t="str">
        <f>vlookup($C937,CSDL!$A:$E,3,0)</f>
        <v>#N/A</v>
      </c>
      <c r="F937" s="19" t="str">
        <f>vlookup($C937,CSDL!$A:$E,4,0)</f>
        <v>#N/A</v>
      </c>
      <c r="G937" s="27" t="str">
        <f>vlookup($C937,CSDL!$A:$E,5,0)</f>
        <v>#N/A</v>
      </c>
      <c r="H937" s="32"/>
      <c r="I937" s="29"/>
      <c r="J937" s="29"/>
      <c r="K937" s="29"/>
      <c r="L937" s="94"/>
      <c r="M937" s="29"/>
      <c r="N937" s="29"/>
      <c r="O937" s="30"/>
      <c r="P937" s="26"/>
      <c r="Q937" s="32"/>
    </row>
    <row r="938" ht="25.5" customHeight="1">
      <c r="A938" s="33"/>
      <c r="B938" s="16"/>
      <c r="C938" s="17"/>
      <c r="D938" s="34" t="str">
        <f>vlookup($C938,CSDL!$A:$E,2,0)</f>
        <v>#N/A</v>
      </c>
      <c r="E938" s="19" t="str">
        <f>vlookup($C938,CSDL!$A:$E,3,0)</f>
        <v>#N/A</v>
      </c>
      <c r="F938" s="19" t="str">
        <f>vlookup($C938,CSDL!$A:$E,4,0)</f>
        <v>#N/A</v>
      </c>
      <c r="G938" s="20" t="str">
        <f>vlookup($C938,CSDL!$A:$E,5,0)</f>
        <v>#N/A</v>
      </c>
      <c r="H938" s="25"/>
      <c r="I938" s="23"/>
      <c r="J938" s="23"/>
      <c r="K938" s="23"/>
      <c r="L938" s="94"/>
      <c r="M938" s="78"/>
      <c r="N938" s="78"/>
      <c r="O938" s="69"/>
      <c r="P938" s="33"/>
      <c r="Q938" s="25"/>
    </row>
    <row r="939" ht="25.5" customHeight="1">
      <c r="A939" s="26"/>
      <c r="B939" s="28"/>
      <c r="C939" s="17"/>
      <c r="D939" s="34" t="str">
        <f>vlookup($C939,CSDL!$A:$E,2,0)</f>
        <v>#N/A</v>
      </c>
      <c r="E939" s="19" t="str">
        <f>vlookup($C939,CSDL!$A:$E,3,0)</f>
        <v>#N/A</v>
      </c>
      <c r="F939" s="19" t="str">
        <f>vlookup($C939,CSDL!$A:$E,4,0)</f>
        <v>#N/A</v>
      </c>
      <c r="G939" s="27" t="str">
        <f>vlookup($C939,CSDL!$A:$E,5,0)</f>
        <v>#N/A</v>
      </c>
      <c r="H939" s="32"/>
      <c r="I939" s="29"/>
      <c r="J939" s="29"/>
      <c r="K939" s="29"/>
      <c r="L939" s="94"/>
      <c r="M939" s="29"/>
      <c r="N939" s="29"/>
      <c r="O939" s="71"/>
      <c r="P939" s="26"/>
      <c r="Q939" s="32"/>
    </row>
    <row r="940" ht="25.5" customHeight="1">
      <c r="A940" s="33"/>
      <c r="B940" s="16"/>
      <c r="C940" s="95"/>
      <c r="D940" s="34" t="str">
        <f>vlookup($C940,CSDL!$A:$E,2,0)</f>
        <v>#N/A</v>
      </c>
      <c r="E940" s="19" t="str">
        <f>vlookup($C940,CSDL!$A:$E,3,0)</f>
        <v>#N/A</v>
      </c>
      <c r="F940" s="19" t="str">
        <f>vlookup($C940,CSDL!$A:$E,4,0)</f>
        <v>#N/A</v>
      </c>
      <c r="G940" s="20" t="str">
        <f>vlookup($C940,CSDL!$A:$E,5,0)</f>
        <v>#N/A</v>
      </c>
      <c r="H940" s="25"/>
      <c r="I940" s="23"/>
      <c r="J940" s="23"/>
      <c r="K940" s="23"/>
      <c r="L940" s="94"/>
      <c r="M940" s="23"/>
      <c r="N940" s="23"/>
      <c r="O940" s="69"/>
      <c r="P940" s="33"/>
      <c r="Q940" s="25"/>
    </row>
    <row r="941" ht="25.5" customHeight="1">
      <c r="A941" s="26"/>
      <c r="B941" s="28"/>
      <c r="C941" s="17"/>
      <c r="D941" s="34" t="str">
        <f>vlookup($C941,CSDL!$A:$E,2,0)</f>
        <v>#N/A</v>
      </c>
      <c r="E941" s="19" t="str">
        <f>vlookup($C941,CSDL!$A:$E,3,0)</f>
        <v>#N/A</v>
      </c>
      <c r="F941" s="19" t="str">
        <f>vlookup($C941,CSDL!$A:$E,4,0)</f>
        <v>#N/A</v>
      </c>
      <c r="G941" s="27" t="str">
        <f>vlookup($C941,CSDL!$A:$E,5,0)</f>
        <v>#N/A</v>
      </c>
      <c r="H941" s="32"/>
      <c r="I941" s="29"/>
      <c r="J941" s="29"/>
      <c r="K941" s="29"/>
      <c r="L941" s="94"/>
      <c r="M941" s="75"/>
      <c r="N941" s="75"/>
      <c r="O941" s="71"/>
      <c r="P941" s="26"/>
      <c r="Q941" s="32"/>
    </row>
    <row r="942" ht="25.5" customHeight="1">
      <c r="A942" s="33"/>
      <c r="B942" s="16"/>
      <c r="C942" s="95"/>
      <c r="D942" s="34" t="str">
        <f>vlookup($C942,CSDL!$A:$E,2,0)</f>
        <v>#N/A</v>
      </c>
      <c r="E942" s="19" t="str">
        <f>vlookup($C942,CSDL!$A:$E,3,0)</f>
        <v>#N/A</v>
      </c>
      <c r="F942" s="19" t="str">
        <f>vlookup($C942,CSDL!$A:$E,4,0)</f>
        <v>#N/A</v>
      </c>
      <c r="G942" s="20" t="str">
        <f>vlookup($C942,CSDL!$A:$E,5,0)</f>
        <v>#N/A</v>
      </c>
      <c r="H942" s="25"/>
      <c r="I942" s="23"/>
      <c r="J942" s="23"/>
      <c r="K942" s="23"/>
      <c r="L942" s="22"/>
      <c r="M942" s="23"/>
      <c r="N942" s="23"/>
      <c r="O942" s="24"/>
      <c r="P942" s="33"/>
      <c r="Q942" s="25"/>
    </row>
    <row r="943" ht="25.5" customHeight="1">
      <c r="A943" s="26"/>
      <c r="B943" s="32"/>
      <c r="C943" s="96"/>
      <c r="D943" s="34" t="str">
        <f>vlookup($C943,CSDL!$A:$E,2,0)</f>
        <v>#N/A</v>
      </c>
      <c r="E943" s="19" t="str">
        <f>vlookup($C943,CSDL!$A:$E,3,0)</f>
        <v>#N/A</v>
      </c>
      <c r="F943" s="19" t="str">
        <f>vlookup($C943,CSDL!$A:$E,4,0)</f>
        <v>#N/A</v>
      </c>
      <c r="G943" s="27" t="str">
        <f>vlookup($C943,CSDL!$A:$E,5,0)</f>
        <v>#N/A</v>
      </c>
      <c r="H943" s="32"/>
      <c r="I943" s="29"/>
      <c r="J943" s="29"/>
      <c r="K943" s="29"/>
      <c r="L943" s="94"/>
      <c r="M943" s="29"/>
      <c r="N943" s="29"/>
      <c r="O943" s="30"/>
      <c r="P943" s="26"/>
      <c r="Q943" s="32"/>
    </row>
    <row r="944" ht="25.5" customHeight="1">
      <c r="A944" s="33"/>
      <c r="B944" s="25"/>
      <c r="C944" s="17"/>
      <c r="D944" s="34" t="str">
        <f>vlookup($C944,CSDL!$A:$E,2,0)</f>
        <v>#N/A</v>
      </c>
      <c r="E944" s="19" t="str">
        <f>vlookup($C944,CSDL!$A:$E,3,0)</f>
        <v>#N/A</v>
      </c>
      <c r="F944" s="19" t="str">
        <f>vlookup($C944,CSDL!$A:$E,4,0)</f>
        <v>#N/A</v>
      </c>
      <c r="G944" s="20" t="str">
        <f>vlookup($C944,CSDL!$A:$E,5,0)</f>
        <v>#N/A</v>
      </c>
      <c r="H944" s="25"/>
      <c r="I944" s="23"/>
      <c r="J944" s="23"/>
      <c r="K944" s="23"/>
      <c r="L944" s="94"/>
      <c r="M944" s="23"/>
      <c r="N944" s="23"/>
      <c r="O944" s="24"/>
      <c r="P944" s="33"/>
      <c r="Q944" s="25"/>
    </row>
    <row r="945" ht="25.5" customHeight="1">
      <c r="A945" s="26"/>
      <c r="B945" s="28"/>
      <c r="C945" s="95"/>
      <c r="D945" s="34" t="str">
        <f>vlookup($C945,CSDL!$A:$E,2,0)</f>
        <v>#N/A</v>
      </c>
      <c r="E945" s="19" t="str">
        <f>vlookup($C945,CSDL!$A:$E,3,0)</f>
        <v>#N/A</v>
      </c>
      <c r="F945" s="19" t="str">
        <f>vlookup($C945,CSDL!$A:$E,4,0)</f>
        <v>#N/A</v>
      </c>
      <c r="G945" s="27" t="str">
        <f>vlookup($C945,CSDL!$A:$E,5,0)</f>
        <v>#N/A</v>
      </c>
      <c r="H945" s="32"/>
      <c r="I945" s="29"/>
      <c r="J945" s="29"/>
      <c r="K945" s="29"/>
      <c r="L945" s="94"/>
      <c r="M945" s="29"/>
      <c r="N945" s="29"/>
      <c r="O945" s="71"/>
      <c r="P945" s="26"/>
      <c r="Q945" s="32"/>
    </row>
    <row r="946" ht="25.5" customHeight="1">
      <c r="A946" s="33"/>
      <c r="B946" s="16"/>
      <c r="C946" s="17"/>
      <c r="D946" s="34" t="str">
        <f>vlookup($C946,CSDL!$A:$E,2,0)</f>
        <v>#N/A</v>
      </c>
      <c r="E946" s="19" t="str">
        <f>vlookup($C946,CSDL!$A:$E,3,0)</f>
        <v>#N/A</v>
      </c>
      <c r="F946" s="19" t="str">
        <f>vlookup($C946,CSDL!$A:$E,4,0)</f>
        <v>#N/A</v>
      </c>
      <c r="G946" s="20" t="str">
        <f>vlookup($C946,CSDL!$A:$E,5,0)</f>
        <v>#N/A</v>
      </c>
      <c r="H946" s="25"/>
      <c r="I946" s="23"/>
      <c r="J946" s="23"/>
      <c r="K946" s="23"/>
      <c r="L946" s="94"/>
      <c r="M946" s="78"/>
      <c r="N946" s="78"/>
      <c r="O946" s="69"/>
      <c r="P946" s="33"/>
      <c r="Q946" s="25"/>
    </row>
    <row r="947" ht="25.5" customHeight="1">
      <c r="A947" s="26"/>
      <c r="B947" s="28"/>
      <c r="C947" s="17"/>
      <c r="D947" s="34" t="str">
        <f>vlookup($C947,CSDL!$A:$E,2,0)</f>
        <v>#N/A</v>
      </c>
      <c r="E947" s="97" t="str">
        <f>vlookup($C947,CSDL!$A:$E,3,0)</f>
        <v>#N/A</v>
      </c>
      <c r="F947" s="19" t="str">
        <f>vlookup($C947,CSDL!$A:$E,4,0)</f>
        <v>#N/A</v>
      </c>
      <c r="G947" s="27" t="str">
        <f>vlookup($C947,CSDL!$A:$E,5,0)</f>
        <v>#N/A</v>
      </c>
      <c r="H947" s="32"/>
      <c r="I947" s="29"/>
      <c r="J947" s="29"/>
      <c r="K947" s="29"/>
      <c r="L947" s="94"/>
      <c r="M947" s="75"/>
      <c r="N947" s="75"/>
      <c r="O947" s="71"/>
      <c r="P947" s="26"/>
      <c r="Q947" s="32"/>
    </row>
    <row r="948" ht="25.5" customHeight="1">
      <c r="A948" s="33"/>
      <c r="B948" s="25"/>
      <c r="C948" s="17"/>
      <c r="D948" s="34" t="str">
        <f>vlookup($C948,CSDL!$A:$E,2,0)</f>
        <v>#N/A</v>
      </c>
      <c r="E948" s="19" t="str">
        <f>vlookup($C948,CSDL!$A:$E,3,0)</f>
        <v>#N/A</v>
      </c>
      <c r="F948" s="19" t="str">
        <f>vlookup($C948,CSDL!$A:$E,4,0)</f>
        <v>#N/A</v>
      </c>
      <c r="G948" s="20" t="str">
        <f>vlookup($C948,CSDL!$A:$E,5,0)</f>
        <v>#N/A</v>
      </c>
      <c r="H948" s="25"/>
      <c r="I948" s="23"/>
      <c r="J948" s="23"/>
      <c r="K948" s="23"/>
      <c r="L948" s="94"/>
      <c r="M948" s="23"/>
      <c r="N948" s="23"/>
      <c r="O948" s="24"/>
      <c r="P948" s="33"/>
      <c r="Q948" s="25"/>
    </row>
    <row r="949" ht="25.5" customHeight="1">
      <c r="A949" s="26"/>
      <c r="B949" s="28"/>
      <c r="C949" s="17"/>
      <c r="D949" s="34" t="str">
        <f>vlookup($C949,CSDL!$A:$E,2,0)</f>
        <v>#N/A</v>
      </c>
      <c r="E949" s="97" t="str">
        <f>vlookup($C949,CSDL!$A:$E,3,0)</f>
        <v>#N/A</v>
      </c>
      <c r="F949" s="19" t="str">
        <f>vlookup($C949,CSDL!$A:$E,4,0)</f>
        <v>#N/A</v>
      </c>
      <c r="G949" s="27" t="str">
        <f>vlookup($C949,CSDL!$A:$E,5,0)</f>
        <v>#N/A</v>
      </c>
      <c r="H949" s="32"/>
      <c r="I949" s="29"/>
      <c r="J949" s="29"/>
      <c r="K949" s="29"/>
      <c r="L949" s="94"/>
      <c r="M949" s="29"/>
      <c r="N949" s="29"/>
      <c r="O949" s="30"/>
      <c r="P949" s="26"/>
      <c r="Q949" s="32"/>
    </row>
    <row r="950" ht="25.5" customHeight="1">
      <c r="A950" s="33"/>
      <c r="B950" s="25"/>
      <c r="C950" s="17"/>
      <c r="D950" s="34" t="str">
        <f>vlookup($C950,CSDL!$A:$E,2,0)</f>
        <v>#N/A</v>
      </c>
      <c r="E950" s="19" t="str">
        <f>vlookup($C950,CSDL!$A:$E,3,0)</f>
        <v>#N/A</v>
      </c>
      <c r="F950" s="19" t="str">
        <f>vlookup($C950,CSDL!$A:$E,4,0)</f>
        <v>#N/A</v>
      </c>
      <c r="G950" s="20" t="str">
        <f>vlookup($C950,CSDL!$A:$E,5,0)</f>
        <v>#N/A</v>
      </c>
      <c r="H950" s="25"/>
      <c r="I950" s="23"/>
      <c r="J950" s="23"/>
      <c r="K950" s="23"/>
      <c r="L950" s="94"/>
      <c r="M950" s="23"/>
      <c r="N950" s="23"/>
      <c r="O950" s="69"/>
      <c r="P950" s="33"/>
      <c r="Q950" s="25"/>
    </row>
    <row r="951" ht="25.5" customHeight="1">
      <c r="A951" s="26"/>
      <c r="B951" s="28"/>
      <c r="C951" s="17"/>
      <c r="D951" s="34" t="str">
        <f>vlookup($C951,CSDL!$A:$E,2,0)</f>
        <v>#N/A</v>
      </c>
      <c r="E951" s="97" t="str">
        <f>vlookup($C951,CSDL!$A:$E,3,0)</f>
        <v>#N/A</v>
      </c>
      <c r="F951" s="19" t="str">
        <f>vlookup($C951,CSDL!$A:$E,4,0)</f>
        <v>#N/A</v>
      </c>
      <c r="G951" s="27" t="str">
        <f>vlookup($C951,CSDL!$A:$E,5,0)</f>
        <v>#N/A</v>
      </c>
      <c r="H951" s="32"/>
      <c r="I951" s="29"/>
      <c r="J951" s="29"/>
      <c r="K951" s="29"/>
      <c r="L951" s="94"/>
      <c r="M951" s="29"/>
      <c r="N951" s="29"/>
      <c r="O951" s="71"/>
      <c r="P951" s="26"/>
      <c r="Q951" s="32"/>
    </row>
    <row r="952" ht="25.5" customHeight="1">
      <c r="A952" s="33"/>
      <c r="B952" s="16"/>
      <c r="C952" s="17"/>
      <c r="D952" s="34" t="str">
        <f>vlookup($C952,CSDL!$A:$E,2,0)</f>
        <v>#N/A</v>
      </c>
      <c r="E952" s="19" t="str">
        <f>vlookup($C952,CSDL!$A:$E,3,0)</f>
        <v>#N/A</v>
      </c>
      <c r="F952" s="19" t="str">
        <f>vlookup($C952,CSDL!$A:$E,4,0)</f>
        <v>#N/A</v>
      </c>
      <c r="G952" s="20" t="str">
        <f>vlookup($C952,CSDL!$A:$E,5,0)</f>
        <v>#N/A</v>
      </c>
      <c r="H952" s="25"/>
      <c r="I952" s="23"/>
      <c r="J952" s="23"/>
      <c r="K952" s="23"/>
      <c r="L952" s="94"/>
      <c r="M952" s="23"/>
      <c r="N952" s="23"/>
      <c r="O952" s="24"/>
      <c r="P952" s="33"/>
      <c r="Q952" s="25"/>
    </row>
    <row r="953" ht="25.5" customHeight="1">
      <c r="A953" s="26"/>
      <c r="B953" s="28"/>
      <c r="C953" s="17"/>
      <c r="D953" s="34" t="str">
        <f>vlookup($C953,CSDL!$A:$E,2,0)</f>
        <v>#N/A</v>
      </c>
      <c r="E953" s="97" t="str">
        <f>vlookup($C953,CSDL!$A:$E,3,0)</f>
        <v>#N/A</v>
      </c>
      <c r="F953" s="19" t="str">
        <f>vlookup($C953,CSDL!$A:$E,4,0)</f>
        <v>#N/A</v>
      </c>
      <c r="G953" s="27" t="str">
        <f>vlookup($C953,CSDL!$A:$E,5,0)</f>
        <v>#N/A</v>
      </c>
      <c r="H953" s="32"/>
      <c r="I953" s="29"/>
      <c r="J953" s="29"/>
      <c r="K953" s="29"/>
      <c r="L953" s="94"/>
      <c r="M953" s="75"/>
      <c r="N953" s="75"/>
      <c r="O953" s="71"/>
      <c r="P953" s="26"/>
      <c r="Q953" s="32"/>
    </row>
    <row r="954" ht="25.5" customHeight="1">
      <c r="A954" s="33"/>
      <c r="B954" s="16"/>
      <c r="C954" s="17"/>
      <c r="D954" s="34" t="str">
        <f>vlookup($C954,CSDL!$A:$E,2,0)</f>
        <v>#N/A</v>
      </c>
      <c r="E954" s="19" t="str">
        <f>vlookup($C954,CSDL!$A:$E,3,0)</f>
        <v>#N/A</v>
      </c>
      <c r="F954" s="19" t="str">
        <f>vlookup($C954,CSDL!$A:$E,4,0)</f>
        <v>#N/A</v>
      </c>
      <c r="G954" s="20" t="str">
        <f>vlookup($C954,CSDL!$A:$E,5,0)</f>
        <v>#N/A</v>
      </c>
      <c r="H954" s="25"/>
      <c r="I954" s="23"/>
      <c r="J954" s="23"/>
      <c r="K954" s="23"/>
      <c r="L954" s="94"/>
      <c r="M954" s="78"/>
      <c r="N954" s="78"/>
      <c r="O954" s="69"/>
      <c r="P954" s="33"/>
      <c r="Q954" s="25"/>
    </row>
    <row r="955" ht="25.5" customHeight="1">
      <c r="A955" s="26"/>
      <c r="B955" s="28"/>
      <c r="C955" s="17"/>
      <c r="D955" s="34" t="str">
        <f>vlookup($C955,CSDL!$A:$E,2,0)</f>
        <v>#N/A</v>
      </c>
      <c r="E955" s="97" t="str">
        <f>vlookup($C955,CSDL!$A:$E,3,0)</f>
        <v>#N/A</v>
      </c>
      <c r="F955" s="19" t="str">
        <f>vlookup($C955,CSDL!$A:$E,4,0)</f>
        <v>#N/A</v>
      </c>
      <c r="G955" s="27" t="str">
        <f>vlookup($C955,CSDL!$A:$E,5,0)</f>
        <v>#N/A</v>
      </c>
      <c r="H955" s="32"/>
      <c r="I955" s="29"/>
      <c r="J955" s="29"/>
      <c r="K955" s="29"/>
      <c r="L955" s="94"/>
      <c r="M955" s="75"/>
      <c r="N955" s="75"/>
      <c r="O955" s="71"/>
      <c r="P955" s="26"/>
      <c r="Q955" s="32"/>
    </row>
    <row r="956" ht="25.5" customHeight="1">
      <c r="A956" s="33"/>
      <c r="B956" s="16"/>
      <c r="C956" s="17"/>
      <c r="D956" s="34" t="str">
        <f>vlookup($C956,CSDL!$A:$E,2,0)</f>
        <v>#N/A</v>
      </c>
      <c r="E956" s="19" t="str">
        <f>vlookup($C956,CSDL!$A:$E,3,0)</f>
        <v>#N/A</v>
      </c>
      <c r="F956" s="19" t="str">
        <f>vlookup($C956,CSDL!$A:$E,4,0)</f>
        <v>#N/A</v>
      </c>
      <c r="G956" s="20" t="str">
        <f>vlookup($C956,CSDL!$A:$E,5,0)</f>
        <v>#N/A</v>
      </c>
      <c r="H956" s="25"/>
      <c r="I956" s="23"/>
      <c r="J956" s="23"/>
      <c r="K956" s="78"/>
      <c r="L956" s="94"/>
      <c r="M956" s="78"/>
      <c r="N956" s="78"/>
      <c r="O956" s="69"/>
      <c r="P956" s="33"/>
      <c r="Q956" s="25"/>
    </row>
    <row r="957" ht="25.5" customHeight="1">
      <c r="A957" s="26"/>
      <c r="B957" s="28"/>
      <c r="C957" s="17"/>
      <c r="D957" s="34" t="str">
        <f>vlookup($C957,CSDL!$A:$E,2,0)</f>
        <v>#N/A</v>
      </c>
      <c r="E957" s="97" t="str">
        <f>vlookup($C957,CSDL!$A:$E,3,0)</f>
        <v>#N/A</v>
      </c>
      <c r="F957" s="19" t="str">
        <f>vlookup($C957,CSDL!$A:$E,4,0)</f>
        <v>#N/A</v>
      </c>
      <c r="G957" s="27" t="str">
        <f>vlookup($C957,CSDL!$A:$E,5,0)</f>
        <v>#N/A</v>
      </c>
      <c r="H957" s="32"/>
      <c r="I957" s="29"/>
      <c r="J957" s="29"/>
      <c r="K957" s="75"/>
      <c r="L957" s="94"/>
      <c r="M957" s="75"/>
      <c r="N957" s="75"/>
      <c r="O957" s="71"/>
      <c r="P957" s="26"/>
      <c r="Q957" s="32"/>
    </row>
    <row r="958" ht="25.5" customHeight="1">
      <c r="A958" s="33"/>
      <c r="B958" s="16"/>
      <c r="C958" s="17"/>
      <c r="D958" s="34" t="str">
        <f>vlookup($C958,CSDL!$A:$E,2,0)</f>
        <v>#N/A</v>
      </c>
      <c r="E958" s="19" t="str">
        <f>vlookup($C958,CSDL!$A:$E,3,0)</f>
        <v>#N/A</v>
      </c>
      <c r="F958" s="19" t="str">
        <f>vlookup($C958,CSDL!$A:$E,4,0)</f>
        <v>#N/A</v>
      </c>
      <c r="G958" s="20" t="str">
        <f>vlookup($C958,CSDL!$A:$E,5,0)</f>
        <v>#N/A</v>
      </c>
      <c r="H958" s="25"/>
      <c r="I958" s="23"/>
      <c r="J958" s="23"/>
      <c r="K958" s="23"/>
      <c r="L958" s="94"/>
      <c r="M958" s="23"/>
      <c r="N958" s="23"/>
      <c r="O958" s="69"/>
      <c r="P958" s="33"/>
      <c r="Q958" s="25"/>
    </row>
    <row r="959" ht="25.5" customHeight="1">
      <c r="A959" s="26"/>
      <c r="B959" s="28"/>
      <c r="C959" s="17"/>
      <c r="D959" s="34" t="str">
        <f>vlookup($C959,CSDL!$A:$E,2,0)</f>
        <v>#N/A</v>
      </c>
      <c r="E959" s="97" t="str">
        <f>vlookup($C959,CSDL!$A:$E,3,0)</f>
        <v>#N/A</v>
      </c>
      <c r="F959" s="19" t="str">
        <f>vlookup($C959,CSDL!$A:$E,4,0)</f>
        <v>#N/A</v>
      </c>
      <c r="G959" s="27" t="str">
        <f>vlookup($C959,CSDL!$A:$E,5,0)</f>
        <v>#N/A</v>
      </c>
      <c r="H959" s="32"/>
      <c r="I959" s="29"/>
      <c r="J959" s="29"/>
      <c r="K959" s="29"/>
      <c r="L959" s="94"/>
      <c r="M959" s="29"/>
      <c r="N959" s="29"/>
      <c r="O959" s="71"/>
      <c r="P959" s="26"/>
      <c r="Q959" s="32"/>
    </row>
    <row r="960" ht="25.5" customHeight="1">
      <c r="A960" s="33"/>
      <c r="B960" s="16"/>
      <c r="C960" s="17"/>
      <c r="D960" s="34" t="str">
        <f>vlookup($C960,CSDL!$A:$E,2,0)</f>
        <v>#N/A</v>
      </c>
      <c r="E960" s="19" t="str">
        <f>vlookup($C960,CSDL!$A:$E,3,0)</f>
        <v>#N/A</v>
      </c>
      <c r="F960" s="19" t="str">
        <f>vlookup($C960,CSDL!$A:$E,4,0)</f>
        <v>#N/A</v>
      </c>
      <c r="G960" s="20" t="str">
        <f>vlookup($C960,CSDL!$A:$E,5,0)</f>
        <v>#N/A</v>
      </c>
      <c r="H960" s="25"/>
      <c r="I960" s="23"/>
      <c r="J960" s="23"/>
      <c r="K960" s="23"/>
      <c r="L960" s="94"/>
      <c r="M960" s="78"/>
      <c r="N960" s="78"/>
      <c r="O960" s="69"/>
      <c r="P960" s="33"/>
      <c r="Q960" s="25"/>
    </row>
    <row r="961" ht="25.5" customHeight="1">
      <c r="A961" s="26"/>
      <c r="B961" s="28"/>
      <c r="C961" s="17"/>
      <c r="D961" s="34" t="str">
        <f>vlookup($C961,CSDL!$A:$E,2,0)</f>
        <v>#N/A</v>
      </c>
      <c r="E961" s="97" t="str">
        <f>vlookup($C961,CSDL!$A:$E,3,0)</f>
        <v>#N/A</v>
      </c>
      <c r="F961" s="19" t="str">
        <f>vlookup($C961,CSDL!$A:$E,4,0)</f>
        <v>#N/A</v>
      </c>
      <c r="G961" s="27" t="str">
        <f>vlookup($C961,CSDL!$A:$E,5,0)</f>
        <v>#N/A</v>
      </c>
      <c r="H961" s="32"/>
      <c r="I961" s="29"/>
      <c r="J961" s="29"/>
      <c r="K961" s="29"/>
      <c r="L961" s="94"/>
      <c r="M961" s="75"/>
      <c r="N961" s="75"/>
      <c r="O961" s="71"/>
      <c r="P961" s="26"/>
      <c r="Q961" s="32"/>
    </row>
    <row r="962" ht="25.5" customHeight="1">
      <c r="A962" s="33"/>
      <c r="B962" s="16"/>
      <c r="C962" s="17"/>
      <c r="D962" s="34" t="str">
        <f>vlookup($C962,CSDL!$A:$E,2,0)</f>
        <v>#N/A</v>
      </c>
      <c r="E962" s="19" t="str">
        <f>vlookup($C962,CSDL!$A:$E,3,0)</f>
        <v>#N/A</v>
      </c>
      <c r="F962" s="19" t="str">
        <f>vlookup($C962,CSDL!$A:$E,4,0)</f>
        <v>#N/A</v>
      </c>
      <c r="G962" s="20" t="str">
        <f>vlookup($C962,CSDL!$A:$E,5,0)</f>
        <v>#N/A</v>
      </c>
      <c r="H962" s="25"/>
      <c r="I962" s="23"/>
      <c r="J962" s="23"/>
      <c r="K962" s="23"/>
      <c r="L962" s="94"/>
      <c r="M962" s="23"/>
      <c r="N962" s="23"/>
      <c r="O962" s="69"/>
      <c r="P962" s="33"/>
      <c r="Q962" s="25"/>
    </row>
    <row r="963" ht="25.5" customHeight="1">
      <c r="A963" s="26"/>
      <c r="B963" s="28"/>
      <c r="C963" s="17"/>
      <c r="D963" s="34" t="str">
        <f>vlookup($C963,CSDL!$A:$E,2,0)</f>
        <v>#N/A</v>
      </c>
      <c r="E963" s="97" t="str">
        <f>vlookup($C963,CSDL!$A:$E,3,0)</f>
        <v>#N/A</v>
      </c>
      <c r="F963" s="19" t="str">
        <f>vlookup($C963,CSDL!$A:$E,4,0)</f>
        <v>#N/A</v>
      </c>
      <c r="G963" s="27" t="str">
        <f>vlookup($C963,CSDL!$A:$E,5,0)</f>
        <v>#N/A</v>
      </c>
      <c r="H963" s="32"/>
      <c r="I963" s="29"/>
      <c r="J963" s="29"/>
      <c r="K963" s="29"/>
      <c r="L963" s="94"/>
      <c r="M963" s="75"/>
      <c r="N963" s="75"/>
      <c r="O963" s="71"/>
      <c r="P963" s="26"/>
      <c r="Q963" s="32"/>
    </row>
    <row r="964" ht="25.5" customHeight="1">
      <c r="A964" s="33"/>
      <c r="B964" s="16"/>
      <c r="C964" s="17"/>
      <c r="D964" s="34" t="str">
        <f>vlookup($C964,CSDL!$A:$E,2,0)</f>
        <v>#N/A</v>
      </c>
      <c r="E964" s="19" t="str">
        <f>vlookup($C964,CSDL!$A:$E,3,0)</f>
        <v>#N/A</v>
      </c>
      <c r="F964" s="19" t="str">
        <f>vlookup($C964,CSDL!$A:$E,4,0)</f>
        <v>#N/A</v>
      </c>
      <c r="G964" s="20" t="str">
        <f>vlookup($C964,CSDL!$A:$E,5,0)</f>
        <v>#N/A</v>
      </c>
      <c r="H964" s="25"/>
      <c r="I964" s="23"/>
      <c r="J964" s="23"/>
      <c r="K964" s="23"/>
      <c r="L964" s="94"/>
      <c r="M964" s="23"/>
      <c r="N964" s="23"/>
      <c r="O964" s="24"/>
      <c r="P964" s="33"/>
      <c r="Q964" s="25"/>
    </row>
    <row r="965" ht="25.5" customHeight="1">
      <c r="A965" s="26"/>
      <c r="B965" s="28"/>
      <c r="C965" s="17"/>
      <c r="D965" s="34" t="str">
        <f>vlookup($C965,CSDL!$A:$E,2,0)</f>
        <v>#N/A</v>
      </c>
      <c r="E965" s="97" t="str">
        <f>vlookup($C965,CSDL!$A:$E,3,0)</f>
        <v>#N/A</v>
      </c>
      <c r="F965" s="19" t="str">
        <f>vlookup($C965,CSDL!$A:$E,4,0)</f>
        <v>#N/A</v>
      </c>
      <c r="G965" s="27" t="str">
        <f>vlookup($C965,CSDL!$A:$E,5,0)</f>
        <v>#N/A</v>
      </c>
      <c r="H965" s="32"/>
      <c r="I965" s="29"/>
      <c r="J965" s="29"/>
      <c r="K965" s="29"/>
      <c r="L965" s="94"/>
      <c r="M965" s="75"/>
      <c r="N965" s="75"/>
      <c r="O965" s="71"/>
      <c r="P965" s="26"/>
      <c r="Q965" s="32"/>
    </row>
    <row r="966" ht="25.5" customHeight="1">
      <c r="A966" s="33"/>
      <c r="B966" s="16"/>
      <c r="C966" s="17"/>
      <c r="D966" s="34" t="str">
        <f>vlookup($C966,CSDL!$A:$E,2,0)</f>
        <v>#N/A</v>
      </c>
      <c r="E966" s="19" t="str">
        <f>vlookup($C966,CSDL!$A:$E,3,0)</f>
        <v>#N/A</v>
      </c>
      <c r="F966" s="19" t="str">
        <f>vlookup($C966,CSDL!$A:$E,4,0)</f>
        <v>#N/A</v>
      </c>
      <c r="G966" s="20" t="str">
        <f>vlookup($C966,CSDL!$A:$E,5,0)</f>
        <v>#N/A</v>
      </c>
      <c r="H966" s="25"/>
      <c r="I966" s="23"/>
      <c r="J966" s="23"/>
      <c r="K966" s="23"/>
      <c r="L966" s="94"/>
      <c r="M966" s="23"/>
      <c r="N966" s="23"/>
      <c r="O966" s="69"/>
      <c r="P966" s="33"/>
      <c r="Q966" s="25"/>
    </row>
    <row r="967" ht="25.5" customHeight="1">
      <c r="A967" s="26"/>
      <c r="B967" s="28"/>
      <c r="C967" s="17"/>
      <c r="D967" s="34" t="str">
        <f>vlookup($C967,CSDL!$A:$E,2,0)</f>
        <v>#N/A</v>
      </c>
      <c r="E967" s="97" t="str">
        <f>vlookup($C967,CSDL!$A:$E,3,0)</f>
        <v>#N/A</v>
      </c>
      <c r="F967" s="19" t="str">
        <f>vlookup($C967,CSDL!$A:$E,4,0)</f>
        <v>#N/A</v>
      </c>
      <c r="G967" s="27" t="str">
        <f>vlookup($C967,CSDL!$A:$E,5,0)</f>
        <v>#N/A</v>
      </c>
      <c r="H967" s="32"/>
      <c r="I967" s="29"/>
      <c r="J967" s="29"/>
      <c r="K967" s="29"/>
      <c r="L967" s="94"/>
      <c r="M967" s="75"/>
      <c r="N967" s="75"/>
      <c r="O967" s="71"/>
      <c r="P967" s="26"/>
      <c r="Q967" s="32"/>
    </row>
    <row r="968" ht="25.5" customHeight="1">
      <c r="A968" s="33"/>
      <c r="B968" s="16"/>
      <c r="C968" s="17"/>
      <c r="D968" s="34" t="str">
        <f>vlookup($C968,CSDL!$A:$E,2,0)</f>
        <v>#N/A</v>
      </c>
      <c r="E968" s="19" t="str">
        <f>vlookup($C968,CSDL!$A:$E,3,0)</f>
        <v>#N/A</v>
      </c>
      <c r="F968" s="19" t="str">
        <f>vlookup($C968,CSDL!$A:$E,4,0)</f>
        <v>#N/A</v>
      </c>
      <c r="G968" s="20" t="str">
        <f>vlookup($C968,CSDL!$A:$E,5,0)</f>
        <v>#N/A</v>
      </c>
      <c r="H968" s="25"/>
      <c r="I968" s="23"/>
      <c r="J968" s="23"/>
      <c r="K968" s="23"/>
      <c r="L968" s="94"/>
      <c r="M968" s="78"/>
      <c r="N968" s="78"/>
      <c r="O968" s="69"/>
      <c r="P968" s="33"/>
      <c r="Q968" s="25"/>
    </row>
    <row r="969" ht="25.5" customHeight="1">
      <c r="A969" s="26"/>
      <c r="B969" s="28"/>
      <c r="C969" s="17"/>
      <c r="D969" s="34" t="str">
        <f>vlookup($C969,CSDL!$A:$E,2,0)</f>
        <v>#N/A</v>
      </c>
      <c r="E969" s="97" t="str">
        <f>vlookup($C969,CSDL!$A:$E,3,0)</f>
        <v>#N/A</v>
      </c>
      <c r="F969" s="19" t="str">
        <f>vlookup($C969,CSDL!$A:$E,4,0)</f>
        <v>#N/A</v>
      </c>
      <c r="G969" s="27" t="str">
        <f>vlookup($C969,CSDL!$A:$E,5,0)</f>
        <v>#N/A</v>
      </c>
      <c r="H969" s="32"/>
      <c r="I969" s="29"/>
      <c r="J969" s="29"/>
      <c r="K969" s="75"/>
      <c r="L969" s="94"/>
      <c r="M969" s="75"/>
      <c r="N969" s="75"/>
      <c r="O969" s="71"/>
      <c r="P969" s="26"/>
      <c r="Q969" s="32"/>
    </row>
    <row r="970" ht="25.5" customHeight="1">
      <c r="A970" s="33"/>
      <c r="B970" s="16"/>
      <c r="C970" s="17"/>
      <c r="D970" s="34" t="str">
        <f>vlookup($C970,CSDL!$A:$E,2,0)</f>
        <v>#N/A</v>
      </c>
      <c r="E970" s="19" t="str">
        <f>vlookup($C970,CSDL!$A:$E,3,0)</f>
        <v>#N/A</v>
      </c>
      <c r="F970" s="19" t="str">
        <f>vlookup($C970,CSDL!$A:$E,4,0)</f>
        <v>#N/A</v>
      </c>
      <c r="G970" s="20" t="str">
        <f>vlookup($C970,CSDL!$A:$E,5,0)</f>
        <v>#N/A</v>
      </c>
      <c r="H970" s="25"/>
      <c r="I970" s="23"/>
      <c r="J970" s="23"/>
      <c r="K970" s="23"/>
      <c r="L970" s="94"/>
      <c r="M970" s="23"/>
      <c r="N970" s="23"/>
      <c r="O970" s="24"/>
      <c r="P970" s="33"/>
      <c r="Q970" s="25"/>
    </row>
    <row r="971" ht="25.5" customHeight="1">
      <c r="A971" s="26"/>
      <c r="B971" s="28"/>
      <c r="C971" s="17"/>
      <c r="D971" s="34" t="str">
        <f>vlookup($C971,CSDL!$A:$E,2,0)</f>
        <v>#N/A</v>
      </c>
      <c r="E971" s="97" t="str">
        <f>vlookup($C971,CSDL!$A:$E,3,0)</f>
        <v>#N/A</v>
      </c>
      <c r="F971" s="19" t="str">
        <f>vlookup($C971,CSDL!$A:$E,4,0)</f>
        <v>#N/A</v>
      </c>
      <c r="G971" s="27" t="str">
        <f>vlookup($C971,CSDL!$A:$E,5,0)</f>
        <v>#N/A</v>
      </c>
      <c r="H971" s="32"/>
      <c r="I971" s="29"/>
      <c r="J971" s="29"/>
      <c r="K971" s="29"/>
      <c r="L971" s="94"/>
      <c r="M971" s="75"/>
      <c r="N971" s="75"/>
      <c r="O971" s="71"/>
      <c r="P971" s="26"/>
      <c r="Q971" s="32"/>
    </row>
    <row r="972" ht="25.5" customHeight="1">
      <c r="A972" s="33"/>
      <c r="B972" s="16"/>
      <c r="C972" s="17"/>
      <c r="D972" s="34" t="str">
        <f>vlookup($C972,CSDL!$A:$E,2,0)</f>
        <v>#N/A</v>
      </c>
      <c r="E972" s="19" t="str">
        <f>vlookup($C972,CSDL!$A:$E,3,0)</f>
        <v>#N/A</v>
      </c>
      <c r="F972" s="19" t="str">
        <f>vlookup($C972,CSDL!$A:$E,4,0)</f>
        <v>#N/A</v>
      </c>
      <c r="G972" s="20" t="str">
        <f>vlookup($C972,CSDL!$A:$E,5,0)</f>
        <v>#N/A</v>
      </c>
      <c r="H972" s="98"/>
      <c r="I972" s="23"/>
      <c r="J972" s="23"/>
      <c r="K972" s="23"/>
      <c r="L972" s="94"/>
      <c r="M972" s="23"/>
      <c r="N972" s="23"/>
      <c r="O972" s="24"/>
      <c r="P972" s="33"/>
      <c r="Q972" s="25"/>
    </row>
    <row r="973" ht="25.5" customHeight="1">
      <c r="A973" s="26"/>
      <c r="B973" s="32"/>
      <c r="C973" s="17"/>
      <c r="D973" s="34" t="str">
        <f>vlookup($C973,CSDL!$A:$E,2,0)</f>
        <v>#N/A</v>
      </c>
      <c r="E973" s="97" t="str">
        <f>vlookup($C973,CSDL!$A:$E,3,0)</f>
        <v>#N/A</v>
      </c>
      <c r="F973" s="19" t="str">
        <f>vlookup($C973,CSDL!$A:$E,4,0)</f>
        <v>#N/A</v>
      </c>
      <c r="G973" s="27" t="str">
        <f>vlookup($C973,CSDL!$A:$E,5,0)</f>
        <v>#N/A</v>
      </c>
      <c r="H973" s="32"/>
      <c r="I973" s="29"/>
      <c r="J973" s="29"/>
      <c r="K973" s="29"/>
      <c r="L973" s="94"/>
      <c r="M973" s="29"/>
      <c r="N973" s="29"/>
      <c r="O973" s="71"/>
      <c r="P973" s="26"/>
      <c r="Q973" s="32"/>
    </row>
    <row r="974" ht="25.5" customHeight="1">
      <c r="A974" s="33"/>
      <c r="B974" s="25"/>
      <c r="C974" s="17"/>
      <c r="D974" s="34" t="str">
        <f>vlookup($C974,CSDL!$A:$E,2,0)</f>
        <v>#N/A</v>
      </c>
      <c r="E974" s="19" t="str">
        <f>vlookup($C974,CSDL!$A:$E,3,0)</f>
        <v>#N/A</v>
      </c>
      <c r="F974" s="19" t="str">
        <f>vlookup($C974,CSDL!$A:$E,4,0)</f>
        <v>#N/A</v>
      </c>
      <c r="G974" s="20" t="str">
        <f>vlookup($C974,CSDL!$A:$E,5,0)</f>
        <v>#N/A</v>
      </c>
      <c r="H974" s="25"/>
      <c r="I974" s="23"/>
      <c r="J974" s="23"/>
      <c r="K974" s="23"/>
      <c r="L974" s="94"/>
      <c r="M974" s="78"/>
      <c r="N974" s="78"/>
      <c r="O974" s="69"/>
      <c r="P974" s="33"/>
      <c r="Q974" s="25"/>
    </row>
    <row r="975" ht="25.5" customHeight="1">
      <c r="A975" s="26"/>
      <c r="B975" s="32"/>
      <c r="C975" s="17"/>
      <c r="D975" s="34" t="str">
        <f>vlookup($C975,CSDL!$A:$E,2,0)</f>
        <v>#N/A</v>
      </c>
      <c r="E975" s="97" t="str">
        <f>vlookup($C975,CSDL!$A:$E,3,0)</f>
        <v>#N/A</v>
      </c>
      <c r="F975" s="19" t="str">
        <f>vlookup($C975,CSDL!$A:$E,4,0)</f>
        <v>#N/A</v>
      </c>
      <c r="G975" s="27" t="str">
        <f>vlookup($C975,CSDL!$A:$E,5,0)</f>
        <v>#N/A</v>
      </c>
      <c r="H975" s="32"/>
      <c r="I975" s="29"/>
      <c r="J975" s="29"/>
      <c r="K975" s="29"/>
      <c r="L975" s="94"/>
      <c r="M975" s="29"/>
      <c r="N975" s="29"/>
      <c r="O975" s="30"/>
      <c r="P975" s="26"/>
      <c r="Q975" s="32"/>
    </row>
    <row r="976" ht="25.5" customHeight="1">
      <c r="A976" s="33"/>
      <c r="B976" s="16"/>
      <c r="C976" s="17"/>
      <c r="D976" s="34" t="str">
        <f>vlookup($C976,CSDL!$A:$E,2,0)</f>
        <v>#N/A</v>
      </c>
      <c r="E976" s="19" t="str">
        <f>vlookup($C976,CSDL!$A:$E,3,0)</f>
        <v>#N/A</v>
      </c>
      <c r="F976" s="19" t="str">
        <f>vlookup($C976,CSDL!$A:$E,4,0)</f>
        <v>#N/A</v>
      </c>
      <c r="G976" s="20" t="str">
        <f>vlookup($C976,CSDL!$A:$E,5,0)</f>
        <v>#N/A</v>
      </c>
      <c r="H976" s="25"/>
      <c r="I976" s="23"/>
      <c r="J976" s="23"/>
      <c r="K976" s="23"/>
      <c r="L976" s="94"/>
      <c r="M976" s="23"/>
      <c r="N976" s="23"/>
      <c r="O976" s="24"/>
      <c r="P976" s="33"/>
      <c r="Q976" s="25"/>
    </row>
    <row r="977" ht="25.5" customHeight="1">
      <c r="A977" s="26"/>
      <c r="B977" s="28"/>
      <c r="C977" s="17"/>
      <c r="D977" s="34" t="str">
        <f>vlookup($C977,CSDL!$A:$E,2,0)</f>
        <v>#N/A</v>
      </c>
      <c r="E977" s="97" t="str">
        <f>vlookup($C977,CSDL!$A:$E,3,0)</f>
        <v>#N/A</v>
      </c>
      <c r="F977" s="19" t="str">
        <f>vlookup($C977,CSDL!$A:$E,4,0)</f>
        <v>#N/A</v>
      </c>
      <c r="G977" s="27" t="str">
        <f>vlookup($C977,CSDL!$A:$E,5,0)</f>
        <v>#N/A</v>
      </c>
      <c r="H977" s="32"/>
      <c r="I977" s="75"/>
      <c r="J977" s="29"/>
      <c r="K977" s="29"/>
      <c r="L977" s="94"/>
      <c r="M977" s="75"/>
      <c r="N977" s="75"/>
      <c r="O977" s="71"/>
      <c r="P977" s="26"/>
      <c r="Q977" s="32"/>
    </row>
    <row r="978" ht="25.5" customHeight="1">
      <c r="A978" s="33"/>
      <c r="B978" s="16"/>
      <c r="C978" s="17"/>
      <c r="D978" s="34" t="str">
        <f>vlookup($C978,CSDL!$A:$E,2,0)</f>
        <v>#N/A</v>
      </c>
      <c r="E978" s="19" t="str">
        <f>vlookup($C978,CSDL!$A:$E,3,0)</f>
        <v>#N/A</v>
      </c>
      <c r="F978" s="19" t="str">
        <f>vlookup($C978,CSDL!$A:$E,4,0)</f>
        <v>#N/A</v>
      </c>
      <c r="G978" s="20" t="str">
        <f>vlookup($C978,CSDL!$A:$E,5,0)</f>
        <v>#N/A</v>
      </c>
      <c r="H978" s="25"/>
      <c r="I978" s="23"/>
      <c r="J978" s="78"/>
      <c r="K978" s="78"/>
      <c r="L978" s="94"/>
      <c r="M978" s="78"/>
      <c r="N978" s="78"/>
      <c r="O978" s="69"/>
      <c r="P978" s="33"/>
      <c r="Q978" s="25"/>
    </row>
    <row r="979" ht="25.5" customHeight="1">
      <c r="A979" s="26"/>
      <c r="B979" s="28"/>
      <c r="C979" s="17"/>
      <c r="D979" s="34" t="str">
        <f>vlookup($C979,CSDL!$A:$E,2,0)</f>
        <v>#N/A</v>
      </c>
      <c r="E979" s="97" t="str">
        <f>vlookup($C979,CSDL!$A:$E,3,0)</f>
        <v>#N/A</v>
      </c>
      <c r="F979" s="19" t="str">
        <f>vlookup($C979,CSDL!$A:$E,4,0)</f>
        <v>#N/A</v>
      </c>
      <c r="G979" s="27" t="str">
        <f>vlookup($C979,CSDL!$A:$E,5,0)</f>
        <v>#N/A</v>
      </c>
      <c r="H979" s="32"/>
      <c r="I979" s="29"/>
      <c r="J979" s="29"/>
      <c r="K979" s="29"/>
      <c r="L979" s="94"/>
      <c r="M979" s="29"/>
      <c r="N979" s="29"/>
      <c r="O979" s="30"/>
      <c r="P979" s="26"/>
      <c r="Q979" s="32"/>
    </row>
    <row r="980" ht="25.5" customHeight="1">
      <c r="A980" s="33"/>
      <c r="B980" s="16"/>
      <c r="C980" s="17"/>
      <c r="D980" s="34" t="str">
        <f>vlookup($C980,CSDL!$A:$E,2,0)</f>
        <v>#N/A</v>
      </c>
      <c r="E980" s="19" t="str">
        <f>vlookup($C980,CSDL!$A:$E,3,0)</f>
        <v>#N/A</v>
      </c>
      <c r="F980" s="19" t="str">
        <f>vlookup($C980,CSDL!$A:$E,4,0)</f>
        <v>#N/A</v>
      </c>
      <c r="G980" s="20" t="str">
        <f>vlookup($C980,CSDL!$A:$E,5,0)</f>
        <v>#N/A</v>
      </c>
      <c r="H980" s="25"/>
      <c r="I980" s="23"/>
      <c r="J980" s="23"/>
      <c r="K980" s="23"/>
      <c r="L980" s="94"/>
      <c r="M980" s="78"/>
      <c r="N980" s="78"/>
      <c r="O980" s="69"/>
      <c r="P980" s="33"/>
      <c r="Q980" s="25"/>
    </row>
    <row r="981" ht="25.5" customHeight="1">
      <c r="A981" s="26"/>
      <c r="B981" s="28"/>
      <c r="C981" s="17"/>
      <c r="D981" s="34" t="str">
        <f>vlookup($C981,CSDL!$A:$E,2,0)</f>
        <v>#N/A</v>
      </c>
      <c r="E981" s="97" t="str">
        <f>vlookup($C981,CSDL!$A:$E,3,0)</f>
        <v>#N/A</v>
      </c>
      <c r="F981" s="19" t="str">
        <f>vlookup($C981,CSDL!$A:$E,4,0)</f>
        <v>#N/A</v>
      </c>
      <c r="G981" s="27" t="str">
        <f>vlookup($C981,CSDL!$A:$E,5,0)</f>
        <v>#N/A</v>
      </c>
      <c r="H981" s="32"/>
      <c r="I981" s="29"/>
      <c r="J981" s="29"/>
      <c r="K981" s="29"/>
      <c r="L981" s="94"/>
      <c r="M981" s="75"/>
      <c r="N981" s="75"/>
      <c r="O981" s="71"/>
      <c r="P981" s="26"/>
      <c r="Q981" s="32"/>
    </row>
    <row r="982" ht="25.5" customHeight="1">
      <c r="A982" s="33"/>
      <c r="B982" s="16"/>
      <c r="C982" s="17"/>
      <c r="D982" s="34" t="str">
        <f>vlookup($C982,CSDL!$A:$E,2,0)</f>
        <v>#N/A</v>
      </c>
      <c r="E982" s="19" t="str">
        <f>vlookup($C982,CSDL!$A:$E,3,0)</f>
        <v>#N/A</v>
      </c>
      <c r="F982" s="19" t="str">
        <f>vlookup($C982,CSDL!$A:$E,4,0)</f>
        <v>#N/A</v>
      </c>
      <c r="G982" s="20" t="str">
        <f>vlookup($C982,CSDL!$A:$E,5,0)</f>
        <v>#N/A</v>
      </c>
      <c r="H982" s="25"/>
      <c r="I982" s="23"/>
      <c r="J982" s="23"/>
      <c r="K982" s="23"/>
      <c r="L982" s="94"/>
      <c r="M982" s="23"/>
      <c r="N982" s="23"/>
      <c r="O982" s="69"/>
      <c r="P982" s="33"/>
      <c r="Q982" s="25"/>
    </row>
    <row r="983" ht="25.5" customHeight="1">
      <c r="A983" s="26"/>
      <c r="B983" s="32"/>
      <c r="C983" s="17"/>
      <c r="D983" s="34" t="str">
        <f>vlookup($C983,CSDL!$A:$E,2,0)</f>
        <v>#N/A</v>
      </c>
      <c r="E983" s="97" t="str">
        <f>vlookup($C983,CSDL!$A:$E,3,0)</f>
        <v>#N/A</v>
      </c>
      <c r="F983" s="19" t="str">
        <f>vlookup($C983,CSDL!$A:$E,4,0)</f>
        <v>#N/A</v>
      </c>
      <c r="G983" s="27" t="str">
        <f>vlookup($C983,CSDL!$A:$E,5,0)</f>
        <v>#N/A</v>
      </c>
      <c r="H983" s="32"/>
      <c r="I983" s="75"/>
      <c r="J983" s="29"/>
      <c r="K983" s="29"/>
      <c r="L983" s="94"/>
      <c r="M983" s="29"/>
      <c r="N983" s="29"/>
      <c r="O983" s="30"/>
      <c r="P983" s="26"/>
      <c r="Q983" s="32"/>
    </row>
    <row r="984" ht="25.5" customHeight="1">
      <c r="A984" s="33"/>
      <c r="B984" s="25"/>
      <c r="C984" s="17"/>
      <c r="D984" s="34" t="str">
        <f>vlookup($C984,CSDL!$A:$E,2,0)</f>
        <v>#N/A</v>
      </c>
      <c r="E984" s="19" t="str">
        <f>vlookup($C984,CSDL!$A:$E,3,0)</f>
        <v>#N/A</v>
      </c>
      <c r="F984" s="19" t="str">
        <f>vlookup($C984,CSDL!$A:$E,4,0)</f>
        <v>#N/A</v>
      </c>
      <c r="G984" s="20" t="str">
        <f>vlookup($C984,CSDL!$A:$E,5,0)</f>
        <v>#N/A</v>
      </c>
      <c r="H984" s="25"/>
      <c r="I984" s="23"/>
      <c r="J984" s="78"/>
      <c r="K984" s="78"/>
      <c r="L984" s="94"/>
      <c r="M984" s="23"/>
      <c r="N984" s="23"/>
      <c r="O984" s="24"/>
      <c r="P984" s="33"/>
      <c r="Q984" s="25"/>
    </row>
    <row r="985" ht="25.5" customHeight="1">
      <c r="A985" s="26"/>
      <c r="B985" s="32"/>
      <c r="C985" s="17"/>
      <c r="D985" s="34" t="str">
        <f>vlookup($C985,CSDL!$A:$E,2,0)</f>
        <v>#N/A</v>
      </c>
      <c r="E985" s="97" t="str">
        <f>vlookup($C985,CSDL!$A:$E,3,0)</f>
        <v>#N/A</v>
      </c>
      <c r="F985" s="19" t="str">
        <f>vlookup($C985,CSDL!$A:$E,4,0)</f>
        <v>#N/A</v>
      </c>
      <c r="G985" s="27" t="str">
        <f>vlookup($C985,CSDL!$A:$E,5,0)</f>
        <v>#N/A</v>
      </c>
      <c r="H985" s="32"/>
      <c r="I985" s="29"/>
      <c r="J985" s="29"/>
      <c r="K985" s="29"/>
      <c r="L985" s="94"/>
      <c r="M985" s="29"/>
      <c r="N985" s="29"/>
      <c r="O985" s="30"/>
      <c r="P985" s="26"/>
      <c r="Q985" s="32"/>
    </row>
    <row r="986" ht="25.5" customHeight="1">
      <c r="A986" s="33"/>
      <c r="B986" s="25"/>
      <c r="C986" s="17"/>
      <c r="D986" s="34" t="str">
        <f>vlookup($C986,CSDL!$A:$E,2,0)</f>
        <v>#N/A</v>
      </c>
      <c r="E986" s="19" t="str">
        <f>vlookup($C986,CSDL!$A:$E,3,0)</f>
        <v>#N/A</v>
      </c>
      <c r="F986" s="19" t="str">
        <f>vlookup($C986,CSDL!$A:$E,4,0)</f>
        <v>#N/A</v>
      </c>
      <c r="G986" s="20" t="str">
        <f>vlookup($C986,CSDL!$A:$E,5,0)</f>
        <v>#N/A</v>
      </c>
      <c r="H986" s="25"/>
      <c r="I986" s="23"/>
      <c r="J986" s="23"/>
      <c r="K986" s="23"/>
      <c r="L986" s="22"/>
      <c r="M986" s="23"/>
      <c r="N986" s="23"/>
      <c r="O986" s="69"/>
      <c r="P986" s="33"/>
      <c r="Q986" s="25"/>
    </row>
    <row r="987" ht="25.5" customHeight="1">
      <c r="A987" s="26"/>
      <c r="B987" s="32"/>
      <c r="C987" s="17"/>
      <c r="D987" s="34" t="str">
        <f>vlookup($C987,CSDL!$A:$E,2,0)</f>
        <v>#N/A</v>
      </c>
      <c r="E987" s="97" t="str">
        <f>vlookup($C987,CSDL!$A:$E,3,0)</f>
        <v>#N/A</v>
      </c>
      <c r="F987" s="19" t="str">
        <f>vlookup($C987,CSDL!$A:$E,4,0)</f>
        <v>#N/A</v>
      </c>
      <c r="G987" s="27" t="str">
        <f>vlookup($C987,CSDL!$A:$E,5,0)</f>
        <v>#N/A</v>
      </c>
      <c r="H987" s="32"/>
      <c r="I987" s="29"/>
      <c r="J987" s="29"/>
      <c r="K987" s="29"/>
      <c r="L987" s="94"/>
      <c r="M987" s="29"/>
      <c r="N987" s="29"/>
      <c r="O987" s="71"/>
      <c r="P987" s="26"/>
      <c r="Q987" s="32"/>
    </row>
    <row r="988" ht="25.5" customHeight="1">
      <c r="A988" s="33"/>
      <c r="B988" s="16"/>
      <c r="C988" s="17"/>
      <c r="D988" s="34" t="str">
        <f>vlookup($C988,CSDL!$A:$E,2,0)</f>
        <v>#N/A</v>
      </c>
      <c r="E988" s="19" t="str">
        <f>vlookup($C988,CSDL!$A:$E,3,0)</f>
        <v>#N/A</v>
      </c>
      <c r="F988" s="19" t="str">
        <f>vlookup($C988,CSDL!$A:$E,4,0)</f>
        <v>#N/A</v>
      </c>
      <c r="G988" s="20" t="str">
        <f>vlookup($C988,CSDL!$A:$E,5,0)</f>
        <v>#N/A</v>
      </c>
      <c r="H988" s="25"/>
      <c r="I988" s="23"/>
      <c r="J988" s="23"/>
      <c r="K988" s="23"/>
      <c r="L988" s="94"/>
      <c r="M988" s="23"/>
      <c r="N988" s="23"/>
      <c r="O988" s="24"/>
      <c r="P988" s="33"/>
      <c r="Q988" s="25"/>
    </row>
    <row r="989" ht="25.5" customHeight="1">
      <c r="A989" s="26"/>
      <c r="B989" s="32"/>
      <c r="C989" s="17"/>
      <c r="D989" s="34" t="str">
        <f>vlookup($C989,CSDL!$A:$E,2,0)</f>
        <v>#N/A</v>
      </c>
      <c r="E989" s="97" t="str">
        <f>vlookup($C989,CSDL!$A:$E,3,0)</f>
        <v>#N/A</v>
      </c>
      <c r="F989" s="19" t="str">
        <f>vlookup($C989,CSDL!$A:$E,4,0)</f>
        <v>#N/A</v>
      </c>
      <c r="G989" s="27" t="str">
        <f>vlookup($C989,CSDL!$A:$E,5,0)</f>
        <v>#N/A</v>
      </c>
      <c r="H989" s="32"/>
      <c r="I989" s="29"/>
      <c r="J989" s="29"/>
      <c r="K989" s="29"/>
      <c r="L989" s="94"/>
      <c r="M989" s="29"/>
      <c r="N989" s="29"/>
      <c r="O989" s="71"/>
      <c r="P989" s="26"/>
      <c r="Q989" s="32"/>
    </row>
    <row r="990" ht="25.5" customHeight="1">
      <c r="A990" s="33"/>
      <c r="B990" s="25"/>
      <c r="C990" s="17"/>
      <c r="D990" s="34" t="str">
        <f>vlookup($C990,CSDL!$A:$E,2,0)</f>
        <v>#N/A</v>
      </c>
      <c r="E990" s="19" t="str">
        <f>vlookup($C990,CSDL!$A:$E,3,0)</f>
        <v>#N/A</v>
      </c>
      <c r="F990" s="19" t="str">
        <f>vlookup($C990,CSDL!$A:$E,4,0)</f>
        <v>#N/A</v>
      </c>
      <c r="G990" s="20" t="str">
        <f>vlookup($C990,CSDL!$A:$E,5,0)</f>
        <v>#N/A</v>
      </c>
      <c r="H990" s="25"/>
      <c r="I990" s="23"/>
      <c r="J990" s="23"/>
      <c r="K990" s="23"/>
      <c r="L990" s="94"/>
      <c r="M990" s="78"/>
      <c r="N990" s="78"/>
      <c r="O990" s="69"/>
      <c r="P990" s="33"/>
      <c r="Q990" s="25"/>
    </row>
    <row r="991" ht="25.5" customHeight="1">
      <c r="A991" s="26"/>
      <c r="B991" s="32"/>
      <c r="C991" s="17"/>
      <c r="D991" s="34" t="str">
        <f>vlookup($C991,CSDL!$A:$E,2,0)</f>
        <v>#N/A</v>
      </c>
      <c r="E991" s="97" t="str">
        <f>vlookup($C991,CSDL!$A:$E,3,0)</f>
        <v>#N/A</v>
      </c>
      <c r="F991" s="19" t="str">
        <f>vlookup($C991,CSDL!$A:$E,4,0)</f>
        <v>#N/A</v>
      </c>
      <c r="G991" s="27" t="str">
        <f>vlookup($C991,CSDL!$A:$E,5,0)</f>
        <v>#N/A</v>
      </c>
      <c r="H991" s="32"/>
      <c r="I991" s="99"/>
      <c r="J991" s="29"/>
      <c r="K991" s="29"/>
      <c r="L991" s="94"/>
      <c r="M991" s="29"/>
      <c r="N991" s="29"/>
      <c r="O991" s="30"/>
      <c r="P991" s="26"/>
      <c r="Q991" s="32"/>
    </row>
    <row r="992" ht="25.5" customHeight="1">
      <c r="A992" s="33"/>
      <c r="B992" s="43"/>
      <c r="C992" s="100"/>
      <c r="D992" s="34" t="str">
        <f>vlookup($C992,CSDL!$A:$E,2,0)</f>
        <v>#N/A</v>
      </c>
      <c r="E992" s="19" t="str">
        <f>vlookup($C992,CSDL!$A:$E,3,0)</f>
        <v>#N/A</v>
      </c>
      <c r="F992" s="19" t="str">
        <f>vlookup($C992,CSDL!$A:$E,4,0)</f>
        <v>#N/A</v>
      </c>
      <c r="G992" s="20" t="str">
        <f>vlookup($C992,CSDL!$A:$E,5,0)</f>
        <v>#N/A</v>
      </c>
      <c r="H992" s="43"/>
      <c r="I992" s="78"/>
      <c r="J992" s="101"/>
      <c r="K992" s="101"/>
      <c r="L992" s="102"/>
      <c r="M992" s="101"/>
      <c r="N992" s="101"/>
      <c r="O992" s="43"/>
      <c r="P992" s="65"/>
      <c r="Q992" s="43"/>
    </row>
    <row r="993" ht="25.5" customHeight="1">
      <c r="A993" s="26"/>
      <c r="B993" s="32"/>
      <c r="C993" s="17"/>
      <c r="D993" s="34" t="str">
        <f>vlookup($C993,CSDL!$A:$E,2,0)</f>
        <v>#N/A</v>
      </c>
      <c r="E993" s="97" t="str">
        <f>vlookup($C993,CSDL!$A:$E,3,0)</f>
        <v>#N/A</v>
      </c>
      <c r="F993" s="19" t="str">
        <f>vlookup($C993,CSDL!$A:$E,4,0)</f>
        <v>#N/A</v>
      </c>
      <c r="G993" s="27" t="str">
        <f>vlookup($C993,CSDL!$A:$E,5,0)</f>
        <v>#N/A</v>
      </c>
      <c r="H993" s="32"/>
      <c r="I993" s="75"/>
      <c r="J993" s="75"/>
      <c r="K993" s="75"/>
      <c r="L993" s="94"/>
      <c r="M993" s="75"/>
      <c r="N993" s="75"/>
      <c r="O993" s="71"/>
      <c r="P993" s="26"/>
      <c r="Q993" s="32"/>
    </row>
    <row r="994" ht="25.5" customHeight="1">
      <c r="A994" s="33"/>
      <c r="B994" s="25"/>
      <c r="C994" s="17"/>
      <c r="D994" s="34" t="str">
        <f>vlookup($C994,CSDL!$A:$E,2,0)</f>
        <v>#N/A</v>
      </c>
      <c r="E994" s="19" t="str">
        <f>vlookup($C994,CSDL!$A:$E,3,0)</f>
        <v>#N/A</v>
      </c>
      <c r="F994" s="19" t="str">
        <f>vlookup($C994,CSDL!$A:$E,4,0)</f>
        <v>#N/A</v>
      </c>
      <c r="G994" s="20" t="str">
        <f>vlookup($C994,CSDL!$A:$E,5,0)</f>
        <v>#N/A</v>
      </c>
      <c r="H994" s="25"/>
      <c r="I994" s="78"/>
      <c r="J994" s="78"/>
      <c r="K994" s="78"/>
      <c r="L994" s="94"/>
      <c r="M994" s="78"/>
      <c r="N994" s="78"/>
      <c r="O994" s="69"/>
      <c r="P994" s="33"/>
      <c r="Q994" s="25"/>
    </row>
    <row r="995" ht="25.5" customHeight="1">
      <c r="A995" s="26"/>
      <c r="B995" s="32"/>
      <c r="C995" s="17"/>
      <c r="D995" s="34" t="str">
        <f>vlookup($C995,CSDL!$A:$E,2,0)</f>
        <v>#N/A</v>
      </c>
      <c r="E995" s="97" t="str">
        <f>vlookup($C995,CSDL!$A:$E,3,0)</f>
        <v>#N/A</v>
      </c>
      <c r="F995" s="19" t="str">
        <f>vlookup($C995,CSDL!$A:$E,4,0)</f>
        <v>#N/A</v>
      </c>
      <c r="G995" s="27" t="str">
        <f>vlookup($C995,CSDL!$A:$E,5,0)</f>
        <v>#N/A</v>
      </c>
      <c r="H995" s="32"/>
      <c r="I995" s="75"/>
      <c r="J995" s="75"/>
      <c r="K995" s="75"/>
      <c r="L995" s="94"/>
      <c r="M995" s="75"/>
      <c r="N995" s="75"/>
      <c r="O995" s="71"/>
      <c r="P995" s="26"/>
      <c r="Q995" s="32"/>
    </row>
    <row r="996" ht="25.5" customHeight="1">
      <c r="A996" s="33"/>
      <c r="B996" s="25"/>
      <c r="C996" s="17"/>
      <c r="D996" s="34" t="str">
        <f>vlookup($C996,CSDL!$A:$E,2,0)</f>
        <v>#N/A</v>
      </c>
      <c r="E996" s="19" t="str">
        <f>vlookup($C996,CSDL!$A:$E,3,0)</f>
        <v>#N/A</v>
      </c>
      <c r="F996" s="19" t="str">
        <f>vlookup($C996,CSDL!$A:$E,4,0)</f>
        <v>#N/A</v>
      </c>
      <c r="G996" s="20" t="str">
        <f>vlookup($C996,CSDL!$A:$E,5,0)</f>
        <v>#N/A</v>
      </c>
      <c r="H996" s="25"/>
      <c r="I996" s="78"/>
      <c r="J996" s="78"/>
      <c r="K996" s="78"/>
      <c r="L996" s="94"/>
      <c r="M996" s="78"/>
      <c r="N996" s="78"/>
      <c r="O996" s="69"/>
      <c r="P996" s="33"/>
      <c r="Q996" s="25"/>
    </row>
    <row r="997" ht="25.5" customHeight="1">
      <c r="A997" s="26"/>
      <c r="B997" s="32"/>
      <c r="C997" s="17"/>
      <c r="D997" s="34" t="str">
        <f>vlookup($C997,CSDL!$A:$E,2,0)</f>
        <v>#N/A</v>
      </c>
      <c r="E997" s="97" t="str">
        <f>vlookup($C997,CSDL!$A:$E,3,0)</f>
        <v>#N/A</v>
      </c>
      <c r="F997" s="19" t="str">
        <f>vlookup($C997,CSDL!$A:$E,4,0)</f>
        <v>#N/A</v>
      </c>
      <c r="G997" s="27" t="str">
        <f>vlookup($C997,CSDL!$A:$E,5,0)</f>
        <v>#N/A</v>
      </c>
      <c r="H997" s="32"/>
      <c r="I997" s="75"/>
      <c r="J997" s="75"/>
      <c r="K997" s="75"/>
      <c r="L997" s="94"/>
      <c r="M997" s="75"/>
      <c r="N997" s="75"/>
      <c r="O997" s="71"/>
      <c r="P997" s="26"/>
      <c r="Q997" s="32"/>
    </row>
    <row r="998" ht="25.5" customHeight="1">
      <c r="A998" s="33"/>
      <c r="B998" s="25"/>
      <c r="C998" s="17"/>
      <c r="D998" s="34" t="str">
        <f>vlookup($C998,CSDL!$A:$E,2,0)</f>
        <v>#N/A</v>
      </c>
      <c r="E998" s="19" t="str">
        <f>vlookup($C998,CSDL!$A:$E,3,0)</f>
        <v>#N/A</v>
      </c>
      <c r="F998" s="19" t="str">
        <f>vlookup($C998,CSDL!$A:$E,4,0)</f>
        <v>#N/A</v>
      </c>
      <c r="G998" s="20" t="str">
        <f>vlookup($C998,CSDL!$A:$E,5,0)</f>
        <v>#N/A</v>
      </c>
      <c r="H998" s="25"/>
      <c r="I998" s="78"/>
      <c r="J998" s="78"/>
      <c r="K998" s="78"/>
      <c r="L998" s="94"/>
      <c r="M998" s="78"/>
      <c r="N998" s="78"/>
      <c r="O998" s="69"/>
      <c r="P998" s="33"/>
      <c r="Q998" s="25"/>
    </row>
    <row r="999" ht="25.5" customHeight="1">
      <c r="A999" s="26"/>
      <c r="B999" s="32"/>
      <c r="C999" s="17"/>
      <c r="D999" s="34" t="str">
        <f>vlookup($C999,CSDL!$A:$E,2,0)</f>
        <v>#N/A</v>
      </c>
      <c r="E999" s="97" t="str">
        <f>vlookup($C999,CSDL!$A:$E,3,0)</f>
        <v>#N/A</v>
      </c>
      <c r="F999" s="19" t="str">
        <f>vlookup($C999,CSDL!$A:$E,4,0)</f>
        <v>#N/A</v>
      </c>
      <c r="G999" s="27" t="str">
        <f>vlookup($C999,CSDL!$A:$E,5,0)</f>
        <v>#N/A</v>
      </c>
      <c r="H999" s="32"/>
      <c r="I999" s="75"/>
      <c r="J999" s="75"/>
      <c r="K999" s="75"/>
      <c r="L999" s="94"/>
      <c r="M999" s="75"/>
      <c r="N999" s="75"/>
      <c r="O999" s="71"/>
      <c r="P999" s="26"/>
      <c r="Q999" s="32"/>
    </row>
    <row r="1000" ht="25.5" customHeight="1">
      <c r="A1000" s="33"/>
      <c r="B1000" s="25"/>
      <c r="C1000" s="17"/>
      <c r="D1000" s="34" t="str">
        <f>vlookup($C1000,CSDL!$A:$E,2,0)</f>
        <v>#N/A</v>
      </c>
      <c r="E1000" s="19" t="str">
        <f>vlookup($C1000,CSDL!$A:$E,3,0)</f>
        <v>#N/A</v>
      </c>
      <c r="F1000" s="19" t="str">
        <f>vlookup($C1000,CSDL!$A:$E,4,0)</f>
        <v>#N/A</v>
      </c>
      <c r="G1000" s="20" t="str">
        <f>vlookup($C1000,CSDL!$A:$E,5,0)</f>
        <v>#N/A</v>
      </c>
      <c r="H1000" s="25"/>
      <c r="I1000" s="78"/>
      <c r="J1000" s="78"/>
      <c r="K1000" s="78"/>
      <c r="L1000" s="94"/>
      <c r="M1000" s="78"/>
      <c r="N1000" s="78"/>
      <c r="O1000" s="69"/>
      <c r="P1000" s="33"/>
      <c r="Q1000" s="25"/>
    </row>
    <row r="1001" ht="25.5" customHeight="1">
      <c r="A1001" s="26"/>
      <c r="B1001" s="32"/>
      <c r="C1001" s="17"/>
      <c r="D1001" s="34" t="str">
        <f>vlookup($C1001,CSDL!$A:$E,2,0)</f>
        <v>#N/A</v>
      </c>
      <c r="E1001" s="97" t="str">
        <f>vlookup($C1001,CSDL!$A:$E,3,0)</f>
        <v>#N/A</v>
      </c>
      <c r="F1001" s="97" t="str">
        <f>vlookup($C1001,CSDL!$A:$E,4,0)</f>
        <v>#N/A</v>
      </c>
      <c r="G1001" s="27" t="str">
        <f>vlookup($C1001,CSDL!$A:$E,5,0)</f>
        <v>#N/A</v>
      </c>
      <c r="H1001" s="32"/>
      <c r="I1001" s="75"/>
      <c r="J1001" s="75"/>
      <c r="K1001" s="75"/>
      <c r="L1001" s="94"/>
      <c r="M1001" s="75"/>
      <c r="N1001" s="75"/>
      <c r="O1001" s="71"/>
      <c r="P1001" s="26"/>
      <c r="Q1001" s="32"/>
    </row>
    <row r="1002" ht="25.5" customHeight="1">
      <c r="A1002" s="33"/>
      <c r="B1002" s="25"/>
      <c r="C1002" s="17"/>
      <c r="D1002" s="34" t="str">
        <f>vlookup($C1002,CSDL!$A:$E,2,0)</f>
        <v>#N/A</v>
      </c>
      <c r="E1002" s="19" t="str">
        <f>vlookup($C1002,CSDL!$A:$E,3,0)</f>
        <v>#N/A</v>
      </c>
      <c r="F1002" s="19" t="str">
        <f>vlookup($C1002,CSDL!$A:$E,4,0)</f>
        <v>#N/A</v>
      </c>
      <c r="G1002" s="20" t="str">
        <f>vlookup($C1002,CSDL!$A:$E,5,0)</f>
        <v>#N/A</v>
      </c>
      <c r="H1002" s="25"/>
      <c r="I1002" s="78"/>
      <c r="J1002" s="78"/>
      <c r="K1002" s="78"/>
      <c r="L1002" s="94"/>
      <c r="M1002" s="78"/>
      <c r="N1002" s="78"/>
      <c r="O1002" s="69"/>
      <c r="P1002" s="33"/>
      <c r="Q1002" s="25"/>
    </row>
    <row r="1003" ht="25.5" customHeight="1">
      <c r="A1003" s="26"/>
      <c r="B1003" s="32"/>
      <c r="C1003" s="17"/>
      <c r="D1003" s="34" t="str">
        <f>vlookup($C1003,CSDL!$A:$E,2,0)</f>
        <v>#N/A</v>
      </c>
      <c r="E1003" s="97" t="str">
        <f>vlookup($C1003,CSDL!$A:$E,3,0)</f>
        <v>#N/A</v>
      </c>
      <c r="F1003" s="97" t="str">
        <f>vlookup($C1003,CSDL!$A:$E,4,0)</f>
        <v>#N/A</v>
      </c>
      <c r="G1003" s="27" t="str">
        <f>vlookup($C1003,CSDL!$A:$E,5,0)</f>
        <v>#N/A</v>
      </c>
      <c r="H1003" s="32"/>
      <c r="I1003" s="75"/>
      <c r="J1003" s="75"/>
      <c r="K1003" s="75"/>
      <c r="L1003" s="94"/>
      <c r="M1003" s="75"/>
      <c r="N1003" s="75"/>
      <c r="O1003" s="71"/>
      <c r="P1003" s="26"/>
      <c r="Q1003" s="32"/>
    </row>
    <row r="1004" ht="25.5" customHeight="1">
      <c r="A1004" s="33"/>
      <c r="B1004" s="25"/>
      <c r="C1004" s="17"/>
      <c r="D1004" s="34" t="str">
        <f>vlookup($C1004,CSDL!$A:$E,2,0)</f>
        <v>#N/A</v>
      </c>
      <c r="E1004" s="19" t="str">
        <f>vlookup($C1004,CSDL!$A:$E,3,0)</f>
        <v>#N/A</v>
      </c>
      <c r="F1004" s="19" t="str">
        <f>vlookup($C1004,CSDL!$A:$E,4,0)</f>
        <v>#N/A</v>
      </c>
      <c r="G1004" s="20" t="str">
        <f>vlookup($C1004,CSDL!$A:$E,5,0)</f>
        <v>#N/A</v>
      </c>
      <c r="H1004" s="25"/>
      <c r="I1004" s="78"/>
      <c r="J1004" s="78"/>
      <c r="K1004" s="78"/>
      <c r="L1004" s="94"/>
      <c r="M1004" s="78"/>
      <c r="N1004" s="78"/>
      <c r="O1004" s="69"/>
      <c r="P1004" s="33"/>
      <c r="Q1004" s="25"/>
    </row>
    <row r="1005" ht="25.5" customHeight="1">
      <c r="A1005" s="26"/>
      <c r="B1005" s="32"/>
      <c r="C1005" s="17"/>
      <c r="D1005" s="34" t="str">
        <f>vlookup($C1005,CSDL!$A:$E,2,0)</f>
        <v>#N/A</v>
      </c>
      <c r="E1005" s="97" t="str">
        <f>vlookup($C1005,CSDL!$A:$E,3,0)</f>
        <v>#N/A</v>
      </c>
      <c r="F1005" s="97" t="str">
        <f>vlookup($C1005,CSDL!$A:$E,4,0)</f>
        <v>#N/A</v>
      </c>
      <c r="G1005" s="27" t="str">
        <f>vlookup($C1005,CSDL!$A:$E,5,0)</f>
        <v>#N/A</v>
      </c>
      <c r="H1005" s="32"/>
      <c r="I1005" s="75"/>
      <c r="J1005" s="75"/>
      <c r="K1005" s="75"/>
      <c r="L1005" s="94"/>
      <c r="M1005" s="75"/>
      <c r="N1005" s="75"/>
      <c r="O1005" s="71"/>
      <c r="P1005" s="26"/>
      <c r="Q1005" s="32"/>
    </row>
    <row r="1006" ht="25.5" customHeight="1">
      <c r="A1006" s="33"/>
      <c r="B1006" s="25"/>
      <c r="C1006" s="17"/>
      <c r="D1006" s="34" t="str">
        <f>vlookup($C1006,CSDL!$A:$E,2,0)</f>
        <v>#N/A</v>
      </c>
      <c r="E1006" s="19" t="str">
        <f>vlookup($C1006,CSDL!$A:$E,3,0)</f>
        <v>#N/A</v>
      </c>
      <c r="F1006" s="19" t="str">
        <f>vlookup($C1006,CSDL!$A:$E,4,0)</f>
        <v>#N/A</v>
      </c>
      <c r="G1006" s="20" t="str">
        <f>vlookup($C1006,CSDL!$A:$E,5,0)</f>
        <v>#N/A</v>
      </c>
      <c r="H1006" s="25"/>
      <c r="I1006" s="78"/>
      <c r="J1006" s="78"/>
      <c r="K1006" s="78"/>
      <c r="L1006" s="94"/>
      <c r="M1006" s="78"/>
      <c r="N1006" s="78"/>
      <c r="O1006" s="69"/>
      <c r="P1006" s="33"/>
      <c r="Q1006" s="25"/>
    </row>
    <row r="1007" ht="25.5" customHeight="1">
      <c r="A1007" s="26"/>
      <c r="B1007" s="32"/>
      <c r="C1007" s="17"/>
      <c r="D1007" s="34" t="str">
        <f>vlookup($C1007,CSDL!$A:$E,2,0)</f>
        <v>#N/A</v>
      </c>
      <c r="E1007" s="97" t="str">
        <f>vlookup($C1007,CSDL!$A:$E,3,0)</f>
        <v>#N/A</v>
      </c>
      <c r="F1007" s="97" t="str">
        <f>vlookup($C1007,CSDL!$A:$E,4,0)</f>
        <v>#N/A</v>
      </c>
      <c r="G1007" s="27" t="str">
        <f>vlookup($C1007,CSDL!$A:$E,5,0)</f>
        <v>#N/A</v>
      </c>
      <c r="H1007" s="32"/>
      <c r="I1007" s="75"/>
      <c r="J1007" s="75"/>
      <c r="K1007" s="75"/>
      <c r="L1007" s="94"/>
      <c r="M1007" s="75"/>
      <c r="N1007" s="75"/>
      <c r="O1007" s="71"/>
      <c r="P1007" s="26"/>
      <c r="Q1007" s="32"/>
    </row>
    <row r="1008" ht="25.5" customHeight="1">
      <c r="A1008" s="33"/>
      <c r="B1008" s="25"/>
      <c r="C1008" s="17"/>
      <c r="D1008" s="34" t="str">
        <f>vlookup($C1008,CSDL!$A:$E,2,0)</f>
        <v>#N/A</v>
      </c>
      <c r="E1008" s="19" t="str">
        <f>vlookup($C1008,CSDL!$A:$E,3,0)</f>
        <v>#N/A</v>
      </c>
      <c r="F1008" s="19" t="str">
        <f>vlookup($C1008,CSDL!$A:$E,4,0)</f>
        <v>#N/A</v>
      </c>
      <c r="G1008" s="20" t="str">
        <f>vlookup($C1008,CSDL!$A:$E,5,0)</f>
        <v>#N/A</v>
      </c>
      <c r="H1008" s="25"/>
      <c r="I1008" s="78"/>
      <c r="J1008" s="78"/>
      <c r="K1008" s="78"/>
      <c r="L1008" s="94"/>
      <c r="M1008" s="78"/>
      <c r="N1008" s="78"/>
      <c r="O1008" s="69"/>
      <c r="P1008" s="33"/>
      <c r="Q1008" s="25"/>
    </row>
    <row r="1009" ht="25.5" customHeight="1">
      <c r="A1009" s="26"/>
      <c r="B1009" s="32"/>
      <c r="C1009" s="17"/>
      <c r="D1009" s="34" t="str">
        <f>vlookup($C1009,CSDL!$A:$E,2,0)</f>
        <v>#N/A</v>
      </c>
      <c r="E1009" s="97" t="str">
        <f>vlookup($C1009,CSDL!$A:$E,3,0)</f>
        <v>#N/A</v>
      </c>
      <c r="F1009" s="97" t="str">
        <f>vlookup($C1009,CSDL!$A:$E,4,0)</f>
        <v>#N/A</v>
      </c>
      <c r="G1009" s="27" t="str">
        <f>vlookup($C1009,CSDL!$A:$E,5,0)</f>
        <v>#N/A</v>
      </c>
      <c r="H1009" s="32"/>
      <c r="I1009" s="75"/>
      <c r="J1009" s="75"/>
      <c r="K1009" s="75"/>
      <c r="L1009" s="94"/>
      <c r="M1009" s="75"/>
      <c r="N1009" s="75"/>
      <c r="O1009" s="71"/>
      <c r="P1009" s="26"/>
      <c r="Q1009" s="32"/>
    </row>
    <row r="1010" ht="25.5" customHeight="1">
      <c r="A1010" s="33"/>
      <c r="B1010" s="25"/>
      <c r="C1010" s="17"/>
      <c r="D1010" s="34" t="str">
        <f>vlookup($C1010,CSDL!$A:$E,2,0)</f>
        <v>#N/A</v>
      </c>
      <c r="E1010" s="19" t="str">
        <f>vlookup($C1010,CSDL!$A:$E,3,0)</f>
        <v>#N/A</v>
      </c>
      <c r="F1010" s="19" t="str">
        <f>vlookup($C1010,CSDL!$A:$E,4,0)</f>
        <v>#N/A</v>
      </c>
      <c r="G1010" s="20" t="str">
        <f>vlookup($C1010,CSDL!$A:$E,5,0)</f>
        <v>#N/A</v>
      </c>
      <c r="H1010" s="25"/>
      <c r="I1010" s="78"/>
      <c r="J1010" s="78"/>
      <c r="K1010" s="78"/>
      <c r="L1010" s="94"/>
      <c r="M1010" s="78"/>
      <c r="N1010" s="78"/>
      <c r="O1010" s="69"/>
      <c r="P1010" s="33"/>
      <c r="Q1010" s="25"/>
    </row>
    <row r="1011" ht="25.5" customHeight="1">
      <c r="A1011" s="26"/>
      <c r="B1011" s="32"/>
      <c r="C1011" s="17"/>
      <c r="D1011" s="34" t="str">
        <f>vlookup($C1011,CSDL!$A:$E,2,0)</f>
        <v>#N/A</v>
      </c>
      <c r="E1011" s="97" t="str">
        <f>vlookup($C1011,CSDL!$A:$E,3,0)</f>
        <v>#N/A</v>
      </c>
      <c r="F1011" s="97" t="str">
        <f>vlookup($C1011,CSDL!$A:$E,4,0)</f>
        <v>#N/A</v>
      </c>
      <c r="G1011" s="27" t="str">
        <f>vlookup($C1011,CSDL!$A:$E,5,0)</f>
        <v>#N/A</v>
      </c>
      <c r="H1011" s="32"/>
      <c r="I1011" s="75"/>
      <c r="J1011" s="75"/>
      <c r="K1011" s="75"/>
      <c r="L1011" s="94"/>
      <c r="M1011" s="75"/>
      <c r="N1011" s="75"/>
      <c r="O1011" s="71"/>
      <c r="P1011" s="26"/>
      <c r="Q1011" s="32"/>
    </row>
    <row r="1012" ht="25.5" customHeight="1">
      <c r="A1012" s="33"/>
      <c r="B1012" s="25"/>
      <c r="C1012" s="17"/>
      <c r="D1012" s="34" t="str">
        <f>vlookup($C1012,CSDL!$A:$E,2,0)</f>
        <v>#N/A</v>
      </c>
      <c r="E1012" s="19" t="str">
        <f>vlookup($C1012,CSDL!$A:$E,3,0)</f>
        <v>#N/A</v>
      </c>
      <c r="F1012" s="19" t="str">
        <f>vlookup($C1012,CSDL!$A:$E,4,0)</f>
        <v>#N/A</v>
      </c>
      <c r="G1012" s="20" t="str">
        <f>vlookup($C1012,CSDL!$A:$E,5,0)</f>
        <v>#N/A</v>
      </c>
      <c r="H1012" s="25"/>
      <c r="I1012" s="78"/>
      <c r="J1012" s="78"/>
      <c r="K1012" s="78"/>
      <c r="L1012" s="94"/>
      <c r="M1012" s="78"/>
      <c r="N1012" s="78"/>
      <c r="O1012" s="69"/>
      <c r="P1012" s="33"/>
      <c r="Q1012" s="25"/>
    </row>
    <row r="1013" ht="25.5" customHeight="1">
      <c r="A1013" s="26"/>
      <c r="B1013" s="32"/>
      <c r="C1013" s="17"/>
      <c r="D1013" s="34" t="str">
        <f>vlookup($C1013,CSDL!$A:$E,2,0)</f>
        <v>#N/A</v>
      </c>
      <c r="E1013" s="97" t="str">
        <f>vlookup($C1013,CSDL!$A:$E,3,0)</f>
        <v>#N/A</v>
      </c>
      <c r="F1013" s="97" t="str">
        <f>vlookup($C1013,CSDL!$A:$E,4,0)</f>
        <v>#N/A</v>
      </c>
      <c r="G1013" s="27" t="str">
        <f>vlookup($C1013,CSDL!$A:$E,5,0)</f>
        <v>#N/A</v>
      </c>
      <c r="H1013" s="32"/>
      <c r="I1013" s="75"/>
      <c r="J1013" s="75"/>
      <c r="K1013" s="75"/>
      <c r="L1013" s="94"/>
      <c r="M1013" s="75"/>
      <c r="N1013" s="75"/>
      <c r="O1013" s="71"/>
      <c r="P1013" s="26"/>
      <c r="Q1013" s="32"/>
    </row>
    <row r="1014" ht="25.5" customHeight="1">
      <c r="A1014" s="33"/>
      <c r="B1014" s="25"/>
      <c r="C1014" s="17"/>
      <c r="D1014" s="34" t="str">
        <f>vlookup($C1014,CSDL!$A:$E,2,0)</f>
        <v>#N/A</v>
      </c>
      <c r="E1014" s="19" t="str">
        <f>vlookup($C1014,CSDL!$A:$E,3,0)</f>
        <v>#N/A</v>
      </c>
      <c r="F1014" s="19" t="str">
        <f>vlookup($C1014,CSDL!$A:$E,4,0)</f>
        <v>#N/A</v>
      </c>
      <c r="G1014" s="20" t="str">
        <f>vlookup($C1014,CSDL!$A:$E,5,0)</f>
        <v>#N/A</v>
      </c>
      <c r="H1014" s="25"/>
      <c r="I1014" s="78"/>
      <c r="J1014" s="78"/>
      <c r="K1014" s="78"/>
      <c r="L1014" s="94"/>
      <c r="M1014" s="78"/>
      <c r="N1014" s="78"/>
      <c r="O1014" s="69"/>
      <c r="P1014" s="33"/>
      <c r="Q1014" s="25"/>
    </row>
    <row r="1015" ht="25.5" customHeight="1">
      <c r="A1015" s="26"/>
      <c r="B1015" s="32"/>
      <c r="C1015" s="17"/>
      <c r="D1015" s="34" t="str">
        <f>vlookup($C1015,CSDL!$A:$E,2,0)</f>
        <v>#N/A</v>
      </c>
      <c r="E1015" s="97" t="str">
        <f>vlookup($C1015,CSDL!$A:$E,3,0)</f>
        <v>#N/A</v>
      </c>
      <c r="F1015" s="97" t="str">
        <f>vlookup($C1015,CSDL!$A:$E,4,0)</f>
        <v>#N/A</v>
      </c>
      <c r="G1015" s="27" t="str">
        <f>vlookup($C1015,CSDL!$A:$E,5,0)</f>
        <v>#N/A</v>
      </c>
      <c r="H1015" s="32"/>
      <c r="I1015" s="75"/>
      <c r="J1015" s="75"/>
      <c r="K1015" s="75"/>
      <c r="L1015" s="94"/>
      <c r="M1015" s="75"/>
      <c r="N1015" s="75"/>
      <c r="O1015" s="71"/>
      <c r="P1015" s="26"/>
      <c r="Q1015" s="32"/>
    </row>
    <row r="1016" ht="25.5" customHeight="1">
      <c r="A1016" s="33"/>
      <c r="B1016" s="25"/>
      <c r="C1016" s="17"/>
      <c r="D1016" s="34" t="str">
        <f>vlookup($C1016,CSDL!$A:$E,2,0)</f>
        <v>#N/A</v>
      </c>
      <c r="E1016" s="19" t="str">
        <f>vlookup($C1016,CSDL!$A:$E,3,0)</f>
        <v>#N/A</v>
      </c>
      <c r="F1016" s="19" t="str">
        <f>vlookup($C1016,CSDL!$A:$E,4,0)</f>
        <v>#N/A</v>
      </c>
      <c r="G1016" s="20" t="str">
        <f>vlookup($C1016,CSDL!$A:$E,5,0)</f>
        <v>#N/A</v>
      </c>
      <c r="H1016" s="25"/>
      <c r="I1016" s="78"/>
      <c r="J1016" s="78"/>
      <c r="K1016" s="78"/>
      <c r="L1016" s="94"/>
      <c r="M1016" s="78"/>
      <c r="N1016" s="78"/>
      <c r="O1016" s="69"/>
      <c r="P1016" s="33"/>
      <c r="Q1016" s="25"/>
    </row>
    <row r="1017" ht="25.5" customHeight="1">
      <c r="A1017" s="26"/>
      <c r="B1017" s="32"/>
      <c r="C1017" s="17"/>
      <c r="D1017" s="34" t="str">
        <f>vlookup($C1017,CSDL!$A:$E,2,0)</f>
        <v>#N/A</v>
      </c>
      <c r="E1017" s="97" t="str">
        <f>vlookup($C1017,CSDL!$A:$E,3,0)</f>
        <v>#N/A</v>
      </c>
      <c r="F1017" s="97" t="str">
        <f>vlookup($C1017,CSDL!$A:$E,4,0)</f>
        <v>#N/A</v>
      </c>
      <c r="G1017" s="27" t="str">
        <f>vlookup($C1017,CSDL!$A:$E,5,0)</f>
        <v>#N/A</v>
      </c>
      <c r="H1017" s="32"/>
      <c r="I1017" s="75"/>
      <c r="J1017" s="75"/>
      <c r="K1017" s="75"/>
      <c r="L1017" s="94"/>
      <c r="M1017" s="75"/>
      <c r="N1017" s="75"/>
      <c r="O1017" s="71"/>
      <c r="P1017" s="26"/>
      <c r="Q1017" s="32"/>
    </row>
    <row r="1018" ht="25.5" customHeight="1">
      <c r="A1018" s="33"/>
      <c r="B1018" s="25"/>
      <c r="C1018" s="17"/>
      <c r="D1018" s="34" t="str">
        <f>vlookup($C1018,CSDL!$A:$E,2,0)</f>
        <v>#N/A</v>
      </c>
      <c r="E1018" s="19" t="str">
        <f>vlookup($C1018,CSDL!$A:$E,3,0)</f>
        <v>#N/A</v>
      </c>
      <c r="F1018" s="19" t="str">
        <f>vlookup($C1018,CSDL!$A:$E,4,0)</f>
        <v>#N/A</v>
      </c>
      <c r="G1018" s="20" t="str">
        <f>vlookup($C1018,CSDL!$A:$E,5,0)</f>
        <v>#N/A</v>
      </c>
      <c r="H1018" s="25"/>
      <c r="I1018" s="78"/>
      <c r="J1018" s="78"/>
      <c r="K1018" s="78"/>
      <c r="L1018" s="94"/>
      <c r="M1018" s="78"/>
      <c r="N1018" s="78"/>
      <c r="O1018" s="69"/>
      <c r="P1018" s="33"/>
      <c r="Q1018" s="25"/>
    </row>
    <row r="1019" ht="25.5" customHeight="1">
      <c r="A1019" s="26"/>
      <c r="B1019" s="32"/>
      <c r="C1019" s="17"/>
      <c r="D1019" s="34" t="str">
        <f>vlookup($C1019,CSDL!$A:$E,2,0)</f>
        <v>#N/A</v>
      </c>
      <c r="E1019" s="97" t="str">
        <f>vlookup($C1019,CSDL!$A:$E,3,0)</f>
        <v>#N/A</v>
      </c>
      <c r="F1019" s="97" t="str">
        <f>vlookup($C1019,CSDL!$A:$E,4,0)</f>
        <v>#N/A</v>
      </c>
      <c r="G1019" s="27" t="str">
        <f>vlookup($C1019,CSDL!$A:$E,5,0)</f>
        <v>#N/A</v>
      </c>
      <c r="H1019" s="32"/>
      <c r="I1019" s="75"/>
      <c r="J1019" s="75"/>
      <c r="K1019" s="75"/>
      <c r="L1019" s="94"/>
      <c r="M1019" s="75"/>
      <c r="N1019" s="75"/>
      <c r="O1019" s="71"/>
      <c r="P1019" s="26"/>
      <c r="Q1019" s="32"/>
    </row>
    <row r="1020" ht="25.5" customHeight="1">
      <c r="A1020" s="33"/>
      <c r="B1020" s="25"/>
      <c r="C1020" s="17"/>
      <c r="D1020" s="34" t="str">
        <f>vlookup($C1020,CSDL!$A:$E,2,0)</f>
        <v>#N/A</v>
      </c>
      <c r="E1020" s="19" t="str">
        <f>vlookup($C1020,CSDL!$A:$E,3,0)</f>
        <v>#N/A</v>
      </c>
      <c r="F1020" s="19" t="str">
        <f>vlookup($C1020,CSDL!$A:$E,4,0)</f>
        <v>#N/A</v>
      </c>
      <c r="G1020" s="20" t="str">
        <f>vlookup($C1020,CSDL!$A:$E,5,0)</f>
        <v>#N/A</v>
      </c>
      <c r="H1020" s="25"/>
      <c r="I1020" s="78"/>
      <c r="J1020" s="78"/>
      <c r="K1020" s="78"/>
      <c r="L1020" s="94"/>
      <c r="M1020" s="78"/>
      <c r="N1020" s="78"/>
      <c r="O1020" s="69"/>
      <c r="P1020" s="33"/>
      <c r="Q1020" s="25"/>
    </row>
    <row r="1021" ht="25.5" customHeight="1">
      <c r="A1021" s="26"/>
      <c r="B1021" s="32"/>
      <c r="C1021" s="17"/>
      <c r="D1021" s="34" t="str">
        <f>vlookup($C1021,CSDL!$A:$E,2,0)</f>
        <v>#N/A</v>
      </c>
      <c r="E1021" s="97" t="str">
        <f>vlookup($C1021,CSDL!$A:$E,3,0)</f>
        <v>#N/A</v>
      </c>
      <c r="F1021" s="97" t="str">
        <f>vlookup($C1021,CSDL!$A:$E,4,0)</f>
        <v>#N/A</v>
      </c>
      <c r="G1021" s="27" t="str">
        <f>vlookup($C1021,CSDL!$A:$E,5,0)</f>
        <v>#N/A</v>
      </c>
      <c r="H1021" s="32"/>
      <c r="I1021" s="75"/>
      <c r="J1021" s="75"/>
      <c r="K1021" s="75"/>
      <c r="L1021" s="94"/>
      <c r="M1021" s="75"/>
      <c r="N1021" s="75"/>
      <c r="O1021" s="71"/>
      <c r="P1021" s="26"/>
      <c r="Q1021" s="32"/>
    </row>
    <row r="1022" ht="25.5" customHeight="1">
      <c r="A1022" s="33"/>
      <c r="B1022" s="25"/>
      <c r="C1022" s="17"/>
      <c r="D1022" s="34" t="str">
        <f>vlookup($C1022,CSDL!$A:$E,2,0)</f>
        <v>#N/A</v>
      </c>
      <c r="E1022" s="19" t="str">
        <f>vlookup($C1022,CSDL!$A:$E,3,0)</f>
        <v>#N/A</v>
      </c>
      <c r="F1022" s="19" t="str">
        <f>vlookup($C1022,CSDL!$A:$E,4,0)</f>
        <v>#N/A</v>
      </c>
      <c r="G1022" s="20" t="str">
        <f>vlookup($C1022,CSDL!$A:$E,5,0)</f>
        <v>#N/A</v>
      </c>
      <c r="H1022" s="25"/>
      <c r="I1022" s="78"/>
      <c r="J1022" s="78"/>
      <c r="K1022" s="78"/>
      <c r="L1022" s="94"/>
      <c r="M1022" s="78"/>
      <c r="N1022" s="78"/>
      <c r="O1022" s="69"/>
      <c r="P1022" s="33"/>
      <c r="Q1022" s="25"/>
    </row>
    <row r="1023" ht="25.5" customHeight="1">
      <c r="A1023" s="26"/>
      <c r="B1023" s="32"/>
      <c r="C1023" s="17"/>
      <c r="D1023" s="34" t="str">
        <f>vlookup($C1023,CSDL!$A:$E,2,0)</f>
        <v>#N/A</v>
      </c>
      <c r="E1023" s="97" t="str">
        <f>vlookup($C1023,CSDL!$A:$E,3,0)</f>
        <v>#N/A</v>
      </c>
      <c r="F1023" s="97" t="str">
        <f>vlookup($C1023,CSDL!$A:$E,4,0)</f>
        <v>#N/A</v>
      </c>
      <c r="G1023" s="27" t="str">
        <f>vlookup($C1023,CSDL!$A:$E,5,0)</f>
        <v>#N/A</v>
      </c>
      <c r="H1023" s="32"/>
      <c r="I1023" s="75"/>
      <c r="J1023" s="75"/>
      <c r="K1023" s="75"/>
      <c r="L1023" s="94"/>
      <c r="M1023" s="75"/>
      <c r="N1023" s="75"/>
      <c r="O1023" s="71"/>
      <c r="P1023" s="26"/>
      <c r="Q1023" s="32"/>
    </row>
    <row r="1024" ht="25.5" customHeight="1">
      <c r="A1024" s="33"/>
      <c r="B1024" s="25"/>
      <c r="C1024" s="17"/>
      <c r="D1024" s="34" t="str">
        <f>vlookup($C1024,CSDL!$A:$E,2,0)</f>
        <v>#N/A</v>
      </c>
      <c r="E1024" s="19" t="str">
        <f>vlookup($C1024,CSDL!$A:$E,3,0)</f>
        <v>#N/A</v>
      </c>
      <c r="F1024" s="19" t="str">
        <f>vlookup($C1024,CSDL!$A:$E,4,0)</f>
        <v>#N/A</v>
      </c>
      <c r="G1024" s="20" t="str">
        <f>vlookup($C1024,CSDL!$A:$E,5,0)</f>
        <v>#N/A</v>
      </c>
      <c r="H1024" s="25"/>
      <c r="I1024" s="78"/>
      <c r="J1024" s="78"/>
      <c r="K1024" s="78"/>
      <c r="L1024" s="94"/>
      <c r="M1024" s="78"/>
      <c r="N1024" s="78"/>
      <c r="O1024" s="69"/>
      <c r="P1024" s="33"/>
      <c r="Q1024" s="25"/>
    </row>
    <row r="1025" ht="25.5" customHeight="1">
      <c r="A1025" s="26"/>
      <c r="B1025" s="32"/>
      <c r="C1025" s="17"/>
      <c r="D1025" s="34" t="str">
        <f>vlookup($C1025,CSDL!$A:$E,2,0)</f>
        <v>#N/A</v>
      </c>
      <c r="E1025" s="97" t="str">
        <f>vlookup($C1025,CSDL!$A:$E,3,0)</f>
        <v>#N/A</v>
      </c>
      <c r="F1025" s="97" t="str">
        <f>vlookup($C1025,CSDL!$A:$E,4,0)</f>
        <v>#N/A</v>
      </c>
      <c r="G1025" s="27" t="str">
        <f>vlookup($C1025,CSDL!$A:$E,5,0)</f>
        <v>#N/A</v>
      </c>
      <c r="H1025" s="32"/>
      <c r="I1025" s="75"/>
      <c r="J1025" s="75"/>
      <c r="K1025" s="75"/>
      <c r="L1025" s="94"/>
      <c r="M1025" s="75"/>
      <c r="N1025" s="75"/>
      <c r="O1025" s="71"/>
      <c r="P1025" s="26"/>
      <c r="Q1025" s="32"/>
    </row>
    <row r="1026" ht="25.5" customHeight="1">
      <c r="A1026" s="33"/>
      <c r="B1026" s="25"/>
      <c r="C1026" s="17"/>
      <c r="D1026" s="34" t="str">
        <f>vlookup($C1026,CSDL!$A:$E,2,0)</f>
        <v>#N/A</v>
      </c>
      <c r="E1026" s="19" t="str">
        <f>vlookup($C1026,CSDL!$A:$E,3,0)</f>
        <v>#N/A</v>
      </c>
      <c r="F1026" s="19" t="str">
        <f>vlookup($C1026,CSDL!$A:$E,4,0)</f>
        <v>#N/A</v>
      </c>
      <c r="G1026" s="20" t="str">
        <f>vlookup($C1026,CSDL!$A:$E,5,0)</f>
        <v>#N/A</v>
      </c>
      <c r="H1026" s="25"/>
      <c r="I1026" s="78"/>
      <c r="J1026" s="78"/>
      <c r="K1026" s="78"/>
      <c r="L1026" s="94"/>
      <c r="M1026" s="78"/>
      <c r="N1026" s="78"/>
      <c r="O1026" s="69"/>
      <c r="P1026" s="33"/>
      <c r="Q1026" s="25"/>
    </row>
    <row r="1027" ht="25.5" customHeight="1">
      <c r="A1027" s="26"/>
      <c r="B1027" s="32"/>
      <c r="C1027" s="17"/>
      <c r="D1027" s="34" t="str">
        <f>vlookup($C1027,CSDL!$A:$E,2,0)</f>
        <v>#N/A</v>
      </c>
      <c r="E1027" s="97" t="str">
        <f>vlookup($C1027,CSDL!$A:$E,3,0)</f>
        <v>#N/A</v>
      </c>
      <c r="F1027" s="97" t="str">
        <f>vlookup($C1027,CSDL!$A:$E,4,0)</f>
        <v>#N/A</v>
      </c>
      <c r="G1027" s="27" t="str">
        <f>vlookup($C1027,CSDL!$A:$E,5,0)</f>
        <v>#N/A</v>
      </c>
      <c r="H1027" s="32"/>
      <c r="I1027" s="75"/>
      <c r="J1027" s="75"/>
      <c r="K1027" s="75"/>
      <c r="L1027" s="94"/>
      <c r="M1027" s="75"/>
      <c r="N1027" s="75"/>
      <c r="O1027" s="71"/>
      <c r="P1027" s="26"/>
      <c r="Q1027" s="32"/>
    </row>
    <row r="1028" ht="25.5" customHeight="1">
      <c r="A1028" s="33"/>
      <c r="B1028" s="25"/>
      <c r="C1028" s="17"/>
      <c r="D1028" s="34" t="str">
        <f>vlookup($C1028,CSDL!$A:$E,2,0)</f>
        <v>#N/A</v>
      </c>
      <c r="E1028" s="19" t="str">
        <f>vlookup($C1028,CSDL!$A:$E,3,0)</f>
        <v>#N/A</v>
      </c>
      <c r="F1028" s="19" t="str">
        <f>vlookup($C1028,CSDL!$A:$E,4,0)</f>
        <v>#N/A</v>
      </c>
      <c r="G1028" s="20" t="str">
        <f>vlookup($C1028,CSDL!$A:$E,5,0)</f>
        <v>#N/A</v>
      </c>
      <c r="H1028" s="25"/>
      <c r="I1028" s="78"/>
      <c r="J1028" s="78"/>
      <c r="K1028" s="78"/>
      <c r="L1028" s="94"/>
      <c r="M1028" s="78"/>
      <c r="N1028" s="78"/>
      <c r="O1028" s="69"/>
      <c r="P1028" s="33"/>
      <c r="Q1028" s="25"/>
    </row>
    <row r="1029" ht="25.5" customHeight="1">
      <c r="A1029" s="26"/>
      <c r="B1029" s="32"/>
      <c r="C1029" s="17"/>
      <c r="D1029" s="34" t="str">
        <f>vlookup($C1029,CSDL!$A:$E,2,0)</f>
        <v>#N/A</v>
      </c>
      <c r="E1029" s="97" t="str">
        <f>vlookup($C1029,CSDL!$A:$E,3,0)</f>
        <v>#N/A</v>
      </c>
      <c r="F1029" s="97" t="str">
        <f>vlookup($C1029,CSDL!$A:$E,4,0)</f>
        <v>#N/A</v>
      </c>
      <c r="G1029" s="27" t="str">
        <f>vlookup($C1029,CSDL!$A:$E,5,0)</f>
        <v>#N/A</v>
      </c>
      <c r="H1029" s="32"/>
      <c r="I1029" s="75"/>
      <c r="J1029" s="75"/>
      <c r="K1029" s="75"/>
      <c r="L1029" s="94"/>
      <c r="M1029" s="75"/>
      <c r="N1029" s="75"/>
      <c r="O1029" s="71"/>
      <c r="P1029" s="26"/>
      <c r="Q1029" s="32"/>
    </row>
    <row r="1030" ht="25.5" customHeight="1">
      <c r="A1030" s="33"/>
      <c r="B1030" s="25"/>
      <c r="C1030" s="17"/>
      <c r="D1030" s="34" t="str">
        <f>vlookup($C1030,CSDL!$A:$E,2,0)</f>
        <v>#N/A</v>
      </c>
      <c r="E1030" s="19" t="str">
        <f>vlookup($C1030,CSDL!$A:$E,3,0)</f>
        <v>#N/A</v>
      </c>
      <c r="F1030" s="19" t="str">
        <f>vlookup($C1030,CSDL!$A:$E,4,0)</f>
        <v>#N/A</v>
      </c>
      <c r="G1030" s="20" t="str">
        <f>vlookup($C1030,CSDL!$A:$E,5,0)</f>
        <v>#N/A</v>
      </c>
      <c r="H1030" s="25"/>
      <c r="I1030" s="78"/>
      <c r="J1030" s="78"/>
      <c r="K1030" s="78"/>
      <c r="L1030" s="94"/>
      <c r="M1030" s="78"/>
      <c r="N1030" s="78"/>
      <c r="O1030" s="69"/>
      <c r="P1030" s="33"/>
      <c r="Q1030" s="25"/>
    </row>
    <row r="1031" ht="25.5" customHeight="1">
      <c r="A1031" s="26"/>
      <c r="B1031" s="32"/>
      <c r="C1031" s="17"/>
      <c r="D1031" s="34" t="str">
        <f>vlookup($C1031,CSDL!$A:$E,2,0)</f>
        <v>#N/A</v>
      </c>
      <c r="E1031" s="97" t="str">
        <f>vlookup($C1031,CSDL!$A:$E,3,0)</f>
        <v>#N/A</v>
      </c>
      <c r="F1031" s="97" t="str">
        <f>vlookup($C1031,CSDL!$A:$E,4,0)</f>
        <v>#N/A</v>
      </c>
      <c r="G1031" s="27" t="str">
        <f>vlookup($C1031,CSDL!$A:$E,5,0)</f>
        <v>#N/A</v>
      </c>
      <c r="H1031" s="32"/>
      <c r="I1031" s="75"/>
      <c r="J1031" s="75"/>
      <c r="K1031" s="75"/>
      <c r="L1031" s="94"/>
      <c r="M1031" s="75"/>
      <c r="N1031" s="75"/>
      <c r="O1031" s="71"/>
      <c r="P1031" s="26"/>
      <c r="Q1031" s="32"/>
    </row>
    <row r="1032" ht="25.5" customHeight="1">
      <c r="A1032" s="33"/>
      <c r="B1032" s="25"/>
      <c r="C1032" s="17"/>
      <c r="D1032" s="34" t="str">
        <f>vlookup($C1032,CSDL!$A:$E,2,0)</f>
        <v>#N/A</v>
      </c>
      <c r="E1032" s="19" t="str">
        <f>vlookup($C1032,CSDL!$A:$E,3,0)</f>
        <v>#N/A</v>
      </c>
      <c r="F1032" s="19" t="str">
        <f>vlookup($C1032,CSDL!$A:$E,4,0)</f>
        <v>#N/A</v>
      </c>
      <c r="G1032" s="20" t="str">
        <f>vlookup($C1032,CSDL!$A:$E,5,0)</f>
        <v>#N/A</v>
      </c>
      <c r="H1032" s="25"/>
      <c r="I1032" s="78"/>
      <c r="J1032" s="78"/>
      <c r="K1032" s="78"/>
      <c r="L1032" s="94"/>
      <c r="M1032" s="78"/>
      <c r="N1032" s="78"/>
      <c r="O1032" s="69"/>
      <c r="P1032" s="33"/>
      <c r="Q1032" s="25"/>
    </row>
    <row r="1033" ht="25.5" customHeight="1">
      <c r="A1033" s="26"/>
      <c r="B1033" s="32"/>
      <c r="C1033" s="17"/>
      <c r="D1033" s="34" t="str">
        <f>vlookup($C1033,CSDL!$A:$E,2,0)</f>
        <v>#N/A</v>
      </c>
      <c r="E1033" s="97" t="str">
        <f>vlookup($C1033,CSDL!$A:$E,3,0)</f>
        <v>#N/A</v>
      </c>
      <c r="F1033" s="97" t="str">
        <f>vlookup($C1033,CSDL!$A:$E,4,0)</f>
        <v>#N/A</v>
      </c>
      <c r="G1033" s="27" t="str">
        <f>vlookup($C1033,CSDL!$A:$E,5,0)</f>
        <v>#N/A</v>
      </c>
      <c r="H1033" s="32"/>
      <c r="I1033" s="75"/>
      <c r="J1033" s="75"/>
      <c r="K1033" s="75"/>
      <c r="L1033" s="94"/>
      <c r="M1033" s="75"/>
      <c r="N1033" s="75"/>
      <c r="O1033" s="71"/>
      <c r="P1033" s="26"/>
      <c r="Q1033" s="32"/>
    </row>
    <row r="1034" ht="25.5" customHeight="1">
      <c r="A1034" s="33"/>
      <c r="B1034" s="25"/>
      <c r="C1034" s="17"/>
      <c r="D1034" s="34" t="str">
        <f>vlookup($C1034,CSDL!$A:$E,2,0)</f>
        <v>#N/A</v>
      </c>
      <c r="E1034" s="19" t="str">
        <f>vlookup($C1034,CSDL!$A:$E,3,0)</f>
        <v>#N/A</v>
      </c>
      <c r="F1034" s="19" t="str">
        <f>vlookup($C1034,CSDL!$A:$E,4,0)</f>
        <v>#N/A</v>
      </c>
      <c r="G1034" s="20" t="str">
        <f>vlookup($C1034,CSDL!$A:$E,5,0)</f>
        <v>#N/A</v>
      </c>
      <c r="H1034" s="25"/>
      <c r="I1034" s="78"/>
      <c r="J1034" s="78"/>
      <c r="K1034" s="78"/>
      <c r="L1034" s="94"/>
      <c r="M1034" s="78"/>
      <c r="N1034" s="78"/>
      <c r="O1034" s="69"/>
      <c r="P1034" s="33"/>
      <c r="Q1034" s="25"/>
    </row>
    <row r="1035" ht="25.5" customHeight="1">
      <c r="A1035" s="26"/>
      <c r="B1035" s="32"/>
      <c r="C1035" s="17"/>
      <c r="D1035" s="34" t="str">
        <f>vlookup($C1035,CSDL!$A:$E,2,0)</f>
        <v>#N/A</v>
      </c>
      <c r="E1035" s="97" t="str">
        <f>vlookup($C1035,CSDL!$A:$E,3,0)</f>
        <v>#N/A</v>
      </c>
      <c r="F1035" s="97" t="str">
        <f>vlookup($C1035,CSDL!$A:$E,4,0)</f>
        <v>#N/A</v>
      </c>
      <c r="G1035" s="27" t="str">
        <f>vlookup($C1035,CSDL!$A:$E,5,0)</f>
        <v>#N/A</v>
      </c>
      <c r="H1035" s="32"/>
      <c r="I1035" s="75"/>
      <c r="J1035" s="75"/>
      <c r="K1035" s="75"/>
      <c r="L1035" s="94"/>
      <c r="M1035" s="75"/>
      <c r="N1035" s="75"/>
      <c r="O1035" s="71"/>
      <c r="P1035" s="26"/>
      <c r="Q1035" s="32"/>
    </row>
    <row r="1036" ht="25.5" customHeight="1">
      <c r="A1036" s="33"/>
      <c r="B1036" s="25"/>
      <c r="C1036" s="17"/>
      <c r="D1036" s="34" t="str">
        <f>vlookup($C1036,CSDL!$A:$E,2,0)</f>
        <v>#N/A</v>
      </c>
      <c r="E1036" s="19" t="str">
        <f>vlookup($C1036,CSDL!$A:$E,3,0)</f>
        <v>#N/A</v>
      </c>
      <c r="F1036" s="19" t="str">
        <f>vlookup($C1036,CSDL!$A:$E,4,0)</f>
        <v>#N/A</v>
      </c>
      <c r="G1036" s="20" t="str">
        <f>vlookup($C1036,CSDL!$A:$E,5,0)</f>
        <v>#N/A</v>
      </c>
      <c r="H1036" s="25"/>
      <c r="I1036" s="78"/>
      <c r="J1036" s="78"/>
      <c r="K1036" s="78"/>
      <c r="L1036" s="94"/>
      <c r="M1036" s="78"/>
      <c r="N1036" s="78"/>
      <c r="O1036" s="69"/>
      <c r="P1036" s="33"/>
      <c r="Q1036" s="25"/>
    </row>
    <row r="1037" ht="25.5" customHeight="1">
      <c r="A1037" s="26"/>
      <c r="B1037" s="32"/>
      <c r="C1037" s="17"/>
      <c r="D1037" s="34" t="str">
        <f>vlookup($C1037,CSDL!$A:$E,2,0)</f>
        <v>#N/A</v>
      </c>
      <c r="E1037" s="97" t="str">
        <f>vlookup($C1037,CSDL!$A:$E,3,0)</f>
        <v>#N/A</v>
      </c>
      <c r="F1037" s="97" t="str">
        <f>vlookup($C1037,CSDL!$A:$E,4,0)</f>
        <v>#N/A</v>
      </c>
      <c r="G1037" s="27" t="str">
        <f>vlookup($C1037,CSDL!$A:$E,5,0)</f>
        <v>#N/A</v>
      </c>
      <c r="H1037" s="32"/>
      <c r="I1037" s="75"/>
      <c r="J1037" s="75"/>
      <c r="K1037" s="75"/>
      <c r="L1037" s="94"/>
      <c r="M1037" s="75"/>
      <c r="N1037" s="75"/>
      <c r="O1037" s="71"/>
      <c r="P1037" s="26"/>
      <c r="Q1037" s="32"/>
    </row>
    <row r="1038" ht="25.5" customHeight="1">
      <c r="A1038" s="33"/>
      <c r="B1038" s="25"/>
      <c r="C1038" s="17"/>
      <c r="D1038" s="34" t="str">
        <f>vlookup($C1038,CSDL!$A:$E,2,0)</f>
        <v>#N/A</v>
      </c>
      <c r="E1038" s="19" t="str">
        <f>vlookup($C1038,CSDL!$A:$E,3,0)</f>
        <v>#N/A</v>
      </c>
      <c r="F1038" s="19" t="str">
        <f>vlookup($C1038,CSDL!$A:$E,4,0)</f>
        <v>#N/A</v>
      </c>
      <c r="G1038" s="20" t="str">
        <f>vlookup($C1038,CSDL!$A:$E,5,0)</f>
        <v>#N/A</v>
      </c>
      <c r="H1038" s="25"/>
      <c r="I1038" s="78"/>
      <c r="J1038" s="78"/>
      <c r="K1038" s="78"/>
      <c r="L1038" s="94"/>
      <c r="M1038" s="78"/>
      <c r="N1038" s="78"/>
      <c r="O1038" s="69"/>
      <c r="P1038" s="33"/>
      <c r="Q1038" s="25"/>
    </row>
    <row r="1039" ht="25.5" customHeight="1">
      <c r="A1039" s="26"/>
      <c r="B1039" s="32"/>
      <c r="C1039" s="17"/>
      <c r="D1039" s="34" t="str">
        <f>vlookup($C1039,CSDL!$A:$E,2,0)</f>
        <v>#N/A</v>
      </c>
      <c r="E1039" s="97" t="str">
        <f>vlookup($C1039,CSDL!$A:$E,3,0)</f>
        <v>#N/A</v>
      </c>
      <c r="F1039" s="97" t="str">
        <f>vlookup($C1039,CSDL!$A:$E,4,0)</f>
        <v>#N/A</v>
      </c>
      <c r="G1039" s="27" t="str">
        <f>vlookup($C1039,CSDL!$A:$E,5,0)</f>
        <v>#N/A</v>
      </c>
      <c r="H1039" s="32"/>
      <c r="I1039" s="75"/>
      <c r="J1039" s="75"/>
      <c r="K1039" s="75"/>
      <c r="L1039" s="94"/>
      <c r="M1039" s="75"/>
      <c r="N1039" s="75"/>
      <c r="O1039" s="71"/>
      <c r="P1039" s="26"/>
      <c r="Q1039" s="32"/>
    </row>
    <row r="1040" ht="25.5" customHeight="1">
      <c r="A1040" s="33"/>
      <c r="B1040" s="25"/>
      <c r="C1040" s="17"/>
      <c r="D1040" s="34" t="str">
        <f>vlookup($C1040,CSDL!$A:$E,2,0)</f>
        <v>#N/A</v>
      </c>
      <c r="E1040" s="19" t="str">
        <f>vlookup($C1040,CSDL!$A:$E,3,0)</f>
        <v>#N/A</v>
      </c>
      <c r="F1040" s="1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8"/>
      <c r="K1040" s="78"/>
      <c r="L1040" s="94"/>
      <c r="M1040" s="78"/>
      <c r="N1040" s="78"/>
      <c r="O1040" s="69"/>
      <c r="P1040" s="33"/>
      <c r="Q1040" s="25"/>
    </row>
    <row r="1041" ht="25.5" customHeight="1">
      <c r="A1041" s="26"/>
      <c r="B1041" s="32"/>
      <c r="C1041" s="17"/>
      <c r="D1041" s="34" t="str">
        <f>vlookup($C1041,CSDL!$A:$E,2,0)</f>
        <v>#N/A</v>
      </c>
      <c r="E1041" s="97" t="str">
        <f>vlookup($C1041,CSDL!$A:$E,3,0)</f>
        <v>#N/A</v>
      </c>
      <c r="F1041" s="97" t="str">
        <f>vlookup($C1041,CSDL!$A:$E,4,0)</f>
        <v>#N/A</v>
      </c>
      <c r="G1041" s="27" t="str">
        <f>vlookup($C1041,CSDL!$A:$E,5,0)</f>
        <v>#N/A</v>
      </c>
      <c r="H1041" s="32"/>
      <c r="I1041" s="75"/>
      <c r="J1041" s="75"/>
      <c r="K1041" s="75"/>
      <c r="L1041" s="94"/>
      <c r="M1041" s="75"/>
      <c r="N1041" s="75"/>
      <c r="O1041" s="71"/>
      <c r="P1041" s="26"/>
      <c r="Q1041" s="32"/>
    </row>
    <row r="1042" ht="25.5" customHeight="1">
      <c r="A1042" s="33"/>
      <c r="B1042" s="25"/>
      <c r="C1042" s="17"/>
      <c r="D1042" s="34" t="str">
        <f>vlookup($C1042,CSDL!$A:$E,2,0)</f>
        <v>#N/A</v>
      </c>
      <c r="E1042" s="19" t="str">
        <f>vlookup($C1042,CSDL!$A:$E,3,0)</f>
        <v>#N/A</v>
      </c>
      <c r="F1042" s="19" t="str">
        <f>vlookup($C1042,CSDL!$A:$E,4,0)</f>
        <v>#N/A</v>
      </c>
      <c r="G1042" s="20" t="str">
        <f>vlookup($C1042,CSDL!$A:$E,5,0)</f>
        <v>#N/A</v>
      </c>
      <c r="H1042" s="25"/>
      <c r="I1042" s="78"/>
      <c r="J1042" s="78"/>
      <c r="K1042" s="78"/>
      <c r="L1042" s="94"/>
      <c r="M1042" s="78"/>
      <c r="N1042" s="78"/>
      <c r="O1042" s="69"/>
      <c r="P1042" s="33"/>
      <c r="Q1042" s="25"/>
    </row>
    <row r="1043" ht="25.5" customHeight="1">
      <c r="A1043" s="26"/>
      <c r="B1043" s="32"/>
      <c r="C1043" s="17"/>
      <c r="D1043" s="34" t="str">
        <f>vlookup($C1043,CSDL!$A:$E,2,0)</f>
        <v>#N/A</v>
      </c>
      <c r="E1043" s="97" t="str">
        <f>vlookup($C1043,CSDL!$A:$E,3,0)</f>
        <v>#N/A</v>
      </c>
      <c r="F1043" s="97" t="str">
        <f>vlookup($C1043,CSDL!$A:$E,4,0)</f>
        <v>#N/A</v>
      </c>
      <c r="G1043" s="27" t="str">
        <f>vlookup($C1043,CSDL!$A:$E,5,0)</f>
        <v>#N/A</v>
      </c>
      <c r="H1043" s="32"/>
      <c r="I1043" s="75"/>
      <c r="J1043" s="75"/>
      <c r="K1043" s="75"/>
      <c r="L1043" s="94"/>
      <c r="M1043" s="75"/>
      <c r="N1043" s="75"/>
      <c r="O1043" s="71"/>
      <c r="P1043" s="26"/>
      <c r="Q1043" s="32"/>
    </row>
    <row r="1044" ht="25.5" customHeight="1">
      <c r="A1044" s="33"/>
      <c r="B1044" s="25"/>
      <c r="C1044" s="17"/>
      <c r="D1044" s="34" t="str">
        <f>vlookup($C1044,CSDL!$A:$E,2,0)</f>
        <v>#N/A</v>
      </c>
      <c r="E1044" s="19" t="str">
        <f>vlookup($C1044,CSDL!$A:$E,3,0)</f>
        <v>#N/A</v>
      </c>
      <c r="F1044" s="19" t="str">
        <f>vlookup($C1044,CSDL!$A:$E,4,0)</f>
        <v>#N/A</v>
      </c>
      <c r="G1044" s="20" t="str">
        <f>vlookup($C1044,CSDL!$A:$E,5,0)</f>
        <v>#N/A</v>
      </c>
      <c r="H1044" s="25"/>
      <c r="I1044" s="78"/>
      <c r="J1044" s="78"/>
      <c r="K1044" s="78"/>
      <c r="L1044" s="94"/>
      <c r="M1044" s="78"/>
      <c r="N1044" s="78"/>
      <c r="O1044" s="69"/>
      <c r="P1044" s="33"/>
      <c r="Q1044" s="25"/>
    </row>
    <row r="1045" ht="25.5" customHeight="1">
      <c r="A1045" s="26"/>
      <c r="B1045" s="32"/>
      <c r="C1045" s="17"/>
      <c r="D1045" s="34" t="str">
        <f>vlookup($C1045,CSDL!$A:$E,2,0)</f>
        <v>#N/A</v>
      </c>
      <c r="E1045" s="97" t="str">
        <f>vlookup($C1045,CSDL!$A:$E,3,0)</f>
        <v>#N/A</v>
      </c>
      <c r="F1045" s="97" t="str">
        <f>vlookup($C1045,CSDL!$A:$E,4,0)</f>
        <v>#N/A</v>
      </c>
      <c r="G1045" s="27" t="str">
        <f>vlookup($C1045,CSDL!$A:$E,5,0)</f>
        <v>#N/A</v>
      </c>
      <c r="H1045" s="32"/>
      <c r="I1045" s="75"/>
      <c r="J1045" s="75"/>
      <c r="K1045" s="75"/>
      <c r="L1045" s="94"/>
      <c r="M1045" s="75"/>
      <c r="N1045" s="75"/>
      <c r="O1045" s="71"/>
      <c r="P1045" s="26"/>
      <c r="Q1045" s="32"/>
    </row>
    <row r="1046" ht="25.5" customHeight="1">
      <c r="A1046" s="33"/>
      <c r="B1046" s="25"/>
      <c r="C1046" s="17"/>
      <c r="D1046" s="34" t="str">
        <f>vlookup($C1046,CSDL!$A:$E,2,0)</f>
        <v>#N/A</v>
      </c>
      <c r="E1046" s="19" t="str">
        <f>vlookup($C1046,CSDL!$A:$E,3,0)</f>
        <v>#N/A</v>
      </c>
      <c r="F1046" s="19" t="str">
        <f>vlookup($C1046,CSDL!$A:$E,4,0)</f>
        <v>#N/A</v>
      </c>
      <c r="G1046" s="20" t="str">
        <f>vlookup($C1046,CSDL!$A:$E,5,0)</f>
        <v>#N/A</v>
      </c>
      <c r="H1046" s="25"/>
      <c r="I1046" s="78"/>
      <c r="J1046" s="78"/>
      <c r="K1046" s="78"/>
      <c r="L1046" s="94"/>
      <c r="M1046" s="78"/>
      <c r="N1046" s="78"/>
      <c r="O1046" s="69"/>
      <c r="P1046" s="33"/>
      <c r="Q1046" s="25"/>
    </row>
    <row r="1047" ht="25.5" customHeight="1">
      <c r="A1047" s="26"/>
      <c r="B1047" s="32"/>
      <c r="C1047" s="17"/>
      <c r="D1047" s="34" t="str">
        <f>vlookup($C1047,CSDL!$A:$E,2,0)</f>
        <v>#N/A</v>
      </c>
      <c r="E1047" s="97" t="str">
        <f>vlookup($C1047,CSDL!$A:$E,3,0)</f>
        <v>#N/A</v>
      </c>
      <c r="F1047" s="97" t="str">
        <f>vlookup($C1047,CSDL!$A:$E,4,0)</f>
        <v>#N/A</v>
      </c>
      <c r="G1047" s="27" t="str">
        <f>vlookup($C1047,CSDL!$A:$E,5,0)</f>
        <v>#N/A</v>
      </c>
      <c r="H1047" s="32"/>
      <c r="I1047" s="75"/>
      <c r="J1047" s="75"/>
      <c r="K1047" s="75"/>
      <c r="L1047" s="94"/>
      <c r="M1047" s="75"/>
      <c r="N1047" s="75"/>
      <c r="O1047" s="71"/>
      <c r="P1047" s="26"/>
      <c r="Q1047" s="32"/>
    </row>
    <row r="1048" ht="25.5" customHeight="1">
      <c r="A1048" s="33"/>
      <c r="B1048" s="25"/>
      <c r="C1048" s="17"/>
      <c r="D1048" s="34" t="str">
        <f>vlookup($C1048,CSDL!$A:$E,2,0)</f>
        <v>#N/A</v>
      </c>
      <c r="E1048" s="19" t="str">
        <f>vlookup($C1048,CSDL!$A:$E,3,0)</f>
        <v>#N/A</v>
      </c>
      <c r="F1048" s="19" t="str">
        <f>vlookup($C1048,CSDL!$A:$E,4,0)</f>
        <v>#N/A</v>
      </c>
      <c r="G1048" s="20" t="str">
        <f>vlookup($C1048,CSDL!$A:$E,5,0)</f>
        <v>#N/A</v>
      </c>
      <c r="H1048" s="25"/>
      <c r="I1048" s="78"/>
      <c r="J1048" s="78"/>
      <c r="K1048" s="78"/>
      <c r="L1048" s="94"/>
      <c r="M1048" s="78"/>
      <c r="N1048" s="78"/>
      <c r="O1048" s="69"/>
      <c r="P1048" s="33"/>
      <c r="Q1048" s="25"/>
    </row>
    <row r="1049" ht="25.5" customHeight="1">
      <c r="A1049" s="26"/>
      <c r="B1049" s="32"/>
      <c r="C1049" s="17"/>
      <c r="D1049" s="34" t="str">
        <f>vlookup($C1049,CSDL!$A:$E,2,0)</f>
        <v>#N/A</v>
      </c>
      <c r="E1049" s="97" t="str">
        <f>vlookup($C1049,CSDL!$A:$E,3,0)</f>
        <v>#N/A</v>
      </c>
      <c r="F1049" s="97" t="str">
        <f>vlookup($C1049,CSDL!$A:$E,4,0)</f>
        <v>#N/A</v>
      </c>
      <c r="G1049" s="27" t="str">
        <f>vlookup($C1049,CSDL!$A:$E,5,0)</f>
        <v>#N/A</v>
      </c>
      <c r="H1049" s="32"/>
      <c r="I1049" s="75"/>
      <c r="J1049" s="75"/>
      <c r="K1049" s="75"/>
      <c r="L1049" s="94"/>
      <c r="M1049" s="75"/>
      <c r="N1049" s="75"/>
      <c r="O1049" s="71"/>
      <c r="P1049" s="26"/>
      <c r="Q1049" s="32"/>
    </row>
    <row r="1050" ht="25.5" customHeight="1">
      <c r="A1050" s="33"/>
      <c r="B1050" s="25"/>
      <c r="C1050" s="17"/>
      <c r="D1050" s="34" t="str">
        <f>vlookup($C1050,CSDL!$A:$E,2,0)</f>
        <v>#N/A</v>
      </c>
      <c r="E1050" s="19" t="str">
        <f>vlookup($C1050,CSDL!$A:$E,3,0)</f>
        <v>#N/A</v>
      </c>
      <c r="F1050" s="19" t="str">
        <f>vlookup($C1050,CSDL!$A:$E,4,0)</f>
        <v>#N/A</v>
      </c>
      <c r="G1050" s="20" t="str">
        <f>vlookup($C1050,CSDL!$A:$E,5,0)</f>
        <v>#N/A</v>
      </c>
      <c r="H1050" s="25"/>
      <c r="I1050" s="78"/>
      <c r="J1050" s="78"/>
      <c r="K1050" s="78"/>
      <c r="L1050" s="94"/>
      <c r="M1050" s="78"/>
      <c r="N1050" s="78"/>
      <c r="O1050" s="69"/>
      <c r="P1050" s="33"/>
      <c r="Q1050" s="25"/>
    </row>
    <row r="1051" ht="25.5" customHeight="1">
      <c r="A1051" s="26"/>
      <c r="B1051" s="32"/>
      <c r="C1051" s="17"/>
      <c r="D1051" s="34" t="str">
        <f>vlookup($C1051,CSDL!$A:$E,2,0)</f>
        <v>#N/A</v>
      </c>
      <c r="E1051" s="97" t="str">
        <f>vlookup($C1051,CSDL!$A:$E,3,0)</f>
        <v>#N/A</v>
      </c>
      <c r="F1051" s="97" t="str">
        <f>vlookup($C1051,CSDL!$A:$E,4,0)</f>
        <v>#N/A</v>
      </c>
      <c r="G1051" s="27" t="str">
        <f>vlookup($C1051,CSDL!$A:$E,5,0)</f>
        <v>#N/A</v>
      </c>
      <c r="H1051" s="32"/>
      <c r="I1051" s="75"/>
      <c r="J1051" s="75"/>
      <c r="K1051" s="75"/>
      <c r="L1051" s="94"/>
      <c r="M1051" s="75"/>
      <c r="N1051" s="75"/>
      <c r="O1051" s="71"/>
      <c r="P1051" s="26"/>
      <c r="Q1051" s="32"/>
    </row>
    <row r="1052" ht="25.5" customHeight="1">
      <c r="A1052" s="33"/>
      <c r="B1052" s="25"/>
      <c r="C1052" s="17"/>
      <c r="D1052" s="34" t="str">
        <f>vlookup($C1052,CSDL!$A:$E,2,0)</f>
        <v>#N/A</v>
      </c>
      <c r="E1052" s="19" t="str">
        <f>vlookup($C1052,CSDL!$A:$E,3,0)</f>
        <v>#N/A</v>
      </c>
      <c r="F1052" s="19" t="str">
        <f>vlookup($C1052,CSDL!$A:$E,4,0)</f>
        <v>#N/A</v>
      </c>
      <c r="G1052" s="20" t="str">
        <f>vlookup($C1052,CSDL!$A:$E,5,0)</f>
        <v>#N/A</v>
      </c>
      <c r="H1052" s="25"/>
      <c r="I1052" s="78"/>
      <c r="J1052" s="78"/>
      <c r="K1052" s="78"/>
      <c r="L1052" s="94"/>
      <c r="M1052" s="78"/>
      <c r="N1052" s="78"/>
      <c r="O1052" s="69"/>
      <c r="P1052" s="33"/>
      <c r="Q1052" s="25"/>
    </row>
    <row r="1053" ht="25.5" customHeight="1">
      <c r="A1053" s="26"/>
      <c r="B1053" s="32"/>
      <c r="C1053" s="17"/>
      <c r="D1053" s="34" t="str">
        <f>vlookup($C1053,CSDL!$A:$E,2,0)</f>
        <v>#N/A</v>
      </c>
      <c r="E1053" s="97" t="str">
        <f>vlookup($C1053,CSDL!$A:$E,3,0)</f>
        <v>#N/A</v>
      </c>
      <c r="F1053" s="97" t="str">
        <f>vlookup($C1053,CSDL!$A:$E,4,0)</f>
        <v>#N/A</v>
      </c>
      <c r="G1053" s="27" t="str">
        <f>vlookup($C1053,CSDL!$A:$E,5,0)</f>
        <v>#N/A</v>
      </c>
      <c r="H1053" s="32"/>
      <c r="I1053" s="75"/>
      <c r="J1053" s="75"/>
      <c r="K1053" s="75"/>
      <c r="L1053" s="94"/>
      <c r="M1053" s="75"/>
      <c r="N1053" s="75"/>
      <c r="O1053" s="71"/>
      <c r="P1053" s="26"/>
      <c r="Q1053" s="32"/>
    </row>
    <row r="1054" ht="25.5" customHeight="1">
      <c r="A1054" s="33"/>
      <c r="B1054" s="25"/>
      <c r="C1054" s="17"/>
      <c r="D1054" s="34" t="str">
        <f>vlookup($C1054,CSDL!$A:$E,2,0)</f>
        <v>#N/A</v>
      </c>
      <c r="E1054" s="19" t="str">
        <f>vlookup($C1054,CSDL!$A:$E,3,0)</f>
        <v>#N/A</v>
      </c>
      <c r="F1054" s="19" t="str">
        <f>vlookup($C1054,CSDL!$A:$E,4,0)</f>
        <v>#N/A</v>
      </c>
      <c r="G1054" s="20" t="str">
        <f>vlookup($C1054,CSDL!$A:$E,5,0)</f>
        <v>#N/A</v>
      </c>
      <c r="H1054" s="25"/>
      <c r="I1054" s="78"/>
      <c r="J1054" s="78"/>
      <c r="K1054" s="78"/>
      <c r="L1054" s="94"/>
      <c r="M1054" s="78"/>
      <c r="N1054" s="78"/>
      <c r="O1054" s="69"/>
      <c r="P1054" s="33"/>
      <c r="Q1054" s="25"/>
    </row>
    <row r="1055" ht="25.5" customHeight="1">
      <c r="A1055" s="26"/>
      <c r="B1055" s="32"/>
      <c r="C1055" s="17"/>
      <c r="D1055" s="34" t="str">
        <f>vlookup($C1055,CSDL!$A:$E,2,0)</f>
        <v>#N/A</v>
      </c>
      <c r="E1055" s="97" t="str">
        <f>vlookup($C1055,CSDL!$A:$E,3,0)</f>
        <v>#N/A</v>
      </c>
      <c r="F1055" s="97" t="str">
        <f>vlookup($C1055,CSDL!$A:$E,4,0)</f>
        <v>#N/A</v>
      </c>
      <c r="G1055" s="27" t="str">
        <f>vlookup($C1055,CSDL!$A:$E,5,0)</f>
        <v>#N/A</v>
      </c>
      <c r="H1055" s="32"/>
      <c r="I1055" s="75"/>
      <c r="J1055" s="75"/>
      <c r="K1055" s="75"/>
      <c r="L1055" s="94"/>
      <c r="M1055" s="75"/>
      <c r="N1055" s="75"/>
      <c r="O1055" s="71"/>
      <c r="P1055" s="26"/>
      <c r="Q1055" s="32"/>
    </row>
    <row r="1056" ht="25.5" customHeight="1">
      <c r="A1056" s="33"/>
      <c r="B1056" s="25"/>
      <c r="C1056" s="17"/>
      <c r="D1056" s="34" t="str">
        <f>vlookup($C1056,CSDL!$A:$E,2,0)</f>
        <v>#N/A</v>
      </c>
      <c r="E1056" s="19" t="str">
        <f>vlookup($C1056,CSDL!$A:$E,3,0)</f>
        <v>#N/A</v>
      </c>
      <c r="F1056" s="19" t="str">
        <f>vlookup($C1056,CSDL!$A:$E,4,0)</f>
        <v>#N/A</v>
      </c>
      <c r="G1056" s="20" t="str">
        <f>vlookup($C1056,CSDL!$A:$E,5,0)</f>
        <v>#N/A</v>
      </c>
      <c r="H1056" s="25"/>
      <c r="I1056" s="78"/>
      <c r="J1056" s="78"/>
      <c r="K1056" s="78"/>
      <c r="L1056" s="94"/>
      <c r="M1056" s="78"/>
      <c r="N1056" s="78"/>
      <c r="O1056" s="69"/>
      <c r="P1056" s="33"/>
      <c r="Q1056" s="25"/>
    </row>
    <row r="1057" ht="25.5" customHeight="1">
      <c r="A1057" s="26"/>
      <c r="B1057" s="32"/>
      <c r="C1057" s="17"/>
      <c r="D1057" s="34" t="str">
        <f>vlookup($C1057,CSDL!$A:$E,2,0)</f>
        <v>#N/A</v>
      </c>
      <c r="E1057" s="97" t="str">
        <f>vlookup($C1057,CSDL!$A:$E,3,0)</f>
        <v>#N/A</v>
      </c>
      <c r="F1057" s="97" t="str">
        <f>vlookup($C1057,CSDL!$A:$E,4,0)</f>
        <v>#N/A</v>
      </c>
      <c r="G1057" s="27" t="str">
        <f>vlookup($C1057,CSDL!$A:$E,5,0)</f>
        <v>#N/A</v>
      </c>
      <c r="H1057" s="32"/>
      <c r="I1057" s="75"/>
      <c r="J1057" s="75"/>
      <c r="K1057" s="75"/>
      <c r="L1057" s="94"/>
      <c r="M1057" s="75"/>
      <c r="N1057" s="75"/>
      <c r="O1057" s="71"/>
      <c r="P1057" s="26"/>
      <c r="Q1057" s="32"/>
    </row>
    <row r="1058" ht="25.5" customHeight="1">
      <c r="A1058" s="33"/>
      <c r="B1058" s="25"/>
      <c r="C1058" s="17"/>
      <c r="D1058" s="34" t="str">
        <f>vlookup($C1058,CSDL!$A:$E,2,0)</f>
        <v>#N/A</v>
      </c>
      <c r="E1058" s="19" t="str">
        <f>vlookup($C1058,CSDL!$A:$E,3,0)</f>
        <v>#N/A</v>
      </c>
      <c r="F1058" s="19" t="str">
        <f>vlookup($C1058,CSDL!$A:$E,4,0)</f>
        <v>#N/A</v>
      </c>
      <c r="G1058" s="20" t="str">
        <f>vlookup($C1058,CSDL!$A:$E,5,0)</f>
        <v>#N/A</v>
      </c>
      <c r="H1058" s="25"/>
      <c r="I1058" s="78"/>
      <c r="J1058" s="78"/>
      <c r="K1058" s="78"/>
      <c r="L1058" s="94"/>
      <c r="M1058" s="78"/>
      <c r="N1058" s="78"/>
      <c r="O1058" s="69"/>
      <c r="P1058" s="33"/>
      <c r="Q1058" s="25"/>
    </row>
    <row r="1059" ht="25.5" customHeight="1">
      <c r="A1059" s="26"/>
      <c r="B1059" s="32"/>
      <c r="C1059" s="17"/>
      <c r="D1059" s="34" t="str">
        <f>vlookup($C1059,CSDL!$A:$E,2,0)</f>
        <v>#N/A</v>
      </c>
      <c r="E1059" s="97" t="str">
        <f>vlookup($C1059,CSDL!$A:$E,3,0)</f>
        <v>#N/A</v>
      </c>
      <c r="F1059" s="97" t="str">
        <f>vlookup($C1059,CSDL!$A:$E,4,0)</f>
        <v>#N/A</v>
      </c>
      <c r="G1059" s="27" t="str">
        <f>vlookup($C1059,CSDL!$A:$E,5,0)</f>
        <v>#N/A</v>
      </c>
      <c r="H1059" s="32"/>
      <c r="I1059" s="75"/>
      <c r="J1059" s="75"/>
      <c r="K1059" s="75"/>
      <c r="L1059" s="94"/>
      <c r="M1059" s="75"/>
      <c r="N1059" s="75"/>
      <c r="O1059" s="71"/>
      <c r="P1059" s="26"/>
      <c r="Q1059" s="32"/>
    </row>
    <row r="1060" ht="25.5" customHeight="1">
      <c r="A1060" s="33"/>
      <c r="B1060" s="25"/>
      <c r="C1060" s="17"/>
      <c r="D1060" s="34" t="str">
        <f>vlookup($C1060,CSDL!$A:$E,2,0)</f>
        <v>#N/A</v>
      </c>
      <c r="E1060" s="19" t="str">
        <f>vlookup($C1060,CSDL!$A:$E,3,0)</f>
        <v>#N/A</v>
      </c>
      <c r="F1060" s="19" t="str">
        <f>vlookup($C1060,CSDL!$A:$E,4,0)</f>
        <v>#N/A</v>
      </c>
      <c r="G1060" s="20" t="str">
        <f>vlookup($C1060,CSDL!$A:$E,5,0)</f>
        <v>#N/A</v>
      </c>
      <c r="H1060" s="25"/>
      <c r="I1060" s="78"/>
      <c r="J1060" s="78"/>
      <c r="K1060" s="78"/>
      <c r="L1060" s="94"/>
      <c r="M1060" s="78"/>
      <c r="N1060" s="78"/>
      <c r="O1060" s="69"/>
      <c r="P1060" s="33"/>
      <c r="Q1060" s="25"/>
    </row>
    <row r="1061" ht="25.5" customHeight="1">
      <c r="A1061" s="26"/>
      <c r="B1061" s="32"/>
      <c r="C1061" s="17"/>
      <c r="D1061" s="34" t="str">
        <f>vlookup($C1061,CSDL!$A:$E,2,0)</f>
        <v>#N/A</v>
      </c>
      <c r="E1061" s="97" t="str">
        <f>vlookup($C1061,CSDL!$A:$E,3,0)</f>
        <v>#N/A</v>
      </c>
      <c r="F1061" s="97" t="str">
        <f>vlookup($C1061,CSDL!$A:$E,4,0)</f>
        <v>#N/A</v>
      </c>
      <c r="G1061" s="27" t="str">
        <f>vlookup($C1061,CSDL!$A:$E,5,0)</f>
        <v>#N/A</v>
      </c>
      <c r="H1061" s="32"/>
      <c r="I1061" s="75"/>
      <c r="J1061" s="75"/>
      <c r="K1061" s="75"/>
      <c r="L1061" s="94"/>
      <c r="M1061" s="75"/>
      <c r="N1061" s="75"/>
      <c r="O1061" s="71"/>
      <c r="P1061" s="26"/>
      <c r="Q1061" s="32"/>
    </row>
    <row r="1062" ht="25.5" customHeight="1">
      <c r="A1062" s="33"/>
      <c r="B1062" s="25"/>
      <c r="C1062" s="17"/>
      <c r="D1062" s="34" t="str">
        <f>vlookup($C1062,CSDL!$A:$E,2,0)</f>
        <v>#N/A</v>
      </c>
      <c r="E1062" s="19" t="str">
        <f>vlookup($C1062,CSDL!$A:$E,3,0)</f>
        <v>#N/A</v>
      </c>
      <c r="F1062" s="19" t="str">
        <f>vlookup($C1062,CSDL!$A:$E,4,0)</f>
        <v>#N/A</v>
      </c>
      <c r="G1062" s="20" t="str">
        <f>vlookup($C1062,CSDL!$A:$E,5,0)</f>
        <v>#N/A</v>
      </c>
      <c r="H1062" s="25"/>
      <c r="I1062" s="78"/>
      <c r="J1062" s="78"/>
      <c r="K1062" s="78"/>
      <c r="L1062" s="94"/>
      <c r="M1062" s="78"/>
      <c r="N1062" s="78"/>
      <c r="O1062" s="69"/>
      <c r="P1062" s="33"/>
      <c r="Q1062" s="25"/>
    </row>
    <row r="1063" ht="25.5" customHeight="1">
      <c r="A1063" s="26"/>
      <c r="B1063" s="32"/>
      <c r="C1063" s="17"/>
      <c r="D1063" s="34" t="str">
        <f>vlookup($C1063,CSDL!$A:$E,2,0)</f>
        <v>#N/A</v>
      </c>
      <c r="E1063" s="97" t="str">
        <f>vlookup($C1063,CSDL!$A:$E,3,0)</f>
        <v>#N/A</v>
      </c>
      <c r="F1063" s="97" t="str">
        <f>vlookup($C1063,CSDL!$A:$E,4,0)</f>
        <v>#N/A</v>
      </c>
      <c r="G1063" s="27" t="str">
        <f>vlookup($C1063,CSDL!$A:$E,5,0)</f>
        <v>#N/A</v>
      </c>
      <c r="H1063" s="32"/>
      <c r="I1063" s="75"/>
      <c r="J1063" s="75"/>
      <c r="K1063" s="75"/>
      <c r="L1063" s="94"/>
      <c r="M1063" s="75"/>
      <c r="N1063" s="75"/>
      <c r="O1063" s="71"/>
      <c r="P1063" s="26"/>
      <c r="Q1063" s="32"/>
    </row>
    <row r="1064" ht="25.5" customHeight="1">
      <c r="A1064" s="33"/>
      <c r="B1064" s="25"/>
      <c r="C1064" s="17"/>
      <c r="D1064" s="34" t="str">
        <f>vlookup($C1064,CSDL!$A:$E,2,0)</f>
        <v>#N/A</v>
      </c>
      <c r="E1064" s="19" t="str">
        <f>vlookup($C1064,CSDL!$A:$E,3,0)</f>
        <v>#N/A</v>
      </c>
      <c r="F1064" s="19" t="str">
        <f>vlookup($C1064,CSDL!$A:$E,4,0)</f>
        <v>#N/A</v>
      </c>
      <c r="G1064" s="20" t="str">
        <f>vlookup($C1064,CSDL!$A:$E,5,0)</f>
        <v>#N/A</v>
      </c>
      <c r="H1064" s="25"/>
      <c r="I1064" s="78"/>
      <c r="J1064" s="78"/>
      <c r="K1064" s="78"/>
      <c r="L1064" s="94"/>
      <c r="M1064" s="78"/>
      <c r="N1064" s="78"/>
      <c r="O1064" s="69"/>
      <c r="P1064" s="33"/>
      <c r="Q1064" s="25"/>
    </row>
    <row r="1065" ht="25.5" customHeight="1">
      <c r="A1065" s="26"/>
      <c r="B1065" s="32"/>
      <c r="C1065" s="17"/>
      <c r="D1065" s="34" t="str">
        <f>vlookup($C1065,CSDL!$A:$E,2,0)</f>
        <v>#N/A</v>
      </c>
      <c r="E1065" s="97" t="str">
        <f>vlookup($C1065,CSDL!$A:$E,3,0)</f>
        <v>#N/A</v>
      </c>
      <c r="F1065" s="97" t="str">
        <f>vlookup($C1065,CSDL!$A:$E,4,0)</f>
        <v>#N/A</v>
      </c>
      <c r="G1065" s="27" t="str">
        <f>vlookup($C1065,CSDL!$A:$E,5,0)</f>
        <v>#N/A</v>
      </c>
      <c r="H1065" s="32"/>
      <c r="I1065" s="75"/>
      <c r="J1065" s="75"/>
      <c r="K1065" s="75"/>
      <c r="L1065" s="94"/>
      <c r="M1065" s="75"/>
      <c r="N1065" s="75"/>
      <c r="O1065" s="71"/>
      <c r="P1065" s="26"/>
      <c r="Q1065" s="32"/>
    </row>
    <row r="1066" ht="25.5" customHeight="1">
      <c r="A1066" s="33"/>
      <c r="B1066" s="25"/>
      <c r="C1066" s="17"/>
      <c r="D1066" s="34" t="str">
        <f>vlookup($C1066,CSDL!$A:$E,2,0)</f>
        <v>#N/A</v>
      </c>
      <c r="E1066" s="19" t="str">
        <f>vlookup($C1066,CSDL!$A:$E,3,0)</f>
        <v>#N/A</v>
      </c>
      <c r="F1066" s="19" t="str">
        <f>vlookup($C1066,CSDL!$A:$E,4,0)</f>
        <v>#N/A</v>
      </c>
      <c r="G1066" s="20" t="str">
        <f>vlookup($C1066,CSDL!$A:$E,5,0)</f>
        <v>#N/A</v>
      </c>
      <c r="H1066" s="25"/>
      <c r="I1066" s="78"/>
      <c r="J1066" s="78"/>
      <c r="K1066" s="78"/>
      <c r="L1066" s="94"/>
      <c r="M1066" s="78"/>
      <c r="N1066" s="78"/>
      <c r="O1066" s="69"/>
      <c r="P1066" s="33"/>
      <c r="Q1066" s="25"/>
    </row>
    <row r="1067" ht="25.5" customHeight="1">
      <c r="A1067" s="26"/>
      <c r="B1067" s="32"/>
      <c r="C1067" s="17"/>
      <c r="D1067" s="34" t="str">
        <f>vlookup($C1067,CSDL!$A:$E,2,0)</f>
        <v>#N/A</v>
      </c>
      <c r="E1067" s="97" t="str">
        <f>vlookup($C1067,CSDL!$A:$E,3,0)</f>
        <v>#N/A</v>
      </c>
      <c r="F1067" s="97" t="str">
        <f>vlookup($C1067,CSDL!$A:$E,4,0)</f>
        <v>#N/A</v>
      </c>
      <c r="G1067" s="27" t="str">
        <f>vlookup($C1067,CSDL!$A:$E,5,0)</f>
        <v>#N/A</v>
      </c>
      <c r="H1067" s="32"/>
      <c r="I1067" s="75"/>
      <c r="J1067" s="75"/>
      <c r="K1067" s="75"/>
      <c r="L1067" s="94"/>
      <c r="M1067" s="75"/>
      <c r="N1067" s="75"/>
      <c r="O1067" s="71"/>
      <c r="P1067" s="26"/>
      <c r="Q1067" s="32"/>
    </row>
    <row r="1068" ht="25.5" customHeight="1">
      <c r="A1068" s="33"/>
      <c r="B1068" s="25"/>
      <c r="C1068" s="17"/>
      <c r="D1068" s="34" t="str">
        <f>vlookup($C1068,CSDL!$A:$E,2,0)</f>
        <v>#N/A</v>
      </c>
      <c r="E1068" s="19" t="str">
        <f>vlookup($C1068,CSDL!$A:$E,3,0)</f>
        <v>#N/A</v>
      </c>
      <c r="F1068" s="19" t="str">
        <f>vlookup($C1068,CSDL!$A:$E,4,0)</f>
        <v>#N/A</v>
      </c>
      <c r="G1068" s="20" t="str">
        <f>vlookup($C1068,CSDL!$A:$E,5,0)</f>
        <v>#N/A</v>
      </c>
      <c r="H1068" s="25"/>
      <c r="I1068" s="78"/>
      <c r="J1068" s="78"/>
      <c r="K1068" s="78"/>
      <c r="L1068" s="94"/>
      <c r="M1068" s="78"/>
      <c r="N1068" s="78"/>
      <c r="O1068" s="69"/>
      <c r="P1068" s="33"/>
      <c r="Q1068" s="25"/>
    </row>
    <row r="1069" ht="25.5" customHeight="1">
      <c r="A1069" s="26"/>
      <c r="B1069" s="32"/>
      <c r="C1069" s="17"/>
      <c r="D1069" s="34" t="str">
        <f>vlookup($C1069,CSDL!$A:$E,2,0)</f>
        <v>#N/A</v>
      </c>
      <c r="E1069" s="97" t="str">
        <f>vlookup($C1069,CSDL!$A:$E,3,0)</f>
        <v>#N/A</v>
      </c>
      <c r="F1069" s="97" t="str">
        <f>vlookup($C1069,CSDL!$A:$E,4,0)</f>
        <v>#N/A</v>
      </c>
      <c r="G1069" s="27" t="str">
        <f>vlookup($C1069,CSDL!$A:$E,5,0)</f>
        <v>#N/A</v>
      </c>
      <c r="H1069" s="32"/>
      <c r="I1069" s="75"/>
      <c r="J1069" s="75"/>
      <c r="K1069" s="75"/>
      <c r="L1069" s="94"/>
      <c r="M1069" s="75"/>
      <c r="N1069" s="75"/>
      <c r="O1069" s="71"/>
      <c r="P1069" s="26"/>
      <c r="Q1069" s="32"/>
    </row>
    <row r="1070" ht="25.5" customHeight="1">
      <c r="A1070" s="33"/>
      <c r="B1070" s="25"/>
      <c r="C1070" s="17"/>
      <c r="D1070" s="34" t="str">
        <f>vlookup($C1070,CSDL!$A:$E,2,0)</f>
        <v>#N/A</v>
      </c>
      <c r="E1070" s="19" t="str">
        <f>vlookup($C1070,CSDL!$A:$E,3,0)</f>
        <v>#N/A</v>
      </c>
      <c r="F1070" s="19" t="str">
        <f>vlookup($C1070,CSDL!$A:$E,4,0)</f>
        <v>#N/A</v>
      </c>
      <c r="G1070" s="20" t="str">
        <f>vlookup($C1070,CSDL!$A:$E,5,0)</f>
        <v>#N/A</v>
      </c>
      <c r="H1070" s="25"/>
      <c r="I1070" s="78"/>
      <c r="J1070" s="78"/>
      <c r="K1070" s="78"/>
      <c r="L1070" s="94"/>
      <c r="M1070" s="78"/>
      <c r="N1070" s="78"/>
      <c r="O1070" s="69"/>
      <c r="P1070" s="33"/>
      <c r="Q1070" s="25"/>
    </row>
    <row r="1071" ht="25.5" customHeight="1">
      <c r="A1071" s="26"/>
      <c r="B1071" s="32"/>
      <c r="C1071" s="17"/>
      <c r="D1071" s="34" t="str">
        <f>vlookup($C1071,CSDL!$A:$E,2,0)</f>
        <v>#N/A</v>
      </c>
      <c r="E1071" s="97" t="str">
        <f>vlookup($C1071,CSDL!$A:$E,3,0)</f>
        <v>#N/A</v>
      </c>
      <c r="F1071" s="97" t="str">
        <f>vlookup($C1071,CSDL!$A:$E,4,0)</f>
        <v>#N/A</v>
      </c>
      <c r="G1071" s="27" t="str">
        <f>vlookup($C1071,CSDL!$A:$E,5,0)</f>
        <v>#N/A</v>
      </c>
      <c r="H1071" s="32"/>
      <c r="I1071" s="75"/>
      <c r="J1071" s="75"/>
      <c r="K1071" s="75"/>
      <c r="L1071" s="94"/>
      <c r="M1071" s="75"/>
      <c r="N1071" s="75"/>
      <c r="O1071" s="71"/>
      <c r="P1071" s="26"/>
      <c r="Q1071" s="32"/>
    </row>
    <row r="1072" ht="25.5" customHeight="1">
      <c r="A1072" s="33"/>
      <c r="B1072" s="25"/>
      <c r="C1072" s="17"/>
      <c r="D1072" s="34" t="str">
        <f>vlookup($C1072,CSDL!$A:$E,2,0)</f>
        <v>#N/A</v>
      </c>
      <c r="E1072" s="19" t="str">
        <f>vlookup($C1072,CSDL!$A:$E,3,0)</f>
        <v>#N/A</v>
      </c>
      <c r="F1072" s="19" t="str">
        <f>vlookup($C1072,CSDL!$A:$E,4,0)</f>
        <v>#N/A</v>
      </c>
      <c r="G1072" s="20" t="str">
        <f>vlookup($C1072,CSDL!$A:$E,5,0)</f>
        <v>#N/A</v>
      </c>
      <c r="H1072" s="25"/>
      <c r="I1072" s="78"/>
      <c r="J1072" s="78"/>
      <c r="K1072" s="78"/>
      <c r="L1072" s="94"/>
      <c r="M1072" s="78"/>
      <c r="N1072" s="78"/>
      <c r="O1072" s="69"/>
      <c r="P1072" s="33"/>
      <c r="Q1072" s="25"/>
    </row>
    <row r="1073" ht="25.5" customHeight="1">
      <c r="A1073" s="26"/>
      <c r="B1073" s="32"/>
      <c r="C1073" s="17"/>
      <c r="D1073" s="34" t="str">
        <f>vlookup($C1073,CSDL!$A:$E,2,0)</f>
        <v>#N/A</v>
      </c>
      <c r="E1073" s="97" t="str">
        <f>vlookup($C1073,CSDL!$A:$E,3,0)</f>
        <v>#N/A</v>
      </c>
      <c r="F1073" s="97" t="str">
        <f>vlookup($C1073,CSDL!$A:$E,4,0)</f>
        <v>#N/A</v>
      </c>
      <c r="G1073" s="27" t="str">
        <f>vlookup($C1073,CSDL!$A:$E,5,0)</f>
        <v>#N/A</v>
      </c>
      <c r="H1073" s="32"/>
      <c r="I1073" s="75"/>
      <c r="J1073" s="75"/>
      <c r="K1073" s="75"/>
      <c r="L1073" s="94"/>
      <c r="M1073" s="75"/>
      <c r="N1073" s="75"/>
      <c r="O1073" s="71"/>
      <c r="P1073" s="26"/>
      <c r="Q1073" s="32"/>
    </row>
    <row r="1074" ht="25.5" customHeight="1">
      <c r="A1074" s="33"/>
      <c r="B1074" s="25"/>
      <c r="C1074" s="17"/>
      <c r="D1074" s="34" t="str">
        <f>vlookup($C1074,CSDL!$A:$E,2,0)</f>
        <v>#N/A</v>
      </c>
      <c r="E1074" s="19" t="str">
        <f>vlookup($C1074,CSDL!$A:$E,3,0)</f>
        <v>#N/A</v>
      </c>
      <c r="F1074" s="19" t="str">
        <f>vlookup($C1074,CSDL!$A:$E,4,0)</f>
        <v>#N/A</v>
      </c>
      <c r="G1074" s="20" t="str">
        <f>vlookup($C1074,CSDL!$A:$E,5,0)</f>
        <v>#N/A</v>
      </c>
      <c r="H1074" s="25"/>
      <c r="I1074" s="78"/>
      <c r="J1074" s="78"/>
      <c r="K1074" s="78"/>
      <c r="L1074" s="94"/>
      <c r="M1074" s="78"/>
      <c r="N1074" s="78"/>
      <c r="O1074" s="69"/>
      <c r="P1074" s="33"/>
      <c r="Q1074" s="25"/>
    </row>
    <row r="1075" ht="25.5" customHeight="1">
      <c r="A1075" s="26"/>
      <c r="B1075" s="32"/>
      <c r="C1075" s="17"/>
      <c r="D1075" s="34" t="str">
        <f>vlookup($C1075,CSDL!$A:$E,2,0)</f>
        <v>#N/A</v>
      </c>
      <c r="E1075" s="97" t="str">
        <f>vlookup($C1075,CSDL!$A:$E,3,0)</f>
        <v>#N/A</v>
      </c>
      <c r="F1075" s="97" t="str">
        <f>vlookup($C1075,CSDL!$A:$E,4,0)</f>
        <v>#N/A</v>
      </c>
      <c r="G1075" s="27" t="str">
        <f>vlookup($C1075,CSDL!$A:$E,5,0)</f>
        <v>#N/A</v>
      </c>
      <c r="H1075" s="32"/>
      <c r="I1075" s="75"/>
      <c r="J1075" s="75"/>
      <c r="K1075" s="75"/>
      <c r="L1075" s="94"/>
      <c r="M1075" s="75"/>
      <c r="N1075" s="75"/>
      <c r="O1075" s="71"/>
      <c r="P1075" s="26"/>
      <c r="Q1075" s="32"/>
    </row>
    <row r="1076" ht="25.5" customHeight="1">
      <c r="A1076" s="33"/>
      <c r="B1076" s="25"/>
      <c r="C1076" s="17"/>
      <c r="D1076" s="34" t="str">
        <f>vlookup($C1076,CSDL!$A:$E,2,0)</f>
        <v>#N/A</v>
      </c>
      <c r="E1076" s="19" t="str">
        <f>vlookup($C1076,CSDL!$A:$E,3,0)</f>
        <v>#N/A</v>
      </c>
      <c r="F1076" s="19" t="str">
        <f>vlookup($C1076,CSDL!$A:$E,4,0)</f>
        <v>#N/A</v>
      </c>
      <c r="G1076" s="20" t="str">
        <f>vlookup($C1076,CSDL!$A:$E,5,0)</f>
        <v>#N/A</v>
      </c>
      <c r="H1076" s="25"/>
      <c r="I1076" s="78"/>
      <c r="J1076" s="78"/>
      <c r="K1076" s="78"/>
      <c r="L1076" s="94"/>
      <c r="M1076" s="78"/>
      <c r="N1076" s="78"/>
      <c r="O1076" s="69"/>
      <c r="P1076" s="33"/>
      <c r="Q1076" s="25"/>
    </row>
    <row r="1077" ht="25.5" customHeight="1">
      <c r="A1077" s="26"/>
      <c r="B1077" s="32"/>
      <c r="C1077" s="17"/>
      <c r="D1077" s="34" t="str">
        <f>vlookup($C1077,CSDL!$A:$E,2,0)</f>
        <v>#N/A</v>
      </c>
      <c r="E1077" s="97" t="str">
        <f>vlookup($C1077,CSDL!$A:$E,3,0)</f>
        <v>#N/A</v>
      </c>
      <c r="F1077" s="97" t="str">
        <f>vlookup($C1077,CSDL!$A:$E,4,0)</f>
        <v>#N/A</v>
      </c>
      <c r="G1077" s="27" t="str">
        <f>vlookup($C1077,CSDL!$A:$E,5,0)</f>
        <v>#N/A</v>
      </c>
      <c r="H1077" s="32"/>
      <c r="I1077" s="75"/>
      <c r="J1077" s="75"/>
      <c r="K1077" s="75"/>
      <c r="L1077" s="94"/>
      <c r="M1077" s="75"/>
      <c r="N1077" s="75"/>
      <c r="O1077" s="71"/>
      <c r="P1077" s="26"/>
      <c r="Q1077" s="32"/>
    </row>
    <row r="1078" ht="25.5" customHeight="1">
      <c r="A1078" s="33"/>
      <c r="B1078" s="25"/>
      <c r="C1078" s="17"/>
      <c r="D1078" s="34" t="str">
        <f>vlookup($C1078,CSDL!$A:$E,2,0)</f>
        <v>#N/A</v>
      </c>
      <c r="E1078" s="19" t="str">
        <f>vlookup($C1078,CSDL!$A:$E,3,0)</f>
        <v>#N/A</v>
      </c>
      <c r="F1078" s="19" t="str">
        <f>vlookup($C1078,CSDL!$A:$E,4,0)</f>
        <v>#N/A</v>
      </c>
      <c r="G1078" s="20" t="str">
        <f>vlookup($C1078,CSDL!$A:$E,5,0)</f>
        <v>#N/A</v>
      </c>
      <c r="H1078" s="25"/>
      <c r="I1078" s="78"/>
      <c r="J1078" s="78"/>
      <c r="K1078" s="78"/>
      <c r="L1078" s="94"/>
      <c r="M1078" s="78"/>
      <c r="N1078" s="78"/>
      <c r="O1078" s="69"/>
      <c r="P1078" s="33"/>
      <c r="Q1078" s="25"/>
    </row>
    <row r="1079" ht="25.5" customHeight="1">
      <c r="A1079" s="26"/>
      <c r="B1079" s="32"/>
      <c r="C1079" s="17"/>
      <c r="D1079" s="34" t="str">
        <f>vlookup($C1079,CSDL!$A:$E,2,0)</f>
        <v>#N/A</v>
      </c>
      <c r="E1079" s="97" t="str">
        <f>vlookup($C1079,CSDL!$A:$E,3,0)</f>
        <v>#N/A</v>
      </c>
      <c r="F1079" s="97" t="str">
        <f>vlookup($C1079,CSDL!$A:$E,4,0)</f>
        <v>#N/A</v>
      </c>
      <c r="G1079" s="27" t="str">
        <f>vlookup($C1079,CSDL!$A:$E,5,0)</f>
        <v>#N/A</v>
      </c>
      <c r="H1079" s="32"/>
      <c r="I1079" s="75"/>
      <c r="J1079" s="75"/>
      <c r="K1079" s="75"/>
      <c r="L1079" s="94"/>
      <c r="M1079" s="75"/>
      <c r="N1079" s="75"/>
      <c r="O1079" s="71"/>
      <c r="P1079" s="26"/>
      <c r="Q1079" s="32"/>
    </row>
    <row r="1080" ht="25.5" customHeight="1">
      <c r="A1080" s="33"/>
      <c r="B1080" s="25"/>
      <c r="C1080" s="17"/>
      <c r="D1080" s="34" t="str">
        <f>vlookup($C1080,CSDL!$A:$E,2,0)</f>
        <v>#N/A</v>
      </c>
      <c r="E1080" s="19" t="str">
        <f>vlookup($C1080,CSDL!$A:$E,3,0)</f>
        <v>#N/A</v>
      </c>
      <c r="F1080" s="19" t="str">
        <f>vlookup($C1080,CSDL!$A:$E,4,0)</f>
        <v>#N/A</v>
      </c>
      <c r="G1080" s="20" t="str">
        <f>vlookup($C1080,CSDL!$A:$E,5,0)</f>
        <v>#N/A</v>
      </c>
      <c r="H1080" s="25"/>
      <c r="I1080" s="78"/>
      <c r="J1080" s="78"/>
      <c r="K1080" s="78"/>
      <c r="L1080" s="94"/>
      <c r="M1080" s="78"/>
      <c r="N1080" s="78"/>
      <c r="O1080" s="69"/>
      <c r="P1080" s="33"/>
      <c r="Q1080" s="25"/>
    </row>
    <row r="1081" ht="25.5" customHeight="1">
      <c r="A1081" s="26"/>
      <c r="B1081" s="32"/>
      <c r="C1081" s="17"/>
      <c r="D1081" s="34" t="str">
        <f>vlookup($C1081,CSDL!$A:$E,2,0)</f>
        <v>#N/A</v>
      </c>
      <c r="E1081" s="97" t="str">
        <f>vlookup($C1081,CSDL!$A:$E,3,0)</f>
        <v>#N/A</v>
      </c>
      <c r="F1081" s="97" t="str">
        <f>vlookup($C1081,CSDL!$A:$E,4,0)</f>
        <v>#N/A</v>
      </c>
      <c r="G1081" s="27" t="str">
        <f>vlookup($C1081,CSDL!$A:$E,5,0)</f>
        <v>#N/A</v>
      </c>
      <c r="H1081" s="32"/>
      <c r="I1081" s="75"/>
      <c r="J1081" s="75"/>
      <c r="K1081" s="75"/>
      <c r="L1081" s="94"/>
      <c r="M1081" s="75"/>
      <c r="N1081" s="75"/>
      <c r="O1081" s="71"/>
      <c r="P1081" s="26"/>
      <c r="Q1081" s="32"/>
    </row>
    <row r="1082" ht="25.5" customHeight="1">
      <c r="A1082" s="33"/>
      <c r="B1082" s="25"/>
      <c r="C1082" s="17"/>
      <c r="D1082" s="34" t="str">
        <f>vlookup($C1082,CSDL!$A:$E,2,0)</f>
        <v>#N/A</v>
      </c>
      <c r="E1082" s="19" t="str">
        <f>vlookup($C1082,CSDL!$A:$E,3,0)</f>
        <v>#N/A</v>
      </c>
      <c r="F1082" s="19" t="str">
        <f>vlookup($C1082,CSDL!$A:$E,4,0)</f>
        <v>#N/A</v>
      </c>
      <c r="G1082" s="20" t="str">
        <f>vlookup($C1082,CSDL!$A:$E,5,0)</f>
        <v>#N/A</v>
      </c>
      <c r="H1082" s="25"/>
      <c r="I1082" s="78"/>
      <c r="J1082" s="78"/>
      <c r="K1082" s="78"/>
      <c r="L1082" s="94"/>
      <c r="M1082" s="78"/>
      <c r="N1082" s="78"/>
      <c r="O1082" s="69"/>
      <c r="P1082" s="33"/>
      <c r="Q1082" s="25"/>
    </row>
    <row r="1083" ht="25.5" customHeight="1">
      <c r="A1083" s="26"/>
      <c r="B1083" s="32"/>
      <c r="C1083" s="17"/>
      <c r="D1083" s="34" t="str">
        <f>vlookup($C1083,CSDL!$A:$E,2,0)</f>
        <v>#N/A</v>
      </c>
      <c r="E1083" s="97" t="str">
        <f>vlookup($C1083,CSDL!$A:$E,3,0)</f>
        <v>#N/A</v>
      </c>
      <c r="F1083" s="97" t="str">
        <f>vlookup($C1083,CSDL!$A:$E,4,0)</f>
        <v>#N/A</v>
      </c>
      <c r="G1083" s="27" t="str">
        <f>vlookup($C1083,CSDL!$A:$E,5,0)</f>
        <v>#N/A</v>
      </c>
      <c r="H1083" s="32"/>
      <c r="I1083" s="75"/>
      <c r="J1083" s="75"/>
      <c r="K1083" s="75"/>
      <c r="L1083" s="94"/>
      <c r="M1083" s="75"/>
      <c r="N1083" s="75"/>
      <c r="O1083" s="71"/>
      <c r="P1083" s="26"/>
      <c r="Q1083" s="32"/>
    </row>
    <row r="1084" ht="25.5" customHeight="1">
      <c r="A1084" s="33"/>
      <c r="B1084" s="25"/>
      <c r="C1084" s="17"/>
      <c r="D1084" s="34" t="str">
        <f>vlookup($C1084,CSDL!$A:$E,2,0)</f>
        <v>#N/A</v>
      </c>
      <c r="E1084" s="19" t="str">
        <f>vlookup($C1084,CSDL!$A:$E,3,0)</f>
        <v>#N/A</v>
      </c>
      <c r="F1084" s="19" t="str">
        <f>vlookup($C1084,CSDL!$A:$E,4,0)</f>
        <v>#N/A</v>
      </c>
      <c r="G1084" s="20" t="str">
        <f>vlookup($C1084,CSDL!$A:$E,5,0)</f>
        <v>#N/A</v>
      </c>
      <c r="H1084" s="25"/>
      <c r="I1084" s="78"/>
      <c r="J1084" s="78"/>
      <c r="K1084" s="78"/>
      <c r="L1084" s="94"/>
      <c r="M1084" s="78"/>
      <c r="N1084" s="78"/>
      <c r="O1084" s="69"/>
      <c r="P1084" s="33"/>
      <c r="Q1084" s="25"/>
    </row>
    <row r="1085" ht="25.5" customHeight="1">
      <c r="A1085" s="26"/>
      <c r="B1085" s="32"/>
      <c r="C1085" s="17"/>
      <c r="D1085" s="34" t="str">
        <f>vlookup($C1085,CSDL!$A:$E,2,0)</f>
        <v>#N/A</v>
      </c>
      <c r="E1085" s="97" t="str">
        <f>vlookup($C1085,CSDL!$A:$E,3,0)</f>
        <v>#N/A</v>
      </c>
      <c r="F1085" s="97" t="str">
        <f>vlookup($C1085,CSDL!$A:$E,4,0)</f>
        <v>#N/A</v>
      </c>
      <c r="G1085" s="27" t="str">
        <f>vlookup($C1085,CSDL!$A:$E,5,0)</f>
        <v>#N/A</v>
      </c>
      <c r="H1085" s="32"/>
      <c r="I1085" s="75"/>
      <c r="J1085" s="75"/>
      <c r="K1085" s="75"/>
      <c r="L1085" s="94"/>
      <c r="M1085" s="75"/>
      <c r="N1085" s="75"/>
      <c r="O1085" s="71"/>
      <c r="P1085" s="26"/>
      <c r="Q1085" s="32"/>
    </row>
    <row r="1086" ht="25.5" customHeight="1">
      <c r="A1086" s="33"/>
      <c r="B1086" s="25"/>
      <c r="C1086" s="17"/>
      <c r="D1086" s="34" t="str">
        <f>vlookup($C1086,CSDL!$A:$E,2,0)</f>
        <v>#N/A</v>
      </c>
      <c r="E1086" s="19" t="str">
        <f>vlookup($C1086,CSDL!$A:$E,3,0)</f>
        <v>#N/A</v>
      </c>
      <c r="F1086" s="19" t="str">
        <f>vlookup($C1086,CSDL!$A:$E,4,0)</f>
        <v>#N/A</v>
      </c>
      <c r="G1086" s="20" t="str">
        <f>vlookup($C1086,CSDL!$A:$E,5,0)</f>
        <v>#N/A</v>
      </c>
      <c r="H1086" s="25"/>
      <c r="I1086" s="78"/>
      <c r="J1086" s="78"/>
      <c r="K1086" s="78"/>
      <c r="L1086" s="94"/>
      <c r="M1086" s="78"/>
      <c r="N1086" s="78"/>
      <c r="O1086" s="69"/>
      <c r="P1086" s="33"/>
      <c r="Q1086" s="25"/>
    </row>
    <row r="1087" ht="25.5" customHeight="1">
      <c r="A1087" s="26"/>
      <c r="B1087" s="32"/>
      <c r="C1087" s="17"/>
      <c r="D1087" s="34" t="str">
        <f>vlookup($C1087,CSDL!$A:$E,2,0)</f>
        <v>#N/A</v>
      </c>
      <c r="E1087" s="97" t="str">
        <f>vlookup($C1087,CSDL!$A:$E,3,0)</f>
        <v>#N/A</v>
      </c>
      <c r="F1087" s="97" t="str">
        <f>vlookup($C1087,CSDL!$A:$E,4,0)</f>
        <v>#N/A</v>
      </c>
      <c r="G1087" s="27" t="str">
        <f>vlookup($C1087,CSDL!$A:$E,5,0)</f>
        <v>#N/A</v>
      </c>
      <c r="H1087" s="32"/>
      <c r="I1087" s="75"/>
      <c r="J1087" s="75"/>
      <c r="K1087" s="75"/>
      <c r="L1087" s="94"/>
      <c r="M1087" s="75"/>
      <c r="N1087" s="75"/>
      <c r="O1087" s="71"/>
      <c r="P1087" s="26"/>
      <c r="Q1087" s="32"/>
    </row>
    <row r="1088" ht="25.5" customHeight="1">
      <c r="A1088" s="33"/>
      <c r="B1088" s="25"/>
      <c r="C1088" s="17"/>
      <c r="D1088" s="34" t="str">
        <f>vlookup($C1088,CSDL!$A:$E,2,0)</f>
        <v>#N/A</v>
      </c>
      <c r="E1088" s="19" t="str">
        <f>vlookup($C1088,CSDL!$A:$E,3,0)</f>
        <v>#N/A</v>
      </c>
      <c r="F1088" s="19" t="str">
        <f>vlookup($C1088,CSDL!$A:$E,4,0)</f>
        <v>#N/A</v>
      </c>
      <c r="G1088" s="20" t="str">
        <f>vlookup($C1088,CSDL!$A:$E,5,0)</f>
        <v>#N/A</v>
      </c>
      <c r="H1088" s="25"/>
      <c r="I1088" s="78"/>
      <c r="J1088" s="78"/>
      <c r="K1088" s="78"/>
      <c r="L1088" s="94"/>
      <c r="M1088" s="78"/>
      <c r="N1088" s="78"/>
      <c r="O1088" s="69"/>
      <c r="P1088" s="33"/>
      <c r="Q1088" s="25"/>
    </row>
    <row r="1089" ht="25.5" customHeight="1">
      <c r="A1089" s="26"/>
      <c r="B1089" s="32"/>
      <c r="C1089" s="17"/>
      <c r="D1089" s="34" t="str">
        <f>vlookup($C1089,CSDL!$A:$E,2,0)</f>
        <v>#N/A</v>
      </c>
      <c r="E1089" s="97" t="str">
        <f>vlookup($C1089,CSDL!$A:$E,3,0)</f>
        <v>#N/A</v>
      </c>
      <c r="F1089" s="97" t="str">
        <f>vlookup($C1089,CSDL!$A:$E,4,0)</f>
        <v>#N/A</v>
      </c>
      <c r="G1089" s="27" t="str">
        <f>vlookup($C1089,CSDL!$A:$E,5,0)</f>
        <v>#N/A</v>
      </c>
      <c r="H1089" s="32"/>
      <c r="I1089" s="75"/>
      <c r="J1089" s="75"/>
      <c r="K1089" s="75"/>
      <c r="L1089" s="94"/>
      <c r="M1089" s="75"/>
      <c r="N1089" s="75"/>
      <c r="O1089" s="71"/>
      <c r="P1089" s="26"/>
      <c r="Q1089" s="32"/>
    </row>
    <row r="1090" ht="25.5" customHeight="1">
      <c r="A1090" s="33"/>
      <c r="B1090" s="25"/>
      <c r="C1090" s="17"/>
      <c r="D1090" s="34" t="str">
        <f>vlookup($C1090,CSDL!$A:$E,2,0)</f>
        <v>#N/A</v>
      </c>
      <c r="E1090" s="19" t="str">
        <f>vlookup($C1090,CSDL!$A:$E,3,0)</f>
        <v>#N/A</v>
      </c>
      <c r="F1090" s="19" t="str">
        <f>vlookup($C1090,CSDL!$A:$E,4,0)</f>
        <v>#N/A</v>
      </c>
      <c r="G1090" s="20" t="str">
        <f>vlookup($C1090,CSDL!$A:$E,5,0)</f>
        <v>#N/A</v>
      </c>
      <c r="H1090" s="25"/>
      <c r="I1090" s="78"/>
      <c r="J1090" s="78"/>
      <c r="K1090" s="78"/>
      <c r="L1090" s="94"/>
      <c r="M1090" s="78"/>
      <c r="N1090" s="78"/>
      <c r="O1090" s="69"/>
      <c r="P1090" s="33"/>
      <c r="Q1090" s="25"/>
    </row>
    <row r="1091" ht="25.5" customHeight="1">
      <c r="A1091" s="26"/>
      <c r="B1091" s="32"/>
      <c r="C1091" s="17"/>
      <c r="D1091" s="34" t="str">
        <f>vlookup($C1091,CSDL!$A:$E,2,0)</f>
        <v>#N/A</v>
      </c>
      <c r="E1091" s="97" t="str">
        <f>vlookup($C1091,CSDL!$A:$E,3,0)</f>
        <v>#N/A</v>
      </c>
      <c r="F1091" s="97" t="str">
        <f>vlookup($C1091,CSDL!$A:$E,4,0)</f>
        <v>#N/A</v>
      </c>
      <c r="G1091" s="27" t="str">
        <f>vlookup($C1091,CSDL!$A:$E,5,0)</f>
        <v>#N/A</v>
      </c>
      <c r="H1091" s="32"/>
      <c r="I1091" s="75"/>
      <c r="J1091" s="75"/>
      <c r="K1091" s="75"/>
      <c r="L1091" s="94"/>
      <c r="M1091" s="75"/>
      <c r="N1091" s="75"/>
      <c r="O1091" s="71"/>
      <c r="P1091" s="26"/>
      <c r="Q1091" s="32"/>
    </row>
    <row r="1092" ht="25.5" customHeight="1">
      <c r="A1092" s="33"/>
      <c r="B1092" s="25"/>
      <c r="C1092" s="17"/>
      <c r="D1092" s="34" t="str">
        <f>vlookup($C1092,CSDL!$A:$E,2,0)</f>
        <v>#N/A</v>
      </c>
      <c r="E1092" s="19" t="str">
        <f>vlookup($C1092,CSDL!$A:$E,3,0)</f>
        <v>#N/A</v>
      </c>
      <c r="F1092" s="19" t="str">
        <f>vlookup($C1092,CSDL!$A:$E,4,0)</f>
        <v>#N/A</v>
      </c>
      <c r="G1092" s="20" t="str">
        <f>vlookup($C1092,CSDL!$A:$E,5,0)</f>
        <v>#N/A</v>
      </c>
      <c r="H1092" s="25"/>
      <c r="I1092" s="78"/>
      <c r="J1092" s="78"/>
      <c r="K1092" s="78"/>
      <c r="L1092" s="94"/>
      <c r="M1092" s="78"/>
      <c r="N1092" s="78"/>
      <c r="O1092" s="69"/>
      <c r="P1092" s="33"/>
      <c r="Q1092" s="25"/>
    </row>
    <row r="1093" ht="25.5" customHeight="1">
      <c r="A1093" s="26"/>
      <c r="B1093" s="32"/>
      <c r="C1093" s="17"/>
      <c r="D1093" s="34" t="str">
        <f>vlookup($C1093,CSDL!$A:$E,2,0)</f>
        <v>#N/A</v>
      </c>
      <c r="E1093" s="97" t="str">
        <f>vlookup($C1093,CSDL!$A:$E,3,0)</f>
        <v>#N/A</v>
      </c>
      <c r="F1093" s="97" t="str">
        <f>vlookup($C1093,CSDL!$A:$E,4,0)</f>
        <v>#N/A</v>
      </c>
      <c r="G1093" s="27" t="str">
        <f>vlookup($C1093,CSDL!$A:$E,5,0)</f>
        <v>#N/A</v>
      </c>
      <c r="H1093" s="32"/>
      <c r="I1093" s="75"/>
      <c r="J1093" s="75"/>
      <c r="K1093" s="75"/>
      <c r="L1093" s="94"/>
      <c r="M1093" s="75"/>
      <c r="N1093" s="75"/>
      <c r="O1093" s="71"/>
      <c r="P1093" s="26"/>
      <c r="Q1093" s="32"/>
    </row>
    <row r="1094" ht="25.5" customHeight="1">
      <c r="A1094" s="33"/>
      <c r="B1094" s="25"/>
      <c r="C1094" s="17"/>
      <c r="D1094" s="34" t="str">
        <f>vlookup($C1094,CSDL!$A:$E,2,0)</f>
        <v>#N/A</v>
      </c>
      <c r="E1094" s="19" t="str">
        <f>vlookup($C1094,CSDL!$A:$E,3,0)</f>
        <v>#N/A</v>
      </c>
      <c r="F1094" s="19" t="str">
        <f>vlookup($C1094,CSDL!$A:$E,4,0)</f>
        <v>#N/A</v>
      </c>
      <c r="G1094" s="20" t="str">
        <f>vlookup($C1094,CSDL!$A:$E,5,0)</f>
        <v>#N/A</v>
      </c>
      <c r="H1094" s="25"/>
      <c r="I1094" s="78"/>
      <c r="J1094" s="78"/>
      <c r="K1094" s="78"/>
      <c r="L1094" s="94"/>
      <c r="M1094" s="78"/>
      <c r="N1094" s="78"/>
      <c r="O1094" s="69"/>
      <c r="P1094" s="33"/>
      <c r="Q1094" s="25"/>
    </row>
    <row r="1095" ht="25.5" customHeight="1">
      <c r="A1095" s="26"/>
      <c r="B1095" s="32"/>
      <c r="C1095" s="17"/>
      <c r="D1095" s="34" t="str">
        <f>vlookup($C1095,CSDL!$A:$E,2,0)</f>
        <v>#N/A</v>
      </c>
      <c r="E1095" s="97" t="str">
        <f>vlookup($C1095,CSDL!$A:$E,3,0)</f>
        <v>#N/A</v>
      </c>
      <c r="F1095" s="97" t="str">
        <f>vlookup($C1095,CSDL!$A:$E,4,0)</f>
        <v>#N/A</v>
      </c>
      <c r="G1095" s="27" t="str">
        <f>vlookup($C1095,CSDL!$A:$E,5,0)</f>
        <v>#N/A</v>
      </c>
      <c r="H1095" s="32"/>
      <c r="I1095" s="75"/>
      <c r="J1095" s="75"/>
      <c r="K1095" s="75"/>
      <c r="L1095" s="94"/>
      <c r="M1095" s="75"/>
      <c r="N1095" s="75"/>
      <c r="O1095" s="71"/>
      <c r="P1095" s="26"/>
      <c r="Q1095" s="32"/>
    </row>
    <row r="1096" ht="25.5" customHeight="1">
      <c r="A1096" s="33"/>
      <c r="B1096" s="25"/>
      <c r="C1096" s="17"/>
      <c r="D1096" s="34" t="str">
        <f>vlookup($C1096,CSDL!$A:$E,2,0)</f>
        <v>#N/A</v>
      </c>
      <c r="E1096" s="19" t="str">
        <f>vlookup($C1096,CSDL!$A:$E,3,0)</f>
        <v>#N/A</v>
      </c>
      <c r="F1096" s="19" t="str">
        <f>vlookup($C1096,CSDL!$A:$E,4,0)</f>
        <v>#N/A</v>
      </c>
      <c r="G1096" s="20" t="str">
        <f>vlookup($C1096,CSDL!$A:$E,5,0)</f>
        <v>#N/A</v>
      </c>
      <c r="H1096" s="25"/>
      <c r="I1096" s="78"/>
      <c r="J1096" s="78"/>
      <c r="K1096" s="78"/>
      <c r="L1096" s="94"/>
      <c r="M1096" s="78"/>
      <c r="N1096" s="78"/>
      <c r="O1096" s="69"/>
      <c r="P1096" s="33"/>
      <c r="Q1096" s="25"/>
    </row>
    <row r="1097" ht="25.5" customHeight="1">
      <c r="A1097" s="26"/>
      <c r="B1097" s="32"/>
      <c r="C1097" s="17"/>
      <c r="D1097" s="34" t="str">
        <f>vlookup($C1097,CSDL!$A:$E,2,0)</f>
        <v>#N/A</v>
      </c>
      <c r="E1097" s="97" t="str">
        <f>vlookup($C1097,CSDL!$A:$E,3,0)</f>
        <v>#N/A</v>
      </c>
      <c r="F1097" s="97" t="str">
        <f>vlookup($C1097,CSDL!$A:$E,4,0)</f>
        <v>#N/A</v>
      </c>
      <c r="G1097" s="27" t="str">
        <f>vlookup($C1097,CSDL!$A:$E,5,0)</f>
        <v>#N/A</v>
      </c>
      <c r="H1097" s="32"/>
      <c r="I1097" s="75"/>
      <c r="J1097" s="75"/>
      <c r="K1097" s="75"/>
      <c r="L1097" s="94"/>
      <c r="M1097" s="75"/>
      <c r="N1097" s="75"/>
      <c r="O1097" s="71"/>
      <c r="P1097" s="26"/>
      <c r="Q1097" s="32"/>
    </row>
    <row r="1098" ht="25.5" customHeight="1">
      <c r="A1098" s="33"/>
      <c r="B1098" s="25"/>
      <c r="C1098" s="17"/>
      <c r="D1098" s="34" t="str">
        <f>vlookup($C1098,CSDL!$A:$E,2,0)</f>
        <v>#N/A</v>
      </c>
      <c r="E1098" s="19" t="str">
        <f>vlookup($C1098,CSDL!$A:$E,3,0)</f>
        <v>#N/A</v>
      </c>
      <c r="F1098" s="19" t="str">
        <f>vlookup($C1098,CSDL!$A:$E,4,0)</f>
        <v>#N/A</v>
      </c>
      <c r="G1098" s="20" t="str">
        <f>vlookup($C1098,CSDL!$A:$E,5,0)</f>
        <v>#N/A</v>
      </c>
      <c r="H1098" s="25"/>
      <c r="I1098" s="78"/>
      <c r="J1098" s="78"/>
      <c r="K1098" s="78"/>
      <c r="L1098" s="94"/>
      <c r="M1098" s="78"/>
      <c r="N1098" s="78"/>
      <c r="O1098" s="69"/>
      <c r="P1098" s="33"/>
      <c r="Q1098" s="25"/>
    </row>
    <row r="1099" ht="25.5" customHeight="1">
      <c r="A1099" s="26"/>
      <c r="B1099" s="32"/>
      <c r="C1099" s="17"/>
      <c r="D1099" s="34" t="str">
        <f>vlookup($C1099,CSDL!$A:$E,2,0)</f>
        <v>#N/A</v>
      </c>
      <c r="E1099" s="97" t="str">
        <f>vlookup($C1099,CSDL!$A:$E,3,0)</f>
        <v>#N/A</v>
      </c>
      <c r="F1099" s="97" t="str">
        <f>vlookup($C1099,CSDL!$A:$E,4,0)</f>
        <v>#N/A</v>
      </c>
      <c r="G1099" s="27" t="str">
        <f>vlookup($C1099,CSDL!$A:$E,5,0)</f>
        <v>#N/A</v>
      </c>
      <c r="H1099" s="32"/>
      <c r="I1099" s="75"/>
      <c r="J1099" s="75"/>
      <c r="K1099" s="75"/>
      <c r="L1099" s="94"/>
      <c r="M1099" s="75"/>
      <c r="N1099" s="75"/>
      <c r="O1099" s="71"/>
      <c r="P1099" s="26"/>
      <c r="Q1099" s="32"/>
    </row>
    <row r="1100" ht="25.5" customHeight="1">
      <c r="A1100" s="33"/>
      <c r="B1100" s="25"/>
      <c r="C1100" s="17"/>
      <c r="D1100" s="34" t="str">
        <f>vlookup($C1100,CSDL!$A:$E,2,0)</f>
        <v>#N/A</v>
      </c>
      <c r="E1100" s="19" t="str">
        <f>vlookup($C1100,CSDL!$A:$E,3,0)</f>
        <v>#N/A</v>
      </c>
      <c r="F1100" s="19" t="str">
        <f>vlookup($C1100,CSDL!$A:$E,4,0)</f>
        <v>#N/A</v>
      </c>
      <c r="G1100" s="20" t="str">
        <f>vlookup($C1100,CSDL!$A:$E,5,0)</f>
        <v>#N/A</v>
      </c>
      <c r="H1100" s="25"/>
      <c r="I1100" s="78"/>
      <c r="J1100" s="78"/>
      <c r="K1100" s="78"/>
      <c r="L1100" s="94"/>
      <c r="M1100" s="78"/>
      <c r="N1100" s="78"/>
      <c r="O1100" s="69"/>
      <c r="P1100" s="33"/>
      <c r="Q1100" s="25"/>
    </row>
    <row r="1101" ht="25.5" customHeight="1">
      <c r="A1101" s="26"/>
      <c r="B1101" s="32"/>
      <c r="C1101" s="17"/>
      <c r="D1101" s="34" t="str">
        <f>vlookup($C1101,CSDL!$A:$E,2,0)</f>
        <v>#N/A</v>
      </c>
      <c r="E1101" s="97" t="str">
        <f>vlookup($C1101,CSDL!$A:$E,3,0)</f>
        <v>#N/A</v>
      </c>
      <c r="F1101" s="97" t="str">
        <f>vlookup($C1101,CSDL!$A:$E,4,0)</f>
        <v>#N/A</v>
      </c>
      <c r="G1101" s="27" t="str">
        <f>vlookup($C1101,CSDL!$A:$E,5,0)</f>
        <v>#N/A</v>
      </c>
      <c r="H1101" s="32"/>
      <c r="I1101" s="75"/>
      <c r="J1101" s="75"/>
      <c r="K1101" s="75"/>
      <c r="L1101" s="94"/>
      <c r="M1101" s="75"/>
      <c r="N1101" s="75"/>
      <c r="O1101" s="71"/>
      <c r="P1101" s="26"/>
      <c r="Q1101" s="32"/>
    </row>
    <row r="1102" ht="25.5" customHeight="1">
      <c r="A1102" s="33"/>
      <c r="B1102" s="25"/>
      <c r="C1102" s="17"/>
      <c r="D1102" s="34" t="str">
        <f>vlookup($C1102,CSDL!$A:$E,2,0)</f>
        <v>#N/A</v>
      </c>
      <c r="E1102" s="19" t="str">
        <f>vlookup($C1102,CSDL!$A:$E,3,0)</f>
        <v>#N/A</v>
      </c>
      <c r="F1102" s="19" t="str">
        <f>vlookup($C1102,CSDL!$A:$E,4,0)</f>
        <v>#N/A</v>
      </c>
      <c r="G1102" s="20" t="str">
        <f>vlookup($C1102,CSDL!$A:$E,5,0)</f>
        <v>#N/A</v>
      </c>
      <c r="H1102" s="25"/>
      <c r="I1102" s="78"/>
      <c r="J1102" s="78"/>
      <c r="K1102" s="78"/>
      <c r="L1102" s="94"/>
      <c r="M1102" s="78"/>
      <c r="N1102" s="78"/>
      <c r="O1102" s="69"/>
      <c r="P1102" s="33"/>
      <c r="Q1102" s="25"/>
    </row>
    <row r="1103" ht="25.5" customHeight="1">
      <c r="A1103" s="26"/>
      <c r="B1103" s="32"/>
      <c r="C1103" s="17"/>
      <c r="D1103" s="34" t="str">
        <f>vlookup($C1103,CSDL!$A:$E,2,0)</f>
        <v>#N/A</v>
      </c>
      <c r="E1103" s="97" t="str">
        <f>vlookup($C1103,CSDL!$A:$E,3,0)</f>
        <v>#N/A</v>
      </c>
      <c r="F1103" s="97" t="str">
        <f>vlookup($C1103,CSDL!$A:$E,4,0)</f>
        <v>#N/A</v>
      </c>
      <c r="G1103" s="27" t="str">
        <f>vlookup($C1103,CSDL!$A:$E,5,0)</f>
        <v>#N/A</v>
      </c>
      <c r="H1103" s="32"/>
      <c r="I1103" s="75"/>
      <c r="J1103" s="75"/>
      <c r="K1103" s="75"/>
      <c r="L1103" s="94"/>
      <c r="M1103" s="75"/>
      <c r="N1103" s="75"/>
      <c r="O1103" s="71"/>
      <c r="P1103" s="26"/>
      <c r="Q1103" s="32"/>
    </row>
    <row r="1104" ht="25.5" customHeight="1">
      <c r="A1104" s="33"/>
      <c r="B1104" s="25"/>
      <c r="C1104" s="17"/>
      <c r="D1104" s="34" t="str">
        <f>vlookup($C1104,CSDL!$A:$E,2,0)</f>
        <v>#N/A</v>
      </c>
      <c r="E1104" s="19" t="str">
        <f>vlookup($C1104,CSDL!$A:$E,3,0)</f>
        <v>#N/A</v>
      </c>
      <c r="F1104" s="19" t="str">
        <f>vlookup($C1104,CSDL!$A:$E,4,0)</f>
        <v>#N/A</v>
      </c>
      <c r="G1104" s="20" t="str">
        <f>vlookup($C1104,CSDL!$A:$E,5,0)</f>
        <v>#N/A</v>
      </c>
      <c r="H1104" s="25"/>
      <c r="I1104" s="78"/>
      <c r="J1104" s="78"/>
      <c r="K1104" s="78"/>
      <c r="L1104" s="94"/>
      <c r="M1104" s="78"/>
      <c r="N1104" s="78"/>
      <c r="O1104" s="69"/>
      <c r="P1104" s="33"/>
      <c r="Q1104" s="25"/>
    </row>
    <row r="1105" ht="25.5" customHeight="1">
      <c r="A1105" s="26"/>
      <c r="B1105" s="32"/>
      <c r="C1105" s="17"/>
      <c r="D1105" s="34" t="str">
        <f>vlookup($C1105,CSDL!$A:$E,2,0)</f>
        <v>#N/A</v>
      </c>
      <c r="E1105" s="97" t="str">
        <f>vlookup($C1105,CSDL!$A:$E,3,0)</f>
        <v>#N/A</v>
      </c>
      <c r="F1105" s="97" t="str">
        <f>vlookup($C1105,CSDL!$A:$E,4,0)</f>
        <v>#N/A</v>
      </c>
      <c r="G1105" s="27" t="str">
        <f>vlookup($C1105,CSDL!$A:$E,5,0)</f>
        <v>#N/A</v>
      </c>
      <c r="H1105" s="32"/>
      <c r="I1105" s="75"/>
      <c r="J1105" s="75"/>
      <c r="K1105" s="75"/>
      <c r="L1105" s="94"/>
      <c r="M1105" s="75"/>
      <c r="N1105" s="75"/>
      <c r="O1105" s="71"/>
      <c r="P1105" s="26"/>
      <c r="Q1105" s="32"/>
    </row>
    <row r="1106" ht="25.5" customHeight="1">
      <c r="A1106" s="33"/>
      <c r="B1106" s="25"/>
      <c r="C1106" s="17"/>
      <c r="D1106" s="34" t="str">
        <f>vlookup($C1106,CSDL!$A:$E,2,0)</f>
        <v>#N/A</v>
      </c>
      <c r="E1106" s="19" t="str">
        <f>vlookup($C1106,CSDL!$A:$E,3,0)</f>
        <v>#N/A</v>
      </c>
      <c r="F1106" s="19" t="str">
        <f>vlookup($C1106,CSDL!$A:$E,4,0)</f>
        <v>#N/A</v>
      </c>
      <c r="G1106" s="20" t="str">
        <f>vlookup($C1106,CSDL!$A:$E,5,0)</f>
        <v>#N/A</v>
      </c>
      <c r="H1106" s="25"/>
      <c r="I1106" s="78"/>
      <c r="J1106" s="78"/>
      <c r="K1106" s="78"/>
      <c r="L1106" s="94"/>
      <c r="M1106" s="78"/>
      <c r="N1106" s="78"/>
      <c r="O1106" s="69"/>
      <c r="P1106" s="33"/>
      <c r="Q1106" s="25"/>
    </row>
    <row r="1107" ht="25.5" customHeight="1">
      <c r="A1107" s="26"/>
      <c r="B1107" s="32"/>
      <c r="C1107" s="17"/>
      <c r="D1107" s="34" t="str">
        <f>vlookup($C1107,CSDL!$A:$E,2,0)</f>
        <v>#N/A</v>
      </c>
      <c r="E1107" s="97" t="str">
        <f>vlookup($C1107,CSDL!$A:$E,3,0)</f>
        <v>#N/A</v>
      </c>
      <c r="F1107" s="97" t="str">
        <f>vlookup($C1107,CSDL!$A:$E,4,0)</f>
        <v>#N/A</v>
      </c>
      <c r="G1107" s="27" t="str">
        <f>vlookup($C1107,CSDL!$A:$E,5,0)</f>
        <v>#N/A</v>
      </c>
      <c r="H1107" s="32"/>
      <c r="I1107" s="75"/>
      <c r="J1107" s="75"/>
      <c r="K1107" s="75"/>
      <c r="L1107" s="94"/>
      <c r="M1107" s="75"/>
      <c r="N1107" s="75"/>
      <c r="O1107" s="71"/>
      <c r="P1107" s="26"/>
      <c r="Q1107" s="32"/>
    </row>
    <row r="1108" ht="25.5" customHeight="1">
      <c r="A1108" s="33"/>
      <c r="B1108" s="25"/>
      <c r="C1108" s="17"/>
      <c r="D1108" s="34" t="str">
        <f>vlookup($C1108,CSDL!$A:$E,2,0)</f>
        <v>#N/A</v>
      </c>
      <c r="E1108" s="19" t="str">
        <f>vlookup($C1108,CSDL!$A:$E,3,0)</f>
        <v>#N/A</v>
      </c>
      <c r="F1108" s="19" t="str">
        <f>vlookup($C1108,CSDL!$A:$E,4,0)</f>
        <v>#N/A</v>
      </c>
      <c r="G1108" s="20" t="str">
        <f>vlookup($C1108,CSDL!$A:$E,5,0)</f>
        <v>#N/A</v>
      </c>
      <c r="H1108" s="25"/>
      <c r="I1108" s="78"/>
      <c r="J1108" s="78"/>
      <c r="K1108" s="78"/>
      <c r="L1108" s="94"/>
      <c r="M1108" s="78"/>
      <c r="N1108" s="78"/>
      <c r="O1108" s="69"/>
      <c r="P1108" s="33"/>
      <c r="Q1108" s="25"/>
    </row>
    <row r="1109" ht="25.5" customHeight="1">
      <c r="A1109" s="26"/>
      <c r="B1109" s="32"/>
      <c r="C1109" s="17"/>
      <c r="D1109" s="34" t="str">
        <f>vlookup($C1109,CSDL!$A:$E,2,0)</f>
        <v>#N/A</v>
      </c>
      <c r="E1109" s="97" t="str">
        <f>vlookup($C1109,CSDL!$A:$E,3,0)</f>
        <v>#N/A</v>
      </c>
      <c r="F1109" s="97" t="str">
        <f>vlookup($C1109,CSDL!$A:$E,4,0)</f>
        <v>#N/A</v>
      </c>
      <c r="G1109" s="27" t="str">
        <f>vlookup($C1109,CSDL!$A:$E,5,0)</f>
        <v>#N/A</v>
      </c>
      <c r="H1109" s="32"/>
      <c r="I1109" s="75"/>
      <c r="J1109" s="75"/>
      <c r="K1109" s="75"/>
      <c r="L1109" s="94"/>
      <c r="M1109" s="75"/>
      <c r="N1109" s="75"/>
      <c r="O1109" s="71"/>
      <c r="P1109" s="26"/>
      <c r="Q1109" s="32"/>
    </row>
    <row r="1110" ht="25.5" customHeight="1">
      <c r="A1110" s="33"/>
      <c r="B1110" s="25"/>
      <c r="C1110" s="17"/>
      <c r="D1110" s="34" t="str">
        <f>vlookup($C1110,CSDL!$A:$E,2,0)</f>
        <v>#N/A</v>
      </c>
      <c r="E1110" s="19" t="str">
        <f>vlookup($C1110,CSDL!$A:$E,3,0)</f>
        <v>#N/A</v>
      </c>
      <c r="F1110" s="19" t="str">
        <f>vlookup($C1110,CSDL!$A:$E,4,0)</f>
        <v>#N/A</v>
      </c>
      <c r="G1110" s="20" t="str">
        <f>vlookup($C1110,CSDL!$A:$E,5,0)</f>
        <v>#N/A</v>
      </c>
      <c r="H1110" s="25"/>
      <c r="I1110" s="78"/>
      <c r="J1110" s="78"/>
      <c r="K1110" s="78"/>
      <c r="L1110" s="94"/>
      <c r="M1110" s="78"/>
      <c r="N1110" s="78"/>
      <c r="O1110" s="69"/>
      <c r="P1110" s="33"/>
      <c r="Q1110" s="25"/>
    </row>
    <row r="1111" ht="25.5" customHeight="1">
      <c r="A1111" s="26"/>
      <c r="B1111" s="32"/>
      <c r="C1111" s="17"/>
      <c r="D1111" s="97"/>
      <c r="E1111" s="97"/>
      <c r="F1111" s="97"/>
      <c r="G1111" s="27"/>
      <c r="H1111" s="32"/>
      <c r="I1111" s="75"/>
      <c r="J1111" s="75"/>
      <c r="K1111" s="75"/>
      <c r="L1111" s="94"/>
      <c r="M1111" s="75"/>
      <c r="N1111" s="75"/>
      <c r="O1111" s="71"/>
      <c r="P1111" s="26"/>
      <c r="Q1111" s="32"/>
    </row>
    <row r="1112" ht="25.5" customHeight="1">
      <c r="A1112" s="33"/>
      <c r="B1112" s="25"/>
      <c r="C1112" s="17"/>
      <c r="D1112" s="19"/>
      <c r="E1112" s="19"/>
      <c r="F1112" s="19"/>
      <c r="G1112" s="20"/>
      <c r="H1112" s="25"/>
      <c r="I1112" s="78"/>
      <c r="J1112" s="78"/>
      <c r="K1112" s="78"/>
      <c r="L1112" s="94"/>
      <c r="M1112" s="78"/>
      <c r="N1112" s="78"/>
      <c r="O1112" s="69"/>
      <c r="P1112" s="33"/>
      <c r="Q1112" s="25"/>
    </row>
    <row r="1113" ht="25.5" customHeight="1">
      <c r="A1113" s="26"/>
      <c r="B1113" s="32"/>
      <c r="C1113" s="17"/>
      <c r="D1113" s="97"/>
      <c r="E1113" s="97"/>
      <c r="F1113" s="97"/>
      <c r="G1113" s="27"/>
      <c r="H1113" s="32"/>
      <c r="I1113" s="75"/>
      <c r="J1113" s="75"/>
      <c r="K1113" s="75"/>
      <c r="L1113" s="94"/>
      <c r="M1113" s="75"/>
      <c r="N1113" s="75"/>
      <c r="O1113" s="71"/>
      <c r="P1113" s="26"/>
      <c r="Q1113" s="32"/>
    </row>
    <row r="1114" ht="25.5" customHeight="1">
      <c r="A1114" s="33"/>
      <c r="B1114" s="25"/>
      <c r="C1114" s="17"/>
      <c r="D1114" s="19"/>
      <c r="E1114" s="19"/>
      <c r="F1114" s="19"/>
      <c r="G1114" s="20"/>
      <c r="H1114" s="25"/>
      <c r="I1114" s="78"/>
      <c r="J1114" s="78"/>
      <c r="K1114" s="78"/>
      <c r="L1114" s="94"/>
      <c r="M1114" s="78"/>
      <c r="N1114" s="78"/>
      <c r="O1114" s="69"/>
      <c r="P1114" s="33"/>
      <c r="Q1114" s="25"/>
    </row>
    <row r="1115" ht="25.5" customHeight="1">
      <c r="A1115" s="26"/>
      <c r="B1115" s="32"/>
      <c r="C1115" s="17"/>
      <c r="D1115" s="97"/>
      <c r="E1115" s="97"/>
      <c r="F1115" s="97"/>
      <c r="G1115" s="27"/>
      <c r="H1115" s="32"/>
      <c r="I1115" s="75"/>
      <c r="J1115" s="75"/>
      <c r="K1115" s="75"/>
      <c r="L1115" s="94"/>
      <c r="M1115" s="75"/>
      <c r="N1115" s="75"/>
      <c r="O1115" s="71"/>
      <c r="P1115" s="26"/>
      <c r="Q1115" s="32"/>
    </row>
    <row r="1116" ht="25.5" customHeight="1">
      <c r="A1116" s="33"/>
      <c r="B1116" s="25"/>
      <c r="C1116" s="17"/>
      <c r="D1116" s="19"/>
      <c r="E1116" s="19"/>
      <c r="F1116" s="19"/>
      <c r="G1116" s="20"/>
      <c r="H1116" s="25"/>
      <c r="I1116" s="78"/>
      <c r="J1116" s="78"/>
      <c r="K1116" s="78"/>
      <c r="L1116" s="94"/>
      <c r="M1116" s="78"/>
      <c r="N1116" s="78"/>
      <c r="O1116" s="69"/>
      <c r="P1116" s="33"/>
      <c r="Q1116" s="25"/>
    </row>
    <row r="1117" ht="25.5" customHeight="1">
      <c r="A1117" s="26"/>
      <c r="B1117" s="32"/>
      <c r="C1117" s="17"/>
      <c r="D1117" s="97"/>
      <c r="E1117" s="97"/>
      <c r="F1117" s="97"/>
      <c r="G1117" s="27"/>
      <c r="H1117" s="32"/>
      <c r="I1117" s="75"/>
      <c r="J1117" s="75"/>
      <c r="K1117" s="75"/>
      <c r="L1117" s="94"/>
      <c r="M1117" s="75"/>
      <c r="N1117" s="75"/>
      <c r="O1117" s="71"/>
      <c r="P1117" s="26"/>
      <c r="Q1117" s="32"/>
    </row>
    <row r="1118" ht="25.5" customHeight="1">
      <c r="A1118" s="33"/>
      <c r="B1118" s="25"/>
      <c r="C1118" s="17"/>
      <c r="D1118" s="19"/>
      <c r="E1118" s="19"/>
      <c r="F1118" s="19"/>
      <c r="G1118" s="20"/>
      <c r="H1118" s="25"/>
      <c r="I1118" s="78"/>
      <c r="J1118" s="78"/>
      <c r="K1118" s="78"/>
      <c r="L1118" s="94"/>
      <c r="M1118" s="78"/>
      <c r="N1118" s="78"/>
      <c r="O1118" s="69"/>
      <c r="P1118" s="33"/>
      <c r="Q1118" s="25"/>
    </row>
    <row r="1119" ht="25.5" customHeight="1">
      <c r="A1119" s="26"/>
      <c r="B1119" s="32"/>
      <c r="C1119" s="17"/>
      <c r="D1119" s="97"/>
      <c r="E1119" s="97"/>
      <c r="F1119" s="97"/>
      <c r="G1119" s="27"/>
      <c r="H1119" s="32"/>
      <c r="I1119" s="75"/>
      <c r="J1119" s="75"/>
      <c r="K1119" s="75"/>
      <c r="L1119" s="94"/>
      <c r="M1119" s="75"/>
      <c r="N1119" s="75"/>
      <c r="O1119" s="71"/>
      <c r="P1119" s="26"/>
      <c r="Q1119" s="32"/>
    </row>
    <row r="1120" ht="25.5" customHeight="1">
      <c r="A1120" s="33"/>
      <c r="B1120" s="25"/>
      <c r="C1120" s="17"/>
      <c r="D1120" s="19"/>
      <c r="E1120" s="19"/>
      <c r="F1120" s="19"/>
      <c r="G1120" s="20"/>
      <c r="H1120" s="25"/>
      <c r="I1120" s="78"/>
      <c r="J1120" s="78"/>
      <c r="K1120" s="78"/>
      <c r="L1120" s="94"/>
      <c r="M1120" s="78"/>
      <c r="N1120" s="78"/>
      <c r="O1120" s="69"/>
      <c r="P1120" s="33"/>
      <c r="Q1120" s="25"/>
    </row>
    <row r="1121" ht="25.5" customHeight="1">
      <c r="A1121" s="26"/>
      <c r="B1121" s="32"/>
      <c r="C1121" s="17"/>
      <c r="D1121" s="97"/>
      <c r="E1121" s="97"/>
      <c r="F1121" s="97"/>
      <c r="G1121" s="27"/>
      <c r="H1121" s="32"/>
      <c r="I1121" s="75"/>
      <c r="J1121" s="75"/>
      <c r="K1121" s="75"/>
      <c r="L1121" s="94"/>
      <c r="M1121" s="75"/>
      <c r="N1121" s="75"/>
      <c r="O1121" s="71"/>
      <c r="P1121" s="26"/>
      <c r="Q1121" s="32"/>
    </row>
    <row r="1122" ht="25.5" customHeight="1">
      <c r="A1122" s="33"/>
      <c r="B1122" s="25"/>
      <c r="C1122" s="17"/>
      <c r="D1122" s="19"/>
      <c r="E1122" s="19"/>
      <c r="F1122" s="19"/>
      <c r="G1122" s="20"/>
      <c r="H1122" s="25"/>
      <c r="I1122" s="78"/>
      <c r="J1122" s="78"/>
      <c r="K1122" s="78"/>
      <c r="L1122" s="94"/>
      <c r="M1122" s="78"/>
      <c r="N1122" s="78"/>
      <c r="O1122" s="69"/>
      <c r="P1122" s="33"/>
      <c r="Q1122" s="25"/>
    </row>
    <row r="1123" ht="25.5" customHeight="1">
      <c r="A1123" s="26"/>
      <c r="B1123" s="32"/>
      <c r="C1123" s="17"/>
      <c r="D1123" s="97"/>
      <c r="E1123" s="97"/>
      <c r="F1123" s="97"/>
      <c r="G1123" s="27"/>
      <c r="H1123" s="32"/>
      <c r="I1123" s="75"/>
      <c r="J1123" s="75"/>
      <c r="K1123" s="75"/>
      <c r="L1123" s="94"/>
      <c r="M1123" s="75"/>
      <c r="N1123" s="75"/>
      <c r="O1123" s="71"/>
      <c r="P1123" s="26"/>
      <c r="Q1123" s="32"/>
    </row>
    <row r="1124" ht="25.5" customHeight="1">
      <c r="A1124" s="33"/>
      <c r="B1124" s="25"/>
      <c r="C1124" s="17"/>
      <c r="D1124" s="19"/>
      <c r="E1124" s="19"/>
      <c r="F1124" s="19"/>
      <c r="G1124" s="20"/>
      <c r="H1124" s="25"/>
      <c r="I1124" s="78"/>
      <c r="J1124" s="78"/>
      <c r="K1124" s="78"/>
      <c r="L1124" s="94"/>
      <c r="M1124" s="78"/>
      <c r="N1124" s="78"/>
      <c r="O1124" s="69"/>
      <c r="P1124" s="33"/>
      <c r="Q1124" s="25"/>
    </row>
    <row r="1125" ht="25.5" customHeight="1">
      <c r="A1125" s="26"/>
      <c r="B1125" s="32"/>
      <c r="C1125" s="17"/>
      <c r="D1125" s="97"/>
      <c r="E1125" s="97"/>
      <c r="F1125" s="97"/>
      <c r="G1125" s="27"/>
      <c r="H1125" s="32"/>
      <c r="I1125" s="75"/>
      <c r="J1125" s="75"/>
      <c r="K1125" s="75"/>
      <c r="L1125" s="94"/>
      <c r="M1125" s="75"/>
      <c r="N1125" s="75"/>
      <c r="O1125" s="71"/>
      <c r="P1125" s="26"/>
      <c r="Q1125" s="32"/>
    </row>
    <row r="1126" ht="25.5" customHeight="1">
      <c r="A1126" s="33"/>
      <c r="B1126" s="25"/>
      <c r="C1126" s="17"/>
      <c r="D1126" s="19"/>
      <c r="E1126" s="19"/>
      <c r="F1126" s="19"/>
      <c r="G1126" s="20"/>
      <c r="H1126" s="25"/>
      <c r="I1126" s="78"/>
      <c r="J1126" s="78"/>
      <c r="K1126" s="78"/>
      <c r="L1126" s="94"/>
      <c r="M1126" s="78"/>
      <c r="N1126" s="78"/>
      <c r="O1126" s="69"/>
      <c r="P1126" s="33"/>
      <c r="Q1126" s="25"/>
    </row>
    <row r="1127" ht="25.5" customHeight="1">
      <c r="A1127" s="26"/>
      <c r="B1127" s="32"/>
      <c r="C1127" s="17"/>
      <c r="D1127" s="97"/>
      <c r="E1127" s="97"/>
      <c r="F1127" s="97"/>
      <c r="G1127" s="27"/>
      <c r="H1127" s="32"/>
      <c r="I1127" s="75"/>
      <c r="J1127" s="75"/>
      <c r="K1127" s="75"/>
      <c r="L1127" s="94"/>
      <c r="M1127" s="75"/>
      <c r="N1127" s="75"/>
      <c r="O1127" s="71"/>
      <c r="P1127" s="26"/>
      <c r="Q1127" s="32"/>
    </row>
    <row r="1128" ht="25.5" customHeight="1">
      <c r="A1128" s="33"/>
      <c r="B1128" s="25"/>
      <c r="C1128" s="17"/>
      <c r="D1128" s="19"/>
      <c r="E1128" s="19"/>
      <c r="F1128" s="19"/>
      <c r="G1128" s="20"/>
      <c r="H1128" s="25"/>
      <c r="I1128" s="78"/>
      <c r="J1128" s="78"/>
      <c r="K1128" s="78"/>
      <c r="L1128" s="94"/>
      <c r="M1128" s="78"/>
      <c r="N1128" s="78"/>
      <c r="O1128" s="69"/>
      <c r="P1128" s="33"/>
      <c r="Q1128" s="25"/>
    </row>
    <row r="1129" ht="25.5" customHeight="1">
      <c r="A1129" s="26"/>
      <c r="B1129" s="32"/>
      <c r="C1129" s="17"/>
      <c r="D1129" s="97"/>
      <c r="E1129" s="97"/>
      <c r="F1129" s="97"/>
      <c r="G1129" s="27"/>
      <c r="H1129" s="32"/>
      <c r="I1129" s="75"/>
      <c r="J1129" s="75"/>
      <c r="K1129" s="75"/>
      <c r="L1129" s="94"/>
      <c r="M1129" s="75"/>
      <c r="N1129" s="75"/>
      <c r="O1129" s="71"/>
      <c r="P1129" s="26"/>
      <c r="Q1129" s="32"/>
    </row>
    <row r="1130" ht="25.5" customHeight="1">
      <c r="A1130" s="33"/>
      <c r="B1130" s="25"/>
      <c r="C1130" s="17"/>
      <c r="D1130" s="19"/>
      <c r="E1130" s="19"/>
      <c r="F1130" s="19"/>
      <c r="G1130" s="20"/>
      <c r="H1130" s="25"/>
      <c r="I1130" s="78"/>
      <c r="J1130" s="78"/>
      <c r="K1130" s="78"/>
      <c r="L1130" s="94"/>
      <c r="M1130" s="78"/>
      <c r="N1130" s="78"/>
      <c r="O1130" s="69"/>
      <c r="P1130" s="33"/>
      <c r="Q1130" s="25"/>
    </row>
    <row r="1131" ht="25.5" customHeight="1">
      <c r="A1131" s="26"/>
      <c r="B1131" s="32"/>
      <c r="C1131" s="17"/>
      <c r="D1131" s="97"/>
      <c r="E1131" s="97"/>
      <c r="F1131" s="97"/>
      <c r="G1131" s="27"/>
      <c r="H1131" s="32"/>
      <c r="I1131" s="75"/>
      <c r="J1131" s="75"/>
      <c r="K1131" s="75"/>
      <c r="L1131" s="94"/>
      <c r="M1131" s="75"/>
      <c r="N1131" s="75"/>
      <c r="O1131" s="71"/>
      <c r="P1131" s="26"/>
      <c r="Q1131" s="32"/>
    </row>
    <row r="1132" ht="25.5" customHeight="1">
      <c r="A1132" s="33"/>
      <c r="B1132" s="25"/>
      <c r="C1132" s="17"/>
      <c r="D1132" s="19"/>
      <c r="E1132" s="19"/>
      <c r="F1132" s="19"/>
      <c r="G1132" s="20"/>
      <c r="H1132" s="25"/>
      <c r="I1132" s="78"/>
      <c r="J1132" s="78"/>
      <c r="K1132" s="78"/>
      <c r="L1132" s="94"/>
      <c r="M1132" s="78"/>
      <c r="N1132" s="78"/>
      <c r="O1132" s="69"/>
      <c r="P1132" s="33"/>
      <c r="Q1132" s="25"/>
    </row>
    <row r="1133" ht="25.5" customHeight="1">
      <c r="A1133" s="26"/>
      <c r="B1133" s="32"/>
      <c r="C1133" s="17"/>
      <c r="D1133" s="97"/>
      <c r="E1133" s="97"/>
      <c r="F1133" s="97"/>
      <c r="G1133" s="27"/>
      <c r="H1133" s="32"/>
      <c r="I1133" s="75"/>
      <c r="J1133" s="75"/>
      <c r="K1133" s="75"/>
      <c r="L1133" s="94"/>
      <c r="M1133" s="75"/>
      <c r="N1133" s="75"/>
      <c r="O1133" s="71"/>
      <c r="P1133" s="26"/>
      <c r="Q1133" s="32"/>
    </row>
    <row r="1134" ht="25.5" customHeight="1">
      <c r="A1134" s="33"/>
      <c r="B1134" s="25"/>
      <c r="C1134" s="17"/>
      <c r="D1134" s="19"/>
      <c r="E1134" s="19"/>
      <c r="F1134" s="19"/>
      <c r="G1134" s="20"/>
      <c r="H1134" s="25"/>
      <c r="I1134" s="78"/>
      <c r="J1134" s="78"/>
      <c r="K1134" s="78"/>
      <c r="L1134" s="94"/>
      <c r="M1134" s="78"/>
      <c r="N1134" s="78"/>
      <c r="O1134" s="69"/>
      <c r="P1134" s="33"/>
      <c r="Q1134" s="25"/>
    </row>
    <row r="1135" ht="25.5" customHeight="1">
      <c r="A1135" s="26"/>
      <c r="B1135" s="32"/>
      <c r="C1135" s="17"/>
      <c r="D1135" s="97"/>
      <c r="E1135" s="97"/>
      <c r="F1135" s="97"/>
      <c r="G1135" s="27"/>
      <c r="H1135" s="32"/>
      <c r="I1135" s="75"/>
      <c r="J1135" s="75"/>
      <c r="K1135" s="75"/>
      <c r="L1135" s="94"/>
      <c r="M1135" s="75"/>
      <c r="N1135" s="75"/>
      <c r="O1135" s="71"/>
      <c r="P1135" s="26"/>
      <c r="Q1135" s="32"/>
    </row>
    <row r="1136" ht="25.5" customHeight="1">
      <c r="A1136" s="33"/>
      <c r="B1136" s="25"/>
      <c r="C1136" s="17"/>
      <c r="D1136" s="19"/>
      <c r="E1136" s="19"/>
      <c r="F1136" s="19"/>
      <c r="G1136" s="20"/>
      <c r="H1136" s="25"/>
      <c r="I1136" s="78"/>
      <c r="J1136" s="78"/>
      <c r="K1136" s="78"/>
      <c r="L1136" s="94"/>
      <c r="M1136" s="78"/>
      <c r="N1136" s="78"/>
      <c r="O1136" s="69"/>
      <c r="P1136" s="33"/>
      <c r="Q1136" s="25"/>
    </row>
    <row r="1137" ht="25.5" customHeight="1">
      <c r="A1137" s="26"/>
      <c r="B1137" s="32"/>
      <c r="C1137" s="17"/>
      <c r="D1137" s="97"/>
      <c r="E1137" s="97"/>
      <c r="F1137" s="97"/>
      <c r="G1137" s="27"/>
      <c r="H1137" s="32"/>
      <c r="I1137" s="75"/>
      <c r="J1137" s="75"/>
      <c r="K1137" s="75"/>
      <c r="L1137" s="94"/>
      <c r="M1137" s="75"/>
      <c r="N1137" s="75"/>
      <c r="O1137" s="71"/>
      <c r="P1137" s="26"/>
      <c r="Q1137" s="32"/>
    </row>
    <row r="1138" ht="25.5" customHeight="1">
      <c r="A1138" s="33"/>
      <c r="B1138" s="25"/>
      <c r="C1138" s="17"/>
      <c r="D1138" s="19"/>
      <c r="E1138" s="19"/>
      <c r="F1138" s="19"/>
      <c r="G1138" s="20"/>
      <c r="H1138" s="25"/>
      <c r="I1138" s="78"/>
      <c r="J1138" s="78"/>
      <c r="K1138" s="78"/>
      <c r="L1138" s="94"/>
      <c r="M1138" s="78"/>
      <c r="N1138" s="78"/>
      <c r="O1138" s="69"/>
      <c r="P1138" s="33"/>
      <c r="Q1138" s="25"/>
    </row>
    <row r="1139" ht="25.5" customHeight="1">
      <c r="A1139" s="26"/>
      <c r="B1139" s="32"/>
      <c r="C1139" s="17"/>
      <c r="D1139" s="97"/>
      <c r="E1139" s="97"/>
      <c r="F1139" s="97"/>
      <c r="G1139" s="27"/>
      <c r="H1139" s="32"/>
      <c r="I1139" s="75"/>
      <c r="J1139" s="75"/>
      <c r="K1139" s="75"/>
      <c r="L1139" s="94"/>
      <c r="M1139" s="75"/>
      <c r="N1139" s="75"/>
      <c r="O1139" s="71"/>
      <c r="P1139" s="26"/>
      <c r="Q1139" s="32"/>
    </row>
    <row r="1140" ht="25.5" customHeight="1">
      <c r="A1140" s="33"/>
      <c r="B1140" s="25"/>
      <c r="C1140" s="17"/>
      <c r="D1140" s="19"/>
      <c r="E1140" s="19"/>
      <c r="F1140" s="19"/>
      <c r="G1140" s="20"/>
      <c r="H1140" s="25"/>
      <c r="I1140" s="78"/>
      <c r="J1140" s="78"/>
      <c r="K1140" s="78"/>
      <c r="L1140" s="94"/>
      <c r="M1140" s="78"/>
      <c r="N1140" s="78"/>
      <c r="O1140" s="69"/>
      <c r="P1140" s="33"/>
      <c r="Q1140" s="25"/>
    </row>
    <row r="1141" ht="25.5" customHeight="1">
      <c r="A1141" s="26"/>
      <c r="B1141" s="32"/>
      <c r="C1141" s="17"/>
      <c r="D1141" s="97"/>
      <c r="E1141" s="97"/>
      <c r="F1141" s="97"/>
      <c r="G1141" s="27"/>
      <c r="H1141" s="32"/>
      <c r="I1141" s="75"/>
      <c r="J1141" s="75"/>
      <c r="K1141" s="75"/>
      <c r="L1141" s="94"/>
      <c r="M1141" s="75"/>
      <c r="N1141" s="75"/>
      <c r="O1141" s="71"/>
      <c r="P1141" s="26"/>
      <c r="Q1141" s="32"/>
    </row>
    <row r="1142" ht="25.5" customHeight="1">
      <c r="A1142" s="33"/>
      <c r="B1142" s="25"/>
      <c r="C1142" s="17"/>
      <c r="D1142" s="19"/>
      <c r="E1142" s="19"/>
      <c r="F1142" s="19"/>
      <c r="G1142" s="20"/>
      <c r="H1142" s="25"/>
      <c r="I1142" s="78"/>
      <c r="J1142" s="78"/>
      <c r="K1142" s="78"/>
      <c r="L1142" s="94"/>
      <c r="M1142" s="78"/>
      <c r="N1142" s="78"/>
      <c r="O1142" s="69"/>
      <c r="P1142" s="33"/>
      <c r="Q1142" s="25"/>
    </row>
    <row r="1143" ht="25.5" customHeight="1">
      <c r="A1143" s="26"/>
      <c r="B1143" s="32"/>
      <c r="C1143" s="17"/>
      <c r="D1143" s="97"/>
      <c r="E1143" s="97"/>
      <c r="F1143" s="97"/>
      <c r="G1143" s="27"/>
      <c r="H1143" s="32"/>
      <c r="I1143" s="75"/>
      <c r="J1143" s="75"/>
      <c r="K1143" s="75"/>
      <c r="L1143" s="94"/>
      <c r="M1143" s="75"/>
      <c r="N1143" s="75"/>
      <c r="O1143" s="71"/>
      <c r="P1143" s="26"/>
      <c r="Q1143" s="32"/>
    </row>
    <row r="1144" ht="25.5" customHeight="1">
      <c r="A1144" s="33"/>
      <c r="B1144" s="25"/>
      <c r="C1144" s="17"/>
      <c r="D1144" s="19"/>
      <c r="E1144" s="19"/>
      <c r="F1144" s="19"/>
      <c r="G1144" s="20"/>
      <c r="H1144" s="25"/>
      <c r="I1144" s="78"/>
      <c r="J1144" s="78"/>
      <c r="K1144" s="78"/>
      <c r="L1144" s="94"/>
      <c r="M1144" s="78"/>
      <c r="N1144" s="78"/>
      <c r="O1144" s="69"/>
      <c r="P1144" s="33"/>
      <c r="Q1144" s="25"/>
    </row>
    <row r="1145" ht="25.5" customHeight="1">
      <c r="A1145" s="26"/>
      <c r="B1145" s="32"/>
      <c r="C1145" s="17"/>
      <c r="D1145" s="97"/>
      <c r="E1145" s="97"/>
      <c r="F1145" s="97"/>
      <c r="G1145" s="27"/>
      <c r="H1145" s="32"/>
      <c r="I1145" s="75"/>
      <c r="J1145" s="75"/>
      <c r="K1145" s="75"/>
      <c r="L1145" s="94"/>
      <c r="M1145" s="75"/>
      <c r="N1145" s="75"/>
      <c r="O1145" s="71"/>
      <c r="P1145" s="26"/>
      <c r="Q1145" s="32"/>
    </row>
    <row r="1146" ht="25.5" customHeight="1">
      <c r="A1146" s="33"/>
      <c r="B1146" s="25"/>
      <c r="C1146" s="17"/>
      <c r="D1146" s="19"/>
      <c r="E1146" s="19"/>
      <c r="F1146" s="19"/>
      <c r="G1146" s="20"/>
      <c r="H1146" s="25"/>
      <c r="I1146" s="78"/>
      <c r="J1146" s="78"/>
      <c r="K1146" s="78"/>
      <c r="L1146" s="94"/>
      <c r="M1146" s="78"/>
      <c r="N1146" s="78"/>
      <c r="O1146" s="69"/>
      <c r="P1146" s="33"/>
      <c r="Q1146" s="25"/>
    </row>
    <row r="1147" ht="25.5" customHeight="1">
      <c r="A1147" s="26"/>
      <c r="B1147" s="32"/>
      <c r="C1147" s="17"/>
      <c r="D1147" s="97"/>
      <c r="E1147" s="97"/>
      <c r="F1147" s="97"/>
      <c r="G1147" s="27"/>
      <c r="H1147" s="32"/>
      <c r="I1147" s="75"/>
      <c r="J1147" s="75"/>
      <c r="K1147" s="75"/>
      <c r="L1147" s="94"/>
      <c r="M1147" s="75"/>
      <c r="N1147" s="75"/>
      <c r="O1147" s="71"/>
      <c r="P1147" s="26"/>
      <c r="Q1147" s="32"/>
    </row>
    <row r="1148" ht="25.5" customHeight="1">
      <c r="A1148" s="33"/>
      <c r="B1148" s="25"/>
      <c r="C1148" s="17"/>
      <c r="D1148" s="19"/>
      <c r="E1148" s="19"/>
      <c r="F1148" s="19"/>
      <c r="G1148" s="20"/>
      <c r="H1148" s="25"/>
      <c r="I1148" s="78"/>
      <c r="J1148" s="78"/>
      <c r="K1148" s="78"/>
      <c r="L1148" s="94"/>
      <c r="M1148" s="78"/>
      <c r="N1148" s="78"/>
      <c r="O1148" s="69"/>
      <c r="P1148" s="33"/>
      <c r="Q1148" s="25"/>
    </row>
    <row r="1149" ht="25.5" customHeight="1">
      <c r="A1149" s="26"/>
      <c r="B1149" s="32"/>
      <c r="C1149" s="17"/>
      <c r="D1149" s="97"/>
      <c r="E1149" s="97"/>
      <c r="F1149" s="97"/>
      <c r="G1149" s="27"/>
      <c r="H1149" s="32"/>
      <c r="I1149" s="75"/>
      <c r="J1149" s="75"/>
      <c r="K1149" s="75"/>
      <c r="L1149" s="94"/>
      <c r="M1149" s="75"/>
      <c r="N1149" s="75"/>
      <c r="O1149" s="71"/>
      <c r="P1149" s="26"/>
      <c r="Q1149" s="32"/>
    </row>
    <row r="1150" ht="25.5" customHeight="1">
      <c r="A1150" s="33"/>
      <c r="B1150" s="25"/>
      <c r="C1150" s="17"/>
      <c r="D1150" s="19"/>
      <c r="E1150" s="19"/>
      <c r="F1150" s="19"/>
      <c r="G1150" s="20"/>
      <c r="H1150" s="25"/>
      <c r="I1150" s="78"/>
      <c r="J1150" s="78"/>
      <c r="K1150" s="78"/>
      <c r="L1150" s="94"/>
      <c r="M1150" s="78"/>
      <c r="N1150" s="78"/>
      <c r="O1150" s="69"/>
      <c r="P1150" s="33"/>
      <c r="Q1150" s="25"/>
    </row>
    <row r="1151" ht="25.5" customHeight="1">
      <c r="A1151" s="26"/>
      <c r="B1151" s="32"/>
      <c r="C1151" s="17"/>
      <c r="D1151" s="97"/>
      <c r="E1151" s="97"/>
      <c r="F1151" s="97"/>
      <c r="G1151" s="27"/>
      <c r="H1151" s="32"/>
      <c r="I1151" s="75"/>
      <c r="J1151" s="75"/>
      <c r="K1151" s="75"/>
      <c r="L1151" s="94"/>
      <c r="M1151" s="75"/>
      <c r="N1151" s="75"/>
      <c r="O1151" s="71"/>
      <c r="P1151" s="26"/>
      <c r="Q1151" s="32"/>
    </row>
    <row r="1152" ht="25.5" customHeight="1">
      <c r="A1152" s="33"/>
      <c r="B1152" s="25"/>
      <c r="C1152" s="17"/>
      <c r="D1152" s="19"/>
      <c r="E1152" s="19"/>
      <c r="F1152" s="19"/>
      <c r="G1152" s="20"/>
      <c r="H1152" s="25"/>
      <c r="I1152" s="78"/>
      <c r="J1152" s="78"/>
      <c r="K1152" s="78"/>
      <c r="L1152" s="94"/>
      <c r="M1152" s="78"/>
      <c r="N1152" s="78"/>
      <c r="O1152" s="69"/>
      <c r="P1152" s="33"/>
      <c r="Q1152" s="25"/>
    </row>
    <row r="1153" ht="25.5" customHeight="1">
      <c r="A1153" s="26"/>
      <c r="B1153" s="32"/>
      <c r="C1153" s="17"/>
      <c r="D1153" s="97"/>
      <c r="E1153" s="97"/>
      <c r="F1153" s="97"/>
      <c r="G1153" s="27"/>
      <c r="H1153" s="32"/>
      <c r="I1153" s="75"/>
      <c r="J1153" s="75"/>
      <c r="K1153" s="75"/>
      <c r="L1153" s="94"/>
      <c r="M1153" s="75"/>
      <c r="N1153" s="75"/>
      <c r="O1153" s="71"/>
      <c r="P1153" s="26"/>
      <c r="Q1153" s="32"/>
    </row>
    <row r="1154" ht="25.5" customHeight="1">
      <c r="A1154" s="33"/>
      <c r="B1154" s="25"/>
      <c r="C1154" s="17"/>
      <c r="D1154" s="19"/>
      <c r="E1154" s="19"/>
      <c r="F1154" s="19"/>
      <c r="G1154" s="20"/>
      <c r="H1154" s="25"/>
      <c r="I1154" s="78"/>
      <c r="J1154" s="78"/>
      <c r="K1154" s="78"/>
      <c r="L1154" s="94"/>
      <c r="M1154" s="78"/>
      <c r="N1154" s="78"/>
      <c r="O1154" s="69"/>
      <c r="P1154" s="33"/>
      <c r="Q1154" s="25"/>
    </row>
    <row r="1155" ht="25.5" customHeight="1">
      <c r="A1155" s="26"/>
      <c r="B1155" s="32"/>
      <c r="C1155" s="17"/>
      <c r="D1155" s="97"/>
      <c r="E1155" s="97"/>
      <c r="F1155" s="97"/>
      <c r="G1155" s="27"/>
      <c r="H1155" s="32"/>
      <c r="I1155" s="75"/>
      <c r="J1155" s="75"/>
      <c r="K1155" s="75"/>
      <c r="L1155" s="94"/>
      <c r="M1155" s="75"/>
      <c r="N1155" s="75"/>
      <c r="O1155" s="71"/>
      <c r="P1155" s="26"/>
      <c r="Q1155" s="32"/>
    </row>
    <row r="1156" ht="25.5" customHeight="1">
      <c r="A1156" s="33"/>
      <c r="B1156" s="25"/>
      <c r="C1156" s="17"/>
      <c r="D1156" s="19"/>
      <c r="E1156" s="19"/>
      <c r="F1156" s="19"/>
      <c r="G1156" s="20"/>
      <c r="H1156" s="25"/>
      <c r="I1156" s="78"/>
      <c r="J1156" s="78"/>
      <c r="K1156" s="78"/>
      <c r="L1156" s="94"/>
      <c r="M1156" s="78"/>
      <c r="N1156" s="78"/>
      <c r="O1156" s="69"/>
      <c r="P1156" s="33"/>
      <c r="Q1156" s="25"/>
    </row>
    <row r="1157" ht="25.5" customHeight="1">
      <c r="A1157" s="26"/>
      <c r="B1157" s="32"/>
      <c r="C1157" s="17"/>
      <c r="D1157" s="97"/>
      <c r="E1157" s="97"/>
      <c r="F1157" s="97"/>
      <c r="G1157" s="27"/>
      <c r="H1157" s="32"/>
      <c r="I1157" s="75"/>
      <c r="J1157" s="75"/>
      <c r="K1157" s="75"/>
      <c r="L1157" s="94"/>
      <c r="M1157" s="75"/>
      <c r="N1157" s="75"/>
      <c r="O1157" s="71"/>
      <c r="P1157" s="26"/>
      <c r="Q1157" s="32"/>
    </row>
    <row r="1158" ht="25.5" customHeight="1">
      <c r="A1158" s="33"/>
      <c r="B1158" s="25"/>
      <c r="C1158" s="17"/>
      <c r="D1158" s="19"/>
      <c r="E1158" s="19"/>
      <c r="F1158" s="19"/>
      <c r="G1158" s="20"/>
      <c r="H1158" s="25"/>
      <c r="I1158" s="78"/>
      <c r="J1158" s="78"/>
      <c r="K1158" s="78"/>
      <c r="L1158" s="94"/>
      <c r="M1158" s="78"/>
      <c r="N1158" s="78"/>
      <c r="O1158" s="69"/>
      <c r="P1158" s="33"/>
      <c r="Q1158" s="25"/>
    </row>
    <row r="1159" ht="25.5" customHeight="1">
      <c r="A1159" s="26"/>
      <c r="B1159" s="32"/>
      <c r="C1159" s="17"/>
      <c r="D1159" s="97"/>
      <c r="E1159" s="97"/>
      <c r="F1159" s="97"/>
      <c r="G1159" s="27"/>
      <c r="H1159" s="32"/>
      <c r="I1159" s="75"/>
      <c r="J1159" s="75"/>
      <c r="K1159" s="75"/>
      <c r="L1159" s="94"/>
      <c r="M1159" s="75"/>
      <c r="N1159" s="75"/>
      <c r="O1159" s="71"/>
      <c r="P1159" s="26"/>
      <c r="Q1159" s="32"/>
    </row>
    <row r="1160" ht="25.5" customHeight="1">
      <c r="A1160" s="33"/>
      <c r="B1160" s="25"/>
      <c r="C1160" s="17"/>
      <c r="D1160" s="19"/>
      <c r="E1160" s="19"/>
      <c r="F1160" s="19"/>
      <c r="G1160" s="20"/>
      <c r="H1160" s="25"/>
      <c r="I1160" s="78"/>
      <c r="J1160" s="78"/>
      <c r="K1160" s="78"/>
      <c r="L1160" s="94"/>
      <c r="M1160" s="78"/>
      <c r="N1160" s="78"/>
      <c r="O1160" s="69"/>
      <c r="P1160" s="33"/>
      <c r="Q1160" s="25"/>
    </row>
    <row r="1161" ht="25.5" customHeight="1">
      <c r="A1161" s="26"/>
      <c r="B1161" s="32"/>
      <c r="C1161" s="17"/>
      <c r="D1161" s="97"/>
      <c r="E1161" s="97"/>
      <c r="F1161" s="97"/>
      <c r="G1161" s="27"/>
      <c r="H1161" s="32"/>
      <c r="I1161" s="75"/>
      <c r="J1161" s="75"/>
      <c r="K1161" s="75"/>
      <c r="L1161" s="94"/>
      <c r="M1161" s="75"/>
      <c r="N1161" s="75"/>
      <c r="O1161" s="71"/>
      <c r="P1161" s="26"/>
      <c r="Q1161" s="32"/>
    </row>
    <row r="1162" ht="25.5" customHeight="1">
      <c r="A1162" s="33"/>
      <c r="B1162" s="25"/>
      <c r="C1162" s="17"/>
      <c r="D1162" s="19"/>
      <c r="E1162" s="19"/>
      <c r="F1162" s="19"/>
      <c r="G1162" s="20"/>
      <c r="H1162" s="25"/>
      <c r="I1162" s="78"/>
      <c r="J1162" s="78"/>
      <c r="K1162" s="78"/>
      <c r="L1162" s="94"/>
      <c r="M1162" s="78"/>
      <c r="N1162" s="78"/>
      <c r="O1162" s="69"/>
      <c r="P1162" s="33"/>
      <c r="Q1162" s="25"/>
    </row>
    <row r="1163" ht="25.5" customHeight="1">
      <c r="A1163" s="26"/>
      <c r="B1163" s="32"/>
      <c r="C1163" s="17"/>
      <c r="D1163" s="97"/>
      <c r="E1163" s="97"/>
      <c r="F1163" s="97"/>
      <c r="G1163" s="27"/>
      <c r="H1163" s="32"/>
      <c r="I1163" s="75"/>
      <c r="J1163" s="75"/>
      <c r="K1163" s="75"/>
      <c r="L1163" s="94"/>
      <c r="M1163" s="75"/>
      <c r="N1163" s="75"/>
      <c r="O1163" s="71"/>
      <c r="P1163" s="26"/>
      <c r="Q1163" s="32"/>
    </row>
    <row r="1164" ht="25.5" customHeight="1">
      <c r="A1164" s="33"/>
      <c r="B1164" s="25"/>
      <c r="C1164" s="17"/>
      <c r="D1164" s="19"/>
      <c r="E1164" s="19"/>
      <c r="F1164" s="19"/>
      <c r="G1164" s="20"/>
      <c r="H1164" s="25"/>
      <c r="I1164" s="78"/>
      <c r="J1164" s="78"/>
      <c r="K1164" s="78"/>
      <c r="L1164" s="94"/>
      <c r="M1164" s="78"/>
      <c r="N1164" s="78"/>
      <c r="O1164" s="69"/>
      <c r="P1164" s="33"/>
      <c r="Q1164" s="25"/>
    </row>
    <row r="1165" ht="25.5" customHeight="1">
      <c r="A1165" s="26"/>
      <c r="B1165" s="32"/>
      <c r="C1165" s="17"/>
      <c r="D1165" s="97"/>
      <c r="E1165" s="97"/>
      <c r="F1165" s="97"/>
      <c r="G1165" s="27"/>
      <c r="H1165" s="32"/>
      <c r="I1165" s="75"/>
      <c r="J1165" s="75"/>
      <c r="K1165" s="75"/>
      <c r="L1165" s="94"/>
      <c r="M1165" s="75"/>
      <c r="N1165" s="75"/>
      <c r="O1165" s="71"/>
      <c r="P1165" s="26"/>
      <c r="Q1165" s="32"/>
    </row>
    <row r="1166" ht="25.5" customHeight="1">
      <c r="A1166" s="33"/>
      <c r="B1166" s="25"/>
      <c r="C1166" s="17"/>
      <c r="D1166" s="19"/>
      <c r="E1166" s="19"/>
      <c r="F1166" s="19"/>
      <c r="G1166" s="20"/>
      <c r="H1166" s="25"/>
      <c r="I1166" s="78"/>
      <c r="J1166" s="78"/>
      <c r="K1166" s="78"/>
      <c r="L1166" s="94"/>
      <c r="M1166" s="78"/>
      <c r="N1166" s="78"/>
      <c r="O1166" s="69"/>
      <c r="P1166" s="33"/>
      <c r="Q1166" s="25"/>
    </row>
    <row r="1167" ht="25.5" customHeight="1">
      <c r="A1167" s="26"/>
      <c r="B1167" s="32"/>
      <c r="C1167" s="17"/>
      <c r="D1167" s="97"/>
      <c r="E1167" s="97"/>
      <c r="F1167" s="97"/>
      <c r="G1167" s="27"/>
      <c r="H1167" s="32"/>
      <c r="I1167" s="75"/>
      <c r="J1167" s="75"/>
      <c r="K1167" s="75"/>
      <c r="L1167" s="94"/>
      <c r="M1167" s="75"/>
      <c r="N1167" s="75"/>
      <c r="O1167" s="71"/>
      <c r="P1167" s="26"/>
      <c r="Q1167" s="32"/>
    </row>
    <row r="1168" ht="25.5" customHeight="1">
      <c r="A1168" s="33"/>
      <c r="B1168" s="25"/>
      <c r="C1168" s="17"/>
      <c r="D1168" s="19"/>
      <c r="E1168" s="19"/>
      <c r="F1168" s="19"/>
      <c r="G1168" s="20"/>
      <c r="H1168" s="25"/>
      <c r="I1168" s="78"/>
      <c r="J1168" s="78"/>
      <c r="K1168" s="78"/>
      <c r="L1168" s="94"/>
      <c r="M1168" s="78"/>
      <c r="N1168" s="78"/>
      <c r="O1168" s="69"/>
      <c r="P1168" s="33"/>
      <c r="Q1168" s="25"/>
    </row>
    <row r="1169" ht="25.5" customHeight="1">
      <c r="A1169" s="26"/>
      <c r="B1169" s="32"/>
      <c r="C1169" s="17"/>
      <c r="D1169" s="97"/>
      <c r="E1169" s="97"/>
      <c r="F1169" s="97"/>
      <c r="G1169" s="27"/>
      <c r="H1169" s="32"/>
      <c r="I1169" s="75"/>
      <c r="J1169" s="75"/>
      <c r="K1169" s="75"/>
      <c r="L1169" s="94"/>
      <c r="M1169" s="75"/>
      <c r="N1169" s="75"/>
      <c r="O1169" s="71"/>
      <c r="P1169" s="26"/>
      <c r="Q1169" s="32"/>
    </row>
    <row r="1170" ht="25.5" customHeight="1">
      <c r="A1170" s="33"/>
      <c r="B1170" s="25"/>
      <c r="C1170" s="17"/>
      <c r="D1170" s="19"/>
      <c r="E1170" s="19"/>
      <c r="F1170" s="19"/>
      <c r="G1170" s="20"/>
      <c r="H1170" s="25"/>
      <c r="I1170" s="78"/>
      <c r="J1170" s="78"/>
      <c r="K1170" s="78"/>
      <c r="L1170" s="94"/>
      <c r="M1170" s="78"/>
      <c r="N1170" s="78"/>
      <c r="O1170" s="69"/>
      <c r="P1170" s="33"/>
      <c r="Q1170" s="25"/>
    </row>
    <row r="1171" ht="25.5" customHeight="1">
      <c r="A1171" s="26"/>
      <c r="B1171" s="32"/>
      <c r="C1171" s="17"/>
      <c r="D1171" s="97"/>
      <c r="E1171" s="97"/>
      <c r="F1171" s="97"/>
      <c r="G1171" s="27"/>
      <c r="H1171" s="32"/>
      <c r="I1171" s="75"/>
      <c r="J1171" s="75"/>
      <c r="K1171" s="75"/>
      <c r="L1171" s="94"/>
      <c r="M1171" s="75"/>
      <c r="N1171" s="75"/>
      <c r="O1171" s="71"/>
      <c r="P1171" s="26"/>
      <c r="Q1171" s="32"/>
    </row>
    <row r="1172" ht="25.5" customHeight="1">
      <c r="A1172" s="33"/>
      <c r="B1172" s="25"/>
      <c r="C1172" s="17"/>
      <c r="D1172" s="19"/>
      <c r="E1172" s="19"/>
      <c r="F1172" s="19"/>
      <c r="G1172" s="20"/>
      <c r="H1172" s="25"/>
      <c r="I1172" s="78"/>
      <c r="J1172" s="78"/>
      <c r="K1172" s="78"/>
      <c r="L1172" s="94"/>
      <c r="M1172" s="78"/>
      <c r="N1172" s="78"/>
      <c r="O1172" s="69"/>
      <c r="P1172" s="33"/>
      <c r="Q1172" s="25"/>
    </row>
    <row r="1173" ht="25.5" customHeight="1">
      <c r="A1173" s="26"/>
      <c r="B1173" s="32"/>
      <c r="C1173" s="17"/>
      <c r="D1173" s="97"/>
      <c r="E1173" s="97"/>
      <c r="F1173" s="97"/>
      <c r="G1173" s="27"/>
      <c r="H1173" s="32"/>
      <c r="I1173" s="75"/>
      <c r="J1173" s="75"/>
      <c r="K1173" s="75"/>
      <c r="L1173" s="94"/>
      <c r="M1173" s="75"/>
      <c r="N1173" s="75"/>
      <c r="O1173" s="71"/>
      <c r="P1173" s="26"/>
      <c r="Q1173" s="32"/>
    </row>
    <row r="1174" ht="25.5" customHeight="1">
      <c r="A1174" s="33"/>
      <c r="B1174" s="25"/>
      <c r="C1174" s="17"/>
      <c r="D1174" s="19"/>
      <c r="E1174" s="19"/>
      <c r="F1174" s="19"/>
      <c r="G1174" s="20"/>
      <c r="H1174" s="25"/>
      <c r="I1174" s="78"/>
      <c r="J1174" s="78"/>
      <c r="K1174" s="78"/>
      <c r="L1174" s="94"/>
      <c r="M1174" s="78"/>
      <c r="N1174" s="78"/>
      <c r="O1174" s="69"/>
      <c r="P1174" s="33"/>
      <c r="Q1174" s="25"/>
    </row>
    <row r="1175" ht="25.5" customHeight="1">
      <c r="A1175" s="26"/>
      <c r="B1175" s="32"/>
      <c r="C1175" s="17"/>
      <c r="D1175" s="97"/>
      <c r="E1175" s="97"/>
      <c r="F1175" s="97"/>
      <c r="G1175" s="27"/>
      <c r="H1175" s="32"/>
      <c r="I1175" s="75"/>
      <c r="J1175" s="75"/>
      <c r="K1175" s="75"/>
      <c r="L1175" s="94"/>
      <c r="M1175" s="75"/>
      <c r="N1175" s="75"/>
      <c r="O1175" s="71"/>
      <c r="P1175" s="26"/>
      <c r="Q1175" s="32"/>
    </row>
    <row r="1176" ht="25.5" customHeight="1">
      <c r="A1176" s="33"/>
      <c r="B1176" s="25"/>
      <c r="C1176" s="17"/>
      <c r="D1176" s="19"/>
      <c r="E1176" s="19"/>
      <c r="F1176" s="19"/>
      <c r="G1176" s="20"/>
      <c r="H1176" s="25"/>
      <c r="I1176" s="78"/>
      <c r="J1176" s="78"/>
      <c r="K1176" s="78"/>
      <c r="L1176" s="94"/>
      <c r="M1176" s="78"/>
      <c r="N1176" s="78"/>
      <c r="O1176" s="69"/>
      <c r="P1176" s="33"/>
      <c r="Q1176" s="25"/>
    </row>
    <row r="1177" ht="25.5" customHeight="1">
      <c r="A1177" s="26"/>
      <c r="B1177" s="32"/>
      <c r="C1177" s="17"/>
      <c r="D1177" s="97"/>
      <c r="E1177" s="97"/>
      <c r="F1177" s="97"/>
      <c r="G1177" s="27"/>
      <c r="H1177" s="32"/>
      <c r="I1177" s="75"/>
      <c r="J1177" s="75"/>
      <c r="K1177" s="75"/>
      <c r="L1177" s="94"/>
      <c r="M1177" s="75"/>
      <c r="N1177" s="75"/>
      <c r="O1177" s="71"/>
      <c r="P1177" s="26"/>
      <c r="Q1177" s="32"/>
    </row>
    <row r="1178" ht="25.5" customHeight="1">
      <c r="A1178" s="33"/>
      <c r="B1178" s="25"/>
      <c r="C1178" s="17"/>
      <c r="D1178" s="19"/>
      <c r="E1178" s="19"/>
      <c r="F1178" s="19"/>
      <c r="G1178" s="20"/>
      <c r="H1178" s="25"/>
      <c r="I1178" s="78"/>
      <c r="J1178" s="78"/>
      <c r="K1178" s="78"/>
      <c r="L1178" s="94"/>
      <c r="M1178" s="78"/>
      <c r="N1178" s="78"/>
      <c r="O1178" s="69"/>
      <c r="P1178" s="33"/>
      <c r="Q1178" s="25"/>
    </row>
    <row r="1179" ht="25.5" customHeight="1">
      <c r="A1179" s="26"/>
      <c r="B1179" s="32"/>
      <c r="C1179" s="17"/>
      <c r="D1179" s="97"/>
      <c r="E1179" s="97"/>
      <c r="F1179" s="97"/>
      <c r="G1179" s="27"/>
      <c r="H1179" s="32"/>
      <c r="I1179" s="75"/>
      <c r="J1179" s="75"/>
      <c r="K1179" s="75"/>
      <c r="L1179" s="94"/>
      <c r="M1179" s="75"/>
      <c r="N1179" s="75"/>
      <c r="O1179" s="71"/>
      <c r="P1179" s="26"/>
      <c r="Q1179" s="32"/>
    </row>
    <row r="1180" ht="25.5" customHeight="1">
      <c r="A1180" s="33"/>
      <c r="B1180" s="25"/>
      <c r="C1180" s="17"/>
      <c r="D1180" s="19"/>
      <c r="E1180" s="19"/>
      <c r="F1180" s="19"/>
      <c r="G1180" s="20"/>
      <c r="H1180" s="25"/>
      <c r="I1180" s="78"/>
      <c r="J1180" s="78"/>
      <c r="K1180" s="78"/>
      <c r="L1180" s="94"/>
      <c r="M1180" s="78"/>
      <c r="N1180" s="78"/>
      <c r="O1180" s="69"/>
      <c r="P1180" s="33"/>
      <c r="Q1180" s="25"/>
    </row>
    <row r="1181" ht="25.5" customHeight="1">
      <c r="A1181" s="26"/>
      <c r="B1181" s="32"/>
      <c r="C1181" s="17"/>
      <c r="D1181" s="97"/>
      <c r="E1181" s="97"/>
      <c r="F1181" s="97"/>
      <c r="G1181" s="27"/>
      <c r="H1181" s="32"/>
      <c r="I1181" s="75"/>
      <c r="J1181" s="75"/>
      <c r="K1181" s="75"/>
      <c r="L1181" s="94"/>
      <c r="M1181" s="75"/>
      <c r="N1181" s="75"/>
      <c r="O1181" s="71"/>
      <c r="P1181" s="26"/>
      <c r="Q1181" s="32"/>
    </row>
    <row r="1182" ht="25.5" customHeight="1">
      <c r="A1182" s="33"/>
      <c r="B1182" s="25"/>
      <c r="C1182" s="17"/>
      <c r="D1182" s="19"/>
      <c r="E1182" s="19"/>
      <c r="F1182" s="19"/>
      <c r="G1182" s="20"/>
      <c r="H1182" s="25"/>
      <c r="I1182" s="78"/>
      <c r="J1182" s="78"/>
      <c r="K1182" s="78"/>
      <c r="L1182" s="94"/>
      <c r="M1182" s="78"/>
      <c r="N1182" s="78"/>
      <c r="O1182" s="69"/>
      <c r="P1182" s="33"/>
      <c r="Q1182" s="25"/>
    </row>
    <row r="1183" ht="25.5" customHeight="1">
      <c r="A1183" s="26"/>
      <c r="B1183" s="32"/>
      <c r="C1183" s="17"/>
      <c r="D1183" s="97"/>
      <c r="E1183" s="97"/>
      <c r="F1183" s="97"/>
      <c r="G1183" s="27"/>
      <c r="H1183" s="32"/>
      <c r="I1183" s="75"/>
      <c r="J1183" s="75"/>
      <c r="K1183" s="75"/>
      <c r="L1183" s="94"/>
      <c r="M1183" s="75"/>
      <c r="N1183" s="75"/>
      <c r="O1183" s="71"/>
      <c r="P1183" s="26"/>
      <c r="Q1183" s="32"/>
    </row>
    <row r="1184" ht="25.5" customHeight="1">
      <c r="A1184" s="33"/>
      <c r="B1184" s="25"/>
      <c r="C1184" s="17"/>
      <c r="D1184" s="19"/>
      <c r="E1184" s="19"/>
      <c r="F1184" s="19"/>
      <c r="G1184" s="20"/>
      <c r="H1184" s="25"/>
      <c r="I1184" s="78"/>
      <c r="J1184" s="78"/>
      <c r="K1184" s="78"/>
      <c r="L1184" s="94"/>
      <c r="M1184" s="78"/>
      <c r="N1184" s="78"/>
      <c r="O1184" s="69"/>
      <c r="P1184" s="33"/>
      <c r="Q1184" s="25"/>
    </row>
    <row r="1185" ht="25.5" customHeight="1">
      <c r="A1185" s="26"/>
      <c r="B1185" s="32"/>
      <c r="C1185" s="17"/>
      <c r="D1185" s="97"/>
      <c r="E1185" s="97"/>
      <c r="F1185" s="97"/>
      <c r="G1185" s="27"/>
      <c r="H1185" s="32"/>
      <c r="I1185" s="75"/>
      <c r="J1185" s="75"/>
      <c r="K1185" s="75"/>
      <c r="L1185" s="94"/>
      <c r="M1185" s="75"/>
      <c r="N1185" s="75"/>
      <c r="O1185" s="71"/>
      <c r="P1185" s="26"/>
      <c r="Q1185" s="32"/>
    </row>
    <row r="1186" ht="25.5" customHeight="1">
      <c r="A1186" s="33"/>
      <c r="B1186" s="25"/>
      <c r="C1186" s="17"/>
      <c r="D1186" s="19"/>
      <c r="E1186" s="19"/>
      <c r="F1186" s="19"/>
      <c r="G1186" s="20"/>
      <c r="H1186" s="25"/>
      <c r="I1186" s="78"/>
      <c r="J1186" s="78"/>
      <c r="K1186" s="78"/>
      <c r="L1186" s="94"/>
      <c r="M1186" s="78"/>
      <c r="N1186" s="78"/>
      <c r="O1186" s="69"/>
      <c r="P1186" s="33"/>
      <c r="Q1186" s="25"/>
    </row>
    <row r="1187" ht="25.5" customHeight="1">
      <c r="A1187" s="26"/>
      <c r="B1187" s="32"/>
      <c r="C1187" s="17"/>
      <c r="D1187" s="97"/>
      <c r="E1187" s="97"/>
      <c r="F1187" s="97"/>
      <c r="G1187" s="27"/>
      <c r="H1187" s="32"/>
      <c r="I1187" s="75"/>
      <c r="J1187" s="75"/>
      <c r="K1187" s="75"/>
      <c r="L1187" s="94"/>
      <c r="M1187" s="75"/>
      <c r="N1187" s="75"/>
      <c r="O1187" s="71"/>
      <c r="P1187" s="26"/>
      <c r="Q1187" s="32"/>
    </row>
    <row r="1188" ht="25.5" customHeight="1">
      <c r="A1188" s="33"/>
      <c r="B1188" s="25"/>
      <c r="C1188" s="17"/>
      <c r="D1188" s="19"/>
      <c r="E1188" s="19"/>
      <c r="F1188" s="19"/>
      <c r="G1188" s="20"/>
      <c r="H1188" s="25"/>
      <c r="I1188" s="78"/>
      <c r="J1188" s="78"/>
      <c r="K1188" s="78"/>
      <c r="L1188" s="94"/>
      <c r="M1188" s="78"/>
      <c r="N1188" s="78"/>
      <c r="O1188" s="69"/>
      <c r="P1188" s="33"/>
      <c r="Q1188" s="25"/>
    </row>
    <row r="1189" ht="25.5" customHeight="1">
      <c r="A1189" s="26"/>
      <c r="B1189" s="32"/>
      <c r="C1189" s="17"/>
      <c r="D1189" s="97"/>
      <c r="E1189" s="97"/>
      <c r="F1189" s="97"/>
      <c r="G1189" s="27"/>
      <c r="H1189" s="32"/>
      <c r="I1189" s="75"/>
      <c r="J1189" s="75"/>
      <c r="K1189" s="75"/>
      <c r="L1189" s="94"/>
      <c r="M1189" s="75"/>
      <c r="N1189" s="75"/>
      <c r="O1189" s="71"/>
      <c r="P1189" s="26"/>
      <c r="Q1189" s="32"/>
    </row>
    <row r="1190" ht="25.5" customHeight="1">
      <c r="A1190" s="33"/>
      <c r="B1190" s="25"/>
      <c r="C1190" s="17"/>
      <c r="D1190" s="19"/>
      <c r="E1190" s="19"/>
      <c r="F1190" s="19"/>
      <c r="G1190" s="20"/>
      <c r="H1190" s="25"/>
      <c r="I1190" s="78"/>
      <c r="J1190" s="78"/>
      <c r="K1190" s="78"/>
      <c r="L1190" s="94"/>
      <c r="M1190" s="78"/>
      <c r="N1190" s="78"/>
      <c r="O1190" s="69"/>
      <c r="P1190" s="33"/>
      <c r="Q1190" s="25"/>
    </row>
    <row r="1191" ht="25.5" customHeight="1">
      <c r="A1191" s="26"/>
      <c r="B1191" s="32"/>
      <c r="C1191" s="17"/>
      <c r="D1191" s="97"/>
      <c r="E1191" s="97"/>
      <c r="F1191" s="97"/>
      <c r="G1191" s="27"/>
      <c r="H1191" s="32"/>
      <c r="I1191" s="75"/>
      <c r="J1191" s="75"/>
      <c r="K1191" s="75"/>
      <c r="L1191" s="94"/>
      <c r="M1191" s="75"/>
      <c r="N1191" s="75"/>
      <c r="O1191" s="71"/>
      <c r="P1191" s="26"/>
      <c r="Q1191" s="32"/>
    </row>
    <row r="1192" ht="25.5" customHeight="1">
      <c r="A1192" s="33"/>
      <c r="B1192" s="25"/>
      <c r="C1192" s="17"/>
      <c r="D1192" s="19"/>
      <c r="E1192" s="19"/>
      <c r="F1192" s="19"/>
      <c r="G1192" s="20"/>
      <c r="H1192" s="25"/>
      <c r="I1192" s="78"/>
      <c r="J1192" s="78"/>
      <c r="K1192" s="78"/>
      <c r="L1192" s="94"/>
      <c r="M1192" s="78"/>
      <c r="N1192" s="78"/>
      <c r="O1192" s="69"/>
      <c r="P1192" s="33"/>
      <c r="Q1192" s="25"/>
    </row>
    <row r="1193" ht="25.5" customHeight="1">
      <c r="A1193" s="26"/>
      <c r="B1193" s="32"/>
      <c r="C1193" s="17"/>
      <c r="D1193" s="97"/>
      <c r="E1193" s="97"/>
      <c r="F1193" s="97"/>
      <c r="G1193" s="27"/>
      <c r="H1193" s="32"/>
      <c r="I1193" s="75"/>
      <c r="J1193" s="75"/>
      <c r="K1193" s="75"/>
      <c r="L1193" s="94"/>
      <c r="M1193" s="75"/>
      <c r="N1193" s="75"/>
      <c r="O1193" s="71"/>
      <c r="P1193" s="26"/>
      <c r="Q1193" s="32"/>
    </row>
    <row r="1194" ht="25.5" customHeight="1">
      <c r="A1194" s="33"/>
      <c r="B1194" s="25"/>
      <c r="C1194" s="17"/>
      <c r="D1194" s="19"/>
      <c r="E1194" s="19"/>
      <c r="F1194" s="19"/>
      <c r="G1194" s="20"/>
      <c r="H1194" s="25"/>
      <c r="I1194" s="78"/>
      <c r="J1194" s="78"/>
      <c r="K1194" s="78"/>
      <c r="L1194" s="94"/>
      <c r="M1194" s="78"/>
      <c r="N1194" s="78"/>
      <c r="O1194" s="69"/>
      <c r="P1194" s="33"/>
      <c r="Q1194" s="25"/>
    </row>
    <row r="1195" ht="25.5" customHeight="1">
      <c r="A1195" s="26"/>
      <c r="B1195" s="32"/>
      <c r="C1195" s="17"/>
      <c r="D1195" s="97"/>
      <c r="E1195" s="97"/>
      <c r="F1195" s="97"/>
      <c r="G1195" s="27"/>
      <c r="H1195" s="32"/>
      <c r="I1195" s="75"/>
      <c r="J1195" s="75"/>
      <c r="K1195" s="75"/>
      <c r="L1195" s="94"/>
      <c r="M1195" s="75"/>
      <c r="N1195" s="75"/>
      <c r="O1195" s="71"/>
      <c r="P1195" s="26"/>
      <c r="Q1195" s="32"/>
    </row>
    <row r="1196" ht="25.5" customHeight="1">
      <c r="A1196" s="33"/>
      <c r="B1196" s="25"/>
      <c r="C1196" s="17"/>
      <c r="D1196" s="19"/>
      <c r="E1196" s="19"/>
      <c r="F1196" s="19"/>
      <c r="G1196" s="20"/>
      <c r="H1196" s="25"/>
      <c r="I1196" s="78"/>
      <c r="J1196" s="78"/>
      <c r="K1196" s="78"/>
      <c r="L1196" s="94"/>
      <c r="M1196" s="78"/>
      <c r="N1196" s="78"/>
      <c r="O1196" s="69"/>
      <c r="P1196" s="33"/>
      <c r="Q1196" s="25"/>
    </row>
    <row r="1197" ht="25.5" customHeight="1">
      <c r="A1197" s="26"/>
      <c r="B1197" s="32"/>
      <c r="C1197" s="17"/>
      <c r="D1197" s="97"/>
      <c r="E1197" s="97"/>
      <c r="F1197" s="97"/>
      <c r="G1197" s="27"/>
      <c r="H1197" s="32"/>
      <c r="I1197" s="75"/>
      <c r="J1197" s="75"/>
      <c r="K1197" s="75"/>
      <c r="L1197" s="94"/>
      <c r="M1197" s="75"/>
      <c r="N1197" s="75"/>
      <c r="O1197" s="71"/>
      <c r="P1197" s="26"/>
      <c r="Q1197" s="32"/>
    </row>
    <row r="1198" ht="25.5" customHeight="1">
      <c r="A1198" s="33"/>
      <c r="B1198" s="25"/>
      <c r="C1198" s="17"/>
      <c r="D1198" s="19"/>
      <c r="E1198" s="19"/>
      <c r="F1198" s="19"/>
      <c r="G1198" s="20"/>
      <c r="H1198" s="25"/>
      <c r="I1198" s="78"/>
      <c r="J1198" s="78"/>
      <c r="K1198" s="78"/>
      <c r="L1198" s="94"/>
      <c r="M1198" s="78"/>
      <c r="N1198" s="78"/>
      <c r="O1198" s="69"/>
      <c r="P1198" s="33"/>
      <c r="Q1198" s="25"/>
    </row>
    <row r="1199" ht="25.5" customHeight="1">
      <c r="A1199" s="26"/>
      <c r="B1199" s="32"/>
      <c r="C1199" s="17"/>
      <c r="D1199" s="97"/>
      <c r="E1199" s="97"/>
      <c r="F1199" s="97"/>
      <c r="G1199" s="27"/>
      <c r="H1199" s="32"/>
      <c r="I1199" s="75"/>
      <c r="J1199" s="75"/>
      <c r="K1199" s="75"/>
      <c r="L1199" s="94"/>
      <c r="M1199" s="75"/>
      <c r="N1199" s="75"/>
      <c r="O1199" s="71"/>
      <c r="P1199" s="26"/>
      <c r="Q1199" s="32"/>
    </row>
    <row r="1200" ht="25.5" customHeight="1">
      <c r="A1200" s="33"/>
      <c r="B1200" s="25"/>
      <c r="C1200" s="17"/>
      <c r="D1200" s="19"/>
      <c r="E1200" s="19"/>
      <c r="F1200" s="19"/>
      <c r="G1200" s="20"/>
      <c r="H1200" s="25"/>
      <c r="I1200" s="78"/>
      <c r="J1200" s="78"/>
      <c r="K1200" s="78"/>
      <c r="L1200" s="94"/>
      <c r="M1200" s="78"/>
      <c r="N1200" s="78"/>
      <c r="O1200" s="69"/>
      <c r="P1200" s="33"/>
      <c r="Q1200" s="25"/>
    </row>
    <row r="1201" ht="25.5" customHeight="1">
      <c r="A1201" s="26"/>
      <c r="B1201" s="32"/>
      <c r="C1201" s="17"/>
      <c r="D1201" s="97"/>
      <c r="E1201" s="97"/>
      <c r="F1201" s="97"/>
      <c r="G1201" s="27"/>
      <c r="H1201" s="32"/>
      <c r="I1201" s="75"/>
      <c r="J1201" s="75"/>
      <c r="K1201" s="75"/>
      <c r="L1201" s="94"/>
      <c r="M1201" s="75"/>
      <c r="N1201" s="75"/>
      <c r="O1201" s="71"/>
      <c r="P1201" s="26"/>
      <c r="Q1201" s="32"/>
    </row>
    <row r="1202" ht="25.5" customHeight="1">
      <c r="A1202" s="33"/>
      <c r="B1202" s="25"/>
      <c r="C1202" s="17"/>
      <c r="D1202" s="19"/>
      <c r="E1202" s="19"/>
      <c r="F1202" s="19"/>
      <c r="G1202" s="20"/>
      <c r="H1202" s="25"/>
      <c r="I1202" s="78"/>
      <c r="J1202" s="78"/>
      <c r="K1202" s="78"/>
      <c r="L1202" s="94"/>
      <c r="M1202" s="78"/>
      <c r="N1202" s="78"/>
      <c r="O1202" s="69"/>
      <c r="P1202" s="33"/>
      <c r="Q1202" s="25"/>
    </row>
    <row r="1203" ht="25.5" customHeight="1">
      <c r="A1203" s="26"/>
      <c r="B1203" s="32"/>
      <c r="C1203" s="17"/>
      <c r="D1203" s="97"/>
      <c r="E1203" s="97"/>
      <c r="F1203" s="97"/>
      <c r="G1203" s="27"/>
      <c r="H1203" s="32"/>
      <c r="I1203" s="75"/>
      <c r="J1203" s="75"/>
      <c r="K1203" s="75"/>
      <c r="L1203" s="94"/>
      <c r="M1203" s="75"/>
      <c r="N1203" s="75"/>
      <c r="O1203" s="71"/>
      <c r="P1203" s="26"/>
      <c r="Q1203" s="32"/>
    </row>
    <row r="1204" ht="25.5" customHeight="1">
      <c r="A1204" s="33"/>
      <c r="B1204" s="25"/>
      <c r="C1204" s="17"/>
      <c r="D1204" s="19"/>
      <c r="E1204" s="19"/>
      <c r="F1204" s="19"/>
      <c r="G1204" s="20"/>
      <c r="H1204" s="25"/>
      <c r="I1204" s="78"/>
      <c r="J1204" s="78"/>
      <c r="K1204" s="78"/>
      <c r="L1204" s="94"/>
      <c r="M1204" s="78"/>
      <c r="N1204" s="78"/>
      <c r="O1204" s="69"/>
      <c r="P1204" s="33"/>
      <c r="Q1204" s="25"/>
    </row>
    <row r="1205" ht="25.5" customHeight="1">
      <c r="A1205" s="26"/>
      <c r="B1205" s="32"/>
      <c r="C1205" s="17"/>
      <c r="D1205" s="97"/>
      <c r="E1205" s="97"/>
      <c r="F1205" s="97"/>
      <c r="G1205" s="27"/>
      <c r="H1205" s="32"/>
      <c r="I1205" s="75"/>
      <c r="J1205" s="75"/>
      <c r="K1205" s="75"/>
      <c r="L1205" s="94"/>
      <c r="M1205" s="75"/>
      <c r="N1205" s="75"/>
      <c r="O1205" s="71"/>
      <c r="P1205" s="26"/>
      <c r="Q1205" s="32"/>
    </row>
    <row r="1206" ht="25.5" customHeight="1">
      <c r="A1206" s="33"/>
      <c r="B1206" s="25"/>
      <c r="C1206" s="17"/>
      <c r="D1206" s="19"/>
      <c r="E1206" s="19"/>
      <c r="F1206" s="19"/>
      <c r="G1206" s="20"/>
      <c r="H1206" s="25"/>
      <c r="I1206" s="78"/>
      <c r="J1206" s="78"/>
      <c r="K1206" s="78"/>
      <c r="L1206" s="94"/>
      <c r="M1206" s="78"/>
      <c r="N1206" s="78"/>
      <c r="O1206" s="69"/>
      <c r="P1206" s="33"/>
      <c r="Q1206" s="25"/>
    </row>
    <row r="1207" ht="25.5" customHeight="1">
      <c r="A1207" s="26"/>
      <c r="B1207" s="32"/>
      <c r="C1207" s="17"/>
      <c r="D1207" s="97"/>
      <c r="E1207" s="97"/>
      <c r="F1207" s="97"/>
      <c r="G1207" s="27"/>
      <c r="H1207" s="32"/>
      <c r="I1207" s="75"/>
      <c r="J1207" s="75"/>
      <c r="K1207" s="75"/>
      <c r="L1207" s="94"/>
      <c r="M1207" s="75"/>
      <c r="N1207" s="75"/>
      <c r="O1207" s="71"/>
      <c r="P1207" s="26"/>
      <c r="Q1207" s="32"/>
    </row>
    <row r="1208" ht="25.5" customHeight="1">
      <c r="A1208" s="33"/>
      <c r="B1208" s="25"/>
      <c r="C1208" s="17"/>
      <c r="D1208" s="19"/>
      <c r="E1208" s="19"/>
      <c r="F1208" s="19"/>
      <c r="G1208" s="20"/>
      <c r="H1208" s="25"/>
      <c r="I1208" s="78"/>
      <c r="J1208" s="78"/>
      <c r="K1208" s="78"/>
      <c r="L1208" s="94"/>
      <c r="M1208" s="78"/>
      <c r="N1208" s="78"/>
      <c r="O1208" s="69"/>
      <c r="P1208" s="33"/>
      <c r="Q1208" s="25"/>
    </row>
    <row r="1209" ht="25.5" customHeight="1">
      <c r="A1209" s="26"/>
      <c r="B1209" s="32"/>
      <c r="C1209" s="17"/>
      <c r="D1209" s="97"/>
      <c r="E1209" s="97"/>
      <c r="F1209" s="97"/>
      <c r="G1209" s="27"/>
      <c r="H1209" s="32"/>
      <c r="I1209" s="75"/>
      <c r="J1209" s="75"/>
      <c r="K1209" s="75"/>
      <c r="L1209" s="94"/>
      <c r="M1209" s="75"/>
      <c r="N1209" s="75"/>
      <c r="O1209" s="71"/>
      <c r="P1209" s="26"/>
      <c r="Q1209" s="32"/>
    </row>
    <row r="1210" ht="25.5" customHeight="1">
      <c r="A1210" s="33"/>
      <c r="B1210" s="25"/>
      <c r="C1210" s="17"/>
      <c r="D1210" s="19"/>
      <c r="E1210" s="19"/>
      <c r="F1210" s="19"/>
      <c r="G1210" s="20"/>
      <c r="H1210" s="25"/>
      <c r="I1210" s="78"/>
      <c r="J1210" s="78"/>
      <c r="K1210" s="78"/>
      <c r="L1210" s="94"/>
      <c r="M1210" s="78"/>
      <c r="N1210" s="78"/>
      <c r="O1210" s="69"/>
      <c r="P1210" s="33"/>
      <c r="Q1210" s="25"/>
    </row>
    <row r="1211" ht="25.5" customHeight="1">
      <c r="A1211" s="26"/>
      <c r="B1211" s="32"/>
      <c r="C1211" s="17"/>
      <c r="D1211" s="97"/>
      <c r="E1211" s="97"/>
      <c r="F1211" s="97"/>
      <c r="G1211" s="27"/>
      <c r="H1211" s="32"/>
      <c r="I1211" s="75"/>
      <c r="J1211" s="75"/>
      <c r="K1211" s="75"/>
      <c r="L1211" s="94"/>
      <c r="M1211" s="75"/>
      <c r="N1211" s="75"/>
      <c r="O1211" s="71"/>
      <c r="P1211" s="26"/>
      <c r="Q1211" s="32"/>
    </row>
    <row r="1212" ht="25.5" customHeight="1">
      <c r="A1212" s="33"/>
      <c r="B1212" s="25"/>
      <c r="C1212" s="17"/>
      <c r="D1212" s="19"/>
      <c r="E1212" s="19"/>
      <c r="F1212" s="19"/>
      <c r="G1212" s="20"/>
      <c r="H1212" s="25"/>
      <c r="I1212" s="78"/>
      <c r="J1212" s="78"/>
      <c r="K1212" s="78"/>
      <c r="L1212" s="94"/>
      <c r="M1212" s="78"/>
      <c r="N1212" s="78"/>
      <c r="O1212" s="69"/>
      <c r="P1212" s="33"/>
      <c r="Q1212" s="25"/>
    </row>
    <row r="1213" ht="25.5" customHeight="1">
      <c r="A1213" s="26"/>
      <c r="B1213" s="32"/>
      <c r="C1213" s="17"/>
      <c r="D1213" s="97"/>
      <c r="E1213" s="97"/>
      <c r="F1213" s="97"/>
      <c r="G1213" s="27"/>
      <c r="H1213" s="32"/>
      <c r="I1213" s="75"/>
      <c r="J1213" s="75"/>
      <c r="K1213" s="75"/>
      <c r="L1213" s="94"/>
      <c r="M1213" s="75"/>
      <c r="N1213" s="75"/>
      <c r="O1213" s="71"/>
      <c r="P1213" s="26"/>
      <c r="Q1213" s="32"/>
    </row>
    <row r="1214" ht="25.5" customHeight="1">
      <c r="A1214" s="33"/>
      <c r="B1214" s="25"/>
      <c r="C1214" s="17"/>
      <c r="D1214" s="19"/>
      <c r="E1214" s="19"/>
      <c r="F1214" s="19"/>
      <c r="G1214" s="20"/>
      <c r="H1214" s="25"/>
      <c r="I1214" s="78"/>
      <c r="J1214" s="78"/>
      <c r="K1214" s="78"/>
      <c r="L1214" s="94"/>
      <c r="M1214" s="78"/>
      <c r="N1214" s="78"/>
      <c r="O1214" s="69"/>
      <c r="P1214" s="33"/>
      <c r="Q1214" s="25"/>
    </row>
    <row r="1215" ht="25.5" customHeight="1">
      <c r="A1215" s="26"/>
      <c r="B1215" s="32"/>
      <c r="C1215" s="17"/>
      <c r="D1215" s="97"/>
      <c r="E1215" s="97"/>
      <c r="F1215" s="97"/>
      <c r="G1215" s="27"/>
      <c r="H1215" s="32"/>
      <c r="I1215" s="75"/>
      <c r="J1215" s="75"/>
      <c r="K1215" s="75"/>
      <c r="L1215" s="94"/>
      <c r="M1215" s="75"/>
      <c r="N1215" s="75"/>
      <c r="O1215" s="71"/>
      <c r="P1215" s="26"/>
      <c r="Q1215" s="32"/>
    </row>
    <row r="1216" ht="25.5" customHeight="1">
      <c r="A1216" s="33"/>
      <c r="B1216" s="25"/>
      <c r="C1216" s="17"/>
      <c r="D1216" s="19"/>
      <c r="E1216" s="19"/>
      <c r="F1216" s="19"/>
      <c r="G1216" s="20"/>
      <c r="H1216" s="25"/>
      <c r="I1216" s="78"/>
      <c r="J1216" s="78"/>
      <c r="K1216" s="78"/>
      <c r="L1216" s="94"/>
      <c r="M1216" s="78"/>
      <c r="N1216" s="78"/>
      <c r="O1216" s="69"/>
      <c r="P1216" s="33"/>
      <c r="Q1216" s="25"/>
    </row>
    <row r="1217" ht="25.5" customHeight="1">
      <c r="A1217" s="26"/>
      <c r="B1217" s="32"/>
      <c r="C1217" s="17"/>
      <c r="D1217" s="97"/>
      <c r="E1217" s="97"/>
      <c r="F1217" s="97"/>
      <c r="G1217" s="27"/>
      <c r="H1217" s="32"/>
      <c r="I1217" s="75"/>
      <c r="J1217" s="75"/>
      <c r="K1217" s="75"/>
      <c r="L1217" s="94"/>
      <c r="M1217" s="75"/>
      <c r="N1217" s="75"/>
      <c r="O1217" s="71"/>
      <c r="P1217" s="26"/>
      <c r="Q1217" s="32"/>
    </row>
    <row r="1218" ht="25.5" customHeight="1">
      <c r="A1218" s="33"/>
      <c r="B1218" s="25"/>
      <c r="C1218" s="17"/>
      <c r="D1218" s="19"/>
      <c r="E1218" s="19"/>
      <c r="F1218" s="19"/>
      <c r="G1218" s="20"/>
      <c r="H1218" s="25"/>
      <c r="I1218" s="78"/>
      <c r="J1218" s="78"/>
      <c r="K1218" s="78"/>
      <c r="L1218" s="94"/>
      <c r="M1218" s="78"/>
      <c r="N1218" s="78"/>
      <c r="O1218" s="69"/>
      <c r="P1218" s="33"/>
      <c r="Q1218" s="25"/>
    </row>
    <row r="1219" ht="25.5" customHeight="1">
      <c r="A1219" s="26"/>
      <c r="B1219" s="32"/>
      <c r="C1219" s="17"/>
      <c r="D1219" s="97"/>
      <c r="E1219" s="97"/>
      <c r="F1219" s="97"/>
      <c r="G1219" s="27"/>
      <c r="H1219" s="32"/>
      <c r="I1219" s="75"/>
      <c r="J1219" s="75"/>
      <c r="K1219" s="75"/>
      <c r="L1219" s="94"/>
      <c r="M1219" s="75"/>
      <c r="N1219" s="75"/>
      <c r="O1219" s="71"/>
      <c r="P1219" s="26"/>
      <c r="Q1219" s="32"/>
    </row>
    <row r="1220" ht="25.5" customHeight="1">
      <c r="A1220" s="33"/>
      <c r="B1220" s="25"/>
      <c r="C1220" s="17"/>
      <c r="D1220" s="19"/>
      <c r="E1220" s="19"/>
      <c r="F1220" s="19"/>
      <c r="G1220" s="20"/>
      <c r="H1220" s="25"/>
      <c r="I1220" s="78"/>
      <c r="J1220" s="78"/>
      <c r="K1220" s="78"/>
      <c r="L1220" s="94"/>
      <c r="M1220" s="78"/>
      <c r="N1220" s="78"/>
      <c r="O1220" s="69"/>
      <c r="P1220" s="33"/>
      <c r="Q1220" s="25"/>
    </row>
    <row r="1221" ht="25.5" customHeight="1">
      <c r="A1221" s="26"/>
      <c r="B1221" s="32"/>
      <c r="C1221" s="17"/>
      <c r="D1221" s="97"/>
      <c r="E1221" s="97"/>
      <c r="F1221" s="97"/>
      <c r="G1221" s="27"/>
      <c r="H1221" s="32"/>
      <c r="I1221" s="75"/>
      <c r="J1221" s="75"/>
      <c r="K1221" s="75"/>
      <c r="L1221" s="94"/>
      <c r="M1221" s="75"/>
      <c r="N1221" s="75"/>
      <c r="O1221" s="71"/>
      <c r="P1221" s="26"/>
      <c r="Q1221" s="32"/>
    </row>
    <row r="1222" ht="25.5" customHeight="1">
      <c r="A1222" s="33"/>
      <c r="B1222" s="25"/>
      <c r="C1222" s="17"/>
      <c r="D1222" s="19"/>
      <c r="E1222" s="19"/>
      <c r="F1222" s="19"/>
      <c r="G1222" s="20"/>
      <c r="H1222" s="25"/>
      <c r="I1222" s="78"/>
      <c r="J1222" s="78"/>
      <c r="K1222" s="78"/>
      <c r="L1222" s="94"/>
      <c r="M1222" s="78"/>
      <c r="N1222" s="78"/>
      <c r="O1222" s="69"/>
      <c r="P1222" s="33"/>
      <c r="Q1222" s="25"/>
    </row>
    <row r="1223" ht="25.5" customHeight="1">
      <c r="A1223" s="26"/>
      <c r="B1223" s="32"/>
      <c r="C1223" s="17"/>
      <c r="D1223" s="97"/>
      <c r="E1223" s="97"/>
      <c r="F1223" s="97"/>
      <c r="G1223" s="27"/>
      <c r="H1223" s="32"/>
      <c r="I1223" s="75"/>
      <c r="J1223" s="75"/>
      <c r="K1223" s="75"/>
      <c r="L1223" s="94"/>
      <c r="M1223" s="75"/>
      <c r="N1223" s="75"/>
      <c r="O1223" s="71"/>
      <c r="P1223" s="26"/>
      <c r="Q1223" s="32"/>
    </row>
    <row r="1224" ht="25.5" customHeight="1">
      <c r="A1224" s="33"/>
      <c r="B1224" s="25"/>
      <c r="C1224" s="17"/>
      <c r="D1224" s="19"/>
      <c r="E1224" s="19"/>
      <c r="F1224" s="19"/>
      <c r="G1224" s="20"/>
      <c r="H1224" s="25"/>
      <c r="I1224" s="78"/>
      <c r="J1224" s="78"/>
      <c r="K1224" s="78"/>
      <c r="L1224" s="94"/>
      <c r="M1224" s="78"/>
      <c r="N1224" s="78"/>
      <c r="O1224" s="69"/>
      <c r="P1224" s="33"/>
      <c r="Q1224" s="25"/>
    </row>
    <row r="1225" ht="25.5" customHeight="1">
      <c r="A1225" s="26"/>
      <c r="B1225" s="32"/>
      <c r="C1225" s="17"/>
      <c r="D1225" s="97"/>
      <c r="E1225" s="97"/>
      <c r="F1225" s="97"/>
      <c r="G1225" s="27"/>
      <c r="H1225" s="32"/>
      <c r="I1225" s="75"/>
      <c r="J1225" s="75"/>
      <c r="K1225" s="75"/>
      <c r="L1225" s="94"/>
      <c r="M1225" s="75"/>
      <c r="N1225" s="75"/>
      <c r="O1225" s="71"/>
      <c r="P1225" s="26"/>
      <c r="Q1225" s="32"/>
    </row>
    <row r="1226" ht="25.5" customHeight="1">
      <c r="A1226" s="33"/>
      <c r="B1226" s="25"/>
      <c r="C1226" s="17"/>
      <c r="D1226" s="19"/>
      <c r="E1226" s="19"/>
      <c r="F1226" s="19"/>
      <c r="G1226" s="20"/>
      <c r="H1226" s="25"/>
      <c r="I1226" s="78"/>
      <c r="J1226" s="78"/>
      <c r="K1226" s="78"/>
      <c r="L1226" s="94"/>
      <c r="M1226" s="78"/>
      <c r="N1226" s="78"/>
      <c r="O1226" s="69"/>
      <c r="P1226" s="33"/>
      <c r="Q1226" s="25"/>
    </row>
    <row r="1227" ht="25.5" customHeight="1">
      <c r="A1227" s="26"/>
      <c r="B1227" s="32"/>
      <c r="C1227" s="17"/>
      <c r="D1227" s="97"/>
      <c r="E1227" s="97"/>
      <c r="F1227" s="97"/>
      <c r="G1227" s="27"/>
      <c r="H1227" s="32"/>
      <c r="I1227" s="75"/>
      <c r="J1227" s="75"/>
      <c r="K1227" s="75"/>
      <c r="L1227" s="94"/>
      <c r="M1227" s="75"/>
      <c r="N1227" s="75"/>
      <c r="O1227" s="71"/>
      <c r="P1227" s="26"/>
      <c r="Q1227" s="32"/>
    </row>
    <row r="1228" ht="25.5" customHeight="1">
      <c r="A1228" s="33"/>
      <c r="B1228" s="25"/>
      <c r="C1228" s="17"/>
      <c r="D1228" s="19"/>
      <c r="E1228" s="19"/>
      <c r="F1228" s="19"/>
      <c r="G1228" s="20"/>
      <c r="H1228" s="25"/>
      <c r="I1228" s="78"/>
      <c r="J1228" s="78"/>
      <c r="K1228" s="78"/>
      <c r="L1228" s="94"/>
      <c r="M1228" s="78"/>
      <c r="N1228" s="78"/>
      <c r="O1228" s="69"/>
      <c r="P1228" s="33"/>
      <c r="Q1228" s="25"/>
    </row>
    <row r="1229" ht="25.5" customHeight="1">
      <c r="A1229" s="26"/>
      <c r="B1229" s="32"/>
      <c r="C1229" s="17"/>
      <c r="D1229" s="97"/>
      <c r="E1229" s="97"/>
      <c r="F1229" s="97"/>
      <c r="G1229" s="27"/>
      <c r="H1229" s="32"/>
      <c r="I1229" s="75"/>
      <c r="J1229" s="75"/>
      <c r="K1229" s="75"/>
      <c r="L1229" s="94"/>
      <c r="M1229" s="75"/>
      <c r="N1229" s="75"/>
      <c r="O1229" s="71"/>
      <c r="P1229" s="26"/>
      <c r="Q1229" s="32"/>
    </row>
    <row r="1230" ht="25.5" customHeight="1">
      <c r="A1230" s="33"/>
      <c r="B1230" s="25"/>
      <c r="C1230" s="17"/>
      <c r="D1230" s="19"/>
      <c r="E1230" s="19"/>
      <c r="F1230" s="19"/>
      <c r="G1230" s="20"/>
      <c r="H1230" s="25"/>
      <c r="I1230" s="78"/>
      <c r="J1230" s="78"/>
      <c r="K1230" s="78"/>
      <c r="L1230" s="94"/>
      <c r="M1230" s="78"/>
      <c r="N1230" s="78"/>
      <c r="O1230" s="69"/>
      <c r="P1230" s="33"/>
      <c r="Q1230" s="25"/>
    </row>
    <row r="1231" ht="25.5" customHeight="1">
      <c r="A1231" s="26"/>
      <c r="B1231" s="32"/>
      <c r="C1231" s="17"/>
      <c r="D1231" s="97"/>
      <c r="E1231" s="97"/>
      <c r="F1231" s="97"/>
      <c r="G1231" s="27"/>
      <c r="H1231" s="32"/>
      <c r="I1231" s="75"/>
      <c r="J1231" s="75"/>
      <c r="K1231" s="75"/>
      <c r="L1231" s="94"/>
      <c r="M1231" s="75"/>
      <c r="N1231" s="75"/>
      <c r="O1231" s="71"/>
      <c r="P1231" s="26"/>
      <c r="Q1231" s="32"/>
    </row>
    <row r="1232" ht="25.5" customHeight="1">
      <c r="A1232" s="33"/>
      <c r="B1232" s="25"/>
      <c r="C1232" s="17"/>
      <c r="D1232" s="19"/>
      <c r="E1232" s="19"/>
      <c r="F1232" s="19"/>
      <c r="G1232" s="20"/>
      <c r="H1232" s="25"/>
      <c r="I1232" s="78"/>
      <c r="J1232" s="78"/>
      <c r="K1232" s="78"/>
      <c r="L1232" s="94"/>
      <c r="M1232" s="78"/>
      <c r="N1232" s="78"/>
      <c r="O1232" s="69"/>
      <c r="P1232" s="33"/>
      <c r="Q1232" s="25"/>
    </row>
    <row r="1233" ht="25.5" customHeight="1">
      <c r="A1233" s="26"/>
      <c r="B1233" s="32"/>
      <c r="C1233" s="17"/>
      <c r="D1233" s="97"/>
      <c r="E1233" s="97"/>
      <c r="F1233" s="97"/>
      <c r="G1233" s="27"/>
      <c r="H1233" s="32"/>
      <c r="I1233" s="75"/>
      <c r="J1233" s="75"/>
      <c r="K1233" s="75"/>
      <c r="L1233" s="94"/>
      <c r="M1233" s="75"/>
      <c r="N1233" s="75"/>
      <c r="O1233" s="71"/>
      <c r="P1233" s="26"/>
      <c r="Q1233" s="32"/>
    </row>
    <row r="1234" ht="25.5" customHeight="1">
      <c r="A1234" s="33"/>
      <c r="B1234" s="25"/>
      <c r="C1234" s="17"/>
      <c r="D1234" s="19"/>
      <c r="E1234" s="19"/>
      <c r="F1234" s="19"/>
      <c r="G1234" s="20"/>
      <c r="H1234" s="25"/>
      <c r="I1234" s="78"/>
      <c r="J1234" s="78"/>
      <c r="K1234" s="78"/>
      <c r="L1234" s="94"/>
      <c r="M1234" s="78"/>
      <c r="N1234" s="78"/>
      <c r="O1234" s="69"/>
      <c r="P1234" s="33"/>
      <c r="Q1234" s="25"/>
    </row>
    <row r="1235" ht="25.5" customHeight="1">
      <c r="A1235" s="26"/>
      <c r="B1235" s="32"/>
      <c r="C1235" s="17"/>
      <c r="D1235" s="97"/>
      <c r="E1235" s="97"/>
      <c r="F1235" s="97"/>
      <c r="G1235" s="27"/>
      <c r="H1235" s="32"/>
      <c r="I1235" s="75"/>
      <c r="J1235" s="75"/>
      <c r="K1235" s="75"/>
      <c r="L1235" s="94"/>
      <c r="M1235" s="75"/>
      <c r="N1235" s="75"/>
      <c r="O1235" s="71"/>
      <c r="P1235" s="26"/>
      <c r="Q1235" s="32"/>
    </row>
    <row r="1236" ht="25.5" customHeight="1">
      <c r="A1236" s="33"/>
      <c r="B1236" s="25"/>
      <c r="C1236" s="17"/>
      <c r="D1236" s="19"/>
      <c r="E1236" s="19"/>
      <c r="F1236" s="19"/>
      <c r="G1236" s="20"/>
      <c r="H1236" s="25"/>
      <c r="I1236" s="78"/>
      <c r="J1236" s="78"/>
      <c r="K1236" s="78"/>
      <c r="L1236" s="94"/>
      <c r="M1236" s="78"/>
      <c r="N1236" s="78"/>
      <c r="O1236" s="69"/>
      <c r="P1236" s="33"/>
      <c r="Q1236" s="25"/>
    </row>
    <row r="1237" ht="25.5" customHeight="1">
      <c r="A1237" s="26"/>
      <c r="B1237" s="32"/>
      <c r="C1237" s="17"/>
      <c r="D1237" s="97"/>
      <c r="E1237" s="97"/>
      <c r="F1237" s="97"/>
      <c r="G1237" s="27"/>
      <c r="H1237" s="32"/>
      <c r="I1237" s="75"/>
      <c r="J1237" s="75"/>
      <c r="K1237" s="75"/>
      <c r="L1237" s="94"/>
      <c r="M1237" s="75"/>
      <c r="N1237" s="75"/>
      <c r="O1237" s="71"/>
      <c r="P1237" s="26"/>
      <c r="Q1237" s="32"/>
    </row>
    <row r="1238" ht="25.5" customHeight="1">
      <c r="A1238" s="33"/>
      <c r="B1238" s="25"/>
      <c r="C1238" s="17"/>
      <c r="D1238" s="19"/>
      <c r="E1238" s="19"/>
      <c r="F1238" s="19"/>
      <c r="G1238" s="20"/>
      <c r="H1238" s="25"/>
      <c r="I1238" s="78"/>
      <c r="J1238" s="78"/>
      <c r="K1238" s="78"/>
      <c r="L1238" s="94"/>
      <c r="M1238" s="78"/>
      <c r="N1238" s="78"/>
      <c r="O1238" s="69"/>
      <c r="P1238" s="33"/>
      <c r="Q1238" s="25"/>
    </row>
    <row r="1239" ht="25.5" customHeight="1">
      <c r="A1239" s="26"/>
      <c r="B1239" s="32"/>
      <c r="C1239" s="17"/>
      <c r="D1239" s="97"/>
      <c r="E1239" s="97"/>
      <c r="F1239" s="97"/>
      <c r="G1239" s="27"/>
      <c r="H1239" s="32"/>
      <c r="I1239" s="75"/>
      <c r="J1239" s="75"/>
      <c r="K1239" s="75"/>
      <c r="L1239" s="94"/>
      <c r="M1239" s="75"/>
      <c r="N1239" s="75"/>
      <c r="O1239" s="71"/>
      <c r="P1239" s="26"/>
      <c r="Q1239" s="32"/>
    </row>
    <row r="1240" ht="25.5" customHeight="1">
      <c r="A1240" s="33"/>
      <c r="B1240" s="25"/>
      <c r="C1240" s="17"/>
      <c r="D1240" s="19"/>
      <c r="E1240" s="19"/>
      <c r="F1240" s="19"/>
      <c r="G1240" s="20"/>
      <c r="H1240" s="25"/>
      <c r="I1240" s="78"/>
      <c r="J1240" s="78"/>
      <c r="K1240" s="78"/>
      <c r="L1240" s="94"/>
      <c r="M1240" s="78"/>
      <c r="N1240" s="78"/>
      <c r="O1240" s="69"/>
      <c r="P1240" s="33"/>
      <c r="Q1240" s="25"/>
    </row>
    <row r="1241" ht="25.5" customHeight="1">
      <c r="A1241" s="26"/>
      <c r="B1241" s="32"/>
      <c r="C1241" s="17"/>
      <c r="D1241" s="97"/>
      <c r="E1241" s="97"/>
      <c r="F1241" s="97"/>
      <c r="G1241" s="27"/>
      <c r="H1241" s="32"/>
      <c r="I1241" s="75"/>
      <c r="J1241" s="75"/>
      <c r="K1241" s="75"/>
      <c r="L1241" s="94"/>
      <c r="M1241" s="75"/>
      <c r="N1241" s="75"/>
      <c r="O1241" s="71"/>
      <c r="P1241" s="26"/>
      <c r="Q1241" s="32"/>
    </row>
    <row r="1242" ht="25.5" customHeight="1">
      <c r="A1242" s="33"/>
      <c r="B1242" s="25"/>
      <c r="C1242" s="17"/>
      <c r="D1242" s="19"/>
      <c r="E1242" s="19"/>
      <c r="F1242" s="19"/>
      <c r="G1242" s="20"/>
      <c r="H1242" s="25"/>
      <c r="I1242" s="78"/>
      <c r="J1242" s="78"/>
      <c r="K1242" s="78"/>
      <c r="L1242" s="94"/>
      <c r="M1242" s="78"/>
      <c r="N1242" s="78"/>
      <c r="O1242" s="69"/>
      <c r="P1242" s="33"/>
      <c r="Q1242" s="25"/>
    </row>
    <row r="1243" ht="25.5" customHeight="1">
      <c r="A1243" s="26"/>
      <c r="B1243" s="32"/>
      <c r="C1243" s="17"/>
      <c r="D1243" s="97"/>
      <c r="E1243" s="97"/>
      <c r="F1243" s="97"/>
      <c r="G1243" s="27"/>
      <c r="H1243" s="32"/>
      <c r="I1243" s="75"/>
      <c r="J1243" s="75"/>
      <c r="K1243" s="75"/>
      <c r="L1243" s="94"/>
      <c r="M1243" s="75"/>
      <c r="N1243" s="75"/>
      <c r="O1243" s="71"/>
      <c r="P1243" s="26"/>
      <c r="Q1243" s="32"/>
    </row>
    <row r="1244" ht="25.5" customHeight="1">
      <c r="A1244" s="33"/>
      <c r="B1244" s="25"/>
      <c r="C1244" s="17"/>
      <c r="D1244" s="19"/>
      <c r="E1244" s="19"/>
      <c r="F1244" s="19"/>
      <c r="G1244" s="20"/>
      <c r="H1244" s="25"/>
      <c r="I1244" s="78"/>
      <c r="J1244" s="78"/>
      <c r="K1244" s="78"/>
      <c r="L1244" s="94"/>
      <c r="M1244" s="78"/>
      <c r="N1244" s="78"/>
      <c r="O1244" s="69"/>
      <c r="P1244" s="33"/>
      <c r="Q1244" s="25"/>
    </row>
    <row r="1245" ht="25.5" customHeight="1">
      <c r="A1245" s="26"/>
      <c r="B1245" s="32"/>
      <c r="C1245" s="17"/>
      <c r="D1245" s="97"/>
      <c r="E1245" s="97"/>
      <c r="F1245" s="97"/>
      <c r="G1245" s="27"/>
      <c r="H1245" s="32"/>
      <c r="I1245" s="75"/>
      <c r="J1245" s="75"/>
      <c r="K1245" s="75"/>
      <c r="L1245" s="94"/>
      <c r="M1245" s="75"/>
      <c r="N1245" s="75"/>
      <c r="O1245" s="71"/>
      <c r="P1245" s="26"/>
      <c r="Q1245" s="32"/>
    </row>
    <row r="1246" ht="25.5" customHeight="1">
      <c r="A1246" s="33"/>
      <c r="B1246" s="25"/>
      <c r="C1246" s="17"/>
      <c r="D1246" s="19"/>
      <c r="E1246" s="19"/>
      <c r="F1246" s="19"/>
      <c r="G1246" s="20"/>
      <c r="H1246" s="25"/>
      <c r="I1246" s="78"/>
      <c r="J1246" s="78"/>
      <c r="K1246" s="78"/>
      <c r="L1246" s="94"/>
      <c r="M1246" s="78"/>
      <c r="N1246" s="78"/>
      <c r="O1246" s="69"/>
      <c r="P1246" s="33"/>
      <c r="Q1246" s="25"/>
    </row>
    <row r="1247" ht="25.5" customHeight="1">
      <c r="A1247" s="26"/>
      <c r="B1247" s="32"/>
      <c r="C1247" s="17"/>
      <c r="D1247" s="97"/>
      <c r="E1247" s="97"/>
      <c r="F1247" s="97"/>
      <c r="G1247" s="27"/>
      <c r="H1247" s="32"/>
      <c r="I1247" s="75"/>
      <c r="J1247" s="75"/>
      <c r="K1247" s="75"/>
      <c r="L1247" s="94"/>
      <c r="M1247" s="75"/>
      <c r="N1247" s="75"/>
      <c r="O1247" s="71"/>
      <c r="P1247" s="26"/>
      <c r="Q1247" s="32"/>
    </row>
    <row r="1248" ht="25.5" customHeight="1">
      <c r="A1248" s="33"/>
      <c r="B1248" s="25"/>
      <c r="C1248" s="17"/>
      <c r="D1248" s="19"/>
      <c r="E1248" s="19"/>
      <c r="F1248" s="19"/>
      <c r="G1248" s="20"/>
      <c r="H1248" s="25"/>
      <c r="I1248" s="78"/>
      <c r="J1248" s="78"/>
      <c r="K1248" s="78"/>
      <c r="L1248" s="94"/>
      <c r="M1248" s="78"/>
      <c r="N1248" s="78"/>
      <c r="O1248" s="69"/>
      <c r="P1248" s="33"/>
      <c r="Q1248" s="25"/>
    </row>
    <row r="1249" ht="25.5" customHeight="1">
      <c r="A1249" s="26"/>
      <c r="B1249" s="32"/>
      <c r="C1249" s="17"/>
      <c r="D1249" s="97"/>
      <c r="E1249" s="97"/>
      <c r="F1249" s="97"/>
      <c r="G1249" s="27"/>
      <c r="H1249" s="32"/>
      <c r="I1249" s="75"/>
      <c r="J1249" s="75"/>
      <c r="K1249" s="75"/>
      <c r="L1249" s="94"/>
      <c r="M1249" s="75"/>
      <c r="N1249" s="75"/>
      <c r="O1249" s="71"/>
      <c r="P1249" s="26"/>
      <c r="Q1249" s="32"/>
    </row>
    <row r="1250" ht="25.5" customHeight="1">
      <c r="A1250" s="33"/>
      <c r="B1250" s="25"/>
      <c r="C1250" s="17"/>
      <c r="D1250" s="19"/>
      <c r="E1250" s="19"/>
      <c r="F1250" s="19"/>
      <c r="G1250" s="20"/>
      <c r="H1250" s="25"/>
      <c r="I1250" s="78"/>
      <c r="J1250" s="78"/>
      <c r="K1250" s="78"/>
      <c r="L1250" s="94"/>
      <c r="M1250" s="78"/>
      <c r="N1250" s="78"/>
      <c r="O1250" s="69"/>
      <c r="P1250" s="33"/>
      <c r="Q1250" s="25"/>
    </row>
    <row r="1251" ht="25.5" customHeight="1">
      <c r="A1251" s="26"/>
      <c r="B1251" s="32"/>
      <c r="C1251" s="17"/>
      <c r="D1251" s="97"/>
      <c r="E1251" s="97"/>
      <c r="F1251" s="97"/>
      <c r="G1251" s="27"/>
      <c r="H1251" s="32"/>
      <c r="I1251" s="75"/>
      <c r="J1251" s="75"/>
      <c r="K1251" s="75"/>
      <c r="L1251" s="94"/>
      <c r="M1251" s="75"/>
      <c r="N1251" s="75"/>
      <c r="O1251" s="71"/>
      <c r="P1251" s="26"/>
      <c r="Q1251" s="32"/>
    </row>
    <row r="1252" ht="25.5" customHeight="1">
      <c r="A1252" s="33"/>
      <c r="B1252" s="25"/>
      <c r="C1252" s="17"/>
      <c r="D1252" s="19"/>
      <c r="E1252" s="19"/>
      <c r="F1252" s="19"/>
      <c r="G1252" s="20"/>
      <c r="H1252" s="25"/>
      <c r="I1252" s="78"/>
      <c r="J1252" s="78"/>
      <c r="K1252" s="78"/>
      <c r="L1252" s="94"/>
      <c r="M1252" s="78"/>
      <c r="N1252" s="78"/>
      <c r="O1252" s="69"/>
      <c r="P1252" s="33"/>
      <c r="Q1252" s="25"/>
    </row>
    <row r="1253" ht="25.5" customHeight="1">
      <c r="A1253" s="26"/>
      <c r="B1253" s="32"/>
      <c r="C1253" s="17"/>
      <c r="D1253" s="97"/>
      <c r="E1253" s="97"/>
      <c r="F1253" s="97"/>
      <c r="G1253" s="27"/>
      <c r="H1253" s="32"/>
      <c r="I1253" s="75"/>
      <c r="J1253" s="75"/>
      <c r="K1253" s="75"/>
      <c r="L1253" s="94"/>
      <c r="M1253" s="75"/>
      <c r="N1253" s="75"/>
      <c r="O1253" s="71"/>
      <c r="P1253" s="26"/>
      <c r="Q1253" s="32"/>
    </row>
    <row r="1254" ht="25.5" customHeight="1">
      <c r="A1254" s="33"/>
      <c r="B1254" s="25"/>
      <c r="C1254" s="17"/>
      <c r="D1254" s="19"/>
      <c r="E1254" s="19"/>
      <c r="F1254" s="19"/>
      <c r="G1254" s="20"/>
      <c r="H1254" s="25"/>
      <c r="I1254" s="78"/>
      <c r="J1254" s="78"/>
      <c r="K1254" s="78"/>
      <c r="L1254" s="94"/>
      <c r="M1254" s="78"/>
      <c r="N1254" s="78"/>
      <c r="O1254" s="69"/>
      <c r="P1254" s="33"/>
      <c r="Q1254" s="25"/>
    </row>
    <row r="1255" ht="25.5" customHeight="1">
      <c r="A1255" s="26"/>
      <c r="B1255" s="32"/>
      <c r="C1255" s="17"/>
      <c r="D1255" s="97"/>
      <c r="E1255" s="97"/>
      <c r="F1255" s="97"/>
      <c r="G1255" s="27"/>
      <c r="H1255" s="32"/>
      <c r="I1255" s="75"/>
      <c r="J1255" s="75"/>
      <c r="K1255" s="75"/>
      <c r="L1255" s="94"/>
      <c r="M1255" s="75"/>
      <c r="N1255" s="75"/>
      <c r="O1255" s="71"/>
      <c r="P1255" s="26"/>
      <c r="Q1255" s="32"/>
    </row>
    <row r="1256" ht="25.5" customHeight="1">
      <c r="A1256" s="33"/>
      <c r="B1256" s="25"/>
      <c r="C1256" s="17"/>
      <c r="D1256" s="19"/>
      <c r="E1256" s="19"/>
      <c r="F1256" s="19"/>
      <c r="G1256" s="20"/>
      <c r="H1256" s="25"/>
      <c r="I1256" s="78"/>
      <c r="J1256" s="78"/>
      <c r="K1256" s="78"/>
      <c r="L1256" s="94"/>
      <c r="M1256" s="78"/>
      <c r="N1256" s="78"/>
      <c r="O1256" s="69"/>
      <c r="P1256" s="33"/>
      <c r="Q1256" s="25"/>
    </row>
    <row r="1257" ht="25.5" customHeight="1">
      <c r="A1257" s="26"/>
      <c r="B1257" s="32"/>
      <c r="C1257" s="17"/>
      <c r="D1257" s="97"/>
      <c r="E1257" s="97"/>
      <c r="F1257" s="97"/>
      <c r="G1257" s="27"/>
      <c r="H1257" s="32"/>
      <c r="I1257" s="75"/>
      <c r="J1257" s="75"/>
      <c r="K1257" s="75"/>
      <c r="L1257" s="94"/>
      <c r="M1257" s="75"/>
      <c r="N1257" s="75"/>
      <c r="O1257" s="71"/>
      <c r="P1257" s="26"/>
      <c r="Q1257" s="32"/>
    </row>
    <row r="1258" ht="25.5" customHeight="1">
      <c r="A1258" s="33"/>
      <c r="B1258" s="25"/>
      <c r="C1258" s="17"/>
      <c r="D1258" s="19"/>
      <c r="E1258" s="19"/>
      <c r="F1258" s="19"/>
      <c r="G1258" s="20"/>
      <c r="H1258" s="25"/>
      <c r="I1258" s="78"/>
      <c r="J1258" s="78"/>
      <c r="K1258" s="78"/>
      <c r="L1258" s="94"/>
      <c r="M1258" s="78"/>
      <c r="N1258" s="78"/>
      <c r="O1258" s="69"/>
      <c r="P1258" s="33"/>
      <c r="Q1258" s="25"/>
    </row>
    <row r="1259" ht="25.5" customHeight="1">
      <c r="A1259" s="26"/>
      <c r="B1259" s="32"/>
      <c r="C1259" s="17"/>
      <c r="D1259" s="97"/>
      <c r="E1259" s="97"/>
      <c r="F1259" s="97"/>
      <c r="G1259" s="27"/>
      <c r="H1259" s="32"/>
      <c r="I1259" s="75"/>
      <c r="J1259" s="75"/>
      <c r="K1259" s="75"/>
      <c r="L1259" s="94"/>
      <c r="M1259" s="75"/>
      <c r="N1259" s="75"/>
      <c r="O1259" s="71"/>
      <c r="P1259" s="26"/>
      <c r="Q1259" s="32"/>
    </row>
    <row r="1260" ht="25.5" customHeight="1">
      <c r="A1260" s="33"/>
      <c r="B1260" s="25"/>
      <c r="C1260" s="17"/>
      <c r="D1260" s="19"/>
      <c r="E1260" s="19"/>
      <c r="F1260" s="19"/>
      <c r="G1260" s="20"/>
      <c r="H1260" s="25"/>
      <c r="I1260" s="78"/>
      <c r="J1260" s="78"/>
      <c r="K1260" s="78"/>
      <c r="L1260" s="94"/>
      <c r="M1260" s="78"/>
      <c r="N1260" s="78"/>
      <c r="O1260" s="69"/>
      <c r="P1260" s="33"/>
      <c r="Q1260" s="25"/>
    </row>
    <row r="1261" ht="25.5" customHeight="1">
      <c r="A1261" s="26"/>
      <c r="B1261" s="32"/>
      <c r="C1261" s="17"/>
      <c r="D1261" s="97"/>
      <c r="E1261" s="97"/>
      <c r="F1261" s="97"/>
      <c r="G1261" s="27"/>
      <c r="H1261" s="32"/>
      <c r="I1261" s="75"/>
      <c r="J1261" s="75"/>
      <c r="K1261" s="75"/>
      <c r="L1261" s="94"/>
      <c r="M1261" s="75"/>
      <c r="N1261" s="75"/>
      <c r="O1261" s="71"/>
      <c r="P1261" s="26"/>
      <c r="Q1261" s="32"/>
    </row>
    <row r="1262" ht="25.5" customHeight="1">
      <c r="A1262" s="33"/>
      <c r="B1262" s="25"/>
      <c r="C1262" s="17"/>
      <c r="D1262" s="19"/>
      <c r="E1262" s="19"/>
      <c r="F1262" s="19"/>
      <c r="G1262" s="20"/>
      <c r="H1262" s="25"/>
      <c r="I1262" s="78"/>
      <c r="J1262" s="78"/>
      <c r="K1262" s="78"/>
      <c r="L1262" s="94"/>
      <c r="M1262" s="78"/>
      <c r="N1262" s="78"/>
      <c r="O1262" s="69"/>
      <c r="P1262" s="33"/>
      <c r="Q1262" s="25"/>
    </row>
    <row r="1263" ht="25.5" customHeight="1">
      <c r="A1263" s="26"/>
      <c r="B1263" s="32"/>
      <c r="C1263" s="17"/>
      <c r="D1263" s="97"/>
      <c r="E1263" s="97"/>
      <c r="F1263" s="97"/>
      <c r="G1263" s="27"/>
      <c r="H1263" s="32"/>
      <c r="I1263" s="75"/>
      <c r="J1263" s="75"/>
      <c r="K1263" s="75"/>
      <c r="L1263" s="94"/>
      <c r="M1263" s="75"/>
      <c r="N1263" s="75"/>
      <c r="O1263" s="71"/>
      <c r="P1263" s="26"/>
      <c r="Q1263" s="32"/>
    </row>
    <row r="1264" ht="25.5" customHeight="1">
      <c r="A1264" s="33"/>
      <c r="B1264" s="25"/>
      <c r="C1264" s="17"/>
      <c r="D1264" s="19"/>
      <c r="E1264" s="19"/>
      <c r="F1264" s="19"/>
      <c r="G1264" s="20"/>
      <c r="H1264" s="25"/>
      <c r="I1264" s="78"/>
      <c r="J1264" s="78"/>
      <c r="K1264" s="78"/>
      <c r="L1264" s="94"/>
      <c r="M1264" s="78"/>
      <c r="N1264" s="78"/>
      <c r="O1264" s="69"/>
      <c r="P1264" s="33"/>
      <c r="Q1264" s="25"/>
    </row>
    <row r="1265" ht="25.5" customHeight="1">
      <c r="A1265" s="26"/>
      <c r="B1265" s="32"/>
      <c r="C1265" s="17"/>
      <c r="D1265" s="97"/>
      <c r="E1265" s="97"/>
      <c r="F1265" s="97"/>
      <c r="G1265" s="27"/>
      <c r="H1265" s="32"/>
      <c r="I1265" s="75"/>
      <c r="J1265" s="75"/>
      <c r="K1265" s="75"/>
      <c r="L1265" s="94"/>
      <c r="M1265" s="75"/>
      <c r="N1265" s="75"/>
      <c r="O1265" s="71"/>
      <c r="P1265" s="26"/>
      <c r="Q1265" s="32"/>
    </row>
    <row r="1266" ht="25.5" customHeight="1">
      <c r="A1266" s="33"/>
      <c r="B1266" s="25"/>
      <c r="C1266" s="17"/>
      <c r="D1266" s="19"/>
      <c r="E1266" s="19"/>
      <c r="F1266" s="19"/>
      <c r="G1266" s="20"/>
      <c r="H1266" s="25"/>
      <c r="I1266" s="78"/>
      <c r="J1266" s="78"/>
      <c r="K1266" s="78"/>
      <c r="L1266" s="94"/>
      <c r="M1266" s="78"/>
      <c r="N1266" s="78"/>
      <c r="O1266" s="69"/>
      <c r="P1266" s="33"/>
      <c r="Q1266" s="25"/>
    </row>
    <row r="1267" ht="25.5" customHeight="1">
      <c r="A1267" s="26"/>
      <c r="B1267" s="32"/>
      <c r="C1267" s="17"/>
      <c r="D1267" s="97"/>
      <c r="E1267" s="97"/>
      <c r="F1267" s="97"/>
      <c r="G1267" s="27"/>
      <c r="H1267" s="32"/>
      <c r="I1267" s="75"/>
      <c r="J1267" s="75"/>
      <c r="K1267" s="75"/>
      <c r="L1267" s="94"/>
      <c r="M1267" s="75"/>
      <c r="N1267" s="75"/>
      <c r="O1267" s="71"/>
      <c r="P1267" s="26"/>
      <c r="Q1267" s="32"/>
    </row>
    <row r="1268" ht="25.5" customHeight="1">
      <c r="A1268" s="33"/>
      <c r="B1268" s="25"/>
      <c r="C1268" s="17"/>
      <c r="D1268" s="19"/>
      <c r="E1268" s="19"/>
      <c r="F1268" s="19"/>
      <c r="G1268" s="20"/>
      <c r="H1268" s="25"/>
      <c r="I1268" s="78"/>
      <c r="J1268" s="78"/>
      <c r="K1268" s="78"/>
      <c r="L1268" s="94"/>
      <c r="M1268" s="78"/>
      <c r="N1268" s="78"/>
      <c r="O1268" s="69"/>
      <c r="P1268" s="33"/>
      <c r="Q1268" s="25"/>
    </row>
    <row r="1269" ht="25.5" customHeight="1">
      <c r="A1269" s="26"/>
      <c r="B1269" s="32"/>
      <c r="C1269" s="17"/>
      <c r="D1269" s="97"/>
      <c r="E1269" s="97"/>
      <c r="F1269" s="97"/>
      <c r="G1269" s="27"/>
      <c r="H1269" s="32"/>
      <c r="I1269" s="75"/>
      <c r="J1269" s="75"/>
      <c r="K1269" s="75"/>
      <c r="L1269" s="94"/>
      <c r="M1269" s="75"/>
      <c r="N1269" s="75"/>
      <c r="O1269" s="71"/>
      <c r="P1269" s="26"/>
      <c r="Q1269" s="32"/>
    </row>
    <row r="1270" ht="25.5" customHeight="1">
      <c r="A1270" s="33"/>
      <c r="B1270" s="25"/>
      <c r="C1270" s="17"/>
      <c r="D1270" s="19"/>
      <c r="E1270" s="19"/>
      <c r="F1270" s="19"/>
      <c r="G1270" s="20"/>
      <c r="H1270" s="25"/>
      <c r="I1270" s="78"/>
      <c r="J1270" s="78"/>
      <c r="K1270" s="78"/>
      <c r="L1270" s="94"/>
      <c r="M1270" s="78"/>
      <c r="N1270" s="78"/>
      <c r="O1270" s="69"/>
      <c r="P1270" s="33"/>
      <c r="Q1270" s="25"/>
    </row>
    <row r="1271" ht="25.5" customHeight="1">
      <c r="A1271" s="26"/>
      <c r="B1271" s="32"/>
      <c r="C1271" s="17"/>
      <c r="D1271" s="97"/>
      <c r="E1271" s="97"/>
      <c r="F1271" s="97"/>
      <c r="G1271" s="27"/>
      <c r="H1271" s="32"/>
      <c r="I1271" s="75"/>
      <c r="J1271" s="75"/>
      <c r="K1271" s="75"/>
      <c r="L1271" s="94"/>
      <c r="M1271" s="75"/>
      <c r="N1271" s="75"/>
      <c r="O1271" s="71"/>
      <c r="P1271" s="26"/>
      <c r="Q1271" s="32"/>
    </row>
    <row r="1272" ht="25.5" customHeight="1">
      <c r="A1272" s="33"/>
      <c r="B1272" s="25"/>
      <c r="C1272" s="17"/>
      <c r="D1272" s="19"/>
      <c r="E1272" s="19"/>
      <c r="F1272" s="19"/>
      <c r="G1272" s="20"/>
      <c r="H1272" s="25"/>
      <c r="I1272" s="78"/>
      <c r="J1272" s="78"/>
      <c r="K1272" s="78"/>
      <c r="L1272" s="94"/>
      <c r="M1272" s="78"/>
      <c r="N1272" s="78"/>
      <c r="O1272" s="69"/>
      <c r="P1272" s="33"/>
      <c r="Q1272" s="25"/>
    </row>
    <row r="1273" ht="25.5" customHeight="1">
      <c r="A1273" s="26"/>
      <c r="B1273" s="32"/>
      <c r="C1273" s="17"/>
      <c r="D1273" s="97"/>
      <c r="E1273" s="97"/>
      <c r="F1273" s="97"/>
      <c r="G1273" s="27"/>
      <c r="H1273" s="32"/>
      <c r="I1273" s="75"/>
      <c r="J1273" s="75"/>
      <c r="K1273" s="75"/>
      <c r="L1273" s="94"/>
      <c r="M1273" s="75"/>
      <c r="N1273" s="75"/>
      <c r="O1273" s="71"/>
      <c r="P1273" s="26"/>
      <c r="Q1273" s="32"/>
    </row>
    <row r="1274" ht="25.5" customHeight="1">
      <c r="A1274" s="33"/>
      <c r="B1274" s="25"/>
      <c r="C1274" s="17"/>
      <c r="D1274" s="19"/>
      <c r="E1274" s="19"/>
      <c r="F1274" s="19"/>
      <c r="G1274" s="20"/>
      <c r="H1274" s="25"/>
      <c r="I1274" s="78"/>
      <c r="J1274" s="78"/>
      <c r="K1274" s="78"/>
      <c r="L1274" s="94"/>
      <c r="M1274" s="78"/>
      <c r="N1274" s="78"/>
      <c r="O1274" s="69"/>
      <c r="P1274" s="33"/>
      <c r="Q1274" s="25"/>
    </row>
    <row r="1275" ht="25.5" customHeight="1">
      <c r="A1275" s="26"/>
      <c r="B1275" s="32"/>
      <c r="C1275" s="17"/>
      <c r="D1275" s="97"/>
      <c r="E1275" s="97"/>
      <c r="F1275" s="97"/>
      <c r="G1275" s="27"/>
      <c r="H1275" s="32"/>
      <c r="I1275" s="75"/>
      <c r="J1275" s="75"/>
      <c r="K1275" s="75"/>
      <c r="L1275" s="94"/>
      <c r="M1275" s="75"/>
      <c r="N1275" s="75"/>
      <c r="O1275" s="71"/>
      <c r="P1275" s="26"/>
      <c r="Q1275" s="32"/>
    </row>
    <row r="1276" ht="25.5" customHeight="1">
      <c r="A1276" s="33"/>
      <c r="B1276" s="25"/>
      <c r="C1276" s="17"/>
      <c r="D1276" s="19"/>
      <c r="E1276" s="19"/>
      <c r="F1276" s="19"/>
      <c r="G1276" s="20"/>
      <c r="H1276" s="25"/>
      <c r="I1276" s="78"/>
      <c r="J1276" s="78"/>
      <c r="K1276" s="78"/>
      <c r="L1276" s="94"/>
      <c r="M1276" s="78"/>
      <c r="N1276" s="78"/>
      <c r="O1276" s="69"/>
      <c r="P1276" s="33"/>
      <c r="Q1276" s="25"/>
    </row>
    <row r="1277" ht="25.5" customHeight="1">
      <c r="A1277" s="26"/>
      <c r="B1277" s="32"/>
      <c r="C1277" s="17"/>
      <c r="D1277" s="97"/>
      <c r="E1277" s="97"/>
      <c r="F1277" s="97"/>
      <c r="G1277" s="27"/>
      <c r="H1277" s="32"/>
      <c r="I1277" s="75"/>
      <c r="J1277" s="75"/>
      <c r="K1277" s="75"/>
      <c r="L1277" s="94"/>
      <c r="M1277" s="75"/>
      <c r="N1277" s="75"/>
      <c r="O1277" s="71"/>
      <c r="P1277" s="26"/>
      <c r="Q1277" s="32"/>
    </row>
    <row r="1278" ht="25.5" customHeight="1">
      <c r="A1278" s="33"/>
      <c r="B1278" s="25"/>
      <c r="C1278" s="17"/>
      <c r="D1278" s="19"/>
      <c r="E1278" s="19"/>
      <c r="F1278" s="19"/>
      <c r="G1278" s="20"/>
      <c r="H1278" s="25"/>
      <c r="I1278" s="78"/>
      <c r="J1278" s="78"/>
      <c r="K1278" s="78"/>
      <c r="L1278" s="94"/>
      <c r="M1278" s="78"/>
      <c r="N1278" s="78"/>
      <c r="O1278" s="69"/>
      <c r="P1278" s="33"/>
      <c r="Q1278" s="25"/>
    </row>
    <row r="1279" ht="25.5" customHeight="1">
      <c r="A1279" s="26"/>
      <c r="B1279" s="32"/>
      <c r="C1279" s="17"/>
      <c r="D1279" s="97"/>
      <c r="E1279" s="97"/>
      <c r="F1279" s="97"/>
      <c r="G1279" s="27"/>
      <c r="H1279" s="32"/>
      <c r="I1279" s="75"/>
      <c r="J1279" s="75"/>
      <c r="K1279" s="75"/>
      <c r="L1279" s="94"/>
      <c r="M1279" s="75"/>
      <c r="N1279" s="75"/>
      <c r="O1279" s="71"/>
      <c r="P1279" s="26"/>
      <c r="Q1279" s="32"/>
    </row>
    <row r="1280" ht="25.5" customHeight="1">
      <c r="A1280" s="33"/>
      <c r="B1280" s="25"/>
      <c r="C1280" s="17"/>
      <c r="D1280" s="19"/>
      <c r="E1280" s="19"/>
      <c r="F1280" s="19"/>
      <c r="G1280" s="20"/>
      <c r="H1280" s="25"/>
      <c r="I1280" s="78"/>
      <c r="J1280" s="78"/>
      <c r="K1280" s="78"/>
      <c r="L1280" s="94"/>
      <c r="M1280" s="78"/>
      <c r="N1280" s="78"/>
      <c r="O1280" s="69"/>
      <c r="P1280" s="33"/>
      <c r="Q1280" s="25"/>
    </row>
    <row r="1281" ht="25.5" customHeight="1">
      <c r="A1281" s="26"/>
      <c r="B1281" s="32"/>
      <c r="C1281" s="17"/>
      <c r="D1281" s="97"/>
      <c r="E1281" s="97"/>
      <c r="F1281" s="97"/>
      <c r="G1281" s="27"/>
      <c r="H1281" s="32"/>
      <c r="I1281" s="75"/>
      <c r="J1281" s="75"/>
      <c r="K1281" s="75"/>
      <c r="L1281" s="94"/>
      <c r="M1281" s="75"/>
      <c r="N1281" s="75"/>
      <c r="O1281" s="71"/>
      <c r="P1281" s="26"/>
      <c r="Q1281" s="32"/>
    </row>
    <row r="1282" ht="25.5" customHeight="1">
      <c r="A1282" s="33"/>
      <c r="B1282" s="25"/>
      <c r="C1282" s="17"/>
      <c r="D1282" s="19"/>
      <c r="E1282" s="19"/>
      <c r="F1282" s="19"/>
      <c r="G1282" s="20"/>
      <c r="H1282" s="25"/>
      <c r="I1282" s="78"/>
      <c r="J1282" s="78"/>
      <c r="K1282" s="78"/>
      <c r="L1282" s="94"/>
      <c r="M1282" s="78"/>
      <c r="N1282" s="78"/>
      <c r="O1282" s="69"/>
      <c r="P1282" s="33"/>
      <c r="Q1282" s="25"/>
    </row>
    <row r="1283" ht="25.5" customHeight="1">
      <c r="A1283" s="26"/>
      <c r="B1283" s="32"/>
      <c r="C1283" s="17"/>
      <c r="D1283" s="97"/>
      <c r="E1283" s="97"/>
      <c r="F1283" s="97"/>
      <c r="G1283" s="27"/>
      <c r="H1283" s="32"/>
      <c r="I1283" s="75"/>
      <c r="J1283" s="75"/>
      <c r="K1283" s="75"/>
      <c r="L1283" s="94"/>
      <c r="M1283" s="75"/>
      <c r="N1283" s="75"/>
      <c r="O1283" s="71"/>
      <c r="P1283" s="26"/>
      <c r="Q1283" s="32"/>
    </row>
    <row r="1284" ht="25.5" customHeight="1">
      <c r="A1284" s="33"/>
      <c r="B1284" s="25"/>
      <c r="C1284" s="17"/>
      <c r="D1284" s="19"/>
      <c r="E1284" s="19"/>
      <c r="F1284" s="19"/>
      <c r="G1284" s="20"/>
      <c r="H1284" s="25"/>
      <c r="I1284" s="78"/>
      <c r="J1284" s="78"/>
      <c r="K1284" s="78"/>
      <c r="L1284" s="94"/>
      <c r="M1284" s="78"/>
      <c r="N1284" s="78"/>
      <c r="O1284" s="69"/>
      <c r="P1284" s="33"/>
      <c r="Q1284" s="25"/>
    </row>
    <row r="1285" ht="25.5" customHeight="1">
      <c r="A1285" s="26"/>
      <c r="B1285" s="32"/>
      <c r="C1285" s="17"/>
      <c r="D1285" s="97"/>
      <c r="E1285" s="97"/>
      <c r="F1285" s="97"/>
      <c r="G1285" s="27"/>
      <c r="H1285" s="32"/>
      <c r="I1285" s="75"/>
      <c r="J1285" s="75"/>
      <c r="K1285" s="75"/>
      <c r="L1285" s="94"/>
      <c r="M1285" s="75"/>
      <c r="N1285" s="75"/>
      <c r="O1285" s="71"/>
      <c r="P1285" s="26"/>
      <c r="Q1285" s="32"/>
    </row>
    <row r="1286" ht="25.5" customHeight="1">
      <c r="A1286" s="33"/>
      <c r="B1286" s="25"/>
      <c r="C1286" s="17"/>
      <c r="D1286" s="19"/>
      <c r="E1286" s="19"/>
      <c r="F1286" s="19"/>
      <c r="G1286" s="20"/>
      <c r="H1286" s="25"/>
      <c r="I1286" s="78"/>
      <c r="J1286" s="78"/>
      <c r="K1286" s="78"/>
      <c r="L1286" s="94"/>
      <c r="M1286" s="78"/>
      <c r="N1286" s="78"/>
      <c r="O1286" s="69"/>
      <c r="P1286" s="33"/>
      <c r="Q1286" s="25"/>
    </row>
    <row r="1287" ht="25.5" customHeight="1">
      <c r="A1287" s="26"/>
      <c r="B1287" s="32"/>
      <c r="C1287" s="17"/>
      <c r="D1287" s="97"/>
      <c r="E1287" s="97"/>
      <c r="F1287" s="97"/>
      <c r="G1287" s="27"/>
      <c r="H1287" s="32"/>
      <c r="I1287" s="75"/>
      <c r="J1287" s="75"/>
      <c r="K1287" s="75"/>
      <c r="L1287" s="94"/>
      <c r="M1287" s="75"/>
      <c r="N1287" s="75"/>
      <c r="O1287" s="71"/>
      <c r="P1287" s="26"/>
      <c r="Q1287" s="32"/>
    </row>
    <row r="1288" ht="25.5" customHeight="1">
      <c r="A1288" s="33"/>
      <c r="B1288" s="25"/>
      <c r="C1288" s="17"/>
      <c r="D1288" s="19"/>
      <c r="E1288" s="19"/>
      <c r="F1288" s="19"/>
      <c r="G1288" s="20"/>
      <c r="H1288" s="25"/>
      <c r="I1288" s="78"/>
      <c r="J1288" s="78"/>
      <c r="K1288" s="78"/>
      <c r="L1288" s="94"/>
      <c r="M1288" s="78"/>
      <c r="N1288" s="78"/>
      <c r="O1288" s="69"/>
      <c r="P1288" s="33"/>
      <c r="Q1288" s="25"/>
    </row>
    <row r="1289" ht="25.5" customHeight="1">
      <c r="A1289" s="26"/>
      <c r="B1289" s="32"/>
      <c r="C1289" s="17"/>
      <c r="D1289" s="97"/>
      <c r="E1289" s="97"/>
      <c r="F1289" s="97"/>
      <c r="G1289" s="27"/>
      <c r="H1289" s="32"/>
      <c r="I1289" s="75"/>
      <c r="J1289" s="75"/>
      <c r="K1289" s="75"/>
      <c r="L1289" s="94"/>
      <c r="M1289" s="75"/>
      <c r="N1289" s="75"/>
      <c r="O1289" s="71"/>
      <c r="P1289" s="26"/>
      <c r="Q1289" s="32"/>
    </row>
    <row r="1290" ht="25.5" customHeight="1">
      <c r="A1290" s="33"/>
      <c r="B1290" s="25"/>
      <c r="C1290" s="17"/>
      <c r="D1290" s="19"/>
      <c r="E1290" s="19"/>
      <c r="F1290" s="19"/>
      <c r="G1290" s="20"/>
      <c r="H1290" s="25"/>
      <c r="I1290" s="78"/>
      <c r="J1290" s="78"/>
      <c r="K1290" s="78"/>
      <c r="L1290" s="94"/>
      <c r="M1290" s="78"/>
      <c r="N1290" s="78"/>
      <c r="O1290" s="69"/>
      <c r="P1290" s="33"/>
      <c r="Q1290" s="25"/>
    </row>
    <row r="1291" ht="25.5" customHeight="1">
      <c r="A1291" s="26"/>
      <c r="B1291" s="32"/>
      <c r="C1291" s="17"/>
      <c r="D1291" s="97"/>
      <c r="E1291" s="97"/>
      <c r="F1291" s="97"/>
      <c r="G1291" s="27"/>
      <c r="H1291" s="32"/>
      <c r="I1291" s="75"/>
      <c r="J1291" s="75"/>
      <c r="K1291" s="75"/>
      <c r="L1291" s="94"/>
      <c r="M1291" s="75"/>
      <c r="N1291" s="75"/>
      <c r="O1291" s="71"/>
      <c r="P1291" s="26"/>
      <c r="Q1291" s="32"/>
    </row>
    <row r="1292" ht="25.5" customHeight="1">
      <c r="A1292" s="33"/>
      <c r="B1292" s="25"/>
      <c r="C1292" s="17"/>
      <c r="D1292" s="19"/>
      <c r="E1292" s="19"/>
      <c r="F1292" s="19"/>
      <c r="G1292" s="20"/>
      <c r="H1292" s="25"/>
      <c r="I1292" s="78"/>
      <c r="J1292" s="78"/>
      <c r="K1292" s="78"/>
      <c r="L1292" s="94"/>
      <c r="M1292" s="78"/>
      <c r="N1292" s="78"/>
      <c r="O1292" s="69"/>
      <c r="P1292" s="33"/>
      <c r="Q1292" s="25"/>
    </row>
    <row r="1293" ht="25.5" customHeight="1">
      <c r="A1293" s="26"/>
      <c r="B1293" s="32"/>
      <c r="C1293" s="17"/>
      <c r="D1293" s="97"/>
      <c r="E1293" s="97"/>
      <c r="F1293" s="97"/>
      <c r="G1293" s="27"/>
      <c r="H1293" s="32"/>
      <c r="I1293" s="75"/>
      <c r="J1293" s="75"/>
      <c r="K1293" s="75"/>
      <c r="L1293" s="94"/>
      <c r="M1293" s="75"/>
      <c r="N1293" s="75"/>
      <c r="O1293" s="71"/>
      <c r="P1293" s="26"/>
      <c r="Q1293" s="32"/>
    </row>
    <row r="1294" ht="25.5" customHeight="1">
      <c r="A1294" s="33"/>
      <c r="B1294" s="25"/>
      <c r="C1294" s="17"/>
      <c r="D1294" s="19"/>
      <c r="E1294" s="19"/>
      <c r="F1294" s="19"/>
      <c r="G1294" s="20"/>
      <c r="H1294" s="25"/>
      <c r="I1294" s="78"/>
      <c r="J1294" s="78"/>
      <c r="K1294" s="78"/>
      <c r="L1294" s="94"/>
      <c r="M1294" s="78"/>
      <c r="N1294" s="78"/>
      <c r="O1294" s="69"/>
      <c r="P1294" s="33"/>
      <c r="Q1294" s="25"/>
    </row>
    <row r="1295" ht="25.5" customHeight="1">
      <c r="A1295" s="26"/>
      <c r="B1295" s="32"/>
      <c r="C1295" s="17"/>
      <c r="D1295" s="97"/>
      <c r="E1295" s="97"/>
      <c r="F1295" s="97"/>
      <c r="G1295" s="27"/>
      <c r="H1295" s="32"/>
      <c r="I1295" s="75"/>
      <c r="J1295" s="75"/>
      <c r="K1295" s="75"/>
      <c r="L1295" s="94"/>
      <c r="M1295" s="75"/>
      <c r="N1295" s="75"/>
      <c r="O1295" s="71"/>
      <c r="P1295" s="26"/>
      <c r="Q1295" s="32"/>
    </row>
    <row r="1296" ht="25.5" customHeight="1">
      <c r="A1296" s="33"/>
      <c r="B1296" s="25"/>
      <c r="C1296" s="17"/>
      <c r="D1296" s="19"/>
      <c r="E1296" s="19"/>
      <c r="F1296" s="19"/>
      <c r="G1296" s="20"/>
      <c r="H1296" s="25"/>
      <c r="I1296" s="78"/>
      <c r="J1296" s="78"/>
      <c r="K1296" s="78"/>
      <c r="L1296" s="94"/>
      <c r="M1296" s="78"/>
      <c r="N1296" s="78"/>
      <c r="O1296" s="69"/>
      <c r="P1296" s="33"/>
      <c r="Q1296" s="25"/>
    </row>
    <row r="1297" ht="25.5" customHeight="1">
      <c r="A1297" s="26"/>
      <c r="B1297" s="32"/>
      <c r="C1297" s="17"/>
      <c r="D1297" s="97"/>
      <c r="E1297" s="97"/>
      <c r="F1297" s="97"/>
      <c r="G1297" s="27"/>
      <c r="H1297" s="32"/>
      <c r="I1297" s="75"/>
      <c r="J1297" s="75"/>
      <c r="K1297" s="75"/>
      <c r="L1297" s="94"/>
      <c r="M1297" s="75"/>
      <c r="N1297" s="75"/>
      <c r="O1297" s="71"/>
      <c r="P1297" s="26"/>
      <c r="Q1297" s="32"/>
    </row>
    <row r="1298" ht="25.5" customHeight="1">
      <c r="A1298" s="33"/>
      <c r="B1298" s="25"/>
      <c r="C1298" s="17"/>
      <c r="D1298" s="19"/>
      <c r="E1298" s="19"/>
      <c r="F1298" s="19"/>
      <c r="G1298" s="20"/>
      <c r="H1298" s="25"/>
      <c r="I1298" s="78"/>
      <c r="J1298" s="78"/>
      <c r="K1298" s="78"/>
      <c r="L1298" s="94"/>
      <c r="M1298" s="78"/>
      <c r="N1298" s="78"/>
      <c r="O1298" s="69"/>
      <c r="P1298" s="33"/>
      <c r="Q1298" s="25"/>
    </row>
    <row r="1299" ht="25.5" customHeight="1">
      <c r="A1299" s="26"/>
      <c r="B1299" s="32"/>
      <c r="C1299" s="17"/>
      <c r="D1299" s="97"/>
      <c r="E1299" s="97"/>
      <c r="F1299" s="97"/>
      <c r="G1299" s="27"/>
      <c r="H1299" s="32"/>
      <c r="I1299" s="75"/>
      <c r="J1299" s="75"/>
      <c r="K1299" s="75"/>
      <c r="L1299" s="94"/>
      <c r="M1299" s="75"/>
      <c r="N1299" s="75"/>
      <c r="O1299" s="71"/>
      <c r="P1299" s="26"/>
      <c r="Q1299" s="32"/>
    </row>
    <row r="1300" ht="25.5" customHeight="1">
      <c r="A1300" s="33"/>
      <c r="B1300" s="25"/>
      <c r="C1300" s="17"/>
      <c r="D1300" s="19"/>
      <c r="E1300" s="19"/>
      <c r="F1300" s="19"/>
      <c r="G1300" s="20"/>
      <c r="H1300" s="25"/>
      <c r="I1300" s="78"/>
      <c r="J1300" s="78"/>
      <c r="K1300" s="78"/>
      <c r="L1300" s="94"/>
      <c r="M1300" s="78"/>
      <c r="N1300" s="78"/>
      <c r="O1300" s="69"/>
      <c r="P1300" s="33"/>
      <c r="Q1300" s="25"/>
    </row>
    <row r="1301" ht="25.5" customHeight="1">
      <c r="A1301" s="26"/>
      <c r="B1301" s="32"/>
      <c r="C1301" s="17"/>
      <c r="D1301" s="97"/>
      <c r="E1301" s="97"/>
      <c r="F1301" s="97"/>
      <c r="G1301" s="27"/>
      <c r="H1301" s="32"/>
      <c r="I1301" s="75"/>
      <c r="J1301" s="75"/>
      <c r="K1301" s="75"/>
      <c r="L1301" s="94"/>
      <c r="M1301" s="75"/>
      <c r="N1301" s="75"/>
      <c r="O1301" s="71"/>
      <c r="P1301" s="26"/>
      <c r="Q1301" s="32"/>
    </row>
    <row r="1302" ht="25.5" customHeight="1">
      <c r="A1302" s="33"/>
      <c r="B1302" s="25"/>
      <c r="C1302" s="17"/>
      <c r="D1302" s="19"/>
      <c r="E1302" s="19"/>
      <c r="F1302" s="19"/>
      <c r="G1302" s="20"/>
      <c r="H1302" s="25"/>
      <c r="I1302" s="78"/>
      <c r="J1302" s="78"/>
      <c r="K1302" s="78"/>
      <c r="L1302" s="94"/>
      <c r="M1302" s="78"/>
      <c r="N1302" s="78"/>
      <c r="O1302" s="69"/>
      <c r="P1302" s="33"/>
      <c r="Q1302" s="25"/>
    </row>
    <row r="1303" ht="25.5" customHeight="1">
      <c r="A1303" s="26"/>
      <c r="B1303" s="32"/>
      <c r="C1303" s="17"/>
      <c r="D1303" s="97"/>
      <c r="E1303" s="97"/>
      <c r="F1303" s="97"/>
      <c r="G1303" s="27"/>
      <c r="H1303" s="32"/>
      <c r="I1303" s="75"/>
      <c r="J1303" s="75"/>
      <c r="K1303" s="75"/>
      <c r="L1303" s="94"/>
      <c r="M1303" s="75"/>
      <c r="N1303" s="75"/>
      <c r="O1303" s="71"/>
      <c r="P1303" s="26"/>
      <c r="Q1303" s="32"/>
    </row>
    <row r="1304" ht="25.5" customHeight="1">
      <c r="A1304" s="33"/>
      <c r="B1304" s="25"/>
      <c r="C1304" s="17"/>
      <c r="D1304" s="19"/>
      <c r="E1304" s="19"/>
      <c r="F1304" s="19"/>
      <c r="G1304" s="20"/>
      <c r="H1304" s="25"/>
      <c r="I1304" s="78"/>
      <c r="J1304" s="78"/>
      <c r="K1304" s="78"/>
      <c r="L1304" s="94"/>
      <c r="M1304" s="78"/>
      <c r="N1304" s="78"/>
      <c r="O1304" s="69"/>
      <c r="P1304" s="33"/>
      <c r="Q1304" s="25"/>
    </row>
    <row r="1305" ht="25.5" customHeight="1">
      <c r="A1305" s="26"/>
      <c r="B1305" s="32"/>
      <c r="C1305" s="17"/>
      <c r="D1305" s="97"/>
      <c r="E1305" s="97"/>
      <c r="F1305" s="97"/>
      <c r="G1305" s="27"/>
      <c r="H1305" s="32"/>
      <c r="I1305" s="75"/>
      <c r="J1305" s="75"/>
      <c r="K1305" s="75"/>
      <c r="L1305" s="94"/>
      <c r="M1305" s="75"/>
      <c r="N1305" s="75"/>
      <c r="O1305" s="71"/>
      <c r="P1305" s="26"/>
      <c r="Q1305" s="32"/>
    </row>
    <row r="1306" ht="25.5" customHeight="1">
      <c r="A1306" s="33"/>
      <c r="B1306" s="25"/>
      <c r="C1306" s="17"/>
      <c r="D1306" s="19"/>
      <c r="E1306" s="19"/>
      <c r="F1306" s="19"/>
      <c r="G1306" s="20"/>
      <c r="H1306" s="25"/>
      <c r="I1306" s="78"/>
      <c r="J1306" s="78"/>
      <c r="K1306" s="78"/>
      <c r="L1306" s="94"/>
      <c r="M1306" s="78"/>
      <c r="N1306" s="78"/>
      <c r="O1306" s="69"/>
      <c r="P1306" s="33"/>
      <c r="Q1306" s="25"/>
    </row>
    <row r="1307" ht="25.5" customHeight="1">
      <c r="A1307" s="26"/>
      <c r="B1307" s="32"/>
      <c r="C1307" s="17"/>
      <c r="D1307" s="97"/>
      <c r="E1307" s="97"/>
      <c r="F1307" s="97"/>
      <c r="G1307" s="27"/>
      <c r="H1307" s="32"/>
      <c r="I1307" s="75"/>
      <c r="J1307" s="75"/>
      <c r="K1307" s="75"/>
      <c r="L1307" s="94"/>
      <c r="M1307" s="75"/>
      <c r="N1307" s="75"/>
      <c r="O1307" s="71"/>
      <c r="P1307" s="26"/>
      <c r="Q1307" s="32"/>
    </row>
    <row r="1308" ht="25.5" customHeight="1">
      <c r="A1308" s="33"/>
      <c r="B1308" s="25"/>
      <c r="C1308" s="17"/>
      <c r="D1308" s="19"/>
      <c r="E1308" s="19"/>
      <c r="F1308" s="19"/>
      <c r="G1308" s="20"/>
      <c r="H1308" s="25"/>
      <c r="I1308" s="78"/>
      <c r="J1308" s="78"/>
      <c r="K1308" s="78"/>
      <c r="L1308" s="94"/>
      <c r="M1308" s="78"/>
      <c r="N1308" s="78"/>
      <c r="O1308" s="69"/>
      <c r="P1308" s="33"/>
      <c r="Q1308" s="25"/>
    </row>
    <row r="1309" ht="25.5" customHeight="1">
      <c r="A1309" s="26"/>
      <c r="B1309" s="32"/>
      <c r="C1309" s="17"/>
      <c r="D1309" s="97"/>
      <c r="E1309" s="97"/>
      <c r="F1309" s="97"/>
      <c r="G1309" s="27"/>
      <c r="H1309" s="32"/>
      <c r="I1309" s="75"/>
      <c r="J1309" s="75"/>
      <c r="K1309" s="75"/>
      <c r="L1309" s="94"/>
      <c r="M1309" s="75"/>
      <c r="N1309" s="75"/>
      <c r="O1309" s="71"/>
      <c r="P1309" s="26"/>
      <c r="Q1309" s="32"/>
    </row>
    <row r="1310" ht="25.5" customHeight="1">
      <c r="A1310" s="33"/>
      <c r="B1310" s="25"/>
      <c r="C1310" s="17"/>
      <c r="D1310" s="19"/>
      <c r="E1310" s="19"/>
      <c r="F1310" s="19"/>
      <c r="G1310" s="20"/>
      <c r="H1310" s="25"/>
      <c r="I1310" s="78"/>
      <c r="J1310" s="78"/>
      <c r="K1310" s="78"/>
      <c r="L1310" s="94"/>
      <c r="M1310" s="78"/>
      <c r="N1310" s="78"/>
      <c r="O1310" s="69"/>
      <c r="P1310" s="33"/>
      <c r="Q1310" s="25"/>
    </row>
    <row r="1311" ht="25.5" customHeight="1">
      <c r="A1311" s="26"/>
      <c r="B1311" s="32"/>
      <c r="C1311" s="17"/>
      <c r="D1311" s="97"/>
      <c r="E1311" s="97"/>
      <c r="F1311" s="97"/>
      <c r="G1311" s="27"/>
      <c r="H1311" s="32"/>
      <c r="I1311" s="75"/>
      <c r="J1311" s="75"/>
      <c r="K1311" s="75"/>
      <c r="L1311" s="94"/>
      <c r="M1311" s="75"/>
      <c r="N1311" s="75"/>
      <c r="O1311" s="71"/>
      <c r="P1311" s="26"/>
      <c r="Q1311" s="32"/>
    </row>
    <row r="1312" ht="25.5" customHeight="1">
      <c r="A1312" s="33"/>
      <c r="B1312" s="25"/>
      <c r="C1312" s="17"/>
      <c r="D1312" s="19"/>
      <c r="E1312" s="19"/>
      <c r="F1312" s="19"/>
      <c r="G1312" s="20"/>
      <c r="H1312" s="25"/>
      <c r="I1312" s="78"/>
      <c r="J1312" s="78"/>
      <c r="K1312" s="78"/>
      <c r="L1312" s="94"/>
      <c r="M1312" s="78"/>
      <c r="N1312" s="78"/>
      <c r="O1312" s="69"/>
      <c r="P1312" s="33"/>
      <c r="Q1312" s="25"/>
    </row>
    <row r="1313" ht="25.5" customHeight="1">
      <c r="A1313" s="26"/>
      <c r="B1313" s="32"/>
      <c r="C1313" s="17"/>
      <c r="D1313" s="97"/>
      <c r="E1313" s="97"/>
      <c r="F1313" s="97"/>
      <c r="G1313" s="27"/>
      <c r="H1313" s="32"/>
      <c r="I1313" s="75"/>
      <c r="J1313" s="75"/>
      <c r="K1313" s="75"/>
      <c r="L1313" s="94"/>
      <c r="M1313" s="75"/>
      <c r="N1313" s="75"/>
      <c r="O1313" s="71"/>
      <c r="P1313" s="26"/>
      <c r="Q1313" s="32"/>
    </row>
    <row r="1314" ht="25.5" customHeight="1">
      <c r="A1314" s="33"/>
      <c r="B1314" s="25"/>
      <c r="C1314" s="17"/>
      <c r="D1314" s="19"/>
      <c r="E1314" s="19"/>
      <c r="F1314" s="19"/>
      <c r="G1314" s="20"/>
      <c r="H1314" s="25"/>
      <c r="I1314" s="78"/>
      <c r="J1314" s="78"/>
      <c r="K1314" s="78"/>
      <c r="L1314" s="94"/>
      <c r="M1314" s="78"/>
      <c r="N1314" s="78"/>
      <c r="O1314" s="69"/>
      <c r="P1314" s="33"/>
      <c r="Q1314" s="25"/>
    </row>
    <row r="1315" ht="25.5" customHeight="1">
      <c r="A1315" s="26"/>
      <c r="B1315" s="32"/>
      <c r="C1315" s="17"/>
      <c r="D1315" s="97"/>
      <c r="E1315" s="97"/>
      <c r="F1315" s="97"/>
      <c r="G1315" s="27"/>
      <c r="H1315" s="32"/>
      <c r="I1315" s="75"/>
      <c r="J1315" s="75"/>
      <c r="K1315" s="75"/>
      <c r="L1315" s="94"/>
      <c r="M1315" s="75"/>
      <c r="N1315" s="75"/>
      <c r="O1315" s="71"/>
      <c r="P1315" s="26"/>
      <c r="Q1315" s="32"/>
    </row>
    <row r="1316" ht="25.5" customHeight="1">
      <c r="A1316" s="33"/>
      <c r="B1316" s="25"/>
      <c r="C1316" s="17"/>
      <c r="D1316" s="19"/>
      <c r="E1316" s="19"/>
      <c r="F1316" s="19"/>
      <c r="G1316" s="20"/>
      <c r="H1316" s="25"/>
      <c r="I1316" s="78"/>
      <c r="J1316" s="78"/>
      <c r="K1316" s="78"/>
      <c r="L1316" s="94"/>
      <c r="M1316" s="78"/>
      <c r="N1316" s="78"/>
      <c r="O1316" s="69"/>
      <c r="P1316" s="33"/>
      <c r="Q1316" s="25"/>
    </row>
    <row r="1317" ht="25.5" customHeight="1">
      <c r="A1317" s="26"/>
      <c r="B1317" s="32"/>
      <c r="C1317" s="17"/>
      <c r="D1317" s="97"/>
      <c r="E1317" s="97"/>
      <c r="F1317" s="97"/>
      <c r="G1317" s="27"/>
      <c r="H1317" s="32"/>
      <c r="I1317" s="75"/>
      <c r="J1317" s="75"/>
      <c r="K1317" s="75"/>
      <c r="L1317" s="94"/>
      <c r="M1317" s="75"/>
      <c r="N1317" s="75"/>
      <c r="O1317" s="71"/>
      <c r="P1317" s="26"/>
      <c r="Q1317" s="32"/>
    </row>
    <row r="1318" ht="25.5" customHeight="1">
      <c r="A1318" s="33"/>
      <c r="B1318" s="25"/>
      <c r="C1318" s="17"/>
      <c r="D1318" s="19"/>
      <c r="E1318" s="19"/>
      <c r="F1318" s="19"/>
      <c r="G1318" s="20"/>
      <c r="H1318" s="25"/>
      <c r="I1318" s="78"/>
      <c r="J1318" s="78"/>
      <c r="K1318" s="78"/>
      <c r="L1318" s="94"/>
      <c r="M1318" s="78"/>
      <c r="N1318" s="78"/>
      <c r="O1318" s="69"/>
      <c r="P1318" s="33"/>
      <c r="Q1318" s="25"/>
    </row>
    <row r="1319" ht="25.5" customHeight="1">
      <c r="A1319" s="26"/>
      <c r="B1319" s="32"/>
      <c r="C1319" s="17"/>
      <c r="D1319" s="97"/>
      <c r="E1319" s="97"/>
      <c r="F1319" s="97"/>
      <c r="G1319" s="27"/>
      <c r="H1319" s="32"/>
      <c r="I1319" s="75"/>
      <c r="J1319" s="75"/>
      <c r="K1319" s="75"/>
      <c r="L1319" s="94"/>
      <c r="M1319" s="75"/>
      <c r="N1319" s="75"/>
      <c r="O1319" s="71"/>
      <c r="P1319" s="26"/>
      <c r="Q1319" s="32"/>
    </row>
    <row r="1320" ht="25.5" customHeight="1">
      <c r="A1320" s="33"/>
      <c r="B1320" s="25"/>
      <c r="C1320" s="17"/>
      <c r="D1320" s="19"/>
      <c r="E1320" s="19"/>
      <c r="F1320" s="19"/>
      <c r="G1320" s="20"/>
      <c r="H1320" s="25"/>
      <c r="I1320" s="78"/>
      <c r="J1320" s="78"/>
      <c r="K1320" s="78"/>
      <c r="L1320" s="94"/>
      <c r="M1320" s="78"/>
      <c r="N1320" s="78"/>
      <c r="O1320" s="69"/>
      <c r="P1320" s="33"/>
      <c r="Q1320" s="25"/>
    </row>
    <row r="1321" ht="25.5" customHeight="1">
      <c r="A1321" s="26"/>
      <c r="B1321" s="32"/>
      <c r="C1321" s="17"/>
      <c r="D1321" s="97"/>
      <c r="E1321" s="97"/>
      <c r="F1321" s="97"/>
      <c r="G1321" s="27"/>
      <c r="H1321" s="32"/>
      <c r="I1321" s="75"/>
      <c r="J1321" s="75"/>
      <c r="K1321" s="75"/>
      <c r="L1321" s="94"/>
      <c r="M1321" s="75"/>
      <c r="N1321" s="75"/>
      <c r="O1321" s="71"/>
      <c r="P1321" s="26"/>
      <c r="Q1321" s="32"/>
    </row>
    <row r="1322" ht="25.5" customHeight="1">
      <c r="A1322" s="33"/>
      <c r="B1322" s="25"/>
      <c r="C1322" s="17"/>
      <c r="D1322" s="19"/>
      <c r="E1322" s="19"/>
      <c r="F1322" s="19"/>
      <c r="G1322" s="20"/>
      <c r="H1322" s="25"/>
      <c r="I1322" s="78"/>
      <c r="J1322" s="78"/>
      <c r="K1322" s="78"/>
      <c r="L1322" s="94"/>
      <c r="M1322" s="78"/>
      <c r="N1322" s="78"/>
      <c r="O1322" s="69"/>
      <c r="P1322" s="33"/>
      <c r="Q1322" s="25"/>
    </row>
    <row r="1323" ht="25.5" customHeight="1">
      <c r="A1323" s="26"/>
      <c r="B1323" s="32"/>
      <c r="C1323" s="17"/>
      <c r="D1323" s="97"/>
      <c r="E1323" s="97"/>
      <c r="F1323" s="97"/>
      <c r="G1323" s="27"/>
      <c r="H1323" s="32"/>
      <c r="I1323" s="75"/>
      <c r="J1323" s="75"/>
      <c r="K1323" s="75"/>
      <c r="L1323" s="94"/>
      <c r="M1323" s="75"/>
      <c r="N1323" s="75"/>
      <c r="O1323" s="71"/>
      <c r="P1323" s="26"/>
      <c r="Q1323" s="32"/>
    </row>
    <row r="1324" ht="25.5" customHeight="1">
      <c r="A1324" s="33"/>
      <c r="B1324" s="25"/>
      <c r="C1324" s="17"/>
      <c r="D1324" s="19"/>
      <c r="E1324" s="19"/>
      <c r="F1324" s="19"/>
      <c r="G1324" s="20"/>
      <c r="H1324" s="25"/>
      <c r="I1324" s="78"/>
      <c r="J1324" s="78"/>
      <c r="K1324" s="78"/>
      <c r="L1324" s="94"/>
      <c r="M1324" s="78"/>
      <c r="N1324" s="78"/>
      <c r="O1324" s="69"/>
      <c r="P1324" s="33"/>
      <c r="Q1324" s="25"/>
    </row>
    <row r="1325" ht="25.5" customHeight="1">
      <c r="A1325" s="26"/>
      <c r="B1325" s="32"/>
      <c r="C1325" s="17"/>
      <c r="D1325" s="97"/>
      <c r="E1325" s="97"/>
      <c r="F1325" s="97"/>
      <c r="G1325" s="27"/>
      <c r="H1325" s="32"/>
      <c r="I1325" s="75"/>
      <c r="J1325" s="75"/>
      <c r="K1325" s="75"/>
      <c r="L1325" s="94"/>
      <c r="M1325" s="75"/>
      <c r="N1325" s="75"/>
      <c r="O1325" s="71"/>
      <c r="P1325" s="26"/>
      <c r="Q1325" s="32"/>
    </row>
    <row r="1326" ht="25.5" customHeight="1">
      <c r="A1326" s="33"/>
      <c r="B1326" s="25"/>
      <c r="C1326" s="17"/>
      <c r="D1326" s="19"/>
      <c r="E1326" s="19"/>
      <c r="F1326" s="19"/>
      <c r="G1326" s="20"/>
      <c r="H1326" s="25"/>
      <c r="I1326" s="78"/>
      <c r="J1326" s="78"/>
      <c r="K1326" s="78"/>
      <c r="L1326" s="94"/>
      <c r="M1326" s="78"/>
      <c r="N1326" s="78"/>
      <c r="O1326" s="69"/>
      <c r="P1326" s="33"/>
      <c r="Q1326" s="25"/>
    </row>
    <row r="1327" ht="25.5" customHeight="1">
      <c r="A1327" s="26"/>
      <c r="B1327" s="32"/>
      <c r="C1327" s="17"/>
      <c r="D1327" s="97"/>
      <c r="E1327" s="97"/>
      <c r="F1327" s="97"/>
      <c r="G1327" s="27"/>
      <c r="H1327" s="32"/>
      <c r="I1327" s="75"/>
      <c r="J1327" s="75"/>
      <c r="K1327" s="75"/>
      <c r="L1327" s="94"/>
      <c r="M1327" s="75"/>
      <c r="N1327" s="75"/>
      <c r="O1327" s="71"/>
      <c r="P1327" s="26"/>
      <c r="Q1327" s="32"/>
    </row>
    <row r="1328" ht="25.5" customHeight="1">
      <c r="A1328" s="33"/>
      <c r="B1328" s="25"/>
      <c r="C1328" s="17"/>
      <c r="D1328" s="19"/>
      <c r="E1328" s="19"/>
      <c r="F1328" s="19"/>
      <c r="G1328" s="20"/>
      <c r="H1328" s="25"/>
      <c r="I1328" s="78"/>
      <c r="J1328" s="78"/>
      <c r="K1328" s="78"/>
      <c r="L1328" s="94"/>
      <c r="M1328" s="78"/>
      <c r="N1328" s="78"/>
      <c r="O1328" s="69"/>
      <c r="P1328" s="33"/>
      <c r="Q1328" s="25"/>
    </row>
    <row r="1329" ht="25.5" customHeight="1">
      <c r="A1329" s="26"/>
      <c r="B1329" s="32"/>
      <c r="C1329" s="17"/>
      <c r="D1329" s="97"/>
      <c r="E1329" s="97"/>
      <c r="F1329" s="97"/>
      <c r="G1329" s="27"/>
      <c r="H1329" s="32"/>
      <c r="I1329" s="75"/>
      <c r="J1329" s="75"/>
      <c r="K1329" s="75"/>
      <c r="L1329" s="94"/>
      <c r="M1329" s="75"/>
      <c r="N1329" s="75"/>
      <c r="O1329" s="71"/>
      <c r="P1329" s="26"/>
      <c r="Q1329" s="32"/>
    </row>
    <row r="1330" ht="25.5" customHeight="1">
      <c r="A1330" s="33"/>
      <c r="B1330" s="25"/>
      <c r="C1330" s="17"/>
      <c r="D1330" s="19"/>
      <c r="E1330" s="19"/>
      <c r="F1330" s="19"/>
      <c r="G1330" s="20"/>
      <c r="H1330" s="25"/>
      <c r="I1330" s="78"/>
      <c r="J1330" s="78"/>
      <c r="K1330" s="78"/>
      <c r="L1330" s="94"/>
      <c r="M1330" s="78"/>
      <c r="N1330" s="78"/>
      <c r="O1330" s="69"/>
      <c r="P1330" s="33"/>
      <c r="Q1330" s="25"/>
    </row>
    <row r="1331" ht="25.5" customHeight="1">
      <c r="A1331" s="26"/>
      <c r="B1331" s="32"/>
      <c r="C1331" s="17"/>
      <c r="D1331" s="97"/>
      <c r="E1331" s="97"/>
      <c r="F1331" s="97"/>
      <c r="G1331" s="27"/>
      <c r="H1331" s="32"/>
      <c r="I1331" s="75"/>
      <c r="J1331" s="75"/>
      <c r="K1331" s="75"/>
      <c r="L1331" s="94"/>
      <c r="M1331" s="75"/>
      <c r="N1331" s="75"/>
      <c r="O1331" s="71"/>
      <c r="P1331" s="26"/>
      <c r="Q1331" s="32"/>
    </row>
    <row r="1332" ht="25.5" customHeight="1">
      <c r="A1332" s="33"/>
      <c r="B1332" s="25"/>
      <c r="C1332" s="17"/>
      <c r="D1332" s="19"/>
      <c r="E1332" s="19"/>
      <c r="F1332" s="19"/>
      <c r="G1332" s="20"/>
      <c r="H1332" s="25"/>
      <c r="I1332" s="78"/>
      <c r="J1332" s="78"/>
      <c r="K1332" s="78"/>
      <c r="L1332" s="94"/>
      <c r="M1332" s="78"/>
      <c r="N1332" s="78"/>
      <c r="O1332" s="69"/>
      <c r="P1332" s="33"/>
      <c r="Q1332" s="25"/>
    </row>
    <row r="1333" ht="25.5" customHeight="1">
      <c r="A1333" s="26"/>
      <c r="B1333" s="32"/>
      <c r="C1333" s="17"/>
      <c r="D1333" s="97"/>
      <c r="E1333" s="97"/>
      <c r="F1333" s="97"/>
      <c r="G1333" s="27"/>
      <c r="H1333" s="32"/>
      <c r="I1333" s="75"/>
      <c r="J1333" s="75"/>
      <c r="K1333" s="75"/>
      <c r="L1333" s="94"/>
      <c r="M1333" s="75"/>
      <c r="N1333" s="75"/>
      <c r="O1333" s="71"/>
      <c r="P1333" s="26"/>
      <c r="Q1333" s="32"/>
    </row>
    <row r="1334" ht="25.5" customHeight="1">
      <c r="A1334" s="33"/>
      <c r="B1334" s="25"/>
      <c r="C1334" s="17"/>
      <c r="D1334" s="19"/>
      <c r="E1334" s="19"/>
      <c r="F1334" s="19"/>
      <c r="G1334" s="20"/>
      <c r="H1334" s="25"/>
      <c r="I1334" s="78"/>
      <c r="J1334" s="78"/>
      <c r="K1334" s="78"/>
      <c r="L1334" s="94"/>
      <c r="M1334" s="78"/>
      <c r="N1334" s="78"/>
      <c r="O1334" s="69"/>
      <c r="P1334" s="33"/>
      <c r="Q1334" s="25"/>
    </row>
    <row r="1335" ht="25.5" customHeight="1">
      <c r="A1335" s="26"/>
      <c r="B1335" s="32"/>
      <c r="C1335" s="17"/>
      <c r="D1335" s="97"/>
      <c r="E1335" s="97"/>
      <c r="F1335" s="97"/>
      <c r="G1335" s="27"/>
      <c r="H1335" s="32"/>
      <c r="I1335" s="75"/>
      <c r="J1335" s="75"/>
      <c r="K1335" s="75"/>
      <c r="L1335" s="94"/>
      <c r="M1335" s="75"/>
      <c r="N1335" s="75"/>
      <c r="O1335" s="71"/>
      <c r="P1335" s="26"/>
      <c r="Q1335" s="32"/>
    </row>
    <row r="1336" ht="25.5" customHeight="1">
      <c r="A1336" s="33"/>
      <c r="B1336" s="25"/>
      <c r="C1336" s="17"/>
      <c r="D1336" s="19"/>
      <c r="E1336" s="19"/>
      <c r="F1336" s="19"/>
      <c r="G1336" s="20"/>
      <c r="H1336" s="25"/>
      <c r="I1336" s="78"/>
      <c r="J1336" s="78"/>
      <c r="K1336" s="78"/>
      <c r="L1336" s="94"/>
      <c r="M1336" s="78"/>
      <c r="N1336" s="78"/>
      <c r="O1336" s="69"/>
      <c r="P1336" s="33"/>
      <c r="Q1336" s="25"/>
    </row>
    <row r="1337" ht="25.5" customHeight="1">
      <c r="A1337" s="26"/>
      <c r="B1337" s="32"/>
      <c r="C1337" s="17"/>
      <c r="D1337" s="97"/>
      <c r="E1337" s="97"/>
      <c r="F1337" s="97"/>
      <c r="G1337" s="27"/>
      <c r="H1337" s="32"/>
      <c r="I1337" s="75"/>
      <c r="J1337" s="75"/>
      <c r="K1337" s="75"/>
      <c r="L1337" s="94"/>
      <c r="M1337" s="75"/>
      <c r="N1337" s="75"/>
      <c r="O1337" s="71"/>
      <c r="P1337" s="26"/>
      <c r="Q1337" s="32"/>
    </row>
    <row r="1338" ht="25.5" customHeight="1">
      <c r="A1338" s="33"/>
      <c r="B1338" s="25"/>
      <c r="C1338" s="17"/>
      <c r="D1338" s="19"/>
      <c r="E1338" s="19"/>
      <c r="F1338" s="19"/>
      <c r="G1338" s="20"/>
      <c r="H1338" s="25"/>
      <c r="I1338" s="78"/>
      <c r="J1338" s="78"/>
      <c r="K1338" s="78"/>
      <c r="L1338" s="94"/>
      <c r="M1338" s="78"/>
      <c r="N1338" s="78"/>
      <c r="O1338" s="69"/>
      <c r="P1338" s="33"/>
      <c r="Q1338" s="25"/>
    </row>
    <row r="1339" ht="25.5" customHeight="1">
      <c r="A1339" s="26"/>
      <c r="B1339" s="32"/>
      <c r="C1339" s="17"/>
      <c r="D1339" s="97"/>
      <c r="E1339" s="97"/>
      <c r="F1339" s="97"/>
      <c r="G1339" s="27"/>
      <c r="H1339" s="32"/>
      <c r="I1339" s="75"/>
      <c r="J1339" s="75"/>
      <c r="K1339" s="75"/>
      <c r="L1339" s="94"/>
      <c r="M1339" s="75"/>
      <c r="N1339" s="75"/>
      <c r="O1339" s="71"/>
      <c r="P1339" s="26"/>
      <c r="Q1339" s="32"/>
    </row>
    <row r="1340" ht="25.5" customHeight="1">
      <c r="A1340" s="33"/>
      <c r="B1340" s="25"/>
      <c r="C1340" s="17"/>
      <c r="D1340" s="19"/>
      <c r="E1340" s="19"/>
      <c r="F1340" s="19"/>
      <c r="G1340" s="20"/>
      <c r="H1340" s="25"/>
      <c r="I1340" s="78"/>
      <c r="J1340" s="78"/>
      <c r="K1340" s="78"/>
      <c r="L1340" s="94"/>
      <c r="M1340" s="78"/>
      <c r="N1340" s="78"/>
      <c r="O1340" s="69"/>
      <c r="P1340" s="33"/>
      <c r="Q1340" s="25"/>
    </row>
    <row r="1341" ht="25.5" customHeight="1">
      <c r="A1341" s="26"/>
      <c r="B1341" s="32"/>
      <c r="C1341" s="17"/>
      <c r="D1341" s="97"/>
      <c r="E1341" s="97"/>
      <c r="F1341" s="97"/>
      <c r="G1341" s="27"/>
      <c r="H1341" s="32"/>
      <c r="I1341" s="75"/>
      <c r="J1341" s="75"/>
      <c r="K1341" s="75"/>
      <c r="L1341" s="94"/>
      <c r="M1341" s="75"/>
      <c r="N1341" s="75"/>
      <c r="O1341" s="71"/>
      <c r="P1341" s="26"/>
      <c r="Q1341" s="32"/>
    </row>
    <row r="1342" ht="25.5" customHeight="1">
      <c r="A1342" s="33"/>
      <c r="B1342" s="25"/>
      <c r="C1342" s="17"/>
      <c r="D1342" s="19"/>
      <c r="E1342" s="19"/>
      <c r="F1342" s="19"/>
      <c r="G1342" s="20"/>
      <c r="H1342" s="25"/>
      <c r="I1342" s="78"/>
      <c r="J1342" s="78"/>
      <c r="K1342" s="78"/>
      <c r="L1342" s="94"/>
      <c r="M1342" s="78"/>
      <c r="N1342" s="78"/>
      <c r="O1342" s="69"/>
      <c r="P1342" s="33"/>
      <c r="Q1342" s="25"/>
    </row>
    <row r="1343" ht="25.5" customHeight="1">
      <c r="A1343" s="26"/>
      <c r="B1343" s="32"/>
      <c r="C1343" s="17"/>
      <c r="D1343" s="97"/>
      <c r="E1343" s="97"/>
      <c r="F1343" s="97"/>
      <c r="G1343" s="27"/>
      <c r="H1343" s="32"/>
      <c r="I1343" s="75"/>
      <c r="J1343" s="75"/>
      <c r="K1343" s="75"/>
      <c r="L1343" s="94"/>
      <c r="M1343" s="75"/>
      <c r="N1343" s="75"/>
      <c r="O1343" s="71"/>
      <c r="P1343" s="26"/>
      <c r="Q1343" s="32"/>
    </row>
    <row r="1344" ht="25.5" customHeight="1">
      <c r="A1344" s="33"/>
      <c r="B1344" s="25"/>
      <c r="C1344" s="17"/>
      <c r="D1344" s="19"/>
      <c r="E1344" s="19"/>
      <c r="F1344" s="19"/>
      <c r="G1344" s="20"/>
      <c r="H1344" s="25"/>
      <c r="I1344" s="78"/>
      <c r="J1344" s="78"/>
      <c r="K1344" s="78"/>
      <c r="L1344" s="94"/>
      <c r="M1344" s="78"/>
      <c r="N1344" s="78"/>
      <c r="O1344" s="69"/>
      <c r="P1344" s="33"/>
      <c r="Q1344" s="25"/>
    </row>
    <row r="1345" ht="25.5" customHeight="1">
      <c r="A1345" s="26"/>
      <c r="B1345" s="32"/>
      <c r="C1345" s="17"/>
      <c r="D1345" s="97"/>
      <c r="E1345" s="97"/>
      <c r="F1345" s="97"/>
      <c r="G1345" s="27"/>
      <c r="H1345" s="32"/>
      <c r="I1345" s="75"/>
      <c r="J1345" s="75"/>
      <c r="K1345" s="75"/>
      <c r="L1345" s="94"/>
      <c r="M1345" s="75"/>
      <c r="N1345" s="75"/>
      <c r="O1345" s="71"/>
      <c r="P1345" s="26"/>
      <c r="Q1345" s="32"/>
    </row>
    <row r="1346" ht="25.5" customHeight="1">
      <c r="A1346" s="33"/>
      <c r="B1346" s="25"/>
      <c r="C1346" s="17"/>
      <c r="D1346" s="19"/>
      <c r="E1346" s="19"/>
      <c r="F1346" s="19"/>
      <c r="G1346" s="20"/>
      <c r="H1346" s="25"/>
      <c r="I1346" s="78"/>
      <c r="J1346" s="78"/>
      <c r="K1346" s="78"/>
      <c r="L1346" s="94"/>
      <c r="M1346" s="78"/>
      <c r="N1346" s="78"/>
      <c r="O1346" s="69"/>
      <c r="P1346" s="33"/>
      <c r="Q1346" s="25"/>
    </row>
    <row r="1347" ht="25.5" customHeight="1">
      <c r="A1347" s="26"/>
      <c r="B1347" s="32"/>
      <c r="C1347" s="17"/>
      <c r="D1347" s="97"/>
      <c r="E1347" s="97"/>
      <c r="F1347" s="97"/>
      <c r="G1347" s="27"/>
      <c r="H1347" s="32"/>
      <c r="I1347" s="75"/>
      <c r="J1347" s="75"/>
      <c r="K1347" s="75"/>
      <c r="L1347" s="94"/>
      <c r="M1347" s="75"/>
      <c r="N1347" s="75"/>
      <c r="O1347" s="71"/>
      <c r="P1347" s="26"/>
      <c r="Q1347" s="32"/>
    </row>
    <row r="1348" ht="25.5" customHeight="1">
      <c r="A1348" s="33"/>
      <c r="B1348" s="25"/>
      <c r="C1348" s="17"/>
      <c r="D1348" s="19"/>
      <c r="E1348" s="19"/>
      <c r="F1348" s="19"/>
      <c r="G1348" s="20"/>
      <c r="H1348" s="25"/>
      <c r="I1348" s="78"/>
      <c r="J1348" s="78"/>
      <c r="K1348" s="78"/>
      <c r="L1348" s="94"/>
      <c r="M1348" s="78"/>
      <c r="N1348" s="78"/>
      <c r="O1348" s="69"/>
      <c r="P1348" s="33"/>
      <c r="Q1348" s="25"/>
    </row>
    <row r="1349" ht="25.5" customHeight="1">
      <c r="A1349" s="26"/>
      <c r="B1349" s="32"/>
      <c r="C1349" s="17"/>
      <c r="D1349" s="97"/>
      <c r="E1349" s="97"/>
      <c r="F1349" s="97"/>
      <c r="G1349" s="27"/>
      <c r="H1349" s="32"/>
      <c r="I1349" s="75"/>
      <c r="J1349" s="75"/>
      <c r="K1349" s="75"/>
      <c r="L1349" s="94"/>
      <c r="M1349" s="75"/>
      <c r="N1349" s="75"/>
      <c r="O1349" s="71"/>
      <c r="P1349" s="26"/>
      <c r="Q1349" s="32"/>
    </row>
    <row r="1350" ht="25.5" customHeight="1">
      <c r="A1350" s="33"/>
      <c r="B1350" s="25"/>
      <c r="C1350" s="17"/>
      <c r="D1350" s="19"/>
      <c r="E1350" s="19"/>
      <c r="F1350" s="19"/>
      <c r="G1350" s="20"/>
      <c r="H1350" s="25"/>
      <c r="I1350" s="78"/>
      <c r="J1350" s="78"/>
      <c r="K1350" s="78"/>
      <c r="L1350" s="94"/>
      <c r="M1350" s="78"/>
      <c r="N1350" s="78"/>
      <c r="O1350" s="69"/>
      <c r="P1350" s="33"/>
      <c r="Q1350" s="25"/>
    </row>
    <row r="1351" ht="25.5" customHeight="1">
      <c r="A1351" s="26"/>
      <c r="B1351" s="32"/>
      <c r="C1351" s="17"/>
      <c r="D1351" s="97"/>
      <c r="E1351" s="97"/>
      <c r="F1351" s="97"/>
      <c r="G1351" s="27"/>
      <c r="H1351" s="32"/>
      <c r="I1351" s="75"/>
      <c r="J1351" s="75"/>
      <c r="K1351" s="75"/>
      <c r="L1351" s="94"/>
      <c r="M1351" s="75"/>
      <c r="N1351" s="75"/>
      <c r="O1351" s="71"/>
      <c r="P1351" s="26"/>
      <c r="Q1351" s="32"/>
    </row>
    <row r="1352" ht="25.5" customHeight="1">
      <c r="A1352" s="33"/>
      <c r="B1352" s="25"/>
      <c r="C1352" s="17"/>
      <c r="D1352" s="19"/>
      <c r="E1352" s="19"/>
      <c r="F1352" s="19"/>
      <c r="G1352" s="20"/>
      <c r="H1352" s="25"/>
      <c r="I1352" s="78"/>
      <c r="J1352" s="78"/>
      <c r="K1352" s="78"/>
      <c r="L1352" s="94"/>
      <c r="M1352" s="78"/>
      <c r="N1352" s="78"/>
      <c r="O1352" s="69"/>
      <c r="P1352" s="33"/>
      <c r="Q1352" s="25"/>
    </row>
    <row r="1353" ht="25.5" customHeight="1">
      <c r="A1353" s="26"/>
      <c r="B1353" s="32"/>
      <c r="C1353" s="17"/>
      <c r="D1353" s="97"/>
      <c r="E1353" s="97"/>
      <c r="F1353" s="97"/>
      <c r="G1353" s="27"/>
      <c r="H1353" s="32"/>
      <c r="I1353" s="75"/>
      <c r="J1353" s="75"/>
      <c r="K1353" s="75"/>
      <c r="L1353" s="94"/>
      <c r="M1353" s="75"/>
      <c r="N1353" s="75"/>
      <c r="O1353" s="71"/>
      <c r="P1353" s="26"/>
      <c r="Q1353" s="32"/>
    </row>
    <row r="1354" ht="25.5" customHeight="1">
      <c r="A1354" s="33"/>
      <c r="B1354" s="25"/>
      <c r="C1354" s="17"/>
      <c r="D1354" s="19"/>
      <c r="E1354" s="19"/>
      <c r="F1354" s="19"/>
      <c r="G1354" s="20"/>
      <c r="H1354" s="25"/>
      <c r="I1354" s="78"/>
      <c r="J1354" s="78"/>
      <c r="K1354" s="78"/>
      <c r="L1354" s="94"/>
      <c r="M1354" s="78"/>
      <c r="N1354" s="78"/>
      <c r="O1354" s="69"/>
      <c r="P1354" s="33"/>
      <c r="Q1354" s="25"/>
    </row>
    <row r="1355" ht="25.5" customHeight="1">
      <c r="A1355" s="26"/>
      <c r="B1355" s="32"/>
      <c r="C1355" s="17"/>
      <c r="D1355" s="97"/>
      <c r="E1355" s="97"/>
      <c r="F1355" s="97"/>
      <c r="G1355" s="27"/>
      <c r="H1355" s="32"/>
      <c r="I1355" s="75"/>
      <c r="J1355" s="75"/>
      <c r="K1355" s="75"/>
      <c r="L1355" s="94"/>
      <c r="M1355" s="75"/>
      <c r="N1355" s="75"/>
      <c r="O1355" s="71"/>
      <c r="P1355" s="26"/>
      <c r="Q1355" s="32"/>
    </row>
    <row r="1356" ht="25.5" customHeight="1">
      <c r="A1356" s="33"/>
      <c r="B1356" s="25"/>
      <c r="C1356" s="17"/>
      <c r="D1356" s="19"/>
      <c r="E1356" s="19"/>
      <c r="F1356" s="19"/>
      <c r="G1356" s="20"/>
      <c r="H1356" s="25"/>
      <c r="I1356" s="78"/>
      <c r="J1356" s="78"/>
      <c r="K1356" s="78"/>
      <c r="L1356" s="94"/>
      <c r="M1356" s="78"/>
      <c r="N1356" s="78"/>
      <c r="O1356" s="69"/>
      <c r="P1356" s="33"/>
      <c r="Q1356" s="25"/>
    </row>
    <row r="1357" ht="25.5" customHeight="1">
      <c r="A1357" s="26"/>
      <c r="B1357" s="32"/>
      <c r="C1357" s="17"/>
      <c r="D1357" s="97"/>
      <c r="E1357" s="97"/>
      <c r="F1357" s="97"/>
      <c r="G1357" s="27"/>
      <c r="H1357" s="32"/>
      <c r="I1357" s="75"/>
      <c r="J1357" s="75"/>
      <c r="K1357" s="75"/>
      <c r="L1357" s="94"/>
      <c r="M1357" s="75"/>
      <c r="N1357" s="75"/>
      <c r="O1357" s="71"/>
      <c r="P1357" s="26"/>
      <c r="Q1357" s="32"/>
    </row>
    <row r="1358" ht="25.5" customHeight="1">
      <c r="A1358" s="33"/>
      <c r="B1358" s="25"/>
      <c r="C1358" s="17"/>
      <c r="D1358" s="19"/>
      <c r="E1358" s="19"/>
      <c r="F1358" s="19"/>
      <c r="G1358" s="20"/>
      <c r="H1358" s="25"/>
      <c r="I1358" s="78"/>
      <c r="J1358" s="78"/>
      <c r="K1358" s="78"/>
      <c r="L1358" s="94"/>
      <c r="M1358" s="78"/>
      <c r="N1358" s="78"/>
      <c r="O1358" s="69"/>
      <c r="P1358" s="33"/>
      <c r="Q1358" s="25"/>
    </row>
    <row r="1359" ht="25.5" customHeight="1">
      <c r="A1359" s="26"/>
      <c r="B1359" s="32"/>
      <c r="C1359" s="17"/>
      <c r="D1359" s="97"/>
      <c r="E1359" s="97"/>
      <c r="F1359" s="97"/>
      <c r="G1359" s="27"/>
      <c r="H1359" s="32"/>
      <c r="I1359" s="75"/>
      <c r="J1359" s="75"/>
      <c r="K1359" s="75"/>
      <c r="L1359" s="94"/>
      <c r="M1359" s="75"/>
      <c r="N1359" s="75"/>
      <c r="O1359" s="71"/>
      <c r="P1359" s="26"/>
      <c r="Q1359" s="32"/>
    </row>
    <row r="1360" ht="25.5" customHeight="1">
      <c r="A1360" s="33"/>
      <c r="B1360" s="25"/>
      <c r="C1360" s="17"/>
      <c r="D1360" s="19"/>
      <c r="E1360" s="19"/>
      <c r="F1360" s="19"/>
      <c r="G1360" s="20"/>
      <c r="H1360" s="25"/>
      <c r="I1360" s="78"/>
      <c r="J1360" s="78"/>
      <c r="K1360" s="78"/>
      <c r="L1360" s="94"/>
      <c r="M1360" s="78"/>
      <c r="N1360" s="78"/>
      <c r="O1360" s="69"/>
      <c r="P1360" s="33"/>
      <c r="Q1360" s="25"/>
    </row>
    <row r="1361" ht="25.5" customHeight="1">
      <c r="A1361" s="26"/>
      <c r="B1361" s="32"/>
      <c r="C1361" s="17"/>
      <c r="D1361" s="97"/>
      <c r="E1361" s="97"/>
      <c r="F1361" s="97"/>
      <c r="G1361" s="27"/>
      <c r="H1361" s="32"/>
      <c r="I1361" s="75"/>
      <c r="J1361" s="75"/>
      <c r="K1361" s="75"/>
      <c r="L1361" s="94"/>
      <c r="M1361" s="75"/>
      <c r="N1361" s="75"/>
      <c r="O1361" s="71"/>
      <c r="P1361" s="26"/>
      <c r="Q1361" s="32"/>
    </row>
    <row r="1362" ht="25.5" customHeight="1">
      <c r="A1362" s="33"/>
      <c r="B1362" s="25"/>
      <c r="C1362" s="17"/>
      <c r="D1362" s="19"/>
      <c r="E1362" s="19"/>
      <c r="F1362" s="19"/>
      <c r="G1362" s="20"/>
      <c r="H1362" s="25"/>
      <c r="I1362" s="78"/>
      <c r="J1362" s="78"/>
      <c r="K1362" s="78"/>
      <c r="L1362" s="94"/>
      <c r="M1362" s="78"/>
      <c r="N1362" s="78"/>
      <c r="O1362" s="69"/>
      <c r="P1362" s="33"/>
      <c r="Q1362" s="25"/>
    </row>
    <row r="1363" ht="25.5" customHeight="1">
      <c r="A1363" s="26"/>
      <c r="B1363" s="32"/>
      <c r="C1363" s="17"/>
      <c r="D1363" s="97"/>
      <c r="E1363" s="97"/>
      <c r="F1363" s="97"/>
      <c r="G1363" s="27"/>
      <c r="H1363" s="32"/>
      <c r="I1363" s="75"/>
      <c r="J1363" s="75"/>
      <c r="K1363" s="75"/>
      <c r="L1363" s="94"/>
      <c r="M1363" s="75"/>
      <c r="N1363" s="75"/>
      <c r="O1363" s="71"/>
      <c r="P1363" s="26"/>
      <c r="Q1363" s="32"/>
    </row>
    <row r="1364" ht="25.5" customHeight="1">
      <c r="A1364" s="33"/>
      <c r="B1364" s="25"/>
      <c r="C1364" s="17"/>
      <c r="D1364" s="19"/>
      <c r="E1364" s="19"/>
      <c r="F1364" s="19"/>
      <c r="G1364" s="20"/>
      <c r="H1364" s="25"/>
      <c r="I1364" s="78"/>
      <c r="J1364" s="78"/>
      <c r="K1364" s="78"/>
      <c r="L1364" s="94"/>
      <c r="M1364" s="78"/>
      <c r="N1364" s="78"/>
      <c r="O1364" s="69"/>
      <c r="P1364" s="33"/>
      <c r="Q1364" s="25"/>
    </row>
    <row r="1365" ht="25.5" customHeight="1">
      <c r="A1365" s="26"/>
      <c r="B1365" s="32"/>
      <c r="C1365" s="17"/>
      <c r="D1365" s="97"/>
      <c r="E1365" s="97"/>
      <c r="F1365" s="97"/>
      <c r="G1365" s="27"/>
      <c r="H1365" s="32"/>
      <c r="I1365" s="75"/>
      <c r="J1365" s="75"/>
      <c r="K1365" s="75"/>
      <c r="L1365" s="94"/>
      <c r="M1365" s="75"/>
      <c r="N1365" s="75"/>
      <c r="O1365" s="71"/>
      <c r="P1365" s="26"/>
      <c r="Q1365" s="32"/>
    </row>
    <row r="1366" ht="25.5" customHeight="1">
      <c r="A1366" s="33"/>
      <c r="B1366" s="25"/>
      <c r="C1366" s="17"/>
      <c r="D1366" s="19"/>
      <c r="E1366" s="19"/>
      <c r="F1366" s="19"/>
      <c r="G1366" s="20"/>
      <c r="H1366" s="25"/>
      <c r="I1366" s="78"/>
      <c r="J1366" s="78"/>
      <c r="K1366" s="78"/>
      <c r="L1366" s="94"/>
      <c r="M1366" s="78"/>
      <c r="N1366" s="78"/>
      <c r="O1366" s="69"/>
      <c r="P1366" s="33"/>
      <c r="Q1366" s="25"/>
    </row>
    <row r="1367" ht="25.5" customHeight="1">
      <c r="A1367" s="26"/>
      <c r="B1367" s="32"/>
      <c r="C1367" s="17"/>
      <c r="D1367" s="97"/>
      <c r="E1367" s="97"/>
      <c r="F1367" s="97"/>
      <c r="G1367" s="27"/>
      <c r="H1367" s="32"/>
      <c r="I1367" s="75"/>
      <c r="J1367" s="75"/>
      <c r="K1367" s="75"/>
      <c r="L1367" s="94"/>
      <c r="M1367" s="75"/>
      <c r="N1367" s="75"/>
      <c r="O1367" s="71"/>
      <c r="P1367" s="26"/>
      <c r="Q1367" s="32"/>
    </row>
    <row r="1368" ht="25.5" customHeight="1">
      <c r="A1368" s="33"/>
      <c r="B1368" s="25"/>
      <c r="C1368" s="17"/>
      <c r="D1368" s="19"/>
      <c r="E1368" s="19"/>
      <c r="F1368" s="19"/>
      <c r="G1368" s="20"/>
      <c r="H1368" s="25"/>
      <c r="I1368" s="78"/>
      <c r="J1368" s="78"/>
      <c r="K1368" s="78"/>
      <c r="L1368" s="94"/>
      <c r="M1368" s="78"/>
      <c r="N1368" s="78"/>
      <c r="O1368" s="69"/>
      <c r="P1368" s="33"/>
      <c r="Q1368" s="25"/>
    </row>
    <row r="1369" ht="25.5" customHeight="1">
      <c r="A1369" s="26"/>
      <c r="B1369" s="32"/>
      <c r="C1369" s="17"/>
      <c r="D1369" s="97"/>
      <c r="E1369" s="97"/>
      <c r="F1369" s="97"/>
      <c r="G1369" s="27"/>
      <c r="H1369" s="32"/>
      <c r="I1369" s="75"/>
      <c r="J1369" s="75"/>
      <c r="K1369" s="75"/>
      <c r="L1369" s="94"/>
      <c r="M1369" s="75"/>
      <c r="N1369" s="75"/>
      <c r="O1369" s="71"/>
      <c r="P1369" s="26"/>
      <c r="Q1369" s="32"/>
    </row>
    <row r="1370" ht="25.5" customHeight="1">
      <c r="A1370" s="33"/>
      <c r="B1370" s="25"/>
      <c r="C1370" s="17"/>
      <c r="D1370" s="19"/>
      <c r="E1370" s="19"/>
      <c r="F1370" s="19"/>
      <c r="G1370" s="20"/>
      <c r="H1370" s="25"/>
      <c r="I1370" s="78"/>
      <c r="J1370" s="78"/>
      <c r="K1370" s="78"/>
      <c r="L1370" s="94"/>
      <c r="M1370" s="78"/>
      <c r="N1370" s="78"/>
      <c r="O1370" s="69"/>
      <c r="P1370" s="33"/>
      <c r="Q1370" s="25"/>
    </row>
    <row r="1371" ht="25.5" customHeight="1">
      <c r="A1371" s="26"/>
      <c r="B1371" s="32"/>
      <c r="C1371" s="17"/>
      <c r="D1371" s="97"/>
      <c r="E1371" s="97"/>
      <c r="F1371" s="97"/>
      <c r="G1371" s="27"/>
      <c r="H1371" s="32"/>
      <c r="I1371" s="75"/>
      <c r="J1371" s="75"/>
      <c r="K1371" s="75"/>
      <c r="L1371" s="94"/>
      <c r="M1371" s="75"/>
      <c r="N1371" s="75"/>
      <c r="O1371" s="71"/>
      <c r="P1371" s="26"/>
      <c r="Q1371" s="32"/>
    </row>
    <row r="1372" ht="25.5" customHeight="1">
      <c r="A1372" s="33"/>
      <c r="B1372" s="25"/>
      <c r="C1372" s="17"/>
      <c r="D1372" s="19"/>
      <c r="E1372" s="19"/>
      <c r="F1372" s="19"/>
      <c r="G1372" s="20"/>
      <c r="H1372" s="25"/>
      <c r="I1372" s="78"/>
      <c r="J1372" s="78"/>
      <c r="K1372" s="78"/>
      <c r="L1372" s="94"/>
      <c r="M1372" s="78"/>
      <c r="N1372" s="78"/>
      <c r="O1372" s="69"/>
      <c r="P1372" s="33"/>
      <c r="Q1372" s="25"/>
    </row>
    <row r="1373" ht="25.5" customHeight="1">
      <c r="A1373" s="26"/>
      <c r="B1373" s="32"/>
      <c r="C1373" s="17"/>
      <c r="D1373" s="97"/>
      <c r="E1373" s="97"/>
      <c r="F1373" s="97"/>
      <c r="G1373" s="27"/>
      <c r="H1373" s="32"/>
      <c r="I1373" s="75"/>
      <c r="J1373" s="75"/>
      <c r="K1373" s="75"/>
      <c r="L1373" s="94"/>
      <c r="M1373" s="75"/>
      <c r="N1373" s="75"/>
      <c r="O1373" s="71"/>
      <c r="P1373" s="26"/>
      <c r="Q1373" s="32"/>
    </row>
    <row r="1374" ht="25.5" customHeight="1">
      <c r="A1374" s="33"/>
      <c r="B1374" s="25"/>
      <c r="C1374" s="17"/>
      <c r="D1374" s="19"/>
      <c r="E1374" s="19"/>
      <c r="F1374" s="19"/>
      <c r="G1374" s="20"/>
      <c r="H1374" s="25"/>
      <c r="I1374" s="78"/>
      <c r="J1374" s="78"/>
      <c r="K1374" s="78"/>
      <c r="L1374" s="94"/>
      <c r="M1374" s="78"/>
      <c r="N1374" s="78"/>
      <c r="O1374" s="69"/>
      <c r="P1374" s="33"/>
      <c r="Q1374" s="25"/>
    </row>
    <row r="1375" ht="25.5" customHeight="1">
      <c r="A1375" s="26"/>
      <c r="B1375" s="32"/>
      <c r="C1375" s="17"/>
      <c r="D1375" s="97"/>
      <c r="E1375" s="97"/>
      <c r="F1375" s="97"/>
      <c r="G1375" s="27"/>
      <c r="H1375" s="32"/>
      <c r="I1375" s="75"/>
      <c r="J1375" s="75"/>
      <c r="K1375" s="75"/>
      <c r="L1375" s="94"/>
      <c r="M1375" s="75"/>
      <c r="N1375" s="75"/>
      <c r="O1375" s="71"/>
      <c r="P1375" s="26"/>
      <c r="Q1375" s="32"/>
    </row>
    <row r="1376" ht="25.5" customHeight="1">
      <c r="A1376" s="33"/>
      <c r="B1376" s="25"/>
      <c r="C1376" s="17"/>
      <c r="D1376" s="19"/>
      <c r="E1376" s="19"/>
      <c r="F1376" s="19"/>
      <c r="G1376" s="20"/>
      <c r="H1376" s="25"/>
      <c r="I1376" s="78"/>
      <c r="J1376" s="78"/>
      <c r="K1376" s="78"/>
      <c r="L1376" s="94"/>
      <c r="M1376" s="78"/>
      <c r="N1376" s="78"/>
      <c r="O1376" s="69"/>
      <c r="P1376" s="33"/>
      <c r="Q1376" s="25"/>
    </row>
    <row r="1377" ht="25.5" customHeight="1">
      <c r="A1377" s="26"/>
      <c r="B1377" s="32"/>
      <c r="C1377" s="17"/>
      <c r="D1377" s="97"/>
      <c r="E1377" s="97"/>
      <c r="F1377" s="97"/>
      <c r="G1377" s="27"/>
      <c r="H1377" s="32"/>
      <c r="I1377" s="75"/>
      <c r="J1377" s="75"/>
      <c r="K1377" s="75"/>
      <c r="L1377" s="94"/>
      <c r="M1377" s="75"/>
      <c r="N1377" s="75"/>
      <c r="O1377" s="71"/>
      <c r="P1377" s="26"/>
      <c r="Q1377" s="32"/>
    </row>
    <row r="1378" ht="25.5" customHeight="1">
      <c r="A1378" s="33"/>
      <c r="B1378" s="25"/>
      <c r="C1378" s="17"/>
      <c r="D1378" s="19"/>
      <c r="E1378" s="19"/>
      <c r="F1378" s="19"/>
      <c r="G1378" s="20"/>
      <c r="H1378" s="25"/>
      <c r="I1378" s="78"/>
      <c r="J1378" s="78"/>
      <c r="K1378" s="78"/>
      <c r="L1378" s="94"/>
      <c r="M1378" s="78"/>
      <c r="N1378" s="78"/>
      <c r="O1378" s="69"/>
      <c r="P1378" s="33"/>
      <c r="Q1378" s="25"/>
    </row>
    <row r="1379" ht="25.5" customHeight="1">
      <c r="A1379" s="26"/>
      <c r="B1379" s="32"/>
      <c r="C1379" s="17"/>
      <c r="D1379" s="97"/>
      <c r="E1379" s="97"/>
      <c r="F1379" s="97"/>
      <c r="G1379" s="27"/>
      <c r="H1379" s="32"/>
      <c r="I1379" s="75"/>
      <c r="J1379" s="75"/>
      <c r="K1379" s="75"/>
      <c r="L1379" s="94"/>
      <c r="M1379" s="75"/>
      <c r="N1379" s="75"/>
      <c r="O1379" s="71"/>
      <c r="P1379" s="26"/>
      <c r="Q1379" s="32"/>
    </row>
    <row r="1380" ht="25.5" customHeight="1">
      <c r="A1380" s="33"/>
      <c r="B1380" s="25"/>
      <c r="C1380" s="17"/>
      <c r="D1380" s="19"/>
      <c r="E1380" s="19"/>
      <c r="F1380" s="19"/>
      <c r="G1380" s="20"/>
      <c r="H1380" s="25"/>
      <c r="I1380" s="78"/>
      <c r="J1380" s="78"/>
      <c r="K1380" s="78"/>
      <c r="L1380" s="94"/>
      <c r="M1380" s="78"/>
      <c r="N1380" s="78"/>
      <c r="O1380" s="69"/>
      <c r="P1380" s="33"/>
      <c r="Q1380" s="25"/>
    </row>
    <row r="1381" ht="25.5" customHeight="1">
      <c r="A1381" s="26"/>
      <c r="B1381" s="32"/>
      <c r="C1381" s="17"/>
      <c r="D1381" s="97"/>
      <c r="E1381" s="97"/>
      <c r="F1381" s="97"/>
      <c r="G1381" s="27"/>
      <c r="H1381" s="32"/>
      <c r="I1381" s="75"/>
      <c r="J1381" s="75"/>
      <c r="K1381" s="75"/>
      <c r="L1381" s="94"/>
      <c r="M1381" s="75"/>
      <c r="N1381" s="75"/>
      <c r="O1381" s="71"/>
      <c r="P1381" s="26"/>
      <c r="Q1381" s="32"/>
    </row>
    <row r="1382" ht="25.5" customHeight="1">
      <c r="A1382" s="33"/>
      <c r="B1382" s="25"/>
      <c r="C1382" s="17"/>
      <c r="D1382" s="19"/>
      <c r="E1382" s="19"/>
      <c r="F1382" s="19"/>
      <c r="G1382" s="20"/>
      <c r="H1382" s="25"/>
      <c r="I1382" s="78"/>
      <c r="J1382" s="78"/>
      <c r="K1382" s="78"/>
      <c r="L1382" s="94"/>
      <c r="M1382" s="78"/>
      <c r="N1382" s="78"/>
      <c r="O1382" s="69"/>
      <c r="P1382" s="33"/>
      <c r="Q1382" s="25"/>
    </row>
    <row r="1383" ht="25.5" customHeight="1">
      <c r="A1383" s="26"/>
      <c r="B1383" s="32"/>
      <c r="C1383" s="17"/>
      <c r="D1383" s="97"/>
      <c r="E1383" s="97"/>
      <c r="F1383" s="97"/>
      <c r="G1383" s="27"/>
      <c r="H1383" s="32"/>
      <c r="I1383" s="75"/>
      <c r="J1383" s="75"/>
      <c r="K1383" s="75"/>
      <c r="L1383" s="94"/>
      <c r="M1383" s="75"/>
      <c r="N1383" s="75"/>
      <c r="O1383" s="71"/>
      <c r="P1383" s="26"/>
      <c r="Q1383" s="32"/>
    </row>
    <row r="1384" ht="25.5" customHeight="1">
      <c r="A1384" s="33"/>
      <c r="B1384" s="25"/>
      <c r="C1384" s="17"/>
      <c r="D1384" s="19"/>
      <c r="E1384" s="19"/>
      <c r="F1384" s="19"/>
      <c r="G1384" s="20"/>
      <c r="H1384" s="25"/>
      <c r="I1384" s="78"/>
      <c r="J1384" s="78"/>
      <c r="K1384" s="78"/>
      <c r="L1384" s="94"/>
      <c r="M1384" s="78"/>
      <c r="N1384" s="78"/>
      <c r="O1384" s="69"/>
      <c r="P1384" s="33"/>
      <c r="Q1384" s="25"/>
    </row>
    <row r="1385" ht="25.5" customHeight="1">
      <c r="A1385" s="26"/>
      <c r="B1385" s="32"/>
      <c r="C1385" s="17"/>
      <c r="D1385" s="97"/>
      <c r="E1385" s="97"/>
      <c r="F1385" s="97"/>
      <c r="G1385" s="27"/>
      <c r="H1385" s="32"/>
      <c r="I1385" s="75"/>
      <c r="J1385" s="75"/>
      <c r="K1385" s="75"/>
      <c r="L1385" s="94"/>
      <c r="M1385" s="75"/>
      <c r="N1385" s="75"/>
      <c r="O1385" s="71"/>
      <c r="P1385" s="26"/>
      <c r="Q1385" s="32"/>
    </row>
    <row r="1386" ht="25.5" customHeight="1">
      <c r="A1386" s="33"/>
      <c r="B1386" s="25"/>
      <c r="C1386" s="17"/>
      <c r="D1386" s="19"/>
      <c r="E1386" s="19"/>
      <c r="F1386" s="19"/>
      <c r="G1386" s="20"/>
      <c r="H1386" s="25"/>
      <c r="I1386" s="78"/>
      <c r="J1386" s="78"/>
      <c r="K1386" s="78"/>
      <c r="L1386" s="94"/>
      <c r="M1386" s="78"/>
      <c r="N1386" s="78"/>
      <c r="O1386" s="69"/>
      <c r="P1386" s="33"/>
      <c r="Q1386" s="25"/>
    </row>
    <row r="1387" ht="25.5" customHeight="1">
      <c r="A1387" s="26"/>
      <c r="B1387" s="32"/>
      <c r="C1387" s="17"/>
      <c r="D1387" s="97"/>
      <c r="E1387" s="97"/>
      <c r="F1387" s="97"/>
      <c r="G1387" s="27"/>
      <c r="H1387" s="32"/>
      <c r="I1387" s="75"/>
      <c r="J1387" s="75"/>
      <c r="K1387" s="75"/>
      <c r="L1387" s="94"/>
      <c r="M1387" s="75"/>
      <c r="N1387" s="75"/>
      <c r="O1387" s="71"/>
      <c r="P1387" s="26"/>
      <c r="Q1387" s="32"/>
    </row>
    <row r="1388" ht="25.5" customHeight="1">
      <c r="A1388" s="33"/>
      <c r="B1388" s="25"/>
      <c r="C1388" s="17"/>
      <c r="D1388" s="19"/>
      <c r="E1388" s="19"/>
      <c r="F1388" s="19"/>
      <c r="G1388" s="20"/>
      <c r="H1388" s="25"/>
      <c r="I1388" s="78"/>
      <c r="J1388" s="78"/>
      <c r="K1388" s="78"/>
      <c r="L1388" s="94"/>
      <c r="M1388" s="78"/>
      <c r="N1388" s="78"/>
      <c r="O1388" s="69"/>
      <c r="P1388" s="33"/>
      <c r="Q1388" s="25"/>
    </row>
    <row r="1389" ht="25.5" customHeight="1">
      <c r="A1389" s="26"/>
      <c r="B1389" s="32"/>
      <c r="C1389" s="17"/>
      <c r="D1389" s="97"/>
      <c r="E1389" s="97"/>
      <c r="F1389" s="97"/>
      <c r="G1389" s="27"/>
      <c r="H1389" s="32"/>
      <c r="I1389" s="75"/>
      <c r="J1389" s="75"/>
      <c r="K1389" s="75"/>
      <c r="L1389" s="94"/>
      <c r="M1389" s="75"/>
      <c r="N1389" s="75"/>
      <c r="O1389" s="71"/>
      <c r="P1389" s="26"/>
      <c r="Q1389" s="32"/>
    </row>
    <row r="1390" ht="25.5" customHeight="1">
      <c r="A1390" s="33"/>
      <c r="B1390" s="25"/>
      <c r="C1390" s="17"/>
      <c r="D1390" s="19"/>
      <c r="E1390" s="19"/>
      <c r="F1390" s="19"/>
      <c r="G1390" s="20"/>
      <c r="H1390" s="25"/>
      <c r="I1390" s="78"/>
      <c r="J1390" s="78"/>
      <c r="K1390" s="78"/>
      <c r="L1390" s="94"/>
      <c r="M1390" s="78"/>
      <c r="N1390" s="78"/>
      <c r="O1390" s="69"/>
      <c r="P1390" s="33"/>
      <c r="Q1390" s="25"/>
    </row>
    <row r="1391" ht="25.5" customHeight="1">
      <c r="A1391" s="26"/>
      <c r="B1391" s="32"/>
      <c r="C1391" s="17"/>
      <c r="D1391" s="97"/>
      <c r="E1391" s="97"/>
      <c r="F1391" s="97"/>
      <c r="G1391" s="27"/>
      <c r="H1391" s="32"/>
      <c r="I1391" s="75"/>
      <c r="J1391" s="75"/>
      <c r="K1391" s="75"/>
      <c r="L1391" s="94"/>
      <c r="M1391" s="75"/>
      <c r="N1391" s="75"/>
      <c r="O1391" s="71"/>
      <c r="P1391" s="26"/>
      <c r="Q1391" s="32"/>
    </row>
    <row r="1392" ht="25.5" customHeight="1">
      <c r="A1392" s="33"/>
      <c r="B1392" s="25"/>
      <c r="C1392" s="17"/>
      <c r="D1392" s="19"/>
      <c r="E1392" s="19"/>
      <c r="F1392" s="19"/>
      <c r="G1392" s="20"/>
      <c r="H1392" s="25"/>
      <c r="I1392" s="78"/>
      <c r="J1392" s="78"/>
      <c r="K1392" s="78"/>
      <c r="L1392" s="94"/>
      <c r="M1392" s="78"/>
      <c r="N1392" s="78"/>
      <c r="O1392" s="69"/>
      <c r="P1392" s="33"/>
      <c r="Q1392" s="25"/>
    </row>
    <row r="1393" ht="25.5" customHeight="1">
      <c r="A1393" s="26"/>
      <c r="B1393" s="32"/>
      <c r="C1393" s="17"/>
      <c r="D1393" s="97"/>
      <c r="E1393" s="97"/>
      <c r="F1393" s="97"/>
      <c r="G1393" s="27"/>
      <c r="H1393" s="32"/>
      <c r="I1393" s="75"/>
      <c r="J1393" s="75"/>
      <c r="K1393" s="75"/>
      <c r="L1393" s="94"/>
      <c r="M1393" s="75"/>
      <c r="N1393" s="75"/>
      <c r="O1393" s="71"/>
      <c r="P1393" s="26"/>
      <c r="Q1393" s="32"/>
    </row>
    <row r="1394" ht="25.5" customHeight="1">
      <c r="A1394" s="33"/>
      <c r="B1394" s="25"/>
      <c r="C1394" s="17"/>
      <c r="D1394" s="19"/>
      <c r="E1394" s="19"/>
      <c r="F1394" s="19"/>
      <c r="G1394" s="20"/>
      <c r="H1394" s="25"/>
      <c r="I1394" s="78"/>
      <c r="J1394" s="78"/>
      <c r="K1394" s="78"/>
      <c r="L1394" s="94"/>
      <c r="M1394" s="78"/>
      <c r="N1394" s="78"/>
      <c r="O1394" s="69"/>
      <c r="P1394" s="33"/>
      <c r="Q1394" s="25"/>
    </row>
    <row r="1395" ht="25.5" customHeight="1">
      <c r="A1395" s="26"/>
      <c r="B1395" s="32"/>
      <c r="C1395" s="17"/>
      <c r="D1395" s="97"/>
      <c r="E1395" s="97"/>
      <c r="F1395" s="97"/>
      <c r="G1395" s="27"/>
      <c r="H1395" s="32"/>
      <c r="I1395" s="75"/>
      <c r="J1395" s="75"/>
      <c r="K1395" s="75"/>
      <c r="L1395" s="94"/>
      <c r="M1395" s="75"/>
      <c r="N1395" s="75"/>
      <c r="O1395" s="71"/>
      <c r="P1395" s="26"/>
      <c r="Q1395" s="32"/>
    </row>
    <row r="1396" ht="25.5" customHeight="1">
      <c r="A1396" s="33"/>
      <c r="B1396" s="25"/>
      <c r="C1396" s="17"/>
      <c r="D1396" s="19"/>
      <c r="E1396" s="19"/>
      <c r="F1396" s="19"/>
      <c r="G1396" s="20"/>
      <c r="H1396" s="25"/>
      <c r="I1396" s="78"/>
      <c r="J1396" s="78"/>
      <c r="K1396" s="78"/>
      <c r="L1396" s="94"/>
      <c r="M1396" s="78"/>
      <c r="N1396" s="78"/>
      <c r="O1396" s="69"/>
      <c r="P1396" s="33"/>
      <c r="Q1396" s="25"/>
    </row>
    <row r="1397" ht="25.5" customHeight="1">
      <c r="A1397" s="26"/>
      <c r="B1397" s="32"/>
      <c r="C1397" s="17"/>
      <c r="D1397" s="97"/>
      <c r="E1397" s="97"/>
      <c r="F1397" s="97"/>
      <c r="G1397" s="27"/>
      <c r="H1397" s="32"/>
      <c r="I1397" s="75"/>
      <c r="J1397" s="75"/>
      <c r="K1397" s="75"/>
      <c r="L1397" s="94"/>
      <c r="M1397" s="75"/>
      <c r="N1397" s="75"/>
      <c r="O1397" s="71"/>
      <c r="P1397" s="26"/>
      <c r="Q1397" s="32"/>
    </row>
    <row r="1398" ht="25.5" customHeight="1">
      <c r="A1398" s="33"/>
      <c r="B1398" s="25"/>
      <c r="C1398" s="17"/>
      <c r="D1398" s="19"/>
      <c r="E1398" s="19"/>
      <c r="F1398" s="19"/>
      <c r="G1398" s="20"/>
      <c r="H1398" s="25"/>
      <c r="I1398" s="78"/>
      <c r="J1398" s="78"/>
      <c r="K1398" s="78"/>
      <c r="L1398" s="94"/>
      <c r="M1398" s="78"/>
      <c r="N1398" s="78"/>
      <c r="O1398" s="69"/>
      <c r="P1398" s="33"/>
      <c r="Q1398" s="25"/>
    </row>
    <row r="1399" ht="25.5" customHeight="1">
      <c r="A1399" s="26"/>
      <c r="B1399" s="32"/>
      <c r="C1399" s="17"/>
      <c r="D1399" s="97"/>
      <c r="E1399" s="97"/>
      <c r="F1399" s="97"/>
      <c r="G1399" s="27"/>
      <c r="H1399" s="32"/>
      <c r="I1399" s="75"/>
      <c r="J1399" s="75"/>
      <c r="K1399" s="75"/>
      <c r="L1399" s="94"/>
      <c r="M1399" s="75"/>
      <c r="N1399" s="75"/>
      <c r="O1399" s="71"/>
      <c r="P1399" s="26"/>
      <c r="Q1399" s="32"/>
    </row>
    <row r="1400" ht="25.5" customHeight="1">
      <c r="A1400" s="33"/>
      <c r="B1400" s="25"/>
      <c r="C1400" s="17"/>
      <c r="D1400" s="19"/>
      <c r="E1400" s="19"/>
      <c r="F1400" s="19"/>
      <c r="G1400" s="20"/>
      <c r="H1400" s="25"/>
      <c r="I1400" s="78"/>
      <c r="J1400" s="78"/>
      <c r="K1400" s="78"/>
      <c r="L1400" s="94"/>
      <c r="M1400" s="78"/>
      <c r="N1400" s="78"/>
      <c r="O1400" s="69"/>
      <c r="P1400" s="33"/>
      <c r="Q1400" s="25"/>
    </row>
    <row r="1401" ht="25.5" customHeight="1">
      <c r="A1401" s="26"/>
      <c r="B1401" s="32"/>
      <c r="C1401" s="17"/>
      <c r="D1401" s="97"/>
      <c r="E1401" s="97"/>
      <c r="F1401" s="97"/>
      <c r="G1401" s="27"/>
      <c r="H1401" s="32"/>
      <c r="I1401" s="103"/>
      <c r="J1401" s="75"/>
      <c r="K1401" s="75"/>
      <c r="L1401" s="94"/>
      <c r="M1401" s="75"/>
      <c r="N1401" s="75"/>
      <c r="O1401" s="71"/>
      <c r="P1401" s="26"/>
      <c r="Q1401" s="32"/>
    </row>
    <row r="1402" ht="25.5" customHeight="1">
      <c r="A1402" s="59"/>
      <c r="B1402" s="104"/>
      <c r="C1402" s="96"/>
      <c r="D1402" s="105"/>
      <c r="E1402" s="105"/>
      <c r="F1402" s="105"/>
      <c r="G1402" s="106"/>
      <c r="H1402" s="104"/>
      <c r="I1402" s="107"/>
      <c r="J1402" s="107"/>
      <c r="K1402" s="107"/>
      <c r="L1402" s="108"/>
      <c r="M1402" s="107"/>
      <c r="N1402" s="107"/>
      <c r="O1402" s="109"/>
      <c r="P1402" s="59"/>
      <c r="Q1402" s="104"/>
    </row>
    <row r="1403" ht="25.5" customHeight="1">
      <c r="A1403" s="110"/>
      <c r="B1403" s="111"/>
      <c r="C1403" s="96"/>
      <c r="D1403" s="112"/>
      <c r="E1403" s="112"/>
      <c r="F1403" s="112"/>
      <c r="G1403" s="113"/>
      <c r="H1403" s="111"/>
      <c r="I1403" s="103"/>
      <c r="J1403" s="103"/>
      <c r="K1403" s="103"/>
      <c r="L1403" s="108"/>
      <c r="M1403" s="103"/>
      <c r="N1403" s="103"/>
      <c r="O1403" s="114"/>
      <c r="P1403" s="110"/>
      <c r="Q1403" s="111"/>
    </row>
    <row r="1404" ht="25.5" customHeight="1">
      <c r="A1404" s="59"/>
      <c r="B1404" s="104"/>
      <c r="C1404" s="96"/>
      <c r="D1404" s="105"/>
      <c r="E1404" s="105"/>
      <c r="F1404" s="105"/>
      <c r="G1404" s="106"/>
      <c r="H1404" s="104"/>
      <c r="I1404" s="107"/>
      <c r="J1404" s="107"/>
      <c r="K1404" s="107"/>
      <c r="L1404" s="108"/>
      <c r="M1404" s="107"/>
      <c r="N1404" s="107"/>
      <c r="O1404" s="109"/>
      <c r="P1404" s="59"/>
      <c r="Q1404" s="104"/>
    </row>
    <row r="1405" ht="25.5" customHeight="1">
      <c r="A1405" s="110"/>
      <c r="B1405" s="111"/>
      <c r="C1405" s="96"/>
      <c r="D1405" s="112"/>
      <c r="E1405" s="112"/>
      <c r="F1405" s="112"/>
      <c r="G1405" s="113"/>
      <c r="H1405" s="111"/>
      <c r="I1405" s="103"/>
      <c r="J1405" s="103"/>
      <c r="K1405" s="103"/>
      <c r="L1405" s="108"/>
      <c r="M1405" s="103"/>
      <c r="N1405" s="103"/>
      <c r="O1405" s="114"/>
      <c r="P1405" s="110"/>
      <c r="Q1405" s="111"/>
    </row>
    <row r="1406" ht="25.5" customHeight="1">
      <c r="A1406" s="59"/>
      <c r="B1406" s="104"/>
      <c r="C1406" s="96"/>
      <c r="D1406" s="105"/>
      <c r="E1406" s="105"/>
      <c r="F1406" s="105"/>
      <c r="G1406" s="106"/>
      <c r="H1406" s="104"/>
      <c r="I1406" s="107"/>
      <c r="J1406" s="107"/>
      <c r="K1406" s="107"/>
      <c r="L1406" s="108"/>
      <c r="M1406" s="107"/>
      <c r="N1406" s="107"/>
      <c r="O1406" s="109"/>
      <c r="P1406" s="59"/>
      <c r="Q1406" s="104"/>
    </row>
    <row r="1407" ht="25.5" customHeight="1">
      <c r="A1407" s="110"/>
      <c r="B1407" s="111"/>
      <c r="C1407" s="96"/>
      <c r="D1407" s="112"/>
      <c r="E1407" s="112"/>
      <c r="F1407" s="112"/>
      <c r="G1407" s="113"/>
      <c r="H1407" s="111"/>
      <c r="I1407" s="103"/>
      <c r="J1407" s="103"/>
      <c r="K1407" s="103"/>
      <c r="L1407" s="108"/>
      <c r="M1407" s="103"/>
      <c r="N1407" s="103"/>
      <c r="O1407" s="114"/>
      <c r="P1407" s="110"/>
      <c r="Q1407" s="111"/>
    </row>
    <row r="1408" ht="25.5" customHeight="1">
      <c r="A1408" s="59"/>
      <c r="B1408" s="104"/>
      <c r="C1408" s="96"/>
      <c r="D1408" s="105"/>
      <c r="E1408" s="105"/>
      <c r="F1408" s="105"/>
      <c r="G1408" s="106"/>
      <c r="H1408" s="104"/>
      <c r="I1408" s="107"/>
      <c r="J1408" s="107"/>
      <c r="K1408" s="107"/>
      <c r="L1408" s="108"/>
      <c r="M1408" s="107"/>
      <c r="N1408" s="107"/>
      <c r="O1408" s="109"/>
      <c r="P1408" s="59"/>
      <c r="Q1408" s="104"/>
    </row>
    <row r="1409" ht="25.5" customHeight="1">
      <c r="A1409" s="110"/>
      <c r="B1409" s="111"/>
      <c r="C1409" s="96"/>
      <c r="D1409" s="112"/>
      <c r="E1409" s="112"/>
      <c r="F1409" s="112"/>
      <c r="G1409" s="113"/>
      <c r="H1409" s="111"/>
      <c r="I1409" s="103"/>
      <c r="J1409" s="103"/>
      <c r="K1409" s="103"/>
      <c r="L1409" s="108"/>
      <c r="M1409" s="103"/>
      <c r="N1409" s="103"/>
      <c r="O1409" s="114"/>
      <c r="P1409" s="110"/>
      <c r="Q1409" s="111"/>
    </row>
    <row r="1410" ht="25.5" customHeight="1">
      <c r="A1410" s="59"/>
      <c r="B1410" s="104"/>
      <c r="C1410" s="96"/>
      <c r="D1410" s="105"/>
      <c r="E1410" s="105"/>
      <c r="F1410" s="105"/>
      <c r="G1410" s="106"/>
      <c r="H1410" s="104"/>
      <c r="I1410" s="107"/>
      <c r="J1410" s="107"/>
      <c r="K1410" s="107"/>
      <c r="L1410" s="108"/>
      <c r="M1410" s="107"/>
      <c r="N1410" s="107"/>
      <c r="O1410" s="109"/>
      <c r="P1410" s="59"/>
      <c r="Q1410" s="104"/>
    </row>
    <row r="1411" ht="25.5" customHeight="1">
      <c r="A1411" s="110"/>
      <c r="B1411" s="111"/>
      <c r="C1411" s="96"/>
      <c r="D1411" s="112"/>
      <c r="E1411" s="112"/>
      <c r="F1411" s="112"/>
      <c r="G1411" s="113"/>
      <c r="H1411" s="111"/>
      <c r="I1411" s="103"/>
      <c r="J1411" s="103"/>
      <c r="K1411" s="103"/>
      <c r="L1411" s="108"/>
      <c r="M1411" s="103"/>
      <c r="N1411" s="103"/>
      <c r="O1411" s="114"/>
      <c r="P1411" s="110"/>
      <c r="Q1411" s="111"/>
    </row>
    <row r="1412" ht="25.5" customHeight="1">
      <c r="A1412" s="59"/>
      <c r="B1412" s="104"/>
      <c r="C1412" s="96"/>
      <c r="D1412" s="105"/>
      <c r="E1412" s="105"/>
      <c r="F1412" s="105"/>
      <c r="G1412" s="106"/>
      <c r="H1412" s="104"/>
      <c r="I1412" s="107"/>
      <c r="J1412" s="107"/>
      <c r="K1412" s="107"/>
      <c r="L1412" s="108"/>
      <c r="M1412" s="107"/>
      <c r="N1412" s="107"/>
      <c r="O1412" s="109"/>
      <c r="P1412" s="59"/>
      <c r="Q1412" s="104"/>
    </row>
    <row r="1413" ht="25.5" customHeight="1">
      <c r="A1413" s="110"/>
      <c r="B1413" s="111"/>
      <c r="C1413" s="96"/>
      <c r="D1413" s="112"/>
      <c r="E1413" s="112"/>
      <c r="F1413" s="112"/>
      <c r="G1413" s="113"/>
      <c r="H1413" s="111"/>
      <c r="I1413" s="103"/>
      <c r="J1413" s="103"/>
      <c r="K1413" s="103"/>
      <c r="L1413" s="108"/>
      <c r="M1413" s="103"/>
      <c r="N1413" s="103"/>
      <c r="O1413" s="114"/>
      <c r="P1413" s="110"/>
      <c r="Q1413" s="111"/>
    </row>
    <row r="1414" ht="25.5" customHeight="1">
      <c r="A1414" s="59"/>
      <c r="B1414" s="104"/>
      <c r="C1414" s="96"/>
      <c r="D1414" s="105"/>
      <c r="E1414" s="105"/>
      <c r="F1414" s="105"/>
      <c r="G1414" s="106"/>
      <c r="H1414" s="104"/>
      <c r="I1414" s="107"/>
      <c r="J1414" s="107"/>
      <c r="K1414" s="107"/>
      <c r="L1414" s="108"/>
      <c r="M1414" s="107"/>
      <c r="N1414" s="107"/>
      <c r="O1414" s="109"/>
      <c r="P1414" s="59"/>
      <c r="Q1414" s="104"/>
    </row>
    <row r="1415" ht="25.5" customHeight="1">
      <c r="A1415" s="110"/>
      <c r="B1415" s="111"/>
      <c r="C1415" s="96"/>
      <c r="D1415" s="112"/>
      <c r="E1415" s="112"/>
      <c r="F1415" s="112"/>
      <c r="G1415" s="113"/>
      <c r="H1415" s="111"/>
      <c r="I1415" s="103"/>
      <c r="J1415" s="103"/>
      <c r="K1415" s="103"/>
      <c r="L1415" s="108"/>
      <c r="M1415" s="103"/>
      <c r="N1415" s="103"/>
      <c r="O1415" s="114"/>
      <c r="P1415" s="110"/>
      <c r="Q1415" s="111"/>
    </row>
    <row r="1416" ht="25.5" customHeight="1">
      <c r="A1416" s="59"/>
      <c r="B1416" s="104"/>
      <c r="C1416" s="96"/>
      <c r="D1416" s="105"/>
      <c r="E1416" s="105"/>
      <c r="F1416" s="105"/>
      <c r="G1416" s="106"/>
      <c r="H1416" s="104"/>
      <c r="I1416" s="107"/>
      <c r="J1416" s="107"/>
      <c r="K1416" s="107"/>
      <c r="L1416" s="108"/>
      <c r="M1416" s="107"/>
      <c r="N1416" s="107"/>
      <c r="O1416" s="109"/>
      <c r="P1416" s="59"/>
      <c r="Q1416" s="104"/>
    </row>
    <row r="1417" ht="25.5" customHeight="1">
      <c r="A1417" s="110"/>
      <c r="B1417" s="111"/>
      <c r="C1417" s="96"/>
      <c r="D1417" s="112"/>
      <c r="E1417" s="112"/>
      <c r="F1417" s="112"/>
      <c r="G1417" s="113"/>
      <c r="H1417" s="111"/>
      <c r="I1417" s="103"/>
      <c r="J1417" s="103"/>
      <c r="K1417" s="103"/>
      <c r="L1417" s="108"/>
      <c r="M1417" s="103"/>
      <c r="N1417" s="103"/>
      <c r="O1417" s="114"/>
      <c r="P1417" s="110"/>
      <c r="Q1417" s="111"/>
    </row>
    <row r="1418" ht="25.5" customHeight="1">
      <c r="A1418" s="59"/>
      <c r="B1418" s="104"/>
      <c r="C1418" s="96"/>
      <c r="D1418" s="105"/>
      <c r="E1418" s="105"/>
      <c r="F1418" s="105"/>
      <c r="G1418" s="106"/>
      <c r="H1418" s="104"/>
      <c r="I1418" s="107"/>
      <c r="J1418" s="107"/>
      <c r="K1418" s="107"/>
      <c r="L1418" s="108"/>
      <c r="M1418" s="107"/>
      <c r="N1418" s="107"/>
      <c r="O1418" s="109"/>
      <c r="P1418" s="59"/>
      <c r="Q1418" s="104"/>
    </row>
    <row r="1419" ht="25.5" customHeight="1">
      <c r="A1419" s="110"/>
      <c r="B1419" s="111"/>
      <c r="C1419" s="96"/>
      <c r="D1419" s="112"/>
      <c r="E1419" s="112"/>
      <c r="F1419" s="112"/>
      <c r="G1419" s="113"/>
      <c r="H1419" s="111"/>
      <c r="I1419" s="103"/>
      <c r="J1419" s="103"/>
      <c r="K1419" s="103"/>
      <c r="L1419" s="108"/>
      <c r="M1419" s="103"/>
      <c r="N1419" s="103"/>
      <c r="O1419" s="114"/>
      <c r="P1419" s="110"/>
      <c r="Q1419" s="111"/>
    </row>
    <row r="1420" ht="25.5" customHeight="1">
      <c r="A1420" s="59"/>
      <c r="B1420" s="104"/>
      <c r="C1420" s="96"/>
      <c r="D1420" s="105"/>
      <c r="E1420" s="105"/>
      <c r="F1420" s="105"/>
      <c r="G1420" s="106"/>
      <c r="H1420" s="104"/>
      <c r="I1420" s="107"/>
      <c r="J1420" s="107"/>
      <c r="K1420" s="107"/>
      <c r="L1420" s="108"/>
      <c r="M1420" s="107"/>
      <c r="N1420" s="107"/>
      <c r="O1420" s="109"/>
      <c r="P1420" s="59"/>
      <c r="Q1420" s="104"/>
    </row>
    <row r="1421" ht="25.5" customHeight="1">
      <c r="A1421" s="110"/>
      <c r="B1421" s="111"/>
      <c r="C1421" s="96"/>
      <c r="D1421" s="112"/>
      <c r="E1421" s="112"/>
      <c r="F1421" s="112"/>
      <c r="G1421" s="113"/>
      <c r="H1421" s="111"/>
      <c r="I1421" s="103"/>
      <c r="J1421" s="103"/>
      <c r="K1421" s="103"/>
      <c r="L1421" s="108"/>
      <c r="M1421" s="103"/>
      <c r="N1421" s="103"/>
      <c r="O1421" s="114"/>
      <c r="P1421" s="110"/>
      <c r="Q1421" s="111"/>
    </row>
    <row r="1422" ht="25.5" customHeight="1">
      <c r="A1422" s="59"/>
      <c r="B1422" s="104"/>
      <c r="C1422" s="96"/>
      <c r="D1422" s="105"/>
      <c r="E1422" s="105"/>
      <c r="F1422" s="105"/>
      <c r="G1422" s="106"/>
      <c r="H1422" s="104"/>
      <c r="I1422" s="107"/>
      <c r="J1422" s="107"/>
      <c r="K1422" s="107"/>
      <c r="L1422" s="108"/>
      <c r="M1422" s="107"/>
      <c r="N1422" s="107"/>
      <c r="O1422" s="109"/>
      <c r="P1422" s="59"/>
      <c r="Q1422" s="104"/>
    </row>
    <row r="1423" ht="25.5" customHeight="1">
      <c r="A1423" s="110"/>
      <c r="B1423" s="111"/>
      <c r="C1423" s="96"/>
      <c r="D1423" s="112"/>
      <c r="E1423" s="112"/>
      <c r="F1423" s="112"/>
      <c r="G1423" s="113"/>
      <c r="H1423" s="111"/>
      <c r="I1423" s="103"/>
      <c r="J1423" s="103"/>
      <c r="K1423" s="103"/>
      <c r="L1423" s="108"/>
      <c r="M1423" s="103"/>
      <c r="N1423" s="103"/>
      <c r="O1423" s="114"/>
      <c r="P1423" s="110"/>
      <c r="Q1423" s="111"/>
    </row>
    <row r="1424" ht="25.5" customHeight="1">
      <c r="A1424" s="59"/>
      <c r="B1424" s="104"/>
      <c r="C1424" s="96"/>
      <c r="D1424" s="105"/>
      <c r="E1424" s="105"/>
      <c r="F1424" s="105"/>
      <c r="G1424" s="106"/>
      <c r="H1424" s="104"/>
      <c r="I1424" s="107"/>
      <c r="J1424" s="107"/>
      <c r="K1424" s="107"/>
      <c r="L1424" s="108"/>
      <c r="M1424" s="107"/>
      <c r="N1424" s="107"/>
      <c r="O1424" s="109"/>
      <c r="P1424" s="59"/>
      <c r="Q1424" s="104"/>
    </row>
    <row r="1425" ht="25.5" customHeight="1">
      <c r="A1425" s="110"/>
      <c r="B1425" s="111"/>
      <c r="C1425" s="96"/>
      <c r="D1425" s="112"/>
      <c r="E1425" s="112"/>
      <c r="F1425" s="112"/>
      <c r="G1425" s="113"/>
      <c r="H1425" s="111"/>
      <c r="I1425" s="103"/>
      <c r="J1425" s="103"/>
      <c r="K1425" s="103"/>
      <c r="L1425" s="108"/>
      <c r="M1425" s="103"/>
      <c r="N1425" s="103"/>
      <c r="O1425" s="114"/>
      <c r="P1425" s="110"/>
      <c r="Q1425" s="111"/>
    </row>
    <row r="1426" ht="25.5" customHeight="1">
      <c r="A1426" s="59"/>
      <c r="B1426" s="104"/>
      <c r="C1426" s="96"/>
      <c r="D1426" s="105"/>
      <c r="E1426" s="105"/>
      <c r="F1426" s="105"/>
      <c r="G1426" s="106"/>
      <c r="H1426" s="104"/>
      <c r="I1426" s="107"/>
      <c r="J1426" s="107"/>
      <c r="K1426" s="107"/>
      <c r="L1426" s="108"/>
      <c r="M1426" s="107"/>
      <c r="N1426" s="107"/>
      <c r="O1426" s="109"/>
      <c r="P1426" s="59"/>
      <c r="Q1426" s="104"/>
    </row>
    <row r="1427" ht="25.5" customHeight="1">
      <c r="A1427" s="110"/>
      <c r="B1427" s="111"/>
      <c r="C1427" s="96"/>
      <c r="D1427" s="112"/>
      <c r="E1427" s="112"/>
      <c r="F1427" s="112"/>
      <c r="G1427" s="113"/>
      <c r="H1427" s="111"/>
      <c r="I1427" s="103"/>
      <c r="J1427" s="103"/>
      <c r="K1427" s="103"/>
      <c r="L1427" s="108"/>
      <c r="M1427" s="103"/>
      <c r="N1427" s="103"/>
      <c r="O1427" s="114"/>
      <c r="P1427" s="110"/>
      <c r="Q1427" s="111"/>
    </row>
    <row r="1428" ht="25.5" customHeight="1">
      <c r="A1428" s="59"/>
      <c r="B1428" s="104"/>
      <c r="C1428" s="96"/>
      <c r="D1428" s="105"/>
      <c r="E1428" s="105"/>
      <c r="F1428" s="105"/>
      <c r="G1428" s="106"/>
      <c r="H1428" s="104"/>
      <c r="I1428" s="107"/>
      <c r="J1428" s="107"/>
      <c r="K1428" s="107"/>
      <c r="L1428" s="108"/>
      <c r="M1428" s="107"/>
      <c r="N1428" s="107"/>
      <c r="O1428" s="109"/>
      <c r="P1428" s="59"/>
      <c r="Q1428" s="104"/>
    </row>
    <row r="1429" ht="25.5" customHeight="1">
      <c r="A1429" s="110"/>
      <c r="B1429" s="111"/>
      <c r="C1429" s="96"/>
      <c r="D1429" s="112"/>
      <c r="E1429" s="112"/>
      <c r="F1429" s="112"/>
      <c r="G1429" s="113"/>
      <c r="H1429" s="111"/>
      <c r="I1429" s="103"/>
      <c r="J1429" s="103"/>
      <c r="K1429" s="103"/>
      <c r="L1429" s="108"/>
      <c r="M1429" s="103"/>
      <c r="N1429" s="103"/>
      <c r="O1429" s="114"/>
      <c r="P1429" s="110"/>
      <c r="Q1429" s="111"/>
    </row>
    <row r="1430" ht="25.5" customHeight="1">
      <c r="A1430" s="59"/>
      <c r="B1430" s="104"/>
      <c r="C1430" s="96"/>
      <c r="D1430" s="105"/>
      <c r="E1430" s="105"/>
      <c r="F1430" s="105"/>
      <c r="G1430" s="106"/>
      <c r="H1430" s="104"/>
      <c r="I1430" s="107"/>
      <c r="J1430" s="107"/>
      <c r="K1430" s="107"/>
      <c r="L1430" s="108"/>
      <c r="M1430" s="107"/>
      <c r="N1430" s="107"/>
      <c r="O1430" s="109"/>
      <c r="P1430" s="59"/>
      <c r="Q1430" s="104"/>
    </row>
    <row r="1431" ht="25.5" customHeight="1">
      <c r="A1431" s="110"/>
      <c r="B1431" s="111"/>
      <c r="C1431" s="96"/>
      <c r="D1431" s="112"/>
      <c r="E1431" s="112"/>
      <c r="F1431" s="112"/>
      <c r="G1431" s="113"/>
      <c r="H1431" s="111"/>
      <c r="I1431" s="103"/>
      <c r="J1431" s="103"/>
      <c r="K1431" s="103"/>
      <c r="L1431" s="108"/>
      <c r="M1431" s="103"/>
      <c r="N1431" s="103"/>
      <c r="O1431" s="114"/>
      <c r="P1431" s="110"/>
      <c r="Q1431" s="111"/>
    </row>
    <row r="1432" ht="25.5" customHeight="1">
      <c r="A1432" s="59"/>
      <c r="B1432" s="104"/>
      <c r="C1432" s="96"/>
      <c r="D1432" s="105"/>
      <c r="E1432" s="105"/>
      <c r="F1432" s="105"/>
      <c r="G1432" s="106"/>
      <c r="H1432" s="104"/>
      <c r="I1432" s="107"/>
      <c r="J1432" s="107"/>
      <c r="K1432" s="107"/>
      <c r="L1432" s="108"/>
      <c r="M1432" s="107"/>
      <c r="N1432" s="107"/>
      <c r="O1432" s="109"/>
      <c r="P1432" s="59"/>
      <c r="Q1432" s="104"/>
    </row>
    <row r="1433" ht="25.5" customHeight="1">
      <c r="A1433" s="110"/>
      <c r="B1433" s="111"/>
      <c r="C1433" s="96"/>
      <c r="D1433" s="112"/>
      <c r="E1433" s="112"/>
      <c r="F1433" s="112"/>
      <c r="G1433" s="113"/>
      <c r="H1433" s="111"/>
      <c r="I1433" s="103"/>
      <c r="J1433" s="103"/>
      <c r="K1433" s="103"/>
      <c r="L1433" s="108"/>
      <c r="M1433" s="103"/>
      <c r="N1433" s="103"/>
      <c r="O1433" s="114"/>
      <c r="P1433" s="110"/>
      <c r="Q1433" s="111"/>
    </row>
    <row r="1434" ht="25.5" customHeight="1">
      <c r="A1434" s="59"/>
      <c r="B1434" s="104"/>
      <c r="C1434" s="96"/>
      <c r="D1434" s="105"/>
      <c r="E1434" s="105"/>
      <c r="F1434" s="105"/>
      <c r="G1434" s="106"/>
      <c r="H1434" s="104"/>
      <c r="I1434" s="107"/>
      <c r="J1434" s="107"/>
      <c r="K1434" s="107"/>
      <c r="L1434" s="108"/>
      <c r="M1434" s="107"/>
      <c r="N1434" s="107"/>
      <c r="O1434" s="109"/>
      <c r="P1434" s="59"/>
      <c r="Q1434" s="104"/>
    </row>
    <row r="1435" ht="25.5" customHeight="1">
      <c r="A1435" s="110"/>
      <c r="B1435" s="111"/>
      <c r="C1435" s="96"/>
      <c r="D1435" s="112"/>
      <c r="E1435" s="112"/>
      <c r="F1435" s="112"/>
      <c r="G1435" s="113"/>
      <c r="H1435" s="111"/>
      <c r="I1435" s="103"/>
      <c r="J1435" s="103"/>
      <c r="K1435" s="103"/>
      <c r="L1435" s="108"/>
      <c r="M1435" s="103"/>
      <c r="N1435" s="103"/>
      <c r="O1435" s="114"/>
      <c r="P1435" s="110"/>
      <c r="Q1435" s="111"/>
    </row>
    <row r="1436" ht="25.5" customHeight="1">
      <c r="A1436" s="59"/>
      <c r="B1436" s="104"/>
      <c r="C1436" s="96"/>
      <c r="D1436" s="105"/>
      <c r="E1436" s="105"/>
      <c r="F1436" s="105"/>
      <c r="G1436" s="106"/>
      <c r="H1436" s="104"/>
      <c r="I1436" s="107"/>
      <c r="J1436" s="107"/>
      <c r="K1436" s="107"/>
      <c r="L1436" s="108"/>
      <c r="M1436" s="107"/>
      <c r="N1436" s="107"/>
      <c r="O1436" s="109"/>
      <c r="P1436" s="59"/>
      <c r="Q1436" s="104"/>
    </row>
    <row r="1437" ht="25.5" customHeight="1">
      <c r="A1437" s="110"/>
      <c r="B1437" s="111"/>
      <c r="C1437" s="96"/>
      <c r="D1437" s="112"/>
      <c r="E1437" s="112"/>
      <c r="F1437" s="112"/>
      <c r="G1437" s="113"/>
      <c r="H1437" s="111"/>
      <c r="I1437" s="103"/>
      <c r="J1437" s="103"/>
      <c r="K1437" s="103"/>
      <c r="L1437" s="108"/>
      <c r="M1437" s="103"/>
      <c r="N1437" s="103"/>
      <c r="O1437" s="114"/>
      <c r="P1437" s="110"/>
      <c r="Q1437" s="111"/>
    </row>
    <row r="1438" ht="25.5" customHeight="1">
      <c r="A1438" s="59"/>
      <c r="B1438" s="104"/>
      <c r="C1438" s="96"/>
      <c r="D1438" s="105"/>
      <c r="E1438" s="105"/>
      <c r="F1438" s="105"/>
      <c r="G1438" s="106"/>
      <c r="H1438" s="104"/>
      <c r="I1438" s="107"/>
      <c r="J1438" s="107"/>
      <c r="K1438" s="107"/>
      <c r="L1438" s="108"/>
      <c r="M1438" s="107"/>
      <c r="N1438" s="107"/>
      <c r="O1438" s="109"/>
      <c r="P1438" s="59"/>
      <c r="Q1438" s="104"/>
    </row>
    <row r="1439" ht="25.5" customHeight="1">
      <c r="A1439" s="110"/>
      <c r="B1439" s="111"/>
      <c r="C1439" s="96"/>
      <c r="D1439" s="112"/>
      <c r="E1439" s="112"/>
      <c r="F1439" s="112"/>
      <c r="G1439" s="113"/>
      <c r="H1439" s="111"/>
      <c r="I1439" s="103"/>
      <c r="J1439" s="103"/>
      <c r="K1439" s="103"/>
      <c r="L1439" s="108"/>
      <c r="M1439" s="103"/>
      <c r="N1439" s="103"/>
      <c r="O1439" s="114"/>
      <c r="P1439" s="110"/>
      <c r="Q1439" s="111"/>
    </row>
    <row r="1440" ht="25.5" customHeight="1">
      <c r="A1440" s="59"/>
      <c r="B1440" s="104"/>
      <c r="C1440" s="96"/>
      <c r="D1440" s="105"/>
      <c r="E1440" s="105"/>
      <c r="F1440" s="105"/>
      <c r="G1440" s="106"/>
      <c r="H1440" s="104"/>
      <c r="I1440" s="107"/>
      <c r="J1440" s="107"/>
      <c r="K1440" s="107"/>
      <c r="L1440" s="108"/>
      <c r="M1440" s="107"/>
      <c r="N1440" s="107"/>
      <c r="O1440" s="109"/>
      <c r="P1440" s="59"/>
      <c r="Q1440" s="104"/>
    </row>
    <row r="1441" ht="25.5" customHeight="1">
      <c r="A1441" s="110"/>
      <c r="B1441" s="111"/>
      <c r="C1441" s="96"/>
      <c r="D1441" s="112"/>
      <c r="E1441" s="112"/>
      <c r="F1441" s="112"/>
      <c r="G1441" s="113"/>
      <c r="H1441" s="111"/>
      <c r="I1441" s="103"/>
      <c r="J1441" s="103"/>
      <c r="K1441" s="103"/>
      <c r="L1441" s="108"/>
      <c r="M1441" s="103"/>
      <c r="N1441" s="103"/>
      <c r="O1441" s="114"/>
      <c r="P1441" s="110"/>
      <c r="Q1441" s="111"/>
    </row>
    <row r="1442" ht="25.5" customHeight="1">
      <c r="A1442" s="59"/>
      <c r="B1442" s="104"/>
      <c r="C1442" s="96"/>
      <c r="D1442" s="105"/>
      <c r="E1442" s="105"/>
      <c r="F1442" s="105"/>
      <c r="G1442" s="106"/>
      <c r="H1442" s="104"/>
      <c r="I1442" s="107"/>
      <c r="J1442" s="107"/>
      <c r="K1442" s="107"/>
      <c r="L1442" s="108"/>
      <c r="M1442" s="107"/>
      <c r="N1442" s="107"/>
      <c r="O1442" s="109"/>
      <c r="P1442" s="59"/>
      <c r="Q1442" s="104"/>
    </row>
    <row r="1443" ht="25.5" customHeight="1">
      <c r="A1443" s="110"/>
      <c r="B1443" s="111"/>
      <c r="C1443" s="96"/>
      <c r="D1443" s="112"/>
      <c r="E1443" s="112"/>
      <c r="F1443" s="112"/>
      <c r="G1443" s="113"/>
      <c r="H1443" s="111"/>
      <c r="I1443" s="103"/>
      <c r="J1443" s="103"/>
      <c r="K1443" s="103"/>
      <c r="L1443" s="108"/>
      <c r="M1443" s="103"/>
      <c r="N1443" s="103"/>
      <c r="O1443" s="114"/>
      <c r="P1443" s="110"/>
      <c r="Q1443" s="111"/>
    </row>
    <row r="1444" ht="25.5" customHeight="1">
      <c r="A1444" s="59"/>
      <c r="B1444" s="104"/>
      <c r="C1444" s="96"/>
      <c r="D1444" s="105"/>
      <c r="E1444" s="105"/>
      <c r="F1444" s="105"/>
      <c r="G1444" s="106"/>
      <c r="H1444" s="104"/>
      <c r="I1444" s="107"/>
      <c r="J1444" s="107"/>
      <c r="K1444" s="107"/>
      <c r="L1444" s="108"/>
      <c r="M1444" s="107"/>
      <c r="N1444" s="107"/>
      <c r="O1444" s="109"/>
      <c r="P1444" s="59"/>
      <c r="Q1444" s="104"/>
    </row>
    <row r="1445" ht="25.5" customHeight="1">
      <c r="A1445" s="110"/>
      <c r="B1445" s="111"/>
      <c r="C1445" s="96"/>
      <c r="D1445" s="112"/>
      <c r="E1445" s="112"/>
      <c r="F1445" s="112"/>
      <c r="G1445" s="113"/>
      <c r="H1445" s="111"/>
      <c r="I1445" s="103"/>
      <c r="J1445" s="103"/>
      <c r="K1445" s="103"/>
      <c r="L1445" s="108"/>
      <c r="M1445" s="103"/>
      <c r="N1445" s="103"/>
      <c r="O1445" s="114"/>
      <c r="P1445" s="110"/>
      <c r="Q1445" s="111"/>
    </row>
    <row r="1446" ht="25.5" customHeight="1">
      <c r="A1446" s="59"/>
      <c r="B1446" s="104"/>
      <c r="C1446" s="96"/>
      <c r="D1446" s="105"/>
      <c r="E1446" s="105"/>
      <c r="F1446" s="105"/>
      <c r="G1446" s="106"/>
      <c r="H1446" s="104"/>
      <c r="I1446" s="107"/>
      <c r="J1446" s="107"/>
      <c r="K1446" s="107"/>
      <c r="L1446" s="108"/>
      <c r="M1446" s="107"/>
      <c r="N1446" s="107"/>
      <c r="O1446" s="109"/>
      <c r="P1446" s="59"/>
      <c r="Q1446" s="104"/>
    </row>
    <row r="1447" ht="25.5" customHeight="1">
      <c r="A1447" s="110"/>
      <c r="B1447" s="111"/>
      <c r="C1447" s="96"/>
      <c r="D1447" s="112"/>
      <c r="E1447" s="112"/>
      <c r="F1447" s="112"/>
      <c r="G1447" s="113"/>
      <c r="H1447" s="111"/>
      <c r="I1447" s="103"/>
      <c r="J1447" s="103"/>
      <c r="K1447" s="103"/>
      <c r="L1447" s="108"/>
      <c r="M1447" s="103"/>
      <c r="N1447" s="103"/>
      <c r="O1447" s="114"/>
      <c r="P1447" s="110"/>
      <c r="Q1447" s="111"/>
    </row>
    <row r="1448" ht="25.5" customHeight="1">
      <c r="A1448" s="59"/>
      <c r="B1448" s="104"/>
      <c r="C1448" s="96"/>
      <c r="D1448" s="105"/>
      <c r="E1448" s="105"/>
      <c r="F1448" s="105"/>
      <c r="G1448" s="106"/>
      <c r="H1448" s="104"/>
      <c r="I1448" s="107"/>
      <c r="J1448" s="107"/>
      <c r="K1448" s="107"/>
      <c r="L1448" s="108"/>
      <c r="M1448" s="107"/>
      <c r="N1448" s="107"/>
      <c r="O1448" s="109"/>
      <c r="P1448" s="59"/>
      <c r="Q1448" s="104"/>
    </row>
    <row r="1449" ht="25.5" customHeight="1">
      <c r="A1449" s="110"/>
      <c r="B1449" s="111"/>
      <c r="C1449" s="96"/>
      <c r="D1449" s="112"/>
      <c r="E1449" s="112"/>
      <c r="F1449" s="112"/>
      <c r="G1449" s="113"/>
      <c r="H1449" s="111"/>
      <c r="I1449" s="103"/>
      <c r="J1449" s="103"/>
      <c r="K1449" s="103"/>
      <c r="L1449" s="108"/>
      <c r="M1449" s="103"/>
      <c r="N1449" s="103"/>
      <c r="O1449" s="114"/>
      <c r="P1449" s="110"/>
      <c r="Q1449" s="111"/>
    </row>
    <row r="1450" ht="25.5" customHeight="1">
      <c r="A1450" s="59"/>
      <c r="B1450" s="104"/>
      <c r="C1450" s="96"/>
      <c r="D1450" s="105"/>
      <c r="E1450" s="105"/>
      <c r="F1450" s="105"/>
      <c r="G1450" s="106"/>
      <c r="H1450" s="104"/>
      <c r="I1450" s="107"/>
      <c r="J1450" s="107"/>
      <c r="K1450" s="107"/>
      <c r="L1450" s="108"/>
      <c r="M1450" s="107"/>
      <c r="N1450" s="107"/>
      <c r="O1450" s="109"/>
      <c r="P1450" s="59"/>
      <c r="Q1450" s="104"/>
    </row>
    <row r="1451" ht="25.5" customHeight="1">
      <c r="A1451" s="110"/>
      <c r="B1451" s="111"/>
      <c r="C1451" s="96"/>
      <c r="D1451" s="112"/>
      <c r="E1451" s="112"/>
      <c r="F1451" s="112"/>
      <c r="G1451" s="113"/>
      <c r="H1451" s="111"/>
      <c r="I1451" s="103"/>
      <c r="J1451" s="103"/>
      <c r="K1451" s="103"/>
      <c r="L1451" s="108"/>
      <c r="M1451" s="103"/>
      <c r="N1451" s="103"/>
      <c r="O1451" s="114"/>
      <c r="P1451" s="110"/>
      <c r="Q1451" s="111"/>
    </row>
    <row r="1452" ht="25.5" customHeight="1">
      <c r="A1452" s="59"/>
      <c r="B1452" s="104"/>
      <c r="C1452" s="96"/>
      <c r="D1452" s="105"/>
      <c r="E1452" s="105"/>
      <c r="F1452" s="105"/>
      <c r="G1452" s="106"/>
      <c r="H1452" s="104"/>
      <c r="I1452" s="107"/>
      <c r="J1452" s="107"/>
      <c r="K1452" s="107"/>
      <c r="L1452" s="108"/>
      <c r="M1452" s="107"/>
      <c r="N1452" s="107"/>
      <c r="O1452" s="109"/>
      <c r="P1452" s="59"/>
      <c r="Q1452" s="104"/>
    </row>
    <row r="1453" ht="25.5" customHeight="1">
      <c r="A1453" s="110"/>
      <c r="B1453" s="111"/>
      <c r="C1453" s="96"/>
      <c r="D1453" s="112"/>
      <c r="E1453" s="112"/>
      <c r="F1453" s="112"/>
      <c r="G1453" s="113"/>
      <c r="H1453" s="111"/>
      <c r="I1453" s="103"/>
      <c r="J1453" s="103"/>
      <c r="K1453" s="103"/>
      <c r="L1453" s="108"/>
      <c r="M1453" s="103"/>
      <c r="N1453" s="103"/>
      <c r="O1453" s="114"/>
      <c r="P1453" s="110"/>
      <c r="Q1453" s="111"/>
    </row>
    <row r="1454" ht="25.5" customHeight="1">
      <c r="A1454" s="59"/>
      <c r="B1454" s="104"/>
      <c r="C1454" s="96"/>
      <c r="D1454" s="105"/>
      <c r="E1454" s="105"/>
      <c r="F1454" s="105"/>
      <c r="G1454" s="106"/>
      <c r="H1454" s="104"/>
      <c r="I1454" s="107"/>
      <c r="J1454" s="107"/>
      <c r="K1454" s="107"/>
      <c r="L1454" s="108"/>
      <c r="M1454" s="107"/>
      <c r="N1454" s="107"/>
      <c r="O1454" s="109"/>
      <c r="P1454" s="59"/>
      <c r="Q1454" s="104"/>
    </row>
    <row r="1455" ht="25.5" customHeight="1">
      <c r="A1455" s="110"/>
      <c r="B1455" s="111"/>
      <c r="C1455" s="96"/>
      <c r="D1455" s="112"/>
      <c r="E1455" s="112"/>
      <c r="F1455" s="112"/>
      <c r="G1455" s="113"/>
      <c r="H1455" s="111"/>
      <c r="I1455" s="103"/>
      <c r="J1455" s="103"/>
      <c r="K1455" s="103"/>
      <c r="L1455" s="108"/>
      <c r="M1455" s="103"/>
      <c r="N1455" s="103"/>
      <c r="O1455" s="114"/>
      <c r="P1455" s="110"/>
      <c r="Q1455" s="111"/>
    </row>
    <row r="1456" ht="25.5" customHeight="1">
      <c r="A1456" s="59"/>
      <c r="B1456" s="104"/>
      <c r="C1456" s="96"/>
      <c r="D1456" s="105"/>
      <c r="E1456" s="105"/>
      <c r="F1456" s="105"/>
      <c r="G1456" s="106"/>
      <c r="H1456" s="104"/>
      <c r="I1456" s="107"/>
      <c r="J1456" s="107"/>
      <c r="K1456" s="107"/>
      <c r="L1456" s="108"/>
      <c r="M1456" s="107"/>
      <c r="N1456" s="107"/>
      <c r="O1456" s="109"/>
      <c r="P1456" s="59"/>
      <c r="Q1456" s="104"/>
    </row>
    <row r="1457" ht="25.5" customHeight="1">
      <c r="A1457" s="110"/>
      <c r="B1457" s="111"/>
      <c r="C1457" s="96"/>
      <c r="D1457" s="112"/>
      <c r="E1457" s="112"/>
      <c r="F1457" s="112"/>
      <c r="G1457" s="113"/>
      <c r="H1457" s="111"/>
      <c r="I1457" s="103"/>
      <c r="J1457" s="103"/>
      <c r="K1457" s="103"/>
      <c r="L1457" s="108"/>
      <c r="M1457" s="103"/>
      <c r="N1457" s="103"/>
      <c r="O1457" s="114"/>
      <c r="P1457" s="110"/>
      <c r="Q1457" s="111"/>
    </row>
    <row r="1458" ht="25.5" customHeight="1">
      <c r="A1458" s="59"/>
      <c r="B1458" s="104"/>
      <c r="C1458" s="96"/>
      <c r="D1458" s="105"/>
      <c r="E1458" s="105"/>
      <c r="F1458" s="105"/>
      <c r="G1458" s="106"/>
      <c r="H1458" s="104"/>
      <c r="I1458" s="107"/>
      <c r="J1458" s="107"/>
      <c r="K1458" s="107"/>
      <c r="L1458" s="108"/>
      <c r="M1458" s="107"/>
      <c r="N1458" s="107"/>
      <c r="O1458" s="109"/>
      <c r="P1458" s="59"/>
      <c r="Q1458" s="104"/>
    </row>
    <row r="1459" ht="25.5" customHeight="1">
      <c r="A1459" s="110"/>
      <c r="B1459" s="111"/>
      <c r="C1459" s="96"/>
      <c r="D1459" s="112"/>
      <c r="E1459" s="112"/>
      <c r="F1459" s="112"/>
      <c r="G1459" s="113"/>
      <c r="H1459" s="111"/>
      <c r="I1459" s="103"/>
      <c r="J1459" s="103"/>
      <c r="K1459" s="103"/>
      <c r="L1459" s="108"/>
      <c r="M1459" s="103"/>
      <c r="N1459" s="103"/>
      <c r="O1459" s="114"/>
      <c r="P1459" s="110"/>
      <c r="Q1459" s="111"/>
    </row>
    <row r="1460" ht="25.5" customHeight="1">
      <c r="A1460" s="59"/>
      <c r="B1460" s="104"/>
      <c r="C1460" s="96"/>
      <c r="D1460" s="105"/>
      <c r="E1460" s="105"/>
      <c r="F1460" s="105"/>
      <c r="G1460" s="106"/>
      <c r="H1460" s="104"/>
      <c r="I1460" s="107"/>
      <c r="J1460" s="107"/>
      <c r="K1460" s="107"/>
      <c r="L1460" s="108"/>
      <c r="M1460" s="107"/>
      <c r="N1460" s="107"/>
      <c r="O1460" s="109"/>
      <c r="P1460" s="59"/>
      <c r="Q1460" s="104"/>
    </row>
    <row r="1461" ht="25.5" customHeight="1">
      <c r="A1461" s="110"/>
      <c r="B1461" s="111"/>
      <c r="C1461" s="96"/>
      <c r="D1461" s="112"/>
      <c r="E1461" s="112"/>
      <c r="F1461" s="112"/>
      <c r="G1461" s="113"/>
      <c r="H1461" s="111"/>
      <c r="I1461" s="103"/>
      <c r="J1461" s="103"/>
      <c r="K1461" s="103"/>
      <c r="L1461" s="108"/>
      <c r="M1461" s="103"/>
      <c r="N1461" s="103"/>
      <c r="O1461" s="114"/>
      <c r="P1461" s="110"/>
      <c r="Q1461" s="111"/>
    </row>
    <row r="1462" ht="25.5" customHeight="1">
      <c r="A1462" s="59"/>
      <c r="B1462" s="104"/>
      <c r="C1462" s="96"/>
      <c r="D1462" s="105"/>
      <c r="E1462" s="105"/>
      <c r="F1462" s="105"/>
      <c r="G1462" s="106"/>
      <c r="H1462" s="104"/>
      <c r="I1462" s="107"/>
      <c r="J1462" s="107"/>
      <c r="K1462" s="107"/>
      <c r="L1462" s="108"/>
      <c r="M1462" s="107"/>
      <c r="N1462" s="107"/>
      <c r="O1462" s="109"/>
      <c r="P1462" s="59"/>
      <c r="Q1462" s="104"/>
    </row>
    <row r="1463" ht="25.5" customHeight="1">
      <c r="A1463" s="110"/>
      <c r="B1463" s="111"/>
      <c r="C1463" s="96"/>
      <c r="D1463" s="112"/>
      <c r="E1463" s="112"/>
      <c r="F1463" s="112"/>
      <c r="G1463" s="113"/>
      <c r="H1463" s="111"/>
      <c r="I1463" s="103"/>
      <c r="J1463" s="103"/>
      <c r="K1463" s="103"/>
      <c r="L1463" s="108"/>
      <c r="M1463" s="103"/>
      <c r="N1463" s="103"/>
      <c r="O1463" s="114"/>
      <c r="P1463" s="110"/>
      <c r="Q1463" s="111"/>
    </row>
    <row r="1464" ht="25.5" customHeight="1">
      <c r="A1464" s="59"/>
      <c r="B1464" s="104"/>
      <c r="C1464" s="96"/>
      <c r="D1464" s="105"/>
      <c r="E1464" s="105"/>
      <c r="F1464" s="105"/>
      <c r="G1464" s="106"/>
      <c r="H1464" s="104"/>
      <c r="I1464" s="107"/>
      <c r="J1464" s="107"/>
      <c r="K1464" s="107"/>
      <c r="L1464" s="108"/>
      <c r="M1464" s="107"/>
      <c r="N1464" s="107"/>
      <c r="O1464" s="109"/>
      <c r="P1464" s="59"/>
      <c r="Q1464" s="104"/>
    </row>
    <row r="1465" ht="25.5" customHeight="1">
      <c r="A1465" s="110"/>
      <c r="B1465" s="111"/>
      <c r="C1465" s="96"/>
      <c r="D1465" s="112"/>
      <c r="E1465" s="112"/>
      <c r="F1465" s="112"/>
      <c r="G1465" s="113"/>
      <c r="H1465" s="111"/>
      <c r="I1465" s="103"/>
      <c r="J1465" s="103"/>
      <c r="K1465" s="103"/>
      <c r="L1465" s="108"/>
      <c r="M1465" s="103"/>
      <c r="N1465" s="103"/>
      <c r="O1465" s="114"/>
      <c r="P1465" s="110"/>
      <c r="Q1465" s="111"/>
    </row>
    <row r="1466" ht="25.5" customHeight="1">
      <c r="A1466" s="59"/>
      <c r="B1466" s="104"/>
      <c r="C1466" s="96"/>
      <c r="D1466" s="105"/>
      <c r="E1466" s="105"/>
      <c r="F1466" s="105"/>
      <c r="G1466" s="106"/>
      <c r="H1466" s="104"/>
      <c r="I1466" s="107"/>
      <c r="J1466" s="107"/>
      <c r="K1466" s="107"/>
      <c r="L1466" s="108"/>
      <c r="M1466" s="107"/>
      <c r="N1466" s="107"/>
      <c r="O1466" s="109"/>
      <c r="P1466" s="59"/>
      <c r="Q1466" s="104"/>
    </row>
    <row r="1467" ht="25.5" customHeight="1">
      <c r="A1467" s="110"/>
      <c r="B1467" s="111"/>
      <c r="C1467" s="96"/>
      <c r="D1467" s="112"/>
      <c r="E1467" s="112"/>
      <c r="F1467" s="112"/>
      <c r="G1467" s="113"/>
      <c r="H1467" s="111"/>
      <c r="I1467" s="103"/>
      <c r="J1467" s="103"/>
      <c r="K1467" s="103"/>
      <c r="L1467" s="108"/>
      <c r="M1467" s="103"/>
      <c r="N1467" s="103"/>
      <c r="O1467" s="114"/>
      <c r="P1467" s="110"/>
      <c r="Q1467" s="111"/>
    </row>
    <row r="1468" ht="25.5" customHeight="1">
      <c r="A1468" s="59"/>
      <c r="B1468" s="104"/>
      <c r="C1468" s="96"/>
      <c r="D1468" s="105"/>
      <c r="E1468" s="105"/>
      <c r="F1468" s="105"/>
      <c r="G1468" s="106"/>
      <c r="H1468" s="104"/>
      <c r="I1468" s="107"/>
      <c r="J1468" s="107"/>
      <c r="K1468" s="107"/>
      <c r="L1468" s="108"/>
      <c r="M1468" s="107"/>
      <c r="N1468" s="107"/>
      <c r="O1468" s="109"/>
      <c r="P1468" s="59"/>
      <c r="Q1468" s="104"/>
    </row>
    <row r="1469" ht="25.5" customHeight="1">
      <c r="A1469" s="110"/>
      <c r="B1469" s="111"/>
      <c r="C1469" s="96"/>
      <c r="D1469" s="112"/>
      <c r="E1469" s="112"/>
      <c r="F1469" s="112"/>
      <c r="G1469" s="113"/>
      <c r="H1469" s="111"/>
      <c r="I1469" s="103"/>
      <c r="J1469" s="103"/>
      <c r="K1469" s="103"/>
      <c r="L1469" s="108"/>
      <c r="M1469" s="103"/>
      <c r="N1469" s="103"/>
      <c r="O1469" s="114"/>
      <c r="P1469" s="110"/>
      <c r="Q1469" s="111"/>
    </row>
    <row r="1470" ht="25.5" customHeight="1">
      <c r="A1470" s="59"/>
      <c r="B1470" s="104"/>
      <c r="C1470" s="96"/>
      <c r="D1470" s="105"/>
      <c r="E1470" s="105"/>
      <c r="F1470" s="105"/>
      <c r="G1470" s="106"/>
      <c r="H1470" s="104"/>
      <c r="I1470" s="107"/>
      <c r="J1470" s="107"/>
      <c r="K1470" s="107"/>
      <c r="L1470" s="108"/>
      <c r="M1470" s="107"/>
      <c r="N1470" s="107"/>
      <c r="O1470" s="109"/>
      <c r="P1470" s="59"/>
      <c r="Q1470" s="104"/>
    </row>
    <row r="1471" ht="25.5" customHeight="1">
      <c r="A1471" s="110"/>
      <c r="B1471" s="111"/>
      <c r="C1471" s="96"/>
      <c r="D1471" s="112"/>
      <c r="E1471" s="112"/>
      <c r="F1471" s="112"/>
      <c r="G1471" s="113"/>
      <c r="H1471" s="111"/>
      <c r="I1471" s="103"/>
      <c r="J1471" s="103"/>
      <c r="K1471" s="103"/>
      <c r="L1471" s="108"/>
      <c r="M1471" s="103"/>
      <c r="N1471" s="103"/>
      <c r="O1471" s="114"/>
      <c r="P1471" s="110"/>
      <c r="Q1471" s="111"/>
    </row>
    <row r="1472" ht="25.5" customHeight="1">
      <c r="A1472" s="59"/>
      <c r="B1472" s="104"/>
      <c r="C1472" s="96"/>
      <c r="D1472" s="105"/>
      <c r="E1472" s="105"/>
      <c r="F1472" s="105"/>
      <c r="G1472" s="106"/>
      <c r="H1472" s="104"/>
      <c r="I1472" s="107"/>
      <c r="J1472" s="107"/>
      <c r="K1472" s="107"/>
      <c r="L1472" s="108"/>
      <c r="M1472" s="107"/>
      <c r="N1472" s="107"/>
      <c r="O1472" s="109"/>
      <c r="P1472" s="59"/>
      <c r="Q1472" s="104"/>
    </row>
    <row r="1473" ht="25.5" customHeight="1">
      <c r="A1473" s="110"/>
      <c r="B1473" s="111"/>
      <c r="C1473" s="96"/>
      <c r="D1473" s="112"/>
      <c r="E1473" s="112"/>
      <c r="F1473" s="112"/>
      <c r="G1473" s="113"/>
      <c r="H1473" s="111"/>
      <c r="I1473" s="103"/>
      <c r="J1473" s="103"/>
      <c r="K1473" s="103"/>
      <c r="L1473" s="108"/>
      <c r="M1473" s="103"/>
      <c r="N1473" s="103"/>
      <c r="O1473" s="114"/>
      <c r="P1473" s="110"/>
      <c r="Q1473" s="111"/>
    </row>
    <row r="1474" ht="25.5" customHeight="1">
      <c r="A1474" s="59"/>
      <c r="B1474" s="104"/>
      <c r="C1474" s="96"/>
      <c r="D1474" s="105"/>
      <c r="E1474" s="105"/>
      <c r="F1474" s="105"/>
      <c r="G1474" s="106"/>
      <c r="H1474" s="104"/>
      <c r="I1474" s="107"/>
      <c r="J1474" s="107"/>
      <c r="K1474" s="107"/>
      <c r="L1474" s="108"/>
      <c r="M1474" s="107"/>
      <c r="N1474" s="107"/>
      <c r="O1474" s="109"/>
      <c r="P1474" s="59"/>
      <c r="Q1474" s="104"/>
    </row>
    <row r="1475" ht="25.5" customHeight="1">
      <c r="A1475" s="110"/>
      <c r="B1475" s="111"/>
      <c r="C1475" s="96"/>
      <c r="D1475" s="112"/>
      <c r="E1475" s="112"/>
      <c r="F1475" s="112"/>
      <c r="G1475" s="113"/>
      <c r="H1475" s="111"/>
      <c r="I1475" s="103"/>
      <c r="J1475" s="103"/>
      <c r="K1475" s="103"/>
      <c r="L1475" s="108"/>
      <c r="M1475" s="103"/>
      <c r="N1475" s="103"/>
      <c r="O1475" s="114"/>
      <c r="P1475" s="110"/>
      <c r="Q1475" s="111"/>
    </row>
    <row r="1476" ht="25.5" customHeight="1">
      <c r="A1476" s="59"/>
      <c r="B1476" s="104"/>
      <c r="C1476" s="96"/>
      <c r="D1476" s="105"/>
      <c r="E1476" s="105"/>
      <c r="F1476" s="105"/>
      <c r="G1476" s="106"/>
      <c r="H1476" s="104"/>
      <c r="I1476" s="107"/>
      <c r="J1476" s="107"/>
      <c r="K1476" s="107"/>
      <c r="L1476" s="108"/>
      <c r="M1476" s="107"/>
      <c r="N1476" s="107"/>
      <c r="O1476" s="109"/>
      <c r="P1476" s="59"/>
      <c r="Q1476" s="104"/>
    </row>
    <row r="1477" ht="25.5" customHeight="1">
      <c r="A1477" s="110"/>
      <c r="B1477" s="111"/>
      <c r="C1477" s="96"/>
      <c r="D1477" s="112"/>
      <c r="E1477" s="112"/>
      <c r="F1477" s="112"/>
      <c r="G1477" s="113"/>
      <c r="H1477" s="111"/>
      <c r="I1477" s="103"/>
      <c r="J1477" s="103"/>
      <c r="K1477" s="103"/>
      <c r="L1477" s="108"/>
      <c r="M1477" s="103"/>
      <c r="N1477" s="103"/>
      <c r="O1477" s="114"/>
      <c r="P1477" s="110"/>
      <c r="Q1477" s="111"/>
    </row>
    <row r="1478" ht="25.5" customHeight="1">
      <c r="A1478" s="59"/>
      <c r="B1478" s="104"/>
      <c r="C1478" s="96"/>
      <c r="D1478" s="105"/>
      <c r="E1478" s="105"/>
      <c r="F1478" s="105"/>
      <c r="G1478" s="106"/>
      <c r="H1478" s="104"/>
      <c r="I1478" s="107"/>
      <c r="J1478" s="107"/>
      <c r="K1478" s="107"/>
      <c r="L1478" s="108"/>
      <c r="M1478" s="107"/>
      <c r="N1478" s="107"/>
      <c r="O1478" s="109"/>
      <c r="P1478" s="59"/>
      <c r="Q1478" s="104"/>
    </row>
    <row r="1479" ht="25.5" customHeight="1">
      <c r="A1479" s="110"/>
      <c r="B1479" s="111"/>
      <c r="C1479" s="96"/>
      <c r="D1479" s="112"/>
      <c r="E1479" s="112"/>
      <c r="F1479" s="112"/>
      <c r="G1479" s="113"/>
      <c r="H1479" s="111"/>
      <c r="I1479" s="103"/>
      <c r="J1479" s="103"/>
      <c r="K1479" s="103"/>
      <c r="L1479" s="108"/>
      <c r="M1479" s="103"/>
      <c r="N1479" s="103"/>
      <c r="O1479" s="114"/>
      <c r="P1479" s="110"/>
      <c r="Q1479" s="111"/>
    </row>
    <row r="1480" ht="25.5" customHeight="1">
      <c r="A1480" s="59"/>
      <c r="B1480" s="104"/>
      <c r="C1480" s="96"/>
      <c r="D1480" s="105"/>
      <c r="E1480" s="105"/>
      <c r="F1480" s="105"/>
      <c r="G1480" s="106"/>
      <c r="H1480" s="104"/>
      <c r="I1480" s="107"/>
      <c r="J1480" s="107"/>
      <c r="K1480" s="107"/>
      <c r="L1480" s="108"/>
      <c r="M1480" s="107"/>
      <c r="N1480" s="107"/>
      <c r="O1480" s="109"/>
      <c r="P1480" s="59"/>
      <c r="Q1480" s="104"/>
    </row>
    <row r="1481" ht="25.5" customHeight="1">
      <c r="A1481" s="110"/>
      <c r="B1481" s="111"/>
      <c r="C1481" s="96"/>
      <c r="D1481" s="112"/>
      <c r="E1481" s="112"/>
      <c r="F1481" s="112"/>
      <c r="G1481" s="113"/>
      <c r="H1481" s="111"/>
      <c r="I1481" s="103"/>
      <c r="J1481" s="103"/>
      <c r="K1481" s="103"/>
      <c r="L1481" s="108"/>
      <c r="M1481" s="103"/>
      <c r="N1481" s="103"/>
      <c r="O1481" s="114"/>
      <c r="P1481" s="110"/>
      <c r="Q1481" s="111"/>
    </row>
    <row r="1482" ht="25.5" customHeight="1">
      <c r="A1482" s="59"/>
      <c r="B1482" s="104"/>
      <c r="C1482" s="96"/>
      <c r="D1482" s="105"/>
      <c r="E1482" s="105"/>
      <c r="F1482" s="105"/>
      <c r="G1482" s="106"/>
      <c r="H1482" s="104"/>
      <c r="I1482" s="107"/>
      <c r="J1482" s="107"/>
      <c r="K1482" s="107"/>
      <c r="L1482" s="108"/>
      <c r="M1482" s="107"/>
      <c r="N1482" s="107"/>
      <c r="O1482" s="109"/>
      <c r="P1482" s="59"/>
      <c r="Q1482" s="104"/>
    </row>
    <row r="1483" ht="25.5" customHeight="1">
      <c r="A1483" s="110"/>
      <c r="B1483" s="111"/>
      <c r="C1483" s="96"/>
      <c r="D1483" s="112"/>
      <c r="E1483" s="112"/>
      <c r="F1483" s="112"/>
      <c r="G1483" s="113"/>
      <c r="H1483" s="111"/>
      <c r="I1483" s="103"/>
      <c r="J1483" s="103"/>
      <c r="K1483" s="103"/>
      <c r="L1483" s="108"/>
      <c r="M1483" s="103"/>
      <c r="N1483" s="103"/>
      <c r="O1483" s="114"/>
      <c r="P1483" s="110"/>
      <c r="Q1483" s="111"/>
    </row>
    <row r="1484" ht="25.5" customHeight="1">
      <c r="A1484" s="59"/>
      <c r="B1484" s="104"/>
      <c r="C1484" s="96"/>
      <c r="D1484" s="105"/>
      <c r="E1484" s="105"/>
      <c r="F1484" s="105"/>
      <c r="G1484" s="106"/>
      <c r="H1484" s="104"/>
      <c r="I1484" s="107"/>
      <c r="J1484" s="107"/>
      <c r="K1484" s="107"/>
      <c r="L1484" s="108"/>
      <c r="M1484" s="107"/>
      <c r="N1484" s="107"/>
      <c r="O1484" s="109"/>
      <c r="P1484" s="59"/>
      <c r="Q1484" s="104"/>
    </row>
    <row r="1485" ht="25.5" customHeight="1">
      <c r="A1485" s="110"/>
      <c r="B1485" s="111"/>
      <c r="C1485" s="96"/>
      <c r="D1485" s="112"/>
      <c r="E1485" s="112"/>
      <c r="F1485" s="112"/>
      <c r="G1485" s="113"/>
      <c r="H1485" s="111"/>
      <c r="I1485" s="103"/>
      <c r="J1485" s="103"/>
      <c r="K1485" s="103"/>
      <c r="L1485" s="108"/>
      <c r="M1485" s="103"/>
      <c r="N1485" s="103"/>
      <c r="O1485" s="114"/>
      <c r="P1485" s="110"/>
      <c r="Q1485" s="111"/>
    </row>
    <row r="1486" ht="25.5" customHeight="1">
      <c r="A1486" s="59"/>
      <c r="B1486" s="104"/>
      <c r="C1486" s="96"/>
      <c r="D1486" s="105"/>
      <c r="E1486" s="105"/>
      <c r="F1486" s="105"/>
      <c r="G1486" s="106"/>
      <c r="H1486" s="104"/>
      <c r="I1486" s="107"/>
      <c r="J1486" s="107"/>
      <c r="K1486" s="107"/>
      <c r="L1486" s="108"/>
      <c r="M1486" s="107"/>
      <c r="N1486" s="107"/>
      <c r="O1486" s="109"/>
      <c r="P1486" s="59"/>
      <c r="Q1486" s="104"/>
    </row>
    <row r="1487" ht="25.5" customHeight="1">
      <c r="A1487" s="110"/>
      <c r="B1487" s="111"/>
      <c r="C1487" s="96"/>
      <c r="D1487" s="112"/>
      <c r="E1487" s="112"/>
      <c r="F1487" s="112"/>
      <c r="G1487" s="113"/>
      <c r="H1487" s="111"/>
      <c r="I1487" s="103"/>
      <c r="J1487" s="103"/>
      <c r="K1487" s="103"/>
      <c r="L1487" s="108"/>
      <c r="M1487" s="103"/>
      <c r="N1487" s="103"/>
      <c r="O1487" s="114"/>
      <c r="P1487" s="110"/>
      <c r="Q1487" s="111"/>
    </row>
    <row r="1488" ht="25.5" customHeight="1">
      <c r="A1488" s="59"/>
      <c r="B1488" s="104"/>
      <c r="C1488" s="96"/>
      <c r="D1488" s="105"/>
      <c r="E1488" s="105"/>
      <c r="F1488" s="105"/>
      <c r="G1488" s="106"/>
      <c r="H1488" s="104"/>
      <c r="I1488" s="107"/>
      <c r="J1488" s="107"/>
      <c r="K1488" s="107"/>
      <c r="L1488" s="108"/>
      <c r="M1488" s="107"/>
      <c r="N1488" s="107"/>
      <c r="O1488" s="109"/>
      <c r="P1488" s="59"/>
      <c r="Q1488" s="104"/>
    </row>
    <row r="1489" ht="25.5" customHeight="1">
      <c r="A1489" s="110"/>
      <c r="B1489" s="111"/>
      <c r="C1489" s="96"/>
      <c r="D1489" s="112"/>
      <c r="E1489" s="112"/>
      <c r="F1489" s="112"/>
      <c r="G1489" s="113"/>
      <c r="H1489" s="111"/>
      <c r="I1489" s="103"/>
      <c r="J1489" s="103"/>
      <c r="K1489" s="103"/>
      <c r="L1489" s="108"/>
      <c r="M1489" s="103"/>
      <c r="N1489" s="103"/>
      <c r="O1489" s="114"/>
      <c r="P1489" s="110"/>
      <c r="Q1489" s="111"/>
    </row>
    <row r="1490" ht="25.5" customHeight="1">
      <c r="A1490" s="59"/>
      <c r="B1490" s="104"/>
      <c r="C1490" s="96"/>
      <c r="D1490" s="105"/>
      <c r="E1490" s="105"/>
      <c r="F1490" s="105"/>
      <c r="G1490" s="106"/>
      <c r="H1490" s="104"/>
      <c r="I1490" s="107"/>
      <c r="J1490" s="107"/>
      <c r="K1490" s="107"/>
      <c r="L1490" s="108"/>
      <c r="M1490" s="107"/>
      <c r="N1490" s="107"/>
      <c r="O1490" s="109"/>
      <c r="P1490" s="59"/>
      <c r="Q1490" s="104"/>
    </row>
    <row r="1491" ht="25.5" customHeight="1">
      <c r="A1491" s="110"/>
      <c r="B1491" s="111"/>
      <c r="C1491" s="96"/>
      <c r="D1491" s="112"/>
      <c r="E1491" s="112"/>
      <c r="F1491" s="112"/>
      <c r="G1491" s="113"/>
      <c r="H1491" s="111"/>
      <c r="I1491" s="103"/>
      <c r="J1491" s="103"/>
      <c r="K1491" s="103"/>
      <c r="L1491" s="108"/>
      <c r="M1491" s="103"/>
      <c r="N1491" s="103"/>
      <c r="O1491" s="114"/>
      <c r="P1491" s="110"/>
      <c r="Q1491" s="111"/>
    </row>
    <row r="1492" ht="25.5" customHeight="1">
      <c r="A1492" s="59"/>
      <c r="B1492" s="104"/>
      <c r="C1492" s="96"/>
      <c r="D1492" s="105"/>
      <c r="E1492" s="105"/>
      <c r="F1492" s="105"/>
      <c r="G1492" s="106"/>
      <c r="H1492" s="104"/>
      <c r="I1492" s="107"/>
      <c r="J1492" s="107"/>
      <c r="K1492" s="107"/>
      <c r="L1492" s="108"/>
      <c r="M1492" s="107"/>
      <c r="N1492" s="107"/>
      <c r="O1492" s="109"/>
      <c r="P1492" s="59"/>
      <c r="Q1492" s="104"/>
    </row>
    <row r="1493" ht="25.5" customHeight="1">
      <c r="A1493" s="110"/>
      <c r="B1493" s="111"/>
      <c r="C1493" s="96"/>
      <c r="D1493" s="112"/>
      <c r="E1493" s="112"/>
      <c r="F1493" s="112"/>
      <c r="G1493" s="113"/>
      <c r="H1493" s="111"/>
      <c r="I1493" s="103"/>
      <c r="J1493" s="103"/>
      <c r="K1493" s="103"/>
      <c r="L1493" s="108"/>
      <c r="M1493" s="103"/>
      <c r="N1493" s="103"/>
      <c r="O1493" s="114"/>
      <c r="P1493" s="110"/>
      <c r="Q1493" s="111"/>
    </row>
    <row r="1494" ht="25.5" customHeight="1">
      <c r="A1494" s="59"/>
      <c r="B1494" s="104"/>
      <c r="C1494" s="96"/>
      <c r="D1494" s="105"/>
      <c r="E1494" s="105"/>
      <c r="F1494" s="105"/>
      <c r="G1494" s="106"/>
      <c r="H1494" s="104"/>
      <c r="I1494" s="107"/>
      <c r="J1494" s="107"/>
      <c r="K1494" s="107"/>
      <c r="L1494" s="108"/>
      <c r="M1494" s="107"/>
      <c r="N1494" s="107"/>
      <c r="O1494" s="109"/>
      <c r="P1494" s="59"/>
      <c r="Q1494" s="104"/>
    </row>
    <row r="1495" ht="25.5" customHeight="1">
      <c r="A1495" s="110"/>
      <c r="B1495" s="111"/>
      <c r="C1495" s="96"/>
      <c r="D1495" s="112"/>
      <c r="E1495" s="112"/>
      <c r="F1495" s="112"/>
      <c r="G1495" s="113"/>
      <c r="H1495" s="111"/>
      <c r="I1495" s="103"/>
      <c r="J1495" s="103"/>
      <c r="K1495" s="103"/>
      <c r="L1495" s="108"/>
      <c r="M1495" s="103"/>
      <c r="N1495" s="103"/>
      <c r="O1495" s="114"/>
      <c r="P1495" s="110"/>
      <c r="Q1495" s="111"/>
    </row>
    <row r="1496" ht="25.5" customHeight="1">
      <c r="A1496" s="59"/>
      <c r="B1496" s="104"/>
      <c r="C1496" s="96"/>
      <c r="D1496" s="105"/>
      <c r="E1496" s="105"/>
      <c r="F1496" s="105"/>
      <c r="G1496" s="106"/>
      <c r="H1496" s="104"/>
      <c r="I1496" s="107"/>
      <c r="J1496" s="107"/>
      <c r="K1496" s="107"/>
      <c r="L1496" s="108"/>
      <c r="M1496" s="107"/>
      <c r="N1496" s="107"/>
      <c r="O1496" s="109"/>
      <c r="P1496" s="59"/>
      <c r="Q1496" s="104"/>
    </row>
    <row r="1497" ht="25.5" customHeight="1">
      <c r="A1497" s="110"/>
      <c r="B1497" s="111"/>
      <c r="C1497" s="96"/>
      <c r="D1497" s="112"/>
      <c r="E1497" s="112"/>
      <c r="F1497" s="112"/>
      <c r="G1497" s="113"/>
      <c r="H1497" s="111"/>
      <c r="I1497" s="103"/>
      <c r="J1497" s="103"/>
      <c r="K1497" s="103"/>
      <c r="L1497" s="108"/>
      <c r="M1497" s="103"/>
      <c r="N1497" s="103"/>
      <c r="O1497" s="114"/>
      <c r="P1497" s="110"/>
      <c r="Q1497" s="111"/>
    </row>
    <row r="1498" ht="25.5" customHeight="1">
      <c r="A1498" s="59"/>
      <c r="B1498" s="104"/>
      <c r="C1498" s="96"/>
      <c r="D1498" s="105"/>
      <c r="E1498" s="105"/>
      <c r="F1498" s="105"/>
      <c r="G1498" s="106"/>
      <c r="H1498" s="104"/>
      <c r="I1498" s="107"/>
      <c r="J1498" s="107"/>
      <c r="K1498" s="107"/>
      <c r="L1498" s="108"/>
      <c r="M1498" s="107"/>
      <c r="N1498" s="107"/>
      <c r="O1498" s="109"/>
      <c r="P1498" s="59"/>
      <c r="Q1498" s="104"/>
    </row>
    <row r="1499" ht="25.5" customHeight="1">
      <c r="A1499" s="110"/>
      <c r="B1499" s="111"/>
      <c r="C1499" s="96"/>
      <c r="D1499" s="112"/>
      <c r="E1499" s="112"/>
      <c r="F1499" s="112"/>
      <c r="G1499" s="113"/>
      <c r="H1499" s="111"/>
      <c r="I1499" s="103"/>
      <c r="J1499" s="103"/>
      <c r="K1499" s="103"/>
      <c r="L1499" s="108"/>
      <c r="M1499" s="103"/>
      <c r="N1499" s="103"/>
      <c r="O1499" s="114"/>
      <c r="P1499" s="110"/>
      <c r="Q1499" s="111"/>
    </row>
    <row r="1500" ht="25.5" customHeight="1">
      <c r="A1500" s="59"/>
      <c r="B1500" s="104"/>
      <c r="C1500" s="96"/>
      <c r="D1500" s="105"/>
      <c r="E1500" s="105"/>
      <c r="F1500" s="105"/>
      <c r="G1500" s="106"/>
      <c r="H1500" s="104"/>
      <c r="I1500" s="107"/>
      <c r="J1500" s="107"/>
      <c r="K1500" s="107"/>
      <c r="L1500" s="108"/>
      <c r="M1500" s="107"/>
      <c r="N1500" s="107"/>
      <c r="O1500" s="109"/>
      <c r="P1500" s="59"/>
      <c r="Q1500" s="104"/>
    </row>
    <row r="1501" ht="25.5" customHeight="1">
      <c r="A1501" s="110"/>
      <c r="B1501" s="111"/>
      <c r="C1501" s="96"/>
      <c r="D1501" s="112"/>
      <c r="E1501" s="112"/>
      <c r="F1501" s="112"/>
      <c r="G1501" s="113"/>
      <c r="H1501" s="111"/>
      <c r="I1501" s="103"/>
      <c r="J1501" s="103"/>
      <c r="K1501" s="103"/>
      <c r="L1501" s="108"/>
      <c r="M1501" s="103"/>
      <c r="N1501" s="103"/>
      <c r="O1501" s="114"/>
      <c r="P1501" s="110"/>
      <c r="Q1501" s="111"/>
    </row>
    <row r="1502" ht="25.5" customHeight="1">
      <c r="A1502" s="59"/>
      <c r="B1502" s="104"/>
      <c r="C1502" s="96"/>
      <c r="D1502" s="105"/>
      <c r="E1502" s="105"/>
      <c r="F1502" s="105"/>
      <c r="G1502" s="106"/>
      <c r="H1502" s="104"/>
      <c r="I1502" s="107"/>
      <c r="J1502" s="107"/>
      <c r="K1502" s="107"/>
      <c r="L1502" s="108"/>
      <c r="M1502" s="107"/>
      <c r="N1502" s="107"/>
      <c r="O1502" s="109"/>
      <c r="P1502" s="59"/>
      <c r="Q1502" s="104"/>
    </row>
    <row r="1503" ht="25.5" customHeight="1">
      <c r="A1503" s="110"/>
      <c r="B1503" s="111"/>
      <c r="C1503" s="96"/>
      <c r="D1503" s="112"/>
      <c r="E1503" s="112"/>
      <c r="F1503" s="112"/>
      <c r="G1503" s="113"/>
      <c r="H1503" s="111"/>
      <c r="I1503" s="103"/>
      <c r="J1503" s="103"/>
      <c r="K1503" s="103"/>
      <c r="L1503" s="108"/>
      <c r="M1503" s="103"/>
      <c r="N1503" s="103"/>
      <c r="O1503" s="114"/>
      <c r="P1503" s="110"/>
      <c r="Q1503" s="111"/>
    </row>
    <row r="1504" ht="25.5" customHeight="1">
      <c r="A1504" s="59"/>
      <c r="B1504" s="104"/>
      <c r="C1504" s="96"/>
      <c r="D1504" s="105"/>
      <c r="E1504" s="105"/>
      <c r="F1504" s="105"/>
      <c r="G1504" s="106"/>
      <c r="H1504" s="104"/>
      <c r="I1504" s="107"/>
      <c r="J1504" s="107"/>
      <c r="K1504" s="107"/>
      <c r="L1504" s="108"/>
      <c r="M1504" s="107"/>
      <c r="N1504" s="107"/>
      <c r="O1504" s="109"/>
      <c r="P1504" s="59"/>
      <c r="Q1504" s="104"/>
    </row>
    <row r="1505" ht="25.5" customHeight="1">
      <c r="A1505" s="110"/>
      <c r="B1505" s="111"/>
      <c r="C1505" s="96"/>
      <c r="D1505" s="112"/>
      <c r="E1505" s="112"/>
      <c r="F1505" s="112"/>
      <c r="G1505" s="113"/>
      <c r="H1505" s="111"/>
      <c r="I1505" s="103"/>
      <c r="J1505" s="103"/>
      <c r="K1505" s="103"/>
      <c r="L1505" s="108"/>
      <c r="M1505" s="103"/>
      <c r="N1505" s="103"/>
      <c r="O1505" s="114"/>
      <c r="P1505" s="110"/>
      <c r="Q1505" s="111"/>
    </row>
    <row r="1506" ht="25.5" customHeight="1">
      <c r="A1506" s="59"/>
      <c r="B1506" s="104"/>
      <c r="C1506" s="96"/>
      <c r="D1506" s="105"/>
      <c r="E1506" s="105"/>
      <c r="F1506" s="105"/>
      <c r="G1506" s="106"/>
      <c r="H1506" s="104"/>
      <c r="I1506" s="107"/>
      <c r="J1506" s="107"/>
      <c r="K1506" s="107"/>
      <c r="L1506" s="108"/>
      <c r="M1506" s="107"/>
      <c r="N1506" s="107"/>
      <c r="O1506" s="109"/>
      <c r="P1506" s="59"/>
      <c r="Q1506" s="104"/>
    </row>
    <row r="1507" ht="25.5" customHeight="1">
      <c r="A1507" s="110"/>
      <c r="B1507" s="111"/>
      <c r="C1507" s="96"/>
      <c r="D1507" s="112"/>
      <c r="E1507" s="112"/>
      <c r="F1507" s="112"/>
      <c r="G1507" s="113"/>
      <c r="H1507" s="111"/>
      <c r="I1507" s="103"/>
      <c r="J1507" s="103"/>
      <c r="K1507" s="103"/>
      <c r="L1507" s="108"/>
      <c r="M1507" s="103"/>
      <c r="N1507" s="103"/>
      <c r="O1507" s="114"/>
      <c r="P1507" s="110"/>
      <c r="Q1507" s="111"/>
    </row>
    <row r="1508" ht="25.5" customHeight="1">
      <c r="A1508" s="59"/>
      <c r="B1508" s="104"/>
      <c r="C1508" s="96"/>
      <c r="D1508" s="105"/>
      <c r="E1508" s="105"/>
      <c r="F1508" s="105"/>
      <c r="G1508" s="106"/>
      <c r="H1508" s="104"/>
      <c r="I1508" s="107"/>
      <c r="J1508" s="107"/>
      <c r="K1508" s="107"/>
      <c r="L1508" s="108"/>
      <c r="M1508" s="107"/>
      <c r="N1508" s="107"/>
      <c r="O1508" s="109"/>
      <c r="P1508" s="59"/>
      <c r="Q1508" s="104"/>
    </row>
    <row r="1509" ht="25.5" customHeight="1">
      <c r="A1509" s="110"/>
      <c r="B1509" s="111"/>
      <c r="C1509" s="96"/>
      <c r="D1509" s="112"/>
      <c r="E1509" s="112"/>
      <c r="F1509" s="112"/>
      <c r="G1509" s="113"/>
      <c r="H1509" s="111"/>
      <c r="I1509" s="103"/>
      <c r="J1509" s="103"/>
      <c r="K1509" s="103"/>
      <c r="L1509" s="108"/>
      <c r="M1509" s="103"/>
      <c r="N1509" s="103"/>
      <c r="O1509" s="114"/>
      <c r="P1509" s="110"/>
      <c r="Q1509" s="111"/>
    </row>
    <row r="1510" ht="25.5" customHeight="1">
      <c r="A1510" s="59"/>
      <c r="B1510" s="104"/>
      <c r="C1510" s="96"/>
      <c r="D1510" s="105"/>
      <c r="E1510" s="105"/>
      <c r="F1510" s="105"/>
      <c r="G1510" s="106"/>
      <c r="H1510" s="104"/>
      <c r="I1510" s="107"/>
      <c r="J1510" s="107"/>
      <c r="K1510" s="107"/>
      <c r="L1510" s="108"/>
      <c r="M1510" s="107"/>
      <c r="N1510" s="107"/>
      <c r="O1510" s="109"/>
      <c r="P1510" s="59"/>
      <c r="Q1510" s="104"/>
    </row>
    <row r="1511" ht="25.5" customHeight="1">
      <c r="A1511" s="110"/>
      <c r="B1511" s="111"/>
      <c r="C1511" s="96"/>
      <c r="D1511" s="112"/>
      <c r="E1511" s="112"/>
      <c r="F1511" s="112"/>
      <c r="G1511" s="113"/>
      <c r="H1511" s="111"/>
      <c r="I1511" s="103"/>
      <c r="J1511" s="103"/>
      <c r="K1511" s="103"/>
      <c r="L1511" s="108"/>
      <c r="M1511" s="103"/>
      <c r="N1511" s="103"/>
      <c r="O1511" s="114"/>
      <c r="P1511" s="110"/>
      <c r="Q1511" s="111"/>
    </row>
    <row r="1512" ht="25.5" customHeight="1">
      <c r="A1512" s="59"/>
      <c r="B1512" s="104"/>
      <c r="C1512" s="96"/>
      <c r="D1512" s="105"/>
      <c r="E1512" s="105"/>
      <c r="F1512" s="105"/>
      <c r="G1512" s="106"/>
      <c r="H1512" s="104"/>
      <c r="I1512" s="107"/>
      <c r="J1512" s="107"/>
      <c r="K1512" s="107"/>
      <c r="L1512" s="108"/>
      <c r="M1512" s="107"/>
      <c r="N1512" s="107"/>
      <c r="O1512" s="109"/>
      <c r="P1512" s="59"/>
      <c r="Q1512" s="104"/>
    </row>
    <row r="1513" ht="25.5" customHeight="1">
      <c r="A1513" s="110"/>
      <c r="B1513" s="111"/>
      <c r="C1513" s="96"/>
      <c r="D1513" s="112"/>
      <c r="E1513" s="112"/>
      <c r="F1513" s="112"/>
      <c r="G1513" s="113"/>
      <c r="H1513" s="111"/>
      <c r="I1513" s="103"/>
      <c r="J1513" s="103"/>
      <c r="K1513" s="103"/>
      <c r="L1513" s="108"/>
      <c r="M1513" s="103"/>
      <c r="N1513" s="103"/>
      <c r="O1513" s="114"/>
      <c r="P1513" s="110"/>
      <c r="Q1513" s="111"/>
    </row>
    <row r="1514" ht="25.5" customHeight="1">
      <c r="A1514" s="59"/>
      <c r="B1514" s="104"/>
      <c r="C1514" s="96"/>
      <c r="D1514" s="105"/>
      <c r="E1514" s="105"/>
      <c r="F1514" s="105"/>
      <c r="G1514" s="106"/>
      <c r="H1514" s="104"/>
      <c r="I1514" s="107"/>
      <c r="J1514" s="107"/>
      <c r="K1514" s="107"/>
      <c r="L1514" s="108"/>
      <c r="M1514" s="107"/>
      <c r="N1514" s="107"/>
      <c r="O1514" s="109"/>
      <c r="P1514" s="59"/>
      <c r="Q1514" s="104"/>
    </row>
    <row r="1515" ht="25.5" customHeight="1">
      <c r="A1515" s="110"/>
      <c r="B1515" s="111"/>
      <c r="C1515" s="96"/>
      <c r="D1515" s="112"/>
      <c r="E1515" s="112"/>
      <c r="F1515" s="112"/>
      <c r="G1515" s="113"/>
      <c r="H1515" s="111"/>
      <c r="I1515" s="103"/>
      <c r="J1515" s="103"/>
      <c r="K1515" s="103"/>
      <c r="L1515" s="108"/>
      <c r="M1515" s="103"/>
      <c r="N1515" s="103"/>
      <c r="O1515" s="114"/>
      <c r="P1515" s="110"/>
      <c r="Q1515" s="111"/>
    </row>
    <row r="1516" ht="25.5" customHeight="1">
      <c r="A1516" s="59"/>
      <c r="B1516" s="104"/>
      <c r="C1516" s="96"/>
      <c r="D1516" s="105"/>
      <c r="E1516" s="105"/>
      <c r="F1516" s="105"/>
      <c r="G1516" s="106"/>
      <c r="H1516" s="104"/>
      <c r="I1516" s="107"/>
      <c r="J1516" s="107"/>
      <c r="K1516" s="107"/>
      <c r="L1516" s="108"/>
      <c r="M1516" s="107"/>
      <c r="N1516" s="107"/>
      <c r="O1516" s="109"/>
      <c r="P1516" s="59"/>
      <c r="Q1516" s="104"/>
    </row>
    <row r="1517" ht="25.5" customHeight="1">
      <c r="A1517" s="110"/>
      <c r="B1517" s="111"/>
      <c r="C1517" s="96"/>
      <c r="D1517" s="112"/>
      <c r="E1517" s="112"/>
      <c r="F1517" s="112"/>
      <c r="G1517" s="113"/>
      <c r="H1517" s="111"/>
      <c r="I1517" s="103"/>
      <c r="J1517" s="103"/>
      <c r="K1517" s="103"/>
      <c r="L1517" s="108"/>
      <c r="M1517" s="103"/>
      <c r="N1517" s="103"/>
      <c r="O1517" s="114"/>
      <c r="P1517" s="110"/>
      <c r="Q1517" s="111"/>
    </row>
    <row r="1518" ht="25.5" customHeight="1">
      <c r="A1518" s="59"/>
      <c r="B1518" s="104"/>
      <c r="C1518" s="96"/>
      <c r="D1518" s="105"/>
      <c r="E1518" s="105"/>
      <c r="F1518" s="105"/>
      <c r="G1518" s="106"/>
      <c r="H1518" s="104"/>
      <c r="I1518" s="107"/>
      <c r="J1518" s="107"/>
      <c r="K1518" s="107"/>
      <c r="L1518" s="108"/>
      <c r="M1518" s="107"/>
      <c r="N1518" s="107"/>
      <c r="O1518" s="109"/>
      <c r="P1518" s="59"/>
      <c r="Q1518" s="104"/>
    </row>
    <row r="1519" ht="25.5" customHeight="1">
      <c r="A1519" s="110"/>
      <c r="B1519" s="111"/>
      <c r="C1519" s="96"/>
      <c r="D1519" s="112"/>
      <c r="E1519" s="112"/>
      <c r="F1519" s="112"/>
      <c r="G1519" s="113"/>
      <c r="H1519" s="111"/>
      <c r="I1519" s="103"/>
      <c r="J1519" s="103"/>
      <c r="K1519" s="103"/>
      <c r="L1519" s="108"/>
      <c r="M1519" s="103"/>
      <c r="N1519" s="103"/>
      <c r="O1519" s="114"/>
      <c r="P1519" s="110"/>
      <c r="Q1519" s="111"/>
    </row>
    <row r="1520" ht="25.5" customHeight="1">
      <c r="A1520" s="59"/>
      <c r="B1520" s="104"/>
      <c r="C1520" s="96"/>
      <c r="D1520" s="105"/>
      <c r="E1520" s="105"/>
      <c r="F1520" s="105"/>
      <c r="G1520" s="106"/>
      <c r="H1520" s="104"/>
      <c r="I1520" s="107"/>
      <c r="J1520" s="107"/>
      <c r="K1520" s="107"/>
      <c r="L1520" s="108"/>
      <c r="M1520" s="107"/>
      <c r="N1520" s="107"/>
      <c r="O1520" s="109"/>
      <c r="P1520" s="59"/>
      <c r="Q1520" s="104"/>
    </row>
    <row r="1521" ht="25.5" customHeight="1">
      <c r="A1521" s="110"/>
      <c r="B1521" s="111"/>
      <c r="C1521" s="96"/>
      <c r="D1521" s="112"/>
      <c r="E1521" s="112"/>
      <c r="F1521" s="112"/>
      <c r="G1521" s="113"/>
      <c r="H1521" s="111"/>
      <c r="I1521" s="103"/>
      <c r="J1521" s="103"/>
      <c r="K1521" s="103"/>
      <c r="L1521" s="108"/>
      <c r="M1521" s="103"/>
      <c r="N1521" s="103"/>
      <c r="O1521" s="114"/>
      <c r="P1521" s="110"/>
      <c r="Q1521" s="111"/>
    </row>
    <row r="1522" ht="25.5" customHeight="1">
      <c r="A1522" s="59"/>
      <c r="B1522" s="104"/>
      <c r="C1522" s="96"/>
      <c r="D1522" s="105"/>
      <c r="E1522" s="105"/>
      <c r="F1522" s="105"/>
      <c r="G1522" s="106"/>
      <c r="H1522" s="104"/>
      <c r="I1522" s="107"/>
      <c r="J1522" s="107"/>
      <c r="K1522" s="107"/>
      <c r="L1522" s="108"/>
      <c r="M1522" s="107"/>
      <c r="N1522" s="107"/>
      <c r="O1522" s="109"/>
      <c r="P1522" s="59"/>
      <c r="Q1522" s="104"/>
    </row>
    <row r="1523" ht="25.5" customHeight="1">
      <c r="A1523" s="110"/>
      <c r="B1523" s="111"/>
      <c r="C1523" s="96"/>
      <c r="D1523" s="112"/>
      <c r="E1523" s="112"/>
      <c r="F1523" s="112"/>
      <c r="G1523" s="113"/>
      <c r="H1523" s="111"/>
      <c r="I1523" s="103"/>
      <c r="J1523" s="103"/>
      <c r="K1523" s="103"/>
      <c r="L1523" s="108"/>
      <c r="M1523" s="103"/>
      <c r="N1523" s="103"/>
      <c r="O1523" s="114"/>
      <c r="P1523" s="110"/>
      <c r="Q1523" s="111"/>
    </row>
    <row r="1524" ht="25.5" customHeight="1">
      <c r="A1524" s="59"/>
      <c r="B1524" s="104"/>
      <c r="C1524" s="96"/>
      <c r="D1524" s="105"/>
      <c r="E1524" s="105"/>
      <c r="F1524" s="105"/>
      <c r="G1524" s="106"/>
      <c r="H1524" s="104"/>
      <c r="I1524" s="107"/>
      <c r="J1524" s="107"/>
      <c r="K1524" s="107"/>
      <c r="L1524" s="108"/>
      <c r="M1524" s="107"/>
      <c r="N1524" s="107"/>
      <c r="O1524" s="109"/>
      <c r="P1524" s="59"/>
      <c r="Q1524" s="104"/>
    </row>
    <row r="1525" ht="25.5" customHeight="1">
      <c r="A1525" s="110"/>
      <c r="B1525" s="111"/>
      <c r="C1525" s="96"/>
      <c r="D1525" s="112"/>
      <c r="E1525" s="112"/>
      <c r="F1525" s="112"/>
      <c r="G1525" s="113"/>
      <c r="H1525" s="111"/>
      <c r="I1525" s="103"/>
      <c r="J1525" s="103"/>
      <c r="K1525" s="103"/>
      <c r="L1525" s="108"/>
      <c r="M1525" s="103"/>
      <c r="N1525" s="103"/>
      <c r="O1525" s="114"/>
      <c r="P1525" s="110"/>
      <c r="Q1525" s="111"/>
    </row>
    <row r="1526" ht="25.5" customHeight="1">
      <c r="A1526" s="59"/>
      <c r="B1526" s="104"/>
      <c r="C1526" s="96"/>
      <c r="D1526" s="105"/>
      <c r="E1526" s="105"/>
      <c r="F1526" s="105"/>
      <c r="G1526" s="106"/>
      <c r="H1526" s="104"/>
      <c r="I1526" s="107"/>
      <c r="J1526" s="107"/>
      <c r="K1526" s="107"/>
      <c r="L1526" s="108"/>
      <c r="M1526" s="107"/>
      <c r="N1526" s="107"/>
      <c r="O1526" s="109"/>
      <c r="P1526" s="59"/>
      <c r="Q1526" s="104"/>
    </row>
    <row r="1527" ht="25.5" customHeight="1">
      <c r="A1527" s="110"/>
      <c r="B1527" s="111"/>
      <c r="C1527" s="96"/>
      <c r="D1527" s="112"/>
      <c r="E1527" s="112"/>
      <c r="F1527" s="112"/>
      <c r="G1527" s="113"/>
      <c r="H1527" s="111"/>
      <c r="I1527" s="103"/>
      <c r="J1527" s="103"/>
      <c r="K1527" s="103"/>
      <c r="L1527" s="108"/>
      <c r="M1527" s="103"/>
      <c r="N1527" s="103"/>
      <c r="O1527" s="114"/>
      <c r="P1527" s="110"/>
      <c r="Q1527" s="111"/>
    </row>
    <row r="1528" ht="25.5" customHeight="1">
      <c r="A1528" s="59"/>
      <c r="B1528" s="104"/>
      <c r="C1528" s="96"/>
      <c r="D1528" s="105"/>
      <c r="E1528" s="105"/>
      <c r="F1528" s="105"/>
      <c r="G1528" s="106"/>
      <c r="H1528" s="104"/>
      <c r="I1528" s="107"/>
      <c r="J1528" s="107"/>
      <c r="K1528" s="107"/>
      <c r="L1528" s="108"/>
      <c r="M1528" s="107"/>
      <c r="N1528" s="107"/>
      <c r="O1528" s="109"/>
      <c r="P1528" s="59"/>
      <c r="Q1528" s="104"/>
    </row>
    <row r="1529" ht="25.5" customHeight="1">
      <c r="A1529" s="110"/>
      <c r="B1529" s="111"/>
      <c r="C1529" s="96"/>
      <c r="D1529" s="112"/>
      <c r="E1529" s="112"/>
      <c r="F1529" s="112"/>
      <c r="G1529" s="113"/>
      <c r="H1529" s="111"/>
      <c r="I1529" s="103"/>
      <c r="J1529" s="103"/>
      <c r="K1529" s="103"/>
      <c r="L1529" s="108"/>
      <c r="M1529" s="103"/>
      <c r="N1529" s="103"/>
      <c r="O1529" s="114"/>
      <c r="P1529" s="110"/>
      <c r="Q1529" s="111"/>
    </row>
    <row r="1530" ht="25.5" customHeight="1">
      <c r="A1530" s="59"/>
      <c r="B1530" s="104"/>
      <c r="C1530" s="96"/>
      <c r="D1530" s="105"/>
      <c r="E1530" s="105"/>
      <c r="F1530" s="105"/>
      <c r="G1530" s="106"/>
      <c r="H1530" s="104"/>
      <c r="I1530" s="107"/>
      <c r="J1530" s="107"/>
      <c r="K1530" s="107"/>
      <c r="L1530" s="108"/>
      <c r="M1530" s="107"/>
      <c r="N1530" s="107"/>
      <c r="O1530" s="109"/>
      <c r="P1530" s="59"/>
      <c r="Q1530" s="104"/>
    </row>
    <row r="1531" ht="25.5" customHeight="1">
      <c r="A1531" s="110"/>
      <c r="B1531" s="111"/>
      <c r="C1531" s="96"/>
      <c r="D1531" s="112"/>
      <c r="E1531" s="112"/>
      <c r="F1531" s="112"/>
      <c r="G1531" s="113"/>
      <c r="H1531" s="111"/>
      <c r="I1531" s="103"/>
      <c r="J1531" s="103"/>
      <c r="K1531" s="103"/>
      <c r="L1531" s="108"/>
      <c r="M1531" s="103"/>
      <c r="N1531" s="103"/>
      <c r="O1531" s="114"/>
      <c r="P1531" s="110"/>
      <c r="Q1531" s="111"/>
    </row>
    <row r="1532" ht="25.5" customHeight="1">
      <c r="A1532" s="59"/>
      <c r="B1532" s="104"/>
      <c r="C1532" s="96"/>
      <c r="D1532" s="105"/>
      <c r="E1532" s="105"/>
      <c r="F1532" s="105"/>
      <c r="G1532" s="106"/>
      <c r="H1532" s="104"/>
      <c r="I1532" s="107"/>
      <c r="J1532" s="107"/>
      <c r="K1532" s="107"/>
      <c r="L1532" s="108"/>
      <c r="M1532" s="107"/>
      <c r="N1532" s="107"/>
      <c r="O1532" s="109"/>
      <c r="P1532" s="59"/>
      <c r="Q1532" s="104"/>
    </row>
    <row r="1533" ht="25.5" customHeight="1">
      <c r="A1533" s="110"/>
      <c r="B1533" s="111"/>
      <c r="C1533" s="96"/>
      <c r="D1533" s="112"/>
      <c r="E1533" s="112"/>
      <c r="F1533" s="112"/>
      <c r="G1533" s="113"/>
      <c r="H1533" s="111"/>
      <c r="I1533" s="103"/>
      <c r="J1533" s="103"/>
      <c r="K1533" s="103"/>
      <c r="L1533" s="108"/>
      <c r="M1533" s="103"/>
      <c r="N1533" s="103"/>
      <c r="O1533" s="114"/>
      <c r="P1533" s="110"/>
      <c r="Q1533" s="111"/>
    </row>
    <row r="1534" ht="25.5" customHeight="1">
      <c r="A1534" s="59"/>
      <c r="B1534" s="104"/>
      <c r="C1534" s="96"/>
      <c r="D1534" s="105"/>
      <c r="E1534" s="105"/>
      <c r="F1534" s="105"/>
      <c r="G1534" s="106"/>
      <c r="H1534" s="104"/>
      <c r="I1534" s="107"/>
      <c r="J1534" s="107"/>
      <c r="K1534" s="107"/>
      <c r="L1534" s="108"/>
      <c r="M1534" s="107"/>
      <c r="N1534" s="107"/>
      <c r="O1534" s="109"/>
      <c r="P1534" s="59"/>
      <c r="Q1534" s="104"/>
    </row>
    <row r="1535" ht="25.5" customHeight="1">
      <c r="A1535" s="110"/>
      <c r="B1535" s="111"/>
      <c r="C1535" s="96"/>
      <c r="D1535" s="112"/>
      <c r="E1535" s="112"/>
      <c r="F1535" s="112"/>
      <c r="G1535" s="113"/>
      <c r="H1535" s="111"/>
      <c r="I1535" s="103"/>
      <c r="J1535" s="103"/>
      <c r="K1535" s="103"/>
      <c r="L1535" s="108"/>
      <c r="M1535" s="103"/>
      <c r="N1535" s="103"/>
      <c r="O1535" s="114"/>
      <c r="P1535" s="110"/>
      <c r="Q1535" s="111"/>
    </row>
    <row r="1536" ht="25.5" customHeight="1">
      <c r="A1536" s="59"/>
      <c r="B1536" s="104"/>
      <c r="C1536" s="96"/>
      <c r="D1536" s="105"/>
      <c r="E1536" s="105"/>
      <c r="F1536" s="105"/>
      <c r="G1536" s="106"/>
      <c r="H1536" s="104"/>
      <c r="I1536" s="107"/>
      <c r="J1536" s="107"/>
      <c r="K1536" s="107"/>
      <c r="L1536" s="108"/>
      <c r="M1536" s="107"/>
      <c r="N1536" s="107"/>
      <c r="O1536" s="109"/>
      <c r="P1536" s="59"/>
      <c r="Q1536" s="104"/>
    </row>
    <row r="1537" ht="25.5" customHeight="1">
      <c r="A1537" s="110"/>
      <c r="B1537" s="111"/>
      <c r="C1537" s="96"/>
      <c r="D1537" s="112"/>
      <c r="E1537" s="112"/>
      <c r="F1537" s="112"/>
      <c r="G1537" s="113"/>
      <c r="H1537" s="111"/>
      <c r="I1537" s="103"/>
      <c r="J1537" s="103"/>
      <c r="K1537" s="103"/>
      <c r="L1537" s="108"/>
      <c r="M1537" s="103"/>
      <c r="N1537" s="103"/>
      <c r="O1537" s="114"/>
      <c r="P1537" s="110"/>
      <c r="Q1537" s="111"/>
    </row>
    <row r="1538" ht="25.5" customHeight="1">
      <c r="A1538" s="59"/>
      <c r="B1538" s="104"/>
      <c r="C1538" s="96"/>
      <c r="D1538" s="105"/>
      <c r="E1538" s="105"/>
      <c r="F1538" s="105"/>
      <c r="G1538" s="106"/>
      <c r="H1538" s="104"/>
      <c r="I1538" s="107"/>
      <c r="J1538" s="107"/>
      <c r="K1538" s="107"/>
      <c r="L1538" s="108"/>
      <c r="M1538" s="107"/>
      <c r="N1538" s="107"/>
      <c r="O1538" s="109"/>
      <c r="P1538" s="59"/>
      <c r="Q1538" s="104"/>
    </row>
    <row r="1539" ht="25.5" customHeight="1">
      <c r="A1539" s="110"/>
      <c r="B1539" s="111"/>
      <c r="C1539" s="96"/>
      <c r="D1539" s="112"/>
      <c r="E1539" s="112"/>
      <c r="F1539" s="112"/>
      <c r="G1539" s="113"/>
      <c r="H1539" s="111"/>
      <c r="I1539" s="103"/>
      <c r="J1539" s="103"/>
      <c r="K1539" s="103"/>
      <c r="L1539" s="108"/>
      <c r="M1539" s="103"/>
      <c r="N1539" s="103"/>
      <c r="O1539" s="114"/>
      <c r="P1539" s="110"/>
      <c r="Q1539" s="111"/>
    </row>
    <row r="1540" ht="25.5" customHeight="1">
      <c r="A1540" s="59"/>
      <c r="B1540" s="104"/>
      <c r="C1540" s="96"/>
      <c r="D1540" s="105"/>
      <c r="E1540" s="105"/>
      <c r="F1540" s="105"/>
      <c r="G1540" s="106"/>
      <c r="H1540" s="104"/>
      <c r="I1540" s="107"/>
      <c r="J1540" s="107"/>
      <c r="K1540" s="107"/>
      <c r="L1540" s="108"/>
      <c r="M1540" s="107"/>
      <c r="N1540" s="107"/>
      <c r="O1540" s="109"/>
      <c r="P1540" s="59"/>
      <c r="Q1540" s="104"/>
    </row>
    <row r="1541" ht="25.5" customHeight="1">
      <c r="A1541" s="110"/>
      <c r="B1541" s="111"/>
      <c r="C1541" s="96"/>
      <c r="D1541" s="112"/>
      <c r="E1541" s="112"/>
      <c r="F1541" s="112"/>
      <c r="G1541" s="113"/>
      <c r="H1541" s="111"/>
      <c r="I1541" s="103"/>
      <c r="J1541" s="103"/>
      <c r="K1541" s="103"/>
      <c r="L1541" s="108"/>
      <c r="M1541" s="103"/>
      <c r="N1541" s="103"/>
      <c r="O1541" s="114"/>
      <c r="P1541" s="110"/>
      <c r="Q1541" s="111"/>
    </row>
    <row r="1542" ht="25.5" customHeight="1">
      <c r="A1542" s="59"/>
      <c r="B1542" s="104"/>
      <c r="C1542" s="96"/>
      <c r="D1542" s="105"/>
      <c r="E1542" s="105"/>
      <c r="F1542" s="105"/>
      <c r="G1542" s="106"/>
      <c r="H1542" s="104"/>
      <c r="I1542" s="107"/>
      <c r="J1542" s="107"/>
      <c r="K1542" s="107"/>
      <c r="L1542" s="108"/>
      <c r="M1542" s="107"/>
      <c r="N1542" s="107"/>
      <c r="O1542" s="109"/>
      <c r="P1542" s="59"/>
      <c r="Q1542" s="104"/>
    </row>
    <row r="1543" ht="25.5" customHeight="1">
      <c r="A1543" s="110"/>
      <c r="B1543" s="111"/>
      <c r="C1543" s="96"/>
      <c r="D1543" s="112"/>
      <c r="E1543" s="112"/>
      <c r="F1543" s="112"/>
      <c r="G1543" s="113"/>
      <c r="H1543" s="111"/>
      <c r="I1543" s="103"/>
      <c r="J1543" s="103"/>
      <c r="K1543" s="103"/>
      <c r="L1543" s="108"/>
      <c r="M1543" s="103"/>
      <c r="N1543" s="103"/>
      <c r="O1543" s="114"/>
      <c r="P1543" s="110"/>
      <c r="Q1543" s="111"/>
    </row>
    <row r="1544" ht="25.5" customHeight="1">
      <c r="A1544" s="59"/>
      <c r="B1544" s="104"/>
      <c r="C1544" s="96"/>
      <c r="D1544" s="105"/>
      <c r="E1544" s="105"/>
      <c r="F1544" s="105"/>
      <c r="G1544" s="106"/>
      <c r="H1544" s="104"/>
      <c r="I1544" s="107"/>
      <c r="J1544" s="107"/>
      <c r="K1544" s="107"/>
      <c r="L1544" s="108"/>
      <c r="M1544" s="107"/>
      <c r="N1544" s="107"/>
      <c r="O1544" s="109"/>
      <c r="P1544" s="59"/>
      <c r="Q1544" s="104"/>
    </row>
    <row r="1545" ht="25.5" customHeight="1">
      <c r="A1545" s="110"/>
      <c r="B1545" s="111"/>
      <c r="C1545" s="96"/>
      <c r="D1545" s="112"/>
      <c r="E1545" s="112"/>
      <c r="F1545" s="112"/>
      <c r="G1545" s="113"/>
      <c r="H1545" s="111"/>
      <c r="I1545" s="103"/>
      <c r="J1545" s="103"/>
      <c r="K1545" s="103"/>
      <c r="L1545" s="108"/>
      <c r="M1545" s="103"/>
      <c r="N1545" s="103"/>
      <c r="O1545" s="114"/>
      <c r="P1545" s="110"/>
      <c r="Q1545" s="111"/>
    </row>
    <row r="1546" ht="25.5" customHeight="1">
      <c r="A1546" s="59"/>
      <c r="B1546" s="104"/>
      <c r="C1546" s="96"/>
      <c r="D1546" s="105"/>
      <c r="E1546" s="105"/>
      <c r="F1546" s="105"/>
      <c r="G1546" s="106"/>
      <c r="H1546" s="104"/>
      <c r="I1546" s="107"/>
      <c r="J1546" s="107"/>
      <c r="K1546" s="107"/>
      <c r="L1546" s="108"/>
      <c r="M1546" s="107"/>
      <c r="N1546" s="107"/>
      <c r="O1546" s="109"/>
      <c r="P1546" s="59"/>
      <c r="Q1546" s="104"/>
    </row>
    <row r="1547" ht="25.5" customHeight="1">
      <c r="A1547" s="110"/>
      <c r="B1547" s="111"/>
      <c r="C1547" s="96"/>
      <c r="D1547" s="112"/>
      <c r="E1547" s="112"/>
      <c r="F1547" s="112"/>
      <c r="G1547" s="113"/>
      <c r="H1547" s="111"/>
      <c r="I1547" s="103"/>
      <c r="J1547" s="103"/>
      <c r="K1547" s="103"/>
      <c r="L1547" s="108"/>
      <c r="M1547" s="103"/>
      <c r="N1547" s="103"/>
      <c r="O1547" s="114"/>
      <c r="P1547" s="110"/>
      <c r="Q1547" s="111"/>
    </row>
    <row r="1548" ht="25.5" customHeight="1">
      <c r="A1548" s="59"/>
      <c r="B1548" s="104"/>
      <c r="C1548" s="96"/>
      <c r="D1548" s="105"/>
      <c r="E1548" s="105"/>
      <c r="F1548" s="105"/>
      <c r="G1548" s="106"/>
      <c r="H1548" s="104"/>
      <c r="I1548" s="107"/>
      <c r="J1548" s="107"/>
      <c r="K1548" s="107"/>
      <c r="L1548" s="108"/>
      <c r="M1548" s="107"/>
      <c r="N1548" s="107"/>
      <c r="O1548" s="109"/>
      <c r="P1548" s="59"/>
      <c r="Q1548" s="104"/>
    </row>
    <row r="1549" ht="25.5" customHeight="1">
      <c r="A1549" s="110"/>
      <c r="B1549" s="111"/>
      <c r="C1549" s="96"/>
      <c r="D1549" s="112"/>
      <c r="E1549" s="112"/>
      <c r="F1549" s="112"/>
      <c r="G1549" s="113"/>
      <c r="H1549" s="111"/>
      <c r="I1549" s="103"/>
      <c r="J1549" s="103"/>
      <c r="K1549" s="103"/>
      <c r="L1549" s="108"/>
      <c r="M1549" s="103"/>
      <c r="N1549" s="103"/>
      <c r="O1549" s="114"/>
      <c r="P1549" s="110"/>
      <c r="Q1549" s="111"/>
    </row>
    <row r="1550" ht="25.5" customHeight="1">
      <c r="A1550" s="59"/>
      <c r="B1550" s="104"/>
      <c r="C1550" s="96"/>
      <c r="D1550" s="105"/>
      <c r="E1550" s="105"/>
      <c r="F1550" s="105"/>
      <c r="G1550" s="106"/>
      <c r="H1550" s="104"/>
      <c r="I1550" s="107"/>
      <c r="J1550" s="107"/>
      <c r="K1550" s="107"/>
      <c r="L1550" s="108"/>
      <c r="M1550" s="107"/>
      <c r="N1550" s="107"/>
      <c r="O1550" s="109"/>
      <c r="P1550" s="59"/>
      <c r="Q1550" s="104"/>
    </row>
    <row r="1551" ht="25.5" customHeight="1">
      <c r="A1551" s="110"/>
      <c r="B1551" s="111"/>
      <c r="C1551" s="96"/>
      <c r="D1551" s="112"/>
      <c r="E1551" s="112"/>
      <c r="F1551" s="112"/>
      <c r="G1551" s="113"/>
      <c r="H1551" s="111"/>
      <c r="I1551" s="103"/>
      <c r="J1551" s="103"/>
      <c r="K1551" s="103"/>
      <c r="L1551" s="108"/>
      <c r="M1551" s="103"/>
      <c r="N1551" s="103"/>
      <c r="O1551" s="114"/>
      <c r="P1551" s="110"/>
      <c r="Q1551" s="111"/>
    </row>
    <row r="1552" ht="25.5" customHeight="1">
      <c r="A1552" s="59"/>
      <c r="B1552" s="104"/>
      <c r="C1552" s="96"/>
      <c r="D1552" s="105"/>
      <c r="E1552" s="105"/>
      <c r="F1552" s="105"/>
      <c r="G1552" s="106"/>
      <c r="H1552" s="104"/>
      <c r="I1552" s="107"/>
      <c r="J1552" s="107"/>
      <c r="K1552" s="107"/>
      <c r="L1552" s="108"/>
      <c r="M1552" s="107"/>
      <c r="N1552" s="107"/>
      <c r="O1552" s="109"/>
      <c r="P1552" s="59"/>
      <c r="Q1552" s="104"/>
    </row>
    <row r="1553" ht="25.5" customHeight="1">
      <c r="A1553" s="110"/>
      <c r="B1553" s="111"/>
      <c r="C1553" s="96"/>
      <c r="D1553" s="112"/>
      <c r="E1553" s="112"/>
      <c r="F1553" s="112"/>
      <c r="G1553" s="113"/>
      <c r="H1553" s="111"/>
      <c r="I1553" s="103"/>
      <c r="J1553" s="103"/>
      <c r="K1553" s="103"/>
      <c r="L1553" s="108"/>
      <c r="M1553" s="103"/>
      <c r="N1553" s="103"/>
      <c r="O1553" s="114"/>
      <c r="P1553" s="110"/>
      <c r="Q1553" s="111"/>
    </row>
    <row r="1554" ht="25.5" customHeight="1">
      <c r="A1554" s="59"/>
      <c r="B1554" s="104"/>
      <c r="C1554" s="96"/>
      <c r="D1554" s="105"/>
      <c r="E1554" s="105"/>
      <c r="F1554" s="105"/>
      <c r="G1554" s="106"/>
      <c r="H1554" s="104"/>
      <c r="I1554" s="107"/>
      <c r="J1554" s="107"/>
      <c r="K1554" s="107"/>
      <c r="L1554" s="108"/>
      <c r="M1554" s="107"/>
      <c r="N1554" s="107"/>
      <c r="O1554" s="109"/>
      <c r="P1554" s="59"/>
      <c r="Q1554" s="104"/>
    </row>
    <row r="1555" ht="25.5" customHeight="1">
      <c r="A1555" s="110"/>
      <c r="B1555" s="111"/>
      <c r="C1555" s="96"/>
      <c r="D1555" s="112"/>
      <c r="E1555" s="112"/>
      <c r="F1555" s="112"/>
      <c r="G1555" s="113"/>
      <c r="H1555" s="111"/>
      <c r="I1555" s="103"/>
      <c r="J1555" s="103"/>
      <c r="K1555" s="103"/>
      <c r="L1555" s="108"/>
      <c r="M1555" s="103"/>
      <c r="N1555" s="103"/>
      <c r="O1555" s="114"/>
      <c r="P1555" s="110"/>
      <c r="Q1555" s="111"/>
    </row>
    <row r="1556" ht="25.5" customHeight="1">
      <c r="A1556" s="59"/>
      <c r="B1556" s="104"/>
      <c r="C1556" s="96"/>
      <c r="D1556" s="105"/>
      <c r="E1556" s="105"/>
      <c r="F1556" s="105"/>
      <c r="G1556" s="106"/>
      <c r="H1556" s="104"/>
      <c r="I1556" s="107"/>
      <c r="J1556" s="107"/>
      <c r="K1556" s="107"/>
      <c r="L1556" s="108"/>
      <c r="M1556" s="107"/>
      <c r="N1556" s="107"/>
      <c r="O1556" s="109"/>
      <c r="P1556" s="59"/>
      <c r="Q1556" s="104"/>
    </row>
    <row r="1557" ht="25.5" customHeight="1">
      <c r="A1557" s="110"/>
      <c r="B1557" s="111"/>
      <c r="C1557" s="96"/>
      <c r="D1557" s="112"/>
      <c r="E1557" s="112"/>
      <c r="F1557" s="112"/>
      <c r="G1557" s="113"/>
      <c r="H1557" s="111"/>
      <c r="I1557" s="103"/>
      <c r="J1557" s="103"/>
      <c r="K1557" s="103"/>
      <c r="L1557" s="108"/>
      <c r="M1557" s="103"/>
      <c r="N1557" s="103"/>
      <c r="O1557" s="114"/>
      <c r="P1557" s="110"/>
      <c r="Q1557" s="111"/>
    </row>
    <row r="1558" ht="25.5" customHeight="1">
      <c r="A1558" s="59"/>
      <c r="B1558" s="104"/>
      <c r="C1558" s="96"/>
      <c r="D1558" s="105"/>
      <c r="E1558" s="105"/>
      <c r="F1558" s="105"/>
      <c r="G1558" s="106"/>
      <c r="H1558" s="104"/>
      <c r="I1558" s="107"/>
      <c r="J1558" s="107"/>
      <c r="K1558" s="107"/>
      <c r="L1558" s="108"/>
      <c r="M1558" s="107"/>
      <c r="N1558" s="107"/>
      <c r="O1558" s="109"/>
      <c r="P1558" s="59"/>
      <c r="Q1558" s="104"/>
    </row>
    <row r="1559" ht="25.5" customHeight="1">
      <c r="A1559" s="110"/>
      <c r="B1559" s="111"/>
      <c r="C1559" s="96"/>
      <c r="D1559" s="112"/>
      <c r="E1559" s="112"/>
      <c r="F1559" s="112"/>
      <c r="G1559" s="113"/>
      <c r="H1559" s="111"/>
      <c r="I1559" s="103"/>
      <c r="J1559" s="103"/>
      <c r="K1559" s="103"/>
      <c r="L1559" s="108"/>
      <c r="M1559" s="103"/>
      <c r="N1559" s="103"/>
      <c r="O1559" s="114"/>
      <c r="P1559" s="110"/>
      <c r="Q1559" s="111"/>
    </row>
    <row r="1560" ht="25.5" customHeight="1">
      <c r="A1560" s="59"/>
      <c r="B1560" s="104"/>
      <c r="C1560" s="96"/>
      <c r="D1560" s="105"/>
      <c r="E1560" s="105"/>
      <c r="F1560" s="105"/>
      <c r="G1560" s="106"/>
      <c r="H1560" s="104"/>
      <c r="I1560" s="107"/>
      <c r="J1560" s="107"/>
      <c r="K1560" s="107"/>
      <c r="L1560" s="108"/>
      <c r="M1560" s="107"/>
      <c r="N1560" s="107"/>
      <c r="O1560" s="109"/>
      <c r="P1560" s="59"/>
      <c r="Q1560" s="104"/>
    </row>
    <row r="1561" ht="25.5" customHeight="1">
      <c r="A1561" s="110"/>
      <c r="B1561" s="111"/>
      <c r="C1561" s="96"/>
      <c r="D1561" s="112"/>
      <c r="E1561" s="112"/>
      <c r="F1561" s="112"/>
      <c r="G1561" s="113"/>
      <c r="H1561" s="111"/>
      <c r="I1561" s="103"/>
      <c r="J1561" s="103"/>
      <c r="K1561" s="103"/>
      <c r="L1561" s="108"/>
      <c r="M1561" s="103"/>
      <c r="N1561" s="103"/>
      <c r="O1561" s="114"/>
      <c r="P1561" s="110"/>
      <c r="Q1561" s="111"/>
    </row>
    <row r="1562" ht="25.5" customHeight="1">
      <c r="A1562" s="59"/>
      <c r="B1562" s="104"/>
      <c r="C1562" s="96"/>
      <c r="D1562" s="105"/>
      <c r="E1562" s="105"/>
      <c r="F1562" s="105"/>
      <c r="G1562" s="106"/>
      <c r="H1562" s="104"/>
      <c r="I1562" s="107"/>
      <c r="J1562" s="107"/>
      <c r="K1562" s="107"/>
      <c r="L1562" s="108"/>
      <c r="M1562" s="107"/>
      <c r="N1562" s="107"/>
      <c r="O1562" s="109"/>
      <c r="P1562" s="59"/>
      <c r="Q1562" s="104"/>
    </row>
    <row r="1563" ht="25.5" customHeight="1">
      <c r="A1563" s="110"/>
      <c r="B1563" s="111"/>
      <c r="C1563" s="96"/>
      <c r="D1563" s="112"/>
      <c r="E1563" s="112"/>
      <c r="F1563" s="112"/>
      <c r="G1563" s="113"/>
      <c r="H1563" s="111"/>
      <c r="I1563" s="103"/>
      <c r="J1563" s="103"/>
      <c r="K1563" s="103"/>
      <c r="L1563" s="108"/>
      <c r="M1563" s="103"/>
      <c r="N1563" s="103"/>
      <c r="O1563" s="114"/>
      <c r="P1563" s="110"/>
      <c r="Q1563" s="111"/>
    </row>
    <row r="1564" ht="25.5" customHeight="1">
      <c r="A1564" s="59"/>
      <c r="B1564" s="104"/>
      <c r="C1564" s="96"/>
      <c r="D1564" s="105"/>
      <c r="E1564" s="105"/>
      <c r="F1564" s="105"/>
      <c r="G1564" s="106"/>
      <c r="H1564" s="104"/>
      <c r="I1564" s="107"/>
      <c r="J1564" s="107"/>
      <c r="K1564" s="107"/>
      <c r="L1564" s="108"/>
      <c r="M1564" s="107"/>
      <c r="N1564" s="107"/>
      <c r="O1564" s="109"/>
      <c r="P1564" s="59"/>
      <c r="Q1564" s="104"/>
    </row>
    <row r="1565" ht="25.5" customHeight="1">
      <c r="A1565" s="110"/>
      <c r="B1565" s="111"/>
      <c r="C1565" s="96"/>
      <c r="D1565" s="112"/>
      <c r="E1565" s="112"/>
      <c r="F1565" s="112"/>
      <c r="G1565" s="113"/>
      <c r="H1565" s="111"/>
      <c r="I1565" s="103"/>
      <c r="J1565" s="103"/>
      <c r="K1565" s="103"/>
      <c r="L1565" s="108"/>
      <c r="M1565" s="103"/>
      <c r="N1565" s="103"/>
      <c r="O1565" s="114"/>
      <c r="P1565" s="110"/>
      <c r="Q1565" s="111"/>
    </row>
    <row r="1566" ht="25.5" customHeight="1">
      <c r="A1566" s="59"/>
      <c r="B1566" s="104"/>
      <c r="C1566" s="96"/>
      <c r="D1566" s="105"/>
      <c r="E1566" s="105"/>
      <c r="F1566" s="105"/>
      <c r="G1566" s="106"/>
      <c r="H1566" s="104"/>
      <c r="I1566" s="107"/>
      <c r="J1566" s="107"/>
      <c r="K1566" s="107"/>
      <c r="L1566" s="108"/>
      <c r="M1566" s="107"/>
      <c r="N1566" s="107"/>
      <c r="O1566" s="109"/>
      <c r="P1566" s="59"/>
      <c r="Q1566" s="104"/>
    </row>
    <row r="1567" ht="25.5" customHeight="1">
      <c r="A1567" s="110"/>
      <c r="B1567" s="111"/>
      <c r="C1567" s="96"/>
      <c r="D1567" s="112"/>
      <c r="E1567" s="112"/>
      <c r="F1567" s="112"/>
      <c r="G1567" s="113"/>
      <c r="H1567" s="111"/>
      <c r="I1567" s="103"/>
      <c r="J1567" s="103"/>
      <c r="K1567" s="103"/>
      <c r="L1567" s="108"/>
      <c r="M1567" s="103"/>
      <c r="N1567" s="103"/>
      <c r="O1567" s="114"/>
      <c r="P1567" s="110"/>
      <c r="Q1567" s="111"/>
    </row>
    <row r="1568" ht="25.5" customHeight="1">
      <c r="A1568" s="59"/>
      <c r="B1568" s="104"/>
      <c r="C1568" s="96"/>
      <c r="D1568" s="105"/>
      <c r="E1568" s="105"/>
      <c r="F1568" s="105"/>
      <c r="G1568" s="106"/>
      <c r="H1568" s="104"/>
      <c r="I1568" s="107"/>
      <c r="J1568" s="107"/>
      <c r="K1568" s="107"/>
      <c r="L1568" s="108"/>
      <c r="M1568" s="107"/>
      <c r="N1568" s="107"/>
      <c r="O1568" s="109"/>
      <c r="P1568" s="59"/>
      <c r="Q1568" s="104"/>
    </row>
    <row r="1569" ht="25.5" customHeight="1">
      <c r="A1569" s="110"/>
      <c r="B1569" s="111"/>
      <c r="C1569" s="96"/>
      <c r="D1569" s="112"/>
      <c r="E1569" s="112"/>
      <c r="F1569" s="112"/>
      <c r="G1569" s="113"/>
      <c r="H1569" s="111"/>
      <c r="I1569" s="103"/>
      <c r="J1569" s="103"/>
      <c r="K1569" s="103"/>
      <c r="L1569" s="108"/>
      <c r="M1569" s="103"/>
      <c r="N1569" s="103"/>
      <c r="O1569" s="114"/>
      <c r="P1569" s="110"/>
      <c r="Q1569" s="111"/>
    </row>
    <row r="1570" ht="25.5" customHeight="1">
      <c r="A1570" s="59"/>
      <c r="B1570" s="104"/>
      <c r="C1570" s="96"/>
      <c r="D1570" s="105"/>
      <c r="E1570" s="105"/>
      <c r="F1570" s="105"/>
      <c r="G1570" s="106"/>
      <c r="H1570" s="104"/>
      <c r="I1570" s="107"/>
      <c r="J1570" s="107"/>
      <c r="K1570" s="107"/>
      <c r="L1570" s="108"/>
      <c r="M1570" s="107"/>
      <c r="N1570" s="107"/>
      <c r="O1570" s="109"/>
      <c r="P1570" s="59"/>
      <c r="Q1570" s="104"/>
    </row>
    <row r="1571" ht="25.5" customHeight="1">
      <c r="A1571" s="110"/>
      <c r="B1571" s="111"/>
      <c r="C1571" s="96"/>
      <c r="D1571" s="112"/>
      <c r="E1571" s="112"/>
      <c r="F1571" s="112"/>
      <c r="G1571" s="113"/>
      <c r="H1571" s="111"/>
      <c r="I1571" s="103"/>
      <c r="J1571" s="103"/>
      <c r="K1571" s="103"/>
      <c r="L1571" s="108"/>
      <c r="M1571" s="103"/>
      <c r="N1571" s="103"/>
      <c r="O1571" s="114"/>
      <c r="P1571" s="110"/>
      <c r="Q1571" s="111"/>
    </row>
    <row r="1572" ht="25.5" customHeight="1">
      <c r="A1572" s="59"/>
      <c r="B1572" s="104"/>
      <c r="C1572" s="96"/>
      <c r="D1572" s="105"/>
      <c r="E1572" s="105"/>
      <c r="F1572" s="105"/>
      <c r="G1572" s="106"/>
      <c r="H1572" s="104"/>
      <c r="I1572" s="107"/>
      <c r="J1572" s="107"/>
      <c r="K1572" s="107"/>
      <c r="L1572" s="108"/>
      <c r="M1572" s="107"/>
      <c r="N1572" s="107"/>
      <c r="O1572" s="109"/>
      <c r="P1572" s="59"/>
      <c r="Q1572" s="104"/>
    </row>
    <row r="1573" ht="25.5" customHeight="1">
      <c r="A1573" s="110"/>
      <c r="B1573" s="111"/>
      <c r="C1573" s="96"/>
      <c r="D1573" s="112"/>
      <c r="E1573" s="112"/>
      <c r="F1573" s="112"/>
      <c r="G1573" s="113"/>
      <c r="H1573" s="111"/>
      <c r="I1573" s="103"/>
      <c r="J1573" s="103"/>
      <c r="K1573" s="103"/>
      <c r="L1573" s="108"/>
      <c r="M1573" s="103"/>
      <c r="N1573" s="103"/>
      <c r="O1573" s="114"/>
      <c r="P1573" s="110"/>
      <c r="Q1573" s="111"/>
    </row>
    <row r="1574" ht="25.5" customHeight="1">
      <c r="A1574" s="59"/>
      <c r="B1574" s="104"/>
      <c r="C1574" s="96"/>
      <c r="D1574" s="105"/>
      <c r="E1574" s="105"/>
      <c r="F1574" s="105"/>
      <c r="G1574" s="106"/>
      <c r="H1574" s="104"/>
      <c r="I1574" s="107"/>
      <c r="J1574" s="107"/>
      <c r="K1574" s="107"/>
      <c r="L1574" s="108"/>
      <c r="M1574" s="107"/>
      <c r="N1574" s="107"/>
      <c r="O1574" s="109"/>
      <c r="P1574" s="59"/>
      <c r="Q1574" s="104"/>
    </row>
    <row r="1575" ht="25.5" customHeight="1">
      <c r="A1575" s="110"/>
      <c r="B1575" s="111"/>
      <c r="C1575" s="96"/>
      <c r="D1575" s="112"/>
      <c r="E1575" s="112"/>
      <c r="F1575" s="112"/>
      <c r="G1575" s="113"/>
      <c r="H1575" s="111"/>
      <c r="I1575" s="103"/>
      <c r="J1575" s="103"/>
      <c r="K1575" s="103"/>
      <c r="L1575" s="108"/>
      <c r="M1575" s="103"/>
      <c r="N1575" s="103"/>
      <c r="O1575" s="114"/>
      <c r="P1575" s="110"/>
      <c r="Q1575" s="111"/>
    </row>
    <row r="1576" ht="25.5" customHeight="1">
      <c r="A1576" s="59"/>
      <c r="B1576" s="104"/>
      <c r="C1576" s="96"/>
      <c r="D1576" s="105"/>
      <c r="E1576" s="105"/>
      <c r="F1576" s="105"/>
      <c r="G1576" s="106"/>
      <c r="H1576" s="104"/>
      <c r="I1576" s="107"/>
      <c r="J1576" s="107"/>
      <c r="K1576" s="107"/>
      <c r="L1576" s="108"/>
      <c r="M1576" s="107"/>
      <c r="N1576" s="107"/>
      <c r="O1576" s="109"/>
      <c r="P1576" s="59"/>
      <c r="Q1576" s="104"/>
    </row>
    <row r="1577" ht="25.5" customHeight="1">
      <c r="A1577" s="110"/>
      <c r="B1577" s="111"/>
      <c r="C1577" s="96"/>
      <c r="D1577" s="112"/>
      <c r="E1577" s="112"/>
      <c r="F1577" s="112"/>
      <c r="G1577" s="113"/>
      <c r="H1577" s="111"/>
      <c r="I1577" s="103"/>
      <c r="J1577" s="103"/>
      <c r="K1577" s="103"/>
      <c r="L1577" s="108"/>
      <c r="M1577" s="103"/>
      <c r="N1577" s="103"/>
      <c r="O1577" s="114"/>
      <c r="P1577" s="110"/>
      <c r="Q1577" s="111"/>
    </row>
    <row r="1578" ht="25.5" customHeight="1">
      <c r="A1578" s="59"/>
      <c r="B1578" s="104"/>
      <c r="C1578" s="96"/>
      <c r="D1578" s="105"/>
      <c r="E1578" s="105"/>
      <c r="F1578" s="105"/>
      <c r="G1578" s="106"/>
      <c r="H1578" s="104"/>
      <c r="I1578" s="107"/>
      <c r="J1578" s="107"/>
      <c r="K1578" s="107"/>
      <c r="L1578" s="108"/>
      <c r="M1578" s="107"/>
      <c r="N1578" s="107"/>
      <c r="O1578" s="109"/>
      <c r="P1578" s="59"/>
      <c r="Q1578" s="104"/>
    </row>
    <row r="1579" ht="25.5" customHeight="1">
      <c r="A1579" s="110"/>
      <c r="B1579" s="111"/>
      <c r="C1579" s="96"/>
      <c r="D1579" s="112"/>
      <c r="E1579" s="112"/>
      <c r="F1579" s="112"/>
      <c r="G1579" s="113"/>
      <c r="H1579" s="111"/>
      <c r="I1579" s="103"/>
      <c r="J1579" s="103"/>
      <c r="K1579" s="103"/>
      <c r="L1579" s="108"/>
      <c r="M1579" s="103"/>
      <c r="N1579" s="103"/>
      <c r="O1579" s="114"/>
      <c r="P1579" s="110"/>
      <c r="Q1579" s="111"/>
    </row>
    <row r="1580" ht="25.5" customHeight="1">
      <c r="A1580" s="59"/>
      <c r="B1580" s="104"/>
      <c r="C1580" s="96"/>
      <c r="D1580" s="105"/>
      <c r="E1580" s="105"/>
      <c r="F1580" s="105"/>
      <c r="G1580" s="106"/>
      <c r="H1580" s="104"/>
      <c r="I1580" s="107"/>
      <c r="J1580" s="107"/>
      <c r="K1580" s="107"/>
      <c r="L1580" s="108"/>
      <c r="M1580" s="107"/>
      <c r="N1580" s="107"/>
      <c r="O1580" s="109"/>
      <c r="P1580" s="59"/>
      <c r="Q1580" s="104"/>
    </row>
    <row r="1581" ht="25.5" customHeight="1">
      <c r="A1581" s="110"/>
      <c r="B1581" s="111"/>
      <c r="C1581" s="96"/>
      <c r="D1581" s="112"/>
      <c r="E1581" s="112"/>
      <c r="F1581" s="112"/>
      <c r="G1581" s="113"/>
      <c r="H1581" s="111"/>
      <c r="I1581" s="103"/>
      <c r="J1581" s="103"/>
      <c r="K1581" s="103"/>
      <c r="L1581" s="108"/>
      <c r="M1581" s="103"/>
      <c r="N1581" s="103"/>
      <c r="O1581" s="114"/>
      <c r="P1581" s="110"/>
      <c r="Q1581" s="111"/>
    </row>
    <row r="1582" ht="25.5" customHeight="1">
      <c r="A1582" s="59"/>
      <c r="B1582" s="104"/>
      <c r="C1582" s="96"/>
      <c r="D1582" s="105"/>
      <c r="E1582" s="105"/>
      <c r="F1582" s="105"/>
      <c r="G1582" s="106"/>
      <c r="H1582" s="104"/>
      <c r="I1582" s="107"/>
      <c r="J1582" s="107"/>
      <c r="K1582" s="107"/>
      <c r="L1582" s="108"/>
      <c r="M1582" s="107"/>
      <c r="N1582" s="107"/>
      <c r="O1582" s="109"/>
      <c r="P1582" s="59"/>
      <c r="Q1582" s="104"/>
    </row>
    <row r="1583" ht="25.5" customHeight="1">
      <c r="A1583" s="110"/>
      <c r="B1583" s="111"/>
      <c r="C1583" s="96"/>
      <c r="D1583" s="112"/>
      <c r="E1583" s="112"/>
      <c r="F1583" s="112"/>
      <c r="G1583" s="113"/>
      <c r="H1583" s="111"/>
      <c r="I1583" s="103"/>
      <c r="J1583" s="103"/>
      <c r="K1583" s="103"/>
      <c r="L1583" s="108"/>
      <c r="M1583" s="103"/>
      <c r="N1583" s="103"/>
      <c r="O1583" s="114"/>
      <c r="P1583" s="110"/>
      <c r="Q1583" s="111"/>
    </row>
    <row r="1584" ht="25.5" customHeight="1">
      <c r="A1584" s="59"/>
      <c r="B1584" s="104"/>
      <c r="C1584" s="96"/>
      <c r="D1584" s="105"/>
      <c r="E1584" s="105"/>
      <c r="F1584" s="105"/>
      <c r="G1584" s="106"/>
      <c r="H1584" s="104"/>
      <c r="I1584" s="107"/>
      <c r="J1584" s="107"/>
      <c r="K1584" s="107"/>
      <c r="L1584" s="108"/>
      <c r="M1584" s="107"/>
      <c r="N1584" s="107"/>
      <c r="O1584" s="109"/>
      <c r="P1584" s="59"/>
      <c r="Q1584" s="104"/>
    </row>
    <row r="1585" ht="25.5" customHeight="1">
      <c r="A1585" s="110"/>
      <c r="B1585" s="111"/>
      <c r="C1585" s="96"/>
      <c r="D1585" s="112"/>
      <c r="E1585" s="112"/>
      <c r="F1585" s="112"/>
      <c r="G1585" s="113"/>
      <c r="H1585" s="111"/>
      <c r="I1585" s="103"/>
      <c r="J1585" s="103"/>
      <c r="K1585" s="103"/>
      <c r="L1585" s="108"/>
      <c r="M1585" s="103"/>
      <c r="N1585" s="103"/>
      <c r="O1585" s="114"/>
      <c r="P1585" s="110"/>
      <c r="Q1585" s="111"/>
    </row>
    <row r="1586" ht="25.5" customHeight="1">
      <c r="A1586" s="59"/>
      <c r="B1586" s="104"/>
      <c r="C1586" s="96"/>
      <c r="D1586" s="105"/>
      <c r="E1586" s="105"/>
      <c r="F1586" s="105"/>
      <c r="G1586" s="106"/>
      <c r="H1586" s="104"/>
      <c r="I1586" s="107"/>
      <c r="J1586" s="107"/>
      <c r="K1586" s="107"/>
      <c r="L1586" s="108"/>
      <c r="M1586" s="107"/>
      <c r="N1586" s="107"/>
      <c r="O1586" s="109"/>
      <c r="P1586" s="59"/>
      <c r="Q1586" s="104"/>
    </row>
    <row r="1587" ht="25.5" customHeight="1">
      <c r="A1587" s="110"/>
      <c r="B1587" s="111"/>
      <c r="C1587" s="96"/>
      <c r="D1587" s="112"/>
      <c r="E1587" s="112"/>
      <c r="F1587" s="112"/>
      <c r="G1587" s="113"/>
      <c r="H1587" s="111"/>
      <c r="I1587" s="103"/>
      <c r="J1587" s="103"/>
      <c r="K1587" s="103"/>
      <c r="L1587" s="108"/>
      <c r="M1587" s="103"/>
      <c r="N1587" s="103"/>
      <c r="O1587" s="114"/>
      <c r="P1587" s="110"/>
      <c r="Q1587" s="111"/>
    </row>
    <row r="1588" ht="25.5" customHeight="1">
      <c r="A1588" s="59"/>
      <c r="B1588" s="104"/>
      <c r="C1588" s="96"/>
      <c r="D1588" s="105"/>
      <c r="E1588" s="105"/>
      <c r="F1588" s="105"/>
      <c r="G1588" s="106"/>
      <c r="H1588" s="104"/>
      <c r="I1588" s="107"/>
      <c r="J1588" s="107"/>
      <c r="K1588" s="107"/>
      <c r="L1588" s="108"/>
      <c r="M1588" s="107"/>
      <c r="N1588" s="107"/>
      <c r="O1588" s="109"/>
      <c r="P1588" s="59"/>
      <c r="Q1588" s="104"/>
    </row>
    <row r="1589" ht="25.5" customHeight="1">
      <c r="A1589" s="110"/>
      <c r="B1589" s="111"/>
      <c r="C1589" s="96"/>
      <c r="D1589" s="112"/>
      <c r="E1589" s="112"/>
      <c r="F1589" s="112"/>
      <c r="G1589" s="113"/>
      <c r="H1589" s="111"/>
      <c r="I1589" s="103"/>
      <c r="J1589" s="103"/>
      <c r="K1589" s="103"/>
      <c r="L1589" s="108"/>
      <c r="M1589" s="103"/>
      <c r="N1589" s="103"/>
      <c r="O1589" s="114"/>
      <c r="P1589" s="110"/>
      <c r="Q1589" s="111"/>
    </row>
    <row r="1590" ht="25.5" customHeight="1">
      <c r="A1590" s="59"/>
      <c r="B1590" s="104"/>
      <c r="C1590" s="96"/>
      <c r="D1590" s="105"/>
      <c r="E1590" s="105"/>
      <c r="F1590" s="105"/>
      <c r="G1590" s="106"/>
      <c r="H1590" s="104"/>
      <c r="I1590" s="107"/>
      <c r="J1590" s="107"/>
      <c r="K1590" s="107"/>
      <c r="L1590" s="108"/>
      <c r="M1590" s="107"/>
      <c r="N1590" s="107"/>
      <c r="O1590" s="109"/>
      <c r="P1590" s="59"/>
      <c r="Q1590" s="104"/>
    </row>
    <row r="1591" ht="25.5" customHeight="1">
      <c r="A1591" s="110"/>
      <c r="B1591" s="111"/>
      <c r="C1591" s="96"/>
      <c r="D1591" s="112"/>
      <c r="E1591" s="112"/>
      <c r="F1591" s="112"/>
      <c r="G1591" s="113"/>
      <c r="H1591" s="111"/>
      <c r="I1591" s="103"/>
      <c r="J1591" s="103"/>
      <c r="K1591" s="103"/>
      <c r="L1591" s="108"/>
      <c r="M1591" s="103"/>
      <c r="N1591" s="103"/>
      <c r="O1591" s="114"/>
      <c r="P1591" s="110"/>
      <c r="Q1591" s="111"/>
    </row>
    <row r="1592" ht="25.5" customHeight="1">
      <c r="A1592" s="59"/>
      <c r="B1592" s="104"/>
      <c r="C1592" s="96"/>
      <c r="D1592" s="105"/>
      <c r="E1592" s="105"/>
      <c r="F1592" s="105"/>
      <c r="G1592" s="106"/>
      <c r="H1592" s="104"/>
      <c r="I1592" s="107"/>
      <c r="J1592" s="107"/>
      <c r="K1592" s="107"/>
      <c r="L1592" s="108"/>
      <c r="M1592" s="107"/>
      <c r="N1592" s="107"/>
      <c r="O1592" s="109"/>
      <c r="P1592" s="59"/>
      <c r="Q1592" s="104"/>
    </row>
    <row r="1593" ht="25.5" customHeight="1">
      <c r="A1593" s="110"/>
      <c r="B1593" s="111"/>
      <c r="C1593" s="96"/>
      <c r="D1593" s="112"/>
      <c r="E1593" s="112"/>
      <c r="F1593" s="112"/>
      <c r="G1593" s="113"/>
      <c r="H1593" s="111"/>
      <c r="I1593" s="103"/>
      <c r="J1593" s="103"/>
      <c r="K1593" s="103"/>
      <c r="L1593" s="108"/>
      <c r="M1593" s="103"/>
      <c r="N1593" s="103"/>
      <c r="O1593" s="114"/>
      <c r="P1593" s="110"/>
      <c r="Q1593" s="111"/>
    </row>
    <row r="1594" ht="25.5" customHeight="1">
      <c r="A1594" s="59"/>
      <c r="B1594" s="104"/>
      <c r="C1594" s="96"/>
      <c r="D1594" s="105"/>
      <c r="E1594" s="105"/>
      <c r="F1594" s="105"/>
      <c r="G1594" s="106"/>
      <c r="H1594" s="104"/>
      <c r="I1594" s="107"/>
      <c r="J1594" s="107"/>
      <c r="K1594" s="107"/>
      <c r="L1594" s="108"/>
      <c r="M1594" s="107"/>
      <c r="N1594" s="107"/>
      <c r="O1594" s="109"/>
      <c r="P1594" s="59"/>
      <c r="Q1594" s="104"/>
    </row>
    <row r="1595" ht="25.5" customHeight="1">
      <c r="A1595" s="110"/>
      <c r="B1595" s="111"/>
      <c r="C1595" s="96"/>
      <c r="D1595" s="112"/>
      <c r="E1595" s="112"/>
      <c r="F1595" s="112"/>
      <c r="G1595" s="113"/>
      <c r="H1595" s="111"/>
      <c r="I1595" s="103"/>
      <c r="J1595" s="103"/>
      <c r="K1595" s="103"/>
      <c r="L1595" s="108"/>
      <c r="M1595" s="103"/>
      <c r="N1595" s="103"/>
      <c r="O1595" s="114"/>
      <c r="P1595" s="110"/>
      <c r="Q1595" s="111"/>
    </row>
    <row r="1596" ht="25.5" customHeight="1">
      <c r="A1596" s="59"/>
      <c r="B1596" s="104"/>
      <c r="C1596" s="96"/>
      <c r="D1596" s="105"/>
      <c r="E1596" s="105"/>
      <c r="F1596" s="105"/>
      <c r="G1596" s="106"/>
      <c r="H1596" s="104"/>
      <c r="I1596" s="107"/>
      <c r="J1596" s="107"/>
      <c r="K1596" s="107"/>
      <c r="L1596" s="108"/>
      <c r="M1596" s="107"/>
      <c r="N1596" s="107"/>
      <c r="O1596" s="109"/>
      <c r="P1596" s="59"/>
      <c r="Q1596" s="104"/>
    </row>
    <row r="1597" ht="25.5" customHeight="1">
      <c r="A1597" s="110"/>
      <c r="B1597" s="111"/>
      <c r="C1597" s="96"/>
      <c r="D1597" s="112"/>
      <c r="E1597" s="112"/>
      <c r="F1597" s="112"/>
      <c r="G1597" s="113"/>
      <c r="H1597" s="111"/>
      <c r="I1597" s="103"/>
      <c r="J1597" s="103"/>
      <c r="K1597" s="103"/>
      <c r="L1597" s="108"/>
      <c r="M1597" s="103"/>
      <c r="N1597" s="103"/>
      <c r="O1597" s="114"/>
      <c r="P1597" s="110"/>
      <c r="Q1597" s="111"/>
    </row>
    <row r="1598" ht="25.5" customHeight="1">
      <c r="A1598" s="59"/>
      <c r="B1598" s="104"/>
      <c r="C1598" s="96"/>
      <c r="D1598" s="105"/>
      <c r="E1598" s="105"/>
      <c r="F1598" s="105"/>
      <c r="G1598" s="106"/>
      <c r="H1598" s="104"/>
      <c r="I1598" s="107"/>
      <c r="J1598" s="107"/>
      <c r="K1598" s="107"/>
      <c r="L1598" s="108"/>
      <c r="M1598" s="107"/>
      <c r="N1598" s="107"/>
      <c r="O1598" s="109"/>
      <c r="P1598" s="59"/>
      <c r="Q1598" s="104"/>
    </row>
    <row r="1599" ht="25.5" customHeight="1">
      <c r="A1599" s="110"/>
      <c r="B1599" s="111"/>
      <c r="C1599" s="96"/>
      <c r="D1599" s="112"/>
      <c r="E1599" s="112"/>
      <c r="F1599" s="112"/>
      <c r="G1599" s="113"/>
      <c r="H1599" s="111"/>
      <c r="I1599" s="103"/>
      <c r="J1599" s="103"/>
      <c r="K1599" s="103"/>
      <c r="L1599" s="108"/>
      <c r="M1599" s="103"/>
      <c r="N1599" s="103"/>
      <c r="O1599" s="114"/>
      <c r="P1599" s="110"/>
      <c r="Q1599" s="111"/>
    </row>
    <row r="1600" ht="25.5" customHeight="1">
      <c r="A1600" s="59"/>
      <c r="B1600" s="104"/>
      <c r="C1600" s="96"/>
      <c r="D1600" s="105"/>
      <c r="E1600" s="105"/>
      <c r="F1600" s="105"/>
      <c r="G1600" s="106"/>
      <c r="H1600" s="104"/>
      <c r="I1600" s="107"/>
      <c r="J1600" s="107"/>
      <c r="K1600" s="107"/>
      <c r="L1600" s="108"/>
      <c r="M1600" s="107"/>
      <c r="N1600" s="107"/>
      <c r="O1600" s="109"/>
      <c r="P1600" s="59"/>
      <c r="Q1600" s="104"/>
    </row>
    <row r="1601" ht="25.5" customHeight="1">
      <c r="A1601" s="110"/>
      <c r="B1601" s="111"/>
      <c r="C1601" s="96"/>
      <c r="D1601" s="112"/>
      <c r="E1601" s="112"/>
      <c r="F1601" s="112"/>
      <c r="G1601" s="113"/>
      <c r="H1601" s="111"/>
      <c r="I1601" s="103"/>
      <c r="J1601" s="103"/>
      <c r="K1601" s="103"/>
      <c r="L1601" s="108"/>
      <c r="M1601" s="103"/>
      <c r="N1601" s="103"/>
      <c r="O1601" s="114"/>
      <c r="P1601" s="110"/>
      <c r="Q1601" s="111"/>
    </row>
    <row r="1602" ht="25.5" customHeight="1">
      <c r="A1602" s="59"/>
      <c r="B1602" s="104"/>
      <c r="C1602" s="96"/>
      <c r="D1602" s="105"/>
      <c r="E1602" s="105"/>
      <c r="F1602" s="105"/>
      <c r="G1602" s="106"/>
      <c r="H1602" s="104"/>
      <c r="I1602" s="107"/>
      <c r="J1602" s="107"/>
      <c r="K1602" s="107"/>
      <c r="L1602" s="108"/>
      <c r="M1602" s="107"/>
      <c r="N1602" s="107"/>
      <c r="O1602" s="109"/>
      <c r="P1602" s="59"/>
      <c r="Q1602" s="104"/>
    </row>
    <row r="1603" ht="25.5" customHeight="1">
      <c r="A1603" s="110"/>
      <c r="B1603" s="111"/>
      <c r="C1603" s="96"/>
      <c r="D1603" s="112"/>
      <c r="E1603" s="112"/>
      <c r="F1603" s="112"/>
      <c r="G1603" s="113"/>
      <c r="H1603" s="111"/>
      <c r="I1603" s="103"/>
      <c r="J1603" s="103"/>
      <c r="K1603" s="103"/>
      <c r="L1603" s="108"/>
      <c r="M1603" s="103"/>
      <c r="N1603" s="103"/>
      <c r="O1603" s="114"/>
      <c r="P1603" s="110"/>
      <c r="Q1603" s="111"/>
    </row>
    <row r="1604" ht="25.5" customHeight="1">
      <c r="A1604" s="59"/>
      <c r="B1604" s="104"/>
      <c r="C1604" s="96"/>
      <c r="D1604" s="105"/>
      <c r="E1604" s="105"/>
      <c r="F1604" s="105"/>
      <c r="G1604" s="106"/>
      <c r="H1604" s="104"/>
      <c r="I1604" s="107"/>
      <c r="J1604" s="107"/>
      <c r="K1604" s="107"/>
      <c r="L1604" s="108"/>
      <c r="M1604" s="107"/>
      <c r="N1604" s="107"/>
      <c r="O1604" s="109"/>
      <c r="P1604" s="59"/>
      <c r="Q1604" s="104"/>
    </row>
    <row r="1605" ht="25.5" customHeight="1">
      <c r="A1605" s="110"/>
      <c r="B1605" s="111"/>
      <c r="C1605" s="96"/>
      <c r="D1605" s="112"/>
      <c r="E1605" s="112"/>
      <c r="F1605" s="112"/>
      <c r="G1605" s="113"/>
      <c r="H1605" s="111"/>
      <c r="I1605" s="103"/>
      <c r="J1605" s="103"/>
      <c r="K1605" s="103"/>
      <c r="L1605" s="108"/>
      <c r="M1605" s="103"/>
      <c r="N1605" s="103"/>
      <c r="O1605" s="114"/>
      <c r="P1605" s="110"/>
      <c r="Q1605" s="111"/>
    </row>
    <row r="1606" ht="25.5" customHeight="1">
      <c r="A1606" s="59"/>
      <c r="B1606" s="104"/>
      <c r="C1606" s="96"/>
      <c r="D1606" s="105"/>
      <c r="E1606" s="105"/>
      <c r="F1606" s="105"/>
      <c r="G1606" s="106"/>
      <c r="H1606" s="104"/>
      <c r="I1606" s="107"/>
      <c r="J1606" s="107"/>
      <c r="K1606" s="107"/>
      <c r="L1606" s="108"/>
      <c r="M1606" s="107"/>
      <c r="N1606" s="107"/>
      <c r="O1606" s="109"/>
      <c r="P1606" s="59"/>
      <c r="Q1606" s="104"/>
    </row>
    <row r="1607" ht="25.5" customHeight="1">
      <c r="A1607" s="110"/>
      <c r="B1607" s="111"/>
      <c r="C1607" s="96"/>
      <c r="D1607" s="112"/>
      <c r="E1607" s="112"/>
      <c r="F1607" s="112"/>
      <c r="G1607" s="113"/>
      <c r="H1607" s="111"/>
      <c r="I1607" s="103"/>
      <c r="J1607" s="103"/>
      <c r="K1607" s="103"/>
      <c r="L1607" s="108"/>
      <c r="M1607" s="103"/>
      <c r="N1607" s="103"/>
      <c r="O1607" s="114"/>
      <c r="P1607" s="110"/>
      <c r="Q1607" s="111"/>
    </row>
    <row r="1608" ht="25.5" customHeight="1">
      <c r="A1608" s="59"/>
      <c r="B1608" s="104"/>
      <c r="C1608" s="96"/>
      <c r="D1608" s="105"/>
      <c r="E1608" s="105"/>
      <c r="F1608" s="105"/>
      <c r="G1608" s="106"/>
      <c r="H1608" s="104"/>
      <c r="I1608" s="107"/>
      <c r="J1608" s="107"/>
      <c r="K1608" s="107"/>
      <c r="L1608" s="108"/>
      <c r="M1608" s="107"/>
      <c r="N1608" s="107"/>
      <c r="O1608" s="109"/>
      <c r="P1608" s="59"/>
      <c r="Q1608" s="104"/>
    </row>
    <row r="1609" ht="25.5" customHeight="1">
      <c r="A1609" s="110"/>
      <c r="B1609" s="111"/>
      <c r="C1609" s="96"/>
      <c r="D1609" s="112"/>
      <c r="E1609" s="112"/>
      <c r="F1609" s="112"/>
      <c r="G1609" s="113"/>
      <c r="H1609" s="111"/>
      <c r="I1609" s="103"/>
      <c r="J1609" s="103"/>
      <c r="K1609" s="103"/>
      <c r="L1609" s="108"/>
      <c r="M1609" s="103"/>
      <c r="N1609" s="103"/>
      <c r="O1609" s="114"/>
      <c r="P1609" s="110"/>
      <c r="Q1609" s="111"/>
    </row>
    <row r="1610" ht="25.5" customHeight="1">
      <c r="A1610" s="59"/>
      <c r="B1610" s="104"/>
      <c r="C1610" s="96"/>
      <c r="D1610" s="105"/>
      <c r="E1610" s="105"/>
      <c r="F1610" s="105"/>
      <c r="G1610" s="106"/>
      <c r="H1610" s="104"/>
      <c r="I1610" s="107"/>
      <c r="J1610" s="107"/>
      <c r="K1610" s="107"/>
      <c r="L1610" s="108"/>
      <c r="M1610" s="107"/>
      <c r="N1610" s="107"/>
      <c r="O1610" s="109"/>
      <c r="P1610" s="59"/>
      <c r="Q1610" s="104"/>
    </row>
    <row r="1611" ht="25.5" customHeight="1">
      <c r="A1611" s="110"/>
      <c r="B1611" s="111"/>
      <c r="C1611" s="96"/>
      <c r="D1611" s="112"/>
      <c r="E1611" s="112"/>
      <c r="F1611" s="112"/>
      <c r="G1611" s="113"/>
      <c r="H1611" s="111"/>
      <c r="I1611" s="103"/>
      <c r="J1611" s="103"/>
      <c r="K1611" s="103"/>
      <c r="L1611" s="108"/>
      <c r="M1611" s="103"/>
      <c r="N1611" s="103"/>
      <c r="O1611" s="114"/>
      <c r="P1611" s="110"/>
      <c r="Q1611" s="111"/>
    </row>
    <row r="1612" ht="25.5" customHeight="1">
      <c r="A1612" s="59"/>
      <c r="B1612" s="104"/>
      <c r="C1612" s="96"/>
      <c r="D1612" s="105"/>
      <c r="E1612" s="105"/>
      <c r="F1612" s="105"/>
      <c r="G1612" s="106"/>
      <c r="H1612" s="104"/>
      <c r="I1612" s="107"/>
      <c r="J1612" s="107"/>
      <c r="K1612" s="107"/>
      <c r="L1612" s="108"/>
      <c r="M1612" s="107"/>
      <c r="N1612" s="107"/>
      <c r="O1612" s="109"/>
      <c r="P1612" s="59"/>
      <c r="Q1612" s="104"/>
    </row>
    <row r="1613" ht="25.5" customHeight="1">
      <c r="A1613" s="110"/>
      <c r="B1613" s="111"/>
      <c r="C1613" s="96"/>
      <c r="D1613" s="112"/>
      <c r="E1613" s="112"/>
      <c r="F1613" s="112"/>
      <c r="G1613" s="113"/>
      <c r="H1613" s="111"/>
      <c r="I1613" s="103"/>
      <c r="J1613" s="103"/>
      <c r="K1613" s="103"/>
      <c r="L1613" s="108"/>
      <c r="M1613" s="103"/>
      <c r="N1613" s="103"/>
      <c r="O1613" s="114"/>
      <c r="P1613" s="110"/>
      <c r="Q1613" s="111"/>
    </row>
    <row r="1614" ht="25.5" customHeight="1">
      <c r="A1614" s="59"/>
      <c r="B1614" s="104"/>
      <c r="C1614" s="96"/>
      <c r="D1614" s="105"/>
      <c r="E1614" s="105"/>
      <c r="F1614" s="105"/>
      <c r="G1614" s="106"/>
      <c r="H1614" s="104"/>
      <c r="I1614" s="107"/>
      <c r="J1614" s="107"/>
      <c r="K1614" s="107"/>
      <c r="L1614" s="108"/>
      <c r="M1614" s="107"/>
      <c r="N1614" s="107"/>
      <c r="O1614" s="109"/>
      <c r="P1614" s="59"/>
      <c r="Q1614" s="104"/>
    </row>
    <row r="1615" ht="25.5" customHeight="1">
      <c r="A1615" s="110"/>
      <c r="B1615" s="111"/>
      <c r="C1615" s="96"/>
      <c r="D1615" s="112"/>
      <c r="E1615" s="112"/>
      <c r="F1615" s="112"/>
      <c r="G1615" s="113"/>
      <c r="H1615" s="111"/>
      <c r="I1615" s="103"/>
      <c r="J1615" s="103"/>
      <c r="K1615" s="103"/>
      <c r="L1615" s="108"/>
      <c r="M1615" s="103"/>
      <c r="N1615" s="103"/>
      <c r="O1615" s="114"/>
      <c r="P1615" s="110"/>
      <c r="Q1615" s="111"/>
    </row>
    <row r="1616" ht="25.5" customHeight="1">
      <c r="A1616" s="59"/>
      <c r="B1616" s="104"/>
      <c r="C1616" s="96"/>
      <c r="D1616" s="105"/>
      <c r="E1616" s="105"/>
      <c r="F1616" s="105"/>
      <c r="G1616" s="106"/>
      <c r="H1616" s="104"/>
      <c r="I1616" s="107"/>
      <c r="J1616" s="107"/>
      <c r="K1616" s="107"/>
      <c r="L1616" s="108"/>
      <c r="M1616" s="107"/>
      <c r="N1616" s="107"/>
      <c r="O1616" s="109"/>
      <c r="P1616" s="59"/>
      <c r="Q1616" s="104"/>
    </row>
    <row r="1617" ht="25.5" customHeight="1">
      <c r="A1617" s="110"/>
      <c r="B1617" s="111"/>
      <c r="C1617" s="96"/>
      <c r="D1617" s="112"/>
      <c r="E1617" s="112"/>
      <c r="F1617" s="112"/>
      <c r="G1617" s="113"/>
      <c r="H1617" s="111"/>
      <c r="I1617" s="103"/>
      <c r="J1617" s="103"/>
      <c r="K1617" s="103"/>
      <c r="L1617" s="108"/>
      <c r="M1617" s="103"/>
      <c r="N1617" s="103"/>
      <c r="O1617" s="114"/>
      <c r="P1617" s="110"/>
      <c r="Q1617" s="111"/>
    </row>
    <row r="1618" ht="25.5" customHeight="1">
      <c r="A1618" s="59"/>
      <c r="B1618" s="104"/>
      <c r="C1618" s="96"/>
      <c r="D1618" s="105"/>
      <c r="E1618" s="105"/>
      <c r="F1618" s="105"/>
      <c r="G1618" s="106"/>
      <c r="H1618" s="104"/>
      <c r="I1618" s="107"/>
      <c r="J1618" s="107"/>
      <c r="K1618" s="107"/>
      <c r="L1618" s="108"/>
      <c r="M1618" s="107"/>
      <c r="N1618" s="107"/>
      <c r="O1618" s="109"/>
      <c r="P1618" s="59"/>
      <c r="Q1618" s="104"/>
    </row>
    <row r="1619" ht="25.5" customHeight="1">
      <c r="A1619" s="110"/>
      <c r="B1619" s="111"/>
      <c r="C1619" s="96"/>
      <c r="D1619" s="112"/>
      <c r="E1619" s="112"/>
      <c r="F1619" s="112"/>
      <c r="G1619" s="113"/>
      <c r="H1619" s="111"/>
      <c r="I1619" s="103"/>
      <c r="J1619" s="103"/>
      <c r="K1619" s="103"/>
      <c r="L1619" s="108"/>
      <c r="M1619" s="103"/>
      <c r="N1619" s="103"/>
      <c r="O1619" s="114"/>
      <c r="P1619" s="110"/>
      <c r="Q1619" s="111"/>
    </row>
    <row r="1620" ht="25.5" customHeight="1">
      <c r="A1620" s="59"/>
      <c r="B1620" s="104"/>
      <c r="C1620" s="96"/>
      <c r="D1620" s="105"/>
      <c r="E1620" s="105"/>
      <c r="F1620" s="105"/>
      <c r="G1620" s="106"/>
      <c r="H1620" s="104"/>
      <c r="I1620" s="107"/>
      <c r="J1620" s="107"/>
      <c r="K1620" s="107"/>
      <c r="L1620" s="108"/>
      <c r="M1620" s="107"/>
      <c r="N1620" s="107"/>
      <c r="O1620" s="109"/>
      <c r="P1620" s="59"/>
      <c r="Q1620" s="104"/>
    </row>
    <row r="1621" ht="25.5" customHeight="1">
      <c r="A1621" s="110"/>
      <c r="B1621" s="111"/>
      <c r="C1621" s="96"/>
      <c r="D1621" s="112"/>
      <c r="E1621" s="112"/>
      <c r="F1621" s="112"/>
      <c r="G1621" s="113"/>
      <c r="H1621" s="111"/>
      <c r="I1621" s="103"/>
      <c r="J1621" s="103"/>
      <c r="K1621" s="103"/>
      <c r="L1621" s="108"/>
      <c r="M1621" s="103"/>
      <c r="N1621" s="103"/>
      <c r="O1621" s="114"/>
      <c r="P1621" s="110"/>
      <c r="Q1621" s="111"/>
    </row>
    <row r="1622" ht="25.5" customHeight="1">
      <c r="A1622" s="59"/>
      <c r="B1622" s="104"/>
      <c r="C1622" s="96"/>
      <c r="D1622" s="105"/>
      <c r="E1622" s="105"/>
      <c r="F1622" s="105"/>
      <c r="G1622" s="106"/>
      <c r="H1622" s="104"/>
      <c r="I1622" s="107"/>
      <c r="J1622" s="107"/>
      <c r="K1622" s="107"/>
      <c r="L1622" s="108"/>
      <c r="M1622" s="107"/>
      <c r="N1622" s="107"/>
      <c r="O1622" s="109"/>
      <c r="P1622" s="59"/>
      <c r="Q1622" s="104"/>
    </row>
    <row r="1623" ht="25.5" customHeight="1">
      <c r="A1623" s="110"/>
      <c r="B1623" s="111"/>
      <c r="C1623" s="96"/>
      <c r="D1623" s="112"/>
      <c r="E1623" s="112"/>
      <c r="F1623" s="112"/>
      <c r="G1623" s="113"/>
      <c r="H1623" s="111"/>
      <c r="I1623" s="103"/>
      <c r="J1623" s="103"/>
      <c r="K1623" s="103"/>
      <c r="L1623" s="108"/>
      <c r="M1623" s="103"/>
      <c r="N1623" s="103"/>
      <c r="O1623" s="114"/>
      <c r="P1623" s="110"/>
      <c r="Q1623" s="111"/>
    </row>
    <row r="1624" ht="25.5" customHeight="1">
      <c r="A1624" s="59"/>
      <c r="B1624" s="104"/>
      <c r="C1624" s="96"/>
      <c r="D1624" s="105"/>
      <c r="E1624" s="105"/>
      <c r="F1624" s="105"/>
      <c r="G1624" s="106"/>
      <c r="H1624" s="104"/>
      <c r="I1624" s="107"/>
      <c r="J1624" s="107"/>
      <c r="K1624" s="107"/>
      <c r="L1624" s="108"/>
      <c r="M1624" s="107"/>
      <c r="N1624" s="107"/>
      <c r="O1624" s="109"/>
      <c r="P1624" s="59"/>
      <c r="Q1624" s="104"/>
    </row>
    <row r="1625" ht="25.5" customHeight="1">
      <c r="A1625" s="110"/>
      <c r="B1625" s="111"/>
      <c r="C1625" s="96"/>
      <c r="D1625" s="112"/>
      <c r="E1625" s="112"/>
      <c r="F1625" s="112"/>
      <c r="G1625" s="113"/>
      <c r="H1625" s="111"/>
      <c r="I1625" s="103"/>
      <c r="J1625" s="103"/>
      <c r="K1625" s="103"/>
      <c r="L1625" s="108"/>
      <c r="M1625" s="103"/>
      <c r="N1625" s="103"/>
      <c r="O1625" s="114"/>
      <c r="P1625" s="110"/>
      <c r="Q1625" s="111"/>
    </row>
    <row r="1626" ht="25.5" customHeight="1">
      <c r="A1626" s="59"/>
      <c r="B1626" s="104"/>
      <c r="C1626" s="96"/>
      <c r="D1626" s="105"/>
      <c r="E1626" s="105"/>
      <c r="F1626" s="105"/>
      <c r="G1626" s="106"/>
      <c r="H1626" s="104"/>
      <c r="I1626" s="107"/>
      <c r="J1626" s="107"/>
      <c r="K1626" s="107"/>
      <c r="L1626" s="108"/>
      <c r="M1626" s="107"/>
      <c r="N1626" s="107"/>
      <c r="O1626" s="109"/>
      <c r="P1626" s="59"/>
      <c r="Q1626" s="104"/>
    </row>
    <row r="1627" ht="25.5" customHeight="1">
      <c r="A1627" s="110"/>
      <c r="B1627" s="111"/>
      <c r="C1627" s="96"/>
      <c r="D1627" s="112"/>
      <c r="E1627" s="112"/>
      <c r="F1627" s="112"/>
      <c r="G1627" s="113"/>
      <c r="H1627" s="111"/>
      <c r="I1627" s="103"/>
      <c r="J1627" s="103"/>
      <c r="K1627" s="103"/>
      <c r="L1627" s="108"/>
      <c r="M1627" s="103"/>
      <c r="N1627" s="103"/>
      <c r="O1627" s="114"/>
      <c r="P1627" s="110"/>
      <c r="Q1627" s="111"/>
    </row>
    <row r="1628" ht="25.5" customHeight="1">
      <c r="A1628" s="59"/>
      <c r="B1628" s="104"/>
      <c r="C1628" s="96"/>
      <c r="D1628" s="105"/>
      <c r="E1628" s="105"/>
      <c r="F1628" s="105"/>
      <c r="G1628" s="106"/>
      <c r="H1628" s="104"/>
      <c r="I1628" s="107"/>
      <c r="J1628" s="107"/>
      <c r="K1628" s="107"/>
      <c r="L1628" s="108"/>
      <c r="M1628" s="107"/>
      <c r="N1628" s="107"/>
      <c r="O1628" s="109"/>
      <c r="P1628" s="59"/>
      <c r="Q1628" s="104"/>
    </row>
    <row r="1629" ht="25.5" customHeight="1">
      <c r="A1629" s="110"/>
      <c r="B1629" s="111"/>
      <c r="C1629" s="96"/>
      <c r="D1629" s="112"/>
      <c r="E1629" s="112"/>
      <c r="F1629" s="112"/>
      <c r="G1629" s="113"/>
      <c r="H1629" s="111"/>
      <c r="I1629" s="103"/>
      <c r="J1629" s="103"/>
      <c r="K1629" s="103"/>
      <c r="L1629" s="108"/>
      <c r="M1629" s="103"/>
      <c r="N1629" s="103"/>
      <c r="O1629" s="114"/>
      <c r="P1629" s="110"/>
      <c r="Q1629" s="111"/>
    </row>
    <row r="1630" ht="25.5" customHeight="1">
      <c r="A1630" s="59"/>
      <c r="B1630" s="104"/>
      <c r="C1630" s="96"/>
      <c r="D1630" s="105"/>
      <c r="E1630" s="105"/>
      <c r="F1630" s="105"/>
      <c r="G1630" s="106"/>
      <c r="H1630" s="104"/>
      <c r="I1630" s="107"/>
      <c r="J1630" s="107"/>
      <c r="K1630" s="107"/>
      <c r="L1630" s="108"/>
      <c r="M1630" s="107"/>
      <c r="N1630" s="107"/>
      <c r="O1630" s="109"/>
      <c r="P1630" s="59"/>
      <c r="Q1630" s="104"/>
    </row>
    <row r="1631" ht="25.5" customHeight="1">
      <c r="A1631" s="110"/>
      <c r="B1631" s="111"/>
      <c r="C1631" s="96"/>
      <c r="D1631" s="112"/>
      <c r="E1631" s="112"/>
      <c r="F1631" s="112"/>
      <c r="G1631" s="113"/>
      <c r="H1631" s="111"/>
      <c r="I1631" s="103"/>
      <c r="J1631" s="103"/>
      <c r="K1631" s="103"/>
      <c r="L1631" s="108"/>
      <c r="M1631" s="103"/>
      <c r="N1631" s="103"/>
      <c r="O1631" s="114"/>
      <c r="P1631" s="110"/>
      <c r="Q1631" s="111"/>
    </row>
    <row r="1632" ht="25.5" customHeight="1">
      <c r="A1632" s="59"/>
      <c r="B1632" s="104"/>
      <c r="C1632" s="96"/>
      <c r="D1632" s="105"/>
      <c r="E1632" s="105"/>
      <c r="F1632" s="105"/>
      <c r="G1632" s="106"/>
      <c r="H1632" s="104"/>
      <c r="I1632" s="107"/>
      <c r="J1632" s="107"/>
      <c r="K1632" s="107"/>
      <c r="L1632" s="108"/>
      <c r="M1632" s="107"/>
      <c r="N1632" s="107"/>
      <c r="O1632" s="109"/>
      <c r="P1632" s="59"/>
      <c r="Q1632" s="104"/>
    </row>
    <row r="1633" ht="25.5" customHeight="1">
      <c r="A1633" s="110"/>
      <c r="B1633" s="111"/>
      <c r="C1633" s="96"/>
      <c r="D1633" s="112"/>
      <c r="E1633" s="112"/>
      <c r="F1633" s="112"/>
      <c r="G1633" s="113"/>
      <c r="H1633" s="111"/>
      <c r="I1633" s="103"/>
      <c r="J1633" s="103"/>
      <c r="K1633" s="103"/>
      <c r="L1633" s="108"/>
      <c r="M1633" s="103"/>
      <c r="N1633" s="103"/>
      <c r="O1633" s="114"/>
      <c r="P1633" s="110"/>
      <c r="Q1633" s="111"/>
    </row>
    <row r="1634" ht="25.5" customHeight="1">
      <c r="A1634" s="59"/>
      <c r="B1634" s="104"/>
      <c r="C1634" s="96"/>
      <c r="D1634" s="105"/>
      <c r="E1634" s="105"/>
      <c r="F1634" s="105"/>
      <c r="G1634" s="106"/>
      <c r="H1634" s="104"/>
      <c r="I1634" s="107"/>
      <c r="J1634" s="107"/>
      <c r="K1634" s="107"/>
      <c r="L1634" s="108"/>
      <c r="M1634" s="107"/>
      <c r="N1634" s="107"/>
      <c r="O1634" s="109"/>
      <c r="P1634" s="59"/>
      <c r="Q1634" s="104"/>
    </row>
    <row r="1635" ht="25.5" customHeight="1">
      <c r="A1635" s="110"/>
      <c r="B1635" s="111"/>
      <c r="C1635" s="96"/>
      <c r="D1635" s="112"/>
      <c r="E1635" s="112"/>
      <c r="F1635" s="112"/>
      <c r="G1635" s="113"/>
      <c r="H1635" s="111"/>
      <c r="I1635" s="103"/>
      <c r="J1635" s="103"/>
      <c r="K1635" s="103"/>
      <c r="L1635" s="108"/>
      <c r="M1635" s="103"/>
      <c r="N1635" s="103"/>
      <c r="O1635" s="114"/>
      <c r="P1635" s="110"/>
      <c r="Q1635" s="111"/>
    </row>
    <row r="1636" ht="25.5" customHeight="1">
      <c r="A1636" s="59"/>
      <c r="B1636" s="104"/>
      <c r="C1636" s="96"/>
      <c r="D1636" s="105"/>
      <c r="E1636" s="105"/>
      <c r="F1636" s="105"/>
      <c r="G1636" s="106"/>
      <c r="H1636" s="104"/>
      <c r="I1636" s="107"/>
      <c r="J1636" s="107"/>
      <c r="K1636" s="107"/>
      <c r="L1636" s="108"/>
      <c r="M1636" s="107"/>
      <c r="N1636" s="107"/>
      <c r="O1636" s="109"/>
      <c r="P1636" s="59"/>
      <c r="Q1636" s="104"/>
    </row>
    <row r="1637" ht="25.5" customHeight="1">
      <c r="A1637" s="110"/>
      <c r="B1637" s="111"/>
      <c r="C1637" s="96"/>
      <c r="D1637" s="112"/>
      <c r="E1637" s="112"/>
      <c r="F1637" s="112"/>
      <c r="G1637" s="113"/>
      <c r="H1637" s="111"/>
      <c r="I1637" s="103"/>
      <c r="J1637" s="103"/>
      <c r="K1637" s="103"/>
      <c r="L1637" s="108"/>
      <c r="M1637" s="103"/>
      <c r="N1637" s="103"/>
      <c r="O1637" s="114"/>
      <c r="P1637" s="110"/>
      <c r="Q1637" s="111"/>
    </row>
    <row r="1638" ht="25.5" customHeight="1">
      <c r="A1638" s="59"/>
      <c r="B1638" s="104"/>
      <c r="C1638" s="96"/>
      <c r="D1638" s="105"/>
      <c r="E1638" s="105"/>
      <c r="F1638" s="105"/>
      <c r="G1638" s="106"/>
      <c r="H1638" s="104"/>
      <c r="I1638" s="107"/>
      <c r="J1638" s="107"/>
      <c r="K1638" s="107"/>
      <c r="L1638" s="108"/>
      <c r="M1638" s="107"/>
      <c r="N1638" s="107"/>
      <c r="O1638" s="109"/>
      <c r="P1638" s="59"/>
      <c r="Q1638" s="104"/>
    </row>
    <row r="1639" ht="25.5" customHeight="1">
      <c r="A1639" s="110"/>
      <c r="B1639" s="111"/>
      <c r="C1639" s="96"/>
      <c r="D1639" s="112"/>
      <c r="E1639" s="112"/>
      <c r="F1639" s="112"/>
      <c r="G1639" s="113"/>
      <c r="H1639" s="111"/>
      <c r="I1639" s="103"/>
      <c r="J1639" s="103"/>
      <c r="K1639" s="103"/>
      <c r="L1639" s="108"/>
      <c r="M1639" s="103"/>
      <c r="N1639" s="103"/>
      <c r="O1639" s="114"/>
      <c r="P1639" s="110"/>
      <c r="Q1639" s="111"/>
    </row>
    <row r="1640" ht="25.5" customHeight="1">
      <c r="A1640" s="59"/>
      <c r="B1640" s="104"/>
      <c r="C1640" s="96"/>
      <c r="D1640" s="105"/>
      <c r="E1640" s="105"/>
      <c r="F1640" s="105"/>
      <c r="G1640" s="106"/>
      <c r="H1640" s="104"/>
      <c r="I1640" s="107"/>
      <c r="J1640" s="107"/>
      <c r="K1640" s="107"/>
      <c r="L1640" s="108"/>
      <c r="M1640" s="107"/>
      <c r="N1640" s="107"/>
      <c r="O1640" s="109"/>
      <c r="P1640" s="59"/>
      <c r="Q1640" s="104"/>
    </row>
    <row r="1641" ht="25.5" customHeight="1">
      <c r="A1641" s="110"/>
      <c r="B1641" s="111"/>
      <c r="C1641" s="96"/>
      <c r="D1641" s="112"/>
      <c r="E1641" s="112"/>
      <c r="F1641" s="112"/>
      <c r="G1641" s="113"/>
      <c r="H1641" s="111"/>
      <c r="I1641" s="103"/>
      <c r="J1641" s="103"/>
      <c r="K1641" s="103"/>
      <c r="L1641" s="108"/>
      <c r="M1641" s="103"/>
      <c r="N1641" s="103"/>
      <c r="O1641" s="114"/>
      <c r="P1641" s="110"/>
      <c r="Q1641" s="111"/>
    </row>
    <row r="1642" ht="25.5" customHeight="1">
      <c r="A1642" s="59"/>
      <c r="B1642" s="104"/>
      <c r="C1642" s="96"/>
      <c r="D1642" s="105"/>
      <c r="E1642" s="105"/>
      <c r="F1642" s="105"/>
      <c r="G1642" s="106"/>
      <c r="H1642" s="104"/>
      <c r="I1642" s="107"/>
      <c r="J1642" s="107"/>
      <c r="K1642" s="107"/>
      <c r="L1642" s="108"/>
      <c r="M1642" s="107"/>
      <c r="N1642" s="107"/>
      <c r="O1642" s="109"/>
      <c r="P1642" s="59"/>
      <c r="Q1642" s="104"/>
    </row>
    <row r="1643" ht="25.5" customHeight="1">
      <c r="A1643" s="110"/>
      <c r="B1643" s="111"/>
      <c r="C1643" s="96"/>
      <c r="D1643" s="112"/>
      <c r="E1643" s="112"/>
      <c r="F1643" s="112"/>
      <c r="G1643" s="113"/>
      <c r="H1643" s="111"/>
      <c r="I1643" s="103"/>
      <c r="J1643" s="103"/>
      <c r="K1643" s="103"/>
      <c r="L1643" s="108"/>
      <c r="M1643" s="103"/>
      <c r="N1643" s="103"/>
      <c r="O1643" s="114"/>
      <c r="P1643" s="110"/>
      <c r="Q1643" s="111"/>
    </row>
    <row r="1644" ht="25.5" customHeight="1">
      <c r="A1644" s="59"/>
      <c r="B1644" s="104"/>
      <c r="C1644" s="96"/>
      <c r="D1644" s="105"/>
      <c r="E1644" s="105"/>
      <c r="F1644" s="105"/>
      <c r="G1644" s="106"/>
      <c r="H1644" s="104"/>
      <c r="I1644" s="107"/>
      <c r="J1644" s="107"/>
      <c r="K1644" s="107"/>
      <c r="L1644" s="108"/>
      <c r="M1644" s="107"/>
      <c r="N1644" s="107"/>
      <c r="O1644" s="109"/>
      <c r="P1644" s="59"/>
      <c r="Q1644" s="104"/>
    </row>
    <row r="1645" ht="25.5" customHeight="1">
      <c r="A1645" s="110"/>
      <c r="B1645" s="111"/>
      <c r="C1645" s="96"/>
      <c r="D1645" s="112"/>
      <c r="E1645" s="112"/>
      <c r="F1645" s="112"/>
      <c r="G1645" s="113"/>
      <c r="H1645" s="111"/>
      <c r="I1645" s="103"/>
      <c r="J1645" s="103"/>
      <c r="K1645" s="103"/>
      <c r="L1645" s="108"/>
      <c r="M1645" s="103"/>
      <c r="N1645" s="103"/>
      <c r="O1645" s="114"/>
      <c r="P1645" s="110"/>
      <c r="Q1645" s="111"/>
    </row>
    <row r="1646" ht="25.5" customHeight="1">
      <c r="A1646" s="59"/>
      <c r="B1646" s="104"/>
      <c r="C1646" s="96"/>
      <c r="D1646" s="105"/>
      <c r="E1646" s="105"/>
      <c r="F1646" s="105"/>
      <c r="G1646" s="106"/>
      <c r="H1646" s="104"/>
      <c r="I1646" s="107"/>
      <c r="J1646" s="107"/>
      <c r="K1646" s="107"/>
      <c r="L1646" s="108"/>
      <c r="M1646" s="107"/>
      <c r="N1646" s="107"/>
      <c r="O1646" s="109"/>
      <c r="P1646" s="59"/>
      <c r="Q1646" s="104"/>
    </row>
    <row r="1647" ht="25.5" customHeight="1">
      <c r="A1647" s="110"/>
      <c r="B1647" s="111"/>
      <c r="C1647" s="96"/>
      <c r="D1647" s="112"/>
      <c r="E1647" s="112"/>
      <c r="F1647" s="112"/>
      <c r="G1647" s="113"/>
      <c r="H1647" s="111"/>
      <c r="I1647" s="103"/>
      <c r="J1647" s="103"/>
      <c r="K1647" s="103"/>
      <c r="L1647" s="108"/>
      <c r="M1647" s="103"/>
      <c r="N1647" s="103"/>
      <c r="O1647" s="114"/>
      <c r="P1647" s="110"/>
      <c r="Q1647" s="111"/>
    </row>
    <row r="1648" ht="25.5" customHeight="1">
      <c r="A1648" s="59"/>
      <c r="B1648" s="104"/>
      <c r="C1648" s="96"/>
      <c r="D1648" s="105"/>
      <c r="E1648" s="105"/>
      <c r="F1648" s="105"/>
      <c r="G1648" s="106"/>
      <c r="H1648" s="104"/>
      <c r="I1648" s="107"/>
      <c r="J1648" s="107"/>
      <c r="K1648" s="107"/>
      <c r="L1648" s="108"/>
      <c r="M1648" s="107"/>
      <c r="N1648" s="107"/>
      <c r="O1648" s="109"/>
      <c r="P1648" s="59"/>
      <c r="Q1648" s="104"/>
    </row>
    <row r="1649" ht="25.5" customHeight="1">
      <c r="A1649" s="110"/>
      <c r="B1649" s="111"/>
      <c r="C1649" s="96"/>
      <c r="D1649" s="112"/>
      <c r="E1649" s="112"/>
      <c r="F1649" s="112"/>
      <c r="G1649" s="113"/>
      <c r="H1649" s="111"/>
      <c r="I1649" s="103"/>
      <c r="J1649" s="103"/>
      <c r="K1649" s="103"/>
      <c r="L1649" s="108"/>
      <c r="M1649" s="103"/>
      <c r="N1649" s="103"/>
      <c r="O1649" s="114"/>
      <c r="P1649" s="110"/>
      <c r="Q1649" s="111"/>
    </row>
    <row r="1650" ht="25.5" customHeight="1">
      <c r="A1650" s="59"/>
      <c r="B1650" s="104"/>
      <c r="C1650" s="96"/>
      <c r="D1650" s="105"/>
      <c r="E1650" s="105"/>
      <c r="F1650" s="105"/>
      <c r="G1650" s="106"/>
      <c r="H1650" s="104"/>
      <c r="I1650" s="107"/>
      <c r="J1650" s="107"/>
      <c r="K1650" s="107"/>
      <c r="L1650" s="108"/>
      <c r="M1650" s="107"/>
      <c r="N1650" s="107"/>
      <c r="O1650" s="109"/>
      <c r="P1650" s="59"/>
      <c r="Q1650" s="104"/>
    </row>
    <row r="1651" ht="25.5" customHeight="1">
      <c r="A1651" s="110"/>
      <c r="B1651" s="111"/>
      <c r="C1651" s="96"/>
      <c r="D1651" s="112"/>
      <c r="E1651" s="112"/>
      <c r="F1651" s="112"/>
      <c r="G1651" s="113"/>
      <c r="H1651" s="111"/>
      <c r="I1651" s="103"/>
      <c r="J1651" s="103"/>
      <c r="K1651" s="103"/>
      <c r="L1651" s="108"/>
      <c r="M1651" s="103"/>
      <c r="N1651" s="103"/>
      <c r="O1651" s="114"/>
      <c r="P1651" s="110"/>
      <c r="Q1651" s="111"/>
    </row>
    <row r="1652" ht="25.5" customHeight="1">
      <c r="A1652" s="59"/>
      <c r="B1652" s="104"/>
      <c r="C1652" s="96"/>
      <c r="D1652" s="105"/>
      <c r="E1652" s="105"/>
      <c r="F1652" s="105"/>
      <c r="G1652" s="106"/>
      <c r="H1652" s="104"/>
      <c r="I1652" s="107"/>
      <c r="J1652" s="107"/>
      <c r="K1652" s="107"/>
      <c r="L1652" s="108"/>
      <c r="M1652" s="107"/>
      <c r="N1652" s="107"/>
      <c r="O1652" s="109"/>
      <c r="P1652" s="59"/>
      <c r="Q1652" s="104"/>
    </row>
    <row r="1653" ht="25.5" customHeight="1">
      <c r="A1653" s="110"/>
      <c r="B1653" s="111"/>
      <c r="C1653" s="96"/>
      <c r="D1653" s="112"/>
      <c r="E1653" s="112"/>
      <c r="F1653" s="112"/>
      <c r="G1653" s="113"/>
      <c r="H1653" s="111"/>
      <c r="I1653" s="103"/>
      <c r="J1653" s="103"/>
      <c r="K1653" s="103"/>
      <c r="L1653" s="108"/>
      <c r="M1653" s="103"/>
      <c r="N1653" s="103"/>
      <c r="O1653" s="114"/>
      <c r="P1653" s="110"/>
      <c r="Q1653" s="111"/>
    </row>
    <row r="1654" ht="25.5" customHeight="1">
      <c r="A1654" s="59"/>
      <c r="B1654" s="104"/>
      <c r="C1654" s="96"/>
      <c r="D1654" s="105"/>
      <c r="E1654" s="105"/>
      <c r="F1654" s="105"/>
      <c r="G1654" s="106"/>
      <c r="H1654" s="104"/>
      <c r="I1654" s="107"/>
      <c r="J1654" s="107"/>
      <c r="K1654" s="107"/>
      <c r="L1654" s="108"/>
      <c r="M1654" s="107"/>
      <c r="N1654" s="107"/>
      <c r="O1654" s="109"/>
      <c r="P1654" s="59"/>
      <c r="Q1654" s="104"/>
    </row>
    <row r="1655" ht="25.5" customHeight="1">
      <c r="A1655" s="110"/>
      <c r="B1655" s="111"/>
      <c r="C1655" s="96"/>
      <c r="D1655" s="112"/>
      <c r="E1655" s="112"/>
      <c r="F1655" s="112"/>
      <c r="G1655" s="113"/>
      <c r="H1655" s="111"/>
      <c r="I1655" s="103"/>
      <c r="J1655" s="103"/>
      <c r="K1655" s="103"/>
      <c r="L1655" s="108"/>
      <c r="M1655" s="103"/>
      <c r="N1655" s="103"/>
      <c r="O1655" s="114"/>
      <c r="P1655" s="110"/>
      <c r="Q1655" s="111"/>
    </row>
    <row r="1656" ht="25.5" customHeight="1">
      <c r="A1656" s="59"/>
      <c r="B1656" s="104"/>
      <c r="C1656" s="96"/>
      <c r="D1656" s="105"/>
      <c r="E1656" s="105"/>
      <c r="F1656" s="105"/>
      <c r="G1656" s="106"/>
      <c r="H1656" s="104"/>
      <c r="I1656" s="107"/>
      <c r="J1656" s="107"/>
      <c r="K1656" s="107"/>
      <c r="L1656" s="108"/>
      <c r="M1656" s="107"/>
      <c r="N1656" s="107"/>
      <c r="O1656" s="109"/>
      <c r="P1656" s="59"/>
      <c r="Q1656" s="104"/>
    </row>
    <row r="1657" ht="25.5" customHeight="1">
      <c r="A1657" s="110"/>
      <c r="B1657" s="111"/>
      <c r="C1657" s="96"/>
      <c r="D1657" s="112"/>
      <c r="E1657" s="112"/>
      <c r="F1657" s="112"/>
      <c r="G1657" s="113"/>
      <c r="H1657" s="111"/>
      <c r="I1657" s="103"/>
      <c r="J1657" s="103"/>
      <c r="K1657" s="103"/>
      <c r="L1657" s="108"/>
      <c r="M1657" s="103"/>
      <c r="N1657" s="103"/>
      <c r="O1657" s="114"/>
      <c r="P1657" s="110"/>
      <c r="Q1657" s="111"/>
    </row>
    <row r="1658" ht="25.5" customHeight="1">
      <c r="A1658" s="59"/>
      <c r="B1658" s="104"/>
      <c r="C1658" s="96"/>
      <c r="D1658" s="105"/>
      <c r="E1658" s="105"/>
      <c r="F1658" s="105"/>
      <c r="G1658" s="106"/>
      <c r="H1658" s="104"/>
      <c r="I1658" s="107"/>
      <c r="J1658" s="107"/>
      <c r="K1658" s="107"/>
      <c r="L1658" s="108"/>
      <c r="M1658" s="107"/>
      <c r="N1658" s="107"/>
      <c r="O1658" s="109"/>
      <c r="P1658" s="59"/>
      <c r="Q1658" s="104"/>
    </row>
    <row r="1659" ht="25.5" customHeight="1">
      <c r="A1659" s="110"/>
      <c r="B1659" s="111"/>
      <c r="C1659" s="96"/>
      <c r="D1659" s="112"/>
      <c r="E1659" s="112"/>
      <c r="F1659" s="112"/>
      <c r="G1659" s="113"/>
      <c r="H1659" s="111"/>
      <c r="I1659" s="103"/>
      <c r="J1659" s="103"/>
      <c r="K1659" s="103"/>
      <c r="L1659" s="108"/>
      <c r="M1659" s="103"/>
      <c r="N1659" s="103"/>
      <c r="O1659" s="114"/>
      <c r="P1659" s="110"/>
      <c r="Q1659" s="111"/>
    </row>
    <row r="1660" ht="25.5" customHeight="1">
      <c r="A1660" s="59"/>
      <c r="B1660" s="104"/>
      <c r="C1660" s="96"/>
      <c r="D1660" s="105"/>
      <c r="E1660" s="105"/>
      <c r="F1660" s="105"/>
      <c r="G1660" s="106"/>
      <c r="H1660" s="104"/>
      <c r="I1660" s="107"/>
      <c r="J1660" s="107"/>
      <c r="K1660" s="107"/>
      <c r="L1660" s="108"/>
      <c r="M1660" s="107"/>
      <c r="N1660" s="107"/>
      <c r="O1660" s="109"/>
      <c r="P1660" s="59"/>
      <c r="Q1660" s="104"/>
    </row>
    <row r="1661" ht="25.5" customHeight="1">
      <c r="A1661" s="110"/>
      <c r="B1661" s="111"/>
      <c r="C1661" s="96"/>
      <c r="D1661" s="112"/>
      <c r="E1661" s="112"/>
      <c r="F1661" s="112"/>
      <c r="G1661" s="113"/>
      <c r="H1661" s="111"/>
      <c r="I1661" s="103"/>
      <c r="J1661" s="103"/>
      <c r="K1661" s="103"/>
      <c r="L1661" s="108"/>
      <c r="M1661" s="103"/>
      <c r="N1661" s="103"/>
      <c r="O1661" s="114"/>
      <c r="P1661" s="110"/>
      <c r="Q1661" s="111"/>
    </row>
    <row r="1662" ht="25.5" customHeight="1">
      <c r="A1662" s="59"/>
      <c r="B1662" s="104"/>
      <c r="C1662" s="96"/>
      <c r="D1662" s="105"/>
      <c r="E1662" s="105"/>
      <c r="F1662" s="105"/>
      <c r="G1662" s="106"/>
      <c r="H1662" s="104"/>
      <c r="I1662" s="107"/>
      <c r="J1662" s="107"/>
      <c r="K1662" s="107"/>
      <c r="L1662" s="108"/>
      <c r="M1662" s="107"/>
      <c r="N1662" s="107"/>
      <c r="O1662" s="109"/>
      <c r="P1662" s="59"/>
      <c r="Q1662" s="104"/>
    </row>
    <row r="1663" ht="25.5" customHeight="1">
      <c r="A1663" s="110"/>
      <c r="B1663" s="111"/>
      <c r="C1663" s="96"/>
      <c r="D1663" s="112"/>
      <c r="E1663" s="112"/>
      <c r="F1663" s="112"/>
      <c r="G1663" s="113"/>
      <c r="H1663" s="111"/>
      <c r="I1663" s="103"/>
      <c r="J1663" s="103"/>
      <c r="K1663" s="103"/>
      <c r="L1663" s="108"/>
      <c r="M1663" s="103"/>
      <c r="N1663" s="103"/>
      <c r="O1663" s="114"/>
      <c r="P1663" s="110"/>
      <c r="Q1663" s="111"/>
    </row>
    <row r="1664" ht="25.5" customHeight="1">
      <c r="A1664" s="59"/>
      <c r="B1664" s="104"/>
      <c r="C1664" s="96"/>
      <c r="D1664" s="105"/>
      <c r="E1664" s="105"/>
      <c r="F1664" s="105"/>
      <c r="G1664" s="106"/>
      <c r="H1664" s="104"/>
      <c r="I1664" s="107"/>
      <c r="J1664" s="107"/>
      <c r="K1664" s="107"/>
      <c r="L1664" s="108"/>
      <c r="M1664" s="107"/>
      <c r="N1664" s="107"/>
      <c r="O1664" s="109"/>
      <c r="P1664" s="59"/>
      <c r="Q1664" s="104"/>
    </row>
    <row r="1665" ht="25.5" customHeight="1">
      <c r="A1665" s="110"/>
      <c r="B1665" s="111"/>
      <c r="C1665" s="96"/>
      <c r="D1665" s="112"/>
      <c r="E1665" s="112"/>
      <c r="F1665" s="112"/>
      <c r="G1665" s="113"/>
      <c r="H1665" s="111"/>
      <c r="I1665" s="103"/>
      <c r="J1665" s="103"/>
      <c r="K1665" s="103"/>
      <c r="L1665" s="108"/>
      <c r="M1665" s="103"/>
      <c r="N1665" s="103"/>
      <c r="O1665" s="114"/>
      <c r="P1665" s="110"/>
      <c r="Q1665" s="111"/>
    </row>
    <row r="1666" ht="25.5" customHeight="1">
      <c r="A1666" s="59"/>
      <c r="B1666" s="104"/>
      <c r="C1666" s="96"/>
      <c r="D1666" s="105"/>
      <c r="E1666" s="105"/>
      <c r="F1666" s="105"/>
      <c r="G1666" s="106"/>
      <c r="H1666" s="104"/>
      <c r="I1666" s="107"/>
      <c r="J1666" s="107"/>
      <c r="K1666" s="107"/>
      <c r="L1666" s="108"/>
      <c r="M1666" s="107"/>
      <c r="N1666" s="107"/>
      <c r="O1666" s="109"/>
      <c r="P1666" s="59"/>
      <c r="Q1666" s="104"/>
    </row>
    <row r="1667" ht="25.5" customHeight="1">
      <c r="A1667" s="110"/>
      <c r="B1667" s="111"/>
      <c r="C1667" s="96"/>
      <c r="D1667" s="112"/>
      <c r="E1667" s="112"/>
      <c r="F1667" s="112"/>
      <c r="G1667" s="113"/>
      <c r="H1667" s="111"/>
      <c r="I1667" s="103"/>
      <c r="J1667" s="103"/>
      <c r="K1667" s="103"/>
      <c r="L1667" s="108"/>
      <c r="M1667" s="103"/>
      <c r="N1667" s="103"/>
      <c r="O1667" s="114"/>
      <c r="P1667" s="110"/>
      <c r="Q1667" s="111"/>
    </row>
    <row r="1668" ht="25.5" customHeight="1">
      <c r="A1668" s="59"/>
      <c r="B1668" s="104"/>
      <c r="C1668" s="96"/>
      <c r="D1668" s="105"/>
      <c r="E1668" s="105"/>
      <c r="F1668" s="105"/>
      <c r="G1668" s="106"/>
      <c r="H1668" s="104"/>
      <c r="I1668" s="107"/>
      <c r="J1668" s="107"/>
      <c r="K1668" s="107"/>
      <c r="L1668" s="108"/>
      <c r="M1668" s="107"/>
      <c r="N1668" s="107"/>
      <c r="O1668" s="109"/>
      <c r="P1668" s="59"/>
      <c r="Q1668" s="104"/>
    </row>
    <row r="1669" ht="25.5" customHeight="1">
      <c r="A1669" s="110"/>
      <c r="B1669" s="111"/>
      <c r="C1669" s="96"/>
      <c r="D1669" s="112"/>
      <c r="E1669" s="112"/>
      <c r="F1669" s="112"/>
      <c r="G1669" s="113"/>
      <c r="H1669" s="111"/>
      <c r="I1669" s="103"/>
      <c r="J1669" s="103"/>
      <c r="K1669" s="103"/>
      <c r="L1669" s="108"/>
      <c r="M1669" s="103"/>
      <c r="N1669" s="103"/>
      <c r="O1669" s="114"/>
      <c r="P1669" s="110"/>
      <c r="Q1669" s="111"/>
    </row>
    <row r="1670" ht="25.5" customHeight="1">
      <c r="A1670" s="59"/>
      <c r="B1670" s="104"/>
      <c r="C1670" s="96"/>
      <c r="D1670" s="105"/>
      <c r="E1670" s="105"/>
      <c r="F1670" s="105"/>
      <c r="G1670" s="106"/>
      <c r="H1670" s="104"/>
      <c r="I1670" s="107"/>
      <c r="J1670" s="107"/>
      <c r="K1670" s="107"/>
      <c r="L1670" s="108"/>
      <c r="M1670" s="107"/>
      <c r="N1670" s="107"/>
      <c r="O1670" s="109"/>
      <c r="P1670" s="59"/>
      <c r="Q1670" s="104"/>
    </row>
    <row r="1671" ht="25.5" customHeight="1">
      <c r="A1671" s="110"/>
      <c r="B1671" s="111"/>
      <c r="C1671" s="96"/>
      <c r="D1671" s="112"/>
      <c r="E1671" s="112"/>
      <c r="F1671" s="112"/>
      <c r="G1671" s="113"/>
      <c r="H1671" s="111"/>
      <c r="I1671" s="103"/>
      <c r="J1671" s="103"/>
      <c r="K1671" s="103"/>
      <c r="L1671" s="108"/>
      <c r="M1671" s="103"/>
      <c r="N1671" s="103"/>
      <c r="O1671" s="114"/>
      <c r="P1671" s="110"/>
      <c r="Q1671" s="111"/>
    </row>
    <row r="1672" ht="25.5" customHeight="1">
      <c r="A1672" s="59"/>
      <c r="B1672" s="104"/>
      <c r="C1672" s="96"/>
      <c r="D1672" s="105"/>
      <c r="E1672" s="105"/>
      <c r="F1672" s="105"/>
      <c r="G1672" s="106"/>
      <c r="H1672" s="104"/>
      <c r="I1672" s="107"/>
      <c r="J1672" s="107"/>
      <c r="K1672" s="107"/>
      <c r="L1672" s="108"/>
      <c r="M1672" s="107"/>
      <c r="N1672" s="107"/>
      <c r="O1672" s="109"/>
      <c r="P1672" s="59"/>
      <c r="Q1672" s="104"/>
    </row>
    <row r="1673" ht="25.5" customHeight="1">
      <c r="A1673" s="110"/>
      <c r="B1673" s="111"/>
      <c r="C1673" s="96"/>
      <c r="D1673" s="112"/>
      <c r="E1673" s="112"/>
      <c r="F1673" s="112"/>
      <c r="G1673" s="113"/>
      <c r="H1673" s="111"/>
      <c r="I1673" s="103"/>
      <c r="J1673" s="103"/>
      <c r="K1673" s="103"/>
      <c r="L1673" s="108"/>
      <c r="M1673" s="103"/>
      <c r="N1673" s="103"/>
      <c r="O1673" s="114"/>
      <c r="P1673" s="110"/>
      <c r="Q1673" s="111"/>
    </row>
    <row r="1674" ht="25.5" customHeight="1">
      <c r="A1674" s="59"/>
      <c r="B1674" s="104"/>
      <c r="C1674" s="96"/>
      <c r="D1674" s="105"/>
      <c r="E1674" s="105"/>
      <c r="F1674" s="105"/>
      <c r="G1674" s="106"/>
      <c r="H1674" s="104"/>
      <c r="I1674" s="107"/>
      <c r="J1674" s="107"/>
      <c r="K1674" s="107"/>
      <c r="L1674" s="108"/>
      <c r="M1674" s="107"/>
      <c r="N1674" s="107"/>
      <c r="O1674" s="109"/>
      <c r="P1674" s="59"/>
      <c r="Q1674" s="104"/>
    </row>
    <row r="1675" ht="25.5" customHeight="1">
      <c r="A1675" s="110"/>
      <c r="B1675" s="111"/>
      <c r="C1675" s="96"/>
      <c r="D1675" s="112"/>
      <c r="E1675" s="112"/>
      <c r="F1675" s="112"/>
      <c r="G1675" s="113"/>
      <c r="H1675" s="111"/>
      <c r="I1675" s="103"/>
      <c r="J1675" s="103"/>
      <c r="K1675" s="103"/>
      <c r="L1675" s="108"/>
      <c r="M1675" s="103"/>
      <c r="N1675" s="103"/>
      <c r="O1675" s="114"/>
      <c r="P1675" s="110"/>
      <c r="Q1675" s="111"/>
    </row>
    <row r="1676" ht="25.5" customHeight="1">
      <c r="A1676" s="59"/>
      <c r="B1676" s="104"/>
      <c r="C1676" s="96"/>
      <c r="D1676" s="105"/>
      <c r="E1676" s="105"/>
      <c r="F1676" s="105"/>
      <c r="G1676" s="106"/>
      <c r="H1676" s="104"/>
      <c r="I1676" s="107"/>
      <c r="J1676" s="107"/>
      <c r="K1676" s="107"/>
      <c r="L1676" s="108"/>
      <c r="M1676" s="107"/>
      <c r="N1676" s="107"/>
      <c r="O1676" s="109"/>
      <c r="P1676" s="59"/>
      <c r="Q1676" s="104"/>
    </row>
    <row r="1677" ht="25.5" customHeight="1">
      <c r="A1677" s="110"/>
      <c r="B1677" s="111"/>
      <c r="C1677" s="96"/>
      <c r="D1677" s="112"/>
      <c r="E1677" s="112"/>
      <c r="F1677" s="112"/>
      <c r="G1677" s="113"/>
      <c r="H1677" s="111"/>
      <c r="I1677" s="103"/>
      <c r="J1677" s="103"/>
      <c r="K1677" s="103"/>
      <c r="L1677" s="108"/>
      <c r="M1677" s="103"/>
      <c r="N1677" s="103"/>
      <c r="O1677" s="114"/>
      <c r="P1677" s="110"/>
      <c r="Q1677" s="111"/>
    </row>
    <row r="1678" ht="25.5" customHeight="1">
      <c r="A1678" s="59"/>
      <c r="B1678" s="104"/>
      <c r="C1678" s="96"/>
      <c r="D1678" s="105"/>
      <c r="E1678" s="105"/>
      <c r="F1678" s="105"/>
      <c r="G1678" s="106"/>
      <c r="H1678" s="104"/>
      <c r="I1678" s="107"/>
      <c r="J1678" s="107"/>
      <c r="K1678" s="107"/>
      <c r="L1678" s="108"/>
      <c r="M1678" s="107"/>
      <c r="N1678" s="107"/>
      <c r="O1678" s="109"/>
      <c r="P1678" s="59"/>
      <c r="Q1678" s="104"/>
    </row>
    <row r="1679" ht="25.5" customHeight="1">
      <c r="A1679" s="110"/>
      <c r="B1679" s="111"/>
      <c r="C1679" s="96"/>
      <c r="D1679" s="112"/>
      <c r="E1679" s="112"/>
      <c r="F1679" s="112"/>
      <c r="G1679" s="113"/>
      <c r="H1679" s="111"/>
      <c r="I1679" s="103"/>
      <c r="J1679" s="103"/>
      <c r="K1679" s="103"/>
      <c r="L1679" s="108"/>
      <c r="M1679" s="103"/>
      <c r="N1679" s="103"/>
      <c r="O1679" s="114"/>
      <c r="P1679" s="110"/>
      <c r="Q1679" s="111"/>
    </row>
    <row r="1680" ht="25.5" customHeight="1">
      <c r="A1680" s="59"/>
      <c r="B1680" s="104"/>
      <c r="C1680" s="96"/>
      <c r="D1680" s="105"/>
      <c r="E1680" s="105"/>
      <c r="F1680" s="105"/>
      <c r="G1680" s="106"/>
      <c r="H1680" s="104"/>
      <c r="I1680" s="107"/>
      <c r="J1680" s="107"/>
      <c r="K1680" s="107"/>
      <c r="L1680" s="108"/>
      <c r="M1680" s="107"/>
      <c r="N1680" s="107"/>
      <c r="O1680" s="109"/>
      <c r="P1680" s="59"/>
      <c r="Q1680" s="104"/>
    </row>
    <row r="1681" ht="25.5" customHeight="1">
      <c r="A1681" s="110"/>
      <c r="B1681" s="111"/>
      <c r="C1681" s="96"/>
      <c r="D1681" s="112"/>
      <c r="E1681" s="112"/>
      <c r="F1681" s="112"/>
      <c r="G1681" s="113"/>
      <c r="H1681" s="111"/>
      <c r="I1681" s="103"/>
      <c r="J1681" s="103"/>
      <c r="K1681" s="103"/>
      <c r="L1681" s="108"/>
      <c r="M1681" s="103"/>
      <c r="N1681" s="103"/>
      <c r="O1681" s="114"/>
      <c r="P1681" s="110"/>
      <c r="Q1681" s="111"/>
    </row>
    <row r="1682" ht="25.5" customHeight="1">
      <c r="A1682" s="59"/>
      <c r="B1682" s="104"/>
      <c r="C1682" s="96"/>
      <c r="D1682" s="105"/>
      <c r="E1682" s="105"/>
      <c r="F1682" s="105"/>
      <c r="G1682" s="106"/>
      <c r="H1682" s="104"/>
      <c r="I1682" s="107"/>
      <c r="J1682" s="107"/>
      <c r="K1682" s="107"/>
      <c r="L1682" s="108"/>
      <c r="M1682" s="107"/>
      <c r="N1682" s="107"/>
      <c r="O1682" s="109"/>
      <c r="P1682" s="59"/>
      <c r="Q1682" s="104"/>
    </row>
    <row r="1683" ht="25.5" customHeight="1">
      <c r="A1683" s="110"/>
      <c r="B1683" s="111"/>
      <c r="C1683" s="96"/>
      <c r="D1683" s="112"/>
      <c r="E1683" s="112"/>
      <c r="F1683" s="112"/>
      <c r="G1683" s="113"/>
      <c r="H1683" s="111"/>
      <c r="I1683" s="103"/>
      <c r="J1683" s="103"/>
      <c r="K1683" s="103"/>
      <c r="L1683" s="108"/>
      <c r="M1683" s="103"/>
      <c r="N1683" s="103"/>
      <c r="O1683" s="114"/>
      <c r="P1683" s="110"/>
      <c r="Q1683" s="111"/>
    </row>
    <row r="1684" ht="25.5" customHeight="1">
      <c r="A1684" s="59"/>
      <c r="B1684" s="104"/>
      <c r="C1684" s="96"/>
      <c r="D1684" s="105"/>
      <c r="E1684" s="105"/>
      <c r="F1684" s="105"/>
      <c r="G1684" s="106"/>
      <c r="H1684" s="104"/>
      <c r="I1684" s="107"/>
      <c r="J1684" s="107"/>
      <c r="K1684" s="107"/>
      <c r="L1684" s="108"/>
      <c r="M1684" s="107"/>
      <c r="N1684" s="107"/>
      <c r="O1684" s="109"/>
      <c r="P1684" s="59"/>
      <c r="Q1684" s="104"/>
    </row>
    <row r="1685" ht="25.5" customHeight="1">
      <c r="A1685" s="110"/>
      <c r="B1685" s="111"/>
      <c r="C1685" s="96"/>
      <c r="D1685" s="112"/>
      <c r="E1685" s="112"/>
      <c r="F1685" s="112"/>
      <c r="G1685" s="113"/>
      <c r="H1685" s="111"/>
      <c r="I1685" s="103"/>
      <c r="J1685" s="103"/>
      <c r="K1685" s="103"/>
      <c r="L1685" s="108"/>
      <c r="M1685" s="103"/>
      <c r="N1685" s="103"/>
      <c r="O1685" s="114"/>
      <c r="P1685" s="110"/>
      <c r="Q1685" s="111"/>
    </row>
    <row r="1686" ht="25.5" customHeight="1">
      <c r="A1686" s="59"/>
      <c r="B1686" s="104"/>
      <c r="C1686" s="96"/>
      <c r="D1686" s="105"/>
      <c r="E1686" s="105"/>
      <c r="F1686" s="105"/>
      <c r="G1686" s="106"/>
      <c r="H1686" s="104"/>
      <c r="I1686" s="107"/>
      <c r="J1686" s="107"/>
      <c r="K1686" s="107"/>
      <c r="L1686" s="108"/>
      <c r="M1686" s="107"/>
      <c r="N1686" s="107"/>
      <c r="O1686" s="109"/>
      <c r="P1686" s="59"/>
      <c r="Q1686" s="104"/>
    </row>
    <row r="1687" ht="25.5" customHeight="1">
      <c r="A1687" s="110"/>
      <c r="B1687" s="111"/>
      <c r="C1687" s="96"/>
      <c r="D1687" s="112"/>
      <c r="E1687" s="112"/>
      <c r="F1687" s="112"/>
      <c r="G1687" s="113"/>
      <c r="H1687" s="111"/>
      <c r="I1687" s="103"/>
      <c r="J1687" s="103"/>
      <c r="K1687" s="103"/>
      <c r="L1687" s="108"/>
      <c r="M1687" s="103"/>
      <c r="N1687" s="103"/>
      <c r="O1687" s="114"/>
      <c r="P1687" s="110"/>
      <c r="Q1687" s="111"/>
    </row>
    <row r="1688" ht="25.5" customHeight="1">
      <c r="A1688" s="59"/>
      <c r="B1688" s="104"/>
      <c r="C1688" s="96"/>
      <c r="D1688" s="105"/>
      <c r="E1688" s="105"/>
      <c r="F1688" s="105"/>
      <c r="G1688" s="106"/>
      <c r="H1688" s="104"/>
      <c r="I1688" s="107"/>
      <c r="J1688" s="107"/>
      <c r="K1688" s="107"/>
      <c r="L1688" s="108"/>
      <c r="M1688" s="107"/>
      <c r="N1688" s="107"/>
      <c r="O1688" s="109"/>
      <c r="P1688" s="59"/>
      <c r="Q1688" s="104"/>
    </row>
    <row r="1689" ht="25.5" customHeight="1">
      <c r="A1689" s="110"/>
      <c r="B1689" s="111"/>
      <c r="C1689" s="96"/>
      <c r="D1689" s="112"/>
      <c r="E1689" s="112"/>
      <c r="F1689" s="112"/>
      <c r="G1689" s="113"/>
      <c r="H1689" s="111"/>
      <c r="I1689" s="103"/>
      <c r="J1689" s="103"/>
      <c r="K1689" s="103"/>
      <c r="L1689" s="108"/>
      <c r="M1689" s="103"/>
      <c r="N1689" s="103"/>
      <c r="O1689" s="114"/>
      <c r="P1689" s="110"/>
      <c r="Q1689" s="111"/>
    </row>
    <row r="1690" ht="25.5" customHeight="1">
      <c r="A1690" s="59"/>
      <c r="B1690" s="104"/>
      <c r="C1690" s="96"/>
      <c r="D1690" s="105"/>
      <c r="E1690" s="105"/>
      <c r="F1690" s="105"/>
      <c r="G1690" s="106"/>
      <c r="H1690" s="104"/>
      <c r="I1690" s="107"/>
      <c r="J1690" s="107"/>
      <c r="K1690" s="107"/>
      <c r="L1690" s="108"/>
      <c r="M1690" s="107"/>
      <c r="N1690" s="107"/>
      <c r="O1690" s="109"/>
      <c r="P1690" s="59"/>
      <c r="Q1690" s="104"/>
    </row>
    <row r="1691" ht="25.5" customHeight="1">
      <c r="A1691" s="110"/>
      <c r="B1691" s="111"/>
      <c r="C1691" s="96"/>
      <c r="D1691" s="112"/>
      <c r="E1691" s="112"/>
      <c r="F1691" s="112"/>
      <c r="G1691" s="113"/>
      <c r="H1691" s="111"/>
      <c r="I1691" s="103"/>
      <c r="J1691" s="103"/>
      <c r="K1691" s="103"/>
      <c r="L1691" s="108"/>
      <c r="M1691" s="103"/>
      <c r="N1691" s="103"/>
      <c r="O1691" s="114"/>
      <c r="P1691" s="110"/>
      <c r="Q1691" s="111"/>
    </row>
    <row r="1692" ht="25.5" customHeight="1">
      <c r="A1692" s="59"/>
      <c r="B1692" s="104"/>
      <c r="C1692" s="96"/>
      <c r="D1692" s="105"/>
      <c r="E1692" s="105"/>
      <c r="F1692" s="105"/>
      <c r="G1692" s="106"/>
      <c r="H1692" s="104"/>
      <c r="I1692" s="107"/>
      <c r="J1692" s="107"/>
      <c r="K1692" s="107"/>
      <c r="L1692" s="108"/>
      <c r="M1692" s="107"/>
      <c r="N1692" s="107"/>
      <c r="O1692" s="109"/>
      <c r="P1692" s="59"/>
      <c r="Q1692" s="104"/>
    </row>
    <row r="1693" ht="25.5" customHeight="1">
      <c r="A1693" s="110"/>
      <c r="B1693" s="111"/>
      <c r="C1693" s="96"/>
      <c r="D1693" s="112"/>
      <c r="E1693" s="112"/>
      <c r="F1693" s="112"/>
      <c r="G1693" s="113"/>
      <c r="H1693" s="111"/>
      <c r="I1693" s="103"/>
      <c r="J1693" s="103"/>
      <c r="K1693" s="103"/>
      <c r="L1693" s="108"/>
      <c r="M1693" s="103"/>
      <c r="N1693" s="103"/>
      <c r="O1693" s="114"/>
      <c r="P1693" s="110"/>
      <c r="Q1693" s="111"/>
    </row>
    <row r="1694" ht="25.5" customHeight="1">
      <c r="A1694" s="59"/>
      <c r="B1694" s="104"/>
      <c r="C1694" s="96"/>
      <c r="D1694" s="105"/>
      <c r="E1694" s="105"/>
      <c r="F1694" s="105"/>
      <c r="G1694" s="106"/>
      <c r="H1694" s="104"/>
      <c r="I1694" s="107"/>
      <c r="J1694" s="107"/>
      <c r="K1694" s="107"/>
      <c r="L1694" s="108"/>
      <c r="M1694" s="107"/>
      <c r="N1694" s="107"/>
      <c r="O1694" s="109"/>
      <c r="P1694" s="59"/>
      <c r="Q1694" s="104"/>
    </row>
    <row r="1695" ht="25.5" customHeight="1">
      <c r="A1695" s="110"/>
      <c r="B1695" s="111"/>
      <c r="C1695" s="96"/>
      <c r="D1695" s="112"/>
      <c r="E1695" s="112"/>
      <c r="F1695" s="112"/>
      <c r="G1695" s="113"/>
      <c r="H1695" s="111"/>
      <c r="I1695" s="103"/>
      <c r="J1695" s="103"/>
      <c r="K1695" s="103"/>
      <c r="L1695" s="108"/>
      <c r="M1695" s="103"/>
      <c r="N1695" s="103"/>
      <c r="O1695" s="114"/>
      <c r="P1695" s="110"/>
      <c r="Q1695" s="111"/>
    </row>
    <row r="1696" ht="25.5" customHeight="1">
      <c r="A1696" s="59"/>
      <c r="B1696" s="104"/>
      <c r="C1696" s="96"/>
      <c r="D1696" s="105"/>
      <c r="E1696" s="105"/>
      <c r="F1696" s="105"/>
      <c r="G1696" s="106"/>
      <c r="H1696" s="104"/>
      <c r="I1696" s="107"/>
      <c r="J1696" s="107"/>
      <c r="K1696" s="107"/>
      <c r="L1696" s="108"/>
      <c r="M1696" s="107"/>
      <c r="N1696" s="107"/>
      <c r="O1696" s="109"/>
      <c r="P1696" s="59"/>
      <c r="Q1696" s="104"/>
    </row>
    <row r="1697" ht="25.5" customHeight="1">
      <c r="A1697" s="110"/>
      <c r="B1697" s="111"/>
      <c r="C1697" s="96"/>
      <c r="D1697" s="112"/>
      <c r="E1697" s="112"/>
      <c r="F1697" s="112"/>
      <c r="G1697" s="113"/>
      <c r="H1697" s="111"/>
      <c r="I1697" s="103"/>
      <c r="J1697" s="103"/>
      <c r="K1697" s="103"/>
      <c r="L1697" s="108"/>
      <c r="M1697" s="103"/>
      <c r="N1697" s="103"/>
      <c r="O1697" s="114"/>
      <c r="P1697" s="110"/>
      <c r="Q1697" s="111"/>
    </row>
    <row r="1698" ht="25.5" customHeight="1">
      <c r="A1698" s="59"/>
      <c r="B1698" s="104"/>
      <c r="C1698" s="96"/>
      <c r="D1698" s="105"/>
      <c r="E1698" s="105"/>
      <c r="F1698" s="105"/>
      <c r="G1698" s="106"/>
      <c r="H1698" s="104"/>
      <c r="I1698" s="107"/>
      <c r="J1698" s="107"/>
      <c r="K1698" s="107"/>
      <c r="L1698" s="108"/>
      <c r="M1698" s="107"/>
      <c r="N1698" s="107"/>
      <c r="O1698" s="109"/>
      <c r="P1698" s="59"/>
      <c r="Q1698" s="104"/>
    </row>
    <row r="1699" ht="25.5" customHeight="1">
      <c r="A1699" s="110"/>
      <c r="B1699" s="111"/>
      <c r="C1699" s="96"/>
      <c r="D1699" s="112"/>
      <c r="E1699" s="112"/>
      <c r="F1699" s="112"/>
      <c r="G1699" s="113"/>
      <c r="H1699" s="111"/>
      <c r="I1699" s="103"/>
      <c r="J1699" s="103"/>
      <c r="K1699" s="103"/>
      <c r="L1699" s="108"/>
      <c r="M1699" s="103"/>
      <c r="N1699" s="103"/>
      <c r="O1699" s="114"/>
      <c r="P1699" s="110"/>
      <c r="Q1699" s="111"/>
    </row>
    <row r="1700" ht="25.5" customHeight="1">
      <c r="A1700" s="59"/>
      <c r="B1700" s="104"/>
      <c r="C1700" s="96"/>
      <c r="D1700" s="105"/>
      <c r="E1700" s="105"/>
      <c r="F1700" s="105"/>
      <c r="G1700" s="106"/>
      <c r="H1700" s="104"/>
      <c r="I1700" s="107"/>
      <c r="J1700" s="107"/>
      <c r="K1700" s="107"/>
      <c r="L1700" s="108"/>
      <c r="M1700" s="107"/>
      <c r="N1700" s="107"/>
      <c r="O1700" s="109"/>
      <c r="P1700" s="59"/>
      <c r="Q1700" s="104"/>
    </row>
    <row r="1701" ht="25.5" customHeight="1">
      <c r="A1701" s="110"/>
      <c r="B1701" s="111"/>
      <c r="C1701" s="96"/>
      <c r="D1701" s="112"/>
      <c r="E1701" s="112"/>
      <c r="F1701" s="112"/>
      <c r="G1701" s="113"/>
      <c r="H1701" s="111"/>
      <c r="I1701" s="103"/>
      <c r="J1701" s="103"/>
      <c r="K1701" s="103"/>
      <c r="L1701" s="108"/>
      <c r="M1701" s="103"/>
      <c r="N1701" s="103"/>
      <c r="O1701" s="114"/>
      <c r="P1701" s="110"/>
      <c r="Q1701" s="111"/>
    </row>
    <row r="1702" ht="25.5" customHeight="1">
      <c r="A1702" s="59"/>
      <c r="B1702" s="104"/>
      <c r="C1702" s="96"/>
      <c r="D1702" s="105"/>
      <c r="E1702" s="105"/>
      <c r="F1702" s="105"/>
      <c r="G1702" s="106"/>
      <c r="H1702" s="104"/>
      <c r="I1702" s="107"/>
      <c r="J1702" s="107"/>
      <c r="K1702" s="107"/>
      <c r="L1702" s="108"/>
      <c r="M1702" s="107"/>
      <c r="N1702" s="107"/>
      <c r="O1702" s="109"/>
      <c r="P1702" s="59"/>
      <c r="Q1702" s="104"/>
    </row>
    <row r="1703" ht="25.5" customHeight="1">
      <c r="A1703" s="110"/>
      <c r="B1703" s="111"/>
      <c r="C1703" s="96"/>
      <c r="D1703" s="112"/>
      <c r="E1703" s="112"/>
      <c r="F1703" s="112"/>
      <c r="G1703" s="113"/>
      <c r="H1703" s="111"/>
      <c r="I1703" s="103"/>
      <c r="J1703" s="103"/>
      <c r="K1703" s="103"/>
      <c r="L1703" s="108"/>
      <c r="M1703" s="103"/>
      <c r="N1703" s="103"/>
      <c r="O1703" s="114"/>
      <c r="P1703" s="110"/>
      <c r="Q1703" s="111"/>
    </row>
    <row r="1704" ht="25.5" customHeight="1">
      <c r="A1704" s="59"/>
      <c r="B1704" s="104"/>
      <c r="C1704" s="96"/>
      <c r="D1704" s="105"/>
      <c r="E1704" s="105"/>
      <c r="F1704" s="105"/>
      <c r="G1704" s="106"/>
      <c r="H1704" s="104"/>
      <c r="I1704" s="107"/>
      <c r="J1704" s="107"/>
      <c r="K1704" s="107"/>
      <c r="L1704" s="108"/>
      <c r="M1704" s="107"/>
      <c r="N1704" s="107"/>
      <c r="O1704" s="109"/>
      <c r="P1704" s="59"/>
      <c r="Q1704" s="104"/>
    </row>
    <row r="1705" ht="25.5" customHeight="1">
      <c r="A1705" s="110"/>
      <c r="B1705" s="111"/>
      <c r="C1705" s="96"/>
      <c r="D1705" s="112"/>
      <c r="E1705" s="112"/>
      <c r="F1705" s="112"/>
      <c r="G1705" s="113"/>
      <c r="H1705" s="111"/>
      <c r="I1705" s="103"/>
      <c r="J1705" s="103"/>
      <c r="K1705" s="103"/>
      <c r="L1705" s="108"/>
      <c r="M1705" s="103"/>
      <c r="N1705" s="103"/>
      <c r="O1705" s="114"/>
      <c r="P1705" s="110"/>
      <c r="Q1705" s="111"/>
    </row>
    <row r="1706" ht="25.5" customHeight="1">
      <c r="A1706" s="59"/>
      <c r="B1706" s="104"/>
      <c r="C1706" s="96"/>
      <c r="D1706" s="105"/>
      <c r="E1706" s="105"/>
      <c r="F1706" s="105"/>
      <c r="G1706" s="106"/>
      <c r="H1706" s="104"/>
      <c r="I1706" s="107"/>
      <c r="J1706" s="107"/>
      <c r="K1706" s="107"/>
      <c r="L1706" s="108"/>
      <c r="M1706" s="107"/>
      <c r="N1706" s="107"/>
      <c r="O1706" s="109"/>
      <c r="P1706" s="59"/>
      <c r="Q1706" s="104"/>
    </row>
    <row r="1707" ht="25.5" customHeight="1">
      <c r="A1707" s="110"/>
      <c r="B1707" s="111"/>
      <c r="C1707" s="96"/>
      <c r="D1707" s="112"/>
      <c r="E1707" s="112"/>
      <c r="F1707" s="112"/>
      <c r="G1707" s="113"/>
      <c r="H1707" s="111"/>
      <c r="I1707" s="103"/>
      <c r="J1707" s="103"/>
      <c r="K1707" s="103"/>
      <c r="L1707" s="108"/>
      <c r="M1707" s="103"/>
      <c r="N1707" s="103"/>
      <c r="O1707" s="114"/>
      <c r="P1707" s="110"/>
      <c r="Q1707" s="111"/>
    </row>
    <row r="1708" ht="25.5" customHeight="1">
      <c r="A1708" s="59"/>
      <c r="B1708" s="104"/>
      <c r="C1708" s="96"/>
      <c r="D1708" s="105"/>
      <c r="E1708" s="105"/>
      <c r="F1708" s="105"/>
      <c r="G1708" s="106"/>
      <c r="H1708" s="104"/>
      <c r="I1708" s="107"/>
      <c r="J1708" s="107"/>
      <c r="K1708" s="107"/>
      <c r="L1708" s="108"/>
      <c r="M1708" s="107"/>
      <c r="N1708" s="107"/>
      <c r="O1708" s="109"/>
      <c r="P1708" s="59"/>
      <c r="Q1708" s="104"/>
    </row>
    <row r="1709" ht="25.5" customHeight="1">
      <c r="A1709" s="110"/>
      <c r="B1709" s="111"/>
      <c r="C1709" s="96"/>
      <c r="D1709" s="112"/>
      <c r="E1709" s="112"/>
      <c r="F1709" s="112"/>
      <c r="G1709" s="113"/>
      <c r="H1709" s="111"/>
      <c r="I1709" s="103"/>
      <c r="J1709" s="103"/>
      <c r="K1709" s="103"/>
      <c r="L1709" s="108"/>
      <c r="M1709" s="103"/>
      <c r="N1709" s="103"/>
      <c r="O1709" s="114"/>
      <c r="P1709" s="110"/>
      <c r="Q1709" s="111"/>
    </row>
    <row r="1710" ht="25.5" customHeight="1">
      <c r="A1710" s="59"/>
      <c r="B1710" s="104"/>
      <c r="C1710" s="96"/>
      <c r="D1710" s="105"/>
      <c r="E1710" s="105"/>
      <c r="F1710" s="105"/>
      <c r="G1710" s="106"/>
      <c r="H1710" s="104"/>
      <c r="I1710" s="107"/>
      <c r="J1710" s="107"/>
      <c r="K1710" s="107"/>
      <c r="L1710" s="108"/>
      <c r="M1710" s="107"/>
      <c r="N1710" s="107"/>
      <c r="O1710" s="109"/>
      <c r="P1710" s="59"/>
      <c r="Q1710" s="104"/>
    </row>
    <row r="1711" ht="25.5" customHeight="1">
      <c r="A1711" s="110"/>
      <c r="B1711" s="111"/>
      <c r="C1711" s="96"/>
      <c r="D1711" s="112"/>
      <c r="E1711" s="112"/>
      <c r="F1711" s="112"/>
      <c r="G1711" s="113"/>
      <c r="H1711" s="111"/>
      <c r="I1711" s="103"/>
      <c r="J1711" s="103"/>
      <c r="K1711" s="103"/>
      <c r="L1711" s="108"/>
      <c r="M1711" s="103"/>
      <c r="N1711" s="103"/>
      <c r="O1711" s="114"/>
      <c r="P1711" s="110"/>
      <c r="Q1711" s="111"/>
    </row>
    <row r="1712" ht="25.5" customHeight="1">
      <c r="A1712" s="59"/>
      <c r="B1712" s="104"/>
      <c r="C1712" s="96"/>
      <c r="D1712" s="105"/>
      <c r="E1712" s="105"/>
      <c r="F1712" s="105"/>
      <c r="G1712" s="106"/>
      <c r="H1712" s="104"/>
      <c r="I1712" s="107"/>
      <c r="J1712" s="107"/>
      <c r="K1712" s="107"/>
      <c r="L1712" s="108"/>
      <c r="M1712" s="107"/>
      <c r="N1712" s="107"/>
      <c r="O1712" s="109"/>
      <c r="P1712" s="59"/>
      <c r="Q1712" s="104"/>
    </row>
    <row r="1713" ht="25.5" customHeight="1">
      <c r="A1713" s="110"/>
      <c r="B1713" s="111"/>
      <c r="C1713" s="96"/>
      <c r="D1713" s="112"/>
      <c r="E1713" s="112"/>
      <c r="F1713" s="112"/>
      <c r="G1713" s="113"/>
      <c r="H1713" s="111"/>
      <c r="I1713" s="103"/>
      <c r="J1713" s="103"/>
      <c r="K1713" s="103"/>
      <c r="L1713" s="108"/>
      <c r="M1713" s="103"/>
      <c r="N1713" s="103"/>
      <c r="O1713" s="114"/>
      <c r="P1713" s="110"/>
      <c r="Q1713" s="111"/>
    </row>
    <row r="1714" ht="25.5" customHeight="1">
      <c r="A1714" s="59"/>
      <c r="B1714" s="104"/>
      <c r="C1714" s="96"/>
      <c r="D1714" s="105"/>
      <c r="E1714" s="105"/>
      <c r="F1714" s="105"/>
      <c r="G1714" s="106"/>
      <c r="H1714" s="104"/>
      <c r="I1714" s="107"/>
      <c r="J1714" s="107"/>
      <c r="K1714" s="107"/>
      <c r="L1714" s="108"/>
      <c r="M1714" s="107"/>
      <c r="N1714" s="107"/>
      <c r="O1714" s="109"/>
      <c r="P1714" s="59"/>
      <c r="Q1714" s="104"/>
    </row>
    <row r="1715" ht="25.5" customHeight="1">
      <c r="A1715" s="110"/>
      <c r="B1715" s="111"/>
      <c r="C1715" s="96"/>
      <c r="D1715" s="112"/>
      <c r="E1715" s="112"/>
      <c r="F1715" s="112"/>
      <c r="G1715" s="113"/>
      <c r="H1715" s="111"/>
      <c r="I1715" s="103"/>
      <c r="J1715" s="103"/>
      <c r="K1715" s="103"/>
      <c r="L1715" s="108"/>
      <c r="M1715" s="103"/>
      <c r="N1715" s="103"/>
      <c r="O1715" s="114"/>
      <c r="P1715" s="110"/>
      <c r="Q1715" s="111"/>
    </row>
    <row r="1716" ht="25.5" customHeight="1">
      <c r="A1716" s="59"/>
      <c r="B1716" s="104"/>
      <c r="C1716" s="96"/>
      <c r="D1716" s="105"/>
      <c r="E1716" s="105"/>
      <c r="F1716" s="105"/>
      <c r="G1716" s="106"/>
      <c r="H1716" s="104"/>
      <c r="I1716" s="107"/>
      <c r="J1716" s="107"/>
      <c r="K1716" s="107"/>
      <c r="L1716" s="108"/>
      <c r="M1716" s="107"/>
      <c r="N1716" s="107"/>
      <c r="O1716" s="109"/>
      <c r="P1716" s="59"/>
      <c r="Q1716" s="104"/>
    </row>
    <row r="1717" ht="25.5" customHeight="1">
      <c r="A1717" s="110"/>
      <c r="B1717" s="111"/>
      <c r="C1717" s="96"/>
      <c r="D1717" s="112"/>
      <c r="E1717" s="112"/>
      <c r="F1717" s="112"/>
      <c r="G1717" s="113"/>
      <c r="H1717" s="111"/>
      <c r="I1717" s="103"/>
      <c r="J1717" s="103"/>
      <c r="K1717" s="103"/>
      <c r="L1717" s="108"/>
      <c r="M1717" s="103"/>
      <c r="N1717" s="103"/>
      <c r="O1717" s="114"/>
      <c r="P1717" s="110"/>
      <c r="Q1717" s="111"/>
    </row>
    <row r="1718" ht="25.5" customHeight="1">
      <c r="A1718" s="59"/>
      <c r="B1718" s="104"/>
      <c r="C1718" s="96"/>
      <c r="D1718" s="105"/>
      <c r="E1718" s="105"/>
      <c r="F1718" s="105"/>
      <c r="G1718" s="106"/>
      <c r="H1718" s="104"/>
      <c r="I1718" s="107"/>
      <c r="J1718" s="107"/>
      <c r="K1718" s="107"/>
      <c r="L1718" s="108"/>
      <c r="M1718" s="107"/>
      <c r="N1718" s="107"/>
      <c r="O1718" s="109"/>
      <c r="P1718" s="59"/>
      <c r="Q1718" s="104"/>
    </row>
    <row r="1719" ht="25.5" customHeight="1">
      <c r="A1719" s="110"/>
      <c r="B1719" s="111"/>
      <c r="C1719" s="96"/>
      <c r="D1719" s="112"/>
      <c r="E1719" s="112"/>
      <c r="F1719" s="112"/>
      <c r="G1719" s="113"/>
      <c r="H1719" s="111"/>
      <c r="I1719" s="103"/>
      <c r="J1719" s="103"/>
      <c r="K1719" s="103"/>
      <c r="L1719" s="108"/>
      <c r="M1719" s="103"/>
      <c r="N1719" s="103"/>
      <c r="O1719" s="114"/>
      <c r="P1719" s="110"/>
      <c r="Q1719" s="111"/>
    </row>
    <row r="1720" ht="25.5" customHeight="1">
      <c r="A1720" s="59"/>
      <c r="B1720" s="104"/>
      <c r="C1720" s="96"/>
      <c r="D1720" s="105"/>
      <c r="E1720" s="105"/>
      <c r="F1720" s="105"/>
      <c r="G1720" s="106"/>
      <c r="H1720" s="104"/>
      <c r="I1720" s="107"/>
      <c r="J1720" s="107"/>
      <c r="K1720" s="107"/>
      <c r="L1720" s="108"/>
      <c r="M1720" s="107"/>
      <c r="N1720" s="107"/>
      <c r="O1720" s="109"/>
      <c r="P1720" s="59"/>
      <c r="Q1720" s="104"/>
    </row>
    <row r="1721" ht="25.5" customHeight="1">
      <c r="A1721" s="110"/>
      <c r="B1721" s="111"/>
      <c r="C1721" s="96"/>
      <c r="D1721" s="112"/>
      <c r="E1721" s="112"/>
      <c r="F1721" s="112"/>
      <c r="G1721" s="113"/>
      <c r="H1721" s="111"/>
      <c r="I1721" s="103"/>
      <c r="J1721" s="103"/>
      <c r="K1721" s="103"/>
      <c r="L1721" s="108"/>
      <c r="M1721" s="103"/>
      <c r="N1721" s="103"/>
      <c r="O1721" s="114"/>
      <c r="P1721" s="110"/>
      <c r="Q1721" s="111"/>
    </row>
    <row r="1722" ht="25.5" customHeight="1">
      <c r="A1722" s="59"/>
      <c r="B1722" s="104"/>
      <c r="C1722" s="96"/>
      <c r="D1722" s="105"/>
      <c r="E1722" s="105"/>
      <c r="F1722" s="105"/>
      <c r="G1722" s="106"/>
      <c r="H1722" s="104"/>
      <c r="I1722" s="107"/>
      <c r="J1722" s="107"/>
      <c r="K1722" s="107"/>
      <c r="L1722" s="108"/>
      <c r="M1722" s="107"/>
      <c r="N1722" s="107"/>
      <c r="O1722" s="109"/>
      <c r="P1722" s="59"/>
      <c r="Q1722" s="104"/>
    </row>
    <row r="1723" ht="25.5" customHeight="1">
      <c r="A1723" s="110"/>
      <c r="B1723" s="111"/>
      <c r="C1723" s="96"/>
      <c r="D1723" s="112"/>
      <c r="E1723" s="112"/>
      <c r="F1723" s="112"/>
      <c r="G1723" s="113"/>
      <c r="H1723" s="111"/>
      <c r="I1723" s="103"/>
      <c r="J1723" s="103"/>
      <c r="K1723" s="103"/>
      <c r="L1723" s="108"/>
      <c r="M1723" s="103"/>
      <c r="N1723" s="103"/>
      <c r="O1723" s="114"/>
      <c r="P1723" s="110"/>
      <c r="Q1723" s="111"/>
    </row>
    <row r="1724" ht="25.5" customHeight="1">
      <c r="A1724" s="59"/>
      <c r="B1724" s="104"/>
      <c r="C1724" s="96"/>
      <c r="D1724" s="105"/>
      <c r="E1724" s="105"/>
      <c r="F1724" s="105"/>
      <c r="G1724" s="106"/>
      <c r="H1724" s="104"/>
      <c r="I1724" s="107"/>
      <c r="J1724" s="107"/>
      <c r="K1724" s="107"/>
      <c r="L1724" s="108"/>
      <c r="M1724" s="107"/>
      <c r="N1724" s="107"/>
      <c r="O1724" s="109"/>
      <c r="P1724" s="59"/>
      <c r="Q1724" s="104"/>
    </row>
    <row r="1725" ht="25.5" customHeight="1">
      <c r="A1725" s="110"/>
      <c r="B1725" s="111"/>
      <c r="C1725" s="96"/>
      <c r="D1725" s="112"/>
      <c r="E1725" s="112"/>
      <c r="F1725" s="112"/>
      <c r="G1725" s="113"/>
      <c r="H1725" s="111"/>
      <c r="I1725" s="103"/>
      <c r="J1725" s="103"/>
      <c r="K1725" s="103"/>
      <c r="L1725" s="108"/>
      <c r="M1725" s="103"/>
      <c r="N1725" s="103"/>
      <c r="O1725" s="114"/>
      <c r="P1725" s="110"/>
      <c r="Q1725" s="111"/>
    </row>
    <row r="1726" ht="25.5" customHeight="1">
      <c r="A1726" s="59"/>
      <c r="B1726" s="104"/>
      <c r="C1726" s="96"/>
      <c r="D1726" s="105"/>
      <c r="E1726" s="105"/>
      <c r="F1726" s="105"/>
      <c r="G1726" s="106"/>
      <c r="H1726" s="104"/>
      <c r="I1726" s="107"/>
      <c r="J1726" s="107"/>
      <c r="K1726" s="107"/>
      <c r="L1726" s="108"/>
      <c r="M1726" s="107"/>
      <c r="N1726" s="107"/>
      <c r="O1726" s="109"/>
      <c r="P1726" s="59"/>
      <c r="Q1726" s="104"/>
    </row>
    <row r="1727" ht="25.5" customHeight="1">
      <c r="A1727" s="110"/>
      <c r="B1727" s="111"/>
      <c r="C1727" s="96"/>
      <c r="D1727" s="112"/>
      <c r="E1727" s="112"/>
      <c r="F1727" s="112"/>
      <c r="G1727" s="113"/>
      <c r="H1727" s="111"/>
      <c r="I1727" s="103"/>
      <c r="J1727" s="103"/>
      <c r="K1727" s="103"/>
      <c r="L1727" s="108"/>
      <c r="M1727" s="103"/>
      <c r="N1727" s="103"/>
      <c r="O1727" s="114"/>
      <c r="P1727" s="110"/>
      <c r="Q1727" s="111"/>
    </row>
    <row r="1728" ht="25.5" customHeight="1">
      <c r="A1728" s="59"/>
      <c r="B1728" s="104"/>
      <c r="C1728" s="96"/>
      <c r="D1728" s="105"/>
      <c r="E1728" s="105"/>
      <c r="F1728" s="105"/>
      <c r="G1728" s="106"/>
      <c r="H1728" s="104"/>
      <c r="I1728" s="107"/>
      <c r="J1728" s="107"/>
      <c r="K1728" s="107"/>
      <c r="L1728" s="108"/>
      <c r="M1728" s="107"/>
      <c r="N1728" s="107"/>
      <c r="O1728" s="109"/>
      <c r="P1728" s="59"/>
      <c r="Q1728" s="104"/>
    </row>
    <row r="1729" ht="25.5" customHeight="1">
      <c r="A1729" s="110"/>
      <c r="B1729" s="111"/>
      <c r="C1729" s="96"/>
      <c r="D1729" s="112"/>
      <c r="E1729" s="112"/>
      <c r="F1729" s="112"/>
      <c r="G1729" s="113"/>
      <c r="H1729" s="111"/>
      <c r="I1729" s="103"/>
      <c r="J1729" s="103"/>
      <c r="K1729" s="103"/>
      <c r="L1729" s="108"/>
      <c r="M1729" s="103"/>
      <c r="N1729" s="103"/>
      <c r="O1729" s="114"/>
      <c r="P1729" s="110"/>
      <c r="Q1729" s="111"/>
    </row>
    <row r="1730" ht="25.5" customHeight="1">
      <c r="A1730" s="59"/>
      <c r="B1730" s="104"/>
      <c r="C1730" s="96"/>
      <c r="D1730" s="105"/>
      <c r="E1730" s="105"/>
      <c r="F1730" s="105"/>
      <c r="G1730" s="106"/>
      <c r="H1730" s="104"/>
      <c r="I1730" s="107"/>
      <c r="J1730" s="107"/>
      <c r="K1730" s="107"/>
      <c r="L1730" s="108"/>
      <c r="M1730" s="107"/>
      <c r="N1730" s="107"/>
      <c r="O1730" s="109"/>
      <c r="P1730" s="59"/>
      <c r="Q1730" s="104"/>
    </row>
    <row r="1731" ht="25.5" customHeight="1">
      <c r="A1731" s="110"/>
      <c r="B1731" s="111"/>
      <c r="C1731" s="96"/>
      <c r="D1731" s="112"/>
      <c r="E1731" s="112"/>
      <c r="F1731" s="112"/>
      <c r="G1731" s="113"/>
      <c r="H1731" s="111"/>
      <c r="I1731" s="103"/>
      <c r="J1731" s="103"/>
      <c r="K1731" s="103"/>
      <c r="L1731" s="108"/>
      <c r="M1731" s="103"/>
      <c r="N1731" s="103"/>
      <c r="O1731" s="114"/>
      <c r="P1731" s="110"/>
      <c r="Q1731" s="111"/>
    </row>
    <row r="1732" ht="25.5" customHeight="1">
      <c r="A1732" s="59"/>
      <c r="B1732" s="104"/>
      <c r="C1732" s="96"/>
      <c r="D1732" s="105"/>
      <c r="E1732" s="105"/>
      <c r="F1732" s="105"/>
      <c r="G1732" s="106"/>
      <c r="H1732" s="104"/>
      <c r="I1732" s="107"/>
      <c r="J1732" s="107"/>
      <c r="K1732" s="107"/>
      <c r="L1732" s="108"/>
      <c r="M1732" s="107"/>
      <c r="N1732" s="107"/>
      <c r="O1732" s="109"/>
      <c r="P1732" s="59"/>
      <c r="Q1732" s="104"/>
    </row>
    <row r="1733" ht="25.5" customHeight="1">
      <c r="A1733" s="110"/>
      <c r="B1733" s="111"/>
      <c r="C1733" s="96"/>
      <c r="D1733" s="112"/>
      <c r="E1733" s="112"/>
      <c r="F1733" s="112"/>
      <c r="G1733" s="113"/>
      <c r="H1733" s="111"/>
      <c r="I1733" s="103"/>
      <c r="J1733" s="103"/>
      <c r="K1733" s="103"/>
      <c r="L1733" s="108"/>
      <c r="M1733" s="103"/>
      <c r="N1733" s="103"/>
      <c r="O1733" s="114"/>
      <c r="P1733" s="110"/>
      <c r="Q1733" s="111"/>
    </row>
    <row r="1734" ht="25.5" customHeight="1">
      <c r="A1734" s="59"/>
      <c r="B1734" s="104"/>
      <c r="C1734" s="96"/>
      <c r="D1734" s="105"/>
      <c r="E1734" s="105"/>
      <c r="F1734" s="105"/>
      <c r="G1734" s="106"/>
      <c r="H1734" s="104"/>
      <c r="I1734" s="107"/>
      <c r="J1734" s="107"/>
      <c r="K1734" s="107"/>
      <c r="L1734" s="108"/>
      <c r="M1734" s="107"/>
      <c r="N1734" s="107"/>
      <c r="O1734" s="109"/>
      <c r="P1734" s="59"/>
      <c r="Q1734" s="104"/>
    </row>
    <row r="1735" ht="25.5" customHeight="1">
      <c r="A1735" s="110"/>
      <c r="B1735" s="111"/>
      <c r="C1735" s="96"/>
      <c r="D1735" s="112"/>
      <c r="E1735" s="112"/>
      <c r="F1735" s="112"/>
      <c r="G1735" s="113"/>
      <c r="H1735" s="111"/>
      <c r="I1735" s="103"/>
      <c r="J1735" s="103"/>
      <c r="K1735" s="103"/>
      <c r="L1735" s="108"/>
      <c r="M1735" s="103"/>
      <c r="N1735" s="103"/>
      <c r="O1735" s="114"/>
      <c r="P1735" s="110"/>
      <c r="Q1735" s="111"/>
    </row>
    <row r="1736" ht="25.5" customHeight="1">
      <c r="A1736" s="59"/>
      <c r="B1736" s="104"/>
      <c r="C1736" s="96"/>
      <c r="D1736" s="105"/>
      <c r="E1736" s="105"/>
      <c r="F1736" s="105"/>
      <c r="G1736" s="106"/>
      <c r="H1736" s="104"/>
      <c r="I1736" s="107"/>
      <c r="J1736" s="107"/>
      <c r="K1736" s="107"/>
      <c r="L1736" s="108"/>
      <c r="M1736" s="107"/>
      <c r="N1736" s="107"/>
      <c r="O1736" s="109"/>
      <c r="P1736" s="59"/>
      <c r="Q1736" s="104"/>
    </row>
    <row r="1737" ht="25.5" customHeight="1">
      <c r="A1737" s="110"/>
      <c r="B1737" s="111"/>
      <c r="C1737" s="96"/>
      <c r="D1737" s="112"/>
      <c r="E1737" s="112"/>
      <c r="F1737" s="112"/>
      <c r="G1737" s="113"/>
      <c r="H1737" s="111"/>
      <c r="I1737" s="103"/>
      <c r="J1737" s="103"/>
      <c r="K1737" s="103"/>
      <c r="L1737" s="108"/>
      <c r="M1737" s="103"/>
      <c r="N1737" s="103"/>
      <c r="O1737" s="114"/>
      <c r="P1737" s="110"/>
      <c r="Q1737" s="111"/>
    </row>
    <row r="1738" ht="25.5" customHeight="1">
      <c r="A1738" s="59"/>
      <c r="B1738" s="104"/>
      <c r="C1738" s="96"/>
      <c r="D1738" s="105"/>
      <c r="E1738" s="105"/>
      <c r="F1738" s="105"/>
      <c r="G1738" s="106"/>
      <c r="H1738" s="104"/>
      <c r="I1738" s="107"/>
      <c r="J1738" s="107"/>
      <c r="K1738" s="107"/>
      <c r="L1738" s="108"/>
      <c r="M1738" s="107"/>
      <c r="N1738" s="107"/>
      <c r="O1738" s="109"/>
      <c r="P1738" s="59"/>
      <c r="Q1738" s="104"/>
    </row>
    <row r="1739" ht="25.5" customHeight="1">
      <c r="A1739" s="110"/>
      <c r="B1739" s="111"/>
      <c r="C1739" s="96"/>
      <c r="D1739" s="112"/>
      <c r="E1739" s="112"/>
      <c r="F1739" s="112"/>
      <c r="G1739" s="113"/>
      <c r="H1739" s="111"/>
      <c r="I1739" s="103"/>
      <c r="J1739" s="103"/>
      <c r="K1739" s="103"/>
      <c r="L1739" s="108"/>
      <c r="M1739" s="103"/>
      <c r="N1739" s="103"/>
      <c r="O1739" s="114"/>
      <c r="P1739" s="110"/>
      <c r="Q1739" s="111"/>
    </row>
    <row r="1740" ht="25.5" customHeight="1">
      <c r="A1740" s="59"/>
      <c r="B1740" s="104"/>
      <c r="C1740" s="96"/>
      <c r="D1740" s="105"/>
      <c r="E1740" s="105"/>
      <c r="F1740" s="105"/>
      <c r="G1740" s="106"/>
      <c r="H1740" s="104"/>
      <c r="I1740" s="107"/>
      <c r="J1740" s="107"/>
      <c r="K1740" s="107"/>
      <c r="L1740" s="108"/>
      <c r="M1740" s="107"/>
      <c r="N1740" s="107"/>
      <c r="O1740" s="109"/>
      <c r="P1740" s="59"/>
      <c r="Q1740" s="104"/>
    </row>
    <row r="1741" ht="25.5" customHeight="1">
      <c r="A1741" s="110"/>
      <c r="B1741" s="111"/>
      <c r="C1741" s="96"/>
      <c r="D1741" s="112"/>
      <c r="E1741" s="112"/>
      <c r="F1741" s="112"/>
      <c r="G1741" s="113"/>
      <c r="H1741" s="111"/>
      <c r="I1741" s="103"/>
      <c r="J1741" s="103"/>
      <c r="K1741" s="103"/>
      <c r="L1741" s="108"/>
      <c r="M1741" s="103"/>
      <c r="N1741" s="103"/>
      <c r="O1741" s="114"/>
      <c r="P1741" s="110"/>
      <c r="Q1741" s="111"/>
    </row>
    <row r="1742" ht="25.5" customHeight="1">
      <c r="A1742" s="59"/>
      <c r="B1742" s="104"/>
      <c r="C1742" s="96"/>
      <c r="D1742" s="105"/>
      <c r="E1742" s="105"/>
      <c r="F1742" s="105"/>
      <c r="G1742" s="106"/>
      <c r="H1742" s="104"/>
      <c r="I1742" s="107"/>
      <c r="J1742" s="107"/>
      <c r="K1742" s="107"/>
      <c r="L1742" s="108"/>
      <c r="M1742" s="107"/>
      <c r="N1742" s="107"/>
      <c r="O1742" s="109"/>
      <c r="P1742" s="59"/>
      <c r="Q1742" s="104"/>
    </row>
    <row r="1743" ht="25.5" customHeight="1">
      <c r="A1743" s="110"/>
      <c r="B1743" s="111"/>
      <c r="C1743" s="96"/>
      <c r="D1743" s="112"/>
      <c r="E1743" s="112"/>
      <c r="F1743" s="112"/>
      <c r="G1743" s="113"/>
      <c r="H1743" s="111"/>
      <c r="I1743" s="103"/>
      <c r="J1743" s="103"/>
      <c r="K1743" s="103"/>
      <c r="L1743" s="108"/>
      <c r="M1743" s="103"/>
      <c r="N1743" s="103"/>
      <c r="O1743" s="114"/>
      <c r="P1743" s="110"/>
      <c r="Q1743" s="111"/>
    </row>
    <row r="1744" ht="25.5" customHeight="1">
      <c r="A1744" s="59"/>
      <c r="B1744" s="104"/>
      <c r="C1744" s="96"/>
      <c r="D1744" s="105"/>
      <c r="E1744" s="105"/>
      <c r="F1744" s="105"/>
      <c r="G1744" s="106"/>
      <c r="H1744" s="104"/>
      <c r="I1744" s="107"/>
      <c r="J1744" s="107"/>
      <c r="K1744" s="107"/>
      <c r="L1744" s="108"/>
      <c r="M1744" s="107"/>
      <c r="N1744" s="107"/>
      <c r="O1744" s="109"/>
      <c r="P1744" s="59"/>
      <c r="Q1744" s="104"/>
    </row>
    <row r="1745" ht="25.5" customHeight="1">
      <c r="A1745" s="110"/>
      <c r="B1745" s="111"/>
      <c r="C1745" s="96"/>
      <c r="D1745" s="112"/>
      <c r="E1745" s="112"/>
      <c r="F1745" s="112"/>
      <c r="G1745" s="113"/>
      <c r="H1745" s="111"/>
      <c r="I1745" s="103"/>
      <c r="J1745" s="103"/>
      <c r="K1745" s="103"/>
      <c r="L1745" s="108"/>
      <c r="M1745" s="103"/>
      <c r="N1745" s="103"/>
      <c r="O1745" s="114"/>
      <c r="P1745" s="110"/>
      <c r="Q1745" s="111"/>
    </row>
    <row r="1746" ht="25.5" customHeight="1">
      <c r="A1746" s="59"/>
      <c r="B1746" s="104"/>
      <c r="C1746" s="96"/>
      <c r="D1746" s="105"/>
      <c r="E1746" s="105"/>
      <c r="F1746" s="105"/>
      <c r="G1746" s="106"/>
      <c r="H1746" s="104"/>
      <c r="I1746" s="107"/>
      <c r="J1746" s="107"/>
      <c r="K1746" s="107"/>
      <c r="L1746" s="108"/>
      <c r="M1746" s="107"/>
      <c r="N1746" s="107"/>
      <c r="O1746" s="109"/>
      <c r="P1746" s="59"/>
      <c r="Q1746" s="104"/>
    </row>
    <row r="1747" ht="25.5" customHeight="1">
      <c r="A1747" s="110"/>
      <c r="B1747" s="111"/>
      <c r="C1747" s="96"/>
      <c r="D1747" s="112"/>
      <c r="E1747" s="112"/>
      <c r="F1747" s="112"/>
      <c r="G1747" s="113"/>
      <c r="H1747" s="111"/>
      <c r="I1747" s="103"/>
      <c r="J1747" s="103"/>
      <c r="K1747" s="103"/>
      <c r="L1747" s="108"/>
      <c r="M1747" s="103"/>
      <c r="N1747" s="103"/>
      <c r="O1747" s="114"/>
      <c r="P1747" s="110"/>
      <c r="Q1747" s="111"/>
    </row>
    <row r="1748" ht="25.5" customHeight="1">
      <c r="A1748" s="59"/>
      <c r="B1748" s="104"/>
      <c r="C1748" s="96"/>
      <c r="D1748" s="105"/>
      <c r="E1748" s="105"/>
      <c r="F1748" s="105"/>
      <c r="G1748" s="106"/>
      <c r="H1748" s="104"/>
      <c r="I1748" s="107"/>
      <c r="J1748" s="107"/>
      <c r="K1748" s="107"/>
      <c r="L1748" s="108"/>
      <c r="M1748" s="107"/>
      <c r="N1748" s="107"/>
      <c r="O1748" s="109"/>
      <c r="P1748" s="59"/>
      <c r="Q1748" s="104"/>
    </row>
    <row r="1749" ht="25.5" customHeight="1">
      <c r="A1749" s="110"/>
      <c r="B1749" s="111"/>
      <c r="C1749" s="96"/>
      <c r="D1749" s="112"/>
      <c r="E1749" s="112"/>
      <c r="F1749" s="112"/>
      <c r="G1749" s="113"/>
      <c r="H1749" s="111"/>
      <c r="I1749" s="103"/>
      <c r="J1749" s="103"/>
      <c r="K1749" s="103"/>
      <c r="L1749" s="108"/>
      <c r="M1749" s="103"/>
      <c r="N1749" s="103"/>
      <c r="O1749" s="114"/>
      <c r="P1749" s="110"/>
      <c r="Q1749" s="111"/>
    </row>
    <row r="1750" ht="25.5" customHeight="1">
      <c r="A1750" s="59"/>
      <c r="B1750" s="104"/>
      <c r="C1750" s="96"/>
      <c r="D1750" s="105"/>
      <c r="E1750" s="105"/>
      <c r="F1750" s="105"/>
      <c r="G1750" s="106"/>
      <c r="H1750" s="104"/>
      <c r="I1750" s="107"/>
      <c r="J1750" s="107"/>
      <c r="K1750" s="107"/>
      <c r="L1750" s="108"/>
      <c r="M1750" s="107"/>
      <c r="N1750" s="107"/>
      <c r="O1750" s="109"/>
      <c r="P1750" s="59"/>
      <c r="Q1750" s="104"/>
    </row>
    <row r="1751" ht="25.5" customHeight="1">
      <c r="A1751" s="110"/>
      <c r="B1751" s="111"/>
      <c r="C1751" s="96"/>
      <c r="D1751" s="112"/>
      <c r="E1751" s="112"/>
      <c r="F1751" s="112"/>
      <c r="G1751" s="113"/>
      <c r="H1751" s="111"/>
      <c r="I1751" s="103"/>
      <c r="J1751" s="103"/>
      <c r="K1751" s="103"/>
      <c r="L1751" s="108"/>
      <c r="M1751" s="103"/>
      <c r="N1751" s="103"/>
      <c r="O1751" s="114"/>
      <c r="P1751" s="110"/>
      <c r="Q1751" s="111"/>
    </row>
    <row r="1752" ht="25.5" customHeight="1">
      <c r="A1752" s="59"/>
      <c r="B1752" s="104"/>
      <c r="C1752" s="96"/>
      <c r="D1752" s="105"/>
      <c r="E1752" s="105"/>
      <c r="F1752" s="105"/>
      <c r="G1752" s="106"/>
      <c r="H1752" s="104"/>
      <c r="I1752" s="107"/>
      <c r="J1752" s="107"/>
      <c r="K1752" s="107"/>
      <c r="L1752" s="108"/>
      <c r="M1752" s="107"/>
      <c r="N1752" s="107"/>
      <c r="O1752" s="109"/>
      <c r="P1752" s="59"/>
      <c r="Q1752" s="104"/>
    </row>
    <row r="1753" ht="25.5" customHeight="1">
      <c r="A1753" s="110"/>
      <c r="B1753" s="111"/>
      <c r="C1753" s="96"/>
      <c r="D1753" s="112"/>
      <c r="E1753" s="112"/>
      <c r="F1753" s="112"/>
      <c r="G1753" s="113"/>
      <c r="H1753" s="111"/>
      <c r="I1753" s="103"/>
      <c r="J1753" s="103"/>
      <c r="K1753" s="103"/>
      <c r="L1753" s="108"/>
      <c r="M1753" s="103"/>
      <c r="N1753" s="103"/>
      <c r="O1753" s="114"/>
      <c r="P1753" s="110"/>
      <c r="Q1753" s="111"/>
    </row>
    <row r="1754" ht="25.5" customHeight="1">
      <c r="A1754" s="59"/>
      <c r="B1754" s="104"/>
      <c r="C1754" s="96"/>
      <c r="D1754" s="105"/>
      <c r="E1754" s="105"/>
      <c r="F1754" s="105"/>
      <c r="G1754" s="106"/>
      <c r="H1754" s="104"/>
      <c r="I1754" s="107"/>
      <c r="J1754" s="107"/>
      <c r="K1754" s="107"/>
      <c r="L1754" s="108"/>
      <c r="M1754" s="107"/>
      <c r="N1754" s="107"/>
      <c r="O1754" s="109"/>
      <c r="P1754" s="59"/>
      <c r="Q1754" s="104"/>
    </row>
    <row r="1755" ht="25.5" customHeight="1">
      <c r="A1755" s="110"/>
      <c r="B1755" s="111"/>
      <c r="C1755" s="96"/>
      <c r="D1755" s="112"/>
      <c r="E1755" s="112"/>
      <c r="F1755" s="112"/>
      <c r="G1755" s="113"/>
      <c r="H1755" s="111"/>
      <c r="I1755" s="103"/>
      <c r="J1755" s="103"/>
      <c r="K1755" s="103"/>
      <c r="L1755" s="108"/>
      <c r="M1755" s="103"/>
      <c r="N1755" s="103"/>
      <c r="O1755" s="114"/>
      <c r="P1755" s="110"/>
      <c r="Q1755" s="111"/>
    </row>
    <row r="1756" ht="25.5" customHeight="1">
      <c r="A1756" s="59"/>
      <c r="B1756" s="104"/>
      <c r="C1756" s="96"/>
      <c r="D1756" s="105"/>
      <c r="E1756" s="105"/>
      <c r="F1756" s="105"/>
      <c r="G1756" s="106"/>
      <c r="H1756" s="104"/>
      <c r="I1756" s="107"/>
      <c r="J1756" s="107"/>
      <c r="K1756" s="107"/>
      <c r="L1756" s="108"/>
      <c r="M1756" s="107"/>
      <c r="N1756" s="107"/>
      <c r="O1756" s="109"/>
      <c r="P1756" s="59"/>
      <c r="Q1756" s="104"/>
    </row>
    <row r="1757" ht="25.5" customHeight="1">
      <c r="A1757" s="110"/>
      <c r="B1757" s="111"/>
      <c r="C1757" s="96"/>
      <c r="D1757" s="112"/>
      <c r="E1757" s="112"/>
      <c r="F1757" s="112"/>
      <c r="G1757" s="113"/>
      <c r="H1757" s="111"/>
      <c r="I1757" s="103"/>
      <c r="J1757" s="103"/>
      <c r="K1757" s="103"/>
      <c r="L1757" s="108"/>
      <c r="M1757" s="103"/>
      <c r="N1757" s="103"/>
      <c r="O1757" s="114"/>
      <c r="P1757" s="110"/>
      <c r="Q1757" s="111"/>
    </row>
    <row r="1758" ht="25.5" customHeight="1">
      <c r="A1758" s="59"/>
      <c r="B1758" s="104"/>
      <c r="C1758" s="96"/>
      <c r="D1758" s="105"/>
      <c r="E1758" s="105"/>
      <c r="F1758" s="105"/>
      <c r="G1758" s="106"/>
      <c r="H1758" s="104"/>
      <c r="I1758" s="107"/>
      <c r="J1758" s="107"/>
      <c r="K1758" s="107"/>
      <c r="L1758" s="108"/>
      <c r="M1758" s="107"/>
      <c r="N1758" s="107"/>
      <c r="O1758" s="109"/>
      <c r="P1758" s="59"/>
      <c r="Q1758" s="104"/>
    </row>
    <row r="1759" ht="25.5" customHeight="1">
      <c r="A1759" s="110"/>
      <c r="B1759" s="111"/>
      <c r="C1759" s="96"/>
      <c r="D1759" s="112"/>
      <c r="E1759" s="112"/>
      <c r="F1759" s="112"/>
      <c r="G1759" s="113"/>
      <c r="H1759" s="111"/>
      <c r="I1759" s="103"/>
      <c r="J1759" s="103"/>
      <c r="K1759" s="103"/>
      <c r="L1759" s="108"/>
      <c r="M1759" s="103"/>
      <c r="N1759" s="103"/>
      <c r="O1759" s="114"/>
      <c r="P1759" s="110"/>
      <c r="Q1759" s="111"/>
    </row>
    <row r="1760" ht="25.5" customHeight="1">
      <c r="A1760" s="59"/>
      <c r="B1760" s="104"/>
      <c r="C1760" s="96"/>
      <c r="D1760" s="105"/>
      <c r="E1760" s="105"/>
      <c r="F1760" s="105"/>
      <c r="G1760" s="106"/>
      <c r="H1760" s="104"/>
      <c r="I1760" s="107"/>
      <c r="J1760" s="107"/>
      <c r="K1760" s="107"/>
      <c r="L1760" s="108"/>
      <c r="M1760" s="107"/>
      <c r="N1760" s="107"/>
      <c r="O1760" s="109"/>
      <c r="P1760" s="59"/>
      <c r="Q1760" s="104"/>
    </row>
    <row r="1761" ht="25.5" customHeight="1">
      <c r="A1761" s="110"/>
      <c r="B1761" s="111"/>
      <c r="C1761" s="96"/>
      <c r="D1761" s="112"/>
      <c r="E1761" s="112"/>
      <c r="F1761" s="112"/>
      <c r="G1761" s="113"/>
      <c r="H1761" s="111"/>
      <c r="I1761" s="103"/>
      <c r="J1761" s="103"/>
      <c r="K1761" s="103"/>
      <c r="L1761" s="108"/>
      <c r="M1761" s="103"/>
      <c r="N1761" s="103"/>
      <c r="O1761" s="114"/>
      <c r="P1761" s="110"/>
      <c r="Q1761" s="111"/>
    </row>
    <row r="1762" ht="25.5" customHeight="1">
      <c r="A1762" s="59"/>
      <c r="B1762" s="104"/>
      <c r="C1762" s="96"/>
      <c r="D1762" s="105"/>
      <c r="E1762" s="105"/>
      <c r="F1762" s="105"/>
      <c r="G1762" s="106"/>
      <c r="H1762" s="104"/>
      <c r="I1762" s="107"/>
      <c r="J1762" s="107"/>
      <c r="K1762" s="107"/>
      <c r="L1762" s="108"/>
      <c r="M1762" s="107"/>
      <c r="N1762" s="107"/>
      <c r="O1762" s="109"/>
      <c r="P1762" s="59"/>
      <c r="Q1762" s="104"/>
    </row>
    <row r="1763" ht="25.5" customHeight="1">
      <c r="A1763" s="110"/>
      <c r="B1763" s="111"/>
      <c r="C1763" s="96"/>
      <c r="D1763" s="112"/>
      <c r="E1763" s="112"/>
      <c r="F1763" s="112"/>
      <c r="G1763" s="113"/>
      <c r="H1763" s="111"/>
      <c r="I1763" s="103"/>
      <c r="J1763" s="103"/>
      <c r="K1763" s="103"/>
      <c r="L1763" s="108"/>
      <c r="M1763" s="103"/>
      <c r="N1763" s="103"/>
      <c r="O1763" s="114"/>
      <c r="P1763" s="110"/>
      <c r="Q1763" s="111"/>
    </row>
    <row r="1764" ht="25.5" customHeight="1">
      <c r="A1764" s="59"/>
      <c r="B1764" s="104"/>
      <c r="C1764" s="96"/>
      <c r="D1764" s="105"/>
      <c r="E1764" s="105"/>
      <c r="F1764" s="105"/>
      <c r="G1764" s="106"/>
      <c r="H1764" s="104"/>
      <c r="I1764" s="107"/>
      <c r="J1764" s="107"/>
      <c r="K1764" s="107"/>
      <c r="L1764" s="108"/>
      <c r="M1764" s="107"/>
      <c r="N1764" s="107"/>
      <c r="O1764" s="109"/>
      <c r="P1764" s="59"/>
      <c r="Q1764" s="104"/>
    </row>
    <row r="1765" ht="25.5" customHeight="1">
      <c r="A1765" s="110"/>
      <c r="B1765" s="111"/>
      <c r="C1765" s="96"/>
      <c r="D1765" s="112"/>
      <c r="E1765" s="112"/>
      <c r="F1765" s="112"/>
      <c r="G1765" s="113"/>
      <c r="H1765" s="111"/>
      <c r="I1765" s="103"/>
      <c r="J1765" s="103"/>
      <c r="K1765" s="103"/>
      <c r="L1765" s="108"/>
      <c r="M1765" s="103"/>
      <c r="N1765" s="103"/>
      <c r="O1765" s="114"/>
      <c r="P1765" s="110"/>
      <c r="Q1765" s="111"/>
    </row>
    <row r="1766" ht="25.5" customHeight="1">
      <c r="A1766" s="59"/>
      <c r="B1766" s="104"/>
      <c r="C1766" s="96"/>
      <c r="D1766" s="105"/>
      <c r="E1766" s="105"/>
      <c r="F1766" s="105"/>
      <c r="G1766" s="106"/>
      <c r="H1766" s="104"/>
      <c r="I1766" s="107"/>
      <c r="J1766" s="107"/>
      <c r="K1766" s="107"/>
      <c r="L1766" s="108"/>
      <c r="M1766" s="107"/>
      <c r="N1766" s="107"/>
      <c r="O1766" s="109"/>
      <c r="P1766" s="59"/>
      <c r="Q1766" s="104"/>
    </row>
    <row r="1767" ht="25.5" customHeight="1">
      <c r="A1767" s="110"/>
      <c r="B1767" s="111"/>
      <c r="C1767" s="96"/>
      <c r="D1767" s="112"/>
      <c r="E1767" s="112"/>
      <c r="F1767" s="112"/>
      <c r="G1767" s="113"/>
      <c r="H1767" s="111"/>
      <c r="I1767" s="103"/>
      <c r="J1767" s="103"/>
      <c r="K1767" s="103"/>
      <c r="L1767" s="108"/>
      <c r="M1767" s="103"/>
      <c r="N1767" s="103"/>
      <c r="O1767" s="114"/>
      <c r="P1767" s="110"/>
      <c r="Q1767" s="111"/>
    </row>
    <row r="1768" ht="25.5" customHeight="1">
      <c r="A1768" s="59"/>
      <c r="B1768" s="104"/>
      <c r="C1768" s="96"/>
      <c r="D1768" s="105"/>
      <c r="E1768" s="105"/>
      <c r="F1768" s="105"/>
      <c r="G1768" s="106"/>
      <c r="H1768" s="104"/>
      <c r="I1768" s="107"/>
      <c r="J1768" s="107"/>
      <c r="K1768" s="107"/>
      <c r="L1768" s="108"/>
      <c r="M1768" s="107"/>
      <c r="N1768" s="107"/>
      <c r="O1768" s="109"/>
      <c r="P1768" s="59"/>
      <c r="Q1768" s="104"/>
    </row>
    <row r="1769" ht="25.5" customHeight="1">
      <c r="A1769" s="110"/>
      <c r="B1769" s="111"/>
      <c r="C1769" s="96"/>
      <c r="D1769" s="112"/>
      <c r="E1769" s="112"/>
      <c r="F1769" s="112"/>
      <c r="G1769" s="113"/>
      <c r="H1769" s="111"/>
      <c r="I1769" s="103"/>
      <c r="J1769" s="103"/>
      <c r="K1769" s="103"/>
      <c r="L1769" s="108"/>
      <c r="M1769" s="103"/>
      <c r="N1769" s="103"/>
      <c r="O1769" s="114"/>
      <c r="P1769" s="110"/>
      <c r="Q1769" s="111"/>
    </row>
    <row r="1770" ht="25.5" customHeight="1">
      <c r="A1770" s="59"/>
      <c r="B1770" s="104"/>
      <c r="C1770" s="96"/>
      <c r="D1770" s="105"/>
      <c r="E1770" s="105"/>
      <c r="F1770" s="105"/>
      <c r="G1770" s="106"/>
      <c r="H1770" s="104"/>
      <c r="I1770" s="107"/>
      <c r="J1770" s="107"/>
      <c r="K1770" s="107"/>
      <c r="L1770" s="108"/>
      <c r="M1770" s="107"/>
      <c r="N1770" s="107"/>
      <c r="O1770" s="109"/>
      <c r="P1770" s="59"/>
      <c r="Q1770" s="104"/>
    </row>
    <row r="1771" ht="25.5" customHeight="1">
      <c r="A1771" s="110"/>
      <c r="B1771" s="111"/>
      <c r="C1771" s="96"/>
      <c r="D1771" s="112"/>
      <c r="E1771" s="112"/>
      <c r="F1771" s="112"/>
      <c r="G1771" s="113"/>
      <c r="H1771" s="111"/>
      <c r="I1771" s="103"/>
      <c r="J1771" s="103"/>
      <c r="K1771" s="103"/>
      <c r="L1771" s="108"/>
      <c r="M1771" s="103"/>
      <c r="N1771" s="103"/>
      <c r="O1771" s="114"/>
      <c r="P1771" s="110"/>
      <c r="Q1771" s="111"/>
    </row>
    <row r="1772" ht="25.5" customHeight="1">
      <c r="A1772" s="59"/>
      <c r="B1772" s="104"/>
      <c r="C1772" s="96"/>
      <c r="D1772" s="105"/>
      <c r="E1772" s="105"/>
      <c r="F1772" s="105"/>
      <c r="G1772" s="106"/>
      <c r="H1772" s="104"/>
      <c r="I1772" s="107"/>
      <c r="J1772" s="107"/>
      <c r="K1772" s="107"/>
      <c r="L1772" s="108"/>
      <c r="M1772" s="107"/>
      <c r="N1772" s="107"/>
      <c r="O1772" s="109"/>
      <c r="P1772" s="59"/>
      <c r="Q1772" s="104"/>
    </row>
    <row r="1773" ht="25.5" customHeight="1">
      <c r="A1773" s="110"/>
      <c r="B1773" s="111"/>
      <c r="C1773" s="96"/>
      <c r="D1773" s="112"/>
      <c r="E1773" s="112"/>
      <c r="F1773" s="112"/>
      <c r="G1773" s="113"/>
      <c r="H1773" s="111"/>
      <c r="I1773" s="103"/>
      <c r="J1773" s="103"/>
      <c r="K1773" s="103"/>
      <c r="L1773" s="108"/>
      <c r="M1773" s="103"/>
      <c r="N1773" s="103"/>
      <c r="O1773" s="114"/>
      <c r="P1773" s="110"/>
      <c r="Q1773" s="111"/>
    </row>
    <row r="1774" ht="25.5" customHeight="1">
      <c r="A1774" s="59"/>
      <c r="B1774" s="104"/>
      <c r="C1774" s="96"/>
      <c r="D1774" s="105"/>
      <c r="E1774" s="105"/>
      <c r="F1774" s="105"/>
      <c r="G1774" s="106"/>
      <c r="H1774" s="104"/>
      <c r="I1774" s="107"/>
      <c r="J1774" s="107"/>
      <c r="K1774" s="107"/>
      <c r="L1774" s="108"/>
      <c r="M1774" s="107"/>
      <c r="N1774" s="107"/>
      <c r="O1774" s="109"/>
      <c r="P1774" s="59"/>
      <c r="Q1774" s="104"/>
    </row>
    <row r="1775" ht="25.5" customHeight="1">
      <c r="A1775" s="110"/>
      <c r="B1775" s="111"/>
      <c r="C1775" s="96"/>
      <c r="D1775" s="112"/>
      <c r="E1775" s="112"/>
      <c r="F1775" s="112"/>
      <c r="G1775" s="113"/>
      <c r="H1775" s="111"/>
      <c r="I1775" s="103"/>
      <c r="J1775" s="103"/>
      <c r="K1775" s="103"/>
      <c r="L1775" s="108"/>
      <c r="M1775" s="103"/>
      <c r="N1775" s="103"/>
      <c r="O1775" s="114"/>
      <c r="P1775" s="110"/>
      <c r="Q1775" s="111"/>
    </row>
    <row r="1776" ht="25.5" customHeight="1">
      <c r="A1776" s="59"/>
      <c r="B1776" s="104"/>
      <c r="C1776" s="96"/>
      <c r="D1776" s="105"/>
      <c r="E1776" s="105"/>
      <c r="F1776" s="105"/>
      <c r="G1776" s="106"/>
      <c r="H1776" s="104"/>
      <c r="I1776" s="107"/>
      <c r="J1776" s="107"/>
      <c r="K1776" s="107"/>
      <c r="L1776" s="108"/>
      <c r="M1776" s="107"/>
      <c r="N1776" s="107"/>
      <c r="O1776" s="109"/>
      <c r="P1776" s="59"/>
      <c r="Q1776" s="104"/>
    </row>
    <row r="1777" ht="25.5" customHeight="1">
      <c r="A1777" s="110"/>
      <c r="B1777" s="111"/>
      <c r="C1777" s="96"/>
      <c r="D1777" s="112"/>
      <c r="E1777" s="112"/>
      <c r="F1777" s="112"/>
      <c r="G1777" s="113"/>
      <c r="H1777" s="111"/>
      <c r="I1777" s="103"/>
      <c r="J1777" s="103"/>
      <c r="K1777" s="103"/>
      <c r="L1777" s="108"/>
      <c r="M1777" s="103"/>
      <c r="N1777" s="103"/>
      <c r="O1777" s="114"/>
      <c r="P1777" s="110"/>
      <c r="Q1777" s="111"/>
    </row>
    <row r="1778" ht="25.5" customHeight="1">
      <c r="A1778" s="59"/>
      <c r="B1778" s="104"/>
      <c r="C1778" s="96"/>
      <c r="D1778" s="105"/>
      <c r="E1778" s="105"/>
      <c r="F1778" s="105"/>
      <c r="G1778" s="106"/>
      <c r="H1778" s="104"/>
      <c r="I1778" s="107"/>
      <c r="J1778" s="107"/>
      <c r="K1778" s="107"/>
      <c r="L1778" s="108"/>
      <c r="M1778" s="107"/>
      <c r="N1778" s="107"/>
      <c r="O1778" s="109"/>
      <c r="P1778" s="59"/>
      <c r="Q1778" s="104"/>
    </row>
    <row r="1779" ht="25.5" customHeight="1">
      <c r="A1779" s="110"/>
      <c r="B1779" s="111"/>
      <c r="C1779" s="96"/>
      <c r="D1779" s="112"/>
      <c r="E1779" s="112"/>
      <c r="F1779" s="112"/>
      <c r="G1779" s="113"/>
      <c r="H1779" s="111"/>
      <c r="I1779" s="103"/>
      <c r="J1779" s="103"/>
      <c r="K1779" s="103"/>
      <c r="L1779" s="108"/>
      <c r="M1779" s="103"/>
      <c r="N1779" s="103"/>
      <c r="O1779" s="114"/>
      <c r="P1779" s="110"/>
      <c r="Q1779" s="111"/>
    </row>
    <row r="1780" ht="25.5" customHeight="1">
      <c r="A1780" s="59"/>
      <c r="B1780" s="104"/>
      <c r="C1780" s="96"/>
      <c r="D1780" s="105"/>
      <c r="E1780" s="105"/>
      <c r="F1780" s="105"/>
      <c r="G1780" s="106"/>
      <c r="H1780" s="104"/>
      <c r="I1780" s="107"/>
      <c r="J1780" s="107"/>
      <c r="K1780" s="107"/>
      <c r="L1780" s="108"/>
      <c r="M1780" s="107"/>
      <c r="N1780" s="107"/>
      <c r="O1780" s="109"/>
      <c r="P1780" s="59"/>
      <c r="Q1780" s="104"/>
    </row>
    <row r="1781" ht="25.5" customHeight="1">
      <c r="A1781" s="110"/>
      <c r="B1781" s="111"/>
      <c r="C1781" s="96"/>
      <c r="D1781" s="112"/>
      <c r="E1781" s="112"/>
      <c r="F1781" s="112"/>
      <c r="G1781" s="113"/>
      <c r="H1781" s="111"/>
      <c r="I1781" s="103"/>
      <c r="J1781" s="103"/>
      <c r="K1781" s="103"/>
      <c r="L1781" s="108"/>
      <c r="M1781" s="103"/>
      <c r="N1781" s="103"/>
      <c r="O1781" s="114"/>
      <c r="P1781" s="110"/>
      <c r="Q1781" s="111"/>
    </row>
    <row r="1782" ht="25.5" customHeight="1">
      <c r="A1782" s="59"/>
      <c r="B1782" s="104"/>
      <c r="C1782" s="96"/>
      <c r="D1782" s="105"/>
      <c r="E1782" s="105"/>
      <c r="F1782" s="105"/>
      <c r="G1782" s="106"/>
      <c r="H1782" s="104"/>
      <c r="I1782" s="107"/>
      <c r="J1782" s="107"/>
      <c r="K1782" s="107"/>
      <c r="L1782" s="108"/>
      <c r="M1782" s="107"/>
      <c r="N1782" s="107"/>
      <c r="O1782" s="109"/>
      <c r="P1782" s="59"/>
      <c r="Q1782" s="104"/>
    </row>
    <row r="1783" ht="25.5" customHeight="1">
      <c r="A1783" s="110"/>
      <c r="B1783" s="111"/>
      <c r="C1783" s="96"/>
      <c r="D1783" s="112"/>
      <c r="E1783" s="112"/>
      <c r="F1783" s="112"/>
      <c r="G1783" s="113"/>
      <c r="H1783" s="111"/>
      <c r="I1783" s="103"/>
      <c r="J1783" s="103"/>
      <c r="K1783" s="103"/>
      <c r="L1783" s="108"/>
      <c r="M1783" s="103"/>
      <c r="N1783" s="103"/>
      <c r="O1783" s="114"/>
      <c r="P1783" s="110"/>
      <c r="Q1783" s="111"/>
    </row>
    <row r="1784" ht="25.5" customHeight="1">
      <c r="A1784" s="59"/>
      <c r="B1784" s="104"/>
      <c r="C1784" s="96"/>
      <c r="D1784" s="105"/>
      <c r="E1784" s="105"/>
      <c r="F1784" s="105"/>
      <c r="G1784" s="106"/>
      <c r="H1784" s="104"/>
      <c r="I1784" s="107"/>
      <c r="J1784" s="107"/>
      <c r="K1784" s="107"/>
      <c r="L1784" s="108"/>
      <c r="M1784" s="107"/>
      <c r="N1784" s="107"/>
      <c r="O1784" s="109"/>
      <c r="P1784" s="59"/>
      <c r="Q1784" s="104"/>
    </row>
    <row r="1785" ht="25.5" customHeight="1">
      <c r="A1785" s="110"/>
      <c r="B1785" s="111"/>
      <c r="C1785" s="96"/>
      <c r="D1785" s="112"/>
      <c r="E1785" s="112"/>
      <c r="F1785" s="112"/>
      <c r="G1785" s="113"/>
      <c r="H1785" s="111"/>
      <c r="I1785" s="103"/>
      <c r="J1785" s="103"/>
      <c r="K1785" s="103"/>
      <c r="L1785" s="108"/>
      <c r="M1785" s="103"/>
      <c r="N1785" s="103"/>
      <c r="O1785" s="114"/>
      <c r="P1785" s="110"/>
      <c r="Q1785" s="111"/>
    </row>
    <row r="1786" ht="25.5" customHeight="1">
      <c r="A1786" s="59"/>
      <c r="B1786" s="104"/>
      <c r="C1786" s="96"/>
      <c r="D1786" s="105"/>
      <c r="E1786" s="105"/>
      <c r="F1786" s="105"/>
      <c r="G1786" s="106"/>
      <c r="H1786" s="104"/>
      <c r="I1786" s="107"/>
      <c r="J1786" s="107"/>
      <c r="K1786" s="107"/>
      <c r="L1786" s="108"/>
      <c r="M1786" s="107"/>
      <c r="N1786" s="107"/>
      <c r="O1786" s="109"/>
      <c r="P1786" s="59"/>
      <c r="Q1786" s="104"/>
    </row>
    <row r="1787" ht="25.5" customHeight="1">
      <c r="A1787" s="110"/>
      <c r="B1787" s="111"/>
      <c r="C1787" s="96"/>
      <c r="D1787" s="112"/>
      <c r="E1787" s="112"/>
      <c r="F1787" s="112"/>
      <c r="G1787" s="113"/>
      <c r="H1787" s="111"/>
      <c r="I1787" s="103"/>
      <c r="J1787" s="103"/>
      <c r="K1787" s="103"/>
      <c r="L1787" s="108"/>
      <c r="M1787" s="103"/>
      <c r="N1787" s="103"/>
      <c r="O1787" s="114"/>
      <c r="P1787" s="110"/>
      <c r="Q1787" s="111"/>
    </row>
    <row r="1788" ht="25.5" customHeight="1">
      <c r="A1788" s="59"/>
      <c r="B1788" s="104"/>
      <c r="C1788" s="96"/>
      <c r="D1788" s="105"/>
      <c r="E1788" s="105"/>
      <c r="F1788" s="105"/>
      <c r="G1788" s="106"/>
      <c r="H1788" s="104"/>
      <c r="I1788" s="107"/>
      <c r="J1788" s="107"/>
      <c r="K1788" s="107"/>
      <c r="L1788" s="108"/>
      <c r="M1788" s="107"/>
      <c r="N1788" s="107"/>
      <c r="O1788" s="109"/>
      <c r="P1788" s="59"/>
      <c r="Q1788" s="104"/>
    </row>
    <row r="1789" ht="25.5" customHeight="1">
      <c r="A1789" s="110"/>
      <c r="B1789" s="111"/>
      <c r="C1789" s="96"/>
      <c r="D1789" s="112"/>
      <c r="E1789" s="112"/>
      <c r="F1789" s="112"/>
      <c r="G1789" s="113"/>
      <c r="H1789" s="111"/>
      <c r="I1789" s="103"/>
      <c r="J1789" s="103"/>
      <c r="K1789" s="103"/>
      <c r="L1789" s="108"/>
      <c r="M1789" s="103"/>
      <c r="N1789" s="103"/>
      <c r="O1789" s="114"/>
      <c r="P1789" s="110"/>
      <c r="Q1789" s="111"/>
    </row>
    <row r="1790" ht="25.5" customHeight="1">
      <c r="A1790" s="59"/>
      <c r="B1790" s="104"/>
      <c r="C1790" s="96"/>
      <c r="D1790" s="105"/>
      <c r="E1790" s="105"/>
      <c r="F1790" s="105"/>
      <c r="G1790" s="106"/>
      <c r="H1790" s="104"/>
      <c r="I1790" s="107"/>
      <c r="J1790" s="107"/>
      <c r="K1790" s="107"/>
      <c r="L1790" s="108"/>
      <c r="M1790" s="107"/>
      <c r="N1790" s="107"/>
      <c r="O1790" s="109"/>
      <c r="P1790" s="59"/>
      <c r="Q1790" s="104"/>
    </row>
    <row r="1791" ht="25.5" customHeight="1">
      <c r="A1791" s="110"/>
      <c r="B1791" s="111"/>
      <c r="C1791" s="96"/>
      <c r="D1791" s="112"/>
      <c r="E1791" s="112"/>
      <c r="F1791" s="112"/>
      <c r="G1791" s="113"/>
      <c r="H1791" s="111"/>
      <c r="I1791" s="103"/>
      <c r="J1791" s="103"/>
      <c r="K1791" s="103"/>
      <c r="L1791" s="108"/>
      <c r="M1791" s="103"/>
      <c r="N1791" s="103"/>
      <c r="O1791" s="114"/>
      <c r="P1791" s="110"/>
      <c r="Q1791" s="111"/>
    </row>
    <row r="1792" ht="25.5" customHeight="1">
      <c r="A1792" s="59"/>
      <c r="B1792" s="104"/>
      <c r="C1792" s="96"/>
      <c r="D1792" s="105"/>
      <c r="E1792" s="105"/>
      <c r="F1792" s="105"/>
      <c r="G1792" s="106"/>
      <c r="H1792" s="104"/>
      <c r="I1792" s="107"/>
      <c r="J1792" s="107"/>
      <c r="K1792" s="107"/>
      <c r="L1792" s="108"/>
      <c r="M1792" s="107"/>
      <c r="N1792" s="107"/>
      <c r="O1792" s="109"/>
      <c r="P1792" s="59"/>
      <c r="Q1792" s="104"/>
    </row>
    <row r="1793" ht="25.5" customHeight="1">
      <c r="A1793" s="110"/>
      <c r="B1793" s="111"/>
      <c r="C1793" s="96"/>
      <c r="D1793" s="112"/>
      <c r="E1793" s="112"/>
      <c r="F1793" s="112"/>
      <c r="G1793" s="113"/>
      <c r="H1793" s="111"/>
      <c r="I1793" s="103"/>
      <c r="J1793" s="103"/>
      <c r="K1793" s="103"/>
      <c r="L1793" s="108"/>
      <c r="M1793" s="103"/>
      <c r="N1793" s="103"/>
      <c r="O1793" s="114"/>
      <c r="P1793" s="110"/>
      <c r="Q1793" s="111"/>
    </row>
    <row r="1794" ht="25.5" customHeight="1">
      <c r="A1794" s="59"/>
      <c r="B1794" s="104"/>
      <c r="C1794" s="96"/>
      <c r="D1794" s="105"/>
      <c r="E1794" s="105"/>
      <c r="F1794" s="105"/>
      <c r="G1794" s="106"/>
      <c r="H1794" s="104"/>
      <c r="I1794" s="107"/>
      <c r="J1794" s="107"/>
      <c r="K1794" s="107"/>
      <c r="L1794" s="108"/>
      <c r="M1794" s="107"/>
      <c r="N1794" s="107"/>
      <c r="O1794" s="109"/>
      <c r="P1794" s="59"/>
      <c r="Q1794" s="104"/>
    </row>
    <row r="1795" ht="25.5" customHeight="1">
      <c r="A1795" s="110"/>
      <c r="B1795" s="111"/>
      <c r="C1795" s="96"/>
      <c r="D1795" s="112"/>
      <c r="E1795" s="112"/>
      <c r="F1795" s="112"/>
      <c r="G1795" s="113"/>
      <c r="H1795" s="111"/>
      <c r="I1795" s="103"/>
      <c r="J1795" s="103"/>
      <c r="K1795" s="103"/>
      <c r="L1795" s="108"/>
      <c r="M1795" s="103"/>
      <c r="N1795" s="103"/>
      <c r="O1795" s="114"/>
      <c r="P1795" s="110"/>
      <c r="Q1795" s="111"/>
    </row>
    <row r="1796" ht="25.5" customHeight="1">
      <c r="A1796" s="59"/>
      <c r="B1796" s="104"/>
      <c r="C1796" s="96"/>
      <c r="D1796" s="105"/>
      <c r="E1796" s="105"/>
      <c r="F1796" s="105"/>
      <c r="G1796" s="106"/>
      <c r="H1796" s="104"/>
      <c r="I1796" s="107"/>
      <c r="J1796" s="107"/>
      <c r="K1796" s="107"/>
      <c r="L1796" s="108"/>
      <c r="M1796" s="107"/>
      <c r="N1796" s="107"/>
      <c r="O1796" s="109"/>
      <c r="P1796" s="59"/>
      <c r="Q1796" s="104"/>
    </row>
    <row r="1797" ht="25.5" customHeight="1">
      <c r="A1797" s="110"/>
      <c r="B1797" s="111"/>
      <c r="C1797" s="96"/>
      <c r="D1797" s="112"/>
      <c r="E1797" s="112"/>
      <c r="F1797" s="112"/>
      <c r="G1797" s="113"/>
      <c r="H1797" s="111"/>
      <c r="I1797" s="103"/>
      <c r="J1797" s="103"/>
      <c r="K1797" s="103"/>
      <c r="L1797" s="108"/>
      <c r="M1797" s="103"/>
      <c r="N1797" s="103"/>
      <c r="O1797" s="114"/>
      <c r="P1797" s="110"/>
      <c r="Q1797" s="111"/>
    </row>
    <row r="1798" ht="25.5" customHeight="1">
      <c r="A1798" s="59"/>
      <c r="B1798" s="104"/>
      <c r="C1798" s="96"/>
      <c r="D1798" s="105"/>
      <c r="E1798" s="105"/>
      <c r="F1798" s="105"/>
      <c r="G1798" s="106"/>
      <c r="H1798" s="104"/>
      <c r="I1798" s="107"/>
      <c r="J1798" s="107"/>
      <c r="K1798" s="107"/>
      <c r="L1798" s="108"/>
      <c r="M1798" s="107"/>
      <c r="N1798" s="107"/>
      <c r="O1798" s="109"/>
      <c r="P1798" s="59"/>
      <c r="Q1798" s="104"/>
    </row>
    <row r="1799" ht="25.5" customHeight="1">
      <c r="A1799" s="110"/>
      <c r="B1799" s="111"/>
      <c r="C1799" s="96"/>
      <c r="D1799" s="112"/>
      <c r="E1799" s="112"/>
      <c r="F1799" s="112"/>
      <c r="G1799" s="113"/>
      <c r="H1799" s="111"/>
      <c r="I1799" s="103"/>
      <c r="J1799" s="103"/>
      <c r="K1799" s="103"/>
      <c r="L1799" s="108"/>
      <c r="M1799" s="103"/>
      <c r="N1799" s="103"/>
      <c r="O1799" s="114"/>
      <c r="P1799" s="110"/>
      <c r="Q1799" s="111"/>
    </row>
    <row r="1800" ht="25.5" customHeight="1">
      <c r="A1800" s="59"/>
      <c r="B1800" s="104"/>
      <c r="C1800" s="96"/>
      <c r="D1800" s="105"/>
      <c r="E1800" s="105"/>
      <c r="F1800" s="105"/>
      <c r="G1800" s="106"/>
      <c r="H1800" s="104"/>
      <c r="I1800" s="107"/>
      <c r="J1800" s="107"/>
      <c r="K1800" s="107"/>
      <c r="L1800" s="108"/>
      <c r="M1800" s="107"/>
      <c r="N1800" s="107"/>
      <c r="O1800" s="109"/>
      <c r="P1800" s="59"/>
      <c r="Q1800" s="104"/>
    </row>
    <row r="1801" ht="25.5" customHeight="1">
      <c r="A1801" s="110"/>
      <c r="B1801" s="111"/>
      <c r="C1801" s="96"/>
      <c r="D1801" s="112"/>
      <c r="E1801" s="112"/>
      <c r="F1801" s="112"/>
      <c r="G1801" s="113"/>
      <c r="H1801" s="111"/>
      <c r="I1801" s="103"/>
      <c r="J1801" s="103"/>
      <c r="K1801" s="103"/>
      <c r="L1801" s="108"/>
      <c r="M1801" s="103"/>
      <c r="N1801" s="103"/>
      <c r="O1801" s="114"/>
      <c r="P1801" s="110"/>
      <c r="Q1801" s="111"/>
    </row>
    <row r="1802" ht="25.5" customHeight="1">
      <c r="A1802" s="59"/>
      <c r="B1802" s="104"/>
      <c r="C1802" s="96"/>
      <c r="D1802" s="105"/>
      <c r="E1802" s="105"/>
      <c r="F1802" s="105"/>
      <c r="G1802" s="106"/>
      <c r="H1802" s="104"/>
      <c r="I1802" s="107"/>
      <c r="J1802" s="107"/>
      <c r="K1802" s="107"/>
      <c r="L1802" s="108"/>
      <c r="M1802" s="107"/>
      <c r="N1802" s="107"/>
      <c r="O1802" s="109"/>
      <c r="P1802" s="59"/>
      <c r="Q1802" s="104"/>
    </row>
    <row r="1803" ht="25.5" customHeight="1">
      <c r="A1803" s="110"/>
      <c r="B1803" s="111"/>
      <c r="C1803" s="96"/>
      <c r="D1803" s="112"/>
      <c r="E1803" s="112"/>
      <c r="F1803" s="112"/>
      <c r="G1803" s="113"/>
      <c r="H1803" s="111"/>
      <c r="I1803" s="103"/>
      <c r="J1803" s="103"/>
      <c r="K1803" s="103"/>
      <c r="L1803" s="108"/>
      <c r="M1803" s="103"/>
      <c r="N1803" s="103"/>
      <c r="O1803" s="114"/>
      <c r="P1803" s="110"/>
      <c r="Q1803" s="111"/>
    </row>
    <row r="1804" ht="25.5" customHeight="1">
      <c r="A1804" s="59"/>
      <c r="B1804" s="104"/>
      <c r="C1804" s="96"/>
      <c r="D1804" s="105"/>
      <c r="E1804" s="105"/>
      <c r="F1804" s="105"/>
      <c r="G1804" s="106"/>
      <c r="H1804" s="104"/>
      <c r="I1804" s="107"/>
      <c r="J1804" s="107"/>
      <c r="K1804" s="107"/>
      <c r="L1804" s="108"/>
      <c r="M1804" s="107"/>
      <c r="N1804" s="107"/>
      <c r="O1804" s="109"/>
      <c r="P1804" s="59"/>
      <c r="Q1804" s="104"/>
    </row>
    <row r="1805" ht="25.5" customHeight="1">
      <c r="A1805" s="110"/>
      <c r="B1805" s="111"/>
      <c r="C1805" s="96"/>
      <c r="D1805" s="112"/>
      <c r="E1805" s="112"/>
      <c r="F1805" s="112"/>
      <c r="G1805" s="113"/>
      <c r="H1805" s="111"/>
      <c r="I1805" s="103"/>
      <c r="J1805" s="103"/>
      <c r="K1805" s="103"/>
      <c r="L1805" s="108"/>
      <c r="M1805" s="103"/>
      <c r="N1805" s="103"/>
      <c r="O1805" s="114"/>
      <c r="P1805" s="110"/>
      <c r="Q1805" s="111"/>
    </row>
    <row r="1806" ht="25.5" customHeight="1">
      <c r="A1806" s="59"/>
      <c r="B1806" s="104"/>
      <c r="C1806" s="96"/>
      <c r="D1806" s="105"/>
      <c r="E1806" s="105"/>
      <c r="F1806" s="105"/>
      <c r="G1806" s="106"/>
      <c r="H1806" s="104"/>
      <c r="I1806" s="107"/>
      <c r="J1806" s="107"/>
      <c r="K1806" s="107"/>
      <c r="L1806" s="108"/>
      <c r="M1806" s="107"/>
      <c r="N1806" s="107"/>
      <c r="O1806" s="109"/>
      <c r="P1806" s="59"/>
      <c r="Q1806" s="104"/>
    </row>
    <row r="1807" ht="25.5" customHeight="1">
      <c r="A1807" s="110"/>
      <c r="B1807" s="111"/>
      <c r="C1807" s="96"/>
      <c r="D1807" s="112"/>
      <c r="E1807" s="112"/>
      <c r="F1807" s="112"/>
      <c r="G1807" s="113"/>
      <c r="H1807" s="111"/>
      <c r="I1807" s="103"/>
      <c r="J1807" s="103"/>
      <c r="K1807" s="103"/>
      <c r="L1807" s="108"/>
      <c r="M1807" s="103"/>
      <c r="N1807" s="103"/>
      <c r="O1807" s="114"/>
      <c r="P1807" s="110"/>
      <c r="Q1807" s="111"/>
    </row>
    <row r="1808" ht="25.5" customHeight="1">
      <c r="A1808" s="59"/>
      <c r="B1808" s="104"/>
      <c r="C1808" s="96"/>
      <c r="D1808" s="105"/>
      <c r="E1808" s="105"/>
      <c r="F1808" s="105"/>
      <c r="G1808" s="106"/>
      <c r="H1808" s="104"/>
      <c r="I1808" s="107"/>
      <c r="J1808" s="107"/>
      <c r="K1808" s="107"/>
      <c r="L1808" s="108"/>
      <c r="M1808" s="107"/>
      <c r="N1808" s="107"/>
      <c r="O1808" s="109"/>
      <c r="P1808" s="59"/>
      <c r="Q1808" s="104"/>
    </row>
    <row r="1809" ht="25.5" customHeight="1">
      <c r="A1809" s="110"/>
      <c r="B1809" s="111"/>
      <c r="C1809" s="96"/>
      <c r="D1809" s="112"/>
      <c r="E1809" s="112"/>
      <c r="F1809" s="112"/>
      <c r="G1809" s="113"/>
      <c r="H1809" s="111"/>
      <c r="I1809" s="103"/>
      <c r="J1809" s="103"/>
      <c r="K1809" s="103"/>
      <c r="L1809" s="108"/>
      <c r="M1809" s="103"/>
      <c r="N1809" s="103"/>
      <c r="O1809" s="114"/>
      <c r="P1809" s="110"/>
      <c r="Q1809" s="111"/>
    </row>
    <row r="1810" ht="25.5" customHeight="1">
      <c r="A1810" s="59"/>
      <c r="B1810" s="104"/>
      <c r="C1810" s="96"/>
      <c r="D1810" s="105"/>
      <c r="E1810" s="105"/>
      <c r="F1810" s="105"/>
      <c r="G1810" s="106"/>
      <c r="H1810" s="104"/>
      <c r="I1810" s="107"/>
      <c r="J1810" s="107"/>
      <c r="K1810" s="107"/>
      <c r="L1810" s="108"/>
      <c r="M1810" s="107"/>
      <c r="N1810" s="107"/>
      <c r="O1810" s="109"/>
      <c r="P1810" s="59"/>
      <c r="Q1810" s="104"/>
    </row>
    <row r="1811" ht="25.5" customHeight="1">
      <c r="A1811" s="110"/>
      <c r="B1811" s="111"/>
      <c r="C1811" s="96"/>
      <c r="D1811" s="112"/>
      <c r="E1811" s="112"/>
      <c r="F1811" s="112"/>
      <c r="G1811" s="113"/>
      <c r="H1811" s="111"/>
      <c r="I1811" s="103"/>
      <c r="J1811" s="103"/>
      <c r="K1811" s="103"/>
      <c r="L1811" s="108"/>
      <c r="M1811" s="103"/>
      <c r="N1811" s="103"/>
      <c r="O1811" s="114"/>
      <c r="P1811" s="110"/>
      <c r="Q1811" s="111"/>
    </row>
    <row r="1812" ht="25.5" customHeight="1">
      <c r="A1812" s="59"/>
      <c r="B1812" s="104"/>
      <c r="C1812" s="96"/>
      <c r="D1812" s="105"/>
      <c r="E1812" s="105"/>
      <c r="F1812" s="105"/>
      <c r="G1812" s="106"/>
      <c r="H1812" s="104"/>
      <c r="I1812" s="107"/>
      <c r="J1812" s="107"/>
      <c r="K1812" s="107"/>
      <c r="L1812" s="108"/>
      <c r="M1812" s="107"/>
      <c r="N1812" s="107"/>
      <c r="O1812" s="109"/>
      <c r="P1812" s="59"/>
      <c r="Q1812" s="104"/>
    </row>
    <row r="1813" ht="25.5" customHeight="1">
      <c r="A1813" s="110"/>
      <c r="B1813" s="111"/>
      <c r="C1813" s="96"/>
      <c r="D1813" s="112"/>
      <c r="E1813" s="112"/>
      <c r="F1813" s="112"/>
      <c r="G1813" s="113"/>
      <c r="H1813" s="111"/>
      <c r="I1813" s="103"/>
      <c r="J1813" s="103"/>
      <c r="K1813" s="103"/>
      <c r="L1813" s="108"/>
      <c r="M1813" s="103"/>
      <c r="N1813" s="103"/>
      <c r="O1813" s="114"/>
      <c r="P1813" s="110"/>
      <c r="Q1813" s="111"/>
    </row>
    <row r="1814" ht="25.5" customHeight="1">
      <c r="A1814" s="59"/>
      <c r="B1814" s="104"/>
      <c r="C1814" s="96"/>
      <c r="D1814" s="105"/>
      <c r="E1814" s="105"/>
      <c r="F1814" s="105"/>
      <c r="G1814" s="106"/>
      <c r="H1814" s="104"/>
      <c r="I1814" s="107"/>
      <c r="J1814" s="107"/>
      <c r="K1814" s="107"/>
      <c r="L1814" s="108"/>
      <c r="M1814" s="107"/>
      <c r="N1814" s="107"/>
      <c r="O1814" s="109"/>
      <c r="P1814" s="59"/>
      <c r="Q1814" s="104"/>
    </row>
    <row r="1815" ht="25.5" customHeight="1">
      <c r="A1815" s="110"/>
      <c r="B1815" s="111"/>
      <c r="C1815" s="96"/>
      <c r="D1815" s="112"/>
      <c r="E1815" s="112"/>
      <c r="F1815" s="112"/>
      <c r="G1815" s="113"/>
      <c r="H1815" s="111"/>
      <c r="I1815" s="103"/>
      <c r="J1815" s="103"/>
      <c r="K1815" s="103"/>
      <c r="L1815" s="108"/>
      <c r="M1815" s="103"/>
      <c r="N1815" s="103"/>
      <c r="O1815" s="114"/>
      <c r="P1815" s="110"/>
      <c r="Q1815" s="111"/>
    </row>
    <row r="1816" ht="25.5" customHeight="1">
      <c r="A1816" s="59"/>
      <c r="B1816" s="104"/>
      <c r="C1816" s="96"/>
      <c r="D1816" s="105"/>
      <c r="E1816" s="105"/>
      <c r="F1816" s="105"/>
      <c r="G1816" s="106"/>
      <c r="H1816" s="104"/>
      <c r="I1816" s="107"/>
      <c r="J1816" s="107"/>
      <c r="K1816" s="107"/>
      <c r="L1816" s="108"/>
      <c r="M1816" s="107"/>
      <c r="N1816" s="107"/>
      <c r="O1816" s="109"/>
      <c r="P1816" s="59"/>
      <c r="Q1816" s="104"/>
    </row>
    <row r="1817" ht="25.5" customHeight="1">
      <c r="A1817" s="110"/>
      <c r="B1817" s="111"/>
      <c r="C1817" s="96"/>
      <c r="D1817" s="112"/>
      <c r="E1817" s="112"/>
      <c r="F1817" s="112"/>
      <c r="G1817" s="113"/>
      <c r="H1817" s="111"/>
      <c r="I1817" s="103"/>
      <c r="J1817" s="103"/>
      <c r="K1817" s="103"/>
      <c r="L1817" s="108"/>
      <c r="M1817" s="103"/>
      <c r="N1817" s="103"/>
      <c r="O1817" s="114"/>
      <c r="P1817" s="110"/>
      <c r="Q1817" s="111"/>
    </row>
    <row r="1818" ht="25.5" customHeight="1">
      <c r="A1818" s="59"/>
      <c r="B1818" s="104"/>
      <c r="C1818" s="96"/>
      <c r="D1818" s="105"/>
      <c r="E1818" s="105"/>
      <c r="F1818" s="105"/>
      <c r="G1818" s="106"/>
      <c r="H1818" s="104"/>
      <c r="I1818" s="107"/>
      <c r="J1818" s="107"/>
      <c r="K1818" s="107"/>
      <c r="L1818" s="108"/>
      <c r="M1818" s="107"/>
      <c r="N1818" s="107"/>
      <c r="O1818" s="109"/>
      <c r="P1818" s="59"/>
      <c r="Q1818" s="104"/>
    </row>
    <row r="1819" ht="25.5" customHeight="1">
      <c r="A1819" s="110"/>
      <c r="B1819" s="111"/>
      <c r="C1819" s="96"/>
      <c r="D1819" s="112"/>
      <c r="E1819" s="112"/>
      <c r="F1819" s="112"/>
      <c r="G1819" s="113"/>
      <c r="H1819" s="111"/>
      <c r="I1819" s="103"/>
      <c r="J1819" s="103"/>
      <c r="K1819" s="103"/>
      <c r="L1819" s="108"/>
      <c r="M1819" s="103"/>
      <c r="N1819" s="103"/>
      <c r="O1819" s="114"/>
      <c r="P1819" s="110"/>
      <c r="Q1819" s="111"/>
    </row>
    <row r="1820" ht="25.5" customHeight="1">
      <c r="A1820" s="59"/>
      <c r="B1820" s="104"/>
      <c r="C1820" s="96"/>
      <c r="D1820" s="105"/>
      <c r="E1820" s="105"/>
      <c r="F1820" s="105"/>
      <c r="G1820" s="106"/>
      <c r="H1820" s="104"/>
      <c r="I1820" s="107"/>
      <c r="J1820" s="107"/>
      <c r="K1820" s="107"/>
      <c r="L1820" s="108"/>
      <c r="M1820" s="107"/>
      <c r="N1820" s="107"/>
      <c r="O1820" s="109"/>
      <c r="P1820" s="59"/>
      <c r="Q1820" s="104"/>
    </row>
    <row r="1821" ht="25.5" customHeight="1">
      <c r="A1821" s="110"/>
      <c r="B1821" s="111"/>
      <c r="C1821" s="96"/>
      <c r="D1821" s="112"/>
      <c r="E1821" s="112"/>
      <c r="F1821" s="112"/>
      <c r="G1821" s="113"/>
      <c r="H1821" s="111"/>
      <c r="I1821" s="103"/>
      <c r="J1821" s="103"/>
      <c r="K1821" s="103"/>
      <c r="L1821" s="108"/>
      <c r="M1821" s="103"/>
      <c r="N1821" s="103"/>
      <c r="O1821" s="114"/>
      <c r="P1821" s="110"/>
      <c r="Q1821" s="111"/>
    </row>
    <row r="1822" ht="25.5" customHeight="1">
      <c r="A1822" s="59"/>
      <c r="B1822" s="104"/>
      <c r="C1822" s="96"/>
      <c r="D1822" s="105"/>
      <c r="E1822" s="105"/>
      <c r="F1822" s="105"/>
      <c r="G1822" s="106"/>
      <c r="H1822" s="104"/>
      <c r="I1822" s="107"/>
      <c r="J1822" s="107"/>
      <c r="K1822" s="107"/>
      <c r="L1822" s="108"/>
      <c r="M1822" s="107"/>
      <c r="N1822" s="107"/>
      <c r="O1822" s="109"/>
      <c r="P1822" s="59"/>
      <c r="Q1822" s="104"/>
    </row>
    <row r="1823" ht="25.5" customHeight="1">
      <c r="A1823" s="110"/>
      <c r="B1823" s="111"/>
      <c r="C1823" s="96"/>
      <c r="D1823" s="112"/>
      <c r="E1823" s="112"/>
      <c r="F1823" s="112"/>
      <c r="G1823" s="113"/>
      <c r="H1823" s="111"/>
      <c r="I1823" s="103"/>
      <c r="J1823" s="103"/>
      <c r="K1823" s="103"/>
      <c r="L1823" s="108"/>
      <c r="M1823" s="103"/>
      <c r="N1823" s="103"/>
      <c r="O1823" s="114"/>
      <c r="P1823" s="110"/>
      <c r="Q1823" s="111"/>
    </row>
    <row r="1824" ht="25.5" customHeight="1">
      <c r="A1824" s="59"/>
      <c r="B1824" s="104"/>
      <c r="C1824" s="96"/>
      <c r="D1824" s="105"/>
      <c r="E1824" s="105"/>
      <c r="F1824" s="105"/>
      <c r="G1824" s="106"/>
      <c r="H1824" s="104"/>
      <c r="I1824" s="107"/>
      <c r="J1824" s="107"/>
      <c r="K1824" s="107"/>
      <c r="L1824" s="108"/>
      <c r="M1824" s="107"/>
      <c r="N1824" s="107"/>
      <c r="O1824" s="109"/>
      <c r="P1824" s="59"/>
      <c r="Q1824" s="104"/>
    </row>
    <row r="1825" ht="25.5" customHeight="1">
      <c r="A1825" s="110"/>
      <c r="B1825" s="111"/>
      <c r="C1825" s="96"/>
      <c r="D1825" s="112"/>
      <c r="E1825" s="112"/>
      <c r="F1825" s="112"/>
      <c r="G1825" s="113"/>
      <c r="H1825" s="111"/>
      <c r="I1825" s="103"/>
      <c r="J1825" s="103"/>
      <c r="K1825" s="103"/>
      <c r="L1825" s="108"/>
      <c r="M1825" s="103"/>
      <c r="N1825" s="103"/>
      <c r="O1825" s="114"/>
      <c r="P1825" s="110"/>
      <c r="Q1825" s="111"/>
    </row>
    <row r="1826" ht="25.5" customHeight="1">
      <c r="A1826" s="59"/>
      <c r="B1826" s="104"/>
      <c r="C1826" s="96"/>
      <c r="D1826" s="105"/>
      <c r="E1826" s="105"/>
      <c r="F1826" s="105"/>
      <c r="G1826" s="106"/>
      <c r="H1826" s="104"/>
      <c r="I1826" s="107"/>
      <c r="J1826" s="107"/>
      <c r="K1826" s="107"/>
      <c r="L1826" s="108"/>
      <c r="M1826" s="107"/>
      <c r="N1826" s="107"/>
      <c r="O1826" s="109"/>
      <c r="P1826" s="59"/>
      <c r="Q1826" s="104"/>
    </row>
    <row r="1827" ht="25.5" customHeight="1">
      <c r="A1827" s="110"/>
      <c r="B1827" s="111"/>
      <c r="C1827" s="96"/>
      <c r="D1827" s="112"/>
      <c r="E1827" s="112"/>
      <c r="F1827" s="112"/>
      <c r="G1827" s="113"/>
      <c r="H1827" s="111"/>
      <c r="I1827" s="103"/>
      <c r="J1827" s="103"/>
      <c r="K1827" s="103"/>
      <c r="L1827" s="108"/>
      <c r="M1827" s="103"/>
      <c r="N1827" s="103"/>
      <c r="O1827" s="114"/>
      <c r="P1827" s="110"/>
      <c r="Q1827" s="111"/>
    </row>
    <row r="1828" ht="25.5" customHeight="1">
      <c r="A1828" s="59"/>
      <c r="B1828" s="104"/>
      <c r="C1828" s="96"/>
      <c r="D1828" s="105"/>
      <c r="E1828" s="105"/>
      <c r="F1828" s="105"/>
      <c r="G1828" s="106"/>
      <c r="H1828" s="104"/>
      <c r="I1828" s="107"/>
      <c r="J1828" s="107"/>
      <c r="K1828" s="107"/>
      <c r="L1828" s="108"/>
      <c r="M1828" s="107"/>
      <c r="N1828" s="107"/>
      <c r="O1828" s="109"/>
      <c r="P1828" s="59"/>
      <c r="Q1828" s="104"/>
    </row>
    <row r="1829" ht="25.5" customHeight="1">
      <c r="A1829" s="110"/>
      <c r="B1829" s="111"/>
      <c r="C1829" s="96"/>
      <c r="D1829" s="112"/>
      <c r="E1829" s="112"/>
      <c r="F1829" s="112"/>
      <c r="G1829" s="113"/>
      <c r="H1829" s="111"/>
      <c r="I1829" s="103"/>
      <c r="J1829" s="103"/>
      <c r="K1829" s="103"/>
      <c r="L1829" s="108"/>
      <c r="M1829" s="103"/>
      <c r="N1829" s="103"/>
      <c r="O1829" s="114"/>
      <c r="P1829" s="110"/>
      <c r="Q1829" s="111"/>
    </row>
    <row r="1830" ht="25.5" customHeight="1">
      <c r="A1830" s="59"/>
      <c r="B1830" s="104"/>
      <c r="C1830" s="96"/>
      <c r="D1830" s="105"/>
      <c r="E1830" s="105"/>
      <c r="F1830" s="105"/>
      <c r="G1830" s="106"/>
      <c r="H1830" s="104"/>
      <c r="I1830" s="107"/>
      <c r="J1830" s="107"/>
      <c r="K1830" s="107"/>
      <c r="L1830" s="108"/>
      <c r="M1830" s="107"/>
      <c r="N1830" s="107"/>
      <c r="O1830" s="109"/>
      <c r="P1830" s="59"/>
      <c r="Q1830" s="104"/>
    </row>
    <row r="1831" ht="25.5" customHeight="1">
      <c r="A1831" s="110"/>
      <c r="B1831" s="111"/>
      <c r="C1831" s="96"/>
      <c r="D1831" s="112"/>
      <c r="E1831" s="112"/>
      <c r="F1831" s="112"/>
      <c r="G1831" s="113"/>
      <c r="H1831" s="111"/>
      <c r="I1831" s="103"/>
      <c r="J1831" s="103"/>
      <c r="K1831" s="103"/>
      <c r="L1831" s="108"/>
      <c r="M1831" s="103"/>
      <c r="N1831" s="103"/>
      <c r="O1831" s="114"/>
      <c r="P1831" s="110"/>
      <c r="Q1831" s="111"/>
    </row>
    <row r="1832" ht="25.5" customHeight="1">
      <c r="A1832" s="59"/>
      <c r="B1832" s="104"/>
      <c r="C1832" s="96"/>
      <c r="D1832" s="105"/>
      <c r="E1832" s="105"/>
      <c r="F1832" s="105"/>
      <c r="G1832" s="106"/>
      <c r="H1832" s="104"/>
      <c r="I1832" s="107"/>
      <c r="J1832" s="107"/>
      <c r="K1832" s="107"/>
      <c r="L1832" s="108"/>
      <c r="M1832" s="107"/>
      <c r="N1832" s="107"/>
      <c r="O1832" s="109"/>
      <c r="P1832" s="59"/>
      <c r="Q1832" s="104"/>
    </row>
    <row r="1833" ht="25.5" customHeight="1">
      <c r="A1833" s="110"/>
      <c r="B1833" s="111"/>
      <c r="C1833" s="96"/>
      <c r="D1833" s="112"/>
      <c r="E1833" s="112"/>
      <c r="F1833" s="112"/>
      <c r="G1833" s="113"/>
      <c r="H1833" s="111"/>
      <c r="I1833" s="103"/>
      <c r="J1833" s="103"/>
      <c r="K1833" s="103"/>
      <c r="L1833" s="108"/>
      <c r="M1833" s="103"/>
      <c r="N1833" s="103"/>
      <c r="O1833" s="114"/>
      <c r="P1833" s="110"/>
      <c r="Q1833" s="111"/>
    </row>
    <row r="1834" ht="25.5" customHeight="1">
      <c r="A1834" s="59"/>
      <c r="B1834" s="104"/>
      <c r="C1834" s="96"/>
      <c r="D1834" s="105"/>
      <c r="E1834" s="105"/>
      <c r="F1834" s="105"/>
      <c r="G1834" s="106"/>
      <c r="H1834" s="104"/>
      <c r="I1834" s="107"/>
      <c r="J1834" s="107"/>
      <c r="K1834" s="107"/>
      <c r="L1834" s="108"/>
      <c r="M1834" s="107"/>
      <c r="N1834" s="107"/>
      <c r="O1834" s="109"/>
      <c r="P1834" s="59"/>
      <c r="Q1834" s="104"/>
    </row>
    <row r="1835" ht="25.5" customHeight="1">
      <c r="A1835" s="110"/>
      <c r="B1835" s="111"/>
      <c r="C1835" s="96"/>
      <c r="D1835" s="112"/>
      <c r="E1835" s="112"/>
      <c r="F1835" s="112"/>
      <c r="G1835" s="113"/>
      <c r="H1835" s="111"/>
      <c r="I1835" s="103"/>
      <c r="J1835" s="103"/>
      <c r="K1835" s="103"/>
      <c r="L1835" s="108"/>
      <c r="M1835" s="103"/>
      <c r="N1835" s="103"/>
      <c r="O1835" s="114"/>
      <c r="P1835" s="110"/>
      <c r="Q1835" s="111"/>
    </row>
    <row r="1836" ht="25.5" customHeight="1">
      <c r="A1836" s="59"/>
      <c r="B1836" s="104"/>
      <c r="C1836" s="96"/>
      <c r="D1836" s="105"/>
      <c r="E1836" s="105"/>
      <c r="F1836" s="105"/>
      <c r="G1836" s="106"/>
      <c r="H1836" s="104"/>
      <c r="I1836" s="107"/>
      <c r="J1836" s="107"/>
      <c r="K1836" s="107"/>
      <c r="L1836" s="108"/>
      <c r="M1836" s="107"/>
      <c r="N1836" s="107"/>
      <c r="O1836" s="109"/>
      <c r="P1836" s="59"/>
      <c r="Q1836" s="104"/>
    </row>
    <row r="1837" ht="25.5" customHeight="1">
      <c r="A1837" s="110"/>
      <c r="B1837" s="111"/>
      <c r="C1837" s="96"/>
      <c r="D1837" s="112"/>
      <c r="E1837" s="112"/>
      <c r="F1837" s="112"/>
      <c r="G1837" s="113"/>
      <c r="H1837" s="111"/>
      <c r="I1837" s="103"/>
      <c r="J1837" s="103"/>
      <c r="K1837" s="103"/>
      <c r="L1837" s="108"/>
      <c r="M1837" s="103"/>
      <c r="N1837" s="103"/>
      <c r="O1837" s="114"/>
      <c r="P1837" s="110"/>
      <c r="Q1837" s="111"/>
    </row>
    <row r="1838" ht="25.5" customHeight="1">
      <c r="A1838" s="59"/>
      <c r="B1838" s="104"/>
      <c r="C1838" s="96"/>
      <c r="D1838" s="105"/>
      <c r="E1838" s="105"/>
      <c r="F1838" s="105"/>
      <c r="G1838" s="106"/>
      <c r="H1838" s="104"/>
      <c r="I1838" s="107"/>
      <c r="J1838" s="107"/>
      <c r="K1838" s="107"/>
      <c r="L1838" s="108"/>
      <c r="M1838" s="107"/>
      <c r="N1838" s="107"/>
      <c r="O1838" s="109"/>
      <c r="P1838" s="59"/>
      <c r="Q1838" s="104"/>
    </row>
    <row r="1839" ht="25.5" customHeight="1">
      <c r="A1839" s="110"/>
      <c r="B1839" s="111"/>
      <c r="C1839" s="96"/>
      <c r="D1839" s="112"/>
      <c r="E1839" s="112"/>
      <c r="F1839" s="112"/>
      <c r="G1839" s="113"/>
      <c r="H1839" s="111"/>
      <c r="I1839" s="103"/>
      <c r="J1839" s="103"/>
      <c r="K1839" s="103"/>
      <c r="L1839" s="108"/>
      <c r="M1839" s="103"/>
      <c r="N1839" s="103"/>
      <c r="O1839" s="114"/>
      <c r="P1839" s="110"/>
      <c r="Q1839" s="111"/>
    </row>
    <row r="1840" ht="25.5" customHeight="1">
      <c r="A1840" s="59"/>
      <c r="B1840" s="104"/>
      <c r="C1840" s="96"/>
      <c r="D1840" s="105"/>
      <c r="E1840" s="105"/>
      <c r="F1840" s="105"/>
      <c r="G1840" s="106"/>
      <c r="H1840" s="104"/>
      <c r="I1840" s="107"/>
      <c r="J1840" s="107"/>
      <c r="K1840" s="107"/>
      <c r="L1840" s="108"/>
      <c r="M1840" s="107"/>
      <c r="N1840" s="107"/>
      <c r="O1840" s="109"/>
      <c r="P1840" s="59"/>
      <c r="Q1840" s="104"/>
    </row>
    <row r="1841" ht="25.5" customHeight="1">
      <c r="A1841" s="110"/>
      <c r="B1841" s="111"/>
      <c r="C1841" s="96"/>
      <c r="D1841" s="112"/>
      <c r="E1841" s="112"/>
      <c r="F1841" s="112"/>
      <c r="G1841" s="113"/>
      <c r="H1841" s="111"/>
      <c r="I1841" s="103"/>
      <c r="J1841" s="103"/>
      <c r="K1841" s="103"/>
      <c r="L1841" s="108"/>
      <c r="M1841" s="103"/>
      <c r="N1841" s="103"/>
      <c r="O1841" s="114"/>
      <c r="P1841" s="110"/>
      <c r="Q1841" s="111"/>
    </row>
    <row r="1842" ht="25.5" customHeight="1">
      <c r="A1842" s="59"/>
      <c r="B1842" s="104"/>
      <c r="C1842" s="96"/>
      <c r="D1842" s="105"/>
      <c r="E1842" s="105"/>
      <c r="F1842" s="105"/>
      <c r="G1842" s="106"/>
      <c r="H1842" s="104"/>
      <c r="I1842" s="107"/>
      <c r="J1842" s="107"/>
      <c r="K1842" s="107"/>
      <c r="L1842" s="108"/>
      <c r="M1842" s="107"/>
      <c r="N1842" s="107"/>
      <c r="O1842" s="109"/>
      <c r="P1842" s="59"/>
      <c r="Q1842" s="104"/>
    </row>
    <row r="1843" ht="25.5" customHeight="1">
      <c r="A1843" s="110"/>
      <c r="B1843" s="111"/>
      <c r="C1843" s="96"/>
      <c r="D1843" s="112"/>
      <c r="E1843" s="112"/>
      <c r="F1843" s="112"/>
      <c r="G1843" s="113"/>
      <c r="H1843" s="111"/>
      <c r="I1843" s="103"/>
      <c r="J1843" s="103"/>
      <c r="K1843" s="103"/>
      <c r="L1843" s="108"/>
      <c r="M1843" s="103"/>
      <c r="N1843" s="103"/>
      <c r="O1843" s="114"/>
      <c r="P1843" s="110"/>
      <c r="Q1843" s="111"/>
    </row>
    <row r="1844" ht="25.5" customHeight="1">
      <c r="A1844" s="59"/>
      <c r="B1844" s="104"/>
      <c r="C1844" s="96"/>
      <c r="D1844" s="105"/>
      <c r="E1844" s="105"/>
      <c r="F1844" s="105"/>
      <c r="G1844" s="106"/>
      <c r="H1844" s="104"/>
      <c r="I1844" s="107"/>
      <c r="J1844" s="107"/>
      <c r="K1844" s="107"/>
      <c r="L1844" s="108"/>
      <c r="M1844" s="107"/>
      <c r="N1844" s="107"/>
      <c r="O1844" s="109"/>
      <c r="P1844" s="59"/>
      <c r="Q1844" s="104"/>
    </row>
    <row r="1845" ht="25.5" customHeight="1">
      <c r="A1845" s="110"/>
      <c r="B1845" s="111"/>
      <c r="C1845" s="96"/>
      <c r="D1845" s="112"/>
      <c r="E1845" s="112"/>
      <c r="F1845" s="112"/>
      <c r="G1845" s="113"/>
      <c r="H1845" s="111"/>
      <c r="I1845" s="103"/>
      <c r="J1845" s="103"/>
      <c r="K1845" s="103"/>
      <c r="L1845" s="108"/>
      <c r="M1845" s="103"/>
      <c r="N1845" s="103"/>
      <c r="O1845" s="114"/>
      <c r="P1845" s="110"/>
      <c r="Q1845" s="111"/>
    </row>
    <row r="1846" ht="25.5" customHeight="1">
      <c r="A1846" s="59"/>
      <c r="B1846" s="104"/>
      <c r="C1846" s="96"/>
      <c r="D1846" s="105"/>
      <c r="E1846" s="105"/>
      <c r="F1846" s="105"/>
      <c r="G1846" s="106"/>
      <c r="H1846" s="104"/>
      <c r="I1846" s="107"/>
      <c r="J1846" s="107"/>
      <c r="K1846" s="107"/>
      <c r="L1846" s="108"/>
      <c r="M1846" s="107"/>
      <c r="N1846" s="107"/>
      <c r="O1846" s="109"/>
      <c r="P1846" s="59"/>
      <c r="Q1846" s="104"/>
    </row>
    <row r="1847" ht="25.5" customHeight="1">
      <c r="A1847" s="110"/>
      <c r="B1847" s="111"/>
      <c r="C1847" s="96"/>
      <c r="D1847" s="112"/>
      <c r="E1847" s="112"/>
      <c r="F1847" s="112"/>
      <c r="G1847" s="113"/>
      <c r="H1847" s="111"/>
      <c r="I1847" s="103"/>
      <c r="J1847" s="103"/>
      <c r="K1847" s="103"/>
      <c r="L1847" s="108"/>
      <c r="M1847" s="103"/>
      <c r="N1847" s="103"/>
      <c r="O1847" s="114"/>
      <c r="P1847" s="110"/>
      <c r="Q1847" s="111"/>
    </row>
    <row r="1848" ht="25.5" customHeight="1">
      <c r="A1848" s="59"/>
      <c r="B1848" s="104"/>
      <c r="C1848" s="96"/>
      <c r="D1848" s="105"/>
      <c r="E1848" s="105"/>
      <c r="F1848" s="105"/>
      <c r="G1848" s="106"/>
      <c r="H1848" s="104"/>
      <c r="I1848" s="107"/>
      <c r="J1848" s="107"/>
      <c r="K1848" s="107"/>
      <c r="L1848" s="108"/>
      <c r="M1848" s="107"/>
      <c r="N1848" s="107"/>
      <c r="O1848" s="109"/>
      <c r="P1848" s="59"/>
      <c r="Q1848" s="104"/>
    </row>
    <row r="1849" ht="25.5" customHeight="1">
      <c r="A1849" s="110"/>
      <c r="B1849" s="111"/>
      <c r="C1849" s="96"/>
      <c r="D1849" s="112"/>
      <c r="E1849" s="112"/>
      <c r="F1849" s="112"/>
      <c r="G1849" s="113"/>
      <c r="H1849" s="111"/>
      <c r="I1849" s="103"/>
      <c r="J1849" s="103"/>
      <c r="K1849" s="103"/>
      <c r="L1849" s="108"/>
      <c r="M1849" s="103"/>
      <c r="N1849" s="103"/>
      <c r="O1849" s="114"/>
      <c r="P1849" s="110"/>
      <c r="Q1849" s="111"/>
    </row>
    <row r="1850" ht="25.5" customHeight="1">
      <c r="A1850" s="59"/>
      <c r="B1850" s="104"/>
      <c r="C1850" s="96"/>
      <c r="D1850" s="105"/>
      <c r="E1850" s="105"/>
      <c r="F1850" s="105"/>
      <c r="G1850" s="106"/>
      <c r="H1850" s="104"/>
      <c r="I1850" s="107"/>
      <c r="J1850" s="107"/>
      <c r="K1850" s="107"/>
      <c r="L1850" s="108"/>
      <c r="M1850" s="107"/>
      <c r="N1850" s="107"/>
      <c r="O1850" s="109"/>
      <c r="P1850" s="59"/>
      <c r="Q1850" s="104"/>
    </row>
    <row r="1851" ht="25.5" customHeight="1">
      <c r="A1851" s="110"/>
      <c r="B1851" s="111"/>
      <c r="C1851" s="96"/>
      <c r="D1851" s="112"/>
      <c r="E1851" s="112"/>
      <c r="F1851" s="112"/>
      <c r="G1851" s="113"/>
      <c r="H1851" s="111"/>
      <c r="I1851" s="103"/>
      <c r="J1851" s="103"/>
      <c r="K1851" s="103"/>
      <c r="L1851" s="108"/>
      <c r="M1851" s="103"/>
      <c r="N1851" s="103"/>
      <c r="O1851" s="114"/>
      <c r="P1851" s="110"/>
      <c r="Q1851" s="111"/>
    </row>
    <row r="1852" ht="25.5" customHeight="1">
      <c r="A1852" s="59"/>
      <c r="B1852" s="104"/>
      <c r="C1852" s="96"/>
      <c r="D1852" s="105"/>
      <c r="E1852" s="105"/>
      <c r="F1852" s="105"/>
      <c r="G1852" s="106"/>
      <c r="H1852" s="104"/>
      <c r="I1852" s="107"/>
      <c r="J1852" s="107"/>
      <c r="K1852" s="107"/>
      <c r="L1852" s="108"/>
      <c r="M1852" s="107"/>
      <c r="N1852" s="107"/>
      <c r="O1852" s="109"/>
      <c r="P1852" s="59"/>
      <c r="Q1852" s="104"/>
    </row>
    <row r="1853" ht="25.5" customHeight="1">
      <c r="A1853" s="110"/>
      <c r="B1853" s="111"/>
      <c r="C1853" s="96"/>
      <c r="D1853" s="112"/>
      <c r="E1853" s="112"/>
      <c r="F1853" s="112"/>
      <c r="G1853" s="113"/>
      <c r="H1853" s="111"/>
      <c r="I1853" s="103"/>
      <c r="J1853" s="103"/>
      <c r="K1853" s="103"/>
      <c r="L1853" s="108"/>
      <c r="M1853" s="103"/>
      <c r="N1853" s="103"/>
      <c r="O1853" s="114"/>
      <c r="P1853" s="110"/>
      <c r="Q1853" s="111"/>
    </row>
    <row r="1854" ht="25.5" customHeight="1">
      <c r="A1854" s="59"/>
      <c r="B1854" s="104"/>
      <c r="C1854" s="96"/>
      <c r="D1854" s="105"/>
      <c r="E1854" s="105"/>
      <c r="F1854" s="105"/>
      <c r="G1854" s="106"/>
      <c r="H1854" s="104"/>
      <c r="I1854" s="107"/>
      <c r="J1854" s="107"/>
      <c r="K1854" s="107"/>
      <c r="L1854" s="108"/>
      <c r="M1854" s="107"/>
      <c r="N1854" s="107"/>
      <c r="O1854" s="109"/>
      <c r="P1854" s="59"/>
      <c r="Q1854" s="104"/>
    </row>
    <row r="1855" ht="25.5" customHeight="1">
      <c r="A1855" s="110"/>
      <c r="B1855" s="111"/>
      <c r="C1855" s="96"/>
      <c r="D1855" s="112"/>
      <c r="E1855" s="112"/>
      <c r="F1855" s="112"/>
      <c r="G1855" s="113"/>
      <c r="H1855" s="111"/>
      <c r="I1855" s="103"/>
      <c r="J1855" s="103"/>
      <c r="K1855" s="103"/>
      <c r="L1855" s="108"/>
      <c r="M1855" s="103"/>
      <c r="N1855" s="103"/>
      <c r="O1855" s="114"/>
      <c r="P1855" s="110"/>
      <c r="Q1855" s="111"/>
    </row>
    <row r="1856" ht="25.5" customHeight="1">
      <c r="A1856" s="59"/>
      <c r="B1856" s="104"/>
      <c r="C1856" s="96"/>
      <c r="D1856" s="105"/>
      <c r="E1856" s="105"/>
      <c r="F1856" s="105"/>
      <c r="G1856" s="106"/>
      <c r="H1856" s="104"/>
      <c r="I1856" s="107"/>
      <c r="J1856" s="107"/>
      <c r="K1856" s="107"/>
      <c r="L1856" s="108"/>
      <c r="M1856" s="107"/>
      <c r="N1856" s="107"/>
      <c r="O1856" s="109"/>
      <c r="P1856" s="59"/>
      <c r="Q1856" s="104"/>
    </row>
    <row r="1857" ht="25.5" customHeight="1">
      <c r="A1857" s="110"/>
      <c r="B1857" s="111"/>
      <c r="C1857" s="96"/>
      <c r="D1857" s="112"/>
      <c r="E1857" s="112"/>
      <c r="F1857" s="112"/>
      <c r="G1857" s="113"/>
      <c r="H1857" s="111"/>
      <c r="I1857" s="103"/>
      <c r="J1857" s="103"/>
      <c r="K1857" s="103"/>
      <c r="L1857" s="108"/>
      <c r="M1857" s="103"/>
      <c r="N1857" s="103"/>
      <c r="O1857" s="114"/>
      <c r="P1857" s="110"/>
      <c r="Q1857" s="111"/>
    </row>
    <row r="1858" ht="25.5" customHeight="1">
      <c r="A1858" s="59"/>
      <c r="B1858" s="104"/>
      <c r="C1858" s="96"/>
      <c r="D1858" s="105"/>
      <c r="E1858" s="105"/>
      <c r="F1858" s="105"/>
      <c r="G1858" s="106"/>
      <c r="H1858" s="104"/>
      <c r="I1858" s="107"/>
      <c r="J1858" s="107"/>
      <c r="K1858" s="107"/>
      <c r="L1858" s="108"/>
      <c r="M1858" s="107"/>
      <c r="N1858" s="107"/>
      <c r="O1858" s="109"/>
      <c r="P1858" s="59"/>
      <c r="Q1858" s="104"/>
    </row>
    <row r="1859" ht="25.5" customHeight="1">
      <c r="A1859" s="110"/>
      <c r="B1859" s="111"/>
      <c r="C1859" s="96"/>
      <c r="D1859" s="112"/>
      <c r="E1859" s="112"/>
      <c r="F1859" s="112"/>
      <c r="G1859" s="113"/>
      <c r="H1859" s="111"/>
      <c r="I1859" s="103"/>
      <c r="J1859" s="103"/>
      <c r="K1859" s="103"/>
      <c r="L1859" s="108"/>
      <c r="M1859" s="103"/>
      <c r="N1859" s="103"/>
      <c r="O1859" s="114"/>
      <c r="P1859" s="110"/>
      <c r="Q1859" s="111"/>
    </row>
    <row r="1860" ht="25.5" customHeight="1">
      <c r="A1860" s="59"/>
      <c r="B1860" s="104"/>
      <c r="C1860" s="96"/>
      <c r="D1860" s="105"/>
      <c r="E1860" s="105"/>
      <c r="F1860" s="105"/>
      <c r="G1860" s="106"/>
      <c r="H1860" s="104"/>
      <c r="I1860" s="107"/>
      <c r="J1860" s="107"/>
      <c r="K1860" s="107"/>
      <c r="L1860" s="108"/>
      <c r="M1860" s="107"/>
      <c r="N1860" s="107"/>
      <c r="O1860" s="109"/>
      <c r="P1860" s="59"/>
      <c r="Q1860" s="104"/>
    </row>
    <row r="1861" ht="25.5" customHeight="1">
      <c r="A1861" s="110"/>
      <c r="B1861" s="111"/>
      <c r="C1861" s="96"/>
      <c r="D1861" s="112"/>
      <c r="E1861" s="112"/>
      <c r="F1861" s="112"/>
      <c r="G1861" s="113"/>
      <c r="H1861" s="111"/>
      <c r="I1861" s="103"/>
      <c r="J1861" s="103"/>
      <c r="K1861" s="103"/>
      <c r="L1861" s="108"/>
      <c r="M1861" s="103"/>
      <c r="N1861" s="103"/>
      <c r="O1861" s="114"/>
      <c r="P1861" s="110"/>
      <c r="Q1861" s="111"/>
    </row>
    <row r="1862" ht="25.5" customHeight="1">
      <c r="A1862" s="59"/>
      <c r="B1862" s="104"/>
      <c r="C1862" s="96"/>
      <c r="D1862" s="105"/>
      <c r="E1862" s="105"/>
      <c r="F1862" s="105"/>
      <c r="G1862" s="106"/>
      <c r="H1862" s="104"/>
      <c r="I1862" s="107"/>
      <c r="J1862" s="107"/>
      <c r="K1862" s="107"/>
      <c r="L1862" s="108"/>
      <c r="M1862" s="107"/>
      <c r="N1862" s="107"/>
      <c r="O1862" s="109"/>
      <c r="P1862" s="59"/>
      <c r="Q1862" s="104"/>
    </row>
    <row r="1863" ht="25.5" customHeight="1">
      <c r="A1863" s="110"/>
      <c r="B1863" s="111"/>
      <c r="C1863" s="96"/>
      <c r="D1863" s="112"/>
      <c r="E1863" s="112"/>
      <c r="F1863" s="112"/>
      <c r="G1863" s="113"/>
      <c r="H1863" s="111"/>
      <c r="I1863" s="103"/>
      <c r="J1863" s="103"/>
      <c r="K1863" s="103"/>
      <c r="L1863" s="108"/>
      <c r="M1863" s="103"/>
      <c r="N1863" s="103"/>
      <c r="O1863" s="114"/>
      <c r="P1863" s="110"/>
      <c r="Q1863" s="111"/>
    </row>
    <row r="1864" ht="25.5" customHeight="1">
      <c r="A1864" s="59"/>
      <c r="B1864" s="104"/>
      <c r="C1864" s="96"/>
      <c r="D1864" s="105"/>
      <c r="E1864" s="105"/>
      <c r="F1864" s="105"/>
      <c r="G1864" s="106"/>
      <c r="H1864" s="104"/>
      <c r="I1864" s="107"/>
      <c r="J1864" s="107"/>
      <c r="K1864" s="107"/>
      <c r="L1864" s="108"/>
      <c r="M1864" s="107"/>
      <c r="N1864" s="107"/>
      <c r="O1864" s="109"/>
      <c r="P1864" s="59"/>
      <c r="Q1864" s="104"/>
    </row>
    <row r="1865" ht="25.5" customHeight="1">
      <c r="A1865" s="110"/>
      <c r="B1865" s="111"/>
      <c r="C1865" s="96"/>
      <c r="D1865" s="112"/>
      <c r="E1865" s="112"/>
      <c r="F1865" s="112"/>
      <c r="G1865" s="113"/>
      <c r="H1865" s="111"/>
      <c r="I1865" s="103"/>
      <c r="J1865" s="103"/>
      <c r="K1865" s="103"/>
      <c r="L1865" s="108"/>
      <c r="M1865" s="103"/>
      <c r="N1865" s="103"/>
      <c r="O1865" s="114"/>
      <c r="P1865" s="110"/>
      <c r="Q1865" s="111"/>
    </row>
    <row r="1866" ht="25.5" customHeight="1">
      <c r="A1866" s="59"/>
      <c r="B1866" s="104"/>
      <c r="C1866" s="96"/>
      <c r="D1866" s="105"/>
      <c r="E1866" s="105"/>
      <c r="F1866" s="105"/>
      <c r="G1866" s="106"/>
      <c r="H1866" s="104"/>
      <c r="I1866" s="107"/>
      <c r="J1866" s="107"/>
      <c r="K1866" s="107"/>
      <c r="L1866" s="108"/>
      <c r="M1866" s="107"/>
      <c r="N1866" s="107"/>
      <c r="O1866" s="109"/>
      <c r="P1866" s="59"/>
      <c r="Q1866" s="104"/>
    </row>
    <row r="1867" ht="25.5" customHeight="1">
      <c r="A1867" s="110"/>
      <c r="B1867" s="111"/>
      <c r="C1867" s="96"/>
      <c r="D1867" s="112"/>
      <c r="E1867" s="112"/>
      <c r="F1867" s="112"/>
      <c r="G1867" s="113"/>
      <c r="H1867" s="111"/>
      <c r="I1867" s="103"/>
      <c r="J1867" s="103"/>
      <c r="K1867" s="103"/>
      <c r="L1867" s="108"/>
      <c r="M1867" s="103"/>
      <c r="N1867" s="103"/>
      <c r="O1867" s="114"/>
      <c r="P1867" s="110"/>
      <c r="Q1867" s="111"/>
    </row>
    <row r="1868" ht="25.5" customHeight="1">
      <c r="A1868" s="59"/>
      <c r="B1868" s="104"/>
      <c r="C1868" s="96"/>
      <c r="D1868" s="105"/>
      <c r="E1868" s="105"/>
      <c r="F1868" s="105"/>
      <c r="G1868" s="106"/>
      <c r="H1868" s="104"/>
      <c r="I1868" s="107"/>
      <c r="J1868" s="107"/>
      <c r="K1868" s="107"/>
      <c r="L1868" s="108"/>
      <c r="M1868" s="107"/>
      <c r="N1868" s="107"/>
      <c r="O1868" s="109"/>
      <c r="P1868" s="59"/>
      <c r="Q1868" s="104"/>
    </row>
    <row r="1869" ht="25.5" customHeight="1">
      <c r="A1869" s="110"/>
      <c r="B1869" s="111"/>
      <c r="C1869" s="96"/>
      <c r="D1869" s="112"/>
      <c r="E1869" s="112"/>
      <c r="F1869" s="112"/>
      <c r="G1869" s="113"/>
      <c r="H1869" s="111"/>
      <c r="I1869" s="103"/>
      <c r="J1869" s="103"/>
      <c r="K1869" s="103"/>
      <c r="L1869" s="108"/>
      <c r="M1869" s="103"/>
      <c r="N1869" s="103"/>
      <c r="O1869" s="114"/>
      <c r="P1869" s="110"/>
      <c r="Q1869" s="111"/>
    </row>
    <row r="1870" ht="25.5" customHeight="1">
      <c r="A1870" s="59"/>
      <c r="B1870" s="104"/>
      <c r="C1870" s="96"/>
      <c r="D1870" s="105"/>
      <c r="E1870" s="105"/>
      <c r="F1870" s="105"/>
      <c r="G1870" s="106"/>
      <c r="H1870" s="104"/>
      <c r="I1870" s="107"/>
      <c r="J1870" s="107"/>
      <c r="K1870" s="107"/>
      <c r="L1870" s="108"/>
      <c r="M1870" s="107"/>
      <c r="N1870" s="107"/>
      <c r="O1870" s="109"/>
      <c r="P1870" s="59"/>
      <c r="Q1870" s="104"/>
    </row>
    <row r="1871" ht="25.5" customHeight="1">
      <c r="A1871" s="110"/>
      <c r="B1871" s="111"/>
      <c r="C1871" s="96"/>
      <c r="D1871" s="112"/>
      <c r="E1871" s="112"/>
      <c r="F1871" s="112"/>
      <c r="G1871" s="113"/>
      <c r="H1871" s="111"/>
      <c r="I1871" s="103"/>
      <c r="J1871" s="103"/>
      <c r="K1871" s="103"/>
      <c r="L1871" s="108"/>
      <c r="M1871" s="103"/>
      <c r="N1871" s="103"/>
      <c r="O1871" s="114"/>
      <c r="P1871" s="110"/>
      <c r="Q1871" s="111"/>
    </row>
    <row r="1872" ht="25.5" customHeight="1">
      <c r="A1872" s="59"/>
      <c r="B1872" s="104"/>
      <c r="C1872" s="96"/>
      <c r="D1872" s="105"/>
      <c r="E1872" s="105"/>
      <c r="F1872" s="105"/>
      <c r="G1872" s="106"/>
      <c r="H1872" s="104"/>
      <c r="I1872" s="107"/>
      <c r="J1872" s="107"/>
      <c r="K1872" s="107"/>
      <c r="L1872" s="108"/>
      <c r="M1872" s="107"/>
      <c r="N1872" s="107"/>
      <c r="O1872" s="109"/>
      <c r="P1872" s="59"/>
      <c r="Q1872" s="104"/>
    </row>
    <row r="1873" ht="25.5" customHeight="1">
      <c r="A1873" s="110"/>
      <c r="B1873" s="111"/>
      <c r="C1873" s="96"/>
      <c r="D1873" s="112"/>
      <c r="E1873" s="112"/>
      <c r="F1873" s="112"/>
      <c r="G1873" s="113"/>
      <c r="H1873" s="111"/>
      <c r="I1873" s="103"/>
      <c r="J1873" s="103"/>
      <c r="K1873" s="103"/>
      <c r="L1873" s="108"/>
      <c r="M1873" s="103"/>
      <c r="N1873" s="103"/>
      <c r="O1873" s="114"/>
      <c r="P1873" s="110"/>
      <c r="Q1873" s="111"/>
    </row>
    <row r="1874" ht="25.5" customHeight="1">
      <c r="A1874" s="59"/>
      <c r="B1874" s="104"/>
      <c r="C1874" s="96"/>
      <c r="D1874" s="105"/>
      <c r="E1874" s="105"/>
      <c r="F1874" s="105"/>
      <c r="G1874" s="106"/>
      <c r="H1874" s="104"/>
      <c r="I1874" s="107"/>
      <c r="J1874" s="107"/>
      <c r="K1874" s="107"/>
      <c r="L1874" s="108"/>
      <c r="M1874" s="107"/>
      <c r="N1874" s="107"/>
      <c r="O1874" s="109"/>
      <c r="P1874" s="59"/>
      <c r="Q1874" s="104"/>
    </row>
    <row r="1875" ht="25.5" customHeight="1">
      <c r="A1875" s="110"/>
      <c r="B1875" s="111"/>
      <c r="C1875" s="96"/>
      <c r="D1875" s="112"/>
      <c r="E1875" s="112"/>
      <c r="F1875" s="112"/>
      <c r="G1875" s="113"/>
      <c r="H1875" s="111"/>
      <c r="I1875" s="103"/>
      <c r="J1875" s="103"/>
      <c r="K1875" s="103"/>
      <c r="L1875" s="108"/>
      <c r="M1875" s="103"/>
      <c r="N1875" s="103"/>
      <c r="O1875" s="114"/>
      <c r="P1875" s="110"/>
      <c r="Q1875" s="111"/>
    </row>
    <row r="1876" ht="25.5" customHeight="1">
      <c r="A1876" s="59"/>
      <c r="B1876" s="104"/>
      <c r="C1876" s="96"/>
      <c r="D1876" s="105"/>
      <c r="E1876" s="105"/>
      <c r="F1876" s="105"/>
      <c r="G1876" s="106"/>
      <c r="H1876" s="104"/>
      <c r="I1876" s="107"/>
      <c r="J1876" s="107"/>
      <c r="K1876" s="107"/>
      <c r="L1876" s="108"/>
      <c r="M1876" s="107"/>
      <c r="N1876" s="107"/>
      <c r="O1876" s="109"/>
      <c r="P1876" s="59"/>
      <c r="Q1876" s="104"/>
    </row>
    <row r="1877" ht="25.5" customHeight="1">
      <c r="A1877" s="110"/>
      <c r="B1877" s="111"/>
      <c r="C1877" s="96"/>
      <c r="D1877" s="112"/>
      <c r="E1877" s="112"/>
      <c r="F1877" s="112"/>
      <c r="G1877" s="113"/>
      <c r="H1877" s="111"/>
      <c r="I1877" s="103"/>
      <c r="J1877" s="103"/>
      <c r="K1877" s="103"/>
      <c r="L1877" s="108"/>
      <c r="M1877" s="103"/>
      <c r="N1877" s="103"/>
      <c r="O1877" s="114"/>
      <c r="P1877" s="110"/>
      <c r="Q1877" s="111"/>
    </row>
    <row r="1878" ht="25.5" customHeight="1">
      <c r="A1878" s="59"/>
      <c r="B1878" s="104"/>
      <c r="C1878" s="96"/>
      <c r="D1878" s="105"/>
      <c r="E1878" s="105"/>
      <c r="F1878" s="105"/>
      <c r="G1878" s="106"/>
      <c r="H1878" s="104"/>
      <c r="I1878" s="107"/>
      <c r="J1878" s="107"/>
      <c r="K1878" s="107"/>
      <c r="L1878" s="108"/>
      <c r="M1878" s="107"/>
      <c r="N1878" s="107"/>
      <c r="O1878" s="109"/>
      <c r="P1878" s="59"/>
      <c r="Q1878" s="104"/>
    </row>
    <row r="1879" ht="25.5" customHeight="1">
      <c r="A1879" s="110"/>
      <c r="B1879" s="111"/>
      <c r="C1879" s="96"/>
      <c r="D1879" s="112"/>
      <c r="E1879" s="112"/>
      <c r="F1879" s="112"/>
      <c r="G1879" s="113"/>
      <c r="H1879" s="111"/>
      <c r="I1879" s="103"/>
      <c r="J1879" s="103"/>
      <c r="K1879" s="103"/>
      <c r="L1879" s="108"/>
      <c r="M1879" s="103"/>
      <c r="N1879" s="103"/>
      <c r="O1879" s="114"/>
      <c r="P1879" s="110"/>
      <c r="Q1879" s="111"/>
    </row>
    <row r="1880" ht="25.5" customHeight="1">
      <c r="A1880" s="59"/>
      <c r="B1880" s="104"/>
      <c r="C1880" s="96"/>
      <c r="D1880" s="105"/>
      <c r="E1880" s="105"/>
      <c r="F1880" s="105"/>
      <c r="G1880" s="106"/>
      <c r="H1880" s="104"/>
      <c r="I1880" s="107"/>
      <c r="J1880" s="107"/>
      <c r="K1880" s="107"/>
      <c r="L1880" s="108"/>
      <c r="M1880" s="107"/>
      <c r="N1880" s="107"/>
      <c r="O1880" s="109"/>
      <c r="P1880" s="59"/>
      <c r="Q1880" s="104"/>
    </row>
    <row r="1881" ht="25.5" customHeight="1">
      <c r="A1881" s="110"/>
      <c r="B1881" s="111"/>
      <c r="C1881" s="96"/>
      <c r="D1881" s="112"/>
      <c r="E1881" s="112"/>
      <c r="F1881" s="112"/>
      <c r="G1881" s="113"/>
      <c r="H1881" s="111"/>
      <c r="I1881" s="103"/>
      <c r="J1881" s="103"/>
      <c r="K1881" s="103"/>
      <c r="L1881" s="108"/>
      <c r="M1881" s="103"/>
      <c r="N1881" s="103"/>
      <c r="O1881" s="114"/>
      <c r="P1881" s="110"/>
      <c r="Q1881" s="111"/>
    </row>
    <row r="1882" ht="25.5" customHeight="1">
      <c r="A1882" s="59"/>
      <c r="B1882" s="104"/>
      <c r="C1882" s="96"/>
      <c r="D1882" s="105"/>
      <c r="E1882" s="105"/>
      <c r="F1882" s="105"/>
      <c r="G1882" s="106"/>
      <c r="H1882" s="104"/>
      <c r="I1882" s="107"/>
      <c r="J1882" s="107"/>
      <c r="K1882" s="107"/>
      <c r="L1882" s="108"/>
      <c r="M1882" s="107"/>
      <c r="N1882" s="107"/>
      <c r="O1882" s="109"/>
      <c r="P1882" s="59"/>
      <c r="Q1882" s="104"/>
    </row>
    <row r="1883" ht="25.5" customHeight="1">
      <c r="A1883" s="110"/>
      <c r="B1883" s="111"/>
      <c r="C1883" s="96"/>
      <c r="D1883" s="112"/>
      <c r="E1883" s="112"/>
      <c r="F1883" s="112"/>
      <c r="G1883" s="113"/>
      <c r="H1883" s="111"/>
      <c r="I1883" s="103"/>
      <c r="J1883" s="103"/>
      <c r="K1883" s="103"/>
      <c r="L1883" s="108"/>
      <c r="M1883" s="103"/>
      <c r="N1883" s="103"/>
      <c r="O1883" s="114"/>
      <c r="P1883" s="110"/>
      <c r="Q1883" s="111"/>
    </row>
    <row r="1884" ht="25.5" customHeight="1">
      <c r="A1884" s="59"/>
      <c r="B1884" s="104"/>
      <c r="C1884" s="96"/>
      <c r="D1884" s="105"/>
      <c r="E1884" s="105"/>
      <c r="F1884" s="105"/>
      <c r="G1884" s="106"/>
      <c r="H1884" s="104"/>
      <c r="I1884" s="107"/>
      <c r="J1884" s="107"/>
      <c r="K1884" s="107"/>
      <c r="L1884" s="108"/>
      <c r="M1884" s="107"/>
      <c r="N1884" s="107"/>
      <c r="O1884" s="109"/>
      <c r="P1884" s="59"/>
      <c r="Q1884" s="104"/>
    </row>
    <row r="1885" ht="25.5" customHeight="1">
      <c r="A1885" s="110"/>
      <c r="B1885" s="111"/>
      <c r="C1885" s="96"/>
      <c r="D1885" s="112"/>
      <c r="E1885" s="112"/>
      <c r="F1885" s="112"/>
      <c r="G1885" s="113"/>
      <c r="H1885" s="111"/>
      <c r="I1885" s="103"/>
      <c r="J1885" s="103"/>
      <c r="K1885" s="103"/>
      <c r="L1885" s="108"/>
      <c r="M1885" s="103"/>
      <c r="N1885" s="103"/>
      <c r="O1885" s="114"/>
      <c r="P1885" s="110"/>
      <c r="Q1885" s="111"/>
    </row>
    <row r="1886" ht="25.5" customHeight="1">
      <c r="A1886" s="59"/>
      <c r="B1886" s="104"/>
      <c r="C1886" s="96"/>
      <c r="D1886" s="105"/>
      <c r="E1886" s="105"/>
      <c r="F1886" s="105"/>
      <c r="G1886" s="106"/>
      <c r="H1886" s="104"/>
      <c r="I1886" s="107"/>
      <c r="J1886" s="107"/>
      <c r="K1886" s="107"/>
      <c r="L1886" s="108"/>
      <c r="M1886" s="107"/>
      <c r="N1886" s="107"/>
      <c r="O1886" s="109"/>
      <c r="P1886" s="59"/>
      <c r="Q1886" s="104"/>
    </row>
    <row r="1887" ht="25.5" customHeight="1">
      <c r="A1887" s="110"/>
      <c r="B1887" s="111"/>
      <c r="C1887" s="96"/>
      <c r="D1887" s="112"/>
      <c r="E1887" s="112"/>
      <c r="F1887" s="112"/>
      <c r="G1887" s="113"/>
      <c r="H1887" s="111"/>
      <c r="I1887" s="103"/>
      <c r="J1887" s="103"/>
      <c r="K1887" s="103"/>
      <c r="L1887" s="108"/>
      <c r="M1887" s="103"/>
      <c r="N1887" s="103"/>
      <c r="O1887" s="114"/>
      <c r="P1887" s="110"/>
      <c r="Q1887" s="111"/>
    </row>
    <row r="1888" ht="25.5" customHeight="1">
      <c r="A1888" s="59"/>
      <c r="B1888" s="104"/>
      <c r="C1888" s="96"/>
      <c r="D1888" s="105"/>
      <c r="E1888" s="105"/>
      <c r="F1888" s="105"/>
      <c r="G1888" s="106"/>
      <c r="H1888" s="104"/>
      <c r="I1888" s="107"/>
      <c r="J1888" s="107"/>
      <c r="K1888" s="107"/>
      <c r="L1888" s="108"/>
      <c r="M1888" s="107"/>
      <c r="N1888" s="107"/>
      <c r="O1888" s="109"/>
      <c r="P1888" s="59"/>
      <c r="Q1888" s="104"/>
    </row>
    <row r="1889" ht="25.5" customHeight="1">
      <c r="A1889" s="110"/>
      <c r="B1889" s="111"/>
      <c r="C1889" s="96"/>
      <c r="D1889" s="112"/>
      <c r="E1889" s="112"/>
      <c r="F1889" s="112"/>
      <c r="G1889" s="113"/>
      <c r="H1889" s="111"/>
      <c r="I1889" s="103"/>
      <c r="J1889" s="103"/>
      <c r="K1889" s="103"/>
      <c r="L1889" s="108"/>
      <c r="M1889" s="103"/>
      <c r="N1889" s="103"/>
      <c r="O1889" s="114"/>
      <c r="P1889" s="110"/>
      <c r="Q1889" s="111"/>
    </row>
    <row r="1890" ht="25.5" customHeight="1">
      <c r="A1890" s="59"/>
      <c r="B1890" s="104"/>
      <c r="C1890" s="96"/>
      <c r="D1890" s="105"/>
      <c r="E1890" s="105"/>
      <c r="F1890" s="105"/>
      <c r="G1890" s="106"/>
      <c r="H1890" s="104"/>
      <c r="I1890" s="107"/>
      <c r="J1890" s="107"/>
      <c r="K1890" s="107"/>
      <c r="L1890" s="108"/>
      <c r="M1890" s="107"/>
      <c r="N1890" s="107"/>
      <c r="O1890" s="109"/>
      <c r="P1890" s="59"/>
      <c r="Q1890" s="104"/>
    </row>
    <row r="1891" ht="25.5" customHeight="1">
      <c r="A1891" s="110"/>
      <c r="B1891" s="111"/>
      <c r="C1891" s="96"/>
      <c r="D1891" s="112"/>
      <c r="E1891" s="112"/>
      <c r="F1891" s="112"/>
      <c r="G1891" s="113"/>
      <c r="H1891" s="111"/>
      <c r="I1891" s="103"/>
      <c r="J1891" s="103"/>
      <c r="K1891" s="103"/>
      <c r="L1891" s="108"/>
      <c r="M1891" s="103"/>
      <c r="N1891" s="103"/>
      <c r="O1891" s="114"/>
      <c r="P1891" s="110"/>
      <c r="Q1891" s="111"/>
    </row>
    <row r="1892" ht="25.5" customHeight="1">
      <c r="A1892" s="59"/>
      <c r="B1892" s="104"/>
      <c r="C1892" s="96"/>
      <c r="D1892" s="105"/>
      <c r="E1892" s="105"/>
      <c r="F1892" s="105"/>
      <c r="G1892" s="106"/>
      <c r="H1892" s="104"/>
      <c r="I1892" s="107"/>
      <c r="J1892" s="107"/>
      <c r="K1892" s="107"/>
      <c r="L1892" s="108"/>
      <c r="M1892" s="107"/>
      <c r="N1892" s="107"/>
      <c r="O1892" s="109"/>
      <c r="P1892" s="59"/>
      <c r="Q1892" s="104"/>
    </row>
    <row r="1893" ht="25.5" customHeight="1">
      <c r="A1893" s="110"/>
      <c r="B1893" s="111"/>
      <c r="C1893" s="96"/>
      <c r="D1893" s="112"/>
      <c r="E1893" s="112"/>
      <c r="F1893" s="112"/>
      <c r="G1893" s="113"/>
      <c r="H1893" s="111"/>
      <c r="I1893" s="103"/>
      <c r="J1893" s="103"/>
      <c r="K1893" s="103"/>
      <c r="L1893" s="108"/>
      <c r="M1893" s="103"/>
      <c r="N1893" s="103"/>
      <c r="O1893" s="114"/>
      <c r="P1893" s="110"/>
      <c r="Q1893" s="111"/>
    </row>
    <row r="1894" ht="25.5" customHeight="1">
      <c r="A1894" s="59"/>
      <c r="B1894" s="104"/>
      <c r="C1894" s="96"/>
      <c r="D1894" s="105"/>
      <c r="E1894" s="105"/>
      <c r="F1894" s="105"/>
      <c r="G1894" s="106"/>
      <c r="H1894" s="104"/>
      <c r="I1894" s="107"/>
      <c r="J1894" s="107"/>
      <c r="K1894" s="107"/>
      <c r="L1894" s="108"/>
      <c r="M1894" s="107"/>
      <c r="N1894" s="107"/>
      <c r="O1894" s="109"/>
      <c r="P1894" s="59"/>
      <c r="Q1894" s="104"/>
    </row>
    <row r="1895" ht="25.5" customHeight="1">
      <c r="A1895" s="110"/>
      <c r="B1895" s="111"/>
      <c r="C1895" s="96"/>
      <c r="D1895" s="112"/>
      <c r="E1895" s="112"/>
      <c r="F1895" s="112"/>
      <c r="G1895" s="113"/>
      <c r="H1895" s="111"/>
      <c r="I1895" s="103"/>
      <c r="J1895" s="103"/>
      <c r="K1895" s="103"/>
      <c r="L1895" s="108"/>
      <c r="M1895" s="103"/>
      <c r="N1895" s="103"/>
      <c r="O1895" s="114"/>
      <c r="P1895" s="110"/>
      <c r="Q1895" s="111"/>
    </row>
    <row r="1896" ht="25.5" customHeight="1">
      <c r="A1896" s="59"/>
      <c r="B1896" s="104"/>
      <c r="C1896" s="96"/>
      <c r="D1896" s="105"/>
      <c r="E1896" s="105"/>
      <c r="F1896" s="105"/>
      <c r="G1896" s="106"/>
      <c r="H1896" s="104"/>
      <c r="I1896" s="107"/>
      <c r="J1896" s="107"/>
      <c r="K1896" s="107"/>
      <c r="L1896" s="108"/>
      <c r="M1896" s="107"/>
      <c r="N1896" s="107"/>
      <c r="O1896" s="109"/>
      <c r="P1896" s="59"/>
      <c r="Q1896" s="104"/>
    </row>
    <row r="1897" ht="25.5" customHeight="1">
      <c r="A1897" s="110"/>
      <c r="B1897" s="111"/>
      <c r="C1897" s="96"/>
      <c r="D1897" s="112"/>
      <c r="E1897" s="112"/>
      <c r="F1897" s="112"/>
      <c r="G1897" s="113"/>
      <c r="H1897" s="111"/>
      <c r="I1897" s="103"/>
      <c r="J1897" s="103"/>
      <c r="K1897" s="103"/>
      <c r="L1897" s="108"/>
      <c r="M1897" s="103"/>
      <c r="N1897" s="103"/>
      <c r="O1897" s="114"/>
      <c r="P1897" s="110"/>
      <c r="Q1897" s="111"/>
    </row>
    <row r="1898" ht="25.5" customHeight="1">
      <c r="A1898" s="59"/>
      <c r="B1898" s="104"/>
      <c r="C1898" s="96"/>
      <c r="D1898" s="105"/>
      <c r="E1898" s="105"/>
      <c r="F1898" s="105"/>
      <c r="G1898" s="106"/>
      <c r="H1898" s="104"/>
      <c r="I1898" s="107"/>
      <c r="J1898" s="107"/>
      <c r="K1898" s="107"/>
      <c r="L1898" s="108"/>
      <c r="M1898" s="107"/>
      <c r="N1898" s="107"/>
      <c r="O1898" s="109"/>
      <c r="P1898" s="59"/>
      <c r="Q1898" s="104"/>
    </row>
    <row r="1899" ht="25.5" customHeight="1">
      <c r="A1899" s="110"/>
      <c r="B1899" s="111"/>
      <c r="C1899" s="96"/>
      <c r="D1899" s="112"/>
      <c r="E1899" s="112"/>
      <c r="F1899" s="112"/>
      <c r="G1899" s="113"/>
      <c r="H1899" s="111"/>
      <c r="I1899" s="103"/>
      <c r="J1899" s="103"/>
      <c r="K1899" s="103"/>
      <c r="L1899" s="108"/>
      <c r="M1899" s="103"/>
      <c r="N1899" s="103"/>
      <c r="O1899" s="114"/>
      <c r="P1899" s="110"/>
      <c r="Q1899" s="111"/>
    </row>
    <row r="1900" ht="25.5" customHeight="1">
      <c r="A1900" s="59"/>
      <c r="B1900" s="104"/>
      <c r="C1900" s="96"/>
      <c r="D1900" s="105"/>
      <c r="E1900" s="105"/>
      <c r="F1900" s="105"/>
      <c r="G1900" s="106"/>
      <c r="H1900" s="104"/>
      <c r="I1900" s="107"/>
      <c r="J1900" s="107"/>
      <c r="K1900" s="107"/>
      <c r="L1900" s="108"/>
      <c r="M1900" s="107"/>
      <c r="N1900" s="107"/>
      <c r="O1900" s="109"/>
      <c r="P1900" s="59"/>
      <c r="Q1900" s="104"/>
    </row>
    <row r="1901" ht="25.5" customHeight="1">
      <c r="A1901" s="110"/>
      <c r="B1901" s="111"/>
      <c r="C1901" s="96"/>
      <c r="D1901" s="112"/>
      <c r="E1901" s="112"/>
      <c r="F1901" s="112"/>
      <c r="G1901" s="113"/>
      <c r="H1901" s="111"/>
      <c r="I1901" s="103"/>
      <c r="J1901" s="103"/>
      <c r="K1901" s="103"/>
      <c r="L1901" s="108"/>
      <c r="M1901" s="103"/>
      <c r="N1901" s="103"/>
      <c r="O1901" s="114"/>
      <c r="P1901" s="110"/>
      <c r="Q1901" s="111"/>
    </row>
    <row r="1902" ht="25.5" customHeight="1">
      <c r="A1902" s="59"/>
      <c r="B1902" s="104"/>
      <c r="C1902" s="96"/>
      <c r="D1902" s="105"/>
      <c r="E1902" s="105"/>
      <c r="F1902" s="105"/>
      <c r="G1902" s="106"/>
      <c r="H1902" s="104"/>
      <c r="I1902" s="107"/>
      <c r="J1902" s="107"/>
      <c r="K1902" s="107"/>
      <c r="L1902" s="108"/>
      <c r="M1902" s="107"/>
      <c r="N1902" s="107"/>
      <c r="O1902" s="109"/>
      <c r="P1902" s="59"/>
      <c r="Q1902" s="104"/>
    </row>
    <row r="1903" ht="25.5" customHeight="1">
      <c r="A1903" s="110"/>
      <c r="B1903" s="111"/>
      <c r="C1903" s="96"/>
      <c r="D1903" s="112"/>
      <c r="E1903" s="112"/>
      <c r="F1903" s="112"/>
      <c r="G1903" s="113"/>
      <c r="H1903" s="111"/>
      <c r="I1903" s="103"/>
      <c r="J1903" s="103"/>
      <c r="K1903" s="103"/>
      <c r="L1903" s="108"/>
      <c r="M1903" s="103"/>
      <c r="N1903" s="103"/>
      <c r="O1903" s="114"/>
      <c r="P1903" s="110"/>
      <c r="Q1903" s="111"/>
    </row>
    <row r="1904" ht="25.5" customHeight="1">
      <c r="A1904" s="59"/>
      <c r="B1904" s="104"/>
      <c r="C1904" s="96"/>
      <c r="D1904" s="105"/>
      <c r="E1904" s="105"/>
      <c r="F1904" s="105"/>
      <c r="G1904" s="106"/>
      <c r="H1904" s="104"/>
      <c r="I1904" s="107"/>
      <c r="J1904" s="107"/>
      <c r="K1904" s="107"/>
      <c r="L1904" s="108"/>
      <c r="M1904" s="107"/>
      <c r="N1904" s="107"/>
      <c r="O1904" s="109"/>
      <c r="P1904" s="59"/>
      <c r="Q1904" s="104"/>
    </row>
    <row r="1905" ht="25.5" customHeight="1">
      <c r="A1905" s="110"/>
      <c r="B1905" s="111"/>
      <c r="C1905" s="96"/>
      <c r="D1905" s="112"/>
      <c r="E1905" s="112"/>
      <c r="F1905" s="112"/>
      <c r="G1905" s="113"/>
      <c r="H1905" s="111"/>
      <c r="I1905" s="103"/>
      <c r="J1905" s="103"/>
      <c r="K1905" s="103"/>
      <c r="L1905" s="108"/>
      <c r="M1905" s="103"/>
      <c r="N1905" s="103"/>
      <c r="O1905" s="114"/>
      <c r="P1905" s="110"/>
      <c r="Q1905" s="111"/>
    </row>
    <row r="1906" ht="25.5" customHeight="1">
      <c r="A1906" s="59"/>
      <c r="B1906" s="104"/>
      <c r="C1906" s="96"/>
      <c r="D1906" s="105"/>
      <c r="E1906" s="105"/>
      <c r="F1906" s="105"/>
      <c r="G1906" s="106"/>
      <c r="H1906" s="104"/>
      <c r="I1906" s="107"/>
      <c r="J1906" s="107"/>
      <c r="K1906" s="107"/>
      <c r="L1906" s="108"/>
      <c r="M1906" s="107"/>
      <c r="N1906" s="107"/>
      <c r="O1906" s="109"/>
      <c r="P1906" s="59"/>
      <c r="Q1906" s="104"/>
    </row>
    <row r="1907" ht="25.5" customHeight="1">
      <c r="A1907" s="110"/>
      <c r="B1907" s="111"/>
      <c r="C1907" s="96"/>
      <c r="D1907" s="112"/>
      <c r="E1907" s="112"/>
      <c r="F1907" s="112"/>
      <c r="G1907" s="113"/>
      <c r="H1907" s="111"/>
      <c r="I1907" s="103"/>
      <c r="J1907" s="103"/>
      <c r="K1907" s="103"/>
      <c r="L1907" s="108"/>
      <c r="M1907" s="103"/>
      <c r="N1907" s="103"/>
      <c r="O1907" s="114"/>
      <c r="P1907" s="110"/>
      <c r="Q1907" s="111"/>
    </row>
    <row r="1908" ht="25.5" customHeight="1">
      <c r="A1908" s="59"/>
      <c r="B1908" s="104"/>
      <c r="C1908" s="96"/>
      <c r="D1908" s="105"/>
      <c r="E1908" s="105"/>
      <c r="F1908" s="105"/>
      <c r="G1908" s="106"/>
      <c r="H1908" s="104"/>
      <c r="I1908" s="107"/>
      <c r="J1908" s="107"/>
      <c r="K1908" s="107"/>
      <c r="L1908" s="108"/>
      <c r="M1908" s="107"/>
      <c r="N1908" s="107"/>
      <c r="O1908" s="109"/>
      <c r="P1908" s="59"/>
      <c r="Q1908" s="104"/>
    </row>
    <row r="1909" ht="25.5" customHeight="1">
      <c r="A1909" s="110"/>
      <c r="B1909" s="111"/>
      <c r="C1909" s="96"/>
      <c r="D1909" s="112"/>
      <c r="E1909" s="112"/>
      <c r="F1909" s="112"/>
      <c r="G1909" s="113"/>
      <c r="H1909" s="111"/>
      <c r="I1909" s="103"/>
      <c r="J1909" s="103"/>
      <c r="K1909" s="103"/>
      <c r="L1909" s="108"/>
      <c r="M1909" s="103"/>
      <c r="N1909" s="103"/>
      <c r="O1909" s="114"/>
      <c r="P1909" s="110"/>
      <c r="Q1909" s="111"/>
    </row>
    <row r="1910" ht="25.5" customHeight="1">
      <c r="A1910" s="59"/>
      <c r="B1910" s="104"/>
      <c r="C1910" s="96"/>
      <c r="D1910" s="105"/>
      <c r="E1910" s="105"/>
      <c r="F1910" s="105"/>
      <c r="G1910" s="106"/>
      <c r="H1910" s="104"/>
      <c r="I1910" s="107"/>
      <c r="J1910" s="107"/>
      <c r="K1910" s="107"/>
      <c r="L1910" s="108"/>
      <c r="M1910" s="107"/>
      <c r="N1910" s="107"/>
      <c r="O1910" s="109"/>
      <c r="P1910" s="59"/>
      <c r="Q1910" s="104"/>
    </row>
    <row r="1911" ht="25.5" customHeight="1">
      <c r="A1911" s="110"/>
      <c r="B1911" s="111"/>
      <c r="C1911" s="96"/>
      <c r="D1911" s="112"/>
      <c r="E1911" s="112"/>
      <c r="F1911" s="112"/>
      <c r="G1911" s="113"/>
      <c r="H1911" s="111"/>
      <c r="I1911" s="103"/>
      <c r="J1911" s="103"/>
      <c r="K1911" s="103"/>
      <c r="L1911" s="108"/>
      <c r="M1911" s="103"/>
      <c r="N1911" s="103"/>
      <c r="O1911" s="114"/>
      <c r="P1911" s="110"/>
      <c r="Q1911" s="111"/>
    </row>
    <row r="1912" ht="25.5" customHeight="1">
      <c r="A1912" s="59"/>
      <c r="B1912" s="104"/>
      <c r="C1912" s="96"/>
      <c r="D1912" s="105"/>
      <c r="E1912" s="105"/>
      <c r="F1912" s="105"/>
      <c r="G1912" s="106"/>
      <c r="H1912" s="104"/>
      <c r="I1912" s="107"/>
      <c r="J1912" s="107"/>
      <c r="K1912" s="107"/>
      <c r="L1912" s="108"/>
      <c r="M1912" s="107"/>
      <c r="N1912" s="107"/>
      <c r="O1912" s="109"/>
      <c r="P1912" s="59"/>
      <c r="Q1912" s="104"/>
    </row>
    <row r="1913" ht="25.5" customHeight="1">
      <c r="A1913" s="110"/>
      <c r="B1913" s="111"/>
      <c r="C1913" s="96"/>
      <c r="D1913" s="112"/>
      <c r="E1913" s="112"/>
      <c r="F1913" s="112"/>
      <c r="G1913" s="113"/>
      <c r="H1913" s="111"/>
      <c r="I1913" s="103"/>
      <c r="J1913" s="103"/>
      <c r="K1913" s="103"/>
      <c r="L1913" s="108"/>
      <c r="M1913" s="103"/>
      <c r="N1913" s="103"/>
      <c r="O1913" s="114"/>
      <c r="P1913" s="110"/>
      <c r="Q1913" s="111"/>
    </row>
    <row r="1914" ht="25.5" customHeight="1">
      <c r="A1914" s="59"/>
      <c r="B1914" s="104"/>
      <c r="C1914" s="96"/>
      <c r="D1914" s="105"/>
      <c r="E1914" s="105"/>
      <c r="F1914" s="105"/>
      <c r="G1914" s="106"/>
      <c r="H1914" s="104"/>
      <c r="I1914" s="107"/>
      <c r="J1914" s="107"/>
      <c r="K1914" s="107"/>
      <c r="L1914" s="108"/>
      <c r="M1914" s="107"/>
      <c r="N1914" s="107"/>
      <c r="O1914" s="109"/>
      <c r="P1914" s="59"/>
      <c r="Q1914" s="104"/>
    </row>
    <row r="1915" ht="25.5" customHeight="1">
      <c r="A1915" s="110"/>
      <c r="B1915" s="111"/>
      <c r="C1915" s="96"/>
      <c r="D1915" s="112"/>
      <c r="E1915" s="112"/>
      <c r="F1915" s="112"/>
      <c r="G1915" s="113"/>
      <c r="H1915" s="111"/>
      <c r="I1915" s="103"/>
      <c r="J1915" s="103"/>
      <c r="K1915" s="103"/>
      <c r="L1915" s="108"/>
      <c r="M1915" s="103"/>
      <c r="N1915" s="103"/>
      <c r="O1915" s="114"/>
      <c r="P1915" s="110"/>
      <c r="Q1915" s="111"/>
    </row>
    <row r="1916" ht="25.5" customHeight="1">
      <c r="A1916" s="59"/>
      <c r="B1916" s="104"/>
      <c r="C1916" s="96"/>
      <c r="D1916" s="105"/>
      <c r="E1916" s="105"/>
      <c r="F1916" s="105"/>
      <c r="G1916" s="106"/>
      <c r="H1916" s="104"/>
      <c r="I1916" s="107"/>
      <c r="J1916" s="107"/>
      <c r="K1916" s="107"/>
      <c r="L1916" s="108"/>
      <c r="M1916" s="107"/>
      <c r="N1916" s="107"/>
      <c r="O1916" s="109"/>
      <c r="P1916" s="59"/>
      <c r="Q1916" s="104"/>
    </row>
    <row r="1917" ht="25.5" customHeight="1">
      <c r="A1917" s="110"/>
      <c r="B1917" s="111"/>
      <c r="C1917" s="96"/>
      <c r="D1917" s="112"/>
      <c r="E1917" s="112"/>
      <c r="F1917" s="112"/>
      <c r="G1917" s="113"/>
      <c r="H1917" s="111"/>
      <c r="I1917" s="103"/>
      <c r="J1917" s="103"/>
      <c r="K1917" s="103"/>
      <c r="L1917" s="108"/>
      <c r="M1917" s="103"/>
      <c r="N1917" s="103"/>
      <c r="O1917" s="114"/>
      <c r="P1917" s="110"/>
      <c r="Q1917" s="111"/>
    </row>
    <row r="1918" ht="25.5" customHeight="1">
      <c r="A1918" s="59"/>
      <c r="B1918" s="104"/>
      <c r="C1918" s="96"/>
      <c r="D1918" s="105"/>
      <c r="E1918" s="105"/>
      <c r="F1918" s="105"/>
      <c r="G1918" s="106"/>
      <c r="H1918" s="104"/>
      <c r="I1918" s="107"/>
      <c r="J1918" s="107"/>
      <c r="K1918" s="107"/>
      <c r="L1918" s="108"/>
      <c r="M1918" s="107"/>
      <c r="N1918" s="107"/>
      <c r="O1918" s="109"/>
      <c r="P1918" s="59"/>
      <c r="Q1918" s="104"/>
    </row>
    <row r="1919" ht="25.5" customHeight="1">
      <c r="A1919" s="110"/>
      <c r="B1919" s="111"/>
      <c r="C1919" s="96"/>
      <c r="D1919" s="112"/>
      <c r="E1919" s="112"/>
      <c r="F1919" s="112"/>
      <c r="G1919" s="113"/>
      <c r="H1919" s="111"/>
      <c r="I1919" s="103"/>
      <c r="J1919" s="103"/>
      <c r="K1919" s="103"/>
      <c r="L1919" s="108"/>
      <c r="M1919" s="103"/>
      <c r="N1919" s="103"/>
      <c r="O1919" s="114"/>
      <c r="P1919" s="110"/>
      <c r="Q1919" s="111"/>
    </row>
    <row r="1920" ht="25.5" customHeight="1">
      <c r="A1920" s="59"/>
      <c r="B1920" s="104"/>
      <c r="C1920" s="96"/>
      <c r="D1920" s="105"/>
      <c r="E1920" s="105"/>
      <c r="F1920" s="105"/>
      <c r="G1920" s="106"/>
      <c r="H1920" s="104"/>
      <c r="I1920" s="107"/>
      <c r="J1920" s="107"/>
      <c r="K1920" s="107"/>
      <c r="L1920" s="108"/>
      <c r="M1920" s="107"/>
      <c r="N1920" s="107"/>
      <c r="O1920" s="109"/>
      <c r="P1920" s="59"/>
      <c r="Q1920" s="104"/>
    </row>
    <row r="1921" ht="25.5" customHeight="1">
      <c r="A1921" s="110"/>
      <c r="B1921" s="111"/>
      <c r="C1921" s="96"/>
      <c r="D1921" s="112"/>
      <c r="E1921" s="112"/>
      <c r="F1921" s="112"/>
      <c r="G1921" s="113"/>
      <c r="H1921" s="111"/>
      <c r="I1921" s="103"/>
      <c r="J1921" s="103"/>
      <c r="K1921" s="103"/>
      <c r="L1921" s="108"/>
      <c r="M1921" s="103"/>
      <c r="N1921" s="103"/>
      <c r="O1921" s="114"/>
      <c r="P1921" s="110"/>
      <c r="Q1921" s="111"/>
    </row>
    <row r="1922" ht="25.5" customHeight="1">
      <c r="A1922" s="59"/>
      <c r="B1922" s="104"/>
      <c r="C1922" s="96"/>
      <c r="D1922" s="105"/>
      <c r="E1922" s="105"/>
      <c r="F1922" s="105"/>
      <c r="G1922" s="106"/>
      <c r="H1922" s="104"/>
      <c r="I1922" s="107"/>
      <c r="J1922" s="107"/>
      <c r="K1922" s="107"/>
      <c r="L1922" s="108"/>
      <c r="M1922" s="107"/>
      <c r="N1922" s="107"/>
      <c r="O1922" s="109"/>
      <c r="P1922" s="59"/>
      <c r="Q1922" s="104"/>
    </row>
    <row r="1923" ht="25.5" customHeight="1">
      <c r="A1923" s="110"/>
      <c r="B1923" s="111"/>
      <c r="C1923" s="96"/>
      <c r="D1923" s="112"/>
      <c r="E1923" s="112"/>
      <c r="F1923" s="112"/>
      <c r="G1923" s="113"/>
      <c r="H1923" s="111"/>
      <c r="I1923" s="103"/>
      <c r="J1923" s="103"/>
      <c r="K1923" s="103"/>
      <c r="L1923" s="108"/>
      <c r="M1923" s="103"/>
      <c r="N1923" s="103"/>
      <c r="O1923" s="114"/>
      <c r="P1923" s="110"/>
      <c r="Q1923" s="111"/>
    </row>
    <row r="1924" ht="25.5" customHeight="1">
      <c r="A1924" s="59"/>
      <c r="B1924" s="104"/>
      <c r="C1924" s="96"/>
      <c r="D1924" s="105"/>
      <c r="E1924" s="105"/>
      <c r="F1924" s="105"/>
      <c r="G1924" s="106"/>
      <c r="H1924" s="104"/>
      <c r="I1924" s="107"/>
      <c r="J1924" s="107"/>
      <c r="K1924" s="107"/>
      <c r="L1924" s="108"/>
      <c r="M1924" s="107"/>
      <c r="N1924" s="107"/>
      <c r="O1924" s="109"/>
      <c r="P1924" s="59"/>
      <c r="Q1924" s="104"/>
    </row>
    <row r="1925" ht="25.5" customHeight="1">
      <c r="A1925" s="110"/>
      <c r="B1925" s="111"/>
      <c r="C1925" s="96"/>
      <c r="D1925" s="112"/>
      <c r="E1925" s="112"/>
      <c r="F1925" s="112"/>
      <c r="G1925" s="113"/>
      <c r="H1925" s="111"/>
      <c r="I1925" s="103"/>
      <c r="J1925" s="103"/>
      <c r="K1925" s="103"/>
      <c r="L1925" s="108"/>
      <c r="M1925" s="103"/>
      <c r="N1925" s="103"/>
      <c r="O1925" s="114"/>
      <c r="P1925" s="110"/>
      <c r="Q1925" s="111"/>
    </row>
    <row r="1926" ht="25.5" customHeight="1">
      <c r="A1926" s="59"/>
      <c r="B1926" s="104"/>
      <c r="C1926" s="96"/>
      <c r="D1926" s="105"/>
      <c r="E1926" s="105"/>
      <c r="F1926" s="105"/>
      <c r="G1926" s="106"/>
      <c r="H1926" s="104"/>
      <c r="I1926" s="107"/>
      <c r="J1926" s="107"/>
      <c r="K1926" s="107"/>
      <c r="L1926" s="108"/>
      <c r="M1926" s="107"/>
      <c r="N1926" s="107"/>
      <c r="O1926" s="109"/>
      <c r="P1926" s="59"/>
      <c r="Q1926" s="104"/>
    </row>
    <row r="1927" ht="25.5" customHeight="1">
      <c r="A1927" s="110"/>
      <c r="B1927" s="111"/>
      <c r="C1927" s="96"/>
      <c r="D1927" s="112"/>
      <c r="E1927" s="112"/>
      <c r="F1927" s="112"/>
      <c r="G1927" s="113"/>
      <c r="H1927" s="111"/>
      <c r="I1927" s="103"/>
      <c r="J1927" s="103"/>
      <c r="K1927" s="103"/>
      <c r="L1927" s="108"/>
      <c r="M1927" s="103"/>
      <c r="N1927" s="103"/>
      <c r="O1927" s="114"/>
      <c r="P1927" s="110"/>
      <c r="Q1927" s="111"/>
    </row>
    <row r="1928" ht="25.5" customHeight="1">
      <c r="A1928" s="59"/>
      <c r="B1928" s="104"/>
      <c r="C1928" s="96"/>
      <c r="D1928" s="105"/>
      <c r="E1928" s="105"/>
      <c r="F1928" s="105"/>
      <c r="G1928" s="106"/>
      <c r="H1928" s="104"/>
      <c r="I1928" s="107"/>
      <c r="J1928" s="107"/>
      <c r="K1928" s="107"/>
      <c r="L1928" s="108"/>
      <c r="M1928" s="107"/>
      <c r="N1928" s="107"/>
      <c r="O1928" s="109"/>
      <c r="P1928" s="59"/>
      <c r="Q1928" s="104"/>
    </row>
    <row r="1929" ht="25.5" customHeight="1">
      <c r="A1929" s="110"/>
      <c r="B1929" s="111"/>
      <c r="C1929" s="96"/>
      <c r="D1929" s="112"/>
      <c r="E1929" s="112"/>
      <c r="F1929" s="112"/>
      <c r="G1929" s="113"/>
      <c r="H1929" s="111"/>
      <c r="I1929" s="103"/>
      <c r="J1929" s="103"/>
      <c r="K1929" s="103"/>
      <c r="L1929" s="108"/>
      <c r="M1929" s="103"/>
      <c r="N1929" s="103"/>
      <c r="O1929" s="114"/>
      <c r="P1929" s="110"/>
      <c r="Q1929" s="111"/>
    </row>
    <row r="1930" ht="25.5" customHeight="1">
      <c r="A1930" s="59"/>
      <c r="B1930" s="104"/>
      <c r="C1930" s="96"/>
      <c r="D1930" s="105"/>
      <c r="E1930" s="105"/>
      <c r="F1930" s="105"/>
      <c r="G1930" s="106"/>
      <c r="H1930" s="104"/>
      <c r="I1930" s="107"/>
      <c r="J1930" s="107"/>
      <c r="K1930" s="107"/>
      <c r="L1930" s="108"/>
      <c r="M1930" s="107"/>
      <c r="N1930" s="107"/>
      <c r="O1930" s="109"/>
      <c r="P1930" s="59"/>
      <c r="Q1930" s="104"/>
    </row>
    <row r="1931" ht="25.5" customHeight="1">
      <c r="A1931" s="110"/>
      <c r="B1931" s="111"/>
      <c r="C1931" s="96"/>
      <c r="D1931" s="112"/>
      <c r="E1931" s="112"/>
      <c r="F1931" s="112"/>
      <c r="G1931" s="113"/>
      <c r="H1931" s="111"/>
      <c r="I1931" s="103"/>
      <c r="J1931" s="103"/>
      <c r="K1931" s="103"/>
      <c r="L1931" s="108"/>
      <c r="M1931" s="103"/>
      <c r="N1931" s="103"/>
      <c r="O1931" s="114"/>
      <c r="P1931" s="110"/>
      <c r="Q1931" s="111"/>
    </row>
    <row r="1932" ht="25.5" customHeight="1">
      <c r="A1932" s="59"/>
      <c r="B1932" s="104"/>
      <c r="C1932" s="96"/>
      <c r="D1932" s="105"/>
      <c r="E1932" s="105"/>
      <c r="F1932" s="105"/>
      <c r="G1932" s="106"/>
      <c r="H1932" s="104"/>
      <c r="I1932" s="107"/>
      <c r="J1932" s="107"/>
      <c r="K1932" s="107"/>
      <c r="L1932" s="108"/>
      <c r="M1932" s="107"/>
      <c r="N1932" s="107"/>
      <c r="O1932" s="109"/>
      <c r="P1932" s="59"/>
      <c r="Q1932" s="104"/>
    </row>
    <row r="1933" ht="25.5" customHeight="1">
      <c r="A1933" s="110"/>
      <c r="B1933" s="111"/>
      <c r="C1933" s="96"/>
      <c r="D1933" s="112"/>
      <c r="E1933" s="112"/>
      <c r="F1933" s="112"/>
      <c r="G1933" s="113"/>
      <c r="H1933" s="111"/>
      <c r="I1933" s="103"/>
      <c r="J1933" s="103"/>
      <c r="K1933" s="103"/>
      <c r="L1933" s="108"/>
      <c r="M1933" s="103"/>
      <c r="N1933" s="103"/>
      <c r="O1933" s="114"/>
      <c r="P1933" s="110"/>
      <c r="Q1933" s="111"/>
    </row>
    <row r="1934" ht="25.5" customHeight="1">
      <c r="A1934" s="59"/>
      <c r="B1934" s="104"/>
      <c r="C1934" s="96"/>
      <c r="D1934" s="105"/>
      <c r="E1934" s="105"/>
      <c r="F1934" s="105"/>
      <c r="G1934" s="106"/>
      <c r="H1934" s="104"/>
      <c r="I1934" s="107"/>
      <c r="J1934" s="107"/>
      <c r="K1934" s="107"/>
      <c r="L1934" s="108"/>
      <c r="M1934" s="107"/>
      <c r="N1934" s="107"/>
      <c r="O1934" s="109"/>
      <c r="P1934" s="59"/>
      <c r="Q1934" s="104"/>
    </row>
    <row r="1935" ht="25.5" customHeight="1">
      <c r="A1935" s="110"/>
      <c r="B1935" s="111"/>
      <c r="C1935" s="96"/>
      <c r="D1935" s="112"/>
      <c r="E1935" s="112"/>
      <c r="F1935" s="112"/>
      <c r="G1935" s="113"/>
      <c r="H1935" s="111"/>
      <c r="I1935" s="103"/>
      <c r="J1935" s="103"/>
      <c r="K1935" s="103"/>
      <c r="L1935" s="108"/>
      <c r="M1935" s="103"/>
      <c r="N1935" s="103"/>
      <c r="O1935" s="114"/>
      <c r="P1935" s="110"/>
      <c r="Q1935" s="111"/>
    </row>
    <row r="1936" ht="25.5" customHeight="1">
      <c r="A1936" s="59"/>
      <c r="B1936" s="104"/>
      <c r="C1936" s="96"/>
      <c r="D1936" s="105"/>
      <c r="E1936" s="105"/>
      <c r="F1936" s="105"/>
      <c r="G1936" s="106"/>
      <c r="H1936" s="104"/>
      <c r="I1936" s="107"/>
      <c r="J1936" s="107"/>
      <c r="K1936" s="107"/>
      <c r="L1936" s="108"/>
      <c r="M1936" s="107"/>
      <c r="N1936" s="107"/>
      <c r="O1936" s="109"/>
      <c r="P1936" s="59"/>
      <c r="Q1936" s="104"/>
    </row>
    <row r="1937" ht="25.5" customHeight="1">
      <c r="A1937" s="110"/>
      <c r="B1937" s="111"/>
      <c r="C1937" s="96"/>
      <c r="D1937" s="112"/>
      <c r="E1937" s="112"/>
      <c r="F1937" s="112"/>
      <c r="G1937" s="113"/>
      <c r="H1937" s="111"/>
      <c r="I1937" s="103"/>
      <c r="J1937" s="103"/>
      <c r="K1937" s="103"/>
      <c r="L1937" s="108"/>
      <c r="M1937" s="103"/>
      <c r="N1937" s="103"/>
      <c r="O1937" s="114"/>
      <c r="P1937" s="110"/>
      <c r="Q1937" s="111"/>
    </row>
    <row r="1938" ht="25.5" customHeight="1">
      <c r="A1938" s="59"/>
      <c r="B1938" s="104"/>
      <c r="C1938" s="96"/>
      <c r="D1938" s="105"/>
      <c r="E1938" s="105"/>
      <c r="F1938" s="105"/>
      <c r="G1938" s="106"/>
      <c r="H1938" s="104"/>
      <c r="I1938" s="107"/>
      <c r="J1938" s="107"/>
      <c r="K1938" s="107"/>
      <c r="L1938" s="108"/>
      <c r="M1938" s="107"/>
      <c r="N1938" s="107"/>
      <c r="O1938" s="109"/>
      <c r="P1938" s="59"/>
      <c r="Q1938" s="104"/>
    </row>
    <row r="1939" ht="25.5" customHeight="1">
      <c r="A1939" s="110"/>
      <c r="B1939" s="111"/>
      <c r="C1939" s="96"/>
      <c r="D1939" s="112"/>
      <c r="E1939" s="112"/>
      <c r="F1939" s="112"/>
      <c r="G1939" s="113"/>
      <c r="H1939" s="111"/>
      <c r="I1939" s="103"/>
      <c r="J1939" s="103"/>
      <c r="K1939" s="103"/>
      <c r="L1939" s="108"/>
      <c r="M1939" s="103"/>
      <c r="N1939" s="103"/>
      <c r="O1939" s="114"/>
      <c r="P1939" s="110"/>
      <c r="Q1939" s="111"/>
    </row>
    <row r="1940" ht="25.5" customHeight="1">
      <c r="A1940" s="59"/>
      <c r="B1940" s="104"/>
      <c r="C1940" s="96"/>
      <c r="D1940" s="105"/>
      <c r="E1940" s="105"/>
      <c r="F1940" s="105"/>
      <c r="G1940" s="106"/>
      <c r="H1940" s="104"/>
      <c r="I1940" s="107"/>
      <c r="J1940" s="107"/>
      <c r="K1940" s="107"/>
      <c r="L1940" s="108"/>
      <c r="M1940" s="107"/>
      <c r="N1940" s="107"/>
      <c r="O1940" s="109"/>
      <c r="P1940" s="59"/>
      <c r="Q1940" s="104"/>
    </row>
    <row r="1941" ht="25.5" customHeight="1">
      <c r="A1941" s="110"/>
      <c r="B1941" s="111"/>
      <c r="C1941" s="96"/>
      <c r="D1941" s="112"/>
      <c r="E1941" s="112"/>
      <c r="F1941" s="112"/>
      <c r="G1941" s="113"/>
      <c r="H1941" s="111"/>
      <c r="I1941" s="103"/>
      <c r="J1941" s="103"/>
      <c r="K1941" s="103"/>
      <c r="L1941" s="108"/>
      <c r="M1941" s="103"/>
      <c r="N1941" s="103"/>
      <c r="O1941" s="114"/>
      <c r="P1941" s="110"/>
      <c r="Q1941" s="111"/>
    </row>
    <row r="1942" ht="25.5" customHeight="1">
      <c r="A1942" s="59"/>
      <c r="B1942" s="104"/>
      <c r="C1942" s="96"/>
      <c r="D1942" s="105"/>
      <c r="E1942" s="105"/>
      <c r="F1942" s="105"/>
      <c r="G1942" s="106"/>
      <c r="H1942" s="104"/>
      <c r="I1942" s="107"/>
      <c r="J1942" s="107"/>
      <c r="K1942" s="107"/>
      <c r="L1942" s="108"/>
      <c r="M1942" s="107"/>
      <c r="N1942" s="107"/>
      <c r="O1942" s="109"/>
      <c r="P1942" s="59"/>
      <c r="Q1942" s="104"/>
    </row>
    <row r="1943" ht="25.5" customHeight="1">
      <c r="A1943" s="110"/>
      <c r="B1943" s="111"/>
      <c r="C1943" s="96"/>
      <c r="D1943" s="112"/>
      <c r="E1943" s="112"/>
      <c r="F1943" s="112"/>
      <c r="G1943" s="113"/>
      <c r="H1943" s="111"/>
      <c r="I1943" s="103"/>
      <c r="J1943" s="103"/>
      <c r="K1943" s="103"/>
      <c r="L1943" s="108"/>
      <c r="M1943" s="103"/>
      <c r="N1943" s="103"/>
      <c r="O1943" s="114"/>
      <c r="P1943" s="110"/>
      <c r="Q1943" s="111"/>
    </row>
    <row r="1944" ht="25.5" customHeight="1">
      <c r="A1944" s="59"/>
      <c r="B1944" s="104"/>
      <c r="C1944" s="96"/>
      <c r="D1944" s="105"/>
      <c r="E1944" s="105"/>
      <c r="F1944" s="105"/>
      <c r="G1944" s="106"/>
      <c r="H1944" s="104"/>
      <c r="I1944" s="107"/>
      <c r="J1944" s="107"/>
      <c r="K1944" s="107"/>
      <c r="L1944" s="108"/>
      <c r="M1944" s="107"/>
      <c r="N1944" s="107"/>
      <c r="O1944" s="109"/>
      <c r="P1944" s="59"/>
      <c r="Q1944" s="104"/>
    </row>
    <row r="1945" ht="25.5" customHeight="1">
      <c r="A1945" s="110"/>
      <c r="B1945" s="111"/>
      <c r="C1945" s="96"/>
      <c r="D1945" s="112"/>
      <c r="E1945" s="112"/>
      <c r="F1945" s="112"/>
      <c r="G1945" s="113"/>
      <c r="H1945" s="111"/>
      <c r="I1945" s="103"/>
      <c r="J1945" s="103"/>
      <c r="K1945" s="103"/>
      <c r="L1945" s="108"/>
      <c r="M1945" s="103"/>
      <c r="N1945" s="103"/>
      <c r="O1945" s="114"/>
      <c r="P1945" s="110"/>
      <c r="Q1945" s="111"/>
    </row>
    <row r="1946" ht="25.5" customHeight="1">
      <c r="A1946" s="59"/>
      <c r="B1946" s="104"/>
      <c r="C1946" s="96"/>
      <c r="D1946" s="105"/>
      <c r="E1946" s="105"/>
      <c r="F1946" s="105"/>
      <c r="G1946" s="106"/>
      <c r="H1946" s="104"/>
      <c r="I1946" s="107"/>
      <c r="J1946" s="107"/>
      <c r="K1946" s="107"/>
      <c r="L1946" s="108"/>
      <c r="M1946" s="107"/>
      <c r="N1946" s="107"/>
      <c r="O1946" s="109"/>
      <c r="P1946" s="59"/>
      <c r="Q1946" s="104"/>
    </row>
    <row r="1947" ht="25.5" customHeight="1">
      <c r="A1947" s="110"/>
      <c r="B1947" s="111"/>
      <c r="C1947" s="96"/>
      <c r="D1947" s="112"/>
      <c r="E1947" s="112"/>
      <c r="F1947" s="112"/>
      <c r="G1947" s="113"/>
      <c r="H1947" s="111"/>
      <c r="I1947" s="103"/>
      <c r="J1947" s="103"/>
      <c r="K1947" s="103"/>
      <c r="L1947" s="108"/>
      <c r="M1947" s="103"/>
      <c r="N1947" s="103"/>
      <c r="O1947" s="114"/>
      <c r="P1947" s="110"/>
      <c r="Q1947" s="111"/>
    </row>
    <row r="1948" ht="25.5" customHeight="1">
      <c r="A1948" s="59"/>
      <c r="B1948" s="104"/>
      <c r="C1948" s="96"/>
      <c r="D1948" s="105"/>
      <c r="E1948" s="105"/>
      <c r="F1948" s="105"/>
      <c r="G1948" s="106"/>
      <c r="H1948" s="104"/>
      <c r="I1948" s="107"/>
      <c r="J1948" s="107"/>
      <c r="K1948" s="107"/>
      <c r="L1948" s="108"/>
      <c r="M1948" s="107"/>
      <c r="N1948" s="107"/>
      <c r="O1948" s="109"/>
      <c r="P1948" s="59"/>
      <c r="Q1948" s="104"/>
    </row>
    <row r="1949" ht="25.5" customHeight="1">
      <c r="A1949" s="110"/>
      <c r="B1949" s="111"/>
      <c r="C1949" s="96"/>
      <c r="D1949" s="112"/>
      <c r="E1949" s="112"/>
      <c r="F1949" s="112"/>
      <c r="G1949" s="113"/>
      <c r="H1949" s="111"/>
      <c r="I1949" s="103"/>
      <c r="J1949" s="103"/>
      <c r="K1949" s="103"/>
      <c r="L1949" s="108"/>
      <c r="M1949" s="103"/>
      <c r="N1949" s="103"/>
      <c r="O1949" s="114"/>
      <c r="P1949" s="110"/>
      <c r="Q1949" s="111"/>
    </row>
    <row r="1950" ht="25.5" customHeight="1">
      <c r="A1950" s="59"/>
      <c r="B1950" s="104"/>
      <c r="C1950" s="96"/>
      <c r="D1950" s="105"/>
      <c r="E1950" s="105"/>
      <c r="F1950" s="105"/>
      <c r="G1950" s="106"/>
      <c r="H1950" s="104"/>
      <c r="I1950" s="107"/>
      <c r="J1950" s="107"/>
      <c r="K1950" s="107"/>
      <c r="L1950" s="108"/>
      <c r="M1950" s="107"/>
      <c r="N1950" s="107"/>
      <c r="O1950" s="109"/>
      <c r="P1950" s="59"/>
      <c r="Q1950" s="104"/>
    </row>
    <row r="1951" ht="25.5" customHeight="1">
      <c r="A1951" s="110"/>
      <c r="B1951" s="111"/>
      <c r="C1951" s="96"/>
      <c r="D1951" s="112"/>
      <c r="E1951" s="112"/>
      <c r="F1951" s="112"/>
      <c r="G1951" s="113"/>
      <c r="H1951" s="111"/>
      <c r="I1951" s="103"/>
      <c r="J1951" s="103"/>
      <c r="K1951" s="103"/>
      <c r="L1951" s="108"/>
      <c r="M1951" s="103"/>
      <c r="N1951" s="103"/>
      <c r="O1951" s="114"/>
      <c r="P1951" s="110"/>
      <c r="Q1951" s="111"/>
    </row>
    <row r="1952" ht="25.5" customHeight="1">
      <c r="A1952" s="59"/>
      <c r="B1952" s="104"/>
      <c r="C1952" s="96"/>
      <c r="D1952" s="105"/>
      <c r="E1952" s="105"/>
      <c r="F1952" s="105"/>
      <c r="G1952" s="106"/>
      <c r="H1952" s="104"/>
      <c r="I1952" s="107"/>
      <c r="J1952" s="107"/>
      <c r="K1952" s="107"/>
      <c r="L1952" s="108"/>
      <c r="M1952" s="107"/>
      <c r="N1952" s="107"/>
      <c r="O1952" s="109"/>
      <c r="P1952" s="59"/>
      <c r="Q1952" s="104"/>
    </row>
    <row r="1953" ht="25.5" customHeight="1">
      <c r="A1953" s="110"/>
      <c r="B1953" s="111"/>
      <c r="C1953" s="96"/>
      <c r="D1953" s="112"/>
      <c r="E1953" s="112"/>
      <c r="F1953" s="112"/>
      <c r="G1953" s="113"/>
      <c r="H1953" s="111"/>
      <c r="I1953" s="103"/>
      <c r="J1953" s="103"/>
      <c r="K1953" s="103"/>
      <c r="L1953" s="108"/>
      <c r="M1953" s="103"/>
      <c r="N1953" s="103"/>
      <c r="O1953" s="114"/>
      <c r="P1953" s="110"/>
      <c r="Q1953" s="111"/>
    </row>
    <row r="1954" ht="25.5" customHeight="1">
      <c r="A1954" s="59"/>
      <c r="B1954" s="104"/>
      <c r="C1954" s="96"/>
      <c r="D1954" s="105"/>
      <c r="E1954" s="105"/>
      <c r="F1954" s="105"/>
      <c r="G1954" s="106"/>
      <c r="H1954" s="104"/>
      <c r="I1954" s="107"/>
      <c r="J1954" s="107"/>
      <c r="K1954" s="107"/>
      <c r="L1954" s="108"/>
      <c r="M1954" s="107"/>
      <c r="N1954" s="107"/>
      <c r="O1954" s="109"/>
      <c r="P1954" s="59"/>
      <c r="Q1954" s="104"/>
    </row>
    <row r="1955" ht="25.5" customHeight="1">
      <c r="A1955" s="110"/>
      <c r="B1955" s="111"/>
      <c r="C1955" s="96"/>
      <c r="D1955" s="112"/>
      <c r="E1955" s="112"/>
      <c r="F1955" s="112"/>
      <c r="G1955" s="113"/>
      <c r="H1955" s="111"/>
      <c r="I1955" s="103"/>
      <c r="J1955" s="103"/>
      <c r="K1955" s="103"/>
      <c r="L1955" s="108"/>
      <c r="M1955" s="103"/>
      <c r="N1955" s="103"/>
      <c r="O1955" s="114"/>
      <c r="P1955" s="110"/>
      <c r="Q1955" s="111"/>
    </row>
    <row r="1956" ht="25.5" customHeight="1">
      <c r="A1956" s="59"/>
      <c r="B1956" s="104"/>
      <c r="C1956" s="96"/>
      <c r="D1956" s="105"/>
      <c r="E1956" s="105"/>
      <c r="F1956" s="105"/>
      <c r="G1956" s="106"/>
      <c r="H1956" s="104"/>
      <c r="I1956" s="107"/>
      <c r="J1956" s="107"/>
      <c r="K1956" s="107"/>
      <c r="L1956" s="108"/>
      <c r="M1956" s="107"/>
      <c r="N1956" s="107"/>
      <c r="O1956" s="109"/>
      <c r="P1956" s="59"/>
      <c r="Q1956" s="104"/>
    </row>
    <row r="1957" ht="25.5" customHeight="1">
      <c r="A1957" s="110"/>
      <c r="B1957" s="111"/>
      <c r="C1957" s="96"/>
      <c r="D1957" s="112"/>
      <c r="E1957" s="112"/>
      <c r="F1957" s="112"/>
      <c r="G1957" s="113"/>
      <c r="H1957" s="111"/>
      <c r="I1957" s="103"/>
      <c r="J1957" s="103"/>
      <c r="K1957" s="103"/>
      <c r="L1957" s="108"/>
      <c r="M1957" s="103"/>
      <c r="N1957" s="103"/>
      <c r="O1957" s="114"/>
      <c r="P1957" s="110"/>
      <c r="Q1957" s="111"/>
    </row>
    <row r="1958" ht="25.5" customHeight="1">
      <c r="A1958" s="59"/>
      <c r="B1958" s="104"/>
      <c r="C1958" s="96"/>
      <c r="D1958" s="105"/>
      <c r="E1958" s="105"/>
      <c r="F1958" s="105"/>
      <c r="G1958" s="106"/>
      <c r="H1958" s="104"/>
      <c r="I1958" s="107"/>
      <c r="J1958" s="107"/>
      <c r="K1958" s="107"/>
      <c r="L1958" s="108"/>
      <c r="M1958" s="107"/>
      <c r="N1958" s="107"/>
      <c r="O1958" s="109"/>
      <c r="P1958" s="59"/>
      <c r="Q1958" s="104"/>
    </row>
    <row r="1959" ht="25.5" customHeight="1">
      <c r="A1959" s="110"/>
      <c r="B1959" s="111"/>
      <c r="C1959" s="96"/>
      <c r="D1959" s="112"/>
      <c r="E1959" s="112"/>
      <c r="F1959" s="112"/>
      <c r="G1959" s="113"/>
      <c r="H1959" s="111"/>
      <c r="I1959" s="103"/>
      <c r="J1959" s="103"/>
      <c r="K1959" s="103"/>
      <c r="L1959" s="108"/>
      <c r="M1959" s="103"/>
      <c r="N1959" s="103"/>
      <c r="O1959" s="114"/>
      <c r="P1959" s="110"/>
      <c r="Q1959" s="111"/>
    </row>
    <row r="1960" ht="25.5" customHeight="1">
      <c r="A1960" s="59"/>
      <c r="B1960" s="104"/>
      <c r="C1960" s="96"/>
      <c r="D1960" s="105"/>
      <c r="E1960" s="105"/>
      <c r="F1960" s="105"/>
      <c r="G1960" s="106"/>
      <c r="H1960" s="104"/>
      <c r="I1960" s="107"/>
      <c r="J1960" s="107"/>
      <c r="K1960" s="107"/>
      <c r="L1960" s="108"/>
      <c r="M1960" s="107"/>
      <c r="N1960" s="107"/>
      <c r="O1960" s="109"/>
      <c r="P1960" s="59"/>
      <c r="Q1960" s="104"/>
    </row>
    <row r="1961" ht="25.5" customHeight="1">
      <c r="A1961" s="110"/>
      <c r="B1961" s="111"/>
      <c r="C1961" s="96"/>
      <c r="D1961" s="112"/>
      <c r="E1961" s="112"/>
      <c r="F1961" s="112"/>
      <c r="G1961" s="113"/>
      <c r="H1961" s="111"/>
      <c r="I1961" s="103"/>
      <c r="J1961" s="103"/>
      <c r="K1961" s="103"/>
      <c r="L1961" s="108"/>
      <c r="M1961" s="103"/>
      <c r="N1961" s="103"/>
      <c r="O1961" s="114"/>
      <c r="P1961" s="110"/>
      <c r="Q1961" s="111"/>
    </row>
    <row r="1962" ht="25.5" customHeight="1">
      <c r="A1962" s="59"/>
      <c r="B1962" s="104"/>
      <c r="C1962" s="96"/>
      <c r="D1962" s="105"/>
      <c r="E1962" s="105"/>
      <c r="F1962" s="105"/>
      <c r="G1962" s="106"/>
      <c r="H1962" s="104"/>
      <c r="I1962" s="107"/>
      <c r="J1962" s="107"/>
      <c r="K1962" s="107"/>
      <c r="L1962" s="108"/>
      <c r="M1962" s="107"/>
      <c r="N1962" s="107"/>
      <c r="O1962" s="109"/>
      <c r="P1962" s="59"/>
      <c r="Q1962" s="104"/>
    </row>
    <row r="1963" ht="25.5" customHeight="1">
      <c r="A1963" s="110"/>
      <c r="B1963" s="111"/>
      <c r="C1963" s="96"/>
      <c r="D1963" s="112"/>
      <c r="E1963" s="112"/>
      <c r="F1963" s="112"/>
      <c r="G1963" s="113"/>
      <c r="H1963" s="111"/>
      <c r="I1963" s="103"/>
      <c r="J1963" s="103"/>
      <c r="K1963" s="103"/>
      <c r="L1963" s="108"/>
      <c r="M1963" s="103"/>
      <c r="N1963" s="103"/>
      <c r="O1963" s="114"/>
      <c r="P1963" s="110"/>
      <c r="Q1963" s="111"/>
    </row>
    <row r="1964" ht="25.5" customHeight="1">
      <c r="A1964" s="59"/>
      <c r="B1964" s="104"/>
      <c r="C1964" s="96"/>
      <c r="D1964" s="105"/>
      <c r="E1964" s="105"/>
      <c r="F1964" s="105"/>
      <c r="G1964" s="106"/>
      <c r="H1964" s="104"/>
      <c r="I1964" s="107"/>
      <c r="J1964" s="107"/>
      <c r="K1964" s="107"/>
      <c r="L1964" s="108"/>
      <c r="M1964" s="107"/>
      <c r="N1964" s="107"/>
      <c r="O1964" s="109"/>
      <c r="P1964" s="59"/>
      <c r="Q1964" s="104"/>
    </row>
    <row r="1965" ht="25.5" customHeight="1">
      <c r="A1965" s="110"/>
      <c r="B1965" s="111"/>
      <c r="C1965" s="96"/>
      <c r="D1965" s="112"/>
      <c r="E1965" s="112"/>
      <c r="F1965" s="112"/>
      <c r="G1965" s="113"/>
      <c r="H1965" s="111"/>
      <c r="I1965" s="103"/>
      <c r="J1965" s="103"/>
      <c r="K1965" s="103"/>
      <c r="L1965" s="108"/>
      <c r="M1965" s="103"/>
      <c r="N1965" s="103"/>
      <c r="O1965" s="114"/>
      <c r="P1965" s="110"/>
      <c r="Q1965" s="111"/>
    </row>
    <row r="1966" ht="25.5" customHeight="1">
      <c r="A1966" s="59"/>
      <c r="B1966" s="104"/>
      <c r="C1966" s="96"/>
      <c r="D1966" s="105"/>
      <c r="E1966" s="105"/>
      <c r="F1966" s="105"/>
      <c r="G1966" s="106"/>
      <c r="H1966" s="104"/>
      <c r="I1966" s="107"/>
      <c r="J1966" s="107"/>
      <c r="K1966" s="107"/>
      <c r="L1966" s="108"/>
      <c r="M1966" s="107"/>
      <c r="N1966" s="107"/>
      <c r="O1966" s="109"/>
      <c r="P1966" s="59"/>
      <c r="Q1966" s="104"/>
    </row>
    <row r="1967" ht="25.5" customHeight="1">
      <c r="A1967" s="110"/>
      <c r="B1967" s="111"/>
      <c r="C1967" s="96"/>
      <c r="D1967" s="112"/>
      <c r="E1967" s="112"/>
      <c r="F1967" s="112"/>
      <c r="G1967" s="113"/>
      <c r="H1967" s="111"/>
      <c r="I1967" s="103"/>
      <c r="J1967" s="103"/>
      <c r="K1967" s="103"/>
      <c r="L1967" s="108"/>
      <c r="M1967" s="103"/>
      <c r="N1967" s="103"/>
      <c r="O1967" s="114"/>
      <c r="P1967" s="110"/>
      <c r="Q1967" s="111"/>
    </row>
    <row r="1968" ht="25.5" customHeight="1">
      <c r="A1968" s="59"/>
      <c r="B1968" s="104"/>
      <c r="C1968" s="96"/>
      <c r="D1968" s="105"/>
      <c r="E1968" s="105"/>
      <c r="F1968" s="105"/>
      <c r="G1968" s="106"/>
      <c r="H1968" s="104"/>
      <c r="I1968" s="107"/>
      <c r="J1968" s="107"/>
      <c r="K1968" s="107"/>
      <c r="L1968" s="108"/>
      <c r="M1968" s="107"/>
      <c r="N1968" s="107"/>
      <c r="O1968" s="109"/>
      <c r="P1968" s="59"/>
      <c r="Q1968" s="104"/>
    </row>
    <row r="1969" ht="25.5" customHeight="1">
      <c r="A1969" s="110"/>
      <c r="B1969" s="111"/>
      <c r="C1969" s="96"/>
      <c r="D1969" s="112"/>
      <c r="E1969" s="112"/>
      <c r="F1969" s="112"/>
      <c r="G1969" s="113"/>
      <c r="H1969" s="111"/>
      <c r="I1969" s="103"/>
      <c r="J1969" s="103"/>
      <c r="K1969" s="103"/>
      <c r="L1969" s="108"/>
      <c r="M1969" s="103"/>
      <c r="N1969" s="103"/>
      <c r="O1969" s="114"/>
      <c r="P1969" s="110"/>
      <c r="Q1969" s="111"/>
    </row>
    <row r="1970" ht="25.5" customHeight="1">
      <c r="A1970" s="59"/>
      <c r="B1970" s="104"/>
      <c r="C1970" s="96"/>
      <c r="D1970" s="105"/>
      <c r="E1970" s="105"/>
      <c r="F1970" s="105"/>
      <c r="G1970" s="106"/>
      <c r="H1970" s="104"/>
      <c r="I1970" s="107"/>
      <c r="J1970" s="107"/>
      <c r="K1970" s="107"/>
      <c r="L1970" s="108"/>
      <c r="M1970" s="107"/>
      <c r="N1970" s="107"/>
      <c r="O1970" s="109"/>
      <c r="P1970" s="59"/>
      <c r="Q1970" s="104"/>
    </row>
    <row r="1971" ht="25.5" customHeight="1">
      <c r="A1971" s="110"/>
      <c r="B1971" s="111"/>
      <c r="C1971" s="96"/>
      <c r="D1971" s="112"/>
      <c r="E1971" s="112"/>
      <c r="F1971" s="112"/>
      <c r="G1971" s="113"/>
      <c r="H1971" s="111"/>
      <c r="I1971" s="103"/>
      <c r="J1971" s="103"/>
      <c r="K1971" s="103"/>
      <c r="L1971" s="108"/>
      <c r="M1971" s="103"/>
      <c r="N1971" s="103"/>
      <c r="O1971" s="114"/>
      <c r="P1971" s="110"/>
      <c r="Q1971" s="111"/>
    </row>
    <row r="1972" ht="25.5" customHeight="1">
      <c r="A1972" s="59"/>
      <c r="B1972" s="104"/>
      <c r="C1972" s="96"/>
      <c r="D1972" s="105"/>
      <c r="E1972" s="105"/>
      <c r="F1972" s="105"/>
      <c r="G1972" s="106"/>
      <c r="H1972" s="104"/>
      <c r="I1972" s="107"/>
      <c r="J1972" s="107"/>
      <c r="K1972" s="107"/>
      <c r="L1972" s="108"/>
      <c r="M1972" s="107"/>
      <c r="N1972" s="107"/>
      <c r="O1972" s="109"/>
      <c r="P1972" s="59"/>
      <c r="Q1972" s="104"/>
    </row>
    <row r="1973" ht="25.5" customHeight="1">
      <c r="A1973" s="110"/>
      <c r="B1973" s="111"/>
      <c r="C1973" s="96"/>
      <c r="D1973" s="112"/>
      <c r="E1973" s="112"/>
      <c r="F1973" s="112"/>
      <c r="G1973" s="113"/>
      <c r="H1973" s="111"/>
      <c r="I1973" s="103"/>
      <c r="J1973" s="103"/>
      <c r="K1973" s="103"/>
      <c r="L1973" s="108"/>
      <c r="M1973" s="103"/>
      <c r="N1973" s="103"/>
      <c r="O1973" s="114"/>
      <c r="P1973" s="110"/>
      <c r="Q1973" s="111"/>
    </row>
    <row r="1974" ht="25.5" customHeight="1">
      <c r="A1974" s="59"/>
      <c r="B1974" s="104"/>
      <c r="C1974" s="96"/>
      <c r="D1974" s="105"/>
      <c r="E1974" s="105"/>
      <c r="F1974" s="105"/>
      <c r="G1974" s="106"/>
      <c r="H1974" s="104"/>
      <c r="I1974" s="107"/>
      <c r="J1974" s="107"/>
      <c r="K1974" s="107"/>
      <c r="L1974" s="108"/>
      <c r="M1974" s="107"/>
      <c r="N1974" s="107"/>
      <c r="O1974" s="109"/>
      <c r="P1974" s="59"/>
      <c r="Q1974" s="104"/>
    </row>
    <row r="1975" ht="25.5" customHeight="1">
      <c r="A1975" s="110"/>
      <c r="B1975" s="111"/>
      <c r="C1975" s="96"/>
      <c r="D1975" s="112"/>
      <c r="E1975" s="112"/>
      <c r="F1975" s="112"/>
      <c r="G1975" s="113"/>
      <c r="H1975" s="111"/>
      <c r="I1975" s="103"/>
      <c r="J1975" s="103"/>
      <c r="K1975" s="103"/>
      <c r="L1975" s="108"/>
      <c r="M1975" s="103"/>
      <c r="N1975" s="103"/>
      <c r="O1975" s="114"/>
      <c r="P1975" s="110"/>
      <c r="Q1975" s="111"/>
    </row>
    <row r="1976" ht="25.5" customHeight="1">
      <c r="A1976" s="59"/>
      <c r="B1976" s="104"/>
      <c r="C1976" s="96"/>
      <c r="D1976" s="105"/>
      <c r="E1976" s="105"/>
      <c r="F1976" s="105"/>
      <c r="G1976" s="106"/>
      <c r="H1976" s="104"/>
      <c r="I1976" s="107"/>
      <c r="J1976" s="107"/>
      <c r="K1976" s="107"/>
      <c r="L1976" s="108"/>
      <c r="M1976" s="107"/>
      <c r="N1976" s="107"/>
      <c r="O1976" s="109"/>
      <c r="P1976" s="59"/>
      <c r="Q1976" s="104"/>
    </row>
    <row r="1977" ht="25.5" customHeight="1">
      <c r="A1977" s="110"/>
      <c r="B1977" s="111"/>
      <c r="C1977" s="96"/>
      <c r="D1977" s="112"/>
      <c r="E1977" s="112"/>
      <c r="F1977" s="112"/>
      <c r="G1977" s="113"/>
      <c r="H1977" s="111"/>
      <c r="I1977" s="103"/>
      <c r="J1977" s="103"/>
      <c r="K1977" s="103"/>
      <c r="L1977" s="108"/>
      <c r="M1977" s="103"/>
      <c r="N1977" s="103"/>
      <c r="O1977" s="114"/>
      <c r="P1977" s="110"/>
      <c r="Q1977" s="111"/>
    </row>
    <row r="1978" ht="25.5" customHeight="1">
      <c r="A1978" s="59"/>
      <c r="B1978" s="104"/>
      <c r="C1978" s="96"/>
      <c r="D1978" s="105"/>
      <c r="E1978" s="105"/>
      <c r="F1978" s="105"/>
      <c r="G1978" s="106"/>
      <c r="H1978" s="104"/>
      <c r="I1978" s="107"/>
      <c r="J1978" s="107"/>
      <c r="K1978" s="107"/>
      <c r="L1978" s="108"/>
      <c r="M1978" s="107"/>
      <c r="N1978" s="107"/>
      <c r="O1978" s="109"/>
      <c r="P1978" s="59"/>
      <c r="Q1978" s="104"/>
    </row>
    <row r="1979" ht="25.5" customHeight="1">
      <c r="A1979" s="110"/>
      <c r="B1979" s="111"/>
      <c r="C1979" s="96"/>
      <c r="D1979" s="112"/>
      <c r="E1979" s="112"/>
      <c r="F1979" s="112"/>
      <c r="G1979" s="113"/>
      <c r="H1979" s="111"/>
      <c r="I1979" s="103"/>
      <c r="J1979" s="103"/>
      <c r="K1979" s="103"/>
      <c r="L1979" s="108"/>
      <c r="M1979" s="103"/>
      <c r="N1979" s="103"/>
      <c r="O1979" s="114"/>
      <c r="P1979" s="110"/>
      <c r="Q1979" s="111"/>
    </row>
    <row r="1980" ht="25.5" customHeight="1">
      <c r="A1980" s="59"/>
      <c r="B1980" s="104"/>
      <c r="C1980" s="96"/>
      <c r="D1980" s="105"/>
      <c r="E1980" s="105"/>
      <c r="F1980" s="105"/>
      <c r="G1980" s="106"/>
      <c r="H1980" s="104"/>
      <c r="I1980" s="107"/>
      <c r="J1980" s="107"/>
      <c r="K1980" s="107"/>
      <c r="L1980" s="108"/>
      <c r="M1980" s="107"/>
      <c r="N1980" s="107"/>
      <c r="O1980" s="109"/>
      <c r="P1980" s="59"/>
      <c r="Q1980" s="104"/>
    </row>
    <row r="1981" ht="25.5" customHeight="1">
      <c r="A1981" s="110"/>
      <c r="B1981" s="111"/>
      <c r="C1981" s="96"/>
      <c r="D1981" s="112"/>
      <c r="E1981" s="112"/>
      <c r="F1981" s="112"/>
      <c r="G1981" s="113"/>
      <c r="H1981" s="111"/>
      <c r="I1981" s="103"/>
      <c r="J1981" s="103"/>
      <c r="K1981" s="103"/>
      <c r="L1981" s="108"/>
      <c r="M1981" s="103"/>
      <c r="N1981" s="103"/>
      <c r="O1981" s="114"/>
      <c r="P1981" s="110"/>
      <c r="Q1981" s="111"/>
    </row>
    <row r="1982" ht="25.5" customHeight="1">
      <c r="A1982" s="59"/>
      <c r="B1982" s="104"/>
      <c r="C1982" s="96"/>
      <c r="D1982" s="105"/>
      <c r="E1982" s="105"/>
      <c r="F1982" s="105"/>
      <c r="G1982" s="106"/>
      <c r="H1982" s="104"/>
      <c r="I1982" s="107"/>
      <c r="J1982" s="107"/>
      <c r="K1982" s="107"/>
      <c r="L1982" s="108"/>
      <c r="M1982" s="107"/>
      <c r="N1982" s="107"/>
      <c r="O1982" s="109"/>
      <c r="P1982" s="59"/>
      <c r="Q1982" s="104"/>
    </row>
    <row r="1983" ht="25.5" customHeight="1">
      <c r="A1983" s="110"/>
      <c r="B1983" s="111"/>
      <c r="C1983" s="96"/>
      <c r="D1983" s="112"/>
      <c r="E1983" s="112"/>
      <c r="F1983" s="112"/>
      <c r="G1983" s="113"/>
      <c r="H1983" s="111"/>
      <c r="I1983" s="103"/>
      <c r="J1983" s="103"/>
      <c r="K1983" s="103"/>
      <c r="L1983" s="108"/>
      <c r="M1983" s="103"/>
      <c r="N1983" s="103"/>
      <c r="O1983" s="114"/>
      <c r="P1983" s="110"/>
      <c r="Q1983" s="111"/>
    </row>
    <row r="1984" ht="25.5" customHeight="1">
      <c r="A1984" s="59"/>
      <c r="B1984" s="104"/>
      <c r="C1984" s="96"/>
      <c r="D1984" s="105"/>
      <c r="E1984" s="105"/>
      <c r="F1984" s="105"/>
      <c r="G1984" s="106"/>
      <c r="H1984" s="104"/>
      <c r="I1984" s="107"/>
      <c r="J1984" s="107"/>
      <c r="K1984" s="107"/>
      <c r="L1984" s="108"/>
      <c r="M1984" s="107"/>
      <c r="N1984" s="107"/>
      <c r="O1984" s="109"/>
      <c r="P1984" s="59"/>
      <c r="Q1984" s="104"/>
    </row>
    <row r="1985" ht="25.5" customHeight="1">
      <c r="A1985" s="110"/>
      <c r="B1985" s="111"/>
      <c r="C1985" s="96"/>
      <c r="D1985" s="112"/>
      <c r="E1985" s="112"/>
      <c r="F1985" s="112"/>
      <c r="G1985" s="113"/>
      <c r="H1985" s="111"/>
      <c r="I1985" s="103"/>
      <c r="J1985" s="103"/>
      <c r="K1985" s="103"/>
      <c r="L1985" s="108"/>
      <c r="M1985" s="103"/>
      <c r="N1985" s="103"/>
      <c r="O1985" s="114"/>
      <c r="P1985" s="110"/>
      <c r="Q1985" s="111"/>
    </row>
    <row r="1986" ht="25.5" customHeight="1">
      <c r="A1986" s="59"/>
      <c r="B1986" s="104"/>
      <c r="C1986" s="96"/>
      <c r="D1986" s="105"/>
      <c r="E1986" s="105"/>
      <c r="F1986" s="105"/>
      <c r="G1986" s="106"/>
      <c r="H1986" s="104"/>
      <c r="I1986" s="107"/>
      <c r="J1986" s="107"/>
      <c r="K1986" s="107"/>
      <c r="L1986" s="108"/>
      <c r="M1986" s="107"/>
      <c r="N1986" s="107"/>
      <c r="O1986" s="109"/>
      <c r="P1986" s="59"/>
      <c r="Q1986" s="104"/>
    </row>
    <row r="1987" ht="25.5" customHeight="1">
      <c r="A1987" s="110"/>
      <c r="B1987" s="111"/>
      <c r="C1987" s="96"/>
      <c r="D1987" s="112"/>
      <c r="E1987" s="112"/>
      <c r="F1987" s="112"/>
      <c r="G1987" s="113"/>
      <c r="H1987" s="111"/>
      <c r="I1987" s="103"/>
      <c r="J1987" s="103"/>
      <c r="K1987" s="103"/>
      <c r="L1987" s="108"/>
      <c r="M1987" s="103"/>
      <c r="N1987" s="103"/>
      <c r="O1987" s="114"/>
      <c r="P1987" s="110"/>
      <c r="Q1987" s="111"/>
    </row>
    <row r="1988" ht="25.5" customHeight="1">
      <c r="A1988" s="59"/>
      <c r="B1988" s="104"/>
      <c r="C1988" s="96"/>
      <c r="D1988" s="105"/>
      <c r="E1988" s="105"/>
      <c r="F1988" s="105"/>
      <c r="G1988" s="106"/>
      <c r="H1988" s="104"/>
      <c r="I1988" s="107"/>
      <c r="J1988" s="107"/>
      <c r="K1988" s="107"/>
      <c r="L1988" s="108"/>
      <c r="M1988" s="107"/>
      <c r="N1988" s="107"/>
      <c r="O1988" s="109"/>
      <c r="P1988" s="59"/>
      <c r="Q1988" s="104"/>
    </row>
    <row r="1989" ht="25.5" customHeight="1">
      <c r="A1989" s="110"/>
      <c r="B1989" s="111"/>
      <c r="C1989" s="96"/>
      <c r="D1989" s="112"/>
      <c r="E1989" s="112"/>
      <c r="F1989" s="112"/>
      <c r="G1989" s="113"/>
      <c r="H1989" s="111"/>
      <c r="I1989" s="103"/>
      <c r="J1989" s="103"/>
      <c r="K1989" s="103"/>
      <c r="L1989" s="108"/>
      <c r="M1989" s="103"/>
      <c r="N1989" s="103"/>
      <c r="O1989" s="114"/>
      <c r="P1989" s="110"/>
      <c r="Q1989" s="111"/>
    </row>
    <row r="1990" ht="25.5" customHeight="1">
      <c r="A1990" s="59"/>
      <c r="B1990" s="104"/>
      <c r="C1990" s="96"/>
      <c r="D1990" s="105"/>
      <c r="E1990" s="105"/>
      <c r="F1990" s="105"/>
      <c r="G1990" s="106"/>
      <c r="H1990" s="104"/>
      <c r="I1990" s="107"/>
      <c r="J1990" s="107"/>
      <c r="K1990" s="107"/>
      <c r="L1990" s="108"/>
      <c r="M1990" s="107"/>
      <c r="N1990" s="107"/>
      <c r="O1990" s="109"/>
      <c r="P1990" s="59"/>
      <c r="Q1990" s="104"/>
    </row>
    <row r="1991" ht="25.5" customHeight="1">
      <c r="A1991" s="110"/>
      <c r="B1991" s="111"/>
      <c r="C1991" s="96"/>
      <c r="D1991" s="112"/>
      <c r="E1991" s="112"/>
      <c r="F1991" s="112"/>
      <c r="G1991" s="113"/>
      <c r="H1991" s="111"/>
      <c r="I1991" s="103"/>
      <c r="J1991" s="103"/>
      <c r="K1991" s="103"/>
      <c r="L1991" s="108"/>
      <c r="M1991" s="103"/>
      <c r="N1991" s="103"/>
      <c r="O1991" s="114"/>
      <c r="P1991" s="110"/>
      <c r="Q1991" s="111"/>
    </row>
    <row r="1992" ht="25.5" customHeight="1">
      <c r="A1992" s="59"/>
      <c r="B1992" s="104"/>
      <c r="C1992" s="96"/>
      <c r="D1992" s="105"/>
      <c r="E1992" s="105"/>
      <c r="F1992" s="105"/>
      <c r="G1992" s="106"/>
      <c r="H1992" s="104"/>
      <c r="I1992" s="107"/>
      <c r="J1992" s="107"/>
      <c r="K1992" s="107"/>
      <c r="L1992" s="108"/>
      <c r="M1992" s="107"/>
      <c r="N1992" s="107"/>
      <c r="O1992" s="109"/>
      <c r="P1992" s="59"/>
      <c r="Q1992" s="104"/>
    </row>
    <row r="1993" ht="25.5" customHeight="1">
      <c r="A1993" s="110"/>
      <c r="B1993" s="111"/>
      <c r="C1993" s="96"/>
      <c r="D1993" s="112"/>
      <c r="E1993" s="112"/>
      <c r="F1993" s="112"/>
      <c r="G1993" s="113"/>
      <c r="H1993" s="111"/>
      <c r="I1993" s="103"/>
      <c r="J1993" s="103"/>
      <c r="K1993" s="103"/>
      <c r="L1993" s="108"/>
      <c r="M1993" s="103"/>
      <c r="N1993" s="103"/>
      <c r="O1993" s="114"/>
      <c r="P1993" s="110"/>
      <c r="Q1993" s="111"/>
    </row>
    <row r="1994" ht="25.5" customHeight="1">
      <c r="A1994" s="59"/>
      <c r="B1994" s="104"/>
      <c r="C1994" s="96"/>
      <c r="D1994" s="105"/>
      <c r="E1994" s="105"/>
      <c r="F1994" s="105"/>
      <c r="G1994" s="106"/>
      <c r="H1994" s="104"/>
      <c r="I1994" s="107"/>
      <c r="J1994" s="107"/>
      <c r="K1994" s="107"/>
      <c r="L1994" s="108"/>
      <c r="M1994" s="107"/>
      <c r="N1994" s="107"/>
      <c r="O1994" s="109"/>
      <c r="P1994" s="59"/>
      <c r="Q1994" s="104"/>
    </row>
    <row r="1995" ht="25.5" customHeight="1">
      <c r="A1995" s="110"/>
      <c r="B1995" s="111"/>
      <c r="C1995" s="96"/>
      <c r="D1995" s="112"/>
      <c r="E1995" s="112"/>
      <c r="F1995" s="112"/>
      <c r="G1995" s="113"/>
      <c r="H1995" s="111"/>
      <c r="I1995" s="103"/>
      <c r="J1995" s="103"/>
      <c r="K1995" s="103"/>
      <c r="L1995" s="108"/>
      <c r="M1995" s="103"/>
      <c r="N1995" s="103"/>
      <c r="O1995" s="114"/>
      <c r="P1995" s="110"/>
      <c r="Q1995" s="111"/>
    </row>
    <row r="1996" ht="25.5" customHeight="1">
      <c r="A1996" s="59"/>
      <c r="B1996" s="104"/>
      <c r="C1996" s="96"/>
      <c r="D1996" s="105"/>
      <c r="E1996" s="105"/>
      <c r="F1996" s="105"/>
      <c r="G1996" s="106"/>
      <c r="H1996" s="104"/>
      <c r="I1996" s="107"/>
      <c r="J1996" s="107"/>
      <c r="K1996" s="107"/>
      <c r="L1996" s="108"/>
      <c r="M1996" s="107"/>
      <c r="N1996" s="107"/>
      <c r="O1996" s="109"/>
      <c r="P1996" s="59"/>
      <c r="Q1996" s="104"/>
    </row>
    <row r="1997" ht="25.5" customHeight="1">
      <c r="A1997" s="110"/>
      <c r="B1997" s="111"/>
      <c r="C1997" s="96"/>
      <c r="D1997" s="112"/>
      <c r="E1997" s="112"/>
      <c r="F1997" s="112"/>
      <c r="G1997" s="113"/>
      <c r="H1997" s="111"/>
      <c r="I1997" s="103"/>
      <c r="J1997" s="103"/>
      <c r="K1997" s="103"/>
      <c r="L1997" s="108"/>
      <c r="M1997" s="103"/>
      <c r="N1997" s="103"/>
      <c r="O1997" s="114"/>
      <c r="P1997" s="110"/>
      <c r="Q1997" s="111"/>
    </row>
    <row r="1998" ht="25.5" customHeight="1">
      <c r="A1998" s="59"/>
      <c r="B1998" s="104"/>
      <c r="C1998" s="96"/>
      <c r="D1998" s="105"/>
      <c r="E1998" s="105"/>
      <c r="F1998" s="105"/>
      <c r="G1998" s="106"/>
      <c r="H1998" s="104"/>
      <c r="I1998" s="107"/>
      <c r="J1998" s="107"/>
      <c r="K1998" s="107"/>
      <c r="L1998" s="108"/>
      <c r="M1998" s="107"/>
      <c r="N1998" s="107"/>
      <c r="O1998" s="109"/>
      <c r="P1998" s="59"/>
      <c r="Q1998" s="104"/>
    </row>
    <row r="1999" ht="25.5" customHeight="1">
      <c r="A1999" s="110"/>
      <c r="B1999" s="111"/>
      <c r="C1999" s="96"/>
      <c r="D1999" s="112"/>
      <c r="E1999" s="112"/>
      <c r="F1999" s="112"/>
      <c r="G1999" s="113"/>
      <c r="H1999" s="111"/>
      <c r="I1999" s="103"/>
      <c r="J1999" s="103"/>
      <c r="K1999" s="103"/>
      <c r="L1999" s="108"/>
      <c r="M1999" s="103"/>
      <c r="N1999" s="103"/>
      <c r="O1999" s="114"/>
      <c r="P1999" s="110"/>
      <c r="Q1999" s="111"/>
    </row>
    <row r="2000" ht="25.5" customHeight="1">
      <c r="A2000" s="59"/>
      <c r="B2000" s="104"/>
      <c r="C2000" s="96"/>
      <c r="D2000" s="105"/>
      <c r="E2000" s="105"/>
      <c r="F2000" s="105"/>
      <c r="G2000" s="106"/>
      <c r="H2000" s="104"/>
      <c r="I2000" s="107"/>
      <c r="J2000" s="107"/>
      <c r="K2000" s="107"/>
      <c r="L2000" s="108"/>
      <c r="M2000" s="107"/>
      <c r="N2000" s="107"/>
      <c r="O2000" s="109"/>
      <c r="P2000" s="59"/>
      <c r="Q2000" s="104"/>
    </row>
    <row r="2001" ht="25.5" customHeight="1">
      <c r="A2001" s="110"/>
      <c r="B2001" s="111"/>
      <c r="C2001" s="96"/>
      <c r="D2001" s="112"/>
      <c r="E2001" s="112"/>
      <c r="F2001" s="112"/>
      <c r="G2001" s="113"/>
      <c r="H2001" s="111"/>
      <c r="I2001" s="103"/>
      <c r="J2001" s="103"/>
      <c r="K2001" s="103"/>
      <c r="L2001" s="108"/>
      <c r="M2001" s="103"/>
      <c r="N2001" s="103"/>
      <c r="O2001" s="114"/>
      <c r="P2001" s="110"/>
      <c r="Q2001" s="111"/>
    </row>
    <row r="2002" ht="25.5" customHeight="1">
      <c r="A2002" s="59"/>
      <c r="B2002" s="104"/>
      <c r="C2002" s="96"/>
      <c r="D2002" s="105"/>
      <c r="E2002" s="105"/>
      <c r="F2002" s="105"/>
      <c r="G2002" s="106"/>
      <c r="H2002" s="104"/>
      <c r="I2002" s="107"/>
      <c r="J2002" s="107"/>
      <c r="K2002" s="107"/>
      <c r="L2002" s="108"/>
      <c r="M2002" s="107"/>
      <c r="N2002" s="107"/>
      <c r="O2002" s="109"/>
      <c r="P2002" s="59"/>
      <c r="Q2002" s="104"/>
    </row>
    <row r="2003" ht="25.5" customHeight="1">
      <c r="A2003" s="110"/>
      <c r="B2003" s="111"/>
      <c r="C2003" s="96"/>
      <c r="D2003" s="112"/>
      <c r="E2003" s="112"/>
      <c r="F2003" s="112"/>
      <c r="G2003" s="113"/>
      <c r="H2003" s="111"/>
      <c r="I2003" s="103"/>
      <c r="J2003" s="103"/>
      <c r="K2003" s="103"/>
      <c r="L2003" s="108"/>
      <c r="M2003" s="103"/>
      <c r="N2003" s="103"/>
      <c r="O2003" s="114"/>
      <c r="P2003" s="110"/>
      <c r="Q2003" s="111"/>
    </row>
    <row r="2004" ht="25.5" customHeight="1">
      <c r="A2004" s="59"/>
      <c r="B2004" s="104"/>
      <c r="C2004" s="96"/>
      <c r="D2004" s="105"/>
      <c r="E2004" s="105"/>
      <c r="F2004" s="105"/>
      <c r="G2004" s="106"/>
      <c r="H2004" s="104"/>
      <c r="I2004" s="107"/>
      <c r="J2004" s="107"/>
      <c r="K2004" s="107"/>
      <c r="L2004" s="108"/>
      <c r="M2004" s="107"/>
      <c r="N2004" s="107"/>
      <c r="O2004" s="109"/>
      <c r="P2004" s="59"/>
      <c r="Q2004" s="104"/>
    </row>
    <row r="2005" ht="25.5" customHeight="1">
      <c r="A2005" s="110"/>
      <c r="B2005" s="111"/>
      <c r="C2005" s="96"/>
      <c r="D2005" s="112"/>
      <c r="E2005" s="112"/>
      <c r="F2005" s="112"/>
      <c r="G2005" s="113"/>
      <c r="H2005" s="111"/>
      <c r="I2005" s="103"/>
      <c r="J2005" s="103"/>
      <c r="K2005" s="103"/>
      <c r="L2005" s="108"/>
      <c r="M2005" s="103"/>
      <c r="N2005" s="103"/>
      <c r="O2005" s="114"/>
      <c r="P2005" s="110"/>
      <c r="Q2005" s="111"/>
    </row>
    <row r="2006" ht="25.5" customHeight="1">
      <c r="A2006" s="59"/>
      <c r="B2006" s="104"/>
      <c r="C2006" s="96"/>
      <c r="D2006" s="105"/>
      <c r="E2006" s="105"/>
      <c r="F2006" s="105"/>
      <c r="G2006" s="106"/>
      <c r="H2006" s="104"/>
      <c r="I2006" s="107"/>
      <c r="J2006" s="107"/>
      <c r="K2006" s="107"/>
      <c r="L2006" s="108"/>
      <c r="M2006" s="107"/>
      <c r="N2006" s="107"/>
      <c r="O2006" s="109"/>
      <c r="P2006" s="59"/>
      <c r="Q2006" s="104"/>
    </row>
    <row r="2007" ht="25.5" customHeight="1">
      <c r="A2007" s="110"/>
      <c r="B2007" s="111"/>
      <c r="C2007" s="96"/>
      <c r="D2007" s="112"/>
      <c r="E2007" s="112"/>
      <c r="F2007" s="112"/>
      <c r="G2007" s="113"/>
      <c r="H2007" s="111"/>
      <c r="I2007" s="103"/>
      <c r="J2007" s="103"/>
      <c r="K2007" s="103"/>
      <c r="L2007" s="108"/>
      <c r="M2007" s="103"/>
      <c r="N2007" s="103"/>
      <c r="O2007" s="114"/>
      <c r="P2007" s="110"/>
      <c r="Q2007" s="111"/>
    </row>
    <row r="2008" ht="25.5" customHeight="1">
      <c r="A2008" s="59"/>
      <c r="B2008" s="104"/>
      <c r="C2008" s="96"/>
      <c r="D2008" s="105"/>
      <c r="E2008" s="105"/>
      <c r="F2008" s="105"/>
      <c r="G2008" s="106"/>
      <c r="H2008" s="104"/>
      <c r="I2008" s="107"/>
      <c r="J2008" s="107"/>
      <c r="K2008" s="107"/>
      <c r="L2008" s="108"/>
      <c r="M2008" s="107"/>
      <c r="N2008" s="107"/>
      <c r="O2008" s="109"/>
      <c r="P2008" s="59"/>
      <c r="Q2008" s="104"/>
    </row>
    <row r="2009" ht="25.5" customHeight="1">
      <c r="A2009" s="110"/>
      <c r="B2009" s="111"/>
      <c r="C2009" s="96"/>
      <c r="D2009" s="112"/>
      <c r="E2009" s="112"/>
      <c r="F2009" s="112"/>
      <c r="G2009" s="113"/>
      <c r="H2009" s="111"/>
      <c r="I2009" s="103"/>
      <c r="J2009" s="103"/>
      <c r="K2009" s="103"/>
      <c r="L2009" s="108"/>
      <c r="M2009" s="103"/>
      <c r="N2009" s="103"/>
      <c r="O2009" s="114"/>
      <c r="P2009" s="110"/>
      <c r="Q2009" s="111"/>
    </row>
    <row r="2010" ht="25.5" customHeight="1">
      <c r="A2010" s="59"/>
      <c r="B2010" s="104"/>
      <c r="C2010" s="96"/>
      <c r="D2010" s="105"/>
      <c r="E2010" s="105"/>
      <c r="F2010" s="105"/>
      <c r="G2010" s="106"/>
      <c r="H2010" s="104"/>
      <c r="I2010" s="107"/>
      <c r="J2010" s="107"/>
      <c r="K2010" s="107"/>
      <c r="L2010" s="108"/>
      <c r="M2010" s="107"/>
      <c r="N2010" s="107"/>
      <c r="O2010" s="109"/>
      <c r="P2010" s="59"/>
      <c r="Q2010" s="104"/>
    </row>
    <row r="2011" ht="25.5" customHeight="1">
      <c r="A2011" s="110"/>
      <c r="B2011" s="111"/>
      <c r="C2011" s="96"/>
      <c r="D2011" s="112"/>
      <c r="E2011" s="112"/>
      <c r="F2011" s="112"/>
      <c r="G2011" s="113"/>
      <c r="H2011" s="111"/>
      <c r="I2011" s="103"/>
      <c r="J2011" s="103"/>
      <c r="K2011" s="103"/>
      <c r="L2011" s="108"/>
      <c r="M2011" s="103"/>
      <c r="N2011" s="103"/>
      <c r="O2011" s="114"/>
      <c r="P2011" s="110"/>
      <c r="Q2011" s="111"/>
    </row>
    <row r="2012" ht="25.5" customHeight="1">
      <c r="A2012" s="59"/>
      <c r="B2012" s="104"/>
      <c r="C2012" s="96"/>
      <c r="D2012" s="105"/>
      <c r="E2012" s="105"/>
      <c r="F2012" s="105"/>
      <c r="G2012" s="106"/>
      <c r="H2012" s="104"/>
      <c r="I2012" s="107"/>
      <c r="J2012" s="107"/>
      <c r="K2012" s="107"/>
      <c r="L2012" s="108"/>
      <c r="M2012" s="107"/>
      <c r="N2012" s="107"/>
      <c r="O2012" s="109"/>
      <c r="P2012" s="59"/>
      <c r="Q2012" s="104"/>
    </row>
    <row r="2013" ht="25.5" customHeight="1">
      <c r="A2013" s="110"/>
      <c r="B2013" s="111"/>
      <c r="C2013" s="96"/>
      <c r="D2013" s="112"/>
      <c r="E2013" s="112"/>
      <c r="F2013" s="112"/>
      <c r="G2013" s="113"/>
      <c r="H2013" s="111"/>
      <c r="I2013" s="103"/>
      <c r="J2013" s="103"/>
      <c r="K2013" s="103"/>
      <c r="L2013" s="108"/>
      <c r="M2013" s="103"/>
      <c r="N2013" s="103"/>
      <c r="O2013" s="114"/>
      <c r="P2013" s="110"/>
      <c r="Q2013" s="111"/>
    </row>
    <row r="2014" ht="25.5" customHeight="1">
      <c r="A2014" s="59"/>
      <c r="B2014" s="104"/>
      <c r="C2014" s="96"/>
      <c r="D2014" s="105"/>
      <c r="E2014" s="105"/>
      <c r="F2014" s="105"/>
      <c r="G2014" s="106"/>
      <c r="H2014" s="104"/>
      <c r="I2014" s="107"/>
      <c r="J2014" s="107"/>
      <c r="K2014" s="107"/>
      <c r="L2014" s="108"/>
      <c r="M2014" s="107"/>
      <c r="N2014" s="107"/>
      <c r="O2014" s="109"/>
      <c r="P2014" s="59"/>
      <c r="Q2014" s="104"/>
    </row>
    <row r="2015" ht="25.5" customHeight="1">
      <c r="A2015" s="110"/>
      <c r="B2015" s="111"/>
      <c r="C2015" s="96"/>
      <c r="D2015" s="112"/>
      <c r="E2015" s="112"/>
      <c r="F2015" s="112"/>
      <c r="G2015" s="113"/>
      <c r="H2015" s="111"/>
      <c r="I2015" s="103"/>
      <c r="J2015" s="103"/>
      <c r="K2015" s="103"/>
      <c r="L2015" s="108"/>
      <c r="M2015" s="103"/>
      <c r="N2015" s="103"/>
      <c r="O2015" s="114"/>
      <c r="P2015" s="110"/>
      <c r="Q2015" s="111"/>
    </row>
    <row r="2016" ht="25.5" customHeight="1">
      <c r="A2016" s="59"/>
      <c r="B2016" s="104"/>
      <c r="C2016" s="96"/>
      <c r="D2016" s="105"/>
      <c r="E2016" s="105"/>
      <c r="F2016" s="105"/>
      <c r="G2016" s="106"/>
      <c r="H2016" s="104"/>
      <c r="I2016" s="107"/>
      <c r="J2016" s="107"/>
      <c r="K2016" s="107"/>
      <c r="L2016" s="108"/>
      <c r="M2016" s="107"/>
      <c r="N2016" s="107"/>
      <c r="O2016" s="109"/>
      <c r="P2016" s="59"/>
      <c r="Q2016" s="104"/>
    </row>
    <row r="2017" ht="25.5" customHeight="1">
      <c r="A2017" s="110"/>
      <c r="B2017" s="111"/>
      <c r="C2017" s="96"/>
      <c r="D2017" s="112"/>
      <c r="E2017" s="112"/>
      <c r="F2017" s="112"/>
      <c r="G2017" s="113"/>
      <c r="H2017" s="111"/>
      <c r="I2017" s="103"/>
      <c r="J2017" s="103"/>
      <c r="K2017" s="103"/>
      <c r="L2017" s="108"/>
      <c r="M2017" s="103"/>
      <c r="N2017" s="103"/>
      <c r="O2017" s="114"/>
      <c r="P2017" s="110"/>
      <c r="Q2017" s="111"/>
    </row>
    <row r="2018" ht="25.5" customHeight="1">
      <c r="A2018" s="59"/>
      <c r="B2018" s="104"/>
      <c r="C2018" s="96"/>
      <c r="D2018" s="105"/>
      <c r="E2018" s="105"/>
      <c r="F2018" s="105"/>
      <c r="G2018" s="106"/>
      <c r="H2018" s="104"/>
      <c r="I2018" s="107"/>
      <c r="J2018" s="107"/>
      <c r="K2018" s="107"/>
      <c r="L2018" s="108"/>
      <c r="M2018" s="107"/>
      <c r="N2018" s="107"/>
      <c r="O2018" s="109"/>
      <c r="P2018" s="59"/>
      <c r="Q2018" s="104"/>
    </row>
    <row r="2019" ht="25.5" customHeight="1">
      <c r="A2019" s="110"/>
      <c r="B2019" s="111"/>
      <c r="C2019" s="96"/>
      <c r="D2019" s="112"/>
      <c r="E2019" s="112"/>
      <c r="F2019" s="112"/>
      <c r="G2019" s="113"/>
      <c r="H2019" s="111"/>
      <c r="I2019" s="103"/>
      <c r="J2019" s="103"/>
      <c r="K2019" s="103"/>
      <c r="L2019" s="108"/>
      <c r="M2019" s="103"/>
      <c r="N2019" s="103"/>
      <c r="O2019" s="114"/>
      <c r="P2019" s="110"/>
      <c r="Q2019" s="111"/>
    </row>
    <row r="2020" ht="25.5" customHeight="1">
      <c r="A2020" s="59"/>
      <c r="B2020" s="104"/>
      <c r="C2020" s="96"/>
      <c r="D2020" s="105"/>
      <c r="E2020" s="105"/>
      <c r="F2020" s="105"/>
      <c r="G2020" s="106"/>
      <c r="H2020" s="104"/>
      <c r="I2020" s="107"/>
      <c r="J2020" s="107"/>
      <c r="K2020" s="107"/>
      <c r="L2020" s="108"/>
      <c r="M2020" s="107"/>
      <c r="N2020" s="107"/>
      <c r="O2020" s="109"/>
      <c r="P2020" s="59"/>
      <c r="Q2020" s="104"/>
    </row>
    <row r="2021" ht="25.5" customHeight="1">
      <c r="A2021" s="110"/>
      <c r="B2021" s="111"/>
      <c r="C2021" s="96"/>
      <c r="D2021" s="112"/>
      <c r="E2021" s="112"/>
      <c r="F2021" s="112"/>
      <c r="G2021" s="113"/>
      <c r="H2021" s="111"/>
      <c r="I2021" s="103"/>
      <c r="J2021" s="103"/>
      <c r="K2021" s="103"/>
      <c r="L2021" s="108"/>
      <c r="M2021" s="103"/>
      <c r="N2021" s="103"/>
      <c r="O2021" s="114"/>
      <c r="P2021" s="110"/>
      <c r="Q2021" s="111"/>
    </row>
    <row r="2022" ht="25.5" customHeight="1">
      <c r="A2022" s="59"/>
      <c r="B2022" s="104"/>
      <c r="C2022" s="96"/>
      <c r="D2022" s="105"/>
      <c r="E2022" s="105"/>
      <c r="F2022" s="105"/>
      <c r="G2022" s="106"/>
      <c r="H2022" s="104"/>
      <c r="I2022" s="107"/>
      <c r="J2022" s="107"/>
      <c r="K2022" s="107"/>
      <c r="L2022" s="108"/>
      <c r="M2022" s="107"/>
      <c r="N2022" s="107"/>
      <c r="O2022" s="109"/>
      <c r="P2022" s="59"/>
      <c r="Q2022" s="104"/>
    </row>
    <row r="2023" ht="25.5" customHeight="1">
      <c r="A2023" s="110"/>
      <c r="B2023" s="111"/>
      <c r="C2023" s="96"/>
      <c r="D2023" s="112"/>
      <c r="E2023" s="112"/>
      <c r="F2023" s="112"/>
      <c r="G2023" s="113"/>
      <c r="H2023" s="111"/>
      <c r="I2023" s="103"/>
      <c r="J2023" s="103"/>
      <c r="K2023" s="103"/>
      <c r="L2023" s="108"/>
      <c r="M2023" s="103"/>
      <c r="N2023" s="103"/>
      <c r="O2023" s="114"/>
      <c r="P2023" s="110"/>
      <c r="Q2023" s="111"/>
    </row>
    <row r="2024" ht="25.5" customHeight="1">
      <c r="A2024" s="59"/>
      <c r="B2024" s="104"/>
      <c r="C2024" s="96"/>
      <c r="D2024" s="105"/>
      <c r="E2024" s="105"/>
      <c r="F2024" s="105"/>
      <c r="G2024" s="106"/>
      <c r="H2024" s="104"/>
      <c r="I2024" s="107"/>
      <c r="J2024" s="107"/>
      <c r="K2024" s="107"/>
      <c r="L2024" s="108"/>
      <c r="M2024" s="107"/>
      <c r="N2024" s="107"/>
      <c r="O2024" s="109"/>
      <c r="P2024" s="59"/>
      <c r="Q2024" s="104"/>
    </row>
    <row r="2025" ht="25.5" customHeight="1">
      <c r="A2025" s="110"/>
      <c r="B2025" s="111"/>
      <c r="C2025" s="96"/>
      <c r="D2025" s="112"/>
      <c r="E2025" s="112"/>
      <c r="F2025" s="112"/>
      <c r="G2025" s="113"/>
      <c r="H2025" s="111"/>
      <c r="I2025" s="103"/>
      <c r="J2025" s="103"/>
      <c r="K2025" s="103"/>
      <c r="L2025" s="108"/>
      <c r="M2025" s="103"/>
      <c r="N2025" s="103"/>
      <c r="O2025" s="114"/>
      <c r="P2025" s="110"/>
      <c r="Q2025" s="111"/>
    </row>
    <row r="2026" ht="25.5" customHeight="1">
      <c r="A2026" s="59"/>
      <c r="B2026" s="104"/>
      <c r="C2026" s="96"/>
      <c r="D2026" s="105"/>
      <c r="E2026" s="105"/>
      <c r="F2026" s="105"/>
      <c r="G2026" s="106"/>
      <c r="H2026" s="104"/>
      <c r="I2026" s="107"/>
      <c r="J2026" s="107"/>
      <c r="K2026" s="107"/>
      <c r="L2026" s="108"/>
      <c r="M2026" s="107"/>
      <c r="N2026" s="107"/>
      <c r="O2026" s="109"/>
      <c r="P2026" s="59"/>
      <c r="Q2026" s="104"/>
    </row>
    <row r="2027" ht="25.5" customHeight="1">
      <c r="A2027" s="110"/>
      <c r="B2027" s="111"/>
      <c r="C2027" s="96"/>
      <c r="D2027" s="112"/>
      <c r="E2027" s="112"/>
      <c r="F2027" s="112"/>
      <c r="G2027" s="113"/>
      <c r="H2027" s="111"/>
      <c r="I2027" s="103"/>
      <c r="J2027" s="103"/>
      <c r="K2027" s="103"/>
      <c r="L2027" s="108"/>
      <c r="M2027" s="103"/>
      <c r="N2027" s="103"/>
      <c r="O2027" s="114"/>
      <c r="P2027" s="110"/>
      <c r="Q2027" s="111"/>
    </row>
    <row r="2028" ht="25.5" customHeight="1">
      <c r="A2028" s="59"/>
      <c r="B2028" s="104"/>
      <c r="C2028" s="96"/>
      <c r="D2028" s="105"/>
      <c r="E2028" s="105"/>
      <c r="F2028" s="105"/>
      <c r="G2028" s="106"/>
      <c r="H2028" s="104"/>
      <c r="I2028" s="107"/>
      <c r="J2028" s="107"/>
      <c r="K2028" s="107"/>
      <c r="L2028" s="108"/>
      <c r="M2028" s="107"/>
      <c r="N2028" s="107"/>
      <c r="O2028" s="109"/>
      <c r="P2028" s="59"/>
      <c r="Q2028" s="104"/>
    </row>
    <row r="2029" ht="25.5" customHeight="1">
      <c r="A2029" s="110"/>
      <c r="B2029" s="111"/>
      <c r="C2029" s="96"/>
      <c r="D2029" s="112"/>
      <c r="E2029" s="112"/>
      <c r="F2029" s="112"/>
      <c r="G2029" s="113"/>
      <c r="H2029" s="111"/>
      <c r="I2029" s="103"/>
      <c r="J2029" s="103"/>
      <c r="K2029" s="103"/>
      <c r="L2029" s="108"/>
      <c r="M2029" s="103"/>
      <c r="N2029" s="103"/>
      <c r="O2029" s="114"/>
      <c r="P2029" s="110"/>
      <c r="Q2029" s="111"/>
    </row>
    <row r="2030" ht="25.5" customHeight="1">
      <c r="A2030" s="59"/>
      <c r="B2030" s="104"/>
      <c r="C2030" s="96"/>
      <c r="D2030" s="105"/>
      <c r="E2030" s="105"/>
      <c r="F2030" s="105"/>
      <c r="G2030" s="106"/>
      <c r="H2030" s="104"/>
      <c r="I2030" s="107"/>
      <c r="J2030" s="107"/>
      <c r="K2030" s="107"/>
      <c r="L2030" s="108"/>
      <c r="M2030" s="107"/>
      <c r="N2030" s="107"/>
      <c r="O2030" s="109"/>
      <c r="P2030" s="59"/>
      <c r="Q2030" s="104"/>
    </row>
    <row r="2031" ht="25.5" customHeight="1">
      <c r="A2031" s="110"/>
      <c r="B2031" s="111"/>
      <c r="C2031" s="96"/>
      <c r="D2031" s="112"/>
      <c r="E2031" s="112"/>
      <c r="F2031" s="112"/>
      <c r="G2031" s="113"/>
      <c r="H2031" s="111"/>
      <c r="I2031" s="103"/>
      <c r="J2031" s="103"/>
      <c r="K2031" s="103"/>
      <c r="L2031" s="108"/>
      <c r="M2031" s="103"/>
      <c r="N2031" s="103"/>
      <c r="O2031" s="114"/>
      <c r="P2031" s="110"/>
      <c r="Q2031" s="111"/>
    </row>
    <row r="2032" ht="25.5" customHeight="1">
      <c r="A2032" s="59"/>
      <c r="B2032" s="104"/>
      <c r="C2032" s="96"/>
      <c r="D2032" s="105"/>
      <c r="E2032" s="105"/>
      <c r="F2032" s="105"/>
      <c r="G2032" s="106"/>
      <c r="H2032" s="104"/>
      <c r="I2032" s="107"/>
      <c r="J2032" s="107"/>
      <c r="K2032" s="107"/>
      <c r="L2032" s="108"/>
      <c r="M2032" s="107"/>
      <c r="N2032" s="107"/>
      <c r="O2032" s="109"/>
      <c r="P2032" s="59"/>
      <c r="Q2032" s="104"/>
    </row>
    <row r="2033" ht="25.5" customHeight="1">
      <c r="A2033" s="110"/>
      <c r="B2033" s="111"/>
      <c r="C2033" s="96"/>
      <c r="D2033" s="112"/>
      <c r="E2033" s="112"/>
      <c r="F2033" s="112"/>
      <c r="G2033" s="113"/>
      <c r="H2033" s="111"/>
      <c r="I2033" s="103"/>
      <c r="J2033" s="103"/>
      <c r="K2033" s="103"/>
      <c r="L2033" s="108"/>
      <c r="M2033" s="103"/>
      <c r="N2033" s="103"/>
      <c r="O2033" s="114"/>
      <c r="P2033" s="110"/>
      <c r="Q2033" s="111"/>
    </row>
    <row r="2034" ht="25.5" customHeight="1">
      <c r="A2034" s="59"/>
      <c r="B2034" s="104"/>
      <c r="C2034" s="96"/>
      <c r="D2034" s="105"/>
      <c r="E2034" s="105"/>
      <c r="F2034" s="105"/>
      <c r="G2034" s="106"/>
      <c r="H2034" s="104"/>
      <c r="I2034" s="107"/>
      <c r="J2034" s="107"/>
      <c r="K2034" s="107"/>
      <c r="L2034" s="108"/>
      <c r="M2034" s="107"/>
      <c r="N2034" s="107"/>
      <c r="O2034" s="109"/>
      <c r="P2034" s="59"/>
      <c r="Q2034" s="104"/>
    </row>
    <row r="2035" ht="25.5" customHeight="1">
      <c r="A2035" s="110"/>
      <c r="B2035" s="111"/>
      <c r="C2035" s="96"/>
      <c r="D2035" s="112"/>
      <c r="E2035" s="112"/>
      <c r="F2035" s="112"/>
      <c r="G2035" s="113"/>
      <c r="H2035" s="111"/>
      <c r="I2035" s="103"/>
      <c r="J2035" s="103"/>
      <c r="K2035" s="103"/>
      <c r="L2035" s="108"/>
      <c r="M2035" s="103"/>
      <c r="N2035" s="103"/>
      <c r="O2035" s="114"/>
      <c r="P2035" s="110"/>
      <c r="Q2035" s="111"/>
    </row>
    <row r="2036" ht="25.5" customHeight="1">
      <c r="A2036" s="59"/>
      <c r="B2036" s="104"/>
      <c r="C2036" s="96"/>
      <c r="D2036" s="105"/>
      <c r="E2036" s="105"/>
      <c r="F2036" s="105"/>
      <c r="G2036" s="106"/>
      <c r="H2036" s="104"/>
      <c r="I2036" s="107"/>
      <c r="J2036" s="107"/>
      <c r="K2036" s="107"/>
      <c r="L2036" s="108"/>
      <c r="M2036" s="107"/>
      <c r="N2036" s="107"/>
      <c r="O2036" s="109"/>
      <c r="P2036" s="59"/>
      <c r="Q2036" s="104"/>
    </row>
    <row r="2037" ht="25.5" customHeight="1">
      <c r="A2037" s="110"/>
      <c r="B2037" s="111"/>
      <c r="C2037" s="96"/>
      <c r="D2037" s="112"/>
      <c r="E2037" s="112"/>
      <c r="F2037" s="112"/>
      <c r="G2037" s="113"/>
      <c r="H2037" s="111"/>
      <c r="I2037" s="103"/>
      <c r="J2037" s="103"/>
      <c r="K2037" s="103"/>
      <c r="L2037" s="108"/>
      <c r="M2037" s="103"/>
      <c r="N2037" s="103"/>
      <c r="O2037" s="114"/>
      <c r="P2037" s="110"/>
      <c r="Q2037" s="111"/>
    </row>
    <row r="2038" ht="25.5" customHeight="1">
      <c r="A2038" s="59"/>
      <c r="B2038" s="104"/>
      <c r="C2038" s="96"/>
      <c r="D2038" s="105"/>
      <c r="E2038" s="105"/>
      <c r="F2038" s="105"/>
      <c r="G2038" s="106"/>
      <c r="H2038" s="104"/>
      <c r="I2038" s="107"/>
      <c r="J2038" s="107"/>
      <c r="K2038" s="107"/>
      <c r="L2038" s="108"/>
      <c r="M2038" s="107"/>
      <c r="N2038" s="107"/>
      <c r="O2038" s="109"/>
      <c r="P2038" s="59"/>
      <c r="Q2038" s="104"/>
    </row>
    <row r="2039" ht="25.5" customHeight="1">
      <c r="A2039" s="110"/>
      <c r="B2039" s="111"/>
      <c r="C2039" s="96"/>
      <c r="D2039" s="112"/>
      <c r="E2039" s="112"/>
      <c r="F2039" s="112"/>
      <c r="G2039" s="113"/>
      <c r="H2039" s="111"/>
      <c r="I2039" s="103"/>
      <c r="J2039" s="103"/>
      <c r="K2039" s="103"/>
      <c r="L2039" s="108"/>
      <c r="M2039" s="103"/>
      <c r="N2039" s="103"/>
      <c r="O2039" s="114"/>
      <c r="P2039" s="110"/>
      <c r="Q2039" s="111"/>
    </row>
    <row r="2040" ht="25.5" customHeight="1">
      <c r="A2040" s="59"/>
      <c r="B2040" s="104"/>
      <c r="C2040" s="96"/>
      <c r="D2040" s="105"/>
      <c r="E2040" s="105"/>
      <c r="F2040" s="105"/>
      <c r="G2040" s="106"/>
      <c r="H2040" s="104"/>
      <c r="I2040" s="107"/>
      <c r="J2040" s="107"/>
      <c r="K2040" s="107"/>
      <c r="L2040" s="108"/>
      <c r="M2040" s="107"/>
      <c r="N2040" s="107"/>
      <c r="O2040" s="109"/>
      <c r="P2040" s="59"/>
      <c r="Q2040" s="104"/>
    </row>
    <row r="2041" ht="25.5" customHeight="1">
      <c r="A2041" s="110"/>
      <c r="B2041" s="111"/>
      <c r="C2041" s="96"/>
      <c r="D2041" s="112"/>
      <c r="E2041" s="112"/>
      <c r="F2041" s="112"/>
      <c r="G2041" s="113"/>
      <c r="H2041" s="111"/>
      <c r="I2041" s="103"/>
      <c r="J2041" s="103"/>
      <c r="K2041" s="103"/>
      <c r="L2041" s="108"/>
      <c r="M2041" s="103"/>
      <c r="N2041" s="103"/>
      <c r="O2041" s="114"/>
      <c r="P2041" s="110"/>
      <c r="Q2041" s="111"/>
    </row>
    <row r="2042" ht="25.5" customHeight="1">
      <c r="A2042" s="59"/>
      <c r="B2042" s="104"/>
      <c r="C2042" s="96"/>
      <c r="D2042" s="105"/>
      <c r="E2042" s="105"/>
      <c r="F2042" s="105"/>
      <c r="G2042" s="106"/>
      <c r="H2042" s="104"/>
      <c r="I2042" s="107"/>
      <c r="J2042" s="107"/>
      <c r="K2042" s="107"/>
      <c r="L2042" s="108"/>
      <c r="M2042" s="107"/>
      <c r="N2042" s="107"/>
      <c r="O2042" s="109"/>
      <c r="P2042" s="59"/>
      <c r="Q2042" s="104"/>
    </row>
    <row r="2043" ht="25.5" customHeight="1">
      <c r="A2043" s="110"/>
      <c r="B2043" s="111"/>
      <c r="C2043" s="96"/>
      <c r="D2043" s="112"/>
      <c r="E2043" s="112"/>
      <c r="F2043" s="112"/>
      <c r="G2043" s="113"/>
      <c r="H2043" s="111"/>
      <c r="I2043" s="103"/>
      <c r="J2043" s="103"/>
      <c r="K2043" s="103"/>
      <c r="L2043" s="108"/>
      <c r="M2043" s="103"/>
      <c r="N2043" s="103"/>
      <c r="O2043" s="114"/>
      <c r="P2043" s="110"/>
      <c r="Q2043" s="111"/>
    </row>
    <row r="2044" ht="25.5" customHeight="1">
      <c r="A2044" s="59"/>
      <c r="B2044" s="104"/>
      <c r="C2044" s="96"/>
      <c r="D2044" s="105"/>
      <c r="E2044" s="105"/>
      <c r="F2044" s="105"/>
      <c r="G2044" s="106"/>
      <c r="H2044" s="104"/>
      <c r="I2044" s="107"/>
      <c r="J2044" s="107"/>
      <c r="K2044" s="107"/>
      <c r="L2044" s="108"/>
      <c r="M2044" s="107"/>
      <c r="N2044" s="107"/>
      <c r="O2044" s="109"/>
      <c r="P2044" s="59"/>
      <c r="Q2044" s="104"/>
    </row>
    <row r="2045" ht="25.5" customHeight="1">
      <c r="A2045" s="110"/>
      <c r="B2045" s="111"/>
      <c r="C2045" s="96"/>
      <c r="D2045" s="112"/>
      <c r="E2045" s="112"/>
      <c r="F2045" s="112"/>
      <c r="G2045" s="113"/>
      <c r="H2045" s="111"/>
      <c r="I2045" s="103"/>
      <c r="J2045" s="103"/>
      <c r="K2045" s="103"/>
      <c r="L2045" s="108"/>
      <c r="M2045" s="103"/>
      <c r="N2045" s="103"/>
      <c r="O2045" s="114"/>
      <c r="P2045" s="110"/>
      <c r="Q2045" s="111"/>
    </row>
    <row r="2046" ht="25.5" customHeight="1">
      <c r="A2046" s="59"/>
      <c r="B2046" s="104"/>
      <c r="C2046" s="96"/>
      <c r="D2046" s="105"/>
      <c r="E2046" s="105"/>
      <c r="F2046" s="105"/>
      <c r="G2046" s="106"/>
      <c r="H2046" s="104"/>
      <c r="I2046" s="107"/>
      <c r="J2046" s="107"/>
      <c r="K2046" s="107"/>
      <c r="L2046" s="108"/>
      <c r="M2046" s="107"/>
      <c r="N2046" s="107"/>
      <c r="O2046" s="109"/>
      <c r="P2046" s="59"/>
      <c r="Q2046" s="104"/>
    </row>
    <row r="2047" ht="25.5" customHeight="1">
      <c r="A2047" s="110"/>
      <c r="B2047" s="111"/>
      <c r="C2047" s="96"/>
      <c r="D2047" s="112"/>
      <c r="E2047" s="112"/>
      <c r="F2047" s="112"/>
      <c r="G2047" s="113"/>
      <c r="H2047" s="111"/>
      <c r="I2047" s="103"/>
      <c r="J2047" s="103"/>
      <c r="K2047" s="103"/>
      <c r="L2047" s="108"/>
      <c r="M2047" s="103"/>
      <c r="N2047" s="103"/>
      <c r="O2047" s="114"/>
      <c r="P2047" s="110"/>
      <c r="Q2047" s="111"/>
    </row>
    <row r="2048" ht="25.5" customHeight="1">
      <c r="A2048" s="59"/>
      <c r="B2048" s="104"/>
      <c r="C2048" s="96"/>
      <c r="D2048" s="105"/>
      <c r="E2048" s="105"/>
      <c r="F2048" s="105"/>
      <c r="G2048" s="106"/>
      <c r="H2048" s="104"/>
      <c r="I2048" s="107"/>
      <c r="J2048" s="107"/>
      <c r="K2048" s="107"/>
      <c r="L2048" s="108"/>
      <c r="M2048" s="107"/>
      <c r="N2048" s="107"/>
      <c r="O2048" s="109"/>
      <c r="P2048" s="59"/>
      <c r="Q2048" s="104"/>
    </row>
    <row r="2049" ht="25.5" customHeight="1">
      <c r="A2049" s="110"/>
      <c r="B2049" s="111"/>
      <c r="C2049" s="96"/>
      <c r="D2049" s="112"/>
      <c r="E2049" s="112"/>
      <c r="F2049" s="112"/>
      <c r="G2049" s="113"/>
      <c r="H2049" s="111"/>
      <c r="I2049" s="103"/>
      <c r="J2049" s="103"/>
      <c r="K2049" s="103"/>
      <c r="L2049" s="108"/>
      <c r="M2049" s="103"/>
      <c r="N2049" s="103"/>
      <c r="O2049" s="114"/>
      <c r="P2049" s="110"/>
      <c r="Q2049" s="111"/>
    </row>
    <row r="2050" ht="25.5" customHeight="1">
      <c r="A2050" s="59"/>
      <c r="B2050" s="104"/>
      <c r="C2050" s="96"/>
      <c r="D2050" s="105"/>
      <c r="E2050" s="105"/>
      <c r="F2050" s="105"/>
      <c r="G2050" s="106"/>
      <c r="H2050" s="104"/>
      <c r="I2050" s="107"/>
      <c r="J2050" s="107"/>
      <c r="K2050" s="107"/>
      <c r="L2050" s="108"/>
      <c r="M2050" s="107"/>
      <c r="N2050" s="107"/>
      <c r="O2050" s="109"/>
      <c r="P2050" s="59"/>
      <c r="Q2050" s="104"/>
    </row>
    <row r="2051" ht="25.5" customHeight="1">
      <c r="A2051" s="110"/>
      <c r="B2051" s="111"/>
      <c r="C2051" s="96"/>
      <c r="D2051" s="112"/>
      <c r="E2051" s="112"/>
      <c r="F2051" s="112"/>
      <c r="G2051" s="113"/>
      <c r="H2051" s="111"/>
      <c r="I2051" s="103"/>
      <c r="J2051" s="103"/>
      <c r="K2051" s="103"/>
      <c r="L2051" s="108"/>
      <c r="M2051" s="103"/>
      <c r="N2051" s="103"/>
      <c r="O2051" s="114"/>
      <c r="P2051" s="110"/>
      <c r="Q2051" s="111"/>
    </row>
    <row r="2052" ht="25.5" customHeight="1">
      <c r="A2052" s="59"/>
      <c r="B2052" s="104"/>
      <c r="C2052" s="96"/>
      <c r="D2052" s="105"/>
      <c r="E2052" s="105"/>
      <c r="F2052" s="105"/>
      <c r="G2052" s="106"/>
      <c r="H2052" s="104"/>
      <c r="I2052" s="107"/>
      <c r="J2052" s="107"/>
      <c r="K2052" s="107"/>
      <c r="L2052" s="108"/>
      <c r="M2052" s="107"/>
      <c r="N2052" s="107"/>
      <c r="O2052" s="109"/>
      <c r="P2052" s="59"/>
      <c r="Q2052" s="104"/>
    </row>
    <row r="2053" ht="25.5" customHeight="1">
      <c r="A2053" s="110"/>
      <c r="B2053" s="111"/>
      <c r="C2053" s="96"/>
      <c r="D2053" s="112"/>
      <c r="E2053" s="112"/>
      <c r="F2053" s="112"/>
      <c r="G2053" s="113"/>
      <c r="H2053" s="111"/>
      <c r="I2053" s="103"/>
      <c r="J2053" s="103"/>
      <c r="K2053" s="103"/>
      <c r="L2053" s="108"/>
      <c r="M2053" s="103"/>
      <c r="N2053" s="103"/>
      <c r="O2053" s="114"/>
      <c r="P2053" s="110"/>
      <c r="Q2053" s="111"/>
    </row>
    <row r="2054" ht="25.5" customHeight="1">
      <c r="A2054" s="59"/>
      <c r="B2054" s="104"/>
      <c r="C2054" s="96"/>
      <c r="D2054" s="105"/>
      <c r="E2054" s="105"/>
      <c r="F2054" s="105"/>
      <c r="G2054" s="106"/>
      <c r="H2054" s="104"/>
      <c r="I2054" s="107"/>
      <c r="J2054" s="107"/>
      <c r="K2054" s="107"/>
      <c r="L2054" s="108"/>
      <c r="M2054" s="107"/>
      <c r="N2054" s="107"/>
      <c r="O2054" s="109"/>
      <c r="P2054" s="59"/>
      <c r="Q2054" s="104"/>
    </row>
    <row r="2055" ht="25.5" customHeight="1">
      <c r="A2055" s="110"/>
      <c r="B2055" s="111"/>
      <c r="C2055" s="96"/>
      <c r="D2055" s="112"/>
      <c r="E2055" s="112"/>
      <c r="F2055" s="112"/>
      <c r="G2055" s="113"/>
      <c r="H2055" s="111"/>
      <c r="I2055" s="103"/>
      <c r="J2055" s="103"/>
      <c r="K2055" s="103"/>
      <c r="L2055" s="108"/>
      <c r="M2055" s="103"/>
      <c r="N2055" s="103"/>
      <c r="O2055" s="114"/>
      <c r="P2055" s="110"/>
      <c r="Q2055" s="111"/>
    </row>
    <row r="2056" ht="25.5" customHeight="1">
      <c r="A2056" s="59"/>
      <c r="B2056" s="104"/>
      <c r="C2056" s="96"/>
      <c r="D2056" s="105"/>
      <c r="E2056" s="105"/>
      <c r="F2056" s="105"/>
      <c r="G2056" s="106"/>
      <c r="H2056" s="104"/>
      <c r="I2056" s="107"/>
      <c r="J2056" s="107"/>
      <c r="K2056" s="107"/>
      <c r="L2056" s="108"/>
      <c r="M2056" s="107"/>
      <c r="N2056" s="107"/>
      <c r="O2056" s="109"/>
      <c r="P2056" s="59"/>
      <c r="Q2056" s="104"/>
    </row>
    <row r="2057" ht="25.5" customHeight="1">
      <c r="A2057" s="110"/>
      <c r="B2057" s="111"/>
      <c r="C2057" s="96"/>
      <c r="D2057" s="112"/>
      <c r="E2057" s="112"/>
      <c r="F2057" s="112"/>
      <c r="G2057" s="113"/>
      <c r="H2057" s="111"/>
      <c r="I2057" s="103"/>
      <c r="J2057" s="103"/>
      <c r="K2057" s="103"/>
      <c r="L2057" s="108"/>
      <c r="M2057" s="103"/>
      <c r="N2057" s="103"/>
      <c r="O2057" s="114"/>
      <c r="P2057" s="110"/>
      <c r="Q2057" s="111"/>
    </row>
    <row r="2058" ht="25.5" customHeight="1">
      <c r="A2058" s="59"/>
      <c r="B2058" s="104"/>
      <c r="C2058" s="96"/>
      <c r="D2058" s="105"/>
      <c r="E2058" s="105"/>
      <c r="F2058" s="105"/>
      <c r="G2058" s="106"/>
      <c r="H2058" s="104"/>
      <c r="I2058" s="107"/>
      <c r="J2058" s="107"/>
      <c r="K2058" s="107"/>
      <c r="L2058" s="108"/>
      <c r="M2058" s="107"/>
      <c r="N2058" s="107"/>
      <c r="O2058" s="109"/>
      <c r="P2058" s="59"/>
      <c r="Q2058" s="104"/>
    </row>
    <row r="2059" ht="25.5" customHeight="1">
      <c r="A2059" s="110"/>
      <c r="B2059" s="111"/>
      <c r="C2059" s="96"/>
      <c r="D2059" s="112"/>
      <c r="E2059" s="112"/>
      <c r="F2059" s="112"/>
      <c r="G2059" s="113"/>
      <c r="H2059" s="111"/>
      <c r="I2059" s="103"/>
      <c r="J2059" s="103"/>
      <c r="K2059" s="103"/>
      <c r="L2059" s="108"/>
      <c r="M2059" s="103"/>
      <c r="N2059" s="103"/>
      <c r="O2059" s="114"/>
      <c r="P2059" s="110"/>
      <c r="Q2059" s="111"/>
    </row>
    <row r="2060" ht="25.5" customHeight="1">
      <c r="A2060" s="59"/>
      <c r="B2060" s="104"/>
      <c r="C2060" s="96"/>
      <c r="D2060" s="105"/>
      <c r="E2060" s="105"/>
      <c r="F2060" s="105"/>
      <c r="G2060" s="106"/>
      <c r="H2060" s="104"/>
      <c r="I2060" s="107"/>
      <c r="J2060" s="107"/>
      <c r="K2060" s="107"/>
      <c r="L2060" s="108"/>
      <c r="M2060" s="107"/>
      <c r="N2060" s="107"/>
      <c r="O2060" s="109"/>
      <c r="P2060" s="59"/>
      <c r="Q2060" s="104"/>
    </row>
    <row r="2061" ht="25.5" customHeight="1">
      <c r="A2061" s="110"/>
      <c r="B2061" s="111"/>
      <c r="C2061" s="96"/>
      <c r="D2061" s="112"/>
      <c r="E2061" s="112"/>
      <c r="F2061" s="112"/>
      <c r="G2061" s="113"/>
      <c r="H2061" s="111"/>
      <c r="I2061" s="103"/>
      <c r="J2061" s="103"/>
      <c r="K2061" s="103"/>
      <c r="L2061" s="108"/>
      <c r="M2061" s="103"/>
      <c r="N2061" s="103"/>
      <c r="O2061" s="114"/>
      <c r="P2061" s="110"/>
      <c r="Q2061" s="111"/>
    </row>
    <row r="2062" ht="25.5" customHeight="1">
      <c r="A2062" s="59"/>
      <c r="B2062" s="104"/>
      <c r="C2062" s="96"/>
      <c r="D2062" s="105"/>
      <c r="E2062" s="105"/>
      <c r="F2062" s="105"/>
      <c r="G2062" s="106"/>
      <c r="H2062" s="104"/>
      <c r="I2062" s="107"/>
      <c r="J2062" s="107"/>
      <c r="K2062" s="107"/>
      <c r="L2062" s="108"/>
      <c r="M2062" s="107"/>
      <c r="N2062" s="107"/>
      <c r="O2062" s="109"/>
      <c r="P2062" s="59"/>
      <c r="Q2062" s="104"/>
    </row>
    <row r="2063" ht="25.5" customHeight="1">
      <c r="A2063" s="110"/>
      <c r="B2063" s="111"/>
      <c r="C2063" s="96"/>
      <c r="D2063" s="112"/>
      <c r="E2063" s="112"/>
      <c r="F2063" s="112"/>
      <c r="G2063" s="113"/>
      <c r="H2063" s="111"/>
      <c r="I2063" s="103"/>
      <c r="J2063" s="103"/>
      <c r="K2063" s="103"/>
      <c r="L2063" s="108"/>
      <c r="M2063" s="103"/>
      <c r="N2063" s="103"/>
      <c r="O2063" s="114"/>
      <c r="P2063" s="110"/>
      <c r="Q2063" s="111"/>
    </row>
    <row r="2064" ht="25.5" customHeight="1">
      <c r="A2064" s="59"/>
      <c r="B2064" s="104"/>
      <c r="C2064" s="96"/>
      <c r="D2064" s="105"/>
      <c r="E2064" s="105"/>
      <c r="F2064" s="105"/>
      <c r="G2064" s="106"/>
      <c r="H2064" s="104"/>
      <c r="I2064" s="107"/>
      <c r="J2064" s="107"/>
      <c r="K2064" s="107"/>
      <c r="L2064" s="108"/>
      <c r="M2064" s="107"/>
      <c r="N2064" s="107"/>
      <c r="O2064" s="109"/>
      <c r="P2064" s="59"/>
      <c r="Q2064" s="104"/>
    </row>
    <row r="2065" ht="25.5" customHeight="1">
      <c r="A2065" s="110"/>
      <c r="B2065" s="111"/>
      <c r="C2065" s="96"/>
      <c r="D2065" s="112"/>
      <c r="E2065" s="112"/>
      <c r="F2065" s="112"/>
      <c r="G2065" s="113"/>
      <c r="H2065" s="111"/>
      <c r="I2065" s="103"/>
      <c r="J2065" s="103"/>
      <c r="K2065" s="103"/>
      <c r="L2065" s="108"/>
      <c r="M2065" s="103"/>
      <c r="N2065" s="103"/>
      <c r="O2065" s="114"/>
      <c r="P2065" s="110"/>
      <c r="Q2065" s="111"/>
    </row>
    <row r="2066" ht="25.5" customHeight="1">
      <c r="A2066" s="59"/>
      <c r="B2066" s="104"/>
      <c r="C2066" s="96"/>
      <c r="D2066" s="105"/>
      <c r="E2066" s="105"/>
      <c r="F2066" s="105"/>
      <c r="G2066" s="106"/>
      <c r="H2066" s="104"/>
      <c r="I2066" s="107"/>
      <c r="J2066" s="107"/>
      <c r="K2066" s="107"/>
      <c r="L2066" s="108"/>
      <c r="M2066" s="107"/>
      <c r="N2066" s="107"/>
      <c r="O2066" s="109"/>
      <c r="P2066" s="59"/>
      <c r="Q2066" s="104"/>
    </row>
    <row r="2067" ht="25.5" customHeight="1">
      <c r="A2067" s="110"/>
      <c r="B2067" s="111"/>
      <c r="C2067" s="96"/>
      <c r="D2067" s="112"/>
      <c r="E2067" s="112"/>
      <c r="F2067" s="112"/>
      <c r="G2067" s="113"/>
      <c r="H2067" s="111"/>
      <c r="I2067" s="103"/>
      <c r="J2067" s="103"/>
      <c r="K2067" s="103"/>
      <c r="L2067" s="108"/>
      <c r="M2067" s="103"/>
      <c r="N2067" s="103"/>
      <c r="O2067" s="114"/>
      <c r="P2067" s="110"/>
      <c r="Q2067" s="111"/>
    </row>
    <row r="2068" ht="25.5" customHeight="1">
      <c r="A2068" s="59"/>
      <c r="B2068" s="104"/>
      <c r="C2068" s="96"/>
      <c r="D2068" s="105"/>
      <c r="E2068" s="105"/>
      <c r="F2068" s="105"/>
      <c r="G2068" s="106"/>
      <c r="H2068" s="104"/>
      <c r="I2068" s="107"/>
      <c r="J2068" s="107"/>
      <c r="K2068" s="107"/>
      <c r="L2068" s="108"/>
      <c r="M2068" s="107"/>
      <c r="N2068" s="107"/>
      <c r="O2068" s="109"/>
      <c r="P2068" s="59"/>
      <c r="Q2068" s="104"/>
    </row>
    <row r="2069" ht="25.5" customHeight="1">
      <c r="A2069" s="110"/>
      <c r="B2069" s="111"/>
      <c r="C2069" s="96"/>
      <c r="D2069" s="112"/>
      <c r="E2069" s="112"/>
      <c r="F2069" s="112"/>
      <c r="G2069" s="113"/>
      <c r="H2069" s="111"/>
      <c r="I2069" s="103"/>
      <c r="J2069" s="103"/>
      <c r="K2069" s="103"/>
      <c r="L2069" s="108"/>
      <c r="M2069" s="103"/>
      <c r="N2069" s="103"/>
      <c r="O2069" s="114"/>
      <c r="P2069" s="110"/>
      <c r="Q2069" s="111"/>
    </row>
    <row r="2070" ht="25.5" customHeight="1">
      <c r="A2070" s="59"/>
      <c r="B2070" s="104"/>
      <c r="C2070" s="96"/>
      <c r="D2070" s="105"/>
      <c r="E2070" s="105"/>
      <c r="F2070" s="105"/>
      <c r="G2070" s="106"/>
      <c r="H2070" s="104"/>
      <c r="I2070" s="107"/>
      <c r="J2070" s="107"/>
      <c r="K2070" s="107"/>
      <c r="L2070" s="108"/>
      <c r="M2070" s="107"/>
      <c r="N2070" s="107"/>
      <c r="O2070" s="109"/>
      <c r="P2070" s="59"/>
      <c r="Q2070" s="104"/>
    </row>
    <row r="2071" ht="25.5" customHeight="1">
      <c r="A2071" s="110"/>
      <c r="B2071" s="111"/>
      <c r="C2071" s="96"/>
      <c r="D2071" s="112"/>
      <c r="E2071" s="112"/>
      <c r="F2071" s="112"/>
      <c r="G2071" s="113"/>
      <c r="H2071" s="111"/>
      <c r="I2071" s="103"/>
      <c r="J2071" s="103"/>
      <c r="K2071" s="103"/>
      <c r="L2071" s="108"/>
      <c r="M2071" s="103"/>
      <c r="N2071" s="103"/>
      <c r="O2071" s="114"/>
      <c r="P2071" s="110"/>
      <c r="Q2071" s="111"/>
    </row>
    <row r="2072" ht="25.5" customHeight="1">
      <c r="A2072" s="59"/>
      <c r="B2072" s="104"/>
      <c r="C2072" s="96"/>
      <c r="D2072" s="105"/>
      <c r="E2072" s="105"/>
      <c r="F2072" s="105"/>
      <c r="G2072" s="106"/>
      <c r="H2072" s="104"/>
      <c r="I2072" s="107"/>
      <c r="J2072" s="107"/>
      <c r="K2072" s="107"/>
      <c r="L2072" s="108"/>
      <c r="M2072" s="107"/>
      <c r="N2072" s="107"/>
      <c r="O2072" s="109"/>
      <c r="P2072" s="59"/>
      <c r="Q2072" s="104"/>
    </row>
    <row r="2073" ht="25.5" customHeight="1">
      <c r="A2073" s="110"/>
      <c r="B2073" s="111"/>
      <c r="C2073" s="96"/>
      <c r="D2073" s="112"/>
      <c r="E2073" s="112"/>
      <c r="F2073" s="112"/>
      <c r="G2073" s="113"/>
      <c r="H2073" s="111"/>
      <c r="I2073" s="103"/>
      <c r="J2073" s="103"/>
      <c r="K2073" s="103"/>
      <c r="L2073" s="108"/>
      <c r="M2073" s="103"/>
      <c r="N2073" s="103"/>
      <c r="O2073" s="114"/>
      <c r="P2073" s="110"/>
      <c r="Q2073" s="111"/>
    </row>
    <row r="2074" ht="25.5" customHeight="1">
      <c r="A2074" s="59"/>
      <c r="B2074" s="104"/>
      <c r="C2074" s="96"/>
      <c r="D2074" s="105"/>
      <c r="E2074" s="105"/>
      <c r="F2074" s="105"/>
      <c r="G2074" s="106"/>
      <c r="H2074" s="104"/>
      <c r="I2074" s="107"/>
      <c r="J2074" s="107"/>
      <c r="K2074" s="107"/>
      <c r="L2074" s="108"/>
      <c r="M2074" s="107"/>
      <c r="N2074" s="107"/>
      <c r="O2074" s="109"/>
      <c r="P2074" s="59"/>
      <c r="Q2074" s="104"/>
    </row>
    <row r="2075" ht="25.5" customHeight="1">
      <c r="A2075" s="110"/>
      <c r="B2075" s="111"/>
      <c r="C2075" s="96"/>
      <c r="D2075" s="112"/>
      <c r="E2075" s="112"/>
      <c r="F2075" s="112"/>
      <c r="G2075" s="113"/>
      <c r="H2075" s="111"/>
      <c r="I2075" s="103"/>
      <c r="J2075" s="103"/>
      <c r="K2075" s="103"/>
      <c r="L2075" s="108"/>
      <c r="M2075" s="103"/>
      <c r="N2075" s="103"/>
      <c r="O2075" s="114"/>
      <c r="P2075" s="110"/>
      <c r="Q2075" s="111"/>
    </row>
    <row r="2076" ht="25.5" customHeight="1">
      <c r="A2076" s="59"/>
      <c r="B2076" s="104"/>
      <c r="C2076" s="96"/>
      <c r="D2076" s="105"/>
      <c r="E2076" s="105"/>
      <c r="F2076" s="105"/>
      <c r="G2076" s="106"/>
      <c r="H2076" s="104"/>
      <c r="I2076" s="107"/>
      <c r="J2076" s="107"/>
      <c r="K2076" s="107"/>
      <c r="L2076" s="108"/>
      <c r="M2076" s="107"/>
      <c r="N2076" s="107"/>
      <c r="O2076" s="109"/>
      <c r="P2076" s="59"/>
      <c r="Q2076" s="104"/>
    </row>
    <row r="2077" ht="25.5" customHeight="1">
      <c r="A2077" s="110"/>
      <c r="B2077" s="111"/>
      <c r="C2077" s="96"/>
      <c r="D2077" s="112"/>
      <c r="E2077" s="112"/>
      <c r="F2077" s="112"/>
      <c r="G2077" s="113"/>
      <c r="H2077" s="111"/>
      <c r="I2077" s="103"/>
      <c r="J2077" s="103"/>
      <c r="K2077" s="103"/>
      <c r="L2077" s="108"/>
      <c r="M2077" s="103"/>
      <c r="N2077" s="103"/>
      <c r="O2077" s="114"/>
      <c r="P2077" s="110"/>
      <c r="Q2077" s="111"/>
    </row>
    <row r="2078" ht="25.5" customHeight="1">
      <c r="A2078" s="59"/>
      <c r="B2078" s="104"/>
      <c r="C2078" s="96"/>
      <c r="D2078" s="105"/>
      <c r="E2078" s="105"/>
      <c r="F2078" s="105"/>
      <c r="G2078" s="106"/>
      <c r="H2078" s="104"/>
      <c r="I2078" s="107"/>
      <c r="J2078" s="107"/>
      <c r="K2078" s="107"/>
      <c r="L2078" s="108"/>
      <c r="M2078" s="107"/>
      <c r="N2078" s="107"/>
      <c r="O2078" s="109"/>
      <c r="P2078" s="59"/>
      <c r="Q2078" s="104"/>
    </row>
    <row r="2079" ht="25.5" customHeight="1">
      <c r="A2079" s="110"/>
      <c r="B2079" s="111"/>
      <c r="C2079" s="96"/>
      <c r="D2079" s="112"/>
      <c r="E2079" s="112"/>
      <c r="F2079" s="112"/>
      <c r="G2079" s="113"/>
      <c r="H2079" s="111"/>
      <c r="I2079" s="103"/>
      <c r="J2079" s="103"/>
      <c r="K2079" s="103"/>
      <c r="L2079" s="108"/>
      <c r="M2079" s="103"/>
      <c r="N2079" s="103"/>
      <c r="O2079" s="114"/>
      <c r="P2079" s="110"/>
      <c r="Q2079" s="111"/>
    </row>
    <row r="2080" ht="25.5" customHeight="1">
      <c r="A2080" s="59"/>
      <c r="B2080" s="104"/>
      <c r="C2080" s="96"/>
      <c r="D2080" s="105"/>
      <c r="E2080" s="105"/>
      <c r="F2080" s="105"/>
      <c r="G2080" s="106"/>
      <c r="H2080" s="104"/>
      <c r="I2080" s="107"/>
      <c r="J2080" s="107"/>
      <c r="K2080" s="107"/>
      <c r="L2080" s="108"/>
      <c r="M2080" s="107"/>
      <c r="N2080" s="107"/>
      <c r="O2080" s="109"/>
      <c r="P2080" s="59"/>
      <c r="Q2080" s="104"/>
    </row>
    <row r="2081" ht="25.5" customHeight="1">
      <c r="A2081" s="110"/>
      <c r="B2081" s="111"/>
      <c r="C2081" s="96"/>
      <c r="D2081" s="112"/>
      <c r="E2081" s="112"/>
      <c r="F2081" s="112"/>
      <c r="G2081" s="113"/>
      <c r="H2081" s="111"/>
      <c r="I2081" s="103"/>
      <c r="J2081" s="103"/>
      <c r="K2081" s="103"/>
      <c r="L2081" s="108"/>
      <c r="M2081" s="103"/>
      <c r="N2081" s="103"/>
      <c r="O2081" s="114"/>
      <c r="P2081" s="110"/>
      <c r="Q2081" s="111"/>
    </row>
    <row r="2082" ht="25.5" customHeight="1">
      <c r="A2082" s="59"/>
      <c r="B2082" s="104"/>
      <c r="C2082" s="96"/>
      <c r="D2082" s="105"/>
      <c r="E2082" s="105"/>
      <c r="F2082" s="105"/>
      <c r="G2082" s="106"/>
      <c r="H2082" s="104"/>
      <c r="I2082" s="107"/>
      <c r="J2082" s="107"/>
      <c r="K2082" s="107"/>
      <c r="L2082" s="108"/>
      <c r="M2082" s="107"/>
      <c r="N2082" s="107"/>
      <c r="O2082" s="109"/>
      <c r="P2082" s="59"/>
      <c r="Q2082" s="104"/>
    </row>
    <row r="2083" ht="25.5" customHeight="1">
      <c r="A2083" s="110"/>
      <c r="B2083" s="111"/>
      <c r="C2083" s="96"/>
      <c r="D2083" s="112"/>
      <c r="E2083" s="112"/>
      <c r="F2083" s="112"/>
      <c r="G2083" s="113"/>
      <c r="H2083" s="111"/>
      <c r="I2083" s="103"/>
      <c r="J2083" s="103"/>
      <c r="K2083" s="103"/>
      <c r="L2083" s="108"/>
      <c r="M2083" s="103"/>
      <c r="N2083" s="103"/>
      <c r="O2083" s="114"/>
      <c r="P2083" s="110"/>
      <c r="Q2083" s="111"/>
    </row>
    <row r="2084" ht="25.5" customHeight="1">
      <c r="A2084" s="59"/>
      <c r="B2084" s="104"/>
      <c r="C2084" s="96"/>
      <c r="D2084" s="105"/>
      <c r="E2084" s="105"/>
      <c r="F2084" s="105"/>
      <c r="G2084" s="106"/>
      <c r="H2084" s="104"/>
      <c r="I2084" s="107"/>
      <c r="J2084" s="107"/>
      <c r="K2084" s="107"/>
      <c r="L2084" s="108"/>
      <c r="M2084" s="107"/>
      <c r="N2084" s="107"/>
      <c r="O2084" s="109"/>
      <c r="P2084" s="59"/>
      <c r="Q2084" s="104"/>
    </row>
    <row r="2085" ht="25.5" customHeight="1">
      <c r="A2085" s="110"/>
      <c r="B2085" s="111"/>
      <c r="C2085" s="96"/>
      <c r="D2085" s="112"/>
      <c r="E2085" s="112"/>
      <c r="F2085" s="112"/>
      <c r="G2085" s="113"/>
      <c r="H2085" s="111"/>
      <c r="I2085" s="103"/>
      <c r="J2085" s="103"/>
      <c r="K2085" s="103"/>
      <c r="L2085" s="108"/>
      <c r="M2085" s="103"/>
      <c r="N2085" s="103"/>
      <c r="O2085" s="114"/>
      <c r="P2085" s="110"/>
      <c r="Q2085" s="111"/>
    </row>
    <row r="2086" ht="25.5" customHeight="1">
      <c r="A2086" s="59"/>
      <c r="B2086" s="104"/>
      <c r="C2086" s="96"/>
      <c r="D2086" s="105"/>
      <c r="E2086" s="105"/>
      <c r="F2086" s="105"/>
      <c r="G2086" s="106"/>
      <c r="H2086" s="104"/>
      <c r="I2086" s="107"/>
      <c r="J2086" s="107"/>
      <c r="K2086" s="107"/>
      <c r="L2086" s="108"/>
      <c r="M2086" s="107"/>
      <c r="N2086" s="107"/>
      <c r="O2086" s="109"/>
      <c r="P2086" s="59"/>
      <c r="Q2086" s="104"/>
    </row>
    <row r="2087" ht="25.5" customHeight="1">
      <c r="A2087" s="110"/>
      <c r="B2087" s="111"/>
      <c r="C2087" s="96"/>
      <c r="D2087" s="112"/>
      <c r="E2087" s="112"/>
      <c r="F2087" s="112"/>
      <c r="G2087" s="113"/>
      <c r="H2087" s="111"/>
      <c r="I2087" s="103"/>
      <c r="J2087" s="103"/>
      <c r="K2087" s="103"/>
      <c r="L2087" s="108"/>
      <c r="M2087" s="103"/>
      <c r="N2087" s="103"/>
      <c r="O2087" s="114"/>
      <c r="P2087" s="110"/>
      <c r="Q2087" s="111"/>
    </row>
    <row r="2088" ht="25.5" customHeight="1">
      <c r="A2088" s="59"/>
      <c r="B2088" s="104"/>
      <c r="C2088" s="96"/>
      <c r="D2088" s="105"/>
      <c r="E2088" s="105"/>
      <c r="F2088" s="105"/>
      <c r="G2088" s="106"/>
      <c r="H2088" s="104"/>
      <c r="I2088" s="107"/>
      <c r="J2088" s="107"/>
      <c r="K2088" s="107"/>
      <c r="L2088" s="108"/>
      <c r="M2088" s="107"/>
      <c r="N2088" s="107"/>
      <c r="O2088" s="109"/>
      <c r="P2088" s="59"/>
      <c r="Q2088" s="104"/>
    </row>
    <row r="2089" ht="25.5" customHeight="1">
      <c r="A2089" s="110"/>
      <c r="B2089" s="111"/>
      <c r="C2089" s="96"/>
      <c r="D2089" s="112"/>
      <c r="E2089" s="112"/>
      <c r="F2089" s="112"/>
      <c r="G2089" s="113"/>
      <c r="H2089" s="111"/>
      <c r="I2089" s="103"/>
      <c r="J2089" s="103"/>
      <c r="K2089" s="103"/>
      <c r="L2089" s="108"/>
      <c r="M2089" s="103"/>
      <c r="N2089" s="103"/>
      <c r="O2089" s="114"/>
      <c r="P2089" s="110"/>
      <c r="Q2089" s="111"/>
    </row>
    <row r="2090" ht="25.5" customHeight="1">
      <c r="A2090" s="59"/>
      <c r="B2090" s="104"/>
      <c r="C2090" s="96"/>
      <c r="D2090" s="105"/>
      <c r="E2090" s="105"/>
      <c r="F2090" s="105"/>
      <c r="G2090" s="106"/>
      <c r="H2090" s="104"/>
      <c r="I2090" s="107"/>
      <c r="J2090" s="107"/>
      <c r="K2090" s="107"/>
      <c r="L2090" s="108"/>
      <c r="M2090" s="107"/>
      <c r="N2090" s="107"/>
      <c r="O2090" s="109"/>
      <c r="P2090" s="59"/>
      <c r="Q2090" s="104"/>
    </row>
    <row r="2091" ht="25.5" customHeight="1">
      <c r="A2091" s="110"/>
      <c r="B2091" s="111"/>
      <c r="C2091" s="96"/>
      <c r="D2091" s="112"/>
      <c r="E2091" s="112"/>
      <c r="F2091" s="112"/>
      <c r="G2091" s="113"/>
      <c r="H2091" s="111"/>
      <c r="I2091" s="103"/>
      <c r="J2091" s="103"/>
      <c r="K2091" s="103"/>
      <c r="L2091" s="108"/>
      <c r="M2091" s="103"/>
      <c r="N2091" s="103"/>
      <c r="O2091" s="114"/>
      <c r="P2091" s="110"/>
      <c r="Q2091" s="111"/>
    </row>
    <row r="2092" ht="25.5" customHeight="1">
      <c r="A2092" s="59"/>
      <c r="B2092" s="104"/>
      <c r="C2092" s="96"/>
      <c r="D2092" s="105"/>
      <c r="E2092" s="105"/>
      <c r="F2092" s="105"/>
      <c r="G2092" s="106"/>
      <c r="H2092" s="104"/>
      <c r="I2092" s="107"/>
      <c r="J2092" s="107"/>
      <c r="K2092" s="107"/>
      <c r="L2092" s="108"/>
      <c r="M2092" s="107"/>
      <c r="N2092" s="107"/>
      <c r="O2092" s="109"/>
      <c r="P2092" s="59"/>
      <c r="Q2092" s="104"/>
    </row>
    <row r="2093" ht="25.5" customHeight="1">
      <c r="A2093" s="110"/>
      <c r="B2093" s="111"/>
      <c r="C2093" s="96"/>
      <c r="D2093" s="112"/>
      <c r="E2093" s="112"/>
      <c r="F2093" s="112"/>
      <c r="G2093" s="113"/>
      <c r="H2093" s="111"/>
      <c r="I2093" s="103"/>
      <c r="J2093" s="103"/>
      <c r="K2093" s="103"/>
      <c r="L2093" s="108"/>
      <c r="M2093" s="103"/>
      <c r="N2093" s="103"/>
      <c r="O2093" s="114"/>
      <c r="P2093" s="110"/>
      <c r="Q2093" s="111"/>
    </row>
    <row r="2094" ht="25.5" customHeight="1">
      <c r="A2094" s="59"/>
      <c r="B2094" s="104"/>
      <c r="C2094" s="96"/>
      <c r="D2094" s="105"/>
      <c r="E2094" s="105"/>
      <c r="F2094" s="105"/>
      <c r="G2094" s="106"/>
      <c r="H2094" s="104"/>
      <c r="I2094" s="107"/>
      <c r="J2094" s="107"/>
      <c r="K2094" s="107"/>
      <c r="L2094" s="108"/>
      <c r="M2094" s="107"/>
      <c r="N2094" s="107"/>
      <c r="O2094" s="109"/>
      <c r="P2094" s="59"/>
      <c r="Q2094" s="104"/>
    </row>
    <row r="2095" ht="25.5" customHeight="1">
      <c r="A2095" s="110"/>
      <c r="B2095" s="111"/>
      <c r="C2095" s="96"/>
      <c r="D2095" s="112"/>
      <c r="E2095" s="112"/>
      <c r="F2095" s="112"/>
      <c r="G2095" s="113"/>
      <c r="H2095" s="111"/>
      <c r="I2095" s="103"/>
      <c r="J2095" s="103"/>
      <c r="K2095" s="103"/>
      <c r="L2095" s="108"/>
      <c r="M2095" s="103"/>
      <c r="N2095" s="103"/>
      <c r="O2095" s="114"/>
      <c r="P2095" s="110"/>
      <c r="Q2095" s="111"/>
    </row>
    <row r="2096" ht="25.5" customHeight="1">
      <c r="A2096" s="59"/>
      <c r="B2096" s="104"/>
      <c r="C2096" s="96"/>
      <c r="D2096" s="105"/>
      <c r="E2096" s="105"/>
      <c r="F2096" s="105"/>
      <c r="G2096" s="106"/>
      <c r="H2096" s="104"/>
      <c r="I2096" s="107"/>
      <c r="J2096" s="107"/>
      <c r="K2096" s="107"/>
      <c r="L2096" s="108"/>
      <c r="M2096" s="107"/>
      <c r="N2096" s="107"/>
      <c r="O2096" s="109"/>
      <c r="P2096" s="59"/>
      <c r="Q2096" s="104"/>
    </row>
    <row r="2097" ht="25.5" customHeight="1">
      <c r="A2097" s="110"/>
      <c r="B2097" s="111"/>
      <c r="C2097" s="96"/>
      <c r="D2097" s="112"/>
      <c r="E2097" s="112"/>
      <c r="F2097" s="112"/>
      <c r="G2097" s="113"/>
      <c r="H2097" s="111"/>
      <c r="I2097" s="103"/>
      <c r="J2097" s="103"/>
      <c r="K2097" s="103"/>
      <c r="L2097" s="108"/>
      <c r="M2097" s="103"/>
      <c r="N2097" s="103"/>
      <c r="O2097" s="114"/>
      <c r="P2097" s="110"/>
      <c r="Q2097" s="111"/>
    </row>
    <row r="2098" ht="25.5" customHeight="1">
      <c r="A2098" s="59"/>
      <c r="B2098" s="104"/>
      <c r="C2098" s="96"/>
      <c r="D2098" s="105"/>
      <c r="E2098" s="105"/>
      <c r="F2098" s="105"/>
      <c r="G2098" s="106"/>
      <c r="H2098" s="104"/>
      <c r="I2098" s="107"/>
      <c r="J2098" s="107"/>
      <c r="K2098" s="107"/>
      <c r="L2098" s="108"/>
      <c r="M2098" s="107"/>
      <c r="N2098" s="107"/>
      <c r="O2098" s="109"/>
      <c r="P2098" s="59"/>
      <c r="Q2098" s="104"/>
    </row>
    <row r="2099" ht="25.5" customHeight="1">
      <c r="A2099" s="110"/>
      <c r="B2099" s="111"/>
      <c r="C2099" s="96"/>
      <c r="D2099" s="112"/>
      <c r="E2099" s="112"/>
      <c r="F2099" s="112"/>
      <c r="G2099" s="113"/>
      <c r="H2099" s="111"/>
      <c r="I2099" s="103"/>
      <c r="J2099" s="103"/>
      <c r="K2099" s="103"/>
      <c r="L2099" s="108"/>
      <c r="M2099" s="103"/>
      <c r="N2099" s="103"/>
      <c r="O2099" s="114"/>
      <c r="P2099" s="110"/>
      <c r="Q2099" s="111"/>
    </row>
    <row r="2100" ht="25.5" customHeight="1">
      <c r="A2100" s="59"/>
      <c r="B2100" s="104"/>
      <c r="C2100" s="96"/>
      <c r="D2100" s="105"/>
      <c r="E2100" s="105"/>
      <c r="F2100" s="105"/>
      <c r="G2100" s="106"/>
      <c r="H2100" s="104"/>
      <c r="I2100" s="107"/>
      <c r="J2100" s="107"/>
      <c r="K2100" s="107"/>
      <c r="L2100" s="108"/>
      <c r="M2100" s="107"/>
      <c r="N2100" s="107"/>
      <c r="O2100" s="109"/>
      <c r="P2100" s="59"/>
      <c r="Q2100" s="104"/>
    </row>
    <row r="2101" ht="25.5" customHeight="1">
      <c r="A2101" s="110"/>
      <c r="B2101" s="111"/>
      <c r="C2101" s="96"/>
      <c r="D2101" s="112"/>
      <c r="E2101" s="112"/>
      <c r="F2101" s="112"/>
      <c r="G2101" s="113"/>
      <c r="H2101" s="111"/>
      <c r="I2101" s="103"/>
      <c r="J2101" s="103"/>
      <c r="K2101" s="103"/>
      <c r="L2101" s="108"/>
      <c r="M2101" s="103"/>
      <c r="N2101" s="103"/>
      <c r="O2101" s="114"/>
      <c r="P2101" s="110"/>
      <c r="Q2101" s="111"/>
    </row>
    <row r="2102" ht="25.5" customHeight="1">
      <c r="A2102" s="59"/>
      <c r="B2102" s="104"/>
      <c r="C2102" s="96"/>
      <c r="D2102" s="105"/>
      <c r="E2102" s="105"/>
      <c r="F2102" s="105"/>
      <c r="G2102" s="106"/>
      <c r="H2102" s="104"/>
      <c r="I2102" s="107"/>
      <c r="J2102" s="107"/>
      <c r="K2102" s="107"/>
      <c r="L2102" s="108"/>
      <c r="M2102" s="107"/>
      <c r="N2102" s="107"/>
      <c r="O2102" s="109"/>
      <c r="P2102" s="59"/>
      <c r="Q2102" s="104"/>
    </row>
    <row r="2103" ht="25.5" customHeight="1">
      <c r="A2103" s="110"/>
      <c r="B2103" s="111"/>
      <c r="C2103" s="96"/>
      <c r="D2103" s="112"/>
      <c r="E2103" s="112"/>
      <c r="F2103" s="112"/>
      <c r="G2103" s="113"/>
      <c r="H2103" s="111"/>
      <c r="I2103" s="103"/>
      <c r="J2103" s="103"/>
      <c r="K2103" s="103"/>
      <c r="L2103" s="108"/>
      <c r="M2103" s="103"/>
      <c r="N2103" s="103"/>
      <c r="O2103" s="114"/>
      <c r="P2103" s="110"/>
      <c r="Q2103" s="111"/>
    </row>
    <row r="2104" ht="25.5" customHeight="1">
      <c r="A2104" s="59"/>
      <c r="B2104" s="104"/>
      <c r="C2104" s="96"/>
      <c r="D2104" s="105"/>
      <c r="E2104" s="105"/>
      <c r="F2104" s="105"/>
      <c r="G2104" s="106"/>
      <c r="H2104" s="104"/>
      <c r="I2104" s="107"/>
      <c r="J2104" s="107"/>
      <c r="K2104" s="107"/>
      <c r="L2104" s="108"/>
      <c r="M2104" s="107"/>
      <c r="N2104" s="107"/>
      <c r="O2104" s="109"/>
      <c r="P2104" s="59"/>
      <c r="Q2104" s="104"/>
    </row>
    <row r="2105" ht="25.5" customHeight="1">
      <c r="A2105" s="110"/>
      <c r="B2105" s="111"/>
      <c r="C2105" s="96"/>
      <c r="D2105" s="112"/>
      <c r="E2105" s="112"/>
      <c r="F2105" s="112"/>
      <c r="G2105" s="113"/>
      <c r="H2105" s="111"/>
      <c r="I2105" s="103"/>
      <c r="J2105" s="103"/>
      <c r="K2105" s="103"/>
      <c r="L2105" s="108"/>
      <c r="M2105" s="103"/>
      <c r="N2105" s="103"/>
      <c r="O2105" s="114"/>
      <c r="P2105" s="110"/>
      <c r="Q2105" s="111"/>
    </row>
    <row r="2106" ht="25.5" customHeight="1">
      <c r="A2106" s="59"/>
      <c r="B2106" s="104"/>
      <c r="C2106" s="96"/>
      <c r="D2106" s="105"/>
      <c r="E2106" s="105"/>
      <c r="F2106" s="105"/>
      <c r="G2106" s="106"/>
      <c r="H2106" s="104"/>
      <c r="I2106" s="107"/>
      <c r="J2106" s="107"/>
      <c r="K2106" s="107"/>
      <c r="L2106" s="108"/>
      <c r="M2106" s="107"/>
      <c r="N2106" s="107"/>
      <c r="O2106" s="109"/>
      <c r="P2106" s="59"/>
      <c r="Q2106" s="104"/>
    </row>
    <row r="2107" ht="25.5" customHeight="1">
      <c r="A2107" s="110"/>
      <c r="B2107" s="111"/>
      <c r="C2107" s="96"/>
      <c r="D2107" s="112"/>
      <c r="E2107" s="112"/>
      <c r="F2107" s="112"/>
      <c r="G2107" s="113"/>
      <c r="H2107" s="111"/>
      <c r="I2107" s="103"/>
      <c r="J2107" s="103"/>
      <c r="K2107" s="103"/>
      <c r="L2107" s="108"/>
      <c r="M2107" s="103"/>
      <c r="N2107" s="103"/>
      <c r="O2107" s="114"/>
      <c r="P2107" s="110"/>
      <c r="Q2107" s="111"/>
    </row>
    <row r="2108" ht="25.5" customHeight="1">
      <c r="A2108" s="59"/>
      <c r="B2108" s="104"/>
      <c r="C2108" s="96"/>
      <c r="D2108" s="105"/>
      <c r="E2108" s="105"/>
      <c r="F2108" s="105"/>
      <c r="G2108" s="106"/>
      <c r="H2108" s="104"/>
      <c r="I2108" s="107"/>
      <c r="J2108" s="107"/>
      <c r="K2108" s="107"/>
      <c r="L2108" s="108"/>
      <c r="M2108" s="107"/>
      <c r="N2108" s="107"/>
      <c r="O2108" s="109"/>
      <c r="P2108" s="59"/>
      <c r="Q2108" s="104"/>
    </row>
    <row r="2109" ht="25.5" customHeight="1">
      <c r="A2109" s="110"/>
      <c r="B2109" s="111"/>
      <c r="C2109" s="96"/>
      <c r="D2109" s="112"/>
      <c r="E2109" s="112"/>
      <c r="F2109" s="112"/>
      <c r="G2109" s="113"/>
      <c r="H2109" s="111"/>
      <c r="I2109" s="103"/>
      <c r="J2109" s="103"/>
      <c r="K2109" s="103"/>
      <c r="L2109" s="108"/>
      <c r="M2109" s="103"/>
      <c r="N2109" s="103"/>
      <c r="O2109" s="114"/>
      <c r="P2109" s="110"/>
      <c r="Q2109" s="111"/>
    </row>
    <row r="2110" ht="25.5" customHeight="1">
      <c r="A2110" s="59"/>
      <c r="B2110" s="104"/>
      <c r="C2110" s="96"/>
      <c r="D2110" s="105"/>
      <c r="E2110" s="105"/>
      <c r="F2110" s="105"/>
      <c r="G2110" s="106"/>
      <c r="H2110" s="104"/>
      <c r="I2110" s="107"/>
      <c r="J2110" s="107"/>
      <c r="K2110" s="107"/>
      <c r="L2110" s="108"/>
      <c r="M2110" s="107"/>
      <c r="N2110" s="107"/>
      <c r="O2110" s="109"/>
      <c r="P2110" s="59"/>
      <c r="Q2110" s="104"/>
    </row>
    <row r="2111" ht="25.5" customHeight="1">
      <c r="A2111" s="110"/>
      <c r="B2111" s="111"/>
      <c r="C2111" s="96"/>
      <c r="D2111" s="112"/>
      <c r="E2111" s="112"/>
      <c r="F2111" s="112"/>
      <c r="G2111" s="113"/>
      <c r="H2111" s="111"/>
      <c r="I2111" s="103"/>
      <c r="J2111" s="103"/>
      <c r="K2111" s="103"/>
      <c r="L2111" s="108"/>
      <c r="M2111" s="103"/>
      <c r="N2111" s="103"/>
      <c r="O2111" s="114"/>
      <c r="P2111" s="110"/>
      <c r="Q2111" s="111"/>
    </row>
    <row r="2112" ht="25.5" customHeight="1">
      <c r="A2112" s="59"/>
      <c r="B2112" s="104"/>
      <c r="C2112" s="96"/>
      <c r="D2112" s="105"/>
      <c r="E2112" s="105"/>
      <c r="F2112" s="105"/>
      <c r="G2112" s="106"/>
      <c r="H2112" s="104"/>
      <c r="I2112" s="107"/>
      <c r="J2112" s="107"/>
      <c r="K2112" s="107"/>
      <c r="L2112" s="108"/>
      <c r="M2112" s="107"/>
      <c r="N2112" s="107"/>
      <c r="O2112" s="109"/>
      <c r="P2112" s="59"/>
      <c r="Q2112" s="104"/>
    </row>
    <row r="2113" ht="25.5" customHeight="1">
      <c r="A2113" s="110"/>
      <c r="B2113" s="111"/>
      <c r="C2113" s="96"/>
      <c r="D2113" s="112"/>
      <c r="E2113" s="112"/>
      <c r="F2113" s="112"/>
      <c r="G2113" s="113"/>
      <c r="H2113" s="111"/>
      <c r="I2113" s="103"/>
      <c r="J2113" s="103"/>
      <c r="K2113" s="103"/>
      <c r="L2113" s="108"/>
      <c r="M2113" s="103"/>
      <c r="N2113" s="103"/>
      <c r="O2113" s="114"/>
      <c r="P2113" s="110"/>
      <c r="Q2113" s="111"/>
    </row>
    <row r="2114" ht="25.5" customHeight="1">
      <c r="A2114" s="59"/>
      <c r="B2114" s="104"/>
      <c r="C2114" s="96"/>
      <c r="D2114" s="105"/>
      <c r="E2114" s="105"/>
      <c r="F2114" s="105"/>
      <c r="G2114" s="106"/>
      <c r="H2114" s="104"/>
      <c r="I2114" s="107"/>
      <c r="J2114" s="107"/>
      <c r="K2114" s="107"/>
      <c r="L2114" s="108"/>
      <c r="M2114" s="107"/>
      <c r="N2114" s="107"/>
      <c r="O2114" s="109"/>
      <c r="P2114" s="59"/>
      <c r="Q2114" s="104"/>
    </row>
    <row r="2115" ht="25.5" customHeight="1">
      <c r="A2115" s="110"/>
      <c r="B2115" s="111"/>
      <c r="C2115" s="96"/>
      <c r="D2115" s="112"/>
      <c r="E2115" s="112"/>
      <c r="F2115" s="112"/>
      <c r="G2115" s="113"/>
      <c r="H2115" s="111"/>
      <c r="I2115" s="103"/>
      <c r="J2115" s="103"/>
      <c r="K2115" s="103"/>
      <c r="L2115" s="108"/>
      <c r="M2115" s="103"/>
      <c r="N2115" s="103"/>
      <c r="O2115" s="114"/>
      <c r="P2115" s="110"/>
      <c r="Q2115" s="111"/>
    </row>
    <row r="2116" ht="25.5" customHeight="1">
      <c r="A2116" s="59"/>
      <c r="B2116" s="104"/>
      <c r="C2116" s="96"/>
      <c r="D2116" s="105"/>
      <c r="E2116" s="105"/>
      <c r="F2116" s="105"/>
      <c r="G2116" s="106"/>
      <c r="H2116" s="104"/>
      <c r="I2116" s="107"/>
      <c r="J2116" s="107"/>
      <c r="K2116" s="107"/>
      <c r="L2116" s="108"/>
      <c r="M2116" s="107"/>
      <c r="N2116" s="107"/>
      <c r="O2116" s="109"/>
      <c r="P2116" s="59"/>
      <c r="Q2116" s="104"/>
    </row>
    <row r="2117" ht="25.5" customHeight="1">
      <c r="A2117" s="110"/>
      <c r="B2117" s="111"/>
      <c r="C2117" s="96"/>
      <c r="D2117" s="112"/>
      <c r="E2117" s="112"/>
      <c r="F2117" s="112"/>
      <c r="G2117" s="113"/>
      <c r="H2117" s="111"/>
      <c r="I2117" s="103"/>
      <c r="J2117" s="103"/>
      <c r="K2117" s="103"/>
      <c r="L2117" s="108"/>
      <c r="M2117" s="103"/>
      <c r="N2117" s="103"/>
      <c r="O2117" s="114"/>
      <c r="P2117" s="110"/>
      <c r="Q2117" s="111"/>
    </row>
    <row r="2118" ht="25.5" customHeight="1">
      <c r="A2118" s="59"/>
      <c r="B2118" s="104"/>
      <c r="C2118" s="96"/>
      <c r="D2118" s="105"/>
      <c r="E2118" s="105"/>
      <c r="F2118" s="105"/>
      <c r="G2118" s="106"/>
      <c r="H2118" s="104"/>
      <c r="I2118" s="107"/>
      <c r="J2118" s="107"/>
      <c r="K2118" s="107"/>
      <c r="L2118" s="108"/>
      <c r="M2118" s="107"/>
      <c r="N2118" s="107"/>
      <c r="O2118" s="109"/>
      <c r="P2118" s="59"/>
      <c r="Q2118" s="104"/>
    </row>
    <row r="2119" ht="25.5" customHeight="1">
      <c r="A2119" s="110"/>
      <c r="B2119" s="111"/>
      <c r="C2119" s="96"/>
      <c r="D2119" s="112"/>
      <c r="E2119" s="112"/>
      <c r="F2119" s="112"/>
      <c r="G2119" s="113"/>
      <c r="H2119" s="111"/>
      <c r="I2119" s="103"/>
      <c r="J2119" s="103"/>
      <c r="K2119" s="103"/>
      <c r="L2119" s="108"/>
      <c r="M2119" s="103"/>
      <c r="N2119" s="103"/>
      <c r="O2119" s="114"/>
      <c r="P2119" s="110"/>
      <c r="Q2119" s="111"/>
    </row>
    <row r="2120" ht="25.5" customHeight="1">
      <c r="A2120" s="59"/>
      <c r="B2120" s="104"/>
      <c r="C2120" s="96"/>
      <c r="D2120" s="105"/>
      <c r="E2120" s="105"/>
      <c r="F2120" s="105"/>
      <c r="G2120" s="106"/>
      <c r="H2120" s="104"/>
      <c r="I2120" s="107"/>
      <c r="J2120" s="107"/>
      <c r="K2120" s="107"/>
      <c r="L2120" s="108"/>
      <c r="M2120" s="107"/>
      <c r="N2120" s="107"/>
      <c r="O2120" s="109"/>
      <c r="P2120" s="59"/>
      <c r="Q2120" s="104"/>
    </row>
    <row r="2121" ht="25.5" customHeight="1">
      <c r="A2121" s="110"/>
      <c r="B2121" s="111"/>
      <c r="C2121" s="96"/>
      <c r="D2121" s="112"/>
      <c r="E2121" s="112"/>
      <c r="F2121" s="112"/>
      <c r="G2121" s="113"/>
      <c r="H2121" s="111"/>
      <c r="I2121" s="103"/>
      <c r="J2121" s="103"/>
      <c r="K2121" s="103"/>
      <c r="L2121" s="108"/>
      <c r="M2121" s="103"/>
      <c r="N2121" s="103"/>
      <c r="O2121" s="114"/>
      <c r="P2121" s="110"/>
      <c r="Q2121" s="111"/>
    </row>
    <row r="2122" ht="25.5" customHeight="1">
      <c r="A2122" s="59"/>
      <c r="B2122" s="104"/>
      <c r="C2122" s="96"/>
      <c r="D2122" s="105"/>
      <c r="E2122" s="105"/>
      <c r="F2122" s="105"/>
      <c r="G2122" s="106"/>
      <c r="H2122" s="104"/>
      <c r="I2122" s="107"/>
      <c r="J2122" s="107"/>
      <c r="K2122" s="107"/>
      <c r="L2122" s="108"/>
      <c r="M2122" s="107"/>
      <c r="N2122" s="107"/>
      <c r="O2122" s="109"/>
      <c r="P2122" s="59"/>
      <c r="Q2122" s="104"/>
    </row>
    <row r="2123" ht="25.5" customHeight="1">
      <c r="A2123" s="110"/>
      <c r="B2123" s="111"/>
      <c r="C2123" s="96"/>
      <c r="D2123" s="112"/>
      <c r="E2123" s="112"/>
      <c r="F2123" s="112"/>
      <c r="G2123" s="113"/>
      <c r="H2123" s="111"/>
      <c r="I2123" s="103"/>
      <c r="J2123" s="103"/>
      <c r="K2123" s="103"/>
      <c r="L2123" s="108"/>
      <c r="M2123" s="103"/>
      <c r="N2123" s="103"/>
      <c r="O2123" s="114"/>
      <c r="P2123" s="110"/>
      <c r="Q2123" s="111"/>
    </row>
    <row r="2124" ht="25.5" customHeight="1">
      <c r="A2124" s="59"/>
      <c r="B2124" s="104"/>
      <c r="C2124" s="96"/>
      <c r="D2124" s="105"/>
      <c r="E2124" s="105"/>
      <c r="F2124" s="105"/>
      <c r="G2124" s="106"/>
      <c r="H2124" s="104"/>
      <c r="I2124" s="107"/>
      <c r="J2124" s="107"/>
      <c r="K2124" s="107"/>
      <c r="L2124" s="108"/>
      <c r="M2124" s="107"/>
      <c r="N2124" s="107"/>
      <c r="O2124" s="109"/>
      <c r="P2124" s="59"/>
      <c r="Q2124" s="104"/>
    </row>
    <row r="2125" ht="25.5" customHeight="1">
      <c r="A2125" s="110"/>
      <c r="B2125" s="111"/>
      <c r="C2125" s="96"/>
      <c r="D2125" s="112"/>
      <c r="E2125" s="112"/>
      <c r="F2125" s="112"/>
      <c r="G2125" s="113"/>
      <c r="H2125" s="111"/>
      <c r="I2125" s="103"/>
      <c r="J2125" s="103"/>
      <c r="K2125" s="103"/>
      <c r="L2125" s="108"/>
      <c r="M2125" s="103"/>
      <c r="N2125" s="103"/>
      <c r="O2125" s="114"/>
      <c r="P2125" s="110"/>
      <c r="Q2125" s="111"/>
    </row>
    <row r="2126" ht="25.5" customHeight="1">
      <c r="A2126" s="59"/>
      <c r="B2126" s="104"/>
      <c r="C2126" s="96"/>
      <c r="D2126" s="105"/>
      <c r="E2126" s="105"/>
      <c r="F2126" s="105"/>
      <c r="G2126" s="106"/>
      <c r="H2126" s="104"/>
      <c r="I2126" s="107"/>
      <c r="J2126" s="107"/>
      <c r="K2126" s="107"/>
      <c r="L2126" s="108"/>
      <c r="M2126" s="107"/>
      <c r="N2126" s="107"/>
      <c r="O2126" s="109"/>
      <c r="P2126" s="59"/>
      <c r="Q2126" s="104"/>
    </row>
    <row r="2127" ht="25.5" customHeight="1">
      <c r="A2127" s="110"/>
      <c r="B2127" s="111"/>
      <c r="C2127" s="96"/>
      <c r="D2127" s="112"/>
      <c r="E2127" s="112"/>
      <c r="F2127" s="112"/>
      <c r="G2127" s="113"/>
      <c r="H2127" s="111"/>
      <c r="I2127" s="103"/>
      <c r="J2127" s="103"/>
      <c r="K2127" s="103"/>
      <c r="L2127" s="108"/>
      <c r="M2127" s="103"/>
      <c r="N2127" s="103"/>
      <c r="O2127" s="114"/>
      <c r="P2127" s="110"/>
      <c r="Q2127" s="111"/>
    </row>
    <row r="2128" ht="25.5" customHeight="1">
      <c r="A2128" s="59"/>
      <c r="B2128" s="104"/>
      <c r="C2128" s="96"/>
      <c r="D2128" s="105"/>
      <c r="E2128" s="105"/>
      <c r="F2128" s="105"/>
      <c r="G2128" s="106"/>
      <c r="H2128" s="104"/>
      <c r="I2128" s="107"/>
      <c r="J2128" s="107"/>
      <c r="K2128" s="107"/>
      <c r="L2128" s="108"/>
      <c r="M2128" s="107"/>
      <c r="N2128" s="107"/>
      <c r="O2128" s="109"/>
      <c r="P2128" s="59"/>
      <c r="Q2128" s="104"/>
    </row>
    <row r="2129" ht="25.5" customHeight="1">
      <c r="A2129" s="110"/>
      <c r="B2129" s="111"/>
      <c r="C2129" s="96"/>
      <c r="D2129" s="112"/>
      <c r="E2129" s="112"/>
      <c r="F2129" s="112"/>
      <c r="G2129" s="113"/>
      <c r="H2129" s="111"/>
      <c r="I2129" s="103"/>
      <c r="J2129" s="103"/>
      <c r="K2129" s="103"/>
      <c r="L2129" s="108"/>
      <c r="M2129" s="103"/>
      <c r="N2129" s="103"/>
      <c r="O2129" s="114"/>
      <c r="P2129" s="110"/>
      <c r="Q2129" s="111"/>
    </row>
    <row r="2130" ht="25.5" customHeight="1">
      <c r="A2130" s="59"/>
      <c r="B2130" s="104"/>
      <c r="C2130" s="96"/>
      <c r="D2130" s="105"/>
      <c r="E2130" s="105"/>
      <c r="F2130" s="105"/>
      <c r="G2130" s="106"/>
      <c r="H2130" s="104"/>
      <c r="I2130" s="107"/>
      <c r="J2130" s="107"/>
      <c r="K2130" s="107"/>
      <c r="L2130" s="108"/>
      <c r="M2130" s="107"/>
      <c r="N2130" s="107"/>
      <c r="O2130" s="109"/>
      <c r="P2130" s="59"/>
      <c r="Q2130" s="104"/>
    </row>
    <row r="2131" ht="25.5" customHeight="1">
      <c r="A2131" s="110"/>
      <c r="B2131" s="111"/>
      <c r="C2131" s="96"/>
      <c r="D2131" s="112"/>
      <c r="E2131" s="112"/>
      <c r="F2131" s="112"/>
      <c r="G2131" s="113"/>
      <c r="H2131" s="111"/>
      <c r="I2131" s="103"/>
      <c r="J2131" s="103"/>
      <c r="K2131" s="103"/>
      <c r="L2131" s="108"/>
      <c r="M2131" s="103"/>
      <c r="N2131" s="103"/>
      <c r="O2131" s="114"/>
      <c r="P2131" s="110"/>
      <c r="Q2131" s="111"/>
    </row>
    <row r="2132" ht="25.5" customHeight="1">
      <c r="A2132" s="59"/>
      <c r="B2132" s="104"/>
      <c r="C2132" s="96"/>
      <c r="D2132" s="105"/>
      <c r="E2132" s="105"/>
      <c r="F2132" s="105"/>
      <c r="G2132" s="106"/>
      <c r="H2132" s="104"/>
      <c r="I2132" s="107"/>
      <c r="J2132" s="107"/>
      <c r="K2132" s="107"/>
      <c r="L2132" s="108"/>
      <c r="M2132" s="107"/>
      <c r="N2132" s="107"/>
      <c r="O2132" s="109"/>
      <c r="P2132" s="59"/>
      <c r="Q2132" s="104"/>
    </row>
    <row r="2133" ht="25.5" customHeight="1">
      <c r="A2133" s="110"/>
      <c r="B2133" s="111"/>
      <c r="C2133" s="96"/>
      <c r="D2133" s="112"/>
      <c r="E2133" s="112"/>
      <c r="F2133" s="112"/>
      <c r="G2133" s="113"/>
      <c r="H2133" s="111"/>
      <c r="I2133" s="103"/>
      <c r="J2133" s="103"/>
      <c r="K2133" s="103"/>
      <c r="L2133" s="108"/>
      <c r="M2133" s="103"/>
      <c r="N2133" s="103"/>
      <c r="O2133" s="114"/>
      <c r="P2133" s="110"/>
      <c r="Q2133" s="111"/>
    </row>
    <row r="2134" ht="25.5" customHeight="1">
      <c r="A2134" s="59"/>
      <c r="B2134" s="104"/>
      <c r="C2134" s="96"/>
      <c r="D2134" s="105"/>
      <c r="E2134" s="105"/>
      <c r="F2134" s="105"/>
      <c r="G2134" s="106"/>
      <c r="H2134" s="104"/>
      <c r="I2134" s="107"/>
      <c r="J2134" s="107"/>
      <c r="K2134" s="107"/>
      <c r="L2134" s="108"/>
      <c r="M2134" s="107"/>
      <c r="N2134" s="107"/>
      <c r="O2134" s="109"/>
      <c r="P2134" s="59"/>
      <c r="Q2134" s="104"/>
    </row>
    <row r="2135" ht="25.5" customHeight="1">
      <c r="A2135" s="110"/>
      <c r="B2135" s="111"/>
      <c r="C2135" s="96"/>
      <c r="D2135" s="112"/>
      <c r="E2135" s="112"/>
      <c r="F2135" s="112"/>
      <c r="G2135" s="113"/>
      <c r="H2135" s="111"/>
      <c r="I2135" s="103"/>
      <c r="J2135" s="103"/>
      <c r="K2135" s="103"/>
      <c r="L2135" s="108"/>
      <c r="M2135" s="103"/>
      <c r="N2135" s="103"/>
      <c r="O2135" s="114"/>
      <c r="P2135" s="110"/>
      <c r="Q2135" s="111"/>
    </row>
    <row r="2136" ht="25.5" customHeight="1">
      <c r="A2136" s="59"/>
      <c r="B2136" s="104"/>
      <c r="C2136" s="96"/>
      <c r="D2136" s="105"/>
      <c r="E2136" s="105"/>
      <c r="F2136" s="105"/>
      <c r="G2136" s="106"/>
      <c r="H2136" s="104"/>
      <c r="I2136" s="107"/>
      <c r="J2136" s="107"/>
      <c r="K2136" s="107"/>
      <c r="L2136" s="108"/>
      <c r="M2136" s="107"/>
      <c r="N2136" s="107"/>
      <c r="O2136" s="109"/>
      <c r="P2136" s="59"/>
      <c r="Q2136" s="104"/>
    </row>
    <row r="2137" ht="25.5" customHeight="1">
      <c r="A2137" s="110"/>
      <c r="B2137" s="111"/>
      <c r="C2137" s="96"/>
      <c r="D2137" s="112"/>
      <c r="E2137" s="112"/>
      <c r="F2137" s="112"/>
      <c r="G2137" s="113"/>
      <c r="H2137" s="111"/>
      <c r="I2137" s="103"/>
      <c r="J2137" s="103"/>
      <c r="K2137" s="103"/>
      <c r="L2137" s="108"/>
      <c r="M2137" s="103"/>
      <c r="N2137" s="103"/>
      <c r="O2137" s="114"/>
      <c r="P2137" s="110"/>
      <c r="Q2137" s="111"/>
    </row>
    <row r="2138" ht="25.5" customHeight="1">
      <c r="A2138" s="59"/>
      <c r="B2138" s="104"/>
      <c r="C2138" s="96"/>
      <c r="D2138" s="105"/>
      <c r="E2138" s="105"/>
      <c r="F2138" s="105"/>
      <c r="G2138" s="106"/>
      <c r="H2138" s="104"/>
      <c r="I2138" s="107"/>
      <c r="J2138" s="107"/>
      <c r="K2138" s="107"/>
      <c r="L2138" s="108"/>
      <c r="M2138" s="107"/>
      <c r="N2138" s="107"/>
      <c r="O2138" s="109"/>
      <c r="P2138" s="59"/>
      <c r="Q2138" s="104"/>
    </row>
    <row r="2139" ht="25.5" customHeight="1">
      <c r="A2139" s="110"/>
      <c r="B2139" s="111"/>
      <c r="C2139" s="96"/>
      <c r="D2139" s="112"/>
      <c r="E2139" s="112"/>
      <c r="F2139" s="112"/>
      <c r="G2139" s="113"/>
      <c r="H2139" s="111"/>
      <c r="I2139" s="103"/>
      <c r="J2139" s="103"/>
      <c r="K2139" s="103"/>
      <c r="L2139" s="108"/>
      <c r="M2139" s="103"/>
      <c r="N2139" s="103"/>
      <c r="O2139" s="114"/>
      <c r="P2139" s="110"/>
      <c r="Q2139" s="111"/>
    </row>
    <row r="2140" ht="25.5" customHeight="1">
      <c r="A2140" s="59"/>
      <c r="B2140" s="104"/>
      <c r="C2140" s="96"/>
      <c r="D2140" s="105"/>
      <c r="E2140" s="105"/>
      <c r="F2140" s="105"/>
      <c r="G2140" s="106"/>
      <c r="H2140" s="104"/>
      <c r="I2140" s="107"/>
      <c r="J2140" s="107"/>
      <c r="K2140" s="107"/>
      <c r="L2140" s="108"/>
      <c r="M2140" s="107"/>
      <c r="N2140" s="107"/>
      <c r="O2140" s="109"/>
      <c r="P2140" s="59"/>
      <c r="Q2140" s="104"/>
    </row>
    <row r="2141" ht="25.5" customHeight="1">
      <c r="A2141" s="110"/>
      <c r="B2141" s="111"/>
      <c r="C2141" s="96"/>
      <c r="D2141" s="112"/>
      <c r="E2141" s="112"/>
      <c r="F2141" s="112"/>
      <c r="G2141" s="113"/>
      <c r="H2141" s="111"/>
      <c r="I2141" s="103"/>
      <c r="J2141" s="103"/>
      <c r="K2141" s="103"/>
      <c r="L2141" s="108"/>
      <c r="M2141" s="103"/>
      <c r="N2141" s="103"/>
      <c r="O2141" s="114"/>
      <c r="P2141" s="110"/>
      <c r="Q2141" s="111"/>
    </row>
    <row r="2142" ht="25.5" customHeight="1">
      <c r="A2142" s="59"/>
      <c r="B2142" s="104"/>
      <c r="C2142" s="96"/>
      <c r="D2142" s="105"/>
      <c r="E2142" s="105"/>
      <c r="F2142" s="105"/>
      <c r="G2142" s="106"/>
      <c r="H2142" s="104"/>
      <c r="I2142" s="107"/>
      <c r="J2142" s="107"/>
      <c r="K2142" s="107"/>
      <c r="L2142" s="108"/>
      <c r="M2142" s="107"/>
      <c r="N2142" s="107"/>
      <c r="O2142" s="109"/>
      <c r="P2142" s="59"/>
      <c r="Q2142" s="104"/>
    </row>
    <row r="2143" ht="25.5" customHeight="1">
      <c r="A2143" s="110"/>
      <c r="B2143" s="111"/>
      <c r="C2143" s="96"/>
      <c r="D2143" s="112"/>
      <c r="E2143" s="112"/>
      <c r="F2143" s="112"/>
      <c r="G2143" s="113"/>
      <c r="H2143" s="111"/>
      <c r="I2143" s="103"/>
      <c r="J2143" s="103"/>
      <c r="K2143" s="103"/>
      <c r="L2143" s="108"/>
      <c r="M2143" s="103"/>
      <c r="N2143" s="103"/>
      <c r="O2143" s="114"/>
      <c r="P2143" s="110"/>
      <c r="Q2143" s="111"/>
    </row>
    <row r="2144" ht="25.5" customHeight="1">
      <c r="A2144" s="59"/>
      <c r="B2144" s="104"/>
      <c r="C2144" s="96"/>
      <c r="D2144" s="105"/>
      <c r="E2144" s="105"/>
      <c r="F2144" s="105"/>
      <c r="G2144" s="106"/>
      <c r="H2144" s="104"/>
      <c r="I2144" s="107"/>
      <c r="J2144" s="107"/>
      <c r="K2144" s="107"/>
      <c r="L2144" s="108"/>
      <c r="M2144" s="107"/>
      <c r="N2144" s="107"/>
      <c r="O2144" s="109"/>
      <c r="P2144" s="59"/>
      <c r="Q2144" s="104"/>
    </row>
    <row r="2145" ht="25.5" customHeight="1">
      <c r="A2145" s="110"/>
      <c r="B2145" s="111"/>
      <c r="C2145" s="96"/>
      <c r="D2145" s="112"/>
      <c r="E2145" s="112"/>
      <c r="F2145" s="112"/>
      <c r="G2145" s="113"/>
      <c r="H2145" s="111"/>
      <c r="I2145" s="103"/>
      <c r="J2145" s="103"/>
      <c r="K2145" s="103"/>
      <c r="L2145" s="108"/>
      <c r="M2145" s="103"/>
      <c r="N2145" s="103"/>
      <c r="O2145" s="114"/>
      <c r="P2145" s="110"/>
      <c r="Q2145" s="111"/>
    </row>
    <row r="2146" ht="25.5" customHeight="1">
      <c r="A2146" s="59"/>
      <c r="B2146" s="104"/>
      <c r="C2146" s="96"/>
      <c r="D2146" s="105"/>
      <c r="E2146" s="105"/>
      <c r="F2146" s="105"/>
      <c r="G2146" s="106"/>
      <c r="H2146" s="104"/>
      <c r="I2146" s="107"/>
      <c r="J2146" s="107"/>
      <c r="K2146" s="107"/>
      <c r="L2146" s="108"/>
      <c r="M2146" s="107"/>
      <c r="N2146" s="107"/>
      <c r="O2146" s="109"/>
      <c r="P2146" s="59"/>
      <c r="Q2146" s="104"/>
    </row>
    <row r="2147" ht="25.5" customHeight="1">
      <c r="A2147" s="110"/>
      <c r="B2147" s="111"/>
      <c r="C2147" s="96"/>
      <c r="D2147" s="112"/>
      <c r="E2147" s="112"/>
      <c r="F2147" s="112"/>
      <c r="G2147" s="113"/>
      <c r="H2147" s="111"/>
      <c r="I2147" s="103"/>
      <c r="J2147" s="103"/>
      <c r="K2147" s="103"/>
      <c r="L2147" s="108"/>
      <c r="M2147" s="103"/>
      <c r="N2147" s="103"/>
      <c r="O2147" s="114"/>
      <c r="P2147" s="110"/>
      <c r="Q2147" s="111"/>
    </row>
    <row r="2148" ht="25.5" customHeight="1">
      <c r="A2148" s="59"/>
      <c r="B2148" s="104"/>
      <c r="C2148" s="96"/>
      <c r="D2148" s="105"/>
      <c r="E2148" s="105"/>
      <c r="F2148" s="105"/>
      <c r="G2148" s="106"/>
      <c r="H2148" s="104"/>
      <c r="I2148" s="107"/>
      <c r="J2148" s="107"/>
      <c r="K2148" s="107"/>
      <c r="L2148" s="108"/>
      <c r="M2148" s="107"/>
      <c r="N2148" s="107"/>
      <c r="O2148" s="109"/>
      <c r="P2148" s="59"/>
      <c r="Q2148" s="104"/>
    </row>
    <row r="2149" ht="25.5" customHeight="1">
      <c r="A2149" s="110"/>
      <c r="B2149" s="111"/>
      <c r="C2149" s="96"/>
      <c r="D2149" s="112"/>
      <c r="E2149" s="112"/>
      <c r="F2149" s="112"/>
      <c r="G2149" s="113"/>
      <c r="H2149" s="111"/>
      <c r="I2149" s="103"/>
      <c r="J2149" s="103"/>
      <c r="K2149" s="103"/>
      <c r="L2149" s="108"/>
      <c r="M2149" s="103"/>
      <c r="N2149" s="103"/>
      <c r="O2149" s="114"/>
      <c r="P2149" s="110"/>
      <c r="Q2149" s="111"/>
    </row>
    <row r="2150" ht="25.5" customHeight="1">
      <c r="A2150" s="59"/>
      <c r="B2150" s="104"/>
      <c r="C2150" s="96"/>
      <c r="D2150" s="105"/>
      <c r="E2150" s="105"/>
      <c r="F2150" s="105"/>
      <c r="G2150" s="106"/>
      <c r="H2150" s="104"/>
      <c r="I2150" s="107"/>
      <c r="J2150" s="107"/>
      <c r="K2150" s="107"/>
      <c r="L2150" s="108"/>
      <c r="M2150" s="107"/>
      <c r="N2150" s="107"/>
      <c r="O2150" s="109"/>
      <c r="P2150" s="59"/>
      <c r="Q2150" s="104"/>
    </row>
    <row r="2151" ht="25.5" customHeight="1">
      <c r="A2151" s="110"/>
      <c r="B2151" s="111"/>
      <c r="C2151" s="96"/>
      <c r="D2151" s="112"/>
      <c r="E2151" s="112"/>
      <c r="F2151" s="112"/>
      <c r="G2151" s="113"/>
      <c r="H2151" s="111"/>
      <c r="I2151" s="103"/>
      <c r="J2151" s="103"/>
      <c r="K2151" s="103"/>
      <c r="L2151" s="108"/>
      <c r="M2151" s="103"/>
      <c r="N2151" s="103"/>
      <c r="O2151" s="114"/>
      <c r="P2151" s="110"/>
      <c r="Q2151" s="111"/>
    </row>
    <row r="2152" ht="25.5" customHeight="1">
      <c r="A2152" s="59"/>
      <c r="B2152" s="104"/>
      <c r="C2152" s="96"/>
      <c r="D2152" s="105"/>
      <c r="E2152" s="105"/>
      <c r="F2152" s="105"/>
      <c r="G2152" s="106"/>
      <c r="H2152" s="104"/>
      <c r="I2152" s="107"/>
      <c r="J2152" s="107"/>
      <c r="K2152" s="107"/>
      <c r="L2152" s="108"/>
      <c r="M2152" s="107"/>
      <c r="N2152" s="107"/>
      <c r="O2152" s="109"/>
      <c r="P2152" s="59"/>
      <c r="Q2152" s="104"/>
    </row>
    <row r="2153" ht="25.5" customHeight="1">
      <c r="A2153" s="110"/>
      <c r="B2153" s="111"/>
      <c r="C2153" s="96"/>
      <c r="D2153" s="112"/>
      <c r="E2153" s="112"/>
      <c r="F2153" s="112"/>
      <c r="G2153" s="113"/>
      <c r="H2153" s="111"/>
      <c r="I2153" s="103"/>
      <c r="J2153" s="103"/>
      <c r="K2153" s="103"/>
      <c r="L2153" s="108"/>
      <c r="M2153" s="103"/>
      <c r="N2153" s="103"/>
      <c r="O2153" s="114"/>
      <c r="P2153" s="110"/>
      <c r="Q2153" s="111"/>
    </row>
    <row r="2154" ht="25.5" customHeight="1">
      <c r="A2154" s="59"/>
      <c r="B2154" s="104"/>
      <c r="C2154" s="96"/>
      <c r="D2154" s="105"/>
      <c r="E2154" s="105"/>
      <c r="F2154" s="105"/>
      <c r="G2154" s="106"/>
      <c r="H2154" s="104"/>
      <c r="I2154" s="107"/>
      <c r="J2154" s="107"/>
      <c r="K2154" s="107"/>
      <c r="L2154" s="108"/>
      <c r="M2154" s="107"/>
      <c r="N2154" s="107"/>
      <c r="O2154" s="109"/>
      <c r="P2154" s="59"/>
      <c r="Q2154" s="104"/>
    </row>
    <row r="2155" ht="25.5" customHeight="1">
      <c r="A2155" s="110"/>
      <c r="B2155" s="111"/>
      <c r="C2155" s="96"/>
      <c r="D2155" s="112"/>
      <c r="E2155" s="112"/>
      <c r="F2155" s="112"/>
      <c r="G2155" s="113"/>
      <c r="H2155" s="111"/>
      <c r="I2155" s="103"/>
      <c r="J2155" s="103"/>
      <c r="K2155" s="103"/>
      <c r="L2155" s="108"/>
      <c r="M2155" s="103"/>
      <c r="N2155" s="103"/>
      <c r="O2155" s="114"/>
      <c r="P2155" s="110"/>
      <c r="Q2155" s="111"/>
    </row>
    <row r="2156" ht="25.5" customHeight="1">
      <c r="A2156" s="59"/>
      <c r="B2156" s="104"/>
      <c r="C2156" s="96"/>
      <c r="D2156" s="105"/>
      <c r="E2156" s="105"/>
      <c r="F2156" s="105"/>
      <c r="G2156" s="106"/>
      <c r="H2156" s="104"/>
      <c r="I2156" s="107"/>
      <c r="J2156" s="107"/>
      <c r="K2156" s="107"/>
      <c r="L2156" s="108"/>
      <c r="M2156" s="107"/>
      <c r="N2156" s="107"/>
      <c r="O2156" s="109"/>
      <c r="P2156" s="59"/>
      <c r="Q2156" s="104"/>
    </row>
    <row r="2157" ht="25.5" customHeight="1">
      <c r="A2157" s="110"/>
      <c r="B2157" s="111"/>
      <c r="C2157" s="96"/>
      <c r="D2157" s="112"/>
      <c r="E2157" s="112"/>
      <c r="F2157" s="112"/>
      <c r="G2157" s="113"/>
      <c r="H2157" s="111"/>
      <c r="I2157" s="103"/>
      <c r="J2157" s="103"/>
      <c r="K2157" s="103"/>
      <c r="L2157" s="108"/>
      <c r="M2157" s="103"/>
      <c r="N2157" s="103"/>
      <c r="O2157" s="114"/>
      <c r="P2157" s="110"/>
      <c r="Q2157" s="111"/>
    </row>
    <row r="2158" ht="25.5" customHeight="1">
      <c r="A2158" s="59"/>
      <c r="B2158" s="104"/>
      <c r="C2158" s="96"/>
      <c r="D2158" s="105"/>
      <c r="E2158" s="105"/>
      <c r="F2158" s="105"/>
      <c r="G2158" s="106"/>
      <c r="H2158" s="104"/>
      <c r="I2158" s="107"/>
      <c r="J2158" s="107"/>
      <c r="K2158" s="107"/>
      <c r="L2158" s="108"/>
      <c r="M2158" s="107"/>
      <c r="N2158" s="107"/>
      <c r="O2158" s="109"/>
      <c r="P2158" s="59"/>
      <c r="Q2158" s="104"/>
    </row>
    <row r="2159" ht="25.5" customHeight="1">
      <c r="A2159" s="110"/>
      <c r="B2159" s="111"/>
      <c r="C2159" s="96"/>
      <c r="D2159" s="112"/>
      <c r="E2159" s="112"/>
      <c r="F2159" s="112"/>
      <c r="G2159" s="113"/>
      <c r="H2159" s="111"/>
      <c r="I2159" s="103"/>
      <c r="J2159" s="103"/>
      <c r="K2159" s="103"/>
      <c r="L2159" s="108"/>
      <c r="M2159" s="103"/>
      <c r="N2159" s="103"/>
      <c r="O2159" s="114"/>
      <c r="P2159" s="110"/>
      <c r="Q2159" s="111"/>
    </row>
    <row r="2160" ht="25.5" customHeight="1">
      <c r="A2160" s="59"/>
      <c r="B2160" s="104"/>
      <c r="C2160" s="96"/>
      <c r="D2160" s="105"/>
      <c r="E2160" s="105"/>
      <c r="F2160" s="105"/>
      <c r="G2160" s="106"/>
      <c r="H2160" s="104"/>
      <c r="I2160" s="107"/>
      <c r="J2160" s="107"/>
      <c r="K2160" s="107"/>
      <c r="L2160" s="108"/>
      <c r="M2160" s="107"/>
      <c r="N2160" s="107"/>
      <c r="O2160" s="109"/>
      <c r="P2160" s="59"/>
      <c r="Q2160" s="104"/>
    </row>
    <row r="2161" ht="25.5" customHeight="1">
      <c r="A2161" s="110"/>
      <c r="B2161" s="111"/>
      <c r="C2161" s="96"/>
      <c r="D2161" s="112"/>
      <c r="E2161" s="112"/>
      <c r="F2161" s="112"/>
      <c r="G2161" s="113"/>
      <c r="H2161" s="111"/>
      <c r="I2161" s="103"/>
      <c r="J2161" s="103"/>
      <c r="K2161" s="103"/>
      <c r="L2161" s="108"/>
      <c r="M2161" s="103"/>
      <c r="N2161" s="103"/>
      <c r="O2161" s="114"/>
      <c r="P2161" s="110"/>
      <c r="Q2161" s="111"/>
    </row>
    <row r="2162" ht="25.5" customHeight="1">
      <c r="A2162" s="59"/>
      <c r="B2162" s="104"/>
      <c r="C2162" s="96"/>
      <c r="D2162" s="105"/>
      <c r="E2162" s="105"/>
      <c r="F2162" s="105"/>
      <c r="G2162" s="106"/>
      <c r="H2162" s="104"/>
      <c r="I2162" s="107"/>
      <c r="J2162" s="107"/>
      <c r="K2162" s="107"/>
      <c r="L2162" s="108"/>
      <c r="M2162" s="107"/>
      <c r="N2162" s="107"/>
      <c r="O2162" s="109"/>
      <c r="P2162" s="59"/>
      <c r="Q2162" s="104"/>
    </row>
    <row r="2163" ht="25.5" customHeight="1">
      <c r="A2163" s="110"/>
      <c r="B2163" s="111"/>
      <c r="C2163" s="96"/>
      <c r="D2163" s="112"/>
      <c r="E2163" s="112"/>
      <c r="F2163" s="112"/>
      <c r="G2163" s="113"/>
      <c r="H2163" s="111"/>
      <c r="I2163" s="103"/>
      <c r="J2163" s="103"/>
      <c r="K2163" s="103"/>
      <c r="L2163" s="108"/>
      <c r="M2163" s="103"/>
      <c r="N2163" s="103"/>
      <c r="O2163" s="114"/>
      <c r="P2163" s="110"/>
      <c r="Q2163" s="111"/>
    </row>
    <row r="2164" ht="25.5" customHeight="1">
      <c r="A2164" s="59"/>
      <c r="B2164" s="104"/>
      <c r="C2164" s="96"/>
      <c r="D2164" s="105"/>
      <c r="E2164" s="105"/>
      <c r="F2164" s="105"/>
      <c r="G2164" s="106"/>
      <c r="H2164" s="104"/>
      <c r="I2164" s="107"/>
      <c r="J2164" s="107"/>
      <c r="K2164" s="107"/>
      <c r="L2164" s="108"/>
      <c r="M2164" s="107"/>
      <c r="N2164" s="107"/>
      <c r="O2164" s="109"/>
      <c r="P2164" s="59"/>
      <c r="Q2164" s="104"/>
    </row>
    <row r="2165" ht="25.5" customHeight="1">
      <c r="A2165" s="110"/>
      <c r="B2165" s="111"/>
      <c r="C2165" s="96"/>
      <c r="D2165" s="112"/>
      <c r="E2165" s="112"/>
      <c r="F2165" s="112"/>
      <c r="G2165" s="113"/>
      <c r="H2165" s="111"/>
      <c r="I2165" s="103"/>
      <c r="J2165" s="103"/>
      <c r="K2165" s="103"/>
      <c r="L2165" s="108"/>
      <c r="M2165" s="103"/>
      <c r="N2165" s="103"/>
      <c r="O2165" s="114"/>
      <c r="P2165" s="110"/>
      <c r="Q2165" s="111"/>
    </row>
    <row r="2166" ht="25.5" customHeight="1">
      <c r="A2166" s="59"/>
      <c r="B2166" s="104"/>
      <c r="C2166" s="96"/>
      <c r="D2166" s="105"/>
      <c r="E2166" s="105"/>
      <c r="F2166" s="105"/>
      <c r="G2166" s="106"/>
      <c r="H2166" s="104"/>
      <c r="I2166" s="107"/>
      <c r="J2166" s="107"/>
      <c r="K2166" s="107"/>
      <c r="L2166" s="108"/>
      <c r="M2166" s="107"/>
      <c r="N2166" s="107"/>
      <c r="O2166" s="109"/>
      <c r="P2166" s="59"/>
      <c r="Q2166" s="104"/>
    </row>
    <row r="2167" ht="25.5" customHeight="1">
      <c r="A2167" s="110"/>
      <c r="B2167" s="111"/>
      <c r="C2167" s="96"/>
      <c r="D2167" s="112"/>
      <c r="E2167" s="112"/>
      <c r="F2167" s="112"/>
      <c r="G2167" s="113"/>
      <c r="H2167" s="111"/>
      <c r="I2167" s="103"/>
      <c r="J2167" s="103"/>
      <c r="K2167" s="103"/>
      <c r="L2167" s="108"/>
      <c r="M2167" s="103"/>
      <c r="N2167" s="103"/>
      <c r="O2167" s="114"/>
      <c r="P2167" s="110"/>
      <c r="Q2167" s="111"/>
    </row>
    <row r="2168" ht="25.5" customHeight="1">
      <c r="A2168" s="59"/>
      <c r="B2168" s="104"/>
      <c r="C2168" s="96"/>
      <c r="D2168" s="105"/>
      <c r="E2168" s="105"/>
      <c r="F2168" s="105"/>
      <c r="G2168" s="106"/>
      <c r="H2168" s="104"/>
      <c r="I2168" s="107"/>
      <c r="J2168" s="107"/>
      <c r="K2168" s="107"/>
      <c r="L2168" s="108"/>
      <c r="M2168" s="107"/>
      <c r="N2168" s="107"/>
      <c r="O2168" s="109"/>
      <c r="P2168" s="59"/>
      <c r="Q2168" s="104"/>
    </row>
    <row r="2169" ht="25.5" customHeight="1">
      <c r="A2169" s="110"/>
      <c r="B2169" s="111"/>
      <c r="C2169" s="96"/>
      <c r="D2169" s="112"/>
      <c r="E2169" s="112"/>
      <c r="F2169" s="112"/>
      <c r="G2169" s="113"/>
      <c r="H2169" s="111"/>
      <c r="I2169" s="103"/>
      <c r="J2169" s="103"/>
      <c r="K2169" s="103"/>
      <c r="L2169" s="108"/>
      <c r="M2169" s="103"/>
      <c r="N2169" s="103"/>
      <c r="O2169" s="114"/>
      <c r="P2169" s="110"/>
      <c r="Q2169" s="111"/>
    </row>
    <row r="2170" ht="25.5" customHeight="1">
      <c r="A2170" s="59"/>
      <c r="B2170" s="104"/>
      <c r="C2170" s="96"/>
      <c r="D2170" s="105"/>
      <c r="E2170" s="105"/>
      <c r="F2170" s="105"/>
      <c r="G2170" s="106"/>
      <c r="H2170" s="104"/>
      <c r="I2170" s="107"/>
      <c r="J2170" s="107"/>
      <c r="K2170" s="107"/>
      <c r="L2170" s="108"/>
      <c r="M2170" s="107"/>
      <c r="N2170" s="107"/>
      <c r="O2170" s="109"/>
      <c r="P2170" s="59"/>
      <c r="Q2170" s="104"/>
    </row>
    <row r="2171" ht="25.5" customHeight="1">
      <c r="A2171" s="110"/>
      <c r="B2171" s="111"/>
      <c r="C2171" s="96"/>
      <c r="D2171" s="112"/>
      <c r="E2171" s="112"/>
      <c r="F2171" s="112"/>
      <c r="G2171" s="113"/>
      <c r="H2171" s="111"/>
      <c r="I2171" s="103"/>
      <c r="J2171" s="103"/>
      <c r="K2171" s="103"/>
      <c r="L2171" s="108"/>
      <c r="M2171" s="103"/>
      <c r="N2171" s="103"/>
      <c r="O2171" s="114"/>
      <c r="P2171" s="110"/>
      <c r="Q2171" s="111"/>
    </row>
    <row r="2172" ht="25.5" customHeight="1">
      <c r="A2172" s="59"/>
      <c r="B2172" s="104"/>
      <c r="C2172" s="96"/>
      <c r="D2172" s="105"/>
      <c r="E2172" s="105"/>
      <c r="F2172" s="105"/>
      <c r="G2172" s="106"/>
      <c r="H2172" s="104"/>
      <c r="I2172" s="107"/>
      <c r="J2172" s="107"/>
      <c r="K2172" s="107"/>
      <c r="L2172" s="108"/>
      <c r="M2172" s="107"/>
      <c r="N2172" s="107"/>
      <c r="O2172" s="109"/>
      <c r="P2172" s="59"/>
      <c r="Q2172" s="104"/>
    </row>
    <row r="2173" ht="25.5" customHeight="1">
      <c r="A2173" s="110"/>
      <c r="B2173" s="111"/>
      <c r="C2173" s="96"/>
      <c r="D2173" s="112"/>
      <c r="E2173" s="112"/>
      <c r="F2173" s="112"/>
      <c r="G2173" s="113"/>
      <c r="H2173" s="111"/>
      <c r="I2173" s="103"/>
      <c r="J2173" s="103"/>
      <c r="K2173" s="103"/>
      <c r="L2173" s="108"/>
      <c r="M2173" s="103"/>
      <c r="N2173" s="103"/>
      <c r="O2173" s="114"/>
      <c r="P2173" s="110"/>
      <c r="Q2173" s="111"/>
    </row>
    <row r="2174" ht="25.5" customHeight="1">
      <c r="A2174" s="59"/>
      <c r="B2174" s="104"/>
      <c r="C2174" s="96"/>
      <c r="D2174" s="105"/>
      <c r="E2174" s="105"/>
      <c r="F2174" s="105"/>
      <c r="G2174" s="106"/>
      <c r="H2174" s="104"/>
      <c r="I2174" s="107"/>
      <c r="J2174" s="107"/>
      <c r="K2174" s="107"/>
      <c r="L2174" s="108"/>
      <c r="M2174" s="107"/>
      <c r="N2174" s="107"/>
      <c r="O2174" s="109"/>
      <c r="P2174" s="59"/>
      <c r="Q2174" s="104"/>
    </row>
    <row r="2175" ht="25.5" customHeight="1">
      <c r="A2175" s="110"/>
      <c r="B2175" s="111"/>
      <c r="C2175" s="96"/>
      <c r="D2175" s="112"/>
      <c r="E2175" s="112"/>
      <c r="F2175" s="112"/>
      <c r="G2175" s="113"/>
      <c r="H2175" s="111"/>
      <c r="I2175" s="103"/>
      <c r="J2175" s="103"/>
      <c r="K2175" s="103"/>
      <c r="L2175" s="108"/>
      <c r="M2175" s="103"/>
      <c r="N2175" s="103"/>
      <c r="O2175" s="114"/>
      <c r="P2175" s="110"/>
      <c r="Q2175" s="111"/>
    </row>
    <row r="2176" ht="25.5" customHeight="1">
      <c r="A2176" s="59"/>
      <c r="B2176" s="104"/>
      <c r="C2176" s="96"/>
      <c r="D2176" s="105"/>
      <c r="E2176" s="105"/>
      <c r="F2176" s="105"/>
      <c r="G2176" s="106"/>
      <c r="H2176" s="104"/>
      <c r="I2176" s="107"/>
      <c r="J2176" s="107"/>
      <c r="K2176" s="107"/>
      <c r="L2176" s="108"/>
      <c r="M2176" s="107"/>
      <c r="N2176" s="107"/>
      <c r="O2176" s="109"/>
      <c r="P2176" s="59"/>
      <c r="Q2176" s="104"/>
    </row>
    <row r="2177" ht="25.5" customHeight="1">
      <c r="A2177" s="110"/>
      <c r="B2177" s="111"/>
      <c r="C2177" s="96"/>
      <c r="D2177" s="112"/>
      <c r="E2177" s="112"/>
      <c r="F2177" s="112"/>
      <c r="G2177" s="113"/>
      <c r="H2177" s="111"/>
      <c r="I2177" s="103"/>
      <c r="J2177" s="103"/>
      <c r="K2177" s="103"/>
      <c r="L2177" s="108"/>
      <c r="M2177" s="103"/>
      <c r="N2177" s="103"/>
      <c r="O2177" s="114"/>
      <c r="P2177" s="110"/>
      <c r="Q2177" s="111"/>
    </row>
    <row r="2178" ht="25.5" customHeight="1">
      <c r="A2178" s="59"/>
      <c r="B2178" s="104"/>
      <c r="C2178" s="96"/>
      <c r="D2178" s="105"/>
      <c r="E2178" s="105"/>
      <c r="F2178" s="105"/>
      <c r="G2178" s="106"/>
      <c r="H2178" s="104"/>
      <c r="I2178" s="107"/>
      <c r="J2178" s="107"/>
      <c r="K2178" s="107"/>
      <c r="L2178" s="108"/>
      <c r="M2178" s="107"/>
      <c r="N2178" s="107"/>
      <c r="O2178" s="109"/>
      <c r="P2178" s="59"/>
      <c r="Q2178" s="104"/>
    </row>
    <row r="2179" ht="25.5" customHeight="1">
      <c r="A2179" s="110"/>
      <c r="B2179" s="111"/>
      <c r="C2179" s="96"/>
      <c r="D2179" s="112"/>
      <c r="E2179" s="112"/>
      <c r="F2179" s="112"/>
      <c r="G2179" s="113"/>
      <c r="H2179" s="111"/>
      <c r="I2179" s="103"/>
      <c r="J2179" s="103"/>
      <c r="K2179" s="103"/>
      <c r="L2179" s="108"/>
      <c r="M2179" s="103"/>
      <c r="N2179" s="103"/>
      <c r="O2179" s="114"/>
      <c r="P2179" s="110"/>
      <c r="Q2179" s="111"/>
    </row>
    <row r="2180" ht="25.5" customHeight="1">
      <c r="A2180" s="59"/>
      <c r="B2180" s="104"/>
      <c r="C2180" s="96"/>
      <c r="D2180" s="105"/>
      <c r="E2180" s="105"/>
      <c r="F2180" s="105"/>
      <c r="G2180" s="106"/>
      <c r="H2180" s="104"/>
      <c r="I2180" s="107"/>
      <c r="J2180" s="107"/>
      <c r="K2180" s="107"/>
      <c r="L2180" s="108"/>
      <c r="M2180" s="107"/>
      <c r="N2180" s="107"/>
      <c r="O2180" s="109"/>
      <c r="P2180" s="59"/>
      <c r="Q2180" s="104"/>
    </row>
    <row r="2181" ht="25.5" customHeight="1">
      <c r="A2181" s="110"/>
      <c r="B2181" s="111"/>
      <c r="C2181" s="96"/>
      <c r="D2181" s="112"/>
      <c r="E2181" s="112"/>
      <c r="F2181" s="112"/>
      <c r="G2181" s="113"/>
      <c r="H2181" s="111"/>
      <c r="I2181" s="103"/>
      <c r="J2181" s="103"/>
      <c r="K2181" s="103"/>
      <c r="L2181" s="108"/>
      <c r="M2181" s="103"/>
      <c r="N2181" s="103"/>
      <c r="O2181" s="114"/>
      <c r="P2181" s="110"/>
      <c r="Q2181" s="111"/>
    </row>
    <row r="2182" ht="25.5" customHeight="1">
      <c r="A2182" s="59"/>
      <c r="B2182" s="104"/>
      <c r="C2182" s="96"/>
      <c r="D2182" s="105"/>
      <c r="E2182" s="105"/>
      <c r="F2182" s="105"/>
      <c r="G2182" s="106"/>
      <c r="H2182" s="104"/>
      <c r="I2182" s="107"/>
      <c r="J2182" s="107"/>
      <c r="K2182" s="107"/>
      <c r="L2182" s="108"/>
      <c r="M2182" s="107"/>
      <c r="N2182" s="107"/>
      <c r="O2182" s="109"/>
      <c r="P2182" s="59"/>
      <c r="Q2182" s="104"/>
    </row>
    <row r="2183" ht="25.5" customHeight="1">
      <c r="A2183" s="110"/>
      <c r="B2183" s="111"/>
      <c r="C2183" s="96"/>
      <c r="D2183" s="112"/>
      <c r="E2183" s="112"/>
      <c r="F2183" s="112"/>
      <c r="G2183" s="113"/>
      <c r="H2183" s="111"/>
      <c r="I2183" s="103"/>
      <c r="J2183" s="103"/>
      <c r="K2183" s="103"/>
      <c r="L2183" s="108"/>
      <c r="M2183" s="103"/>
      <c r="N2183" s="103"/>
      <c r="O2183" s="114"/>
      <c r="P2183" s="110"/>
      <c r="Q2183" s="111"/>
    </row>
    <row r="2184" ht="25.5" customHeight="1">
      <c r="A2184" s="59"/>
      <c r="B2184" s="104"/>
      <c r="C2184" s="96"/>
      <c r="D2184" s="105"/>
      <c r="E2184" s="105"/>
      <c r="F2184" s="105"/>
      <c r="G2184" s="106"/>
      <c r="H2184" s="104"/>
      <c r="I2184" s="107"/>
      <c r="J2184" s="107"/>
      <c r="K2184" s="107"/>
      <c r="L2184" s="108"/>
      <c r="M2184" s="107"/>
      <c r="N2184" s="107"/>
      <c r="O2184" s="109"/>
      <c r="P2184" s="59"/>
      <c r="Q2184" s="104"/>
    </row>
    <row r="2185" ht="25.5" customHeight="1">
      <c r="A2185" s="110"/>
      <c r="B2185" s="111"/>
      <c r="C2185" s="96"/>
      <c r="D2185" s="112"/>
      <c r="E2185" s="112"/>
      <c r="F2185" s="112"/>
      <c r="G2185" s="113"/>
      <c r="H2185" s="111"/>
      <c r="I2185" s="103"/>
      <c r="J2185" s="103"/>
      <c r="K2185" s="103"/>
      <c r="L2185" s="108"/>
      <c r="M2185" s="103"/>
      <c r="N2185" s="103"/>
      <c r="O2185" s="114"/>
      <c r="P2185" s="110"/>
      <c r="Q2185" s="111"/>
    </row>
    <row r="2186" ht="25.5" customHeight="1">
      <c r="A2186" s="59"/>
      <c r="B2186" s="104"/>
      <c r="C2186" s="96"/>
      <c r="D2186" s="105"/>
      <c r="E2186" s="105"/>
      <c r="F2186" s="105"/>
      <c r="G2186" s="106"/>
      <c r="H2186" s="104"/>
      <c r="I2186" s="107"/>
      <c r="J2186" s="107"/>
      <c r="K2186" s="107"/>
      <c r="L2186" s="108"/>
      <c r="M2186" s="107"/>
      <c r="N2186" s="107"/>
      <c r="O2186" s="109"/>
      <c r="P2186" s="59"/>
      <c r="Q2186" s="104"/>
    </row>
    <row r="2187" ht="25.5" customHeight="1">
      <c r="A2187" s="110"/>
      <c r="B2187" s="111"/>
      <c r="C2187" s="96"/>
      <c r="D2187" s="112"/>
      <c r="E2187" s="112"/>
      <c r="F2187" s="112"/>
      <c r="G2187" s="113"/>
      <c r="H2187" s="111"/>
      <c r="I2187" s="103"/>
      <c r="J2187" s="103"/>
      <c r="K2187" s="103"/>
      <c r="L2187" s="108"/>
      <c r="M2187" s="103"/>
      <c r="N2187" s="103"/>
      <c r="O2187" s="114"/>
      <c r="P2187" s="110"/>
      <c r="Q2187" s="111"/>
    </row>
    <row r="2188" ht="25.5" customHeight="1">
      <c r="A2188" s="59"/>
      <c r="B2188" s="104"/>
      <c r="C2188" s="96"/>
      <c r="D2188" s="105"/>
      <c r="E2188" s="105"/>
      <c r="F2188" s="105"/>
      <c r="G2188" s="106"/>
      <c r="H2188" s="104"/>
      <c r="I2188" s="107"/>
      <c r="J2188" s="107"/>
      <c r="K2188" s="107"/>
      <c r="L2188" s="108"/>
      <c r="M2188" s="107"/>
      <c r="N2188" s="107"/>
      <c r="O2188" s="109"/>
      <c r="P2188" s="59"/>
      <c r="Q2188" s="104"/>
    </row>
    <row r="2189" ht="25.5" customHeight="1">
      <c r="A2189" s="110"/>
      <c r="B2189" s="111"/>
      <c r="C2189" s="96"/>
      <c r="D2189" s="112"/>
      <c r="E2189" s="112"/>
      <c r="F2189" s="112"/>
      <c r="G2189" s="113"/>
      <c r="H2189" s="111"/>
      <c r="I2189" s="103"/>
      <c r="J2189" s="103"/>
      <c r="K2189" s="103"/>
      <c r="L2189" s="108"/>
      <c r="M2189" s="103"/>
      <c r="N2189" s="103"/>
      <c r="O2189" s="114"/>
      <c r="P2189" s="110"/>
      <c r="Q2189" s="111"/>
    </row>
    <row r="2190" ht="25.5" customHeight="1">
      <c r="A2190" s="59"/>
      <c r="B2190" s="104"/>
      <c r="C2190" s="96"/>
      <c r="D2190" s="105"/>
      <c r="E2190" s="105"/>
      <c r="F2190" s="105"/>
      <c r="G2190" s="106"/>
      <c r="H2190" s="104"/>
      <c r="I2190" s="107"/>
      <c r="J2190" s="107"/>
      <c r="K2190" s="107"/>
      <c r="L2190" s="108"/>
      <c r="M2190" s="107"/>
      <c r="N2190" s="107"/>
      <c r="O2190" s="109"/>
      <c r="P2190" s="59"/>
      <c r="Q2190" s="104"/>
    </row>
    <row r="2191" ht="25.5" customHeight="1">
      <c r="A2191" s="110"/>
      <c r="B2191" s="111"/>
      <c r="C2191" s="96"/>
      <c r="D2191" s="112"/>
      <c r="E2191" s="112"/>
      <c r="F2191" s="112"/>
      <c r="G2191" s="113"/>
      <c r="H2191" s="111"/>
      <c r="I2191" s="103"/>
      <c r="J2191" s="103"/>
      <c r="K2191" s="103"/>
      <c r="L2191" s="108"/>
      <c r="M2191" s="103"/>
      <c r="N2191" s="103"/>
      <c r="O2191" s="114"/>
      <c r="P2191" s="110"/>
      <c r="Q2191" s="111"/>
    </row>
    <row r="2192" ht="25.5" customHeight="1">
      <c r="A2192" s="59"/>
      <c r="B2192" s="104"/>
      <c r="C2192" s="96"/>
      <c r="D2192" s="105"/>
      <c r="E2192" s="105"/>
      <c r="F2192" s="105"/>
      <c r="G2192" s="106"/>
      <c r="H2192" s="104"/>
      <c r="I2192" s="107"/>
      <c r="J2192" s="107"/>
      <c r="K2192" s="107"/>
      <c r="L2192" s="108"/>
      <c r="M2192" s="107"/>
      <c r="N2192" s="107"/>
      <c r="O2192" s="109"/>
      <c r="P2192" s="59"/>
      <c r="Q2192" s="104"/>
    </row>
    <row r="2193" ht="25.5" customHeight="1">
      <c r="A2193" s="110"/>
      <c r="B2193" s="111"/>
      <c r="C2193" s="96"/>
      <c r="D2193" s="112"/>
      <c r="E2193" s="112"/>
      <c r="F2193" s="112"/>
      <c r="G2193" s="113"/>
      <c r="H2193" s="111"/>
      <c r="I2193" s="103"/>
      <c r="J2193" s="103"/>
      <c r="K2193" s="103"/>
      <c r="L2193" s="108"/>
      <c r="M2193" s="103"/>
      <c r="N2193" s="103"/>
      <c r="O2193" s="114"/>
      <c r="P2193" s="110"/>
      <c r="Q2193" s="111"/>
    </row>
    <row r="2194" ht="25.5" customHeight="1">
      <c r="A2194" s="59"/>
      <c r="B2194" s="104"/>
      <c r="C2194" s="96"/>
      <c r="D2194" s="105"/>
      <c r="E2194" s="105"/>
      <c r="F2194" s="105"/>
      <c r="G2194" s="106"/>
      <c r="H2194" s="104"/>
      <c r="I2194" s="107"/>
      <c r="J2194" s="107"/>
      <c r="K2194" s="107"/>
      <c r="L2194" s="108"/>
      <c r="M2194" s="107"/>
      <c r="N2194" s="107"/>
      <c r="O2194" s="109"/>
      <c r="P2194" s="59"/>
      <c r="Q2194" s="104"/>
    </row>
    <row r="2195" ht="25.5" customHeight="1">
      <c r="A2195" s="110"/>
      <c r="B2195" s="111"/>
      <c r="C2195" s="96"/>
      <c r="D2195" s="112"/>
      <c r="E2195" s="112"/>
      <c r="F2195" s="112"/>
      <c r="G2195" s="113"/>
      <c r="H2195" s="111"/>
      <c r="I2195" s="103"/>
      <c r="J2195" s="103"/>
      <c r="K2195" s="103"/>
      <c r="L2195" s="108"/>
      <c r="M2195" s="103"/>
      <c r="N2195" s="103"/>
      <c r="O2195" s="114"/>
      <c r="P2195" s="110"/>
      <c r="Q2195" s="111"/>
    </row>
    <row r="2196" ht="25.5" customHeight="1">
      <c r="A2196" s="59"/>
      <c r="B2196" s="104"/>
      <c r="C2196" s="96"/>
      <c r="D2196" s="105"/>
      <c r="E2196" s="105"/>
      <c r="F2196" s="105"/>
      <c r="G2196" s="106"/>
      <c r="H2196" s="104"/>
      <c r="I2196" s="107"/>
      <c r="J2196" s="107"/>
      <c r="K2196" s="107"/>
      <c r="L2196" s="108"/>
      <c r="M2196" s="107"/>
      <c r="N2196" s="107"/>
      <c r="O2196" s="109"/>
      <c r="P2196" s="59"/>
      <c r="Q2196" s="104"/>
    </row>
    <row r="2197" ht="25.5" customHeight="1">
      <c r="A2197" s="110"/>
      <c r="B2197" s="111"/>
      <c r="C2197" s="96"/>
      <c r="D2197" s="112"/>
      <c r="E2197" s="112"/>
      <c r="F2197" s="112"/>
      <c r="G2197" s="113"/>
      <c r="H2197" s="111"/>
      <c r="I2197" s="103"/>
      <c r="J2197" s="103"/>
      <c r="K2197" s="103"/>
      <c r="L2197" s="108"/>
      <c r="M2197" s="103"/>
      <c r="N2197" s="103"/>
      <c r="O2197" s="114"/>
      <c r="P2197" s="110"/>
      <c r="Q2197" s="111"/>
    </row>
    <row r="2198" ht="25.5" customHeight="1">
      <c r="A2198" s="59"/>
      <c r="B2198" s="104"/>
      <c r="C2198" s="96"/>
      <c r="D2198" s="105"/>
      <c r="E2198" s="105"/>
      <c r="F2198" s="105"/>
      <c r="G2198" s="106"/>
      <c r="H2198" s="104"/>
      <c r="I2198" s="107"/>
      <c r="J2198" s="107"/>
      <c r="K2198" s="107"/>
      <c r="L2198" s="108"/>
      <c r="M2198" s="107"/>
      <c r="N2198" s="107"/>
      <c r="O2198" s="109"/>
      <c r="P2198" s="59"/>
      <c r="Q2198" s="104"/>
    </row>
    <row r="2199" ht="25.5" customHeight="1">
      <c r="A2199" s="110"/>
      <c r="B2199" s="111"/>
      <c r="C2199" s="96"/>
      <c r="D2199" s="112"/>
      <c r="E2199" s="112"/>
      <c r="F2199" s="112"/>
      <c r="G2199" s="113"/>
      <c r="H2199" s="111"/>
      <c r="I2199" s="103"/>
      <c r="J2199" s="103"/>
      <c r="K2199" s="103"/>
      <c r="L2199" s="108"/>
      <c r="M2199" s="103"/>
      <c r="N2199" s="103"/>
      <c r="O2199" s="114"/>
      <c r="P2199" s="110"/>
      <c r="Q2199" s="111"/>
    </row>
    <row r="2200" ht="25.5" customHeight="1">
      <c r="A2200" s="59"/>
      <c r="B2200" s="104"/>
      <c r="C2200" s="96"/>
      <c r="D2200" s="105"/>
      <c r="E2200" s="105"/>
      <c r="F2200" s="105"/>
      <c r="G2200" s="106"/>
      <c r="H2200" s="104"/>
      <c r="I2200" s="107"/>
      <c r="J2200" s="107"/>
      <c r="K2200" s="107"/>
      <c r="L2200" s="108"/>
      <c r="M2200" s="107"/>
      <c r="N2200" s="107"/>
      <c r="O2200" s="109"/>
      <c r="P2200" s="59"/>
      <c r="Q2200" s="104"/>
    </row>
    <row r="2201" ht="25.5" customHeight="1">
      <c r="A2201" s="110"/>
      <c r="B2201" s="111"/>
      <c r="C2201" s="96"/>
      <c r="D2201" s="112"/>
      <c r="E2201" s="112"/>
      <c r="F2201" s="112"/>
      <c r="G2201" s="113"/>
      <c r="H2201" s="111"/>
      <c r="I2201" s="103"/>
      <c r="J2201" s="103"/>
      <c r="K2201" s="103"/>
      <c r="L2201" s="108"/>
      <c r="M2201" s="103"/>
      <c r="N2201" s="103"/>
      <c r="O2201" s="114"/>
      <c r="P2201" s="110"/>
      <c r="Q2201" s="111"/>
    </row>
    <row r="2202" ht="25.5" customHeight="1">
      <c r="A2202" s="59"/>
      <c r="B2202" s="104"/>
      <c r="C2202" s="96"/>
      <c r="D2202" s="105"/>
      <c r="E2202" s="105"/>
      <c r="F2202" s="105"/>
      <c r="G2202" s="106"/>
      <c r="H2202" s="104"/>
      <c r="I2202" s="107"/>
      <c r="J2202" s="107"/>
      <c r="K2202" s="107"/>
      <c r="L2202" s="108"/>
      <c r="M2202" s="107"/>
      <c r="N2202" s="107"/>
      <c r="O2202" s="109"/>
      <c r="P2202" s="59"/>
      <c r="Q2202" s="104"/>
    </row>
    <row r="2203" ht="25.5" customHeight="1">
      <c r="A2203" s="110"/>
      <c r="B2203" s="111"/>
      <c r="C2203" s="96"/>
      <c r="D2203" s="112"/>
      <c r="E2203" s="112"/>
      <c r="F2203" s="112"/>
      <c r="G2203" s="113"/>
      <c r="H2203" s="111"/>
      <c r="I2203" s="103"/>
      <c r="J2203" s="103"/>
      <c r="K2203" s="103"/>
      <c r="L2203" s="108"/>
      <c r="M2203" s="103"/>
      <c r="N2203" s="103"/>
      <c r="O2203" s="114"/>
      <c r="P2203" s="110"/>
      <c r="Q2203" s="111"/>
    </row>
    <row r="2204" ht="25.5" customHeight="1">
      <c r="A2204" s="59"/>
      <c r="B2204" s="104"/>
      <c r="C2204" s="96"/>
      <c r="D2204" s="105"/>
      <c r="E2204" s="105"/>
      <c r="F2204" s="105"/>
      <c r="G2204" s="106"/>
      <c r="H2204" s="104"/>
      <c r="I2204" s="107"/>
      <c r="J2204" s="107"/>
      <c r="K2204" s="107"/>
      <c r="L2204" s="108"/>
      <c r="M2204" s="107"/>
      <c r="N2204" s="107"/>
      <c r="O2204" s="109"/>
      <c r="P2204" s="59"/>
      <c r="Q2204" s="104"/>
    </row>
    <row r="2205" ht="25.5" customHeight="1">
      <c r="A2205" s="110"/>
      <c r="B2205" s="111"/>
      <c r="C2205" s="96"/>
      <c r="D2205" s="112"/>
      <c r="E2205" s="112"/>
      <c r="F2205" s="112"/>
      <c r="G2205" s="113"/>
      <c r="H2205" s="111"/>
      <c r="I2205" s="103"/>
      <c r="J2205" s="103"/>
      <c r="K2205" s="103"/>
      <c r="L2205" s="108"/>
      <c r="M2205" s="103"/>
      <c r="N2205" s="103"/>
      <c r="O2205" s="114"/>
      <c r="P2205" s="110"/>
      <c r="Q2205" s="111"/>
    </row>
    <row r="2206" ht="25.5" customHeight="1">
      <c r="A2206" s="59"/>
      <c r="B2206" s="104"/>
      <c r="C2206" s="96"/>
      <c r="D2206" s="105"/>
      <c r="E2206" s="105"/>
      <c r="F2206" s="105"/>
      <c r="G2206" s="106"/>
      <c r="H2206" s="104"/>
      <c r="I2206" s="107"/>
      <c r="J2206" s="107"/>
      <c r="K2206" s="107"/>
      <c r="L2206" s="108"/>
      <c r="M2206" s="107"/>
      <c r="N2206" s="107"/>
      <c r="O2206" s="109"/>
      <c r="P2206" s="59"/>
      <c r="Q2206" s="104"/>
    </row>
    <row r="2207" ht="25.5" customHeight="1">
      <c r="A2207" s="110"/>
      <c r="B2207" s="111"/>
      <c r="C2207" s="96"/>
      <c r="D2207" s="112"/>
      <c r="E2207" s="112"/>
      <c r="F2207" s="112"/>
      <c r="G2207" s="113"/>
      <c r="H2207" s="111"/>
      <c r="I2207" s="103"/>
      <c r="J2207" s="103"/>
      <c r="K2207" s="103"/>
      <c r="L2207" s="108"/>
      <c r="M2207" s="103"/>
      <c r="N2207" s="103"/>
      <c r="O2207" s="114"/>
      <c r="P2207" s="110"/>
      <c r="Q2207" s="111"/>
    </row>
    <row r="2208" ht="25.5" customHeight="1">
      <c r="A2208" s="59"/>
      <c r="B2208" s="104"/>
      <c r="C2208" s="96"/>
      <c r="D2208" s="105"/>
      <c r="E2208" s="105"/>
      <c r="F2208" s="105"/>
      <c r="G2208" s="106"/>
      <c r="H2208" s="104"/>
      <c r="I2208" s="107"/>
      <c r="J2208" s="107"/>
      <c r="K2208" s="107"/>
      <c r="L2208" s="108"/>
      <c r="M2208" s="107"/>
      <c r="N2208" s="107"/>
      <c r="O2208" s="109"/>
      <c r="P2208" s="59"/>
      <c r="Q2208" s="104"/>
    </row>
    <row r="2209" ht="25.5" customHeight="1">
      <c r="A2209" s="110"/>
      <c r="B2209" s="111"/>
      <c r="C2209" s="96"/>
      <c r="D2209" s="112"/>
      <c r="E2209" s="112"/>
      <c r="F2209" s="112"/>
      <c r="G2209" s="113"/>
      <c r="H2209" s="111"/>
      <c r="I2209" s="103"/>
      <c r="J2209" s="103"/>
      <c r="K2209" s="103"/>
      <c r="L2209" s="108"/>
      <c r="M2209" s="103"/>
      <c r="N2209" s="103"/>
      <c r="O2209" s="114"/>
      <c r="P2209" s="110"/>
      <c r="Q2209" s="111"/>
    </row>
    <row r="2210" ht="25.5" customHeight="1">
      <c r="A2210" s="59"/>
      <c r="B2210" s="104"/>
      <c r="C2210" s="96"/>
      <c r="D2210" s="105"/>
      <c r="E2210" s="105"/>
      <c r="F2210" s="105"/>
      <c r="G2210" s="106"/>
      <c r="H2210" s="104"/>
      <c r="I2210" s="107"/>
      <c r="J2210" s="107"/>
      <c r="K2210" s="107"/>
      <c r="L2210" s="108"/>
      <c r="M2210" s="107"/>
      <c r="N2210" s="107"/>
      <c r="O2210" s="109"/>
      <c r="P2210" s="59"/>
      <c r="Q2210" s="104"/>
    </row>
    <row r="2211" ht="25.5" customHeight="1">
      <c r="A2211" s="110"/>
      <c r="B2211" s="111"/>
      <c r="C2211" s="96"/>
      <c r="D2211" s="112"/>
      <c r="E2211" s="112"/>
      <c r="F2211" s="112"/>
      <c r="G2211" s="113"/>
      <c r="H2211" s="111"/>
      <c r="I2211" s="103"/>
      <c r="J2211" s="103"/>
      <c r="K2211" s="103"/>
      <c r="L2211" s="108"/>
      <c r="M2211" s="103"/>
      <c r="N2211" s="103"/>
      <c r="O2211" s="114"/>
      <c r="P2211" s="110"/>
      <c r="Q2211" s="111"/>
    </row>
    <row r="2212" ht="25.5" customHeight="1">
      <c r="A2212" s="59"/>
      <c r="B2212" s="104"/>
      <c r="C2212" s="96"/>
      <c r="D2212" s="105"/>
      <c r="E2212" s="105"/>
      <c r="F2212" s="105"/>
      <c r="G2212" s="106"/>
      <c r="H2212" s="104"/>
      <c r="I2212" s="107"/>
      <c r="J2212" s="107"/>
      <c r="K2212" s="107"/>
      <c r="L2212" s="108"/>
      <c r="M2212" s="107"/>
      <c r="N2212" s="107"/>
      <c r="O2212" s="109"/>
      <c r="P2212" s="59"/>
      <c r="Q2212" s="104"/>
    </row>
    <row r="2213" ht="25.5" customHeight="1">
      <c r="A2213" s="110"/>
      <c r="B2213" s="111"/>
      <c r="C2213" s="96"/>
      <c r="D2213" s="112"/>
      <c r="E2213" s="112"/>
      <c r="F2213" s="112"/>
      <c r="G2213" s="113"/>
      <c r="H2213" s="111"/>
      <c r="I2213" s="103"/>
      <c r="J2213" s="103"/>
      <c r="K2213" s="103"/>
      <c r="L2213" s="108"/>
      <c r="M2213" s="103"/>
      <c r="N2213" s="103"/>
      <c r="O2213" s="114"/>
      <c r="P2213" s="110"/>
      <c r="Q2213" s="111"/>
    </row>
    <row r="2214" ht="25.5" customHeight="1">
      <c r="A2214" s="59"/>
      <c r="B2214" s="104"/>
      <c r="C2214" s="96"/>
      <c r="D2214" s="105"/>
      <c r="E2214" s="105"/>
      <c r="F2214" s="105"/>
      <c r="G2214" s="106"/>
      <c r="H2214" s="104"/>
      <c r="I2214" s="107"/>
      <c r="J2214" s="107"/>
      <c r="K2214" s="107"/>
      <c r="L2214" s="108"/>
      <c r="M2214" s="107"/>
      <c r="N2214" s="107"/>
      <c r="O2214" s="109"/>
      <c r="P2214" s="59"/>
      <c r="Q2214" s="104"/>
    </row>
    <row r="2215" ht="25.5" customHeight="1">
      <c r="A2215" s="110"/>
      <c r="B2215" s="111"/>
      <c r="C2215" s="96"/>
      <c r="D2215" s="112"/>
      <c r="E2215" s="112"/>
      <c r="F2215" s="112"/>
      <c r="G2215" s="113"/>
      <c r="H2215" s="111"/>
      <c r="I2215" s="103"/>
      <c r="J2215" s="103"/>
      <c r="K2215" s="103"/>
      <c r="L2215" s="108"/>
      <c r="M2215" s="103"/>
      <c r="N2215" s="103"/>
      <c r="O2215" s="114"/>
      <c r="P2215" s="110"/>
      <c r="Q2215" s="111"/>
    </row>
    <row r="2216" ht="25.5" customHeight="1">
      <c r="A2216" s="59"/>
      <c r="B2216" s="104"/>
      <c r="C2216" s="96"/>
      <c r="D2216" s="105"/>
      <c r="E2216" s="105"/>
      <c r="F2216" s="105"/>
      <c r="G2216" s="106"/>
      <c r="H2216" s="104"/>
      <c r="I2216" s="107"/>
      <c r="J2216" s="107"/>
      <c r="K2216" s="107"/>
      <c r="L2216" s="108"/>
      <c r="M2216" s="107"/>
      <c r="N2216" s="107"/>
      <c r="O2216" s="109"/>
      <c r="P2216" s="59"/>
      <c r="Q2216" s="104"/>
    </row>
    <row r="2217" ht="25.5" customHeight="1">
      <c r="A2217" s="110"/>
      <c r="B2217" s="111"/>
      <c r="C2217" s="96"/>
      <c r="D2217" s="112"/>
      <c r="E2217" s="112"/>
      <c r="F2217" s="112"/>
      <c r="G2217" s="113"/>
      <c r="H2217" s="111"/>
      <c r="I2217" s="103"/>
      <c r="J2217" s="103"/>
      <c r="K2217" s="103"/>
      <c r="L2217" s="108"/>
      <c r="M2217" s="103"/>
      <c r="N2217" s="103"/>
      <c r="O2217" s="114"/>
      <c r="P2217" s="110"/>
      <c r="Q2217" s="111"/>
    </row>
    <row r="2218" ht="25.5" customHeight="1">
      <c r="A2218" s="59"/>
      <c r="B2218" s="104"/>
      <c r="C2218" s="96"/>
      <c r="D2218" s="105"/>
      <c r="E2218" s="105"/>
      <c r="F2218" s="105"/>
      <c r="G2218" s="106"/>
      <c r="H2218" s="104"/>
      <c r="I2218" s="107"/>
      <c r="J2218" s="107"/>
      <c r="K2218" s="107"/>
      <c r="L2218" s="108"/>
      <c r="M2218" s="107"/>
      <c r="N2218" s="107"/>
      <c r="O2218" s="109"/>
      <c r="P2218" s="59"/>
      <c r="Q2218" s="104"/>
    </row>
    <row r="2219" ht="25.5" customHeight="1">
      <c r="A2219" s="110"/>
      <c r="B2219" s="111"/>
      <c r="C2219" s="96"/>
      <c r="D2219" s="112"/>
      <c r="E2219" s="112"/>
      <c r="F2219" s="112"/>
      <c r="G2219" s="113"/>
      <c r="H2219" s="111"/>
      <c r="I2219" s="103"/>
      <c r="J2219" s="103"/>
      <c r="K2219" s="103"/>
      <c r="L2219" s="108"/>
      <c r="M2219" s="103"/>
      <c r="N2219" s="103"/>
      <c r="O2219" s="114"/>
      <c r="P2219" s="110"/>
      <c r="Q2219" s="111"/>
    </row>
    <row r="2220" ht="25.5" customHeight="1">
      <c r="A2220" s="59"/>
      <c r="B2220" s="104"/>
      <c r="C2220" s="96"/>
      <c r="D2220" s="105"/>
      <c r="E2220" s="105"/>
      <c r="F2220" s="105"/>
      <c r="G2220" s="106"/>
      <c r="H2220" s="104"/>
      <c r="I2220" s="107"/>
      <c r="J2220" s="107"/>
      <c r="K2220" s="107"/>
      <c r="L2220" s="108"/>
      <c r="M2220" s="107"/>
      <c r="N2220" s="107"/>
      <c r="O2220" s="109"/>
      <c r="P2220" s="59"/>
      <c r="Q2220" s="104"/>
    </row>
    <row r="2221" ht="25.5" customHeight="1">
      <c r="A2221" s="110"/>
      <c r="B2221" s="111"/>
      <c r="C2221" s="96"/>
      <c r="D2221" s="112"/>
      <c r="E2221" s="112"/>
      <c r="F2221" s="112"/>
      <c r="G2221" s="113"/>
      <c r="H2221" s="111"/>
      <c r="I2221" s="103"/>
      <c r="J2221" s="103"/>
      <c r="K2221" s="103"/>
      <c r="L2221" s="108"/>
      <c r="M2221" s="103"/>
      <c r="N2221" s="103"/>
      <c r="O2221" s="114"/>
      <c r="P2221" s="110"/>
      <c r="Q2221" s="111"/>
    </row>
    <row r="2222" ht="25.5" customHeight="1">
      <c r="A2222" s="59"/>
      <c r="B2222" s="104"/>
      <c r="C2222" s="96"/>
      <c r="D2222" s="105"/>
      <c r="E2222" s="105"/>
      <c r="F2222" s="105"/>
      <c r="G2222" s="106"/>
      <c r="H2222" s="104"/>
      <c r="I2222" s="107"/>
      <c r="J2222" s="107"/>
      <c r="K2222" s="107"/>
      <c r="L2222" s="108"/>
      <c r="M2222" s="107"/>
      <c r="N2222" s="107"/>
      <c r="O2222" s="109"/>
      <c r="P2222" s="59"/>
      <c r="Q2222" s="104"/>
    </row>
    <row r="2223" ht="25.5" customHeight="1">
      <c r="A2223" s="110"/>
      <c r="B2223" s="111"/>
      <c r="C2223" s="96"/>
      <c r="D2223" s="112"/>
      <c r="E2223" s="112"/>
      <c r="F2223" s="112"/>
      <c r="G2223" s="113"/>
      <c r="H2223" s="111"/>
      <c r="I2223" s="103"/>
      <c r="J2223" s="103"/>
      <c r="K2223" s="103"/>
      <c r="L2223" s="108"/>
      <c r="M2223" s="103"/>
      <c r="N2223" s="103"/>
      <c r="O2223" s="114"/>
      <c r="P2223" s="110"/>
      <c r="Q2223" s="111"/>
    </row>
    <row r="2224" ht="25.5" customHeight="1">
      <c r="A2224" s="59"/>
      <c r="B2224" s="104"/>
      <c r="C2224" s="96"/>
      <c r="D2224" s="105"/>
      <c r="E2224" s="105"/>
      <c r="F2224" s="105"/>
      <c r="G2224" s="106"/>
      <c r="H2224" s="104"/>
      <c r="I2224" s="107"/>
      <c r="J2224" s="107"/>
      <c r="K2224" s="107"/>
      <c r="L2224" s="108"/>
      <c r="M2224" s="107"/>
      <c r="N2224" s="107"/>
      <c r="O2224" s="109"/>
      <c r="P2224" s="59"/>
      <c r="Q2224" s="104"/>
    </row>
    <row r="2225" ht="25.5" customHeight="1">
      <c r="A2225" s="110"/>
      <c r="B2225" s="111"/>
      <c r="C2225" s="96"/>
      <c r="D2225" s="112"/>
      <c r="E2225" s="112"/>
      <c r="F2225" s="112"/>
      <c r="G2225" s="113"/>
      <c r="H2225" s="111"/>
      <c r="I2225" s="103"/>
      <c r="J2225" s="103"/>
      <c r="K2225" s="103"/>
      <c r="L2225" s="108"/>
      <c r="M2225" s="103"/>
      <c r="N2225" s="103"/>
      <c r="O2225" s="114"/>
      <c r="P2225" s="110"/>
      <c r="Q2225" s="111"/>
    </row>
    <row r="2226" ht="25.5" customHeight="1">
      <c r="A2226" s="59"/>
      <c r="B2226" s="104"/>
      <c r="C2226" s="96"/>
      <c r="D2226" s="105"/>
      <c r="E2226" s="105"/>
      <c r="F2226" s="105"/>
      <c r="G2226" s="106"/>
      <c r="H2226" s="104"/>
      <c r="I2226" s="107"/>
      <c r="J2226" s="107"/>
      <c r="K2226" s="107"/>
      <c r="L2226" s="108"/>
      <c r="M2226" s="107"/>
      <c r="N2226" s="107"/>
      <c r="O2226" s="109"/>
      <c r="P2226" s="59"/>
      <c r="Q2226" s="104"/>
    </row>
    <row r="2227" ht="25.5" customHeight="1">
      <c r="A2227" s="110"/>
      <c r="B2227" s="111"/>
      <c r="C2227" s="96"/>
      <c r="D2227" s="112"/>
      <c r="E2227" s="112"/>
      <c r="F2227" s="112"/>
      <c r="G2227" s="113"/>
      <c r="H2227" s="111"/>
      <c r="I2227" s="103"/>
      <c r="J2227" s="103"/>
      <c r="K2227" s="103"/>
      <c r="L2227" s="108"/>
      <c r="M2227" s="103"/>
      <c r="N2227" s="103"/>
      <c r="O2227" s="114"/>
      <c r="P2227" s="110"/>
      <c r="Q2227" s="111"/>
    </row>
    <row r="2228" ht="25.5" customHeight="1">
      <c r="A2228" s="59"/>
      <c r="B2228" s="104"/>
      <c r="C2228" s="96"/>
      <c r="D2228" s="105"/>
      <c r="E2228" s="105"/>
      <c r="F2228" s="105"/>
      <c r="G2228" s="106"/>
      <c r="H2228" s="104"/>
      <c r="I2228" s="107"/>
      <c r="J2228" s="107"/>
      <c r="K2228" s="107"/>
      <c r="L2228" s="108"/>
      <c r="M2228" s="107"/>
      <c r="N2228" s="107"/>
      <c r="O2228" s="109"/>
      <c r="P2228" s="59"/>
      <c r="Q2228" s="104"/>
    </row>
    <row r="2229" ht="25.5" customHeight="1">
      <c r="A2229" s="110"/>
      <c r="B2229" s="111"/>
      <c r="C2229" s="96"/>
      <c r="D2229" s="112"/>
      <c r="E2229" s="112"/>
      <c r="F2229" s="112"/>
      <c r="G2229" s="113"/>
      <c r="H2229" s="111"/>
      <c r="I2229" s="103"/>
      <c r="J2229" s="103"/>
      <c r="K2229" s="103"/>
      <c r="L2229" s="108"/>
      <c r="M2229" s="103"/>
      <c r="N2229" s="103"/>
      <c r="O2229" s="114"/>
      <c r="P2229" s="110"/>
      <c r="Q2229" s="111"/>
    </row>
    <row r="2230" ht="25.5" customHeight="1">
      <c r="A2230" s="59"/>
      <c r="B2230" s="104"/>
      <c r="C2230" s="96"/>
      <c r="D2230" s="105"/>
      <c r="E2230" s="105"/>
      <c r="F2230" s="105"/>
      <c r="G2230" s="106"/>
      <c r="H2230" s="104"/>
      <c r="I2230" s="107"/>
      <c r="J2230" s="107"/>
      <c r="K2230" s="107"/>
      <c r="L2230" s="108"/>
      <c r="M2230" s="107"/>
      <c r="N2230" s="107"/>
      <c r="O2230" s="109"/>
      <c r="P2230" s="59"/>
      <c r="Q2230" s="104"/>
    </row>
    <row r="2231" ht="25.5" customHeight="1">
      <c r="A2231" s="110"/>
      <c r="B2231" s="111"/>
      <c r="C2231" s="96"/>
      <c r="D2231" s="112"/>
      <c r="E2231" s="112"/>
      <c r="F2231" s="112"/>
      <c r="G2231" s="113"/>
      <c r="H2231" s="111"/>
      <c r="I2231" s="103"/>
      <c r="J2231" s="103"/>
      <c r="K2231" s="103"/>
      <c r="L2231" s="108"/>
      <c r="M2231" s="103"/>
      <c r="N2231" s="103"/>
      <c r="O2231" s="114"/>
      <c r="P2231" s="110"/>
      <c r="Q2231" s="111"/>
    </row>
    <row r="2232" ht="25.5" customHeight="1">
      <c r="A2232" s="59"/>
      <c r="B2232" s="104"/>
      <c r="C2232" s="96"/>
      <c r="D2232" s="105"/>
      <c r="E2232" s="105"/>
      <c r="F2232" s="105"/>
      <c r="G2232" s="106"/>
      <c r="H2232" s="104"/>
      <c r="I2232" s="107"/>
      <c r="J2232" s="107"/>
      <c r="K2232" s="107"/>
      <c r="L2232" s="108"/>
      <c r="M2232" s="107"/>
      <c r="N2232" s="107"/>
      <c r="O2232" s="109"/>
      <c r="P2232" s="59"/>
      <c r="Q2232" s="104"/>
    </row>
    <row r="2233" ht="25.5" customHeight="1">
      <c r="A2233" s="110"/>
      <c r="B2233" s="111"/>
      <c r="C2233" s="96"/>
      <c r="D2233" s="112"/>
      <c r="E2233" s="112"/>
      <c r="F2233" s="112"/>
      <c r="G2233" s="113"/>
      <c r="H2233" s="111"/>
      <c r="I2233" s="103"/>
      <c r="J2233" s="103"/>
      <c r="K2233" s="103"/>
      <c r="L2233" s="108"/>
      <c r="M2233" s="103"/>
      <c r="N2233" s="103"/>
      <c r="O2233" s="114"/>
      <c r="P2233" s="110"/>
      <c r="Q2233" s="111"/>
    </row>
    <row r="2234" ht="25.5" customHeight="1">
      <c r="A2234" s="59"/>
      <c r="B2234" s="104"/>
      <c r="C2234" s="96"/>
      <c r="D2234" s="105"/>
      <c r="E2234" s="105"/>
      <c r="F2234" s="105"/>
      <c r="G2234" s="106"/>
      <c r="H2234" s="104"/>
      <c r="I2234" s="107"/>
      <c r="J2234" s="107"/>
      <c r="K2234" s="107"/>
      <c r="L2234" s="108"/>
      <c r="M2234" s="107"/>
      <c r="N2234" s="107"/>
      <c r="O2234" s="109"/>
      <c r="P2234" s="59"/>
      <c r="Q2234" s="104"/>
    </row>
    <row r="2235" ht="25.5" customHeight="1">
      <c r="A2235" s="110"/>
      <c r="B2235" s="111"/>
      <c r="C2235" s="96"/>
      <c r="D2235" s="112"/>
      <c r="E2235" s="112"/>
      <c r="F2235" s="112"/>
      <c r="G2235" s="113"/>
      <c r="H2235" s="111"/>
      <c r="I2235" s="103"/>
      <c r="J2235" s="103"/>
      <c r="K2235" s="103"/>
      <c r="L2235" s="108"/>
      <c r="M2235" s="103"/>
      <c r="N2235" s="103"/>
      <c r="O2235" s="114"/>
      <c r="P2235" s="110"/>
      <c r="Q2235" s="111"/>
    </row>
    <row r="2236" ht="25.5" customHeight="1">
      <c r="A2236" s="59"/>
      <c r="B2236" s="104"/>
      <c r="C2236" s="96"/>
      <c r="D2236" s="105"/>
      <c r="E2236" s="105"/>
      <c r="F2236" s="105"/>
      <c r="G2236" s="106"/>
      <c r="H2236" s="104"/>
      <c r="I2236" s="107"/>
      <c r="J2236" s="107"/>
      <c r="K2236" s="107"/>
      <c r="L2236" s="108"/>
      <c r="M2236" s="107"/>
      <c r="N2236" s="107"/>
      <c r="O2236" s="109"/>
      <c r="P2236" s="59"/>
      <c r="Q2236" s="104"/>
    </row>
    <row r="2237" ht="25.5" customHeight="1">
      <c r="A2237" s="110"/>
      <c r="B2237" s="111"/>
      <c r="C2237" s="96"/>
      <c r="D2237" s="112"/>
      <c r="E2237" s="112"/>
      <c r="F2237" s="112"/>
      <c r="G2237" s="113"/>
      <c r="H2237" s="111"/>
      <c r="I2237" s="103"/>
      <c r="J2237" s="103"/>
      <c r="K2237" s="103"/>
      <c r="L2237" s="108"/>
      <c r="M2237" s="103"/>
      <c r="N2237" s="103"/>
      <c r="O2237" s="114"/>
      <c r="P2237" s="110"/>
      <c r="Q2237" s="111"/>
    </row>
    <row r="2238" ht="25.5" customHeight="1">
      <c r="A2238" s="59"/>
      <c r="B2238" s="104"/>
      <c r="C2238" s="96"/>
      <c r="D2238" s="105"/>
      <c r="E2238" s="105"/>
      <c r="F2238" s="105"/>
      <c r="G2238" s="106"/>
      <c r="H2238" s="104"/>
      <c r="I2238" s="107"/>
      <c r="J2238" s="107"/>
      <c r="K2238" s="107"/>
      <c r="L2238" s="108"/>
      <c r="M2238" s="107"/>
      <c r="N2238" s="107"/>
      <c r="O2238" s="109"/>
      <c r="P2238" s="59"/>
      <c r="Q2238" s="104"/>
    </row>
    <row r="2239" ht="25.5" customHeight="1">
      <c r="A2239" s="110"/>
      <c r="B2239" s="111"/>
      <c r="C2239" s="96"/>
      <c r="D2239" s="112"/>
      <c r="E2239" s="112"/>
      <c r="F2239" s="112"/>
      <c r="G2239" s="113"/>
      <c r="H2239" s="111"/>
      <c r="I2239" s="103"/>
      <c r="J2239" s="103"/>
      <c r="K2239" s="103"/>
      <c r="L2239" s="108"/>
      <c r="M2239" s="103"/>
      <c r="N2239" s="103"/>
      <c r="O2239" s="114"/>
      <c r="P2239" s="110"/>
      <c r="Q2239" s="111"/>
    </row>
    <row r="2240" ht="25.5" customHeight="1">
      <c r="A2240" s="59"/>
      <c r="B2240" s="104"/>
      <c r="C2240" s="96"/>
      <c r="D2240" s="105"/>
      <c r="E2240" s="105"/>
      <c r="F2240" s="105"/>
      <c r="G2240" s="106"/>
      <c r="H2240" s="104"/>
      <c r="I2240" s="107"/>
      <c r="J2240" s="107"/>
      <c r="K2240" s="107"/>
      <c r="L2240" s="108"/>
      <c r="M2240" s="107"/>
      <c r="N2240" s="107"/>
      <c r="O2240" s="109"/>
      <c r="P2240" s="59"/>
      <c r="Q2240" s="104"/>
    </row>
    <row r="2241" ht="25.5" customHeight="1">
      <c r="A2241" s="110"/>
      <c r="B2241" s="111"/>
      <c r="C2241" s="96"/>
      <c r="D2241" s="112"/>
      <c r="E2241" s="112"/>
      <c r="F2241" s="112"/>
      <c r="G2241" s="113"/>
      <c r="H2241" s="111"/>
      <c r="I2241" s="103"/>
      <c r="J2241" s="103"/>
      <c r="K2241" s="103"/>
      <c r="L2241" s="108"/>
      <c r="M2241" s="103"/>
      <c r="N2241" s="103"/>
      <c r="O2241" s="114"/>
      <c r="P2241" s="110"/>
      <c r="Q2241" s="111"/>
    </row>
    <row r="2242" ht="25.5" customHeight="1">
      <c r="A2242" s="59"/>
      <c r="B2242" s="104"/>
      <c r="C2242" s="96"/>
      <c r="D2242" s="105"/>
      <c r="E2242" s="105"/>
      <c r="F2242" s="105"/>
      <c r="G2242" s="106"/>
      <c r="H2242" s="104"/>
      <c r="I2242" s="107"/>
      <c r="J2242" s="107"/>
      <c r="K2242" s="107"/>
      <c r="L2242" s="108"/>
      <c r="M2242" s="107"/>
      <c r="N2242" s="107"/>
      <c r="O2242" s="109"/>
      <c r="P2242" s="59"/>
      <c r="Q2242" s="104"/>
    </row>
    <row r="2243" ht="25.5" customHeight="1">
      <c r="A2243" s="110"/>
      <c r="B2243" s="111"/>
      <c r="C2243" s="96"/>
      <c r="D2243" s="112"/>
      <c r="E2243" s="112"/>
      <c r="F2243" s="112"/>
      <c r="G2243" s="113"/>
      <c r="H2243" s="111"/>
      <c r="I2243" s="103"/>
      <c r="J2243" s="103"/>
      <c r="K2243" s="103"/>
      <c r="L2243" s="108"/>
      <c r="M2243" s="103"/>
      <c r="N2243" s="103"/>
      <c r="O2243" s="114"/>
      <c r="P2243" s="110"/>
      <c r="Q2243" s="111"/>
    </row>
    <row r="2244" ht="25.5" customHeight="1">
      <c r="A2244" s="59"/>
      <c r="B2244" s="104"/>
      <c r="C2244" s="96"/>
      <c r="D2244" s="105"/>
      <c r="E2244" s="105"/>
      <c r="F2244" s="105"/>
      <c r="G2244" s="106"/>
      <c r="H2244" s="104"/>
      <c r="I2244" s="107"/>
      <c r="J2244" s="107"/>
      <c r="K2244" s="107"/>
      <c r="L2244" s="108"/>
      <c r="M2244" s="107"/>
      <c r="N2244" s="107"/>
      <c r="O2244" s="109"/>
      <c r="P2244" s="59"/>
      <c r="Q2244" s="104"/>
    </row>
    <row r="2245" ht="25.5" customHeight="1">
      <c r="A2245" s="110"/>
      <c r="B2245" s="111"/>
      <c r="C2245" s="96"/>
      <c r="D2245" s="112"/>
      <c r="E2245" s="112"/>
      <c r="F2245" s="112"/>
      <c r="G2245" s="113"/>
      <c r="H2245" s="111"/>
      <c r="I2245" s="103"/>
      <c r="J2245" s="103"/>
      <c r="K2245" s="103"/>
      <c r="L2245" s="108"/>
      <c r="M2245" s="103"/>
      <c r="N2245" s="103"/>
      <c r="O2245" s="114"/>
      <c r="P2245" s="110"/>
      <c r="Q2245" s="111"/>
    </row>
    <row r="2246" ht="25.5" customHeight="1">
      <c r="A2246" s="59"/>
      <c r="B2246" s="104"/>
      <c r="C2246" s="96"/>
      <c r="D2246" s="105"/>
      <c r="E2246" s="105"/>
      <c r="F2246" s="105"/>
      <c r="G2246" s="106"/>
      <c r="H2246" s="104"/>
      <c r="I2246" s="107"/>
      <c r="J2246" s="107"/>
      <c r="K2246" s="107"/>
      <c r="L2246" s="108"/>
      <c r="M2246" s="107"/>
      <c r="N2246" s="107"/>
      <c r="O2246" s="109"/>
      <c r="P2246" s="59"/>
      <c r="Q2246" s="104"/>
    </row>
    <row r="2247" ht="25.5" customHeight="1">
      <c r="A2247" s="110"/>
      <c r="B2247" s="111"/>
      <c r="C2247" s="96"/>
      <c r="D2247" s="112"/>
      <c r="E2247" s="112"/>
      <c r="F2247" s="112"/>
      <c r="G2247" s="113"/>
      <c r="H2247" s="111"/>
      <c r="I2247" s="103"/>
      <c r="J2247" s="103"/>
      <c r="K2247" s="103"/>
      <c r="L2247" s="108"/>
      <c r="M2247" s="103"/>
      <c r="N2247" s="103"/>
      <c r="O2247" s="114"/>
      <c r="P2247" s="110"/>
      <c r="Q2247" s="111"/>
    </row>
    <row r="2248" ht="25.5" customHeight="1">
      <c r="A2248" s="59"/>
      <c r="B2248" s="104"/>
      <c r="C2248" s="96"/>
      <c r="D2248" s="105"/>
      <c r="E2248" s="105"/>
      <c r="F2248" s="105"/>
      <c r="G2248" s="106"/>
      <c r="H2248" s="104"/>
      <c r="I2248" s="107"/>
      <c r="J2248" s="107"/>
      <c r="K2248" s="107"/>
      <c r="L2248" s="108"/>
      <c r="M2248" s="107"/>
      <c r="N2248" s="107"/>
      <c r="O2248" s="109"/>
      <c r="P2248" s="59"/>
      <c r="Q2248" s="104"/>
    </row>
    <row r="2249" ht="25.5" customHeight="1">
      <c r="A2249" s="110"/>
      <c r="B2249" s="111"/>
      <c r="C2249" s="96"/>
      <c r="D2249" s="112"/>
      <c r="E2249" s="112"/>
      <c r="F2249" s="112"/>
      <c r="G2249" s="113"/>
      <c r="H2249" s="111"/>
      <c r="I2249" s="103"/>
      <c r="J2249" s="103"/>
      <c r="K2249" s="103"/>
      <c r="L2249" s="108"/>
      <c r="M2249" s="103"/>
      <c r="N2249" s="103"/>
      <c r="O2249" s="114"/>
      <c r="P2249" s="110"/>
      <c r="Q2249" s="111"/>
    </row>
    <row r="2250" ht="25.5" customHeight="1">
      <c r="A2250" s="59"/>
      <c r="B2250" s="104"/>
      <c r="C2250" s="96"/>
      <c r="D2250" s="105"/>
      <c r="E2250" s="105"/>
      <c r="F2250" s="105"/>
      <c r="G2250" s="106"/>
      <c r="H2250" s="104"/>
      <c r="I2250" s="107"/>
      <c r="J2250" s="107"/>
      <c r="K2250" s="107"/>
      <c r="L2250" s="108"/>
      <c r="M2250" s="107"/>
      <c r="N2250" s="107"/>
      <c r="O2250" s="109"/>
      <c r="P2250" s="59"/>
      <c r="Q2250" s="104"/>
    </row>
    <row r="2251" ht="25.5" customHeight="1">
      <c r="A2251" s="110"/>
      <c r="B2251" s="111"/>
      <c r="C2251" s="96"/>
      <c r="D2251" s="112"/>
      <c r="E2251" s="112"/>
      <c r="F2251" s="112"/>
      <c r="G2251" s="113"/>
      <c r="H2251" s="111"/>
      <c r="I2251" s="103"/>
      <c r="J2251" s="103"/>
      <c r="K2251" s="103"/>
      <c r="L2251" s="108"/>
      <c r="M2251" s="103"/>
      <c r="N2251" s="103"/>
      <c r="O2251" s="114"/>
      <c r="P2251" s="110"/>
      <c r="Q2251" s="111"/>
    </row>
    <row r="2252" ht="25.5" customHeight="1">
      <c r="A2252" s="59"/>
      <c r="B2252" s="104"/>
      <c r="C2252" s="96"/>
      <c r="D2252" s="105"/>
      <c r="E2252" s="105"/>
      <c r="F2252" s="105"/>
      <c r="G2252" s="106"/>
      <c r="H2252" s="104"/>
      <c r="I2252" s="107"/>
      <c r="J2252" s="107"/>
      <c r="K2252" s="107"/>
      <c r="L2252" s="108"/>
      <c r="M2252" s="107"/>
      <c r="N2252" s="107"/>
      <c r="O2252" s="109"/>
      <c r="P2252" s="59"/>
      <c r="Q2252" s="104"/>
    </row>
    <row r="2253" ht="25.5" customHeight="1">
      <c r="A2253" s="110"/>
      <c r="B2253" s="111"/>
      <c r="C2253" s="96"/>
      <c r="D2253" s="112"/>
      <c r="E2253" s="112"/>
      <c r="F2253" s="112"/>
      <c r="G2253" s="113"/>
      <c r="H2253" s="111"/>
      <c r="I2253" s="103"/>
      <c r="J2253" s="103"/>
      <c r="K2253" s="103"/>
      <c r="L2253" s="108"/>
      <c r="M2253" s="103"/>
      <c r="N2253" s="103"/>
      <c r="O2253" s="114"/>
      <c r="P2253" s="110"/>
      <c r="Q2253" s="111"/>
    </row>
    <row r="2254" ht="25.5" customHeight="1">
      <c r="A2254" s="59"/>
      <c r="B2254" s="104"/>
      <c r="C2254" s="96"/>
      <c r="D2254" s="105"/>
      <c r="E2254" s="105"/>
      <c r="F2254" s="105"/>
      <c r="G2254" s="106"/>
      <c r="H2254" s="104"/>
      <c r="I2254" s="107"/>
      <c r="J2254" s="107"/>
      <c r="K2254" s="107"/>
      <c r="L2254" s="108"/>
      <c r="M2254" s="107"/>
      <c r="N2254" s="107"/>
      <c r="O2254" s="109"/>
      <c r="P2254" s="59"/>
      <c r="Q2254" s="104"/>
    </row>
    <row r="2255" ht="25.5" customHeight="1">
      <c r="A2255" s="110"/>
      <c r="B2255" s="111"/>
      <c r="C2255" s="96"/>
      <c r="D2255" s="112"/>
      <c r="E2255" s="112"/>
      <c r="F2255" s="112"/>
      <c r="G2255" s="113"/>
      <c r="H2255" s="111"/>
      <c r="I2255" s="103"/>
      <c r="J2255" s="103"/>
      <c r="K2255" s="103"/>
      <c r="L2255" s="108"/>
      <c r="M2255" s="103"/>
      <c r="N2255" s="103"/>
      <c r="O2255" s="114"/>
      <c r="P2255" s="110"/>
      <c r="Q2255" s="111"/>
    </row>
    <row r="2256" ht="25.5" customHeight="1">
      <c r="A2256" s="59"/>
      <c r="B2256" s="104"/>
      <c r="C2256" s="96"/>
      <c r="D2256" s="105"/>
      <c r="E2256" s="105"/>
      <c r="F2256" s="105"/>
      <c r="G2256" s="106"/>
      <c r="H2256" s="104"/>
      <c r="I2256" s="107"/>
      <c r="J2256" s="107"/>
      <c r="K2256" s="107"/>
      <c r="L2256" s="108"/>
      <c r="M2256" s="107"/>
      <c r="N2256" s="107"/>
      <c r="O2256" s="109"/>
      <c r="P2256" s="59"/>
      <c r="Q2256" s="104"/>
    </row>
    <row r="2257" ht="25.5" customHeight="1">
      <c r="A2257" s="110"/>
      <c r="B2257" s="111"/>
      <c r="C2257" s="96"/>
      <c r="D2257" s="112"/>
      <c r="E2257" s="112"/>
      <c r="F2257" s="112"/>
      <c r="G2257" s="113"/>
      <c r="H2257" s="111"/>
      <c r="I2257" s="103"/>
      <c r="J2257" s="103"/>
      <c r="K2257" s="103"/>
      <c r="L2257" s="108"/>
      <c r="M2257" s="103"/>
      <c r="N2257" s="103"/>
      <c r="O2257" s="114"/>
      <c r="P2257" s="110"/>
      <c r="Q2257" s="111"/>
    </row>
    <row r="2258" ht="25.5" customHeight="1">
      <c r="A2258" s="59"/>
      <c r="B2258" s="104"/>
      <c r="C2258" s="96"/>
      <c r="D2258" s="105"/>
      <c r="E2258" s="105"/>
      <c r="F2258" s="105"/>
      <c r="G2258" s="106"/>
      <c r="H2258" s="104"/>
      <c r="I2258" s="107"/>
      <c r="J2258" s="107"/>
      <c r="K2258" s="107"/>
      <c r="L2258" s="108"/>
      <c r="M2258" s="107"/>
      <c r="N2258" s="107"/>
      <c r="O2258" s="109"/>
      <c r="P2258" s="59"/>
      <c r="Q2258" s="104"/>
    </row>
    <row r="2259" ht="25.5" customHeight="1">
      <c r="A2259" s="110"/>
      <c r="B2259" s="111"/>
      <c r="C2259" s="96"/>
      <c r="D2259" s="112"/>
      <c r="E2259" s="112"/>
      <c r="F2259" s="112"/>
      <c r="G2259" s="113"/>
      <c r="H2259" s="111"/>
      <c r="I2259" s="103"/>
      <c r="J2259" s="103"/>
      <c r="K2259" s="103"/>
      <c r="L2259" s="108"/>
      <c r="M2259" s="103"/>
      <c r="N2259" s="103"/>
      <c r="O2259" s="114"/>
      <c r="P2259" s="110"/>
      <c r="Q2259" s="111"/>
    </row>
    <row r="2260" ht="25.5" customHeight="1">
      <c r="A2260" s="59"/>
      <c r="B2260" s="104"/>
      <c r="C2260" s="96"/>
      <c r="D2260" s="105"/>
      <c r="E2260" s="105"/>
      <c r="F2260" s="105"/>
      <c r="G2260" s="106"/>
      <c r="H2260" s="104"/>
      <c r="I2260" s="107"/>
      <c r="J2260" s="107"/>
      <c r="K2260" s="107"/>
      <c r="L2260" s="108"/>
      <c r="M2260" s="107"/>
      <c r="N2260" s="107"/>
      <c r="O2260" s="109"/>
      <c r="P2260" s="59"/>
      <c r="Q2260" s="104"/>
    </row>
    <row r="2261" ht="25.5" customHeight="1">
      <c r="A2261" s="110"/>
      <c r="B2261" s="111"/>
      <c r="C2261" s="96"/>
      <c r="D2261" s="112"/>
      <c r="E2261" s="112"/>
      <c r="F2261" s="112"/>
      <c r="G2261" s="113"/>
      <c r="H2261" s="111"/>
      <c r="I2261" s="103"/>
      <c r="J2261" s="103"/>
      <c r="K2261" s="103"/>
      <c r="L2261" s="108"/>
      <c r="M2261" s="103"/>
      <c r="N2261" s="103"/>
      <c r="O2261" s="114"/>
      <c r="P2261" s="110"/>
      <c r="Q2261" s="111"/>
    </row>
    <row r="2262" ht="25.5" customHeight="1">
      <c r="A2262" s="59"/>
      <c r="B2262" s="104"/>
      <c r="C2262" s="96"/>
      <c r="D2262" s="105"/>
      <c r="E2262" s="105"/>
      <c r="F2262" s="105"/>
      <c r="G2262" s="106"/>
      <c r="H2262" s="104"/>
      <c r="I2262" s="107"/>
      <c r="J2262" s="107"/>
      <c r="K2262" s="107"/>
      <c r="L2262" s="108"/>
      <c r="M2262" s="107"/>
      <c r="N2262" s="107"/>
      <c r="O2262" s="109"/>
      <c r="P2262" s="59"/>
      <c r="Q2262" s="104"/>
    </row>
    <row r="2263" ht="25.5" customHeight="1">
      <c r="A2263" s="110"/>
      <c r="B2263" s="111"/>
      <c r="C2263" s="96"/>
      <c r="D2263" s="112"/>
      <c r="E2263" s="112"/>
      <c r="F2263" s="112"/>
      <c r="G2263" s="113"/>
      <c r="H2263" s="111"/>
      <c r="I2263" s="103"/>
      <c r="J2263" s="103"/>
      <c r="K2263" s="103"/>
      <c r="L2263" s="108"/>
      <c r="M2263" s="103"/>
      <c r="N2263" s="103"/>
      <c r="O2263" s="114"/>
      <c r="P2263" s="110"/>
      <c r="Q2263" s="111"/>
    </row>
    <row r="2264" ht="25.5" customHeight="1">
      <c r="A2264" s="59"/>
      <c r="B2264" s="104"/>
      <c r="C2264" s="96"/>
      <c r="D2264" s="105"/>
      <c r="E2264" s="105"/>
      <c r="F2264" s="105"/>
      <c r="G2264" s="106"/>
      <c r="H2264" s="104"/>
      <c r="I2264" s="107"/>
      <c r="J2264" s="107"/>
      <c r="K2264" s="107"/>
      <c r="L2264" s="108"/>
      <c r="M2264" s="107"/>
      <c r="N2264" s="107"/>
      <c r="O2264" s="109"/>
      <c r="P2264" s="59"/>
      <c r="Q2264" s="104"/>
    </row>
    <row r="2265" ht="25.5" customHeight="1">
      <c r="A2265" s="110"/>
      <c r="B2265" s="111"/>
      <c r="C2265" s="96"/>
      <c r="D2265" s="112"/>
      <c r="E2265" s="112"/>
      <c r="F2265" s="112"/>
      <c r="G2265" s="113"/>
      <c r="H2265" s="111"/>
      <c r="I2265" s="103"/>
      <c r="J2265" s="103"/>
      <c r="K2265" s="103"/>
      <c r="L2265" s="108"/>
      <c r="M2265" s="103"/>
      <c r="N2265" s="103"/>
      <c r="O2265" s="114"/>
      <c r="P2265" s="110"/>
      <c r="Q2265" s="111"/>
    </row>
    <row r="2266" ht="25.5" customHeight="1">
      <c r="A2266" s="59"/>
      <c r="B2266" s="104"/>
      <c r="C2266" s="96"/>
      <c r="D2266" s="105"/>
      <c r="E2266" s="105"/>
      <c r="F2266" s="105"/>
      <c r="G2266" s="106"/>
      <c r="H2266" s="104"/>
      <c r="I2266" s="107"/>
      <c r="J2266" s="107"/>
      <c r="K2266" s="107"/>
      <c r="L2266" s="108"/>
      <c r="M2266" s="107"/>
      <c r="N2266" s="107"/>
      <c r="O2266" s="109"/>
      <c r="P2266" s="59"/>
      <c r="Q2266" s="104"/>
    </row>
    <row r="2267" ht="25.5" customHeight="1">
      <c r="A2267" s="110"/>
      <c r="B2267" s="111"/>
      <c r="C2267" s="96"/>
      <c r="D2267" s="112"/>
      <c r="E2267" s="112"/>
      <c r="F2267" s="112"/>
      <c r="G2267" s="113"/>
      <c r="H2267" s="111"/>
      <c r="I2267" s="103"/>
      <c r="J2267" s="103"/>
      <c r="K2267" s="103"/>
      <c r="L2267" s="108"/>
      <c r="M2267" s="103"/>
      <c r="N2267" s="103"/>
      <c r="O2267" s="114"/>
      <c r="P2267" s="110"/>
      <c r="Q2267" s="111"/>
    </row>
    <row r="2268" ht="25.5" customHeight="1">
      <c r="A2268" s="59"/>
      <c r="B2268" s="104"/>
      <c r="C2268" s="96"/>
      <c r="D2268" s="105"/>
      <c r="E2268" s="105"/>
      <c r="F2268" s="105"/>
      <c r="G2268" s="106"/>
      <c r="H2268" s="104"/>
      <c r="I2268" s="107"/>
      <c r="J2268" s="107"/>
      <c r="K2268" s="107"/>
      <c r="L2268" s="108"/>
      <c r="M2268" s="107"/>
      <c r="N2268" s="107"/>
      <c r="O2268" s="109"/>
      <c r="P2268" s="59"/>
      <c r="Q2268" s="104"/>
    </row>
    <row r="2269" ht="25.5" customHeight="1">
      <c r="A2269" s="110"/>
      <c r="B2269" s="111"/>
      <c r="C2269" s="96"/>
      <c r="D2269" s="112"/>
      <c r="E2269" s="112"/>
      <c r="F2269" s="112"/>
      <c r="G2269" s="113"/>
      <c r="H2269" s="111"/>
      <c r="I2269" s="103"/>
      <c r="J2269" s="103"/>
      <c r="K2269" s="103"/>
      <c r="L2269" s="108"/>
      <c r="M2269" s="103"/>
      <c r="N2269" s="103"/>
      <c r="O2269" s="114"/>
      <c r="P2269" s="110"/>
      <c r="Q2269" s="111"/>
    </row>
    <row r="2270" ht="25.5" customHeight="1">
      <c r="A2270" s="59"/>
      <c r="B2270" s="104"/>
      <c r="C2270" s="96"/>
      <c r="D2270" s="105"/>
      <c r="E2270" s="105"/>
      <c r="F2270" s="105"/>
      <c r="G2270" s="106"/>
      <c r="H2270" s="104"/>
      <c r="I2270" s="107"/>
      <c r="J2270" s="107"/>
      <c r="K2270" s="107"/>
      <c r="L2270" s="108"/>
      <c r="M2270" s="107"/>
      <c r="N2270" s="107"/>
      <c r="O2270" s="109"/>
      <c r="P2270" s="59"/>
      <c r="Q2270" s="104"/>
    </row>
    <row r="2271" ht="25.5" customHeight="1">
      <c r="A2271" s="110"/>
      <c r="B2271" s="111"/>
      <c r="C2271" s="96"/>
      <c r="D2271" s="112"/>
      <c r="E2271" s="112"/>
      <c r="F2271" s="112"/>
      <c r="G2271" s="113"/>
      <c r="H2271" s="111"/>
      <c r="I2271" s="103"/>
      <c r="J2271" s="103"/>
      <c r="K2271" s="103"/>
      <c r="L2271" s="108"/>
      <c r="M2271" s="103"/>
      <c r="N2271" s="103"/>
      <c r="O2271" s="114"/>
      <c r="P2271" s="110"/>
      <c r="Q2271" s="111"/>
    </row>
    <row r="2272" ht="25.5" customHeight="1">
      <c r="A2272" s="59"/>
      <c r="B2272" s="104"/>
      <c r="C2272" s="96"/>
      <c r="D2272" s="105"/>
      <c r="E2272" s="105"/>
      <c r="F2272" s="105"/>
      <c r="G2272" s="106"/>
      <c r="H2272" s="104"/>
      <c r="I2272" s="107"/>
      <c r="J2272" s="107"/>
      <c r="K2272" s="107"/>
      <c r="L2272" s="108"/>
      <c r="M2272" s="107"/>
      <c r="N2272" s="107"/>
      <c r="O2272" s="109"/>
      <c r="P2272" s="59"/>
      <c r="Q2272" s="104"/>
    </row>
    <row r="2273" ht="25.5" customHeight="1">
      <c r="A2273" s="110"/>
      <c r="B2273" s="111"/>
      <c r="C2273" s="96"/>
      <c r="D2273" s="112"/>
      <c r="E2273" s="112"/>
      <c r="F2273" s="112"/>
      <c r="G2273" s="113"/>
      <c r="H2273" s="111"/>
      <c r="I2273" s="103"/>
      <c r="J2273" s="103"/>
      <c r="K2273" s="103"/>
      <c r="L2273" s="108"/>
      <c r="M2273" s="103"/>
      <c r="N2273" s="103"/>
      <c r="O2273" s="114"/>
      <c r="P2273" s="110"/>
      <c r="Q2273" s="111"/>
    </row>
    <row r="2274" ht="25.5" customHeight="1">
      <c r="A2274" s="59"/>
      <c r="B2274" s="104"/>
      <c r="C2274" s="96"/>
      <c r="D2274" s="105"/>
      <c r="E2274" s="105"/>
      <c r="F2274" s="105"/>
      <c r="G2274" s="106"/>
      <c r="H2274" s="104"/>
      <c r="I2274" s="107"/>
      <c r="J2274" s="107"/>
      <c r="K2274" s="107"/>
      <c r="L2274" s="108"/>
      <c r="M2274" s="107"/>
      <c r="N2274" s="107"/>
      <c r="O2274" s="109"/>
      <c r="P2274" s="59"/>
      <c r="Q2274" s="104"/>
    </row>
    <row r="2275" ht="25.5" customHeight="1">
      <c r="A2275" s="110"/>
      <c r="B2275" s="111"/>
      <c r="C2275" s="96"/>
      <c r="D2275" s="112"/>
      <c r="E2275" s="112"/>
      <c r="F2275" s="112"/>
      <c r="G2275" s="113"/>
      <c r="H2275" s="111"/>
      <c r="I2275" s="103"/>
      <c r="J2275" s="103"/>
      <c r="K2275" s="103"/>
      <c r="L2275" s="108"/>
      <c r="M2275" s="103"/>
      <c r="N2275" s="103"/>
      <c r="O2275" s="114"/>
      <c r="P2275" s="110"/>
      <c r="Q2275" s="111"/>
    </row>
    <row r="2276" ht="25.5" customHeight="1">
      <c r="A2276" s="59"/>
      <c r="B2276" s="104"/>
      <c r="C2276" s="96"/>
      <c r="D2276" s="105"/>
      <c r="E2276" s="105"/>
      <c r="F2276" s="105"/>
      <c r="G2276" s="106"/>
      <c r="H2276" s="104"/>
      <c r="I2276" s="107"/>
      <c r="J2276" s="107"/>
      <c r="K2276" s="107"/>
      <c r="L2276" s="108"/>
      <c r="M2276" s="107"/>
      <c r="N2276" s="107"/>
      <c r="O2276" s="109"/>
      <c r="P2276" s="59"/>
      <c r="Q2276" s="104"/>
    </row>
    <row r="2277" ht="25.5" customHeight="1">
      <c r="A2277" s="110"/>
      <c r="B2277" s="111"/>
      <c r="C2277" s="96"/>
      <c r="D2277" s="112"/>
      <c r="E2277" s="112"/>
      <c r="F2277" s="112"/>
      <c r="G2277" s="113"/>
      <c r="H2277" s="111"/>
      <c r="I2277" s="103"/>
      <c r="J2277" s="103"/>
      <c r="K2277" s="103"/>
      <c r="L2277" s="108"/>
      <c r="M2277" s="103"/>
      <c r="N2277" s="103"/>
      <c r="O2277" s="114"/>
      <c r="P2277" s="110"/>
      <c r="Q2277" s="111"/>
    </row>
    <row r="2278" ht="25.5" customHeight="1">
      <c r="A2278" s="59"/>
      <c r="B2278" s="104"/>
      <c r="C2278" s="96"/>
      <c r="D2278" s="105"/>
      <c r="E2278" s="105"/>
      <c r="F2278" s="105"/>
      <c r="G2278" s="106"/>
      <c r="H2278" s="104"/>
      <c r="I2278" s="107"/>
      <c r="J2278" s="107"/>
      <c r="K2278" s="107"/>
      <c r="L2278" s="108"/>
      <c r="M2278" s="107"/>
      <c r="N2278" s="107"/>
      <c r="O2278" s="109"/>
      <c r="P2278" s="59"/>
      <c r="Q2278" s="104"/>
    </row>
    <row r="2279" ht="25.5" customHeight="1">
      <c r="A2279" s="110"/>
      <c r="B2279" s="111"/>
      <c r="C2279" s="96"/>
      <c r="D2279" s="112"/>
      <c r="E2279" s="112"/>
      <c r="F2279" s="112"/>
      <c r="G2279" s="113"/>
      <c r="H2279" s="111"/>
      <c r="I2279" s="103"/>
      <c r="J2279" s="103"/>
      <c r="K2279" s="103"/>
      <c r="L2279" s="108"/>
      <c r="M2279" s="103"/>
      <c r="N2279" s="103"/>
      <c r="O2279" s="114"/>
      <c r="P2279" s="110"/>
      <c r="Q2279" s="111"/>
    </row>
    <row r="2280" ht="25.5" customHeight="1">
      <c r="A2280" s="59"/>
      <c r="B2280" s="104"/>
      <c r="C2280" s="96"/>
      <c r="D2280" s="105"/>
      <c r="E2280" s="105"/>
      <c r="F2280" s="105"/>
      <c r="G2280" s="106"/>
      <c r="H2280" s="104"/>
      <c r="I2280" s="107"/>
      <c r="J2280" s="107"/>
      <c r="K2280" s="107"/>
      <c r="L2280" s="108"/>
      <c r="M2280" s="107"/>
      <c r="N2280" s="107"/>
      <c r="O2280" s="109"/>
      <c r="P2280" s="59"/>
      <c r="Q2280" s="104"/>
    </row>
    <row r="2281" ht="25.5" customHeight="1">
      <c r="A2281" s="110"/>
      <c r="B2281" s="111"/>
      <c r="C2281" s="96"/>
      <c r="D2281" s="112"/>
      <c r="E2281" s="112"/>
      <c r="F2281" s="112"/>
      <c r="G2281" s="113"/>
      <c r="H2281" s="111"/>
      <c r="I2281" s="103"/>
      <c r="J2281" s="103"/>
      <c r="K2281" s="103"/>
      <c r="L2281" s="108"/>
      <c r="M2281" s="103"/>
      <c r="N2281" s="103"/>
      <c r="O2281" s="114"/>
      <c r="P2281" s="110"/>
      <c r="Q2281" s="111"/>
    </row>
    <row r="2282" ht="25.5" customHeight="1">
      <c r="A2282" s="59"/>
      <c r="B2282" s="104"/>
      <c r="C2282" s="96"/>
      <c r="D2282" s="105"/>
      <c r="E2282" s="105"/>
      <c r="F2282" s="105"/>
      <c r="G2282" s="106"/>
      <c r="H2282" s="104"/>
      <c r="I2282" s="107"/>
      <c r="J2282" s="107"/>
      <c r="K2282" s="107"/>
      <c r="L2282" s="108"/>
      <c r="M2282" s="107"/>
      <c r="N2282" s="107"/>
      <c r="O2282" s="109"/>
      <c r="P2282" s="59"/>
      <c r="Q2282" s="104"/>
    </row>
    <row r="2283" ht="25.5" customHeight="1">
      <c r="A2283" s="110"/>
      <c r="B2283" s="111"/>
      <c r="C2283" s="96"/>
      <c r="D2283" s="112"/>
      <c r="E2283" s="112"/>
      <c r="F2283" s="112"/>
      <c r="G2283" s="113"/>
      <c r="H2283" s="111"/>
      <c r="I2283" s="103"/>
      <c r="J2283" s="103"/>
      <c r="K2283" s="103"/>
      <c r="L2283" s="108"/>
      <c r="M2283" s="103"/>
      <c r="N2283" s="103"/>
      <c r="O2283" s="114"/>
      <c r="P2283" s="110"/>
      <c r="Q2283" s="111"/>
    </row>
    <row r="2284" ht="25.5" customHeight="1">
      <c r="A2284" s="59"/>
      <c r="B2284" s="104"/>
      <c r="C2284" s="96"/>
      <c r="D2284" s="105"/>
      <c r="E2284" s="105"/>
      <c r="F2284" s="105"/>
      <c r="G2284" s="106"/>
      <c r="H2284" s="104"/>
      <c r="I2284" s="107"/>
      <c r="J2284" s="107"/>
      <c r="K2284" s="107"/>
      <c r="L2284" s="108"/>
      <c r="M2284" s="107"/>
      <c r="N2284" s="107"/>
      <c r="O2284" s="109"/>
      <c r="P2284" s="59"/>
      <c r="Q2284" s="104"/>
    </row>
    <row r="2285" ht="25.5" customHeight="1">
      <c r="A2285" s="110"/>
      <c r="B2285" s="111"/>
      <c r="C2285" s="96"/>
      <c r="D2285" s="112"/>
      <c r="E2285" s="112"/>
      <c r="F2285" s="112"/>
      <c r="G2285" s="113"/>
      <c r="H2285" s="111"/>
      <c r="I2285" s="103"/>
      <c r="J2285" s="103"/>
      <c r="K2285" s="103"/>
      <c r="L2285" s="108"/>
      <c r="M2285" s="103"/>
      <c r="N2285" s="103"/>
      <c r="O2285" s="114"/>
      <c r="P2285" s="110"/>
      <c r="Q2285" s="111"/>
    </row>
    <row r="2286" ht="25.5" customHeight="1">
      <c r="A2286" s="59"/>
      <c r="B2286" s="104"/>
      <c r="C2286" s="96"/>
      <c r="D2286" s="105"/>
      <c r="E2286" s="105"/>
      <c r="F2286" s="105"/>
      <c r="G2286" s="106"/>
      <c r="H2286" s="104"/>
      <c r="I2286" s="107"/>
      <c r="J2286" s="107"/>
      <c r="K2286" s="107"/>
      <c r="L2286" s="108"/>
      <c r="M2286" s="107"/>
      <c r="N2286" s="107"/>
      <c r="O2286" s="109"/>
      <c r="P2286" s="59"/>
      <c r="Q2286" s="104"/>
    </row>
    <row r="2287" ht="25.5" customHeight="1">
      <c r="A2287" s="110"/>
      <c r="B2287" s="111"/>
      <c r="C2287" s="96"/>
      <c r="D2287" s="112"/>
      <c r="E2287" s="112"/>
      <c r="F2287" s="112"/>
      <c r="G2287" s="113"/>
      <c r="H2287" s="111"/>
      <c r="I2287" s="103"/>
      <c r="J2287" s="103"/>
      <c r="K2287" s="103"/>
      <c r="L2287" s="108"/>
      <c r="M2287" s="103"/>
      <c r="N2287" s="103"/>
      <c r="O2287" s="114"/>
      <c r="P2287" s="110"/>
      <c r="Q2287" s="111"/>
    </row>
    <row r="2288" ht="25.5" customHeight="1">
      <c r="A2288" s="59"/>
      <c r="B2288" s="104"/>
      <c r="C2288" s="96"/>
      <c r="D2288" s="105"/>
      <c r="E2288" s="105"/>
      <c r="F2288" s="105"/>
      <c r="G2288" s="106"/>
      <c r="H2288" s="104"/>
      <c r="I2288" s="107"/>
      <c r="J2288" s="107"/>
      <c r="K2288" s="107"/>
      <c r="L2288" s="108"/>
      <c r="M2288" s="107"/>
      <c r="N2288" s="107"/>
      <c r="O2288" s="109"/>
      <c r="P2288" s="59"/>
      <c r="Q2288" s="104"/>
    </row>
    <row r="2289" ht="25.5" customHeight="1">
      <c r="A2289" s="110"/>
      <c r="B2289" s="111"/>
      <c r="C2289" s="96"/>
      <c r="D2289" s="112"/>
      <c r="E2289" s="112"/>
      <c r="F2289" s="112"/>
      <c r="G2289" s="113"/>
      <c r="H2289" s="111"/>
      <c r="I2289" s="103"/>
      <c r="J2289" s="103"/>
      <c r="K2289" s="103"/>
      <c r="L2289" s="108"/>
      <c r="M2289" s="103"/>
      <c r="N2289" s="103"/>
      <c r="O2289" s="114"/>
      <c r="P2289" s="110"/>
      <c r="Q2289" s="111"/>
    </row>
    <row r="2290" ht="25.5" customHeight="1">
      <c r="A2290" s="59"/>
      <c r="B2290" s="104"/>
      <c r="C2290" s="96"/>
      <c r="D2290" s="105"/>
      <c r="E2290" s="105"/>
      <c r="F2290" s="105"/>
      <c r="G2290" s="106"/>
      <c r="H2290" s="104"/>
      <c r="I2290" s="107"/>
      <c r="J2290" s="107"/>
      <c r="K2290" s="107"/>
      <c r="L2290" s="108"/>
      <c r="M2290" s="107"/>
      <c r="N2290" s="107"/>
      <c r="O2290" s="109"/>
      <c r="P2290" s="59"/>
      <c r="Q2290" s="104"/>
    </row>
    <row r="2291" ht="25.5" customHeight="1">
      <c r="A2291" s="110"/>
      <c r="B2291" s="111"/>
      <c r="C2291" s="96"/>
      <c r="D2291" s="112"/>
      <c r="E2291" s="112"/>
      <c r="F2291" s="112"/>
      <c r="G2291" s="113"/>
      <c r="H2291" s="111"/>
      <c r="I2291" s="103"/>
      <c r="J2291" s="103"/>
      <c r="K2291" s="103"/>
      <c r="L2291" s="108"/>
      <c r="M2291" s="103"/>
      <c r="N2291" s="103"/>
      <c r="O2291" s="114"/>
      <c r="P2291" s="110"/>
      <c r="Q2291" s="111"/>
    </row>
    <row r="2292" ht="25.5" customHeight="1">
      <c r="A2292" s="59"/>
      <c r="B2292" s="104"/>
      <c r="C2292" s="96"/>
      <c r="D2292" s="105"/>
      <c r="E2292" s="105"/>
      <c r="F2292" s="105"/>
      <c r="G2292" s="106"/>
      <c r="H2292" s="104"/>
      <c r="I2292" s="107"/>
      <c r="J2292" s="107"/>
      <c r="K2292" s="107"/>
      <c r="L2292" s="108"/>
      <c r="M2292" s="107"/>
      <c r="N2292" s="107"/>
      <c r="O2292" s="109"/>
      <c r="P2292" s="59"/>
      <c r="Q2292" s="104"/>
    </row>
    <row r="2293" ht="25.5" customHeight="1">
      <c r="A2293" s="110"/>
      <c r="B2293" s="111"/>
      <c r="C2293" s="96"/>
      <c r="D2293" s="112"/>
      <c r="E2293" s="112"/>
      <c r="F2293" s="112"/>
      <c r="G2293" s="113"/>
      <c r="H2293" s="111"/>
      <c r="I2293" s="103"/>
      <c r="J2293" s="103"/>
      <c r="K2293" s="103"/>
      <c r="L2293" s="108"/>
      <c r="M2293" s="103"/>
      <c r="N2293" s="103"/>
      <c r="O2293" s="114"/>
      <c r="P2293" s="110"/>
      <c r="Q2293" s="111"/>
    </row>
    <row r="2294" ht="25.5" customHeight="1">
      <c r="A2294" s="59"/>
      <c r="B2294" s="104"/>
      <c r="C2294" s="96"/>
      <c r="D2294" s="105"/>
      <c r="E2294" s="105"/>
      <c r="F2294" s="105"/>
      <c r="G2294" s="106"/>
      <c r="H2294" s="104"/>
      <c r="I2294" s="107"/>
      <c r="J2294" s="107"/>
      <c r="K2294" s="107"/>
      <c r="L2294" s="108"/>
      <c r="M2294" s="107"/>
      <c r="N2294" s="107"/>
      <c r="O2294" s="109"/>
      <c r="P2294" s="59"/>
      <c r="Q2294" s="104"/>
    </row>
    <row r="2295" ht="25.5" customHeight="1">
      <c r="A2295" s="110"/>
      <c r="B2295" s="111"/>
      <c r="C2295" s="96"/>
      <c r="D2295" s="112"/>
      <c r="E2295" s="112"/>
      <c r="F2295" s="112"/>
      <c r="G2295" s="113"/>
      <c r="H2295" s="111"/>
      <c r="I2295" s="103"/>
      <c r="J2295" s="103"/>
      <c r="K2295" s="103"/>
      <c r="L2295" s="108"/>
      <c r="M2295" s="103"/>
      <c r="N2295" s="103"/>
      <c r="O2295" s="114"/>
      <c r="P2295" s="110"/>
      <c r="Q2295" s="111"/>
    </row>
    <row r="2296" ht="25.5" customHeight="1">
      <c r="A2296" s="59"/>
      <c r="B2296" s="104"/>
      <c r="C2296" s="96"/>
      <c r="D2296" s="105"/>
      <c r="E2296" s="105"/>
      <c r="F2296" s="105"/>
      <c r="G2296" s="106"/>
      <c r="H2296" s="104"/>
      <c r="I2296" s="107"/>
      <c r="J2296" s="107"/>
      <c r="K2296" s="107"/>
      <c r="L2296" s="108"/>
      <c r="M2296" s="107"/>
      <c r="N2296" s="107"/>
      <c r="O2296" s="109"/>
      <c r="P2296" s="59"/>
      <c r="Q2296" s="104"/>
    </row>
    <row r="2297" ht="25.5" customHeight="1">
      <c r="A2297" s="110"/>
      <c r="B2297" s="111"/>
      <c r="C2297" s="96"/>
      <c r="D2297" s="112"/>
      <c r="E2297" s="112"/>
      <c r="F2297" s="112"/>
      <c r="G2297" s="113"/>
      <c r="H2297" s="111"/>
      <c r="I2297" s="103"/>
      <c r="J2297" s="103"/>
      <c r="K2297" s="103"/>
      <c r="L2297" s="108"/>
      <c r="M2297" s="103"/>
      <c r="N2297" s="103"/>
      <c r="O2297" s="114"/>
      <c r="P2297" s="110"/>
      <c r="Q2297" s="111"/>
    </row>
    <row r="2298" ht="25.5" customHeight="1">
      <c r="A2298" s="59"/>
      <c r="B2298" s="104"/>
      <c r="C2298" s="96"/>
      <c r="D2298" s="105"/>
      <c r="E2298" s="105"/>
      <c r="F2298" s="105"/>
      <c r="G2298" s="106"/>
      <c r="H2298" s="104"/>
      <c r="I2298" s="107"/>
      <c r="J2298" s="107"/>
      <c r="K2298" s="107"/>
      <c r="L2298" s="108"/>
      <c r="M2298" s="107"/>
      <c r="N2298" s="107"/>
      <c r="O2298" s="109"/>
      <c r="P2298" s="59"/>
      <c r="Q2298" s="104"/>
    </row>
    <row r="2299" ht="25.5" customHeight="1">
      <c r="A2299" s="110"/>
      <c r="B2299" s="111"/>
      <c r="C2299" s="96"/>
      <c r="D2299" s="112"/>
      <c r="E2299" s="112"/>
      <c r="F2299" s="112"/>
      <c r="G2299" s="113"/>
      <c r="H2299" s="111"/>
      <c r="I2299" s="103"/>
      <c r="J2299" s="103"/>
      <c r="K2299" s="103"/>
      <c r="L2299" s="108"/>
      <c r="M2299" s="103"/>
      <c r="N2299" s="103"/>
      <c r="O2299" s="114"/>
      <c r="P2299" s="110"/>
      <c r="Q2299" s="111"/>
    </row>
    <row r="2300" ht="25.5" customHeight="1">
      <c r="A2300" s="59"/>
      <c r="B2300" s="104"/>
      <c r="C2300" s="96"/>
      <c r="D2300" s="105"/>
      <c r="E2300" s="105"/>
      <c r="F2300" s="105"/>
      <c r="G2300" s="106"/>
      <c r="H2300" s="104"/>
      <c r="I2300" s="107"/>
      <c r="J2300" s="107"/>
      <c r="K2300" s="107"/>
      <c r="L2300" s="108"/>
      <c r="M2300" s="107"/>
      <c r="N2300" s="107"/>
      <c r="O2300" s="109"/>
      <c r="P2300" s="59"/>
      <c r="Q2300" s="104"/>
    </row>
    <row r="2301" ht="25.5" customHeight="1">
      <c r="A2301" s="110"/>
      <c r="B2301" s="111"/>
      <c r="C2301" s="96"/>
      <c r="D2301" s="112"/>
      <c r="E2301" s="112"/>
      <c r="F2301" s="112"/>
      <c r="G2301" s="113"/>
      <c r="H2301" s="111"/>
      <c r="I2301" s="103"/>
      <c r="J2301" s="103"/>
      <c r="K2301" s="103"/>
      <c r="L2301" s="108"/>
      <c r="M2301" s="103"/>
      <c r="N2301" s="103"/>
      <c r="O2301" s="114"/>
      <c r="P2301" s="110"/>
      <c r="Q2301" s="111"/>
    </row>
    <row r="2302" ht="25.5" customHeight="1">
      <c r="A2302" s="59"/>
      <c r="B2302" s="104"/>
      <c r="C2302" s="96"/>
      <c r="D2302" s="105"/>
      <c r="E2302" s="105"/>
      <c r="F2302" s="105"/>
      <c r="G2302" s="106"/>
      <c r="H2302" s="104"/>
      <c r="I2302" s="107"/>
      <c r="J2302" s="107"/>
      <c r="K2302" s="107"/>
      <c r="L2302" s="108"/>
      <c r="M2302" s="107"/>
      <c r="N2302" s="107"/>
      <c r="O2302" s="109"/>
      <c r="P2302" s="59"/>
      <c r="Q2302" s="104"/>
    </row>
    <row r="2303" ht="25.5" customHeight="1">
      <c r="A2303" s="110"/>
      <c r="B2303" s="111"/>
      <c r="C2303" s="96"/>
      <c r="D2303" s="112"/>
      <c r="E2303" s="112"/>
      <c r="F2303" s="112"/>
      <c r="G2303" s="113"/>
      <c r="H2303" s="111"/>
      <c r="I2303" s="103"/>
      <c r="J2303" s="103"/>
      <c r="K2303" s="103"/>
      <c r="L2303" s="108"/>
      <c r="M2303" s="103"/>
      <c r="N2303" s="103"/>
      <c r="O2303" s="114"/>
      <c r="P2303" s="110"/>
      <c r="Q2303" s="111"/>
    </row>
    <row r="2304" ht="25.5" customHeight="1">
      <c r="A2304" s="59"/>
      <c r="B2304" s="104"/>
      <c r="C2304" s="96"/>
      <c r="D2304" s="105"/>
      <c r="E2304" s="105"/>
      <c r="F2304" s="105"/>
      <c r="G2304" s="106"/>
      <c r="H2304" s="104"/>
      <c r="I2304" s="107"/>
      <c r="J2304" s="107"/>
      <c r="K2304" s="107"/>
      <c r="L2304" s="108"/>
      <c r="M2304" s="107"/>
      <c r="N2304" s="107"/>
      <c r="O2304" s="109"/>
      <c r="P2304" s="59"/>
      <c r="Q2304" s="104"/>
    </row>
    <row r="2305" ht="25.5" customHeight="1">
      <c r="A2305" s="110"/>
      <c r="B2305" s="111"/>
      <c r="C2305" s="96"/>
      <c r="D2305" s="112"/>
      <c r="E2305" s="112"/>
      <c r="F2305" s="112"/>
      <c r="G2305" s="113"/>
      <c r="H2305" s="111"/>
      <c r="I2305" s="103"/>
      <c r="J2305" s="103"/>
      <c r="K2305" s="103"/>
      <c r="L2305" s="108"/>
      <c r="M2305" s="103"/>
      <c r="N2305" s="103"/>
      <c r="O2305" s="114"/>
      <c r="P2305" s="110"/>
      <c r="Q2305" s="111"/>
    </row>
    <row r="2306" ht="25.5" customHeight="1">
      <c r="A2306" s="59"/>
      <c r="B2306" s="104"/>
      <c r="C2306" s="96"/>
      <c r="D2306" s="105"/>
      <c r="E2306" s="105"/>
      <c r="F2306" s="105"/>
      <c r="G2306" s="106"/>
      <c r="H2306" s="104"/>
      <c r="I2306" s="107"/>
      <c r="J2306" s="107"/>
      <c r="K2306" s="107"/>
      <c r="L2306" s="108"/>
      <c r="M2306" s="107"/>
      <c r="N2306" s="107"/>
      <c r="O2306" s="109"/>
      <c r="P2306" s="59"/>
      <c r="Q2306" s="104"/>
    </row>
    <row r="2307" ht="25.5" customHeight="1">
      <c r="A2307" s="110"/>
      <c r="B2307" s="111"/>
      <c r="C2307" s="96"/>
      <c r="D2307" s="112"/>
      <c r="E2307" s="112"/>
      <c r="F2307" s="112"/>
      <c r="G2307" s="113"/>
      <c r="H2307" s="111"/>
      <c r="I2307" s="103"/>
      <c r="J2307" s="103"/>
      <c r="K2307" s="103"/>
      <c r="L2307" s="108"/>
      <c r="M2307" s="103"/>
      <c r="N2307" s="103"/>
      <c r="O2307" s="114"/>
      <c r="P2307" s="110"/>
      <c r="Q2307" s="111"/>
    </row>
    <row r="2308" ht="25.5" customHeight="1">
      <c r="A2308" s="59"/>
      <c r="B2308" s="104"/>
      <c r="C2308" s="96"/>
      <c r="D2308" s="105"/>
      <c r="E2308" s="105"/>
      <c r="F2308" s="105"/>
      <c r="G2308" s="106"/>
      <c r="H2308" s="104"/>
      <c r="I2308" s="107"/>
      <c r="J2308" s="107"/>
      <c r="K2308" s="107"/>
      <c r="L2308" s="108"/>
      <c r="M2308" s="107"/>
      <c r="N2308" s="107"/>
      <c r="O2308" s="109"/>
      <c r="P2308" s="59"/>
      <c r="Q2308" s="104"/>
    </row>
    <row r="2309" ht="25.5" customHeight="1">
      <c r="A2309" s="110"/>
      <c r="B2309" s="111"/>
      <c r="C2309" s="96"/>
      <c r="D2309" s="112"/>
      <c r="E2309" s="112"/>
      <c r="F2309" s="112"/>
      <c r="G2309" s="113"/>
      <c r="H2309" s="111"/>
      <c r="I2309" s="103"/>
      <c r="J2309" s="103"/>
      <c r="K2309" s="103"/>
      <c r="L2309" s="108"/>
      <c r="M2309" s="103"/>
      <c r="N2309" s="103"/>
      <c r="O2309" s="114"/>
      <c r="P2309" s="110"/>
      <c r="Q2309" s="111"/>
    </row>
    <row r="2310" ht="25.5" customHeight="1">
      <c r="A2310" s="59"/>
      <c r="B2310" s="104"/>
      <c r="C2310" s="96"/>
      <c r="D2310" s="105"/>
      <c r="E2310" s="105"/>
      <c r="F2310" s="105"/>
      <c r="G2310" s="106"/>
      <c r="H2310" s="104"/>
      <c r="I2310" s="107"/>
      <c r="J2310" s="107"/>
      <c r="K2310" s="107"/>
      <c r="L2310" s="108"/>
      <c r="M2310" s="107"/>
      <c r="N2310" s="107"/>
      <c r="O2310" s="109"/>
      <c r="P2310" s="59"/>
      <c r="Q2310" s="104"/>
    </row>
    <row r="2311" ht="25.5" customHeight="1">
      <c r="A2311" s="110"/>
      <c r="B2311" s="111"/>
      <c r="C2311" s="96"/>
      <c r="D2311" s="112"/>
      <c r="E2311" s="112"/>
      <c r="F2311" s="112"/>
      <c r="G2311" s="113"/>
      <c r="H2311" s="111"/>
      <c r="I2311" s="103"/>
      <c r="J2311" s="103"/>
      <c r="K2311" s="103"/>
      <c r="L2311" s="108"/>
      <c r="M2311" s="103"/>
      <c r="N2311" s="103"/>
      <c r="O2311" s="114"/>
      <c r="P2311" s="110"/>
      <c r="Q2311" s="111"/>
    </row>
    <row r="2312" ht="25.5" customHeight="1">
      <c r="A2312" s="59"/>
      <c r="B2312" s="104"/>
      <c r="C2312" s="96"/>
      <c r="D2312" s="105"/>
      <c r="E2312" s="105"/>
      <c r="F2312" s="105"/>
      <c r="G2312" s="106"/>
      <c r="H2312" s="104"/>
      <c r="I2312" s="107"/>
      <c r="J2312" s="107"/>
      <c r="K2312" s="107"/>
      <c r="L2312" s="108"/>
      <c r="M2312" s="107"/>
      <c r="N2312" s="107"/>
      <c r="O2312" s="109"/>
      <c r="P2312" s="59"/>
      <c r="Q2312" s="104"/>
    </row>
    <row r="2313" ht="25.5" customHeight="1">
      <c r="A2313" s="110"/>
      <c r="B2313" s="111"/>
      <c r="C2313" s="96"/>
      <c r="D2313" s="112"/>
      <c r="E2313" s="112"/>
      <c r="F2313" s="112"/>
      <c r="G2313" s="113"/>
      <c r="H2313" s="111"/>
      <c r="I2313" s="103"/>
      <c r="J2313" s="103"/>
      <c r="K2313" s="103"/>
      <c r="L2313" s="108"/>
      <c r="M2313" s="103"/>
      <c r="N2313" s="103"/>
      <c r="O2313" s="114"/>
      <c r="P2313" s="110"/>
      <c r="Q2313" s="111"/>
    </row>
    <row r="2314" ht="25.5" customHeight="1">
      <c r="A2314" s="59"/>
      <c r="B2314" s="104"/>
      <c r="C2314" s="96"/>
      <c r="D2314" s="105"/>
      <c r="E2314" s="105"/>
      <c r="F2314" s="105"/>
      <c r="G2314" s="106"/>
      <c r="H2314" s="104"/>
      <c r="I2314" s="107"/>
      <c r="J2314" s="107"/>
      <c r="K2314" s="107"/>
      <c r="L2314" s="108"/>
      <c r="M2314" s="107"/>
      <c r="N2314" s="107"/>
      <c r="O2314" s="109"/>
      <c r="P2314" s="59"/>
      <c r="Q2314" s="104"/>
    </row>
    <row r="2315" ht="25.5" customHeight="1">
      <c r="A2315" s="110"/>
      <c r="B2315" s="111"/>
      <c r="C2315" s="96"/>
      <c r="D2315" s="112"/>
      <c r="E2315" s="112"/>
      <c r="F2315" s="112"/>
      <c r="G2315" s="113"/>
      <c r="H2315" s="111"/>
      <c r="I2315" s="103"/>
      <c r="J2315" s="103"/>
      <c r="K2315" s="103"/>
      <c r="L2315" s="108"/>
      <c r="M2315" s="103"/>
      <c r="N2315" s="103"/>
      <c r="O2315" s="114"/>
      <c r="P2315" s="110"/>
      <c r="Q2315" s="111"/>
    </row>
    <row r="2316" ht="25.5" customHeight="1">
      <c r="A2316" s="59"/>
      <c r="B2316" s="104"/>
      <c r="C2316" s="96"/>
      <c r="D2316" s="105"/>
      <c r="E2316" s="105"/>
      <c r="F2316" s="105"/>
      <c r="G2316" s="106"/>
      <c r="H2316" s="104"/>
      <c r="I2316" s="107"/>
      <c r="J2316" s="107"/>
      <c r="K2316" s="107"/>
      <c r="L2316" s="108"/>
      <c r="M2316" s="107"/>
      <c r="N2316" s="107"/>
      <c r="O2316" s="109"/>
      <c r="P2316" s="59"/>
      <c r="Q2316" s="104"/>
    </row>
    <row r="2317" ht="25.5" customHeight="1">
      <c r="A2317" s="110"/>
      <c r="B2317" s="111"/>
      <c r="C2317" s="96"/>
      <c r="D2317" s="112"/>
      <c r="E2317" s="112"/>
      <c r="F2317" s="112"/>
      <c r="G2317" s="113"/>
      <c r="H2317" s="111"/>
      <c r="I2317" s="103"/>
      <c r="J2317" s="103"/>
      <c r="K2317" s="103"/>
      <c r="L2317" s="108"/>
      <c r="M2317" s="103"/>
      <c r="N2317" s="103"/>
      <c r="O2317" s="114"/>
      <c r="P2317" s="110"/>
      <c r="Q2317" s="111"/>
    </row>
    <row r="2318" ht="25.5" customHeight="1">
      <c r="A2318" s="59"/>
      <c r="B2318" s="104"/>
      <c r="C2318" s="96"/>
      <c r="D2318" s="105"/>
      <c r="E2318" s="105"/>
      <c r="F2318" s="105"/>
      <c r="G2318" s="106"/>
      <c r="H2318" s="104"/>
      <c r="I2318" s="107"/>
      <c r="J2318" s="107"/>
      <c r="K2318" s="107"/>
      <c r="L2318" s="108"/>
      <c r="M2318" s="107"/>
      <c r="N2318" s="107"/>
      <c r="O2318" s="109"/>
      <c r="P2318" s="59"/>
      <c r="Q2318" s="104"/>
    </row>
    <row r="2319" ht="25.5" customHeight="1">
      <c r="A2319" s="110"/>
      <c r="B2319" s="111"/>
      <c r="C2319" s="96"/>
      <c r="D2319" s="112"/>
      <c r="E2319" s="112"/>
      <c r="F2319" s="112"/>
      <c r="G2319" s="113"/>
      <c r="H2319" s="111"/>
      <c r="I2319" s="103"/>
      <c r="J2319" s="103"/>
      <c r="K2319" s="103"/>
      <c r="L2319" s="108"/>
      <c r="M2319" s="103"/>
      <c r="N2319" s="103"/>
      <c r="O2319" s="114"/>
      <c r="P2319" s="110"/>
      <c r="Q2319" s="111"/>
    </row>
    <row r="2320" ht="25.5" customHeight="1">
      <c r="A2320" s="59"/>
      <c r="B2320" s="104"/>
      <c r="C2320" s="96"/>
      <c r="D2320" s="105"/>
      <c r="E2320" s="105"/>
      <c r="F2320" s="105"/>
      <c r="G2320" s="106"/>
      <c r="H2320" s="104"/>
      <c r="I2320" s="107"/>
      <c r="J2320" s="107"/>
      <c r="K2320" s="107"/>
      <c r="L2320" s="108"/>
      <c r="M2320" s="107"/>
      <c r="N2320" s="107"/>
      <c r="O2320" s="109"/>
      <c r="P2320" s="59"/>
      <c r="Q2320" s="104"/>
    </row>
    <row r="2321" ht="25.5" customHeight="1">
      <c r="A2321" s="110"/>
      <c r="B2321" s="111"/>
      <c r="C2321" s="96"/>
      <c r="D2321" s="112"/>
      <c r="E2321" s="112"/>
      <c r="F2321" s="112"/>
      <c r="G2321" s="113"/>
      <c r="H2321" s="111"/>
      <c r="I2321" s="103"/>
      <c r="J2321" s="103"/>
      <c r="K2321" s="103"/>
      <c r="L2321" s="108"/>
      <c r="M2321" s="103"/>
      <c r="N2321" s="103"/>
      <c r="O2321" s="114"/>
      <c r="P2321" s="110"/>
      <c r="Q2321" s="111"/>
    </row>
    <row r="2322" ht="25.5" customHeight="1">
      <c r="A2322" s="59"/>
      <c r="B2322" s="104"/>
      <c r="C2322" s="96"/>
      <c r="D2322" s="105"/>
      <c r="E2322" s="105"/>
      <c r="F2322" s="105"/>
      <c r="G2322" s="106"/>
      <c r="H2322" s="104"/>
      <c r="I2322" s="107"/>
      <c r="J2322" s="107"/>
      <c r="K2322" s="107"/>
      <c r="L2322" s="108"/>
      <c r="M2322" s="107"/>
      <c r="N2322" s="107"/>
      <c r="O2322" s="109"/>
      <c r="P2322" s="59"/>
      <c r="Q2322" s="104"/>
    </row>
    <row r="2323" ht="25.5" customHeight="1">
      <c r="A2323" s="110"/>
      <c r="B2323" s="111"/>
      <c r="C2323" s="96"/>
      <c r="D2323" s="112"/>
      <c r="E2323" s="112"/>
      <c r="F2323" s="112"/>
      <c r="G2323" s="113"/>
      <c r="H2323" s="111"/>
      <c r="I2323" s="103"/>
      <c r="J2323" s="103"/>
      <c r="K2323" s="103"/>
      <c r="L2323" s="108"/>
      <c r="M2323" s="103"/>
      <c r="N2323" s="103"/>
      <c r="O2323" s="114"/>
      <c r="P2323" s="110"/>
      <c r="Q2323" s="111"/>
    </row>
    <row r="2324" ht="25.5" customHeight="1">
      <c r="A2324" s="59"/>
      <c r="B2324" s="104"/>
      <c r="C2324" s="96"/>
      <c r="D2324" s="105"/>
      <c r="E2324" s="105"/>
      <c r="F2324" s="105"/>
      <c r="G2324" s="106"/>
      <c r="H2324" s="104"/>
      <c r="I2324" s="107"/>
      <c r="J2324" s="107"/>
      <c r="K2324" s="107"/>
      <c r="L2324" s="108"/>
      <c r="M2324" s="107"/>
      <c r="N2324" s="107"/>
      <c r="O2324" s="109"/>
      <c r="P2324" s="59"/>
      <c r="Q2324" s="104"/>
    </row>
    <row r="2325" ht="25.5" customHeight="1">
      <c r="A2325" s="110"/>
      <c r="B2325" s="111"/>
      <c r="C2325" s="96"/>
      <c r="D2325" s="112"/>
      <c r="E2325" s="112"/>
      <c r="F2325" s="112"/>
      <c r="G2325" s="113"/>
      <c r="H2325" s="111"/>
      <c r="I2325" s="103"/>
      <c r="J2325" s="103"/>
      <c r="K2325" s="103"/>
      <c r="L2325" s="108"/>
      <c r="M2325" s="103"/>
      <c r="N2325" s="103"/>
      <c r="O2325" s="114"/>
      <c r="P2325" s="110"/>
      <c r="Q2325" s="111"/>
    </row>
    <row r="2326" ht="25.5" customHeight="1">
      <c r="A2326" s="59"/>
      <c r="B2326" s="104"/>
      <c r="C2326" s="96"/>
      <c r="D2326" s="105"/>
      <c r="E2326" s="105"/>
      <c r="F2326" s="105"/>
      <c r="G2326" s="106"/>
      <c r="H2326" s="104"/>
      <c r="I2326" s="107"/>
      <c r="J2326" s="107"/>
      <c r="K2326" s="107"/>
      <c r="L2326" s="108"/>
      <c r="M2326" s="107"/>
      <c r="N2326" s="107"/>
      <c r="O2326" s="109"/>
      <c r="P2326" s="59"/>
      <c r="Q2326" s="104"/>
    </row>
    <row r="2327" ht="25.5" customHeight="1">
      <c r="A2327" s="110"/>
      <c r="B2327" s="111"/>
      <c r="C2327" s="96"/>
      <c r="D2327" s="112"/>
      <c r="E2327" s="112"/>
      <c r="F2327" s="112"/>
      <c r="G2327" s="113"/>
      <c r="H2327" s="111"/>
      <c r="I2327" s="103"/>
      <c r="J2327" s="103"/>
      <c r="K2327" s="103"/>
      <c r="L2327" s="108"/>
      <c r="M2327" s="103"/>
      <c r="N2327" s="103"/>
      <c r="O2327" s="114"/>
      <c r="P2327" s="110"/>
      <c r="Q2327" s="111"/>
    </row>
    <row r="2328" ht="25.5" customHeight="1">
      <c r="A2328" s="59"/>
      <c r="B2328" s="104"/>
      <c r="C2328" s="96"/>
      <c r="D2328" s="105"/>
      <c r="E2328" s="105"/>
      <c r="F2328" s="105"/>
      <c r="G2328" s="106"/>
      <c r="H2328" s="104"/>
      <c r="I2328" s="107"/>
      <c r="J2328" s="107"/>
      <c r="K2328" s="107"/>
      <c r="L2328" s="108"/>
      <c r="M2328" s="107"/>
      <c r="N2328" s="107"/>
      <c r="O2328" s="109"/>
      <c r="P2328" s="59"/>
      <c r="Q2328" s="104"/>
    </row>
    <row r="2329" ht="25.5" customHeight="1">
      <c r="A2329" s="110"/>
      <c r="B2329" s="111"/>
      <c r="C2329" s="96"/>
      <c r="D2329" s="112"/>
      <c r="E2329" s="112"/>
      <c r="F2329" s="112"/>
      <c r="G2329" s="113"/>
      <c r="H2329" s="111"/>
      <c r="I2329" s="103"/>
      <c r="J2329" s="103"/>
      <c r="K2329" s="103"/>
      <c r="L2329" s="108"/>
      <c r="M2329" s="103"/>
      <c r="N2329" s="103"/>
      <c r="O2329" s="114"/>
      <c r="P2329" s="110"/>
      <c r="Q2329" s="111"/>
    </row>
    <row r="2330" ht="25.5" customHeight="1">
      <c r="A2330" s="59"/>
      <c r="B2330" s="104"/>
      <c r="C2330" s="96"/>
      <c r="D2330" s="105"/>
      <c r="E2330" s="105"/>
      <c r="F2330" s="105"/>
      <c r="G2330" s="106"/>
      <c r="H2330" s="104"/>
      <c r="I2330" s="107"/>
      <c r="J2330" s="107"/>
      <c r="K2330" s="107"/>
      <c r="L2330" s="108"/>
      <c r="M2330" s="107"/>
      <c r="N2330" s="107"/>
      <c r="O2330" s="109"/>
      <c r="P2330" s="59"/>
      <c r="Q2330" s="104"/>
    </row>
    <row r="2331" ht="25.5" customHeight="1">
      <c r="A2331" s="110"/>
      <c r="B2331" s="111"/>
      <c r="C2331" s="96"/>
      <c r="D2331" s="112"/>
      <c r="E2331" s="112"/>
      <c r="F2331" s="112"/>
      <c r="G2331" s="113"/>
      <c r="H2331" s="111"/>
      <c r="I2331" s="103"/>
      <c r="J2331" s="103"/>
      <c r="K2331" s="103"/>
      <c r="L2331" s="108"/>
      <c r="M2331" s="103"/>
      <c r="N2331" s="103"/>
      <c r="O2331" s="114"/>
      <c r="P2331" s="110"/>
      <c r="Q2331" s="111"/>
    </row>
    <row r="2332" ht="25.5" customHeight="1">
      <c r="A2332" s="59"/>
      <c r="B2332" s="104"/>
      <c r="C2332" s="96"/>
      <c r="D2332" s="105"/>
      <c r="E2332" s="105"/>
      <c r="F2332" s="105"/>
      <c r="G2332" s="106"/>
      <c r="H2332" s="104"/>
      <c r="I2332" s="107"/>
      <c r="J2332" s="107"/>
      <c r="K2332" s="107"/>
      <c r="L2332" s="108"/>
      <c r="M2332" s="107"/>
      <c r="N2332" s="107"/>
      <c r="O2332" s="109"/>
      <c r="P2332" s="59"/>
      <c r="Q2332" s="104"/>
    </row>
    <row r="2333" ht="25.5" customHeight="1">
      <c r="A2333" s="110"/>
      <c r="B2333" s="111"/>
      <c r="C2333" s="96"/>
      <c r="D2333" s="112"/>
      <c r="E2333" s="112"/>
      <c r="F2333" s="112"/>
      <c r="G2333" s="113"/>
      <c r="H2333" s="111"/>
      <c r="I2333" s="103"/>
      <c r="J2333" s="103"/>
      <c r="K2333" s="103"/>
      <c r="L2333" s="108"/>
      <c r="M2333" s="103"/>
      <c r="N2333" s="103"/>
      <c r="O2333" s="114"/>
      <c r="P2333" s="110"/>
      <c r="Q2333" s="111"/>
    </row>
    <row r="2334" ht="25.5" customHeight="1">
      <c r="A2334" s="59"/>
      <c r="B2334" s="104"/>
      <c r="C2334" s="96"/>
      <c r="D2334" s="105"/>
      <c r="E2334" s="105"/>
      <c r="F2334" s="105"/>
      <c r="G2334" s="106"/>
      <c r="H2334" s="104"/>
      <c r="I2334" s="107"/>
      <c r="J2334" s="107"/>
      <c r="K2334" s="107"/>
      <c r="L2334" s="108"/>
      <c r="M2334" s="107"/>
      <c r="N2334" s="107"/>
      <c r="O2334" s="109"/>
      <c r="P2334" s="59"/>
      <c r="Q2334" s="104"/>
    </row>
    <row r="2335" ht="25.5" customHeight="1">
      <c r="A2335" s="110"/>
      <c r="B2335" s="111"/>
      <c r="C2335" s="96"/>
      <c r="D2335" s="112"/>
      <c r="E2335" s="112"/>
      <c r="F2335" s="112"/>
      <c r="G2335" s="113"/>
      <c r="H2335" s="111"/>
      <c r="I2335" s="103"/>
      <c r="J2335" s="103"/>
      <c r="K2335" s="103"/>
      <c r="L2335" s="108"/>
      <c r="M2335" s="103"/>
      <c r="N2335" s="103"/>
      <c r="O2335" s="114"/>
      <c r="P2335" s="110"/>
      <c r="Q2335" s="111"/>
    </row>
    <row r="2336" ht="25.5" customHeight="1">
      <c r="A2336" s="59"/>
      <c r="B2336" s="104"/>
      <c r="C2336" s="96"/>
      <c r="D2336" s="105"/>
      <c r="E2336" s="105"/>
      <c r="F2336" s="105"/>
      <c r="G2336" s="106"/>
      <c r="H2336" s="104"/>
      <c r="I2336" s="107"/>
      <c r="J2336" s="107"/>
      <c r="K2336" s="107"/>
      <c r="L2336" s="108"/>
      <c r="M2336" s="107"/>
      <c r="N2336" s="107"/>
      <c r="O2336" s="109"/>
      <c r="P2336" s="59"/>
      <c r="Q2336" s="104"/>
    </row>
    <row r="2337" ht="25.5" customHeight="1">
      <c r="A2337" s="110"/>
      <c r="B2337" s="111"/>
      <c r="C2337" s="96"/>
      <c r="D2337" s="112"/>
      <c r="E2337" s="112"/>
      <c r="F2337" s="112"/>
      <c r="G2337" s="113"/>
      <c r="H2337" s="111"/>
      <c r="I2337" s="103"/>
      <c r="J2337" s="103"/>
      <c r="K2337" s="103"/>
      <c r="L2337" s="108"/>
      <c r="M2337" s="103"/>
      <c r="N2337" s="103"/>
      <c r="O2337" s="114"/>
      <c r="P2337" s="110"/>
      <c r="Q2337" s="111"/>
    </row>
    <row r="2338" ht="25.5" customHeight="1">
      <c r="A2338" s="59"/>
      <c r="B2338" s="104"/>
      <c r="C2338" s="96"/>
      <c r="D2338" s="105"/>
      <c r="E2338" s="105"/>
      <c r="F2338" s="105"/>
      <c r="G2338" s="106"/>
      <c r="H2338" s="104"/>
      <c r="I2338" s="107"/>
      <c r="J2338" s="107"/>
      <c r="K2338" s="107"/>
      <c r="L2338" s="108"/>
      <c r="M2338" s="107"/>
      <c r="N2338" s="107"/>
      <c r="O2338" s="109"/>
      <c r="P2338" s="59"/>
      <c r="Q2338" s="104"/>
    </row>
    <row r="2339" ht="25.5" customHeight="1">
      <c r="A2339" s="110"/>
      <c r="B2339" s="111"/>
      <c r="C2339" s="96"/>
      <c r="D2339" s="112"/>
      <c r="E2339" s="112"/>
      <c r="F2339" s="112"/>
      <c r="G2339" s="113"/>
      <c r="H2339" s="111"/>
      <c r="I2339" s="103"/>
      <c r="J2339" s="103"/>
      <c r="K2339" s="103"/>
      <c r="L2339" s="108"/>
      <c r="M2339" s="103"/>
      <c r="N2339" s="103"/>
      <c r="O2339" s="114"/>
      <c r="P2339" s="110"/>
      <c r="Q2339" s="111"/>
    </row>
    <row r="2340" ht="25.5" customHeight="1">
      <c r="A2340" s="59"/>
      <c r="B2340" s="104"/>
      <c r="C2340" s="96"/>
      <c r="D2340" s="105"/>
      <c r="E2340" s="105"/>
      <c r="F2340" s="105"/>
      <c r="G2340" s="106"/>
      <c r="H2340" s="104"/>
      <c r="I2340" s="107"/>
      <c r="J2340" s="107"/>
      <c r="K2340" s="107"/>
      <c r="L2340" s="108"/>
      <c r="M2340" s="107"/>
      <c r="N2340" s="107"/>
      <c r="O2340" s="109"/>
      <c r="P2340" s="59"/>
      <c r="Q2340" s="104"/>
    </row>
    <row r="2341" ht="25.5" customHeight="1">
      <c r="A2341" s="110"/>
      <c r="B2341" s="111"/>
      <c r="C2341" s="96"/>
      <c r="D2341" s="112"/>
      <c r="E2341" s="112"/>
      <c r="F2341" s="112"/>
      <c r="G2341" s="113"/>
      <c r="H2341" s="111"/>
      <c r="I2341" s="103"/>
      <c r="J2341" s="103"/>
      <c r="K2341" s="103"/>
      <c r="L2341" s="108"/>
      <c r="M2341" s="103"/>
      <c r="N2341" s="103"/>
      <c r="O2341" s="114"/>
      <c r="P2341" s="110"/>
      <c r="Q2341" s="111"/>
    </row>
    <row r="2342" ht="25.5" customHeight="1">
      <c r="A2342" s="59"/>
      <c r="B2342" s="104"/>
      <c r="C2342" s="96"/>
      <c r="D2342" s="105"/>
      <c r="E2342" s="105"/>
      <c r="F2342" s="105"/>
      <c r="G2342" s="106"/>
      <c r="H2342" s="104"/>
      <c r="I2342" s="107"/>
      <c r="J2342" s="107"/>
      <c r="K2342" s="107"/>
      <c r="L2342" s="108"/>
      <c r="M2342" s="107"/>
      <c r="N2342" s="107"/>
      <c r="O2342" s="109"/>
      <c r="P2342" s="59"/>
      <c r="Q2342" s="104"/>
    </row>
    <row r="2343" ht="25.5" customHeight="1">
      <c r="A2343" s="110"/>
      <c r="B2343" s="111"/>
      <c r="C2343" s="96"/>
      <c r="D2343" s="112"/>
      <c r="E2343" s="112"/>
      <c r="F2343" s="112"/>
      <c r="G2343" s="113"/>
      <c r="H2343" s="111"/>
      <c r="I2343" s="103"/>
      <c r="J2343" s="103"/>
      <c r="K2343" s="103"/>
      <c r="L2343" s="108"/>
      <c r="M2343" s="103"/>
      <c r="N2343" s="103"/>
      <c r="O2343" s="114"/>
      <c r="P2343" s="110"/>
      <c r="Q2343" s="111"/>
    </row>
    <row r="2344" ht="25.5" customHeight="1">
      <c r="A2344" s="59"/>
      <c r="B2344" s="104"/>
      <c r="C2344" s="96"/>
      <c r="D2344" s="105"/>
      <c r="E2344" s="105"/>
      <c r="F2344" s="105"/>
      <c r="G2344" s="106"/>
      <c r="H2344" s="104"/>
      <c r="I2344" s="107"/>
      <c r="J2344" s="107"/>
      <c r="K2344" s="107"/>
      <c r="L2344" s="108"/>
      <c r="M2344" s="107"/>
      <c r="N2344" s="107"/>
      <c r="O2344" s="109"/>
      <c r="P2344" s="59"/>
      <c r="Q2344" s="104"/>
    </row>
    <row r="2345" ht="25.5" customHeight="1">
      <c r="A2345" s="110"/>
      <c r="B2345" s="111"/>
      <c r="C2345" s="96"/>
      <c r="D2345" s="112"/>
      <c r="E2345" s="112"/>
      <c r="F2345" s="112"/>
      <c r="G2345" s="113"/>
      <c r="H2345" s="111"/>
      <c r="I2345" s="103"/>
      <c r="J2345" s="103"/>
      <c r="K2345" s="103"/>
      <c r="L2345" s="108"/>
      <c r="M2345" s="103"/>
      <c r="N2345" s="103"/>
      <c r="O2345" s="114"/>
      <c r="P2345" s="110"/>
      <c r="Q2345" s="111"/>
    </row>
    <row r="2346" ht="25.5" customHeight="1">
      <c r="A2346" s="59"/>
      <c r="B2346" s="104"/>
      <c r="C2346" s="96"/>
      <c r="D2346" s="105"/>
      <c r="E2346" s="105"/>
      <c r="F2346" s="105"/>
      <c r="G2346" s="106"/>
      <c r="H2346" s="104"/>
      <c r="I2346" s="107"/>
      <c r="J2346" s="107"/>
      <c r="K2346" s="107"/>
      <c r="L2346" s="108"/>
      <c r="M2346" s="107"/>
      <c r="N2346" s="107"/>
      <c r="O2346" s="109"/>
      <c r="P2346" s="59"/>
      <c r="Q2346" s="104"/>
    </row>
    <row r="2347" ht="25.5" customHeight="1">
      <c r="A2347" s="110"/>
      <c r="B2347" s="111"/>
      <c r="C2347" s="96"/>
      <c r="D2347" s="112"/>
      <c r="E2347" s="112"/>
      <c r="F2347" s="112"/>
      <c r="G2347" s="113"/>
      <c r="H2347" s="111"/>
      <c r="I2347" s="103"/>
      <c r="J2347" s="103"/>
      <c r="K2347" s="103"/>
      <c r="L2347" s="108"/>
      <c r="M2347" s="103"/>
      <c r="N2347" s="103"/>
      <c r="O2347" s="114"/>
      <c r="P2347" s="110"/>
      <c r="Q2347" s="111"/>
    </row>
    <row r="2348" ht="25.5" customHeight="1">
      <c r="A2348" s="59"/>
      <c r="B2348" s="104"/>
      <c r="C2348" s="96"/>
      <c r="D2348" s="105"/>
      <c r="E2348" s="105"/>
      <c r="F2348" s="105"/>
      <c r="G2348" s="106"/>
      <c r="H2348" s="104"/>
      <c r="I2348" s="107"/>
      <c r="J2348" s="107"/>
      <c r="K2348" s="107"/>
      <c r="L2348" s="108"/>
      <c r="M2348" s="107"/>
      <c r="N2348" s="107"/>
      <c r="O2348" s="109"/>
      <c r="P2348" s="59"/>
      <c r="Q2348" s="104"/>
    </row>
    <row r="2349" ht="25.5" customHeight="1">
      <c r="A2349" s="110"/>
      <c r="B2349" s="111"/>
      <c r="C2349" s="96"/>
      <c r="D2349" s="112"/>
      <c r="E2349" s="112"/>
      <c r="F2349" s="112"/>
      <c r="G2349" s="113"/>
      <c r="H2349" s="111"/>
      <c r="I2349" s="103"/>
      <c r="J2349" s="103"/>
      <c r="K2349" s="103"/>
      <c r="L2349" s="108"/>
      <c r="M2349" s="103"/>
      <c r="N2349" s="103"/>
      <c r="O2349" s="114"/>
      <c r="P2349" s="110"/>
      <c r="Q2349" s="111"/>
    </row>
    <row r="2350" ht="25.5" customHeight="1">
      <c r="A2350" s="59"/>
      <c r="B2350" s="104"/>
      <c r="C2350" s="96"/>
      <c r="D2350" s="105"/>
      <c r="E2350" s="105"/>
      <c r="F2350" s="105"/>
      <c r="G2350" s="106"/>
      <c r="H2350" s="104"/>
      <c r="I2350" s="107"/>
      <c r="J2350" s="107"/>
      <c r="K2350" s="107"/>
      <c r="L2350" s="108"/>
      <c r="M2350" s="107"/>
      <c r="N2350" s="107"/>
      <c r="O2350" s="109"/>
      <c r="P2350" s="59"/>
      <c r="Q2350" s="104"/>
    </row>
    <row r="2351" ht="25.5" customHeight="1">
      <c r="A2351" s="110"/>
      <c r="B2351" s="111"/>
      <c r="C2351" s="96"/>
      <c r="D2351" s="112"/>
      <c r="E2351" s="112"/>
      <c r="F2351" s="112"/>
      <c r="G2351" s="113"/>
      <c r="H2351" s="111"/>
      <c r="I2351" s="103"/>
      <c r="J2351" s="103"/>
      <c r="K2351" s="103"/>
      <c r="L2351" s="108"/>
      <c r="M2351" s="103"/>
      <c r="N2351" s="103"/>
      <c r="O2351" s="114"/>
      <c r="P2351" s="110"/>
      <c r="Q2351" s="111"/>
    </row>
    <row r="2352" ht="25.5" customHeight="1">
      <c r="A2352" s="59"/>
      <c r="B2352" s="104"/>
      <c r="C2352" s="96"/>
      <c r="D2352" s="105"/>
      <c r="E2352" s="105"/>
      <c r="F2352" s="105"/>
      <c r="G2352" s="106"/>
      <c r="H2352" s="104"/>
      <c r="I2352" s="107"/>
      <c r="J2352" s="107"/>
      <c r="K2352" s="107"/>
      <c r="L2352" s="108"/>
      <c r="M2352" s="107"/>
      <c r="N2352" s="107"/>
      <c r="O2352" s="109"/>
      <c r="P2352" s="59"/>
      <c r="Q2352" s="104"/>
    </row>
    <row r="2353" ht="25.5" customHeight="1">
      <c r="A2353" s="110"/>
      <c r="B2353" s="111"/>
      <c r="C2353" s="96"/>
      <c r="D2353" s="112"/>
      <c r="E2353" s="112"/>
      <c r="F2353" s="112"/>
      <c r="G2353" s="113"/>
      <c r="H2353" s="111"/>
      <c r="I2353" s="103"/>
      <c r="J2353" s="103"/>
      <c r="K2353" s="103"/>
      <c r="L2353" s="108"/>
      <c r="M2353" s="103"/>
      <c r="N2353" s="103"/>
      <c r="O2353" s="114"/>
      <c r="P2353" s="110"/>
      <c r="Q2353" s="111"/>
    </row>
    <row r="2354" ht="25.5" customHeight="1">
      <c r="A2354" s="59"/>
      <c r="B2354" s="104"/>
      <c r="C2354" s="96"/>
      <c r="D2354" s="105"/>
      <c r="E2354" s="105"/>
      <c r="F2354" s="105"/>
      <c r="G2354" s="106"/>
      <c r="H2354" s="104"/>
      <c r="I2354" s="107"/>
      <c r="J2354" s="107"/>
      <c r="K2354" s="107"/>
      <c r="L2354" s="108"/>
      <c r="M2354" s="107"/>
      <c r="N2354" s="107"/>
      <c r="O2354" s="109"/>
      <c r="P2354" s="59"/>
      <c r="Q2354" s="104"/>
    </row>
    <row r="2355" ht="25.5" customHeight="1">
      <c r="A2355" s="110"/>
      <c r="B2355" s="111"/>
      <c r="C2355" s="96"/>
      <c r="D2355" s="112"/>
      <c r="E2355" s="112"/>
      <c r="F2355" s="112"/>
      <c r="G2355" s="113"/>
      <c r="H2355" s="111"/>
      <c r="I2355" s="103"/>
      <c r="J2355" s="103"/>
      <c r="K2355" s="103"/>
      <c r="L2355" s="108"/>
      <c r="M2355" s="103"/>
      <c r="N2355" s="103"/>
      <c r="O2355" s="114"/>
      <c r="P2355" s="110"/>
      <c r="Q2355" s="111"/>
    </row>
    <row r="2356" ht="25.5" customHeight="1">
      <c r="A2356" s="59"/>
      <c r="B2356" s="104"/>
      <c r="C2356" s="96"/>
      <c r="D2356" s="105"/>
      <c r="E2356" s="105"/>
      <c r="F2356" s="105"/>
      <c r="G2356" s="106"/>
      <c r="H2356" s="104"/>
      <c r="I2356" s="107"/>
      <c r="J2356" s="107"/>
      <c r="K2356" s="107"/>
      <c r="L2356" s="108"/>
      <c r="M2356" s="107"/>
      <c r="N2356" s="107"/>
      <c r="O2356" s="109"/>
      <c r="P2356" s="59"/>
      <c r="Q2356" s="104"/>
    </row>
    <row r="2357" ht="25.5" customHeight="1">
      <c r="A2357" s="110"/>
      <c r="B2357" s="111"/>
      <c r="C2357" s="96"/>
      <c r="D2357" s="112"/>
      <c r="E2357" s="112"/>
      <c r="F2357" s="112"/>
      <c r="G2357" s="113"/>
      <c r="H2357" s="111"/>
      <c r="I2357" s="103"/>
      <c r="J2357" s="103"/>
      <c r="K2357" s="103"/>
      <c r="L2357" s="108"/>
      <c r="M2357" s="103"/>
      <c r="N2357" s="103"/>
      <c r="O2357" s="114"/>
      <c r="P2357" s="110"/>
      <c r="Q2357" s="111"/>
    </row>
    <row r="2358" ht="25.5" customHeight="1">
      <c r="A2358" s="59"/>
      <c r="B2358" s="104"/>
      <c r="C2358" s="96"/>
      <c r="D2358" s="105"/>
      <c r="E2358" s="105"/>
      <c r="F2358" s="105"/>
      <c r="G2358" s="106"/>
      <c r="H2358" s="104"/>
      <c r="I2358" s="107"/>
      <c r="J2358" s="107"/>
      <c r="K2358" s="107"/>
      <c r="L2358" s="108"/>
      <c r="M2358" s="107"/>
      <c r="N2358" s="107"/>
      <c r="O2358" s="109"/>
      <c r="P2358" s="59"/>
      <c r="Q2358" s="104"/>
    </row>
    <row r="2359" ht="25.5" customHeight="1">
      <c r="A2359" s="110"/>
      <c r="B2359" s="111"/>
      <c r="C2359" s="96"/>
      <c r="D2359" s="112"/>
      <c r="E2359" s="112"/>
      <c r="F2359" s="112"/>
      <c r="G2359" s="113"/>
      <c r="H2359" s="111"/>
      <c r="I2359" s="103"/>
      <c r="J2359" s="103"/>
      <c r="K2359" s="103"/>
      <c r="L2359" s="108"/>
      <c r="M2359" s="103"/>
      <c r="N2359" s="103"/>
      <c r="O2359" s="114"/>
      <c r="P2359" s="110"/>
      <c r="Q2359" s="111"/>
    </row>
    <row r="2360" ht="25.5" customHeight="1">
      <c r="A2360" s="59"/>
      <c r="B2360" s="104"/>
      <c r="C2360" s="96"/>
      <c r="D2360" s="105"/>
      <c r="E2360" s="105"/>
      <c r="F2360" s="105"/>
      <c r="G2360" s="106"/>
      <c r="H2360" s="104"/>
      <c r="I2360" s="107"/>
      <c r="J2360" s="107"/>
      <c r="K2360" s="107"/>
      <c r="L2360" s="108"/>
      <c r="M2360" s="107"/>
      <c r="N2360" s="107"/>
      <c r="O2360" s="109"/>
      <c r="P2360" s="59"/>
      <c r="Q2360" s="104"/>
    </row>
    <row r="2361" ht="25.5" customHeight="1">
      <c r="A2361" s="110"/>
      <c r="B2361" s="111"/>
      <c r="C2361" s="96"/>
      <c r="D2361" s="112"/>
      <c r="E2361" s="112"/>
      <c r="F2361" s="112"/>
      <c r="G2361" s="113"/>
      <c r="H2361" s="111"/>
      <c r="I2361" s="103"/>
      <c r="J2361" s="103"/>
      <c r="K2361" s="103"/>
      <c r="L2361" s="108"/>
      <c r="M2361" s="103"/>
      <c r="N2361" s="103"/>
      <c r="O2361" s="114"/>
      <c r="P2361" s="110"/>
      <c r="Q2361" s="111"/>
    </row>
    <row r="2362" ht="25.5" customHeight="1">
      <c r="A2362" s="59"/>
      <c r="B2362" s="104"/>
      <c r="C2362" s="96"/>
      <c r="D2362" s="105"/>
      <c r="E2362" s="105"/>
      <c r="F2362" s="105"/>
      <c r="G2362" s="106"/>
      <c r="H2362" s="104"/>
      <c r="I2362" s="107"/>
      <c r="J2362" s="107"/>
      <c r="K2362" s="107"/>
      <c r="L2362" s="108"/>
      <c r="M2362" s="107"/>
      <c r="N2362" s="107"/>
      <c r="O2362" s="109"/>
      <c r="P2362" s="59"/>
      <c r="Q2362" s="104"/>
    </row>
    <row r="2363" ht="25.5" customHeight="1">
      <c r="A2363" s="110"/>
      <c r="B2363" s="111"/>
      <c r="C2363" s="96"/>
      <c r="D2363" s="112"/>
      <c r="E2363" s="112"/>
      <c r="F2363" s="112"/>
      <c r="G2363" s="113"/>
      <c r="H2363" s="111"/>
      <c r="I2363" s="103"/>
      <c r="J2363" s="103"/>
      <c r="K2363" s="103"/>
      <c r="L2363" s="108"/>
      <c r="M2363" s="103"/>
      <c r="N2363" s="103"/>
      <c r="O2363" s="114"/>
      <c r="P2363" s="110"/>
      <c r="Q2363" s="111"/>
    </row>
    <row r="2364" ht="25.5" customHeight="1">
      <c r="A2364" s="59"/>
      <c r="B2364" s="104"/>
      <c r="C2364" s="96"/>
      <c r="D2364" s="105"/>
      <c r="E2364" s="105"/>
      <c r="F2364" s="105"/>
      <c r="G2364" s="106"/>
      <c r="H2364" s="104"/>
      <c r="I2364" s="107"/>
      <c r="J2364" s="107"/>
      <c r="K2364" s="107"/>
      <c r="L2364" s="108"/>
      <c r="M2364" s="107"/>
      <c r="N2364" s="107"/>
      <c r="O2364" s="109"/>
      <c r="P2364" s="59"/>
      <c r="Q2364" s="104"/>
    </row>
    <row r="2365" ht="25.5" customHeight="1">
      <c r="A2365" s="110"/>
      <c r="B2365" s="111"/>
      <c r="C2365" s="96"/>
      <c r="D2365" s="112"/>
      <c r="E2365" s="112"/>
      <c r="F2365" s="112"/>
      <c r="G2365" s="113"/>
      <c r="H2365" s="111"/>
      <c r="I2365" s="103"/>
      <c r="J2365" s="103"/>
      <c r="K2365" s="103"/>
      <c r="L2365" s="108"/>
      <c r="M2365" s="103"/>
      <c r="N2365" s="103"/>
      <c r="O2365" s="114"/>
      <c r="P2365" s="110"/>
      <c r="Q2365" s="111"/>
    </row>
    <row r="2366" ht="25.5" customHeight="1">
      <c r="A2366" s="59"/>
      <c r="B2366" s="104"/>
      <c r="C2366" s="96"/>
      <c r="D2366" s="105"/>
      <c r="E2366" s="105"/>
      <c r="F2366" s="105"/>
      <c r="G2366" s="106"/>
      <c r="H2366" s="104"/>
      <c r="I2366" s="107"/>
      <c r="J2366" s="107"/>
      <c r="K2366" s="107"/>
      <c r="L2366" s="108"/>
      <c r="M2366" s="107"/>
      <c r="N2366" s="107"/>
      <c r="O2366" s="109"/>
      <c r="P2366" s="59"/>
      <c r="Q2366" s="104"/>
    </row>
    <row r="2367" ht="25.5" customHeight="1">
      <c r="A2367" s="110"/>
      <c r="B2367" s="111"/>
      <c r="C2367" s="96"/>
      <c r="D2367" s="112"/>
      <c r="E2367" s="112"/>
      <c r="F2367" s="112"/>
      <c r="G2367" s="113"/>
      <c r="H2367" s="111"/>
      <c r="I2367" s="103"/>
      <c r="J2367" s="103"/>
      <c r="K2367" s="103"/>
      <c r="L2367" s="108"/>
      <c r="M2367" s="103"/>
      <c r="N2367" s="103"/>
      <c r="O2367" s="114"/>
      <c r="P2367" s="110"/>
      <c r="Q2367" s="111"/>
    </row>
    <row r="2368" ht="25.5" customHeight="1">
      <c r="A2368" s="59"/>
      <c r="B2368" s="104"/>
      <c r="C2368" s="96"/>
      <c r="D2368" s="105"/>
      <c r="E2368" s="105"/>
      <c r="F2368" s="105"/>
      <c r="G2368" s="106"/>
      <c r="H2368" s="104"/>
      <c r="I2368" s="107"/>
      <c r="J2368" s="107"/>
      <c r="K2368" s="107"/>
      <c r="L2368" s="108"/>
      <c r="M2368" s="107"/>
      <c r="N2368" s="107"/>
      <c r="O2368" s="109"/>
      <c r="P2368" s="59"/>
      <c r="Q2368" s="104"/>
    </row>
    <row r="2369" ht="25.5" customHeight="1">
      <c r="A2369" s="110"/>
      <c r="B2369" s="111"/>
      <c r="C2369" s="96"/>
      <c r="D2369" s="112"/>
      <c r="E2369" s="112"/>
      <c r="F2369" s="112"/>
      <c r="G2369" s="113"/>
      <c r="H2369" s="111"/>
      <c r="I2369" s="103"/>
      <c r="J2369" s="103"/>
      <c r="K2369" s="103"/>
      <c r="L2369" s="108"/>
      <c r="M2369" s="103"/>
      <c r="N2369" s="103"/>
      <c r="O2369" s="114"/>
      <c r="P2369" s="110"/>
      <c r="Q2369" s="111"/>
    </row>
    <row r="2370" ht="25.5" customHeight="1">
      <c r="A2370" s="59"/>
      <c r="B2370" s="104"/>
      <c r="C2370" s="96"/>
      <c r="D2370" s="105"/>
      <c r="E2370" s="105"/>
      <c r="F2370" s="105"/>
      <c r="G2370" s="106"/>
      <c r="H2370" s="104"/>
      <c r="I2370" s="107"/>
      <c r="J2370" s="107"/>
      <c r="K2370" s="107"/>
      <c r="L2370" s="108"/>
      <c r="M2370" s="107"/>
      <c r="N2370" s="107"/>
      <c r="O2370" s="109"/>
      <c r="P2370" s="59"/>
      <c r="Q2370" s="104"/>
    </row>
    <row r="2371" ht="25.5" customHeight="1">
      <c r="A2371" s="110"/>
      <c r="B2371" s="111"/>
      <c r="C2371" s="96"/>
      <c r="D2371" s="112"/>
      <c r="E2371" s="112"/>
      <c r="F2371" s="112"/>
      <c r="G2371" s="113"/>
      <c r="H2371" s="111"/>
      <c r="I2371" s="103"/>
      <c r="J2371" s="103"/>
      <c r="K2371" s="103"/>
      <c r="L2371" s="108"/>
      <c r="M2371" s="103"/>
      <c r="N2371" s="103"/>
      <c r="O2371" s="114"/>
      <c r="P2371" s="110"/>
      <c r="Q2371" s="111"/>
    </row>
    <row r="2372" ht="25.5" customHeight="1">
      <c r="A2372" s="59"/>
      <c r="B2372" s="104"/>
      <c r="C2372" s="96"/>
      <c r="D2372" s="105"/>
      <c r="E2372" s="105"/>
      <c r="F2372" s="105"/>
      <c r="G2372" s="106"/>
      <c r="H2372" s="104"/>
      <c r="I2372" s="107"/>
      <c r="J2372" s="107"/>
      <c r="K2372" s="107"/>
      <c r="L2372" s="108"/>
      <c r="M2372" s="107"/>
      <c r="N2372" s="107"/>
      <c r="O2372" s="109"/>
      <c r="P2372" s="59"/>
      <c r="Q2372" s="104"/>
    </row>
    <row r="2373" ht="25.5" customHeight="1">
      <c r="A2373" s="110"/>
      <c r="B2373" s="111"/>
      <c r="C2373" s="96"/>
      <c r="D2373" s="112"/>
      <c r="E2373" s="112"/>
      <c r="F2373" s="112"/>
      <c r="G2373" s="113"/>
      <c r="H2373" s="111"/>
      <c r="I2373" s="103"/>
      <c r="J2373" s="103"/>
      <c r="K2373" s="103"/>
      <c r="L2373" s="108"/>
      <c r="M2373" s="103"/>
      <c r="N2373" s="103"/>
      <c r="O2373" s="114"/>
      <c r="P2373" s="110"/>
      <c r="Q2373" s="111"/>
    </row>
    <row r="2374" ht="25.5" customHeight="1">
      <c r="A2374" s="59"/>
      <c r="B2374" s="104"/>
      <c r="C2374" s="96"/>
      <c r="D2374" s="105"/>
      <c r="E2374" s="105"/>
      <c r="F2374" s="105"/>
      <c r="G2374" s="106"/>
      <c r="H2374" s="104"/>
      <c r="I2374" s="107"/>
      <c r="J2374" s="107"/>
      <c r="K2374" s="107"/>
      <c r="L2374" s="108"/>
      <c r="M2374" s="107"/>
      <c r="N2374" s="107"/>
      <c r="O2374" s="109"/>
      <c r="P2374" s="59"/>
      <c r="Q2374" s="104"/>
    </row>
    <row r="2375" ht="25.5" customHeight="1">
      <c r="A2375" s="110"/>
      <c r="B2375" s="111"/>
      <c r="C2375" s="96"/>
      <c r="D2375" s="112"/>
      <c r="E2375" s="112"/>
      <c r="F2375" s="112"/>
      <c r="G2375" s="113"/>
      <c r="H2375" s="111"/>
      <c r="I2375" s="103"/>
      <c r="J2375" s="103"/>
      <c r="K2375" s="103"/>
      <c r="L2375" s="108"/>
      <c r="M2375" s="103"/>
      <c r="N2375" s="103"/>
      <c r="O2375" s="114"/>
      <c r="P2375" s="110"/>
      <c r="Q2375" s="111"/>
    </row>
    <row r="2376" ht="25.5" customHeight="1">
      <c r="A2376" s="59"/>
      <c r="B2376" s="104"/>
      <c r="C2376" s="96"/>
      <c r="D2376" s="105"/>
      <c r="E2376" s="105"/>
      <c r="F2376" s="105"/>
      <c r="G2376" s="106"/>
      <c r="H2376" s="104"/>
      <c r="I2376" s="107"/>
      <c r="J2376" s="107"/>
      <c r="K2376" s="107"/>
      <c r="L2376" s="108"/>
      <c r="M2376" s="107"/>
      <c r="N2376" s="107"/>
      <c r="O2376" s="109"/>
      <c r="P2376" s="59"/>
      <c r="Q2376" s="104"/>
    </row>
    <row r="2377" ht="25.5" customHeight="1">
      <c r="A2377" s="110"/>
      <c r="B2377" s="111"/>
      <c r="C2377" s="96"/>
      <c r="D2377" s="112"/>
      <c r="E2377" s="112"/>
      <c r="F2377" s="112"/>
      <c r="G2377" s="113"/>
      <c r="H2377" s="111"/>
      <c r="I2377" s="103"/>
      <c r="J2377" s="103"/>
      <c r="K2377" s="103"/>
      <c r="L2377" s="108"/>
      <c r="M2377" s="103"/>
      <c r="N2377" s="103"/>
      <c r="O2377" s="114"/>
      <c r="P2377" s="110"/>
      <c r="Q2377" s="111"/>
    </row>
    <row r="2378" ht="25.5" customHeight="1">
      <c r="A2378" s="59"/>
      <c r="B2378" s="104"/>
      <c r="C2378" s="96"/>
      <c r="D2378" s="105"/>
      <c r="E2378" s="105"/>
      <c r="F2378" s="105"/>
      <c r="G2378" s="106"/>
      <c r="H2378" s="104"/>
      <c r="I2378" s="107"/>
      <c r="J2378" s="107"/>
      <c r="K2378" s="107"/>
      <c r="L2378" s="108"/>
      <c r="M2378" s="107"/>
      <c r="N2378" s="107"/>
      <c r="O2378" s="109"/>
      <c r="P2378" s="59"/>
      <c r="Q2378" s="104"/>
    </row>
    <row r="2379" ht="25.5" customHeight="1">
      <c r="A2379" s="110"/>
      <c r="B2379" s="111"/>
      <c r="C2379" s="96"/>
      <c r="D2379" s="112"/>
      <c r="E2379" s="112"/>
      <c r="F2379" s="112"/>
      <c r="G2379" s="113"/>
      <c r="H2379" s="111"/>
      <c r="I2379" s="103"/>
      <c r="J2379" s="103"/>
      <c r="K2379" s="103"/>
      <c r="L2379" s="108"/>
      <c r="M2379" s="103"/>
      <c r="N2379" s="103"/>
      <c r="O2379" s="114"/>
      <c r="P2379" s="110"/>
      <c r="Q2379" s="111"/>
    </row>
    <row r="2380" ht="25.5" customHeight="1">
      <c r="A2380" s="59"/>
      <c r="B2380" s="104"/>
      <c r="C2380" s="96"/>
      <c r="D2380" s="105"/>
      <c r="E2380" s="105"/>
      <c r="F2380" s="105"/>
      <c r="G2380" s="106"/>
      <c r="H2380" s="104"/>
      <c r="I2380" s="107"/>
      <c r="J2380" s="107"/>
      <c r="K2380" s="107"/>
      <c r="L2380" s="108"/>
      <c r="M2380" s="107"/>
      <c r="N2380" s="107"/>
      <c r="O2380" s="109"/>
      <c r="P2380" s="59"/>
      <c r="Q2380" s="104"/>
    </row>
    <row r="2381" ht="25.5" customHeight="1">
      <c r="A2381" s="110"/>
      <c r="B2381" s="111"/>
      <c r="C2381" s="96"/>
      <c r="D2381" s="112"/>
      <c r="E2381" s="112"/>
      <c r="F2381" s="112"/>
      <c r="G2381" s="113"/>
      <c r="H2381" s="111"/>
      <c r="I2381" s="103"/>
      <c r="J2381" s="103"/>
      <c r="K2381" s="103"/>
      <c r="L2381" s="108"/>
      <c r="M2381" s="103"/>
      <c r="N2381" s="103"/>
      <c r="O2381" s="114"/>
      <c r="P2381" s="110"/>
      <c r="Q2381" s="111"/>
    </row>
    <row r="2382" ht="25.5" customHeight="1">
      <c r="A2382" s="59"/>
      <c r="B2382" s="104"/>
      <c r="C2382" s="96"/>
      <c r="D2382" s="105"/>
      <c r="E2382" s="105"/>
      <c r="F2382" s="105"/>
      <c r="G2382" s="106"/>
      <c r="H2382" s="104"/>
      <c r="I2382" s="107"/>
      <c r="J2382" s="107"/>
      <c r="K2382" s="107"/>
      <c r="L2382" s="108"/>
      <c r="M2382" s="107"/>
      <c r="N2382" s="107"/>
      <c r="O2382" s="109"/>
      <c r="P2382" s="59"/>
      <c r="Q2382" s="104"/>
    </row>
    <row r="2383" ht="25.5" customHeight="1">
      <c r="A2383" s="110"/>
      <c r="B2383" s="111"/>
      <c r="C2383" s="96"/>
      <c r="D2383" s="112"/>
      <c r="E2383" s="112"/>
      <c r="F2383" s="112"/>
      <c r="G2383" s="113"/>
      <c r="H2383" s="111"/>
      <c r="I2383" s="103"/>
      <c r="J2383" s="103"/>
      <c r="K2383" s="103"/>
      <c r="L2383" s="108"/>
      <c r="M2383" s="103"/>
      <c r="N2383" s="103"/>
      <c r="O2383" s="114"/>
      <c r="P2383" s="110"/>
      <c r="Q2383" s="111"/>
    </row>
    <row r="2384" ht="25.5" customHeight="1">
      <c r="A2384" s="59"/>
      <c r="B2384" s="104"/>
      <c r="C2384" s="96"/>
      <c r="D2384" s="105"/>
      <c r="E2384" s="105"/>
      <c r="F2384" s="105"/>
      <c r="G2384" s="106"/>
      <c r="H2384" s="104"/>
      <c r="I2384" s="107"/>
      <c r="J2384" s="107"/>
      <c r="K2384" s="107"/>
      <c r="L2384" s="108"/>
      <c r="M2384" s="107"/>
      <c r="N2384" s="107"/>
      <c r="O2384" s="109"/>
      <c r="P2384" s="59"/>
      <c r="Q2384" s="104"/>
    </row>
    <row r="2385" ht="25.5" customHeight="1">
      <c r="A2385" s="110"/>
      <c r="B2385" s="111"/>
      <c r="C2385" s="96"/>
      <c r="D2385" s="112"/>
      <c r="E2385" s="112"/>
      <c r="F2385" s="112"/>
      <c r="G2385" s="113"/>
      <c r="H2385" s="111"/>
      <c r="I2385" s="103"/>
      <c r="J2385" s="103"/>
      <c r="K2385" s="103"/>
      <c r="L2385" s="108"/>
      <c r="M2385" s="103"/>
      <c r="N2385" s="103"/>
      <c r="O2385" s="114"/>
      <c r="P2385" s="110"/>
      <c r="Q2385" s="111"/>
    </row>
    <row r="2386" ht="25.5" customHeight="1">
      <c r="A2386" s="59"/>
      <c r="B2386" s="104"/>
      <c r="C2386" s="96"/>
      <c r="D2386" s="105"/>
      <c r="E2386" s="105"/>
      <c r="F2386" s="105"/>
      <c r="G2386" s="106"/>
      <c r="H2386" s="104"/>
      <c r="I2386" s="107"/>
      <c r="J2386" s="107"/>
      <c r="K2386" s="107"/>
      <c r="L2386" s="108"/>
      <c r="M2386" s="107"/>
      <c r="N2386" s="107"/>
      <c r="O2386" s="109"/>
      <c r="P2386" s="59"/>
      <c r="Q2386" s="104"/>
    </row>
    <row r="2387" ht="25.5" customHeight="1">
      <c r="A2387" s="110"/>
      <c r="B2387" s="111"/>
      <c r="C2387" s="96"/>
      <c r="D2387" s="112"/>
      <c r="E2387" s="112"/>
      <c r="F2387" s="112"/>
      <c r="G2387" s="113"/>
      <c r="H2387" s="111"/>
      <c r="I2387" s="103"/>
      <c r="J2387" s="103"/>
      <c r="K2387" s="103"/>
      <c r="L2387" s="108"/>
      <c r="M2387" s="103"/>
      <c r="N2387" s="103"/>
      <c r="O2387" s="114"/>
      <c r="P2387" s="110"/>
      <c r="Q2387" s="111"/>
    </row>
    <row r="2388" ht="25.5" customHeight="1">
      <c r="A2388" s="59"/>
      <c r="B2388" s="104"/>
      <c r="C2388" s="96"/>
      <c r="D2388" s="105"/>
      <c r="E2388" s="105"/>
      <c r="F2388" s="105"/>
      <c r="G2388" s="106"/>
      <c r="H2388" s="104"/>
      <c r="I2388" s="107"/>
      <c r="J2388" s="107"/>
      <c r="K2388" s="107"/>
      <c r="L2388" s="108"/>
      <c r="M2388" s="107"/>
      <c r="N2388" s="107"/>
      <c r="O2388" s="109"/>
      <c r="P2388" s="59"/>
      <c r="Q2388" s="104"/>
    </row>
    <row r="2389" ht="25.5" customHeight="1">
      <c r="A2389" s="110"/>
      <c r="B2389" s="111"/>
      <c r="C2389" s="96"/>
      <c r="D2389" s="112"/>
      <c r="E2389" s="112"/>
      <c r="F2389" s="112"/>
      <c r="G2389" s="113"/>
      <c r="H2389" s="111"/>
      <c r="I2389" s="103"/>
      <c r="J2389" s="103"/>
      <c r="K2389" s="103"/>
      <c r="L2389" s="108"/>
      <c r="M2389" s="103"/>
      <c r="N2389" s="103"/>
      <c r="O2389" s="114"/>
      <c r="P2389" s="110"/>
      <c r="Q2389" s="111"/>
    </row>
    <row r="2390" ht="25.5" customHeight="1">
      <c r="A2390" s="59"/>
      <c r="B2390" s="104"/>
      <c r="C2390" s="96"/>
      <c r="D2390" s="105"/>
      <c r="E2390" s="105"/>
      <c r="F2390" s="105"/>
      <c r="G2390" s="106"/>
      <c r="H2390" s="104"/>
      <c r="I2390" s="107"/>
      <c r="J2390" s="107"/>
      <c r="K2390" s="107"/>
      <c r="L2390" s="108"/>
      <c r="M2390" s="107"/>
      <c r="N2390" s="107"/>
      <c r="O2390" s="109"/>
      <c r="P2390" s="59"/>
      <c r="Q2390" s="104"/>
    </row>
    <row r="2391" ht="25.5" customHeight="1">
      <c r="A2391" s="110"/>
      <c r="B2391" s="111"/>
      <c r="C2391" s="96"/>
      <c r="D2391" s="112"/>
      <c r="E2391" s="112"/>
      <c r="F2391" s="112"/>
      <c r="G2391" s="113"/>
      <c r="H2391" s="111"/>
      <c r="I2391" s="103"/>
      <c r="J2391" s="103"/>
      <c r="K2391" s="103"/>
      <c r="L2391" s="108"/>
      <c r="M2391" s="103"/>
      <c r="N2391" s="103"/>
      <c r="O2391" s="114"/>
      <c r="P2391" s="110"/>
      <c r="Q2391" s="111"/>
    </row>
    <row r="2392" ht="25.5" customHeight="1">
      <c r="A2392" s="59"/>
      <c r="B2392" s="104"/>
      <c r="C2392" s="96"/>
      <c r="D2392" s="105"/>
      <c r="E2392" s="105"/>
      <c r="F2392" s="105"/>
      <c r="G2392" s="106"/>
      <c r="H2392" s="104"/>
      <c r="I2392" s="107"/>
      <c r="J2392" s="107"/>
      <c r="K2392" s="107"/>
      <c r="L2392" s="108"/>
      <c r="M2392" s="107"/>
      <c r="N2392" s="107"/>
      <c r="O2392" s="109"/>
      <c r="P2392" s="59"/>
      <c r="Q2392" s="104"/>
    </row>
    <row r="2393" ht="25.5" customHeight="1">
      <c r="A2393" s="110"/>
      <c r="B2393" s="111"/>
      <c r="C2393" s="96"/>
      <c r="D2393" s="112"/>
      <c r="E2393" s="112"/>
      <c r="F2393" s="112"/>
      <c r="G2393" s="113"/>
      <c r="H2393" s="111"/>
      <c r="I2393" s="103"/>
      <c r="J2393" s="103"/>
      <c r="K2393" s="103"/>
      <c r="L2393" s="108"/>
      <c r="M2393" s="103"/>
      <c r="N2393" s="103"/>
      <c r="O2393" s="114"/>
      <c r="P2393" s="110"/>
      <c r="Q2393" s="111"/>
    </row>
    <row r="2394" ht="25.5" customHeight="1">
      <c r="A2394" s="59"/>
      <c r="B2394" s="104"/>
      <c r="C2394" s="96"/>
      <c r="D2394" s="105"/>
      <c r="E2394" s="105"/>
      <c r="F2394" s="105"/>
      <c r="G2394" s="106"/>
      <c r="H2394" s="104"/>
      <c r="I2394" s="107"/>
      <c r="J2394" s="107"/>
      <c r="K2394" s="107"/>
      <c r="L2394" s="108"/>
      <c r="M2394" s="107"/>
      <c r="N2394" s="107"/>
      <c r="O2394" s="109"/>
      <c r="P2394" s="59"/>
      <c r="Q2394" s="104"/>
    </row>
    <row r="2395" ht="25.5" customHeight="1">
      <c r="A2395" s="110"/>
      <c r="B2395" s="111"/>
      <c r="C2395" s="96"/>
      <c r="D2395" s="112"/>
      <c r="E2395" s="112"/>
      <c r="F2395" s="112"/>
      <c r="G2395" s="113"/>
      <c r="H2395" s="111"/>
      <c r="I2395" s="103"/>
      <c r="J2395" s="103"/>
      <c r="K2395" s="103"/>
      <c r="L2395" s="108"/>
      <c r="M2395" s="103"/>
      <c r="N2395" s="103"/>
      <c r="O2395" s="114"/>
      <c r="P2395" s="110"/>
      <c r="Q2395" s="111"/>
    </row>
    <row r="2396" ht="25.5" customHeight="1">
      <c r="A2396" s="59"/>
      <c r="B2396" s="104"/>
      <c r="C2396" s="96"/>
      <c r="D2396" s="105"/>
      <c r="E2396" s="105"/>
      <c r="F2396" s="105"/>
      <c r="G2396" s="106"/>
      <c r="H2396" s="104"/>
      <c r="I2396" s="107"/>
      <c r="J2396" s="107"/>
      <c r="K2396" s="107"/>
      <c r="L2396" s="108"/>
      <c r="M2396" s="107"/>
      <c r="N2396" s="107"/>
      <c r="O2396" s="109"/>
      <c r="P2396" s="59"/>
      <c r="Q2396" s="104"/>
    </row>
    <row r="2397" ht="25.5" customHeight="1">
      <c r="A2397" s="110"/>
      <c r="B2397" s="111"/>
      <c r="C2397" s="96"/>
      <c r="D2397" s="112"/>
      <c r="E2397" s="112"/>
      <c r="F2397" s="112"/>
      <c r="G2397" s="113"/>
      <c r="H2397" s="111"/>
      <c r="I2397" s="103"/>
      <c r="J2397" s="103"/>
      <c r="K2397" s="103"/>
      <c r="L2397" s="108"/>
      <c r="M2397" s="103"/>
      <c r="N2397" s="103"/>
      <c r="O2397" s="114"/>
      <c r="P2397" s="110"/>
      <c r="Q2397" s="111"/>
    </row>
    <row r="2398" ht="25.5" customHeight="1">
      <c r="A2398" s="59"/>
      <c r="B2398" s="104"/>
      <c r="C2398" s="96"/>
      <c r="D2398" s="105"/>
      <c r="E2398" s="105"/>
      <c r="F2398" s="105"/>
      <c r="G2398" s="106"/>
      <c r="H2398" s="104"/>
      <c r="I2398" s="107"/>
      <c r="J2398" s="107"/>
      <c r="K2398" s="107"/>
      <c r="L2398" s="108"/>
      <c r="M2398" s="107"/>
      <c r="N2398" s="107"/>
      <c r="O2398" s="109"/>
      <c r="P2398" s="59"/>
      <c r="Q2398" s="104"/>
    </row>
    <row r="2399" ht="25.5" customHeight="1">
      <c r="A2399" s="110"/>
      <c r="B2399" s="111"/>
      <c r="C2399" s="96"/>
      <c r="D2399" s="112"/>
      <c r="E2399" s="112"/>
      <c r="F2399" s="112"/>
      <c r="G2399" s="113"/>
      <c r="H2399" s="111"/>
      <c r="I2399" s="103"/>
      <c r="J2399" s="103"/>
      <c r="K2399" s="103"/>
      <c r="L2399" s="108"/>
      <c r="M2399" s="103"/>
      <c r="N2399" s="103"/>
      <c r="O2399" s="114"/>
      <c r="P2399" s="110"/>
      <c r="Q2399" s="111"/>
    </row>
    <row r="2400" ht="25.5" customHeight="1">
      <c r="A2400" s="59"/>
      <c r="B2400" s="104"/>
      <c r="C2400" s="96"/>
      <c r="D2400" s="105"/>
      <c r="E2400" s="105"/>
      <c r="F2400" s="105"/>
      <c r="G2400" s="106"/>
      <c r="H2400" s="104"/>
      <c r="I2400" s="107"/>
      <c r="J2400" s="107"/>
      <c r="K2400" s="107"/>
      <c r="L2400" s="108"/>
      <c r="M2400" s="107"/>
      <c r="N2400" s="107"/>
      <c r="O2400" s="109"/>
      <c r="P2400" s="59"/>
      <c r="Q2400" s="104"/>
    </row>
    <row r="2401" ht="25.5" customHeight="1">
      <c r="A2401" s="110"/>
      <c r="B2401" s="111"/>
      <c r="C2401" s="96"/>
      <c r="D2401" s="112"/>
      <c r="E2401" s="112"/>
      <c r="F2401" s="112"/>
      <c r="G2401" s="113"/>
      <c r="H2401" s="111"/>
      <c r="J2401" s="103"/>
      <c r="K2401" s="103"/>
      <c r="L2401" s="108"/>
      <c r="M2401" s="103"/>
      <c r="N2401" s="103"/>
      <c r="O2401" s="114"/>
      <c r="P2401" s="110"/>
      <c r="Q2401" s="111"/>
    </row>
  </sheetData>
  <autoFilter ref="$A$1:$Q$2401"/>
  <customSheetViews>
    <customSheetView guid="{D43714D5-4155-4A1D-9805-C3BAB7551809}" filter="1" showAutoFilter="1">
      <autoFilter ref="$A$1:$Q$3">
        <filterColumn colId="13">
          <filters/>
        </filterColumn>
      </autoFilter>
    </customSheetView>
    <customSheetView guid="{5F60A7BD-C805-40CA-9E37-3817D241B0DA}" filter="1" showAutoFilter="1">
      <autoFilter ref="$A$1:$Q$3">
        <filterColumn colId="13">
          <filters/>
        </filterColumn>
      </autoFilter>
    </customSheetView>
  </customSheetViews>
  <conditionalFormatting sqref="I4:N2401">
    <cfRule type="notContainsBlanks" dxfId="1" priority="1">
      <formula>LEN(TRIM(I4))&gt;0</formula>
    </cfRule>
  </conditionalFormatting>
  <dataValidations>
    <dataValidation type="list" allowBlank="1" showErrorMessage="1" sqref="C4:C2401">
      <formula1>CSDL!$A:$A</formula1>
    </dataValidation>
    <dataValidation type="list" allowBlank="1" showInputMessage="1" showErrorMessage="1" prompt="Nhấp và nhập một giá trị trong dải ô" sqref="N4:N2401">
      <formula1>'Hang muc chi'!$C$2:$C$24</formula1>
    </dataValidation>
    <dataValidation type="list" allowBlank="1" showInputMessage="1" showErrorMessage="1" prompt="Nhấp và nhập giá trị từ dải ô" sqref="I4:I2400">
      <formula1>'DM benh'!$A$2:$A$499</formula1>
    </dataValidation>
  </dataValidations>
  <hyperlinks>
    <hyperlink r:id="rId1" location="gid=0" ref="B1"/>
  </hyperlinks>
  <printOptions gridLines="1" horizontalCentered="1"/>
  <pageMargins bottom="0.75" footer="0.0" header="0.0" left="0.25" right="0.25" top="0.75"/>
  <pageSetup fitToHeight="0" paperSize="9" cellComments="atEnd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8.14"/>
    <col customWidth="1" min="3" max="3" width="40.86"/>
    <col customWidth="1" min="4" max="6" width="14.43"/>
  </cols>
  <sheetData>
    <row r="1">
      <c r="A1" s="115" t="str">
        <f>IFERROR(__xludf.DUMMYFUNCTION("importrange(""https://docs.google.com/spreadsheets/d/1s8yEsKu3EMT_o1gfopKM8FAT3y4j4rENhR6GH49MzHc/edit#gid=0"",""CSDL khach hang!A:E"")"),"")</f>
        <v/>
      </c>
      <c r="B1" s="116"/>
      <c r="C1" s="116"/>
      <c r="D1" s="116"/>
      <c r="E1" s="116"/>
    </row>
    <row r="2">
      <c r="A2" s="117"/>
      <c r="B2" s="118"/>
      <c r="C2" s="118"/>
      <c r="D2" s="118"/>
      <c r="E2" s="119"/>
    </row>
    <row r="3">
      <c r="A3" s="117" t="str">
        <f>IFERROR(__xludf.DUMMYFUNCTION("""COMPUTED_VALUE"""),"0914 125 773")</f>
        <v>0914 125 773</v>
      </c>
      <c r="B3" s="118" t="str">
        <f>IFERROR(__xludf.DUMMYFUNCTION("""COMPUTED_VALUE"""),"Bác Quân")</f>
        <v>Bác Quân</v>
      </c>
      <c r="C3" s="118" t="str">
        <f>IFERROR(__xludf.DUMMYFUNCTION("""COMPUTED_VALUE"""),"ngõ 69 k131 Trần Phú")</f>
        <v>ngõ 69 k131 Trần Phú</v>
      </c>
      <c r="D3" s="118" t="str">
        <f>IFERROR(__xludf.DUMMYFUNCTION("""COMPUTED_VALUE"""),"chó")</f>
        <v>chó</v>
      </c>
      <c r="E3" s="118" t="str">
        <f>IFERROR(__xludf.DUMMYFUNCTION("""COMPUTED_VALUE"""),"sóc")</f>
        <v>sóc</v>
      </c>
    </row>
    <row r="4">
      <c r="A4" s="117" t="str">
        <f>IFERROR(__xludf.DUMMYFUNCTION("""COMPUTED_VALUE"""),"0368 142 234")</f>
        <v>0368 142 234</v>
      </c>
      <c r="B4" s="118" t="str">
        <f>IFERROR(__xludf.DUMMYFUNCTION("""COMPUTED_VALUE"""),"Chị Yến")</f>
        <v>Chị Yến</v>
      </c>
      <c r="C4" s="118" t="str">
        <f>IFERROR(__xludf.DUMMYFUNCTION("""COMPUTED_VALUE"""),"C 1 chung cư Trường An")</f>
        <v>C 1 chung cư Trường An</v>
      </c>
      <c r="D4" s="118" t="str">
        <f>IFERROR(__xludf.DUMMYFUNCTION("""COMPUTED_VALUE"""),"mèo")</f>
        <v>mèo</v>
      </c>
      <c r="E4" s="118"/>
    </row>
    <row r="5">
      <c r="A5" s="117" t="str">
        <f>IFERROR(__xludf.DUMMYFUNCTION("""COMPUTED_VALUE"""),"0829 448 009")</f>
        <v>0829 448 009</v>
      </c>
      <c r="B5" s="118" t="str">
        <f>IFERROR(__xludf.DUMMYFUNCTION("""COMPUTED_VALUE"""),"anh Huy")</f>
        <v>anh Huy</v>
      </c>
      <c r="C5" s="118" t="str">
        <f>IFERROR(__xludf.DUMMYFUNCTION("""COMPUTED_VALUE"""),"30/6 Tôn Thất Tùng")</f>
        <v>30/6 Tôn Thất Tùng</v>
      </c>
      <c r="D5" s="118" t="str">
        <f>IFERROR(__xludf.DUMMYFUNCTION("""COMPUTED_VALUE"""),"mèo")</f>
        <v>mèo</v>
      </c>
      <c r="E5" s="118"/>
    </row>
    <row r="6">
      <c r="A6" s="117" t="str">
        <f>IFERROR(__xludf.DUMMYFUNCTION("""COMPUTED_VALUE"""),"0819 038 058")</f>
        <v>0819 038 058</v>
      </c>
      <c r="B6" s="118" t="str">
        <f>IFERROR(__xludf.DUMMYFUNCTION("""COMPUTED_VALUE"""),"em Bình")</f>
        <v>em Bình</v>
      </c>
      <c r="C6" s="118"/>
      <c r="D6" s="118" t="str">
        <f>IFERROR(__xludf.DUMMYFUNCTION("""COMPUTED_VALUE"""),"mèo")</f>
        <v>mèo</v>
      </c>
      <c r="E6" s="118" t="str">
        <f>IFERROR(__xludf.DUMMYFUNCTION("""COMPUTED_VALUE"""),"bu")</f>
        <v>bu</v>
      </c>
    </row>
    <row r="7">
      <c r="A7" s="117" t="str">
        <f>IFERROR(__xludf.DUMMYFUNCTION("""COMPUTED_VALUE"""),"0775 527 554")</f>
        <v>0775 527 554</v>
      </c>
      <c r="B7" s="118" t="str">
        <f>IFERROR(__xludf.DUMMYFUNCTION("""COMPUTED_VALUE"""),"chị Thúy")</f>
        <v>chị Thúy</v>
      </c>
      <c r="C7" s="118" t="str">
        <f>IFERROR(__xludf.DUMMYFUNCTION("""COMPUTED_VALUE"""),"9/62 Nguyễn gia Thiều")</f>
        <v>9/62 Nguyễn gia Thiều</v>
      </c>
      <c r="D7" s="118" t="str">
        <f>IFERROR(__xludf.DUMMYFUNCTION("""COMPUTED_VALUE"""),"chó")</f>
        <v>chó</v>
      </c>
      <c r="E7" s="119" t="str">
        <f>IFERROR(__xludf.DUMMYFUNCTION("""COMPUTED_VALUE"""),"lu")</f>
        <v>lu</v>
      </c>
    </row>
    <row r="8">
      <c r="A8" s="117" t="str">
        <f>IFERROR(__xludf.DUMMYFUNCTION("""COMPUTED_VALUE"""),"0973 067 961")</f>
        <v>0973 067 961</v>
      </c>
      <c r="B8" s="118" t="str">
        <f>IFERROR(__xludf.DUMMYFUNCTION("""COMPUTED_VALUE"""),"Em Hoàng Lê Quân")</f>
        <v>Em Hoàng Lê Quân</v>
      </c>
      <c r="C8" s="118" t="str">
        <f>IFERROR(__xludf.DUMMYFUNCTION("""COMPUTED_VALUE"""),"198 Phan chu Trinh")</f>
        <v>198 Phan chu Trinh</v>
      </c>
      <c r="D8" s="118" t="str">
        <f>IFERROR(__xludf.DUMMYFUNCTION("""COMPUTED_VALUE"""),"mèo")</f>
        <v>mèo</v>
      </c>
      <c r="E8" s="118" t="str">
        <f>IFERROR(__xludf.DUMMYFUNCTION("""COMPUTED_VALUE"""),"ú")</f>
        <v>ú</v>
      </c>
    </row>
    <row r="9">
      <c r="A9" s="117" t="str">
        <f>IFERROR(__xludf.DUMMYFUNCTION("""COMPUTED_VALUE"""),"0905 817 329")</f>
        <v>0905 817 329</v>
      </c>
      <c r="B9" s="118" t="str">
        <f>IFERROR(__xludf.DUMMYFUNCTION("""COMPUTED_VALUE"""),"Anh Phúc")</f>
        <v>Anh Phúc</v>
      </c>
      <c r="C9" s="118" t="str">
        <f>IFERROR(__xludf.DUMMYFUNCTION("""COMPUTED_VALUE"""),"98 Minh Mạng")</f>
        <v>98 Minh Mạng</v>
      </c>
      <c r="D9" s="118" t="str">
        <f>IFERROR(__xludf.DUMMYFUNCTION("""COMPUTED_VALUE"""),"chó")</f>
        <v>chó</v>
      </c>
      <c r="E9" s="118" t="str">
        <f>IFERROR(__xludf.DUMMYFUNCTION("""COMPUTED_VALUE"""),"nâu")</f>
        <v>nâu</v>
      </c>
    </row>
    <row r="10">
      <c r="A10" s="117" t="str">
        <f>IFERROR(__xludf.DUMMYFUNCTION("""COMPUTED_VALUE"""),"0772 407 863")</f>
        <v>0772 407 863</v>
      </c>
      <c r="B10" s="118" t="str">
        <f>IFERROR(__xludf.DUMMYFUNCTION("""COMPUTED_VALUE"""),"Anh Hoàng")</f>
        <v>Anh Hoàng</v>
      </c>
      <c r="C10" s="118"/>
      <c r="D10" s="118" t="str">
        <f>IFERROR(__xludf.DUMMYFUNCTION("""COMPUTED_VALUE"""),"chó")</f>
        <v>chó</v>
      </c>
      <c r="E10" s="118" t="str">
        <f>IFERROR(__xludf.DUMMYFUNCTION("""COMPUTED_VALUE"""),"phú quốc lai")</f>
        <v>phú quốc lai</v>
      </c>
    </row>
    <row r="11">
      <c r="A11" s="117" t="str">
        <f>IFERROR(__xludf.DUMMYFUNCTION("""COMPUTED_VALUE"""),"0385 748 754")</f>
        <v>0385 748 754</v>
      </c>
      <c r="B11" s="118" t="str">
        <f>IFERROR(__xludf.DUMMYFUNCTION("""COMPUTED_VALUE"""),"Cô Dung")</f>
        <v>Cô Dung</v>
      </c>
      <c r="C11" s="118" t="str">
        <f>IFERROR(__xludf.DUMMYFUNCTION("""COMPUTED_VALUE"""),"Trần phú")</f>
        <v>Trần phú</v>
      </c>
      <c r="D11" s="118" t="str">
        <f>IFERROR(__xludf.DUMMYFUNCTION("""COMPUTED_VALUE"""),"chó")</f>
        <v>chó</v>
      </c>
      <c r="E11" s="118" t="str">
        <f>IFERROR(__xludf.DUMMYFUNCTION("""COMPUTED_VALUE"""),"lisa")</f>
        <v>lisa</v>
      </c>
    </row>
    <row r="12">
      <c r="A12" s="117" t="str">
        <f>IFERROR(__xludf.DUMMYFUNCTION("""COMPUTED_VALUE"""),"0966 857 262")</f>
        <v>0966 857 262</v>
      </c>
      <c r="B12" s="118" t="str">
        <f>IFERROR(__xludf.DUMMYFUNCTION("""COMPUTED_VALUE"""),"Chị Na")</f>
        <v>Chị Na</v>
      </c>
      <c r="C12" s="118" t="str">
        <f>IFERROR(__xludf.DUMMYFUNCTION("""COMPUTED_VALUE"""),"k131 Trần Phú")</f>
        <v>k131 Trần Phú</v>
      </c>
      <c r="D12" s="118" t="str">
        <f>IFERROR(__xludf.DUMMYFUNCTION("""COMPUTED_VALUE"""),"mèo")</f>
        <v>mèo</v>
      </c>
      <c r="E12" s="118" t="str">
        <f>IFERROR(__xludf.DUMMYFUNCTION("""COMPUTED_VALUE"""),"gạo")</f>
        <v>gạo</v>
      </c>
    </row>
    <row r="13">
      <c r="A13" s="117" t="str">
        <f>IFERROR(__xludf.DUMMYFUNCTION("""COMPUTED_VALUE"""),"0708 730 799")</f>
        <v>0708 730 799</v>
      </c>
      <c r="B13" s="118" t="str">
        <f>IFERROR(__xludf.DUMMYFUNCTION("""COMPUTED_VALUE"""),"em Nhung")</f>
        <v>em Nhung</v>
      </c>
      <c r="C13" s="118"/>
      <c r="D13" s="118" t="str">
        <f>IFERROR(__xludf.DUMMYFUNCTION("""COMPUTED_VALUE"""),"mèo")</f>
        <v>mèo</v>
      </c>
      <c r="E13" s="118" t="str">
        <f>IFERROR(__xludf.DUMMYFUNCTION("""COMPUTED_VALUE"""),"tít")</f>
        <v>tít</v>
      </c>
    </row>
    <row r="14">
      <c r="A14" s="117" t="str">
        <f>IFERROR(__xludf.DUMMYFUNCTION("""COMPUTED_VALUE"""),"0985 511 469")</f>
        <v>0985 511 469</v>
      </c>
      <c r="B14" s="118" t="str">
        <f>IFERROR(__xludf.DUMMYFUNCTION("""COMPUTED_VALUE"""),"chị Vy")</f>
        <v>chị Vy</v>
      </c>
      <c r="C14" s="118" t="str">
        <f>IFERROR(__xludf.DUMMYFUNCTION("""COMPUTED_VALUE"""),"phong điền")</f>
        <v>phong điền</v>
      </c>
      <c r="D14" s="118" t="str">
        <f>IFERROR(__xludf.DUMMYFUNCTION("""COMPUTED_VALUE"""),"chó")</f>
        <v>chó</v>
      </c>
      <c r="E14" s="118" t="str">
        <f>IFERROR(__xludf.DUMMYFUNCTION("""COMPUTED_VALUE"""),"su")</f>
        <v>su</v>
      </c>
    </row>
    <row r="15">
      <c r="A15" s="117" t="str">
        <f>IFERROR(__xludf.DUMMYFUNCTION("""COMPUTED_VALUE"""),"0981 576 817")</f>
        <v>0981 576 817</v>
      </c>
      <c r="B15" s="118" t="str">
        <f>IFERROR(__xludf.DUMMYFUNCTION("""COMPUTED_VALUE"""),"em Tuấn Anh")</f>
        <v>em Tuấn Anh</v>
      </c>
      <c r="C15" s="118" t="str">
        <f>IFERROR(__xludf.DUMMYFUNCTION("""COMPUTED_VALUE"""),"63 xuân Diệu")</f>
        <v>63 xuân Diệu</v>
      </c>
      <c r="D15" s="118" t="str">
        <f>IFERROR(__xludf.DUMMYFUNCTION("""COMPUTED_VALUE"""),"mèo")</f>
        <v>mèo</v>
      </c>
      <c r="E15" s="118" t="str">
        <f>IFERROR(__xludf.DUMMYFUNCTION("""COMPUTED_VALUE"""),"cơm")</f>
        <v>cơm</v>
      </c>
    </row>
    <row r="16">
      <c r="A16" s="117" t="str">
        <f>IFERROR(__xludf.DUMMYFUNCTION("""COMPUTED_VALUE"""),"0935 201 515")</f>
        <v>0935 201 515</v>
      </c>
      <c r="B16" s="118" t="str">
        <f>IFERROR(__xludf.DUMMYFUNCTION("""COMPUTED_VALUE"""),"em Ngọc-con anh Mỹ")</f>
        <v>em Ngọc-con anh Mỹ</v>
      </c>
      <c r="C16" s="118" t="str">
        <f>IFERROR(__xludf.DUMMYFUNCTION("""COMPUTED_VALUE"""),"vũ ngọc phan/nguyễn huệ")</f>
        <v>vũ ngọc phan/nguyễn huệ</v>
      </c>
      <c r="D16" s="118" t="str">
        <f>IFERROR(__xludf.DUMMYFUNCTION("""COMPUTED_VALUE"""),"chó")</f>
        <v>chó</v>
      </c>
      <c r="E16" s="118" t="str">
        <f>IFERROR(__xludf.DUMMYFUNCTION("""COMPUTED_VALUE"""),"đốm")</f>
        <v>đốm</v>
      </c>
    </row>
    <row r="17">
      <c r="A17" s="117" t="str">
        <f>IFERROR(__xludf.DUMMYFUNCTION("""COMPUTED_VALUE"""),"0395 530 843")</f>
        <v>0395 530 843</v>
      </c>
      <c r="B17" s="118" t="str">
        <f>IFERROR(__xludf.DUMMYFUNCTION("""COMPUTED_VALUE"""),"Dì Trâm- bác Toàn ")</f>
        <v>Dì Trâm- bác Toàn </v>
      </c>
      <c r="C17" s="118" t="str">
        <f>IFERROR(__xludf.DUMMYFUNCTION("""COMPUTED_VALUE"""),"8/16 Đoàn Hữu Trưng")</f>
        <v>8/16 Đoàn Hữu Trưng</v>
      </c>
      <c r="D17" s="118" t="str">
        <f>IFERROR(__xludf.DUMMYFUNCTION("""COMPUTED_VALUE"""),"mèo  ")</f>
        <v>mèo  </v>
      </c>
      <c r="E17" s="118" t="str">
        <f>IFERROR(__xludf.DUMMYFUNCTION("""COMPUTED_VALUE"""),"bao/đùi gà")</f>
        <v>bao/đùi gà</v>
      </c>
    </row>
    <row r="18">
      <c r="A18" s="117" t="str">
        <f>IFERROR(__xludf.DUMMYFUNCTION("""COMPUTED_VALUE"""),"0393 221 804")</f>
        <v>0393 221 804</v>
      </c>
      <c r="B18" s="118" t="str">
        <f>IFERROR(__xludf.DUMMYFUNCTION("""COMPUTED_VALUE"""),"em Mỹ Ngọc")</f>
        <v>em Mỹ Ngọc</v>
      </c>
      <c r="C18" s="118" t="str">
        <f>IFERROR(__xludf.DUMMYFUNCTION("""COMPUTED_VALUE"""),"18/10 Nguyễn Trường Tộ")</f>
        <v>18/10 Nguyễn Trường Tộ</v>
      </c>
      <c r="D18" s="118" t="str">
        <f>IFERROR(__xludf.DUMMYFUNCTION("""COMPUTED_VALUE"""),"mèo")</f>
        <v>mèo</v>
      </c>
      <c r="E18" s="118" t="str">
        <f>IFERROR(__xludf.DUMMYFUNCTION("""COMPUTED_VALUE"""),"chocolate")</f>
        <v>chocolate</v>
      </c>
    </row>
    <row r="19">
      <c r="A19" s="117" t="str">
        <f>IFERROR(__xludf.DUMMYFUNCTION("""COMPUTED_VALUE"""),"0795 326 380")</f>
        <v>0795 326 380</v>
      </c>
      <c r="B19" s="118" t="str">
        <f>IFERROR(__xludf.DUMMYFUNCTION("""COMPUTED_VALUE"""),"em Hồ Thị Phương Thảo")</f>
        <v>em Hồ Thị Phương Thảo</v>
      </c>
      <c r="C19" s="118" t="str">
        <f>IFERROR(__xludf.DUMMYFUNCTION("""COMPUTED_VALUE"""),"75 Hồ Đắc Di")</f>
        <v>75 Hồ Đắc Di</v>
      </c>
      <c r="D19" s="118" t="str">
        <f>IFERROR(__xludf.DUMMYFUNCTION("""COMPUTED_VALUE"""),"mèo")</f>
        <v>mèo</v>
      </c>
      <c r="E19" s="118" t="str">
        <f>IFERROR(__xludf.DUMMYFUNCTION("""COMPUTED_VALUE"""),"Bạch Tuộc")</f>
        <v>Bạch Tuộc</v>
      </c>
    </row>
    <row r="20">
      <c r="A20" s="117" t="str">
        <f>IFERROR(__xludf.DUMMYFUNCTION("""COMPUTED_VALUE"""),"0367 150 406")</f>
        <v>0367 150 406</v>
      </c>
      <c r="B20" s="118" t="str">
        <f>IFERROR(__xludf.DUMMYFUNCTION("""COMPUTED_VALUE"""),"Chú Dũng")</f>
        <v>Chú Dũng</v>
      </c>
      <c r="C20" s="118" t="str">
        <f>IFERROR(__xludf.DUMMYFUNCTION("""COMPUTED_VALUE"""),"k227 Trần Phú")</f>
        <v>k227 Trần Phú</v>
      </c>
      <c r="D20" s="118" t="str">
        <f>IFERROR(__xludf.DUMMYFUNCTION("""COMPUTED_VALUE"""),"chó")</f>
        <v>chó</v>
      </c>
      <c r="E20" s="118" t="str">
        <f>IFERROR(__xludf.DUMMYFUNCTION("""COMPUTED_VALUE"""),"12kg")</f>
        <v>12kg</v>
      </c>
    </row>
    <row r="21" ht="15.75" customHeight="1">
      <c r="A21" s="117" t="str">
        <f>IFERROR(__xludf.DUMMYFUNCTION("""COMPUTED_VALUE"""),"0915 061 282")</f>
        <v>0915 061 282</v>
      </c>
      <c r="B21" s="118" t="str">
        <f>IFERROR(__xludf.DUMMYFUNCTION("""COMPUTED_VALUE"""),"Anh  Trung- c Hà Chung")</f>
        <v>Anh  Trung- c Hà Chung</v>
      </c>
      <c r="C21" s="118" t="str">
        <f>IFERROR(__xludf.DUMMYFUNCTION("""COMPUTED_VALUE"""),"25/250 Phan Bội Châu")</f>
        <v>25/250 Phan Bội Châu</v>
      </c>
      <c r="D21" s="118" t="str">
        <f>IFERROR(__xludf.DUMMYFUNCTION("""COMPUTED_VALUE"""),"chó")</f>
        <v>chó</v>
      </c>
      <c r="E21" s="118" t="str">
        <f>IFERROR(__xludf.DUMMYFUNCTION("""COMPUTED_VALUE"""),"bà điên")</f>
        <v>bà điên</v>
      </c>
    </row>
    <row r="22" ht="15.75" customHeight="1">
      <c r="A22" s="117" t="str">
        <f>IFERROR(__xludf.DUMMYFUNCTION("""COMPUTED_VALUE"""),"0914 219 823")</f>
        <v>0914 219 823</v>
      </c>
      <c r="B22" s="118" t="str">
        <f>IFERROR(__xludf.DUMMYFUNCTION("""COMPUTED_VALUE"""),"Anh Huy")</f>
        <v>Anh Huy</v>
      </c>
      <c r="C22" s="118" t="str">
        <f>IFERROR(__xludf.DUMMYFUNCTION("""COMPUTED_VALUE"""),"k1 Bảo Quốc")</f>
        <v>k1 Bảo Quốc</v>
      </c>
      <c r="D22" s="118" t="str">
        <f>IFERROR(__xludf.DUMMYFUNCTION("""COMPUTED_VALUE"""),"vẹt")</f>
        <v>vẹt</v>
      </c>
      <c r="E22" s="118"/>
    </row>
    <row r="23" ht="15.75" customHeight="1">
      <c r="A23" s="117" t="str">
        <f>IFERROR(__xludf.DUMMYFUNCTION("""COMPUTED_VALUE"""),"0343 787 737")</f>
        <v>0343 787 737</v>
      </c>
      <c r="B23" s="118" t="str">
        <f>IFERROR(__xludf.DUMMYFUNCTION("""COMPUTED_VALUE"""),"Anh Tài")</f>
        <v>Anh Tài</v>
      </c>
      <c r="C23" s="118" t="str">
        <f>IFERROR(__xludf.DUMMYFUNCTION("""COMPUTED_VALUE"""),"78B Phú Bài")</f>
        <v>78B Phú Bài</v>
      </c>
      <c r="D23" s="118" t="str">
        <f>IFERROR(__xludf.DUMMYFUNCTION("""COMPUTED_VALUE"""),"Mèo")</f>
        <v>Mèo</v>
      </c>
      <c r="E23" s="118"/>
    </row>
    <row r="24" ht="15.75" customHeight="1">
      <c r="A24" s="117" t="str">
        <f>IFERROR(__xludf.DUMMYFUNCTION("""COMPUTED_VALUE"""),"0907 804 763")</f>
        <v>0907 804 763</v>
      </c>
      <c r="B24" s="118" t="str">
        <f>IFERROR(__xludf.DUMMYFUNCTION("""COMPUTED_VALUE"""),"Anh Hồ Ngọc Tuấn ")</f>
        <v>Anh Hồ Ngọc Tuấn </v>
      </c>
      <c r="C24" s="118" t="str">
        <f>IFERROR(__xludf.DUMMYFUNCTION("""COMPUTED_VALUE"""),"Vỹ Dạ")</f>
        <v>Vỹ Dạ</v>
      </c>
      <c r="D24" s="118" t="str">
        <f>IFERROR(__xludf.DUMMYFUNCTION("""COMPUTED_VALUE"""),"chó")</f>
        <v>chó</v>
      </c>
      <c r="E24" s="118" t="str">
        <f>IFERROR(__xludf.DUMMYFUNCTION("""COMPUTED_VALUE"""),"đậu hũ thúi")</f>
        <v>đậu hũ thúi</v>
      </c>
    </row>
    <row r="25" ht="15.75" customHeight="1">
      <c r="A25" s="117" t="str">
        <f>IFERROR(__xludf.DUMMYFUNCTION("""COMPUTED_VALUE"""),"0911 004 431")</f>
        <v>0911 004 431</v>
      </c>
      <c r="B25" s="118" t="str">
        <f>IFERROR(__xludf.DUMMYFUNCTION("""COMPUTED_VALUE"""),"Em Lan Anh")</f>
        <v>Em Lan Anh</v>
      </c>
      <c r="C25" s="118" t="str">
        <f>IFERROR(__xludf.DUMMYFUNCTION("""COMPUTED_VALUE"""),"k56 Đào Tấn")</f>
        <v>k56 Đào Tấn</v>
      </c>
      <c r="D25" s="118" t="str">
        <f>IFERROR(__xludf.DUMMYFUNCTION("""COMPUTED_VALUE"""),"mèo")</f>
        <v>mèo</v>
      </c>
      <c r="E25" s="119"/>
    </row>
    <row r="26" ht="15.75" customHeight="1">
      <c r="A26" s="117" t="str">
        <f>IFERROR(__xludf.DUMMYFUNCTION("""COMPUTED_VALUE"""),"0375 954 665")</f>
        <v>0375 954 665</v>
      </c>
      <c r="B26" s="118" t="str">
        <f>IFERROR(__xludf.DUMMYFUNCTION("""COMPUTED_VALUE"""),"Anh Nghĩa")</f>
        <v>Anh Nghĩa</v>
      </c>
      <c r="C26" s="118" t="str">
        <f>IFERROR(__xludf.DUMMYFUNCTION("""COMPUTED_VALUE"""),"193 Phan Đăng Lưu")</f>
        <v>193 Phan Đăng Lưu</v>
      </c>
      <c r="D26" s="118" t="str">
        <f>IFERROR(__xludf.DUMMYFUNCTION("""COMPUTED_VALUE"""),"chó")</f>
        <v>chó</v>
      </c>
      <c r="E26" s="118"/>
    </row>
    <row r="27" ht="15.75" customHeight="1">
      <c r="A27" s="117" t="str">
        <f>IFERROR(__xludf.DUMMYFUNCTION("""COMPUTED_VALUE"""),"0914 145 264")</f>
        <v>0914 145 264</v>
      </c>
      <c r="B27" s="118" t="str">
        <f>IFERROR(__xludf.DUMMYFUNCTION("""COMPUTED_VALUE"""),"Bác Quốc")</f>
        <v>Bác Quốc</v>
      </c>
      <c r="C27" s="118" t="str">
        <f>IFERROR(__xludf.DUMMYFUNCTION("""COMPUTED_VALUE"""),"29/2/44 lê Ngô Cát")</f>
        <v>29/2/44 lê Ngô Cát</v>
      </c>
      <c r="D27" s="118" t="str">
        <f>IFERROR(__xludf.DUMMYFUNCTION("""COMPUTED_VALUE"""),"chó")</f>
        <v>chó</v>
      </c>
      <c r="E27" s="118"/>
    </row>
    <row r="28" ht="15.75" customHeight="1">
      <c r="A28" s="117" t="str">
        <f>IFERROR(__xludf.DUMMYFUNCTION("""COMPUTED_VALUE"""),"0865 447 575")</f>
        <v>0865 447 575</v>
      </c>
      <c r="B28" s="118" t="str">
        <f>IFERROR(__xludf.DUMMYFUNCTION("""COMPUTED_VALUE"""),"anh phan bá Đức")</f>
        <v>anh phan bá Đức</v>
      </c>
      <c r="C28" s="118" t="str">
        <f>IFERROR(__xludf.DUMMYFUNCTION("""COMPUTED_VALUE"""),"29 hẻm 2 k44 lê ngô cát")</f>
        <v>29 hẻm 2 k44 lê ngô cát</v>
      </c>
      <c r="D28" s="118" t="str">
        <f>IFERROR(__xludf.DUMMYFUNCTION("""COMPUTED_VALUE"""),"chó")</f>
        <v>chó</v>
      </c>
      <c r="E28" s="118"/>
    </row>
    <row r="29" ht="15.75" customHeight="1">
      <c r="A29" s="117" t="str">
        <f>IFERROR(__xludf.DUMMYFUNCTION("""COMPUTED_VALUE"""),"0386 164 608")</f>
        <v>0386 164 608</v>
      </c>
      <c r="B29" s="118" t="str">
        <f>IFERROR(__xludf.DUMMYFUNCTION("""COMPUTED_VALUE"""),"Em Thiện Tâm")</f>
        <v>Em Thiện Tâm</v>
      </c>
      <c r="C29" s="118" t="str">
        <f>IFERROR(__xludf.DUMMYFUNCTION("""COMPUTED_VALUE"""),"83k131 Trần Phú")</f>
        <v>83k131 Trần Phú</v>
      </c>
      <c r="D29" s="118" t="str">
        <f>IFERROR(__xludf.DUMMYFUNCTION("""COMPUTED_VALUE"""),"mèo")</f>
        <v>mèo</v>
      </c>
      <c r="E29" s="118" t="str">
        <f>IFERROR(__xludf.DUMMYFUNCTION("""COMPUTED_VALUE"""),"bảnh")</f>
        <v>bảnh</v>
      </c>
    </row>
    <row r="30" ht="15.75" customHeight="1">
      <c r="A30" s="117" t="str">
        <f>IFERROR(__xludf.DUMMYFUNCTION("""COMPUTED_VALUE"""),"0374 558 914")</f>
        <v>0374 558 914</v>
      </c>
      <c r="B30" s="118" t="str">
        <f>IFERROR(__xludf.DUMMYFUNCTION("""COMPUTED_VALUE"""),"Em Uyên Phương")</f>
        <v>Em Uyên Phương</v>
      </c>
      <c r="C30" s="118" t="str">
        <f>IFERROR(__xludf.DUMMYFUNCTION("""COMPUTED_VALUE"""),"16 Dương Xuân Hạ")</f>
        <v>16 Dương Xuân Hạ</v>
      </c>
      <c r="D30" s="118" t="str">
        <f>IFERROR(__xludf.DUMMYFUNCTION("""COMPUTED_VALUE"""),"mèo")</f>
        <v>mèo</v>
      </c>
      <c r="E30" s="118" t="str">
        <f>IFERROR(__xludf.DUMMYFUNCTION("""COMPUTED_VALUE"""),"mèo")</f>
        <v>mèo</v>
      </c>
    </row>
    <row r="31" ht="15.75" customHeight="1">
      <c r="A31" s="117" t="str">
        <f>IFERROR(__xludf.DUMMYFUNCTION("""COMPUTED_VALUE"""),"0837 052 752")</f>
        <v>0837 052 752</v>
      </c>
      <c r="B31" s="118" t="str">
        <f>IFERROR(__xludf.DUMMYFUNCTION("""COMPUTED_VALUE"""),"em Quỳnh")</f>
        <v>em Quỳnh</v>
      </c>
      <c r="C31" s="118" t="str">
        <f>IFERROR(__xludf.DUMMYFUNCTION("""COMPUTED_VALUE"""),"9c k131 Trần Phú")</f>
        <v>9c k131 Trần Phú</v>
      </c>
      <c r="D31" s="118" t="str">
        <f>IFERROR(__xludf.DUMMYFUNCTION("""COMPUTED_VALUE"""),"mèo")</f>
        <v>mèo</v>
      </c>
      <c r="E31" s="118" t="str">
        <f>IFERROR(__xludf.DUMMYFUNCTION("""COMPUTED_VALUE"""),"tèo")</f>
        <v>tèo</v>
      </c>
    </row>
    <row r="32" ht="15.75" customHeight="1">
      <c r="A32" s="117" t="str">
        <f>IFERROR(__xludf.DUMMYFUNCTION("""COMPUTED_VALUE"""),"0932 412 231")</f>
        <v>0932 412 231</v>
      </c>
      <c r="B32" s="118" t="str">
        <f>IFERROR(__xludf.DUMMYFUNCTION("""COMPUTED_VALUE"""),"Anh Huy")</f>
        <v>Anh Huy</v>
      </c>
      <c r="C32" s="118" t="str">
        <f>IFERROR(__xludf.DUMMYFUNCTION("""COMPUTED_VALUE"""),"đh kinh tế huế")</f>
        <v>đh kinh tế huế</v>
      </c>
      <c r="D32" s="118" t="str">
        <f>IFERROR(__xludf.DUMMYFUNCTION("""COMPUTED_VALUE"""),"chó")</f>
        <v>chó</v>
      </c>
      <c r="E32" s="118" t="str">
        <f>IFERROR(__xludf.DUMMYFUNCTION("""COMPUTED_VALUE"""),"lượm")</f>
        <v>lượm</v>
      </c>
    </row>
    <row r="33" ht="15.75" customHeight="1">
      <c r="A33" s="117" t="str">
        <f>IFERROR(__xludf.DUMMYFUNCTION("""COMPUTED_VALUE"""),"0941 658 067")</f>
        <v>0941 658 067</v>
      </c>
      <c r="B33" s="118" t="str">
        <f>IFERROR(__xludf.DUMMYFUNCTION("""COMPUTED_VALUE"""),"chị Lê Trang Nguyên")</f>
        <v>chị Lê Trang Nguyên</v>
      </c>
      <c r="C33" s="118" t="str">
        <f>IFERROR(__xludf.DUMMYFUNCTION("""COMPUTED_VALUE"""),"52 Hàm Nghi")</f>
        <v>52 Hàm Nghi</v>
      </c>
      <c r="D33" s="118" t="str">
        <f>IFERROR(__xludf.DUMMYFUNCTION("""COMPUTED_VALUE"""),"chó")</f>
        <v>chó</v>
      </c>
      <c r="E33" s="118" t="str">
        <f>IFERROR(__xludf.DUMMYFUNCTION("""COMPUTED_VALUE"""),"mỡ")</f>
        <v>mỡ</v>
      </c>
    </row>
    <row r="34" ht="15.75" customHeight="1">
      <c r="A34" s="117" t="str">
        <f>IFERROR(__xludf.DUMMYFUNCTION("""COMPUTED_VALUE"""),"0776 907 777")</f>
        <v>0776 907 777</v>
      </c>
      <c r="B34" s="118" t="str">
        <f>IFERROR(__xludf.DUMMYFUNCTION("""COMPUTED_VALUE"""),"Chị Thủy")</f>
        <v>Chị Thủy</v>
      </c>
      <c r="C34" s="118" t="str">
        <f>IFERROR(__xludf.DUMMYFUNCTION("""COMPUTED_VALUE"""),"117 Lương Nhữ hộc")</f>
        <v>117 Lương Nhữ hộc</v>
      </c>
      <c r="D34" s="118" t="str">
        <f>IFERROR(__xludf.DUMMYFUNCTION("""COMPUTED_VALUE"""),"mèo  ")</f>
        <v>mèo  </v>
      </c>
      <c r="E34" s="118"/>
    </row>
    <row r="35" ht="15.75" customHeight="1">
      <c r="A35" s="117" t="str">
        <f>IFERROR(__xludf.DUMMYFUNCTION("""COMPUTED_VALUE"""),"0794 185 492")</f>
        <v>0794 185 492</v>
      </c>
      <c r="B35" s="118" t="str">
        <f>IFERROR(__xludf.DUMMYFUNCTION("""COMPUTED_VALUE"""),"em Kim Anh")</f>
        <v>em Kim Anh</v>
      </c>
      <c r="C35" s="118" t="str">
        <f>IFERROR(__xludf.DUMMYFUNCTION("""COMPUTED_VALUE"""),"Thiên Thai")</f>
        <v>Thiên Thai</v>
      </c>
      <c r="D35" s="118" t="str">
        <f>IFERROR(__xludf.DUMMYFUNCTION("""COMPUTED_VALUE"""),"chó")</f>
        <v>chó</v>
      </c>
      <c r="E35" s="118" t="str">
        <f>IFERROR(__xludf.DUMMYFUNCTION("""COMPUTED_VALUE"""),"bu bu")</f>
        <v>bu bu</v>
      </c>
    </row>
    <row r="36" ht="15.75" customHeight="1">
      <c r="A36" s="117" t="str">
        <f>IFERROR(__xludf.DUMMYFUNCTION("""COMPUTED_VALUE"""),"0914 614 253")</f>
        <v>0914 614 253</v>
      </c>
      <c r="B36" s="118" t="str">
        <f>IFERROR(__xludf.DUMMYFUNCTION("""COMPUTED_VALUE"""),"Dì Kim Soa")</f>
        <v>Dì Kim Soa</v>
      </c>
      <c r="C36" s="118" t="str">
        <f>IFERROR(__xludf.DUMMYFUNCTION("""COMPUTED_VALUE"""),"52a lê công hành")</f>
        <v>52a lê công hành</v>
      </c>
      <c r="D36" s="118" t="str">
        <f>IFERROR(__xludf.DUMMYFUNCTION("""COMPUTED_VALUE"""),"mèo")</f>
        <v>mèo</v>
      </c>
      <c r="E36" s="118"/>
    </row>
    <row r="37" ht="15.75" customHeight="1">
      <c r="A37" s="117" t="str">
        <f>IFERROR(__xludf.DUMMYFUNCTION("""COMPUTED_VALUE"""),"0763 697 522")</f>
        <v>0763 697 522</v>
      </c>
      <c r="B37" s="118" t="str">
        <f>IFERROR(__xludf.DUMMYFUNCTION("""COMPUTED_VALUE"""),"em Xuân Vy")</f>
        <v>em Xuân Vy</v>
      </c>
      <c r="C37" s="118" t="str">
        <f>IFERROR(__xludf.DUMMYFUNCTION("""COMPUTED_VALUE"""),"32/69 Đặng Huy Trứ")</f>
        <v>32/69 Đặng Huy Trứ</v>
      </c>
      <c r="D37" s="118" t="str">
        <f>IFERROR(__xludf.DUMMYFUNCTION("""COMPUTED_VALUE"""),"mèo")</f>
        <v>mèo</v>
      </c>
      <c r="E37" s="118"/>
    </row>
    <row r="38" ht="15.75" customHeight="1">
      <c r="A38" s="117" t="str">
        <f>IFERROR(__xludf.DUMMYFUNCTION("""COMPUTED_VALUE"""),"0394 533 206")</f>
        <v>0394 533 206</v>
      </c>
      <c r="B38" s="118" t="str">
        <f>IFERROR(__xludf.DUMMYFUNCTION("""COMPUTED_VALUE"""),"Em Quang")</f>
        <v>Em Quang</v>
      </c>
      <c r="C38" s="118" t="str">
        <f>IFERROR(__xludf.DUMMYFUNCTION("""COMPUTED_VALUE"""),"43/69/131 Trần Phú")</f>
        <v>43/69/131 Trần Phú</v>
      </c>
      <c r="D38" s="118" t="str">
        <f>IFERROR(__xludf.DUMMYFUNCTION("""COMPUTED_VALUE"""),"chó")</f>
        <v>chó</v>
      </c>
      <c r="E38" s="118" t="str">
        <f>IFERROR(__xludf.DUMMYFUNCTION("""COMPUTED_VALUE"""),"mích")</f>
        <v>mích</v>
      </c>
    </row>
    <row r="39" ht="15.75" customHeight="1">
      <c r="A39" s="117" t="str">
        <f>IFERROR(__xludf.DUMMYFUNCTION("""COMPUTED_VALUE"""),"0836 133 468")</f>
        <v>0836 133 468</v>
      </c>
      <c r="B39" s="118" t="str">
        <f>IFERROR(__xludf.DUMMYFUNCTION("""COMPUTED_VALUE"""),"Chị Khánh")</f>
        <v>Chị Khánh</v>
      </c>
      <c r="C39" s="118" t="str">
        <f>IFERROR(__xludf.DUMMYFUNCTION("""COMPUTED_VALUE"""),"thích tịnh khiết")</f>
        <v>thích tịnh khiết</v>
      </c>
      <c r="D39" s="118" t="str">
        <f>IFERROR(__xludf.DUMMYFUNCTION("""COMPUTED_VALUE"""),"chó")</f>
        <v>chó</v>
      </c>
      <c r="E39" s="118" t="str">
        <f>IFERROR(__xludf.DUMMYFUNCTION("""COMPUTED_VALUE"""),"mỡ")</f>
        <v>mỡ</v>
      </c>
    </row>
    <row r="40" ht="15.75" customHeight="1">
      <c r="A40" s="117" t="str">
        <f>IFERROR(__xludf.DUMMYFUNCTION("""COMPUTED_VALUE"""),"0948 699 208")</f>
        <v>0948 699 208</v>
      </c>
      <c r="B40" s="118" t="str">
        <f>IFERROR(__xludf.DUMMYFUNCTION("""COMPUTED_VALUE"""),"Chú Nguyễn Thu")</f>
        <v>Chú Nguyễn Thu</v>
      </c>
      <c r="C40" s="118" t="str">
        <f>IFERROR(__xludf.DUMMYFUNCTION("""COMPUTED_VALUE"""),"29 Trần Đại Nghĩa -An Cựu")</f>
        <v>29 Trần Đại Nghĩa -An Cựu</v>
      </c>
      <c r="D40" s="118" t="str">
        <f>IFERROR(__xludf.DUMMYFUNCTION("""COMPUTED_VALUE"""),"chó")</f>
        <v>chó</v>
      </c>
      <c r="E40" s="118" t="str">
        <f>IFERROR(__xludf.DUMMYFUNCTION("""COMPUTED_VALUE"""),"bi")</f>
        <v>bi</v>
      </c>
    </row>
    <row r="41" ht="15.75" customHeight="1">
      <c r="A41" s="117" t="str">
        <f>IFERROR(__xludf.DUMMYFUNCTION("""COMPUTED_VALUE"""),"0827 879 356")</f>
        <v>0827 879 356</v>
      </c>
      <c r="B41" s="118" t="str">
        <f>IFERROR(__xludf.DUMMYFUNCTION("""COMPUTED_VALUE"""),"Cô Liên vợ Thầy Hải")</f>
        <v>Cô Liên vợ Thầy Hải</v>
      </c>
      <c r="C41" s="118" t="str">
        <f>IFERROR(__xludf.DUMMYFUNCTION("""COMPUTED_VALUE"""),"Hương Hồ")</f>
        <v>Hương Hồ</v>
      </c>
      <c r="D41" s="118" t="str">
        <f>IFERROR(__xludf.DUMMYFUNCTION("""COMPUTED_VALUE"""),"mèo")</f>
        <v>mèo</v>
      </c>
      <c r="E41" s="118"/>
    </row>
    <row r="42" ht="15.75" customHeight="1">
      <c r="A42" s="117" t="str">
        <f>IFERROR(__xludf.DUMMYFUNCTION("""COMPUTED_VALUE"""),"0905 779 662")</f>
        <v>0905 779 662</v>
      </c>
      <c r="B42" s="118" t="str">
        <f>IFERROR(__xludf.DUMMYFUNCTION("""COMPUTED_VALUE"""),"Anh bảo-tuấn")</f>
        <v>Anh bảo-tuấn</v>
      </c>
      <c r="C42" s="118" t="str">
        <f>IFERROR(__xludf.DUMMYFUNCTION("""COMPUTED_VALUE""")," 100 nguyễn văn Đào")</f>
        <v> 100 nguyễn văn Đào</v>
      </c>
      <c r="D42" s="118" t="str">
        <f>IFERROR(__xludf.DUMMYFUNCTION("""COMPUTED_VALUE"""),"chó")</f>
        <v>chó</v>
      </c>
      <c r="E42" s="118"/>
    </row>
    <row r="43" ht="15.75" customHeight="1">
      <c r="A43" s="117" t="str">
        <f>IFERROR(__xludf.DUMMYFUNCTION("""COMPUTED_VALUE"""),"0932 553 902")</f>
        <v>0932 553 902</v>
      </c>
      <c r="B43" s="118" t="str">
        <f>IFERROR(__xludf.DUMMYFUNCTION("""COMPUTED_VALUE"""),"Anh Doanh")</f>
        <v>Anh Doanh</v>
      </c>
      <c r="C43" s="118" t="str">
        <f>IFERROR(__xludf.DUMMYFUNCTION("""COMPUTED_VALUE"""),"46 Kim Long")</f>
        <v>46 Kim Long</v>
      </c>
      <c r="D43" s="118" t="str">
        <f>IFERROR(__xludf.DUMMYFUNCTION("""COMPUTED_VALUE"""),"Chó")</f>
        <v>Chó</v>
      </c>
      <c r="E43" s="119" t="str">
        <f>IFERROR(__xludf.DUMMYFUNCTION("""COMPUTED_VALUE"""),"Lucky")</f>
        <v>Lucky</v>
      </c>
    </row>
    <row r="44" ht="15.75" customHeight="1">
      <c r="A44" s="117" t="str">
        <f>IFERROR(__xludf.DUMMYFUNCTION("""COMPUTED_VALUE"""),"0353 524 689")</f>
        <v>0353 524 689</v>
      </c>
      <c r="B44" s="118" t="str">
        <f>IFERROR(__xludf.DUMMYFUNCTION("""COMPUTED_VALUE"""),"Anh Lĩnh")</f>
        <v>Anh Lĩnh</v>
      </c>
      <c r="C44" s="118" t="str">
        <f>IFERROR(__xludf.DUMMYFUNCTION("""COMPUTED_VALUE"""),"22B/93 Nguyễn Hoàng")</f>
        <v>22B/93 Nguyễn Hoàng</v>
      </c>
      <c r="D44" s="118" t="str">
        <f>IFERROR(__xludf.DUMMYFUNCTION("""COMPUTED_VALUE"""),"Chó")</f>
        <v>Chó</v>
      </c>
      <c r="E44" s="118" t="str">
        <f>IFERROR(__xludf.DUMMYFUNCTION("""COMPUTED_VALUE"""),"Rock")</f>
        <v>Rock</v>
      </c>
    </row>
    <row r="45" ht="15.75" customHeight="1">
      <c r="A45" s="117" t="str">
        <f>IFERROR(__xludf.DUMMYFUNCTION("""COMPUTED_VALUE"""),"0923 923 394")</f>
        <v>0923 923 394</v>
      </c>
      <c r="B45" s="118" t="str">
        <f>IFERROR(__xludf.DUMMYFUNCTION("""COMPUTED_VALUE"""),"Em Quân")</f>
        <v>Em Quân</v>
      </c>
      <c r="C45" s="118" t="str">
        <f>IFERROR(__xludf.DUMMYFUNCTION("""COMPUTED_VALUE"""),"242 Bùi Thị Xuân")</f>
        <v>242 Bùi Thị Xuân</v>
      </c>
      <c r="D45" s="118" t="str">
        <f>IFERROR(__xludf.DUMMYFUNCTION("""COMPUTED_VALUE"""),"chó")</f>
        <v>chó</v>
      </c>
      <c r="E45" s="118"/>
    </row>
    <row r="46" ht="15.75" customHeight="1">
      <c r="A46" s="117" t="str">
        <f>IFERROR(__xludf.DUMMYFUNCTION("""COMPUTED_VALUE"""),"0979 588 341")</f>
        <v>0979 588 341</v>
      </c>
      <c r="B46" s="118" t="str">
        <f>IFERROR(__xludf.DUMMYFUNCTION("""COMPUTED_VALUE"""),"Chị Yến Nhi")</f>
        <v>Chị Yến Nhi</v>
      </c>
      <c r="C46" s="118" t="str">
        <f>IFERROR(__xludf.DUMMYFUNCTION("""COMPUTED_VALUE"""),"Quảng Trị")</f>
        <v>Quảng Trị</v>
      </c>
      <c r="D46" s="118" t="str">
        <f>IFERROR(__xludf.DUMMYFUNCTION("""COMPUTED_VALUE"""),"Chó")</f>
        <v>Chó</v>
      </c>
      <c r="E46" s="118"/>
    </row>
    <row r="47" ht="15.75" customHeight="1">
      <c r="A47" s="117" t="str">
        <f>IFERROR(__xludf.DUMMYFUNCTION("""COMPUTED_VALUE"""),"0385 400 328")</f>
        <v>0385 400 328</v>
      </c>
      <c r="B47" s="118" t="str">
        <f>IFERROR(__xludf.DUMMYFUNCTION("""COMPUTED_VALUE"""),"Vân Anh")</f>
        <v>Vân Anh</v>
      </c>
      <c r="C47" s="118" t="str">
        <f>IFERROR(__xludf.DUMMYFUNCTION("""COMPUTED_VALUE"""),"12 Hồ Văn Hiến")</f>
        <v>12 Hồ Văn Hiến</v>
      </c>
      <c r="D47" s="118" t="str">
        <f>IFERROR(__xludf.DUMMYFUNCTION("""COMPUTED_VALUE"""),"chó")</f>
        <v>chó</v>
      </c>
      <c r="E47" s="119" t="str">
        <f>IFERROR(__xludf.DUMMYFUNCTION("""COMPUTED_VALUE"""),"Đen")</f>
        <v>Đen</v>
      </c>
    </row>
    <row r="48" ht="15.75" customHeight="1">
      <c r="A48" s="117" t="str">
        <f>IFERROR(__xludf.DUMMYFUNCTION("""COMPUTED_VALUE"""),"0766 805 496")</f>
        <v>0766 805 496</v>
      </c>
      <c r="B48" s="118" t="str">
        <f>IFERROR(__xludf.DUMMYFUNCTION("""COMPUTED_VALUE"""),"Em An")</f>
        <v>Em An</v>
      </c>
      <c r="C48" s="118" t="str">
        <f>IFERROR(__xludf.DUMMYFUNCTION("""COMPUTED_VALUE"""),"5/22/149 Trần Phú")</f>
        <v>5/22/149 Trần Phú</v>
      </c>
      <c r="D48" s="118" t="str">
        <f>IFERROR(__xludf.DUMMYFUNCTION("""COMPUTED_VALUE"""),"mèo")</f>
        <v>mèo</v>
      </c>
      <c r="E48" s="118" t="str">
        <f>IFERROR(__xludf.DUMMYFUNCTION("""COMPUTED_VALUE"""),"gạo")</f>
        <v>gạo</v>
      </c>
    </row>
    <row r="49" ht="15.75" customHeight="1">
      <c r="A49" s="117" t="str">
        <f>IFERROR(__xludf.DUMMYFUNCTION("""COMPUTED_VALUE"""),"0935 260 770")</f>
        <v>0935 260 770</v>
      </c>
      <c r="B49" s="118" t="str">
        <f>IFERROR(__xludf.DUMMYFUNCTION("""COMPUTED_VALUE"""),"Chị Ngọc ")</f>
        <v>Chị Ngọc </v>
      </c>
      <c r="C49" s="119"/>
      <c r="D49" s="118" t="str">
        <f>IFERROR(__xludf.DUMMYFUNCTION("""COMPUTED_VALUE"""),"Mèo")</f>
        <v>Mèo</v>
      </c>
      <c r="E49" s="118" t="str">
        <f>IFERROR(__xludf.DUMMYFUNCTION("""COMPUTED_VALUE"""),"Amy")</f>
        <v>Amy</v>
      </c>
    </row>
    <row r="50" ht="15.75" customHeight="1">
      <c r="A50" s="117" t="str">
        <f>IFERROR(__xludf.DUMMYFUNCTION("""COMPUTED_VALUE"""),"6/16")</f>
        <v>6/16</v>
      </c>
      <c r="B50" s="118" t="str">
        <f>IFERROR(__xludf.DUMMYFUNCTION("""COMPUTED_VALUE"""),"Chị Phan Thị Phương")</f>
        <v>Chị Phan Thị Phương</v>
      </c>
      <c r="C50" s="118" t="str">
        <f>IFERROR(__xludf.DUMMYFUNCTION("""COMPUTED_VALUE"""),"6/16 Đoàn Hữu Trưng")</f>
        <v>6/16 Đoàn Hữu Trưng</v>
      </c>
      <c r="D50" s="118" t="str">
        <f>IFERROR(__xludf.DUMMYFUNCTION("""COMPUTED_VALUE"""),"chó/mèo")</f>
        <v>chó/mèo</v>
      </c>
      <c r="E50" s="118"/>
    </row>
    <row r="51" ht="15.75" customHeight="1">
      <c r="A51" s="117" t="str">
        <f>IFERROR(__xludf.DUMMYFUNCTION("""COMPUTED_VALUE"""),"0797 751 045")</f>
        <v>0797 751 045</v>
      </c>
      <c r="B51" s="118" t="str">
        <f>IFERROR(__xludf.DUMMYFUNCTION("""COMPUTED_VALUE"""),"Em Châu")</f>
        <v>Em Châu</v>
      </c>
      <c r="C51" s="118" t="str">
        <f>IFERROR(__xludf.DUMMYFUNCTION("""COMPUTED_VALUE"""),"32 Hàm Nghi")</f>
        <v>32 Hàm Nghi</v>
      </c>
      <c r="D51" s="118" t="str">
        <f>IFERROR(__xludf.DUMMYFUNCTION("""COMPUTED_VALUE"""),"Mèo")</f>
        <v>Mèo</v>
      </c>
      <c r="E51" s="118" t="str">
        <f>IFERROR(__xludf.DUMMYFUNCTION("""COMPUTED_VALUE"""),"Xi")</f>
        <v>Xi</v>
      </c>
    </row>
    <row r="52" ht="15.75" customHeight="1">
      <c r="A52" s="117" t="str">
        <f>IFERROR(__xludf.DUMMYFUNCTION("""COMPUTED_VALUE"""),"0914 125 501")</f>
        <v>0914 125 501</v>
      </c>
      <c r="B52" s="118" t="str">
        <f>IFERROR(__xludf.DUMMYFUNCTION("""COMPUTED_VALUE"""),"Thu Hiền")</f>
        <v>Thu Hiền</v>
      </c>
      <c r="C52" s="118" t="str">
        <f>IFERROR(__xludf.DUMMYFUNCTION("""COMPUTED_VALUE"""),"43 Phan Anh")</f>
        <v>43 Phan Anh</v>
      </c>
      <c r="D52" s="118" t="str">
        <f>IFERROR(__xludf.DUMMYFUNCTION("""COMPUTED_VALUE"""),"Chó")</f>
        <v>Chó</v>
      </c>
      <c r="E52" s="118" t="str">
        <f>IFERROR(__xludf.DUMMYFUNCTION("""COMPUTED_VALUE"""),"Bun")</f>
        <v>Bun</v>
      </c>
    </row>
    <row r="53" ht="15.75" customHeight="1">
      <c r="A53" s="117" t="str">
        <f>IFERROR(__xludf.DUMMYFUNCTION("""COMPUTED_VALUE"""),"0704 847 572")</f>
        <v>0704 847 572</v>
      </c>
      <c r="B53" s="118" t="str">
        <f>IFERROR(__xludf.DUMMYFUNCTION("""COMPUTED_VALUE"""),"Quốc Huy")</f>
        <v>Quốc Huy</v>
      </c>
      <c r="C53" s="118" t="str">
        <f>IFERROR(__xludf.DUMMYFUNCTION("""COMPUTED_VALUE"""),"13/63 Phạm Thị Liên")</f>
        <v>13/63 Phạm Thị Liên</v>
      </c>
      <c r="D53" s="118" t="str">
        <f>IFERROR(__xludf.DUMMYFUNCTION("""COMPUTED_VALUE"""),"Chó")</f>
        <v>Chó</v>
      </c>
      <c r="E53" s="118" t="str">
        <f>IFERROR(__xludf.DUMMYFUNCTION("""COMPUTED_VALUE"""),"Vàng")</f>
        <v>Vàng</v>
      </c>
    </row>
    <row r="54" ht="15.75" customHeight="1">
      <c r="A54" s="117" t="str">
        <f>IFERROR(__xludf.DUMMYFUNCTION("""COMPUTED_VALUE"""),"0388 119 098")</f>
        <v>0388 119 098</v>
      </c>
      <c r="B54" s="118" t="str">
        <f>IFERROR(__xludf.DUMMYFUNCTION("""COMPUTED_VALUE"""),"Chị Thu Hà")</f>
        <v>Chị Thu Hà</v>
      </c>
      <c r="C54" s="118"/>
      <c r="D54" s="118" t="str">
        <f>IFERROR(__xludf.DUMMYFUNCTION("""COMPUTED_VALUE"""),"Chó")</f>
        <v>Chó</v>
      </c>
      <c r="E54" s="118" t="str">
        <f>IFERROR(__xludf.DUMMYFUNCTION("""COMPUTED_VALUE"""),"Bắp/Bầu/Bí")</f>
        <v>Bắp/Bầu/Bí</v>
      </c>
    </row>
    <row r="55" ht="15.75" customHeight="1">
      <c r="A55" s="117" t="str">
        <f>IFERROR(__xludf.DUMMYFUNCTION("""COMPUTED_VALUE"""),"0971 219 095")</f>
        <v>0971 219 095</v>
      </c>
      <c r="B55" s="118" t="str">
        <f>IFERROR(__xludf.DUMMYFUNCTION("""COMPUTED_VALUE"""),"anh Dương")</f>
        <v>anh Dương</v>
      </c>
      <c r="C55" s="118" t="str">
        <f>IFERROR(__xludf.DUMMYFUNCTION("""COMPUTED_VALUE"""),"phường Mỹ thượng")</f>
        <v>phường Mỹ thượng</v>
      </c>
      <c r="D55" s="118" t="str">
        <f>IFERROR(__xludf.DUMMYFUNCTION("""COMPUTED_VALUE"""),"chó")</f>
        <v>chó</v>
      </c>
      <c r="E55" s="118"/>
    </row>
    <row r="56" ht="15.75" customHeight="1">
      <c r="A56" s="117" t="str">
        <f>IFERROR(__xludf.DUMMYFUNCTION("""COMPUTED_VALUE"""),"0396 429 703")</f>
        <v>0396 429 703</v>
      </c>
      <c r="B56" s="118" t="str">
        <f>IFERROR(__xludf.DUMMYFUNCTION("""COMPUTED_VALUE"""),"Anh Đạt")</f>
        <v>Anh Đạt</v>
      </c>
      <c r="C56" s="118" t="str">
        <f>IFERROR(__xludf.DUMMYFUNCTION("""COMPUTED_VALUE"""),"minh mạng")</f>
        <v>minh mạng</v>
      </c>
      <c r="D56" s="118" t="str">
        <f>IFERROR(__xludf.DUMMYFUNCTION("""COMPUTED_VALUE"""),"chó")</f>
        <v>chó</v>
      </c>
      <c r="E56" s="118" t="str">
        <f>IFERROR(__xludf.DUMMYFUNCTION("""COMPUTED_VALUE"""),"nâu")</f>
        <v>nâu</v>
      </c>
    </row>
    <row r="57" ht="15.75" customHeight="1">
      <c r="A57" s="117" t="str">
        <f>IFERROR(__xludf.DUMMYFUNCTION("""COMPUTED_VALUE"""),"0336 519 015")</f>
        <v>0336 519 015</v>
      </c>
      <c r="B57" s="118" t="str">
        <f>IFERROR(__xludf.DUMMYFUNCTION("""COMPUTED_VALUE"""),"Em Công Hào")</f>
        <v>Em Công Hào</v>
      </c>
      <c r="C57" s="118" t="str">
        <f>IFERROR(__xludf.DUMMYFUNCTION("""COMPUTED_VALUE"""),"236 Lý Nam Đế")</f>
        <v>236 Lý Nam Đế</v>
      </c>
      <c r="D57" s="118" t="str">
        <f>IFERROR(__xludf.DUMMYFUNCTION("""COMPUTED_VALUE"""),"Mèo")</f>
        <v>Mèo</v>
      </c>
      <c r="E57" s="119" t="str">
        <f>IFERROR(__xludf.DUMMYFUNCTION("""COMPUTED_VALUE"""),"Mun")</f>
        <v>Mun</v>
      </c>
    </row>
    <row r="58" ht="15.75" customHeight="1">
      <c r="A58" s="117" t="str">
        <f>IFERROR(__xludf.DUMMYFUNCTION("""COMPUTED_VALUE"""),"0962 137 147")</f>
        <v>0962 137 147</v>
      </c>
      <c r="B58" s="118"/>
      <c r="C58" s="118"/>
      <c r="D58" s="118"/>
      <c r="E58" s="118"/>
    </row>
    <row r="59" ht="15.75" customHeight="1">
      <c r="A59" s="117" t="str">
        <f>IFERROR(__xludf.DUMMYFUNCTION("""COMPUTED_VALUE"""),"0911 911 158")</f>
        <v>0911 911 158</v>
      </c>
      <c r="B59" s="118"/>
      <c r="C59" s="118"/>
      <c r="D59" s="118"/>
      <c r="E59" s="118"/>
    </row>
    <row r="60" ht="15.75" customHeight="1">
      <c r="A60" s="117" t="str">
        <f>IFERROR(__xludf.DUMMYFUNCTION("""COMPUTED_VALUE"""),"0337 623 641")</f>
        <v>0337 623 641</v>
      </c>
      <c r="B60" s="118" t="str">
        <f>IFERROR(__xludf.DUMMYFUNCTION("""COMPUTED_VALUE"""),"Anh Hoàng Phúc")</f>
        <v>Anh Hoàng Phúc</v>
      </c>
      <c r="C60" s="118" t="str">
        <f>IFERROR(__xludf.DUMMYFUNCTION("""COMPUTED_VALUE"""),"n69k131 Trần Phú")</f>
        <v>n69k131 Trần Phú</v>
      </c>
      <c r="D60" s="118" t="str">
        <f>IFERROR(__xludf.DUMMYFUNCTION("""COMPUTED_VALUE"""),"chó")</f>
        <v>chó</v>
      </c>
      <c r="E60" s="118"/>
    </row>
    <row r="61" ht="15.75" customHeight="1">
      <c r="A61" s="117" t="str">
        <f>IFERROR(__xludf.DUMMYFUNCTION("""COMPUTED_VALUE"""),"0932 192 150")</f>
        <v>0932 192 150</v>
      </c>
      <c r="B61" s="118" t="str">
        <f>IFERROR(__xludf.DUMMYFUNCTION("""COMPUTED_VALUE"""),"Anh Thịnh")</f>
        <v>Anh Thịnh</v>
      </c>
      <c r="C61" s="118" t="str">
        <f>IFERROR(__xludf.DUMMYFUNCTION("""COMPUTED_VALUE"""),"4/55 Vạn Xuân")</f>
        <v>4/55 Vạn Xuân</v>
      </c>
      <c r="D61" s="118" t="str">
        <f>IFERROR(__xludf.DUMMYFUNCTION("""COMPUTED_VALUE"""),"Mèo")</f>
        <v>Mèo</v>
      </c>
      <c r="E61" s="118" t="str">
        <f>IFERROR(__xludf.DUMMYFUNCTION("""COMPUTED_VALUE"""),"Meo")</f>
        <v>Meo</v>
      </c>
    </row>
    <row r="62" ht="15.75" customHeight="1">
      <c r="A62" s="117" t="str">
        <f>IFERROR(__xludf.DUMMYFUNCTION("""COMPUTED_VALUE"""),"0975 935 435")</f>
        <v>0975 935 435</v>
      </c>
      <c r="B62" s="118" t="str">
        <f>IFERROR(__xludf.DUMMYFUNCTION("""COMPUTED_VALUE"""),"Chị Thảo")</f>
        <v>Chị Thảo</v>
      </c>
      <c r="C62" s="118" t="str">
        <f>IFERROR(__xludf.DUMMYFUNCTION("""COMPUTED_VALUE"""),"Nam Giao")</f>
        <v>Nam Giao</v>
      </c>
      <c r="D62" s="118" t="str">
        <f>IFERROR(__xludf.DUMMYFUNCTION("""COMPUTED_VALUE"""),"chó")</f>
        <v>chó</v>
      </c>
      <c r="E62" s="118" t="str">
        <f>IFERROR(__xludf.DUMMYFUNCTION("""COMPUTED_VALUE"""),"tin")</f>
        <v>tin</v>
      </c>
    </row>
    <row r="63" ht="15.75" customHeight="1">
      <c r="A63" s="117" t="str">
        <f>IFERROR(__xludf.DUMMYFUNCTION("""COMPUTED_VALUE"""),"0867 421 778")</f>
        <v>0867 421 778</v>
      </c>
      <c r="B63" s="118" t="str">
        <f>IFERROR(__xludf.DUMMYFUNCTION("""COMPUTED_VALUE"""),"Em Như Quỳnh")</f>
        <v>Em Như Quỳnh</v>
      </c>
      <c r="C63" s="118"/>
      <c r="D63" s="118" t="str">
        <f>IFERROR(__xludf.DUMMYFUNCTION("""COMPUTED_VALUE"""),"Chó")</f>
        <v>Chó</v>
      </c>
      <c r="E63" s="118" t="str">
        <f>IFERROR(__xludf.DUMMYFUNCTION("""COMPUTED_VALUE"""),"Ốc")</f>
        <v>Ốc</v>
      </c>
    </row>
    <row r="64" ht="15.75" customHeight="1">
      <c r="A64" s="117" t="str">
        <f>IFERROR(__xludf.DUMMYFUNCTION("""COMPUTED_VALUE"""),"0382 664 610")</f>
        <v>0382 664 610</v>
      </c>
      <c r="B64" s="118" t="str">
        <f>IFERROR(__xludf.DUMMYFUNCTION("""COMPUTED_VALUE"""),"em nguyễn thị thúy hằng")</f>
        <v>em nguyễn thị thúy hằng</v>
      </c>
      <c r="C64" s="118" t="str">
        <f>IFERROR(__xludf.DUMMYFUNCTION("""COMPUTED_VALUE"""),"15k65 đặng huy trứ")</f>
        <v>15k65 đặng huy trứ</v>
      </c>
      <c r="D64" s="118" t="str">
        <f>IFERROR(__xludf.DUMMYFUNCTION("""COMPUTED_VALUE"""),"mèo")</f>
        <v>mèo</v>
      </c>
      <c r="E64" s="118" t="str">
        <f>IFERROR(__xludf.DUMMYFUNCTION("""COMPUTED_VALUE"""),"nguyệt thảo/thư di")</f>
        <v>nguyệt thảo/thư di</v>
      </c>
    </row>
    <row r="65" ht="15.75" customHeight="1">
      <c r="A65" s="117" t="str">
        <f>IFERROR(__xludf.DUMMYFUNCTION("""COMPUTED_VALUE"""),"0399 535 237")</f>
        <v>0399 535 237</v>
      </c>
      <c r="B65" s="118" t="str">
        <f>IFERROR(__xludf.DUMMYFUNCTION("""COMPUTED_VALUE"""),"Em Huy")</f>
        <v>Em Huy</v>
      </c>
      <c r="C65" s="118" t="str">
        <f>IFERROR(__xludf.DUMMYFUNCTION("""COMPUTED_VALUE"""),"k201 trần Phú")</f>
        <v>k201 trần Phú</v>
      </c>
      <c r="D65" s="118" t="str">
        <f>IFERROR(__xludf.DUMMYFUNCTION("""COMPUTED_VALUE"""),"chó")</f>
        <v>chó</v>
      </c>
      <c r="E65" s="118" t="str">
        <f>IFERROR(__xludf.DUMMYFUNCTION("""COMPUTED_VALUE"""),"thỏ")</f>
        <v>thỏ</v>
      </c>
    </row>
    <row r="66" ht="15.75" customHeight="1">
      <c r="A66" s="117" t="str">
        <f>IFERROR(__xludf.DUMMYFUNCTION("""COMPUTED_VALUE"""),"0919 960 233")</f>
        <v>0919 960 233</v>
      </c>
      <c r="B66" s="118" t="str">
        <f>IFERROR(__xludf.DUMMYFUNCTION("""COMPUTED_VALUE"""),"chị Thi")</f>
        <v>chị Thi</v>
      </c>
      <c r="C66" s="118" t="str">
        <f>IFERROR(__xludf.DUMMYFUNCTION("""COMPUTED_VALUE"""),"63 Võ Thị Sáu")</f>
        <v>63 Võ Thị Sáu</v>
      </c>
      <c r="D66" s="118" t="str">
        <f>IFERROR(__xludf.DUMMYFUNCTION("""COMPUTED_VALUE"""),"chó")</f>
        <v>chó</v>
      </c>
      <c r="E66" s="118"/>
    </row>
    <row r="67" ht="15.75" customHeight="1">
      <c r="A67" s="117" t="str">
        <f>IFERROR(__xludf.DUMMYFUNCTION("""COMPUTED_VALUE"""),"0948 853 377")</f>
        <v>0948 853 377</v>
      </c>
      <c r="B67" s="118" t="str">
        <f>IFERROR(__xludf.DUMMYFUNCTION("""COMPUTED_VALUE"""),"Dì Bình")</f>
        <v>Dì Bình</v>
      </c>
      <c r="C67" s="119"/>
      <c r="D67" s="118" t="str">
        <f>IFERROR(__xludf.DUMMYFUNCTION("""COMPUTED_VALUE"""),"Mèo")</f>
        <v>Mèo</v>
      </c>
      <c r="E67" s="118" t="str">
        <f>IFERROR(__xludf.DUMMYFUNCTION("""COMPUTED_VALUE"""),"Rum")</f>
        <v>Rum</v>
      </c>
    </row>
    <row r="68" ht="15.75" customHeight="1">
      <c r="A68" s="117" t="str">
        <f>IFERROR(__xludf.DUMMYFUNCTION("""COMPUTED_VALUE"""),"0377 622 405")</f>
        <v>0377 622 405</v>
      </c>
      <c r="B68" s="118" t="str">
        <f>IFERROR(__xludf.DUMMYFUNCTION("""COMPUTED_VALUE""")," anh Tuấn Kiệt")</f>
        <v> anh Tuấn Kiệt</v>
      </c>
      <c r="C68" s="118" t="str">
        <f>IFERROR(__xludf.DUMMYFUNCTION("""COMPUTED_VALUE"""),"Thiên Thai")</f>
        <v>Thiên Thai</v>
      </c>
      <c r="D68" s="118" t="str">
        <f>IFERROR(__xludf.DUMMYFUNCTION("""COMPUTED_VALUE"""),"chó")</f>
        <v>chó</v>
      </c>
      <c r="E68" s="118" t="str">
        <f>IFERROR(__xludf.DUMMYFUNCTION("""COMPUTED_VALUE"""),"sữa")</f>
        <v>sữa</v>
      </c>
    </row>
    <row r="69" ht="15.75" customHeight="1">
      <c r="A69" s="117" t="str">
        <f>IFERROR(__xludf.DUMMYFUNCTION("""COMPUTED_VALUE"""),"0788 559 364")</f>
        <v>0788 559 364</v>
      </c>
      <c r="B69" s="118" t="str">
        <f>IFERROR(__xludf.DUMMYFUNCTION("""COMPUTED_VALUE"""),"Thục Trinh")</f>
        <v>Thục Trinh</v>
      </c>
      <c r="C69" s="118" t="str">
        <f>IFERROR(__xludf.DUMMYFUNCTION("""COMPUTED_VALUE"""),"13/42 Trần Quốc Toản")</f>
        <v>13/42 Trần Quốc Toản</v>
      </c>
      <c r="D69" s="118" t="str">
        <f>IFERROR(__xludf.DUMMYFUNCTION("""COMPUTED_VALUE"""),"Chó")</f>
        <v>Chó</v>
      </c>
      <c r="E69" s="118" t="str">
        <f>IFERROR(__xludf.DUMMYFUNCTION("""COMPUTED_VALUE"""),"Tom")</f>
        <v>Tom</v>
      </c>
    </row>
    <row r="70" ht="15.75" customHeight="1">
      <c r="A70" s="117" t="str">
        <f>IFERROR(__xludf.DUMMYFUNCTION("""COMPUTED_VALUE"""),"0898 136 775")</f>
        <v>0898 136 775</v>
      </c>
      <c r="B70" s="118" t="str">
        <f>IFERROR(__xludf.DUMMYFUNCTION("""COMPUTED_VALUE"""),"Anh Minh")</f>
        <v>Anh Minh</v>
      </c>
      <c r="C70" s="118" t="str">
        <f>IFERROR(__xludf.DUMMYFUNCTION("""COMPUTED_VALUE"""),"k245 Phan Bội Châu")</f>
        <v>k245 Phan Bội Châu</v>
      </c>
      <c r="D70" s="118" t="str">
        <f>IFERROR(__xludf.DUMMYFUNCTION("""COMPUTED_VALUE"""),"thỏ")</f>
        <v>thỏ</v>
      </c>
      <c r="E70" s="118"/>
    </row>
    <row r="71" ht="15.75" customHeight="1">
      <c r="A71" s="117" t="str">
        <f>IFERROR(__xludf.DUMMYFUNCTION("""COMPUTED_VALUE"""),"0935 342 011")</f>
        <v>0935 342 011</v>
      </c>
      <c r="B71" s="118" t="str">
        <f>IFERROR(__xludf.DUMMYFUNCTION("""COMPUTED_VALUE"""),"dì Nguyễn Ngọc Hà")</f>
        <v>dì Nguyễn Ngọc Hà</v>
      </c>
      <c r="C71" s="118" t="str">
        <f>IFERROR(__xludf.DUMMYFUNCTION("""COMPUTED_VALUE"""),"45 Vũ Ngọc Phan")</f>
        <v>45 Vũ Ngọc Phan</v>
      </c>
      <c r="D71" s="118" t="str">
        <f>IFERROR(__xludf.DUMMYFUNCTION("""COMPUTED_VALUE"""),"chó")</f>
        <v>chó</v>
      </c>
      <c r="E71" s="119" t="str">
        <f>IFERROR(__xludf.DUMMYFUNCTION("""COMPUTED_VALUE"""),"đậu")</f>
        <v>đậu</v>
      </c>
    </row>
    <row r="72" ht="15.75" customHeight="1">
      <c r="A72" s="117" t="str">
        <f>IFERROR(__xludf.DUMMYFUNCTION("""COMPUTED_VALUE"""),"0793 585 509")</f>
        <v>0793 585 509</v>
      </c>
      <c r="B72" s="118" t="str">
        <f>IFERROR(__xludf.DUMMYFUNCTION("""COMPUTED_VALUE"""),"em Hồ Nguyệt Khang")</f>
        <v>em Hồ Nguyệt Khang</v>
      </c>
      <c r="C72" s="118" t="str">
        <f>IFERROR(__xludf.DUMMYFUNCTION("""COMPUTED_VALUE"""),"162 Ngự Bình")</f>
        <v>162 Ngự Bình</v>
      </c>
      <c r="D72" s="118" t="str">
        <f>IFERROR(__xludf.DUMMYFUNCTION("""COMPUTED_VALUE"""),"mèo")</f>
        <v>mèo</v>
      </c>
      <c r="E72" s="119" t="str">
        <f>IFERROR(__xludf.DUMMYFUNCTION("""COMPUTED_VALUE"""),"rocky")</f>
        <v>rocky</v>
      </c>
    </row>
    <row r="73" ht="15.75" customHeight="1">
      <c r="A73" s="117" t="str">
        <f>IFERROR(__xludf.DUMMYFUNCTION("""COMPUTED_VALUE"""),"0796 693 654")</f>
        <v>0796 693 654</v>
      </c>
      <c r="B73" s="118" t="str">
        <f>IFERROR(__xludf.DUMMYFUNCTION("""COMPUTED_VALUE"""),"Dì Tâm ")</f>
        <v>Dì Tâm </v>
      </c>
      <c r="C73" s="118" t="str">
        <f>IFERROR(__xludf.DUMMYFUNCTION("""COMPUTED_VALUE"""),"2/56 kiệt 131 Trần Phú")</f>
        <v>2/56 kiệt 131 Trần Phú</v>
      </c>
      <c r="D73" s="118" t="str">
        <f>IFERROR(__xludf.DUMMYFUNCTION("""COMPUTED_VALUE"""),"chó")</f>
        <v>chó</v>
      </c>
      <c r="E73" s="118"/>
    </row>
    <row r="74" ht="15.75" customHeight="1">
      <c r="A74" s="117" t="str">
        <f>IFERROR(__xludf.DUMMYFUNCTION("""COMPUTED_VALUE"""),"0905 677 956")</f>
        <v>0905 677 956</v>
      </c>
      <c r="B74" s="118" t="str">
        <f>IFERROR(__xludf.DUMMYFUNCTION("""COMPUTED_VALUE"""),"chị Diệu Trà")</f>
        <v>chị Diệu Trà</v>
      </c>
      <c r="C74" s="118" t="str">
        <f>IFERROR(__xludf.DUMMYFUNCTION("""COMPUTED_VALUE"""),"22/17b/11 Thiên Thai")</f>
        <v>22/17b/11 Thiên Thai</v>
      </c>
      <c r="D74" s="118" t="str">
        <f>IFERROR(__xludf.DUMMYFUNCTION("""COMPUTED_VALUE"""),"chó")</f>
        <v>chó</v>
      </c>
      <c r="E74" s="118" t="str">
        <f>IFERROR(__xludf.DUMMYFUNCTION("""COMPUTED_VALUE"""),"lé")</f>
        <v>lé</v>
      </c>
    </row>
    <row r="75" ht="15.75" customHeight="1">
      <c r="A75" s="117" t="str">
        <f>IFERROR(__xludf.DUMMYFUNCTION("""COMPUTED_VALUE"""),"0949 369 639")</f>
        <v>0949 369 639</v>
      </c>
      <c r="B75" s="118" t="str">
        <f>IFERROR(__xludf.DUMMYFUNCTION("""COMPUTED_VALUE"""),"anh Trương Vĩnh Thọ")</f>
        <v>anh Trương Vĩnh Thọ</v>
      </c>
      <c r="C75" s="118" t="str">
        <f>IFERROR(__xludf.DUMMYFUNCTION("""COMPUTED_VALUE"""),"29 Nguyễn Trường Tộ")</f>
        <v>29 Nguyễn Trường Tộ</v>
      </c>
      <c r="D75" s="118" t="str">
        <f>IFERROR(__xludf.DUMMYFUNCTION("""COMPUTED_VALUE"""),"mèo")</f>
        <v>mèo</v>
      </c>
      <c r="E75" s="118"/>
    </row>
    <row r="76" ht="15.75" customHeight="1">
      <c r="A76" s="117" t="str">
        <f>IFERROR(__xludf.DUMMYFUNCTION("""COMPUTED_VALUE"""),"0905 259 034")</f>
        <v>0905 259 034</v>
      </c>
      <c r="B76" s="118" t="str">
        <f>IFERROR(__xludf.DUMMYFUNCTION("""COMPUTED_VALUE"""),"Xuân Hương")</f>
        <v>Xuân Hương</v>
      </c>
      <c r="C76" s="118" t="str">
        <f>IFERROR(__xludf.DUMMYFUNCTION("""COMPUTED_VALUE"""),"40 Hàm Nghi")</f>
        <v>40 Hàm Nghi</v>
      </c>
      <c r="D76" s="118" t="str">
        <f>IFERROR(__xludf.DUMMYFUNCTION("""COMPUTED_VALUE"""),"Mèo")</f>
        <v>Mèo</v>
      </c>
      <c r="E76" s="118"/>
    </row>
    <row r="77" ht="15.75" customHeight="1">
      <c r="A77" s="117" t="str">
        <f>IFERROR(__xludf.DUMMYFUNCTION("""COMPUTED_VALUE"""),"0767 413 100")</f>
        <v>0767 413 100</v>
      </c>
      <c r="B77" s="118" t="str">
        <f>IFERROR(__xludf.DUMMYFUNCTION("""COMPUTED_VALUE"""),"Chị Tuyến")</f>
        <v>Chị Tuyến</v>
      </c>
      <c r="C77" s="118" t="str">
        <f>IFERROR(__xludf.DUMMYFUNCTION("""COMPUTED_VALUE"""),"k111  trần thái tông")</f>
        <v>k111  trần thái tông</v>
      </c>
      <c r="D77" s="118" t="str">
        <f>IFERROR(__xludf.DUMMYFUNCTION("""COMPUTED_VALUE"""),"mèo")</f>
        <v>mèo</v>
      </c>
      <c r="E77" s="118"/>
    </row>
    <row r="78" ht="15.75" customHeight="1">
      <c r="A78" s="117" t="str">
        <f>IFERROR(__xludf.DUMMYFUNCTION("""COMPUTED_VALUE"""),"0866 509 274")</f>
        <v>0866 509 274</v>
      </c>
      <c r="B78" s="118" t="str">
        <f>IFERROR(__xludf.DUMMYFUNCTION("""COMPUTED_VALUE"""),"Anh Hưng")</f>
        <v>Anh Hưng</v>
      </c>
      <c r="C78" s="118" t="str">
        <f>IFERROR(__xludf.DUMMYFUNCTION("""COMPUTED_VALUE"""),"hà nội")</f>
        <v>hà nội</v>
      </c>
      <c r="D78" s="118" t="str">
        <f>IFERROR(__xludf.DUMMYFUNCTION("""COMPUTED_VALUE"""),"mèo")</f>
        <v>mèo</v>
      </c>
      <c r="E78" s="118"/>
    </row>
    <row r="79" ht="15.75" customHeight="1">
      <c r="A79" s="117" t="str">
        <f>IFERROR(__xludf.DUMMYFUNCTION("""COMPUTED_VALUE"""),"0983 519 641")</f>
        <v>0983 519 641</v>
      </c>
      <c r="B79" s="118" t="str">
        <f>IFERROR(__xludf.DUMMYFUNCTION("""COMPUTED_VALUE"""),"Anh Tăng")</f>
        <v>Anh Tăng</v>
      </c>
      <c r="C79" s="118" t="str">
        <f>IFERROR(__xludf.DUMMYFUNCTION("""COMPUTED_VALUE"""),"Kiệt 69 Phạm Thị Liên")</f>
        <v>Kiệt 69 Phạm Thị Liên</v>
      </c>
      <c r="D79" s="118" t="str">
        <f>IFERROR(__xludf.DUMMYFUNCTION("""COMPUTED_VALUE"""),"Chó")</f>
        <v>Chó</v>
      </c>
      <c r="E79" s="119"/>
    </row>
    <row r="80" ht="15.75" customHeight="1">
      <c r="A80" s="117" t="str">
        <f>IFERROR(__xludf.DUMMYFUNCTION("""COMPUTED_VALUE"""),"0792 339 465")</f>
        <v>0792 339 465</v>
      </c>
      <c r="B80" s="118" t="str">
        <f>IFERROR(__xludf.DUMMYFUNCTION("""COMPUTED_VALUE"""),"Khánh Hà")</f>
        <v>Khánh Hà</v>
      </c>
      <c r="C80" s="118" t="str">
        <f>IFERROR(__xludf.DUMMYFUNCTION("""COMPUTED_VALUE"""),"10/42 Nguyễn Phúc Tần")</f>
        <v>10/42 Nguyễn Phúc Tần</v>
      </c>
      <c r="D80" s="118" t="str">
        <f>IFERROR(__xludf.DUMMYFUNCTION("""COMPUTED_VALUE"""),"Chó")</f>
        <v>Chó</v>
      </c>
      <c r="E80" s="118" t="str">
        <f>IFERROR(__xludf.DUMMYFUNCTION("""COMPUTED_VALUE"""),"Khoai")</f>
        <v>Khoai</v>
      </c>
    </row>
    <row r="81" ht="15.75" customHeight="1">
      <c r="A81" s="117" t="str">
        <f>IFERROR(__xludf.DUMMYFUNCTION("""COMPUTED_VALUE"""),"0772 409 399")</f>
        <v>0772 409 399</v>
      </c>
      <c r="B81" s="118" t="str">
        <f>IFERROR(__xludf.DUMMYFUNCTION("""COMPUTED_VALUE"""),"Chị Qúy")</f>
        <v>Chị Qúy</v>
      </c>
      <c r="C81" s="118" t="str">
        <f>IFERROR(__xludf.DUMMYFUNCTION("""COMPUTED_VALUE"""),"14/92 Đặng Huy Trứ")</f>
        <v>14/92 Đặng Huy Trứ</v>
      </c>
      <c r="D81" s="118" t="str">
        <f>IFERROR(__xludf.DUMMYFUNCTION("""COMPUTED_VALUE"""),"Mèo")</f>
        <v>Mèo</v>
      </c>
      <c r="E81" s="118" t="str">
        <f>IFERROR(__xludf.DUMMYFUNCTION("""COMPUTED_VALUE"""),"Tom")</f>
        <v>Tom</v>
      </c>
    </row>
    <row r="82" ht="15.75" customHeight="1">
      <c r="A82" s="117" t="str">
        <f>IFERROR(__xludf.DUMMYFUNCTION("""COMPUTED_VALUE"""),"0901 122 920")</f>
        <v>0901 122 920</v>
      </c>
      <c r="B82" s="118" t="str">
        <f>IFERROR(__xludf.DUMMYFUNCTION("""COMPUTED_VALUE"""),"Chị Ben")</f>
        <v>Chị Ben</v>
      </c>
      <c r="C82" s="118" t="str">
        <f>IFERROR(__xludf.DUMMYFUNCTION("""COMPUTED_VALUE"""),"138 Vạn Xuân")</f>
        <v>138 Vạn Xuân</v>
      </c>
      <c r="D82" s="118" t="str">
        <f>IFERROR(__xludf.DUMMYFUNCTION("""COMPUTED_VALUE"""),"Chó")</f>
        <v>Chó</v>
      </c>
      <c r="E82" s="118" t="str">
        <f>IFERROR(__xludf.DUMMYFUNCTION("""COMPUTED_VALUE"""),"Nâu")</f>
        <v>Nâu</v>
      </c>
    </row>
    <row r="83" ht="15.75" customHeight="1">
      <c r="A83" s="117" t="str">
        <f>IFERROR(__xludf.DUMMYFUNCTION("""COMPUTED_VALUE"""),"0934 946 122")</f>
        <v>0934 946 122</v>
      </c>
      <c r="B83" s="118" t="str">
        <f>IFERROR(__xludf.DUMMYFUNCTION("""COMPUTED_VALUE"""),"Anh Zet")</f>
        <v>Anh Zet</v>
      </c>
      <c r="C83" s="118" t="str">
        <f>IFERROR(__xludf.DUMMYFUNCTION("""COMPUTED_VALUE"""),"8 Lê Tự Nhiên")</f>
        <v>8 Lê Tự Nhiên</v>
      </c>
      <c r="D83" s="118" t="str">
        <f>IFERROR(__xludf.DUMMYFUNCTION("""COMPUTED_VALUE"""),"Chó")</f>
        <v>Chó</v>
      </c>
      <c r="E83" s="118" t="str">
        <f>IFERROR(__xludf.DUMMYFUNCTION("""COMPUTED_VALUE"""),"Đen")</f>
        <v>Đen</v>
      </c>
    </row>
    <row r="84" ht="15.75" customHeight="1">
      <c r="A84" s="117" t="str">
        <f>IFERROR(__xludf.DUMMYFUNCTION("""COMPUTED_VALUE"""),"0983 330 737")</f>
        <v>0983 330 737</v>
      </c>
      <c r="B84" s="118" t="str">
        <f>IFERROR(__xludf.DUMMYFUNCTION("""COMPUTED_VALUE"""),"A Thiện")</f>
        <v>A Thiện</v>
      </c>
      <c r="C84" s="118" t="str">
        <f>IFERROR(__xludf.DUMMYFUNCTION("""COMPUTED_VALUE"""),"lữu bảo")</f>
        <v>lữu bảo</v>
      </c>
      <c r="D84" s="118"/>
      <c r="E84" s="118"/>
    </row>
    <row r="85" ht="15.75" customHeight="1">
      <c r="A85" s="117" t="str">
        <f>IFERROR(__xludf.DUMMYFUNCTION("""COMPUTED_VALUE"""),"0905 862 700")</f>
        <v>0905 862 700</v>
      </c>
      <c r="B85" s="118" t="str">
        <f>IFERROR(__xludf.DUMMYFUNCTION("""COMPUTED_VALUE"""),"Chị Duy Uyên")</f>
        <v>Chị Duy Uyên</v>
      </c>
      <c r="C85" s="118" t="str">
        <f>IFERROR(__xludf.DUMMYFUNCTION("""COMPUTED_VALUE"""),"2/90 Nguyễn Huệ")</f>
        <v>2/90 Nguyễn Huệ</v>
      </c>
      <c r="D85" s="118" t="str">
        <f>IFERROR(__xludf.DUMMYFUNCTION("""COMPUTED_VALUE"""),"Mèo")</f>
        <v>Mèo</v>
      </c>
      <c r="E85" s="119"/>
    </row>
    <row r="86" ht="15.75" customHeight="1">
      <c r="A86" s="117" t="str">
        <f>IFERROR(__xludf.DUMMYFUNCTION("""COMPUTED_VALUE"""),"0702 316 416")</f>
        <v>0702 316 416</v>
      </c>
      <c r="B86" s="118" t="str">
        <f>IFERROR(__xludf.DUMMYFUNCTION("""COMPUTED_VALUE"""),"Chú Phúc")</f>
        <v>Chú Phúc</v>
      </c>
      <c r="C86" s="118" t="str">
        <f>IFERROR(__xludf.DUMMYFUNCTION("""COMPUTED_VALUE"""),"110 Lê Duẩn")</f>
        <v>110 Lê Duẩn</v>
      </c>
      <c r="D86" s="118" t="str">
        <f>IFERROR(__xludf.DUMMYFUNCTION("""COMPUTED_VALUE"""),"Chó")</f>
        <v>Chó</v>
      </c>
      <c r="E86" s="118" t="str">
        <f>IFERROR(__xludf.DUMMYFUNCTION("""COMPUTED_VALUE"""),"Lucky")</f>
        <v>Lucky</v>
      </c>
    </row>
    <row r="87" ht="15.75" customHeight="1">
      <c r="A87" s="117" t="str">
        <f>IFERROR(__xludf.DUMMYFUNCTION("""COMPUTED_VALUE"""),"0357 015 855")</f>
        <v>0357 015 855</v>
      </c>
      <c r="B87" s="118" t="str">
        <f>IFERROR(__xludf.DUMMYFUNCTION("""COMPUTED_VALUE"""),"Minh Châu")</f>
        <v>Minh Châu</v>
      </c>
      <c r="C87" s="118" t="str">
        <f>IFERROR(__xludf.DUMMYFUNCTION("""COMPUTED_VALUE"""),"21/68 Điện biên phủ")</f>
        <v>21/68 Điện biên phủ</v>
      </c>
      <c r="D87" s="118" t="str">
        <f>IFERROR(__xludf.DUMMYFUNCTION("""COMPUTED_VALUE"""),"mèo")</f>
        <v>mèo</v>
      </c>
      <c r="E87" s="118"/>
    </row>
    <row r="88" ht="15.75" customHeight="1">
      <c r="A88" s="117" t="str">
        <f>IFERROR(__xludf.DUMMYFUNCTION("""COMPUTED_VALUE"""),"0779 407 337")</f>
        <v>0779 407 337</v>
      </c>
      <c r="B88" s="118" t="str">
        <f>IFERROR(__xludf.DUMMYFUNCTION("""COMPUTED_VALUE"""),"Em Hiệp")</f>
        <v>Em Hiệp</v>
      </c>
      <c r="C88" s="118" t="str">
        <f>IFERROR(__xludf.DUMMYFUNCTION("""COMPUTED_VALUE"""),"10/37/1 Hồ Văn Hiển")</f>
        <v>10/37/1 Hồ Văn Hiển</v>
      </c>
      <c r="D88" s="118" t="str">
        <f>IFERROR(__xludf.DUMMYFUNCTION("""COMPUTED_VALUE"""),"chó")</f>
        <v>chó</v>
      </c>
      <c r="E88" s="118" t="str">
        <f>IFERROR(__xludf.DUMMYFUNCTION("""COMPUTED_VALUE"""),"bông")</f>
        <v>bông</v>
      </c>
    </row>
    <row r="89" ht="15.75" customHeight="1">
      <c r="A89" s="117" t="str">
        <f>IFERROR(__xludf.DUMMYFUNCTION("""COMPUTED_VALUE"""),"0773 520 660")</f>
        <v>0773 520 660</v>
      </c>
      <c r="B89" s="118" t="str">
        <f>IFERROR(__xludf.DUMMYFUNCTION("""COMPUTED_VALUE"""),"Anh Minh")</f>
        <v>Anh Minh</v>
      </c>
      <c r="C89" s="118" t="str">
        <f>IFERROR(__xludf.DUMMYFUNCTION("""COMPUTED_VALUE"""),"D266")</f>
        <v>D266</v>
      </c>
      <c r="D89" s="118" t="str">
        <f>IFERROR(__xludf.DUMMYFUNCTION("""COMPUTED_VALUE"""),"chó")</f>
        <v>chó</v>
      </c>
      <c r="E89" s="118" t="str">
        <f>IFERROR(__xludf.DUMMYFUNCTION("""COMPUTED_VALUE"""),"mít")</f>
        <v>mít</v>
      </c>
    </row>
    <row r="90" ht="15.75" customHeight="1">
      <c r="A90" s="117" t="str">
        <f>IFERROR(__xludf.DUMMYFUNCTION("""COMPUTED_VALUE"""),"0916 347 518")</f>
        <v>0916 347 518</v>
      </c>
      <c r="B90" s="118" t="str">
        <f>IFERROR(__xludf.DUMMYFUNCTION("""COMPUTED_VALUE"""),"Anh Nghĩa")</f>
        <v>Anh Nghĩa</v>
      </c>
      <c r="C90" s="118" t="str">
        <f>IFERROR(__xludf.DUMMYFUNCTION("""COMPUTED_VALUE"""),"9/214 Ngự Bình")</f>
        <v>9/214 Ngự Bình</v>
      </c>
      <c r="D90" s="118" t="str">
        <f>IFERROR(__xludf.DUMMYFUNCTION("""COMPUTED_VALUE"""),"Chó")</f>
        <v>Chó</v>
      </c>
      <c r="E90" s="118" t="str">
        <f>IFERROR(__xludf.DUMMYFUNCTION("""COMPUTED_VALUE"""),"Beo")</f>
        <v>Beo</v>
      </c>
    </row>
    <row r="91" ht="15.75" customHeight="1">
      <c r="A91" s="117" t="str">
        <f>IFERROR(__xludf.DUMMYFUNCTION("""COMPUTED_VALUE"""),"0788 667 231")</f>
        <v>0788 667 231</v>
      </c>
      <c r="B91" s="118" t="str">
        <f>IFERROR(__xludf.DUMMYFUNCTION("""COMPUTED_VALUE"""),"Anh Minh")</f>
        <v>Anh Minh</v>
      </c>
      <c r="C91" s="118" t="str">
        <f>IFERROR(__xludf.DUMMYFUNCTION("""COMPUTED_VALUE"""),"phường Phong Quảng-Quảng Điền")</f>
        <v>phường Phong Quảng-Quảng Điền</v>
      </c>
      <c r="D91" s="118" t="str">
        <f>IFERROR(__xludf.DUMMYFUNCTION("""COMPUTED_VALUE"""),"chó")</f>
        <v>chó</v>
      </c>
      <c r="E91" s="118" t="str">
        <f>IFERROR(__xludf.DUMMYFUNCTION("""COMPUTED_VALUE"""),"lucky")</f>
        <v>lucky</v>
      </c>
    </row>
    <row r="92" ht="15.75" customHeight="1">
      <c r="A92" s="117" t="str">
        <f>IFERROR(__xludf.DUMMYFUNCTION("""COMPUTED_VALUE"""),"0888 353 536")</f>
        <v>0888 353 536</v>
      </c>
      <c r="B92" s="118" t="str">
        <f>IFERROR(__xludf.DUMMYFUNCTION("""COMPUTED_VALUE"""),"Anh Quân")</f>
        <v>Anh Quân</v>
      </c>
      <c r="C92" s="118" t="str">
        <f>IFERROR(__xludf.DUMMYFUNCTION("""COMPUTED_VALUE"""),"56 Vạn Xuân")</f>
        <v>56 Vạn Xuân</v>
      </c>
      <c r="D92" s="118" t="str">
        <f>IFERROR(__xludf.DUMMYFUNCTION("""COMPUTED_VALUE"""),"chó")</f>
        <v>chó</v>
      </c>
      <c r="E92" s="118" t="str">
        <f>IFERROR(__xludf.DUMMYFUNCTION("""COMPUTED_VALUE"""),"Milnar")</f>
        <v>Milnar</v>
      </c>
    </row>
    <row r="93" ht="15.75" customHeight="1">
      <c r="A93" s="117" t="str">
        <f>IFERROR(__xludf.DUMMYFUNCTION("""COMPUTED_VALUE"""),"0898 198 243")</f>
        <v>0898 198 243</v>
      </c>
      <c r="B93" s="118" t="str">
        <f>IFERROR(__xludf.DUMMYFUNCTION("""COMPUTED_VALUE"""),"Phan Lệ Hằng")</f>
        <v>Phan Lệ Hằng</v>
      </c>
      <c r="C93" s="118" t="str">
        <f>IFERROR(__xludf.DUMMYFUNCTION("""COMPUTED_VALUE"""),"3/29 Phạm Tu")</f>
        <v>3/29 Phạm Tu</v>
      </c>
      <c r="D93" s="118" t="str">
        <f>IFERROR(__xludf.DUMMYFUNCTION("""COMPUTED_VALUE"""),"Mèo")</f>
        <v>Mèo</v>
      </c>
      <c r="E93" s="118" t="str">
        <f>IFERROR(__xludf.DUMMYFUNCTION("""COMPUTED_VALUE"""),"Mướp")</f>
        <v>Mướp</v>
      </c>
    </row>
    <row r="94" ht="15.75" customHeight="1">
      <c r="A94" s="117" t="str">
        <f>IFERROR(__xludf.DUMMYFUNCTION("""COMPUTED_VALUE"""),"0383 585 704")</f>
        <v>0383 585 704</v>
      </c>
      <c r="B94" s="118" t="str">
        <f>IFERROR(__xludf.DUMMYFUNCTION("""COMPUTED_VALUE"""),"Em Bảo Uyên")</f>
        <v>Em Bảo Uyên</v>
      </c>
      <c r="C94" s="118" t="str">
        <f>IFERROR(__xludf.DUMMYFUNCTION("""COMPUTED_VALUE"""),"An Cựu")</f>
        <v>An Cựu</v>
      </c>
      <c r="D94" s="118" t="str">
        <f>IFERROR(__xludf.DUMMYFUNCTION("""COMPUTED_VALUE"""),"mèo")</f>
        <v>mèo</v>
      </c>
      <c r="E94" s="118"/>
    </row>
    <row r="95" ht="15.75" customHeight="1">
      <c r="A95" s="117" t="str">
        <f>IFERROR(__xludf.DUMMYFUNCTION("""COMPUTED_VALUE"""),"0947 734 567")</f>
        <v>0947 734 567</v>
      </c>
      <c r="B95" s="118" t="str">
        <f>IFERROR(__xludf.DUMMYFUNCTION("""COMPUTED_VALUE"""),"Anh Hương")</f>
        <v>Anh Hương</v>
      </c>
      <c r="C95" s="118"/>
      <c r="D95" s="118"/>
      <c r="E95" s="118"/>
    </row>
    <row r="96" ht="15.75" customHeight="1">
      <c r="A96" s="117" t="str">
        <f>IFERROR(__xludf.DUMMYFUNCTION("""COMPUTED_VALUE"""),"0914 0525 75")</f>
        <v>0914 0525 75</v>
      </c>
      <c r="B96" s="118" t="str">
        <f>IFERROR(__xludf.DUMMYFUNCTION("""COMPUTED_VALUE"""),"A Nhân")</f>
        <v>A Nhân</v>
      </c>
      <c r="C96" s="118" t="str">
        <f>IFERROR(__xludf.DUMMYFUNCTION("""COMPUTED_VALUE"""),"Phú Lộc")</f>
        <v>Phú Lộc</v>
      </c>
      <c r="D96" s="118" t="str">
        <f>IFERROR(__xludf.DUMMYFUNCTION("""COMPUTED_VALUE"""),"chó")</f>
        <v>chó</v>
      </c>
      <c r="E96" s="118" t="str">
        <f>IFERROR(__xludf.DUMMYFUNCTION("""COMPUTED_VALUE"""),"beko")</f>
        <v>beko</v>
      </c>
    </row>
    <row r="97" ht="15.75" customHeight="1">
      <c r="A97" s="117" t="str">
        <f>IFERROR(__xludf.DUMMYFUNCTION("""COMPUTED_VALUE"""),"0392 447 998")</f>
        <v>0392 447 998</v>
      </c>
      <c r="B97" s="118" t="str">
        <f>IFERROR(__xludf.DUMMYFUNCTION("""COMPUTED_VALUE"""),"Anh Hải")</f>
        <v>Anh Hải</v>
      </c>
      <c r="C97" s="118" t="str">
        <f>IFERROR(__xludf.DUMMYFUNCTION("""COMPUTED_VALUE"""),"34/9 Nguyễn Hữu Dật")</f>
        <v>34/9 Nguyễn Hữu Dật</v>
      </c>
      <c r="D97" s="118" t="str">
        <f>IFERROR(__xludf.DUMMYFUNCTION("""COMPUTED_VALUE"""),"Chó")</f>
        <v>Chó</v>
      </c>
      <c r="E97" s="118" t="str">
        <f>IFERROR(__xludf.DUMMYFUNCTION("""COMPUTED_VALUE"""),"Mập")</f>
        <v>Mập</v>
      </c>
    </row>
    <row r="98" ht="15.75" customHeight="1">
      <c r="A98" s="117" t="str">
        <f>IFERROR(__xludf.DUMMYFUNCTION("""COMPUTED_VALUE"""),"0935 266 777")</f>
        <v>0935 266 777</v>
      </c>
      <c r="B98" s="118" t="str">
        <f>IFERROR(__xludf.DUMMYFUNCTION("""COMPUTED_VALUE"""),"Anh Hoàng")</f>
        <v>Anh Hoàng</v>
      </c>
      <c r="C98" s="118" t="str">
        <f>IFERROR(__xludf.DUMMYFUNCTION("""COMPUTED_VALUE"""),"E50 Kim Long")</f>
        <v>E50 Kim Long</v>
      </c>
      <c r="D98" s="118" t="str">
        <f>IFERROR(__xludf.DUMMYFUNCTION("""COMPUTED_VALUE"""),"Chó")</f>
        <v>Chó</v>
      </c>
      <c r="E98" s="118" t="str">
        <f>IFERROR(__xludf.DUMMYFUNCTION("""COMPUTED_VALUE"""),"Joly")</f>
        <v>Joly</v>
      </c>
    </row>
    <row r="99" ht="15.75" customHeight="1">
      <c r="A99" s="117" t="str">
        <f>IFERROR(__xludf.DUMMYFUNCTION("""COMPUTED_VALUE"""),"0914 614 452")</f>
        <v>0914 614 452</v>
      </c>
      <c r="B99" s="118" t="str">
        <f>IFERROR(__xludf.DUMMYFUNCTION("""COMPUTED_VALUE"""),"Bác Lịch ")</f>
        <v>Bác Lịch </v>
      </c>
      <c r="C99" s="118" t="str">
        <f>IFERROR(__xludf.DUMMYFUNCTION("""COMPUTED_VALUE"""),"89 Nguyễn Phúc Thái")</f>
        <v>89 Nguyễn Phúc Thái</v>
      </c>
      <c r="D99" s="118" t="str">
        <f>IFERROR(__xludf.DUMMYFUNCTION("""COMPUTED_VALUE"""),"Chó")</f>
        <v>Chó</v>
      </c>
      <c r="E99" s="118" t="str">
        <f>IFERROR(__xludf.DUMMYFUNCTION("""COMPUTED_VALUE"""),"Nô")</f>
        <v>Nô</v>
      </c>
    </row>
    <row r="100" ht="15.75" customHeight="1">
      <c r="A100" s="117" t="str">
        <f>IFERROR(__xludf.DUMMYFUNCTION("""COMPUTED_VALUE"""),"0774 508 864")</f>
        <v>0774 508 864</v>
      </c>
      <c r="B100" s="118" t="str">
        <f>IFERROR(__xludf.DUMMYFUNCTION("""COMPUTED_VALUE"""),"Phương Lê")</f>
        <v>Phương Lê</v>
      </c>
      <c r="C100" s="118" t="str">
        <f>IFERROR(__xludf.DUMMYFUNCTION("""COMPUTED_VALUE"""),"22/2/6 Phú Mộng")</f>
        <v>22/2/6 Phú Mộng</v>
      </c>
      <c r="D100" s="118" t="str">
        <f>IFERROR(__xludf.DUMMYFUNCTION("""COMPUTED_VALUE"""),"chó")</f>
        <v>chó</v>
      </c>
      <c r="E100" s="118" t="str">
        <f>IFERROR(__xludf.DUMMYFUNCTION("""COMPUTED_VALUE"""),"Galaxy")</f>
        <v>Galaxy</v>
      </c>
    </row>
    <row r="101" ht="15.75" customHeight="1">
      <c r="A101" s="117" t="str">
        <f>IFERROR(__xludf.DUMMYFUNCTION("""COMPUTED_VALUE"""),"0935 120 206")</f>
        <v>0935 120 206</v>
      </c>
      <c r="B101" s="118" t="str">
        <f>IFERROR(__xludf.DUMMYFUNCTION("""COMPUTED_VALUE"""),"Anh Thiện")</f>
        <v>Anh Thiện</v>
      </c>
      <c r="C101" s="118" t="str">
        <f>IFERROR(__xludf.DUMMYFUNCTION("""COMPUTED_VALUE"""),"13/57 Nguyễn Hoàng")</f>
        <v>13/57 Nguyễn Hoàng</v>
      </c>
      <c r="D101" s="118" t="str">
        <f>IFERROR(__xludf.DUMMYFUNCTION("""COMPUTED_VALUE"""),"Chó")</f>
        <v>Chó</v>
      </c>
      <c r="E101" s="118"/>
    </row>
    <row r="102" ht="15.75" customHeight="1">
      <c r="A102" s="117" t="str">
        <f>IFERROR(__xludf.DUMMYFUNCTION("""COMPUTED_VALUE"""),"0939 963 368")</f>
        <v>0939 963 368</v>
      </c>
      <c r="B102" s="118" t="str">
        <f>IFERROR(__xludf.DUMMYFUNCTION("""COMPUTED_VALUE"""),"Anh Hùng")</f>
        <v>Anh Hùng</v>
      </c>
      <c r="C102" s="118"/>
      <c r="D102" s="118" t="str">
        <f>IFERROR(__xludf.DUMMYFUNCTION("""COMPUTED_VALUE"""),"Chó")</f>
        <v>Chó</v>
      </c>
      <c r="E102" s="119" t="str">
        <f>IFERROR(__xludf.DUMMYFUNCTION("""COMPUTED_VALUE"""),"Lu")</f>
        <v>Lu</v>
      </c>
    </row>
    <row r="103" ht="15.75" customHeight="1">
      <c r="A103" s="117" t="str">
        <f>IFERROR(__xludf.DUMMYFUNCTION("""COMPUTED_VALUE"""),"0905 109 559")</f>
        <v>0905 109 559</v>
      </c>
      <c r="B103" s="118" t="str">
        <f>IFERROR(__xludf.DUMMYFUNCTION("""COMPUTED_VALUE"""),"Chị yến")</f>
        <v>Chị yến</v>
      </c>
      <c r="C103" s="118" t="str">
        <f>IFERROR(__xludf.DUMMYFUNCTION("""COMPUTED_VALUE"""),"Nguyễn Văn Đào")</f>
        <v>Nguyễn Văn Đào</v>
      </c>
      <c r="D103" s="118" t="str">
        <f>IFERROR(__xludf.DUMMYFUNCTION("""COMPUTED_VALUE"""),"Chó")</f>
        <v>Chó</v>
      </c>
      <c r="E103" s="118" t="str">
        <f>IFERROR(__xludf.DUMMYFUNCTION("""COMPUTED_VALUE"""),"Kiki")</f>
        <v>Kiki</v>
      </c>
    </row>
    <row r="104" ht="15.75" customHeight="1">
      <c r="A104" s="117" t="str">
        <f>IFERROR(__xludf.DUMMYFUNCTION("""COMPUTED_VALUE"""),"0904 522 107")</f>
        <v>0904 522 107</v>
      </c>
      <c r="B104" s="118" t="str">
        <f>IFERROR(__xludf.DUMMYFUNCTION("""COMPUTED_VALUE"""),"Anh Danh")</f>
        <v>Anh Danh</v>
      </c>
      <c r="C104" s="118" t="str">
        <f>IFERROR(__xludf.DUMMYFUNCTION("""COMPUTED_VALUE"""),"6k 109 Đặng Huy Trứ")</f>
        <v>6k 109 Đặng Huy Trứ</v>
      </c>
      <c r="D104" s="118" t="str">
        <f>IFERROR(__xludf.DUMMYFUNCTION("""COMPUTED_VALUE"""),"chó")</f>
        <v>chó</v>
      </c>
      <c r="E104" s="119" t="str">
        <f>IFERROR(__xludf.DUMMYFUNCTION("""COMPUTED_VALUE"""),"cún")</f>
        <v>cún</v>
      </c>
    </row>
    <row r="105" ht="15.75" customHeight="1">
      <c r="A105" s="117" t="str">
        <f>IFERROR(__xludf.DUMMYFUNCTION("""COMPUTED_VALUE"""),"0945 343 780")</f>
        <v>0945 343 780</v>
      </c>
      <c r="B105" s="118" t="str">
        <f>IFERROR(__xludf.DUMMYFUNCTION("""COMPUTED_VALUE"""),"chị Ngọc ")</f>
        <v>chị Ngọc </v>
      </c>
      <c r="C105" s="118" t="str">
        <f>IFERROR(__xludf.DUMMYFUNCTION("""COMPUTED_VALUE"""),"388 Phan Bội Châu")</f>
        <v>388 Phan Bội Châu</v>
      </c>
      <c r="D105" s="118" t="str">
        <f>IFERROR(__xludf.DUMMYFUNCTION("""COMPUTED_VALUE"""),"chó")</f>
        <v>chó</v>
      </c>
      <c r="E105" s="118" t="str">
        <f>IFERROR(__xludf.DUMMYFUNCTION("""COMPUTED_VALUE"""),"tép")</f>
        <v>tép</v>
      </c>
    </row>
    <row r="106" ht="15.75" customHeight="1">
      <c r="A106" s="117" t="str">
        <f>IFERROR(__xludf.DUMMYFUNCTION("""COMPUTED_VALUE"""),"0918 569 206")</f>
        <v>0918 569 206</v>
      </c>
      <c r="B106" s="118" t="str">
        <f>IFERROR(__xludf.DUMMYFUNCTION("""COMPUTED_VALUE"""),"Chị yến")</f>
        <v>Chị yến</v>
      </c>
      <c r="C106" s="118" t="str">
        <f>IFERROR(__xludf.DUMMYFUNCTION("""COMPUTED_VALUE"""),"238 Phạm Thị Liên")</f>
        <v>238 Phạm Thị Liên</v>
      </c>
      <c r="D106" s="118" t="str">
        <f>IFERROR(__xludf.DUMMYFUNCTION("""COMPUTED_VALUE"""),"Chó")</f>
        <v>Chó</v>
      </c>
      <c r="E106" s="118" t="str">
        <f>IFERROR(__xludf.DUMMYFUNCTION("""COMPUTED_VALUE"""),"Tèo")</f>
        <v>Tèo</v>
      </c>
    </row>
    <row r="107" ht="15.75" customHeight="1">
      <c r="A107" s="117" t="str">
        <f>IFERROR(__xludf.DUMMYFUNCTION("""COMPUTED_VALUE"""),"0362 620 258")</f>
        <v>0362 620 258</v>
      </c>
      <c r="B107" s="118" t="str">
        <f>IFERROR(__xludf.DUMMYFUNCTION("""COMPUTED_VALUE"""),"Chú Trai")</f>
        <v>Chú Trai</v>
      </c>
      <c r="C107" s="118" t="str">
        <f>IFERROR(__xludf.DUMMYFUNCTION("""COMPUTED_VALUE"""),"Hương Hồ")</f>
        <v>Hương Hồ</v>
      </c>
      <c r="D107" s="118" t="str">
        <f>IFERROR(__xludf.DUMMYFUNCTION("""COMPUTED_VALUE"""),"mèo")</f>
        <v>mèo</v>
      </c>
      <c r="E107" s="118" t="str">
        <f>IFERROR(__xludf.DUMMYFUNCTION("""COMPUTED_VALUE"""),"mèo")</f>
        <v>mèo</v>
      </c>
    </row>
    <row r="108" ht="15.75" customHeight="1">
      <c r="A108" s="117" t="str">
        <f>IFERROR(__xludf.DUMMYFUNCTION("""COMPUTED_VALUE"""),"0704 406 129")</f>
        <v>0704 406 129</v>
      </c>
      <c r="B108" s="118" t="str">
        <f>IFERROR(__xludf.DUMMYFUNCTION("""COMPUTED_VALUE"""),"Em phương")</f>
        <v>Em phương</v>
      </c>
      <c r="C108" s="118" t="str">
        <f>IFERROR(__xludf.DUMMYFUNCTION("""COMPUTED_VALUE"""),"Kim Long")</f>
        <v>Kim Long</v>
      </c>
      <c r="D108" s="118" t="str">
        <f>IFERROR(__xludf.DUMMYFUNCTION("""COMPUTED_VALUE"""),"chó")</f>
        <v>chó</v>
      </c>
      <c r="E108" s="118"/>
    </row>
    <row r="109" ht="15.75" customHeight="1">
      <c r="A109" s="117" t="str">
        <f>IFERROR(__xludf.DUMMYFUNCTION("""COMPUTED_VALUE"""),"0795 343 502")</f>
        <v>0795 343 502</v>
      </c>
      <c r="B109" s="118" t="str">
        <f>IFERROR(__xludf.DUMMYFUNCTION("""COMPUTED_VALUE"""),"chị Hiền")</f>
        <v>chị Hiền</v>
      </c>
      <c r="C109" s="118" t="str">
        <f>IFERROR(__xludf.DUMMYFUNCTION("""COMPUTED_VALUE"""),"252 Phan Bội Châu")</f>
        <v>252 Phan Bội Châu</v>
      </c>
      <c r="D109" s="118" t="str">
        <f>IFERROR(__xludf.DUMMYFUNCTION("""COMPUTED_VALUE"""),"chó")</f>
        <v>chó</v>
      </c>
      <c r="E109" s="118" t="str">
        <f>IFERROR(__xludf.DUMMYFUNCTION("""COMPUTED_VALUE"""),"mì tôm")</f>
        <v>mì tôm</v>
      </c>
    </row>
    <row r="110" ht="15.75" customHeight="1">
      <c r="A110" s="117" t="str">
        <f>IFERROR(__xludf.DUMMYFUNCTION("""COMPUTED_VALUE"""),"0905 653 577")</f>
        <v>0905 653 577</v>
      </c>
      <c r="B110" s="118" t="str">
        <f>IFERROR(__xludf.DUMMYFUNCTION("""COMPUTED_VALUE"""),"Em Huy")</f>
        <v>Em Huy</v>
      </c>
      <c r="C110" s="118" t="str">
        <f>IFERROR(__xludf.DUMMYFUNCTION("""COMPUTED_VALUE"""),"120 Điện Biên Phủ ")</f>
        <v>120 Điện Biên Phủ </v>
      </c>
      <c r="D110" s="118" t="str">
        <f>IFERROR(__xludf.DUMMYFUNCTION("""COMPUTED_VALUE"""),"mèo")</f>
        <v>mèo</v>
      </c>
      <c r="E110" s="118"/>
    </row>
    <row r="111" ht="15.75" customHeight="1">
      <c r="A111" s="117" t="str">
        <f>IFERROR(__xludf.DUMMYFUNCTION("""COMPUTED_VALUE"""),"0777 444 683")</f>
        <v>0777 444 683</v>
      </c>
      <c r="B111" s="118" t="str">
        <f>IFERROR(__xludf.DUMMYFUNCTION("""COMPUTED_VALUE"""),"E minh")</f>
        <v>E minh</v>
      </c>
      <c r="C111" s="118"/>
      <c r="D111" s="118" t="str">
        <f>IFERROR(__xludf.DUMMYFUNCTION("""COMPUTED_VALUE"""),"mèo")</f>
        <v>mèo</v>
      </c>
      <c r="E111" s="118" t="str">
        <f>IFERROR(__xludf.DUMMYFUNCTION("""COMPUTED_VALUE"""),"mèo")</f>
        <v>mèo</v>
      </c>
    </row>
    <row r="112" ht="15.75" customHeight="1">
      <c r="A112" s="117" t="str">
        <f>IFERROR(__xludf.DUMMYFUNCTION("""COMPUTED_VALUE"""),"0706 273 839")</f>
        <v>0706 273 839</v>
      </c>
      <c r="B112" s="118" t="str">
        <f>IFERROR(__xludf.DUMMYFUNCTION("""COMPUTED_VALUE"""),"Anh Hoàng")</f>
        <v>Anh Hoàng</v>
      </c>
      <c r="C112" s="118" t="str">
        <f>IFERROR(__xludf.DUMMYFUNCTION("""COMPUTED_VALUE"""),"47 Nguyễn Hoàng ")</f>
        <v>47 Nguyễn Hoàng </v>
      </c>
      <c r="D112" s="118" t="str">
        <f>IFERROR(__xludf.DUMMYFUNCTION("""COMPUTED_VALUE"""),"mèo")</f>
        <v>mèo</v>
      </c>
      <c r="E112" s="118" t="str">
        <f>IFERROR(__xludf.DUMMYFUNCTION("""COMPUTED_VALUE"""),"ú")</f>
        <v>ú</v>
      </c>
    </row>
    <row r="113" ht="15.75" customHeight="1">
      <c r="A113" s="117" t="str">
        <f>IFERROR(__xludf.DUMMYFUNCTION("""COMPUTED_VALUE"""),"0905 120 788")</f>
        <v>0905 120 788</v>
      </c>
      <c r="B113" s="118" t="str">
        <f>IFERROR(__xludf.DUMMYFUNCTION("""COMPUTED_VALUE"""),"C thảo")</f>
        <v>C thảo</v>
      </c>
      <c r="C113" s="118" t="str">
        <f>IFERROR(__xludf.DUMMYFUNCTION("""COMPUTED_VALUE"""),"138 vạn xuân")</f>
        <v>138 vạn xuân</v>
      </c>
      <c r="D113" s="118" t="str">
        <f>IFERROR(__xludf.DUMMYFUNCTION("""COMPUTED_VALUE"""),"chó")</f>
        <v>chó</v>
      </c>
      <c r="E113" s="118" t="str">
        <f>IFERROR(__xludf.DUMMYFUNCTION("""COMPUTED_VALUE"""),"nâu")</f>
        <v>nâu</v>
      </c>
    </row>
    <row r="114" ht="15.75" customHeight="1">
      <c r="A114" s="117" t="str">
        <f>IFERROR(__xludf.DUMMYFUNCTION("""COMPUTED_VALUE"""),"0769 797 096")</f>
        <v>0769 797 096</v>
      </c>
      <c r="B114" s="118" t="str">
        <f>IFERROR(__xludf.DUMMYFUNCTION("""COMPUTED_VALUE"""),"Anh Đức")</f>
        <v>Anh Đức</v>
      </c>
      <c r="C114" s="118" t="str">
        <f>IFERROR(__xludf.DUMMYFUNCTION("""COMPUTED_VALUE"""),"nguyễn trường tộ")</f>
        <v>nguyễn trường tộ</v>
      </c>
      <c r="D114" s="118" t="str">
        <f>IFERROR(__xludf.DUMMYFUNCTION("""COMPUTED_VALUE"""),"chó")</f>
        <v>chó</v>
      </c>
      <c r="E114" s="118" t="str">
        <f>IFERROR(__xludf.DUMMYFUNCTION("""COMPUTED_VALUE"""),"gấu/mực")</f>
        <v>gấu/mực</v>
      </c>
    </row>
    <row r="115" ht="15.75" customHeight="1">
      <c r="A115" s="117" t="str">
        <f>IFERROR(__xludf.DUMMYFUNCTION("""COMPUTED_VALUE"""),"0372 033 490")</f>
        <v>0372 033 490</v>
      </c>
      <c r="B115" s="118" t="str">
        <f>IFERROR(__xludf.DUMMYFUNCTION("""COMPUTED_VALUE"""),"Em Thọ")</f>
        <v>Em Thọ</v>
      </c>
      <c r="C115" s="118"/>
      <c r="D115" s="118"/>
      <c r="E115" s="118"/>
    </row>
    <row r="116" ht="15.75" customHeight="1">
      <c r="A116" s="117" t="str">
        <f>IFERROR(__xludf.DUMMYFUNCTION("""COMPUTED_VALUE"""),"0935 403 717")</f>
        <v>0935 403 717</v>
      </c>
      <c r="B116" s="118"/>
      <c r="C116" s="118" t="str">
        <f>IFERROR(__xludf.DUMMYFUNCTION("""COMPUTED_VALUE"""),"Ngõ 29/245A Bùi Thị Xuân")</f>
        <v>Ngõ 29/245A Bùi Thị Xuân</v>
      </c>
      <c r="D116" s="118" t="str">
        <f>IFERROR(__xludf.DUMMYFUNCTION("""COMPUTED_VALUE"""),"Mèo")</f>
        <v>Mèo</v>
      </c>
      <c r="E116" s="118"/>
    </row>
    <row r="117" ht="15.75" customHeight="1">
      <c r="A117" s="117" t="str">
        <f>IFERROR(__xludf.DUMMYFUNCTION("""COMPUTED_VALUE"""),"0905 510 791")</f>
        <v>0905 510 791</v>
      </c>
      <c r="B117" s="118" t="str">
        <f>IFERROR(__xludf.DUMMYFUNCTION("""COMPUTED_VALUE"""),"Anh Định")</f>
        <v>Anh Định</v>
      </c>
      <c r="C117" s="118" t="str">
        <f>IFERROR(__xludf.DUMMYFUNCTION("""COMPUTED_VALUE"""),"85 Bùi Thị Xuân")</f>
        <v>85 Bùi Thị Xuân</v>
      </c>
      <c r="D117" s="118" t="str">
        <f>IFERROR(__xludf.DUMMYFUNCTION("""COMPUTED_VALUE"""),"chó ")</f>
        <v>chó </v>
      </c>
      <c r="E117" s="118" t="str">
        <f>IFERROR(__xludf.DUMMYFUNCTION("""COMPUTED_VALUE"""),"Lu")</f>
        <v>Lu</v>
      </c>
    </row>
    <row r="118" ht="15.75" customHeight="1">
      <c r="A118" s="117" t="str">
        <f>IFERROR(__xludf.DUMMYFUNCTION("""COMPUTED_VALUE"""),"0931 941 341")</f>
        <v>0931 941 341</v>
      </c>
      <c r="B118" s="118" t="str">
        <f>IFERROR(__xludf.DUMMYFUNCTION("""COMPUTED_VALUE"""),"Minh Châu")</f>
        <v>Minh Châu</v>
      </c>
      <c r="C118" s="118"/>
      <c r="D118" s="118" t="str">
        <f>IFERROR(__xludf.DUMMYFUNCTION("""COMPUTED_VALUE"""),"chó")</f>
        <v>chó</v>
      </c>
      <c r="E118" s="119" t="str">
        <f>IFERROR(__xludf.DUMMYFUNCTION("""COMPUTED_VALUE"""),"Gấu")</f>
        <v>Gấu</v>
      </c>
    </row>
    <row r="119" ht="15.75" customHeight="1">
      <c r="A119" s="117" t="str">
        <f>IFERROR(__xludf.DUMMYFUNCTION("""COMPUTED_VALUE"""),"0945 544 847")</f>
        <v>0945 544 847</v>
      </c>
      <c r="B119" s="118" t="str">
        <f>IFERROR(__xludf.DUMMYFUNCTION("""COMPUTED_VALUE"""),"Dì Duyệt")</f>
        <v>Dì Duyệt</v>
      </c>
      <c r="C119" s="118" t="str">
        <f>IFERROR(__xludf.DUMMYFUNCTION("""COMPUTED_VALUE"""),"413 Nguyễn Phúc Lan")</f>
        <v>413 Nguyễn Phúc Lan</v>
      </c>
      <c r="D119" s="118" t="str">
        <f>IFERROR(__xludf.DUMMYFUNCTION("""COMPUTED_VALUE"""),"Chó ")</f>
        <v>Chó </v>
      </c>
      <c r="E119" s="118" t="str">
        <f>IFERROR(__xludf.DUMMYFUNCTION("""COMPUTED_VALUE"""),"Lít")</f>
        <v>Lít</v>
      </c>
    </row>
    <row r="120" ht="15.75" customHeight="1">
      <c r="A120" s="117" t="str">
        <f>IFERROR(__xludf.DUMMYFUNCTION("""COMPUTED_VALUE"""),"0326 143 434")</f>
        <v>0326 143 434</v>
      </c>
      <c r="B120" s="118" t="str">
        <f>IFERROR(__xludf.DUMMYFUNCTION("""COMPUTED_VALUE"""),"Anh Toàn")</f>
        <v>Anh Toàn</v>
      </c>
      <c r="C120" s="118" t="str">
        <f>IFERROR(__xludf.DUMMYFUNCTION("""COMPUTED_VALUE"""),"22k24 chế lan viên")</f>
        <v>22k24 chế lan viên</v>
      </c>
      <c r="D120" s="118" t="str">
        <f>IFERROR(__xludf.DUMMYFUNCTION("""COMPUTED_VALUE"""),"chó")</f>
        <v>chó</v>
      </c>
      <c r="E120" s="118" t="str">
        <f>IFERROR(__xludf.DUMMYFUNCTION("""COMPUTED_VALUE"""),"fox")</f>
        <v>fox</v>
      </c>
    </row>
    <row r="121" ht="15.75" customHeight="1">
      <c r="A121" s="117" t="str">
        <f>IFERROR(__xludf.DUMMYFUNCTION("""COMPUTED_VALUE"""),"0905 151 533")</f>
        <v>0905 151 533</v>
      </c>
      <c r="B121" s="118" t="str">
        <f>IFERROR(__xludf.DUMMYFUNCTION("""COMPUTED_VALUE"""),"chị Thơ")</f>
        <v>chị Thơ</v>
      </c>
      <c r="C121" s="118" t="str">
        <f>IFERROR(__xludf.DUMMYFUNCTION("""COMPUTED_VALUE"""),"C31 Dương Khuê")</f>
        <v>C31 Dương Khuê</v>
      </c>
      <c r="D121" s="118" t="str">
        <f>IFERROR(__xludf.DUMMYFUNCTION("""COMPUTED_VALUE"""),"chó")</f>
        <v>chó</v>
      </c>
      <c r="E121" s="118" t="str">
        <f>IFERROR(__xludf.DUMMYFUNCTION("""COMPUTED_VALUE"""),"lu")</f>
        <v>lu</v>
      </c>
    </row>
    <row r="122" ht="15.75" customHeight="1">
      <c r="A122" s="117" t="str">
        <f>IFERROR(__xludf.DUMMYFUNCTION("""COMPUTED_VALUE"""),"0856 818 999")</f>
        <v>0856 818 999</v>
      </c>
      <c r="B122" s="118" t="str">
        <f>IFERROR(__xludf.DUMMYFUNCTION("""COMPUTED_VALUE"""),"Chị Như Ý")</f>
        <v>Chị Như Ý</v>
      </c>
      <c r="C122" s="118" t="str">
        <f>IFERROR(__xludf.DUMMYFUNCTION("""COMPUTED_VALUE"""),"207 Bà Triệu")</f>
        <v>207 Bà Triệu</v>
      </c>
      <c r="D122" s="118" t="str">
        <f>IFERROR(__xludf.DUMMYFUNCTION("""COMPUTED_VALUE"""),"chó")</f>
        <v>chó</v>
      </c>
      <c r="E122" s="118" t="str">
        <f>IFERROR(__xludf.DUMMYFUNCTION("""COMPUTED_VALUE"""),"xù ")</f>
        <v>xù </v>
      </c>
    </row>
    <row r="123" ht="15.75" customHeight="1">
      <c r="A123" s="117" t="str">
        <f>IFERROR(__xludf.DUMMYFUNCTION("""COMPUTED_VALUE"""),"0945 988 685")</f>
        <v>0945 988 685</v>
      </c>
      <c r="B123" s="118" t="str">
        <f>IFERROR(__xludf.DUMMYFUNCTION("""COMPUTED_VALUE"""),"Chị Hải")</f>
        <v>Chị Hải</v>
      </c>
      <c r="C123" s="118" t="str">
        <f>IFERROR(__xludf.DUMMYFUNCTION("""COMPUTED_VALUE"""),"117 Đào Tấn")</f>
        <v>117 Đào Tấn</v>
      </c>
      <c r="D123" s="118" t="str">
        <f>IFERROR(__xludf.DUMMYFUNCTION("""COMPUTED_VALUE"""),"mèo")</f>
        <v>mèo</v>
      </c>
      <c r="E123" s="118" t="str">
        <f>IFERROR(__xludf.DUMMYFUNCTION("""COMPUTED_VALUE"""),"Cash")</f>
        <v>Cash</v>
      </c>
    </row>
    <row r="124" ht="15.75" customHeight="1">
      <c r="A124" s="117" t="str">
        <f>IFERROR(__xludf.DUMMYFUNCTION("""COMPUTED_VALUE"""),"0768 586 325")</f>
        <v>0768 586 325</v>
      </c>
      <c r="B124" s="118" t="str">
        <f>IFERROR(__xludf.DUMMYFUNCTION("""COMPUTED_VALUE"""),"Thu Hà")</f>
        <v>Thu Hà</v>
      </c>
      <c r="C124" s="118" t="str">
        <f>IFERROR(__xludf.DUMMYFUNCTION("""COMPUTED_VALUE"""),"K96 Thiên Tha")</f>
        <v>K96 Thiên Tha</v>
      </c>
      <c r="D124" s="118" t="str">
        <f>IFERROR(__xludf.DUMMYFUNCTION("""COMPUTED_VALUE"""),"Chó")</f>
        <v>Chó</v>
      </c>
      <c r="E124" s="118" t="str">
        <f>IFERROR(__xludf.DUMMYFUNCTION("""COMPUTED_VALUE"""),"Nâu")</f>
        <v>Nâu</v>
      </c>
    </row>
    <row r="125" ht="15.75" customHeight="1">
      <c r="A125" s="117" t="str">
        <f>IFERROR(__xludf.DUMMYFUNCTION("""COMPUTED_VALUE"""),"0347 811 798")</f>
        <v>0347 811 798</v>
      </c>
      <c r="B125" s="118" t="str">
        <f>IFERROR(__xludf.DUMMYFUNCTION("""COMPUTED_VALUE"""),"Anh Quang")</f>
        <v>Anh Quang</v>
      </c>
      <c r="C125" s="118" t="str">
        <f>IFERROR(__xludf.DUMMYFUNCTION("""COMPUTED_VALUE"""),"37 Bùi Thị Xuân")</f>
        <v>37 Bùi Thị Xuân</v>
      </c>
      <c r="D125" s="118" t="str">
        <f>IFERROR(__xludf.DUMMYFUNCTION("""COMPUTED_VALUE"""),"Mèo")</f>
        <v>Mèo</v>
      </c>
      <c r="E125" s="118" t="str">
        <f>IFERROR(__xludf.DUMMYFUNCTION("""COMPUTED_VALUE"""),"Gấu")</f>
        <v>Gấu</v>
      </c>
    </row>
    <row r="126" ht="15.75" customHeight="1">
      <c r="A126" s="117" t="str">
        <f>IFERROR(__xludf.DUMMYFUNCTION("""COMPUTED_VALUE"""),"0978 981 007")</f>
        <v>0978 981 007</v>
      </c>
      <c r="B126" s="118" t="str">
        <f>IFERROR(__xludf.DUMMYFUNCTION("""COMPUTED_VALUE"""),"Chị Linh")</f>
        <v>Chị Linh</v>
      </c>
      <c r="C126" s="118"/>
      <c r="D126" s="118" t="str">
        <f>IFERROR(__xludf.DUMMYFUNCTION("""COMPUTED_VALUE"""),"Chó")</f>
        <v>Chó</v>
      </c>
      <c r="E126" s="118" t="str">
        <f>IFERROR(__xludf.DUMMYFUNCTION("""COMPUTED_VALUE"""),"Bông")</f>
        <v>Bông</v>
      </c>
    </row>
    <row r="127" ht="15.75" customHeight="1">
      <c r="A127" s="117" t="str">
        <f>IFERROR(__xludf.DUMMYFUNCTION("""COMPUTED_VALUE"""),"0787 991 223")</f>
        <v>0787 991 223</v>
      </c>
      <c r="B127" s="118" t="str">
        <f>IFERROR(__xludf.DUMMYFUNCTION("""COMPUTED_VALUE"""),"chị Yến")</f>
        <v>chị Yến</v>
      </c>
      <c r="C127" s="118" t="str">
        <f>IFERROR(__xludf.DUMMYFUNCTION("""COMPUTED_VALUE""")," nguyễn tất Thành")</f>
        <v> nguyễn tất Thành</v>
      </c>
      <c r="D127" s="118" t="str">
        <f>IFERROR(__xludf.DUMMYFUNCTION("""COMPUTED_VALUE"""),"chó")</f>
        <v>chó</v>
      </c>
      <c r="E127" s="118"/>
    </row>
    <row r="128" ht="15.75" customHeight="1">
      <c r="A128" s="117">
        <f>IFERROR(__xludf.DUMMYFUNCTION("""COMPUTED_VALUE"""),9.24489448E8)</f>
        <v>924489448</v>
      </c>
      <c r="B128" s="118" t="str">
        <f>IFERROR(__xludf.DUMMYFUNCTION("""COMPUTED_VALUE"""),"Anh Huy")</f>
        <v>Anh Huy</v>
      </c>
      <c r="C128" s="118" t="str">
        <f>IFERROR(__xludf.DUMMYFUNCTION("""COMPUTED_VALUE"""),"2/2/17 vạn xuân")</f>
        <v>2/2/17 vạn xuân</v>
      </c>
      <c r="D128" s="118" t="str">
        <f>IFERROR(__xludf.DUMMYFUNCTION("""COMPUTED_VALUE"""),"chó")</f>
        <v>chó</v>
      </c>
      <c r="E128" s="118" t="str">
        <f>IFERROR(__xludf.DUMMYFUNCTION("""COMPUTED_VALUE"""),"Mun")</f>
        <v>Mun</v>
      </c>
    </row>
    <row r="129" ht="15.75" customHeight="1">
      <c r="A129" s="117" t="str">
        <f>IFERROR(__xludf.DUMMYFUNCTION("""COMPUTED_VALUE"""),"0778 226 979")</f>
        <v>0778 226 979</v>
      </c>
      <c r="B129" s="118" t="str">
        <f>IFERROR(__xludf.DUMMYFUNCTION("""COMPUTED_VALUE"""),"Anh Lê Thiện")</f>
        <v>Anh Lê Thiện</v>
      </c>
      <c r="C129" s="118"/>
      <c r="D129" s="118" t="str">
        <f>IFERROR(__xludf.DUMMYFUNCTION("""COMPUTED_VALUE"""),"chó")</f>
        <v>chó</v>
      </c>
      <c r="E129" s="118"/>
    </row>
    <row r="130" ht="15.75" customHeight="1">
      <c r="A130" s="117" t="str">
        <f>IFERROR(__xludf.DUMMYFUNCTION("""COMPUTED_VALUE"""),"0345 620 505")</f>
        <v>0345 620 505</v>
      </c>
      <c r="B130" s="118" t="str">
        <f>IFERROR(__xludf.DUMMYFUNCTION("""COMPUTED_VALUE"""),"Anh Tú")</f>
        <v>Anh Tú</v>
      </c>
      <c r="C130" s="118" t="str">
        <f>IFERROR(__xludf.DUMMYFUNCTION("""COMPUTED_VALUE"""),"25 Nguyễn Hoàng")</f>
        <v>25 Nguyễn Hoàng</v>
      </c>
      <c r="D130" s="118" t="str">
        <f>IFERROR(__xludf.DUMMYFUNCTION("""COMPUTED_VALUE"""),"chim")</f>
        <v>chim</v>
      </c>
      <c r="E130" s="118"/>
    </row>
    <row r="131" ht="15.75" customHeight="1">
      <c r="A131" s="117" t="str">
        <f>IFERROR(__xludf.DUMMYFUNCTION("""COMPUTED_VALUE"""),"0783 940 775")</f>
        <v>0783 940 775</v>
      </c>
      <c r="B131" s="118" t="str">
        <f>IFERROR(__xludf.DUMMYFUNCTION("""COMPUTED_VALUE"""),"Khắc Hiếu")</f>
        <v>Khắc Hiếu</v>
      </c>
      <c r="C131" s="118" t="str">
        <f>IFERROR(__xludf.DUMMYFUNCTION("""COMPUTED_VALUE"""),"Kim Long")</f>
        <v>Kim Long</v>
      </c>
      <c r="D131" s="118" t="str">
        <f>IFERROR(__xludf.DUMMYFUNCTION("""COMPUTED_VALUE"""),"chó ")</f>
        <v>chó </v>
      </c>
      <c r="E131" s="118" t="str">
        <f>IFERROR(__xludf.DUMMYFUNCTION("""COMPUTED_VALUE"""),"chôm")</f>
        <v>chôm</v>
      </c>
    </row>
    <row r="132" ht="15.75" customHeight="1">
      <c r="A132" s="117" t="str">
        <f>IFERROR(__xludf.DUMMYFUNCTION("""COMPUTED_VALUE"""),"0905 081 041")</f>
        <v>0905 081 041</v>
      </c>
      <c r="B132" s="118" t="str">
        <f>IFERROR(__xludf.DUMMYFUNCTION("""COMPUTED_VALUE"""),"Chị Lan Anh")</f>
        <v>Chị Lan Anh</v>
      </c>
      <c r="C132" s="118" t="str">
        <f>IFERROR(__xludf.DUMMYFUNCTION("""COMPUTED_VALUE"""),"28 Phạm Thị Liên")</f>
        <v>28 Phạm Thị Liên</v>
      </c>
      <c r="D132" s="118" t="str">
        <f>IFERROR(__xludf.DUMMYFUNCTION("""COMPUTED_VALUE"""),"chó ")</f>
        <v>chó </v>
      </c>
      <c r="E132" s="118" t="str">
        <f>IFERROR(__xludf.DUMMYFUNCTION("""COMPUTED_VALUE"""),"Đốm")</f>
        <v>Đốm</v>
      </c>
    </row>
    <row r="133" ht="15.75" customHeight="1">
      <c r="A133" s="117" t="str">
        <f>IFERROR(__xludf.DUMMYFUNCTION("""COMPUTED_VALUE"""),"0837 579 525")</f>
        <v>0837 579 525</v>
      </c>
      <c r="B133" s="118" t="str">
        <f>IFERROR(__xludf.DUMMYFUNCTION("""COMPUTED_VALUE"""),"Anh Trinh")</f>
        <v>Anh Trinh</v>
      </c>
      <c r="C133" s="118" t="str">
        <f>IFERROR(__xludf.DUMMYFUNCTION("""COMPUTED_VALUE"""),"1/70 Mạc Đĩnh Chi")</f>
        <v>1/70 Mạc Đĩnh Chi</v>
      </c>
      <c r="D133" s="118"/>
      <c r="E133" s="119"/>
    </row>
    <row r="134" ht="15.75" customHeight="1">
      <c r="A134" s="117">
        <f>IFERROR(__xludf.DUMMYFUNCTION("""COMPUTED_VALUE"""),9.03020425E8)</f>
        <v>903020425</v>
      </c>
      <c r="B134" s="118" t="str">
        <f>IFERROR(__xludf.DUMMYFUNCTION("""COMPUTED_VALUE"""),"nguyễn phan  hà my")</f>
        <v>nguyễn phan  hà my</v>
      </c>
      <c r="C134" s="118" t="str">
        <f>IFERROR(__xludf.DUMMYFUNCTION("""COMPUTED_VALUE"""),"15/79 phạm thị liên")</f>
        <v>15/79 phạm thị liên</v>
      </c>
      <c r="D134" s="118" t="str">
        <f>IFERROR(__xludf.DUMMYFUNCTION("""COMPUTED_VALUE"""),"chó")</f>
        <v>chó</v>
      </c>
      <c r="E134" s="118" t="str">
        <f>IFERROR(__xludf.DUMMYFUNCTION("""COMPUTED_VALUE"""),"lu")</f>
        <v>lu</v>
      </c>
    </row>
    <row r="135" ht="15.75" customHeight="1">
      <c r="A135" s="117" t="str">
        <f>IFERROR(__xludf.DUMMYFUNCTION("""COMPUTED_VALUE"""),"0784 216 044")</f>
        <v>0784 216 044</v>
      </c>
      <c r="B135" s="118" t="str">
        <f>IFERROR(__xludf.DUMMYFUNCTION("""COMPUTED_VALUE"""),"chị Nhật Vy")</f>
        <v>chị Nhật Vy</v>
      </c>
      <c r="C135" s="118" t="str">
        <f>IFERROR(__xludf.DUMMYFUNCTION("""COMPUTED_VALUE"""),"88B tôn thất thiệp")</f>
        <v>88B tôn thất thiệp</v>
      </c>
      <c r="D135" s="118" t="str">
        <f>IFERROR(__xludf.DUMMYFUNCTION("""COMPUTED_VALUE"""),"chó")</f>
        <v>chó</v>
      </c>
      <c r="E135" s="118" t="str">
        <f>IFERROR(__xludf.DUMMYFUNCTION("""COMPUTED_VALUE"""),"Hí")</f>
        <v>Hí</v>
      </c>
    </row>
    <row r="136" ht="15.75" customHeight="1">
      <c r="A136" s="117" t="str">
        <f>IFERROR(__xludf.DUMMYFUNCTION("""COMPUTED_VALUE"""),"0942 305 772")</f>
        <v>0942 305 772</v>
      </c>
      <c r="B136" s="118" t="str">
        <f>IFERROR(__xludf.DUMMYFUNCTION("""COMPUTED_VALUE"""),"Mệ Nết")</f>
        <v>Mệ Nết</v>
      </c>
      <c r="C136" s="118" t="str">
        <f>IFERROR(__xludf.DUMMYFUNCTION("""COMPUTED_VALUE"""),"74 Trường Chinh")</f>
        <v>74 Trường Chinh</v>
      </c>
      <c r="D136" s="118" t="str">
        <f>IFERROR(__xludf.DUMMYFUNCTION("""COMPUTED_VALUE"""),"chó")</f>
        <v>chó</v>
      </c>
      <c r="E136" s="118" t="str">
        <f>IFERROR(__xludf.DUMMYFUNCTION("""COMPUTED_VALUE"""),"lucky")</f>
        <v>lucky</v>
      </c>
    </row>
    <row r="137" ht="15.75" customHeight="1">
      <c r="A137" s="117" t="str">
        <f>IFERROR(__xludf.DUMMYFUNCTION("""COMPUTED_VALUE"""),"0905 563 662")</f>
        <v>0905 563 662</v>
      </c>
      <c r="B137" s="118" t="str">
        <f>IFERROR(__xludf.DUMMYFUNCTION("""COMPUTED_VALUE"""),"Anh Dũng ")</f>
        <v>Anh Dũng </v>
      </c>
      <c r="C137" s="118" t="str">
        <f>IFERROR(__xludf.DUMMYFUNCTION("""COMPUTED_VALUE"""),"57 Lê Duẩn")</f>
        <v>57 Lê Duẩn</v>
      </c>
      <c r="D137" s="118" t="str">
        <f>IFERROR(__xludf.DUMMYFUNCTION("""COMPUTED_VALUE"""),"chó")</f>
        <v>chó</v>
      </c>
      <c r="E137" s="119" t="str">
        <f>IFERROR(__xludf.DUMMYFUNCTION("""COMPUTED_VALUE"""),"Ken")</f>
        <v>Ken</v>
      </c>
    </row>
    <row r="138" ht="15.75" customHeight="1">
      <c r="A138" s="120" t="str">
        <f>IFERROR(__xludf.DUMMYFUNCTION("""COMPUTED_VALUE"""),"0635 276 638")</f>
        <v>0635 276 638</v>
      </c>
      <c r="B138" s="121" t="str">
        <f>IFERROR(__xludf.DUMMYFUNCTION("""COMPUTED_VALUE"""),"Chị Nhật Trang")</f>
        <v>Chị Nhật Trang</v>
      </c>
      <c r="C138" s="121" t="str">
        <f>IFERROR(__xludf.DUMMYFUNCTION("""COMPUTED_VALUE"""),"18 Huỳnh Đình Trúc")</f>
        <v>18 Huỳnh Đình Trúc</v>
      </c>
      <c r="D138" s="121" t="str">
        <f>IFERROR(__xludf.DUMMYFUNCTION("""COMPUTED_VALUE"""),"Chó")</f>
        <v>Chó</v>
      </c>
      <c r="E138" s="121" t="str">
        <f>IFERROR(__xludf.DUMMYFUNCTION("""COMPUTED_VALUE"""),"Cafe")</f>
        <v>Cafe</v>
      </c>
    </row>
    <row r="139" ht="15.75" customHeight="1">
      <c r="A139" s="120" t="str">
        <f>IFERROR(__xludf.DUMMYFUNCTION("""COMPUTED_VALUE"""),"0378 096 686")</f>
        <v>0378 096 686</v>
      </c>
      <c r="B139" s="121" t="str">
        <f>IFERROR(__xludf.DUMMYFUNCTION("""COMPUTED_VALUE"""),"Chị Hoa ")</f>
        <v>Chị Hoa </v>
      </c>
      <c r="C139" s="121" t="str">
        <f>IFERROR(__xludf.DUMMYFUNCTION("""COMPUTED_VALUE"""),"47 Minh Mạng")</f>
        <v>47 Minh Mạng</v>
      </c>
      <c r="D139" s="121" t="str">
        <f>IFERROR(__xludf.DUMMYFUNCTION("""COMPUTED_VALUE"""),"Chó")</f>
        <v>Chó</v>
      </c>
      <c r="E139" s="121" t="str">
        <f>IFERROR(__xludf.DUMMYFUNCTION("""COMPUTED_VALUE"""),"Ngáo")</f>
        <v>Ngáo</v>
      </c>
    </row>
    <row r="140" ht="15.75" customHeight="1">
      <c r="A140" s="120" t="str">
        <f>IFERROR(__xludf.DUMMYFUNCTION("""COMPUTED_VALUE"""),"0842 472 099")</f>
        <v>0842 472 099</v>
      </c>
      <c r="B140" s="121" t="str">
        <f>IFERROR(__xludf.DUMMYFUNCTION("""COMPUTED_VALUE"""),"Chị Diệu")</f>
        <v>Chị Diệu</v>
      </c>
      <c r="C140" s="121" t="str">
        <f>IFERROR(__xludf.DUMMYFUNCTION("""COMPUTED_VALUE"""),"28 Xuân Diệu")</f>
        <v>28 Xuân Diệu</v>
      </c>
      <c r="D140" s="121" t="str">
        <f>IFERROR(__xludf.DUMMYFUNCTION("""COMPUTED_VALUE"""),"Chó ")</f>
        <v>Chó </v>
      </c>
      <c r="E140" s="121" t="str">
        <f>IFERROR(__xludf.DUMMYFUNCTION("""COMPUTED_VALUE"""),"Tôm")</f>
        <v>Tôm</v>
      </c>
    </row>
    <row r="141" ht="15.75" customHeight="1">
      <c r="A141" s="120">
        <f>IFERROR(__xludf.DUMMYFUNCTION("""COMPUTED_VALUE"""),9.055733786E9)</f>
        <v>9055733786</v>
      </c>
      <c r="B141" s="121" t="str">
        <f>IFERROR(__xludf.DUMMYFUNCTION("""COMPUTED_VALUE"""),"E Uyên")</f>
        <v>E Uyên</v>
      </c>
      <c r="C141" s="121" t="str">
        <f>IFERROR(__xludf.DUMMYFUNCTION("""COMPUTED_VALUE"""),"180 Lý Nam Đế")</f>
        <v>180 Lý Nam Đế</v>
      </c>
      <c r="D141" s="121" t="str">
        <f>IFERROR(__xludf.DUMMYFUNCTION("""COMPUTED_VALUE"""),"Chó")</f>
        <v>Chó</v>
      </c>
      <c r="E141" s="121" t="str">
        <f>IFERROR(__xludf.DUMMYFUNCTION("""COMPUTED_VALUE"""),"Lạc")</f>
        <v>Lạc</v>
      </c>
    </row>
    <row r="142" ht="15.75" customHeight="1">
      <c r="A142" s="120" t="str">
        <f>IFERROR(__xludf.DUMMYFUNCTION("""COMPUTED_VALUE"""),"0345 351 090")</f>
        <v>0345 351 090</v>
      </c>
      <c r="B142" s="121" t="str">
        <f>IFERROR(__xludf.DUMMYFUNCTION("""COMPUTED_VALUE"""),"Nguyễn Thị Phương Nhi")</f>
        <v>Nguyễn Thị Phương Nhi</v>
      </c>
      <c r="C142" s="121" t="str">
        <f>IFERROR(__xludf.DUMMYFUNCTION("""COMPUTED_VALUE"""),"140 Lý Nam Đế ")</f>
        <v>140 Lý Nam Đế </v>
      </c>
      <c r="D142" s="121" t="str">
        <f>IFERROR(__xludf.DUMMYFUNCTION("""COMPUTED_VALUE"""),"chó ")</f>
        <v>chó </v>
      </c>
      <c r="E142" s="121" t="str">
        <f>IFERROR(__xludf.DUMMYFUNCTION("""COMPUTED_VALUE"""),"Coca")</f>
        <v>Coca</v>
      </c>
    </row>
    <row r="143" ht="15.75" customHeight="1">
      <c r="A143" s="120" t="str">
        <f>IFERROR(__xludf.DUMMYFUNCTION("""COMPUTED_VALUE"""),"0707 099 745")</f>
        <v>0707 099 745</v>
      </c>
      <c r="B143" s="121" t="str">
        <f>IFERROR(__xludf.DUMMYFUNCTION("""COMPUTED_VALUE"""),"Em toàn")</f>
        <v>Em toàn</v>
      </c>
      <c r="C143" s="121" t="str">
        <f>IFERROR(__xludf.DUMMYFUNCTION("""COMPUTED_VALUE"""),"130 kim long")</f>
        <v>130 kim long</v>
      </c>
      <c r="D143" s="121" t="str">
        <f>IFERROR(__xludf.DUMMYFUNCTION("""COMPUTED_VALUE"""),"chó")</f>
        <v>chó</v>
      </c>
      <c r="E143" s="121" t="str">
        <f>IFERROR(__xludf.DUMMYFUNCTION("""COMPUTED_VALUE"""),"kem")</f>
        <v>kem</v>
      </c>
    </row>
    <row r="144" ht="15.75" customHeight="1">
      <c r="A144" s="120" t="str">
        <f>IFERROR(__xludf.DUMMYFUNCTION("""COMPUTED_VALUE"""),"0787 679 757 ")</f>
        <v>0787 679 757 </v>
      </c>
      <c r="B144" s="121" t="str">
        <f>IFERROR(__xludf.DUMMYFUNCTION("""COMPUTED_VALUE"""),"Anh Long")</f>
        <v>Anh Long</v>
      </c>
      <c r="C144" s="121" t="str">
        <f>IFERROR(__xludf.DUMMYFUNCTION("""COMPUTED_VALUE"""),"87 Trường Chinh")</f>
        <v>87 Trường Chinh</v>
      </c>
      <c r="D144" s="121" t="str">
        <f>IFERROR(__xludf.DUMMYFUNCTION("""COMPUTED_VALUE"""),"mèo")</f>
        <v>mèo</v>
      </c>
      <c r="E144" s="121"/>
    </row>
    <row r="145" ht="15.75" customHeight="1">
      <c r="A145" s="120" t="str">
        <f>IFERROR(__xludf.DUMMYFUNCTION("""COMPUTED_VALUE"""),"0834 685 253")</f>
        <v>0834 685 253</v>
      </c>
      <c r="B145" s="121" t="str">
        <f>IFERROR(__xludf.DUMMYFUNCTION("""COMPUTED_VALUE"""),"Chị Thắm")</f>
        <v>Chị Thắm</v>
      </c>
      <c r="C145" s="121" t="str">
        <f>IFERROR(__xludf.DUMMYFUNCTION("""COMPUTED_VALUE"""),"nguyễn trường tộ")</f>
        <v>nguyễn trường tộ</v>
      </c>
      <c r="D145" s="121" t="str">
        <f>IFERROR(__xludf.DUMMYFUNCTION("""COMPUTED_VALUE"""),"mèo")</f>
        <v>mèo</v>
      </c>
      <c r="E145" s="119" t="str">
        <f>IFERROR(__xludf.DUMMYFUNCTION("""COMPUTED_VALUE"""),"nhỏ")</f>
        <v>nhỏ</v>
      </c>
    </row>
    <row r="146" ht="15.75" customHeight="1">
      <c r="A146" s="120" t="str">
        <f>IFERROR(__xludf.DUMMYFUNCTION("""COMPUTED_VALUE"""),"0865 525 242")</f>
        <v>0865 525 242</v>
      </c>
      <c r="B146" s="121" t="str">
        <f>IFERROR(__xludf.DUMMYFUNCTION("""COMPUTED_VALUE"""),"anh Ẩn")</f>
        <v>anh Ẩn</v>
      </c>
      <c r="C146" s="121" t="str">
        <f>IFERROR(__xludf.DUMMYFUNCTION("""COMPUTED_VALUE"""),"cầu Tuần-phật đứng")</f>
        <v>cầu Tuần-phật đứng</v>
      </c>
      <c r="D146" s="121" t="str">
        <f>IFERROR(__xludf.DUMMYFUNCTION("""COMPUTED_VALUE"""),"chó")</f>
        <v>chó</v>
      </c>
      <c r="E146" s="121" t="str">
        <f>IFERROR(__xludf.DUMMYFUNCTION("""COMPUTED_VALUE"""),"tô")</f>
        <v>tô</v>
      </c>
    </row>
    <row r="147" ht="15.75" customHeight="1">
      <c r="A147" s="120" t="str">
        <f>IFERROR(__xludf.DUMMYFUNCTION("""COMPUTED_VALUE"""),"0354 318 799")</f>
        <v>0354 318 799</v>
      </c>
      <c r="B147" s="121" t="str">
        <f>IFERROR(__xludf.DUMMYFUNCTION("""COMPUTED_VALUE"""),"Lê Quang Duy")</f>
        <v>Lê Quang Duy</v>
      </c>
      <c r="C147" s="121" t="str">
        <f>IFERROR(__xludf.DUMMYFUNCTION("""COMPUTED_VALUE"""),"21 kiệt 42 Nguyễn Phúc Tần ")</f>
        <v>21 kiệt 42 Nguyễn Phúc Tần </v>
      </c>
      <c r="D147" s="121" t="str">
        <f>IFERROR(__xludf.DUMMYFUNCTION("""COMPUTED_VALUE"""),"chó")</f>
        <v>chó</v>
      </c>
      <c r="E147" s="121" t="str">
        <f>IFERROR(__xludf.DUMMYFUNCTION("""COMPUTED_VALUE"""),"si")</f>
        <v>si</v>
      </c>
    </row>
    <row r="148" ht="15.75" customHeight="1">
      <c r="A148" s="120" t="str">
        <f>IFERROR(__xludf.DUMMYFUNCTION("""COMPUTED_VALUE"""),"0902 770 421")</f>
        <v>0902 770 421</v>
      </c>
      <c r="B148" s="121" t="str">
        <f>IFERROR(__xludf.DUMMYFUNCTION("""COMPUTED_VALUE"""),"Chị Nhi")</f>
        <v>Chị Nhi</v>
      </c>
      <c r="C148" s="121"/>
      <c r="D148" s="121" t="str">
        <f>IFERROR(__xludf.DUMMYFUNCTION("""COMPUTED_VALUE"""),"Mèo")</f>
        <v>Mèo</v>
      </c>
      <c r="E148" s="121" t="str">
        <f>IFERROR(__xludf.DUMMYFUNCTION("""COMPUTED_VALUE"""),"Cám")</f>
        <v>Cám</v>
      </c>
    </row>
    <row r="149" ht="15.75" customHeight="1">
      <c r="A149" s="120" t="str">
        <f>IFERROR(__xludf.DUMMYFUNCTION("""COMPUTED_VALUE"""),"0836 355 826")</f>
        <v>0836 355 826</v>
      </c>
      <c r="B149" s="121" t="str">
        <f>IFERROR(__xludf.DUMMYFUNCTION("""COMPUTED_VALUE"""),"Chị Diệp")</f>
        <v>Chị Diệp</v>
      </c>
      <c r="C149" s="121" t="str">
        <f>IFERROR(__xludf.DUMMYFUNCTION("""COMPUTED_VALUE"""),"Phường Thủy Xuân")</f>
        <v>Phường Thủy Xuân</v>
      </c>
      <c r="D149" s="121" t="str">
        <f>IFERROR(__xludf.DUMMYFUNCTION("""COMPUTED_VALUE"""),"Chó")</f>
        <v>Chó</v>
      </c>
      <c r="E149" s="121" t="str">
        <f>IFERROR(__xludf.DUMMYFUNCTION("""COMPUTED_VALUE"""),"Kem")</f>
        <v>Kem</v>
      </c>
    </row>
    <row r="150" ht="15.75" customHeight="1">
      <c r="A150" s="120" t="str">
        <f>IFERROR(__xludf.DUMMYFUNCTION("""COMPUTED_VALUE"""),"0377 647 202")</f>
        <v>0377 647 202</v>
      </c>
      <c r="B150" s="121" t="str">
        <f>IFERROR(__xludf.DUMMYFUNCTION("""COMPUTED_VALUE"""),"Dương Đình Cường")</f>
        <v>Dương Đình Cường</v>
      </c>
      <c r="C150" s="121" t="str">
        <f>IFERROR(__xludf.DUMMYFUNCTION("""COMPUTED_VALUE"""),"13/208 Lý Nam Đế")</f>
        <v>13/208 Lý Nam Đế</v>
      </c>
      <c r="D150" s="121" t="str">
        <f>IFERROR(__xludf.DUMMYFUNCTION("""COMPUTED_VALUE"""),"Chó")</f>
        <v>Chó</v>
      </c>
      <c r="E150" s="121"/>
    </row>
    <row r="151" ht="15.75" customHeight="1">
      <c r="A151" s="120" t="str">
        <f>IFERROR(__xludf.DUMMYFUNCTION("""COMPUTED_VALUE"""),"0384 668 350")</f>
        <v>0384 668 350</v>
      </c>
      <c r="B151" s="121" t="str">
        <f>IFERROR(__xludf.DUMMYFUNCTION("""COMPUTED_VALUE"""),"Anh Khoa")</f>
        <v>Anh Khoa</v>
      </c>
      <c r="C151" s="121" t="str">
        <f>IFERROR(__xludf.DUMMYFUNCTION("""COMPUTED_VALUE"""),"k307 Bùi thị Xuân")</f>
        <v>k307 Bùi thị Xuân</v>
      </c>
      <c r="D151" s="121" t="str">
        <f>IFERROR(__xludf.DUMMYFUNCTION("""COMPUTED_VALUE"""),"chó")</f>
        <v>chó</v>
      </c>
      <c r="E151" s="121"/>
    </row>
    <row r="152" ht="15.75" customHeight="1">
      <c r="A152" s="120" t="str">
        <f>IFERROR(__xludf.DUMMYFUNCTION("""COMPUTED_VALUE"""),"0901 176 766")</f>
        <v>0901 176 766</v>
      </c>
      <c r="B152" s="121" t="str">
        <f>IFERROR(__xludf.DUMMYFUNCTION("""COMPUTED_VALUE"""),"Anh Trọng")</f>
        <v>Anh Trọng</v>
      </c>
      <c r="C152" s="121" t="str">
        <f>IFERROR(__xludf.DUMMYFUNCTION("""COMPUTED_VALUE"""),"128 Nguyễn khoa Chiêm")</f>
        <v>128 Nguyễn khoa Chiêm</v>
      </c>
      <c r="D152" s="121" t="str">
        <f>IFERROR(__xludf.DUMMYFUNCTION("""COMPUTED_VALUE"""),"chó")</f>
        <v>chó</v>
      </c>
      <c r="E152" s="121"/>
    </row>
    <row r="153" ht="15.75" customHeight="1">
      <c r="A153" s="120" t="str">
        <f>IFERROR(__xludf.DUMMYFUNCTION("""COMPUTED_VALUE"""),"0981 440 056")</f>
        <v>0981 440 056</v>
      </c>
      <c r="B153" s="121" t="str">
        <f>IFERROR(__xludf.DUMMYFUNCTION("""COMPUTED_VALUE"""),"Nguyễn Thành Nhân")</f>
        <v>Nguyễn Thành Nhân</v>
      </c>
      <c r="C153" s="121" t="str">
        <f>IFERROR(__xludf.DUMMYFUNCTION("""COMPUTED_VALUE"""),"6/2 tổ 9 Mỹ Thượng")</f>
        <v>6/2 tổ 9 Mỹ Thượng</v>
      </c>
      <c r="D153" s="121" t="str">
        <f>IFERROR(__xludf.DUMMYFUNCTION("""COMPUTED_VALUE"""),"Mèo")</f>
        <v>Mèo</v>
      </c>
      <c r="E153" s="121" t="str">
        <f>IFERROR(__xludf.DUMMYFUNCTION("""COMPUTED_VALUE"""),"Shi")</f>
        <v>Shi</v>
      </c>
    </row>
    <row r="154" ht="15.75" customHeight="1">
      <c r="A154" s="120" t="str">
        <f>IFERROR(__xludf.DUMMYFUNCTION("""COMPUTED_VALUE"""),"0918 983 699")</f>
        <v>0918 983 699</v>
      </c>
      <c r="B154" s="121" t="str">
        <f>IFERROR(__xludf.DUMMYFUNCTION("""COMPUTED_VALUE"""),"Chú Lĩnh")</f>
        <v>Chú Lĩnh</v>
      </c>
      <c r="C154" s="121" t="str">
        <f>IFERROR(__xludf.DUMMYFUNCTION("""COMPUTED_VALUE"""),"25/50 Phạm Thị Liên")</f>
        <v>25/50 Phạm Thị Liên</v>
      </c>
      <c r="D154" s="121" t="str">
        <f>IFERROR(__xludf.DUMMYFUNCTION("""COMPUTED_VALUE"""),"Chó")</f>
        <v>Chó</v>
      </c>
      <c r="E154" s="121" t="str">
        <f>IFERROR(__xludf.DUMMYFUNCTION("""COMPUTED_VALUE"""),"Mun")</f>
        <v>Mun</v>
      </c>
    </row>
    <row r="155" ht="15.75" customHeight="1">
      <c r="A155" s="120" t="str">
        <f>IFERROR(__xludf.DUMMYFUNCTION("""COMPUTED_VALUE"""),"0905 733 786")</f>
        <v>0905 733 786</v>
      </c>
      <c r="B155" s="121" t="str">
        <f>IFERROR(__xludf.DUMMYFUNCTION("""COMPUTED_VALUE"""),"Em Bảo Uyên")</f>
        <v>Em Bảo Uyên</v>
      </c>
      <c r="C155" s="121" t="str">
        <f>IFERROR(__xludf.DUMMYFUNCTION("""COMPUTED_VALUE"""),"180 Lý Nam Đế")</f>
        <v>180 Lý Nam Đế</v>
      </c>
      <c r="D155" s="121" t="str">
        <f>IFERROR(__xludf.DUMMYFUNCTION("""COMPUTED_VALUE"""),"Chó ")</f>
        <v>Chó </v>
      </c>
      <c r="E155" s="121" t="str">
        <f>IFERROR(__xludf.DUMMYFUNCTION("""COMPUTED_VALUE"""),"Lạc")</f>
        <v>Lạc</v>
      </c>
    </row>
    <row r="156" ht="15.75" customHeight="1">
      <c r="A156" s="120" t="str">
        <f>IFERROR(__xludf.DUMMYFUNCTION("""COMPUTED_VALUE"""),"0865 171 294")</f>
        <v>0865 171 294</v>
      </c>
      <c r="B156" s="121" t="str">
        <f>IFERROR(__xludf.DUMMYFUNCTION("""COMPUTED_VALUE"""),"chị Thủy")</f>
        <v>chị Thủy</v>
      </c>
      <c r="C156" s="121" t="str">
        <f>IFERROR(__xludf.DUMMYFUNCTION("""COMPUTED_VALUE"""),"117 lương nhữ hộc")</f>
        <v>117 lương nhữ hộc</v>
      </c>
      <c r="D156" s="121" t="str">
        <f>IFERROR(__xludf.DUMMYFUNCTION("""COMPUTED_VALUE"""),"chó")</f>
        <v>chó</v>
      </c>
      <c r="E156" s="121"/>
    </row>
    <row r="157" ht="15.75" customHeight="1">
      <c r="A157" s="120" t="str">
        <f>IFERROR(__xludf.DUMMYFUNCTION("""COMPUTED_VALUE"""),"0983 954 592")</f>
        <v>0983 954 592</v>
      </c>
      <c r="B157" s="121" t="str">
        <f>IFERROR(__xludf.DUMMYFUNCTION("""COMPUTED_VALUE"""),"Anh Huy")</f>
        <v>Anh Huy</v>
      </c>
      <c r="C157" s="121"/>
      <c r="D157" s="121"/>
      <c r="E157" s="121"/>
    </row>
    <row r="158" ht="15.75" customHeight="1">
      <c r="A158" s="120" t="str">
        <f>IFERROR(__xludf.DUMMYFUNCTION("""COMPUTED_VALUE"""),"0914 957 568")</f>
        <v>0914 957 568</v>
      </c>
      <c r="B158" s="121" t="str">
        <f>IFERROR(__xludf.DUMMYFUNCTION("""COMPUTED_VALUE"""),"Chị Trang")</f>
        <v>Chị Trang</v>
      </c>
      <c r="C158" s="121" t="str">
        <f>IFERROR(__xludf.DUMMYFUNCTION("""COMPUTED_VALUE"""),"Chợ Phà Rạch")</f>
        <v>Chợ Phà Rạch</v>
      </c>
      <c r="D158" s="121" t="str">
        <f>IFERROR(__xludf.DUMMYFUNCTION("""COMPUTED_VALUE"""),"Chó")</f>
        <v>Chó</v>
      </c>
      <c r="E158" s="121" t="str">
        <f>IFERROR(__xludf.DUMMYFUNCTION("""COMPUTED_VALUE"""),"Quýt")</f>
        <v>Quýt</v>
      </c>
    </row>
    <row r="159" ht="15.75" customHeight="1">
      <c r="A159" s="120" t="str">
        <f>IFERROR(__xludf.DUMMYFUNCTION("""COMPUTED_VALUE"""),"0977 658 522")</f>
        <v>0977 658 522</v>
      </c>
      <c r="B159" s="121" t="str">
        <f>IFERROR(__xludf.DUMMYFUNCTION("""COMPUTED_VALUE"""),"E chi")</f>
        <v>E chi</v>
      </c>
      <c r="C159" s="121" t="str">
        <f>IFERROR(__xludf.DUMMYFUNCTION("""COMPUTED_VALUE"""),"100 Đặng Thái Thân ")</f>
        <v>100 Đặng Thái Thân </v>
      </c>
      <c r="D159" s="121" t="str">
        <f>IFERROR(__xludf.DUMMYFUNCTION("""COMPUTED_VALUE"""),"mèo")</f>
        <v>mèo</v>
      </c>
      <c r="E159" s="121" t="str">
        <f>IFERROR(__xludf.DUMMYFUNCTION("""COMPUTED_VALUE"""),"Linh")</f>
        <v>Linh</v>
      </c>
    </row>
    <row r="160" ht="15.75" customHeight="1">
      <c r="A160" s="120" t="str">
        <f>IFERROR(__xludf.DUMMYFUNCTION("""COMPUTED_VALUE"""),"0395 480 692")</f>
        <v>0395 480 692</v>
      </c>
      <c r="B160" s="121" t="str">
        <f>IFERROR(__xludf.DUMMYFUNCTION("""COMPUTED_VALUE"""),"chị Mừng")</f>
        <v>chị Mừng</v>
      </c>
      <c r="C160" s="121" t="str">
        <f>IFERROR(__xludf.DUMMYFUNCTION("""COMPUTED_VALUE"""),"1/47 an ninh")</f>
        <v>1/47 an ninh</v>
      </c>
      <c r="D160" s="121" t="str">
        <f>IFERROR(__xludf.DUMMYFUNCTION("""COMPUTED_VALUE"""),"mèo")</f>
        <v>mèo</v>
      </c>
      <c r="E160" s="121" t="str">
        <f>IFERROR(__xludf.DUMMYFUNCTION("""COMPUTED_VALUE"""),"Ré/Nu")</f>
        <v>Ré/Nu</v>
      </c>
    </row>
    <row r="161" ht="15.75" customHeight="1">
      <c r="A161" s="120" t="str">
        <f>IFERROR(__xludf.DUMMYFUNCTION("""COMPUTED_VALUE"""),"0914 605 335")</f>
        <v>0914 605 335</v>
      </c>
      <c r="B161" s="121" t="str">
        <f>IFERROR(__xludf.DUMMYFUNCTION("""COMPUTED_VALUE"""),"Anh Cường")</f>
        <v>Anh Cường</v>
      </c>
      <c r="C161" s="121" t="str">
        <f>IFERROR(__xludf.DUMMYFUNCTION("""COMPUTED_VALUE"""),"k131 trần phú")</f>
        <v>k131 trần phú</v>
      </c>
      <c r="D161" s="121" t="str">
        <f>IFERROR(__xludf.DUMMYFUNCTION("""COMPUTED_VALUE"""),"chó")</f>
        <v>chó</v>
      </c>
      <c r="E161" s="119"/>
    </row>
    <row r="162" ht="15.75" customHeight="1">
      <c r="A162" s="120" t="str">
        <f>IFERROR(__xludf.DUMMYFUNCTION("""COMPUTED_VALUE"""),"0765 756 250")</f>
        <v>0765 756 250</v>
      </c>
      <c r="B162" s="121" t="str">
        <f>IFERROR(__xludf.DUMMYFUNCTION("""COMPUTED_VALUE"""),"E hương")</f>
        <v>E hương</v>
      </c>
      <c r="C162" s="121" t="str">
        <f>IFERROR(__xludf.DUMMYFUNCTION("""COMPUTED_VALUE"""),"phú lộc ")</f>
        <v>phú lộc </v>
      </c>
      <c r="D162" s="121" t="str">
        <f>IFERROR(__xludf.DUMMYFUNCTION("""COMPUTED_VALUE"""),"chó")</f>
        <v>chó</v>
      </c>
      <c r="E162" s="121"/>
    </row>
    <row r="163" ht="15.75" customHeight="1">
      <c r="A163" s="120" t="str">
        <f>IFERROR(__xludf.DUMMYFUNCTION("""COMPUTED_VALUE"""),"0343 764 684")</f>
        <v>0343 764 684</v>
      </c>
      <c r="B163" s="121" t="str">
        <f>IFERROR(__xludf.DUMMYFUNCTION("""COMPUTED_VALUE"""),"Nhật Tiên")</f>
        <v>Nhật Tiên</v>
      </c>
      <c r="C163" s="121" t="str">
        <f>IFERROR(__xludf.DUMMYFUNCTION("""COMPUTED_VALUE"""),"Hoàng quốc Việt")</f>
        <v>Hoàng quốc Việt</v>
      </c>
      <c r="D163" s="121" t="str">
        <f>IFERROR(__xludf.DUMMYFUNCTION("""COMPUTED_VALUE"""),"chó")</f>
        <v>chó</v>
      </c>
      <c r="E163" s="121" t="str">
        <f>IFERROR(__xludf.DUMMYFUNCTION("""COMPUTED_VALUE"""),"ki")</f>
        <v>ki</v>
      </c>
    </row>
    <row r="164" ht="15.75" customHeight="1">
      <c r="A164" s="120" t="str">
        <f>IFERROR(__xludf.DUMMYFUNCTION("""COMPUTED_VALUE"""),"0383 183 346")</f>
        <v>0383 183 346</v>
      </c>
      <c r="B164" s="121" t="str">
        <f>IFERROR(__xludf.DUMMYFUNCTION("""COMPUTED_VALUE"""),"Anh Hiếu")</f>
        <v>Anh Hiếu</v>
      </c>
      <c r="C164" s="121" t="str">
        <f>IFERROR(__xludf.DUMMYFUNCTION("""COMPUTED_VALUE"""),"Kiệt 131 Trần Phú")</f>
        <v>Kiệt 131 Trần Phú</v>
      </c>
      <c r="D164" s="121" t="str">
        <f>IFERROR(__xludf.DUMMYFUNCTION("""COMPUTED_VALUE"""),"Chó")</f>
        <v>Chó</v>
      </c>
      <c r="E164" s="121"/>
    </row>
    <row r="165" ht="15.75" customHeight="1">
      <c r="A165" s="120" t="str">
        <f>IFERROR(__xludf.DUMMYFUNCTION("""COMPUTED_VALUE"""),"0935 833 673")</f>
        <v>0935 833 673</v>
      </c>
      <c r="B165" s="121" t="str">
        <f>IFERROR(__xludf.DUMMYFUNCTION("""COMPUTED_VALUE"""),"Anh Minh")</f>
        <v>Anh Minh</v>
      </c>
      <c r="C165" s="121" t="str">
        <f>IFERROR(__xludf.DUMMYFUNCTION("""COMPUTED_VALUE"""),"12 Phạm Thị Liên")</f>
        <v>12 Phạm Thị Liên</v>
      </c>
      <c r="D165" s="121" t="str">
        <f>IFERROR(__xludf.DUMMYFUNCTION("""COMPUTED_VALUE"""),"Chó")</f>
        <v>Chó</v>
      </c>
      <c r="E165" s="121"/>
    </row>
    <row r="166" ht="15.75" customHeight="1">
      <c r="A166" s="120" t="str">
        <f>IFERROR(__xludf.DUMMYFUNCTION("""COMPUTED_VALUE"""),"0989 888 901")</f>
        <v>0989 888 901</v>
      </c>
      <c r="B166" s="121" t="str">
        <f>IFERROR(__xludf.DUMMYFUNCTION("""COMPUTED_VALUE"""),"C My ")</f>
        <v>C My </v>
      </c>
      <c r="C166" s="121"/>
      <c r="D166" s="121" t="str">
        <f>IFERROR(__xludf.DUMMYFUNCTION("""COMPUTED_VALUE"""),"chó")</f>
        <v>chó</v>
      </c>
      <c r="E166" s="121" t="str">
        <f>IFERROR(__xludf.DUMMYFUNCTION("""COMPUTED_VALUE"""),"fendi")</f>
        <v>fendi</v>
      </c>
    </row>
    <row r="167" ht="15.75" customHeight="1">
      <c r="A167" s="120" t="str">
        <f>IFERROR(__xludf.DUMMYFUNCTION("""COMPUTED_VALUE"""),"0914 418 919")</f>
        <v>0914 418 919</v>
      </c>
      <c r="B167" s="121" t="str">
        <f>IFERROR(__xludf.DUMMYFUNCTION("""COMPUTED_VALUE"""),"Chị Như")</f>
        <v>Chị Như</v>
      </c>
      <c r="C167" s="121" t="str">
        <f>IFERROR(__xludf.DUMMYFUNCTION("""COMPUTED_VALUE"""),"5/20/9/131 Trần Phú")</f>
        <v>5/20/9/131 Trần Phú</v>
      </c>
      <c r="D167" s="121" t="str">
        <f>IFERROR(__xludf.DUMMYFUNCTION("""COMPUTED_VALUE"""),"Mèo")</f>
        <v>Mèo</v>
      </c>
      <c r="E167" s="121" t="str">
        <f>IFERROR(__xludf.DUMMYFUNCTION("""COMPUTED_VALUE"""),"Xám")</f>
        <v>Xám</v>
      </c>
    </row>
    <row r="168" ht="15.75" customHeight="1">
      <c r="A168" s="120" t="str">
        <f>IFERROR(__xludf.DUMMYFUNCTION("""COMPUTED_VALUE"""),"0372 035 898")</f>
        <v>0372 035 898</v>
      </c>
      <c r="B168" s="121" t="str">
        <f>IFERROR(__xludf.DUMMYFUNCTION("""COMPUTED_VALUE"""),"Anh Vương")</f>
        <v>Anh Vương</v>
      </c>
      <c r="C168" s="121" t="str">
        <f>IFERROR(__xludf.DUMMYFUNCTION("""COMPUTED_VALUE"""),"214 Trần Phú")</f>
        <v>214 Trần Phú</v>
      </c>
      <c r="D168" s="121" t="str">
        <f>IFERROR(__xludf.DUMMYFUNCTION("""COMPUTED_VALUE"""),"Chó")</f>
        <v>Chó</v>
      </c>
      <c r="E168" s="119" t="str">
        <f>IFERROR(__xludf.DUMMYFUNCTION("""COMPUTED_VALUE"""),"Si")</f>
        <v>Si</v>
      </c>
    </row>
    <row r="169" ht="15.75" customHeight="1">
      <c r="A169" s="120" t="str">
        <f>IFERROR(__xludf.DUMMYFUNCTION("""COMPUTED_VALUE"""),"0702 736 944")</f>
        <v>0702 736 944</v>
      </c>
      <c r="B169" s="121" t="str">
        <f>IFERROR(__xludf.DUMMYFUNCTION("""COMPUTED_VALUE"""),"Chú Tùng")</f>
        <v>Chú Tùng</v>
      </c>
      <c r="C169" s="121" t="str">
        <f>IFERROR(__xludf.DUMMYFUNCTION("""COMPUTED_VALUE"""),"69/131 Trần Phú")</f>
        <v>69/131 Trần Phú</v>
      </c>
      <c r="D169" s="121" t="str">
        <f>IFERROR(__xludf.DUMMYFUNCTION("""COMPUTED_VALUE"""),"Chó")</f>
        <v>Chó</v>
      </c>
      <c r="E169" s="121" t="str">
        <f>IFERROR(__xludf.DUMMYFUNCTION("""COMPUTED_VALUE"""),"Vện")</f>
        <v>Vện</v>
      </c>
    </row>
    <row r="170" ht="15.75" customHeight="1">
      <c r="A170" s="120" t="str">
        <f>IFERROR(__xludf.DUMMYFUNCTION("""COMPUTED_VALUE"""),"0392 428 524")</f>
        <v>0392 428 524</v>
      </c>
      <c r="B170" s="121" t="str">
        <f>IFERROR(__xludf.DUMMYFUNCTION("""COMPUTED_VALUE"""),"Quỳnh Hương ")</f>
        <v>Quỳnh Hương </v>
      </c>
      <c r="C170" s="121" t="str">
        <f>IFERROR(__xludf.DUMMYFUNCTION("""COMPUTED_VALUE"""),"Thanh Toàn")</f>
        <v>Thanh Toàn</v>
      </c>
      <c r="D170" s="121" t="str">
        <f>IFERROR(__xludf.DUMMYFUNCTION("""COMPUTED_VALUE"""),"Chó")</f>
        <v>Chó</v>
      </c>
      <c r="E170" s="119" t="str">
        <f>IFERROR(__xludf.DUMMYFUNCTION("""COMPUTED_VALUE"""),"Tan")</f>
        <v>Tan</v>
      </c>
    </row>
    <row r="171" ht="15.75" customHeight="1">
      <c r="A171" s="120" t="str">
        <f>IFERROR(__xludf.DUMMYFUNCTION("""COMPUTED_VALUE"""),"0336 851 707")</f>
        <v>0336 851 707</v>
      </c>
      <c r="B171" s="121" t="str">
        <f>IFERROR(__xludf.DUMMYFUNCTION("""COMPUTED_VALUE"""),"Anh Nguyên")</f>
        <v>Anh Nguyên</v>
      </c>
      <c r="C171" s="121" t="str">
        <f>IFERROR(__xludf.DUMMYFUNCTION("""COMPUTED_VALUE"""),"29/18 Kiệt 79 Minh Mạng")</f>
        <v>29/18 Kiệt 79 Minh Mạng</v>
      </c>
      <c r="D171" s="121" t="str">
        <f>IFERROR(__xludf.DUMMYFUNCTION("""COMPUTED_VALUE"""),"Chó")</f>
        <v>Chó</v>
      </c>
      <c r="E171" s="121" t="str">
        <f>IFERROR(__xludf.DUMMYFUNCTION("""COMPUTED_VALUE"""),"Bò")</f>
        <v>Bò</v>
      </c>
    </row>
    <row r="172" ht="15.75" customHeight="1">
      <c r="A172" s="120" t="str">
        <f>IFERROR(__xludf.DUMMYFUNCTION("""COMPUTED_VALUE"""),"0905 460 592")</f>
        <v>0905 460 592</v>
      </c>
      <c r="B172" s="121" t="str">
        <f>IFERROR(__xludf.DUMMYFUNCTION("""COMPUTED_VALUE"""),"Chị Nga")</f>
        <v>Chị Nga</v>
      </c>
      <c r="C172" s="121" t="str">
        <f>IFERROR(__xludf.DUMMYFUNCTION("""COMPUTED_VALUE"""),"182 Trần Phú")</f>
        <v>182 Trần Phú</v>
      </c>
      <c r="D172" s="121" t="str">
        <f>IFERROR(__xludf.DUMMYFUNCTION("""COMPUTED_VALUE"""),"Chó")</f>
        <v>Chó</v>
      </c>
      <c r="E172" s="121" t="str">
        <f>IFERROR(__xludf.DUMMYFUNCTION("""COMPUTED_VALUE"""),"Mimi")</f>
        <v>Mimi</v>
      </c>
    </row>
    <row r="173" ht="15.75" customHeight="1">
      <c r="A173" s="120" t="str">
        <f>IFERROR(__xludf.DUMMYFUNCTION("""COMPUTED_VALUE"""),"0914 480 387")</f>
        <v>0914 480 387</v>
      </c>
      <c r="B173" s="121" t="str">
        <f>IFERROR(__xludf.DUMMYFUNCTION("""COMPUTED_VALUE"""),"Anh Lân - Dì Hạnh")</f>
        <v>Anh Lân - Dì Hạnh</v>
      </c>
      <c r="C173" s="121"/>
      <c r="D173" s="121" t="str">
        <f>IFERROR(__xludf.DUMMYFUNCTION("""COMPUTED_VALUE"""),"Chó")</f>
        <v>Chó</v>
      </c>
      <c r="E173" s="121"/>
    </row>
    <row r="174" ht="15.75" customHeight="1">
      <c r="A174" s="120" t="str">
        <f>IFERROR(__xludf.DUMMYFUNCTION("""COMPUTED_VALUE"""),"0934 991 385")</f>
        <v>0934 991 385</v>
      </c>
      <c r="B174" s="121" t="str">
        <f>IFERROR(__xludf.DUMMYFUNCTION("""COMPUTED_VALUE"""),"Anh Trường")</f>
        <v>Anh Trường</v>
      </c>
      <c r="C174" s="121" t="str">
        <f>IFERROR(__xludf.DUMMYFUNCTION("""COMPUTED_VALUE"""),"4/6/108 Lê Ngô Cát")</f>
        <v>4/6/108 Lê Ngô Cát</v>
      </c>
      <c r="D174" s="121" t="str">
        <f>IFERROR(__xludf.DUMMYFUNCTION("""COMPUTED_VALUE"""),"Chó")</f>
        <v>Chó</v>
      </c>
      <c r="E174" s="121" t="str">
        <f>IFERROR(__xludf.DUMMYFUNCTION("""COMPUTED_VALUE"""),"Gấu")</f>
        <v>Gấu</v>
      </c>
    </row>
    <row r="175" ht="15.75" customHeight="1">
      <c r="A175" s="120" t="str">
        <f>IFERROR(__xludf.DUMMYFUNCTION("""COMPUTED_VALUE"""),"0976 372 324")</f>
        <v>0976 372 324</v>
      </c>
      <c r="B175" s="121" t="str">
        <f>IFERROR(__xludf.DUMMYFUNCTION("""COMPUTED_VALUE"""),"Chú Khiêm")</f>
        <v>Chú Khiêm</v>
      </c>
      <c r="C175" s="121"/>
      <c r="D175" s="121" t="str">
        <f>IFERROR(__xludf.DUMMYFUNCTION("""COMPUTED_VALUE"""),"Chó")</f>
        <v>Chó</v>
      </c>
      <c r="E175" s="121"/>
    </row>
    <row r="176" ht="15.75" customHeight="1">
      <c r="A176" s="120" t="str">
        <f>IFERROR(__xludf.DUMMYFUNCTION("""COMPUTED_VALUE"""),"0945 466 533")</f>
        <v>0945 466 533</v>
      </c>
      <c r="B176" s="121" t="str">
        <f>IFERROR(__xludf.DUMMYFUNCTION("""COMPUTED_VALUE"""),"Chị Thảo Phương")</f>
        <v>Chị Thảo Phương</v>
      </c>
      <c r="C176" s="121" t="str">
        <f>IFERROR(__xludf.DUMMYFUNCTION("""COMPUTED_VALUE"""),"22/23/131 Trần Phú")</f>
        <v>22/23/131 Trần Phú</v>
      </c>
      <c r="D176" s="121" t="str">
        <f>IFERROR(__xludf.DUMMYFUNCTION("""COMPUTED_VALUE"""),"Chó")</f>
        <v>Chó</v>
      </c>
      <c r="E176" s="121" t="str">
        <f>IFERROR(__xludf.DUMMYFUNCTION("""COMPUTED_VALUE"""),"Tin")</f>
        <v>Tin</v>
      </c>
    </row>
    <row r="177" ht="15.75" customHeight="1">
      <c r="A177" s="120" t="str">
        <f>IFERROR(__xludf.DUMMYFUNCTION("""COMPUTED_VALUE"""),"0978 650 865")</f>
        <v>0978 650 865</v>
      </c>
      <c r="B177" s="121" t="str">
        <f>IFERROR(__xludf.DUMMYFUNCTION("""COMPUTED_VALUE"""),"Anh Nguyên")</f>
        <v>Anh Nguyên</v>
      </c>
      <c r="C177" s="121"/>
      <c r="D177" s="121" t="str">
        <f>IFERROR(__xludf.DUMMYFUNCTION("""COMPUTED_VALUE"""),"chó")</f>
        <v>chó</v>
      </c>
      <c r="E177" s="121"/>
    </row>
    <row r="178" ht="15.75" customHeight="1">
      <c r="A178" s="120" t="str">
        <f>IFERROR(__xludf.DUMMYFUNCTION("""COMPUTED_VALUE"""),"0348 565 652")</f>
        <v>0348 565 652</v>
      </c>
      <c r="B178" s="121" t="str">
        <f>IFERROR(__xludf.DUMMYFUNCTION("""COMPUTED_VALUE"""),"Dì Cân")</f>
        <v>Dì Cân</v>
      </c>
      <c r="C178" s="121" t="str">
        <f>IFERROR(__xludf.DUMMYFUNCTION("""COMPUTED_VALUE"""),"64 Nguyễn Phúc Nguyên")</f>
        <v>64 Nguyễn Phúc Nguyên</v>
      </c>
      <c r="D178" s="121" t="str">
        <f>IFERROR(__xludf.DUMMYFUNCTION("""COMPUTED_VALUE"""),"Chó")</f>
        <v>Chó</v>
      </c>
      <c r="E178" s="121" t="str">
        <f>IFERROR(__xludf.DUMMYFUNCTION("""COMPUTED_VALUE"""),"Rốt")</f>
        <v>Rốt</v>
      </c>
    </row>
    <row r="179" ht="15.75" customHeight="1">
      <c r="A179" s="120" t="str">
        <f>IFERROR(__xludf.DUMMYFUNCTION("""COMPUTED_VALUE"""),"0768 488 430")</f>
        <v>0768 488 430</v>
      </c>
      <c r="B179" s="121" t="str">
        <f>IFERROR(__xludf.DUMMYFUNCTION("""COMPUTED_VALUE"""),"Em Thư")</f>
        <v>Em Thư</v>
      </c>
      <c r="C179" s="121" t="str">
        <f>IFERROR(__xludf.DUMMYFUNCTION("""COMPUTED_VALUE"""),"37/131 Trần Phú")</f>
        <v>37/131 Trần Phú</v>
      </c>
      <c r="D179" s="121" t="str">
        <f>IFERROR(__xludf.DUMMYFUNCTION("""COMPUTED_VALUE"""),"Mèo")</f>
        <v>Mèo</v>
      </c>
      <c r="E179" s="121"/>
    </row>
    <row r="180" ht="15.75" customHeight="1">
      <c r="A180" s="120" t="str">
        <f>IFERROR(__xludf.DUMMYFUNCTION("""COMPUTED_VALUE"""),"0333 638 876")</f>
        <v>0333 638 876</v>
      </c>
      <c r="B180" s="121" t="str">
        <f>IFERROR(__xludf.DUMMYFUNCTION("""COMPUTED_VALUE"""),"Anh Nhật Quang")</f>
        <v>Anh Nhật Quang</v>
      </c>
      <c r="C180" s="121" t="str">
        <f>IFERROR(__xludf.DUMMYFUNCTION("""COMPUTED_VALUE"""),"k131 trần phú")</f>
        <v>k131 trần phú</v>
      </c>
      <c r="D180" s="121" t="str">
        <f>IFERROR(__xludf.DUMMYFUNCTION("""COMPUTED_VALUE"""),"mèo")</f>
        <v>mèo</v>
      </c>
      <c r="E180" s="121" t="str">
        <f>IFERROR(__xludf.DUMMYFUNCTION("""COMPUTED_VALUE"""),"milu")</f>
        <v>milu</v>
      </c>
    </row>
    <row r="181" ht="15.75" customHeight="1">
      <c r="A181" s="120" t="str">
        <f>IFERROR(__xludf.DUMMYFUNCTION("""COMPUTED_VALUE"""),"0774 531 162")</f>
        <v>0774 531 162</v>
      </c>
      <c r="B181" s="121" t="str">
        <f>IFERROR(__xludf.DUMMYFUNCTION("""COMPUTED_VALUE"""),"Thảo đan")</f>
        <v>Thảo đan</v>
      </c>
      <c r="C181" s="121" t="str">
        <f>IFERROR(__xludf.DUMMYFUNCTION("""COMPUTED_VALUE"""),"3 kiệt 1 la sơn phu tử")</f>
        <v>3 kiệt 1 la sơn phu tử</v>
      </c>
      <c r="D181" s="121"/>
      <c r="E181" s="121"/>
    </row>
    <row r="182" ht="15.75" customHeight="1">
      <c r="A182" s="120" t="str">
        <f>IFERROR(__xludf.DUMMYFUNCTION("""COMPUTED_VALUE"""),"0397 375 610")</f>
        <v>0397 375 610</v>
      </c>
      <c r="B182" s="121" t="str">
        <f>IFERROR(__xludf.DUMMYFUNCTION("""COMPUTED_VALUE"""),"Diễm Trinh")</f>
        <v>Diễm Trinh</v>
      </c>
      <c r="C182" s="121" t="str">
        <f>IFERROR(__xludf.DUMMYFUNCTION("""COMPUTED_VALUE"""),"15 Lâm Hoàng")</f>
        <v>15 Lâm Hoàng</v>
      </c>
      <c r="D182" s="121" t="str">
        <f>IFERROR(__xludf.DUMMYFUNCTION("""COMPUTED_VALUE"""),"mèo")</f>
        <v>mèo</v>
      </c>
      <c r="E182" s="121" t="str">
        <f>IFERROR(__xludf.DUMMYFUNCTION("""COMPUTED_VALUE"""),"Cam")</f>
        <v>Cam</v>
      </c>
    </row>
    <row r="183" ht="15.75" customHeight="1">
      <c r="A183" s="120" t="str">
        <f>IFERROR(__xludf.DUMMYFUNCTION("""COMPUTED_VALUE"""),"0334 986 853")</f>
        <v>0334 986 853</v>
      </c>
      <c r="B183" s="121" t="str">
        <f>IFERROR(__xludf.DUMMYFUNCTION("""COMPUTED_VALUE"""),"Chị Mây")</f>
        <v>Chị Mây</v>
      </c>
      <c r="C183" s="121"/>
      <c r="D183" s="121" t="str">
        <f>IFERROR(__xludf.DUMMYFUNCTION("""COMPUTED_VALUE"""),"chó")</f>
        <v>chó</v>
      </c>
      <c r="E183" s="121" t="str">
        <f>IFERROR(__xludf.DUMMYFUNCTION("""COMPUTED_VALUE"""),"gấu")</f>
        <v>gấu</v>
      </c>
    </row>
    <row r="184" ht="15.75" customHeight="1">
      <c r="A184" s="120" t="str">
        <f>IFERROR(__xludf.DUMMYFUNCTION("""COMPUTED_VALUE"""),"0924 489 448")</f>
        <v>0924 489 448</v>
      </c>
      <c r="B184" s="121" t="str">
        <f>IFERROR(__xludf.DUMMYFUNCTION("""COMPUTED_VALUE"""),"Anh Huy")</f>
        <v>Anh Huy</v>
      </c>
      <c r="C184" s="121" t="str">
        <f>IFERROR(__xludf.DUMMYFUNCTION("""COMPUTED_VALUE"""),"2/2/17 Vạn Xuân")</f>
        <v>2/2/17 Vạn Xuân</v>
      </c>
      <c r="D184" s="121" t="str">
        <f>IFERROR(__xludf.DUMMYFUNCTION("""COMPUTED_VALUE"""),"chó")</f>
        <v>chó</v>
      </c>
      <c r="E184" s="121" t="str">
        <f>IFERROR(__xludf.DUMMYFUNCTION("""COMPUTED_VALUE"""),"Mun")</f>
        <v>Mun</v>
      </c>
    </row>
    <row r="185" ht="15.75" customHeight="1">
      <c r="A185" s="120" t="str">
        <f>IFERROR(__xludf.DUMMYFUNCTION("""COMPUTED_VALUE"""),"0935 450 005")</f>
        <v>0935 450 005</v>
      </c>
      <c r="B185" s="121" t="str">
        <f>IFERROR(__xludf.DUMMYFUNCTION("""COMPUTED_VALUE"""),"Chị Tiên")</f>
        <v>Chị Tiên</v>
      </c>
      <c r="C185" s="121" t="str">
        <f>IFERROR(__xludf.DUMMYFUNCTION("""COMPUTED_VALUE"""),"245 Phan Bội Châu ")</f>
        <v>245 Phan Bội Châu </v>
      </c>
      <c r="D185" s="121" t="str">
        <f>IFERROR(__xludf.DUMMYFUNCTION("""COMPUTED_VALUE"""),"chó")</f>
        <v>chó</v>
      </c>
      <c r="E185" s="121"/>
    </row>
    <row r="186" ht="15.75" customHeight="1">
      <c r="A186" s="120" t="str">
        <f>IFERROR(__xludf.DUMMYFUNCTION("""COMPUTED_VALUE"""),"0777 427 821")</f>
        <v>0777 427 821</v>
      </c>
      <c r="B186" s="121" t="str">
        <f>IFERROR(__xludf.DUMMYFUNCTION("""COMPUTED_VALUE"""),"chị Hoa")</f>
        <v>chị Hoa</v>
      </c>
      <c r="C186" s="119" t="str">
        <f>IFERROR(__xludf.DUMMYFUNCTION("""COMPUTED_VALUE"""),"thôn lại tân p dương nổi phú vang")</f>
        <v>thôn lại tân p dương nổi phú vang</v>
      </c>
      <c r="D186" s="121" t="str">
        <f>IFERROR(__xludf.DUMMYFUNCTION("""COMPUTED_VALUE"""),"chó")</f>
        <v>chó</v>
      </c>
      <c r="E186" s="121" t="str">
        <f>IFERROR(__xludf.DUMMYFUNCTION("""COMPUTED_VALUE"""),"sữa")</f>
        <v>sữa</v>
      </c>
    </row>
    <row r="187" ht="15.75" customHeight="1">
      <c r="A187" s="120" t="str">
        <f>IFERROR(__xludf.DUMMYFUNCTION("""COMPUTED_VALUE"""),"0948 844 157")</f>
        <v>0948 844 157</v>
      </c>
      <c r="B187" s="121" t="str">
        <f>IFERROR(__xludf.DUMMYFUNCTION("""COMPUTED_VALUE"""),"Anh Khiêm")</f>
        <v>Anh Khiêm</v>
      </c>
      <c r="C187" s="121" t="str">
        <f>IFERROR(__xludf.DUMMYFUNCTION("""COMPUTED_VALUE"""),"80/16 Nguyễn Hoàng")</f>
        <v>80/16 Nguyễn Hoàng</v>
      </c>
      <c r="D187" s="121" t="str">
        <f>IFERROR(__xludf.DUMMYFUNCTION("""COMPUTED_VALUE"""),"chó")</f>
        <v>chó</v>
      </c>
      <c r="E187" s="121" t="str">
        <f>IFERROR(__xludf.DUMMYFUNCTION("""COMPUTED_VALUE"""),"Xù")</f>
        <v>Xù</v>
      </c>
    </row>
    <row r="188" ht="15.75" customHeight="1">
      <c r="A188" s="120" t="str">
        <f>IFERROR(__xludf.DUMMYFUNCTION("""COMPUTED_VALUE"""),"0795 950 221")</f>
        <v>0795 950 221</v>
      </c>
      <c r="B188" s="121" t="str">
        <f>IFERROR(__xludf.DUMMYFUNCTION("""COMPUTED_VALUE"""),"Em Hạnh")</f>
        <v>Em Hạnh</v>
      </c>
      <c r="C188" s="121" t="str">
        <f>IFERROR(__xludf.DUMMYFUNCTION("""COMPUTED_VALUE"""),"Bầu Vá")</f>
        <v>Bầu Vá</v>
      </c>
      <c r="D188" s="121" t="str">
        <f>IFERROR(__xludf.DUMMYFUNCTION("""COMPUTED_VALUE"""),"Chó")</f>
        <v>Chó</v>
      </c>
      <c r="E188" s="121" t="str">
        <f>IFERROR(__xludf.DUMMYFUNCTION("""COMPUTED_VALUE"""),"Sumo")</f>
        <v>Sumo</v>
      </c>
    </row>
    <row r="189" ht="15.75" customHeight="1">
      <c r="A189" s="122" t="str">
        <f>IFERROR(__xludf.DUMMYFUNCTION("""COMPUTED_VALUE"""),"0914 114 215")</f>
        <v>0914 114 215</v>
      </c>
      <c r="B189" s="119" t="str">
        <f>IFERROR(__xludf.DUMMYFUNCTION("""COMPUTED_VALUE"""),"Dì Hiền")</f>
        <v>Dì Hiền</v>
      </c>
      <c r="C189" s="119" t="str">
        <f>IFERROR(__xludf.DUMMYFUNCTION("""COMPUTED_VALUE"""),"67/8 Nguyễn Hoàng ")</f>
        <v>67/8 Nguyễn Hoàng </v>
      </c>
      <c r="D189" s="119" t="str">
        <f>IFERROR(__xludf.DUMMYFUNCTION("""COMPUTED_VALUE"""),"chó")</f>
        <v>chó</v>
      </c>
      <c r="E189" s="119" t="str">
        <f>IFERROR(__xludf.DUMMYFUNCTION("""COMPUTED_VALUE"""),"Bốp")</f>
        <v>Bốp</v>
      </c>
    </row>
    <row r="190" ht="15.75" customHeight="1">
      <c r="A190" s="122" t="str">
        <f>IFERROR(__xludf.DUMMYFUNCTION("""COMPUTED_VALUE"""),"0818 212 708")</f>
        <v>0818 212 708</v>
      </c>
      <c r="B190" s="123" t="str">
        <f>IFERROR(__xludf.DUMMYFUNCTION("""COMPUTED_VALUE"""),"Chị Thuyền")</f>
        <v>Chị Thuyền</v>
      </c>
      <c r="C190" s="119"/>
      <c r="D190" s="119" t="str">
        <f>IFERROR(__xludf.DUMMYFUNCTION("""COMPUTED_VALUE"""),"chó")</f>
        <v>chó</v>
      </c>
      <c r="E190" s="119"/>
    </row>
    <row r="191" ht="15.75" customHeight="1">
      <c r="A191" s="122" t="str">
        <f>IFERROR(__xludf.DUMMYFUNCTION("""COMPUTED_VALUE"""),"0787 799 303")</f>
        <v>0787 799 303</v>
      </c>
      <c r="B191" s="119" t="str">
        <f>IFERROR(__xludf.DUMMYFUNCTION("""COMPUTED_VALUE"""),"Bùi Ngọc")</f>
        <v>Bùi Ngọc</v>
      </c>
      <c r="C191" s="119" t="str">
        <f>IFERROR(__xludf.DUMMYFUNCTION("""COMPUTED_VALUE"""),"43 Phạm tuân")</f>
        <v>43 Phạm tuân</v>
      </c>
      <c r="D191" s="119" t="str">
        <f>IFERROR(__xludf.DUMMYFUNCTION("""COMPUTED_VALUE"""),"chó")</f>
        <v>chó</v>
      </c>
      <c r="E191" s="119"/>
    </row>
    <row r="192" ht="15.75" customHeight="1">
      <c r="A192" s="122" t="str">
        <f>IFERROR(__xludf.DUMMYFUNCTION("""COMPUTED_VALUE"""),"0708  092 901")</f>
        <v>0708  092 901</v>
      </c>
      <c r="B192" s="119" t="str">
        <f>IFERROR(__xludf.DUMMYFUNCTION("""COMPUTED_VALUE"""),"Chị Phương")</f>
        <v>Chị Phương</v>
      </c>
      <c r="C192" s="119" t="str">
        <f>IFERROR(__xludf.DUMMYFUNCTION("""COMPUTED_VALUE"""),"147b Đặng Huy Trứ")</f>
        <v>147b Đặng Huy Trứ</v>
      </c>
      <c r="D192" s="119" t="str">
        <f>IFERROR(__xludf.DUMMYFUNCTION("""COMPUTED_VALUE"""),"mèo")</f>
        <v>mèo</v>
      </c>
      <c r="E192" s="119" t="str">
        <f>IFERROR(__xludf.DUMMYFUNCTION("""COMPUTED_VALUE"""),"luna")</f>
        <v>luna</v>
      </c>
    </row>
    <row r="193" ht="15.75" customHeight="1">
      <c r="A193" s="122" t="str">
        <f>IFERROR(__xludf.DUMMYFUNCTION("""COMPUTED_VALUE"""),"0935 393 116")</f>
        <v>0935 393 116</v>
      </c>
      <c r="B193" s="119" t="str">
        <f>IFERROR(__xludf.DUMMYFUNCTION("""COMPUTED_VALUE"""),"Chị huyền")</f>
        <v>Chị huyền</v>
      </c>
      <c r="C193" s="119" t="str">
        <f>IFERROR(__xludf.DUMMYFUNCTION("""COMPUTED_VALUE"""),"69/131 Trần phú")</f>
        <v>69/131 Trần phú</v>
      </c>
      <c r="D193" s="119" t="str">
        <f>IFERROR(__xludf.DUMMYFUNCTION("""COMPUTED_VALUE"""),"chó")</f>
        <v>chó</v>
      </c>
      <c r="E193" s="119"/>
    </row>
    <row r="194" ht="15.75" customHeight="1">
      <c r="A194" s="122" t="str">
        <f>IFERROR(__xludf.DUMMYFUNCTION("""COMPUTED_VALUE"""),"0902 768 961")</f>
        <v>0902 768 961</v>
      </c>
      <c r="B194" s="119" t="str">
        <f>IFERROR(__xludf.DUMMYFUNCTION("""COMPUTED_VALUE"""),"Chị Thảo")</f>
        <v>Chị Thảo</v>
      </c>
      <c r="C194" s="119" t="str">
        <f>IFERROR(__xludf.DUMMYFUNCTION("""COMPUTED_VALUE"""),"47b Trần Nguyên Hãn")</f>
        <v>47b Trần Nguyên Hãn</v>
      </c>
      <c r="D194" s="119" t="str">
        <f>IFERROR(__xludf.DUMMYFUNCTION("""COMPUTED_VALUE"""),"Mèo")</f>
        <v>Mèo</v>
      </c>
      <c r="E194" s="119" t="str">
        <f>IFERROR(__xludf.DUMMYFUNCTION("""COMPUTED_VALUE"""),"Cam cam")</f>
        <v>Cam cam</v>
      </c>
    </row>
    <row r="195" ht="15.75" customHeight="1">
      <c r="A195" s="122" t="str">
        <f>IFERROR(__xludf.DUMMYFUNCTION("""COMPUTED_VALUE"""),"0935 640 604")</f>
        <v>0935 640 604</v>
      </c>
      <c r="B195" s="119" t="str">
        <f>IFERROR(__xludf.DUMMYFUNCTION("""COMPUTED_VALUE"""),"Anh Hiệp phôt bệnh án")</f>
        <v>Anh Hiệp phôt bệnh án</v>
      </c>
      <c r="C195" s="119" t="str">
        <f>IFERROR(__xludf.DUMMYFUNCTION("""COMPUTED_VALUE"""),"thủy bằng")</f>
        <v>thủy bằng</v>
      </c>
      <c r="D195" s="119" t="str">
        <f>IFERROR(__xludf.DUMMYFUNCTION("""COMPUTED_VALUE"""),"chó")</f>
        <v>chó</v>
      </c>
      <c r="E195" s="119" t="str">
        <f>IFERROR(__xludf.DUMMYFUNCTION("""COMPUTED_VALUE"""),"kiến/bơ/đậu")</f>
        <v>kiến/bơ/đậu</v>
      </c>
    </row>
    <row r="196" ht="15.75" customHeight="1">
      <c r="A196" s="122" t="str">
        <f>IFERROR(__xludf.DUMMYFUNCTION("""COMPUTED_VALUE"""),"0983 465 045")</f>
        <v>0983 465 045</v>
      </c>
      <c r="B196" s="119" t="str">
        <f>IFERROR(__xludf.DUMMYFUNCTION("""COMPUTED_VALUE"""),"Phạm Minh Nhật")</f>
        <v>Phạm Minh Nhật</v>
      </c>
      <c r="C196" s="119" t="str">
        <f>IFERROR(__xludf.DUMMYFUNCTION("""COMPUTED_VALUE"""),"220/187 Phan Đình Phùng")</f>
        <v>220/187 Phan Đình Phùng</v>
      </c>
      <c r="D196" s="119" t="str">
        <f>IFERROR(__xludf.DUMMYFUNCTION("""COMPUTED_VALUE"""),"Mèo")</f>
        <v>Mèo</v>
      </c>
      <c r="E196" s="119" t="str">
        <f>IFERROR(__xludf.DUMMYFUNCTION("""COMPUTED_VALUE"""),"Vy vy")</f>
        <v>Vy vy</v>
      </c>
    </row>
    <row r="197" ht="15.75" customHeight="1">
      <c r="A197" s="122" t="str">
        <f>IFERROR(__xludf.DUMMYFUNCTION("""COMPUTED_VALUE"""),"0889 900 055")</f>
        <v>0889 900 055</v>
      </c>
      <c r="B197" s="119" t="str">
        <f>IFERROR(__xludf.DUMMYFUNCTION("""COMPUTED_VALUE"""),"Anh Kiệt")</f>
        <v>Anh Kiệt</v>
      </c>
      <c r="C197" s="119" t="str">
        <f>IFERROR(__xludf.DUMMYFUNCTION("""COMPUTED_VALUE"""),"1/14 An Đông Villa")</f>
        <v>1/14 An Đông Villa</v>
      </c>
      <c r="D197" s="119" t="str">
        <f>IFERROR(__xludf.DUMMYFUNCTION("""COMPUTED_VALUE"""),"Chó")</f>
        <v>Chó</v>
      </c>
      <c r="E197" s="119" t="str">
        <f>IFERROR(__xludf.DUMMYFUNCTION("""COMPUTED_VALUE"""),"Bư")</f>
        <v>Bư</v>
      </c>
    </row>
    <row r="198" ht="15.75" customHeight="1">
      <c r="A198" s="122" t="str">
        <f>IFERROR(__xludf.DUMMYFUNCTION("""COMPUTED_VALUE"""),"0869 431 367")</f>
        <v>0869 431 367</v>
      </c>
      <c r="B198" s="119" t="str">
        <f>IFERROR(__xludf.DUMMYFUNCTION("""COMPUTED_VALUE"""),"Chị Phương")</f>
        <v>Chị Phương</v>
      </c>
      <c r="C198" s="119" t="str">
        <f>IFERROR(__xludf.DUMMYFUNCTION("""COMPUTED_VALUE"""),"8 Phan Kế Bính")</f>
        <v>8 Phan Kế Bính</v>
      </c>
      <c r="D198" s="119" t="str">
        <f>IFERROR(__xludf.DUMMYFUNCTION("""COMPUTED_VALUE"""),"Chó")</f>
        <v>Chó</v>
      </c>
      <c r="E198" s="119" t="str">
        <f>IFERROR(__xludf.DUMMYFUNCTION("""COMPUTED_VALUE"""),"Ki")</f>
        <v>Ki</v>
      </c>
    </row>
    <row r="199" ht="15.75" customHeight="1">
      <c r="A199" s="122" t="str">
        <f>IFERROR(__xludf.DUMMYFUNCTION("""COMPUTED_VALUE"""),"0901 981 180")</f>
        <v>0901 981 180</v>
      </c>
      <c r="B199" s="119" t="str">
        <f>IFERROR(__xludf.DUMMYFUNCTION("""COMPUTED_VALUE"""),"Anh Phong")</f>
        <v>Anh Phong</v>
      </c>
      <c r="C199" s="119" t="str">
        <f>IFERROR(__xludf.DUMMYFUNCTION("""COMPUTED_VALUE"""),"Lô C70 Xuân Hòa")</f>
        <v>Lô C70 Xuân Hòa</v>
      </c>
      <c r="D199" s="119" t="str">
        <f>IFERROR(__xludf.DUMMYFUNCTION("""COMPUTED_VALUE"""),"Chó")</f>
        <v>Chó</v>
      </c>
      <c r="E199" s="119" t="str">
        <f>IFERROR(__xludf.DUMMYFUNCTION("""COMPUTED_VALUE"""),"Lu")</f>
        <v>Lu</v>
      </c>
    </row>
    <row r="200" ht="15.75" customHeight="1">
      <c r="A200" s="122" t="str">
        <f>IFERROR(__xludf.DUMMYFUNCTION("""COMPUTED_VALUE"""),"0706 097 667")</f>
        <v>0706 097 667</v>
      </c>
      <c r="B200" s="119" t="str">
        <f>IFERROR(__xludf.DUMMYFUNCTION("""COMPUTED_VALUE"""),"dì Nỡ,anh Trường Sĩ")</f>
        <v>dì Nỡ,anh Trường Sĩ</v>
      </c>
      <c r="C200" s="119" t="str">
        <f>IFERROR(__xludf.DUMMYFUNCTION("""COMPUTED_VALUE"""),"24/168 Trần Phú")</f>
        <v>24/168 Trần Phú</v>
      </c>
      <c r="D200" s="119" t="str">
        <f>IFERROR(__xludf.DUMMYFUNCTION("""COMPUTED_VALUE"""),"chó")</f>
        <v>chó</v>
      </c>
      <c r="E200" s="119"/>
    </row>
    <row r="201" ht="15.75" customHeight="1">
      <c r="A201" s="122" t="str">
        <f>IFERROR(__xludf.DUMMYFUNCTION("""COMPUTED_VALUE"""),"0855 449 647")</f>
        <v>0855 449 647</v>
      </c>
      <c r="B201" s="119" t="str">
        <f>IFERROR(__xludf.DUMMYFUNCTION("""COMPUTED_VALUE"""),"chị cúc")</f>
        <v>chị cúc</v>
      </c>
      <c r="C201" s="119" t="str">
        <f>IFERROR(__xludf.DUMMYFUNCTION("""COMPUTED_VALUE"""),"võ văn kiệt,tổ 8 kv 4")</f>
        <v>võ văn kiệt,tổ 8 kv 4</v>
      </c>
      <c r="D201" s="119" t="str">
        <f>IFERROR(__xludf.DUMMYFUNCTION("""COMPUTED_VALUE"""),"chó")</f>
        <v>chó</v>
      </c>
      <c r="E201" s="119"/>
    </row>
    <row r="202" ht="15.75" customHeight="1">
      <c r="A202" s="122" t="str">
        <f>IFERROR(__xludf.DUMMYFUNCTION("""COMPUTED_VALUE"""),"0933 555 367")</f>
        <v>0933 555 367</v>
      </c>
      <c r="B202" s="119"/>
      <c r="C202" s="119" t="str">
        <f>IFERROR(__xludf.DUMMYFUNCTION("""COMPUTED_VALUE"""),"Nguyễn Trãi")</f>
        <v>Nguyễn Trãi</v>
      </c>
      <c r="D202" s="119" t="str">
        <f>IFERROR(__xludf.DUMMYFUNCTION("""COMPUTED_VALUE"""),"Chó")</f>
        <v>Chó</v>
      </c>
      <c r="E202" s="119" t="str">
        <f>IFERROR(__xludf.DUMMYFUNCTION("""COMPUTED_VALUE"""),"Gấu")</f>
        <v>Gấu</v>
      </c>
    </row>
    <row r="203" ht="15.75" customHeight="1">
      <c r="A203" s="122" t="str">
        <f>IFERROR(__xludf.DUMMYFUNCTION("""COMPUTED_VALUE"""),"0344 081 919")</f>
        <v>0344 081 919</v>
      </c>
      <c r="B203" s="119" t="str">
        <f>IFERROR(__xludf.DUMMYFUNCTION("""COMPUTED_VALUE"""),"chị Thảo Nguyên")</f>
        <v>chị Thảo Nguyên</v>
      </c>
      <c r="C203" s="119" t="str">
        <f>IFERROR(__xludf.DUMMYFUNCTION("""COMPUTED_VALUE"""),"30 xuân diệu")</f>
        <v>30 xuân diệu</v>
      </c>
      <c r="D203" s="119" t="str">
        <f>IFERROR(__xludf.DUMMYFUNCTION("""COMPUTED_VALUE"""),"chó")</f>
        <v>chó</v>
      </c>
      <c r="E203" s="119" t="str">
        <f>IFERROR(__xludf.DUMMYFUNCTION("""COMPUTED_VALUE"""),"cua")</f>
        <v>cua</v>
      </c>
    </row>
    <row r="204" ht="15.75" customHeight="1">
      <c r="A204" s="124" t="str">
        <f>IFERROR(__xludf.DUMMYFUNCTION("""COMPUTED_VALUE"""),"0934 852 494")</f>
        <v>0934 852 494</v>
      </c>
      <c r="B204" s="125" t="str">
        <f>IFERROR(__xludf.DUMMYFUNCTION("""COMPUTED_VALUE"""),"Chị Hạnh")</f>
        <v>Chị Hạnh</v>
      </c>
      <c r="C204" s="125" t="str">
        <f>IFERROR(__xludf.DUMMYFUNCTION("""COMPUTED_VALUE"""),"22/1a Trần phú")</f>
        <v>22/1a Trần phú</v>
      </c>
      <c r="D204" s="125" t="str">
        <f>IFERROR(__xludf.DUMMYFUNCTION("""COMPUTED_VALUE"""),"chó")</f>
        <v>chó</v>
      </c>
      <c r="E204" s="125" t="str">
        <f>IFERROR(__xludf.DUMMYFUNCTION("""COMPUTED_VALUE"""),"sữa")</f>
        <v>sữa</v>
      </c>
    </row>
    <row r="205" ht="15.75" customHeight="1">
      <c r="A205" s="122" t="str">
        <f>IFERROR(__xludf.DUMMYFUNCTION("""COMPUTED_VALUE"""),"0382 415 816")</f>
        <v>0382 415 816</v>
      </c>
      <c r="B205" s="119" t="str">
        <f>IFERROR(__xludf.DUMMYFUNCTION("""COMPUTED_VALUE"""),"Anh Khánh")</f>
        <v>Anh Khánh</v>
      </c>
      <c r="C205" s="119"/>
      <c r="D205" s="119" t="str">
        <f>IFERROR(__xludf.DUMMYFUNCTION("""COMPUTED_VALUE"""),"Mèo")</f>
        <v>Mèo</v>
      </c>
      <c r="E205" s="119"/>
    </row>
    <row r="206" ht="15.75" customHeight="1">
      <c r="A206" s="122" t="str">
        <f>IFERROR(__xludf.DUMMYFUNCTION("""COMPUTED_VALUE"""),"0852 637 074")</f>
        <v>0852 637 074</v>
      </c>
      <c r="B206" s="119" t="str">
        <f>IFERROR(__xludf.DUMMYFUNCTION("""COMPUTED_VALUE"""),"Em Thành Công")</f>
        <v>Em Thành Công</v>
      </c>
      <c r="C206" s="119" t="str">
        <f>IFERROR(__xludf.DUMMYFUNCTION("""COMPUTED_VALUE"""),"79/131 trần phú")</f>
        <v>79/131 trần phú</v>
      </c>
      <c r="D206" s="119" t="str">
        <f>IFERROR(__xludf.DUMMYFUNCTION("""COMPUTED_VALUE"""),"mèo")</f>
        <v>mèo</v>
      </c>
      <c r="E206" s="119" t="str">
        <f>IFERROR(__xludf.DUMMYFUNCTION("""COMPUTED_VALUE"""),"bom")</f>
        <v>bom</v>
      </c>
    </row>
    <row r="207" ht="15.75" customHeight="1">
      <c r="A207" s="122" t="str">
        <f>IFERROR(__xludf.DUMMYFUNCTION("""COMPUTED_VALUE"""),"0898 212 548")</f>
        <v>0898 212 548</v>
      </c>
      <c r="B207" s="119" t="str">
        <f>IFERROR(__xludf.DUMMYFUNCTION("""COMPUTED_VALUE"""),"Anh Văn Hiếu")</f>
        <v>Anh Văn Hiếu</v>
      </c>
      <c r="C207" s="119"/>
      <c r="D207" s="119" t="str">
        <f>IFERROR(__xludf.DUMMYFUNCTION("""COMPUTED_VALUE"""),"Chó")</f>
        <v>Chó</v>
      </c>
      <c r="E207" s="119"/>
    </row>
    <row r="208" ht="15.75" customHeight="1">
      <c r="A208" s="122" t="str">
        <f>IFERROR(__xludf.DUMMYFUNCTION("""COMPUTED_VALUE"""),"0962 287 966")</f>
        <v>0962 287 966</v>
      </c>
      <c r="B208" s="119" t="str">
        <f>IFERROR(__xludf.DUMMYFUNCTION("""COMPUTED_VALUE"""),"Anh Minh")</f>
        <v>Anh Minh</v>
      </c>
      <c r="C208" s="119" t="str">
        <f>IFERROR(__xludf.DUMMYFUNCTION("""COMPUTED_VALUE"""),"79 Phạm Thị Liên")</f>
        <v>79 Phạm Thị Liên</v>
      </c>
      <c r="D208" s="119" t="str">
        <f>IFERROR(__xludf.DUMMYFUNCTION("""COMPUTED_VALUE"""),"Mèo")</f>
        <v>Mèo</v>
      </c>
      <c r="E208" s="119"/>
    </row>
    <row r="209" ht="15.75" customHeight="1">
      <c r="A209" s="122" t="str">
        <f>IFERROR(__xludf.DUMMYFUNCTION("""COMPUTED_VALUE"""),"0905 707 135")</f>
        <v>0905 707 135</v>
      </c>
      <c r="B209" s="119" t="str">
        <f>IFERROR(__xludf.DUMMYFUNCTION("""COMPUTED_VALUE"""),"thầy phúc")</f>
        <v>thầy phúc</v>
      </c>
      <c r="C209" s="119" t="str">
        <f>IFERROR(__xludf.DUMMYFUNCTION("""COMPUTED_VALUE"""),"chùa thiền tôn")</f>
        <v>chùa thiền tôn</v>
      </c>
      <c r="D209" s="119" t="str">
        <f>IFERROR(__xludf.DUMMYFUNCTION("""COMPUTED_VALUE"""),"chó")</f>
        <v>chó</v>
      </c>
      <c r="E209" s="119" t="str">
        <f>IFERROR(__xludf.DUMMYFUNCTION("""COMPUTED_VALUE"""),"lucky")</f>
        <v>lucky</v>
      </c>
    </row>
    <row r="210" ht="15.75" customHeight="1">
      <c r="A210" s="122" t="str">
        <f>IFERROR(__xludf.DUMMYFUNCTION("""COMPUTED_VALUE"""),"0935 391 449")</f>
        <v>0935 391 449</v>
      </c>
      <c r="B210" s="119" t="str">
        <f>IFERROR(__xludf.DUMMYFUNCTION("""COMPUTED_VALUE"""),"Dì Thi")</f>
        <v>Dì Thi</v>
      </c>
      <c r="C210" s="119" t="str">
        <f>IFERROR(__xludf.DUMMYFUNCTION("""COMPUTED_VALUE"""),"157 Quốc lộ 49B")</f>
        <v>157 Quốc lộ 49B</v>
      </c>
      <c r="D210" s="119" t="str">
        <f>IFERROR(__xludf.DUMMYFUNCTION("""COMPUTED_VALUE"""),"Chó")</f>
        <v>Chó</v>
      </c>
      <c r="E210" s="119" t="str">
        <f>IFERROR(__xludf.DUMMYFUNCTION("""COMPUTED_VALUE"""),"King")</f>
        <v>King</v>
      </c>
    </row>
    <row r="211" ht="15.75" customHeight="1">
      <c r="A211" s="122" t="str">
        <f>IFERROR(__xludf.DUMMYFUNCTION("""COMPUTED_VALUE"""),"0373 952 687")</f>
        <v>0373 952 687</v>
      </c>
      <c r="B211" s="119" t="str">
        <f>IFERROR(__xludf.DUMMYFUNCTION("""COMPUTED_VALUE"""),"Em Thi")</f>
        <v>Em Thi</v>
      </c>
      <c r="C211" s="119"/>
      <c r="D211" s="119" t="str">
        <f>IFERROR(__xludf.DUMMYFUNCTION("""COMPUTED_VALUE"""),"Chó")</f>
        <v>Chó</v>
      </c>
      <c r="E211" s="119" t="str">
        <f>IFERROR(__xludf.DUMMYFUNCTION("""COMPUTED_VALUE"""),"Mi")</f>
        <v>Mi</v>
      </c>
    </row>
    <row r="212" ht="15.75" customHeight="1">
      <c r="A212" s="122" t="str">
        <f>IFERROR(__xludf.DUMMYFUNCTION("""COMPUTED_VALUE"""),"0914 025 446")</f>
        <v>0914 025 446</v>
      </c>
      <c r="B212" s="119" t="str">
        <f>IFERROR(__xludf.DUMMYFUNCTION("""COMPUTED_VALUE"""),"DÌ Thảo")</f>
        <v>DÌ Thảo</v>
      </c>
      <c r="C212" s="119" t="str">
        <f>IFERROR(__xludf.DUMMYFUNCTION("""COMPUTED_VALUE"""),"29k250 phan bội châu")</f>
        <v>29k250 phan bội châu</v>
      </c>
      <c r="D212" s="119" t="str">
        <f>IFERROR(__xludf.DUMMYFUNCTION("""COMPUTED_VALUE"""),"chó")</f>
        <v>chó</v>
      </c>
      <c r="E212" s="119" t="str">
        <f>IFERROR(__xludf.DUMMYFUNCTION("""COMPUTED_VALUE"""),"meo")</f>
        <v>meo</v>
      </c>
    </row>
    <row r="213" ht="15.75" customHeight="1">
      <c r="A213" s="122" t="str">
        <f>IFERROR(__xludf.DUMMYFUNCTION("""COMPUTED_VALUE"""),"0935 132 082")</f>
        <v>0935 132 082</v>
      </c>
      <c r="B213" s="119" t="str">
        <f>IFERROR(__xludf.DUMMYFUNCTION("""COMPUTED_VALUE"""),"Em Quốc")</f>
        <v>Em Quốc</v>
      </c>
      <c r="C213" s="119" t="str">
        <f>IFERROR(__xludf.DUMMYFUNCTION("""COMPUTED_VALUE"""),"40 Nguyễn lộ trạch")</f>
        <v>40 Nguyễn lộ trạch</v>
      </c>
      <c r="D213" s="119" t="str">
        <f>IFERROR(__xludf.DUMMYFUNCTION("""COMPUTED_VALUE"""),"mèo")</f>
        <v>mèo</v>
      </c>
      <c r="E213" s="119" t="str">
        <f>IFERROR(__xludf.DUMMYFUNCTION("""COMPUTED_VALUE"""),"napoleong")</f>
        <v>napoleong</v>
      </c>
    </row>
    <row r="214" ht="15.75" customHeight="1">
      <c r="A214" s="122" t="str">
        <f>IFERROR(__xludf.DUMMYFUNCTION("""COMPUTED_VALUE"""),"0766 655 865")</f>
        <v>0766 655 865</v>
      </c>
      <c r="B214" s="119" t="str">
        <f>IFERROR(__xludf.DUMMYFUNCTION("""COMPUTED_VALUE"""),"Anh  Hưng")</f>
        <v>Anh  Hưng</v>
      </c>
      <c r="C214" s="119" t="str">
        <f>IFERROR(__xludf.DUMMYFUNCTION("""COMPUTED_VALUE"""),"70 Thanh Hải ")</f>
        <v>70 Thanh Hải </v>
      </c>
      <c r="D214" s="119" t="str">
        <f>IFERROR(__xludf.DUMMYFUNCTION("""COMPUTED_VALUE"""),"chó")</f>
        <v>chó</v>
      </c>
      <c r="E214" s="119" t="str">
        <f>IFERROR(__xludf.DUMMYFUNCTION("""COMPUTED_VALUE"""),"bell/bill")</f>
        <v>bell/bill</v>
      </c>
    </row>
    <row r="215" ht="15.75" customHeight="1">
      <c r="A215" s="122" t="str">
        <f>IFERROR(__xludf.DUMMYFUNCTION("""COMPUTED_VALUE"""),"0914 079 202")</f>
        <v>0914 079 202</v>
      </c>
      <c r="B215" s="119" t="str">
        <f>IFERROR(__xludf.DUMMYFUNCTION("""COMPUTED_VALUE"""),"bác Ân")</f>
        <v>bác Ân</v>
      </c>
      <c r="C215" s="119" t="str">
        <f>IFERROR(__xludf.DUMMYFUNCTION("""COMPUTED_VALUE"""),"9a/69/131 Trần Phú")</f>
        <v>9a/69/131 Trần Phú</v>
      </c>
      <c r="D215" s="119" t="str">
        <f>IFERROR(__xludf.DUMMYFUNCTION("""COMPUTED_VALUE"""),"chó")</f>
        <v>chó</v>
      </c>
      <c r="E215" s="119"/>
    </row>
    <row r="216" ht="15.75" customHeight="1">
      <c r="A216" s="122" t="str">
        <f>IFERROR(__xludf.DUMMYFUNCTION("""COMPUTED_VALUE"""),"0375 453 207")</f>
        <v>0375 453 207</v>
      </c>
      <c r="B216" s="126" t="str">
        <f>IFERROR(__xludf.DUMMYFUNCTION("""COMPUTED_VALUE"""),"anh triều")</f>
        <v>anh triều</v>
      </c>
      <c r="C216" s="119" t="str">
        <f>IFERROR(__xludf.DUMMYFUNCTION("""COMPUTED_VALUE"""),"114 Trần Phú")</f>
        <v>114 Trần Phú</v>
      </c>
      <c r="D216" s="119" t="str">
        <f>IFERROR(__xludf.DUMMYFUNCTION("""COMPUTED_VALUE"""),"mèo")</f>
        <v>mèo</v>
      </c>
      <c r="E216" s="119"/>
    </row>
    <row r="217" ht="15.75" customHeight="1">
      <c r="A217" s="122" t="str">
        <f>IFERROR(__xludf.DUMMYFUNCTION("""COMPUTED_VALUE"""),"0358 755 575")</f>
        <v>0358 755 575</v>
      </c>
      <c r="B217" s="119" t="str">
        <f>IFERROR(__xludf.DUMMYFUNCTION("""COMPUTED_VALUE"""),"Anh Duy")</f>
        <v>Anh Duy</v>
      </c>
      <c r="C217" s="119" t="str">
        <f>IFERROR(__xludf.DUMMYFUNCTION("""COMPUTED_VALUE"""),"42 trần Lư")</f>
        <v>42 trần Lư</v>
      </c>
      <c r="D217" s="119" t="str">
        <f>IFERROR(__xludf.DUMMYFUNCTION("""COMPUTED_VALUE"""),"chó")</f>
        <v>chó</v>
      </c>
      <c r="E217" s="119" t="str">
        <f>IFERROR(__xludf.DUMMYFUNCTION("""COMPUTED_VALUE"""),"mắm")</f>
        <v>mắm</v>
      </c>
    </row>
    <row r="218" ht="15.75" customHeight="1">
      <c r="A218" s="122" t="str">
        <f>IFERROR(__xludf.DUMMYFUNCTION("""COMPUTED_VALUE"""),"0768 560 836")</f>
        <v>0768 560 836</v>
      </c>
      <c r="B218" s="119" t="str">
        <f>IFERROR(__xludf.DUMMYFUNCTION("""COMPUTED_VALUE"""),"Anh Phước")</f>
        <v>Anh Phước</v>
      </c>
      <c r="C218" s="119" t="str">
        <f>IFERROR(__xludf.DUMMYFUNCTION("""COMPUTED_VALUE"""),"8 Nguyễn Phúc Thụ")</f>
        <v>8 Nguyễn Phúc Thụ</v>
      </c>
      <c r="D218" s="119" t="str">
        <f>IFERROR(__xludf.DUMMYFUNCTION("""COMPUTED_VALUE"""),"Chó")</f>
        <v>Chó</v>
      </c>
      <c r="E218" s="119" t="str">
        <f>IFERROR(__xludf.DUMMYFUNCTION("""COMPUTED_VALUE"""),"Lu")</f>
        <v>Lu</v>
      </c>
    </row>
    <row r="219" ht="15.75" customHeight="1">
      <c r="A219" s="122" t="str">
        <f>IFERROR(__xludf.DUMMYFUNCTION("""COMPUTED_VALUE"""),"0878 891 453")</f>
        <v>0878 891 453</v>
      </c>
      <c r="B219" s="119" t="str">
        <f>IFERROR(__xludf.DUMMYFUNCTION("""COMPUTED_VALUE"""),"Em Trang")</f>
        <v>Em Trang</v>
      </c>
      <c r="C219" s="119" t="str">
        <f>IFERROR(__xludf.DUMMYFUNCTION("""COMPUTED_VALUE"""),"246 Hùng Vương")</f>
        <v>246 Hùng Vương</v>
      </c>
      <c r="D219" s="119" t="str">
        <f>IFERROR(__xludf.DUMMYFUNCTION("""COMPUTED_VALUE"""),"mèo")</f>
        <v>mèo</v>
      </c>
      <c r="E219" s="119" t="str">
        <f>IFERROR(__xludf.DUMMYFUNCTION("""COMPUTED_VALUE"""),"sữa")</f>
        <v>sữa</v>
      </c>
    </row>
    <row r="220" ht="15.75" customHeight="1">
      <c r="A220" s="122" t="str">
        <f>IFERROR(__xludf.DUMMYFUNCTION("""COMPUTED_VALUE"""),"0327 351 946")</f>
        <v>0327 351 946</v>
      </c>
      <c r="B220" s="119" t="str">
        <f>IFERROR(__xludf.DUMMYFUNCTION("""COMPUTED_VALUE"""),"Em Khoa")</f>
        <v>Em Khoa</v>
      </c>
      <c r="C220" s="119" t="str">
        <f>IFERROR(__xludf.DUMMYFUNCTION("""COMPUTED_VALUE"""),"Kiệt 31 Long Hồ")</f>
        <v>Kiệt 31 Long Hồ</v>
      </c>
      <c r="D220" s="119" t="str">
        <f>IFERROR(__xludf.DUMMYFUNCTION("""COMPUTED_VALUE"""),"Chó")</f>
        <v>Chó</v>
      </c>
      <c r="E220" s="119"/>
    </row>
    <row r="221" ht="15.75" customHeight="1">
      <c r="A221" s="122" t="str">
        <f>IFERROR(__xludf.DUMMYFUNCTION("""COMPUTED_VALUE"""),"0914 696 383")</f>
        <v>0914 696 383</v>
      </c>
      <c r="B221" s="119" t="str">
        <f>IFERROR(__xludf.DUMMYFUNCTION("""COMPUTED_VALUE"""),"Chị Vân")</f>
        <v>Chị Vân</v>
      </c>
      <c r="C221" s="119" t="str">
        <f>IFERROR(__xludf.DUMMYFUNCTION("""COMPUTED_VALUE"""),"10 Xuân Diệu")</f>
        <v>10 Xuân Diệu</v>
      </c>
      <c r="D221" s="119" t="str">
        <f>IFERROR(__xludf.DUMMYFUNCTION("""COMPUTED_VALUE"""),"chó")</f>
        <v>chó</v>
      </c>
      <c r="E221" s="119"/>
    </row>
    <row r="222" ht="15.75" customHeight="1">
      <c r="A222" s="122" t="str">
        <f>IFERROR(__xludf.DUMMYFUNCTION("""COMPUTED_VALUE"""),"0935 794 474")</f>
        <v>0935 794 474</v>
      </c>
      <c r="B222" s="119" t="str">
        <f>IFERROR(__xludf.DUMMYFUNCTION("""COMPUTED_VALUE"""),"Vũ văn Thành")</f>
        <v>Vũ văn Thành</v>
      </c>
      <c r="C222" s="119" t="str">
        <f>IFERROR(__xludf.DUMMYFUNCTION("""COMPUTED_VALUE"""),"75/131 Trần Phú")</f>
        <v>75/131 Trần Phú</v>
      </c>
      <c r="D222" s="119" t="str">
        <f>IFERROR(__xludf.DUMMYFUNCTION("""COMPUTED_VALUE"""),"chó")</f>
        <v>chó</v>
      </c>
      <c r="E222" s="119" t="str">
        <f>IFERROR(__xludf.DUMMYFUNCTION("""COMPUTED_VALUE"""),"đốm")</f>
        <v>đốm</v>
      </c>
    </row>
    <row r="223" ht="15.75" customHeight="1">
      <c r="A223" s="122" t="str">
        <f>IFERROR(__xludf.DUMMYFUNCTION("""COMPUTED_VALUE"""),"0339 391 652")</f>
        <v>0339 391 652</v>
      </c>
      <c r="B223" s="119" t="str">
        <f>IFERROR(__xludf.DUMMYFUNCTION("""COMPUTED_VALUE"""),"chị Thanh")</f>
        <v>chị Thanh</v>
      </c>
      <c r="C223" s="119" t="str">
        <f>IFERROR(__xludf.DUMMYFUNCTION("""COMPUTED_VALUE"""),"208 Trần Phú")</f>
        <v>208 Trần Phú</v>
      </c>
      <c r="D223" s="119" t="str">
        <f>IFERROR(__xludf.DUMMYFUNCTION("""COMPUTED_VALUE"""),"chó")</f>
        <v>chó</v>
      </c>
      <c r="E223" s="119" t="str">
        <f>IFERROR(__xludf.DUMMYFUNCTION("""COMPUTED_VALUE"""),"bia")</f>
        <v>bia</v>
      </c>
    </row>
    <row r="224" ht="15.75" customHeight="1">
      <c r="A224" s="122" t="str">
        <f>IFERROR(__xludf.DUMMYFUNCTION("""COMPUTED_VALUE"""),"0978 368 400")</f>
        <v>0978 368 400</v>
      </c>
      <c r="B224" s="119" t="str">
        <f>IFERROR(__xludf.DUMMYFUNCTION("""COMPUTED_VALUE"""),"Chị Giang")</f>
        <v>Chị Giang</v>
      </c>
      <c r="C224" s="119" t="str">
        <f>IFERROR(__xludf.DUMMYFUNCTION("""COMPUTED_VALUE"""),"245 Bùi Thị Xuân ")</f>
        <v>245 Bùi Thị Xuân </v>
      </c>
      <c r="D224" s="119" t="str">
        <f>IFERROR(__xludf.DUMMYFUNCTION("""COMPUTED_VALUE"""),"chó")</f>
        <v>chó</v>
      </c>
      <c r="E224" s="119" t="str">
        <f>IFERROR(__xludf.DUMMYFUNCTION("""COMPUTED_VALUE"""),"mon")</f>
        <v>mon</v>
      </c>
    </row>
    <row r="225" ht="15.75" customHeight="1">
      <c r="A225" s="122" t="str">
        <f>IFERROR(__xludf.DUMMYFUNCTION("""COMPUTED_VALUE"""),"0857 207 716")</f>
        <v>0857 207 716</v>
      </c>
      <c r="B225" s="119" t="str">
        <f>IFERROR(__xludf.DUMMYFUNCTION("""COMPUTED_VALUE"""),"em Long")</f>
        <v>em Long</v>
      </c>
      <c r="C225" s="119" t="str">
        <f>IFERROR(__xludf.DUMMYFUNCTION("""COMPUTED_VALUE"""),"28 Nguyễn Văn Khả")</f>
        <v>28 Nguyễn Văn Khả</v>
      </c>
      <c r="D225" s="119" t="str">
        <f>IFERROR(__xludf.DUMMYFUNCTION("""COMPUTED_VALUE"""),"mèo")</f>
        <v>mèo</v>
      </c>
      <c r="E225" s="119" t="str">
        <f>IFERROR(__xludf.DUMMYFUNCTION("""COMPUTED_VALUE"""),"đen")</f>
        <v>đen</v>
      </c>
    </row>
    <row r="226" ht="15.75" customHeight="1">
      <c r="A226" s="122" t="str">
        <f>IFERROR(__xludf.DUMMYFUNCTION("""COMPUTED_VALUE"""),"0866 543 687")</f>
        <v>0866 543 687</v>
      </c>
      <c r="B226" s="119" t="str">
        <f>IFERROR(__xludf.DUMMYFUNCTION("""COMPUTED_VALUE"""),"chú sơn")</f>
        <v>chú sơn</v>
      </c>
      <c r="C226" s="119" t="str">
        <f>IFERROR(__xludf.DUMMYFUNCTION("""COMPUTED_VALUE"""),"131 trần phú")</f>
        <v>131 trần phú</v>
      </c>
      <c r="D226" s="119" t="str">
        <f>IFERROR(__xludf.DUMMYFUNCTION("""COMPUTED_VALUE"""),"chó")</f>
        <v>chó</v>
      </c>
      <c r="E226" s="119" t="str">
        <f>IFERROR(__xludf.DUMMYFUNCTION("""COMPUTED_VALUE"""),"niu")</f>
        <v>niu</v>
      </c>
    </row>
    <row r="227" ht="15.75" customHeight="1">
      <c r="A227" s="122" t="str">
        <f>IFERROR(__xludf.DUMMYFUNCTION("""COMPUTED_VALUE"""),"0979 574 135")</f>
        <v>0979 574 135</v>
      </c>
      <c r="B227" s="119" t="str">
        <f>IFERROR(__xludf.DUMMYFUNCTION("""COMPUTED_VALUE"""),"Anh Đạt")</f>
        <v>Anh Đạt</v>
      </c>
      <c r="C227" s="119" t="str">
        <f>IFERROR(__xludf.DUMMYFUNCTION("""COMPUTED_VALUE"""),"200 Nguyễn xí")</f>
        <v>200 Nguyễn xí</v>
      </c>
      <c r="D227" s="119" t="str">
        <f>IFERROR(__xludf.DUMMYFUNCTION("""COMPUTED_VALUE"""),"chó")</f>
        <v>chó</v>
      </c>
      <c r="E227" s="119" t="str">
        <f>IFERROR(__xludf.DUMMYFUNCTION("""COMPUTED_VALUE"""),"đen")</f>
        <v>đen</v>
      </c>
    </row>
    <row r="228" ht="15.75" customHeight="1">
      <c r="A228" s="122" t="str">
        <f>IFERROR(__xludf.DUMMYFUNCTION("""COMPUTED_VALUE"""),"0358 921 632")</f>
        <v>0358 921 632</v>
      </c>
      <c r="B228" s="119" t="str">
        <f>IFERROR(__xludf.DUMMYFUNCTION("""COMPUTED_VALUE"""),"anh thanh")</f>
        <v>anh thanh</v>
      </c>
      <c r="C228" s="119" t="str">
        <f>IFERROR(__xludf.DUMMYFUNCTION("""COMPUTED_VALUE"""),"75 hồ đắc di")</f>
        <v>75 hồ đắc di</v>
      </c>
      <c r="D228" s="119" t="str">
        <f>IFERROR(__xludf.DUMMYFUNCTION("""COMPUTED_VALUE"""),"mèo ")</f>
        <v>mèo </v>
      </c>
      <c r="E228" s="119" t="str">
        <f>IFERROR(__xludf.DUMMYFUNCTION("""COMPUTED_VALUE"""),"tom")</f>
        <v>tom</v>
      </c>
    </row>
    <row r="229" ht="15.75" customHeight="1">
      <c r="A229" s="122" t="str">
        <f>IFERROR(__xludf.DUMMYFUNCTION("""COMPUTED_VALUE"""),"0327 325 770")</f>
        <v>0327 325 770</v>
      </c>
      <c r="B229" s="119" t="str">
        <f>IFERROR(__xludf.DUMMYFUNCTION("""COMPUTED_VALUE"""),"Chị Trâm")</f>
        <v>Chị Trâm</v>
      </c>
      <c r="C229" s="119" t="str">
        <f>IFERROR(__xludf.DUMMYFUNCTION("""COMPUTED_VALUE"""),"22/9/131 Trần Phú")</f>
        <v>22/9/131 Trần Phú</v>
      </c>
      <c r="D229" s="119" t="str">
        <f>IFERROR(__xludf.DUMMYFUNCTION("""COMPUTED_VALUE"""),"Mèo")</f>
        <v>Mèo</v>
      </c>
      <c r="E229" s="119" t="str">
        <f>IFERROR(__xludf.DUMMYFUNCTION("""COMPUTED_VALUE"""),"Út")</f>
        <v>Út</v>
      </c>
    </row>
    <row r="230" ht="15.75" customHeight="1">
      <c r="A230" s="122" t="str">
        <f>IFERROR(__xludf.DUMMYFUNCTION("""COMPUTED_VALUE"""),"0782 773 304")</f>
        <v>0782 773 304</v>
      </c>
      <c r="B230" s="119" t="str">
        <f>IFERROR(__xludf.DUMMYFUNCTION("""COMPUTED_VALUE"""),"Anh Hợi")</f>
        <v>Anh Hợi</v>
      </c>
      <c r="C230" s="119" t="str">
        <f>IFERROR(__xludf.DUMMYFUNCTION("""COMPUTED_VALUE"""),"0/9/87 Nguyễn Huệ")</f>
        <v>0/9/87 Nguyễn Huệ</v>
      </c>
      <c r="D230" s="119" t="str">
        <f>IFERROR(__xludf.DUMMYFUNCTION("""COMPUTED_VALUE"""),"chó")</f>
        <v>chó</v>
      </c>
      <c r="E230" s="119" t="str">
        <f>IFERROR(__xludf.DUMMYFUNCTION("""COMPUTED_VALUE"""),"mun")</f>
        <v>mun</v>
      </c>
    </row>
    <row r="231" ht="15.75" customHeight="1">
      <c r="A231" s="122" t="str">
        <f>IFERROR(__xludf.DUMMYFUNCTION("""COMPUTED_VALUE"""),"0899 865 246")</f>
        <v>0899 865 246</v>
      </c>
      <c r="B231" s="127" t="str">
        <f>IFERROR(__xludf.DUMMYFUNCTION("""COMPUTED_VALUE"""),"Anh Lộc")</f>
        <v>Anh Lộc</v>
      </c>
      <c r="C231" s="119" t="str">
        <f>IFERROR(__xludf.DUMMYFUNCTION("""COMPUTED_VALUE"""),"13/58 Duy Tân")</f>
        <v>13/58 Duy Tân</v>
      </c>
      <c r="D231" s="119" t="str">
        <f>IFERROR(__xludf.DUMMYFUNCTION("""COMPUTED_VALUE"""),"chó")</f>
        <v>chó</v>
      </c>
      <c r="E231" s="119" t="str">
        <f>IFERROR(__xludf.DUMMYFUNCTION("""COMPUTED_VALUE"""),"bốp")</f>
        <v>bốp</v>
      </c>
    </row>
    <row r="232" ht="15.75" customHeight="1">
      <c r="A232" s="122" t="str">
        <f>IFERROR(__xludf.DUMMYFUNCTION("""COMPUTED_VALUE"""),"0935 126 571")</f>
        <v>0935 126 571</v>
      </c>
      <c r="B232" s="119" t="str">
        <f>IFERROR(__xludf.DUMMYFUNCTION("""COMPUTED_VALUE"""),"Nguyễn Thị Thùy Dương")</f>
        <v>Nguyễn Thị Thùy Dương</v>
      </c>
      <c r="C232" s="119" t="str">
        <f>IFERROR(__xludf.DUMMYFUNCTION("""COMPUTED_VALUE"""),"62 nguyễn hoàng")</f>
        <v>62 nguyễn hoàng</v>
      </c>
      <c r="D232" s="119" t="str">
        <f>IFERROR(__xludf.DUMMYFUNCTION("""COMPUTED_VALUE"""),"mèo")</f>
        <v>mèo</v>
      </c>
      <c r="E232" s="119" t="str">
        <f>IFERROR(__xludf.DUMMYFUNCTION("""COMPUTED_VALUE"""),"Bơ")</f>
        <v>Bơ</v>
      </c>
    </row>
    <row r="233" ht="15.75" customHeight="1">
      <c r="A233" s="122" t="str">
        <f>IFERROR(__xludf.DUMMYFUNCTION("""COMPUTED_VALUE"""),"0383 536 924")</f>
        <v>0383 536 924</v>
      </c>
      <c r="B233" s="119" t="str">
        <f>IFERROR(__xludf.DUMMYFUNCTION("""COMPUTED_VALUE"""),"chị trâm")</f>
        <v>chị trâm</v>
      </c>
      <c r="C233" s="119"/>
      <c r="D233" s="119" t="str">
        <f>IFERROR(__xludf.DUMMYFUNCTION("""COMPUTED_VALUE"""),"mèo")</f>
        <v>mèo</v>
      </c>
      <c r="E233" s="119" t="str">
        <f>IFERROR(__xludf.DUMMYFUNCTION("""COMPUTED_VALUE"""),"heo")</f>
        <v>heo</v>
      </c>
    </row>
    <row r="234" ht="15.75" customHeight="1">
      <c r="A234" s="122" t="str">
        <f>IFERROR(__xludf.DUMMYFUNCTION("""COMPUTED_VALUE"""),"0333 575 875")</f>
        <v>0333 575 875</v>
      </c>
      <c r="B234" s="119" t="str">
        <f>IFERROR(__xludf.DUMMYFUNCTION("""COMPUTED_VALUE"""),"Đặng Khánh Ngọc")</f>
        <v>Đặng Khánh Ngọc</v>
      </c>
      <c r="C234" s="119" t="str">
        <f>IFERROR(__xludf.DUMMYFUNCTION("""COMPUTED_VALUE"""),"25 Đào Tấn")</f>
        <v>25 Đào Tấn</v>
      </c>
      <c r="D234" s="119" t="str">
        <f>IFERROR(__xludf.DUMMYFUNCTION("""COMPUTED_VALUE"""),"Mèo")</f>
        <v>Mèo</v>
      </c>
      <c r="E234" s="119" t="str">
        <f>IFERROR(__xludf.DUMMYFUNCTION("""COMPUTED_VALUE"""),"Lem")</f>
        <v>Lem</v>
      </c>
    </row>
    <row r="235" ht="15.75" customHeight="1">
      <c r="A235" s="122" t="str">
        <f>IFERROR(__xludf.DUMMYFUNCTION("""COMPUTED_VALUE"""),"0354 446 395")</f>
        <v>0354 446 395</v>
      </c>
      <c r="B235" s="119" t="str">
        <f>IFERROR(__xludf.DUMMYFUNCTION("""COMPUTED_VALUE"""),"Ngọc Huyền")</f>
        <v>Ngọc Huyền</v>
      </c>
      <c r="C235" s="119" t="str">
        <f>IFERROR(__xludf.DUMMYFUNCTION("""COMPUTED_VALUE"""),"109 Minh Mạng")</f>
        <v>109 Minh Mạng</v>
      </c>
      <c r="D235" s="119" t="str">
        <f>IFERROR(__xludf.DUMMYFUNCTION("""COMPUTED_VALUE"""),"mèo")</f>
        <v>mèo</v>
      </c>
      <c r="E235" s="119" t="str">
        <f>IFERROR(__xludf.DUMMYFUNCTION("""COMPUTED_VALUE"""),"go")</f>
        <v>go</v>
      </c>
    </row>
    <row r="236" ht="15.75" customHeight="1">
      <c r="A236" s="122" t="str">
        <f>IFERROR(__xludf.DUMMYFUNCTION("""COMPUTED_VALUE"""),"0399 508 246")</f>
        <v>0399 508 246</v>
      </c>
      <c r="B236" s="119" t="str">
        <f>IFERROR(__xludf.DUMMYFUNCTION("""COMPUTED_VALUE"""),"Em Kim An")</f>
        <v>Em Kim An</v>
      </c>
      <c r="C236" s="119" t="str">
        <f>IFERROR(__xludf.DUMMYFUNCTION("""COMPUTED_VALUE"""),"10/4 Lê Tự Nhiên")</f>
        <v>10/4 Lê Tự Nhiên</v>
      </c>
      <c r="D236" s="119" t="str">
        <f>IFERROR(__xludf.DUMMYFUNCTION("""COMPUTED_VALUE"""),"Chim")</f>
        <v>Chim</v>
      </c>
      <c r="E236" s="119" t="str">
        <f>IFERROR(__xludf.DUMMYFUNCTION("""COMPUTED_VALUE"""),"KEM")</f>
        <v>KEM</v>
      </c>
    </row>
    <row r="237" ht="15.75" customHeight="1">
      <c r="A237" s="122" t="str">
        <f>IFERROR(__xludf.DUMMYFUNCTION("""COMPUTED_VALUE"""),"0384 188 000")</f>
        <v>0384 188 000</v>
      </c>
      <c r="B237" s="119"/>
      <c r="C237" s="119" t="str">
        <f>IFERROR(__xludf.DUMMYFUNCTION("""COMPUTED_VALUE"""),"chùa Tường Vân")</f>
        <v>chùa Tường Vân</v>
      </c>
      <c r="D237" s="119" t="str">
        <f>IFERROR(__xludf.DUMMYFUNCTION("""COMPUTED_VALUE"""),"mèo")</f>
        <v>mèo</v>
      </c>
      <c r="E237" s="119" t="str">
        <f>IFERROR(__xludf.DUMMYFUNCTION("""COMPUTED_VALUE"""),"Bông")</f>
        <v>Bông</v>
      </c>
    </row>
    <row r="238" ht="15.75" customHeight="1">
      <c r="A238" s="122" t="str">
        <f>IFERROR(__xludf.DUMMYFUNCTION("""COMPUTED_VALUE"""),"0783 454 663")</f>
        <v>0783 454 663</v>
      </c>
      <c r="B238" s="119" t="str">
        <f>IFERROR(__xludf.DUMMYFUNCTION("""COMPUTED_VALUE"""),"em Thái")</f>
        <v>em Thái</v>
      </c>
      <c r="C238" s="119" t="str">
        <f>IFERROR(__xludf.DUMMYFUNCTION("""COMPUTED_VALUE"""),"36k131 Trần Phú")</f>
        <v>36k131 Trần Phú</v>
      </c>
      <c r="D238" s="119" t="str">
        <f>IFERROR(__xludf.DUMMYFUNCTION("""COMPUTED_VALUE"""),"chó")</f>
        <v>chó</v>
      </c>
      <c r="E238" s="119" t="str">
        <f>IFERROR(__xludf.DUMMYFUNCTION("""COMPUTED_VALUE"""),"gấu")</f>
        <v>gấu</v>
      </c>
    </row>
    <row r="239" ht="15.75" customHeight="1">
      <c r="A239" s="122" t="str">
        <f>IFERROR(__xludf.DUMMYFUNCTION("""COMPUTED_VALUE"""),"0896 470 768")</f>
        <v>0896 470 768</v>
      </c>
      <c r="B239" s="119" t="str">
        <f>IFERROR(__xludf.DUMMYFUNCTION("""COMPUTED_VALUE"""),"Thiên Hương")</f>
        <v>Thiên Hương</v>
      </c>
      <c r="C239" s="119" t="str">
        <f>IFERROR(__xludf.DUMMYFUNCTION("""COMPUTED_VALUE"""),"16 Bông Văn Dĩa")</f>
        <v>16 Bông Văn Dĩa</v>
      </c>
      <c r="D239" s="119" t="str">
        <f>IFERROR(__xludf.DUMMYFUNCTION("""COMPUTED_VALUE"""),"Chó")</f>
        <v>Chó</v>
      </c>
      <c r="E239" s="119" t="str">
        <f>IFERROR(__xludf.DUMMYFUNCTION("""COMPUTED_VALUE"""),"Bo")</f>
        <v>Bo</v>
      </c>
    </row>
    <row r="240" ht="15.75" customHeight="1">
      <c r="A240" s="122" t="str">
        <f>IFERROR(__xludf.DUMMYFUNCTION("""COMPUTED_VALUE"""),"0796 082 177")</f>
        <v>0796 082 177</v>
      </c>
      <c r="B240" s="119" t="str">
        <f>IFERROR(__xludf.DUMMYFUNCTION("""COMPUTED_VALUE"""),"Chị Thảo")</f>
        <v>Chị Thảo</v>
      </c>
      <c r="C240" s="119" t="str">
        <f>IFERROR(__xludf.DUMMYFUNCTION("""COMPUTED_VALUE"""),"Thủy Bằng")</f>
        <v>Thủy Bằng</v>
      </c>
      <c r="D240" s="119" t="str">
        <f>IFERROR(__xludf.DUMMYFUNCTION("""COMPUTED_VALUE"""),"Mèo")</f>
        <v>Mèo</v>
      </c>
      <c r="E240" s="119" t="str">
        <f>IFERROR(__xludf.DUMMYFUNCTION("""COMPUTED_VALUE"""),"Zozo")</f>
        <v>Zozo</v>
      </c>
    </row>
    <row r="241" ht="15.75" customHeight="1">
      <c r="A241" s="122" t="str">
        <f>IFERROR(__xludf.DUMMYFUNCTION("""COMPUTED_VALUE"""),"0703 734 557")</f>
        <v>0703 734 557</v>
      </c>
      <c r="B241" s="119" t="str">
        <f>IFERROR(__xludf.DUMMYFUNCTION("""COMPUTED_VALUE"""),"Anh Lộc")</f>
        <v>Anh Lộc</v>
      </c>
      <c r="C241" s="119" t="str">
        <f>IFERROR(__xludf.DUMMYFUNCTION("""COMPUTED_VALUE"""),"69 Huyền Trân Công Chúa")</f>
        <v>69 Huyền Trân Công Chúa</v>
      </c>
      <c r="D241" s="119" t="str">
        <f>IFERROR(__xludf.DUMMYFUNCTION("""COMPUTED_VALUE"""),"Chó")</f>
        <v>Chó</v>
      </c>
      <c r="E241" s="119" t="str">
        <f>IFERROR(__xludf.DUMMYFUNCTION("""COMPUTED_VALUE"""),"Mì")</f>
        <v>Mì</v>
      </c>
    </row>
    <row r="242" ht="15.75" customHeight="1">
      <c r="A242" s="124" t="str">
        <f>IFERROR(__xludf.DUMMYFUNCTION("""COMPUTED_VALUE"""),"0359 176 954")</f>
        <v>0359 176 954</v>
      </c>
      <c r="B242" s="125" t="str">
        <f>IFERROR(__xludf.DUMMYFUNCTION("""COMPUTED_VALUE"""),"Anh Thành Nhân")</f>
        <v>Anh Thành Nhân</v>
      </c>
      <c r="C242" s="125" t="str">
        <f>IFERROR(__xludf.DUMMYFUNCTION("""COMPUTED_VALUE"""),"xuân Diệu")</f>
        <v>xuân Diệu</v>
      </c>
      <c r="D242" s="125" t="str">
        <f>IFERROR(__xludf.DUMMYFUNCTION("""COMPUTED_VALUE"""),"mèo")</f>
        <v>mèo</v>
      </c>
      <c r="E242" s="119"/>
    </row>
    <row r="243" ht="15.75" customHeight="1">
      <c r="A243" s="122" t="str">
        <f>IFERROR(__xludf.DUMMYFUNCTION("""COMPUTED_VALUE"""),"0775 564 453")</f>
        <v>0775 564 453</v>
      </c>
      <c r="B243" s="119" t="str">
        <f>IFERROR(__xludf.DUMMYFUNCTION("""COMPUTED_VALUE"""),"Chị Thư")</f>
        <v>Chị Thư</v>
      </c>
      <c r="C243" s="119" t="str">
        <f>IFERROR(__xludf.DUMMYFUNCTION("""COMPUTED_VALUE"""),"3/79 Phạm Thị Liên")</f>
        <v>3/79 Phạm Thị Liên</v>
      </c>
      <c r="D243" s="119" t="str">
        <f>IFERROR(__xludf.DUMMYFUNCTION("""COMPUTED_VALUE"""),"Chó")</f>
        <v>Chó</v>
      </c>
      <c r="E243" s="119" t="str">
        <f>IFERROR(__xludf.DUMMYFUNCTION("""COMPUTED_VALUE"""),"Nâu")</f>
        <v>Nâu</v>
      </c>
    </row>
    <row r="244" ht="15.75" customHeight="1">
      <c r="A244" s="122" t="str">
        <f>IFERROR(__xludf.DUMMYFUNCTION("""COMPUTED_VALUE"""),"0934 903 018")</f>
        <v>0934 903 018</v>
      </c>
      <c r="B244" s="119" t="str">
        <f>IFERROR(__xludf.DUMMYFUNCTION("""COMPUTED_VALUE"""),"Anh tuấn")</f>
        <v>Anh tuấn</v>
      </c>
      <c r="C244" s="119" t="str">
        <f>IFERROR(__xludf.DUMMYFUNCTION("""COMPUTED_VALUE"""),"122 Vạn Xuân")</f>
        <v>122 Vạn Xuân</v>
      </c>
      <c r="D244" s="119" t="str">
        <f>IFERROR(__xludf.DUMMYFUNCTION("""COMPUTED_VALUE"""),"Chó ")</f>
        <v>Chó </v>
      </c>
      <c r="E244" s="119" t="str">
        <f>IFERROR(__xludf.DUMMYFUNCTION("""COMPUTED_VALUE"""),"Noel")</f>
        <v>Noel</v>
      </c>
    </row>
    <row r="245" ht="15.75" customHeight="1">
      <c r="A245" s="122" t="str">
        <f>IFERROR(__xludf.DUMMYFUNCTION("""COMPUTED_VALUE"""),"0981 972 975")</f>
        <v>0981 972 975</v>
      </c>
      <c r="B245" s="119" t="str">
        <f>IFERROR(__xludf.DUMMYFUNCTION("""COMPUTED_VALUE"""),"Anh Pho")</f>
        <v>Anh Pho</v>
      </c>
      <c r="C245" s="119" t="str">
        <f>IFERROR(__xludf.DUMMYFUNCTION("""COMPUTED_VALUE"""),"132 Đặng Thái Thân")</f>
        <v>132 Đặng Thái Thân</v>
      </c>
      <c r="D245" s="119" t="str">
        <f>IFERROR(__xludf.DUMMYFUNCTION("""COMPUTED_VALUE"""),"chó ")</f>
        <v>chó </v>
      </c>
      <c r="E245" s="119" t="str">
        <f>IFERROR(__xludf.DUMMYFUNCTION("""COMPUTED_VALUE"""),"Yuki")</f>
        <v>Yuki</v>
      </c>
    </row>
    <row r="246" ht="15.75" customHeight="1">
      <c r="A246" s="122" t="str">
        <f>IFERROR(__xludf.DUMMYFUNCTION("""COMPUTED_VALUE"""),"0942 930 248")</f>
        <v>0942 930 248</v>
      </c>
      <c r="B246" s="119" t="str">
        <f>IFERROR(__xludf.DUMMYFUNCTION("""COMPUTED_VALUE"""),"Chị Trang")</f>
        <v>Chị Trang</v>
      </c>
      <c r="C246" s="119" t="str">
        <f>IFERROR(__xludf.DUMMYFUNCTION("""COMPUTED_VALUE"""),"Phong Điền")</f>
        <v>Phong Điền</v>
      </c>
      <c r="D246" s="119" t="str">
        <f>IFERROR(__xludf.DUMMYFUNCTION("""COMPUTED_VALUE"""),"mèo")</f>
        <v>mèo</v>
      </c>
      <c r="E246" s="119" t="str">
        <f>IFERROR(__xludf.DUMMYFUNCTION("""COMPUTED_VALUE"""),"Tôm")</f>
        <v>Tôm</v>
      </c>
    </row>
    <row r="247" ht="15.75" customHeight="1">
      <c r="A247" s="122" t="str">
        <f>IFERROR(__xludf.DUMMYFUNCTION("""COMPUTED_VALUE"""),"0935 959 959")</f>
        <v>0935 959 959</v>
      </c>
      <c r="B247" s="119" t="str">
        <f>IFERROR(__xludf.DUMMYFUNCTION("""COMPUTED_VALUE"""),"Chị Thanh")</f>
        <v>Chị Thanh</v>
      </c>
      <c r="C247" s="119" t="str">
        <f>IFERROR(__xludf.DUMMYFUNCTION("""COMPUTED_VALUE"""),"95 Đào Duy Từ")</f>
        <v>95 Đào Duy Từ</v>
      </c>
      <c r="D247" s="119" t="str">
        <f>IFERROR(__xludf.DUMMYFUNCTION("""COMPUTED_VALUE"""),"mèo")</f>
        <v>mèo</v>
      </c>
      <c r="E247" s="119" t="str">
        <f>IFERROR(__xludf.DUMMYFUNCTION("""COMPUTED_VALUE"""),"Sữa")</f>
        <v>Sữa</v>
      </c>
    </row>
    <row r="248" ht="15.75" customHeight="1">
      <c r="A248" s="122" t="str">
        <f>IFERROR(__xludf.DUMMYFUNCTION("""COMPUTED_VALUE"""),"0935 258 490")</f>
        <v>0935 258 490</v>
      </c>
      <c r="B248" s="119" t="str">
        <f>IFERROR(__xludf.DUMMYFUNCTION("""COMPUTED_VALUE"""),"Dì An")</f>
        <v>Dì An</v>
      </c>
      <c r="C248" s="119" t="str">
        <f>IFERROR(__xludf.DUMMYFUNCTION("""COMPUTED_VALUE"""),"16/15/69 k131 Trần Phú")</f>
        <v>16/15/69 k131 Trần Phú</v>
      </c>
      <c r="D248" s="119" t="str">
        <f>IFERROR(__xludf.DUMMYFUNCTION("""COMPUTED_VALUE"""),"chó")</f>
        <v>chó</v>
      </c>
      <c r="E248" s="119" t="str">
        <f>IFERROR(__xludf.DUMMYFUNCTION("""COMPUTED_VALUE"""),"ruby")</f>
        <v>ruby</v>
      </c>
    </row>
    <row r="249" ht="15.75" customHeight="1">
      <c r="A249" s="122" t="str">
        <f>IFERROR(__xludf.DUMMYFUNCTION("""COMPUTED_VALUE"""),"0969 511 002")</f>
        <v>0969 511 002</v>
      </c>
      <c r="B249" s="119" t="str">
        <f>IFERROR(__xludf.DUMMYFUNCTION("""COMPUTED_VALUE"""),"Anh Hiệp (đồng nghiệp cô)")</f>
        <v>Anh Hiệp (đồng nghiệp cô)</v>
      </c>
      <c r="C249" s="119"/>
      <c r="D249" s="119"/>
      <c r="E249" s="119"/>
    </row>
    <row r="250" ht="15.75" customHeight="1">
      <c r="A250" s="122" t="str">
        <f>IFERROR(__xludf.DUMMYFUNCTION("""COMPUTED_VALUE"""),"0357 850 875")</f>
        <v>0357 850 875</v>
      </c>
      <c r="B250" s="119" t="str">
        <f>IFERROR(__xludf.DUMMYFUNCTION("""COMPUTED_VALUE"""),"em Hoàng Anh")</f>
        <v>em Hoàng Anh</v>
      </c>
      <c r="C250" s="119" t="str">
        <f>IFERROR(__xludf.DUMMYFUNCTION("""COMPUTED_VALUE"""),"13/1k3 Lịch Đợi")</f>
        <v>13/1k3 Lịch Đợi</v>
      </c>
      <c r="D250" s="119" t="str">
        <f>IFERROR(__xludf.DUMMYFUNCTION("""COMPUTED_VALUE"""),"chó")</f>
        <v>chó</v>
      </c>
      <c r="E250" s="119" t="str">
        <f>IFERROR(__xludf.DUMMYFUNCTION("""COMPUTED_VALUE"""),"nâu")</f>
        <v>nâu</v>
      </c>
    </row>
    <row r="251" ht="15.75" customHeight="1">
      <c r="A251" s="122" t="str">
        <f>IFERROR(__xludf.DUMMYFUNCTION("""COMPUTED_VALUE"""),"0884 126 757")</f>
        <v>0884 126 757</v>
      </c>
      <c r="B251" s="119"/>
      <c r="C251" s="119" t="str">
        <f>IFERROR(__xludf.DUMMYFUNCTION("""COMPUTED_VALUE"""),"Quảng Trị")</f>
        <v>Quảng Trị</v>
      </c>
      <c r="D251" s="119"/>
      <c r="E251" s="119"/>
    </row>
    <row r="252" ht="15.75" customHeight="1">
      <c r="A252" s="122" t="str">
        <f>IFERROR(__xludf.DUMMYFUNCTION("""COMPUTED_VALUE"""),"0773 460 643")</f>
        <v>0773 460 643</v>
      </c>
      <c r="B252" s="119" t="str">
        <f>IFERROR(__xludf.DUMMYFUNCTION("""COMPUTED_VALUE"""),"Anh Thái")</f>
        <v>Anh Thái</v>
      </c>
      <c r="C252" s="119" t="str">
        <f>IFERROR(__xludf.DUMMYFUNCTION("""COMPUTED_VALUE"""),"26 Kim Long")</f>
        <v>26 Kim Long</v>
      </c>
      <c r="D252" s="119" t="str">
        <f>IFERROR(__xludf.DUMMYFUNCTION("""COMPUTED_VALUE"""),"Chó")</f>
        <v>Chó</v>
      </c>
      <c r="E252" s="119" t="str">
        <f>IFERROR(__xludf.DUMMYFUNCTION("""COMPUTED_VALUE"""),"Cốp")</f>
        <v>Cốp</v>
      </c>
    </row>
    <row r="253" ht="15.75" customHeight="1">
      <c r="A253" s="122" t="str">
        <f>IFERROR(__xludf.DUMMYFUNCTION("""COMPUTED_VALUE"""),"0896 632 954")</f>
        <v>0896 632 954</v>
      </c>
      <c r="B253" s="119" t="str">
        <f>IFERROR(__xludf.DUMMYFUNCTION("""COMPUTED_VALUE"""),"Em Linh")</f>
        <v>Em Linh</v>
      </c>
      <c r="C253" s="119" t="str">
        <f>IFERROR(__xludf.DUMMYFUNCTION("""COMPUTED_VALUE"""),"59/42 Lý Nam Đế")</f>
        <v>59/42 Lý Nam Đế</v>
      </c>
      <c r="D253" s="119" t="str">
        <f>IFERROR(__xludf.DUMMYFUNCTION("""COMPUTED_VALUE"""),"Chó")</f>
        <v>Chó</v>
      </c>
      <c r="E253" s="119" t="str">
        <f>IFERROR(__xludf.DUMMYFUNCTION("""COMPUTED_VALUE"""),"Bông")</f>
        <v>Bông</v>
      </c>
    </row>
    <row r="254" ht="15.75" customHeight="1">
      <c r="A254" s="122" t="str">
        <f>IFERROR(__xludf.DUMMYFUNCTION("""COMPUTED_VALUE"""),"0914 443 636")</f>
        <v>0914 443 636</v>
      </c>
      <c r="B254" s="119" t="str">
        <f>IFERROR(__xludf.DUMMYFUNCTION("""COMPUTED_VALUE"""),"Chị Liên")</f>
        <v>Chị Liên</v>
      </c>
      <c r="C254" s="119" t="str">
        <f>IFERROR(__xludf.DUMMYFUNCTION("""COMPUTED_VALUE"""),"phú vang")</f>
        <v>phú vang</v>
      </c>
      <c r="D254" s="119" t="str">
        <f>IFERROR(__xludf.DUMMYFUNCTION("""COMPUTED_VALUE"""),"chó")</f>
        <v>chó</v>
      </c>
      <c r="E254" s="119"/>
    </row>
    <row r="255" ht="15.75" customHeight="1">
      <c r="A255" s="122" t="str">
        <f>IFERROR(__xludf.DUMMYFUNCTION("""COMPUTED_VALUE"""),"0785 555 449")</f>
        <v>0785 555 449</v>
      </c>
      <c r="B255" s="119" t="str">
        <f>IFERROR(__xludf.DUMMYFUNCTION("""COMPUTED_VALUE"""),"Anh Phụng")</f>
        <v>Anh Phụng</v>
      </c>
      <c r="C255" s="119" t="str">
        <f>IFERROR(__xludf.DUMMYFUNCTION("""COMPUTED_VALUE"""),"13/21 Xuân Diệu")</f>
        <v>13/21 Xuân Diệu</v>
      </c>
      <c r="D255" s="119" t="str">
        <f>IFERROR(__xludf.DUMMYFUNCTION("""COMPUTED_VALUE"""),"Mèo ")</f>
        <v>Mèo </v>
      </c>
      <c r="E255" s="119"/>
    </row>
    <row r="256" ht="15.75" customHeight="1">
      <c r="A256" s="122" t="str">
        <f>IFERROR(__xludf.DUMMYFUNCTION("""COMPUTED_VALUE"""),"0357 953 262")</f>
        <v>0357 953 262</v>
      </c>
      <c r="B256" s="119" t="str">
        <f>IFERROR(__xludf.DUMMYFUNCTION("""COMPUTED_VALUE"""),"Anh Phong")</f>
        <v>Anh Phong</v>
      </c>
      <c r="C256" s="119" t="str">
        <f>IFERROR(__xludf.DUMMYFUNCTION("""COMPUTED_VALUE"""),"05 Lương Quán, Thủy Biều")</f>
        <v>05 Lương Quán, Thủy Biều</v>
      </c>
      <c r="D256" s="119" t="str">
        <f>IFERROR(__xludf.DUMMYFUNCTION("""COMPUTED_VALUE"""),"Chó")</f>
        <v>Chó</v>
      </c>
      <c r="E256" s="119" t="str">
        <f>IFERROR(__xludf.DUMMYFUNCTION("""COMPUTED_VALUE"""),"Mập")</f>
        <v>Mập</v>
      </c>
    </row>
    <row r="257" ht="15.75" customHeight="1">
      <c r="A257" s="122" t="str">
        <f>IFERROR(__xludf.DUMMYFUNCTION("""COMPUTED_VALUE"""),"0915 260 506")</f>
        <v>0915 260 506</v>
      </c>
      <c r="B257" s="119" t="str">
        <f>IFERROR(__xludf.DUMMYFUNCTION("""COMPUTED_VALUE"""),"em Uyên")</f>
        <v>em Uyên</v>
      </c>
      <c r="C257" s="119" t="str">
        <f>IFERROR(__xludf.DUMMYFUNCTION("""COMPUTED_VALUE"""),"3/51/69/131 Trần Phú")</f>
        <v>3/51/69/131 Trần Phú</v>
      </c>
      <c r="D257" s="119" t="str">
        <f>IFERROR(__xludf.DUMMYFUNCTION("""COMPUTED_VALUE"""),"chó")</f>
        <v>chó</v>
      </c>
      <c r="E257" s="119" t="str">
        <f>IFERROR(__xludf.DUMMYFUNCTION("""COMPUTED_VALUE"""),"la")</f>
        <v>la</v>
      </c>
    </row>
    <row r="258" ht="15.75" customHeight="1">
      <c r="A258" s="122" t="str">
        <f>IFERROR(__xludf.DUMMYFUNCTION("""COMPUTED_VALUE"""),"0378 288 948")</f>
        <v>0378 288 948</v>
      </c>
      <c r="B258" s="119" t="str">
        <f>IFERROR(__xludf.DUMMYFUNCTION("""COMPUTED_VALUE"""),"Anh Quốc Huy")</f>
        <v>Anh Quốc Huy</v>
      </c>
      <c r="C258" s="119" t="str">
        <f>IFERROR(__xludf.DUMMYFUNCTION("""COMPUTED_VALUE"""),"1/138 Phạm Thị Liên")</f>
        <v>1/138 Phạm Thị Liên</v>
      </c>
      <c r="D258" s="119" t="str">
        <f>IFERROR(__xludf.DUMMYFUNCTION("""COMPUTED_VALUE"""),"Mèo ")</f>
        <v>Mèo </v>
      </c>
      <c r="E258" s="119" t="str">
        <f>IFERROR(__xludf.DUMMYFUNCTION("""COMPUTED_VALUE"""),"Xám")</f>
        <v>Xám</v>
      </c>
    </row>
    <row r="259" ht="15.75" customHeight="1">
      <c r="A259" s="122" t="str">
        <f>IFERROR(__xludf.DUMMYFUNCTION("""COMPUTED_VALUE"""),"0362 377 667")</f>
        <v>0362 377 667</v>
      </c>
      <c r="B259" s="119" t="str">
        <f>IFERROR(__xludf.DUMMYFUNCTION("""COMPUTED_VALUE"""),"Dì Mười")</f>
        <v>Dì Mười</v>
      </c>
      <c r="C259" s="119" t="str">
        <f>IFERROR(__xludf.DUMMYFUNCTION("""COMPUTED_VALUE"""),"44/200 Lý Nam Đế")</f>
        <v>44/200 Lý Nam Đế</v>
      </c>
      <c r="D259" s="119" t="str">
        <f>IFERROR(__xludf.DUMMYFUNCTION("""COMPUTED_VALUE"""),"chó ")</f>
        <v>chó </v>
      </c>
      <c r="E259" s="119" t="str">
        <f>IFERROR(__xludf.DUMMYFUNCTION("""COMPUTED_VALUE"""),"Vàng")</f>
        <v>Vàng</v>
      </c>
    </row>
    <row r="260" ht="15.75" customHeight="1">
      <c r="A260" s="122" t="str">
        <f>IFERROR(__xludf.DUMMYFUNCTION("""COMPUTED_VALUE"""),"0866 227 736")</f>
        <v>0866 227 736</v>
      </c>
      <c r="B260" s="119" t="str">
        <f>IFERROR(__xludf.DUMMYFUNCTION("""COMPUTED_VALUE"""),"Em Nhật Nam")</f>
        <v>Em Nhật Nam</v>
      </c>
      <c r="C260" s="119" t="str">
        <f>IFERROR(__xludf.DUMMYFUNCTION("""COMPUTED_VALUE"""),"35 Hoàng Thanh")</f>
        <v>35 Hoàng Thanh</v>
      </c>
      <c r="D260" s="119" t="str">
        <f>IFERROR(__xludf.DUMMYFUNCTION("""COMPUTED_VALUE"""),"Chó")</f>
        <v>Chó</v>
      </c>
      <c r="E260" s="119" t="str">
        <f>IFERROR(__xludf.DUMMYFUNCTION("""COMPUTED_VALUE"""),"Min")</f>
        <v>Min</v>
      </c>
    </row>
    <row r="261" ht="15.75" customHeight="1">
      <c r="A261" s="122" t="str">
        <f>IFERROR(__xludf.DUMMYFUNCTION("""COMPUTED_VALUE"""),"0932 523 826")</f>
        <v>0932 523 826</v>
      </c>
      <c r="B261" s="119" t="str">
        <f>IFERROR(__xludf.DUMMYFUNCTION("""COMPUTED_VALUE"""),"Chị Quỳnh Nhi")</f>
        <v>Chị Quỳnh Nhi</v>
      </c>
      <c r="C261" s="119" t="str">
        <f>IFERROR(__xludf.DUMMYFUNCTION("""COMPUTED_VALUE"""),"Cầu Ngôi Thanh Toàn")</f>
        <v>Cầu Ngôi Thanh Toàn</v>
      </c>
      <c r="D261" s="119" t="str">
        <f>IFERROR(__xludf.DUMMYFUNCTION("""COMPUTED_VALUE"""),"Chó")</f>
        <v>Chó</v>
      </c>
      <c r="E261" s="119" t="str">
        <f>IFERROR(__xludf.DUMMYFUNCTION("""COMPUTED_VALUE"""),"Nini")</f>
        <v>Nini</v>
      </c>
    </row>
    <row r="262" ht="15.75" customHeight="1">
      <c r="A262" s="122" t="str">
        <f>IFERROR(__xludf.DUMMYFUNCTION("""COMPUTED_VALUE"""),"0837 009 277")</f>
        <v>0837 009 277</v>
      </c>
      <c r="B262" s="119" t="str">
        <f>IFERROR(__xludf.DUMMYFUNCTION("""COMPUTED_VALUE"""),"Lê đức bảo")</f>
        <v>Lê đức bảo</v>
      </c>
      <c r="C262" s="119" t="str">
        <f>IFERROR(__xludf.DUMMYFUNCTION("""COMPUTED_VALUE"""),"4A1/98 triệu quang phục")</f>
        <v>4A1/98 triệu quang phục</v>
      </c>
      <c r="D262" s="119" t="str">
        <f>IFERROR(__xludf.DUMMYFUNCTION("""COMPUTED_VALUE"""),"mèo ")</f>
        <v>mèo </v>
      </c>
      <c r="E262" s="119" t="str">
        <f>IFERROR(__xludf.DUMMYFUNCTION("""COMPUTED_VALUE"""),"LU")</f>
        <v>LU</v>
      </c>
    </row>
    <row r="263" ht="15.75" customHeight="1">
      <c r="A263" s="122" t="str">
        <f>IFERROR(__xludf.DUMMYFUNCTION("""COMPUTED_VALUE"""),"0914 173 356")</f>
        <v>0914 173 356</v>
      </c>
      <c r="B263" s="119" t="str">
        <f>IFERROR(__xludf.DUMMYFUNCTION("""COMPUTED_VALUE"""),"Chú Mỹ")</f>
        <v>Chú Mỹ</v>
      </c>
      <c r="C263" s="119" t="str">
        <f>IFERROR(__xludf.DUMMYFUNCTION("""COMPUTED_VALUE"""),"1 Thái Phiên")</f>
        <v>1 Thái Phiên</v>
      </c>
      <c r="D263" s="119" t="str">
        <f>IFERROR(__xludf.DUMMYFUNCTION("""COMPUTED_VALUE"""),"Chó")</f>
        <v>Chó</v>
      </c>
      <c r="E263" s="119" t="str">
        <f>IFERROR(__xludf.DUMMYFUNCTION("""COMPUTED_VALUE"""),"Đốm")</f>
        <v>Đốm</v>
      </c>
    </row>
    <row r="264" ht="15.75" customHeight="1">
      <c r="A264" s="122" t="str">
        <f>IFERROR(__xludf.DUMMYFUNCTION("""COMPUTED_VALUE"""),"0915 115 887")</f>
        <v>0915 115 887</v>
      </c>
      <c r="B264" s="119" t="str">
        <f>IFERROR(__xludf.DUMMYFUNCTION("""COMPUTED_VALUE"""),"Chị Huyền")</f>
        <v>Chị Huyền</v>
      </c>
      <c r="C264" s="119" t="str">
        <f>IFERROR(__xludf.DUMMYFUNCTION("""COMPUTED_VALUE"""),"8/78 Phạm Thị Liên")</f>
        <v>8/78 Phạm Thị Liên</v>
      </c>
      <c r="D264" s="119" t="str">
        <f>IFERROR(__xludf.DUMMYFUNCTION("""COMPUTED_VALUE"""),"Chó")</f>
        <v>Chó</v>
      </c>
      <c r="E264" s="119" t="str">
        <f>IFERROR(__xludf.DUMMYFUNCTION("""COMPUTED_VALUE"""),"No")</f>
        <v>No</v>
      </c>
    </row>
    <row r="265" ht="15.75" customHeight="1">
      <c r="A265" s="122" t="str">
        <f>IFERROR(__xludf.DUMMYFUNCTION("""COMPUTED_VALUE"""),"0916 037 757")</f>
        <v>0916 037 757</v>
      </c>
      <c r="B265" s="119" t="str">
        <f>IFERROR(__xludf.DUMMYFUNCTION("""COMPUTED_VALUE"""),"chị Ngọc")</f>
        <v>chị Ngọc</v>
      </c>
      <c r="C265" s="119" t="str">
        <f>IFERROR(__xludf.DUMMYFUNCTION("""COMPUTED_VALUE"""),"Quảng Trị")</f>
        <v>Quảng Trị</v>
      </c>
      <c r="D265" s="119"/>
      <c r="E265" s="119"/>
    </row>
    <row r="266" ht="15.75" customHeight="1">
      <c r="A266" s="122" t="str">
        <f>IFERROR(__xludf.DUMMYFUNCTION("""COMPUTED_VALUE"""),"0903 585 210")</f>
        <v>0903 585 210</v>
      </c>
      <c r="B266" s="119" t="str">
        <f>IFERROR(__xludf.DUMMYFUNCTION("""COMPUTED_VALUE"""),"Dì Thứ")</f>
        <v>Dì Thứ</v>
      </c>
      <c r="C266" s="119" t="str">
        <f>IFERROR(__xludf.DUMMYFUNCTION("""COMPUTED_VALUE"""),"29 nguyễn phúc lan")</f>
        <v>29 nguyễn phúc lan</v>
      </c>
      <c r="D266" s="119" t="str">
        <f>IFERROR(__xludf.DUMMYFUNCTION("""COMPUTED_VALUE"""),"chó")</f>
        <v>chó</v>
      </c>
      <c r="E266" s="119" t="str">
        <f>IFERROR(__xludf.DUMMYFUNCTION("""COMPUTED_VALUE"""),"Báo")</f>
        <v>Báo</v>
      </c>
    </row>
    <row r="267" ht="15.75" customHeight="1">
      <c r="A267" s="122" t="str">
        <f>IFERROR(__xludf.DUMMYFUNCTION("""COMPUTED_VALUE"""),"0906 075 754")</f>
        <v>0906 075 754</v>
      </c>
      <c r="B267" s="119" t="str">
        <f>IFERROR(__xludf.DUMMYFUNCTION("""COMPUTED_VALUE"""),"Anh Quân")</f>
        <v>Anh Quân</v>
      </c>
      <c r="C267" s="119" t="str">
        <f>IFERROR(__xludf.DUMMYFUNCTION("""COMPUTED_VALUE"""),"07 Tây Sơn")</f>
        <v>07 Tây Sơn</v>
      </c>
      <c r="D267" s="119" t="str">
        <f>IFERROR(__xludf.DUMMYFUNCTION("""COMPUTED_VALUE"""),"chó")</f>
        <v>chó</v>
      </c>
      <c r="E267" s="119" t="str">
        <f>IFERROR(__xludf.DUMMYFUNCTION("""COMPUTED_VALUE"""),"blue")</f>
        <v>blue</v>
      </c>
    </row>
    <row r="268" ht="15.75" customHeight="1">
      <c r="A268" s="122" t="str">
        <f>IFERROR(__xludf.DUMMYFUNCTION("""COMPUTED_VALUE"""),"0913 427 225")</f>
        <v>0913 427 225</v>
      </c>
      <c r="B268" s="119" t="str">
        <f>IFERROR(__xludf.DUMMYFUNCTION("""COMPUTED_VALUE"""),"Chú Phúc")</f>
        <v>Chú Phúc</v>
      </c>
      <c r="C268" s="119" t="str">
        <f>IFERROR(__xludf.DUMMYFUNCTION("""COMPUTED_VALUE"""),"38 chế lan viên")</f>
        <v>38 chế lan viên</v>
      </c>
      <c r="D268" s="119" t="str">
        <f>IFERROR(__xludf.DUMMYFUNCTION("""COMPUTED_VALUE"""),"chó")</f>
        <v>chó</v>
      </c>
      <c r="E268" s="119" t="str">
        <f>IFERROR(__xludf.DUMMYFUNCTION("""COMPUTED_VALUE"""),"key")</f>
        <v>key</v>
      </c>
    </row>
    <row r="269" ht="15.75" customHeight="1">
      <c r="A269" s="122" t="str">
        <f>IFERROR(__xludf.DUMMYFUNCTION("""COMPUTED_VALUE"""),"0373 018 442")</f>
        <v>0373 018 442</v>
      </c>
      <c r="B269" s="119" t="str">
        <f>IFERROR(__xludf.DUMMYFUNCTION("""COMPUTED_VALUE"""),"Chú Lê")</f>
        <v>Chú Lê</v>
      </c>
      <c r="C269" s="119" t="str">
        <f>IFERROR(__xludf.DUMMYFUNCTION("""COMPUTED_VALUE"""),"104/17/9 Kim Long")</f>
        <v>104/17/9 Kim Long</v>
      </c>
      <c r="D269" s="119" t="str">
        <f>IFERROR(__xludf.DUMMYFUNCTION("""COMPUTED_VALUE"""),"Chó")</f>
        <v>Chó</v>
      </c>
      <c r="E269" s="119" t="str">
        <f>IFERROR(__xludf.DUMMYFUNCTION("""COMPUTED_VALUE"""),"Đốm")</f>
        <v>Đốm</v>
      </c>
    </row>
    <row r="270" ht="15.75" customHeight="1">
      <c r="A270" s="122" t="str">
        <f>IFERROR(__xludf.DUMMYFUNCTION("""COMPUTED_VALUE"""),"0964 496 903")</f>
        <v>0964 496 903</v>
      </c>
      <c r="B270" s="119" t="str">
        <f>IFERROR(__xludf.DUMMYFUNCTION("""COMPUTED_VALUE"""),"Chị Minh")</f>
        <v>Chị Minh</v>
      </c>
      <c r="C270" s="119" t="str">
        <f>IFERROR(__xludf.DUMMYFUNCTION("""COMPUTED_VALUE"""),"20k79 Minh Mạng")</f>
        <v>20k79 Minh Mạng</v>
      </c>
      <c r="D270" s="119" t="str">
        <f>IFERROR(__xludf.DUMMYFUNCTION("""COMPUTED_VALUE"""),"chó")</f>
        <v>chó</v>
      </c>
      <c r="E270" s="119" t="str">
        <f>IFERROR(__xludf.DUMMYFUNCTION("""COMPUTED_VALUE"""),"boy")</f>
        <v>boy</v>
      </c>
    </row>
    <row r="271" ht="15.75" customHeight="1">
      <c r="A271" s="122" t="str">
        <f>IFERROR(__xludf.DUMMYFUNCTION("""COMPUTED_VALUE"""),"0788 684 477")</f>
        <v>0788 684 477</v>
      </c>
      <c r="B271" s="119" t="str">
        <f>IFERROR(__xludf.DUMMYFUNCTION("""COMPUTED_VALUE"""),"chị khách")</f>
        <v>chị khách</v>
      </c>
      <c r="C271" s="119" t="str">
        <f>IFERROR(__xludf.DUMMYFUNCTION("""COMPUTED_VALUE"""),"30k 147 Phan Đình Phùng")</f>
        <v>30k 147 Phan Đình Phùng</v>
      </c>
      <c r="D271" s="119" t="str">
        <f>IFERROR(__xludf.DUMMYFUNCTION("""COMPUTED_VALUE"""),"chó")</f>
        <v>chó</v>
      </c>
      <c r="E271" s="119" t="str">
        <f>IFERROR(__xludf.DUMMYFUNCTION("""COMPUTED_VALUE"""),"rốt")</f>
        <v>rốt</v>
      </c>
    </row>
    <row r="272" ht="15.75" customHeight="1">
      <c r="A272" s="122" t="str">
        <f>IFERROR(__xludf.DUMMYFUNCTION("""COMPUTED_VALUE"""),"0359 740 308")</f>
        <v>0359 740 308</v>
      </c>
      <c r="B272" s="119" t="str">
        <f>IFERROR(__xludf.DUMMYFUNCTION("""COMPUTED_VALUE"""),"Chị Thương")</f>
        <v>Chị Thương</v>
      </c>
      <c r="C272" s="119" t="str">
        <f>IFERROR(__xludf.DUMMYFUNCTION("""COMPUTED_VALUE"""),"7a/69/131 Trần Phú")</f>
        <v>7a/69/131 Trần Phú</v>
      </c>
      <c r="D272" s="119" t="str">
        <f>IFERROR(__xludf.DUMMYFUNCTION("""COMPUTED_VALUE"""),"chó")</f>
        <v>chó</v>
      </c>
      <c r="E272" s="119" t="str">
        <f>IFERROR(__xludf.DUMMYFUNCTION("""COMPUTED_VALUE"""),"lisa")</f>
        <v>lisa</v>
      </c>
    </row>
    <row r="273" ht="15.75" customHeight="1">
      <c r="A273" s="122" t="str">
        <f>IFERROR(__xludf.DUMMYFUNCTION("""COMPUTED_VALUE"""),"0585 887 297")</f>
        <v>0585 887 297</v>
      </c>
      <c r="B273" s="119" t="str">
        <f>IFERROR(__xludf.DUMMYFUNCTION("""COMPUTED_VALUE"""),"Anh Hoàng Lâm")</f>
        <v>Anh Hoàng Lâm</v>
      </c>
      <c r="C273" s="119" t="str">
        <f>IFERROR(__xludf.DUMMYFUNCTION("""COMPUTED_VALUE"""),"8/9 Nam Giao")</f>
        <v>8/9 Nam Giao</v>
      </c>
      <c r="D273" s="119" t="str">
        <f>IFERROR(__xludf.DUMMYFUNCTION("""COMPUTED_VALUE"""),"chó")</f>
        <v>chó</v>
      </c>
      <c r="E273" s="119" t="str">
        <f>IFERROR(__xludf.DUMMYFUNCTION("""COMPUTED_VALUE"""),"lucky")</f>
        <v>lucky</v>
      </c>
    </row>
    <row r="274" ht="15.75" customHeight="1">
      <c r="A274" s="122" t="str">
        <f>IFERROR(__xludf.DUMMYFUNCTION("""COMPUTED_VALUE"""),"0901 144 477")</f>
        <v>0901 144 477</v>
      </c>
      <c r="B274" s="119" t="str">
        <f>IFERROR(__xludf.DUMMYFUNCTION("""COMPUTED_VALUE"""),"Anh Phong")</f>
        <v>Anh Phong</v>
      </c>
      <c r="C274" s="119" t="str">
        <f>IFERROR(__xludf.DUMMYFUNCTION("""COMPUTED_VALUE"""),"30 kiệt 147 phan đình phùng")</f>
        <v>30 kiệt 147 phan đình phùng</v>
      </c>
      <c r="D274" s="119" t="str">
        <f>IFERROR(__xludf.DUMMYFUNCTION("""COMPUTED_VALUE"""),"chó")</f>
        <v>chó</v>
      </c>
      <c r="E274" s="119" t="str">
        <f>IFERROR(__xludf.DUMMYFUNCTION("""COMPUTED_VALUE"""),"Su")</f>
        <v>Su</v>
      </c>
    </row>
    <row r="275" ht="15.75" customHeight="1">
      <c r="A275" s="122" t="str">
        <f>IFERROR(__xludf.DUMMYFUNCTION("""COMPUTED_VALUE"""),"0766 702 348")</f>
        <v>0766 702 348</v>
      </c>
      <c r="B275" s="127" t="str">
        <f>IFERROR(__xludf.DUMMYFUNCTION("""COMPUTED_VALUE"""),"chị Duyên")</f>
        <v>chị Duyên</v>
      </c>
      <c r="C275" s="119" t="str">
        <f>IFERROR(__xludf.DUMMYFUNCTION("""COMPUTED_VALUE"""),"14/15/12 Thanh Hải")</f>
        <v>14/15/12 Thanh Hải</v>
      </c>
      <c r="D275" s="119" t="str">
        <f>IFERROR(__xludf.DUMMYFUNCTION("""COMPUTED_VALUE"""),"chó")</f>
        <v>chó</v>
      </c>
      <c r="E275" s="119" t="str">
        <f>IFERROR(__xludf.DUMMYFUNCTION("""COMPUTED_VALUE"""),"xi")</f>
        <v>xi</v>
      </c>
    </row>
    <row r="276" ht="15.75" customHeight="1">
      <c r="A276" s="122" t="str">
        <f>IFERROR(__xludf.DUMMYFUNCTION("""COMPUTED_VALUE"""),"0783 811 022")</f>
        <v>0783 811 022</v>
      </c>
      <c r="B276" s="119" t="str">
        <f>IFERROR(__xludf.DUMMYFUNCTION("""COMPUTED_VALUE"""),"chị Trang")</f>
        <v>chị Trang</v>
      </c>
      <c r="C276" s="119" t="str">
        <f>IFERROR(__xludf.DUMMYFUNCTION("""COMPUTED_VALUE"""),"3k166 Điện Biên Phủ")</f>
        <v>3k166 Điện Biên Phủ</v>
      </c>
      <c r="D276" s="119" t="str">
        <f>IFERROR(__xludf.DUMMYFUNCTION("""COMPUTED_VALUE"""),"chó")</f>
        <v>chó</v>
      </c>
      <c r="E276" s="119" t="str">
        <f>IFERROR(__xludf.DUMMYFUNCTION("""COMPUTED_VALUE"""),"ki")</f>
        <v>ki</v>
      </c>
    </row>
    <row r="277" ht="15.75" customHeight="1">
      <c r="A277" s="122" t="str">
        <f>IFERROR(__xludf.DUMMYFUNCTION("""COMPUTED_VALUE"""),"0332 284 311 ")</f>
        <v>0332 284 311 </v>
      </c>
      <c r="B277" s="119" t="str">
        <f>IFERROR(__xludf.DUMMYFUNCTION("""COMPUTED_VALUE"""),"Em Miên")</f>
        <v>Em Miên</v>
      </c>
      <c r="C277" s="119" t="str">
        <f>IFERROR(__xludf.DUMMYFUNCTION("""COMPUTED_VALUE"""),"5 Nguyễn Công Trứ")</f>
        <v>5 Nguyễn Công Trứ</v>
      </c>
      <c r="D277" s="119" t="str">
        <f>IFERROR(__xludf.DUMMYFUNCTION("""COMPUTED_VALUE"""),"Mèo")</f>
        <v>Mèo</v>
      </c>
      <c r="E277" s="119" t="str">
        <f>IFERROR(__xludf.DUMMYFUNCTION("""COMPUTED_VALUE"""),"Bơ")</f>
        <v>Bơ</v>
      </c>
    </row>
    <row r="278" ht="15.75" customHeight="1">
      <c r="A278" s="122" t="str">
        <f>IFERROR(__xludf.DUMMYFUNCTION("""COMPUTED_VALUE"""),"0931 913 994")</f>
        <v>0931 913 994</v>
      </c>
      <c r="B278" s="119" t="str">
        <f>IFERROR(__xludf.DUMMYFUNCTION("""COMPUTED_VALUE"""),"Anh An ")</f>
        <v>Anh An </v>
      </c>
      <c r="C278" s="119"/>
      <c r="D278" s="119" t="str">
        <f>IFERROR(__xludf.DUMMYFUNCTION("""COMPUTED_VALUE"""),"Chó")</f>
        <v>Chó</v>
      </c>
      <c r="E278" s="119"/>
    </row>
    <row r="279" ht="15.75" customHeight="1">
      <c r="A279" s="120" t="str">
        <f>IFERROR(__xludf.DUMMYFUNCTION("""COMPUTED_VALUE"""),"0365 090 146")</f>
        <v>0365 090 146</v>
      </c>
      <c r="B279" s="121" t="str">
        <f>IFERROR(__xludf.DUMMYFUNCTION("""COMPUTED_VALUE"""),"chị Phương")</f>
        <v>chị Phương</v>
      </c>
      <c r="C279" s="121" t="str">
        <f>IFERROR(__xludf.DUMMYFUNCTION("""COMPUTED_VALUE"""),"KV 8, Phú Lộc")</f>
        <v>KV 8, Phú Lộc</v>
      </c>
      <c r="D279" s="121" t="str">
        <f>IFERROR(__xludf.DUMMYFUNCTION("""COMPUTED_VALUE"""),"chó")</f>
        <v>chó</v>
      </c>
      <c r="E279" s="121" t="str">
        <f>IFERROR(__xludf.DUMMYFUNCTION("""COMPUTED_VALUE"""),"Lucky")</f>
        <v>Lucky</v>
      </c>
    </row>
    <row r="280" ht="15.75" customHeight="1">
      <c r="A280" s="120" t="str">
        <f>IFERROR(__xludf.DUMMYFUNCTION("""COMPUTED_VALUE"""),"0905 066 007")</f>
        <v>0905 066 007</v>
      </c>
      <c r="B280" s="121" t="str">
        <f>IFERROR(__xludf.DUMMYFUNCTION("""COMPUTED_VALUE"""),"Chị Vương Anh")</f>
        <v>Chị Vương Anh</v>
      </c>
      <c r="C280" s="121" t="str">
        <f>IFERROR(__xludf.DUMMYFUNCTION("""COMPUTED_VALUE"""),"62 Thanh Hải")</f>
        <v>62 Thanh Hải</v>
      </c>
      <c r="D280" s="121" t="str">
        <f>IFERROR(__xludf.DUMMYFUNCTION("""COMPUTED_VALUE"""),"mèo")</f>
        <v>mèo</v>
      </c>
      <c r="E280" s="121" t="str">
        <f>IFERROR(__xludf.DUMMYFUNCTION("""COMPUTED_VALUE"""),"mon")</f>
        <v>mon</v>
      </c>
    </row>
    <row r="281" ht="15.75" customHeight="1">
      <c r="A281" s="120" t="str">
        <f>IFERROR(__xludf.DUMMYFUNCTION("""COMPUTED_VALUE"""),"0935 292 370")</f>
        <v>0935 292 370</v>
      </c>
      <c r="B281" s="121" t="str">
        <f>IFERROR(__xludf.DUMMYFUNCTION("""COMPUTED_VALUE"""),"chị Thanh Vân")</f>
        <v>chị Thanh Vân</v>
      </c>
      <c r="C281" s="121" t="str">
        <f>IFERROR(__xludf.DUMMYFUNCTION("""COMPUTED_VALUE"""),"62/131 Trần Phú")</f>
        <v>62/131 Trần Phú</v>
      </c>
      <c r="D281" s="121" t="str">
        <f>IFERROR(__xludf.DUMMYFUNCTION("""COMPUTED_VALUE"""),"mèo")</f>
        <v>mèo</v>
      </c>
      <c r="E281" s="119" t="str">
        <f>IFERROR(__xludf.DUMMYFUNCTION("""COMPUTED_VALUE"""),"mimi")</f>
        <v>mimi</v>
      </c>
    </row>
    <row r="282" ht="15.75" customHeight="1">
      <c r="A282" s="128" t="str">
        <f>IFERROR(__xludf.DUMMYFUNCTION("""COMPUTED_VALUE"""),"0812 965 564")</f>
        <v>0812 965 564</v>
      </c>
      <c r="B282" s="127" t="str">
        <f>IFERROR(__xludf.DUMMYFUNCTION("""COMPUTED_VALUE"""),"Chú Hữu")</f>
        <v>Chú Hữu</v>
      </c>
      <c r="C282" s="127" t="str">
        <f>IFERROR(__xludf.DUMMYFUNCTION("""COMPUTED_VALUE"""),"7/37/131 Trần Phú")</f>
        <v>7/37/131 Trần Phú</v>
      </c>
      <c r="D282" s="127" t="str">
        <f>IFERROR(__xludf.DUMMYFUNCTION("""COMPUTED_VALUE"""),"chó")</f>
        <v>chó</v>
      </c>
      <c r="E282" s="127" t="str">
        <f>IFERROR(__xludf.DUMMYFUNCTION("""COMPUTED_VALUE"""),"càphe")</f>
        <v>càphe</v>
      </c>
    </row>
    <row r="283" ht="15.75" customHeight="1">
      <c r="A283" s="128" t="str">
        <f>IFERROR(__xludf.DUMMYFUNCTION("""COMPUTED_VALUE"""),"0363 737 002")</f>
        <v>0363 737 002</v>
      </c>
      <c r="B283" s="127" t="str">
        <f>IFERROR(__xludf.DUMMYFUNCTION("""COMPUTED_VALUE"""),"Chị Duyên")</f>
        <v>Chị Duyên</v>
      </c>
      <c r="C283" s="127" t="str">
        <f>IFERROR(__xludf.DUMMYFUNCTION("""COMPUTED_VALUE"""),"4/23/131 Trần Phú")</f>
        <v>4/23/131 Trần Phú</v>
      </c>
      <c r="D283" s="127" t="str">
        <f>IFERROR(__xludf.DUMMYFUNCTION("""COMPUTED_VALUE"""),"chó")</f>
        <v>chó</v>
      </c>
      <c r="E283" s="127"/>
    </row>
    <row r="284" ht="15.75" customHeight="1">
      <c r="A284" s="120" t="str">
        <f>IFERROR(__xludf.DUMMYFUNCTION("""COMPUTED_VALUE"""),"0904 622 257")</f>
        <v>0904 622 257</v>
      </c>
      <c r="B284" s="121" t="str">
        <f>IFERROR(__xludf.DUMMYFUNCTION("""COMPUTED_VALUE"""),"Anh Công")</f>
        <v>Anh Công</v>
      </c>
      <c r="C284" s="121" t="str">
        <f>IFERROR(__xludf.DUMMYFUNCTION("""COMPUTED_VALUE"""),"k18 Võ Văn Kiệt-An tây")</f>
        <v>k18 Võ Văn Kiệt-An tây</v>
      </c>
      <c r="D284" s="121" t="str">
        <f>IFERROR(__xludf.DUMMYFUNCTION("""COMPUTED_VALUE"""),"chó")</f>
        <v>chó</v>
      </c>
      <c r="E284" s="121"/>
    </row>
    <row r="285" ht="15.75" customHeight="1">
      <c r="A285" s="128" t="str">
        <f>IFERROR(__xludf.DUMMYFUNCTION("""COMPUTED_VALUE"""),"0782 533 004")</f>
        <v>0782 533 004</v>
      </c>
      <c r="B285" s="127" t="str">
        <f>IFERROR(__xludf.DUMMYFUNCTION("""COMPUTED_VALUE"""),"Chị Phương")</f>
        <v>Chị Phương</v>
      </c>
      <c r="C285" s="127" t="str">
        <f>IFERROR(__xludf.DUMMYFUNCTION("""COMPUTED_VALUE"""),"168 Ngự Bình")</f>
        <v>168 Ngự Bình</v>
      </c>
      <c r="D285" s="127" t="str">
        <f>IFERROR(__xludf.DUMMYFUNCTION("""COMPUTED_VALUE"""),"chó")</f>
        <v>chó</v>
      </c>
      <c r="E285" s="127" t="str">
        <f>IFERROR(__xludf.DUMMYFUNCTION("""COMPUTED_VALUE"""),"bi")</f>
        <v>bi</v>
      </c>
    </row>
    <row r="286" ht="15.75" customHeight="1">
      <c r="A286" s="128" t="str">
        <f>IFERROR(__xludf.DUMMYFUNCTION("""COMPUTED_VALUE"""),"0366 742 510")</f>
        <v>0366 742 510</v>
      </c>
      <c r="B286" s="127" t="str">
        <f>IFERROR(__xludf.DUMMYFUNCTION("""COMPUTED_VALUE"""),"Chị Uyên")</f>
        <v>Chị Uyên</v>
      </c>
      <c r="C286" s="127" t="str">
        <f>IFERROR(__xludf.DUMMYFUNCTION("""COMPUTED_VALUE"""),"2/56 Duy Tân")</f>
        <v>2/56 Duy Tân</v>
      </c>
      <c r="D286" s="127" t="str">
        <f>IFERROR(__xludf.DUMMYFUNCTION("""COMPUTED_VALUE"""),"mèo")</f>
        <v>mèo</v>
      </c>
      <c r="E286" s="127" t="str">
        <f>IFERROR(__xludf.DUMMYFUNCTION("""COMPUTED_VALUE"""),"mèo")</f>
        <v>mèo</v>
      </c>
    </row>
    <row r="287" ht="15.75" customHeight="1">
      <c r="A287" s="128" t="str">
        <f>IFERROR(__xludf.DUMMYFUNCTION("""COMPUTED_VALUE"""),"0868 790 021")</f>
        <v>0868 790 021</v>
      </c>
      <c r="B287" s="127" t="str">
        <f>IFERROR(__xludf.DUMMYFUNCTION("""COMPUTED_VALUE"""),"Anh Hùng")</f>
        <v>Anh Hùng</v>
      </c>
      <c r="C287" s="127" t="str">
        <f>IFERROR(__xludf.DUMMYFUNCTION("""COMPUTED_VALUE"""),"69 Lê Ngô Cát")</f>
        <v>69 Lê Ngô Cát</v>
      </c>
      <c r="D287" s="127" t="str">
        <f>IFERROR(__xludf.DUMMYFUNCTION("""COMPUTED_VALUE"""),"chó")</f>
        <v>chó</v>
      </c>
      <c r="E287" s="127" t="str">
        <f>IFERROR(__xludf.DUMMYFUNCTION("""COMPUTED_VALUE"""),"trắng")</f>
        <v>trắng</v>
      </c>
    </row>
    <row r="288" ht="15.75" customHeight="1">
      <c r="A288" s="120">
        <f>IFERROR(__xludf.DUMMYFUNCTION("""COMPUTED_VALUE"""),3.83729436E8)</f>
        <v>383729436</v>
      </c>
      <c r="B288" s="121" t="str">
        <f>IFERROR(__xludf.DUMMYFUNCTION("""COMPUTED_VALUE"""),"Anh Vinh")</f>
        <v>Anh Vinh</v>
      </c>
      <c r="C288" s="121" t="str">
        <f>IFERROR(__xludf.DUMMYFUNCTION("""COMPUTED_VALUE"""),"8/3 Lương Văn Can")</f>
        <v>8/3 Lương Văn Can</v>
      </c>
      <c r="D288" s="121" t="str">
        <f>IFERROR(__xludf.DUMMYFUNCTION("""COMPUTED_VALUE"""),"chó ")</f>
        <v>chó </v>
      </c>
      <c r="E288" s="121" t="str">
        <f>IFERROR(__xludf.DUMMYFUNCTION("""COMPUTED_VALUE"""),"Bốp")</f>
        <v>Bốp</v>
      </c>
    </row>
    <row r="289" ht="15.75" customHeight="1">
      <c r="A289" s="128" t="str">
        <f>IFERROR(__xludf.DUMMYFUNCTION("""COMPUTED_VALUE"""),"0962 993 185")</f>
        <v>0962 993 185</v>
      </c>
      <c r="B289" s="127" t="str">
        <f>IFERROR(__xludf.DUMMYFUNCTION("""COMPUTED_VALUE"""),"chị Minh Anh bùng kèo")</f>
        <v>chị Minh Anh bùng kèo</v>
      </c>
      <c r="C289" s="127" t="str">
        <f>IFERROR(__xludf.DUMMYFUNCTION("""COMPUTED_VALUE"""),"61 Tố hữu")</f>
        <v>61 Tố hữu</v>
      </c>
      <c r="D289" s="127" t="str">
        <f>IFERROR(__xludf.DUMMYFUNCTION("""COMPUTED_VALUE"""),"chó")</f>
        <v>chó</v>
      </c>
      <c r="E289" s="127"/>
    </row>
    <row r="290" ht="15.75" customHeight="1">
      <c r="A290" s="120" t="str">
        <f>IFERROR(__xludf.DUMMYFUNCTION("""COMPUTED_VALUE"""),"0898 820 911")</f>
        <v>0898 820 911</v>
      </c>
      <c r="B290" s="121" t="str">
        <f>IFERROR(__xludf.DUMMYFUNCTION("""COMPUTED_VALUE"""),"Chị Nga")</f>
        <v>Chị Nga</v>
      </c>
      <c r="C290" s="121"/>
      <c r="D290" s="121" t="str">
        <f>IFERROR(__xludf.DUMMYFUNCTION("""COMPUTED_VALUE"""),"mèo")</f>
        <v>mèo</v>
      </c>
      <c r="E290" s="121" t="str">
        <f>IFERROR(__xludf.DUMMYFUNCTION("""COMPUTED_VALUE"""),"Coca")</f>
        <v>Coca</v>
      </c>
    </row>
    <row r="291" ht="15.75" customHeight="1">
      <c r="A291" s="120" t="str">
        <f>IFERROR(__xludf.DUMMYFUNCTION("""COMPUTED_VALUE"""),"0818 837 596")</f>
        <v>0818 837 596</v>
      </c>
      <c r="B291" s="121" t="str">
        <f>IFERROR(__xludf.DUMMYFUNCTION("""COMPUTED_VALUE"""),"anh huy")</f>
        <v>anh huy</v>
      </c>
      <c r="C291" s="121" t="str">
        <f>IFERROR(__xludf.DUMMYFUNCTION("""COMPUTED_VALUE"""),"6/76 phan chu trinh")</f>
        <v>6/76 phan chu trinh</v>
      </c>
      <c r="D291" s="121" t="str">
        <f>IFERROR(__xludf.DUMMYFUNCTION("""COMPUTED_VALUE"""),"mèo")</f>
        <v>mèo</v>
      </c>
      <c r="E291" s="121" t="str">
        <f>IFERROR(__xludf.DUMMYFUNCTION("""COMPUTED_VALUE"""),"mèo")</f>
        <v>mèo</v>
      </c>
    </row>
    <row r="292" ht="15.75" customHeight="1">
      <c r="A292" s="120" t="str">
        <f>IFERROR(__xludf.DUMMYFUNCTION("""COMPUTED_VALUE"""),"0977 899 093")</f>
        <v>0977 899 093</v>
      </c>
      <c r="B292" s="121" t="str">
        <f>IFERROR(__xludf.DUMMYFUNCTION("""COMPUTED_VALUE"""),"Chú Hùng")</f>
        <v>Chú Hùng</v>
      </c>
      <c r="C292" s="121" t="str">
        <f>IFERROR(__xludf.DUMMYFUNCTION("""COMPUTED_VALUE"""),"9/288 Lý Nam Đế")</f>
        <v>9/288 Lý Nam Đế</v>
      </c>
      <c r="D292" s="121" t="str">
        <f>IFERROR(__xludf.DUMMYFUNCTION("""COMPUTED_VALUE"""),"Chó")</f>
        <v>Chó</v>
      </c>
      <c r="E292" s="121"/>
    </row>
    <row r="293" ht="15.75" customHeight="1">
      <c r="A293" s="128" t="str">
        <f>IFERROR(__xludf.DUMMYFUNCTION("""COMPUTED_VALUE"""),"0914 418 668")</f>
        <v>0914 418 668</v>
      </c>
      <c r="B293" s="127" t="str">
        <f>IFERROR(__xludf.DUMMYFUNCTION("""COMPUTED_VALUE"""),"Anh Thắng")</f>
        <v>Anh Thắng</v>
      </c>
      <c r="C293" s="127" t="str">
        <f>IFERROR(__xludf.DUMMYFUNCTION("""COMPUTED_VALUE"""),"144 Bùi Thị Xuân")</f>
        <v>144 Bùi Thị Xuân</v>
      </c>
      <c r="D293" s="127" t="str">
        <f>IFERROR(__xludf.DUMMYFUNCTION("""COMPUTED_VALUE"""),"mèo")</f>
        <v>mèo</v>
      </c>
      <c r="E293" s="127"/>
    </row>
    <row r="294" ht="15.75" customHeight="1">
      <c r="A294" s="120" t="str">
        <f>IFERROR(__xludf.DUMMYFUNCTION("""COMPUTED_VALUE"""),"0899 248 684")</f>
        <v>0899 248 684</v>
      </c>
      <c r="B294" s="121" t="str">
        <f>IFERROR(__xludf.DUMMYFUNCTION("""COMPUTED_VALUE"""),"em hữu Việt")</f>
        <v>em hữu Việt</v>
      </c>
      <c r="C294" s="121" t="str">
        <f>IFERROR(__xludf.DUMMYFUNCTION("""COMPUTED_VALUE"""),"43/24 lương Văn Can")</f>
        <v>43/24 lương Văn Can</v>
      </c>
      <c r="D294" s="121" t="str">
        <f>IFERROR(__xludf.DUMMYFUNCTION("""COMPUTED_VALUE"""),"bồ câu")</f>
        <v>bồ câu</v>
      </c>
      <c r="E294" s="121"/>
    </row>
    <row r="295" ht="15.75" customHeight="1">
      <c r="A295" s="120" t="str">
        <f>IFERROR(__xludf.DUMMYFUNCTION("""COMPUTED_VALUE"""),"0935 975 335")</f>
        <v>0935 975 335</v>
      </c>
      <c r="B295" s="121" t="str">
        <f>IFERROR(__xludf.DUMMYFUNCTION("""COMPUTED_VALUE"""),"Anh Minh Hoàng")</f>
        <v>Anh Minh Hoàng</v>
      </c>
      <c r="C295" s="121" t="str">
        <f>IFERROR(__xludf.DUMMYFUNCTION("""COMPUTED_VALUE"""),"M77 Phạm Văn Đồng")</f>
        <v>M77 Phạm Văn Đồng</v>
      </c>
      <c r="D295" s="121" t="str">
        <f>IFERROR(__xludf.DUMMYFUNCTION("""COMPUTED_VALUE"""),"Vẹt")</f>
        <v>Vẹt</v>
      </c>
      <c r="E295" s="121"/>
    </row>
    <row r="296" ht="15.75" customHeight="1">
      <c r="A296" s="120" t="str">
        <f>IFERROR(__xludf.DUMMYFUNCTION("""COMPUTED_VALUE"""),"0367 799 657")</f>
        <v>0367 799 657</v>
      </c>
      <c r="B296" s="121" t="str">
        <f>IFERROR(__xludf.DUMMYFUNCTION("""COMPUTED_VALUE"""),"chị thương")</f>
        <v>chị thương</v>
      </c>
      <c r="C296" s="121" t="str">
        <f>IFERROR(__xludf.DUMMYFUNCTION("""COMPUTED_VALUE"""),"7/69/15/131 trần phú")</f>
        <v>7/69/15/131 trần phú</v>
      </c>
      <c r="D296" s="121" t="str">
        <f>IFERROR(__xludf.DUMMYFUNCTION("""COMPUTED_VALUE"""),"chó")</f>
        <v>chó</v>
      </c>
      <c r="E296" s="121" t="str">
        <f>IFERROR(__xludf.DUMMYFUNCTION("""COMPUTED_VALUE"""),"lisa")</f>
        <v>lisa</v>
      </c>
    </row>
    <row r="297" ht="15.75" customHeight="1">
      <c r="A297" s="128" t="str">
        <f>IFERROR(__xludf.DUMMYFUNCTION("""COMPUTED_VALUE"""),"0796 612 357")</f>
        <v>0796 612 357</v>
      </c>
      <c r="B297" s="127" t="str">
        <f>IFERROR(__xludf.DUMMYFUNCTION("""COMPUTED_VALUE"""),"đỗ văn hùng ")</f>
        <v>đỗ văn hùng </v>
      </c>
      <c r="C297" s="127" t="str">
        <f>IFERROR(__xludf.DUMMYFUNCTION("""COMPUTED_VALUE"""),"200 phan bội châu")</f>
        <v>200 phan bội châu</v>
      </c>
      <c r="D297" s="127" t="str">
        <f>IFERROR(__xludf.DUMMYFUNCTION("""COMPUTED_VALUE"""),"chó")</f>
        <v>chó</v>
      </c>
      <c r="E297" s="127" t="str">
        <f>IFERROR(__xludf.DUMMYFUNCTION("""COMPUTED_VALUE"""),"mít")</f>
        <v>mít</v>
      </c>
    </row>
    <row r="298" ht="15.75" customHeight="1">
      <c r="A298" s="120" t="str">
        <f>IFERROR(__xludf.DUMMYFUNCTION("""COMPUTED_VALUE"""),"0792 275 093")</f>
        <v>0792 275 093</v>
      </c>
      <c r="B298" s="121" t="str">
        <f>IFERROR(__xludf.DUMMYFUNCTION("""COMPUTED_VALUE"""),"Em Châu")</f>
        <v>Em Châu</v>
      </c>
      <c r="C298" s="121" t="str">
        <f>IFERROR(__xludf.DUMMYFUNCTION("""COMPUTED_VALUE"""),"20/93 Đặng Văn Ngữ")</f>
        <v>20/93 Đặng Văn Ngữ</v>
      </c>
      <c r="D298" s="121" t="str">
        <f>IFERROR(__xludf.DUMMYFUNCTION("""COMPUTED_VALUE"""),"chó")</f>
        <v>chó</v>
      </c>
      <c r="E298" s="119"/>
    </row>
    <row r="299" ht="15.75" customHeight="1">
      <c r="A299" s="120" t="str">
        <f>IFERROR(__xludf.DUMMYFUNCTION("""COMPUTED_VALUE"""),"0986 012 967")</f>
        <v>0986 012 967</v>
      </c>
      <c r="B299" s="121" t="str">
        <f>IFERROR(__xludf.DUMMYFUNCTION("""COMPUTED_VALUE"""),"Chị Anh Lan")</f>
        <v>Chị Anh Lan</v>
      </c>
      <c r="C299" s="121" t="str">
        <f>IFERROR(__xludf.DUMMYFUNCTION("""COMPUTED_VALUE"""),"34 Hàm Nghi")</f>
        <v>34 Hàm Nghi</v>
      </c>
      <c r="D299" s="121" t="str">
        <f>IFERROR(__xludf.DUMMYFUNCTION("""COMPUTED_VALUE"""),"mèo")</f>
        <v>mèo</v>
      </c>
      <c r="E299" s="121" t="str">
        <f>IFERROR(__xludf.DUMMYFUNCTION("""COMPUTED_VALUE"""),"mít")</f>
        <v>mít</v>
      </c>
    </row>
    <row r="300" ht="15.75" customHeight="1">
      <c r="A300" s="128" t="str">
        <f>IFERROR(__xludf.DUMMYFUNCTION("""COMPUTED_VALUE"""),"0793 541 802")</f>
        <v>0793 541 802</v>
      </c>
      <c r="B300" s="127" t="str">
        <f>IFERROR(__xludf.DUMMYFUNCTION("""COMPUTED_VALUE"""),"Dì Hằng")</f>
        <v>Dì Hằng</v>
      </c>
      <c r="C300" s="127" t="str">
        <f>IFERROR(__xludf.DUMMYFUNCTION("""COMPUTED_VALUE"""),"Hương Chữ")</f>
        <v>Hương Chữ</v>
      </c>
      <c r="D300" s="127" t="str">
        <f>IFERROR(__xludf.DUMMYFUNCTION("""COMPUTED_VALUE"""),"mèo")</f>
        <v>mèo</v>
      </c>
      <c r="E300" s="127" t="str">
        <f>IFERROR(__xludf.DUMMYFUNCTION("""COMPUTED_VALUE"""),"Sin")</f>
        <v>Sin</v>
      </c>
    </row>
    <row r="301" ht="15.75" customHeight="1">
      <c r="A301" s="120" t="str">
        <f>IFERROR(__xludf.DUMMYFUNCTION("""COMPUTED_VALUE"""),"0899 879 621")</f>
        <v>0899 879 621</v>
      </c>
      <c r="B301" s="121" t="str">
        <f>IFERROR(__xludf.DUMMYFUNCTION("""COMPUTED_VALUE"""),"chị tiên")</f>
        <v>chị tiên</v>
      </c>
      <c r="C301" s="121" t="str">
        <f>IFERROR(__xludf.DUMMYFUNCTION("""COMPUTED_VALUE"""),"49 Đào Tấn")</f>
        <v>49 Đào Tấn</v>
      </c>
      <c r="D301" s="121" t="str">
        <f>IFERROR(__xludf.DUMMYFUNCTION("""COMPUTED_VALUE"""),"chó")</f>
        <v>chó</v>
      </c>
      <c r="E301" s="121" t="str">
        <f>IFERROR(__xludf.DUMMYFUNCTION("""COMPUTED_VALUE"""),"sữa")</f>
        <v>sữa</v>
      </c>
    </row>
    <row r="302" ht="15.75" customHeight="1">
      <c r="A302" s="128" t="str">
        <f>IFERROR(__xludf.DUMMYFUNCTION("""COMPUTED_VALUE"""),"0795 791 628")</f>
        <v>0795 791 628</v>
      </c>
      <c r="B302" s="127" t="str">
        <f>IFERROR(__xludf.DUMMYFUNCTION("""COMPUTED_VALUE"""),"chị quỳnh trang")</f>
        <v>chị quỳnh trang</v>
      </c>
      <c r="C302" s="127" t="str">
        <f>IFERROR(__xludf.DUMMYFUNCTION("""COMPUTED_VALUE"""),"49 Đào Tấn")</f>
        <v>49 Đào Tấn</v>
      </c>
      <c r="D302" s="127" t="str">
        <f>IFERROR(__xludf.DUMMYFUNCTION("""COMPUTED_VALUE"""),"mèo")</f>
        <v>mèo</v>
      </c>
      <c r="E302" s="127" t="str">
        <f>IFERROR(__xludf.DUMMYFUNCTION("""COMPUTED_VALUE"""),"mèo")</f>
        <v>mèo</v>
      </c>
    </row>
    <row r="303" ht="15.75" customHeight="1">
      <c r="A303" s="120" t="str">
        <f>IFERROR(__xludf.DUMMYFUNCTION("""COMPUTED_VALUE"""),"0932 639 327")</f>
        <v>0932 639 327</v>
      </c>
      <c r="B303" s="121" t="str">
        <f>IFERROR(__xludf.DUMMYFUNCTION("""COMPUTED_VALUE"""),"Dieter Buncher")</f>
        <v>Dieter Buncher</v>
      </c>
      <c r="C303" s="121" t="str">
        <f>IFERROR(__xludf.DUMMYFUNCTION("""COMPUTED_VALUE"""),"1A/170 Lý Nam Đế")</f>
        <v>1A/170 Lý Nam Đế</v>
      </c>
      <c r="D303" s="121" t="str">
        <f>IFERROR(__xludf.DUMMYFUNCTION("""COMPUTED_VALUE"""),"Chó ")</f>
        <v>Chó </v>
      </c>
      <c r="E303" s="121" t="str">
        <f>IFERROR(__xludf.DUMMYFUNCTION("""COMPUTED_VALUE"""),"Mập/Chuột/Baecher")</f>
        <v>Mập/Chuột/Baecher</v>
      </c>
    </row>
    <row r="304" ht="15.75" customHeight="1">
      <c r="A304" s="120" t="str">
        <f>IFERROR(__xludf.DUMMYFUNCTION("""COMPUTED_VALUE"""),"0946 871 245")</f>
        <v>0946 871 245</v>
      </c>
      <c r="B304" s="121" t="str">
        <f>IFERROR(__xludf.DUMMYFUNCTION("""COMPUTED_VALUE"""),"anh phú")</f>
        <v>anh phú</v>
      </c>
      <c r="C304" s="121" t="str">
        <f>IFERROR(__xludf.DUMMYFUNCTION("""COMPUTED_VALUE"""),"51 chế lan viên")</f>
        <v>51 chế lan viên</v>
      </c>
      <c r="D304" s="121" t="str">
        <f>IFERROR(__xludf.DUMMYFUNCTION("""COMPUTED_VALUE"""),"mèo")</f>
        <v>mèo</v>
      </c>
      <c r="E304" s="121" t="str">
        <f>IFERROR(__xludf.DUMMYFUNCTION("""COMPUTED_VALUE"""),"mimi,su")</f>
        <v>mimi,su</v>
      </c>
    </row>
    <row r="305" ht="15.75" customHeight="1">
      <c r="A305" s="128" t="str">
        <f>IFERROR(__xludf.DUMMYFUNCTION("""COMPUTED_VALUE"""),"0357 922 971")</f>
        <v>0357 922 971</v>
      </c>
      <c r="B305" s="127" t="str">
        <f>IFERROR(__xludf.DUMMYFUNCTION("""COMPUTED_VALUE"""),"Chị Nguyên")</f>
        <v>Chị Nguyên</v>
      </c>
      <c r="C305" s="127" t="str">
        <f>IFERROR(__xludf.DUMMYFUNCTION("""COMPUTED_VALUE"""),"3/17/9 kiệt 131 Trần Phú")</f>
        <v>3/17/9 kiệt 131 Trần Phú</v>
      </c>
      <c r="D305" s="127" t="str">
        <f>IFERROR(__xludf.DUMMYFUNCTION("""COMPUTED_VALUE"""),"Chó")</f>
        <v>Chó</v>
      </c>
      <c r="E305" s="127" t="str">
        <f>IFERROR(__xludf.DUMMYFUNCTION("""COMPUTED_VALUE"""),"Mít")</f>
        <v>Mít</v>
      </c>
    </row>
    <row r="306" ht="15.75" customHeight="1">
      <c r="A306" s="120" t="str">
        <f>IFERROR(__xludf.DUMMYFUNCTION("""COMPUTED_VALUE"""),"0813 425 517")</f>
        <v>0813 425 517</v>
      </c>
      <c r="B306" s="121" t="str">
        <f>IFERROR(__xludf.DUMMYFUNCTION("""COMPUTED_VALUE"""),"Em Cát Tiên")</f>
        <v>Em Cát Tiên</v>
      </c>
      <c r="C306" s="121" t="str">
        <f>IFERROR(__xludf.DUMMYFUNCTION("""COMPUTED_VALUE"""),"6/6 Văn Cao")</f>
        <v>6/6 Văn Cao</v>
      </c>
      <c r="D306" s="121" t="str">
        <f>IFERROR(__xludf.DUMMYFUNCTION("""COMPUTED_VALUE"""),"Mèo")</f>
        <v>Mèo</v>
      </c>
      <c r="E306" s="121" t="str">
        <f>IFERROR(__xludf.DUMMYFUNCTION("""COMPUTED_VALUE"""),"Vàng")</f>
        <v>Vàng</v>
      </c>
    </row>
    <row r="307" ht="15.75" customHeight="1">
      <c r="A307" s="128" t="str">
        <f>IFERROR(__xludf.DUMMYFUNCTION("""COMPUTED_VALUE"""),"0854 571 595")</f>
        <v>0854 571 595</v>
      </c>
      <c r="B307" s="127" t="str">
        <f>IFERROR(__xludf.DUMMYFUNCTION("""COMPUTED_VALUE"""),"thúy hiền")</f>
        <v>thúy hiền</v>
      </c>
      <c r="C307" s="127" t="str">
        <f>IFERROR(__xludf.DUMMYFUNCTION("""COMPUTED_VALUE"""),"32 kim long")</f>
        <v>32 kim long</v>
      </c>
      <c r="D307" s="127" t="str">
        <f>IFERROR(__xludf.DUMMYFUNCTION("""COMPUTED_VALUE"""),"chó")</f>
        <v>chó</v>
      </c>
      <c r="E307" s="119" t="str">
        <f>IFERROR(__xludf.DUMMYFUNCTION("""COMPUTED_VALUE"""),"Nấm")</f>
        <v>Nấm</v>
      </c>
    </row>
    <row r="308" ht="15.75" customHeight="1">
      <c r="A308" s="128" t="str">
        <f>IFERROR(__xludf.DUMMYFUNCTION("""COMPUTED_VALUE"""),"0987 979 220")</f>
        <v>0987 979 220</v>
      </c>
      <c r="B308" s="127" t="str">
        <f>IFERROR(__xludf.DUMMYFUNCTION("""COMPUTED_VALUE"""),"Chị Ngân")</f>
        <v>Chị Ngân</v>
      </c>
      <c r="C308" s="127" t="str">
        <f>IFERROR(__xludf.DUMMYFUNCTION("""COMPUTED_VALUE"""),"65 a Đào Tấn")</f>
        <v>65 a Đào Tấn</v>
      </c>
      <c r="D308" s="127" t="str">
        <f>IFERROR(__xludf.DUMMYFUNCTION("""COMPUTED_VALUE"""),"chó")</f>
        <v>chó</v>
      </c>
      <c r="E308" s="127" t="str">
        <f>IFERROR(__xludf.DUMMYFUNCTION("""COMPUTED_VALUE"""),"nâu")</f>
        <v>nâu</v>
      </c>
    </row>
    <row r="309" ht="15.75" customHeight="1">
      <c r="A309" s="128" t="str">
        <f>IFERROR(__xludf.DUMMYFUNCTION("""COMPUTED_VALUE"""),"0372 733 270")</f>
        <v>0372 733 270</v>
      </c>
      <c r="B309" s="127" t="str">
        <f>IFERROR(__xludf.DUMMYFUNCTION("""COMPUTED_VALUE"""),"Chị Hạnh")</f>
        <v>Chị Hạnh</v>
      </c>
      <c r="C309" s="127" t="str">
        <f>IFERROR(__xludf.DUMMYFUNCTION("""COMPUTED_VALUE"""),"1 ngõ 50 kiệt 131 Trần Phú")</f>
        <v>1 ngõ 50 kiệt 131 Trần Phú</v>
      </c>
      <c r="D309" s="127" t="str">
        <f>IFERROR(__xludf.DUMMYFUNCTION("""COMPUTED_VALUE"""),"chó")</f>
        <v>chó</v>
      </c>
      <c r="E309" s="127" t="str">
        <f>IFERROR(__xludf.DUMMYFUNCTION("""COMPUTED_VALUE"""),"sữa")</f>
        <v>sữa</v>
      </c>
    </row>
    <row r="310" ht="15.75" customHeight="1">
      <c r="A310" s="128" t="str">
        <f>IFERROR(__xludf.DUMMYFUNCTION("""COMPUTED_VALUE"""),"0348 846 897")</f>
        <v>0348 846 897</v>
      </c>
      <c r="B310" s="127" t="str">
        <f>IFERROR(__xludf.DUMMYFUNCTION("""COMPUTED_VALUE"""),"Mạnh Tuân")</f>
        <v>Mạnh Tuân</v>
      </c>
      <c r="C310" s="127" t="str">
        <f>IFERROR(__xludf.DUMMYFUNCTION("""COMPUTED_VALUE"""),"Thủy Xuân")</f>
        <v>Thủy Xuân</v>
      </c>
      <c r="D310" s="127" t="str">
        <f>IFERROR(__xludf.DUMMYFUNCTION("""COMPUTED_VALUE"""),"chó")</f>
        <v>chó</v>
      </c>
      <c r="E310" s="127" t="str">
        <f>IFERROR(__xludf.DUMMYFUNCTION("""COMPUTED_VALUE"""),"vàng")</f>
        <v>vàng</v>
      </c>
    </row>
    <row r="311" ht="15.75" customHeight="1">
      <c r="A311" s="128" t="str">
        <f>IFERROR(__xludf.DUMMYFUNCTION("""COMPUTED_VALUE"""),"0939 426 910")</f>
        <v>0939 426 910</v>
      </c>
      <c r="B311" s="127" t="str">
        <f>IFERROR(__xludf.DUMMYFUNCTION("""COMPUTED_VALUE"""),"Chị Linh")</f>
        <v>Chị Linh</v>
      </c>
      <c r="C311" s="127" t="str">
        <f>IFERROR(__xludf.DUMMYFUNCTION("""COMPUTED_VALUE"""),"25/65 Đặng Huy Trứ")</f>
        <v>25/65 Đặng Huy Trứ</v>
      </c>
      <c r="D311" s="127" t="str">
        <f>IFERROR(__xludf.DUMMYFUNCTION("""COMPUTED_VALUE"""),"mèo")</f>
        <v>mèo</v>
      </c>
      <c r="E311" s="127" t="str">
        <f>IFERROR(__xludf.DUMMYFUNCTION("""COMPUTED_VALUE"""),"ki ki")</f>
        <v>ki ki</v>
      </c>
    </row>
    <row r="312" ht="15.75" customHeight="1">
      <c r="A312" s="128" t="str">
        <f>IFERROR(__xludf.DUMMYFUNCTION("""COMPUTED_VALUE"""),"0906 499 048")</f>
        <v>0906 499 048</v>
      </c>
      <c r="B312" s="127" t="str">
        <f>IFERROR(__xludf.DUMMYFUNCTION("""COMPUTED_VALUE"""),"Khách người nước ngoài")</f>
        <v>Khách người nước ngoài</v>
      </c>
      <c r="C312" s="127"/>
      <c r="D312" s="127"/>
      <c r="E312" s="127"/>
    </row>
    <row r="313" ht="15.75" customHeight="1">
      <c r="A313" s="128" t="str">
        <f>IFERROR(__xludf.DUMMYFUNCTION("""COMPUTED_VALUE"""),"0935 016 728")</f>
        <v>0935 016 728</v>
      </c>
      <c r="B313" s="127" t="str">
        <f>IFERROR(__xludf.DUMMYFUNCTION("""COMPUTED_VALUE"""),"Chị Nga")</f>
        <v>Chị Nga</v>
      </c>
      <c r="C313" s="127" t="str">
        <f>IFERROR(__xludf.DUMMYFUNCTION("""COMPUTED_VALUE"""),"Hương Hồ")</f>
        <v>Hương Hồ</v>
      </c>
      <c r="D313" s="127" t="str">
        <f>IFERROR(__xludf.DUMMYFUNCTION("""COMPUTED_VALUE"""),"Chó")</f>
        <v>Chó</v>
      </c>
      <c r="E313" s="127" t="str">
        <f>IFERROR(__xludf.DUMMYFUNCTION("""COMPUTED_VALUE"""),"Nâu")</f>
        <v>Nâu</v>
      </c>
    </row>
    <row r="314" ht="15.75" customHeight="1">
      <c r="A314" s="120" t="str">
        <f>IFERROR(__xludf.DUMMYFUNCTION("""COMPUTED_VALUE"""),"0359 165 112")</f>
        <v>0359 165 112</v>
      </c>
      <c r="B314" s="121" t="str">
        <f>IFERROR(__xludf.DUMMYFUNCTION("""COMPUTED_VALUE"""),"Em Như")</f>
        <v>Em Như</v>
      </c>
      <c r="C314" s="121" t="str">
        <f>IFERROR(__xludf.DUMMYFUNCTION("""COMPUTED_VALUE"""),"47k85 An Dương Vương")</f>
        <v>47k85 An Dương Vương</v>
      </c>
      <c r="D314" s="121" t="str">
        <f>IFERROR(__xludf.DUMMYFUNCTION("""COMPUTED_VALUE"""),"chuột")</f>
        <v>chuột</v>
      </c>
      <c r="E314" s="121"/>
    </row>
    <row r="315" ht="15.75" customHeight="1">
      <c r="A315" s="128" t="str">
        <f>IFERROR(__xludf.DUMMYFUNCTION("""COMPUTED_VALUE"""),"0987 352 763")</f>
        <v>0987 352 763</v>
      </c>
      <c r="B315" s="127" t="str">
        <f>IFERROR(__xludf.DUMMYFUNCTION("""COMPUTED_VALUE"""),"Anh Ben-Tài")</f>
        <v>Anh Ben-Tài</v>
      </c>
      <c r="C315" s="127" t="str">
        <f>IFERROR(__xludf.DUMMYFUNCTION("""COMPUTED_VALUE"""),"40/35 Điện Biên Phủ")</f>
        <v>40/35 Điện Biên Phủ</v>
      </c>
      <c r="D315" s="127" t="str">
        <f>IFERROR(__xludf.DUMMYFUNCTION("""COMPUTED_VALUE"""),"chó")</f>
        <v>chó</v>
      </c>
      <c r="E315" s="127" t="str">
        <f>IFERROR(__xludf.DUMMYFUNCTION("""COMPUTED_VALUE"""),"bug")</f>
        <v>bug</v>
      </c>
    </row>
    <row r="316" ht="15.75" customHeight="1">
      <c r="A316" s="120" t="str">
        <f>IFERROR(__xludf.DUMMYFUNCTION("""COMPUTED_VALUE"""),"0378  196 736")</f>
        <v>0378  196 736</v>
      </c>
      <c r="B316" s="121" t="str">
        <f>IFERROR(__xludf.DUMMYFUNCTION("""COMPUTED_VALUE"""),"Chị Thi ")</f>
        <v>Chị Thi </v>
      </c>
      <c r="C316" s="121" t="str">
        <f>IFERROR(__xludf.DUMMYFUNCTION("""COMPUTED_VALUE"""),"Phong Điền")</f>
        <v>Phong Điền</v>
      </c>
      <c r="D316" s="121" t="str">
        <f>IFERROR(__xludf.DUMMYFUNCTION("""COMPUTED_VALUE"""),"Chó")</f>
        <v>Chó</v>
      </c>
      <c r="E316" s="121" t="str">
        <f>IFERROR(__xludf.DUMMYFUNCTION("""COMPUTED_VALUE"""),"Sóc")</f>
        <v>Sóc</v>
      </c>
    </row>
    <row r="317" ht="15.75" customHeight="1">
      <c r="A317" s="128" t="str">
        <f>IFERROR(__xludf.DUMMYFUNCTION("""COMPUTED_VALUE"""),"0968 748 221")</f>
        <v>0968 748 221</v>
      </c>
      <c r="B317" s="127" t="str">
        <f>IFERROR(__xludf.DUMMYFUNCTION("""COMPUTED_VALUE"""),"Em Cẩm Nhung")</f>
        <v>Em Cẩm Nhung</v>
      </c>
      <c r="C317" s="127" t="str">
        <f>IFERROR(__xludf.DUMMYFUNCTION("""COMPUTED_VALUE"""),"24/7/10/24 Phạm Thị Liên")</f>
        <v>24/7/10/24 Phạm Thị Liên</v>
      </c>
      <c r="D317" s="127" t="str">
        <f>IFERROR(__xludf.DUMMYFUNCTION("""COMPUTED_VALUE"""),"Chó")</f>
        <v>Chó</v>
      </c>
      <c r="E317" s="127" t="str">
        <f>IFERROR(__xludf.DUMMYFUNCTION("""COMPUTED_VALUE"""),"Sữa")</f>
        <v>Sữa</v>
      </c>
    </row>
    <row r="318" ht="15.75" customHeight="1">
      <c r="A318" s="128" t="str">
        <f>IFERROR(__xludf.DUMMYFUNCTION("""COMPUTED_VALUE"""),"0934 717 716")</f>
        <v>0934 717 716</v>
      </c>
      <c r="B318" s="127" t="str">
        <f>IFERROR(__xludf.DUMMYFUNCTION("""COMPUTED_VALUE"""),"Ngọc Hưng")</f>
        <v>Ngọc Hưng</v>
      </c>
      <c r="C318" s="127" t="str">
        <f>IFERROR(__xludf.DUMMYFUNCTION("""COMPUTED_VALUE"""),"8/5 Phú Mộng")</f>
        <v>8/5 Phú Mộng</v>
      </c>
      <c r="D318" s="127" t="str">
        <f>IFERROR(__xludf.DUMMYFUNCTION("""COMPUTED_VALUE"""),"Chó")</f>
        <v>Chó</v>
      </c>
      <c r="E318" s="127" t="str">
        <f>IFERROR(__xludf.DUMMYFUNCTION("""COMPUTED_VALUE"""),"Bu")</f>
        <v>Bu</v>
      </c>
    </row>
    <row r="319" ht="15.75" customHeight="1">
      <c r="A319" s="120" t="str">
        <f>IFERROR(__xludf.DUMMYFUNCTION("""COMPUTED_VALUE"""),"0842 222 926")</f>
        <v>0842 222 926</v>
      </c>
      <c r="B319" s="121" t="str">
        <f>IFERROR(__xludf.DUMMYFUNCTION("""COMPUTED_VALUE"""),"Anh Nam ")</f>
        <v>Anh Nam </v>
      </c>
      <c r="C319" s="121" t="str">
        <f>IFERROR(__xludf.DUMMYFUNCTION("""COMPUTED_VALUE"""),"Hương Hồ")</f>
        <v>Hương Hồ</v>
      </c>
      <c r="D319" s="121" t="str">
        <f>IFERROR(__xludf.DUMMYFUNCTION("""COMPUTED_VALUE"""),"Chó")</f>
        <v>Chó</v>
      </c>
      <c r="E319" s="121" t="str">
        <f>IFERROR(__xludf.DUMMYFUNCTION("""COMPUTED_VALUE"""),"Lu")</f>
        <v>Lu</v>
      </c>
    </row>
    <row r="320" ht="15.75" customHeight="1">
      <c r="A320" s="120" t="str">
        <f>IFERROR(__xludf.DUMMYFUNCTION("""COMPUTED_VALUE"""),"0394 481 408")</f>
        <v>0394 481 408</v>
      </c>
      <c r="B320" s="121" t="str">
        <f>IFERROR(__xludf.DUMMYFUNCTION("""COMPUTED_VALUE"""),"Em Ngọc Ny")</f>
        <v>Em Ngọc Ny</v>
      </c>
      <c r="C320" s="121" t="str">
        <f>IFERROR(__xludf.DUMMYFUNCTION("""COMPUTED_VALUE"""),"12/80 Văn Thánh")</f>
        <v>12/80 Văn Thánh</v>
      </c>
      <c r="D320" s="121" t="str">
        <f>IFERROR(__xludf.DUMMYFUNCTION("""COMPUTED_VALUE"""),"Chó")</f>
        <v>Chó</v>
      </c>
      <c r="E320" s="121" t="str">
        <f>IFERROR(__xludf.DUMMYFUNCTION("""COMPUTED_VALUE"""),"Men")</f>
        <v>Men</v>
      </c>
    </row>
    <row r="321" ht="15.75" customHeight="1">
      <c r="A321" s="120" t="str">
        <f>IFERROR(__xludf.DUMMYFUNCTION("""COMPUTED_VALUE"""),"0976 973 913")</f>
        <v>0976 973 913</v>
      </c>
      <c r="B321" s="121" t="str">
        <f>IFERROR(__xludf.DUMMYFUNCTION("""COMPUTED_VALUE"""),"Dì Mai Anh")</f>
        <v>Dì Mai Anh</v>
      </c>
      <c r="C321" s="121" t="str">
        <f>IFERROR(__xludf.DUMMYFUNCTION("""COMPUTED_VALUE"""),"60/91 k131 Trần Phú")</f>
        <v>60/91 k131 Trần Phú</v>
      </c>
      <c r="D321" s="121" t="str">
        <f>IFERROR(__xludf.DUMMYFUNCTION("""COMPUTED_VALUE"""),"chó")</f>
        <v>chó</v>
      </c>
      <c r="E321" s="121" t="str">
        <f>IFERROR(__xludf.DUMMYFUNCTION("""COMPUTED_VALUE"""),"mít")</f>
        <v>mít</v>
      </c>
    </row>
    <row r="322" ht="15.75" customHeight="1">
      <c r="A322" s="120" t="str">
        <f>IFERROR(__xludf.DUMMYFUNCTION("""COMPUTED_VALUE"""),"0777 175 168")</f>
        <v>0777 175 168</v>
      </c>
      <c r="B322" s="121" t="str">
        <f>IFERROR(__xludf.DUMMYFUNCTION("""COMPUTED_VALUE"""),"Chị ÁNh")</f>
        <v>Chị ÁNh</v>
      </c>
      <c r="C322" s="121" t="str">
        <f>IFERROR(__xludf.DUMMYFUNCTION("""COMPUTED_VALUE"""),"220/7 Điện Biên Phủ")</f>
        <v>220/7 Điện Biên Phủ</v>
      </c>
      <c r="D322" s="121" t="str">
        <f>IFERROR(__xludf.DUMMYFUNCTION("""COMPUTED_VALUE"""),"chó")</f>
        <v>chó</v>
      </c>
      <c r="E322" s="121" t="str">
        <f>IFERROR(__xludf.DUMMYFUNCTION("""COMPUTED_VALUE"""),"tom ")</f>
        <v>tom </v>
      </c>
    </row>
    <row r="323" ht="15.75" customHeight="1">
      <c r="A323" s="120" t="str">
        <f>IFERROR(__xludf.DUMMYFUNCTION("""COMPUTED_VALUE"""),"0374 352 252")</f>
        <v>0374 352 252</v>
      </c>
      <c r="B323" s="121" t="str">
        <f>IFERROR(__xludf.DUMMYFUNCTION("""COMPUTED_VALUE"""),"Anh Hiếu")</f>
        <v>Anh Hiếu</v>
      </c>
      <c r="C323" s="121"/>
      <c r="D323" s="121" t="str">
        <f>IFERROR(__xludf.DUMMYFUNCTION("""COMPUTED_VALUE"""),"Mèo")</f>
        <v>Mèo</v>
      </c>
      <c r="E323" s="121" t="str">
        <f>IFERROR(__xludf.DUMMYFUNCTION("""COMPUTED_VALUE"""),"Lùn")</f>
        <v>Lùn</v>
      </c>
    </row>
    <row r="324" ht="15.75" customHeight="1">
      <c r="A324" s="120" t="str">
        <f>IFERROR(__xludf.DUMMYFUNCTION("""COMPUTED_VALUE"""),"0985 306 381")</f>
        <v>0985 306 381</v>
      </c>
      <c r="B324" s="121" t="str">
        <f>IFERROR(__xludf.DUMMYFUNCTION("""COMPUTED_VALUE"""),"sư cô Tuệ Hằng")</f>
        <v>sư cô Tuệ Hằng</v>
      </c>
      <c r="C324" s="121" t="str">
        <f>IFERROR(__xludf.DUMMYFUNCTION("""COMPUTED_VALUE"""),"44/4 Lê Ngô Cát")</f>
        <v>44/4 Lê Ngô Cát</v>
      </c>
      <c r="D324" s="121" t="str">
        <f>IFERROR(__xludf.DUMMYFUNCTION("""COMPUTED_VALUE"""),"mèo ")</f>
        <v>mèo </v>
      </c>
      <c r="E324" s="121"/>
    </row>
    <row r="325" ht="15.75" customHeight="1">
      <c r="A325" s="120" t="str">
        <f>IFERROR(__xludf.DUMMYFUNCTION("""COMPUTED_VALUE"""),"0703 256 280")</f>
        <v>0703 256 280</v>
      </c>
      <c r="B325" s="121" t="str">
        <f>IFERROR(__xludf.DUMMYFUNCTION("""COMPUTED_VALUE"""),"Thảo")</f>
        <v>Thảo</v>
      </c>
      <c r="C325" s="121" t="str">
        <f>IFERROR(__xludf.DUMMYFUNCTION("""COMPUTED_VALUE"""),"24 Nguyễn Hữu Đính")</f>
        <v>24 Nguyễn Hữu Đính</v>
      </c>
      <c r="D325" s="121" t="str">
        <f>IFERROR(__xludf.DUMMYFUNCTION("""COMPUTED_VALUE"""),"mèo")</f>
        <v>mèo</v>
      </c>
      <c r="E325" s="121" t="str">
        <f>IFERROR(__xludf.DUMMYFUNCTION("""COMPUTED_VALUE"""),"sôna")</f>
        <v>sôna</v>
      </c>
    </row>
    <row r="326" ht="15.75" customHeight="1">
      <c r="A326" s="120" t="str">
        <f>IFERROR(__xludf.DUMMYFUNCTION("""COMPUTED_VALUE"""),"0826 810 921")</f>
        <v>0826 810 921</v>
      </c>
      <c r="B326" s="121" t="str">
        <f>IFERROR(__xludf.DUMMYFUNCTION("""COMPUTED_VALUE"""),"Chị Vy")</f>
        <v>Chị Vy</v>
      </c>
      <c r="C326" s="121" t="str">
        <f>IFERROR(__xludf.DUMMYFUNCTION("""COMPUTED_VALUE"""),"7/85 Nguyễn Chí Thanh")</f>
        <v>7/85 Nguyễn Chí Thanh</v>
      </c>
      <c r="D326" s="121" t="str">
        <f>IFERROR(__xludf.DUMMYFUNCTION("""COMPUTED_VALUE"""),"Mèo")</f>
        <v>Mèo</v>
      </c>
      <c r="E326" s="121" t="str">
        <f>IFERROR(__xludf.DUMMYFUNCTION("""COMPUTED_VALUE"""),"Meomeo")</f>
        <v>Meomeo</v>
      </c>
    </row>
    <row r="327" ht="15.75" customHeight="1">
      <c r="A327" s="120" t="str">
        <f>IFERROR(__xludf.DUMMYFUNCTION("""COMPUTED_VALUE"""),"0888 813 929")</f>
        <v>0888 813 929</v>
      </c>
      <c r="B327" s="121" t="str">
        <f>IFERROR(__xludf.DUMMYFUNCTION("""COMPUTED_VALUE"""),"Anh Hiệp")</f>
        <v>Anh Hiệp</v>
      </c>
      <c r="C327" s="121" t="str">
        <f>IFERROR(__xludf.DUMMYFUNCTION("""COMPUTED_VALUE"""),"71 Xuân Thủy")</f>
        <v>71 Xuân Thủy</v>
      </c>
      <c r="D327" s="121" t="str">
        <f>IFERROR(__xludf.DUMMYFUNCTION("""COMPUTED_VALUE"""),"Chó")</f>
        <v>Chó</v>
      </c>
      <c r="E327" s="121" t="str">
        <f>IFERROR(__xludf.DUMMYFUNCTION("""COMPUTED_VALUE"""),"Ler")</f>
        <v>Ler</v>
      </c>
    </row>
    <row r="328" ht="15.75" customHeight="1">
      <c r="A328" s="120" t="str">
        <f>IFERROR(__xludf.DUMMYFUNCTION("""COMPUTED_VALUE"""),"0364 994 267")</f>
        <v>0364 994 267</v>
      </c>
      <c r="B328" s="121" t="str">
        <f>IFERROR(__xludf.DUMMYFUNCTION("""COMPUTED_VALUE"""),"Anh Phi ")</f>
        <v>Anh Phi </v>
      </c>
      <c r="C328" s="121" t="str">
        <f>IFERROR(__xludf.DUMMYFUNCTION("""COMPUTED_VALUE"""),"31/11 Nguyễn Phúc Long")</f>
        <v>31/11 Nguyễn Phúc Long</v>
      </c>
      <c r="D328" s="121" t="str">
        <f>IFERROR(__xludf.DUMMYFUNCTION("""COMPUTED_VALUE"""),"Chó")</f>
        <v>Chó</v>
      </c>
      <c r="E328" s="121"/>
    </row>
    <row r="329" ht="15.75" customHeight="1">
      <c r="A329" s="120" t="str">
        <f>IFERROR(__xludf.DUMMYFUNCTION("""COMPUTED_VALUE"""),"0384 874 967")</f>
        <v>0384 874 967</v>
      </c>
      <c r="B329" s="121" t="str">
        <f>IFERROR(__xludf.DUMMYFUNCTION("""COMPUTED_VALUE"""),"Anh Nhật")</f>
        <v>Anh Nhật</v>
      </c>
      <c r="C329" s="121" t="str">
        <f>IFERROR(__xludf.DUMMYFUNCTION("""COMPUTED_VALUE"""),"125 Long Hồ")</f>
        <v>125 Long Hồ</v>
      </c>
      <c r="D329" s="121" t="str">
        <f>IFERROR(__xludf.DUMMYFUNCTION("""COMPUTED_VALUE"""),"Chó")</f>
        <v>Chó</v>
      </c>
      <c r="E329" s="121" t="str">
        <f>IFERROR(__xludf.DUMMYFUNCTION("""COMPUTED_VALUE"""),"Gấu")</f>
        <v>Gấu</v>
      </c>
    </row>
    <row r="330" ht="15.75" customHeight="1">
      <c r="A330" s="120" t="str">
        <f>IFERROR(__xludf.DUMMYFUNCTION("""COMPUTED_VALUE"""),"0899 080 767")</f>
        <v>0899 080 767</v>
      </c>
      <c r="B330" s="121" t="str">
        <f>IFERROR(__xludf.DUMMYFUNCTION("""COMPUTED_VALUE"""),"Ngọc SV K58")</f>
        <v>Ngọc SV K58</v>
      </c>
      <c r="C330" s="121"/>
      <c r="D330" s="121"/>
      <c r="E330" s="121"/>
    </row>
    <row r="331" ht="15.75" customHeight="1">
      <c r="A331" s="120" t="str">
        <f>IFERROR(__xludf.DUMMYFUNCTION("""COMPUTED_VALUE"""),"0935 612 073")</f>
        <v>0935 612 073</v>
      </c>
      <c r="B331" s="121" t="str">
        <f>IFERROR(__xludf.DUMMYFUNCTION("""COMPUTED_VALUE"""),"Chị Thuận")</f>
        <v>Chị Thuận</v>
      </c>
      <c r="C331" s="121" t="str">
        <f>IFERROR(__xludf.DUMMYFUNCTION("""COMPUTED_VALUE"""),"71 Phạm Thị Liên")</f>
        <v>71 Phạm Thị Liên</v>
      </c>
      <c r="D331" s="121" t="str">
        <f>IFERROR(__xludf.DUMMYFUNCTION("""COMPUTED_VALUE"""),"Mèo")</f>
        <v>Mèo</v>
      </c>
      <c r="E331" s="121" t="str">
        <f>IFERROR(__xludf.DUMMYFUNCTION("""COMPUTED_VALUE"""),"Nấm")</f>
        <v>Nấm</v>
      </c>
    </row>
    <row r="332" ht="15.75" customHeight="1">
      <c r="A332" s="120" t="str">
        <f>IFERROR(__xludf.DUMMYFUNCTION("""COMPUTED_VALUE"""),"0931 932 341")</f>
        <v>0931 932 341</v>
      </c>
      <c r="B332" s="121" t="str">
        <f>IFERROR(__xludf.DUMMYFUNCTION("""COMPUTED_VALUE"""),"Dì Hậu")</f>
        <v>Dì Hậu</v>
      </c>
      <c r="C332" s="121" t="str">
        <f>IFERROR(__xludf.DUMMYFUNCTION("""COMPUTED_VALUE"""),"8/36 Phạm Thị Liên")</f>
        <v>8/36 Phạm Thị Liên</v>
      </c>
      <c r="D332" s="121" t="str">
        <f>IFERROR(__xludf.DUMMYFUNCTION("""COMPUTED_VALUE"""),"Chó")</f>
        <v>Chó</v>
      </c>
      <c r="E332" s="119" t="str">
        <f>IFERROR(__xludf.DUMMYFUNCTION("""COMPUTED_VALUE"""),"Timor")</f>
        <v>Timor</v>
      </c>
    </row>
    <row r="333" ht="15.75" customHeight="1">
      <c r="A333" s="120" t="str">
        <f>IFERROR(__xludf.DUMMYFUNCTION("""COMPUTED_VALUE"""),"0795 275 355")</f>
        <v>0795 275 355</v>
      </c>
      <c r="B333" s="121" t="str">
        <f>IFERROR(__xludf.DUMMYFUNCTION("""COMPUTED_VALUE"""),"Phong")</f>
        <v>Phong</v>
      </c>
      <c r="C333" s="121" t="str">
        <f>IFERROR(__xludf.DUMMYFUNCTION("""COMPUTED_VALUE"""),"k131 trần Phú")</f>
        <v>k131 trần Phú</v>
      </c>
      <c r="D333" s="121" t="str">
        <f>IFERROR(__xludf.DUMMYFUNCTION("""COMPUTED_VALUE"""),"mèo")</f>
        <v>mèo</v>
      </c>
      <c r="E333" s="121" t="str">
        <f>IFERROR(__xludf.DUMMYFUNCTION("""COMPUTED_VALUE"""),"bom")</f>
        <v>bom</v>
      </c>
    </row>
    <row r="334" ht="15.75" customHeight="1">
      <c r="A334" s="120" t="str">
        <f>IFERROR(__xludf.DUMMYFUNCTION("""COMPUTED_VALUE"""),"0348 188 623")</f>
        <v>0348 188 623</v>
      </c>
      <c r="B334" s="121" t="str">
        <f>IFERROR(__xludf.DUMMYFUNCTION("""COMPUTED_VALUE"""),"chị quỳnh")</f>
        <v>chị quỳnh</v>
      </c>
      <c r="C334" s="121" t="str">
        <f>IFERROR(__xludf.DUMMYFUNCTION("""COMPUTED_VALUE"""),"hải dương")</f>
        <v>hải dương</v>
      </c>
      <c r="D334" s="121" t="str">
        <f>IFERROR(__xludf.DUMMYFUNCTION("""COMPUTED_VALUE"""),"chó")</f>
        <v>chó</v>
      </c>
      <c r="E334" s="121" t="str">
        <f>IFERROR(__xludf.DUMMYFUNCTION("""COMPUTED_VALUE"""),"đốm")</f>
        <v>đốm</v>
      </c>
    </row>
    <row r="335" ht="15.75" customHeight="1">
      <c r="A335" s="120" t="str">
        <f>IFERROR(__xludf.DUMMYFUNCTION("""COMPUTED_VALUE"""),"0981 807 481")</f>
        <v>0981 807 481</v>
      </c>
      <c r="B335" s="121" t="str">
        <f>IFERROR(__xludf.DUMMYFUNCTION("""COMPUTED_VALUE"""),"em Tường Vy")</f>
        <v>em Tường Vy</v>
      </c>
      <c r="C335" s="121" t="str">
        <f>IFERROR(__xludf.DUMMYFUNCTION("""COMPUTED_VALUE"""),"Phú Vang")</f>
        <v>Phú Vang</v>
      </c>
      <c r="D335" s="121" t="str">
        <f>IFERROR(__xludf.DUMMYFUNCTION("""COMPUTED_VALUE"""),"mèo")</f>
        <v>mèo</v>
      </c>
      <c r="E335" s="121" t="str">
        <f>IFERROR(__xludf.DUMMYFUNCTION("""COMPUTED_VALUE"""),"trắng")</f>
        <v>trắng</v>
      </c>
    </row>
    <row r="336" ht="15.75" customHeight="1">
      <c r="A336" s="120" t="str">
        <f>IFERROR(__xludf.DUMMYFUNCTION("""COMPUTED_VALUE"""),"0772 511 211")</f>
        <v>0772 511 211</v>
      </c>
      <c r="B336" s="121" t="str">
        <f>IFERROR(__xludf.DUMMYFUNCTION("""COMPUTED_VALUE"""),"Anh tèo")</f>
        <v>Anh tèo</v>
      </c>
      <c r="C336" s="121" t="str">
        <f>IFERROR(__xludf.DUMMYFUNCTION("""COMPUTED_VALUE"""),"36/14 Phạm Thị Liên")</f>
        <v>36/14 Phạm Thị Liên</v>
      </c>
      <c r="D336" s="121" t="str">
        <f>IFERROR(__xludf.DUMMYFUNCTION("""COMPUTED_VALUE"""),"Chó")</f>
        <v>Chó</v>
      </c>
      <c r="E336" s="121" t="str">
        <f>IFERROR(__xludf.DUMMYFUNCTION("""COMPUTED_VALUE"""),"Tom")</f>
        <v>Tom</v>
      </c>
    </row>
    <row r="337" ht="15.75" customHeight="1">
      <c r="A337" s="120" t="str">
        <f>IFERROR(__xludf.DUMMYFUNCTION("""COMPUTED_VALUE"""),"0903 053 981")</f>
        <v>0903 053 981</v>
      </c>
      <c r="B337" s="121" t="str">
        <f>IFERROR(__xludf.DUMMYFUNCTION("""COMPUTED_VALUE"""),"chị trang")</f>
        <v>chị trang</v>
      </c>
      <c r="C337" s="121" t="str">
        <f>IFERROR(__xludf.DUMMYFUNCTION("""COMPUTED_VALUE"""),"29b hẻm 2 kiệt 44 lê ngô cát")</f>
        <v>29b hẻm 2 kiệt 44 lê ngô cát</v>
      </c>
      <c r="D337" s="121" t="str">
        <f>IFERROR(__xludf.DUMMYFUNCTION("""COMPUTED_VALUE"""),"mèo")</f>
        <v>mèo</v>
      </c>
      <c r="E337" s="121" t="str">
        <f>IFERROR(__xludf.DUMMYFUNCTION("""COMPUTED_VALUE"""),"xu")</f>
        <v>xu</v>
      </c>
    </row>
    <row r="338" ht="15.75" customHeight="1">
      <c r="A338" s="120" t="str">
        <f>IFERROR(__xludf.DUMMYFUNCTION("""COMPUTED_VALUE"""),"0332 030 746")</f>
        <v>0332 030 746</v>
      </c>
      <c r="B338" s="121" t="str">
        <f>IFERROR(__xludf.DUMMYFUNCTION("""COMPUTED_VALUE"""),"Anh Tuấn")</f>
        <v>Anh Tuấn</v>
      </c>
      <c r="C338" s="119" t="str">
        <f>IFERROR(__xludf.DUMMYFUNCTION("""COMPUTED_VALUE"""),"120 Điện Biên Phủ")</f>
        <v>120 Điện Biên Phủ</v>
      </c>
      <c r="D338" s="121" t="str">
        <f>IFERROR(__xludf.DUMMYFUNCTION("""COMPUTED_VALUE"""),"Chó")</f>
        <v>Chó</v>
      </c>
      <c r="E338" s="119" t="str">
        <f>IFERROR(__xludf.DUMMYFUNCTION("""COMPUTED_VALUE"""),"Gấu")</f>
        <v>Gấu</v>
      </c>
    </row>
    <row r="339" ht="15.75" customHeight="1">
      <c r="A339" s="120" t="str">
        <f>IFERROR(__xludf.DUMMYFUNCTION("""COMPUTED_VALUE"""),"0932 510 878")</f>
        <v>0932 510 878</v>
      </c>
      <c r="B339" s="121" t="str">
        <f>IFERROR(__xludf.DUMMYFUNCTION("""COMPUTED_VALUE"""),"Chị Hai")</f>
        <v>Chị Hai</v>
      </c>
      <c r="C339" s="121" t="str">
        <f>IFERROR(__xludf.DUMMYFUNCTION("""COMPUTED_VALUE"""),"Minh Hải, Thuận An")</f>
        <v>Minh Hải, Thuận An</v>
      </c>
      <c r="D339" s="121" t="str">
        <f>IFERROR(__xludf.DUMMYFUNCTION("""COMPUTED_VALUE"""),"Chó")</f>
        <v>Chó</v>
      </c>
      <c r="E339" s="121" t="str">
        <f>IFERROR(__xludf.DUMMYFUNCTION("""COMPUTED_VALUE"""),"Sushi")</f>
        <v>Sushi</v>
      </c>
    </row>
    <row r="340" ht="15.75" customHeight="1">
      <c r="A340" s="120" t="str">
        <f>IFERROR(__xludf.DUMMYFUNCTION("""COMPUTED_VALUE"""),"0935 051 502")</f>
        <v>0935 051 502</v>
      </c>
      <c r="B340" s="121" t="str">
        <f>IFERROR(__xludf.DUMMYFUNCTION("""COMPUTED_VALUE"""),"anh minh tuấn")</f>
        <v>anh minh tuấn</v>
      </c>
      <c r="C340" s="121" t="str">
        <f>IFERROR(__xludf.DUMMYFUNCTION("""COMPUTED_VALUE"""),"20/93 đặng văn ngữ")</f>
        <v>20/93 đặng văn ngữ</v>
      </c>
      <c r="D340" s="121" t="str">
        <f>IFERROR(__xludf.DUMMYFUNCTION("""COMPUTED_VALUE"""),"chó")</f>
        <v>chó</v>
      </c>
      <c r="E340" s="121" t="str">
        <f>IFERROR(__xludf.DUMMYFUNCTION("""COMPUTED_VALUE"""),"nâu")</f>
        <v>nâu</v>
      </c>
    </row>
    <row r="341" ht="15.75" customHeight="1">
      <c r="A341" s="120" t="str">
        <f>IFERROR(__xludf.DUMMYFUNCTION("""COMPUTED_VALUE"""),"0583 170 399")</f>
        <v>0583 170 399</v>
      </c>
      <c r="B341" s="121" t="str">
        <f>IFERROR(__xludf.DUMMYFUNCTION("""COMPUTED_VALUE"""),"Duyên")</f>
        <v>Duyên</v>
      </c>
      <c r="C341" s="121" t="str">
        <f>IFERROR(__xludf.DUMMYFUNCTION("""COMPUTED_VALUE"""),"17/29 Hàm Nghi")</f>
        <v>17/29 Hàm Nghi</v>
      </c>
      <c r="D341" s="121" t="str">
        <f>IFERROR(__xludf.DUMMYFUNCTION("""COMPUTED_VALUE"""),"mèo")</f>
        <v>mèo</v>
      </c>
      <c r="E341" s="121" t="str">
        <f>IFERROR(__xludf.DUMMYFUNCTION("""COMPUTED_VALUE"""),"chan")</f>
        <v>chan</v>
      </c>
    </row>
    <row r="342" ht="15.75" customHeight="1">
      <c r="A342" s="120" t="str">
        <f>IFERROR(__xludf.DUMMYFUNCTION("""COMPUTED_VALUE"""),"0949 421 690")</f>
        <v>0949 421 690</v>
      </c>
      <c r="B342" s="121" t="str">
        <f>IFERROR(__xludf.DUMMYFUNCTION("""COMPUTED_VALUE"""),"Chị Phương")</f>
        <v>Chị Phương</v>
      </c>
      <c r="C342" s="121" t="str">
        <f>IFERROR(__xludf.DUMMYFUNCTION("""COMPUTED_VALUE"""),"32/68 Điện Biên Phủ")</f>
        <v>32/68 Điện Biên Phủ</v>
      </c>
      <c r="D342" s="121" t="str">
        <f>IFERROR(__xludf.DUMMYFUNCTION("""COMPUTED_VALUE"""),"chó")</f>
        <v>chó</v>
      </c>
      <c r="E342" s="121" t="str">
        <f>IFERROR(__xludf.DUMMYFUNCTION("""COMPUTED_VALUE"""),"bánh mì")</f>
        <v>bánh mì</v>
      </c>
    </row>
    <row r="343" ht="15.75" customHeight="1">
      <c r="A343" s="120" t="str">
        <f>IFERROR(__xludf.DUMMYFUNCTION("""COMPUTED_VALUE"""),"0977 797 845")</f>
        <v>0977 797 845</v>
      </c>
      <c r="B343" s="121" t="str">
        <f>IFERROR(__xludf.DUMMYFUNCTION("""COMPUTED_VALUE"""),"anh sơn")</f>
        <v>anh sơn</v>
      </c>
      <c r="C343" s="121" t="str">
        <f>IFERROR(__xludf.DUMMYFUNCTION("""COMPUTED_VALUE"""),"101 thích tịnh khiết")</f>
        <v>101 thích tịnh khiết</v>
      </c>
      <c r="D343" s="121" t="str">
        <f>IFERROR(__xludf.DUMMYFUNCTION("""COMPUTED_VALUE"""),"mèo ")</f>
        <v>mèo </v>
      </c>
      <c r="E343" s="121" t="str">
        <f>IFERROR(__xludf.DUMMYFUNCTION("""COMPUTED_VALUE"""),"đen")</f>
        <v>đen</v>
      </c>
    </row>
    <row r="344" ht="15.75" customHeight="1">
      <c r="A344" s="120" t="str">
        <f>IFERROR(__xludf.DUMMYFUNCTION("""COMPUTED_VALUE"""),"0947 887 321")</f>
        <v>0947 887 321</v>
      </c>
      <c r="B344" s="121" t="str">
        <f>IFERROR(__xludf.DUMMYFUNCTION("""COMPUTED_VALUE"""),"Phước")</f>
        <v>Phước</v>
      </c>
      <c r="C344" s="121" t="str">
        <f>IFERROR(__xludf.DUMMYFUNCTION("""COMPUTED_VALUE"""),"Tổ 1, Thủy Dương")</f>
        <v>Tổ 1, Thủy Dương</v>
      </c>
      <c r="D344" s="121" t="str">
        <f>IFERROR(__xludf.DUMMYFUNCTION("""COMPUTED_VALUE"""),"Chó")</f>
        <v>Chó</v>
      </c>
      <c r="E344" s="121" t="str">
        <f>IFERROR(__xludf.DUMMYFUNCTION("""COMPUTED_VALUE"""),"Bông")</f>
        <v>Bông</v>
      </c>
    </row>
    <row r="345" ht="15.75" customHeight="1">
      <c r="A345" s="120" t="str">
        <f>IFERROR(__xludf.DUMMYFUNCTION("""COMPUTED_VALUE"""),"0899 913 696")</f>
        <v>0899 913 696</v>
      </c>
      <c r="B345" s="121" t="str">
        <f>IFERROR(__xludf.DUMMYFUNCTION("""COMPUTED_VALUE"""),"em dương")</f>
        <v>em dương</v>
      </c>
      <c r="C345" s="121"/>
      <c r="D345" s="121" t="str">
        <f>IFERROR(__xludf.DUMMYFUNCTION("""COMPUTED_VALUE"""),"mèo")</f>
        <v>mèo</v>
      </c>
      <c r="E345" s="121" t="str">
        <f>IFERROR(__xludf.DUMMYFUNCTION("""COMPUTED_VALUE"""),"mèo")</f>
        <v>mèo</v>
      </c>
    </row>
    <row r="346" ht="15.75" customHeight="1">
      <c r="A346" s="120" t="str">
        <f>IFERROR(__xludf.DUMMYFUNCTION("""COMPUTED_VALUE"""),"0935 600 886")</f>
        <v>0935 600 886</v>
      </c>
      <c r="B346" s="121" t="str">
        <f>IFERROR(__xludf.DUMMYFUNCTION("""COMPUTED_VALUE"""),"Chị Ngọc")</f>
        <v>Chị Ngọc</v>
      </c>
      <c r="C346" s="121" t="str">
        <f>IFERROR(__xludf.DUMMYFUNCTION("""COMPUTED_VALUE"""),"5 Chùa Ông")</f>
        <v>5 Chùa Ông</v>
      </c>
      <c r="D346" s="121" t="str">
        <f>IFERROR(__xludf.DUMMYFUNCTION("""COMPUTED_VALUE"""),"Chó")</f>
        <v>Chó</v>
      </c>
      <c r="E346" s="121" t="str">
        <f>IFERROR(__xludf.DUMMYFUNCTION("""COMPUTED_VALUE"""),"Su")</f>
        <v>Su</v>
      </c>
    </row>
    <row r="347" ht="15.75" customHeight="1">
      <c r="A347" s="120" t="str">
        <f>IFERROR(__xludf.DUMMYFUNCTION("""COMPUTED_VALUE"""),"0986 649 235")</f>
        <v>0986 649 235</v>
      </c>
      <c r="B347" s="121" t="str">
        <f>IFERROR(__xludf.DUMMYFUNCTION("""COMPUTED_VALUE"""),"Anh Hưng")</f>
        <v>Anh Hưng</v>
      </c>
      <c r="C347" s="121" t="str">
        <f>IFERROR(__xludf.DUMMYFUNCTION("""COMPUTED_VALUE"""),"Tổ 1 Hương Hồ")</f>
        <v>Tổ 1 Hương Hồ</v>
      </c>
      <c r="D347" s="121" t="str">
        <f>IFERROR(__xludf.DUMMYFUNCTION("""COMPUTED_VALUE"""),"Chó")</f>
        <v>Chó</v>
      </c>
      <c r="E347" s="121" t="str">
        <f>IFERROR(__xludf.DUMMYFUNCTION("""COMPUTED_VALUE"""),"Cam")</f>
        <v>Cam</v>
      </c>
    </row>
    <row r="348" ht="15.75" customHeight="1">
      <c r="A348" s="120" t="str">
        <f>IFERROR(__xludf.DUMMYFUNCTION("""COMPUTED_VALUE"""),"0904 231 019")</f>
        <v>0904 231 019</v>
      </c>
      <c r="B348" s="121" t="str">
        <f>IFERROR(__xludf.DUMMYFUNCTION("""COMPUTED_VALUE"""),"Chị Thư")</f>
        <v>Chị Thư</v>
      </c>
      <c r="C348" s="121" t="str">
        <f>IFERROR(__xludf.DUMMYFUNCTION("""COMPUTED_VALUE"""),"401 Chi Lăng")</f>
        <v>401 Chi Lăng</v>
      </c>
      <c r="D348" s="121" t="str">
        <f>IFERROR(__xludf.DUMMYFUNCTION("""COMPUTED_VALUE"""),"Mèo")</f>
        <v>Mèo</v>
      </c>
      <c r="E348" s="121" t="str">
        <f>IFERROR(__xludf.DUMMYFUNCTION("""COMPUTED_VALUE"""),"Nhi")</f>
        <v>Nhi</v>
      </c>
    </row>
    <row r="349" ht="15.75" customHeight="1">
      <c r="A349" s="120" t="str">
        <f>IFERROR(__xludf.DUMMYFUNCTION("""COMPUTED_VALUE"""),"0908 401 740")</f>
        <v>0908 401 740</v>
      </c>
      <c r="B349" s="121" t="str">
        <f>IFERROR(__xludf.DUMMYFUNCTION("""COMPUTED_VALUE"""),"Anh Kim")</f>
        <v>Anh Kim</v>
      </c>
      <c r="C349" s="121" t="str">
        <f>IFERROR(__xludf.DUMMYFUNCTION("""COMPUTED_VALUE"""),"87 Nguyễn Phúc Thái")</f>
        <v>87 Nguyễn Phúc Thái</v>
      </c>
      <c r="D349" s="121" t="str">
        <f>IFERROR(__xludf.DUMMYFUNCTION("""COMPUTED_VALUE"""),"Chó")</f>
        <v>Chó</v>
      </c>
      <c r="E349" s="121"/>
    </row>
    <row r="350" ht="15.75" customHeight="1">
      <c r="A350" s="120" t="str">
        <f>IFERROR(__xludf.DUMMYFUNCTION("""COMPUTED_VALUE"""),"0819 692 209")</f>
        <v>0819 692 209</v>
      </c>
      <c r="B350" s="121" t="str">
        <f>IFERROR(__xludf.DUMMYFUNCTION("""COMPUTED_VALUE"""),"anh quý")</f>
        <v>anh quý</v>
      </c>
      <c r="C350" s="121" t="str">
        <f>IFERROR(__xludf.DUMMYFUNCTION("""COMPUTED_VALUE"""),"168 ngự bình")</f>
        <v>168 ngự bình</v>
      </c>
      <c r="D350" s="121" t="str">
        <f>IFERROR(__xludf.DUMMYFUNCTION("""COMPUTED_VALUE"""),"chó")</f>
        <v>chó</v>
      </c>
      <c r="E350" s="121" t="str">
        <f>IFERROR(__xludf.DUMMYFUNCTION("""COMPUTED_VALUE"""),"mun")</f>
        <v>mun</v>
      </c>
    </row>
    <row r="351" ht="15.75" customHeight="1">
      <c r="A351" s="120" t="str">
        <f>IFERROR(__xludf.DUMMYFUNCTION("""COMPUTED_VALUE"""),"0901 992 525")</f>
        <v>0901 992 525</v>
      </c>
      <c r="B351" s="121" t="str">
        <f>IFERROR(__xludf.DUMMYFUNCTION("""COMPUTED_VALUE"""),"Chị Thùy Nhung")</f>
        <v>Chị Thùy Nhung</v>
      </c>
      <c r="C351" s="121"/>
      <c r="D351" s="121" t="str">
        <f>IFERROR(__xludf.DUMMYFUNCTION("""COMPUTED_VALUE"""),"chó")</f>
        <v>chó</v>
      </c>
      <c r="E351" s="121"/>
    </row>
    <row r="352" ht="15.75" customHeight="1">
      <c r="A352" s="120" t="str">
        <f>IFERROR(__xludf.DUMMYFUNCTION("""COMPUTED_VALUE"""),"0369 850 775")</f>
        <v>0369 850 775</v>
      </c>
      <c r="B352" s="121" t="str">
        <f>IFERROR(__xludf.DUMMYFUNCTION("""COMPUTED_VALUE"""),"Anh Lưu")</f>
        <v>Anh Lưu</v>
      </c>
      <c r="C352" s="121" t="str">
        <f>IFERROR(__xludf.DUMMYFUNCTION("""COMPUTED_VALUE"""),"Phong An")</f>
        <v>Phong An</v>
      </c>
      <c r="D352" s="121" t="str">
        <f>IFERROR(__xludf.DUMMYFUNCTION("""COMPUTED_VALUE"""),"Chó")</f>
        <v>Chó</v>
      </c>
      <c r="E352" s="121" t="str">
        <f>IFERROR(__xludf.DUMMYFUNCTION("""COMPUTED_VALUE"""),"Leo")</f>
        <v>Leo</v>
      </c>
    </row>
    <row r="353" ht="15.75" customHeight="1">
      <c r="A353" s="120" t="str">
        <f>IFERROR(__xludf.DUMMYFUNCTION("""COMPUTED_VALUE"""),"0915 856 446")</f>
        <v>0915 856 446</v>
      </c>
      <c r="B353" s="121" t="str">
        <f>IFERROR(__xludf.DUMMYFUNCTION("""COMPUTED_VALUE"""),"Dì Liên")</f>
        <v>Dì Liên</v>
      </c>
      <c r="C353" s="121" t="str">
        <f>IFERROR(__xludf.DUMMYFUNCTION("""COMPUTED_VALUE"""),"54/8 Phú Mộng")</f>
        <v>54/8 Phú Mộng</v>
      </c>
      <c r="D353" s="121" t="str">
        <f>IFERROR(__xludf.DUMMYFUNCTION("""COMPUTED_VALUE"""),"Chó ")</f>
        <v>Chó </v>
      </c>
      <c r="E353" s="121" t="str">
        <f>IFERROR(__xludf.DUMMYFUNCTION("""COMPUTED_VALUE"""),"Xoài/ Mít")</f>
        <v>Xoài/ Mít</v>
      </c>
    </row>
    <row r="354" ht="15.75" customHeight="1">
      <c r="A354" s="120" t="str">
        <f>IFERROR(__xludf.DUMMYFUNCTION("""COMPUTED_VALUE"""),"0905 306 265")</f>
        <v>0905 306 265</v>
      </c>
      <c r="B354" s="121" t="str">
        <f>IFERROR(__xludf.DUMMYFUNCTION("""COMPUTED_VALUE"""),"Em Yến")</f>
        <v>Em Yến</v>
      </c>
      <c r="C354" s="121" t="str">
        <f>IFERROR(__xludf.DUMMYFUNCTION("""COMPUTED_VALUE"""),"Lô D34 Đại Cồ Việt")</f>
        <v>Lô D34 Đại Cồ Việt</v>
      </c>
      <c r="D354" s="121" t="str">
        <f>IFERROR(__xludf.DUMMYFUNCTION("""COMPUTED_VALUE"""),"Mèo")</f>
        <v>Mèo</v>
      </c>
      <c r="E354" s="121" t="str">
        <f>IFERROR(__xludf.DUMMYFUNCTION("""COMPUTED_VALUE"""),"Michan")</f>
        <v>Michan</v>
      </c>
    </row>
    <row r="355" ht="15.75" customHeight="1">
      <c r="A355" s="120" t="str">
        <f>IFERROR(__xludf.DUMMYFUNCTION("""COMPUTED_VALUE"""),"0901 901 804")</f>
        <v>0901 901 804</v>
      </c>
      <c r="B355" s="121" t="str">
        <f>IFERROR(__xludf.DUMMYFUNCTION("""COMPUTED_VALUE"""),"Dì Ngọc ")</f>
        <v>Dì Ngọc </v>
      </c>
      <c r="C355" s="121" t="str">
        <f>IFERROR(__xludf.DUMMYFUNCTION("""COMPUTED_VALUE"""),"143 Lăng Hồ")</f>
        <v>143 Lăng Hồ</v>
      </c>
      <c r="D355" s="121" t="str">
        <f>IFERROR(__xludf.DUMMYFUNCTION("""COMPUTED_VALUE"""),"Chó")</f>
        <v>Chó</v>
      </c>
      <c r="E355" s="121" t="str">
        <f>IFERROR(__xludf.DUMMYFUNCTION("""COMPUTED_VALUE"""),"Sữa")</f>
        <v>Sữa</v>
      </c>
    </row>
    <row r="356" ht="15.75" customHeight="1">
      <c r="A356" s="120" t="str">
        <f>IFERROR(__xludf.DUMMYFUNCTION("""COMPUTED_VALUE"""),"0392 579 467")</f>
        <v>0392 579 467</v>
      </c>
      <c r="B356" s="121" t="str">
        <f>IFERROR(__xludf.DUMMYFUNCTION("""COMPUTED_VALUE"""),"Em Vy")</f>
        <v>Em Vy</v>
      </c>
      <c r="C356" s="121" t="str">
        <f>IFERROR(__xludf.DUMMYFUNCTION("""COMPUTED_VALUE"""),"11/15 Nguyễn Hữu Dật")</f>
        <v>11/15 Nguyễn Hữu Dật</v>
      </c>
      <c r="D356" s="121" t="str">
        <f>IFERROR(__xludf.DUMMYFUNCTION("""COMPUTED_VALUE"""),"Chó")</f>
        <v>Chó</v>
      </c>
      <c r="E356" s="121" t="str">
        <f>IFERROR(__xludf.DUMMYFUNCTION("""COMPUTED_VALUE"""),"Bông")</f>
        <v>Bông</v>
      </c>
    </row>
    <row r="357" ht="15.75" customHeight="1">
      <c r="A357" s="120" t="str">
        <f>IFERROR(__xludf.DUMMYFUNCTION("""COMPUTED_VALUE"""),"0779 176 737")</f>
        <v>0779 176 737</v>
      </c>
      <c r="B357" s="121" t="str">
        <f>IFERROR(__xludf.DUMMYFUNCTION("""COMPUTED_VALUE"""),"anh Quang")</f>
        <v>anh Quang</v>
      </c>
      <c r="C357" s="121" t="str">
        <f>IFERROR(__xludf.DUMMYFUNCTION("""COMPUTED_VALUE"""),"44 Nguyễn Trọng Nhân")</f>
        <v>44 Nguyễn Trọng Nhân</v>
      </c>
      <c r="D357" s="121" t="str">
        <f>IFERROR(__xludf.DUMMYFUNCTION("""COMPUTED_VALUE"""),"Chó ")</f>
        <v>Chó </v>
      </c>
      <c r="E357" s="121" t="str">
        <f>IFERROR(__xludf.DUMMYFUNCTION("""COMPUTED_VALUE"""),"Đen")</f>
        <v>Đen</v>
      </c>
    </row>
    <row r="358" ht="15.75" customHeight="1">
      <c r="A358" s="120" t="str">
        <f>IFERROR(__xludf.DUMMYFUNCTION("""COMPUTED_VALUE"""),"0906 428 693")</f>
        <v>0906 428 693</v>
      </c>
      <c r="B358" s="121" t="str">
        <f>IFERROR(__xludf.DUMMYFUNCTION("""COMPUTED_VALUE"""),"Anh Vũ ")</f>
        <v>Anh Vũ </v>
      </c>
      <c r="C358" s="121" t="str">
        <f>IFERROR(__xludf.DUMMYFUNCTION("""COMPUTED_VALUE"""),"159 Huỳnh Thúc Kháng")</f>
        <v>159 Huỳnh Thúc Kháng</v>
      </c>
      <c r="D358" s="121" t="str">
        <f>IFERROR(__xludf.DUMMYFUNCTION("""COMPUTED_VALUE"""),"Chó")</f>
        <v>Chó</v>
      </c>
      <c r="E358" s="121" t="str">
        <f>IFERROR(__xludf.DUMMYFUNCTION("""COMPUTED_VALUE"""),"Chút")</f>
        <v>Chút</v>
      </c>
    </row>
    <row r="359" ht="15.75" customHeight="1">
      <c r="A359" s="120" t="str">
        <f>IFERROR(__xludf.DUMMYFUNCTION("""COMPUTED_VALUE"""),"0933 914 573")</f>
        <v>0933 914 573</v>
      </c>
      <c r="B359" s="121" t="str">
        <f>IFERROR(__xludf.DUMMYFUNCTION("""COMPUTED_VALUE"""),"Anh Hoàng")</f>
        <v>Anh Hoàng</v>
      </c>
      <c r="C359" s="121" t="str">
        <f>IFERROR(__xludf.DUMMYFUNCTION("""COMPUTED_VALUE"""),"44 Nguyễn Phúc Lan")</f>
        <v>44 Nguyễn Phúc Lan</v>
      </c>
      <c r="D359" s="121" t="str">
        <f>IFERROR(__xludf.DUMMYFUNCTION("""COMPUTED_VALUE"""),"Chó")</f>
        <v>Chó</v>
      </c>
      <c r="E359" s="121" t="str">
        <f>IFERROR(__xludf.DUMMYFUNCTION("""COMPUTED_VALUE"""),"Mon")</f>
        <v>Mon</v>
      </c>
    </row>
    <row r="360" ht="15.75" customHeight="1">
      <c r="A360" s="120" t="str">
        <f>IFERROR(__xludf.DUMMYFUNCTION("""COMPUTED_VALUE"""),"0362 156 052")</f>
        <v>0362 156 052</v>
      </c>
      <c r="B360" s="121" t="str">
        <f>IFERROR(__xludf.DUMMYFUNCTION("""COMPUTED_VALUE"""),"Dì Vân")</f>
        <v>Dì Vân</v>
      </c>
      <c r="C360" s="121" t="str">
        <f>IFERROR(__xludf.DUMMYFUNCTION("""COMPUTED_VALUE"""),"84 Phạm Thị Liên")</f>
        <v>84 Phạm Thị Liên</v>
      </c>
      <c r="D360" s="121" t="str">
        <f>IFERROR(__xludf.DUMMYFUNCTION("""COMPUTED_VALUE"""),"Chó")</f>
        <v>Chó</v>
      </c>
      <c r="E360" s="121" t="str">
        <f>IFERROR(__xludf.DUMMYFUNCTION("""COMPUTED_VALUE"""),"Vện")</f>
        <v>Vện</v>
      </c>
    </row>
    <row r="361" ht="15.75" customHeight="1">
      <c r="A361" s="120" t="str">
        <f>IFERROR(__xludf.DUMMYFUNCTION("""COMPUTED_VALUE"""),"0901 961 625")</f>
        <v>0901 961 625</v>
      </c>
      <c r="B361" s="121" t="str">
        <f>IFERROR(__xludf.DUMMYFUNCTION("""COMPUTED_VALUE"""),"En Chiến")</f>
        <v>En Chiến</v>
      </c>
      <c r="C361" s="121" t="str">
        <f>IFERROR(__xludf.DUMMYFUNCTION("""COMPUTED_VALUE"""),"Thủy Bằng")</f>
        <v>Thủy Bằng</v>
      </c>
      <c r="D361" s="121" t="str">
        <f>IFERROR(__xludf.DUMMYFUNCTION("""COMPUTED_VALUE"""),"Chó")</f>
        <v>Chó</v>
      </c>
      <c r="E361" s="121"/>
    </row>
    <row r="362" ht="15.75" customHeight="1">
      <c r="A362" s="120" t="str">
        <f>IFERROR(__xludf.DUMMYFUNCTION("""COMPUTED_VALUE"""),"0979 497 591")</f>
        <v>0979 497 591</v>
      </c>
      <c r="B362" s="121" t="str">
        <f>IFERROR(__xludf.DUMMYFUNCTION("""COMPUTED_VALUE"""),"Chị Quyên")</f>
        <v>Chị Quyên</v>
      </c>
      <c r="C362" s="121" t="str">
        <f>IFERROR(__xludf.DUMMYFUNCTION("""COMPUTED_VALUE"""),"Kiệt 105 Minh Mạng")</f>
        <v>Kiệt 105 Minh Mạng</v>
      </c>
      <c r="D362" s="121" t="str">
        <f>IFERROR(__xludf.DUMMYFUNCTION("""COMPUTED_VALUE"""),"Chó")</f>
        <v>Chó</v>
      </c>
      <c r="E362" s="121" t="str">
        <f>IFERROR(__xludf.DUMMYFUNCTION("""COMPUTED_VALUE"""),"Ki")</f>
        <v>Ki</v>
      </c>
    </row>
    <row r="363" ht="15.75" customHeight="1">
      <c r="A363" s="120" t="str">
        <f>IFERROR(__xludf.DUMMYFUNCTION("""COMPUTED_VALUE"""),"0848 773 357")</f>
        <v>0848 773 357</v>
      </c>
      <c r="B363" s="121" t="str">
        <f>IFERROR(__xludf.DUMMYFUNCTION("""COMPUTED_VALUE"""),"Chị Hương")</f>
        <v>Chị Hương</v>
      </c>
      <c r="C363" s="121" t="str">
        <f>IFERROR(__xludf.DUMMYFUNCTION("""COMPUTED_VALUE"""),"376 Phan Chu Trinh")</f>
        <v>376 Phan Chu Trinh</v>
      </c>
      <c r="D363" s="121" t="str">
        <f>IFERROR(__xludf.DUMMYFUNCTION("""COMPUTED_VALUE"""),"Mèo")</f>
        <v>Mèo</v>
      </c>
      <c r="E363" s="121"/>
    </row>
    <row r="364" ht="15.75" customHeight="1">
      <c r="A364" s="120" t="str">
        <f>IFERROR(__xludf.DUMMYFUNCTION("""COMPUTED_VALUE"""),"0931 988 795")</f>
        <v>0931 988 795</v>
      </c>
      <c r="B364" s="121" t="str">
        <f>IFERROR(__xludf.DUMMYFUNCTION("""COMPUTED_VALUE"""),"Em Nhật")</f>
        <v>Em Nhật</v>
      </c>
      <c r="C364" s="121" t="str">
        <f>IFERROR(__xludf.DUMMYFUNCTION("""COMPUTED_VALUE"""),"130 Trường Chinh")</f>
        <v>130 Trường Chinh</v>
      </c>
      <c r="D364" s="121" t="str">
        <f>IFERROR(__xludf.DUMMYFUNCTION("""COMPUTED_VALUE"""),"Mèo")</f>
        <v>Mèo</v>
      </c>
      <c r="E364" s="121" t="str">
        <f>IFERROR(__xludf.DUMMYFUNCTION("""COMPUTED_VALUE"""),"Lạc")</f>
        <v>Lạc</v>
      </c>
    </row>
    <row r="365" ht="15.75" customHeight="1">
      <c r="A365" s="120" t="str">
        <f>IFERROR(__xludf.DUMMYFUNCTION("""COMPUTED_VALUE"""),"0905 559 536")</f>
        <v>0905 559 536</v>
      </c>
      <c r="B365" s="121" t="str">
        <f>IFERROR(__xludf.DUMMYFUNCTION("""COMPUTED_VALUE"""),"Chú Minh")</f>
        <v>Chú Minh</v>
      </c>
      <c r="C365" s="121" t="str">
        <f>IFERROR(__xludf.DUMMYFUNCTION("""COMPUTED_VALUE"""),"240/40 Lý Minh Đế")</f>
        <v>240/40 Lý Minh Đế</v>
      </c>
      <c r="D365" s="121" t="str">
        <f>IFERROR(__xludf.DUMMYFUNCTION("""COMPUTED_VALUE"""),"Chó")</f>
        <v>Chó</v>
      </c>
      <c r="E365" s="121" t="str">
        <f>IFERROR(__xludf.DUMMYFUNCTION("""COMPUTED_VALUE"""),"Golden")</f>
        <v>Golden</v>
      </c>
    </row>
    <row r="366" ht="15.75" customHeight="1">
      <c r="A366" s="120" t="str">
        <f>IFERROR(__xludf.DUMMYFUNCTION("""COMPUTED_VALUE"""),"0384 556 357")</f>
        <v>0384 556 357</v>
      </c>
      <c r="B366" s="121" t="str">
        <f>IFERROR(__xludf.DUMMYFUNCTION("""COMPUTED_VALUE"""),"Anh Minh ")</f>
        <v>Anh Minh </v>
      </c>
      <c r="C366" s="121" t="str">
        <f>IFERROR(__xludf.DUMMYFUNCTION("""COMPUTED_VALUE"""),"2/19 Tư Vinh")</f>
        <v>2/19 Tư Vinh</v>
      </c>
      <c r="D366" s="121" t="str">
        <f>IFERROR(__xludf.DUMMYFUNCTION("""COMPUTED_VALUE"""),"Chó")</f>
        <v>Chó</v>
      </c>
      <c r="E366" s="121" t="str">
        <f>IFERROR(__xludf.DUMMYFUNCTION("""COMPUTED_VALUE"""),"Coco")</f>
        <v>Coco</v>
      </c>
    </row>
    <row r="367" ht="15.75" customHeight="1">
      <c r="A367" s="120" t="str">
        <f>IFERROR(__xludf.DUMMYFUNCTION("""COMPUTED_VALUE"""),"0795 245 175")</f>
        <v>0795 245 175</v>
      </c>
      <c r="B367" s="121" t="str">
        <f>IFERROR(__xludf.DUMMYFUNCTION("""COMPUTED_VALUE"""),"Em Bích Ngọc")</f>
        <v>Em Bích Ngọc</v>
      </c>
      <c r="C367" s="121" t="str">
        <f>IFERROR(__xludf.DUMMYFUNCTION("""COMPUTED_VALUE"""),"8/159 Hàn Mặc Tử")</f>
        <v>8/159 Hàn Mặc Tử</v>
      </c>
      <c r="D367" s="121" t="str">
        <f>IFERROR(__xludf.DUMMYFUNCTION("""COMPUTED_VALUE"""),"chó")</f>
        <v>chó</v>
      </c>
      <c r="E367" s="121"/>
    </row>
    <row r="368" ht="15.75" customHeight="1">
      <c r="A368" s="120" t="str">
        <f>IFERROR(__xludf.DUMMYFUNCTION("""COMPUTED_VALUE"""),"0916 374 677")</f>
        <v>0916 374 677</v>
      </c>
      <c r="B368" s="121" t="str">
        <f>IFERROR(__xludf.DUMMYFUNCTION("""COMPUTED_VALUE"""),"Chị Nga")</f>
        <v>Chị Nga</v>
      </c>
      <c r="C368" s="121" t="str">
        <f>IFERROR(__xludf.DUMMYFUNCTION("""COMPUTED_VALUE"""),"K94/1/7A Nguyễn Phúc Chu")</f>
        <v>K94/1/7A Nguyễn Phúc Chu</v>
      </c>
      <c r="D368" s="121" t="str">
        <f>IFERROR(__xludf.DUMMYFUNCTION("""COMPUTED_VALUE"""),"Chó")</f>
        <v>Chó</v>
      </c>
      <c r="E368" s="121" t="str">
        <f>IFERROR(__xludf.DUMMYFUNCTION("""COMPUTED_VALUE"""),"Bột")</f>
        <v>Bột</v>
      </c>
    </row>
    <row r="369" ht="15.75" customHeight="1">
      <c r="A369" s="120" t="str">
        <f>IFERROR(__xludf.DUMMYFUNCTION("""COMPUTED_VALUE"""),"0383 091 591")</f>
        <v>0383 091 591</v>
      </c>
      <c r="B369" s="121" t="str">
        <f>IFERROR(__xludf.DUMMYFUNCTION("""COMPUTED_VALUE"""),"Chị Tuyết")</f>
        <v>Chị Tuyết</v>
      </c>
      <c r="C369" s="121" t="str">
        <f>IFERROR(__xludf.DUMMYFUNCTION("""COMPUTED_VALUE"""),"55 Lâm Hoằng")</f>
        <v>55 Lâm Hoằng</v>
      </c>
      <c r="D369" s="121" t="str">
        <f>IFERROR(__xludf.DUMMYFUNCTION("""COMPUTED_VALUE"""),"Mèo")</f>
        <v>Mèo</v>
      </c>
      <c r="E369" s="121" t="str">
        <f>IFERROR(__xludf.DUMMYFUNCTION("""COMPUTED_VALUE"""),"Cam")</f>
        <v>Cam</v>
      </c>
    </row>
    <row r="370" ht="15.75" customHeight="1">
      <c r="A370" s="120" t="str">
        <f>IFERROR(__xludf.DUMMYFUNCTION("""COMPUTED_VALUE"""),"0858 303 861")</f>
        <v>0858 303 861</v>
      </c>
      <c r="B370" s="121" t="str">
        <f>IFERROR(__xludf.DUMMYFUNCTION("""COMPUTED_VALUE"""),"Anh Nhật")</f>
        <v>Anh Nhật</v>
      </c>
      <c r="C370" s="121" t="str">
        <f>IFERROR(__xludf.DUMMYFUNCTION("""COMPUTED_VALUE"""),"Công Lương, Thủy Bằng")</f>
        <v>Công Lương, Thủy Bằng</v>
      </c>
      <c r="D370" s="121" t="str">
        <f>IFERROR(__xludf.DUMMYFUNCTION("""COMPUTED_VALUE"""),"Chó")</f>
        <v>Chó</v>
      </c>
      <c r="E370" s="121" t="str">
        <f>IFERROR(__xludf.DUMMYFUNCTION("""COMPUTED_VALUE"""),"Nô")</f>
        <v>Nô</v>
      </c>
    </row>
    <row r="371" ht="15.75" customHeight="1">
      <c r="A371" s="120" t="str">
        <f>IFERROR(__xludf.DUMMYFUNCTION("""COMPUTED_VALUE"""),"0935 828 880")</f>
        <v>0935 828 880</v>
      </c>
      <c r="B371" s="121" t="str">
        <f>IFERROR(__xludf.DUMMYFUNCTION("""COMPUTED_VALUE"""),"anh tín")</f>
        <v>anh tín</v>
      </c>
      <c r="C371" s="121" t="str">
        <f>IFERROR(__xludf.DUMMYFUNCTION("""COMPUTED_VALUE"""),"200a trần phú")</f>
        <v>200a trần phú</v>
      </c>
      <c r="D371" s="121" t="str">
        <f>IFERROR(__xludf.DUMMYFUNCTION("""COMPUTED_VALUE"""),"chó")</f>
        <v>chó</v>
      </c>
      <c r="E371" s="121"/>
    </row>
    <row r="372" ht="15.75" customHeight="1">
      <c r="A372" s="120" t="str">
        <f>IFERROR(__xludf.DUMMYFUNCTION("""COMPUTED_VALUE"""),"0397 314 860")</f>
        <v>0397 314 860</v>
      </c>
      <c r="B372" s="121" t="str">
        <f>IFERROR(__xludf.DUMMYFUNCTION("""COMPUTED_VALUE"""),"Em Kiệt")</f>
        <v>Em Kiệt</v>
      </c>
      <c r="C372" s="121" t="str">
        <f>IFERROR(__xludf.DUMMYFUNCTION("""COMPUTED_VALUE"""),"Thôn nam")</f>
        <v>Thôn nam</v>
      </c>
      <c r="D372" s="121" t="str">
        <f>IFERROR(__xludf.DUMMYFUNCTION("""COMPUTED_VALUE"""),"Chó")</f>
        <v>Chó</v>
      </c>
      <c r="E372" s="121" t="str">
        <f>IFERROR(__xludf.DUMMYFUNCTION("""COMPUTED_VALUE"""),"Xệ")</f>
        <v>Xệ</v>
      </c>
    </row>
    <row r="373" ht="15.75" customHeight="1">
      <c r="A373" s="120" t="str">
        <f>IFERROR(__xludf.DUMMYFUNCTION("""COMPUTED_VALUE"""),"0387 419 775")</f>
        <v>0387 419 775</v>
      </c>
      <c r="B373" s="121" t="str">
        <f>IFERROR(__xludf.DUMMYFUNCTION("""COMPUTED_VALUE"""),"Uyển Vân")</f>
        <v>Uyển Vân</v>
      </c>
      <c r="C373" s="121" t="str">
        <f>IFERROR(__xludf.DUMMYFUNCTION("""COMPUTED_VALUE"""),"12 Hồ Văn Hiến")</f>
        <v>12 Hồ Văn Hiến</v>
      </c>
      <c r="D373" s="121" t="str">
        <f>IFERROR(__xludf.DUMMYFUNCTION("""COMPUTED_VALUE"""),"chó")</f>
        <v>chó</v>
      </c>
      <c r="E373" s="121"/>
    </row>
    <row r="374" ht="15.75" customHeight="1">
      <c r="A374" s="120" t="str">
        <f>IFERROR(__xludf.DUMMYFUNCTION("""COMPUTED_VALUE"""),"0703 737 557")</f>
        <v>0703 737 557</v>
      </c>
      <c r="B374" s="121" t="str">
        <f>IFERROR(__xludf.DUMMYFUNCTION("""COMPUTED_VALUE"""),"đặng lộc")</f>
        <v>đặng lộc</v>
      </c>
      <c r="C374" s="121" t="str">
        <f>IFERROR(__xludf.DUMMYFUNCTION("""COMPUTED_VALUE"""),"69 huyền trân công chúa")</f>
        <v>69 huyền trân công chúa</v>
      </c>
      <c r="D374" s="121" t="str">
        <f>IFERROR(__xludf.DUMMYFUNCTION("""COMPUTED_VALUE"""),"chó")</f>
        <v>chó</v>
      </c>
      <c r="E374" s="121"/>
    </row>
    <row r="375" ht="15.75" customHeight="1">
      <c r="A375" s="120" t="str">
        <f>IFERROR(__xludf.DUMMYFUNCTION("""COMPUTED_VALUE"""),"0856 848 471")</f>
        <v>0856 848 471</v>
      </c>
      <c r="B375" s="121" t="str">
        <f>IFERROR(__xludf.DUMMYFUNCTION("""COMPUTED_VALUE"""),"Chị trang")</f>
        <v>Chị trang</v>
      </c>
      <c r="C375" s="121" t="str">
        <f>IFERROR(__xludf.DUMMYFUNCTION("""COMPUTED_VALUE"""),"Phú Lộc")</f>
        <v>Phú Lộc</v>
      </c>
      <c r="D375" s="121" t="str">
        <f>IFERROR(__xludf.DUMMYFUNCTION("""COMPUTED_VALUE"""),"Chó ")</f>
        <v>Chó </v>
      </c>
      <c r="E375" s="121" t="str">
        <f>IFERROR(__xludf.DUMMYFUNCTION("""COMPUTED_VALUE"""),"Bi")</f>
        <v>Bi</v>
      </c>
    </row>
    <row r="376" ht="15.75" customHeight="1">
      <c r="A376" s="120" t="str">
        <f>IFERROR(__xludf.DUMMYFUNCTION("""COMPUTED_VALUE"""),"0356 893 125")</f>
        <v>0356 893 125</v>
      </c>
      <c r="B376" s="121" t="str">
        <f>IFERROR(__xludf.DUMMYFUNCTION("""COMPUTED_VALUE"""),"DIễm My")</f>
        <v>DIễm My</v>
      </c>
      <c r="C376" s="121" t="str">
        <f>IFERROR(__xludf.DUMMYFUNCTION("""COMPUTED_VALUE"""),"79 Hồ Đắc Di")</f>
        <v>79 Hồ Đắc Di</v>
      </c>
      <c r="D376" s="121" t="str">
        <f>IFERROR(__xludf.DUMMYFUNCTION("""COMPUTED_VALUE"""),"Mèo")</f>
        <v>Mèo</v>
      </c>
      <c r="E376" s="121"/>
    </row>
    <row r="377" ht="15.75" customHeight="1">
      <c r="A377" s="120" t="str">
        <f>IFERROR(__xludf.DUMMYFUNCTION("""COMPUTED_VALUE"""),"0357 861 846")</f>
        <v>0357 861 846</v>
      </c>
      <c r="B377" s="121" t="str">
        <f>IFERROR(__xludf.DUMMYFUNCTION("""COMPUTED_VALUE"""),"Chú Đen")</f>
        <v>Chú Đen</v>
      </c>
      <c r="C377" s="121" t="str">
        <f>IFERROR(__xludf.DUMMYFUNCTION("""COMPUTED_VALUE"""),"33/42 Nguyễn Hoàng")</f>
        <v>33/42 Nguyễn Hoàng</v>
      </c>
      <c r="D377" s="121" t="str">
        <f>IFERROR(__xludf.DUMMYFUNCTION("""COMPUTED_VALUE"""),"Mèo")</f>
        <v>Mèo</v>
      </c>
      <c r="E377" s="121" t="str">
        <f>IFERROR(__xludf.DUMMYFUNCTION("""COMPUTED_VALUE"""),"Bưởi")</f>
        <v>Bưởi</v>
      </c>
    </row>
    <row r="378" ht="15.75" customHeight="1">
      <c r="A378" s="120" t="str">
        <f>IFERROR(__xludf.DUMMYFUNCTION("""COMPUTED_VALUE"""),"0865 277 483")</f>
        <v>0865 277 483</v>
      </c>
      <c r="B378" s="121" t="str">
        <f>IFERROR(__xludf.DUMMYFUNCTION("""COMPUTED_VALUE"""),"Dì Hồng")</f>
        <v>Dì Hồng</v>
      </c>
      <c r="C378" s="121" t="str">
        <f>IFERROR(__xludf.DUMMYFUNCTION("""COMPUTED_VALUE"""),"2A/293 Điện Biên Phủ")</f>
        <v>2A/293 Điện Biên Phủ</v>
      </c>
      <c r="D378" s="121" t="str">
        <f>IFERROR(__xludf.DUMMYFUNCTION("""COMPUTED_VALUE"""),"Chó")</f>
        <v>Chó</v>
      </c>
      <c r="E378" s="121" t="str">
        <f>IFERROR(__xludf.DUMMYFUNCTION("""COMPUTED_VALUE"""),"Vàng")</f>
        <v>Vàng</v>
      </c>
    </row>
    <row r="379" ht="15.75" customHeight="1">
      <c r="A379" s="120" t="str">
        <f>IFERROR(__xludf.DUMMYFUNCTION("""COMPUTED_VALUE"""),"0356 434 204")</f>
        <v>0356 434 204</v>
      </c>
      <c r="B379" s="121" t="str">
        <f>IFERROR(__xludf.DUMMYFUNCTION("""COMPUTED_VALUE"""),"em Hoài Nhi")</f>
        <v>em Hoài Nhi</v>
      </c>
      <c r="C379" s="121"/>
      <c r="D379" s="121" t="str">
        <f>IFERROR(__xludf.DUMMYFUNCTION("""COMPUTED_VALUE"""),"chó")</f>
        <v>chó</v>
      </c>
      <c r="E379" s="121"/>
    </row>
    <row r="380" ht="15.75" customHeight="1">
      <c r="A380" s="120" t="str">
        <f>IFERROR(__xludf.DUMMYFUNCTION("""COMPUTED_VALUE"""),"0387 970 303")</f>
        <v>0387 970 303</v>
      </c>
      <c r="B380" s="121" t="str">
        <f>IFERROR(__xludf.DUMMYFUNCTION("""COMPUTED_VALUE"""),"Bác Trần Đống")</f>
        <v>Bác Trần Đống</v>
      </c>
      <c r="C380" s="121" t="str">
        <f>IFERROR(__xludf.DUMMYFUNCTION("""COMPUTED_VALUE"""),"11 Trần Lư")</f>
        <v>11 Trần Lư</v>
      </c>
      <c r="D380" s="121" t="str">
        <f>IFERROR(__xludf.DUMMYFUNCTION("""COMPUTED_VALUE"""),"chó")</f>
        <v>chó</v>
      </c>
      <c r="E380" s="121" t="str">
        <f>IFERROR(__xludf.DUMMYFUNCTION("""COMPUTED_VALUE"""),"suni")</f>
        <v>suni</v>
      </c>
    </row>
    <row r="381" ht="15.75" customHeight="1">
      <c r="A381" s="120" t="str">
        <f>IFERROR(__xludf.DUMMYFUNCTION("""COMPUTED_VALUE"""),"0935 372 829 ")</f>
        <v>0935 372 829 </v>
      </c>
      <c r="B381" s="121" t="str">
        <f>IFERROR(__xludf.DUMMYFUNCTION("""COMPUTED_VALUE"""),"chị chung")</f>
        <v>chị chung</v>
      </c>
      <c r="C381" s="121" t="str">
        <f>IFERROR(__xludf.DUMMYFUNCTION("""COMPUTED_VALUE"""),"10/120 phan bội châu")</f>
        <v>10/120 phan bội châu</v>
      </c>
      <c r="D381" s="121" t="str">
        <f>IFERROR(__xludf.DUMMYFUNCTION("""COMPUTED_VALUE"""),"mèo")</f>
        <v>mèo</v>
      </c>
      <c r="E381" s="121" t="str">
        <f>IFERROR(__xludf.DUMMYFUNCTION("""COMPUTED_VALUE"""),"mèo")</f>
        <v>mèo</v>
      </c>
    </row>
    <row r="382" ht="15.75" customHeight="1">
      <c r="A382" s="120">
        <f>IFERROR(__xludf.DUMMYFUNCTION("""COMPUTED_VALUE"""),9.06428693E8)</f>
        <v>906428693</v>
      </c>
      <c r="B382" s="121" t="str">
        <f>IFERROR(__xludf.DUMMYFUNCTION("""COMPUTED_VALUE"""),"anh vũ")</f>
        <v>anh vũ</v>
      </c>
      <c r="C382" s="121" t="str">
        <f>IFERROR(__xludf.DUMMYFUNCTION("""COMPUTED_VALUE"""),"159 huỳnh thúc kháng")</f>
        <v>159 huỳnh thúc kháng</v>
      </c>
      <c r="D382" s="121" t="str">
        <f>IFERROR(__xludf.DUMMYFUNCTION("""COMPUTED_VALUE"""),"chó")</f>
        <v>chó</v>
      </c>
      <c r="E382" s="121" t="str">
        <f>IFERROR(__xludf.DUMMYFUNCTION("""COMPUTED_VALUE"""),"Chút")</f>
        <v>Chút</v>
      </c>
    </row>
    <row r="383" ht="15.75" customHeight="1">
      <c r="A383" s="120">
        <f>IFERROR(__xludf.DUMMYFUNCTION("""COMPUTED_VALUE"""),13.0)</f>
        <v>13</v>
      </c>
      <c r="B383" s="121" t="str">
        <f>IFERROR(__xludf.DUMMYFUNCTION("""COMPUTED_VALUE"""),"Lê Xuân Đức")</f>
        <v>Lê Xuân Đức</v>
      </c>
      <c r="C383" s="121" t="str">
        <f>IFERROR(__xludf.DUMMYFUNCTION("""COMPUTED_VALUE"""),"3/34/66 Ngọc Anh")</f>
        <v>3/34/66 Ngọc Anh</v>
      </c>
      <c r="D383" s="121" t="str">
        <f>IFERROR(__xludf.DUMMYFUNCTION("""COMPUTED_VALUE"""),"chó")</f>
        <v>chó</v>
      </c>
      <c r="E383" s="121"/>
    </row>
    <row r="384" ht="15.75" customHeight="1">
      <c r="A384" s="120" t="str">
        <f>IFERROR(__xludf.DUMMYFUNCTION("""COMPUTED_VALUE"""),"0987 971 934")</f>
        <v>0987 971 934</v>
      </c>
      <c r="B384" s="121" t="str">
        <f>IFERROR(__xludf.DUMMYFUNCTION("""COMPUTED_VALUE"""),"Bác-Chị Trang")</f>
        <v>Bác-Chị Trang</v>
      </c>
      <c r="C384" s="121" t="str">
        <f>IFERROR(__xludf.DUMMYFUNCTION("""COMPUTED_VALUE"""),"1k 175 Trần Phú")</f>
        <v>1k 175 Trần Phú</v>
      </c>
      <c r="D384" s="121" t="str">
        <f>IFERROR(__xludf.DUMMYFUNCTION("""COMPUTED_VALUE"""),"mèo")</f>
        <v>mèo</v>
      </c>
      <c r="E384" s="121"/>
    </row>
    <row r="385" ht="15.75" customHeight="1">
      <c r="A385" s="120" t="str">
        <f>IFERROR(__xludf.DUMMYFUNCTION("""COMPUTED_VALUE"""),"0886 679 527")</f>
        <v>0886 679 527</v>
      </c>
      <c r="B385" s="121" t="str">
        <f>IFERROR(__xludf.DUMMYFUNCTION("""COMPUTED_VALUE"""),"Dì Thuận")</f>
        <v>Dì Thuận</v>
      </c>
      <c r="C385" s="121" t="str">
        <f>IFERROR(__xludf.DUMMYFUNCTION("""COMPUTED_VALUE"""),"22h8k 149 Trần Phú")</f>
        <v>22h8k 149 Trần Phú</v>
      </c>
      <c r="D385" s="121" t="str">
        <f>IFERROR(__xludf.DUMMYFUNCTION("""COMPUTED_VALUE"""),"chó")</f>
        <v>chó</v>
      </c>
      <c r="E385" s="121"/>
    </row>
    <row r="386" ht="15.75" customHeight="1">
      <c r="A386" s="120" t="str">
        <f>IFERROR(__xludf.DUMMYFUNCTION("""COMPUTED_VALUE"""),"0986 561 176")</f>
        <v>0986 561 176</v>
      </c>
      <c r="B386" s="121" t="str">
        <f>IFERROR(__xludf.DUMMYFUNCTION("""COMPUTED_VALUE"""),"tiến okada")</f>
        <v>tiến okada</v>
      </c>
      <c r="C386" s="121" t="str">
        <f>IFERROR(__xludf.DUMMYFUNCTION("""COMPUTED_VALUE"""),"nguyễn lộ trạch")</f>
        <v>nguyễn lộ trạch</v>
      </c>
      <c r="D386" s="121" t="str">
        <f>IFERROR(__xludf.DUMMYFUNCTION("""COMPUTED_VALUE"""),"chó")</f>
        <v>chó</v>
      </c>
      <c r="E386" s="119"/>
    </row>
    <row r="387" ht="15.75" customHeight="1">
      <c r="A387" s="120" t="str">
        <f>IFERROR(__xludf.DUMMYFUNCTION("""COMPUTED_VALUE"""),"0847 084 424")</f>
        <v>0847 084 424</v>
      </c>
      <c r="B387" s="121" t="str">
        <f>IFERROR(__xludf.DUMMYFUNCTION("""COMPUTED_VALUE"""),"Chị Thanh")</f>
        <v>Chị Thanh</v>
      </c>
      <c r="C387" s="121" t="str">
        <f>IFERROR(__xludf.DUMMYFUNCTION("""COMPUTED_VALUE"""),"14A Dương Hoàng")</f>
        <v>14A Dương Hoàng</v>
      </c>
      <c r="D387" s="121" t="str">
        <f>IFERROR(__xludf.DUMMYFUNCTION("""COMPUTED_VALUE"""),"Chó")</f>
        <v>Chó</v>
      </c>
      <c r="E387" s="121" t="str">
        <f>IFERROR(__xludf.DUMMYFUNCTION("""COMPUTED_VALUE"""),"Bia")</f>
        <v>Bia</v>
      </c>
    </row>
    <row r="388" ht="15.75" customHeight="1">
      <c r="A388" s="120" t="str">
        <f>IFERROR(__xludf.DUMMYFUNCTION("""COMPUTED_VALUE"""),"0358 082 852")</f>
        <v>0358 082 852</v>
      </c>
      <c r="B388" s="121" t="str">
        <f>IFERROR(__xludf.DUMMYFUNCTION("""COMPUTED_VALUE"""),"chị tuyền")</f>
        <v>chị tuyền</v>
      </c>
      <c r="C388" s="121" t="str">
        <f>IFERROR(__xludf.DUMMYFUNCTION("""COMPUTED_VALUE"""),"g15 bàu vá")</f>
        <v>g15 bàu vá</v>
      </c>
      <c r="D388" s="121" t="str">
        <f>IFERROR(__xludf.DUMMYFUNCTION("""COMPUTED_VALUE"""),"mèo ")</f>
        <v>mèo </v>
      </c>
      <c r="E388" s="121" t="str">
        <f>IFERROR(__xludf.DUMMYFUNCTION("""COMPUTED_VALUE"""),"pi")</f>
        <v>pi</v>
      </c>
    </row>
    <row r="389" ht="15.75" customHeight="1">
      <c r="A389" s="120" t="str">
        <f>IFERROR(__xludf.DUMMYFUNCTION("""COMPUTED_VALUE"""),"0935 181 095")</f>
        <v>0935 181 095</v>
      </c>
      <c r="B389" s="121" t="str">
        <f>IFERROR(__xludf.DUMMYFUNCTION("""COMPUTED_VALUE"""),"em ngân")</f>
        <v>em ngân</v>
      </c>
      <c r="C389" s="121" t="str">
        <f>IFERROR(__xludf.DUMMYFUNCTION("""COMPUTED_VALUE"""),"phú hải")</f>
        <v>phú hải</v>
      </c>
      <c r="D389" s="121" t="str">
        <f>IFERROR(__xludf.DUMMYFUNCTION("""COMPUTED_VALUE"""),"chó")</f>
        <v>chó</v>
      </c>
      <c r="E389" s="121" t="str">
        <f>IFERROR(__xludf.DUMMYFUNCTION("""COMPUTED_VALUE"""),"vani")</f>
        <v>vani</v>
      </c>
    </row>
    <row r="390" ht="15.75" customHeight="1">
      <c r="A390" s="120" t="str">
        <f>IFERROR(__xludf.DUMMYFUNCTION("""COMPUTED_VALUE"""),"0935 898 006")</f>
        <v>0935 898 006</v>
      </c>
      <c r="B390" s="121" t="str">
        <f>IFERROR(__xludf.DUMMYFUNCTION("""COMPUTED_VALUE"""),"chị phương ")</f>
        <v>chị phương </v>
      </c>
      <c r="C390" s="121"/>
      <c r="D390" s="121" t="str">
        <f>IFERROR(__xludf.DUMMYFUNCTION("""COMPUTED_VALUE"""),"chó")</f>
        <v>chó</v>
      </c>
      <c r="E390" s="121" t="str">
        <f>IFERROR(__xludf.DUMMYFUNCTION("""COMPUTED_VALUE"""),"cỏ")</f>
        <v>cỏ</v>
      </c>
    </row>
    <row r="391" ht="15.75" customHeight="1">
      <c r="A391" s="120" t="str">
        <f>IFERROR(__xludf.DUMMYFUNCTION("""COMPUTED_VALUE"""),"0375 716 904")</f>
        <v>0375 716 904</v>
      </c>
      <c r="B391" s="121" t="str">
        <f>IFERROR(__xludf.DUMMYFUNCTION("""COMPUTED_VALUE"""),"em Thành")</f>
        <v>em Thành</v>
      </c>
      <c r="C391" s="121" t="str">
        <f>IFERROR(__xludf.DUMMYFUNCTION("""COMPUTED_VALUE"""),"114 Minh Mạng")</f>
        <v>114 Minh Mạng</v>
      </c>
      <c r="D391" s="121" t="str">
        <f>IFERROR(__xludf.DUMMYFUNCTION("""COMPUTED_VALUE"""),"mèo")</f>
        <v>mèo</v>
      </c>
      <c r="E391" s="121" t="str">
        <f>IFERROR(__xludf.DUMMYFUNCTION("""COMPUTED_VALUE"""),"Bơ")</f>
        <v>Bơ</v>
      </c>
    </row>
    <row r="392" ht="15.75" customHeight="1">
      <c r="A392" s="120" t="str">
        <f>IFERROR(__xludf.DUMMYFUNCTION("""COMPUTED_VALUE"""),"0376 671 873")</f>
        <v>0376 671 873</v>
      </c>
      <c r="B392" s="121" t="str">
        <f>IFERROR(__xludf.DUMMYFUNCTION("""COMPUTED_VALUE"""),"dì đê")</f>
        <v>dì đê</v>
      </c>
      <c r="C392" s="121" t="str">
        <f>IFERROR(__xludf.DUMMYFUNCTION("""COMPUTED_VALUE"""),"77 đào tấn")</f>
        <v>77 đào tấn</v>
      </c>
      <c r="D392" s="121" t="str">
        <f>IFERROR(__xludf.DUMMYFUNCTION("""COMPUTED_VALUE"""),"chó")</f>
        <v>chó</v>
      </c>
      <c r="E392" s="121" t="str">
        <f>IFERROR(__xludf.DUMMYFUNCTION("""COMPUTED_VALUE"""),"mun")</f>
        <v>mun</v>
      </c>
    </row>
    <row r="393" ht="15.75" customHeight="1">
      <c r="A393" s="120" t="str">
        <f>IFERROR(__xludf.DUMMYFUNCTION("""COMPUTED_VALUE"""),"0813 764 175")</f>
        <v>0813 764 175</v>
      </c>
      <c r="B393" s="121" t="str">
        <f>IFERROR(__xludf.DUMMYFUNCTION("""COMPUTED_VALUE"""),"nguyễn quân")</f>
        <v>nguyễn quân</v>
      </c>
      <c r="C393" s="121"/>
      <c r="D393" s="121" t="str">
        <f>IFERROR(__xludf.DUMMYFUNCTION("""COMPUTED_VALUE"""),"chó")</f>
        <v>chó</v>
      </c>
      <c r="E393" s="121" t="str">
        <f>IFERROR(__xludf.DUMMYFUNCTION("""COMPUTED_VALUE"""),"tụt")</f>
        <v>tụt</v>
      </c>
    </row>
    <row r="394" ht="15.75" customHeight="1">
      <c r="A394" s="120" t="str">
        <f>IFERROR(__xludf.DUMMYFUNCTION("""COMPUTED_VALUE"""),"0905 405 577")</f>
        <v>0905 405 577</v>
      </c>
      <c r="B394" s="121" t="str">
        <f>IFERROR(__xludf.DUMMYFUNCTION("""COMPUTED_VALUE"""),"anh Toàn")</f>
        <v>anh Toàn</v>
      </c>
      <c r="C394" s="121" t="str">
        <f>IFERROR(__xludf.DUMMYFUNCTION("""COMPUTED_VALUE"""),"Phan Bội Châu")</f>
        <v>Phan Bội Châu</v>
      </c>
      <c r="D394" s="121" t="str">
        <f>IFERROR(__xludf.DUMMYFUNCTION("""COMPUTED_VALUE"""),"chó ")</f>
        <v>chó </v>
      </c>
      <c r="E394" s="121"/>
    </row>
    <row r="395" ht="15.75" customHeight="1">
      <c r="A395" s="120" t="str">
        <f>IFERROR(__xludf.DUMMYFUNCTION("""COMPUTED_VALUE"""),"0879 579 440")</f>
        <v>0879 579 440</v>
      </c>
      <c r="B395" s="121" t="str">
        <f>IFERROR(__xludf.DUMMYFUNCTION("""COMPUTED_VALUE"""),"Bảo An-Chị Ý")</f>
        <v>Bảo An-Chị Ý</v>
      </c>
      <c r="C395" s="121" t="str">
        <f>IFERROR(__xludf.DUMMYFUNCTION("""COMPUTED_VALUE"""),"1/194 Lê Duẫn")</f>
        <v>1/194 Lê Duẫn</v>
      </c>
      <c r="D395" s="121" t="str">
        <f>IFERROR(__xludf.DUMMYFUNCTION("""COMPUTED_VALUE"""),"chó")</f>
        <v>chó</v>
      </c>
      <c r="E395" s="121" t="str">
        <f>IFERROR(__xludf.DUMMYFUNCTION("""COMPUTED_VALUE"""),"em")</f>
        <v>em</v>
      </c>
    </row>
    <row r="396" ht="15.75" customHeight="1">
      <c r="A396" s="120" t="str">
        <f>IFERROR(__xludf.DUMMYFUNCTION("""COMPUTED_VALUE"""),"0905 674 675")</f>
        <v>0905 674 675</v>
      </c>
      <c r="B396" s="121" t="str">
        <f>IFERROR(__xludf.DUMMYFUNCTION("""COMPUTED_VALUE"""),"Chị Ngọc")</f>
        <v>Chị Ngọc</v>
      </c>
      <c r="C396" s="121" t="str">
        <f>IFERROR(__xludf.DUMMYFUNCTION("""COMPUTED_VALUE"""),"98 Vạn Xuân")</f>
        <v>98 Vạn Xuân</v>
      </c>
      <c r="D396" s="121" t="str">
        <f>IFERROR(__xludf.DUMMYFUNCTION("""COMPUTED_VALUE"""),"chó")</f>
        <v>chó</v>
      </c>
      <c r="E396" s="121" t="str">
        <f>IFERROR(__xludf.DUMMYFUNCTION("""COMPUTED_VALUE"""),"Sand")</f>
        <v>Sand</v>
      </c>
    </row>
    <row r="397" ht="15.75" customHeight="1">
      <c r="A397" s="120" t="str">
        <f>IFERROR(__xludf.DUMMYFUNCTION("""COMPUTED_VALUE"""),"0934 931 215")</f>
        <v>0934 931 215</v>
      </c>
      <c r="B397" s="121" t="str">
        <f>IFERROR(__xludf.DUMMYFUNCTION("""COMPUTED_VALUE"""),"Em Nghĩa")</f>
        <v>Em Nghĩa</v>
      </c>
      <c r="C397" s="121" t="str">
        <f>IFERROR(__xludf.DUMMYFUNCTION("""COMPUTED_VALUE"""),"210/6 Lý Nam Đế")</f>
        <v>210/6 Lý Nam Đế</v>
      </c>
      <c r="D397" s="121" t="str">
        <f>IFERROR(__xludf.DUMMYFUNCTION("""COMPUTED_VALUE"""),"Chó")</f>
        <v>Chó</v>
      </c>
      <c r="E397" s="121" t="str">
        <f>IFERROR(__xludf.DUMMYFUNCTION("""COMPUTED_VALUE"""),"Bún")</f>
        <v>Bún</v>
      </c>
    </row>
    <row r="398" ht="15.75" customHeight="1">
      <c r="A398" s="120" t="str">
        <f>IFERROR(__xludf.DUMMYFUNCTION("""COMPUTED_VALUE"""),"0935 180 368")</f>
        <v>0935 180 368</v>
      </c>
      <c r="B398" s="121" t="str">
        <f>IFERROR(__xludf.DUMMYFUNCTION("""COMPUTED_VALUE"""),"Dì Thi")</f>
        <v>Dì Thi</v>
      </c>
      <c r="C398" s="121" t="str">
        <f>IFERROR(__xludf.DUMMYFUNCTION("""COMPUTED_VALUE"""),"22 Sư Vạn Hạnh")</f>
        <v>22 Sư Vạn Hạnh</v>
      </c>
      <c r="D398" s="121" t="str">
        <f>IFERROR(__xludf.DUMMYFUNCTION("""COMPUTED_VALUE"""),"Chó")</f>
        <v>Chó</v>
      </c>
      <c r="E398" s="121" t="str">
        <f>IFERROR(__xludf.DUMMYFUNCTION("""COMPUTED_VALUE"""),"Vàng")</f>
        <v>Vàng</v>
      </c>
    </row>
    <row r="399" ht="15.75" customHeight="1">
      <c r="A399" s="120" t="str">
        <f>IFERROR(__xludf.DUMMYFUNCTION("""COMPUTED_VALUE"""),"0967 337 115")</f>
        <v>0967 337 115</v>
      </c>
      <c r="B399" s="121" t="str">
        <f>IFERROR(__xludf.DUMMYFUNCTION("""COMPUTED_VALUE"""),"Chị Nhi")</f>
        <v>Chị Nhi</v>
      </c>
      <c r="C399" s="121" t="str">
        <f>IFERROR(__xludf.DUMMYFUNCTION("""COMPUTED_VALUE"""),"Hương Hồ")</f>
        <v>Hương Hồ</v>
      </c>
      <c r="D399" s="121" t="str">
        <f>IFERROR(__xludf.DUMMYFUNCTION("""COMPUTED_VALUE"""),"Chó")</f>
        <v>Chó</v>
      </c>
      <c r="E399" s="121" t="str">
        <f>IFERROR(__xludf.DUMMYFUNCTION("""COMPUTED_VALUE"""),"Bi")</f>
        <v>Bi</v>
      </c>
    </row>
    <row r="400" ht="15.75" customHeight="1">
      <c r="A400" s="120" t="str">
        <f>IFERROR(__xludf.DUMMYFUNCTION("""COMPUTED_VALUE"""),"0368 744 490")</f>
        <v>0368 744 490</v>
      </c>
      <c r="B400" s="121" t="str">
        <f>IFERROR(__xludf.DUMMYFUNCTION("""COMPUTED_VALUE"""),"Anh Minh")</f>
        <v>Anh Minh</v>
      </c>
      <c r="C400" s="121" t="str">
        <f>IFERROR(__xludf.DUMMYFUNCTION("""COMPUTED_VALUE"""),"78 Nguyễn Phúc Chu")</f>
        <v>78 Nguyễn Phúc Chu</v>
      </c>
      <c r="D400" s="121" t="str">
        <f>IFERROR(__xludf.DUMMYFUNCTION("""COMPUTED_VALUE"""),"Chó")</f>
        <v>Chó</v>
      </c>
      <c r="E400" s="121" t="str">
        <f>IFERROR(__xludf.DUMMYFUNCTION("""COMPUTED_VALUE"""),"Bi")</f>
        <v>Bi</v>
      </c>
    </row>
    <row r="401" ht="15.75" customHeight="1">
      <c r="A401" s="120" t="str">
        <f>IFERROR(__xludf.DUMMYFUNCTION("""COMPUTED_VALUE"""),"0833 449 455")</f>
        <v>0833 449 455</v>
      </c>
      <c r="B401" s="121" t="str">
        <f>IFERROR(__xludf.DUMMYFUNCTION("""COMPUTED_VALUE"""),"Anh Bình")</f>
        <v>Anh Bình</v>
      </c>
      <c r="C401" s="121" t="str">
        <f>IFERROR(__xludf.DUMMYFUNCTION("""COMPUTED_VALUE"""),"80 Bửu Đình")</f>
        <v>80 Bửu Đình</v>
      </c>
      <c r="D401" s="121" t="str">
        <f>IFERROR(__xludf.DUMMYFUNCTION("""COMPUTED_VALUE"""),"Chó")</f>
        <v>Chó</v>
      </c>
      <c r="E401" s="121" t="str">
        <f>IFERROR(__xludf.DUMMYFUNCTION("""COMPUTED_VALUE"""),"Luu")</f>
        <v>Luu</v>
      </c>
    </row>
    <row r="402" ht="15.75" customHeight="1">
      <c r="A402" s="128" t="str">
        <f>IFERROR(__xludf.DUMMYFUNCTION("""COMPUTED_VALUE"""),"0774 711 165")</f>
        <v>0774 711 165</v>
      </c>
      <c r="B402" s="127" t="str">
        <f>IFERROR(__xludf.DUMMYFUNCTION("""COMPUTED_VALUE"""),"Chị Thúy")</f>
        <v>Chị Thúy</v>
      </c>
      <c r="C402" s="127" t="str">
        <f>IFERROR(__xludf.DUMMYFUNCTION("""COMPUTED_VALUE"""),"53 Lựu Bảo")</f>
        <v>53 Lựu Bảo</v>
      </c>
      <c r="D402" s="127" t="str">
        <f>IFERROR(__xludf.DUMMYFUNCTION("""COMPUTED_VALUE"""),"chó")</f>
        <v>chó</v>
      </c>
      <c r="E402" s="127" t="str">
        <f>IFERROR(__xludf.DUMMYFUNCTION("""COMPUTED_VALUE"""),"Ú")</f>
        <v>Ú</v>
      </c>
    </row>
    <row r="403" ht="15.75" customHeight="1">
      <c r="A403" s="128" t="str">
        <f>IFERROR(__xludf.DUMMYFUNCTION("""COMPUTED_VALUE"""),"0772 423 071")</f>
        <v>0772 423 071</v>
      </c>
      <c r="B403" s="127" t="str">
        <f>IFERROR(__xludf.DUMMYFUNCTION("""COMPUTED_VALUE"""),"Chị HIền")</f>
        <v>Chị HIền</v>
      </c>
      <c r="C403" s="127" t="str">
        <f>IFERROR(__xludf.DUMMYFUNCTION("""COMPUTED_VALUE"""),"Phạm Thị Liên")</f>
        <v>Phạm Thị Liên</v>
      </c>
      <c r="D403" s="127" t="str">
        <f>IFERROR(__xludf.DUMMYFUNCTION("""COMPUTED_VALUE"""),"Chó")</f>
        <v>Chó</v>
      </c>
      <c r="E403" s="127" t="str">
        <f>IFERROR(__xludf.DUMMYFUNCTION("""COMPUTED_VALUE"""),"Meny")</f>
        <v>Meny</v>
      </c>
    </row>
    <row r="404" ht="15.75" customHeight="1">
      <c r="A404" s="120" t="str">
        <f>IFERROR(__xludf.DUMMYFUNCTION("""COMPUTED_VALUE"""),"0904 920 370")</f>
        <v>0904 920 370</v>
      </c>
      <c r="B404" s="121" t="str">
        <f>IFERROR(__xludf.DUMMYFUNCTION("""COMPUTED_VALUE"""),"Chị Mận")</f>
        <v>Chị Mận</v>
      </c>
      <c r="C404" s="121" t="str">
        <f>IFERROR(__xludf.DUMMYFUNCTION("""COMPUTED_VALUE"""),"Kiệt 43 Hồ Thừa")</f>
        <v>Kiệt 43 Hồ Thừa</v>
      </c>
      <c r="D404" s="121" t="str">
        <f>IFERROR(__xludf.DUMMYFUNCTION("""COMPUTED_VALUE"""),"Mèo")</f>
        <v>Mèo</v>
      </c>
      <c r="E404" s="121" t="str">
        <f>IFERROR(__xludf.DUMMYFUNCTION("""COMPUTED_VALUE"""),"Đen")</f>
        <v>Đen</v>
      </c>
    </row>
    <row r="405" ht="15.75" customHeight="1">
      <c r="A405" s="120">
        <f>IFERROR(__xludf.DUMMYFUNCTION("""COMPUTED_VALUE"""),9.4694917E8)</f>
        <v>946949170</v>
      </c>
      <c r="B405" s="121" t="str">
        <f>IFERROR(__xludf.DUMMYFUNCTION("""COMPUTED_VALUE"""),"Thay Hai")</f>
        <v>Thay Hai</v>
      </c>
      <c r="C405" s="121" t="str">
        <f>IFERROR(__xludf.DUMMYFUNCTION("""COMPUTED_VALUE"""),"Nguyen Hoang")</f>
        <v>Nguyen Hoang</v>
      </c>
      <c r="D405" s="121" t="str">
        <f>IFERROR(__xludf.DUMMYFUNCTION("""COMPUTED_VALUE"""),"Meo")</f>
        <v>Meo</v>
      </c>
      <c r="E405" s="121" t="str">
        <f>IFERROR(__xludf.DUMMYFUNCTION("""COMPUTED_VALUE"""),"Luu")</f>
        <v>Luu</v>
      </c>
    </row>
    <row r="406" ht="15.75" customHeight="1">
      <c r="A406" s="120" t="str">
        <f>IFERROR(__xludf.DUMMYFUNCTION("""COMPUTED_VALUE"""),"0775 572 118")</f>
        <v>0775 572 118</v>
      </c>
      <c r="B406" s="121" t="str">
        <f>IFERROR(__xludf.DUMMYFUNCTION("""COMPUTED_VALUE"""),"Chị Như Quỳnh")</f>
        <v>Chị Như Quỳnh</v>
      </c>
      <c r="C406" s="121" t="str">
        <f>IFERROR(__xludf.DUMMYFUNCTION("""COMPUTED_VALUE"""),"9/37/131 Trần Phú")</f>
        <v>9/37/131 Trần Phú</v>
      </c>
      <c r="D406" s="121" t="str">
        <f>IFERROR(__xludf.DUMMYFUNCTION("""COMPUTED_VALUE"""),"chó")</f>
        <v>chó</v>
      </c>
      <c r="E406" s="119" t="str">
        <f>IFERROR(__xludf.DUMMYFUNCTION("""COMPUTED_VALUE"""),"ôm")</f>
        <v>ôm</v>
      </c>
    </row>
    <row r="407" ht="15.75" customHeight="1">
      <c r="A407" s="120" t="str">
        <f>IFERROR(__xludf.DUMMYFUNCTION("""COMPUTED_VALUE"""),"0779 457 218")</f>
        <v>0779 457 218</v>
      </c>
      <c r="B407" s="121" t="str">
        <f>IFERROR(__xludf.DUMMYFUNCTION("""COMPUTED_VALUE"""),"Chị Thy")</f>
        <v>Chị Thy</v>
      </c>
      <c r="C407" s="121" t="str">
        <f>IFERROR(__xludf.DUMMYFUNCTION("""COMPUTED_VALUE"""),"11B/8 hà nội")</f>
        <v>11B/8 hà nội</v>
      </c>
      <c r="D407" s="121" t="str">
        <f>IFERROR(__xludf.DUMMYFUNCTION("""COMPUTED_VALUE"""),"chó ")</f>
        <v>chó </v>
      </c>
      <c r="E407" s="121" t="str">
        <f>IFERROR(__xludf.DUMMYFUNCTION("""COMPUTED_VALUE"""),"Weeff")</f>
        <v>Weeff</v>
      </c>
    </row>
    <row r="408" ht="15.75" customHeight="1">
      <c r="A408" s="120" t="str">
        <f>IFERROR(__xludf.DUMMYFUNCTION("""COMPUTED_VALUE"""),"0903 520 209")</f>
        <v>0903 520 209</v>
      </c>
      <c r="B408" s="121" t="str">
        <f>IFERROR(__xludf.DUMMYFUNCTION("""COMPUTED_VALUE"""),"Chị Phương ")</f>
        <v>Chị Phương </v>
      </c>
      <c r="C408" s="121" t="str">
        <f>IFERROR(__xludf.DUMMYFUNCTION("""COMPUTED_VALUE"""),"1/42 Nguyễn Phúc Tafn")</f>
        <v>1/42 Nguyễn Phúc Tafn</v>
      </c>
      <c r="D408" s="121" t="str">
        <f>IFERROR(__xludf.DUMMYFUNCTION("""COMPUTED_VALUE"""),"Chó")</f>
        <v>Chó</v>
      </c>
      <c r="E408" s="121" t="str">
        <f>IFERROR(__xludf.DUMMYFUNCTION("""COMPUTED_VALUE"""),"Ki")</f>
        <v>Ki</v>
      </c>
    </row>
    <row r="409" ht="15.75" customHeight="1">
      <c r="A409" s="120" t="str">
        <f>IFERROR(__xludf.DUMMYFUNCTION("""COMPUTED_VALUE"""),"0356 896 895 ")</f>
        <v>0356 896 895 </v>
      </c>
      <c r="B409" s="121" t="str">
        <f>IFERROR(__xludf.DUMMYFUNCTION("""COMPUTED_VALUE"""),"Lương Thị Quỳnh Trang")</f>
        <v>Lương Thị Quỳnh Trang</v>
      </c>
      <c r="C409" s="121" t="str">
        <f>IFERROR(__xludf.DUMMYFUNCTION("""COMPUTED_VALUE"""),"115 Lựu Bảo")</f>
        <v>115 Lựu Bảo</v>
      </c>
      <c r="D409" s="121" t="str">
        <f>IFERROR(__xludf.DUMMYFUNCTION("""COMPUTED_VALUE"""),"chó")</f>
        <v>chó</v>
      </c>
      <c r="E409" s="121" t="str">
        <f>IFERROR(__xludf.DUMMYFUNCTION("""COMPUTED_VALUE"""),"Mèo")</f>
        <v>Mèo</v>
      </c>
    </row>
    <row r="410" ht="15.75" customHeight="1">
      <c r="A410" s="120" t="str">
        <f>IFERROR(__xludf.DUMMYFUNCTION("""COMPUTED_VALUE"""),"0935 641 917")</f>
        <v>0935 641 917</v>
      </c>
      <c r="B410" s="121" t="str">
        <f>IFERROR(__xludf.DUMMYFUNCTION("""COMPUTED_VALUE"""),"C Lựu học viên")</f>
        <v>C Lựu học viên</v>
      </c>
      <c r="C410" s="121" t="str">
        <f>IFERROR(__xludf.DUMMYFUNCTION("""COMPUTED_VALUE"""),"Quảng Ngãi-TY Bình Sơn Pet")</f>
        <v>Quảng Ngãi-TY Bình Sơn Pet</v>
      </c>
      <c r="D410" s="121"/>
      <c r="E410" s="121"/>
    </row>
    <row r="411" ht="15.75" customHeight="1">
      <c r="A411" s="120" t="str">
        <f>IFERROR(__xludf.DUMMYFUNCTION("""COMPUTED_VALUE"""),"0914 066 146")</f>
        <v>0914 066 146</v>
      </c>
      <c r="B411" s="121" t="str">
        <f>IFERROR(__xludf.DUMMYFUNCTION("""COMPUTED_VALUE"""),"em Bình")</f>
        <v>em Bình</v>
      </c>
      <c r="C411" s="121" t="str">
        <f>IFERROR(__xludf.DUMMYFUNCTION("""COMPUTED_VALUE"""),"69/19 Phạm thị liên")</f>
        <v>69/19 Phạm thị liên</v>
      </c>
      <c r="D411" s="121" t="str">
        <f>IFERROR(__xludf.DUMMYFUNCTION("""COMPUTED_VALUE"""),"mèo")</f>
        <v>mèo</v>
      </c>
      <c r="E411" s="121" t="str">
        <f>IFERROR(__xludf.DUMMYFUNCTION("""COMPUTED_VALUE"""),"Trắng")</f>
        <v>Trắng</v>
      </c>
    </row>
    <row r="412" ht="15.75" customHeight="1">
      <c r="A412" s="120" t="str">
        <f>IFERROR(__xludf.DUMMYFUNCTION("""COMPUTED_VALUE"""),"0935 663 004")</f>
        <v>0935 663 004</v>
      </c>
      <c r="B412" s="121" t="str">
        <f>IFERROR(__xludf.DUMMYFUNCTION("""COMPUTED_VALUE"""),"Huỳnh Viết Ly")</f>
        <v>Huỳnh Viết Ly</v>
      </c>
      <c r="C412" s="121" t="str">
        <f>IFERROR(__xludf.DUMMYFUNCTION("""COMPUTED_VALUE"""),"Phạm Thị Liên")</f>
        <v>Phạm Thị Liên</v>
      </c>
      <c r="D412" s="121" t="str">
        <f>IFERROR(__xludf.DUMMYFUNCTION("""COMPUTED_VALUE"""),"Chó")</f>
        <v>Chó</v>
      </c>
      <c r="E412" s="121" t="str">
        <f>IFERROR(__xludf.DUMMYFUNCTION("""COMPUTED_VALUE"""),"Rubi")</f>
        <v>Rubi</v>
      </c>
    </row>
    <row r="413" ht="15.75" customHeight="1">
      <c r="A413" s="120" t="str">
        <f>IFERROR(__xludf.DUMMYFUNCTION("""COMPUTED_VALUE"""),"0961 716 292")</f>
        <v>0961 716 292</v>
      </c>
      <c r="B413" s="129" t="str">
        <f>IFERROR(__xludf.DUMMYFUNCTION("""COMPUTED_VALUE"""),"Anh Cường")</f>
        <v>Anh Cường</v>
      </c>
      <c r="C413" s="121" t="str">
        <f>IFERROR(__xludf.DUMMYFUNCTION("""COMPUTED_VALUE"""),"Hương Trà")</f>
        <v>Hương Trà</v>
      </c>
      <c r="D413" s="121" t="str">
        <f>IFERROR(__xludf.DUMMYFUNCTION("""COMPUTED_VALUE"""),"Chó")</f>
        <v>Chó</v>
      </c>
      <c r="E413" s="121" t="str">
        <f>IFERROR(__xludf.DUMMYFUNCTION("""COMPUTED_VALUE"""),"Nâu")</f>
        <v>Nâu</v>
      </c>
    </row>
    <row r="414" ht="15.75" customHeight="1">
      <c r="A414" s="120" t="str">
        <f>IFERROR(__xludf.DUMMYFUNCTION("""COMPUTED_VALUE"""),"0373 201 099")</f>
        <v>0373 201 099</v>
      </c>
      <c r="B414" s="121" t="str">
        <f>IFERROR(__xludf.DUMMYFUNCTION("""COMPUTED_VALUE"""),"Chị Dương")</f>
        <v>Chị Dương</v>
      </c>
      <c r="C414" s="121" t="str">
        <f>IFERROR(__xludf.DUMMYFUNCTION("""COMPUTED_VALUE"""),"An Ninh")</f>
        <v>An Ninh</v>
      </c>
      <c r="D414" s="121" t="str">
        <f>IFERROR(__xludf.DUMMYFUNCTION("""COMPUTED_VALUE"""),"Chó")</f>
        <v>Chó</v>
      </c>
      <c r="E414" s="119" t="str">
        <f>IFERROR(__xludf.DUMMYFUNCTION("""COMPUTED_VALUE"""),"Lạc")</f>
        <v>Lạc</v>
      </c>
    </row>
    <row r="415" ht="15.75" customHeight="1">
      <c r="A415" s="120" t="str">
        <f>IFERROR(__xludf.DUMMYFUNCTION("""COMPUTED_VALUE"""),"0363 105 471")</f>
        <v>0363 105 471</v>
      </c>
      <c r="B415" s="121" t="str">
        <f>IFERROR(__xludf.DUMMYFUNCTION("""COMPUTED_VALUE"""),"Anh Quân")</f>
        <v>Anh Quân</v>
      </c>
      <c r="C415" s="121" t="str">
        <f>IFERROR(__xludf.DUMMYFUNCTION("""COMPUTED_VALUE"""),"85/245A Bùi Thị Xuân")</f>
        <v>85/245A Bùi Thị Xuân</v>
      </c>
      <c r="D415" s="121" t="str">
        <f>IFERROR(__xludf.DUMMYFUNCTION("""COMPUTED_VALUE"""),"Chó")</f>
        <v>Chó</v>
      </c>
      <c r="E415" s="121" t="str">
        <f>IFERROR(__xludf.DUMMYFUNCTION("""COMPUTED_VALUE"""),"Su")</f>
        <v>Su</v>
      </c>
    </row>
    <row r="416" ht="15.75" customHeight="1">
      <c r="A416" s="120" t="str">
        <f>IFERROR(__xludf.DUMMYFUNCTION("""COMPUTED_VALUE"""),"0852 462 129")</f>
        <v>0852 462 129</v>
      </c>
      <c r="B416" s="121" t="str">
        <f>IFERROR(__xludf.DUMMYFUNCTION("""COMPUTED_VALUE"""),"Chị Hương")</f>
        <v>Chị Hương</v>
      </c>
      <c r="C416" s="121" t="str">
        <f>IFERROR(__xludf.DUMMYFUNCTION("""COMPUTED_VALUE"""),"2/14 Nguyễn Phúc Lan")</f>
        <v>2/14 Nguyễn Phúc Lan</v>
      </c>
      <c r="D416" s="121" t="str">
        <f>IFERROR(__xludf.DUMMYFUNCTION("""COMPUTED_VALUE"""),"Mèo")</f>
        <v>Mèo</v>
      </c>
      <c r="E416" s="121" t="str">
        <f>IFERROR(__xludf.DUMMYFUNCTION("""COMPUTED_VALUE"""),"Mè")</f>
        <v>Mè</v>
      </c>
    </row>
    <row r="417" ht="15.75" customHeight="1">
      <c r="A417" s="120" t="str">
        <f>IFERROR(__xludf.DUMMYFUNCTION("""COMPUTED_VALUE"""),"0777 400 752")</f>
        <v>0777 400 752</v>
      </c>
      <c r="B417" s="121" t="str">
        <f>IFERROR(__xludf.DUMMYFUNCTION("""COMPUTED_VALUE"""),"Bùi Văn Vinh")</f>
        <v>Bùi Văn Vinh</v>
      </c>
      <c r="C417" s="121" t="str">
        <f>IFERROR(__xludf.DUMMYFUNCTION("""COMPUTED_VALUE"""),"12 kiệt 4 Nguyễn Phúc Nguyên")</f>
        <v>12 kiệt 4 Nguyễn Phúc Nguyên</v>
      </c>
      <c r="D417" s="121" t="str">
        <f>IFERROR(__xludf.DUMMYFUNCTION("""COMPUTED_VALUE"""),"Chó")</f>
        <v>Chó</v>
      </c>
      <c r="E417" s="121" t="str">
        <f>IFERROR(__xludf.DUMMYFUNCTION("""COMPUTED_VALUE"""),"Kiki")</f>
        <v>Kiki</v>
      </c>
    </row>
    <row r="418" ht="15.75" customHeight="1">
      <c r="A418" s="120" t="str">
        <f>IFERROR(__xludf.DUMMYFUNCTION("""COMPUTED_VALUE"""),"0846 589 547")</f>
        <v>0846 589 547</v>
      </c>
      <c r="B418" s="121" t="str">
        <f>IFERROR(__xludf.DUMMYFUNCTION("""COMPUTED_VALUE"""),"ANh Nhật")</f>
        <v>ANh Nhật</v>
      </c>
      <c r="C418" s="121" t="str">
        <f>IFERROR(__xludf.DUMMYFUNCTION("""COMPUTED_VALUE"""),"9/22 Nguyễn Phúc Lan")</f>
        <v>9/22 Nguyễn Phúc Lan</v>
      </c>
      <c r="D418" s="121" t="str">
        <f>IFERROR(__xludf.DUMMYFUNCTION("""COMPUTED_VALUE"""),"Mèo")</f>
        <v>Mèo</v>
      </c>
      <c r="E418" s="121" t="str">
        <f>IFERROR(__xludf.DUMMYFUNCTION("""COMPUTED_VALUE"""),"Dẹo")</f>
        <v>Dẹo</v>
      </c>
    </row>
    <row r="419" ht="15.75" customHeight="1">
      <c r="A419" s="120" t="str">
        <f>IFERROR(__xludf.DUMMYFUNCTION("""COMPUTED_VALUE"""),"0916 440 444")</f>
        <v>0916 440 444</v>
      </c>
      <c r="B419" s="121" t="str">
        <f>IFERROR(__xludf.DUMMYFUNCTION("""COMPUTED_VALUE"""),"Anh Duẩn")</f>
        <v>Anh Duẩn</v>
      </c>
      <c r="C419" s="121" t="str">
        <f>IFERROR(__xludf.DUMMYFUNCTION("""COMPUTED_VALUE"""),"23 Chu Văn An")</f>
        <v>23 Chu Văn An</v>
      </c>
      <c r="D419" s="121" t="str">
        <f>IFERROR(__xludf.DUMMYFUNCTION("""COMPUTED_VALUE"""),"Chó")</f>
        <v>Chó</v>
      </c>
      <c r="E419" s="121" t="str">
        <f>IFERROR(__xludf.DUMMYFUNCTION("""COMPUTED_VALUE"""),"Coca")</f>
        <v>Coca</v>
      </c>
    </row>
    <row r="420" ht="15.75" customHeight="1">
      <c r="A420" s="120" t="str">
        <f>IFERROR(__xludf.DUMMYFUNCTION("""COMPUTED_VALUE"""),"0819 792 101")</f>
        <v>0819 792 101</v>
      </c>
      <c r="B420" s="127" t="str">
        <f>IFERROR(__xludf.DUMMYFUNCTION("""COMPUTED_VALUE"""),"Chị Phương Nghi")</f>
        <v>Chị Phương Nghi</v>
      </c>
      <c r="C420" s="121" t="str">
        <f>IFERROR(__xludf.DUMMYFUNCTION("""COMPUTED_VALUE"""),"304 Phan Bội Châu")</f>
        <v>304 Phan Bội Châu</v>
      </c>
      <c r="D420" s="121" t="str">
        <f>IFERROR(__xludf.DUMMYFUNCTION("""COMPUTED_VALUE"""),"Chó")</f>
        <v>Chó</v>
      </c>
      <c r="E420" s="121" t="str">
        <f>IFERROR(__xludf.DUMMYFUNCTION("""COMPUTED_VALUE"""),"Moon")</f>
        <v>Moon</v>
      </c>
    </row>
    <row r="421" ht="15.75" customHeight="1">
      <c r="A421" s="120" t="str">
        <f>IFERROR(__xludf.DUMMYFUNCTION("""COMPUTED_VALUE"""),"0915 218 234")</f>
        <v>0915 218 234</v>
      </c>
      <c r="B421" s="121" t="str">
        <f>IFERROR(__xludf.DUMMYFUNCTION("""COMPUTED_VALUE"""),"Anh Hải")</f>
        <v>Anh Hải</v>
      </c>
      <c r="C421" s="121" t="str">
        <f>IFERROR(__xludf.DUMMYFUNCTION("""COMPUTED_VALUE"""),"Đông Hà, Quảng Trị")</f>
        <v>Đông Hà, Quảng Trị</v>
      </c>
      <c r="D421" s="121" t="str">
        <f>IFERROR(__xludf.DUMMYFUNCTION("""COMPUTED_VALUE"""),"Chó")</f>
        <v>Chó</v>
      </c>
      <c r="E421" s="121" t="str">
        <f>IFERROR(__xludf.DUMMYFUNCTION("""COMPUTED_VALUE"""),"Heo")</f>
        <v>Heo</v>
      </c>
    </row>
    <row r="422" ht="15.75" customHeight="1">
      <c r="A422" s="120" t="str">
        <f>IFERROR(__xludf.DUMMYFUNCTION("""COMPUTED_VALUE"""),"0935 126 501")</f>
        <v>0935 126 501</v>
      </c>
      <c r="B422" s="121" t="str">
        <f>IFERROR(__xludf.DUMMYFUNCTION("""COMPUTED_VALUE"""),"Anh Mân")</f>
        <v>Anh Mân</v>
      </c>
      <c r="C422" s="119" t="str">
        <f>IFERROR(__xludf.DUMMYFUNCTION("""COMPUTED_VALUE"""),"24/1 Vạn Xuân")</f>
        <v>24/1 Vạn Xuân</v>
      </c>
      <c r="D422" s="121" t="str">
        <f>IFERROR(__xludf.DUMMYFUNCTION("""COMPUTED_VALUE"""),"Chó")</f>
        <v>Chó</v>
      </c>
      <c r="E422" s="121" t="str">
        <f>IFERROR(__xludf.DUMMYFUNCTION("""COMPUTED_VALUE"""),"Lucky")</f>
        <v>Lucky</v>
      </c>
    </row>
    <row r="423" ht="15.75" customHeight="1">
      <c r="A423" s="120" t="str">
        <f>IFERROR(__xludf.DUMMYFUNCTION("""COMPUTED_VALUE"""),"0903 540 036")</f>
        <v>0903 540 036</v>
      </c>
      <c r="B423" s="121" t="str">
        <f>IFERROR(__xludf.DUMMYFUNCTION("""COMPUTED_VALUE"""),"Thủy")</f>
        <v>Thủy</v>
      </c>
      <c r="C423" s="121" t="str">
        <f>IFERROR(__xludf.DUMMYFUNCTION("""COMPUTED_VALUE"""),"11/39 Phạm Thị Liên")</f>
        <v>11/39 Phạm Thị Liên</v>
      </c>
      <c r="D423" s="121" t="str">
        <f>IFERROR(__xludf.DUMMYFUNCTION("""COMPUTED_VALUE"""),"Chó")</f>
        <v>Chó</v>
      </c>
      <c r="E423" s="121" t="str">
        <f>IFERROR(__xludf.DUMMYFUNCTION("""COMPUTED_VALUE"""),"Bơ")</f>
        <v>Bơ</v>
      </c>
    </row>
    <row r="424" ht="15.75" customHeight="1">
      <c r="A424" s="120" t="str">
        <f>IFERROR(__xludf.DUMMYFUNCTION("""COMPUTED_VALUE"""),"0989 898 434")</f>
        <v>0989 898 434</v>
      </c>
      <c r="B424" s="121" t="str">
        <f>IFERROR(__xludf.DUMMYFUNCTION("""COMPUTED_VALUE"""),"Anh Lợi")</f>
        <v>Anh Lợi</v>
      </c>
      <c r="C424" s="121" t="str">
        <f>IFERROR(__xludf.DUMMYFUNCTION("""COMPUTED_VALUE"""),"66 An Ninh")</f>
        <v>66 An Ninh</v>
      </c>
      <c r="D424" s="121" t="str">
        <f>IFERROR(__xludf.DUMMYFUNCTION("""COMPUTED_VALUE"""),"Chó")</f>
        <v>Chó</v>
      </c>
      <c r="E424" s="121" t="str">
        <f>IFERROR(__xludf.DUMMYFUNCTION("""COMPUTED_VALUE"""),"Lucky")</f>
        <v>Lucky</v>
      </c>
    </row>
    <row r="425" ht="15.75" customHeight="1">
      <c r="A425" s="120" t="str">
        <f>IFERROR(__xludf.DUMMYFUNCTION("""COMPUTED_VALUE"""),"0914 546 324")</f>
        <v>0914 546 324</v>
      </c>
      <c r="B425" s="121" t="str">
        <f>IFERROR(__xludf.DUMMYFUNCTION("""COMPUTED_VALUE"""),"Chị Tú Khanh")</f>
        <v>Chị Tú Khanh</v>
      </c>
      <c r="C425" s="121" t="str">
        <f>IFERROR(__xludf.DUMMYFUNCTION("""COMPUTED_VALUE"""),"78 Thạch Hãn")</f>
        <v>78 Thạch Hãn</v>
      </c>
      <c r="D425" s="121" t="str">
        <f>IFERROR(__xludf.DUMMYFUNCTION("""COMPUTED_VALUE"""),"Chó")</f>
        <v>Chó</v>
      </c>
      <c r="E425" s="121" t="str">
        <f>IFERROR(__xludf.DUMMYFUNCTION("""COMPUTED_VALUE"""),"Nâu")</f>
        <v>Nâu</v>
      </c>
    </row>
    <row r="426" ht="15.75" customHeight="1">
      <c r="A426" s="120" t="str">
        <f>IFERROR(__xludf.DUMMYFUNCTION("""COMPUTED_VALUE"""),"0967 900 673")</f>
        <v>0967 900 673</v>
      </c>
      <c r="B426" s="121" t="str">
        <f>IFERROR(__xludf.DUMMYFUNCTION("""COMPUTED_VALUE"""),"Ông Chớ")</f>
        <v>Ông Chớ</v>
      </c>
      <c r="C426" s="121" t="str">
        <f>IFERROR(__xludf.DUMMYFUNCTION("""COMPUTED_VALUE"""),"Hương Hồ")</f>
        <v>Hương Hồ</v>
      </c>
      <c r="D426" s="121" t="str">
        <f>IFERROR(__xludf.DUMMYFUNCTION("""COMPUTED_VALUE"""),"Chó")</f>
        <v>Chó</v>
      </c>
      <c r="E426" s="121"/>
    </row>
    <row r="427" ht="15.75" customHeight="1">
      <c r="A427" s="120" t="str">
        <f>IFERROR(__xludf.DUMMYFUNCTION("""COMPUTED_VALUE"""),"0913 175 414")</f>
        <v>0913 175 414</v>
      </c>
      <c r="B427" s="121" t="str">
        <f>IFERROR(__xludf.DUMMYFUNCTION("""COMPUTED_VALUE"""),"Anh Tuyền")</f>
        <v>Anh Tuyền</v>
      </c>
      <c r="C427" s="121"/>
      <c r="D427" s="121" t="str">
        <f>IFERROR(__xludf.DUMMYFUNCTION("""COMPUTED_VALUE"""),"Chó")</f>
        <v>Chó</v>
      </c>
      <c r="E427" s="121"/>
    </row>
    <row r="428" ht="15.75" customHeight="1">
      <c r="A428" s="120" t="str">
        <f>IFERROR(__xludf.DUMMYFUNCTION("""COMPUTED_VALUE"""),"0965 153 056")</f>
        <v>0965 153 056</v>
      </c>
      <c r="B428" s="121" t="str">
        <f>IFERROR(__xludf.DUMMYFUNCTION("""COMPUTED_VALUE"""),"Chị Cường")</f>
        <v>Chị Cường</v>
      </c>
      <c r="C428" s="121" t="str">
        <f>IFERROR(__xludf.DUMMYFUNCTION("""COMPUTED_VALUE"""),"23/100 Lý Thái Tổ")</f>
        <v>23/100 Lý Thái Tổ</v>
      </c>
      <c r="D428" s="121" t="str">
        <f>IFERROR(__xludf.DUMMYFUNCTION("""COMPUTED_VALUE"""),"Mèo")</f>
        <v>Mèo</v>
      </c>
      <c r="E428" s="121" t="str">
        <f>IFERROR(__xludf.DUMMYFUNCTION("""COMPUTED_VALUE"""),"Bông")</f>
        <v>Bông</v>
      </c>
    </row>
    <row r="429" ht="15.75" customHeight="1">
      <c r="A429" s="120" t="str">
        <f>IFERROR(__xludf.DUMMYFUNCTION("""COMPUTED_VALUE"""),"0705 106 479")</f>
        <v>0705 106 479</v>
      </c>
      <c r="B429" s="121" t="str">
        <f>IFERROR(__xludf.DUMMYFUNCTION("""COMPUTED_VALUE"""),"Anh Lai")</f>
        <v>Anh Lai</v>
      </c>
      <c r="C429" s="119" t="str">
        <f>IFERROR(__xludf.DUMMYFUNCTION("""COMPUTED_VALUE"""),"02 Trần Hoành")</f>
        <v>02 Trần Hoành</v>
      </c>
      <c r="D429" s="121" t="str">
        <f>IFERROR(__xludf.DUMMYFUNCTION("""COMPUTED_VALUE"""),"chó")</f>
        <v>chó</v>
      </c>
      <c r="E429" s="121"/>
    </row>
    <row r="430" ht="15.75" customHeight="1">
      <c r="A430" s="120" t="str">
        <f>IFERROR(__xludf.DUMMYFUNCTION("""COMPUTED_VALUE"""),"0974 574 956")</f>
        <v>0974 574 956</v>
      </c>
      <c r="B430" s="121" t="str">
        <f>IFERROR(__xludf.DUMMYFUNCTION("""COMPUTED_VALUE"""),"anh Luyến ")</f>
        <v>anh Luyến </v>
      </c>
      <c r="C430" s="121" t="str">
        <f>IFERROR(__xludf.DUMMYFUNCTION("""COMPUTED_VALUE"""),"116 Trường Chinh")</f>
        <v>116 Trường Chinh</v>
      </c>
      <c r="D430" s="121" t="str">
        <f>IFERROR(__xludf.DUMMYFUNCTION("""COMPUTED_VALUE"""),"mèo ")</f>
        <v>mèo </v>
      </c>
      <c r="E430" s="121" t="str">
        <f>IFERROR(__xludf.DUMMYFUNCTION("""COMPUTED_VALUE"""),"Bơ")</f>
        <v>Bơ</v>
      </c>
    </row>
    <row r="431" ht="15.75" customHeight="1">
      <c r="A431" s="120" t="str">
        <f>IFERROR(__xludf.DUMMYFUNCTION("""COMPUTED_VALUE"""),"0329 478 345")</f>
        <v>0329 478 345</v>
      </c>
      <c r="B431" s="121" t="str">
        <f>IFERROR(__xludf.DUMMYFUNCTION("""COMPUTED_VALUE"""),"dì bình")</f>
        <v>dì bình</v>
      </c>
      <c r="C431" s="121" t="str">
        <f>IFERROR(__xludf.DUMMYFUNCTION("""COMPUTED_VALUE"""),"chợ mai-phú thượng")</f>
        <v>chợ mai-phú thượng</v>
      </c>
      <c r="D431" s="121" t="str">
        <f>IFERROR(__xludf.DUMMYFUNCTION("""COMPUTED_VALUE"""),"chó")</f>
        <v>chó</v>
      </c>
      <c r="E431" s="121"/>
    </row>
    <row r="432" ht="15.75" customHeight="1">
      <c r="A432" s="120" t="str">
        <f>IFERROR(__xludf.DUMMYFUNCTION("""COMPUTED_VALUE"""),"0833 555 733")</f>
        <v>0833 555 733</v>
      </c>
      <c r="B432" s="121" t="str">
        <f>IFERROR(__xludf.DUMMYFUNCTION("""COMPUTED_VALUE"""),"ANh Trí")</f>
        <v>ANh Trí</v>
      </c>
      <c r="C432" s="121" t="str">
        <f>IFERROR(__xludf.DUMMYFUNCTION("""COMPUTED_VALUE"""),"An NInh")</f>
        <v>An NInh</v>
      </c>
      <c r="D432" s="121" t="str">
        <f>IFERROR(__xludf.DUMMYFUNCTION("""COMPUTED_VALUE"""),"n")</f>
        <v>n</v>
      </c>
      <c r="E432" s="121" t="str">
        <f>IFERROR(__xludf.DUMMYFUNCTION("""COMPUTED_VALUE"""),"Miu")</f>
        <v>Miu</v>
      </c>
    </row>
    <row r="433" ht="15.75" customHeight="1">
      <c r="A433" s="130" t="str">
        <f>IFERROR(__xludf.DUMMYFUNCTION("""COMPUTED_VALUE"""),"0903 588 508")</f>
        <v>0903 588 508</v>
      </c>
      <c r="B433" s="131" t="str">
        <f>IFERROR(__xludf.DUMMYFUNCTION("""COMPUTED_VALUE"""),"Chú Sơn ")</f>
        <v>Chú Sơn </v>
      </c>
      <c r="C433" s="131" t="str">
        <f>IFERROR(__xludf.DUMMYFUNCTION("""COMPUTED_VALUE"""),"50C Nguyễn Văn Linh")</f>
        <v>50C Nguyễn Văn Linh</v>
      </c>
      <c r="D433" s="131" t="str">
        <f>IFERROR(__xludf.DUMMYFUNCTION("""COMPUTED_VALUE"""),"Chó ")</f>
        <v>Chó </v>
      </c>
      <c r="E433" s="131" t="str">
        <f>IFERROR(__xludf.DUMMYFUNCTION("""COMPUTED_VALUE"""),"Vện")</f>
        <v>Vện</v>
      </c>
    </row>
    <row r="434" ht="15.75" customHeight="1">
      <c r="A434" s="120" t="str">
        <f>IFERROR(__xludf.DUMMYFUNCTION("""COMPUTED_VALUE"""),"0903 526 235")</f>
        <v>0903 526 235</v>
      </c>
      <c r="B434" s="121" t="str">
        <f>IFERROR(__xludf.DUMMYFUNCTION("""COMPUTED_VALUE"""),"Anh Đăng")</f>
        <v>Anh Đăng</v>
      </c>
      <c r="C434" s="121" t="str">
        <f>IFERROR(__xludf.DUMMYFUNCTION("""COMPUTED_VALUE"""),"12/3/7 Vạn Xuân")</f>
        <v>12/3/7 Vạn Xuân</v>
      </c>
      <c r="D434" s="121" t="str">
        <f>IFERROR(__xludf.DUMMYFUNCTION("""COMPUTED_VALUE"""),"Mèo")</f>
        <v>Mèo</v>
      </c>
      <c r="E434" s="121" t="str">
        <f>IFERROR(__xludf.DUMMYFUNCTION("""COMPUTED_VALUE"""),"Zumi")</f>
        <v>Zumi</v>
      </c>
    </row>
    <row r="435" ht="15.75" customHeight="1">
      <c r="A435" s="120" t="str">
        <f>IFERROR(__xludf.DUMMYFUNCTION("""COMPUTED_VALUE"""),"0762 551 628")</f>
        <v>0762 551 628</v>
      </c>
      <c r="B435" s="121" t="str">
        <f>IFERROR(__xludf.DUMMYFUNCTION("""COMPUTED_VALUE"""),"chị Mai")</f>
        <v>chị Mai</v>
      </c>
      <c r="C435" s="121" t="str">
        <f>IFERROR(__xludf.DUMMYFUNCTION("""COMPUTED_VALUE"""),"tỉnh lộ 10")</f>
        <v>tỉnh lộ 10</v>
      </c>
      <c r="D435" s="121" t="str">
        <f>IFERROR(__xludf.DUMMYFUNCTION("""COMPUTED_VALUE"""),"chó")</f>
        <v>chó</v>
      </c>
      <c r="E435" s="121" t="str">
        <f>IFERROR(__xludf.DUMMYFUNCTION("""COMPUTED_VALUE"""),"sâu")</f>
        <v>sâu</v>
      </c>
    </row>
    <row r="436" ht="15.75" customHeight="1">
      <c r="A436" s="120" t="str">
        <f>IFERROR(__xludf.DUMMYFUNCTION("""COMPUTED_VALUE"""),"0877 572 312")</f>
        <v>0877 572 312</v>
      </c>
      <c r="B436" s="121" t="str">
        <f>IFERROR(__xludf.DUMMYFUNCTION("""COMPUTED_VALUE"""),"Hoàng Anh")</f>
        <v>Hoàng Anh</v>
      </c>
      <c r="C436" s="121" t="str">
        <f>IFERROR(__xludf.DUMMYFUNCTION("""COMPUTED_VALUE"""),"24/16 Phạm Thị Liên")</f>
        <v>24/16 Phạm Thị Liên</v>
      </c>
      <c r="D436" s="121" t="str">
        <f>IFERROR(__xludf.DUMMYFUNCTION("""COMPUTED_VALUE"""),"Chó")</f>
        <v>Chó</v>
      </c>
      <c r="E436" s="121" t="str">
        <f>IFERROR(__xludf.DUMMYFUNCTION("""COMPUTED_VALUE"""),"Vàng")</f>
        <v>Vàng</v>
      </c>
    </row>
    <row r="437" ht="15.75" customHeight="1">
      <c r="A437" s="120" t="str">
        <f>IFERROR(__xludf.DUMMYFUNCTION("""COMPUTED_VALUE"""),"0852 384 888")</f>
        <v>0852 384 888</v>
      </c>
      <c r="B437" s="121" t="str">
        <f>IFERROR(__xludf.DUMMYFUNCTION("""COMPUTED_VALUE"""),"Chị Thy")</f>
        <v>Chị Thy</v>
      </c>
      <c r="C437" s="121" t="str">
        <f>IFERROR(__xludf.DUMMYFUNCTION("""COMPUTED_VALUE"""),"149 Trần Phú")</f>
        <v>149 Trần Phú</v>
      </c>
      <c r="D437" s="121" t="str">
        <f>IFERROR(__xludf.DUMMYFUNCTION("""COMPUTED_VALUE"""),"mèo")</f>
        <v>mèo</v>
      </c>
      <c r="E437" s="121" t="str">
        <f>IFERROR(__xludf.DUMMYFUNCTION("""COMPUTED_VALUE"""),"xoài")</f>
        <v>xoài</v>
      </c>
    </row>
    <row r="438" ht="15.75" customHeight="1">
      <c r="A438" s="120" t="str">
        <f>IFERROR(__xludf.DUMMYFUNCTION("""COMPUTED_VALUE"""),"0396 231 282")</f>
        <v>0396 231 282</v>
      </c>
      <c r="B438" s="121" t="str">
        <f>IFERROR(__xludf.DUMMYFUNCTION("""COMPUTED_VALUE"""),"Lê Thị Nhung")</f>
        <v>Lê Thị Nhung</v>
      </c>
      <c r="C438" s="121" t="str">
        <f>IFERROR(__xludf.DUMMYFUNCTION("""COMPUTED_VALUE"""),"6/6 Văn Cao")</f>
        <v>6/6 Văn Cao</v>
      </c>
      <c r="D438" s="121" t="str">
        <f>IFERROR(__xludf.DUMMYFUNCTION("""COMPUTED_VALUE"""),"mèo")</f>
        <v>mèo</v>
      </c>
      <c r="E438" s="119" t="str">
        <f>IFERROR(__xludf.DUMMYFUNCTION("""COMPUTED_VALUE"""),"Bảnh")</f>
        <v>Bảnh</v>
      </c>
    </row>
    <row r="439" ht="15.75" customHeight="1">
      <c r="A439" s="120" t="str">
        <f>IFERROR(__xludf.DUMMYFUNCTION("""COMPUTED_VALUE"""),"0934 970 410")</f>
        <v>0934 970 410</v>
      </c>
      <c r="B439" s="121" t="str">
        <f>IFERROR(__xludf.DUMMYFUNCTION("""COMPUTED_VALUE"""),"chị Ngọc")</f>
        <v>chị Ngọc</v>
      </c>
      <c r="C439" s="121" t="str">
        <f>IFERROR(__xludf.DUMMYFUNCTION("""COMPUTED_VALUE"""),"chung cư Xuân Phú")</f>
        <v>chung cư Xuân Phú</v>
      </c>
      <c r="D439" s="121" t="str">
        <f>IFERROR(__xludf.DUMMYFUNCTION("""COMPUTED_VALUE"""),"chó")</f>
        <v>chó</v>
      </c>
      <c r="E439" s="121" t="str">
        <f>IFERROR(__xludf.DUMMYFUNCTION("""COMPUTED_VALUE"""),"Bông")</f>
        <v>Bông</v>
      </c>
    </row>
    <row r="440" ht="15.75" customHeight="1">
      <c r="A440" s="120" t="str">
        <f>IFERROR(__xludf.DUMMYFUNCTION("""COMPUTED_VALUE"""),"0903 510 748")</f>
        <v>0903 510 748</v>
      </c>
      <c r="B440" s="121" t="str">
        <f>IFERROR(__xludf.DUMMYFUNCTION("""COMPUTED_VALUE"""),"Chị Liên Nhã")</f>
        <v>Chị Liên Nhã</v>
      </c>
      <c r="C440" s="121" t="str">
        <f>IFERROR(__xludf.DUMMYFUNCTION("""COMPUTED_VALUE"""),"Thủy Xuân")</f>
        <v>Thủy Xuân</v>
      </c>
      <c r="D440" s="121" t="str">
        <f>IFERROR(__xludf.DUMMYFUNCTION("""COMPUTED_VALUE"""),"Chó ")</f>
        <v>Chó </v>
      </c>
      <c r="E440" s="119" t="str">
        <f>IFERROR(__xludf.DUMMYFUNCTION("""COMPUTED_VALUE"""),"Merry")</f>
        <v>Merry</v>
      </c>
    </row>
    <row r="441" ht="15.75" customHeight="1">
      <c r="A441" s="120" t="str">
        <f>IFERROR(__xludf.DUMMYFUNCTION("""COMPUTED_VALUE"""),"0797 362 215")</f>
        <v>0797 362 215</v>
      </c>
      <c r="B441" s="121" t="str">
        <f>IFERROR(__xludf.DUMMYFUNCTION("""COMPUTED_VALUE"""),"chú Thanh")</f>
        <v>chú Thanh</v>
      </c>
      <c r="C441" s="121" t="str">
        <f>IFERROR(__xludf.DUMMYFUNCTION("""COMPUTED_VALUE"""),"16/50 Phạm Thị Liên")</f>
        <v>16/50 Phạm Thị Liên</v>
      </c>
      <c r="D441" s="121" t="str">
        <f>IFERROR(__xludf.DUMMYFUNCTION("""COMPUTED_VALUE"""),"mèo")</f>
        <v>mèo</v>
      </c>
      <c r="E441" s="121" t="str">
        <f>IFERROR(__xludf.DUMMYFUNCTION("""COMPUTED_VALUE"""),"Vani")</f>
        <v>Vani</v>
      </c>
    </row>
    <row r="442" ht="15.75" customHeight="1">
      <c r="A442" s="120" t="str">
        <f>IFERROR(__xludf.DUMMYFUNCTION("""COMPUTED_VALUE"""),"0932 503 144")</f>
        <v>0932 503 144</v>
      </c>
      <c r="B442" s="121" t="str">
        <f>IFERROR(__xludf.DUMMYFUNCTION("""COMPUTED_VALUE"""),"anh Phong")</f>
        <v>anh Phong</v>
      </c>
      <c r="C442" s="121" t="str">
        <f>IFERROR(__xludf.DUMMYFUNCTION("""COMPUTED_VALUE"""),"Hương Hồ")</f>
        <v>Hương Hồ</v>
      </c>
      <c r="D442" s="121" t="str">
        <f>IFERROR(__xludf.DUMMYFUNCTION("""COMPUTED_VALUE"""),"chó ")</f>
        <v>chó </v>
      </c>
      <c r="E442" s="121" t="str">
        <f>IFERROR(__xludf.DUMMYFUNCTION("""COMPUTED_VALUE"""),"Lu")</f>
        <v>Lu</v>
      </c>
    </row>
    <row r="443" ht="15.75" customHeight="1">
      <c r="A443" s="120" t="str">
        <f>IFERROR(__xludf.DUMMYFUNCTION("""COMPUTED_VALUE"""),"0866 455 150")</f>
        <v>0866 455 150</v>
      </c>
      <c r="B443" s="121" t="str">
        <f>IFERROR(__xludf.DUMMYFUNCTION("""COMPUTED_VALUE"""),"em Hoàng Nhật")</f>
        <v>em Hoàng Nhật</v>
      </c>
      <c r="C443" s="121" t="str">
        <f>IFERROR(__xludf.DUMMYFUNCTION("""COMPUTED_VALUE"""),"9/8/11 Nguyễn Phúc Lan")</f>
        <v>9/8/11 Nguyễn Phúc Lan</v>
      </c>
      <c r="D443" s="121" t="str">
        <f>IFERROR(__xludf.DUMMYFUNCTION("""COMPUTED_VALUE"""),"chó")</f>
        <v>chó</v>
      </c>
      <c r="E443" s="121" t="str">
        <f>IFERROR(__xludf.DUMMYFUNCTION("""COMPUTED_VALUE"""),"Sam")</f>
        <v>Sam</v>
      </c>
    </row>
    <row r="444" ht="15.75" customHeight="1">
      <c r="A444" s="120" t="str">
        <f>IFERROR(__xludf.DUMMYFUNCTION("""COMPUTED_VALUE"""),"0845 400 108")</f>
        <v>0845 400 108</v>
      </c>
      <c r="B444" s="121" t="str">
        <f>IFERROR(__xludf.DUMMYFUNCTION("""COMPUTED_VALUE"""),"Em Đức Duy")</f>
        <v>Em Đức Duy</v>
      </c>
      <c r="C444" s="121" t="str">
        <f>IFERROR(__xludf.DUMMYFUNCTION("""COMPUTED_VALUE"""),"1/40 Phạm Thế Hiển")</f>
        <v>1/40 Phạm Thế Hiển</v>
      </c>
      <c r="D444" s="121" t="str">
        <f>IFERROR(__xludf.DUMMYFUNCTION("""COMPUTED_VALUE"""),"Chó")</f>
        <v>Chó</v>
      </c>
      <c r="E444" s="119"/>
    </row>
    <row r="445" ht="15.75" customHeight="1">
      <c r="A445" s="120" t="str">
        <f>IFERROR(__xludf.DUMMYFUNCTION("""COMPUTED_VALUE"""),"0906 506 116")</f>
        <v>0906 506 116</v>
      </c>
      <c r="B445" s="121" t="str">
        <f>IFERROR(__xludf.DUMMYFUNCTION("""COMPUTED_VALUE"""),"chị Hiếu")</f>
        <v>chị Hiếu</v>
      </c>
      <c r="C445" s="121" t="str">
        <f>IFERROR(__xludf.DUMMYFUNCTION("""COMPUTED_VALUE"""),"20/42 Phạm Thị Liên")</f>
        <v>20/42 Phạm Thị Liên</v>
      </c>
      <c r="D445" s="121" t="str">
        <f>IFERROR(__xludf.DUMMYFUNCTION("""COMPUTED_VALUE"""),"chó ")</f>
        <v>chó </v>
      </c>
      <c r="E445" s="121" t="str">
        <f>IFERROR(__xludf.DUMMYFUNCTION("""COMPUTED_VALUE"""),"Cà Phê")</f>
        <v>Cà Phê</v>
      </c>
    </row>
    <row r="446" ht="15.75" customHeight="1">
      <c r="A446" s="120" t="str">
        <f>IFERROR(__xludf.DUMMYFUNCTION("""COMPUTED_VALUE"""),"0915 088 161")</f>
        <v>0915 088 161</v>
      </c>
      <c r="B446" s="121" t="str">
        <f>IFERROR(__xludf.DUMMYFUNCTION("""COMPUTED_VALUE"""),"ANh Sơn")</f>
        <v>ANh Sơn</v>
      </c>
      <c r="C446" s="121" t="str">
        <f>IFERROR(__xludf.DUMMYFUNCTION("""COMPUTED_VALUE"""),"252 Lý Nam Đế")</f>
        <v>252 Lý Nam Đế</v>
      </c>
      <c r="D446" s="121" t="str">
        <f>IFERROR(__xludf.DUMMYFUNCTION("""COMPUTED_VALUE"""),"Mèo")</f>
        <v>Mèo</v>
      </c>
      <c r="E446" s="119" t="str">
        <f>IFERROR(__xludf.DUMMYFUNCTION("""COMPUTED_VALUE"""),"Mít")</f>
        <v>Mít</v>
      </c>
    </row>
    <row r="447" ht="15.75" customHeight="1">
      <c r="A447" s="120" t="str">
        <f>IFERROR(__xludf.DUMMYFUNCTION("""COMPUTED_VALUE"""),"0363 014 723")</f>
        <v>0363 014 723</v>
      </c>
      <c r="B447" s="121" t="str">
        <f>IFERROR(__xludf.DUMMYFUNCTION("""COMPUTED_VALUE"""),"Chị Thoa")</f>
        <v>Chị Thoa</v>
      </c>
      <c r="C447" s="121" t="str">
        <f>IFERROR(__xludf.DUMMYFUNCTION("""COMPUTED_VALUE"""),"9/131 Trần Phú")</f>
        <v>9/131 Trần Phú</v>
      </c>
      <c r="D447" s="121" t="str">
        <f>IFERROR(__xludf.DUMMYFUNCTION("""COMPUTED_VALUE"""),"Chó")</f>
        <v>Chó</v>
      </c>
      <c r="E447" s="119" t="str">
        <f>IFERROR(__xludf.DUMMYFUNCTION("""COMPUTED_VALUE"""),"Lisa")</f>
        <v>Lisa</v>
      </c>
    </row>
    <row r="448" ht="15.75" customHeight="1">
      <c r="A448" s="120" t="str">
        <f>IFERROR(__xludf.DUMMYFUNCTION("""COMPUTED_VALUE"""),"0855 620 885")</f>
        <v>0855 620 885</v>
      </c>
      <c r="B448" s="121" t="str">
        <f>IFERROR(__xludf.DUMMYFUNCTION("""COMPUTED_VALUE"""),"Chị Ngọc")</f>
        <v>Chị Ngọc</v>
      </c>
      <c r="C448" s="121" t="str">
        <f>IFERROR(__xludf.DUMMYFUNCTION("""COMPUTED_VALUE"""),"61 Hồ Thừa")</f>
        <v>61 Hồ Thừa</v>
      </c>
      <c r="D448" s="121" t="str">
        <f>IFERROR(__xludf.DUMMYFUNCTION("""COMPUTED_VALUE"""),"Mèo")</f>
        <v>Mèo</v>
      </c>
      <c r="E448" s="121" t="str">
        <f>IFERROR(__xludf.DUMMYFUNCTION("""COMPUTED_VALUE"""),"Ruồi")</f>
        <v>Ruồi</v>
      </c>
    </row>
    <row r="449" ht="15.75" customHeight="1">
      <c r="A449" s="120" t="str">
        <f>IFERROR(__xludf.DUMMYFUNCTION("""COMPUTED_VALUE"""),"0388 595 154")</f>
        <v>0388 595 154</v>
      </c>
      <c r="B449" s="121" t="str">
        <f>IFERROR(__xludf.DUMMYFUNCTION("""COMPUTED_VALUE"""),"Anh Vinh")</f>
        <v>Anh Vinh</v>
      </c>
      <c r="C449" s="121" t="str">
        <f>IFERROR(__xludf.DUMMYFUNCTION("""COMPUTED_VALUE"""),"Nguyễn Phúc Nguyên")</f>
        <v>Nguyễn Phúc Nguyên</v>
      </c>
      <c r="D449" s="121" t="str">
        <f>IFERROR(__xludf.DUMMYFUNCTION("""COMPUTED_VALUE"""),"Chó")</f>
        <v>Chó</v>
      </c>
      <c r="E449" s="121" t="str">
        <f>IFERROR(__xludf.DUMMYFUNCTION("""COMPUTED_VALUE"""),"Vện")</f>
        <v>Vện</v>
      </c>
    </row>
    <row r="450" ht="15.75" customHeight="1">
      <c r="A450" s="120" t="str">
        <f>IFERROR(__xludf.DUMMYFUNCTION("""COMPUTED_VALUE"""),"0934 976 919")</f>
        <v>0934 976 919</v>
      </c>
      <c r="B450" s="121" t="str">
        <f>IFERROR(__xludf.DUMMYFUNCTION("""COMPUTED_VALUE"""),"chị Phượng")</f>
        <v>chị Phượng</v>
      </c>
      <c r="C450" s="121" t="str">
        <f>IFERROR(__xludf.DUMMYFUNCTION("""COMPUTED_VALUE"""),"10 kiệt 48 Quảng Tế")</f>
        <v>10 kiệt 48 Quảng Tế</v>
      </c>
      <c r="D450" s="121" t="str">
        <f>IFERROR(__xludf.DUMMYFUNCTION("""COMPUTED_VALUE"""),"mèo")</f>
        <v>mèo</v>
      </c>
      <c r="E450" s="121" t="str">
        <f>IFERROR(__xludf.DUMMYFUNCTION("""COMPUTED_VALUE"""),"Miu")</f>
        <v>Miu</v>
      </c>
    </row>
    <row r="451" ht="15.75" customHeight="1">
      <c r="A451" s="120" t="str">
        <f>IFERROR(__xludf.DUMMYFUNCTION("""COMPUTED_VALUE"""),"0974 860 903")</f>
        <v>0974 860 903</v>
      </c>
      <c r="B451" s="121" t="str">
        <f>IFERROR(__xludf.DUMMYFUNCTION("""COMPUTED_VALUE"""),"chị Trang")</f>
        <v>chị Trang</v>
      </c>
      <c r="C451" s="121" t="str">
        <f>IFERROR(__xludf.DUMMYFUNCTION("""COMPUTED_VALUE"""),"36/42 Nguyễn Phúc Tần")</f>
        <v>36/42 Nguyễn Phúc Tần</v>
      </c>
      <c r="D451" s="121" t="str">
        <f>IFERROR(__xludf.DUMMYFUNCTION("""COMPUTED_VALUE"""),"chó")</f>
        <v>chó</v>
      </c>
      <c r="E451" s="121" t="str">
        <f>IFERROR(__xludf.DUMMYFUNCTION("""COMPUTED_VALUE"""),"Nâu")</f>
        <v>Nâu</v>
      </c>
    </row>
    <row r="452" ht="15.75" customHeight="1">
      <c r="A452" s="120" t="str">
        <f>IFERROR(__xludf.DUMMYFUNCTION("""COMPUTED_VALUE"""),"0905 862 229")</f>
        <v>0905 862 229</v>
      </c>
      <c r="B452" s="121" t="str">
        <f>IFERROR(__xludf.DUMMYFUNCTION("""COMPUTED_VALUE"""),"chị Hoàng Anh")</f>
        <v>chị Hoàng Anh</v>
      </c>
      <c r="C452" s="121" t="str">
        <f>IFERROR(__xludf.DUMMYFUNCTION("""COMPUTED_VALUE"""),"2D kiệt 35 Phạm Thị Liên")</f>
        <v>2D kiệt 35 Phạm Thị Liên</v>
      </c>
      <c r="D452" s="121" t="str">
        <f>IFERROR(__xludf.DUMMYFUNCTION("""COMPUTED_VALUE"""),"chó ")</f>
        <v>chó </v>
      </c>
      <c r="E452" s="121" t="str">
        <f>IFERROR(__xludf.DUMMYFUNCTION("""COMPUTED_VALUE"""),"Ringo")</f>
        <v>Ringo</v>
      </c>
    </row>
    <row r="453" ht="15.75" customHeight="1">
      <c r="A453" s="120" t="str">
        <f>IFERROR(__xludf.DUMMYFUNCTION("""COMPUTED_VALUE"""),"0339 039 719")</f>
        <v>0339 039 719</v>
      </c>
      <c r="B453" s="121" t="str">
        <f>IFERROR(__xludf.DUMMYFUNCTION("""COMPUTED_VALUE"""),"Chị Nhật Anh")</f>
        <v>Chị Nhật Anh</v>
      </c>
      <c r="C453" s="121" t="str">
        <f>IFERROR(__xludf.DUMMYFUNCTION("""COMPUTED_VALUE"""),"Trạm Y tế Phường Hương Vinh")</f>
        <v>Trạm Y tế Phường Hương Vinh</v>
      </c>
      <c r="D453" s="121" t="str">
        <f>IFERROR(__xludf.DUMMYFUNCTION("""COMPUTED_VALUE"""),"Chó ")</f>
        <v>Chó </v>
      </c>
      <c r="E453" s="121" t="str">
        <f>IFERROR(__xludf.DUMMYFUNCTION("""COMPUTED_VALUE"""),"Nem")</f>
        <v>Nem</v>
      </c>
    </row>
    <row r="454" ht="15.75" customHeight="1">
      <c r="A454" s="120" t="str">
        <f>IFERROR(__xludf.DUMMYFUNCTION("""COMPUTED_VALUE"""),"0777 485 248")</f>
        <v>0777 485 248</v>
      </c>
      <c r="B454" s="121" t="str">
        <f>IFERROR(__xludf.DUMMYFUNCTION("""COMPUTED_VALUE"""),"anh Y")</f>
        <v>anh Y</v>
      </c>
      <c r="C454" s="121" t="str">
        <f>IFERROR(__xludf.DUMMYFUNCTION("""COMPUTED_VALUE"""),"10/8/35 Nguyễn Phúc Lan")</f>
        <v>10/8/35 Nguyễn Phúc Lan</v>
      </c>
      <c r="D454" s="121" t="str">
        <f>IFERROR(__xludf.DUMMYFUNCTION("""COMPUTED_VALUE"""),"chó")</f>
        <v>chó</v>
      </c>
      <c r="E454" s="119" t="str">
        <f>IFERROR(__xludf.DUMMYFUNCTION("""COMPUTED_VALUE"""),"Đen")</f>
        <v>Đen</v>
      </c>
    </row>
    <row r="455" ht="15.75" customHeight="1">
      <c r="A455" s="120" t="str">
        <f>IFERROR(__xludf.DUMMYFUNCTION("""COMPUTED_VALUE"""),"0349 839 584")</f>
        <v>0349 839 584</v>
      </c>
      <c r="B455" s="121" t="str">
        <f>IFERROR(__xludf.DUMMYFUNCTION("""COMPUTED_VALUE"""),"Anh Phong")</f>
        <v>Anh Phong</v>
      </c>
      <c r="C455" s="121" t="str">
        <f>IFERROR(__xludf.DUMMYFUNCTION("""COMPUTED_VALUE"""),"Hương An")</f>
        <v>Hương An</v>
      </c>
      <c r="D455" s="121" t="str">
        <f>IFERROR(__xludf.DUMMYFUNCTION("""COMPUTED_VALUE"""),"Chó")</f>
        <v>Chó</v>
      </c>
      <c r="E455" s="121"/>
    </row>
    <row r="456" ht="15.75" customHeight="1">
      <c r="A456" s="120" t="str">
        <f>IFERROR(__xludf.DUMMYFUNCTION("""COMPUTED_VALUE"""),"0812 996 663")</f>
        <v>0812 996 663</v>
      </c>
      <c r="B456" s="121" t="str">
        <f>IFERROR(__xludf.DUMMYFUNCTION("""COMPUTED_VALUE"""),"Chú Tuấn")</f>
        <v>Chú Tuấn</v>
      </c>
      <c r="C456" s="121" t="str">
        <f>IFERROR(__xludf.DUMMYFUNCTION("""COMPUTED_VALUE"""),"12/266 Bùi Thị Xuân")</f>
        <v>12/266 Bùi Thị Xuân</v>
      </c>
      <c r="D456" s="121" t="str">
        <f>IFERROR(__xludf.DUMMYFUNCTION("""COMPUTED_VALUE"""),"Chó ")</f>
        <v>Chó </v>
      </c>
      <c r="E456" s="121" t="str">
        <f>IFERROR(__xludf.DUMMYFUNCTION("""COMPUTED_VALUE"""),"Đen")</f>
        <v>Đen</v>
      </c>
    </row>
    <row r="457" ht="15.75" customHeight="1">
      <c r="A457" s="120" t="str">
        <f>IFERROR(__xludf.DUMMYFUNCTION("""COMPUTED_VALUE"""),"0918 061 931")</f>
        <v>0918 061 931</v>
      </c>
      <c r="B457" s="121" t="str">
        <f>IFERROR(__xludf.DUMMYFUNCTION("""COMPUTED_VALUE"""),"Anh Hoàng")</f>
        <v>Anh Hoàng</v>
      </c>
      <c r="C457" s="121" t="str">
        <f>IFERROR(__xludf.DUMMYFUNCTION("""COMPUTED_VALUE"""),"24/16 Phạm Thị Liên")</f>
        <v>24/16 Phạm Thị Liên</v>
      </c>
      <c r="D457" s="121" t="str">
        <f>IFERROR(__xludf.DUMMYFUNCTION("""COMPUTED_VALUE"""),"Chó")</f>
        <v>Chó</v>
      </c>
      <c r="E457" s="121" t="str">
        <f>IFERROR(__xludf.DUMMYFUNCTION("""COMPUTED_VALUE"""),"Vàng")</f>
        <v>Vàng</v>
      </c>
    </row>
    <row r="458" ht="15.75" customHeight="1">
      <c r="A458" s="120" t="str">
        <f>IFERROR(__xludf.DUMMYFUNCTION("""COMPUTED_VALUE"""),"0905 232 491")</f>
        <v>0905 232 491</v>
      </c>
      <c r="B458" s="121" t="str">
        <f>IFERROR(__xludf.DUMMYFUNCTION("""COMPUTED_VALUE"""),"Dì Lộc")</f>
        <v>Dì Lộc</v>
      </c>
      <c r="C458" s="121" t="str">
        <f>IFERROR(__xludf.DUMMYFUNCTION("""COMPUTED_VALUE"""),"8 Hồ Văn Hiến")</f>
        <v>8 Hồ Văn Hiến</v>
      </c>
      <c r="D458" s="121" t="str">
        <f>IFERROR(__xludf.DUMMYFUNCTION("""COMPUTED_VALUE"""),"Chó")</f>
        <v>Chó</v>
      </c>
      <c r="E458" s="121" t="str">
        <f>IFERROR(__xludf.DUMMYFUNCTION("""COMPUTED_VALUE"""),"Bo")</f>
        <v>Bo</v>
      </c>
    </row>
    <row r="459" ht="15.75" customHeight="1">
      <c r="A459" s="120" t="str">
        <f>IFERROR(__xludf.DUMMYFUNCTION("""COMPUTED_VALUE"""),"0935 324 047")</f>
        <v>0935 324 047</v>
      </c>
      <c r="B459" s="121" t="str">
        <f>IFERROR(__xludf.DUMMYFUNCTION("""COMPUTED_VALUE"""),"chị Na")</f>
        <v>chị Na</v>
      </c>
      <c r="C459" s="121" t="str">
        <f>IFERROR(__xludf.DUMMYFUNCTION("""COMPUTED_VALUE"""),"1 kiệt 6 Phan Bội Châu")</f>
        <v>1 kiệt 6 Phan Bội Châu</v>
      </c>
      <c r="D459" s="121" t="str">
        <f>IFERROR(__xludf.DUMMYFUNCTION("""COMPUTED_VALUE"""),"chó ")</f>
        <v>chó </v>
      </c>
      <c r="E459" s="121" t="str">
        <f>IFERROR(__xludf.DUMMYFUNCTION("""COMPUTED_VALUE"""),"Mimi")</f>
        <v>Mimi</v>
      </c>
    </row>
    <row r="460" ht="15.75" customHeight="1">
      <c r="A460" s="120" t="str">
        <f>IFERROR(__xludf.DUMMYFUNCTION("""COMPUTED_VALUE"""),"0935 178 651")</f>
        <v>0935 178 651</v>
      </c>
      <c r="B460" s="121" t="str">
        <f>IFERROR(__xludf.DUMMYFUNCTION("""COMPUTED_VALUE"""),"Chị Duyên")</f>
        <v>Chị Duyên</v>
      </c>
      <c r="C460" s="121" t="str">
        <f>IFERROR(__xludf.DUMMYFUNCTION("""COMPUTED_VALUE"""),"22 Tôn Thất Tùng")</f>
        <v>22 Tôn Thất Tùng</v>
      </c>
      <c r="D460" s="121" t="str">
        <f>IFERROR(__xludf.DUMMYFUNCTION("""COMPUTED_VALUE"""),"Mèo")</f>
        <v>Mèo</v>
      </c>
      <c r="E460" s="121" t="str">
        <f>IFERROR(__xludf.DUMMYFUNCTION("""COMPUTED_VALUE"""),"Rich")</f>
        <v>Rich</v>
      </c>
    </row>
    <row r="461" ht="15.75" customHeight="1">
      <c r="A461" s="120" t="str">
        <f>IFERROR(__xludf.DUMMYFUNCTION("""COMPUTED_VALUE"""),"0889 181 847")</f>
        <v>0889 181 847</v>
      </c>
      <c r="B461" s="121" t="str">
        <f>IFERROR(__xludf.DUMMYFUNCTION("""COMPUTED_VALUE"""),"Anh Minh")</f>
        <v>Anh Minh</v>
      </c>
      <c r="C461" s="121" t="str">
        <f>IFERROR(__xludf.DUMMYFUNCTION("""COMPUTED_VALUE"""),"39 hẻm 23/131 Thần Phú")</f>
        <v>39 hẻm 23/131 Thần Phú</v>
      </c>
      <c r="D461" s="121" t="str">
        <f>IFERROR(__xludf.DUMMYFUNCTION("""COMPUTED_VALUE"""),"Chó")</f>
        <v>Chó</v>
      </c>
      <c r="E461" s="121"/>
    </row>
    <row r="462" ht="15.75" customHeight="1">
      <c r="A462" s="120" t="str">
        <f>IFERROR(__xludf.DUMMYFUNCTION("""COMPUTED_VALUE"""),"0968 243 946")</f>
        <v>0968 243 946</v>
      </c>
      <c r="B462" s="121" t="str">
        <f>IFERROR(__xludf.DUMMYFUNCTION("""COMPUTED_VALUE"""),"chị Xuân Thiêm")</f>
        <v>chị Xuân Thiêm</v>
      </c>
      <c r="C462" s="121" t="str">
        <f>IFERROR(__xludf.DUMMYFUNCTION("""COMPUTED_VALUE"""),"12/17 Kiệt 104 Kim Long")</f>
        <v>12/17 Kiệt 104 Kim Long</v>
      </c>
      <c r="D462" s="121" t="str">
        <f>IFERROR(__xludf.DUMMYFUNCTION("""COMPUTED_VALUE"""),"chó")</f>
        <v>chó</v>
      </c>
      <c r="E462" s="121" t="str">
        <f>IFERROR(__xludf.DUMMYFUNCTION("""COMPUTED_VALUE"""),"Bi")</f>
        <v>Bi</v>
      </c>
    </row>
    <row r="463" ht="15.75" customHeight="1">
      <c r="A463" s="120" t="str">
        <f>IFERROR(__xludf.DUMMYFUNCTION("""COMPUTED_VALUE"""),"0363 621 693")</f>
        <v>0363 621 693</v>
      </c>
      <c r="B463" s="121" t="str">
        <f>IFERROR(__xludf.DUMMYFUNCTION("""COMPUTED_VALUE"""),"anh Bảo")</f>
        <v>anh Bảo</v>
      </c>
      <c r="C463" s="121" t="str">
        <f>IFERROR(__xludf.DUMMYFUNCTION("""COMPUTED_VALUE"""),"8/3 Cao Bá Quát")</f>
        <v>8/3 Cao Bá Quát</v>
      </c>
      <c r="D463" s="121" t="str">
        <f>IFERROR(__xludf.DUMMYFUNCTION("""COMPUTED_VALUE"""),"mèo")</f>
        <v>mèo</v>
      </c>
      <c r="E463" s="121"/>
    </row>
    <row r="464" ht="15.75" customHeight="1">
      <c r="A464" s="120" t="str">
        <f>IFERROR(__xludf.DUMMYFUNCTION("""COMPUTED_VALUE"""),"0343 029 403")</f>
        <v>0343 029 403</v>
      </c>
      <c r="B464" s="121" t="str">
        <f>IFERROR(__xludf.DUMMYFUNCTION("""COMPUTED_VALUE"""),"chị Mai Hà")</f>
        <v>chị Mai Hà</v>
      </c>
      <c r="C464" s="121" t="str">
        <f>IFERROR(__xludf.DUMMYFUNCTION("""COMPUTED_VALUE"""),"140 Lý Nam Đế")</f>
        <v>140 Lý Nam Đế</v>
      </c>
      <c r="D464" s="121" t="str">
        <f>IFERROR(__xludf.DUMMYFUNCTION("""COMPUTED_VALUE"""),"chó")</f>
        <v>chó</v>
      </c>
      <c r="E464" s="121"/>
    </row>
    <row r="465" ht="15.75" customHeight="1">
      <c r="A465" s="120" t="str">
        <f>IFERROR(__xludf.DUMMYFUNCTION("""COMPUTED_VALUE"""),"0782 123 929")</f>
        <v>0782 123 929</v>
      </c>
      <c r="B465" s="121" t="str">
        <f>IFERROR(__xludf.DUMMYFUNCTION("""COMPUTED_VALUE"""),"A Quốc Huy")</f>
        <v>A Quốc Huy</v>
      </c>
      <c r="C465" s="121" t="str">
        <f>IFERROR(__xludf.DUMMYFUNCTION("""COMPUTED_VALUE"""),"1/34 An Ninh")</f>
        <v>1/34 An Ninh</v>
      </c>
      <c r="D465" s="121" t="str">
        <f>IFERROR(__xludf.DUMMYFUNCTION("""COMPUTED_VALUE"""),"chó")</f>
        <v>chó</v>
      </c>
      <c r="E465" s="119" t="str">
        <f>IFERROR(__xludf.DUMMYFUNCTION("""COMPUTED_VALUE"""),"Lucky")</f>
        <v>Lucky</v>
      </c>
    </row>
    <row r="466" ht="15.75" customHeight="1">
      <c r="A466" s="120" t="str">
        <f>IFERROR(__xludf.DUMMYFUNCTION("""COMPUTED_VALUE"""),"0837 939 876")</f>
        <v>0837 939 876</v>
      </c>
      <c r="B466" s="121" t="str">
        <f>IFERROR(__xludf.DUMMYFUNCTION("""COMPUTED_VALUE"""),"Chị Thủy")</f>
        <v>Chị Thủy</v>
      </c>
      <c r="C466" s="121" t="str">
        <f>IFERROR(__xludf.DUMMYFUNCTION("""COMPUTED_VALUE"""),"10 Đoàn Hữu Trân")</f>
        <v>10 Đoàn Hữu Trân</v>
      </c>
      <c r="D466" s="121" t="str">
        <f>IFERROR(__xludf.DUMMYFUNCTION("""COMPUTED_VALUE"""),"Chó")</f>
        <v>Chó</v>
      </c>
      <c r="E466" s="119" t="str">
        <f>IFERROR(__xludf.DUMMYFUNCTION("""COMPUTED_VALUE"""),"Cẩu")</f>
        <v>Cẩu</v>
      </c>
    </row>
    <row r="467" ht="15.75" customHeight="1">
      <c r="A467" s="120" t="str">
        <f>IFERROR(__xludf.DUMMYFUNCTION("""COMPUTED_VALUE"""),"0336 211 456")</f>
        <v>0336 211 456</v>
      </c>
      <c r="B467" s="121" t="str">
        <f>IFERROR(__xludf.DUMMYFUNCTION("""COMPUTED_VALUE"""),"Chị Thủy")</f>
        <v>Chị Thủy</v>
      </c>
      <c r="C467" s="121" t="str">
        <f>IFERROR(__xludf.DUMMYFUNCTION("""COMPUTED_VALUE"""),"1/1 Chế Lan Viên")</f>
        <v>1/1 Chế Lan Viên</v>
      </c>
      <c r="D467" s="121" t="str">
        <f>IFERROR(__xludf.DUMMYFUNCTION("""COMPUTED_VALUE"""),"Chó")</f>
        <v>Chó</v>
      </c>
      <c r="E467" s="121"/>
    </row>
    <row r="468" ht="15.75" customHeight="1">
      <c r="A468" s="128" t="str">
        <f>IFERROR(__xludf.DUMMYFUNCTION("""COMPUTED_VALUE"""),"0944 848 960")</f>
        <v>0944 848 960</v>
      </c>
      <c r="B468" s="127" t="str">
        <f>IFERROR(__xludf.DUMMYFUNCTION("""COMPUTED_VALUE"""),"Em Giao Bảo")</f>
        <v>Em Giao Bảo</v>
      </c>
      <c r="C468" s="127" t="str">
        <f>IFERROR(__xludf.DUMMYFUNCTION("""COMPUTED_VALUE"""),"24/21 Xuân Diệu")</f>
        <v>24/21 Xuân Diệu</v>
      </c>
      <c r="D468" s="127" t="str">
        <f>IFERROR(__xludf.DUMMYFUNCTION("""COMPUTED_VALUE"""),"Mèo")</f>
        <v>Mèo</v>
      </c>
      <c r="E468" s="127"/>
    </row>
    <row r="469" ht="15.75" customHeight="1">
      <c r="A469" s="128" t="str">
        <f>IFERROR(__xludf.DUMMYFUNCTION("""COMPUTED_VALUE"""),"0886 244 273")</f>
        <v>0886 244 273</v>
      </c>
      <c r="B469" s="127" t="str">
        <f>IFERROR(__xludf.DUMMYFUNCTION("""COMPUTED_VALUE"""),"Nguyên Thị Hồng Ngân")</f>
        <v>Nguyên Thị Hồng Ngân</v>
      </c>
      <c r="C469" s="127" t="str">
        <f>IFERROR(__xludf.DUMMYFUNCTION("""COMPUTED_VALUE"""),"84 Vạn Xuân")</f>
        <v>84 Vạn Xuân</v>
      </c>
      <c r="D469" s="127" t="str">
        <f>IFERROR(__xludf.DUMMYFUNCTION("""COMPUTED_VALUE"""),"mèo")</f>
        <v>mèo</v>
      </c>
      <c r="E469" s="127" t="str">
        <f>IFERROR(__xludf.DUMMYFUNCTION("""COMPUTED_VALUE"""),"Moon")</f>
        <v>Moon</v>
      </c>
    </row>
    <row r="470" ht="15.75" customHeight="1">
      <c r="A470" s="120" t="str">
        <f>IFERROR(__xludf.DUMMYFUNCTION("""COMPUTED_VALUE"""),"0704 520 748")</f>
        <v>0704 520 748</v>
      </c>
      <c r="B470" s="121" t="str">
        <f>IFERROR(__xludf.DUMMYFUNCTION("""COMPUTED_VALUE"""),"CHị Quỳnh")</f>
        <v>CHị Quỳnh</v>
      </c>
      <c r="C470" s="121" t="str">
        <f>IFERROR(__xludf.DUMMYFUNCTION("""COMPUTED_VALUE"""),"117 Nguyễn Hữu Cảnh")</f>
        <v>117 Nguyễn Hữu Cảnh</v>
      </c>
      <c r="D470" s="121" t="str">
        <f>IFERROR(__xludf.DUMMYFUNCTION("""COMPUTED_VALUE"""),"Chó")</f>
        <v>Chó</v>
      </c>
      <c r="E470" s="121" t="str">
        <f>IFERROR(__xludf.DUMMYFUNCTION("""COMPUTED_VALUE"""),"CHó")</f>
        <v>CHó</v>
      </c>
    </row>
    <row r="471" ht="15.75" customHeight="1">
      <c r="A471" s="128" t="str">
        <f>IFERROR(__xludf.DUMMYFUNCTION("""COMPUTED_VALUE"""),"0899 216 476")</f>
        <v>0899 216 476</v>
      </c>
      <c r="B471" s="127" t="str">
        <f>IFERROR(__xludf.DUMMYFUNCTION("""COMPUTED_VALUE"""),"chị Ly ")</f>
        <v>chị Ly </v>
      </c>
      <c r="C471" s="127" t="str">
        <f>IFERROR(__xludf.DUMMYFUNCTION("""COMPUTED_VALUE"""),"42 Nguyễn Trọng Nhân")</f>
        <v>42 Nguyễn Trọng Nhân</v>
      </c>
      <c r="D471" s="127" t="str">
        <f>IFERROR(__xludf.DUMMYFUNCTION("""COMPUTED_VALUE"""),"chó")</f>
        <v>chó</v>
      </c>
      <c r="E471" s="127"/>
    </row>
    <row r="472" ht="15.75" customHeight="1">
      <c r="A472" s="128" t="str">
        <f>IFERROR(__xludf.DUMMYFUNCTION("""COMPUTED_VALUE"""),"0898 202 392")</f>
        <v>0898 202 392</v>
      </c>
      <c r="B472" s="127" t="str">
        <f>IFERROR(__xludf.DUMMYFUNCTION("""COMPUTED_VALUE"""),"chị Tiên")</f>
        <v>chị Tiên</v>
      </c>
      <c r="C472" s="127" t="str">
        <f>IFERROR(__xludf.DUMMYFUNCTION("""COMPUTED_VALUE"""),"58 Nguyễn Phạm Tuân")</f>
        <v>58 Nguyễn Phạm Tuân</v>
      </c>
      <c r="D472" s="127" t="str">
        <f>IFERROR(__xludf.DUMMYFUNCTION("""COMPUTED_VALUE"""),"mèo")</f>
        <v>mèo</v>
      </c>
      <c r="E472" s="127" t="str">
        <f>IFERROR(__xludf.DUMMYFUNCTION("""COMPUTED_VALUE"""),"Mon")</f>
        <v>Mon</v>
      </c>
    </row>
    <row r="473" ht="15.75" customHeight="1">
      <c r="A473" s="128" t="str">
        <f>IFERROR(__xludf.DUMMYFUNCTION("""COMPUTED_VALUE"""),"0978 016 031")</f>
        <v>0978 016 031</v>
      </c>
      <c r="B473" s="127" t="str">
        <f>IFERROR(__xludf.DUMMYFUNCTION("""COMPUTED_VALUE"""),"chị Nhung")</f>
        <v>chị Nhung</v>
      </c>
      <c r="C473" s="127" t="str">
        <f>IFERROR(__xludf.DUMMYFUNCTION("""COMPUTED_VALUE"""),"67/81 Nguyễn Hoàng")</f>
        <v>67/81 Nguyễn Hoàng</v>
      </c>
      <c r="D473" s="127" t="str">
        <f>IFERROR(__xludf.DUMMYFUNCTION("""COMPUTED_VALUE"""),"chó")</f>
        <v>chó</v>
      </c>
      <c r="E473" s="127" t="str">
        <f>IFERROR(__xludf.DUMMYFUNCTION("""COMPUTED_VALUE"""),"Yes/No")</f>
        <v>Yes/No</v>
      </c>
    </row>
    <row r="474" ht="15.75" customHeight="1">
      <c r="A474" s="120" t="str">
        <f>IFERROR(__xludf.DUMMYFUNCTION("""COMPUTED_VALUE"""),"0935 352 952")</f>
        <v>0935 352 952</v>
      </c>
      <c r="B474" s="121" t="str">
        <f>IFERROR(__xludf.DUMMYFUNCTION("""COMPUTED_VALUE"""),"Hằng")</f>
        <v>Hằng</v>
      </c>
      <c r="C474" s="121" t="str">
        <f>IFERROR(__xludf.DUMMYFUNCTION("""COMPUTED_VALUE"""),"28 Trần Nguyên Hãn")</f>
        <v>28 Trần Nguyên Hãn</v>
      </c>
      <c r="D474" s="121" t="str">
        <f>IFERROR(__xludf.DUMMYFUNCTION("""COMPUTED_VALUE"""),"chó")</f>
        <v>chó</v>
      </c>
      <c r="E474" s="121"/>
    </row>
    <row r="475" ht="15.75" customHeight="1">
      <c r="A475" s="128" t="str">
        <f>IFERROR(__xludf.DUMMYFUNCTION("""COMPUTED_VALUE"""),"0905 014 040")</f>
        <v>0905 014 040</v>
      </c>
      <c r="B475" s="127" t="str">
        <f>IFERROR(__xludf.DUMMYFUNCTION("""COMPUTED_VALUE"""),"chú dũng")</f>
        <v>chú dũng</v>
      </c>
      <c r="C475" s="127" t="str">
        <f>IFERROR(__xludf.DUMMYFUNCTION("""COMPUTED_VALUE"""),"4/23/131 trần phú")</f>
        <v>4/23/131 trần phú</v>
      </c>
      <c r="D475" s="127" t="str">
        <f>IFERROR(__xludf.DUMMYFUNCTION("""COMPUTED_VALUE"""),"chó")</f>
        <v>chó</v>
      </c>
      <c r="E475" s="127" t="str">
        <f>IFERROR(__xludf.DUMMYFUNCTION("""COMPUTED_VALUE"""),"milo")</f>
        <v>milo</v>
      </c>
    </row>
    <row r="476" ht="15.75" customHeight="1">
      <c r="A476" s="128" t="str">
        <f>IFERROR(__xludf.DUMMYFUNCTION("""COMPUTED_VALUE"""),"0706 103 111")</f>
        <v>0706 103 111</v>
      </c>
      <c r="B476" s="127" t="str">
        <f>IFERROR(__xludf.DUMMYFUNCTION("""COMPUTED_VALUE"""),"chú thống")</f>
        <v>chú thống</v>
      </c>
      <c r="C476" s="127" t="str">
        <f>IFERROR(__xludf.DUMMYFUNCTION("""COMPUTED_VALUE"""),"32 trần anh tông")</f>
        <v>32 trần anh tông</v>
      </c>
      <c r="D476" s="127" t="str">
        <f>IFERROR(__xludf.DUMMYFUNCTION("""COMPUTED_VALUE"""),"mèo")</f>
        <v>mèo</v>
      </c>
      <c r="E476" s="127" t="str">
        <f>IFERROR(__xludf.DUMMYFUNCTION("""COMPUTED_VALUE"""),"misu")</f>
        <v>misu</v>
      </c>
    </row>
    <row r="477" ht="15.75" customHeight="1">
      <c r="A477" s="128" t="str">
        <f>IFERROR(__xludf.DUMMYFUNCTION("""COMPUTED_VALUE"""),"0915 022 468")</f>
        <v>0915 022 468</v>
      </c>
      <c r="B477" s="127" t="str">
        <f>IFERROR(__xludf.DUMMYFUNCTION("""COMPUTED_VALUE"""),"Em Hân")</f>
        <v>Em Hân</v>
      </c>
      <c r="C477" s="127" t="str">
        <f>IFERROR(__xludf.DUMMYFUNCTION("""COMPUTED_VALUE"""),"Hương Giang, Nam Đông, Huế")</f>
        <v>Hương Giang, Nam Đông, Huế</v>
      </c>
      <c r="D477" s="127" t="str">
        <f>IFERROR(__xludf.DUMMYFUNCTION("""COMPUTED_VALUE"""),"Chó")</f>
        <v>Chó</v>
      </c>
      <c r="E477" s="127" t="str">
        <f>IFERROR(__xludf.DUMMYFUNCTION("""COMPUTED_VALUE"""),"Milktea")</f>
        <v>Milktea</v>
      </c>
    </row>
    <row r="478" ht="15.75" customHeight="1">
      <c r="A478" s="128" t="str">
        <f>IFERROR(__xludf.DUMMYFUNCTION("""COMPUTED_VALUE"""),"0794 144 109")</f>
        <v>0794 144 109</v>
      </c>
      <c r="B478" s="127" t="str">
        <f>IFERROR(__xludf.DUMMYFUNCTION("""COMPUTED_VALUE"""),"chồng chị Khánh Hòa")</f>
        <v>chồng chị Khánh Hòa</v>
      </c>
      <c r="C478" s="127" t="str">
        <f>IFERROR(__xludf.DUMMYFUNCTION("""COMPUTED_VALUE"""),"18 bầu vá")</f>
        <v>18 bầu vá</v>
      </c>
      <c r="D478" s="127" t="str">
        <f>IFERROR(__xludf.DUMMYFUNCTION("""COMPUTED_VALUE"""),"chó")</f>
        <v>chó</v>
      </c>
      <c r="E478" s="127" t="str">
        <f>IFERROR(__xludf.DUMMYFUNCTION("""COMPUTED_VALUE"""),"bia")</f>
        <v>bia</v>
      </c>
    </row>
    <row r="479" ht="15.75" customHeight="1">
      <c r="A479" s="128" t="str">
        <f>IFERROR(__xludf.DUMMYFUNCTION("""COMPUTED_VALUE"""),"0852 345 495")</f>
        <v>0852 345 495</v>
      </c>
      <c r="B479" s="127" t="str">
        <f>IFERROR(__xludf.DUMMYFUNCTION("""COMPUTED_VALUE"""),"toại mẫn")</f>
        <v>toại mẫn</v>
      </c>
      <c r="C479" s="127" t="str">
        <f>IFERROR(__xludf.DUMMYFUNCTION("""COMPUTED_VALUE"""),"8/36 nguyễn khoa chiêm")</f>
        <v>8/36 nguyễn khoa chiêm</v>
      </c>
      <c r="D479" s="127" t="str">
        <f>IFERROR(__xludf.DUMMYFUNCTION("""COMPUTED_VALUE"""),"mèo")</f>
        <v>mèo</v>
      </c>
      <c r="E479" s="127" t="str">
        <f>IFERROR(__xludf.DUMMYFUNCTION("""COMPUTED_VALUE"""),"tỏi")</f>
        <v>tỏi</v>
      </c>
    </row>
    <row r="480" ht="15.75" customHeight="1">
      <c r="A480" s="120" t="str">
        <f>IFERROR(__xludf.DUMMYFUNCTION("""COMPUTED_VALUE"""),"0898 070 302")</f>
        <v>0898 070 302</v>
      </c>
      <c r="B480" s="121" t="str">
        <f>IFERROR(__xludf.DUMMYFUNCTION("""COMPUTED_VALUE"""),"em uyên")</f>
        <v>em uyên</v>
      </c>
      <c r="C480" s="121"/>
      <c r="D480" s="121" t="str">
        <f>IFERROR(__xludf.DUMMYFUNCTION("""COMPUTED_VALUE"""),"chó")</f>
        <v>chó</v>
      </c>
      <c r="E480" s="121"/>
    </row>
    <row r="481" ht="15.75" customHeight="1">
      <c r="A481" s="120" t="str">
        <f>IFERROR(__xludf.DUMMYFUNCTION("""COMPUTED_VALUE"""),"0357 396 599")</f>
        <v>0357 396 599</v>
      </c>
      <c r="B481" s="121" t="str">
        <f>IFERROR(__xludf.DUMMYFUNCTION("""COMPUTED_VALUE"""),"anh trí")</f>
        <v>anh trí</v>
      </c>
      <c r="C481" s="121" t="str">
        <f>IFERROR(__xludf.DUMMYFUNCTION("""COMPUTED_VALUE"""),"59/240 lý nam đế")</f>
        <v>59/240 lý nam đế</v>
      </c>
      <c r="D481" s="121" t="str">
        <f>IFERROR(__xludf.DUMMYFUNCTION("""COMPUTED_VALUE"""),"chó")</f>
        <v>chó</v>
      </c>
      <c r="E481" s="121"/>
    </row>
    <row r="482" ht="15.75" customHeight="1">
      <c r="A482" s="128" t="str">
        <f>IFERROR(__xludf.DUMMYFUNCTION("""COMPUTED_VALUE"""),"0984 114 407")</f>
        <v>0984 114 407</v>
      </c>
      <c r="B482" s="127" t="str">
        <f>IFERROR(__xludf.DUMMYFUNCTION("""COMPUTED_VALUE"""),"Thầy Tinh ")</f>
        <v>Thầy Tinh </v>
      </c>
      <c r="C482" s="127" t="str">
        <f>IFERROR(__xludf.DUMMYFUNCTION("""COMPUTED_VALUE"""),"chùa Từ Hiếu")</f>
        <v>chùa Từ Hiếu</v>
      </c>
      <c r="D482" s="127" t="str">
        <f>IFERROR(__xludf.DUMMYFUNCTION("""COMPUTED_VALUE"""),"chó")</f>
        <v>chó</v>
      </c>
      <c r="E482" s="127" t="str">
        <f>IFERROR(__xludf.DUMMYFUNCTION("""COMPUTED_VALUE"""),"Ken")</f>
        <v>Ken</v>
      </c>
    </row>
    <row r="483" ht="15.75" customHeight="1">
      <c r="A483" s="120" t="str">
        <f>IFERROR(__xludf.DUMMYFUNCTION("""COMPUTED_VALUE"""),"0906 566 226")</f>
        <v>0906 566 226</v>
      </c>
      <c r="B483" s="121" t="str">
        <f>IFERROR(__xludf.DUMMYFUNCTION("""COMPUTED_VALUE"""),"Chị nhi")</f>
        <v>Chị nhi</v>
      </c>
      <c r="C483" s="121" t="str">
        <f>IFERROR(__xludf.DUMMYFUNCTION("""COMPUTED_VALUE"""),"203 Chi Lăng")</f>
        <v>203 Chi Lăng</v>
      </c>
      <c r="D483" s="121" t="str">
        <f>IFERROR(__xludf.DUMMYFUNCTION("""COMPUTED_VALUE"""),"Mèo")</f>
        <v>Mèo</v>
      </c>
      <c r="E483" s="121"/>
    </row>
    <row r="484" ht="15.75" customHeight="1">
      <c r="A484" s="128" t="str">
        <f>IFERROR(__xludf.DUMMYFUNCTION("""COMPUTED_VALUE"""),"0935 291 288")</f>
        <v>0935 291 288</v>
      </c>
      <c r="B484" s="127" t="str">
        <f>IFERROR(__xludf.DUMMYFUNCTION("""COMPUTED_VALUE"""),"anh Hoàn")</f>
        <v>anh Hoàn</v>
      </c>
      <c r="C484" s="127" t="str">
        <f>IFERROR(__xludf.DUMMYFUNCTION("""COMPUTED_VALUE"""),"170 Lý Nam Đế")</f>
        <v>170 Lý Nam Đế</v>
      </c>
      <c r="D484" s="127" t="str">
        <f>IFERROR(__xludf.DUMMYFUNCTION("""COMPUTED_VALUE"""),"chó")</f>
        <v>chó</v>
      </c>
      <c r="E484" s="127" t="str">
        <f>IFERROR(__xludf.DUMMYFUNCTION("""COMPUTED_VALUE"""),"Mập")</f>
        <v>Mập</v>
      </c>
    </row>
    <row r="485" ht="15.75" customHeight="1">
      <c r="A485" s="128" t="str">
        <f>IFERROR(__xludf.DUMMYFUNCTION("""COMPUTED_VALUE"""),"0934 930 200")</f>
        <v>0934 930 200</v>
      </c>
      <c r="B485" s="127" t="str">
        <f>IFERROR(__xludf.DUMMYFUNCTION("""COMPUTED_VALUE"""),"em Mây")</f>
        <v>em Mây</v>
      </c>
      <c r="C485" s="127" t="str">
        <f>IFERROR(__xludf.DUMMYFUNCTION("""COMPUTED_VALUE"""),"98/6 Nguyễn Phúc Nguyên ")</f>
        <v>98/6 Nguyễn Phúc Nguyên </v>
      </c>
      <c r="D485" s="127" t="str">
        <f>IFERROR(__xludf.DUMMYFUNCTION("""COMPUTED_VALUE"""),"mèo")</f>
        <v>mèo</v>
      </c>
      <c r="E485" s="127" t="str">
        <f>IFERROR(__xludf.DUMMYFUNCTION("""COMPUTED_VALUE"""),"Lạc")</f>
        <v>Lạc</v>
      </c>
    </row>
    <row r="486" ht="15.75" customHeight="1">
      <c r="A486" s="120" t="str">
        <f>IFERROR(__xludf.DUMMYFUNCTION("""COMPUTED_VALUE"""),"0768 551 482")</f>
        <v>0768 551 482</v>
      </c>
      <c r="B486" s="121" t="str">
        <f>IFERROR(__xludf.DUMMYFUNCTION("""COMPUTED_VALUE"""),"Em Thiện Nhân")</f>
        <v>Em Thiện Nhân</v>
      </c>
      <c r="C486" s="121" t="str">
        <f>IFERROR(__xludf.DUMMYFUNCTION("""COMPUTED_VALUE"""),"20 Nguyễn Hữu Đính")</f>
        <v>20 Nguyễn Hữu Đính</v>
      </c>
      <c r="D486" s="121" t="str">
        <f>IFERROR(__xludf.DUMMYFUNCTION("""COMPUTED_VALUE"""),"mèo")</f>
        <v>mèo</v>
      </c>
      <c r="E486" s="119" t="str">
        <f>IFERROR(__xludf.DUMMYFUNCTION("""COMPUTED_VALUE"""),"Mimi")</f>
        <v>Mimi</v>
      </c>
    </row>
    <row r="487" ht="15.75" customHeight="1">
      <c r="A487" s="128" t="str">
        <f>IFERROR(__xludf.DUMMYFUNCTION("""COMPUTED_VALUE"""),"0372 352 379")</f>
        <v>0372 352 379</v>
      </c>
      <c r="B487" s="127" t="str">
        <f>IFERROR(__xludf.DUMMYFUNCTION("""COMPUTED_VALUE"""),"Em Chi")</f>
        <v>Em Chi</v>
      </c>
      <c r="C487" s="127"/>
      <c r="D487" s="127" t="str">
        <f>IFERROR(__xludf.DUMMYFUNCTION("""COMPUTED_VALUE"""),"Mèo")</f>
        <v>Mèo</v>
      </c>
      <c r="E487" s="119" t="str">
        <f>IFERROR(__xludf.DUMMYFUNCTION("""COMPUTED_VALUE"""),"Bơ")</f>
        <v>Bơ</v>
      </c>
    </row>
    <row r="488" ht="15.75" customHeight="1">
      <c r="A488" s="120" t="str">
        <f>IFERROR(__xludf.DUMMYFUNCTION("""COMPUTED_VALUE"""),"0386 286 795")</f>
        <v>0386 286 795</v>
      </c>
      <c r="B488" s="121" t="str">
        <f>IFERROR(__xludf.DUMMYFUNCTION("""COMPUTED_VALUE"""),"Anh Sơn")</f>
        <v>Anh Sơn</v>
      </c>
      <c r="C488" s="121" t="str">
        <f>IFERROR(__xludf.DUMMYFUNCTION("""COMPUTED_VALUE"""),"Thích Tịnh Khiết")</f>
        <v>Thích Tịnh Khiết</v>
      </c>
      <c r="D488" s="121" t="str">
        <f>IFERROR(__xludf.DUMMYFUNCTION("""COMPUTED_VALUE"""),"Mèo")</f>
        <v>Mèo</v>
      </c>
      <c r="E488" s="121" t="str">
        <f>IFERROR(__xludf.DUMMYFUNCTION("""COMPUTED_VALUE"""),"ko tên")</f>
        <v>ko tên</v>
      </c>
    </row>
    <row r="489" ht="15.75" customHeight="1">
      <c r="A489" s="120" t="str">
        <f>IFERROR(__xludf.DUMMYFUNCTION("""COMPUTED_VALUE"""),"0975 767 575")</f>
        <v>0975 767 575</v>
      </c>
      <c r="B489" s="121" t="str">
        <f>IFERROR(__xludf.DUMMYFUNCTION("""COMPUTED_VALUE"""),"chị Như")</f>
        <v>chị Như</v>
      </c>
      <c r="C489" s="121" t="str">
        <f>IFERROR(__xludf.DUMMYFUNCTION("""COMPUTED_VALUE"""),"Đ 49- Phạm Văn Đồng ")</f>
        <v>Đ 49- Phạm Văn Đồng </v>
      </c>
      <c r="D489" s="121" t="str">
        <f>IFERROR(__xludf.DUMMYFUNCTION("""COMPUTED_VALUE"""),"mèo")</f>
        <v>mèo</v>
      </c>
      <c r="E489" s="119" t="str">
        <f>IFERROR(__xludf.DUMMYFUNCTION("""COMPUTED_VALUE"""),"Vàng")</f>
        <v>Vàng</v>
      </c>
    </row>
    <row r="490" ht="15.75" customHeight="1">
      <c r="A490" s="128" t="str">
        <f>IFERROR(__xludf.DUMMYFUNCTION("""COMPUTED_VALUE"""),"0786 544 640")</f>
        <v>0786 544 640</v>
      </c>
      <c r="B490" s="127" t="str">
        <f>IFERROR(__xludf.DUMMYFUNCTION("""COMPUTED_VALUE"""),"anh Thắng")</f>
        <v>anh Thắng</v>
      </c>
      <c r="C490" s="127" t="str">
        <f>IFERROR(__xludf.DUMMYFUNCTION("""COMPUTED_VALUE"""),"k35/4/8 Nguyễn Phúc Lan")</f>
        <v>k35/4/8 Nguyễn Phúc Lan</v>
      </c>
      <c r="D490" s="127" t="str">
        <f>IFERROR(__xludf.DUMMYFUNCTION("""COMPUTED_VALUE"""),"chó")</f>
        <v>chó</v>
      </c>
      <c r="E490" s="127" t="str">
        <f>IFERROR(__xludf.DUMMYFUNCTION("""COMPUTED_VALUE"""),"Gấu")</f>
        <v>Gấu</v>
      </c>
    </row>
    <row r="491" ht="15.75" customHeight="1">
      <c r="A491" s="128" t="str">
        <f>IFERROR(__xludf.DUMMYFUNCTION("""COMPUTED_VALUE"""),"0762 674 193")</f>
        <v>0762 674 193</v>
      </c>
      <c r="B491" s="127" t="str">
        <f>IFERROR(__xludf.DUMMYFUNCTION("""COMPUTED_VALUE"""),"anh Quang")</f>
        <v>anh Quang</v>
      </c>
      <c r="C491" s="127" t="str">
        <f>IFERROR(__xludf.DUMMYFUNCTION("""COMPUTED_VALUE"""),"Đông Hà, Quảng Trị")</f>
        <v>Đông Hà, Quảng Trị</v>
      </c>
      <c r="D491" s="127" t="str">
        <f>IFERROR(__xludf.DUMMYFUNCTION("""COMPUTED_VALUE"""),"chó")</f>
        <v>chó</v>
      </c>
      <c r="E491" s="127"/>
    </row>
    <row r="492" ht="15.75" customHeight="1">
      <c r="A492" s="128" t="str">
        <f>IFERROR(__xludf.DUMMYFUNCTION("""COMPUTED_VALUE"""),"0944 496 292")</f>
        <v>0944 496 292</v>
      </c>
      <c r="B492" s="127" t="str">
        <f>IFERROR(__xludf.DUMMYFUNCTION("""COMPUTED_VALUE"""),"Trần Trọng Hồng")</f>
        <v>Trần Trọng Hồng</v>
      </c>
      <c r="C492" s="127" t="str">
        <f>IFERROR(__xludf.DUMMYFUNCTION("""COMPUTED_VALUE"""),"1 kiệt 38 Tịnh Tâm")</f>
        <v>1 kiệt 38 Tịnh Tâm</v>
      </c>
      <c r="D492" s="127" t="str">
        <f>IFERROR(__xludf.DUMMYFUNCTION("""COMPUTED_VALUE"""),"chó")</f>
        <v>chó</v>
      </c>
      <c r="E492" s="127"/>
    </row>
    <row r="493" ht="15.75" customHeight="1">
      <c r="A493" s="128" t="str">
        <f>IFERROR(__xludf.DUMMYFUNCTION("""COMPUTED_VALUE"""),"0706 201 539")</f>
        <v>0706 201 539</v>
      </c>
      <c r="B493" s="127" t="str">
        <f>IFERROR(__xludf.DUMMYFUNCTION("""COMPUTED_VALUE"""),"chị Mừng")</f>
        <v>chị Mừng</v>
      </c>
      <c r="C493" s="127" t="str">
        <f>IFERROR(__xludf.DUMMYFUNCTION("""COMPUTED_VALUE"""),"74 Vạn Xuân")</f>
        <v>74 Vạn Xuân</v>
      </c>
      <c r="D493" s="127" t="str">
        <f>IFERROR(__xludf.DUMMYFUNCTION("""COMPUTED_VALUE"""),"chó")</f>
        <v>chó</v>
      </c>
      <c r="E493" s="127" t="str">
        <f>IFERROR(__xludf.DUMMYFUNCTION("""COMPUTED_VALUE"""),"Xù")</f>
        <v>Xù</v>
      </c>
    </row>
    <row r="494" ht="15.75" customHeight="1">
      <c r="A494" s="120" t="str">
        <f>IFERROR(__xludf.DUMMYFUNCTION("""COMPUTED_VALUE"""),"0369 196 726")</f>
        <v>0369 196 726</v>
      </c>
      <c r="B494" s="121" t="str">
        <f>IFERROR(__xludf.DUMMYFUNCTION("""COMPUTED_VALUE"""),"Linh Diễm Bảo,chị Nhi")</f>
        <v>Linh Diễm Bảo,chị Nhi</v>
      </c>
      <c r="C494" s="121" t="str">
        <f>IFERROR(__xludf.DUMMYFUNCTION("""COMPUTED_VALUE"""),"Văn Thánh")</f>
        <v>Văn Thánh</v>
      </c>
      <c r="D494" s="121" t="str">
        <f>IFERROR(__xludf.DUMMYFUNCTION("""COMPUTED_VALUE"""),"chó")</f>
        <v>chó</v>
      </c>
      <c r="E494" s="121" t="str">
        <f>IFERROR(__xludf.DUMMYFUNCTION("""COMPUTED_VALUE"""),"Nu")</f>
        <v>Nu</v>
      </c>
    </row>
    <row r="495" ht="15.75" customHeight="1">
      <c r="A495" s="120" t="str">
        <f>IFERROR(__xludf.DUMMYFUNCTION("""COMPUTED_VALUE"""),"0379 90 1079")</f>
        <v>0379 90 1079</v>
      </c>
      <c r="B495" s="121" t="str">
        <f>IFERROR(__xludf.DUMMYFUNCTION("""COMPUTED_VALUE"""),"chị Minh Phương")</f>
        <v>chị Minh Phương</v>
      </c>
      <c r="C495" s="121" t="str">
        <f>IFERROR(__xludf.DUMMYFUNCTION("""COMPUTED_VALUE"""),"37 Dương Văn An")</f>
        <v>37 Dương Văn An</v>
      </c>
      <c r="D495" s="121"/>
      <c r="E495" s="121" t="str">
        <f>IFERROR(__xludf.DUMMYFUNCTION("""COMPUTED_VALUE"""),"Gấu")</f>
        <v>Gấu</v>
      </c>
    </row>
    <row r="496" ht="15.75" customHeight="1">
      <c r="A496" s="120" t="str">
        <f>IFERROR(__xludf.DUMMYFUNCTION("""COMPUTED_VALUE"""),"0348 506 846")</f>
        <v>0348 506 846</v>
      </c>
      <c r="B496" s="121" t="str">
        <f>IFERROR(__xludf.DUMMYFUNCTION("""COMPUTED_VALUE"""),"em Huy Hoàng")</f>
        <v>em Huy Hoàng</v>
      </c>
      <c r="C496" s="121" t="str">
        <f>IFERROR(__xludf.DUMMYFUNCTION("""COMPUTED_VALUE"""),"7/98 Nguyễn Phúc Thái")</f>
        <v>7/98 Nguyễn Phúc Thái</v>
      </c>
      <c r="D496" s="121" t="str">
        <f>IFERROR(__xludf.DUMMYFUNCTION("""COMPUTED_VALUE"""),"chó")</f>
        <v>chó</v>
      </c>
      <c r="E496" s="121" t="str">
        <f>IFERROR(__xludf.DUMMYFUNCTION("""COMPUTED_VALUE"""),"Vàng")</f>
        <v>Vàng</v>
      </c>
    </row>
    <row r="497" ht="15.75" customHeight="1">
      <c r="A497" s="120" t="str">
        <f>IFERROR(__xludf.DUMMYFUNCTION("""COMPUTED_VALUE"""),"0945 375 647")</f>
        <v>0945 375 647</v>
      </c>
      <c r="B497" s="121" t="str">
        <f>IFERROR(__xludf.DUMMYFUNCTION("""COMPUTED_VALUE"""),"Anh Ân")</f>
        <v>Anh Ân</v>
      </c>
      <c r="C497" s="121" t="str">
        <f>IFERROR(__xludf.DUMMYFUNCTION("""COMPUTED_VALUE"""),"9/3/10 Lý Nam Đế")</f>
        <v>9/3/10 Lý Nam Đế</v>
      </c>
      <c r="D497" s="121" t="str">
        <f>IFERROR(__xludf.DUMMYFUNCTION("""COMPUTED_VALUE"""),"Mèo")</f>
        <v>Mèo</v>
      </c>
      <c r="E497" s="121" t="str">
        <f>IFERROR(__xludf.DUMMYFUNCTION("""COMPUTED_VALUE"""),"Bơ ")</f>
        <v>Bơ </v>
      </c>
    </row>
    <row r="498" ht="15.75" customHeight="1">
      <c r="A498" s="120" t="str">
        <f>IFERROR(__xludf.DUMMYFUNCTION("""COMPUTED_VALUE"""),"0914 078 695")</f>
        <v>0914 078 695</v>
      </c>
      <c r="B498" s="121" t="str">
        <f>IFERROR(__xludf.DUMMYFUNCTION("""COMPUTED_VALUE"""),"em Hương")</f>
        <v>em Hương</v>
      </c>
      <c r="C498" s="121"/>
      <c r="D498" s="121" t="str">
        <f>IFERROR(__xludf.DUMMYFUNCTION("""COMPUTED_VALUE"""),"chó")</f>
        <v>chó</v>
      </c>
      <c r="E498" s="121" t="str">
        <f>IFERROR(__xludf.DUMMYFUNCTION("""COMPUTED_VALUE"""),"Chồi")</f>
        <v>Chồi</v>
      </c>
    </row>
    <row r="499" ht="15.75" customHeight="1">
      <c r="A499" s="128" t="str">
        <f>IFERROR(__xludf.DUMMYFUNCTION("""COMPUTED_VALUE"""),"0914 037 557")</f>
        <v>0914 037 557</v>
      </c>
      <c r="B499" s="127" t="str">
        <f>IFERROR(__xludf.DUMMYFUNCTION("""COMPUTED_VALUE"""),"Phan Công Hùng")</f>
        <v>Phan Công Hùng</v>
      </c>
      <c r="C499" s="127" t="str">
        <f>IFERROR(__xludf.DUMMYFUNCTION("""COMPUTED_VALUE"""),"CC Hải Quan cửa khẩu La Lay, Q TRị")</f>
        <v>CC Hải Quan cửa khẩu La Lay, Q TRị</v>
      </c>
      <c r="D499" s="127" t="str">
        <f>IFERROR(__xludf.DUMMYFUNCTION("""COMPUTED_VALUE"""),"chó")</f>
        <v>chó</v>
      </c>
      <c r="E499" s="127" t="str">
        <f>IFERROR(__xludf.DUMMYFUNCTION("""COMPUTED_VALUE"""),"Mít")</f>
        <v>Mít</v>
      </c>
    </row>
    <row r="500" ht="15.75" customHeight="1">
      <c r="A500" s="120" t="str">
        <f>IFERROR(__xludf.DUMMYFUNCTION("""COMPUTED_VALUE"""),"0935 349 475")</f>
        <v>0935 349 475</v>
      </c>
      <c r="B500" s="121" t="str">
        <f>IFERROR(__xludf.DUMMYFUNCTION("""COMPUTED_VALUE"""),"anh Quý")</f>
        <v>anh Quý</v>
      </c>
      <c r="C500" s="121" t="str">
        <f>IFERROR(__xludf.DUMMYFUNCTION("""COMPUTED_VALUE"""),"Kim Long")</f>
        <v>Kim Long</v>
      </c>
      <c r="D500" s="121" t="str">
        <f>IFERROR(__xludf.DUMMYFUNCTION("""COMPUTED_VALUE"""),"chó ")</f>
        <v>chó </v>
      </c>
      <c r="E500" s="119" t="str">
        <f>IFERROR(__xludf.DUMMYFUNCTION("""COMPUTED_VALUE"""),"Reng")</f>
        <v>Reng</v>
      </c>
    </row>
    <row r="501" ht="15.75" customHeight="1">
      <c r="A501" s="128" t="str">
        <f>IFERROR(__xludf.DUMMYFUNCTION("""COMPUTED_VALUE"""),"0975 497 591")</f>
        <v>0975 497 591</v>
      </c>
      <c r="B501" s="127" t="str">
        <f>IFERROR(__xludf.DUMMYFUNCTION("""COMPUTED_VALUE"""),"chị Quyên")</f>
        <v>chị Quyên</v>
      </c>
      <c r="C501" s="127" t="str">
        <f>IFERROR(__xludf.DUMMYFUNCTION("""COMPUTED_VALUE"""),"105 Minh Mạng")</f>
        <v>105 Minh Mạng</v>
      </c>
      <c r="D501" s="127" t="str">
        <f>IFERROR(__xludf.DUMMYFUNCTION("""COMPUTED_VALUE"""),"chó")</f>
        <v>chó</v>
      </c>
      <c r="E501" s="119" t="str">
        <f>IFERROR(__xludf.DUMMYFUNCTION("""COMPUTED_VALUE"""),"Ki")</f>
        <v>Ki</v>
      </c>
    </row>
    <row r="502" ht="15.75" customHeight="1">
      <c r="A502" s="120" t="str">
        <f>IFERROR(__xludf.DUMMYFUNCTION("""COMPUTED_VALUE"""),"0862 805 945")</f>
        <v>0862 805 945</v>
      </c>
      <c r="B502" s="121" t="str">
        <f>IFERROR(__xludf.DUMMYFUNCTION("""COMPUTED_VALUE"""),"chị Thu")</f>
        <v>chị Thu</v>
      </c>
      <c r="C502" s="121" t="str">
        <f>IFERROR(__xludf.DUMMYFUNCTION("""COMPUTED_VALUE"""),"Tổ 7, kv3, Hương Hòa")</f>
        <v>Tổ 7, kv3, Hương Hòa</v>
      </c>
      <c r="D502" s="121" t="str">
        <f>IFERROR(__xludf.DUMMYFUNCTION("""COMPUTED_VALUE"""),"chó")</f>
        <v>chó</v>
      </c>
      <c r="E502" s="121" t="str">
        <f>IFERROR(__xludf.DUMMYFUNCTION("""COMPUTED_VALUE"""),"Vila")</f>
        <v>Vila</v>
      </c>
    </row>
    <row r="503" ht="15.75" customHeight="1">
      <c r="A503" s="128" t="str">
        <f>IFERROR(__xludf.DUMMYFUNCTION("""COMPUTED_VALUE"""),"0762 510 430")</f>
        <v>0762 510 430</v>
      </c>
      <c r="B503" s="127" t="str">
        <f>IFERROR(__xludf.DUMMYFUNCTION("""COMPUTED_VALUE"""),"em Nhi")</f>
        <v>em Nhi</v>
      </c>
      <c r="C503" s="127" t="str">
        <f>IFERROR(__xludf.DUMMYFUNCTION("""COMPUTED_VALUE"""),"13 Nguyễn Lộ Trạch")</f>
        <v>13 Nguyễn Lộ Trạch</v>
      </c>
      <c r="D503" s="127" t="str">
        <f>IFERROR(__xludf.DUMMYFUNCTION("""COMPUTED_VALUE"""),"chó ")</f>
        <v>chó </v>
      </c>
      <c r="E503" s="119" t="str">
        <f>IFERROR(__xludf.DUMMYFUNCTION("""COMPUTED_VALUE"""),"Kiki")</f>
        <v>Kiki</v>
      </c>
    </row>
    <row r="504" ht="15.75" customHeight="1">
      <c r="A504" s="120" t="str">
        <f>IFERROR(__xludf.DUMMYFUNCTION("""COMPUTED_VALUE"""),"0858 430 194")</f>
        <v>0858 430 194</v>
      </c>
      <c r="B504" s="121" t="str">
        <f>IFERROR(__xludf.DUMMYFUNCTION("""COMPUTED_VALUE"""),"Chị Hân")</f>
        <v>Chị Hân</v>
      </c>
      <c r="C504" s="121" t="str">
        <f>IFERROR(__xludf.DUMMYFUNCTION("""COMPUTED_VALUE"""),"52 Hải Triều")</f>
        <v>52 Hải Triều</v>
      </c>
      <c r="D504" s="121" t="str">
        <f>IFERROR(__xludf.DUMMYFUNCTION("""COMPUTED_VALUE"""),"Mèo")</f>
        <v>Mèo</v>
      </c>
      <c r="E504" s="132" t="str">
        <f>IFERROR(__xludf.DUMMYFUNCTION("""COMPUTED_VALUE"""),"Cải")</f>
        <v>Cải</v>
      </c>
    </row>
    <row r="505" ht="15.75" customHeight="1">
      <c r="A505" s="128" t="str">
        <f>IFERROR(__xludf.DUMMYFUNCTION("""COMPUTED_VALUE"""),"0867 743 150")</f>
        <v>0867 743 150</v>
      </c>
      <c r="B505" s="127" t="str">
        <f>IFERROR(__xludf.DUMMYFUNCTION("""COMPUTED_VALUE"""),"Cô Khương")</f>
        <v>Cô Khương</v>
      </c>
      <c r="C505" s="127" t="str">
        <f>IFERROR(__xludf.DUMMYFUNCTION("""COMPUTED_VALUE"""),"64 Ngọc Hồ")</f>
        <v>64 Ngọc Hồ</v>
      </c>
      <c r="D505" s="127" t="str">
        <f>IFERROR(__xludf.DUMMYFUNCTION("""COMPUTED_VALUE"""),"chó")</f>
        <v>chó</v>
      </c>
      <c r="E505" s="127" t="str">
        <f>IFERROR(__xludf.DUMMYFUNCTION("""COMPUTED_VALUE"""),"Silent")</f>
        <v>Silent</v>
      </c>
    </row>
    <row r="506" ht="15.75" customHeight="1">
      <c r="A506" s="128" t="str">
        <f>IFERROR(__xludf.DUMMYFUNCTION("""COMPUTED_VALUE"""),"0852 592 092")</f>
        <v>0852 592 092</v>
      </c>
      <c r="B506" s="127" t="str">
        <f>IFERROR(__xludf.DUMMYFUNCTION("""COMPUTED_VALUE"""),"Dì Loan")</f>
        <v>Dì Loan</v>
      </c>
      <c r="C506" s="127" t="str">
        <f>IFERROR(__xludf.DUMMYFUNCTION("""COMPUTED_VALUE"""),"67 Trần Quốc Toản")</f>
        <v>67 Trần Quốc Toản</v>
      </c>
      <c r="D506" s="127" t="str">
        <f>IFERROR(__xludf.DUMMYFUNCTION("""COMPUTED_VALUE"""),"Chó ")</f>
        <v>Chó </v>
      </c>
      <c r="E506" s="127" t="str">
        <f>IFERROR(__xludf.DUMMYFUNCTION("""COMPUTED_VALUE"""),"Milo")</f>
        <v>Milo</v>
      </c>
    </row>
    <row r="507" ht="15.75" customHeight="1">
      <c r="A507" s="128" t="str">
        <f>IFERROR(__xludf.DUMMYFUNCTION("""COMPUTED_VALUE"""),"0398 832 462")</f>
        <v>0398 832 462</v>
      </c>
      <c r="B507" s="127" t="str">
        <f>IFERROR(__xludf.DUMMYFUNCTION("""COMPUTED_VALUE"""),"Chị Hồng Vân")</f>
        <v>Chị Hồng Vân</v>
      </c>
      <c r="C507" s="127" t="str">
        <f>IFERROR(__xludf.DUMMYFUNCTION("""COMPUTED_VALUE"""),"11/2 Nguyễn Phúc Lan")</f>
        <v>11/2 Nguyễn Phúc Lan</v>
      </c>
      <c r="D507" s="127" t="str">
        <f>IFERROR(__xludf.DUMMYFUNCTION("""COMPUTED_VALUE"""),"Chó ")</f>
        <v>Chó </v>
      </c>
      <c r="E507" s="119" t="str">
        <f>IFERROR(__xludf.DUMMYFUNCTION("""COMPUTED_VALUE"""),"Gấu")</f>
        <v>Gấu</v>
      </c>
    </row>
    <row r="508" ht="15.75" customHeight="1">
      <c r="A508" s="128" t="str">
        <f>IFERROR(__xludf.DUMMYFUNCTION("""COMPUTED_VALUE"""),"0366 817 756")</f>
        <v>0366 817 756</v>
      </c>
      <c r="B508" s="127" t="str">
        <f>IFERROR(__xludf.DUMMYFUNCTION("""COMPUTED_VALUE"""),"Chị Hà")</f>
        <v>Chị Hà</v>
      </c>
      <c r="C508" s="127" t="str">
        <f>IFERROR(__xludf.DUMMYFUNCTION("""COMPUTED_VALUE"""),"Kiệt 143 Long Hồ")</f>
        <v>Kiệt 143 Long Hồ</v>
      </c>
      <c r="D508" s="127" t="str">
        <f>IFERROR(__xludf.DUMMYFUNCTION("""COMPUTED_VALUE"""),"Chó")</f>
        <v>Chó</v>
      </c>
      <c r="E508" s="127" t="str">
        <f>IFERROR(__xludf.DUMMYFUNCTION("""COMPUTED_VALUE"""),"Xì dầu")</f>
        <v>Xì dầu</v>
      </c>
    </row>
    <row r="509" ht="15.75" customHeight="1">
      <c r="A509" s="128" t="str">
        <f>IFERROR(__xludf.DUMMYFUNCTION("""COMPUTED_VALUE"""),"0935 786 677")</f>
        <v>0935 786 677</v>
      </c>
      <c r="B509" s="127" t="str">
        <f>IFERROR(__xludf.DUMMYFUNCTION("""COMPUTED_VALUE"""),"Anh Hữu Ý")</f>
        <v>Anh Hữu Ý</v>
      </c>
      <c r="C509" s="127" t="str">
        <f>IFERROR(__xludf.DUMMYFUNCTION("""COMPUTED_VALUE"""),"79/13 Phạm Thị Liên")</f>
        <v>79/13 Phạm Thị Liên</v>
      </c>
      <c r="D509" s="127" t="str">
        <f>IFERROR(__xludf.DUMMYFUNCTION("""COMPUTED_VALUE"""),"Chó")</f>
        <v>Chó</v>
      </c>
      <c r="E509" s="119" t="str">
        <f>IFERROR(__xludf.DUMMYFUNCTION("""COMPUTED_VALUE"""),"Rốt")</f>
        <v>Rốt</v>
      </c>
    </row>
    <row r="510" ht="15.75" customHeight="1">
      <c r="A510" s="128" t="str">
        <f>IFERROR(__xludf.DUMMYFUNCTION("""COMPUTED_VALUE"""),"0327 549 623")</f>
        <v>0327 549 623</v>
      </c>
      <c r="B510" s="133" t="str">
        <f>IFERROR(__xludf.DUMMYFUNCTION("""COMPUTED_VALUE"""),"Chị Bông")</f>
        <v>Chị Bông</v>
      </c>
      <c r="C510" s="127" t="str">
        <f>IFERROR(__xludf.DUMMYFUNCTION("""COMPUTED_VALUE"""),"9/1 kiệt 40 Lý Nam Đế")</f>
        <v>9/1 kiệt 40 Lý Nam Đế</v>
      </c>
      <c r="D510" s="127" t="str">
        <f>IFERROR(__xludf.DUMMYFUNCTION("""COMPUTED_VALUE"""),"Chó")</f>
        <v>Chó</v>
      </c>
      <c r="E510" s="127" t="str">
        <f>IFERROR(__xludf.DUMMYFUNCTION("""COMPUTED_VALUE"""),"Gấu")</f>
        <v>Gấu</v>
      </c>
    </row>
    <row r="511" ht="15.75" customHeight="1">
      <c r="A511" s="120" t="str">
        <f>IFERROR(__xludf.DUMMYFUNCTION("""COMPUTED_VALUE"""),"0903 500 357")</f>
        <v>0903 500 357</v>
      </c>
      <c r="B511" s="121" t="str">
        <f>IFERROR(__xludf.DUMMYFUNCTION("""COMPUTED_VALUE"""),"Bác Minh-sếp cô Liên")</f>
        <v>Bác Minh-sếp cô Liên</v>
      </c>
      <c r="C511" s="121" t="str">
        <f>IFERROR(__xludf.DUMMYFUNCTION("""COMPUTED_VALUE"""),"16 Kiệt 103 Nhật Lệ")</f>
        <v>16 Kiệt 103 Nhật Lệ</v>
      </c>
      <c r="D511" s="121" t="str">
        <f>IFERROR(__xludf.DUMMYFUNCTION("""COMPUTED_VALUE"""),"chó")</f>
        <v>chó</v>
      </c>
      <c r="E511" s="121" t="str">
        <f>IFERROR(__xludf.DUMMYFUNCTION("""COMPUTED_VALUE"""),"Bơ ")</f>
        <v>Bơ </v>
      </c>
    </row>
    <row r="512" ht="15.75" customHeight="1">
      <c r="A512" s="120" t="str">
        <f>IFERROR(__xludf.DUMMYFUNCTION("""COMPUTED_VALUE"""),"0969 288 464")</f>
        <v>0969 288 464</v>
      </c>
      <c r="B512" s="121" t="str">
        <f>IFERROR(__xludf.DUMMYFUNCTION("""COMPUTED_VALUE"""),"Anh Bảng")</f>
        <v>Anh Bảng</v>
      </c>
      <c r="C512" s="121" t="str">
        <f>IFERROR(__xludf.DUMMYFUNCTION("""COMPUTED_VALUE"""),"Hương An")</f>
        <v>Hương An</v>
      </c>
      <c r="D512" s="121" t="str">
        <f>IFERROR(__xludf.DUMMYFUNCTION("""COMPUTED_VALUE"""),"Chó")</f>
        <v>Chó</v>
      </c>
      <c r="E512" s="119" t="str">
        <f>IFERROR(__xludf.DUMMYFUNCTION("""COMPUTED_VALUE"""),"Mập")</f>
        <v>Mập</v>
      </c>
    </row>
    <row r="513" ht="15.75" customHeight="1">
      <c r="A513" s="120" t="str">
        <f>IFERROR(__xludf.DUMMYFUNCTION("""COMPUTED_VALUE"""),"0349 151 428")</f>
        <v>0349 151 428</v>
      </c>
      <c r="B513" s="121" t="str">
        <f>IFERROR(__xludf.DUMMYFUNCTION("""COMPUTED_VALUE"""),"Anh nguyên")</f>
        <v>Anh nguyên</v>
      </c>
      <c r="C513" s="121" t="str">
        <f>IFERROR(__xludf.DUMMYFUNCTION("""COMPUTED_VALUE"""),"Tổ dân phố Phường Hương Hồ")</f>
        <v>Tổ dân phố Phường Hương Hồ</v>
      </c>
      <c r="D513" s="121" t="str">
        <f>IFERROR(__xludf.DUMMYFUNCTION("""COMPUTED_VALUE"""),"Chó ")</f>
        <v>Chó </v>
      </c>
      <c r="E513" s="121" t="str">
        <f>IFERROR(__xludf.DUMMYFUNCTION("""COMPUTED_VALUE"""),"Mực")</f>
        <v>Mực</v>
      </c>
    </row>
    <row r="514" ht="15.75" customHeight="1">
      <c r="A514" s="128" t="str">
        <f>IFERROR(__xludf.DUMMYFUNCTION("""COMPUTED_VALUE"""),"0939 866 808")</f>
        <v>0939 866 808</v>
      </c>
      <c r="B514" s="127" t="str">
        <f>IFERROR(__xludf.DUMMYFUNCTION("""COMPUTED_VALUE"""),"Chị Ninh")</f>
        <v>Chị Ninh</v>
      </c>
      <c r="C514" s="127" t="str">
        <f>IFERROR(__xludf.DUMMYFUNCTION("""COMPUTED_VALUE"""),"4/32B Nguyễn Phúc Chu")</f>
        <v>4/32B Nguyễn Phúc Chu</v>
      </c>
      <c r="D514" s="127" t="str">
        <f>IFERROR(__xludf.DUMMYFUNCTION("""COMPUTED_VALUE"""),"Chó")</f>
        <v>Chó</v>
      </c>
      <c r="E514" s="127" t="str">
        <f>IFERROR(__xludf.DUMMYFUNCTION("""COMPUTED_VALUE"""),"Money")</f>
        <v>Money</v>
      </c>
    </row>
    <row r="515" ht="15.75" customHeight="1">
      <c r="A515" s="120" t="str">
        <f>IFERROR(__xludf.DUMMYFUNCTION("""COMPUTED_VALUE"""),"0986 483 880")</f>
        <v>0986 483 880</v>
      </c>
      <c r="B515" s="121" t="str">
        <f>IFERROR(__xludf.DUMMYFUNCTION("""COMPUTED_VALUE"""),"Chú Trung")</f>
        <v>Chú Trung</v>
      </c>
      <c r="C515" s="121" t="str">
        <f>IFERROR(__xludf.DUMMYFUNCTION("""COMPUTED_VALUE"""),"28 Bửu Đình")</f>
        <v>28 Bửu Đình</v>
      </c>
      <c r="D515" s="121" t="str">
        <f>IFERROR(__xludf.DUMMYFUNCTION("""COMPUTED_VALUE"""),"Chó")</f>
        <v>Chó</v>
      </c>
      <c r="E515" s="121" t="str">
        <f>IFERROR(__xludf.DUMMYFUNCTION("""COMPUTED_VALUE"""),"Lu")</f>
        <v>Lu</v>
      </c>
    </row>
    <row r="516" ht="15.75" customHeight="1">
      <c r="A516" s="128" t="str">
        <f>IFERROR(__xludf.DUMMYFUNCTION("""COMPUTED_VALUE"""),"0909 816 297")</f>
        <v>0909 816 297</v>
      </c>
      <c r="B516" s="127" t="str">
        <f>IFERROR(__xludf.DUMMYFUNCTION("""COMPUTED_VALUE"""),"chị Trang")</f>
        <v>chị Trang</v>
      </c>
      <c r="C516" s="127" t="str">
        <f>IFERROR(__xludf.DUMMYFUNCTION("""COMPUTED_VALUE"""),"1k 50 Thiên Thai")</f>
        <v>1k 50 Thiên Thai</v>
      </c>
      <c r="D516" s="127" t="str">
        <f>IFERROR(__xludf.DUMMYFUNCTION("""COMPUTED_VALUE"""),"chó")</f>
        <v>chó</v>
      </c>
      <c r="E516" s="127" t="str">
        <f>IFERROR(__xludf.DUMMYFUNCTION("""COMPUTED_VALUE"""),"đen")</f>
        <v>đen</v>
      </c>
    </row>
    <row r="517" ht="15.75" customHeight="1">
      <c r="A517" s="128" t="str">
        <f>IFERROR(__xludf.DUMMYFUNCTION("""COMPUTED_VALUE"""),"0905 979 936")</f>
        <v>0905 979 936</v>
      </c>
      <c r="B517" s="127" t="str">
        <f>IFERROR(__xludf.DUMMYFUNCTION("""COMPUTED_VALUE"""),"chị Hà")</f>
        <v>chị Hà</v>
      </c>
      <c r="C517" s="127" t="str">
        <f>IFERROR(__xludf.DUMMYFUNCTION("""COMPUTED_VALUE"""),"475 Bùi Thị Xuân")</f>
        <v>475 Bùi Thị Xuân</v>
      </c>
      <c r="D517" s="127" t="str">
        <f>IFERROR(__xludf.DUMMYFUNCTION("""COMPUTED_VALUE"""),"mèo")</f>
        <v>mèo</v>
      </c>
      <c r="E517" s="127"/>
    </row>
    <row r="518" ht="15.75" customHeight="1">
      <c r="A518" s="128" t="str">
        <f>IFERROR(__xludf.DUMMYFUNCTION("""COMPUTED_VALUE"""),"0842 006 975")</f>
        <v>0842 006 975</v>
      </c>
      <c r="B518" s="127" t="str">
        <f>IFERROR(__xludf.DUMMYFUNCTION("""COMPUTED_VALUE"""),"Lê Thị Như Quỳnh")</f>
        <v>Lê Thị Như Quỳnh</v>
      </c>
      <c r="C518" s="127" t="str">
        <f>IFERROR(__xludf.DUMMYFUNCTION("""COMPUTED_VALUE"""),"6/17 Phan Trọng Tịnh")</f>
        <v>6/17 Phan Trọng Tịnh</v>
      </c>
      <c r="D518" s="127" t="str">
        <f>IFERROR(__xludf.DUMMYFUNCTION("""COMPUTED_VALUE"""),"chó")</f>
        <v>chó</v>
      </c>
      <c r="E518" s="127"/>
    </row>
    <row r="519" ht="15.75" customHeight="1">
      <c r="A519" s="128" t="str">
        <f>IFERROR(__xludf.DUMMYFUNCTION("""COMPUTED_VALUE"""),"0772 461 360")</f>
        <v>0772 461 360</v>
      </c>
      <c r="B519" s="127" t="str">
        <f>IFERROR(__xludf.DUMMYFUNCTION("""COMPUTED_VALUE"""),"chị Trang")</f>
        <v>chị Trang</v>
      </c>
      <c r="C519" s="127" t="str">
        <f>IFERROR(__xludf.DUMMYFUNCTION("""COMPUTED_VALUE"""),"Kim Long")</f>
        <v>Kim Long</v>
      </c>
      <c r="D519" s="127" t="str">
        <f>IFERROR(__xludf.DUMMYFUNCTION("""COMPUTED_VALUE"""),"chó")</f>
        <v>chó</v>
      </c>
      <c r="E519" s="127" t="str">
        <f>IFERROR(__xludf.DUMMYFUNCTION("""COMPUTED_VALUE"""),"Leo")</f>
        <v>Leo</v>
      </c>
    </row>
    <row r="520" ht="15.75" customHeight="1">
      <c r="A520" s="120" t="str">
        <f>IFERROR(__xludf.DUMMYFUNCTION("""COMPUTED_VALUE"""),"0989 809 715")</f>
        <v>0989 809 715</v>
      </c>
      <c r="B520" s="121" t="str">
        <f>IFERROR(__xludf.DUMMYFUNCTION("""COMPUTED_VALUE"""),"chị Loan")</f>
        <v>chị Loan</v>
      </c>
      <c r="C520" s="121" t="str">
        <f>IFERROR(__xludf.DUMMYFUNCTION("""COMPUTED_VALUE"""),"Thủy Bằng, Hương Thủy")</f>
        <v>Thủy Bằng, Hương Thủy</v>
      </c>
      <c r="D520" s="121" t="str">
        <f>IFERROR(__xludf.DUMMYFUNCTION("""COMPUTED_VALUE"""),"chó ")</f>
        <v>chó </v>
      </c>
      <c r="E520" s="121" t="str">
        <f>IFERROR(__xludf.DUMMYFUNCTION("""COMPUTED_VALUE"""),"Gạo")</f>
        <v>Gạo</v>
      </c>
    </row>
    <row r="521" ht="15.75" customHeight="1">
      <c r="A521" s="128" t="str">
        <f>IFERROR(__xludf.DUMMYFUNCTION("""COMPUTED_VALUE"""),"0888 932 746")</f>
        <v>0888 932 746</v>
      </c>
      <c r="B521" s="127" t="str">
        <f>IFERROR(__xludf.DUMMYFUNCTION("""COMPUTED_VALUE"""),"Anh Bửu")</f>
        <v>Anh Bửu</v>
      </c>
      <c r="C521" s="127" t="str">
        <f>IFERROR(__xludf.DUMMYFUNCTION("""COMPUTED_VALUE"""),"Hưng Nguyên")</f>
        <v>Hưng Nguyên</v>
      </c>
      <c r="D521" s="127" t="str">
        <f>IFERROR(__xludf.DUMMYFUNCTION("""COMPUTED_VALUE"""),"Chó")</f>
        <v>Chó</v>
      </c>
      <c r="E521" s="119" t="str">
        <f>IFERROR(__xludf.DUMMYFUNCTION("""COMPUTED_VALUE"""),"Tini")</f>
        <v>Tini</v>
      </c>
    </row>
    <row r="522" ht="15.75" customHeight="1">
      <c r="A522" s="120" t="str">
        <f>IFERROR(__xludf.DUMMYFUNCTION("""COMPUTED_VALUE"""),"0944 751 307")</f>
        <v>0944 751 307</v>
      </c>
      <c r="B522" s="129" t="str">
        <f>IFERROR(__xludf.DUMMYFUNCTION("""COMPUTED_VALUE"""),"Chị Diễm")</f>
        <v>Chị Diễm</v>
      </c>
      <c r="C522" s="119" t="str">
        <f>IFERROR(__xludf.DUMMYFUNCTION("""COMPUTED_VALUE"""),"217 Trần Phú")</f>
        <v>217 Trần Phú</v>
      </c>
      <c r="D522" s="121" t="str">
        <f>IFERROR(__xludf.DUMMYFUNCTION("""COMPUTED_VALUE"""),"Chó")</f>
        <v>Chó</v>
      </c>
      <c r="E522" s="121" t="str">
        <f>IFERROR(__xludf.DUMMYFUNCTION("""COMPUTED_VALUE"""),"Sữa")</f>
        <v>Sữa</v>
      </c>
    </row>
    <row r="523" ht="15.75" customHeight="1">
      <c r="A523" s="128" t="str">
        <f>IFERROR(__xludf.DUMMYFUNCTION("""COMPUTED_VALUE"""),"0862 147 390")</f>
        <v>0862 147 390</v>
      </c>
      <c r="B523" s="127" t="str">
        <f>IFERROR(__xludf.DUMMYFUNCTION("""COMPUTED_VALUE"""),"Anh Thiện")</f>
        <v>Anh Thiện</v>
      </c>
      <c r="C523" s="127" t="str">
        <f>IFERROR(__xludf.DUMMYFUNCTION("""COMPUTED_VALUE"""),"283/198 Phan Bội Châu")</f>
        <v>283/198 Phan Bội Châu</v>
      </c>
      <c r="D523" s="127" t="str">
        <f>IFERROR(__xludf.DUMMYFUNCTION("""COMPUTED_VALUE"""),"Mèo")</f>
        <v>Mèo</v>
      </c>
      <c r="E523" s="127" t="str">
        <f>IFERROR(__xludf.DUMMYFUNCTION("""COMPUTED_VALUE"""),"Chanh")</f>
        <v>Chanh</v>
      </c>
    </row>
    <row r="524" ht="15.75" customHeight="1">
      <c r="A524" s="120" t="str">
        <f>IFERROR(__xludf.DUMMYFUNCTION("""COMPUTED_VALUE"""),"0919 504 327")</f>
        <v>0919 504 327</v>
      </c>
      <c r="B524" s="121" t="str">
        <f>IFERROR(__xludf.DUMMYFUNCTION("""COMPUTED_VALUE"""),"Tâm")</f>
        <v>Tâm</v>
      </c>
      <c r="C524" s="121" t="str">
        <f>IFERROR(__xludf.DUMMYFUNCTION("""COMPUTED_VALUE"""),"14 k4 Nguyễn Phúc Nguyên")</f>
        <v>14 k4 Nguyễn Phúc Nguyên</v>
      </c>
      <c r="D524" s="121" t="str">
        <f>IFERROR(__xludf.DUMMYFUNCTION("""COMPUTED_VALUE"""),"chó")</f>
        <v>chó</v>
      </c>
      <c r="E524" s="121" t="str">
        <f>IFERROR(__xludf.DUMMYFUNCTION("""COMPUTED_VALUE"""),"Milu")</f>
        <v>Milu</v>
      </c>
    </row>
    <row r="525" ht="15.75" customHeight="1">
      <c r="A525" s="120" t="str">
        <f>IFERROR(__xludf.DUMMYFUNCTION("""COMPUTED_VALUE"""),"0962 258 311")</f>
        <v>0962 258 311</v>
      </c>
      <c r="B525" s="121" t="str">
        <f>IFERROR(__xludf.DUMMYFUNCTION("""COMPUTED_VALUE"""),"dì Hoa")</f>
        <v>dì Hoa</v>
      </c>
      <c r="C525" s="121" t="str">
        <f>IFERROR(__xludf.DUMMYFUNCTION("""COMPUTED_VALUE"""),"kiệt 240 Lý Nam Đế")</f>
        <v>kiệt 240 Lý Nam Đế</v>
      </c>
      <c r="D525" s="121" t="str">
        <f>IFERROR(__xludf.DUMMYFUNCTION("""COMPUTED_VALUE"""),"chó ")</f>
        <v>chó </v>
      </c>
      <c r="E525" s="121" t="str">
        <f>IFERROR(__xludf.DUMMYFUNCTION("""COMPUTED_VALUE"""),"Sữa")</f>
        <v>Sữa</v>
      </c>
    </row>
    <row r="526" ht="15.75" customHeight="1">
      <c r="A526" s="128" t="str">
        <f>IFERROR(__xludf.DUMMYFUNCTION("""COMPUTED_VALUE"""),"0968 347 169")</f>
        <v>0968 347 169</v>
      </c>
      <c r="B526" s="127" t="str">
        <f>IFERROR(__xludf.DUMMYFUNCTION("""COMPUTED_VALUE"""),"anh Sơn")</f>
        <v>anh Sơn</v>
      </c>
      <c r="C526" s="134" t="str">
        <f>IFERROR(__xludf.DUMMYFUNCTION("""COMPUTED_VALUE"""),"80 Phạm Thị Liên")</f>
        <v>80 Phạm Thị Liên</v>
      </c>
      <c r="D526" s="127" t="str">
        <f>IFERROR(__xludf.DUMMYFUNCTION("""COMPUTED_VALUE"""),"chó")</f>
        <v>chó</v>
      </c>
      <c r="E526" s="127" t="str">
        <f>IFERROR(__xludf.DUMMYFUNCTION("""COMPUTED_VALUE"""),"Ken")</f>
        <v>Ken</v>
      </c>
    </row>
    <row r="527" ht="15.75" customHeight="1">
      <c r="A527" s="120" t="str">
        <f>IFERROR(__xludf.DUMMYFUNCTION("""COMPUTED_VALUE"""),"0383 552 565")</f>
        <v>0383 552 565</v>
      </c>
      <c r="B527" s="121" t="str">
        <f>IFERROR(__xludf.DUMMYFUNCTION("""COMPUTED_VALUE"""),"anh Huy")</f>
        <v>anh Huy</v>
      </c>
      <c r="C527" s="121" t="str">
        <f>IFERROR(__xludf.DUMMYFUNCTION("""COMPUTED_VALUE"""),"128 Phạm Thị Liên")</f>
        <v>128 Phạm Thị Liên</v>
      </c>
      <c r="D527" s="121" t="str">
        <f>IFERROR(__xludf.DUMMYFUNCTION("""COMPUTED_VALUE"""),"chó")</f>
        <v>chó</v>
      </c>
      <c r="E527" s="121" t="str">
        <f>IFERROR(__xludf.DUMMYFUNCTION("""COMPUTED_VALUE"""),"Soái")</f>
        <v>Soái</v>
      </c>
    </row>
    <row r="528" ht="15.75" customHeight="1">
      <c r="A528" s="120" t="str">
        <f>IFERROR(__xludf.DUMMYFUNCTION("""COMPUTED_VALUE"""),"0766 633 230")</f>
        <v>0766 633 230</v>
      </c>
      <c r="B528" s="121" t="str">
        <f>IFERROR(__xludf.DUMMYFUNCTION("""COMPUTED_VALUE"""),"anh Chiến")</f>
        <v>anh Chiến</v>
      </c>
      <c r="C528" s="121" t="str">
        <f>IFERROR(__xludf.DUMMYFUNCTION("""COMPUTED_VALUE"""),"Hương Sơ")</f>
        <v>Hương Sơ</v>
      </c>
      <c r="D528" s="121" t="str">
        <f>IFERROR(__xludf.DUMMYFUNCTION("""COMPUTED_VALUE"""),"mèo")</f>
        <v>mèo</v>
      </c>
      <c r="E528" s="121" t="str">
        <f>IFERROR(__xludf.DUMMYFUNCTION("""COMPUTED_VALUE"""),"Mon")</f>
        <v>Mon</v>
      </c>
    </row>
    <row r="529" ht="15.75" customHeight="1">
      <c r="A529" s="128" t="str">
        <f>IFERROR(__xludf.DUMMYFUNCTION("""COMPUTED_VALUE"""),"0984 155 725")</f>
        <v>0984 155 725</v>
      </c>
      <c r="B529" s="127" t="str">
        <f>IFERROR(__xludf.DUMMYFUNCTION("""COMPUTED_VALUE"""),"anh Hữu")</f>
        <v>anh Hữu</v>
      </c>
      <c r="C529" s="127" t="str">
        <f>IFERROR(__xludf.DUMMYFUNCTION("""COMPUTED_VALUE"""),"Hương Sơ")</f>
        <v>Hương Sơ</v>
      </c>
      <c r="D529" s="127" t="str">
        <f>IFERROR(__xludf.DUMMYFUNCTION("""COMPUTED_VALUE"""),"chó ")</f>
        <v>chó </v>
      </c>
      <c r="E529" s="119"/>
    </row>
    <row r="530" ht="15.75" customHeight="1">
      <c r="A530" s="128" t="str">
        <f>IFERROR(__xludf.DUMMYFUNCTION("""COMPUTED_VALUE"""),"0708 081 825")</f>
        <v>0708 081 825</v>
      </c>
      <c r="B530" s="121" t="str">
        <f>IFERROR(__xludf.DUMMYFUNCTION("""COMPUTED_VALUE"""),"chị Hạnh")</f>
        <v>chị Hạnh</v>
      </c>
      <c r="C530" s="127" t="str">
        <f>IFERROR(__xludf.DUMMYFUNCTION("""COMPUTED_VALUE"""),"38/1 Đào Duy Anh")</f>
        <v>38/1 Đào Duy Anh</v>
      </c>
      <c r="D530" s="127" t="str">
        <f>IFERROR(__xludf.DUMMYFUNCTION("""COMPUTED_VALUE"""),"chó")</f>
        <v>chó</v>
      </c>
      <c r="E530" s="127" t="str">
        <f>IFERROR(__xludf.DUMMYFUNCTION("""COMPUTED_VALUE"""),"Pepsi")</f>
        <v>Pepsi</v>
      </c>
    </row>
    <row r="531" ht="15.75" customHeight="1">
      <c r="A531" s="120" t="str">
        <f>IFERROR(__xludf.DUMMYFUNCTION("""COMPUTED_VALUE"""),"0777 947 756")</f>
        <v>0777 947 756</v>
      </c>
      <c r="B531" s="121" t="str">
        <f>IFERROR(__xludf.DUMMYFUNCTION("""COMPUTED_VALUE"""),"Chị Hằng")</f>
        <v>Chị Hằng</v>
      </c>
      <c r="C531" s="121" t="str">
        <f>IFERROR(__xludf.DUMMYFUNCTION("""COMPUTED_VALUE"""),"62 Tố Hữu")</f>
        <v>62 Tố Hữu</v>
      </c>
      <c r="D531" s="121" t="str">
        <f>IFERROR(__xludf.DUMMYFUNCTION("""COMPUTED_VALUE"""),"Chó")</f>
        <v>Chó</v>
      </c>
      <c r="E531" s="121" t="str">
        <f>IFERROR(__xludf.DUMMYFUNCTION("""COMPUTED_VALUE"""),"Luộc")</f>
        <v>Luộc</v>
      </c>
    </row>
    <row r="532" ht="15.75" customHeight="1">
      <c r="A532" s="128" t="str">
        <f>IFERROR(__xludf.DUMMYFUNCTION("""COMPUTED_VALUE"""),"0888 801 207")</f>
        <v>0888 801 207</v>
      </c>
      <c r="B532" s="127" t="str">
        <f>IFERROR(__xludf.DUMMYFUNCTION("""COMPUTED_VALUE"""),"Anh Thanh")</f>
        <v>Anh Thanh</v>
      </c>
      <c r="C532" s="127" t="str">
        <f>IFERROR(__xludf.DUMMYFUNCTION("""COMPUTED_VALUE"""),"65/68 Lê Ngô CÁt")</f>
        <v>65/68 Lê Ngô CÁt</v>
      </c>
      <c r="D532" s="127" t="str">
        <f>IFERROR(__xludf.DUMMYFUNCTION("""COMPUTED_VALUE"""),"Chó")</f>
        <v>Chó</v>
      </c>
      <c r="E532" s="127" t="str">
        <f>IFERROR(__xludf.DUMMYFUNCTION("""COMPUTED_VALUE"""),"Tôm")</f>
        <v>Tôm</v>
      </c>
    </row>
    <row r="533" ht="15.75" customHeight="1">
      <c r="A533" s="120" t="str">
        <f>IFERROR(__xludf.DUMMYFUNCTION("""COMPUTED_VALUE"""),"0777 581 186")</f>
        <v>0777 581 186</v>
      </c>
      <c r="B533" s="121" t="str">
        <f>IFERROR(__xludf.DUMMYFUNCTION("""COMPUTED_VALUE"""),"Chị Năm")</f>
        <v>Chị Năm</v>
      </c>
      <c r="C533" s="121" t="str">
        <f>IFERROR(__xludf.DUMMYFUNCTION("""COMPUTED_VALUE"""),"39/65/93 Đặng Huy Trứ")</f>
        <v>39/65/93 Đặng Huy Trứ</v>
      </c>
      <c r="D533" s="121" t="str">
        <f>IFERROR(__xludf.DUMMYFUNCTION("""COMPUTED_VALUE"""),"Chó ")</f>
        <v>Chó </v>
      </c>
      <c r="E533" s="121" t="str">
        <f>IFERROR(__xludf.DUMMYFUNCTION("""COMPUTED_VALUE"""),"To")</f>
        <v>To</v>
      </c>
    </row>
    <row r="534" ht="15.75" customHeight="1">
      <c r="A534" s="120" t="str">
        <f>IFERROR(__xludf.DUMMYFUNCTION("""COMPUTED_VALUE"""),"0973 702 955")</f>
        <v>0973 702 955</v>
      </c>
      <c r="B534" s="121" t="str">
        <f>IFERROR(__xludf.DUMMYFUNCTION("""COMPUTED_VALUE"""),"Chị My")</f>
        <v>Chị My</v>
      </c>
      <c r="C534" s="121" t="str">
        <f>IFERROR(__xludf.DUMMYFUNCTION("""COMPUTED_VALUE"""),"4/2/127 Đặng Huy Trứ")</f>
        <v>4/2/127 Đặng Huy Trứ</v>
      </c>
      <c r="D534" s="121" t="str">
        <f>IFERROR(__xludf.DUMMYFUNCTION("""COMPUTED_VALUE"""),"Chó")</f>
        <v>Chó</v>
      </c>
      <c r="E534" s="121" t="str">
        <f>IFERROR(__xludf.DUMMYFUNCTION("""COMPUTED_VALUE"""),"Si")</f>
        <v>Si</v>
      </c>
    </row>
    <row r="535" ht="15.75" customHeight="1">
      <c r="A535" s="128" t="str">
        <f>IFERROR(__xludf.DUMMYFUNCTION("""COMPUTED_VALUE"""),"0354 727 354")</f>
        <v>0354 727 354</v>
      </c>
      <c r="B535" s="127" t="str">
        <f>IFERROR(__xludf.DUMMYFUNCTION("""COMPUTED_VALUE"""),"Chị Nguyệt")</f>
        <v>Chị Nguyệt</v>
      </c>
      <c r="C535" s="127" t="str">
        <f>IFERROR(__xludf.DUMMYFUNCTION("""COMPUTED_VALUE"""),"12/40 Lịch Đợi")</f>
        <v>12/40 Lịch Đợi</v>
      </c>
      <c r="D535" s="127" t="str">
        <f>IFERROR(__xludf.DUMMYFUNCTION("""COMPUTED_VALUE"""),"Chó")</f>
        <v>Chó</v>
      </c>
      <c r="E535" s="127"/>
    </row>
    <row r="536" ht="15.75" customHeight="1">
      <c r="A536" s="128" t="str">
        <f>IFERROR(__xludf.DUMMYFUNCTION("""COMPUTED_VALUE"""),"0948 676 888")</f>
        <v>0948 676 888</v>
      </c>
      <c r="B536" s="127" t="str">
        <f>IFERROR(__xludf.DUMMYFUNCTION("""COMPUTED_VALUE"""),"Chú Vinh")</f>
        <v>Chú Vinh</v>
      </c>
      <c r="C536" s="119" t="str">
        <f>IFERROR(__xludf.DUMMYFUNCTION("""COMPUTED_VALUE"""),"9A/69/131 Trần Phú")</f>
        <v>9A/69/131 Trần Phú</v>
      </c>
      <c r="D536" s="127" t="str">
        <f>IFERROR(__xludf.DUMMYFUNCTION("""COMPUTED_VALUE"""),"Chó")</f>
        <v>Chó</v>
      </c>
      <c r="E536" s="127" t="str">
        <f>IFERROR(__xludf.DUMMYFUNCTION("""COMPUTED_VALUE"""),"Cún")</f>
        <v>Cún</v>
      </c>
    </row>
    <row r="537" ht="15.75" customHeight="1">
      <c r="A537" s="128" t="str">
        <f>IFERROR(__xludf.DUMMYFUNCTION("""COMPUTED_VALUE"""),"0984 910 715")</f>
        <v>0984 910 715</v>
      </c>
      <c r="B537" s="127" t="str">
        <f>IFERROR(__xludf.DUMMYFUNCTION("""COMPUTED_VALUE"""),"Thầy Hòa")</f>
        <v>Thầy Hòa</v>
      </c>
      <c r="C537" s="127" t="str">
        <f>IFERROR(__xludf.DUMMYFUNCTION("""COMPUTED_VALUE"""),"182 Phan Bội Châu - Chùa Hải Đức")</f>
        <v>182 Phan Bội Châu - Chùa Hải Đức</v>
      </c>
      <c r="D537" s="127" t="str">
        <f>IFERROR(__xludf.DUMMYFUNCTION("""COMPUTED_VALUE"""),"Mèo")</f>
        <v>Mèo</v>
      </c>
      <c r="E537" s="127"/>
    </row>
    <row r="538" ht="15.75" customHeight="1">
      <c r="A538" s="120" t="str">
        <f>IFERROR(__xludf.DUMMYFUNCTION("""COMPUTED_VALUE"""),"0911 031 570")</f>
        <v>0911 031 570</v>
      </c>
      <c r="B538" s="121" t="str">
        <f>IFERROR(__xludf.DUMMYFUNCTION("""COMPUTED_VALUE"""),"Hoàng Anh")</f>
        <v>Hoàng Anh</v>
      </c>
      <c r="C538" s="121" t="str">
        <f>IFERROR(__xludf.DUMMYFUNCTION("""COMPUTED_VALUE"""),"15 Trần Lương")</f>
        <v>15 Trần Lương</v>
      </c>
      <c r="D538" s="121" t="str">
        <f>IFERROR(__xludf.DUMMYFUNCTION("""COMPUTED_VALUE"""),"mèo")</f>
        <v>mèo</v>
      </c>
      <c r="E538" s="119" t="str">
        <f>IFERROR(__xludf.DUMMYFUNCTION("""COMPUTED_VALUE"""),"Mimi")</f>
        <v>Mimi</v>
      </c>
    </row>
    <row r="539" ht="15.75" customHeight="1">
      <c r="A539" s="120" t="str">
        <f>IFERROR(__xludf.DUMMYFUNCTION("""COMPUTED_VALUE"""),"0932 518 995")</f>
        <v>0932 518 995</v>
      </c>
      <c r="B539" s="127" t="str">
        <f>IFERROR(__xludf.DUMMYFUNCTION("""COMPUTED_VALUE"""),"Dì Ngọc Yến")</f>
        <v>Dì Ngọc Yến</v>
      </c>
      <c r="C539" s="127" t="str">
        <f>IFERROR(__xludf.DUMMYFUNCTION("""COMPUTED_VALUE"""),"32/6 Kiệt 2 Xóm 8 Lại Thế")</f>
        <v>32/6 Kiệt 2 Xóm 8 Lại Thế</v>
      </c>
      <c r="D539" s="127" t="str">
        <f>IFERROR(__xludf.DUMMYFUNCTION("""COMPUTED_VALUE"""),"Chó")</f>
        <v>Chó</v>
      </c>
      <c r="E539" s="119" t="str">
        <f>IFERROR(__xludf.DUMMYFUNCTION("""COMPUTED_VALUE"""),"dâu")</f>
        <v>dâu</v>
      </c>
    </row>
    <row r="540" ht="15.75" customHeight="1">
      <c r="A540" s="120" t="str">
        <f>IFERROR(__xludf.DUMMYFUNCTION("""COMPUTED_VALUE"""),"0774 677 625")</f>
        <v>0774 677 625</v>
      </c>
      <c r="B540" s="121" t="str">
        <f>IFERROR(__xludf.DUMMYFUNCTION("""COMPUTED_VALUE"""),"Em Huyền ")</f>
        <v>Em Huyền </v>
      </c>
      <c r="C540" s="121" t="str">
        <f>IFERROR(__xludf.DUMMYFUNCTION("""COMPUTED_VALUE"""),"38 Hồng Chương")</f>
        <v>38 Hồng Chương</v>
      </c>
      <c r="D540" s="121" t="str">
        <f>IFERROR(__xludf.DUMMYFUNCTION("""COMPUTED_VALUE"""),"Mèo")</f>
        <v>Mèo</v>
      </c>
      <c r="E540" s="121" t="str">
        <f>IFERROR(__xludf.DUMMYFUNCTION("""COMPUTED_VALUE"""),"Milo")</f>
        <v>Milo</v>
      </c>
    </row>
    <row r="541" ht="15.75" customHeight="1">
      <c r="A541" s="120" t="str">
        <f>IFERROR(__xludf.DUMMYFUNCTION("""COMPUTED_VALUE"""),"0767 059 703")</f>
        <v>0767 059 703</v>
      </c>
      <c r="B541" s="121" t="str">
        <f>IFERROR(__xludf.DUMMYFUNCTION("""COMPUTED_VALUE""")," chị Tâm")</f>
        <v> chị Tâm</v>
      </c>
      <c r="C541" s="121" t="str">
        <f>IFERROR(__xludf.DUMMYFUNCTION("""COMPUTED_VALUE"""),"16/51/131 Trần Phú")</f>
        <v>16/51/131 Trần Phú</v>
      </c>
      <c r="D541" s="121" t="str">
        <f>IFERROR(__xludf.DUMMYFUNCTION("""COMPUTED_VALUE"""),"Chó")</f>
        <v>Chó</v>
      </c>
      <c r="E541" s="121" t="str">
        <f>IFERROR(__xludf.DUMMYFUNCTION("""COMPUTED_VALUE"""),"dâu")</f>
        <v>dâu</v>
      </c>
    </row>
    <row r="542" ht="15.75" customHeight="1">
      <c r="A542" s="128" t="str">
        <f>IFERROR(__xludf.DUMMYFUNCTION("""COMPUTED_VALUE"""),"0326 456 701")</f>
        <v>0326 456 701</v>
      </c>
      <c r="B542" s="127" t="str">
        <f>IFERROR(__xludf.DUMMYFUNCTION("""COMPUTED_VALUE"""),"Ngọc Anh")</f>
        <v>Ngọc Anh</v>
      </c>
      <c r="C542" s="127" t="str">
        <f>IFERROR(__xludf.DUMMYFUNCTION("""COMPUTED_VALUE"""),"170 Lý Nam Đế")</f>
        <v>170 Lý Nam Đế</v>
      </c>
      <c r="D542" s="127" t="str">
        <f>IFERROR(__xludf.DUMMYFUNCTION("""COMPUTED_VALUE"""),"Chó")</f>
        <v>Chó</v>
      </c>
      <c r="E542" s="127" t="str">
        <f>IFERROR(__xludf.DUMMYFUNCTION("""COMPUTED_VALUE"""),"Nô")</f>
        <v>Nô</v>
      </c>
    </row>
    <row r="543" ht="15.75" customHeight="1">
      <c r="A543" s="128" t="str">
        <f>IFERROR(__xludf.DUMMYFUNCTION("""COMPUTED_VALUE"""),"0395 438 028")</f>
        <v>0395 438 028</v>
      </c>
      <c r="B543" s="127" t="str">
        <f>IFERROR(__xludf.DUMMYFUNCTION("""COMPUTED_VALUE"""),"Anh Vân")</f>
        <v>Anh Vân</v>
      </c>
      <c r="C543" s="127" t="str">
        <f>IFERROR(__xludf.DUMMYFUNCTION("""COMPUTED_VALUE"""),"268 Lý Nam Đế")</f>
        <v>268 Lý Nam Đế</v>
      </c>
      <c r="D543" s="127" t="str">
        <f>IFERROR(__xludf.DUMMYFUNCTION("""COMPUTED_VALUE"""),"mèo")</f>
        <v>mèo</v>
      </c>
      <c r="E543" s="127" t="str">
        <f>IFERROR(__xludf.DUMMYFUNCTION("""COMPUTED_VALUE"""),"May")</f>
        <v>May</v>
      </c>
    </row>
    <row r="544" ht="15.75" customHeight="1">
      <c r="A544" s="120" t="str">
        <f>IFERROR(__xludf.DUMMYFUNCTION("""COMPUTED_VALUE"""),"0382 174 121")</f>
        <v>0382 174 121</v>
      </c>
      <c r="B544" s="121" t="str">
        <f>IFERROR(__xludf.DUMMYFUNCTION("""COMPUTED_VALUE"""),"Em Trường")</f>
        <v>Em Trường</v>
      </c>
      <c r="C544" s="121" t="str">
        <f>IFERROR(__xludf.DUMMYFUNCTION("""COMPUTED_VALUE"""),"KTX CAo đẳng Y tế Huế")</f>
        <v>KTX CAo đẳng Y tế Huế</v>
      </c>
      <c r="D544" s="121" t="str">
        <f>IFERROR(__xludf.DUMMYFUNCTION("""COMPUTED_VALUE"""),"mèo")</f>
        <v>mèo</v>
      </c>
      <c r="E544" s="121" t="str">
        <f>IFERROR(__xludf.DUMMYFUNCTION("""COMPUTED_VALUE"""),"Miu Miu")</f>
        <v>Miu Miu</v>
      </c>
    </row>
    <row r="545" ht="15.75" customHeight="1">
      <c r="A545" s="128" t="str">
        <f>IFERROR(__xludf.DUMMYFUNCTION("""COMPUTED_VALUE"""),"0795 777 866")</f>
        <v>0795 777 866</v>
      </c>
      <c r="B545" s="127" t="str">
        <f>IFERROR(__xludf.DUMMYFUNCTION("""COMPUTED_VALUE"""),"Hoàng Văn Thuật")</f>
        <v>Hoàng Văn Thuật</v>
      </c>
      <c r="C545" s="127" t="str">
        <f>IFERROR(__xludf.DUMMYFUNCTION("""COMPUTED_VALUE"""),"An Đô, Hương Chữ, Hương Trà")</f>
        <v>An Đô, Hương Chữ, Hương Trà</v>
      </c>
      <c r="D545" s="127" t="str">
        <f>IFERROR(__xludf.DUMMYFUNCTION("""COMPUTED_VALUE"""),"mèo")</f>
        <v>mèo</v>
      </c>
      <c r="E545" s="127"/>
    </row>
    <row r="546" ht="15.75" customHeight="1">
      <c r="A546" s="128" t="str">
        <f>IFERROR(__xludf.DUMMYFUNCTION("""COMPUTED_VALUE"""),"0762 516 248")</f>
        <v>0762 516 248</v>
      </c>
      <c r="B546" s="127" t="str">
        <f>IFERROR(__xludf.DUMMYFUNCTION("""COMPUTED_VALUE"""),"dì Gái")</f>
        <v>dì Gái</v>
      </c>
      <c r="C546" s="127" t="str">
        <f>IFERROR(__xludf.DUMMYFUNCTION("""COMPUTED_VALUE"""),"42 Nguyễn Huệ")</f>
        <v>42 Nguyễn Huệ</v>
      </c>
      <c r="D546" s="127" t="str">
        <f>IFERROR(__xludf.DUMMYFUNCTION("""COMPUTED_VALUE"""),"chó ")</f>
        <v>chó </v>
      </c>
      <c r="E546" s="127" t="str">
        <f>IFERROR(__xludf.DUMMYFUNCTION("""COMPUTED_VALUE"""),"Lucky")</f>
        <v>Lucky</v>
      </c>
    </row>
    <row r="547" ht="15.75" customHeight="1">
      <c r="A547" s="128" t="str">
        <f>IFERROR(__xludf.DUMMYFUNCTION("""COMPUTED_VALUE"""),"0928 986 502")</f>
        <v>0928 986 502</v>
      </c>
      <c r="B547" s="127" t="str">
        <f>IFERROR(__xludf.DUMMYFUNCTION("""COMPUTED_VALUE"""),"chị Nhật")</f>
        <v>chị Nhật</v>
      </c>
      <c r="C547" s="127" t="str">
        <f>IFERROR(__xludf.DUMMYFUNCTION("""COMPUTED_VALUE"""),"113 Lựu Bảo")</f>
        <v>113 Lựu Bảo</v>
      </c>
      <c r="D547" s="127" t="str">
        <f>IFERROR(__xludf.DUMMYFUNCTION("""COMPUTED_VALUE"""),"chó")</f>
        <v>chó</v>
      </c>
      <c r="E547" s="127" t="str">
        <f>IFERROR(__xludf.DUMMYFUNCTION("""COMPUTED_VALUE"""),"mèo")</f>
        <v>mèo</v>
      </c>
    </row>
    <row r="548" ht="15.75" customHeight="1">
      <c r="A548" s="128" t="str">
        <f>IFERROR(__xludf.DUMMYFUNCTION("""COMPUTED_VALUE"""),"0905 764 725")</f>
        <v>0905 764 725</v>
      </c>
      <c r="B548" s="127" t="str">
        <f>IFERROR(__xludf.DUMMYFUNCTION("""COMPUTED_VALUE"""),"em Tường Vy")</f>
        <v>em Tường Vy</v>
      </c>
      <c r="C548" s="127" t="str">
        <f>IFERROR(__xludf.DUMMYFUNCTION("""COMPUTED_VALUE"""),"7/20 Triều Sơn Tây")</f>
        <v>7/20 Triều Sơn Tây</v>
      </c>
      <c r="D548" s="127" t="str">
        <f>IFERROR(__xludf.DUMMYFUNCTION("""COMPUTED_VALUE"""),"mèo")</f>
        <v>mèo</v>
      </c>
      <c r="E548" s="127"/>
    </row>
    <row r="549" ht="15.75" customHeight="1">
      <c r="A549" s="128" t="str">
        <f>IFERROR(__xludf.DUMMYFUNCTION("""COMPUTED_VALUE"""),"0971 263 462")</f>
        <v>0971 263 462</v>
      </c>
      <c r="B549" s="127" t="str">
        <f>IFERROR(__xludf.DUMMYFUNCTION("""COMPUTED_VALUE"""),"Chú Diên")</f>
        <v>Chú Diên</v>
      </c>
      <c r="C549" s="127" t="str">
        <f>IFERROR(__xludf.DUMMYFUNCTION("""COMPUTED_VALUE"""),"18/54/131 Trần Phú")</f>
        <v>18/54/131 Trần Phú</v>
      </c>
      <c r="D549" s="127" t="str">
        <f>IFERROR(__xludf.DUMMYFUNCTION("""COMPUTED_VALUE"""),"Mèo")</f>
        <v>Mèo</v>
      </c>
      <c r="E549" s="127" t="str">
        <f>IFERROR(__xludf.DUMMYFUNCTION("""COMPUTED_VALUE"""),"Mun")</f>
        <v>Mun</v>
      </c>
    </row>
    <row r="550" ht="15.75" customHeight="1">
      <c r="A550" s="128" t="str">
        <f>IFERROR(__xludf.DUMMYFUNCTION("""COMPUTED_VALUE"""),"0393 072 645")</f>
        <v>0393 072 645</v>
      </c>
      <c r="B550" s="127" t="str">
        <f>IFERROR(__xludf.DUMMYFUNCTION("""COMPUTED_VALUE"""),"Em Như Ý")</f>
        <v>Em Như Ý</v>
      </c>
      <c r="C550" s="127" t="str">
        <f>IFERROR(__xludf.DUMMYFUNCTION("""COMPUTED_VALUE"""),"46/187 Hùng Vương")</f>
        <v>46/187 Hùng Vương</v>
      </c>
      <c r="D550" s="127" t="str">
        <f>IFERROR(__xludf.DUMMYFUNCTION("""COMPUTED_VALUE"""),"Mèo")</f>
        <v>Mèo</v>
      </c>
      <c r="E550" s="127" t="str">
        <f>IFERROR(__xludf.DUMMYFUNCTION("""COMPUTED_VALUE"""),"Hyhy")</f>
        <v>Hyhy</v>
      </c>
    </row>
    <row r="551" ht="15.75" customHeight="1">
      <c r="A551" s="128" t="str">
        <f>IFERROR(__xludf.DUMMYFUNCTION("""COMPUTED_VALUE"""),"0984 772 661")</f>
        <v>0984 772 661</v>
      </c>
      <c r="B551" s="127" t="str">
        <f>IFERROR(__xludf.DUMMYFUNCTION("""COMPUTED_VALUE"""),"anh Tiến")</f>
        <v>anh Tiến</v>
      </c>
      <c r="C551" s="127" t="str">
        <f>IFERROR(__xludf.DUMMYFUNCTION("""COMPUTED_VALUE"""),"152/10 Lý Nam Đế")</f>
        <v>152/10 Lý Nam Đế</v>
      </c>
      <c r="D551" s="127" t="str">
        <f>IFERROR(__xludf.DUMMYFUNCTION("""COMPUTED_VALUE"""),"chó ")</f>
        <v>chó </v>
      </c>
      <c r="E551" s="127" t="str">
        <f>IFERROR(__xludf.DUMMYFUNCTION("""COMPUTED_VALUE"""),"Vàng")</f>
        <v>Vàng</v>
      </c>
    </row>
    <row r="552" ht="15.75" customHeight="1">
      <c r="A552" s="128" t="str">
        <f>IFERROR(__xludf.DUMMYFUNCTION("""COMPUTED_VALUE"""),"0857 550 295")</f>
        <v>0857 550 295</v>
      </c>
      <c r="B552" s="127" t="str">
        <f>IFERROR(__xludf.DUMMYFUNCTION("""COMPUTED_VALUE"""),"dì Huệ")</f>
        <v>dì Huệ</v>
      </c>
      <c r="C552" s="127" t="str">
        <f>IFERROR(__xludf.DUMMYFUNCTION("""COMPUTED_VALUE"""),"50/27 Phạm Thị Liên")</f>
        <v>50/27 Phạm Thị Liên</v>
      </c>
      <c r="D552" s="127" t="str">
        <f>IFERROR(__xludf.DUMMYFUNCTION("""COMPUTED_VALUE"""),"chó")</f>
        <v>chó</v>
      </c>
      <c r="E552" s="127" t="str">
        <f>IFERROR(__xludf.DUMMYFUNCTION("""COMPUTED_VALUE"""),"Đốm")</f>
        <v>Đốm</v>
      </c>
    </row>
    <row r="553" ht="15.75" customHeight="1">
      <c r="A553" s="120" t="str">
        <f>IFERROR(__xludf.DUMMYFUNCTION("""COMPUTED_VALUE"""),"0799 319 310")</f>
        <v>0799 319 310</v>
      </c>
      <c r="B553" s="121" t="str">
        <f>IFERROR(__xludf.DUMMYFUNCTION("""COMPUTED_VALUE"""),"anh Tấn")</f>
        <v>anh Tấn</v>
      </c>
      <c r="C553" s="121" t="str">
        <f>IFERROR(__xludf.DUMMYFUNCTION("""COMPUTED_VALUE"""),"52 K200 Lý Nam Đế")</f>
        <v>52 K200 Lý Nam Đế</v>
      </c>
      <c r="D553" s="121" t="str">
        <f>IFERROR(__xludf.DUMMYFUNCTION("""COMPUTED_VALUE"""),"chó")</f>
        <v>chó</v>
      </c>
      <c r="E553" s="121"/>
    </row>
    <row r="554" ht="15.75" customHeight="1">
      <c r="A554" s="128" t="str">
        <f>IFERROR(__xludf.DUMMYFUNCTION("""COMPUTED_VALUE"""),"0934 968 140")</f>
        <v>0934 968 140</v>
      </c>
      <c r="B554" s="127" t="str">
        <f>IFERROR(__xludf.DUMMYFUNCTION("""COMPUTED_VALUE"""),"Em Mỹ Huyền")</f>
        <v>Em Mỹ Huyền</v>
      </c>
      <c r="C554" s="127" t="str">
        <f>IFERROR(__xludf.DUMMYFUNCTION("""COMPUTED_VALUE"""),"36A Lịch Đợi")</f>
        <v>36A Lịch Đợi</v>
      </c>
      <c r="D554" s="127" t="str">
        <f>IFERROR(__xludf.DUMMYFUNCTION("""COMPUTED_VALUE"""),"Mèo")</f>
        <v>Mèo</v>
      </c>
      <c r="E554" s="127" t="str">
        <f>IFERROR(__xludf.DUMMYFUNCTION("""COMPUTED_VALUE"""),"Cún")</f>
        <v>Cún</v>
      </c>
    </row>
    <row r="555" ht="15.75" customHeight="1">
      <c r="A555" s="128" t="str">
        <f>IFERROR(__xludf.DUMMYFUNCTION("""COMPUTED_VALUE"""),"0374 852 102")</f>
        <v>0374 852 102</v>
      </c>
      <c r="B555" s="127" t="str">
        <f>IFERROR(__xludf.DUMMYFUNCTION("""COMPUTED_VALUE"""),"Tùng")</f>
        <v>Tùng</v>
      </c>
      <c r="C555" s="127" t="str">
        <f>IFERROR(__xludf.DUMMYFUNCTION("""COMPUTED_VALUE"""),"138 Phạm Thị Liên")</f>
        <v>138 Phạm Thị Liên</v>
      </c>
      <c r="D555" s="127" t="str">
        <f>IFERROR(__xludf.DUMMYFUNCTION("""COMPUTED_VALUE"""),"chó")</f>
        <v>chó</v>
      </c>
      <c r="E555" s="127"/>
    </row>
    <row r="556" ht="15.75" customHeight="1">
      <c r="A556" s="128" t="str">
        <f>IFERROR(__xludf.DUMMYFUNCTION("""COMPUTED_VALUE"""),"0867 900 673")</f>
        <v>0867 900 673</v>
      </c>
      <c r="B556" s="133" t="str">
        <f>IFERROR(__xludf.DUMMYFUNCTION("""COMPUTED_VALUE"""),"Nguyễn Văn Chớ")</f>
        <v>Nguyễn Văn Chớ</v>
      </c>
      <c r="C556" s="134" t="str">
        <f>IFERROR(__xludf.DUMMYFUNCTION("""COMPUTED_VALUE"""),"Long Hồ Thượng 2, Hương Hồ")</f>
        <v>Long Hồ Thượng 2, Hương Hồ</v>
      </c>
      <c r="D556" s="127" t="str">
        <f>IFERROR(__xludf.DUMMYFUNCTION("""COMPUTED_VALUE"""),"chó")</f>
        <v>chó</v>
      </c>
      <c r="E556" s="127"/>
    </row>
    <row r="557" ht="15.75" customHeight="1">
      <c r="A557" s="128" t="str">
        <f>IFERROR(__xludf.DUMMYFUNCTION("""COMPUTED_VALUE"""),"0838 152 303")</f>
        <v>0838 152 303</v>
      </c>
      <c r="B557" s="127" t="str">
        <f>IFERROR(__xludf.DUMMYFUNCTION("""COMPUTED_VALUE"""),"Em Bảo Trâm")</f>
        <v>Em Bảo Trâm</v>
      </c>
      <c r="C557" s="127" t="str">
        <f>IFERROR(__xludf.DUMMYFUNCTION("""COMPUTED_VALUE"""),"18/53 Trần Phú")</f>
        <v>18/53 Trần Phú</v>
      </c>
      <c r="D557" s="127" t="str">
        <f>IFERROR(__xludf.DUMMYFUNCTION("""COMPUTED_VALUE"""),"Mèo")</f>
        <v>Mèo</v>
      </c>
      <c r="E557" s="127" t="str">
        <f>IFERROR(__xludf.DUMMYFUNCTION("""COMPUTED_VALUE"""),"Lạc")</f>
        <v>Lạc</v>
      </c>
    </row>
    <row r="558" ht="15.75" customHeight="1">
      <c r="A558" s="128" t="str">
        <f>IFERROR(__xludf.DUMMYFUNCTION("""COMPUTED_VALUE"""),"0397 748 375")</f>
        <v>0397 748 375</v>
      </c>
      <c r="B558" s="127" t="str">
        <f>IFERROR(__xludf.DUMMYFUNCTION("""COMPUTED_VALUE"""),"Anh Đăng Võ")</f>
        <v>Anh Đăng Võ</v>
      </c>
      <c r="C558" s="127" t="str">
        <f>IFERROR(__xludf.DUMMYFUNCTION("""COMPUTED_VALUE"""),"24/22 Phú Mậu")</f>
        <v>24/22 Phú Mậu</v>
      </c>
      <c r="D558" s="127" t="str">
        <f>IFERROR(__xludf.DUMMYFUNCTION("""COMPUTED_VALUE"""),"Mèo")</f>
        <v>Mèo</v>
      </c>
      <c r="E558" s="127" t="str">
        <f>IFERROR(__xludf.DUMMYFUNCTION("""COMPUTED_VALUE"""),"Bí")</f>
        <v>Bí</v>
      </c>
    </row>
    <row r="559" ht="15.75" customHeight="1">
      <c r="A559" s="120" t="str">
        <f>IFERROR(__xludf.DUMMYFUNCTION("""COMPUTED_VALUE"""),"0397 118 835")</f>
        <v>0397 118 835</v>
      </c>
      <c r="B559" s="121" t="str">
        <f>IFERROR(__xludf.DUMMYFUNCTION("""COMPUTED_VALUE"""),"anh Quang")</f>
        <v>anh Quang</v>
      </c>
      <c r="C559" s="121" t="str">
        <f>IFERROR(__xludf.DUMMYFUNCTION("""COMPUTED_VALUE"""),"17/180 Lý Nam Đế")</f>
        <v>17/180 Lý Nam Đế</v>
      </c>
      <c r="D559" s="121" t="str">
        <f>IFERROR(__xludf.DUMMYFUNCTION("""COMPUTED_VALUE"""),"mèo")</f>
        <v>mèo</v>
      </c>
      <c r="E559" s="119" t="str">
        <f>IFERROR(__xludf.DUMMYFUNCTION("""COMPUTED_VALUE"""),"Mimi")</f>
        <v>Mimi</v>
      </c>
    </row>
    <row r="560" ht="15.75" customHeight="1">
      <c r="A560" s="128" t="str">
        <f>IFERROR(__xludf.DUMMYFUNCTION("""COMPUTED_VALUE"""),"0703 336 376")</f>
        <v>0703 336 376</v>
      </c>
      <c r="B560" s="127" t="str">
        <f>IFERROR(__xludf.DUMMYFUNCTION("""COMPUTED_VALUE"""),"Chị Hằng")</f>
        <v>Chị Hằng</v>
      </c>
      <c r="C560" s="127" t="str">
        <f>IFERROR(__xludf.DUMMYFUNCTION("""COMPUTED_VALUE"""),"Kiệt 17 Trung Đông")</f>
        <v>Kiệt 17 Trung Đông</v>
      </c>
      <c r="D560" s="127" t="str">
        <f>IFERROR(__xludf.DUMMYFUNCTION("""COMPUTED_VALUE"""),"Mèo")</f>
        <v>Mèo</v>
      </c>
      <c r="E560" s="127" t="str">
        <f>IFERROR(__xludf.DUMMYFUNCTION("""COMPUTED_VALUE"""),"Mi chao")</f>
        <v>Mi chao</v>
      </c>
    </row>
    <row r="561" ht="15.75" customHeight="1">
      <c r="A561" s="120" t="str">
        <f>IFERROR(__xludf.DUMMYFUNCTION("""COMPUTED_VALUE"""),"0337 543 063")</f>
        <v>0337 543 063</v>
      </c>
      <c r="B561" s="121" t="str">
        <f>IFERROR(__xludf.DUMMYFUNCTION("""COMPUTED_VALUE"""),"Dì Tú")</f>
        <v>Dì Tú</v>
      </c>
      <c r="C561" s="121" t="str">
        <f>IFERROR(__xludf.DUMMYFUNCTION("""COMPUTED_VALUE"""),"41 Hồ Thừa")</f>
        <v>41 Hồ Thừa</v>
      </c>
      <c r="D561" s="121" t="str">
        <f>IFERROR(__xludf.DUMMYFUNCTION("""COMPUTED_VALUE"""),"chó")</f>
        <v>chó</v>
      </c>
      <c r="E561" s="121" t="str">
        <f>IFERROR(__xludf.DUMMYFUNCTION("""COMPUTED_VALUE"""),"Phóc")</f>
        <v>Phóc</v>
      </c>
    </row>
    <row r="562" ht="15.75" customHeight="1">
      <c r="A562" s="120" t="str">
        <f>IFERROR(__xludf.DUMMYFUNCTION("""COMPUTED_VALUE"""),"0987 476 702")</f>
        <v>0987 476 702</v>
      </c>
      <c r="B562" s="121" t="str">
        <f>IFERROR(__xludf.DUMMYFUNCTION("""COMPUTED_VALUE"""),"Em Lộc")</f>
        <v>Em Lộc</v>
      </c>
      <c r="C562" s="121" t="str">
        <f>IFERROR(__xludf.DUMMYFUNCTION("""COMPUTED_VALUE"""),"1/47  An Ninh")</f>
        <v>1/47  An Ninh</v>
      </c>
      <c r="D562" s="121" t="str">
        <f>IFERROR(__xludf.DUMMYFUNCTION("""COMPUTED_VALUE"""),"Mèo")</f>
        <v>Mèo</v>
      </c>
      <c r="E562" s="121" t="str">
        <f>IFERROR(__xludf.DUMMYFUNCTION("""COMPUTED_VALUE"""),"Ré")</f>
        <v>Ré</v>
      </c>
    </row>
    <row r="563" ht="15.75" customHeight="1">
      <c r="A563" s="128" t="str">
        <f>IFERROR(__xludf.DUMMYFUNCTION("""COMPUTED_VALUE"""),"0345 748 125")</f>
        <v>0345 748 125</v>
      </c>
      <c r="B563" s="127" t="str">
        <f>IFERROR(__xludf.DUMMYFUNCTION("""COMPUTED_VALUE"""),"Em Trinh")</f>
        <v>Em Trinh</v>
      </c>
      <c r="C563" s="127" t="str">
        <f>IFERROR(__xludf.DUMMYFUNCTION("""COMPUTED_VALUE"""),"43/246 Hùng Vương")</f>
        <v>43/246 Hùng Vương</v>
      </c>
      <c r="D563" s="127" t="str">
        <f>IFERROR(__xludf.DUMMYFUNCTION("""COMPUTED_VALUE"""),"Mèo")</f>
        <v>Mèo</v>
      </c>
      <c r="E563" s="127" t="str">
        <f>IFERROR(__xludf.DUMMYFUNCTION("""COMPUTED_VALUE"""),"Lem/Chút")</f>
        <v>Lem/Chút</v>
      </c>
    </row>
    <row r="564" ht="15.75" customHeight="1">
      <c r="A564" s="128" t="str">
        <f>IFERROR(__xludf.DUMMYFUNCTION("""COMPUTED_VALUE"""),"0914 208 224")</f>
        <v>0914 208 224</v>
      </c>
      <c r="B564" s="127" t="str">
        <f>IFERROR(__xludf.DUMMYFUNCTION("""COMPUTED_VALUE"""),"Lê Hoàng Sơn")</f>
        <v>Lê Hoàng Sơn</v>
      </c>
      <c r="C564" s="127" t="str">
        <f>IFERROR(__xludf.DUMMYFUNCTION("""COMPUTED_VALUE"""),"14 kiệt 1 Lịch Đợi")</f>
        <v>14 kiệt 1 Lịch Đợi</v>
      </c>
      <c r="D564" s="127" t="str">
        <f>IFERROR(__xludf.DUMMYFUNCTION("""COMPUTED_VALUE"""),"chó ")</f>
        <v>chó </v>
      </c>
      <c r="E564" s="127" t="str">
        <f>IFERROR(__xludf.DUMMYFUNCTION("""COMPUTED_VALUE"""),"Rốt")</f>
        <v>Rốt</v>
      </c>
    </row>
    <row r="565" ht="15.75" customHeight="1">
      <c r="A565" s="128" t="str">
        <f>IFERROR(__xludf.DUMMYFUNCTION("""COMPUTED_VALUE"""),"0914 905 223")</f>
        <v>0914 905 223</v>
      </c>
      <c r="B565" s="133" t="str">
        <f>IFERROR(__xludf.DUMMYFUNCTION("""COMPUTED_VALUE"""),"Anh Trọng Hưng")</f>
        <v>Anh Trọng Hưng</v>
      </c>
      <c r="C565" s="127" t="str">
        <f>IFERROR(__xludf.DUMMYFUNCTION("""COMPUTED_VALUE"""),"23B Phan Đình Phùng")</f>
        <v>23B Phan Đình Phùng</v>
      </c>
      <c r="D565" s="127" t="str">
        <f>IFERROR(__xludf.DUMMYFUNCTION("""COMPUTED_VALUE"""),"Chó")</f>
        <v>Chó</v>
      </c>
      <c r="E565" s="127" t="str">
        <f>IFERROR(__xludf.DUMMYFUNCTION("""COMPUTED_VALUE"""),"Milo")</f>
        <v>Milo</v>
      </c>
    </row>
    <row r="566" ht="15.75" customHeight="1">
      <c r="A566" s="120" t="str">
        <f>IFERROR(__xludf.DUMMYFUNCTION("""COMPUTED_VALUE"""),"0916 287 801")</f>
        <v>0916 287 801</v>
      </c>
      <c r="B566" s="121" t="str">
        <f>IFERROR(__xludf.DUMMYFUNCTION("""COMPUTED_VALUE"""),"Chị Ly")</f>
        <v>Chị Ly</v>
      </c>
      <c r="C566" s="121" t="str">
        <f>IFERROR(__xludf.DUMMYFUNCTION("""COMPUTED_VALUE"""),"Thủy Phương")</f>
        <v>Thủy Phương</v>
      </c>
      <c r="D566" s="121" t="str">
        <f>IFERROR(__xludf.DUMMYFUNCTION("""COMPUTED_VALUE"""),"Mèo")</f>
        <v>Mèo</v>
      </c>
      <c r="E566" s="121" t="str">
        <f>IFERROR(__xludf.DUMMYFUNCTION("""COMPUTED_VALUE"""),"Xoài")</f>
        <v>Xoài</v>
      </c>
    </row>
    <row r="567" ht="15.75" customHeight="1">
      <c r="A567" s="128" t="str">
        <f>IFERROR(__xludf.DUMMYFUNCTION("""COMPUTED_VALUE"""),"0762 503 612")</f>
        <v>0762 503 612</v>
      </c>
      <c r="B567" s="127" t="str">
        <f>IFERROR(__xludf.DUMMYFUNCTION("""COMPUTED_VALUE"""),"Chị Giang")</f>
        <v>Chị Giang</v>
      </c>
      <c r="C567" s="127" t="str">
        <f>IFERROR(__xludf.DUMMYFUNCTION("""COMPUTED_VALUE"""),"24 Trần Thúc Nhẫn")</f>
        <v>24 Trần Thúc Nhẫn</v>
      </c>
      <c r="D567" s="127" t="str">
        <f>IFERROR(__xludf.DUMMYFUNCTION("""COMPUTED_VALUE"""),"Mèo")</f>
        <v>Mèo</v>
      </c>
      <c r="E567" s="127" t="str">
        <f>IFERROR(__xludf.DUMMYFUNCTION("""COMPUTED_VALUE"""),"Ốc")</f>
        <v>Ốc</v>
      </c>
    </row>
    <row r="568" ht="15.75" customHeight="1">
      <c r="A568" s="128" t="str">
        <f>IFERROR(__xludf.DUMMYFUNCTION("""COMPUTED_VALUE"""),"0337 030 599")</f>
        <v>0337 030 599</v>
      </c>
      <c r="B568" s="127" t="str">
        <f>IFERROR(__xludf.DUMMYFUNCTION("""COMPUTED_VALUE"""),"Anh Duy")</f>
        <v>Anh Duy</v>
      </c>
      <c r="C568" s="127" t="str">
        <f>IFERROR(__xludf.DUMMYFUNCTION("""COMPUTED_VALUE"""),"La Chữ")</f>
        <v>La Chữ</v>
      </c>
      <c r="D568" s="127" t="str">
        <f>IFERROR(__xludf.DUMMYFUNCTION("""COMPUTED_VALUE"""),"Mèo")</f>
        <v>Mèo</v>
      </c>
      <c r="E568" s="127" t="str">
        <f>IFERROR(__xludf.DUMMYFUNCTION("""COMPUTED_VALUE"""),"Bo")</f>
        <v>Bo</v>
      </c>
    </row>
    <row r="569" ht="15.75" customHeight="1">
      <c r="A569" s="120" t="str">
        <f>IFERROR(__xludf.DUMMYFUNCTION("""COMPUTED_VALUE"""),"0942 616 702")</f>
        <v>0942 616 702</v>
      </c>
      <c r="B569" s="121" t="str">
        <f>IFERROR(__xludf.DUMMYFUNCTION("""COMPUTED_VALUE"""),"chị Cathu")</f>
        <v>chị Cathu</v>
      </c>
      <c r="C569" s="121" t="str">
        <f>IFERROR(__xludf.DUMMYFUNCTION("""COMPUTED_VALUE"""),"36 Xóm 3, Ngọc Anh")</f>
        <v>36 Xóm 3, Ngọc Anh</v>
      </c>
      <c r="D569" s="121" t="str">
        <f>IFERROR(__xludf.DUMMYFUNCTION("""COMPUTED_VALUE"""),"Chó")</f>
        <v>Chó</v>
      </c>
      <c r="E569" s="121" t="str">
        <f>IFERROR(__xludf.DUMMYFUNCTION("""COMPUTED_VALUE"""),"Min")</f>
        <v>Min</v>
      </c>
    </row>
    <row r="570" ht="15.75" customHeight="1">
      <c r="A570" s="128" t="str">
        <f>IFERROR(__xludf.DUMMYFUNCTION("""COMPUTED_VALUE"""),"0352 864 130")</f>
        <v>0352 864 130</v>
      </c>
      <c r="B570" s="127" t="str">
        <f>IFERROR(__xludf.DUMMYFUNCTION("""COMPUTED_VALUE"""),"em Quỳnh Trâm")</f>
        <v>em Quỳnh Trâm</v>
      </c>
      <c r="C570" s="127" t="str">
        <f>IFERROR(__xludf.DUMMYFUNCTION("""COMPUTED_VALUE"""),"29 B, xóm 2, Ngọc Anh")</f>
        <v>29 B, xóm 2, Ngọc Anh</v>
      </c>
      <c r="D570" s="127" t="str">
        <f>IFERROR(__xludf.DUMMYFUNCTION("""COMPUTED_VALUE"""),"mèo")</f>
        <v>mèo</v>
      </c>
      <c r="E570" s="127" t="str">
        <f>IFERROR(__xludf.DUMMYFUNCTION("""COMPUTED_VALUE"""),"Bánh")</f>
        <v>Bánh</v>
      </c>
    </row>
    <row r="571" ht="15.75" customHeight="1">
      <c r="A571" s="120" t="str">
        <f>IFERROR(__xludf.DUMMYFUNCTION("""COMPUTED_VALUE"""),"0853 110 493")</f>
        <v>0853 110 493</v>
      </c>
      <c r="B571" s="121" t="str">
        <f>IFERROR(__xludf.DUMMYFUNCTION("""COMPUTED_VALUE"""),"Chị Quỳnh Như")</f>
        <v>Chị Quỳnh Như</v>
      </c>
      <c r="C571" s="121" t="str">
        <f>IFERROR(__xludf.DUMMYFUNCTION("""COMPUTED_VALUE"""),"3/7/130 Trần Phú")</f>
        <v>3/7/130 Trần Phú</v>
      </c>
      <c r="D571" s="121" t="str">
        <f>IFERROR(__xludf.DUMMYFUNCTION("""COMPUTED_VALUE"""),"Mèo")</f>
        <v>Mèo</v>
      </c>
      <c r="E571" s="119" t="str">
        <f>IFERROR(__xludf.DUMMYFUNCTION("""COMPUTED_VALUE"""),"Mun")</f>
        <v>Mun</v>
      </c>
    </row>
    <row r="572" ht="15.75" customHeight="1">
      <c r="A572" s="120" t="str">
        <f>IFERROR(__xludf.DUMMYFUNCTION("""COMPUTED_VALUE"""),"0344 661 685")</f>
        <v>0344 661 685</v>
      </c>
      <c r="B572" s="121" t="str">
        <f>IFERROR(__xludf.DUMMYFUNCTION("""COMPUTED_VALUE"""),"Em Hưng")</f>
        <v>Em Hưng</v>
      </c>
      <c r="C572" s="121" t="str">
        <f>IFERROR(__xludf.DUMMYFUNCTION("""COMPUTED_VALUE"""),"210 Phan Chu Trinh")</f>
        <v>210 Phan Chu Trinh</v>
      </c>
      <c r="D572" s="121" t="str">
        <f>IFERROR(__xludf.DUMMYFUNCTION("""COMPUTED_VALUE"""),"Mèo")</f>
        <v>Mèo</v>
      </c>
      <c r="E572" s="121" t="str">
        <f>IFERROR(__xludf.DUMMYFUNCTION("""COMPUTED_VALUE"""),"Ruốt")</f>
        <v>Ruốt</v>
      </c>
    </row>
    <row r="573" ht="15.75" customHeight="1">
      <c r="A573" s="120" t="str">
        <f>IFERROR(__xludf.DUMMYFUNCTION("""COMPUTED_VALUE"""),"0905 944 283")</f>
        <v>0905 944 283</v>
      </c>
      <c r="B573" s="121" t="str">
        <f>IFERROR(__xludf.DUMMYFUNCTION("""COMPUTED_VALUE"""),"Trần Hữu Quang")</f>
        <v>Trần Hữu Quang</v>
      </c>
      <c r="C573" s="121" t="str">
        <f>IFERROR(__xludf.DUMMYFUNCTION("""COMPUTED_VALUE"""),"34/68 Nguyễn Hữu Dật")</f>
        <v>34/68 Nguyễn Hữu Dật</v>
      </c>
      <c r="D573" s="121" t="str">
        <f>IFERROR(__xludf.DUMMYFUNCTION("""COMPUTED_VALUE"""),"chó")</f>
        <v>chó</v>
      </c>
      <c r="E573" s="121" t="str">
        <f>IFERROR(__xludf.DUMMYFUNCTION("""COMPUTED_VALUE"""),"Ki")</f>
        <v>Ki</v>
      </c>
    </row>
    <row r="574" ht="15.75" customHeight="1">
      <c r="A574" s="120" t="str">
        <f>IFERROR(__xludf.DUMMYFUNCTION("""COMPUTED_VALUE"""),"0369 215 306")</f>
        <v>0369 215 306</v>
      </c>
      <c r="B574" s="121" t="str">
        <f>IFERROR(__xludf.DUMMYFUNCTION("""COMPUTED_VALUE"""),"Anh Nguyễn Nhật Hưng")</f>
        <v>Anh Nguyễn Nhật Hưng</v>
      </c>
      <c r="C574" s="121" t="str">
        <f>IFERROR(__xludf.DUMMYFUNCTION("""COMPUTED_VALUE"""),"15/10 Nguyễn Du")</f>
        <v>15/10 Nguyễn Du</v>
      </c>
      <c r="D574" s="121" t="str">
        <f>IFERROR(__xludf.DUMMYFUNCTION("""COMPUTED_VALUE"""),"Mèo")</f>
        <v>Mèo</v>
      </c>
      <c r="E574" s="121"/>
    </row>
    <row r="575" ht="15.75" customHeight="1">
      <c r="A575" s="128" t="str">
        <f>IFERROR(__xludf.DUMMYFUNCTION("""COMPUTED_VALUE"""),"0779 460 225")</f>
        <v>0779 460 225</v>
      </c>
      <c r="B575" s="127" t="str">
        <f>IFERROR(__xludf.DUMMYFUNCTION("""COMPUTED_VALUE"""),"dì Hồng Tựu")</f>
        <v>dì Hồng Tựu</v>
      </c>
      <c r="C575" s="127" t="str">
        <f>IFERROR(__xludf.DUMMYFUNCTION("""COMPUTED_VALUE"""),"9/8 Phạm Thị Liên")</f>
        <v>9/8 Phạm Thị Liên</v>
      </c>
      <c r="D575" s="127" t="str">
        <f>IFERROR(__xludf.DUMMYFUNCTION("""COMPUTED_VALUE"""),"chó ")</f>
        <v>chó </v>
      </c>
      <c r="E575" s="127" t="str">
        <f>IFERROR(__xludf.DUMMYFUNCTION("""COMPUTED_VALUE"""),"Lucky")</f>
        <v>Lucky</v>
      </c>
    </row>
    <row r="576" ht="15.75" customHeight="1">
      <c r="A576" s="120" t="str">
        <f>IFERROR(__xludf.DUMMYFUNCTION("""COMPUTED_VALUE"""),"0327 181 079")</f>
        <v>0327 181 079</v>
      </c>
      <c r="B576" s="121" t="str">
        <f>IFERROR(__xludf.DUMMYFUNCTION("""COMPUTED_VALUE"""),"anh Phúc")</f>
        <v>anh Phúc</v>
      </c>
      <c r="C576" s="121" t="str">
        <f>IFERROR(__xludf.DUMMYFUNCTION("""COMPUTED_VALUE"""),"140 Vạn Xuân")</f>
        <v>140 Vạn Xuân</v>
      </c>
      <c r="D576" s="121" t="str">
        <f>IFERROR(__xludf.DUMMYFUNCTION("""COMPUTED_VALUE"""),"chó ")</f>
        <v>chó </v>
      </c>
      <c r="E576" s="121"/>
    </row>
    <row r="577" ht="15.75" customHeight="1">
      <c r="A577" s="128" t="str">
        <f>IFERROR(__xludf.DUMMYFUNCTION("""COMPUTED_VALUE"""),"0762 644 785")</f>
        <v>0762 644 785</v>
      </c>
      <c r="B577" s="127" t="str">
        <f>IFERROR(__xludf.DUMMYFUNCTION("""COMPUTED_VALUE"""),"em Ngân")</f>
        <v>em Ngân</v>
      </c>
      <c r="C577" s="127" t="str">
        <f>IFERROR(__xludf.DUMMYFUNCTION("""COMPUTED_VALUE"""),"3/201 Trần Phú")</f>
        <v>3/201 Trần Phú</v>
      </c>
      <c r="D577" s="127" t="str">
        <f>IFERROR(__xludf.DUMMYFUNCTION("""COMPUTED_VALUE"""),"mèo")</f>
        <v>mèo</v>
      </c>
      <c r="E577" s="127"/>
    </row>
    <row r="578" ht="15.75" customHeight="1">
      <c r="A578" s="120" t="str">
        <f>IFERROR(__xludf.DUMMYFUNCTION("""COMPUTED_VALUE"""),"0935 226 009")</f>
        <v>0935 226 009</v>
      </c>
      <c r="B578" s="121" t="str">
        <f>IFERROR(__xludf.DUMMYFUNCTION("""COMPUTED_VALUE"""),"chị Hường ")</f>
        <v>chị Hường </v>
      </c>
      <c r="C578" s="121" t="str">
        <f>IFERROR(__xludf.DUMMYFUNCTION("""COMPUTED_VALUE"""),"Hùng Vương")</f>
        <v>Hùng Vương</v>
      </c>
      <c r="D578" s="121" t="str">
        <f>IFERROR(__xludf.DUMMYFUNCTION("""COMPUTED_VALUE"""),"chó")</f>
        <v>chó</v>
      </c>
      <c r="E578" s="121" t="str">
        <f>IFERROR(__xludf.DUMMYFUNCTION("""COMPUTED_VALUE"""),"Phin")</f>
        <v>Phin</v>
      </c>
    </row>
    <row r="579" ht="15.75" customHeight="1">
      <c r="A579" s="128" t="str">
        <f>IFERROR(__xludf.DUMMYFUNCTION("""COMPUTED_VALUE"""),"0333 137 056")</f>
        <v>0333 137 056</v>
      </c>
      <c r="B579" s="127" t="str">
        <f>IFERROR(__xludf.DUMMYFUNCTION("""COMPUTED_VALUE"""),"Lan Hương")</f>
        <v>Lan Hương</v>
      </c>
      <c r="C579" s="127" t="str">
        <f>IFERROR(__xludf.DUMMYFUNCTION("""COMPUTED_VALUE"""),"Phạm Tuân, Hương Hồ")</f>
        <v>Phạm Tuân, Hương Hồ</v>
      </c>
      <c r="D579" s="127" t="str">
        <f>IFERROR(__xludf.DUMMYFUNCTION("""COMPUTED_VALUE"""),"chó ")</f>
        <v>chó </v>
      </c>
      <c r="E579" s="127" t="str">
        <f>IFERROR(__xludf.DUMMYFUNCTION("""COMPUTED_VALUE"""),"Mật")</f>
        <v>Mật</v>
      </c>
    </row>
    <row r="580" ht="15.75" customHeight="1">
      <c r="A580" s="128" t="str">
        <f>IFERROR(__xludf.DUMMYFUNCTION("""COMPUTED_VALUE"""),"0981 161 595")</f>
        <v>0981 161 595</v>
      </c>
      <c r="B580" s="127" t="str">
        <f>IFERROR(__xludf.DUMMYFUNCTION("""COMPUTED_VALUE"""),"Tường Vy")</f>
        <v>Tường Vy</v>
      </c>
      <c r="C580" s="127" t="str">
        <f>IFERROR(__xludf.DUMMYFUNCTION("""COMPUTED_VALUE"""),"151 Long Hồ ")</f>
        <v>151 Long Hồ </v>
      </c>
      <c r="D580" s="127" t="str">
        <f>IFERROR(__xludf.DUMMYFUNCTION("""COMPUTED_VALUE"""),"mèo")</f>
        <v>mèo</v>
      </c>
      <c r="E580" s="127"/>
    </row>
    <row r="581" ht="15.75" customHeight="1">
      <c r="A581" s="120" t="str">
        <f>IFERROR(__xludf.DUMMYFUNCTION("""COMPUTED_VALUE"""),"0826 311 621")</f>
        <v>0826 311 621</v>
      </c>
      <c r="B581" s="121" t="str">
        <f>IFERROR(__xludf.DUMMYFUNCTION("""COMPUTED_VALUE"""),"chi Bạch Yến")</f>
        <v>chi Bạch Yến</v>
      </c>
      <c r="C581" s="121" t="str">
        <f>IFERROR(__xludf.DUMMYFUNCTION("""COMPUTED_VALUE"""),"8 Thái Phiên")</f>
        <v>8 Thái Phiên</v>
      </c>
      <c r="D581" s="121" t="str">
        <f>IFERROR(__xludf.DUMMYFUNCTION("""COMPUTED_VALUE"""),"chó")</f>
        <v>chó</v>
      </c>
      <c r="E581" s="121" t="str">
        <f>IFERROR(__xludf.DUMMYFUNCTION("""COMPUTED_VALUE"""),"Milo")</f>
        <v>Milo</v>
      </c>
    </row>
    <row r="582" ht="15.75" customHeight="1">
      <c r="A582" s="120" t="str">
        <f>IFERROR(__xludf.DUMMYFUNCTION("""COMPUTED_VALUE"""),"0969 015 152")</f>
        <v>0969 015 152</v>
      </c>
      <c r="B582" s="121" t="str">
        <f>IFERROR(__xludf.DUMMYFUNCTION("""COMPUTED_VALUE"""),"chị Vân")</f>
        <v>chị Vân</v>
      </c>
      <c r="C582" s="121" t="str">
        <f>IFERROR(__xludf.DUMMYFUNCTION("""COMPUTED_VALUE"""),"Phạm Thị Liên")</f>
        <v>Phạm Thị Liên</v>
      </c>
      <c r="D582" s="121" t="str">
        <f>IFERROR(__xludf.DUMMYFUNCTION("""COMPUTED_VALUE"""),"cho ")</f>
        <v>cho </v>
      </c>
      <c r="E582" s="121" t="str">
        <f>IFERROR(__xludf.DUMMYFUNCTION("""COMPUTED_VALUE"""),"Xù")</f>
        <v>Xù</v>
      </c>
    </row>
    <row r="583" ht="15.75" customHeight="1">
      <c r="A583" s="120" t="str">
        <f>IFERROR(__xludf.DUMMYFUNCTION("""COMPUTED_VALUE"""),"0935 699 752")</f>
        <v>0935 699 752</v>
      </c>
      <c r="B583" s="121" t="str">
        <f>IFERROR(__xludf.DUMMYFUNCTION("""COMPUTED_VALUE"""),"anh Long")</f>
        <v>anh Long</v>
      </c>
      <c r="C583" s="121" t="str">
        <f>IFERROR(__xludf.DUMMYFUNCTION("""COMPUTED_VALUE"""),"99 Long Hồ")</f>
        <v>99 Long Hồ</v>
      </c>
      <c r="D583" s="121" t="str">
        <f>IFERROR(__xludf.DUMMYFUNCTION("""COMPUTED_VALUE"""),"chó")</f>
        <v>chó</v>
      </c>
      <c r="E583" s="121" t="str">
        <f>IFERROR(__xludf.DUMMYFUNCTION("""COMPUTED_VALUE"""),"Lu")</f>
        <v>Lu</v>
      </c>
    </row>
    <row r="584" ht="15.75" customHeight="1">
      <c r="A584" s="128" t="str">
        <f>IFERROR(__xludf.DUMMYFUNCTION("""COMPUTED_VALUE"""),"0987 549 146")</f>
        <v>0987 549 146</v>
      </c>
      <c r="B584" s="127" t="str">
        <f>IFERROR(__xludf.DUMMYFUNCTION("""COMPUTED_VALUE"""),"chị Huyền")</f>
        <v>chị Huyền</v>
      </c>
      <c r="C584" s="127" t="str">
        <f>IFERROR(__xludf.DUMMYFUNCTION("""COMPUTED_VALUE"""),"48 Văn Thánh")</f>
        <v>48 Văn Thánh</v>
      </c>
      <c r="D584" s="127" t="str">
        <f>IFERROR(__xludf.DUMMYFUNCTION("""COMPUTED_VALUE"""),"chó")</f>
        <v>chó</v>
      </c>
      <c r="E584" s="127" t="str">
        <f>IFERROR(__xludf.DUMMYFUNCTION("""COMPUTED_VALUE"""),"Si")</f>
        <v>Si</v>
      </c>
    </row>
    <row r="585" ht="15.75" customHeight="1">
      <c r="A585" s="128" t="str">
        <f>IFERROR(__xludf.DUMMYFUNCTION("""COMPUTED_VALUE"""),"0905 522 336")</f>
        <v>0905 522 336</v>
      </c>
      <c r="B585" s="127" t="str">
        <f>IFERROR(__xludf.DUMMYFUNCTION("""COMPUTED_VALUE"""),"anh Phúc")</f>
        <v>anh Phúc</v>
      </c>
      <c r="C585" s="127" t="str">
        <f>IFERROR(__xludf.DUMMYFUNCTION("""COMPUTED_VALUE"""),"KCC Xuân Phú")</f>
        <v>KCC Xuân Phú</v>
      </c>
      <c r="D585" s="127" t="str">
        <f>IFERROR(__xludf.DUMMYFUNCTION("""COMPUTED_VALUE"""),"chó")</f>
        <v>chó</v>
      </c>
      <c r="E585" s="127" t="str">
        <f>IFERROR(__xludf.DUMMYFUNCTION("""COMPUTED_VALUE"""),"Lou")</f>
        <v>Lou</v>
      </c>
    </row>
    <row r="586" ht="15.75" customHeight="1">
      <c r="A586" s="128" t="str">
        <f>IFERROR(__xludf.DUMMYFUNCTION("""COMPUTED_VALUE"""),"0763 566 005")</f>
        <v>0763 566 005</v>
      </c>
      <c r="B586" s="127" t="str">
        <f>IFERROR(__xludf.DUMMYFUNCTION("""COMPUTED_VALUE"""),"Chị Loan")</f>
        <v>Chị Loan</v>
      </c>
      <c r="C586" s="127" t="str">
        <f>IFERROR(__xludf.DUMMYFUNCTION("""COMPUTED_VALUE"""),"36/149 Trần Phú")</f>
        <v>36/149 Trần Phú</v>
      </c>
      <c r="D586" s="127" t="str">
        <f>IFERROR(__xludf.DUMMYFUNCTION("""COMPUTED_VALUE"""),"Chó")</f>
        <v>Chó</v>
      </c>
      <c r="E586" s="127" t="str">
        <f>IFERROR(__xludf.DUMMYFUNCTION("""COMPUTED_VALUE"""),"Bơ")</f>
        <v>Bơ</v>
      </c>
    </row>
    <row r="587" ht="15.75" customHeight="1">
      <c r="A587" s="120" t="str">
        <f>IFERROR(__xludf.DUMMYFUNCTION("""COMPUTED_VALUE"""),"0352 387 886")</f>
        <v>0352 387 886</v>
      </c>
      <c r="B587" s="121" t="str">
        <f>IFERROR(__xludf.DUMMYFUNCTION("""COMPUTED_VALUE"""),"Chị Thảo")</f>
        <v>Chị Thảo</v>
      </c>
      <c r="C587" s="121" t="str">
        <f>IFERROR(__xludf.DUMMYFUNCTION("""COMPUTED_VALUE"""),"36 Yết Kiêu")</f>
        <v>36 Yết Kiêu</v>
      </c>
      <c r="D587" s="121" t="str">
        <f>IFERROR(__xludf.DUMMYFUNCTION("""COMPUTED_VALUE"""),"Chó")</f>
        <v>Chó</v>
      </c>
      <c r="E587" s="121" t="str">
        <f>IFERROR(__xludf.DUMMYFUNCTION("""COMPUTED_VALUE"""),"Bành")</f>
        <v>Bành</v>
      </c>
    </row>
    <row r="588" ht="15.75" customHeight="1">
      <c r="A588" s="120" t="str">
        <f>IFERROR(__xludf.DUMMYFUNCTION("""COMPUTED_VALUE"""),"0982 175 357")</f>
        <v>0982 175 357</v>
      </c>
      <c r="B588" s="121" t="str">
        <f>IFERROR(__xludf.DUMMYFUNCTION("""COMPUTED_VALUE"""),"chị My")</f>
        <v>chị My</v>
      </c>
      <c r="C588" s="121" t="str">
        <f>IFERROR(__xludf.DUMMYFUNCTION("""COMPUTED_VALUE"""),"Thủy Biều")</f>
        <v>Thủy Biều</v>
      </c>
      <c r="D588" s="121" t="str">
        <f>IFERROR(__xludf.DUMMYFUNCTION("""COMPUTED_VALUE"""),"chó ")</f>
        <v>chó </v>
      </c>
      <c r="E588" s="121" t="str">
        <f>IFERROR(__xludf.DUMMYFUNCTION("""COMPUTED_VALUE"""),"Xám")</f>
        <v>Xám</v>
      </c>
    </row>
    <row r="589" ht="15.75" customHeight="1">
      <c r="A589" s="120" t="str">
        <f>IFERROR(__xludf.DUMMYFUNCTION("""COMPUTED_VALUE"""),"0348 649 327")</f>
        <v>0348 649 327</v>
      </c>
      <c r="B589" s="121" t="str">
        <f>IFERROR(__xludf.DUMMYFUNCTION("""COMPUTED_VALUE"""),"chị Lan")</f>
        <v>chị Lan</v>
      </c>
      <c r="C589" s="121" t="str">
        <f>IFERROR(__xludf.DUMMYFUNCTION("""COMPUTED_VALUE"""),"22/17 Phú Mộng- Kim Long")</f>
        <v>22/17 Phú Mộng- Kim Long</v>
      </c>
      <c r="D589" s="121" t="str">
        <f>IFERROR(__xludf.DUMMYFUNCTION("""COMPUTED_VALUE"""),"chó ")</f>
        <v>chó </v>
      </c>
      <c r="E589" s="119" t="str">
        <f>IFERROR(__xludf.DUMMYFUNCTION("""COMPUTED_VALUE"""),"Susi")</f>
        <v>Susi</v>
      </c>
    </row>
    <row r="590" ht="15.75" customHeight="1">
      <c r="A590" s="128" t="str">
        <f>IFERROR(__xludf.DUMMYFUNCTION("""COMPUTED_VALUE"""),"0932 118 309")</f>
        <v>0932 118 309</v>
      </c>
      <c r="B590" s="127" t="str">
        <f>IFERROR(__xludf.DUMMYFUNCTION("""COMPUTED_VALUE"""),"chị Hòa")</f>
        <v>chị Hòa</v>
      </c>
      <c r="C590" s="127" t="str">
        <f>IFERROR(__xludf.DUMMYFUNCTION("""COMPUTED_VALUE"""),"11 Mang Cá")</f>
        <v>11 Mang Cá</v>
      </c>
      <c r="D590" s="127" t="str">
        <f>IFERROR(__xludf.DUMMYFUNCTION("""COMPUTED_VALUE"""),"chó ")</f>
        <v>chó </v>
      </c>
      <c r="E590" s="127" t="str">
        <f>IFERROR(__xludf.DUMMYFUNCTION("""COMPUTED_VALUE"""),"Ớt")</f>
        <v>Ớt</v>
      </c>
    </row>
    <row r="591" ht="15.75" customHeight="1">
      <c r="A591" s="128" t="str">
        <f>IFERROR(__xludf.DUMMYFUNCTION("""COMPUTED_VALUE"""),"0333 147 544")</f>
        <v>0333 147 544</v>
      </c>
      <c r="B591" s="127" t="str">
        <f>IFERROR(__xludf.DUMMYFUNCTION("""COMPUTED_VALUE"""),"Em Huyền Trân")</f>
        <v>Em Huyền Trân</v>
      </c>
      <c r="C591" s="127" t="str">
        <f>IFERROR(__xludf.DUMMYFUNCTION("""COMPUTED_VALUE"""),"3/171 Trần Phú")</f>
        <v>3/171 Trần Phú</v>
      </c>
      <c r="D591" s="127" t="str">
        <f>IFERROR(__xludf.DUMMYFUNCTION("""COMPUTED_VALUE"""),"Chó")</f>
        <v>Chó</v>
      </c>
      <c r="E591" s="127" t="str">
        <f>IFERROR(__xludf.DUMMYFUNCTION("""COMPUTED_VALUE"""),"Mỡ")</f>
        <v>Mỡ</v>
      </c>
    </row>
    <row r="592" ht="15.75" customHeight="1">
      <c r="A592" s="120" t="str">
        <f>IFERROR(__xludf.DUMMYFUNCTION("""COMPUTED_VALUE"""),"0937 189 061")</f>
        <v>0937 189 061</v>
      </c>
      <c r="B592" s="121" t="str">
        <f>IFERROR(__xludf.DUMMYFUNCTION("""COMPUTED_VALUE"""),"Nguyễn Văn Tài")</f>
        <v>Nguyễn Văn Tài</v>
      </c>
      <c r="C592" s="121" t="str">
        <f>IFERROR(__xludf.DUMMYFUNCTION("""COMPUTED_VALUE"""),"Tổ 10, Thủy Xuân")</f>
        <v>Tổ 10, Thủy Xuân</v>
      </c>
      <c r="D592" s="121" t="str">
        <f>IFERROR(__xludf.DUMMYFUNCTION("""COMPUTED_VALUE"""),"chó")</f>
        <v>chó</v>
      </c>
      <c r="E592" s="121" t="str">
        <f>IFERROR(__xludf.DUMMYFUNCTION("""COMPUTED_VALUE"""),"Bạc Xỉu")</f>
        <v>Bạc Xỉu</v>
      </c>
    </row>
    <row r="593" ht="15.75" customHeight="1">
      <c r="A593" s="128" t="str">
        <f>IFERROR(__xludf.DUMMYFUNCTION("""COMPUTED_VALUE"""),"0766 111 097")</f>
        <v>0766 111 097</v>
      </c>
      <c r="B593" s="127" t="str">
        <f>IFERROR(__xludf.DUMMYFUNCTION("""COMPUTED_VALUE"""),"Hồ Thị Thanh Nhàn")</f>
        <v>Hồ Thị Thanh Nhàn</v>
      </c>
      <c r="C593" s="127" t="str">
        <f>IFERROR(__xludf.DUMMYFUNCTION("""COMPUTED_VALUE"""),"Phong Điền")</f>
        <v>Phong Điền</v>
      </c>
      <c r="D593" s="127" t="str">
        <f>IFERROR(__xludf.DUMMYFUNCTION("""COMPUTED_VALUE"""),"chó")</f>
        <v>chó</v>
      </c>
      <c r="E593" s="127" t="str">
        <f>IFERROR(__xludf.DUMMYFUNCTION("""COMPUTED_VALUE"""),"Sol")</f>
        <v>Sol</v>
      </c>
    </row>
    <row r="594" ht="15.75" customHeight="1">
      <c r="A594" s="128" t="str">
        <f>IFERROR(__xludf.DUMMYFUNCTION("""COMPUTED_VALUE"""),"0914 546 160")</f>
        <v>0914 546 160</v>
      </c>
      <c r="B594" s="127" t="str">
        <f>IFERROR(__xludf.DUMMYFUNCTION("""COMPUTED_VALUE"""),"Trương Đình Vững")</f>
        <v>Trương Đình Vững</v>
      </c>
      <c r="C594" s="127" t="str">
        <f>IFERROR(__xludf.DUMMYFUNCTION("""COMPUTED_VALUE"""),"80/27/7 Nguyễn Hoàng")</f>
        <v>80/27/7 Nguyễn Hoàng</v>
      </c>
      <c r="D594" s="127" t="str">
        <f>IFERROR(__xludf.DUMMYFUNCTION("""COMPUTED_VALUE"""),"mèo")</f>
        <v>mèo</v>
      </c>
      <c r="E594" s="119"/>
    </row>
    <row r="595" ht="15.75" customHeight="1">
      <c r="A595" s="120" t="str">
        <f>IFERROR(__xludf.DUMMYFUNCTION("""COMPUTED_VALUE"""),"0392 638 378")</f>
        <v>0392 638 378</v>
      </c>
      <c r="B595" s="121" t="str">
        <f>IFERROR(__xludf.DUMMYFUNCTION("""COMPUTED_VALUE"""),"chị Thùy Nhung")</f>
        <v>chị Thùy Nhung</v>
      </c>
      <c r="C595" s="121" t="str">
        <f>IFERROR(__xludf.DUMMYFUNCTION("""COMPUTED_VALUE"""),"An Đô, Hương Chữ, Hương Trà")</f>
        <v>An Đô, Hương Chữ, Hương Trà</v>
      </c>
      <c r="D595" s="121" t="str">
        <f>IFERROR(__xludf.DUMMYFUNCTION("""COMPUTED_VALUE"""),"chó")</f>
        <v>chó</v>
      </c>
      <c r="E595" s="121" t="str">
        <f>IFERROR(__xludf.DUMMYFUNCTION("""COMPUTED_VALUE"""),"Bông")</f>
        <v>Bông</v>
      </c>
    </row>
    <row r="596" ht="15.75" customHeight="1">
      <c r="A596" s="120" t="str">
        <f>IFERROR(__xludf.DUMMYFUNCTION("""COMPUTED_VALUE"""),"0905 855 059")</f>
        <v>0905 855 059</v>
      </c>
      <c r="B596" s="121" t="str">
        <f>IFERROR(__xludf.DUMMYFUNCTION("""COMPUTED_VALUE"""),"chị Duyên")</f>
        <v>chị Duyên</v>
      </c>
      <c r="C596" s="121" t="str">
        <f>IFERROR(__xludf.DUMMYFUNCTION("""COMPUTED_VALUE"""),"288 Lý Nam Đế")</f>
        <v>288 Lý Nam Đế</v>
      </c>
      <c r="D596" s="121" t="str">
        <f>IFERROR(__xludf.DUMMYFUNCTION("""COMPUTED_VALUE"""),"chó ")</f>
        <v>chó </v>
      </c>
      <c r="E596" s="121" t="str">
        <f>IFERROR(__xludf.DUMMYFUNCTION("""COMPUTED_VALUE"""),"Lượm")</f>
        <v>Lượm</v>
      </c>
    </row>
    <row r="597" ht="15.75" customHeight="1">
      <c r="A597" s="128" t="str">
        <f>IFERROR(__xludf.DUMMYFUNCTION("""COMPUTED_VALUE"""),"0912 725 668")</f>
        <v>0912 725 668</v>
      </c>
      <c r="B597" s="127" t="str">
        <f>IFERROR(__xludf.DUMMYFUNCTION("""COMPUTED_VALUE"""),"chị Châu")</f>
        <v>chị Châu</v>
      </c>
      <c r="C597" s="127" t="str">
        <f>IFERROR(__xludf.DUMMYFUNCTION("""COMPUTED_VALUE"""),"34 Nguyễn Phúc Nguyên")</f>
        <v>34 Nguyễn Phúc Nguyên</v>
      </c>
      <c r="D597" s="127" t="str">
        <f>IFERROR(__xludf.DUMMYFUNCTION("""COMPUTED_VALUE"""),"chó ")</f>
        <v>chó </v>
      </c>
      <c r="E597" s="127" t="str">
        <f>IFERROR(__xludf.DUMMYFUNCTION("""COMPUTED_VALUE"""),"Sammy")</f>
        <v>Sammy</v>
      </c>
    </row>
    <row r="598" ht="15.75" customHeight="1">
      <c r="A598" s="128" t="str">
        <f>IFERROR(__xludf.DUMMYFUNCTION("""COMPUTED_VALUE"""),"0913 495 624")</f>
        <v>0913 495 624</v>
      </c>
      <c r="B598" s="127" t="str">
        <f>IFERROR(__xludf.DUMMYFUNCTION("""COMPUTED_VALUE"""),"chú Cường")</f>
        <v>chú Cường</v>
      </c>
      <c r="C598" s="127" t="str">
        <f>IFERROR(__xludf.DUMMYFUNCTION("""COMPUTED_VALUE"""),"26/39 Phạm Thị Liên")</f>
        <v>26/39 Phạm Thị Liên</v>
      </c>
      <c r="D598" s="127" t="str">
        <f>IFERROR(__xludf.DUMMYFUNCTION("""COMPUTED_VALUE"""),"chó")</f>
        <v>chó</v>
      </c>
      <c r="E598" s="127"/>
    </row>
    <row r="599" ht="15.75" customHeight="1">
      <c r="A599" s="128" t="str">
        <f>IFERROR(__xludf.DUMMYFUNCTION("""COMPUTED_VALUE"""),"0935 480 961")</f>
        <v>0935 480 961</v>
      </c>
      <c r="B599" s="127" t="str">
        <f>IFERROR(__xludf.DUMMYFUNCTION("""COMPUTED_VALUE"""),"Ngọc Châu ")</f>
        <v>Ngọc Châu </v>
      </c>
      <c r="C599" s="127" t="str">
        <f>IFERROR(__xludf.DUMMYFUNCTION("""COMPUTED_VALUE"""),"44/240 Lý Nam Đế")</f>
        <v>44/240 Lý Nam Đế</v>
      </c>
      <c r="D599" s="127" t="str">
        <f>IFERROR(__xludf.DUMMYFUNCTION("""COMPUTED_VALUE"""),"mèo")</f>
        <v>mèo</v>
      </c>
      <c r="E599" s="119" t="str">
        <f>IFERROR(__xludf.DUMMYFUNCTION("""COMPUTED_VALUE"""),"Bơ")</f>
        <v>Bơ</v>
      </c>
    </row>
    <row r="600" ht="15.75" customHeight="1">
      <c r="A600" s="128" t="str">
        <f>IFERROR(__xludf.DUMMYFUNCTION("""COMPUTED_VALUE"""),"0798 813 441")</f>
        <v>0798 813 441</v>
      </c>
      <c r="B600" s="127" t="str">
        <f>IFERROR(__xludf.DUMMYFUNCTION("""COMPUTED_VALUE"""),"Anh Minh ")</f>
        <v>Anh Minh </v>
      </c>
      <c r="C600" s="127" t="str">
        <f>IFERROR(__xludf.DUMMYFUNCTION("""COMPUTED_VALUE"""),"34 Thạch Hãn")</f>
        <v>34 Thạch Hãn</v>
      </c>
      <c r="D600" s="127" t="str">
        <f>IFERROR(__xludf.DUMMYFUNCTION("""COMPUTED_VALUE"""),"mèo")</f>
        <v>mèo</v>
      </c>
      <c r="E600" s="119" t="str">
        <f>IFERROR(__xludf.DUMMYFUNCTION("""COMPUTED_VALUE"""),"Ori")</f>
        <v>Ori</v>
      </c>
    </row>
    <row r="601" ht="15.75" customHeight="1">
      <c r="A601" s="128" t="str">
        <f>IFERROR(__xludf.DUMMYFUNCTION("""COMPUTED_VALUE"""),"0373 665 610")</f>
        <v>0373 665 610</v>
      </c>
      <c r="B601" s="127" t="str">
        <f>IFERROR(__xludf.DUMMYFUNCTION("""COMPUTED_VALUE"""),"chị Nga")</f>
        <v>chị Nga</v>
      </c>
      <c r="C601" s="127" t="str">
        <f>IFERROR(__xludf.DUMMYFUNCTION("""COMPUTED_VALUE"""),"39/160 Nguyễn Hữu Dật")</f>
        <v>39/160 Nguyễn Hữu Dật</v>
      </c>
      <c r="D601" s="127" t="str">
        <f>IFERROR(__xludf.DUMMYFUNCTION("""COMPUTED_VALUE"""),"chó")</f>
        <v>chó</v>
      </c>
      <c r="E601" s="127" t="str">
        <f>IFERROR(__xludf.DUMMYFUNCTION("""COMPUTED_VALUE"""),"Nâu")</f>
        <v>Nâu</v>
      </c>
    </row>
    <row r="602" ht="15.75" customHeight="1">
      <c r="A602" s="128" t="str">
        <f>IFERROR(__xludf.DUMMYFUNCTION("""COMPUTED_VALUE"""),"0935 960 615")</f>
        <v>0935 960 615</v>
      </c>
      <c r="B602" s="127" t="str">
        <f>IFERROR(__xludf.DUMMYFUNCTION("""COMPUTED_VALUE"""),"chị Hiền")</f>
        <v>chị Hiền</v>
      </c>
      <c r="C602" s="127" t="str">
        <f>IFERROR(__xludf.DUMMYFUNCTION("""COMPUTED_VALUE"""),"78 Thích Tịnh Khiết")</f>
        <v>78 Thích Tịnh Khiết</v>
      </c>
      <c r="D602" s="127" t="str">
        <f>IFERROR(__xludf.DUMMYFUNCTION("""COMPUTED_VALUE"""),"chó ")</f>
        <v>chó </v>
      </c>
      <c r="E602" s="127" t="str">
        <f>IFERROR(__xludf.DUMMYFUNCTION("""COMPUTED_VALUE"""),"Vá")</f>
        <v>Vá</v>
      </c>
    </row>
    <row r="603" ht="15.75" customHeight="1">
      <c r="A603" s="128" t="str">
        <f>IFERROR(__xludf.DUMMYFUNCTION("""COMPUTED_VALUE"""),"0942 884 004")</f>
        <v>0942 884 004</v>
      </c>
      <c r="B603" s="127" t="str">
        <f>IFERROR(__xludf.DUMMYFUNCTION("""COMPUTED_VALUE"""),"chị Chi")</f>
        <v>chị Chi</v>
      </c>
      <c r="C603" s="127" t="str">
        <f>IFERROR(__xludf.DUMMYFUNCTION("""COMPUTED_VALUE"""),"Nguyễn Phúc Thụ")</f>
        <v>Nguyễn Phúc Thụ</v>
      </c>
      <c r="D603" s="127" t="str">
        <f>IFERROR(__xludf.DUMMYFUNCTION("""COMPUTED_VALUE"""),"mèo")</f>
        <v>mèo</v>
      </c>
      <c r="E603" s="127"/>
    </row>
    <row r="604" ht="15.75" customHeight="1">
      <c r="A604" s="128" t="str">
        <f>IFERROR(__xludf.DUMMYFUNCTION("""COMPUTED_VALUE"""),"0866 007 227")</f>
        <v>0866 007 227</v>
      </c>
      <c r="B604" s="127" t="str">
        <f>IFERROR(__xludf.DUMMYFUNCTION("""COMPUTED_VALUE"""),"Anh Bảo")</f>
        <v>Anh Bảo</v>
      </c>
      <c r="C604" s="127" t="str">
        <f>IFERROR(__xludf.DUMMYFUNCTION("""COMPUTED_VALUE"""),"42 nguyễn hữu dật")</f>
        <v>42 nguyễn hữu dật</v>
      </c>
      <c r="D604" s="127" t="str">
        <f>IFERROR(__xludf.DUMMYFUNCTION("""COMPUTED_VALUE"""),"chó")</f>
        <v>chó</v>
      </c>
      <c r="E604" s="127" t="str">
        <f>IFERROR(__xludf.DUMMYFUNCTION("""COMPUTED_VALUE"""),"Gấu")</f>
        <v>Gấu</v>
      </c>
    </row>
    <row r="605" ht="15.75" customHeight="1">
      <c r="A605" s="128" t="str">
        <f>IFERROR(__xludf.DUMMYFUNCTION("""COMPUTED_VALUE"""),"0934 735 131")</f>
        <v>0934 735 131</v>
      </c>
      <c r="B605" s="127" t="str">
        <f>IFERROR(__xludf.DUMMYFUNCTION("""COMPUTED_VALUE"""),"Anh Quốc Anh")</f>
        <v>Anh Quốc Anh</v>
      </c>
      <c r="C605" s="127" t="str">
        <f>IFERROR(__xludf.DUMMYFUNCTION("""COMPUTED_VALUE"""),"9C/91/131 Trần Phú")</f>
        <v>9C/91/131 Trần Phú</v>
      </c>
      <c r="D605" s="127" t="str">
        <f>IFERROR(__xludf.DUMMYFUNCTION("""COMPUTED_VALUE"""),"Chó")</f>
        <v>Chó</v>
      </c>
      <c r="E605" s="127" t="str">
        <f>IFERROR(__xludf.DUMMYFUNCTION("""COMPUTED_VALUE"""),"Nâu")</f>
        <v>Nâu</v>
      </c>
    </row>
    <row r="606" ht="15.75" customHeight="1">
      <c r="A606" s="128" t="str">
        <f>IFERROR(__xludf.DUMMYFUNCTION("""COMPUTED_VALUE"""),"0702 709 970")</f>
        <v>0702 709 970</v>
      </c>
      <c r="B606" s="127" t="str">
        <f>IFERROR(__xludf.DUMMYFUNCTION("""COMPUTED_VALUE"""),"Anh Phong")</f>
        <v>Anh Phong</v>
      </c>
      <c r="C606" s="127" t="str">
        <f>IFERROR(__xludf.DUMMYFUNCTION("""COMPUTED_VALUE"""),"1 Tố Hữu")</f>
        <v>1 Tố Hữu</v>
      </c>
      <c r="D606" s="127" t="str">
        <f>IFERROR(__xludf.DUMMYFUNCTION("""COMPUTED_VALUE"""),"mèo")</f>
        <v>mèo</v>
      </c>
      <c r="E606" s="127" t="str">
        <f>IFERROR(__xludf.DUMMYFUNCTION("""COMPUTED_VALUE"""),"Bo")</f>
        <v>Bo</v>
      </c>
    </row>
    <row r="607" ht="15.75" customHeight="1">
      <c r="A607" s="128" t="str">
        <f>IFERROR(__xludf.DUMMYFUNCTION("""COMPUTED_VALUE"""),"0914 019 139")</f>
        <v>0914 019 139</v>
      </c>
      <c r="B607" s="127" t="str">
        <f>IFERROR(__xludf.DUMMYFUNCTION("""COMPUTED_VALUE"""),"chú Thanh")</f>
        <v>chú Thanh</v>
      </c>
      <c r="C607" s="127" t="str">
        <f>IFERROR(__xludf.DUMMYFUNCTION("""COMPUTED_VALUE"""),"128 Phạm Thị Liên")</f>
        <v>128 Phạm Thị Liên</v>
      </c>
      <c r="D607" s="127" t="str">
        <f>IFERROR(__xludf.DUMMYFUNCTION("""COMPUTED_VALUE"""),"chó ")</f>
        <v>chó </v>
      </c>
      <c r="E607" s="127" t="str">
        <f>IFERROR(__xludf.DUMMYFUNCTION("""COMPUTED_VALUE"""),"Soái")</f>
        <v>Soái</v>
      </c>
    </row>
    <row r="608" ht="15.75" customHeight="1">
      <c r="A608" s="128" t="str">
        <f>IFERROR(__xludf.DUMMYFUNCTION("""COMPUTED_VALUE"""),"0935 236 976")</f>
        <v>0935 236 976</v>
      </c>
      <c r="B608" s="127" t="str">
        <f>IFERROR(__xludf.DUMMYFUNCTION("""COMPUTED_VALUE"""),"Anh nguyên")</f>
        <v>Anh nguyên</v>
      </c>
      <c r="C608" s="127" t="str">
        <f>IFERROR(__xludf.DUMMYFUNCTION("""COMPUTED_VALUE"""),"An đông 12")</f>
        <v>An đông 12</v>
      </c>
      <c r="D608" s="127" t="str">
        <f>IFERROR(__xludf.DUMMYFUNCTION("""COMPUTED_VALUE"""),"mèo")</f>
        <v>mèo</v>
      </c>
      <c r="E608" s="127" t="str">
        <f>IFERROR(__xludf.DUMMYFUNCTION("""COMPUTED_VALUE"""),"Bơ")</f>
        <v>Bơ</v>
      </c>
    </row>
    <row r="609" ht="15.75" customHeight="1">
      <c r="A609" s="128" t="str">
        <f>IFERROR(__xludf.DUMMYFUNCTION("""COMPUTED_VALUE"""),"0944 402 845")</f>
        <v>0944 402 845</v>
      </c>
      <c r="B609" s="127" t="str">
        <f>IFERROR(__xludf.DUMMYFUNCTION("""COMPUTED_VALUE"""),"Châu Liên Phương")</f>
        <v>Châu Liên Phương</v>
      </c>
      <c r="C609" s="127" t="str">
        <f>IFERROR(__xludf.DUMMYFUNCTION("""COMPUTED_VALUE"""),"Kiệt 35 Phạm Thị Liên")</f>
        <v>Kiệt 35 Phạm Thị Liên</v>
      </c>
      <c r="D609" s="127" t="str">
        <f>IFERROR(__xludf.DUMMYFUNCTION("""COMPUTED_VALUE"""),"chó")</f>
        <v>chó</v>
      </c>
      <c r="E609" s="127" t="str">
        <f>IFERROR(__xludf.DUMMYFUNCTION("""COMPUTED_VALUE"""),"Bốt")</f>
        <v>Bốt</v>
      </c>
    </row>
    <row r="610" ht="15.75" customHeight="1">
      <c r="A610" s="128" t="str">
        <f>IFERROR(__xludf.DUMMYFUNCTION("""COMPUTED_VALUE"""),"0983 863 426")</f>
        <v>0983 863 426</v>
      </c>
      <c r="B610" s="127" t="str">
        <f>IFERROR(__xludf.DUMMYFUNCTION("""COMPUTED_VALUE"""),"chị Châu")</f>
        <v>chị Châu</v>
      </c>
      <c r="C610" s="127" t="str">
        <f>IFERROR(__xludf.DUMMYFUNCTION("""COMPUTED_VALUE"""),"17 Phạm thị liên")</f>
        <v>17 Phạm thị liên</v>
      </c>
      <c r="D610" s="127" t="str">
        <f>IFERROR(__xludf.DUMMYFUNCTION("""COMPUTED_VALUE"""),"mèo")</f>
        <v>mèo</v>
      </c>
      <c r="E610" s="119" t="str">
        <f>IFERROR(__xludf.DUMMYFUNCTION("""COMPUTED_VALUE"""),"Lượm")</f>
        <v>Lượm</v>
      </c>
    </row>
    <row r="611" ht="15.75" customHeight="1">
      <c r="A611" s="128" t="str">
        <f>IFERROR(__xludf.DUMMYFUNCTION("""COMPUTED_VALUE"""),"0795 043 833")</f>
        <v>0795 043 833</v>
      </c>
      <c r="B611" s="127"/>
      <c r="C611" s="127" t="str">
        <f>IFERROR(__xludf.DUMMYFUNCTION("""COMPUTED_VALUE"""),"32 Kim Long")</f>
        <v>32 Kim Long</v>
      </c>
      <c r="D611" s="127"/>
      <c r="E611" s="127"/>
    </row>
    <row r="612" ht="15.75" customHeight="1">
      <c r="A612" s="128" t="str">
        <f>IFERROR(__xludf.DUMMYFUNCTION("""COMPUTED_VALUE"""),"0934 972 029")</f>
        <v>0934 972 029</v>
      </c>
      <c r="B612" s="127" t="str">
        <f>IFERROR(__xludf.DUMMYFUNCTION("""COMPUTED_VALUE"""),"anh Dũng")</f>
        <v>anh Dũng</v>
      </c>
      <c r="C612" s="127" t="str">
        <f>IFERROR(__xludf.DUMMYFUNCTION("""COMPUTED_VALUE"""),"Phú Hiệp")</f>
        <v>Phú Hiệp</v>
      </c>
      <c r="D612" s="127" t="str">
        <f>IFERROR(__xludf.DUMMYFUNCTION("""COMPUTED_VALUE"""),"chó")</f>
        <v>chó</v>
      </c>
      <c r="E612" s="127"/>
    </row>
    <row r="613" ht="15.75" customHeight="1">
      <c r="A613" s="128" t="str">
        <f>IFERROR(__xludf.DUMMYFUNCTION("""COMPUTED_VALUE"""),"0833 175 175")</f>
        <v>0833 175 175</v>
      </c>
      <c r="B613" s="127" t="str">
        <f>IFERROR(__xludf.DUMMYFUNCTION("""COMPUTED_VALUE"""),"Anh Hiếu")</f>
        <v>Anh Hiếu</v>
      </c>
      <c r="C613" s="127" t="str">
        <f>IFERROR(__xludf.DUMMYFUNCTION("""COMPUTED_VALUE"""),"77 Địa Linh")</f>
        <v>77 Địa Linh</v>
      </c>
      <c r="D613" s="127" t="str">
        <f>IFERROR(__xludf.DUMMYFUNCTION("""COMPUTED_VALUE"""),"Chó")</f>
        <v>Chó</v>
      </c>
      <c r="E613" s="127" t="str">
        <f>IFERROR(__xludf.DUMMYFUNCTION("""COMPUTED_VALUE"""),"Fox")</f>
        <v>Fox</v>
      </c>
    </row>
    <row r="614" ht="15.75" customHeight="1">
      <c r="A614" s="128" t="str">
        <f>IFERROR(__xludf.DUMMYFUNCTION("""COMPUTED_VALUE"""),"0914 094 369")</f>
        <v>0914 094 369</v>
      </c>
      <c r="B614" s="127" t="str">
        <f>IFERROR(__xludf.DUMMYFUNCTION("""COMPUTED_VALUE"""),"chú Dũng")</f>
        <v>chú Dũng</v>
      </c>
      <c r="C614" s="127" t="str">
        <f>IFERROR(__xludf.DUMMYFUNCTION("""COMPUTED_VALUE"""),"Kiệt 69 Phạm Thị Liên")</f>
        <v>Kiệt 69 Phạm Thị Liên</v>
      </c>
      <c r="D614" s="127" t="str">
        <f>IFERROR(__xludf.DUMMYFUNCTION("""COMPUTED_VALUE"""),"chó")</f>
        <v>chó</v>
      </c>
      <c r="E614" s="127" t="str">
        <f>IFERROR(__xludf.DUMMYFUNCTION("""COMPUTED_VALUE"""),"Kiki")</f>
        <v>Kiki</v>
      </c>
    </row>
    <row r="615" ht="15.75" customHeight="1">
      <c r="A615" s="128" t="str">
        <f>IFERROR(__xludf.DUMMYFUNCTION("""COMPUTED_VALUE"""),"0354 170 192")</f>
        <v>0354 170 192</v>
      </c>
      <c r="B615" s="133" t="str">
        <f>IFERROR(__xludf.DUMMYFUNCTION("""COMPUTED_VALUE"""),"em Thảo")</f>
        <v>em Thảo</v>
      </c>
      <c r="C615" s="127" t="str">
        <f>IFERROR(__xludf.DUMMYFUNCTION("""COMPUTED_VALUE"""),"375 Chi Lăng")</f>
        <v>375 Chi Lăng</v>
      </c>
      <c r="D615" s="127" t="str">
        <f>IFERROR(__xludf.DUMMYFUNCTION("""COMPUTED_VALUE"""),"mèo")</f>
        <v>mèo</v>
      </c>
      <c r="E615" s="119" t="str">
        <f>IFERROR(__xludf.DUMMYFUNCTION("""COMPUTED_VALUE"""),"Mim")</f>
        <v>Mim</v>
      </c>
    </row>
    <row r="616" ht="15.75" customHeight="1">
      <c r="A616" s="128" t="str">
        <f>IFERROR(__xludf.DUMMYFUNCTION("""COMPUTED_VALUE"""),"0766 668 100")</f>
        <v>0766 668 100</v>
      </c>
      <c r="B616" s="127" t="str">
        <f>IFERROR(__xludf.DUMMYFUNCTION("""COMPUTED_VALUE"""),"Hồ Quang Quý")</f>
        <v>Hồ Quang Quý</v>
      </c>
      <c r="C616" s="127" t="str">
        <f>IFERROR(__xludf.DUMMYFUNCTION("""COMPUTED_VALUE"""),"56 Bửu Đình")</f>
        <v>56 Bửu Đình</v>
      </c>
      <c r="D616" s="127" t="str">
        <f>IFERROR(__xludf.DUMMYFUNCTION("""COMPUTED_VALUE"""),"chó")</f>
        <v>chó</v>
      </c>
      <c r="E616" s="119" t="str">
        <f>IFERROR(__xludf.DUMMYFUNCTION("""COMPUTED_VALUE"""),"Đồ/Nâu")</f>
        <v>Đồ/Nâu</v>
      </c>
    </row>
    <row r="617" ht="15.75" customHeight="1">
      <c r="A617" s="128" t="str">
        <f>IFERROR(__xludf.DUMMYFUNCTION("""COMPUTED_VALUE"""),"0962 479 752")</f>
        <v>0962 479 752</v>
      </c>
      <c r="B617" s="127" t="str">
        <f>IFERROR(__xludf.DUMMYFUNCTION("""COMPUTED_VALUE"""),"Anh Minh Đạt")</f>
        <v>Anh Minh Đạt</v>
      </c>
      <c r="C617" s="127" t="str">
        <f>IFERROR(__xludf.DUMMYFUNCTION("""COMPUTED_VALUE"""),"292 Phạm Văn Đồng")</f>
        <v>292 Phạm Văn Đồng</v>
      </c>
      <c r="D617" s="127" t="str">
        <f>IFERROR(__xludf.DUMMYFUNCTION("""COMPUTED_VALUE"""),"Chó")</f>
        <v>Chó</v>
      </c>
      <c r="E617" s="127"/>
    </row>
    <row r="618" ht="15.75" customHeight="1">
      <c r="A618" s="128" t="str">
        <f>IFERROR(__xludf.DUMMYFUNCTION("""COMPUTED_VALUE"""),"0795 735 682")</f>
        <v>0795 735 682</v>
      </c>
      <c r="B618" s="127" t="str">
        <f>IFERROR(__xludf.DUMMYFUNCTION("""COMPUTED_VALUE"""),"Chị Nguyên")</f>
        <v>Chị Nguyên</v>
      </c>
      <c r="C618" s="127" t="str">
        <f>IFERROR(__xludf.DUMMYFUNCTION("""COMPUTED_VALUE"""),"81 Hàn Mặc Tử")</f>
        <v>81 Hàn Mặc Tử</v>
      </c>
      <c r="D618" s="127" t="str">
        <f>IFERROR(__xludf.DUMMYFUNCTION("""COMPUTED_VALUE"""),"chó")</f>
        <v>chó</v>
      </c>
      <c r="E618" s="127"/>
    </row>
    <row r="619" ht="15.75" customHeight="1">
      <c r="A619" s="128" t="str">
        <f>IFERROR(__xludf.DUMMYFUNCTION("""COMPUTED_VALUE"""),"0988 626 054")</f>
        <v>0988 626 054</v>
      </c>
      <c r="B619" s="127" t="str">
        <f>IFERROR(__xludf.DUMMYFUNCTION("""COMPUTED_VALUE"""),"Chị Chi")</f>
        <v>Chị Chi</v>
      </c>
      <c r="C619" s="127" t="str">
        <f>IFERROR(__xludf.DUMMYFUNCTION("""COMPUTED_VALUE"""),"199 Tăng Bạt Hổ")</f>
        <v>199 Tăng Bạt Hổ</v>
      </c>
      <c r="D619" s="127" t="str">
        <f>IFERROR(__xludf.DUMMYFUNCTION("""COMPUTED_VALUE"""),"Chó")</f>
        <v>Chó</v>
      </c>
      <c r="E619" s="119" t="str">
        <f>IFERROR(__xludf.DUMMYFUNCTION("""COMPUTED_VALUE"""),"Ki/Nâu")</f>
        <v>Ki/Nâu</v>
      </c>
    </row>
    <row r="620" ht="15.75" customHeight="1">
      <c r="A620" s="128" t="str">
        <f>IFERROR(__xludf.DUMMYFUNCTION("""COMPUTED_VALUE"""),"0937 968 349")</f>
        <v>0937 968 349</v>
      </c>
      <c r="B620" s="127" t="str">
        <f>IFERROR(__xludf.DUMMYFUNCTION("""COMPUTED_VALUE"""),"chị Hiền")</f>
        <v>chị Hiền</v>
      </c>
      <c r="C620" s="127" t="str">
        <f>IFERROR(__xludf.DUMMYFUNCTION("""COMPUTED_VALUE"""),"Phan bội châu")</f>
        <v>Phan bội châu</v>
      </c>
      <c r="D620" s="127" t="str">
        <f>IFERROR(__xludf.DUMMYFUNCTION("""COMPUTED_VALUE"""),"chó")</f>
        <v>chó</v>
      </c>
      <c r="E620" s="127" t="str">
        <f>IFERROR(__xludf.DUMMYFUNCTION("""COMPUTED_VALUE"""),"husky")</f>
        <v>husky</v>
      </c>
    </row>
    <row r="621" ht="15.75" customHeight="1">
      <c r="A621" s="128" t="str">
        <f>IFERROR(__xludf.DUMMYFUNCTION("""COMPUTED_VALUE"""),"0942 754 745")</f>
        <v>0942 754 745</v>
      </c>
      <c r="B621" s="127" t="str">
        <f>IFERROR(__xludf.DUMMYFUNCTION("""COMPUTED_VALUE"""),"Sư cô Tường Quang")</f>
        <v>Sư cô Tường Quang</v>
      </c>
      <c r="C621" s="127" t="str">
        <f>IFERROR(__xludf.DUMMYFUNCTION("""COMPUTED_VALUE"""),"chùa từ đà, thủy xuân")</f>
        <v>chùa từ đà, thủy xuân</v>
      </c>
      <c r="D621" s="127" t="str">
        <f>IFERROR(__xludf.DUMMYFUNCTION("""COMPUTED_VALUE"""),"chó ")</f>
        <v>chó </v>
      </c>
      <c r="E621" s="127" t="str">
        <f>IFERROR(__xludf.DUMMYFUNCTION("""COMPUTED_VALUE"""),"Tuda")</f>
        <v>Tuda</v>
      </c>
    </row>
    <row r="622" ht="15.75" customHeight="1">
      <c r="A622" s="128" t="str">
        <f>IFERROR(__xludf.DUMMYFUNCTION("""COMPUTED_VALUE"""),"0766 550 751")</f>
        <v>0766 550 751</v>
      </c>
      <c r="B622" s="127" t="str">
        <f>IFERROR(__xludf.DUMMYFUNCTION("""COMPUTED_VALUE"""),"Hồng Oanh")</f>
        <v>Hồng Oanh</v>
      </c>
      <c r="C622" s="127" t="str">
        <f>IFERROR(__xludf.DUMMYFUNCTION("""COMPUTED_VALUE"""),"12k62 Nguyễn Gia Thiều")</f>
        <v>12k62 Nguyễn Gia Thiều</v>
      </c>
      <c r="D622" s="127" t="str">
        <f>IFERROR(__xludf.DUMMYFUNCTION("""COMPUTED_VALUE"""),"chó")</f>
        <v>chó</v>
      </c>
      <c r="E622" s="127" t="str">
        <f>IFERROR(__xludf.DUMMYFUNCTION("""COMPUTED_VALUE"""),"Xù")</f>
        <v>Xù</v>
      </c>
    </row>
    <row r="623" ht="15.75" customHeight="1">
      <c r="A623" s="128" t="str">
        <f>IFERROR(__xludf.DUMMYFUNCTION("""COMPUTED_VALUE"""),"0905 629 938")</f>
        <v>0905 629 938</v>
      </c>
      <c r="B623" s="127" t="str">
        <f>IFERROR(__xludf.DUMMYFUNCTION("""COMPUTED_VALUE"""),"Chị Ngọc Cẩm")</f>
        <v>Chị Ngọc Cẩm</v>
      </c>
      <c r="C623" s="127" t="str">
        <f>IFERROR(__xludf.DUMMYFUNCTION("""COMPUTED_VALUE"""),"5/7 Lê Thánh Tôn")</f>
        <v>5/7 Lê Thánh Tôn</v>
      </c>
      <c r="D623" s="127" t="str">
        <f>IFERROR(__xludf.DUMMYFUNCTION("""COMPUTED_VALUE"""),"Chó")</f>
        <v>Chó</v>
      </c>
      <c r="E623" s="127" t="str">
        <f>IFERROR(__xludf.DUMMYFUNCTION("""COMPUTED_VALUE"""),"Súp lơ")</f>
        <v>Súp lơ</v>
      </c>
    </row>
    <row r="624" ht="15.75" customHeight="1">
      <c r="A624" s="128" t="str">
        <f>IFERROR(__xludf.DUMMYFUNCTION("""COMPUTED_VALUE"""),"0702 396 575")</f>
        <v>0702 396 575</v>
      </c>
      <c r="B624" s="127" t="str">
        <f>IFERROR(__xludf.DUMMYFUNCTION("""COMPUTED_VALUE"""),"Anh Hòa")</f>
        <v>Anh Hòa</v>
      </c>
      <c r="C624" s="127" t="str">
        <f>IFERROR(__xludf.DUMMYFUNCTION("""COMPUTED_VALUE"""),"64 Kim Long")</f>
        <v>64 Kim Long</v>
      </c>
      <c r="D624" s="127" t="str">
        <f>IFERROR(__xludf.DUMMYFUNCTION("""COMPUTED_VALUE"""),"Chó")</f>
        <v>Chó</v>
      </c>
      <c r="E624" s="127" t="str">
        <f>IFERROR(__xludf.DUMMYFUNCTION("""COMPUTED_VALUE"""),"Vàng")</f>
        <v>Vàng</v>
      </c>
    </row>
    <row r="625" ht="15.75" customHeight="1">
      <c r="A625" s="128" t="str">
        <f>IFERROR(__xludf.DUMMYFUNCTION("""COMPUTED_VALUE"""),"0396 136 968")</f>
        <v>0396 136 968</v>
      </c>
      <c r="B625" s="127" t="str">
        <f>IFERROR(__xludf.DUMMYFUNCTION("""COMPUTED_VALUE"""),"Anh Hưng")</f>
        <v>Anh Hưng</v>
      </c>
      <c r="C625" s="127" t="str">
        <f>IFERROR(__xludf.DUMMYFUNCTION("""COMPUTED_VALUE"""),"23/24 Nguyễn Phúc Nguyên")</f>
        <v>23/24 Nguyễn Phúc Nguyên</v>
      </c>
      <c r="D625" s="127" t="str">
        <f>IFERROR(__xludf.DUMMYFUNCTION("""COMPUTED_VALUE"""),"mèo")</f>
        <v>mèo</v>
      </c>
      <c r="E625" s="119"/>
    </row>
    <row r="626" ht="15.75" customHeight="1">
      <c r="A626" s="128" t="str">
        <f>IFERROR(__xludf.DUMMYFUNCTION("""COMPUTED_VALUE"""),"0702 767 191")</f>
        <v>0702 767 191</v>
      </c>
      <c r="B626" s="127"/>
      <c r="C626" s="127"/>
      <c r="D626" s="127" t="str">
        <f>IFERROR(__xludf.DUMMYFUNCTION("""COMPUTED_VALUE"""),"chó")</f>
        <v>chó</v>
      </c>
      <c r="E626" s="127" t="str">
        <f>IFERROR(__xludf.DUMMYFUNCTION("""COMPUTED_VALUE"""),"Bông")</f>
        <v>Bông</v>
      </c>
    </row>
    <row r="627" ht="15.75" customHeight="1">
      <c r="A627" s="128" t="str">
        <f>IFERROR(__xludf.DUMMYFUNCTION("""COMPUTED_VALUE"""),"0345 372 542")</f>
        <v>0345 372 542</v>
      </c>
      <c r="B627" s="127" t="str">
        <f>IFERROR(__xludf.DUMMYFUNCTION("""COMPUTED_VALUE"""),"Em Tiến")</f>
        <v>Em Tiến</v>
      </c>
      <c r="C627" s="127" t="str">
        <f>IFERROR(__xludf.DUMMYFUNCTION("""COMPUTED_VALUE"""),"36/22 Phạm Thị Liên")</f>
        <v>36/22 Phạm Thị Liên</v>
      </c>
      <c r="D627" s="127" t="str">
        <f>IFERROR(__xludf.DUMMYFUNCTION("""COMPUTED_VALUE"""),"Chó")</f>
        <v>Chó</v>
      </c>
      <c r="E627" s="127" t="str">
        <f>IFERROR(__xludf.DUMMYFUNCTION("""COMPUTED_VALUE"""),"Đen")</f>
        <v>Đen</v>
      </c>
    </row>
    <row r="628" ht="15.75" customHeight="1">
      <c r="A628" s="128" t="str">
        <f>IFERROR(__xludf.DUMMYFUNCTION("""COMPUTED_VALUE"""),"0915 761 357")</f>
        <v>0915 761 357</v>
      </c>
      <c r="B628" s="127" t="str">
        <f>IFERROR(__xludf.DUMMYFUNCTION("""COMPUTED_VALUE"""),"Anh Đức")</f>
        <v>Anh Đức</v>
      </c>
      <c r="C628" s="127" t="str">
        <f>IFERROR(__xludf.DUMMYFUNCTION("""COMPUTED_VALUE"""),"22 Phạm THị Liên")</f>
        <v>22 Phạm THị Liên</v>
      </c>
      <c r="D628" s="127" t="str">
        <f>IFERROR(__xludf.DUMMYFUNCTION("""COMPUTED_VALUE"""),"Chó")</f>
        <v>Chó</v>
      </c>
      <c r="E628" s="127" t="str">
        <f>IFERROR(__xludf.DUMMYFUNCTION("""COMPUTED_VALUE"""),"Milo")</f>
        <v>Milo</v>
      </c>
    </row>
    <row r="629" ht="15.75" customHeight="1">
      <c r="A629" s="128" t="str">
        <f>IFERROR(__xludf.DUMMYFUNCTION("""COMPUTED_VALUE"""),"0795 740 414")</f>
        <v>0795 740 414</v>
      </c>
      <c r="B629" s="127" t="str">
        <f>IFERROR(__xludf.DUMMYFUNCTION("""COMPUTED_VALUE"""),"Chị Nhật Linh")</f>
        <v>Chị Nhật Linh</v>
      </c>
      <c r="C629" s="127" t="str">
        <f>IFERROR(__xludf.DUMMYFUNCTION("""COMPUTED_VALUE"""),"22A1/98 Triệu Quang Phục")</f>
        <v>22A1/98 Triệu Quang Phục</v>
      </c>
      <c r="D629" s="127" t="str">
        <f>IFERROR(__xludf.DUMMYFUNCTION("""COMPUTED_VALUE"""),"Chó")</f>
        <v>Chó</v>
      </c>
      <c r="E629" s="127" t="str">
        <f>IFERROR(__xludf.DUMMYFUNCTION("""COMPUTED_VALUE"""),"Gấu")</f>
        <v>Gấu</v>
      </c>
    </row>
    <row r="630" ht="15.75" customHeight="1">
      <c r="A630" s="128" t="str">
        <f>IFERROR(__xludf.DUMMYFUNCTION("""COMPUTED_VALUE"""),"0911 346 398")</f>
        <v>0911 346 398</v>
      </c>
      <c r="B630" s="127" t="str">
        <f>IFERROR(__xludf.DUMMYFUNCTION("""COMPUTED_VALUE"""),"Chị Nga")</f>
        <v>Chị Nga</v>
      </c>
      <c r="C630" s="127" t="str">
        <f>IFERROR(__xludf.DUMMYFUNCTION("""COMPUTED_VALUE"""),"12/110 Nhật Lệ")</f>
        <v>12/110 Nhật Lệ</v>
      </c>
      <c r="D630" s="127" t="str">
        <f>IFERROR(__xludf.DUMMYFUNCTION("""COMPUTED_VALUE"""),"Chó")</f>
        <v>Chó</v>
      </c>
      <c r="E630" s="127" t="str">
        <f>IFERROR(__xludf.DUMMYFUNCTION("""COMPUTED_VALUE"""),"khách hãm nợ tiền, thái độ lồi lõm")</f>
        <v>khách hãm nợ tiền, thái độ lồi lõm</v>
      </c>
    </row>
    <row r="631" ht="15.75" customHeight="1">
      <c r="A631" s="128" t="str">
        <f>IFERROR(__xludf.DUMMYFUNCTION("""COMPUTED_VALUE"""),"0794 986 663")</f>
        <v>0794 986 663</v>
      </c>
      <c r="B631" s="127" t="str">
        <f>IFERROR(__xludf.DUMMYFUNCTION("""COMPUTED_VALUE"""),"Đỗ Hoàng Diễm")</f>
        <v>Đỗ Hoàng Diễm</v>
      </c>
      <c r="C631" s="127" t="str">
        <f>IFERROR(__xludf.DUMMYFUNCTION("""COMPUTED_VALUE"""),"65 Trần Thái Tông")</f>
        <v>65 Trần Thái Tông</v>
      </c>
      <c r="D631" s="127" t="str">
        <f>IFERROR(__xludf.DUMMYFUNCTION("""COMPUTED_VALUE"""),"Chó")</f>
        <v>Chó</v>
      </c>
      <c r="E631" s="127" t="str">
        <f>IFERROR(__xludf.DUMMYFUNCTION("""COMPUTED_VALUE"""),"Rô Bô")</f>
        <v>Rô Bô</v>
      </c>
    </row>
    <row r="632" ht="15.75" customHeight="1">
      <c r="A632" s="128" t="str">
        <f>IFERROR(__xludf.DUMMYFUNCTION("""COMPUTED_VALUE"""),"0931 919 170")</f>
        <v>0931 919 170</v>
      </c>
      <c r="B632" s="127" t="str">
        <f>IFERROR(__xludf.DUMMYFUNCTION("""COMPUTED_VALUE"""),"Thanh Thảo")</f>
        <v>Thanh Thảo</v>
      </c>
      <c r="C632" s="127" t="str">
        <f>IFERROR(__xludf.DUMMYFUNCTION("""COMPUTED_VALUE"""),"13/4 Nguyễn Phúc Lan")</f>
        <v>13/4 Nguyễn Phúc Lan</v>
      </c>
      <c r="D632" s="127" t="str">
        <f>IFERROR(__xludf.DUMMYFUNCTION("""COMPUTED_VALUE"""),"mèo")</f>
        <v>mèo</v>
      </c>
      <c r="E632" s="127" t="str">
        <f>IFERROR(__xludf.DUMMYFUNCTION("""COMPUTED_VALUE"""),"Gạo")</f>
        <v>Gạo</v>
      </c>
    </row>
    <row r="633" ht="15.75" customHeight="1">
      <c r="A633" s="128" t="str">
        <f>IFERROR(__xludf.DUMMYFUNCTION("""COMPUTED_VALUE"""),"0988 572 348")</f>
        <v>0988 572 348</v>
      </c>
      <c r="B633" s="127" t="str">
        <f>IFERROR(__xludf.DUMMYFUNCTION("""COMPUTED_VALUE"""),"Nguyễn Đăng Hoàn Thành Đạt")</f>
        <v>Nguyễn Đăng Hoàn Thành Đạt</v>
      </c>
      <c r="C633" s="127" t="str">
        <f>IFERROR(__xludf.DUMMYFUNCTION("""COMPUTED_VALUE"""),"240/12 Lý Nam Đế")</f>
        <v>240/12 Lý Nam Đế</v>
      </c>
      <c r="D633" s="127" t="str">
        <f>IFERROR(__xludf.DUMMYFUNCTION("""COMPUTED_VALUE"""),"mèo")</f>
        <v>mèo</v>
      </c>
      <c r="E633" s="127"/>
    </row>
    <row r="634" ht="15.75" customHeight="1">
      <c r="A634" s="128" t="str">
        <f>IFERROR(__xludf.DUMMYFUNCTION("""COMPUTED_VALUE"""),"0338 300 795")</f>
        <v>0338 300 795</v>
      </c>
      <c r="B634" s="127" t="str">
        <f>IFERROR(__xludf.DUMMYFUNCTION("""COMPUTED_VALUE"""),"chị Trang")</f>
        <v>chị Trang</v>
      </c>
      <c r="C634" s="127" t="str">
        <f>IFERROR(__xludf.DUMMYFUNCTION("""COMPUTED_VALUE"""),"25/50 Phạm Thị Liên")</f>
        <v>25/50 Phạm Thị Liên</v>
      </c>
      <c r="D634" s="127" t="str">
        <f>IFERROR(__xludf.DUMMYFUNCTION("""COMPUTED_VALUE"""),"chó ")</f>
        <v>chó </v>
      </c>
      <c r="E634" s="127" t="str">
        <f>IFERROR(__xludf.DUMMYFUNCTION("""COMPUTED_VALUE"""),"Mun")</f>
        <v>Mun</v>
      </c>
    </row>
    <row r="635" ht="15.75" customHeight="1">
      <c r="A635" s="128" t="str">
        <f>IFERROR(__xludf.DUMMYFUNCTION("""COMPUTED_VALUE"""),"0343 186 372")</f>
        <v>0343 186 372</v>
      </c>
      <c r="B635" s="127" t="str">
        <f>IFERROR(__xludf.DUMMYFUNCTION("""COMPUTED_VALUE"""),"Chị Ngọc Huyền")</f>
        <v>Chị Ngọc Huyền</v>
      </c>
      <c r="C635" s="127" t="str">
        <f>IFERROR(__xludf.DUMMYFUNCTION("""COMPUTED_VALUE"""),"Quảng Trị")</f>
        <v>Quảng Trị</v>
      </c>
      <c r="D635" s="127" t="str">
        <f>IFERROR(__xludf.DUMMYFUNCTION("""COMPUTED_VALUE"""),"Chó")</f>
        <v>Chó</v>
      </c>
      <c r="E635" s="119" t="str">
        <f>IFERROR(__xludf.DUMMYFUNCTION("""COMPUTED_VALUE"""),"Cam")</f>
        <v>Cam</v>
      </c>
    </row>
    <row r="636" ht="15.75" customHeight="1">
      <c r="A636" s="128" t="str">
        <f>IFERROR(__xludf.DUMMYFUNCTION("""COMPUTED_VALUE"""),"0366 156 926")</f>
        <v>0366 156 926</v>
      </c>
      <c r="B636" s="127" t="str">
        <f>IFERROR(__xludf.DUMMYFUNCTION("""COMPUTED_VALUE"""),"chú Lã Công Hoan ")</f>
        <v>chú Lã Công Hoan </v>
      </c>
      <c r="C636" s="127" t="str">
        <f>IFERROR(__xludf.DUMMYFUNCTION("""COMPUTED_VALUE"""),"22/4/12 Phú Mộng")</f>
        <v>22/4/12 Phú Mộng</v>
      </c>
      <c r="D636" s="127" t="str">
        <f>IFERROR(__xludf.DUMMYFUNCTION("""COMPUTED_VALUE"""),"mèo")</f>
        <v>mèo</v>
      </c>
      <c r="E636" s="127" t="str">
        <f>IFERROR(__xludf.DUMMYFUNCTION("""COMPUTED_VALUE"""),"Lem")</f>
        <v>Lem</v>
      </c>
    </row>
    <row r="637" ht="15.75" customHeight="1">
      <c r="A637" s="128" t="str">
        <f>IFERROR(__xludf.DUMMYFUNCTION("""COMPUTED_VALUE"""),"0906 523 707")</f>
        <v>0906 523 707</v>
      </c>
      <c r="B637" s="127" t="str">
        <f>IFERROR(__xludf.DUMMYFUNCTION("""COMPUTED_VALUE"""),"Mai Phương Thạnh")</f>
        <v>Mai Phương Thạnh</v>
      </c>
      <c r="C637" s="127" t="str">
        <f>IFERROR(__xludf.DUMMYFUNCTION("""COMPUTED_VALUE"""),"98/23 Nguyễn Phúc Nguyên ")</f>
        <v>98/23 Nguyễn Phúc Nguyên </v>
      </c>
      <c r="D637" s="127" t="str">
        <f>IFERROR(__xludf.DUMMYFUNCTION("""COMPUTED_VALUE"""),"mèo")</f>
        <v>mèo</v>
      </c>
      <c r="E637" s="127" t="str">
        <f>IFERROR(__xludf.DUMMYFUNCTION("""COMPUTED_VALUE"""),"Bo")</f>
        <v>Bo</v>
      </c>
    </row>
    <row r="638" ht="15.75" customHeight="1">
      <c r="A638" s="128" t="str">
        <f>IFERROR(__xludf.DUMMYFUNCTION("""COMPUTED_VALUE"""),"0939 055 095")</f>
        <v>0939 055 095</v>
      </c>
      <c r="B638" s="127" t="str">
        <f>IFERROR(__xludf.DUMMYFUNCTION("""COMPUTED_VALUE"""),"Bác Hậu")</f>
        <v>Bác Hậu</v>
      </c>
      <c r="C638" s="127" t="str">
        <f>IFERROR(__xludf.DUMMYFUNCTION("""COMPUTED_VALUE"""),"6 Nguyễn Đĩnh Chi")</f>
        <v>6 Nguyễn Đĩnh Chi</v>
      </c>
      <c r="D638" s="127" t="str">
        <f>IFERROR(__xludf.DUMMYFUNCTION("""COMPUTED_VALUE"""),"Chó")</f>
        <v>Chó</v>
      </c>
      <c r="E638" s="127" t="str">
        <f>IFERROR(__xludf.DUMMYFUNCTION("""COMPUTED_VALUE"""),"Đen")</f>
        <v>Đen</v>
      </c>
    </row>
    <row r="639" ht="15.75" customHeight="1">
      <c r="A639" s="128" t="str">
        <f>IFERROR(__xludf.DUMMYFUNCTION("""COMPUTED_VALUE"""),"0782 982 767")</f>
        <v>0782 982 767</v>
      </c>
      <c r="B639" s="127" t="str">
        <f>IFERROR(__xludf.DUMMYFUNCTION("""COMPUTED_VALUE"""),"chị Hằng")</f>
        <v>chị Hằng</v>
      </c>
      <c r="C639" s="127" t="str">
        <f>IFERROR(__xludf.DUMMYFUNCTION("""COMPUTED_VALUE"""),"130/4 Kim Long")</f>
        <v>130/4 Kim Long</v>
      </c>
      <c r="D639" s="127" t="str">
        <f>IFERROR(__xludf.DUMMYFUNCTION("""COMPUTED_VALUE"""),"mèo")</f>
        <v>mèo</v>
      </c>
      <c r="E639" s="127" t="str">
        <f>IFERROR(__xludf.DUMMYFUNCTION("""COMPUTED_VALUE"""),"Mun")</f>
        <v>Mun</v>
      </c>
    </row>
    <row r="640" ht="15.75" customHeight="1">
      <c r="A640" s="128" t="str">
        <f>IFERROR(__xludf.DUMMYFUNCTION("""COMPUTED_VALUE"""),"0382 705 689")</f>
        <v>0382 705 689</v>
      </c>
      <c r="B640" s="127" t="str">
        <f>IFERROR(__xludf.DUMMYFUNCTION("""COMPUTED_VALUE"""),"Anh Phúc")</f>
        <v>Anh Phúc</v>
      </c>
      <c r="C640" s="127" t="str">
        <f>IFERROR(__xludf.DUMMYFUNCTION("""COMPUTED_VALUE"""),"3/8 Lê Tự Nhiên")</f>
        <v>3/8 Lê Tự Nhiên</v>
      </c>
      <c r="D640" s="127" t="str">
        <f>IFERROR(__xludf.DUMMYFUNCTION("""COMPUTED_VALUE"""),"Mèo")</f>
        <v>Mèo</v>
      </c>
      <c r="E640" s="127" t="str">
        <f>IFERROR(__xludf.DUMMYFUNCTION("""COMPUTED_VALUE"""),"Đen")</f>
        <v>Đen</v>
      </c>
    </row>
    <row r="641" ht="15.75" customHeight="1">
      <c r="A641" s="128" t="str">
        <f>IFERROR(__xludf.DUMMYFUNCTION("""COMPUTED_VALUE"""),"0388 265 215")</f>
        <v>0388 265 215</v>
      </c>
      <c r="B641" s="127" t="str">
        <f>IFERROR(__xludf.DUMMYFUNCTION("""COMPUTED_VALUE"""),"chị Tuyết")</f>
        <v>chị Tuyết</v>
      </c>
      <c r="C641" s="127" t="str">
        <f>IFERROR(__xludf.DUMMYFUNCTION("""COMPUTED_VALUE"""),"Kiệt 39 Phạm THị Liên")</f>
        <v>Kiệt 39 Phạm THị Liên</v>
      </c>
      <c r="D641" s="127" t="str">
        <f>IFERROR(__xludf.DUMMYFUNCTION("""COMPUTED_VALUE"""),"Chó")</f>
        <v>Chó</v>
      </c>
      <c r="E641" s="127" t="str">
        <f>IFERROR(__xludf.DUMMYFUNCTION("""COMPUTED_VALUE"""),"Ruppir")</f>
        <v>Ruppir</v>
      </c>
    </row>
    <row r="642" ht="15.75" customHeight="1">
      <c r="A642" s="128" t="str">
        <f>IFERROR(__xludf.DUMMYFUNCTION("""COMPUTED_VALUE"""),"0379 160 340")</f>
        <v>0379 160 340</v>
      </c>
      <c r="B642" s="127" t="str">
        <f>IFERROR(__xludf.DUMMYFUNCTION("""COMPUTED_VALUE"""),"Chị Nga")</f>
        <v>Chị Nga</v>
      </c>
      <c r="C642" s="127" t="str">
        <f>IFERROR(__xludf.DUMMYFUNCTION("""COMPUTED_VALUE"""),"9 An Ninh")</f>
        <v>9 An Ninh</v>
      </c>
      <c r="D642" s="127" t="str">
        <f>IFERROR(__xludf.DUMMYFUNCTION("""COMPUTED_VALUE"""),"Chó")</f>
        <v>Chó</v>
      </c>
      <c r="E642" s="127" t="str">
        <f>IFERROR(__xludf.DUMMYFUNCTION("""COMPUTED_VALUE"""),"Mực")</f>
        <v>Mực</v>
      </c>
    </row>
    <row r="643" ht="15.75" customHeight="1">
      <c r="A643" s="128" t="str">
        <f>IFERROR(__xludf.DUMMYFUNCTION("""COMPUTED_VALUE"""),"0829 222 228")</f>
        <v>0829 222 228</v>
      </c>
      <c r="B643" s="127" t="str">
        <f>IFERROR(__xludf.DUMMYFUNCTION("""COMPUTED_VALUE"""),"chị Trinh")</f>
        <v>chị Trinh</v>
      </c>
      <c r="C643" s="127" t="str">
        <f>IFERROR(__xludf.DUMMYFUNCTION("""COMPUTED_VALUE"""),"4/66 Nguyễn Huệ")</f>
        <v>4/66 Nguyễn Huệ</v>
      </c>
      <c r="D643" s="127" t="str">
        <f>IFERROR(__xludf.DUMMYFUNCTION("""COMPUTED_VALUE"""),"chó ")</f>
        <v>chó </v>
      </c>
      <c r="E643" s="127" t="str">
        <f>IFERROR(__xludf.DUMMYFUNCTION("""COMPUTED_VALUE"""),"Bông")</f>
        <v>Bông</v>
      </c>
    </row>
    <row r="644" ht="15.75" customHeight="1">
      <c r="A644" s="128" t="str">
        <f>IFERROR(__xludf.DUMMYFUNCTION("""COMPUTED_VALUE"""),"0788 535 380")</f>
        <v>0788 535 380</v>
      </c>
      <c r="B644" s="127" t="str">
        <f>IFERROR(__xludf.DUMMYFUNCTION("""COMPUTED_VALUE"""),"anh minh tuấn")</f>
        <v>anh minh tuấn</v>
      </c>
      <c r="C644" s="127" t="str">
        <f>IFERROR(__xludf.DUMMYFUNCTION("""COMPUTED_VALUE"""),"kiệt 52 Bà Triệu")</f>
        <v>kiệt 52 Bà Triệu</v>
      </c>
      <c r="D644" s="127" t="str">
        <f>IFERROR(__xludf.DUMMYFUNCTION("""COMPUTED_VALUE"""),"Mèo")</f>
        <v>Mèo</v>
      </c>
      <c r="E644" s="127" t="str">
        <f>IFERROR(__xludf.DUMMYFUNCTION("""COMPUTED_VALUE"""),"Ngơ")</f>
        <v>Ngơ</v>
      </c>
    </row>
    <row r="645" ht="15.75" customHeight="1">
      <c r="A645" s="128" t="str">
        <f>IFERROR(__xludf.DUMMYFUNCTION("""COMPUTED_VALUE"""),"0822 190 303")</f>
        <v>0822 190 303</v>
      </c>
      <c r="B645" s="127" t="str">
        <f>IFERROR(__xludf.DUMMYFUNCTION("""COMPUTED_VALUE"""),"chị Huyền")</f>
        <v>chị Huyền</v>
      </c>
      <c r="C645" s="127" t="str">
        <f>IFERROR(__xludf.DUMMYFUNCTION("""COMPUTED_VALUE"""),"28 Trường Chinh")</f>
        <v>28 Trường Chinh</v>
      </c>
      <c r="D645" s="127" t="str">
        <f>IFERROR(__xludf.DUMMYFUNCTION("""COMPUTED_VALUE"""),"Chó ")</f>
        <v>Chó </v>
      </c>
      <c r="E645" s="127" t="str">
        <f>IFERROR(__xludf.DUMMYFUNCTION("""COMPUTED_VALUE"""),"Gấu")</f>
        <v>Gấu</v>
      </c>
    </row>
    <row r="646" ht="15.75" customHeight="1">
      <c r="A646" s="128" t="str">
        <f>IFERROR(__xludf.DUMMYFUNCTION("""COMPUTED_VALUE"""),"0934 891 443")</f>
        <v>0934 891 443</v>
      </c>
      <c r="B646" s="127" t="str">
        <f>IFERROR(__xludf.DUMMYFUNCTION("""COMPUTED_VALUE"""),"Chị Linh")</f>
        <v>Chị Linh</v>
      </c>
      <c r="C646" s="127" t="str">
        <f>IFERROR(__xludf.DUMMYFUNCTION("""COMPUTED_VALUE"""),"Hương Trà")</f>
        <v>Hương Trà</v>
      </c>
      <c r="D646" s="127" t="str">
        <f>IFERROR(__xludf.DUMMYFUNCTION("""COMPUTED_VALUE"""),"chó ")</f>
        <v>chó </v>
      </c>
      <c r="E646" s="127" t="str">
        <f>IFERROR(__xludf.DUMMYFUNCTION("""COMPUTED_VALUE"""),"Way")</f>
        <v>Way</v>
      </c>
    </row>
    <row r="647" ht="15.75" customHeight="1">
      <c r="A647" s="128" t="str">
        <f>IFERROR(__xludf.DUMMYFUNCTION("""COMPUTED_VALUE"""),"0784 600 905")</f>
        <v>0784 600 905</v>
      </c>
      <c r="B647" s="127" t="str">
        <f>IFERROR(__xludf.DUMMYFUNCTION("""COMPUTED_VALUE"""),"chị Lan")</f>
        <v>chị Lan</v>
      </c>
      <c r="C647" s="127" t="str">
        <f>IFERROR(__xludf.DUMMYFUNCTION("""COMPUTED_VALUE"""),"40 Nguyễn Văn Linh")</f>
        <v>40 Nguyễn Văn Linh</v>
      </c>
      <c r="D647" s="127" t="str">
        <f>IFERROR(__xludf.DUMMYFUNCTION("""COMPUTED_VALUE"""),"Chó")</f>
        <v>Chó</v>
      </c>
      <c r="E647" s="127" t="str">
        <f>IFERROR(__xludf.DUMMYFUNCTION("""COMPUTED_VALUE"""),"Loa")</f>
        <v>Loa</v>
      </c>
    </row>
    <row r="648" ht="15.75" customHeight="1">
      <c r="A648" s="128" t="str">
        <f>IFERROR(__xludf.DUMMYFUNCTION("""COMPUTED_VALUE"""),"0772 268 574")</f>
        <v>0772 268 574</v>
      </c>
      <c r="B648" s="127" t="str">
        <f>IFERROR(__xludf.DUMMYFUNCTION("""COMPUTED_VALUE"""),"anh Hải")</f>
        <v>anh Hải</v>
      </c>
      <c r="C648" s="127" t="str">
        <f>IFERROR(__xludf.DUMMYFUNCTION("""COMPUTED_VALUE"""),"Thủy Xuân ")</f>
        <v>Thủy Xuân </v>
      </c>
      <c r="D648" s="127" t="str">
        <f>IFERROR(__xludf.DUMMYFUNCTION("""COMPUTED_VALUE"""),"Mèo")</f>
        <v>Mèo</v>
      </c>
      <c r="E648" s="127" t="str">
        <f>IFERROR(__xludf.DUMMYFUNCTION("""COMPUTED_VALUE"""),"Mèo")</f>
        <v>Mèo</v>
      </c>
    </row>
    <row r="649" ht="15.75" customHeight="1">
      <c r="A649" s="128" t="str">
        <f>IFERROR(__xludf.DUMMYFUNCTION("""COMPUTED_VALUE"""),"0338 322 331")</f>
        <v>0338 322 331</v>
      </c>
      <c r="B649" s="127" t="str">
        <f>IFERROR(__xludf.DUMMYFUNCTION("""COMPUTED_VALUE"""),"Hồ Văn Bách")</f>
        <v>Hồ Văn Bách</v>
      </c>
      <c r="C649" s="127" t="str">
        <f>IFERROR(__xludf.DUMMYFUNCTION("""COMPUTED_VALUE"""),"Hương Hồ")</f>
        <v>Hương Hồ</v>
      </c>
      <c r="D649" s="127" t="str">
        <f>IFERROR(__xludf.DUMMYFUNCTION("""COMPUTED_VALUE"""),"Chó")</f>
        <v>Chó</v>
      </c>
      <c r="E649" s="127" t="str">
        <f>IFERROR(__xludf.DUMMYFUNCTION("""COMPUTED_VALUE"""),"Đốm")</f>
        <v>Đốm</v>
      </c>
    </row>
    <row r="650" ht="15.75" customHeight="1">
      <c r="A650" s="128" t="str">
        <f>IFERROR(__xludf.DUMMYFUNCTION("""COMPUTED_VALUE"""),"0378 351 052")</f>
        <v>0378 351 052</v>
      </c>
      <c r="B650" s="127" t="str">
        <f>IFERROR(__xludf.DUMMYFUNCTION("""COMPUTED_VALUE"""),"CHị Thùy LInh")</f>
        <v>CHị Thùy LInh</v>
      </c>
      <c r="C650" s="127" t="str">
        <f>IFERROR(__xludf.DUMMYFUNCTION("""COMPUTED_VALUE"""),"Kim Long")</f>
        <v>Kim Long</v>
      </c>
      <c r="D650" s="127" t="str">
        <f>IFERROR(__xludf.DUMMYFUNCTION("""COMPUTED_VALUE"""),"Chó")</f>
        <v>Chó</v>
      </c>
      <c r="E650" s="127"/>
    </row>
    <row r="651" ht="15.75" customHeight="1">
      <c r="A651" s="128" t="str">
        <f>IFERROR(__xludf.DUMMYFUNCTION("""COMPUTED_VALUE"""),"0985 907 002")</f>
        <v>0985 907 002</v>
      </c>
      <c r="B651" s="127" t="str">
        <f>IFERROR(__xludf.DUMMYFUNCTION("""COMPUTED_VALUE"""),"Chị lê")</f>
        <v>Chị lê</v>
      </c>
      <c r="C651" s="127"/>
      <c r="D651" s="127" t="str">
        <f>IFERROR(__xludf.DUMMYFUNCTION("""COMPUTED_VALUE"""),"mèo")</f>
        <v>mèo</v>
      </c>
      <c r="E651" s="119"/>
    </row>
    <row r="652" ht="15.75" customHeight="1">
      <c r="A652" s="128" t="str">
        <f>IFERROR(__xludf.DUMMYFUNCTION("""COMPUTED_VALUE"""),"0762 167 896")</f>
        <v>0762 167 896</v>
      </c>
      <c r="B652" s="127" t="str">
        <f>IFERROR(__xludf.DUMMYFUNCTION("""COMPUTED_VALUE"""),"chị thanh")</f>
        <v>chị thanh</v>
      </c>
      <c r="C652" s="127" t="str">
        <f>IFERROR(__xludf.DUMMYFUNCTION("""COMPUTED_VALUE"""),"phú thuận- phú vang")</f>
        <v>phú thuận- phú vang</v>
      </c>
      <c r="D652" s="127" t="str">
        <f>IFERROR(__xludf.DUMMYFUNCTION("""COMPUTED_VALUE"""),"chó ")</f>
        <v>chó </v>
      </c>
      <c r="E652" s="127" t="str">
        <f>IFERROR(__xludf.DUMMYFUNCTION("""COMPUTED_VALUE"""),"phốc")</f>
        <v>phốc</v>
      </c>
    </row>
    <row r="653" ht="15.75" customHeight="1">
      <c r="A653" s="128" t="str">
        <f>IFERROR(__xludf.DUMMYFUNCTION("""COMPUTED_VALUE"""),"0384 948 554")</f>
        <v>0384 948 554</v>
      </c>
      <c r="B653" s="127" t="str">
        <f>IFERROR(__xludf.DUMMYFUNCTION("""COMPUTED_VALUE"""),"Anh Diễn")</f>
        <v>Anh Diễn</v>
      </c>
      <c r="C653" s="127" t="str">
        <f>IFERROR(__xludf.DUMMYFUNCTION("""COMPUTED_VALUE"""),"57/30 Nguyễn Hoàng")</f>
        <v>57/30 Nguyễn Hoàng</v>
      </c>
      <c r="D653" s="127" t="str">
        <f>IFERROR(__xludf.DUMMYFUNCTION("""COMPUTED_VALUE"""),"chó")</f>
        <v>chó</v>
      </c>
      <c r="E653" s="127" t="str">
        <f>IFERROR(__xludf.DUMMYFUNCTION("""COMPUTED_VALUE"""),"Beer")</f>
        <v>Beer</v>
      </c>
    </row>
    <row r="654" ht="15.75" customHeight="1">
      <c r="A654" s="128" t="str">
        <f>IFERROR(__xludf.DUMMYFUNCTION("""COMPUTED_VALUE"""),"0987 972 142")</f>
        <v>0987 972 142</v>
      </c>
      <c r="B654" s="127" t="str">
        <f>IFERROR(__xludf.DUMMYFUNCTION("""COMPUTED_VALUE"""),"Chú ANh")</f>
        <v>Chú ANh</v>
      </c>
      <c r="C654" s="127" t="str">
        <f>IFERROR(__xludf.DUMMYFUNCTION("""COMPUTED_VALUE"""),"Lê Đức Toàn")</f>
        <v>Lê Đức Toàn</v>
      </c>
      <c r="D654" s="127" t="str">
        <f>IFERROR(__xludf.DUMMYFUNCTION("""COMPUTED_VALUE"""),"Chó")</f>
        <v>Chó</v>
      </c>
      <c r="E654" s="127" t="str">
        <f>IFERROR(__xludf.DUMMYFUNCTION("""COMPUTED_VALUE"""),"Ben")</f>
        <v>Ben</v>
      </c>
    </row>
    <row r="655" ht="15.75" customHeight="1">
      <c r="A655" s="128" t="str">
        <f>IFERROR(__xludf.DUMMYFUNCTION("""COMPUTED_VALUE"""),"0362 976 165")</f>
        <v>0362 976 165</v>
      </c>
      <c r="B655" s="127" t="str">
        <f>IFERROR(__xludf.DUMMYFUNCTION("""COMPUTED_VALUE"""),"Em Phước An")</f>
        <v>Em Phước An</v>
      </c>
      <c r="C655" s="127" t="str">
        <f>IFERROR(__xludf.DUMMYFUNCTION("""COMPUTED_VALUE"""),"103 Ngô Thế Lân")</f>
        <v>103 Ngô Thế Lân</v>
      </c>
      <c r="D655" s="127" t="str">
        <f>IFERROR(__xludf.DUMMYFUNCTION("""COMPUTED_VALUE"""),"Mèo")</f>
        <v>Mèo</v>
      </c>
      <c r="E655" s="127" t="str">
        <f>IFERROR(__xludf.DUMMYFUNCTION("""COMPUTED_VALUE"""),"Bi")</f>
        <v>Bi</v>
      </c>
    </row>
    <row r="656" ht="15.75" customHeight="1">
      <c r="A656" s="128" t="str">
        <f>IFERROR(__xludf.DUMMYFUNCTION("""COMPUTED_VALUE"""),"0935 212 979")</f>
        <v>0935 212 979</v>
      </c>
      <c r="B656" s="127" t="str">
        <f>IFERROR(__xludf.DUMMYFUNCTION("""COMPUTED_VALUE"""),"Dì Hiền")</f>
        <v>Dì Hiền</v>
      </c>
      <c r="C656" s="127" t="str">
        <f>IFERROR(__xludf.DUMMYFUNCTION("""COMPUTED_VALUE"""),"5/22/149 Trần Phú")</f>
        <v>5/22/149 Trần Phú</v>
      </c>
      <c r="D656" s="127" t="str">
        <f>IFERROR(__xludf.DUMMYFUNCTION("""COMPUTED_VALUE"""),"Chó")</f>
        <v>Chó</v>
      </c>
      <c r="E656" s="127" t="str">
        <f>IFERROR(__xludf.DUMMYFUNCTION("""COMPUTED_VALUE"""),"Mận")</f>
        <v>Mận</v>
      </c>
    </row>
    <row r="657" ht="15.75" customHeight="1">
      <c r="A657" s="128" t="str">
        <f>IFERROR(__xludf.DUMMYFUNCTION("""COMPUTED_VALUE"""),"0399 902 740")</f>
        <v>0399 902 740</v>
      </c>
      <c r="B657" s="127" t="str">
        <f>IFERROR(__xludf.DUMMYFUNCTION("""COMPUTED_VALUE"""),"Anh Phương")</f>
        <v>Anh Phương</v>
      </c>
      <c r="C657" s="127" t="str">
        <f>IFERROR(__xludf.DUMMYFUNCTION("""COMPUTED_VALUE"""),"266/20/4 Phan Chu Trinh")</f>
        <v>266/20/4 Phan Chu Trinh</v>
      </c>
      <c r="D657" s="127" t="str">
        <f>IFERROR(__xludf.DUMMYFUNCTION("""COMPUTED_VALUE"""),"chó")</f>
        <v>chó</v>
      </c>
      <c r="E657" s="127" t="str">
        <f>IFERROR(__xludf.DUMMYFUNCTION("""COMPUTED_VALUE"""),"sữa")</f>
        <v>sữa</v>
      </c>
    </row>
    <row r="658" ht="15.75" customHeight="1">
      <c r="A658" s="128" t="str">
        <f>IFERROR(__xludf.DUMMYFUNCTION("""COMPUTED_VALUE"""),"0934 782 870")</f>
        <v>0934 782 870</v>
      </c>
      <c r="B658" s="127" t="str">
        <f>IFERROR(__xludf.DUMMYFUNCTION("""COMPUTED_VALUE"""),"Thanh Nhàn")</f>
        <v>Thanh Nhàn</v>
      </c>
      <c r="C658" s="127" t="str">
        <f>IFERROR(__xludf.DUMMYFUNCTION("""COMPUTED_VALUE"""),"Phong Điền")</f>
        <v>Phong Điền</v>
      </c>
      <c r="D658" s="127" t="str">
        <f>IFERROR(__xludf.DUMMYFUNCTION("""COMPUTED_VALUE"""),"mèo")</f>
        <v>mèo</v>
      </c>
      <c r="E658" s="127" t="str">
        <f>IFERROR(__xludf.DUMMYFUNCTION("""COMPUTED_VALUE"""),"Miu miu")</f>
        <v>Miu miu</v>
      </c>
    </row>
    <row r="659" ht="15.75" customHeight="1">
      <c r="A659" s="128" t="str">
        <f>IFERROR(__xludf.DUMMYFUNCTION("""COMPUTED_VALUE"""),"0983 098 324")</f>
        <v>0983 098 324</v>
      </c>
      <c r="B659" s="127" t="str">
        <f>IFERROR(__xludf.DUMMYFUNCTION("""COMPUTED_VALUE"""),"Anh Phong")</f>
        <v>Anh Phong</v>
      </c>
      <c r="C659" s="127" t="str">
        <f>IFERROR(__xludf.DUMMYFUNCTION("""COMPUTED_VALUE"""),"62 Lịch Đợi")</f>
        <v>62 Lịch Đợi</v>
      </c>
      <c r="D659" s="127" t="str">
        <f>IFERROR(__xludf.DUMMYFUNCTION("""COMPUTED_VALUE"""),"chó")</f>
        <v>chó</v>
      </c>
      <c r="E659" s="127" t="str">
        <f>IFERROR(__xludf.DUMMYFUNCTION("""COMPUTED_VALUE"""),"ấm")</f>
        <v>ấm</v>
      </c>
    </row>
    <row r="660" ht="15.75" customHeight="1">
      <c r="A660" s="120" t="str">
        <f>IFERROR(__xludf.DUMMYFUNCTION("""COMPUTED_VALUE"""),"0362 607 715")</f>
        <v>0362 607 715</v>
      </c>
      <c r="B660" s="121" t="str">
        <f>IFERROR(__xludf.DUMMYFUNCTION("""COMPUTED_VALUE"""),"Chị Nga")</f>
        <v>Chị Nga</v>
      </c>
      <c r="C660" s="121" t="str">
        <f>IFERROR(__xludf.DUMMYFUNCTION("""COMPUTED_VALUE"""),"222/5 Lý Nam Đế")</f>
        <v>222/5 Lý Nam Đế</v>
      </c>
      <c r="D660" s="121" t="str">
        <f>IFERROR(__xludf.DUMMYFUNCTION("""COMPUTED_VALUE"""),"Chó")</f>
        <v>Chó</v>
      </c>
      <c r="E660" s="121" t="str">
        <f>IFERROR(__xludf.DUMMYFUNCTION("""COMPUTED_VALUE"""),"Quýt")</f>
        <v>Quýt</v>
      </c>
    </row>
    <row r="661" ht="15.75" customHeight="1">
      <c r="A661" s="120" t="str">
        <f>IFERROR(__xludf.DUMMYFUNCTION("""COMPUTED_VALUE"""),"0382 683 909")</f>
        <v>0382 683 909</v>
      </c>
      <c r="B661" s="121" t="str">
        <f>IFERROR(__xludf.DUMMYFUNCTION("""COMPUTED_VALUE"""),"Chị Nhật ")</f>
        <v>Chị Nhật </v>
      </c>
      <c r="C661" s="121" t="str">
        <f>IFERROR(__xludf.DUMMYFUNCTION("""COMPUTED_VALUE"""),"24 Phú Mộng")</f>
        <v>24 Phú Mộng</v>
      </c>
      <c r="D661" s="121" t="str">
        <f>IFERROR(__xludf.DUMMYFUNCTION("""COMPUTED_VALUE"""),"Mèo")</f>
        <v>Mèo</v>
      </c>
      <c r="E661" s="121" t="str">
        <f>IFERROR(__xludf.DUMMYFUNCTION("""COMPUTED_VALUE"""),"Heo")</f>
        <v>Heo</v>
      </c>
    </row>
    <row r="662" ht="15.75" customHeight="1">
      <c r="A662" s="120" t="str">
        <f>IFERROR(__xludf.DUMMYFUNCTION("""COMPUTED_VALUE"""),"0979 813 725")</f>
        <v>0979 813 725</v>
      </c>
      <c r="B662" s="121" t="str">
        <f>IFERROR(__xludf.DUMMYFUNCTION("""COMPUTED_VALUE"""),"Anh Nam")</f>
        <v>Anh Nam</v>
      </c>
      <c r="C662" s="121" t="str">
        <f>IFERROR(__xludf.DUMMYFUNCTION("""COMPUTED_VALUE"""),"Thôn 3 xã Vinh Thanh")</f>
        <v>Thôn 3 xã Vinh Thanh</v>
      </c>
      <c r="D662" s="121" t="str">
        <f>IFERROR(__xludf.DUMMYFUNCTION("""COMPUTED_VALUE"""),"Chó")</f>
        <v>Chó</v>
      </c>
      <c r="E662" s="121" t="str">
        <f>IFERROR(__xludf.DUMMYFUNCTION("""COMPUTED_VALUE"""),"Bông")</f>
        <v>Bông</v>
      </c>
    </row>
    <row r="663" ht="15.75" customHeight="1">
      <c r="A663" s="120" t="str">
        <f>IFERROR(__xludf.DUMMYFUNCTION("""COMPUTED_VALUE"""),"0918 515 159")</f>
        <v>0918 515 159</v>
      </c>
      <c r="B663" s="121" t="str">
        <f>IFERROR(__xludf.DUMMYFUNCTION("""COMPUTED_VALUE"""),"Chú Tuấn")</f>
        <v>Chú Tuấn</v>
      </c>
      <c r="C663" s="121" t="str">
        <f>IFERROR(__xludf.DUMMYFUNCTION("""COMPUTED_VALUE"""),"25/69 Phạm Thị Liên")</f>
        <v>25/69 Phạm Thị Liên</v>
      </c>
      <c r="D663" s="121" t="str">
        <f>IFERROR(__xludf.DUMMYFUNCTION("""COMPUTED_VALUE"""),"Chó")</f>
        <v>Chó</v>
      </c>
      <c r="E663" s="121" t="str">
        <f>IFERROR(__xludf.DUMMYFUNCTION("""COMPUTED_VALUE"""),"Lu")</f>
        <v>Lu</v>
      </c>
    </row>
    <row r="664" ht="15.75" customHeight="1">
      <c r="A664" s="120" t="str">
        <f>IFERROR(__xludf.DUMMYFUNCTION("""COMPUTED_VALUE"""),"0358 407 133")</f>
        <v>0358 407 133</v>
      </c>
      <c r="B664" s="121" t="str">
        <f>IFERROR(__xludf.DUMMYFUNCTION("""COMPUTED_VALUE"""),"Chị Trinh")</f>
        <v>Chị Trinh</v>
      </c>
      <c r="C664" s="121" t="str">
        <f>IFERROR(__xludf.DUMMYFUNCTION("""COMPUTED_VALUE"""),"kiệt 73 Đặng Văn Ngữ")</f>
        <v>kiệt 73 Đặng Văn Ngữ</v>
      </c>
      <c r="D664" s="121" t="str">
        <f>IFERROR(__xludf.DUMMYFUNCTION("""COMPUTED_VALUE"""),"Mèo")</f>
        <v>Mèo</v>
      </c>
      <c r="E664" s="121" t="str">
        <f>IFERROR(__xludf.DUMMYFUNCTION("""COMPUTED_VALUE"""),"Lạc")</f>
        <v>Lạc</v>
      </c>
    </row>
    <row r="665" ht="15.75" customHeight="1">
      <c r="A665" s="120" t="str">
        <f>IFERROR(__xludf.DUMMYFUNCTION("""COMPUTED_VALUE"""),"0905 405 388")</f>
        <v>0905 405 388</v>
      </c>
      <c r="B665" s="121" t="str">
        <f>IFERROR(__xludf.DUMMYFUNCTION("""COMPUTED_VALUE"""),"Anh Quang")</f>
        <v>Anh Quang</v>
      </c>
      <c r="C665" s="119" t="str">
        <f>IFERROR(__xludf.DUMMYFUNCTION("""COMPUTED_VALUE"""),"100 Ngự Bình")</f>
        <v>100 Ngự Bình</v>
      </c>
      <c r="D665" s="121" t="str">
        <f>IFERROR(__xludf.DUMMYFUNCTION("""COMPUTED_VALUE"""),"chó ")</f>
        <v>chó </v>
      </c>
      <c r="E665" s="121" t="str">
        <f>IFERROR(__xludf.DUMMYFUNCTION("""COMPUTED_VALUE"""),"Đen")</f>
        <v>Đen</v>
      </c>
    </row>
    <row r="666" ht="15.75" customHeight="1">
      <c r="A666" s="128" t="str">
        <f>IFERROR(__xludf.DUMMYFUNCTION("""COMPUTED_VALUE"""),"0374 872 735")</f>
        <v>0374 872 735</v>
      </c>
      <c r="B666" s="127" t="str">
        <f>IFERROR(__xludf.DUMMYFUNCTION("""COMPUTED_VALUE"""),"Dì Hoa")</f>
        <v>Dì Hoa</v>
      </c>
      <c r="C666" s="127" t="str">
        <f>IFERROR(__xludf.DUMMYFUNCTION("""COMPUTED_VALUE"""),"A Lười")</f>
        <v>A Lười</v>
      </c>
      <c r="D666" s="127" t="str">
        <f>IFERROR(__xludf.DUMMYFUNCTION("""COMPUTED_VALUE"""),"Mèo")</f>
        <v>Mèo</v>
      </c>
      <c r="E666" s="127"/>
    </row>
    <row r="667" ht="15.75" customHeight="1">
      <c r="A667" s="128" t="str">
        <f>IFERROR(__xludf.DUMMYFUNCTION("""COMPUTED_VALUE"""),"0975 662 234")</f>
        <v>0975 662 234</v>
      </c>
      <c r="B667" s="127" t="str">
        <f>IFERROR(__xludf.DUMMYFUNCTION("""COMPUTED_VALUE"""),"Chị Lan Anh")</f>
        <v>Chị Lan Anh</v>
      </c>
      <c r="C667" s="127" t="str">
        <f>IFERROR(__xludf.DUMMYFUNCTION("""COMPUTED_VALUE"""),"Minh Mạng")</f>
        <v>Minh Mạng</v>
      </c>
      <c r="D667" s="127" t="str">
        <f>IFERROR(__xludf.DUMMYFUNCTION("""COMPUTED_VALUE"""),"Chó")</f>
        <v>Chó</v>
      </c>
      <c r="E667" s="127" t="str">
        <f>IFERROR(__xludf.DUMMYFUNCTION("""COMPUTED_VALUE"""),"Đậu")</f>
        <v>Đậu</v>
      </c>
    </row>
    <row r="668" ht="15.75" customHeight="1">
      <c r="A668" s="128" t="str">
        <f>IFERROR(__xludf.DUMMYFUNCTION("""COMPUTED_VALUE"""),"0347 319 703")</f>
        <v>0347 319 703</v>
      </c>
      <c r="B668" s="127" t="str">
        <f>IFERROR(__xludf.DUMMYFUNCTION("""COMPUTED_VALUE"""),"chị ly")</f>
        <v>chị ly</v>
      </c>
      <c r="C668" s="127" t="str">
        <f>IFERROR(__xludf.DUMMYFUNCTION("""COMPUTED_VALUE"""),"142 phan chu trinh")</f>
        <v>142 phan chu trinh</v>
      </c>
      <c r="D668" s="127" t="str">
        <f>IFERROR(__xludf.DUMMYFUNCTION("""COMPUTED_VALUE"""),"chó ")</f>
        <v>chó </v>
      </c>
      <c r="E668" s="127" t="str">
        <f>IFERROR(__xludf.DUMMYFUNCTION("""COMPUTED_VALUE"""),"bún")</f>
        <v>bún</v>
      </c>
    </row>
    <row r="669" ht="15.75" customHeight="1">
      <c r="A669" s="120" t="str">
        <f>IFERROR(__xludf.DUMMYFUNCTION("""COMPUTED_VALUE"""),"0935 282 935")</f>
        <v>0935 282 935</v>
      </c>
      <c r="B669" s="121" t="str">
        <f>IFERROR(__xludf.DUMMYFUNCTION("""COMPUTED_VALUE"""),"Anh Vũ")</f>
        <v>Anh Vũ</v>
      </c>
      <c r="C669" s="121" t="str">
        <f>IFERROR(__xludf.DUMMYFUNCTION("""COMPUTED_VALUE"""),"K17/20 TQK")</f>
        <v>K17/20 TQK</v>
      </c>
      <c r="D669" s="121" t="str">
        <f>IFERROR(__xludf.DUMMYFUNCTION("""COMPUTED_VALUE"""),"Chó")</f>
        <v>Chó</v>
      </c>
      <c r="E669" s="121" t="str">
        <f>IFERROR(__xludf.DUMMYFUNCTION("""COMPUTED_VALUE"""),"Misa")</f>
        <v>Misa</v>
      </c>
    </row>
    <row r="670" ht="15.75" customHeight="1">
      <c r="A670" s="120" t="str">
        <f>IFERROR(__xludf.DUMMYFUNCTION("""COMPUTED_VALUE"""),"0343 838 445")</f>
        <v>0343 838 445</v>
      </c>
      <c r="B670" s="121" t="str">
        <f>IFERROR(__xludf.DUMMYFUNCTION("""COMPUTED_VALUE"""),"Thảo")</f>
        <v>Thảo</v>
      </c>
      <c r="C670" s="121" t="str">
        <f>IFERROR(__xludf.DUMMYFUNCTION("""COMPUTED_VALUE"""),"18 Đồng Khởi")</f>
        <v>18 Đồng Khởi</v>
      </c>
      <c r="D670" s="121" t="str">
        <f>IFERROR(__xludf.DUMMYFUNCTION("""COMPUTED_VALUE"""),"chó")</f>
        <v>chó</v>
      </c>
      <c r="E670" s="121"/>
    </row>
    <row r="671" ht="15.75" customHeight="1">
      <c r="A671" s="128" t="str">
        <f>IFERROR(__xludf.DUMMYFUNCTION("""COMPUTED_VALUE"""),"0905 551 952")</f>
        <v>0905 551 952</v>
      </c>
      <c r="B671" s="127" t="str">
        <f>IFERROR(__xludf.DUMMYFUNCTION("""COMPUTED_VALUE"""),"chú Hải")</f>
        <v>chú Hải</v>
      </c>
      <c r="C671" s="127" t="str">
        <f>IFERROR(__xludf.DUMMYFUNCTION("""COMPUTED_VALUE"""),"26 Minh Mạng")</f>
        <v>26 Minh Mạng</v>
      </c>
      <c r="D671" s="127" t="str">
        <f>IFERROR(__xludf.DUMMYFUNCTION("""COMPUTED_VALUE"""),"mèo")</f>
        <v>mèo</v>
      </c>
      <c r="E671" s="127" t="str">
        <f>IFERROR(__xludf.DUMMYFUNCTION("""COMPUTED_VALUE"""),"cám")</f>
        <v>cám</v>
      </c>
    </row>
    <row r="672" ht="15.75" customHeight="1">
      <c r="A672" s="120">
        <f>IFERROR(__xludf.DUMMYFUNCTION("""COMPUTED_VALUE"""),77.0)</f>
        <v>77</v>
      </c>
      <c r="B672" s="121" t="str">
        <f>IFERROR(__xludf.DUMMYFUNCTION("""COMPUTED_VALUE"""),"DÌ Cúc")</f>
        <v>DÌ Cúc</v>
      </c>
      <c r="C672" s="121" t="str">
        <f>IFERROR(__xludf.DUMMYFUNCTION("""COMPUTED_VALUE"""),"9 Vạn Xuân")</f>
        <v>9 Vạn Xuân</v>
      </c>
      <c r="D672" s="121" t="str">
        <f>IFERROR(__xludf.DUMMYFUNCTION("""COMPUTED_VALUE"""),"chó")</f>
        <v>chó</v>
      </c>
      <c r="E672" s="121" t="str">
        <f>IFERROR(__xludf.DUMMYFUNCTION("""COMPUTED_VALUE"""),"Vàng")</f>
        <v>Vàng</v>
      </c>
    </row>
    <row r="673" ht="15.75" customHeight="1">
      <c r="A673" s="128" t="str">
        <f>IFERROR(__xludf.DUMMYFUNCTION("""COMPUTED_VALUE"""),"0779 434 164")</f>
        <v>0779 434 164</v>
      </c>
      <c r="B673" s="127" t="str">
        <f>IFERROR(__xludf.DUMMYFUNCTION("""COMPUTED_VALUE"""),"Chị Thùy TRang")</f>
        <v>Chị Thùy TRang</v>
      </c>
      <c r="C673" s="127" t="str">
        <f>IFERROR(__xludf.DUMMYFUNCTION("""COMPUTED_VALUE"""),"Hồ VĂn Hiển")</f>
        <v>Hồ VĂn Hiển</v>
      </c>
      <c r="D673" s="127" t="str">
        <f>IFERROR(__xludf.DUMMYFUNCTION("""COMPUTED_VALUE"""),"CHó")</f>
        <v>CHó</v>
      </c>
      <c r="E673" s="127" t="str">
        <f>IFERROR(__xludf.DUMMYFUNCTION("""COMPUTED_VALUE"""),"Đô")</f>
        <v>Đô</v>
      </c>
    </row>
    <row r="674" ht="15.75" customHeight="1">
      <c r="A674" s="128" t="str">
        <f>IFERROR(__xludf.DUMMYFUNCTION("""COMPUTED_VALUE"""),"0904 223 197")</f>
        <v>0904 223 197</v>
      </c>
      <c r="B674" s="127" t="str">
        <f>IFERROR(__xludf.DUMMYFUNCTION("""COMPUTED_VALUE"""),"Anh Tuấn")</f>
        <v>Anh Tuấn</v>
      </c>
      <c r="C674" s="127" t="str">
        <f>IFERROR(__xludf.DUMMYFUNCTION("""COMPUTED_VALUE"""),"35 Đào Duy Anh")</f>
        <v>35 Đào Duy Anh</v>
      </c>
      <c r="D674" s="127" t="str">
        <f>IFERROR(__xludf.DUMMYFUNCTION("""COMPUTED_VALUE"""),"Mèo")</f>
        <v>Mèo</v>
      </c>
      <c r="E674" s="127" t="str">
        <f>IFERROR(__xludf.DUMMYFUNCTION("""COMPUTED_VALUE"""),"Miu")</f>
        <v>Miu</v>
      </c>
    </row>
    <row r="675" ht="15.75" customHeight="1">
      <c r="A675" s="120" t="str">
        <f>IFERROR(__xludf.DUMMYFUNCTION("""COMPUTED_VALUE"""),"0935 555 503")</f>
        <v>0935 555 503</v>
      </c>
      <c r="B675" s="121" t="str">
        <f>IFERROR(__xludf.DUMMYFUNCTION("""COMPUTED_VALUE"""),"Chị Thúy")</f>
        <v>Chị Thúy</v>
      </c>
      <c r="C675" s="121" t="str">
        <f>IFERROR(__xludf.DUMMYFUNCTION("""COMPUTED_VALUE"""),"Hồ VĂn Hiển")</f>
        <v>Hồ VĂn Hiển</v>
      </c>
      <c r="D675" s="121" t="str">
        <f>IFERROR(__xludf.DUMMYFUNCTION("""COMPUTED_VALUE"""),"Chó")</f>
        <v>Chó</v>
      </c>
      <c r="E675" s="121" t="str">
        <f>IFERROR(__xludf.DUMMYFUNCTION("""COMPUTED_VALUE"""),"Đô")</f>
        <v>Đô</v>
      </c>
    </row>
    <row r="676" ht="15.75" customHeight="1">
      <c r="A676" s="120" t="str">
        <f>IFERROR(__xludf.DUMMYFUNCTION("""COMPUTED_VALUE"""),"0377 511 911")</f>
        <v>0377 511 911</v>
      </c>
      <c r="B676" s="121" t="str">
        <f>IFERROR(__xludf.DUMMYFUNCTION("""COMPUTED_VALUE"""),"Anh Trường")</f>
        <v>Anh Trường</v>
      </c>
      <c r="C676" s="121" t="str">
        <f>IFERROR(__xludf.DUMMYFUNCTION("""COMPUTED_VALUE"""),"Điện Biên Phủ")</f>
        <v>Điện Biên Phủ</v>
      </c>
      <c r="D676" s="121" t="str">
        <f>IFERROR(__xludf.DUMMYFUNCTION("""COMPUTED_VALUE"""),"Mèo")</f>
        <v>Mèo</v>
      </c>
      <c r="E676" s="121" t="str">
        <f>IFERROR(__xludf.DUMMYFUNCTION("""COMPUTED_VALUE"""),"Su")</f>
        <v>Su</v>
      </c>
    </row>
    <row r="677" ht="15.75" customHeight="1">
      <c r="A677" s="128" t="str">
        <f>IFERROR(__xludf.DUMMYFUNCTION("""COMPUTED_VALUE"""),"0983 034 370")</f>
        <v>0983 034 370</v>
      </c>
      <c r="B677" s="127" t="str">
        <f>IFERROR(__xludf.DUMMYFUNCTION("""COMPUTED_VALUE"""),"Chú Thám")</f>
        <v>Chú Thám</v>
      </c>
      <c r="C677" s="127" t="str">
        <f>IFERROR(__xludf.DUMMYFUNCTION("""COMPUTED_VALUE"""),"11/68 Nguyễn Phúc Nguyên")</f>
        <v>11/68 Nguyễn Phúc Nguyên</v>
      </c>
      <c r="D677" s="127" t="str">
        <f>IFERROR(__xludf.DUMMYFUNCTION("""COMPUTED_VALUE"""),"Chó")</f>
        <v>Chó</v>
      </c>
      <c r="E677" s="127" t="str">
        <f>IFERROR(__xludf.DUMMYFUNCTION("""COMPUTED_VALUE"""),"Lu")</f>
        <v>Lu</v>
      </c>
    </row>
    <row r="678" ht="15.75" customHeight="1">
      <c r="A678" s="120" t="str">
        <f>IFERROR(__xludf.DUMMYFUNCTION("""COMPUTED_VALUE"""),"0931 959 011")</f>
        <v>0931 959 011</v>
      </c>
      <c r="B678" s="121" t="str">
        <f>IFERROR(__xludf.DUMMYFUNCTION("""COMPUTED_VALUE"""),"Chị Nhi")</f>
        <v>Chị Nhi</v>
      </c>
      <c r="C678" s="121" t="str">
        <f>IFERROR(__xludf.DUMMYFUNCTION("""COMPUTED_VALUE"""),"1/14/15 An Ninh")</f>
        <v>1/14/15 An Ninh</v>
      </c>
      <c r="D678" s="121" t="str">
        <f>IFERROR(__xludf.DUMMYFUNCTION("""COMPUTED_VALUE"""),"chó")</f>
        <v>chó</v>
      </c>
      <c r="E678" s="121" t="str">
        <f>IFERROR(__xludf.DUMMYFUNCTION("""COMPUTED_VALUE"""),"Kim Cương")</f>
        <v>Kim Cương</v>
      </c>
    </row>
    <row r="679" ht="15.75" customHeight="1">
      <c r="A679" s="128" t="str">
        <f>IFERROR(__xludf.DUMMYFUNCTION("""COMPUTED_VALUE"""),"0943 580 785")</f>
        <v>0943 580 785</v>
      </c>
      <c r="B679" s="127" t="str">
        <f>IFERROR(__xludf.DUMMYFUNCTION("""COMPUTED_VALUE"""),"Em Minh Thư")</f>
        <v>Em Minh Thư</v>
      </c>
      <c r="C679" s="127" t="str">
        <f>IFERROR(__xludf.DUMMYFUNCTION("""COMPUTED_VALUE"""),"17/48 Trần Phú")</f>
        <v>17/48 Trần Phú</v>
      </c>
      <c r="D679" s="127" t="str">
        <f>IFERROR(__xludf.DUMMYFUNCTION("""COMPUTED_VALUE"""),"chó")</f>
        <v>chó</v>
      </c>
      <c r="E679" s="127" t="str">
        <f>IFERROR(__xludf.DUMMYFUNCTION("""COMPUTED_VALUE"""),"mun")</f>
        <v>mun</v>
      </c>
    </row>
    <row r="680" ht="15.75" customHeight="1">
      <c r="A680" s="120" t="str">
        <f>IFERROR(__xludf.DUMMYFUNCTION("""COMPUTED_VALUE"""),"0935 525 487")</f>
        <v>0935 525 487</v>
      </c>
      <c r="B680" s="121" t="str">
        <f>IFERROR(__xludf.DUMMYFUNCTION("""COMPUTED_VALUE"""),"Anh Phú")</f>
        <v>Anh Phú</v>
      </c>
      <c r="C680" s="121" t="str">
        <f>IFERROR(__xludf.DUMMYFUNCTION("""COMPUTED_VALUE"""),"Kim Long")</f>
        <v>Kim Long</v>
      </c>
      <c r="D680" s="121" t="str">
        <f>IFERROR(__xludf.DUMMYFUNCTION("""COMPUTED_VALUE"""),"Chó")</f>
        <v>Chó</v>
      </c>
      <c r="E680" s="121" t="str">
        <f>IFERROR(__xludf.DUMMYFUNCTION("""COMPUTED_VALUE"""),"Đen")</f>
        <v>Đen</v>
      </c>
    </row>
    <row r="681" ht="15.75" customHeight="1">
      <c r="A681" s="128" t="str">
        <f>IFERROR(__xludf.DUMMYFUNCTION("""COMPUTED_VALUE"""),"0896 672 324")</f>
        <v>0896 672 324</v>
      </c>
      <c r="B681" s="127" t="str">
        <f>IFERROR(__xludf.DUMMYFUNCTION("""COMPUTED_VALUE"""),"Em Kiều Nhi")</f>
        <v>Em Kiều Nhi</v>
      </c>
      <c r="C681" s="127" t="str">
        <f>IFERROR(__xludf.DUMMYFUNCTION("""COMPUTED_VALUE"""),"2/75 Văn Quán")</f>
        <v>2/75 Văn Quán</v>
      </c>
      <c r="D681" s="127" t="str">
        <f>IFERROR(__xludf.DUMMYFUNCTION("""COMPUTED_VALUE"""),"Chó")</f>
        <v>Chó</v>
      </c>
      <c r="E681" s="127" t="str">
        <f>IFERROR(__xludf.DUMMYFUNCTION("""COMPUTED_VALUE"""),"Cún")</f>
        <v>Cún</v>
      </c>
    </row>
    <row r="682" ht="15.75" customHeight="1">
      <c r="A682" s="128" t="str">
        <f>IFERROR(__xludf.DUMMYFUNCTION("""COMPUTED_VALUE"""),"0379 208 676")</f>
        <v>0379 208 676</v>
      </c>
      <c r="B682" s="127" t="str">
        <f>IFERROR(__xludf.DUMMYFUNCTION("""COMPUTED_VALUE"""),"Anh Trường")</f>
        <v>Anh Trường</v>
      </c>
      <c r="C682" s="127" t="str">
        <f>IFERROR(__xludf.DUMMYFUNCTION("""COMPUTED_VALUE"""),"270 Bùi Thị Xuân")</f>
        <v>270 Bùi Thị Xuân</v>
      </c>
      <c r="D682" s="127" t="str">
        <f>IFERROR(__xludf.DUMMYFUNCTION("""COMPUTED_VALUE"""),"Chó")</f>
        <v>Chó</v>
      </c>
      <c r="E682" s="127" t="str">
        <f>IFERROR(__xludf.DUMMYFUNCTION("""COMPUTED_VALUE"""),"Euro")</f>
        <v>Euro</v>
      </c>
    </row>
    <row r="683" ht="15.75" customHeight="1">
      <c r="A683" s="120" t="str">
        <f>IFERROR(__xludf.DUMMYFUNCTION("""COMPUTED_VALUE"""),"0898 189 809")</f>
        <v>0898 189 809</v>
      </c>
      <c r="B683" s="121" t="str">
        <f>IFERROR(__xludf.DUMMYFUNCTION("""COMPUTED_VALUE"""),"Chị Yến Nhi")</f>
        <v>Chị Yến Nhi</v>
      </c>
      <c r="C683" s="121" t="str">
        <f>IFERROR(__xludf.DUMMYFUNCTION("""COMPUTED_VALUE"""),"162/4 Lý Nam Đế")</f>
        <v>162/4 Lý Nam Đế</v>
      </c>
      <c r="D683" s="121" t="str">
        <f>IFERROR(__xludf.DUMMYFUNCTION("""COMPUTED_VALUE"""),"Chó")</f>
        <v>Chó</v>
      </c>
      <c r="E683" s="121" t="str">
        <f>IFERROR(__xludf.DUMMYFUNCTION("""COMPUTED_VALUE"""),"Bơ")</f>
        <v>Bơ</v>
      </c>
    </row>
    <row r="684" ht="15.75" customHeight="1">
      <c r="A684" s="120" t="str">
        <f>IFERROR(__xludf.DUMMYFUNCTION("""COMPUTED_VALUE"""),"0777 419 688")</f>
        <v>0777 419 688</v>
      </c>
      <c r="B684" s="121" t="str">
        <f>IFERROR(__xludf.DUMMYFUNCTION("""COMPUTED_VALUE"""),"Paul  Wepener ")</f>
        <v>Paul  Wepener </v>
      </c>
      <c r="C684" s="121" t="str">
        <f>IFERROR(__xludf.DUMMYFUNCTION("""COMPUTED_VALUE"""),"Pingo english school")</f>
        <v>Pingo english school</v>
      </c>
      <c r="D684" s="121" t="str">
        <f>IFERROR(__xludf.DUMMYFUNCTION("""COMPUTED_VALUE"""),"Chó")</f>
        <v>Chó</v>
      </c>
      <c r="E684" s="119" t="str">
        <f>IFERROR(__xludf.DUMMYFUNCTION("""COMPUTED_VALUE"""),"Kiko")</f>
        <v>Kiko</v>
      </c>
    </row>
    <row r="685" ht="15.75" customHeight="1">
      <c r="A685" s="128" t="str">
        <f>IFERROR(__xludf.DUMMYFUNCTION("""COMPUTED_VALUE"""),"0903 515 992")</f>
        <v>0903 515 992</v>
      </c>
      <c r="B685" s="127" t="str">
        <f>IFERROR(__xludf.DUMMYFUNCTION("""COMPUTED_VALUE"""),"Chị Nhiên")</f>
        <v>Chị Nhiên</v>
      </c>
      <c r="C685" s="127" t="str">
        <f>IFERROR(__xludf.DUMMYFUNCTION("""COMPUTED_VALUE"""),"Nguyễn Công Trứ")</f>
        <v>Nguyễn Công Trứ</v>
      </c>
      <c r="D685" s="127" t="str">
        <f>IFERROR(__xludf.DUMMYFUNCTION("""COMPUTED_VALUE"""),"Mèo")</f>
        <v>Mèo</v>
      </c>
      <c r="E685" s="127" t="str">
        <f>IFERROR(__xludf.DUMMYFUNCTION("""COMPUTED_VALUE"""),"Apin")</f>
        <v>Apin</v>
      </c>
    </row>
    <row r="686" ht="15.75" customHeight="1">
      <c r="A686" s="120" t="str">
        <f>IFERROR(__xludf.DUMMYFUNCTION("""COMPUTED_VALUE"""),"0378 196 736")</f>
        <v>0378 196 736</v>
      </c>
      <c r="B686" s="121" t="str">
        <f>IFERROR(__xludf.DUMMYFUNCTION("""COMPUTED_VALUE"""),"Thy")</f>
        <v>Thy</v>
      </c>
      <c r="C686" s="121" t="str">
        <f>IFERROR(__xludf.DUMMYFUNCTION("""COMPUTED_VALUE"""),"Phong Hải, Phong Điền")</f>
        <v>Phong Hải, Phong Điền</v>
      </c>
      <c r="D686" s="121" t="str">
        <f>IFERROR(__xludf.DUMMYFUNCTION("""COMPUTED_VALUE"""),"Chó")</f>
        <v>Chó</v>
      </c>
      <c r="E686" s="121" t="str">
        <f>IFERROR(__xludf.DUMMYFUNCTION("""COMPUTED_VALUE"""),"Sóc/Coco")</f>
        <v>Sóc/Coco</v>
      </c>
    </row>
    <row r="687" ht="15.75" customHeight="1">
      <c r="A687" s="120" t="str">
        <f>IFERROR(__xludf.DUMMYFUNCTION("""COMPUTED_VALUE"""),"0936 979 764")</f>
        <v>0936 979 764</v>
      </c>
      <c r="B687" s="121" t="str">
        <f>IFERROR(__xludf.DUMMYFUNCTION("""COMPUTED_VALUE"""),"Anh Nam")</f>
        <v>Anh Nam</v>
      </c>
      <c r="C687" s="121" t="str">
        <f>IFERROR(__xludf.DUMMYFUNCTION("""COMPUTED_VALUE"""),"k101 Dương Văn An")</f>
        <v>k101 Dương Văn An</v>
      </c>
      <c r="D687" s="121" t="str">
        <f>IFERROR(__xludf.DUMMYFUNCTION("""COMPUTED_VALUE"""),"chó")</f>
        <v>chó</v>
      </c>
      <c r="E687" s="121" t="str">
        <f>IFERROR(__xludf.DUMMYFUNCTION("""COMPUTED_VALUE"""),"bi")</f>
        <v>bi</v>
      </c>
    </row>
    <row r="688" ht="15.75" customHeight="1">
      <c r="A688" s="128" t="str">
        <f>IFERROR(__xludf.DUMMYFUNCTION("""COMPUTED_VALUE"""),"0858 889 138")</f>
        <v>0858 889 138</v>
      </c>
      <c r="B688" s="127" t="str">
        <f>IFERROR(__xludf.DUMMYFUNCTION("""COMPUTED_VALUE"""),"Chị Xuân Diệu")</f>
        <v>Chị Xuân Diệu</v>
      </c>
      <c r="C688" s="127" t="str">
        <f>IFERROR(__xludf.DUMMYFUNCTION("""COMPUTED_VALUE"""),"304 Lê Ngô Cát")</f>
        <v>304 Lê Ngô Cát</v>
      </c>
      <c r="D688" s="127" t="str">
        <f>IFERROR(__xludf.DUMMYFUNCTION("""COMPUTED_VALUE"""),"chó")</f>
        <v>chó</v>
      </c>
      <c r="E688" s="127" t="str">
        <f>IFERROR(__xludf.DUMMYFUNCTION("""COMPUTED_VALUE"""),"lu")</f>
        <v>lu</v>
      </c>
    </row>
    <row r="689" ht="15.75" customHeight="1">
      <c r="A689" s="128" t="str">
        <f>IFERROR(__xludf.DUMMYFUNCTION("""COMPUTED_VALUE"""),"0915 485 369")</f>
        <v>0915 485 369</v>
      </c>
      <c r="B689" s="127" t="str">
        <f>IFERROR(__xludf.DUMMYFUNCTION("""COMPUTED_VALUE"""),"Em Châm")</f>
        <v>Em Châm</v>
      </c>
      <c r="C689" s="127" t="str">
        <f>IFERROR(__xludf.DUMMYFUNCTION("""COMPUTED_VALUE"""),"22 Duy Tân")</f>
        <v>22 Duy Tân</v>
      </c>
      <c r="D689" s="127" t="str">
        <f>IFERROR(__xludf.DUMMYFUNCTION("""COMPUTED_VALUE"""),"chó")</f>
        <v>chó</v>
      </c>
      <c r="E689" s="119"/>
    </row>
    <row r="690" ht="15.75" customHeight="1">
      <c r="A690" s="120" t="str">
        <f>IFERROR(__xludf.DUMMYFUNCTION("""COMPUTED_VALUE"""),"0369 871 774")</f>
        <v>0369 871 774</v>
      </c>
      <c r="B690" s="121" t="str">
        <f>IFERROR(__xludf.DUMMYFUNCTION("""COMPUTED_VALUE"""),"Chị Cẩm Tú")</f>
        <v>Chị Cẩm Tú</v>
      </c>
      <c r="C690" s="121" t="str">
        <f>IFERROR(__xludf.DUMMYFUNCTION("""COMPUTED_VALUE"""),"k393 Bùi Thị Xuân")</f>
        <v>k393 Bùi Thị Xuân</v>
      </c>
      <c r="D690" s="121" t="str">
        <f>IFERROR(__xludf.DUMMYFUNCTION("""COMPUTED_VALUE"""),"mèo")</f>
        <v>mèo</v>
      </c>
      <c r="E690" s="121" t="str">
        <f>IFERROR(__xludf.DUMMYFUNCTION("""COMPUTED_VALUE"""),"Mèo")</f>
        <v>Mèo</v>
      </c>
    </row>
    <row r="691" ht="15.75" customHeight="1">
      <c r="A691" s="120" t="str">
        <f>IFERROR(__xludf.DUMMYFUNCTION("""COMPUTED_VALUE"""),"0905 120 872")</f>
        <v>0905 120 872</v>
      </c>
      <c r="B691" s="121" t="str">
        <f>IFERROR(__xludf.DUMMYFUNCTION("""COMPUTED_VALUE"""),"Chú Trinh")</f>
        <v>Chú Trinh</v>
      </c>
      <c r="C691" s="121" t="str">
        <f>IFERROR(__xludf.DUMMYFUNCTION("""COMPUTED_VALUE"""),"57/12B Nguyễn Hoàng")</f>
        <v>57/12B Nguyễn Hoàng</v>
      </c>
      <c r="D691" s="121" t="str">
        <f>IFERROR(__xludf.DUMMYFUNCTION("""COMPUTED_VALUE"""),"Chó")</f>
        <v>Chó</v>
      </c>
      <c r="E691" s="119" t="str">
        <f>IFERROR(__xludf.DUMMYFUNCTION("""COMPUTED_VALUE"""),"Nô")</f>
        <v>Nô</v>
      </c>
    </row>
    <row r="692" ht="15.75" customHeight="1">
      <c r="A692" s="128" t="str">
        <f>IFERROR(__xludf.DUMMYFUNCTION("""COMPUTED_VALUE"""),"0967 507 838")</f>
        <v>0967 507 838</v>
      </c>
      <c r="B692" s="127" t="str">
        <f>IFERROR(__xludf.DUMMYFUNCTION("""COMPUTED_VALUE"""),"Dì Diệu Mỹ")</f>
        <v>Dì Diệu Mỹ</v>
      </c>
      <c r="C692" s="127" t="str">
        <f>IFERROR(__xludf.DUMMYFUNCTION("""COMPUTED_VALUE"""),"Phú Thượng")</f>
        <v>Phú Thượng</v>
      </c>
      <c r="D692" s="127" t="str">
        <f>IFERROR(__xludf.DUMMYFUNCTION("""COMPUTED_VALUE"""),"Chó")</f>
        <v>Chó</v>
      </c>
      <c r="E692" s="127" t="str">
        <f>IFERROR(__xludf.DUMMYFUNCTION("""COMPUTED_VALUE"""),"Nâu")</f>
        <v>Nâu</v>
      </c>
    </row>
    <row r="693" ht="15.75" customHeight="1">
      <c r="A693" s="120" t="str">
        <f>IFERROR(__xludf.DUMMYFUNCTION("""COMPUTED_VALUE"""),"0795 863 838")</f>
        <v>0795 863 838</v>
      </c>
      <c r="B693" s="121" t="str">
        <f>IFERROR(__xludf.DUMMYFUNCTION("""COMPUTED_VALUE"""),"Lê Quang Hoàng Kiệt")</f>
        <v>Lê Quang Hoàng Kiệt</v>
      </c>
      <c r="C693" s="121" t="str">
        <f>IFERROR(__xludf.DUMMYFUNCTION("""COMPUTED_VALUE"""),"Hương Chữ")</f>
        <v>Hương Chữ</v>
      </c>
      <c r="D693" s="121" t="str">
        <f>IFERROR(__xludf.DUMMYFUNCTION("""COMPUTED_VALUE"""),"chó")</f>
        <v>chó</v>
      </c>
      <c r="E693" s="121" t="str">
        <f>IFERROR(__xludf.DUMMYFUNCTION("""COMPUTED_VALUE"""),"Xám")</f>
        <v>Xám</v>
      </c>
    </row>
    <row r="694" ht="15.75" customHeight="1">
      <c r="A694" s="128" t="str">
        <f>IFERROR(__xludf.DUMMYFUNCTION("""COMPUTED_VALUE"""),"0397 234 725")</f>
        <v>0397 234 725</v>
      </c>
      <c r="B694" s="127" t="str">
        <f>IFERROR(__xludf.DUMMYFUNCTION("""COMPUTED_VALUE"""),"Nam Khánh")</f>
        <v>Nam Khánh</v>
      </c>
      <c r="C694" s="127" t="str">
        <f>IFERROR(__xludf.DUMMYFUNCTION("""COMPUTED_VALUE"""),"17a/43 Lý Thường Kiệt")</f>
        <v>17a/43 Lý Thường Kiệt</v>
      </c>
      <c r="D694" s="127" t="str">
        <f>IFERROR(__xludf.DUMMYFUNCTION("""COMPUTED_VALUE"""),"chó")</f>
        <v>chó</v>
      </c>
      <c r="E694" s="127" t="str">
        <f>IFERROR(__xludf.DUMMYFUNCTION("""COMPUTED_VALUE"""),"mon")</f>
        <v>mon</v>
      </c>
    </row>
    <row r="695" ht="15.75" customHeight="1">
      <c r="A695" s="128" t="str">
        <f>IFERROR(__xludf.DUMMYFUNCTION("""COMPUTED_VALUE""")," 0762 604 613")</f>
        <v> 0762 604 613</v>
      </c>
      <c r="B695" s="127" t="str">
        <f>IFERROR(__xludf.DUMMYFUNCTION("""COMPUTED_VALUE"""),"anh minh tuấn")</f>
        <v>anh minh tuấn</v>
      </c>
      <c r="C695" s="127" t="str">
        <f>IFERROR(__xludf.DUMMYFUNCTION("""COMPUTED_VALUE"""),"4/14 lê ngô cát")</f>
        <v>4/14 lê ngô cát</v>
      </c>
      <c r="D695" s="127" t="str">
        <f>IFERROR(__xludf.DUMMYFUNCTION("""COMPUTED_VALUE"""),"mèo")</f>
        <v>mèo</v>
      </c>
      <c r="E695" s="127" t="str">
        <f>IFERROR(__xludf.DUMMYFUNCTION("""COMPUTED_VALUE"""),"min")</f>
        <v>min</v>
      </c>
    </row>
    <row r="696" ht="15.75" customHeight="1">
      <c r="A696" s="128" t="str">
        <f>IFERROR(__xludf.DUMMYFUNCTION("""COMPUTED_VALUE"""),"0792 323 408")</f>
        <v>0792 323 408</v>
      </c>
      <c r="B696" s="127" t="str">
        <f>IFERROR(__xludf.DUMMYFUNCTION("""COMPUTED_VALUE"""),"anh cường")</f>
        <v>anh cường</v>
      </c>
      <c r="C696" s="127" t="str">
        <f>IFERROR(__xludf.DUMMYFUNCTION("""COMPUTED_VALUE"""),"6 lê bá thạch")</f>
        <v>6 lê bá thạch</v>
      </c>
      <c r="D696" s="127" t="str">
        <f>IFERROR(__xludf.DUMMYFUNCTION("""COMPUTED_VALUE"""),"chó ")</f>
        <v>chó </v>
      </c>
      <c r="E696" s="127" t="str">
        <f>IFERROR(__xludf.DUMMYFUNCTION("""COMPUTED_VALUE"""),"gâu gâu")</f>
        <v>gâu gâu</v>
      </c>
    </row>
    <row r="697" ht="15.75" customHeight="1">
      <c r="A697" s="128" t="str">
        <f>IFERROR(__xludf.DUMMYFUNCTION("""COMPUTED_VALUE"""),"0784 471 860")</f>
        <v>0784 471 860</v>
      </c>
      <c r="B697" s="127" t="str">
        <f>IFERROR(__xludf.DUMMYFUNCTION("""COMPUTED_VALUE"""),"chị thảo nhi")</f>
        <v>chị thảo nhi</v>
      </c>
      <c r="C697" s="127" t="str">
        <f>IFERROR(__xludf.DUMMYFUNCTION("""COMPUTED_VALUE"""),"1/16/16 đoàn hữu trung ")</f>
        <v>1/16/16 đoàn hữu trung </v>
      </c>
      <c r="D697" s="127" t="str">
        <f>IFERROR(__xludf.DUMMYFUNCTION("""COMPUTED_VALUE"""),"chó ")</f>
        <v>chó </v>
      </c>
      <c r="E697" s="127" t="str">
        <f>IFERROR(__xludf.DUMMYFUNCTION("""COMPUTED_VALUE"""),"bơ")</f>
        <v>bơ</v>
      </c>
    </row>
    <row r="698" ht="15.75" customHeight="1">
      <c r="A698" s="128" t="str">
        <f>IFERROR(__xludf.DUMMYFUNCTION("""COMPUTED_VALUE"""),"0363 717 596")</f>
        <v>0363 717 596</v>
      </c>
      <c r="B698" s="127" t="str">
        <f>IFERROR(__xludf.DUMMYFUNCTION("""COMPUTED_VALUE"""),"Anh Công")</f>
        <v>Anh Công</v>
      </c>
      <c r="C698" s="127"/>
      <c r="D698" s="127" t="str">
        <f>IFERROR(__xludf.DUMMYFUNCTION("""COMPUTED_VALUE"""),"mèo")</f>
        <v>mèo</v>
      </c>
      <c r="E698" s="127" t="str">
        <f>IFERROR(__xludf.DUMMYFUNCTION("""COMPUTED_VALUE"""),"sim")</f>
        <v>sim</v>
      </c>
    </row>
    <row r="699" ht="15.75" customHeight="1">
      <c r="A699" s="128" t="str">
        <f>IFERROR(__xludf.DUMMYFUNCTION("""COMPUTED_VALUE"""),"0935 659 012")</f>
        <v>0935 659 012</v>
      </c>
      <c r="B699" s="127" t="str">
        <f>IFERROR(__xludf.DUMMYFUNCTION("""COMPUTED_VALUE"""),"chị nguyên")</f>
        <v>chị nguyên</v>
      </c>
      <c r="C699" s="134" t="str">
        <f>IFERROR(__xludf.DUMMYFUNCTION("""COMPUTED_VALUE"""),"thuận an")</f>
        <v>thuận an</v>
      </c>
      <c r="D699" s="127" t="str">
        <f>IFERROR(__xludf.DUMMYFUNCTION("""COMPUTED_VALUE"""),"mèo")</f>
        <v>mèo</v>
      </c>
      <c r="E699" s="127" t="str">
        <f>IFERROR(__xludf.DUMMYFUNCTION("""COMPUTED_VALUE"""),"sứa")</f>
        <v>sứa</v>
      </c>
    </row>
    <row r="700" ht="15.75" customHeight="1">
      <c r="A700" s="120" t="str">
        <f>IFERROR(__xludf.DUMMYFUNCTION("""COMPUTED_VALUE"""),"0949 550 841")</f>
        <v>0949 550 841</v>
      </c>
      <c r="B700" s="121" t="str">
        <f>IFERROR(__xludf.DUMMYFUNCTION("""COMPUTED_VALUE"""),"Cô Như Trang")</f>
        <v>Cô Như Trang</v>
      </c>
      <c r="C700" s="121" t="str">
        <f>IFERROR(__xludf.DUMMYFUNCTION("""COMPUTED_VALUE"""),"Thiên Thai")</f>
        <v>Thiên Thai</v>
      </c>
      <c r="D700" s="121" t="str">
        <f>IFERROR(__xludf.DUMMYFUNCTION("""COMPUTED_VALUE"""),"chó")</f>
        <v>chó</v>
      </c>
      <c r="E700" s="121" t="str">
        <f>IFERROR(__xludf.DUMMYFUNCTION("""COMPUTED_VALUE"""),"su")</f>
        <v>su</v>
      </c>
    </row>
    <row r="701" ht="15.75" customHeight="1">
      <c r="A701" s="120" t="str">
        <f>IFERROR(__xludf.DUMMYFUNCTION("""COMPUTED_VALUE"""),"0987 782 995")</f>
        <v>0987 782 995</v>
      </c>
      <c r="B701" s="121" t="str">
        <f>IFERROR(__xludf.DUMMYFUNCTION("""COMPUTED_VALUE"""),"dì hương")</f>
        <v>dì hương</v>
      </c>
      <c r="C701" s="121" t="str">
        <f>IFERROR(__xludf.DUMMYFUNCTION("""COMPUTED_VALUE"""),"12/8/33 nguyễn trường tộ")</f>
        <v>12/8/33 nguyễn trường tộ</v>
      </c>
      <c r="D701" s="121" t="str">
        <f>IFERROR(__xludf.DUMMYFUNCTION("""COMPUTED_VALUE"""),"mèo")</f>
        <v>mèo</v>
      </c>
      <c r="E701" s="119" t="str">
        <f>IFERROR(__xludf.DUMMYFUNCTION("""COMPUTED_VALUE""")," fo")</f>
        <v> fo</v>
      </c>
    </row>
    <row r="702" ht="15.75" customHeight="1">
      <c r="A702" s="128" t="str">
        <f>IFERROR(__xludf.DUMMYFUNCTION("""COMPUTED_VALUE"""),"0914 540 513")</f>
        <v>0914 540 513</v>
      </c>
      <c r="B702" s="127" t="str">
        <f>IFERROR(__xludf.DUMMYFUNCTION("""COMPUTED_VALUE"""),"Chị Quỳnh Trang")</f>
        <v>Chị Quỳnh Trang</v>
      </c>
      <c r="C702" s="127" t="str">
        <f>IFERROR(__xludf.DUMMYFUNCTION("""COMPUTED_VALUE"""),"24/17 k54 Lê Ngô Cát")</f>
        <v>24/17 k54 Lê Ngô Cát</v>
      </c>
      <c r="D702" s="127" t="str">
        <f>IFERROR(__xludf.DUMMYFUNCTION("""COMPUTED_VALUE"""),"chó")</f>
        <v>chó</v>
      </c>
      <c r="E702" s="127" t="str">
        <f>IFERROR(__xludf.DUMMYFUNCTION("""COMPUTED_VALUE"""),"xoài")</f>
        <v>xoài</v>
      </c>
    </row>
    <row r="703" ht="15.75" customHeight="1">
      <c r="A703" s="128" t="str">
        <f>IFERROR(__xludf.DUMMYFUNCTION("""COMPUTED_VALUE"""),"0342 078 591")</f>
        <v>0342 078 591</v>
      </c>
      <c r="B703" s="127" t="str">
        <f>IFERROR(__xludf.DUMMYFUNCTION("""COMPUTED_VALUE"""),"Em Ly")</f>
        <v>Em Ly</v>
      </c>
      <c r="C703" s="127" t="str">
        <f>IFERROR(__xludf.DUMMYFUNCTION("""COMPUTED_VALUE"""),"1/14 Lê Ngô Cát")</f>
        <v>1/14 Lê Ngô Cát</v>
      </c>
      <c r="D703" s="127" t="str">
        <f>IFERROR(__xludf.DUMMYFUNCTION("""COMPUTED_VALUE"""),"mèo")</f>
        <v>mèo</v>
      </c>
      <c r="E703" s="127" t="str">
        <f>IFERROR(__xludf.DUMMYFUNCTION("""COMPUTED_VALUE"""),"bin")</f>
        <v>bin</v>
      </c>
    </row>
    <row r="704" ht="15.75" customHeight="1">
      <c r="A704" s="120" t="str">
        <f>IFERROR(__xludf.DUMMYFUNCTION("""COMPUTED_VALUE"""),"0342 087 675")</f>
        <v>0342 087 675</v>
      </c>
      <c r="B704" s="121" t="str">
        <f>IFERROR(__xludf.DUMMYFUNCTION("""COMPUTED_VALUE"""),"Anh Ngọc")</f>
        <v>Anh Ngọc</v>
      </c>
      <c r="C704" s="121" t="str">
        <f>IFERROR(__xludf.DUMMYFUNCTION("""COMPUTED_VALUE"""),"5a k27 Hoàng Quốc Việt")</f>
        <v>5a k27 Hoàng Quốc Việt</v>
      </c>
      <c r="D704" s="121" t="str">
        <f>IFERROR(__xludf.DUMMYFUNCTION("""COMPUTED_VALUE"""),"mèo")</f>
        <v>mèo</v>
      </c>
      <c r="E704" s="121" t="str">
        <f>IFERROR(__xludf.DUMMYFUNCTION("""COMPUTED_VALUE"""),"mướp")</f>
        <v>mướp</v>
      </c>
    </row>
    <row r="705" ht="15.75" customHeight="1">
      <c r="A705" s="120" t="str">
        <f>IFERROR(__xludf.DUMMYFUNCTION("""COMPUTED_VALUE"""),"0775 511 335")</f>
        <v>0775 511 335</v>
      </c>
      <c r="B705" s="121" t="str">
        <f>IFERROR(__xludf.DUMMYFUNCTION("""COMPUTED_VALUE"""),"chị Trang")</f>
        <v>chị Trang</v>
      </c>
      <c r="C705" s="121" t="str">
        <f>IFERROR(__xludf.DUMMYFUNCTION("""COMPUTED_VALUE"""),"38a Thiên Thai")</f>
        <v>38a Thiên Thai</v>
      </c>
      <c r="D705" s="121" t="str">
        <f>IFERROR(__xludf.DUMMYFUNCTION("""COMPUTED_VALUE"""),"mèo")</f>
        <v>mèo</v>
      </c>
      <c r="E705" s="121" t="str">
        <f>IFERROR(__xludf.DUMMYFUNCTION("""COMPUTED_VALUE"""),"kem/sữa")</f>
        <v>kem/sữa</v>
      </c>
    </row>
    <row r="706" ht="15.75" customHeight="1">
      <c r="A706" s="120" t="str">
        <f>IFERROR(__xludf.DUMMYFUNCTION("""COMPUTED_VALUE"""),"0372 219 796")</f>
        <v>0372 219 796</v>
      </c>
      <c r="B706" s="129" t="str">
        <f>IFERROR(__xludf.DUMMYFUNCTION("""COMPUTED_VALUE"""),"Lê Đình Đức")</f>
        <v>Lê Đình Đức</v>
      </c>
      <c r="C706" s="121" t="str">
        <f>IFERROR(__xludf.DUMMYFUNCTION("""COMPUTED_VALUE"""),"306k 56 Hải Triều")</f>
        <v>306k 56 Hải Triều</v>
      </c>
      <c r="D706" s="121" t="str">
        <f>IFERROR(__xludf.DUMMYFUNCTION("""COMPUTED_VALUE"""),"mèo")</f>
        <v>mèo</v>
      </c>
      <c r="E706" s="119" t="str">
        <f>IFERROR(__xludf.DUMMYFUNCTION("""COMPUTED_VALUE"""),"sứa")</f>
        <v>sứa</v>
      </c>
    </row>
    <row r="707" ht="15.75" customHeight="1">
      <c r="A707" s="128" t="str">
        <f>IFERROR(__xludf.DUMMYFUNCTION("""COMPUTED_VALUE"""),"0367 849 860")</f>
        <v>0367 849 860</v>
      </c>
      <c r="B707" s="127" t="str">
        <f>IFERROR(__xludf.DUMMYFUNCTION("""COMPUTED_VALUE"""),"Em Phương")</f>
        <v>Em Phương</v>
      </c>
      <c r="C707" s="127" t="str">
        <f>IFERROR(__xludf.DUMMYFUNCTION("""COMPUTED_VALUE"""),"85 Thích Tịnh Khiết")</f>
        <v>85 Thích Tịnh Khiết</v>
      </c>
      <c r="D707" s="127" t="str">
        <f>IFERROR(__xludf.DUMMYFUNCTION("""COMPUTED_VALUE"""),"chó")</f>
        <v>chó</v>
      </c>
      <c r="E707" s="127" t="str">
        <f>IFERROR(__xludf.DUMMYFUNCTION("""COMPUTED_VALUE"""),"bu")</f>
        <v>bu</v>
      </c>
    </row>
    <row r="708" ht="15.75" customHeight="1">
      <c r="A708" s="128" t="str">
        <f>IFERROR(__xludf.DUMMYFUNCTION("""COMPUTED_VALUE"""),"0795 674 501")</f>
        <v>0795 674 501</v>
      </c>
      <c r="B708" s="127" t="str">
        <f>IFERROR(__xludf.DUMMYFUNCTION("""COMPUTED_VALUE"""),"Thầy Thắng")</f>
        <v>Thầy Thắng</v>
      </c>
      <c r="C708" s="127" t="str">
        <f>IFERROR(__xludf.DUMMYFUNCTION("""COMPUTED_VALUE""")," 11k 1 Bảo Quốc")</f>
        <v> 11k 1 Bảo Quốc</v>
      </c>
      <c r="D708" s="127" t="str">
        <f>IFERROR(__xludf.DUMMYFUNCTION("""COMPUTED_VALUE"""),"mèo")</f>
        <v>mèo</v>
      </c>
      <c r="E708" s="127" t="str">
        <f>IFERROR(__xludf.DUMMYFUNCTION("""COMPUTED_VALUE"""),"gạo")</f>
        <v>gạo</v>
      </c>
    </row>
    <row r="709" ht="15.75" customHeight="1">
      <c r="A709" s="128" t="str">
        <f>IFERROR(__xludf.DUMMYFUNCTION("""COMPUTED_VALUE"""),"0866 027 264")</f>
        <v>0866 027 264</v>
      </c>
      <c r="B709" s="127" t="str">
        <f>IFERROR(__xludf.DUMMYFUNCTION("""COMPUTED_VALUE"""),"Chị Bảo Vy")</f>
        <v>Chị Bảo Vy</v>
      </c>
      <c r="C709" s="127" t="str">
        <f>IFERROR(__xludf.DUMMYFUNCTION("""COMPUTED_VALUE"""),"Kiệt 57 Lựu Bảo")</f>
        <v>Kiệt 57 Lựu Bảo</v>
      </c>
      <c r="D709" s="127" t="str">
        <f>IFERROR(__xludf.DUMMYFUNCTION("""COMPUTED_VALUE"""),"Chó")</f>
        <v>Chó</v>
      </c>
      <c r="E709" s="119" t="str">
        <f>IFERROR(__xludf.DUMMYFUNCTION("""COMPUTED_VALUE"""),"Ổi")</f>
        <v>Ổi</v>
      </c>
    </row>
    <row r="710" ht="15.75" customHeight="1">
      <c r="A710" s="120" t="str">
        <f>IFERROR(__xludf.DUMMYFUNCTION("""COMPUTED_VALUE"""),"0766 673 008")</f>
        <v>0766 673 008</v>
      </c>
      <c r="B710" s="121" t="str">
        <f>IFERROR(__xludf.DUMMYFUNCTION("""COMPUTED_VALUE"""),"Chị Hằng")</f>
        <v>Chị Hằng</v>
      </c>
      <c r="C710" s="121" t="str">
        <f>IFERROR(__xludf.DUMMYFUNCTION("""COMPUTED_VALUE"""),"65 Nguyễn Phúc Lan")</f>
        <v>65 Nguyễn Phúc Lan</v>
      </c>
      <c r="D710" s="121" t="str">
        <f>IFERROR(__xludf.DUMMYFUNCTION("""COMPUTED_VALUE"""),"Chó")</f>
        <v>Chó</v>
      </c>
      <c r="E710" s="121" t="str">
        <f>IFERROR(__xludf.DUMMYFUNCTION("""COMPUTED_VALUE"""),"Nâu")</f>
        <v>Nâu</v>
      </c>
    </row>
    <row r="711" ht="15.75" customHeight="1">
      <c r="A711" s="120" t="str">
        <f>IFERROR(__xludf.DUMMYFUNCTION("""COMPUTED_VALUE"""),"0795 600 384")</f>
        <v>0795 600 384</v>
      </c>
      <c r="B711" s="121" t="str">
        <f>IFERROR(__xludf.DUMMYFUNCTION("""COMPUTED_VALUE"""),"Chị Vân Anh")</f>
        <v>Chị Vân Anh</v>
      </c>
      <c r="C711" s="121" t="str">
        <f>IFERROR(__xludf.DUMMYFUNCTION("""COMPUTED_VALUE"""),"100 Kim Long")</f>
        <v>100 Kim Long</v>
      </c>
      <c r="D711" s="121" t="str">
        <f>IFERROR(__xludf.DUMMYFUNCTION("""COMPUTED_VALUE"""),"Mèo")</f>
        <v>Mèo</v>
      </c>
      <c r="E711" s="121"/>
    </row>
    <row r="712" ht="15.75" customHeight="1">
      <c r="A712" s="128" t="str">
        <f>IFERROR(__xludf.DUMMYFUNCTION("""COMPUTED_VALUE"""),"0392 058 482")</f>
        <v>0392 058 482</v>
      </c>
      <c r="B712" s="127" t="str">
        <f>IFERROR(__xludf.DUMMYFUNCTION("""COMPUTED_VALUE"""),"Chị Kim Oanh")</f>
        <v>Chị Kim Oanh</v>
      </c>
      <c r="C712" s="127" t="str">
        <f>IFERROR(__xludf.DUMMYFUNCTION("""COMPUTED_VALUE"""),"94 Nguyễn Sinh Cung")</f>
        <v>94 Nguyễn Sinh Cung</v>
      </c>
      <c r="D712" s="127" t="str">
        <f>IFERROR(__xludf.DUMMYFUNCTION("""COMPUTED_VALUE"""),"chó")</f>
        <v>chó</v>
      </c>
      <c r="E712" s="127"/>
    </row>
    <row r="713" ht="15.75" customHeight="1">
      <c r="A713" s="128" t="str">
        <f>IFERROR(__xludf.DUMMYFUNCTION("""COMPUTED_VALUE"""),"0971 996 508")</f>
        <v>0971 996 508</v>
      </c>
      <c r="B713" s="127" t="str">
        <f>IFERROR(__xludf.DUMMYFUNCTION("""COMPUTED_VALUE"""),"chú Cao Tân")</f>
        <v>chú Cao Tân</v>
      </c>
      <c r="C713" s="127" t="str">
        <f>IFERROR(__xludf.DUMMYFUNCTION("""COMPUTED_VALUE"""),"166 Điện Biên Phủ")</f>
        <v>166 Điện Biên Phủ</v>
      </c>
      <c r="D713" s="127" t="str">
        <f>IFERROR(__xludf.DUMMYFUNCTION("""COMPUTED_VALUE"""),"chó")</f>
        <v>chó</v>
      </c>
      <c r="E713" s="119" t="str">
        <f>IFERROR(__xludf.DUMMYFUNCTION("""COMPUTED_VALUE"""),"Su")</f>
        <v>Su</v>
      </c>
    </row>
    <row r="714" ht="15.75" customHeight="1">
      <c r="A714" s="120" t="str">
        <f>IFERROR(__xludf.DUMMYFUNCTION("""COMPUTED_VALUE"""),"0837 579 338")</f>
        <v>0837 579 338</v>
      </c>
      <c r="B714" s="121" t="str">
        <f>IFERROR(__xludf.DUMMYFUNCTION("""COMPUTED_VALUE"""),"Anh Khang")</f>
        <v>Anh Khang</v>
      </c>
      <c r="C714" s="121" t="str">
        <f>IFERROR(__xludf.DUMMYFUNCTION("""COMPUTED_VALUE"""),"24 Lương Văn Can")</f>
        <v>24 Lương Văn Can</v>
      </c>
      <c r="D714" s="121" t="str">
        <f>IFERROR(__xludf.DUMMYFUNCTION("""COMPUTED_VALUE"""),"Mèo")</f>
        <v>Mèo</v>
      </c>
      <c r="E714" s="121" t="str">
        <f>IFERROR(__xludf.DUMMYFUNCTION("""COMPUTED_VALUE"""),"Xù")</f>
        <v>Xù</v>
      </c>
    </row>
    <row r="715" ht="15.75" customHeight="1">
      <c r="A715" s="120" t="str">
        <f>IFERROR(__xludf.DUMMYFUNCTION("""COMPUTED_VALUE"""),"0334 687 875")</f>
        <v>0334 687 875</v>
      </c>
      <c r="B715" s="121" t="str">
        <f>IFERROR(__xludf.DUMMYFUNCTION("""COMPUTED_VALUE"""),"Anh Chúng")</f>
        <v>Anh Chúng</v>
      </c>
      <c r="C715" s="121" t="str">
        <f>IFERROR(__xludf.DUMMYFUNCTION("""COMPUTED_VALUE"""),"68 Chằm")</f>
        <v>68 Chằm</v>
      </c>
      <c r="D715" s="121" t="str">
        <f>IFERROR(__xludf.DUMMYFUNCTION("""COMPUTED_VALUE"""),"Chó")</f>
        <v>Chó</v>
      </c>
      <c r="E715" s="121" t="str">
        <f>IFERROR(__xludf.DUMMYFUNCTION("""COMPUTED_VALUE"""),"Rốt")</f>
        <v>Rốt</v>
      </c>
    </row>
    <row r="716" ht="15.75" customHeight="1">
      <c r="A716" s="128" t="str">
        <f>IFERROR(__xludf.DUMMYFUNCTION("""COMPUTED_VALUE"""),"0393 408 614")</f>
        <v>0393 408 614</v>
      </c>
      <c r="B716" s="127" t="str">
        <f>IFERROR(__xludf.DUMMYFUNCTION("""COMPUTED_VALUE"""),"Chị Thanh Trúc")</f>
        <v>Chị Thanh Trúc</v>
      </c>
      <c r="C716" s="127" t="str">
        <f>IFERROR(__xludf.DUMMYFUNCTION("""COMPUTED_VALUE"""),"140/13 Nguyễn Phúc Nguyên")</f>
        <v>140/13 Nguyễn Phúc Nguyên</v>
      </c>
      <c r="D716" s="127" t="str">
        <f>IFERROR(__xludf.DUMMYFUNCTION("""COMPUTED_VALUE"""),"Mèo")</f>
        <v>Mèo</v>
      </c>
      <c r="E716" s="119" t="str">
        <f>IFERROR(__xludf.DUMMYFUNCTION("""COMPUTED_VALUE"""),"Sữa")</f>
        <v>Sữa</v>
      </c>
    </row>
    <row r="717" ht="15.75" customHeight="1">
      <c r="A717" s="128" t="str">
        <f>IFERROR(__xludf.DUMMYFUNCTION("""COMPUTED_VALUE"""),"0949 976 445")</f>
        <v>0949 976 445</v>
      </c>
      <c r="B717" s="127" t="str">
        <f>IFERROR(__xludf.DUMMYFUNCTION("""COMPUTED_VALUE"""),"Em Nhật Minh")</f>
        <v>Em Nhật Minh</v>
      </c>
      <c r="C717" s="127" t="str">
        <f>IFERROR(__xludf.DUMMYFUNCTION("""COMPUTED_VALUE"""),"42 Phú Mộng")</f>
        <v>42 Phú Mộng</v>
      </c>
      <c r="D717" s="127" t="str">
        <f>IFERROR(__xludf.DUMMYFUNCTION("""COMPUTED_VALUE"""),"mèo")</f>
        <v>mèo</v>
      </c>
      <c r="E717" s="127" t="str">
        <f>IFERROR(__xludf.DUMMYFUNCTION("""COMPUTED_VALUE"""),"May")</f>
        <v>May</v>
      </c>
    </row>
    <row r="718" ht="15.75" customHeight="1">
      <c r="A718" s="120" t="str">
        <f>IFERROR(__xludf.DUMMYFUNCTION("""COMPUTED_VALUE"""),"0941 890 857")</f>
        <v>0941 890 857</v>
      </c>
      <c r="B718" s="121" t="str">
        <f>IFERROR(__xludf.DUMMYFUNCTION("""COMPUTED_VALUE"""),"Trần Ngọc Quang")</f>
        <v>Trần Ngọc Quang</v>
      </c>
      <c r="C718" s="121" t="str">
        <f>IFERROR(__xludf.DUMMYFUNCTION("""COMPUTED_VALUE"""),"37 Trần Hưng Đạo")</f>
        <v>37 Trần Hưng Đạo</v>
      </c>
      <c r="D718" s="121" t="str">
        <f>IFERROR(__xludf.DUMMYFUNCTION("""COMPUTED_VALUE"""),"mèo")</f>
        <v>mèo</v>
      </c>
      <c r="E718" s="121" t="str">
        <f>IFERROR(__xludf.DUMMYFUNCTION("""COMPUTED_VALUE"""),"Cái/ Cái con")</f>
        <v>Cái/ Cái con</v>
      </c>
    </row>
    <row r="719" ht="15.75" customHeight="1">
      <c r="A719" s="120" t="str">
        <f>IFERROR(__xludf.DUMMYFUNCTION("""COMPUTED_VALUE"""),"0945 287 883")</f>
        <v>0945 287 883</v>
      </c>
      <c r="B719" s="121" t="str">
        <f>IFERROR(__xludf.DUMMYFUNCTION("""COMPUTED_VALUE"""),"chị Quỳnh Dao")</f>
        <v>chị Quỳnh Dao</v>
      </c>
      <c r="C719" s="121" t="str">
        <f>IFERROR(__xludf.DUMMYFUNCTION("""COMPUTED_VALUE"""),"3 Lê Lai")</f>
        <v>3 Lê Lai</v>
      </c>
      <c r="D719" s="121" t="str">
        <f>IFERROR(__xludf.DUMMYFUNCTION("""COMPUTED_VALUE"""),"Chó")</f>
        <v>Chó</v>
      </c>
      <c r="E719" s="121" t="str">
        <f>IFERROR(__xludf.DUMMYFUNCTION("""COMPUTED_VALUE"""),"Ky")</f>
        <v>Ky</v>
      </c>
    </row>
    <row r="720" ht="15.75" customHeight="1">
      <c r="A720" s="128" t="str">
        <f>IFERROR(__xludf.DUMMYFUNCTION("""COMPUTED_VALUE"""),"0935 694 340")</f>
        <v>0935 694 340</v>
      </c>
      <c r="B720" s="127" t="str">
        <f>IFERROR(__xludf.DUMMYFUNCTION("""COMPUTED_VALUE"""),"Kem")</f>
        <v>Kem</v>
      </c>
      <c r="C720" s="127" t="str">
        <f>IFERROR(__xludf.DUMMYFUNCTION("""COMPUTED_VALUE"""),"13 Nguyễn Lộ Trạch")</f>
        <v>13 Nguyễn Lộ Trạch</v>
      </c>
      <c r="D720" s="127" t="str">
        <f>IFERROR(__xludf.DUMMYFUNCTION("""COMPUTED_VALUE"""),"chó")</f>
        <v>chó</v>
      </c>
      <c r="E720" s="127"/>
    </row>
    <row r="721" ht="15.75" customHeight="1">
      <c r="A721" s="128" t="str">
        <f>IFERROR(__xludf.DUMMYFUNCTION("""COMPUTED_VALUE"""),"0395 919 329")</f>
        <v>0395 919 329</v>
      </c>
      <c r="B721" s="127" t="str">
        <f>IFERROR(__xludf.DUMMYFUNCTION("""COMPUTED_VALUE""")," Ngọc Nhi")</f>
        <v> Ngọc Nhi</v>
      </c>
      <c r="C721" s="127" t="str">
        <f>IFERROR(__xludf.DUMMYFUNCTION("""COMPUTED_VALUE"""),"15/16 Duy Tân")</f>
        <v>15/16 Duy Tân</v>
      </c>
      <c r="D721" s="127" t="str">
        <f>IFERROR(__xludf.DUMMYFUNCTION("""COMPUTED_VALUE"""),"chó ")</f>
        <v>chó </v>
      </c>
      <c r="E721" s="127" t="str">
        <f>IFERROR(__xludf.DUMMYFUNCTION("""COMPUTED_VALUE"""),"sữa")</f>
        <v>sữa</v>
      </c>
    </row>
    <row r="722" ht="15.75" customHeight="1">
      <c r="A722" s="120" t="str">
        <f>IFERROR(__xludf.DUMMYFUNCTION("""COMPUTED_VALUE"""),"0343 635 182")</f>
        <v>0343 635 182</v>
      </c>
      <c r="B722" s="121" t="str">
        <f>IFERROR(__xludf.DUMMYFUNCTION("""COMPUTED_VALUE"""),"Dì Liễu")</f>
        <v>Dì Liễu</v>
      </c>
      <c r="C722" s="121" t="str">
        <f>IFERROR(__xludf.DUMMYFUNCTION("""COMPUTED_VALUE"""),"10/42 Nguyễn Phúc Tần")</f>
        <v>10/42 Nguyễn Phúc Tần</v>
      </c>
      <c r="D722" s="121" t="str">
        <f>IFERROR(__xludf.DUMMYFUNCTION("""COMPUTED_VALUE"""),"chó")</f>
        <v>chó</v>
      </c>
      <c r="E722" s="121" t="str">
        <f>IFERROR(__xludf.DUMMYFUNCTION("""COMPUTED_VALUE"""),"Newbie")</f>
        <v>Newbie</v>
      </c>
    </row>
    <row r="723" ht="15.75" customHeight="1">
      <c r="A723" s="120" t="str">
        <f>IFERROR(__xludf.DUMMYFUNCTION("""COMPUTED_VALUE"""),"0914 091 339")</f>
        <v>0914 091 339</v>
      </c>
      <c r="B723" s="121" t="str">
        <f>IFERROR(__xludf.DUMMYFUNCTION("""COMPUTED_VALUE"""),"Bác Trần Vũ")</f>
        <v>Bác Trần Vũ</v>
      </c>
      <c r="C723" s="121" t="str">
        <f>IFERROR(__xludf.DUMMYFUNCTION("""COMPUTED_VALUE"""),"279 Lê Duẩn")</f>
        <v>279 Lê Duẩn</v>
      </c>
      <c r="D723" s="121" t="str">
        <f>IFERROR(__xludf.DUMMYFUNCTION("""COMPUTED_VALUE"""),"chó")</f>
        <v>chó</v>
      </c>
      <c r="E723" s="121" t="str">
        <f>IFERROR(__xludf.DUMMYFUNCTION("""COMPUTED_VALUE"""),"Nâu")</f>
        <v>Nâu</v>
      </c>
    </row>
    <row r="724" ht="15.75" customHeight="1">
      <c r="A724" s="128" t="str">
        <f>IFERROR(__xludf.DUMMYFUNCTION("""COMPUTED_VALUE"""),"0907 621 499")</f>
        <v>0907 621 499</v>
      </c>
      <c r="B724" s="127" t="str">
        <f>IFERROR(__xludf.DUMMYFUNCTION("""COMPUTED_VALUE"""),"Chú Hạnh")</f>
        <v>Chú Hạnh</v>
      </c>
      <c r="C724" s="127" t="str">
        <f>IFERROR(__xludf.DUMMYFUNCTION("""COMPUTED_VALUE"""),"kiệt 110 Kim Long")</f>
        <v>kiệt 110 Kim Long</v>
      </c>
      <c r="D724" s="127" t="str">
        <f>IFERROR(__xludf.DUMMYFUNCTION("""COMPUTED_VALUE"""),"chó")</f>
        <v>chó</v>
      </c>
      <c r="E724" s="127" t="str">
        <f>IFERROR(__xludf.DUMMYFUNCTION("""COMPUTED_VALUE"""),"Ki")</f>
        <v>Ki</v>
      </c>
    </row>
    <row r="725" ht="15.75" customHeight="1">
      <c r="A725" s="120" t="str">
        <f>IFERROR(__xludf.DUMMYFUNCTION("""COMPUTED_VALUE"""),"0935 860 469")</f>
        <v>0935 860 469</v>
      </c>
      <c r="B725" s="121" t="str">
        <f>IFERROR(__xludf.DUMMYFUNCTION("""COMPUTED_VALUE"""),"Chị Hồng")</f>
        <v>Chị Hồng</v>
      </c>
      <c r="C725" s="121" t="str">
        <f>IFERROR(__xludf.DUMMYFUNCTION("""COMPUTED_VALUE"""),"98 Đặng Huy Trứ")</f>
        <v>98 Đặng Huy Trứ</v>
      </c>
      <c r="D725" s="121" t="str">
        <f>IFERROR(__xludf.DUMMYFUNCTION("""COMPUTED_VALUE"""),"Mèo")</f>
        <v>Mèo</v>
      </c>
      <c r="E725" s="121" t="str">
        <f>IFERROR(__xludf.DUMMYFUNCTION("""COMPUTED_VALUE"""),"Mập")</f>
        <v>Mập</v>
      </c>
    </row>
    <row r="726" ht="15.75" customHeight="1">
      <c r="A726" s="128" t="str">
        <f>IFERROR(__xludf.DUMMYFUNCTION("""COMPUTED_VALUE"""),"0799 333 306")</f>
        <v>0799 333 306</v>
      </c>
      <c r="B726" s="127" t="str">
        <f>IFERROR(__xludf.DUMMYFUNCTION("""COMPUTED_VALUE"""),"Em Kim Anh")</f>
        <v>Em Kim Anh</v>
      </c>
      <c r="C726" s="123" t="str">
        <f>IFERROR(__xludf.DUMMYFUNCTION("""COMPUTED_VALUE"""),"Kiệt 50 Thiên Thai")</f>
        <v>Kiệt 50 Thiên Thai</v>
      </c>
      <c r="D726" s="119" t="str">
        <f>IFERROR(__xludf.DUMMYFUNCTION("""COMPUTED_VALUE"""),"Chó")</f>
        <v>Chó</v>
      </c>
      <c r="E726" s="127" t="str">
        <f>IFERROR(__xludf.DUMMYFUNCTION("""COMPUTED_VALUE"""),"Bam")</f>
        <v>Bam</v>
      </c>
    </row>
    <row r="727" ht="15.75" customHeight="1">
      <c r="A727" s="128" t="str">
        <f>IFERROR(__xludf.DUMMYFUNCTION("""COMPUTED_VALUE"""),"0935 303 579")</f>
        <v>0935 303 579</v>
      </c>
      <c r="B727" s="127" t="str">
        <f>IFERROR(__xludf.DUMMYFUNCTION("""COMPUTED_VALUE"""),"anh phương")</f>
        <v>anh phương</v>
      </c>
      <c r="C727" s="127" t="str">
        <f>IFERROR(__xludf.DUMMYFUNCTION("""COMPUTED_VALUE"""),"1/1/74 bà triệu")</f>
        <v>1/1/74 bà triệu</v>
      </c>
      <c r="D727" s="127" t="str">
        <f>IFERROR(__xludf.DUMMYFUNCTION("""COMPUTED_VALUE"""),"chó")</f>
        <v>chó</v>
      </c>
      <c r="E727" s="127" t="str">
        <f>IFERROR(__xludf.DUMMYFUNCTION("""COMPUTED_VALUE"""),"tiger")</f>
        <v>tiger</v>
      </c>
    </row>
    <row r="728" ht="15.75" customHeight="1">
      <c r="A728" s="128" t="str">
        <f>IFERROR(__xludf.DUMMYFUNCTION("""COMPUTED_VALUE"""),"0948 419 678")</f>
        <v>0948 419 678</v>
      </c>
      <c r="B728" s="127" t="str">
        <f>IFERROR(__xludf.DUMMYFUNCTION("""COMPUTED_VALUE"""),"anh quân")</f>
        <v>anh quân</v>
      </c>
      <c r="C728" s="127" t="str">
        <f>IFERROR(__xludf.DUMMYFUNCTION("""COMPUTED_VALUE"""),"neru garden")</f>
        <v>neru garden</v>
      </c>
      <c r="D728" s="127" t="str">
        <f>IFERROR(__xludf.DUMMYFUNCTION("""COMPUTED_VALUE"""),"mèo ")</f>
        <v>mèo </v>
      </c>
      <c r="E728" s="127"/>
    </row>
    <row r="729" ht="15.75" customHeight="1">
      <c r="A729" s="120" t="str">
        <f>IFERROR(__xludf.DUMMYFUNCTION("""COMPUTED_VALUE"""),"0906 403 180")</f>
        <v>0906 403 180</v>
      </c>
      <c r="B729" s="121" t="str">
        <f>IFERROR(__xludf.DUMMYFUNCTION("""COMPUTED_VALUE"""),"chị thư")</f>
        <v>chị thư</v>
      </c>
      <c r="C729" s="121" t="str">
        <f>IFERROR(__xludf.DUMMYFUNCTION("""COMPUTED_VALUE"""),"46/209 Chi Lăng")</f>
        <v>46/209 Chi Lăng</v>
      </c>
      <c r="D729" s="121" t="str">
        <f>IFERROR(__xludf.DUMMYFUNCTION("""COMPUTED_VALUE"""),"mèo")</f>
        <v>mèo</v>
      </c>
      <c r="E729" s="121" t="str">
        <f>IFERROR(__xludf.DUMMYFUNCTION("""COMPUTED_VALUE"""),"cam")</f>
        <v>cam</v>
      </c>
    </row>
    <row r="730" ht="15.75" customHeight="1">
      <c r="A730" s="120" t="str">
        <f>IFERROR(__xludf.DUMMYFUNCTION("""COMPUTED_VALUE"""),"0941 350 567")</f>
        <v>0941 350 567</v>
      </c>
      <c r="B730" s="121" t="str">
        <f>IFERROR(__xludf.DUMMYFUNCTION("""COMPUTED_VALUE"""),"anh trung")</f>
        <v>anh trung</v>
      </c>
      <c r="C730" s="121" t="str">
        <f>IFERROR(__xludf.DUMMYFUNCTION("""COMPUTED_VALUE"""),"207 phan bội châu")</f>
        <v>207 phan bội châu</v>
      </c>
      <c r="D730" s="121" t="str">
        <f>IFERROR(__xludf.DUMMYFUNCTION("""COMPUTED_VALUE"""),"chó")</f>
        <v>chó</v>
      </c>
      <c r="E730" s="121" t="str">
        <f>IFERROR(__xludf.DUMMYFUNCTION("""COMPUTED_VALUE"""),"tô")</f>
        <v>tô</v>
      </c>
    </row>
    <row r="731" ht="15.75" customHeight="1">
      <c r="A731" s="120" t="str">
        <f>IFERROR(__xludf.DUMMYFUNCTION("""COMPUTED_VALUE"""),"0586 137 072")</f>
        <v>0586 137 072</v>
      </c>
      <c r="B731" s="121" t="str">
        <f>IFERROR(__xludf.DUMMYFUNCTION("""COMPUTED_VALUE"""),"chị oanh")</f>
        <v>chị oanh</v>
      </c>
      <c r="C731" s="121" t="str">
        <f>IFERROR(__xludf.DUMMYFUNCTION("""COMPUTED_VALUE"""),"6/10/72 dương thiểu tước")</f>
        <v>6/10/72 dương thiểu tước</v>
      </c>
      <c r="D731" s="121" t="str">
        <f>IFERROR(__xludf.DUMMYFUNCTION("""COMPUTED_VALUE"""),"chó")</f>
        <v>chó</v>
      </c>
      <c r="E731" s="121" t="str">
        <f>IFERROR(__xludf.DUMMYFUNCTION("""COMPUTED_VALUE"""),"xanh xuân")</f>
        <v>xanh xuân</v>
      </c>
    </row>
    <row r="732" ht="15.75" customHeight="1">
      <c r="A732" s="128" t="str">
        <f>IFERROR(__xludf.DUMMYFUNCTION("""COMPUTED_VALUE"""),"0364 075 752")</f>
        <v>0364 075 752</v>
      </c>
      <c r="B732" s="127" t="str">
        <f>IFERROR(__xludf.DUMMYFUNCTION("""COMPUTED_VALUE"""),"Anh Hiệp")</f>
        <v>Anh Hiệp</v>
      </c>
      <c r="C732" s="127" t="str">
        <f>IFERROR(__xludf.DUMMYFUNCTION("""COMPUTED_VALUE"""),"Hương Hồ")</f>
        <v>Hương Hồ</v>
      </c>
      <c r="D732" s="127" t="str">
        <f>IFERROR(__xludf.DUMMYFUNCTION("""COMPUTED_VALUE"""),"mèo")</f>
        <v>mèo</v>
      </c>
      <c r="E732" s="127" t="str">
        <f>IFERROR(__xludf.DUMMYFUNCTION("""COMPUTED_VALUE"""),"Bơ")</f>
        <v>Bơ</v>
      </c>
    </row>
    <row r="733" ht="15.75" customHeight="1">
      <c r="A733" s="120" t="str">
        <f>IFERROR(__xludf.DUMMYFUNCTION("""COMPUTED_VALUE"""),"0982 319 330")</f>
        <v>0982 319 330</v>
      </c>
      <c r="B733" s="121"/>
      <c r="C733" s="121" t="str">
        <f>IFERROR(__xludf.DUMMYFUNCTION("""COMPUTED_VALUE"""),"k141 Hàn Mặc Tử")</f>
        <v>k141 Hàn Mặc Tử</v>
      </c>
      <c r="D733" s="121" t="str">
        <f>IFERROR(__xludf.DUMMYFUNCTION("""COMPUTED_VALUE"""),"chó")</f>
        <v>chó</v>
      </c>
      <c r="E733" s="121"/>
    </row>
    <row r="734" ht="15.75" customHeight="1">
      <c r="A734" s="128" t="str">
        <f>IFERROR(__xludf.DUMMYFUNCTION("""COMPUTED_VALUE"""),"0326 363 511")</f>
        <v>0326 363 511</v>
      </c>
      <c r="B734" s="127" t="str">
        <f>IFERROR(__xludf.DUMMYFUNCTION("""COMPUTED_VALUE"""),"Lê Thanh Hiền")</f>
        <v>Lê Thanh Hiền</v>
      </c>
      <c r="C734" s="127" t="str">
        <f>IFERROR(__xludf.DUMMYFUNCTION("""COMPUTED_VALUE"""),"Phú Bài")</f>
        <v>Phú Bài</v>
      </c>
      <c r="D734" s="127" t="str">
        <f>IFERROR(__xludf.DUMMYFUNCTION("""COMPUTED_VALUE"""),"chó")</f>
        <v>chó</v>
      </c>
      <c r="E734" s="127" t="str">
        <f>IFERROR(__xludf.DUMMYFUNCTION("""COMPUTED_VALUE"""),"haly")</f>
        <v>haly</v>
      </c>
    </row>
    <row r="735" ht="15.75" customHeight="1">
      <c r="A735" s="128" t="str">
        <f>IFERROR(__xludf.DUMMYFUNCTION("""COMPUTED_VALUE"""),"0796 799 752")</f>
        <v>0796 799 752</v>
      </c>
      <c r="B735" s="127" t="str">
        <f>IFERROR(__xludf.DUMMYFUNCTION("""COMPUTED_VALUE"""),"vũ thị hồng")</f>
        <v>vũ thị hồng</v>
      </c>
      <c r="C735" s="127" t="str">
        <f>IFERROR(__xludf.DUMMYFUNCTION("""COMPUTED_VALUE"""),"112 thích tịnh khiết")</f>
        <v>112 thích tịnh khiết</v>
      </c>
      <c r="D735" s="127" t="str">
        <f>IFERROR(__xludf.DUMMYFUNCTION("""COMPUTED_VALUE"""),"chó")</f>
        <v>chó</v>
      </c>
      <c r="E735" s="127" t="str">
        <f>IFERROR(__xludf.DUMMYFUNCTION("""COMPUTED_VALUE"""),"chó")</f>
        <v>chó</v>
      </c>
    </row>
    <row r="736" ht="15.75" customHeight="1">
      <c r="A736" s="128" t="str">
        <f>IFERROR(__xludf.DUMMYFUNCTION("""COMPUTED_VALUE"""),"0788 653 646")</f>
        <v>0788 653 646</v>
      </c>
      <c r="B736" s="127" t="str">
        <f>IFERROR(__xludf.DUMMYFUNCTION("""COMPUTED_VALUE"""),"Khánh Hà")</f>
        <v>Khánh Hà</v>
      </c>
      <c r="C736" s="127" t="str">
        <f>IFERROR(__xludf.DUMMYFUNCTION("""COMPUTED_VALUE"""),"4 Phạm Tu")</f>
        <v>4 Phạm Tu</v>
      </c>
      <c r="D736" s="127" t="str">
        <f>IFERROR(__xludf.DUMMYFUNCTION("""COMPUTED_VALUE"""),"chó")</f>
        <v>chó</v>
      </c>
      <c r="E736" s="119" t="str">
        <f>IFERROR(__xludf.DUMMYFUNCTION("""COMPUTED_VALUE"""),"Gin")</f>
        <v>Gin</v>
      </c>
    </row>
    <row r="737" ht="15.75" customHeight="1">
      <c r="A737" s="120" t="str">
        <f>IFERROR(__xludf.DUMMYFUNCTION("""COMPUTED_VALUE"""),"0905 978 717")</f>
        <v>0905 978 717</v>
      </c>
      <c r="B737" s="121" t="str">
        <f>IFERROR(__xludf.DUMMYFUNCTION("""COMPUTED_VALUE"""),"Anh Lê Xuân Cường")</f>
        <v>Anh Lê Xuân Cường</v>
      </c>
      <c r="C737" s="121" t="str">
        <f>IFERROR(__xludf.DUMMYFUNCTION("""COMPUTED_VALUE"""),"139 Bùi Thị Xuân")</f>
        <v>139 Bùi Thị Xuân</v>
      </c>
      <c r="D737" s="121" t="str">
        <f>IFERROR(__xludf.DUMMYFUNCTION("""COMPUTED_VALUE"""),"Chó")</f>
        <v>Chó</v>
      </c>
      <c r="E737" s="121"/>
    </row>
    <row r="738" ht="15.75" customHeight="1">
      <c r="A738" s="128" t="str">
        <f>IFERROR(__xludf.DUMMYFUNCTION("""COMPUTED_VALUE"""),"0937 419 700")</f>
        <v>0937 419 700</v>
      </c>
      <c r="B738" s="127" t="str">
        <f>IFERROR(__xludf.DUMMYFUNCTION("""COMPUTED_VALUE"""),"Dì Dương Đẩu")</f>
        <v>Dì Dương Đẩu</v>
      </c>
      <c r="C738" s="119" t="str">
        <f>IFERROR(__xludf.DUMMYFUNCTION("""COMPUTED_VALUE"""),"Thích Tịnh Khiết")</f>
        <v>Thích Tịnh Khiết</v>
      </c>
      <c r="D738" s="127" t="str">
        <f>IFERROR(__xludf.DUMMYFUNCTION("""COMPUTED_VALUE"""),"mèo")</f>
        <v>mèo</v>
      </c>
      <c r="E738" s="127" t="str">
        <f>IFERROR(__xludf.DUMMYFUNCTION("""COMPUTED_VALUE"""),"Coca")</f>
        <v>Coca</v>
      </c>
    </row>
    <row r="739" ht="15.75" customHeight="1">
      <c r="A739" s="120" t="str">
        <f>IFERROR(__xludf.DUMMYFUNCTION("""COMPUTED_VALUE"""),"0703 167 210")</f>
        <v>0703 167 210</v>
      </c>
      <c r="B739" s="121" t="str">
        <f>IFERROR(__xludf.DUMMYFUNCTION("""COMPUTED_VALUE"""),"Anh Kiệt")</f>
        <v>Anh Kiệt</v>
      </c>
      <c r="C739" s="121" t="str">
        <f>IFERROR(__xludf.DUMMYFUNCTION("""COMPUTED_VALUE"""),"39 Lý Nam Đế")</f>
        <v>39 Lý Nam Đế</v>
      </c>
      <c r="D739" s="121" t="str">
        <f>IFERROR(__xludf.DUMMYFUNCTION("""COMPUTED_VALUE"""),"chó")</f>
        <v>chó</v>
      </c>
      <c r="E739" s="121" t="str">
        <f>IFERROR(__xludf.DUMMYFUNCTION("""COMPUTED_VALUE"""),"Mun")</f>
        <v>Mun</v>
      </c>
    </row>
    <row r="740" ht="15.75" customHeight="1">
      <c r="A740" s="120" t="str">
        <f>IFERROR(__xludf.DUMMYFUNCTION("""COMPUTED_VALUE"""),"0774 475 868")</f>
        <v>0774 475 868</v>
      </c>
      <c r="B740" s="121" t="str">
        <f>IFERROR(__xludf.DUMMYFUNCTION("""COMPUTED_VALUE"""),"Chị Phương")</f>
        <v>Chị Phương</v>
      </c>
      <c r="C740" s="121" t="str">
        <f>IFERROR(__xludf.DUMMYFUNCTION("""COMPUTED_VALUE"""),"14 Kim Long")</f>
        <v>14 Kim Long</v>
      </c>
      <c r="D740" s="121" t="str">
        <f>IFERROR(__xludf.DUMMYFUNCTION("""COMPUTED_VALUE"""),"chó")</f>
        <v>chó</v>
      </c>
      <c r="E740" s="121" t="str">
        <f>IFERROR(__xludf.DUMMYFUNCTION("""COMPUTED_VALUE"""),"Tony")</f>
        <v>Tony</v>
      </c>
    </row>
    <row r="741" ht="15.75" customHeight="1">
      <c r="A741" s="120" t="str">
        <f>IFERROR(__xludf.DUMMYFUNCTION("""COMPUTED_VALUE"""),"0935 318 309")</f>
        <v>0935 318 309</v>
      </c>
      <c r="B741" s="121" t="str">
        <f>IFERROR(__xludf.DUMMYFUNCTION("""COMPUTED_VALUE"""),"Chị Khánh Linh")</f>
        <v>Chị Khánh Linh</v>
      </c>
      <c r="C741" s="121" t="str">
        <f>IFERROR(__xludf.DUMMYFUNCTION("""COMPUTED_VALUE"""),"82 Nguyễn Gia Thiều")</f>
        <v>82 Nguyễn Gia Thiều</v>
      </c>
      <c r="D741" s="121" t="str">
        <f>IFERROR(__xludf.DUMMYFUNCTION("""COMPUTED_VALUE"""),"mèo")</f>
        <v>mèo</v>
      </c>
      <c r="E741" s="121" t="str">
        <f>IFERROR(__xludf.DUMMYFUNCTION("""COMPUTED_VALUE"""),"Lùn")</f>
        <v>Lùn</v>
      </c>
    </row>
    <row r="742" ht="15.75" customHeight="1">
      <c r="A742" s="128" t="str">
        <f>IFERROR(__xludf.DUMMYFUNCTION("""COMPUTED_VALUE"""),"0982 215 369")</f>
        <v>0982 215 369</v>
      </c>
      <c r="B742" s="127" t="str">
        <f>IFERROR(__xludf.DUMMYFUNCTION("""COMPUTED_VALUE"""),"Chị Thanh Hải")</f>
        <v>Chị Thanh Hải</v>
      </c>
      <c r="C742" s="127" t="str">
        <f>IFERROR(__xludf.DUMMYFUNCTION("""COMPUTED_VALUE"""),"4/1 La Sơn Phu Tử")</f>
        <v>4/1 La Sơn Phu Tử</v>
      </c>
      <c r="D742" s="127" t="str">
        <f>IFERROR(__xludf.DUMMYFUNCTION("""COMPUTED_VALUE"""),"chó")</f>
        <v>chó</v>
      </c>
      <c r="E742" s="127" t="str">
        <f>IFERROR(__xludf.DUMMYFUNCTION("""COMPUTED_VALUE"""),"Xu")</f>
        <v>Xu</v>
      </c>
    </row>
    <row r="743" ht="15.75" customHeight="1">
      <c r="A743" s="120" t="str">
        <f>IFERROR(__xludf.DUMMYFUNCTION("""COMPUTED_VALUE"""),"0789 102 322")</f>
        <v>0789 102 322</v>
      </c>
      <c r="B743" s="121" t="str">
        <f>IFERROR(__xludf.DUMMYFUNCTION("""COMPUTED_VALUE"""),"Thủy Tiên")</f>
        <v>Thủy Tiên</v>
      </c>
      <c r="C743" s="121" t="str">
        <f>IFERROR(__xludf.DUMMYFUNCTION("""COMPUTED_VALUE"""),"2/227 Trần Phú")</f>
        <v>2/227 Trần Phú</v>
      </c>
      <c r="D743" s="121" t="str">
        <f>IFERROR(__xludf.DUMMYFUNCTION("""COMPUTED_VALUE"""),"chó")</f>
        <v>chó</v>
      </c>
      <c r="E743" s="121"/>
    </row>
    <row r="744" ht="15.75" customHeight="1">
      <c r="A744" s="128" t="str">
        <f>IFERROR(__xludf.DUMMYFUNCTION("""COMPUTED_VALUE"""),"0812 254 518")</f>
        <v>0812 254 518</v>
      </c>
      <c r="B744" s="127" t="str">
        <f>IFERROR(__xludf.DUMMYFUNCTION("""COMPUTED_VALUE"""),"Anh Lưu")</f>
        <v>Anh Lưu</v>
      </c>
      <c r="C744" s="127" t="str">
        <f>IFERROR(__xludf.DUMMYFUNCTION("""COMPUTED_VALUE"""),"3/55 An Ninh")</f>
        <v>3/55 An Ninh</v>
      </c>
      <c r="D744" s="127" t="str">
        <f>IFERROR(__xludf.DUMMYFUNCTION("""COMPUTED_VALUE"""),"Chó")</f>
        <v>Chó</v>
      </c>
      <c r="E744" s="127" t="str">
        <f>IFERROR(__xludf.DUMMYFUNCTION("""COMPUTED_VALUE"""),"Lê")</f>
        <v>Lê</v>
      </c>
    </row>
    <row r="745" ht="15.75" customHeight="1">
      <c r="A745" s="120">
        <f>IFERROR(__xludf.DUMMYFUNCTION("""COMPUTED_VALUE"""),9.09816297E8)</f>
        <v>909816297</v>
      </c>
      <c r="B745" s="121" t="str">
        <f>IFERROR(__xludf.DUMMYFUNCTION("""COMPUTED_VALUE"""),"Chị Trang")</f>
        <v>Chị Trang</v>
      </c>
      <c r="C745" s="121" t="str">
        <f>IFERROR(__xludf.DUMMYFUNCTION("""COMPUTED_VALUE"""),"Nguyễn Thiện Thuật")</f>
        <v>Nguyễn Thiện Thuật</v>
      </c>
      <c r="D745" s="121" t="str">
        <f>IFERROR(__xludf.DUMMYFUNCTION("""COMPUTED_VALUE"""),"chó")</f>
        <v>chó</v>
      </c>
      <c r="E745" s="121" t="str">
        <f>IFERROR(__xludf.DUMMYFUNCTION("""COMPUTED_VALUE"""),"Đen")</f>
        <v>Đen</v>
      </c>
    </row>
    <row r="746" ht="15.75" customHeight="1">
      <c r="A746" s="128" t="str">
        <f>IFERROR(__xludf.DUMMYFUNCTION("""COMPUTED_VALUE"""),"0373 823 374")</f>
        <v>0373 823 374</v>
      </c>
      <c r="B746" s="127" t="str">
        <f>IFERROR(__xludf.DUMMYFUNCTION("""COMPUTED_VALUE"""),"Anh Hoàng")</f>
        <v>Anh Hoàng</v>
      </c>
      <c r="C746" s="127" t="str">
        <f>IFERROR(__xludf.DUMMYFUNCTION("""COMPUTED_VALUE"""),"36 Minh Mạng")</f>
        <v>36 Minh Mạng</v>
      </c>
      <c r="D746" s="127" t="str">
        <f>IFERROR(__xludf.DUMMYFUNCTION("""COMPUTED_VALUE"""),"Chó")</f>
        <v>Chó</v>
      </c>
      <c r="E746" s="127" t="str">
        <f>IFERROR(__xludf.DUMMYFUNCTION("""COMPUTED_VALUE"""),"Bét")</f>
        <v>Bét</v>
      </c>
    </row>
    <row r="747" ht="15.75" customHeight="1">
      <c r="A747" s="128" t="str">
        <f>IFERROR(__xludf.DUMMYFUNCTION("""COMPUTED_VALUE"""),"0931 941 343")</f>
        <v>0931 941 343</v>
      </c>
      <c r="B747" s="127" t="str">
        <f>IFERROR(__xludf.DUMMYFUNCTION("""COMPUTED_VALUE"""),"Minh Châu")</f>
        <v>Minh Châu</v>
      </c>
      <c r="C747" s="127" t="str">
        <f>IFERROR(__xludf.DUMMYFUNCTION("""COMPUTED_VALUE"""),"16 k78 Phạm Thị Liên")</f>
        <v>16 k78 Phạm Thị Liên</v>
      </c>
      <c r="D747" s="127" t="str">
        <f>IFERROR(__xludf.DUMMYFUNCTION("""COMPUTED_VALUE"""),"chó")</f>
        <v>chó</v>
      </c>
      <c r="E747" s="127" t="str">
        <f>IFERROR(__xludf.DUMMYFUNCTION("""COMPUTED_VALUE"""),"Bờm")</f>
        <v>Bờm</v>
      </c>
    </row>
    <row r="748" ht="15.75" customHeight="1">
      <c r="A748" s="120" t="str">
        <f>IFERROR(__xludf.DUMMYFUNCTION("""COMPUTED_VALUE"""),"0364 629 425")</f>
        <v>0364 629 425</v>
      </c>
      <c r="B748" s="121" t="str">
        <f>IFERROR(__xludf.DUMMYFUNCTION("""COMPUTED_VALUE"""),"Như Ý")</f>
        <v>Như Ý</v>
      </c>
      <c r="C748" s="121" t="str">
        <f>IFERROR(__xludf.DUMMYFUNCTION("""COMPUTED_VALUE"""),"114 Trần Phú ")</f>
        <v>114 Trần Phú </v>
      </c>
      <c r="D748" s="121" t="str">
        <f>IFERROR(__xludf.DUMMYFUNCTION("""COMPUTED_VALUE"""),"mèo")</f>
        <v>mèo</v>
      </c>
      <c r="E748" s="121" t="str">
        <f>IFERROR(__xludf.DUMMYFUNCTION("""COMPUTED_VALUE"""),"Bê")</f>
        <v>Bê</v>
      </c>
    </row>
    <row r="749" ht="15.75" customHeight="1">
      <c r="A749" s="128" t="str">
        <f>IFERROR(__xludf.DUMMYFUNCTION("""COMPUTED_VALUE"""),"0949 402 031")</f>
        <v>0949 402 031</v>
      </c>
      <c r="B749" s="127" t="str">
        <f>IFERROR(__xludf.DUMMYFUNCTION("""COMPUTED_VALUE"""),"em Ngân")</f>
        <v>em Ngân</v>
      </c>
      <c r="C749" s="127" t="str">
        <f>IFERROR(__xludf.DUMMYFUNCTION("""COMPUTED_VALUE"""),"Thủy Xuân , Huế")</f>
        <v>Thủy Xuân , Huế</v>
      </c>
      <c r="D749" s="127" t="str">
        <f>IFERROR(__xludf.DUMMYFUNCTION("""COMPUTED_VALUE"""),"chó ")</f>
        <v>chó </v>
      </c>
      <c r="E749" s="127" t="str">
        <f>IFERROR(__xludf.DUMMYFUNCTION("""COMPUTED_VALUE"""),"Xù")</f>
        <v>Xù</v>
      </c>
    </row>
    <row r="750" ht="15.75" customHeight="1">
      <c r="A750" s="128" t="str">
        <f>IFERROR(__xludf.DUMMYFUNCTION("""COMPUTED_VALUE"""),"0372 876 226")</f>
        <v>0372 876 226</v>
      </c>
      <c r="B750" s="127" t="str">
        <f>IFERROR(__xludf.DUMMYFUNCTION("""COMPUTED_VALUE"""),"Lê Huy")</f>
        <v>Lê Huy</v>
      </c>
      <c r="C750" s="127" t="str">
        <f>IFERROR(__xludf.DUMMYFUNCTION("""COMPUTED_VALUE"""),"Dương Thiệu Tước")</f>
        <v>Dương Thiệu Tước</v>
      </c>
      <c r="D750" s="127" t="str">
        <f>IFERROR(__xludf.DUMMYFUNCTION("""COMPUTED_VALUE"""),"chó")</f>
        <v>chó</v>
      </c>
      <c r="E750" s="127"/>
    </row>
    <row r="751" ht="15.75" customHeight="1">
      <c r="A751" s="120" t="str">
        <f>IFERROR(__xludf.DUMMYFUNCTION("""COMPUTED_VALUE"""),"0367 278 566")</f>
        <v>0367 278 566</v>
      </c>
      <c r="B751" s="121" t="str">
        <f>IFERROR(__xludf.DUMMYFUNCTION("""COMPUTED_VALUE"""),"Chị Thương")</f>
        <v>Chị Thương</v>
      </c>
      <c r="C751" s="121" t="str">
        <f>IFERROR(__xludf.DUMMYFUNCTION("""COMPUTED_VALUE"""),"04 Mai Thúc Loan")</f>
        <v>04 Mai Thúc Loan</v>
      </c>
      <c r="D751" s="121" t="str">
        <f>IFERROR(__xludf.DUMMYFUNCTION("""COMPUTED_VALUE"""),"chó")</f>
        <v>chó</v>
      </c>
      <c r="E751" s="121" t="str">
        <f>IFERROR(__xludf.DUMMYFUNCTION("""COMPUTED_VALUE"""),"kem")</f>
        <v>kem</v>
      </c>
    </row>
    <row r="752" ht="15.75" customHeight="1">
      <c r="A752" s="120" t="str">
        <f>IFERROR(__xludf.DUMMYFUNCTION("""COMPUTED_VALUE"""),"0762 770 662")</f>
        <v>0762 770 662</v>
      </c>
      <c r="B752" s="121" t="str">
        <f>IFERROR(__xludf.DUMMYFUNCTION("""COMPUTED_VALUE"""),"Chị Nguyên")</f>
        <v>Chị Nguyên</v>
      </c>
      <c r="C752" s="121" t="str">
        <f>IFERROR(__xludf.DUMMYFUNCTION("""COMPUTED_VALUE"""),"KV5 tổ 11 Nguyễn Văn Đào")</f>
        <v>KV5 tổ 11 Nguyễn Văn Đào</v>
      </c>
      <c r="D752" s="121" t="str">
        <f>IFERROR(__xludf.DUMMYFUNCTION("""COMPUTED_VALUE"""),"chó")</f>
        <v>chó</v>
      </c>
      <c r="E752" s="121" t="str">
        <f>IFERROR(__xludf.DUMMYFUNCTION("""COMPUTED_VALUE"""),"Bông")</f>
        <v>Bông</v>
      </c>
    </row>
    <row r="753" ht="15.75" customHeight="1">
      <c r="A753" s="120" t="str">
        <f>IFERROR(__xludf.DUMMYFUNCTION("""COMPUTED_VALUE"""),"0762 607 095")</f>
        <v>0762 607 095</v>
      </c>
      <c r="B753" s="121" t="str">
        <f>IFERROR(__xludf.DUMMYFUNCTION("""COMPUTED_VALUE"""),"Chị Tiên")</f>
        <v>Chị Tiên</v>
      </c>
      <c r="C753" s="121" t="str">
        <f>IFERROR(__xludf.DUMMYFUNCTION("""COMPUTED_VALUE"""),"18/11 Lịch Đợi")</f>
        <v>18/11 Lịch Đợi</v>
      </c>
      <c r="D753" s="121" t="str">
        <f>IFERROR(__xludf.DUMMYFUNCTION("""COMPUTED_VALUE"""),"Mèo")</f>
        <v>Mèo</v>
      </c>
      <c r="E753" s="121"/>
    </row>
    <row r="754" ht="15.75" customHeight="1">
      <c r="A754" s="120" t="str">
        <f>IFERROR(__xludf.DUMMYFUNCTION("""COMPUTED_VALUE"""),"0789 169 269")</f>
        <v>0789 169 269</v>
      </c>
      <c r="B754" s="121" t="str">
        <f>IFERROR(__xludf.DUMMYFUNCTION("""COMPUTED_VALUE"""),"Anh Thành")</f>
        <v>Anh Thành</v>
      </c>
      <c r="C754" s="121" t="str">
        <f>IFERROR(__xludf.DUMMYFUNCTION("""COMPUTED_VALUE"""),"89 Lý Nam Đế")</f>
        <v>89 Lý Nam Đế</v>
      </c>
      <c r="D754" s="121" t="str">
        <f>IFERROR(__xludf.DUMMYFUNCTION("""COMPUTED_VALUE"""),"Chó")</f>
        <v>Chó</v>
      </c>
      <c r="E754" s="121" t="str">
        <f>IFERROR(__xludf.DUMMYFUNCTION("""COMPUTED_VALUE"""),"Gấu")</f>
        <v>Gấu</v>
      </c>
    </row>
    <row r="755" ht="15.75" customHeight="1">
      <c r="A755" s="120" t="str">
        <f>IFERROR(__xludf.DUMMYFUNCTION("""COMPUTED_VALUE"""),"0347 392 515")</f>
        <v>0347 392 515</v>
      </c>
      <c r="B755" s="121" t="str">
        <f>IFERROR(__xludf.DUMMYFUNCTION("""COMPUTED_VALUE"""),"Chị Hằng")</f>
        <v>Chị Hằng</v>
      </c>
      <c r="C755" s="121" t="str">
        <f>IFERROR(__xludf.DUMMYFUNCTION("""COMPUTED_VALUE"""),"kiệt 245 Phạm Văn Đồng")</f>
        <v>kiệt 245 Phạm Văn Đồng</v>
      </c>
      <c r="D755" s="121" t="str">
        <f>IFERROR(__xludf.DUMMYFUNCTION("""COMPUTED_VALUE"""),"chó")</f>
        <v>chó</v>
      </c>
      <c r="E755" s="121" t="str">
        <f>IFERROR(__xludf.DUMMYFUNCTION("""COMPUTED_VALUE"""),"Mimi")</f>
        <v>Mimi</v>
      </c>
    </row>
    <row r="756" ht="15.75" customHeight="1">
      <c r="A756" s="120" t="str">
        <f>IFERROR(__xludf.DUMMYFUNCTION("""COMPUTED_VALUE"""),"0935 248 484")</f>
        <v>0935 248 484</v>
      </c>
      <c r="B756" s="127" t="str">
        <f>IFERROR(__xludf.DUMMYFUNCTION("""COMPUTED_VALUE"""),"Chị Bảo")</f>
        <v>Chị Bảo</v>
      </c>
      <c r="C756" s="127" t="str">
        <f>IFERROR(__xludf.DUMMYFUNCTION("""COMPUTED_VALUE"""),"23B kiệt 69 Phạm Thị Liên")</f>
        <v>23B kiệt 69 Phạm Thị Liên</v>
      </c>
      <c r="D756" s="127" t="str">
        <f>IFERROR(__xludf.DUMMYFUNCTION("""COMPUTED_VALUE"""),"Chó")</f>
        <v>Chó</v>
      </c>
      <c r="E756" s="127" t="str">
        <f>IFERROR(__xludf.DUMMYFUNCTION("""COMPUTED_VALUE"""),"Tèo/Ki")</f>
        <v>Tèo/Ki</v>
      </c>
    </row>
    <row r="757" ht="15.75" customHeight="1">
      <c r="A757" s="120" t="str">
        <f>IFERROR(__xludf.DUMMYFUNCTION("""COMPUTED_VALUE"""),"0774 592 280")</f>
        <v>0774 592 280</v>
      </c>
      <c r="B757" s="121" t="str">
        <f>IFERROR(__xludf.DUMMYFUNCTION("""COMPUTED_VALUE"""),"An Nhiên")</f>
        <v>An Nhiên</v>
      </c>
      <c r="C757" s="121" t="str">
        <f>IFERROR(__xludf.DUMMYFUNCTION("""COMPUTED_VALUE"""),"66/1 Kim Long")</f>
        <v>66/1 Kim Long</v>
      </c>
      <c r="D757" s="121" t="str">
        <f>IFERROR(__xludf.DUMMYFUNCTION("""COMPUTED_VALUE"""),"chó")</f>
        <v>chó</v>
      </c>
      <c r="E757" s="121"/>
    </row>
    <row r="758" ht="15.75" customHeight="1">
      <c r="A758" s="128" t="str">
        <f>IFERROR(__xludf.DUMMYFUNCTION("""COMPUTED_VALUE"""),"0973 997 814")</f>
        <v>0973 997 814</v>
      </c>
      <c r="B758" s="127" t="str">
        <f>IFERROR(__xludf.DUMMYFUNCTION("""COMPUTED_VALUE"""),"Chị Kim Chi")</f>
        <v>Chị Kim Chi</v>
      </c>
      <c r="C758" s="127" t="str">
        <f>IFERROR(__xludf.DUMMYFUNCTION("""COMPUTED_VALUE"""),"50 Vân Dương")</f>
        <v>50 Vân Dương</v>
      </c>
      <c r="D758" s="127" t="str">
        <f>IFERROR(__xludf.DUMMYFUNCTION("""COMPUTED_VALUE"""),"Chó")</f>
        <v>Chó</v>
      </c>
      <c r="E758" s="127" t="str">
        <f>IFERROR(__xludf.DUMMYFUNCTION("""COMPUTED_VALUE"""),"Tom")</f>
        <v>Tom</v>
      </c>
    </row>
    <row r="759" ht="15.75" customHeight="1">
      <c r="A759" s="128" t="str">
        <f>IFERROR(__xludf.DUMMYFUNCTION("""COMPUTED_VALUE"""),"0909 455 515")</f>
        <v>0909 455 515</v>
      </c>
      <c r="B759" s="127" t="str">
        <f>IFERROR(__xludf.DUMMYFUNCTION("""COMPUTED_VALUE"""),"chú Hồ Tất")</f>
        <v>chú Hồ Tất</v>
      </c>
      <c r="C759" s="127" t="str">
        <f>IFERROR(__xludf.DUMMYFUNCTION("""COMPUTED_VALUE"""),"24/1 Nguyễn Phúc Nguyên ")</f>
        <v>24/1 Nguyễn Phúc Nguyên </v>
      </c>
      <c r="D759" s="127" t="str">
        <f>IFERROR(__xludf.DUMMYFUNCTION("""COMPUTED_VALUE"""),"chó ")</f>
        <v>chó </v>
      </c>
      <c r="E759" s="119" t="str">
        <f>IFERROR(__xludf.DUMMYFUNCTION("""COMPUTED_VALUE"""),"Bơ")</f>
        <v>Bơ</v>
      </c>
    </row>
    <row r="760" ht="15.75" customHeight="1">
      <c r="A760" s="120" t="str">
        <f>IFERROR(__xludf.DUMMYFUNCTION("""COMPUTED_VALUE"""),"0395 975 652")</f>
        <v>0395 975 652</v>
      </c>
      <c r="B760" s="121" t="str">
        <f>IFERROR(__xludf.DUMMYFUNCTION("""COMPUTED_VALUE"""),"Em Hảo")</f>
        <v>Em Hảo</v>
      </c>
      <c r="C760" s="121" t="str">
        <f>IFERROR(__xludf.DUMMYFUNCTION("""COMPUTED_VALUE"""),"1/22 Tam Thai")</f>
        <v>1/22 Tam Thai</v>
      </c>
      <c r="D760" s="121" t="str">
        <f>IFERROR(__xludf.DUMMYFUNCTION("""COMPUTED_VALUE"""),"Chó")</f>
        <v>Chó</v>
      </c>
      <c r="E760" s="121" t="str">
        <f>IFERROR(__xludf.DUMMYFUNCTION("""COMPUTED_VALUE"""),"Gấu")</f>
        <v>Gấu</v>
      </c>
    </row>
    <row r="761" ht="15.75" customHeight="1">
      <c r="A761" s="120" t="str">
        <f>IFERROR(__xludf.DUMMYFUNCTION("""COMPUTED_VALUE"""),"0867 692 901")</f>
        <v>0867 692 901</v>
      </c>
      <c r="B761" s="121" t="str">
        <f>IFERROR(__xludf.DUMMYFUNCTION("""COMPUTED_VALUE"""),"Chị Thu")</f>
        <v>Chị Thu</v>
      </c>
      <c r="C761" s="121" t="str">
        <f>IFERROR(__xludf.DUMMYFUNCTION("""COMPUTED_VALUE"""),"5a/27 Hoàng Quốc Việt")</f>
        <v>5a/27 Hoàng Quốc Việt</v>
      </c>
      <c r="D761" s="121" t="str">
        <f>IFERROR(__xludf.DUMMYFUNCTION("""COMPUTED_VALUE"""),"mèo")</f>
        <v>mèo</v>
      </c>
      <c r="E761" s="121" t="str">
        <f>IFERROR(__xludf.DUMMYFUNCTION("""COMPUTED_VALUE"""),"Golden")</f>
        <v>Golden</v>
      </c>
    </row>
    <row r="762" ht="15.75" customHeight="1">
      <c r="A762" s="120" t="str">
        <f>IFERROR(__xludf.DUMMYFUNCTION("""COMPUTED_VALUE"""),"0905 122 234")</f>
        <v>0905 122 234</v>
      </c>
      <c r="B762" s="121"/>
      <c r="C762" s="121" t="str">
        <f>IFERROR(__xludf.DUMMYFUNCTION("""COMPUTED_VALUE"""),"12 Phạm Thị Liên")</f>
        <v>12 Phạm Thị Liên</v>
      </c>
      <c r="D762" s="121" t="str">
        <f>IFERROR(__xludf.DUMMYFUNCTION("""COMPUTED_VALUE"""),"chó ")</f>
        <v>chó </v>
      </c>
      <c r="E762" s="121"/>
    </row>
    <row r="763" ht="15.75" customHeight="1">
      <c r="A763" s="128" t="str">
        <f>IFERROR(__xludf.DUMMYFUNCTION("""COMPUTED_VALUE"""),"0332 993 185")</f>
        <v>0332 993 185</v>
      </c>
      <c r="B763" s="127" t="str">
        <f>IFERROR(__xludf.DUMMYFUNCTION("""COMPUTED_VALUE"""),"Em Mùi Ghến")</f>
        <v>Em Mùi Ghến</v>
      </c>
      <c r="C763" s="127" t="str">
        <f>IFERROR(__xludf.DUMMYFUNCTION("""COMPUTED_VALUE"""),"Kiệt 35 Điện Biên Phủ")</f>
        <v>Kiệt 35 Điện Biên Phủ</v>
      </c>
      <c r="D763" s="127" t="str">
        <f>IFERROR(__xludf.DUMMYFUNCTION("""COMPUTED_VALUE"""),"Mèo")</f>
        <v>Mèo</v>
      </c>
      <c r="E763" s="127" t="str">
        <f>IFERROR(__xludf.DUMMYFUNCTION("""COMPUTED_VALUE"""),"Poc")</f>
        <v>Poc</v>
      </c>
    </row>
    <row r="764" ht="15.75" customHeight="1">
      <c r="A764" s="120" t="str">
        <f>IFERROR(__xludf.DUMMYFUNCTION("""COMPUTED_VALUE"""),"0931 972 504")</f>
        <v>0931 972 504</v>
      </c>
      <c r="B764" s="121" t="str">
        <f>IFERROR(__xludf.DUMMYFUNCTION("""COMPUTED_VALUE"""),"Em Nhi")</f>
        <v>Em Nhi</v>
      </c>
      <c r="C764" s="121" t="str">
        <f>IFERROR(__xludf.DUMMYFUNCTION("""COMPUTED_VALUE"""),"3/39 Đào Tấn")</f>
        <v>3/39 Đào Tấn</v>
      </c>
      <c r="D764" s="121" t="str">
        <f>IFERROR(__xludf.DUMMYFUNCTION("""COMPUTED_VALUE"""),"Chó")</f>
        <v>Chó</v>
      </c>
      <c r="E764" s="119" t="str">
        <f>IFERROR(__xludf.DUMMYFUNCTION("""COMPUTED_VALUE"""),"Kiwi")</f>
        <v>Kiwi</v>
      </c>
    </row>
    <row r="765" ht="15.75" customHeight="1">
      <c r="A765" s="120" t="str">
        <f>IFERROR(__xludf.DUMMYFUNCTION("""COMPUTED_VALUE"""),"0935 520 404")</f>
        <v>0935 520 404</v>
      </c>
      <c r="B765" s="121" t="str">
        <f>IFERROR(__xludf.DUMMYFUNCTION("""COMPUTED_VALUE"""),"Anh Phương")</f>
        <v>Anh Phương</v>
      </c>
      <c r="C765" s="121" t="str">
        <f>IFERROR(__xludf.DUMMYFUNCTION("""COMPUTED_VALUE"""),"5/7/36 Kim Long")</f>
        <v>5/7/36 Kim Long</v>
      </c>
      <c r="D765" s="121" t="str">
        <f>IFERROR(__xludf.DUMMYFUNCTION("""COMPUTED_VALUE"""),"chó")</f>
        <v>chó</v>
      </c>
      <c r="E765" s="119" t="str">
        <f>IFERROR(__xludf.DUMMYFUNCTION("""COMPUTED_VALUE"""),"Mon")</f>
        <v>Mon</v>
      </c>
    </row>
    <row r="766" ht="15.75" customHeight="1">
      <c r="A766" s="128" t="str">
        <f>IFERROR(__xludf.DUMMYFUNCTION("""COMPUTED_VALUE"""),"0399 328 558")</f>
        <v>0399 328 558</v>
      </c>
      <c r="B766" s="127" t="str">
        <f>IFERROR(__xludf.DUMMYFUNCTION("""COMPUTED_VALUE"""),"Chị Diện")</f>
        <v>Chị Diện</v>
      </c>
      <c r="C766" s="127"/>
      <c r="D766" s="127" t="str">
        <f>IFERROR(__xludf.DUMMYFUNCTION("""COMPUTED_VALUE"""),"Mèo")</f>
        <v>Mèo</v>
      </c>
      <c r="E766" s="127" t="str">
        <f>IFERROR(__xludf.DUMMYFUNCTION("""COMPUTED_VALUE"""),"Miu")</f>
        <v>Miu</v>
      </c>
    </row>
    <row r="767" ht="15.75" customHeight="1">
      <c r="A767" s="128" t="str">
        <f>IFERROR(__xludf.DUMMYFUNCTION("""COMPUTED_VALUE"""),"0336 423 540")</f>
        <v>0336 423 540</v>
      </c>
      <c r="B767" s="127" t="str">
        <f>IFERROR(__xludf.DUMMYFUNCTION("""COMPUTED_VALUE"""),"Vĩnh Kha")</f>
        <v>Vĩnh Kha</v>
      </c>
      <c r="C767" s="127" t="str">
        <f>IFERROR(__xludf.DUMMYFUNCTION("""COMPUTED_VALUE"""),"17/147 Phan Đình Phùng")</f>
        <v>17/147 Phan Đình Phùng</v>
      </c>
      <c r="D767" s="127" t="str">
        <f>IFERROR(__xludf.DUMMYFUNCTION("""COMPUTED_VALUE"""),"Mèo")</f>
        <v>Mèo</v>
      </c>
      <c r="E767" s="127"/>
    </row>
    <row r="768" ht="15.75" customHeight="1">
      <c r="A768" s="120" t="str">
        <f>IFERROR(__xludf.DUMMYFUNCTION("""COMPUTED_VALUE"""),"0356 435 075")</f>
        <v>0356 435 075</v>
      </c>
      <c r="B768" s="121" t="str">
        <f>IFERROR(__xludf.DUMMYFUNCTION("""COMPUTED_VALUE"""),"dì Em ")</f>
        <v>dì Em </v>
      </c>
      <c r="C768" s="121"/>
      <c r="D768" s="121" t="str">
        <f>IFERROR(__xludf.DUMMYFUNCTION("""COMPUTED_VALUE"""),"Tôm")</f>
        <v>Tôm</v>
      </c>
      <c r="E768" s="121"/>
    </row>
    <row r="769" ht="15.75" customHeight="1">
      <c r="A769" s="128" t="str">
        <f>IFERROR(__xludf.DUMMYFUNCTION("""COMPUTED_VALUE"""),"0934 999 645")</f>
        <v>0934 999 645</v>
      </c>
      <c r="B769" s="127" t="str">
        <f>IFERROR(__xludf.DUMMYFUNCTION("""COMPUTED_VALUE"""),"chú Thành")</f>
        <v>chú Thành</v>
      </c>
      <c r="C769" s="127" t="str">
        <f>IFERROR(__xludf.DUMMYFUNCTION("""COMPUTED_VALUE"""),"52 Lê Duẩn")</f>
        <v>52 Lê Duẩn</v>
      </c>
      <c r="D769" s="127" t="str">
        <f>IFERROR(__xludf.DUMMYFUNCTION("""COMPUTED_VALUE"""),"chó ")</f>
        <v>chó </v>
      </c>
      <c r="E769" s="127" t="str">
        <f>IFERROR(__xludf.DUMMYFUNCTION("""COMPUTED_VALUE"""),"Men")</f>
        <v>Men</v>
      </c>
    </row>
    <row r="770" ht="15.75" customHeight="1">
      <c r="A770" s="128" t="str">
        <f>IFERROR(__xludf.DUMMYFUNCTION("""COMPUTED_VALUE"""),"0369 243 123")</f>
        <v>0369 243 123</v>
      </c>
      <c r="B770" s="127" t="str">
        <f>IFERROR(__xludf.DUMMYFUNCTION("""COMPUTED_VALUE"""),"anh Quân")</f>
        <v>anh Quân</v>
      </c>
      <c r="C770" s="127" t="str">
        <f>IFERROR(__xludf.DUMMYFUNCTION("""COMPUTED_VALUE"""),"38/35 Nguyễn Hoàng ")</f>
        <v>38/35 Nguyễn Hoàng </v>
      </c>
      <c r="D770" s="127" t="str">
        <f>IFERROR(__xludf.DUMMYFUNCTION("""COMPUTED_VALUE"""),"chó")</f>
        <v>chó</v>
      </c>
      <c r="E770" s="127" t="str">
        <f>IFERROR(__xludf.DUMMYFUNCTION("""COMPUTED_VALUE"""),"Lu")</f>
        <v>Lu</v>
      </c>
    </row>
    <row r="771" ht="15.75" customHeight="1">
      <c r="A771" s="120" t="str">
        <f>IFERROR(__xludf.DUMMYFUNCTION("""COMPUTED_VALUE"""),"0774 431 769")</f>
        <v>0774 431 769</v>
      </c>
      <c r="B771" s="121" t="str">
        <f>IFERROR(__xludf.DUMMYFUNCTION("""COMPUTED_VALUE"""),"dì Lan")</f>
        <v>dì Lan</v>
      </c>
      <c r="C771" s="121" t="str">
        <f>IFERROR(__xludf.DUMMYFUNCTION("""COMPUTED_VALUE"""),"26 Nguyễn Phúc Tần, Kim Long")</f>
        <v>26 Nguyễn Phúc Tần, Kim Long</v>
      </c>
      <c r="D771" s="121" t="str">
        <f>IFERROR(__xludf.DUMMYFUNCTION("""COMPUTED_VALUE"""),"chó")</f>
        <v>chó</v>
      </c>
      <c r="E771" s="121" t="str">
        <f>IFERROR(__xludf.DUMMYFUNCTION("""COMPUTED_VALUE"""),"Lắc")</f>
        <v>Lắc</v>
      </c>
    </row>
    <row r="772" ht="15.75" customHeight="1">
      <c r="A772" s="120" t="str">
        <f>IFERROR(__xludf.DUMMYFUNCTION("""COMPUTED_VALUE"""),"0935 399 990")</f>
        <v>0935 399 990</v>
      </c>
      <c r="B772" s="121" t="str">
        <f>IFERROR(__xludf.DUMMYFUNCTION("""COMPUTED_VALUE"""),"Chị Thy")</f>
        <v>Chị Thy</v>
      </c>
      <c r="C772" s="121" t="str">
        <f>IFERROR(__xludf.DUMMYFUNCTION("""COMPUTED_VALUE"""),"68 Nguyễn Hữu Dật")</f>
        <v>68 Nguyễn Hữu Dật</v>
      </c>
      <c r="D772" s="121" t="str">
        <f>IFERROR(__xludf.DUMMYFUNCTION("""COMPUTED_VALUE"""),"chó")</f>
        <v>chó</v>
      </c>
      <c r="E772" s="121"/>
    </row>
    <row r="773" ht="15.75" customHeight="1">
      <c r="A773" s="128" t="str">
        <f>IFERROR(__xludf.DUMMYFUNCTION("""COMPUTED_VALUE"""),"0795 178 540")</f>
        <v>0795 178 540</v>
      </c>
      <c r="B773" s="127" t="str">
        <f>IFERROR(__xludf.DUMMYFUNCTION("""COMPUTED_VALUE"""),"Anh Bảo Long")</f>
        <v>Anh Bảo Long</v>
      </c>
      <c r="C773" s="127" t="str">
        <f>IFERROR(__xludf.DUMMYFUNCTION("""COMPUTED_VALUE"""),"52 Lê Duẩn")</f>
        <v>52 Lê Duẩn</v>
      </c>
      <c r="D773" s="127" t="str">
        <f>IFERROR(__xludf.DUMMYFUNCTION("""COMPUTED_VALUE"""),"Chó")</f>
        <v>Chó</v>
      </c>
      <c r="E773" s="127" t="str">
        <f>IFERROR(__xludf.DUMMYFUNCTION("""COMPUTED_VALUE"""),"Ken")</f>
        <v>Ken</v>
      </c>
    </row>
    <row r="774" ht="15.75" customHeight="1">
      <c r="A774" s="120" t="str">
        <f>IFERROR(__xludf.DUMMYFUNCTION("""COMPUTED_VALUE"""),"0914 091 385")</f>
        <v>0914 091 385</v>
      </c>
      <c r="B774" s="121" t="str">
        <f>IFERROR(__xludf.DUMMYFUNCTION("""COMPUTED_VALUE"""),"Chú Cư")</f>
        <v>Chú Cư</v>
      </c>
      <c r="C774" s="121" t="str">
        <f>IFERROR(__xludf.DUMMYFUNCTION("""COMPUTED_VALUE"""),"11/8 Hà Nội")</f>
        <v>11/8 Hà Nội</v>
      </c>
      <c r="D774" s="121" t="str">
        <f>IFERROR(__xludf.DUMMYFUNCTION("""COMPUTED_VALUE"""),"chó ")</f>
        <v>chó </v>
      </c>
      <c r="E774" s="121" t="str">
        <f>IFERROR(__xludf.DUMMYFUNCTION("""COMPUTED_VALUE"""),"Weed")</f>
        <v>Weed</v>
      </c>
    </row>
    <row r="775" ht="15.75" customHeight="1">
      <c r="A775" s="120" t="str">
        <f>IFERROR(__xludf.DUMMYFUNCTION("""COMPUTED_VALUE"""),"0359 855 930")</f>
        <v>0359 855 930</v>
      </c>
      <c r="B775" s="121" t="str">
        <f>IFERROR(__xludf.DUMMYFUNCTION("""COMPUTED_VALUE"""),"Anh Tín")</f>
        <v>Anh Tín</v>
      </c>
      <c r="C775" s="121" t="str">
        <f>IFERROR(__xludf.DUMMYFUNCTION("""COMPUTED_VALUE"""),"Hương Chữ")</f>
        <v>Hương Chữ</v>
      </c>
      <c r="D775" s="121" t="str">
        <f>IFERROR(__xludf.DUMMYFUNCTION("""COMPUTED_VALUE"""),"Chó")</f>
        <v>Chó</v>
      </c>
      <c r="E775" s="121" t="str">
        <f>IFERROR(__xludf.DUMMYFUNCTION("""COMPUTED_VALUE"""),"Coca")</f>
        <v>Coca</v>
      </c>
    </row>
    <row r="776" ht="15.75" customHeight="1">
      <c r="A776" s="120" t="str">
        <f>IFERROR(__xludf.DUMMYFUNCTION("""COMPUTED_VALUE"""),"0968 543 483")</f>
        <v>0968 543 483</v>
      </c>
      <c r="B776" s="121" t="str">
        <f>IFERROR(__xludf.DUMMYFUNCTION("""COMPUTED_VALUE"""),"Anh Trữ")</f>
        <v>Anh Trữ</v>
      </c>
      <c r="C776" s="121" t="str">
        <f>IFERROR(__xludf.DUMMYFUNCTION("""COMPUTED_VALUE"""),"Hương Hồ")</f>
        <v>Hương Hồ</v>
      </c>
      <c r="D776" s="121" t="str">
        <f>IFERROR(__xludf.DUMMYFUNCTION("""COMPUTED_VALUE"""),"Chó")</f>
        <v>Chó</v>
      </c>
      <c r="E776" s="121" t="str">
        <f>IFERROR(__xludf.DUMMYFUNCTION("""COMPUTED_VALUE"""),"Milu")</f>
        <v>Milu</v>
      </c>
    </row>
    <row r="777" ht="15.75" customHeight="1">
      <c r="A777" s="128" t="str">
        <f>IFERROR(__xludf.DUMMYFUNCTION("""COMPUTED_VALUE"""),"0973 066 646 ")</f>
        <v>0973 066 646 </v>
      </c>
      <c r="B777" s="127" t="str">
        <f>IFERROR(__xludf.DUMMYFUNCTION("""COMPUTED_VALUE"""),"bác hùng")</f>
        <v>bác hùng</v>
      </c>
      <c r="C777" s="127" t="str">
        <f>IFERROR(__xludf.DUMMYFUNCTION("""COMPUTED_VALUE"""),"hương thọ")</f>
        <v>hương thọ</v>
      </c>
      <c r="D777" s="127" t="str">
        <f>IFERROR(__xludf.DUMMYFUNCTION("""COMPUTED_VALUE"""),"chó")</f>
        <v>chó</v>
      </c>
      <c r="E777" s="127" t="str">
        <f>IFERROR(__xludf.DUMMYFUNCTION("""COMPUTED_VALUE"""),"becgie")</f>
        <v>becgie</v>
      </c>
    </row>
    <row r="778" ht="15.75" customHeight="1">
      <c r="A778" s="128" t="str">
        <f>IFERROR(__xludf.DUMMYFUNCTION("""COMPUTED_VALUE"""),"0935 741 223")</f>
        <v>0935 741 223</v>
      </c>
      <c r="B778" s="127" t="str">
        <f>IFERROR(__xludf.DUMMYFUNCTION("""COMPUTED_VALUE"""),"Chú Hòa")</f>
        <v>Chú Hòa</v>
      </c>
      <c r="C778" s="127"/>
      <c r="D778" s="127" t="str">
        <f>IFERROR(__xludf.DUMMYFUNCTION("""COMPUTED_VALUE"""),"Chó")</f>
        <v>Chó</v>
      </c>
      <c r="E778" s="127" t="str">
        <f>IFERROR(__xludf.DUMMYFUNCTION("""COMPUTED_VALUE"""),"Bơ")</f>
        <v>Bơ</v>
      </c>
    </row>
    <row r="779" ht="15.75" customHeight="1">
      <c r="A779" s="128" t="str">
        <f>IFERROR(__xludf.DUMMYFUNCTION("""COMPUTED_VALUE"""),"0965 934 394")</f>
        <v>0965 934 394</v>
      </c>
      <c r="B779" s="127" t="str">
        <f>IFERROR(__xludf.DUMMYFUNCTION("""COMPUTED_VALUE"""),"Anh Phi Hải")</f>
        <v>Anh Phi Hải</v>
      </c>
      <c r="C779" s="127" t="str">
        <f>IFERROR(__xludf.DUMMYFUNCTION("""COMPUTED_VALUE"""),"Vincoland")</f>
        <v>Vincoland</v>
      </c>
      <c r="D779" s="127" t="str">
        <f>IFERROR(__xludf.DUMMYFUNCTION("""COMPUTED_VALUE"""),"Chó")</f>
        <v>Chó</v>
      </c>
      <c r="E779" s="127"/>
    </row>
    <row r="780" ht="15.75" customHeight="1">
      <c r="A780" s="128" t="str">
        <f>IFERROR(__xludf.DUMMYFUNCTION("""COMPUTED_VALUE"""),"0903 048 964")</f>
        <v>0903 048 964</v>
      </c>
      <c r="B780" s="127" t="str">
        <f>IFERROR(__xludf.DUMMYFUNCTION("""COMPUTED_VALUE"""),"Em Tuấn")</f>
        <v>Em Tuấn</v>
      </c>
      <c r="C780" s="127" t="str">
        <f>IFERROR(__xludf.DUMMYFUNCTION("""COMPUTED_VALUE"""),"k61 Bao Vinh")</f>
        <v>k61 Bao Vinh</v>
      </c>
      <c r="D780" s="127" t="str">
        <f>IFERROR(__xludf.DUMMYFUNCTION("""COMPUTED_VALUE"""),"Chó")</f>
        <v>Chó</v>
      </c>
      <c r="E780" s="127" t="str">
        <f>IFERROR(__xludf.DUMMYFUNCTION("""COMPUTED_VALUE"""),"Rốt")</f>
        <v>Rốt</v>
      </c>
    </row>
    <row r="781" ht="15.75" customHeight="1">
      <c r="A781" s="128" t="str">
        <f>IFERROR(__xludf.DUMMYFUNCTION("""COMPUTED_VALUE"""),"0905 814 685")</f>
        <v>0905 814 685</v>
      </c>
      <c r="B781" s="127" t="str">
        <f>IFERROR(__xludf.DUMMYFUNCTION("""COMPUTED_VALUE"""),"Chị Ngãi")</f>
        <v>Chị Ngãi</v>
      </c>
      <c r="C781" s="127" t="str">
        <f>IFERROR(__xludf.DUMMYFUNCTION("""COMPUTED_VALUE"""),"Thủy Xuân")</f>
        <v>Thủy Xuân</v>
      </c>
      <c r="D781" s="127" t="str">
        <f>IFERROR(__xludf.DUMMYFUNCTION("""COMPUTED_VALUE"""),"Mèo")</f>
        <v>Mèo</v>
      </c>
      <c r="E781" s="127" t="str">
        <f>IFERROR(__xludf.DUMMYFUNCTION("""COMPUTED_VALUE"""),"Susu")</f>
        <v>Susu</v>
      </c>
    </row>
    <row r="782" ht="15.75" customHeight="1">
      <c r="A782" s="128" t="str">
        <f>IFERROR(__xludf.DUMMYFUNCTION("""COMPUTED_VALUE"""),"0985 885 452")</f>
        <v>0985 885 452</v>
      </c>
      <c r="B782" s="127" t="str">
        <f>IFERROR(__xludf.DUMMYFUNCTION("""COMPUTED_VALUE"""),"Chị Huyền")</f>
        <v>Chị Huyền</v>
      </c>
      <c r="C782" s="127" t="str">
        <f>IFERROR(__xludf.DUMMYFUNCTION("""COMPUTED_VALUE"""),"Phú Bài")</f>
        <v>Phú Bài</v>
      </c>
      <c r="D782" s="127" t="str">
        <f>IFERROR(__xludf.DUMMYFUNCTION("""COMPUTED_VALUE"""),"chó")</f>
        <v>chó</v>
      </c>
      <c r="E782" s="127" t="str">
        <f>IFERROR(__xludf.DUMMYFUNCTION("""COMPUTED_VALUE"""),"Xù")</f>
        <v>Xù</v>
      </c>
    </row>
    <row r="783" ht="15.75" customHeight="1">
      <c r="A783" s="128" t="str">
        <f>IFERROR(__xludf.DUMMYFUNCTION("""COMPUTED_VALUE"""),"0766 664 950")</f>
        <v>0766 664 950</v>
      </c>
      <c r="B783" s="127" t="str">
        <f>IFERROR(__xludf.DUMMYFUNCTION("""COMPUTED_VALUE"""),"Anh Đức")</f>
        <v>Anh Đức</v>
      </c>
      <c r="C783" s="127" t="str">
        <f>IFERROR(__xludf.DUMMYFUNCTION("""COMPUTED_VALUE"""),"38 Nguyễn Tư Giãn")</f>
        <v>38 Nguyễn Tư Giãn</v>
      </c>
      <c r="D783" s="127" t="str">
        <f>IFERROR(__xludf.DUMMYFUNCTION("""COMPUTED_VALUE"""),"chó")</f>
        <v>chó</v>
      </c>
      <c r="E783" s="127"/>
    </row>
    <row r="784" ht="15.75" customHeight="1">
      <c r="A784" s="128" t="str">
        <f>IFERROR(__xludf.DUMMYFUNCTION("""COMPUTED_VALUE"""),"0827 256 222")</f>
        <v>0827 256 222</v>
      </c>
      <c r="B784" s="127" t="str">
        <f>IFERROR(__xludf.DUMMYFUNCTION("""COMPUTED_VALUE"""),"Anh Duy")</f>
        <v>Anh Duy</v>
      </c>
      <c r="C784" s="127" t="str">
        <f>IFERROR(__xludf.DUMMYFUNCTION("""COMPUTED_VALUE"""),"Đà Nẵng")</f>
        <v>Đà Nẵng</v>
      </c>
      <c r="D784" s="127" t="str">
        <f>IFERROR(__xludf.DUMMYFUNCTION("""COMPUTED_VALUE"""),"Vẹt")</f>
        <v>Vẹt</v>
      </c>
      <c r="E784" s="119"/>
    </row>
    <row r="785" ht="15.75" customHeight="1">
      <c r="A785" s="128" t="str">
        <f>IFERROR(__xludf.DUMMYFUNCTION("""COMPUTED_VALUE"""),"0906 555 456")</f>
        <v>0906 555 456</v>
      </c>
      <c r="B785" s="127" t="str">
        <f>IFERROR(__xludf.DUMMYFUNCTION("""COMPUTED_VALUE"""),"Ngô Thanh Hưng")</f>
        <v>Ngô Thanh Hưng</v>
      </c>
      <c r="C785" s="127" t="str">
        <f>IFERROR(__xludf.DUMMYFUNCTION("""COMPUTED_VALUE"""),"KQH Thủy Dương")</f>
        <v>KQH Thủy Dương</v>
      </c>
      <c r="D785" s="127" t="str">
        <f>IFERROR(__xludf.DUMMYFUNCTION("""COMPUTED_VALUE"""),"chó")</f>
        <v>chó</v>
      </c>
      <c r="E785" s="127"/>
    </row>
    <row r="786" ht="15.75" customHeight="1">
      <c r="A786" s="128" t="str">
        <f>IFERROR(__xludf.DUMMYFUNCTION("""COMPUTED_VALUE"""),"0815 916 829")</f>
        <v>0815 916 829</v>
      </c>
      <c r="B786" s="127" t="str">
        <f>IFERROR(__xludf.DUMMYFUNCTION("""COMPUTED_VALUE"""),"Chị Trà")</f>
        <v>Chị Trà</v>
      </c>
      <c r="C786" s="127"/>
      <c r="D786" s="127" t="str">
        <f>IFERROR(__xludf.DUMMYFUNCTION("""COMPUTED_VALUE"""),"chó")</f>
        <v>chó</v>
      </c>
      <c r="E786" s="127" t="str">
        <f>IFERROR(__xludf.DUMMYFUNCTION("""COMPUTED_VALUE"""),"Cu Tí")</f>
        <v>Cu Tí</v>
      </c>
    </row>
    <row r="787" ht="15.75" customHeight="1">
      <c r="A787" s="128" t="str">
        <f>IFERROR(__xludf.DUMMYFUNCTION("""COMPUTED_VALUE"""),"0944 978 066")</f>
        <v>0944 978 066</v>
      </c>
      <c r="B787" s="127" t="str">
        <f>IFERROR(__xludf.DUMMYFUNCTION("""COMPUTED_VALUE"""),"Em Thư")</f>
        <v>Em Thư</v>
      </c>
      <c r="C787" s="127" t="str">
        <f>IFERROR(__xludf.DUMMYFUNCTION("""COMPUTED_VALUE"""),"312/10 Vạn Xuân")</f>
        <v>312/10 Vạn Xuân</v>
      </c>
      <c r="D787" s="127" t="str">
        <f>IFERROR(__xludf.DUMMYFUNCTION("""COMPUTED_VALUE"""),"chó")</f>
        <v>chó</v>
      </c>
      <c r="E787" s="127" t="str">
        <f>IFERROR(__xludf.DUMMYFUNCTION("""COMPUTED_VALUE"""),"Bon")</f>
        <v>Bon</v>
      </c>
    </row>
    <row r="788" ht="15.75" customHeight="1">
      <c r="A788" s="128" t="str">
        <f>IFERROR(__xludf.DUMMYFUNCTION("""COMPUTED_VALUE"""),"0397 242 131")</f>
        <v>0397 242 131</v>
      </c>
      <c r="B788" s="127" t="str">
        <f>IFERROR(__xludf.DUMMYFUNCTION("""COMPUTED_VALUE"""),"Anh Chí Thành")</f>
        <v>Anh Chí Thành</v>
      </c>
      <c r="C788" s="127" t="str">
        <f>IFERROR(__xludf.DUMMYFUNCTION("""COMPUTED_VALUE"""),"Đồng Khởi")</f>
        <v>Đồng Khởi</v>
      </c>
      <c r="D788" s="127" t="str">
        <f>IFERROR(__xludf.DUMMYFUNCTION("""COMPUTED_VALUE"""),"chó")</f>
        <v>chó</v>
      </c>
      <c r="E788" s="127" t="str">
        <f>IFERROR(__xludf.DUMMYFUNCTION("""COMPUTED_VALUE"""),"bia")</f>
        <v>bia</v>
      </c>
    </row>
    <row r="789" ht="15.75" customHeight="1">
      <c r="A789" s="128" t="str">
        <f>IFERROR(__xludf.DUMMYFUNCTION("""COMPUTED_VALUE"""),"0768 407 519")</f>
        <v>0768 407 519</v>
      </c>
      <c r="B789" s="127" t="str">
        <f>IFERROR(__xludf.DUMMYFUNCTION("""COMPUTED_VALUE"""),"Anh Hiếu")</f>
        <v>Anh Hiếu</v>
      </c>
      <c r="C789" s="127" t="str">
        <f>IFERROR(__xludf.DUMMYFUNCTION("""COMPUTED_VALUE"""),"Nam Giao")</f>
        <v>Nam Giao</v>
      </c>
      <c r="D789" s="127" t="str">
        <f>IFERROR(__xludf.DUMMYFUNCTION("""COMPUTED_VALUE"""),"chó")</f>
        <v>chó</v>
      </c>
      <c r="E789" s="127" t="str">
        <f>IFERROR(__xludf.DUMMYFUNCTION("""COMPUTED_VALUE"""),"mun")</f>
        <v>mun</v>
      </c>
    </row>
    <row r="790" ht="15.75" customHeight="1">
      <c r="A790" s="128" t="str">
        <f>IFERROR(__xludf.DUMMYFUNCTION("""COMPUTED_VALUE"""),"0353 573 091")</f>
        <v>0353 573 091</v>
      </c>
      <c r="B790" s="127" t="str">
        <f>IFERROR(__xludf.DUMMYFUNCTION("""COMPUTED_VALUE"""),"Trần Duy Đan")</f>
        <v>Trần Duy Đan</v>
      </c>
      <c r="C790" s="127" t="str">
        <f>IFERROR(__xludf.DUMMYFUNCTION("""COMPUTED_VALUE"""),"3/69/51/131 Trần Phú")</f>
        <v>3/69/51/131 Trần Phú</v>
      </c>
      <c r="D790" s="127" t="str">
        <f>IFERROR(__xludf.DUMMYFUNCTION("""COMPUTED_VALUE"""),"Mèo")</f>
        <v>Mèo</v>
      </c>
      <c r="E790" s="127" t="str">
        <f>IFERROR(__xludf.DUMMYFUNCTION("""COMPUTED_VALUE"""),"MiMi")</f>
        <v>MiMi</v>
      </c>
    </row>
    <row r="791" ht="15.75" customHeight="1">
      <c r="A791" s="128" t="str">
        <f>IFERROR(__xludf.DUMMYFUNCTION("""COMPUTED_VALUE"""),"0782 728 899")</f>
        <v>0782 728 899</v>
      </c>
      <c r="B791" s="127" t="str">
        <f>IFERROR(__xludf.DUMMYFUNCTION("""COMPUTED_VALUE"""),"Anh Nhật")</f>
        <v>Anh Nhật</v>
      </c>
      <c r="C791" s="127" t="str">
        <f>IFERROR(__xludf.DUMMYFUNCTION("""COMPUTED_VALUE"""),"5/19 Ngô Quyền")</f>
        <v>5/19 Ngô Quyền</v>
      </c>
      <c r="D791" s="127" t="str">
        <f>IFERROR(__xludf.DUMMYFUNCTION("""COMPUTED_VALUE"""),"chó")</f>
        <v>chó</v>
      </c>
      <c r="E791" s="119" t="str">
        <f>IFERROR(__xludf.DUMMYFUNCTION("""COMPUTED_VALUE"""),"CoCo")</f>
        <v>CoCo</v>
      </c>
    </row>
    <row r="792" ht="15.75" customHeight="1">
      <c r="A792" s="128" t="str">
        <f>IFERROR(__xludf.DUMMYFUNCTION("""COMPUTED_VALUE"""),"0905 012 637")</f>
        <v>0905 012 637</v>
      </c>
      <c r="B792" s="127" t="str">
        <f>IFERROR(__xludf.DUMMYFUNCTION("""COMPUTED_VALUE"""),"dì Kim Oanh")</f>
        <v>dì Kim Oanh</v>
      </c>
      <c r="C792" s="127" t="str">
        <f>IFERROR(__xludf.DUMMYFUNCTION("""COMPUTED_VALUE"""),"29 Trần Đại Nghĩa")</f>
        <v>29 Trần Đại Nghĩa</v>
      </c>
      <c r="D792" s="127" t="str">
        <f>IFERROR(__xludf.DUMMYFUNCTION("""COMPUTED_VALUE"""),"chó ")</f>
        <v>chó </v>
      </c>
      <c r="E792" s="127" t="str">
        <f>IFERROR(__xludf.DUMMYFUNCTION("""COMPUTED_VALUE"""),"Bi")</f>
        <v>Bi</v>
      </c>
    </row>
    <row r="793" ht="15.75" customHeight="1">
      <c r="A793" s="128" t="str">
        <f>IFERROR(__xludf.DUMMYFUNCTION("""COMPUTED_VALUE"""),"0914 702 386")</f>
        <v>0914 702 386</v>
      </c>
      <c r="B793" s="127" t="str">
        <f>IFERROR(__xludf.DUMMYFUNCTION("""COMPUTED_VALUE"""),"Bùi Mạnh Cường")</f>
        <v>Bùi Mạnh Cường</v>
      </c>
      <c r="C793" s="127" t="str">
        <f>IFERROR(__xludf.DUMMYFUNCTION("""COMPUTED_VALUE"""),"46 Tam Thai/cà phê Dấu")</f>
        <v>46 Tam Thai/cà phê Dấu</v>
      </c>
      <c r="D793" s="127" t="str">
        <f>IFERROR(__xludf.DUMMYFUNCTION("""COMPUTED_VALUE"""),"chó")</f>
        <v>chó</v>
      </c>
      <c r="E793" s="127" t="str">
        <f>IFERROR(__xludf.DUMMYFUNCTION("""COMPUTED_VALUE"""),"rếch")</f>
        <v>rếch</v>
      </c>
    </row>
    <row r="794" ht="15.75" customHeight="1">
      <c r="A794" s="128" t="str">
        <f>IFERROR(__xludf.DUMMYFUNCTION("""COMPUTED_VALUE"""),"0888 120 858")</f>
        <v>0888 120 858</v>
      </c>
      <c r="B794" s="127" t="str">
        <f>IFERROR(__xludf.DUMMYFUNCTION("""COMPUTED_VALUE"""),"Chú Tiến")</f>
        <v>Chú Tiến</v>
      </c>
      <c r="C794" s="127" t="str">
        <f>IFERROR(__xludf.DUMMYFUNCTION("""COMPUTED_VALUE"""),"22/17 Phú Mộng")</f>
        <v>22/17 Phú Mộng</v>
      </c>
      <c r="D794" s="127" t="str">
        <f>IFERROR(__xludf.DUMMYFUNCTION("""COMPUTED_VALUE"""),"mèo")</f>
        <v>mèo</v>
      </c>
      <c r="E794" s="127" t="str">
        <f>IFERROR(__xludf.DUMMYFUNCTION("""COMPUTED_VALUE"""),"lòi ruột")</f>
        <v>lòi ruột</v>
      </c>
    </row>
    <row r="795" ht="15.75" customHeight="1">
      <c r="A795" s="128" t="str">
        <f>IFERROR(__xludf.DUMMYFUNCTION("""COMPUTED_VALUE"""),"0914 553 715")</f>
        <v>0914 553 715</v>
      </c>
      <c r="B795" s="127" t="str">
        <f>IFERROR(__xludf.DUMMYFUNCTION("""COMPUTED_VALUE"""),"Chị Lý")</f>
        <v>Chị Lý</v>
      </c>
      <c r="C795" s="127" t="str">
        <f>IFERROR(__xludf.DUMMYFUNCTION("""COMPUTED_VALUE"""),"18 An Ninh")</f>
        <v>18 An Ninh</v>
      </c>
      <c r="D795" s="127" t="str">
        <f>IFERROR(__xludf.DUMMYFUNCTION("""COMPUTED_VALUE"""),"mèo")</f>
        <v>mèo</v>
      </c>
      <c r="E795" s="127" t="str">
        <f>IFERROR(__xludf.DUMMYFUNCTION("""COMPUTED_VALUE"""),"Mèo")</f>
        <v>Mèo</v>
      </c>
    </row>
    <row r="796" ht="15.75" customHeight="1">
      <c r="A796" s="128" t="str">
        <f>IFERROR(__xludf.DUMMYFUNCTION("""COMPUTED_VALUE"""),"0944 909 714")</f>
        <v>0944 909 714</v>
      </c>
      <c r="B796" s="127" t="str">
        <f>IFERROR(__xludf.DUMMYFUNCTION("""COMPUTED_VALUE"""),"Bá Hân")</f>
        <v>Bá Hân</v>
      </c>
      <c r="C796" s="127" t="str">
        <f>IFERROR(__xludf.DUMMYFUNCTION("""COMPUTED_VALUE"""),"k66 Nguyễn Duy Cung, Thủy Phương")</f>
        <v>k66 Nguyễn Duy Cung, Thủy Phương</v>
      </c>
      <c r="D796" s="127" t="str">
        <f>IFERROR(__xludf.DUMMYFUNCTION("""COMPUTED_VALUE"""),"Chó")</f>
        <v>Chó</v>
      </c>
      <c r="E796" s="127" t="str">
        <f>IFERROR(__xludf.DUMMYFUNCTION("""COMPUTED_VALUE"""),"Đen")</f>
        <v>Đen</v>
      </c>
    </row>
    <row r="797" ht="15.75" customHeight="1">
      <c r="A797" s="128" t="str">
        <f>IFERROR(__xludf.DUMMYFUNCTION("""COMPUTED_VALUE"""),"0914 172 968")</f>
        <v>0914 172 968</v>
      </c>
      <c r="B797" s="127" t="str">
        <f>IFERROR(__xludf.DUMMYFUNCTION("""COMPUTED_VALUE"""),"Chị Huệ")</f>
        <v>Chị Huệ</v>
      </c>
      <c r="C797" s="127" t="str">
        <f>IFERROR(__xludf.DUMMYFUNCTION("""COMPUTED_VALUE"""),"312 Điện Biên Phủ")</f>
        <v>312 Điện Biên Phủ</v>
      </c>
      <c r="D797" s="127" t="str">
        <f>IFERROR(__xludf.DUMMYFUNCTION("""COMPUTED_VALUE"""),"Chó")</f>
        <v>Chó</v>
      </c>
      <c r="E797" s="127"/>
    </row>
    <row r="798" ht="15.75" customHeight="1">
      <c r="A798" s="128" t="str">
        <f>IFERROR(__xludf.DUMMYFUNCTION("""COMPUTED_VALUE"""),"0387 009 668")</f>
        <v>0387 009 668</v>
      </c>
      <c r="B798" s="127" t="str">
        <f>IFERROR(__xludf.DUMMYFUNCTION("""COMPUTED_VALUE"""),"Anh Tân")</f>
        <v>Anh Tân</v>
      </c>
      <c r="C798" s="127" t="str">
        <f>IFERROR(__xludf.DUMMYFUNCTION("""COMPUTED_VALUE"""),"Phường Hương VInh")</f>
        <v>Phường Hương VInh</v>
      </c>
      <c r="D798" s="127" t="str">
        <f>IFERROR(__xludf.DUMMYFUNCTION("""COMPUTED_VALUE"""),"Chó")</f>
        <v>Chó</v>
      </c>
      <c r="E798" s="127" t="str">
        <f>IFERROR(__xludf.DUMMYFUNCTION("""COMPUTED_VALUE"""),"Bơ")</f>
        <v>Bơ</v>
      </c>
    </row>
    <row r="799" ht="15.75" customHeight="1">
      <c r="A799" s="128" t="str">
        <f>IFERROR(__xludf.DUMMYFUNCTION("""COMPUTED_VALUE"""),"0853 244 559")</f>
        <v>0853 244 559</v>
      </c>
      <c r="B799" s="127" t="str">
        <f>IFERROR(__xludf.DUMMYFUNCTION("""COMPUTED_VALUE"""),"Anh Lộc")</f>
        <v>Anh Lộc</v>
      </c>
      <c r="C799" s="127" t="str">
        <f>IFERROR(__xludf.DUMMYFUNCTION("""COMPUTED_VALUE"""),"Thủy Biều")</f>
        <v>Thủy Biều</v>
      </c>
      <c r="D799" s="127" t="str">
        <f>IFERROR(__xludf.DUMMYFUNCTION("""COMPUTED_VALUE"""),"Mèo")</f>
        <v>Mèo</v>
      </c>
      <c r="E799" s="127" t="str">
        <f>IFERROR(__xludf.DUMMYFUNCTION("""COMPUTED_VALUE"""),"2 bé mèo")</f>
        <v>2 bé mèo</v>
      </c>
    </row>
    <row r="800" ht="15.75" customHeight="1">
      <c r="A800" s="128" t="str">
        <f>IFERROR(__xludf.DUMMYFUNCTION("""COMPUTED_VALUE"""),"0782 246 277")</f>
        <v>0782 246 277</v>
      </c>
      <c r="B800" s="127" t="str">
        <f>IFERROR(__xludf.DUMMYFUNCTION("""COMPUTED_VALUE"""),"Chị Mỹ Hạnh")</f>
        <v>Chị Mỹ Hạnh</v>
      </c>
      <c r="C800" s="127" t="str">
        <f>IFERROR(__xludf.DUMMYFUNCTION("""COMPUTED_VALUE"""),"kcc Vincolen, Xuân Phú")</f>
        <v>kcc Vincolen, Xuân Phú</v>
      </c>
      <c r="D800" s="127" t="str">
        <f>IFERROR(__xludf.DUMMYFUNCTION("""COMPUTED_VALUE"""),"Chó")</f>
        <v>Chó</v>
      </c>
      <c r="E800" s="127" t="str">
        <f>IFERROR(__xludf.DUMMYFUNCTION("""COMPUTED_VALUE"""),"Ken")</f>
        <v>Ken</v>
      </c>
    </row>
    <row r="801" ht="15.75" customHeight="1">
      <c r="A801" s="128" t="str">
        <f>IFERROR(__xludf.DUMMYFUNCTION("""COMPUTED_VALUE"""),"0796 759 596")</f>
        <v>0796 759 596</v>
      </c>
      <c r="B801" s="127" t="str">
        <f>IFERROR(__xludf.DUMMYFUNCTION("""COMPUTED_VALUE"""),"Chị Thảo Ly")</f>
        <v>Chị Thảo Ly</v>
      </c>
      <c r="C801" s="119" t="str">
        <f>IFERROR(__xludf.DUMMYFUNCTION("""COMPUTED_VALUE"""),"56 Nguyễn Chí Thanh")</f>
        <v>56 Nguyễn Chí Thanh</v>
      </c>
      <c r="D801" s="127" t="str">
        <f>IFERROR(__xludf.DUMMYFUNCTION("""COMPUTED_VALUE"""),"Mèo")</f>
        <v>Mèo</v>
      </c>
      <c r="E801" s="119" t="str">
        <f>IFERROR(__xludf.DUMMYFUNCTION("""COMPUTED_VALUE"""),"Mun")</f>
        <v>Mun</v>
      </c>
    </row>
    <row r="802" ht="15.75" customHeight="1">
      <c r="A802" s="128" t="str">
        <f>IFERROR(__xludf.DUMMYFUNCTION("""COMPUTED_VALUE"""),"0919 907 800")</f>
        <v>0919 907 800</v>
      </c>
      <c r="B802" s="127" t="str">
        <f>IFERROR(__xludf.DUMMYFUNCTION("""COMPUTED_VALUE"""),"Dì Mai Sao")</f>
        <v>Dì Mai Sao</v>
      </c>
      <c r="C802" s="127" t="str">
        <f>IFERROR(__xludf.DUMMYFUNCTION("""COMPUTED_VALUE"""),"81 Xuân Diệu")</f>
        <v>81 Xuân Diệu</v>
      </c>
      <c r="D802" s="127" t="str">
        <f>IFERROR(__xludf.DUMMYFUNCTION("""COMPUTED_VALUE"""),"chó")</f>
        <v>chó</v>
      </c>
      <c r="E802" s="127" t="str">
        <f>IFERROR(__xludf.DUMMYFUNCTION("""COMPUTED_VALUE"""),"bin")</f>
        <v>bin</v>
      </c>
    </row>
    <row r="803" ht="15.75" customHeight="1">
      <c r="A803" s="128" t="str">
        <f>IFERROR(__xludf.DUMMYFUNCTION("""COMPUTED_VALUE"""),"0765 605 508")</f>
        <v>0765 605 508</v>
      </c>
      <c r="B803" s="127" t="str">
        <f>IFERROR(__xludf.DUMMYFUNCTION("""COMPUTED_VALUE"""),"Em Hòa")</f>
        <v>Em Hòa</v>
      </c>
      <c r="C803" s="127" t="str">
        <f>IFERROR(__xludf.DUMMYFUNCTION("""COMPUTED_VALUE"""),"77 Lê Ngô Cát")</f>
        <v>77 Lê Ngô Cát</v>
      </c>
      <c r="D803" s="127" t="str">
        <f>IFERROR(__xludf.DUMMYFUNCTION("""COMPUTED_VALUE"""),"chó")</f>
        <v>chó</v>
      </c>
      <c r="E803" s="127" t="str">
        <f>IFERROR(__xludf.DUMMYFUNCTION("""COMPUTED_VALUE"""),"tây")</f>
        <v>tây</v>
      </c>
    </row>
    <row r="804" ht="15.75" customHeight="1">
      <c r="A804" s="128" t="str">
        <f>IFERROR(__xludf.DUMMYFUNCTION("""COMPUTED_VALUE"""),"0899 200 769")</f>
        <v>0899 200 769</v>
      </c>
      <c r="B804" s="127" t="str">
        <f>IFERROR(__xludf.DUMMYFUNCTION("""COMPUTED_VALUE"""),"Chị Trinh")</f>
        <v>Chị Trinh</v>
      </c>
      <c r="C804" s="127" t="str">
        <f>IFERROR(__xludf.DUMMYFUNCTION("""COMPUTED_VALUE"""),"240/43 Lý Nam Đế")</f>
        <v>240/43 Lý Nam Đế</v>
      </c>
      <c r="D804" s="127" t="str">
        <f>IFERROR(__xludf.DUMMYFUNCTION("""COMPUTED_VALUE"""),"chó")</f>
        <v>chó</v>
      </c>
      <c r="E804" s="119" t="str">
        <f>IFERROR(__xludf.DUMMYFUNCTION("""COMPUTED_VALUE"""),"Miu")</f>
        <v>Miu</v>
      </c>
    </row>
    <row r="805" ht="15.75" customHeight="1">
      <c r="A805" s="128" t="str">
        <f>IFERROR(__xludf.DUMMYFUNCTION("""COMPUTED_VALUE"""),"0899 229 827")</f>
        <v>0899 229 827</v>
      </c>
      <c r="B805" s="127" t="str">
        <f>IFERROR(__xludf.DUMMYFUNCTION("""COMPUTED_VALUE"""),"anh phú thịnh")</f>
        <v>anh phú thịnh</v>
      </c>
      <c r="C805" s="127" t="str">
        <f>IFERROR(__xludf.DUMMYFUNCTION("""COMPUTED_VALUE"""),"5/117 trần phú")</f>
        <v>5/117 trần phú</v>
      </c>
      <c r="D805" s="127" t="str">
        <f>IFERROR(__xludf.DUMMYFUNCTION("""COMPUTED_VALUE"""),"chó")</f>
        <v>chó</v>
      </c>
      <c r="E805" s="127" t="str">
        <f>IFERROR(__xludf.DUMMYFUNCTION("""COMPUTED_VALUE"""),"milo")</f>
        <v>milo</v>
      </c>
    </row>
    <row r="806" ht="15.75" customHeight="1">
      <c r="A806" s="128" t="str">
        <f>IFERROR(__xludf.DUMMYFUNCTION("""COMPUTED_VALUE"""),"0775 551 287")</f>
        <v>0775 551 287</v>
      </c>
      <c r="B806" s="127" t="str">
        <f>IFERROR(__xludf.DUMMYFUNCTION("""COMPUTED_VALUE"""),"Chị Nhi")</f>
        <v>Chị Nhi</v>
      </c>
      <c r="C806" s="127" t="str">
        <f>IFERROR(__xludf.DUMMYFUNCTION("""COMPUTED_VALUE"""),"15/668 Lê Duẩn")</f>
        <v>15/668 Lê Duẩn</v>
      </c>
      <c r="D806" s="127" t="str">
        <f>IFERROR(__xludf.DUMMYFUNCTION("""COMPUTED_VALUE"""),"mèo")</f>
        <v>mèo</v>
      </c>
      <c r="E806" s="127" t="str">
        <f>IFERROR(__xludf.DUMMYFUNCTION("""COMPUTED_VALUE"""),"Miu")</f>
        <v>Miu</v>
      </c>
    </row>
    <row r="807" ht="15.75" customHeight="1">
      <c r="A807" s="128" t="str">
        <f>IFERROR(__xludf.DUMMYFUNCTION("""COMPUTED_VALUE"""),"0858 881 003")</f>
        <v>0858 881 003</v>
      </c>
      <c r="B807" s="127" t="str">
        <f>IFERROR(__xludf.DUMMYFUNCTION("""COMPUTED_VALUE"""),"Anh Khánh")</f>
        <v>Anh Khánh</v>
      </c>
      <c r="C807" s="127" t="str">
        <f>IFERROR(__xludf.DUMMYFUNCTION("""COMPUTED_VALUE"""),"92/10 Dương Văn An")</f>
        <v>92/10 Dương Văn An</v>
      </c>
      <c r="D807" s="127" t="str">
        <f>IFERROR(__xludf.DUMMYFUNCTION("""COMPUTED_VALUE"""),"chó")</f>
        <v>chó</v>
      </c>
      <c r="E807" s="127" t="str">
        <f>IFERROR(__xludf.DUMMYFUNCTION("""COMPUTED_VALUE"""),"Mập")</f>
        <v>Mập</v>
      </c>
    </row>
    <row r="808" ht="15.75" customHeight="1">
      <c r="A808" s="128" t="str">
        <f>IFERROR(__xludf.DUMMYFUNCTION("""COMPUTED_VALUE"""),"0941 348 206")</f>
        <v>0941 348 206</v>
      </c>
      <c r="B808" s="127" t="str">
        <f>IFERROR(__xludf.DUMMYFUNCTION("""COMPUTED_VALUE"""),"Thầy Anh Khoa")</f>
        <v>Thầy Anh Khoa</v>
      </c>
      <c r="C808" s="127" t="str">
        <f>IFERROR(__xludf.DUMMYFUNCTION("""COMPUTED_VALUE"""),"chùa Thiên Mụ")</f>
        <v>chùa Thiên Mụ</v>
      </c>
      <c r="D808" s="127" t="str">
        <f>IFERROR(__xludf.DUMMYFUNCTION("""COMPUTED_VALUE"""),"chó")</f>
        <v>chó</v>
      </c>
      <c r="E808" s="119" t="str">
        <f>IFERROR(__xludf.DUMMYFUNCTION("""COMPUTED_VALUE"""),"Bi/Bo")</f>
        <v>Bi/Bo</v>
      </c>
    </row>
    <row r="809" ht="15.75" customHeight="1">
      <c r="A809" s="128" t="str">
        <f>IFERROR(__xludf.DUMMYFUNCTION("""COMPUTED_VALUE"""),"0935 945 082")</f>
        <v>0935 945 082</v>
      </c>
      <c r="B809" s="127" t="str">
        <f>IFERROR(__xludf.DUMMYFUNCTION("""COMPUTED_VALUE"""),"Chị Thanh")</f>
        <v>Chị Thanh</v>
      </c>
      <c r="C809" s="127" t="str">
        <f>IFERROR(__xludf.DUMMYFUNCTION("""COMPUTED_VALUE"""),"1/44 Lê Ngô Cát")</f>
        <v>1/44 Lê Ngô Cát</v>
      </c>
      <c r="D809" s="127" t="str">
        <f>IFERROR(__xludf.DUMMYFUNCTION("""COMPUTED_VALUE"""),"mèo")</f>
        <v>mèo</v>
      </c>
      <c r="E809" s="127" t="str">
        <f>IFERROR(__xludf.DUMMYFUNCTION("""COMPUTED_VALUE"""),"Ben")</f>
        <v>Ben</v>
      </c>
    </row>
    <row r="810" ht="15.75" customHeight="1">
      <c r="A810" s="128" t="str">
        <f>IFERROR(__xludf.DUMMYFUNCTION("""COMPUTED_VALUE"""),"0935 071 260")</f>
        <v>0935 071 260</v>
      </c>
      <c r="B810" s="127" t="str">
        <f>IFERROR(__xludf.DUMMYFUNCTION("""COMPUTED_VALUE"""),"Chị Thùy Dương")</f>
        <v>Chị Thùy Dương</v>
      </c>
      <c r="C810" s="127" t="str">
        <f>IFERROR(__xludf.DUMMYFUNCTION("""COMPUTED_VALUE"""),"KDT Nega- Phú Mỹ An")</f>
        <v>KDT Nega- Phú Mỹ An</v>
      </c>
      <c r="D810" s="127" t="str">
        <f>IFERROR(__xludf.DUMMYFUNCTION("""COMPUTED_VALUE"""),"chó")</f>
        <v>chó</v>
      </c>
      <c r="E810" s="127" t="str">
        <f>IFERROR(__xludf.DUMMYFUNCTION("""COMPUTED_VALUE"""),"Vàng/ Đen")</f>
        <v>Vàng/ Đen</v>
      </c>
    </row>
    <row r="811" ht="15.75" customHeight="1">
      <c r="A811" s="128" t="str">
        <f>IFERROR(__xludf.DUMMYFUNCTION("""COMPUTED_VALUE"""),"0339 649 989")</f>
        <v>0339 649 989</v>
      </c>
      <c r="B811" s="127" t="str">
        <f>IFERROR(__xludf.DUMMYFUNCTION("""COMPUTED_VALUE"""),"Anh Hân-chị Diệp")</f>
        <v>Anh Hân-chị Diệp</v>
      </c>
      <c r="C811" s="127" t="str">
        <f>IFERROR(__xludf.DUMMYFUNCTION("""COMPUTED_VALUE"""),"hùng vương")</f>
        <v>hùng vương</v>
      </c>
      <c r="D811" s="127" t="str">
        <f>IFERROR(__xludf.DUMMYFUNCTION("""COMPUTED_VALUE"""),"chó")</f>
        <v>chó</v>
      </c>
      <c r="E811" s="127" t="str">
        <f>IFERROR(__xludf.DUMMYFUNCTION("""COMPUTED_VALUE"""),"Ninja/denver")</f>
        <v>Ninja/denver</v>
      </c>
    </row>
    <row r="812" ht="15.75" customHeight="1">
      <c r="A812" s="128" t="str">
        <f>IFERROR(__xludf.DUMMYFUNCTION("""COMPUTED_VALUE"""),"0382 579 203")</f>
        <v>0382 579 203</v>
      </c>
      <c r="B812" s="127" t="str">
        <f>IFERROR(__xludf.DUMMYFUNCTION("""COMPUTED_VALUE"""),"Dì Hoa")</f>
        <v>Dì Hoa</v>
      </c>
      <c r="C812" s="127" t="str">
        <f>IFERROR(__xludf.DUMMYFUNCTION("""COMPUTED_VALUE"""),"Hương Phong")</f>
        <v>Hương Phong</v>
      </c>
      <c r="D812" s="127" t="str">
        <f>IFERROR(__xludf.DUMMYFUNCTION("""COMPUTED_VALUE"""),"Chó")</f>
        <v>Chó</v>
      </c>
      <c r="E812" s="127" t="str">
        <f>IFERROR(__xludf.DUMMYFUNCTION("""COMPUTED_VALUE"""),"Su")</f>
        <v>Su</v>
      </c>
    </row>
    <row r="813" ht="15.75" customHeight="1">
      <c r="A813" s="128" t="str">
        <f>IFERROR(__xludf.DUMMYFUNCTION("""COMPUTED_VALUE"""),"0946 213 656")</f>
        <v>0946 213 656</v>
      </c>
      <c r="B813" s="127" t="str">
        <f>IFERROR(__xludf.DUMMYFUNCTION("""COMPUTED_VALUE"""),"dì Như/chú Du")</f>
        <v>dì Như/chú Du</v>
      </c>
      <c r="C813" s="127" t="str">
        <f>IFERROR(__xludf.DUMMYFUNCTION("""COMPUTED_VALUE"""),"12/19 phùng lưu thủy Dương")</f>
        <v>12/19 phùng lưu thủy Dương</v>
      </c>
      <c r="D813" s="127" t="str">
        <f>IFERROR(__xludf.DUMMYFUNCTION("""COMPUTED_VALUE"""),"chó")</f>
        <v>chó</v>
      </c>
      <c r="E813" s="127" t="str">
        <f>IFERROR(__xludf.DUMMYFUNCTION("""COMPUTED_VALUE"""),"lác")</f>
        <v>lác</v>
      </c>
    </row>
    <row r="814" ht="15.75" customHeight="1">
      <c r="A814" s="128" t="str">
        <f>IFERROR(__xludf.DUMMYFUNCTION("""COMPUTED_VALUE"""),"0814 969 755")</f>
        <v>0814 969 755</v>
      </c>
      <c r="B814" s="127" t="str">
        <f>IFERROR(__xludf.DUMMYFUNCTION("""COMPUTED_VALUE"""),"dì phương")</f>
        <v>dì phương</v>
      </c>
      <c r="C814" s="127" t="str">
        <f>IFERROR(__xludf.DUMMYFUNCTION("""COMPUTED_VALUE"""),"217 trần phú")</f>
        <v>217 trần phú</v>
      </c>
      <c r="D814" s="127" t="str">
        <f>IFERROR(__xludf.DUMMYFUNCTION("""COMPUTED_VALUE"""),"chó")</f>
        <v>chó</v>
      </c>
      <c r="E814" s="127" t="str">
        <f>IFERROR(__xludf.DUMMYFUNCTION("""COMPUTED_VALUE"""),"nâu")</f>
        <v>nâu</v>
      </c>
    </row>
    <row r="815" ht="15.75" customHeight="1">
      <c r="A815" s="128" t="str">
        <f>IFERROR(__xludf.DUMMYFUNCTION("""COMPUTED_VALUE"""),"0932 180 305")</f>
        <v>0932 180 305</v>
      </c>
      <c r="B815" s="127" t="str">
        <f>IFERROR(__xludf.DUMMYFUNCTION("""COMPUTED_VALUE"""),"Khánh Linh")</f>
        <v>Khánh Linh</v>
      </c>
      <c r="C815" s="127" t="str">
        <f>IFERROR(__xludf.DUMMYFUNCTION("""COMPUTED_VALUE"""),"16/141 Trần Phú")</f>
        <v>16/141 Trần Phú</v>
      </c>
      <c r="D815" s="127" t="str">
        <f>IFERROR(__xludf.DUMMYFUNCTION("""COMPUTED_VALUE"""),"mèo")</f>
        <v>mèo</v>
      </c>
      <c r="E815" s="119"/>
    </row>
    <row r="816" ht="15.75" customHeight="1">
      <c r="A816" s="120" t="str">
        <f>IFERROR(__xludf.DUMMYFUNCTION("""COMPUTED_VALUE"""),"0377 473 272")</f>
        <v>0377 473 272</v>
      </c>
      <c r="B816" s="127" t="str">
        <f>IFERROR(__xludf.DUMMYFUNCTION("""COMPUTED_VALUE"""),"Anh Tuệ")</f>
        <v>Anh Tuệ</v>
      </c>
      <c r="C816" s="127" t="str">
        <f>IFERROR(__xludf.DUMMYFUNCTION("""COMPUTED_VALUE"""),"15/16 Duy Tân")</f>
        <v>15/16 Duy Tân</v>
      </c>
      <c r="D816" s="127" t="str">
        <f>IFERROR(__xludf.DUMMYFUNCTION("""COMPUTED_VALUE"""),"chó")</f>
        <v>chó</v>
      </c>
      <c r="E816" s="127" t="str">
        <f>IFERROR(__xludf.DUMMYFUNCTION("""COMPUTED_VALUE"""),"sữa")</f>
        <v>sữa</v>
      </c>
    </row>
    <row r="817" ht="15.75" customHeight="1">
      <c r="A817" s="128" t="str">
        <f>IFERROR(__xludf.DUMMYFUNCTION("""COMPUTED_VALUE"""),"0372 967 779")</f>
        <v>0372 967 779</v>
      </c>
      <c r="B817" s="127" t="str">
        <f>IFERROR(__xludf.DUMMYFUNCTION("""COMPUTED_VALUE"""),"Minh Trang")</f>
        <v>Minh Trang</v>
      </c>
      <c r="C817" s="127" t="str">
        <f>IFERROR(__xludf.DUMMYFUNCTION("""COMPUTED_VALUE"""),"33 An Dương Vương")</f>
        <v>33 An Dương Vương</v>
      </c>
      <c r="D817" s="127" t="str">
        <f>IFERROR(__xludf.DUMMYFUNCTION("""COMPUTED_VALUE"""),"mèo")</f>
        <v>mèo</v>
      </c>
      <c r="E817" s="119" t="str">
        <f>IFERROR(__xludf.DUMMYFUNCTION("""COMPUTED_VALUE"""),"sam")</f>
        <v>sam</v>
      </c>
    </row>
    <row r="818" ht="15.75" customHeight="1">
      <c r="A818" s="128" t="str">
        <f>IFERROR(__xludf.DUMMYFUNCTION("""COMPUTED_VALUE"""),"0898 816 161")</f>
        <v>0898 816 161</v>
      </c>
      <c r="B818" s="127" t="str">
        <f>IFERROR(__xludf.DUMMYFUNCTION("""COMPUTED_VALUE"""),"thầy pháp thủy")</f>
        <v>thầy pháp thủy</v>
      </c>
      <c r="C818" s="127" t="str">
        <f>IFERROR(__xludf.DUMMYFUNCTION("""COMPUTED_VALUE"""),"chùa từ hiếu")</f>
        <v>chùa từ hiếu</v>
      </c>
      <c r="D818" s="127" t="str">
        <f>IFERROR(__xludf.DUMMYFUNCTION("""COMPUTED_VALUE"""),"chó")</f>
        <v>chó</v>
      </c>
      <c r="E818" s="119" t="str">
        <f>IFERROR(__xludf.DUMMYFUNCTION("""COMPUTED_VALUE"""),"cỏ")</f>
        <v>cỏ</v>
      </c>
    </row>
    <row r="819" ht="15.75" customHeight="1">
      <c r="A819" s="120" t="str">
        <f>IFERROR(__xludf.DUMMYFUNCTION("""COMPUTED_VALUE"""),"0905 288 065")</f>
        <v>0905 288 065</v>
      </c>
      <c r="B819" s="121" t="str">
        <f>IFERROR(__xludf.DUMMYFUNCTION("""COMPUTED_VALUE"""),"Chú Nam")</f>
        <v>Chú Nam</v>
      </c>
      <c r="C819" s="121" t="str">
        <f>IFERROR(__xludf.DUMMYFUNCTION("""COMPUTED_VALUE"""),"69/15 Phạm Thị Liên")</f>
        <v>69/15 Phạm Thị Liên</v>
      </c>
      <c r="D819" s="121" t="str">
        <f>IFERROR(__xludf.DUMMYFUNCTION("""COMPUTED_VALUE"""),"chó")</f>
        <v>chó</v>
      </c>
      <c r="E819" s="121" t="str">
        <f>IFERROR(__xludf.DUMMYFUNCTION("""COMPUTED_VALUE"""),"bông")</f>
        <v>bông</v>
      </c>
    </row>
    <row r="820" ht="15.75" customHeight="1">
      <c r="A820" s="120" t="str">
        <f>IFERROR(__xludf.DUMMYFUNCTION("""COMPUTED_VALUE"""),"0795 722 481")</f>
        <v>0795 722 481</v>
      </c>
      <c r="B820" s="121" t="str">
        <f>IFERROR(__xludf.DUMMYFUNCTION("""COMPUTED_VALUE"""),"Em Thảo Nguyên")</f>
        <v>Em Thảo Nguyên</v>
      </c>
      <c r="C820" s="121" t="str">
        <f>IFERROR(__xludf.DUMMYFUNCTION("""COMPUTED_VALUE"""),"7B/15/69/131 Trần Phú")</f>
        <v>7B/15/69/131 Trần Phú</v>
      </c>
      <c r="D820" s="121" t="str">
        <f>IFERROR(__xludf.DUMMYFUNCTION("""COMPUTED_VALUE"""),"mèo")</f>
        <v>mèo</v>
      </c>
      <c r="E820" s="121" t="str">
        <f>IFERROR(__xludf.DUMMYFUNCTION("""COMPUTED_VALUE"""),"Táo")</f>
        <v>Táo</v>
      </c>
    </row>
    <row r="821" ht="15.75" customHeight="1">
      <c r="A821" s="120" t="str">
        <f>IFERROR(__xludf.DUMMYFUNCTION("""COMPUTED_VALUE"""),"0899 876 081")</f>
        <v>0899 876 081</v>
      </c>
      <c r="B821" s="121" t="str">
        <f>IFERROR(__xludf.DUMMYFUNCTION("""COMPUTED_VALUE"""),"đặng thị khánh hưng")</f>
        <v>đặng thị khánh hưng</v>
      </c>
      <c r="C821" s="121" t="str">
        <f>IFERROR(__xludf.DUMMYFUNCTION("""COMPUTED_VALUE"""),"5/77 trần thái tông")</f>
        <v>5/77 trần thái tông</v>
      </c>
      <c r="D821" s="121" t="str">
        <f>IFERROR(__xludf.DUMMYFUNCTION("""COMPUTED_VALUE"""),"mèo")</f>
        <v>mèo</v>
      </c>
      <c r="E821" s="121" t="str">
        <f>IFERROR(__xludf.DUMMYFUNCTION("""COMPUTED_VALUE"""),"mon")</f>
        <v>mon</v>
      </c>
    </row>
    <row r="822" ht="15.75" customHeight="1">
      <c r="A822" s="128" t="str">
        <f>IFERROR(__xludf.DUMMYFUNCTION("""COMPUTED_VALUE"""),"0948 575 010")</f>
        <v>0948 575 010</v>
      </c>
      <c r="B822" s="121" t="str">
        <f>IFERROR(__xludf.DUMMYFUNCTION("""COMPUTED_VALUE"""),"Ngô Thị Vinh")</f>
        <v>Ngô Thị Vinh</v>
      </c>
      <c r="C822" s="121" t="str">
        <f>IFERROR(__xludf.DUMMYFUNCTION("""COMPUTED_VALUE"""),"22/65 Đặng Huy Trứ")</f>
        <v>22/65 Đặng Huy Trứ</v>
      </c>
      <c r="D822" s="121" t="str">
        <f>IFERROR(__xludf.DUMMYFUNCTION("""COMPUTED_VALUE"""),"chó")</f>
        <v>chó</v>
      </c>
      <c r="E822" s="121" t="str">
        <f>IFERROR(__xludf.DUMMYFUNCTION("""COMPUTED_VALUE"""),"nô")</f>
        <v>nô</v>
      </c>
    </row>
    <row r="823" ht="15.75" customHeight="1">
      <c r="A823" s="128" t="str">
        <f>IFERROR(__xludf.DUMMYFUNCTION("""COMPUTED_VALUE"""),"0813 518 686")</f>
        <v>0813 518 686</v>
      </c>
      <c r="B823" s="127" t="str">
        <f>IFERROR(__xludf.DUMMYFUNCTION("""COMPUTED_VALUE"""),"anh Hiếu")</f>
        <v>anh Hiếu</v>
      </c>
      <c r="C823" s="127" t="str">
        <f>IFERROR(__xludf.DUMMYFUNCTION("""COMPUTED_VALUE"""),"27 Nguyễn Đức Cảnh")</f>
        <v>27 Nguyễn Đức Cảnh</v>
      </c>
      <c r="D823" s="127" t="str">
        <f>IFERROR(__xludf.DUMMYFUNCTION("""COMPUTED_VALUE"""),"Chó")</f>
        <v>Chó</v>
      </c>
      <c r="E823" s="127"/>
    </row>
    <row r="824" ht="15.75" customHeight="1">
      <c r="A824" s="128" t="str">
        <f>IFERROR(__xludf.DUMMYFUNCTION("""COMPUTED_VALUE"""),"(+1)9196 789 025")</f>
        <v>(+1)9196 789 025</v>
      </c>
      <c r="B824" s="127" t="str">
        <f>IFERROR(__xludf.DUMMYFUNCTION("""COMPUTED_VALUE"""),"chị ngọc dung")</f>
        <v>chị ngọc dung</v>
      </c>
      <c r="C824" s="127" t="str">
        <f>IFERROR(__xludf.DUMMYFUNCTION("""COMPUTED_VALUE"""),"hùng vương")</f>
        <v>hùng vương</v>
      </c>
      <c r="D824" s="127" t="str">
        <f>IFERROR(__xludf.DUMMYFUNCTION("""COMPUTED_VALUE"""),"chó ")</f>
        <v>chó </v>
      </c>
      <c r="E824" s="127" t="str">
        <f>IFERROR(__xludf.DUMMYFUNCTION("""COMPUTED_VALUE"""),"nomi")</f>
        <v>nomi</v>
      </c>
    </row>
    <row r="825" ht="15.75" customHeight="1">
      <c r="A825" s="120" t="str">
        <f>IFERROR(__xludf.DUMMYFUNCTION("""COMPUTED_VALUE"""),"0788 505 127")</f>
        <v>0788 505 127</v>
      </c>
      <c r="B825" s="121" t="str">
        <f>IFERROR(__xludf.DUMMYFUNCTION("""COMPUTED_VALUE"""),"Chị Dung")</f>
        <v>Chị Dung</v>
      </c>
      <c r="C825" s="119" t="str">
        <f>IFERROR(__xludf.DUMMYFUNCTION("""COMPUTED_VALUE"""),"Hùng Vương")</f>
        <v>Hùng Vương</v>
      </c>
      <c r="D825" s="121" t="str">
        <f>IFERROR(__xludf.DUMMYFUNCTION("""COMPUTED_VALUE"""),"Chó")</f>
        <v>Chó</v>
      </c>
      <c r="E825" s="121" t="str">
        <f>IFERROR(__xludf.DUMMYFUNCTION("""COMPUTED_VALUE"""),"Moni/Nem/Ninja ")</f>
        <v>Moni/Nem/Ninja </v>
      </c>
    </row>
    <row r="826" ht="15.75" customHeight="1">
      <c r="A826" s="120" t="str">
        <f>IFERROR(__xludf.DUMMYFUNCTION("""COMPUTED_VALUE"""),"0974 806 289")</f>
        <v>0974 806 289</v>
      </c>
      <c r="B826" s="121" t="str">
        <f>IFERROR(__xludf.DUMMYFUNCTION("""COMPUTED_VALUE"""),"tôn nữ hà thanh")</f>
        <v>tôn nữ hà thanh</v>
      </c>
      <c r="C826" s="121" t="str">
        <f>IFERROR(__xludf.DUMMYFUNCTION("""COMPUTED_VALUE"""),"65 trần thái tông")</f>
        <v>65 trần thái tông</v>
      </c>
      <c r="D826" s="121" t="str">
        <f>IFERROR(__xludf.DUMMYFUNCTION("""COMPUTED_VALUE"""),"mèo")</f>
        <v>mèo</v>
      </c>
      <c r="E826" s="121" t="str">
        <f>IFERROR(__xludf.DUMMYFUNCTION("""COMPUTED_VALUE"""),"mio")</f>
        <v>mio</v>
      </c>
    </row>
    <row r="827" ht="15.75" customHeight="1">
      <c r="A827" s="120" t="str">
        <f>IFERROR(__xludf.DUMMYFUNCTION("""COMPUTED_VALUE"""),"0705 333 374")</f>
        <v>0705 333 374</v>
      </c>
      <c r="B827" s="121" t="str">
        <f>IFERROR(__xludf.DUMMYFUNCTION("""COMPUTED_VALUE"""),"Anh Sang")</f>
        <v>Anh Sang</v>
      </c>
      <c r="C827" s="121"/>
      <c r="D827" s="121" t="str">
        <f>IFERROR(__xludf.DUMMYFUNCTION("""COMPUTED_VALUE"""),"Chó")</f>
        <v>Chó</v>
      </c>
      <c r="E827" s="121"/>
    </row>
    <row r="828" ht="15.75" customHeight="1">
      <c r="A828" s="120" t="str">
        <f>IFERROR(__xludf.DUMMYFUNCTION("""COMPUTED_VALUE"""),"0899 418 652")</f>
        <v>0899 418 652</v>
      </c>
      <c r="B828" s="121" t="str">
        <f>IFERROR(__xludf.DUMMYFUNCTION("""COMPUTED_VALUE"""),"em Quyến")</f>
        <v>em Quyến</v>
      </c>
      <c r="C828" s="121" t="str">
        <f>IFERROR(__xludf.DUMMYFUNCTION("""COMPUTED_VALUE"""),"Kim Long")</f>
        <v>Kim Long</v>
      </c>
      <c r="D828" s="121" t="str">
        <f>IFERROR(__xludf.DUMMYFUNCTION("""COMPUTED_VALUE"""),"Chó")</f>
        <v>Chó</v>
      </c>
      <c r="E828" s="121" t="str">
        <f>IFERROR(__xludf.DUMMYFUNCTION("""COMPUTED_VALUE"""),"Kai")</f>
        <v>Kai</v>
      </c>
    </row>
    <row r="829" ht="15.75" customHeight="1">
      <c r="A829" s="120" t="str">
        <f>IFERROR(__xludf.DUMMYFUNCTION("""COMPUTED_VALUE"""),"0948 161 663")</f>
        <v>0948 161 663</v>
      </c>
      <c r="B829" s="121" t="str">
        <f>IFERROR(__xludf.DUMMYFUNCTION("""COMPUTED_VALUE"""),"chị phụng anh")</f>
        <v>chị phụng anh</v>
      </c>
      <c r="C829" s="121" t="str">
        <f>IFERROR(__xludf.DUMMYFUNCTION("""COMPUTED_VALUE"""),"286 điện biên phủ")</f>
        <v>286 điện biên phủ</v>
      </c>
      <c r="D829" s="121" t="str">
        <f>IFERROR(__xludf.DUMMYFUNCTION("""COMPUTED_VALUE"""),"mèo ")</f>
        <v>mèo </v>
      </c>
      <c r="E829" s="121" t="str">
        <f>IFERROR(__xludf.DUMMYFUNCTION("""COMPUTED_VALUE"""),"đen")</f>
        <v>đen</v>
      </c>
    </row>
    <row r="830" ht="15.75" customHeight="1">
      <c r="A830" s="120" t="str">
        <f>IFERROR(__xludf.DUMMYFUNCTION("""COMPUTED_VALUE"""),"0834 374 471")</f>
        <v>0834 374 471</v>
      </c>
      <c r="B830" s="121" t="str">
        <f>IFERROR(__xludf.DUMMYFUNCTION("""COMPUTED_VALUE"""),"chú Tường")</f>
        <v>chú Tường</v>
      </c>
      <c r="C830" s="121" t="str">
        <f>IFERROR(__xludf.DUMMYFUNCTION("""COMPUTED_VALUE"""),"Kiệt 130 Trần Phú")</f>
        <v>Kiệt 130 Trần Phú</v>
      </c>
      <c r="D830" s="121" t="str">
        <f>IFERROR(__xludf.DUMMYFUNCTION("""COMPUTED_VALUE"""),"mèo")</f>
        <v>mèo</v>
      </c>
      <c r="E830" s="121"/>
    </row>
    <row r="831" ht="15.75" customHeight="1">
      <c r="A831" s="128" t="str">
        <f>IFERROR(__xludf.DUMMYFUNCTION("""COMPUTED_VALUE"""),"0906 404 481")</f>
        <v>0906 404 481</v>
      </c>
      <c r="B831" s="127" t="str">
        <f>IFERROR(__xludf.DUMMYFUNCTION("""COMPUTED_VALUE"""),"anh đức")</f>
        <v>anh đức</v>
      </c>
      <c r="C831" s="127" t="str">
        <f>IFERROR(__xludf.DUMMYFUNCTION("""COMPUTED_VALUE"""),"41 nguyễn thiện kế")</f>
        <v>41 nguyễn thiện kế</v>
      </c>
      <c r="D831" s="127" t="str">
        <f>IFERROR(__xludf.DUMMYFUNCTION("""COMPUTED_VALUE"""),"mèo")</f>
        <v>mèo</v>
      </c>
      <c r="E831" s="127" t="str">
        <f>IFERROR(__xludf.DUMMYFUNCTION("""COMPUTED_VALUE"""),"mèo")</f>
        <v>mèo</v>
      </c>
    </row>
    <row r="832" ht="15.75" customHeight="1">
      <c r="A832" s="120" t="str">
        <f>IFERROR(__xludf.DUMMYFUNCTION("""COMPUTED_VALUE"""),"0914 145 360")</f>
        <v>0914 145 360</v>
      </c>
      <c r="B832" s="127" t="str">
        <f>IFERROR(__xludf.DUMMYFUNCTION("""COMPUTED_VALUE"""),"anh Toàn")</f>
        <v>anh Toàn</v>
      </c>
      <c r="C832" s="127" t="str">
        <f>IFERROR(__xludf.DUMMYFUNCTION("""COMPUTED_VALUE"""),"70 Phạm Thị Liên")</f>
        <v>70 Phạm Thị Liên</v>
      </c>
      <c r="D832" s="127" t="str">
        <f>IFERROR(__xludf.DUMMYFUNCTION("""COMPUTED_VALUE"""),"Chó ")</f>
        <v>Chó </v>
      </c>
      <c r="E832" s="119" t="str">
        <f>IFERROR(__xludf.DUMMYFUNCTION("""COMPUTED_VALUE"""),"Girl")</f>
        <v>Girl</v>
      </c>
    </row>
    <row r="833" ht="15.75" customHeight="1">
      <c r="A833" s="128" t="str">
        <f>IFERROR(__xludf.DUMMYFUNCTION("""COMPUTED_VALUE"""),"0772 505 458")</f>
        <v>0772 505 458</v>
      </c>
      <c r="B833" s="127" t="str">
        <f>IFERROR(__xludf.DUMMYFUNCTION("""COMPUTED_VALUE"""),"Em Khánh Hân")</f>
        <v>Em Khánh Hân</v>
      </c>
      <c r="C833" s="127" t="str">
        <f>IFERROR(__xludf.DUMMYFUNCTION("""COMPUTED_VALUE"""),"1/33 Điện Biên Phủ")</f>
        <v>1/33 Điện Biên Phủ</v>
      </c>
      <c r="D833" s="127" t="str">
        <f>IFERROR(__xludf.DUMMYFUNCTION("""COMPUTED_VALUE"""),"mèo")</f>
        <v>mèo</v>
      </c>
      <c r="E833" s="119" t="str">
        <f>IFERROR(__xludf.DUMMYFUNCTION("""COMPUTED_VALUE"""),"méo")</f>
        <v>méo</v>
      </c>
    </row>
    <row r="834" ht="15.75" customHeight="1">
      <c r="A834" s="128" t="str">
        <f>IFERROR(__xludf.DUMMYFUNCTION("""COMPUTED_VALUE"""),"0816 306 130")</f>
        <v>0816 306 130</v>
      </c>
      <c r="B834" s="127" t="str">
        <f>IFERROR(__xludf.DUMMYFUNCTION("""COMPUTED_VALUE"""),"Nguyễn Thị Ngọc Anh")</f>
        <v>Nguyễn Thị Ngọc Anh</v>
      </c>
      <c r="C834" s="127" t="str">
        <f>IFERROR(__xludf.DUMMYFUNCTION("""COMPUTED_VALUE"""),"La Chữ Đông, Hương Trà")</f>
        <v>La Chữ Đông, Hương Trà</v>
      </c>
      <c r="D834" s="127" t="str">
        <f>IFERROR(__xludf.DUMMYFUNCTION("""COMPUTED_VALUE"""),"Chó")</f>
        <v>Chó</v>
      </c>
      <c r="E834" s="127" t="str">
        <f>IFERROR(__xludf.DUMMYFUNCTION("""COMPUTED_VALUE"""),"Gấu")</f>
        <v>Gấu</v>
      </c>
    </row>
    <row r="835" ht="15.75" customHeight="1">
      <c r="A835" s="120" t="str">
        <f>IFERROR(__xludf.DUMMYFUNCTION("""COMPUTED_VALUE"""),"0335 550 556")</f>
        <v>0335 550 556</v>
      </c>
      <c r="B835" s="121" t="str">
        <f>IFERROR(__xludf.DUMMYFUNCTION("""COMPUTED_VALUE"""),"Anh Trí")</f>
        <v>Anh Trí</v>
      </c>
      <c r="C835" s="121" t="str">
        <f>IFERROR(__xludf.DUMMYFUNCTION("""COMPUTED_VALUE"""),"07 Nguyễn Văn Cừ")</f>
        <v>07 Nguyễn Văn Cừ</v>
      </c>
      <c r="D835" s="121" t="str">
        <f>IFERROR(__xludf.DUMMYFUNCTION("""COMPUTED_VALUE"""),"chó")</f>
        <v>chó</v>
      </c>
      <c r="E835" s="121" t="str">
        <f>IFERROR(__xludf.DUMMYFUNCTION("""COMPUTED_VALUE"""),"sumo")</f>
        <v>sumo</v>
      </c>
    </row>
    <row r="836" ht="15.75" customHeight="1">
      <c r="A836" s="120" t="str">
        <f>IFERROR(__xludf.DUMMYFUNCTION("""COMPUTED_VALUE"""),"0368 861 605")</f>
        <v>0368 861 605</v>
      </c>
      <c r="B836" s="121" t="str">
        <f>IFERROR(__xludf.DUMMYFUNCTION("""COMPUTED_VALUE"""),"Chị Như")</f>
        <v>Chị Như</v>
      </c>
      <c r="C836" s="121" t="str">
        <f>IFERROR(__xludf.DUMMYFUNCTION("""COMPUTED_VALUE"""),"67 Huyền Trân Công Chúa")</f>
        <v>67 Huyền Trân Công Chúa</v>
      </c>
      <c r="D836" s="121" t="str">
        <f>IFERROR(__xludf.DUMMYFUNCTION("""COMPUTED_VALUE"""),"mèo")</f>
        <v>mèo</v>
      </c>
      <c r="E836" s="119" t="str">
        <f>IFERROR(__xludf.DUMMYFUNCTION("""COMPUTED_VALUE"""),"mi")</f>
        <v>mi</v>
      </c>
    </row>
    <row r="837" ht="15.75" customHeight="1">
      <c r="A837" s="130" t="str">
        <f>IFERROR(__xludf.DUMMYFUNCTION("""COMPUTED_VALUE"""),"0935 317 199")</f>
        <v>0935 317 199</v>
      </c>
      <c r="B837" s="131" t="str">
        <f>IFERROR(__xludf.DUMMYFUNCTION("""COMPUTED_VALUE"""),"chị Phương ")</f>
        <v>chị Phương </v>
      </c>
      <c r="C837" s="131" t="str">
        <f>IFERROR(__xludf.DUMMYFUNCTION("""COMPUTED_VALUE"""),"36 Phạm Văn Đồng")</f>
        <v>36 Phạm Văn Đồng</v>
      </c>
      <c r="D837" s="131" t="str">
        <f>IFERROR(__xludf.DUMMYFUNCTION("""COMPUTED_VALUE"""),"Chó")</f>
        <v>Chó</v>
      </c>
      <c r="E837" s="131" t="str">
        <f>IFERROR(__xludf.DUMMYFUNCTION("""COMPUTED_VALUE"""),"Kẹo")</f>
        <v>Kẹo</v>
      </c>
    </row>
    <row r="838" ht="15.75" customHeight="1">
      <c r="A838" s="130">
        <f>IFERROR(__xludf.DUMMYFUNCTION("""COMPUTED_VALUE"""),792.0)</f>
        <v>792</v>
      </c>
      <c r="B838" s="131" t="str">
        <f>IFERROR(__xludf.DUMMYFUNCTION("""COMPUTED_VALUE"""),"Nguyễn Phươc Thành Quân")</f>
        <v>Nguyễn Phươc Thành Quân</v>
      </c>
      <c r="C838" s="131" t="str">
        <f>IFERROR(__xludf.DUMMYFUNCTION("""COMPUTED_VALUE"""),"193 Phan Bội Châu")</f>
        <v>193 Phan Bội Châu</v>
      </c>
      <c r="D838" s="131" t="str">
        <f>IFERROR(__xludf.DUMMYFUNCTION("""COMPUTED_VALUE"""),"Chó")</f>
        <v>Chó</v>
      </c>
      <c r="E838" s="131" t="str">
        <f>IFERROR(__xludf.DUMMYFUNCTION("""COMPUTED_VALUE"""),"Milu")</f>
        <v>Milu</v>
      </c>
    </row>
    <row r="839" ht="15.75" customHeight="1">
      <c r="A839" s="128" t="str">
        <f>IFERROR(__xludf.DUMMYFUNCTION("""COMPUTED_VALUE"""),"0703 770 473")</f>
        <v>0703 770 473</v>
      </c>
      <c r="B839" s="127" t="str">
        <f>IFERROR(__xludf.DUMMYFUNCTION("""COMPUTED_VALUE"""),"Như Ý")</f>
        <v>Như Ý</v>
      </c>
      <c r="C839" s="127" t="str">
        <f>IFERROR(__xludf.DUMMYFUNCTION("""COMPUTED_VALUE"""),"Xóm 6 Đồng Miện ")</f>
        <v>Xóm 6 Đồng Miện </v>
      </c>
      <c r="D839" s="127" t="str">
        <f>IFERROR(__xludf.DUMMYFUNCTION("""COMPUTED_VALUE"""),"Chó")</f>
        <v>Chó</v>
      </c>
      <c r="E839" s="127" t="str">
        <f>IFERROR(__xludf.DUMMYFUNCTION("""COMPUTED_VALUE"""),"Rốt")</f>
        <v>Rốt</v>
      </c>
    </row>
    <row r="840" ht="15.75" customHeight="1">
      <c r="A840" s="120" t="str">
        <f>IFERROR(__xludf.DUMMYFUNCTION("""COMPUTED_VALUE"""),"0366 199 158 ")</f>
        <v>0366 199 158 </v>
      </c>
      <c r="B840" s="121" t="str">
        <f>IFERROR(__xludf.DUMMYFUNCTION("""COMPUTED_VALUE"""),"em Nhi")</f>
        <v>em Nhi</v>
      </c>
      <c r="C840" s="121" t="str">
        <f>IFERROR(__xludf.DUMMYFUNCTION("""COMPUTED_VALUE"""),"113 điện biên phủ")</f>
        <v>113 điện biên phủ</v>
      </c>
      <c r="D840" s="121" t="str">
        <f>IFERROR(__xludf.DUMMYFUNCTION("""COMPUTED_VALUE"""),"mèo")</f>
        <v>mèo</v>
      </c>
      <c r="E840" s="121" t="str">
        <f>IFERROR(__xludf.DUMMYFUNCTION("""COMPUTED_VALUE"""),"miko")</f>
        <v>miko</v>
      </c>
    </row>
    <row r="841" ht="15.75" customHeight="1">
      <c r="A841" s="130" t="str">
        <f>IFERROR(__xludf.DUMMYFUNCTION("""COMPUTED_VALUE"""),"0849 300 775 ")</f>
        <v>0849 300 775 </v>
      </c>
      <c r="B841" s="131" t="str">
        <f>IFERROR(__xludf.DUMMYFUNCTION("""COMPUTED_VALUE"""),"Em Trang")</f>
        <v>Em Trang</v>
      </c>
      <c r="C841" s="131" t="str">
        <f>IFERROR(__xludf.DUMMYFUNCTION("""COMPUTED_VALUE"""),"18/15 Ngự Bình")</f>
        <v>18/15 Ngự Bình</v>
      </c>
      <c r="D841" s="131" t="str">
        <f>IFERROR(__xludf.DUMMYFUNCTION("""COMPUTED_VALUE"""),"mèo")</f>
        <v>mèo</v>
      </c>
      <c r="E841" s="119" t="str">
        <f>IFERROR(__xludf.DUMMYFUNCTION("""COMPUTED_VALUE"""),"cỏ")</f>
        <v>cỏ</v>
      </c>
    </row>
    <row r="842" ht="15.75" customHeight="1">
      <c r="A842" s="128" t="str">
        <f>IFERROR(__xludf.DUMMYFUNCTION("""COMPUTED_VALUE"""),"0858 207 708")</f>
        <v>0858 207 708</v>
      </c>
      <c r="B842" s="127" t="str">
        <f>IFERROR(__xludf.DUMMYFUNCTION("""COMPUTED_VALUE"""),"Chị Út")</f>
        <v>Chị Út</v>
      </c>
      <c r="C842" s="127" t="str">
        <f>IFERROR(__xludf.DUMMYFUNCTION("""COMPUTED_VALUE"""),"4 Nguyễn Phúc Nguyên")</f>
        <v>4 Nguyễn Phúc Nguyên</v>
      </c>
      <c r="D842" s="127" t="str">
        <f>IFERROR(__xludf.DUMMYFUNCTION("""COMPUTED_VALUE"""),"chó")</f>
        <v>chó</v>
      </c>
      <c r="E842" s="119" t="str">
        <f>IFERROR(__xludf.DUMMYFUNCTION("""COMPUTED_VALUE"""),"Biển")</f>
        <v>Biển</v>
      </c>
    </row>
    <row r="843" ht="15.75" customHeight="1">
      <c r="A843" s="128" t="str">
        <f>IFERROR(__xludf.DUMMYFUNCTION("""COMPUTED_VALUE"""),"0935 091 882")</f>
        <v>0935 091 882</v>
      </c>
      <c r="B843" s="127" t="str">
        <f>IFERROR(__xludf.DUMMYFUNCTION("""COMPUTED_VALUE"""),"Anh Thiện")</f>
        <v>Anh Thiện</v>
      </c>
      <c r="C843" s="127" t="str">
        <f>IFERROR(__xludf.DUMMYFUNCTION("""COMPUTED_VALUE"""),"170 Ngự Bình")</f>
        <v>170 Ngự Bình</v>
      </c>
      <c r="D843" s="127" t="str">
        <f>IFERROR(__xludf.DUMMYFUNCTION("""COMPUTED_VALUE"""),"chó")</f>
        <v>chó</v>
      </c>
      <c r="E843" s="127" t="str">
        <f>IFERROR(__xludf.DUMMYFUNCTION("""COMPUTED_VALUE"""),"lu ")</f>
        <v>lu </v>
      </c>
    </row>
    <row r="844" ht="15.75" customHeight="1">
      <c r="A844" s="130" t="str">
        <f>IFERROR(__xludf.DUMMYFUNCTION("""COMPUTED_VALUE"""),"0886 358 465")</f>
        <v>0886 358 465</v>
      </c>
      <c r="B844" s="131" t="str">
        <f>IFERROR(__xludf.DUMMYFUNCTION("""COMPUTED_VALUE""")," chị Thi")</f>
        <v> chị Thi</v>
      </c>
      <c r="C844" s="131" t="str">
        <f>IFERROR(__xludf.DUMMYFUNCTION("""COMPUTED_VALUE"""),"Hương Hồ")</f>
        <v>Hương Hồ</v>
      </c>
      <c r="D844" s="131" t="str">
        <f>IFERROR(__xludf.DUMMYFUNCTION("""COMPUTED_VALUE"""),"mèo")</f>
        <v>mèo</v>
      </c>
      <c r="E844" s="131" t="str">
        <f>IFERROR(__xludf.DUMMYFUNCTION("""COMPUTED_VALUE"""),"Bông")</f>
        <v>Bông</v>
      </c>
    </row>
    <row r="845" ht="15.75" customHeight="1">
      <c r="A845" s="130" t="str">
        <f>IFERROR(__xludf.DUMMYFUNCTION("""COMPUTED_VALUE"""),"0868 754 680")</f>
        <v>0868 754 680</v>
      </c>
      <c r="B845" s="131" t="str">
        <f>IFERROR(__xludf.DUMMYFUNCTION("""COMPUTED_VALUE"""),"em Thi")</f>
        <v>em Thi</v>
      </c>
      <c r="C845" s="131" t="str">
        <f>IFERROR(__xludf.DUMMYFUNCTION("""COMPUTED_VALUE"""),"51/68 Nguyễn Phúc Chu")</f>
        <v>51/68 Nguyễn Phúc Chu</v>
      </c>
      <c r="D845" s="131" t="str">
        <f>IFERROR(__xludf.DUMMYFUNCTION("""COMPUTED_VALUE"""),"Chó")</f>
        <v>Chó</v>
      </c>
      <c r="E845" s="131" t="str">
        <f>IFERROR(__xludf.DUMMYFUNCTION("""COMPUTED_VALUE"""),"Bia")</f>
        <v>Bia</v>
      </c>
    </row>
    <row r="846" ht="15.75" customHeight="1">
      <c r="A846" s="130" t="str">
        <f>IFERROR(__xludf.DUMMYFUNCTION("""COMPUTED_VALUE"""),"0762 509 732")</f>
        <v>0762 509 732</v>
      </c>
      <c r="B846" s="131" t="str">
        <f>IFERROR(__xludf.DUMMYFUNCTION("""COMPUTED_VALUE"""),"Thanh Phú")</f>
        <v>Thanh Phú</v>
      </c>
      <c r="C846" s="131" t="str">
        <f>IFERROR(__xludf.DUMMYFUNCTION("""COMPUTED_VALUE"""),"11/2/44 Lê Ngô Cát")</f>
        <v>11/2/44 Lê Ngô Cát</v>
      </c>
      <c r="D846" s="131" t="str">
        <f>IFERROR(__xludf.DUMMYFUNCTION("""COMPUTED_VALUE"""),"chó")</f>
        <v>chó</v>
      </c>
      <c r="E846" s="131" t="str">
        <f>IFERROR(__xludf.DUMMYFUNCTION("""COMPUTED_VALUE"""),"ka")</f>
        <v>ka</v>
      </c>
    </row>
    <row r="847" ht="15.75" customHeight="1">
      <c r="A847" s="120" t="str">
        <f>IFERROR(__xludf.DUMMYFUNCTION("""COMPUTED_VALUE"""),"0964 764 918")</f>
        <v>0964 764 918</v>
      </c>
      <c r="B847" s="121" t="str">
        <f>IFERROR(__xludf.DUMMYFUNCTION("""COMPUTED_VALUE"""),"Chị Trinh")</f>
        <v>Chị Trinh</v>
      </c>
      <c r="C847" s="121" t="str">
        <f>IFERROR(__xludf.DUMMYFUNCTION("""COMPUTED_VALUE"""),"Hồ Đắc Di")</f>
        <v>Hồ Đắc Di</v>
      </c>
      <c r="D847" s="121" t="str">
        <f>IFERROR(__xludf.DUMMYFUNCTION("""COMPUTED_VALUE"""),"chó")</f>
        <v>chó</v>
      </c>
      <c r="E847" s="121" t="str">
        <f>IFERROR(__xludf.DUMMYFUNCTION("""COMPUTED_VALUE"""),"la")</f>
        <v>la</v>
      </c>
    </row>
    <row r="848" ht="15.75" customHeight="1">
      <c r="A848" s="120" t="str">
        <f>IFERROR(__xludf.DUMMYFUNCTION("""COMPUTED_VALUE"""),"0913 902 204")</f>
        <v>0913 902 204</v>
      </c>
      <c r="B848" s="121" t="str">
        <f>IFERROR(__xludf.DUMMYFUNCTION("""COMPUTED_VALUE"""),"dì My")</f>
        <v>dì My</v>
      </c>
      <c r="C848" s="121" t="str">
        <f>IFERROR(__xludf.DUMMYFUNCTION("""COMPUTED_VALUE"""),"252 Phan Bội Châu")</f>
        <v>252 Phan Bội Châu</v>
      </c>
      <c r="D848" s="121" t="str">
        <f>IFERROR(__xludf.DUMMYFUNCTION("""COMPUTED_VALUE"""),"chó")</f>
        <v>chó</v>
      </c>
      <c r="E848" s="121" t="str">
        <f>IFERROR(__xludf.DUMMYFUNCTION("""COMPUTED_VALUE"""),"gấu")</f>
        <v>gấu</v>
      </c>
    </row>
    <row r="849" ht="15.75" customHeight="1">
      <c r="A849" s="128" t="str">
        <f>IFERROR(__xludf.DUMMYFUNCTION("""COMPUTED_VALUE"""),"0905 017 887")</f>
        <v>0905 017 887</v>
      </c>
      <c r="B849" s="127" t="str">
        <f>IFERROR(__xludf.DUMMYFUNCTION("""COMPUTED_VALUE"""),"chú Dũng")</f>
        <v>chú Dũng</v>
      </c>
      <c r="C849" s="127" t="str">
        <f>IFERROR(__xludf.DUMMYFUNCTION("""COMPUTED_VALUE"""),"35 Chế Lan Viên")</f>
        <v>35 Chế Lan Viên</v>
      </c>
      <c r="D849" s="127" t="str">
        <f>IFERROR(__xludf.DUMMYFUNCTION("""COMPUTED_VALUE"""),"Chó")</f>
        <v>Chó</v>
      </c>
      <c r="E849" s="127"/>
    </row>
    <row r="850" ht="15.75" customHeight="1">
      <c r="A850" s="120" t="str">
        <f>IFERROR(__xludf.DUMMYFUNCTION("""COMPUTED_VALUE"""),"0915 151 402")</f>
        <v>0915 151 402</v>
      </c>
      <c r="B850" s="121" t="str">
        <f>IFERROR(__xludf.DUMMYFUNCTION("""COMPUTED_VALUE"""),"Phan Quốc Việt")</f>
        <v>Phan Quốc Việt</v>
      </c>
      <c r="C850" s="121" t="str">
        <f>IFERROR(__xludf.DUMMYFUNCTION("""COMPUTED_VALUE"""),"52 xóm 2 Ngọc Anh")</f>
        <v>52 xóm 2 Ngọc Anh</v>
      </c>
      <c r="D850" s="121" t="str">
        <f>IFERROR(__xludf.DUMMYFUNCTION("""COMPUTED_VALUE"""),"Chó")</f>
        <v>Chó</v>
      </c>
      <c r="E850" s="121" t="str">
        <f>IFERROR(__xludf.DUMMYFUNCTION("""COMPUTED_VALUE"""),"Đen/ Xù")</f>
        <v>Đen/ Xù</v>
      </c>
    </row>
    <row r="851" ht="15.75" customHeight="1">
      <c r="A851" s="130" t="str">
        <f>IFERROR(__xludf.DUMMYFUNCTION("""COMPUTED_VALUE"""),"0905 290 797")</f>
        <v>0905 290 797</v>
      </c>
      <c r="B851" s="131" t="str">
        <f>IFERROR(__xludf.DUMMYFUNCTION("""COMPUTED_VALUE"""),"Hà Anh Trang")</f>
        <v>Hà Anh Trang</v>
      </c>
      <c r="C851" s="131" t="str">
        <f>IFERROR(__xludf.DUMMYFUNCTION("""COMPUTED_VALUE"""),"Eco Garden")</f>
        <v>Eco Garden</v>
      </c>
      <c r="D851" s="131" t="str">
        <f>IFERROR(__xludf.DUMMYFUNCTION("""COMPUTED_VALUE"""),"Chó")</f>
        <v>Chó</v>
      </c>
      <c r="E851" s="131"/>
    </row>
    <row r="852" ht="15.75" customHeight="1">
      <c r="A852" s="128" t="str">
        <f>IFERROR(__xludf.DUMMYFUNCTION("""COMPUTED_VALUE"""),"0789 713 014")</f>
        <v>0789 713 014</v>
      </c>
      <c r="B852" s="127" t="str">
        <f>IFERROR(__xludf.DUMMYFUNCTION("""COMPUTED_VALUE"""),"Mạnh Huy")</f>
        <v>Mạnh Huy</v>
      </c>
      <c r="C852" s="127" t="str">
        <f>IFERROR(__xludf.DUMMYFUNCTION("""COMPUTED_VALUE"""),"19k 54 Lê Ngô Cát")</f>
        <v>19k 54 Lê Ngô Cát</v>
      </c>
      <c r="D852" s="127" t="str">
        <f>IFERROR(__xludf.DUMMYFUNCTION("""COMPUTED_VALUE"""),"mèo")</f>
        <v>mèo</v>
      </c>
      <c r="E852" s="127" t="str">
        <f>IFERROR(__xludf.DUMMYFUNCTION("""COMPUTED_VALUE"""),"bông")</f>
        <v>bông</v>
      </c>
    </row>
    <row r="853" ht="15.75" customHeight="1">
      <c r="A853" s="120" t="str">
        <f>IFERROR(__xludf.DUMMYFUNCTION("""COMPUTED_VALUE"""),"0905 229 008")</f>
        <v>0905 229 008</v>
      </c>
      <c r="B853" s="121" t="str">
        <f>IFERROR(__xludf.DUMMYFUNCTION("""COMPUTED_VALUE"""),"Chị Linh")</f>
        <v>Chị Linh</v>
      </c>
      <c r="C853" s="121"/>
      <c r="D853" s="121" t="str">
        <f>IFERROR(__xludf.DUMMYFUNCTION("""COMPUTED_VALUE"""),"chó ")</f>
        <v>chó </v>
      </c>
      <c r="E853" s="119" t="str">
        <f>IFERROR(__xludf.DUMMYFUNCTION("""COMPUTED_VALUE"""),"nâu")</f>
        <v>nâu</v>
      </c>
    </row>
    <row r="854" ht="15.75" customHeight="1">
      <c r="A854" s="120" t="str">
        <f>IFERROR(__xludf.DUMMYFUNCTION("""COMPUTED_VALUE"""),"0935 172 516")</f>
        <v>0935 172 516</v>
      </c>
      <c r="B854" s="121" t="str">
        <f>IFERROR(__xludf.DUMMYFUNCTION("""COMPUTED_VALUE"""),"Chị Huyền")</f>
        <v>Chị Huyền</v>
      </c>
      <c r="C854" s="121" t="str">
        <f>IFERROR(__xludf.DUMMYFUNCTION("""COMPUTED_VALUE"""),"67 Nguyễn Hoàng")</f>
        <v>67 Nguyễn Hoàng</v>
      </c>
      <c r="D854" s="121" t="str">
        <f>IFERROR(__xludf.DUMMYFUNCTION("""COMPUTED_VALUE"""),"Chó")</f>
        <v>Chó</v>
      </c>
      <c r="E854" s="121" t="str">
        <f>IFERROR(__xludf.DUMMYFUNCTION("""COMPUTED_VALUE"""),"Ken")</f>
        <v>Ken</v>
      </c>
    </row>
    <row r="855" ht="15.75" customHeight="1">
      <c r="A855" s="128" t="str">
        <f>IFERROR(__xludf.DUMMYFUNCTION("""COMPUTED_VALUE"""),"0817 149 779")</f>
        <v>0817 149 779</v>
      </c>
      <c r="B855" s="127" t="str">
        <f>IFERROR(__xludf.DUMMYFUNCTION("""COMPUTED_VALUE"""),"bác Ngộ")</f>
        <v>bác Ngộ</v>
      </c>
      <c r="C855" s="127" t="str">
        <f>IFERROR(__xludf.DUMMYFUNCTION("""COMPUTED_VALUE"""),"47/8/8 Hồ Đắc Di")</f>
        <v>47/8/8 Hồ Đắc Di</v>
      </c>
      <c r="D855" s="127" t="str">
        <f>IFERROR(__xludf.DUMMYFUNCTION("""COMPUTED_VALUE"""),"chó")</f>
        <v>chó</v>
      </c>
      <c r="E855" s="127" t="str">
        <f>IFERROR(__xludf.DUMMYFUNCTION("""COMPUTED_VALUE"""),"sữa")</f>
        <v>sữa</v>
      </c>
    </row>
    <row r="856" ht="15.75" customHeight="1">
      <c r="A856" s="130" t="str">
        <f>IFERROR(__xludf.DUMMYFUNCTION("""COMPUTED_VALUE"""),"0934 755 370")</f>
        <v>0934 755 370</v>
      </c>
      <c r="B856" s="131" t="str">
        <f>IFERROR(__xludf.DUMMYFUNCTION("""COMPUTED_VALUE"""),"Huỳnh Lê Anh Khoa")</f>
        <v>Huỳnh Lê Anh Khoa</v>
      </c>
      <c r="C856" s="131" t="str">
        <f>IFERROR(__xludf.DUMMYFUNCTION("""COMPUTED_VALUE"""),"19/56 Nguyễn Công Trứ")</f>
        <v>19/56 Nguyễn Công Trứ</v>
      </c>
      <c r="D856" s="131" t="str">
        <f>IFERROR(__xludf.DUMMYFUNCTION("""COMPUTED_VALUE"""),"chó")</f>
        <v>chó</v>
      </c>
      <c r="E856" s="131" t="str">
        <f>IFERROR(__xludf.DUMMYFUNCTION("""COMPUTED_VALUE"""),"cua")</f>
        <v>cua</v>
      </c>
    </row>
    <row r="857" ht="15.75" customHeight="1">
      <c r="A857" s="120" t="str">
        <f>IFERROR(__xludf.DUMMYFUNCTION("""COMPUTED_VALUE"""),"0962 082 860")</f>
        <v>0962 082 860</v>
      </c>
      <c r="B857" s="121" t="str">
        <f>IFERROR(__xludf.DUMMYFUNCTION("""COMPUTED_VALUE"""),"Chị Mai")</f>
        <v>Chị Mai</v>
      </c>
      <c r="C857" s="121" t="str">
        <f>IFERROR(__xludf.DUMMYFUNCTION("""COMPUTED_VALUE"""),"54/131 Trần phú")</f>
        <v>54/131 Trần phú</v>
      </c>
      <c r="D857" s="121" t="str">
        <f>IFERROR(__xludf.DUMMYFUNCTION("""COMPUTED_VALUE"""),"Chó")</f>
        <v>Chó</v>
      </c>
      <c r="E857" s="121" t="str">
        <f>IFERROR(__xludf.DUMMYFUNCTION("""COMPUTED_VALUE"""),"Bơ")</f>
        <v>Bơ</v>
      </c>
    </row>
    <row r="858" ht="15.75" customHeight="1">
      <c r="A858" s="128" t="str">
        <f>IFERROR(__xludf.DUMMYFUNCTION("""COMPUTED_VALUE"""),"0987 592 841")</f>
        <v>0987 592 841</v>
      </c>
      <c r="B858" s="127" t="str">
        <f>IFERROR(__xludf.DUMMYFUNCTION("""COMPUTED_VALUE"""),"Hương ")</f>
        <v>Hương </v>
      </c>
      <c r="C858" s="127" t="str">
        <f>IFERROR(__xludf.DUMMYFUNCTION("""COMPUTED_VALUE"""),"4/51/131 Trần Phú")</f>
        <v>4/51/131 Trần Phú</v>
      </c>
      <c r="D858" s="127" t="str">
        <f>IFERROR(__xludf.DUMMYFUNCTION("""COMPUTED_VALUE"""),"Mèo")</f>
        <v>Mèo</v>
      </c>
      <c r="E858" s="127" t="str">
        <f>IFERROR(__xludf.DUMMYFUNCTION("""COMPUTED_VALUE"""),"Bắp")</f>
        <v>Bắp</v>
      </c>
    </row>
    <row r="859" ht="15.75" customHeight="1">
      <c r="A859" s="120" t="str">
        <f>IFERROR(__xludf.DUMMYFUNCTION("""COMPUTED_VALUE"""),"0835 052 752")</f>
        <v>0835 052 752</v>
      </c>
      <c r="B859" s="121" t="str">
        <f>IFERROR(__xludf.DUMMYFUNCTION("""COMPUTED_VALUE"""),"Bùi Quang Tiến")</f>
        <v>Bùi Quang Tiến</v>
      </c>
      <c r="C859" s="121" t="str">
        <f>IFERROR(__xludf.DUMMYFUNCTION("""COMPUTED_VALUE"""),"9/15/69/131 Trần Phú")</f>
        <v>9/15/69/131 Trần Phú</v>
      </c>
      <c r="D859" s="121" t="str">
        <f>IFERROR(__xludf.DUMMYFUNCTION("""COMPUTED_VALUE"""),"Chó")</f>
        <v>Chó</v>
      </c>
      <c r="E859" s="121" t="str">
        <f>IFERROR(__xludf.DUMMYFUNCTION("""COMPUTED_VALUE"""),"ky")</f>
        <v>ky</v>
      </c>
    </row>
    <row r="860" ht="15.75" customHeight="1">
      <c r="A860" s="128" t="str">
        <f>IFERROR(__xludf.DUMMYFUNCTION("""COMPUTED_VALUE"""),"0914 527 065")</f>
        <v>0914 527 065</v>
      </c>
      <c r="B860" s="127" t="str">
        <f>IFERROR(__xludf.DUMMYFUNCTION("""COMPUTED_VALUE"""),"Anh Vinh")</f>
        <v>Anh Vinh</v>
      </c>
      <c r="C860" s="127" t="str">
        <f>IFERROR(__xludf.DUMMYFUNCTION("""COMPUTED_VALUE"""),"34 Bà Triệu")</f>
        <v>34 Bà Triệu</v>
      </c>
      <c r="D860" s="127" t="str">
        <f>IFERROR(__xludf.DUMMYFUNCTION("""COMPUTED_VALUE"""),"Mèo")</f>
        <v>Mèo</v>
      </c>
      <c r="E860" s="119"/>
    </row>
    <row r="861" ht="15.75" customHeight="1">
      <c r="A861" s="130" t="str">
        <f>IFERROR(__xludf.DUMMYFUNCTION("""COMPUTED_VALUE"""),"0969 222 226")</f>
        <v>0969 222 226</v>
      </c>
      <c r="B861" s="131" t="str">
        <f>IFERROR(__xludf.DUMMYFUNCTION("""COMPUTED_VALUE"""),"ANh Tú")</f>
        <v>ANh Tú</v>
      </c>
      <c r="C861" s="131" t="str">
        <f>IFERROR(__xludf.DUMMYFUNCTION("""COMPUTED_VALUE"""),"Phạm THị Liên")</f>
        <v>Phạm THị Liên</v>
      </c>
      <c r="D861" s="131" t="str">
        <f>IFERROR(__xludf.DUMMYFUNCTION("""COMPUTED_VALUE"""),"Chó")</f>
        <v>Chó</v>
      </c>
      <c r="E861" s="131" t="str">
        <f>IFERROR(__xludf.DUMMYFUNCTION("""COMPUTED_VALUE"""),"Đen")</f>
        <v>Đen</v>
      </c>
    </row>
    <row r="862" ht="15.75" customHeight="1">
      <c r="A862" s="120" t="str">
        <f>IFERROR(__xludf.DUMMYFUNCTION("""COMPUTED_VALUE"""),"0898 518 960")</f>
        <v>0898 518 960</v>
      </c>
      <c r="B862" s="121" t="str">
        <f>IFERROR(__xludf.DUMMYFUNCTION("""COMPUTED_VALUE"""),"Chị Nhung")</f>
        <v>Chị Nhung</v>
      </c>
      <c r="C862" s="121" t="str">
        <f>IFERROR(__xludf.DUMMYFUNCTION("""COMPUTED_VALUE"""),"Thuận An")</f>
        <v>Thuận An</v>
      </c>
      <c r="D862" s="121" t="str">
        <f>IFERROR(__xludf.DUMMYFUNCTION("""COMPUTED_VALUE"""),"Chó")</f>
        <v>Chó</v>
      </c>
      <c r="E862" s="121" t="str">
        <f>IFERROR(__xludf.DUMMYFUNCTION("""COMPUTED_VALUE"""),"Gold")</f>
        <v>Gold</v>
      </c>
    </row>
    <row r="863" ht="15.75" customHeight="1">
      <c r="A863" s="120" t="str">
        <f>IFERROR(__xludf.DUMMYFUNCTION("""COMPUTED_VALUE"""),"0906 565 959")</f>
        <v>0906 565 959</v>
      </c>
      <c r="B863" s="121" t="str">
        <f>IFERROR(__xludf.DUMMYFUNCTION("""COMPUTED_VALUE"""),"Bùi Thị Tuyết Mai")</f>
        <v>Bùi Thị Tuyết Mai</v>
      </c>
      <c r="C863" s="121" t="str">
        <f>IFERROR(__xludf.DUMMYFUNCTION("""COMPUTED_VALUE"""),"3/239 Đào Duy Anh")</f>
        <v>3/239 Đào Duy Anh</v>
      </c>
      <c r="D863" s="121" t="str">
        <f>IFERROR(__xludf.DUMMYFUNCTION("""COMPUTED_VALUE"""),"Chó")</f>
        <v>Chó</v>
      </c>
      <c r="E863" s="121" t="str">
        <f>IFERROR(__xludf.DUMMYFUNCTION("""COMPUTED_VALUE"""),"Đô")</f>
        <v>Đô</v>
      </c>
    </row>
    <row r="864" ht="15.75" customHeight="1">
      <c r="A864" s="128" t="str">
        <f>IFERROR(__xludf.DUMMYFUNCTION("""COMPUTED_VALUE"""),"0967 849 513")</f>
        <v>0967 849 513</v>
      </c>
      <c r="B864" s="127" t="str">
        <f>IFERROR(__xludf.DUMMYFUNCTION("""COMPUTED_VALUE"""),"Phạm Thị Lan Hương")</f>
        <v>Phạm Thị Lan Hương</v>
      </c>
      <c r="C864" s="127" t="str">
        <f>IFERROR(__xludf.DUMMYFUNCTION("""COMPUTED_VALUE"""),"Thủy Phù , Hương Thủy")</f>
        <v>Thủy Phù , Hương Thủy</v>
      </c>
      <c r="D864" s="119" t="str">
        <f>IFERROR(__xludf.DUMMYFUNCTION("""COMPUTED_VALUE"""),"Chó ")</f>
        <v>Chó </v>
      </c>
      <c r="E864" s="127" t="str">
        <f>IFERROR(__xludf.DUMMYFUNCTION("""COMPUTED_VALUE"""),"Sữa")</f>
        <v>Sữa</v>
      </c>
    </row>
    <row r="865" ht="15.75" customHeight="1">
      <c r="A865" s="120" t="str">
        <f>IFERROR(__xludf.DUMMYFUNCTION("""COMPUTED_VALUE"""),"0913 120 801")</f>
        <v>0913 120 801</v>
      </c>
      <c r="B865" s="121" t="str">
        <f>IFERROR(__xludf.DUMMYFUNCTION("""COMPUTED_VALUE"""),"chị Thu Hà")</f>
        <v>chị Thu Hà</v>
      </c>
      <c r="C865" s="121" t="str">
        <f>IFERROR(__xludf.DUMMYFUNCTION("""COMPUTED_VALUE"""),"22/17 Phú Mậu")</f>
        <v>22/17 Phú Mậu</v>
      </c>
      <c r="D865" s="121" t="str">
        <f>IFERROR(__xludf.DUMMYFUNCTION("""COMPUTED_VALUE"""),"Mèo")</f>
        <v>Mèo</v>
      </c>
      <c r="E865" s="121" t="str">
        <f>IFERROR(__xludf.DUMMYFUNCTION("""COMPUTED_VALUE"""),"Mèo")</f>
        <v>Mèo</v>
      </c>
    </row>
    <row r="866" ht="15.75" customHeight="1">
      <c r="A866" s="128" t="str">
        <f>IFERROR(__xludf.DUMMYFUNCTION("""COMPUTED_VALUE"""),"0913 236 331")</f>
        <v>0913 236 331</v>
      </c>
      <c r="B866" s="127"/>
      <c r="C866" s="127"/>
      <c r="D866" s="127" t="str">
        <f>IFERROR(__xludf.DUMMYFUNCTION("""COMPUTED_VALUE"""),"Mèo")</f>
        <v>Mèo</v>
      </c>
      <c r="E866" s="127" t="str">
        <f>IFERROR(__xludf.DUMMYFUNCTION("""COMPUTED_VALUE"""),"Vớ")</f>
        <v>Vớ</v>
      </c>
    </row>
    <row r="867" ht="15.75" customHeight="1">
      <c r="A867" s="120" t="str">
        <f>IFERROR(__xludf.DUMMYFUNCTION("""COMPUTED_VALUE"""),"0855 801 326")</f>
        <v>0855 801 326</v>
      </c>
      <c r="B867" s="121" t="str">
        <f>IFERROR(__xludf.DUMMYFUNCTION("""COMPUTED_VALUE"""),"anh Duy")</f>
        <v>anh Duy</v>
      </c>
      <c r="C867" s="121" t="str">
        <f>IFERROR(__xludf.DUMMYFUNCTION("""COMPUTED_VALUE"""),"8/278 Lý Nam Đế")</f>
        <v>8/278 Lý Nam Đế</v>
      </c>
      <c r="D867" s="121" t="str">
        <f>IFERROR(__xludf.DUMMYFUNCTION("""COMPUTED_VALUE"""),"chó ")</f>
        <v>chó </v>
      </c>
      <c r="E867" s="121" t="str">
        <f>IFERROR(__xludf.DUMMYFUNCTION("""COMPUTED_VALUE"""),"Lu")</f>
        <v>Lu</v>
      </c>
    </row>
    <row r="868" ht="15.75" customHeight="1">
      <c r="A868" s="128" t="str">
        <f>IFERROR(__xludf.DUMMYFUNCTION("""COMPUTED_VALUE"""),"0392 358 564")</f>
        <v>0392 358 564</v>
      </c>
      <c r="B868" s="127" t="str">
        <f>IFERROR(__xludf.DUMMYFUNCTION("""COMPUTED_VALUE"""),"Dì La")</f>
        <v>Dì La</v>
      </c>
      <c r="C868" s="127" t="str">
        <f>IFERROR(__xludf.DUMMYFUNCTION("""COMPUTED_VALUE"""),"49/68 Nguyễn Phúc Chu")</f>
        <v>49/68 Nguyễn Phúc Chu</v>
      </c>
      <c r="D868" s="127" t="str">
        <f>IFERROR(__xludf.DUMMYFUNCTION("""COMPUTED_VALUE"""),"Chó")</f>
        <v>Chó</v>
      </c>
      <c r="E868" s="127" t="str">
        <f>IFERROR(__xludf.DUMMYFUNCTION("""COMPUTED_VALUE"""),"Bun")</f>
        <v>Bun</v>
      </c>
    </row>
    <row r="869" ht="15.75" customHeight="1">
      <c r="A869" s="128" t="str">
        <f>IFERROR(__xludf.DUMMYFUNCTION("""COMPUTED_VALUE"""),"0905 723 443")</f>
        <v>0905 723 443</v>
      </c>
      <c r="B869" s="127" t="str">
        <f>IFERROR(__xludf.DUMMYFUNCTION("""COMPUTED_VALUE"""),"Anh Ninh")</f>
        <v>Anh Ninh</v>
      </c>
      <c r="C869" s="127" t="str">
        <f>IFERROR(__xludf.DUMMYFUNCTION("""COMPUTED_VALUE"""),"10 An Ninh")</f>
        <v>10 An Ninh</v>
      </c>
      <c r="D869" s="127" t="str">
        <f>IFERROR(__xludf.DUMMYFUNCTION("""COMPUTED_VALUE"""),"Chó")</f>
        <v>Chó</v>
      </c>
      <c r="E869" s="127" t="str">
        <f>IFERROR(__xludf.DUMMYFUNCTION("""COMPUTED_VALUE"""),"Chiện")</f>
        <v>Chiện</v>
      </c>
    </row>
    <row r="870" ht="15.75" customHeight="1">
      <c r="A870" s="128" t="str">
        <f>IFERROR(__xludf.DUMMYFUNCTION("""COMPUTED_VALUE"""),"0795 555 865")</f>
        <v>0795 555 865</v>
      </c>
      <c r="B870" s="127" t="str">
        <f>IFERROR(__xludf.DUMMYFUNCTION("""COMPUTED_VALUE"""),"Anh Tuấn")</f>
        <v>Anh Tuấn</v>
      </c>
      <c r="C870" s="127" t="str">
        <f>IFERROR(__xludf.DUMMYFUNCTION("""COMPUTED_VALUE"""),"116 Minh Mạng")</f>
        <v>116 Minh Mạng</v>
      </c>
      <c r="D870" s="127" t="str">
        <f>IFERROR(__xludf.DUMMYFUNCTION("""COMPUTED_VALUE"""),"Chó")</f>
        <v>Chó</v>
      </c>
      <c r="E870" s="127" t="str">
        <f>IFERROR(__xludf.DUMMYFUNCTION("""COMPUTED_VALUE"""),"Kem")</f>
        <v>Kem</v>
      </c>
    </row>
    <row r="871" ht="15.75" customHeight="1">
      <c r="A871" s="128" t="str">
        <f>IFERROR(__xludf.DUMMYFUNCTION("""COMPUTED_VALUE"""),"0914 425 549")</f>
        <v>0914 425 549</v>
      </c>
      <c r="B871" s="127" t="str">
        <f>IFERROR(__xludf.DUMMYFUNCTION("""COMPUTED_VALUE"""),"Anh Lân")</f>
        <v>Anh Lân</v>
      </c>
      <c r="C871" s="127" t="str">
        <f>IFERROR(__xludf.DUMMYFUNCTION("""COMPUTED_VALUE"""),"B21 KQH Hương Long")</f>
        <v>B21 KQH Hương Long</v>
      </c>
      <c r="D871" s="127" t="str">
        <f>IFERROR(__xludf.DUMMYFUNCTION("""COMPUTED_VALUE"""),"Chó")</f>
        <v>Chó</v>
      </c>
      <c r="E871" s="127"/>
    </row>
    <row r="872" ht="15.75" customHeight="1">
      <c r="A872" s="128" t="str">
        <f>IFERROR(__xludf.DUMMYFUNCTION("""COMPUTED_VALUE"""),"0374 448 467")</f>
        <v>0374 448 467</v>
      </c>
      <c r="B872" s="127" t="str">
        <f>IFERROR(__xludf.DUMMYFUNCTION("""COMPUTED_VALUE"""),"Dì Hoa")</f>
        <v>Dì Hoa</v>
      </c>
      <c r="C872" s="127" t="str">
        <f>IFERROR(__xludf.DUMMYFUNCTION("""COMPUTED_VALUE"""),"14/119 Hùng Vương")</f>
        <v>14/119 Hùng Vương</v>
      </c>
      <c r="D872" s="127" t="str">
        <f>IFERROR(__xludf.DUMMYFUNCTION("""COMPUTED_VALUE"""),"Chó")</f>
        <v>Chó</v>
      </c>
      <c r="E872" s="127" t="str">
        <f>IFERROR(__xludf.DUMMYFUNCTION("""COMPUTED_VALUE"""),"Bốp")</f>
        <v>Bốp</v>
      </c>
    </row>
    <row r="873" ht="15.75" customHeight="1">
      <c r="A873" s="128" t="str">
        <f>IFERROR(__xludf.DUMMYFUNCTION("""COMPUTED_VALUE"""),"0839 200 402")</f>
        <v>0839 200 402</v>
      </c>
      <c r="B873" s="127" t="str">
        <f>IFERROR(__xludf.DUMMYFUNCTION("""COMPUTED_VALUE"""),"Nhi")</f>
        <v>Nhi</v>
      </c>
      <c r="C873" s="127" t="str">
        <f>IFERROR(__xludf.DUMMYFUNCTION("""COMPUTED_VALUE"""),"Kiệt 131 Trần Phú")</f>
        <v>Kiệt 131 Trần Phú</v>
      </c>
      <c r="D873" s="127" t="str">
        <f>IFERROR(__xludf.DUMMYFUNCTION("""COMPUTED_VALUE"""),"Mèo")</f>
        <v>Mèo</v>
      </c>
      <c r="E873" s="119" t="str">
        <f>IFERROR(__xludf.DUMMYFUNCTION("""COMPUTED_VALUE"""),"Lion")</f>
        <v>Lion</v>
      </c>
    </row>
    <row r="874" ht="15.75" customHeight="1">
      <c r="A874" s="128" t="str">
        <f>IFERROR(__xludf.DUMMYFUNCTION("""COMPUTED_VALUE"""),"0935 402 043")</f>
        <v>0935 402 043</v>
      </c>
      <c r="B874" s="127" t="str">
        <f>IFERROR(__xludf.DUMMYFUNCTION("""COMPUTED_VALUE"""),"Em thắng")</f>
        <v>Em thắng</v>
      </c>
      <c r="C874" s="127" t="str">
        <f>IFERROR(__xludf.DUMMYFUNCTION("""COMPUTED_VALUE"""),"10 An Ninh")</f>
        <v>10 An Ninh</v>
      </c>
      <c r="D874" s="127" t="str">
        <f>IFERROR(__xludf.DUMMYFUNCTION("""COMPUTED_VALUE"""),"Chó ")</f>
        <v>Chó </v>
      </c>
      <c r="E874" s="127" t="str">
        <f>IFERROR(__xludf.DUMMYFUNCTION("""COMPUTED_VALUE"""),"Bơ")</f>
        <v>Bơ</v>
      </c>
    </row>
    <row r="875" ht="15.75" customHeight="1">
      <c r="A875" s="120" t="str">
        <f>IFERROR(__xludf.DUMMYFUNCTION("""COMPUTED_VALUE"""),"0941 428 999")</f>
        <v>0941 428 999</v>
      </c>
      <c r="B875" s="121" t="str">
        <f>IFERROR(__xludf.DUMMYFUNCTION("""COMPUTED_VALUE"""),"Chị Oanh")</f>
        <v>Chị Oanh</v>
      </c>
      <c r="C875" s="121" t="str">
        <f>IFERROR(__xludf.DUMMYFUNCTION("""COMPUTED_VALUE"""),"77 Lê Ngô Cát")</f>
        <v>77 Lê Ngô Cát</v>
      </c>
      <c r="D875" s="121" t="str">
        <f>IFERROR(__xludf.DUMMYFUNCTION("""COMPUTED_VALUE"""),"chó")</f>
        <v>chó</v>
      </c>
      <c r="E875" s="121" t="str">
        <f>IFERROR(__xludf.DUMMYFUNCTION("""COMPUTED_VALUE"""),"Tây")</f>
        <v>Tây</v>
      </c>
    </row>
    <row r="876" ht="15.75" customHeight="1">
      <c r="A876" s="128" t="str">
        <f>IFERROR(__xludf.DUMMYFUNCTION("""COMPUTED_VALUE"""),"0707 058 075")</f>
        <v>0707 058 075</v>
      </c>
      <c r="B876" s="127" t="str">
        <f>IFERROR(__xludf.DUMMYFUNCTION("""COMPUTED_VALUE"""),"Ánh Vi")</f>
        <v>Ánh Vi</v>
      </c>
      <c r="C876" s="127" t="str">
        <f>IFERROR(__xludf.DUMMYFUNCTION("""COMPUTED_VALUE"""),"thôn Kim Sơn -Thủy Bằng")</f>
        <v>thôn Kim Sơn -Thủy Bằng</v>
      </c>
      <c r="D876" s="127" t="str">
        <f>IFERROR(__xludf.DUMMYFUNCTION("""COMPUTED_VALUE"""),"chó")</f>
        <v>chó</v>
      </c>
      <c r="E876" s="127" t="str">
        <f>IFERROR(__xludf.DUMMYFUNCTION("""COMPUTED_VALUE"""),"nem")</f>
        <v>nem</v>
      </c>
    </row>
    <row r="877" ht="15.75" customHeight="1">
      <c r="A877" s="128" t="str">
        <f>IFERROR(__xludf.DUMMYFUNCTION("""COMPUTED_VALUE"""),"0397 554 240")</f>
        <v>0397 554 240</v>
      </c>
      <c r="B877" s="127" t="str">
        <f>IFERROR(__xludf.DUMMYFUNCTION("""COMPUTED_VALUE"""),"Chị Thu Phương")</f>
        <v>Chị Thu Phương</v>
      </c>
      <c r="C877" s="127" t="str">
        <f>IFERROR(__xludf.DUMMYFUNCTION("""COMPUTED_VALUE"""),"150/4 Kim Long")</f>
        <v>150/4 Kim Long</v>
      </c>
      <c r="D877" s="127" t="str">
        <f>IFERROR(__xludf.DUMMYFUNCTION("""COMPUTED_VALUE"""),"Mèo")</f>
        <v>Mèo</v>
      </c>
      <c r="E877" s="127" t="str">
        <f>IFERROR(__xludf.DUMMYFUNCTION("""COMPUTED_VALUE"""),"cafe")</f>
        <v>cafe</v>
      </c>
    </row>
    <row r="878" ht="15.75" customHeight="1">
      <c r="A878" s="130" t="str">
        <f>IFERROR(__xludf.DUMMYFUNCTION("""COMPUTED_VALUE"""),"0369 788 631")</f>
        <v>0369 788 631</v>
      </c>
      <c r="B878" s="131" t="str">
        <f>IFERROR(__xludf.DUMMYFUNCTION("""COMPUTED_VALUE"""),"Em Bưởi")</f>
        <v>Em Bưởi</v>
      </c>
      <c r="C878" s="131" t="str">
        <f>IFERROR(__xludf.DUMMYFUNCTION("""COMPUTED_VALUE"""),"32 kim Long")</f>
        <v>32 kim Long</v>
      </c>
      <c r="D878" s="131" t="str">
        <f>IFERROR(__xludf.DUMMYFUNCTION("""COMPUTED_VALUE"""),"chó")</f>
        <v>chó</v>
      </c>
      <c r="E878" s="131" t="str">
        <f>IFERROR(__xludf.DUMMYFUNCTION("""COMPUTED_VALUE"""),"tít")</f>
        <v>tít</v>
      </c>
    </row>
    <row r="879" ht="15.75" customHeight="1">
      <c r="A879" s="128" t="str">
        <f>IFERROR(__xludf.DUMMYFUNCTION("""COMPUTED_VALUE"""),"0333 151 666")</f>
        <v>0333 151 666</v>
      </c>
      <c r="B879" s="121" t="str">
        <f>IFERROR(__xludf.DUMMYFUNCTION("""COMPUTED_VALUE"""),"Em Hiếu")</f>
        <v>Em Hiếu</v>
      </c>
      <c r="C879" s="127" t="str">
        <f>IFERROR(__xludf.DUMMYFUNCTION("""COMPUTED_VALUE"""),"Thủy Biều")</f>
        <v>Thủy Biều</v>
      </c>
      <c r="D879" s="127" t="str">
        <f>IFERROR(__xludf.DUMMYFUNCTION("""COMPUTED_VALUE"""),"Mèo")</f>
        <v>Mèo</v>
      </c>
      <c r="E879" s="119" t="str">
        <f>IFERROR(__xludf.DUMMYFUNCTION("""COMPUTED_VALUE"""),"Long")</f>
        <v>Long</v>
      </c>
    </row>
    <row r="880" ht="15.75" customHeight="1">
      <c r="A880" s="128" t="str">
        <f>IFERROR(__xludf.DUMMYFUNCTION("""COMPUTED_VALUE"""),"0393 681 769")</f>
        <v>0393 681 769</v>
      </c>
      <c r="B880" s="127" t="str">
        <f>IFERROR(__xludf.DUMMYFUNCTION("""COMPUTED_VALUE"""),"Em Khánh")</f>
        <v>Em Khánh</v>
      </c>
      <c r="C880" s="127" t="str">
        <f>IFERROR(__xludf.DUMMYFUNCTION("""COMPUTED_VALUE"""),"22/46 Trần Phú")</f>
        <v>22/46 Trần Phú</v>
      </c>
      <c r="D880" s="127" t="str">
        <f>IFERROR(__xludf.DUMMYFUNCTION("""COMPUTED_VALUE"""),"Mèo")</f>
        <v>Mèo</v>
      </c>
      <c r="E880" s="127" t="str">
        <f>IFERROR(__xludf.DUMMYFUNCTION("""COMPUTED_VALUE"""),"Leo")</f>
        <v>Leo</v>
      </c>
    </row>
    <row r="881" ht="15.75" customHeight="1">
      <c r="A881" s="120" t="str">
        <f>IFERROR(__xludf.DUMMYFUNCTION("""COMPUTED_VALUE"""),"0935 063 552")</f>
        <v>0935 063 552</v>
      </c>
      <c r="B881" s="121" t="str">
        <f>IFERROR(__xludf.DUMMYFUNCTION("""COMPUTED_VALUE"""),"C lan")</f>
        <v>C lan</v>
      </c>
      <c r="C881" s="121" t="str">
        <f>IFERROR(__xludf.DUMMYFUNCTION("""COMPUTED_VALUE"""),"27 Nguyễn Phúc Thái ")</f>
        <v>27 Nguyễn Phúc Thái </v>
      </c>
      <c r="D881" s="121" t="str">
        <f>IFERROR(__xludf.DUMMYFUNCTION("""COMPUTED_VALUE"""),"Chó")</f>
        <v>Chó</v>
      </c>
      <c r="E881" s="121"/>
    </row>
    <row r="882" ht="15.75" customHeight="1">
      <c r="A882" s="120" t="str">
        <f>IFERROR(__xludf.DUMMYFUNCTION("""COMPUTED_VALUE"""),"0355 681 730")</f>
        <v>0355 681 730</v>
      </c>
      <c r="B882" s="121" t="str">
        <f>IFERROR(__xludf.DUMMYFUNCTION("""COMPUTED_VALUE"""),"Hồ Nhật Tường ")</f>
        <v>Hồ Nhật Tường </v>
      </c>
      <c r="C882" s="121" t="str">
        <f>IFERROR(__xludf.DUMMYFUNCTION("""COMPUTED_VALUE"""),"18 lựu Bảo")</f>
        <v>18 lựu Bảo</v>
      </c>
      <c r="D882" s="121" t="str">
        <f>IFERROR(__xludf.DUMMYFUNCTION("""COMPUTED_VALUE"""),"Chó")</f>
        <v>Chó</v>
      </c>
      <c r="E882" s="121" t="str">
        <f>IFERROR(__xludf.DUMMYFUNCTION("""COMPUTED_VALUE"""),"chip")</f>
        <v>chip</v>
      </c>
    </row>
    <row r="883" ht="15.75" customHeight="1">
      <c r="A883" s="130" t="str">
        <f>IFERROR(__xludf.DUMMYFUNCTION("""COMPUTED_VALUE"""),"0935 585 488")</f>
        <v>0935 585 488</v>
      </c>
      <c r="B883" s="131" t="str">
        <f>IFERROR(__xludf.DUMMYFUNCTION("""COMPUTED_VALUE"""),"Chị Hạnh Nguyên")</f>
        <v>Chị Hạnh Nguyên</v>
      </c>
      <c r="C883" s="131" t="str">
        <f>IFERROR(__xludf.DUMMYFUNCTION("""COMPUTED_VALUE"""),"trường Chinh")</f>
        <v>trường Chinh</v>
      </c>
      <c r="D883" s="131" t="str">
        <f>IFERROR(__xludf.DUMMYFUNCTION("""COMPUTED_VALUE"""),"chó")</f>
        <v>chó</v>
      </c>
      <c r="E883" s="119" t="str">
        <f>IFERROR(__xludf.DUMMYFUNCTION("""COMPUTED_VALUE"""),"cody")</f>
        <v>cody</v>
      </c>
    </row>
    <row r="884" ht="15.75" customHeight="1">
      <c r="A884" s="130" t="str">
        <f>IFERROR(__xludf.DUMMYFUNCTION("""COMPUTED_VALUE"""),"0829 916 775")</f>
        <v>0829 916 775</v>
      </c>
      <c r="B884" s="131" t="str">
        <f>IFERROR(__xludf.DUMMYFUNCTION("""COMPUTED_VALUE"""),"Thúy")</f>
        <v>Thúy</v>
      </c>
      <c r="C884" s="131" t="str">
        <f>IFERROR(__xludf.DUMMYFUNCTION("""COMPUTED_VALUE"""),"22 Tản Đà")</f>
        <v>22 Tản Đà</v>
      </c>
      <c r="D884" s="131" t="str">
        <f>IFERROR(__xludf.DUMMYFUNCTION("""COMPUTED_VALUE"""),"Chó")</f>
        <v>Chó</v>
      </c>
      <c r="E884" s="131"/>
    </row>
    <row r="885" ht="15.75" customHeight="1">
      <c r="A885" s="130" t="str">
        <f>IFERROR(__xludf.DUMMYFUNCTION("""COMPUTED_VALUE"""),"0935 904 275")</f>
        <v>0935 904 275</v>
      </c>
      <c r="B885" s="131" t="str">
        <f>IFERROR(__xludf.DUMMYFUNCTION("""COMPUTED_VALUE"""),"Chị Thảo")</f>
        <v>Chị Thảo</v>
      </c>
      <c r="C885" s="131" t="str">
        <f>IFERROR(__xludf.DUMMYFUNCTION("""COMPUTED_VALUE"""),"Phú Dương")</f>
        <v>Phú Dương</v>
      </c>
      <c r="D885" s="131" t="str">
        <f>IFERROR(__xludf.DUMMYFUNCTION("""COMPUTED_VALUE"""),"Chó")</f>
        <v>Chó</v>
      </c>
      <c r="E885" s="131" t="str">
        <f>IFERROR(__xludf.DUMMYFUNCTION("""COMPUTED_VALUE"""),"Bông")</f>
        <v>Bông</v>
      </c>
    </row>
    <row r="886" ht="15.75" customHeight="1">
      <c r="A886" s="120" t="str">
        <f>IFERROR(__xludf.DUMMYFUNCTION("""COMPUTED_VALUE"""),"0973 125 052")</f>
        <v>0973 125 052</v>
      </c>
      <c r="B886" s="121" t="str">
        <f>IFERROR(__xludf.DUMMYFUNCTION("""COMPUTED_VALUE"""),"Anh Nhân")</f>
        <v>Anh Nhân</v>
      </c>
      <c r="C886" s="121" t="str">
        <f>IFERROR(__xludf.DUMMYFUNCTION("""COMPUTED_VALUE"""),"Phạm THị Liên")</f>
        <v>Phạm THị Liên</v>
      </c>
      <c r="D886" s="121" t="str">
        <f>IFERROR(__xludf.DUMMYFUNCTION("""COMPUTED_VALUE"""),"Chó")</f>
        <v>Chó</v>
      </c>
      <c r="E886" s="121" t="str">
        <f>IFERROR(__xludf.DUMMYFUNCTION("""COMPUTED_VALUE"""),"Xu")</f>
        <v>Xu</v>
      </c>
    </row>
    <row r="887" ht="15.75" customHeight="1">
      <c r="A887" s="120" t="str">
        <f>IFERROR(__xludf.DUMMYFUNCTION("""COMPUTED_VALUE"""),"0933 879 413")</f>
        <v>0933 879 413</v>
      </c>
      <c r="B887" s="121" t="str">
        <f>IFERROR(__xludf.DUMMYFUNCTION("""COMPUTED_VALUE"""),"Cô Huy")</f>
        <v>Cô Huy</v>
      </c>
      <c r="C887" s="121" t="str">
        <f>IFERROR(__xludf.DUMMYFUNCTION("""COMPUTED_VALUE"""),"8 Nguyễn Thiện Thuật")</f>
        <v>8 Nguyễn Thiện Thuật</v>
      </c>
      <c r="D887" s="121" t="str">
        <f>IFERROR(__xludf.DUMMYFUNCTION("""COMPUTED_VALUE"""),"Chó")</f>
        <v>Chó</v>
      </c>
      <c r="E887" s="119" t="str">
        <f>IFERROR(__xludf.DUMMYFUNCTION("""COMPUTED_VALUE"""),"Gold")</f>
        <v>Gold</v>
      </c>
    </row>
    <row r="888" ht="15.75" customHeight="1">
      <c r="A888" s="130" t="str">
        <f>IFERROR(__xludf.DUMMYFUNCTION("""COMPUTED_VALUE"""),"0935 660 471")</f>
        <v>0935 660 471</v>
      </c>
      <c r="B888" s="131" t="str">
        <f>IFERROR(__xludf.DUMMYFUNCTION("""COMPUTED_VALUE"""),"Hầu Nguyễn Anh Thư")</f>
        <v>Hầu Nguyễn Anh Thư</v>
      </c>
      <c r="C888" s="131" t="str">
        <f>IFERROR(__xludf.DUMMYFUNCTION("""COMPUTED_VALUE"""),"Phường Thanh Thủy")</f>
        <v>Phường Thanh Thủy</v>
      </c>
      <c r="D888" s="131" t="str">
        <f>IFERROR(__xludf.DUMMYFUNCTION("""COMPUTED_VALUE"""),"Chó")</f>
        <v>Chó</v>
      </c>
      <c r="E888" s="131" t="str">
        <f>IFERROR(__xludf.DUMMYFUNCTION("""COMPUTED_VALUE"""),"Cún")</f>
        <v>Cún</v>
      </c>
    </row>
    <row r="889" ht="15.75" customHeight="1">
      <c r="A889" s="130" t="str">
        <f>IFERROR(__xludf.DUMMYFUNCTION("""COMPUTED_VALUE"""),"0914 472 269")</f>
        <v>0914 472 269</v>
      </c>
      <c r="B889" s="131" t="str">
        <f>IFERROR(__xludf.DUMMYFUNCTION("""COMPUTED_VALUE"""),"Anh Hùng")</f>
        <v>Anh Hùng</v>
      </c>
      <c r="C889" s="131" t="str">
        <f>IFERROR(__xludf.DUMMYFUNCTION("""COMPUTED_VALUE"""),"278/3 Bạch Đằng")</f>
        <v>278/3 Bạch Đằng</v>
      </c>
      <c r="D889" s="131" t="str">
        <f>IFERROR(__xludf.DUMMYFUNCTION("""COMPUTED_VALUE"""),"Mèo")</f>
        <v>Mèo</v>
      </c>
      <c r="E889" s="131" t="str">
        <f>IFERROR(__xludf.DUMMYFUNCTION("""COMPUTED_VALUE"""),"Min")</f>
        <v>Min</v>
      </c>
    </row>
    <row r="890" ht="15.75" customHeight="1">
      <c r="A890" s="130" t="str">
        <f>IFERROR(__xludf.DUMMYFUNCTION("""COMPUTED_VALUE"""),"0906 469 861")</f>
        <v>0906 469 861</v>
      </c>
      <c r="B890" s="131" t="str">
        <f>IFERROR(__xludf.DUMMYFUNCTION("""COMPUTED_VALUE"""),"Anh Hải")</f>
        <v>Anh Hải</v>
      </c>
      <c r="C890" s="131" t="str">
        <f>IFERROR(__xludf.DUMMYFUNCTION("""COMPUTED_VALUE"""),"8/59 Lý Nam Đế")</f>
        <v>8/59 Lý Nam Đế</v>
      </c>
      <c r="D890" s="131" t="str">
        <f>IFERROR(__xludf.DUMMYFUNCTION("""COMPUTED_VALUE"""),"Chó")</f>
        <v>Chó</v>
      </c>
      <c r="E890" s="131" t="str">
        <f>IFERROR(__xludf.DUMMYFUNCTION("""COMPUTED_VALUE"""),"Sa")</f>
        <v>Sa</v>
      </c>
    </row>
    <row r="891" ht="15.75" customHeight="1">
      <c r="A891" s="128" t="str">
        <f>IFERROR(__xludf.DUMMYFUNCTION("""COMPUTED_VALUE"""),"0849 792 245")</f>
        <v>0849 792 245</v>
      </c>
      <c r="B891" s="127" t="str">
        <f>IFERROR(__xludf.DUMMYFUNCTION("""COMPUTED_VALUE"""),"Chị Kiều")</f>
        <v>Chị Kiều</v>
      </c>
      <c r="C891" s="127" t="str">
        <f>IFERROR(__xludf.DUMMYFUNCTION("""COMPUTED_VALUE"""),"84 Trần Phú")</f>
        <v>84 Trần Phú</v>
      </c>
      <c r="D891" s="127" t="str">
        <f>IFERROR(__xludf.DUMMYFUNCTION("""COMPUTED_VALUE"""),"Mèo")</f>
        <v>Mèo</v>
      </c>
      <c r="E891" s="119" t="str">
        <f>IFERROR(__xludf.DUMMYFUNCTION("""COMPUTED_VALUE"""),"Cá")</f>
        <v>Cá</v>
      </c>
    </row>
    <row r="892" ht="15.75" customHeight="1">
      <c r="A892" s="130" t="str">
        <f>IFERROR(__xludf.DUMMYFUNCTION("""COMPUTED_VALUE"""),"0913 479 008")</f>
        <v>0913 479 008</v>
      </c>
      <c r="B892" s="135" t="str">
        <f>IFERROR(__xludf.DUMMYFUNCTION("""COMPUTED_VALUE"""),"Chị Quỳnh Nga")</f>
        <v>Chị Quỳnh Nga</v>
      </c>
      <c r="C892" s="131" t="str">
        <f>IFERROR(__xludf.DUMMYFUNCTION("""COMPUTED_VALUE"""),"28/16 Duy Tân")</f>
        <v>28/16 Duy Tân</v>
      </c>
      <c r="D892" s="131" t="str">
        <f>IFERROR(__xludf.DUMMYFUNCTION("""COMPUTED_VALUE"""),"chó")</f>
        <v>chó</v>
      </c>
      <c r="E892" s="131" t="str">
        <f>IFERROR(__xludf.DUMMYFUNCTION("""COMPUTED_VALUE"""),"bông")</f>
        <v>bông</v>
      </c>
    </row>
    <row r="893" ht="15.75" customHeight="1">
      <c r="A893" s="130" t="str">
        <f>IFERROR(__xludf.DUMMYFUNCTION("""COMPUTED_VALUE"""),"0945 222 224")</f>
        <v>0945 222 224</v>
      </c>
      <c r="B893" s="131" t="str">
        <f>IFERROR(__xludf.DUMMYFUNCTION("""COMPUTED_VALUE"""),"Chị Phương")</f>
        <v>Chị Phương</v>
      </c>
      <c r="C893" s="131" t="str">
        <f>IFERROR(__xludf.DUMMYFUNCTION("""COMPUTED_VALUE"""),"58 Nguyễn Hoàng")</f>
        <v>58 Nguyễn Hoàng</v>
      </c>
      <c r="D893" s="131" t="str">
        <f>IFERROR(__xludf.DUMMYFUNCTION("""COMPUTED_VALUE"""),"Mèo")</f>
        <v>Mèo</v>
      </c>
      <c r="E893" s="119" t="str">
        <f>IFERROR(__xludf.DUMMYFUNCTION("""COMPUTED_VALUE"""),"Vàng")</f>
        <v>Vàng</v>
      </c>
    </row>
    <row r="894" ht="15.75" customHeight="1">
      <c r="A894" s="128" t="str">
        <f>IFERROR(__xludf.DUMMYFUNCTION("""COMPUTED_VALUE"""),"0878 522 605")</f>
        <v>0878 522 605</v>
      </c>
      <c r="B894" s="127" t="str">
        <f>IFERROR(__xludf.DUMMYFUNCTION("""COMPUTED_VALUE"""),"Em Trâm")</f>
        <v>Em Trâm</v>
      </c>
      <c r="C894" s="127" t="str">
        <f>IFERROR(__xludf.DUMMYFUNCTION("""COMPUTED_VALUE"""),"80/131 Trần Phú")</f>
        <v>80/131 Trần Phú</v>
      </c>
      <c r="D894" s="127" t="str">
        <f>IFERROR(__xludf.DUMMYFUNCTION("""COMPUTED_VALUE"""),"Chó")</f>
        <v>Chó</v>
      </c>
      <c r="E894" s="127" t="str">
        <f>IFERROR(__xludf.DUMMYFUNCTION("""COMPUTED_VALUE"""),"Socola")</f>
        <v>Socola</v>
      </c>
    </row>
    <row r="895" ht="15.75" customHeight="1">
      <c r="A895" s="120" t="str">
        <f>IFERROR(__xludf.DUMMYFUNCTION("""COMPUTED_VALUE"""),"0905 452 020")</f>
        <v>0905 452 020</v>
      </c>
      <c r="B895" s="121" t="str">
        <f>IFERROR(__xludf.DUMMYFUNCTION("""COMPUTED_VALUE"""),"Anh Cảnh")</f>
        <v>Anh Cảnh</v>
      </c>
      <c r="C895" s="121" t="str">
        <f>IFERROR(__xludf.DUMMYFUNCTION("""COMPUTED_VALUE"""),"4/11/69  Lê Ngô Cát")</f>
        <v>4/11/69  Lê Ngô Cát</v>
      </c>
      <c r="D895" s="121" t="str">
        <f>IFERROR(__xludf.DUMMYFUNCTION("""COMPUTED_VALUE"""),"chó")</f>
        <v>chó</v>
      </c>
      <c r="E895" s="121" t="str">
        <f>IFERROR(__xludf.DUMMYFUNCTION("""COMPUTED_VALUE"""),"nick")</f>
        <v>nick</v>
      </c>
    </row>
    <row r="896" ht="15.75" customHeight="1">
      <c r="A896" s="120" t="str">
        <f>IFERROR(__xludf.DUMMYFUNCTION("""COMPUTED_VALUE"""),"0971 218 518")</f>
        <v>0971 218 518</v>
      </c>
      <c r="B896" s="121" t="str">
        <f>IFERROR(__xludf.DUMMYFUNCTION("""COMPUTED_VALUE"""),"Việt Phương")</f>
        <v>Việt Phương</v>
      </c>
      <c r="C896" s="121" t="str">
        <f>IFERROR(__xludf.DUMMYFUNCTION("""COMPUTED_VALUE"""),"233 Trần Phú")</f>
        <v>233 Trần Phú</v>
      </c>
      <c r="D896" s="121" t="str">
        <f>IFERROR(__xludf.DUMMYFUNCTION("""COMPUTED_VALUE"""),"Mèo")</f>
        <v>Mèo</v>
      </c>
      <c r="E896" s="121" t="str">
        <f>IFERROR(__xludf.DUMMYFUNCTION("""COMPUTED_VALUE"""),"Xám")</f>
        <v>Xám</v>
      </c>
    </row>
    <row r="897" ht="15.75" customHeight="1">
      <c r="A897" s="128" t="str">
        <f>IFERROR(__xludf.DUMMYFUNCTION("""COMPUTED_VALUE"""),"0918 495 764")</f>
        <v>0918 495 764</v>
      </c>
      <c r="B897" s="127" t="str">
        <f>IFERROR(__xludf.DUMMYFUNCTION("""COMPUTED_VALUE"""),"em Hạo Nhiên")</f>
        <v>em Hạo Nhiên</v>
      </c>
      <c r="C897" s="127" t="str">
        <f>IFERROR(__xludf.DUMMYFUNCTION("""COMPUTED_VALUE"""),"16 Quảng Tế")</f>
        <v>16 Quảng Tế</v>
      </c>
      <c r="D897" s="127" t="str">
        <f>IFERROR(__xludf.DUMMYFUNCTION("""COMPUTED_VALUE"""),"mèo")</f>
        <v>mèo</v>
      </c>
      <c r="E897" s="127"/>
    </row>
    <row r="898" ht="15.75" customHeight="1">
      <c r="A898" s="128" t="str">
        <f>IFERROR(__xludf.DUMMYFUNCTION("""COMPUTED_VALUE"""),"0915 801 207")</f>
        <v>0915 801 207</v>
      </c>
      <c r="B898" s="127" t="str">
        <f>IFERROR(__xludf.DUMMYFUNCTION("""COMPUTED_VALUE"""),"Bác Dũng (anh cô)")</f>
        <v>Bác Dũng (anh cô)</v>
      </c>
      <c r="C898" s="127" t="str">
        <f>IFERROR(__xludf.DUMMYFUNCTION("""COMPUTED_VALUE"""),"Bầu vá")</f>
        <v>Bầu vá</v>
      </c>
      <c r="D898" s="127" t="str">
        <f>IFERROR(__xludf.DUMMYFUNCTION("""COMPUTED_VALUE"""),"Chó")</f>
        <v>Chó</v>
      </c>
      <c r="E898" s="127" t="str">
        <f>IFERROR(__xludf.DUMMYFUNCTION("""COMPUTED_VALUE"""),"Nâu")</f>
        <v>Nâu</v>
      </c>
    </row>
    <row r="899" ht="15.75" customHeight="1">
      <c r="A899" s="120" t="str">
        <f>IFERROR(__xludf.DUMMYFUNCTION("""COMPUTED_VALUE"""),"0788 009 831")</f>
        <v>0788 009 831</v>
      </c>
      <c r="B899" s="121" t="str">
        <f>IFERROR(__xludf.DUMMYFUNCTION("""COMPUTED_VALUE"""),"Phương Thảo")</f>
        <v>Phương Thảo</v>
      </c>
      <c r="C899" s="121" t="str">
        <f>IFERROR(__xludf.DUMMYFUNCTION("""COMPUTED_VALUE"""),"phan Bội Châu")</f>
        <v>phan Bội Châu</v>
      </c>
      <c r="D899" s="121" t="str">
        <f>IFERROR(__xludf.DUMMYFUNCTION("""COMPUTED_VALUE"""),"chó")</f>
        <v>chó</v>
      </c>
      <c r="E899" s="121" t="str">
        <f>IFERROR(__xludf.DUMMYFUNCTION("""COMPUTED_VALUE"""),"gấu")</f>
        <v>gấu</v>
      </c>
    </row>
    <row r="900" ht="15.75" customHeight="1">
      <c r="A900" s="130" t="str">
        <f>IFERROR(__xludf.DUMMYFUNCTION("""COMPUTED_VALUE"""),"0774 480 632")</f>
        <v>0774 480 632</v>
      </c>
      <c r="B900" s="131" t="str">
        <f>IFERROR(__xludf.DUMMYFUNCTION("""COMPUTED_VALUE"""),"Em Phương Vy")</f>
        <v>Em Phương Vy</v>
      </c>
      <c r="C900" s="131" t="str">
        <f>IFERROR(__xludf.DUMMYFUNCTION("""COMPUTED_VALUE"""),"11/15 Nguyễn Hữu Dật")</f>
        <v>11/15 Nguyễn Hữu Dật</v>
      </c>
      <c r="D900" s="131" t="str">
        <f>IFERROR(__xludf.DUMMYFUNCTION("""COMPUTED_VALUE"""),"Mèo")</f>
        <v>Mèo</v>
      </c>
      <c r="E900" s="131" t="str">
        <f>IFERROR(__xludf.DUMMYFUNCTION("""COMPUTED_VALUE"""),"Vàng")</f>
        <v>Vàng</v>
      </c>
    </row>
    <row r="901" ht="15.75" customHeight="1">
      <c r="A901" s="120" t="str">
        <f>IFERROR(__xludf.DUMMYFUNCTION("""COMPUTED_VALUE"""),"0935 093 596")</f>
        <v>0935 093 596</v>
      </c>
      <c r="B901" s="121" t="str">
        <f>IFERROR(__xludf.DUMMYFUNCTION("""COMPUTED_VALUE"""),"Chị Hà")</f>
        <v>Chị Hà</v>
      </c>
      <c r="C901" s="121" t="str">
        <f>IFERROR(__xludf.DUMMYFUNCTION("""COMPUTED_VALUE"""),"3/62 Lịch Đợi")</f>
        <v>3/62 Lịch Đợi</v>
      </c>
      <c r="D901" s="121" t="str">
        <f>IFERROR(__xludf.DUMMYFUNCTION("""COMPUTED_VALUE"""),"Chó")</f>
        <v>Chó</v>
      </c>
      <c r="E901" s="119" t="str">
        <f>IFERROR(__xludf.DUMMYFUNCTION("""COMPUTED_VALUE"""),"Ấm")</f>
        <v>Ấm</v>
      </c>
    </row>
    <row r="902" ht="15.75" customHeight="1">
      <c r="A902" s="120" t="str">
        <f>IFERROR(__xludf.DUMMYFUNCTION("""COMPUTED_VALUE"""),"0933 797 737")</f>
        <v>0933 797 737</v>
      </c>
      <c r="B902" s="121" t="str">
        <f>IFERROR(__xludf.DUMMYFUNCTION("""COMPUTED_VALUE"""),"Chú Mười")</f>
        <v>Chú Mười</v>
      </c>
      <c r="C902" s="121" t="str">
        <f>IFERROR(__xludf.DUMMYFUNCTION("""COMPUTED_VALUE"""),"6/17 Phan Trọng Tịnh")</f>
        <v>6/17 Phan Trọng Tịnh</v>
      </c>
      <c r="D902" s="121" t="str">
        <f>IFERROR(__xludf.DUMMYFUNCTION("""COMPUTED_VALUE"""),"Gà")</f>
        <v>Gà</v>
      </c>
      <c r="E902" s="119"/>
    </row>
    <row r="903" ht="15.75" customHeight="1">
      <c r="A903" s="128" t="str">
        <f>IFERROR(__xludf.DUMMYFUNCTION("""COMPUTED_VALUE"""),"0853 922 358")</f>
        <v>0853 922 358</v>
      </c>
      <c r="B903" s="127" t="str">
        <f>IFERROR(__xludf.DUMMYFUNCTION("""COMPUTED_VALUE"""),"Em Lam")</f>
        <v>Em Lam</v>
      </c>
      <c r="C903" s="127" t="str">
        <f>IFERROR(__xludf.DUMMYFUNCTION("""COMPUTED_VALUE"""),"Phú Lộc")</f>
        <v>Phú Lộc</v>
      </c>
      <c r="D903" s="127" t="str">
        <f>IFERROR(__xludf.DUMMYFUNCTION("""COMPUTED_VALUE"""),"Chó")</f>
        <v>Chó</v>
      </c>
      <c r="E903" s="127"/>
    </row>
    <row r="904" ht="15.75" customHeight="1">
      <c r="A904" s="128" t="str">
        <f>IFERROR(__xludf.DUMMYFUNCTION("""COMPUTED_VALUE"""),"0387 144 011")</f>
        <v>0387 144 011</v>
      </c>
      <c r="B904" s="127" t="str">
        <f>IFERROR(__xludf.DUMMYFUNCTION("""COMPUTED_VALUE"""),"Anh Thành ")</f>
        <v>Anh Thành </v>
      </c>
      <c r="C904" s="127" t="str">
        <f>IFERROR(__xludf.DUMMYFUNCTION("""COMPUTED_VALUE"""),"Thủy Bằng")</f>
        <v>Thủy Bằng</v>
      </c>
      <c r="D904" s="127" t="str">
        <f>IFERROR(__xludf.DUMMYFUNCTION("""COMPUTED_VALUE"""),"Chó")</f>
        <v>Chó</v>
      </c>
      <c r="E904" s="119" t="str">
        <f>IFERROR(__xludf.DUMMYFUNCTION("""COMPUTED_VALUE"""),"tết")</f>
        <v>tết</v>
      </c>
    </row>
    <row r="905" ht="15.75" customHeight="1">
      <c r="A905" s="128" t="str">
        <f>IFERROR(__xludf.DUMMYFUNCTION("""COMPUTED_VALUE"""),"0328 754 685")</f>
        <v>0328 754 685</v>
      </c>
      <c r="B905" s="127" t="str">
        <f>IFERROR(__xludf.DUMMYFUNCTION("""COMPUTED_VALUE"""),"Bạn Long Hưng")</f>
        <v>Bạn Long Hưng</v>
      </c>
      <c r="C905" s="127" t="str">
        <f>IFERROR(__xludf.DUMMYFUNCTION("""COMPUTED_VALUE"""),"Kiệt 47 Minh Mạng")</f>
        <v>Kiệt 47 Minh Mạng</v>
      </c>
      <c r="D905" s="127" t="str">
        <f>IFERROR(__xludf.DUMMYFUNCTION("""COMPUTED_VALUE"""),"Chó")</f>
        <v>Chó</v>
      </c>
      <c r="E905" s="127" t="str">
        <f>IFERROR(__xludf.DUMMYFUNCTION("""COMPUTED_VALUE"""),"Bi")</f>
        <v>Bi</v>
      </c>
    </row>
    <row r="906" ht="15.75" customHeight="1">
      <c r="A906" s="128" t="str">
        <f>IFERROR(__xludf.DUMMYFUNCTION("""COMPUTED_VALUE"""),"0985 865 645")</f>
        <v>0985 865 645</v>
      </c>
      <c r="B906" s="127" t="str">
        <f>IFERROR(__xludf.DUMMYFUNCTION("""COMPUTED_VALUE"""),"Chị Huệ")</f>
        <v>Chị Huệ</v>
      </c>
      <c r="C906" s="127" t="str">
        <f>IFERROR(__xludf.DUMMYFUNCTION("""COMPUTED_VALUE"""),"17A Sư Vạn Hạnh")</f>
        <v>17A Sư Vạn Hạnh</v>
      </c>
      <c r="D906" s="127" t="str">
        <f>IFERROR(__xludf.DUMMYFUNCTION("""COMPUTED_VALUE"""),"Chó")</f>
        <v>Chó</v>
      </c>
      <c r="E906" s="127" t="str">
        <f>IFERROR(__xludf.DUMMYFUNCTION("""COMPUTED_VALUE"""),"Chồi")</f>
        <v>Chồi</v>
      </c>
    </row>
    <row r="907" ht="15.75" customHeight="1">
      <c r="A907" s="128" t="str">
        <f>IFERROR(__xludf.DUMMYFUNCTION("""COMPUTED_VALUE"""),"0912 278 677")</f>
        <v>0912 278 677</v>
      </c>
      <c r="B907" s="127" t="str">
        <f>IFERROR(__xludf.DUMMYFUNCTION("""COMPUTED_VALUE"""),"Anh Đạt")</f>
        <v>Anh Đạt</v>
      </c>
      <c r="C907" s="127" t="str">
        <f>IFERROR(__xludf.DUMMYFUNCTION("""COMPUTED_VALUE"""),"165 Trần Phú")</f>
        <v>165 Trần Phú</v>
      </c>
      <c r="D907" s="127" t="str">
        <f>IFERROR(__xludf.DUMMYFUNCTION("""COMPUTED_VALUE"""),"mèo")</f>
        <v>mèo</v>
      </c>
      <c r="E907" s="119"/>
    </row>
    <row r="908" ht="15.75" customHeight="1">
      <c r="A908" s="130" t="str">
        <f>IFERROR(__xludf.DUMMYFUNCTION("""COMPUTED_VALUE"""),"0708 008 789")</f>
        <v>0708 008 789</v>
      </c>
      <c r="B908" s="131" t="str">
        <f>IFERROR(__xludf.DUMMYFUNCTION("""COMPUTED_VALUE"""),"anh Hảo")</f>
        <v>anh Hảo</v>
      </c>
      <c r="C908" s="131"/>
      <c r="D908" s="131" t="str">
        <f>IFERROR(__xludf.DUMMYFUNCTION("""COMPUTED_VALUE"""),"chó")</f>
        <v>chó</v>
      </c>
      <c r="E908" s="131"/>
    </row>
    <row r="909" ht="15.75" customHeight="1">
      <c r="A909" s="130" t="str">
        <f>IFERROR(__xludf.DUMMYFUNCTION("""COMPUTED_VALUE"""),"0367 819 860")</f>
        <v>0367 819 860</v>
      </c>
      <c r="B909" s="131" t="str">
        <f>IFERROR(__xludf.DUMMYFUNCTION("""COMPUTED_VALUE"""),"Em Phương")</f>
        <v>Em Phương</v>
      </c>
      <c r="C909" s="131" t="str">
        <f>IFERROR(__xludf.DUMMYFUNCTION("""COMPUTED_VALUE"""),"95 Thích Tịnh Khiết")</f>
        <v>95 Thích Tịnh Khiết</v>
      </c>
      <c r="D909" s="131" t="str">
        <f>IFERROR(__xludf.DUMMYFUNCTION("""COMPUTED_VALUE"""),"chó")</f>
        <v>chó</v>
      </c>
      <c r="E909" s="131" t="str">
        <f>IFERROR(__xludf.DUMMYFUNCTION("""COMPUTED_VALUE"""),"bu")</f>
        <v>bu</v>
      </c>
    </row>
    <row r="910" ht="15.75" customHeight="1">
      <c r="A910" s="128" t="str">
        <f>IFERROR(__xludf.DUMMYFUNCTION("""COMPUTED_VALUE"""),"0961 013 553")</f>
        <v>0961 013 553</v>
      </c>
      <c r="B910" s="127" t="str">
        <f>IFERROR(__xludf.DUMMYFUNCTION("""COMPUTED_VALUE"""),"Phan lập Trường")</f>
        <v>Phan lập Trường</v>
      </c>
      <c r="C910" s="127" t="str">
        <f>IFERROR(__xludf.DUMMYFUNCTION("""COMPUTED_VALUE"""),"Hương Toàn")</f>
        <v>Hương Toàn</v>
      </c>
      <c r="D910" s="127" t="str">
        <f>IFERROR(__xludf.DUMMYFUNCTION("""COMPUTED_VALUE"""),"Chó")</f>
        <v>Chó</v>
      </c>
      <c r="E910" s="127" t="str">
        <f>IFERROR(__xludf.DUMMYFUNCTION("""COMPUTED_VALUE"""),"Zin")</f>
        <v>Zin</v>
      </c>
    </row>
    <row r="911" ht="15.75" customHeight="1">
      <c r="A911" s="120" t="str">
        <f>IFERROR(__xludf.DUMMYFUNCTION("""COMPUTED_VALUE"""),"0334 736 127")</f>
        <v>0334 736 127</v>
      </c>
      <c r="B911" s="121" t="str">
        <f>IFERROR(__xludf.DUMMYFUNCTION("""COMPUTED_VALUE"""),"Em Minh Ngọc")</f>
        <v>Em Minh Ngọc</v>
      </c>
      <c r="C911" s="121" t="str">
        <f>IFERROR(__xludf.DUMMYFUNCTION("""COMPUTED_VALUE"""),"23 Đặng Huy Trứ")</f>
        <v>23 Đặng Huy Trứ</v>
      </c>
      <c r="D911" s="121" t="str">
        <f>IFERROR(__xludf.DUMMYFUNCTION("""COMPUTED_VALUE"""),"mèo")</f>
        <v>mèo</v>
      </c>
      <c r="E911" s="121" t="str">
        <f>IFERROR(__xludf.DUMMYFUNCTION("""COMPUTED_VALUE"""),"mèo")</f>
        <v>mèo</v>
      </c>
    </row>
    <row r="912" ht="15.75" customHeight="1">
      <c r="A912" s="128" t="str">
        <f>IFERROR(__xludf.DUMMYFUNCTION("""COMPUTED_VALUE"""),"0905 298 613")</f>
        <v>0905 298 613</v>
      </c>
      <c r="B912" s="127" t="str">
        <f>IFERROR(__xludf.DUMMYFUNCTION("""COMPUTED_VALUE"""),"Chị Kiều")</f>
        <v>Chị Kiều</v>
      </c>
      <c r="C912" s="127" t="str">
        <f>IFERROR(__xludf.DUMMYFUNCTION("""COMPUTED_VALUE"""),"68 Phan Chu Trinh")</f>
        <v>68 Phan Chu Trinh</v>
      </c>
      <c r="D912" s="127" t="str">
        <f>IFERROR(__xludf.DUMMYFUNCTION("""COMPUTED_VALUE"""),"chó")</f>
        <v>chó</v>
      </c>
      <c r="E912" s="127"/>
    </row>
    <row r="913" ht="15.75" customHeight="1">
      <c r="A913" s="128" t="str">
        <f>IFERROR(__xludf.DUMMYFUNCTION("""COMPUTED_VALUE"""),"0986 448 429")</f>
        <v>0986 448 429</v>
      </c>
      <c r="B913" s="127" t="str">
        <f>IFERROR(__xludf.DUMMYFUNCTION("""COMPUTED_VALUE"""),"Anh Bi")</f>
        <v>Anh Bi</v>
      </c>
      <c r="C913" s="127" t="str">
        <f>IFERROR(__xludf.DUMMYFUNCTION("""COMPUTED_VALUE"""),"70 Phạm Thị Liên")</f>
        <v>70 Phạm Thị Liên</v>
      </c>
      <c r="D913" s="127" t="str">
        <f>IFERROR(__xludf.DUMMYFUNCTION("""COMPUTED_VALUE"""),"chó")</f>
        <v>chó</v>
      </c>
      <c r="E913" s="127" t="str">
        <f>IFERROR(__xludf.DUMMYFUNCTION("""COMPUTED_VALUE"""),"Way")</f>
        <v>Way</v>
      </c>
    </row>
    <row r="914" ht="15.75" customHeight="1">
      <c r="A914" s="120" t="str">
        <f>IFERROR(__xludf.DUMMYFUNCTION("""COMPUTED_VALUE"""),"0977 687 654")</f>
        <v>0977 687 654</v>
      </c>
      <c r="B914" s="121" t="str">
        <f>IFERROR(__xludf.DUMMYFUNCTION("""COMPUTED_VALUE"""),"Chị Thủy")</f>
        <v>Chị Thủy</v>
      </c>
      <c r="C914" s="121" t="str">
        <f>IFERROR(__xludf.DUMMYFUNCTION("""COMPUTED_VALUE"""),"Chi Lăng")</f>
        <v>Chi Lăng</v>
      </c>
      <c r="D914" s="121" t="str">
        <f>IFERROR(__xludf.DUMMYFUNCTION("""COMPUTED_VALUE"""),"chó")</f>
        <v>chó</v>
      </c>
      <c r="E914" s="119" t="str">
        <f>IFERROR(__xludf.DUMMYFUNCTION("""COMPUTED_VALUE"""),"Zun")</f>
        <v>Zun</v>
      </c>
    </row>
    <row r="915" ht="15.75" customHeight="1">
      <c r="A915" s="120" t="str">
        <f>IFERROR(__xludf.DUMMYFUNCTION("""COMPUTED_VALUE"""),"0905 819 651")</f>
        <v>0905 819 651</v>
      </c>
      <c r="B915" s="121" t="str">
        <f>IFERROR(__xludf.DUMMYFUNCTION("""COMPUTED_VALUE"""),"Em Sơn")</f>
        <v>Em Sơn</v>
      </c>
      <c r="C915" s="121" t="str">
        <f>IFERROR(__xludf.DUMMYFUNCTION("""COMPUTED_VALUE"""),"54 Phạm Thị Liên")</f>
        <v>54 Phạm Thị Liên</v>
      </c>
      <c r="D915" s="121" t="str">
        <f>IFERROR(__xludf.DUMMYFUNCTION("""COMPUTED_VALUE"""),"chó")</f>
        <v>chó</v>
      </c>
      <c r="E915" s="121" t="str">
        <f>IFERROR(__xludf.DUMMYFUNCTION("""COMPUTED_VALUE"""),"Kelvin")</f>
        <v>Kelvin</v>
      </c>
    </row>
    <row r="916" ht="15.75" customHeight="1">
      <c r="A916" s="120" t="str">
        <f>IFERROR(__xludf.DUMMYFUNCTION("""COMPUTED_VALUE"""),"0917 337 793")</f>
        <v>0917 337 793</v>
      </c>
      <c r="B916" s="121" t="str">
        <f>IFERROR(__xludf.DUMMYFUNCTION("""COMPUTED_VALUE"""),"Em uyên")</f>
        <v>Em uyên</v>
      </c>
      <c r="C916" s="121" t="str">
        <f>IFERROR(__xludf.DUMMYFUNCTION("""COMPUTED_VALUE"""),"104 Phạm Thị Liên ")</f>
        <v>104 Phạm Thị Liên </v>
      </c>
      <c r="D916" s="121" t="str">
        <f>IFERROR(__xludf.DUMMYFUNCTION("""COMPUTED_VALUE"""),"chó")</f>
        <v>chó</v>
      </c>
      <c r="E916" s="121" t="str">
        <f>IFERROR(__xludf.DUMMYFUNCTION("""COMPUTED_VALUE"""),"Lucky")</f>
        <v>Lucky</v>
      </c>
    </row>
    <row r="917" ht="15.75" customHeight="1">
      <c r="A917" s="128" t="str">
        <f>IFERROR(__xludf.DUMMYFUNCTION("""COMPUTED_VALUE"""),"0934 712 939")</f>
        <v>0934 712 939</v>
      </c>
      <c r="B917" s="127" t="str">
        <f>IFERROR(__xludf.DUMMYFUNCTION("""COMPUTED_VALUE"""),"Anh Chiến")</f>
        <v>Anh Chiến</v>
      </c>
      <c r="C917" s="127" t="str">
        <f>IFERROR(__xludf.DUMMYFUNCTION("""COMPUTED_VALUE"""),"39/30 Phạm Thị Liên")</f>
        <v>39/30 Phạm Thị Liên</v>
      </c>
      <c r="D917" s="127" t="str">
        <f>IFERROR(__xludf.DUMMYFUNCTION("""COMPUTED_VALUE"""),"Chó")</f>
        <v>Chó</v>
      </c>
      <c r="E917" s="127" t="str">
        <f>IFERROR(__xludf.DUMMYFUNCTION("""COMPUTED_VALUE"""),"Đen")</f>
        <v>Đen</v>
      </c>
    </row>
    <row r="918" ht="15.75" customHeight="1">
      <c r="A918" s="128" t="str">
        <f>IFERROR(__xludf.DUMMYFUNCTION("""COMPUTED_VALUE"""),"0905 635 840")</f>
        <v>0905 635 840</v>
      </c>
      <c r="B918" s="127" t="str">
        <f>IFERROR(__xludf.DUMMYFUNCTION("""COMPUTED_VALUE"""),"Dì Tám")</f>
        <v>Dì Tám</v>
      </c>
      <c r="C918" s="127" t="str">
        <f>IFERROR(__xludf.DUMMYFUNCTION("""COMPUTED_VALUE"""),"16k77 Trần Thái Tông")</f>
        <v>16k77 Trần Thái Tông</v>
      </c>
      <c r="D918" s="127" t="str">
        <f>IFERROR(__xludf.DUMMYFUNCTION("""COMPUTED_VALUE"""),"chó")</f>
        <v>chó</v>
      </c>
      <c r="E918" s="127"/>
    </row>
    <row r="919" ht="15.75" customHeight="1">
      <c r="A919" s="120" t="str">
        <f>IFERROR(__xludf.DUMMYFUNCTION("""COMPUTED_VALUE"""),"0906 522 412")</f>
        <v>0906 522 412</v>
      </c>
      <c r="B919" s="121" t="str">
        <f>IFERROR(__xludf.DUMMYFUNCTION("""COMPUTED_VALUE"""),"Dì Hà")</f>
        <v>Dì Hà</v>
      </c>
      <c r="C919" s="121" t="str">
        <f>IFERROR(__xludf.DUMMYFUNCTION("""COMPUTED_VALUE"""),"52/35 Điện Biên Phủ")</f>
        <v>52/35 Điện Biên Phủ</v>
      </c>
      <c r="D919" s="121" t="str">
        <f>IFERROR(__xludf.DUMMYFUNCTION("""COMPUTED_VALUE"""),"chó")</f>
        <v>chó</v>
      </c>
      <c r="E919" s="121" t="str">
        <f>IFERROR(__xludf.DUMMYFUNCTION("""COMPUTED_VALUE"""),"Lucky")</f>
        <v>Lucky</v>
      </c>
    </row>
    <row r="920" ht="15.75" customHeight="1">
      <c r="A920" s="128" t="str">
        <f>IFERROR(__xludf.DUMMYFUNCTION("""COMPUTED_VALUE"""),"0792 249 233")</f>
        <v>0792 249 233</v>
      </c>
      <c r="B920" s="121" t="str">
        <f>IFERROR(__xludf.DUMMYFUNCTION("""COMPUTED_VALUE"""),"Chị Ngân")</f>
        <v>Chị Ngân</v>
      </c>
      <c r="C920" s="121" t="str">
        <f>IFERROR(__xludf.DUMMYFUNCTION("""COMPUTED_VALUE"""),"1 Ngô Gia Tự")</f>
        <v>1 Ngô Gia Tự</v>
      </c>
      <c r="D920" s="121" t="str">
        <f>IFERROR(__xludf.DUMMYFUNCTION("""COMPUTED_VALUE"""),"chó")</f>
        <v>chó</v>
      </c>
      <c r="E920" s="121"/>
    </row>
    <row r="921" ht="15.75" customHeight="1">
      <c r="A921" s="120" t="str">
        <f>IFERROR(__xludf.DUMMYFUNCTION("""COMPUTED_VALUE"""),"0917 316 560")</f>
        <v>0917 316 560</v>
      </c>
      <c r="B921" s="134" t="str">
        <f>IFERROR(__xludf.DUMMYFUNCTION("""COMPUTED_VALUE"""),"Chị Đông Anh")</f>
        <v>Chị Đông Anh</v>
      </c>
      <c r="C921" s="121" t="str">
        <f>IFERROR(__xludf.DUMMYFUNCTION("""COMPUTED_VALUE"""),"10/8/8 Hồ Đắc Di")</f>
        <v>10/8/8 Hồ Đắc Di</v>
      </c>
      <c r="D921" s="121" t="str">
        <f>IFERROR(__xludf.DUMMYFUNCTION("""COMPUTED_VALUE"""),"chó")</f>
        <v>chó</v>
      </c>
      <c r="E921" s="121" t="str">
        <f>IFERROR(__xludf.DUMMYFUNCTION("""COMPUTED_VALUE"""),"sữa")</f>
        <v>sữa</v>
      </c>
    </row>
    <row r="922" ht="15.75" customHeight="1">
      <c r="A922" s="120" t="str">
        <f>IFERROR(__xludf.DUMMYFUNCTION("""COMPUTED_VALUE"""),"0914 173 606")</f>
        <v>0914 173 606</v>
      </c>
      <c r="B922" s="121" t="str">
        <f>IFERROR(__xludf.DUMMYFUNCTION("""COMPUTED_VALUE"""),"Chú Dũng")</f>
        <v>Chú Dũng</v>
      </c>
      <c r="C922" s="121" t="str">
        <f>IFERROR(__xludf.DUMMYFUNCTION("""COMPUTED_VALUE"""),"49 Nguyễn Hoàng")</f>
        <v>49 Nguyễn Hoàng</v>
      </c>
      <c r="D922" s="121" t="str">
        <f>IFERROR(__xludf.DUMMYFUNCTION("""COMPUTED_VALUE"""),"chó")</f>
        <v>chó</v>
      </c>
      <c r="E922" s="121" t="str">
        <f>IFERROR(__xludf.DUMMYFUNCTION("""COMPUTED_VALUE"""),"Vá")</f>
        <v>Vá</v>
      </c>
    </row>
    <row r="923" ht="15.75" customHeight="1">
      <c r="A923" s="128" t="str">
        <f>IFERROR(__xludf.DUMMYFUNCTION("""COMPUTED_VALUE"""),"0903 603 648")</f>
        <v>0903 603 648</v>
      </c>
      <c r="B923" s="127" t="str">
        <f>IFERROR(__xludf.DUMMYFUNCTION("""COMPUTED_VALUE"""),"Chị Thúy")</f>
        <v>Chị Thúy</v>
      </c>
      <c r="C923" s="127" t="str">
        <f>IFERROR(__xludf.DUMMYFUNCTION("""COMPUTED_VALUE"""),"k289 Bùi Thị Xuân")</f>
        <v>k289 Bùi Thị Xuân</v>
      </c>
      <c r="D923" s="127" t="str">
        <f>IFERROR(__xludf.DUMMYFUNCTION("""COMPUTED_VALUE"""),"chó")</f>
        <v>chó</v>
      </c>
      <c r="E923" s="119" t="str">
        <f>IFERROR(__xludf.DUMMYFUNCTION("""COMPUTED_VALUE"""),"Kiwi")</f>
        <v>Kiwi</v>
      </c>
    </row>
    <row r="924" ht="15.75" customHeight="1">
      <c r="A924" s="128" t="str">
        <f>IFERROR(__xludf.DUMMYFUNCTION("""COMPUTED_VALUE"""),"0913 425 575")</f>
        <v>0913 425 575</v>
      </c>
      <c r="B924" s="127" t="str">
        <f>IFERROR(__xludf.DUMMYFUNCTION("""COMPUTED_VALUE"""),"Chú Thành")</f>
        <v>Chú Thành</v>
      </c>
      <c r="C924" s="127" t="str">
        <f>IFERROR(__xludf.DUMMYFUNCTION("""COMPUTED_VALUE"""),"11/9 Phạm Thị Liên")</f>
        <v>11/9 Phạm Thị Liên</v>
      </c>
      <c r="D924" s="127" t="str">
        <f>IFERROR(__xludf.DUMMYFUNCTION("""COMPUTED_VALUE"""),"chó")</f>
        <v>chó</v>
      </c>
      <c r="E924" s="119" t="str">
        <f>IFERROR(__xludf.DUMMYFUNCTION("""COMPUTED_VALUE"""),"Đen")</f>
        <v>Đen</v>
      </c>
    </row>
    <row r="925" ht="15.75" customHeight="1">
      <c r="A925" s="136" t="str">
        <f>IFERROR(__xludf.DUMMYFUNCTION("""COMPUTED_VALUE"""),"0905 785 420")</f>
        <v>0905 785 420</v>
      </c>
      <c r="B925" s="137" t="str">
        <f>IFERROR(__xludf.DUMMYFUNCTION("""COMPUTED_VALUE"""),"Anh Đạt")</f>
        <v>Anh Đạt</v>
      </c>
      <c r="C925" s="137" t="str">
        <f>IFERROR(__xludf.DUMMYFUNCTION("""COMPUTED_VALUE"""),"Nguyễn Văn Đào")</f>
        <v>Nguyễn Văn Đào</v>
      </c>
      <c r="D925" s="137" t="str">
        <f>IFERROR(__xludf.DUMMYFUNCTION("""COMPUTED_VALUE"""),"chó")</f>
        <v>chó</v>
      </c>
      <c r="E925" s="137" t="str">
        <f>IFERROR(__xludf.DUMMYFUNCTION("""COMPUTED_VALUE"""),"bill")</f>
        <v>bill</v>
      </c>
    </row>
    <row r="926" ht="15.75" customHeight="1">
      <c r="A926" s="120" t="str">
        <f>IFERROR(__xludf.DUMMYFUNCTION("""COMPUTED_VALUE"""),"0368 122 545")</f>
        <v>0368 122 545</v>
      </c>
      <c r="B926" s="121" t="str">
        <f>IFERROR(__xludf.DUMMYFUNCTION("""COMPUTED_VALUE"""),"Dì Mỹ An")</f>
        <v>Dì Mỹ An</v>
      </c>
      <c r="C926" s="121" t="str">
        <f>IFERROR(__xludf.DUMMYFUNCTION("""COMPUTED_VALUE"""),"11/44a Hoàng Thị Loan")</f>
        <v>11/44a Hoàng Thị Loan</v>
      </c>
      <c r="D926" s="121" t="str">
        <f>IFERROR(__xludf.DUMMYFUNCTION("""COMPUTED_VALUE"""),"chó")</f>
        <v>chó</v>
      </c>
      <c r="E926" s="121" t="str">
        <f>IFERROR(__xludf.DUMMYFUNCTION("""COMPUTED_VALUE"""),"bông")</f>
        <v>bông</v>
      </c>
    </row>
    <row r="927" ht="15.75" customHeight="1">
      <c r="A927" s="128" t="str">
        <f>IFERROR(__xludf.DUMMYFUNCTION("""COMPUTED_VALUE"""),"0965 418 142")</f>
        <v>0965 418 142</v>
      </c>
      <c r="B927" s="127" t="str">
        <f>IFERROR(__xludf.DUMMYFUNCTION("""COMPUTED_VALUE"""),"Em Mai Anh")</f>
        <v>Em Mai Anh</v>
      </c>
      <c r="C927" s="127" t="str">
        <f>IFERROR(__xludf.DUMMYFUNCTION("""COMPUTED_VALUE"""),"k69 Lê Ngô Cát")</f>
        <v>k69 Lê Ngô Cát</v>
      </c>
      <c r="D927" s="127" t="str">
        <f>IFERROR(__xludf.DUMMYFUNCTION("""COMPUTED_VALUE"""),"mèo")</f>
        <v>mèo</v>
      </c>
      <c r="E927" s="127" t="str">
        <f>IFERROR(__xludf.DUMMYFUNCTION("""COMPUTED_VALUE"""),"thóc")</f>
        <v>thóc</v>
      </c>
    </row>
    <row r="928" ht="15.75" customHeight="1">
      <c r="A928" s="120" t="str">
        <f>IFERROR(__xludf.DUMMYFUNCTION("""COMPUTED_VALUE"""),"0826 287 790")</f>
        <v>0826 287 790</v>
      </c>
      <c r="B928" s="121" t="str">
        <f>IFERROR(__xludf.DUMMYFUNCTION("""COMPUTED_VALUE"""),"Chị Huyền")</f>
        <v>Chị Huyền</v>
      </c>
      <c r="C928" s="121" t="str">
        <f>IFERROR(__xludf.DUMMYFUNCTION("""COMPUTED_VALUE"""),"ngõ 1 k60 Tam Thai")</f>
        <v>ngõ 1 k60 Tam Thai</v>
      </c>
      <c r="D928" s="121" t="str">
        <f>IFERROR(__xludf.DUMMYFUNCTION("""COMPUTED_VALUE"""),"chó")</f>
        <v>chó</v>
      </c>
      <c r="E928" s="121"/>
    </row>
    <row r="929" ht="15.75" customHeight="1">
      <c r="A929" s="120"/>
      <c r="B929" s="121" t="str">
        <f>IFERROR(__xludf.DUMMYFUNCTION("""COMPUTED_VALUE"""),"Dì Oanh")</f>
        <v>Dì Oanh</v>
      </c>
      <c r="C929" s="121" t="str">
        <f>IFERROR(__xludf.DUMMYFUNCTION("""COMPUTED_VALUE"""),"2/121 Trần Thái Tông")</f>
        <v>2/121 Trần Thái Tông</v>
      </c>
      <c r="D929" s="121" t="str">
        <f>IFERROR(__xludf.DUMMYFUNCTION("""COMPUTED_VALUE"""),"chó")</f>
        <v>chó</v>
      </c>
      <c r="E929" s="121" t="str">
        <f>IFERROR(__xludf.DUMMYFUNCTION("""COMPUTED_VALUE"""),"Na")</f>
        <v>Na</v>
      </c>
    </row>
    <row r="930" ht="15.75" customHeight="1">
      <c r="A930" s="120" t="str">
        <f>IFERROR(__xludf.DUMMYFUNCTION("""COMPUTED_VALUE"""),"0978 496 222")</f>
        <v>0978 496 222</v>
      </c>
      <c r="B930" s="121" t="str">
        <f>IFERROR(__xludf.DUMMYFUNCTION("""COMPUTED_VALUE"""),"Đăng Sáu")</f>
        <v>Đăng Sáu</v>
      </c>
      <c r="C930" s="121" t="str">
        <f>IFERROR(__xludf.DUMMYFUNCTION("""COMPUTED_VALUE"""),"122/131 Trần Phú")</f>
        <v>122/131 Trần Phú</v>
      </c>
      <c r="D930" s="121" t="str">
        <f>IFERROR(__xludf.DUMMYFUNCTION("""COMPUTED_VALUE"""),"chó")</f>
        <v>chó</v>
      </c>
      <c r="E930" s="119" t="str">
        <f>IFERROR(__xludf.DUMMYFUNCTION("""COMPUTED_VALUE"""),"Mun")</f>
        <v>Mun</v>
      </c>
    </row>
    <row r="931" ht="15.75" customHeight="1">
      <c r="A931" s="128" t="str">
        <f>IFERROR(__xludf.DUMMYFUNCTION("""COMPUTED_VALUE"""),"0905 903 824")</f>
        <v>0905 903 824</v>
      </c>
      <c r="B931" s="127" t="str">
        <f>IFERROR(__xludf.DUMMYFUNCTION("""COMPUTED_VALUE"""),"Anh Hùng")</f>
        <v>Anh Hùng</v>
      </c>
      <c r="C931" s="127"/>
      <c r="D931" s="127" t="str">
        <f>IFERROR(__xludf.DUMMYFUNCTION("""COMPUTED_VALUE"""),"Chó")</f>
        <v>Chó</v>
      </c>
      <c r="E931" s="127" t="str">
        <f>IFERROR(__xludf.DUMMYFUNCTION("""COMPUTED_VALUE"""),"Mun")</f>
        <v>Mun</v>
      </c>
    </row>
    <row r="932" ht="15.75" customHeight="1">
      <c r="A932" s="128" t="str">
        <f>IFERROR(__xludf.DUMMYFUNCTION("""COMPUTED_VALUE"""),"0987 761 820")</f>
        <v>0987 761 820</v>
      </c>
      <c r="B932" s="127" t="str">
        <f>IFERROR(__xludf.DUMMYFUNCTION("""COMPUTED_VALUE"""),"Dì Bé")</f>
        <v>Dì Bé</v>
      </c>
      <c r="C932" s="127" t="str">
        <f>IFERROR(__xludf.DUMMYFUNCTION("""COMPUTED_VALUE"""),"Kiệt 257 Bùi Thị Xuân")</f>
        <v>Kiệt 257 Bùi Thị Xuân</v>
      </c>
      <c r="D932" s="127" t="str">
        <f>IFERROR(__xludf.DUMMYFUNCTION("""COMPUTED_VALUE"""),"Mèo")</f>
        <v>Mèo</v>
      </c>
      <c r="E932" s="119" t="str">
        <f>IFERROR(__xludf.DUMMYFUNCTION("""COMPUTED_VALUE"""),"Xép")</f>
        <v>Xép</v>
      </c>
    </row>
    <row r="933" ht="15.75" customHeight="1">
      <c r="A933" s="120" t="str">
        <f>IFERROR(__xludf.DUMMYFUNCTION("""COMPUTED_VALUE"""),"0905 917 562")</f>
        <v>0905 917 562</v>
      </c>
      <c r="B933" s="121" t="str">
        <f>IFERROR(__xludf.DUMMYFUNCTION("""COMPUTED_VALUE"""),"Chị Oanh")</f>
        <v>Chị Oanh</v>
      </c>
      <c r="C933" s="121" t="str">
        <f>IFERROR(__xludf.DUMMYFUNCTION("""COMPUTED_VALUE"""),"13/1 Kiệt 3 Lịch Đợi")</f>
        <v>13/1 Kiệt 3 Lịch Đợi</v>
      </c>
      <c r="D933" s="121" t="str">
        <f>IFERROR(__xludf.DUMMYFUNCTION("""COMPUTED_VALUE"""),"CHó")</f>
        <v>CHó</v>
      </c>
      <c r="E933" s="121" t="str">
        <f>IFERROR(__xludf.DUMMYFUNCTION("""COMPUTED_VALUE"""),"nâu")</f>
        <v>nâu</v>
      </c>
    </row>
    <row r="934" ht="15.75" customHeight="1">
      <c r="A934" s="128" t="str">
        <f>IFERROR(__xludf.DUMMYFUNCTION("""COMPUTED_VALUE"""),"0915 104 433")</f>
        <v>0915 104 433</v>
      </c>
      <c r="B934" s="127" t="str">
        <f>IFERROR(__xludf.DUMMYFUNCTION("""COMPUTED_VALUE"""),"Anh Quang")</f>
        <v>Anh Quang</v>
      </c>
      <c r="C934" s="127" t="str">
        <f>IFERROR(__xludf.DUMMYFUNCTION("""COMPUTED_VALUE"""),"8/110 Lý Thái Tổ")</f>
        <v>8/110 Lý Thái Tổ</v>
      </c>
      <c r="D934" s="127" t="str">
        <f>IFERROR(__xludf.DUMMYFUNCTION("""COMPUTED_VALUE"""),"chó")</f>
        <v>chó</v>
      </c>
      <c r="E934" s="127" t="str">
        <f>IFERROR(__xludf.DUMMYFUNCTION("""COMPUTED_VALUE"""),"Đen")</f>
        <v>Đen</v>
      </c>
    </row>
    <row r="935" ht="15.75" customHeight="1">
      <c r="A935" s="128" t="str">
        <f>IFERROR(__xludf.DUMMYFUNCTION("""COMPUTED_VALUE"""),"0396 739 595")</f>
        <v>0396 739 595</v>
      </c>
      <c r="B935" s="127" t="str">
        <f>IFERROR(__xludf.DUMMYFUNCTION("""COMPUTED_VALUE"""),"Chị Như")</f>
        <v>Chị Như</v>
      </c>
      <c r="C935" s="127" t="str">
        <f>IFERROR(__xludf.DUMMYFUNCTION("""COMPUTED_VALUE"""),"Vinh Thanh")</f>
        <v>Vinh Thanh</v>
      </c>
      <c r="D935" s="127" t="str">
        <f>IFERROR(__xludf.DUMMYFUNCTION("""COMPUTED_VALUE"""),"chó")</f>
        <v>chó</v>
      </c>
      <c r="E935" s="127" t="str">
        <f>IFERROR(__xludf.DUMMYFUNCTION("""COMPUTED_VALUE"""),"gấu")</f>
        <v>gấu</v>
      </c>
    </row>
    <row r="936" ht="15.75" customHeight="1">
      <c r="A936" s="128" t="str">
        <f>IFERROR(__xludf.DUMMYFUNCTION("""COMPUTED_VALUE"""),"0366 199 158 ")</f>
        <v>0366 199 158 </v>
      </c>
      <c r="B936" s="127" t="str">
        <f>IFERROR(__xludf.DUMMYFUNCTION("""COMPUTED_VALUE"""),"Em Hồng Nhi")</f>
        <v>Em Hồng Nhi</v>
      </c>
      <c r="C936" s="127" t="str">
        <f>IFERROR(__xludf.DUMMYFUNCTION("""COMPUTED_VALUE"""),"113 Điện Biên Phủ")</f>
        <v>113 Điện Biên Phủ</v>
      </c>
      <c r="D936" s="127" t="str">
        <f>IFERROR(__xludf.DUMMYFUNCTION("""COMPUTED_VALUE"""),"mèo")</f>
        <v>mèo</v>
      </c>
      <c r="E936" s="132" t="str">
        <f>IFERROR(__xludf.DUMMYFUNCTION("""COMPUTED_VALUE"""),"Miko")</f>
        <v>Miko</v>
      </c>
    </row>
    <row r="937" ht="15.75" customHeight="1">
      <c r="A937" s="128" t="str">
        <f>IFERROR(__xludf.DUMMYFUNCTION("""COMPUTED_VALUE"""),"0346 680 897")</f>
        <v>0346 680 897</v>
      </c>
      <c r="B937" s="127" t="str">
        <f>IFERROR(__xludf.DUMMYFUNCTION("""COMPUTED_VALUE"""),"Em Vũ")</f>
        <v>Em Vũ</v>
      </c>
      <c r="C937" s="127" t="str">
        <f>IFERROR(__xludf.DUMMYFUNCTION("""COMPUTED_VALUE"""),"KQH Sư Vạn Hạnh")</f>
        <v>KQH Sư Vạn Hạnh</v>
      </c>
      <c r="D937" s="127" t="str">
        <f>IFERROR(__xludf.DUMMYFUNCTION("""COMPUTED_VALUE"""),"chó")</f>
        <v>chó</v>
      </c>
      <c r="E937" s="127" t="str">
        <f>IFERROR(__xludf.DUMMYFUNCTION("""COMPUTED_VALUE"""),"Đen")</f>
        <v>Đen</v>
      </c>
    </row>
    <row r="938" ht="15.75" customHeight="1">
      <c r="A938" s="120" t="str">
        <f>IFERROR(__xludf.DUMMYFUNCTION("""COMPUTED_VALUE"""),"0982 897 604")</f>
        <v>0982 897 604</v>
      </c>
      <c r="B938" s="121" t="str">
        <f>IFERROR(__xludf.DUMMYFUNCTION("""COMPUTED_VALUE"""),"Chị Vân")</f>
        <v>Chị Vân</v>
      </c>
      <c r="C938" s="121" t="str">
        <f>IFERROR(__xludf.DUMMYFUNCTION("""COMPUTED_VALUE"""),"Kim Long")</f>
        <v>Kim Long</v>
      </c>
      <c r="D938" s="121" t="str">
        <f>IFERROR(__xludf.DUMMYFUNCTION("""COMPUTED_VALUE"""),"chó")</f>
        <v>chó</v>
      </c>
      <c r="E938" s="121" t="str">
        <f>IFERROR(__xludf.DUMMYFUNCTION("""COMPUTED_VALUE"""),"Gấu")</f>
        <v>Gấu</v>
      </c>
    </row>
    <row r="939" ht="15.75" customHeight="1">
      <c r="A939" s="120" t="str">
        <f>IFERROR(__xludf.DUMMYFUNCTION("""COMPUTED_VALUE"""),"0377 789 962")</f>
        <v>0377 789 962</v>
      </c>
      <c r="B939" s="121" t="str">
        <f>IFERROR(__xludf.DUMMYFUNCTION("""COMPUTED_VALUE"""),"Thanh Tùng")</f>
        <v>Thanh Tùng</v>
      </c>
      <c r="C939" s="121" t="str">
        <f>IFERROR(__xludf.DUMMYFUNCTION("""COMPUTED_VALUE"""),"Tản Đà, Hương Sơ, Huế")</f>
        <v>Tản Đà, Hương Sơ, Huế</v>
      </c>
      <c r="D939" s="121" t="str">
        <f>IFERROR(__xludf.DUMMYFUNCTION("""COMPUTED_VALUE"""),"mèo")</f>
        <v>mèo</v>
      </c>
      <c r="E939" s="121" t="str">
        <f>IFERROR(__xludf.DUMMYFUNCTION("""COMPUTED_VALUE"""),"Kem")</f>
        <v>Kem</v>
      </c>
    </row>
    <row r="940" ht="15.75" customHeight="1">
      <c r="A940" s="128" t="str">
        <f>IFERROR(__xludf.DUMMYFUNCTION("""COMPUTED_VALUE"""),"0332 881 442")</f>
        <v>0332 881 442</v>
      </c>
      <c r="B940" s="127" t="str">
        <f>IFERROR(__xludf.DUMMYFUNCTION("""COMPUTED_VALUE"""),"Em Dương")</f>
        <v>Em Dương</v>
      </c>
      <c r="C940" s="127" t="str">
        <f>IFERROR(__xludf.DUMMYFUNCTION("""COMPUTED_VALUE"""),"43 Trần Nguyên Hãn")</f>
        <v>43 Trần Nguyên Hãn</v>
      </c>
      <c r="D940" s="127" t="str">
        <f>IFERROR(__xludf.DUMMYFUNCTION("""COMPUTED_VALUE"""),"mèo")</f>
        <v>mèo</v>
      </c>
      <c r="E940" s="127" t="str">
        <f>IFERROR(__xludf.DUMMYFUNCTION("""COMPUTED_VALUE"""),"Ú")</f>
        <v>Ú</v>
      </c>
    </row>
    <row r="941" ht="15.75" customHeight="1">
      <c r="A941" s="120" t="str">
        <f>IFERROR(__xludf.DUMMYFUNCTION("""COMPUTED_VALUE"""),"0374 029 872")</f>
        <v>0374 029 872</v>
      </c>
      <c r="B941" s="121" t="str">
        <f>IFERROR(__xludf.DUMMYFUNCTION("""COMPUTED_VALUE"""),"Cô Toàn")</f>
        <v>Cô Toàn</v>
      </c>
      <c r="C941" s="121" t="str">
        <f>IFERROR(__xludf.DUMMYFUNCTION("""COMPUTED_VALUE"""),"9/7 Nguyễn Vịnh, TT Sịa")</f>
        <v>9/7 Nguyễn Vịnh, TT Sịa</v>
      </c>
      <c r="D941" s="121" t="str">
        <f>IFERROR(__xludf.DUMMYFUNCTION("""COMPUTED_VALUE"""),"chó")</f>
        <v>chó</v>
      </c>
      <c r="E941" s="121" t="str">
        <f>IFERROR(__xludf.DUMMYFUNCTION("""COMPUTED_VALUE"""),"Trắng")</f>
        <v>Trắng</v>
      </c>
    </row>
    <row r="942" ht="15.75" customHeight="1">
      <c r="A942" s="128" t="str">
        <f>IFERROR(__xludf.DUMMYFUNCTION("""COMPUTED_VALUE"""),"0382 800 733")</f>
        <v>0382 800 733</v>
      </c>
      <c r="B942" s="127" t="str">
        <f>IFERROR(__xludf.DUMMYFUNCTION("""COMPUTED_VALUE"""),"Em Quỳnh")</f>
        <v>Em Quỳnh</v>
      </c>
      <c r="C942" s="127" t="str">
        <f>IFERROR(__xludf.DUMMYFUNCTION("""COMPUTED_VALUE"""),"12/216 Lý Nam Đế")</f>
        <v>12/216 Lý Nam Đế</v>
      </c>
      <c r="D942" s="127" t="str">
        <f>IFERROR(__xludf.DUMMYFUNCTION("""COMPUTED_VALUE"""),"chó")</f>
        <v>chó</v>
      </c>
      <c r="E942" s="127" t="str">
        <f>IFERROR(__xludf.DUMMYFUNCTION("""COMPUTED_VALUE"""),"tôm")</f>
        <v>tôm</v>
      </c>
    </row>
    <row r="943" ht="15.75" customHeight="1">
      <c r="A943" s="128" t="str">
        <f>IFERROR(__xludf.DUMMYFUNCTION("""COMPUTED_VALUE"""),"0905 967 456")</f>
        <v>0905 967 456</v>
      </c>
      <c r="B943" s="127" t="str">
        <f>IFERROR(__xludf.DUMMYFUNCTION("""COMPUTED_VALUE"""),"chị hạnh")</f>
        <v>chị hạnh</v>
      </c>
      <c r="C943" s="127" t="str">
        <f>IFERROR(__xludf.DUMMYFUNCTION("""COMPUTED_VALUE"""),"10 Nguyễn Phúc Tần")</f>
        <v>10 Nguyễn Phúc Tần</v>
      </c>
      <c r="D943" s="127" t="str">
        <f>IFERROR(__xludf.DUMMYFUNCTION("""COMPUTED_VALUE"""),"Chó")</f>
        <v>Chó</v>
      </c>
      <c r="E943" s="127" t="str">
        <f>IFERROR(__xludf.DUMMYFUNCTION("""COMPUTED_VALUE"""),"Cà phê")</f>
        <v>Cà phê</v>
      </c>
    </row>
    <row r="944" ht="15.75" customHeight="1">
      <c r="A944" s="120" t="str">
        <f>IFERROR(__xludf.DUMMYFUNCTION("""COMPUTED_VALUE"""),"0855 519 369")</f>
        <v>0855 519 369</v>
      </c>
      <c r="B944" s="121" t="str">
        <f>IFERROR(__xludf.DUMMYFUNCTION("""COMPUTED_VALUE"""),"Em Trâm")</f>
        <v>Em Trâm</v>
      </c>
      <c r="C944" s="121" t="str">
        <f>IFERROR(__xludf.DUMMYFUNCTION("""COMPUTED_VALUE"""),"Nam Giao")</f>
        <v>Nam Giao</v>
      </c>
      <c r="D944" s="121" t="str">
        <f>IFERROR(__xludf.DUMMYFUNCTION("""COMPUTED_VALUE"""),"Chó")</f>
        <v>Chó</v>
      </c>
      <c r="E944" s="119" t="str">
        <f>IFERROR(__xludf.DUMMYFUNCTION("""COMPUTED_VALUE"""),"Ủn")</f>
        <v>Ủn</v>
      </c>
    </row>
    <row r="945" ht="15.75" customHeight="1">
      <c r="A945" s="120" t="str">
        <f>IFERROR(__xludf.DUMMYFUNCTION("""COMPUTED_VALUE"""),"0789 475 617")</f>
        <v>0789 475 617</v>
      </c>
      <c r="B945" s="121" t="str">
        <f>IFERROR(__xludf.DUMMYFUNCTION("""COMPUTED_VALUE"""),"Em Diệu Nguyên")</f>
        <v>Em Diệu Nguyên</v>
      </c>
      <c r="C945" s="121" t="str">
        <f>IFERROR(__xludf.DUMMYFUNCTION("""COMPUTED_VALUE"""),"4/13 Nguyễn Phúc Nguyên")</f>
        <v>4/13 Nguyễn Phúc Nguyên</v>
      </c>
      <c r="D945" s="121" t="str">
        <f>IFERROR(__xludf.DUMMYFUNCTION("""COMPUTED_VALUE"""),"mèo")</f>
        <v>mèo</v>
      </c>
      <c r="E945" s="119" t="str">
        <f>IFERROR(__xludf.DUMMYFUNCTION("""COMPUTED_VALUE"""),"Bắp")</f>
        <v>Bắp</v>
      </c>
    </row>
    <row r="946" ht="15.75" customHeight="1">
      <c r="A946" s="120" t="str">
        <f>IFERROR(__xludf.DUMMYFUNCTION("""COMPUTED_VALUE"""),"0852 462 729")</f>
        <v>0852 462 729</v>
      </c>
      <c r="B946" s="121" t="str">
        <f>IFERROR(__xludf.DUMMYFUNCTION("""COMPUTED_VALUE"""),"Chị Hương")</f>
        <v>Chị Hương</v>
      </c>
      <c r="C946" s="121" t="str">
        <f>IFERROR(__xludf.DUMMYFUNCTION("""COMPUTED_VALUE"""),"2/14 Nguyễn Phúc Lan")</f>
        <v>2/14 Nguyễn Phúc Lan</v>
      </c>
      <c r="D946" s="121" t="str">
        <f>IFERROR(__xludf.DUMMYFUNCTION("""COMPUTED_VALUE"""),"chó")</f>
        <v>chó</v>
      </c>
      <c r="E946" s="121" t="str">
        <f>IFERROR(__xludf.DUMMYFUNCTION("""COMPUTED_VALUE"""),"Bắp")</f>
        <v>Bắp</v>
      </c>
    </row>
    <row r="947" ht="15.75" customHeight="1">
      <c r="A947" s="128" t="str">
        <f>IFERROR(__xludf.DUMMYFUNCTION("""COMPUTED_VALUE"""),"0928 738 717")</f>
        <v>0928 738 717</v>
      </c>
      <c r="B947" s="127" t="str">
        <f>IFERROR(__xludf.DUMMYFUNCTION("""COMPUTED_VALUE"""),"Chị Trâm")</f>
        <v>Chị Trâm</v>
      </c>
      <c r="C947" s="127" t="str">
        <f>IFERROR(__xludf.DUMMYFUNCTION("""COMPUTED_VALUE"""),"100 Phan Bội Châu")</f>
        <v>100 Phan Bội Châu</v>
      </c>
      <c r="D947" s="127" t="str">
        <f>IFERROR(__xludf.DUMMYFUNCTION("""COMPUTED_VALUE"""),"mèo")</f>
        <v>mèo</v>
      </c>
      <c r="E947" s="127" t="str">
        <f>IFERROR(__xludf.DUMMYFUNCTION("""COMPUTED_VALUE"""),"Bin")</f>
        <v>Bin</v>
      </c>
    </row>
    <row r="948" ht="15.75" customHeight="1">
      <c r="A948" s="120" t="str">
        <f>IFERROR(__xludf.DUMMYFUNCTION("""COMPUTED_VALUE"""),"0363 842 605")</f>
        <v>0363 842 605</v>
      </c>
      <c r="B948" s="121" t="str">
        <f>IFERROR(__xludf.DUMMYFUNCTION("""COMPUTED_VALUE"""),"Anh Nhật")</f>
        <v>Anh Nhật</v>
      </c>
      <c r="C948" s="119" t="str">
        <f>IFERROR(__xludf.DUMMYFUNCTION("""COMPUTED_VALUE"""),"20 Lê Cương")</f>
        <v>20 Lê Cương</v>
      </c>
      <c r="D948" s="121" t="str">
        <f>IFERROR(__xludf.DUMMYFUNCTION("""COMPUTED_VALUE"""),"Chó ")</f>
        <v>Chó </v>
      </c>
      <c r="E948" s="121" t="str">
        <f>IFERROR(__xludf.DUMMYFUNCTION("""COMPUTED_VALUE"""),"Tép")</f>
        <v>Tép</v>
      </c>
    </row>
    <row r="949" ht="15.75" customHeight="1">
      <c r="A949" s="120" t="str">
        <f>IFERROR(__xludf.DUMMYFUNCTION("""COMPUTED_VALUE"""),"0386 973 091")</f>
        <v>0386 973 091</v>
      </c>
      <c r="B949" s="121" t="str">
        <f>IFERROR(__xludf.DUMMYFUNCTION("""COMPUTED_VALUE"""),"Chị Thi")</f>
        <v>Chị Thi</v>
      </c>
      <c r="C949" s="121" t="str">
        <f>IFERROR(__xludf.DUMMYFUNCTION("""COMPUTED_VALUE"""),"199 Lý Thánh Tông")</f>
        <v>199 Lý Thánh Tông</v>
      </c>
      <c r="D949" s="121" t="str">
        <f>IFERROR(__xludf.DUMMYFUNCTION("""COMPUTED_VALUE"""),"Chó")</f>
        <v>Chó</v>
      </c>
      <c r="E949" s="121" t="str">
        <f>IFERROR(__xludf.DUMMYFUNCTION("""COMPUTED_VALUE"""),"Thỏ")</f>
        <v>Thỏ</v>
      </c>
    </row>
    <row r="950" ht="15.75" customHeight="1">
      <c r="A950" s="120" t="str">
        <f>IFERROR(__xludf.DUMMYFUNCTION("""COMPUTED_VALUE"""),"0905 132 932")</f>
        <v>0905 132 932</v>
      </c>
      <c r="B950" s="121" t="str">
        <f>IFERROR(__xludf.DUMMYFUNCTION("""COMPUTED_VALUE"""),"Dì Thủy")</f>
        <v>Dì Thủy</v>
      </c>
      <c r="C950" s="121" t="str">
        <f>IFERROR(__xludf.DUMMYFUNCTION("""COMPUTED_VALUE"""),"k 77 lê ngô cát")</f>
        <v>k 77 lê ngô cát</v>
      </c>
      <c r="D950" s="121" t="str">
        <f>IFERROR(__xludf.DUMMYFUNCTION("""COMPUTED_VALUE"""),"Mèo")</f>
        <v>Mèo</v>
      </c>
      <c r="E950" s="121" t="str">
        <f>IFERROR(__xludf.DUMMYFUNCTION("""COMPUTED_VALUE"""),"xám")</f>
        <v>xám</v>
      </c>
    </row>
    <row r="951" ht="15.75" customHeight="1">
      <c r="A951" s="128" t="str">
        <f>IFERROR(__xludf.DUMMYFUNCTION("""COMPUTED_VALUE"""),"0931 991 094")</f>
        <v>0931 991 094</v>
      </c>
      <c r="B951" s="127" t="str">
        <f>IFERROR(__xludf.DUMMYFUNCTION("""COMPUTED_VALUE"""),"Đỗ Nam Thi")</f>
        <v>Đỗ Nam Thi</v>
      </c>
      <c r="C951" s="127" t="str">
        <f>IFERROR(__xludf.DUMMYFUNCTION("""COMPUTED_VALUE"""),"108 Trần Phú")</f>
        <v>108 Trần Phú</v>
      </c>
      <c r="D951" s="127" t="str">
        <f>IFERROR(__xludf.DUMMYFUNCTION("""COMPUTED_VALUE"""),"mèo")</f>
        <v>mèo</v>
      </c>
      <c r="E951" s="127" t="str">
        <f>IFERROR(__xludf.DUMMYFUNCTION("""COMPUTED_VALUE"""),"gà")</f>
        <v>gà</v>
      </c>
    </row>
    <row r="952" ht="15.75" customHeight="1">
      <c r="A952" s="128" t="str">
        <f>IFERROR(__xludf.DUMMYFUNCTION("""COMPUTED_VALUE"""),"0985 848 217")</f>
        <v>0985 848 217</v>
      </c>
      <c r="B952" s="127" t="str">
        <f>IFERROR(__xludf.DUMMYFUNCTION("""COMPUTED_VALUE"""),"Chú Sơn")</f>
        <v>Chú Sơn</v>
      </c>
      <c r="C952" s="127" t="str">
        <f>IFERROR(__xludf.DUMMYFUNCTION("""COMPUTED_VALUE"""),"kiệt 131 Trần Phú")</f>
        <v>kiệt 131 Trần Phú</v>
      </c>
      <c r="D952" s="127" t="str">
        <f>IFERROR(__xludf.DUMMYFUNCTION("""COMPUTED_VALUE"""),"Chó")</f>
        <v>Chó</v>
      </c>
      <c r="E952" s="127" t="str">
        <f>IFERROR(__xludf.DUMMYFUNCTION("""COMPUTED_VALUE"""),"đen")</f>
        <v>đen</v>
      </c>
    </row>
    <row r="953" ht="15.75" customHeight="1">
      <c r="A953" s="128" t="str">
        <f>IFERROR(__xludf.DUMMYFUNCTION("""COMPUTED_VALUE"""),"0943 650 677")</f>
        <v>0943 650 677</v>
      </c>
      <c r="B953" s="127" t="str">
        <f>IFERROR(__xludf.DUMMYFUNCTION("""COMPUTED_VALUE"""),"Dì Hoa")</f>
        <v>Dì Hoa</v>
      </c>
      <c r="C953" s="127" t="str">
        <f>IFERROR(__xludf.DUMMYFUNCTION("""COMPUTED_VALUE"""),"Kim Long")</f>
        <v>Kim Long</v>
      </c>
      <c r="D953" s="127" t="str">
        <f>IFERROR(__xludf.DUMMYFUNCTION("""COMPUTED_VALUE"""),"Chó")</f>
        <v>Chó</v>
      </c>
      <c r="E953" s="127" t="str">
        <f>IFERROR(__xludf.DUMMYFUNCTION("""COMPUTED_VALUE"""),"Lu")</f>
        <v>Lu</v>
      </c>
    </row>
    <row r="954" ht="15.75" customHeight="1">
      <c r="A954" s="120" t="str">
        <f>IFERROR(__xludf.DUMMYFUNCTION("""COMPUTED_VALUE"""),"0973 723 676")</f>
        <v>0973 723 676</v>
      </c>
      <c r="B954" s="121" t="str">
        <f>IFERROR(__xludf.DUMMYFUNCTION("""COMPUTED_VALUE"""),"Phương sv")</f>
        <v>Phương sv</v>
      </c>
      <c r="C954" s="121"/>
      <c r="D954" s="121" t="str">
        <f>IFERROR(__xludf.DUMMYFUNCTION("""COMPUTED_VALUE"""),"Chó")</f>
        <v>Chó</v>
      </c>
      <c r="E954" s="121" t="str">
        <f>IFERROR(__xludf.DUMMYFUNCTION("""COMPUTED_VALUE"""),"Pi")</f>
        <v>Pi</v>
      </c>
    </row>
    <row r="955" ht="15.75" customHeight="1">
      <c r="A955" s="120" t="str">
        <f>IFERROR(__xludf.DUMMYFUNCTION("""COMPUTED_VALUE"""),"0898 231 214")</f>
        <v>0898 231 214</v>
      </c>
      <c r="B955" s="121" t="str">
        <f>IFERROR(__xludf.DUMMYFUNCTION("""COMPUTED_VALUE"""),"Chú Đáng")</f>
        <v>Chú Đáng</v>
      </c>
      <c r="C955" s="121" t="str">
        <f>IFERROR(__xludf.DUMMYFUNCTION("""COMPUTED_VALUE"""),"Đào Tấn")</f>
        <v>Đào Tấn</v>
      </c>
      <c r="D955" s="121" t="str">
        <f>IFERROR(__xludf.DUMMYFUNCTION("""COMPUTED_VALUE"""),"chó")</f>
        <v>chó</v>
      </c>
      <c r="E955" s="119" t="str">
        <f>IFERROR(__xludf.DUMMYFUNCTION("""COMPUTED_VALUE"""),"vàng")</f>
        <v>vàng</v>
      </c>
    </row>
    <row r="956" ht="15.75" customHeight="1">
      <c r="A956" s="120" t="str">
        <f>IFERROR(__xludf.DUMMYFUNCTION("""COMPUTED_VALUE"""),"0392 575 508")</f>
        <v>0392 575 508</v>
      </c>
      <c r="B956" s="121" t="str">
        <f>IFERROR(__xludf.DUMMYFUNCTION("""COMPUTED_VALUE"""),"Hà Nhi")</f>
        <v>Hà Nhi</v>
      </c>
      <c r="C956" s="121" t="str">
        <f>IFERROR(__xludf.DUMMYFUNCTION("""COMPUTED_VALUE"""),"3/48 Trần Phú")</f>
        <v>3/48 Trần Phú</v>
      </c>
      <c r="D956" s="121" t="str">
        <f>IFERROR(__xludf.DUMMYFUNCTION("""COMPUTED_VALUE"""),"mèo")</f>
        <v>mèo</v>
      </c>
      <c r="E956" s="121" t="str">
        <f>IFERROR(__xludf.DUMMYFUNCTION("""COMPUTED_VALUE"""),"nem")</f>
        <v>nem</v>
      </c>
    </row>
    <row r="957" ht="15.75" customHeight="1">
      <c r="A957" s="120" t="str">
        <f>IFERROR(__xludf.DUMMYFUNCTION("""COMPUTED_VALUE"""),"0382 647 575")</f>
        <v>0382 647 575</v>
      </c>
      <c r="B957" s="121" t="str">
        <f>IFERROR(__xludf.DUMMYFUNCTION("""COMPUTED_VALUE"""),"Chị Bé")</f>
        <v>Chị Bé</v>
      </c>
      <c r="C957" s="121" t="str">
        <f>IFERROR(__xludf.DUMMYFUNCTION("""COMPUTED_VALUE"""),"Thủy  Bằng")</f>
        <v>Thủy  Bằng</v>
      </c>
      <c r="D957" s="121" t="str">
        <f>IFERROR(__xludf.DUMMYFUNCTION("""COMPUTED_VALUE"""),"Chó")</f>
        <v>Chó</v>
      </c>
      <c r="E957" s="121"/>
    </row>
    <row r="958" ht="15.75" customHeight="1">
      <c r="A958" s="120" t="str">
        <f>IFERROR(__xludf.DUMMYFUNCTION("""COMPUTED_VALUE"""),"0335 087 776")</f>
        <v>0335 087 776</v>
      </c>
      <c r="B958" s="121" t="str">
        <f>IFERROR(__xludf.DUMMYFUNCTION("""COMPUTED_VALUE"""),"Em Sương")</f>
        <v>Em Sương</v>
      </c>
      <c r="C958" s="121" t="str">
        <f>IFERROR(__xludf.DUMMYFUNCTION("""COMPUTED_VALUE"""),"Đà Nẵng")</f>
        <v>Đà Nẵng</v>
      </c>
      <c r="D958" s="121" t="str">
        <f>IFERROR(__xludf.DUMMYFUNCTION("""COMPUTED_VALUE"""),"chó")</f>
        <v>chó</v>
      </c>
      <c r="E958" s="119" t="str">
        <f>IFERROR(__xludf.DUMMYFUNCTION("""COMPUTED_VALUE"""),"Lu")</f>
        <v>Lu</v>
      </c>
    </row>
    <row r="959" ht="15.75" customHeight="1">
      <c r="A959" s="128" t="str">
        <f>IFERROR(__xludf.DUMMYFUNCTION("""COMPUTED_VALUE"""),"0968 850 502")</f>
        <v>0968 850 502</v>
      </c>
      <c r="B959" s="127" t="str">
        <f>IFERROR(__xludf.DUMMYFUNCTION("""COMPUTED_VALUE"""),"Em Lài")</f>
        <v>Em Lài</v>
      </c>
      <c r="C959" s="127" t="str">
        <f>IFERROR(__xludf.DUMMYFUNCTION("""COMPUTED_VALUE"""),"3 Sơn Xuyên")</f>
        <v>3 Sơn Xuyên</v>
      </c>
      <c r="D959" s="127" t="str">
        <f>IFERROR(__xludf.DUMMYFUNCTION("""COMPUTED_VALUE"""),"Chó")</f>
        <v>Chó</v>
      </c>
      <c r="E959" s="119" t="str">
        <f>IFERROR(__xludf.DUMMYFUNCTION("""COMPUTED_VALUE"""),"Ri")</f>
        <v>Ri</v>
      </c>
    </row>
    <row r="960" ht="15.75" customHeight="1">
      <c r="A960" s="128" t="str">
        <f>IFERROR(__xludf.DUMMYFUNCTION("""COMPUTED_VALUE"""),"0344 565 988")</f>
        <v>0344 565 988</v>
      </c>
      <c r="B960" s="127" t="str">
        <f>IFERROR(__xludf.DUMMYFUNCTION("""COMPUTED_VALUE"""),"Em Khánh Nhật")</f>
        <v>Em Khánh Nhật</v>
      </c>
      <c r="C960" s="127" t="str">
        <f>IFERROR(__xludf.DUMMYFUNCTION("""COMPUTED_VALUE"""),"92/10 Dương Văn An")</f>
        <v>92/10 Dương Văn An</v>
      </c>
      <c r="D960" s="127" t="str">
        <f>IFERROR(__xludf.DUMMYFUNCTION("""COMPUTED_VALUE"""),"mèo")</f>
        <v>mèo</v>
      </c>
      <c r="E960" s="127"/>
    </row>
    <row r="961" ht="15.75" customHeight="1">
      <c r="A961" s="120" t="str">
        <f>IFERROR(__xludf.DUMMYFUNCTION("""COMPUTED_VALUE"""),"0762 519 830")</f>
        <v>0762 519 830</v>
      </c>
      <c r="B961" s="121" t="str">
        <f>IFERROR(__xludf.DUMMYFUNCTION("""COMPUTED_VALUE"""),"em Minh Ngọc")</f>
        <v>em Minh Ngọc</v>
      </c>
      <c r="C961" s="121" t="str">
        <f>IFERROR(__xludf.DUMMYFUNCTION("""COMPUTED_VALUE"""),"Thiên Thai")</f>
        <v>Thiên Thai</v>
      </c>
      <c r="D961" s="121" t="str">
        <f>IFERROR(__xludf.DUMMYFUNCTION("""COMPUTED_VALUE"""),"Mèo")</f>
        <v>Mèo</v>
      </c>
      <c r="E961" s="121" t="str">
        <f>IFERROR(__xludf.DUMMYFUNCTION("""COMPUTED_VALUE"""),"Bư")</f>
        <v>Bư</v>
      </c>
    </row>
    <row r="962" ht="15.75" customHeight="1">
      <c r="A962" s="128" t="str">
        <f>IFERROR(__xludf.DUMMYFUNCTION("""COMPUTED_VALUE"""),"0913 453 818")</f>
        <v>0913 453 818</v>
      </c>
      <c r="B962" s="127" t="str">
        <f>IFERROR(__xludf.DUMMYFUNCTION("""COMPUTED_VALUE"""),"Chú Lê Nam Tiến")</f>
        <v>Chú Lê Nam Tiến</v>
      </c>
      <c r="C962" s="127" t="str">
        <f>IFERROR(__xludf.DUMMYFUNCTION("""COMPUTED_VALUE"""),"75 Nguyễn Phúc Thái")</f>
        <v>75 Nguyễn Phúc Thái</v>
      </c>
      <c r="D962" s="127" t="str">
        <f>IFERROR(__xludf.DUMMYFUNCTION("""COMPUTED_VALUE"""),"chó")</f>
        <v>chó</v>
      </c>
      <c r="E962" s="127" t="str">
        <f>IFERROR(__xludf.DUMMYFUNCTION("""COMPUTED_VALUE"""),"Lucky")</f>
        <v>Lucky</v>
      </c>
    </row>
    <row r="963" ht="15.75" customHeight="1">
      <c r="A963" s="120" t="str">
        <f>IFERROR(__xludf.DUMMYFUNCTION("""COMPUTED_VALUE"""),"0989 076 939")</f>
        <v>0989 076 939</v>
      </c>
      <c r="B963" s="121" t="str">
        <f>IFERROR(__xludf.DUMMYFUNCTION("""COMPUTED_VALUE"""),"Phan Châu Lê Nga")</f>
        <v>Phan Châu Lê Nga</v>
      </c>
      <c r="C963" s="121" t="str">
        <f>IFERROR(__xludf.DUMMYFUNCTION("""COMPUTED_VALUE"""),"An Ninh")</f>
        <v>An Ninh</v>
      </c>
      <c r="D963" s="121" t="str">
        <f>IFERROR(__xludf.DUMMYFUNCTION("""COMPUTED_VALUE"""),"chó")</f>
        <v>chó</v>
      </c>
      <c r="E963" s="121" t="str">
        <f>IFERROR(__xludf.DUMMYFUNCTION("""COMPUTED_VALUE"""),"Bông")</f>
        <v>Bông</v>
      </c>
    </row>
    <row r="964" ht="15.75" customHeight="1">
      <c r="A964" s="128" t="str">
        <f>IFERROR(__xludf.DUMMYFUNCTION("""COMPUTED_VALUE"""),"0973 989 971")</f>
        <v>0973 989 971</v>
      </c>
      <c r="B964" s="129" t="str">
        <f>IFERROR(__xludf.DUMMYFUNCTION("""COMPUTED_VALUE"""),"Dì Giang")</f>
        <v>Dì Giang</v>
      </c>
      <c r="C964" s="121" t="str">
        <f>IFERROR(__xludf.DUMMYFUNCTION("""COMPUTED_VALUE"""),"27/68 Nguyễn Phúc Chu")</f>
        <v>27/68 Nguyễn Phúc Chu</v>
      </c>
      <c r="D964" s="121" t="str">
        <f>IFERROR(__xludf.DUMMYFUNCTION("""COMPUTED_VALUE"""),"chó")</f>
        <v>chó</v>
      </c>
      <c r="E964" s="121" t="str">
        <f>IFERROR(__xludf.DUMMYFUNCTION("""COMPUTED_VALUE"""),"Mickey")</f>
        <v>Mickey</v>
      </c>
    </row>
    <row r="965" ht="15.75" customHeight="1">
      <c r="A965" s="128" t="str">
        <f>IFERROR(__xludf.DUMMYFUNCTION("""COMPUTED_VALUE"""),"0905 141 206")</f>
        <v>0905 141 206</v>
      </c>
      <c r="B965" s="127" t="str">
        <f>IFERROR(__xludf.DUMMYFUNCTION("""COMPUTED_VALUE"""),"Anh Phương")</f>
        <v>Anh Phương</v>
      </c>
      <c r="C965" s="127" t="str">
        <f>IFERROR(__xludf.DUMMYFUNCTION("""COMPUTED_VALUE"""),"thôn 12 Xuân Hòa-Thủy Vân")</f>
        <v>thôn 12 Xuân Hòa-Thủy Vân</v>
      </c>
      <c r="D965" s="127" t="str">
        <f>IFERROR(__xludf.DUMMYFUNCTION("""COMPUTED_VALUE"""),"chó")</f>
        <v>chó</v>
      </c>
      <c r="E965" s="127" t="str">
        <f>IFERROR(__xludf.DUMMYFUNCTION("""COMPUTED_VALUE"""),"misa")</f>
        <v>misa</v>
      </c>
    </row>
    <row r="966" ht="15.75" customHeight="1">
      <c r="A966" s="128" t="str">
        <f>IFERROR(__xludf.DUMMYFUNCTION("""COMPUTED_VALUE"""),"0355 487 533")</f>
        <v>0355 487 533</v>
      </c>
      <c r="B966" s="127" t="str">
        <f>IFERROR(__xludf.DUMMYFUNCTION("""COMPUTED_VALUE"""),"Chị Linh")</f>
        <v>Chị Linh</v>
      </c>
      <c r="C966" s="119" t="str">
        <f>IFERROR(__xludf.DUMMYFUNCTION("""COMPUTED_VALUE"""),"69k131 trần phú")</f>
        <v>69k131 trần phú</v>
      </c>
      <c r="D966" s="127" t="str">
        <f>IFERROR(__xludf.DUMMYFUNCTION("""COMPUTED_VALUE"""),"mèo")</f>
        <v>mèo</v>
      </c>
      <c r="E966" s="127" t="str">
        <f>IFERROR(__xludf.DUMMYFUNCTION("""COMPUTED_VALUE"""),"bơ")</f>
        <v>bơ</v>
      </c>
    </row>
    <row r="967" ht="15.75" customHeight="1">
      <c r="A967" s="120" t="str">
        <f>IFERROR(__xludf.DUMMYFUNCTION("""COMPUTED_VALUE"""),"0862 148 706")</f>
        <v>0862 148 706</v>
      </c>
      <c r="B967" s="121" t="str">
        <f>IFERROR(__xludf.DUMMYFUNCTION("""COMPUTED_VALUE"""),"Anh Bi")</f>
        <v>Anh Bi</v>
      </c>
      <c r="C967" s="121" t="str">
        <f>IFERROR(__xludf.DUMMYFUNCTION("""COMPUTED_VALUE"""),"k131 Trần Phú")</f>
        <v>k131 Trần Phú</v>
      </c>
      <c r="D967" s="121" t="str">
        <f>IFERROR(__xludf.DUMMYFUNCTION("""COMPUTED_VALUE"""),"mèo")</f>
        <v>mèo</v>
      </c>
      <c r="E967" s="121" t="str">
        <f>IFERROR(__xludf.DUMMYFUNCTION("""COMPUTED_VALUE"""),"muối")</f>
        <v>muối</v>
      </c>
    </row>
    <row r="968" ht="15.75" customHeight="1">
      <c r="A968" s="128" t="str">
        <f>IFERROR(__xludf.DUMMYFUNCTION("""COMPUTED_VALUE"""),"0973 022 179")</f>
        <v>0973 022 179</v>
      </c>
      <c r="B968" s="127" t="str">
        <f>IFERROR(__xludf.DUMMYFUNCTION("""COMPUTED_VALUE"""),"Chị Thu")</f>
        <v>Chị Thu</v>
      </c>
      <c r="C968" s="127" t="str">
        <f>IFERROR(__xludf.DUMMYFUNCTION("""COMPUTED_VALUE"""),"k131 Trần Phú")</f>
        <v>k131 Trần Phú</v>
      </c>
      <c r="D968" s="127" t="str">
        <f>IFERROR(__xludf.DUMMYFUNCTION("""COMPUTED_VALUE"""),"mèo")</f>
        <v>mèo</v>
      </c>
      <c r="E968" s="127"/>
    </row>
    <row r="969" ht="15.75" customHeight="1">
      <c r="A969" s="128" t="str">
        <f>IFERROR(__xludf.DUMMYFUNCTION("""COMPUTED_VALUE"""),"0767 638 567")</f>
        <v>0767 638 567</v>
      </c>
      <c r="B969" s="127" t="str">
        <f>IFERROR(__xludf.DUMMYFUNCTION("""COMPUTED_VALUE"""),"Dì Sang")</f>
        <v>Dì Sang</v>
      </c>
      <c r="C969" s="127" t="str">
        <f>IFERROR(__xludf.DUMMYFUNCTION("""COMPUTED_VALUE"""),"19 xóm Đình lại Thế")</f>
        <v>19 xóm Đình lại Thế</v>
      </c>
      <c r="D969" s="127" t="str">
        <f>IFERROR(__xludf.DUMMYFUNCTION("""COMPUTED_VALUE"""),"mèo")</f>
        <v>mèo</v>
      </c>
      <c r="E969" s="127" t="str">
        <f>IFERROR(__xludf.DUMMYFUNCTION("""COMPUTED_VALUE"""),"herry")</f>
        <v>herry</v>
      </c>
    </row>
    <row r="970" ht="15.75" customHeight="1">
      <c r="A970" s="128" t="str">
        <f>IFERROR(__xludf.DUMMYFUNCTION("""COMPUTED_VALUE"""),"0704 940 503")</f>
        <v>0704 940 503</v>
      </c>
      <c r="B970" s="121" t="str">
        <f>IFERROR(__xludf.DUMMYFUNCTION("""COMPUTED_VALUE"""),"Minh Châu")</f>
        <v>Minh Châu</v>
      </c>
      <c r="C970" s="127" t="str">
        <f>IFERROR(__xludf.DUMMYFUNCTION("""COMPUTED_VALUE"""),"82 Quảng Tế")</f>
        <v>82 Quảng Tế</v>
      </c>
      <c r="D970" s="127" t="str">
        <f>IFERROR(__xludf.DUMMYFUNCTION("""COMPUTED_VALUE"""),"chó")</f>
        <v>chó</v>
      </c>
      <c r="E970" s="127" t="str">
        <f>IFERROR(__xludf.DUMMYFUNCTION("""COMPUTED_VALUE"""),"cá")</f>
        <v>cá</v>
      </c>
    </row>
    <row r="971" ht="15.75" customHeight="1">
      <c r="A971" s="128" t="str">
        <f>IFERROR(__xludf.DUMMYFUNCTION("""COMPUTED_VALUE"""),"0905 905 266")</f>
        <v>0905 905 266</v>
      </c>
      <c r="B971" s="127" t="str">
        <f>IFERROR(__xludf.DUMMYFUNCTION("""COMPUTED_VALUE"""),"Anh Hưng")</f>
        <v>Anh Hưng</v>
      </c>
      <c r="C971" s="127" t="str">
        <f>IFERROR(__xludf.DUMMYFUNCTION("""COMPUTED_VALUE"""),"24/24b Trần Thanh Mại")</f>
        <v>24/24b Trần Thanh Mại</v>
      </c>
      <c r="D971" s="127" t="str">
        <f>IFERROR(__xludf.DUMMYFUNCTION("""COMPUTED_VALUE"""),"mèo")</f>
        <v>mèo</v>
      </c>
      <c r="E971" s="127" t="str">
        <f>IFERROR(__xludf.DUMMYFUNCTION("""COMPUTED_VALUE"""),"xám")</f>
        <v>xám</v>
      </c>
    </row>
    <row r="972" ht="15.75" customHeight="1">
      <c r="A972" s="120" t="str">
        <f>IFERROR(__xludf.DUMMYFUNCTION("""COMPUTED_VALUE"""),"0934 820 413")</f>
        <v>0934 820 413</v>
      </c>
      <c r="B972" s="121" t="str">
        <f>IFERROR(__xludf.DUMMYFUNCTION("""COMPUTED_VALUE"""),"Ngọc Thy (hãm)")</f>
        <v>Ngọc Thy (hãm)</v>
      </c>
      <c r="C972" s="121" t="str">
        <f>IFERROR(__xludf.DUMMYFUNCTION("""COMPUTED_VALUE"""),"2/23/131 Trần Phú")</f>
        <v>2/23/131 Trần Phú</v>
      </c>
      <c r="D972" s="121" t="str">
        <f>IFERROR(__xludf.DUMMYFUNCTION("""COMPUTED_VALUE"""),"chó")</f>
        <v>chó</v>
      </c>
      <c r="E972" s="121"/>
    </row>
    <row r="973" ht="15.75" customHeight="1">
      <c r="A973" s="128" t="str">
        <f>IFERROR(__xludf.DUMMYFUNCTION("""COMPUTED_VALUE"""),"0793 538 302")</f>
        <v>0793 538 302</v>
      </c>
      <c r="B973" s="127" t="str">
        <f>IFERROR(__xludf.DUMMYFUNCTION("""COMPUTED_VALUE"""),"Lê Thị Phương Lan")</f>
        <v>Lê Thị Phương Lan</v>
      </c>
      <c r="C973" s="127" t="str">
        <f>IFERROR(__xludf.DUMMYFUNCTION("""COMPUTED_VALUE"""),"166 Điện Biên Phủ")</f>
        <v>166 Điện Biên Phủ</v>
      </c>
      <c r="D973" s="127" t="str">
        <f>IFERROR(__xludf.DUMMYFUNCTION("""COMPUTED_VALUE"""),"chó")</f>
        <v>chó</v>
      </c>
      <c r="E973" s="119" t="str">
        <f>IFERROR(__xludf.DUMMYFUNCTION("""COMPUTED_VALUE"""),"Pul")</f>
        <v>Pul</v>
      </c>
    </row>
    <row r="974" ht="15.75" customHeight="1">
      <c r="A974" s="120" t="str">
        <f>IFERROR(__xludf.DUMMYFUNCTION("""COMPUTED_VALUE"""),"0784 855 888")</f>
        <v>0784 855 888</v>
      </c>
      <c r="B974" s="127" t="str">
        <f>IFERROR(__xludf.DUMMYFUNCTION("""COMPUTED_VALUE"""),"anh Mỹ")</f>
        <v>anh Mỹ</v>
      </c>
      <c r="C974" s="121" t="str">
        <f>IFERROR(__xludf.DUMMYFUNCTION("""COMPUTED_VALUE"""),"7A-K14 Đoàn Hữu Tư")</f>
        <v>7A-K14 Đoàn Hữu Tư</v>
      </c>
      <c r="D974" s="121" t="str">
        <f>IFERROR(__xludf.DUMMYFUNCTION("""COMPUTED_VALUE"""),"chó")</f>
        <v>chó</v>
      </c>
      <c r="E974" s="121"/>
    </row>
    <row r="975" ht="15.75" customHeight="1">
      <c r="A975" s="128" t="str">
        <f>IFERROR(__xludf.DUMMYFUNCTION("""COMPUTED_VALUE"""),"0914 546 216")</f>
        <v>0914 546 216</v>
      </c>
      <c r="B975" s="127" t="str">
        <f>IFERROR(__xludf.DUMMYFUNCTION("""COMPUTED_VALUE"""),"Phan Văn Dũng")</f>
        <v>Phan Văn Dũng</v>
      </c>
      <c r="C975" s="127" t="str">
        <f>IFERROR(__xludf.DUMMYFUNCTION("""COMPUTED_VALUE"""),"31 Vạn Xuân")</f>
        <v>31 Vạn Xuân</v>
      </c>
      <c r="D975" s="127" t="str">
        <f>IFERROR(__xludf.DUMMYFUNCTION("""COMPUTED_VALUE"""),"chó")</f>
        <v>chó</v>
      </c>
      <c r="E975" s="119" t="str">
        <f>IFERROR(__xludf.DUMMYFUNCTION("""COMPUTED_VALUE"""),"Bông")</f>
        <v>Bông</v>
      </c>
    </row>
    <row r="976" ht="15.75" customHeight="1">
      <c r="A976" s="120" t="str">
        <f>IFERROR(__xludf.DUMMYFUNCTION("""COMPUTED_VALUE"""),"0931 979 007")</f>
        <v>0931 979 007</v>
      </c>
      <c r="B976" s="121" t="str">
        <f>IFERROR(__xludf.DUMMYFUNCTION("""COMPUTED_VALUE"""),"Chị Tường")</f>
        <v>Chị Tường</v>
      </c>
      <c r="C976" s="121" t="str">
        <f>IFERROR(__xludf.DUMMYFUNCTION("""COMPUTED_VALUE"""),"14e2/b52 KĐT Phú Mỹ An")</f>
        <v>14e2/b52 KĐT Phú Mỹ An</v>
      </c>
      <c r="D976" s="121" t="str">
        <f>IFERROR(__xludf.DUMMYFUNCTION("""COMPUTED_VALUE"""),"chó")</f>
        <v>chó</v>
      </c>
      <c r="E976" s="119"/>
    </row>
    <row r="977" ht="15.75" customHeight="1">
      <c r="A977" s="120" t="str">
        <f>IFERROR(__xludf.DUMMYFUNCTION("""COMPUTED_VALUE"""),"0935 932 482")</f>
        <v>0935 932 482</v>
      </c>
      <c r="B977" s="121" t="str">
        <f>IFERROR(__xludf.DUMMYFUNCTION("""COMPUTED_VALUE"""),"Anh Hiếu")</f>
        <v>Anh Hiếu</v>
      </c>
      <c r="C977" s="121" t="str">
        <f>IFERROR(__xludf.DUMMYFUNCTION("""COMPUTED_VALUE"""),"4/7/4 Ưng Bình")</f>
        <v>4/7/4 Ưng Bình</v>
      </c>
      <c r="D977" s="121" t="str">
        <f>IFERROR(__xludf.DUMMYFUNCTION("""COMPUTED_VALUE"""),"chó")</f>
        <v>chó</v>
      </c>
      <c r="E977" s="121" t="str">
        <f>IFERROR(__xludf.DUMMYFUNCTION("""COMPUTED_VALUE"""),"Min")</f>
        <v>Min</v>
      </c>
    </row>
    <row r="978" ht="15.75" customHeight="1">
      <c r="A978" s="128" t="str">
        <f>IFERROR(__xludf.DUMMYFUNCTION("""COMPUTED_VALUE"""),"0768 147 524")</f>
        <v>0768 147 524</v>
      </c>
      <c r="B978" s="127" t="str">
        <f>IFERROR(__xludf.DUMMYFUNCTION("""COMPUTED_VALUE"""),"Em Loan")</f>
        <v>Em Loan</v>
      </c>
      <c r="C978" s="127" t="str">
        <f>IFERROR(__xludf.DUMMYFUNCTION("""COMPUTED_VALUE"""),"3/52 Kim Long")</f>
        <v>3/52 Kim Long</v>
      </c>
      <c r="D978" s="127" t="str">
        <f>IFERROR(__xludf.DUMMYFUNCTION("""COMPUTED_VALUE"""),"mèo")</f>
        <v>mèo</v>
      </c>
      <c r="E978" s="119" t="str">
        <f>IFERROR(__xludf.DUMMYFUNCTION("""COMPUTED_VALUE"""),"Mun")</f>
        <v>Mun</v>
      </c>
    </row>
    <row r="979" ht="15.75" customHeight="1">
      <c r="A979" s="120" t="str">
        <f>IFERROR(__xludf.DUMMYFUNCTION("""COMPUTED_VALUE"""),"0327 687 114")</f>
        <v>0327 687 114</v>
      </c>
      <c r="B979" s="121" t="str">
        <f>IFERROR(__xludf.DUMMYFUNCTION("""COMPUTED_VALUE"""),"Chị Phương")</f>
        <v>Chị Phương</v>
      </c>
      <c r="C979" s="121" t="str">
        <f>IFERROR(__xludf.DUMMYFUNCTION("""COMPUTED_VALUE"""),"59 Lý Nam Đế")</f>
        <v>59 Lý Nam Đế</v>
      </c>
      <c r="D979" s="121" t="str">
        <f>IFERROR(__xludf.DUMMYFUNCTION("""COMPUTED_VALUE"""),"chó")</f>
        <v>chó</v>
      </c>
      <c r="E979" s="121" t="str">
        <f>IFERROR(__xludf.DUMMYFUNCTION("""COMPUTED_VALUE"""),"Xu")</f>
        <v>Xu</v>
      </c>
    </row>
    <row r="980" ht="15.75" customHeight="1">
      <c r="A980" s="128" t="str">
        <f>IFERROR(__xludf.DUMMYFUNCTION("""COMPUTED_VALUE"""),"0365 452 145")</f>
        <v>0365 452 145</v>
      </c>
      <c r="B980" s="127" t="str">
        <f>IFERROR(__xludf.DUMMYFUNCTION("""COMPUTED_VALUE"""),"Nguyễn Nhật Liên")</f>
        <v>Nguyễn Nhật Liên</v>
      </c>
      <c r="C980" s="127" t="str">
        <f>IFERROR(__xludf.DUMMYFUNCTION("""COMPUTED_VALUE"""),"34/2a Phạm Thị Liên")</f>
        <v>34/2a Phạm Thị Liên</v>
      </c>
      <c r="D980" s="127" t="str">
        <f>IFERROR(__xludf.DUMMYFUNCTION("""COMPUTED_VALUE"""),"mèo")</f>
        <v>mèo</v>
      </c>
      <c r="E980" s="127" t="str">
        <f>IFERROR(__xludf.DUMMYFUNCTION("""COMPUTED_VALUE"""),"Mi")</f>
        <v>Mi</v>
      </c>
    </row>
    <row r="981" ht="15.75" customHeight="1">
      <c r="A981" s="120" t="str">
        <f>IFERROR(__xludf.DUMMYFUNCTION("""COMPUTED_VALUE"""),"0898 514 125")</f>
        <v>0898 514 125</v>
      </c>
      <c r="B981" s="121" t="str">
        <f>IFERROR(__xludf.DUMMYFUNCTION("""COMPUTED_VALUE"""),"Chị Hiền")</f>
        <v>Chị Hiền</v>
      </c>
      <c r="C981" s="121" t="str">
        <f>IFERROR(__xludf.DUMMYFUNCTION("""COMPUTED_VALUE"""),"28/200 Lý Nam Đế")</f>
        <v>28/200 Lý Nam Đế</v>
      </c>
      <c r="D981" s="121" t="str">
        <f>IFERROR(__xludf.DUMMYFUNCTION("""COMPUTED_VALUE"""),"chó")</f>
        <v>chó</v>
      </c>
      <c r="E981" s="121" t="str">
        <f>IFERROR(__xludf.DUMMYFUNCTION("""COMPUTED_VALUE"""),"Xù")</f>
        <v>Xù</v>
      </c>
    </row>
    <row r="982" ht="15.75" customHeight="1">
      <c r="A982" s="128" t="str">
        <f>IFERROR(__xludf.DUMMYFUNCTION("""COMPUTED_VALUE"""),"0983 477 040")</f>
        <v>0983 477 040</v>
      </c>
      <c r="B982" s="127" t="str">
        <f>IFERROR(__xludf.DUMMYFUNCTION("""COMPUTED_VALUE"""),"Đinh Văn Mường")</f>
        <v>Đinh Văn Mường</v>
      </c>
      <c r="C982" s="127" t="str">
        <f>IFERROR(__xludf.DUMMYFUNCTION("""COMPUTED_VALUE"""),"436 Chi Lăng")</f>
        <v>436 Chi Lăng</v>
      </c>
      <c r="D982" s="127" t="str">
        <f>IFERROR(__xludf.DUMMYFUNCTION("""COMPUTED_VALUE"""),"mèo")</f>
        <v>mèo</v>
      </c>
      <c r="E982" s="127" t="str">
        <f>IFERROR(__xludf.DUMMYFUNCTION("""COMPUTED_VALUE"""),"mít")</f>
        <v>mít</v>
      </c>
    </row>
    <row r="983" ht="15.75" customHeight="1">
      <c r="A983" s="128" t="str">
        <f>IFERROR(__xludf.DUMMYFUNCTION("""COMPUTED_VALUE"""),"0938 993 523")</f>
        <v>0938 993 523</v>
      </c>
      <c r="B983" s="127" t="str">
        <f>IFERROR(__xludf.DUMMYFUNCTION("""COMPUTED_VALUE"""),"Phạm Văn Tuấn")</f>
        <v>Phạm Văn Tuấn</v>
      </c>
      <c r="C983" s="127" t="str">
        <f>IFERROR(__xludf.DUMMYFUNCTION("""COMPUTED_VALUE"""),"18 Sư Vạn Hạnh")</f>
        <v>18 Sư Vạn Hạnh</v>
      </c>
      <c r="D983" s="127" t="str">
        <f>IFERROR(__xludf.DUMMYFUNCTION("""COMPUTED_VALUE"""),"chó")</f>
        <v>chó</v>
      </c>
      <c r="E983" s="127" t="str">
        <f>IFERROR(__xludf.DUMMYFUNCTION("""COMPUTED_VALUE"""),"vàng")</f>
        <v>vàng</v>
      </c>
    </row>
    <row r="984" ht="15.75" customHeight="1">
      <c r="A984" s="120" t="str">
        <f>IFERROR(__xludf.DUMMYFUNCTION("""COMPUTED_VALUE"""),"0397 680 028")</f>
        <v>0397 680 028</v>
      </c>
      <c r="B984" s="121" t="str">
        <f>IFERROR(__xludf.DUMMYFUNCTION("""COMPUTED_VALUE"""),"Di Hường")</f>
        <v>Di Hường</v>
      </c>
      <c r="C984" s="121" t="str">
        <f>IFERROR(__xludf.DUMMYFUNCTION("""COMPUTED_VALUE"""),"3 Nguyễn Phúc Hựu")</f>
        <v>3 Nguyễn Phúc Hựu</v>
      </c>
      <c r="D984" s="121" t="str">
        <f>IFERROR(__xludf.DUMMYFUNCTION("""COMPUTED_VALUE"""),"chó")</f>
        <v>chó</v>
      </c>
      <c r="E984" s="121" t="str">
        <f>IFERROR(__xludf.DUMMYFUNCTION("""COMPUTED_VALUE"""),"Ky")</f>
        <v>Ky</v>
      </c>
    </row>
    <row r="985" ht="15.75" customHeight="1">
      <c r="A985" s="128" t="str">
        <f>IFERROR(__xludf.DUMMYFUNCTION("""COMPUTED_VALUE"""),"0762 672 070")</f>
        <v>0762 672 070</v>
      </c>
      <c r="B985" s="127" t="str">
        <f>IFERROR(__xludf.DUMMYFUNCTION("""COMPUTED_VALUE"""),"Chị Tú")</f>
        <v>Chị Tú</v>
      </c>
      <c r="C985" s="127" t="str">
        <f>IFERROR(__xludf.DUMMYFUNCTION("""COMPUTED_VALUE"""),"75/4 Vạn Xuân")</f>
        <v>75/4 Vạn Xuân</v>
      </c>
      <c r="D985" s="127" t="str">
        <f>IFERROR(__xludf.DUMMYFUNCTION("""COMPUTED_VALUE"""),"chó")</f>
        <v>chó</v>
      </c>
      <c r="E985" s="119" t="str">
        <f>IFERROR(__xludf.DUMMYFUNCTION("""COMPUTED_VALUE"""),"Bao công")</f>
        <v>Bao công</v>
      </c>
    </row>
    <row r="986" ht="15.75" customHeight="1">
      <c r="A986" s="128" t="str">
        <f>IFERROR(__xludf.DUMMYFUNCTION("""COMPUTED_VALUE"""),"0706 008 548")</f>
        <v>0706 008 548</v>
      </c>
      <c r="B986" s="127" t="str">
        <f>IFERROR(__xludf.DUMMYFUNCTION("""COMPUTED_VALUE"""),"Bảo Trân")</f>
        <v>Bảo Trân</v>
      </c>
      <c r="C986" s="127" t="str">
        <f>IFERROR(__xludf.DUMMYFUNCTION("""COMPUTED_VALUE"""),"208/1 Lý Nam Đế")</f>
        <v>208/1 Lý Nam Đế</v>
      </c>
      <c r="D986" s="127" t="str">
        <f>IFERROR(__xludf.DUMMYFUNCTION("""COMPUTED_VALUE"""),"chó")</f>
        <v>chó</v>
      </c>
      <c r="E986" s="127" t="str">
        <f>IFERROR(__xludf.DUMMYFUNCTION("""COMPUTED_VALUE"""),"Vá")</f>
        <v>Vá</v>
      </c>
    </row>
    <row r="987" ht="15.75" customHeight="1">
      <c r="A987" s="120" t="str">
        <f>IFERROR(__xludf.DUMMYFUNCTION("""COMPUTED_VALUE"""),"0338 966 041")</f>
        <v>0338 966 041</v>
      </c>
      <c r="B987" s="121" t="str">
        <f>IFERROR(__xludf.DUMMYFUNCTION("""COMPUTED_VALUE"""),"Phúc Trâm")</f>
        <v>Phúc Trâm</v>
      </c>
      <c r="C987" s="121" t="str">
        <f>IFERROR(__xludf.DUMMYFUNCTION("""COMPUTED_VALUE"""),"140 Lý Nam Đế")</f>
        <v>140 Lý Nam Đế</v>
      </c>
      <c r="D987" s="121" t="str">
        <f>IFERROR(__xludf.DUMMYFUNCTION("""COMPUTED_VALUE"""),"chó")</f>
        <v>chó</v>
      </c>
      <c r="E987" s="119" t="str">
        <f>IFERROR(__xludf.DUMMYFUNCTION("""COMPUTED_VALUE"""),"Sữa")</f>
        <v>Sữa</v>
      </c>
    </row>
    <row r="988" ht="15.75" customHeight="1">
      <c r="A988" s="128" t="str">
        <f>IFERROR(__xludf.DUMMYFUNCTION("""COMPUTED_VALUE"""),"0935 222 215")</f>
        <v>0935 222 215</v>
      </c>
      <c r="B988" s="127" t="str">
        <f>IFERROR(__xludf.DUMMYFUNCTION("""COMPUTED_VALUE"""),"Thầy Huệ Quang")</f>
        <v>Thầy Huệ Quang</v>
      </c>
      <c r="C988" s="127" t="str">
        <f>IFERROR(__xludf.DUMMYFUNCTION("""COMPUTED_VALUE"""),"Quảng Trị")</f>
        <v>Quảng Trị</v>
      </c>
      <c r="D988" s="127" t="str">
        <f>IFERROR(__xludf.DUMMYFUNCTION("""COMPUTED_VALUE"""),"chó")</f>
        <v>chó</v>
      </c>
      <c r="E988" s="127" t="str">
        <f>IFERROR(__xludf.DUMMYFUNCTION("""COMPUTED_VALUE"""),"Gấu")</f>
        <v>Gấu</v>
      </c>
    </row>
    <row r="989" ht="15.75" customHeight="1">
      <c r="A989" s="128" t="str">
        <f>IFERROR(__xludf.DUMMYFUNCTION("""COMPUTED_VALUE"""),"0969 595 846")</f>
        <v>0969 595 846</v>
      </c>
      <c r="B989" s="127" t="str">
        <f>IFERROR(__xludf.DUMMYFUNCTION("""COMPUTED_VALUE"""),"Em Triết Giang")</f>
        <v>Em Triết Giang</v>
      </c>
      <c r="C989" s="127" t="str">
        <f>IFERROR(__xludf.DUMMYFUNCTION("""COMPUTED_VALUE"""),"1c kiệt 138 Kim Long")</f>
        <v>1c kiệt 138 Kim Long</v>
      </c>
      <c r="D989" s="127" t="str">
        <f>IFERROR(__xludf.DUMMYFUNCTION("""COMPUTED_VALUE"""),"chó")</f>
        <v>chó</v>
      </c>
      <c r="E989" s="127" t="str">
        <f>IFERROR(__xludf.DUMMYFUNCTION("""COMPUTED_VALUE"""),"Bự")</f>
        <v>Bự</v>
      </c>
    </row>
    <row r="990" ht="15.75" customHeight="1">
      <c r="A990" s="120" t="str">
        <f>IFERROR(__xludf.DUMMYFUNCTION("""COMPUTED_VALUE"""),"0905 963 462")</f>
        <v>0905 963 462</v>
      </c>
      <c r="B990" s="121" t="str">
        <f>IFERROR(__xludf.DUMMYFUNCTION("""COMPUTED_VALUE"""),"Chị Tiên")</f>
        <v>Chị Tiên</v>
      </c>
      <c r="C990" s="121" t="str">
        <f>IFERROR(__xludf.DUMMYFUNCTION("""COMPUTED_VALUE"""),"75/4 Vạn Xuân")</f>
        <v>75/4 Vạn Xuân</v>
      </c>
      <c r="D990" s="121" t="str">
        <f>IFERROR(__xludf.DUMMYFUNCTION("""COMPUTED_VALUE"""),"chó")</f>
        <v>chó</v>
      </c>
      <c r="E990" s="121" t="str">
        <f>IFERROR(__xludf.DUMMYFUNCTION("""COMPUTED_VALUE"""),"Xù")</f>
        <v>Xù</v>
      </c>
    </row>
    <row r="991" ht="15.75" customHeight="1">
      <c r="A991" s="120" t="str">
        <f>IFERROR(__xludf.DUMMYFUNCTION("""COMPUTED_VALUE"""),"0326 012 240")</f>
        <v>0326 012 240</v>
      </c>
      <c r="B991" s="121" t="str">
        <f>IFERROR(__xludf.DUMMYFUNCTION("""COMPUTED_VALUE"""),"Em Nhi")</f>
        <v>Em Nhi</v>
      </c>
      <c r="C991" s="121" t="str">
        <f>IFERROR(__xludf.DUMMYFUNCTION("""COMPUTED_VALUE"""),"k347/6b/6 Bùi Thị Xuân")</f>
        <v>k347/6b/6 Bùi Thị Xuân</v>
      </c>
      <c r="D991" s="121" t="str">
        <f>IFERROR(__xludf.DUMMYFUNCTION("""COMPUTED_VALUE"""),"chó")</f>
        <v>chó</v>
      </c>
      <c r="E991" s="121"/>
    </row>
    <row r="992" ht="15.75" customHeight="1">
      <c r="A992" s="128" t="str">
        <f>IFERROR(__xludf.DUMMYFUNCTION("""COMPUTED_VALUE"""),"0901 346 694")</f>
        <v>0901 346 694</v>
      </c>
      <c r="B992" s="127" t="str">
        <f>IFERROR(__xludf.DUMMYFUNCTION("""COMPUTED_VALUE"""),"Chị Kim Anh")</f>
        <v>Chị Kim Anh</v>
      </c>
      <c r="C992" s="127" t="str">
        <f>IFERROR(__xludf.DUMMYFUNCTION("""COMPUTED_VALUE"""),"69/7 Lê Ngô Cát")</f>
        <v>69/7 Lê Ngô Cát</v>
      </c>
      <c r="D992" s="127" t="str">
        <f>IFERROR(__xludf.DUMMYFUNCTION("""COMPUTED_VALUE"""),"chó")</f>
        <v>chó</v>
      </c>
      <c r="E992" s="127" t="str">
        <f>IFERROR(__xludf.DUMMYFUNCTION("""COMPUTED_VALUE"""),"tiền")</f>
        <v>tiền</v>
      </c>
    </row>
    <row r="993" ht="15.75" customHeight="1">
      <c r="A993" s="120" t="str">
        <f>IFERROR(__xludf.DUMMYFUNCTION("""COMPUTED_VALUE"""),"0815 624 745")</f>
        <v>0815 624 745</v>
      </c>
      <c r="B993" s="121" t="str">
        <f>IFERROR(__xludf.DUMMYFUNCTION("""COMPUTED_VALUE"""),"Em Nhật")</f>
        <v>Em Nhật</v>
      </c>
      <c r="C993" s="119" t="str">
        <f>IFERROR(__xludf.DUMMYFUNCTION("""COMPUTED_VALUE"""),"50/235 Bà Triệu")</f>
        <v>50/235 Bà Triệu</v>
      </c>
      <c r="D993" s="121" t="str">
        <f>IFERROR(__xludf.DUMMYFUNCTION("""COMPUTED_VALUE"""),"mèo")</f>
        <v>mèo</v>
      </c>
      <c r="E993" s="121" t="str">
        <f>IFERROR(__xludf.DUMMYFUNCTION("""COMPUTED_VALUE"""),"Xôi")</f>
        <v>Xôi</v>
      </c>
    </row>
    <row r="994" ht="15.75" customHeight="1">
      <c r="A994" s="128" t="str">
        <f>IFERROR(__xludf.DUMMYFUNCTION("""COMPUTED_VALUE"""),"0948 435 382")</f>
        <v>0948 435 382</v>
      </c>
      <c r="B994" s="127" t="str">
        <f>IFERROR(__xludf.DUMMYFUNCTION("""COMPUTED_VALUE"""),"Chú Sỹ")</f>
        <v>Chú Sỹ</v>
      </c>
      <c r="C994" s="127" t="str">
        <f>IFERROR(__xludf.DUMMYFUNCTION("""COMPUTED_VALUE"""),"38/16 Đoàn Hữu Trưng")</f>
        <v>38/16 Đoàn Hữu Trưng</v>
      </c>
      <c r="D994" s="127" t="str">
        <f>IFERROR(__xludf.DUMMYFUNCTION("""COMPUTED_VALUE"""),"chó")</f>
        <v>chó</v>
      </c>
      <c r="E994" s="127"/>
    </row>
    <row r="995" ht="15.75" customHeight="1">
      <c r="A995" s="120" t="str">
        <f>IFERROR(__xludf.DUMMYFUNCTION("""COMPUTED_VALUE"""),"0916 477 997")</f>
        <v>0916 477 997</v>
      </c>
      <c r="B995" s="121" t="str">
        <f>IFERROR(__xludf.DUMMYFUNCTION("""COMPUTED_VALUE"""),"Anh Linh")</f>
        <v>Anh Linh</v>
      </c>
      <c r="C995" s="121" t="str">
        <f>IFERROR(__xludf.DUMMYFUNCTION("""COMPUTED_VALUE"""),"Thủy Xuân")</f>
        <v>Thủy Xuân</v>
      </c>
      <c r="D995" s="121" t="str">
        <f>IFERROR(__xludf.DUMMYFUNCTION("""COMPUTED_VALUE"""),"chó")</f>
        <v>chó</v>
      </c>
      <c r="E995" s="121" t="str">
        <f>IFERROR(__xludf.DUMMYFUNCTION("""COMPUTED_VALUE"""),"lạc")</f>
        <v>lạc</v>
      </c>
    </row>
    <row r="996" ht="15.75" customHeight="1">
      <c r="A996" s="128" t="str">
        <f>IFERROR(__xludf.DUMMYFUNCTION("""COMPUTED_VALUE"""),"0374 562 187")</f>
        <v>0374 562 187</v>
      </c>
      <c r="B996" s="127" t="str">
        <f>IFERROR(__xludf.DUMMYFUNCTION("""COMPUTED_VALUE"""),"Em Nhi")</f>
        <v>Em Nhi</v>
      </c>
      <c r="C996" s="127" t="str">
        <f>IFERROR(__xludf.DUMMYFUNCTION("""COMPUTED_VALUE"""),"43 Lý Thường Kiệt")</f>
        <v>43 Lý Thường Kiệt</v>
      </c>
      <c r="D996" s="127" t="str">
        <f>IFERROR(__xludf.DUMMYFUNCTION("""COMPUTED_VALUE"""),"chó")</f>
        <v>chó</v>
      </c>
      <c r="E996" s="127" t="str">
        <f>IFERROR(__xludf.DUMMYFUNCTION("""COMPUTED_VALUE"""),"Rốt")</f>
        <v>Rốt</v>
      </c>
    </row>
    <row r="997" ht="15.75" customHeight="1">
      <c r="A997" s="120" t="str">
        <f>IFERROR(__xludf.DUMMYFUNCTION("""COMPUTED_VALUE"""),"0326 193 061")</f>
        <v>0326 193 061</v>
      </c>
      <c r="B997" s="121" t="str">
        <f>IFERROR(__xludf.DUMMYFUNCTION("""COMPUTED_VALUE"""),"Anh Đại")</f>
        <v>Anh Đại</v>
      </c>
      <c r="C997" s="121" t="str">
        <f>IFERROR(__xludf.DUMMYFUNCTION("""COMPUTED_VALUE"""),"21/103 Lê Ngô Cát")</f>
        <v>21/103 Lê Ngô Cát</v>
      </c>
      <c r="D997" s="121" t="str">
        <f>IFERROR(__xludf.DUMMYFUNCTION("""COMPUTED_VALUE"""),"chó")</f>
        <v>chó</v>
      </c>
      <c r="E997" s="121" t="str">
        <f>IFERROR(__xludf.DUMMYFUNCTION("""COMPUTED_VALUE"""),"vàng")</f>
        <v>vàng</v>
      </c>
    </row>
    <row r="998" ht="15.75" customHeight="1">
      <c r="A998" s="128" t="str">
        <f>IFERROR(__xludf.DUMMYFUNCTION("""COMPUTED_VALUE"""),"0784 190 123")</f>
        <v>0784 190 123</v>
      </c>
      <c r="B998" s="127" t="str">
        <f>IFERROR(__xludf.DUMMYFUNCTION("""COMPUTED_VALUE"""),"Anh Long")</f>
        <v>Anh Long</v>
      </c>
      <c r="C998" s="127" t="str">
        <f>IFERROR(__xludf.DUMMYFUNCTION("""COMPUTED_VALUE"""),"6 Sư Vạn Hạnh")</f>
        <v>6 Sư Vạn Hạnh</v>
      </c>
      <c r="D998" s="127" t="str">
        <f>IFERROR(__xludf.DUMMYFUNCTION("""COMPUTED_VALUE"""),"Chó")</f>
        <v>Chó</v>
      </c>
      <c r="E998" s="127" t="str">
        <f>IFERROR(__xludf.DUMMYFUNCTION("""COMPUTED_VALUE"""),"Nâu")</f>
        <v>Nâu</v>
      </c>
    </row>
    <row r="999" ht="15.75" customHeight="1">
      <c r="A999" s="128" t="str">
        <f>IFERROR(__xludf.DUMMYFUNCTION("""COMPUTED_VALUE"""),"0795 589 664")</f>
        <v>0795 589 664</v>
      </c>
      <c r="B999" s="127" t="str">
        <f>IFERROR(__xludf.DUMMYFUNCTION("""COMPUTED_VALUE"""),"Em Vy")</f>
        <v>Em Vy</v>
      </c>
      <c r="C999" s="127" t="str">
        <f>IFERROR(__xludf.DUMMYFUNCTION("""COMPUTED_VALUE"""),"11/3/106 Minh Mạng")</f>
        <v>11/3/106 Minh Mạng</v>
      </c>
      <c r="D999" s="127" t="str">
        <f>IFERROR(__xludf.DUMMYFUNCTION("""COMPUTED_VALUE"""),"mèo")</f>
        <v>mèo</v>
      </c>
      <c r="E999" s="127" t="str">
        <f>IFERROR(__xludf.DUMMYFUNCTION("""COMPUTED_VALUE"""),"trắng")</f>
        <v>trắng</v>
      </c>
    </row>
    <row r="1000" ht="15.75" customHeight="1">
      <c r="A1000" s="128" t="str">
        <f>IFERROR(__xludf.DUMMYFUNCTION("""COMPUTED_VALUE"""),"0915 955 166")</f>
        <v>0915 955 166</v>
      </c>
      <c r="B1000" s="127" t="str">
        <f>IFERROR(__xludf.DUMMYFUNCTION("""COMPUTED_VALUE"""),"Dì Kiểm")</f>
        <v>Dì Kiểm</v>
      </c>
      <c r="C1000" s="127" t="str">
        <f>IFERROR(__xludf.DUMMYFUNCTION("""COMPUTED_VALUE"""),"95 Điện Biên Phủ")</f>
        <v>95 Điện Biên Phủ</v>
      </c>
      <c r="D1000" s="127" t="str">
        <f>IFERROR(__xludf.DUMMYFUNCTION("""COMPUTED_VALUE"""),"Chó")</f>
        <v>Chó</v>
      </c>
      <c r="E1000" s="127" t="str">
        <f>IFERROR(__xludf.DUMMYFUNCTION("""COMPUTED_VALUE"""),"Nâu")</f>
        <v>Nâu</v>
      </c>
    </row>
    <row r="1001" ht="15.75" customHeight="1">
      <c r="A1001" s="120" t="str">
        <f>IFERROR(__xludf.DUMMYFUNCTION("""COMPUTED_VALUE"""),"0852 541 101")</f>
        <v>0852 541 101</v>
      </c>
      <c r="B1001" s="121" t="str">
        <f>IFERROR(__xludf.DUMMYFUNCTION("""COMPUTED_VALUE"""),"Dì Bảy")</f>
        <v>Dì Bảy</v>
      </c>
      <c r="C1001" s="121" t="str">
        <f>IFERROR(__xludf.DUMMYFUNCTION("""COMPUTED_VALUE"""),"23/54/131 Trần Phú")</f>
        <v>23/54/131 Trần Phú</v>
      </c>
      <c r="D1001" s="121" t="str">
        <f>IFERROR(__xludf.DUMMYFUNCTION("""COMPUTED_VALUE"""),"Chó")</f>
        <v>Chó</v>
      </c>
      <c r="E1001" s="121" t="str">
        <f>IFERROR(__xludf.DUMMYFUNCTION("""COMPUTED_VALUE"""),"Vàng")</f>
        <v>Vàng</v>
      </c>
    </row>
    <row r="1002" ht="15.75" customHeight="1">
      <c r="A1002" s="120" t="str">
        <f>IFERROR(__xludf.DUMMYFUNCTION("""COMPUTED_VALUE"""),"0328 019 357")</f>
        <v>0328 019 357</v>
      </c>
      <c r="B1002" s="121" t="str">
        <f>IFERROR(__xludf.DUMMYFUNCTION("""COMPUTED_VALUE"""),"Em Tố Linh")</f>
        <v>Em Tố Linh</v>
      </c>
      <c r="C1002" s="121" t="str">
        <f>IFERROR(__xludf.DUMMYFUNCTION("""COMPUTED_VALUE"""),"6A Lý Thường Kiệt")</f>
        <v>6A Lý Thường Kiệt</v>
      </c>
      <c r="D1002" s="121" t="str">
        <f>IFERROR(__xludf.DUMMYFUNCTION("""COMPUTED_VALUE"""),"Chó")</f>
        <v>Chó</v>
      </c>
      <c r="E1002" s="121" t="str">
        <f>IFERROR(__xludf.DUMMYFUNCTION("""COMPUTED_VALUE"""),"Bi")</f>
        <v>Bi</v>
      </c>
    </row>
    <row r="1003" ht="15.75" customHeight="1">
      <c r="A1003" s="120" t="str">
        <f>IFERROR(__xludf.DUMMYFUNCTION("""COMPUTED_VALUE"""),"0935 349 475")</f>
        <v>0935 349 475</v>
      </c>
      <c r="B1003" s="121" t="str">
        <f>IFERROR(__xludf.DUMMYFUNCTION("""COMPUTED_VALUE"""),"Nguyễn ĐÌnh Quý")</f>
        <v>Nguyễn ĐÌnh Quý</v>
      </c>
      <c r="C1003" s="121" t="str">
        <f>IFERROR(__xludf.DUMMYFUNCTION("""COMPUTED_VALUE"""),"46 Bửu Đình")</f>
        <v>46 Bửu Đình</v>
      </c>
      <c r="D1003" s="121" t="str">
        <f>IFERROR(__xludf.DUMMYFUNCTION("""COMPUTED_VALUE"""),"Chó")</f>
        <v>Chó</v>
      </c>
      <c r="E1003" s="121" t="str">
        <f>IFERROR(__xludf.DUMMYFUNCTION("""COMPUTED_VALUE"""),"Bet")</f>
        <v>Bet</v>
      </c>
    </row>
    <row r="1004" ht="15.75" customHeight="1">
      <c r="A1004" s="120">
        <f>IFERROR(__xludf.DUMMYFUNCTION("""COMPUTED_VALUE"""),1.0)</f>
        <v>1</v>
      </c>
      <c r="B1004" s="121" t="str">
        <f>IFERROR(__xludf.DUMMYFUNCTION("""COMPUTED_VALUE"""),"Chú Ngọc")</f>
        <v>Chú Ngọc</v>
      </c>
      <c r="C1004" s="121" t="str">
        <f>IFERROR(__xludf.DUMMYFUNCTION("""COMPUTED_VALUE"""),"27 Bùi Thị Xuân")</f>
        <v>27 Bùi Thị Xuân</v>
      </c>
      <c r="D1004" s="121" t="str">
        <f>IFERROR(__xludf.DUMMYFUNCTION("""COMPUTED_VALUE"""),"chó")</f>
        <v>chó</v>
      </c>
      <c r="E1004" s="119" t="str">
        <f>IFERROR(__xludf.DUMMYFUNCTION("""COMPUTED_VALUE"""),"Mực")</f>
        <v>Mực</v>
      </c>
    </row>
    <row r="1005" ht="15.75" customHeight="1">
      <c r="A1005" s="120" t="str">
        <f>IFERROR(__xludf.DUMMYFUNCTION("""COMPUTED_VALUE"""),"0796 816 408")</f>
        <v>0796 816 408</v>
      </c>
      <c r="B1005" s="121" t="str">
        <f>IFERROR(__xludf.DUMMYFUNCTION("""COMPUTED_VALUE"""),"Em Minh Anh")</f>
        <v>Em Minh Anh</v>
      </c>
      <c r="C1005" s="121" t="str">
        <f>IFERROR(__xludf.DUMMYFUNCTION("""COMPUTED_VALUE"""),"199 Phan Bội Châu")</f>
        <v>199 Phan Bội Châu</v>
      </c>
      <c r="D1005" s="121" t="str">
        <f>IFERROR(__xludf.DUMMYFUNCTION("""COMPUTED_VALUE"""),"chó")</f>
        <v>chó</v>
      </c>
      <c r="E1005" s="119" t="str">
        <f>IFERROR(__xludf.DUMMYFUNCTION("""COMPUTED_VALUE"""),"min")</f>
        <v>min</v>
      </c>
    </row>
    <row r="1006" ht="15.75" customHeight="1">
      <c r="A1006" s="128" t="str">
        <f>IFERROR(__xludf.DUMMYFUNCTION("""COMPUTED_VALUE"""),"0915 192 614")</f>
        <v>0915 192 614</v>
      </c>
      <c r="B1006" s="127" t="str">
        <f>IFERROR(__xludf.DUMMYFUNCTION("""COMPUTED_VALUE"""),"Bác Thước")</f>
        <v>Bác Thước</v>
      </c>
      <c r="C1006" s="127" t="str">
        <f>IFERROR(__xludf.DUMMYFUNCTION("""COMPUTED_VALUE"""),"90 Nguyễn Phúc Nguyên")</f>
        <v>90 Nguyễn Phúc Nguyên</v>
      </c>
      <c r="D1006" s="127" t="str">
        <f>IFERROR(__xludf.DUMMYFUNCTION("""COMPUTED_VALUE"""),"Mèo")</f>
        <v>Mèo</v>
      </c>
      <c r="E1006" s="127" t="str">
        <f>IFERROR(__xludf.DUMMYFUNCTION("""COMPUTED_VALUE"""),"Miumiu")</f>
        <v>Miumiu</v>
      </c>
    </row>
    <row r="1007" ht="15.75" customHeight="1">
      <c r="A1007" s="120" t="str">
        <f>IFERROR(__xludf.DUMMYFUNCTION("""COMPUTED_VALUE"""),"0898 496 893")</f>
        <v>0898 496 893</v>
      </c>
      <c r="B1007" s="121" t="str">
        <f>IFERROR(__xludf.DUMMYFUNCTION("""COMPUTED_VALUE"""),"Chị Linh")</f>
        <v>Chị Linh</v>
      </c>
      <c r="C1007" s="121" t="str">
        <f>IFERROR(__xludf.DUMMYFUNCTION("""COMPUTED_VALUE"""),"100 Điện Biên Phủ")</f>
        <v>100 Điện Biên Phủ</v>
      </c>
      <c r="D1007" s="121" t="str">
        <f>IFERROR(__xludf.DUMMYFUNCTION("""COMPUTED_VALUE"""),"Chó")</f>
        <v>Chó</v>
      </c>
      <c r="E1007" s="121" t="str">
        <f>IFERROR(__xludf.DUMMYFUNCTION("""COMPUTED_VALUE"""),"Nâu")</f>
        <v>Nâu</v>
      </c>
    </row>
    <row r="1008" ht="15.75" customHeight="1">
      <c r="A1008" s="120" t="str">
        <f>IFERROR(__xludf.DUMMYFUNCTION("""COMPUTED_VALUE"""),"0326 440 040")</f>
        <v>0326 440 040</v>
      </c>
      <c r="B1008" s="121" t="str">
        <f>IFERROR(__xludf.DUMMYFUNCTION("""COMPUTED_VALUE"""),"Em Oanh")</f>
        <v>Em Oanh</v>
      </c>
      <c r="C1008" s="121" t="str">
        <f>IFERROR(__xludf.DUMMYFUNCTION("""COMPUTED_VALUE"""),"kv5 tổ 11 Thủy Xuân")</f>
        <v>kv5 tổ 11 Thủy Xuân</v>
      </c>
      <c r="D1008" s="121" t="str">
        <f>IFERROR(__xludf.DUMMYFUNCTION("""COMPUTED_VALUE"""),"mèo")</f>
        <v>mèo</v>
      </c>
      <c r="E1008" s="121"/>
    </row>
    <row r="1009" ht="15.75" customHeight="1">
      <c r="A1009" s="128" t="str">
        <f>IFERROR(__xludf.DUMMYFUNCTION("""COMPUTED_VALUE"""),"0708 091 193")</f>
        <v>0708 091 193</v>
      </c>
      <c r="B1009" s="127" t="str">
        <f>IFERROR(__xludf.DUMMYFUNCTION("""COMPUTED_VALUE"""),"Phan Quốc Tín")</f>
        <v>Phan Quốc Tín</v>
      </c>
      <c r="C1009" s="127" t="str">
        <f>IFERROR(__xludf.DUMMYFUNCTION("""COMPUTED_VALUE"""),"24 K 33 Lịch Đợi")</f>
        <v>24 K 33 Lịch Đợi</v>
      </c>
      <c r="D1009" s="127" t="str">
        <f>IFERROR(__xludf.DUMMYFUNCTION("""COMPUTED_VALUE"""),"Chó")</f>
        <v>Chó</v>
      </c>
      <c r="E1009" s="127" t="str">
        <f>IFERROR(__xludf.DUMMYFUNCTION("""COMPUTED_VALUE"""),"Bắp")</f>
        <v>Bắp</v>
      </c>
    </row>
    <row r="1010" ht="15.75" customHeight="1">
      <c r="A1010" s="120" t="str">
        <f>IFERROR(__xludf.DUMMYFUNCTION("""COMPUTED_VALUE"""),"0702 326 362")</f>
        <v>0702 326 362</v>
      </c>
      <c r="B1010" s="127" t="str">
        <f>IFERROR(__xludf.DUMMYFUNCTION("""COMPUTED_VALUE"""),"Chị Thảo")</f>
        <v>Chị Thảo</v>
      </c>
      <c r="C1010" s="127" t="str">
        <f>IFERROR(__xludf.DUMMYFUNCTION("""COMPUTED_VALUE"""),"tổ 11 kv3 Thủy Xuân")</f>
        <v>tổ 11 kv3 Thủy Xuân</v>
      </c>
      <c r="D1010" s="127" t="str">
        <f>IFERROR(__xludf.DUMMYFUNCTION("""COMPUTED_VALUE"""),"mèo")</f>
        <v>mèo</v>
      </c>
      <c r="E1010" s="127" t="str">
        <f>IFERROR(__xludf.DUMMYFUNCTION("""COMPUTED_VALUE"""),"rimiu")</f>
        <v>rimiu</v>
      </c>
    </row>
    <row r="1011" ht="15.75" customHeight="1">
      <c r="A1011" s="120" t="str">
        <f>IFERROR(__xludf.DUMMYFUNCTION("""COMPUTED_VALUE"""),"0935 406 346")</f>
        <v>0935 406 346</v>
      </c>
      <c r="B1011" s="127" t="str">
        <f>IFERROR(__xludf.DUMMYFUNCTION("""COMPUTED_VALUE"""),"Chị Tuyến")</f>
        <v>Chị Tuyến</v>
      </c>
      <c r="C1011" s="127" t="str">
        <f>IFERROR(__xludf.DUMMYFUNCTION("""COMPUTED_VALUE"""),"10/210 Lý Nam Đế")</f>
        <v>10/210 Lý Nam Đế</v>
      </c>
      <c r="D1011" s="127" t="str">
        <f>IFERROR(__xludf.DUMMYFUNCTION("""COMPUTED_VALUE"""),"Chó")</f>
        <v>Chó</v>
      </c>
      <c r="E1011" s="127" t="str">
        <f>IFERROR(__xludf.DUMMYFUNCTION("""COMPUTED_VALUE"""),"Đen")</f>
        <v>Đen</v>
      </c>
    </row>
    <row r="1012" ht="15.75" customHeight="1">
      <c r="A1012" s="120" t="str">
        <f>IFERROR(__xludf.DUMMYFUNCTION("""COMPUTED_VALUE"""),"0934 988 021")</f>
        <v>0934 988 021</v>
      </c>
      <c r="B1012" s="127" t="str">
        <f>IFERROR(__xludf.DUMMYFUNCTION("""COMPUTED_VALUE"""),"Phúc")</f>
        <v>Phúc</v>
      </c>
      <c r="C1012" s="127" t="str">
        <f>IFERROR(__xludf.DUMMYFUNCTION("""COMPUTED_VALUE"""),"k290 Điện Biên Phủ")</f>
        <v>k290 Điện Biên Phủ</v>
      </c>
      <c r="D1012" s="127" t="str">
        <f>IFERROR(__xludf.DUMMYFUNCTION("""COMPUTED_VALUE"""),"chó")</f>
        <v>chó</v>
      </c>
      <c r="E1012" s="127" t="str">
        <f>IFERROR(__xludf.DUMMYFUNCTION("""COMPUTED_VALUE"""),"tôm")</f>
        <v>tôm</v>
      </c>
    </row>
    <row r="1013" ht="15.75" customHeight="1">
      <c r="A1013" s="128" t="str">
        <f>IFERROR(__xludf.DUMMYFUNCTION("""COMPUTED_VALUE"""),"0813 986 191")</f>
        <v>0813 986 191</v>
      </c>
      <c r="B1013" s="127" t="str">
        <f>IFERROR(__xludf.DUMMYFUNCTION("""COMPUTED_VALUE"""),"Trần Văn Tài")</f>
        <v>Trần Văn Tài</v>
      </c>
      <c r="C1013" s="138" t="str">
        <f>IFERROR(__xludf.DUMMYFUNCTION("""COMPUTED_VALUE"""),"16 Tô Ngọc Vân")</f>
        <v>16 Tô Ngọc Vân</v>
      </c>
      <c r="D1013" s="127" t="str">
        <f>IFERROR(__xludf.DUMMYFUNCTION("""COMPUTED_VALUE"""),"chó")</f>
        <v>chó</v>
      </c>
      <c r="E1013" s="127" t="str">
        <f>IFERROR(__xludf.DUMMYFUNCTION("""COMPUTED_VALUE"""),"Rock")</f>
        <v>Rock</v>
      </c>
    </row>
    <row r="1014" ht="15.75" customHeight="1">
      <c r="A1014" s="120" t="str">
        <f>IFERROR(__xludf.DUMMYFUNCTION("""COMPUTED_VALUE"""),"0979 091 443")</f>
        <v>0979 091 443</v>
      </c>
      <c r="B1014" s="129" t="str">
        <f>IFERROR(__xludf.DUMMYFUNCTION("""COMPUTED_VALUE"""),"Bác La")</f>
        <v>Bác La</v>
      </c>
      <c r="C1014" s="121" t="str">
        <f>IFERROR(__xludf.DUMMYFUNCTION("""COMPUTED_VALUE"""),"Thủy Biều")</f>
        <v>Thủy Biều</v>
      </c>
      <c r="D1014" s="121" t="str">
        <f>IFERROR(__xludf.DUMMYFUNCTION("""COMPUTED_VALUE"""),"Chó")</f>
        <v>Chó</v>
      </c>
      <c r="E1014" s="119" t="str">
        <f>IFERROR(__xludf.DUMMYFUNCTION("""COMPUTED_VALUE"""),"lu")</f>
        <v>lu</v>
      </c>
    </row>
    <row r="1015" ht="15.75" customHeight="1">
      <c r="A1015" s="128" t="str">
        <f>IFERROR(__xludf.DUMMYFUNCTION("""COMPUTED_VALUE"""),"0815 313 911")</f>
        <v>0815 313 911</v>
      </c>
      <c r="B1015" s="127" t="str">
        <f>IFERROR(__xludf.DUMMYFUNCTION("""COMPUTED_VALUE"""),"Chị Hồng Vân")</f>
        <v>Chị Hồng Vân</v>
      </c>
      <c r="C1015" s="127" t="str">
        <f>IFERROR(__xludf.DUMMYFUNCTION("""COMPUTED_VALUE"""),"22/28 Kim Long")</f>
        <v>22/28 Kim Long</v>
      </c>
      <c r="D1015" s="127" t="str">
        <f>IFERROR(__xludf.DUMMYFUNCTION("""COMPUTED_VALUE"""),"mèo")</f>
        <v>mèo</v>
      </c>
      <c r="E1015" s="119" t="str">
        <f>IFERROR(__xludf.DUMMYFUNCTION("""COMPUTED_VALUE"""),"nunu")</f>
        <v>nunu</v>
      </c>
    </row>
    <row r="1016" ht="15.75" customHeight="1">
      <c r="A1016" s="120" t="str">
        <f>IFERROR(__xludf.DUMMYFUNCTION("""COMPUTED_VALUE"""),"0822 824 854")</f>
        <v>0822 824 854</v>
      </c>
      <c r="B1016" s="121" t="str">
        <f>IFERROR(__xludf.DUMMYFUNCTION("""COMPUTED_VALUE"""),"Chị Minh Ngọc")</f>
        <v>Chị Minh Ngọc</v>
      </c>
      <c r="C1016" s="121" t="str">
        <f>IFERROR(__xludf.DUMMYFUNCTION("""COMPUTED_VALUE"""),"kiệt 69 Phạm Thị Liên")</f>
        <v>kiệt 69 Phạm Thị Liên</v>
      </c>
      <c r="D1016" s="121" t="str">
        <f>IFERROR(__xludf.DUMMYFUNCTION("""COMPUTED_VALUE"""),"chó")</f>
        <v>chó</v>
      </c>
      <c r="E1016" s="121" t="str">
        <f>IFERROR(__xludf.DUMMYFUNCTION("""COMPUTED_VALUE"""),"Mây")</f>
        <v>Mây</v>
      </c>
    </row>
    <row r="1017" ht="15.75" customHeight="1">
      <c r="A1017" s="120" t="str">
        <f>IFERROR(__xludf.DUMMYFUNCTION("""COMPUTED_VALUE"""),"0914 077 793")</f>
        <v>0914 077 793</v>
      </c>
      <c r="B1017" s="121" t="str">
        <f>IFERROR(__xludf.DUMMYFUNCTION("""COMPUTED_VALUE"""),"Bs Tâm")</f>
        <v>Bs Tâm</v>
      </c>
      <c r="C1017" s="121" t="str">
        <f>IFERROR(__xludf.DUMMYFUNCTION("""COMPUTED_VALUE"""),"83 ông Ích Khiêm")</f>
        <v>83 ông Ích Khiêm</v>
      </c>
      <c r="D1017" s="121" t="str">
        <f>IFERROR(__xludf.DUMMYFUNCTION("""COMPUTED_VALUE"""),"Chó")</f>
        <v>Chó</v>
      </c>
      <c r="E1017" s="121" t="str">
        <f>IFERROR(__xludf.DUMMYFUNCTION("""COMPUTED_VALUE"""),"2 con")</f>
        <v>2 con</v>
      </c>
    </row>
    <row r="1018" ht="15.75" customHeight="1">
      <c r="A1018" s="120" t="str">
        <f>IFERROR(__xludf.DUMMYFUNCTION("""COMPUTED_VALUE"""),"0935 669 315")</f>
        <v>0935 669 315</v>
      </c>
      <c r="B1018" s="121" t="str">
        <f>IFERROR(__xludf.DUMMYFUNCTION("""COMPUTED_VALUE"""),"Anh Việt")</f>
        <v>Anh Việt</v>
      </c>
      <c r="C1018" s="121" t="str">
        <f>IFERROR(__xludf.DUMMYFUNCTION("""COMPUTED_VALUE"""),"64 Hoàng Thị Loan")</f>
        <v>64 Hoàng Thị Loan</v>
      </c>
      <c r="D1018" s="121" t="str">
        <f>IFERROR(__xludf.DUMMYFUNCTION("""COMPUTED_VALUE"""),"chó")</f>
        <v>chó</v>
      </c>
      <c r="E1018" s="121" t="str">
        <f>IFERROR(__xludf.DUMMYFUNCTION("""COMPUTED_VALUE"""),"boy")</f>
        <v>boy</v>
      </c>
    </row>
    <row r="1019" ht="15.75" customHeight="1">
      <c r="A1019" s="120" t="str">
        <f>IFERROR(__xludf.DUMMYFUNCTION("""COMPUTED_VALUE"""),"0706 688 132")</f>
        <v>0706 688 132</v>
      </c>
      <c r="B1019" s="121" t="str">
        <f>IFERROR(__xludf.DUMMYFUNCTION("""COMPUTED_VALUE"""),"Anh Phúc")</f>
        <v>Anh Phúc</v>
      </c>
      <c r="C1019" s="121" t="str">
        <f>IFERROR(__xludf.DUMMYFUNCTION("""COMPUTED_VALUE"""),"k39 Lý Nam Đế")</f>
        <v>k39 Lý Nam Đế</v>
      </c>
      <c r="D1019" s="121" t="str">
        <f>IFERROR(__xludf.DUMMYFUNCTION("""COMPUTED_VALUE"""),"Chó")</f>
        <v>Chó</v>
      </c>
      <c r="E1019" s="121" t="str">
        <f>IFERROR(__xludf.DUMMYFUNCTION("""COMPUTED_VALUE"""),"Nhỏ")</f>
        <v>Nhỏ</v>
      </c>
    </row>
    <row r="1020" ht="15.75" customHeight="1">
      <c r="A1020" s="128" t="str">
        <f>IFERROR(__xludf.DUMMYFUNCTION("""COMPUTED_VALUE"""),"0762 616 695")</f>
        <v>0762 616 695</v>
      </c>
      <c r="B1020" s="127" t="str">
        <f>IFERROR(__xludf.DUMMYFUNCTION("""COMPUTED_VALUE"""),"Anh Thành")</f>
        <v>Anh Thành</v>
      </c>
      <c r="C1020" s="127" t="str">
        <f>IFERROR(__xludf.DUMMYFUNCTION("""COMPUTED_VALUE"""),"74/2 Thiên Thai")</f>
        <v>74/2 Thiên Thai</v>
      </c>
      <c r="D1020" s="121" t="str">
        <f>IFERROR(__xludf.DUMMYFUNCTION("""COMPUTED_VALUE"""),"mèo")</f>
        <v>mèo</v>
      </c>
      <c r="E1020" s="127" t="str">
        <f>IFERROR(__xludf.DUMMYFUNCTION("""COMPUTED_VALUE"""),"Sữa")</f>
        <v>Sữa</v>
      </c>
    </row>
    <row r="1021" ht="15.75" customHeight="1">
      <c r="A1021" s="128" t="str">
        <f>IFERROR(__xludf.DUMMYFUNCTION("""COMPUTED_VALUE"""),"0914 052 464")</f>
        <v>0914 052 464</v>
      </c>
      <c r="B1021" s="127" t="str">
        <f>IFERROR(__xludf.DUMMYFUNCTION("""COMPUTED_VALUE"""),"Bác Khoa")</f>
        <v>Bác Khoa</v>
      </c>
      <c r="C1021" s="127" t="str">
        <f>IFERROR(__xludf.DUMMYFUNCTION("""COMPUTED_VALUE"""),"21 Trần Nguyên Hãn")</f>
        <v>21 Trần Nguyên Hãn</v>
      </c>
      <c r="D1021" s="127" t="str">
        <f>IFERROR(__xludf.DUMMYFUNCTION("""COMPUTED_VALUE"""),"chó")</f>
        <v>chó</v>
      </c>
      <c r="E1021" s="127" t="str">
        <f>IFERROR(__xludf.DUMMYFUNCTION("""COMPUTED_VALUE"""),"Ki")</f>
        <v>Ki</v>
      </c>
    </row>
    <row r="1022" ht="15.75" customHeight="1">
      <c r="A1022" s="136" t="str">
        <f>IFERROR(__xludf.DUMMYFUNCTION("""COMPUTED_VALUE"""),"0934 770 864")</f>
        <v>0934 770 864</v>
      </c>
      <c r="B1022" s="137" t="str">
        <f>IFERROR(__xludf.DUMMYFUNCTION("""COMPUTED_VALUE"""),"Anh Trung")</f>
        <v>Anh Trung</v>
      </c>
      <c r="C1022" s="137" t="str">
        <f>IFERROR(__xludf.DUMMYFUNCTION("""COMPUTED_VALUE"""),"11/31 Nguyễn Phúc Lan")</f>
        <v>11/31 Nguyễn Phúc Lan</v>
      </c>
      <c r="D1022" s="137" t="str">
        <f>IFERROR(__xludf.DUMMYFUNCTION("""COMPUTED_VALUE"""),"chó")</f>
        <v>chó</v>
      </c>
      <c r="E1022" s="137" t="str">
        <f>IFERROR(__xludf.DUMMYFUNCTION("""COMPUTED_VALUE"""),"Mập")</f>
        <v>Mập</v>
      </c>
    </row>
    <row r="1023" ht="15.75" customHeight="1">
      <c r="A1023" s="128" t="str">
        <f>IFERROR(__xludf.DUMMYFUNCTION("""COMPUTED_VALUE"""),"0377 613 868")</f>
        <v>0377 613 868</v>
      </c>
      <c r="B1023" s="127" t="str">
        <f>IFERROR(__xludf.DUMMYFUNCTION("""COMPUTED_VALUE"""),"Anh Rin")</f>
        <v>Anh Rin</v>
      </c>
      <c r="C1023" s="127" t="str">
        <f>IFERROR(__xludf.DUMMYFUNCTION("""COMPUTED_VALUE"""),"253 Bùi Thị Xuân")</f>
        <v>253 Bùi Thị Xuân</v>
      </c>
      <c r="D1023" s="127" t="str">
        <f>IFERROR(__xludf.DUMMYFUNCTION("""COMPUTED_VALUE"""),"chó")</f>
        <v>chó</v>
      </c>
      <c r="E1023" s="127"/>
    </row>
    <row r="1024" ht="15.75" customHeight="1">
      <c r="A1024" s="128" t="str">
        <f>IFERROR(__xludf.DUMMYFUNCTION("""COMPUTED_VALUE"""),"0989 194 967")</f>
        <v>0989 194 967</v>
      </c>
      <c r="B1024" s="127"/>
      <c r="C1024" s="127" t="str">
        <f>IFERROR(__xludf.DUMMYFUNCTION("""COMPUTED_VALUE"""),"sau quán Ánh Lào, Trịnh Công Sơn")</f>
        <v>sau quán Ánh Lào, Trịnh Công Sơn</v>
      </c>
      <c r="D1024" s="127" t="str">
        <f>IFERROR(__xludf.DUMMYFUNCTION("""COMPUTED_VALUE"""),"chó")</f>
        <v>chó</v>
      </c>
      <c r="E1024" s="127"/>
    </row>
    <row r="1025" ht="15.75" customHeight="1">
      <c r="A1025" s="128" t="str">
        <f>IFERROR(__xludf.DUMMYFUNCTION("""COMPUTED_VALUE"""),"0333 029 122")</f>
        <v>0333 029 122</v>
      </c>
      <c r="B1025" s="127" t="str">
        <f>IFERROR(__xludf.DUMMYFUNCTION("""COMPUTED_VALUE"""),"Em Tuấn ANh")</f>
        <v>Em Tuấn ANh</v>
      </c>
      <c r="C1025" s="127" t="str">
        <f>IFERROR(__xludf.DUMMYFUNCTION("""COMPUTED_VALUE"""),"1/42 Đào Tấn")</f>
        <v>1/42 Đào Tấn</v>
      </c>
      <c r="D1025" s="127" t="str">
        <f>IFERROR(__xludf.DUMMYFUNCTION("""COMPUTED_VALUE"""),"Mèo")</f>
        <v>Mèo</v>
      </c>
      <c r="E1025" s="127" t="str">
        <f>IFERROR(__xludf.DUMMYFUNCTION("""COMPUTED_VALUE"""),"Fin")</f>
        <v>Fin</v>
      </c>
    </row>
    <row r="1026" ht="15.75" customHeight="1">
      <c r="A1026" s="128" t="str">
        <f>IFERROR(__xludf.DUMMYFUNCTION("""COMPUTED_VALUE"""),"0934 959 295")</f>
        <v>0934 959 295</v>
      </c>
      <c r="B1026" s="127" t="str">
        <f>IFERROR(__xludf.DUMMYFUNCTION("""COMPUTED_VALUE"""),"Anh Nhật")</f>
        <v>Anh Nhật</v>
      </c>
      <c r="C1026" s="127" t="str">
        <f>IFERROR(__xludf.DUMMYFUNCTION("""COMPUTED_VALUE"""),"B09-KQH Hương Long")</f>
        <v>B09-KQH Hương Long</v>
      </c>
      <c r="D1026" s="127" t="str">
        <f>IFERROR(__xludf.DUMMYFUNCTION("""COMPUTED_VALUE"""),"chó")</f>
        <v>chó</v>
      </c>
      <c r="E1026" s="127" t="str">
        <f>IFERROR(__xludf.DUMMYFUNCTION("""COMPUTED_VALUE"""),"Gô")</f>
        <v>Gô</v>
      </c>
    </row>
    <row r="1027" ht="15.75" customHeight="1">
      <c r="A1027" s="128" t="str">
        <f>IFERROR(__xludf.DUMMYFUNCTION("""COMPUTED_VALUE"""),"0383 016 491")</f>
        <v>0383 016 491</v>
      </c>
      <c r="B1027" s="127" t="str">
        <f>IFERROR(__xludf.DUMMYFUNCTION("""COMPUTED_VALUE"""),"Chú Quỳnh")</f>
        <v>Chú Quỳnh</v>
      </c>
      <c r="C1027" s="127" t="str">
        <f>IFERROR(__xludf.DUMMYFUNCTION("""COMPUTED_VALUE"""),"240 Lý Nam Đế")</f>
        <v>240 Lý Nam Đế</v>
      </c>
      <c r="D1027" s="127" t="str">
        <f>IFERROR(__xludf.DUMMYFUNCTION("""COMPUTED_VALUE"""),"chó")</f>
        <v>chó</v>
      </c>
      <c r="E1027" s="127" t="str">
        <f>IFERROR(__xludf.DUMMYFUNCTION("""COMPUTED_VALUE"""),"Nô")</f>
        <v>Nô</v>
      </c>
    </row>
    <row r="1028" ht="15.75" customHeight="1">
      <c r="A1028" s="120" t="str">
        <f>IFERROR(__xludf.DUMMYFUNCTION("""COMPUTED_VALUE"""),"0938 120 258")</f>
        <v>0938 120 258</v>
      </c>
      <c r="B1028" s="121" t="str">
        <f>IFERROR(__xludf.DUMMYFUNCTION("""COMPUTED_VALUE"""),"Hồ Thu Thảo")</f>
        <v>Hồ Thu Thảo</v>
      </c>
      <c r="C1028" s="121" t="str">
        <f>IFERROR(__xludf.DUMMYFUNCTION("""COMPUTED_VALUE"""),"41 nguyễn trọng nhân")</f>
        <v>41 nguyễn trọng nhân</v>
      </c>
      <c r="D1028" s="121" t="str">
        <f>IFERROR(__xludf.DUMMYFUNCTION("""COMPUTED_VALUE"""),"chó")</f>
        <v>chó</v>
      </c>
      <c r="E1028" s="121" t="str">
        <f>IFERROR(__xludf.DUMMYFUNCTION("""COMPUTED_VALUE"""),"red")</f>
        <v>red</v>
      </c>
    </row>
    <row r="1029" ht="15.75" customHeight="1">
      <c r="A1029" s="128" t="str">
        <f>IFERROR(__xludf.DUMMYFUNCTION("""COMPUTED_VALUE"""),"0914 114 214")</f>
        <v>0914 114 214</v>
      </c>
      <c r="B1029" s="127" t="str">
        <f>IFERROR(__xludf.DUMMYFUNCTION("""COMPUTED_VALUE""")," dì La Đề")</f>
        <v> dì La Đề</v>
      </c>
      <c r="C1029" s="127" t="str">
        <f>IFERROR(__xludf.DUMMYFUNCTION("""COMPUTED_VALUE"""),"34 Xuân Diệu")</f>
        <v>34 Xuân Diệu</v>
      </c>
      <c r="D1029" s="127" t="str">
        <f>IFERROR(__xludf.DUMMYFUNCTION("""COMPUTED_VALUE"""),"Chó")</f>
        <v>Chó</v>
      </c>
      <c r="E1029" s="127" t="str">
        <f>IFERROR(__xludf.DUMMYFUNCTION("""COMPUTED_VALUE"""),"huda")</f>
        <v>huda</v>
      </c>
    </row>
    <row r="1030" ht="15.75" customHeight="1">
      <c r="A1030" s="120" t="str">
        <f>IFERROR(__xludf.DUMMYFUNCTION("""COMPUTED_VALUE"""),"0913 473 890")</f>
        <v>0913 473 890</v>
      </c>
      <c r="B1030" s="121"/>
      <c r="C1030" s="121" t="str">
        <f>IFERROR(__xludf.DUMMYFUNCTION("""COMPUTED_VALUE"""),"Eco garden")</f>
        <v>Eco garden</v>
      </c>
      <c r="D1030" s="121" t="str">
        <f>IFERROR(__xludf.DUMMYFUNCTION("""COMPUTED_VALUE"""),"Mèo")</f>
        <v>Mèo</v>
      </c>
      <c r="E1030" s="121"/>
    </row>
    <row r="1031" ht="15.75" customHeight="1">
      <c r="A1031" s="128" t="str">
        <f>IFERROR(__xludf.DUMMYFUNCTION("""COMPUTED_VALUE"""),"0909 790 537")</f>
        <v>0909 790 537</v>
      </c>
      <c r="B1031" s="127" t="str">
        <f>IFERROR(__xludf.DUMMYFUNCTION("""COMPUTED_VALUE"""),"Em Cẩm Lai")</f>
        <v>Em Cẩm Lai</v>
      </c>
      <c r="C1031" s="127" t="str">
        <f>IFERROR(__xludf.DUMMYFUNCTION("""COMPUTED_VALUE"""),"25 Trần Phú")</f>
        <v>25 Trần Phú</v>
      </c>
      <c r="D1031" s="127" t="str">
        <f>IFERROR(__xludf.DUMMYFUNCTION("""COMPUTED_VALUE"""),"Mèo")</f>
        <v>Mèo</v>
      </c>
      <c r="E1031" s="127" t="str">
        <f>IFERROR(__xludf.DUMMYFUNCTION("""COMPUTED_VALUE"""),"Mun/Xoài")</f>
        <v>Mun/Xoài</v>
      </c>
    </row>
    <row r="1032" ht="15.75" customHeight="1">
      <c r="A1032" s="120" t="str">
        <f>IFERROR(__xludf.DUMMYFUNCTION("""COMPUTED_VALUE"""),"0901 963 981")</f>
        <v>0901 963 981</v>
      </c>
      <c r="B1032" s="121" t="str">
        <f>IFERROR(__xludf.DUMMYFUNCTION("""COMPUTED_VALUE"""),"Thạch Đan")</f>
        <v>Thạch Đan</v>
      </c>
      <c r="C1032" s="121" t="str">
        <f>IFERROR(__xludf.DUMMYFUNCTION("""COMPUTED_VALUE"""),"143 Long Hồ")</f>
        <v>143 Long Hồ</v>
      </c>
      <c r="D1032" s="121" t="str">
        <f>IFERROR(__xludf.DUMMYFUNCTION("""COMPUTED_VALUE"""),"Mèo")</f>
        <v>Mèo</v>
      </c>
      <c r="E1032" s="121"/>
    </row>
    <row r="1033" ht="15.75" customHeight="1">
      <c r="A1033" s="128" t="str">
        <f>IFERROR(__xludf.DUMMYFUNCTION("""COMPUTED_VALUE"""),"0932 708 761")</f>
        <v>0932 708 761</v>
      </c>
      <c r="B1033" s="127" t="str">
        <f>IFERROR(__xludf.DUMMYFUNCTION("""COMPUTED_VALUE"""),"Lê Thị Ánh")</f>
        <v>Lê Thị Ánh</v>
      </c>
      <c r="C1033" s="119"/>
      <c r="D1033" s="127"/>
      <c r="E1033" s="119" t="str">
        <f>IFERROR(__xludf.DUMMYFUNCTION("""COMPUTED_VALUE"""),"Bông")</f>
        <v>Bông</v>
      </c>
    </row>
    <row r="1034" ht="15.75" customHeight="1">
      <c r="A1034" s="128" t="str">
        <f>IFERROR(__xludf.DUMMYFUNCTION("""COMPUTED_VALUE"""),"0332 665 811")</f>
        <v>0332 665 811</v>
      </c>
      <c r="B1034" s="127" t="str">
        <f>IFERROR(__xludf.DUMMYFUNCTION("""COMPUTED_VALUE"""),"Cao Phi Bảo")</f>
        <v>Cao Phi Bảo</v>
      </c>
      <c r="C1034" s="127" t="str">
        <f>IFERROR(__xludf.DUMMYFUNCTION("""COMPUTED_VALUE"""),"24/19 Nguyễn Phúc Nguyên")</f>
        <v>24/19 Nguyễn Phúc Nguyên</v>
      </c>
      <c r="D1034" s="127" t="str">
        <f>IFERROR(__xludf.DUMMYFUNCTION("""COMPUTED_VALUE"""),"Chó")</f>
        <v>Chó</v>
      </c>
      <c r="E1034" s="127"/>
    </row>
    <row r="1035" ht="15.75" customHeight="1">
      <c r="A1035" s="120" t="str">
        <f>IFERROR(__xludf.DUMMYFUNCTION("""COMPUTED_VALUE"""),"0788 556 443")</f>
        <v>0788 556 443</v>
      </c>
      <c r="B1035" s="121" t="str">
        <f>IFERROR(__xludf.DUMMYFUNCTION("""COMPUTED_VALUE"""),"ChỊ Châu")</f>
        <v>ChỊ Châu</v>
      </c>
      <c r="C1035" s="121" t="str">
        <f>IFERROR(__xludf.DUMMYFUNCTION("""COMPUTED_VALUE"""),"18/8 Nguyễn Hữu Dật")</f>
        <v>18/8 Nguyễn Hữu Dật</v>
      </c>
      <c r="D1035" s="121" t="str">
        <f>IFERROR(__xludf.DUMMYFUNCTION("""COMPUTED_VALUE"""),"Mèo")</f>
        <v>Mèo</v>
      </c>
      <c r="E1035" s="121" t="str">
        <f>IFERROR(__xludf.DUMMYFUNCTION("""COMPUTED_VALUE"""),"Minh Chiến")</f>
        <v>Minh Chiến</v>
      </c>
    </row>
    <row r="1036" ht="15.75" customHeight="1">
      <c r="A1036" s="128" t="str">
        <f>IFERROR(__xludf.DUMMYFUNCTION("""COMPUTED_VALUE"""),"0905 509 518")</f>
        <v>0905 509 518</v>
      </c>
      <c r="B1036" s="127" t="str">
        <f>IFERROR(__xludf.DUMMYFUNCTION("""COMPUTED_VALUE"""),"Ông An")</f>
        <v>Ông An</v>
      </c>
      <c r="C1036" s="127" t="str">
        <f>IFERROR(__xludf.DUMMYFUNCTION("""COMPUTED_VALUE"""),"1/300 Lý Nam Đế")</f>
        <v>1/300 Lý Nam Đế</v>
      </c>
      <c r="D1036" s="127" t="str">
        <f>IFERROR(__xludf.DUMMYFUNCTION("""COMPUTED_VALUE"""),"chó")</f>
        <v>chó</v>
      </c>
      <c r="E1036" s="127" t="str">
        <f>IFERROR(__xludf.DUMMYFUNCTION("""COMPUTED_VALUE"""),"Đem")</f>
        <v>Đem</v>
      </c>
    </row>
    <row r="1037" ht="15.75" customHeight="1">
      <c r="A1037" s="120" t="str">
        <f>IFERROR(__xludf.DUMMYFUNCTION("""COMPUTED_VALUE"""),"0934 729 907")</f>
        <v>0934 729 907</v>
      </c>
      <c r="B1037" s="121" t="str">
        <f>IFERROR(__xludf.DUMMYFUNCTION("""COMPUTED_VALUE"""),"Minh Thư")</f>
        <v>Minh Thư</v>
      </c>
      <c r="C1037" s="121" t="str">
        <f>IFERROR(__xludf.DUMMYFUNCTION("""COMPUTED_VALUE"""),"15/66 Xuân Diệu")</f>
        <v>15/66 Xuân Diệu</v>
      </c>
      <c r="D1037" s="121" t="str">
        <f>IFERROR(__xludf.DUMMYFUNCTION("""COMPUTED_VALUE"""),"mèo")</f>
        <v>mèo</v>
      </c>
      <c r="E1037" s="119" t="str">
        <f>IFERROR(__xludf.DUMMYFUNCTION("""COMPUTED_VALUE"""),"mimi")</f>
        <v>mimi</v>
      </c>
    </row>
    <row r="1038" ht="15.75" customHeight="1">
      <c r="A1038" s="120" t="str">
        <f>IFERROR(__xludf.DUMMYFUNCTION("""COMPUTED_VALUE"""),"0914 488 154")</f>
        <v>0914 488 154</v>
      </c>
      <c r="B1038" s="121" t="str">
        <f>IFERROR(__xludf.DUMMYFUNCTION("""COMPUTED_VALUE"""),"Trọng Quyền")</f>
        <v>Trọng Quyền</v>
      </c>
      <c r="C1038" s="121" t="str">
        <f>IFERROR(__xludf.DUMMYFUNCTION("""COMPUTED_VALUE"""),"108 k1 Hoàng Quốc Việt")</f>
        <v>108 k1 Hoàng Quốc Việt</v>
      </c>
      <c r="D1038" s="121" t="str">
        <f>IFERROR(__xludf.DUMMYFUNCTION("""COMPUTED_VALUE"""),"chó")</f>
        <v>chó</v>
      </c>
      <c r="E1038" s="121" t="str">
        <f>IFERROR(__xludf.DUMMYFUNCTION("""COMPUTED_VALUE"""),"milu")</f>
        <v>milu</v>
      </c>
    </row>
    <row r="1039" ht="15.75" customHeight="1">
      <c r="A1039" s="128" t="str">
        <f>IFERROR(__xludf.DUMMYFUNCTION("""COMPUTED_VALUE"""),"0899 879 177")</f>
        <v>0899 879 177</v>
      </c>
      <c r="B1039" s="127" t="str">
        <f>IFERROR(__xludf.DUMMYFUNCTION("""COMPUTED_VALUE"""),"CHị Phước")</f>
        <v>CHị Phước</v>
      </c>
      <c r="C1039" s="127" t="str">
        <f>IFERROR(__xludf.DUMMYFUNCTION("""COMPUTED_VALUE"""),"23 Bùi Thị Xuân")</f>
        <v>23 Bùi Thị Xuân</v>
      </c>
      <c r="D1039" s="127" t="str">
        <f>IFERROR(__xludf.DUMMYFUNCTION("""COMPUTED_VALUE"""),"chó")</f>
        <v>chó</v>
      </c>
      <c r="E1039" s="127" t="str">
        <f>IFERROR(__xludf.DUMMYFUNCTION("""COMPUTED_VALUE"""),"rốt")</f>
        <v>rốt</v>
      </c>
    </row>
    <row r="1040" ht="15.75" customHeight="1">
      <c r="A1040" s="120" t="str">
        <f>IFERROR(__xludf.DUMMYFUNCTION("""COMPUTED_VALUE"""),"0388 318 346")</f>
        <v>0388 318 346</v>
      </c>
      <c r="B1040" s="121" t="str">
        <f>IFERROR(__xludf.DUMMYFUNCTION("""COMPUTED_VALUE"""),"Anh Hiếu")</f>
        <v>Anh Hiếu</v>
      </c>
      <c r="C1040" s="121" t="str">
        <f>IFERROR(__xludf.DUMMYFUNCTION("""COMPUTED_VALUE"""),"k131 Trần Phú")</f>
        <v>k131 Trần Phú</v>
      </c>
      <c r="D1040" s="121" t="str">
        <f>IFERROR(__xludf.DUMMYFUNCTION("""COMPUTED_VALUE"""),"chó")</f>
        <v>chó</v>
      </c>
      <c r="E1040" s="121" t="str">
        <f>IFERROR(__xludf.DUMMYFUNCTION("""COMPUTED_VALUE"""),"bun")</f>
        <v>bun</v>
      </c>
    </row>
    <row r="1041" ht="15.75" customHeight="1">
      <c r="A1041" s="120" t="str">
        <f>IFERROR(__xludf.DUMMYFUNCTION("""COMPUTED_VALUE"""),"0989 796 960")</f>
        <v>0989 796 960</v>
      </c>
      <c r="B1041" s="121" t="str">
        <f>IFERROR(__xludf.DUMMYFUNCTION("""COMPUTED_VALUE"""),"Anh Tình")</f>
        <v>Anh Tình</v>
      </c>
      <c r="C1041" s="121" t="str">
        <f>IFERROR(__xludf.DUMMYFUNCTION("""COMPUTED_VALUE"""),"67 Phùng Hưng")</f>
        <v>67 Phùng Hưng</v>
      </c>
      <c r="D1041" s="121" t="str">
        <f>IFERROR(__xludf.DUMMYFUNCTION("""COMPUTED_VALUE"""),"chó")</f>
        <v>chó</v>
      </c>
      <c r="E1041" s="121"/>
    </row>
    <row r="1042" ht="15.75" customHeight="1">
      <c r="A1042" s="128" t="str">
        <f>IFERROR(__xludf.DUMMYFUNCTION("""COMPUTED_VALUE"""),"0935 345 090")</f>
        <v>0935 345 090</v>
      </c>
      <c r="B1042" s="127" t="str">
        <f>IFERROR(__xludf.DUMMYFUNCTION("""COMPUTED_VALUE"""),"Anh Tú")</f>
        <v>Anh Tú</v>
      </c>
      <c r="C1042" s="127" t="str">
        <f>IFERROR(__xludf.DUMMYFUNCTION("""COMPUTED_VALUE"""),"20k214 Ngự Bình")</f>
        <v>20k214 Ngự Bình</v>
      </c>
      <c r="D1042" s="127" t="str">
        <f>IFERROR(__xludf.DUMMYFUNCTION("""COMPUTED_VALUE"""),"chó")</f>
        <v>chó</v>
      </c>
      <c r="E1042" s="127" t="str">
        <f>IFERROR(__xludf.DUMMYFUNCTION("""COMPUTED_VALUE"""),"bông")</f>
        <v>bông</v>
      </c>
    </row>
    <row r="1043" ht="15.75" customHeight="1">
      <c r="A1043" s="120" t="str">
        <f>IFERROR(__xludf.DUMMYFUNCTION("""COMPUTED_VALUE"""),"0901 777 575")</f>
        <v>0901 777 575</v>
      </c>
      <c r="B1043" s="121" t="str">
        <f>IFERROR(__xludf.DUMMYFUNCTION("""COMPUTED_VALUE"""),"Anh Tuấn Anh")</f>
        <v>Anh Tuấn Anh</v>
      </c>
      <c r="C1043" s="121" t="str">
        <f>IFERROR(__xludf.DUMMYFUNCTION("""COMPUTED_VALUE"""),"251 Bùi Thị Xuân")</f>
        <v>251 Bùi Thị Xuân</v>
      </c>
      <c r="D1043" s="121" t="str">
        <f>IFERROR(__xludf.DUMMYFUNCTION("""COMPUTED_VALUE"""),"Chó")</f>
        <v>Chó</v>
      </c>
      <c r="E1043" s="121"/>
    </row>
    <row r="1044" ht="15.75" customHeight="1">
      <c r="A1044" s="128" t="str">
        <f>IFERROR(__xludf.DUMMYFUNCTION("""COMPUTED_VALUE"""),"0799 214 324")</f>
        <v>0799 214 324</v>
      </c>
      <c r="B1044" s="121" t="str">
        <f>IFERROR(__xludf.DUMMYFUNCTION("""COMPUTED_VALUE"""),"Em Bích Nhật")</f>
        <v>Em Bích Nhật</v>
      </c>
      <c r="C1044" s="121" t="str">
        <f>IFERROR(__xludf.DUMMYFUNCTION("""COMPUTED_VALUE"""),"18B/56 Duy Tân")</f>
        <v>18B/56 Duy Tân</v>
      </c>
      <c r="D1044" s="121" t="str">
        <f>IFERROR(__xludf.DUMMYFUNCTION("""COMPUTED_VALUE"""),"Chó")</f>
        <v>Chó</v>
      </c>
      <c r="E1044" s="121" t="str">
        <f>IFERROR(__xludf.DUMMYFUNCTION("""COMPUTED_VALUE"""),"Đốm")</f>
        <v>Đốm</v>
      </c>
    </row>
    <row r="1045" ht="15.75" customHeight="1">
      <c r="A1045" s="120" t="str">
        <f>IFERROR(__xludf.DUMMYFUNCTION("""COMPUTED_VALUE"""),"0397 896 339")</f>
        <v>0397 896 339</v>
      </c>
      <c r="B1045" s="121" t="str">
        <f>IFERROR(__xludf.DUMMYFUNCTION("""COMPUTED_VALUE"""),"chị Hương")</f>
        <v>chị Hương</v>
      </c>
      <c r="C1045" s="121" t="str">
        <f>IFERROR(__xludf.DUMMYFUNCTION("""COMPUTED_VALUE"""),"131 Trần Phú")</f>
        <v>131 Trần Phú</v>
      </c>
      <c r="D1045" s="121" t="str">
        <f>IFERROR(__xludf.DUMMYFUNCTION("""COMPUTED_VALUE"""),"chó")</f>
        <v>chó</v>
      </c>
      <c r="E1045" s="121" t="str">
        <f>IFERROR(__xludf.DUMMYFUNCTION("""COMPUTED_VALUE"""),"bông")</f>
        <v>bông</v>
      </c>
    </row>
    <row r="1046" ht="15.75" customHeight="1">
      <c r="A1046" s="128" t="str">
        <f>IFERROR(__xludf.DUMMYFUNCTION("""COMPUTED_VALUE"""),"0395 579 929")</f>
        <v>0395 579 929</v>
      </c>
      <c r="B1046" s="127" t="str">
        <f>IFERROR(__xludf.DUMMYFUNCTION("""COMPUTED_VALUE"""),"Thầy Huy")</f>
        <v>Thầy Huy</v>
      </c>
      <c r="C1046" s="127" t="str">
        <f>IFERROR(__xludf.DUMMYFUNCTION("""COMPUTED_VALUE"""),"Chùa Phước Duyên")</f>
        <v>Chùa Phước Duyên</v>
      </c>
      <c r="D1046" s="127" t="str">
        <f>IFERROR(__xludf.DUMMYFUNCTION("""COMPUTED_VALUE"""),"Chó")</f>
        <v>Chó</v>
      </c>
      <c r="E1046" s="119" t="str">
        <f>IFERROR(__xludf.DUMMYFUNCTION("""COMPUTED_VALUE"""),"Ki")</f>
        <v>Ki</v>
      </c>
    </row>
    <row r="1047" ht="15.75" customHeight="1">
      <c r="A1047" s="120" t="str">
        <f>IFERROR(__xludf.DUMMYFUNCTION("""COMPUTED_VALUE"""),"0819 708 262")</f>
        <v>0819 708 262</v>
      </c>
      <c r="B1047" s="121" t="str">
        <f>IFERROR(__xludf.DUMMYFUNCTION("""COMPUTED_VALUE"""),"Em Ngọc Trang")</f>
        <v>Em Ngọc Trang</v>
      </c>
      <c r="C1047" s="121" t="str">
        <f>IFERROR(__xludf.DUMMYFUNCTION("""COMPUTED_VALUE"""),"11/8 Minh Mạng")</f>
        <v>11/8 Minh Mạng</v>
      </c>
      <c r="D1047" s="121" t="str">
        <f>IFERROR(__xludf.DUMMYFUNCTION("""COMPUTED_VALUE"""),"Mèo")</f>
        <v>Mèo</v>
      </c>
      <c r="E1047" s="121" t="str">
        <f>IFERROR(__xludf.DUMMYFUNCTION("""COMPUTED_VALUE"""),"Tam Thể")</f>
        <v>Tam Thể</v>
      </c>
    </row>
    <row r="1048" ht="15.75" customHeight="1">
      <c r="A1048" s="128" t="str">
        <f>IFERROR(__xludf.DUMMYFUNCTION("""COMPUTED_VALUE"""),"0901 161 595")</f>
        <v>0901 161 595</v>
      </c>
      <c r="B1048" s="127" t="str">
        <f>IFERROR(__xludf.DUMMYFUNCTION("""COMPUTED_VALUE"""),"Tường Vy")</f>
        <v>Tường Vy</v>
      </c>
      <c r="C1048" s="127" t="str">
        <f>IFERROR(__xludf.DUMMYFUNCTION("""COMPUTED_VALUE"""),"151 Long Hồ")</f>
        <v>151 Long Hồ</v>
      </c>
      <c r="D1048" s="127" t="str">
        <f>IFERROR(__xludf.DUMMYFUNCTION("""COMPUTED_VALUE"""),"Chó ")</f>
        <v>Chó </v>
      </c>
      <c r="E1048" s="127" t="str">
        <f>IFERROR(__xludf.DUMMYFUNCTION("""COMPUTED_VALUE"""),"Bông")</f>
        <v>Bông</v>
      </c>
    </row>
    <row r="1049" ht="15.75" customHeight="1">
      <c r="A1049" s="128" t="str">
        <f>IFERROR(__xludf.DUMMYFUNCTION("""COMPUTED_VALUE"""),"0384 424 543")</f>
        <v>0384 424 543</v>
      </c>
      <c r="B1049" s="127" t="str">
        <f>IFERROR(__xludf.DUMMYFUNCTION("""COMPUTED_VALUE"""),"Em Thanh Trúc")</f>
        <v>Em Thanh Trúc</v>
      </c>
      <c r="C1049" s="127" t="str">
        <f>IFERROR(__xludf.DUMMYFUNCTION("""COMPUTED_VALUE"""),"k131 Trần Phú")</f>
        <v>k131 Trần Phú</v>
      </c>
      <c r="D1049" s="127" t="str">
        <f>IFERROR(__xludf.DUMMYFUNCTION("""COMPUTED_VALUE"""),"Mòe")</f>
        <v>Mòe</v>
      </c>
      <c r="E1049" s="119" t="str">
        <f>IFERROR(__xludf.DUMMYFUNCTION("""COMPUTED_VALUE"""),"Huệ")</f>
        <v>Huệ</v>
      </c>
    </row>
    <row r="1050" ht="15.75" customHeight="1">
      <c r="A1050" s="120" t="str">
        <f>IFERROR(__xludf.DUMMYFUNCTION("""COMPUTED_VALUE"""),"0972 340 901")</f>
        <v>0972 340 901</v>
      </c>
      <c r="B1050" s="121" t="str">
        <f>IFERROR(__xludf.DUMMYFUNCTION("""COMPUTED_VALUE"""),"Đoàn Thị Hồng")</f>
        <v>Đoàn Thị Hồng</v>
      </c>
      <c r="C1050" s="121" t="str">
        <f>IFERROR(__xludf.DUMMYFUNCTION("""COMPUTED_VALUE"""),"Hải Dương")</f>
        <v>Hải Dương</v>
      </c>
      <c r="D1050" s="121" t="str">
        <f>IFERROR(__xludf.DUMMYFUNCTION("""COMPUTED_VALUE"""),"Chó")</f>
        <v>Chó</v>
      </c>
      <c r="E1050" s="121" t="str">
        <f>IFERROR(__xludf.DUMMYFUNCTION("""COMPUTED_VALUE"""),"Chibi")</f>
        <v>Chibi</v>
      </c>
    </row>
    <row r="1051" ht="15.75" customHeight="1">
      <c r="A1051" s="120" t="str">
        <f>IFERROR(__xludf.DUMMYFUNCTION("""COMPUTED_VALUE"""),"0394 099 659")</f>
        <v>0394 099 659</v>
      </c>
      <c r="B1051" s="121" t="str">
        <f>IFERROR(__xludf.DUMMYFUNCTION("""COMPUTED_VALUE"""),"Anh Nhiên")</f>
        <v>Anh Nhiên</v>
      </c>
      <c r="C1051" s="121" t="str">
        <f>IFERROR(__xludf.DUMMYFUNCTION("""COMPUTED_VALUE"""),"4/78 Hoàng Quang")</f>
        <v>4/78 Hoàng Quang</v>
      </c>
      <c r="D1051" s="121" t="str">
        <f>IFERROR(__xludf.DUMMYFUNCTION("""COMPUTED_VALUE"""),"Chó")</f>
        <v>Chó</v>
      </c>
      <c r="E1051" s="121" t="str">
        <f>IFERROR(__xludf.DUMMYFUNCTION("""COMPUTED_VALUE"""),"Gấu")</f>
        <v>Gấu</v>
      </c>
    </row>
    <row r="1052" ht="15.75" customHeight="1">
      <c r="A1052" s="128" t="str">
        <f>IFERROR(__xludf.DUMMYFUNCTION("""COMPUTED_VALUE"""),"0934 957 519")</f>
        <v>0934 957 519</v>
      </c>
      <c r="B1052" s="127" t="str">
        <f>IFERROR(__xludf.DUMMYFUNCTION("""COMPUTED_VALUE"""),"Em Minh Trân")</f>
        <v>Em Minh Trân</v>
      </c>
      <c r="C1052" s="127" t="str">
        <f>IFERROR(__xludf.DUMMYFUNCTION("""COMPUTED_VALUE"""),"23 Nguyễn Huệ")</f>
        <v>23 Nguyễn Huệ</v>
      </c>
      <c r="D1052" s="127" t="str">
        <f>IFERROR(__xludf.DUMMYFUNCTION("""COMPUTED_VALUE"""),"Mèo")</f>
        <v>Mèo</v>
      </c>
      <c r="E1052" s="127" t="str">
        <f>IFERROR(__xludf.DUMMYFUNCTION("""COMPUTED_VALUE"""),"Hotondo ")</f>
        <v>Hotondo </v>
      </c>
    </row>
    <row r="1053" ht="15.75" customHeight="1">
      <c r="A1053" s="128" t="str">
        <f>IFERROR(__xludf.DUMMYFUNCTION("""COMPUTED_VALUE"""),"0775 519 060")</f>
        <v>0775 519 060</v>
      </c>
      <c r="B1053" s="127" t="str">
        <f>IFERROR(__xludf.DUMMYFUNCTION("""COMPUTED_VALUE"""),"Dì Châu")</f>
        <v>Dì Châu</v>
      </c>
      <c r="C1053" s="127" t="str">
        <f>IFERROR(__xludf.DUMMYFUNCTION("""COMPUTED_VALUE"""),"17 Đặng Huy Trứ")</f>
        <v>17 Đặng Huy Trứ</v>
      </c>
      <c r="D1053" s="127" t="str">
        <f>IFERROR(__xludf.DUMMYFUNCTION("""COMPUTED_VALUE"""),"Chó")</f>
        <v>Chó</v>
      </c>
      <c r="E1053" s="127" t="str">
        <f>IFERROR(__xludf.DUMMYFUNCTION("""COMPUTED_VALUE"""),"Tôm")</f>
        <v>Tôm</v>
      </c>
    </row>
    <row r="1054" ht="15.75" customHeight="1">
      <c r="A1054" s="128" t="str">
        <f>IFERROR(__xludf.DUMMYFUNCTION("""COMPUTED_VALUE"""),"0379 850 424")</f>
        <v>0379 850 424</v>
      </c>
      <c r="B1054" s="127" t="str">
        <f>IFERROR(__xludf.DUMMYFUNCTION("""COMPUTED_VALUE"""),"Em Hiền ")</f>
        <v>Em Hiền </v>
      </c>
      <c r="C1054" s="127" t="str">
        <f>IFERROR(__xludf.DUMMYFUNCTION("""COMPUTED_VALUE"""),"4/47 Hàm Nghi")</f>
        <v>4/47 Hàm Nghi</v>
      </c>
      <c r="D1054" s="127" t="str">
        <f>IFERROR(__xludf.DUMMYFUNCTION("""COMPUTED_VALUE"""),"mèo")</f>
        <v>mèo</v>
      </c>
      <c r="E1054" s="127" t="str">
        <f>IFERROR(__xludf.DUMMYFUNCTION("""COMPUTED_VALUE"""),"miu")</f>
        <v>miu</v>
      </c>
    </row>
    <row r="1055" ht="15.75" customHeight="1">
      <c r="A1055" s="128" t="str">
        <f>IFERROR(__xludf.DUMMYFUNCTION("""COMPUTED_VALUE"""),"0357 910 396")</f>
        <v>0357 910 396</v>
      </c>
      <c r="B1055" s="127" t="str">
        <f>IFERROR(__xludf.DUMMYFUNCTION("""COMPUTED_VALUE"""),"Lê Thị Thảo")</f>
        <v>Lê Thị Thảo</v>
      </c>
      <c r="C1055" s="127" t="str">
        <f>IFERROR(__xludf.DUMMYFUNCTION("""COMPUTED_VALUE"""),"63/240 Lý Nam Đế")</f>
        <v>63/240 Lý Nam Đế</v>
      </c>
      <c r="D1055" s="127" t="str">
        <f>IFERROR(__xludf.DUMMYFUNCTION("""COMPUTED_VALUE"""),"Chó")</f>
        <v>Chó</v>
      </c>
      <c r="E1055" s="127" t="str">
        <f>IFERROR(__xludf.DUMMYFUNCTION("""COMPUTED_VALUE"""),"Bia")</f>
        <v>Bia</v>
      </c>
    </row>
    <row r="1056" ht="15.75" customHeight="1">
      <c r="A1056" s="128" t="str">
        <f>IFERROR(__xludf.DUMMYFUNCTION("""COMPUTED_VALUE"""),"0387 576 177")</f>
        <v>0387 576 177</v>
      </c>
      <c r="B1056" s="127" t="str">
        <f>IFERROR(__xludf.DUMMYFUNCTION("""COMPUTED_VALUE"""),"Chị Giang")</f>
        <v>Chị Giang</v>
      </c>
      <c r="C1056" s="127" t="str">
        <f>IFERROR(__xludf.DUMMYFUNCTION("""COMPUTED_VALUE"""),"Hương Vinh")</f>
        <v>Hương Vinh</v>
      </c>
      <c r="D1056" s="127" t="str">
        <f>IFERROR(__xludf.DUMMYFUNCTION("""COMPUTED_VALUE"""),"Chó")</f>
        <v>Chó</v>
      </c>
      <c r="E1056" s="127" t="str">
        <f>IFERROR(__xludf.DUMMYFUNCTION("""COMPUTED_VALUE"""),"Nơ")</f>
        <v>Nơ</v>
      </c>
    </row>
    <row r="1057" ht="15.75" customHeight="1">
      <c r="A1057" s="128" t="str">
        <f>IFERROR(__xludf.DUMMYFUNCTION("""COMPUTED_VALUE"""),"0702 760 599")</f>
        <v>0702 760 599</v>
      </c>
      <c r="B1057" s="127" t="str">
        <f>IFERROR(__xludf.DUMMYFUNCTION("""COMPUTED_VALUE"""),"Chị Tuệ MInh")</f>
        <v>Chị Tuệ MInh</v>
      </c>
      <c r="C1057" s="127" t="str">
        <f>IFERROR(__xludf.DUMMYFUNCTION("""COMPUTED_VALUE"""),"128 Nguyễn Sinh Cung")</f>
        <v>128 Nguyễn Sinh Cung</v>
      </c>
      <c r="D1057" s="127" t="str">
        <f>IFERROR(__xludf.DUMMYFUNCTION("""COMPUTED_VALUE"""),"Chó")</f>
        <v>Chó</v>
      </c>
      <c r="E1057" s="127" t="str">
        <f>IFERROR(__xludf.DUMMYFUNCTION("""COMPUTED_VALUE"""),"Bánh")</f>
        <v>Bánh</v>
      </c>
    </row>
    <row r="1058" ht="15.75" customHeight="1">
      <c r="A1058" s="120" t="str">
        <f>IFERROR(__xludf.DUMMYFUNCTION("""COMPUTED_VALUE"""),"0909 372 956")</f>
        <v>0909 372 956</v>
      </c>
      <c r="B1058" s="121" t="str">
        <f>IFERROR(__xludf.DUMMYFUNCTION("""COMPUTED_VALUE"""),"Chú Cảng")</f>
        <v>Chú Cảng</v>
      </c>
      <c r="C1058" s="121" t="str">
        <f>IFERROR(__xludf.DUMMYFUNCTION("""COMPUTED_VALUE"""),"D11 Đường Xuân Hòa, Hương Long")</f>
        <v>D11 Đường Xuân Hòa, Hương Long</v>
      </c>
      <c r="D1058" s="127" t="str">
        <f>IFERROR(__xludf.DUMMYFUNCTION("""COMPUTED_VALUE"""),"Chó")</f>
        <v>Chó</v>
      </c>
      <c r="E1058" s="127" t="str">
        <f>IFERROR(__xludf.DUMMYFUNCTION("""COMPUTED_VALUE"""),"Nu")</f>
        <v>Nu</v>
      </c>
    </row>
    <row r="1059" ht="15.75" customHeight="1">
      <c r="A1059" s="128" t="str">
        <f>IFERROR(__xludf.DUMMYFUNCTION("""COMPUTED_VALUE"""),"0382 883 108")</f>
        <v>0382 883 108</v>
      </c>
      <c r="B1059" s="127" t="str">
        <f>IFERROR(__xludf.DUMMYFUNCTION("""COMPUTED_VALUE"""),"Dì Hiệp")</f>
        <v>Dì Hiệp</v>
      </c>
      <c r="C1059" s="127" t="str">
        <f>IFERROR(__xludf.DUMMYFUNCTION("""COMPUTED_VALUE"""),"12/24 Nguyễn Phúc Nguyên")</f>
        <v>12/24 Nguyễn Phúc Nguyên</v>
      </c>
      <c r="D1059" s="127" t="str">
        <f>IFERROR(__xludf.DUMMYFUNCTION("""COMPUTED_VALUE"""),"Chó")</f>
        <v>Chó</v>
      </c>
      <c r="E1059" s="127" t="str">
        <f>IFERROR(__xludf.DUMMYFUNCTION("""COMPUTED_VALUE"""),"Milu")</f>
        <v>Milu</v>
      </c>
    </row>
    <row r="1060" ht="15.75" customHeight="1">
      <c r="A1060" s="120" t="str">
        <f>IFERROR(__xludf.DUMMYFUNCTION("""COMPUTED_VALUE"""),"0342 933 753")</f>
        <v>0342 933 753</v>
      </c>
      <c r="B1060" s="121" t="str">
        <f>IFERROR(__xludf.DUMMYFUNCTION("""COMPUTED_VALUE"""),"Chị Yến")</f>
        <v>Chị Yến</v>
      </c>
      <c r="C1060" s="121" t="str">
        <f>IFERROR(__xludf.DUMMYFUNCTION("""COMPUTED_VALUE"""),"k69 Lê Ngô Cát")</f>
        <v>k69 Lê Ngô Cát</v>
      </c>
      <c r="D1060" s="121" t="str">
        <f>IFERROR(__xludf.DUMMYFUNCTION("""COMPUTED_VALUE"""),"mèo")</f>
        <v>mèo</v>
      </c>
      <c r="E1060" s="119" t="str">
        <f>IFERROR(__xludf.DUMMYFUNCTION("""COMPUTED_VALUE"""),"mon")</f>
        <v>mon</v>
      </c>
    </row>
    <row r="1061" ht="15.75" customHeight="1">
      <c r="A1061" s="128" t="str">
        <f>IFERROR(__xludf.DUMMYFUNCTION("""COMPUTED_VALUE"""),"0768 501 623")</f>
        <v>0768 501 623</v>
      </c>
      <c r="B1061" s="127" t="str">
        <f>IFERROR(__xludf.DUMMYFUNCTION("""COMPUTED_VALUE"""),"Nguyễn Quốc Danh")</f>
        <v>Nguyễn Quốc Danh</v>
      </c>
      <c r="C1061" s="127" t="str">
        <f>IFERROR(__xludf.DUMMYFUNCTION("""COMPUTED_VALUE""")," 47 Lê Công Quyền")</f>
        <v> 47 Lê Công Quyền</v>
      </c>
      <c r="D1061" s="127" t="str">
        <f>IFERROR(__xludf.DUMMYFUNCTION("""COMPUTED_VALUE"""),"chó")</f>
        <v>chó</v>
      </c>
      <c r="E1061" s="127" t="str">
        <f>IFERROR(__xludf.DUMMYFUNCTION("""COMPUTED_VALUE""")," Mướp")</f>
        <v> Mướp</v>
      </c>
    </row>
    <row r="1062" ht="15.75" customHeight="1">
      <c r="A1062" s="128" t="str">
        <f>IFERROR(__xludf.DUMMYFUNCTION("""COMPUTED_VALUE"""),"0936 299 955")</f>
        <v>0936 299 955</v>
      </c>
      <c r="B1062" s="127" t="str">
        <f>IFERROR(__xludf.DUMMYFUNCTION("""COMPUTED_VALUE"""),"Anh Nghĩa")</f>
        <v>Anh Nghĩa</v>
      </c>
      <c r="C1062" s="127" t="str">
        <f>IFERROR(__xludf.DUMMYFUNCTION("""COMPUTED_VALUE"""),"Lê Thành Tôn")</f>
        <v>Lê Thành Tôn</v>
      </c>
      <c r="D1062" s="127" t="str">
        <f>IFERROR(__xludf.DUMMYFUNCTION("""COMPUTED_VALUE"""),"chó")</f>
        <v>chó</v>
      </c>
      <c r="E1062" s="127" t="str">
        <f>IFERROR(__xludf.DUMMYFUNCTION("""COMPUTED_VALUE""")," Misa")</f>
        <v> Misa</v>
      </c>
    </row>
    <row r="1063" ht="15.75" customHeight="1">
      <c r="A1063" s="120" t="str">
        <f>IFERROR(__xludf.DUMMYFUNCTION("""COMPUTED_VALUE"""),"0916 977 238")</f>
        <v>0916 977 238</v>
      </c>
      <c r="B1063" s="121" t="str">
        <f>IFERROR(__xludf.DUMMYFUNCTION("""COMPUTED_VALUE"""),"Chú Ngọc")</f>
        <v>Chú Ngọc</v>
      </c>
      <c r="C1063" s="121" t="str">
        <f>IFERROR(__xludf.DUMMYFUNCTION("""COMPUTED_VALUE"""),"Bùi Thị Xuân")</f>
        <v>Bùi Thị Xuân</v>
      </c>
      <c r="D1063" s="121" t="str">
        <f>IFERROR(__xludf.DUMMYFUNCTION("""COMPUTED_VALUE"""),"chó")</f>
        <v>chó</v>
      </c>
      <c r="E1063" s="121" t="str">
        <f>IFERROR(__xludf.DUMMYFUNCTION("""COMPUTED_VALUE""")," Mực")</f>
        <v> Mực</v>
      </c>
    </row>
    <row r="1064" ht="15.75" customHeight="1">
      <c r="A1064" s="120" t="str">
        <f>IFERROR(__xludf.DUMMYFUNCTION("""COMPUTED_VALUE"""),"0935 391 393")</f>
        <v>0935 391 393</v>
      </c>
      <c r="B1064" s="121" t="str">
        <f>IFERROR(__xludf.DUMMYFUNCTION("""COMPUTED_VALUE"""),"Đoàn Thị Mỹ Ly")</f>
        <v>Đoàn Thị Mỹ Ly</v>
      </c>
      <c r="C1064" s="121" t="str">
        <f>IFERROR(__xludf.DUMMYFUNCTION("""COMPUTED_VALUE"""),"103 Ông Ích Khiêm")</f>
        <v>103 Ông Ích Khiêm</v>
      </c>
      <c r="D1064" s="121" t="str">
        <f>IFERROR(__xludf.DUMMYFUNCTION("""COMPUTED_VALUE"""),"mèo")</f>
        <v>mèo</v>
      </c>
      <c r="E1064" s="121" t="str">
        <f>IFERROR(__xludf.DUMMYFUNCTION("""COMPUTED_VALUE""")," cháy- vàng")</f>
        <v> cháy- vàng</v>
      </c>
    </row>
    <row r="1065" ht="15.75" customHeight="1">
      <c r="A1065" s="120" t="str">
        <f>IFERROR(__xludf.DUMMYFUNCTION("""COMPUTED_VALUE"""),"0938 965 264")</f>
        <v>0938 965 264</v>
      </c>
      <c r="B1065" s="121" t="str">
        <f>IFERROR(__xludf.DUMMYFUNCTION("""COMPUTED_VALUE"""),"Chị Thanh ")</f>
        <v>Chị Thanh </v>
      </c>
      <c r="C1065" s="121" t="str">
        <f>IFERROR(__xludf.DUMMYFUNCTION("""COMPUTED_VALUE"""),"44 Lê Ngô Cát")</f>
        <v>44 Lê Ngô Cát</v>
      </c>
      <c r="D1065" s="121" t="str">
        <f>IFERROR(__xludf.DUMMYFUNCTION("""COMPUTED_VALUE"""),"mèo")</f>
        <v>mèo</v>
      </c>
      <c r="E1065" s="119" t="str">
        <f>IFERROR(__xludf.DUMMYFUNCTION("""COMPUTED_VALUE""")," Bông")</f>
        <v> Bông</v>
      </c>
    </row>
    <row r="1066" ht="15.75" customHeight="1">
      <c r="A1066" s="128" t="str">
        <f>IFERROR(__xludf.DUMMYFUNCTION("""COMPUTED_VALUE"""),"0358 216 528")</f>
        <v>0358 216 528</v>
      </c>
      <c r="B1066" s="127" t="str">
        <f>IFERROR(__xludf.DUMMYFUNCTION("""COMPUTED_VALUE"""),"Anh Hiếu")</f>
        <v>Anh Hiếu</v>
      </c>
      <c r="C1066" s="127" t="str">
        <f>IFERROR(__xludf.DUMMYFUNCTION("""COMPUTED_VALUE"""),"17 ngõ 2k42 Đào Tấn")</f>
        <v>17 ngõ 2k42 Đào Tấn</v>
      </c>
      <c r="D1066" s="127" t="str">
        <f>IFERROR(__xludf.DUMMYFUNCTION("""COMPUTED_VALUE"""),"chó")</f>
        <v>chó</v>
      </c>
      <c r="E1066" s="119" t="str">
        <f>IFERROR(__xludf.DUMMYFUNCTION("""COMPUTED_VALUE"""),"bông")</f>
        <v>bông</v>
      </c>
    </row>
    <row r="1067" ht="15.75" customHeight="1">
      <c r="A1067" s="128" t="str">
        <f>IFERROR(__xludf.DUMMYFUNCTION("""COMPUTED_VALUE"""),"0945 222 251")</f>
        <v>0945 222 251</v>
      </c>
      <c r="B1067" s="127" t="str">
        <f>IFERROR(__xludf.DUMMYFUNCTION("""COMPUTED_VALUE"""),"Thầy Thuận")</f>
        <v>Thầy Thuận</v>
      </c>
      <c r="C1067" s="127" t="str">
        <f>IFERROR(__xludf.DUMMYFUNCTION("""COMPUTED_VALUE"""),"151 Long Hồ")</f>
        <v>151 Long Hồ</v>
      </c>
      <c r="D1067" s="127" t="str">
        <f>IFERROR(__xludf.DUMMYFUNCTION("""COMPUTED_VALUE"""),"chó")</f>
        <v>chó</v>
      </c>
      <c r="E1067" s="127" t="str">
        <f>IFERROR(__xludf.DUMMYFUNCTION("""COMPUTED_VALUE""")," Nâu")</f>
        <v> Nâu</v>
      </c>
    </row>
    <row r="1068" ht="15.75" customHeight="1">
      <c r="A1068" s="128" t="str">
        <f>IFERROR(__xludf.DUMMYFUNCTION("""COMPUTED_VALUE"""),"0763 776 683")</f>
        <v>0763 776 683</v>
      </c>
      <c r="B1068" s="127" t="str">
        <f>IFERROR(__xludf.DUMMYFUNCTION("""COMPUTED_VALUE"""),"Chị Phượng")</f>
        <v>Chị Phượng</v>
      </c>
      <c r="C1068" s="127" t="str">
        <f>IFERROR(__xludf.DUMMYFUNCTION("""COMPUTED_VALUE"""),"Kiệt 22 Phú Mộng")</f>
        <v>Kiệt 22 Phú Mộng</v>
      </c>
      <c r="D1068" s="127" t="str">
        <f>IFERROR(__xludf.DUMMYFUNCTION("""COMPUTED_VALUE"""),"chó")</f>
        <v>chó</v>
      </c>
      <c r="E1068" s="127" t="str">
        <f>IFERROR(__xludf.DUMMYFUNCTION("""COMPUTED_VALUE""")," Milu")</f>
        <v> Milu</v>
      </c>
    </row>
    <row r="1069" ht="15.75" customHeight="1">
      <c r="A1069" s="120" t="str">
        <f>IFERROR(__xludf.DUMMYFUNCTION("""COMPUTED_VALUE"""),"0949 595 601")</f>
        <v>0949 595 601</v>
      </c>
      <c r="B1069" s="121" t="str">
        <f>IFERROR(__xludf.DUMMYFUNCTION("""COMPUTED_VALUE"""),"Chị Như")</f>
        <v>Chị Như</v>
      </c>
      <c r="C1069" s="121"/>
      <c r="D1069" s="121" t="str">
        <f>IFERROR(__xludf.DUMMYFUNCTION("""COMPUTED_VALUE"""),"chó")</f>
        <v>chó</v>
      </c>
      <c r="E1069" s="121" t="str">
        <f>IFERROR(__xludf.DUMMYFUNCTION("""COMPUTED_VALUE"""),"su")</f>
        <v>su</v>
      </c>
    </row>
    <row r="1070" ht="15.75" customHeight="1">
      <c r="A1070" s="120" t="str">
        <f>IFERROR(__xludf.DUMMYFUNCTION("""COMPUTED_VALUE"""),"0375 313 457")</f>
        <v>0375 313 457</v>
      </c>
      <c r="B1070" s="121" t="str">
        <f>IFERROR(__xludf.DUMMYFUNCTION("""COMPUTED_VALUE"""),"Chú Thắng")</f>
        <v>Chú Thắng</v>
      </c>
      <c r="C1070" s="121" t="str">
        <f>IFERROR(__xludf.DUMMYFUNCTION("""COMPUTED_VALUE"""),"tổ 12 phường Thủy Xuân")</f>
        <v>tổ 12 phường Thủy Xuân</v>
      </c>
      <c r="D1070" s="121" t="str">
        <f>IFERROR(__xludf.DUMMYFUNCTION("""COMPUTED_VALUE"""),"chó")</f>
        <v>chó</v>
      </c>
      <c r="E1070" s="121" t="str">
        <f>IFERROR(__xludf.DUMMYFUNCTION("""COMPUTED_VALUE"""),"cà fe")</f>
        <v>cà fe</v>
      </c>
    </row>
    <row r="1071" ht="15.75" customHeight="1">
      <c r="A1071" s="128" t="str">
        <f>IFERROR(__xludf.DUMMYFUNCTION("""COMPUTED_VALUE"""),"0357 579 804")</f>
        <v>0357 579 804</v>
      </c>
      <c r="B1071" s="127" t="str">
        <f>IFERROR(__xludf.DUMMYFUNCTION("""COMPUTED_VALUE"""),"Hồng Ngọc")</f>
        <v>Hồng Ngọc</v>
      </c>
      <c r="C1071" s="127" t="str">
        <f>IFERROR(__xludf.DUMMYFUNCTION("""COMPUTED_VALUE"""),"91/47 Ưng Bình")</f>
        <v>91/47 Ưng Bình</v>
      </c>
      <c r="D1071" s="127" t="str">
        <f>IFERROR(__xludf.DUMMYFUNCTION("""COMPUTED_VALUE"""),"chó")</f>
        <v>chó</v>
      </c>
      <c r="E1071" s="119" t="str">
        <f>IFERROR(__xludf.DUMMYFUNCTION("""COMPUTED_VALUE"""),"kin")</f>
        <v>kin</v>
      </c>
    </row>
    <row r="1072" ht="15.75" customHeight="1">
      <c r="A1072" s="120" t="str">
        <f>IFERROR(__xludf.DUMMYFUNCTION("""COMPUTED_VALUE"""),"0766 071 234")</f>
        <v>0766 071 234</v>
      </c>
      <c r="B1072" s="121" t="str">
        <f>IFERROR(__xludf.DUMMYFUNCTION("""COMPUTED_VALUE"""),"Chị Ngọc Anh")</f>
        <v>Chị Ngọc Anh</v>
      </c>
      <c r="C1072" s="121" t="str">
        <f>IFERROR(__xludf.DUMMYFUNCTION("""COMPUTED_VALUE"""),"33/23/121 Trần Phú")</f>
        <v>33/23/121 Trần Phú</v>
      </c>
      <c r="D1072" s="121" t="str">
        <f>IFERROR(__xludf.DUMMYFUNCTION("""COMPUTED_VALUE"""),"Mèo")</f>
        <v>Mèo</v>
      </c>
      <c r="E1072" s="121" t="str">
        <f>IFERROR(__xludf.DUMMYFUNCTION("""COMPUTED_VALUE"""),"Trắng")</f>
        <v>Trắng</v>
      </c>
    </row>
    <row r="1073" ht="15.75" customHeight="1">
      <c r="A1073" s="120" t="str">
        <f>IFERROR(__xludf.DUMMYFUNCTION("""COMPUTED_VALUE"""),"0793 584 327")</f>
        <v>0793 584 327</v>
      </c>
      <c r="B1073" s="121" t="str">
        <f>IFERROR(__xludf.DUMMYFUNCTION("""COMPUTED_VALUE"""),"Chú Tư")</f>
        <v>Chú Tư</v>
      </c>
      <c r="C1073" s="121" t="str">
        <f>IFERROR(__xludf.DUMMYFUNCTION("""COMPUTED_VALUE"""),"Nguyễn Hoàng")</f>
        <v>Nguyễn Hoàng</v>
      </c>
      <c r="D1073" s="121" t="str">
        <f>IFERROR(__xludf.DUMMYFUNCTION("""COMPUTED_VALUE"""),"chó")</f>
        <v>chó</v>
      </c>
      <c r="E1073" s="121" t="str">
        <f>IFERROR(__xludf.DUMMYFUNCTION("""COMPUTED_VALUE""")," Rốt")</f>
        <v> Rốt</v>
      </c>
    </row>
    <row r="1074" ht="15.75" customHeight="1">
      <c r="A1074" s="120" t="str">
        <f>IFERROR(__xludf.DUMMYFUNCTION("""COMPUTED_VALUE"""),"0911 302 266")</f>
        <v>0911 302 266</v>
      </c>
      <c r="B1074" s="121" t="str">
        <f>IFERROR(__xludf.DUMMYFUNCTION("""COMPUTED_VALUE"""),"Chị Ngọc Huyền")</f>
        <v>Chị Ngọc Huyền</v>
      </c>
      <c r="C1074" s="121" t="str">
        <f>IFERROR(__xludf.DUMMYFUNCTION("""COMPUTED_VALUE"""),"3 Nguyễn Hữu Huân")</f>
        <v>3 Nguyễn Hữu Huân</v>
      </c>
      <c r="D1074" s="121" t="str">
        <f>IFERROR(__xludf.DUMMYFUNCTION("""COMPUTED_VALUE"""),"mèo")</f>
        <v>mèo</v>
      </c>
      <c r="E1074" s="121" t="str">
        <f>IFERROR(__xludf.DUMMYFUNCTION("""COMPUTED_VALUE""")," Cam")</f>
        <v> Cam</v>
      </c>
    </row>
    <row r="1075" ht="15.75" customHeight="1">
      <c r="A1075" s="120" t="str">
        <f>IFERROR(__xludf.DUMMYFUNCTION("""COMPUTED_VALUE"""),"0978 819 868")</f>
        <v>0978 819 868</v>
      </c>
      <c r="B1075" s="121" t="str">
        <f>IFERROR(__xludf.DUMMYFUNCTION("""COMPUTED_VALUE"""),"Chị Hà")</f>
        <v>Chị Hà</v>
      </c>
      <c r="C1075" s="121" t="str">
        <f>IFERROR(__xludf.DUMMYFUNCTION("""COMPUTED_VALUE"""),"76b/131 Trần Phú")</f>
        <v>76b/131 Trần Phú</v>
      </c>
      <c r="D1075" s="121" t="str">
        <f>IFERROR(__xludf.DUMMYFUNCTION("""COMPUTED_VALUE"""),"Chó")</f>
        <v>Chó</v>
      </c>
      <c r="E1075" s="121" t="str">
        <f>IFERROR(__xludf.DUMMYFUNCTION("""COMPUTED_VALUE"""),"la")</f>
        <v>la</v>
      </c>
    </row>
    <row r="1076" ht="15.75" customHeight="1">
      <c r="A1076" s="120" t="str">
        <f>IFERROR(__xludf.DUMMYFUNCTION("""COMPUTED_VALUE"""),"0935 863 209")</f>
        <v>0935 863 209</v>
      </c>
      <c r="B1076" s="121" t="str">
        <f>IFERROR(__xludf.DUMMYFUNCTION("""COMPUTED_VALUE"""),"Chị Hương")</f>
        <v>Chị Hương</v>
      </c>
      <c r="C1076" s="121" t="str">
        <f>IFERROR(__xludf.DUMMYFUNCTION("""COMPUTED_VALUE"""),"9/110 Lê Duẫn")</f>
        <v>9/110 Lê Duẫn</v>
      </c>
      <c r="D1076" s="121" t="str">
        <f>IFERROR(__xludf.DUMMYFUNCTION("""COMPUTED_VALUE""")," chó")</f>
        <v> chó</v>
      </c>
      <c r="E1076" s="119" t="str">
        <f>IFERROR(__xludf.DUMMYFUNCTION("""COMPUTED_VALUE""")," Milu")</f>
        <v> Milu</v>
      </c>
    </row>
    <row r="1077" ht="15.75" customHeight="1">
      <c r="A1077" s="128" t="str">
        <f>IFERROR(__xludf.DUMMYFUNCTION("""COMPUTED_VALUE"""),"0388 788 315")</f>
        <v>0388 788 315</v>
      </c>
      <c r="B1077" s="127" t="str">
        <f>IFERROR(__xludf.DUMMYFUNCTION("""COMPUTED_VALUE"""),"Thầy Trung Định")</f>
        <v>Thầy Trung Định</v>
      </c>
      <c r="C1077" s="127" t="str">
        <f>IFERROR(__xludf.DUMMYFUNCTION("""COMPUTED_VALUE"""),"Chùa Thiền Tôn")</f>
        <v>Chùa Thiền Tôn</v>
      </c>
      <c r="D1077" s="127" t="str">
        <f>IFERROR(__xludf.DUMMYFUNCTION("""COMPUTED_VALUE"""),"chó")</f>
        <v>chó</v>
      </c>
      <c r="E1077" s="133" t="str">
        <f>IFERROR(__xludf.DUMMYFUNCTION("""COMPUTED_VALUE"""),"rốt")</f>
        <v>rốt</v>
      </c>
    </row>
    <row r="1078" ht="15.75" customHeight="1">
      <c r="A1078" s="120" t="str">
        <f>IFERROR(__xludf.DUMMYFUNCTION("""COMPUTED_VALUE"""),"0852 448 575")</f>
        <v>0852 448 575</v>
      </c>
      <c r="B1078" s="121" t="str">
        <f>IFERROR(__xludf.DUMMYFUNCTION("""COMPUTED_VALUE"""),"Chị Diệu")</f>
        <v>Chị Diệu</v>
      </c>
      <c r="C1078" s="121" t="str">
        <f>IFERROR(__xludf.DUMMYFUNCTION("""COMPUTED_VALUE"""),"205 Trần Phú")</f>
        <v>205 Trần Phú</v>
      </c>
      <c r="D1078" s="121" t="str">
        <f>IFERROR(__xludf.DUMMYFUNCTION("""COMPUTED_VALUE"""),"mèo")</f>
        <v>mèo</v>
      </c>
      <c r="E1078" s="121"/>
    </row>
    <row r="1079" ht="15.75" customHeight="1">
      <c r="A1079" s="120" t="str">
        <f>IFERROR(__xludf.DUMMYFUNCTION("""COMPUTED_VALUE"""),"0344 513 960")</f>
        <v>0344 513 960</v>
      </c>
      <c r="B1079" s="121" t="str">
        <f>IFERROR(__xludf.DUMMYFUNCTION("""COMPUTED_VALUE"""),"Anh Tuấn")</f>
        <v>Anh Tuấn</v>
      </c>
      <c r="C1079" s="121" t="str">
        <f>IFERROR(__xludf.DUMMYFUNCTION("""COMPUTED_VALUE"""),"312 Nguyễn Phúc Lan")</f>
        <v>312 Nguyễn Phúc Lan</v>
      </c>
      <c r="D1079" s="121" t="str">
        <f>IFERROR(__xludf.DUMMYFUNCTION("""COMPUTED_VALUE"""),"chó")</f>
        <v>chó</v>
      </c>
      <c r="E1079" s="121" t="str">
        <f>IFERROR(__xludf.DUMMYFUNCTION("""COMPUTED_VALUE""")," Trắng")</f>
        <v> Trắng</v>
      </c>
    </row>
    <row r="1080" ht="15.75" customHeight="1">
      <c r="A1080" s="128" t="str">
        <f>IFERROR(__xludf.DUMMYFUNCTION("""COMPUTED_VALUE"""),"0387 846 611")</f>
        <v>0387 846 611</v>
      </c>
      <c r="B1080" s="127" t="str">
        <f>IFERROR(__xludf.DUMMYFUNCTION("""COMPUTED_VALUE"""),"Chị Duyên")</f>
        <v>Chị Duyên</v>
      </c>
      <c r="C1080" s="127" t="str">
        <f>IFERROR(__xludf.DUMMYFUNCTION("""COMPUTED_VALUE"""),"3/8/33 Nguyễn Trường Tộ")</f>
        <v>3/8/33 Nguyễn Trường Tộ</v>
      </c>
      <c r="D1080" s="127" t="str">
        <f>IFERROR(__xludf.DUMMYFUNCTION("""COMPUTED_VALUE"""),"mèo")</f>
        <v>mèo</v>
      </c>
      <c r="E1080" s="127"/>
    </row>
    <row r="1081" ht="15.75" customHeight="1">
      <c r="A1081" s="120" t="str">
        <f>IFERROR(__xludf.DUMMYFUNCTION("""COMPUTED_VALUE"""),"0914 365 414")</f>
        <v>0914 365 414</v>
      </c>
      <c r="B1081" s="121" t="str">
        <f>IFERROR(__xludf.DUMMYFUNCTION("""COMPUTED_VALUE"""),"Chú Bình")</f>
        <v>Chú Bình</v>
      </c>
      <c r="C1081" s="121" t="str">
        <f>IFERROR(__xludf.DUMMYFUNCTION("""COMPUTED_VALUE"""),"3/268 Lý Nam Đế")</f>
        <v>3/268 Lý Nam Đế</v>
      </c>
      <c r="D1081" s="121" t="str">
        <f>IFERROR(__xludf.DUMMYFUNCTION("""COMPUTED_VALUE"""),"chó")</f>
        <v>chó</v>
      </c>
      <c r="E1081" s="121" t="str">
        <f>IFERROR(__xludf.DUMMYFUNCTION("""COMPUTED_VALUE""")," Mít")</f>
        <v> Mít</v>
      </c>
    </row>
    <row r="1082" ht="15.75" customHeight="1">
      <c r="A1082" s="128" t="str">
        <f>IFERROR(__xludf.DUMMYFUNCTION("""COMPUTED_VALUE"""),"0384 409 772")</f>
        <v>0384 409 772</v>
      </c>
      <c r="B1082" s="127" t="str">
        <f>IFERROR(__xludf.DUMMYFUNCTION("""COMPUTED_VALUE"""),"Trần Văn Minh")</f>
        <v>Trần Văn Minh</v>
      </c>
      <c r="C1082" s="127" t="str">
        <f>IFERROR(__xludf.DUMMYFUNCTION("""COMPUTED_VALUE"""),"26 Vạn Xuân")</f>
        <v>26 Vạn Xuân</v>
      </c>
      <c r="D1082" s="127" t="str">
        <f>IFERROR(__xludf.DUMMYFUNCTION("""COMPUTED_VALUE"""),"Chó")</f>
        <v>Chó</v>
      </c>
      <c r="E1082" s="127" t="str">
        <f>IFERROR(__xludf.DUMMYFUNCTION("""COMPUTED_VALUE""")," Nâu")</f>
        <v> Nâu</v>
      </c>
    </row>
    <row r="1083" ht="15.75" customHeight="1">
      <c r="A1083" s="120" t="str">
        <f>IFERROR(__xludf.DUMMYFUNCTION("""COMPUTED_VALUE"""),"0793 659 272")</f>
        <v>0793 659 272</v>
      </c>
      <c r="B1083" s="121" t="str">
        <f>IFERROR(__xludf.DUMMYFUNCTION("""COMPUTED_VALUE"""),"Em Bảo Ngọc")</f>
        <v>Em Bảo Ngọc</v>
      </c>
      <c r="C1083" s="121" t="str">
        <f>IFERROR(__xludf.DUMMYFUNCTION("""COMPUTED_VALUE"""),"160 Thái Phiên")</f>
        <v>160 Thái Phiên</v>
      </c>
      <c r="D1083" s="121" t="str">
        <f>IFERROR(__xludf.DUMMYFUNCTION("""COMPUTED_VALUE"""),"Mèo")</f>
        <v>Mèo</v>
      </c>
      <c r="E1083" s="119" t="str">
        <f>IFERROR(__xludf.DUMMYFUNCTION("""COMPUTED_VALUE"""),"Cún")</f>
        <v>Cún</v>
      </c>
    </row>
    <row r="1084" ht="15.75" customHeight="1">
      <c r="A1084" s="128" t="str">
        <f>IFERROR(__xludf.DUMMYFUNCTION("""COMPUTED_VALUE"""),"0964 967 964")</f>
        <v>0964 967 964</v>
      </c>
      <c r="B1084" s="127" t="str">
        <f>IFERROR(__xludf.DUMMYFUNCTION("""COMPUTED_VALUE"""),"Anh Tú")</f>
        <v>Anh Tú</v>
      </c>
      <c r="C1084" s="127" t="str">
        <f>IFERROR(__xludf.DUMMYFUNCTION("""COMPUTED_VALUE""")," 104 Kim long")</f>
        <v> 104 Kim long</v>
      </c>
      <c r="D1084" s="127" t="str">
        <f>IFERROR(__xludf.DUMMYFUNCTION("""COMPUTED_VALUE"""),"chó")</f>
        <v>chó</v>
      </c>
      <c r="E1084" s="127" t="str">
        <f>IFERROR(__xludf.DUMMYFUNCTION("""COMPUTED_VALUE""")," Luccky")</f>
        <v> Luccky</v>
      </c>
    </row>
    <row r="1085" ht="15.75" customHeight="1">
      <c r="A1085" s="128" t="str">
        <f>IFERROR(__xludf.DUMMYFUNCTION("""COMPUTED_VALUE"""),"0385 711 665")</f>
        <v>0385 711 665</v>
      </c>
      <c r="B1085" s="127" t="str">
        <f>IFERROR(__xludf.DUMMYFUNCTION("""COMPUTED_VALUE"""),"Chị Loan")</f>
        <v>Chị Loan</v>
      </c>
      <c r="C1085" s="127" t="str">
        <f>IFERROR(__xludf.DUMMYFUNCTION("""COMPUTED_VALUE"""),"269 Bùi Thị Xuân")</f>
        <v>269 Bùi Thị Xuân</v>
      </c>
      <c r="D1085" s="127" t="str">
        <f>IFERROR(__xludf.DUMMYFUNCTION("""COMPUTED_VALUE"""),"chó")</f>
        <v>chó</v>
      </c>
      <c r="E1085" s="127" t="str">
        <f>IFERROR(__xludf.DUMMYFUNCTION("""COMPUTED_VALUE"""),"Sữa")</f>
        <v>Sữa</v>
      </c>
    </row>
    <row r="1086" ht="15.75" customHeight="1">
      <c r="A1086" s="120" t="str">
        <f>IFERROR(__xludf.DUMMYFUNCTION("""COMPUTED_VALUE"""),"0793 312 434")</f>
        <v>0793 312 434</v>
      </c>
      <c r="B1086" s="121" t="str">
        <f>IFERROR(__xludf.DUMMYFUNCTION("""COMPUTED_VALUE"""),"Lê Hoàng Nguyên")</f>
        <v>Lê Hoàng Nguyên</v>
      </c>
      <c r="C1086" s="121" t="str">
        <f>IFERROR(__xludf.DUMMYFUNCTION("""COMPUTED_VALUE"""),"Tổ 11 khu vực 5 Thủy Xuân")</f>
        <v>Tổ 11 khu vực 5 Thủy Xuân</v>
      </c>
      <c r="D1086" s="121" t="str">
        <f>IFERROR(__xludf.DUMMYFUNCTION("""COMPUTED_VALUE"""),"Chó")</f>
        <v>Chó</v>
      </c>
      <c r="E1086" s="121" t="str">
        <f>IFERROR(__xludf.DUMMYFUNCTION("""COMPUTED_VALUE"""),"Bông")</f>
        <v>Bông</v>
      </c>
    </row>
    <row r="1087" ht="15.75" customHeight="1">
      <c r="A1087" s="120" t="str">
        <f>IFERROR(__xludf.DUMMYFUNCTION("""COMPUTED_VALUE"""),"0901 994 347")</f>
        <v>0901 994 347</v>
      </c>
      <c r="B1087" s="121" t="str">
        <f>IFERROR(__xludf.DUMMYFUNCTION("""COMPUTED_VALUE"""),"Chị Phương")</f>
        <v>Chị Phương</v>
      </c>
      <c r="C1087" s="121" t="str">
        <f>IFERROR(__xludf.DUMMYFUNCTION("""COMPUTED_VALUE"""),"lô 04 Sự vạn Hạnh")</f>
        <v>lô 04 Sự vạn Hạnh</v>
      </c>
      <c r="D1087" s="121" t="str">
        <f>IFERROR(__xludf.DUMMYFUNCTION("""COMPUTED_VALUE"""),"chó")</f>
        <v>chó</v>
      </c>
      <c r="E1087" s="121" t="str">
        <f>IFERROR(__xludf.DUMMYFUNCTION("""COMPUTED_VALUE""")," Đen")</f>
        <v> Đen</v>
      </c>
    </row>
    <row r="1088" ht="15.75" customHeight="1">
      <c r="A1088" s="128" t="str">
        <f>IFERROR(__xludf.DUMMYFUNCTION("""COMPUTED_VALUE"""),"0913 479 069")</f>
        <v>0913 479 069</v>
      </c>
      <c r="B1088" s="127" t="str">
        <f>IFERROR(__xludf.DUMMYFUNCTION("""COMPUTED_VALUE"""),"Dì Vân Anh")</f>
        <v>Dì Vân Anh</v>
      </c>
      <c r="C1088" s="127" t="str">
        <f>IFERROR(__xludf.DUMMYFUNCTION("""COMPUTED_VALUE"""),"97 Bao Vinh")</f>
        <v>97 Bao Vinh</v>
      </c>
      <c r="D1088" s="127" t="str">
        <f>IFERROR(__xludf.DUMMYFUNCTION("""COMPUTED_VALUE"""),"mèo")</f>
        <v>mèo</v>
      </c>
      <c r="E1088" s="127" t="str">
        <f>IFERROR(__xludf.DUMMYFUNCTION("""COMPUTED_VALUE"""),"Tiêu")</f>
        <v>Tiêu</v>
      </c>
    </row>
    <row r="1089" ht="15.75" customHeight="1">
      <c r="A1089" s="120" t="str">
        <f>IFERROR(__xludf.DUMMYFUNCTION("""COMPUTED_VALUE"""),"0702 462 646")</f>
        <v>0702 462 646</v>
      </c>
      <c r="B1089" s="121" t="str">
        <f>IFERROR(__xludf.DUMMYFUNCTION("""COMPUTED_VALUE"""),"Anh Xuân Huy")</f>
        <v>Anh Xuân Huy</v>
      </c>
      <c r="C1089" s="121" t="str">
        <f>IFERROR(__xludf.DUMMYFUNCTION("""COMPUTED_VALUE"""),"9/3 Lương Căn Can")</f>
        <v>9/3 Lương Căn Can</v>
      </c>
      <c r="D1089" s="121" t="str">
        <f>IFERROR(__xludf.DUMMYFUNCTION("""COMPUTED_VALUE"""),"chó")</f>
        <v>chó</v>
      </c>
      <c r="E1089" s="121" t="str">
        <f>IFERROR(__xludf.DUMMYFUNCTION("""COMPUTED_VALUE"""),"Lu ")</f>
        <v>Lu </v>
      </c>
    </row>
    <row r="1090" ht="15.75" customHeight="1">
      <c r="A1090" s="128" t="str">
        <f>IFERROR(__xludf.DUMMYFUNCTION("""COMPUTED_VALUE"""),"0336 620 151")</f>
        <v>0336 620 151</v>
      </c>
      <c r="B1090" s="127" t="str">
        <f>IFERROR(__xludf.DUMMYFUNCTION("""COMPUTED_VALUE"""),"Chị Diệu Ngân")</f>
        <v>Chị Diệu Ngân</v>
      </c>
      <c r="C1090" s="127" t="str">
        <f>IFERROR(__xludf.DUMMYFUNCTION("""COMPUTED_VALUE"""),"Hương Bình")</f>
        <v>Hương Bình</v>
      </c>
      <c r="D1090" s="127" t="str">
        <f>IFERROR(__xludf.DUMMYFUNCTION("""COMPUTED_VALUE"""),"mèo")</f>
        <v>mèo</v>
      </c>
      <c r="E1090" s="127" t="str">
        <f>IFERROR(__xludf.DUMMYFUNCTION("""COMPUTED_VALUE""")," Mey")</f>
        <v> Mey</v>
      </c>
    </row>
    <row r="1091" ht="15.75" customHeight="1">
      <c r="A1091" s="128" t="str">
        <f>IFERROR(__xludf.DUMMYFUNCTION("""COMPUTED_VALUE"""),"0888 805 677")</f>
        <v>0888 805 677</v>
      </c>
      <c r="B1091" s="127" t="str">
        <f>IFERROR(__xludf.DUMMYFUNCTION("""COMPUTED_VALUE"""),"Anh Thy")</f>
        <v>Anh Thy</v>
      </c>
      <c r="C1091" s="127" t="str">
        <f>IFERROR(__xludf.DUMMYFUNCTION("""COMPUTED_VALUE"""),"35 Nguyễn Phúc Lang")</f>
        <v>35 Nguyễn Phúc Lang</v>
      </c>
      <c r="D1091" s="127" t="str">
        <f>IFERROR(__xludf.DUMMYFUNCTION("""COMPUTED_VALUE"""),"chó")</f>
        <v>chó</v>
      </c>
      <c r="E1091" s="119" t="str">
        <f>IFERROR(__xludf.DUMMYFUNCTION("""COMPUTED_VALUE""")," Bơ")</f>
        <v> Bơ</v>
      </c>
    </row>
    <row r="1092" ht="15.75" customHeight="1">
      <c r="A1092" s="128" t="str">
        <f>IFERROR(__xludf.DUMMYFUNCTION("""COMPUTED_VALUE"""),"0901 994 347")</f>
        <v>0901 994 347</v>
      </c>
      <c r="B1092" s="127" t="str">
        <f>IFERROR(__xludf.DUMMYFUNCTION("""COMPUTED_VALUE"""),"Chị Phương")</f>
        <v>Chị Phương</v>
      </c>
      <c r="C1092" s="127" t="str">
        <f>IFERROR(__xludf.DUMMYFUNCTION("""COMPUTED_VALUE"""),"Lô 04 Sự Vạn Hạnh")</f>
        <v>Lô 04 Sự Vạn Hạnh</v>
      </c>
      <c r="D1092" s="127" t="str">
        <f>IFERROR(__xludf.DUMMYFUNCTION("""COMPUTED_VALUE"""),"chó")</f>
        <v>chó</v>
      </c>
      <c r="E1092" s="127" t="str">
        <f>IFERROR(__xludf.DUMMYFUNCTION("""COMPUTED_VALUE""")," Đen")</f>
        <v> Đen</v>
      </c>
    </row>
    <row r="1093" ht="15.75" customHeight="1">
      <c r="A1093" s="128" t="str">
        <f>IFERROR(__xludf.DUMMYFUNCTION("""COMPUTED_VALUE"""),"0867 266 876")</f>
        <v>0867 266 876</v>
      </c>
      <c r="B1093" s="127" t="str">
        <f>IFERROR(__xludf.DUMMYFUNCTION("""COMPUTED_VALUE"""),"Dì Suny")</f>
        <v>Dì Suny</v>
      </c>
      <c r="C1093" s="127" t="str">
        <f>IFERROR(__xludf.DUMMYFUNCTION("""COMPUTED_VALUE"""),"An Hòa- Hương An- tp Huế")</f>
        <v>An Hòa- Hương An- tp Huế</v>
      </c>
      <c r="D1093" s="127" t="str">
        <f>IFERROR(__xludf.DUMMYFUNCTION("""COMPUTED_VALUE"""),"chó")</f>
        <v>chó</v>
      </c>
      <c r="E1093" s="127" t="str">
        <f>IFERROR(__xludf.DUMMYFUNCTION("""COMPUTED_VALUE"""),"Bu")</f>
        <v>Bu</v>
      </c>
    </row>
    <row r="1094" ht="15.75" customHeight="1">
      <c r="A1094" s="120" t="str">
        <f>IFERROR(__xludf.DUMMYFUNCTION("""COMPUTED_VALUE"""),"0359 266 706")</f>
        <v>0359 266 706</v>
      </c>
      <c r="B1094" s="121" t="str">
        <f>IFERROR(__xludf.DUMMYFUNCTION("""COMPUTED_VALUE"""),"Dì Thảo")</f>
        <v>Dì Thảo</v>
      </c>
      <c r="C1094" s="121" t="str">
        <f>IFERROR(__xludf.DUMMYFUNCTION("""COMPUTED_VALUE"""),"k131 Trần  Phú")</f>
        <v>k131 Trần  Phú</v>
      </c>
      <c r="D1094" s="121" t="str">
        <f>IFERROR(__xludf.DUMMYFUNCTION("""COMPUTED_VALUE"""),"chó")</f>
        <v>chó</v>
      </c>
      <c r="E1094" s="121" t="str">
        <f>IFERROR(__xludf.DUMMYFUNCTION("""COMPUTED_VALUE"""),"xù")</f>
        <v>xù</v>
      </c>
    </row>
    <row r="1095" ht="15.75" customHeight="1">
      <c r="A1095" s="128" t="str">
        <f>IFERROR(__xludf.DUMMYFUNCTION("""COMPUTED_VALUE"""),"0946 647 374")</f>
        <v>0946 647 374</v>
      </c>
      <c r="B1095" s="127" t="str">
        <f>IFERROR(__xludf.DUMMYFUNCTION("""COMPUTED_VALUE"""),"Anh Khánh")</f>
        <v>Anh Khánh</v>
      </c>
      <c r="C1095" s="127" t="str">
        <f>IFERROR(__xludf.DUMMYFUNCTION("""COMPUTED_VALUE"""),"Long Hồ Thượng 1 Hương Hồ")</f>
        <v>Long Hồ Thượng 1 Hương Hồ</v>
      </c>
      <c r="D1095" s="127" t="str">
        <f>IFERROR(__xludf.DUMMYFUNCTION("""COMPUTED_VALUE""")," chó")</f>
        <v> chó</v>
      </c>
      <c r="E1095" s="119" t="str">
        <f>IFERROR(__xludf.DUMMYFUNCTION("""COMPUTED_VALUE""")," Lạc`")</f>
        <v> Lạc`</v>
      </c>
    </row>
    <row r="1096" ht="15.75" customHeight="1">
      <c r="A1096" s="120" t="str">
        <f>IFERROR(__xludf.DUMMYFUNCTION("""COMPUTED_VALUE"""),"0366 299 219")</f>
        <v>0366 299 219</v>
      </c>
      <c r="B1096" s="121" t="str">
        <f>IFERROR(__xludf.DUMMYFUNCTION("""COMPUTED_VALUE"""),"dì Trần Thị Yến")</f>
        <v>dì Trần Thị Yến</v>
      </c>
      <c r="C1096" s="121" t="str">
        <f>IFERROR(__xludf.DUMMYFUNCTION("""COMPUTED_VALUE"""),"Thủy Vân")</f>
        <v>Thủy Vân</v>
      </c>
      <c r="D1096" s="121" t="str">
        <f>IFERROR(__xludf.DUMMYFUNCTION("""COMPUTED_VALUE"""),"chó")</f>
        <v>chó</v>
      </c>
      <c r="E1096" s="119" t="str">
        <f>IFERROR(__xludf.DUMMYFUNCTION("""COMPUTED_VALUE"""),"jonh")</f>
        <v>jonh</v>
      </c>
    </row>
    <row r="1097" ht="15.75" customHeight="1">
      <c r="A1097" s="128" t="str">
        <f>IFERROR(__xludf.DUMMYFUNCTION("""COMPUTED_VALUE"""),"0358 103 843")</f>
        <v>0358 103 843</v>
      </c>
      <c r="B1097" s="133" t="str">
        <f>IFERROR(__xludf.DUMMYFUNCTION("""COMPUTED_VALUE"""),"Chị An")</f>
        <v>Chị An</v>
      </c>
      <c r="C1097" s="127" t="str">
        <f>IFERROR(__xludf.DUMMYFUNCTION("""COMPUTED_VALUE"""),"21/130 Trần Phú")</f>
        <v>21/130 Trần Phú</v>
      </c>
      <c r="D1097" s="127" t="str">
        <f>IFERROR(__xludf.DUMMYFUNCTION("""COMPUTED_VALUE"""),"chó")</f>
        <v>chó</v>
      </c>
      <c r="E1097" s="119" t="str">
        <f>IFERROR(__xludf.DUMMYFUNCTION("""COMPUTED_VALUE"""),"pun")</f>
        <v>pun</v>
      </c>
    </row>
    <row r="1098" ht="15.75" customHeight="1">
      <c r="A1098" s="120" t="str">
        <f>IFERROR(__xludf.DUMMYFUNCTION("""COMPUTED_VALUE"""),"0345 918 694")</f>
        <v>0345 918 694</v>
      </c>
      <c r="B1098" s="121" t="str">
        <f>IFERROR(__xludf.DUMMYFUNCTION("""COMPUTED_VALUE"""),"Ánh ")</f>
        <v>Ánh </v>
      </c>
      <c r="C1098" s="121" t="str">
        <f>IFERROR(__xludf.DUMMYFUNCTION("""COMPUTED_VALUE"""),"Hương Toàn")</f>
        <v>Hương Toàn</v>
      </c>
      <c r="D1098" s="121" t="str">
        <f>IFERROR(__xludf.DUMMYFUNCTION("""COMPUTED_VALUE"""),"chó")</f>
        <v>chó</v>
      </c>
      <c r="E1098" s="121" t="str">
        <f>IFERROR(__xludf.DUMMYFUNCTION("""COMPUTED_VALUE"""),"bơ")</f>
        <v>bơ</v>
      </c>
    </row>
    <row r="1099" ht="15.75" customHeight="1">
      <c r="A1099" s="120" t="str">
        <f>IFERROR(__xludf.DUMMYFUNCTION("""COMPUTED_VALUE"""),"0358 904 409")</f>
        <v>0358 904 409</v>
      </c>
      <c r="B1099" s="121" t="str">
        <f>IFERROR(__xludf.DUMMYFUNCTION("""COMPUTED_VALUE"""),"Ninh")</f>
        <v>Ninh</v>
      </c>
      <c r="C1099" s="121"/>
      <c r="D1099" s="121" t="str">
        <f>IFERROR(__xludf.DUMMYFUNCTION("""COMPUTED_VALUE"""),"chó")</f>
        <v>chó</v>
      </c>
      <c r="E1099" s="119" t="str">
        <f>IFERROR(__xludf.DUMMYFUNCTION("""COMPUTED_VALUE"""),"gấu")</f>
        <v>gấu</v>
      </c>
    </row>
    <row r="1100" ht="15.75" customHeight="1">
      <c r="A1100" s="120" t="str">
        <f>IFERROR(__xludf.DUMMYFUNCTION("""COMPUTED_VALUE"""),"0378 910 801")</f>
        <v>0378 910 801</v>
      </c>
      <c r="B1100" s="121" t="str">
        <f>IFERROR(__xludf.DUMMYFUNCTION("""COMPUTED_VALUE"""),"Nguyễn Công Thuận")</f>
        <v>Nguyễn Công Thuận</v>
      </c>
      <c r="C1100" s="121" t="str">
        <f>IFERROR(__xludf.DUMMYFUNCTION("""COMPUTED_VALUE"""),"25/42 Nguyễn Phúc Tần")</f>
        <v>25/42 Nguyễn Phúc Tần</v>
      </c>
      <c r="D1100" s="121" t="str">
        <f>IFERROR(__xludf.DUMMYFUNCTION("""COMPUTED_VALUE"""),"Chó")</f>
        <v>Chó</v>
      </c>
      <c r="E1100" s="121" t="str">
        <f>IFERROR(__xludf.DUMMYFUNCTION("""COMPUTED_VALUE"""),"Trắng")</f>
        <v>Trắng</v>
      </c>
    </row>
    <row r="1101" ht="15.75" customHeight="1">
      <c r="A1101" s="128" t="str">
        <f>IFERROR(__xludf.DUMMYFUNCTION("""COMPUTED_VALUE"""),"0896 611 076")</f>
        <v>0896 611 076</v>
      </c>
      <c r="B1101" s="127" t="str">
        <f>IFERROR(__xludf.DUMMYFUNCTION("""COMPUTED_VALUE"""),"Lê Văn Thịnh")</f>
        <v>Lê Văn Thịnh</v>
      </c>
      <c r="C1101" s="127" t="str">
        <f>IFERROR(__xludf.DUMMYFUNCTION("""COMPUTED_VALUE"""),"192 thôn Cự Lai Đôn")</f>
        <v>192 thôn Cự Lai Đôn</v>
      </c>
      <c r="D1101" s="127" t="str">
        <f>IFERROR(__xludf.DUMMYFUNCTION("""COMPUTED_VALUE"""),"chó")</f>
        <v>chó</v>
      </c>
      <c r="E1101" s="127" t="str">
        <f>IFERROR(__xludf.DUMMYFUNCTION("""COMPUTED_VALUE"""),"Muối")</f>
        <v>Muối</v>
      </c>
    </row>
    <row r="1102" ht="15.75" customHeight="1">
      <c r="A1102" s="128" t="str">
        <f>IFERROR(__xludf.DUMMYFUNCTION("""COMPUTED_VALUE"""),"0769 376 032")</f>
        <v>0769 376 032</v>
      </c>
      <c r="B1102" s="127" t="str">
        <f>IFERROR(__xludf.DUMMYFUNCTION("""COMPUTED_VALUE"""),"Phan Anh Vân My")</f>
        <v>Phan Anh Vân My</v>
      </c>
      <c r="C1102" s="127" t="str">
        <f>IFERROR(__xludf.DUMMYFUNCTION("""COMPUTED_VALUE"""),"98/8 Nguyễn Phúc Nguyên")</f>
        <v>98/8 Nguyễn Phúc Nguyên</v>
      </c>
      <c r="D1102" s="127" t="str">
        <f>IFERROR(__xludf.DUMMYFUNCTION("""COMPUTED_VALUE"""),"Chó")</f>
        <v>Chó</v>
      </c>
      <c r="E1102" s="127"/>
    </row>
    <row r="1103" ht="15.75" customHeight="1">
      <c r="A1103" s="128" t="str">
        <f>IFERROR(__xludf.DUMMYFUNCTION("""COMPUTED_VALUE"""),"0934 927 863")</f>
        <v>0934 927 863</v>
      </c>
      <c r="B1103" s="127" t="str">
        <f>IFERROR(__xludf.DUMMYFUNCTION("""COMPUTED_VALUE"""),"Chú Hoàng")</f>
        <v>Chú Hoàng</v>
      </c>
      <c r="C1103" s="127"/>
      <c r="D1103" s="127"/>
      <c r="E1103" s="127"/>
    </row>
    <row r="1104" ht="15.75" customHeight="1">
      <c r="A1104" s="120" t="str">
        <f>IFERROR(__xludf.DUMMYFUNCTION("""COMPUTED_VALUE"""),"0949 553 536")</f>
        <v>0949 553 536</v>
      </c>
      <c r="B1104" s="121" t="str">
        <f>IFERROR(__xludf.DUMMYFUNCTION("""COMPUTED_VALUE"""),"Chị Cúc")</f>
        <v>Chị Cúc</v>
      </c>
      <c r="C1104" s="121" t="str">
        <f>IFERROR(__xludf.DUMMYFUNCTION("""COMPUTED_VALUE"""),"44 Hoàng Diệu")</f>
        <v>44 Hoàng Diệu</v>
      </c>
      <c r="D1104" s="121" t="str">
        <f>IFERROR(__xludf.DUMMYFUNCTION("""COMPUTED_VALUE"""),"Chó")</f>
        <v>Chó</v>
      </c>
      <c r="E1104" s="121" t="str">
        <f>IFERROR(__xludf.DUMMYFUNCTION("""COMPUTED_VALUE"""),"Xíu")</f>
        <v>Xíu</v>
      </c>
    </row>
    <row r="1105" ht="15.75" customHeight="1">
      <c r="A1105" s="128" t="str">
        <f>IFERROR(__xludf.DUMMYFUNCTION("""COMPUTED_VALUE"""),"0395 646 065")</f>
        <v>0395 646 065</v>
      </c>
      <c r="B1105" s="127" t="str">
        <f>IFERROR(__xludf.DUMMYFUNCTION("""COMPUTED_VALUE"""),"Minh Nghĩa")</f>
        <v>Minh Nghĩa</v>
      </c>
      <c r="C1105" s="127" t="str">
        <f>IFERROR(__xludf.DUMMYFUNCTION("""COMPUTED_VALUE"""),"Hương toàn")</f>
        <v>Hương toàn</v>
      </c>
      <c r="D1105" s="127" t="str">
        <f>IFERROR(__xludf.DUMMYFUNCTION("""COMPUTED_VALUE"""),"Mèo")</f>
        <v>Mèo</v>
      </c>
      <c r="E1105" s="127" t="str">
        <f>IFERROR(__xludf.DUMMYFUNCTION("""COMPUTED_VALUE"""),"Đen")</f>
        <v>Đen</v>
      </c>
    </row>
    <row r="1106" ht="15.75" customHeight="1">
      <c r="A1106" s="128" t="str">
        <f>IFERROR(__xludf.DUMMYFUNCTION("""COMPUTED_VALUE"""),"0357 902 296")</f>
        <v>0357 902 296</v>
      </c>
      <c r="B1106" s="127" t="str">
        <f>IFERROR(__xludf.DUMMYFUNCTION("""COMPUTED_VALUE"""),"Anh Hải")</f>
        <v>Anh Hải</v>
      </c>
      <c r="C1106" s="127" t="str">
        <f>IFERROR(__xludf.DUMMYFUNCTION("""COMPUTED_VALUE"""),"4 Nguyễn Phúc Nguyên")</f>
        <v>4 Nguyễn Phúc Nguyên</v>
      </c>
      <c r="D1106" s="127" t="str">
        <f>IFERROR(__xludf.DUMMYFUNCTION("""COMPUTED_VALUE"""),"Mèo")</f>
        <v>Mèo</v>
      </c>
      <c r="E1106" s="127" t="str">
        <f>IFERROR(__xludf.DUMMYFUNCTION("""COMPUTED_VALUE"""),"Tom ")</f>
        <v>Tom </v>
      </c>
    </row>
    <row r="1107" ht="15.75" customHeight="1">
      <c r="A1107" s="128" t="str">
        <f>IFERROR(__xludf.DUMMYFUNCTION("""COMPUTED_VALUE"""),"0935 605 252")</f>
        <v>0935 605 252</v>
      </c>
      <c r="B1107" s="127" t="str">
        <f>IFERROR(__xludf.DUMMYFUNCTION("""COMPUTED_VALUE"""),"Anh Dũng")</f>
        <v>Anh Dũng</v>
      </c>
      <c r="C1107" s="134" t="str">
        <f>IFERROR(__xludf.DUMMYFUNCTION("""COMPUTED_VALUE"""),"Hương hồ")</f>
        <v>Hương hồ</v>
      </c>
      <c r="D1107" s="127" t="str">
        <f>IFERROR(__xludf.DUMMYFUNCTION("""COMPUTED_VALUE"""),"Chó")</f>
        <v>Chó</v>
      </c>
      <c r="E1107" s="127" t="str">
        <f>IFERROR(__xludf.DUMMYFUNCTION("""COMPUTED_VALUE"""),"Red")</f>
        <v>Red</v>
      </c>
    </row>
    <row r="1108" ht="15.75" customHeight="1">
      <c r="A1108" s="120" t="str">
        <f>IFERROR(__xludf.DUMMYFUNCTION("""COMPUTED_VALUE"""),"0734 568 176")</f>
        <v>0734 568 176</v>
      </c>
      <c r="B1108" s="121" t="str">
        <f>IFERROR(__xludf.DUMMYFUNCTION("""COMPUTED_VALUE"""),"Anh long ")</f>
        <v>Anh long </v>
      </c>
      <c r="C1108" s="121" t="str">
        <f>IFERROR(__xludf.DUMMYFUNCTION("""COMPUTED_VALUE"""),"Kim Long")</f>
        <v>Kim Long</v>
      </c>
      <c r="D1108" s="121" t="str">
        <f>IFERROR(__xludf.DUMMYFUNCTION("""COMPUTED_VALUE"""),"Chó")</f>
        <v>Chó</v>
      </c>
      <c r="E1108" s="119" t="str">
        <f>IFERROR(__xludf.DUMMYFUNCTION("""COMPUTED_VALUE"""),"Moon")</f>
        <v>Moon</v>
      </c>
    </row>
    <row r="1109" ht="15.75" customHeight="1">
      <c r="A1109" s="128" t="str">
        <f>IFERROR(__xludf.DUMMYFUNCTION("""COMPUTED_VALUE"""),"0966 449 414")</f>
        <v>0966 449 414</v>
      </c>
      <c r="B1109" s="127" t="str">
        <f>IFERROR(__xludf.DUMMYFUNCTION("""COMPUTED_VALUE"""),"Anh Hùng")</f>
        <v>Anh Hùng</v>
      </c>
      <c r="C1109" s="127" t="str">
        <f>IFERROR(__xludf.DUMMYFUNCTION("""COMPUTED_VALUE"""),"Hương Hồ")</f>
        <v>Hương Hồ</v>
      </c>
      <c r="D1109" s="127" t="str">
        <f>IFERROR(__xludf.DUMMYFUNCTION("""COMPUTED_VALUE"""),"Chó")</f>
        <v>Chó</v>
      </c>
      <c r="E1109" s="127" t="str">
        <f>IFERROR(__xludf.DUMMYFUNCTION("""COMPUTED_VALUE"""),"Lucky")</f>
        <v>Lucky</v>
      </c>
    </row>
    <row r="1110" ht="15.75" customHeight="1">
      <c r="A1110" s="120" t="str">
        <f>IFERROR(__xludf.DUMMYFUNCTION("""COMPUTED_VALUE"""),"0913 539 043 ")</f>
        <v>0913 539 043 </v>
      </c>
      <c r="B1110" s="121" t="str">
        <f>IFERROR(__xludf.DUMMYFUNCTION("""COMPUTED_VALUE"""),"Bác Tiên")</f>
        <v>Bác Tiên</v>
      </c>
      <c r="C1110" s="121" t="str">
        <f>IFERROR(__xludf.DUMMYFUNCTION("""COMPUTED_VALUE"""),"332/4 Lý Nam Đế")</f>
        <v>332/4 Lý Nam Đế</v>
      </c>
      <c r="D1110" s="121" t="str">
        <f>IFERROR(__xludf.DUMMYFUNCTION("""COMPUTED_VALUE"""),"Mèo")</f>
        <v>Mèo</v>
      </c>
      <c r="E1110" s="121" t="str">
        <f>IFERROR(__xludf.DUMMYFUNCTION("""COMPUTED_VALUE"""),"meo")</f>
        <v>meo</v>
      </c>
    </row>
    <row r="1111" ht="15.75" customHeight="1">
      <c r="A1111" s="128" t="str">
        <f>IFERROR(__xludf.DUMMYFUNCTION("""COMPUTED_VALUE"""),"0912 931 045")</f>
        <v>0912 931 045</v>
      </c>
      <c r="B1111" s="127" t="str">
        <f>IFERROR(__xludf.DUMMYFUNCTION("""COMPUTED_VALUE"""),"Chú Thành ")</f>
        <v>Chú Thành </v>
      </c>
      <c r="C1111" s="127" t="str">
        <f>IFERROR(__xludf.DUMMYFUNCTION("""COMPUTED_VALUE"""),"24 Vạn Xuân")</f>
        <v>24 Vạn Xuân</v>
      </c>
      <c r="D1111" s="127" t="str">
        <f>IFERROR(__xludf.DUMMYFUNCTION("""COMPUTED_VALUE"""),"Chó")</f>
        <v>Chó</v>
      </c>
      <c r="E1111" s="127" t="str">
        <f>IFERROR(__xludf.DUMMYFUNCTION("""COMPUTED_VALUE"""),"Kun")</f>
        <v>Kun</v>
      </c>
    </row>
    <row r="1112" ht="15.75" customHeight="1">
      <c r="A1112" s="120" t="str">
        <f>IFERROR(__xludf.DUMMYFUNCTION("""COMPUTED_VALUE"""),"0935 478 075")</f>
        <v>0935 478 075</v>
      </c>
      <c r="B1112" s="121" t="str">
        <f>IFERROR(__xludf.DUMMYFUNCTION("""COMPUTED_VALUE"""),"Anh Vũ")</f>
        <v>Anh Vũ</v>
      </c>
      <c r="C1112" s="121" t="str">
        <f>IFERROR(__xludf.DUMMYFUNCTION("""COMPUTED_VALUE"""),"343 Chi Lăng")</f>
        <v>343 Chi Lăng</v>
      </c>
      <c r="D1112" s="121" t="str">
        <f>IFERROR(__xludf.DUMMYFUNCTION("""COMPUTED_VALUE"""),"Chó ")</f>
        <v>Chó </v>
      </c>
      <c r="E1112" s="121" t="str">
        <f>IFERROR(__xludf.DUMMYFUNCTION("""COMPUTED_VALUE"""),"City")</f>
        <v>City</v>
      </c>
    </row>
    <row r="1113" ht="15.75" customHeight="1">
      <c r="A1113" s="120" t="str">
        <f>IFERROR(__xludf.DUMMYFUNCTION("""COMPUTED_VALUE"""),"0914 172 274")</f>
        <v>0914 172 274</v>
      </c>
      <c r="B1113" s="121" t="str">
        <f>IFERROR(__xludf.DUMMYFUNCTION("""COMPUTED_VALUE"""),"Chú Tú")</f>
        <v>Chú Tú</v>
      </c>
      <c r="C1113" s="121" t="str">
        <f>IFERROR(__xludf.DUMMYFUNCTION("""COMPUTED_VALUE"""),"77 Phạm Thị liên")</f>
        <v>77 Phạm Thị liên</v>
      </c>
      <c r="D1113" s="121" t="str">
        <f>IFERROR(__xludf.DUMMYFUNCTION("""COMPUTED_VALUE"""),"Chó")</f>
        <v>Chó</v>
      </c>
      <c r="E1113" s="121"/>
    </row>
    <row r="1114" ht="15.75" customHeight="1">
      <c r="A1114" s="120" t="str">
        <f>IFERROR(__xludf.DUMMYFUNCTION("""COMPUTED_VALUE"""),"0934 933 221")</f>
        <v>0934 933 221</v>
      </c>
      <c r="B1114" s="121" t="str">
        <f>IFERROR(__xludf.DUMMYFUNCTION("""COMPUTED_VALUE"""),"Trần Nguyễn Ngọc Sơn")</f>
        <v>Trần Nguyễn Ngọc Sơn</v>
      </c>
      <c r="C1114" s="121" t="str">
        <f>IFERROR(__xludf.DUMMYFUNCTION("""COMPUTED_VALUE"""),"43 Nguyễn phúc Nguyên")</f>
        <v>43 Nguyễn phúc Nguyên</v>
      </c>
      <c r="D1114" s="121" t="str">
        <f>IFERROR(__xludf.DUMMYFUNCTION("""COMPUTED_VALUE"""),"Chó")</f>
        <v>Chó</v>
      </c>
      <c r="E1114" s="121" t="str">
        <f>IFERROR(__xludf.DUMMYFUNCTION("""COMPUTED_VALUE"""),"Bu")</f>
        <v>Bu</v>
      </c>
    </row>
    <row r="1115" ht="15.75" customHeight="1">
      <c r="A1115" s="128" t="str">
        <f>IFERROR(__xludf.DUMMYFUNCTION("""COMPUTED_VALUE"""),"0838 678 131")</f>
        <v>0838 678 131</v>
      </c>
      <c r="B1115" s="127" t="str">
        <f>IFERROR(__xludf.DUMMYFUNCTION("""COMPUTED_VALUE"""),"Lê Quốc Thắng")</f>
        <v>Lê Quốc Thắng</v>
      </c>
      <c r="C1115" s="127" t="str">
        <f>IFERROR(__xludf.DUMMYFUNCTION("""COMPUTED_VALUE"""),"4/4/50 Phạm Thị Liên")</f>
        <v>4/4/50 Phạm Thị Liên</v>
      </c>
      <c r="D1115" s="127" t="str">
        <f>IFERROR(__xludf.DUMMYFUNCTION("""COMPUTED_VALUE"""),"Chó")</f>
        <v>Chó</v>
      </c>
      <c r="E1115" s="127" t="str">
        <f>IFERROR(__xludf.DUMMYFUNCTION("""COMPUTED_VALUE"""),"Bơ")</f>
        <v>Bơ</v>
      </c>
    </row>
    <row r="1116" ht="15.75" customHeight="1">
      <c r="A1116" s="128" t="str">
        <f>IFERROR(__xludf.DUMMYFUNCTION("""COMPUTED_VALUE"""),"0762 537 005")</f>
        <v>0762 537 005</v>
      </c>
      <c r="B1116" s="127" t="str">
        <f>IFERROR(__xludf.DUMMYFUNCTION("""COMPUTED_VALUE"""),"Em Thanh")</f>
        <v>Em Thanh</v>
      </c>
      <c r="C1116" s="119" t="str">
        <f>IFERROR(__xludf.DUMMYFUNCTION("""COMPUTED_VALUE"""),"92/28/1 Dương Văn An ")</f>
        <v>92/28/1 Dương Văn An </v>
      </c>
      <c r="D1116" s="127" t="str">
        <f>IFERROR(__xludf.DUMMYFUNCTION("""COMPUTED_VALUE"""),"Mèo")</f>
        <v>Mèo</v>
      </c>
      <c r="E1116" s="127" t="str">
        <f>IFERROR(__xludf.DUMMYFUNCTION("""COMPUTED_VALUE"""),"mun")</f>
        <v>mun</v>
      </c>
    </row>
    <row r="1117" ht="15.75" customHeight="1">
      <c r="A1117" s="128" t="str">
        <f>IFERROR(__xludf.DUMMYFUNCTION("""COMPUTED_VALUE"""),"0935 688 657")</f>
        <v>0935 688 657</v>
      </c>
      <c r="B1117" s="127" t="str">
        <f>IFERROR(__xludf.DUMMYFUNCTION("""COMPUTED_VALUE"""),"Chị Hạ")</f>
        <v>Chị Hạ</v>
      </c>
      <c r="C1117" s="127" t="str">
        <f>IFERROR(__xludf.DUMMYFUNCTION("""COMPUTED_VALUE"""),"71 Nguyễn Hoàng")</f>
        <v>71 Nguyễn Hoàng</v>
      </c>
      <c r="D1117" s="127" t="str">
        <f>IFERROR(__xludf.DUMMYFUNCTION("""COMPUTED_VALUE"""),"Chó")</f>
        <v>Chó</v>
      </c>
      <c r="E1117" s="127" t="str">
        <f>IFERROR(__xludf.DUMMYFUNCTION("""COMPUTED_VALUE"""),"Bốp")</f>
        <v>Bốp</v>
      </c>
    </row>
    <row r="1118" ht="15.75" customHeight="1">
      <c r="A1118" s="120" t="str">
        <f>IFERROR(__xludf.DUMMYFUNCTION("""COMPUTED_VALUE"""),"0963 850 132")</f>
        <v>0963 850 132</v>
      </c>
      <c r="B1118" s="121" t="str">
        <f>IFERROR(__xludf.DUMMYFUNCTION("""COMPUTED_VALUE"""),"Anh Đạt")</f>
        <v>Anh Đạt</v>
      </c>
      <c r="C1118" s="121" t="str">
        <f>IFERROR(__xludf.DUMMYFUNCTION("""COMPUTED_VALUE"""),"2/194 Lê Duẩn")</f>
        <v>2/194 Lê Duẩn</v>
      </c>
      <c r="D1118" s="121" t="str">
        <f>IFERROR(__xludf.DUMMYFUNCTION("""COMPUTED_VALUE"""),"chó")</f>
        <v>chó</v>
      </c>
      <c r="E1118" s="121" t="str">
        <f>IFERROR(__xludf.DUMMYFUNCTION("""COMPUTED_VALUE"""),"Đen")</f>
        <v>Đen</v>
      </c>
    </row>
    <row r="1119" ht="15.75" customHeight="1">
      <c r="A1119" s="128" t="str">
        <f>IFERROR(__xludf.DUMMYFUNCTION("""COMPUTED_VALUE"""),"0705 286 391")</f>
        <v>0705 286 391</v>
      </c>
      <c r="B1119" s="127" t="str">
        <f>IFERROR(__xludf.DUMMYFUNCTION("""COMPUTED_VALUE"""),"Dì Hường")</f>
        <v>Dì Hường</v>
      </c>
      <c r="C1119" s="127" t="str">
        <f>IFERROR(__xludf.DUMMYFUNCTION("""COMPUTED_VALUE"""),"1 Nguyễn phúc Lan")</f>
        <v>1 Nguyễn phúc Lan</v>
      </c>
      <c r="D1119" s="127" t="str">
        <f>IFERROR(__xludf.DUMMYFUNCTION("""COMPUTED_VALUE"""),"Chó")</f>
        <v>Chó</v>
      </c>
      <c r="E1119" s="127" t="str">
        <f>IFERROR(__xludf.DUMMYFUNCTION("""COMPUTED_VALUE"""),"Lu")</f>
        <v>Lu</v>
      </c>
    </row>
    <row r="1120" ht="15.75" customHeight="1">
      <c r="A1120" s="128" t="str">
        <f>IFERROR(__xludf.DUMMYFUNCTION("""COMPUTED_VALUE"""),"0935 580 588")</f>
        <v>0935 580 588</v>
      </c>
      <c r="B1120" s="127"/>
      <c r="C1120" s="127" t="str">
        <f>IFERROR(__xludf.DUMMYFUNCTION("""COMPUTED_VALUE"""),"Đặng Huy Trứ")</f>
        <v>Đặng Huy Trứ</v>
      </c>
      <c r="D1120" s="127" t="str">
        <f>IFERROR(__xludf.DUMMYFUNCTION("""COMPUTED_VALUE"""),"mèo")</f>
        <v>mèo</v>
      </c>
      <c r="E1120" s="127"/>
    </row>
    <row r="1121" ht="15.75" customHeight="1">
      <c r="A1121" s="128" t="str">
        <f>IFERROR(__xludf.DUMMYFUNCTION("""COMPUTED_VALUE"""),"0935 330 011")</f>
        <v>0935 330 011</v>
      </c>
      <c r="B1121" s="127" t="str">
        <f>IFERROR(__xludf.DUMMYFUNCTION("""COMPUTED_VALUE"""),"Anh Phong")</f>
        <v>Anh Phong</v>
      </c>
      <c r="C1121" s="127" t="str">
        <f>IFERROR(__xludf.DUMMYFUNCTION("""COMPUTED_VALUE"""),"Bầu Vá")</f>
        <v>Bầu Vá</v>
      </c>
      <c r="D1121" s="127" t="str">
        <f>IFERROR(__xludf.DUMMYFUNCTION("""COMPUTED_VALUE"""),"chó")</f>
        <v>chó</v>
      </c>
      <c r="E1121" s="119" t="str">
        <f>IFERROR(__xludf.DUMMYFUNCTION("""COMPUTED_VALUE""")," Sam")</f>
        <v> Sam</v>
      </c>
    </row>
    <row r="1122" ht="15.75" customHeight="1">
      <c r="A1122" s="120" t="str">
        <f>IFERROR(__xludf.DUMMYFUNCTION("""COMPUTED_VALUE"""),"0374 148 974")</f>
        <v>0374 148 974</v>
      </c>
      <c r="B1122" s="121" t="str">
        <f>IFERROR(__xludf.DUMMYFUNCTION("""COMPUTED_VALUE"""),"Em Khải")</f>
        <v>Em Khải</v>
      </c>
      <c r="C1122" s="121" t="str">
        <f>IFERROR(__xludf.DUMMYFUNCTION("""COMPUTED_VALUE"""),"115 Đống Đa")</f>
        <v>115 Đống Đa</v>
      </c>
      <c r="D1122" s="121" t="str">
        <f>IFERROR(__xludf.DUMMYFUNCTION("""COMPUTED_VALUE"""),"mèo")</f>
        <v>mèo</v>
      </c>
      <c r="E1122" s="121" t="str">
        <f>IFERROR(__xludf.DUMMYFUNCTION("""COMPUTED_VALUE"""),"Cắn")</f>
        <v>Cắn</v>
      </c>
    </row>
    <row r="1123" ht="15.75" customHeight="1">
      <c r="A1123" s="120" t="str">
        <f>IFERROR(__xludf.DUMMYFUNCTION("""COMPUTED_VALUE"""),"0783 333 280")</f>
        <v>0783 333 280</v>
      </c>
      <c r="B1123" s="127" t="str">
        <f>IFERROR(__xludf.DUMMYFUNCTION("""COMPUTED_VALUE"""),"Anh Thắng")</f>
        <v>Anh Thắng</v>
      </c>
      <c r="C1123" s="127" t="str">
        <f>IFERROR(__xludf.DUMMYFUNCTION("""COMPUTED_VALUE"""),"Thủy Bằng")</f>
        <v>Thủy Bằng</v>
      </c>
      <c r="D1123" s="127" t="str">
        <f>IFERROR(__xludf.DUMMYFUNCTION("""COMPUTED_VALUE"""),"chó")</f>
        <v>chó</v>
      </c>
      <c r="E1123" s="127" t="str">
        <f>IFERROR(__xludf.DUMMYFUNCTION("""COMPUTED_VALUE"""),"Lu")</f>
        <v>Lu</v>
      </c>
    </row>
    <row r="1124" ht="15.75" customHeight="1">
      <c r="A1124" s="120" t="str">
        <f>IFERROR(__xludf.DUMMYFUNCTION("""COMPUTED_VALUE"""),"0358 878 159")</f>
        <v>0358 878 159</v>
      </c>
      <c r="B1124" s="121" t="str">
        <f>IFERROR(__xludf.DUMMYFUNCTION("""COMPUTED_VALUE"""),"Chú Chí")</f>
        <v>Chú Chí</v>
      </c>
      <c r="C1124" s="121" t="str">
        <f>IFERROR(__xludf.DUMMYFUNCTION("""COMPUTED_VALUE"""),"152 Minh Mạng")</f>
        <v>152 Minh Mạng</v>
      </c>
      <c r="D1124" s="121" t="str">
        <f>IFERROR(__xludf.DUMMYFUNCTION("""COMPUTED_VALUE"""),"chó")</f>
        <v>chó</v>
      </c>
      <c r="E1124" s="121"/>
    </row>
    <row r="1125" ht="15.75" customHeight="1">
      <c r="A1125" s="128" t="str">
        <f>IFERROR(__xludf.DUMMYFUNCTION("""COMPUTED_VALUE"""),"0943 358 489")</f>
        <v>0943 358 489</v>
      </c>
      <c r="B1125" s="127" t="str">
        <f>IFERROR(__xludf.DUMMYFUNCTION("""COMPUTED_VALUE"""),"Anh Thiên")</f>
        <v>Anh Thiên</v>
      </c>
      <c r="C1125" s="127"/>
      <c r="D1125" s="127" t="str">
        <f>IFERROR(__xludf.DUMMYFUNCTION("""COMPUTED_VALUE"""),"mèo")</f>
        <v>mèo</v>
      </c>
      <c r="E1125" s="119"/>
    </row>
    <row r="1126" ht="15.75" customHeight="1">
      <c r="A1126" s="128" t="str">
        <f>IFERROR(__xludf.DUMMYFUNCTION("""COMPUTED_VALUE"""),"0234 383 6323")</f>
        <v>0234 383 6323</v>
      </c>
      <c r="B1126" s="127" t="str">
        <f>IFERROR(__xludf.DUMMYFUNCTION("""COMPUTED_VALUE"""),"Ông Định")</f>
        <v>Ông Định</v>
      </c>
      <c r="C1126" s="127" t="str">
        <f>IFERROR(__xludf.DUMMYFUNCTION("""COMPUTED_VALUE"""),"106  Phan Bội Châu")</f>
        <v>106  Phan Bội Châu</v>
      </c>
      <c r="D1126" s="127" t="str">
        <f>IFERROR(__xludf.DUMMYFUNCTION("""COMPUTED_VALUE"""),"mèo")</f>
        <v>mèo</v>
      </c>
      <c r="E1126" s="127" t="str">
        <f>IFERROR(__xludf.DUMMYFUNCTION("""COMPUTED_VALUE"""),"mimi")</f>
        <v>mimi</v>
      </c>
    </row>
    <row r="1127" ht="15.75" customHeight="1">
      <c r="A1127" s="120" t="str">
        <f>IFERROR(__xludf.DUMMYFUNCTION("""COMPUTED_VALUE"""),"0383 748 110")</f>
        <v>0383 748 110</v>
      </c>
      <c r="B1127" s="121" t="str">
        <f>IFERROR(__xludf.DUMMYFUNCTION("""COMPUTED_VALUE"""),"Chị Ngọc Mai")</f>
        <v>Chị Ngọc Mai</v>
      </c>
      <c r="C1127" s="121" t="str">
        <f>IFERROR(__xludf.DUMMYFUNCTION("""COMPUTED_VALUE"""),"B23 đường số 2 An cựu city")</f>
        <v>B23 đường số 2 An cựu city</v>
      </c>
      <c r="D1127" s="121" t="str">
        <f>IFERROR(__xludf.DUMMYFUNCTION("""COMPUTED_VALUE"""),"chó")</f>
        <v>chó</v>
      </c>
      <c r="E1127" s="121" t="str">
        <f>IFERROR(__xludf.DUMMYFUNCTION("""COMPUTED_VALUE"""),"su")</f>
        <v>su</v>
      </c>
    </row>
    <row r="1128" ht="15.75" customHeight="1">
      <c r="A1128" s="120" t="str">
        <f>IFERROR(__xludf.DUMMYFUNCTION("""COMPUTED_VALUE"""),"0392 562 768")</f>
        <v>0392 562 768</v>
      </c>
      <c r="B1128" s="121" t="str">
        <f>IFERROR(__xludf.DUMMYFUNCTION("""COMPUTED_VALUE"""),"Dì Hằng")</f>
        <v>Dì Hằng</v>
      </c>
      <c r="C1128" s="121" t="str">
        <f>IFERROR(__xludf.DUMMYFUNCTION("""COMPUTED_VALUE"""),"phước vĩnh")</f>
        <v>phước vĩnh</v>
      </c>
      <c r="D1128" s="121" t="str">
        <f>IFERROR(__xludf.DUMMYFUNCTION("""COMPUTED_VALUE"""),"mèo")</f>
        <v>mèo</v>
      </c>
      <c r="E1128" s="121" t="str">
        <f>IFERROR(__xludf.DUMMYFUNCTION("""COMPUTED_VALUE"""),"la")</f>
        <v>la</v>
      </c>
    </row>
    <row r="1129" ht="15.75" customHeight="1">
      <c r="A1129" s="122" t="str">
        <f>IFERROR(__xludf.DUMMYFUNCTION("""COMPUTED_VALUE"""),"0818 485 951")</f>
        <v>0818 485 951</v>
      </c>
      <c r="B1129" s="127" t="str">
        <f>IFERROR(__xludf.DUMMYFUNCTION("""COMPUTED_VALUE"""),"chị Hoàng Nguyễn Mai Anh")</f>
        <v>chị Hoàng Nguyễn Mai Anh</v>
      </c>
      <c r="C1129" s="119" t="str">
        <f>IFERROR(__xludf.DUMMYFUNCTION("""COMPUTED_VALUE"""),"4 Thân Văn Nhiết")</f>
        <v>4 Thân Văn Nhiết</v>
      </c>
      <c r="D1129" s="127" t="str">
        <f>IFERROR(__xludf.DUMMYFUNCTION("""COMPUTED_VALUE"""),"chó")</f>
        <v>chó</v>
      </c>
      <c r="E1129" s="127" t="str">
        <f>IFERROR(__xludf.DUMMYFUNCTION("""COMPUTED_VALUE"""),"xệ")</f>
        <v>xệ</v>
      </c>
    </row>
    <row r="1130" ht="15.75" customHeight="1">
      <c r="A1130" s="128" t="str">
        <f>IFERROR(__xludf.DUMMYFUNCTION("""COMPUTED_VALUE"""),"0935 884 884")</f>
        <v>0935 884 884</v>
      </c>
      <c r="B1130" s="127" t="str">
        <f>IFERROR(__xludf.DUMMYFUNCTION("""COMPUTED_VALUE"""),"Anh Cường")</f>
        <v>Anh Cường</v>
      </c>
      <c r="C1130" s="127" t="str">
        <f>IFERROR(__xludf.DUMMYFUNCTION("""COMPUTED_VALUE"""),"44/131 Trần Phú")</f>
        <v>44/131 Trần Phú</v>
      </c>
      <c r="D1130" s="127" t="str">
        <f>IFERROR(__xludf.DUMMYFUNCTION("""COMPUTED_VALUE"""),"chó")</f>
        <v>chó</v>
      </c>
      <c r="E1130" s="127" t="str">
        <f>IFERROR(__xludf.DUMMYFUNCTION("""COMPUTED_VALUE"""),"Đà")</f>
        <v>Đà</v>
      </c>
    </row>
    <row r="1131" ht="15.75" customHeight="1">
      <c r="A1131" s="120" t="str">
        <f>IFERROR(__xludf.DUMMYFUNCTION("""COMPUTED_VALUE"""),"0905 229 088")</f>
        <v>0905 229 088</v>
      </c>
      <c r="B1131" s="121" t="str">
        <f>IFERROR(__xludf.DUMMYFUNCTION("""COMPUTED_VALUE"""),"Chị Linh")</f>
        <v>Chị Linh</v>
      </c>
      <c r="C1131" s="119" t="str">
        <f>IFERROR(__xludf.DUMMYFUNCTION("""COMPUTED_VALUE"""),"12a/4a Hoài Thanh")</f>
        <v>12a/4a Hoài Thanh</v>
      </c>
      <c r="D1131" s="127" t="str">
        <f>IFERROR(__xludf.DUMMYFUNCTION("""COMPUTED_VALUE"""),"chó")</f>
        <v>chó</v>
      </c>
      <c r="E1131" s="119" t="str">
        <f>IFERROR(__xludf.DUMMYFUNCTION("""COMPUTED_VALUE"""),"Nâu")</f>
        <v>Nâu</v>
      </c>
    </row>
    <row r="1132" ht="15.75" customHeight="1">
      <c r="A1132" s="120" t="str">
        <f>IFERROR(__xludf.DUMMYFUNCTION("""COMPUTED_VALUE"""),"0963 791 150")</f>
        <v>0963 791 150</v>
      </c>
      <c r="B1132" s="121" t="str">
        <f>IFERROR(__xludf.DUMMYFUNCTION("""COMPUTED_VALUE"""),"Anh Trung")</f>
        <v>Anh Trung</v>
      </c>
      <c r="C1132" s="121" t="str">
        <f>IFERROR(__xludf.DUMMYFUNCTION("""COMPUTED_VALUE"""),"k202 Phạm Văn Đồng")</f>
        <v>k202 Phạm Văn Đồng</v>
      </c>
      <c r="D1132" s="121" t="str">
        <f>IFERROR(__xludf.DUMMYFUNCTION("""COMPUTED_VALUE"""),"chó")</f>
        <v>chó</v>
      </c>
      <c r="E1132" s="121" t="str">
        <f>IFERROR(__xludf.DUMMYFUNCTION("""COMPUTED_VALUE"""),"buddy")</f>
        <v>buddy</v>
      </c>
    </row>
    <row r="1133" ht="15.75" customHeight="1">
      <c r="A1133" s="120" t="str">
        <f>IFERROR(__xludf.DUMMYFUNCTION("""COMPUTED_VALUE"""),"0356 967 236")</f>
        <v>0356 967 236</v>
      </c>
      <c r="B1133" s="121" t="str">
        <f>IFERROR(__xludf.DUMMYFUNCTION("""COMPUTED_VALUE"""),"Chú Minh")</f>
        <v>Chú Minh</v>
      </c>
      <c r="C1133" s="121" t="str">
        <f>IFERROR(__xludf.DUMMYFUNCTION("""COMPUTED_VALUE"""),"k131 Trần Phú")</f>
        <v>k131 Trần Phú</v>
      </c>
      <c r="D1133" s="121" t="str">
        <f>IFERROR(__xludf.DUMMYFUNCTION("""COMPUTED_VALUE"""),"chó")</f>
        <v>chó</v>
      </c>
      <c r="E1133" s="121" t="str">
        <f>IFERROR(__xludf.DUMMYFUNCTION("""COMPUTED_VALUE"""),"vàng")</f>
        <v>vàng</v>
      </c>
    </row>
    <row r="1134" ht="15.75" customHeight="1">
      <c r="A1134" s="139" t="str">
        <f>IFERROR(__xludf.DUMMYFUNCTION("""COMPUTED_VALUE"""),"0387 465 207")</f>
        <v>0387 465 207</v>
      </c>
      <c r="B1134" s="118" t="str">
        <f>IFERROR(__xludf.DUMMYFUNCTION("""COMPUTED_VALUE"""),"Dì  Lan")</f>
        <v>Dì  Lan</v>
      </c>
      <c r="C1134" s="118" t="str">
        <f>IFERROR(__xludf.DUMMYFUNCTION("""COMPUTED_VALUE"""),"hẻm 54/27/131 Trần Phú")</f>
        <v>hẻm 54/27/131 Trần Phú</v>
      </c>
      <c r="D1134" s="118" t="str">
        <f>IFERROR(__xludf.DUMMYFUNCTION("""COMPUTED_VALUE"""),"chó")</f>
        <v>chó</v>
      </c>
      <c r="E1134" s="118" t="str">
        <f>IFERROR(__xludf.DUMMYFUNCTION("""COMPUTED_VALUE"""),"rumi")</f>
        <v>rumi</v>
      </c>
    </row>
    <row r="1135" ht="15.75" customHeight="1">
      <c r="A1135" s="128" t="str">
        <f>IFERROR(__xludf.DUMMYFUNCTION("""COMPUTED_VALUE"""),"0946 003 131")</f>
        <v>0946 003 131</v>
      </c>
      <c r="B1135" s="127" t="str">
        <f>IFERROR(__xludf.DUMMYFUNCTION("""COMPUTED_VALUE"""),"Anh Lâm Quốc Đạt")</f>
        <v>Anh Lâm Quốc Đạt</v>
      </c>
      <c r="C1135" s="127" t="str">
        <f>IFERROR(__xludf.DUMMYFUNCTION("""COMPUTED_VALUE"""),"10 Xuân Diệu")</f>
        <v>10 Xuân Diệu</v>
      </c>
      <c r="D1135" s="127" t="str">
        <f>IFERROR(__xludf.DUMMYFUNCTION("""COMPUTED_VALUE"""),"mèo")</f>
        <v>mèo</v>
      </c>
      <c r="E1135" s="127" t="str">
        <f>IFERROR(__xludf.DUMMYFUNCTION("""COMPUTED_VALUE"""),"Gạo/mèo mẹ")</f>
        <v>Gạo/mèo mẹ</v>
      </c>
    </row>
    <row r="1136" ht="15.75" customHeight="1">
      <c r="A1136" s="120" t="str">
        <f>IFERROR(__xludf.DUMMYFUNCTION("""COMPUTED_VALUE"""),"0835 720 787")</f>
        <v>0835 720 787</v>
      </c>
      <c r="B1136" s="121" t="str">
        <f>IFERROR(__xludf.DUMMYFUNCTION("""COMPUTED_VALUE"""),"Chị Kim")</f>
        <v>Chị Kim</v>
      </c>
      <c r="C1136" s="121" t="str">
        <f>IFERROR(__xludf.DUMMYFUNCTION("""COMPUTED_VALUE"""),"79 Nguyễn Hoàng")</f>
        <v>79 Nguyễn Hoàng</v>
      </c>
      <c r="D1136" s="121" t="str">
        <f>IFERROR(__xludf.DUMMYFUNCTION("""COMPUTED_VALUE"""),"Chó")</f>
        <v>Chó</v>
      </c>
      <c r="E1136" s="119" t="str">
        <f>IFERROR(__xludf.DUMMYFUNCTION("""COMPUTED_VALUE"""),"Muối")</f>
        <v>Muối</v>
      </c>
    </row>
    <row r="1137" ht="15.75" customHeight="1">
      <c r="A1137" s="128" t="str">
        <f>IFERROR(__xludf.DUMMYFUNCTION("""COMPUTED_VALUE"""),"0947 306 126")</f>
        <v>0947 306 126</v>
      </c>
      <c r="B1137" s="127" t="str">
        <f>IFERROR(__xludf.DUMMYFUNCTION("""COMPUTED_VALUE"""),"Anh Huỳnh Ngọc Hải")</f>
        <v>Anh Huỳnh Ngọc Hải</v>
      </c>
      <c r="C1137" s="127" t="str">
        <f>IFERROR(__xludf.DUMMYFUNCTION("""COMPUTED_VALUE"""),"87 Phan Đình Phùng")</f>
        <v>87 Phan Đình Phùng</v>
      </c>
      <c r="D1137" s="127" t="str">
        <f>IFERROR(__xludf.DUMMYFUNCTION("""COMPUTED_VALUE"""),"chó")</f>
        <v>chó</v>
      </c>
      <c r="E1137" s="119" t="str">
        <f>IFERROR(__xludf.DUMMYFUNCTION("""COMPUTED_VALUE"""),"Xù/Cỏ")</f>
        <v>Xù/Cỏ</v>
      </c>
    </row>
    <row r="1138" ht="15.75" customHeight="1">
      <c r="A1138" s="120" t="str">
        <f>IFERROR(__xludf.DUMMYFUNCTION("""COMPUTED_VALUE"""),"0373 439 462")</f>
        <v>0373 439 462</v>
      </c>
      <c r="B1138" s="121" t="str">
        <f>IFERROR(__xludf.DUMMYFUNCTION("""COMPUTED_VALUE"""),"Chị Diệu")</f>
        <v>Chị Diệu</v>
      </c>
      <c r="C1138" s="121" t="str">
        <f>IFERROR(__xludf.DUMMYFUNCTION("""COMPUTED_VALUE"""),"Thủy Bằng")</f>
        <v>Thủy Bằng</v>
      </c>
      <c r="D1138" s="121" t="str">
        <f>IFERROR(__xludf.DUMMYFUNCTION("""COMPUTED_VALUE"""),"chó")</f>
        <v>chó</v>
      </c>
      <c r="E1138" s="121" t="str">
        <f>IFERROR(__xludf.DUMMYFUNCTION("""COMPUTED_VALUE"""),"rôn")</f>
        <v>rôn</v>
      </c>
    </row>
    <row r="1139" ht="15.75" customHeight="1">
      <c r="A1139" s="128" t="str">
        <f>IFERROR(__xludf.DUMMYFUNCTION("""COMPUTED_VALUE"""),"0859 040 225")</f>
        <v>0859 040 225</v>
      </c>
      <c r="B1139" s="127" t="str">
        <f>IFERROR(__xludf.DUMMYFUNCTION("""COMPUTED_VALUE"""),"Anh Đăng")</f>
        <v>Anh Đăng</v>
      </c>
      <c r="C1139" s="127" t="str">
        <f>IFERROR(__xludf.DUMMYFUNCTION("""COMPUTED_VALUE"""),"123 Bà Triệu")</f>
        <v>123 Bà Triệu</v>
      </c>
      <c r="D1139" s="127" t="str">
        <f>IFERROR(__xludf.DUMMYFUNCTION("""COMPUTED_VALUE"""),"chó")</f>
        <v>chó</v>
      </c>
      <c r="E1139" s="127" t="str">
        <f>IFERROR(__xludf.DUMMYFUNCTION("""COMPUTED_VALUE"""),"sóc")</f>
        <v>sóc</v>
      </c>
    </row>
    <row r="1140" ht="15.75" customHeight="1">
      <c r="A1140" s="128" t="str">
        <f>IFERROR(__xludf.DUMMYFUNCTION("""COMPUTED_VALUE"""),"0855 629 455")</f>
        <v>0855 629 455</v>
      </c>
      <c r="B1140" s="127" t="str">
        <f>IFERROR(__xludf.DUMMYFUNCTION("""COMPUTED_VALUE"""),"Chị Trang")</f>
        <v>Chị Trang</v>
      </c>
      <c r="C1140" s="127" t="str">
        <f>IFERROR(__xludf.DUMMYFUNCTION("""COMPUTED_VALUE"""),"103 Thiên Thai")</f>
        <v>103 Thiên Thai</v>
      </c>
      <c r="D1140" s="127" t="str">
        <f>IFERROR(__xludf.DUMMYFUNCTION("""COMPUTED_VALUE"""),"chó")</f>
        <v>chó</v>
      </c>
      <c r="E1140" s="127" t="str">
        <f>IFERROR(__xludf.DUMMYFUNCTION("""COMPUTED_VALUE"""),"lu")</f>
        <v>lu</v>
      </c>
    </row>
    <row r="1141" ht="15.75" customHeight="1">
      <c r="A1141" s="128" t="str">
        <f>IFERROR(__xludf.DUMMYFUNCTION("""COMPUTED_VALUE"""),"0899 230 098")</f>
        <v>0899 230 098</v>
      </c>
      <c r="B1141" s="127" t="str">
        <f>IFERROR(__xludf.DUMMYFUNCTION("""COMPUTED_VALUE"""),"Chị Sinh")</f>
        <v>Chị Sinh</v>
      </c>
      <c r="C1141" s="127" t="str">
        <f>IFERROR(__xludf.DUMMYFUNCTION("""COMPUTED_VALUE"""),"72 Hồ Thừa")</f>
        <v>72 Hồ Thừa</v>
      </c>
      <c r="D1141" s="127" t="str">
        <f>IFERROR(__xludf.DUMMYFUNCTION("""COMPUTED_VALUE"""),"Mèo")</f>
        <v>Mèo</v>
      </c>
      <c r="E1141" s="127" t="str">
        <f>IFERROR(__xludf.DUMMYFUNCTION("""COMPUTED_VALUE"""),"Gấu")</f>
        <v>Gấu</v>
      </c>
    </row>
    <row r="1142" ht="15.75" customHeight="1">
      <c r="A1142" s="128" t="str">
        <f>IFERROR(__xludf.DUMMYFUNCTION("""COMPUTED_VALUE"""),"0777 589 959")</f>
        <v>0777 589 959</v>
      </c>
      <c r="B1142" s="127" t="str">
        <f>IFERROR(__xludf.DUMMYFUNCTION("""COMPUTED_VALUE"""),"chị Thanh")</f>
        <v>chị Thanh</v>
      </c>
      <c r="C1142" s="127" t="str">
        <f>IFERROR(__xludf.DUMMYFUNCTION("""COMPUTED_VALUE"""),"8 Nguyễn Phúc Thụ")</f>
        <v>8 Nguyễn Phúc Thụ</v>
      </c>
      <c r="D1142" s="127" t="str">
        <f>IFERROR(__xludf.DUMMYFUNCTION("""COMPUTED_VALUE"""),"Chó ")</f>
        <v>Chó </v>
      </c>
      <c r="E1142" s="127" t="str">
        <f>IFERROR(__xludf.DUMMYFUNCTION("""COMPUTED_VALUE"""),"Xu")</f>
        <v>Xu</v>
      </c>
    </row>
    <row r="1143" ht="15.75" customHeight="1">
      <c r="A1143" s="128" t="str">
        <f>IFERROR(__xludf.DUMMYFUNCTION("""COMPUTED_VALUE"""),"0905 383 656")</f>
        <v>0905 383 656</v>
      </c>
      <c r="B1143" s="127" t="str">
        <f>IFERROR(__xludf.DUMMYFUNCTION("""COMPUTED_VALUE"""),"chị Phương")</f>
        <v>chị Phương</v>
      </c>
      <c r="C1143" s="127" t="str">
        <f>IFERROR(__xludf.DUMMYFUNCTION("""COMPUTED_VALUE"""),"14/69/131 trần Phú")</f>
        <v>14/69/131 trần Phú</v>
      </c>
      <c r="D1143" s="127" t="str">
        <f>IFERROR(__xludf.DUMMYFUNCTION("""COMPUTED_VALUE"""),"mèo")</f>
        <v>mèo</v>
      </c>
      <c r="E1143" s="127"/>
    </row>
    <row r="1144" ht="15.75" customHeight="1">
      <c r="A1144" s="120" t="str">
        <f>IFERROR(__xludf.DUMMYFUNCTION("""COMPUTED_VALUE"""),"0839 204 02")</f>
        <v>0839 204 02</v>
      </c>
      <c r="B1144" s="121" t="str">
        <f>IFERROR(__xludf.DUMMYFUNCTION("""COMPUTED_VALUE"""),"Yến Nhi")</f>
        <v>Yến Nhi</v>
      </c>
      <c r="C1144" s="121" t="str">
        <f>IFERROR(__xludf.DUMMYFUNCTION("""COMPUTED_VALUE"""),"28/23/131 Trần Phú")</f>
        <v>28/23/131 Trần Phú</v>
      </c>
      <c r="D1144" s="121" t="str">
        <f>IFERROR(__xludf.DUMMYFUNCTION("""COMPUTED_VALUE"""),"mèo")</f>
        <v>mèo</v>
      </c>
      <c r="E1144" s="121" t="str">
        <f>IFERROR(__xludf.DUMMYFUNCTION("""COMPUTED_VALUE"""),"lùn")</f>
        <v>lùn</v>
      </c>
    </row>
    <row r="1145" ht="15.75" customHeight="1">
      <c r="A1145" s="120" t="str">
        <f>IFERROR(__xludf.DUMMYFUNCTION("""COMPUTED_VALUE"""),"0906 494 016")</f>
        <v>0906 494 016</v>
      </c>
      <c r="B1145" s="121" t="str">
        <f>IFERROR(__xludf.DUMMYFUNCTION("""COMPUTED_VALUE"""),"Chú Nam")</f>
        <v>Chú Nam</v>
      </c>
      <c r="C1145" s="121" t="str">
        <f>IFERROR(__xludf.DUMMYFUNCTION("""COMPUTED_VALUE"""),"15a Lê  Quý Đôn")</f>
        <v>15a Lê  Quý Đôn</v>
      </c>
      <c r="D1145" s="121" t="str">
        <f>IFERROR(__xludf.DUMMYFUNCTION("""COMPUTED_VALUE"""),"chó")</f>
        <v>chó</v>
      </c>
      <c r="E1145" s="121" t="str">
        <f>IFERROR(__xludf.DUMMYFUNCTION("""COMPUTED_VALUE"""),"bậy")</f>
        <v>bậy</v>
      </c>
    </row>
    <row r="1146" ht="15.75" customHeight="1">
      <c r="A1146" s="120" t="str">
        <f>IFERROR(__xludf.DUMMYFUNCTION("""COMPUTED_VALUE"""),"0327 104 537")</f>
        <v>0327 104 537</v>
      </c>
      <c r="B1146" s="121" t="str">
        <f>IFERROR(__xludf.DUMMYFUNCTION("""COMPUTED_VALUE"""),"chị Thanh")</f>
        <v>chị Thanh</v>
      </c>
      <c r="C1146" s="121" t="str">
        <f>IFERROR(__xludf.DUMMYFUNCTION("""COMPUTED_VALUE"""),"9 Lâm Hoằng")</f>
        <v>9 Lâm Hoằng</v>
      </c>
      <c r="D1146" s="121" t="str">
        <f>IFERROR(__xludf.DUMMYFUNCTION("""COMPUTED_VALUE"""),"Chó")</f>
        <v>Chó</v>
      </c>
      <c r="E1146" s="121" t="str">
        <f>IFERROR(__xludf.DUMMYFUNCTION("""COMPUTED_VALUE"""),"Xu")</f>
        <v>Xu</v>
      </c>
    </row>
    <row r="1147" ht="15.75" customHeight="1">
      <c r="A1147" s="128" t="str">
        <f>IFERROR(__xludf.DUMMYFUNCTION("""COMPUTED_VALUE"""),"0935 238 375")</f>
        <v>0935 238 375</v>
      </c>
      <c r="B1147" s="127" t="str">
        <f>IFERROR(__xludf.DUMMYFUNCTION("""COMPUTED_VALUE"""),"Anh Đức")</f>
        <v>Anh Đức</v>
      </c>
      <c r="C1147" s="127" t="str">
        <f>IFERROR(__xludf.DUMMYFUNCTION("""COMPUTED_VALUE"""),"26 Nguyễn Phúc Nguyên")</f>
        <v>26 Nguyễn Phúc Nguyên</v>
      </c>
      <c r="D1147" s="127" t="str">
        <f>IFERROR(__xludf.DUMMYFUNCTION("""COMPUTED_VALUE"""),"chó")</f>
        <v>chó</v>
      </c>
      <c r="E1147" s="127" t="str">
        <f>IFERROR(__xludf.DUMMYFUNCTION("""COMPUTED_VALUE""")," Ki")</f>
        <v> Ki</v>
      </c>
    </row>
    <row r="1148" ht="15.75" customHeight="1">
      <c r="A1148" s="120" t="str">
        <f>IFERROR(__xludf.DUMMYFUNCTION("""COMPUTED_VALUE"""),"0907 733 081")</f>
        <v>0907 733 081</v>
      </c>
      <c r="B1148" s="121" t="str">
        <f>IFERROR(__xludf.DUMMYFUNCTION("""COMPUTED_VALUE"""),"Chị Hằng")</f>
        <v>Chị Hằng</v>
      </c>
      <c r="C1148" s="121" t="str">
        <f>IFERROR(__xludf.DUMMYFUNCTION("""COMPUTED_VALUE"""),"165 Trần Phú")</f>
        <v>165 Trần Phú</v>
      </c>
      <c r="D1148" s="121" t="str">
        <f>IFERROR(__xludf.DUMMYFUNCTION("""COMPUTED_VALUE"""),"mèo")</f>
        <v>mèo</v>
      </c>
      <c r="E1148" s="121" t="str">
        <f>IFERROR(__xludf.DUMMYFUNCTION("""COMPUTED_VALUE"""),"miu")</f>
        <v>miu</v>
      </c>
    </row>
    <row r="1149" ht="15.75" customHeight="1">
      <c r="A1149" s="120" t="str">
        <f>IFERROR(__xludf.DUMMYFUNCTION("""COMPUTED_VALUE"""),"0963 178 701")</f>
        <v>0963 178 701</v>
      </c>
      <c r="B1149" s="121" t="str">
        <f>IFERROR(__xludf.DUMMYFUNCTION("""COMPUTED_VALUE"""),"Em Vi")</f>
        <v>Em Vi</v>
      </c>
      <c r="C1149" s="121" t="str">
        <f>IFERROR(__xludf.DUMMYFUNCTION("""COMPUTED_VALUE"""),"15 Lương Văn Can")</f>
        <v>15 Lương Văn Can</v>
      </c>
      <c r="D1149" s="121" t="str">
        <f>IFERROR(__xludf.DUMMYFUNCTION("""COMPUTED_VALUE"""),"Mèo")</f>
        <v>Mèo</v>
      </c>
      <c r="E1149" s="121"/>
    </row>
    <row r="1150" ht="15.75" customHeight="1">
      <c r="A1150" s="128" t="str">
        <f>IFERROR(__xludf.DUMMYFUNCTION("""COMPUTED_VALUE"""),"0812 728 794")</f>
        <v>0812 728 794</v>
      </c>
      <c r="B1150" s="127" t="str">
        <f>IFERROR(__xludf.DUMMYFUNCTION("""COMPUTED_VALUE"""),"Em Nhật")</f>
        <v>Em Nhật</v>
      </c>
      <c r="C1150" s="127" t="str">
        <f>IFERROR(__xludf.DUMMYFUNCTION("""COMPUTED_VALUE"""),"Thủy Bằng")</f>
        <v>Thủy Bằng</v>
      </c>
      <c r="D1150" s="127" t="str">
        <f>IFERROR(__xludf.DUMMYFUNCTION("""COMPUTED_VALUE"""),"chó")</f>
        <v>chó</v>
      </c>
      <c r="E1150" s="127" t="str">
        <f>IFERROR(__xludf.DUMMYFUNCTION("""COMPUTED_VALUE"""),"xo")</f>
        <v>xo</v>
      </c>
    </row>
    <row r="1151" ht="15.75" customHeight="1">
      <c r="A1151" s="120" t="str">
        <f>IFERROR(__xludf.DUMMYFUNCTION("""COMPUTED_VALUE"""),"0914 172 308")</f>
        <v>0914 172 308</v>
      </c>
      <c r="B1151" s="121" t="str">
        <f>IFERROR(__xludf.DUMMYFUNCTION("""COMPUTED_VALUE"""),"Chị Diễm Anh")</f>
        <v>Chị Diễm Anh</v>
      </c>
      <c r="C1151" s="121" t="str">
        <f>IFERROR(__xludf.DUMMYFUNCTION("""COMPUTED_VALUE"""),"1/6 Phan Bội Châu")</f>
        <v>1/6 Phan Bội Châu</v>
      </c>
      <c r="D1151" s="121" t="str">
        <f>IFERROR(__xludf.DUMMYFUNCTION("""COMPUTED_VALUE"""),"Chó")</f>
        <v>Chó</v>
      </c>
      <c r="E1151" s="121" t="str">
        <f>IFERROR(__xludf.DUMMYFUNCTION("""COMPUTED_VALUE"""),"Vện")</f>
        <v>Vện</v>
      </c>
    </row>
    <row r="1152" ht="15.75" customHeight="1">
      <c r="A1152" s="120" t="str">
        <f>IFERROR(__xludf.DUMMYFUNCTION("""COMPUTED_VALUE"""),"0346 565 355")</f>
        <v>0346 565 355</v>
      </c>
      <c r="B1152" s="121" t="str">
        <f>IFERROR(__xludf.DUMMYFUNCTION("""COMPUTED_VALUE"""),"Chị Nguyễn Luyến")</f>
        <v>Chị Nguyễn Luyến</v>
      </c>
      <c r="C1152" s="121" t="str">
        <f>IFERROR(__xludf.DUMMYFUNCTION("""COMPUTED_VALUE"""),"K7 Thủy Vân")</f>
        <v>K7 Thủy Vân</v>
      </c>
      <c r="D1152" s="121" t="str">
        <f>IFERROR(__xludf.DUMMYFUNCTION("""COMPUTED_VALUE"""),"Mèo")</f>
        <v>Mèo</v>
      </c>
      <c r="E1152" s="121" t="str">
        <f>IFERROR(__xludf.DUMMYFUNCTION("""COMPUTED_VALUE"""),"Nhật Anh")</f>
        <v>Nhật Anh</v>
      </c>
    </row>
    <row r="1153" ht="15.75" customHeight="1">
      <c r="A1153" s="120" t="str">
        <f>IFERROR(__xludf.DUMMYFUNCTION("""COMPUTED_VALUE"""),"0905 809 588")</f>
        <v>0905 809 588</v>
      </c>
      <c r="B1153" s="129" t="str">
        <f>IFERROR(__xludf.DUMMYFUNCTION("""COMPUTED_VALUE"""),"Như Liên")</f>
        <v>Như Liên</v>
      </c>
      <c r="C1153" s="121" t="str">
        <f>IFERROR(__xludf.DUMMYFUNCTION("""COMPUTED_VALUE"""),"28 Minh mạng")</f>
        <v>28 Minh mạng</v>
      </c>
      <c r="D1153" s="121" t="str">
        <f>IFERROR(__xludf.DUMMYFUNCTION("""COMPUTED_VALUE"""),"Chó")</f>
        <v>Chó</v>
      </c>
      <c r="E1153" s="121" t="str">
        <f>IFERROR(__xludf.DUMMYFUNCTION("""COMPUTED_VALUE"""),"Cún")</f>
        <v>Cún</v>
      </c>
    </row>
    <row r="1154" ht="15.75" customHeight="1">
      <c r="A1154" s="120" t="str">
        <f>IFERROR(__xludf.DUMMYFUNCTION("""COMPUTED_VALUE"""),"0789 481 765")</f>
        <v>0789 481 765</v>
      </c>
      <c r="B1154" s="121" t="str">
        <f>IFERROR(__xludf.DUMMYFUNCTION("""COMPUTED_VALUE"""),"Em Thủy")</f>
        <v>Em Thủy</v>
      </c>
      <c r="C1154" s="119" t="str">
        <f>IFERROR(__xludf.DUMMYFUNCTION("""COMPUTED_VALUE"""),"35/168 Trần Phú")</f>
        <v>35/168 Trần Phú</v>
      </c>
      <c r="D1154" s="121" t="str">
        <f>IFERROR(__xludf.DUMMYFUNCTION("""COMPUTED_VALUE"""),"chó")</f>
        <v>chó</v>
      </c>
      <c r="E1154" s="121" t="str">
        <f>IFERROR(__xludf.DUMMYFUNCTION("""COMPUTED_VALUE"""),"lợn")</f>
        <v>lợn</v>
      </c>
    </row>
    <row r="1155" ht="15.75" customHeight="1">
      <c r="A1155" s="128" t="str">
        <f>IFERROR(__xludf.DUMMYFUNCTION("""COMPUTED_VALUE"""),"0849 490 246")</f>
        <v>0849 490 246</v>
      </c>
      <c r="B1155" s="127" t="str">
        <f>IFERROR(__xludf.DUMMYFUNCTION("""COMPUTED_VALUE"""),"Hữu Ân")</f>
        <v>Hữu Ân</v>
      </c>
      <c r="C1155" s="127" t="str">
        <f>IFERROR(__xludf.DUMMYFUNCTION("""COMPUTED_VALUE"""),"31/31/246 Hùng Vương")</f>
        <v>31/31/246 Hùng Vương</v>
      </c>
      <c r="D1155" s="127" t="str">
        <f>IFERROR(__xludf.DUMMYFUNCTION("""COMPUTED_VALUE"""),"mèo")</f>
        <v>mèo</v>
      </c>
      <c r="E1155" s="127" t="str">
        <f>IFERROR(__xludf.DUMMYFUNCTION("""COMPUTED_VALUE"""),"bông")</f>
        <v>bông</v>
      </c>
    </row>
    <row r="1156" ht="15.75" customHeight="1">
      <c r="A1156" s="120" t="str">
        <f>IFERROR(__xludf.DUMMYFUNCTION("""COMPUTED_VALUE"""),"0915 961 782")</f>
        <v>0915 961 782</v>
      </c>
      <c r="B1156" s="121" t="str">
        <f>IFERROR(__xludf.DUMMYFUNCTION("""COMPUTED_VALUE"""),"Ngọc Hà")</f>
        <v>Ngọc Hà</v>
      </c>
      <c r="C1156" s="121" t="str">
        <f>IFERROR(__xludf.DUMMYFUNCTION("""COMPUTED_VALUE"""),"209 khu B, chung cư  Vincoland")</f>
        <v>209 khu B, chung cư  Vincoland</v>
      </c>
      <c r="D1156" s="121" t="str">
        <f>IFERROR(__xludf.DUMMYFUNCTION("""COMPUTED_VALUE"""),"Mèo")</f>
        <v>Mèo</v>
      </c>
      <c r="E1156" s="121" t="str">
        <f>IFERROR(__xludf.DUMMYFUNCTION("""COMPUTED_VALUE"""),"Mú")</f>
        <v>Mú</v>
      </c>
    </row>
    <row r="1157" ht="15.75" customHeight="1">
      <c r="A1157" s="128" t="str">
        <f>IFERROR(__xludf.DUMMYFUNCTION("""COMPUTED_VALUE"""),"0947 554 256")</f>
        <v>0947 554 256</v>
      </c>
      <c r="B1157" s="127" t="str">
        <f>IFERROR(__xludf.DUMMYFUNCTION("""COMPUTED_VALUE"""),"Hoàng Mỹ")</f>
        <v>Hoàng Mỹ</v>
      </c>
      <c r="C1157" s="127" t="str">
        <f>IFERROR(__xludf.DUMMYFUNCTION("""COMPUTED_VALUE"""),"67 Nguyễn Phúc Thái")</f>
        <v>67 Nguyễn Phúc Thái</v>
      </c>
      <c r="D1157" s="127" t="str">
        <f>IFERROR(__xludf.DUMMYFUNCTION("""COMPUTED_VALUE"""),"Chó")</f>
        <v>Chó</v>
      </c>
      <c r="E1157" s="127" t="str">
        <f>IFERROR(__xludf.DUMMYFUNCTION("""COMPUTED_VALUE"""),"Canh")</f>
        <v>Canh</v>
      </c>
    </row>
    <row r="1158" ht="15.75" customHeight="1">
      <c r="A1158" s="120" t="str">
        <f>IFERROR(__xludf.DUMMYFUNCTION("""COMPUTED_VALUE"""),"0335 288 499")</f>
        <v>0335 288 499</v>
      </c>
      <c r="B1158" s="121" t="str">
        <f>IFERROR(__xludf.DUMMYFUNCTION("""COMPUTED_VALUE"""),"Anh Trí")</f>
        <v>Anh Trí</v>
      </c>
      <c r="C1158" s="121" t="str">
        <f>IFERROR(__xludf.DUMMYFUNCTION("""COMPUTED_VALUE"""),"210 Tôn Thất Thuyết")</f>
        <v>210 Tôn Thất Thuyết</v>
      </c>
      <c r="D1158" s="121" t="str">
        <f>IFERROR(__xludf.DUMMYFUNCTION("""COMPUTED_VALUE"""),"Mèo")</f>
        <v>Mèo</v>
      </c>
      <c r="E1158" s="121" t="str">
        <f>IFERROR(__xludf.DUMMYFUNCTION("""COMPUTED_VALUE"""),"Miu")</f>
        <v>Miu</v>
      </c>
    </row>
    <row r="1159" ht="15.75" customHeight="1">
      <c r="A1159" s="128" t="str">
        <f>IFERROR(__xludf.DUMMYFUNCTION("""COMPUTED_VALUE"""),"0365 629 580")</f>
        <v>0365 629 580</v>
      </c>
      <c r="B1159" s="127" t="str">
        <f>IFERROR(__xludf.DUMMYFUNCTION("""COMPUTED_VALUE"""),"Chị Nguyên")</f>
        <v>Chị Nguyên</v>
      </c>
      <c r="C1159" s="127" t="str">
        <f>IFERROR(__xludf.DUMMYFUNCTION("""COMPUTED_VALUE"""),"59 La Sơn Phu Tử")</f>
        <v>59 La Sơn Phu Tử</v>
      </c>
      <c r="D1159" s="127" t="str">
        <f>IFERROR(__xludf.DUMMYFUNCTION("""COMPUTED_VALUE"""),"Chó")</f>
        <v>Chó</v>
      </c>
      <c r="E1159" s="127" t="str">
        <f>IFERROR(__xludf.DUMMYFUNCTION("""COMPUTED_VALUE"""),"Nâu")</f>
        <v>Nâu</v>
      </c>
    </row>
    <row r="1160" ht="15.75" customHeight="1">
      <c r="A1160" s="120" t="str">
        <f>IFERROR(__xludf.DUMMYFUNCTION("""COMPUTED_VALUE"""),"0374 209 536")</f>
        <v>0374 209 536</v>
      </c>
      <c r="B1160" s="121" t="str">
        <f>IFERROR(__xludf.DUMMYFUNCTION("""COMPUTED_VALUE"""),"Anh VŨ")</f>
        <v>Anh VŨ</v>
      </c>
      <c r="C1160" s="121" t="str">
        <f>IFERROR(__xludf.DUMMYFUNCTION("""COMPUTED_VALUE"""),"13/132/11 Nguyễn Hữu Dạt")</f>
        <v>13/132/11 Nguyễn Hữu Dạt</v>
      </c>
      <c r="D1160" s="121" t="str">
        <f>IFERROR(__xludf.DUMMYFUNCTION("""COMPUTED_VALUE"""),"chó")</f>
        <v>chó</v>
      </c>
      <c r="E1160" s="121" t="str">
        <f>IFERROR(__xludf.DUMMYFUNCTION("""COMPUTED_VALUE"""),"Sữa")</f>
        <v>Sữa</v>
      </c>
    </row>
    <row r="1161" ht="15.75" customHeight="1">
      <c r="A1161" s="128" t="str">
        <f>IFERROR(__xludf.DUMMYFUNCTION("""COMPUTED_VALUE"""),"0938 098 293")</f>
        <v>0938 098 293</v>
      </c>
      <c r="B1161" s="127" t="str">
        <f>IFERROR(__xludf.DUMMYFUNCTION("""COMPUTED_VALUE"""),"Chị Ngân")</f>
        <v>Chị Ngân</v>
      </c>
      <c r="C1161" s="127" t="str">
        <f>IFERROR(__xludf.DUMMYFUNCTION("""COMPUTED_VALUE"""),"7/49 Minh Mạng")</f>
        <v>7/49 Minh Mạng</v>
      </c>
      <c r="D1161" s="127" t="str">
        <f>IFERROR(__xludf.DUMMYFUNCTION("""COMPUTED_VALUE"""),"chó")</f>
        <v>chó</v>
      </c>
      <c r="E1161" s="127" t="str">
        <f>IFERROR(__xludf.DUMMYFUNCTION("""COMPUTED_VALUE"""),"Sen")</f>
        <v>Sen</v>
      </c>
    </row>
    <row r="1162" ht="15.75" customHeight="1">
      <c r="A1162" s="128" t="str">
        <f>IFERROR(__xludf.DUMMYFUNCTION("""COMPUTED_VALUE"""),"0373 213 790")</f>
        <v>0373 213 790</v>
      </c>
      <c r="B1162" s="127" t="str">
        <f>IFERROR(__xludf.DUMMYFUNCTION("""COMPUTED_VALUE"""),"Chị Phương")</f>
        <v>Chị Phương</v>
      </c>
      <c r="C1162" s="127" t="str">
        <f>IFERROR(__xludf.DUMMYFUNCTION("""COMPUTED_VALUE"""),"235/42 Bà Triệu")</f>
        <v>235/42 Bà Triệu</v>
      </c>
      <c r="D1162" s="127" t="str">
        <f>IFERROR(__xludf.DUMMYFUNCTION("""COMPUTED_VALUE"""),"mèo ")</f>
        <v>mèo </v>
      </c>
      <c r="E1162" s="127" t="str">
        <f>IFERROR(__xludf.DUMMYFUNCTION("""COMPUTED_VALUE"""),"Luxy")</f>
        <v>Luxy</v>
      </c>
    </row>
    <row r="1163" ht="15.75" customHeight="1">
      <c r="A1163" s="128" t="str">
        <f>IFERROR(__xludf.DUMMYFUNCTION("""COMPUTED_VALUE"""),"0822 366 703")</f>
        <v>0822 366 703</v>
      </c>
      <c r="B1163" s="127" t="str">
        <f>IFERROR(__xludf.DUMMYFUNCTION("""COMPUTED_VALUE"""),"Bảo Anh")</f>
        <v>Bảo Anh</v>
      </c>
      <c r="C1163" s="127" t="str">
        <f>IFERROR(__xludf.DUMMYFUNCTION("""COMPUTED_VALUE"""),"101 Đào Tấn")</f>
        <v>101 Đào Tấn</v>
      </c>
      <c r="D1163" s="127" t="str">
        <f>IFERROR(__xludf.DUMMYFUNCTION("""COMPUTED_VALUE"""),"mèo")</f>
        <v>mèo</v>
      </c>
      <c r="E1163" s="127" t="str">
        <f>IFERROR(__xludf.DUMMYFUNCTION("""COMPUTED_VALUE""")," Cún")</f>
        <v> Cún</v>
      </c>
    </row>
    <row r="1164" ht="15.75" customHeight="1">
      <c r="A1164" s="120" t="str">
        <f>IFERROR(__xludf.DUMMYFUNCTION("""COMPUTED_VALUE"""),"0974 280 565")</f>
        <v>0974 280 565</v>
      </c>
      <c r="B1164" s="121" t="str">
        <f>IFERROR(__xludf.DUMMYFUNCTION("""COMPUTED_VALUE"""),"Chị Mẫn")</f>
        <v>Chị Mẫn</v>
      </c>
      <c r="C1164" s="121" t="str">
        <f>IFERROR(__xludf.DUMMYFUNCTION("""COMPUTED_VALUE"""),"Hương long ")</f>
        <v>Hương long </v>
      </c>
      <c r="D1164" s="121" t="str">
        <f>IFERROR(__xludf.DUMMYFUNCTION("""COMPUTED_VALUE"""),"Chó")</f>
        <v>Chó</v>
      </c>
      <c r="E1164" s="121" t="str">
        <f>IFERROR(__xludf.DUMMYFUNCTION("""COMPUTED_VALUE""")," Ruby")</f>
        <v> Ruby</v>
      </c>
    </row>
    <row r="1165" ht="15.75" customHeight="1">
      <c r="A1165" s="128" t="str">
        <f>IFERROR(__xludf.DUMMYFUNCTION("""COMPUTED_VALUE"""),"0858 886 325")</f>
        <v>0858 886 325</v>
      </c>
      <c r="B1165" s="127" t="str">
        <f>IFERROR(__xludf.DUMMYFUNCTION("""COMPUTED_VALUE"""),"Viết Dũng")</f>
        <v>Viết Dũng</v>
      </c>
      <c r="C1165" s="127" t="str">
        <f>IFERROR(__xludf.DUMMYFUNCTION("""COMPUTED_VALUE"""),"2/75/245 Bùi Thị Xuân")</f>
        <v>2/75/245 Bùi Thị Xuân</v>
      </c>
      <c r="D1165" s="127" t="str">
        <f>IFERROR(__xludf.DUMMYFUNCTION("""COMPUTED_VALUE"""),"chó")</f>
        <v>chó</v>
      </c>
      <c r="E1165" s="127" t="str">
        <f>IFERROR(__xludf.DUMMYFUNCTION("""COMPUTED_VALUE"""),"Nâu")</f>
        <v>Nâu</v>
      </c>
    </row>
    <row r="1166" ht="15.75" customHeight="1">
      <c r="A1166" s="128" t="str">
        <f>IFERROR(__xludf.DUMMYFUNCTION("""COMPUTED_VALUE"""),"0766 543 293")</f>
        <v>0766 543 293</v>
      </c>
      <c r="B1166" s="127" t="str">
        <f>IFERROR(__xludf.DUMMYFUNCTION("""COMPUTED_VALUE"""),"Chị Lan")</f>
        <v>Chị Lan</v>
      </c>
      <c r="C1166" s="127" t="str">
        <f>IFERROR(__xludf.DUMMYFUNCTION("""COMPUTED_VALUE"""),"Lữ Bảo")</f>
        <v>Lữ Bảo</v>
      </c>
      <c r="D1166" s="127" t="str">
        <f>IFERROR(__xludf.DUMMYFUNCTION("""COMPUTED_VALUE"""),"Chó")</f>
        <v>Chó</v>
      </c>
      <c r="E1166" s="127" t="str">
        <f>IFERROR(__xludf.DUMMYFUNCTION("""COMPUTED_VALUE"""),"Coca")</f>
        <v>Coca</v>
      </c>
    </row>
    <row r="1167" ht="15.75" customHeight="1">
      <c r="A1167" s="128" t="str">
        <f>IFERROR(__xludf.DUMMYFUNCTION("""COMPUTED_VALUE"""),"0353 961 576")</f>
        <v>0353 961 576</v>
      </c>
      <c r="B1167" s="127" t="str">
        <f>IFERROR(__xludf.DUMMYFUNCTION("""COMPUTED_VALUE"""),"Thanh Nhàn")</f>
        <v>Thanh Nhàn</v>
      </c>
      <c r="C1167" s="127" t="str">
        <f>IFERROR(__xludf.DUMMYFUNCTION("""COMPUTED_VALUE"""),"3/77 Phạm Tu")</f>
        <v>3/77 Phạm Tu</v>
      </c>
      <c r="D1167" s="127" t="str">
        <f>IFERROR(__xludf.DUMMYFUNCTION("""COMPUTED_VALUE"""),"chó")</f>
        <v>chó</v>
      </c>
      <c r="E1167" s="127" t="str">
        <f>IFERROR(__xludf.DUMMYFUNCTION("""COMPUTED_VALUE""")," Bông")</f>
        <v> Bông</v>
      </c>
    </row>
    <row r="1168" ht="15.75" customHeight="1">
      <c r="A1168" s="120" t="str">
        <f>IFERROR(__xludf.DUMMYFUNCTION("""COMPUTED_VALUE"""),"0903 509 119")</f>
        <v>0903 509 119</v>
      </c>
      <c r="B1168" s="121" t="str">
        <f>IFERROR(__xludf.DUMMYFUNCTION("""COMPUTED_VALUE"""),"Anh Dũng")</f>
        <v>Anh Dũng</v>
      </c>
      <c r="C1168" s="121" t="str">
        <f>IFERROR(__xludf.DUMMYFUNCTION("""COMPUTED_VALUE"""),"79 Phạm Thị Liên")</f>
        <v>79 Phạm Thị Liên</v>
      </c>
      <c r="D1168" s="121" t="str">
        <f>IFERROR(__xludf.DUMMYFUNCTION("""COMPUTED_VALUE"""),"Chó")</f>
        <v>Chó</v>
      </c>
      <c r="E1168" s="121" t="str">
        <f>IFERROR(__xludf.DUMMYFUNCTION("""COMPUTED_VALUE"""),"Rốt")</f>
        <v>Rốt</v>
      </c>
    </row>
    <row r="1169" ht="15.75" customHeight="1">
      <c r="A1169" s="120" t="str">
        <f>IFERROR(__xludf.DUMMYFUNCTION("""COMPUTED_VALUE"""),"0932 481 721")</f>
        <v>0932 481 721</v>
      </c>
      <c r="B1169" s="121" t="str">
        <f>IFERROR(__xludf.DUMMYFUNCTION("""COMPUTED_VALUE"""),"Chú Tiến")</f>
        <v>Chú Tiến</v>
      </c>
      <c r="C1169" s="121" t="str">
        <f>IFERROR(__xludf.DUMMYFUNCTION("""COMPUTED_VALUE""")," k81 Lưu bảo")</f>
        <v> k81 Lưu bảo</v>
      </c>
      <c r="D1169" s="121" t="str">
        <f>IFERROR(__xludf.DUMMYFUNCTION("""COMPUTED_VALUE"""),"chó")</f>
        <v>chó</v>
      </c>
      <c r="E1169" s="121" t="str">
        <f>IFERROR(__xludf.DUMMYFUNCTION("""COMPUTED_VALUE""")," Xám")</f>
        <v> Xám</v>
      </c>
    </row>
    <row r="1170" ht="15.75" customHeight="1">
      <c r="A1170" s="128" t="str">
        <f>IFERROR(__xludf.DUMMYFUNCTION("""COMPUTED_VALUE"""),"0862 048 184")</f>
        <v>0862 048 184</v>
      </c>
      <c r="B1170" s="127" t="str">
        <f>IFERROR(__xludf.DUMMYFUNCTION("""COMPUTED_VALUE"""),"Chị Nguyên")</f>
        <v>Chị Nguyên</v>
      </c>
      <c r="C1170" s="127" t="str">
        <f>IFERROR(__xludf.DUMMYFUNCTION("""COMPUTED_VALUE"""),"28 Lê Thánh Tôn")</f>
        <v>28 Lê Thánh Tôn</v>
      </c>
      <c r="D1170" s="127" t="str">
        <f>IFERROR(__xludf.DUMMYFUNCTION("""COMPUTED_VALUE"""),"Chó")</f>
        <v>Chó</v>
      </c>
      <c r="E1170" s="127" t="str">
        <f>IFERROR(__xludf.DUMMYFUNCTION("""COMPUTED_VALUE"""),"Bin")</f>
        <v>Bin</v>
      </c>
    </row>
    <row r="1171" ht="15.75" customHeight="1">
      <c r="A1171" s="128" t="str">
        <f>IFERROR(__xludf.DUMMYFUNCTION("""COMPUTED_VALUE"""),"0705 789 752")</f>
        <v>0705 789 752</v>
      </c>
      <c r="B1171" s="127" t="str">
        <f>IFERROR(__xludf.DUMMYFUNCTION("""COMPUTED_VALUE"""),"Nhân Hào")</f>
        <v>Nhân Hào</v>
      </c>
      <c r="C1171" s="127" t="str">
        <f>IFERROR(__xludf.DUMMYFUNCTION("""COMPUTED_VALUE""")," 23/24 Vũ Ngọc Phan")</f>
        <v> 23/24 Vũ Ngọc Phan</v>
      </c>
      <c r="D1171" s="127" t="str">
        <f>IFERROR(__xludf.DUMMYFUNCTION("""COMPUTED_VALUE"""),"mèo")</f>
        <v>mèo</v>
      </c>
      <c r="E1171" s="127" t="str">
        <f>IFERROR(__xludf.DUMMYFUNCTION("""COMPUTED_VALUE"""),"Tiếu Hắc")</f>
        <v>Tiếu Hắc</v>
      </c>
    </row>
    <row r="1172" ht="15.75" customHeight="1">
      <c r="A1172" s="128" t="str">
        <f>IFERROR(__xludf.DUMMYFUNCTION("""COMPUTED_VALUE"""),"0962 638 308")</f>
        <v>0962 638 308</v>
      </c>
      <c r="B1172" s="127" t="str">
        <f>IFERROR(__xludf.DUMMYFUNCTION("""COMPUTED_VALUE"""),"Anh Giáp")</f>
        <v>Anh Giáp</v>
      </c>
      <c r="C1172" s="127" t="str">
        <f>IFERROR(__xludf.DUMMYFUNCTION("""COMPUTED_VALUE"""),"Đối diện 79 Nguyễn Hoàng")</f>
        <v>Đối diện 79 Nguyễn Hoàng</v>
      </c>
      <c r="D1172" s="127" t="str">
        <f>IFERROR(__xludf.DUMMYFUNCTION("""COMPUTED_VALUE"""),"chó")</f>
        <v>chó</v>
      </c>
      <c r="E1172" s="127" t="str">
        <f>IFERROR(__xludf.DUMMYFUNCTION("""COMPUTED_VALUE""")," đen")</f>
        <v> đen</v>
      </c>
    </row>
    <row r="1173" ht="15.75" customHeight="1">
      <c r="A1173" s="128" t="str">
        <f>IFERROR(__xludf.DUMMYFUNCTION("""COMPUTED_VALUE"""),"0794 918 591")</f>
        <v>0794 918 591</v>
      </c>
      <c r="B1173" s="127" t="str">
        <f>IFERROR(__xludf.DUMMYFUNCTION("""COMPUTED_VALUE"""),"Sư cô Nhã")</f>
        <v>Sư cô Nhã</v>
      </c>
      <c r="C1173" s="127" t="str">
        <f>IFERROR(__xludf.DUMMYFUNCTION("""COMPUTED_VALUE"""),"3/42 Thiên Thai")</f>
        <v>3/42 Thiên Thai</v>
      </c>
      <c r="D1173" s="127" t="str">
        <f>IFERROR(__xludf.DUMMYFUNCTION("""COMPUTED_VALUE"""),"Mèo")</f>
        <v>Mèo</v>
      </c>
      <c r="E1173" s="127" t="str">
        <f>IFERROR(__xludf.DUMMYFUNCTION("""COMPUTED_VALUE"""),"Miu")</f>
        <v>Miu</v>
      </c>
    </row>
    <row r="1174" ht="15.75" customHeight="1">
      <c r="A1174" s="128" t="str">
        <f>IFERROR(__xludf.DUMMYFUNCTION("""COMPUTED_VALUE"""),"0702 659 491")</f>
        <v>0702 659 491</v>
      </c>
      <c r="B1174" s="127" t="str">
        <f>IFERROR(__xludf.DUMMYFUNCTION("""COMPUTED_VALUE"""),"Hồ Đăng Nhật huy")</f>
        <v>Hồ Đăng Nhật huy</v>
      </c>
      <c r="C1174" s="127" t="str">
        <f>IFERROR(__xludf.DUMMYFUNCTION("""COMPUTED_VALUE"""),"Chùa Phước Thiện")</f>
        <v>Chùa Phước Thiện</v>
      </c>
      <c r="D1174" s="127" t="str">
        <f>IFERROR(__xludf.DUMMYFUNCTION("""COMPUTED_VALUE"""),"CHÓ")</f>
        <v>CHÓ</v>
      </c>
      <c r="E1174" s="127" t="str">
        <f>IFERROR(__xludf.DUMMYFUNCTION("""COMPUTED_VALUE"""),"Vàng")</f>
        <v>Vàng</v>
      </c>
    </row>
    <row r="1175" ht="15.75" customHeight="1">
      <c r="A1175" s="117" t="str">
        <f>IFERROR(__xludf.DUMMYFUNCTION("""COMPUTED_VALUE"""),"0899 246 541")</f>
        <v>0899 246 541</v>
      </c>
      <c r="B1175" s="118" t="str">
        <f>IFERROR(__xludf.DUMMYFUNCTION("""COMPUTED_VALUE"""),"Kim Ngân")</f>
        <v>Kim Ngân</v>
      </c>
      <c r="C1175" s="118" t="str">
        <f>IFERROR(__xludf.DUMMYFUNCTION("""COMPUTED_VALUE"""),"Hương long ")</f>
        <v>Hương long </v>
      </c>
      <c r="D1175" s="118" t="str">
        <f>IFERROR(__xludf.DUMMYFUNCTION("""COMPUTED_VALUE"""),"mèo")</f>
        <v>mèo</v>
      </c>
      <c r="E1175" s="118" t="str">
        <f>IFERROR(__xludf.DUMMYFUNCTION("""COMPUTED_VALUE""")," Oxy")</f>
        <v> Oxy</v>
      </c>
    </row>
    <row r="1176" ht="15.75" customHeight="1">
      <c r="A1176" s="117" t="str">
        <f>IFERROR(__xludf.DUMMYFUNCTION("""COMPUTED_VALUE"""),"0842 737 773")</f>
        <v>0842 737 773</v>
      </c>
      <c r="B1176" s="118" t="str">
        <f>IFERROR(__xludf.DUMMYFUNCTION("""COMPUTED_VALUE"""),"ì")</f>
        <v>ì</v>
      </c>
      <c r="C1176" s="118" t="str">
        <f>IFERROR(__xludf.DUMMYFUNCTION("""COMPUTED_VALUE"""),"3/42 Thiên Thai")</f>
        <v>3/42 Thiên Thai</v>
      </c>
      <c r="D1176" s="118" t="str">
        <f>IFERROR(__xludf.DUMMYFUNCTION("""COMPUTED_VALUE"""),"mèo")</f>
        <v>mèo</v>
      </c>
      <c r="E1176" s="118" t="str">
        <f>IFERROR(__xludf.DUMMYFUNCTION("""COMPUTED_VALUE"""),"Mon")</f>
        <v>Mon</v>
      </c>
    </row>
    <row r="1177" ht="15.75" customHeight="1">
      <c r="A1177" s="117" t="str">
        <f>IFERROR(__xludf.DUMMYFUNCTION("""COMPUTED_VALUE"""),"0328 165 831")</f>
        <v>0328 165 831</v>
      </c>
      <c r="B1177" s="118" t="str">
        <f>IFERROR(__xludf.DUMMYFUNCTION("""COMPUTED_VALUE"""),"Chị Trinh")</f>
        <v>Chị Trinh</v>
      </c>
      <c r="C1177" s="118" t="str">
        <f>IFERROR(__xludf.DUMMYFUNCTION("""COMPUTED_VALUE"""),"23/13 Đặng Huy Trứ")</f>
        <v>23/13 Đặng Huy Trứ</v>
      </c>
      <c r="D1177" s="118" t="str">
        <f>IFERROR(__xludf.DUMMYFUNCTION("""COMPUTED_VALUE"""),"mèo")</f>
        <v>mèo</v>
      </c>
      <c r="E1177" s="118" t="str">
        <f>IFERROR(__xludf.DUMMYFUNCTION("""COMPUTED_VALUE""")," Poppy")</f>
        <v> Poppy</v>
      </c>
    </row>
    <row r="1178" ht="15.75" customHeight="1">
      <c r="A1178" s="117" t="str">
        <f>IFERROR(__xludf.DUMMYFUNCTION("""COMPUTED_VALUE"""),"0964 805 820")</f>
        <v>0964 805 820</v>
      </c>
      <c r="B1178" s="118" t="str">
        <f>IFERROR(__xludf.DUMMYFUNCTION("""COMPUTED_VALUE"""),"Nguyễn Quý")</f>
        <v>Nguyễn Quý</v>
      </c>
      <c r="C1178" s="118" t="str">
        <f>IFERROR(__xludf.DUMMYFUNCTION("""COMPUTED_VALUE"""),"181 Lê Duẫn")</f>
        <v>181 Lê Duẫn</v>
      </c>
      <c r="D1178" s="118" t="str">
        <f>IFERROR(__xludf.DUMMYFUNCTION("""COMPUTED_VALUE"""),"chó")</f>
        <v>chó</v>
      </c>
      <c r="E1178" s="118" t="str">
        <f>IFERROR(__xludf.DUMMYFUNCTION("""COMPUTED_VALUE""")," Bun")</f>
        <v> Bun</v>
      </c>
    </row>
    <row r="1179" ht="15.75" customHeight="1">
      <c r="A1179" s="117" t="str">
        <f>IFERROR(__xludf.DUMMYFUNCTION("""COMPUTED_VALUE"""),"0914 612 121")</f>
        <v>0914 612 121</v>
      </c>
      <c r="B1179" s="118" t="str">
        <f>IFERROR(__xludf.DUMMYFUNCTION("""COMPUTED_VALUE"""),"Anh Tuấn")</f>
        <v>Anh Tuấn</v>
      </c>
      <c r="C1179" s="118" t="str">
        <f>IFERROR(__xludf.DUMMYFUNCTION("""COMPUTED_VALUE"""),"79/7 Phạm Thị Liên")</f>
        <v>79/7 Phạm Thị Liên</v>
      </c>
      <c r="D1179" s="118" t="str">
        <f>IFERROR(__xludf.DUMMYFUNCTION("""COMPUTED_VALUE"""),"chó")</f>
        <v>chó</v>
      </c>
      <c r="E1179" s="118" t="str">
        <f>IFERROR(__xludf.DUMMYFUNCTION("""COMPUTED_VALUE""")," Su")</f>
        <v> Su</v>
      </c>
    </row>
    <row r="1180" ht="15.75" customHeight="1">
      <c r="A1180" s="117" t="str">
        <f>IFERROR(__xludf.DUMMYFUNCTION("""COMPUTED_VALUE"""),"0855 519 369")</f>
        <v>0855 519 369</v>
      </c>
      <c r="B1180" s="118" t="str">
        <f>IFERROR(__xludf.DUMMYFUNCTION("""COMPUTED_VALUE"""),"em trâm")</f>
        <v>em trâm</v>
      </c>
      <c r="C1180" s="118" t="str">
        <f>IFERROR(__xludf.DUMMYFUNCTION("""COMPUTED_VALUE""")," nam giao")</f>
        <v> nam giao</v>
      </c>
      <c r="D1180" s="118" t="str">
        <f>IFERROR(__xludf.DUMMYFUNCTION("""COMPUTED_VALUE"""),"chó ")</f>
        <v>chó </v>
      </c>
      <c r="E1180" s="118" t="str">
        <f>IFERROR(__xludf.DUMMYFUNCTION("""COMPUTED_VALUE"""),"poodle")</f>
        <v>poodle</v>
      </c>
    </row>
    <row r="1181" ht="15.75" customHeight="1">
      <c r="A1181" s="117" t="str">
        <f>IFERROR(__xludf.DUMMYFUNCTION("""COMPUTED_VALUE"""),"0789 762 569")</f>
        <v>0789 762 569</v>
      </c>
      <c r="B1181" s="118" t="str">
        <f>IFERROR(__xludf.DUMMYFUNCTION("""COMPUTED_VALUE"""),"Chị Nhung")</f>
        <v>Chị Nhung</v>
      </c>
      <c r="C1181" s="118" t="str">
        <f>IFERROR(__xludf.DUMMYFUNCTION("""COMPUTED_VALUE"""),"131 Lê Ngô Cát")</f>
        <v>131 Lê Ngô Cát</v>
      </c>
      <c r="D1181" s="118" t="str">
        <f>IFERROR(__xludf.DUMMYFUNCTION("""COMPUTED_VALUE"""),"chó")</f>
        <v>chó</v>
      </c>
      <c r="E1181" s="118" t="str">
        <f>IFERROR(__xludf.DUMMYFUNCTION("""COMPUTED_VALUE"""),"Bun")</f>
        <v>Bun</v>
      </c>
    </row>
    <row r="1182" ht="15.75" customHeight="1">
      <c r="A1182" s="117" t="str">
        <f>IFERROR(__xludf.DUMMYFUNCTION("""COMPUTED_VALUE"""),"0776 216 258")</f>
        <v>0776 216 258</v>
      </c>
      <c r="B1182" s="118" t="str">
        <f>IFERROR(__xludf.DUMMYFUNCTION("""COMPUTED_VALUE"""),"Hồ Tài")</f>
        <v>Hồ Tài</v>
      </c>
      <c r="C1182" s="118" t="str">
        <f>IFERROR(__xludf.DUMMYFUNCTION("""COMPUTED_VALUE"""),"81 Lý nam Đế")</f>
        <v>81 Lý nam Đế</v>
      </c>
      <c r="D1182" s="118" t="str">
        <f>IFERROR(__xludf.DUMMYFUNCTION("""COMPUTED_VALUE"""),"chó")</f>
        <v>chó</v>
      </c>
      <c r="E1182" s="118" t="str">
        <f>IFERROR(__xludf.DUMMYFUNCTION("""COMPUTED_VALUE""")," ko tên")</f>
        <v> ko tên</v>
      </c>
    </row>
    <row r="1183" ht="15.75" customHeight="1">
      <c r="A1183" s="117" t="str">
        <f>IFERROR(__xludf.DUMMYFUNCTION("""COMPUTED_VALUE"""),"0388 618 609")</f>
        <v>0388 618 609</v>
      </c>
      <c r="B1183" s="118" t="str">
        <f>IFERROR(__xludf.DUMMYFUNCTION("""COMPUTED_VALUE"""),"Chị Tân")</f>
        <v>Chị Tân</v>
      </c>
      <c r="C1183" s="118" t="str">
        <f>IFERROR(__xludf.DUMMYFUNCTION("""COMPUTED_VALUE""")," 2/7 Xã tắc")</f>
        <v> 2/7 Xã tắc</v>
      </c>
      <c r="D1183" s="118" t="str">
        <f>IFERROR(__xludf.DUMMYFUNCTION("""COMPUTED_VALUE"""),"mèo")</f>
        <v>mèo</v>
      </c>
      <c r="E1183" s="118" t="str">
        <f>IFERROR(__xludf.DUMMYFUNCTION("""COMPUTED_VALUE""")," dứa")</f>
        <v> dứa</v>
      </c>
    </row>
    <row r="1184" ht="15.75" customHeight="1">
      <c r="A1184" s="117" t="str">
        <f>IFERROR(__xludf.DUMMYFUNCTION("""COMPUTED_VALUE"""),"0935 145 210")</f>
        <v>0935 145 210</v>
      </c>
      <c r="B1184" s="118" t="str">
        <f>IFERROR(__xludf.DUMMYFUNCTION("""COMPUTED_VALUE"""),"Chị Điều Thuyền")</f>
        <v>Chị Điều Thuyền</v>
      </c>
      <c r="C1184" s="118" t="str">
        <f>IFERROR(__xludf.DUMMYFUNCTION("""COMPUTED_VALUE"""),"33/69 Phạm Thị Liên")</f>
        <v>33/69 Phạm Thị Liên</v>
      </c>
      <c r="D1184" s="118" t="str">
        <f>IFERROR(__xludf.DUMMYFUNCTION("""COMPUTED_VALUE"""),"mèo")</f>
        <v>mèo</v>
      </c>
      <c r="E1184" s="118" t="str">
        <f>IFERROR(__xludf.DUMMYFUNCTION("""COMPUTED_VALUE"""),"Gâu")</f>
        <v>Gâu</v>
      </c>
    </row>
    <row r="1185" ht="15.75" customHeight="1">
      <c r="A1185" s="117" t="str">
        <f>IFERROR(__xludf.DUMMYFUNCTION("""COMPUTED_VALUE"""),"0965 604 076")</f>
        <v>0965 604 076</v>
      </c>
      <c r="B1185" s="118" t="str">
        <f>IFERROR(__xludf.DUMMYFUNCTION("""COMPUTED_VALUE"""),"Trần Văn Hiếu")</f>
        <v>Trần Văn Hiếu</v>
      </c>
      <c r="C1185" s="118" t="str">
        <f>IFERROR(__xludf.DUMMYFUNCTION("""COMPUTED_VALUE"""),"Hương trà")</f>
        <v>Hương trà</v>
      </c>
      <c r="D1185" s="118" t="str">
        <f>IFERROR(__xludf.DUMMYFUNCTION("""COMPUTED_VALUE"""),"chó")</f>
        <v>chó</v>
      </c>
      <c r="E1185" s="118" t="str">
        <f>IFERROR(__xludf.DUMMYFUNCTION("""COMPUTED_VALUE"""),"Ky")</f>
        <v>Ky</v>
      </c>
    </row>
    <row r="1186" ht="15.75" customHeight="1">
      <c r="A1186" s="117" t="str">
        <f>IFERROR(__xludf.DUMMYFUNCTION("""COMPUTED_VALUE"""),"0898 212 730")</f>
        <v>0898 212 730</v>
      </c>
      <c r="B1186" s="118" t="str">
        <f>IFERROR(__xludf.DUMMYFUNCTION("""COMPUTED_VALUE"""),"Thanh Tú")</f>
        <v>Thanh Tú</v>
      </c>
      <c r="C1186" s="118" t="str">
        <f>IFERROR(__xludf.DUMMYFUNCTION("""COMPUTED_VALUE"""),"33 Nguyễn thị Lài")</f>
        <v>33 Nguyễn thị Lài</v>
      </c>
      <c r="D1186" s="118" t="str">
        <f>IFERROR(__xludf.DUMMYFUNCTION("""COMPUTED_VALUE"""),"mèo")</f>
        <v>mèo</v>
      </c>
      <c r="E1186" s="118" t="str">
        <f>IFERROR(__xludf.DUMMYFUNCTION("""COMPUTED_VALUE""")," Matcha")</f>
        <v> Matcha</v>
      </c>
    </row>
    <row r="1187" ht="15.75" customHeight="1">
      <c r="A1187" s="117" t="str">
        <f>IFERROR(__xludf.DUMMYFUNCTION("""COMPUTED_VALUE"""),"0779 612 759")</f>
        <v>0779 612 759</v>
      </c>
      <c r="B1187" s="118" t="str">
        <f>IFERROR(__xludf.DUMMYFUNCTION("""COMPUTED_VALUE"""),"Ngọc Minh")</f>
        <v>Ngọc Minh</v>
      </c>
      <c r="C1187" s="118" t="str">
        <f>IFERROR(__xludf.DUMMYFUNCTION("""COMPUTED_VALUE"""),"42 La Sơn Phu Tử")</f>
        <v>42 La Sơn Phu Tử</v>
      </c>
      <c r="D1187" s="118" t="str">
        <f>IFERROR(__xludf.DUMMYFUNCTION("""COMPUTED_VALUE"""),"mèo")</f>
        <v>mèo</v>
      </c>
      <c r="E1187" s="118" t="str">
        <f>IFERROR(__xludf.DUMMYFUNCTION("""COMPUTED_VALUE""")," Mon")</f>
        <v> Mon</v>
      </c>
    </row>
    <row r="1188" ht="15.75" customHeight="1">
      <c r="A1188" s="117" t="str">
        <f>IFERROR(__xludf.DUMMYFUNCTION("""COMPUTED_VALUE"""),"0777 332 194")</f>
        <v>0777 332 194</v>
      </c>
      <c r="B1188" s="118" t="str">
        <f>IFERROR(__xludf.DUMMYFUNCTION("""COMPUTED_VALUE"""),"Nhật Công")</f>
        <v>Nhật Công</v>
      </c>
      <c r="C1188" s="118" t="str">
        <f>IFERROR(__xludf.DUMMYFUNCTION("""COMPUTED_VALUE"""),"34 Vương Thừa  Vũ")</f>
        <v>34 Vương Thừa  Vũ</v>
      </c>
      <c r="D1188" s="118" t="str">
        <f>IFERROR(__xludf.DUMMYFUNCTION("""COMPUTED_VALUE"""),"Mèo ")</f>
        <v>Mèo </v>
      </c>
      <c r="E1188" s="118" t="str">
        <f>IFERROR(__xludf.DUMMYFUNCTION("""COMPUTED_VALUE"""),"Ruồi")</f>
        <v>Ruồi</v>
      </c>
    </row>
    <row r="1189" ht="15.75" customHeight="1">
      <c r="A1189" s="117" t="str">
        <f>IFERROR(__xludf.DUMMYFUNCTION("""COMPUTED_VALUE"""),"0905 864 286")</f>
        <v>0905 864 286</v>
      </c>
      <c r="B1189" s="118" t="str">
        <f>IFERROR(__xludf.DUMMYFUNCTION("""COMPUTED_VALUE"""),"Lê Văn Tiến")</f>
        <v>Lê Văn Tiến</v>
      </c>
      <c r="C1189" s="118" t="str">
        <f>IFERROR(__xludf.DUMMYFUNCTION("""COMPUTED_VALUE"""),"Thủy Dương- Hương Thủy")</f>
        <v>Thủy Dương- Hương Thủy</v>
      </c>
      <c r="D1189" s="118" t="str">
        <f>IFERROR(__xludf.DUMMYFUNCTION("""COMPUTED_VALUE"""),"chó")</f>
        <v>chó</v>
      </c>
      <c r="E1189" s="118" t="str">
        <f>IFERROR(__xludf.DUMMYFUNCTION("""COMPUTED_VALUE""")," Vàng")</f>
        <v> Vàng</v>
      </c>
    </row>
    <row r="1190" ht="15.75" customHeight="1">
      <c r="A1190" s="117" t="str">
        <f>IFERROR(__xludf.DUMMYFUNCTION("""COMPUTED_VALUE"""),"0924 907 985")</f>
        <v>0924 907 985</v>
      </c>
      <c r="B1190" s="118" t="str">
        <f>IFERROR(__xludf.DUMMYFUNCTION("""COMPUTED_VALUE""")," Anh Thuận")</f>
        <v> Anh Thuận</v>
      </c>
      <c r="C1190" s="118" t="str">
        <f>IFERROR(__xludf.DUMMYFUNCTION("""COMPUTED_VALUE"""),"215 Trần Phú")</f>
        <v>215 Trần Phú</v>
      </c>
      <c r="D1190" s="118" t="str">
        <f>IFERROR(__xludf.DUMMYFUNCTION("""COMPUTED_VALUE"""),"mèo")</f>
        <v>mèo</v>
      </c>
      <c r="E1190" s="118" t="str">
        <f>IFERROR(__xludf.DUMMYFUNCTION("""COMPUTED_VALUE""")," chanh")</f>
        <v> chanh</v>
      </c>
    </row>
    <row r="1191" ht="15.75" customHeight="1">
      <c r="A1191" s="117" t="str">
        <f>IFERROR(__xludf.DUMMYFUNCTION("""COMPUTED_VALUE"""),"0975 565 532")</f>
        <v>0975 565 532</v>
      </c>
      <c r="B1191" s="118" t="str">
        <f>IFERROR(__xludf.DUMMYFUNCTION("""COMPUTED_VALUE"""),"Chị Ánh Dương")</f>
        <v>Chị Ánh Dương</v>
      </c>
      <c r="C1191" s="118" t="str">
        <f>IFERROR(__xludf.DUMMYFUNCTION("""COMPUTED_VALUE"""),"4/64 Bạch Đằng")</f>
        <v>4/64 Bạch Đằng</v>
      </c>
      <c r="D1191" s="118" t="str">
        <f>IFERROR(__xludf.DUMMYFUNCTION("""COMPUTED_VALUE"""),"mèo")</f>
        <v>mèo</v>
      </c>
      <c r="E1191" s="118" t="str">
        <f>IFERROR(__xludf.DUMMYFUNCTION("""COMPUTED_VALUE""")," Lem")</f>
        <v> Lem</v>
      </c>
    </row>
    <row r="1192" ht="15.75" customHeight="1">
      <c r="A1192" s="117" t="str">
        <f>IFERROR(__xludf.DUMMYFUNCTION("""COMPUTED_VALUE"""),"0906 429 678")</f>
        <v>0906 429 678</v>
      </c>
      <c r="B1192" s="118" t="str">
        <f>IFERROR(__xludf.DUMMYFUNCTION("""COMPUTED_VALUE"""),"Bác Khanh")</f>
        <v>Bác Khanh</v>
      </c>
      <c r="C1192" s="118" t="str">
        <f>IFERROR(__xludf.DUMMYFUNCTION("""COMPUTED_VALUE"""),"13/1/36 Nguyễn Hoàng")</f>
        <v>13/1/36 Nguyễn Hoàng</v>
      </c>
      <c r="D1192" s="118" t="str">
        <f>IFERROR(__xludf.DUMMYFUNCTION("""COMPUTED_VALUE"""),"mèo")</f>
        <v>mèo</v>
      </c>
      <c r="E1192" s="118" t="str">
        <f>IFERROR(__xludf.DUMMYFUNCTION("""COMPUTED_VALUE""")," Miu Miu")</f>
        <v> Miu Miu</v>
      </c>
    </row>
    <row r="1193" ht="15.75" customHeight="1">
      <c r="A1193" s="117" t="str">
        <f>IFERROR(__xludf.DUMMYFUNCTION("""COMPUTED_VALUE"""),"3367 380 2973")</f>
        <v>3367 380 2973</v>
      </c>
      <c r="B1193" s="118" t="str">
        <f>IFERROR(__xludf.DUMMYFUNCTION("""COMPUTED_VALUE"""),"OCANCE MIOT LEMESLE")</f>
        <v>OCANCE MIOT LEMESLE</v>
      </c>
      <c r="C1193" s="118" t="str">
        <f>IFERROR(__xludf.DUMMYFUNCTION("""COMPUTED_VALUE"""),"BE THEM HOMESTAY")</f>
        <v>BE THEM HOMESTAY</v>
      </c>
      <c r="D1193" s="118" t="str">
        <f>IFERROR(__xludf.DUMMYFUNCTION("""COMPUTED_VALUE"""),"CHÓ")</f>
        <v>CHÓ</v>
      </c>
      <c r="E1193" s="118" t="str">
        <f>IFERROR(__xludf.DUMMYFUNCTION("""COMPUTED_VALUE"""),"LULU")</f>
        <v>LULU</v>
      </c>
    </row>
    <row r="1194" ht="15.75" customHeight="1">
      <c r="A1194" s="140" t="str">
        <f>IFERROR(__xludf.DUMMYFUNCTION("""COMPUTED_VALUE"""),"0946 460 046")</f>
        <v>0946 460 046</v>
      </c>
      <c r="B1194" s="141" t="str">
        <f>IFERROR(__xludf.DUMMYFUNCTION("""COMPUTED_VALUE"""),"Chị Nhi")</f>
        <v>Chị Nhi</v>
      </c>
      <c r="C1194" s="141" t="str">
        <f>IFERROR(__xludf.DUMMYFUNCTION("""COMPUTED_VALUE"""),"Hương Toàn")</f>
        <v>Hương Toàn</v>
      </c>
      <c r="D1194" s="141" t="str">
        <f>IFERROR(__xludf.DUMMYFUNCTION("""COMPUTED_VALUE"""),"chó")</f>
        <v>chó</v>
      </c>
      <c r="E1194" s="141" t="str">
        <f>IFERROR(__xludf.DUMMYFUNCTION("""COMPUTED_VALUE"""),"Ú")</f>
        <v>Ú</v>
      </c>
    </row>
    <row r="1195" ht="15.75" customHeight="1">
      <c r="A1195" s="140" t="str">
        <f>IFERROR(__xludf.DUMMYFUNCTION("""COMPUTED_VALUE"""),"0364 361 202")</f>
        <v>0364 361 202</v>
      </c>
      <c r="B1195" s="141" t="str">
        <f>IFERROR(__xludf.DUMMYFUNCTION("""COMPUTED_VALUE"""),"Chị Huyền")</f>
        <v>Chị Huyền</v>
      </c>
      <c r="C1195" s="141" t="str">
        <f>IFERROR(__xludf.DUMMYFUNCTION("""COMPUTED_VALUE"""),"Đà nẵng")</f>
        <v>Đà nẵng</v>
      </c>
      <c r="D1195" s="141" t="str">
        <f>IFERROR(__xludf.DUMMYFUNCTION("""COMPUTED_VALUE"""),"mèo")</f>
        <v>mèo</v>
      </c>
      <c r="E1195" s="118" t="str">
        <f>IFERROR(__xludf.DUMMYFUNCTION("""COMPUTED_VALUE"""),"Mun")</f>
        <v>Mun</v>
      </c>
    </row>
    <row r="1196" ht="15.75" customHeight="1">
      <c r="A1196" s="140" t="str">
        <f>IFERROR(__xludf.DUMMYFUNCTION("""COMPUTED_VALUE"""),"0855 610 587")</f>
        <v>0855 610 587</v>
      </c>
      <c r="B1196" s="141" t="str">
        <f>IFERROR(__xludf.DUMMYFUNCTION("""COMPUTED_VALUE"""),"Chị Ngọc Sáng")</f>
        <v>Chị Ngọc Sáng</v>
      </c>
      <c r="C1196" s="141" t="str">
        <f>IFERROR(__xludf.DUMMYFUNCTION("""COMPUTED_VALUE"""),"3/19/32 Thiên Thai")</f>
        <v>3/19/32 Thiên Thai</v>
      </c>
      <c r="D1196" s="141" t="str">
        <f>IFERROR(__xludf.DUMMYFUNCTION("""COMPUTED_VALUE"""),"Chó")</f>
        <v>Chó</v>
      </c>
      <c r="E1196" s="141" t="str">
        <f>IFERROR(__xludf.DUMMYFUNCTION("""COMPUTED_VALUE"""),"Bơ")</f>
        <v>Bơ</v>
      </c>
    </row>
    <row r="1197" ht="15.75" customHeight="1">
      <c r="A1197" s="117" t="str">
        <f>IFERROR(__xludf.DUMMYFUNCTION("""COMPUTED_VALUE"""),"0914 025 005")</f>
        <v>0914 025 005</v>
      </c>
      <c r="B1197" s="118" t="str">
        <f>IFERROR(__xludf.DUMMYFUNCTION("""COMPUTED_VALUE"""),"Dì Hà ")</f>
        <v>Dì Hà </v>
      </c>
      <c r="C1197" s="118" t="str">
        <f>IFERROR(__xludf.DUMMYFUNCTION("""COMPUTED_VALUE"""),"162 Điện Biên Phủ")</f>
        <v>162 Điện Biên Phủ</v>
      </c>
      <c r="D1197" s="118" t="str">
        <f>IFERROR(__xludf.DUMMYFUNCTION("""COMPUTED_VALUE"""),"mèo")</f>
        <v>mèo</v>
      </c>
      <c r="E1197" s="118" t="str">
        <f>IFERROR(__xludf.DUMMYFUNCTION("""COMPUTED_VALUE"""),"Trắng")</f>
        <v>Trắng</v>
      </c>
    </row>
    <row r="1198" ht="15.75" customHeight="1">
      <c r="A1198" s="117" t="str">
        <f>IFERROR(__xludf.DUMMYFUNCTION("""COMPUTED_VALUE"""),"0376 965 955")</f>
        <v>0376 965 955</v>
      </c>
      <c r="B1198" s="118" t="str">
        <f>IFERROR(__xludf.DUMMYFUNCTION("""COMPUTED_VALUE"""),"Em Chuổng")</f>
        <v>Em Chuổng</v>
      </c>
      <c r="C1198" s="118" t="str">
        <f>IFERROR(__xludf.DUMMYFUNCTION("""COMPUTED_VALUE"""),"28/35 Điện Biên Phủ")</f>
        <v>28/35 Điện Biên Phủ</v>
      </c>
      <c r="D1198" s="118" t="str">
        <f>IFERROR(__xludf.DUMMYFUNCTION("""COMPUTED_VALUE"""),"mèo")</f>
        <v>mèo</v>
      </c>
      <c r="E1198" s="118" t="str">
        <f>IFERROR(__xludf.DUMMYFUNCTION("""COMPUTED_VALUE"""),"tun")</f>
        <v>tun</v>
      </c>
    </row>
    <row r="1199" ht="15.75" customHeight="1">
      <c r="A1199" s="117" t="str">
        <f>IFERROR(__xludf.DUMMYFUNCTION("""COMPUTED_VALUE"""),"0948 496 222")</f>
        <v>0948 496 222</v>
      </c>
      <c r="B1199" s="118" t="str">
        <f>IFERROR(__xludf.DUMMYFUNCTION("""COMPUTED_VALUE"""),"Anh Sáu")</f>
        <v>Anh Sáu</v>
      </c>
      <c r="C1199" s="118"/>
      <c r="D1199" s="118" t="str">
        <f>IFERROR(__xludf.DUMMYFUNCTION("""COMPUTED_VALUE"""),"chó")</f>
        <v>chó</v>
      </c>
      <c r="E1199" s="118" t="str">
        <f>IFERROR(__xludf.DUMMYFUNCTION("""COMPUTED_VALUE"""),"Mun")</f>
        <v>Mun</v>
      </c>
    </row>
    <row r="1200" ht="15.75" customHeight="1">
      <c r="A1200" s="117" t="str">
        <f>IFERROR(__xludf.DUMMYFUNCTION("""COMPUTED_VALUE"""),"0795 723 653")</f>
        <v>0795 723 653</v>
      </c>
      <c r="B1200" s="118" t="str">
        <f>IFERROR(__xludf.DUMMYFUNCTION("""COMPUTED_VALUE"""),"Mai Dương Quỳnh Ánh")</f>
        <v>Mai Dương Quỳnh Ánh</v>
      </c>
      <c r="C1200" s="118" t="str">
        <f>IFERROR(__xludf.DUMMYFUNCTION("""COMPUTED_VALUE"""),"13 Nguyễn Phúc Loan")</f>
        <v>13 Nguyễn Phúc Loan</v>
      </c>
      <c r="D1200" s="118" t="str">
        <f>IFERROR(__xludf.DUMMYFUNCTION("""COMPUTED_VALUE"""),"chó")</f>
        <v>chó</v>
      </c>
      <c r="E1200" s="118" t="str">
        <f>IFERROR(__xludf.DUMMYFUNCTION("""COMPUTED_VALUE"""),"Ngỗng")</f>
        <v>Ngỗng</v>
      </c>
    </row>
    <row r="1201" ht="15.75" customHeight="1">
      <c r="A1201" s="117" t="str">
        <f>IFERROR(__xludf.DUMMYFUNCTION("""COMPUTED_VALUE"""),"0869 474 017")</f>
        <v>0869 474 017</v>
      </c>
      <c r="B1201" s="118" t="str">
        <f>IFERROR(__xludf.DUMMYFUNCTION("""COMPUTED_VALUE"""),"Natalya")</f>
        <v>Natalya</v>
      </c>
      <c r="C1201" s="118"/>
      <c r="D1201" s="118" t="str">
        <f>IFERROR(__xludf.DUMMYFUNCTION("""COMPUTED_VALUE"""),"chó")</f>
        <v>chó</v>
      </c>
      <c r="E1201" s="118" t="str">
        <f>IFERROR(__xludf.DUMMYFUNCTION("""COMPUTED_VALUE"""),"Narry")</f>
        <v>Narry</v>
      </c>
    </row>
    <row r="1202" ht="15.75" customHeight="1">
      <c r="A1202" s="117" t="str">
        <f>IFERROR(__xludf.DUMMYFUNCTION("""COMPUTED_VALUE"""),"0327 512 780")</f>
        <v>0327 512 780</v>
      </c>
      <c r="B1202" s="118" t="str">
        <f>IFERROR(__xludf.DUMMYFUNCTION("""COMPUTED_VALUE"""),"chị Thảo")</f>
        <v>chị Thảo</v>
      </c>
      <c r="C1202" s="118" t="str">
        <f>IFERROR(__xludf.DUMMYFUNCTION("""COMPUTED_VALUE"""),"74 Phạm Thị Liên")</f>
        <v>74 Phạm Thị Liên</v>
      </c>
      <c r="D1202" s="118" t="str">
        <f>IFERROR(__xludf.DUMMYFUNCTION("""COMPUTED_VALUE"""),"mèo")</f>
        <v>mèo</v>
      </c>
      <c r="E1202" s="118" t="str">
        <f>IFERROR(__xludf.DUMMYFUNCTION("""COMPUTED_VALUE"""),"Tan")</f>
        <v>Tan</v>
      </c>
    </row>
    <row r="1203" ht="15.75" customHeight="1">
      <c r="A1203" s="117" t="str">
        <f>IFERROR(__xludf.DUMMYFUNCTION("""COMPUTED_VALUE"""),"0983 560 623")</f>
        <v>0983 560 623</v>
      </c>
      <c r="B1203" s="118" t="str">
        <f>IFERROR(__xludf.DUMMYFUNCTION("""COMPUTED_VALUE"""),"Dì Ly")</f>
        <v>Dì Ly</v>
      </c>
      <c r="C1203" s="118" t="str">
        <f>IFERROR(__xludf.DUMMYFUNCTION("""COMPUTED_VALUE"""),"1/15 Đống Đa")</f>
        <v>1/15 Đống Đa</v>
      </c>
      <c r="D1203" s="118" t="str">
        <f>IFERROR(__xludf.DUMMYFUNCTION("""COMPUTED_VALUE"""),"chó")</f>
        <v>chó</v>
      </c>
      <c r="E1203" s="118" t="str">
        <f>IFERROR(__xludf.DUMMYFUNCTION("""COMPUTED_VALUE"""),"Ty")</f>
        <v>Ty</v>
      </c>
    </row>
    <row r="1204" ht="15.75" customHeight="1">
      <c r="A1204" s="117" t="str">
        <f>IFERROR(__xludf.DUMMYFUNCTION("""COMPUTED_VALUE"""),"0376 119 861")</f>
        <v>0376 119 861</v>
      </c>
      <c r="B1204" s="118" t="str">
        <f>IFERROR(__xludf.DUMMYFUNCTION("""COMPUTED_VALUE"""),"Thanh Hùng")</f>
        <v>Thanh Hùng</v>
      </c>
      <c r="C1204" s="118" t="str">
        <f>IFERROR(__xludf.DUMMYFUNCTION("""COMPUTED_VALUE"""),"25 Ấu Triệu")</f>
        <v>25 Ấu Triệu</v>
      </c>
      <c r="D1204" s="118" t="str">
        <f>IFERROR(__xludf.DUMMYFUNCTION("""COMPUTED_VALUE"""),"chó")</f>
        <v>chó</v>
      </c>
      <c r="E1204" s="118" t="str">
        <f>IFERROR(__xludf.DUMMYFUNCTION("""COMPUTED_VALUE"""),"Heo")</f>
        <v>Heo</v>
      </c>
    </row>
    <row r="1205" ht="15.75" customHeight="1">
      <c r="A1205" s="117" t="str">
        <f>IFERROR(__xludf.DUMMYFUNCTION("""COMPUTED_VALUE"""),"0702 994 326")</f>
        <v>0702 994 326</v>
      </c>
      <c r="B1205" s="118" t="str">
        <f>IFERROR(__xludf.DUMMYFUNCTION("""COMPUTED_VALUE"""),"Lê Thị Ngọc Hương")</f>
        <v>Lê Thị Ngọc Hương</v>
      </c>
      <c r="C1205" s="118" t="str">
        <f>IFERROR(__xludf.DUMMYFUNCTION("""COMPUTED_VALUE"""),"31 Lương Văn Can")</f>
        <v>31 Lương Văn Can</v>
      </c>
      <c r="D1205" s="118" t="str">
        <f>IFERROR(__xludf.DUMMYFUNCTION("""COMPUTED_VALUE"""),"chó")</f>
        <v>chó</v>
      </c>
      <c r="E1205" s="118" t="str">
        <f>IFERROR(__xludf.DUMMYFUNCTION("""COMPUTED_VALUE"""),"Nâu")</f>
        <v>Nâu</v>
      </c>
    </row>
    <row r="1206" ht="15.75" customHeight="1">
      <c r="A1206" s="117" t="str">
        <f>IFERROR(__xludf.DUMMYFUNCTION("""COMPUTED_VALUE"""),"0942 124 632")</f>
        <v>0942 124 632</v>
      </c>
      <c r="B1206" s="118" t="str">
        <f>IFERROR(__xludf.DUMMYFUNCTION("""COMPUTED_VALUE"""),"Chị La")</f>
        <v>Chị La</v>
      </c>
      <c r="C1206" s="118" t="str">
        <f>IFERROR(__xludf.DUMMYFUNCTION("""COMPUTED_VALUE"""),"106/23 Nguyễn Lộ Trạch")</f>
        <v>106/23 Nguyễn Lộ Trạch</v>
      </c>
      <c r="D1206" s="118" t="str">
        <f>IFERROR(__xludf.DUMMYFUNCTION("""COMPUTED_VALUE"""),"Mèo")</f>
        <v>Mèo</v>
      </c>
      <c r="E1206" s="118"/>
    </row>
    <row r="1207" ht="15.75" customHeight="1">
      <c r="A1207" s="117" t="str">
        <f>IFERROR(__xludf.DUMMYFUNCTION("""COMPUTED_VALUE"""),"0822 239 159")</f>
        <v>0822 239 159</v>
      </c>
      <c r="B1207" s="118" t="str">
        <f>IFERROR(__xludf.DUMMYFUNCTION("""COMPUTED_VALUE"""),"Phạm Đình Việt")</f>
        <v>Phạm Đình Việt</v>
      </c>
      <c r="C1207" s="118" t="str">
        <f>IFERROR(__xludf.DUMMYFUNCTION("""COMPUTED_VALUE"""),"lô N0312 KQH Kim Long ")</f>
        <v>lô N0312 KQH Kim Long </v>
      </c>
      <c r="D1207" s="118" t="str">
        <f>IFERROR(__xludf.DUMMYFUNCTION("""COMPUTED_VALUE"""),"Chó")</f>
        <v>Chó</v>
      </c>
      <c r="E1207" s="118" t="str">
        <f>IFERROR(__xludf.DUMMYFUNCTION("""COMPUTED_VALUE"""),"Đen")</f>
        <v>Đen</v>
      </c>
    </row>
    <row r="1208" ht="15.75" customHeight="1">
      <c r="A1208" s="117" t="str">
        <f>IFERROR(__xludf.DUMMYFUNCTION("""COMPUTED_VALUE"""),"0935 525 926")</f>
        <v>0935 525 926</v>
      </c>
      <c r="B1208" s="142" t="str">
        <f>IFERROR(__xludf.DUMMYFUNCTION("""COMPUTED_VALUE"""),"Dì Thiệp")</f>
        <v>Dì Thiệp</v>
      </c>
      <c r="C1208" s="118" t="str">
        <f>IFERROR(__xludf.DUMMYFUNCTION("""COMPUTED_VALUE"""),"8 Nguyễn Phúc Thái")</f>
        <v>8 Nguyễn Phúc Thái</v>
      </c>
      <c r="D1208" s="118" t="str">
        <f>IFERROR(__xludf.DUMMYFUNCTION("""COMPUTED_VALUE"""),"Chó")</f>
        <v>Chó</v>
      </c>
      <c r="E1208" s="118" t="str">
        <f>IFERROR(__xludf.DUMMYFUNCTION("""COMPUTED_VALUE"""),"Su")</f>
        <v>Su</v>
      </c>
    </row>
    <row r="1209" ht="15.75" customHeight="1">
      <c r="A1209" s="117" t="str">
        <f>IFERROR(__xludf.DUMMYFUNCTION("""COMPUTED_VALUE"""),"0374 756 436")</f>
        <v>0374 756 436</v>
      </c>
      <c r="B1209" s="118" t="str">
        <f>IFERROR(__xludf.DUMMYFUNCTION("""COMPUTED_VALUE"""),"Trương Thị Thảo")</f>
        <v>Trương Thị Thảo</v>
      </c>
      <c r="C1209" s="118" t="str">
        <f>IFERROR(__xludf.DUMMYFUNCTION("""COMPUTED_VALUE"""),"24/11 Nguyễn Phúc Lan")</f>
        <v>24/11 Nguyễn Phúc Lan</v>
      </c>
      <c r="D1209" s="118" t="str">
        <f>IFERROR(__xludf.DUMMYFUNCTION("""COMPUTED_VALUE"""),"Chó")</f>
        <v>Chó</v>
      </c>
      <c r="E1209" s="118" t="str">
        <f>IFERROR(__xludf.DUMMYFUNCTION("""COMPUTED_VALUE"""),"Ngáo")</f>
        <v>Ngáo</v>
      </c>
    </row>
    <row r="1210" ht="15.75" customHeight="1">
      <c r="A1210" s="117" t="str">
        <f>IFERROR(__xludf.DUMMYFUNCTION("""COMPUTED_VALUE"""),"0914 019 007")</f>
        <v>0914 019 007</v>
      </c>
      <c r="B1210" s="118" t="str">
        <f>IFERROR(__xludf.DUMMYFUNCTION("""COMPUTED_VALUE"""),"Trương Đình Vũ")</f>
        <v>Trương Đình Vũ</v>
      </c>
      <c r="C1210" s="118" t="str">
        <f>IFERROR(__xludf.DUMMYFUNCTION("""COMPUTED_VALUE"""),"64 Nguyễn Cư Trinh")</f>
        <v>64 Nguyễn Cư Trinh</v>
      </c>
      <c r="D1210" s="118" t="str">
        <f>IFERROR(__xludf.DUMMYFUNCTION("""COMPUTED_VALUE"""),"Chó")</f>
        <v>Chó</v>
      </c>
      <c r="E1210" s="118"/>
    </row>
    <row r="1211" ht="15.75" customHeight="1">
      <c r="A1211" s="117" t="str">
        <f>IFERROR(__xludf.DUMMYFUNCTION("""COMPUTED_VALUE"""),"0934 934 071")</f>
        <v>0934 934 071</v>
      </c>
      <c r="B1211" s="118" t="str">
        <f>IFERROR(__xludf.DUMMYFUNCTION("""COMPUTED_VALUE"""),"Anh Tuấn")</f>
        <v>Anh Tuấn</v>
      </c>
      <c r="C1211" s="118" t="str">
        <f>IFERROR(__xludf.DUMMYFUNCTION("""COMPUTED_VALUE"""),"6 Vũ Ngọc phan")</f>
        <v>6 Vũ Ngọc phan</v>
      </c>
      <c r="D1211" s="118" t="str">
        <f>IFERROR(__xludf.DUMMYFUNCTION("""COMPUTED_VALUE"""),"Mèo")</f>
        <v>Mèo</v>
      </c>
      <c r="E1211" s="118" t="str">
        <f>IFERROR(__xludf.DUMMYFUNCTION("""COMPUTED_VALUE"""),"Miu")</f>
        <v>Miu</v>
      </c>
    </row>
    <row r="1212" ht="15.75" customHeight="1">
      <c r="A1212" s="117" t="str">
        <f>IFERROR(__xludf.DUMMYFUNCTION("""COMPUTED_VALUE"""),"0935 507 420")</f>
        <v>0935 507 420</v>
      </c>
      <c r="B1212" s="141" t="str">
        <f>IFERROR(__xludf.DUMMYFUNCTION("""COMPUTED_VALUE"""),"Anh Phú")</f>
        <v>Anh Phú</v>
      </c>
      <c r="C1212" s="141" t="str">
        <f>IFERROR(__xludf.DUMMYFUNCTION("""COMPUTED_VALUE"""),"31 Nguyễn Phúc Thái")</f>
        <v>31 Nguyễn Phúc Thái</v>
      </c>
      <c r="D1212" s="141" t="str">
        <f>IFERROR(__xludf.DUMMYFUNCTION("""COMPUTED_VALUE"""),"Chó ")</f>
        <v>Chó </v>
      </c>
      <c r="E1212" s="141" t="str">
        <f>IFERROR(__xludf.DUMMYFUNCTION("""COMPUTED_VALUE"""),"Nâu")</f>
        <v>Nâu</v>
      </c>
    </row>
    <row r="1213" ht="15.75" customHeight="1">
      <c r="A1213" s="117" t="str">
        <f>IFERROR(__xludf.DUMMYFUNCTION("""COMPUTED_VALUE"""),"0902 569 250")</f>
        <v>0902 569 250</v>
      </c>
      <c r="B1213" s="118" t="str">
        <f>IFERROR(__xludf.DUMMYFUNCTION("""COMPUTED_VALUE"""),"Lê Quốc Huy")</f>
        <v>Lê Quốc Huy</v>
      </c>
      <c r="C1213" s="118" t="str">
        <f>IFERROR(__xludf.DUMMYFUNCTION("""COMPUTED_VALUE"""),"13/4 Đặng Tất")</f>
        <v>13/4 Đặng Tất</v>
      </c>
      <c r="D1213" s="118" t="str">
        <f>IFERROR(__xludf.DUMMYFUNCTION("""COMPUTED_VALUE"""),"Chó")</f>
        <v>Chó</v>
      </c>
      <c r="E1213" s="118" t="str">
        <f>IFERROR(__xludf.DUMMYFUNCTION("""COMPUTED_VALUE"""),"Tròn")</f>
        <v>Tròn</v>
      </c>
    </row>
    <row r="1214" ht="15.75" customHeight="1">
      <c r="A1214" s="117" t="str">
        <f>IFERROR(__xludf.DUMMYFUNCTION("""COMPUTED_VALUE"""),"0373 416 625")</f>
        <v>0373 416 625</v>
      </c>
      <c r="B1214" s="118" t="str">
        <f>IFERROR(__xludf.DUMMYFUNCTION("""COMPUTED_VALUE"""),"Chị Phương")</f>
        <v>Chị Phương</v>
      </c>
      <c r="C1214" s="118" t="str">
        <f>IFERROR(__xludf.DUMMYFUNCTION("""COMPUTED_VALUE"""),"33/38 Nguyễn Hoàng")</f>
        <v>33/38 Nguyễn Hoàng</v>
      </c>
      <c r="D1214" s="118" t="str">
        <f>IFERROR(__xludf.DUMMYFUNCTION("""COMPUTED_VALUE"""),"Chó")</f>
        <v>Chó</v>
      </c>
      <c r="E1214" s="118" t="str">
        <f>IFERROR(__xludf.DUMMYFUNCTION("""COMPUTED_VALUE"""),"Milu")</f>
        <v>Milu</v>
      </c>
    </row>
    <row r="1215" ht="15.75" customHeight="1">
      <c r="A1215" s="140" t="str">
        <f>IFERROR(__xludf.DUMMYFUNCTION("""COMPUTED_VALUE"""),"0901 170 123")</f>
        <v>0901 170 123</v>
      </c>
      <c r="B1215" s="141" t="str">
        <f>IFERROR(__xludf.DUMMYFUNCTION("""COMPUTED_VALUE"""),"Anh Luyện")</f>
        <v>Anh Luyện</v>
      </c>
      <c r="C1215" s="141" t="str">
        <f>IFERROR(__xludf.DUMMYFUNCTION("""COMPUTED_VALUE"""),"Hương An ")</f>
        <v>Hương An </v>
      </c>
      <c r="D1215" s="141" t="str">
        <f>IFERROR(__xludf.DUMMYFUNCTION("""COMPUTED_VALUE"""),"Chó")</f>
        <v>Chó</v>
      </c>
      <c r="E1215" s="141" t="str">
        <f>IFERROR(__xludf.DUMMYFUNCTION("""COMPUTED_VALUE"""),"Bạc")</f>
        <v>Bạc</v>
      </c>
    </row>
    <row r="1216" ht="15.75" customHeight="1">
      <c r="A1216" s="140" t="str">
        <f>IFERROR(__xludf.DUMMYFUNCTION("""COMPUTED_VALUE"""),"0358 688 306")</f>
        <v>0358 688 306</v>
      </c>
      <c r="B1216" s="141" t="str">
        <f>IFERROR(__xludf.DUMMYFUNCTION("""COMPUTED_VALUE"""),"Anh Đức")</f>
        <v>Anh Đức</v>
      </c>
      <c r="C1216" s="141" t="str">
        <f>IFERROR(__xludf.DUMMYFUNCTION("""COMPUTED_VALUE"""),"5/12 Đặng Huy Trứ")</f>
        <v>5/12 Đặng Huy Trứ</v>
      </c>
      <c r="D1216" s="141" t="str">
        <f>IFERROR(__xludf.DUMMYFUNCTION("""COMPUTED_VALUE"""),"chó")</f>
        <v>chó</v>
      </c>
      <c r="E1216" s="141" t="str">
        <f>IFERROR(__xludf.DUMMYFUNCTION("""COMPUTED_VALUE"""),"bi")</f>
        <v>bi</v>
      </c>
    </row>
    <row r="1217" ht="15.75" customHeight="1">
      <c r="A1217" s="140" t="str">
        <f>IFERROR(__xludf.DUMMYFUNCTION("""COMPUTED_VALUE"""),"0946 900 758")</f>
        <v>0946 900 758</v>
      </c>
      <c r="B1217" s="141" t="str">
        <f>IFERROR(__xludf.DUMMYFUNCTION("""COMPUTED_VALUE"""),"Phan Thị Luyến")</f>
        <v>Phan Thị Luyến</v>
      </c>
      <c r="C1217" s="141" t="str">
        <f>IFERROR(__xludf.DUMMYFUNCTION("""COMPUTED_VALUE"""),"k131 trần phú")</f>
        <v>k131 trần phú</v>
      </c>
      <c r="D1217" s="141" t="str">
        <f>IFERROR(__xludf.DUMMYFUNCTION("""COMPUTED_VALUE"""),"chó")</f>
        <v>chó</v>
      </c>
      <c r="E1217" s="141" t="str">
        <f>IFERROR(__xludf.DUMMYFUNCTION("""COMPUTED_VALUE"""),"Ruly")</f>
        <v>Ruly</v>
      </c>
    </row>
    <row r="1218" ht="15.75" customHeight="1">
      <c r="A1218" s="140" t="str">
        <f>IFERROR(__xludf.DUMMYFUNCTION("""COMPUTED_VALUE"""),"0947 181 119")</f>
        <v>0947 181 119</v>
      </c>
      <c r="B1218" s="141" t="str">
        <f>IFERROR(__xludf.DUMMYFUNCTION("""COMPUTED_VALUE"""),"Thầy chùa")</f>
        <v>Thầy chùa</v>
      </c>
      <c r="C1218" s="141" t="str">
        <f>IFERROR(__xludf.DUMMYFUNCTION("""COMPUTED_VALUE"""),"8/162 Phan bội châu")</f>
        <v>8/162 Phan bội châu</v>
      </c>
      <c r="D1218" s="141" t="str">
        <f>IFERROR(__xludf.DUMMYFUNCTION("""COMPUTED_VALUE"""),"chó")</f>
        <v>chó</v>
      </c>
      <c r="E1218" s="118" t="str">
        <f>IFERROR(__xludf.DUMMYFUNCTION("""COMPUTED_VALUE"""),",")</f>
        <v>,</v>
      </c>
    </row>
    <row r="1219" ht="15.75" customHeight="1">
      <c r="A1219" s="117" t="str">
        <f>IFERROR(__xludf.DUMMYFUNCTION("""COMPUTED_VALUE"""),"0905 853 283")</f>
        <v>0905 853 283</v>
      </c>
      <c r="B1219" s="118" t="str">
        <f>IFERROR(__xludf.DUMMYFUNCTION("""COMPUTED_VALUE"""),"Chị Thủy")</f>
        <v>Chị Thủy</v>
      </c>
      <c r="C1219" s="118" t="str">
        <f>IFERROR(__xludf.DUMMYFUNCTION("""COMPUTED_VALUE"""),"Ngự Bình")</f>
        <v>Ngự Bình</v>
      </c>
      <c r="D1219" s="118" t="str">
        <f>IFERROR(__xludf.DUMMYFUNCTION("""COMPUTED_VALUE"""),"chó")</f>
        <v>chó</v>
      </c>
      <c r="E1219" s="118" t="str">
        <f>IFERROR(__xludf.DUMMYFUNCTION("""COMPUTED_VALUE"""),"Thang")</f>
        <v>Thang</v>
      </c>
    </row>
    <row r="1220" ht="15.75" customHeight="1">
      <c r="A1220" s="117" t="str">
        <f>IFERROR(__xludf.DUMMYFUNCTION("""COMPUTED_VALUE"""),"0906 474 519")</f>
        <v>0906 474 519</v>
      </c>
      <c r="B1220" s="118" t="str">
        <f>IFERROR(__xludf.DUMMYFUNCTION("""COMPUTED_VALUE"""),"Chị Loan")</f>
        <v>Chị Loan</v>
      </c>
      <c r="C1220" s="118" t="str">
        <f>IFERROR(__xludf.DUMMYFUNCTION("""COMPUTED_VALUE"""),"53/3 Phạm Thị Liên")</f>
        <v>53/3 Phạm Thị Liên</v>
      </c>
      <c r="D1220" s="118" t="str">
        <f>IFERROR(__xludf.DUMMYFUNCTION("""COMPUTED_VALUE"""),"Chó ")</f>
        <v>Chó </v>
      </c>
      <c r="E1220" s="118" t="str">
        <f>IFERROR(__xludf.DUMMYFUNCTION("""COMPUTED_VALUE"""),"Mít")</f>
        <v>Mít</v>
      </c>
    </row>
    <row r="1221" ht="15.75" customHeight="1">
      <c r="A1221" s="140" t="str">
        <f>IFERROR(__xludf.DUMMYFUNCTION("""COMPUTED_VALUE"""),"0905 479 151")</f>
        <v>0905 479 151</v>
      </c>
      <c r="B1221" s="141" t="str">
        <f>IFERROR(__xludf.DUMMYFUNCTION("""COMPUTED_VALUE"""),"Khôi Nguyên")</f>
        <v>Khôi Nguyên</v>
      </c>
      <c r="C1221" s="141" t="str">
        <f>IFERROR(__xludf.DUMMYFUNCTION("""COMPUTED_VALUE"""),"1/6 An ninh")</f>
        <v>1/6 An ninh</v>
      </c>
      <c r="D1221" s="141" t="str">
        <f>IFERROR(__xludf.DUMMYFUNCTION("""COMPUTED_VALUE"""),"Chó")</f>
        <v>Chó</v>
      </c>
      <c r="E1221" s="141" t="str">
        <f>IFERROR(__xludf.DUMMYFUNCTION("""COMPUTED_VALUE"""),"Dâu")</f>
        <v>Dâu</v>
      </c>
    </row>
    <row r="1222" ht="15.75" customHeight="1">
      <c r="A1222" s="117" t="str">
        <f>IFERROR(__xludf.DUMMYFUNCTION("""COMPUTED_VALUE"""),"0905 707 007")</f>
        <v>0905 707 007</v>
      </c>
      <c r="B1222" s="118" t="str">
        <f>IFERROR(__xludf.DUMMYFUNCTION("""COMPUTED_VALUE"""),"Anh Thiện Mỹ")</f>
        <v>Anh Thiện Mỹ</v>
      </c>
      <c r="C1222" s="118" t="str">
        <f>IFERROR(__xludf.DUMMYFUNCTION("""COMPUTED_VALUE"""),"24/2 Nguyễn Phúc Nguyên")</f>
        <v>24/2 Nguyễn Phúc Nguyên</v>
      </c>
      <c r="D1222" s="118" t="str">
        <f>IFERROR(__xludf.DUMMYFUNCTION("""COMPUTED_VALUE"""),"Chó")</f>
        <v>Chó</v>
      </c>
      <c r="E1222" s="118" t="str">
        <f>IFERROR(__xludf.DUMMYFUNCTION("""COMPUTED_VALUE"""),"Bec Bỉ")</f>
        <v>Bec Bỉ</v>
      </c>
    </row>
    <row r="1223" ht="15.75" customHeight="1">
      <c r="A1223" s="140" t="str">
        <f>IFERROR(__xludf.DUMMYFUNCTION("""COMPUTED_VALUE"""),"0935 660 598")</f>
        <v>0935 660 598</v>
      </c>
      <c r="B1223" s="141" t="str">
        <f>IFERROR(__xludf.DUMMYFUNCTION("""COMPUTED_VALUE"""),"Anh Minh")</f>
        <v>Anh Minh</v>
      </c>
      <c r="C1223" s="141" t="str">
        <f>IFERROR(__xludf.DUMMYFUNCTION("""COMPUTED_VALUE"""),"18/3 Vạn Xuân")</f>
        <v>18/3 Vạn Xuân</v>
      </c>
      <c r="D1223" s="141" t="str">
        <f>IFERROR(__xludf.DUMMYFUNCTION("""COMPUTED_VALUE"""),"Chó")</f>
        <v>Chó</v>
      </c>
      <c r="E1223" s="141" t="str">
        <f>IFERROR(__xludf.DUMMYFUNCTION("""COMPUTED_VALUE"""),"Lu")</f>
        <v>Lu</v>
      </c>
    </row>
    <row r="1224" ht="15.75" customHeight="1">
      <c r="A1224" s="117" t="str">
        <f>IFERROR(__xludf.DUMMYFUNCTION("""COMPUTED_VALUE"""),"0796 562 613")</f>
        <v>0796 562 613</v>
      </c>
      <c r="B1224" s="118" t="str">
        <f>IFERROR(__xludf.DUMMYFUNCTION("""COMPUTED_VALUE"""),"Chị Phương Nhi")</f>
        <v>Chị Phương Nhi</v>
      </c>
      <c r="C1224" s="118" t="str">
        <f>IFERROR(__xludf.DUMMYFUNCTION("""COMPUTED_VALUE"""),"18/24 Chế Lan Viên")</f>
        <v>18/24 Chế Lan Viên</v>
      </c>
      <c r="D1224" s="118" t="str">
        <f>IFERROR(__xludf.DUMMYFUNCTION("""COMPUTED_VALUE"""),"mèo")</f>
        <v>mèo</v>
      </c>
      <c r="E1224" s="118" t="str">
        <f>IFERROR(__xludf.DUMMYFUNCTION("""COMPUTED_VALUE"""),"Moon")</f>
        <v>Moon</v>
      </c>
    </row>
    <row r="1225" ht="15.75" customHeight="1">
      <c r="A1225" s="117" t="str">
        <f>IFERROR(__xludf.DUMMYFUNCTION("""COMPUTED_VALUE"""),"0905 579 415")</f>
        <v>0905 579 415</v>
      </c>
      <c r="B1225" s="118" t="str">
        <f>IFERROR(__xludf.DUMMYFUNCTION("""COMPUTED_VALUE"""),"Chị Phương")</f>
        <v>Chị Phương</v>
      </c>
      <c r="C1225" s="118" t="str">
        <f>IFERROR(__xludf.DUMMYFUNCTION("""COMPUTED_VALUE"""),"Thủy Bằng")</f>
        <v>Thủy Bằng</v>
      </c>
      <c r="D1225" s="118" t="str">
        <f>IFERROR(__xludf.DUMMYFUNCTION("""COMPUTED_VALUE"""),"mèo")</f>
        <v>mèo</v>
      </c>
      <c r="E1225" s="118" t="str">
        <f>IFERROR(__xludf.DUMMYFUNCTION("""COMPUTED_VALUE"""),"Chẽn")</f>
        <v>Chẽn</v>
      </c>
    </row>
    <row r="1226" ht="15.75" customHeight="1">
      <c r="A1226" s="117" t="str">
        <f>IFERROR(__xludf.DUMMYFUNCTION("""COMPUTED_VALUE"""),"0796 571 325")</f>
        <v>0796 571 325</v>
      </c>
      <c r="B1226" s="118" t="str">
        <f>IFERROR(__xludf.DUMMYFUNCTION("""COMPUTED_VALUE"""),"Chị Bình")</f>
        <v>Chị Bình</v>
      </c>
      <c r="C1226" s="118" t="str">
        <f>IFERROR(__xludf.DUMMYFUNCTION("""COMPUTED_VALUE"""),"255 Bùi Thị Xuân")</f>
        <v>255 Bùi Thị Xuân</v>
      </c>
      <c r="D1226" s="118" t="str">
        <f>IFERROR(__xludf.DUMMYFUNCTION("""COMPUTED_VALUE"""),"chó")</f>
        <v>chó</v>
      </c>
      <c r="E1226" s="118" t="str">
        <f>IFERROR(__xludf.DUMMYFUNCTION("""COMPUTED_VALUE"""),"Vịt")</f>
        <v>Vịt</v>
      </c>
    </row>
    <row r="1227" ht="15.75" customHeight="1">
      <c r="A1227" s="117" t="str">
        <f>IFERROR(__xludf.DUMMYFUNCTION("""COMPUTED_VALUE"""),"0775 502 949")</f>
        <v>0775 502 949</v>
      </c>
      <c r="B1227" s="118" t="str">
        <f>IFERROR(__xludf.DUMMYFUNCTION("""COMPUTED_VALUE"""),"Anh Thanh")</f>
        <v>Anh Thanh</v>
      </c>
      <c r="C1227" s="118" t="str">
        <f>IFERROR(__xludf.DUMMYFUNCTION("""COMPUTED_VALUE"""),"37 Duy Tân")</f>
        <v>37 Duy Tân</v>
      </c>
      <c r="D1227" s="118" t="str">
        <f>IFERROR(__xludf.DUMMYFUNCTION("""COMPUTED_VALUE"""),"mèo")</f>
        <v>mèo</v>
      </c>
      <c r="E1227" s="118" t="str">
        <f>IFERROR(__xludf.DUMMYFUNCTION("""COMPUTED_VALUE"""),"Vàng")</f>
        <v>Vàng</v>
      </c>
    </row>
    <row r="1228" ht="15.75" customHeight="1">
      <c r="A1228" s="117" t="str">
        <f>IFERROR(__xludf.DUMMYFUNCTION("""COMPUTED_VALUE"""),"0846 311 259")</f>
        <v>0846 311 259</v>
      </c>
      <c r="B1228" s="118" t="str">
        <f>IFERROR(__xludf.DUMMYFUNCTION("""COMPUTED_VALUE"""),"Vũ Mai Anh")</f>
        <v>Vũ Mai Anh</v>
      </c>
      <c r="C1228" s="118" t="str">
        <f>IFERROR(__xludf.DUMMYFUNCTION("""COMPUTED_VALUE"""),"Đặng Huy Trứ")</f>
        <v>Đặng Huy Trứ</v>
      </c>
      <c r="D1228" s="118" t="str">
        <f>IFERROR(__xludf.DUMMYFUNCTION("""COMPUTED_VALUE"""),"mèo")</f>
        <v>mèo</v>
      </c>
      <c r="E1228" s="118" t="str">
        <f>IFERROR(__xludf.DUMMYFUNCTION("""COMPUTED_VALUE"""),"Miu")</f>
        <v>Miu</v>
      </c>
    </row>
    <row r="1229" ht="15.75" customHeight="1">
      <c r="A1229" s="117" t="str">
        <f>IFERROR(__xludf.DUMMYFUNCTION("""COMPUTED_VALUE"""),"0345 809 454")</f>
        <v>0345 809 454</v>
      </c>
      <c r="B1229" s="118" t="str">
        <f>IFERROR(__xludf.DUMMYFUNCTION("""COMPUTED_VALUE"""),"Anh Thành")</f>
        <v>Anh Thành</v>
      </c>
      <c r="C1229" s="118" t="str">
        <f>IFERROR(__xludf.DUMMYFUNCTION("""COMPUTED_VALUE"""),"143 Lê Huân")</f>
        <v>143 Lê Huân</v>
      </c>
      <c r="D1229" s="118" t="str">
        <f>IFERROR(__xludf.DUMMYFUNCTION("""COMPUTED_VALUE"""),"mèo")</f>
        <v>mèo</v>
      </c>
      <c r="E1229" s="118" t="str">
        <f>IFERROR(__xludf.DUMMYFUNCTION("""COMPUTED_VALUE"""),"lai")</f>
        <v>lai</v>
      </c>
    </row>
    <row r="1230" ht="15.75" customHeight="1">
      <c r="A1230" s="117" t="str">
        <f>IFERROR(__xludf.DUMMYFUNCTION("""COMPUTED_VALUE"""),"0912 522 087")</f>
        <v>0912 522 087</v>
      </c>
      <c r="B1230" s="118" t="str">
        <f>IFERROR(__xludf.DUMMYFUNCTION("""COMPUTED_VALUE"""),"Diệu Hiền")</f>
        <v>Diệu Hiền</v>
      </c>
      <c r="C1230" s="118" t="str">
        <f>IFERROR(__xludf.DUMMYFUNCTION("""COMPUTED_VALUE"""),"25/135 Đặng Văn Ngữ")</f>
        <v>25/135 Đặng Văn Ngữ</v>
      </c>
      <c r="D1230" s="118" t="str">
        <f>IFERROR(__xludf.DUMMYFUNCTION("""COMPUTED_VALUE"""),"mèo")</f>
        <v>mèo</v>
      </c>
      <c r="E1230" s="118" t="str">
        <f>IFERROR(__xludf.DUMMYFUNCTION("""COMPUTED_VALUE"""),"Mèo")</f>
        <v>Mèo</v>
      </c>
    </row>
    <row r="1231" ht="15.75" customHeight="1">
      <c r="A1231" s="117" t="str">
        <f>IFERROR(__xludf.DUMMYFUNCTION("""COMPUTED_VALUE"""),"0908 519 484")</f>
        <v>0908 519 484</v>
      </c>
      <c r="B1231" s="118" t="str">
        <f>IFERROR(__xludf.DUMMYFUNCTION("""COMPUTED_VALUE"""),"Anh Đinh Khắc Nhật Thảo")</f>
        <v>Anh Đinh Khắc Nhật Thảo</v>
      </c>
      <c r="C1231" s="118" t="str">
        <f>IFERROR(__xludf.DUMMYFUNCTION("""COMPUTED_VALUE"""),"121 Điện Biên Phủ")</f>
        <v>121 Điện Biên Phủ</v>
      </c>
      <c r="D1231" s="118" t="str">
        <f>IFERROR(__xludf.DUMMYFUNCTION("""COMPUTED_VALUE"""),"chó")</f>
        <v>chó</v>
      </c>
      <c r="E1231" s="118" t="str">
        <f>IFERROR(__xludf.DUMMYFUNCTION("""COMPUTED_VALUE"""),"Milu")</f>
        <v>Milu</v>
      </c>
    </row>
    <row r="1232" ht="15.75" customHeight="1">
      <c r="A1232" s="117" t="str">
        <f>IFERROR(__xludf.DUMMYFUNCTION("""COMPUTED_VALUE"""),"0373 102 680")</f>
        <v>0373 102 680</v>
      </c>
      <c r="B1232" s="118" t="str">
        <f>IFERROR(__xludf.DUMMYFUNCTION("""COMPUTED_VALUE"""),"Em Oanh")</f>
        <v>Em Oanh</v>
      </c>
      <c r="C1232" s="118" t="str">
        <f>IFERROR(__xludf.DUMMYFUNCTION("""COMPUTED_VALUE"""),"11/68 Ngự Bình")</f>
        <v>11/68 Ngự Bình</v>
      </c>
      <c r="D1232" s="118" t="str">
        <f>IFERROR(__xludf.DUMMYFUNCTION("""COMPUTED_VALUE"""),"mèo")</f>
        <v>mèo</v>
      </c>
      <c r="E1232" s="118" t="str">
        <f>IFERROR(__xludf.DUMMYFUNCTION("""COMPUTED_VALUE"""),"Miu")</f>
        <v>Miu</v>
      </c>
    </row>
    <row r="1233" ht="15.75" customHeight="1">
      <c r="A1233" s="117" t="str">
        <f>IFERROR(__xludf.DUMMYFUNCTION("""COMPUTED_VALUE"""),"0948 695 602")</f>
        <v>0948 695 602</v>
      </c>
      <c r="B1233" s="118" t="str">
        <f>IFERROR(__xludf.DUMMYFUNCTION("""COMPUTED_VALUE"""),"Trần Thị Thu Hiền")</f>
        <v>Trần Thị Thu Hiền</v>
      </c>
      <c r="C1233" s="118" t="str">
        <f>IFERROR(__xludf.DUMMYFUNCTION("""COMPUTED_VALUE"""),"25/111 Trần Phú")</f>
        <v>25/111 Trần Phú</v>
      </c>
      <c r="D1233" s="118" t="str">
        <f>IFERROR(__xludf.DUMMYFUNCTION("""COMPUTED_VALUE"""),"mèo")</f>
        <v>mèo</v>
      </c>
      <c r="E1233" s="118" t="str">
        <f>IFERROR(__xludf.DUMMYFUNCTION("""COMPUTED_VALUE"""),"Cám")</f>
        <v>Cám</v>
      </c>
    </row>
    <row r="1234" ht="15.75" customHeight="1">
      <c r="A1234" s="117" t="str">
        <f>IFERROR(__xludf.DUMMYFUNCTION("""COMPUTED_VALUE"""),"0364 277 042")</f>
        <v>0364 277 042</v>
      </c>
      <c r="B1234" s="118" t="str">
        <f>IFERROR(__xludf.DUMMYFUNCTION("""COMPUTED_VALUE"""),"Hoa")</f>
        <v>Hoa</v>
      </c>
      <c r="C1234" s="118" t="str">
        <f>IFERROR(__xludf.DUMMYFUNCTION("""COMPUTED_VALUE"""),"3/44/131 Trần Phú")</f>
        <v>3/44/131 Trần Phú</v>
      </c>
      <c r="D1234" s="118" t="str">
        <f>IFERROR(__xludf.DUMMYFUNCTION("""COMPUTED_VALUE"""),"mèo")</f>
        <v>mèo</v>
      </c>
      <c r="E1234" s="118" t="str">
        <f>IFERROR(__xludf.DUMMYFUNCTION("""COMPUTED_VALUE"""),"Lúa")</f>
        <v>Lúa</v>
      </c>
    </row>
    <row r="1235" ht="15.75" customHeight="1">
      <c r="A1235" s="117" t="str">
        <f>IFERROR(__xludf.DUMMYFUNCTION("""COMPUTED_VALUE"""),"0934 690 692")</f>
        <v>0934 690 692</v>
      </c>
      <c r="B1235" s="118" t="str">
        <f>IFERROR(__xludf.DUMMYFUNCTION("""COMPUTED_VALUE"""),"Anh Hải")</f>
        <v>Anh Hải</v>
      </c>
      <c r="C1235" s="118" t="str">
        <f>IFERROR(__xludf.DUMMYFUNCTION("""COMPUTED_VALUE"""),"k106 Minh Mạng")</f>
        <v>k106 Minh Mạng</v>
      </c>
      <c r="D1235" s="118" t="str">
        <f>IFERROR(__xludf.DUMMYFUNCTION("""COMPUTED_VALUE"""),"chó")</f>
        <v>chó</v>
      </c>
      <c r="E1235" s="118" t="str">
        <f>IFERROR(__xludf.DUMMYFUNCTION("""COMPUTED_VALUE"""),"trắng")</f>
        <v>trắng</v>
      </c>
    </row>
    <row r="1236" ht="15.75" customHeight="1">
      <c r="A1236" s="117" t="str">
        <f>IFERROR(__xludf.DUMMYFUNCTION("""COMPUTED_VALUE"""),"0384 931 458")</f>
        <v>0384 931 458</v>
      </c>
      <c r="B1236" s="118" t="str">
        <f>IFERROR(__xludf.DUMMYFUNCTION("""COMPUTED_VALUE"""),"Bố Của Cẩm Sinh viên")</f>
        <v>Bố Của Cẩm Sinh viên</v>
      </c>
      <c r="C1236" s="118" t="str">
        <f>IFERROR(__xludf.DUMMYFUNCTION("""COMPUTED_VALUE"""),"43A Triệu Quang Phục")</f>
        <v>43A Triệu Quang Phục</v>
      </c>
      <c r="D1236" s="118" t="str">
        <f>IFERROR(__xludf.DUMMYFUNCTION("""COMPUTED_VALUE"""),"Mèo")</f>
        <v>Mèo</v>
      </c>
      <c r="E1236" s="118"/>
    </row>
    <row r="1237" ht="15.75" customHeight="1">
      <c r="A1237" s="117" t="str">
        <f>IFERROR(__xludf.DUMMYFUNCTION("""COMPUTED_VALUE"""),"0327 382 008")</f>
        <v>0327 382 008</v>
      </c>
      <c r="B1237" s="118" t="str">
        <f>IFERROR(__xludf.DUMMYFUNCTION("""COMPUTED_VALUE"""),"Chị Như Ý")</f>
        <v>Chị Như Ý</v>
      </c>
      <c r="C1237" s="118" t="str">
        <f>IFERROR(__xludf.DUMMYFUNCTION("""COMPUTED_VALUE"""),"La Chữ - Hương Chữ")</f>
        <v>La Chữ - Hương Chữ</v>
      </c>
      <c r="D1237" s="118" t="str">
        <f>IFERROR(__xludf.DUMMYFUNCTION("""COMPUTED_VALUE"""),"Chó")</f>
        <v>Chó</v>
      </c>
      <c r="E1237" s="118" t="str">
        <f>IFERROR(__xludf.DUMMYFUNCTION("""COMPUTED_VALUE"""),"Đen")</f>
        <v>Đen</v>
      </c>
    </row>
    <row r="1238" ht="15.75" customHeight="1">
      <c r="A1238" s="117" t="str">
        <f>IFERROR(__xludf.DUMMYFUNCTION("""COMPUTED_VALUE"""),"0888 360 030")</f>
        <v>0888 360 030</v>
      </c>
      <c r="B1238" s="118" t="str">
        <f>IFERROR(__xludf.DUMMYFUNCTION("""COMPUTED_VALUE"""),"Chị Oanh")</f>
        <v>Chị Oanh</v>
      </c>
      <c r="C1238" s="118" t="str">
        <f>IFERROR(__xludf.DUMMYFUNCTION("""COMPUTED_VALUE"""),"Hương Sơ")</f>
        <v>Hương Sơ</v>
      </c>
      <c r="D1238" s="118" t="str">
        <f>IFERROR(__xludf.DUMMYFUNCTION("""COMPUTED_VALUE"""),"Mèo")</f>
        <v>Mèo</v>
      </c>
      <c r="E1238" s="118" t="str">
        <f>IFERROR(__xludf.DUMMYFUNCTION("""COMPUTED_VALUE"""),"Mây")</f>
        <v>Mây</v>
      </c>
    </row>
    <row r="1239" ht="15.75" customHeight="1">
      <c r="A1239" s="117" t="str">
        <f>IFERROR(__xludf.DUMMYFUNCTION("""COMPUTED_VALUE"""),"0706 107 212")</f>
        <v>0706 107 212</v>
      </c>
      <c r="B1239" s="118" t="str">
        <f>IFERROR(__xludf.DUMMYFUNCTION("""COMPUTED_VALUE"""),"Chị Ngân")</f>
        <v>Chị Ngân</v>
      </c>
      <c r="C1239" s="118" t="str">
        <f>IFERROR(__xludf.DUMMYFUNCTION("""COMPUTED_VALUE"""),"Kiệt 42 Phạm Thị Liên")</f>
        <v>Kiệt 42 Phạm Thị Liên</v>
      </c>
      <c r="D1239" s="118" t="str">
        <f>IFERROR(__xludf.DUMMYFUNCTION("""COMPUTED_VALUE"""),"Chó")</f>
        <v>Chó</v>
      </c>
      <c r="E1239" s="118" t="str">
        <f>IFERROR(__xludf.DUMMYFUNCTION("""COMPUTED_VALUE"""),"Bông")</f>
        <v>Bông</v>
      </c>
    </row>
    <row r="1240" ht="15.75" customHeight="1">
      <c r="A1240" s="117" t="str">
        <f>IFERROR(__xludf.DUMMYFUNCTION("""COMPUTED_VALUE"""),"0886 928 609")</f>
        <v>0886 928 609</v>
      </c>
      <c r="B1240" s="118" t="str">
        <f>IFERROR(__xludf.DUMMYFUNCTION("""COMPUTED_VALUE"""),"Đoàn Trần Ca Thi")</f>
        <v>Đoàn Trần Ca Thi</v>
      </c>
      <c r="C1240" s="118" t="str">
        <f>IFERROR(__xludf.DUMMYFUNCTION("""COMPUTED_VALUE"""),"104/1 Phạm Thị Liên")</f>
        <v>104/1 Phạm Thị Liên</v>
      </c>
      <c r="D1240" s="118" t="str">
        <f>IFERROR(__xludf.DUMMYFUNCTION("""COMPUTED_VALUE"""),"Mèo")</f>
        <v>Mèo</v>
      </c>
      <c r="E1240" s="118" t="str">
        <f>IFERROR(__xludf.DUMMYFUNCTION("""COMPUTED_VALUE"""),"Coc")</f>
        <v>Coc</v>
      </c>
    </row>
    <row r="1241" ht="15.75" customHeight="1">
      <c r="A1241" s="117" t="str">
        <f>IFERROR(__xludf.DUMMYFUNCTION("""COMPUTED_VALUE"""),"0376 775 330")</f>
        <v>0376 775 330</v>
      </c>
      <c r="B1241" s="118" t="str">
        <f>IFERROR(__xludf.DUMMYFUNCTION("""COMPUTED_VALUE"""),"Chú Diệu")</f>
        <v>Chú Diệu</v>
      </c>
      <c r="C1241" s="118" t="str">
        <f>IFERROR(__xludf.DUMMYFUNCTION("""COMPUTED_VALUE"""),"18/33 Nguyễn Hoàng")</f>
        <v>18/33 Nguyễn Hoàng</v>
      </c>
      <c r="D1241" s="118" t="str">
        <f>IFERROR(__xludf.DUMMYFUNCTION("""COMPUTED_VALUE"""),"Chó ")</f>
        <v>Chó </v>
      </c>
      <c r="E1241" s="118"/>
    </row>
    <row r="1242" ht="15.75" customHeight="1">
      <c r="A1242" s="117" t="str">
        <f>IFERROR(__xludf.DUMMYFUNCTION("""COMPUTED_VALUE"""),"0799 039 566")</f>
        <v>0799 039 566</v>
      </c>
      <c r="B1242" s="118" t="str">
        <f>IFERROR(__xludf.DUMMYFUNCTION("""COMPUTED_VALUE"""),"Chị My")</f>
        <v>Chị My</v>
      </c>
      <c r="C1242" s="118" t="str">
        <f>IFERROR(__xludf.DUMMYFUNCTION("""COMPUTED_VALUE"""),"Hương Hồ")</f>
        <v>Hương Hồ</v>
      </c>
      <c r="D1242" s="118" t="str">
        <f>IFERROR(__xludf.DUMMYFUNCTION("""COMPUTED_VALUE"""),"Mèo")</f>
        <v>Mèo</v>
      </c>
      <c r="E1242" s="118" t="str">
        <f>IFERROR(__xludf.DUMMYFUNCTION("""COMPUTED_VALUE"""),"Kem")</f>
        <v>Kem</v>
      </c>
    </row>
    <row r="1243" ht="15.75" customHeight="1">
      <c r="A1243" s="117" t="str">
        <f>IFERROR(__xludf.DUMMYFUNCTION("""COMPUTED_VALUE"""),"0369 490 955")</f>
        <v>0369 490 955</v>
      </c>
      <c r="B1243" s="118" t="str">
        <f>IFERROR(__xludf.DUMMYFUNCTION("""COMPUTED_VALUE"""),"Em Tú")</f>
        <v>Em Tú</v>
      </c>
      <c r="C1243" s="118" t="str">
        <f>IFERROR(__xludf.DUMMYFUNCTION("""COMPUTED_VALUE"""),"3/19/34 An Ninh")</f>
        <v>3/19/34 An Ninh</v>
      </c>
      <c r="D1243" s="118" t="str">
        <f>IFERROR(__xludf.DUMMYFUNCTION("""COMPUTED_VALUE"""),"Mèo")</f>
        <v>Mèo</v>
      </c>
      <c r="E1243" s="118" t="str">
        <f>IFERROR(__xludf.DUMMYFUNCTION("""COMPUTED_VALUE"""),"Mập")</f>
        <v>Mập</v>
      </c>
    </row>
    <row r="1244" ht="15.75" customHeight="1">
      <c r="A1244" s="117" t="str">
        <f>IFERROR(__xludf.DUMMYFUNCTION("""COMPUTED_VALUE"""),"0829 688 237")</f>
        <v>0829 688 237</v>
      </c>
      <c r="B1244" s="118" t="str">
        <f>IFERROR(__xludf.DUMMYFUNCTION("""COMPUTED_VALUE"""),"Dì Lan")</f>
        <v>Dì Lan</v>
      </c>
      <c r="C1244" s="118" t="str">
        <f>IFERROR(__xludf.DUMMYFUNCTION("""COMPUTED_VALUE"""),"Nguyễn Hoàng")</f>
        <v>Nguyễn Hoàng</v>
      </c>
      <c r="D1244" s="118" t="str">
        <f>IFERROR(__xludf.DUMMYFUNCTION("""COMPUTED_VALUE"""),"Chó")</f>
        <v>Chó</v>
      </c>
      <c r="E1244" s="118" t="str">
        <f>IFERROR(__xludf.DUMMYFUNCTION("""COMPUTED_VALUE"""),"Vện")</f>
        <v>Vện</v>
      </c>
    </row>
    <row r="1245" ht="15.75" customHeight="1">
      <c r="A1245" s="117" t="str">
        <f>IFERROR(__xludf.DUMMYFUNCTION("""COMPUTED_VALUE"""),"0767 043 361")</f>
        <v>0767 043 361</v>
      </c>
      <c r="B1245" s="118" t="str">
        <f>IFERROR(__xludf.DUMMYFUNCTION("""COMPUTED_VALUE"""),"Anh Khoa")</f>
        <v>Anh Khoa</v>
      </c>
      <c r="C1245" s="118" t="str">
        <f>IFERROR(__xludf.DUMMYFUNCTION("""COMPUTED_VALUE"""),"89/3 Phùng Lưu")</f>
        <v>89/3 Phùng Lưu</v>
      </c>
      <c r="D1245" s="118" t="str">
        <f>IFERROR(__xludf.DUMMYFUNCTION("""COMPUTED_VALUE"""),"Mèo")</f>
        <v>Mèo</v>
      </c>
      <c r="E1245" s="118"/>
    </row>
    <row r="1246" ht="15.75" customHeight="1">
      <c r="A1246" s="117" t="str">
        <f>IFERROR(__xludf.DUMMYFUNCTION("""COMPUTED_VALUE"""),"0763 469 094")</f>
        <v>0763 469 094</v>
      </c>
      <c r="B1246" s="118" t="str">
        <f>IFERROR(__xludf.DUMMYFUNCTION("""COMPUTED_VALUE"""),"Anh Long")</f>
        <v>Anh Long</v>
      </c>
      <c r="C1246" s="118" t="str">
        <f>IFERROR(__xludf.DUMMYFUNCTION("""COMPUTED_VALUE"""),"20/27 Trần Phú")</f>
        <v>20/27 Trần Phú</v>
      </c>
      <c r="D1246" s="118" t="str">
        <f>IFERROR(__xludf.DUMMYFUNCTION("""COMPUTED_VALUE"""),"chó")</f>
        <v>chó</v>
      </c>
      <c r="E1246" s="118" t="str">
        <f>IFERROR(__xludf.DUMMYFUNCTION("""COMPUTED_VALUE"""),"Nóc")</f>
        <v>Nóc</v>
      </c>
    </row>
    <row r="1247" ht="15.75" customHeight="1">
      <c r="A1247" s="117" t="str">
        <f>IFERROR(__xludf.DUMMYFUNCTION("""COMPUTED_VALUE"""),"0914 192 929")</f>
        <v>0914 192 929</v>
      </c>
      <c r="B1247" s="118" t="str">
        <f>IFERROR(__xludf.DUMMYFUNCTION("""COMPUTED_VALUE"""),"Thảo Nhi")</f>
        <v>Thảo Nhi</v>
      </c>
      <c r="C1247" s="118" t="str">
        <f>IFERROR(__xludf.DUMMYFUNCTION("""COMPUTED_VALUE"""),"29 Võ Liêm Sơn")</f>
        <v>29 Võ Liêm Sơn</v>
      </c>
      <c r="D1247" s="118" t="str">
        <f>IFERROR(__xludf.DUMMYFUNCTION("""COMPUTED_VALUE"""),"chó")</f>
        <v>chó</v>
      </c>
      <c r="E1247" s="118" t="str">
        <f>IFERROR(__xludf.DUMMYFUNCTION("""COMPUTED_VALUE"""),"Rô")</f>
        <v>Rô</v>
      </c>
    </row>
    <row r="1248" ht="15.75" customHeight="1">
      <c r="A1248" s="117" t="str">
        <f>IFERROR(__xludf.DUMMYFUNCTION("""COMPUTED_VALUE"""),"0914 534 433")</f>
        <v>0914 534 433</v>
      </c>
      <c r="B1248" s="118" t="str">
        <f>IFERROR(__xludf.DUMMYFUNCTION("""COMPUTED_VALUE"""),"Nguyễn Thị Hương")</f>
        <v>Nguyễn Thị Hương</v>
      </c>
      <c r="C1248" s="118" t="str">
        <f>IFERROR(__xludf.DUMMYFUNCTION("""COMPUTED_VALUE"""),"47 Vạn Xuân")</f>
        <v>47 Vạn Xuân</v>
      </c>
      <c r="D1248" s="118" t="str">
        <f>IFERROR(__xludf.DUMMYFUNCTION("""COMPUTED_VALUE"""),"chó")</f>
        <v>chó</v>
      </c>
      <c r="E1248" s="118" t="str">
        <f>IFERROR(__xludf.DUMMYFUNCTION("""COMPUTED_VALUE""")," Cún")</f>
        <v> Cún</v>
      </c>
    </row>
    <row r="1249" ht="15.75" customHeight="1">
      <c r="A1249" s="117" t="str">
        <f>IFERROR(__xludf.DUMMYFUNCTION("""COMPUTED_VALUE"""),"0986 077 775")</f>
        <v>0986 077 775</v>
      </c>
      <c r="B1249" s="118" t="str">
        <f>IFERROR(__xludf.DUMMYFUNCTION("""COMPUTED_VALUE"""),"Chị Nhung")</f>
        <v>Chị Nhung</v>
      </c>
      <c r="C1249" s="118" t="str">
        <f>IFERROR(__xludf.DUMMYFUNCTION("""COMPUTED_VALUE"""),"12/312 Trưng Nữ Vương")</f>
        <v>12/312 Trưng Nữ Vương</v>
      </c>
      <c r="D1249" s="118" t="str">
        <f>IFERROR(__xludf.DUMMYFUNCTION("""COMPUTED_VALUE"""),"Chó")</f>
        <v>Chó</v>
      </c>
      <c r="E1249" s="118" t="str">
        <f>IFERROR(__xludf.DUMMYFUNCTION("""COMPUTED_VALUE"""),"Nâu")</f>
        <v>Nâu</v>
      </c>
    </row>
    <row r="1250" ht="15.75" customHeight="1">
      <c r="A1250" s="117" t="str">
        <f>IFERROR(__xludf.DUMMYFUNCTION("""COMPUTED_VALUE"""),"0842 846 009")</f>
        <v>0842 846 009</v>
      </c>
      <c r="B1250" s="118" t="str">
        <f>IFERROR(__xludf.DUMMYFUNCTION("""COMPUTED_VALUE"""),"Chị Trâm")</f>
        <v>Chị Trâm</v>
      </c>
      <c r="C1250" s="118" t="str">
        <f>IFERROR(__xludf.DUMMYFUNCTION("""COMPUTED_VALUE"""),"56 Nguyễn Kha vy")</f>
        <v>56 Nguyễn Kha vy</v>
      </c>
      <c r="D1250" s="118" t="str">
        <f>IFERROR(__xludf.DUMMYFUNCTION("""COMPUTED_VALUE"""),"mèo ")</f>
        <v>mèo </v>
      </c>
      <c r="E1250" s="118" t="str">
        <f>IFERROR(__xludf.DUMMYFUNCTION("""COMPUTED_VALUE"""),"Hank")</f>
        <v>Hank</v>
      </c>
    </row>
    <row r="1251" ht="15.75" customHeight="1">
      <c r="A1251" s="117" t="str">
        <f>IFERROR(__xludf.DUMMYFUNCTION("""COMPUTED_VALUE"""),"0973 410 481")</f>
        <v>0973 410 481</v>
      </c>
      <c r="B1251" s="118" t="str">
        <f>IFERROR(__xludf.DUMMYFUNCTION("""COMPUTED_VALUE"""),"Anh Nhã")</f>
        <v>Anh Nhã</v>
      </c>
      <c r="C1251" s="118" t="str">
        <f>IFERROR(__xludf.DUMMYFUNCTION("""COMPUTED_VALUE"""),"47 An Ninh")</f>
        <v>47 An Ninh</v>
      </c>
      <c r="D1251" s="118" t="str">
        <f>IFERROR(__xludf.DUMMYFUNCTION("""COMPUTED_VALUE"""),"Chó")</f>
        <v>Chó</v>
      </c>
      <c r="E1251" s="118" t="str">
        <f>IFERROR(__xludf.DUMMYFUNCTION("""COMPUTED_VALUE""")," Chane")</f>
        <v> Chane</v>
      </c>
    </row>
    <row r="1252" ht="15.75" customHeight="1">
      <c r="A1252" s="117" t="str">
        <f>IFERROR(__xludf.DUMMYFUNCTION("""COMPUTED_VALUE"""),"0337 183 592")</f>
        <v>0337 183 592</v>
      </c>
      <c r="B1252" s="118" t="str">
        <f>IFERROR(__xludf.DUMMYFUNCTION("""COMPUTED_VALUE"""),"Thu Ngân")</f>
        <v>Thu Ngân</v>
      </c>
      <c r="C1252" s="118" t="str">
        <f>IFERROR(__xludf.DUMMYFUNCTION("""COMPUTED_VALUE"""),"72 An Ninh")</f>
        <v>72 An Ninh</v>
      </c>
      <c r="D1252" s="118" t="str">
        <f>IFERROR(__xludf.DUMMYFUNCTION("""COMPUTED_VALUE"""),"Chó")</f>
        <v>Chó</v>
      </c>
      <c r="E1252" s="118" t="str">
        <f>IFERROR(__xludf.DUMMYFUNCTION("""COMPUTED_VALUE"""),"Kem")</f>
        <v>Kem</v>
      </c>
    </row>
    <row r="1253" ht="15.75" customHeight="1">
      <c r="A1253" s="117" t="str">
        <f>IFERROR(__xludf.DUMMYFUNCTION("""COMPUTED_VALUE"""),"0853 997 389")</f>
        <v>0853 997 389</v>
      </c>
      <c r="B1253" s="118" t="str">
        <f>IFERROR(__xludf.DUMMYFUNCTION("""COMPUTED_VALUE"""),"Anh Khánh")</f>
        <v>Anh Khánh</v>
      </c>
      <c r="C1253" s="118" t="str">
        <f>IFERROR(__xludf.DUMMYFUNCTION("""COMPUTED_VALUE"""),"17B Nguyễn Bìu")</f>
        <v>17B Nguyễn Bìu</v>
      </c>
      <c r="D1253" s="118" t="str">
        <f>IFERROR(__xludf.DUMMYFUNCTION("""COMPUTED_VALUE"""),"Chó")</f>
        <v>Chó</v>
      </c>
      <c r="E1253" s="118" t="str">
        <f>IFERROR(__xludf.DUMMYFUNCTION("""COMPUTED_VALUE""")," Lucy")</f>
        <v> Lucy</v>
      </c>
    </row>
    <row r="1254" ht="15.75" customHeight="1">
      <c r="A1254" s="117" t="str">
        <f>IFERROR(__xludf.DUMMYFUNCTION("""COMPUTED_VALUE"""),"0332 847 780")</f>
        <v>0332 847 780</v>
      </c>
      <c r="B1254" s="118" t="str">
        <f>IFERROR(__xludf.DUMMYFUNCTION("""COMPUTED_VALUE"""),"Anh Hòa")</f>
        <v>Anh Hòa</v>
      </c>
      <c r="C1254" s="118" t="str">
        <f>IFERROR(__xludf.DUMMYFUNCTION("""COMPUTED_VALUE"""),"33/2 Nguyễn Hoàng")</f>
        <v>33/2 Nguyễn Hoàng</v>
      </c>
      <c r="D1254" s="118" t="str">
        <f>IFERROR(__xludf.DUMMYFUNCTION("""COMPUTED_VALUE"""),"chó")</f>
        <v>chó</v>
      </c>
      <c r="E1254" s="118" t="str">
        <f>IFERROR(__xludf.DUMMYFUNCTION("""COMPUTED_VALUE""")," ko tên")</f>
        <v> ko tên</v>
      </c>
    </row>
    <row r="1255" ht="15.75" customHeight="1">
      <c r="A1255" s="117" t="str">
        <f>IFERROR(__xludf.DUMMYFUNCTION("""COMPUTED_VALUE"""),"0914 203 736")</f>
        <v>0914 203 736</v>
      </c>
      <c r="B1255" s="118" t="str">
        <f>IFERROR(__xludf.DUMMYFUNCTION("""COMPUTED_VALUE"""),"Anh Dũng")</f>
        <v>Anh Dũng</v>
      </c>
      <c r="C1255" s="118" t="str">
        <f>IFERROR(__xludf.DUMMYFUNCTION("""COMPUTED_VALUE""")," 134 Phạm Thị  Liên")</f>
        <v> 134 Phạm Thị  Liên</v>
      </c>
      <c r="D1255" s="118" t="str">
        <f>IFERROR(__xludf.DUMMYFUNCTION("""COMPUTED_VALUE"""),"chó")</f>
        <v>chó</v>
      </c>
      <c r="E1255" s="118" t="str">
        <f>IFERROR(__xludf.DUMMYFUNCTION("""COMPUTED_VALUE""")," Fox")</f>
        <v> Fox</v>
      </c>
    </row>
    <row r="1256" ht="15.75" customHeight="1">
      <c r="A1256" s="117" t="str">
        <f>IFERROR(__xludf.DUMMYFUNCTION("""COMPUTED_VALUE"""),"0346 397 574")</f>
        <v>0346 397 574</v>
      </c>
      <c r="B1256" s="142" t="str">
        <f>IFERROR(__xludf.DUMMYFUNCTION("""COMPUTED_VALUE"""),"Anh Hiếu")</f>
        <v>Anh Hiếu</v>
      </c>
      <c r="C1256" s="118" t="str">
        <f>IFERROR(__xludf.DUMMYFUNCTION("""COMPUTED_VALUE""")," Kiệt 44 An Ninh")</f>
        <v> Kiệt 44 An Ninh</v>
      </c>
      <c r="D1256" s="118" t="str">
        <f>IFERROR(__xludf.DUMMYFUNCTION("""COMPUTED_VALUE"""),"chó")</f>
        <v>chó</v>
      </c>
      <c r="E1256" s="118" t="str">
        <f>IFERROR(__xludf.DUMMYFUNCTION("""COMPUTED_VALUE""")," Bông")</f>
        <v> Bông</v>
      </c>
    </row>
    <row r="1257" ht="15.75" customHeight="1">
      <c r="A1257" s="117" t="str">
        <f>IFERROR(__xludf.DUMMYFUNCTION("""COMPUTED_VALUE"""),"0798 389 215")</f>
        <v>0798 389 215</v>
      </c>
      <c r="B1257" s="118" t="str">
        <f>IFERROR(__xludf.DUMMYFUNCTION("""COMPUTED_VALUE"""),"em Bé")</f>
        <v>em Bé</v>
      </c>
      <c r="C1257" s="118" t="str">
        <f>IFERROR(__xludf.DUMMYFUNCTION("""COMPUTED_VALUE""")," 33/34 Nguyễn Hoàng")</f>
        <v> 33/34 Nguyễn Hoàng</v>
      </c>
      <c r="D1257" s="118" t="str">
        <f>IFERROR(__xludf.DUMMYFUNCTION("""COMPUTED_VALUE"""),"chó")</f>
        <v>chó</v>
      </c>
      <c r="E1257" s="118" t="str">
        <f>IFERROR(__xludf.DUMMYFUNCTION("""COMPUTED_VALUE"""),"mập")</f>
        <v>mập</v>
      </c>
    </row>
    <row r="1258" ht="15.75" customHeight="1">
      <c r="A1258" s="117" t="str">
        <f>IFERROR(__xludf.DUMMYFUNCTION("""COMPUTED_VALUE"""),"0772 419 259")</f>
        <v>0772 419 259</v>
      </c>
      <c r="B1258" s="118" t="str">
        <f>IFERROR(__xludf.DUMMYFUNCTION("""COMPUTED_VALUE"""),"Chị Nga")</f>
        <v>Chị Nga</v>
      </c>
      <c r="C1258" s="118" t="str">
        <f>IFERROR(__xludf.DUMMYFUNCTION("""COMPUTED_VALUE"""),"130 kim Long")</f>
        <v>130 kim Long</v>
      </c>
      <c r="D1258" s="118" t="str">
        <f>IFERROR(__xludf.DUMMYFUNCTION("""COMPUTED_VALUE"""),"mèo")</f>
        <v>mèo</v>
      </c>
      <c r="E1258" s="118" t="str">
        <f>IFERROR(__xludf.DUMMYFUNCTION("""COMPUTED_VALUE"""),"moon")</f>
        <v>moon</v>
      </c>
    </row>
    <row r="1259" ht="15.75" customHeight="1">
      <c r="A1259" s="117" t="str">
        <f>IFERROR(__xludf.DUMMYFUNCTION("""COMPUTED_VALUE"""),"0932 554 285")</f>
        <v>0932 554 285</v>
      </c>
      <c r="B1259" s="118" t="str">
        <f>IFERROR(__xludf.DUMMYFUNCTION("""COMPUTED_VALUE"""),"Chị Khanh")</f>
        <v>Chị Khanh</v>
      </c>
      <c r="C1259" s="118" t="str">
        <f>IFERROR(__xludf.DUMMYFUNCTION("""COMPUTED_VALUE"""),"205/44 Bà Triệu")</f>
        <v>205/44 Bà Triệu</v>
      </c>
      <c r="D1259" s="118" t="str">
        <f>IFERROR(__xludf.DUMMYFUNCTION("""COMPUTED_VALUE"""),"chó")</f>
        <v>chó</v>
      </c>
      <c r="E1259" s="118" t="str">
        <f>IFERROR(__xludf.DUMMYFUNCTION("""COMPUTED_VALUE"""),"Gucci/Ten")</f>
        <v>Gucci/Ten</v>
      </c>
    </row>
    <row r="1260" ht="15.75" customHeight="1">
      <c r="A1260" s="117" t="str">
        <f>IFERROR(__xludf.DUMMYFUNCTION("""COMPUTED_VALUE"""),"0934 905 182")</f>
        <v>0934 905 182</v>
      </c>
      <c r="B1260" s="118" t="str">
        <f>IFERROR(__xludf.DUMMYFUNCTION("""COMPUTED_VALUE"""),"Anh Sen")</f>
        <v>Anh Sen</v>
      </c>
      <c r="C1260" s="118"/>
      <c r="D1260" s="118" t="str">
        <f>IFERROR(__xludf.DUMMYFUNCTION("""COMPUTED_VALUE"""),"chó")</f>
        <v>chó</v>
      </c>
      <c r="E1260" s="118" t="str">
        <f>IFERROR(__xludf.DUMMYFUNCTION("""COMPUTED_VALUE""")," Poodle")</f>
        <v> Poodle</v>
      </c>
    </row>
    <row r="1261" ht="15.75" customHeight="1">
      <c r="A1261" s="117" t="str">
        <f>IFERROR(__xludf.DUMMYFUNCTION("""COMPUTED_VALUE"""),"0352 653 554")</f>
        <v>0352 653 554</v>
      </c>
      <c r="B1261" s="118" t="str">
        <f>IFERROR(__xludf.DUMMYFUNCTION("""COMPUTED_VALUE"""),"Anh Khánh")</f>
        <v>Anh Khánh</v>
      </c>
      <c r="C1261" s="118" t="str">
        <f>IFERROR(__xludf.DUMMYFUNCTION("""COMPUTED_VALUE"""),"cư Chánh Thủy Bằng")</f>
        <v>cư Chánh Thủy Bằng</v>
      </c>
      <c r="D1261" s="118" t="str">
        <f>IFERROR(__xludf.DUMMYFUNCTION("""COMPUTED_VALUE"""),"chó")</f>
        <v>chó</v>
      </c>
      <c r="E1261" s="118" t="str">
        <f>IFERROR(__xludf.DUMMYFUNCTION("""COMPUTED_VALUE""")," Mèo")</f>
        <v> Mèo</v>
      </c>
    </row>
    <row r="1262" ht="15.75" customHeight="1">
      <c r="A1262" s="117" t="str">
        <f>IFERROR(__xludf.DUMMYFUNCTION("""COMPUTED_VALUE"""),"0914 302 552")</f>
        <v>0914 302 552</v>
      </c>
      <c r="B1262" s="118" t="str">
        <f>IFERROR(__xludf.DUMMYFUNCTION("""COMPUTED_VALUE"""),"Chị My")</f>
        <v>Chị My</v>
      </c>
      <c r="C1262" s="118" t="str">
        <f>IFERROR(__xludf.DUMMYFUNCTION("""COMPUTED_VALUE"""),"29/66 Xuân Diệu")</f>
        <v>29/66 Xuân Diệu</v>
      </c>
      <c r="D1262" s="118" t="str">
        <f>IFERROR(__xludf.DUMMYFUNCTION("""COMPUTED_VALUE"""),"chó")</f>
        <v>chó</v>
      </c>
      <c r="E1262" s="118" t="str">
        <f>IFERROR(__xludf.DUMMYFUNCTION("""COMPUTED_VALUE"""),"Gấu")</f>
        <v>Gấu</v>
      </c>
    </row>
    <row r="1263" ht="15.75" customHeight="1">
      <c r="A1263" s="117" t="str">
        <f>IFERROR(__xludf.DUMMYFUNCTION("""COMPUTED_VALUE"""),"0799 652 569")</f>
        <v>0799 652 569</v>
      </c>
      <c r="B1263" s="118" t="str">
        <f>IFERROR(__xludf.DUMMYFUNCTION("""COMPUTED_VALUE"""),"Chú An")</f>
        <v>Chú An</v>
      </c>
      <c r="C1263" s="118" t="str">
        <f>IFERROR(__xludf.DUMMYFUNCTION("""COMPUTED_VALUE"""),"21k39 Trần Phú")</f>
        <v>21k39 Trần Phú</v>
      </c>
      <c r="D1263" s="118" t="str">
        <f>IFERROR(__xludf.DUMMYFUNCTION("""COMPUTED_VALUE"""),"Chó")</f>
        <v>Chó</v>
      </c>
      <c r="E1263" s="118" t="str">
        <f>IFERROR(__xludf.DUMMYFUNCTION("""COMPUTED_VALUE"""),"Bống")</f>
        <v>Bống</v>
      </c>
    </row>
    <row r="1264" ht="15.75" customHeight="1">
      <c r="A1264" s="117" t="str">
        <f>IFERROR(__xludf.DUMMYFUNCTION("""COMPUTED_VALUE"""),"0938 662 552")</f>
        <v>0938 662 552</v>
      </c>
      <c r="B1264" s="118" t="str">
        <f>IFERROR(__xludf.DUMMYFUNCTION("""COMPUTED_VALUE"""),"Vinc")</f>
        <v>Vinc</v>
      </c>
      <c r="C1264" s="118" t="str">
        <f>IFERROR(__xludf.DUMMYFUNCTION("""COMPUTED_VALUE"""),"k208 Phan Bội Châu")</f>
        <v>k208 Phan Bội Châu</v>
      </c>
      <c r="D1264" s="118" t="str">
        <f>IFERROR(__xludf.DUMMYFUNCTION("""COMPUTED_VALUE"""),"mèo")</f>
        <v>mèo</v>
      </c>
      <c r="E1264" s="118"/>
    </row>
    <row r="1265" ht="15.75" customHeight="1">
      <c r="A1265" s="117" t="str">
        <f>IFERROR(__xludf.DUMMYFUNCTION("""COMPUTED_VALUE"""),"0935 569 103")</f>
        <v>0935 569 103</v>
      </c>
      <c r="B1265" s="118" t="str">
        <f>IFERROR(__xludf.DUMMYFUNCTION("""COMPUTED_VALUE"""),"Lê Văn Sĩ")</f>
        <v>Lê Văn Sĩ</v>
      </c>
      <c r="C1265" s="118" t="str">
        <f>IFERROR(__xludf.DUMMYFUNCTION("""COMPUTED_VALUE"""),"Xuân An")</f>
        <v>Xuân An</v>
      </c>
      <c r="D1265" s="118" t="str">
        <f>IFERROR(__xludf.DUMMYFUNCTION("""COMPUTED_VALUE"""),"mèo")</f>
        <v>mèo</v>
      </c>
      <c r="E1265" s="118" t="str">
        <f>IFERROR(__xludf.DUMMYFUNCTION("""COMPUTED_VALUE"""),"Heo")</f>
        <v>Heo</v>
      </c>
    </row>
    <row r="1266" ht="15.75" customHeight="1">
      <c r="A1266" s="117" t="str">
        <f>IFERROR(__xludf.DUMMYFUNCTION("""COMPUTED_VALUE"""),"0827 357 901")</f>
        <v>0827 357 901</v>
      </c>
      <c r="B1266" s="118" t="str">
        <f>IFERROR(__xludf.DUMMYFUNCTION("""COMPUTED_VALUE"""),"Nguyễn Cửu Trà Giang")</f>
        <v>Nguyễn Cửu Trà Giang</v>
      </c>
      <c r="C1266" s="118" t="str">
        <f>IFERROR(__xludf.DUMMYFUNCTION("""COMPUTED_VALUE"""),"kiệt 1 Nguyễn Trọng Nhân")</f>
        <v>kiệt 1 Nguyễn Trọng Nhân</v>
      </c>
      <c r="D1266" s="118" t="str">
        <f>IFERROR(__xludf.DUMMYFUNCTION("""COMPUTED_VALUE"""),"chó ")</f>
        <v>chó </v>
      </c>
      <c r="E1266" s="118" t="str">
        <f>IFERROR(__xludf.DUMMYFUNCTION("""COMPUTED_VALUE"""),"Tony")</f>
        <v>Tony</v>
      </c>
    </row>
    <row r="1267" ht="15.75" customHeight="1">
      <c r="A1267" s="117" t="str">
        <f>IFERROR(__xludf.DUMMYFUNCTION("""COMPUTED_VALUE"""),"0899 208 286")</f>
        <v>0899 208 286</v>
      </c>
      <c r="B1267" s="118" t="str">
        <f>IFERROR(__xludf.DUMMYFUNCTION("""COMPUTED_VALUE"""),"Chị Vui")</f>
        <v>Chị Vui</v>
      </c>
      <c r="C1267" s="118" t="str">
        <f>IFERROR(__xludf.DUMMYFUNCTION("""COMPUTED_VALUE"""),"56 Nguyễn Khoa Chiêm")</f>
        <v>56 Nguyễn Khoa Chiêm</v>
      </c>
      <c r="D1267" s="118" t="str">
        <f>IFERROR(__xludf.DUMMYFUNCTION("""COMPUTED_VALUE"""),"chó")</f>
        <v>chó</v>
      </c>
      <c r="E1267" s="118"/>
    </row>
    <row r="1268" ht="15.75" customHeight="1">
      <c r="A1268" s="117" t="str">
        <f>IFERROR(__xludf.DUMMYFUNCTION("""COMPUTED_VALUE"""),"0707 385 735")</f>
        <v>0707 385 735</v>
      </c>
      <c r="B1268" s="118" t="str">
        <f>IFERROR(__xludf.DUMMYFUNCTION("""COMPUTED_VALUE"""),"Em Như")</f>
        <v>Em Như</v>
      </c>
      <c r="C1268" s="118" t="str">
        <f>IFERROR(__xludf.DUMMYFUNCTION("""COMPUTED_VALUE"""),"50/23 Phạm Thị Liên")</f>
        <v>50/23 Phạm Thị Liên</v>
      </c>
      <c r="D1268" s="118" t="str">
        <f>IFERROR(__xludf.DUMMYFUNCTION("""COMPUTED_VALUE"""),"mèo")</f>
        <v>mèo</v>
      </c>
      <c r="E1268" s="118" t="str">
        <f>IFERROR(__xludf.DUMMYFUNCTION("""COMPUTED_VALUE""")," Sữa")</f>
        <v> Sữa</v>
      </c>
    </row>
    <row r="1269" ht="15.75" customHeight="1">
      <c r="A1269" s="117" t="str">
        <f>IFERROR(__xludf.DUMMYFUNCTION("""COMPUTED_VALUE"""),"0948 090 309")</f>
        <v>0948 090 309</v>
      </c>
      <c r="B1269" s="118" t="str">
        <f>IFERROR(__xludf.DUMMYFUNCTION("""COMPUTED_VALUE"""),"Chị")</f>
        <v>Chị</v>
      </c>
      <c r="C1269" s="118" t="str">
        <f>IFERROR(__xludf.DUMMYFUNCTION("""COMPUTED_VALUE"""),"62 Tố Hữu")</f>
        <v>62 Tố Hữu</v>
      </c>
      <c r="D1269" s="118" t="str">
        <f>IFERROR(__xludf.DUMMYFUNCTION("""COMPUTED_VALUE"""),"chó")</f>
        <v>chó</v>
      </c>
      <c r="E1269" s="118" t="str">
        <f>IFERROR(__xludf.DUMMYFUNCTION("""COMPUTED_VALUE""")," Ky")</f>
        <v> Ky</v>
      </c>
    </row>
    <row r="1270" ht="15.75" customHeight="1">
      <c r="A1270" s="117" t="str">
        <f>IFERROR(__xludf.DUMMYFUNCTION("""COMPUTED_VALUE"""),"0359 835 045")</f>
        <v>0359 835 045</v>
      </c>
      <c r="B1270" s="118" t="str">
        <f>IFERROR(__xludf.DUMMYFUNCTION("""COMPUTED_VALUE"""),"Em Giang")</f>
        <v>Em Giang</v>
      </c>
      <c r="C1270" s="118" t="str">
        <f>IFERROR(__xludf.DUMMYFUNCTION("""COMPUTED_VALUE"""),"56 Bạch Đằng")</f>
        <v>56 Bạch Đằng</v>
      </c>
      <c r="D1270" s="118" t="str">
        <f>IFERROR(__xludf.DUMMYFUNCTION("""COMPUTED_VALUE"""),"chó")</f>
        <v>chó</v>
      </c>
      <c r="E1270" s="118" t="str">
        <f>IFERROR(__xludf.DUMMYFUNCTION("""COMPUTED_VALUE""")," SuMo")</f>
        <v> SuMo</v>
      </c>
    </row>
    <row r="1271" ht="15.75" customHeight="1">
      <c r="A1271" s="117" t="str">
        <f>IFERROR(__xludf.DUMMYFUNCTION("""COMPUTED_VALUE"""),"0348 131 263")</f>
        <v>0348 131 263</v>
      </c>
      <c r="B1271" s="118" t="str">
        <f>IFERROR(__xludf.DUMMYFUNCTION("""COMPUTED_VALUE"""),"Dì Phương")</f>
        <v>Dì Phương</v>
      </c>
      <c r="C1271" s="118" t="str">
        <f>IFERROR(__xludf.DUMMYFUNCTION("""COMPUTED_VALUE"""),"7 Phạm Thị Liên")</f>
        <v>7 Phạm Thị Liên</v>
      </c>
      <c r="D1271" s="118" t="str">
        <f>IFERROR(__xludf.DUMMYFUNCTION("""COMPUTED_VALUE"""),"chó")</f>
        <v>chó</v>
      </c>
      <c r="E1271" s="118" t="str">
        <f>IFERROR(__xludf.DUMMYFUNCTION("""COMPUTED_VALUE""")," Vàng")</f>
        <v> Vàng</v>
      </c>
    </row>
    <row r="1272" ht="15.75" customHeight="1">
      <c r="A1272" s="117" t="str">
        <f>IFERROR(__xludf.DUMMYFUNCTION("""COMPUTED_VALUE"""),"0368 193 818")</f>
        <v>0368 193 818</v>
      </c>
      <c r="B1272" s="118" t="str">
        <f>IFERROR(__xludf.DUMMYFUNCTION("""COMPUTED_VALUE"""),"Anh Duy")</f>
        <v>Anh Duy</v>
      </c>
      <c r="C1272" s="118" t="str">
        <f>IFERROR(__xludf.DUMMYFUNCTION("""COMPUTED_VALUE"""),"56 Lịch Đợi")</f>
        <v>56 Lịch Đợi</v>
      </c>
      <c r="D1272" s="118" t="str">
        <f>IFERROR(__xludf.DUMMYFUNCTION("""COMPUTED_VALUE"""),"mèo")</f>
        <v>mèo</v>
      </c>
      <c r="E1272" s="118" t="str">
        <f>IFERROR(__xludf.DUMMYFUNCTION("""COMPUTED_VALUE""")," ")</f>
        <v> </v>
      </c>
    </row>
    <row r="1273" ht="15.75" customHeight="1">
      <c r="A1273" s="117" t="str">
        <f>IFERROR(__xludf.DUMMYFUNCTION("""COMPUTED_VALUE"""),"0868 626 718")</f>
        <v>0868 626 718</v>
      </c>
      <c r="B1273" s="118" t="str">
        <f>IFERROR(__xludf.DUMMYFUNCTION("""COMPUTED_VALUE"""),"Chị Nơ")</f>
        <v>Chị Nơ</v>
      </c>
      <c r="C1273" s="118" t="str">
        <f>IFERROR(__xludf.DUMMYFUNCTION("""COMPUTED_VALUE"""),"70 Vạn Xuân")</f>
        <v>70 Vạn Xuân</v>
      </c>
      <c r="D1273" s="118" t="str">
        <f>IFERROR(__xludf.DUMMYFUNCTION("""COMPUTED_VALUE"""),"chó")</f>
        <v>chó</v>
      </c>
      <c r="E1273" s="118" t="str">
        <f>IFERROR(__xludf.DUMMYFUNCTION("""COMPUTED_VALUE""")," Đậu")</f>
        <v> Đậu</v>
      </c>
    </row>
    <row r="1274" ht="15.75" customHeight="1">
      <c r="A1274" s="117" t="str">
        <f>IFERROR(__xludf.DUMMYFUNCTION("""COMPUTED_VALUE"""),"0899 330 217")</f>
        <v>0899 330 217</v>
      </c>
      <c r="B1274" s="118" t="str">
        <f>IFERROR(__xludf.DUMMYFUNCTION("""COMPUTED_VALUE"""),"Chị Ngọc")</f>
        <v>Chị Ngọc</v>
      </c>
      <c r="C1274" s="118" t="str">
        <f>IFERROR(__xludf.DUMMYFUNCTION("""COMPUTED_VALUE"""),"78/109 Minh Mạng")</f>
        <v>78/109 Minh Mạng</v>
      </c>
      <c r="D1274" s="118" t="str">
        <f>IFERROR(__xludf.DUMMYFUNCTION("""COMPUTED_VALUE"""),"mèo")</f>
        <v>mèo</v>
      </c>
      <c r="E1274" s="118" t="str">
        <f>IFERROR(__xludf.DUMMYFUNCTION("""COMPUTED_VALUE"""),"Merry")</f>
        <v>Merry</v>
      </c>
    </row>
    <row r="1275" ht="15.75" customHeight="1">
      <c r="A1275" s="117" t="str">
        <f>IFERROR(__xludf.DUMMYFUNCTION("""COMPUTED_VALUE"""),"0913 490 114")</f>
        <v>0913 490 114</v>
      </c>
      <c r="B1275" s="118" t="str">
        <f>IFERROR(__xludf.DUMMYFUNCTION("""COMPUTED_VALUE"""),"Chú Hữu Thành")</f>
        <v>Chú Hữu Thành</v>
      </c>
      <c r="C1275" s="118" t="str">
        <f>IFERROR(__xludf.DUMMYFUNCTION("""COMPUTED_VALUE"""),"113 Duy Tân")</f>
        <v>113 Duy Tân</v>
      </c>
      <c r="D1275" s="118" t="str">
        <f>IFERROR(__xludf.DUMMYFUNCTION("""COMPUTED_VALUE"""),"chó")</f>
        <v>chó</v>
      </c>
      <c r="E1275" s="118" t="str">
        <f>IFERROR(__xludf.DUMMYFUNCTION("""COMPUTED_VALUE"""),"Sinner")</f>
        <v>Sinner</v>
      </c>
    </row>
    <row r="1276" ht="15.75" customHeight="1">
      <c r="A1276" s="117" t="str">
        <f>IFERROR(__xludf.DUMMYFUNCTION("""COMPUTED_VALUE"""),"0703 497 528")</f>
        <v>0703 497 528</v>
      </c>
      <c r="B1276" s="118" t="str">
        <f>IFERROR(__xludf.DUMMYFUNCTION("""COMPUTED_VALUE"""),"Dì Hạnh")</f>
        <v>Dì Hạnh</v>
      </c>
      <c r="C1276" s="118" t="str">
        <f>IFERROR(__xludf.DUMMYFUNCTION("""COMPUTED_VALUE"""),"An Long")</f>
        <v>An Long</v>
      </c>
      <c r="D1276" s="118" t="str">
        <f>IFERROR(__xludf.DUMMYFUNCTION("""COMPUTED_VALUE"""),"Chó")</f>
        <v>Chó</v>
      </c>
      <c r="E1276" s="118" t="str">
        <f>IFERROR(__xludf.DUMMYFUNCTION("""COMPUTED_VALUE"""),"Đen")</f>
        <v>Đen</v>
      </c>
    </row>
    <row r="1277" ht="15.75" customHeight="1">
      <c r="A1277" s="117" t="str">
        <f>IFERROR(__xludf.DUMMYFUNCTION("""COMPUTED_VALUE"""),"0774 511 034")</f>
        <v>0774 511 034</v>
      </c>
      <c r="B1277" s="118" t="str">
        <f>IFERROR(__xludf.DUMMYFUNCTION("""COMPUTED_VALUE"""),"Dì Hiền")</f>
        <v>Dì Hiền</v>
      </c>
      <c r="C1277" s="118" t="str">
        <f>IFERROR(__xludf.DUMMYFUNCTION("""COMPUTED_VALUE"""),"2/63/48 Phạm Thị Liên")</f>
        <v>2/63/48 Phạm Thị Liên</v>
      </c>
      <c r="D1277" s="118" t="str">
        <f>IFERROR(__xludf.DUMMYFUNCTION("""COMPUTED_VALUE"""),"Mèo")</f>
        <v>Mèo</v>
      </c>
      <c r="E1277" s="118"/>
    </row>
    <row r="1278" ht="15.75" customHeight="1">
      <c r="A1278" s="117" t="str">
        <f>IFERROR(__xludf.DUMMYFUNCTION("""COMPUTED_VALUE"""),"0932 527 035")</f>
        <v>0932 527 035</v>
      </c>
      <c r="B1278" s="118" t="str">
        <f>IFERROR(__xludf.DUMMYFUNCTION("""COMPUTED_VALUE"""),"Trần Thị Thúy Loan")</f>
        <v>Trần Thị Thúy Loan</v>
      </c>
      <c r="C1278" s="118" t="str">
        <f>IFERROR(__xludf.DUMMYFUNCTION("""COMPUTED_VALUE"""),"104/21 Kim Long")</f>
        <v>104/21 Kim Long</v>
      </c>
      <c r="D1278" s="118" t="str">
        <f>IFERROR(__xludf.DUMMYFUNCTION("""COMPUTED_VALUE"""),"chó")</f>
        <v>chó</v>
      </c>
      <c r="E1278" s="118" t="str">
        <f>IFERROR(__xludf.DUMMYFUNCTION("""COMPUTED_VALUE"""),"Nâu")</f>
        <v>Nâu</v>
      </c>
    </row>
    <row r="1279" ht="15.75" customHeight="1">
      <c r="A1279" s="117">
        <f>IFERROR(__xludf.DUMMYFUNCTION("""COMPUTED_VALUE"""),9.68382514E8)</f>
        <v>968382514</v>
      </c>
      <c r="B1279" s="118" t="str">
        <f>IFERROR(__xludf.DUMMYFUNCTION("""COMPUTED_VALUE"""),"Chị Nhi")</f>
        <v>Chị Nhi</v>
      </c>
      <c r="C1279" s="118" t="str">
        <f>IFERROR(__xludf.DUMMYFUNCTION("""COMPUTED_VALUE"""),"23 Mai Khắc Đôn")</f>
        <v>23 Mai Khắc Đôn</v>
      </c>
      <c r="D1279" s="118" t="str">
        <f>IFERROR(__xludf.DUMMYFUNCTION("""COMPUTED_VALUE"""),"chó")</f>
        <v>chó</v>
      </c>
      <c r="E1279" s="118" t="str">
        <f>IFERROR(__xludf.DUMMYFUNCTION("""COMPUTED_VALUE"""),"Nâu")</f>
        <v>Nâu</v>
      </c>
    </row>
    <row r="1280" ht="15.75" customHeight="1">
      <c r="A1280" s="117" t="str">
        <f>IFERROR(__xludf.DUMMYFUNCTION("""COMPUTED_VALUE"""),"0338 114 805")</f>
        <v>0338 114 805</v>
      </c>
      <c r="B1280" s="118" t="str">
        <f>IFERROR(__xludf.DUMMYFUNCTION("""COMPUTED_VALUE"""),"châu Văn Huy")</f>
        <v>châu Văn Huy</v>
      </c>
      <c r="C1280" s="118" t="str">
        <f>IFERROR(__xludf.DUMMYFUNCTION("""COMPUTED_VALUE"""),"40 Nguyên Hồng")</f>
        <v>40 Nguyên Hồng</v>
      </c>
      <c r="D1280" s="118" t="str">
        <f>IFERROR(__xludf.DUMMYFUNCTION("""COMPUTED_VALUE"""),"chó")</f>
        <v>chó</v>
      </c>
      <c r="E1280" s="118" t="str">
        <f>IFERROR(__xludf.DUMMYFUNCTION("""COMPUTED_VALUE""")," Milu")</f>
        <v> Milu</v>
      </c>
    </row>
    <row r="1281" ht="15.75" customHeight="1">
      <c r="A1281" s="117" t="str">
        <f>IFERROR(__xludf.DUMMYFUNCTION("""COMPUTED_VALUE"""),"0342 307 002")</f>
        <v>0342 307 002</v>
      </c>
      <c r="B1281" s="118" t="str">
        <f>IFERROR(__xludf.DUMMYFUNCTION("""COMPUTED_VALUE"""),"Anh Hưng")</f>
        <v>Anh Hưng</v>
      </c>
      <c r="C1281" s="118" t="str">
        <f>IFERROR(__xludf.DUMMYFUNCTION("""COMPUTED_VALUE"""),"34 Trần Phú")</f>
        <v>34 Trần Phú</v>
      </c>
      <c r="D1281" s="118" t="str">
        <f>IFERROR(__xludf.DUMMYFUNCTION("""COMPUTED_VALUE"""),"chó")</f>
        <v>chó</v>
      </c>
      <c r="E1281" s="118" t="str">
        <f>IFERROR(__xludf.DUMMYFUNCTION("""COMPUTED_VALUE"""),"Ri")</f>
        <v>Ri</v>
      </c>
    </row>
    <row r="1282" ht="15.75" customHeight="1">
      <c r="A1282" s="117" t="str">
        <f>IFERROR(__xludf.DUMMYFUNCTION("""COMPUTED_VALUE"""),"0886 344 887")</f>
        <v>0886 344 887</v>
      </c>
      <c r="B1282" s="118" t="str">
        <f>IFERROR(__xludf.DUMMYFUNCTION("""COMPUTED_VALUE"""),"Anh Tuân")</f>
        <v>Anh Tuân</v>
      </c>
      <c r="C1282" s="118" t="str">
        <f>IFERROR(__xludf.DUMMYFUNCTION("""COMPUTED_VALUE"""),"Phong Điền")</f>
        <v>Phong Điền</v>
      </c>
      <c r="D1282" s="118" t="str">
        <f>IFERROR(__xludf.DUMMYFUNCTION("""COMPUTED_VALUE"""),"chó")</f>
        <v>chó</v>
      </c>
      <c r="E1282" s="118"/>
    </row>
    <row r="1283" ht="15.75" customHeight="1">
      <c r="A1283" s="117" t="str">
        <f>IFERROR(__xludf.DUMMYFUNCTION("""COMPUTED_VALUE"""),"0773 203 552")</f>
        <v>0773 203 552</v>
      </c>
      <c r="B1283" s="118" t="str">
        <f>IFERROR(__xludf.DUMMYFUNCTION("""COMPUTED_VALUE"""),"chị My")</f>
        <v>chị My</v>
      </c>
      <c r="C1283" s="118" t="str">
        <f>IFERROR(__xludf.DUMMYFUNCTION("""COMPUTED_VALUE"""),"91/1/10 Hàm Mạc Tử")</f>
        <v>91/1/10 Hàm Mạc Tử</v>
      </c>
      <c r="D1283" s="118" t="str">
        <f>IFERROR(__xludf.DUMMYFUNCTION("""COMPUTED_VALUE"""),"Chó")</f>
        <v>Chó</v>
      </c>
      <c r="E1283" s="118" t="str">
        <f>IFERROR(__xludf.DUMMYFUNCTION("""COMPUTED_VALUE"""),"Sam")</f>
        <v>Sam</v>
      </c>
    </row>
    <row r="1284" ht="15.75" customHeight="1">
      <c r="A1284" s="117" t="str">
        <f>IFERROR(__xludf.DUMMYFUNCTION("""COMPUTED_VALUE"""),"0941 384 444")</f>
        <v>0941 384 444</v>
      </c>
      <c r="B1284" s="118" t="str">
        <f>IFERROR(__xludf.DUMMYFUNCTION("""COMPUTED_VALUE"""),"Chị Huệ")</f>
        <v>Chị Huệ</v>
      </c>
      <c r="C1284" s="118" t="str">
        <f>IFERROR(__xludf.DUMMYFUNCTION("""COMPUTED_VALUE"""),"Văn Cao")</f>
        <v>Văn Cao</v>
      </c>
      <c r="D1284" s="118" t="str">
        <f>IFERROR(__xludf.DUMMYFUNCTION("""COMPUTED_VALUE"""),"chó")</f>
        <v>chó</v>
      </c>
      <c r="E1284" s="118" t="str">
        <f>IFERROR(__xludf.DUMMYFUNCTION("""COMPUTED_VALUE""")," Bom")</f>
        <v> Bom</v>
      </c>
    </row>
    <row r="1285" ht="15.75" customHeight="1">
      <c r="A1285" s="117" t="str">
        <f>IFERROR(__xludf.DUMMYFUNCTION("""COMPUTED_VALUE"""),"0934 933 238")</f>
        <v>0934 933 238</v>
      </c>
      <c r="B1285" s="118" t="str">
        <f>IFERROR(__xludf.DUMMYFUNCTION("""COMPUTED_VALUE"""),"Chị Trinh")</f>
        <v>Chị Trinh</v>
      </c>
      <c r="C1285" s="118" t="str">
        <f>IFERROR(__xludf.DUMMYFUNCTION("""COMPUTED_VALUE"""),"Thủy Xuân")</f>
        <v>Thủy Xuân</v>
      </c>
      <c r="D1285" s="118" t="str">
        <f>IFERROR(__xludf.DUMMYFUNCTION("""COMPUTED_VALUE"""),"Chó")</f>
        <v>Chó</v>
      </c>
      <c r="E1285" s="118" t="str">
        <f>IFERROR(__xludf.DUMMYFUNCTION("""COMPUTED_VALUE""")," Milu")</f>
        <v> Milu</v>
      </c>
    </row>
    <row r="1286" ht="15.75" customHeight="1">
      <c r="A1286" s="117" t="str">
        <f>IFERROR(__xludf.DUMMYFUNCTION("""COMPUTED_VALUE"""),"0772 424 840")</f>
        <v>0772 424 840</v>
      </c>
      <c r="B1286" s="118" t="str">
        <f>IFERROR(__xludf.DUMMYFUNCTION("""COMPUTED_VALUE"""),"Anh Quý")</f>
        <v>Anh Quý</v>
      </c>
      <c r="C1286" s="118" t="str">
        <f>IFERROR(__xludf.DUMMYFUNCTION("""COMPUTED_VALUE"""),"89 Lưu Bảo")</f>
        <v>89 Lưu Bảo</v>
      </c>
      <c r="D1286" s="118" t="str">
        <f>IFERROR(__xludf.DUMMYFUNCTION("""COMPUTED_VALUE"""),"mèo")</f>
        <v>mèo</v>
      </c>
      <c r="E1286" s="118" t="str">
        <f>IFERROR(__xludf.DUMMYFUNCTION("""COMPUTED_VALUE"""),"mềm")</f>
        <v>mềm</v>
      </c>
    </row>
    <row r="1287" ht="15.75" customHeight="1">
      <c r="A1287" s="117" t="str">
        <f>IFERROR(__xludf.DUMMYFUNCTION("""COMPUTED_VALUE"""),"0865 551 154")</f>
        <v>0865 551 154</v>
      </c>
      <c r="B1287" s="118" t="str">
        <f>IFERROR(__xludf.DUMMYFUNCTION("""COMPUTED_VALUE"""),"Anh Khánh")</f>
        <v>Anh Khánh</v>
      </c>
      <c r="C1287" s="118" t="str">
        <f>IFERROR(__xludf.DUMMYFUNCTION("""COMPUTED_VALUE"""),"55 Thân Văn Nhiếp")</f>
        <v>55 Thân Văn Nhiếp</v>
      </c>
      <c r="D1287" s="118" t="str">
        <f>IFERROR(__xludf.DUMMYFUNCTION("""COMPUTED_VALUE"""),"Chó")</f>
        <v>Chó</v>
      </c>
      <c r="E1287" s="118" t="str">
        <f>IFERROR(__xludf.DUMMYFUNCTION("""COMPUTED_VALUE"""),"Bông")</f>
        <v>Bông</v>
      </c>
    </row>
    <row r="1288" ht="15.75" customHeight="1">
      <c r="A1288" s="117" t="str">
        <f>IFERROR(__xludf.DUMMYFUNCTION("""COMPUTED_VALUE"""),"0365 920 924")</f>
        <v>0365 920 924</v>
      </c>
      <c r="B1288" s="118" t="str">
        <f>IFERROR(__xludf.DUMMYFUNCTION("""COMPUTED_VALUE"""),"Chú Sanh")</f>
        <v>Chú Sanh</v>
      </c>
      <c r="C1288" s="118" t="str">
        <f>IFERROR(__xludf.DUMMYFUNCTION("""COMPUTED_VALUE"""),"tổ dân phố An Hòa")</f>
        <v>tổ dân phố An Hòa</v>
      </c>
      <c r="D1288" s="118" t="str">
        <f>IFERROR(__xludf.DUMMYFUNCTION("""COMPUTED_VALUE"""),"chó")</f>
        <v>chó</v>
      </c>
      <c r="E1288" s="118" t="str">
        <f>IFERROR(__xludf.DUMMYFUNCTION("""COMPUTED_VALUE"""),"Cún")</f>
        <v>Cún</v>
      </c>
    </row>
    <row r="1289" ht="15.75" customHeight="1">
      <c r="A1289" s="117" t="str">
        <f>IFERROR(__xludf.DUMMYFUNCTION("""COMPUTED_VALUE"""),"0935 407 681")</f>
        <v>0935 407 681</v>
      </c>
      <c r="B1289" s="118" t="str">
        <f>IFERROR(__xludf.DUMMYFUNCTION("""COMPUTED_VALUE"""),"Chị Bảo Châu")</f>
        <v>Chị Bảo Châu</v>
      </c>
      <c r="C1289" s="118" t="str">
        <f>IFERROR(__xludf.DUMMYFUNCTION("""COMPUTED_VALUE"""),"117 Lê Duẩn")</f>
        <v>117 Lê Duẩn</v>
      </c>
      <c r="D1289" s="118" t="str">
        <f>IFERROR(__xludf.DUMMYFUNCTION("""COMPUTED_VALUE"""),"chó")</f>
        <v>chó</v>
      </c>
      <c r="E1289" s="118" t="str">
        <f>IFERROR(__xludf.DUMMYFUNCTION("""COMPUTED_VALUE"""),"Ruby")</f>
        <v>Ruby</v>
      </c>
    </row>
    <row r="1290" ht="15.75" customHeight="1">
      <c r="A1290" s="117" t="str">
        <f>IFERROR(__xludf.DUMMYFUNCTION("""COMPUTED_VALUE"""),"0935 291 258")</f>
        <v>0935 291 258</v>
      </c>
      <c r="B1290" s="118" t="str">
        <f>IFERROR(__xludf.DUMMYFUNCTION("""COMPUTED_VALUE"""),"Dieter Buchner")</f>
        <v>Dieter Buchner</v>
      </c>
      <c r="C1290" s="118" t="str">
        <f>IFERROR(__xludf.DUMMYFUNCTION("""COMPUTED_VALUE"""),"1 A Kiệt 170 Lý Nam Đế")</f>
        <v>1 A Kiệt 170 Lý Nam Đế</v>
      </c>
      <c r="D1290" s="118" t="str">
        <f>IFERROR(__xludf.DUMMYFUNCTION("""COMPUTED_VALUE"""),"chó")</f>
        <v>chó</v>
      </c>
      <c r="E1290" s="118" t="str">
        <f>IFERROR(__xludf.DUMMYFUNCTION("""COMPUTED_VALUE""")," Mập- chuột")</f>
        <v> Mập- chuột</v>
      </c>
    </row>
    <row r="1291" ht="15.75" customHeight="1">
      <c r="A1291" s="117" t="str">
        <f>IFERROR(__xludf.DUMMYFUNCTION("""COMPUTED_VALUE"""),"0819 306 406")</f>
        <v>0819 306 406</v>
      </c>
      <c r="B1291" s="118" t="str">
        <f>IFERROR(__xludf.DUMMYFUNCTION("""COMPUTED_VALUE"""),"Em Kim Anh")</f>
        <v>Em Kim Anh</v>
      </c>
      <c r="C1291" s="118" t="str">
        <f>IFERROR(__xludf.DUMMYFUNCTION("""COMPUTED_VALUE"""),"77 Phạm Thị Liên")</f>
        <v>77 Phạm Thị Liên</v>
      </c>
      <c r="D1291" s="118" t="str">
        <f>IFERROR(__xludf.DUMMYFUNCTION("""COMPUTED_VALUE"""),"chó")</f>
        <v>chó</v>
      </c>
      <c r="E1291" s="118" t="str">
        <f>IFERROR(__xludf.DUMMYFUNCTION("""COMPUTED_VALUE""")," Micky")</f>
        <v> Micky</v>
      </c>
    </row>
    <row r="1292" ht="15.75" customHeight="1">
      <c r="A1292" s="117" t="str">
        <f>IFERROR(__xludf.DUMMYFUNCTION("""COMPUTED_VALUE"""),"0968 050 455")</f>
        <v>0968 050 455</v>
      </c>
      <c r="B1292" s="118" t="str">
        <f>IFERROR(__xludf.DUMMYFUNCTION("""COMPUTED_VALUE"""),"Bác Mai Ngọc Truyền")</f>
        <v>Bác Mai Ngọc Truyền</v>
      </c>
      <c r="C1292" s="118" t="str">
        <f>IFERROR(__xludf.DUMMYFUNCTION("""COMPUTED_VALUE""")," 24 Kim Long")</f>
        <v> 24 Kim Long</v>
      </c>
      <c r="D1292" s="118" t="str">
        <f>IFERROR(__xludf.DUMMYFUNCTION("""COMPUTED_VALUE"""),"nèo")</f>
        <v>nèo</v>
      </c>
      <c r="E1292" s="118"/>
    </row>
    <row r="1293" ht="15.75" customHeight="1">
      <c r="A1293" s="117" t="str">
        <f>IFERROR(__xludf.DUMMYFUNCTION("""COMPUTED_VALUE"""),"0934 904 728")</f>
        <v>0934 904 728</v>
      </c>
      <c r="B1293" s="118" t="str">
        <f>IFERROR(__xludf.DUMMYFUNCTION("""COMPUTED_VALUE"""),"Em Thư")</f>
        <v>Em Thư</v>
      </c>
      <c r="C1293" s="118" t="str">
        <f>IFERROR(__xludf.DUMMYFUNCTION("""COMPUTED_VALUE"""),"10/28 Lê Quyền")</f>
        <v>10/28 Lê Quyền</v>
      </c>
      <c r="D1293" s="118" t="str">
        <f>IFERROR(__xludf.DUMMYFUNCTION("""COMPUTED_VALUE"""),"chó")</f>
        <v>chó</v>
      </c>
      <c r="E1293" s="118" t="str">
        <f>IFERROR(__xludf.DUMMYFUNCTION("""COMPUTED_VALUE""")," Thỏ")</f>
        <v> Thỏ</v>
      </c>
    </row>
    <row r="1294" ht="15.75" customHeight="1">
      <c r="A1294" s="117" t="str">
        <f>IFERROR(__xludf.DUMMYFUNCTION("""COMPUTED_VALUE"""),"0947 591 155")</f>
        <v>0947 591 155</v>
      </c>
      <c r="B1294" s="118" t="str">
        <f>IFERROR(__xludf.DUMMYFUNCTION("""COMPUTED_VALUE"""),"Chú Quang")</f>
        <v>Chú Quang</v>
      </c>
      <c r="C1294" s="118" t="str">
        <f>IFERROR(__xludf.DUMMYFUNCTION("""COMPUTED_VALUE"""),"18/69 Phạm Thị Liên")</f>
        <v>18/69 Phạm Thị Liên</v>
      </c>
      <c r="D1294" s="118" t="str">
        <f>IFERROR(__xludf.DUMMYFUNCTION("""COMPUTED_VALUE"""),"chó")</f>
        <v>chó</v>
      </c>
      <c r="E1294" s="118" t="str">
        <f>IFERROR(__xludf.DUMMYFUNCTION("""COMPUTED_VALUE""")," Mun")</f>
        <v> Mun</v>
      </c>
    </row>
    <row r="1295" ht="15.75" customHeight="1">
      <c r="A1295" s="117" t="str">
        <f>IFERROR(__xludf.DUMMYFUNCTION("""COMPUTED_VALUE"""),"0773 474 671")</f>
        <v>0773 474 671</v>
      </c>
      <c r="B1295" s="118" t="str">
        <f>IFERROR(__xludf.DUMMYFUNCTION("""COMPUTED_VALUE"""),"Nguyễn Văn Lưu")</f>
        <v>Nguyễn Văn Lưu</v>
      </c>
      <c r="C1295" s="118" t="str">
        <f>IFERROR(__xludf.DUMMYFUNCTION("""COMPUTED_VALUE"""),"240/44 Lý Nam Đế")</f>
        <v>240/44 Lý Nam Đế</v>
      </c>
      <c r="D1295" s="118" t="str">
        <f>IFERROR(__xludf.DUMMYFUNCTION("""COMPUTED_VALUE"""),"chó")</f>
        <v>chó</v>
      </c>
      <c r="E1295" s="118" t="str">
        <f>IFERROR(__xludf.DUMMYFUNCTION("""COMPUTED_VALUE""")," Ki")</f>
        <v> Ki</v>
      </c>
    </row>
    <row r="1296" ht="15.75" customHeight="1">
      <c r="A1296" s="117" t="str">
        <f>IFERROR(__xludf.DUMMYFUNCTION("""COMPUTED_VALUE"""),"0985 767 034")</f>
        <v>0985 767 034</v>
      </c>
      <c r="B1296" s="118" t="str">
        <f>IFERROR(__xludf.DUMMYFUNCTION("""COMPUTED_VALUE"""),"Anh Quốc")</f>
        <v>Anh Quốc</v>
      </c>
      <c r="C1296" s="118" t="str">
        <f>IFERROR(__xludf.DUMMYFUNCTION("""COMPUTED_VALUE"""),"116 Kim Long")</f>
        <v>116 Kim Long</v>
      </c>
      <c r="D1296" s="118" t="str">
        <f>IFERROR(__xludf.DUMMYFUNCTION("""COMPUTED_VALUE"""),"chó")</f>
        <v>chó</v>
      </c>
      <c r="E1296" s="118" t="str">
        <f>IFERROR(__xludf.DUMMYFUNCTION("""COMPUTED_VALUE""")," pug")</f>
        <v> pug</v>
      </c>
    </row>
    <row r="1297" ht="15.75" customHeight="1">
      <c r="A1297" s="117" t="str">
        <f>IFERROR(__xludf.DUMMYFUNCTION("""COMPUTED_VALUE"""),"0906 554 602")</f>
        <v>0906 554 602</v>
      </c>
      <c r="B1297" s="118" t="str">
        <f>IFERROR(__xludf.DUMMYFUNCTION("""COMPUTED_VALUE"""),"Anh Hoàng")</f>
        <v>Anh Hoàng</v>
      </c>
      <c r="C1297" s="118" t="str">
        <f>IFERROR(__xludf.DUMMYFUNCTION("""COMPUTED_VALUE""")," 78 Mai Khắc Đôn")</f>
        <v> 78 Mai Khắc Đôn</v>
      </c>
      <c r="D1297" s="118" t="str">
        <f>IFERROR(__xludf.DUMMYFUNCTION("""COMPUTED_VALUE"""),"chó")</f>
        <v>chó</v>
      </c>
      <c r="E1297" s="118" t="str">
        <f>IFERROR(__xludf.DUMMYFUNCTION("""COMPUTED_VALUE""")," Bốp")</f>
        <v> Bốp</v>
      </c>
    </row>
    <row r="1298" ht="15.75" customHeight="1">
      <c r="A1298" s="117" t="str">
        <f>IFERROR(__xludf.DUMMYFUNCTION("""COMPUTED_VALUE"""),"0969 049 321")</f>
        <v>0969 049 321</v>
      </c>
      <c r="B1298" s="118" t="str">
        <f>IFERROR(__xludf.DUMMYFUNCTION("""COMPUTED_VALUE"""),"Chị Chi")</f>
        <v>Chị Chi</v>
      </c>
      <c r="C1298" s="118" t="str">
        <f>IFERROR(__xludf.DUMMYFUNCTION("""COMPUTED_VALUE"""),"36 Phạm Thị Liên")</f>
        <v>36 Phạm Thị Liên</v>
      </c>
      <c r="D1298" s="118" t="str">
        <f>IFERROR(__xludf.DUMMYFUNCTION("""COMPUTED_VALUE"""),"mèo")</f>
        <v>mèo</v>
      </c>
      <c r="E1298" s="118" t="str">
        <f>IFERROR(__xludf.DUMMYFUNCTION("""COMPUTED_VALUE"""),"Mây")</f>
        <v>Mây</v>
      </c>
    </row>
    <row r="1299" ht="15.75" customHeight="1">
      <c r="A1299" s="117" t="str">
        <f>IFERROR(__xludf.DUMMYFUNCTION("""COMPUTED_VALUE"""),"0384 650 164")</f>
        <v>0384 650 164</v>
      </c>
      <c r="B1299" s="118" t="str">
        <f>IFERROR(__xludf.DUMMYFUNCTION("""COMPUTED_VALUE"""),"Chị Hằng")</f>
        <v>Chị Hằng</v>
      </c>
      <c r="C1299" s="118" t="str">
        <f>IFERROR(__xludf.DUMMYFUNCTION("""COMPUTED_VALUE"""),"5/1  Trần Nguyên Đán")</f>
        <v>5/1  Trần Nguyên Đán</v>
      </c>
      <c r="D1299" s="118" t="str">
        <f>IFERROR(__xludf.DUMMYFUNCTION("""COMPUTED_VALUE"""),"mèo")</f>
        <v>mèo</v>
      </c>
      <c r="E1299" s="118" t="str">
        <f>IFERROR(__xludf.DUMMYFUNCTION("""COMPUTED_VALUE""")," Bơ")</f>
        <v> Bơ</v>
      </c>
    </row>
    <row r="1300" ht="15.75" customHeight="1">
      <c r="A1300" s="128" t="str">
        <f>IFERROR(__xludf.DUMMYFUNCTION("""COMPUTED_VALUE"""),"0702 490 305")</f>
        <v>0702 490 305</v>
      </c>
      <c r="B1300" s="127" t="str">
        <f>IFERROR(__xludf.DUMMYFUNCTION("""COMPUTED_VALUE"""),"Chị Tuyền")</f>
        <v>Chị Tuyền</v>
      </c>
      <c r="C1300" s="127" t="str">
        <f>IFERROR(__xludf.DUMMYFUNCTION("""COMPUTED_VALUE"""),"6 đinh Tiên Hoàng")</f>
        <v>6 đinh Tiên Hoàng</v>
      </c>
      <c r="D1300" s="127" t="str">
        <f>IFERROR(__xludf.DUMMYFUNCTION("""COMPUTED_VALUE"""),"chó ")</f>
        <v>chó </v>
      </c>
      <c r="E1300" s="127" t="str">
        <f>IFERROR(__xludf.DUMMYFUNCTION("""COMPUTED_VALUE"""),"Thóc")</f>
        <v>Thóc</v>
      </c>
    </row>
    <row r="1301" ht="15.75" customHeight="1">
      <c r="A1301" s="128" t="str">
        <f>IFERROR(__xludf.DUMMYFUNCTION("""COMPUTED_VALUE"""),"0935 000 551")</f>
        <v>0935 000 551</v>
      </c>
      <c r="B1301" s="127" t="str">
        <f>IFERROR(__xludf.DUMMYFUNCTION("""COMPUTED_VALUE"""),"Anh Thắng")</f>
        <v>Anh Thắng</v>
      </c>
      <c r="C1301" s="127" t="str">
        <f>IFERROR(__xludf.DUMMYFUNCTION("""COMPUTED_VALUE"""),"11/143 Vạn Xuân")</f>
        <v>11/143 Vạn Xuân</v>
      </c>
      <c r="D1301" s="127" t="str">
        <f>IFERROR(__xludf.DUMMYFUNCTION("""COMPUTED_VALUE"""),"chó")</f>
        <v>chó</v>
      </c>
      <c r="E1301" s="127" t="str">
        <f>IFERROR(__xludf.DUMMYFUNCTION("""COMPUTED_VALUE"""),"Sữa")</f>
        <v>Sữa</v>
      </c>
    </row>
    <row r="1302" ht="15.75" customHeight="1">
      <c r="A1302" s="128" t="str">
        <f>IFERROR(__xludf.DUMMYFUNCTION("""COMPUTED_VALUE"""),"0899 223 407")</f>
        <v>0899 223 407</v>
      </c>
      <c r="B1302" s="127" t="str">
        <f>IFERROR(__xludf.DUMMYFUNCTION("""COMPUTED_VALUE"""),"Anh Pin")</f>
        <v>Anh Pin</v>
      </c>
      <c r="C1302" s="127" t="str">
        <f>IFERROR(__xludf.DUMMYFUNCTION("""COMPUTED_VALUE"""),"11 Mai Khắc Đôn")</f>
        <v>11 Mai Khắc Đôn</v>
      </c>
      <c r="D1302" s="127" t="str">
        <f>IFERROR(__xludf.DUMMYFUNCTION("""COMPUTED_VALUE"""),"chó")</f>
        <v>chó</v>
      </c>
      <c r="E1302" s="127" t="str">
        <f>IFERROR(__xludf.DUMMYFUNCTION("""COMPUTED_VALUE""")," Mèo")</f>
        <v> Mèo</v>
      </c>
    </row>
    <row r="1303" ht="15.75" customHeight="1">
      <c r="A1303" s="128" t="str">
        <f>IFERROR(__xludf.DUMMYFUNCTION("""COMPUTED_VALUE"""),"0906 376 693")</f>
        <v>0906 376 693</v>
      </c>
      <c r="B1303" s="127" t="str">
        <f>IFERROR(__xludf.DUMMYFUNCTION("""COMPUTED_VALUE"""),"Anh Ân")</f>
        <v>Anh Ân</v>
      </c>
      <c r="C1303" s="127" t="str">
        <f>IFERROR(__xludf.DUMMYFUNCTION("""COMPUTED_VALUE"""),"47 Nguyễn Phúc Chu")</f>
        <v>47 Nguyễn Phúc Chu</v>
      </c>
      <c r="D1303" s="127" t="str">
        <f>IFERROR(__xludf.DUMMYFUNCTION("""COMPUTED_VALUE"""),"chó")</f>
        <v>chó</v>
      </c>
      <c r="E1303" s="127" t="str">
        <f>IFERROR(__xludf.DUMMYFUNCTION("""COMPUTED_VALUE""")," Vện")</f>
        <v> Vện</v>
      </c>
    </row>
    <row r="1304" ht="15.75" customHeight="1">
      <c r="A1304" s="128" t="str">
        <f>IFERROR(__xludf.DUMMYFUNCTION("""COMPUTED_VALUE"""),"0934 964 970")</f>
        <v>0934 964 970</v>
      </c>
      <c r="B1304" s="127" t="str">
        <f>IFERROR(__xludf.DUMMYFUNCTION("""COMPUTED_VALUE"""),"Lê Bảo Trâm")</f>
        <v>Lê Bảo Trâm</v>
      </c>
      <c r="C1304" s="127" t="str">
        <f>IFERROR(__xludf.DUMMYFUNCTION("""COMPUTED_VALUE"""),"67 Đào Tấn")</f>
        <v>67 Đào Tấn</v>
      </c>
      <c r="D1304" s="127" t="str">
        <f>IFERROR(__xludf.DUMMYFUNCTION("""COMPUTED_VALUE"""),"chó")</f>
        <v>chó</v>
      </c>
      <c r="E1304" s="127" t="str">
        <f>IFERROR(__xludf.DUMMYFUNCTION("""COMPUTED_VALUE"""),"Socola")</f>
        <v>Socola</v>
      </c>
    </row>
    <row r="1305" ht="15.75" customHeight="1">
      <c r="A1305" s="122" t="str">
        <f>IFERROR(__xludf.DUMMYFUNCTION("""COMPUTED_VALUE"""),"0914 488 343")</f>
        <v>0914 488 343</v>
      </c>
      <c r="B1305" s="119" t="str">
        <f>IFERROR(__xludf.DUMMYFUNCTION("""COMPUTED_VALUE"""),"Chú Minh")</f>
        <v>Chú Minh</v>
      </c>
      <c r="C1305" s="119" t="str">
        <f>IFERROR(__xludf.DUMMYFUNCTION("""COMPUTED_VALUE"""),"22/131 Trần Phú")</f>
        <v>22/131 Trần Phú</v>
      </c>
      <c r="D1305" s="119" t="str">
        <f>IFERROR(__xludf.DUMMYFUNCTION("""COMPUTED_VALUE"""),"chó")</f>
        <v>chó</v>
      </c>
      <c r="E1305" s="119" t="str">
        <f>IFERROR(__xludf.DUMMYFUNCTION("""COMPUTED_VALUE"""),"Mận")</f>
        <v>Mận</v>
      </c>
    </row>
    <row r="1306" ht="15.75" customHeight="1">
      <c r="A1306" s="122" t="str">
        <f>IFERROR(__xludf.DUMMYFUNCTION("""COMPUTED_VALUE"""),"0833 203 890")</f>
        <v>0833 203 890</v>
      </c>
      <c r="B1306" s="119" t="str">
        <f>IFERROR(__xludf.DUMMYFUNCTION("""COMPUTED_VALUE"""),"Chị Dung")</f>
        <v>Chị Dung</v>
      </c>
      <c r="C1306" s="119" t="str">
        <f>IFERROR(__xludf.DUMMYFUNCTION("""COMPUTED_VALUE"""),"14/69/131 Trần Phú")</f>
        <v>14/69/131 Trần Phú</v>
      </c>
      <c r="D1306" s="119" t="str">
        <f>IFERROR(__xludf.DUMMYFUNCTION("""COMPUTED_VALUE"""),"mèo")</f>
        <v>mèo</v>
      </c>
      <c r="E1306" s="119" t="str">
        <f>IFERROR(__xludf.DUMMYFUNCTION("""COMPUTED_VALUE"""),"Trắng")</f>
        <v>Trắng</v>
      </c>
    </row>
    <row r="1307" ht="15.75" customHeight="1">
      <c r="A1307" s="128" t="str">
        <f>IFERROR(__xludf.DUMMYFUNCTION("""COMPUTED_VALUE"""),"0386 583 821")</f>
        <v>0386 583 821</v>
      </c>
      <c r="B1307" s="127" t="str">
        <f>IFERROR(__xludf.DUMMYFUNCTION("""COMPUTED_VALUE"""),"Chị Gấm")</f>
        <v>Chị Gấm</v>
      </c>
      <c r="C1307" s="127" t="str">
        <f>IFERROR(__xludf.DUMMYFUNCTION("""COMPUTED_VALUE"""),"15/187 Hùng Vương")</f>
        <v>15/187 Hùng Vương</v>
      </c>
      <c r="D1307" s="127" t="str">
        <f>IFERROR(__xludf.DUMMYFUNCTION("""COMPUTED_VALUE"""),"chó")</f>
        <v>chó</v>
      </c>
      <c r="E1307" s="127" t="str">
        <f>IFERROR(__xludf.DUMMYFUNCTION("""COMPUTED_VALUE"""),"Kin")</f>
        <v>Kin</v>
      </c>
    </row>
    <row r="1308" ht="15.75" customHeight="1">
      <c r="A1308" s="122" t="str">
        <f>IFERROR(__xludf.DUMMYFUNCTION("""COMPUTED_VALUE"""),"0846 786 349")</f>
        <v>0846 786 349</v>
      </c>
      <c r="B1308" s="119" t="str">
        <f>IFERROR(__xludf.DUMMYFUNCTION("""COMPUTED_VALUE"""),"Lê Thị Thảo")</f>
        <v>Lê Thị Thảo</v>
      </c>
      <c r="C1308" s="119" t="str">
        <f>IFERROR(__xludf.DUMMYFUNCTION("""COMPUTED_VALUE"""),"tổ 6 kv 4 phường trường an")</f>
        <v>tổ 6 kv 4 phường trường an</v>
      </c>
      <c r="D1308" s="119" t="str">
        <f>IFERROR(__xludf.DUMMYFUNCTION("""COMPUTED_VALUE"""),"chó")</f>
        <v>chó</v>
      </c>
      <c r="E1308" s="119"/>
    </row>
    <row r="1309" ht="15.75" customHeight="1">
      <c r="A1309" s="122" t="str">
        <f>IFERROR(__xludf.DUMMYFUNCTION("""COMPUTED_VALUE"""),"0935 745 117")</f>
        <v>0935 745 117</v>
      </c>
      <c r="B1309" s="119" t="str">
        <f>IFERROR(__xludf.DUMMYFUNCTION("""COMPUTED_VALUE"""),"Phương hà")</f>
        <v>Phương hà</v>
      </c>
      <c r="C1309" s="119" t="str">
        <f>IFERROR(__xludf.DUMMYFUNCTION("""COMPUTED_VALUE"""),"1/69 Đặng Huy trứ")</f>
        <v>1/69 Đặng Huy trứ</v>
      </c>
      <c r="D1309" s="119"/>
      <c r="E1309" s="119"/>
    </row>
    <row r="1310" ht="15.75" customHeight="1">
      <c r="A1310" s="122" t="str">
        <f>IFERROR(__xludf.DUMMYFUNCTION("""COMPUTED_VALUE"""),"0799 321 504")</f>
        <v>0799 321 504</v>
      </c>
      <c r="B1310" s="119" t="str">
        <f>IFERROR(__xludf.DUMMYFUNCTION("""COMPUTED_VALUE"""),"Chị Mai")</f>
        <v>Chị Mai</v>
      </c>
      <c r="C1310" s="119" t="str">
        <f>IFERROR(__xludf.DUMMYFUNCTION("""COMPUTED_VALUE"""),"119 Hùng Vương")</f>
        <v>119 Hùng Vương</v>
      </c>
      <c r="D1310" s="119" t="str">
        <f>IFERROR(__xludf.DUMMYFUNCTION("""COMPUTED_VALUE"""),"mèo")</f>
        <v>mèo</v>
      </c>
      <c r="E1310" s="119" t="str">
        <f>IFERROR(__xludf.DUMMYFUNCTION("""COMPUTED_VALUE"""),"Mập")</f>
        <v>Mập</v>
      </c>
    </row>
    <row r="1311" ht="15.75" customHeight="1">
      <c r="A1311" s="122" t="str">
        <f>IFERROR(__xludf.DUMMYFUNCTION("""COMPUTED_VALUE"""),"0346 984 580")</f>
        <v>0346 984 580</v>
      </c>
      <c r="B1311" s="119" t="str">
        <f>IFERROR(__xludf.DUMMYFUNCTION("""COMPUTED_VALUE"""),"Khánh Vy")</f>
        <v>Khánh Vy</v>
      </c>
      <c r="C1311" s="119" t="str">
        <f>IFERROR(__xludf.DUMMYFUNCTION("""COMPUTED_VALUE"""),"31 Tây Sơn")</f>
        <v>31 Tây Sơn</v>
      </c>
      <c r="D1311" s="119" t="str">
        <f>IFERROR(__xludf.DUMMYFUNCTION("""COMPUTED_VALUE"""),"mèo")</f>
        <v>mèo</v>
      </c>
      <c r="E1311" s="119" t="str">
        <f>IFERROR(__xludf.DUMMYFUNCTION("""COMPUTED_VALUE"""),"Kem")</f>
        <v>Kem</v>
      </c>
    </row>
    <row r="1312" ht="15.75" customHeight="1">
      <c r="A1312" s="122" t="str">
        <f>IFERROR(__xludf.DUMMYFUNCTION("""COMPUTED_VALUE"""),"0787 599 629")</f>
        <v>0787 599 629</v>
      </c>
      <c r="B1312" s="119" t="str">
        <f>IFERROR(__xludf.DUMMYFUNCTION("""COMPUTED_VALUE"""),"Thảo My")</f>
        <v>Thảo My</v>
      </c>
      <c r="C1312" s="119" t="str">
        <f>IFERROR(__xludf.DUMMYFUNCTION("""COMPUTED_VALUE"""),"16/378 Đinh Tiên Hoàng")</f>
        <v>16/378 Đinh Tiên Hoàng</v>
      </c>
      <c r="D1312" s="119" t="str">
        <f>IFERROR(__xludf.DUMMYFUNCTION("""COMPUTED_VALUE"""),"mèo")</f>
        <v>mèo</v>
      </c>
      <c r="E1312" s="119" t="str">
        <f>IFERROR(__xludf.DUMMYFUNCTION("""COMPUTED_VALUE"""),"catgos")</f>
        <v>catgos</v>
      </c>
    </row>
    <row r="1313" ht="15.75" customHeight="1">
      <c r="A1313" s="122" t="str">
        <f>IFERROR(__xludf.DUMMYFUNCTION("""COMPUTED_VALUE"""),"0869 880 626")</f>
        <v>0869 880 626</v>
      </c>
      <c r="B1313" s="119" t="str">
        <f>IFERROR(__xludf.DUMMYFUNCTION("""COMPUTED_VALUE"""),"em Hồng An")</f>
        <v>em Hồng An</v>
      </c>
      <c r="C1313" s="119" t="str">
        <f>IFERROR(__xludf.DUMMYFUNCTION("""COMPUTED_VALUE"""),"7/69/131 Trần Phú")</f>
        <v>7/69/131 Trần Phú</v>
      </c>
      <c r="D1313" s="119" t="str">
        <f>IFERROR(__xludf.DUMMYFUNCTION("""COMPUTED_VALUE"""),"chó")</f>
        <v>chó</v>
      </c>
      <c r="E1313" s="119" t="str">
        <f>IFERROR(__xludf.DUMMYFUNCTION("""COMPUTED_VALUE"""),"bông")</f>
        <v>bông</v>
      </c>
    </row>
    <row r="1314" ht="15.75" customHeight="1">
      <c r="A1314" s="122" t="str">
        <f>IFERROR(__xludf.DUMMYFUNCTION("""COMPUTED_VALUE"""),"0963 096 329")</f>
        <v>0963 096 329</v>
      </c>
      <c r="B1314" s="119" t="str">
        <f>IFERROR(__xludf.DUMMYFUNCTION("""COMPUTED_VALUE"""),"Dì Hà -Ông Định")</f>
        <v>Dì Hà -Ông Định</v>
      </c>
      <c r="C1314" s="119" t="str">
        <f>IFERROR(__xludf.DUMMYFUNCTION("""COMPUTED_VALUE"""),"106 Phan Bội Châu")</f>
        <v>106 Phan Bội Châu</v>
      </c>
      <c r="D1314" s="119" t="str">
        <f>IFERROR(__xludf.DUMMYFUNCTION("""COMPUTED_VALUE"""),"chó")</f>
        <v>chó</v>
      </c>
      <c r="E1314" s="119" t="str">
        <f>IFERROR(__xludf.DUMMYFUNCTION("""COMPUTED_VALUE"""),"Mực")</f>
        <v>Mực</v>
      </c>
    </row>
    <row r="1315" ht="15.75" customHeight="1">
      <c r="A1315" s="122" t="str">
        <f>IFERROR(__xludf.DUMMYFUNCTION("""COMPUTED_VALUE"""),"0975 244 006")</f>
        <v>0975 244 006</v>
      </c>
      <c r="B1315" s="119" t="str">
        <f>IFERROR(__xludf.DUMMYFUNCTION("""COMPUTED_VALUE"""),"Anh Tuấn")</f>
        <v>Anh Tuấn</v>
      </c>
      <c r="C1315" s="119" t="str">
        <f>IFERROR(__xludf.DUMMYFUNCTION("""COMPUTED_VALUE"""),"lô A17 Đào Tấn nối dài")</f>
        <v>lô A17 Đào Tấn nối dài</v>
      </c>
      <c r="D1315" s="119" t="str">
        <f>IFERROR(__xludf.DUMMYFUNCTION("""COMPUTED_VALUE"""),"chó")</f>
        <v>chó</v>
      </c>
      <c r="E1315" s="119" t="str">
        <f>IFERROR(__xludf.DUMMYFUNCTION("""COMPUTED_VALUE"""),"bơ ")</f>
        <v>bơ </v>
      </c>
    </row>
    <row r="1316" ht="15.75" customHeight="1">
      <c r="A1316" s="128" t="str">
        <f>IFERROR(__xludf.DUMMYFUNCTION("""COMPUTED_VALUE"""),"0787 540 419")</f>
        <v>0787 540 419</v>
      </c>
      <c r="B1316" s="127" t="str">
        <f>IFERROR(__xludf.DUMMYFUNCTION("""COMPUTED_VALUE"""),"Em Uyên")</f>
        <v>Em Uyên</v>
      </c>
      <c r="C1316" s="127" t="str">
        <f>IFERROR(__xludf.DUMMYFUNCTION("""COMPUTED_VALUE"""),"18/11/104 Điện Biên Phủ")</f>
        <v>18/11/104 Điện Biên Phủ</v>
      </c>
      <c r="D1316" s="127" t="str">
        <f>IFERROR(__xludf.DUMMYFUNCTION("""COMPUTED_VALUE"""),"mèo")</f>
        <v>mèo</v>
      </c>
      <c r="E1316" s="127" t="str">
        <f>IFERROR(__xludf.DUMMYFUNCTION("""COMPUTED_VALUE"""),"Lucky")</f>
        <v>Lucky</v>
      </c>
    </row>
    <row r="1317" ht="15.75" customHeight="1">
      <c r="A1317" s="128" t="str">
        <f>IFERROR(__xludf.DUMMYFUNCTION("""COMPUTED_VALUE"""),"0934 852 630")</f>
        <v>0934 852 630</v>
      </c>
      <c r="B1317" s="127" t="str">
        <f>IFERROR(__xludf.DUMMYFUNCTION("""COMPUTED_VALUE"""),"Trần Văn Năm")</f>
        <v>Trần Văn Năm</v>
      </c>
      <c r="C1317" s="127" t="str">
        <f>IFERROR(__xludf.DUMMYFUNCTION("""COMPUTED_VALUE"""),"6/15 Nguyễn Hoàng")</f>
        <v>6/15 Nguyễn Hoàng</v>
      </c>
      <c r="D1317" s="127" t="str">
        <f>IFERROR(__xludf.DUMMYFUNCTION("""COMPUTED_VALUE"""),"chó")</f>
        <v>chó</v>
      </c>
      <c r="E1317" s="127" t="str">
        <f>IFERROR(__xludf.DUMMYFUNCTION("""COMPUTED_VALUE""")," Tô Tô")</f>
        <v> Tô Tô</v>
      </c>
    </row>
    <row r="1318" ht="15.75" customHeight="1">
      <c r="A1318" s="122" t="str">
        <f>IFERROR(__xludf.DUMMYFUNCTION("""COMPUTED_VALUE"""),"0393 918 772")</f>
        <v>0393 918 772</v>
      </c>
      <c r="B1318" s="119" t="str">
        <f>IFERROR(__xludf.DUMMYFUNCTION("""COMPUTED_VALUE"""),"Anh Nhật Tiến")</f>
        <v>Anh Nhật Tiến</v>
      </c>
      <c r="C1318" s="119" t="str">
        <f>IFERROR(__xludf.DUMMYFUNCTION("""COMPUTED_VALUE""")," 35 Văn thánh")</f>
        <v> 35 Văn thánh</v>
      </c>
      <c r="D1318" s="119" t="str">
        <f>IFERROR(__xludf.DUMMYFUNCTION("""COMPUTED_VALUE"""),"chó")</f>
        <v>chó</v>
      </c>
      <c r="E1318" s="119" t="str">
        <f>IFERROR(__xludf.DUMMYFUNCTION("""COMPUTED_VALUE""")," Boy")</f>
        <v> Boy</v>
      </c>
    </row>
    <row r="1319" ht="15.75" customHeight="1">
      <c r="A1319" s="122" t="str">
        <f>IFERROR(__xludf.DUMMYFUNCTION("""COMPUTED_VALUE"""),"0823 423 255")</f>
        <v>0823 423 255</v>
      </c>
      <c r="B1319" s="119" t="str">
        <f>IFERROR(__xludf.DUMMYFUNCTION("""COMPUTED_VALUE"""),"Anh Thành")</f>
        <v>Anh Thành</v>
      </c>
      <c r="C1319" s="119" t="str">
        <f>IFERROR(__xludf.DUMMYFUNCTION("""COMPUTED_VALUE""")," 138 Phạm Thị Liên")</f>
        <v> 138 Phạm Thị Liên</v>
      </c>
      <c r="D1319" s="119" t="str">
        <f>IFERROR(__xludf.DUMMYFUNCTION("""COMPUTED_VALUE"""),"chó")</f>
        <v>chó</v>
      </c>
      <c r="E1319" s="119" t="str">
        <f>IFERROR(__xludf.DUMMYFUNCTION("""COMPUTED_VALUE"""),"Mon")</f>
        <v>Mon</v>
      </c>
    </row>
    <row r="1320" ht="15.75" customHeight="1">
      <c r="A1320" s="128" t="str">
        <f>IFERROR(__xludf.DUMMYFUNCTION("""COMPUTED_VALUE"""),"0914 166 670")</f>
        <v>0914 166 670</v>
      </c>
      <c r="B1320" s="127" t="str">
        <f>IFERROR(__xludf.DUMMYFUNCTION("""COMPUTED_VALUE"""),"Tôn Nữ Bảo Ngọc")</f>
        <v>Tôn Nữ Bảo Ngọc</v>
      </c>
      <c r="C1320" s="127" t="str">
        <f>IFERROR(__xludf.DUMMYFUNCTION("""COMPUTED_VALUE"""),"44 Nguyễn Phúc Lan")</f>
        <v>44 Nguyễn Phúc Lan</v>
      </c>
      <c r="D1320" s="127" t="str">
        <f>IFERROR(__xludf.DUMMYFUNCTION("""COMPUTED_VALUE"""),"Chó")</f>
        <v>Chó</v>
      </c>
      <c r="E1320" s="127" t="str">
        <f>IFERROR(__xludf.DUMMYFUNCTION("""COMPUTED_VALUE"""),"Red")</f>
        <v>Red</v>
      </c>
    </row>
    <row r="1321" ht="15.75" customHeight="1">
      <c r="A1321" s="128" t="str">
        <f>IFERROR(__xludf.DUMMYFUNCTION("""COMPUTED_VALUE"""),"0847 930 486")</f>
        <v>0847 930 486</v>
      </c>
      <c r="B1321" s="127" t="str">
        <f>IFERROR(__xludf.DUMMYFUNCTION("""COMPUTED_VALUE"""),"Dì Hoa")</f>
        <v>Dì Hoa</v>
      </c>
      <c r="C1321" s="127" t="str">
        <f>IFERROR(__xludf.DUMMYFUNCTION("""COMPUTED_VALUE"""),"4/33 Nguyễn Hoàng")</f>
        <v>4/33 Nguyễn Hoàng</v>
      </c>
      <c r="D1321" s="127" t="str">
        <f>IFERROR(__xludf.DUMMYFUNCTION("""COMPUTED_VALUE"""),"chó ")</f>
        <v>chó </v>
      </c>
      <c r="E1321" s="127" t="str">
        <f>IFERROR(__xludf.DUMMYFUNCTION("""COMPUTED_VALUE"""),"Lu")</f>
        <v>Lu</v>
      </c>
    </row>
    <row r="1322" ht="15.75" customHeight="1">
      <c r="A1322" s="128" t="str">
        <f>IFERROR(__xludf.DUMMYFUNCTION("""COMPUTED_VALUE"""),"0794 944 778")</f>
        <v>0794 944 778</v>
      </c>
      <c r="B1322" s="127" t="str">
        <f>IFERROR(__xludf.DUMMYFUNCTION("""COMPUTED_VALUE"""),"Kim Yến")</f>
        <v>Kim Yến</v>
      </c>
      <c r="C1322" s="127" t="str">
        <f>IFERROR(__xludf.DUMMYFUNCTION("""COMPUTED_VALUE"""),"An tây")</f>
        <v>An tây</v>
      </c>
      <c r="D1322" s="127" t="str">
        <f>IFERROR(__xludf.DUMMYFUNCTION("""COMPUTED_VALUE"""),"chó")</f>
        <v>chó</v>
      </c>
      <c r="E1322" s="127" t="str">
        <f>IFERROR(__xludf.DUMMYFUNCTION("""COMPUTED_VALUE"""),"Rosy")</f>
        <v>Rosy</v>
      </c>
    </row>
    <row r="1323" ht="15.75" customHeight="1">
      <c r="A1323" s="122" t="str">
        <f>IFERROR(__xludf.DUMMYFUNCTION("""COMPUTED_VALUE"""),"0934 859 532")</f>
        <v>0934 859 532</v>
      </c>
      <c r="B1323" s="119" t="str">
        <f>IFERROR(__xludf.DUMMYFUNCTION("""COMPUTED_VALUE"""),"Chị Trân")</f>
        <v>Chị Trân</v>
      </c>
      <c r="C1323" s="119" t="str">
        <f>IFERROR(__xludf.DUMMYFUNCTION("""COMPUTED_VALUE"""),"11/9 Ba Vinh")</f>
        <v>11/9 Ba Vinh</v>
      </c>
      <c r="D1323" s="119" t="str">
        <f>IFERROR(__xludf.DUMMYFUNCTION("""COMPUTED_VALUE"""),"mèo")</f>
        <v>mèo</v>
      </c>
      <c r="E1323" s="119" t="str">
        <f>IFERROR(__xludf.DUMMYFUNCTION("""COMPUTED_VALUE"""),"Mun")</f>
        <v>Mun</v>
      </c>
    </row>
    <row r="1324" ht="15.75" customHeight="1">
      <c r="A1324" s="122" t="str">
        <f>IFERROR(__xludf.DUMMYFUNCTION("""COMPUTED_VALUE"""),"0314 114 331")</f>
        <v>0314 114 331</v>
      </c>
      <c r="B1324" s="119" t="str">
        <f>IFERROR(__xludf.DUMMYFUNCTION("""COMPUTED_VALUE"""),"Bảo Trâm")</f>
        <v>Bảo Trâm</v>
      </c>
      <c r="C1324" s="119" t="str">
        <f>IFERROR(__xludf.DUMMYFUNCTION("""COMPUTED_VALUE"""),"18/65 Đăng Huy Trứ")</f>
        <v>18/65 Đăng Huy Trứ</v>
      </c>
      <c r="D1324" s="119" t="str">
        <f>IFERROR(__xludf.DUMMYFUNCTION("""COMPUTED_VALUE"""),"chó")</f>
        <v>chó</v>
      </c>
      <c r="E1324" s="119" t="str">
        <f>IFERROR(__xludf.DUMMYFUNCTION("""COMPUTED_VALUE"""),"Bi")</f>
        <v>Bi</v>
      </c>
    </row>
    <row r="1325" ht="15.75" customHeight="1">
      <c r="A1325" s="128" t="str">
        <f>IFERROR(__xludf.DUMMYFUNCTION("""COMPUTED_VALUE"""),"0909 190 745")</f>
        <v>0909 190 745</v>
      </c>
      <c r="B1325" s="127" t="str">
        <f>IFERROR(__xludf.DUMMYFUNCTION("""COMPUTED_VALUE"""),"Chị Hòa")</f>
        <v>Chị Hòa</v>
      </c>
      <c r="C1325" s="127" t="str">
        <f>IFERROR(__xludf.DUMMYFUNCTION("""COMPUTED_VALUE"""),"18A Bàu Vá")</f>
        <v>18A Bàu Vá</v>
      </c>
      <c r="D1325" s="127" t="str">
        <f>IFERROR(__xludf.DUMMYFUNCTION("""COMPUTED_VALUE"""),"chó")</f>
        <v>chó</v>
      </c>
      <c r="E1325" s="127" t="str">
        <f>IFERROR(__xludf.DUMMYFUNCTION("""COMPUTED_VALUE"""),"Ri")</f>
        <v>Ri</v>
      </c>
    </row>
    <row r="1326" ht="15.75" customHeight="1">
      <c r="A1326" s="122" t="str">
        <f>IFERROR(__xludf.DUMMYFUNCTION("""COMPUTED_VALUE"""),"0961 090 515")</f>
        <v>0961 090 515</v>
      </c>
      <c r="B1326" s="119" t="str">
        <f>IFERROR(__xludf.DUMMYFUNCTION("""COMPUTED_VALUE"""),"Hữu Nghĩa")</f>
        <v>Hữu Nghĩa</v>
      </c>
      <c r="C1326" s="119" t="str">
        <f>IFERROR(__xludf.DUMMYFUNCTION("""COMPUTED_VALUE"""),"11 Cao Đình Bộ")</f>
        <v>11 Cao Đình Bộ</v>
      </c>
      <c r="D1326" s="119" t="str">
        <f>IFERROR(__xludf.DUMMYFUNCTION("""COMPUTED_VALUE"""),"chó")</f>
        <v>chó</v>
      </c>
      <c r="E1326" s="119" t="str">
        <f>IFERROR(__xludf.DUMMYFUNCTION("""COMPUTED_VALUE"""),"Lu")</f>
        <v>Lu</v>
      </c>
    </row>
    <row r="1327" ht="15.75" customHeight="1">
      <c r="A1327" s="122" t="str">
        <f>IFERROR(__xludf.DUMMYFUNCTION("""COMPUTED_VALUE"""),"0345 853 832")</f>
        <v>0345 853 832</v>
      </c>
      <c r="B1327" s="119" t="str">
        <f>IFERROR(__xludf.DUMMYFUNCTION("""COMPUTED_VALUE"""),"Quỳnh Như")</f>
        <v>Quỳnh Như</v>
      </c>
      <c r="C1327" s="119" t="str">
        <f>IFERROR(__xludf.DUMMYFUNCTION("""COMPUTED_VALUE"""),"11/131 Trần Phú")</f>
        <v>11/131 Trần Phú</v>
      </c>
      <c r="D1327" s="119" t="str">
        <f>IFERROR(__xludf.DUMMYFUNCTION("""COMPUTED_VALUE"""),"mèo")</f>
        <v>mèo</v>
      </c>
      <c r="E1327" s="119" t="str">
        <f>IFERROR(__xludf.DUMMYFUNCTION("""COMPUTED_VALUE"""),"Salongmon")</f>
        <v>Salongmon</v>
      </c>
    </row>
    <row r="1328" ht="15.75" customHeight="1">
      <c r="A1328" s="128" t="str">
        <f>IFERROR(__xludf.DUMMYFUNCTION("""COMPUTED_VALUE"""),"0935 127 656")</f>
        <v>0935 127 656</v>
      </c>
      <c r="B1328" s="127" t="str">
        <f>IFERROR(__xludf.DUMMYFUNCTION("""COMPUTED_VALUE"""),"Chú Khả")</f>
        <v>Chú Khả</v>
      </c>
      <c r="C1328" s="127" t="str">
        <f>IFERROR(__xludf.DUMMYFUNCTION("""COMPUTED_VALUE"""),"Phú Dương, Phúi Vang")</f>
        <v>Phú Dương, Phúi Vang</v>
      </c>
      <c r="D1328" s="127" t="str">
        <f>IFERROR(__xludf.DUMMYFUNCTION("""COMPUTED_VALUE"""),"mèo")</f>
        <v>mèo</v>
      </c>
      <c r="E1328" s="127" t="str">
        <f>IFERROR(__xludf.DUMMYFUNCTION("""COMPUTED_VALUE"""),"mèo")</f>
        <v>mèo</v>
      </c>
    </row>
    <row r="1329" ht="15.75" customHeight="1">
      <c r="A1329" s="122" t="str">
        <f>IFERROR(__xludf.DUMMYFUNCTION("""COMPUTED_VALUE"""),"0787 657 773")</f>
        <v>0787 657 773</v>
      </c>
      <c r="B1329" s="119" t="str">
        <f>IFERROR(__xludf.DUMMYFUNCTION("""COMPUTED_VALUE"""),"Anh Lợi")</f>
        <v>Anh Lợi</v>
      </c>
      <c r="C1329" s="119" t="str">
        <f>IFERROR(__xludf.DUMMYFUNCTION("""COMPUTED_VALUE"""),"34/93 Đăng Huy Trứ")</f>
        <v>34/93 Đăng Huy Trứ</v>
      </c>
      <c r="D1329" s="119" t="str">
        <f>IFERROR(__xludf.DUMMYFUNCTION("""COMPUTED_VALUE"""),"mèo")</f>
        <v>mèo</v>
      </c>
      <c r="E1329" s="119" t="str">
        <f>IFERROR(__xludf.DUMMYFUNCTION("""COMPUTED_VALUE"""),"Tom")</f>
        <v>Tom</v>
      </c>
    </row>
    <row r="1330" ht="15.75" customHeight="1">
      <c r="A1330" s="122" t="str">
        <f>IFERROR(__xludf.DUMMYFUNCTION("""COMPUTED_VALUE"""),"0914 146 162")</f>
        <v>0914 146 162</v>
      </c>
      <c r="B1330" s="119" t="str">
        <f>IFERROR(__xludf.DUMMYFUNCTION("""COMPUTED_VALUE"""),"Nguyễn Thục Anh")</f>
        <v>Nguyễn Thục Anh</v>
      </c>
      <c r="C1330" s="119" t="str">
        <f>IFERROR(__xludf.DUMMYFUNCTION("""COMPUTED_VALUE"""),"180 Đào Tấn")</f>
        <v>180 Đào Tấn</v>
      </c>
      <c r="D1330" s="119" t="str">
        <f>IFERROR(__xludf.DUMMYFUNCTION("""COMPUTED_VALUE"""),"chó")</f>
        <v>chó</v>
      </c>
      <c r="E1330" s="119" t="str">
        <f>IFERROR(__xludf.DUMMYFUNCTION("""COMPUTED_VALUE""")," kI")</f>
        <v> kI</v>
      </c>
    </row>
    <row r="1331" ht="15.75" customHeight="1">
      <c r="A1331" s="128" t="str">
        <f>IFERROR(__xludf.DUMMYFUNCTION("""COMPUTED_VALUE"""),"0385 536 924")</f>
        <v>0385 536 924</v>
      </c>
      <c r="B1331" s="127" t="str">
        <f>IFERROR(__xludf.DUMMYFUNCTION("""COMPUTED_VALUE"""),"Nguyễn Thị Bích Trâm ")</f>
        <v>Nguyễn Thị Bích Trâm </v>
      </c>
      <c r="C1331" s="127" t="str">
        <f>IFERROR(__xludf.DUMMYFUNCTION("""COMPUTED_VALUE"""),"101 Thánh Gióng")</f>
        <v>101 Thánh Gióng</v>
      </c>
      <c r="D1331" s="127" t="str">
        <f>IFERROR(__xludf.DUMMYFUNCTION("""COMPUTED_VALUE"""),"chó")</f>
        <v>chó</v>
      </c>
      <c r="E1331" s="127"/>
    </row>
    <row r="1332" ht="15.75" customHeight="1">
      <c r="A1332" s="128" t="str">
        <f>IFERROR(__xludf.DUMMYFUNCTION("""COMPUTED_VALUE"""),"0914 125 885")</f>
        <v>0914 125 885</v>
      </c>
      <c r="B1332" s="127" t="str">
        <f>IFERROR(__xludf.DUMMYFUNCTION("""COMPUTED_VALUE"""),"Nguyễn Thị Bạch Oanh")</f>
        <v>Nguyễn Thị Bạch Oanh</v>
      </c>
      <c r="C1332" s="133" t="str">
        <f>IFERROR(__xludf.DUMMYFUNCTION("""COMPUTED_VALUE"""),"2/111 Trần Thái Tông")</f>
        <v>2/111 Trần Thái Tông</v>
      </c>
      <c r="D1332" s="127" t="str">
        <f>IFERROR(__xludf.DUMMYFUNCTION("""COMPUTED_VALUE"""),"chó")</f>
        <v>chó</v>
      </c>
      <c r="E1332" s="127" t="str">
        <f>IFERROR(__xludf.DUMMYFUNCTION("""COMPUTED_VALUE"""),"Na")</f>
        <v>Na</v>
      </c>
    </row>
    <row r="1333" ht="15.75" customHeight="1">
      <c r="A1333" s="128" t="str">
        <f>IFERROR(__xludf.DUMMYFUNCTION("""COMPUTED_VALUE"""),"0342 893 336")</f>
        <v>0342 893 336</v>
      </c>
      <c r="B1333" s="127" t="str">
        <f>IFERROR(__xludf.DUMMYFUNCTION("""COMPUTED_VALUE"""),"Anh Thành")</f>
        <v>Anh Thành</v>
      </c>
      <c r="C1333" s="127" t="str">
        <f>IFERROR(__xludf.DUMMYFUNCTION("""COMPUTED_VALUE"""),"14/28 Nguyễn Hữu Duật")</f>
        <v>14/28 Nguyễn Hữu Duật</v>
      </c>
      <c r="D1333" s="127" t="str">
        <f>IFERROR(__xludf.DUMMYFUNCTION("""COMPUTED_VALUE"""),"Chó ")</f>
        <v>Chó </v>
      </c>
      <c r="E1333" s="127" t="str">
        <f>IFERROR(__xludf.DUMMYFUNCTION("""COMPUTED_VALUE"""),"Đen")</f>
        <v>Đen</v>
      </c>
    </row>
    <row r="1334" ht="15.75" customHeight="1">
      <c r="A1334" s="122" t="str">
        <f>IFERROR(__xludf.DUMMYFUNCTION("""COMPUTED_VALUE"""),"0987 761 850")</f>
        <v>0987 761 850</v>
      </c>
      <c r="B1334" s="119" t="str">
        <f>IFERROR(__xludf.DUMMYFUNCTION("""COMPUTED_VALUE"""),"Chị Uyên")</f>
        <v>Chị Uyên</v>
      </c>
      <c r="C1334" s="119" t="str">
        <f>IFERROR(__xludf.DUMMYFUNCTION("""COMPUTED_VALUE"""),"bùi thị xuân")</f>
        <v>bùi thị xuân</v>
      </c>
      <c r="D1334" s="119" t="str">
        <f>IFERROR(__xludf.DUMMYFUNCTION("""COMPUTED_VALUE"""),"mèo")</f>
        <v>mèo</v>
      </c>
      <c r="E1334" s="119" t="str">
        <f>IFERROR(__xludf.DUMMYFUNCTION("""COMPUTED_VALUE"""),"Nâu")</f>
        <v>Nâu</v>
      </c>
    </row>
    <row r="1335" ht="15.75" customHeight="1">
      <c r="A1335" s="128" t="str">
        <f>IFERROR(__xludf.DUMMYFUNCTION("""COMPUTED_VALUE"""),"0962 753 812")</f>
        <v>0962 753 812</v>
      </c>
      <c r="B1335" s="127" t="str">
        <f>IFERROR(__xludf.DUMMYFUNCTION("""COMPUTED_VALUE"""),"Anh Lộc")</f>
        <v>Anh Lộc</v>
      </c>
      <c r="C1335" s="127" t="str">
        <f>IFERROR(__xludf.DUMMYFUNCTION("""COMPUTED_VALUE"""),"Phù mỹ")</f>
        <v>Phù mỹ</v>
      </c>
      <c r="D1335" s="127" t="str">
        <f>IFERROR(__xludf.DUMMYFUNCTION("""COMPUTED_VALUE""")," chó")</f>
        <v> chó</v>
      </c>
      <c r="E1335" s="127" t="str">
        <f>IFERROR(__xludf.DUMMYFUNCTION("""COMPUTED_VALUE"""),"đen")</f>
        <v>đen</v>
      </c>
    </row>
    <row r="1336" ht="15.75" customHeight="1">
      <c r="A1336" s="122" t="str">
        <f>IFERROR(__xludf.DUMMYFUNCTION("""COMPUTED_VALUE"""),"0763 681 542")</f>
        <v>0763 681 542</v>
      </c>
      <c r="B1336" s="119" t="str">
        <f>IFERROR(__xludf.DUMMYFUNCTION("""COMPUTED_VALUE"""),"Bác Trung")</f>
        <v>Bác Trung</v>
      </c>
      <c r="C1336" s="119" t="str">
        <f>IFERROR(__xludf.DUMMYFUNCTION("""COMPUTED_VALUE"""),"k245 Bùi Thị Xuân")</f>
        <v>k245 Bùi Thị Xuân</v>
      </c>
      <c r="D1336" s="119" t="str">
        <f>IFERROR(__xludf.DUMMYFUNCTION("""COMPUTED_VALUE"""),"chó")</f>
        <v>chó</v>
      </c>
      <c r="E1336" s="119"/>
    </row>
    <row r="1337" ht="15.75" customHeight="1">
      <c r="A1337" s="128" t="str">
        <f>IFERROR(__xludf.DUMMYFUNCTION("""COMPUTED_VALUE"""),"0976 994 199")</f>
        <v>0976 994 199</v>
      </c>
      <c r="B1337" s="127" t="str">
        <f>IFERROR(__xludf.DUMMYFUNCTION("""COMPUTED_VALUE"""),"Trần Thanh Trà")</f>
        <v>Trần Thanh Trà</v>
      </c>
      <c r="C1337" s="127" t="str">
        <f>IFERROR(__xludf.DUMMYFUNCTION("""COMPUTED_VALUE"""),"Đồng Khởi Bùi Thị Xuân")</f>
        <v>Đồng Khởi Bùi Thị Xuân</v>
      </c>
      <c r="D1337" s="127" t="str">
        <f>IFERROR(__xludf.DUMMYFUNCTION("""COMPUTED_VALUE"""),"mèo")</f>
        <v>mèo</v>
      </c>
      <c r="E1337" s="127" t="str">
        <f>IFERROR(__xludf.DUMMYFUNCTION("""COMPUTED_VALUE"""),"Gạo")</f>
        <v>Gạo</v>
      </c>
    </row>
    <row r="1338" ht="15.75" customHeight="1">
      <c r="A1338" s="122" t="str">
        <f>IFERROR(__xludf.DUMMYFUNCTION("""COMPUTED_VALUE"""),"0886 096 403")</f>
        <v>0886 096 403</v>
      </c>
      <c r="B1338" s="119" t="str">
        <f>IFERROR(__xludf.DUMMYFUNCTION("""COMPUTED_VALUE"""),"Gia Bảo")</f>
        <v>Gia Bảo</v>
      </c>
      <c r="C1338" s="119" t="str">
        <f>IFERROR(__xludf.DUMMYFUNCTION("""COMPUTED_VALUE"""),"chợ Trường An")</f>
        <v>chợ Trường An</v>
      </c>
      <c r="D1338" s="119" t="str">
        <f>IFERROR(__xludf.DUMMYFUNCTION("""COMPUTED_VALUE"""),"chó")</f>
        <v>chó</v>
      </c>
      <c r="E1338" s="119" t="str">
        <f>IFERROR(__xludf.DUMMYFUNCTION("""COMPUTED_VALUE"""),"bông ")</f>
        <v>bông </v>
      </c>
    </row>
    <row r="1339" ht="15.75" customHeight="1">
      <c r="A1339" s="128" t="str">
        <f>IFERROR(__xludf.DUMMYFUNCTION("""COMPUTED_VALUE"""),"0788 595 933")</f>
        <v>0788 595 933</v>
      </c>
      <c r="B1339" s="127" t="str">
        <f>IFERROR(__xludf.DUMMYFUNCTION("""COMPUTED_VALUE"""),"Lê Đức Anh")</f>
        <v>Lê Đức Anh</v>
      </c>
      <c r="C1339" s="127" t="str">
        <f>IFERROR(__xludf.DUMMYFUNCTION("""COMPUTED_VALUE"""),"196 Phan Bội Châu")</f>
        <v>196 Phan Bội Châu</v>
      </c>
      <c r="D1339" s="127" t="str">
        <f>IFERROR(__xludf.DUMMYFUNCTION("""COMPUTED_VALUE"""),"chó")</f>
        <v>chó</v>
      </c>
      <c r="E1339" s="127" t="str">
        <f>IFERROR(__xludf.DUMMYFUNCTION("""COMPUTED_VALUE"""),"xoài")</f>
        <v>xoài</v>
      </c>
    </row>
    <row r="1340" ht="15.75" customHeight="1">
      <c r="A1340" s="122" t="str">
        <f>IFERROR(__xludf.DUMMYFUNCTION("""COMPUTED_VALUE"""),"0766 672 903")</f>
        <v>0766 672 903</v>
      </c>
      <c r="B1340" s="119" t="str">
        <f>IFERROR(__xludf.DUMMYFUNCTION("""COMPUTED_VALUE"""),"Đặng Thị Ly")</f>
        <v>Đặng Thị Ly</v>
      </c>
      <c r="C1340" s="119" t="str">
        <f>IFERROR(__xludf.DUMMYFUNCTION("""COMPUTED_VALUE"""),"9/29/69/131 Trần Phú")</f>
        <v>9/29/69/131 Trần Phú</v>
      </c>
      <c r="D1340" s="119" t="str">
        <f>IFERROR(__xludf.DUMMYFUNCTION("""COMPUTED_VALUE"""),"mèo")</f>
        <v>mèo</v>
      </c>
      <c r="E1340" s="119" t="str">
        <f>IFERROR(__xludf.DUMMYFUNCTION("""COMPUTED_VALUE"""),"hin")</f>
        <v>hin</v>
      </c>
    </row>
    <row r="1341" ht="15.75" customHeight="1">
      <c r="A1341" s="128" t="str">
        <f>IFERROR(__xludf.DUMMYFUNCTION("""COMPUTED_VALUE"""),"0947 733 959")</f>
        <v>0947 733 959</v>
      </c>
      <c r="B1341" s="127" t="str">
        <f>IFERROR(__xludf.DUMMYFUNCTION("""COMPUTED_VALUE"""),"Anh Hùng")</f>
        <v>Anh Hùng</v>
      </c>
      <c r="C1341" s="127" t="str">
        <f>IFERROR(__xludf.DUMMYFUNCTION("""COMPUTED_VALUE"""),"189 phạm văn đồng")</f>
        <v>189 phạm văn đồng</v>
      </c>
      <c r="D1341" s="127" t="str">
        <f>IFERROR(__xludf.DUMMYFUNCTION("""COMPUTED_VALUE"""),"chó")</f>
        <v>chó</v>
      </c>
      <c r="E1341" s="127" t="str">
        <f>IFERROR(__xludf.DUMMYFUNCTION("""COMPUTED_VALUE"""),"đen")</f>
        <v>đen</v>
      </c>
    </row>
    <row r="1342" ht="15.75" customHeight="1">
      <c r="A1342" s="122" t="str">
        <f>IFERROR(__xludf.DUMMYFUNCTION("""COMPUTED_VALUE"""),"0934 715 745")</f>
        <v>0934 715 745</v>
      </c>
      <c r="B1342" s="119" t="str">
        <f>IFERROR(__xludf.DUMMYFUNCTION("""COMPUTED_VALUE"""),"Anh Dũng")</f>
        <v>Anh Dũng</v>
      </c>
      <c r="C1342" s="119" t="str">
        <f>IFERROR(__xludf.DUMMYFUNCTION("""COMPUTED_VALUE"""),"18 Đồng KHởi")</f>
        <v>18 Đồng KHởi</v>
      </c>
      <c r="D1342" s="119" t="str">
        <f>IFERROR(__xludf.DUMMYFUNCTION("""COMPUTED_VALUE"""),"Chó ")</f>
        <v>Chó </v>
      </c>
      <c r="E1342" s="119" t="str">
        <f>IFERROR(__xludf.DUMMYFUNCTION("""COMPUTED_VALUE"""),"ko tên")</f>
        <v>ko tên</v>
      </c>
    </row>
    <row r="1343" ht="15.75" customHeight="1">
      <c r="A1343" s="128" t="str">
        <f>IFERROR(__xludf.DUMMYFUNCTION("""COMPUTED_VALUE"""),"0914 202 620")</f>
        <v>0914 202 620</v>
      </c>
      <c r="B1343" s="127" t="str">
        <f>IFERROR(__xludf.DUMMYFUNCTION("""COMPUTED_VALUE"""),"Nguyễn Văn Hiếu")</f>
        <v>Nguyễn Văn Hiếu</v>
      </c>
      <c r="C1343" s="127" t="str">
        <f>IFERROR(__xludf.DUMMYFUNCTION("""COMPUTED_VALUE"""),"5 Vũ Ngọc Phan")</f>
        <v>5 Vũ Ngọc Phan</v>
      </c>
      <c r="D1343" s="127" t="str">
        <f>IFERROR(__xludf.DUMMYFUNCTION("""COMPUTED_VALUE"""),"chó")</f>
        <v>chó</v>
      </c>
      <c r="E1343" s="127" t="str">
        <f>IFERROR(__xludf.DUMMYFUNCTION("""COMPUTED_VALUE""")," Lốp")</f>
        <v> Lốp</v>
      </c>
    </row>
    <row r="1344" ht="15.75" customHeight="1">
      <c r="A1344" s="122" t="str">
        <f>IFERROR(__xludf.DUMMYFUNCTION("""COMPUTED_VALUE"""),"0973 160 678")</f>
        <v>0973 160 678</v>
      </c>
      <c r="B1344" s="119" t="str">
        <f>IFERROR(__xludf.DUMMYFUNCTION("""COMPUTED_VALUE"""),"Chú Trung")</f>
        <v>Chú Trung</v>
      </c>
      <c r="C1344" s="119" t="str">
        <f>IFERROR(__xludf.DUMMYFUNCTION("""COMPUTED_VALUE"""),"67 Nguyễn Hoàng")</f>
        <v>67 Nguyễn Hoàng</v>
      </c>
      <c r="D1344" s="119" t="str">
        <f>IFERROR(__xludf.DUMMYFUNCTION("""COMPUTED_VALUE"""),"chó")</f>
        <v>chó</v>
      </c>
      <c r="E1344" s="119" t="str">
        <f>IFERROR(__xludf.DUMMYFUNCTION("""COMPUTED_VALUE""")," Mira")</f>
        <v> Mira</v>
      </c>
    </row>
    <row r="1345" ht="15.75" customHeight="1">
      <c r="A1345" s="122" t="str">
        <f>IFERROR(__xludf.DUMMYFUNCTION("""COMPUTED_VALUE"""),"0914 126 058")</f>
        <v>0914 126 058</v>
      </c>
      <c r="B1345" s="119" t="str">
        <f>IFERROR(__xludf.DUMMYFUNCTION("""COMPUTED_VALUE"""),"Bác Khánh")</f>
        <v>Bác Khánh</v>
      </c>
      <c r="C1345" s="119" t="str">
        <f>IFERROR(__xludf.DUMMYFUNCTION("""COMPUTED_VALUE"""),"82 Nguyễn Hoàng")</f>
        <v>82 Nguyễn Hoàng</v>
      </c>
      <c r="D1345" s="119" t="str">
        <f>IFERROR(__xludf.DUMMYFUNCTION("""COMPUTED_VALUE"""),"chó")</f>
        <v>chó</v>
      </c>
      <c r="E1345" s="119" t="str">
        <f>IFERROR(__xludf.DUMMYFUNCTION("""COMPUTED_VALUE""")," Mun")</f>
        <v> Mun</v>
      </c>
    </row>
    <row r="1346" ht="15.75" customHeight="1">
      <c r="A1346" s="122" t="str">
        <f>IFERROR(__xludf.DUMMYFUNCTION("""COMPUTED_VALUE"""),"0848 052 357")</f>
        <v>0848 052 357</v>
      </c>
      <c r="B1346" s="119" t="str">
        <f>IFERROR(__xludf.DUMMYFUNCTION("""COMPUTED_VALUE"""),"Em Khoa")</f>
        <v>Em Khoa</v>
      </c>
      <c r="C1346" s="119" t="str">
        <f>IFERROR(__xludf.DUMMYFUNCTION("""COMPUTED_VALUE"""),"18/3/3 Vạn Xuân")</f>
        <v>18/3/3 Vạn Xuân</v>
      </c>
      <c r="D1346" s="119" t="str">
        <f>IFERROR(__xludf.DUMMYFUNCTION("""COMPUTED_VALUE"""),"chó")</f>
        <v>chó</v>
      </c>
      <c r="E1346" s="119" t="str">
        <f>IFERROR(__xludf.DUMMYFUNCTION("""COMPUTED_VALUE""")," Đen")</f>
        <v> Đen</v>
      </c>
    </row>
    <row r="1347" ht="15.75" customHeight="1">
      <c r="A1347" s="128" t="str">
        <f>IFERROR(__xludf.DUMMYFUNCTION("""COMPUTED_VALUE"""),"0818 292 911")</f>
        <v>0818 292 911</v>
      </c>
      <c r="B1347" s="127" t="str">
        <f>IFERROR(__xludf.DUMMYFUNCTION("""COMPUTED_VALUE"""),"Anh Hoàng")</f>
        <v>Anh Hoàng</v>
      </c>
      <c r="C1347" s="127" t="str">
        <f>IFERROR(__xludf.DUMMYFUNCTION("""COMPUTED_VALUE"""),"68 Vũ Ngọc Phan")</f>
        <v>68 Vũ Ngọc Phan</v>
      </c>
      <c r="D1347" s="127" t="str">
        <f>IFERROR(__xludf.DUMMYFUNCTION("""COMPUTED_VALUE"""),"mèo")</f>
        <v>mèo</v>
      </c>
      <c r="E1347" s="119" t="str">
        <f>IFERROR(__xludf.DUMMYFUNCTION("""COMPUTED_VALUE""")," Bèo")</f>
        <v> Bèo</v>
      </c>
    </row>
    <row r="1348" ht="15.75" customHeight="1">
      <c r="A1348" s="122" t="str">
        <f>IFERROR(__xludf.DUMMYFUNCTION("""COMPUTED_VALUE"""),"0354 725 429")</f>
        <v>0354 725 429</v>
      </c>
      <c r="B1348" s="119" t="str">
        <f>IFERROR(__xludf.DUMMYFUNCTION("""COMPUTED_VALUE"""),"Chị Trang")</f>
        <v>Chị Trang</v>
      </c>
      <c r="C1348" s="119" t="str">
        <f>IFERROR(__xludf.DUMMYFUNCTION("""COMPUTED_VALUE"""),"Quảng Thọ Quảng Điền")</f>
        <v>Quảng Thọ Quảng Điền</v>
      </c>
      <c r="D1348" s="119" t="str">
        <f>IFERROR(__xludf.DUMMYFUNCTION("""COMPUTED_VALUE"""),"chó")</f>
        <v>chó</v>
      </c>
      <c r="E1348" s="119" t="str">
        <f>IFERROR(__xludf.DUMMYFUNCTION("""COMPUTED_VALUE""")," Lucky")</f>
        <v> Lucky</v>
      </c>
    </row>
    <row r="1349" ht="15.75" customHeight="1">
      <c r="A1349" s="122" t="str">
        <f>IFERROR(__xludf.DUMMYFUNCTION("""COMPUTED_VALUE"""),"0933 090 644")</f>
        <v>0933 090 644</v>
      </c>
      <c r="B1349" s="119" t="str">
        <f>IFERROR(__xludf.DUMMYFUNCTION("""COMPUTED_VALUE"""),"Dì Lý")</f>
        <v>Dì Lý</v>
      </c>
      <c r="C1349" s="119" t="str">
        <f>IFERROR(__xludf.DUMMYFUNCTION("""COMPUTED_VALUE""")," 3 Vạn Xuân")</f>
        <v> 3 Vạn Xuân</v>
      </c>
      <c r="D1349" s="119" t="str">
        <f>IFERROR(__xludf.DUMMYFUNCTION("""COMPUTED_VALUE"""),"mèo")</f>
        <v>mèo</v>
      </c>
      <c r="E1349" s="119" t="str">
        <f>IFERROR(__xludf.DUMMYFUNCTION("""COMPUTED_VALUE""")," Meo")</f>
        <v> Meo</v>
      </c>
    </row>
    <row r="1350" ht="15.75" customHeight="1">
      <c r="A1350" s="128" t="str">
        <f>IFERROR(__xludf.DUMMYFUNCTION("""COMPUTED_VALUE"""),"0374 457 286")</f>
        <v>0374 457 286</v>
      </c>
      <c r="B1350" s="127" t="str">
        <f>IFERROR(__xludf.DUMMYFUNCTION("""COMPUTED_VALUE"""),"Tuấn Anh")</f>
        <v>Tuấn Anh</v>
      </c>
      <c r="C1350" s="127" t="str">
        <f>IFERROR(__xludf.DUMMYFUNCTION("""COMPUTED_VALUE"""),"210/6 Lý Nam Đế")</f>
        <v>210/6 Lý Nam Đế</v>
      </c>
      <c r="D1350" s="127" t="str">
        <f>IFERROR(__xludf.DUMMYFUNCTION("""COMPUTED_VALUE"""),"chó")</f>
        <v>chó</v>
      </c>
      <c r="E1350" s="127" t="str">
        <f>IFERROR(__xludf.DUMMYFUNCTION("""COMPUTED_VALUE""")," Kem")</f>
        <v> Kem</v>
      </c>
    </row>
    <row r="1351" ht="15.75" customHeight="1">
      <c r="A1351" s="128" t="str">
        <f>IFERROR(__xludf.DUMMYFUNCTION("""COMPUTED_VALUE"""),"0913 606 354")</f>
        <v>0913 606 354</v>
      </c>
      <c r="B1351" s="127" t="str">
        <f>IFERROR(__xludf.DUMMYFUNCTION("""COMPUTED_VALUE"""),"Chú Dũng")</f>
        <v>Chú Dũng</v>
      </c>
      <c r="C1351" s="127" t="str">
        <f>IFERROR(__xludf.DUMMYFUNCTION("""COMPUTED_VALUE""")," Phú Lộc")</f>
        <v> Phú Lộc</v>
      </c>
      <c r="D1351" s="127" t="str">
        <f>IFERROR(__xludf.DUMMYFUNCTION("""COMPUTED_VALUE"""),"chó")</f>
        <v>chó</v>
      </c>
      <c r="E1351" s="127" t="str">
        <f>IFERROR(__xludf.DUMMYFUNCTION("""COMPUTED_VALUE"""),"Mi")</f>
        <v>Mi</v>
      </c>
    </row>
    <row r="1352" ht="15.75" customHeight="1">
      <c r="A1352" s="122" t="str">
        <f>IFERROR(__xludf.DUMMYFUNCTION("""COMPUTED_VALUE"""),"0935 761 816")</f>
        <v>0935 761 816</v>
      </c>
      <c r="B1352" s="119" t="str">
        <f>IFERROR(__xludf.DUMMYFUNCTION("""COMPUTED_VALUE"""),"Chú Đồng")</f>
        <v>Chú Đồng</v>
      </c>
      <c r="C1352" s="119" t="str">
        <f>IFERROR(__xludf.DUMMYFUNCTION("""COMPUTED_VALUE""")," 12/21 Thạch Hãn")</f>
        <v> 12/21 Thạch Hãn</v>
      </c>
      <c r="D1352" s="119" t="str">
        <f>IFERROR(__xludf.DUMMYFUNCTION("""COMPUTED_VALUE"""),"mèo")</f>
        <v>mèo</v>
      </c>
      <c r="E1352" s="119" t="str">
        <f>IFERROR(__xludf.DUMMYFUNCTION("""COMPUTED_VALUE"""),"Út")</f>
        <v>Út</v>
      </c>
    </row>
    <row r="1353" ht="15.75" customHeight="1">
      <c r="A1353" s="122" t="str">
        <f>IFERROR(__xludf.DUMMYFUNCTION("""COMPUTED_VALUE"""),"0342 142 140")</f>
        <v>0342 142 140</v>
      </c>
      <c r="B1353" s="119" t="str">
        <f>IFERROR(__xludf.DUMMYFUNCTION("""COMPUTED_VALUE"""),"Anh Rôn")</f>
        <v>Anh Rôn</v>
      </c>
      <c r="C1353" s="119" t="str">
        <f>IFERROR(__xludf.DUMMYFUNCTION("""COMPUTED_VALUE"""),"ngự")</f>
        <v>ngự</v>
      </c>
      <c r="D1353" s="119"/>
      <c r="E1353" s="119"/>
    </row>
    <row r="1354" ht="15.75" customHeight="1">
      <c r="A1354" s="128" t="str">
        <f>IFERROR(__xludf.DUMMYFUNCTION("""COMPUTED_VALUE"""),"0948 552 259")</f>
        <v>0948 552 259</v>
      </c>
      <c r="B1354" s="127" t="str">
        <f>IFERROR(__xludf.DUMMYFUNCTION("""COMPUTED_VALUE"""),"Chị trúc")</f>
        <v>Chị trúc</v>
      </c>
      <c r="C1354" s="127"/>
      <c r="D1354" s="127" t="str">
        <f>IFERROR(__xludf.DUMMYFUNCTION("""COMPUTED_VALUE"""),"chó")</f>
        <v>chó</v>
      </c>
      <c r="E1354" s="127" t="str">
        <f>IFERROR(__xludf.DUMMYFUNCTION("""COMPUTED_VALUE"""),"rốt")</f>
        <v>rốt</v>
      </c>
    </row>
    <row r="1355" ht="15.75" customHeight="1">
      <c r="A1355" s="128" t="str">
        <f>IFERROR(__xludf.DUMMYFUNCTION("""COMPUTED_VALUE"""),"0934 715 754")</f>
        <v>0934 715 754</v>
      </c>
      <c r="B1355" s="127" t="str">
        <f>IFERROR(__xludf.DUMMYFUNCTION("""COMPUTED_VALUE"""),"Anh Dũng")</f>
        <v>Anh Dũng</v>
      </c>
      <c r="C1355" s="127" t="str">
        <f>IFERROR(__xludf.DUMMYFUNCTION("""COMPUTED_VALUE"""),"18 Dồng Khởi")</f>
        <v>18 Dồng Khởi</v>
      </c>
      <c r="D1355" s="127" t="str">
        <f>IFERROR(__xludf.DUMMYFUNCTION("""COMPUTED_VALUE"""),"chó")</f>
        <v>chó</v>
      </c>
      <c r="E1355" s="127" t="str">
        <f>IFERROR(__xludf.DUMMYFUNCTION("""COMPUTED_VALUE""")," ")</f>
        <v> </v>
      </c>
    </row>
    <row r="1356" ht="15.75" customHeight="1">
      <c r="A1356" s="122" t="str">
        <f>IFERROR(__xludf.DUMMYFUNCTION("""COMPUTED_VALUE"""),"0935 483 453")</f>
        <v>0935 483 453</v>
      </c>
      <c r="B1356" s="119" t="str">
        <f>IFERROR(__xludf.DUMMYFUNCTION("""COMPUTED_VALUE"""),"Chị Hòa")</f>
        <v>Chị Hòa</v>
      </c>
      <c r="C1356" s="119" t="str">
        <f>IFERROR(__xludf.DUMMYFUNCTION("""COMPUTED_VALUE"""),"21/68 đặng huy trứ")</f>
        <v>21/68 đặng huy trứ</v>
      </c>
      <c r="D1356" s="119" t="str">
        <f>IFERROR(__xludf.DUMMYFUNCTION("""COMPUTED_VALUE"""),"chó")</f>
        <v>chó</v>
      </c>
      <c r="E1356" s="119" t="str">
        <f>IFERROR(__xludf.DUMMYFUNCTION("""COMPUTED_VALUE"""),"Sữa")</f>
        <v>Sữa</v>
      </c>
    </row>
    <row r="1357" ht="15.75" customHeight="1">
      <c r="A1357" s="128" t="str">
        <f>IFERROR(__xludf.DUMMYFUNCTION("""COMPUTED_VALUE"""),"0367 200 429")</f>
        <v>0367 200 429</v>
      </c>
      <c r="B1357" s="127" t="str">
        <f>IFERROR(__xludf.DUMMYFUNCTION("""COMPUTED_VALUE"""),"Anh Quân")</f>
        <v>Anh Quân</v>
      </c>
      <c r="C1357" s="127" t="str">
        <f>IFERROR(__xludf.DUMMYFUNCTION("""COMPUTED_VALUE"""),"k268 Lý NAm Đế")</f>
        <v>k268 Lý NAm Đế</v>
      </c>
      <c r="D1357" s="127" t="str">
        <f>IFERROR(__xludf.DUMMYFUNCTION("""COMPUTED_VALUE"""),"mèo")</f>
        <v>mèo</v>
      </c>
      <c r="E1357" s="127" t="str">
        <f>IFERROR(__xludf.DUMMYFUNCTION("""COMPUTED_VALUE"""),"Mây")</f>
        <v>Mây</v>
      </c>
    </row>
    <row r="1358" ht="15.75" customHeight="1">
      <c r="A1358" s="128" t="str">
        <f>IFERROR(__xludf.DUMMYFUNCTION("""COMPUTED_VALUE"""),"0984 504 575")</f>
        <v>0984 504 575</v>
      </c>
      <c r="B1358" s="127" t="str">
        <f>IFERROR(__xludf.DUMMYFUNCTION("""COMPUTED_VALUE"""),"Trang")</f>
        <v>Trang</v>
      </c>
      <c r="C1358" s="127" t="str">
        <f>IFERROR(__xludf.DUMMYFUNCTION("""COMPUTED_VALUE"""),"101 Dương VĂn An")</f>
        <v>101 Dương VĂn An</v>
      </c>
      <c r="D1358" s="127" t="str">
        <f>IFERROR(__xludf.DUMMYFUNCTION("""COMPUTED_VALUE"""),"mèo")</f>
        <v>mèo</v>
      </c>
      <c r="E1358" s="133" t="str">
        <f>IFERROR(__xludf.DUMMYFUNCTION("""COMPUTED_VALUE"""),"Chun")</f>
        <v>Chun</v>
      </c>
    </row>
    <row r="1359" ht="15.75" customHeight="1">
      <c r="A1359" s="128" t="str">
        <f>IFERROR(__xludf.DUMMYFUNCTION("""COMPUTED_VALUE"""),"0914 077 750")</f>
        <v>0914 077 750</v>
      </c>
      <c r="B1359" s="127" t="str">
        <f>IFERROR(__xludf.DUMMYFUNCTION("""COMPUTED_VALUE"""),"ANh Long")</f>
        <v>ANh Long</v>
      </c>
      <c r="C1359" s="127" t="str">
        <f>IFERROR(__xludf.DUMMYFUNCTION("""COMPUTED_VALUE"""),"08 Kim Long")</f>
        <v>08 Kim Long</v>
      </c>
      <c r="D1359" s="127" t="str">
        <f>IFERROR(__xludf.DUMMYFUNCTION("""COMPUTED_VALUE"""),"mèo")</f>
        <v>mèo</v>
      </c>
      <c r="E1359" s="127" t="str">
        <f>IFERROR(__xludf.DUMMYFUNCTION("""COMPUTED_VALUE"""),"Hổ")</f>
        <v>Hổ</v>
      </c>
    </row>
    <row r="1360" ht="15.75" customHeight="1">
      <c r="A1360" s="128" t="str">
        <f>IFERROR(__xludf.DUMMYFUNCTION("""COMPUTED_VALUE"""),"0833 248 220")</f>
        <v>0833 248 220</v>
      </c>
      <c r="B1360" s="127" t="str">
        <f>IFERROR(__xludf.DUMMYFUNCTION("""COMPUTED_VALUE"""),"Chị Ngọc")</f>
        <v>Chị Ngọc</v>
      </c>
      <c r="C1360" s="127" t="str">
        <f>IFERROR(__xludf.DUMMYFUNCTION("""COMPUTED_VALUE"""),"126 Phan chu Trinh")</f>
        <v>126 Phan chu Trinh</v>
      </c>
      <c r="D1360" s="127" t="str">
        <f>IFERROR(__xludf.DUMMYFUNCTION("""COMPUTED_VALUE"""),"chó")</f>
        <v>chó</v>
      </c>
      <c r="E1360" s="127" t="str">
        <f>IFERROR(__xludf.DUMMYFUNCTION("""COMPUTED_VALUE"""),"Lu")</f>
        <v>Lu</v>
      </c>
    </row>
    <row r="1361" ht="15.75" customHeight="1">
      <c r="A1361" s="128" t="str">
        <f>IFERROR(__xludf.DUMMYFUNCTION("""COMPUTED_VALUE"""),"0702 420 252")</f>
        <v>0702 420 252</v>
      </c>
      <c r="B1361" s="127" t="str">
        <f>IFERROR(__xludf.DUMMYFUNCTION("""COMPUTED_VALUE"""),"Anh Lộc")</f>
        <v>Anh Lộc</v>
      </c>
      <c r="C1361" s="127" t="str">
        <f>IFERROR(__xludf.DUMMYFUNCTION("""COMPUTED_VALUE"""),"2/2 Trương Gia Mô")</f>
        <v>2/2 Trương Gia Mô</v>
      </c>
      <c r="D1361" s="127" t="str">
        <f>IFERROR(__xludf.DUMMYFUNCTION("""COMPUTED_VALUE"""),"chó")</f>
        <v>chó</v>
      </c>
      <c r="E1361" s="127" t="str">
        <f>IFERROR(__xludf.DUMMYFUNCTION("""COMPUTED_VALUE"""),"Rốt")</f>
        <v>Rốt</v>
      </c>
    </row>
    <row r="1362" ht="15.75" customHeight="1">
      <c r="A1362" s="128" t="str">
        <f>IFERROR(__xludf.DUMMYFUNCTION("""COMPUTED_VALUE"""),"0342 243 232")</f>
        <v>0342 243 232</v>
      </c>
      <c r="B1362" s="127" t="str">
        <f>IFERROR(__xludf.DUMMYFUNCTION("""COMPUTED_VALUE"""),"Anh Tuấn")</f>
        <v>Anh Tuấn</v>
      </c>
      <c r="C1362" s="127" t="str">
        <f>IFERROR(__xludf.DUMMYFUNCTION("""COMPUTED_VALUE"""),"Ngõ 40 Phan Chu Trinh")</f>
        <v>Ngõ 40 Phan Chu Trinh</v>
      </c>
      <c r="D1362" s="127" t="str">
        <f>IFERROR(__xludf.DUMMYFUNCTION("""COMPUTED_VALUE"""),"chó")</f>
        <v>chó</v>
      </c>
      <c r="E1362" s="127" t="str">
        <f>IFERROR(__xludf.DUMMYFUNCTION("""COMPUTED_VALUE"""),"Mon")</f>
        <v>Mon</v>
      </c>
    </row>
    <row r="1363" ht="15.75" customHeight="1">
      <c r="A1363" s="128" t="str">
        <f>IFERROR(__xludf.DUMMYFUNCTION("""COMPUTED_VALUE"""),"0934 887 926")</f>
        <v>0934 887 926</v>
      </c>
      <c r="B1363" s="127" t="str">
        <f>IFERROR(__xludf.DUMMYFUNCTION("""COMPUTED_VALUE"""),"Chị Dung")</f>
        <v>Chị Dung</v>
      </c>
      <c r="C1363" s="127" t="str">
        <f>IFERROR(__xludf.DUMMYFUNCTION("""COMPUTED_VALUE"""),"354 Bùi Thị Xuân")</f>
        <v>354 Bùi Thị Xuân</v>
      </c>
      <c r="D1363" s="127" t="str">
        <f>IFERROR(__xludf.DUMMYFUNCTION("""COMPUTED_VALUE"""),"mèo ")</f>
        <v>mèo </v>
      </c>
      <c r="E1363" s="127" t="str">
        <f>IFERROR(__xludf.DUMMYFUNCTION("""COMPUTED_VALUE"""),"dâu")</f>
        <v>dâu</v>
      </c>
    </row>
    <row r="1364" ht="15.75" customHeight="1">
      <c r="A1364" s="128" t="str">
        <f>IFERROR(__xludf.DUMMYFUNCTION("""COMPUTED_VALUE"""),"0905 747 517")</f>
        <v>0905 747 517</v>
      </c>
      <c r="B1364" s="127" t="str">
        <f>IFERROR(__xludf.DUMMYFUNCTION("""COMPUTED_VALUE"""),"Chú Phạm Hậu")</f>
        <v>Chú Phạm Hậu</v>
      </c>
      <c r="C1364" s="127" t="str">
        <f>IFERROR(__xludf.DUMMYFUNCTION("""COMPUTED_VALUE"""),"30 Phú Mộng")</f>
        <v>30 Phú Mộng</v>
      </c>
      <c r="D1364" s="127" t="str">
        <f>IFERROR(__xludf.DUMMYFUNCTION("""COMPUTED_VALUE"""),"chó")</f>
        <v>chó</v>
      </c>
      <c r="E1364" s="127" t="str">
        <f>IFERROR(__xludf.DUMMYFUNCTION("""COMPUTED_VALUE"""),"Mi Lu")</f>
        <v>Mi Lu</v>
      </c>
    </row>
    <row r="1365" ht="15.75" customHeight="1">
      <c r="A1365" s="128" t="str">
        <f>IFERROR(__xludf.DUMMYFUNCTION("""COMPUTED_VALUE"""),"0903 384 626")</f>
        <v>0903 384 626</v>
      </c>
      <c r="B1365" s="127" t="str">
        <f>IFERROR(__xludf.DUMMYFUNCTION("""COMPUTED_VALUE"""),"Chị Na")</f>
        <v>Chị Na</v>
      </c>
      <c r="C1365" s="127" t="str">
        <f>IFERROR(__xludf.DUMMYFUNCTION("""COMPUTED_VALUE"""),"133 Vạn Xuân")</f>
        <v>133 Vạn Xuân</v>
      </c>
      <c r="D1365" s="127" t="str">
        <f>IFERROR(__xludf.DUMMYFUNCTION("""COMPUTED_VALUE"""),"chó")</f>
        <v>chó</v>
      </c>
      <c r="E1365" s="127" t="str">
        <f>IFERROR(__xludf.DUMMYFUNCTION("""COMPUTED_VALUE"""),"SoDa")</f>
        <v>SoDa</v>
      </c>
    </row>
    <row r="1366" ht="15.75" customHeight="1">
      <c r="A1366" s="128" t="str">
        <f>IFERROR(__xludf.DUMMYFUNCTION("""COMPUTED_VALUE"""),"0794 259 071")</f>
        <v>0794 259 071</v>
      </c>
      <c r="B1366" s="127" t="str">
        <f>IFERROR(__xludf.DUMMYFUNCTION("""COMPUTED_VALUE"""),"Chị Xuyên")</f>
        <v>Chị Xuyên</v>
      </c>
      <c r="C1366" s="127" t="str">
        <f>IFERROR(__xludf.DUMMYFUNCTION("""COMPUTED_VALUE"""),"79/8 Phạm Thị Liên")</f>
        <v>79/8 Phạm Thị Liên</v>
      </c>
      <c r="D1366" s="127" t="str">
        <f>IFERROR(__xludf.DUMMYFUNCTION("""COMPUTED_VALUE"""),"chó")</f>
        <v>chó</v>
      </c>
      <c r="E1366" s="127" t="str">
        <f>IFERROR(__xludf.DUMMYFUNCTION("""COMPUTED_VALUE"""),"ko tên")</f>
        <v>ko tên</v>
      </c>
    </row>
    <row r="1367" ht="15.75" customHeight="1">
      <c r="A1367" s="128" t="str">
        <f>IFERROR(__xludf.DUMMYFUNCTION("""COMPUTED_VALUE"""),"0974 171 708")</f>
        <v>0974 171 708</v>
      </c>
      <c r="B1367" s="127" t="str">
        <f>IFERROR(__xludf.DUMMYFUNCTION("""COMPUTED_VALUE"""),"Đoàn Thanh Thiên")</f>
        <v>Đoàn Thanh Thiên</v>
      </c>
      <c r="C1367" s="127" t="str">
        <f>IFERROR(__xludf.DUMMYFUNCTION("""COMPUTED_VALUE"""),"14 Ngô Thừa nhậm")</f>
        <v>14 Ngô Thừa nhậm</v>
      </c>
      <c r="D1367" s="127" t="str">
        <f>IFERROR(__xludf.DUMMYFUNCTION("""COMPUTED_VALUE"""),"chó  ")</f>
        <v>chó  </v>
      </c>
      <c r="E1367" s="127" t="str">
        <f>IFERROR(__xludf.DUMMYFUNCTION("""COMPUTED_VALUE"""),"red")</f>
        <v>red</v>
      </c>
    </row>
    <row r="1368" ht="15.75" customHeight="1">
      <c r="A1368" s="128" t="str">
        <f>IFERROR(__xludf.DUMMYFUNCTION("""COMPUTED_VALUE"""),"0984 866 794")</f>
        <v>0984 866 794</v>
      </c>
      <c r="B1368" s="127" t="str">
        <f>IFERROR(__xludf.DUMMYFUNCTION("""COMPUTED_VALUE"""),"chị Thanh Huệ")</f>
        <v>chị Thanh Huệ</v>
      </c>
      <c r="C1368" s="127" t="str">
        <f>IFERROR(__xludf.DUMMYFUNCTION("""COMPUTED_VALUE"""),"Trần Phú")</f>
        <v>Trần Phú</v>
      </c>
      <c r="D1368" s="127" t="str">
        <f>IFERROR(__xludf.DUMMYFUNCTION("""COMPUTED_VALUE"""),"mèo")</f>
        <v>mèo</v>
      </c>
      <c r="E1368" s="127" t="str">
        <f>IFERROR(__xludf.DUMMYFUNCTION("""COMPUTED_VALUE"""),"Xoài")</f>
        <v>Xoài</v>
      </c>
    </row>
    <row r="1369" ht="15.75" customHeight="1">
      <c r="A1369" s="128" t="str">
        <f>IFERROR(__xludf.DUMMYFUNCTION("""COMPUTED_VALUE"""),"0793 635 931")</f>
        <v>0793 635 931</v>
      </c>
      <c r="B1369" s="127" t="str">
        <f>IFERROR(__xludf.DUMMYFUNCTION("""COMPUTED_VALUE"""),"Chị Bông")</f>
        <v>Chị Bông</v>
      </c>
      <c r="C1369" s="127" t="str">
        <f>IFERROR(__xludf.DUMMYFUNCTION("""COMPUTED_VALUE"""),"15 Tôn Đức thắng")</f>
        <v>15 Tôn Đức thắng</v>
      </c>
      <c r="D1369" s="127" t="str">
        <f>IFERROR(__xludf.DUMMYFUNCTION("""COMPUTED_VALUE"""),"chó")</f>
        <v>chó</v>
      </c>
      <c r="E1369" s="127" t="str">
        <f>IFERROR(__xludf.DUMMYFUNCTION("""COMPUTED_VALUE"""),"Ki")</f>
        <v>Ki</v>
      </c>
    </row>
    <row r="1370" ht="15.75" customHeight="1">
      <c r="A1370" s="128" t="str">
        <f>IFERROR(__xludf.DUMMYFUNCTION("""COMPUTED_VALUE"""),"0335 777 301")</f>
        <v>0335 777 301</v>
      </c>
      <c r="B1370" s="127" t="str">
        <f>IFERROR(__xludf.DUMMYFUNCTION("""COMPUTED_VALUE"""),"Em Như ý")</f>
        <v>Em Như ý</v>
      </c>
      <c r="C1370" s="127" t="str">
        <f>IFERROR(__xludf.DUMMYFUNCTION("""COMPUTED_VALUE""")," Hương Hồ")</f>
        <v> Hương Hồ</v>
      </c>
      <c r="D1370" s="127" t="str">
        <f>IFERROR(__xludf.DUMMYFUNCTION("""COMPUTED_VALUE"""),"chó ")</f>
        <v>chó </v>
      </c>
      <c r="E1370" s="127" t="str">
        <f>IFERROR(__xludf.DUMMYFUNCTION("""COMPUTED_VALUE"""),"Hom")</f>
        <v>Hom</v>
      </c>
    </row>
    <row r="1371" ht="15.75" customHeight="1">
      <c r="A1371" s="128" t="str">
        <f>IFERROR(__xludf.DUMMYFUNCTION("""COMPUTED_VALUE"""),"0346 334 700")</f>
        <v>0346 334 700</v>
      </c>
      <c r="B1371" s="127" t="str">
        <f>IFERROR(__xludf.DUMMYFUNCTION("""COMPUTED_VALUE"""),"Huyền")</f>
        <v>Huyền</v>
      </c>
      <c r="C1371" s="127" t="str">
        <f>IFERROR(__xludf.DUMMYFUNCTION("""COMPUTED_VALUE"""),"31 Tây Sơn")</f>
        <v>31 Tây Sơn</v>
      </c>
      <c r="D1371" s="127" t="str">
        <f>IFERROR(__xludf.DUMMYFUNCTION("""COMPUTED_VALUE"""),"mèo")</f>
        <v>mèo</v>
      </c>
      <c r="E1371" s="127" t="str">
        <f>IFERROR(__xludf.DUMMYFUNCTION("""COMPUTED_VALUE"""),"kem")</f>
        <v>kem</v>
      </c>
    </row>
    <row r="1372" ht="15.75" customHeight="1">
      <c r="A1372" s="128" t="str">
        <f>IFERROR(__xludf.DUMMYFUNCTION("""COMPUTED_VALUE"""),"0905 595 881")</f>
        <v>0905 595 881</v>
      </c>
      <c r="B1372" s="127" t="str">
        <f>IFERROR(__xludf.DUMMYFUNCTION("""COMPUTED_VALUE"""),"Chú Linh")</f>
        <v>Chú Linh</v>
      </c>
      <c r="C1372" s="127" t="str">
        <f>IFERROR(__xludf.DUMMYFUNCTION("""COMPUTED_VALUE"""),"2 Lý nhân tông")</f>
        <v>2 Lý nhân tông</v>
      </c>
      <c r="D1372" s="127" t="str">
        <f>IFERROR(__xludf.DUMMYFUNCTION("""COMPUTED_VALUE"""),"chó ")</f>
        <v>chó </v>
      </c>
      <c r="E1372" s="127" t="str">
        <f>IFERROR(__xludf.DUMMYFUNCTION("""COMPUTED_VALUE"""),"Mimi")</f>
        <v>Mimi</v>
      </c>
    </row>
    <row r="1373" ht="15.75" customHeight="1">
      <c r="A1373" s="128" t="str">
        <f>IFERROR(__xludf.DUMMYFUNCTION("""COMPUTED_VALUE"""),"0819 075 176")</f>
        <v>0819 075 176</v>
      </c>
      <c r="B1373" s="127" t="str">
        <f>IFERROR(__xludf.DUMMYFUNCTION("""COMPUTED_VALUE"""),"Em Ngọc trâm")</f>
        <v>Em Ngọc trâm</v>
      </c>
      <c r="C1373" s="127" t="str">
        <f>IFERROR(__xludf.DUMMYFUNCTION("""COMPUTED_VALUE""")," An Hòa Hương an")</f>
        <v> An Hòa Hương an</v>
      </c>
      <c r="D1373" s="127" t="str">
        <f>IFERROR(__xludf.DUMMYFUNCTION("""COMPUTED_VALUE"""),"chó")</f>
        <v>chó</v>
      </c>
      <c r="E1373" s="127" t="str">
        <f>IFERROR(__xludf.DUMMYFUNCTION("""COMPUTED_VALUE""")," trắng /vàng")</f>
        <v> trắng /vàng</v>
      </c>
    </row>
    <row r="1374" ht="15.75" customHeight="1">
      <c r="A1374" s="128" t="str">
        <f>IFERROR(__xludf.DUMMYFUNCTION("""COMPUTED_VALUE"""),"0356 046 350")</f>
        <v>0356 046 350</v>
      </c>
      <c r="B1374" s="127" t="str">
        <f>IFERROR(__xludf.DUMMYFUNCTION("""COMPUTED_VALUE"""),"    Em Cường")</f>
        <v>    Em Cường</v>
      </c>
      <c r="C1374" s="127" t="str">
        <f>IFERROR(__xludf.DUMMYFUNCTION("""COMPUTED_VALUE"""),"An Tây")</f>
        <v>An Tây</v>
      </c>
      <c r="D1374" s="127" t="str">
        <f>IFERROR(__xludf.DUMMYFUNCTION("""COMPUTED_VALUE"""),"chó")</f>
        <v>chó</v>
      </c>
      <c r="E1374" s="127" t="str">
        <f>IFERROR(__xludf.DUMMYFUNCTION("""COMPUTED_VALUE"""),"đen")</f>
        <v>đen</v>
      </c>
    </row>
    <row r="1375" ht="15.75" customHeight="1">
      <c r="A1375" s="128" t="str">
        <f>IFERROR(__xludf.DUMMYFUNCTION("""COMPUTED_VALUE"""),"0905 049 682")</f>
        <v>0905 049 682</v>
      </c>
      <c r="B1375" s="127" t="str">
        <f>IFERROR(__xludf.DUMMYFUNCTION("""COMPUTED_VALUE"""),"Anh Sang")</f>
        <v>Anh Sang</v>
      </c>
      <c r="C1375" s="127" t="str">
        <f>IFERROR(__xludf.DUMMYFUNCTION("""COMPUTED_VALUE"""),"6/2/35 Nguyễn Phúc Lan")</f>
        <v>6/2/35 Nguyễn Phúc Lan</v>
      </c>
      <c r="D1375" s="127" t="str">
        <f>IFERROR(__xludf.DUMMYFUNCTION("""COMPUTED_VALUE"""),"Chó")</f>
        <v>Chó</v>
      </c>
      <c r="E1375" s="127" t="str">
        <f>IFERROR(__xludf.DUMMYFUNCTION("""COMPUTED_VALUE"""),"Gấu")</f>
        <v>Gấu</v>
      </c>
    </row>
    <row r="1376" ht="15.75" customHeight="1">
      <c r="A1376" s="128" t="str">
        <f>IFERROR(__xludf.DUMMYFUNCTION("""COMPUTED_VALUE"""),"0973 412 539")</f>
        <v>0973 412 539</v>
      </c>
      <c r="B1376" s="127" t="str">
        <f>IFERROR(__xludf.DUMMYFUNCTION("""COMPUTED_VALUE"""),"Bác sĩ Thu Y Thành")</f>
        <v>Bác sĩ Thu Y Thành</v>
      </c>
      <c r="C1376" s="127" t="str">
        <f>IFERROR(__xludf.DUMMYFUNCTION("""COMPUTED_VALUE"""),"Phú Bài")</f>
        <v>Phú Bài</v>
      </c>
      <c r="D1376" s="127" t="str">
        <f>IFERROR(__xludf.DUMMYFUNCTION("""COMPUTED_VALUE"""),"chó")</f>
        <v>chó</v>
      </c>
      <c r="E1376" s="127"/>
    </row>
    <row r="1377" ht="15.75" customHeight="1">
      <c r="A1377" s="128" t="str">
        <f>IFERROR(__xludf.DUMMYFUNCTION("""COMPUTED_VALUE"""),"0355 924 828")</f>
        <v>0355 924 828</v>
      </c>
      <c r="B1377" s="127" t="str">
        <f>IFERROR(__xludf.DUMMYFUNCTION("""COMPUTED_VALUE"""),"Hà")</f>
        <v>Hà</v>
      </c>
      <c r="C1377" s="127" t="str">
        <f>IFERROR(__xludf.DUMMYFUNCTION("""COMPUTED_VALUE"""),"34/16 Duy Tân")</f>
        <v>34/16 Duy Tân</v>
      </c>
      <c r="D1377" s="127" t="str">
        <f>IFERROR(__xludf.DUMMYFUNCTION("""COMPUTED_VALUE"""),"chó")</f>
        <v>chó</v>
      </c>
      <c r="E1377" s="127"/>
    </row>
    <row r="1378" ht="15.75" customHeight="1">
      <c r="A1378" s="128" t="str">
        <f>IFERROR(__xludf.DUMMYFUNCTION("""COMPUTED_VALUE"""),"0774 444 987")</f>
        <v>0774 444 987</v>
      </c>
      <c r="B1378" s="127" t="str">
        <f>IFERROR(__xludf.DUMMYFUNCTION("""COMPUTED_VALUE"""),"Lê Thị Kiều Sang")</f>
        <v>Lê Thị Kiều Sang</v>
      </c>
      <c r="C1378" s="127" t="str">
        <f>IFERROR(__xludf.DUMMYFUNCTION("""COMPUTED_VALUE"""),"Chùa")</f>
        <v>Chùa</v>
      </c>
      <c r="D1378" s="127" t="str">
        <f>IFERROR(__xludf.DUMMYFUNCTION("""COMPUTED_VALUE"""),"Mèo")</f>
        <v>Mèo</v>
      </c>
      <c r="E1378" s="127" t="str">
        <f>IFERROR(__xludf.DUMMYFUNCTION("""COMPUTED_VALUE"""),"Mèo")</f>
        <v>Mèo</v>
      </c>
    </row>
    <row r="1379" ht="15.75" customHeight="1">
      <c r="A1379" s="128" t="str">
        <f>IFERROR(__xludf.DUMMYFUNCTION("""COMPUTED_VALUE"""),"0935 703 923")</f>
        <v>0935 703 923</v>
      </c>
      <c r="B1379" s="127" t="str">
        <f>IFERROR(__xludf.DUMMYFUNCTION("""COMPUTED_VALUE"""),"Dì Nhạn")</f>
        <v>Dì Nhạn</v>
      </c>
      <c r="C1379" s="127" t="str">
        <f>IFERROR(__xludf.DUMMYFUNCTION("""COMPUTED_VALUE"""),"Chi Lăng")</f>
        <v>Chi Lăng</v>
      </c>
      <c r="D1379" s="127" t="str">
        <f>IFERROR(__xludf.DUMMYFUNCTION("""COMPUTED_VALUE"""),"Chó")</f>
        <v>Chó</v>
      </c>
      <c r="E1379" s="127" t="str">
        <f>IFERROR(__xludf.DUMMYFUNCTION("""COMPUTED_VALUE"""),"Cóc")</f>
        <v>Cóc</v>
      </c>
    </row>
    <row r="1380" ht="15.75" customHeight="1">
      <c r="A1380" s="128" t="str">
        <f>IFERROR(__xludf.DUMMYFUNCTION("""COMPUTED_VALUE"""),"0376 460 316")</f>
        <v>0376 460 316</v>
      </c>
      <c r="B1380" s="127" t="str">
        <f>IFERROR(__xludf.DUMMYFUNCTION("""COMPUTED_VALUE"""),"Dì lê")</f>
        <v>Dì lê</v>
      </c>
      <c r="C1380" s="127" t="str">
        <f>IFERROR(__xludf.DUMMYFUNCTION("""COMPUTED_VALUE"""),"22 A kiệt 33 Nguyễn Hoàng")</f>
        <v>22 A kiệt 33 Nguyễn Hoàng</v>
      </c>
      <c r="D1380" s="127" t="str">
        <f>IFERROR(__xludf.DUMMYFUNCTION("""COMPUTED_VALUE"""),"chó")</f>
        <v>chó</v>
      </c>
      <c r="E1380" s="127" t="str">
        <f>IFERROR(__xludf.DUMMYFUNCTION("""COMPUTED_VALUE"""),"Shi")</f>
        <v>Shi</v>
      </c>
    </row>
    <row r="1381" ht="15.75" customHeight="1">
      <c r="A1381" s="128" t="str">
        <f>IFERROR(__xludf.DUMMYFUNCTION("""COMPUTED_VALUE"""),"0903 551 114")</f>
        <v>0903 551 114</v>
      </c>
      <c r="B1381" s="127" t="str">
        <f>IFERROR(__xludf.DUMMYFUNCTION("""COMPUTED_VALUE"""),"Chị Ngọc")</f>
        <v>Chị Ngọc</v>
      </c>
      <c r="C1381" s="127" t="str">
        <f>IFERROR(__xludf.DUMMYFUNCTION("""COMPUTED_VALUE"""),"44/130 Thích Tịnh Khiết")</f>
        <v>44/130 Thích Tịnh Khiết</v>
      </c>
      <c r="D1381" s="127" t="str">
        <f>IFERROR(__xludf.DUMMYFUNCTION("""COMPUTED_VALUE""")," chó ")</f>
        <v> chó </v>
      </c>
      <c r="E1381" s="127" t="str">
        <f>IFERROR(__xludf.DUMMYFUNCTION("""COMPUTED_VALUE"""),"Đốm")</f>
        <v>Đốm</v>
      </c>
    </row>
    <row r="1382" ht="15.75" customHeight="1">
      <c r="A1382" s="128" t="str">
        <f>IFERROR(__xludf.DUMMYFUNCTION("""COMPUTED_VALUE"""),"0377 511 915")</f>
        <v>0377 511 915</v>
      </c>
      <c r="B1382" s="127" t="str">
        <f>IFERROR(__xludf.DUMMYFUNCTION("""COMPUTED_VALUE"""),"Chị Duyên")</f>
        <v>Chị Duyên</v>
      </c>
      <c r="C1382" s="127" t="str">
        <f>IFERROR(__xludf.DUMMYFUNCTION("""COMPUTED_VALUE"""),"104 Điện Biên Phủ")</f>
        <v>104 Điện Biên Phủ</v>
      </c>
      <c r="D1382" s="127" t="str">
        <f>IFERROR(__xludf.DUMMYFUNCTION("""COMPUTED_VALUE"""),"Mèo")</f>
        <v>Mèo</v>
      </c>
      <c r="E1382" s="127" t="str">
        <f>IFERROR(__xludf.DUMMYFUNCTION("""COMPUTED_VALUE"""),"Sun")</f>
        <v>Sun</v>
      </c>
    </row>
    <row r="1383" ht="15.75" customHeight="1">
      <c r="A1383" s="124" t="str">
        <f>IFERROR(__xludf.DUMMYFUNCTION("""COMPUTED_VALUE"""),"0838 242 535")</f>
        <v>0838 242 535</v>
      </c>
      <c r="B1383" s="125" t="str">
        <f>IFERROR(__xludf.DUMMYFUNCTION("""COMPUTED_VALUE"""),"Chú Long")</f>
        <v>Chú Long</v>
      </c>
      <c r="C1383" s="125" t="str">
        <f>IFERROR(__xludf.DUMMYFUNCTION("""COMPUTED_VALUE"""),"7 Sự Vạn Hạnh")</f>
        <v>7 Sự Vạn Hạnh</v>
      </c>
      <c r="D1383" s="125" t="str">
        <f>IFERROR(__xludf.DUMMYFUNCTION("""COMPUTED_VALUE"""),"chó")</f>
        <v>chó</v>
      </c>
      <c r="E1383" s="125" t="str">
        <f>IFERROR(__xludf.DUMMYFUNCTION("""COMPUTED_VALUE""")," Rosy")</f>
        <v> Rosy</v>
      </c>
    </row>
    <row r="1384" ht="15.75" customHeight="1">
      <c r="A1384" s="128" t="str">
        <f>IFERROR(__xludf.DUMMYFUNCTION("""COMPUTED_VALUE"""),"0366 138 018")</f>
        <v>0366 138 018</v>
      </c>
      <c r="B1384" s="127" t="str">
        <f>IFERROR(__xludf.DUMMYFUNCTION("""COMPUTED_VALUE"""),"Em Phương Nghi")</f>
        <v>Em Phương Nghi</v>
      </c>
      <c r="C1384" s="127" t="str">
        <f>IFERROR(__xludf.DUMMYFUNCTION("""COMPUTED_VALUE"""),"252 Lý Nam Đế")</f>
        <v>252 Lý Nam Đế</v>
      </c>
      <c r="D1384" s="127" t="str">
        <f>IFERROR(__xludf.DUMMYFUNCTION("""COMPUTED_VALUE"""),"mèo")</f>
        <v>mèo</v>
      </c>
      <c r="E1384" s="127" t="str">
        <f>IFERROR(__xludf.DUMMYFUNCTION("""COMPUTED_VALUE""")," Mía")</f>
        <v> Mía</v>
      </c>
    </row>
    <row r="1385" ht="15.75" customHeight="1">
      <c r="A1385" s="128" t="str">
        <f>IFERROR(__xludf.DUMMYFUNCTION("""COMPUTED_VALUE"""),"0328 977 418")</f>
        <v>0328 977 418</v>
      </c>
      <c r="B1385" s="127" t="str">
        <f>IFERROR(__xludf.DUMMYFUNCTION("""COMPUTED_VALUE"""),"Anh Duy Hân")</f>
        <v>Anh Duy Hân</v>
      </c>
      <c r="C1385" s="127" t="str">
        <f>IFERROR(__xludf.DUMMYFUNCTION("""COMPUTED_VALUE"""),"Nguyễn Thanh Hà")</f>
        <v>Nguyễn Thanh Hà</v>
      </c>
      <c r="D1385" s="127" t="str">
        <f>IFERROR(__xludf.DUMMYFUNCTION("""COMPUTED_VALUE"""),"chó")</f>
        <v>chó</v>
      </c>
      <c r="E1385" s="127" t="str">
        <f>IFERROR(__xludf.DUMMYFUNCTION("""COMPUTED_VALUE""")," Zet")</f>
        <v> Zet</v>
      </c>
    </row>
    <row r="1386" ht="15.75" customHeight="1">
      <c r="A1386" s="128" t="str">
        <f>IFERROR(__xludf.DUMMYFUNCTION("""COMPUTED_VALUE"""),"0972 890 651")</f>
        <v>0972 890 651</v>
      </c>
      <c r="B1386" s="127" t="str">
        <f>IFERROR(__xludf.DUMMYFUNCTION("""COMPUTED_VALUE"""),"Chị Oanh")</f>
        <v>Chị Oanh</v>
      </c>
      <c r="C1386" s="127" t="str">
        <f>IFERROR(__xludf.DUMMYFUNCTION("""COMPUTED_VALUE"""),"kiệt 30 Phạm Thị Liên")</f>
        <v>kiệt 30 Phạm Thị Liên</v>
      </c>
      <c r="D1386" s="127" t="str">
        <f>IFERROR(__xludf.DUMMYFUNCTION("""COMPUTED_VALUE"""),"Chó")</f>
        <v>Chó</v>
      </c>
      <c r="E1386" s="127" t="str">
        <f>IFERROR(__xludf.DUMMYFUNCTION("""COMPUTED_VALUE"""),"Ki")</f>
        <v>Ki</v>
      </c>
    </row>
    <row r="1387" ht="15.75" customHeight="1">
      <c r="A1387" s="128" t="str">
        <f>IFERROR(__xludf.DUMMYFUNCTION("""COMPUTED_VALUE"""),"0908 855 371")</f>
        <v>0908 855 371</v>
      </c>
      <c r="B1387" s="127" t="str">
        <f>IFERROR(__xludf.DUMMYFUNCTION("""COMPUTED_VALUE"""),"Dì Nga")</f>
        <v>Dì Nga</v>
      </c>
      <c r="C1387" s="127" t="str">
        <f>IFERROR(__xludf.DUMMYFUNCTION("""COMPUTED_VALUE"""),"Phạm Thị Liên")</f>
        <v>Phạm Thị Liên</v>
      </c>
      <c r="D1387" s="127" t="str">
        <f>IFERROR(__xludf.DUMMYFUNCTION("""COMPUTED_VALUE"""),"chó")</f>
        <v>chó</v>
      </c>
      <c r="E1387" s="127" t="str">
        <f>IFERROR(__xludf.DUMMYFUNCTION("""COMPUTED_VALUE"""),"Lucky")</f>
        <v>Lucky</v>
      </c>
    </row>
    <row r="1388" ht="15.75" customHeight="1">
      <c r="A1388" s="128" t="str">
        <f>IFERROR(__xludf.DUMMYFUNCTION("""COMPUTED_VALUE"""),"0847 727 979")</f>
        <v>0847 727 979</v>
      </c>
      <c r="B1388" s="127" t="str">
        <f>IFERROR(__xludf.DUMMYFUNCTION("""COMPUTED_VALUE"""),"Thầy Anh")</f>
        <v>Thầy Anh</v>
      </c>
      <c r="C1388" s="127" t="str">
        <f>IFERROR(__xludf.DUMMYFUNCTION("""COMPUTED_VALUE"""),"chùa Vạn Phước")</f>
        <v>chùa Vạn Phước</v>
      </c>
      <c r="D1388" s="127" t="str">
        <f>IFERROR(__xludf.DUMMYFUNCTION("""COMPUTED_VALUE"""),"chó")</f>
        <v>chó</v>
      </c>
      <c r="E1388" s="127" t="str">
        <f>IFERROR(__xludf.DUMMYFUNCTION("""COMPUTED_VALUE"""),"đốm")</f>
        <v>đốm</v>
      </c>
    </row>
    <row r="1389" ht="15.75" customHeight="1">
      <c r="A1389" s="128" t="str">
        <f>IFERROR(__xludf.DUMMYFUNCTION("""COMPUTED_VALUE"""),"0973 417 928")</f>
        <v>0973 417 928</v>
      </c>
      <c r="B1389" s="127" t="str">
        <f>IFERROR(__xludf.DUMMYFUNCTION("""COMPUTED_VALUE"""),"Chị Thuần")</f>
        <v>Chị Thuần</v>
      </c>
      <c r="C1389" s="127" t="str">
        <f>IFERROR(__xludf.DUMMYFUNCTION("""COMPUTED_VALUE"""),"4 kiệt 4 Hoài Thanh")</f>
        <v>4 kiệt 4 Hoài Thanh</v>
      </c>
      <c r="D1389" s="127" t="str">
        <f>IFERROR(__xludf.DUMMYFUNCTION("""COMPUTED_VALUE"""),"Mèo")</f>
        <v>Mèo</v>
      </c>
      <c r="E1389" s="127" t="str">
        <f>IFERROR(__xludf.DUMMYFUNCTION("""COMPUTED_VALUE"""),"Mon")</f>
        <v>Mon</v>
      </c>
    </row>
    <row r="1390" ht="15.75" customHeight="1">
      <c r="A1390" s="128" t="str">
        <f>IFERROR(__xludf.DUMMYFUNCTION("""COMPUTED_VALUE"""),"0796 764 117")</f>
        <v>0796 764 117</v>
      </c>
      <c r="B1390" s="127" t="str">
        <f>IFERROR(__xludf.DUMMYFUNCTION("""COMPUTED_VALUE"""),"Em Phương")</f>
        <v>Em Phương</v>
      </c>
      <c r="C1390" s="127" t="str">
        <f>IFERROR(__xludf.DUMMYFUNCTION("""COMPUTED_VALUE"""),"20/271 Chi Lăng")</f>
        <v>20/271 Chi Lăng</v>
      </c>
      <c r="D1390" s="127" t="str">
        <f>IFERROR(__xludf.DUMMYFUNCTION("""COMPUTED_VALUE"""),"mèo")</f>
        <v>mèo</v>
      </c>
      <c r="E1390" s="127" t="str">
        <f>IFERROR(__xludf.DUMMYFUNCTION("""COMPUTED_VALUE"""),"Milk")</f>
        <v>Milk</v>
      </c>
    </row>
    <row r="1391" ht="15.75" customHeight="1">
      <c r="A1391" s="128" t="str">
        <f>IFERROR(__xludf.DUMMYFUNCTION("""COMPUTED_VALUE"""),"0355 962 855")</f>
        <v>0355 962 855</v>
      </c>
      <c r="B1391" s="127" t="str">
        <f>IFERROR(__xludf.DUMMYFUNCTION("""COMPUTED_VALUE"""),"Dì Bé")</f>
        <v>Dì Bé</v>
      </c>
      <c r="C1391" s="127" t="str">
        <f>IFERROR(__xludf.DUMMYFUNCTION("""COMPUTED_VALUE"""),"9 Phạm Tôn")</f>
        <v>9 Phạm Tôn</v>
      </c>
      <c r="D1391" s="127" t="str">
        <f>IFERROR(__xludf.DUMMYFUNCTION("""COMPUTED_VALUE"""),"Chó")</f>
        <v>Chó</v>
      </c>
      <c r="E1391" s="127" t="str">
        <f>IFERROR(__xludf.DUMMYFUNCTION("""COMPUTED_VALUE"""),"Đậu")</f>
        <v>Đậu</v>
      </c>
    </row>
    <row r="1392" ht="15.75" customHeight="1">
      <c r="A1392" s="128" t="str">
        <f>IFERROR(__xludf.DUMMYFUNCTION("""COMPUTED_VALUE"""),"0888 649 749")</f>
        <v>0888 649 749</v>
      </c>
      <c r="B1392" s="127" t="str">
        <f>IFERROR(__xludf.DUMMYFUNCTION("""COMPUTED_VALUE"""),"Chú Lộc")</f>
        <v>Chú Lộc</v>
      </c>
      <c r="C1392" s="127" t="str">
        <f>IFERROR(__xludf.DUMMYFUNCTION("""COMPUTED_VALUE"""),"9 Tuy Lý Vương")</f>
        <v>9 Tuy Lý Vương</v>
      </c>
      <c r="D1392" s="127" t="str">
        <f>IFERROR(__xludf.DUMMYFUNCTION("""COMPUTED_VALUE"""),"mèo")</f>
        <v>mèo</v>
      </c>
      <c r="E1392" s="127" t="str">
        <f>IFERROR(__xludf.DUMMYFUNCTION("""COMPUTED_VALUE"""),"Bông")</f>
        <v>Bông</v>
      </c>
    </row>
    <row r="1393" ht="15.75" customHeight="1">
      <c r="A1393" s="128" t="str">
        <f>IFERROR(__xludf.DUMMYFUNCTION("""COMPUTED_VALUE"""),"0898 830 764")</f>
        <v>0898 830 764</v>
      </c>
      <c r="B1393" s="127" t="str">
        <f>IFERROR(__xludf.DUMMYFUNCTION("""COMPUTED_VALUE"""),"Em Thảo")</f>
        <v>Em Thảo</v>
      </c>
      <c r="C1393" s="127" t="str">
        <f>IFERROR(__xludf.DUMMYFUNCTION("""COMPUTED_VALUE"""),"4/245 Phạm Văn Đồng")</f>
        <v>4/245 Phạm Văn Đồng</v>
      </c>
      <c r="D1393" s="127" t="str">
        <f>IFERROR(__xludf.DUMMYFUNCTION("""COMPUTED_VALUE"""),"mèo")</f>
        <v>mèo</v>
      </c>
      <c r="E1393" s="127"/>
    </row>
    <row r="1394" ht="15.75" customHeight="1">
      <c r="A1394" s="128" t="str">
        <f>IFERROR(__xludf.DUMMYFUNCTION("""COMPUTED_VALUE"""),"0385 476 747")</f>
        <v>0385 476 747</v>
      </c>
      <c r="B1394" s="127" t="str">
        <f>IFERROR(__xludf.DUMMYFUNCTION("""COMPUTED_VALUE"""),"Chị Nho")</f>
        <v>Chị Nho</v>
      </c>
      <c r="C1394" s="127" t="str">
        <f>IFERROR(__xludf.DUMMYFUNCTION("""COMPUTED_VALUE"""),"Thuỷ Vân")</f>
        <v>Thuỷ Vân</v>
      </c>
      <c r="D1394" s="127" t="str">
        <f>IFERROR(__xludf.DUMMYFUNCTION("""COMPUTED_VALUE"""),"mèo")</f>
        <v>mèo</v>
      </c>
      <c r="E1394" s="127" t="str">
        <f>IFERROR(__xludf.DUMMYFUNCTION("""COMPUTED_VALUE"""),"Min")</f>
        <v>Min</v>
      </c>
    </row>
    <row r="1395" ht="15.75" customHeight="1">
      <c r="A1395" s="128" t="str">
        <f>IFERROR(__xludf.DUMMYFUNCTION("""COMPUTED_VALUE"""),"0907 366 989")</f>
        <v>0907 366 989</v>
      </c>
      <c r="B1395" s="127" t="str">
        <f>IFERROR(__xludf.DUMMYFUNCTION("""COMPUTED_VALUE"""),"Chị Phương Chi")</f>
        <v>Chị Phương Chi</v>
      </c>
      <c r="C1395" s="127" t="str">
        <f>IFERROR(__xludf.DUMMYFUNCTION("""COMPUTED_VALUE"""),"Hạ Lan, Quảng Phú")</f>
        <v>Hạ Lan, Quảng Phú</v>
      </c>
      <c r="D1395" s="127" t="str">
        <f>IFERROR(__xludf.DUMMYFUNCTION("""COMPUTED_VALUE"""),"Chó")</f>
        <v>Chó</v>
      </c>
      <c r="E1395" s="127" t="str">
        <f>IFERROR(__xludf.DUMMYFUNCTION("""COMPUTED_VALUE"""),"Đen")</f>
        <v>Đen</v>
      </c>
    </row>
    <row r="1396" ht="15.75" customHeight="1">
      <c r="A1396" s="128" t="str">
        <f>IFERROR(__xludf.DUMMYFUNCTION("""COMPUTED_VALUE"""),"0914 563 637")</f>
        <v>0914 563 637</v>
      </c>
      <c r="B1396" s="127" t="str">
        <f>IFERROR(__xludf.DUMMYFUNCTION("""COMPUTED_VALUE"""),"Chị Hạnh")</f>
        <v>Chị Hạnh</v>
      </c>
      <c r="C1396" s="127"/>
      <c r="D1396" s="127" t="str">
        <f>IFERROR(__xludf.DUMMYFUNCTION("""COMPUTED_VALUE"""),"mèo")</f>
        <v>mèo</v>
      </c>
      <c r="E1396" s="127" t="str">
        <f>IFERROR(__xludf.DUMMYFUNCTION("""COMPUTED_VALUE"""),"Lucy")</f>
        <v>Lucy</v>
      </c>
    </row>
    <row r="1397" ht="15.75" customHeight="1">
      <c r="A1397" s="128" t="str">
        <f>IFERROR(__xludf.DUMMYFUNCTION("""COMPUTED_VALUE"""),"0824 036 169")</f>
        <v>0824 036 169</v>
      </c>
      <c r="B1397" s="127" t="str">
        <f>IFERROR(__xludf.DUMMYFUNCTION("""COMPUTED_VALUE"""),"Chị Sương")</f>
        <v>Chị Sương</v>
      </c>
      <c r="C1397" s="127" t="str">
        <f>IFERROR(__xludf.DUMMYFUNCTION("""COMPUTED_VALUE"""),"9/68 Ngự Bình")</f>
        <v>9/68 Ngự Bình</v>
      </c>
      <c r="D1397" s="127" t="str">
        <f>IFERROR(__xludf.DUMMYFUNCTION("""COMPUTED_VALUE"""),"mèo")</f>
        <v>mèo</v>
      </c>
      <c r="E1397" s="127" t="str">
        <f>IFERROR(__xludf.DUMMYFUNCTION("""COMPUTED_VALUE"""),"Moon")</f>
        <v>Moon</v>
      </c>
    </row>
    <row r="1398" ht="15.75" customHeight="1">
      <c r="A1398" s="128" t="str">
        <f>IFERROR(__xludf.DUMMYFUNCTION("""COMPUTED_VALUE"""),"0905 410 975")</f>
        <v>0905 410 975</v>
      </c>
      <c r="B1398" s="127" t="str">
        <f>IFERROR(__xludf.DUMMYFUNCTION("""COMPUTED_VALUE"""),"Dì Mai")</f>
        <v>Dì Mai</v>
      </c>
      <c r="C1398" s="127" t="str">
        <f>IFERROR(__xludf.DUMMYFUNCTION("""COMPUTED_VALUE"""),"Phú An, Phú Vang")</f>
        <v>Phú An, Phú Vang</v>
      </c>
      <c r="D1398" s="127" t="str">
        <f>IFERROR(__xludf.DUMMYFUNCTION("""COMPUTED_VALUE"""),"mèo")</f>
        <v>mèo</v>
      </c>
      <c r="E1398" s="127" t="str">
        <f>IFERROR(__xludf.DUMMYFUNCTION("""COMPUTED_VALUE"""),"Miu")</f>
        <v>Miu</v>
      </c>
    </row>
    <row r="1399" ht="15.75" customHeight="1">
      <c r="A1399" s="128" t="str">
        <f>IFERROR(__xludf.DUMMYFUNCTION("""COMPUTED_VALUE"""),"0799 319 658")</f>
        <v>0799 319 658</v>
      </c>
      <c r="B1399" s="127" t="str">
        <f>IFERROR(__xludf.DUMMYFUNCTION("""COMPUTED_VALUE"""),"Dì Nơ")</f>
        <v>Dì Nơ</v>
      </c>
      <c r="C1399" s="127" t="str">
        <f>IFERROR(__xludf.DUMMYFUNCTION("""COMPUTED_VALUE"""),"127 Vạn xuân")</f>
        <v>127 Vạn xuân</v>
      </c>
      <c r="D1399" s="127" t="str">
        <f>IFERROR(__xludf.DUMMYFUNCTION("""COMPUTED_VALUE"""),"chó")</f>
        <v>chó</v>
      </c>
      <c r="E1399" s="127" t="str">
        <f>IFERROR(__xludf.DUMMYFUNCTION("""COMPUTED_VALUE"""),"Xám")</f>
        <v>Xám</v>
      </c>
    </row>
    <row r="1400" ht="15.75" customHeight="1">
      <c r="A1400" s="128" t="str">
        <f>IFERROR(__xludf.DUMMYFUNCTION("""COMPUTED_VALUE"""),"0986 246 436")</f>
        <v>0986 246 436</v>
      </c>
      <c r="B1400" s="127" t="str">
        <f>IFERROR(__xludf.DUMMYFUNCTION("""COMPUTED_VALUE"""),"Cô Cúc")</f>
        <v>Cô Cúc</v>
      </c>
      <c r="C1400" s="127" t="str">
        <f>IFERROR(__xludf.DUMMYFUNCTION("""COMPUTED_VALUE"""),"4 kiệt 146 Trần Quốc Toản")</f>
        <v>4 kiệt 146 Trần Quốc Toản</v>
      </c>
      <c r="D1400" s="127" t="str">
        <f>IFERROR(__xludf.DUMMYFUNCTION("""COMPUTED_VALUE"""),"Chó")</f>
        <v>Chó</v>
      </c>
      <c r="E1400" s="127" t="str">
        <f>IFERROR(__xludf.DUMMYFUNCTION("""COMPUTED_VALUE"""),"Nô")</f>
        <v>Nô</v>
      </c>
    </row>
    <row r="1401" ht="15.75" customHeight="1">
      <c r="A1401" s="128" t="str">
        <f>IFERROR(__xludf.DUMMYFUNCTION("""COMPUTED_VALUE"""),"0826 818 669")</f>
        <v>0826 818 669</v>
      </c>
      <c r="B1401" s="127" t="str">
        <f>IFERROR(__xludf.DUMMYFUNCTION("""COMPUTED_VALUE"""),"Dì Tu")</f>
        <v>Dì Tu</v>
      </c>
      <c r="C1401" s="127" t="str">
        <f>IFERROR(__xludf.DUMMYFUNCTION("""COMPUTED_VALUE"""),"4/ 68 Nguyễn Phúc Chu")</f>
        <v>4/ 68 Nguyễn Phúc Chu</v>
      </c>
      <c r="D1401" s="127" t="str">
        <f>IFERROR(__xludf.DUMMYFUNCTION("""COMPUTED_VALUE"""),"chó")</f>
        <v>chó</v>
      </c>
      <c r="E1401" s="127" t="str">
        <f>IFERROR(__xludf.DUMMYFUNCTION("""COMPUTED_VALUE"""),"ko")</f>
        <v>ko</v>
      </c>
    </row>
    <row r="1402" ht="15.75" customHeight="1">
      <c r="A1402" s="128" t="str">
        <f>IFERROR(__xludf.DUMMYFUNCTION("""COMPUTED_VALUE"""),"0911 346 500")</f>
        <v>0911 346 500</v>
      </c>
      <c r="B1402" s="127" t="str">
        <f>IFERROR(__xludf.DUMMYFUNCTION("""COMPUTED_VALUE"""),"Em trinh")</f>
        <v>Em trinh</v>
      </c>
      <c r="C1402" s="127" t="str">
        <f>IFERROR(__xludf.DUMMYFUNCTION("""COMPUTED_VALUE"""),"104 Phạm Thi Liên")</f>
        <v>104 Phạm Thi Liên</v>
      </c>
      <c r="D1402" s="127" t="str">
        <f>IFERROR(__xludf.DUMMYFUNCTION("""COMPUTED_VALUE"""),"chó ")</f>
        <v>chó </v>
      </c>
      <c r="E1402" s="119" t="str">
        <f>IFERROR(__xludf.DUMMYFUNCTION("""COMPUTED_VALUE"""),"lucky")</f>
        <v>lucky</v>
      </c>
    </row>
    <row r="1403" ht="15.75" customHeight="1">
      <c r="A1403" s="122" t="str">
        <f>IFERROR(__xludf.DUMMYFUNCTION("""COMPUTED_VALUE"""),"0906 770 441")</f>
        <v>0906 770 441</v>
      </c>
      <c r="B1403" s="127" t="str">
        <f>IFERROR(__xludf.DUMMYFUNCTION("""COMPUTED_VALUE"""),"Dì Thu")</f>
        <v>Dì Thu</v>
      </c>
      <c r="C1403" s="127" t="str">
        <f>IFERROR(__xludf.DUMMYFUNCTION("""COMPUTED_VALUE"""),"Lý Nam Đế")</f>
        <v>Lý Nam Đế</v>
      </c>
      <c r="D1403" s="127" t="str">
        <f>IFERROR(__xludf.DUMMYFUNCTION("""COMPUTED_VALUE"""),"chó")</f>
        <v>chó</v>
      </c>
      <c r="E1403" s="119" t="str">
        <f>IFERROR(__xludf.DUMMYFUNCTION("""COMPUTED_VALUE""")," Tiger")</f>
        <v> Tiger</v>
      </c>
    </row>
    <row r="1404" ht="15.75" customHeight="1">
      <c r="A1404" s="128" t="str">
        <f>IFERROR(__xludf.DUMMYFUNCTION("""COMPUTED_VALUE"""),"0972 340 166")</f>
        <v>0972 340 166</v>
      </c>
      <c r="B1404" s="127" t="str">
        <f>IFERROR(__xludf.DUMMYFUNCTION("""COMPUTED_VALUE"""),"Chú cầu")</f>
        <v>Chú cầu</v>
      </c>
      <c r="C1404" s="127" t="str">
        <f>IFERROR(__xludf.DUMMYFUNCTION("""COMPUTED_VALUE"""),"300 Văn Thánh")</f>
        <v>300 Văn Thánh</v>
      </c>
      <c r="D1404" s="127" t="str">
        <f>IFERROR(__xludf.DUMMYFUNCTION("""COMPUTED_VALUE""")," chó")</f>
        <v> chó</v>
      </c>
      <c r="E1404" s="127" t="str">
        <f>IFERROR(__xludf.DUMMYFUNCTION("""COMPUTED_VALUE""")," Ky")</f>
        <v> Ky</v>
      </c>
    </row>
    <row r="1405" ht="15.75" customHeight="1">
      <c r="A1405" s="128" t="str">
        <f>IFERROR(__xludf.DUMMYFUNCTION("""COMPUTED_VALUE"""),"0796 560 616")</f>
        <v>0796 560 616</v>
      </c>
      <c r="B1405" s="127" t="str">
        <f>IFERROR(__xludf.DUMMYFUNCTION("""COMPUTED_VALUE"""),"Chị Quỳnh Anh")</f>
        <v>Chị Quỳnh Anh</v>
      </c>
      <c r="C1405" s="127" t="str">
        <f>IFERROR(__xludf.DUMMYFUNCTION("""COMPUTED_VALUE"""),"13 Nguyễn Phúc Lan")</f>
        <v>13 Nguyễn Phúc Lan</v>
      </c>
      <c r="D1405" s="127" t="str">
        <f>IFERROR(__xludf.DUMMYFUNCTION("""COMPUTED_VALUE"""),"chó ")</f>
        <v>chó </v>
      </c>
      <c r="E1405" s="127" t="str">
        <f>IFERROR(__xludf.DUMMYFUNCTION("""COMPUTED_VALUE"""),"Ngỗng")</f>
        <v>Ngỗng</v>
      </c>
    </row>
    <row r="1406" ht="15.75" customHeight="1">
      <c r="A1406" s="128" t="str">
        <f>IFERROR(__xludf.DUMMYFUNCTION("""COMPUTED_VALUE"""),"0987 942 125")</f>
        <v>0987 942 125</v>
      </c>
      <c r="B1406" s="127" t="str">
        <f>IFERROR(__xludf.DUMMYFUNCTION("""COMPUTED_VALUE"""),"Anh Dương")</f>
        <v>Anh Dương</v>
      </c>
      <c r="C1406" s="127" t="str">
        <f>IFERROR(__xludf.DUMMYFUNCTION("""COMPUTED_VALUE"""),"228 Lý Nam Đế")</f>
        <v>228 Lý Nam Đế</v>
      </c>
      <c r="D1406" s="127" t="str">
        <f>IFERROR(__xludf.DUMMYFUNCTION("""COMPUTED_VALUE"""),"chó")</f>
        <v>chó</v>
      </c>
      <c r="E1406" s="127" t="str">
        <f>IFERROR(__xludf.DUMMYFUNCTION("""COMPUTED_VALUE"""),"Vàng")</f>
        <v>Vàng</v>
      </c>
    </row>
    <row r="1407" ht="15.75" customHeight="1">
      <c r="A1407" s="128" t="str">
        <f>IFERROR(__xludf.DUMMYFUNCTION("""COMPUTED_VALUE"""),"0967 787 030")</f>
        <v>0967 787 030</v>
      </c>
      <c r="B1407" s="127" t="str">
        <f>IFERROR(__xludf.DUMMYFUNCTION("""COMPUTED_VALUE"""),"Anh Bảo")</f>
        <v>Anh Bảo</v>
      </c>
      <c r="C1407" s="127" t="str">
        <f>IFERROR(__xludf.DUMMYFUNCTION("""COMPUTED_VALUE"""),"Thuỷ Vân")</f>
        <v>Thuỷ Vân</v>
      </c>
      <c r="D1407" s="127" t="str">
        <f>IFERROR(__xludf.DUMMYFUNCTION("""COMPUTED_VALUE"""),"chó")</f>
        <v>chó</v>
      </c>
      <c r="E1407" s="127"/>
    </row>
    <row r="1408" ht="15.75" customHeight="1">
      <c r="A1408" s="128" t="str">
        <f>IFERROR(__xludf.DUMMYFUNCTION("""COMPUTED_VALUE"""),"0338 381 601")</f>
        <v>0338 381 601</v>
      </c>
      <c r="B1408" s="127" t="str">
        <f>IFERROR(__xludf.DUMMYFUNCTION("""COMPUTED_VALUE"""),"Hồ Văn Hải")</f>
        <v>Hồ Văn Hải</v>
      </c>
      <c r="C1408" s="127" t="str">
        <f>IFERROR(__xludf.DUMMYFUNCTION("""COMPUTED_VALUE"""),"Phú Dương, Phú Vang")</f>
        <v>Phú Dương, Phú Vang</v>
      </c>
      <c r="D1408" s="127" t="str">
        <f>IFERROR(__xludf.DUMMYFUNCTION("""COMPUTED_VALUE"""),"chó")</f>
        <v>chó</v>
      </c>
      <c r="E1408" s="127" t="str">
        <f>IFERROR(__xludf.DUMMYFUNCTION("""COMPUTED_VALUE"""),"Đen")</f>
        <v>Đen</v>
      </c>
    </row>
    <row r="1409" ht="15.75" customHeight="1">
      <c r="A1409" s="128" t="str">
        <f>IFERROR(__xludf.DUMMYFUNCTION("""COMPUTED_VALUE"""),"0935 436 749")</f>
        <v>0935 436 749</v>
      </c>
      <c r="B1409" s="127" t="str">
        <f>IFERROR(__xludf.DUMMYFUNCTION("""COMPUTED_VALUE"""),"Anh Bảo")</f>
        <v>Anh Bảo</v>
      </c>
      <c r="C1409" s="127" t="str">
        <f>IFERROR(__xludf.DUMMYFUNCTION("""COMPUTED_VALUE"""),"18 Tùng Thiện Vương")</f>
        <v>18 Tùng Thiện Vương</v>
      </c>
      <c r="D1409" s="127" t="str">
        <f>IFERROR(__xludf.DUMMYFUNCTION("""COMPUTED_VALUE"""),"chó")</f>
        <v>chó</v>
      </c>
      <c r="E1409" s="127" t="str">
        <f>IFERROR(__xludf.DUMMYFUNCTION("""COMPUTED_VALUE"""),"gấu")</f>
        <v>gấu</v>
      </c>
    </row>
    <row r="1410" ht="15.75" customHeight="1">
      <c r="A1410" s="128" t="str">
        <f>IFERROR(__xludf.DUMMYFUNCTION("""COMPUTED_VALUE"""),"0777 517 347")</f>
        <v>0777 517 347</v>
      </c>
      <c r="B1410" s="127" t="str">
        <f>IFERROR(__xludf.DUMMYFUNCTION("""COMPUTED_VALUE"""),"Ngọc Minh")</f>
        <v>Ngọc Minh</v>
      </c>
      <c r="C1410" s="127" t="str">
        <f>IFERROR(__xludf.DUMMYFUNCTION("""COMPUTED_VALUE"""),"833 Hoàng Thị Loan")</f>
        <v>833 Hoàng Thị Loan</v>
      </c>
      <c r="D1410" s="127" t="str">
        <f>IFERROR(__xludf.DUMMYFUNCTION("""COMPUTED_VALUE"""),"mèo")</f>
        <v>mèo</v>
      </c>
      <c r="E1410" s="119" t="str">
        <f>IFERROR(__xludf.DUMMYFUNCTION("""COMPUTED_VALUE"""),"Măng")</f>
        <v>Măng</v>
      </c>
    </row>
    <row r="1411" ht="15.75" customHeight="1">
      <c r="A1411" s="128" t="str">
        <f>IFERROR(__xludf.DUMMYFUNCTION("""COMPUTED_VALUE"""),"0793 634 659")</f>
        <v>0793 634 659</v>
      </c>
      <c r="B1411" s="127" t="str">
        <f>IFERROR(__xludf.DUMMYFUNCTION("""COMPUTED_VALUE"""),"Dì Thủy")</f>
        <v>Dì Thủy</v>
      </c>
      <c r="C1411" s="127" t="str">
        <f>IFERROR(__xludf.DUMMYFUNCTION("""COMPUTED_VALUE"""),"12 Lương Ngọc Khuyến")</f>
        <v>12 Lương Ngọc Khuyến</v>
      </c>
      <c r="D1411" s="127" t="str">
        <f>IFERROR(__xludf.DUMMYFUNCTION("""COMPUTED_VALUE"""),"chó")</f>
        <v>chó</v>
      </c>
      <c r="E1411" s="127" t="str">
        <f>IFERROR(__xludf.DUMMYFUNCTION("""COMPUTED_VALUE"""),"Rê")</f>
        <v>Rê</v>
      </c>
    </row>
    <row r="1412" ht="15.75" customHeight="1">
      <c r="A1412" s="128" t="str">
        <f>IFERROR(__xludf.DUMMYFUNCTION("""COMPUTED_VALUE"""),"0987 100 327")</f>
        <v>0987 100 327</v>
      </c>
      <c r="B1412" s="127" t="str">
        <f>IFERROR(__xludf.DUMMYFUNCTION("""COMPUTED_VALUE"""),"Đặng Ngọc Minh Hiếu")</f>
        <v>Đặng Ngọc Minh Hiếu</v>
      </c>
      <c r="C1412" s="127" t="str">
        <f>IFERROR(__xludf.DUMMYFUNCTION("""COMPUTED_VALUE"""),"145 Lê Duẩn")</f>
        <v>145 Lê Duẩn</v>
      </c>
      <c r="D1412" s="127" t="str">
        <f>IFERROR(__xludf.DUMMYFUNCTION("""COMPUTED_VALUE"""),"mèo")</f>
        <v>mèo</v>
      </c>
      <c r="E1412" s="127" t="str">
        <f>IFERROR(__xludf.DUMMYFUNCTION("""COMPUTED_VALUE"""),"Lu")</f>
        <v>Lu</v>
      </c>
    </row>
    <row r="1413" ht="15.75" customHeight="1">
      <c r="A1413" s="128" t="str">
        <f>IFERROR(__xludf.DUMMYFUNCTION("""COMPUTED_VALUE"""),"0868 480 394")</f>
        <v>0868 480 394</v>
      </c>
      <c r="B1413" s="127" t="str">
        <f>IFERROR(__xludf.DUMMYFUNCTION("""COMPUTED_VALUE"""),"Anh Lĩnh")</f>
        <v>Anh Lĩnh</v>
      </c>
      <c r="C1413" s="127" t="str">
        <f>IFERROR(__xludf.DUMMYFUNCTION("""COMPUTED_VALUE"""),"Hương An")</f>
        <v>Hương An</v>
      </c>
      <c r="D1413" s="127" t="str">
        <f>IFERROR(__xludf.DUMMYFUNCTION("""COMPUTED_VALUE"""),"chó")</f>
        <v>chó</v>
      </c>
      <c r="E1413" s="127" t="str">
        <f>IFERROR(__xludf.DUMMYFUNCTION("""COMPUTED_VALUE"""),"Ky")</f>
        <v>Ky</v>
      </c>
    </row>
    <row r="1414" ht="15.75" customHeight="1">
      <c r="A1414" s="128" t="str">
        <f>IFERROR(__xludf.DUMMYFUNCTION("""COMPUTED_VALUE"""),"0783 439 904")</f>
        <v>0783 439 904</v>
      </c>
      <c r="B1414" s="127" t="str">
        <f>IFERROR(__xludf.DUMMYFUNCTION("""COMPUTED_VALUE"""),"Chị Tiến")</f>
        <v>Chị Tiến</v>
      </c>
      <c r="C1414" s="127" t="str">
        <f>IFERROR(__xludf.DUMMYFUNCTION("""COMPUTED_VALUE"""),"18/10 Nguyễn Trường Tộ")</f>
        <v>18/10 Nguyễn Trường Tộ</v>
      </c>
      <c r="D1414" s="127" t="str">
        <f>IFERROR(__xludf.DUMMYFUNCTION("""COMPUTED_VALUE"""),"mèo")</f>
        <v>mèo</v>
      </c>
      <c r="E1414" s="127" t="str">
        <f>IFERROR(__xludf.DUMMYFUNCTION("""COMPUTED_VALUE"""),"Bông")</f>
        <v>Bông</v>
      </c>
    </row>
    <row r="1415" ht="15.75" customHeight="1">
      <c r="A1415" s="128" t="str">
        <f>IFERROR(__xludf.DUMMYFUNCTION("""COMPUTED_VALUE"""),"0344 525 834")</f>
        <v>0344 525 834</v>
      </c>
      <c r="B1415" s="127" t="str">
        <f>IFERROR(__xludf.DUMMYFUNCTION("""COMPUTED_VALUE"""),"Em Minh")</f>
        <v>Em Minh</v>
      </c>
      <c r="C1415" s="127" t="str">
        <f>IFERROR(__xludf.DUMMYFUNCTION("""COMPUTED_VALUE"""),"14/101 Phan Bội Châu")</f>
        <v>14/101 Phan Bội Châu</v>
      </c>
      <c r="D1415" s="127" t="str">
        <f>IFERROR(__xludf.DUMMYFUNCTION("""COMPUTED_VALUE"""),"chó")</f>
        <v>chó</v>
      </c>
      <c r="E1415" s="119" t="str">
        <f>IFERROR(__xludf.DUMMYFUNCTION("""COMPUTED_VALUE"""),"Phèn")</f>
        <v>Phèn</v>
      </c>
    </row>
    <row r="1416" ht="15.75" customHeight="1">
      <c r="A1416" s="128" t="str">
        <f>IFERROR(__xludf.DUMMYFUNCTION("""COMPUTED_VALUE"""),"0944 595 675")</f>
        <v>0944 595 675</v>
      </c>
      <c r="B1416" s="127" t="str">
        <f>IFERROR(__xludf.DUMMYFUNCTION("""COMPUTED_VALUE"""),"em Thanh")</f>
        <v>em Thanh</v>
      </c>
      <c r="C1416" s="127" t="str">
        <f>IFERROR(__xludf.DUMMYFUNCTION("""COMPUTED_VALUE"""),"26 Lương Văn Can")</f>
        <v>26 Lương Văn Can</v>
      </c>
      <c r="D1416" s="127" t="str">
        <f>IFERROR(__xludf.DUMMYFUNCTION("""COMPUTED_VALUE"""),"chó")</f>
        <v>chó</v>
      </c>
      <c r="E1416" s="127" t="str">
        <f>IFERROR(__xludf.DUMMYFUNCTION("""COMPUTED_VALUE"""),"Pom")</f>
        <v>Pom</v>
      </c>
    </row>
    <row r="1417" ht="15.75" customHeight="1">
      <c r="A1417" s="128" t="str">
        <f>IFERROR(__xludf.DUMMYFUNCTION("""COMPUTED_VALUE"""),"0704 023 487")</f>
        <v>0704 023 487</v>
      </c>
      <c r="B1417" s="127" t="str">
        <f>IFERROR(__xludf.DUMMYFUNCTION("""COMPUTED_VALUE"""),"Chị Tư")</f>
        <v>Chị Tư</v>
      </c>
      <c r="C1417" s="127"/>
      <c r="D1417" s="127" t="str">
        <f>IFERROR(__xludf.DUMMYFUNCTION("""COMPUTED_VALUE"""),"chó")</f>
        <v>chó</v>
      </c>
      <c r="E1417" s="127" t="str">
        <f>IFERROR(__xludf.DUMMYFUNCTION("""COMPUTED_VALUE"""),"Bi")</f>
        <v>Bi</v>
      </c>
    </row>
    <row r="1418" ht="15.75" customHeight="1">
      <c r="A1418" s="128" t="str">
        <f>IFERROR(__xludf.DUMMYFUNCTION("""COMPUTED_VALUE"""),"0944 653 663")</f>
        <v>0944 653 663</v>
      </c>
      <c r="B1418" s="127" t="str">
        <f>IFERROR(__xludf.DUMMYFUNCTION("""COMPUTED_VALUE"""),"Mai phương")</f>
        <v>Mai phương</v>
      </c>
      <c r="C1418" s="127" t="str">
        <f>IFERROR(__xludf.DUMMYFUNCTION("""COMPUTED_VALUE"""),"1C/17 Lý Nam Đế")</f>
        <v>1C/17 Lý Nam Đế</v>
      </c>
      <c r="D1418" s="127" t="str">
        <f>IFERROR(__xludf.DUMMYFUNCTION("""COMPUTED_VALUE"""),"Chó")</f>
        <v>Chó</v>
      </c>
      <c r="E1418" s="127" t="str">
        <f>IFERROR(__xludf.DUMMYFUNCTION("""COMPUTED_VALUE"""),"Lu")</f>
        <v>Lu</v>
      </c>
    </row>
    <row r="1419" ht="15.75" customHeight="1">
      <c r="A1419" s="128" t="str">
        <f>IFERROR(__xludf.DUMMYFUNCTION("""COMPUTED_VALUE"""),"0941 950 400")</f>
        <v>0941 950 400</v>
      </c>
      <c r="B1419" s="127" t="str">
        <f>IFERROR(__xludf.DUMMYFUNCTION("""COMPUTED_VALUE"""),"Em Hằng")</f>
        <v>Em Hằng</v>
      </c>
      <c r="C1419" s="127" t="str">
        <f>IFERROR(__xludf.DUMMYFUNCTION("""COMPUTED_VALUE"""),"5/9 Nguyễn Văn trỗi")</f>
        <v>5/9 Nguyễn Văn trỗi</v>
      </c>
      <c r="D1419" s="127" t="str">
        <f>IFERROR(__xludf.DUMMYFUNCTION("""COMPUTED_VALUE"""),"chó")</f>
        <v>chó</v>
      </c>
      <c r="E1419" s="127" t="str">
        <f>IFERROR(__xludf.DUMMYFUNCTION("""COMPUTED_VALUE"""),"Nhăng")</f>
        <v>Nhăng</v>
      </c>
    </row>
    <row r="1420" ht="15.75" customHeight="1">
      <c r="A1420" s="128" t="str">
        <f>IFERROR(__xludf.DUMMYFUNCTION("""COMPUTED_VALUE"""),"0914 202 620")</f>
        <v>0914 202 620</v>
      </c>
      <c r="B1420" s="127" t="str">
        <f>IFERROR(__xludf.DUMMYFUNCTION("""COMPUTED_VALUE"""),"Anh Hiếu")</f>
        <v>Anh Hiếu</v>
      </c>
      <c r="C1420" s="127" t="str">
        <f>IFERROR(__xludf.DUMMYFUNCTION("""COMPUTED_VALUE"""),"5 Vũ Ngọc Phan")</f>
        <v>5 Vũ Ngọc Phan</v>
      </c>
      <c r="D1420" s="127" t="str">
        <f>IFERROR(__xludf.DUMMYFUNCTION("""COMPUTED_VALUE"""),"chó")</f>
        <v>chó</v>
      </c>
      <c r="E1420" s="127" t="str">
        <f>IFERROR(__xludf.DUMMYFUNCTION("""COMPUTED_VALUE"""),"Lốp")</f>
        <v>Lốp</v>
      </c>
    </row>
    <row r="1421" ht="15.75" customHeight="1">
      <c r="A1421" s="128" t="str">
        <f>IFERROR(__xludf.DUMMYFUNCTION("""COMPUTED_VALUE"""),"0383 794 047")</f>
        <v>0383 794 047</v>
      </c>
      <c r="B1421" s="127" t="str">
        <f>IFERROR(__xludf.DUMMYFUNCTION("""COMPUTED_VALUE"""),"Bác Thìn")</f>
        <v>Bác Thìn</v>
      </c>
      <c r="C1421" s="127" t="str">
        <f>IFERROR(__xludf.DUMMYFUNCTION("""COMPUTED_VALUE"""),"4 An Ninh")</f>
        <v>4 An Ninh</v>
      </c>
      <c r="D1421" s="127" t="str">
        <f>IFERROR(__xludf.DUMMYFUNCTION("""COMPUTED_VALUE"""),"chó")</f>
        <v>chó</v>
      </c>
      <c r="E1421" s="127" t="str">
        <f>IFERROR(__xludf.DUMMYFUNCTION("""COMPUTED_VALUE"""),"Tô")</f>
        <v>Tô</v>
      </c>
    </row>
    <row r="1422" ht="15.75" customHeight="1">
      <c r="A1422" s="128" t="str">
        <f>IFERROR(__xludf.DUMMYFUNCTION("""COMPUTED_VALUE"""),"0888 586 468")</f>
        <v>0888 586 468</v>
      </c>
      <c r="B1422" s="127" t="str">
        <f>IFERROR(__xludf.DUMMYFUNCTION("""COMPUTED_VALUE"""),"Cô Minh")</f>
        <v>Cô Minh</v>
      </c>
      <c r="C1422" s="127" t="str">
        <f>IFERROR(__xludf.DUMMYFUNCTION("""COMPUTED_VALUE"""),"94 Nguyễn Huệ")</f>
        <v>94 Nguyễn Huệ</v>
      </c>
      <c r="D1422" s="127" t="str">
        <f>IFERROR(__xludf.DUMMYFUNCTION("""COMPUTED_VALUE"""),"chó")</f>
        <v>chó</v>
      </c>
      <c r="E1422" s="127" t="str">
        <f>IFERROR(__xludf.DUMMYFUNCTION("""COMPUTED_VALUE""")," Rơm")</f>
        <v> Rơm</v>
      </c>
    </row>
    <row r="1423" ht="15.75" customHeight="1">
      <c r="A1423" s="128" t="str">
        <f>IFERROR(__xludf.DUMMYFUNCTION("""COMPUTED_VALUE"""),"0935 930 353")</f>
        <v>0935 930 353</v>
      </c>
      <c r="B1423" s="127" t="str">
        <f>IFERROR(__xludf.DUMMYFUNCTION("""COMPUTED_VALUE"""),"Chú Sao")</f>
        <v>Chú Sao</v>
      </c>
      <c r="C1423" s="127" t="str">
        <f>IFERROR(__xludf.DUMMYFUNCTION("""COMPUTED_VALUE"""),"110/ 19  Kim Long")</f>
        <v>110/ 19  Kim Long</v>
      </c>
      <c r="D1423" s="127" t="str">
        <f>IFERROR(__xludf.DUMMYFUNCTION("""COMPUTED_VALUE"""),"chó")</f>
        <v>chó</v>
      </c>
      <c r="E1423" s="127" t="str">
        <f>IFERROR(__xludf.DUMMYFUNCTION("""COMPUTED_VALUE""")," bông")</f>
        <v> bông</v>
      </c>
    </row>
    <row r="1424" ht="15.75" customHeight="1">
      <c r="A1424" s="128" t="str">
        <f>IFERROR(__xludf.DUMMYFUNCTION("""COMPUTED_VALUE"""),"0918 131 645")</f>
        <v>0918 131 645</v>
      </c>
      <c r="B1424" s="127" t="str">
        <f>IFERROR(__xludf.DUMMYFUNCTION("""COMPUTED_VALUE"""),"Dì Vy")</f>
        <v>Dì Vy</v>
      </c>
      <c r="C1424" s="127" t="str">
        <f>IFERROR(__xludf.DUMMYFUNCTION("""COMPUTED_VALUE"""),"18 Nguyễn Phúc Thụ")</f>
        <v>18 Nguyễn Phúc Thụ</v>
      </c>
      <c r="D1424" s="127" t="str">
        <f>IFERROR(__xludf.DUMMYFUNCTION("""COMPUTED_VALUE"""),"mèo")</f>
        <v>mèo</v>
      </c>
      <c r="E1424" s="127" t="str">
        <f>IFERROR(__xludf.DUMMYFUNCTION("""COMPUTED_VALUE""")," Chíp")</f>
        <v> Chíp</v>
      </c>
    </row>
    <row r="1425" ht="15.75" customHeight="1">
      <c r="A1425" s="128" t="str">
        <f>IFERROR(__xludf.DUMMYFUNCTION("""COMPUTED_VALUE"""),"0326 994 545")</f>
        <v>0326 994 545</v>
      </c>
      <c r="B1425" s="127" t="str">
        <f>IFERROR(__xludf.DUMMYFUNCTION("""COMPUTED_VALUE"""),"Anh Quang")</f>
        <v>Anh Quang</v>
      </c>
      <c r="C1425" s="127" t="str">
        <f>IFERROR(__xludf.DUMMYFUNCTION("""COMPUTED_VALUE"""),"59/40 Lý Nam Đế")</f>
        <v>59/40 Lý Nam Đế</v>
      </c>
      <c r="D1425" s="127" t="str">
        <f>IFERROR(__xludf.DUMMYFUNCTION("""COMPUTED_VALUE"""),"Chó")</f>
        <v>Chó</v>
      </c>
      <c r="E1425" s="127" t="str">
        <f>IFERROR(__xludf.DUMMYFUNCTION("""COMPUTED_VALUE"""),"Vàng")</f>
        <v>Vàng</v>
      </c>
    </row>
    <row r="1426" ht="15.75" customHeight="1">
      <c r="A1426" s="128" t="str">
        <f>IFERROR(__xludf.DUMMYFUNCTION("""COMPUTED_VALUE"""),"0796 519 723")</f>
        <v>0796 519 723</v>
      </c>
      <c r="B1426" s="127" t="str">
        <f>IFERROR(__xludf.DUMMYFUNCTION("""COMPUTED_VALUE"""),"Anh Trâm")</f>
        <v>Anh Trâm</v>
      </c>
      <c r="C1426" s="127" t="str">
        <f>IFERROR(__xludf.DUMMYFUNCTION("""COMPUTED_VALUE"""),"Phú An ")</f>
        <v>Phú An </v>
      </c>
      <c r="D1426" s="127" t="str">
        <f>IFERROR(__xludf.DUMMYFUNCTION("""COMPUTED_VALUE"""),"chó ")</f>
        <v>chó </v>
      </c>
      <c r="E1426" s="127" t="str">
        <f>IFERROR(__xludf.DUMMYFUNCTION("""COMPUTED_VALUE"""),"Bom")</f>
        <v>Bom</v>
      </c>
    </row>
    <row r="1427" ht="15.75" customHeight="1">
      <c r="A1427" s="128" t="str">
        <f>IFERROR(__xludf.DUMMYFUNCTION("""COMPUTED_VALUE"""),"0795 511 776")</f>
        <v>0795 511 776</v>
      </c>
      <c r="B1427" s="127" t="str">
        <f>IFERROR(__xludf.DUMMYFUNCTION("""COMPUTED_VALUE"""),"Chị Xuân Hương")</f>
        <v>Chị Xuân Hương</v>
      </c>
      <c r="C1427" s="127" t="str">
        <f>IFERROR(__xludf.DUMMYFUNCTION("""COMPUTED_VALUE"""),"An Vân, Hương An")</f>
        <v>An Vân, Hương An</v>
      </c>
      <c r="D1427" s="127" t="str">
        <f>IFERROR(__xludf.DUMMYFUNCTION("""COMPUTED_VALUE"""),"chó")</f>
        <v>chó</v>
      </c>
      <c r="E1427" s="127" t="str">
        <f>IFERROR(__xludf.DUMMYFUNCTION("""COMPUTED_VALUE"""),"lucky")</f>
        <v>lucky</v>
      </c>
    </row>
    <row r="1428" ht="15.75" customHeight="1">
      <c r="A1428" s="128" t="str">
        <f>IFERROR(__xludf.DUMMYFUNCTION("""COMPUTED_VALUE"""),"0934 766 830")</f>
        <v>0934 766 830</v>
      </c>
      <c r="B1428" s="127" t="str">
        <f>IFERROR(__xludf.DUMMYFUNCTION("""COMPUTED_VALUE"""),"Ngô văn Hải")</f>
        <v>Ngô văn Hải</v>
      </c>
      <c r="C1428" s="127" t="str">
        <f>IFERROR(__xludf.DUMMYFUNCTION("""COMPUTED_VALUE""")," 53 Văn thánh")</f>
        <v> 53 Văn thánh</v>
      </c>
      <c r="D1428" s="127" t="str">
        <f>IFERROR(__xludf.DUMMYFUNCTION("""COMPUTED_VALUE"""),"mèo")</f>
        <v>mèo</v>
      </c>
      <c r="E1428" s="127" t="str">
        <f>IFERROR(__xludf.DUMMYFUNCTION("""COMPUTED_VALUE"""),"Miu")</f>
        <v>Miu</v>
      </c>
    </row>
    <row r="1429" ht="15.75" customHeight="1">
      <c r="A1429" s="128" t="str">
        <f>IFERROR(__xludf.DUMMYFUNCTION("""COMPUTED_VALUE"""),"0902 305 566")</f>
        <v>0902 305 566</v>
      </c>
      <c r="B1429" s="127" t="str">
        <f>IFERROR(__xludf.DUMMYFUNCTION("""COMPUTED_VALUE"""),"Chị Xuân Bình")</f>
        <v>Chị Xuân Bình</v>
      </c>
      <c r="C1429" s="127" t="str">
        <f>IFERROR(__xludf.DUMMYFUNCTION("""COMPUTED_VALUE"""),"8/124 Phùng Hưng")</f>
        <v>8/124 Phùng Hưng</v>
      </c>
      <c r="D1429" s="127" t="str">
        <f>IFERROR(__xludf.DUMMYFUNCTION("""COMPUTED_VALUE"""),"Chó")</f>
        <v>Chó</v>
      </c>
      <c r="E1429" s="119" t="str">
        <f>IFERROR(__xludf.DUMMYFUNCTION("""COMPUTED_VALUE"""),"sushi")</f>
        <v>sushi</v>
      </c>
    </row>
    <row r="1430" ht="15.75" customHeight="1">
      <c r="A1430" s="128" t="str">
        <f>IFERROR(__xludf.DUMMYFUNCTION("""COMPUTED_VALUE"""),"0935 013 896")</f>
        <v>0935 013 896</v>
      </c>
      <c r="B1430" s="127" t="str">
        <f>IFERROR(__xludf.DUMMYFUNCTION("""COMPUTED_VALUE"""),"Dì Thu")</f>
        <v>Dì Thu</v>
      </c>
      <c r="C1430" s="127" t="str">
        <f>IFERROR(__xludf.DUMMYFUNCTION("""COMPUTED_VALUE""")," 10/65 Đặng Huy Trứ")</f>
        <v> 10/65 Đặng Huy Trứ</v>
      </c>
      <c r="D1430" s="127" t="str">
        <f>IFERROR(__xludf.DUMMYFUNCTION("""COMPUTED_VALUE"""),"chó")</f>
        <v>chó</v>
      </c>
      <c r="E1430" s="127" t="str">
        <f>IFERROR(__xludf.DUMMYFUNCTION("""COMPUTED_VALUE""")," Bông")</f>
        <v> Bông</v>
      </c>
    </row>
    <row r="1431" ht="15.75" customHeight="1">
      <c r="A1431" s="128" t="str">
        <f>IFERROR(__xludf.DUMMYFUNCTION("""COMPUTED_VALUE"""),"0931 948 991")</f>
        <v>0931 948 991</v>
      </c>
      <c r="B1431" s="127" t="str">
        <f>IFERROR(__xludf.DUMMYFUNCTION("""COMPUTED_VALUE"""),"Chị Quỳnh")</f>
        <v>Chị Quỳnh</v>
      </c>
      <c r="C1431" s="127" t="str">
        <f>IFERROR(__xludf.DUMMYFUNCTION("""COMPUTED_VALUE"""),"Nguyễn Hữu Dật")</f>
        <v>Nguyễn Hữu Dật</v>
      </c>
      <c r="D1431" s="127" t="str">
        <f>IFERROR(__xludf.DUMMYFUNCTION("""COMPUTED_VALUE"""),"chó")</f>
        <v>chó</v>
      </c>
      <c r="E1431" s="127" t="str">
        <f>IFERROR(__xludf.DUMMYFUNCTION("""COMPUTED_VALUE""")," Lucky")</f>
        <v> Lucky</v>
      </c>
    </row>
    <row r="1432" ht="15.75" customHeight="1">
      <c r="A1432" s="128" t="str">
        <f>IFERROR(__xludf.DUMMYFUNCTION("""COMPUTED_VALUE"""),"0813 331 444")</f>
        <v>0813 331 444</v>
      </c>
      <c r="B1432" s="127" t="str">
        <f>IFERROR(__xludf.DUMMYFUNCTION("""COMPUTED_VALUE"""),"Chị Châu")</f>
        <v>Chị Châu</v>
      </c>
      <c r="C1432" s="127" t="str">
        <f>IFERROR(__xludf.DUMMYFUNCTION("""COMPUTED_VALUE"""),"Điện Biên phủ")</f>
        <v>Điện Biên phủ</v>
      </c>
      <c r="D1432" s="127" t="str">
        <f>IFERROR(__xludf.DUMMYFUNCTION("""COMPUTED_VALUE"""),"chó")</f>
        <v>chó</v>
      </c>
      <c r="E1432" s="127" t="str">
        <f>IFERROR(__xludf.DUMMYFUNCTION("""COMPUTED_VALUE"""),"nâu")</f>
        <v>nâu</v>
      </c>
    </row>
    <row r="1433" ht="15.75" customHeight="1">
      <c r="A1433" s="128" t="str">
        <f>IFERROR(__xludf.DUMMYFUNCTION("""COMPUTED_VALUE"""),"0902 606 562")</f>
        <v>0902 606 562</v>
      </c>
      <c r="B1433" s="127" t="str">
        <f>IFERROR(__xludf.DUMMYFUNCTION("""COMPUTED_VALUE"""),"Phạm Thu Phương")</f>
        <v>Phạm Thu Phương</v>
      </c>
      <c r="C1433" s="127" t="str">
        <f>IFERROR(__xludf.DUMMYFUNCTION("""COMPUTED_VALUE"""),"Chung Cư Toyota Tố Hữu")</f>
        <v>Chung Cư Toyota Tố Hữu</v>
      </c>
      <c r="D1433" s="127" t="str">
        <f>IFERROR(__xludf.DUMMYFUNCTION("""COMPUTED_VALUE"""),"mèo")</f>
        <v>mèo</v>
      </c>
      <c r="E1433" s="127" t="str">
        <f>IFERROR(__xludf.DUMMYFUNCTION("""COMPUTED_VALUE""")," Buller")</f>
        <v> Buller</v>
      </c>
    </row>
    <row r="1434" ht="15.75" customHeight="1">
      <c r="A1434" s="128" t="str">
        <f>IFERROR(__xludf.DUMMYFUNCTION("""COMPUTED_VALUE"""),"0848 422 068")</f>
        <v>0848 422 068</v>
      </c>
      <c r="B1434" s="127" t="str">
        <f>IFERROR(__xludf.DUMMYFUNCTION("""COMPUTED_VALUE"""),"chị Xuân Hải")</f>
        <v>chị Xuân Hải</v>
      </c>
      <c r="C1434" s="127" t="str">
        <f>IFERROR(__xludf.DUMMYFUNCTION("""COMPUTED_VALUE"""),"quảng Trị")</f>
        <v>quảng Trị</v>
      </c>
      <c r="D1434" s="127" t="str">
        <f>IFERROR(__xludf.DUMMYFUNCTION("""COMPUTED_VALUE"""),"chó")</f>
        <v>chó</v>
      </c>
      <c r="E1434" s="127" t="str">
        <f>IFERROR(__xludf.DUMMYFUNCTION("""COMPUTED_VALUE"""),"Rex")</f>
        <v>Rex</v>
      </c>
    </row>
    <row r="1435" ht="15.75" customHeight="1">
      <c r="A1435" s="128" t="str">
        <f>IFERROR(__xludf.DUMMYFUNCTION("""COMPUTED_VALUE"""),"0911 325 739")</f>
        <v>0911 325 739</v>
      </c>
      <c r="B1435" s="127" t="str">
        <f>IFERROR(__xludf.DUMMYFUNCTION("""COMPUTED_VALUE"""),"Bảo trân")</f>
        <v>Bảo trân</v>
      </c>
      <c r="C1435" s="127" t="str">
        <f>IFERROR(__xludf.DUMMYFUNCTION("""COMPUTED_VALUE"""),"1/36 đặng Chiêm")</f>
        <v>1/36 đặng Chiêm</v>
      </c>
      <c r="D1435" s="127" t="str">
        <f>IFERROR(__xludf.DUMMYFUNCTION("""COMPUTED_VALUE"""),"chó")</f>
        <v>chó</v>
      </c>
      <c r="E1435" s="127" t="str">
        <f>IFERROR(__xludf.DUMMYFUNCTION("""COMPUTED_VALUE""")," bu")</f>
        <v> bu</v>
      </c>
    </row>
    <row r="1436" ht="15.75" customHeight="1">
      <c r="A1436" s="128" t="str">
        <f>IFERROR(__xludf.DUMMYFUNCTION("""COMPUTED_VALUE"""),"0946 887 100")</f>
        <v>0946 887 100</v>
      </c>
      <c r="B1436" s="127" t="str">
        <f>IFERROR(__xludf.DUMMYFUNCTION("""COMPUTED_VALUE"""),"Mệ Liên")</f>
        <v>Mệ Liên</v>
      </c>
      <c r="C1436" s="127" t="str">
        <f>IFERROR(__xludf.DUMMYFUNCTION("""COMPUTED_VALUE"""),"Trần Anh tông")</f>
        <v>Trần Anh tông</v>
      </c>
      <c r="D1436" s="127" t="str">
        <f>IFERROR(__xludf.DUMMYFUNCTION("""COMPUTED_VALUE"""),"chó")</f>
        <v>chó</v>
      </c>
      <c r="E1436" s="127" t="str">
        <f>IFERROR(__xludf.DUMMYFUNCTION("""COMPUTED_VALUE"""),"Ko tên")</f>
        <v>Ko tên</v>
      </c>
    </row>
    <row r="1437" ht="15.75" customHeight="1">
      <c r="A1437" s="128" t="str">
        <f>IFERROR(__xludf.DUMMYFUNCTION("""COMPUTED_VALUE"""),"0982 102 411")</f>
        <v>0982 102 411</v>
      </c>
      <c r="B1437" s="127" t="str">
        <f>IFERROR(__xludf.DUMMYFUNCTION("""COMPUTED_VALUE"""),"Chị Hương")</f>
        <v>Chị Hương</v>
      </c>
      <c r="C1437" s="127" t="str">
        <f>IFERROR(__xludf.DUMMYFUNCTION("""COMPUTED_VALUE"""),"76/131 Trần Phú")</f>
        <v>76/131 Trần Phú</v>
      </c>
      <c r="D1437" s="127" t="str">
        <f>IFERROR(__xludf.DUMMYFUNCTION("""COMPUTED_VALUE"""),"Chó")</f>
        <v>Chó</v>
      </c>
      <c r="E1437" s="119" t="str">
        <f>IFERROR(__xludf.DUMMYFUNCTION("""COMPUTED_VALUE"""),"Bông")</f>
        <v>Bông</v>
      </c>
    </row>
    <row r="1438" ht="15.75" customHeight="1">
      <c r="A1438" s="128" t="str">
        <f>IFERROR(__xludf.DUMMYFUNCTION("""COMPUTED_VALUE"""),"0395 279 083")</f>
        <v>0395 279 083</v>
      </c>
      <c r="B1438" s="127" t="str">
        <f>IFERROR(__xludf.DUMMYFUNCTION("""COMPUTED_VALUE"""),"Dì Loan")</f>
        <v>Dì Loan</v>
      </c>
      <c r="C1438" s="127" t="str">
        <f>IFERROR(__xludf.DUMMYFUNCTION("""COMPUTED_VALUE"""),"276 Lý Nam Đế")</f>
        <v>276 Lý Nam Đế</v>
      </c>
      <c r="D1438" s="127" t="str">
        <f>IFERROR(__xludf.DUMMYFUNCTION("""COMPUTED_VALUE"""),"Chó")</f>
        <v>Chó</v>
      </c>
      <c r="E1438" s="127" t="str">
        <f>IFERROR(__xludf.DUMMYFUNCTION("""COMPUTED_VALUE"""),"Gấu")</f>
        <v>Gấu</v>
      </c>
    </row>
    <row r="1439" ht="15.75" customHeight="1">
      <c r="A1439" s="128" t="str">
        <f>IFERROR(__xludf.DUMMYFUNCTION("""COMPUTED_VALUE"""),"0772 423 784")</f>
        <v>0772 423 784</v>
      </c>
      <c r="B1439" s="127" t="str">
        <f>IFERROR(__xludf.DUMMYFUNCTION("""COMPUTED_VALUE"""),"Anh Thanh")</f>
        <v>Anh Thanh</v>
      </c>
      <c r="C1439" s="127" t="str">
        <f>IFERROR(__xludf.DUMMYFUNCTION("""COMPUTED_VALUE"""),"22/6 Tôn Thất Tùng")</f>
        <v>22/6 Tôn Thất Tùng</v>
      </c>
      <c r="D1439" s="127" t="str">
        <f>IFERROR(__xludf.DUMMYFUNCTION("""COMPUTED_VALUE"""),"Chó")</f>
        <v>Chó</v>
      </c>
      <c r="E1439" s="127" t="str">
        <f>IFERROR(__xludf.DUMMYFUNCTION("""COMPUTED_VALUE"""),"Chuột")</f>
        <v>Chuột</v>
      </c>
    </row>
    <row r="1440" ht="15.75" customHeight="1">
      <c r="A1440" s="128" t="str">
        <f>IFERROR(__xludf.DUMMYFUNCTION("""COMPUTED_VALUE"""),"0335 910 691")</f>
        <v>0335 910 691</v>
      </c>
      <c r="B1440" s="127" t="str">
        <f>IFERROR(__xludf.DUMMYFUNCTION("""COMPUTED_VALUE"""),"Dì Lê Thị Tùng")</f>
        <v>Dì Lê Thị Tùng</v>
      </c>
      <c r="C1440" s="119" t="str">
        <f>IFERROR(__xludf.DUMMYFUNCTION("""COMPUTED_VALUE"""),"2/194 Lê Duẩn")</f>
        <v>2/194 Lê Duẩn</v>
      </c>
      <c r="D1440" s="127" t="str">
        <f>IFERROR(__xludf.DUMMYFUNCTION("""COMPUTED_VALUE"""),"Chó")</f>
        <v>Chó</v>
      </c>
      <c r="E1440" s="119" t="str">
        <f>IFERROR(__xludf.DUMMYFUNCTION("""COMPUTED_VALUE"""),"Sứa")</f>
        <v>Sứa</v>
      </c>
    </row>
    <row r="1441" ht="15.75" customHeight="1">
      <c r="A1441" s="128" t="str">
        <f>IFERROR(__xludf.DUMMYFUNCTION("""COMPUTED_VALUE"""),"0374 054 925")</f>
        <v>0374 054 925</v>
      </c>
      <c r="B1441" s="127" t="str">
        <f>IFERROR(__xludf.DUMMYFUNCTION("""COMPUTED_VALUE"""),"Chú Vinh")</f>
        <v>Chú Vinh</v>
      </c>
      <c r="C1441" s="127" t="str">
        <f>IFERROR(__xludf.DUMMYFUNCTION("""COMPUTED_VALUE"""),"An Ninh")</f>
        <v>An Ninh</v>
      </c>
      <c r="D1441" s="127" t="str">
        <f>IFERROR(__xludf.DUMMYFUNCTION("""COMPUTED_VALUE"""),"Chó")</f>
        <v>Chó</v>
      </c>
      <c r="E1441" s="127"/>
    </row>
    <row r="1442" ht="15.75" customHeight="1">
      <c r="A1442" s="128" t="str">
        <f>IFERROR(__xludf.DUMMYFUNCTION("""COMPUTED_VALUE"""),"0793 543 645")</f>
        <v>0793 543 645</v>
      </c>
      <c r="B1442" s="127" t="str">
        <f>IFERROR(__xludf.DUMMYFUNCTION("""COMPUTED_VALUE"""),"Thầy Nhất Thường")</f>
        <v>Thầy Nhất Thường</v>
      </c>
      <c r="C1442" s="127" t="str">
        <f>IFERROR(__xludf.DUMMYFUNCTION("""COMPUTED_VALUE"""),"Chùa Phước Duyên")</f>
        <v>Chùa Phước Duyên</v>
      </c>
      <c r="D1442" s="127" t="str">
        <f>IFERROR(__xludf.DUMMYFUNCTION("""COMPUTED_VALUE"""),"Chó")</f>
        <v>Chó</v>
      </c>
      <c r="E1442" s="127" t="str">
        <f>IFERROR(__xludf.DUMMYFUNCTION("""COMPUTED_VALUE"""),"Bun")</f>
        <v>Bun</v>
      </c>
    </row>
    <row r="1443" ht="15.75" customHeight="1">
      <c r="A1443" s="128" t="str">
        <f>IFERROR(__xludf.DUMMYFUNCTION("""COMPUTED_VALUE"""),"0383 560 952")</f>
        <v>0383 560 952</v>
      </c>
      <c r="B1443" s="127" t="str">
        <f>IFERROR(__xludf.DUMMYFUNCTION("""COMPUTED_VALUE"""),"Em Hắc TRinh")</f>
        <v>Em Hắc TRinh</v>
      </c>
      <c r="C1443" s="127" t="str">
        <f>IFERROR(__xludf.DUMMYFUNCTION("""COMPUTED_VALUE"""),"17/129 An Dương Vương")</f>
        <v>17/129 An Dương Vương</v>
      </c>
      <c r="D1443" s="127" t="str">
        <f>IFERROR(__xludf.DUMMYFUNCTION("""COMPUTED_VALUE"""),"Mèo")</f>
        <v>Mèo</v>
      </c>
      <c r="E1443" s="127"/>
    </row>
    <row r="1444" ht="15.75" customHeight="1">
      <c r="A1444" s="128" t="str">
        <f>IFERROR(__xludf.DUMMYFUNCTION("""COMPUTED_VALUE"""),"0936 038 992")</f>
        <v>0936 038 992</v>
      </c>
      <c r="B1444" s="127" t="str">
        <f>IFERROR(__xludf.DUMMYFUNCTION("""COMPUTED_VALUE"""),"Chị Ngọc")</f>
        <v>Chị Ngọc</v>
      </c>
      <c r="C1444" s="127" t="str">
        <f>IFERROR(__xludf.DUMMYFUNCTION("""COMPUTED_VALUE"""),"8A/33 Nguyễn Hoàng")</f>
        <v>8A/33 Nguyễn Hoàng</v>
      </c>
      <c r="D1444" s="127" t="str">
        <f>IFERROR(__xludf.DUMMYFUNCTION("""COMPUTED_VALUE"""),"Mèo")</f>
        <v>Mèo</v>
      </c>
      <c r="E1444" s="127" t="str">
        <f>IFERROR(__xludf.DUMMYFUNCTION("""COMPUTED_VALUE"""),"Mơ")</f>
        <v>Mơ</v>
      </c>
    </row>
    <row r="1445" ht="15.75" customHeight="1">
      <c r="A1445" s="128" t="str">
        <f>IFERROR(__xludf.DUMMYFUNCTION("""COMPUTED_VALUE"""),"0823 849 995")</f>
        <v>0823 849 995</v>
      </c>
      <c r="B1445" s="127" t="str">
        <f>IFERROR(__xludf.DUMMYFUNCTION("""COMPUTED_VALUE"""),"Anh Huy")</f>
        <v>Anh Huy</v>
      </c>
      <c r="C1445" s="127" t="str">
        <f>IFERROR(__xludf.DUMMYFUNCTION("""COMPUTED_VALUE"""),"13/184 Phan Chu Trinh")</f>
        <v>13/184 Phan Chu Trinh</v>
      </c>
      <c r="D1445" s="127" t="str">
        <f>IFERROR(__xludf.DUMMYFUNCTION("""COMPUTED_VALUE"""),"hamster")</f>
        <v>hamster</v>
      </c>
      <c r="E1445" s="127"/>
    </row>
    <row r="1446" ht="15.75" customHeight="1">
      <c r="A1446" s="128" t="str">
        <f>IFERROR(__xludf.DUMMYFUNCTION("""COMPUTED_VALUE"""),"0777 964 306")</f>
        <v>0777 964 306</v>
      </c>
      <c r="B1446" s="127" t="str">
        <f>IFERROR(__xludf.DUMMYFUNCTION("""COMPUTED_VALUE"""),"Anh Thủy")</f>
        <v>Anh Thủy</v>
      </c>
      <c r="C1446" s="127" t="str">
        <f>IFERROR(__xludf.DUMMYFUNCTION("""COMPUTED_VALUE"""),"Nguyễn Đăng Thịnh")</f>
        <v>Nguyễn Đăng Thịnh</v>
      </c>
      <c r="D1446" s="127" t="str">
        <f>IFERROR(__xludf.DUMMYFUNCTION("""COMPUTED_VALUE"""),"Chó")</f>
        <v>Chó</v>
      </c>
      <c r="E1446" s="127" t="str">
        <f>IFERROR(__xludf.DUMMYFUNCTION("""COMPUTED_VALUE"""),"Ka")</f>
        <v>Ka</v>
      </c>
    </row>
    <row r="1447" ht="15.75" customHeight="1">
      <c r="A1447" s="128" t="str">
        <f>IFERROR(__xludf.DUMMYFUNCTION("""COMPUTED_VALUE"""),"0901 133 546")</f>
        <v>0901 133 546</v>
      </c>
      <c r="B1447" s="127" t="str">
        <f>IFERROR(__xludf.DUMMYFUNCTION("""COMPUTED_VALUE"""),"Anh Vũ Duy")</f>
        <v>Anh Vũ Duy</v>
      </c>
      <c r="C1447" s="127" t="str">
        <f>IFERROR(__xludf.DUMMYFUNCTION("""COMPUTED_VALUE"""),"Kiệt 1/6 Nguyễn Hoàn")</f>
        <v>Kiệt 1/6 Nguyễn Hoàn</v>
      </c>
      <c r="D1447" s="127" t="str">
        <f>IFERROR(__xludf.DUMMYFUNCTION("""COMPUTED_VALUE"""),"Chó")</f>
        <v>Chó</v>
      </c>
      <c r="E1447" s="127" t="str">
        <f>IFERROR(__xludf.DUMMYFUNCTION("""COMPUTED_VALUE"""),"Tô")</f>
        <v>Tô</v>
      </c>
    </row>
    <row r="1448" ht="15.75" customHeight="1">
      <c r="A1448" s="128" t="str">
        <f>IFERROR(__xludf.DUMMYFUNCTION("""COMPUTED_VALUE"""),"0931 979 529")</f>
        <v>0931 979 529</v>
      </c>
      <c r="B1448" s="127" t="str">
        <f>IFERROR(__xludf.DUMMYFUNCTION("""COMPUTED_VALUE"""),"Chị Châu")</f>
        <v>Chị Châu</v>
      </c>
      <c r="C1448" s="127" t="str">
        <f>IFERROR(__xludf.DUMMYFUNCTION("""COMPUTED_VALUE"""),"4/1/65 Phan Bội Châu")</f>
        <v>4/1/65 Phan Bội Châu</v>
      </c>
      <c r="D1448" s="127" t="str">
        <f>IFERROR(__xludf.DUMMYFUNCTION("""COMPUTED_VALUE"""),"Mèo")</f>
        <v>Mèo</v>
      </c>
      <c r="E1448" s="127" t="str">
        <f>IFERROR(__xludf.DUMMYFUNCTION("""COMPUTED_VALUE"""),"Sữa")</f>
        <v>Sữa</v>
      </c>
    </row>
    <row r="1449" ht="15.75" customHeight="1">
      <c r="A1449" s="128" t="str">
        <f>IFERROR(__xludf.DUMMYFUNCTION("""COMPUTED_VALUE"""),"0344 587 498")</f>
        <v>0344 587 498</v>
      </c>
      <c r="B1449" s="127" t="str">
        <f>IFERROR(__xludf.DUMMYFUNCTION("""COMPUTED_VALUE"""),"Chị Như Ý")</f>
        <v>Chị Như Ý</v>
      </c>
      <c r="C1449" s="127" t="str">
        <f>IFERROR(__xludf.DUMMYFUNCTION("""COMPUTED_VALUE"""),"Phú Xuân, Phú Vang")</f>
        <v>Phú Xuân, Phú Vang</v>
      </c>
      <c r="D1449" s="127" t="str">
        <f>IFERROR(__xludf.DUMMYFUNCTION("""COMPUTED_VALUE"""),"Mèo")</f>
        <v>Mèo</v>
      </c>
      <c r="E1449" s="127" t="str">
        <f>IFERROR(__xludf.DUMMYFUNCTION("""COMPUTED_VALUE"""),"Mimi")</f>
        <v>Mimi</v>
      </c>
    </row>
    <row r="1450" ht="15.75" customHeight="1">
      <c r="A1450" s="128" t="str">
        <f>IFERROR(__xludf.DUMMYFUNCTION("""COMPUTED_VALUE"""),"0935 566 625")</f>
        <v>0935 566 625</v>
      </c>
      <c r="B1450" s="127" t="str">
        <f>IFERROR(__xludf.DUMMYFUNCTION("""COMPUTED_VALUE"""),"Anh Tuấn")</f>
        <v>Anh Tuấn</v>
      </c>
      <c r="C1450" s="127" t="str">
        <f>IFERROR(__xludf.DUMMYFUNCTION("""COMPUTED_VALUE"""),"54 Bửu Đình")</f>
        <v>54 Bửu Đình</v>
      </c>
      <c r="D1450" s="127" t="str">
        <f>IFERROR(__xludf.DUMMYFUNCTION("""COMPUTED_VALUE"""),"Chó")</f>
        <v>Chó</v>
      </c>
      <c r="E1450" s="127" t="str">
        <f>IFERROR(__xludf.DUMMYFUNCTION("""COMPUTED_VALUE"""),"Su")</f>
        <v>Su</v>
      </c>
    </row>
    <row r="1451" ht="15.75" customHeight="1">
      <c r="A1451" s="128" t="str">
        <f>IFERROR(__xludf.DUMMYFUNCTION("""COMPUTED_VALUE"""),"0948 491 425")</f>
        <v>0948 491 425</v>
      </c>
      <c r="B1451" s="127" t="str">
        <f>IFERROR(__xludf.DUMMYFUNCTION("""COMPUTED_VALUE"""),"Anh Cảnh")</f>
        <v>Anh Cảnh</v>
      </c>
      <c r="C1451" s="127" t="str">
        <f>IFERROR(__xludf.DUMMYFUNCTION("""COMPUTED_VALUE"""),"Phú An, Phú Vang")</f>
        <v>Phú An, Phú Vang</v>
      </c>
      <c r="D1451" s="127" t="str">
        <f>IFERROR(__xludf.DUMMYFUNCTION("""COMPUTED_VALUE"""),"mèo")</f>
        <v>mèo</v>
      </c>
      <c r="E1451" s="119"/>
    </row>
    <row r="1452" ht="15.75" customHeight="1">
      <c r="A1452" s="128" t="str">
        <f>IFERROR(__xludf.DUMMYFUNCTION("""COMPUTED_VALUE"""),"0914 976 626")</f>
        <v>0914 976 626</v>
      </c>
      <c r="B1452" s="127" t="str">
        <f>IFERROR(__xludf.DUMMYFUNCTION("""COMPUTED_VALUE"""),"chú Xê")</f>
        <v>chú Xê</v>
      </c>
      <c r="C1452" s="127" t="str">
        <f>IFERROR(__xludf.DUMMYFUNCTION("""COMPUTED_VALUE"""),"31/25 Phan Bội Châu")</f>
        <v>31/25 Phan Bội Châu</v>
      </c>
      <c r="D1452" s="127" t="str">
        <f>IFERROR(__xludf.DUMMYFUNCTION("""COMPUTED_VALUE"""),"chó")</f>
        <v>chó</v>
      </c>
      <c r="E1452" s="127" t="str">
        <f>IFERROR(__xludf.DUMMYFUNCTION("""COMPUTED_VALUE""")," Ko tên")</f>
        <v> Ko tên</v>
      </c>
    </row>
    <row r="1453" ht="15.75" customHeight="1">
      <c r="A1453" s="128" t="str">
        <f>IFERROR(__xludf.DUMMYFUNCTION("""COMPUTED_VALUE"""),"0905 573 036")</f>
        <v>0905 573 036</v>
      </c>
      <c r="B1453" s="127" t="str">
        <f>IFERROR(__xludf.DUMMYFUNCTION("""COMPUTED_VALUE"""),"Chú Phong")</f>
        <v>Chú Phong</v>
      </c>
      <c r="C1453" s="127" t="str">
        <f>IFERROR(__xludf.DUMMYFUNCTION("""COMPUTED_VALUE"""),"Trần phú")</f>
        <v>Trần phú</v>
      </c>
      <c r="D1453" s="127" t="str">
        <f>IFERROR(__xludf.DUMMYFUNCTION("""COMPUTED_VALUE"""),"chó")</f>
        <v>chó</v>
      </c>
      <c r="E1453" s="127" t="str">
        <f>IFERROR(__xludf.DUMMYFUNCTION("""COMPUTED_VALUE""")," Bông")</f>
        <v> Bông</v>
      </c>
    </row>
    <row r="1454" ht="15.75" customHeight="1">
      <c r="A1454" s="128" t="str">
        <f>IFERROR(__xludf.DUMMYFUNCTION("""COMPUTED_VALUE"""),"0812 874 024")</f>
        <v>0812 874 024</v>
      </c>
      <c r="B1454" s="127" t="str">
        <f>IFERROR(__xludf.DUMMYFUNCTION("""COMPUTED_VALUE"""),"Linh Đan")</f>
        <v>Linh Đan</v>
      </c>
      <c r="C1454" s="127" t="str">
        <f>IFERROR(__xludf.DUMMYFUNCTION("""COMPUTED_VALUE"""),"kqh Hỏi Sen")</f>
        <v>kqh Hỏi Sen</v>
      </c>
      <c r="D1454" s="127" t="str">
        <f>IFERROR(__xludf.DUMMYFUNCTION("""COMPUTED_VALUE"""),"chó")</f>
        <v>chó</v>
      </c>
      <c r="E1454" s="127" t="str">
        <f>IFERROR(__xludf.DUMMYFUNCTION("""COMPUTED_VALUE""")," Ben")</f>
        <v> Ben</v>
      </c>
    </row>
    <row r="1455" ht="15.75" customHeight="1">
      <c r="A1455" s="128" t="str">
        <f>IFERROR(__xludf.DUMMYFUNCTION("""COMPUTED_VALUE"""),"0779 482 584")</f>
        <v>0779 482 584</v>
      </c>
      <c r="B1455" s="127" t="str">
        <f>IFERROR(__xludf.DUMMYFUNCTION("""COMPUTED_VALUE"""),"Trà My")</f>
        <v>Trà My</v>
      </c>
      <c r="C1455" s="127" t="str">
        <f>IFERROR(__xludf.DUMMYFUNCTION("""COMPUTED_VALUE""")," 429 Lê Duẩn")</f>
        <v> 429 Lê Duẩn</v>
      </c>
      <c r="D1455" s="127" t="str">
        <f>IFERROR(__xludf.DUMMYFUNCTION("""COMPUTED_VALUE"""),"mèo")</f>
        <v>mèo</v>
      </c>
      <c r="E1455" s="127" t="str">
        <f>IFERROR(__xludf.DUMMYFUNCTION("""COMPUTED_VALUE""")," Sau")</f>
        <v> Sau</v>
      </c>
    </row>
    <row r="1456" ht="15.75" customHeight="1">
      <c r="A1456" s="128" t="str">
        <f>IFERROR(__xludf.DUMMYFUNCTION("""COMPUTED_VALUE"""),"0788 661 197")</f>
        <v>0788 661 197</v>
      </c>
      <c r="B1456" s="127" t="str">
        <f>IFERROR(__xludf.DUMMYFUNCTION("""COMPUTED_VALUE"""),"Anh Phúc")</f>
        <v>Anh Phúc</v>
      </c>
      <c r="C1456" s="127" t="str">
        <f>IFERROR(__xludf.DUMMYFUNCTION("""COMPUTED_VALUE"""),"Nguyễn Hoàng")</f>
        <v>Nguyễn Hoàng</v>
      </c>
      <c r="D1456" s="127" t="str">
        <f>IFERROR(__xludf.DUMMYFUNCTION("""COMPUTED_VALUE"""),"chó")</f>
        <v>chó</v>
      </c>
      <c r="E1456" s="119" t="str">
        <f>IFERROR(__xludf.DUMMYFUNCTION("""COMPUTED_VALUE""")," Red")</f>
        <v> Red</v>
      </c>
    </row>
    <row r="1457" ht="15.75" customHeight="1">
      <c r="A1457" s="128" t="str">
        <f>IFERROR(__xludf.DUMMYFUNCTION("""COMPUTED_VALUE"""),"0979 734 084")</f>
        <v>0979 734 084</v>
      </c>
      <c r="B1457" s="127" t="str">
        <f>IFERROR(__xludf.DUMMYFUNCTION("""COMPUTED_VALUE"""),"Anh Khoa")</f>
        <v>Anh Khoa</v>
      </c>
      <c r="C1457" s="127" t="str">
        <f>IFERROR(__xludf.DUMMYFUNCTION("""COMPUTED_VALUE"""),"44 Võ Liêm Sơn")</f>
        <v>44 Võ Liêm Sơn</v>
      </c>
      <c r="D1457" s="127" t="str">
        <f>IFERROR(__xludf.DUMMYFUNCTION("""COMPUTED_VALUE"""),"mèo")</f>
        <v>mèo</v>
      </c>
      <c r="E1457" s="127" t="str">
        <f>IFERROR(__xludf.DUMMYFUNCTION("""COMPUTED_VALUE""")," Khôi")</f>
        <v> Khôi</v>
      </c>
    </row>
    <row r="1458" ht="15.75" customHeight="1">
      <c r="A1458" s="128" t="str">
        <f>IFERROR(__xludf.DUMMYFUNCTION("""COMPUTED_VALUE"""),"0356 007 743")</f>
        <v>0356 007 743</v>
      </c>
      <c r="B1458" s="127" t="str">
        <f>IFERROR(__xludf.DUMMYFUNCTION("""COMPUTED_VALUE"""),"Em Hoài")</f>
        <v>Em Hoài</v>
      </c>
      <c r="C1458" s="127" t="str">
        <f>IFERROR(__xludf.DUMMYFUNCTION("""COMPUTED_VALUE"""),"Trần Phú")</f>
        <v>Trần Phú</v>
      </c>
      <c r="D1458" s="127" t="str">
        <f>IFERROR(__xludf.DUMMYFUNCTION("""COMPUTED_VALUE"""),"mèo")</f>
        <v>mèo</v>
      </c>
      <c r="E1458" s="127" t="str">
        <f>IFERROR(__xludf.DUMMYFUNCTION("""COMPUTED_VALUE"""),"Beo")</f>
        <v>Beo</v>
      </c>
    </row>
    <row r="1459" ht="15.75" customHeight="1">
      <c r="A1459" s="128" t="str">
        <f>IFERROR(__xludf.DUMMYFUNCTION("""COMPUTED_VALUE"""),"0944 977 482")</f>
        <v>0944 977 482</v>
      </c>
      <c r="B1459" s="127" t="str">
        <f>IFERROR(__xludf.DUMMYFUNCTION("""COMPUTED_VALUE"""),"Minh Quốc")</f>
        <v>Minh Quốc</v>
      </c>
      <c r="C1459" s="127" t="str">
        <f>IFERROR(__xludf.DUMMYFUNCTION("""COMPUTED_VALUE""")," 43/187 Phan Đình Phùng")</f>
        <v> 43/187 Phan Đình Phùng</v>
      </c>
      <c r="D1459" s="127" t="str">
        <f>IFERROR(__xludf.DUMMYFUNCTION("""COMPUTED_VALUE"""),"chó")</f>
        <v>chó</v>
      </c>
      <c r="E1459" s="127" t="str">
        <f>IFERROR(__xludf.DUMMYFUNCTION("""COMPUTED_VALUE""")," Bun")</f>
        <v> Bun</v>
      </c>
    </row>
    <row r="1460" ht="15.75" customHeight="1">
      <c r="A1460" s="128" t="str">
        <f>IFERROR(__xludf.DUMMYFUNCTION("""COMPUTED_VALUE"""),"0987 504 575")</f>
        <v>0987 504 575</v>
      </c>
      <c r="B1460" s="127" t="str">
        <f>IFERROR(__xludf.DUMMYFUNCTION("""COMPUTED_VALUE"""),"Chị Trang")</f>
        <v>Chị Trang</v>
      </c>
      <c r="C1460" s="127" t="str">
        <f>IFERROR(__xludf.DUMMYFUNCTION("""COMPUTED_VALUE"""),"101 Dương Văn An")</f>
        <v>101 Dương Văn An</v>
      </c>
      <c r="D1460" s="127" t="str">
        <f>IFERROR(__xludf.DUMMYFUNCTION("""COMPUTED_VALUE"""),"mèo")</f>
        <v>mèo</v>
      </c>
      <c r="E1460" s="127" t="str">
        <f>IFERROR(__xludf.DUMMYFUNCTION("""COMPUTED_VALUE"""),"Chun")</f>
        <v>Chun</v>
      </c>
    </row>
    <row r="1461" ht="15.75" customHeight="1">
      <c r="A1461" s="128" t="str">
        <f>IFERROR(__xludf.DUMMYFUNCTION("""COMPUTED_VALUE"""),"0768 450 625")</f>
        <v>0768 450 625</v>
      </c>
      <c r="B1461" s="127" t="str">
        <f>IFERROR(__xludf.DUMMYFUNCTION("""COMPUTED_VALUE"""),"Anh Nghĩa")</f>
        <v>Anh Nghĩa</v>
      </c>
      <c r="C1461" s="127" t="str">
        <f>IFERROR(__xludf.DUMMYFUNCTION("""COMPUTED_VALUE"""),"Thuỷ Vân")</f>
        <v>Thuỷ Vân</v>
      </c>
      <c r="D1461" s="127" t="str">
        <f>IFERROR(__xludf.DUMMYFUNCTION("""COMPUTED_VALUE"""),"chó")</f>
        <v>chó</v>
      </c>
      <c r="E1461" s="127" t="str">
        <f>IFERROR(__xludf.DUMMYFUNCTION("""COMPUTED_VALUE"""),"Sóc")</f>
        <v>Sóc</v>
      </c>
    </row>
    <row r="1462" ht="15.75" customHeight="1">
      <c r="A1462" s="128" t="str">
        <f>IFERROR(__xludf.DUMMYFUNCTION("""COMPUTED_VALUE"""),"0766 542 322")</f>
        <v>0766 542 322</v>
      </c>
      <c r="B1462" s="127" t="str">
        <f>IFERROR(__xludf.DUMMYFUNCTION("""COMPUTED_VALUE"""),"Ngô Đức Huynh")</f>
        <v>Ngô Đức Huynh</v>
      </c>
      <c r="C1462" s="127" t="str">
        <f>IFERROR(__xludf.DUMMYFUNCTION("""COMPUTED_VALUE"""),"Phú Thuận, Phú Vang")</f>
        <v>Phú Thuận, Phú Vang</v>
      </c>
      <c r="D1462" s="127" t="str">
        <f>IFERROR(__xludf.DUMMYFUNCTION("""COMPUTED_VALUE"""),"mèo")</f>
        <v>mèo</v>
      </c>
      <c r="E1462" s="127" t="str">
        <f>IFERROR(__xludf.DUMMYFUNCTION("""COMPUTED_VALUE"""),"măng")</f>
        <v>măng</v>
      </c>
    </row>
    <row r="1463" ht="15.75" customHeight="1">
      <c r="A1463" s="128" t="str">
        <f>IFERROR(__xludf.DUMMYFUNCTION("""COMPUTED_VALUE"""),"0854 718 191")</f>
        <v>0854 718 191</v>
      </c>
      <c r="B1463" s="127" t="str">
        <f>IFERROR(__xludf.DUMMYFUNCTION("""COMPUTED_VALUE"""),"chị Hằng")</f>
        <v>chị Hằng</v>
      </c>
      <c r="C1463" s="127" t="str">
        <f>IFERROR(__xludf.DUMMYFUNCTION("""COMPUTED_VALUE"""),"k7 Công Lương")</f>
        <v>k7 Công Lương</v>
      </c>
      <c r="D1463" s="127" t="str">
        <f>IFERROR(__xludf.DUMMYFUNCTION("""COMPUTED_VALUE"""),"chó")</f>
        <v>chó</v>
      </c>
      <c r="E1463" s="127"/>
    </row>
    <row r="1464" ht="15.75" customHeight="1">
      <c r="A1464" s="128" t="str">
        <f>IFERROR(__xludf.DUMMYFUNCTION("""COMPUTED_VALUE"""),"0983 834 159")</f>
        <v>0983 834 159</v>
      </c>
      <c r="B1464" s="133" t="str">
        <f>IFERROR(__xludf.DUMMYFUNCTION("""COMPUTED_VALUE"""),"Anh Đức")</f>
        <v>Anh Đức</v>
      </c>
      <c r="C1464" s="127" t="str">
        <f>IFERROR(__xludf.DUMMYFUNCTION("""COMPUTED_VALUE"""),"Kim Long")</f>
        <v>Kim Long</v>
      </c>
      <c r="D1464" s="127" t="str">
        <f>IFERROR(__xludf.DUMMYFUNCTION("""COMPUTED_VALUE"""),"Chó")</f>
        <v>Chó</v>
      </c>
      <c r="E1464" s="127" t="str">
        <f>IFERROR(__xludf.DUMMYFUNCTION("""COMPUTED_VALUE"""),"Bun")</f>
        <v>Bun</v>
      </c>
    </row>
    <row r="1465" ht="15.75" customHeight="1">
      <c r="A1465" s="128" t="str">
        <f>IFERROR(__xludf.DUMMYFUNCTION("""COMPUTED_VALUE"""),"0357 811 264")</f>
        <v>0357 811 264</v>
      </c>
      <c r="B1465" s="127" t="str">
        <f>IFERROR(__xludf.DUMMYFUNCTION("""COMPUTED_VALUE"""),"Trần thị ngọc Linh")</f>
        <v>Trần thị ngọc Linh</v>
      </c>
      <c r="C1465" s="127" t="str">
        <f>IFERROR(__xludf.DUMMYFUNCTION("""COMPUTED_VALUE"""),"251 A/ ^5 Đặng huy trứ")</f>
        <v>251 A/ ^5 Đặng huy trứ</v>
      </c>
      <c r="D1465" s="127" t="str">
        <f>IFERROR(__xludf.DUMMYFUNCTION("""COMPUTED_VALUE"""),"mèo")</f>
        <v>mèo</v>
      </c>
      <c r="E1465" s="127" t="str">
        <f>IFERROR(__xludf.DUMMYFUNCTION("""COMPUTED_VALUE""")," bông")</f>
        <v> bông</v>
      </c>
    </row>
    <row r="1466" ht="15.75" customHeight="1">
      <c r="A1466" s="128" t="str">
        <f>IFERROR(__xludf.DUMMYFUNCTION("""COMPUTED_VALUE"""),"0905 550 298")</f>
        <v>0905 550 298</v>
      </c>
      <c r="B1466" s="127" t="str">
        <f>IFERROR(__xludf.DUMMYFUNCTION("""COMPUTED_VALUE"""),"Cẩm Chi")</f>
        <v>Cẩm Chi</v>
      </c>
      <c r="C1466" s="127" t="str">
        <f>IFERROR(__xludf.DUMMYFUNCTION("""COMPUTED_VALUE"""),"Đặng Tất")</f>
        <v>Đặng Tất</v>
      </c>
      <c r="D1466" s="127" t="str">
        <f>IFERROR(__xludf.DUMMYFUNCTION("""COMPUTED_VALUE"""),"Chó")</f>
        <v>Chó</v>
      </c>
      <c r="E1466" s="127" t="str">
        <f>IFERROR(__xludf.DUMMYFUNCTION("""COMPUTED_VALUE"""),"Tròn")</f>
        <v>Tròn</v>
      </c>
    </row>
    <row r="1467" ht="15.75" customHeight="1">
      <c r="A1467" s="128" t="str">
        <f>IFERROR(__xludf.DUMMYFUNCTION("""COMPUTED_VALUE"""),"0842 447 444")</f>
        <v>0842 447 444</v>
      </c>
      <c r="B1467" s="127" t="str">
        <f>IFERROR(__xludf.DUMMYFUNCTION("""COMPUTED_VALUE"""),"Anh Tân")</f>
        <v>Anh Tân</v>
      </c>
      <c r="C1467" s="127" t="str">
        <f>IFERROR(__xludf.DUMMYFUNCTION("""COMPUTED_VALUE"""),"3 Hai Bà Trưng")</f>
        <v>3 Hai Bà Trưng</v>
      </c>
      <c r="D1467" s="127" t="str">
        <f>IFERROR(__xludf.DUMMYFUNCTION("""COMPUTED_VALUE"""),"chó")</f>
        <v>chó</v>
      </c>
      <c r="E1467" s="127"/>
    </row>
    <row r="1468" ht="15.75" customHeight="1">
      <c r="A1468" s="128" t="str">
        <f>IFERROR(__xludf.DUMMYFUNCTION("""COMPUTED_VALUE"""),"0775 666 675")</f>
        <v>0775 666 675</v>
      </c>
      <c r="B1468" s="127" t="str">
        <f>IFERROR(__xludf.DUMMYFUNCTION("""COMPUTED_VALUE"""),"Chị Thảo")</f>
        <v>Chị Thảo</v>
      </c>
      <c r="C1468" s="127" t="str">
        <f>IFERROR(__xludf.DUMMYFUNCTION("""COMPUTED_VALUE"""),"1/196 Phạm Văn Đồng")</f>
        <v>1/196 Phạm Văn Đồng</v>
      </c>
      <c r="D1468" s="127" t="str">
        <f>IFERROR(__xludf.DUMMYFUNCTION("""COMPUTED_VALUE"""),"mèo")</f>
        <v>mèo</v>
      </c>
      <c r="E1468" s="127" t="str">
        <f>IFERROR(__xludf.DUMMYFUNCTION("""COMPUTED_VALUE"""),"Meo")</f>
        <v>Meo</v>
      </c>
    </row>
    <row r="1469" ht="15.75" customHeight="1">
      <c r="A1469" s="128" t="str">
        <f>IFERROR(__xludf.DUMMYFUNCTION("""COMPUTED_VALUE"""),"0788 689 492")</f>
        <v>0788 689 492</v>
      </c>
      <c r="B1469" s="127" t="str">
        <f>IFERROR(__xludf.DUMMYFUNCTION("""COMPUTED_VALUE"""),"Anh tuấn")</f>
        <v>Anh tuấn</v>
      </c>
      <c r="C1469" s="127" t="str">
        <f>IFERROR(__xludf.DUMMYFUNCTION("""COMPUTED_VALUE"""),"Diện Biên phủ")</f>
        <v>Diện Biên phủ</v>
      </c>
      <c r="D1469" s="127" t="str">
        <f>IFERROR(__xludf.DUMMYFUNCTION("""COMPUTED_VALUE"""),"mèo")</f>
        <v>mèo</v>
      </c>
      <c r="E1469" s="119" t="str">
        <f>IFERROR(__xludf.DUMMYFUNCTION("""COMPUTED_VALUE""")," Mây")</f>
        <v> Mây</v>
      </c>
    </row>
    <row r="1470" ht="15.75" customHeight="1">
      <c r="A1470" s="128" t="str">
        <f>IFERROR(__xludf.DUMMYFUNCTION("""COMPUTED_VALUE"""),"0906 369 745")</f>
        <v>0906 369 745</v>
      </c>
      <c r="B1470" s="127" t="str">
        <f>IFERROR(__xludf.DUMMYFUNCTION("""COMPUTED_VALUE"""),"chị Hằng")</f>
        <v>chị Hằng</v>
      </c>
      <c r="C1470" s="127" t="str">
        <f>IFERROR(__xludf.DUMMYFUNCTION("""COMPUTED_VALUE"""),"200 Phan Bội Châu")</f>
        <v>200 Phan Bội Châu</v>
      </c>
      <c r="D1470" s="127" t="str">
        <f>IFERROR(__xludf.DUMMYFUNCTION("""COMPUTED_VALUE"""),"chó")</f>
        <v>chó</v>
      </c>
      <c r="E1470" s="127" t="str">
        <f>IFERROR(__xludf.DUMMYFUNCTION("""COMPUTED_VALUE""")," Ky")</f>
        <v> Ky</v>
      </c>
    </row>
    <row r="1471" ht="15.75" customHeight="1">
      <c r="A1471" s="128" t="str">
        <f>IFERROR(__xludf.DUMMYFUNCTION("""COMPUTED_VALUE"""),"0905 886 848")</f>
        <v>0905 886 848</v>
      </c>
      <c r="B1471" s="127" t="str">
        <f>IFERROR(__xludf.DUMMYFUNCTION("""COMPUTED_VALUE"""),"Chú Minh")</f>
        <v>Chú Minh</v>
      </c>
      <c r="C1471" s="127" t="str">
        <f>IFERROR(__xludf.DUMMYFUNCTION("""COMPUTED_VALUE"""),"2 Trần Hoành")</f>
        <v>2 Trần Hoành</v>
      </c>
      <c r="D1471" s="127" t="str">
        <f>IFERROR(__xludf.DUMMYFUNCTION("""COMPUTED_VALUE"""),"Chó")</f>
        <v>Chó</v>
      </c>
      <c r="E1471" s="127" t="str">
        <f>IFERROR(__xludf.DUMMYFUNCTION("""COMPUTED_VALUE"""),"Cam")</f>
        <v>Cam</v>
      </c>
    </row>
    <row r="1472" ht="15.75" customHeight="1">
      <c r="A1472" s="128" t="str">
        <f>IFERROR(__xludf.DUMMYFUNCTION("""COMPUTED_VALUE"""),"0934 860 334")</f>
        <v>0934 860 334</v>
      </c>
      <c r="B1472" s="127" t="str">
        <f>IFERROR(__xludf.DUMMYFUNCTION("""COMPUTED_VALUE"""),"anh Minh")</f>
        <v>anh Minh</v>
      </c>
      <c r="C1472" s="127" t="str">
        <f>IFERROR(__xludf.DUMMYFUNCTION("""COMPUTED_VALUE"""),"Phú Vang")</f>
        <v>Phú Vang</v>
      </c>
      <c r="D1472" s="127" t="str">
        <f>IFERROR(__xludf.DUMMYFUNCTION("""COMPUTED_VALUE"""),"mèo")</f>
        <v>mèo</v>
      </c>
      <c r="E1472" s="127" t="str">
        <f>IFERROR(__xludf.DUMMYFUNCTION("""COMPUTED_VALUE""")," bông")</f>
        <v> bông</v>
      </c>
    </row>
    <row r="1473" ht="15.75" customHeight="1">
      <c r="A1473" s="128" t="str">
        <f>IFERROR(__xludf.DUMMYFUNCTION("""COMPUTED_VALUE"""),"0963 419 428")</f>
        <v>0963 419 428</v>
      </c>
      <c r="B1473" s="127" t="str">
        <f>IFERROR(__xludf.DUMMYFUNCTION("""COMPUTED_VALUE"""),"Anh Đạt")</f>
        <v>Anh Đạt</v>
      </c>
      <c r="C1473" s="127" t="str">
        <f>IFERROR(__xludf.DUMMYFUNCTION("""COMPUTED_VALUE"""),"Quảng Điền")</f>
        <v>Quảng Điền</v>
      </c>
      <c r="D1473" s="127" t="str">
        <f>IFERROR(__xludf.DUMMYFUNCTION("""COMPUTED_VALUE"""),"mèo")</f>
        <v>mèo</v>
      </c>
      <c r="E1473" s="127"/>
    </row>
    <row r="1474" ht="15.75" customHeight="1">
      <c r="A1474" s="128" t="str">
        <f>IFERROR(__xludf.DUMMYFUNCTION("""COMPUTED_VALUE"""),"0914 171 518")</f>
        <v>0914 171 518</v>
      </c>
      <c r="B1474" s="127" t="str">
        <f>IFERROR(__xludf.DUMMYFUNCTION("""COMPUTED_VALUE"""),"em khánh linh")</f>
        <v>em khánh linh</v>
      </c>
      <c r="C1474" s="127" t="str">
        <f>IFERROR(__xludf.DUMMYFUNCTION("""COMPUTED_VALUE"""),"trần quang khải")</f>
        <v>trần quang khải</v>
      </c>
      <c r="D1474" s="127" t="str">
        <f>IFERROR(__xludf.DUMMYFUNCTION("""COMPUTED_VALUE"""),"mèo")</f>
        <v>mèo</v>
      </c>
      <c r="E1474" s="127" t="str">
        <f>IFERROR(__xludf.DUMMYFUNCTION("""COMPUTED_VALUE"""),"gạo")</f>
        <v>gạo</v>
      </c>
    </row>
    <row r="1475" ht="15.75" customHeight="1">
      <c r="A1475" s="128" t="str">
        <f>IFERROR(__xludf.DUMMYFUNCTION("""COMPUTED_VALUE"""),"0337 415 515")</f>
        <v>0337 415 515</v>
      </c>
      <c r="B1475" s="127" t="str">
        <f>IFERROR(__xludf.DUMMYFUNCTION("""COMPUTED_VALUE"""),"Anh Thư")</f>
        <v>Anh Thư</v>
      </c>
      <c r="C1475" s="127" t="str">
        <f>IFERROR(__xludf.DUMMYFUNCTION("""COMPUTED_VALUE"""),"28 Lâm Hoàng")</f>
        <v>28 Lâm Hoàng</v>
      </c>
      <c r="D1475" s="127" t="str">
        <f>IFERROR(__xludf.DUMMYFUNCTION("""COMPUTED_VALUE"""),"chó")</f>
        <v>chó</v>
      </c>
      <c r="E1475" s="119" t="str">
        <f>IFERROR(__xludf.DUMMYFUNCTION("""COMPUTED_VALUE"""),"nâu")</f>
        <v>nâu</v>
      </c>
    </row>
    <row r="1476" ht="15.75" customHeight="1">
      <c r="A1476" s="128" t="str">
        <f>IFERROR(__xludf.DUMMYFUNCTION("""COMPUTED_VALUE"""),"0935 359 784")</f>
        <v>0935 359 784</v>
      </c>
      <c r="B1476" s="127" t="str">
        <f>IFERROR(__xludf.DUMMYFUNCTION("""COMPUTED_VALUE"""),"Anh Trí")</f>
        <v>Anh Trí</v>
      </c>
      <c r="C1476" s="127" t="str">
        <f>IFERROR(__xludf.DUMMYFUNCTION("""COMPUTED_VALUE"""),"210 Lý Nam Đế")</f>
        <v>210 Lý Nam Đế</v>
      </c>
      <c r="D1476" s="127" t="str">
        <f>IFERROR(__xludf.DUMMYFUNCTION("""COMPUTED_VALUE"""),"Chó")</f>
        <v>Chó</v>
      </c>
      <c r="E1476" s="127" t="str">
        <f>IFERROR(__xludf.DUMMYFUNCTION("""COMPUTED_VALUE"""),"Kem")</f>
        <v>Kem</v>
      </c>
    </row>
    <row r="1477" ht="15.75" customHeight="1">
      <c r="A1477" s="128" t="str">
        <f>IFERROR(__xludf.DUMMYFUNCTION("""COMPUTED_VALUE"""),"0776 660 655")</f>
        <v>0776 660 655</v>
      </c>
      <c r="B1477" s="127" t="str">
        <f>IFERROR(__xludf.DUMMYFUNCTION("""COMPUTED_VALUE"""),"chị thi")</f>
        <v>chị thi</v>
      </c>
      <c r="C1477" s="127" t="str">
        <f>IFERROR(__xludf.DUMMYFUNCTION("""COMPUTED_VALUE"""),"131 trần phú")</f>
        <v>131 trần phú</v>
      </c>
      <c r="D1477" s="127" t="str">
        <f>IFERROR(__xludf.DUMMYFUNCTION("""COMPUTED_VALUE"""),"mèo ")</f>
        <v>mèo </v>
      </c>
      <c r="E1477" s="119" t="str">
        <f>IFERROR(__xludf.DUMMYFUNCTION("""COMPUTED_VALUE"""),"mia")</f>
        <v>mia</v>
      </c>
    </row>
    <row r="1478" ht="15.75" customHeight="1">
      <c r="A1478" s="124" t="str">
        <f>IFERROR(__xludf.DUMMYFUNCTION("""COMPUTED_VALUE"""),"0905 984 425")</f>
        <v>0905 984 425</v>
      </c>
      <c r="B1478" s="125" t="str">
        <f>IFERROR(__xludf.DUMMYFUNCTION("""COMPUTED_VALUE"""),"Công Khuyên")</f>
        <v>Công Khuyên</v>
      </c>
      <c r="C1478" s="125" t="str">
        <f>IFERROR(__xludf.DUMMYFUNCTION("""COMPUTED_VALUE"""),"08 Phạm Thị Liên")</f>
        <v>08 Phạm Thị Liên</v>
      </c>
      <c r="D1478" s="125" t="str">
        <f>IFERROR(__xludf.DUMMYFUNCTION("""COMPUTED_VALUE"""),"Chó")</f>
        <v>Chó</v>
      </c>
      <c r="E1478" s="125" t="str">
        <f>IFERROR(__xludf.DUMMYFUNCTION("""COMPUTED_VALUE"""),"Sữa")</f>
        <v>Sữa</v>
      </c>
    </row>
    <row r="1479" ht="15.75" customHeight="1">
      <c r="A1479" s="128" t="str">
        <f>IFERROR(__xludf.DUMMYFUNCTION("""COMPUTED_VALUE"""),"0934 769 946")</f>
        <v>0934 769 946</v>
      </c>
      <c r="B1479" s="127" t="str">
        <f>IFERROR(__xludf.DUMMYFUNCTION("""COMPUTED_VALUE"""),"Chú Thăng")</f>
        <v>Chú Thăng</v>
      </c>
      <c r="C1479" s="127" t="str">
        <f>IFERROR(__xludf.DUMMYFUNCTION("""COMPUTED_VALUE"""),"37 Phạm Thị Liên")</f>
        <v>37 Phạm Thị Liên</v>
      </c>
      <c r="D1479" s="127" t="str">
        <f>IFERROR(__xludf.DUMMYFUNCTION("""COMPUTED_VALUE"""),"Chó")</f>
        <v>Chó</v>
      </c>
      <c r="E1479" s="127" t="str">
        <f>IFERROR(__xludf.DUMMYFUNCTION("""COMPUTED_VALUE"""),"Xù")</f>
        <v>Xù</v>
      </c>
    </row>
    <row r="1480" ht="15.75" customHeight="1">
      <c r="A1480" s="128" t="str">
        <f>IFERROR(__xludf.DUMMYFUNCTION("""COMPUTED_VALUE"""),"0396 349 347")</f>
        <v>0396 349 347</v>
      </c>
      <c r="B1480" s="127" t="str">
        <f>IFERROR(__xludf.DUMMYFUNCTION("""COMPUTED_VALUE"""),"Chú Thành")</f>
        <v>Chú Thành</v>
      </c>
      <c r="C1480" s="127" t="str">
        <f>IFERROR(__xludf.DUMMYFUNCTION("""COMPUTED_VALUE"""),"37 Bùi Thị Xuân")</f>
        <v>37 Bùi Thị Xuân</v>
      </c>
      <c r="D1480" s="127" t="str">
        <f>IFERROR(__xludf.DUMMYFUNCTION("""COMPUTED_VALUE"""),"Mèo")</f>
        <v>Mèo</v>
      </c>
      <c r="E1480" s="119" t="str">
        <f>IFERROR(__xludf.DUMMYFUNCTION("""COMPUTED_VALUE"""),"Gấu")</f>
        <v>Gấu</v>
      </c>
    </row>
    <row r="1481" ht="15.75" customHeight="1">
      <c r="A1481" s="128" t="str">
        <f>IFERROR(__xludf.DUMMYFUNCTION("""COMPUTED_VALUE"""),"0349 309 514")</f>
        <v>0349 309 514</v>
      </c>
      <c r="B1481" s="127" t="str">
        <f>IFERROR(__xludf.DUMMYFUNCTION("""COMPUTED_VALUE"""),"Anh sơn")</f>
        <v>Anh sơn</v>
      </c>
      <c r="C1481" s="127" t="str">
        <f>IFERROR(__xludf.DUMMYFUNCTION("""COMPUTED_VALUE"""),"167 Võ trác")</f>
        <v>167 Võ trác</v>
      </c>
      <c r="D1481" s="127" t="str">
        <f>IFERROR(__xludf.DUMMYFUNCTION("""COMPUTED_VALUE"""),"Chó")</f>
        <v>Chó</v>
      </c>
      <c r="E1481" s="127" t="str">
        <f>IFERROR(__xludf.DUMMYFUNCTION("""COMPUTED_VALUE"""),"Mia")</f>
        <v>Mia</v>
      </c>
    </row>
    <row r="1482" ht="15.75" customHeight="1">
      <c r="A1482" s="128" t="str">
        <f>IFERROR(__xludf.DUMMYFUNCTION("""COMPUTED_VALUE"""),"0914 114 747")</f>
        <v>0914 114 747</v>
      </c>
      <c r="B1482" s="127" t="str">
        <f>IFERROR(__xludf.DUMMYFUNCTION("""COMPUTED_VALUE"""),"Anh Minh Hoán")</f>
        <v>Anh Minh Hoán</v>
      </c>
      <c r="C1482" s="119" t="str">
        <f>IFERROR(__xludf.DUMMYFUNCTION("""COMPUTED_VALUE"""),"4 Nguyễn Hoàng")</f>
        <v>4 Nguyễn Hoàng</v>
      </c>
      <c r="D1482" s="127" t="str">
        <f>IFERROR(__xludf.DUMMYFUNCTION("""COMPUTED_VALUE"""),"Chó")</f>
        <v>Chó</v>
      </c>
      <c r="E1482" s="119" t="str">
        <f>IFERROR(__xludf.DUMMYFUNCTION("""COMPUTED_VALUE"""),"Mực")</f>
        <v>Mực</v>
      </c>
    </row>
    <row r="1483" ht="15.75" customHeight="1">
      <c r="A1483" s="124" t="str">
        <f>IFERROR(__xludf.DUMMYFUNCTION("""COMPUTED_VALUE"""),"0345 791 540")</f>
        <v>0345 791 540</v>
      </c>
      <c r="B1483" s="125" t="str">
        <f>IFERROR(__xludf.DUMMYFUNCTION("""COMPUTED_VALUE"""),"Nguyễn Lâm Vĩ")</f>
        <v>Nguyễn Lâm Vĩ</v>
      </c>
      <c r="C1483" s="125" t="str">
        <f>IFERROR(__xludf.DUMMYFUNCTION("""COMPUTED_VALUE"""),"33 Đặng Thùy Trâm")</f>
        <v>33 Đặng Thùy Trâm</v>
      </c>
      <c r="D1483" s="125" t="str">
        <f>IFERROR(__xludf.DUMMYFUNCTION("""COMPUTED_VALUE"""),"Rùa")</f>
        <v>Rùa</v>
      </c>
      <c r="E1483" s="125"/>
    </row>
    <row r="1484" ht="15.75" customHeight="1">
      <c r="A1484" s="128" t="str">
        <f>IFERROR(__xludf.DUMMYFUNCTION("""COMPUTED_VALUE"""),"0865 567 911")</f>
        <v>0865 567 911</v>
      </c>
      <c r="B1484" s="127" t="str">
        <f>IFERROR(__xludf.DUMMYFUNCTION("""COMPUTED_VALUE"""),"Anh sơn")</f>
        <v>Anh sơn</v>
      </c>
      <c r="C1484" s="127" t="str">
        <f>IFERROR(__xludf.DUMMYFUNCTION("""COMPUTED_VALUE"""),"Hương Hồ")</f>
        <v>Hương Hồ</v>
      </c>
      <c r="D1484" s="127" t="str">
        <f>IFERROR(__xludf.DUMMYFUNCTION("""COMPUTED_VALUE"""),"Chó")</f>
        <v>Chó</v>
      </c>
      <c r="E1484" s="127"/>
    </row>
    <row r="1485" ht="15.75" customHeight="1">
      <c r="A1485" s="128" t="str">
        <f>IFERROR(__xludf.DUMMYFUNCTION("""COMPUTED_VALUE"""),"0372 735 357")</f>
        <v>0372 735 357</v>
      </c>
      <c r="B1485" s="127" t="str">
        <f>IFERROR(__xludf.DUMMYFUNCTION("""COMPUTED_VALUE"""),"khánh Thư")</f>
        <v>khánh Thư</v>
      </c>
      <c r="C1485" s="127" t="str">
        <f>IFERROR(__xludf.DUMMYFUNCTION("""COMPUTED_VALUE"""),"19 Đạm Phương")</f>
        <v>19 Đạm Phương</v>
      </c>
      <c r="D1485" s="127" t="str">
        <f>IFERROR(__xludf.DUMMYFUNCTION("""COMPUTED_VALUE"""),"Mèo")</f>
        <v>Mèo</v>
      </c>
      <c r="E1485" s="119"/>
    </row>
    <row r="1486" ht="15.75" customHeight="1">
      <c r="A1486" s="128" t="str">
        <f>IFERROR(__xludf.DUMMYFUNCTION("""COMPUTED_VALUE"""),"0903 512 215")</f>
        <v>0903 512 215</v>
      </c>
      <c r="B1486" s="127" t="str">
        <f>IFERROR(__xludf.DUMMYFUNCTION("""COMPUTED_VALUE"""),"Phan Công Lâm")</f>
        <v>Phan Công Lâm</v>
      </c>
      <c r="C1486" s="127" t="str">
        <f>IFERROR(__xludf.DUMMYFUNCTION("""COMPUTED_VALUE"""),"KQH Phú Mỹ An")</f>
        <v>KQH Phú Mỹ An</v>
      </c>
      <c r="D1486" s="127" t="str">
        <f>IFERROR(__xludf.DUMMYFUNCTION("""COMPUTED_VALUE"""),"Chó")</f>
        <v>Chó</v>
      </c>
      <c r="E1486" s="127" t="str">
        <f>IFERROR(__xludf.DUMMYFUNCTION("""COMPUTED_VALUE"""),"BayLy")</f>
        <v>BayLy</v>
      </c>
    </row>
    <row r="1487" ht="15.75" customHeight="1">
      <c r="A1487" s="128" t="str">
        <f>IFERROR(__xludf.DUMMYFUNCTION("""COMPUTED_VALUE"""),"0934 800 267")</f>
        <v>0934 800 267</v>
      </c>
      <c r="B1487" s="127" t="str">
        <f>IFERROR(__xludf.DUMMYFUNCTION("""COMPUTED_VALUE"""),"Phước trung")</f>
        <v>Phước trung</v>
      </c>
      <c r="C1487" s="127" t="str">
        <f>IFERROR(__xludf.DUMMYFUNCTION("""COMPUTED_VALUE"""),"8/32 Huyền Trân Công Chúa")</f>
        <v>8/32 Huyền Trân Công Chúa</v>
      </c>
      <c r="D1487" s="127" t="str">
        <f>IFERROR(__xludf.DUMMYFUNCTION("""COMPUTED_VALUE"""),"chó")</f>
        <v>chó</v>
      </c>
      <c r="E1487" s="127" t="str">
        <f>IFERROR(__xludf.DUMMYFUNCTION("""COMPUTED_VALUE"""),"rốt")</f>
        <v>rốt</v>
      </c>
    </row>
    <row r="1488" ht="15.75" customHeight="1">
      <c r="A1488" s="128" t="str">
        <f>IFERROR(__xludf.DUMMYFUNCTION("""COMPUTED_VALUE"""),"0764 890 889")</f>
        <v>0764 890 889</v>
      </c>
      <c r="B1488" s="127" t="str">
        <f>IFERROR(__xludf.DUMMYFUNCTION("""COMPUTED_VALUE"""),"Chị Quỳnh châu")</f>
        <v>Chị Quỳnh châu</v>
      </c>
      <c r="C1488" s="127" t="str">
        <f>IFERROR(__xludf.DUMMYFUNCTION("""COMPUTED_VALUE"""),"72 Trần Phú")</f>
        <v>72 Trần Phú</v>
      </c>
      <c r="D1488" s="127" t="str">
        <f>IFERROR(__xludf.DUMMYFUNCTION("""COMPUTED_VALUE"""),"mèo ")</f>
        <v>mèo </v>
      </c>
      <c r="E1488" s="127" t="str">
        <f>IFERROR(__xludf.DUMMYFUNCTION("""COMPUTED_VALUE"""),"Jery")</f>
        <v>Jery</v>
      </c>
    </row>
    <row r="1489" ht="15.75" customHeight="1">
      <c r="A1489" s="128" t="str">
        <f>IFERROR(__xludf.DUMMYFUNCTION("""COMPUTED_VALUE"""),"0904 362 717")</f>
        <v>0904 362 717</v>
      </c>
      <c r="B1489" s="127" t="str">
        <f>IFERROR(__xludf.DUMMYFUNCTION("""COMPUTED_VALUE"""),"Anh Vinh")</f>
        <v>Anh Vinh</v>
      </c>
      <c r="C1489" s="127" t="str">
        <f>IFERROR(__xludf.DUMMYFUNCTION("""COMPUTED_VALUE"""),"10 Tôn Quang Phệt")</f>
        <v>10 Tôn Quang Phệt</v>
      </c>
      <c r="D1489" s="127" t="str">
        <f>IFERROR(__xludf.DUMMYFUNCTION("""COMPUTED_VALUE"""),"chó ")</f>
        <v>chó </v>
      </c>
      <c r="E1489" s="127" t="str">
        <f>IFERROR(__xludf.DUMMYFUNCTION("""COMPUTED_VALUE"""),"Nicky")</f>
        <v>Nicky</v>
      </c>
    </row>
    <row r="1490" ht="15.75" customHeight="1">
      <c r="A1490" s="128" t="str">
        <f>IFERROR(__xludf.DUMMYFUNCTION("""COMPUTED_VALUE"""),"0343 302 341")</f>
        <v>0343 302 341</v>
      </c>
      <c r="B1490" s="127" t="str">
        <f>IFERROR(__xludf.DUMMYFUNCTION("""COMPUTED_VALUE"""),"Anh Long")</f>
        <v>Anh Long</v>
      </c>
      <c r="C1490" s="127" t="str">
        <f>IFERROR(__xludf.DUMMYFUNCTION("""COMPUTED_VALUE"""),"244 Đào Tấn")</f>
        <v>244 Đào Tấn</v>
      </c>
      <c r="D1490" s="127" t="str">
        <f>IFERROR(__xludf.DUMMYFUNCTION("""COMPUTED_VALUE"""),"chó")</f>
        <v>chó</v>
      </c>
      <c r="E1490" s="127" t="str">
        <f>IFERROR(__xludf.DUMMYFUNCTION("""COMPUTED_VALUE"""),"bun")</f>
        <v>bun</v>
      </c>
    </row>
    <row r="1491" ht="15.75" customHeight="1">
      <c r="A1491" s="128" t="str">
        <f>IFERROR(__xludf.DUMMYFUNCTION("""COMPUTED_VALUE"""),"0387 685 876")</f>
        <v>0387 685 876</v>
      </c>
      <c r="B1491" s="127" t="str">
        <f>IFERROR(__xludf.DUMMYFUNCTION("""COMPUTED_VALUE"""),"Chị Anh Thi ")</f>
        <v>Chị Anh Thi </v>
      </c>
      <c r="C1491" s="127" t="str">
        <f>IFERROR(__xludf.DUMMYFUNCTION("""COMPUTED_VALUE"""),"1/111 Trần thái tông")</f>
        <v>1/111 Trần thái tông</v>
      </c>
      <c r="D1491" s="127" t="str">
        <f>IFERROR(__xludf.DUMMYFUNCTION("""COMPUTED_VALUE"""),"chó")</f>
        <v>chó</v>
      </c>
      <c r="E1491" s="119" t="str">
        <f>IFERROR(__xludf.DUMMYFUNCTION("""COMPUTED_VALUE"""),"Gấu")</f>
        <v>Gấu</v>
      </c>
    </row>
    <row r="1492" ht="15.75" customHeight="1">
      <c r="A1492" s="128" t="str">
        <f>IFERROR(__xludf.DUMMYFUNCTION("""COMPUTED_VALUE"""),"0931 974 960")</f>
        <v>0931 974 960</v>
      </c>
      <c r="B1492" s="127" t="str">
        <f>IFERROR(__xludf.DUMMYFUNCTION("""COMPUTED_VALUE"""),"Chị Vy")</f>
        <v>Chị Vy</v>
      </c>
      <c r="C1492" s="127" t="str">
        <f>IFERROR(__xludf.DUMMYFUNCTION("""COMPUTED_VALUE"""),"10/24 Trần Thúc Nhẫn")</f>
        <v>10/24 Trần Thúc Nhẫn</v>
      </c>
      <c r="D1492" s="127" t="str">
        <f>IFERROR(__xludf.DUMMYFUNCTION("""COMPUTED_VALUE"""),"chó")</f>
        <v>chó</v>
      </c>
      <c r="E1492" s="127" t="str">
        <f>IFERROR(__xludf.DUMMYFUNCTION("""COMPUTED_VALUE""")," Dola")</f>
        <v> Dola</v>
      </c>
    </row>
    <row r="1493" ht="15.75" customHeight="1">
      <c r="A1493" s="128" t="str">
        <f>IFERROR(__xludf.DUMMYFUNCTION("""COMPUTED_VALUE"""),"0788 575 865")</f>
        <v>0788 575 865</v>
      </c>
      <c r="B1493" s="127" t="str">
        <f>IFERROR(__xludf.DUMMYFUNCTION("""COMPUTED_VALUE"""),"Nhật Tường")</f>
        <v>Nhật Tường</v>
      </c>
      <c r="C1493" s="127" t="str">
        <f>IFERROR(__xludf.DUMMYFUNCTION("""COMPUTED_VALUE"""),"18 Lựu Bảo")</f>
        <v>18 Lựu Bảo</v>
      </c>
      <c r="D1493" s="127" t="str">
        <f>IFERROR(__xludf.DUMMYFUNCTION("""COMPUTED_VALUE"""),"Chó")</f>
        <v>Chó</v>
      </c>
      <c r="E1493" s="127" t="str">
        <f>IFERROR(__xludf.DUMMYFUNCTION("""COMPUTED_VALUE"""),"Chipchip")</f>
        <v>Chipchip</v>
      </c>
    </row>
    <row r="1494" ht="15.75" customHeight="1">
      <c r="A1494" s="128" t="str">
        <f>IFERROR(__xludf.DUMMYFUNCTION("""COMPUTED_VALUE"""),"0772 942 047")</f>
        <v>0772 942 047</v>
      </c>
      <c r="B1494" s="133" t="str">
        <f>IFERROR(__xludf.DUMMYFUNCTION("""COMPUTED_VALUE"""),"Anh Nhân")</f>
        <v>Anh Nhân</v>
      </c>
      <c r="C1494" s="127" t="str">
        <f>IFERROR(__xludf.DUMMYFUNCTION("""COMPUTED_VALUE"""),"8a/114 Hoàng Thị Loan")</f>
        <v>8a/114 Hoàng Thị Loan</v>
      </c>
      <c r="D1494" s="127" t="str">
        <f>IFERROR(__xludf.DUMMYFUNCTION("""COMPUTED_VALUE"""),"chó")</f>
        <v>chó</v>
      </c>
      <c r="E1494" s="119" t="str">
        <f>IFERROR(__xludf.DUMMYFUNCTION("""COMPUTED_VALUE"""),"mộc")</f>
        <v>mộc</v>
      </c>
    </row>
    <row r="1495" ht="15.75" customHeight="1">
      <c r="A1495" s="128" t="str">
        <f>IFERROR(__xludf.DUMMYFUNCTION("""COMPUTED_VALUE"""),"0914 255 007")</f>
        <v>0914 255 007</v>
      </c>
      <c r="B1495" s="127" t="str">
        <f>IFERROR(__xludf.DUMMYFUNCTION("""COMPUTED_VALUE"""),"Chị thương")</f>
        <v>Chị thương</v>
      </c>
      <c r="C1495" s="127" t="str">
        <f>IFERROR(__xludf.DUMMYFUNCTION("""COMPUTED_VALUE"""),"Hương Hồ")</f>
        <v>Hương Hồ</v>
      </c>
      <c r="D1495" s="127" t="str">
        <f>IFERROR(__xludf.DUMMYFUNCTION("""COMPUTED_VALUE"""),"mèo")</f>
        <v>mèo</v>
      </c>
      <c r="E1495" s="119" t="str">
        <f>IFERROR(__xludf.DUMMYFUNCTION("""COMPUTED_VALUE"""),"Thỏ")</f>
        <v>Thỏ</v>
      </c>
    </row>
    <row r="1496" ht="15.75" customHeight="1">
      <c r="A1496" s="128" t="str">
        <f>IFERROR(__xludf.DUMMYFUNCTION("""COMPUTED_VALUE"""),"0395 583 046")</f>
        <v>0395 583 046</v>
      </c>
      <c r="B1496" s="127" t="str">
        <f>IFERROR(__xludf.DUMMYFUNCTION("""COMPUTED_VALUE"""),"Cô Xuân")</f>
        <v>Cô Xuân</v>
      </c>
      <c r="C1496" s="127" t="str">
        <f>IFERROR(__xludf.DUMMYFUNCTION("""COMPUTED_VALUE"""),"08 Nguyễn Thiệt Thuật")</f>
        <v>08 Nguyễn Thiệt Thuật</v>
      </c>
      <c r="D1496" s="127" t="str">
        <f>IFERROR(__xludf.DUMMYFUNCTION("""COMPUTED_VALUE"""),"Mèo")</f>
        <v>Mèo</v>
      </c>
      <c r="E1496" s="127" t="str">
        <f>IFERROR(__xludf.DUMMYFUNCTION("""COMPUTED_VALUE"""),"mun")</f>
        <v>mun</v>
      </c>
    </row>
    <row r="1497" ht="15.75" customHeight="1">
      <c r="A1497" s="128" t="str">
        <f>IFERROR(__xludf.DUMMYFUNCTION("""COMPUTED_VALUE"""),"0988 798 574")</f>
        <v>0988 798 574</v>
      </c>
      <c r="B1497" s="127" t="str">
        <f>IFERROR(__xludf.DUMMYFUNCTION("""COMPUTED_VALUE"""),"Vũ Linh")</f>
        <v>Vũ Linh</v>
      </c>
      <c r="C1497" s="127" t="str">
        <f>IFERROR(__xludf.DUMMYFUNCTION("""COMPUTED_VALUE"""),"104/25 kim Long")</f>
        <v>104/25 kim Long</v>
      </c>
      <c r="D1497" s="127" t="str">
        <f>IFERROR(__xludf.DUMMYFUNCTION("""COMPUTED_VALUE"""),"Chó")</f>
        <v>Chó</v>
      </c>
      <c r="E1497" s="127" t="str">
        <f>IFERROR(__xludf.DUMMYFUNCTION("""COMPUTED_VALUE"""),"Bi")</f>
        <v>Bi</v>
      </c>
    </row>
    <row r="1498" ht="15.75" customHeight="1">
      <c r="A1498" s="128" t="str">
        <f>IFERROR(__xludf.DUMMYFUNCTION("""COMPUTED_VALUE"""),"0901 901 610")</f>
        <v>0901 901 610</v>
      </c>
      <c r="B1498" s="127" t="str">
        <f>IFERROR(__xludf.DUMMYFUNCTION("""COMPUTED_VALUE"""),"Anh Hồ Dũng")</f>
        <v>Anh Hồ Dũng</v>
      </c>
      <c r="C1498" s="127" t="str">
        <f>IFERROR(__xludf.DUMMYFUNCTION("""COMPUTED_VALUE"""),"k18 Xuân Hoà")</f>
        <v>k18 Xuân Hoà</v>
      </c>
      <c r="D1498" s="127" t="str">
        <f>IFERROR(__xludf.DUMMYFUNCTION("""COMPUTED_VALUE"""),"chó")</f>
        <v>chó</v>
      </c>
      <c r="E1498" s="127" t="str">
        <f>IFERROR(__xludf.DUMMYFUNCTION("""COMPUTED_VALUE"""),"Đen")</f>
        <v>Đen</v>
      </c>
    </row>
    <row r="1499" ht="15.75" customHeight="1">
      <c r="A1499" s="128" t="str">
        <f>IFERROR(__xludf.DUMMYFUNCTION("""COMPUTED_VALUE"""),"0945 107 555")</f>
        <v>0945 107 555</v>
      </c>
      <c r="B1499" s="127" t="str">
        <f>IFERROR(__xludf.DUMMYFUNCTION("""COMPUTED_VALUE"""),"chị Thủy ")</f>
        <v>chị Thủy </v>
      </c>
      <c r="C1499" s="127" t="str">
        <f>IFERROR(__xludf.DUMMYFUNCTION("""COMPUTED_VALUE"""),"1/1 Chế Lan Viên")</f>
        <v>1/1 Chế Lan Viên</v>
      </c>
      <c r="D1499" s="127" t="str">
        <f>IFERROR(__xludf.DUMMYFUNCTION("""COMPUTED_VALUE"""),"chó")</f>
        <v>chó</v>
      </c>
      <c r="E1499" s="127" t="str">
        <f>IFERROR(__xludf.DUMMYFUNCTION("""COMPUTED_VALUE"""),"bông")</f>
        <v>bông</v>
      </c>
    </row>
    <row r="1500" ht="15.75" customHeight="1">
      <c r="A1500" s="128" t="str">
        <f>IFERROR(__xludf.DUMMYFUNCTION("""COMPUTED_VALUE"""),"0837 819 345")</f>
        <v>0837 819 345</v>
      </c>
      <c r="B1500" s="127" t="str">
        <f>IFERROR(__xludf.DUMMYFUNCTION("""COMPUTED_VALUE"""),"Duy Mạnh")</f>
        <v>Duy Mạnh</v>
      </c>
      <c r="C1500" s="127" t="str">
        <f>IFERROR(__xludf.DUMMYFUNCTION("""COMPUTED_VALUE"""),"24/46 Trần Phú")</f>
        <v>24/46 Trần Phú</v>
      </c>
      <c r="D1500" s="127" t="str">
        <f>IFERROR(__xludf.DUMMYFUNCTION("""COMPUTED_VALUE"""),"mèo")</f>
        <v>mèo</v>
      </c>
      <c r="E1500" s="127" t="str">
        <f>IFERROR(__xludf.DUMMYFUNCTION("""COMPUTED_VALUE"""),"xám")</f>
        <v>xám</v>
      </c>
    </row>
    <row r="1501" ht="15.75" customHeight="1">
      <c r="A1501" s="128" t="str">
        <f>IFERROR(__xludf.DUMMYFUNCTION("""COMPUTED_VALUE"""),"0782 773 728")</f>
        <v>0782 773 728</v>
      </c>
      <c r="B1501" s="127" t="str">
        <f>IFERROR(__xludf.DUMMYFUNCTION("""COMPUTED_VALUE"""),"Chú Xuân")</f>
        <v>Chú Xuân</v>
      </c>
      <c r="C1501" s="127" t="str">
        <f>IFERROR(__xludf.DUMMYFUNCTION("""COMPUTED_VALUE"""),"266 Lý Nam Đế")</f>
        <v>266 Lý Nam Đế</v>
      </c>
      <c r="D1501" s="127" t="str">
        <f>IFERROR(__xludf.DUMMYFUNCTION("""COMPUTED_VALUE"""),"chó ")</f>
        <v>chó </v>
      </c>
      <c r="E1501" s="127" t="str">
        <f>IFERROR(__xludf.DUMMYFUNCTION("""COMPUTED_VALUE"""),"Vện")</f>
        <v>Vện</v>
      </c>
    </row>
    <row r="1502" ht="15.75" customHeight="1">
      <c r="A1502" s="128" t="str">
        <f>IFERROR(__xludf.DUMMYFUNCTION("""COMPUTED_VALUE"""),"0346 069 510")</f>
        <v>0346 069 510</v>
      </c>
      <c r="B1502" s="127" t="str">
        <f>IFERROR(__xludf.DUMMYFUNCTION("""COMPUTED_VALUE"""),"Chú Dũng")</f>
        <v>Chú Dũng</v>
      </c>
      <c r="C1502" s="127" t="str">
        <f>IFERROR(__xludf.DUMMYFUNCTION("""COMPUTED_VALUE"""),"Thủy Thanh")</f>
        <v>Thủy Thanh</v>
      </c>
      <c r="D1502" s="127" t="str">
        <f>IFERROR(__xludf.DUMMYFUNCTION("""COMPUTED_VALUE"""),"Chó")</f>
        <v>Chó</v>
      </c>
      <c r="E1502" s="127" t="str">
        <f>IFERROR(__xludf.DUMMYFUNCTION("""COMPUTED_VALUE"""),"Thiện")</f>
        <v>Thiện</v>
      </c>
    </row>
    <row r="1503" ht="15.75" customHeight="1">
      <c r="A1503" s="128" t="str">
        <f>IFERROR(__xludf.DUMMYFUNCTION("""COMPUTED_VALUE"""),"0935 932 110")</f>
        <v>0935 932 110</v>
      </c>
      <c r="B1503" s="127" t="str">
        <f>IFERROR(__xludf.DUMMYFUNCTION("""COMPUTED_VALUE"""),"Ngọc")</f>
        <v>Ngọc</v>
      </c>
      <c r="C1503" s="127" t="str">
        <f>IFERROR(__xludf.DUMMYFUNCTION("""COMPUTED_VALUE"""),"Đông Nam- Thủy an")</f>
        <v>Đông Nam- Thủy an</v>
      </c>
      <c r="D1503" s="127" t="str">
        <f>IFERROR(__xludf.DUMMYFUNCTION("""COMPUTED_VALUE"""),"Chó")</f>
        <v>Chó</v>
      </c>
      <c r="E1503" s="127" t="str">
        <f>IFERROR(__xludf.DUMMYFUNCTION("""COMPUTED_VALUE"""),"Tôm")</f>
        <v>Tôm</v>
      </c>
    </row>
    <row r="1504" ht="15.75" customHeight="1">
      <c r="A1504" s="128" t="str">
        <f>IFERROR(__xludf.DUMMYFUNCTION("""COMPUTED_VALUE"""),"0796 511 252")</f>
        <v>0796 511 252</v>
      </c>
      <c r="B1504" s="127" t="str">
        <f>IFERROR(__xludf.DUMMYFUNCTION("""COMPUTED_VALUE"""),"Anh Hiếu")</f>
        <v>Anh Hiếu</v>
      </c>
      <c r="C1504" s="127"/>
      <c r="D1504" s="127" t="str">
        <f>IFERROR(__xludf.DUMMYFUNCTION("""COMPUTED_VALUE"""),"Chó")</f>
        <v>Chó</v>
      </c>
      <c r="E1504" s="127" t="str">
        <f>IFERROR(__xludf.DUMMYFUNCTION("""COMPUTED_VALUE"""),"Bom")</f>
        <v>Bom</v>
      </c>
    </row>
    <row r="1505" ht="15.75" customHeight="1">
      <c r="A1505" s="128" t="str">
        <f>IFERROR(__xludf.DUMMYFUNCTION("""COMPUTED_VALUE"""),"0395 632 907")</f>
        <v>0395 632 907</v>
      </c>
      <c r="B1505" s="127" t="str">
        <f>IFERROR(__xludf.DUMMYFUNCTION("""COMPUTED_VALUE"""),"Anh Nghĩa")</f>
        <v>Anh Nghĩa</v>
      </c>
      <c r="C1505" s="127" t="str">
        <f>IFERROR(__xludf.DUMMYFUNCTION("""COMPUTED_VALUE"""),"Cuối đường Phan Anh")</f>
        <v>Cuối đường Phan Anh</v>
      </c>
      <c r="D1505" s="127" t="str">
        <f>IFERROR(__xludf.DUMMYFUNCTION("""COMPUTED_VALUE"""),"Chó")</f>
        <v>Chó</v>
      </c>
      <c r="E1505" s="127" t="str">
        <f>IFERROR(__xludf.DUMMYFUNCTION("""COMPUTED_VALUE"""),"Bi")</f>
        <v>Bi</v>
      </c>
    </row>
    <row r="1506" ht="15.75" customHeight="1">
      <c r="A1506" s="128" t="str">
        <f>IFERROR(__xludf.DUMMYFUNCTION("""COMPUTED_VALUE"""),"0909 425 474")</f>
        <v>0909 425 474</v>
      </c>
      <c r="B1506" s="127" t="str">
        <f>IFERROR(__xludf.DUMMYFUNCTION("""COMPUTED_VALUE"""),"Em Trang")</f>
        <v>Em Trang</v>
      </c>
      <c r="C1506" s="127" t="str">
        <f>IFERROR(__xludf.DUMMYFUNCTION("""COMPUTED_VALUE"""),"Phong Điền")</f>
        <v>Phong Điền</v>
      </c>
      <c r="D1506" s="127" t="str">
        <f>IFERROR(__xludf.DUMMYFUNCTION("""COMPUTED_VALUE"""),"chó")</f>
        <v>chó</v>
      </c>
      <c r="E1506" s="127" t="str">
        <f>IFERROR(__xludf.DUMMYFUNCTION("""COMPUTED_VALUE"""),"Boo")</f>
        <v>Boo</v>
      </c>
    </row>
    <row r="1507" ht="15.75" customHeight="1">
      <c r="A1507" s="128" t="str">
        <f>IFERROR(__xludf.DUMMYFUNCTION("""COMPUTED_VALUE"""),"0345 616 550")</f>
        <v>0345 616 550</v>
      </c>
      <c r="B1507" s="133" t="str">
        <f>IFERROR(__xludf.DUMMYFUNCTION("""COMPUTED_VALUE"""),"Thu Trinh")</f>
        <v>Thu Trinh</v>
      </c>
      <c r="C1507" s="127" t="str">
        <f>IFERROR(__xludf.DUMMYFUNCTION("""COMPUTED_VALUE"""),"k3 dạ lê, thuỷ vân")</f>
        <v>k3 dạ lê, thuỷ vân</v>
      </c>
      <c r="D1507" s="127" t="str">
        <f>IFERROR(__xludf.DUMMYFUNCTION("""COMPUTED_VALUE"""),"mèo")</f>
        <v>mèo</v>
      </c>
      <c r="E1507" s="127"/>
    </row>
    <row r="1508" ht="15.75" customHeight="1">
      <c r="A1508" s="128" t="str">
        <f>IFERROR(__xludf.DUMMYFUNCTION("""COMPUTED_VALUE"""),"0374 940 257")</f>
        <v>0374 940 257</v>
      </c>
      <c r="B1508" s="127" t="str">
        <f>IFERROR(__xludf.DUMMYFUNCTION("""COMPUTED_VALUE"""),"Em Trường")</f>
        <v>Em Trường</v>
      </c>
      <c r="C1508" s="127" t="str">
        <f>IFERROR(__xludf.DUMMYFUNCTION("""COMPUTED_VALUE"""),"31  Tây Sơn")</f>
        <v>31  Tây Sơn</v>
      </c>
      <c r="D1508" s="127" t="str">
        <f>IFERROR(__xludf.DUMMYFUNCTION("""COMPUTED_VALUE"""),"mèo ")</f>
        <v>mèo </v>
      </c>
      <c r="E1508" s="127" t="str">
        <f>IFERROR(__xludf.DUMMYFUNCTION("""COMPUTED_VALUE"""),"tun")</f>
        <v>tun</v>
      </c>
    </row>
    <row r="1509" ht="15.75" customHeight="1">
      <c r="A1509" s="128" t="str">
        <f>IFERROR(__xludf.DUMMYFUNCTION("""COMPUTED_VALUE"""),"0945 241 212")</f>
        <v>0945 241 212</v>
      </c>
      <c r="B1509" s="127" t="str">
        <f>IFERROR(__xludf.DUMMYFUNCTION("""COMPUTED_VALUE"""),"Anh Khoa")</f>
        <v>Anh Khoa</v>
      </c>
      <c r="C1509" s="127" t="str">
        <f>IFERROR(__xludf.DUMMYFUNCTION("""COMPUTED_VALUE"""),"13 Nguyễn Hoàng")</f>
        <v>13 Nguyễn Hoàng</v>
      </c>
      <c r="D1509" s="127" t="str">
        <f>IFERROR(__xludf.DUMMYFUNCTION("""COMPUTED_VALUE"""),"Chó")</f>
        <v>Chó</v>
      </c>
      <c r="E1509" s="127" t="str">
        <f>IFERROR(__xludf.DUMMYFUNCTION("""COMPUTED_VALUE"""),"Nu")</f>
        <v>Nu</v>
      </c>
    </row>
    <row r="1510" ht="15.75" customHeight="1">
      <c r="A1510" s="128" t="str">
        <f>IFERROR(__xludf.DUMMYFUNCTION("""COMPUTED_VALUE"""),"0946 090 229")</f>
        <v>0946 090 229</v>
      </c>
      <c r="B1510" s="127" t="str">
        <f>IFERROR(__xludf.DUMMYFUNCTION("""COMPUTED_VALUE"""),"Tiểu Ngọc")</f>
        <v>Tiểu Ngọc</v>
      </c>
      <c r="C1510" s="127" t="str">
        <f>IFERROR(__xludf.DUMMYFUNCTION("""COMPUTED_VALUE""")," 6/68 Đặng Huy Trứ")</f>
        <v> 6/68 Đặng Huy Trứ</v>
      </c>
      <c r="D1510" s="127" t="str">
        <f>IFERROR(__xludf.DUMMYFUNCTION("""COMPUTED_VALUE""")," mèo")</f>
        <v> mèo</v>
      </c>
      <c r="E1510" s="127" t="str">
        <f>IFERROR(__xludf.DUMMYFUNCTION("""COMPUTED_VALUE"""),"socs")</f>
        <v>socs</v>
      </c>
    </row>
    <row r="1511" ht="15.75" customHeight="1">
      <c r="A1511" s="128" t="str">
        <f>IFERROR(__xludf.DUMMYFUNCTION("""COMPUTED_VALUE"""),"0782 574 014")</f>
        <v>0782 574 014</v>
      </c>
      <c r="B1511" s="127" t="str">
        <f>IFERROR(__xludf.DUMMYFUNCTION("""COMPUTED_VALUE"""),"Thầy Tuấn")</f>
        <v>Thầy Tuấn</v>
      </c>
      <c r="C1511" s="127" t="str">
        <f>IFERROR(__xludf.DUMMYFUNCTION("""COMPUTED_VALUE"""),"chùa Kim đài")</f>
        <v>chùa Kim đài</v>
      </c>
      <c r="D1511" s="127" t="str">
        <f>IFERROR(__xludf.DUMMYFUNCTION("""COMPUTED_VALUE"""),"chó")</f>
        <v>chó</v>
      </c>
      <c r="E1511" s="127" t="str">
        <f>IFERROR(__xludf.DUMMYFUNCTION("""COMPUTED_VALUE""")," Xu")</f>
        <v> Xu</v>
      </c>
    </row>
    <row r="1512" ht="15.75" customHeight="1">
      <c r="A1512" s="128" t="str">
        <f>IFERROR(__xludf.DUMMYFUNCTION("""COMPUTED_VALUE"""),"0778 877 390")</f>
        <v>0778 877 390</v>
      </c>
      <c r="B1512" s="127" t="str">
        <f>IFERROR(__xludf.DUMMYFUNCTION("""COMPUTED_VALUE"""),"Chị Vân")</f>
        <v>Chị Vân</v>
      </c>
      <c r="C1512" s="127" t="str">
        <f>IFERROR(__xludf.DUMMYFUNCTION("""COMPUTED_VALUE""")," Tam Thai")</f>
        <v> Tam Thai</v>
      </c>
      <c r="D1512" s="127" t="str">
        <f>IFERROR(__xludf.DUMMYFUNCTION("""COMPUTED_VALUE"""),"chó")</f>
        <v>chó</v>
      </c>
      <c r="E1512" s="127" t="str">
        <f>IFERROR(__xludf.DUMMYFUNCTION("""COMPUTED_VALUE""")," Lucky")</f>
        <v> Lucky</v>
      </c>
    </row>
    <row r="1513" ht="15.75" customHeight="1">
      <c r="A1513" s="128" t="str">
        <f>IFERROR(__xludf.DUMMYFUNCTION("""COMPUTED_VALUE"""),"0977 703 113")</f>
        <v>0977 703 113</v>
      </c>
      <c r="B1513" s="127" t="str">
        <f>IFERROR(__xludf.DUMMYFUNCTION("""COMPUTED_VALUE"""),"Anh Duy")</f>
        <v>Anh Duy</v>
      </c>
      <c r="C1513" s="127" t="str">
        <f>IFERROR(__xludf.DUMMYFUNCTION("""COMPUTED_VALUE"""),"9 Lê Duẩn")</f>
        <v>9 Lê Duẩn</v>
      </c>
      <c r="D1513" s="127" t="str">
        <f>IFERROR(__xludf.DUMMYFUNCTION("""COMPUTED_VALUE"""),"Chó")</f>
        <v>Chó</v>
      </c>
      <c r="E1513" s="127" t="str">
        <f>IFERROR(__xludf.DUMMYFUNCTION("""COMPUTED_VALUE"""),"Lu Lu")</f>
        <v>Lu Lu</v>
      </c>
    </row>
    <row r="1514" ht="15.75" customHeight="1">
      <c r="A1514" s="128" t="str">
        <f>IFERROR(__xludf.DUMMYFUNCTION("""COMPUTED_VALUE"""),"0935 481 792")</f>
        <v>0935 481 792</v>
      </c>
      <c r="B1514" s="127" t="str">
        <f>IFERROR(__xludf.DUMMYFUNCTION("""COMPUTED_VALUE"""),"Anh Trí ")</f>
        <v>Anh Trí </v>
      </c>
      <c r="C1514" s="127" t="str">
        <f>IFERROR(__xludf.DUMMYFUNCTION("""COMPUTED_VALUE"""),"18 Kiệt 16 Lương Y")</f>
        <v>18 Kiệt 16 Lương Y</v>
      </c>
      <c r="D1514" s="127" t="str">
        <f>IFERROR(__xludf.DUMMYFUNCTION("""COMPUTED_VALUE"""),"Chó")</f>
        <v>Chó</v>
      </c>
      <c r="E1514" s="127"/>
    </row>
    <row r="1515" ht="15.75" customHeight="1">
      <c r="A1515" s="128">
        <f>IFERROR(__xludf.DUMMYFUNCTION("""COMPUTED_VALUE"""),12345.0)</f>
        <v>12345</v>
      </c>
      <c r="B1515" s="127" t="str">
        <f>IFERROR(__xludf.DUMMYFUNCTION("""COMPUTED_VALUE"""),"Chú Tám")</f>
        <v>Chú Tám</v>
      </c>
      <c r="C1515" s="127" t="str">
        <f>IFERROR(__xludf.DUMMYFUNCTION("""COMPUTED_VALUE"""),"Cầu Kim Long ")</f>
        <v>Cầu Kim Long </v>
      </c>
      <c r="D1515" s="127" t="str">
        <f>IFERROR(__xludf.DUMMYFUNCTION("""COMPUTED_VALUE"""),"chó")</f>
        <v>chó</v>
      </c>
      <c r="E1515" s="127"/>
    </row>
    <row r="1516" ht="15.75" customHeight="1">
      <c r="A1516" s="128" t="str">
        <f>IFERROR(__xludf.DUMMYFUNCTION("""COMPUTED_VALUE"""),"0828 204 959")</f>
        <v>0828 204 959</v>
      </c>
      <c r="B1516" s="127" t="str">
        <f>IFERROR(__xludf.DUMMYFUNCTION("""COMPUTED_VALUE"""),"Bác Đáo")</f>
        <v>Bác Đáo</v>
      </c>
      <c r="C1516" s="127" t="str">
        <f>IFERROR(__xludf.DUMMYFUNCTION("""COMPUTED_VALUE"""),"69/131 Trần Phú")</f>
        <v>69/131 Trần Phú</v>
      </c>
      <c r="D1516" s="127" t="str">
        <f>IFERROR(__xludf.DUMMYFUNCTION("""COMPUTED_VALUE""")," chó")</f>
        <v> chó</v>
      </c>
      <c r="E1516" s="127" t="str">
        <f>IFERROR(__xludf.DUMMYFUNCTION("""COMPUTED_VALUE""")," Luccky")</f>
        <v> Luccky</v>
      </c>
    </row>
    <row r="1517" ht="15.75" customHeight="1">
      <c r="A1517" s="128" t="str">
        <f>IFERROR(__xludf.DUMMYFUNCTION("""COMPUTED_VALUE"""),"0796 557 936")</f>
        <v>0796 557 936</v>
      </c>
      <c r="B1517" s="127" t="str">
        <f>IFERROR(__xludf.DUMMYFUNCTION("""COMPUTED_VALUE"""),"Anh Quốc Anh")</f>
        <v>Anh Quốc Anh</v>
      </c>
      <c r="C1517" s="127" t="str">
        <f>IFERROR(__xludf.DUMMYFUNCTION("""COMPUTED_VALUE"""),"182 Tôn Thất Thiệp")</f>
        <v>182 Tôn Thất Thiệp</v>
      </c>
      <c r="D1517" s="127" t="str">
        <f>IFERROR(__xludf.DUMMYFUNCTION("""COMPUTED_VALUE"""),"Chó")</f>
        <v>Chó</v>
      </c>
      <c r="E1517" s="127" t="str">
        <f>IFERROR(__xludf.DUMMYFUNCTION("""COMPUTED_VALUE"""),"Nhóc")</f>
        <v>Nhóc</v>
      </c>
    </row>
    <row r="1518" ht="15.75" customHeight="1">
      <c r="A1518" s="128" t="str">
        <f>IFERROR(__xludf.DUMMYFUNCTION("""COMPUTED_VALUE"""),"0858 508 558")</f>
        <v>0858 508 558</v>
      </c>
      <c r="B1518" s="127" t="str">
        <f>IFERROR(__xludf.DUMMYFUNCTION("""COMPUTED_VALUE"""),"Anh Khương ")</f>
        <v>Anh Khương </v>
      </c>
      <c r="C1518" s="127" t="str">
        <f>IFERROR(__xludf.DUMMYFUNCTION("""COMPUTED_VALUE"""),"15/20 Tôn Thất Dương Kỵ")</f>
        <v>15/20 Tôn Thất Dương Kỵ</v>
      </c>
      <c r="D1518" s="127" t="str">
        <f>IFERROR(__xludf.DUMMYFUNCTION("""COMPUTED_VALUE"""),"chó")</f>
        <v>chó</v>
      </c>
      <c r="E1518" s="127" t="str">
        <f>IFERROR(__xludf.DUMMYFUNCTION("""COMPUTED_VALUE"""),"Mập")</f>
        <v>Mập</v>
      </c>
    </row>
    <row r="1519" ht="15.75" customHeight="1">
      <c r="A1519" s="128" t="str">
        <f>IFERROR(__xludf.DUMMYFUNCTION("""COMPUTED_VALUE"""),"0386 326 976")</f>
        <v>0386 326 976</v>
      </c>
      <c r="B1519" s="127" t="str">
        <f>IFERROR(__xludf.DUMMYFUNCTION("""COMPUTED_VALUE"""),"Cô Từ hạnh")</f>
        <v>Cô Từ hạnh</v>
      </c>
      <c r="C1519" s="127" t="str">
        <f>IFERROR(__xludf.DUMMYFUNCTION("""COMPUTED_VALUE"""),"Chùa Huyền Không")</f>
        <v>Chùa Huyền Không</v>
      </c>
      <c r="D1519" s="127" t="str">
        <f>IFERROR(__xludf.DUMMYFUNCTION("""COMPUTED_VALUE"""),"chó")</f>
        <v>chó</v>
      </c>
      <c r="E1519" s="127" t="str">
        <f>IFERROR(__xludf.DUMMYFUNCTION("""COMPUTED_VALUE"""),"Hana")</f>
        <v>Hana</v>
      </c>
    </row>
    <row r="1520" ht="15.75" customHeight="1">
      <c r="A1520" s="128" t="str">
        <f>IFERROR(__xludf.DUMMYFUNCTION("""COMPUTED_VALUE"""),"0935 678 689")</f>
        <v>0935 678 689</v>
      </c>
      <c r="B1520" s="127" t="str">
        <f>IFERROR(__xludf.DUMMYFUNCTION("""COMPUTED_VALUE"""),"Anh Ánh")</f>
        <v>Anh Ánh</v>
      </c>
      <c r="C1520" s="127" t="str">
        <f>IFERROR(__xludf.DUMMYFUNCTION("""COMPUTED_VALUE"""),"Phú Bài")</f>
        <v>Phú Bài</v>
      </c>
      <c r="D1520" s="127" t="str">
        <f>IFERROR(__xludf.DUMMYFUNCTION("""COMPUTED_VALUE"""),"Chó")</f>
        <v>Chó</v>
      </c>
      <c r="E1520" s="127" t="str">
        <f>IFERROR(__xludf.DUMMYFUNCTION("""COMPUTED_VALUE"""),"Lu")</f>
        <v>Lu</v>
      </c>
    </row>
    <row r="1521" ht="15.75" customHeight="1">
      <c r="A1521" s="128" t="str">
        <f>IFERROR(__xludf.DUMMYFUNCTION("""COMPUTED_VALUE"""),"0901 155 858")</f>
        <v>0901 155 858</v>
      </c>
      <c r="B1521" s="127" t="str">
        <f>IFERROR(__xludf.DUMMYFUNCTION("""COMPUTED_VALUE"""),"Chị Vui")</f>
        <v>Chị Vui</v>
      </c>
      <c r="C1521" s="127" t="str">
        <f>IFERROR(__xludf.DUMMYFUNCTION("""COMPUTED_VALUE"""),"64 Bửu Đình")</f>
        <v>64 Bửu Đình</v>
      </c>
      <c r="D1521" s="127" t="str">
        <f>IFERROR(__xludf.DUMMYFUNCTION("""COMPUTED_VALUE"""),"Chó")</f>
        <v>Chó</v>
      </c>
      <c r="E1521" s="127" t="str">
        <f>IFERROR(__xludf.DUMMYFUNCTION("""COMPUTED_VALUE"""),"Cacao")</f>
        <v>Cacao</v>
      </c>
    </row>
    <row r="1522" ht="15.75" customHeight="1">
      <c r="A1522" s="128" t="str">
        <f>IFERROR(__xludf.DUMMYFUNCTION("""COMPUTED_VALUE"""),"0395 693 007")</f>
        <v>0395 693 007</v>
      </c>
      <c r="B1522" s="127" t="str">
        <f>IFERROR(__xludf.DUMMYFUNCTION("""COMPUTED_VALUE"""),"Anh Đông ")</f>
        <v>Anh Đông </v>
      </c>
      <c r="C1522" s="127" t="str">
        <f>IFERROR(__xludf.DUMMYFUNCTION("""COMPUTED_VALUE"""),"2 Lê Quang Phiệt")</f>
        <v>2 Lê Quang Phiệt</v>
      </c>
      <c r="D1522" s="127" t="str">
        <f>IFERROR(__xludf.DUMMYFUNCTION("""COMPUTED_VALUE"""),"mèo")</f>
        <v>mèo</v>
      </c>
      <c r="E1522" s="127"/>
    </row>
    <row r="1523" ht="15.75" customHeight="1">
      <c r="A1523" s="128" t="str">
        <f>IFERROR(__xludf.DUMMYFUNCTION("""COMPUTED_VALUE"""),"0877 910 245")</f>
        <v>0877 910 245</v>
      </c>
      <c r="B1523" s="127" t="str">
        <f>IFERROR(__xludf.DUMMYFUNCTION("""COMPUTED_VALUE"""),"Chú Phao")</f>
        <v>Chú Phao</v>
      </c>
      <c r="C1523" s="127" t="str">
        <f>IFERROR(__xludf.DUMMYFUNCTION("""COMPUTED_VALUE"""),"Hương Hồ")</f>
        <v>Hương Hồ</v>
      </c>
      <c r="D1523" s="127" t="str">
        <f>IFERROR(__xludf.DUMMYFUNCTION("""COMPUTED_VALUE"""),"Chó")</f>
        <v>Chó</v>
      </c>
      <c r="E1523" s="119" t="str">
        <f>IFERROR(__xludf.DUMMYFUNCTION("""COMPUTED_VALUE"""),"Gấu")</f>
        <v>Gấu</v>
      </c>
    </row>
    <row r="1524" ht="15.75" customHeight="1">
      <c r="A1524" s="128" t="str">
        <f>IFERROR(__xludf.DUMMYFUNCTION("""COMPUTED_VALUE"""),"0983 296 747")</f>
        <v>0983 296 747</v>
      </c>
      <c r="B1524" s="127" t="str">
        <f>IFERROR(__xludf.DUMMYFUNCTION("""COMPUTED_VALUE"""),"Chị Thy")</f>
        <v>Chị Thy</v>
      </c>
      <c r="C1524" s="127" t="str">
        <f>IFERROR(__xludf.DUMMYFUNCTION("""COMPUTED_VALUE"""),"Phong Điền")</f>
        <v>Phong Điền</v>
      </c>
      <c r="D1524" s="127" t="str">
        <f>IFERROR(__xludf.DUMMYFUNCTION("""COMPUTED_VALUE"""),"Mèo")</f>
        <v>Mèo</v>
      </c>
      <c r="E1524" s="127" t="str">
        <f>IFERROR(__xludf.DUMMYFUNCTION("""COMPUTED_VALUE"""),"Pi")</f>
        <v>Pi</v>
      </c>
    </row>
    <row r="1525" ht="15.75" customHeight="1">
      <c r="A1525" s="128" t="str">
        <f>IFERROR(__xludf.DUMMYFUNCTION("""COMPUTED_VALUE"""),"1983 834 159")</f>
        <v>1983 834 159</v>
      </c>
      <c r="B1525" s="127" t="str">
        <f>IFERROR(__xludf.DUMMYFUNCTION("""COMPUTED_VALUE"""),"Anh Đức")</f>
        <v>Anh Đức</v>
      </c>
      <c r="C1525" s="127" t="str">
        <f>IFERROR(__xludf.DUMMYFUNCTION("""COMPUTED_VALUE"""),"104/11/3 Kim Long ")</f>
        <v>104/11/3 Kim Long </v>
      </c>
      <c r="D1525" s="127" t="str">
        <f>IFERROR(__xludf.DUMMYFUNCTION("""COMPUTED_VALUE"""),"chó")</f>
        <v>chó</v>
      </c>
      <c r="E1525" s="119" t="str">
        <f>IFERROR(__xludf.DUMMYFUNCTION("""COMPUTED_VALUE"""),"Bun")</f>
        <v>Bun</v>
      </c>
    </row>
    <row r="1526" ht="15.75" customHeight="1">
      <c r="A1526" s="128" t="str">
        <f>IFERROR(__xludf.DUMMYFUNCTION("""COMPUTED_VALUE"""),"0899 212 179")</f>
        <v>0899 212 179</v>
      </c>
      <c r="B1526" s="127" t="str">
        <f>IFERROR(__xludf.DUMMYFUNCTION("""COMPUTED_VALUE"""),"Kiệt")</f>
        <v>Kiệt</v>
      </c>
      <c r="C1526" s="127" t="str">
        <f>IFERROR(__xludf.DUMMYFUNCTION("""COMPUTED_VALUE"""),"19 Nguyễn Hoàng")</f>
        <v>19 Nguyễn Hoàng</v>
      </c>
      <c r="D1526" s="127" t="str">
        <f>IFERROR(__xludf.DUMMYFUNCTION("""COMPUTED_VALUE"""),"Chó")</f>
        <v>Chó</v>
      </c>
      <c r="E1526" s="127" t="str">
        <f>IFERROR(__xludf.DUMMYFUNCTION("""COMPUTED_VALUE"""),"Đô")</f>
        <v>Đô</v>
      </c>
    </row>
    <row r="1527" ht="15.75" customHeight="1">
      <c r="A1527" s="128" t="str">
        <f>IFERROR(__xludf.DUMMYFUNCTION("""COMPUTED_VALUE"""),"0896 616 074")</f>
        <v>0896 616 074</v>
      </c>
      <c r="B1527" s="127" t="str">
        <f>IFERROR(__xludf.DUMMYFUNCTION("""COMPUTED_VALUE"""),"Chú Niên")</f>
        <v>Chú Niên</v>
      </c>
      <c r="C1527" s="127" t="str">
        <f>IFERROR(__xludf.DUMMYFUNCTION("""COMPUTED_VALUE"""),"Hương Hồ")</f>
        <v>Hương Hồ</v>
      </c>
      <c r="D1527" s="127" t="str">
        <f>IFERROR(__xludf.DUMMYFUNCTION("""COMPUTED_VALUE"""),"Chó")</f>
        <v>Chó</v>
      </c>
      <c r="E1527" s="127" t="str">
        <f>IFERROR(__xludf.DUMMYFUNCTION("""COMPUTED_VALUE"""),"Bun")</f>
        <v>Bun</v>
      </c>
    </row>
    <row r="1528" ht="15.75" customHeight="1">
      <c r="A1528" s="128" t="str">
        <f>IFERROR(__xludf.DUMMYFUNCTION("""COMPUTED_VALUE"""),"0934 985 332")</f>
        <v>0934 985 332</v>
      </c>
      <c r="B1528" s="127" t="str">
        <f>IFERROR(__xludf.DUMMYFUNCTION("""COMPUTED_VALUE"""),"Chị Huê")</f>
        <v>Chị Huê</v>
      </c>
      <c r="C1528" s="127" t="str">
        <f>IFERROR(__xludf.DUMMYFUNCTION("""COMPUTED_VALUE"""),"tổ 2 Tây Trì Nhơn")</f>
        <v>tổ 2 Tây Trì Nhơn</v>
      </c>
      <c r="D1528" s="127" t="str">
        <f>IFERROR(__xludf.DUMMYFUNCTION("""COMPUTED_VALUE"""),"chó")</f>
        <v>chó</v>
      </c>
      <c r="E1528" s="127"/>
    </row>
    <row r="1529" ht="15.75" customHeight="1">
      <c r="A1529" s="128" t="str">
        <f>IFERROR(__xludf.DUMMYFUNCTION("""COMPUTED_VALUE"""),"0905 225 336")</f>
        <v>0905 225 336</v>
      </c>
      <c r="B1529" s="127" t="str">
        <f>IFERROR(__xludf.DUMMYFUNCTION("""COMPUTED_VALUE"""),"Thầy Trí")</f>
        <v>Thầy Trí</v>
      </c>
      <c r="C1529" s="127" t="str">
        <f>IFERROR(__xludf.DUMMYFUNCTION("""COMPUTED_VALUE"""),"Chùa Nam Sơn")</f>
        <v>Chùa Nam Sơn</v>
      </c>
      <c r="D1529" s="127" t="str">
        <f>IFERROR(__xludf.DUMMYFUNCTION("""COMPUTED_VALUE"""),"Chó")</f>
        <v>Chó</v>
      </c>
      <c r="E1529" s="127" t="str">
        <f>IFERROR(__xludf.DUMMYFUNCTION("""COMPUTED_VALUE"""),"Lốc")</f>
        <v>Lốc</v>
      </c>
    </row>
    <row r="1530" ht="15.75" customHeight="1">
      <c r="A1530" s="128" t="str">
        <f>IFERROR(__xludf.DUMMYFUNCTION("""COMPUTED_VALUE"""),"0366 377 508")</f>
        <v>0366 377 508</v>
      </c>
      <c r="B1530" s="127" t="str">
        <f>IFERROR(__xludf.DUMMYFUNCTION("""COMPUTED_VALUE"""),"Chị Trâm")</f>
        <v>Chị Trâm</v>
      </c>
      <c r="C1530" s="127" t="str">
        <f>IFERROR(__xludf.DUMMYFUNCTION("""COMPUTED_VALUE"""),"Thủy Biều")</f>
        <v>Thủy Biều</v>
      </c>
      <c r="D1530" s="127" t="str">
        <f>IFERROR(__xludf.DUMMYFUNCTION("""COMPUTED_VALUE"""),"Mèo")</f>
        <v>Mèo</v>
      </c>
      <c r="E1530" s="127" t="str">
        <f>IFERROR(__xludf.DUMMYFUNCTION("""COMPUTED_VALUE"""),"Sóc")</f>
        <v>Sóc</v>
      </c>
    </row>
    <row r="1531" ht="15.75" customHeight="1">
      <c r="A1531" s="128" t="str">
        <f>IFERROR(__xludf.DUMMYFUNCTION("""COMPUTED_VALUE"""),"0707 221 752")</f>
        <v>0707 221 752</v>
      </c>
      <c r="B1531" s="133" t="str">
        <f>IFERROR(__xludf.DUMMYFUNCTION("""COMPUTED_VALUE"""),"Chị Trang")</f>
        <v>Chị Trang</v>
      </c>
      <c r="C1531" s="127" t="str">
        <f>IFERROR(__xludf.DUMMYFUNCTION("""COMPUTED_VALUE"""),"140 Nguyễn Huệ")</f>
        <v>140 Nguyễn Huệ</v>
      </c>
      <c r="D1531" s="127" t="str">
        <f>IFERROR(__xludf.DUMMYFUNCTION("""COMPUTED_VALUE"""),"chó")</f>
        <v>chó</v>
      </c>
      <c r="E1531" s="127" t="str">
        <f>IFERROR(__xludf.DUMMYFUNCTION("""COMPUTED_VALUE"""),"Cụt ")</f>
        <v>Cụt </v>
      </c>
    </row>
    <row r="1532" ht="15.75" customHeight="1">
      <c r="A1532" s="128" t="str">
        <f>IFERROR(__xludf.DUMMYFUNCTION("""COMPUTED_VALUE"""),"0966 169 242")</f>
        <v>0966 169 242</v>
      </c>
      <c r="B1532" s="127" t="str">
        <f>IFERROR(__xludf.DUMMYFUNCTION("""COMPUTED_VALUE"""),"Em Thảo")</f>
        <v>Em Thảo</v>
      </c>
      <c r="C1532" s="127" t="str">
        <f>IFERROR(__xludf.DUMMYFUNCTION("""COMPUTED_VALUE"""),"47B Trần Nguyên Hãn")</f>
        <v>47B Trần Nguyên Hãn</v>
      </c>
      <c r="D1532" s="127" t="str">
        <f>IFERROR(__xludf.DUMMYFUNCTION("""COMPUTED_VALUE"""),"Chó")</f>
        <v>Chó</v>
      </c>
      <c r="E1532" s="127" t="str">
        <f>IFERROR(__xludf.DUMMYFUNCTION("""COMPUTED_VALUE"""),"Soda")</f>
        <v>Soda</v>
      </c>
    </row>
    <row r="1533" ht="15.75" customHeight="1">
      <c r="A1533" s="128" t="str">
        <f>IFERROR(__xludf.DUMMYFUNCTION("""COMPUTED_VALUE"""),"0377 205 664")</f>
        <v>0377 205 664</v>
      </c>
      <c r="B1533" s="127" t="str">
        <f>IFERROR(__xludf.DUMMYFUNCTION("""COMPUTED_VALUE"""),"Dì Nở")</f>
        <v>Dì Nở</v>
      </c>
      <c r="C1533" s="127" t="str">
        <f>IFERROR(__xludf.DUMMYFUNCTION("""COMPUTED_VALUE"""),"Hải Dương ")</f>
        <v>Hải Dương </v>
      </c>
      <c r="D1533" s="127" t="str">
        <f>IFERROR(__xludf.DUMMYFUNCTION("""COMPUTED_VALUE"""),"Chó")</f>
        <v>Chó</v>
      </c>
      <c r="E1533" s="127" t="str">
        <f>IFERROR(__xludf.DUMMYFUNCTION("""COMPUTED_VALUE"""),"Polo")</f>
        <v>Polo</v>
      </c>
    </row>
    <row r="1534" ht="15.75" customHeight="1">
      <c r="A1534" s="128" t="str">
        <f>IFERROR(__xludf.DUMMYFUNCTION("""COMPUTED_VALUE"""),"0335 236 567")</f>
        <v>0335 236 567</v>
      </c>
      <c r="B1534" s="127" t="str">
        <f>IFERROR(__xludf.DUMMYFUNCTION("""COMPUTED_VALUE"""),"Anh Phục ")</f>
        <v>Anh Phục </v>
      </c>
      <c r="C1534" s="127" t="str">
        <f>IFERROR(__xludf.DUMMYFUNCTION("""COMPUTED_VALUE"""),"Kiệt 6 Tôn Thất Tùng")</f>
        <v>Kiệt 6 Tôn Thất Tùng</v>
      </c>
      <c r="D1534" s="127" t="str">
        <f>IFERROR(__xludf.DUMMYFUNCTION("""COMPUTED_VALUE"""),"Mèo")</f>
        <v>Mèo</v>
      </c>
      <c r="E1534" s="127" t="str">
        <f>IFERROR(__xludf.DUMMYFUNCTION("""COMPUTED_VALUE"""),"Vespa")</f>
        <v>Vespa</v>
      </c>
    </row>
    <row r="1535" ht="15.75" customHeight="1">
      <c r="A1535" s="128" t="str">
        <f>IFERROR(__xludf.DUMMYFUNCTION("""COMPUTED_VALUE"""),"0905 052 075")</f>
        <v>0905 052 075</v>
      </c>
      <c r="B1535" s="127" t="str">
        <f>IFERROR(__xludf.DUMMYFUNCTION("""COMPUTED_VALUE"""),"Chú Trình")</f>
        <v>Chú Trình</v>
      </c>
      <c r="C1535" s="127" t="str">
        <f>IFERROR(__xludf.DUMMYFUNCTION("""COMPUTED_VALUE"""),"238 Văn Thánh")</f>
        <v>238 Văn Thánh</v>
      </c>
      <c r="D1535" s="127" t="str">
        <f>IFERROR(__xludf.DUMMYFUNCTION("""COMPUTED_VALUE"""),"Chó")</f>
        <v>Chó</v>
      </c>
      <c r="E1535" s="119" t="str">
        <f>IFERROR(__xludf.DUMMYFUNCTION("""COMPUTED_VALUE"""),"Tôm")</f>
        <v>Tôm</v>
      </c>
    </row>
    <row r="1536" ht="15.75" customHeight="1">
      <c r="A1536" s="128" t="str">
        <f>IFERROR(__xludf.DUMMYFUNCTION("""COMPUTED_VALUE"""),"0706 213 883")</f>
        <v>0706 213 883</v>
      </c>
      <c r="B1536" s="127" t="str">
        <f>IFERROR(__xludf.DUMMYFUNCTION("""COMPUTED_VALUE"""),"Anh Thi")</f>
        <v>Anh Thi</v>
      </c>
      <c r="C1536" s="127" t="str">
        <f>IFERROR(__xludf.DUMMYFUNCTION("""COMPUTED_VALUE"""),"E32 Khu định cư Phú Hiệp")</f>
        <v>E32 Khu định cư Phú Hiệp</v>
      </c>
      <c r="D1536" s="127" t="str">
        <f>IFERROR(__xludf.DUMMYFUNCTION("""COMPUTED_VALUE"""),"Chó")</f>
        <v>Chó</v>
      </c>
      <c r="E1536" s="127" t="str">
        <f>IFERROR(__xludf.DUMMYFUNCTION("""COMPUTED_VALUE"""),"Mun")</f>
        <v>Mun</v>
      </c>
    </row>
    <row r="1537" ht="15.75" customHeight="1">
      <c r="A1537" s="128" t="str">
        <f>IFERROR(__xludf.DUMMYFUNCTION("""COMPUTED_VALUE"""),"0762 616 583")</f>
        <v>0762 616 583</v>
      </c>
      <c r="B1537" s="127" t="str">
        <f>IFERROR(__xludf.DUMMYFUNCTION("""COMPUTED_VALUE"""),"Chị Khánh Hà")</f>
        <v>Chị Khánh Hà</v>
      </c>
      <c r="C1537" s="127" t="str">
        <f>IFERROR(__xludf.DUMMYFUNCTION("""COMPUTED_VALUE"""),"10/42 Nguyễn Phúc Tần")</f>
        <v>10/42 Nguyễn Phúc Tần</v>
      </c>
      <c r="D1537" s="127" t="str">
        <f>IFERROR(__xludf.DUMMYFUNCTION("""COMPUTED_VALUE"""),"Chó")</f>
        <v>Chó</v>
      </c>
      <c r="E1537" s="127" t="str">
        <f>IFERROR(__xludf.DUMMYFUNCTION("""COMPUTED_VALUE"""),"Bông Xù")</f>
        <v>Bông Xù</v>
      </c>
    </row>
    <row r="1538" ht="15.75" customHeight="1">
      <c r="A1538" s="128" t="str">
        <f>IFERROR(__xludf.DUMMYFUNCTION("""COMPUTED_VALUE"""),"0935 485 382")</f>
        <v>0935 485 382</v>
      </c>
      <c r="B1538" s="127" t="str">
        <f>IFERROR(__xludf.DUMMYFUNCTION("""COMPUTED_VALUE"""),"Anh Huy")</f>
        <v>Anh Huy</v>
      </c>
      <c r="C1538" s="127" t="str">
        <f>IFERROR(__xludf.DUMMYFUNCTION("""COMPUTED_VALUE"""),"Kiệt 88 C Tôn Thất Thiệp")</f>
        <v>Kiệt 88 C Tôn Thất Thiệp</v>
      </c>
      <c r="D1538" s="127" t="str">
        <f>IFERROR(__xludf.DUMMYFUNCTION("""COMPUTED_VALUE"""),"chó")</f>
        <v>chó</v>
      </c>
      <c r="E1538" s="127" t="str">
        <f>IFERROR(__xludf.DUMMYFUNCTION("""COMPUTED_VALUE"""),"Lâu")</f>
        <v>Lâu</v>
      </c>
    </row>
    <row r="1539" ht="15.75" customHeight="1">
      <c r="A1539" s="128" t="str">
        <f>IFERROR(__xludf.DUMMYFUNCTION("""COMPUTED_VALUE"""),"0789 471 256")</f>
        <v>0789 471 256</v>
      </c>
      <c r="B1539" s="127" t="str">
        <f>IFERROR(__xludf.DUMMYFUNCTION("""COMPUTED_VALUE"""),"Em Nguyên")</f>
        <v>Em Nguyên</v>
      </c>
      <c r="C1539" s="127" t="str">
        <f>IFERROR(__xludf.DUMMYFUNCTION("""COMPUTED_VALUE"""),"7/51 Chế  Lan  Viên")</f>
        <v>7/51 Chế  Lan  Viên</v>
      </c>
      <c r="D1539" s="127" t="str">
        <f>IFERROR(__xludf.DUMMYFUNCTION("""COMPUTED_VALUE"""),"mèo")</f>
        <v>mèo</v>
      </c>
      <c r="E1539" s="127" t="str">
        <f>IFERROR(__xludf.DUMMYFUNCTION("""COMPUTED_VALUE""")," Bông")</f>
        <v> Bông</v>
      </c>
    </row>
    <row r="1540" ht="15.75" customHeight="1">
      <c r="A1540" s="128" t="str">
        <f>IFERROR(__xludf.DUMMYFUNCTION("""COMPUTED_VALUE"""),"0932 197 443")</f>
        <v>0932 197 443</v>
      </c>
      <c r="B1540" s="127" t="str">
        <f>IFERROR(__xludf.DUMMYFUNCTION("""COMPUTED_VALUE"""),"Chị Hạ")</f>
        <v>Chị Hạ</v>
      </c>
      <c r="C1540" s="127" t="str">
        <f>IFERROR(__xludf.DUMMYFUNCTION("""COMPUTED_VALUE"""),"Chợ Hương Hồ")</f>
        <v>Chợ Hương Hồ</v>
      </c>
      <c r="D1540" s="127" t="str">
        <f>IFERROR(__xludf.DUMMYFUNCTION("""COMPUTED_VALUE"""),"Chó")</f>
        <v>Chó</v>
      </c>
      <c r="E1540" s="127" t="str">
        <f>IFERROR(__xludf.DUMMYFUNCTION("""COMPUTED_VALUE"""),"Bông")</f>
        <v>Bông</v>
      </c>
    </row>
    <row r="1541" ht="15.75" customHeight="1">
      <c r="A1541" s="128" t="str">
        <f>IFERROR(__xludf.DUMMYFUNCTION("""COMPUTED_VALUE"""),"0914 236 668")</f>
        <v>0914 236 668</v>
      </c>
      <c r="B1541" s="127" t="str">
        <f>IFERROR(__xludf.DUMMYFUNCTION("""COMPUTED_VALUE"""),"Đạt")</f>
        <v>Đạt</v>
      </c>
      <c r="C1541" s="127" t="str">
        <f>IFERROR(__xludf.DUMMYFUNCTION("""COMPUTED_VALUE"""),"6/8 Minh Mạng")</f>
        <v>6/8 Minh Mạng</v>
      </c>
      <c r="D1541" s="127" t="str">
        <f>IFERROR(__xludf.DUMMYFUNCTION("""COMPUTED_VALUE"""),"Mèo")</f>
        <v>Mèo</v>
      </c>
      <c r="E1541" s="127" t="str">
        <f>IFERROR(__xludf.DUMMYFUNCTION("""COMPUTED_VALUE"""),"Tom")</f>
        <v>Tom</v>
      </c>
    </row>
    <row r="1542" ht="15.75" customHeight="1">
      <c r="A1542" s="128" t="str">
        <f>IFERROR(__xludf.DUMMYFUNCTION("""COMPUTED_VALUE"""),"0705 522 552")</f>
        <v>0705 522 552</v>
      </c>
      <c r="B1542" s="127" t="str">
        <f>IFERROR(__xludf.DUMMYFUNCTION("""COMPUTED_VALUE"""),"Anh Thành")</f>
        <v>Anh Thành</v>
      </c>
      <c r="C1542" s="127" t="str">
        <f>IFERROR(__xludf.DUMMYFUNCTION("""COMPUTED_VALUE"""),"Anh Thành")</f>
        <v>Anh Thành</v>
      </c>
      <c r="D1542" s="127" t="str">
        <f>IFERROR(__xludf.DUMMYFUNCTION("""COMPUTED_VALUE"""),"nèo")</f>
        <v>nèo</v>
      </c>
      <c r="E1542" s="127" t="str">
        <f>IFERROR(__xludf.DUMMYFUNCTION("""COMPUTED_VALUE"""),"Bi")</f>
        <v>Bi</v>
      </c>
    </row>
    <row r="1543" ht="15.75" customHeight="1">
      <c r="A1543" s="128" t="str">
        <f>IFERROR(__xludf.DUMMYFUNCTION("""COMPUTED_VALUE"""),"0888 055 594")</f>
        <v>0888 055 594</v>
      </c>
      <c r="B1543" s="127" t="str">
        <f>IFERROR(__xludf.DUMMYFUNCTION("""COMPUTED_VALUE"""),"Chị Tần")</f>
        <v>Chị Tần</v>
      </c>
      <c r="C1543" s="127" t="str">
        <f>IFERROR(__xludf.DUMMYFUNCTION("""COMPUTED_VALUE"""),"3/209 Điện Biên Phủ")</f>
        <v>3/209 Điện Biên Phủ</v>
      </c>
      <c r="D1543" s="127" t="str">
        <f>IFERROR(__xludf.DUMMYFUNCTION("""COMPUTED_VALUE"""),"mèo")</f>
        <v>mèo</v>
      </c>
      <c r="E1543" s="127" t="str">
        <f>IFERROR(__xludf.DUMMYFUNCTION("""COMPUTED_VALUE"""),"Beo")</f>
        <v>Beo</v>
      </c>
    </row>
    <row r="1544" ht="15.75" customHeight="1">
      <c r="A1544" s="128" t="str">
        <f>IFERROR(__xludf.DUMMYFUNCTION("""COMPUTED_VALUE"""),"0775 423 044")</f>
        <v>0775 423 044</v>
      </c>
      <c r="B1544" s="127" t="str">
        <f>IFERROR(__xludf.DUMMYFUNCTION("""COMPUTED_VALUE"""),"Hà Yên")</f>
        <v>Hà Yên</v>
      </c>
      <c r="C1544" s="127" t="str">
        <f>IFERROR(__xludf.DUMMYFUNCTION("""COMPUTED_VALUE"""),"15 Lương Van can")</f>
        <v>15 Lương Van can</v>
      </c>
      <c r="D1544" s="127" t="str">
        <f>IFERROR(__xludf.DUMMYFUNCTION("""COMPUTED_VALUE"""),"chó")</f>
        <v>chó</v>
      </c>
      <c r="E1544" s="127" t="str">
        <f>IFERROR(__xludf.DUMMYFUNCTION("""COMPUTED_VALUE"""),"Ky")</f>
        <v>Ky</v>
      </c>
    </row>
    <row r="1545" ht="15.75" customHeight="1">
      <c r="A1545" s="128" t="str">
        <f>IFERROR(__xludf.DUMMYFUNCTION("""COMPUTED_VALUE"""),"0794 527 014")</f>
        <v>0794 527 014</v>
      </c>
      <c r="B1545" s="127" t="str">
        <f>IFERROR(__xludf.DUMMYFUNCTION("""COMPUTED_VALUE"""),"Chị Khánh")</f>
        <v>Chị Khánh</v>
      </c>
      <c r="C1545" s="127" t="str">
        <f>IFERROR(__xludf.DUMMYFUNCTION("""COMPUTED_VALUE"""),"133 Bà Triệu")</f>
        <v>133 Bà Triệu</v>
      </c>
      <c r="D1545" s="127" t="str">
        <f>IFERROR(__xludf.DUMMYFUNCTION("""COMPUTED_VALUE"""),"Mèo")</f>
        <v>Mèo</v>
      </c>
      <c r="E1545" s="127" t="str">
        <f>IFERROR(__xludf.DUMMYFUNCTION("""COMPUTED_VALUE"""),"Miu")</f>
        <v>Miu</v>
      </c>
    </row>
    <row r="1546" ht="15.75" customHeight="1">
      <c r="A1546" s="128" t="str">
        <f>IFERROR(__xludf.DUMMYFUNCTION("""COMPUTED_VALUE"""),"0766 819 222")</f>
        <v>0766 819 222</v>
      </c>
      <c r="B1546" s="127" t="str">
        <f>IFERROR(__xludf.DUMMYFUNCTION("""COMPUTED_VALUE"""),"Thiết")</f>
        <v>Thiết</v>
      </c>
      <c r="C1546" s="127" t="str">
        <f>IFERROR(__xludf.DUMMYFUNCTION("""COMPUTED_VALUE"""),"23 Đào Tấn")</f>
        <v>23 Đào Tấn</v>
      </c>
      <c r="D1546" s="127" t="str">
        <f>IFERROR(__xludf.DUMMYFUNCTION("""COMPUTED_VALUE"""),"mèo")</f>
        <v>mèo</v>
      </c>
      <c r="E1546" s="127" t="str">
        <f>IFERROR(__xludf.DUMMYFUNCTION("""COMPUTED_VALUE""")," ")</f>
        <v> </v>
      </c>
    </row>
    <row r="1547" ht="15.75" customHeight="1">
      <c r="A1547" s="128" t="str">
        <f>IFERROR(__xludf.DUMMYFUNCTION("""COMPUTED_VALUE"""),"0708 111 447")</f>
        <v>0708 111 447</v>
      </c>
      <c r="B1547" s="127" t="str">
        <f>IFERROR(__xludf.DUMMYFUNCTION("""COMPUTED_VALUE"""),"Bảo Trân")</f>
        <v>Bảo Trân</v>
      </c>
      <c r="C1547" s="127" t="str">
        <f>IFERROR(__xludf.DUMMYFUNCTION("""COMPUTED_VALUE"""),"49 Trần thái Tông")</f>
        <v>49 Trần thái Tông</v>
      </c>
      <c r="D1547" s="127" t="str">
        <f>IFERROR(__xludf.DUMMYFUNCTION("""COMPUTED_VALUE"""),"mèo")</f>
        <v>mèo</v>
      </c>
      <c r="E1547" s="127" t="str">
        <f>IFERROR(__xludf.DUMMYFUNCTION("""COMPUTED_VALUE""")," Kem")</f>
        <v> Kem</v>
      </c>
    </row>
    <row r="1548" ht="15.75" customHeight="1">
      <c r="A1548" s="128" t="str">
        <f>IFERROR(__xludf.DUMMYFUNCTION("""COMPUTED_VALUE"""),"0905 117 624")</f>
        <v>0905 117 624</v>
      </c>
      <c r="B1548" s="127" t="str">
        <f>IFERROR(__xludf.DUMMYFUNCTION("""COMPUTED_VALUE"""),"Chị Phùng")</f>
        <v>Chị Phùng</v>
      </c>
      <c r="C1548" s="127" t="str">
        <f>IFERROR(__xludf.DUMMYFUNCTION("""COMPUTED_VALUE"""),"5/8/113 Trần Phú")</f>
        <v>5/8/113 Trần Phú</v>
      </c>
      <c r="D1548" s="127" t="str">
        <f>IFERROR(__xludf.DUMMYFUNCTION("""COMPUTED_VALUE"""),"chó")</f>
        <v>chó</v>
      </c>
      <c r="E1548" s="127" t="str">
        <f>IFERROR(__xludf.DUMMYFUNCTION("""COMPUTED_VALUE""")," ")</f>
        <v> </v>
      </c>
    </row>
    <row r="1549" ht="15.75" customHeight="1">
      <c r="A1549" s="128" t="str">
        <f>IFERROR(__xludf.DUMMYFUNCTION("""COMPUTED_VALUE"""),"0971 365 027")</f>
        <v>0971 365 027</v>
      </c>
      <c r="B1549" s="127" t="str">
        <f>IFERROR(__xludf.DUMMYFUNCTION("""COMPUTED_VALUE"""),"Hồ Quang Mạnh")</f>
        <v>Hồ Quang Mạnh</v>
      </c>
      <c r="C1549" s="127" t="str">
        <f>IFERROR(__xludf.DUMMYFUNCTION("""COMPUTED_VALUE"""),"197 Bùi Thị Xuân")</f>
        <v>197 Bùi Thị Xuân</v>
      </c>
      <c r="D1549" s="127" t="str">
        <f>IFERROR(__xludf.DUMMYFUNCTION("""COMPUTED_VALUE"""),"mèo")</f>
        <v>mèo</v>
      </c>
      <c r="E1549" s="119" t="str">
        <f>IFERROR(__xludf.DUMMYFUNCTION("""COMPUTED_VALUE""")," Jack")</f>
        <v> Jack</v>
      </c>
    </row>
    <row r="1550" ht="15.75" customHeight="1">
      <c r="A1550" s="128" t="str">
        <f>IFERROR(__xludf.DUMMYFUNCTION("""COMPUTED_VALUE"""),"0984 542 453")</f>
        <v>0984 542 453</v>
      </c>
      <c r="B1550" s="127" t="str">
        <f>IFERROR(__xludf.DUMMYFUNCTION("""COMPUTED_VALUE"""),"Anh Siu Hrim")</f>
        <v>Anh Siu Hrim</v>
      </c>
      <c r="C1550" s="127" t="str">
        <f>IFERROR(__xludf.DUMMYFUNCTION("""COMPUTED_VALUE"""),"7/11 Chế Lan Viên")</f>
        <v>7/11 Chế Lan Viên</v>
      </c>
      <c r="D1550" s="127" t="str">
        <f>IFERROR(__xludf.DUMMYFUNCTION("""COMPUTED_VALUE"""),"chó")</f>
        <v>chó</v>
      </c>
      <c r="E1550" s="127" t="str">
        <f>IFERROR(__xludf.DUMMYFUNCTION("""COMPUTED_VALUE""")," Su")</f>
        <v> Su</v>
      </c>
    </row>
    <row r="1551" ht="15.75" customHeight="1">
      <c r="A1551" s="128" t="str">
        <f>IFERROR(__xludf.DUMMYFUNCTION("""COMPUTED_VALUE"""),"0779 421 561")</f>
        <v>0779 421 561</v>
      </c>
      <c r="B1551" s="127" t="str">
        <f>IFERROR(__xludf.DUMMYFUNCTION("""COMPUTED_VALUE"""),"Chú tân")</f>
        <v>Chú tân</v>
      </c>
      <c r="C1551" s="127"/>
      <c r="D1551" s="127" t="str">
        <f>IFERROR(__xludf.DUMMYFUNCTION("""COMPUTED_VALUE"""),"chó")</f>
        <v>chó</v>
      </c>
      <c r="E1551" s="127" t="str">
        <f>IFERROR(__xludf.DUMMYFUNCTION("""COMPUTED_VALUE"""),"lu")</f>
        <v>lu</v>
      </c>
    </row>
    <row r="1552" ht="15.75" customHeight="1">
      <c r="A1552" s="128" t="str">
        <f>IFERROR(__xludf.DUMMYFUNCTION("""COMPUTED_VALUE"""),"0981 294 835")</f>
        <v>0981 294 835</v>
      </c>
      <c r="B1552" s="127" t="str">
        <f>IFERROR(__xludf.DUMMYFUNCTION("""COMPUTED_VALUE"""),"Anh Nguyên")</f>
        <v>Anh Nguyên</v>
      </c>
      <c r="C1552" s="127" t="str">
        <f>IFERROR(__xludf.DUMMYFUNCTION("""COMPUTED_VALUE"""),"Royal Park")</f>
        <v>Royal Park</v>
      </c>
      <c r="D1552" s="127" t="str">
        <f>IFERROR(__xludf.DUMMYFUNCTION("""COMPUTED_VALUE"""),"chó")</f>
        <v>chó</v>
      </c>
      <c r="E1552" s="119" t="str">
        <f>IFERROR(__xludf.DUMMYFUNCTION("""COMPUTED_VALUE"""),"Tommy")</f>
        <v>Tommy</v>
      </c>
    </row>
    <row r="1553" ht="15.75" customHeight="1">
      <c r="A1553" s="128" t="str">
        <f>IFERROR(__xludf.DUMMYFUNCTION("""COMPUTED_VALUE"""),"0824 022 604")</f>
        <v>0824 022 604</v>
      </c>
      <c r="B1553" s="127" t="str">
        <f>IFERROR(__xludf.DUMMYFUNCTION("""COMPUTED_VALUE"""),"Anh Hưng")</f>
        <v>Anh Hưng</v>
      </c>
      <c r="C1553" s="127" t="str">
        <f>IFERROR(__xludf.DUMMYFUNCTION("""COMPUTED_VALUE"""),"lê Ngô Cát")</f>
        <v>lê Ngô Cát</v>
      </c>
      <c r="D1553" s="127" t="str">
        <f>IFERROR(__xludf.DUMMYFUNCTION("""COMPUTED_VALUE"""),"chó")</f>
        <v>chó</v>
      </c>
      <c r="E1553" s="127" t="str">
        <f>IFERROR(__xludf.DUMMYFUNCTION("""COMPUTED_VALUE""")," Bum")</f>
        <v> Bum</v>
      </c>
    </row>
    <row r="1554" ht="15.75" customHeight="1">
      <c r="A1554" s="128" t="str">
        <f>IFERROR(__xludf.DUMMYFUNCTION("""COMPUTED_VALUE"""),"0987 914 231")</f>
        <v>0987 914 231</v>
      </c>
      <c r="B1554" s="127" t="str">
        <f>IFERROR(__xludf.DUMMYFUNCTION("""COMPUTED_VALUE"""),"Anh phúc")</f>
        <v>Anh phúc</v>
      </c>
      <c r="C1554" s="127" t="str">
        <f>IFERROR(__xludf.DUMMYFUNCTION("""COMPUTED_VALUE"""),"bầu Vá")</f>
        <v>bầu Vá</v>
      </c>
      <c r="D1554" s="127" t="str">
        <f>IFERROR(__xludf.DUMMYFUNCTION("""COMPUTED_VALUE""")," mèo")</f>
        <v> mèo</v>
      </c>
      <c r="E1554" s="127" t="str">
        <f>IFERROR(__xludf.DUMMYFUNCTION("""COMPUTED_VALUE""")," Gạo")</f>
        <v> Gạo</v>
      </c>
    </row>
    <row r="1555" ht="15.75" customHeight="1">
      <c r="A1555" s="128" t="str">
        <f>IFERROR(__xludf.DUMMYFUNCTION("""COMPUTED_VALUE"""),"0964 471 743")</f>
        <v>0964 471 743</v>
      </c>
      <c r="B1555" s="127" t="str">
        <f>IFERROR(__xludf.DUMMYFUNCTION("""COMPUTED_VALUE"""),"Em Thảo")</f>
        <v>Em Thảo</v>
      </c>
      <c r="C1555" s="127" t="str">
        <f>IFERROR(__xludf.DUMMYFUNCTION("""COMPUTED_VALUE"""),"1/6 Duy Tân")</f>
        <v>1/6 Duy Tân</v>
      </c>
      <c r="D1555" s="127" t="str">
        <f>IFERROR(__xludf.DUMMYFUNCTION("""COMPUTED_VALUE"""),"chó")</f>
        <v>chó</v>
      </c>
      <c r="E1555" s="127" t="str">
        <f>IFERROR(__xludf.DUMMYFUNCTION("""COMPUTED_VALUE""")," Bối")</f>
        <v> Bối</v>
      </c>
    </row>
    <row r="1556" ht="15.75" customHeight="1">
      <c r="A1556" s="128" t="str">
        <f>IFERROR(__xludf.DUMMYFUNCTION("""COMPUTED_VALUE"""),"0905 991 971")</f>
        <v>0905 991 971</v>
      </c>
      <c r="B1556" s="127" t="str">
        <f>IFERROR(__xludf.DUMMYFUNCTION("""COMPUTED_VALUE"""),"Anh Hòa")</f>
        <v>Anh Hòa</v>
      </c>
      <c r="C1556" s="127" t="str">
        <f>IFERROR(__xludf.DUMMYFUNCTION("""COMPUTED_VALUE"""),"Hẻm 5 kiệt 106 Minh Mạng")</f>
        <v>Hẻm 5 kiệt 106 Minh Mạng</v>
      </c>
      <c r="D1556" s="127" t="str">
        <f>IFERROR(__xludf.DUMMYFUNCTION("""COMPUTED_VALUE"""),"chó")</f>
        <v>chó</v>
      </c>
      <c r="E1556" s="127" t="str">
        <f>IFERROR(__xludf.DUMMYFUNCTION("""COMPUTED_VALUE"""),"Đần")</f>
        <v>Đần</v>
      </c>
    </row>
    <row r="1557" ht="15.75" customHeight="1">
      <c r="A1557" s="128" t="str">
        <f>IFERROR(__xludf.DUMMYFUNCTION("""COMPUTED_VALUE"""),"0376 327 005")</f>
        <v>0376 327 005</v>
      </c>
      <c r="B1557" s="127" t="str">
        <f>IFERROR(__xludf.DUMMYFUNCTION("""COMPUTED_VALUE"""),"Em Hùng")</f>
        <v>Em Hùng</v>
      </c>
      <c r="C1557" s="127" t="str">
        <f>IFERROR(__xludf.DUMMYFUNCTION("""COMPUTED_VALUE"""),"5B/197 Bùi Thị Xuân")</f>
        <v>5B/197 Bùi Thị Xuân</v>
      </c>
      <c r="D1557" s="127" t="str">
        <f>IFERROR(__xludf.DUMMYFUNCTION("""COMPUTED_VALUE"""),"chó")</f>
        <v>chó</v>
      </c>
      <c r="E1557" s="127" t="str">
        <f>IFERROR(__xludf.DUMMYFUNCTION("""COMPUTED_VALUE""")," Đóm")</f>
        <v> Đóm</v>
      </c>
    </row>
    <row r="1558" ht="15.75" customHeight="1">
      <c r="A1558" s="128" t="str">
        <f>IFERROR(__xludf.DUMMYFUNCTION("""COMPUTED_VALUE"""),"0325 551 544")</f>
        <v>0325 551 544</v>
      </c>
      <c r="B1558" s="127" t="str">
        <f>IFERROR(__xludf.DUMMYFUNCTION("""COMPUTED_VALUE"""),"Diễm")</f>
        <v>Diễm</v>
      </c>
      <c r="C1558" s="127" t="str">
        <f>IFERROR(__xludf.DUMMYFUNCTION("""COMPUTED_VALUE"""),"kom tum")</f>
        <v>kom tum</v>
      </c>
      <c r="D1558" s="127" t="str">
        <f>IFERROR(__xludf.DUMMYFUNCTION("""COMPUTED_VALUE"""),"chó")</f>
        <v>chó</v>
      </c>
      <c r="E1558" s="127" t="str">
        <f>IFERROR(__xludf.DUMMYFUNCTION("""COMPUTED_VALUE""")," Bun")</f>
        <v> Bun</v>
      </c>
    </row>
    <row r="1559" ht="15.75" customHeight="1">
      <c r="A1559" s="128" t="str">
        <f>IFERROR(__xludf.DUMMYFUNCTION("""COMPUTED_VALUE"""),"0934 975 919")</f>
        <v>0934 975 919</v>
      </c>
      <c r="B1559" s="127" t="str">
        <f>IFERROR(__xludf.DUMMYFUNCTION("""COMPUTED_VALUE"""),"Chị Phương")</f>
        <v>Chị Phương</v>
      </c>
      <c r="C1559" s="127" t="str">
        <f>IFERROR(__xludf.DUMMYFUNCTION("""COMPUTED_VALUE"""),"10/48 Quảng Tế")</f>
        <v>10/48 Quảng Tế</v>
      </c>
      <c r="D1559" s="127" t="str">
        <f>IFERROR(__xludf.DUMMYFUNCTION("""COMPUTED_VALUE"""),"Mèo")</f>
        <v>Mèo</v>
      </c>
      <c r="E1559" s="119" t="str">
        <f>IFERROR(__xludf.DUMMYFUNCTION("""COMPUTED_VALUE"""),"Miu")</f>
        <v>Miu</v>
      </c>
    </row>
    <row r="1560" ht="15.75" customHeight="1">
      <c r="A1560" s="128" t="str">
        <f>IFERROR(__xludf.DUMMYFUNCTION("""COMPUTED_VALUE"""),"0766 946 868")</f>
        <v>0766 946 868</v>
      </c>
      <c r="B1560" s="127" t="str">
        <f>IFERROR(__xludf.DUMMYFUNCTION("""COMPUTED_VALUE"""),"Dương Văn Đức")</f>
        <v>Dương Văn Đức</v>
      </c>
      <c r="C1560" s="127" t="str">
        <f>IFERROR(__xludf.DUMMYFUNCTION("""COMPUTED_VALUE"""),"28 Lâm Hoằng")</f>
        <v>28 Lâm Hoằng</v>
      </c>
      <c r="D1560" s="127" t="str">
        <f>IFERROR(__xludf.DUMMYFUNCTION("""COMPUTED_VALUE"""),"chó")</f>
        <v>chó</v>
      </c>
      <c r="E1560" s="127" t="str">
        <f>IFERROR(__xludf.DUMMYFUNCTION("""COMPUTED_VALUE"""),"Trắng")</f>
        <v>Trắng</v>
      </c>
    </row>
    <row r="1561" ht="15.75" customHeight="1">
      <c r="A1561" s="128" t="str">
        <f>IFERROR(__xludf.DUMMYFUNCTION("""COMPUTED_VALUE"""),"0935 133 276")</f>
        <v>0935 133 276</v>
      </c>
      <c r="B1561" s="127" t="str">
        <f>IFERROR(__xludf.DUMMYFUNCTION("""COMPUTED_VALUE"""),"Dì Nở")</f>
        <v>Dì Nở</v>
      </c>
      <c r="C1561" s="127" t="str">
        <f>IFERROR(__xludf.DUMMYFUNCTION("""COMPUTED_VALUE"""),"1 Trần Đại Nghĩa")</f>
        <v>1 Trần Đại Nghĩa</v>
      </c>
      <c r="D1561" s="127" t="str">
        <f>IFERROR(__xludf.DUMMYFUNCTION("""COMPUTED_VALUE"""),"chó")</f>
        <v>chó</v>
      </c>
      <c r="E1561" s="127" t="str">
        <f>IFERROR(__xludf.DUMMYFUNCTION("""COMPUTED_VALUE"""),"ú")</f>
        <v>ú</v>
      </c>
    </row>
    <row r="1562" ht="15.75" customHeight="1">
      <c r="A1562" s="128" t="str">
        <f>IFERROR(__xludf.DUMMYFUNCTION("""COMPUTED_VALUE"""),"0528 549 173")</f>
        <v>0528 549 173</v>
      </c>
      <c r="B1562" s="127" t="str">
        <f>IFERROR(__xludf.DUMMYFUNCTION("""COMPUTED_VALUE"""),"Em Hoàng Vân ")</f>
        <v>Em Hoàng Vân </v>
      </c>
      <c r="C1562" s="127" t="str">
        <f>IFERROR(__xludf.DUMMYFUNCTION("""COMPUTED_VALUE"""),"29/131 Trần Phú")</f>
        <v>29/131 Trần Phú</v>
      </c>
      <c r="D1562" s="127" t="str">
        <f>IFERROR(__xludf.DUMMYFUNCTION("""COMPUTED_VALUE"""),"Mèo")</f>
        <v>Mèo</v>
      </c>
      <c r="E1562" s="127" t="str">
        <f>IFERROR(__xludf.DUMMYFUNCTION("""COMPUTED_VALUE"""),"Kem")</f>
        <v>Kem</v>
      </c>
    </row>
    <row r="1563" ht="15.75" customHeight="1">
      <c r="A1563" s="128" t="str">
        <f>IFERROR(__xludf.DUMMYFUNCTION("""COMPUTED_VALUE"""),"0839 928 120")</f>
        <v>0839 928 120</v>
      </c>
      <c r="B1563" s="127" t="str">
        <f>IFERROR(__xludf.DUMMYFUNCTION("""COMPUTED_VALUE"""),"Chị Phương ")</f>
        <v>Chị Phương </v>
      </c>
      <c r="C1563" s="127" t="str">
        <f>IFERROR(__xludf.DUMMYFUNCTION("""COMPUTED_VALUE"""),"45 đường 2 tháng 9")</f>
        <v>45 đường 2 tháng 9</v>
      </c>
      <c r="D1563" s="127" t="str">
        <f>IFERROR(__xludf.DUMMYFUNCTION("""COMPUTED_VALUE"""),"chó")</f>
        <v>chó</v>
      </c>
      <c r="E1563" s="127" t="str">
        <f>IFERROR(__xludf.DUMMYFUNCTION("""COMPUTED_VALUE"""),"sushi")</f>
        <v>sushi</v>
      </c>
    </row>
    <row r="1564" ht="15.75" customHeight="1">
      <c r="A1564" s="128" t="str">
        <f>IFERROR(__xludf.DUMMYFUNCTION("""COMPUTED_VALUE"""),"0963 129 011")</f>
        <v>0963 129 011</v>
      </c>
      <c r="B1564" s="127" t="str">
        <f>IFERROR(__xludf.DUMMYFUNCTION("""COMPUTED_VALUE"""),"Phạm Trần Thế Anh")</f>
        <v>Phạm Trần Thế Anh</v>
      </c>
      <c r="C1564" s="127" t="str">
        <f>IFERROR(__xludf.DUMMYFUNCTION("""COMPUTED_VALUE"""),"6/128 Nhuyễn Khoa Chiêm")</f>
        <v>6/128 Nhuyễn Khoa Chiêm</v>
      </c>
      <c r="D1564" s="127" t="str">
        <f>IFERROR(__xludf.DUMMYFUNCTION("""COMPUTED_VALUE"""),"mèo")</f>
        <v>mèo</v>
      </c>
      <c r="E1564" s="127" t="str">
        <f>IFERROR(__xludf.DUMMYFUNCTION("""COMPUTED_VALUE"""),"xám")</f>
        <v>xám</v>
      </c>
    </row>
    <row r="1565" ht="15.75" customHeight="1">
      <c r="A1565" s="128" t="str">
        <f>IFERROR(__xludf.DUMMYFUNCTION("""COMPUTED_VALUE"""),"0935 065 552")</f>
        <v>0935 065 552</v>
      </c>
      <c r="B1565" s="127" t="str">
        <f>IFERROR(__xludf.DUMMYFUNCTION("""COMPUTED_VALUE"""),"Chị Lan")</f>
        <v>Chị Lan</v>
      </c>
      <c r="C1565" s="127" t="str">
        <f>IFERROR(__xludf.DUMMYFUNCTION("""COMPUTED_VALUE"""),"27 Nguyễn Phúc Thái")</f>
        <v>27 Nguyễn Phúc Thái</v>
      </c>
      <c r="D1565" s="127" t="str">
        <f>IFERROR(__xludf.DUMMYFUNCTION("""COMPUTED_VALUE"""),"chó")</f>
        <v>chó</v>
      </c>
      <c r="E1565" s="127" t="str">
        <f>IFERROR(__xludf.DUMMYFUNCTION("""COMPUTED_VALUE"""),"Covid")</f>
        <v>Covid</v>
      </c>
    </row>
    <row r="1566" ht="15.75" customHeight="1">
      <c r="A1566" s="128" t="str">
        <f>IFERROR(__xludf.DUMMYFUNCTION("""COMPUTED_VALUE"""),"0976 582 782")</f>
        <v>0976 582 782</v>
      </c>
      <c r="B1566" s="127" t="str">
        <f>IFERROR(__xludf.DUMMYFUNCTION("""COMPUTED_VALUE"""),"Anh Vinh")</f>
        <v>Anh Vinh</v>
      </c>
      <c r="C1566" s="127" t="str">
        <f>IFERROR(__xludf.DUMMYFUNCTION("""COMPUTED_VALUE"""),"57 An Ninh")</f>
        <v>57 An Ninh</v>
      </c>
      <c r="D1566" s="127" t="str">
        <f>IFERROR(__xludf.DUMMYFUNCTION("""COMPUTED_VALUE"""),"chó")</f>
        <v>chó</v>
      </c>
      <c r="E1566" s="127" t="str">
        <f>IFERROR(__xludf.DUMMYFUNCTION("""COMPUTED_VALUE"""),"Gạo")</f>
        <v>Gạo</v>
      </c>
    </row>
    <row r="1567" ht="15.75" customHeight="1">
      <c r="A1567" s="128" t="str">
        <f>IFERROR(__xludf.DUMMYFUNCTION("""COMPUTED_VALUE"""),"0779 415 021")</f>
        <v>0779 415 021</v>
      </c>
      <c r="B1567" s="127" t="str">
        <f>IFERROR(__xludf.DUMMYFUNCTION("""COMPUTED_VALUE"""),"Anh Trí")</f>
        <v>Anh Trí</v>
      </c>
      <c r="C1567" s="127" t="str">
        <f>IFERROR(__xludf.DUMMYFUNCTION("""COMPUTED_VALUE"""),"Phú Thượng")</f>
        <v>Phú Thượng</v>
      </c>
      <c r="D1567" s="127" t="str">
        <f>IFERROR(__xludf.DUMMYFUNCTION("""COMPUTED_VALUE"""),"chuột  ")</f>
        <v>chuột  </v>
      </c>
      <c r="E1567" s="127"/>
    </row>
    <row r="1568" ht="15.75" customHeight="1">
      <c r="A1568" s="128" t="str">
        <f>IFERROR(__xludf.DUMMYFUNCTION("""COMPUTED_VALUE"""),"0786 206 347")</f>
        <v>0786 206 347</v>
      </c>
      <c r="B1568" s="127" t="str">
        <f>IFERROR(__xludf.DUMMYFUNCTION("""COMPUTED_VALUE"""),"Châu")</f>
        <v>Châu</v>
      </c>
      <c r="C1568" s="127" t="str">
        <f>IFERROR(__xludf.DUMMYFUNCTION("""COMPUTED_VALUE"""),"179 Điện Biên Phủ")</f>
        <v>179 Điện Biên Phủ</v>
      </c>
      <c r="D1568" s="127" t="str">
        <f>IFERROR(__xludf.DUMMYFUNCTION("""COMPUTED_VALUE"""),"chó")</f>
        <v>chó</v>
      </c>
      <c r="E1568" s="127" t="str">
        <f>IFERROR(__xludf.DUMMYFUNCTION("""COMPUTED_VALUE"""),"beo")</f>
        <v>beo</v>
      </c>
    </row>
    <row r="1569" ht="15.75" customHeight="1">
      <c r="A1569" s="128" t="str">
        <f>IFERROR(__xludf.DUMMYFUNCTION("""COMPUTED_VALUE"""),"0386 952 697")</f>
        <v>0386 952 697</v>
      </c>
      <c r="B1569" s="127" t="str">
        <f>IFERROR(__xludf.DUMMYFUNCTION("""COMPUTED_VALUE"""),"Em Lâm")</f>
        <v>Em Lâm</v>
      </c>
      <c r="C1569" s="127" t="str">
        <f>IFERROR(__xludf.DUMMYFUNCTION("""COMPUTED_VALUE"""),"07 Tam Thai")</f>
        <v>07 Tam Thai</v>
      </c>
      <c r="D1569" s="127" t="str">
        <f>IFERROR(__xludf.DUMMYFUNCTION("""COMPUTED_VALUE"""),"chó")</f>
        <v>chó</v>
      </c>
      <c r="E1569" s="127" t="str">
        <f>IFERROR(__xludf.DUMMYFUNCTION("""COMPUTED_VALUE"""),"Vani")</f>
        <v>Vani</v>
      </c>
    </row>
    <row r="1570" ht="15.75" customHeight="1">
      <c r="A1570" s="128" t="str">
        <f>IFERROR(__xludf.DUMMYFUNCTION("""COMPUTED_VALUE"""),"0947 742 675")</f>
        <v>0947 742 675</v>
      </c>
      <c r="B1570" s="127" t="str">
        <f>IFERROR(__xludf.DUMMYFUNCTION("""COMPUTED_VALUE"""),"Chị Nhàn")</f>
        <v>Chị Nhàn</v>
      </c>
      <c r="C1570" s="127" t="str">
        <f>IFERROR(__xludf.DUMMYFUNCTION("""COMPUTED_VALUE"""),"An Đông")</f>
        <v>An Đông</v>
      </c>
      <c r="D1570" s="127" t="str">
        <f>IFERROR(__xludf.DUMMYFUNCTION("""COMPUTED_VALUE"""),"chó")</f>
        <v>chó</v>
      </c>
      <c r="E1570" s="127" t="str">
        <f>IFERROR(__xludf.DUMMYFUNCTION("""COMPUTED_VALUE"""),"Bao")</f>
        <v>Bao</v>
      </c>
    </row>
    <row r="1571" ht="15.75" customHeight="1">
      <c r="A1571" s="128" t="str">
        <f>IFERROR(__xludf.DUMMYFUNCTION("""COMPUTED_VALUE"""),"0764 974 664")</f>
        <v>0764 974 664</v>
      </c>
      <c r="B1571" s="127" t="str">
        <f>IFERROR(__xludf.DUMMYFUNCTION("""COMPUTED_VALUE"""),"ANh Vũ")</f>
        <v>ANh Vũ</v>
      </c>
      <c r="C1571" s="127" t="str">
        <f>IFERROR(__xludf.DUMMYFUNCTION("""COMPUTED_VALUE"""),"80 Vạn Xuân")</f>
        <v>80 Vạn Xuân</v>
      </c>
      <c r="D1571" s="127" t="str">
        <f>IFERROR(__xludf.DUMMYFUNCTION("""COMPUTED_VALUE"""),"chó")</f>
        <v>chó</v>
      </c>
      <c r="E1571" s="127" t="str">
        <f>IFERROR(__xludf.DUMMYFUNCTION("""COMPUTED_VALUE"""),"Đậu")</f>
        <v>Đậu</v>
      </c>
    </row>
    <row r="1572" ht="15.75" customHeight="1">
      <c r="A1572" s="128" t="str">
        <f>IFERROR(__xludf.DUMMYFUNCTION("""COMPUTED_VALUE"""),"0911 344 648")</f>
        <v>0911 344 648</v>
      </c>
      <c r="B1572" s="127" t="str">
        <f>IFERROR(__xludf.DUMMYFUNCTION("""COMPUTED_VALUE"""),"Chị Ngọc Trâm")</f>
        <v>Chị Ngọc Trâm</v>
      </c>
      <c r="C1572" s="127" t="str">
        <f>IFERROR(__xludf.DUMMYFUNCTION("""COMPUTED_VALUE"""),"270 Điện Biên Phủ")</f>
        <v>270 Điện Biên Phủ</v>
      </c>
      <c r="D1572" s="127" t="str">
        <f>IFERROR(__xludf.DUMMYFUNCTION("""COMPUTED_VALUE"""),"chó")</f>
        <v>chó</v>
      </c>
      <c r="E1572" s="127" t="str">
        <f>IFERROR(__xludf.DUMMYFUNCTION("""COMPUTED_VALUE"""),"Moon")</f>
        <v>Moon</v>
      </c>
    </row>
    <row r="1573" ht="15.75" customHeight="1">
      <c r="A1573" s="128" t="str">
        <f>IFERROR(__xludf.DUMMYFUNCTION("""COMPUTED_VALUE"""),"0353 761 975")</f>
        <v>0353 761 975</v>
      </c>
      <c r="B1573" s="127" t="str">
        <f>IFERROR(__xludf.DUMMYFUNCTION("""COMPUTED_VALUE"""),"Chú Tâm")</f>
        <v>Chú Tâm</v>
      </c>
      <c r="C1573" s="127" t="str">
        <f>IFERROR(__xludf.DUMMYFUNCTION("""COMPUTED_VALUE"""),"76 Lý Nam Đế")</f>
        <v>76 Lý Nam Đế</v>
      </c>
      <c r="D1573" s="127" t="str">
        <f>IFERROR(__xludf.DUMMYFUNCTION("""COMPUTED_VALUE"""),"chó")</f>
        <v>chó</v>
      </c>
      <c r="E1573" s="127" t="str">
        <f>IFERROR(__xludf.DUMMYFUNCTION("""COMPUTED_VALUE"""),"Misa")</f>
        <v>Misa</v>
      </c>
    </row>
    <row r="1574" ht="15.75" customHeight="1">
      <c r="A1574" s="128" t="str">
        <f>IFERROR(__xludf.DUMMYFUNCTION("""COMPUTED_VALUE"""),"0943 457 273")</f>
        <v>0943 457 273</v>
      </c>
      <c r="B1574" s="127" t="str">
        <f>IFERROR(__xludf.DUMMYFUNCTION("""COMPUTED_VALUE"""),"Em Hoàng Đạt")</f>
        <v>Em Hoàng Đạt</v>
      </c>
      <c r="C1574" s="127" t="str">
        <f>IFERROR(__xludf.DUMMYFUNCTION("""COMPUTED_VALUE"""),"79 Phạm Thị Liên")</f>
        <v>79 Phạm Thị Liên</v>
      </c>
      <c r="D1574" s="127" t="str">
        <f>IFERROR(__xludf.DUMMYFUNCTION("""COMPUTED_VALUE"""),"mèo")</f>
        <v>mèo</v>
      </c>
      <c r="E1574" s="127" t="str">
        <f>IFERROR(__xludf.DUMMYFUNCTION("""COMPUTED_VALUE"""),"Len")</f>
        <v>Len</v>
      </c>
    </row>
    <row r="1575" ht="15.75" customHeight="1">
      <c r="A1575" s="128" t="str">
        <f>IFERROR(__xludf.DUMMYFUNCTION("""COMPUTED_VALUE"""),"0383 263 016")</f>
        <v>0383 263 016</v>
      </c>
      <c r="B1575" s="127" t="str">
        <f>IFERROR(__xludf.DUMMYFUNCTION("""COMPUTED_VALUE"""),"ANh Thắng")</f>
        <v>ANh Thắng</v>
      </c>
      <c r="C1575" s="127" t="str">
        <f>IFERROR(__xludf.DUMMYFUNCTION("""COMPUTED_VALUE"""),"Hương Hồ")</f>
        <v>Hương Hồ</v>
      </c>
      <c r="D1575" s="127" t="str">
        <f>IFERROR(__xludf.DUMMYFUNCTION("""COMPUTED_VALUE"""),"chó")</f>
        <v>chó</v>
      </c>
      <c r="E1575" s="127" t="str">
        <f>IFERROR(__xludf.DUMMYFUNCTION("""COMPUTED_VALUE"""),"Min")</f>
        <v>Min</v>
      </c>
    </row>
    <row r="1576" ht="15.75" customHeight="1">
      <c r="A1576" s="128" t="str">
        <f>IFERROR(__xludf.DUMMYFUNCTION("""COMPUTED_VALUE"""),"0367 769 587")</f>
        <v>0367 769 587</v>
      </c>
      <c r="B1576" s="127" t="str">
        <f>IFERROR(__xludf.DUMMYFUNCTION("""COMPUTED_VALUE"""),"ANh Thành")</f>
        <v>ANh Thành</v>
      </c>
      <c r="C1576" s="127" t="str">
        <f>IFERROR(__xludf.DUMMYFUNCTION("""COMPUTED_VALUE"""),"23 k8 Nguyễn Hữu Dật")</f>
        <v>23 k8 Nguyễn Hữu Dật</v>
      </c>
      <c r="D1576" s="127" t="str">
        <f>IFERROR(__xludf.DUMMYFUNCTION("""COMPUTED_VALUE"""),"chó")</f>
        <v>chó</v>
      </c>
      <c r="E1576" s="127" t="str">
        <f>IFERROR(__xludf.DUMMYFUNCTION("""COMPUTED_VALUE"""),"Sen")</f>
        <v>Sen</v>
      </c>
    </row>
    <row r="1577" ht="15.75" customHeight="1">
      <c r="A1577" s="128" t="str">
        <f>IFERROR(__xludf.DUMMYFUNCTION("""COMPUTED_VALUE"""),"0941 786 808")</f>
        <v>0941 786 808</v>
      </c>
      <c r="B1577" s="127" t="str">
        <f>IFERROR(__xludf.DUMMYFUNCTION("""COMPUTED_VALUE"""),"Anh Thạch Lân")</f>
        <v>Anh Thạch Lân</v>
      </c>
      <c r="C1577" s="127" t="str">
        <f>IFERROR(__xludf.DUMMYFUNCTION("""COMPUTED_VALUE"""),"Phạm thị Liên")</f>
        <v>Phạm thị Liên</v>
      </c>
      <c r="D1577" s="127" t="str">
        <f>IFERROR(__xludf.DUMMYFUNCTION("""COMPUTED_VALUE"""),"chó")</f>
        <v>chó</v>
      </c>
      <c r="E1577" s="127"/>
    </row>
    <row r="1578" ht="15.75" customHeight="1">
      <c r="A1578" s="128" t="str">
        <f>IFERROR(__xludf.DUMMYFUNCTION("""COMPUTED_VALUE"""),"0935 551 205")</f>
        <v>0935 551 205</v>
      </c>
      <c r="B1578" s="127" t="str">
        <f>IFERROR(__xludf.DUMMYFUNCTION("""COMPUTED_VALUE"""),"Chị Vân")</f>
        <v>Chị Vân</v>
      </c>
      <c r="C1578" s="127" t="str">
        <f>IFERROR(__xludf.DUMMYFUNCTION("""COMPUTED_VALUE"""),"8 Nguyễn Thị Minh Khai")</f>
        <v>8 Nguyễn Thị Minh Khai</v>
      </c>
      <c r="D1578" s="127" t="str">
        <f>IFERROR(__xludf.DUMMYFUNCTION("""COMPUTED_VALUE"""),"Mèo")</f>
        <v>Mèo</v>
      </c>
      <c r="E1578" s="127"/>
    </row>
    <row r="1579" ht="15.75" customHeight="1">
      <c r="A1579" s="128" t="str">
        <f>IFERROR(__xludf.DUMMYFUNCTION("""COMPUTED_VALUE"""),"0362 223 483")</f>
        <v>0362 223 483</v>
      </c>
      <c r="B1579" s="127" t="str">
        <f>IFERROR(__xludf.DUMMYFUNCTION("""COMPUTED_VALUE"""),"Như Thường")</f>
        <v>Như Thường</v>
      </c>
      <c r="C1579" s="127" t="str">
        <f>IFERROR(__xludf.DUMMYFUNCTION("""COMPUTED_VALUE"""),"22 Nguyễn Lộ Trạch")</f>
        <v>22 Nguyễn Lộ Trạch</v>
      </c>
      <c r="D1579" s="127" t="str">
        <f>IFERROR(__xludf.DUMMYFUNCTION("""COMPUTED_VALUE"""),"Mèo")</f>
        <v>Mèo</v>
      </c>
      <c r="E1579" s="119" t="str">
        <f>IFERROR(__xludf.DUMMYFUNCTION("""COMPUTED_VALUE"""),"Hao")</f>
        <v>Hao</v>
      </c>
    </row>
    <row r="1580" ht="15.75" customHeight="1">
      <c r="A1580" s="128" t="str">
        <f>IFERROR(__xludf.DUMMYFUNCTION("""COMPUTED_VALUE"""),"0914 481 323")</f>
        <v>0914 481 323</v>
      </c>
      <c r="B1580" s="127" t="str">
        <f>IFERROR(__xludf.DUMMYFUNCTION("""COMPUTED_VALUE"""),"Chú Tùng")</f>
        <v>Chú Tùng</v>
      </c>
      <c r="C1580" s="127" t="str">
        <f>IFERROR(__xludf.DUMMYFUNCTION("""COMPUTED_VALUE"""),"36/46 Tràn Phú")</f>
        <v>36/46 Tràn Phú</v>
      </c>
      <c r="D1580" s="127" t="str">
        <f>IFERROR(__xludf.DUMMYFUNCTION("""COMPUTED_VALUE"""),"chó")</f>
        <v>chó</v>
      </c>
      <c r="E1580" s="127" t="str">
        <f>IFERROR(__xludf.DUMMYFUNCTION("""COMPUTED_VALUE""")," Sữa")</f>
        <v> Sữa</v>
      </c>
    </row>
    <row r="1581" ht="15.75" customHeight="1">
      <c r="A1581" s="128" t="str">
        <f>IFERROR(__xludf.DUMMYFUNCTION("""COMPUTED_VALUE"""),"0344 960 465")</f>
        <v>0344 960 465</v>
      </c>
      <c r="B1581" s="127" t="str">
        <f>IFERROR(__xludf.DUMMYFUNCTION("""COMPUTED_VALUE"""),"Chị Uyên")</f>
        <v>Chị Uyên</v>
      </c>
      <c r="C1581" s="127" t="str">
        <f>IFERROR(__xludf.DUMMYFUNCTION("""COMPUTED_VALUE"""),"8/4/87 Nguyễn Huệ")</f>
        <v>8/4/87 Nguyễn Huệ</v>
      </c>
      <c r="D1581" s="127" t="str">
        <f>IFERROR(__xludf.DUMMYFUNCTION("""COMPUTED_VALUE"""),"Chó")</f>
        <v>Chó</v>
      </c>
      <c r="E1581" s="127" t="str">
        <f>IFERROR(__xludf.DUMMYFUNCTION("""COMPUTED_VALUE"""),"Mít")</f>
        <v>Mít</v>
      </c>
    </row>
    <row r="1582" ht="15.75" customHeight="1">
      <c r="A1582" s="128" t="str">
        <f>IFERROR(__xludf.DUMMYFUNCTION("""COMPUTED_VALUE"""),"0334 011 804")</f>
        <v>0334 011 804</v>
      </c>
      <c r="B1582" s="127" t="str">
        <f>IFERROR(__xludf.DUMMYFUNCTION("""COMPUTED_VALUE"""),"Chị Thùy Trang")</f>
        <v>Chị Thùy Trang</v>
      </c>
      <c r="C1582" s="127" t="str">
        <f>IFERROR(__xludf.DUMMYFUNCTION("""COMPUTED_VALUE"""),"50 Thiên Thai")</f>
        <v>50 Thiên Thai</v>
      </c>
      <c r="D1582" s="127" t="str">
        <f>IFERROR(__xludf.DUMMYFUNCTION("""COMPUTED_VALUE"""),"Chó")</f>
        <v>Chó</v>
      </c>
      <c r="E1582" s="127" t="str">
        <f>IFERROR(__xludf.DUMMYFUNCTION("""COMPUTED_VALUE"""),"Gấu")</f>
        <v>Gấu</v>
      </c>
    </row>
    <row r="1583" ht="15.75" customHeight="1">
      <c r="A1583" s="128" t="str">
        <f>IFERROR(__xludf.DUMMYFUNCTION("""COMPUTED_VALUE"""),"0963 372 507")</f>
        <v>0963 372 507</v>
      </c>
      <c r="B1583" s="127" t="str">
        <f>IFERROR(__xludf.DUMMYFUNCTION("""COMPUTED_VALUE"""),"Anh An")</f>
        <v>Anh An</v>
      </c>
      <c r="C1583" s="127" t="str">
        <f>IFERROR(__xludf.DUMMYFUNCTION("""COMPUTED_VALUE"""),"31/55/66 Xuân Diệu")</f>
        <v>31/55/66 Xuân Diệu</v>
      </c>
      <c r="D1583" s="127" t="str">
        <f>IFERROR(__xludf.DUMMYFUNCTION("""COMPUTED_VALUE"""),"chó")</f>
        <v>chó</v>
      </c>
      <c r="E1583" s="127" t="str">
        <f>IFERROR(__xludf.DUMMYFUNCTION("""COMPUTED_VALUE"""),"Lu")</f>
        <v>Lu</v>
      </c>
    </row>
    <row r="1584" ht="15.75" customHeight="1">
      <c r="A1584" s="128" t="str">
        <f>IFERROR(__xludf.DUMMYFUNCTION("""COMPUTED_VALUE"""),"0799 390 646")</f>
        <v>0799 390 646</v>
      </c>
      <c r="B1584" s="127" t="str">
        <f>IFERROR(__xludf.DUMMYFUNCTION("""COMPUTED_VALUE"""),"Pham Hồ Kim Anh")</f>
        <v>Pham Hồ Kim Anh</v>
      </c>
      <c r="C1584" s="127" t="str">
        <f>IFERROR(__xludf.DUMMYFUNCTION("""COMPUTED_VALUE"""),"5/471 Bùi Thị Xuân")</f>
        <v>5/471 Bùi Thị Xuân</v>
      </c>
      <c r="D1584" s="127" t="str">
        <f>IFERROR(__xludf.DUMMYFUNCTION("""COMPUTED_VALUE"""),"chó")</f>
        <v>chó</v>
      </c>
      <c r="E1584" s="127" t="str">
        <f>IFERROR(__xludf.DUMMYFUNCTION("""COMPUTED_VALUE""")," Fox")</f>
        <v> Fox</v>
      </c>
    </row>
    <row r="1585" ht="15.75" customHeight="1">
      <c r="A1585" s="128" t="str">
        <f>IFERROR(__xludf.DUMMYFUNCTION("""COMPUTED_VALUE"""),"0948 871 616")</f>
        <v>0948 871 616</v>
      </c>
      <c r="B1585" s="127" t="str">
        <f>IFERROR(__xludf.DUMMYFUNCTION("""COMPUTED_VALUE"""),"Chị Liên")</f>
        <v>Chị Liên</v>
      </c>
      <c r="C1585" s="127" t="str">
        <f>IFERROR(__xludf.DUMMYFUNCTION("""COMPUTED_VALUE"""),"50 Trần Thái Tông")</f>
        <v>50 Trần Thái Tông</v>
      </c>
      <c r="D1585" s="127" t="str">
        <f>IFERROR(__xludf.DUMMYFUNCTION("""COMPUTED_VALUE"""),"chó")</f>
        <v>chó</v>
      </c>
      <c r="E1585" s="119" t="str">
        <f>IFERROR(__xludf.DUMMYFUNCTION("""COMPUTED_VALUE"""),"Lu")</f>
        <v>Lu</v>
      </c>
    </row>
    <row r="1586" ht="15.75" customHeight="1">
      <c r="A1586" s="128" t="str">
        <f>IFERROR(__xludf.DUMMYFUNCTION("""COMPUTED_VALUE"""),"0964 314 895")</f>
        <v>0964 314 895</v>
      </c>
      <c r="B1586" s="127" t="str">
        <f>IFERROR(__xludf.DUMMYFUNCTION("""COMPUTED_VALUE"""),"Trang okada")</f>
        <v>Trang okada</v>
      </c>
      <c r="C1586" s="127"/>
      <c r="D1586" s="127" t="str">
        <f>IFERROR(__xludf.DUMMYFUNCTION("""COMPUTED_VALUE"""),"chó")</f>
        <v>chó</v>
      </c>
      <c r="E1586" s="127" t="str">
        <f>IFERROR(__xludf.DUMMYFUNCTION("""COMPUTED_VALUE"""),"Yelow")</f>
        <v>Yelow</v>
      </c>
    </row>
    <row r="1587" ht="15.75" customHeight="1">
      <c r="A1587" s="128" t="str">
        <f>IFERROR(__xludf.DUMMYFUNCTION("""COMPUTED_VALUE"""),"0779 484 707")</f>
        <v>0779 484 707</v>
      </c>
      <c r="B1587" s="127" t="str">
        <f>IFERROR(__xludf.DUMMYFUNCTION("""COMPUTED_VALUE"""),"Ngọc Huyền")</f>
        <v>Ngọc Huyền</v>
      </c>
      <c r="C1587" s="127" t="str">
        <f>IFERROR(__xludf.DUMMYFUNCTION("""COMPUTED_VALUE"""),"3/44 Hoàng Thị Loan")</f>
        <v>3/44 Hoàng Thị Loan</v>
      </c>
      <c r="D1587" s="127" t="str">
        <f>IFERROR(__xludf.DUMMYFUNCTION("""COMPUTED_VALUE"""),"Mèo")</f>
        <v>Mèo</v>
      </c>
      <c r="E1587" s="127" t="str">
        <f>IFERROR(__xludf.DUMMYFUNCTION("""COMPUTED_VALUE"""),"Bột")</f>
        <v>Bột</v>
      </c>
    </row>
    <row r="1588" ht="15.75" customHeight="1">
      <c r="A1588" s="128" t="str">
        <f>IFERROR(__xludf.DUMMYFUNCTION("""COMPUTED_VALUE"""),"0982 253 770")</f>
        <v>0982 253 770</v>
      </c>
      <c r="B1588" s="127" t="str">
        <f>IFERROR(__xludf.DUMMYFUNCTION("""COMPUTED_VALUE"""),"Anh Tình")</f>
        <v>Anh Tình</v>
      </c>
      <c r="C1588" s="127" t="str">
        <f>IFERROR(__xludf.DUMMYFUNCTION("""COMPUTED_VALUE"""),"Lộc Sơn, Phú Xuân, Phú Vang")</f>
        <v>Lộc Sơn, Phú Xuân, Phú Vang</v>
      </c>
      <c r="D1588" s="127" t="str">
        <f>IFERROR(__xludf.DUMMYFUNCTION("""COMPUTED_VALUE"""),"chó")</f>
        <v>chó</v>
      </c>
      <c r="E1588" s="127" t="str">
        <f>IFERROR(__xludf.DUMMYFUNCTION("""COMPUTED_VALUE"""),"Báo")</f>
        <v>Báo</v>
      </c>
    </row>
    <row r="1589" ht="15.75" customHeight="1">
      <c r="A1589" s="128" t="str">
        <f>IFERROR(__xludf.DUMMYFUNCTION("""COMPUTED_VALUE"""),"0906 784 915")</f>
        <v>0906 784 915</v>
      </c>
      <c r="B1589" s="127" t="str">
        <f>IFERROR(__xludf.DUMMYFUNCTION("""COMPUTED_VALUE"""),"Chị Ngân")</f>
        <v>Chị Ngân</v>
      </c>
      <c r="C1589" s="127" t="str">
        <f>IFERROR(__xludf.DUMMYFUNCTION("""COMPUTED_VALUE"""),"Phú Thuận")</f>
        <v>Phú Thuận</v>
      </c>
      <c r="D1589" s="127" t="str">
        <f>IFERROR(__xludf.DUMMYFUNCTION("""COMPUTED_VALUE"""),"mèo")</f>
        <v>mèo</v>
      </c>
      <c r="E1589" s="119" t="str">
        <f>IFERROR(__xludf.DUMMYFUNCTION("""COMPUTED_VALUE"""),"Mơ")</f>
        <v>Mơ</v>
      </c>
    </row>
    <row r="1590" ht="15.75" customHeight="1">
      <c r="A1590" s="128" t="str">
        <f>IFERROR(__xludf.DUMMYFUNCTION("""COMPUTED_VALUE"""),"0901 939 613")</f>
        <v>0901 939 613</v>
      </c>
      <c r="B1590" s="127" t="str">
        <f>IFERROR(__xludf.DUMMYFUNCTION("""COMPUTED_VALUE"""),"Giáng Mi")</f>
        <v>Giáng Mi</v>
      </c>
      <c r="C1590" s="127" t="str">
        <f>IFERROR(__xludf.DUMMYFUNCTION("""COMPUTED_VALUE"""),"28 Đặng Huy Trứ")</f>
        <v>28 Đặng Huy Trứ</v>
      </c>
      <c r="D1590" s="127" t="str">
        <f>IFERROR(__xludf.DUMMYFUNCTION("""COMPUTED_VALUE"""),"Mèo")</f>
        <v>Mèo</v>
      </c>
      <c r="E1590" s="119" t="str">
        <f>IFERROR(__xludf.DUMMYFUNCTION("""COMPUTED_VALUE"""),"Đô ri")</f>
        <v>Đô ri</v>
      </c>
    </row>
    <row r="1591" ht="15.75" customHeight="1">
      <c r="A1591" s="128" t="str">
        <f>IFERROR(__xludf.DUMMYFUNCTION("""COMPUTED_VALUE"""),"`0826 307 729")</f>
        <v>`0826 307 729</v>
      </c>
      <c r="B1591" s="127" t="str">
        <f>IFERROR(__xludf.DUMMYFUNCTION("""COMPUTED_VALUE"""),"Bảo Trâm")</f>
        <v>Bảo Trâm</v>
      </c>
      <c r="C1591" s="127" t="str">
        <f>IFERROR(__xludf.DUMMYFUNCTION("""COMPUTED_VALUE"""),"5/93 Đặng Huy Trứ")</f>
        <v>5/93 Đặng Huy Trứ</v>
      </c>
      <c r="D1591" s="127" t="str">
        <f>IFERROR(__xludf.DUMMYFUNCTION("""COMPUTED_VALUE"""),"mèo")</f>
        <v>mèo</v>
      </c>
      <c r="E1591" s="127" t="str">
        <f>IFERROR(__xludf.DUMMYFUNCTION("""COMPUTED_VALUE""")," Xì Dầu")</f>
        <v> Xì Dầu</v>
      </c>
    </row>
    <row r="1592" ht="15.75" customHeight="1">
      <c r="A1592" s="128" t="str">
        <f>IFERROR(__xludf.DUMMYFUNCTION("""COMPUTED_VALUE"""),"0766 590 039")</f>
        <v>0766 590 039</v>
      </c>
      <c r="B1592" s="127" t="str">
        <f>IFERROR(__xludf.DUMMYFUNCTION("""COMPUTED_VALUE"""),"Cô Yến")</f>
        <v>Cô Yến</v>
      </c>
      <c r="C1592" s="127" t="str">
        <f>IFERROR(__xludf.DUMMYFUNCTION("""COMPUTED_VALUE"""),"26 Kiệt 7 Lê Thánh Tôn")</f>
        <v>26 Kiệt 7 Lê Thánh Tôn</v>
      </c>
      <c r="D1592" s="127" t="str">
        <f>IFERROR(__xludf.DUMMYFUNCTION("""COMPUTED_VALUE"""),"Chó ")</f>
        <v>Chó </v>
      </c>
      <c r="E1592" s="127" t="str">
        <f>IFERROR(__xludf.DUMMYFUNCTION("""COMPUTED_VALUE"""),"Bông")</f>
        <v>Bông</v>
      </c>
    </row>
    <row r="1593" ht="15.75" customHeight="1">
      <c r="A1593" s="128" t="str">
        <f>IFERROR(__xludf.DUMMYFUNCTION("""COMPUTED_VALUE"""),"0939 105 884")</f>
        <v>0939 105 884</v>
      </c>
      <c r="B1593" s="127" t="str">
        <f>IFERROR(__xludf.DUMMYFUNCTION("""COMPUTED_VALUE"""),"Anh phú")</f>
        <v>Anh phú</v>
      </c>
      <c r="C1593" s="127" t="str">
        <f>IFERROR(__xludf.DUMMYFUNCTION("""COMPUTED_VALUE"""),"8/24/23 /131 Trần Phú")</f>
        <v>8/24/23 /131 Trần Phú</v>
      </c>
      <c r="D1593" s="127" t="str">
        <f>IFERROR(__xludf.DUMMYFUNCTION("""COMPUTED_VALUE"""),"chó")</f>
        <v>chó</v>
      </c>
      <c r="E1593" s="127" t="str">
        <f>IFERROR(__xludf.DUMMYFUNCTION("""COMPUTED_VALUE"""),"Mít")</f>
        <v>Mít</v>
      </c>
    </row>
    <row r="1594" ht="15.75" customHeight="1">
      <c r="A1594" s="128" t="str">
        <f>IFERROR(__xludf.DUMMYFUNCTION("""COMPUTED_VALUE"""),"0327 522 229")</f>
        <v>0327 522 229</v>
      </c>
      <c r="B1594" s="127" t="str">
        <f>IFERROR(__xludf.DUMMYFUNCTION("""COMPUTED_VALUE"""),"chị Huyền")</f>
        <v>chị Huyền</v>
      </c>
      <c r="C1594" s="127" t="str">
        <f>IFERROR(__xludf.DUMMYFUNCTION("""COMPUTED_VALUE"""),"Hoàng Quốc Việt")</f>
        <v>Hoàng Quốc Việt</v>
      </c>
      <c r="D1594" s="127" t="str">
        <f>IFERROR(__xludf.DUMMYFUNCTION("""COMPUTED_VALUE"""),"Chó")</f>
        <v>Chó</v>
      </c>
      <c r="E1594" s="127" t="str">
        <f>IFERROR(__xludf.DUMMYFUNCTION("""COMPUTED_VALUE"""),"Heo")</f>
        <v>Heo</v>
      </c>
    </row>
    <row r="1595" ht="15.75" customHeight="1">
      <c r="A1595" s="128" t="str">
        <f>IFERROR(__xludf.DUMMYFUNCTION("""COMPUTED_VALUE"""),"0395 220 399")</f>
        <v>0395 220 399</v>
      </c>
      <c r="B1595" s="127" t="str">
        <f>IFERROR(__xludf.DUMMYFUNCTION("""COMPUTED_VALUE"""),"Quang Trung")</f>
        <v>Quang Trung</v>
      </c>
      <c r="C1595" s="127" t="str">
        <f>IFERROR(__xludf.DUMMYFUNCTION("""COMPUTED_VALUE"""),"Phú Dương")</f>
        <v>Phú Dương</v>
      </c>
      <c r="D1595" s="127" t="str">
        <f>IFERROR(__xludf.DUMMYFUNCTION("""COMPUTED_VALUE"""),"chó")</f>
        <v>chó</v>
      </c>
      <c r="E1595" s="127" t="str">
        <f>IFERROR(__xludf.DUMMYFUNCTION("""COMPUTED_VALUE"""),"Nu")</f>
        <v>Nu</v>
      </c>
    </row>
    <row r="1596" ht="15.75" customHeight="1">
      <c r="A1596" s="128" t="str">
        <f>IFERROR(__xludf.DUMMYFUNCTION("""COMPUTED_VALUE"""),"0918 661 809")</f>
        <v>0918 661 809</v>
      </c>
      <c r="B1596" s="127" t="str">
        <f>IFERROR(__xludf.DUMMYFUNCTION("""COMPUTED_VALUE"""),"Phan Quốc Việt")</f>
        <v>Phan Quốc Việt</v>
      </c>
      <c r="C1596" s="127" t="str">
        <f>IFERROR(__xludf.DUMMYFUNCTION("""COMPUTED_VALUE"""),"52 xóm 2 Ngọc Anh")</f>
        <v>52 xóm 2 Ngọc Anh</v>
      </c>
      <c r="D1596" s="127" t="str">
        <f>IFERROR(__xludf.DUMMYFUNCTION("""COMPUTED_VALUE"""),"chó")</f>
        <v>chó</v>
      </c>
      <c r="E1596" s="127"/>
    </row>
    <row r="1597" ht="15.75" customHeight="1">
      <c r="A1597" s="128" t="str">
        <f>IFERROR(__xludf.DUMMYFUNCTION("""COMPUTED_VALUE"""),"0786 471 505")</f>
        <v>0786 471 505</v>
      </c>
      <c r="B1597" s="127" t="str">
        <f>IFERROR(__xludf.DUMMYFUNCTION("""COMPUTED_VALUE"""),"Rpy")</f>
        <v>Rpy</v>
      </c>
      <c r="C1597" s="127" t="str">
        <f>IFERROR(__xludf.DUMMYFUNCTION("""COMPUTED_VALUE"""),"ktx sv Lào")</f>
        <v>ktx sv Lào</v>
      </c>
      <c r="D1597" s="127" t="str">
        <f>IFERROR(__xludf.DUMMYFUNCTION("""COMPUTED_VALUE"""),"mèo")</f>
        <v>mèo</v>
      </c>
      <c r="E1597" s="119" t="str">
        <f>IFERROR(__xludf.DUMMYFUNCTION("""COMPUTED_VALUE"""),"sky")</f>
        <v>sky</v>
      </c>
    </row>
    <row r="1598" ht="15.75" customHeight="1">
      <c r="A1598" s="128" t="str">
        <f>IFERROR(__xludf.DUMMYFUNCTION("""COMPUTED_VALUE"""),"0704 016 796")</f>
        <v>0704 016 796</v>
      </c>
      <c r="B1598" s="127" t="str">
        <f>IFERROR(__xludf.DUMMYFUNCTION("""COMPUTED_VALUE"""),"Quyền")</f>
        <v>Quyền</v>
      </c>
      <c r="C1598" s="127" t="str">
        <f>IFERROR(__xludf.DUMMYFUNCTION("""COMPUTED_VALUE"""),"Phú Thượng")</f>
        <v>Phú Thượng</v>
      </c>
      <c r="D1598" s="127" t="str">
        <f>IFERROR(__xludf.DUMMYFUNCTION("""COMPUTED_VALUE"""),"chó")</f>
        <v>chó</v>
      </c>
      <c r="E1598" s="127" t="str">
        <f>IFERROR(__xludf.DUMMYFUNCTION("""COMPUTED_VALUE"""),"Cafe đen")</f>
        <v>Cafe đen</v>
      </c>
    </row>
    <row r="1599" ht="15.75" customHeight="1">
      <c r="A1599" s="128" t="str">
        <f>IFERROR(__xludf.DUMMYFUNCTION("""COMPUTED_VALUE"""),"0905 801 207")</f>
        <v>0905 801 207</v>
      </c>
      <c r="B1599" s="133" t="str">
        <f>IFERROR(__xludf.DUMMYFUNCTION("""COMPUTED_VALUE"""),"Anh Thanh")</f>
        <v>Anh Thanh</v>
      </c>
      <c r="C1599" s="127" t="str">
        <f>IFERROR(__xludf.DUMMYFUNCTION("""COMPUTED_VALUE"""),"68/65 Lê Ngô Cát")</f>
        <v>68/65 Lê Ngô Cát</v>
      </c>
      <c r="D1599" s="127" t="str">
        <f>IFERROR(__xludf.DUMMYFUNCTION("""COMPUTED_VALUE"""),"chó")</f>
        <v>chó</v>
      </c>
      <c r="E1599" s="127" t="str">
        <f>IFERROR(__xludf.DUMMYFUNCTION("""COMPUTED_VALUE"""),"bột")</f>
        <v>bột</v>
      </c>
    </row>
    <row r="1600" ht="15.75" customHeight="1">
      <c r="A1600" s="128">
        <f>IFERROR(__xludf.DUMMYFUNCTION("""COMPUTED_VALUE"""),8.69474017E8)</f>
        <v>869474017</v>
      </c>
      <c r="B1600" s="127" t="str">
        <f>IFERROR(__xludf.DUMMYFUNCTION("""COMPUTED_VALUE"""),"Natalia timofejeva")</f>
        <v>Natalia timofejeva</v>
      </c>
      <c r="C1600" s="127" t="str">
        <f>IFERROR(__xludf.DUMMYFUNCTION("""COMPUTED_VALUE"""),"Nara Garden Huế")</f>
        <v>Nara Garden Huế</v>
      </c>
      <c r="D1600" s="127" t="str">
        <f>IFERROR(__xludf.DUMMYFUNCTION("""COMPUTED_VALUE"""),"chó/mèo")</f>
        <v>chó/mèo</v>
      </c>
      <c r="E1600" s="127" t="str">
        <f>IFERROR(__xludf.DUMMYFUNCTION("""COMPUTED_VALUE"""),"Narvy/Kairos")</f>
        <v>Narvy/Kairos</v>
      </c>
    </row>
    <row r="1601" ht="15.75" customHeight="1">
      <c r="A1601" s="128" t="str">
        <f>IFERROR(__xludf.DUMMYFUNCTION("""COMPUTED_VALUE"""),"0702 358 725")</f>
        <v>0702 358 725</v>
      </c>
      <c r="B1601" s="127" t="str">
        <f>IFERROR(__xludf.DUMMYFUNCTION("""COMPUTED_VALUE"""),"Thanh Tùng")</f>
        <v>Thanh Tùng</v>
      </c>
      <c r="C1601" s="127" t="str">
        <f>IFERROR(__xludf.DUMMYFUNCTION("""COMPUTED_VALUE"""),"06 Thanh Hải")</f>
        <v>06 Thanh Hải</v>
      </c>
      <c r="D1601" s="127" t="str">
        <f>IFERROR(__xludf.DUMMYFUNCTION("""COMPUTED_VALUE"""),"chó")</f>
        <v>chó</v>
      </c>
      <c r="E1601" s="127" t="str">
        <f>IFERROR(__xludf.DUMMYFUNCTION("""COMPUTED_VALUE"""),"heo")</f>
        <v>heo</v>
      </c>
    </row>
    <row r="1602" ht="15.75" customHeight="1">
      <c r="A1602" s="128" t="str">
        <f>IFERROR(__xludf.DUMMYFUNCTION("""COMPUTED_VALUE"""),"0374 559 786")</f>
        <v>0374 559 786</v>
      </c>
      <c r="B1602" s="127" t="str">
        <f>IFERROR(__xludf.DUMMYFUNCTION("""COMPUTED_VALUE"""),"Đinh Chí Thanh")</f>
        <v>Đinh Chí Thanh</v>
      </c>
      <c r="C1602" s="127" t="str">
        <f>IFERROR(__xludf.DUMMYFUNCTION("""COMPUTED_VALUE"""),"19/131 Trần Phú")</f>
        <v>19/131 Trần Phú</v>
      </c>
      <c r="D1602" s="127" t="str">
        <f>IFERROR(__xludf.DUMMYFUNCTION("""COMPUTED_VALUE"""),"mèo")</f>
        <v>mèo</v>
      </c>
      <c r="E1602" s="127" t="str">
        <f>IFERROR(__xludf.DUMMYFUNCTION("""COMPUTED_VALUE"""),"bon")</f>
        <v>bon</v>
      </c>
    </row>
    <row r="1603" ht="15.75" customHeight="1">
      <c r="A1603" s="128" t="str">
        <f>IFERROR(__xludf.DUMMYFUNCTION("""COMPUTED_VALUE"""),"0352 666 385")</f>
        <v>0352 666 385</v>
      </c>
      <c r="B1603" s="127" t="str">
        <f>IFERROR(__xludf.DUMMYFUNCTION("""COMPUTED_VALUE"""),"Dì Hồ Thị Hoa")</f>
        <v>Dì Hồ Thị Hoa</v>
      </c>
      <c r="C1603" s="127" t="str">
        <f>IFERROR(__xludf.DUMMYFUNCTION("""COMPUTED_VALUE"""),"6/41/128 Nguyễn Khoa Chiêm")</f>
        <v>6/41/128 Nguyễn Khoa Chiêm</v>
      </c>
      <c r="D1603" s="127" t="str">
        <f>IFERROR(__xludf.DUMMYFUNCTION("""COMPUTED_VALUE"""),"mèo ")</f>
        <v>mèo </v>
      </c>
      <c r="E1603" s="119" t="str">
        <f>IFERROR(__xludf.DUMMYFUNCTION("""COMPUTED_VALUE"""),"miu")</f>
        <v>miu</v>
      </c>
    </row>
    <row r="1604" ht="15.75" customHeight="1">
      <c r="A1604" s="128" t="str">
        <f>IFERROR(__xludf.DUMMYFUNCTION("""COMPUTED_VALUE"""),"0961 511 801")</f>
        <v>0961 511 801</v>
      </c>
      <c r="B1604" s="127" t="str">
        <f>IFERROR(__xludf.DUMMYFUNCTION("""COMPUTED_VALUE"""),"Mạnh Lâm")</f>
        <v>Mạnh Lâm</v>
      </c>
      <c r="C1604" s="127" t="str">
        <f>IFERROR(__xludf.DUMMYFUNCTION("""COMPUTED_VALUE"""),"8a/30 Đoàn Hữu Trưng")</f>
        <v>8a/30 Đoàn Hữu Trưng</v>
      </c>
      <c r="D1604" s="127" t="str">
        <f>IFERROR(__xludf.DUMMYFUNCTION("""COMPUTED_VALUE"""),"mèo")</f>
        <v>mèo</v>
      </c>
      <c r="E1604" s="127" t="str">
        <f>IFERROR(__xludf.DUMMYFUNCTION("""COMPUTED_VALUE"""),"vin")</f>
        <v>vin</v>
      </c>
    </row>
    <row r="1605" ht="15.75" customHeight="1">
      <c r="A1605" s="128" t="str">
        <f>IFERROR(__xludf.DUMMYFUNCTION("""COMPUTED_VALUE"""),"0345 526 252")</f>
        <v>0345 526 252</v>
      </c>
      <c r="B1605" s="127" t="str">
        <f>IFERROR(__xludf.DUMMYFUNCTION("""COMPUTED_VALUE"""),"Lê Quang Hiếu")</f>
        <v>Lê Quang Hiếu</v>
      </c>
      <c r="C1605" s="127" t="str">
        <f>IFERROR(__xludf.DUMMYFUNCTION("""COMPUTED_VALUE"""),"124 An Dương Vương")</f>
        <v>124 An Dương Vương</v>
      </c>
      <c r="D1605" s="127" t="str">
        <f>IFERROR(__xludf.DUMMYFUNCTION("""COMPUTED_VALUE"""),"mèo ")</f>
        <v>mèo </v>
      </c>
      <c r="E1605" s="127" t="str">
        <f>IFERROR(__xludf.DUMMYFUNCTION("""COMPUTED_VALUE"""),"đốm")</f>
        <v>đốm</v>
      </c>
    </row>
    <row r="1606" ht="15.75" customHeight="1">
      <c r="A1606" s="128" t="str">
        <f>IFERROR(__xludf.DUMMYFUNCTION("""COMPUTED_VALUE"""),"0346 813 732")</f>
        <v>0346 813 732</v>
      </c>
      <c r="B1606" s="127" t="str">
        <f>IFERROR(__xludf.DUMMYFUNCTION("""COMPUTED_VALUE"""),"Em Linh")</f>
        <v>Em Linh</v>
      </c>
      <c r="C1606" s="127" t="str">
        <f>IFERROR(__xludf.DUMMYFUNCTION("""COMPUTED_VALUE"""),"14A/ 71 Nhật Lệ")</f>
        <v>14A/ 71 Nhật Lệ</v>
      </c>
      <c r="D1606" s="127" t="str">
        <f>IFERROR(__xludf.DUMMYFUNCTION("""COMPUTED_VALUE"""),"Mèo")</f>
        <v>Mèo</v>
      </c>
      <c r="E1606" s="127" t="str">
        <f>IFERROR(__xludf.DUMMYFUNCTION("""COMPUTED_VALUE"""),"Trắng")</f>
        <v>Trắng</v>
      </c>
    </row>
    <row r="1607" ht="15.75" customHeight="1">
      <c r="A1607" s="128" t="str">
        <f>IFERROR(__xludf.DUMMYFUNCTION("""COMPUTED_VALUE"""),"0773 907 617")</f>
        <v>0773 907 617</v>
      </c>
      <c r="B1607" s="127" t="str">
        <f>IFERROR(__xludf.DUMMYFUNCTION("""COMPUTED_VALUE"""),"Chị Phương")</f>
        <v>Chị Phương</v>
      </c>
      <c r="C1607" s="127" t="str">
        <f>IFERROR(__xludf.DUMMYFUNCTION("""COMPUTED_VALUE"""),"79 Phan Anh")</f>
        <v>79 Phan Anh</v>
      </c>
      <c r="D1607" s="127" t="str">
        <f>IFERROR(__xludf.DUMMYFUNCTION("""COMPUTED_VALUE"""),"Mèo")</f>
        <v>Mèo</v>
      </c>
      <c r="E1607" s="127" t="str">
        <f>IFERROR(__xludf.DUMMYFUNCTION("""COMPUTED_VALUE"""),"Lệ Chi")</f>
        <v>Lệ Chi</v>
      </c>
    </row>
    <row r="1608" ht="15.75" customHeight="1">
      <c r="A1608" s="128" t="str">
        <f>IFERROR(__xludf.DUMMYFUNCTION("""COMPUTED_VALUE"""),"0935 131 718")</f>
        <v>0935 131 718</v>
      </c>
      <c r="B1608" s="127" t="str">
        <f>IFERROR(__xludf.DUMMYFUNCTION("""COMPUTED_VALUE"""),"Chị Vân Anh")</f>
        <v>Chị Vân Anh</v>
      </c>
      <c r="C1608" s="127" t="str">
        <f>IFERROR(__xludf.DUMMYFUNCTION("""COMPUTED_VALUE"""),"130 Trường Chinh")</f>
        <v>130 Trường Chinh</v>
      </c>
      <c r="D1608" s="127" t="str">
        <f>IFERROR(__xludf.DUMMYFUNCTION("""COMPUTED_VALUE"""),"Mèo")</f>
        <v>Mèo</v>
      </c>
      <c r="E1608" s="127" t="str">
        <f>IFERROR(__xludf.DUMMYFUNCTION("""COMPUTED_VALUE"""),"Zô")</f>
        <v>Zô</v>
      </c>
    </row>
    <row r="1609" ht="15.75" customHeight="1">
      <c r="A1609" s="128" t="str">
        <f>IFERROR(__xludf.DUMMYFUNCTION("""COMPUTED_VALUE"""),"0935 919 137")</f>
        <v>0935 919 137</v>
      </c>
      <c r="B1609" s="127" t="str">
        <f>IFERROR(__xludf.DUMMYFUNCTION("""COMPUTED_VALUE"""),"Anh Cường")</f>
        <v>Anh Cường</v>
      </c>
      <c r="C1609" s="127" t="str">
        <f>IFERROR(__xludf.DUMMYFUNCTION("""COMPUTED_VALUE"""),"Hương Hồ")</f>
        <v>Hương Hồ</v>
      </c>
      <c r="D1609" s="127" t="str">
        <f>IFERROR(__xludf.DUMMYFUNCTION("""COMPUTED_VALUE"""),"Chó")</f>
        <v>Chó</v>
      </c>
      <c r="E1609" s="119" t="str">
        <f>IFERROR(__xludf.DUMMYFUNCTION("""COMPUTED_VALUE"""),"Nâu")</f>
        <v>Nâu</v>
      </c>
    </row>
    <row r="1610" ht="15.75" customHeight="1">
      <c r="A1610" s="128" t="str">
        <f>IFERROR(__xludf.DUMMYFUNCTION("""COMPUTED_VALUE"""),"0987 469 342")</f>
        <v>0987 469 342</v>
      </c>
      <c r="B1610" s="127" t="str">
        <f>IFERROR(__xludf.DUMMYFUNCTION("""COMPUTED_VALUE"""),"Em Bảo Châu")</f>
        <v>Em Bảo Châu</v>
      </c>
      <c r="C1610" s="127" t="str">
        <f>IFERROR(__xludf.DUMMYFUNCTION("""COMPUTED_VALUE"""),"Kim Long ")</f>
        <v>Kim Long </v>
      </c>
      <c r="D1610" s="127" t="str">
        <f>IFERROR(__xludf.DUMMYFUNCTION("""COMPUTED_VALUE"""),"Mèo")</f>
        <v>Mèo</v>
      </c>
      <c r="E1610" s="127" t="str">
        <f>IFERROR(__xludf.DUMMYFUNCTION("""COMPUTED_VALUE"""),"Bông")</f>
        <v>Bông</v>
      </c>
    </row>
    <row r="1611" ht="15.75" customHeight="1">
      <c r="A1611" s="128" t="str">
        <f>IFERROR(__xludf.DUMMYFUNCTION("""COMPUTED_VALUE"""),"0896 873 463")</f>
        <v>0896 873 463</v>
      </c>
      <c r="B1611" s="127" t="str">
        <f>IFERROR(__xludf.DUMMYFUNCTION("""COMPUTED_VALUE"""),"Chị Sương ")</f>
        <v>Chị Sương </v>
      </c>
      <c r="C1611" s="127" t="str">
        <f>IFERROR(__xludf.DUMMYFUNCTION("""COMPUTED_VALUE"""),"397 Lê Duẫn")</f>
        <v>397 Lê Duẫn</v>
      </c>
      <c r="D1611" s="127" t="str">
        <f>IFERROR(__xludf.DUMMYFUNCTION("""COMPUTED_VALUE"""),"Chó")</f>
        <v>Chó</v>
      </c>
      <c r="E1611" s="127" t="str">
        <f>IFERROR(__xludf.DUMMYFUNCTION("""COMPUTED_VALUE"""),"Xù")</f>
        <v>Xù</v>
      </c>
    </row>
    <row r="1612" ht="15.75" customHeight="1">
      <c r="A1612" s="128" t="str">
        <f>IFERROR(__xludf.DUMMYFUNCTION("""COMPUTED_VALUE"""),"0765 502 275")</f>
        <v>0765 502 275</v>
      </c>
      <c r="B1612" s="127" t="str">
        <f>IFERROR(__xludf.DUMMYFUNCTION("""COMPUTED_VALUE"""),"Anh Quý")</f>
        <v>Anh Quý</v>
      </c>
      <c r="C1612" s="127" t="str">
        <f>IFERROR(__xludf.DUMMYFUNCTION("""COMPUTED_VALUE"""),"Lý Nam Đế")</f>
        <v>Lý Nam Đế</v>
      </c>
      <c r="D1612" s="127" t="str">
        <f>IFERROR(__xludf.DUMMYFUNCTION("""COMPUTED_VALUE"""),"Chó")</f>
        <v>Chó</v>
      </c>
      <c r="E1612" s="119"/>
    </row>
    <row r="1613" ht="15.75" customHeight="1">
      <c r="A1613" s="128" t="str">
        <f>IFERROR(__xludf.DUMMYFUNCTION("""COMPUTED_VALUE"""),"0702 690 008")</f>
        <v>0702 690 008</v>
      </c>
      <c r="B1613" s="127" t="str">
        <f>IFERROR(__xludf.DUMMYFUNCTION("""COMPUTED_VALUE"""),"Hồ Lâm Minh Hoàn")</f>
        <v>Hồ Lâm Minh Hoàn</v>
      </c>
      <c r="C1613" s="127" t="str">
        <f>IFERROR(__xludf.DUMMYFUNCTION("""COMPUTED_VALUE"""),"111 Trần Thái Tông")</f>
        <v>111 Trần Thái Tông</v>
      </c>
      <c r="D1613" s="127" t="str">
        <f>IFERROR(__xludf.DUMMYFUNCTION("""COMPUTED_VALUE"""),"Chó")</f>
        <v>Chó</v>
      </c>
      <c r="E1613" s="127" t="str">
        <f>IFERROR(__xludf.DUMMYFUNCTION("""COMPUTED_VALUE"""),"Mon")</f>
        <v>Mon</v>
      </c>
    </row>
    <row r="1614" ht="15.75" customHeight="1">
      <c r="A1614" s="128" t="str">
        <f>IFERROR(__xludf.DUMMYFUNCTION("""COMPUTED_VALUE"""),"0762 548 324")</f>
        <v>0762 548 324</v>
      </c>
      <c r="B1614" s="127" t="str">
        <f>IFERROR(__xludf.DUMMYFUNCTION("""COMPUTED_VALUE"""),"Anh Hòa")</f>
        <v>Anh Hòa</v>
      </c>
      <c r="C1614" s="127" t="str">
        <f>IFERROR(__xludf.DUMMYFUNCTION("""COMPUTED_VALUE"""),"216 Lý Nam Đế")</f>
        <v>216 Lý Nam Đế</v>
      </c>
      <c r="D1614" s="127" t="str">
        <f>IFERROR(__xludf.DUMMYFUNCTION("""COMPUTED_VALUE"""),"Mèo")</f>
        <v>Mèo</v>
      </c>
      <c r="E1614" s="127" t="str">
        <f>IFERROR(__xludf.DUMMYFUNCTION("""COMPUTED_VALUE"""),"Bông")</f>
        <v>Bông</v>
      </c>
    </row>
    <row r="1615" ht="15.75" customHeight="1">
      <c r="A1615" s="128" t="str">
        <f>IFERROR(__xludf.DUMMYFUNCTION("""COMPUTED_VALUE"""),"0869 175 117")</f>
        <v>0869 175 117</v>
      </c>
      <c r="B1615" s="127" t="str">
        <f>IFERROR(__xludf.DUMMYFUNCTION("""COMPUTED_VALUE"""),"Chị Ngọc")</f>
        <v>Chị Ngọc</v>
      </c>
      <c r="C1615" s="127" t="str">
        <f>IFERROR(__xludf.DUMMYFUNCTION("""COMPUTED_VALUE"""),"19 Hà Nội")</f>
        <v>19 Hà Nội</v>
      </c>
      <c r="D1615" s="127" t="str">
        <f>IFERROR(__xludf.DUMMYFUNCTION("""COMPUTED_VALUE"""),"Mèo")</f>
        <v>Mèo</v>
      </c>
      <c r="E1615" s="119" t="str">
        <f>IFERROR(__xludf.DUMMYFUNCTION("""COMPUTED_VALUE"""),"Bơ")</f>
        <v>Bơ</v>
      </c>
    </row>
    <row r="1616" ht="15.75" customHeight="1">
      <c r="A1616" s="128" t="str">
        <f>IFERROR(__xludf.DUMMYFUNCTION("""COMPUTED_VALUE"""),"0789 650 979")</f>
        <v>0789 650 979</v>
      </c>
      <c r="B1616" s="127" t="str">
        <f>IFERROR(__xludf.DUMMYFUNCTION("""COMPUTED_VALUE"""),"Anh Hoàng")</f>
        <v>Anh Hoàng</v>
      </c>
      <c r="C1616" s="127" t="str">
        <f>IFERROR(__xludf.DUMMYFUNCTION("""COMPUTED_VALUE"""),"74 Nguyễn Hoàng")</f>
        <v>74 Nguyễn Hoàng</v>
      </c>
      <c r="D1616" s="127" t="str">
        <f>IFERROR(__xludf.DUMMYFUNCTION("""COMPUTED_VALUE"""),"Chó")</f>
        <v>Chó</v>
      </c>
      <c r="E1616" s="127" t="str">
        <f>IFERROR(__xludf.DUMMYFUNCTION("""COMPUTED_VALUE"""),"Cục cưng")</f>
        <v>Cục cưng</v>
      </c>
    </row>
    <row r="1617" ht="15.75" customHeight="1">
      <c r="A1617" s="128" t="str">
        <f>IFERROR(__xludf.DUMMYFUNCTION("""COMPUTED_VALUE"""),"0905 447 632")</f>
        <v>0905 447 632</v>
      </c>
      <c r="B1617" s="127" t="str">
        <f>IFERROR(__xludf.DUMMYFUNCTION("""COMPUTED_VALUE"""),"Anh Đa")</f>
        <v>Anh Đa</v>
      </c>
      <c r="C1617" s="127" t="str">
        <f>IFERROR(__xludf.DUMMYFUNCTION("""COMPUTED_VALUE"""),"Tổ Dạ Lê, Phường Thủy Vân")</f>
        <v>Tổ Dạ Lê, Phường Thủy Vân</v>
      </c>
      <c r="D1617" s="127" t="str">
        <f>IFERROR(__xludf.DUMMYFUNCTION("""COMPUTED_VALUE"""),"Chó")</f>
        <v>Chó</v>
      </c>
      <c r="E1617" s="127" t="str">
        <f>IFERROR(__xludf.DUMMYFUNCTION("""COMPUTED_VALUE"""),"Su")</f>
        <v>Su</v>
      </c>
    </row>
    <row r="1618" ht="15.75" customHeight="1">
      <c r="A1618" s="128" t="str">
        <f>IFERROR(__xludf.DUMMYFUNCTION("""COMPUTED_VALUE"""),"0979 034 543")</f>
        <v>0979 034 543</v>
      </c>
      <c r="B1618" s="127" t="str">
        <f>IFERROR(__xludf.DUMMYFUNCTION("""COMPUTED_VALUE"""),"Chị Hương ")</f>
        <v>Chị Hương </v>
      </c>
      <c r="C1618" s="127" t="str">
        <f>IFERROR(__xludf.DUMMYFUNCTION("""COMPUTED_VALUE"""),"80 Bửu Đình")</f>
        <v>80 Bửu Đình</v>
      </c>
      <c r="D1618" s="127" t="str">
        <f>IFERROR(__xludf.DUMMYFUNCTION("""COMPUTED_VALUE"""),"Chó")</f>
        <v>Chó</v>
      </c>
      <c r="E1618" s="127" t="str">
        <f>IFERROR(__xludf.DUMMYFUNCTION("""COMPUTED_VALUE"""),"Bill")</f>
        <v>Bill</v>
      </c>
    </row>
    <row r="1619" ht="15.75" customHeight="1">
      <c r="A1619" s="128" t="str">
        <f>IFERROR(__xludf.DUMMYFUNCTION("""COMPUTED_VALUE"""),"0905 621 575")</f>
        <v>0905 621 575</v>
      </c>
      <c r="B1619" s="127" t="str">
        <f>IFERROR(__xludf.DUMMYFUNCTION("""COMPUTED_VALUE"""),"Chị Ngọc")</f>
        <v>Chị Ngọc</v>
      </c>
      <c r="C1619" s="127" t="str">
        <f>IFERROR(__xludf.DUMMYFUNCTION("""COMPUTED_VALUE"""),"78/12 Phạm Thị Liên")</f>
        <v>78/12 Phạm Thị Liên</v>
      </c>
      <c r="D1619" s="127" t="str">
        <f>IFERROR(__xludf.DUMMYFUNCTION("""COMPUTED_VALUE"""),"Mèo")</f>
        <v>Mèo</v>
      </c>
      <c r="E1619" s="127" t="str">
        <f>IFERROR(__xludf.DUMMYFUNCTION("""COMPUTED_VALUE"""),"Sóc")</f>
        <v>Sóc</v>
      </c>
    </row>
    <row r="1620" ht="15.75" customHeight="1">
      <c r="A1620" s="128" t="str">
        <f>IFERROR(__xludf.DUMMYFUNCTION("""COMPUTED_VALUE"""),"0375 045 527")</f>
        <v>0375 045 527</v>
      </c>
      <c r="B1620" s="127" t="str">
        <f>IFERROR(__xludf.DUMMYFUNCTION("""COMPUTED_VALUE"""),"Đức")</f>
        <v>Đức</v>
      </c>
      <c r="C1620" s="127" t="str">
        <f>IFERROR(__xludf.DUMMYFUNCTION("""COMPUTED_VALUE"""),"19 Nguyễn Phúc Thụ ")</f>
        <v>19 Nguyễn Phúc Thụ </v>
      </c>
      <c r="D1620" s="127" t="str">
        <f>IFERROR(__xludf.DUMMYFUNCTION("""COMPUTED_VALUE"""),"Chó")</f>
        <v>Chó</v>
      </c>
      <c r="E1620" s="119"/>
    </row>
    <row r="1621" ht="15.75" customHeight="1">
      <c r="A1621" s="128" t="str">
        <f>IFERROR(__xludf.DUMMYFUNCTION("""COMPUTED_VALUE"""),"0777 244 096")</f>
        <v>0777 244 096</v>
      </c>
      <c r="B1621" s="127" t="str">
        <f>IFERROR(__xludf.DUMMYFUNCTION("""COMPUTED_VALUE"""),"Em Anh Thư")</f>
        <v>Em Anh Thư</v>
      </c>
      <c r="C1621" s="127" t="str">
        <f>IFERROR(__xludf.DUMMYFUNCTION("""COMPUTED_VALUE"""),"35B Huỳnh Tấn Phát")</f>
        <v>35B Huỳnh Tấn Phát</v>
      </c>
      <c r="D1621" s="127" t="str">
        <f>IFERROR(__xludf.DUMMYFUNCTION("""COMPUTED_VALUE"""),"Mèo")</f>
        <v>Mèo</v>
      </c>
      <c r="E1621" s="127" t="str">
        <f>IFERROR(__xludf.DUMMYFUNCTION("""COMPUTED_VALUE"""),"Chu")</f>
        <v>Chu</v>
      </c>
    </row>
    <row r="1622" ht="15.75" customHeight="1">
      <c r="A1622" s="128" t="str">
        <f>IFERROR(__xludf.DUMMYFUNCTION("""COMPUTED_VALUE"""),"0947 521 910")</f>
        <v>0947 521 910</v>
      </c>
      <c r="B1622" s="127" t="str">
        <f>IFERROR(__xludf.DUMMYFUNCTION("""COMPUTED_VALUE"""),"Dì Nga")</f>
        <v>Dì Nga</v>
      </c>
      <c r="C1622" s="127" t="str">
        <f>IFERROR(__xludf.DUMMYFUNCTION("""COMPUTED_VALUE"""),"240 Lý Nam Đế")</f>
        <v>240 Lý Nam Đế</v>
      </c>
      <c r="D1622" s="127" t="str">
        <f>IFERROR(__xludf.DUMMYFUNCTION("""COMPUTED_VALUE"""),"Chó")</f>
        <v>Chó</v>
      </c>
      <c r="E1622" s="127"/>
    </row>
    <row r="1623" ht="15.75" customHeight="1">
      <c r="A1623" s="128" t="str">
        <f>IFERROR(__xludf.DUMMYFUNCTION("""COMPUTED_VALUE"""),"0777 592 969")</f>
        <v>0777 592 969</v>
      </c>
      <c r="B1623" s="127" t="str">
        <f>IFERROR(__xludf.DUMMYFUNCTION("""COMPUTED_VALUE"""),"Anh Việt")</f>
        <v>Anh Việt</v>
      </c>
      <c r="C1623" s="127" t="str">
        <f>IFERROR(__xludf.DUMMYFUNCTION("""COMPUTED_VALUE"""),"Hương Sơ")</f>
        <v>Hương Sơ</v>
      </c>
      <c r="D1623" s="127" t="str">
        <f>IFERROR(__xludf.DUMMYFUNCTION("""COMPUTED_VALUE"""),"Mèo")</f>
        <v>Mèo</v>
      </c>
      <c r="E1623" s="127"/>
    </row>
    <row r="1624" ht="15.75" customHeight="1">
      <c r="A1624" s="128" t="str">
        <f>IFERROR(__xludf.DUMMYFUNCTION("""COMPUTED_VALUE"""),"0338 448 175")</f>
        <v>0338 448 175</v>
      </c>
      <c r="B1624" s="127" t="str">
        <f>IFERROR(__xludf.DUMMYFUNCTION("""COMPUTED_VALUE"""),"Anh Cường")</f>
        <v>Anh Cường</v>
      </c>
      <c r="C1624" s="127" t="str">
        <f>IFERROR(__xludf.DUMMYFUNCTION("""COMPUTED_VALUE"""),"145 Phan Đình Phùng")</f>
        <v>145 Phan Đình Phùng</v>
      </c>
      <c r="D1624" s="127" t="str">
        <f>IFERROR(__xludf.DUMMYFUNCTION("""COMPUTED_VALUE"""),"Chó")</f>
        <v>Chó</v>
      </c>
      <c r="E1624" s="127" t="str">
        <f>IFERROR(__xludf.DUMMYFUNCTION("""COMPUTED_VALUE"""),"Bông")</f>
        <v>Bông</v>
      </c>
    </row>
    <row r="1625" ht="15.75" customHeight="1">
      <c r="A1625" s="128" t="str">
        <f>IFERROR(__xludf.DUMMYFUNCTION("""COMPUTED_VALUE"""),"0768 551 512")</f>
        <v>0768 551 512</v>
      </c>
      <c r="B1625" s="127" t="str">
        <f>IFERROR(__xludf.DUMMYFUNCTION("""COMPUTED_VALUE"""),"Anh Minh")</f>
        <v>Anh Minh</v>
      </c>
      <c r="C1625" s="127" t="str">
        <f>IFERROR(__xludf.DUMMYFUNCTION("""COMPUTED_VALUE"""),"180 Lý Nam Đế")</f>
        <v>180 Lý Nam Đế</v>
      </c>
      <c r="D1625" s="127" t="str">
        <f>IFERROR(__xludf.DUMMYFUNCTION("""COMPUTED_VALUE"""),"Chó")</f>
        <v>Chó</v>
      </c>
      <c r="E1625" s="127" t="str">
        <f>IFERROR(__xludf.DUMMYFUNCTION("""COMPUTED_VALUE"""),"Rai")</f>
        <v>Rai</v>
      </c>
    </row>
    <row r="1626" ht="15.75" customHeight="1">
      <c r="A1626" s="128" t="str">
        <f>IFERROR(__xludf.DUMMYFUNCTION("""COMPUTED_VALUE"""),"0788 614 763")</f>
        <v>0788 614 763</v>
      </c>
      <c r="B1626" s="127" t="str">
        <f>IFERROR(__xludf.DUMMYFUNCTION("""COMPUTED_VALUE"""),"Nguyễn Văn Khánh")</f>
        <v>Nguyễn Văn Khánh</v>
      </c>
      <c r="C1626" s="127" t="str">
        <f>IFERROR(__xludf.DUMMYFUNCTION("""COMPUTED_VALUE"""),"94 Tư Vinh, Thuận An")</f>
        <v>94 Tư Vinh, Thuận An</v>
      </c>
      <c r="D1626" s="127" t="str">
        <f>IFERROR(__xludf.DUMMYFUNCTION("""COMPUTED_VALUE"""),"chó")</f>
        <v>chó</v>
      </c>
      <c r="E1626" s="127" t="str">
        <f>IFERROR(__xludf.DUMMYFUNCTION("""COMPUTED_VALUE"""),"Gấu")</f>
        <v>Gấu</v>
      </c>
    </row>
    <row r="1627" ht="15.75" customHeight="1">
      <c r="A1627" s="128" t="str">
        <f>IFERROR(__xludf.DUMMYFUNCTION("""COMPUTED_VALUE"""),"0935 533 094")</f>
        <v>0935 533 094</v>
      </c>
      <c r="B1627" s="127" t="str">
        <f>IFERROR(__xludf.DUMMYFUNCTION("""COMPUTED_VALUE"""),"Chị Oanh")</f>
        <v>Chị Oanh</v>
      </c>
      <c r="C1627" s="127" t="str">
        <f>IFERROR(__xludf.DUMMYFUNCTION("""COMPUTED_VALUE"""),"245 Nguyễn Sinh Cung")</f>
        <v>245 Nguyễn Sinh Cung</v>
      </c>
      <c r="D1627" s="127" t="str">
        <f>IFERROR(__xludf.DUMMYFUNCTION("""COMPUTED_VALUE"""),"chó")</f>
        <v>chó</v>
      </c>
      <c r="E1627" s="127" t="str">
        <f>IFERROR(__xludf.DUMMYFUNCTION("""COMPUTED_VALUE"""),"Lucky")</f>
        <v>Lucky</v>
      </c>
    </row>
    <row r="1628" ht="15.75" customHeight="1">
      <c r="A1628" s="128" t="str">
        <f>IFERROR(__xludf.DUMMYFUNCTION("""COMPUTED_VALUE"""),"0911 345 257")</f>
        <v>0911 345 257</v>
      </c>
      <c r="B1628" s="127" t="str">
        <f>IFERROR(__xludf.DUMMYFUNCTION("""COMPUTED_VALUE"""),"Dì Lan")</f>
        <v>Dì Lan</v>
      </c>
      <c r="C1628" s="127" t="str">
        <f>IFERROR(__xludf.DUMMYFUNCTION("""COMPUTED_VALUE"""),"108 Trần Phú")</f>
        <v>108 Trần Phú</v>
      </c>
      <c r="D1628" s="127" t="str">
        <f>IFERROR(__xludf.DUMMYFUNCTION("""COMPUTED_VALUE"""),"mèo")</f>
        <v>mèo</v>
      </c>
      <c r="E1628" s="127" t="str">
        <f>IFERROR(__xludf.DUMMYFUNCTION("""COMPUTED_VALUE"""),"May")</f>
        <v>May</v>
      </c>
    </row>
    <row r="1629" ht="15.75" customHeight="1">
      <c r="A1629" s="128" t="str">
        <f>IFERROR(__xludf.DUMMYFUNCTION("""COMPUTED_VALUE"""),"0905 880 946")</f>
        <v>0905 880 946</v>
      </c>
      <c r="B1629" s="127" t="str">
        <f>IFERROR(__xludf.DUMMYFUNCTION("""COMPUTED_VALUE"""),"Chị Thuý")</f>
        <v>Chị Thuý</v>
      </c>
      <c r="C1629" s="127" t="str">
        <f>IFERROR(__xludf.DUMMYFUNCTION("""COMPUTED_VALUE"""),"Xuân Hoà")</f>
        <v>Xuân Hoà</v>
      </c>
      <c r="D1629" s="127" t="str">
        <f>IFERROR(__xludf.DUMMYFUNCTION("""COMPUTED_VALUE"""),"chó")</f>
        <v>chó</v>
      </c>
      <c r="E1629" s="127" t="str">
        <f>IFERROR(__xludf.DUMMYFUNCTION("""COMPUTED_VALUE"""),"Bi")</f>
        <v>Bi</v>
      </c>
    </row>
    <row r="1630" ht="15.75" customHeight="1">
      <c r="A1630" s="128" t="str">
        <f>IFERROR(__xludf.DUMMYFUNCTION("""COMPUTED_VALUE"""),"0359 280 276")</f>
        <v>0359 280 276</v>
      </c>
      <c r="B1630" s="127" t="str">
        <f>IFERROR(__xludf.DUMMYFUNCTION("""COMPUTED_VALUE"""),"Trần Hồ Anh Kiệt")</f>
        <v>Trần Hồ Anh Kiệt</v>
      </c>
      <c r="C1630" s="127" t="str">
        <f>IFERROR(__xludf.DUMMYFUNCTION("""COMPUTED_VALUE"""),"Phon Điền")</f>
        <v>Phon Điền</v>
      </c>
      <c r="D1630" s="127" t="str">
        <f>IFERROR(__xludf.DUMMYFUNCTION("""COMPUTED_VALUE"""),"mèo")</f>
        <v>mèo</v>
      </c>
      <c r="E1630" s="127" t="str">
        <f>IFERROR(__xludf.DUMMYFUNCTION("""COMPUTED_VALUE"""),"Bông")</f>
        <v>Bông</v>
      </c>
    </row>
    <row r="1631" ht="15.75" customHeight="1">
      <c r="A1631" s="128" t="str">
        <f>IFERROR(__xludf.DUMMYFUNCTION("""COMPUTED_VALUE"""),"0886 672 275")</f>
        <v>0886 672 275</v>
      </c>
      <c r="B1631" s="127" t="str">
        <f>IFERROR(__xludf.DUMMYFUNCTION("""COMPUTED_VALUE"""),"Chị Bình")</f>
        <v>Chị Bình</v>
      </c>
      <c r="C1631" s="127" t="str">
        <f>IFERROR(__xludf.DUMMYFUNCTION("""COMPUTED_VALUE"""),"106/11/7 Nguyễn Lộ Trạch")</f>
        <v>106/11/7 Nguyễn Lộ Trạch</v>
      </c>
      <c r="D1631" s="127" t="str">
        <f>IFERROR(__xludf.DUMMYFUNCTION("""COMPUTED_VALUE"""),"mèo")</f>
        <v>mèo</v>
      </c>
      <c r="E1631" s="127" t="str">
        <f>IFERROR(__xludf.DUMMYFUNCTION("""COMPUTED_VALUE"""),"audi")</f>
        <v>audi</v>
      </c>
    </row>
    <row r="1632" ht="15.75" customHeight="1">
      <c r="A1632" s="128" t="str">
        <f>IFERROR(__xludf.DUMMYFUNCTION("""COMPUTED_VALUE"""),"0706 048 229")</f>
        <v>0706 048 229</v>
      </c>
      <c r="B1632" s="127" t="str">
        <f>IFERROR(__xludf.DUMMYFUNCTION("""COMPUTED_VALUE"""),"A Long")</f>
        <v>A Long</v>
      </c>
      <c r="C1632" s="127" t="str">
        <f>IFERROR(__xludf.DUMMYFUNCTION("""COMPUTED_VALUE"""),"39/2 Hoàng Quốc Việt")</f>
        <v>39/2 Hoàng Quốc Việt</v>
      </c>
      <c r="D1632" s="127" t="str">
        <f>IFERROR(__xludf.DUMMYFUNCTION("""COMPUTED_VALUE"""),"Chó")</f>
        <v>Chó</v>
      </c>
      <c r="E1632" s="127" t="str">
        <f>IFERROR(__xludf.DUMMYFUNCTION("""COMPUTED_VALUE"""),"Muối")</f>
        <v>Muối</v>
      </c>
    </row>
    <row r="1633" ht="15.75" customHeight="1">
      <c r="A1633" s="128" t="str">
        <f>IFERROR(__xludf.DUMMYFUNCTION("""COMPUTED_VALUE"""),"0844 004 199")</f>
        <v>0844 004 199</v>
      </c>
      <c r="B1633" s="127" t="str">
        <f>IFERROR(__xludf.DUMMYFUNCTION("""COMPUTED_VALUE"""),"Trang")</f>
        <v>Trang</v>
      </c>
      <c r="C1633" s="127" t="str">
        <f>IFERROR(__xludf.DUMMYFUNCTION("""COMPUTED_VALUE"""),"15/43 Hoàng Quốc Việt")</f>
        <v>15/43 Hoàng Quốc Việt</v>
      </c>
      <c r="D1633" s="127" t="str">
        <f>IFERROR(__xludf.DUMMYFUNCTION("""COMPUTED_VALUE"""),"Mèo")</f>
        <v>Mèo</v>
      </c>
      <c r="E1633" s="127" t="str">
        <f>IFERROR(__xludf.DUMMYFUNCTION("""COMPUTED_VALUE"""),"Xám")</f>
        <v>Xám</v>
      </c>
    </row>
    <row r="1634" ht="15.75" customHeight="1">
      <c r="A1634" s="128" t="str">
        <f>IFERROR(__xludf.DUMMYFUNCTION("""COMPUTED_VALUE"""),"0367 183 880")</f>
        <v>0367 183 880</v>
      </c>
      <c r="B1634" s="127" t="str">
        <f>IFERROR(__xludf.DUMMYFUNCTION("""COMPUTED_VALUE"""),"Em Linh")</f>
        <v>Em Linh</v>
      </c>
      <c r="C1634" s="127" t="str">
        <f>IFERROR(__xludf.DUMMYFUNCTION("""COMPUTED_VALUE"""),"14/137 Trường Chinh")</f>
        <v>14/137 Trường Chinh</v>
      </c>
      <c r="D1634" s="127" t="str">
        <f>IFERROR(__xludf.DUMMYFUNCTION("""COMPUTED_VALUE"""),"mèo")</f>
        <v>mèo</v>
      </c>
      <c r="E1634" s="127" t="str">
        <f>IFERROR(__xludf.DUMMYFUNCTION("""COMPUTED_VALUE"""),"mi")</f>
        <v>mi</v>
      </c>
    </row>
    <row r="1635" ht="15.75" customHeight="1">
      <c r="A1635" s="128" t="str">
        <f>IFERROR(__xludf.DUMMYFUNCTION("""COMPUTED_VALUE"""),"0869 811 855")</f>
        <v>0869 811 855</v>
      </c>
      <c r="B1635" s="127" t="str">
        <f>IFERROR(__xludf.DUMMYFUNCTION("""COMPUTED_VALUE"""),"Anh Hải")</f>
        <v>Anh Hải</v>
      </c>
      <c r="C1635" s="127" t="str">
        <f>IFERROR(__xludf.DUMMYFUNCTION("""COMPUTED_VALUE"""),"15 Lương Văn Can")</f>
        <v>15 Lương Văn Can</v>
      </c>
      <c r="D1635" s="127" t="str">
        <f>IFERROR(__xludf.DUMMYFUNCTION("""COMPUTED_VALUE"""),"chó")</f>
        <v>chó</v>
      </c>
      <c r="E1635" s="127" t="str">
        <f>IFERROR(__xludf.DUMMYFUNCTION("""COMPUTED_VALUE""")," Misa")</f>
        <v> Misa</v>
      </c>
    </row>
    <row r="1636" ht="15.75" customHeight="1">
      <c r="A1636" s="128" t="str">
        <f>IFERROR(__xludf.DUMMYFUNCTION("""COMPUTED_VALUE"""),"0818 638 269")</f>
        <v>0818 638 269</v>
      </c>
      <c r="B1636" s="127" t="str">
        <f>IFERROR(__xludf.DUMMYFUNCTION("""COMPUTED_VALUE"""),"Em My")</f>
        <v>Em My</v>
      </c>
      <c r="C1636" s="127" t="str">
        <f>IFERROR(__xludf.DUMMYFUNCTION("""COMPUTED_VALUE"""),"28 Đặng Huy Trứ")</f>
        <v>28 Đặng Huy Trứ</v>
      </c>
      <c r="D1636" s="127" t="str">
        <f>IFERROR(__xludf.DUMMYFUNCTION("""COMPUTED_VALUE"""),"mèo")</f>
        <v>mèo</v>
      </c>
      <c r="E1636" s="127" t="str">
        <f>IFERROR(__xludf.DUMMYFUNCTION("""COMPUTED_VALUE""")," La")</f>
        <v> La</v>
      </c>
    </row>
    <row r="1637" ht="15.75" customHeight="1">
      <c r="A1637" s="128" t="str">
        <f>IFERROR(__xludf.DUMMYFUNCTION("""COMPUTED_VALUE"""),"0708 050 907")</f>
        <v>0708 050 907</v>
      </c>
      <c r="B1637" s="127" t="str">
        <f>IFERROR(__xludf.DUMMYFUNCTION("""COMPUTED_VALUE"""),"Anh quang")</f>
        <v>Anh quang</v>
      </c>
      <c r="C1637" s="127" t="str">
        <f>IFERROR(__xludf.DUMMYFUNCTION("""COMPUTED_VALUE"""),"Hương Chữ - Hương Trà")</f>
        <v>Hương Chữ - Hương Trà</v>
      </c>
      <c r="D1637" s="127" t="str">
        <f>IFERROR(__xludf.DUMMYFUNCTION("""COMPUTED_VALUE"""),"chó")</f>
        <v>chó</v>
      </c>
      <c r="E1637" s="127" t="str">
        <f>IFERROR(__xludf.DUMMYFUNCTION("""COMPUTED_VALUE"""),"Xù")</f>
        <v>Xù</v>
      </c>
    </row>
    <row r="1638" ht="15.75" customHeight="1">
      <c r="A1638" s="128" t="str">
        <f>IFERROR(__xludf.DUMMYFUNCTION("""COMPUTED_VALUE"""),"0335 685 730")</f>
        <v>0335 685 730</v>
      </c>
      <c r="B1638" s="127" t="str">
        <f>IFERROR(__xludf.DUMMYFUNCTION("""COMPUTED_VALUE"""),"Chị Phuong Thanh")</f>
        <v>Chị Phuong Thanh</v>
      </c>
      <c r="C1638" s="127" t="str">
        <f>IFERROR(__xludf.DUMMYFUNCTION("""COMPUTED_VALUE"""),"229 Phan Bội Châu")</f>
        <v>229 Phan Bội Châu</v>
      </c>
      <c r="D1638" s="127" t="str">
        <f>IFERROR(__xludf.DUMMYFUNCTION("""COMPUTED_VALUE"""),"chó")</f>
        <v>chó</v>
      </c>
      <c r="E1638" s="127" t="str">
        <f>IFERROR(__xludf.DUMMYFUNCTION("""COMPUTED_VALUE""")," Kem")</f>
        <v> Kem</v>
      </c>
    </row>
    <row r="1639" ht="15.75" customHeight="1">
      <c r="A1639" s="128" t="str">
        <f>IFERROR(__xludf.DUMMYFUNCTION("""COMPUTED_VALUE"""),"0363 476 087")</f>
        <v>0363 476 087</v>
      </c>
      <c r="B1639" s="127" t="str">
        <f>IFERROR(__xludf.DUMMYFUNCTION("""COMPUTED_VALUE"""),"Nhật Vân")</f>
        <v>Nhật Vân</v>
      </c>
      <c r="C1639" s="127" t="str">
        <f>IFERROR(__xludf.DUMMYFUNCTION("""COMPUTED_VALUE"""),"12/91/131 Trần Phú")</f>
        <v>12/91/131 Trần Phú</v>
      </c>
      <c r="D1639" s="127" t="str">
        <f>IFERROR(__xludf.DUMMYFUNCTION("""COMPUTED_VALUE"""),"mèo")</f>
        <v>mèo</v>
      </c>
      <c r="E1639" s="119" t="str">
        <f>IFERROR(__xludf.DUMMYFUNCTION("""COMPUTED_VALUE""")," Nai shi")</f>
        <v> Nai shi</v>
      </c>
    </row>
    <row r="1640" ht="15.75" customHeight="1">
      <c r="A1640" s="128" t="str">
        <f>IFERROR(__xludf.DUMMYFUNCTION("""COMPUTED_VALUE"""),"0825 234 225")</f>
        <v>0825 234 225</v>
      </c>
      <c r="B1640" s="127" t="str">
        <f>IFERROR(__xludf.DUMMYFUNCTION("""COMPUTED_VALUE"""),"Em Anh Linh")</f>
        <v>Em Anh Linh</v>
      </c>
      <c r="C1640" s="127" t="str">
        <f>IFERROR(__xludf.DUMMYFUNCTION("""COMPUTED_VALUE"""),"42 Nguyễn Khánh Toàn")</f>
        <v>42 Nguyễn Khánh Toàn</v>
      </c>
      <c r="D1640" s="127" t="str">
        <f>IFERROR(__xludf.DUMMYFUNCTION("""COMPUTED_VALUE"""),"mèo")</f>
        <v>mèo</v>
      </c>
      <c r="E1640" s="119" t="str">
        <f>IFERROR(__xludf.DUMMYFUNCTION("""COMPUTED_VALUE""")," Ngáo")</f>
        <v> Ngáo</v>
      </c>
    </row>
    <row r="1641" ht="15.75" customHeight="1">
      <c r="A1641" s="128" t="str">
        <f>IFERROR(__xludf.DUMMYFUNCTION("""COMPUTED_VALUE"""),"0766 596 884")</f>
        <v>0766 596 884</v>
      </c>
      <c r="B1641" s="127" t="str">
        <f>IFERROR(__xludf.DUMMYFUNCTION("""COMPUTED_VALUE"""),"Anh Lâm")</f>
        <v>Anh Lâm</v>
      </c>
      <c r="C1641" s="127" t="str">
        <f>IFERROR(__xludf.DUMMYFUNCTION("""COMPUTED_VALUE"""),"Phan đình phùng")</f>
        <v>Phan đình phùng</v>
      </c>
      <c r="D1641" s="127" t="str">
        <f>IFERROR(__xludf.DUMMYFUNCTION("""COMPUTED_VALUE"""),"chó")</f>
        <v>chó</v>
      </c>
      <c r="E1641" s="127" t="str">
        <f>IFERROR(__xludf.DUMMYFUNCTION("""COMPUTED_VALUE""")," Nai")</f>
        <v> Nai</v>
      </c>
    </row>
    <row r="1642" ht="15.75" customHeight="1">
      <c r="A1642" s="128" t="str">
        <f>IFERROR(__xludf.DUMMYFUNCTION("""COMPUTED_VALUE"""),"0855 225 699")</f>
        <v>0855 225 699</v>
      </c>
      <c r="B1642" s="127" t="str">
        <f>IFERROR(__xludf.DUMMYFUNCTION("""COMPUTED_VALUE"""),"Khánh Nghĩa")</f>
        <v>Khánh Nghĩa</v>
      </c>
      <c r="C1642" s="127" t="str">
        <f>IFERROR(__xludf.DUMMYFUNCTION("""COMPUTED_VALUE"""),"145 Điện Biên Phủ")</f>
        <v>145 Điện Biên Phủ</v>
      </c>
      <c r="D1642" s="127" t="str">
        <f>IFERROR(__xludf.DUMMYFUNCTION("""COMPUTED_VALUE"""),"mèo")</f>
        <v>mèo</v>
      </c>
      <c r="E1642" s="127" t="str">
        <f>IFERROR(__xludf.DUMMYFUNCTION("""COMPUTED_VALUE""")," Yelly")</f>
        <v> Yelly</v>
      </c>
    </row>
    <row r="1643" ht="15.75" customHeight="1">
      <c r="A1643" s="128" t="str">
        <f>IFERROR(__xludf.DUMMYFUNCTION("""COMPUTED_VALUE"""),"0935 288 655")</f>
        <v>0935 288 655</v>
      </c>
      <c r="B1643" s="127" t="str">
        <f>IFERROR(__xludf.DUMMYFUNCTION("""COMPUTED_VALUE"""),"Bác Ngọc Sáu")</f>
        <v>Bác Ngọc Sáu</v>
      </c>
      <c r="C1643" s="127" t="str">
        <f>IFERROR(__xludf.DUMMYFUNCTION("""COMPUTED_VALUE"""),"Phú Thượng")</f>
        <v>Phú Thượng</v>
      </c>
      <c r="D1643" s="127" t="str">
        <f>IFERROR(__xludf.DUMMYFUNCTION("""COMPUTED_VALUE"""),"chó")</f>
        <v>chó</v>
      </c>
      <c r="E1643" s="127" t="str">
        <f>IFERROR(__xludf.DUMMYFUNCTION("""COMPUTED_VALUE"""),"Xù")</f>
        <v>Xù</v>
      </c>
    </row>
    <row r="1644" ht="15.75" customHeight="1">
      <c r="A1644" s="128" t="str">
        <f>IFERROR(__xludf.DUMMYFUNCTION("""COMPUTED_VALUE"""),"0914 415 585")</f>
        <v>0914 415 585</v>
      </c>
      <c r="B1644" s="127" t="str">
        <f>IFERROR(__xludf.DUMMYFUNCTION("""COMPUTED_VALUE"""),"Chị Nhàng")</f>
        <v>Chị Nhàng</v>
      </c>
      <c r="C1644" s="127" t="str">
        <f>IFERROR(__xludf.DUMMYFUNCTION("""COMPUTED_VALUE"""),"Phú Thượng")</f>
        <v>Phú Thượng</v>
      </c>
      <c r="D1644" s="127" t="str">
        <f>IFERROR(__xludf.DUMMYFUNCTION("""COMPUTED_VALUE"""),"chó")</f>
        <v>chó</v>
      </c>
      <c r="E1644" s="127" t="str">
        <f>IFERROR(__xludf.DUMMYFUNCTION("""COMPUTED_VALUE"""),"Lucky")</f>
        <v>Lucky</v>
      </c>
    </row>
    <row r="1645" ht="15.75" customHeight="1">
      <c r="A1645" s="128" t="str">
        <f>IFERROR(__xludf.DUMMYFUNCTION("""COMPUTED_VALUE"""),"0914 313 818")</f>
        <v>0914 313 818</v>
      </c>
      <c r="B1645" s="127" t="str">
        <f>IFERROR(__xludf.DUMMYFUNCTION("""COMPUTED_VALUE"""),"Thu Hiền")</f>
        <v>Thu Hiền</v>
      </c>
      <c r="C1645" s="127" t="str">
        <f>IFERROR(__xludf.DUMMYFUNCTION("""COMPUTED_VALUE"""),"Phan Anh")</f>
        <v>Phan Anh</v>
      </c>
      <c r="D1645" s="127" t="str">
        <f>IFERROR(__xludf.DUMMYFUNCTION("""COMPUTED_VALUE"""),"Chó")</f>
        <v>Chó</v>
      </c>
      <c r="E1645" s="127"/>
    </row>
    <row r="1646" ht="15.75" customHeight="1">
      <c r="A1646" s="128" t="str">
        <f>IFERROR(__xludf.DUMMYFUNCTION("""COMPUTED_VALUE"""),"0934 735 336")</f>
        <v>0934 735 336</v>
      </c>
      <c r="B1646" s="127" t="str">
        <f>IFERROR(__xludf.DUMMYFUNCTION("""COMPUTED_VALUE"""),"Thầy Trí")</f>
        <v>Thầy Trí</v>
      </c>
      <c r="C1646" s="127" t="str">
        <f>IFERROR(__xludf.DUMMYFUNCTION("""COMPUTED_VALUE"""),"Chùa Nam Sơn")</f>
        <v>Chùa Nam Sơn</v>
      </c>
      <c r="D1646" s="127" t="str">
        <f>IFERROR(__xludf.DUMMYFUNCTION("""COMPUTED_VALUE"""),"Chó")</f>
        <v>Chó</v>
      </c>
      <c r="E1646" s="127" t="str">
        <f>IFERROR(__xludf.DUMMYFUNCTION("""COMPUTED_VALUE"""),"Lucky")</f>
        <v>Lucky</v>
      </c>
    </row>
    <row r="1647" ht="15.75" customHeight="1">
      <c r="A1647" s="128" t="str">
        <f>IFERROR(__xludf.DUMMYFUNCTION("""COMPUTED_VALUE"""),"0934 288 670")</f>
        <v>0934 288 670</v>
      </c>
      <c r="B1647" s="127" t="str">
        <f>IFERROR(__xludf.DUMMYFUNCTION("""COMPUTED_VALUE"""),"Chị Lan")</f>
        <v>Chị Lan</v>
      </c>
      <c r="C1647" s="127" t="str">
        <f>IFERROR(__xludf.DUMMYFUNCTION("""COMPUTED_VALUE"""),"142/1 Hoàng Quốc Việt")</f>
        <v>142/1 Hoàng Quốc Việt</v>
      </c>
      <c r="D1647" s="127" t="str">
        <f>IFERROR(__xludf.DUMMYFUNCTION("""COMPUTED_VALUE"""),"Mèo")</f>
        <v>Mèo</v>
      </c>
      <c r="E1647" s="127" t="str">
        <f>IFERROR(__xludf.DUMMYFUNCTION("""COMPUTED_VALUE"""),"Miu")</f>
        <v>Miu</v>
      </c>
    </row>
    <row r="1648" ht="15.75" customHeight="1">
      <c r="A1648" s="128" t="str">
        <f>IFERROR(__xludf.DUMMYFUNCTION("""COMPUTED_VALUE"""),"0916 841 900")</f>
        <v>0916 841 900</v>
      </c>
      <c r="B1648" s="127" t="str">
        <f>IFERROR(__xludf.DUMMYFUNCTION("""COMPUTED_VALUE"""),"Thư")</f>
        <v>Thư</v>
      </c>
      <c r="C1648" s="127" t="str">
        <f>IFERROR(__xludf.DUMMYFUNCTION("""COMPUTED_VALUE"""),"6/5/7 Nguyễn Công Trứ")</f>
        <v>6/5/7 Nguyễn Công Trứ</v>
      </c>
      <c r="D1648" s="127" t="str">
        <f>IFERROR(__xludf.DUMMYFUNCTION("""COMPUTED_VALUE"""),"mèo")</f>
        <v>mèo</v>
      </c>
      <c r="E1648" s="127" t="str">
        <f>IFERROR(__xludf.DUMMYFUNCTION("""COMPUTED_VALUE"""),"Mướp")</f>
        <v>Mướp</v>
      </c>
    </row>
    <row r="1649" ht="15.75" customHeight="1">
      <c r="A1649" s="128" t="str">
        <f>IFERROR(__xludf.DUMMYFUNCTION("""COMPUTED_VALUE"""),"0708 131 742")</f>
        <v>0708 131 742</v>
      </c>
      <c r="B1649" s="127" t="str">
        <f>IFERROR(__xludf.DUMMYFUNCTION("""COMPUTED_VALUE"""),"Hồ Quang Nhật")</f>
        <v>Hồ Quang Nhật</v>
      </c>
      <c r="C1649" s="127" t="str">
        <f>IFERROR(__xludf.DUMMYFUNCTION("""COMPUTED_VALUE"""),"89 Lê Viết Lượng")</f>
        <v>89 Lê Viết Lượng</v>
      </c>
      <c r="D1649" s="127" t="str">
        <f>IFERROR(__xludf.DUMMYFUNCTION("""COMPUTED_VALUE"""),"Chó")</f>
        <v>Chó</v>
      </c>
      <c r="E1649" s="127"/>
    </row>
    <row r="1650" ht="15.75" customHeight="1">
      <c r="A1650" s="128" t="str">
        <f>IFERROR(__xludf.DUMMYFUNCTION("""COMPUTED_VALUE"""),"0896 236 107")</f>
        <v>0896 236 107</v>
      </c>
      <c r="B1650" s="127" t="str">
        <f>IFERROR(__xludf.DUMMYFUNCTION("""COMPUTED_VALUE"""),"Khánh Huyền")</f>
        <v>Khánh Huyền</v>
      </c>
      <c r="C1650" s="127" t="str">
        <f>IFERROR(__xludf.DUMMYFUNCTION("""COMPUTED_VALUE"""),"8/38 Hồ Đắc Di")</f>
        <v>8/38 Hồ Đắc Di</v>
      </c>
      <c r="D1650" s="127" t="str">
        <f>IFERROR(__xludf.DUMMYFUNCTION("""COMPUTED_VALUE"""),"Mèo")</f>
        <v>Mèo</v>
      </c>
      <c r="E1650" s="127" t="str">
        <f>IFERROR(__xludf.DUMMYFUNCTION("""COMPUTED_VALUE"""),"Mịch")</f>
        <v>Mịch</v>
      </c>
    </row>
    <row r="1651" ht="15.75" customHeight="1">
      <c r="A1651" s="128" t="str">
        <f>IFERROR(__xludf.DUMMYFUNCTION("""COMPUTED_VALUE"""),"0335 903 225")</f>
        <v>0335 903 225</v>
      </c>
      <c r="B1651" s="127" t="str">
        <f>IFERROR(__xludf.DUMMYFUNCTION("""COMPUTED_VALUE"""),"Cô Liên")</f>
        <v>Cô Liên</v>
      </c>
      <c r="C1651" s="127" t="str">
        <f>IFERROR(__xludf.DUMMYFUNCTION("""COMPUTED_VALUE"""),"79 Phan Anh")</f>
        <v>79 Phan Anh</v>
      </c>
      <c r="D1651" s="127" t="str">
        <f>IFERROR(__xludf.DUMMYFUNCTION("""COMPUTED_VALUE"""),"mèo")</f>
        <v>mèo</v>
      </c>
      <c r="E1651" s="127"/>
    </row>
    <row r="1652" ht="15.75" customHeight="1">
      <c r="A1652" s="128" t="str">
        <f>IFERROR(__xludf.DUMMYFUNCTION("""COMPUTED_VALUE"""),"0778 763 974")</f>
        <v>0778 763 974</v>
      </c>
      <c r="B1652" s="127" t="str">
        <f>IFERROR(__xludf.DUMMYFUNCTION("""COMPUTED_VALUE"""),"Hoài Tâm")</f>
        <v>Hoài Tâm</v>
      </c>
      <c r="C1652" s="127" t="str">
        <f>IFERROR(__xludf.DUMMYFUNCTION("""COMPUTED_VALUE"""),"vc8 Tôn Thât bật")</f>
        <v>vc8 Tôn Thât bật</v>
      </c>
      <c r="D1652" s="127" t="str">
        <f>IFERROR(__xludf.DUMMYFUNCTION("""COMPUTED_VALUE"""),"Chó")</f>
        <v>Chó</v>
      </c>
      <c r="E1652" s="127" t="str">
        <f>IFERROR(__xludf.DUMMYFUNCTION("""COMPUTED_VALUE"""),"Bơ")</f>
        <v>Bơ</v>
      </c>
    </row>
    <row r="1653" ht="15.75" customHeight="1">
      <c r="A1653" s="128" t="str">
        <f>IFERROR(__xludf.DUMMYFUNCTION("""COMPUTED_VALUE"""),"0946 879 197")</f>
        <v>0946 879 197</v>
      </c>
      <c r="B1653" s="133" t="str">
        <f>IFERROR(__xludf.DUMMYFUNCTION("""COMPUTED_VALUE"""),"anh Thạch")</f>
        <v>anh Thạch</v>
      </c>
      <c r="C1653" s="127" t="str">
        <f>IFERROR(__xludf.DUMMYFUNCTION("""COMPUTED_VALUE"""),"218 Phan Bội Châu")</f>
        <v>218 Phan Bội Châu</v>
      </c>
      <c r="D1653" s="127" t="str">
        <f>IFERROR(__xludf.DUMMYFUNCTION("""COMPUTED_VALUE"""),"mèo")</f>
        <v>mèo</v>
      </c>
      <c r="E1653" s="127" t="str">
        <f>IFERROR(__xludf.DUMMYFUNCTION("""COMPUTED_VALUE"""),"miu ")</f>
        <v>miu </v>
      </c>
    </row>
    <row r="1654" ht="15.75" customHeight="1">
      <c r="A1654" s="128" t="str">
        <f>IFERROR(__xludf.DUMMYFUNCTION("""COMPUTED_VALUE"""),"0768 552 175")</f>
        <v>0768 552 175</v>
      </c>
      <c r="B1654" s="127" t="str">
        <f>IFERROR(__xludf.DUMMYFUNCTION("""COMPUTED_VALUE"""),"Chị Uyên")</f>
        <v>Chị Uyên</v>
      </c>
      <c r="C1654" s="127" t="str">
        <f>IFERROR(__xludf.DUMMYFUNCTION("""COMPUTED_VALUE"""),"63 Tùng Thiện Vương")</f>
        <v>63 Tùng Thiện Vương</v>
      </c>
      <c r="D1654" s="127" t="str">
        <f>IFERROR(__xludf.DUMMYFUNCTION("""COMPUTED_VALUE"""),"chó")</f>
        <v>chó</v>
      </c>
      <c r="E1654" s="127" t="str">
        <f>IFERROR(__xludf.DUMMYFUNCTION("""COMPUTED_VALUE"""),"Ken")</f>
        <v>Ken</v>
      </c>
    </row>
    <row r="1655" ht="15.75" customHeight="1">
      <c r="A1655" s="128" t="str">
        <f>IFERROR(__xludf.DUMMYFUNCTION("""COMPUTED_VALUE"""),"0878 397 852")</f>
        <v>0878 397 852</v>
      </c>
      <c r="B1655" s="127" t="str">
        <f>IFERROR(__xludf.DUMMYFUNCTION("""COMPUTED_VALUE"""),"Chị Thảo")</f>
        <v>Chị Thảo</v>
      </c>
      <c r="C1655" s="127" t="str">
        <f>IFERROR(__xludf.DUMMYFUNCTION("""COMPUTED_VALUE"""),"Nguyễn Phúc Lan")</f>
        <v>Nguyễn Phúc Lan</v>
      </c>
      <c r="D1655" s="127" t="str">
        <f>IFERROR(__xludf.DUMMYFUNCTION("""COMPUTED_VALUE"""),"Mèo")</f>
        <v>Mèo</v>
      </c>
      <c r="E1655" s="127"/>
    </row>
    <row r="1656" ht="15.75" customHeight="1">
      <c r="A1656" s="128" t="str">
        <f>IFERROR(__xludf.DUMMYFUNCTION("""COMPUTED_VALUE"""),"0914 489 800")</f>
        <v>0914 489 800</v>
      </c>
      <c r="B1656" s="127" t="str">
        <f>IFERROR(__xludf.DUMMYFUNCTION("""COMPUTED_VALUE"""),"Chị Diên")</f>
        <v>Chị Diên</v>
      </c>
      <c r="C1656" s="127" t="str">
        <f>IFERROR(__xludf.DUMMYFUNCTION("""COMPUTED_VALUE"""),"111 Hàn Mặc Tử")</f>
        <v>111 Hàn Mặc Tử</v>
      </c>
      <c r="D1656" s="127" t="str">
        <f>IFERROR(__xludf.DUMMYFUNCTION("""COMPUTED_VALUE"""),"chó")</f>
        <v>chó</v>
      </c>
      <c r="E1656" s="127" t="str">
        <f>IFERROR(__xludf.DUMMYFUNCTION("""COMPUTED_VALUE"""),"Sữa")</f>
        <v>Sữa</v>
      </c>
    </row>
    <row r="1657" ht="15.75" customHeight="1">
      <c r="A1657" s="128" t="str">
        <f>IFERROR(__xludf.DUMMYFUNCTION("""COMPUTED_VALUE"""),"0932 428 696")</f>
        <v>0932 428 696</v>
      </c>
      <c r="B1657" s="127" t="str">
        <f>IFERROR(__xludf.DUMMYFUNCTION("""COMPUTED_VALUE"""),"chị Quỳnh ")</f>
        <v>chị Quỳnh </v>
      </c>
      <c r="C1657" s="127" t="str">
        <f>IFERROR(__xludf.DUMMYFUNCTION("""COMPUTED_VALUE"""),"7/65 k93 Đặng Huy Trứ")</f>
        <v>7/65 k93 Đặng Huy Trứ</v>
      </c>
      <c r="D1657" s="127" t="str">
        <f>IFERROR(__xludf.DUMMYFUNCTION("""COMPUTED_VALUE"""),"chó ")</f>
        <v>chó </v>
      </c>
      <c r="E1657" s="127" t="str">
        <f>IFERROR(__xludf.DUMMYFUNCTION("""COMPUTED_VALUE"""),"mon ")</f>
        <v>mon </v>
      </c>
    </row>
    <row r="1658" ht="15.75" customHeight="1">
      <c r="A1658" s="128" t="str">
        <f>IFERROR(__xludf.DUMMYFUNCTION("""COMPUTED_VALUE"""),"0342 056 852")</f>
        <v>0342 056 852</v>
      </c>
      <c r="B1658" s="127" t="str">
        <f>IFERROR(__xludf.DUMMYFUNCTION("""COMPUTED_VALUE"""),"Chị Tường Vy")</f>
        <v>Chị Tường Vy</v>
      </c>
      <c r="C1658" s="127" t="str">
        <f>IFERROR(__xludf.DUMMYFUNCTION("""COMPUTED_VALUE"""),"Kiệt 40 Nguyễn Phúc NGuyên")</f>
        <v>Kiệt 40 Nguyễn Phúc NGuyên</v>
      </c>
      <c r="D1658" s="127" t="str">
        <f>IFERROR(__xludf.DUMMYFUNCTION("""COMPUTED_VALUE"""),"Mèo")</f>
        <v>Mèo</v>
      </c>
      <c r="E1658" s="127" t="str">
        <f>IFERROR(__xludf.DUMMYFUNCTION("""COMPUTED_VALUE"""),"Bơ")</f>
        <v>Bơ</v>
      </c>
    </row>
    <row r="1659" ht="15.75" customHeight="1">
      <c r="A1659" s="128" t="str">
        <f>IFERROR(__xludf.DUMMYFUNCTION("""COMPUTED_VALUE"""),"0915 972 084")</f>
        <v>0915 972 084</v>
      </c>
      <c r="B1659" s="127" t="str">
        <f>IFERROR(__xludf.DUMMYFUNCTION("""COMPUTED_VALUE"""),"Em Khánh Linh")</f>
        <v>Em Khánh Linh</v>
      </c>
      <c r="C1659" s="127" t="str">
        <f>IFERROR(__xludf.DUMMYFUNCTION("""COMPUTED_VALUE"""),"12/10/3 VẠn Xuân")</f>
        <v>12/10/3 VẠn Xuân</v>
      </c>
      <c r="D1659" s="127" t="str">
        <f>IFERROR(__xludf.DUMMYFUNCTION("""COMPUTED_VALUE"""),"Chó")</f>
        <v>Chó</v>
      </c>
      <c r="E1659" s="127" t="str">
        <f>IFERROR(__xludf.DUMMYFUNCTION("""COMPUTED_VALUE"""),"Bom")</f>
        <v>Bom</v>
      </c>
    </row>
    <row r="1660" ht="15.75" customHeight="1">
      <c r="A1660" s="128" t="str">
        <f>IFERROR(__xludf.DUMMYFUNCTION("""COMPUTED_VALUE"""),"0936 756 585")</f>
        <v>0936 756 585</v>
      </c>
      <c r="B1660" s="127" t="str">
        <f>IFERROR(__xludf.DUMMYFUNCTION("""COMPUTED_VALUE"""),"Anh Minh")</f>
        <v>Anh Minh</v>
      </c>
      <c r="C1660" s="127" t="str">
        <f>IFERROR(__xludf.DUMMYFUNCTION("""COMPUTED_VALUE"""),"44 Nguyễn Phúc Nguyên")</f>
        <v>44 Nguyễn Phúc Nguyên</v>
      </c>
      <c r="D1660" s="127" t="str">
        <f>IFERROR(__xludf.DUMMYFUNCTION("""COMPUTED_VALUE"""),"Chó")</f>
        <v>Chó</v>
      </c>
      <c r="E1660" s="127" t="str">
        <f>IFERROR(__xludf.DUMMYFUNCTION("""COMPUTED_VALUE"""),"Bi")</f>
        <v>Bi</v>
      </c>
    </row>
    <row r="1661" ht="15.75" customHeight="1">
      <c r="A1661" s="128" t="str">
        <f>IFERROR(__xludf.DUMMYFUNCTION("""COMPUTED_VALUE"""),"0782 275 496")</f>
        <v>0782 275 496</v>
      </c>
      <c r="B1661" s="127" t="str">
        <f>IFERROR(__xludf.DUMMYFUNCTION("""COMPUTED_VALUE"""),"Anh Nguyễn Hoài ")</f>
        <v>Anh Nguyễn Hoài </v>
      </c>
      <c r="C1661" s="127" t="str">
        <f>IFERROR(__xludf.DUMMYFUNCTION("""COMPUTED_VALUE"""),"3 Ngõ 14 Kiệt 16 Đoàn Hữu Trưng")</f>
        <v>3 Ngõ 14 Kiệt 16 Đoàn Hữu Trưng</v>
      </c>
      <c r="D1661" s="127" t="str">
        <f>IFERROR(__xludf.DUMMYFUNCTION("""COMPUTED_VALUE"""),"Mèo")</f>
        <v>Mèo</v>
      </c>
      <c r="E1661" s="127" t="str">
        <f>IFERROR(__xludf.DUMMYFUNCTION("""COMPUTED_VALUE"""),"Vàng")</f>
        <v>Vàng</v>
      </c>
    </row>
    <row r="1662" ht="15.75" customHeight="1">
      <c r="A1662" s="128" t="str">
        <f>IFERROR(__xludf.DUMMYFUNCTION("""COMPUTED_VALUE"""),"0766 662 824")</f>
        <v>0766 662 824</v>
      </c>
      <c r="B1662" s="127" t="str">
        <f>IFERROR(__xludf.DUMMYFUNCTION("""COMPUTED_VALUE"""),"Chị Xuân Anh")</f>
        <v>Chị Xuân Anh</v>
      </c>
      <c r="C1662" s="127" t="str">
        <f>IFERROR(__xludf.DUMMYFUNCTION("""COMPUTED_VALUE"""),"252 Phan Chu Trinh")</f>
        <v>252 Phan Chu Trinh</v>
      </c>
      <c r="D1662" s="127" t="str">
        <f>IFERROR(__xludf.DUMMYFUNCTION("""COMPUTED_VALUE"""),"Chó")</f>
        <v>Chó</v>
      </c>
      <c r="E1662" s="127" t="str">
        <f>IFERROR(__xludf.DUMMYFUNCTION("""COMPUTED_VALUE"""),"Ka")</f>
        <v>Ka</v>
      </c>
    </row>
    <row r="1663" ht="15.75" customHeight="1">
      <c r="A1663" s="128" t="str">
        <f>IFERROR(__xludf.DUMMYFUNCTION("""COMPUTED_VALUE"""),"0785 164 622")</f>
        <v>0785 164 622</v>
      </c>
      <c r="B1663" s="127" t="str">
        <f>IFERROR(__xludf.DUMMYFUNCTION("""COMPUTED_VALUE"""),"HOàng Anh")</f>
        <v>HOàng Anh</v>
      </c>
      <c r="C1663" s="127" t="str">
        <f>IFERROR(__xludf.DUMMYFUNCTION("""COMPUTED_VALUE"""),"20/57 Phạm ĐÌnh Hổ")</f>
        <v>20/57 Phạm ĐÌnh Hổ</v>
      </c>
      <c r="D1663" s="127" t="str">
        <f>IFERROR(__xludf.DUMMYFUNCTION("""COMPUTED_VALUE"""),"Mèo")</f>
        <v>Mèo</v>
      </c>
      <c r="E1663" s="127" t="str">
        <f>IFERROR(__xludf.DUMMYFUNCTION("""COMPUTED_VALUE"""),"Chó")</f>
        <v>Chó</v>
      </c>
    </row>
    <row r="1664" ht="15.75" customHeight="1">
      <c r="A1664" s="128" t="str">
        <f>IFERROR(__xludf.DUMMYFUNCTION("""COMPUTED_VALUE"""),"0353 231 372")</f>
        <v>0353 231 372</v>
      </c>
      <c r="B1664" s="127" t="str">
        <f>IFERROR(__xludf.DUMMYFUNCTION("""COMPUTED_VALUE"""),"Lê Thị Minh TRang")</f>
        <v>Lê Thị Minh TRang</v>
      </c>
      <c r="C1664" s="127" t="str">
        <f>IFERROR(__xludf.DUMMYFUNCTION("""COMPUTED_VALUE"""),"116 Lý NAm Đế")</f>
        <v>116 Lý NAm Đế</v>
      </c>
      <c r="D1664" s="127" t="str">
        <f>IFERROR(__xludf.DUMMYFUNCTION("""COMPUTED_VALUE"""),"Chó")</f>
        <v>Chó</v>
      </c>
      <c r="E1664" s="127" t="str">
        <f>IFERROR(__xludf.DUMMYFUNCTION("""COMPUTED_VALUE"""),"Bơ")</f>
        <v>Bơ</v>
      </c>
    </row>
    <row r="1665" ht="15.75" customHeight="1">
      <c r="A1665" s="128"/>
      <c r="B1665" s="127" t="str">
        <f>IFERROR(__xludf.DUMMYFUNCTION("""COMPUTED_VALUE"""),"Hoàng Hữu Mỹ")</f>
        <v>Hoàng Hữu Mỹ</v>
      </c>
      <c r="C1665" s="127" t="str">
        <f>IFERROR(__xludf.DUMMYFUNCTION("""COMPUTED_VALUE"""),"88 Kim Long")</f>
        <v>88 Kim Long</v>
      </c>
      <c r="D1665" s="127" t="str">
        <f>IFERROR(__xludf.DUMMYFUNCTION("""COMPUTED_VALUE"""),"Chó")</f>
        <v>Chó</v>
      </c>
      <c r="E1665" s="127" t="str">
        <f>IFERROR(__xludf.DUMMYFUNCTION("""COMPUTED_VALUE"""),"Milo")</f>
        <v>Milo</v>
      </c>
    </row>
    <row r="1666" ht="15.75" customHeight="1">
      <c r="A1666" s="128" t="str">
        <f>IFERROR(__xludf.DUMMYFUNCTION("""COMPUTED_VALUE"""),"0868 573 531")</f>
        <v>0868 573 531</v>
      </c>
      <c r="B1666" s="127" t="str">
        <f>IFERROR(__xludf.DUMMYFUNCTION("""COMPUTED_VALUE"""),"Anh Trí")</f>
        <v>Anh Trí</v>
      </c>
      <c r="C1666" s="127" t="str">
        <f>IFERROR(__xludf.DUMMYFUNCTION("""COMPUTED_VALUE"""),"12 Mai KHắc Đôn")</f>
        <v>12 Mai KHắc Đôn</v>
      </c>
      <c r="D1666" s="127" t="str">
        <f>IFERROR(__xludf.DUMMYFUNCTION("""COMPUTED_VALUE"""),"Chó")</f>
        <v>Chó</v>
      </c>
      <c r="E1666" s="127" t="str">
        <f>IFERROR(__xludf.DUMMYFUNCTION("""COMPUTED_VALUE"""),"Nâu")</f>
        <v>Nâu</v>
      </c>
    </row>
    <row r="1667" ht="15.75" customHeight="1">
      <c r="A1667" s="128" t="str">
        <f>IFERROR(__xludf.DUMMYFUNCTION("""COMPUTED_VALUE"""),"0777 940 431")</f>
        <v>0777 940 431</v>
      </c>
      <c r="B1667" s="127" t="str">
        <f>IFERROR(__xludf.DUMMYFUNCTION("""COMPUTED_VALUE"""),"Chị Hoài")</f>
        <v>Chị Hoài</v>
      </c>
      <c r="C1667" s="127" t="str">
        <f>IFERROR(__xludf.DUMMYFUNCTION("""COMPUTED_VALUE"""),"180/17 Lý Hưng Đế")</f>
        <v>180/17 Lý Hưng Đế</v>
      </c>
      <c r="D1667" s="127" t="str">
        <f>IFERROR(__xludf.DUMMYFUNCTION("""COMPUTED_VALUE"""),"Mèo")</f>
        <v>Mèo</v>
      </c>
      <c r="E1667" s="127" t="str">
        <f>IFERROR(__xludf.DUMMYFUNCTION("""COMPUTED_VALUE"""),"Miu")</f>
        <v>Miu</v>
      </c>
    </row>
    <row r="1668" ht="15.75" customHeight="1">
      <c r="A1668" s="128" t="str">
        <f>IFERROR(__xludf.DUMMYFUNCTION("""COMPUTED_VALUE"""),"0328 718 344")</f>
        <v>0328 718 344</v>
      </c>
      <c r="B1668" s="127" t="str">
        <f>IFERROR(__xludf.DUMMYFUNCTION("""COMPUTED_VALUE"""),"Em Mai Quỳnh")</f>
        <v>Em Mai Quỳnh</v>
      </c>
      <c r="C1668" s="127" t="str">
        <f>IFERROR(__xludf.DUMMYFUNCTION("""COMPUTED_VALUE"""),"22/30 Phú Mộng")</f>
        <v>22/30 Phú Mộng</v>
      </c>
      <c r="D1668" s="127" t="str">
        <f>IFERROR(__xludf.DUMMYFUNCTION("""COMPUTED_VALUE"""),"Chó")</f>
        <v>Chó</v>
      </c>
      <c r="E1668" s="127" t="str">
        <f>IFERROR(__xludf.DUMMYFUNCTION("""COMPUTED_VALUE"""),"Luýt")</f>
        <v>Luýt</v>
      </c>
    </row>
    <row r="1669" ht="15.75" customHeight="1">
      <c r="A1669" s="128" t="str">
        <f>IFERROR(__xludf.DUMMYFUNCTION("""COMPUTED_VALUE"""),"0706  212 621")</f>
        <v>0706  212 621</v>
      </c>
      <c r="B1669" s="127" t="str">
        <f>IFERROR(__xludf.DUMMYFUNCTION("""COMPUTED_VALUE"""),"Anh Hưng")</f>
        <v>Anh Hưng</v>
      </c>
      <c r="C1669" s="127" t="str">
        <f>IFERROR(__xludf.DUMMYFUNCTION("""COMPUTED_VALUE"""),"21 Tống Duy Tân")</f>
        <v>21 Tống Duy Tân</v>
      </c>
      <c r="D1669" s="127" t="str">
        <f>IFERROR(__xludf.DUMMYFUNCTION("""COMPUTED_VALUE"""),"Mèo")</f>
        <v>Mèo</v>
      </c>
      <c r="E1669" s="127" t="str">
        <f>IFERROR(__xludf.DUMMYFUNCTION("""COMPUTED_VALUE"""),"Sa")</f>
        <v>Sa</v>
      </c>
    </row>
    <row r="1670" ht="15.75" customHeight="1">
      <c r="A1670" s="128" t="str">
        <f>IFERROR(__xludf.DUMMYFUNCTION("""COMPUTED_VALUE"""),"0914 292 444")</f>
        <v>0914 292 444</v>
      </c>
      <c r="B1670" s="127" t="str">
        <f>IFERROR(__xludf.DUMMYFUNCTION("""COMPUTED_VALUE"""),"Anh Hồ Thanh Quang")</f>
        <v>Anh Hồ Thanh Quang</v>
      </c>
      <c r="C1670" s="127" t="str">
        <f>IFERROR(__xludf.DUMMYFUNCTION("""COMPUTED_VALUE"""),"19/69 Phạm Thị Liên")</f>
        <v>19/69 Phạm Thị Liên</v>
      </c>
      <c r="D1670" s="127" t="str">
        <f>IFERROR(__xludf.DUMMYFUNCTION("""COMPUTED_VALUE"""),"mèo")</f>
        <v>mèo</v>
      </c>
      <c r="E1670" s="127" t="str">
        <f>IFERROR(__xludf.DUMMYFUNCTION("""COMPUTED_VALUE"""),"mèo trắng")</f>
        <v>mèo trắng</v>
      </c>
    </row>
    <row r="1671" ht="15.75" customHeight="1">
      <c r="A1671" s="128" t="str">
        <f>IFERROR(__xludf.DUMMYFUNCTION("""COMPUTED_VALUE"""),"0369 841 390")</f>
        <v>0369 841 390</v>
      </c>
      <c r="B1671" s="127" t="str">
        <f>IFERROR(__xludf.DUMMYFUNCTION("""COMPUTED_VALUE"""),"Long (sv)")</f>
        <v>Long (sv)</v>
      </c>
      <c r="C1671" s="127" t="str">
        <f>IFERROR(__xludf.DUMMYFUNCTION("""COMPUTED_VALUE"""),"kiệt 97 Lựu Bảo")</f>
        <v>kiệt 97 Lựu Bảo</v>
      </c>
      <c r="D1671" s="127" t="str">
        <f>IFERROR(__xludf.DUMMYFUNCTION("""COMPUTED_VALUE"""),"Chó")</f>
        <v>Chó</v>
      </c>
      <c r="E1671" s="127" t="str">
        <f>IFERROR(__xludf.DUMMYFUNCTION("""COMPUTED_VALUE"""),"Rocky")</f>
        <v>Rocky</v>
      </c>
    </row>
    <row r="1672" ht="15.75" customHeight="1">
      <c r="A1672" s="128" t="str">
        <f>IFERROR(__xludf.DUMMYFUNCTION("""COMPUTED_VALUE"""),"0969 337 415")</f>
        <v>0969 337 415</v>
      </c>
      <c r="B1672" s="127" t="str">
        <f>IFERROR(__xludf.DUMMYFUNCTION("""COMPUTED_VALUE"""),"Em Tài")</f>
        <v>Em Tài</v>
      </c>
      <c r="C1672" s="127" t="str">
        <f>IFERROR(__xludf.DUMMYFUNCTION("""COMPUTED_VALUE"""),"215/34 Lê Quang Quyền")</f>
        <v>215/34 Lê Quang Quyền</v>
      </c>
      <c r="D1672" s="127" t="str">
        <f>IFERROR(__xludf.DUMMYFUNCTION("""COMPUTED_VALUE"""),"Mèo")</f>
        <v>Mèo</v>
      </c>
      <c r="E1672" s="127" t="str">
        <f>IFERROR(__xludf.DUMMYFUNCTION("""COMPUTED_VALUE"""),"Gạo")</f>
        <v>Gạo</v>
      </c>
    </row>
    <row r="1673" ht="15.75" customHeight="1">
      <c r="A1673" s="128" t="str">
        <f>IFERROR(__xludf.DUMMYFUNCTION("""COMPUTED_VALUE"""),"0372 235 700")</f>
        <v>0372 235 700</v>
      </c>
      <c r="B1673" s="133" t="str">
        <f>IFERROR(__xludf.DUMMYFUNCTION("""COMPUTED_VALUE"""),"anh Huy")</f>
        <v>anh Huy</v>
      </c>
      <c r="C1673" s="127" t="str">
        <f>IFERROR(__xludf.DUMMYFUNCTION("""COMPUTED_VALUE"""),"An Vân Hương An")</f>
        <v>An Vân Hương An</v>
      </c>
      <c r="D1673" s="127" t="str">
        <f>IFERROR(__xludf.DUMMYFUNCTION("""COMPUTED_VALUE"""),"Chó")</f>
        <v>Chó</v>
      </c>
      <c r="E1673" s="127"/>
    </row>
    <row r="1674" ht="15.75" customHeight="1">
      <c r="A1674" s="128" t="str">
        <f>IFERROR(__xludf.DUMMYFUNCTION("""COMPUTED_VALUE"""),"0932 580 943")</f>
        <v>0932 580 943</v>
      </c>
      <c r="B1674" s="127" t="str">
        <f>IFERROR(__xludf.DUMMYFUNCTION("""COMPUTED_VALUE"""),"Em Quỳnh Châu")</f>
        <v>Em Quỳnh Châu</v>
      </c>
      <c r="C1674" s="127" t="str">
        <f>IFERROR(__xludf.DUMMYFUNCTION("""COMPUTED_VALUE"""),"27/1 Lê Tư Thành, Sịa")</f>
        <v>27/1 Lê Tư Thành, Sịa</v>
      </c>
      <c r="D1674" s="127" t="str">
        <f>IFERROR(__xludf.DUMMYFUNCTION("""COMPUTED_VALUE"""),"Chó")</f>
        <v>Chó</v>
      </c>
      <c r="E1674" s="127"/>
    </row>
    <row r="1675" ht="15.75" customHeight="1">
      <c r="A1675" s="128" t="str">
        <f>IFERROR(__xludf.DUMMYFUNCTION("""COMPUTED_VALUE"""),"0961 246 614")</f>
        <v>0961 246 614</v>
      </c>
      <c r="B1675" s="127" t="str">
        <f>IFERROR(__xludf.DUMMYFUNCTION("""COMPUTED_VALUE"""),"Alexander haf (Dessania husband)")</f>
        <v>Alexander haf (Dessania husband)</v>
      </c>
      <c r="C1675" s="127" t="str">
        <f>IFERROR(__xludf.DUMMYFUNCTION("""COMPUTED_VALUE"""),"Thủy Vân")</f>
        <v>Thủy Vân</v>
      </c>
      <c r="D1675" s="127" t="str">
        <f>IFERROR(__xludf.DUMMYFUNCTION("""COMPUTED_VALUE"""),"Chó")</f>
        <v>Chó</v>
      </c>
      <c r="E1675" s="127" t="str">
        <f>IFERROR(__xludf.DUMMYFUNCTION("""COMPUTED_VALUE"""),"Bella")</f>
        <v>Bella</v>
      </c>
    </row>
    <row r="1676" ht="15.75" customHeight="1">
      <c r="A1676" s="128" t="str">
        <f>IFERROR(__xludf.DUMMYFUNCTION("""COMPUTED_VALUE"""),"0865 670 785")</f>
        <v>0865 670 785</v>
      </c>
      <c r="B1676" s="127" t="str">
        <f>IFERROR(__xludf.DUMMYFUNCTION("""COMPUTED_VALUE"""),"Anh Phương")</f>
        <v>Anh Phương</v>
      </c>
      <c r="C1676" s="127" t="str">
        <f>IFERROR(__xludf.DUMMYFUNCTION("""COMPUTED_VALUE"""),"20 Nguyễn Phúc Lan")</f>
        <v>20 Nguyễn Phúc Lan</v>
      </c>
      <c r="D1676" s="127" t="str">
        <f>IFERROR(__xludf.DUMMYFUNCTION("""COMPUTED_VALUE"""),"Chó")</f>
        <v>Chó</v>
      </c>
      <c r="E1676" s="127" t="str">
        <f>IFERROR(__xludf.DUMMYFUNCTION("""COMPUTED_VALUE"""),"Sushi")</f>
        <v>Sushi</v>
      </c>
    </row>
    <row r="1677" ht="15.75" customHeight="1">
      <c r="A1677" s="128" t="str">
        <f>IFERROR(__xludf.DUMMYFUNCTION("""COMPUTED_VALUE"""),"0935 186 668")</f>
        <v>0935 186 668</v>
      </c>
      <c r="B1677" s="127" t="str">
        <f>IFERROR(__xludf.DUMMYFUNCTION("""COMPUTED_VALUE"""),"Chị Trang")</f>
        <v>Chị Trang</v>
      </c>
      <c r="C1677" s="127" t="str">
        <f>IFERROR(__xludf.DUMMYFUNCTION("""COMPUTED_VALUE"""),"24 Trương Định")</f>
        <v>24 Trương Định</v>
      </c>
      <c r="D1677" s="127" t="str">
        <f>IFERROR(__xludf.DUMMYFUNCTION("""COMPUTED_VALUE"""),"Mèo")</f>
        <v>Mèo</v>
      </c>
      <c r="E1677" s="127" t="str">
        <f>IFERROR(__xludf.DUMMYFUNCTION("""COMPUTED_VALUE"""),"Coffee")</f>
        <v>Coffee</v>
      </c>
    </row>
    <row r="1678" ht="15.75" customHeight="1">
      <c r="A1678" s="128" t="str">
        <f>IFERROR(__xludf.DUMMYFUNCTION("""COMPUTED_VALUE"""),"0336 342 603")</f>
        <v>0336 342 603</v>
      </c>
      <c r="B1678" s="127" t="str">
        <f>IFERROR(__xludf.DUMMYFUNCTION("""COMPUTED_VALUE"""),"Anh Tuân")</f>
        <v>Anh Tuân</v>
      </c>
      <c r="C1678" s="127" t="str">
        <f>IFERROR(__xludf.DUMMYFUNCTION("""COMPUTED_VALUE"""),"116 Vạn Xuân")</f>
        <v>116 Vạn Xuân</v>
      </c>
      <c r="D1678" s="127" t="str">
        <f>IFERROR(__xludf.DUMMYFUNCTION("""COMPUTED_VALUE"""),"Chó")</f>
        <v>Chó</v>
      </c>
      <c r="E1678" s="127" t="str">
        <f>IFERROR(__xludf.DUMMYFUNCTION("""COMPUTED_VALUE"""),"Bi")</f>
        <v>Bi</v>
      </c>
    </row>
    <row r="1679" ht="15.75" customHeight="1">
      <c r="A1679" s="128" t="str">
        <f>IFERROR(__xludf.DUMMYFUNCTION("""COMPUTED_VALUE"""),"0387 564 789")</f>
        <v>0387 564 789</v>
      </c>
      <c r="B1679" s="127" t="str">
        <f>IFERROR(__xludf.DUMMYFUNCTION("""COMPUTED_VALUE"""),"Chú Dũng")</f>
        <v>Chú Dũng</v>
      </c>
      <c r="C1679" s="127" t="str">
        <f>IFERROR(__xludf.DUMMYFUNCTION("""COMPUTED_VALUE"""),"31 Sơn Xuyên")</f>
        <v>31 Sơn Xuyên</v>
      </c>
      <c r="D1679" s="127" t="str">
        <f>IFERROR(__xludf.DUMMYFUNCTION("""COMPUTED_VALUE"""),"Chó")</f>
        <v>Chó</v>
      </c>
      <c r="E1679" s="127" t="str">
        <f>IFERROR(__xludf.DUMMYFUNCTION("""COMPUTED_VALUE"""),"Lu")</f>
        <v>Lu</v>
      </c>
    </row>
    <row r="1680" ht="15.75" customHeight="1">
      <c r="A1680" s="128" t="str">
        <f>IFERROR(__xludf.DUMMYFUNCTION("""COMPUTED_VALUE"""),"0961 553 691")</f>
        <v>0961 553 691</v>
      </c>
      <c r="B1680" s="127" t="str">
        <f>IFERROR(__xludf.DUMMYFUNCTION("""COMPUTED_VALUE"""),"Chị Ngọc Anh")</f>
        <v>Chị Ngọc Anh</v>
      </c>
      <c r="C1680" s="127" t="str">
        <f>IFERROR(__xludf.DUMMYFUNCTION("""COMPUTED_VALUE"""),"Dương Trường - Thuận An")</f>
        <v>Dương Trường - Thuận An</v>
      </c>
      <c r="D1680" s="127" t="str">
        <f>IFERROR(__xludf.DUMMYFUNCTION("""COMPUTED_VALUE"""),"Mèo")</f>
        <v>Mèo</v>
      </c>
      <c r="E1680" s="127" t="str">
        <f>IFERROR(__xludf.DUMMYFUNCTION("""COMPUTED_VALUE"""),"Cọp")</f>
        <v>Cọp</v>
      </c>
    </row>
    <row r="1681" ht="15.75" customHeight="1">
      <c r="A1681" s="128" t="str">
        <f>IFERROR(__xludf.DUMMYFUNCTION("""COMPUTED_VALUE"""),"0908 002 921")</f>
        <v>0908 002 921</v>
      </c>
      <c r="B1681" s="127" t="str">
        <f>IFERROR(__xludf.DUMMYFUNCTION("""COMPUTED_VALUE"""),"Chị Lệ Dung")</f>
        <v>Chị Lệ Dung</v>
      </c>
      <c r="C1681" s="127" t="str">
        <f>IFERROR(__xludf.DUMMYFUNCTION("""COMPUTED_VALUE"""),"17/172 Nguyễn Trãi")</f>
        <v>17/172 Nguyễn Trãi</v>
      </c>
      <c r="D1681" s="127" t="str">
        <f>IFERROR(__xludf.DUMMYFUNCTION("""COMPUTED_VALUE"""),"Chó")</f>
        <v>Chó</v>
      </c>
      <c r="E1681" s="127" t="str">
        <f>IFERROR(__xludf.DUMMYFUNCTION("""COMPUTED_VALUE"""),"Luxy")</f>
        <v>Luxy</v>
      </c>
    </row>
    <row r="1682" ht="15.75" customHeight="1">
      <c r="A1682" s="128" t="str">
        <f>IFERROR(__xludf.DUMMYFUNCTION("""COMPUTED_VALUE"""),"0382 986 940")</f>
        <v>0382 986 940</v>
      </c>
      <c r="B1682" s="127" t="str">
        <f>IFERROR(__xludf.DUMMYFUNCTION("""COMPUTED_VALUE"""),"Dì Hoàng")</f>
        <v>Dì Hoàng</v>
      </c>
      <c r="C1682" s="127" t="str">
        <f>IFERROR(__xludf.DUMMYFUNCTION("""COMPUTED_VALUE"""),"Kiệt 39 Phạm Thị Liên")</f>
        <v>Kiệt 39 Phạm Thị Liên</v>
      </c>
      <c r="D1682" s="127" t="str">
        <f>IFERROR(__xludf.DUMMYFUNCTION("""COMPUTED_VALUE"""),"Mèo")</f>
        <v>Mèo</v>
      </c>
      <c r="E1682" s="127" t="str">
        <f>IFERROR(__xludf.DUMMYFUNCTION("""COMPUTED_VALUE"""),"Vàng")</f>
        <v>Vàng</v>
      </c>
    </row>
    <row r="1683" ht="15.75" customHeight="1">
      <c r="A1683" s="128" t="str">
        <f>IFERROR(__xludf.DUMMYFUNCTION("""COMPUTED_VALUE"""),"0914 905 396")</f>
        <v>0914 905 396</v>
      </c>
      <c r="B1683" s="127" t="str">
        <f>IFERROR(__xludf.DUMMYFUNCTION("""COMPUTED_VALUE"""),"Chị Dung")</f>
        <v>Chị Dung</v>
      </c>
      <c r="C1683" s="127" t="str">
        <f>IFERROR(__xludf.DUMMYFUNCTION("""COMPUTED_VALUE"""),"2/104 Phạm Thị Liên")</f>
        <v>2/104 Phạm Thị Liên</v>
      </c>
      <c r="D1683" s="127" t="str">
        <f>IFERROR(__xludf.DUMMYFUNCTION("""COMPUTED_VALUE"""),"Chó")</f>
        <v>Chó</v>
      </c>
      <c r="E1683" s="119" t="str">
        <f>IFERROR(__xludf.DUMMYFUNCTION("""COMPUTED_VALUE"""),"Bibi")</f>
        <v>Bibi</v>
      </c>
    </row>
    <row r="1684" ht="15.75" customHeight="1">
      <c r="A1684" s="128" t="str">
        <f>IFERROR(__xludf.DUMMYFUNCTION("""COMPUTED_VALUE"""),"0905 674 595")</f>
        <v>0905 674 595</v>
      </c>
      <c r="B1684" s="127" t="str">
        <f>IFERROR(__xludf.DUMMYFUNCTION("""COMPUTED_VALUE"""),"Anh Minh")</f>
        <v>Anh Minh</v>
      </c>
      <c r="C1684" s="127" t="str">
        <f>IFERROR(__xludf.DUMMYFUNCTION("""COMPUTED_VALUE"""),"6/8 Nguyễn Phúc Thụ")</f>
        <v>6/8 Nguyễn Phúc Thụ</v>
      </c>
      <c r="D1684" s="127" t="str">
        <f>IFERROR(__xludf.DUMMYFUNCTION("""COMPUTED_VALUE"""),"Chó ")</f>
        <v>Chó </v>
      </c>
      <c r="E1684" s="127" t="str">
        <f>IFERROR(__xludf.DUMMYFUNCTION("""COMPUTED_VALUE"""),"Ting")</f>
        <v>Ting</v>
      </c>
    </row>
    <row r="1685" ht="15.75" customHeight="1">
      <c r="A1685" s="128" t="str">
        <f>IFERROR(__xludf.DUMMYFUNCTION("""COMPUTED_VALUE"""),"0886 788 617")</f>
        <v>0886 788 617</v>
      </c>
      <c r="B1685" s="127" t="str">
        <f>IFERROR(__xludf.DUMMYFUNCTION("""COMPUTED_VALUE"""),"Em Nam")</f>
        <v>Em Nam</v>
      </c>
      <c r="C1685" s="127" t="str">
        <f>IFERROR(__xludf.DUMMYFUNCTION("""COMPUTED_VALUE"""),"14/5/60 Lịch Đợi")</f>
        <v>14/5/60 Lịch Đợi</v>
      </c>
      <c r="D1685" s="127" t="str">
        <f>IFERROR(__xludf.DUMMYFUNCTION("""COMPUTED_VALUE"""),"Mèo")</f>
        <v>Mèo</v>
      </c>
      <c r="E1685" s="127"/>
    </row>
    <row r="1686" ht="15.75" customHeight="1">
      <c r="A1686" s="128" t="str">
        <f>IFERROR(__xludf.DUMMYFUNCTION("""COMPUTED_VALUE"""),"0787 591 841")</f>
        <v>0787 591 841</v>
      </c>
      <c r="B1686" s="127" t="str">
        <f>IFERROR(__xludf.DUMMYFUNCTION("""COMPUTED_VALUE"""),"Anh Nhật")</f>
        <v>Anh Nhật</v>
      </c>
      <c r="C1686" s="127" t="str">
        <f>IFERROR(__xludf.DUMMYFUNCTION("""COMPUTED_VALUE"""),"30 Phạm Thị Liên")</f>
        <v>30 Phạm Thị Liên</v>
      </c>
      <c r="D1686" s="127" t="str">
        <f>IFERROR(__xludf.DUMMYFUNCTION("""COMPUTED_VALUE"""),"Chó")</f>
        <v>Chó</v>
      </c>
      <c r="E1686" s="127" t="str">
        <f>IFERROR(__xludf.DUMMYFUNCTION("""COMPUTED_VALUE"""),"Vàng ")</f>
        <v>Vàng </v>
      </c>
    </row>
    <row r="1687" ht="15.75" customHeight="1">
      <c r="A1687" s="128" t="str">
        <f>IFERROR(__xludf.DUMMYFUNCTION("""COMPUTED_VALUE"""),"0338 741 607")</f>
        <v>0338 741 607</v>
      </c>
      <c r="B1687" s="127" t="str">
        <f>IFERROR(__xludf.DUMMYFUNCTION("""COMPUTED_VALUE"""),"Em Trâm")</f>
        <v>Em Trâm</v>
      </c>
      <c r="C1687" s="127" t="str">
        <f>IFERROR(__xludf.DUMMYFUNCTION("""COMPUTED_VALUE"""),"24 Lưu Hữu Phước")</f>
        <v>24 Lưu Hữu Phước</v>
      </c>
      <c r="D1687" s="127" t="str">
        <f>IFERROR(__xludf.DUMMYFUNCTION("""COMPUTED_VALUE"""),"Chó")</f>
        <v>Chó</v>
      </c>
      <c r="E1687" s="127" t="str">
        <f>IFERROR(__xludf.DUMMYFUNCTION("""COMPUTED_VALUE"""),"Zon")</f>
        <v>Zon</v>
      </c>
    </row>
    <row r="1688" ht="15.75" customHeight="1">
      <c r="A1688" s="128" t="str">
        <f>IFERROR(__xludf.DUMMYFUNCTION("""COMPUTED_VALUE"""),"0336 643 544")</f>
        <v>0336 643 544</v>
      </c>
      <c r="B1688" s="127" t="str">
        <f>IFERROR(__xludf.DUMMYFUNCTION("""COMPUTED_VALUE"""),"Anh Thiện")</f>
        <v>Anh Thiện</v>
      </c>
      <c r="C1688" s="127" t="str">
        <f>IFERROR(__xludf.DUMMYFUNCTION("""COMPUTED_VALUE"""),"Hương An")</f>
        <v>Hương An</v>
      </c>
      <c r="D1688" s="127" t="str">
        <f>IFERROR(__xludf.DUMMYFUNCTION("""COMPUTED_VALUE"""),"Chó")</f>
        <v>Chó</v>
      </c>
      <c r="E1688" s="127" t="str">
        <f>IFERROR(__xludf.DUMMYFUNCTION("""COMPUTED_VALUE"""),"mango")</f>
        <v>mango</v>
      </c>
    </row>
    <row r="1689" ht="15.75" customHeight="1">
      <c r="A1689" s="128" t="str">
        <f>IFERROR(__xludf.DUMMYFUNCTION("""COMPUTED_VALUE"""),"0902 603 510")</f>
        <v>0902 603 510</v>
      </c>
      <c r="B1689" s="127" t="str">
        <f>IFERROR(__xludf.DUMMYFUNCTION("""COMPUTED_VALUE"""),"Chị Thìn")</f>
        <v>Chị Thìn</v>
      </c>
      <c r="C1689" s="127" t="str">
        <f>IFERROR(__xludf.DUMMYFUNCTION("""COMPUTED_VALUE"""),"7/4 Nguyễn Phúc Thụ")</f>
        <v>7/4 Nguyễn Phúc Thụ</v>
      </c>
      <c r="D1689" s="127" t="str">
        <f>IFERROR(__xludf.DUMMYFUNCTION("""COMPUTED_VALUE"""),"Chó")</f>
        <v>Chó</v>
      </c>
      <c r="E1689" s="127" t="str">
        <f>IFERROR(__xludf.DUMMYFUNCTION("""COMPUTED_VALUE"""),"Milu")</f>
        <v>Milu</v>
      </c>
    </row>
    <row r="1690" ht="15.75" customHeight="1">
      <c r="A1690" s="128" t="str">
        <f>IFERROR(__xludf.DUMMYFUNCTION("""COMPUTED_VALUE"""),"0935 779 188")</f>
        <v>0935 779 188</v>
      </c>
      <c r="B1690" s="127" t="str">
        <f>IFERROR(__xludf.DUMMYFUNCTION("""COMPUTED_VALUE"""),"Anh Hậu")</f>
        <v>Anh Hậu</v>
      </c>
      <c r="C1690" s="127" t="str">
        <f>IFERROR(__xludf.DUMMYFUNCTION("""COMPUTED_VALUE"""),"9D/ 240 Lý Nam Đế")</f>
        <v>9D/ 240 Lý Nam Đế</v>
      </c>
      <c r="D1690" s="127" t="str">
        <f>IFERROR(__xludf.DUMMYFUNCTION("""COMPUTED_VALUE"""),"Chó")</f>
        <v>Chó</v>
      </c>
      <c r="E1690" s="127" t="str">
        <f>IFERROR(__xludf.DUMMYFUNCTION("""COMPUTED_VALUE"""),"Em")</f>
        <v>Em</v>
      </c>
    </row>
    <row r="1691" ht="15.75" customHeight="1">
      <c r="A1691" s="128" t="str">
        <f>IFERROR(__xludf.DUMMYFUNCTION("""COMPUTED_VALUE"""),"0888 418 289")</f>
        <v>0888 418 289</v>
      </c>
      <c r="B1691" s="127" t="str">
        <f>IFERROR(__xludf.DUMMYFUNCTION("""COMPUTED_VALUE"""),"Anh Quốc")</f>
        <v>Anh Quốc</v>
      </c>
      <c r="C1691" s="127" t="str">
        <f>IFERROR(__xludf.DUMMYFUNCTION("""COMPUTED_VALUE"""),"Kiệt 79 Phạm Thị liên")</f>
        <v>Kiệt 79 Phạm Thị liên</v>
      </c>
      <c r="D1691" s="127" t="str">
        <f>IFERROR(__xludf.DUMMYFUNCTION("""COMPUTED_VALUE"""),"chó")</f>
        <v>chó</v>
      </c>
      <c r="E1691" s="127" t="str">
        <f>IFERROR(__xludf.DUMMYFUNCTION("""COMPUTED_VALUE"""),"Gấu")</f>
        <v>Gấu</v>
      </c>
    </row>
    <row r="1692" ht="15.75" customHeight="1">
      <c r="A1692" s="128" t="str">
        <f>IFERROR(__xludf.DUMMYFUNCTION("""COMPUTED_VALUE"""),"0357 406 405")</f>
        <v>0357 406 405</v>
      </c>
      <c r="B1692" s="127" t="str">
        <f>IFERROR(__xludf.DUMMYFUNCTION("""COMPUTED_VALUE"""),"Em Nhi")</f>
        <v>Em Nhi</v>
      </c>
      <c r="C1692" s="127" t="str">
        <f>IFERROR(__xludf.DUMMYFUNCTION("""COMPUTED_VALUE"""),"42 Lý Thường Kiệt ")</f>
        <v>42 Lý Thường Kiệt </v>
      </c>
      <c r="D1692" s="127" t="str">
        <f>IFERROR(__xludf.DUMMYFUNCTION("""COMPUTED_VALUE"""),"Chó")</f>
        <v>Chó</v>
      </c>
      <c r="E1692" s="127" t="str">
        <f>IFERROR(__xludf.DUMMYFUNCTION("""COMPUTED_VALUE"""),"carrot")</f>
        <v>carrot</v>
      </c>
    </row>
    <row r="1693" ht="15.75" customHeight="1">
      <c r="A1693" s="128" t="str">
        <f>IFERROR(__xludf.DUMMYFUNCTION("""COMPUTED_VALUE"""),"0905 121 487")</f>
        <v>0905 121 487</v>
      </c>
      <c r="B1693" s="127" t="str">
        <f>IFERROR(__xludf.DUMMYFUNCTION("""COMPUTED_VALUE"""),"Chị Giang")</f>
        <v>Chị Giang</v>
      </c>
      <c r="C1693" s="127" t="str">
        <f>IFERROR(__xludf.DUMMYFUNCTION("""COMPUTED_VALUE"""),"124 Hoàng Thị Loan")</f>
        <v>124 Hoàng Thị Loan</v>
      </c>
      <c r="D1693" s="127" t="str">
        <f>IFERROR(__xludf.DUMMYFUNCTION("""COMPUTED_VALUE"""),"chó")</f>
        <v>chó</v>
      </c>
      <c r="E1693" s="127" t="str">
        <f>IFERROR(__xludf.DUMMYFUNCTION("""COMPUTED_VALUE"""),"Happy")</f>
        <v>Happy</v>
      </c>
    </row>
    <row r="1694" ht="15.75" customHeight="1">
      <c r="A1694" s="128" t="str">
        <f>IFERROR(__xludf.DUMMYFUNCTION("""COMPUTED_VALUE"""),"0468 551 512")</f>
        <v>0468 551 512</v>
      </c>
      <c r="B1694" s="127" t="str">
        <f>IFERROR(__xludf.DUMMYFUNCTION("""COMPUTED_VALUE"""),"Anh Minh")</f>
        <v>Anh Minh</v>
      </c>
      <c r="C1694" s="127" t="str">
        <f>IFERROR(__xludf.DUMMYFUNCTION("""COMPUTED_VALUE"""),"180 Lý Nam Đế")</f>
        <v>180 Lý Nam Đế</v>
      </c>
      <c r="D1694" s="127" t="str">
        <f>IFERROR(__xludf.DUMMYFUNCTION("""COMPUTED_VALUE"""),"Chó")</f>
        <v>Chó</v>
      </c>
      <c r="E1694" s="127" t="str">
        <f>IFERROR(__xludf.DUMMYFUNCTION("""COMPUTED_VALUE"""),"Rai")</f>
        <v>Rai</v>
      </c>
    </row>
    <row r="1695" ht="15.75" customHeight="1">
      <c r="A1695" s="128" t="str">
        <f>IFERROR(__xludf.DUMMYFUNCTION("""COMPUTED_VALUE"""),"0886 220 002")</f>
        <v>0886 220 002</v>
      </c>
      <c r="B1695" s="127" t="str">
        <f>IFERROR(__xludf.DUMMYFUNCTION("""COMPUTED_VALUE"""),"Anh Ý ")</f>
        <v>Anh Ý </v>
      </c>
      <c r="C1695" s="127" t="str">
        <f>IFERROR(__xludf.DUMMYFUNCTION("""COMPUTED_VALUE"""),"11/24 Phạm Thị Liên")</f>
        <v>11/24 Phạm Thị Liên</v>
      </c>
      <c r="D1695" s="127" t="str">
        <f>IFERROR(__xludf.DUMMYFUNCTION("""COMPUTED_VALUE"""),"Chó")</f>
        <v>Chó</v>
      </c>
      <c r="E1695" s="127" t="str">
        <f>IFERROR(__xludf.DUMMYFUNCTION("""COMPUTED_VALUE"""),"milo")</f>
        <v>milo</v>
      </c>
    </row>
    <row r="1696" ht="15.75" customHeight="1">
      <c r="A1696" s="128" t="str">
        <f>IFERROR(__xludf.DUMMYFUNCTION("""COMPUTED_VALUE"""),"0782 752 496")</f>
        <v>0782 752 496</v>
      </c>
      <c r="B1696" s="127" t="str">
        <f>IFERROR(__xludf.DUMMYFUNCTION("""COMPUTED_VALUE"""),"anh Nguyễn Hoài ")</f>
        <v>anh Nguyễn Hoài </v>
      </c>
      <c r="C1696" s="127" t="str">
        <f>IFERROR(__xludf.DUMMYFUNCTION("""COMPUTED_VALUE"""),"3 ngõ 14 k 16 Đoàn hữu trưng ")</f>
        <v>3 ngõ 14 k 16 Đoàn hữu trưng </v>
      </c>
      <c r="D1696" s="127" t="str">
        <f>IFERROR(__xludf.DUMMYFUNCTION("""COMPUTED_VALUE"""),"mèo ")</f>
        <v>mèo </v>
      </c>
      <c r="E1696" s="127" t="str">
        <f>IFERROR(__xludf.DUMMYFUNCTION("""COMPUTED_VALUE"""),"vàng ")</f>
        <v>vàng </v>
      </c>
    </row>
    <row r="1697" ht="15.75" customHeight="1">
      <c r="A1697" s="128" t="str">
        <f>IFERROR(__xludf.DUMMYFUNCTION("""COMPUTED_VALUE"""),"0969 359 871")</f>
        <v>0969 359 871</v>
      </c>
      <c r="B1697" s="127" t="str">
        <f>IFERROR(__xludf.DUMMYFUNCTION("""COMPUTED_VALUE"""),"Khương ")</f>
        <v>Khương </v>
      </c>
      <c r="C1697" s="127" t="str">
        <f>IFERROR(__xludf.DUMMYFUNCTION("""COMPUTED_VALUE"""),"44 Hùng Vương ")</f>
        <v>44 Hùng Vương </v>
      </c>
      <c r="D1697" s="127" t="str">
        <f>IFERROR(__xludf.DUMMYFUNCTION("""COMPUTED_VALUE"""),"mèo  ")</f>
        <v>mèo  </v>
      </c>
      <c r="E1697" s="127" t="str">
        <f>IFERROR(__xludf.DUMMYFUNCTION("""COMPUTED_VALUE"""),"miu ")</f>
        <v>miu </v>
      </c>
    </row>
    <row r="1698" ht="15.75" customHeight="1">
      <c r="A1698" s="128" t="str">
        <f>IFERROR(__xludf.DUMMYFUNCTION("""COMPUTED_VALUE"""),"0913 517 752")</f>
        <v>0913 517 752</v>
      </c>
      <c r="B1698" s="127" t="str">
        <f>IFERROR(__xludf.DUMMYFUNCTION("""COMPUTED_VALUE"""),"Chị Thu")</f>
        <v>Chị Thu</v>
      </c>
      <c r="C1698" s="127" t="str">
        <f>IFERROR(__xludf.DUMMYFUNCTION("""COMPUTED_VALUE"""),"Xuân Phú")</f>
        <v>Xuân Phú</v>
      </c>
      <c r="D1698" s="127" t="str">
        <f>IFERROR(__xludf.DUMMYFUNCTION("""COMPUTED_VALUE"""),"chó")</f>
        <v>chó</v>
      </c>
      <c r="E1698" s="119" t="str">
        <f>IFERROR(__xludf.DUMMYFUNCTION("""COMPUTED_VALUE"""),"Gấu")</f>
        <v>Gấu</v>
      </c>
    </row>
    <row r="1699" ht="15.75" customHeight="1">
      <c r="A1699" s="128" t="str">
        <f>IFERROR(__xludf.DUMMYFUNCTION("""COMPUTED_VALUE"""),"0946 926 066")</f>
        <v>0946 926 066</v>
      </c>
      <c r="B1699" s="127" t="str">
        <f>IFERROR(__xludf.DUMMYFUNCTION("""COMPUTED_VALUE"""),"Chị Huệ")</f>
        <v>Chị Huệ</v>
      </c>
      <c r="C1699" s="127" t="str">
        <f>IFERROR(__xludf.DUMMYFUNCTION("""COMPUTED_VALUE"""),"82 Phan Chu Trinh")</f>
        <v>82 Phan Chu Trinh</v>
      </c>
      <c r="D1699" s="127" t="str">
        <f>IFERROR(__xludf.DUMMYFUNCTION("""COMPUTED_VALUE"""),"Chó")</f>
        <v>Chó</v>
      </c>
      <c r="E1699" s="127" t="str">
        <f>IFERROR(__xludf.DUMMYFUNCTION("""COMPUTED_VALUE""")," Sữa")</f>
        <v> Sữa</v>
      </c>
    </row>
    <row r="1700" ht="15.75" customHeight="1">
      <c r="A1700" s="128" t="str">
        <f>IFERROR(__xludf.DUMMYFUNCTION("""COMPUTED_VALUE"""),"0899 238 165")</f>
        <v>0899 238 165</v>
      </c>
      <c r="B1700" s="127" t="str">
        <f>IFERROR(__xludf.DUMMYFUNCTION("""COMPUTED_VALUE"""),"Em Nghi")</f>
        <v>Em Nghi</v>
      </c>
      <c r="C1700" s="127" t="str">
        <f>IFERROR(__xludf.DUMMYFUNCTION("""COMPUTED_VALUE"""),"65 Trần Thái Tông")</f>
        <v>65 Trần Thái Tông</v>
      </c>
      <c r="D1700" s="127" t="str">
        <f>IFERROR(__xludf.DUMMYFUNCTION("""COMPUTED_VALUE"""),"Mèo")</f>
        <v>Mèo</v>
      </c>
      <c r="E1700" s="127" t="str">
        <f>IFERROR(__xludf.DUMMYFUNCTION("""COMPUTED_VALUE""")," Như Ý")</f>
        <v> Như Ý</v>
      </c>
    </row>
    <row r="1701" ht="15.75" customHeight="1">
      <c r="A1701" s="128" t="str">
        <f>IFERROR(__xludf.DUMMYFUNCTION("""COMPUTED_VALUE"""),"0386 650 483")</f>
        <v>0386 650 483</v>
      </c>
      <c r="B1701" s="127" t="str">
        <f>IFERROR(__xludf.DUMMYFUNCTION("""COMPUTED_VALUE"""),"Quốc Huy")</f>
        <v>Quốc Huy</v>
      </c>
      <c r="C1701" s="127" t="str">
        <f>IFERROR(__xludf.DUMMYFUNCTION("""COMPUTED_VALUE"""),"2A Nguyễn Trường Tộ")</f>
        <v>2A Nguyễn Trường Tộ</v>
      </c>
      <c r="D1701" s="127" t="str">
        <f>IFERROR(__xludf.DUMMYFUNCTION("""COMPUTED_VALUE"""),"mèo")</f>
        <v>mèo</v>
      </c>
      <c r="E1701" s="127" t="str">
        <f>IFERROR(__xludf.DUMMYFUNCTION("""COMPUTED_VALUE"""),"MoLo")</f>
        <v>MoLo</v>
      </c>
    </row>
    <row r="1702" ht="15.75" customHeight="1">
      <c r="A1702" s="128" t="str">
        <f>IFERROR(__xludf.DUMMYFUNCTION("""COMPUTED_VALUE"""),"0343 295 990")</f>
        <v>0343 295 990</v>
      </c>
      <c r="B1702" s="127" t="str">
        <f>IFERROR(__xludf.DUMMYFUNCTION("""COMPUTED_VALUE"""),"Em Ngọc Trinh")</f>
        <v>Em Ngọc Trinh</v>
      </c>
      <c r="C1702" s="127" t="str">
        <f>IFERROR(__xludf.DUMMYFUNCTION("""COMPUTED_VALUE"""),"168 Phan Bội Châu")</f>
        <v>168 Phan Bội Châu</v>
      </c>
      <c r="D1702" s="127" t="str">
        <f>IFERROR(__xludf.DUMMYFUNCTION("""COMPUTED_VALUE"""),"chuột Lang")</f>
        <v>chuột Lang</v>
      </c>
      <c r="E1702" s="127" t="str">
        <f>IFERROR(__xludf.DUMMYFUNCTION("""COMPUTED_VALUE"""),"Mít")</f>
        <v>Mít</v>
      </c>
    </row>
    <row r="1703" ht="15.75" customHeight="1">
      <c r="A1703" s="128" t="str">
        <f>IFERROR(__xludf.DUMMYFUNCTION("""COMPUTED_VALUE"""),"0397 704 640")</f>
        <v>0397 704 640</v>
      </c>
      <c r="B1703" s="127" t="str">
        <f>IFERROR(__xludf.DUMMYFUNCTION("""COMPUTED_VALUE"""),"Anh Lệ")</f>
        <v>Anh Lệ</v>
      </c>
      <c r="C1703" s="127" t="str">
        <f>IFERROR(__xludf.DUMMYFUNCTION("""COMPUTED_VALUE"""),"Thủy Xuân")</f>
        <v>Thủy Xuân</v>
      </c>
      <c r="D1703" s="127" t="str">
        <f>IFERROR(__xludf.DUMMYFUNCTION("""COMPUTED_VALUE"""),"chó")</f>
        <v>chó</v>
      </c>
      <c r="E1703" s="127" t="str">
        <f>IFERROR(__xludf.DUMMYFUNCTION("""COMPUTED_VALUE"""),"Cún")</f>
        <v>Cún</v>
      </c>
    </row>
    <row r="1704" ht="15.75" customHeight="1">
      <c r="A1704" s="128" t="str">
        <f>IFERROR(__xludf.DUMMYFUNCTION("""COMPUTED_VALUE"""),"0328 985 418")</f>
        <v>0328 985 418</v>
      </c>
      <c r="B1704" s="127" t="str">
        <f>IFERROR(__xludf.DUMMYFUNCTION("""COMPUTED_VALUE"""),"em Tin")</f>
        <v>em Tin</v>
      </c>
      <c r="C1704" s="127" t="str">
        <f>IFERROR(__xludf.DUMMYFUNCTION("""COMPUTED_VALUE"""),"Phú Mỹ")</f>
        <v>Phú Mỹ</v>
      </c>
      <c r="D1704" s="127" t="str">
        <f>IFERROR(__xludf.DUMMYFUNCTION("""COMPUTED_VALUE"""),"chó")</f>
        <v>chó</v>
      </c>
      <c r="E1704" s="119" t="str">
        <f>IFERROR(__xludf.DUMMYFUNCTION("""COMPUTED_VALUE"""),"Ổi")</f>
        <v>Ổi</v>
      </c>
    </row>
    <row r="1705" ht="15.75" customHeight="1">
      <c r="A1705" s="128" t="str">
        <f>IFERROR(__xludf.DUMMYFUNCTION("""COMPUTED_VALUE"""),"0769 511 112")</f>
        <v>0769 511 112</v>
      </c>
      <c r="B1705" s="127" t="str">
        <f>IFERROR(__xludf.DUMMYFUNCTION("""COMPUTED_VALUE"""),"Anh Rin")</f>
        <v>Anh Rin</v>
      </c>
      <c r="C1705" s="127" t="str">
        <f>IFERROR(__xludf.DUMMYFUNCTION("""COMPUTED_VALUE"""),"Phú Mỹ")</f>
        <v>Phú Mỹ</v>
      </c>
      <c r="D1705" s="127" t="str">
        <f>IFERROR(__xludf.DUMMYFUNCTION("""COMPUTED_VALUE"""),"chó")</f>
        <v>chó</v>
      </c>
      <c r="E1705" s="127" t="str">
        <f>IFERROR(__xludf.DUMMYFUNCTION("""COMPUTED_VALUE"""),"Ổi")</f>
        <v>Ổi</v>
      </c>
    </row>
    <row r="1706" ht="15.75" customHeight="1">
      <c r="A1706" s="128" t="str">
        <f>IFERROR(__xludf.DUMMYFUNCTION("""COMPUTED_VALUE"""),"0905 584 070")</f>
        <v>0905 584 070</v>
      </c>
      <c r="B1706" s="127" t="str">
        <f>IFERROR(__xludf.DUMMYFUNCTION("""COMPUTED_VALUE"""),"Dì Thuỷ")</f>
        <v>Dì Thuỷ</v>
      </c>
      <c r="C1706" s="127" t="str">
        <f>IFERROR(__xludf.DUMMYFUNCTION("""COMPUTED_VALUE"""),"142/3 Nguyễn Sinh Cung")</f>
        <v>142/3 Nguyễn Sinh Cung</v>
      </c>
      <c r="D1706" s="127" t="str">
        <f>IFERROR(__xludf.DUMMYFUNCTION("""COMPUTED_VALUE"""),"chó")</f>
        <v>chó</v>
      </c>
      <c r="E1706" s="127" t="str">
        <f>IFERROR(__xludf.DUMMYFUNCTION("""COMPUTED_VALUE"""),"heo/pin")</f>
        <v>heo/pin</v>
      </c>
    </row>
    <row r="1707" ht="15.75" customHeight="1">
      <c r="A1707" s="128" t="str">
        <f>IFERROR(__xludf.DUMMYFUNCTION("""COMPUTED_VALUE"""),"0762 670 371")</f>
        <v>0762 670 371</v>
      </c>
      <c r="B1707" s="127" t="str">
        <f>IFERROR(__xludf.DUMMYFUNCTION("""COMPUTED_VALUE"""),"Anh Tuấn")</f>
        <v>Anh Tuấn</v>
      </c>
      <c r="C1707" s="127" t="str">
        <f>IFERROR(__xludf.DUMMYFUNCTION("""COMPUTED_VALUE"""),"An Truyền, Phú An")</f>
        <v>An Truyền, Phú An</v>
      </c>
      <c r="D1707" s="127" t="str">
        <f>IFERROR(__xludf.DUMMYFUNCTION("""COMPUTED_VALUE"""),"mèo")</f>
        <v>mèo</v>
      </c>
      <c r="E1707" s="127" t="str">
        <f>IFERROR(__xludf.DUMMYFUNCTION("""COMPUTED_VALUE"""),"mimi")</f>
        <v>mimi</v>
      </c>
    </row>
    <row r="1708" ht="15.75" customHeight="1">
      <c r="A1708" s="128" t="str">
        <f>IFERROR(__xludf.DUMMYFUNCTION("""COMPUTED_VALUE"""),"0843 828 229 ")</f>
        <v>0843 828 229 </v>
      </c>
      <c r="B1708" s="127" t="str">
        <f>IFERROR(__xludf.DUMMYFUNCTION("""COMPUTED_VALUE"""),"Thảo Nhi ")</f>
        <v>Thảo Nhi </v>
      </c>
      <c r="C1708" s="127" t="str">
        <f>IFERROR(__xludf.DUMMYFUNCTION("""COMPUTED_VALUE"""),"võ liêm sơn")</f>
        <v>võ liêm sơn</v>
      </c>
      <c r="D1708" s="127" t="str">
        <f>IFERROR(__xludf.DUMMYFUNCTION("""COMPUTED_VALUE"""),"mèo")</f>
        <v>mèo</v>
      </c>
      <c r="E1708" s="119"/>
    </row>
    <row r="1709" ht="15.75" customHeight="1">
      <c r="A1709" s="128" t="str">
        <f>IFERROR(__xludf.DUMMYFUNCTION("""COMPUTED_VALUE"""),"0784 987 520")</f>
        <v>0784 987 520</v>
      </c>
      <c r="B1709" s="127" t="str">
        <f>IFERROR(__xludf.DUMMYFUNCTION("""COMPUTED_VALUE"""),"Anh Nguyên")</f>
        <v>Anh Nguyên</v>
      </c>
      <c r="C1709" s="127" t="str">
        <f>IFERROR(__xludf.DUMMYFUNCTION("""COMPUTED_VALUE"""),"21 Thanh Hương - Thuận Thành")</f>
        <v>21 Thanh Hương - Thuận Thành</v>
      </c>
      <c r="D1709" s="127" t="str">
        <f>IFERROR(__xludf.DUMMYFUNCTION("""COMPUTED_VALUE"""),"Chó")</f>
        <v>Chó</v>
      </c>
      <c r="E1709" s="127" t="str">
        <f>IFERROR(__xludf.DUMMYFUNCTION("""COMPUTED_VALUE"""),"Ri")</f>
        <v>Ri</v>
      </c>
    </row>
    <row r="1710" ht="15.75" customHeight="1">
      <c r="A1710" s="128" t="str">
        <f>IFERROR(__xludf.DUMMYFUNCTION("""COMPUTED_VALUE"""),"0899 234 180")</f>
        <v>0899 234 180</v>
      </c>
      <c r="B1710" s="127"/>
      <c r="C1710" s="127"/>
      <c r="D1710" s="127" t="str">
        <f>IFERROR(__xludf.DUMMYFUNCTION("""COMPUTED_VALUE"""),"Chó")</f>
        <v>Chó</v>
      </c>
      <c r="E1710" s="127"/>
    </row>
    <row r="1711" ht="15.75" customHeight="1">
      <c r="A1711" s="128" t="str">
        <f>IFERROR(__xludf.DUMMYFUNCTION("""COMPUTED_VALUE"""),"0768 405 288 ")</f>
        <v>0768 405 288 </v>
      </c>
      <c r="B1711" s="133" t="str">
        <f>IFERROR(__xludf.DUMMYFUNCTION("""COMPUTED_VALUE"""),"Chị Ngọc Anh")</f>
        <v>Chị Ngọc Anh</v>
      </c>
      <c r="C1711" s="127" t="str">
        <f>IFERROR(__xludf.DUMMYFUNCTION("""COMPUTED_VALUE"""),"Quảng Điền ")</f>
        <v>Quảng Điền </v>
      </c>
      <c r="D1711" s="127" t="str">
        <f>IFERROR(__xludf.DUMMYFUNCTION("""COMPUTED_VALUE"""),"chó ")</f>
        <v>chó </v>
      </c>
      <c r="E1711" s="127" t="str">
        <f>IFERROR(__xludf.DUMMYFUNCTION("""COMPUTED_VALUE"""),"đốm")</f>
        <v>đốm</v>
      </c>
    </row>
    <row r="1712" ht="15.75" customHeight="1">
      <c r="A1712" s="128" t="str">
        <f>IFERROR(__xludf.DUMMYFUNCTION("""COMPUTED_VALUE"""),"0914 714 551")</f>
        <v>0914 714 551</v>
      </c>
      <c r="B1712" s="127" t="str">
        <f>IFERROR(__xludf.DUMMYFUNCTION("""COMPUTED_VALUE"""),"Nhật Quân")</f>
        <v>Nhật Quân</v>
      </c>
      <c r="C1712" s="127" t="str">
        <f>IFERROR(__xludf.DUMMYFUNCTION("""COMPUTED_VALUE"""),"MỸ thượng ")</f>
        <v>MỸ thượng </v>
      </c>
      <c r="D1712" s="127" t="str">
        <f>IFERROR(__xludf.DUMMYFUNCTION("""COMPUTED_VALUE"""),"mèo ")</f>
        <v>mèo </v>
      </c>
      <c r="E1712" s="127" t="str">
        <f>IFERROR(__xludf.DUMMYFUNCTION("""COMPUTED_VALUE"""),"Quýt ")</f>
        <v>Quýt </v>
      </c>
    </row>
    <row r="1713" ht="15.75" customHeight="1">
      <c r="A1713" s="128" t="str">
        <f>IFERROR(__xludf.DUMMYFUNCTION("""COMPUTED_VALUE"""),"0335 593 535")</f>
        <v>0335 593 535</v>
      </c>
      <c r="B1713" s="127" t="str">
        <f>IFERROR(__xludf.DUMMYFUNCTION("""COMPUTED_VALUE"""),"phương loan")</f>
        <v>phương loan</v>
      </c>
      <c r="C1713" s="127" t="str">
        <f>IFERROR(__xludf.DUMMYFUNCTION("""COMPUTED_VALUE"""),"phú vang")</f>
        <v>phú vang</v>
      </c>
      <c r="D1713" s="127" t="str">
        <f>IFERROR(__xludf.DUMMYFUNCTION("""COMPUTED_VALUE"""),"mèo ")</f>
        <v>mèo </v>
      </c>
      <c r="E1713" s="127" t="str">
        <f>IFERROR(__xludf.DUMMYFUNCTION("""COMPUTED_VALUE"""),"méo")</f>
        <v>méo</v>
      </c>
    </row>
    <row r="1714" ht="15.75" customHeight="1">
      <c r="A1714" s="128" t="str">
        <f>IFERROR(__xludf.DUMMYFUNCTION("""COMPUTED_VALUE"""),"0914 443 675")</f>
        <v>0914 443 675</v>
      </c>
      <c r="B1714" s="127" t="str">
        <f>IFERROR(__xludf.DUMMYFUNCTION("""COMPUTED_VALUE"""),"BS Giang")</f>
        <v>BS Giang</v>
      </c>
      <c r="C1714" s="127" t="str">
        <f>IFERROR(__xludf.DUMMYFUNCTION("""COMPUTED_VALUE"""),"13k 62 Đặng Huy Trứ")</f>
        <v>13k 62 Đặng Huy Trứ</v>
      </c>
      <c r="D1714" s="127" t="str">
        <f>IFERROR(__xludf.DUMMYFUNCTION("""COMPUTED_VALUE"""),"chó ")</f>
        <v>chó </v>
      </c>
      <c r="E1714" s="127" t="str">
        <f>IFERROR(__xludf.DUMMYFUNCTION("""COMPUTED_VALUE"""),"furo ")</f>
        <v>furo </v>
      </c>
    </row>
    <row r="1715" ht="15.75" customHeight="1">
      <c r="A1715" s="128" t="str">
        <f>IFERROR(__xludf.DUMMYFUNCTION("""COMPUTED_VALUE"""),"0358 840 554")</f>
        <v>0358 840 554</v>
      </c>
      <c r="B1715" s="127" t="str">
        <f>IFERROR(__xludf.DUMMYFUNCTION("""COMPUTED_VALUE"""),"Chú nguyễn Anh Hào")</f>
        <v>Chú nguyễn Anh Hào</v>
      </c>
      <c r="C1715" s="127" t="str">
        <f>IFERROR(__xludf.DUMMYFUNCTION("""COMPUTED_VALUE"""),"17k179 Trần Phú ")</f>
        <v>17k179 Trần Phú </v>
      </c>
      <c r="D1715" s="127" t="str">
        <f>IFERROR(__xludf.DUMMYFUNCTION("""COMPUTED_VALUE"""),"chó")</f>
        <v>chó</v>
      </c>
      <c r="E1715" s="127" t="str">
        <f>IFERROR(__xludf.DUMMYFUNCTION("""COMPUTED_VALUE"""),"ky")</f>
        <v>ky</v>
      </c>
    </row>
    <row r="1716" ht="15.75" customHeight="1">
      <c r="A1716" s="128" t="str">
        <f>IFERROR(__xludf.DUMMYFUNCTION("""COMPUTED_VALUE"""),"0792 507 127 ")</f>
        <v>0792 507 127 </v>
      </c>
      <c r="B1716" s="127" t="str">
        <f>IFERROR(__xludf.DUMMYFUNCTION("""COMPUTED_VALUE"""),"Anh Ban")</f>
        <v>Anh Ban</v>
      </c>
      <c r="C1716" s="127" t="str">
        <f>IFERROR(__xludf.DUMMYFUNCTION("""COMPUTED_VALUE"""),"284 Phan Chu Trinh")</f>
        <v>284 Phan Chu Trinh</v>
      </c>
      <c r="D1716" s="127" t="str">
        <f>IFERROR(__xludf.DUMMYFUNCTION("""COMPUTED_VALUE"""),"chó")</f>
        <v>chó</v>
      </c>
      <c r="E1716" s="127" t="str">
        <f>IFERROR(__xludf.DUMMYFUNCTION("""COMPUTED_VALUE"""),"rai")</f>
        <v>rai</v>
      </c>
    </row>
    <row r="1717" ht="15.75" customHeight="1">
      <c r="A1717" s="128" t="str">
        <f>IFERROR(__xludf.DUMMYFUNCTION("""COMPUTED_VALUE"""),"0705 214 164 ")</f>
        <v>0705 214 164 </v>
      </c>
      <c r="B1717" s="127" t="str">
        <f>IFERROR(__xludf.DUMMYFUNCTION("""COMPUTED_VALUE"""),"Chị Hiền ")</f>
        <v>Chị Hiền </v>
      </c>
      <c r="C1717" s="127" t="str">
        <f>IFERROR(__xludf.DUMMYFUNCTION("""COMPUTED_VALUE"""),"6/112 trần Phú")</f>
        <v>6/112 trần Phú</v>
      </c>
      <c r="D1717" s="127" t="str">
        <f>IFERROR(__xludf.DUMMYFUNCTION("""COMPUTED_VALUE"""),"mèo")</f>
        <v>mèo</v>
      </c>
      <c r="E1717" s="127" t="str">
        <f>IFERROR(__xludf.DUMMYFUNCTION("""COMPUTED_VALUE"""),"moon ")</f>
        <v>moon </v>
      </c>
    </row>
    <row r="1718" ht="15.75" customHeight="1">
      <c r="A1718" s="128" t="str">
        <f>IFERROR(__xludf.DUMMYFUNCTION("""COMPUTED_VALUE"""),"0386 611 842")</f>
        <v>0386 611 842</v>
      </c>
      <c r="B1718" s="127" t="str">
        <f>IFERROR(__xludf.DUMMYFUNCTION("""COMPUTED_VALUE"""),"Chị Phương ")</f>
        <v>Chị Phương </v>
      </c>
      <c r="C1718" s="127" t="str">
        <f>IFERROR(__xludf.DUMMYFUNCTION("""COMPUTED_VALUE"""),"145 Phan Đình Phùng")</f>
        <v>145 Phan Đình Phùng</v>
      </c>
      <c r="D1718" s="127" t="str">
        <f>IFERROR(__xludf.DUMMYFUNCTION("""COMPUTED_VALUE"""),"chó")</f>
        <v>chó</v>
      </c>
      <c r="E1718" s="127" t="str">
        <f>IFERROR(__xludf.DUMMYFUNCTION("""COMPUTED_VALUE"""),"vàng")</f>
        <v>vàng</v>
      </c>
    </row>
    <row r="1719" ht="15.75" customHeight="1">
      <c r="A1719" s="128" t="str">
        <f>IFERROR(__xludf.DUMMYFUNCTION("""COMPUTED_VALUE"""),"0962 414 350")</f>
        <v>0962 414 350</v>
      </c>
      <c r="B1719" s="127" t="str">
        <f>IFERROR(__xludf.DUMMYFUNCTION("""COMPUTED_VALUE"""),"Chị Như Quỳnh")</f>
        <v>Chị Như Quỳnh</v>
      </c>
      <c r="C1719" s="127" t="str">
        <f>IFERROR(__xludf.DUMMYFUNCTION("""COMPUTED_VALUE"""),"Quảng Điền ")</f>
        <v>Quảng Điền </v>
      </c>
      <c r="D1719" s="127" t="str">
        <f>IFERROR(__xludf.DUMMYFUNCTION("""COMPUTED_VALUE"""),"chó")</f>
        <v>chó</v>
      </c>
      <c r="E1719" s="127" t="str">
        <f>IFERROR(__xludf.DUMMYFUNCTION("""COMPUTED_VALUE"""),"mực/xám")</f>
        <v>mực/xám</v>
      </c>
    </row>
    <row r="1720" ht="15.75" customHeight="1">
      <c r="A1720" s="128" t="str">
        <f>IFERROR(__xludf.DUMMYFUNCTION("""COMPUTED_VALUE"""),"0376 152 830")</f>
        <v>0376 152 830</v>
      </c>
      <c r="B1720" s="127" t="str">
        <f>IFERROR(__xludf.DUMMYFUNCTION("""COMPUTED_VALUE"""),"Nguyễn Minh Phát")</f>
        <v>Nguyễn Minh Phát</v>
      </c>
      <c r="C1720" s="127" t="str">
        <f>IFERROR(__xludf.DUMMYFUNCTION("""COMPUTED_VALUE"""),"Phan Anh")</f>
        <v>Phan Anh</v>
      </c>
      <c r="D1720" s="127" t="str">
        <f>IFERROR(__xludf.DUMMYFUNCTION("""COMPUTED_VALUE"""),"Mèo")</f>
        <v>Mèo</v>
      </c>
      <c r="E1720" s="119" t="str">
        <f>IFERROR(__xludf.DUMMYFUNCTION("""COMPUTED_VALUE"""),"Nâu")</f>
        <v>Nâu</v>
      </c>
    </row>
    <row r="1721" ht="15.75" customHeight="1">
      <c r="A1721" s="128" t="str">
        <f>IFERROR(__xludf.DUMMYFUNCTION("""COMPUTED_VALUE"""),"0905 106 090")</f>
        <v>0905 106 090</v>
      </c>
      <c r="B1721" s="127" t="str">
        <f>IFERROR(__xludf.DUMMYFUNCTION("""COMPUTED_VALUE"""),"anh Mẫn")</f>
        <v>anh Mẫn</v>
      </c>
      <c r="C1721" s="127" t="str">
        <f>IFERROR(__xludf.DUMMYFUNCTION("""COMPUTED_VALUE"""),"Hồ Xuân Hương")</f>
        <v>Hồ Xuân Hương</v>
      </c>
      <c r="D1721" s="127" t="str">
        <f>IFERROR(__xludf.DUMMYFUNCTION("""COMPUTED_VALUE"""),"Chó")</f>
        <v>Chó</v>
      </c>
      <c r="E1721" s="127" t="str">
        <f>IFERROR(__xludf.DUMMYFUNCTION("""COMPUTED_VALUE"""),"Lem")</f>
        <v>Lem</v>
      </c>
    </row>
    <row r="1722" ht="15.75" customHeight="1">
      <c r="A1722" s="128" t="str">
        <f>IFERROR(__xludf.DUMMYFUNCTION("""COMPUTED_VALUE"""),"0392 373 012")</f>
        <v>0392 373 012</v>
      </c>
      <c r="B1722" s="127" t="str">
        <f>IFERROR(__xludf.DUMMYFUNCTION("""COMPUTED_VALUE"""),"Hoàng Anh")</f>
        <v>Hoàng Anh</v>
      </c>
      <c r="C1722" s="127" t="str">
        <f>IFERROR(__xludf.DUMMYFUNCTION("""COMPUTED_VALUE"""),"66 Hồ Hà")</f>
        <v>66 Hồ Hà</v>
      </c>
      <c r="D1722" s="127" t="str">
        <f>IFERROR(__xludf.DUMMYFUNCTION("""COMPUTED_VALUE"""),"mèo")</f>
        <v>mèo</v>
      </c>
      <c r="E1722" s="127" t="str">
        <f>IFERROR(__xludf.DUMMYFUNCTION("""COMPUTED_VALUE"""),"su ")</f>
        <v>su </v>
      </c>
    </row>
    <row r="1723" ht="15.75" customHeight="1">
      <c r="A1723" s="128" t="str">
        <f>IFERROR(__xludf.DUMMYFUNCTION("""COMPUTED_VALUE"""),"0762 319 231")</f>
        <v>0762 319 231</v>
      </c>
      <c r="B1723" s="127" t="str">
        <f>IFERROR(__xludf.DUMMYFUNCTION("""COMPUTED_VALUE"""),"chị zem")</f>
        <v>chị zem</v>
      </c>
      <c r="C1723" s="127" t="str">
        <f>IFERROR(__xludf.DUMMYFUNCTION("""COMPUTED_VALUE"""),"13/11 Nguyễn Khuyến")</f>
        <v>13/11 Nguyễn Khuyến</v>
      </c>
      <c r="D1723" s="127" t="str">
        <f>IFERROR(__xludf.DUMMYFUNCTION("""COMPUTED_VALUE"""),"chó")</f>
        <v>chó</v>
      </c>
      <c r="E1723" s="127" t="str">
        <f>IFERROR(__xludf.DUMMYFUNCTION("""COMPUTED_VALUE"""),"ha Vi")</f>
        <v>ha Vi</v>
      </c>
    </row>
    <row r="1724" ht="15.75" customHeight="1">
      <c r="A1724" s="128" t="str">
        <f>IFERROR(__xludf.DUMMYFUNCTION("""COMPUTED_VALUE"""),"0977 904 781")</f>
        <v>0977 904 781</v>
      </c>
      <c r="B1724" s="127" t="str">
        <f>IFERROR(__xludf.DUMMYFUNCTION("""COMPUTED_VALUE"""),"Anh Phúc")</f>
        <v>Anh Phúc</v>
      </c>
      <c r="C1724" s="127" t="str">
        <f>IFERROR(__xludf.DUMMYFUNCTION("""COMPUTED_VALUE"""),"Đà Nẵng")</f>
        <v>Đà Nẵng</v>
      </c>
      <c r="D1724" s="127" t="str">
        <f>IFERROR(__xludf.DUMMYFUNCTION("""COMPUTED_VALUE"""),"Chó")</f>
        <v>Chó</v>
      </c>
      <c r="E1724" s="127" t="str">
        <f>IFERROR(__xludf.DUMMYFUNCTION("""COMPUTED_VALUE"""),"Haru")</f>
        <v>Haru</v>
      </c>
    </row>
    <row r="1725" ht="15.75" customHeight="1">
      <c r="A1725" s="128" t="str">
        <f>IFERROR(__xludf.DUMMYFUNCTION("""COMPUTED_VALUE"""),"0905 471 340")</f>
        <v>0905 471 340</v>
      </c>
      <c r="B1725" s="127" t="str">
        <f>IFERROR(__xludf.DUMMYFUNCTION("""COMPUTED_VALUE"""),"Dì Hương")</f>
        <v>Dì Hương</v>
      </c>
      <c r="C1725" s="127" t="str">
        <f>IFERROR(__xludf.DUMMYFUNCTION("""COMPUTED_VALUE"""),"53 Lê Quang Quyền")</f>
        <v>53 Lê Quang Quyền</v>
      </c>
      <c r="D1725" s="127" t="str">
        <f>IFERROR(__xludf.DUMMYFUNCTION("""COMPUTED_VALUE"""),"Chó")</f>
        <v>Chó</v>
      </c>
      <c r="E1725" s="127" t="str">
        <f>IFERROR(__xludf.DUMMYFUNCTION("""COMPUTED_VALUE"""),"Kiki")</f>
        <v>Kiki</v>
      </c>
    </row>
    <row r="1726" ht="15.75" customHeight="1">
      <c r="A1726" s="128" t="str">
        <f>IFERROR(__xludf.DUMMYFUNCTION("""COMPUTED_VALUE"""),"0787 783 886")</f>
        <v>0787 783 886</v>
      </c>
      <c r="B1726" s="127" t="str">
        <f>IFERROR(__xludf.DUMMYFUNCTION("""COMPUTED_VALUE"""),"Anh Tuấn")</f>
        <v>Anh Tuấn</v>
      </c>
      <c r="C1726" s="127" t="str">
        <f>IFERROR(__xludf.DUMMYFUNCTION("""COMPUTED_VALUE"""),"Phú Mộng")</f>
        <v>Phú Mộng</v>
      </c>
      <c r="D1726" s="127" t="str">
        <f>IFERROR(__xludf.DUMMYFUNCTION("""COMPUTED_VALUE"""),"Mèo")</f>
        <v>Mèo</v>
      </c>
      <c r="E1726" s="127" t="str">
        <f>IFERROR(__xludf.DUMMYFUNCTION("""COMPUTED_VALUE"""),"Táo")</f>
        <v>Táo</v>
      </c>
    </row>
    <row r="1727" ht="15.75" customHeight="1">
      <c r="A1727" s="128" t="str">
        <f>IFERROR(__xludf.DUMMYFUNCTION("""COMPUTED_VALUE"""),"0385 987 698")</f>
        <v>0385 987 698</v>
      </c>
      <c r="B1727" s="127" t="str">
        <f>IFERROR(__xludf.DUMMYFUNCTION("""COMPUTED_VALUE"""),"Thành")</f>
        <v>Thành</v>
      </c>
      <c r="C1727" s="127" t="str">
        <f>IFERROR(__xludf.DUMMYFUNCTION("""COMPUTED_VALUE"""),"38 Nguyễn Khánh Toàn")</f>
        <v>38 Nguyễn Khánh Toàn</v>
      </c>
      <c r="D1727" s="127" t="str">
        <f>IFERROR(__xludf.DUMMYFUNCTION("""COMPUTED_VALUE"""),"chó")</f>
        <v>chó</v>
      </c>
      <c r="E1727" s="119" t="str">
        <f>IFERROR(__xludf.DUMMYFUNCTION("""COMPUTED_VALUE"""),"bu ")</f>
        <v>bu </v>
      </c>
    </row>
    <row r="1728" ht="15.75" customHeight="1">
      <c r="A1728" s="128" t="str">
        <f>IFERROR(__xludf.DUMMYFUNCTION("""COMPUTED_VALUE"""),"0784 382 222")</f>
        <v>0784 382 222</v>
      </c>
      <c r="B1728" s="127" t="str">
        <f>IFERROR(__xludf.DUMMYFUNCTION("""COMPUTED_VALUE"""),"Chị Ny")</f>
        <v>Chị Ny</v>
      </c>
      <c r="C1728" s="127" t="str">
        <f>IFERROR(__xludf.DUMMYFUNCTION("""COMPUTED_VALUE"""),"16/63 Điện Biên Phủ")</f>
        <v>16/63 Điện Biên Phủ</v>
      </c>
      <c r="D1728" s="127" t="str">
        <f>IFERROR(__xludf.DUMMYFUNCTION("""COMPUTED_VALUE"""),"Mèo")</f>
        <v>Mèo</v>
      </c>
      <c r="E1728" s="127" t="str">
        <f>IFERROR(__xludf.DUMMYFUNCTION("""COMPUTED_VALUE"""),"bim ")</f>
        <v>bim </v>
      </c>
    </row>
    <row r="1729" ht="15.75" customHeight="1">
      <c r="A1729" s="128" t="str">
        <f>IFERROR(__xludf.DUMMYFUNCTION("""COMPUTED_VALUE"""),"0824 161 954")</f>
        <v>0824 161 954</v>
      </c>
      <c r="B1729" s="127" t="str">
        <f>IFERROR(__xludf.DUMMYFUNCTION("""COMPUTED_VALUE"""),"Bác Tuần")</f>
        <v>Bác Tuần</v>
      </c>
      <c r="C1729" s="127" t="str">
        <f>IFERROR(__xludf.DUMMYFUNCTION("""COMPUTED_VALUE"""),"Thuận An")</f>
        <v>Thuận An</v>
      </c>
      <c r="D1729" s="127" t="str">
        <f>IFERROR(__xludf.DUMMYFUNCTION("""COMPUTED_VALUE"""),"chó")</f>
        <v>chó</v>
      </c>
      <c r="E1729" s="127" t="str">
        <f>IFERROR(__xludf.DUMMYFUNCTION("""COMPUTED_VALUE"""),"Mực")</f>
        <v>Mực</v>
      </c>
    </row>
    <row r="1730" ht="15.75" customHeight="1">
      <c r="A1730" s="128" t="str">
        <f>IFERROR(__xludf.DUMMYFUNCTION("""COMPUTED_VALUE"""),"0848 880 369")</f>
        <v>0848 880 369</v>
      </c>
      <c r="B1730" s="127" t="str">
        <f>IFERROR(__xludf.DUMMYFUNCTION("""COMPUTED_VALUE"""),"Chị Huệ")</f>
        <v>Chị Huệ</v>
      </c>
      <c r="C1730" s="127" t="str">
        <f>IFERROR(__xludf.DUMMYFUNCTION("""COMPUTED_VALUE"""),"Lại Thế")</f>
        <v>Lại Thế</v>
      </c>
      <c r="D1730" s="127" t="str">
        <f>IFERROR(__xludf.DUMMYFUNCTION("""COMPUTED_VALUE"""),"Chó")</f>
        <v>Chó</v>
      </c>
      <c r="E1730" s="127" t="str">
        <f>IFERROR(__xludf.DUMMYFUNCTION("""COMPUTED_VALUE"""),"Ki")</f>
        <v>Ki</v>
      </c>
    </row>
    <row r="1731" ht="15.75" customHeight="1">
      <c r="A1731" s="128" t="str">
        <f>IFERROR(__xludf.DUMMYFUNCTION("""COMPUTED_VALUE"""),"0777 722 254")</f>
        <v>0777 722 254</v>
      </c>
      <c r="B1731" s="127" t="str">
        <f>IFERROR(__xludf.DUMMYFUNCTION("""COMPUTED_VALUE"""),"Chị Nga")</f>
        <v>Chị Nga</v>
      </c>
      <c r="C1731" s="127"/>
      <c r="D1731" s="127" t="str">
        <f>IFERROR(__xludf.DUMMYFUNCTION("""COMPUTED_VALUE"""),"chó")</f>
        <v>chó</v>
      </c>
      <c r="E1731" s="127" t="str">
        <f>IFERROR(__xludf.DUMMYFUNCTION("""COMPUTED_VALUE"""),"Happy")</f>
        <v>Happy</v>
      </c>
    </row>
    <row r="1732" ht="15.75" customHeight="1">
      <c r="A1732" s="128" t="str">
        <f>IFERROR(__xludf.DUMMYFUNCTION("""COMPUTED_VALUE"""),"0983 392 641")</f>
        <v>0983 392 641</v>
      </c>
      <c r="B1732" s="127" t="str">
        <f>IFERROR(__xludf.DUMMYFUNCTION("""COMPUTED_VALUE"""),"Cô Hà")</f>
        <v>Cô Hà</v>
      </c>
      <c r="C1732" s="127" t="str">
        <f>IFERROR(__xludf.DUMMYFUNCTION("""COMPUTED_VALUE"""),"Lại Thế")</f>
        <v>Lại Thế</v>
      </c>
      <c r="D1732" s="127" t="str">
        <f>IFERROR(__xludf.DUMMYFUNCTION("""COMPUTED_VALUE"""),"mèo")</f>
        <v>mèo</v>
      </c>
      <c r="E1732" s="127"/>
    </row>
    <row r="1733" ht="15.75" customHeight="1">
      <c r="A1733" s="128" t="str">
        <f>IFERROR(__xludf.DUMMYFUNCTION("""COMPUTED_VALUE"""),"0762 604 613")</f>
        <v>0762 604 613</v>
      </c>
      <c r="B1733" s="127" t="str">
        <f>IFERROR(__xludf.DUMMYFUNCTION("""COMPUTED_VALUE"""),"Anh Tuấn")</f>
        <v>Anh Tuấn</v>
      </c>
      <c r="C1733" s="127" t="str">
        <f>IFERROR(__xludf.DUMMYFUNCTION("""COMPUTED_VALUE"""),"227 Trần Phú")</f>
        <v>227 Trần Phú</v>
      </c>
      <c r="D1733" s="127" t="str">
        <f>IFERROR(__xludf.DUMMYFUNCTION("""COMPUTED_VALUE"""),"mèo")</f>
        <v>mèo</v>
      </c>
      <c r="E1733" s="127" t="str">
        <f>IFERROR(__xludf.DUMMYFUNCTION("""COMPUTED_VALUE"""),"Yorn")</f>
        <v>Yorn</v>
      </c>
    </row>
    <row r="1734" ht="15.75" customHeight="1">
      <c r="A1734" s="128" t="str">
        <f>IFERROR(__xludf.DUMMYFUNCTION("""COMPUTED_VALUE"""),"0932 557 923")</f>
        <v>0932 557 923</v>
      </c>
      <c r="B1734" s="127" t="str">
        <f>IFERROR(__xludf.DUMMYFUNCTION("""COMPUTED_VALUE"""),"Dì Na")</f>
        <v>Dì Na</v>
      </c>
      <c r="C1734" s="127" t="str">
        <f>IFERROR(__xludf.DUMMYFUNCTION("""COMPUTED_VALUE"""),"268 Lý Nam Đế")</f>
        <v>268 Lý Nam Đế</v>
      </c>
      <c r="D1734" s="127" t="str">
        <f>IFERROR(__xludf.DUMMYFUNCTION("""COMPUTED_VALUE"""),"mèo")</f>
        <v>mèo</v>
      </c>
      <c r="E1734" s="127" t="str">
        <f>IFERROR(__xludf.DUMMYFUNCTION("""COMPUTED_VALUE"""),"Mây")</f>
        <v>Mây</v>
      </c>
    </row>
    <row r="1735" ht="15.75" customHeight="1">
      <c r="A1735" s="128" t="str">
        <f>IFERROR(__xludf.DUMMYFUNCTION("""COMPUTED_VALUE"""),"0895 545 382")</f>
        <v>0895 545 382</v>
      </c>
      <c r="B1735" s="127" t="str">
        <f>IFERROR(__xludf.DUMMYFUNCTION("""COMPUTED_VALUE"""),"Quỳnh")</f>
        <v>Quỳnh</v>
      </c>
      <c r="C1735" s="127" t="str">
        <f>IFERROR(__xludf.DUMMYFUNCTION("""COMPUTED_VALUE"""),"24/21 Xuân Diệu")</f>
        <v>24/21 Xuân Diệu</v>
      </c>
      <c r="D1735" s="127" t="str">
        <f>IFERROR(__xludf.DUMMYFUNCTION("""COMPUTED_VALUE"""),"mèo")</f>
        <v>mèo</v>
      </c>
      <c r="E1735" s="127" t="str">
        <f>IFERROR(__xludf.DUMMYFUNCTION("""COMPUTED_VALUE""")," Ổi")</f>
        <v> Ổi</v>
      </c>
    </row>
    <row r="1736" ht="15.75" customHeight="1">
      <c r="A1736" s="128" t="str">
        <f>IFERROR(__xludf.DUMMYFUNCTION("""COMPUTED_VALUE"""),"0395 241 123")</f>
        <v>0395 241 123</v>
      </c>
      <c r="B1736" s="133" t="str">
        <f>IFERROR(__xludf.DUMMYFUNCTION("""COMPUTED_VALUE"""),"Chị Thảo")</f>
        <v>Chị Thảo</v>
      </c>
      <c r="C1736" s="127" t="str">
        <f>IFERROR(__xludf.DUMMYFUNCTION("""COMPUTED_VALUE"""),"61 Nguyễn Hoàng")</f>
        <v>61 Nguyễn Hoàng</v>
      </c>
      <c r="D1736" s="127" t="str">
        <f>IFERROR(__xludf.DUMMYFUNCTION("""COMPUTED_VALUE"""),"chó")</f>
        <v>chó</v>
      </c>
      <c r="E1736" s="127" t="str">
        <f>IFERROR(__xludf.DUMMYFUNCTION("""COMPUTED_VALUE"""),"Chít")</f>
        <v>Chít</v>
      </c>
    </row>
    <row r="1737" ht="15.75" customHeight="1">
      <c r="A1737" s="128" t="str">
        <f>IFERROR(__xludf.DUMMYFUNCTION("""COMPUTED_VALUE"""),"0378 941 632")</f>
        <v>0378 941 632</v>
      </c>
      <c r="B1737" s="127" t="str">
        <f>IFERROR(__xludf.DUMMYFUNCTION("""COMPUTED_VALUE"""),"Tịnh Thất Long Ẩn")</f>
        <v>Tịnh Thất Long Ẩn</v>
      </c>
      <c r="C1737" s="127"/>
      <c r="D1737" s="127" t="str">
        <f>IFERROR(__xludf.DUMMYFUNCTION("""COMPUTED_VALUE"""),"chó")</f>
        <v>chó</v>
      </c>
      <c r="E1737" s="127" t="str">
        <f>IFERROR(__xludf.DUMMYFUNCTION("""COMPUTED_VALUE""")," Tom")</f>
        <v> Tom</v>
      </c>
    </row>
    <row r="1738" ht="15.75" customHeight="1">
      <c r="A1738" s="128" t="str">
        <f>IFERROR(__xludf.DUMMYFUNCTION("""COMPUTED_VALUE"""),"0963 184 367")</f>
        <v>0963 184 367</v>
      </c>
      <c r="B1738" s="127" t="str">
        <f>IFERROR(__xludf.DUMMYFUNCTION("""COMPUTED_VALUE"""),"Chị Ly")</f>
        <v>Chị Ly</v>
      </c>
      <c r="C1738" s="127" t="str">
        <f>IFERROR(__xludf.DUMMYFUNCTION("""COMPUTED_VALUE"""),"Hương Hồ")</f>
        <v>Hương Hồ</v>
      </c>
      <c r="D1738" s="127" t="str">
        <f>IFERROR(__xludf.DUMMYFUNCTION("""COMPUTED_VALUE"""),"chó")</f>
        <v>chó</v>
      </c>
      <c r="E1738" s="119" t="str">
        <f>IFERROR(__xludf.DUMMYFUNCTION("""COMPUTED_VALUE"""),"Bốp")</f>
        <v>Bốp</v>
      </c>
    </row>
    <row r="1739" ht="15.75" customHeight="1">
      <c r="A1739" s="128" t="str">
        <f>IFERROR(__xludf.DUMMYFUNCTION("""COMPUTED_VALUE"""),"0961 337 231")</f>
        <v>0961 337 231</v>
      </c>
      <c r="B1739" s="133" t="str">
        <f>IFERROR(__xludf.DUMMYFUNCTION("""COMPUTED_VALUE"""),"Thầy Nhật Chơn")</f>
        <v>Thầy Nhật Chơn</v>
      </c>
      <c r="C1739" s="127" t="str">
        <f>IFERROR(__xludf.DUMMYFUNCTION("""COMPUTED_VALUE"""),"Chùa Phước Duyên")</f>
        <v>Chùa Phước Duyên</v>
      </c>
      <c r="D1739" s="127" t="str">
        <f>IFERROR(__xludf.DUMMYFUNCTION("""COMPUTED_VALUE"""),"chó")</f>
        <v>chó</v>
      </c>
      <c r="E1739" s="119" t="str">
        <f>IFERROR(__xludf.DUMMYFUNCTION("""COMPUTED_VALUE"""),"Đôn")</f>
        <v>Đôn</v>
      </c>
    </row>
    <row r="1740" ht="15.75" customHeight="1">
      <c r="A1740" s="128" t="str">
        <f>IFERROR(__xludf.DUMMYFUNCTION("""COMPUTED_VALUE"""),"0796 762 786")</f>
        <v>0796 762 786</v>
      </c>
      <c r="B1740" s="127" t="str">
        <f>IFERROR(__xludf.DUMMYFUNCTION("""COMPUTED_VALUE"""),"Em Vân")</f>
        <v>Em Vân</v>
      </c>
      <c r="C1740" s="127" t="str">
        <f>IFERROR(__xludf.DUMMYFUNCTION("""COMPUTED_VALUE"""),"400 Lê Duẩn")</f>
        <v>400 Lê Duẩn</v>
      </c>
      <c r="D1740" s="127" t="str">
        <f>IFERROR(__xludf.DUMMYFUNCTION("""COMPUTED_VALUE"""),"Mèo")</f>
        <v>Mèo</v>
      </c>
      <c r="E1740" s="127" t="str">
        <f>IFERROR(__xludf.DUMMYFUNCTION("""COMPUTED_VALUE"""),"Bo")</f>
        <v>Bo</v>
      </c>
    </row>
    <row r="1741" ht="15.75" customHeight="1">
      <c r="A1741" s="128" t="str">
        <f>IFERROR(__xludf.DUMMYFUNCTION("""COMPUTED_VALUE"""),"0385 449 239")</f>
        <v>0385 449 239</v>
      </c>
      <c r="B1741" s="127" t="str">
        <f>IFERROR(__xludf.DUMMYFUNCTION("""COMPUTED_VALUE"""),"Chị Xuân")</f>
        <v>Chị Xuân</v>
      </c>
      <c r="C1741" s="127" t="str">
        <f>IFERROR(__xludf.DUMMYFUNCTION("""COMPUTED_VALUE"""),"Kiệt 53 phạm Thị Liên")</f>
        <v>Kiệt 53 phạm Thị Liên</v>
      </c>
      <c r="D1741" s="127" t="str">
        <f>IFERROR(__xludf.DUMMYFUNCTION("""COMPUTED_VALUE"""),"Mèo")</f>
        <v>Mèo</v>
      </c>
      <c r="E1741" s="127"/>
    </row>
    <row r="1742" ht="15.75" customHeight="1">
      <c r="A1742" s="128" t="str">
        <f>IFERROR(__xludf.DUMMYFUNCTION("""COMPUTED_VALUE"""),"0935 352 699")</f>
        <v>0935 352 699</v>
      </c>
      <c r="B1742" s="127" t="str">
        <f>IFERROR(__xludf.DUMMYFUNCTION("""COMPUTED_VALUE"""),"Chị Ngọc Hà")</f>
        <v>Chị Ngọc Hà</v>
      </c>
      <c r="C1742" s="127" t="str">
        <f>IFERROR(__xludf.DUMMYFUNCTION("""COMPUTED_VALUE"""),"63 Lại Thế")</f>
        <v>63 Lại Thế</v>
      </c>
      <c r="D1742" s="127" t="str">
        <f>IFERROR(__xludf.DUMMYFUNCTION("""COMPUTED_VALUE"""),"Chó")</f>
        <v>Chó</v>
      </c>
      <c r="E1742" s="127" t="str">
        <f>IFERROR(__xludf.DUMMYFUNCTION("""COMPUTED_VALUE"""),"Fox")</f>
        <v>Fox</v>
      </c>
    </row>
    <row r="1743" ht="15.75" customHeight="1">
      <c r="A1743" s="128" t="str">
        <f>IFERROR(__xludf.DUMMYFUNCTION("""COMPUTED_VALUE"""),"0905 938 181")</f>
        <v>0905 938 181</v>
      </c>
      <c r="B1743" s="127" t="str">
        <f>IFERROR(__xludf.DUMMYFUNCTION("""COMPUTED_VALUE"""),"Chị Tâm")</f>
        <v>Chị Tâm</v>
      </c>
      <c r="C1743" s="127" t="str">
        <f>IFERROR(__xludf.DUMMYFUNCTION("""COMPUTED_VALUE"""),"Hương Xuân - Hương Trà")</f>
        <v>Hương Xuân - Hương Trà</v>
      </c>
      <c r="D1743" s="127" t="str">
        <f>IFERROR(__xludf.DUMMYFUNCTION("""COMPUTED_VALUE"""),"chó")</f>
        <v>chó</v>
      </c>
      <c r="E1743" s="127" t="str">
        <f>IFERROR(__xludf.DUMMYFUNCTION("""COMPUTED_VALUE"""),"Ruby")</f>
        <v>Ruby</v>
      </c>
    </row>
    <row r="1744" ht="15.75" customHeight="1">
      <c r="A1744" s="128" t="str">
        <f>IFERROR(__xludf.DUMMYFUNCTION("""COMPUTED_VALUE"""),"0708 496 330")</f>
        <v>0708 496 330</v>
      </c>
      <c r="B1744" s="127" t="str">
        <f>IFERROR(__xludf.DUMMYFUNCTION("""COMPUTED_VALUE"""),"Chú Sơn")</f>
        <v>Chú Sơn</v>
      </c>
      <c r="C1744" s="127" t="str">
        <f>IFERROR(__xludf.DUMMYFUNCTION("""COMPUTED_VALUE"""),"6/76 Thạch Hãn")</f>
        <v>6/76 Thạch Hãn</v>
      </c>
      <c r="D1744" s="127" t="str">
        <f>IFERROR(__xludf.DUMMYFUNCTION("""COMPUTED_VALUE"""),"Chó")</f>
        <v>Chó</v>
      </c>
      <c r="E1744" s="127" t="str">
        <f>IFERROR(__xludf.DUMMYFUNCTION("""COMPUTED_VALUE"""),"Rin")</f>
        <v>Rin</v>
      </c>
    </row>
    <row r="1745" ht="15.75" customHeight="1">
      <c r="A1745" s="128" t="str">
        <f>IFERROR(__xludf.DUMMYFUNCTION("""COMPUTED_VALUE"""),"0795 724 401")</f>
        <v>0795 724 401</v>
      </c>
      <c r="B1745" s="134" t="str">
        <f>IFERROR(__xludf.DUMMYFUNCTION("""COMPUTED_VALUE"""),"Anh Kiệt")</f>
        <v>Anh Kiệt</v>
      </c>
      <c r="C1745" s="127" t="str">
        <f>IFERROR(__xludf.DUMMYFUNCTION("""COMPUTED_VALUE"""),"282 Lê Duẩn")</f>
        <v>282 Lê Duẩn</v>
      </c>
      <c r="D1745" s="127" t="str">
        <f>IFERROR(__xludf.DUMMYFUNCTION("""COMPUTED_VALUE"""),"chó")</f>
        <v>chó</v>
      </c>
      <c r="E1745" s="119" t="str">
        <f>IFERROR(__xludf.DUMMYFUNCTION("""COMPUTED_VALUE"""),"Vàng")</f>
        <v>Vàng</v>
      </c>
    </row>
    <row r="1746" ht="15.75" customHeight="1">
      <c r="A1746" s="128" t="str">
        <f>IFERROR(__xludf.DUMMYFUNCTION("""COMPUTED_VALUE"""),"0796 575 755")</f>
        <v>0796 575 755</v>
      </c>
      <c r="B1746" s="127" t="str">
        <f>IFERROR(__xludf.DUMMYFUNCTION("""COMPUTED_VALUE"""),"Chị Hiền")</f>
        <v>Chị Hiền</v>
      </c>
      <c r="C1746" s="127" t="str">
        <f>IFERROR(__xludf.DUMMYFUNCTION("""COMPUTED_VALUE"""),"53 Nguyễn Phúc Lan")</f>
        <v>53 Nguyễn Phúc Lan</v>
      </c>
      <c r="D1746" s="127" t="str">
        <f>IFERROR(__xludf.DUMMYFUNCTION("""COMPUTED_VALUE"""),"chó")</f>
        <v>chó</v>
      </c>
      <c r="E1746" s="127" t="str">
        <f>IFERROR(__xludf.DUMMYFUNCTION("""COMPUTED_VALUE"""),"Phóc")</f>
        <v>Phóc</v>
      </c>
    </row>
    <row r="1747" ht="15.75" customHeight="1">
      <c r="A1747" s="128" t="str">
        <f>IFERROR(__xludf.DUMMYFUNCTION("""COMPUTED_VALUE"""),"0702 414 349")</f>
        <v>0702 414 349</v>
      </c>
      <c r="B1747" s="127" t="str">
        <f>IFERROR(__xludf.DUMMYFUNCTION("""COMPUTED_VALUE"""),"Anh Quang")</f>
        <v>Anh Quang</v>
      </c>
      <c r="C1747" s="127" t="str">
        <f>IFERROR(__xludf.DUMMYFUNCTION("""COMPUTED_VALUE"""),"02 Nguyễn Trọng Nhân")</f>
        <v>02 Nguyễn Trọng Nhân</v>
      </c>
      <c r="D1747" s="127" t="str">
        <f>IFERROR(__xludf.DUMMYFUNCTION("""COMPUTED_VALUE"""),"chó")</f>
        <v>chó</v>
      </c>
      <c r="E1747" s="127"/>
    </row>
    <row r="1748" ht="15.75" customHeight="1">
      <c r="A1748" s="128" t="str">
        <f>IFERROR(__xludf.DUMMYFUNCTION("""COMPUTED_VALUE"""),"0338 672 505")</f>
        <v>0338 672 505</v>
      </c>
      <c r="B1748" s="127" t="str">
        <f>IFERROR(__xludf.DUMMYFUNCTION("""COMPUTED_VALUE"""),"Chị Phụng")</f>
        <v>Chị Phụng</v>
      </c>
      <c r="C1748" s="127" t="str">
        <f>IFERROR(__xludf.DUMMYFUNCTION("""COMPUTED_VALUE"""),"TDP 5 TT Phú Lộc")</f>
        <v>TDP 5 TT Phú Lộc</v>
      </c>
      <c r="D1748" s="127" t="str">
        <f>IFERROR(__xludf.DUMMYFUNCTION("""COMPUTED_VALUE"""),"chó")</f>
        <v>chó</v>
      </c>
      <c r="E1748" s="127" t="str">
        <f>IFERROR(__xludf.DUMMYFUNCTION("""COMPUTED_VALUE"""),"Lucky")</f>
        <v>Lucky</v>
      </c>
    </row>
    <row r="1749" ht="15.75" customHeight="1">
      <c r="A1749" s="128" t="str">
        <f>IFERROR(__xludf.DUMMYFUNCTION("""COMPUTED_VALUE"""),"0914 414 919")</f>
        <v>0914 414 919</v>
      </c>
      <c r="B1749" s="127" t="str">
        <f>IFERROR(__xludf.DUMMYFUNCTION("""COMPUTED_VALUE"""),"Em Hồng Nhi")</f>
        <v>Em Hồng Nhi</v>
      </c>
      <c r="C1749" s="127" t="str">
        <f>IFERROR(__xludf.DUMMYFUNCTION("""COMPUTED_VALUE"""),"19 Tôn Đức Thắng")</f>
        <v>19 Tôn Đức Thắng</v>
      </c>
      <c r="D1749" s="127" t="str">
        <f>IFERROR(__xludf.DUMMYFUNCTION("""COMPUTED_VALUE"""),"mèo")</f>
        <v>mèo</v>
      </c>
      <c r="E1749" s="127" t="str">
        <f>IFERROR(__xludf.DUMMYFUNCTION("""COMPUTED_VALUE"""),"Mánh")</f>
        <v>Mánh</v>
      </c>
    </row>
    <row r="1750" ht="15.75" customHeight="1">
      <c r="A1750" s="128" t="str">
        <f>IFERROR(__xludf.DUMMYFUNCTION("""COMPUTED_VALUE"""),"0352 656 538")</f>
        <v>0352 656 538</v>
      </c>
      <c r="B1750" s="127" t="str">
        <f>IFERROR(__xludf.DUMMYFUNCTION("""COMPUTED_VALUE"""),"Anh Trường")</f>
        <v>Anh Trường</v>
      </c>
      <c r="C1750" s="127" t="str">
        <f>IFERROR(__xludf.DUMMYFUNCTION("""COMPUTED_VALUE"""),"Hương Hồ")</f>
        <v>Hương Hồ</v>
      </c>
      <c r="D1750" s="127" t="str">
        <f>IFERROR(__xludf.DUMMYFUNCTION("""COMPUTED_VALUE"""),"chó")</f>
        <v>chó</v>
      </c>
      <c r="E1750" s="127" t="str">
        <f>IFERROR(__xludf.DUMMYFUNCTION("""COMPUTED_VALUE"""),"Rốt")</f>
        <v>Rốt</v>
      </c>
    </row>
    <row r="1751" ht="15.75" customHeight="1">
      <c r="A1751" s="128" t="str">
        <f>IFERROR(__xludf.DUMMYFUNCTION("""COMPUTED_VALUE"""),"0387 853 477")</f>
        <v>0387 853 477</v>
      </c>
      <c r="B1751" s="127" t="str">
        <f>IFERROR(__xludf.DUMMYFUNCTION("""COMPUTED_VALUE"""),"Anh Hà")</f>
        <v>Anh Hà</v>
      </c>
      <c r="C1751" s="127" t="str">
        <f>IFERROR(__xludf.DUMMYFUNCTION("""COMPUTED_VALUE"""),"gần BV tâm thần Phạm Thị Liên")</f>
        <v>gần BV tâm thần Phạm Thị Liên</v>
      </c>
      <c r="D1751" s="127" t="str">
        <f>IFERROR(__xludf.DUMMYFUNCTION("""COMPUTED_VALUE"""),"mèo")</f>
        <v>mèo</v>
      </c>
      <c r="E1751" s="119" t="str">
        <f>IFERROR(__xludf.DUMMYFUNCTION("""COMPUTED_VALUE"""),"Ngáo")</f>
        <v>Ngáo</v>
      </c>
    </row>
    <row r="1752" ht="15.75" customHeight="1">
      <c r="A1752" s="128" t="str">
        <f>IFERROR(__xludf.DUMMYFUNCTION("""COMPUTED_VALUE"""),"0914 390 626")</f>
        <v>0914 390 626</v>
      </c>
      <c r="B1752" s="127" t="str">
        <f>IFERROR(__xludf.DUMMYFUNCTION("""COMPUTED_VALUE"""),"Dì Thủy")</f>
        <v>Dì Thủy</v>
      </c>
      <c r="C1752" s="127" t="str">
        <f>IFERROR(__xludf.DUMMYFUNCTION("""COMPUTED_VALUE"""),"16/6/2 Nguyễn Hữu Dật")</f>
        <v>16/6/2 Nguyễn Hữu Dật</v>
      </c>
      <c r="D1752" s="127" t="str">
        <f>IFERROR(__xludf.DUMMYFUNCTION("""COMPUTED_VALUE"""),"chó")</f>
        <v>chó</v>
      </c>
      <c r="E1752" s="127" t="str">
        <f>IFERROR(__xludf.DUMMYFUNCTION("""COMPUTED_VALUE"""),"Rốt")</f>
        <v>Rốt</v>
      </c>
    </row>
    <row r="1753" ht="15.75" customHeight="1">
      <c r="A1753" s="128" t="str">
        <f>IFERROR(__xludf.DUMMYFUNCTION("""COMPUTED_VALUE"""),"0935 155 184")</f>
        <v>0935 155 184</v>
      </c>
      <c r="B1753" s="127" t="str">
        <f>IFERROR(__xludf.DUMMYFUNCTION("""COMPUTED_VALUE"""),"Anh Minh")</f>
        <v>Anh Minh</v>
      </c>
      <c r="C1753" s="127" t="str">
        <f>IFERROR(__xludf.DUMMYFUNCTION("""COMPUTED_VALUE"""),"133 Vạn Xuân")</f>
        <v>133 Vạn Xuân</v>
      </c>
      <c r="D1753" s="127" t="str">
        <f>IFERROR(__xludf.DUMMYFUNCTION("""COMPUTED_VALUE"""),"chó")</f>
        <v>chó</v>
      </c>
      <c r="E1753" s="127" t="str">
        <f>IFERROR(__xludf.DUMMYFUNCTION("""COMPUTED_VALUE"""),"Soda")</f>
        <v>Soda</v>
      </c>
    </row>
    <row r="1754" ht="15.75" customHeight="1">
      <c r="A1754" s="128" t="str">
        <f>IFERROR(__xludf.DUMMYFUNCTION("""COMPUTED_VALUE"""),"0377 569 910")</f>
        <v>0377 569 910</v>
      </c>
      <c r="B1754" s="127" t="str">
        <f>IFERROR(__xludf.DUMMYFUNCTION("""COMPUTED_VALUE"""),"Chị Băng Băng")</f>
        <v>Chị Băng Băng</v>
      </c>
      <c r="C1754" s="127" t="str">
        <f>IFERROR(__xludf.DUMMYFUNCTION("""COMPUTED_VALUE"""),"26/137 Trường Chinh")</f>
        <v>26/137 Trường Chinh</v>
      </c>
      <c r="D1754" s="127" t="str">
        <f>IFERROR(__xludf.DUMMYFUNCTION("""COMPUTED_VALUE"""),"mèo")</f>
        <v>mèo</v>
      </c>
      <c r="E1754" s="119" t="str">
        <f>IFERROR(__xludf.DUMMYFUNCTION("""COMPUTED_VALUE"""),"Bông")</f>
        <v>Bông</v>
      </c>
    </row>
    <row r="1755" ht="15.75" customHeight="1">
      <c r="A1755" s="128" t="str">
        <f>IFERROR(__xludf.DUMMYFUNCTION("""COMPUTED_VALUE"""),"0983 881 298")</f>
        <v>0983 881 298</v>
      </c>
      <c r="B1755" s="127" t="str">
        <f>IFERROR(__xludf.DUMMYFUNCTION("""COMPUTED_VALUE"""),"ANh Tuấn Anh")</f>
        <v>ANh Tuấn Anh</v>
      </c>
      <c r="C1755" s="127" t="str">
        <f>IFERROR(__xludf.DUMMYFUNCTION("""COMPUTED_VALUE"""),"k245 Bùi Thị Xuân")</f>
        <v>k245 Bùi Thị Xuân</v>
      </c>
      <c r="D1755" s="127" t="str">
        <f>IFERROR(__xludf.DUMMYFUNCTION("""COMPUTED_VALUE"""),"chó")</f>
        <v>chó</v>
      </c>
      <c r="E1755" s="127" t="str">
        <f>IFERROR(__xludf.DUMMYFUNCTION("""COMPUTED_VALUE"""),"Riêu")</f>
        <v>Riêu</v>
      </c>
    </row>
    <row r="1756" ht="15.75" customHeight="1">
      <c r="A1756" s="128" t="str">
        <f>IFERROR(__xludf.DUMMYFUNCTION("""COMPUTED_VALUE"""),"0983 409 655")</f>
        <v>0983 409 655</v>
      </c>
      <c r="B1756" s="127" t="str">
        <f>IFERROR(__xludf.DUMMYFUNCTION("""COMPUTED_VALUE"""),"Chị Phương Nhi")</f>
        <v>Chị Phương Nhi</v>
      </c>
      <c r="C1756" s="127" t="str">
        <f>IFERROR(__xludf.DUMMYFUNCTION("""COMPUTED_VALUE"""),"43 Lý Thường Kiệt")</f>
        <v>43 Lý Thường Kiệt</v>
      </c>
      <c r="D1756" s="127" t="str">
        <f>IFERROR(__xludf.DUMMYFUNCTION("""COMPUTED_VALUE"""),"chó")</f>
        <v>chó</v>
      </c>
      <c r="E1756" s="127" t="str">
        <f>IFERROR(__xludf.DUMMYFUNCTION("""COMPUTED_VALUE"""),"Cà Rốt")</f>
        <v>Cà Rốt</v>
      </c>
    </row>
    <row r="1757" ht="15.75" customHeight="1">
      <c r="A1757" s="128" t="str">
        <f>IFERROR(__xludf.DUMMYFUNCTION("""COMPUTED_VALUE"""),"0397 289 932")</f>
        <v>0397 289 932</v>
      </c>
      <c r="B1757" s="127" t="str">
        <f>IFERROR(__xludf.DUMMYFUNCTION("""COMPUTED_VALUE"""),"Em Thảo")</f>
        <v>Em Thảo</v>
      </c>
      <c r="C1757" s="127" t="str">
        <f>IFERROR(__xludf.DUMMYFUNCTION("""COMPUTED_VALUE"""),"09 Tạc Hiệu Hương Sơ")</f>
        <v>09 Tạc Hiệu Hương Sơ</v>
      </c>
      <c r="D1757" s="127" t="str">
        <f>IFERROR(__xludf.DUMMYFUNCTION("""COMPUTED_VALUE"""),"mèo")</f>
        <v>mèo</v>
      </c>
      <c r="E1757" s="127" t="str">
        <f>IFERROR(__xludf.DUMMYFUNCTION("""COMPUTED_VALUE"""),"Tuyết")</f>
        <v>Tuyết</v>
      </c>
    </row>
    <row r="1758" ht="15.75" customHeight="1">
      <c r="A1758" s="128" t="str">
        <f>IFERROR(__xludf.DUMMYFUNCTION("""COMPUTED_VALUE"""),"0906 532 300")</f>
        <v>0906 532 300</v>
      </c>
      <c r="B1758" s="133" t="str">
        <f>IFERROR(__xludf.DUMMYFUNCTION("""COMPUTED_VALUE"""),"Anh Thọ")</f>
        <v>Anh Thọ</v>
      </c>
      <c r="C1758" s="127" t="str">
        <f>IFERROR(__xludf.DUMMYFUNCTION("""COMPUTED_VALUE"""),"xóm 3 Lại Thế")</f>
        <v>xóm 3 Lại Thế</v>
      </c>
      <c r="D1758" s="127" t="str">
        <f>IFERROR(__xludf.DUMMYFUNCTION("""COMPUTED_VALUE"""),"chó")</f>
        <v>chó</v>
      </c>
      <c r="E1758" s="127" t="str">
        <f>IFERROR(__xludf.DUMMYFUNCTION("""COMPUTED_VALUE"""),"vàng")</f>
        <v>vàng</v>
      </c>
    </row>
    <row r="1759" ht="15.75" customHeight="1">
      <c r="A1759" s="128" t="str">
        <f>IFERROR(__xludf.DUMMYFUNCTION("""COMPUTED_VALUE"""),"0865 487 523")</f>
        <v>0865 487 523</v>
      </c>
      <c r="B1759" s="127" t="str">
        <f>IFERROR(__xludf.DUMMYFUNCTION("""COMPUTED_VALUE"""),"Trần Minh Thuỷ")</f>
        <v>Trần Minh Thuỷ</v>
      </c>
      <c r="C1759" s="127" t="str">
        <f>IFERROR(__xludf.DUMMYFUNCTION("""COMPUTED_VALUE"""),"Hà Nội")</f>
        <v>Hà Nội</v>
      </c>
      <c r="D1759" s="127" t="str">
        <f>IFERROR(__xludf.DUMMYFUNCTION("""COMPUTED_VALUE"""),"chó")</f>
        <v>chó</v>
      </c>
      <c r="E1759" s="127" t="str">
        <f>IFERROR(__xludf.DUMMYFUNCTION("""COMPUTED_VALUE"""),"Bin")</f>
        <v>Bin</v>
      </c>
    </row>
    <row r="1760" ht="15.75" customHeight="1">
      <c r="A1760" s="128" t="str">
        <f>IFERROR(__xludf.DUMMYFUNCTION("""COMPUTED_VALUE"""),"0899 203 157")</f>
        <v>0899 203 157</v>
      </c>
      <c r="B1760" s="133" t="str">
        <f>IFERROR(__xludf.DUMMYFUNCTION("""COMPUTED_VALUE"""),"Hồng Nhung")</f>
        <v>Hồng Nhung</v>
      </c>
      <c r="C1760" s="127" t="str">
        <f>IFERROR(__xludf.DUMMYFUNCTION("""COMPUTED_VALUE"""),"k245 Phạm Văn Đồng")</f>
        <v>k245 Phạm Văn Đồng</v>
      </c>
      <c r="D1760" s="127" t="str">
        <f>IFERROR(__xludf.DUMMYFUNCTION("""COMPUTED_VALUE"""),"chó")</f>
        <v>chó</v>
      </c>
      <c r="E1760" s="127" t="str">
        <f>IFERROR(__xludf.DUMMYFUNCTION("""COMPUTED_VALUE"""),"Tàu")</f>
        <v>Tàu</v>
      </c>
    </row>
    <row r="1761" ht="15.75" customHeight="1">
      <c r="A1761" s="128" t="str">
        <f>IFERROR(__xludf.DUMMYFUNCTION("""COMPUTED_VALUE"""),"0961 987 745")</f>
        <v>0961 987 745</v>
      </c>
      <c r="B1761" s="127" t="str">
        <f>IFERROR(__xludf.DUMMYFUNCTION("""COMPUTED_VALUE"""),"Mỹ Thuận")</f>
        <v>Mỹ Thuận</v>
      </c>
      <c r="C1761" s="127" t="str">
        <f>IFERROR(__xludf.DUMMYFUNCTION("""COMPUTED_VALUE"""),"Phú Lộc")</f>
        <v>Phú Lộc</v>
      </c>
      <c r="D1761" s="127" t="str">
        <f>IFERROR(__xludf.DUMMYFUNCTION("""COMPUTED_VALUE"""),"Mèo")</f>
        <v>Mèo</v>
      </c>
      <c r="E1761" s="127" t="str">
        <f>IFERROR(__xludf.DUMMYFUNCTION("""COMPUTED_VALUE"""),"Miu")</f>
        <v>Miu</v>
      </c>
    </row>
    <row r="1762" ht="15.75" customHeight="1">
      <c r="A1762" s="128" t="str">
        <f>IFERROR(__xludf.DUMMYFUNCTION("""COMPUTED_VALUE"""),"0931 905 096")</f>
        <v>0931 905 096</v>
      </c>
      <c r="B1762" s="127" t="str">
        <f>IFERROR(__xludf.DUMMYFUNCTION("""COMPUTED_VALUE"""),"Anh Ngoc")</f>
        <v>Anh Ngoc</v>
      </c>
      <c r="C1762" s="127" t="str">
        <f>IFERROR(__xludf.DUMMYFUNCTION("""COMPUTED_VALUE"""),"Thị Trấn Phú Lộc")</f>
        <v>Thị Trấn Phú Lộc</v>
      </c>
      <c r="D1762" s="127" t="str">
        <f>IFERROR(__xludf.DUMMYFUNCTION("""COMPUTED_VALUE"""),"chó")</f>
        <v>chó</v>
      </c>
      <c r="E1762" s="127" t="str">
        <f>IFERROR(__xludf.DUMMYFUNCTION("""COMPUTED_VALUE""")," Bông")</f>
        <v> Bông</v>
      </c>
    </row>
    <row r="1763" ht="15.75" customHeight="1">
      <c r="A1763" s="128" t="str">
        <f>IFERROR(__xludf.DUMMYFUNCTION("""COMPUTED_VALUE"""),"0945 750 505")</f>
        <v>0945 750 505</v>
      </c>
      <c r="B1763" s="133" t="str">
        <f>IFERROR(__xludf.DUMMYFUNCTION("""COMPUTED_VALUE"""),"Anh Khánh")</f>
        <v>Anh Khánh</v>
      </c>
      <c r="C1763" s="127" t="str">
        <f>IFERROR(__xludf.DUMMYFUNCTION("""COMPUTED_VALUE"""),"1 Võ Thị Sáu")</f>
        <v>1 Võ Thị Sáu</v>
      </c>
      <c r="D1763" s="127" t="str">
        <f>IFERROR(__xludf.DUMMYFUNCTION("""COMPUTED_VALUE"""),"Mèo")</f>
        <v>Mèo</v>
      </c>
      <c r="E1763" s="127"/>
    </row>
    <row r="1764" ht="15.75" customHeight="1">
      <c r="A1764" s="128" t="str">
        <f>IFERROR(__xludf.DUMMYFUNCTION("""COMPUTED_VALUE"""),"0708 591 927")</f>
        <v>0708 591 927</v>
      </c>
      <c r="B1764" s="127" t="str">
        <f>IFERROR(__xludf.DUMMYFUNCTION("""COMPUTED_VALUE"""),"Lê Thị Hà")</f>
        <v>Lê Thị Hà</v>
      </c>
      <c r="C1764" s="127" t="str">
        <f>IFERROR(__xludf.DUMMYFUNCTION("""COMPUTED_VALUE"""),"3 tôn quang phiệt")</f>
        <v>3 tôn quang phiệt</v>
      </c>
      <c r="D1764" s="127" t="str">
        <f>IFERROR(__xludf.DUMMYFUNCTION("""COMPUTED_VALUE"""),"chó")</f>
        <v>chó</v>
      </c>
      <c r="E1764" s="127" t="str">
        <f>IFERROR(__xludf.DUMMYFUNCTION("""COMPUTED_VALUE"""),"MiLu")</f>
        <v>MiLu</v>
      </c>
    </row>
    <row r="1765" ht="15.75" customHeight="1">
      <c r="A1765" s="128" t="str">
        <f>IFERROR(__xludf.DUMMYFUNCTION("""COMPUTED_VALUE"""),"0943 171 010")</f>
        <v>0943 171 010</v>
      </c>
      <c r="B1765" s="127" t="str">
        <f>IFERROR(__xludf.DUMMYFUNCTION("""COMPUTED_VALUE"""),"Trương Đình Thạnh")</f>
        <v>Trương Đình Thạnh</v>
      </c>
      <c r="C1765" s="127" t="str">
        <f>IFERROR(__xludf.DUMMYFUNCTION("""COMPUTED_VALUE"""),"32/10/2 Lại Thế")</f>
        <v>32/10/2 Lại Thế</v>
      </c>
      <c r="D1765" s="127" t="str">
        <f>IFERROR(__xludf.DUMMYFUNCTION("""COMPUTED_VALUE"""),"chó")</f>
        <v>chó</v>
      </c>
      <c r="E1765" s="127" t="str">
        <f>IFERROR(__xludf.DUMMYFUNCTION("""COMPUTED_VALUE"""),"gấu")</f>
        <v>gấu</v>
      </c>
    </row>
    <row r="1766" ht="15.75" customHeight="1">
      <c r="A1766" s="128" t="str">
        <f>IFERROR(__xludf.DUMMYFUNCTION("""COMPUTED_VALUE"""),"0913 425 002")</f>
        <v>0913 425 002</v>
      </c>
      <c r="B1766" s="127" t="str">
        <f>IFERROR(__xludf.DUMMYFUNCTION("""COMPUTED_VALUE"""),"Chị Minh")</f>
        <v>Chị Minh</v>
      </c>
      <c r="C1766" s="127" t="str">
        <f>IFERROR(__xludf.DUMMYFUNCTION("""COMPUTED_VALUE"""),"64 Dương Văn An")</f>
        <v>64 Dương Văn An</v>
      </c>
      <c r="D1766" s="127" t="str">
        <f>IFERROR(__xludf.DUMMYFUNCTION("""COMPUTED_VALUE"""),"mèo")</f>
        <v>mèo</v>
      </c>
      <c r="E1766" s="127" t="str">
        <f>IFERROR(__xludf.DUMMYFUNCTION("""COMPUTED_VALUE"""),"Tiêu")</f>
        <v>Tiêu</v>
      </c>
    </row>
    <row r="1767" ht="15.75" customHeight="1">
      <c r="A1767" s="128" t="str">
        <f>IFERROR(__xludf.DUMMYFUNCTION("""COMPUTED_VALUE"""),"0854 512 137")</f>
        <v>0854 512 137</v>
      </c>
      <c r="B1767" s="127" t="str">
        <f>IFERROR(__xludf.DUMMYFUNCTION("""COMPUTED_VALUE"""),"Dì Thảo")</f>
        <v>Dì Thảo</v>
      </c>
      <c r="C1767" s="127" t="str">
        <f>IFERROR(__xludf.DUMMYFUNCTION("""COMPUTED_VALUE"""),"4/21 Bùi Thị Xuân")</f>
        <v>4/21 Bùi Thị Xuân</v>
      </c>
      <c r="D1767" s="127" t="str">
        <f>IFERROR(__xludf.DUMMYFUNCTION("""COMPUTED_VALUE"""),"mèo")</f>
        <v>mèo</v>
      </c>
      <c r="E1767" s="127" t="str">
        <f>IFERROR(__xludf.DUMMYFUNCTION("""COMPUTED_VALUE"""),"Chuối")</f>
        <v>Chuối</v>
      </c>
    </row>
    <row r="1768" ht="15.75" customHeight="1">
      <c r="A1768" s="128" t="str">
        <f>IFERROR(__xludf.DUMMYFUNCTION("""COMPUTED_VALUE"""),"0976 466 707 ")</f>
        <v>0976 466 707 </v>
      </c>
      <c r="B1768" s="127" t="str">
        <f>IFERROR(__xludf.DUMMYFUNCTION("""COMPUTED_VALUE"""),"Nguyễn văn Viện")</f>
        <v>Nguyễn văn Viện</v>
      </c>
      <c r="C1768" s="127" t="str">
        <f>IFERROR(__xludf.DUMMYFUNCTION("""COMPUTED_VALUE"""),"16/378 Đinh Tiên Hoàng")</f>
        <v>16/378 Đinh Tiên Hoàng</v>
      </c>
      <c r="D1768" s="127" t="str">
        <f>IFERROR(__xludf.DUMMYFUNCTION("""COMPUTED_VALUE"""),"mèo")</f>
        <v>mèo</v>
      </c>
      <c r="E1768" s="127" t="str">
        <f>IFERROR(__xludf.DUMMYFUNCTION("""COMPUTED_VALUE"""),"cagos")</f>
        <v>cagos</v>
      </c>
    </row>
    <row r="1769" ht="15.75" customHeight="1">
      <c r="A1769" s="128" t="str">
        <f>IFERROR(__xludf.DUMMYFUNCTION("""COMPUTED_VALUE"""),"0967 153 818")</f>
        <v>0967 153 818</v>
      </c>
      <c r="B1769" s="127" t="str">
        <f>IFERROR(__xludf.DUMMYFUNCTION("""COMPUTED_VALUE"""),"Hoàng Minh")</f>
        <v>Hoàng Minh</v>
      </c>
      <c r="C1769" s="127" t="str">
        <f>IFERROR(__xludf.DUMMYFUNCTION("""COMPUTED_VALUE"""),"43 đường 1 KĐT Phú MỸ An")</f>
        <v>43 đường 1 KĐT Phú MỸ An</v>
      </c>
      <c r="D1769" s="127" t="str">
        <f>IFERROR(__xludf.DUMMYFUNCTION("""COMPUTED_VALUE"""),"Chó")</f>
        <v>Chó</v>
      </c>
      <c r="E1769" s="127"/>
    </row>
    <row r="1770" ht="15.75" customHeight="1">
      <c r="A1770" s="128" t="str">
        <f>IFERROR(__xludf.DUMMYFUNCTION("""COMPUTED_VALUE"""),"0913 400 479")</f>
        <v>0913 400 479</v>
      </c>
      <c r="B1770" s="127" t="str">
        <f>IFERROR(__xludf.DUMMYFUNCTION("""COMPUTED_VALUE"""),"Lê Xuân Quyệt")</f>
        <v>Lê Xuân Quyệt</v>
      </c>
      <c r="C1770" s="127" t="str">
        <f>IFERROR(__xludf.DUMMYFUNCTION("""COMPUTED_VALUE"""),"Thủy Xuân")</f>
        <v>Thủy Xuân</v>
      </c>
      <c r="D1770" s="127" t="str">
        <f>IFERROR(__xludf.DUMMYFUNCTION("""COMPUTED_VALUE"""),"Chó")</f>
        <v>Chó</v>
      </c>
      <c r="E1770" s="127" t="str">
        <f>IFERROR(__xludf.DUMMYFUNCTION("""COMPUTED_VALUE"""),"Bơ")</f>
        <v>Bơ</v>
      </c>
    </row>
    <row r="1771" ht="15.75" customHeight="1">
      <c r="A1771" s="128" t="str">
        <f>IFERROR(__xludf.DUMMYFUNCTION("""COMPUTED_VALUE"""),"0834 189 344")</f>
        <v>0834 189 344</v>
      </c>
      <c r="B1771" s="127" t="str">
        <f>IFERROR(__xludf.DUMMYFUNCTION("""COMPUTED_VALUE"""),"Lê Ngọc Thê")</f>
        <v>Lê Ngọc Thê</v>
      </c>
      <c r="C1771" s="127" t="str">
        <f>IFERROR(__xludf.DUMMYFUNCTION("""COMPUTED_VALUE"""),"75/15 Tôn Quang Phiệt")</f>
        <v>75/15 Tôn Quang Phiệt</v>
      </c>
      <c r="D1771" s="127" t="str">
        <f>IFERROR(__xludf.DUMMYFUNCTION("""COMPUTED_VALUE"""),"chó")</f>
        <v>chó</v>
      </c>
      <c r="E1771" s="127" t="str">
        <f>IFERROR(__xludf.DUMMYFUNCTION("""COMPUTED_VALUE"""),"mi")</f>
        <v>mi</v>
      </c>
    </row>
    <row r="1772" ht="15.75" customHeight="1">
      <c r="A1772" s="128" t="str">
        <f>IFERROR(__xludf.DUMMYFUNCTION("""COMPUTED_VALUE"""),"0344 116 776")</f>
        <v>0344 116 776</v>
      </c>
      <c r="B1772" s="127" t="str">
        <f>IFERROR(__xludf.DUMMYFUNCTION("""COMPUTED_VALUE"""),"Nguyễn Thị Trang")</f>
        <v>Nguyễn Thị Trang</v>
      </c>
      <c r="C1772" s="127" t="str">
        <f>IFERROR(__xludf.DUMMYFUNCTION("""COMPUTED_VALUE"""),"14/512 Bà Triệu")</f>
        <v>14/512 Bà Triệu</v>
      </c>
      <c r="D1772" s="127" t="str">
        <f>IFERROR(__xludf.DUMMYFUNCTION("""COMPUTED_VALUE"""),"Mèo")</f>
        <v>Mèo</v>
      </c>
      <c r="E1772" s="119" t="str">
        <f>IFERROR(__xludf.DUMMYFUNCTION("""COMPUTED_VALUE"""),"Lúa")</f>
        <v>Lúa</v>
      </c>
    </row>
    <row r="1773" ht="15.75" customHeight="1">
      <c r="A1773" s="128" t="str">
        <f>IFERROR(__xludf.DUMMYFUNCTION("""COMPUTED_VALUE"""),"0372 140 753")</f>
        <v>0372 140 753</v>
      </c>
      <c r="B1773" s="127" t="str">
        <f>IFERROR(__xludf.DUMMYFUNCTION("""COMPUTED_VALUE"""),"C Phương")</f>
        <v>C Phương</v>
      </c>
      <c r="C1773" s="127" t="str">
        <f>IFERROR(__xludf.DUMMYFUNCTION("""COMPUTED_VALUE"""),"149 Nguyễn Tất Thành")</f>
        <v>149 Nguyễn Tất Thành</v>
      </c>
      <c r="D1773" s="127" t="str">
        <f>IFERROR(__xludf.DUMMYFUNCTION("""COMPUTED_VALUE"""),"Chó")</f>
        <v>Chó</v>
      </c>
      <c r="E1773" s="127"/>
    </row>
    <row r="1774" ht="15.75" customHeight="1">
      <c r="A1774" s="128" t="str">
        <f>IFERROR(__xludf.DUMMYFUNCTION("""COMPUTED_VALUE"""),"0793 977 964")</f>
        <v>0793 977 964</v>
      </c>
      <c r="B1774" s="127" t="str">
        <f>IFERROR(__xludf.DUMMYFUNCTION("""COMPUTED_VALUE"""),"Quang")</f>
        <v>Quang</v>
      </c>
      <c r="C1774" s="127" t="str">
        <f>IFERROR(__xludf.DUMMYFUNCTION("""COMPUTED_VALUE"""),"89 Minh Mạng")</f>
        <v>89 Minh Mạng</v>
      </c>
      <c r="D1774" s="127" t="str">
        <f>IFERROR(__xludf.DUMMYFUNCTION("""COMPUTED_VALUE"""),"Chó")</f>
        <v>Chó</v>
      </c>
      <c r="E1774" s="127" t="str">
        <f>IFERROR(__xludf.DUMMYFUNCTION("""COMPUTED_VALUE"""),"Shin")</f>
        <v>Shin</v>
      </c>
    </row>
    <row r="1775" ht="15.75" customHeight="1">
      <c r="A1775" s="128" t="str">
        <f>IFERROR(__xludf.DUMMYFUNCTION("""COMPUTED_VALUE"""),"0374 327 860")</f>
        <v>0374 327 860</v>
      </c>
      <c r="B1775" s="127" t="str">
        <f>IFERROR(__xludf.DUMMYFUNCTION("""COMPUTED_VALUE"""),"Phạm Thị Bảo Trâm")</f>
        <v>Phạm Thị Bảo Trâm</v>
      </c>
      <c r="C1775" s="127" t="str">
        <f>IFERROR(__xludf.DUMMYFUNCTION("""COMPUTED_VALUE"""),"398 Nguyễn Tất Thành")</f>
        <v>398 Nguyễn Tất Thành</v>
      </c>
      <c r="D1775" s="127" t="str">
        <f>IFERROR(__xludf.DUMMYFUNCTION("""COMPUTED_VALUE"""),"chó")</f>
        <v>chó</v>
      </c>
      <c r="E1775" s="127" t="str">
        <f>IFERROR(__xludf.DUMMYFUNCTION("""COMPUTED_VALUE"""),"Trum")</f>
        <v>Trum</v>
      </c>
    </row>
    <row r="1776" ht="15.75" customHeight="1">
      <c r="A1776" s="128" t="str">
        <f>IFERROR(__xludf.DUMMYFUNCTION("""COMPUTED_VALUE"""),"0983 172 606")</f>
        <v>0983 172 606</v>
      </c>
      <c r="B1776" s="127" t="str">
        <f>IFERROR(__xludf.DUMMYFUNCTION("""COMPUTED_VALUE"""),"Chị Hà ")</f>
        <v>Chị Hà </v>
      </c>
      <c r="C1776" s="127" t="str">
        <f>IFERROR(__xludf.DUMMYFUNCTION("""COMPUTED_VALUE"""),"08 trần  thánh tông")</f>
        <v>08 trần  thánh tông</v>
      </c>
      <c r="D1776" s="127" t="str">
        <f>IFERROR(__xludf.DUMMYFUNCTION("""COMPUTED_VALUE"""),"mèo")</f>
        <v>mèo</v>
      </c>
      <c r="E1776" s="127" t="str">
        <f>IFERROR(__xludf.DUMMYFUNCTION("""COMPUTED_VALUE"""),"đen")</f>
        <v>đen</v>
      </c>
    </row>
    <row r="1777" ht="15.75" customHeight="1">
      <c r="A1777" s="128" t="str">
        <f>IFERROR(__xludf.DUMMYFUNCTION("""COMPUTED_VALUE"""),"0352 322 577")</f>
        <v>0352 322 577</v>
      </c>
      <c r="B1777" s="127" t="str">
        <f>IFERROR(__xludf.DUMMYFUNCTION("""COMPUTED_VALUE"""),"Nguyễn anh Tuấn")</f>
        <v>Nguyễn anh Tuấn</v>
      </c>
      <c r="C1777" s="127" t="str">
        <f>IFERROR(__xludf.DUMMYFUNCTION("""COMPUTED_VALUE"""),"chùa quang Minh")</f>
        <v>chùa quang Minh</v>
      </c>
      <c r="D1777" s="127" t="str">
        <f>IFERROR(__xludf.DUMMYFUNCTION("""COMPUTED_VALUE"""),"mèo")</f>
        <v>mèo</v>
      </c>
      <c r="E1777" s="127"/>
    </row>
    <row r="1778" ht="15.75" customHeight="1">
      <c r="A1778" s="128" t="str">
        <f>IFERROR(__xludf.DUMMYFUNCTION("""COMPUTED_VALUE"""),"0916 560 061")</f>
        <v>0916 560 061</v>
      </c>
      <c r="B1778" s="127" t="str">
        <f>IFERROR(__xludf.DUMMYFUNCTION("""COMPUTED_VALUE"""),"Trà My")</f>
        <v>Trà My</v>
      </c>
      <c r="C1778" s="127" t="str">
        <f>IFERROR(__xludf.DUMMYFUNCTION("""COMPUTED_VALUE"""),"10 Thích Tịnh Khiết")</f>
        <v>10 Thích Tịnh Khiết</v>
      </c>
      <c r="D1778" s="127" t="str">
        <f>IFERROR(__xludf.DUMMYFUNCTION("""COMPUTED_VALUE"""),"mèo")</f>
        <v>mèo</v>
      </c>
      <c r="E1778" s="127" t="str">
        <f>IFERROR(__xludf.DUMMYFUNCTION("""COMPUTED_VALUE"""),"bột")</f>
        <v>bột</v>
      </c>
    </row>
    <row r="1779" ht="15.75" customHeight="1">
      <c r="A1779" s="128" t="str">
        <f>IFERROR(__xludf.DUMMYFUNCTION("""COMPUTED_VALUE"""),"0393 289 824")</f>
        <v>0393 289 824</v>
      </c>
      <c r="B1779" s="127" t="str">
        <f>IFERROR(__xludf.DUMMYFUNCTION("""COMPUTED_VALUE"""),"Đình Nguyên")</f>
        <v>Đình Nguyên</v>
      </c>
      <c r="C1779" s="127" t="str">
        <f>IFERROR(__xludf.DUMMYFUNCTION("""COMPUTED_VALUE"""),"23 Đặng huy Trứ")</f>
        <v>23 Đặng huy Trứ</v>
      </c>
      <c r="D1779" s="127" t="str">
        <f>IFERROR(__xludf.DUMMYFUNCTION("""COMPUTED_VALUE"""),"mèo")</f>
        <v>mèo</v>
      </c>
      <c r="E1779" s="127"/>
    </row>
    <row r="1780" ht="15.75" customHeight="1">
      <c r="A1780" s="128" t="str">
        <f>IFERROR(__xludf.DUMMYFUNCTION("""COMPUTED_VALUE"""),"0905 382 447")</f>
        <v>0905 382 447</v>
      </c>
      <c r="B1780" s="127" t="str">
        <f>IFERROR(__xludf.DUMMYFUNCTION("""COMPUTED_VALUE"""),"chú Tâm")</f>
        <v>chú Tâm</v>
      </c>
      <c r="C1780" s="127" t="str">
        <f>IFERROR(__xludf.DUMMYFUNCTION("""COMPUTED_VALUE"""),"275 Điện Biên Phủ")</f>
        <v>275 Điện Biên Phủ</v>
      </c>
      <c r="D1780" s="127" t="str">
        <f>IFERROR(__xludf.DUMMYFUNCTION("""COMPUTED_VALUE"""),"chó")</f>
        <v>chó</v>
      </c>
      <c r="E1780" s="127" t="str">
        <f>IFERROR(__xludf.DUMMYFUNCTION("""COMPUTED_VALUE"""),"santa")</f>
        <v>santa</v>
      </c>
    </row>
    <row r="1781" ht="15.75" customHeight="1">
      <c r="A1781" s="128" t="str">
        <f>IFERROR(__xludf.DUMMYFUNCTION("""COMPUTED_VALUE"""),"0787 972 877")</f>
        <v>0787 972 877</v>
      </c>
      <c r="B1781" s="127" t="str">
        <f>IFERROR(__xludf.DUMMYFUNCTION("""COMPUTED_VALUE"""),"em Na")</f>
        <v>em Na</v>
      </c>
      <c r="C1781" s="127" t="str">
        <f>IFERROR(__xludf.DUMMYFUNCTION("""COMPUTED_VALUE"""),"114 Nguyễn Khoa Chiêm")</f>
        <v>114 Nguyễn Khoa Chiêm</v>
      </c>
      <c r="D1781" s="127" t="str">
        <f>IFERROR(__xludf.DUMMYFUNCTION("""COMPUTED_VALUE"""),"mèo")</f>
        <v>mèo</v>
      </c>
      <c r="E1781" s="127" t="str">
        <f>IFERROR(__xludf.DUMMYFUNCTION("""COMPUTED_VALUE"""),"gạo")</f>
        <v>gạo</v>
      </c>
    </row>
    <row r="1782" ht="15.75" customHeight="1">
      <c r="A1782" s="128" t="str">
        <f>IFERROR(__xludf.DUMMYFUNCTION("""COMPUTED_VALUE"""),"0355 326 773")</f>
        <v>0355 326 773</v>
      </c>
      <c r="B1782" s="127" t="str">
        <f>IFERROR(__xludf.DUMMYFUNCTION("""COMPUTED_VALUE"""),"Ngọc")</f>
        <v>Ngọc</v>
      </c>
      <c r="C1782" s="127" t="str">
        <f>IFERROR(__xludf.DUMMYFUNCTION("""COMPUTED_VALUE"""),"26/99 Đặng Huy Trứ")</f>
        <v>26/99 Đặng Huy Trứ</v>
      </c>
      <c r="D1782" s="127" t="str">
        <f>IFERROR(__xludf.DUMMYFUNCTION("""COMPUTED_VALUE"""),"Mèo")</f>
        <v>Mèo</v>
      </c>
      <c r="E1782" s="127" t="str">
        <f>IFERROR(__xludf.DUMMYFUNCTION("""COMPUTED_VALUE"""),"Heo")</f>
        <v>Heo</v>
      </c>
    </row>
    <row r="1783" ht="15.75" customHeight="1">
      <c r="A1783" s="128" t="str">
        <f>IFERROR(__xludf.DUMMYFUNCTION("""COMPUTED_VALUE"""),"0905 858 705")</f>
        <v>0905 858 705</v>
      </c>
      <c r="B1783" s="127" t="str">
        <f>IFERROR(__xludf.DUMMYFUNCTION("""COMPUTED_VALUE"""),"Anh Thư")</f>
        <v>Anh Thư</v>
      </c>
      <c r="C1783" s="127" t="str">
        <f>IFERROR(__xludf.DUMMYFUNCTION("""COMPUTED_VALUE"""),"Lê Ngô Cát")</f>
        <v>Lê Ngô Cát</v>
      </c>
      <c r="D1783" s="127" t="str">
        <f>IFERROR(__xludf.DUMMYFUNCTION("""COMPUTED_VALUE"""),"mèo")</f>
        <v>mèo</v>
      </c>
      <c r="E1783" s="127" t="str">
        <f>IFERROR(__xludf.DUMMYFUNCTION("""COMPUTED_VALUE"""),"Xám")</f>
        <v>Xám</v>
      </c>
    </row>
    <row r="1784" ht="15.75" customHeight="1">
      <c r="A1784" s="128" t="str">
        <f>IFERROR(__xludf.DUMMYFUNCTION("""COMPUTED_VALUE"""),"0963 930 100")</f>
        <v>0963 930 100</v>
      </c>
      <c r="B1784" s="127" t="str">
        <f>IFERROR(__xludf.DUMMYFUNCTION("""COMPUTED_VALUE"""),"Hiền")</f>
        <v>Hiền</v>
      </c>
      <c r="C1784" s="127" t="str">
        <f>IFERROR(__xludf.DUMMYFUNCTION("""COMPUTED_VALUE"""),"335 Nguyễn Sinh Cung")</f>
        <v>335 Nguyễn Sinh Cung</v>
      </c>
      <c r="D1784" s="127" t="str">
        <f>IFERROR(__xludf.DUMMYFUNCTION("""COMPUTED_VALUE"""),"mèo")</f>
        <v>mèo</v>
      </c>
      <c r="E1784" s="127" t="str">
        <f>IFERROR(__xludf.DUMMYFUNCTION("""COMPUTED_VALUE""")," Milo")</f>
        <v> Milo</v>
      </c>
    </row>
    <row r="1785" ht="15.75" customHeight="1">
      <c r="A1785" s="128" t="str">
        <f>IFERROR(__xludf.DUMMYFUNCTION("""COMPUTED_VALUE"""),"0787 702 163")</f>
        <v>0787 702 163</v>
      </c>
      <c r="B1785" s="127" t="str">
        <f>IFERROR(__xludf.DUMMYFUNCTION("""COMPUTED_VALUE"""),"Em Anh Thư")</f>
        <v>Em Anh Thư</v>
      </c>
      <c r="C1785" s="127" t="str">
        <f>IFERROR(__xludf.DUMMYFUNCTION("""COMPUTED_VALUE"""),"26/156 Nguyễn Huệ")</f>
        <v>26/156 Nguyễn Huệ</v>
      </c>
      <c r="D1785" s="127" t="str">
        <f>IFERROR(__xludf.DUMMYFUNCTION("""COMPUTED_VALUE"""),"chó")</f>
        <v>chó</v>
      </c>
      <c r="E1785" s="127" t="str">
        <f>IFERROR(__xludf.DUMMYFUNCTION("""COMPUTED_VALUE"""),"hero")</f>
        <v>hero</v>
      </c>
    </row>
    <row r="1786" ht="15.75" customHeight="1">
      <c r="A1786" s="128" t="str">
        <f>IFERROR(__xludf.DUMMYFUNCTION("""COMPUTED_VALUE"""),"0777 945 789")</f>
        <v>0777 945 789</v>
      </c>
      <c r="B1786" s="133" t="str">
        <f>IFERROR(__xludf.DUMMYFUNCTION("""COMPUTED_VALUE"""),"Chị Bé")</f>
        <v>Chị Bé</v>
      </c>
      <c r="C1786" s="127" t="str">
        <f>IFERROR(__xludf.DUMMYFUNCTION("""COMPUTED_VALUE"""),"Phú Dương Phú vang")</f>
        <v>Phú Dương Phú vang</v>
      </c>
      <c r="D1786" s="127" t="str">
        <f>IFERROR(__xludf.DUMMYFUNCTION("""COMPUTED_VALUE"""),"mèo")</f>
        <v>mèo</v>
      </c>
      <c r="E1786" s="127" t="str">
        <f>IFERROR(__xludf.DUMMYFUNCTION("""COMPUTED_VALUE"""),"đen- đen")</f>
        <v>đen- đen</v>
      </c>
    </row>
    <row r="1787" ht="15.75" customHeight="1">
      <c r="A1787" s="128" t="str">
        <f>IFERROR(__xludf.DUMMYFUNCTION("""COMPUTED_VALUE"""),"0375 954 777")</f>
        <v>0375 954 777</v>
      </c>
      <c r="B1787" s="127" t="str">
        <f>IFERROR(__xludf.DUMMYFUNCTION("""COMPUTED_VALUE"""),"Anh Lâm")</f>
        <v>Anh Lâm</v>
      </c>
      <c r="C1787" s="127" t="str">
        <f>IFERROR(__xludf.DUMMYFUNCTION("""COMPUTED_VALUE"""),"phong an - Phong Điền")</f>
        <v>phong an - Phong Điền</v>
      </c>
      <c r="D1787" s="127" t="str">
        <f>IFERROR(__xludf.DUMMYFUNCTION("""COMPUTED_VALUE"""),"chó")</f>
        <v>chó</v>
      </c>
      <c r="E1787" s="127" t="str">
        <f>IFERROR(__xludf.DUMMYFUNCTION("""COMPUTED_VALUE"""),"Hani")</f>
        <v>Hani</v>
      </c>
    </row>
    <row r="1788" ht="15.75" customHeight="1">
      <c r="A1788" s="128" t="str">
        <f>IFERROR(__xludf.DUMMYFUNCTION("""COMPUTED_VALUE"""),"0777 894 696")</f>
        <v>0777 894 696</v>
      </c>
      <c r="B1788" s="127" t="str">
        <f>IFERROR(__xludf.DUMMYFUNCTION("""COMPUTED_VALUE"""),"Anh Thiện")</f>
        <v>Anh Thiện</v>
      </c>
      <c r="C1788" s="127" t="str">
        <f>IFERROR(__xludf.DUMMYFUNCTION("""COMPUTED_VALUE"""),"kiệt 36 Đào Tấn")</f>
        <v>kiệt 36 Đào Tấn</v>
      </c>
      <c r="D1788" s="127" t="str">
        <f>IFERROR(__xludf.DUMMYFUNCTION("""COMPUTED_VALUE"""),"chó")</f>
        <v>chó</v>
      </c>
      <c r="E1788" s="119" t="str">
        <f>IFERROR(__xludf.DUMMYFUNCTION("""COMPUTED_VALUE""")," Vện")</f>
        <v> Vện</v>
      </c>
    </row>
    <row r="1789" ht="15.75" customHeight="1">
      <c r="A1789" s="128" t="str">
        <f>IFERROR(__xludf.DUMMYFUNCTION("""COMPUTED_VALUE"""),"0934 982 472")</f>
        <v>0934 982 472</v>
      </c>
      <c r="B1789" s="133" t="str">
        <f>IFERROR(__xludf.DUMMYFUNCTION("""COMPUTED_VALUE"""),"Nguyễn Văn Gia Thiện")</f>
        <v>Nguyễn Văn Gia Thiện</v>
      </c>
      <c r="C1789" s="127" t="str">
        <f>IFERROR(__xludf.DUMMYFUNCTION("""COMPUTED_VALUE"""),"99 Le Ngô Cát")</f>
        <v>99 Le Ngô Cát</v>
      </c>
      <c r="D1789" s="127" t="str">
        <f>IFERROR(__xludf.DUMMYFUNCTION("""COMPUTED_VALUE"""),"mèo")</f>
        <v>mèo</v>
      </c>
      <c r="E1789" s="127" t="str">
        <f>IFERROR(__xludf.DUMMYFUNCTION("""COMPUTED_VALUE"""),"Bia")</f>
        <v>Bia</v>
      </c>
    </row>
    <row r="1790" ht="15.75" customHeight="1">
      <c r="A1790" s="128" t="str">
        <f>IFERROR(__xludf.DUMMYFUNCTION("""COMPUTED_VALUE"""),"0858 780 580")</f>
        <v>0858 780 580</v>
      </c>
      <c r="B1790" s="127" t="str">
        <f>IFERROR(__xludf.DUMMYFUNCTION("""COMPUTED_VALUE"""),"Đức")</f>
        <v>Đức</v>
      </c>
      <c r="C1790" s="127" t="str">
        <f>IFERROR(__xludf.DUMMYFUNCTION("""COMPUTED_VALUE"""),"10 Xuân Diệu")</f>
        <v>10 Xuân Diệu</v>
      </c>
      <c r="D1790" s="127" t="str">
        <f>IFERROR(__xludf.DUMMYFUNCTION("""COMPUTED_VALUE"""),"mèo")</f>
        <v>mèo</v>
      </c>
      <c r="E1790" s="127" t="str">
        <f>IFERROR(__xludf.DUMMYFUNCTION("""COMPUTED_VALUE""")," Chảnh")</f>
        <v> Chảnh</v>
      </c>
    </row>
    <row r="1791" ht="15.75" customHeight="1">
      <c r="A1791" s="128" t="str">
        <f>IFERROR(__xludf.DUMMYFUNCTION("""COMPUTED_VALUE"""),"0762 784 610")</f>
        <v>0762 784 610</v>
      </c>
      <c r="B1791" s="127" t="str">
        <f>IFERROR(__xludf.DUMMYFUNCTION("""COMPUTED_VALUE"""),"Chị Ngân")</f>
        <v>Chị Ngân</v>
      </c>
      <c r="C1791" s="127" t="str">
        <f>IFERROR(__xludf.DUMMYFUNCTION("""COMPUTED_VALUE"""),"28 Trần Nguyên Hãn")</f>
        <v>28 Trần Nguyên Hãn</v>
      </c>
      <c r="D1791" s="127" t="str">
        <f>IFERROR(__xludf.DUMMYFUNCTION("""COMPUTED_VALUE"""),"Chó")</f>
        <v>Chó</v>
      </c>
      <c r="E1791" s="127" t="str">
        <f>IFERROR(__xludf.DUMMYFUNCTION("""COMPUTED_VALUE"""),"Lucky")</f>
        <v>Lucky</v>
      </c>
    </row>
    <row r="1792" ht="15.75" customHeight="1">
      <c r="A1792" s="128" t="str">
        <f>IFERROR(__xludf.DUMMYFUNCTION("""COMPUTED_VALUE"""),"0394 429 482")</f>
        <v>0394 429 482</v>
      </c>
      <c r="B1792" s="127" t="str">
        <f>IFERROR(__xludf.DUMMYFUNCTION("""COMPUTED_VALUE"""),"Em Trâm")</f>
        <v>Em Trâm</v>
      </c>
      <c r="C1792" s="127" t="str">
        <f>IFERROR(__xludf.DUMMYFUNCTION("""COMPUTED_VALUE"""),"Hương Toàn - Hương Trà")</f>
        <v>Hương Toàn - Hương Trà</v>
      </c>
      <c r="D1792" s="127" t="str">
        <f>IFERROR(__xludf.DUMMYFUNCTION("""COMPUTED_VALUE"""),"Chó")</f>
        <v>Chó</v>
      </c>
      <c r="E1792" s="127" t="str">
        <f>IFERROR(__xludf.DUMMYFUNCTION("""COMPUTED_VALUE"""),"Bi")</f>
        <v>Bi</v>
      </c>
    </row>
    <row r="1793" ht="15.75" customHeight="1">
      <c r="A1793" s="128" t="str">
        <f>IFERROR(__xludf.DUMMYFUNCTION("""COMPUTED_VALUE"""),"0347 527 569")</f>
        <v>0347 527 569</v>
      </c>
      <c r="B1793" s="127" t="str">
        <f>IFERROR(__xludf.DUMMYFUNCTION("""COMPUTED_VALUE"""),"Dì Hạnh ")</f>
        <v>Dì Hạnh </v>
      </c>
      <c r="C1793" s="127" t="str">
        <f>IFERROR(__xludf.DUMMYFUNCTION("""COMPUTED_VALUE"""),"98/21 Nguyễn Phúc Nguyên")</f>
        <v>98/21 Nguyễn Phúc Nguyên</v>
      </c>
      <c r="D1793" s="127" t="str">
        <f>IFERROR(__xludf.DUMMYFUNCTION("""COMPUTED_VALUE"""),"Chó")</f>
        <v>Chó</v>
      </c>
      <c r="E1793" s="127" t="str">
        <f>IFERROR(__xludf.DUMMYFUNCTION("""COMPUTED_VALUE"""),"Trắng")</f>
        <v>Trắng</v>
      </c>
    </row>
    <row r="1794" ht="15.75" customHeight="1">
      <c r="A1794" s="128" t="str">
        <f>IFERROR(__xludf.DUMMYFUNCTION("""COMPUTED_VALUE"""),"0378 670 680")</f>
        <v>0378 670 680</v>
      </c>
      <c r="B1794" s="127" t="str">
        <f>IFERROR(__xludf.DUMMYFUNCTION("""COMPUTED_VALUE"""),"Chị Thy")</f>
        <v>Chị Thy</v>
      </c>
      <c r="C1794" s="127" t="str">
        <f>IFERROR(__xludf.DUMMYFUNCTION("""COMPUTED_VALUE"""),"28 Trương Thiều, Thuận An")</f>
        <v>28 Trương Thiều, Thuận An</v>
      </c>
      <c r="D1794" s="127" t="str">
        <f>IFERROR(__xludf.DUMMYFUNCTION("""COMPUTED_VALUE"""),"Chó")</f>
        <v>Chó</v>
      </c>
      <c r="E1794" s="127" t="str">
        <f>IFERROR(__xludf.DUMMYFUNCTION("""COMPUTED_VALUE"""),"Milo")</f>
        <v>Milo</v>
      </c>
    </row>
    <row r="1795" ht="15.75" customHeight="1">
      <c r="A1795" s="128" t="str">
        <f>IFERROR(__xludf.DUMMYFUNCTION("""COMPUTED_VALUE"""),"0914 553 394")</f>
        <v>0914 553 394</v>
      </c>
      <c r="B1795" s="127" t="str">
        <f>IFERROR(__xludf.DUMMYFUNCTION("""COMPUTED_VALUE"""),"Dì Thơ")</f>
        <v>Dì Thơ</v>
      </c>
      <c r="C1795" s="127" t="str">
        <f>IFERROR(__xludf.DUMMYFUNCTION("""COMPUTED_VALUE"""),"5 Ưng Bình")</f>
        <v>5 Ưng Bình</v>
      </c>
      <c r="D1795" s="127" t="str">
        <f>IFERROR(__xludf.DUMMYFUNCTION("""COMPUTED_VALUE"""),"Chó")</f>
        <v>Chó</v>
      </c>
      <c r="E1795" s="127" t="str">
        <f>IFERROR(__xludf.DUMMYFUNCTION("""COMPUTED_VALUE"""),"Misa")</f>
        <v>Misa</v>
      </c>
    </row>
    <row r="1796" ht="15.75" customHeight="1">
      <c r="A1796" s="128" t="str">
        <f>IFERROR(__xludf.DUMMYFUNCTION("""COMPUTED_VALUE"""),"0779 490 002")</f>
        <v>0779 490 002</v>
      </c>
      <c r="B1796" s="127" t="str">
        <f>IFERROR(__xludf.DUMMYFUNCTION("""COMPUTED_VALUE"""),"Chị Ngọc Anh")</f>
        <v>Chị Ngọc Anh</v>
      </c>
      <c r="C1796" s="127" t="str">
        <f>IFERROR(__xludf.DUMMYFUNCTION("""COMPUTED_VALUE"""),"55/9 Vạn Xuân")</f>
        <v>55/9 Vạn Xuân</v>
      </c>
      <c r="D1796" s="127" t="str">
        <f>IFERROR(__xludf.DUMMYFUNCTION("""COMPUTED_VALUE"""),"Chó")</f>
        <v>Chó</v>
      </c>
      <c r="E1796" s="127" t="str">
        <f>IFERROR(__xludf.DUMMYFUNCTION("""COMPUTED_VALUE"""),"Tóc")</f>
        <v>Tóc</v>
      </c>
    </row>
    <row r="1797" ht="15.75" customHeight="1">
      <c r="A1797" s="128" t="str">
        <f>IFERROR(__xludf.DUMMYFUNCTION("""COMPUTED_VALUE"""),"0364 200 205")</f>
        <v>0364 200 205</v>
      </c>
      <c r="B1797" s="127" t="str">
        <f>IFERROR(__xludf.DUMMYFUNCTION("""COMPUTED_VALUE"""),"Em Thảo ")</f>
        <v>Em Thảo </v>
      </c>
      <c r="C1797" s="127" t="str">
        <f>IFERROR(__xludf.DUMMYFUNCTION("""COMPUTED_VALUE"""),"Lô 43 KQH Kim Long ")</f>
        <v>Lô 43 KQH Kim Long </v>
      </c>
      <c r="D1797" s="127" t="str">
        <f>IFERROR(__xludf.DUMMYFUNCTION("""COMPUTED_VALUE"""),"Mèo")</f>
        <v>Mèo</v>
      </c>
      <c r="E1797" s="127" t="str">
        <f>IFERROR(__xludf.DUMMYFUNCTION("""COMPUTED_VALUE"""),"Sư Tử")</f>
        <v>Sư Tử</v>
      </c>
    </row>
    <row r="1798" ht="15.75" customHeight="1">
      <c r="A1798" s="128" t="str">
        <f>IFERROR(__xludf.DUMMYFUNCTION("""COMPUTED_VALUE"""),"0905 933 155")</f>
        <v>0905 933 155</v>
      </c>
      <c r="B1798" s="127" t="str">
        <f>IFERROR(__xludf.DUMMYFUNCTION("""COMPUTED_VALUE"""),"Anh Quý")</f>
        <v>Anh Quý</v>
      </c>
      <c r="C1798" s="127" t="str">
        <f>IFERROR(__xludf.DUMMYFUNCTION("""COMPUTED_VALUE"""),"11/143 Phan Bội Châu")</f>
        <v>11/143 Phan Bội Châu</v>
      </c>
      <c r="D1798" s="127" t="str">
        <f>IFERROR(__xludf.DUMMYFUNCTION("""COMPUTED_VALUE"""),"chó")</f>
        <v>chó</v>
      </c>
      <c r="E1798" s="127" t="str">
        <f>IFERROR(__xludf.DUMMYFUNCTION("""COMPUTED_VALUE"""),"Xù")</f>
        <v>Xù</v>
      </c>
    </row>
    <row r="1799" ht="15.75" customHeight="1">
      <c r="A1799" s="128" t="str">
        <f>IFERROR(__xludf.DUMMYFUNCTION("""COMPUTED_VALUE"""),"0898 226 353")</f>
        <v>0898 226 353</v>
      </c>
      <c r="B1799" s="127" t="str">
        <f>IFERROR(__xludf.DUMMYFUNCTION("""COMPUTED_VALUE"""),"Chị Vân")</f>
        <v>Chị Vân</v>
      </c>
      <c r="C1799" s="127" t="str">
        <f>IFERROR(__xludf.DUMMYFUNCTION("""COMPUTED_VALUE"""),"3/1/42 Tùng Thiện Vương")</f>
        <v>3/1/42 Tùng Thiện Vương</v>
      </c>
      <c r="D1799" s="127" t="str">
        <f>IFERROR(__xludf.DUMMYFUNCTION("""COMPUTED_VALUE"""),"Chó")</f>
        <v>Chó</v>
      </c>
      <c r="E1799" s="127" t="str">
        <f>IFERROR(__xludf.DUMMYFUNCTION("""COMPUTED_VALUE"""),"Sữa")</f>
        <v>Sữa</v>
      </c>
    </row>
    <row r="1800" ht="15.75" customHeight="1">
      <c r="A1800" s="128" t="str">
        <f>IFERROR(__xludf.DUMMYFUNCTION("""COMPUTED_VALUE"""),"0822 133 264")</f>
        <v>0822 133 264</v>
      </c>
      <c r="B1800" s="127" t="str">
        <f>IFERROR(__xludf.DUMMYFUNCTION("""COMPUTED_VALUE"""),"Chị Châu")</f>
        <v>Chị Châu</v>
      </c>
      <c r="C1800" s="127" t="str">
        <f>IFERROR(__xludf.DUMMYFUNCTION("""COMPUTED_VALUE"""),"C36 Nguyễn Phúc Nguyên")</f>
        <v>C36 Nguyễn Phúc Nguyên</v>
      </c>
      <c r="D1800" s="127" t="str">
        <f>IFERROR(__xludf.DUMMYFUNCTION("""COMPUTED_VALUE"""),"Chó")</f>
        <v>Chó</v>
      </c>
      <c r="E1800" s="127" t="str">
        <f>IFERROR(__xludf.DUMMYFUNCTION("""COMPUTED_VALUE"""),"Xịt")</f>
        <v>Xịt</v>
      </c>
    </row>
    <row r="1801" ht="15.75" customHeight="1">
      <c r="A1801" s="128" t="str">
        <f>IFERROR(__xludf.DUMMYFUNCTION("""COMPUTED_VALUE"""),"0378 503 972")</f>
        <v>0378 503 972</v>
      </c>
      <c r="B1801" s="127" t="str">
        <f>IFERROR(__xludf.DUMMYFUNCTION("""COMPUTED_VALUE"""),"Em Tường Vy")</f>
        <v>Em Tường Vy</v>
      </c>
      <c r="C1801" s="127" t="str">
        <f>IFERROR(__xludf.DUMMYFUNCTION("""COMPUTED_VALUE"""),"4/1/2 Triều Sơn Tây")</f>
        <v>4/1/2 Triều Sơn Tây</v>
      </c>
      <c r="D1801" s="127" t="str">
        <f>IFERROR(__xludf.DUMMYFUNCTION("""COMPUTED_VALUE"""),"Chó")</f>
        <v>Chó</v>
      </c>
      <c r="E1801" s="127" t="str">
        <f>IFERROR(__xludf.DUMMYFUNCTION("""COMPUTED_VALUE"""),"Min")</f>
        <v>Min</v>
      </c>
    </row>
    <row r="1802" ht="15.75" customHeight="1">
      <c r="A1802" s="128" t="str">
        <f>IFERROR(__xludf.DUMMYFUNCTION("""COMPUTED_VALUE"""),"0773 908 451")</f>
        <v>0773 908 451</v>
      </c>
      <c r="B1802" s="127" t="str">
        <f>IFERROR(__xludf.DUMMYFUNCTION("""COMPUTED_VALUE"""),"Tuyết Vy")</f>
        <v>Tuyết Vy</v>
      </c>
      <c r="C1802" s="127" t="str">
        <f>IFERROR(__xludf.DUMMYFUNCTION("""COMPUTED_VALUE"""),"Nhật Lệ ")</f>
        <v>Nhật Lệ </v>
      </c>
      <c r="D1802" s="127" t="str">
        <f>IFERROR(__xludf.DUMMYFUNCTION("""COMPUTED_VALUE"""),"Chuột Lang")</f>
        <v>Chuột Lang</v>
      </c>
      <c r="E1802" s="127"/>
    </row>
    <row r="1803" ht="15.75" customHeight="1">
      <c r="A1803" s="128" t="str">
        <f>IFERROR(__xludf.DUMMYFUNCTION("""COMPUTED_VALUE"""),"0359 324 099")</f>
        <v>0359 324 099</v>
      </c>
      <c r="B1803" s="127" t="str">
        <f>IFERROR(__xludf.DUMMYFUNCTION("""COMPUTED_VALUE"""),"Chị Hồng Nhung")</f>
        <v>Chị Hồng Nhung</v>
      </c>
      <c r="C1803" s="127" t="str">
        <f>IFERROR(__xludf.DUMMYFUNCTION("""COMPUTED_VALUE"""),"30 Phan Cảnh Kế - Hương Sơ")</f>
        <v>30 Phan Cảnh Kế - Hương Sơ</v>
      </c>
      <c r="D1803" s="127" t="str">
        <f>IFERROR(__xludf.DUMMYFUNCTION("""COMPUTED_VALUE"""),"chó")</f>
        <v>chó</v>
      </c>
      <c r="E1803" s="119"/>
    </row>
    <row r="1804" ht="15.75" customHeight="1">
      <c r="A1804" s="128" t="str">
        <f>IFERROR(__xludf.DUMMYFUNCTION("""COMPUTED_VALUE"""),"0766 676 616")</f>
        <v>0766 676 616</v>
      </c>
      <c r="B1804" s="127" t="str">
        <f>IFERROR(__xludf.DUMMYFUNCTION("""COMPUTED_VALUE"""),"Em Châu")</f>
        <v>Em Châu</v>
      </c>
      <c r="C1804" s="127" t="str">
        <f>IFERROR(__xludf.DUMMYFUNCTION("""COMPUTED_VALUE"""),"An Hòa - Hương An")</f>
        <v>An Hòa - Hương An</v>
      </c>
      <c r="D1804" s="127" t="str">
        <f>IFERROR(__xludf.DUMMYFUNCTION("""COMPUTED_VALUE"""),"Chó ")</f>
        <v>Chó </v>
      </c>
      <c r="E1804" s="127" t="str">
        <f>IFERROR(__xludf.DUMMYFUNCTION("""COMPUTED_VALUE"""),"Coca")</f>
        <v>Coca</v>
      </c>
    </row>
    <row r="1805" ht="15.75" customHeight="1">
      <c r="A1805" s="128" t="str">
        <f>IFERROR(__xludf.DUMMYFUNCTION("""COMPUTED_VALUE"""),"0702 713 447")</f>
        <v>0702 713 447</v>
      </c>
      <c r="B1805" s="127" t="str">
        <f>IFERROR(__xludf.DUMMYFUNCTION("""COMPUTED_VALUE"""),"Em Bình ")</f>
        <v>Em Bình </v>
      </c>
      <c r="C1805" s="127" t="str">
        <f>IFERROR(__xludf.DUMMYFUNCTION("""COMPUTED_VALUE"""),"69/19 Phạm Thị Liên")</f>
        <v>69/19 Phạm Thị Liên</v>
      </c>
      <c r="D1805" s="127" t="str">
        <f>IFERROR(__xludf.DUMMYFUNCTION("""COMPUTED_VALUE"""),"mèo")</f>
        <v>mèo</v>
      </c>
      <c r="E1805" s="127" t="str">
        <f>IFERROR(__xludf.DUMMYFUNCTION("""COMPUTED_VALUE"""),"Trắng")</f>
        <v>Trắng</v>
      </c>
    </row>
    <row r="1806" ht="15.75" customHeight="1">
      <c r="A1806" s="128" t="str">
        <f>IFERROR(__xludf.DUMMYFUNCTION("""COMPUTED_VALUE"""),"0899 232 231")</f>
        <v>0899 232 231</v>
      </c>
      <c r="B1806" s="127" t="str">
        <f>IFERROR(__xludf.DUMMYFUNCTION("""COMPUTED_VALUE"""),"Duy Ý Nhân")</f>
        <v>Duy Ý Nhân</v>
      </c>
      <c r="C1806" s="127" t="str">
        <f>IFERROR(__xludf.DUMMYFUNCTION("""COMPUTED_VALUE"""),"102 Trần Phú")</f>
        <v>102 Trần Phú</v>
      </c>
      <c r="D1806" s="127" t="str">
        <f>IFERROR(__xludf.DUMMYFUNCTION("""COMPUTED_VALUE"""),"chó")</f>
        <v>chó</v>
      </c>
      <c r="E1806" s="127" t="str">
        <f>IFERROR(__xludf.DUMMYFUNCTION("""COMPUTED_VALUE""")," Súp")</f>
        <v> Súp</v>
      </c>
    </row>
    <row r="1807" ht="15.75" customHeight="1">
      <c r="A1807" s="128" t="str">
        <f>IFERROR(__xludf.DUMMYFUNCTION("""COMPUTED_VALUE"""),"0329 011 820")</f>
        <v>0329 011 820</v>
      </c>
      <c r="B1807" s="127" t="str">
        <f>IFERROR(__xludf.DUMMYFUNCTION("""COMPUTED_VALUE"""),"Em Ngân ")</f>
        <v>Em Ngân </v>
      </c>
      <c r="C1807" s="127" t="str">
        <f>IFERROR(__xludf.DUMMYFUNCTION("""COMPUTED_VALUE"""),"22/44 An Ninh")</f>
        <v>22/44 An Ninh</v>
      </c>
      <c r="D1807" s="127" t="str">
        <f>IFERROR(__xludf.DUMMYFUNCTION("""COMPUTED_VALUE"""),"Chó")</f>
        <v>Chó</v>
      </c>
      <c r="E1807" s="119" t="str">
        <f>IFERROR(__xludf.DUMMYFUNCTION("""COMPUTED_VALUE"""),"Nâu")</f>
        <v>Nâu</v>
      </c>
    </row>
    <row r="1808" ht="15.75" customHeight="1">
      <c r="A1808" s="128" t="str">
        <f>IFERROR(__xludf.DUMMYFUNCTION("""COMPUTED_VALUE"""),"0913 968 146")</f>
        <v>0913 968 146</v>
      </c>
      <c r="B1808" s="127" t="str">
        <f>IFERROR(__xludf.DUMMYFUNCTION("""COMPUTED_VALUE"""),"Anh Anh")</f>
        <v>Anh Anh</v>
      </c>
      <c r="C1808" s="127" t="str">
        <f>IFERROR(__xludf.DUMMYFUNCTION("""COMPUTED_VALUE"""),"1/24 Chế Lan Viên")</f>
        <v>1/24 Chế Lan Viên</v>
      </c>
      <c r="D1808" s="127" t="str">
        <f>IFERROR(__xludf.DUMMYFUNCTION("""COMPUTED_VALUE"""),"chó")</f>
        <v>chó</v>
      </c>
      <c r="E1808" s="127" t="str">
        <f>IFERROR(__xludf.DUMMYFUNCTION("""COMPUTED_VALUE""")," Dobemen")</f>
        <v> Dobemen</v>
      </c>
    </row>
    <row r="1809" ht="15.75" customHeight="1">
      <c r="A1809" s="128" t="str">
        <f>IFERROR(__xludf.DUMMYFUNCTION("""COMPUTED_VALUE"""),"0773 750 123")</f>
        <v>0773 750 123</v>
      </c>
      <c r="B1809" s="127" t="str">
        <f>IFERROR(__xludf.DUMMYFUNCTION("""COMPUTED_VALUE"""),"Anh Đình")</f>
        <v>Anh Đình</v>
      </c>
      <c r="C1809" s="127" t="str">
        <f>IFERROR(__xludf.DUMMYFUNCTION("""COMPUTED_VALUE"""),"Phú Diên - Phú Vang")</f>
        <v>Phú Diên - Phú Vang</v>
      </c>
      <c r="D1809" s="127" t="str">
        <f>IFERROR(__xludf.DUMMYFUNCTION("""COMPUTED_VALUE"""),"Chó")</f>
        <v>Chó</v>
      </c>
      <c r="E1809" s="127" t="str">
        <f>IFERROR(__xludf.DUMMYFUNCTION("""COMPUTED_VALUE"""),"Su")</f>
        <v>Su</v>
      </c>
    </row>
    <row r="1810" ht="15.75" customHeight="1">
      <c r="A1810" s="128" t="str">
        <f>IFERROR(__xludf.DUMMYFUNCTION("""COMPUTED_VALUE"""),"0375 957 367")</f>
        <v>0375 957 367</v>
      </c>
      <c r="B1810" s="127" t="str">
        <f>IFERROR(__xludf.DUMMYFUNCTION("""COMPUTED_VALUE"""),"Anh Huy")</f>
        <v>Anh Huy</v>
      </c>
      <c r="C1810" s="127" t="str">
        <f>IFERROR(__xludf.DUMMYFUNCTION("""COMPUTED_VALUE"""),"23 Nguyễn Phúc Thái")</f>
        <v>23 Nguyễn Phúc Thái</v>
      </c>
      <c r="D1810" s="127" t="str">
        <f>IFERROR(__xludf.DUMMYFUNCTION("""COMPUTED_VALUE"""),"Chó")</f>
        <v>Chó</v>
      </c>
      <c r="E1810" s="119" t="str">
        <f>IFERROR(__xludf.DUMMYFUNCTION("""COMPUTED_VALUE"""),"Nâu")</f>
        <v>Nâu</v>
      </c>
    </row>
    <row r="1811" ht="15.75" customHeight="1">
      <c r="A1811" s="128" t="str">
        <f>IFERROR(__xludf.DUMMYFUNCTION("""COMPUTED_VALUE"""),"0962 720 860")</f>
        <v>0962 720 860</v>
      </c>
      <c r="B1811" s="127" t="str">
        <f>IFERROR(__xludf.DUMMYFUNCTION("""COMPUTED_VALUE"""),"Anh Đặng Hùng")</f>
        <v>Anh Đặng Hùng</v>
      </c>
      <c r="C1811" s="127" t="str">
        <f>IFERROR(__xludf.DUMMYFUNCTION("""COMPUTED_VALUE"""),"Kiệt 214 Bùi Thị Xuân")</f>
        <v>Kiệt 214 Bùi Thị Xuân</v>
      </c>
      <c r="D1811" s="127" t="str">
        <f>IFERROR(__xludf.DUMMYFUNCTION("""COMPUTED_VALUE"""),"Chó")</f>
        <v>Chó</v>
      </c>
      <c r="E1811" s="127"/>
    </row>
    <row r="1812" ht="15.75" customHeight="1">
      <c r="A1812" s="128" t="str">
        <f>IFERROR(__xludf.DUMMYFUNCTION("""COMPUTED_VALUE"""),"0397 911 832")</f>
        <v>0397 911 832</v>
      </c>
      <c r="B1812" s="127" t="str">
        <f>IFERROR(__xludf.DUMMYFUNCTION("""COMPUTED_VALUE"""),"Anh Trọng Anh")</f>
        <v>Anh Trọng Anh</v>
      </c>
      <c r="C1812" s="127" t="str">
        <f>IFERROR(__xludf.DUMMYFUNCTION("""COMPUTED_VALUE"""),"Kiệt 30 Phạm Thị Liên")</f>
        <v>Kiệt 30 Phạm Thị Liên</v>
      </c>
      <c r="D1812" s="127" t="str">
        <f>IFERROR(__xludf.DUMMYFUNCTION("""COMPUTED_VALUE"""),"Chó")</f>
        <v>Chó</v>
      </c>
      <c r="E1812" s="127" t="str">
        <f>IFERROR(__xludf.DUMMYFUNCTION("""COMPUTED_VALUE"""),"Xù")</f>
        <v>Xù</v>
      </c>
    </row>
    <row r="1813" ht="15.75" customHeight="1">
      <c r="A1813" s="128" t="str">
        <f>IFERROR(__xludf.DUMMYFUNCTION("""COMPUTED_VALUE"""),"0384 028 525")</f>
        <v>0384 028 525</v>
      </c>
      <c r="B1813" s="127" t="str">
        <f>IFERROR(__xludf.DUMMYFUNCTION("""COMPUTED_VALUE"""),"Chị An ")</f>
        <v>Chị An </v>
      </c>
      <c r="C1813" s="127" t="str">
        <f>IFERROR(__xludf.DUMMYFUNCTION("""COMPUTED_VALUE"""),"81/3 Phạm Thị Liên")</f>
        <v>81/3 Phạm Thị Liên</v>
      </c>
      <c r="D1813" s="127" t="str">
        <f>IFERROR(__xludf.DUMMYFUNCTION("""COMPUTED_VALUE"""),"CHÓ")</f>
        <v>CHÓ</v>
      </c>
      <c r="E1813" s="127" t="str">
        <f>IFERROR(__xludf.DUMMYFUNCTION("""COMPUTED_VALUE"""),"Sữa")</f>
        <v>Sữa</v>
      </c>
    </row>
    <row r="1814" ht="15.75" customHeight="1">
      <c r="A1814" s="128" t="str">
        <f>IFERROR(__xludf.DUMMYFUNCTION("""COMPUTED_VALUE"""),"0794 638 629")</f>
        <v>0794 638 629</v>
      </c>
      <c r="B1814" s="127" t="str">
        <f>IFERROR(__xludf.DUMMYFUNCTION("""COMPUTED_VALUE"""),"Chị Thủy")</f>
        <v>Chị Thủy</v>
      </c>
      <c r="C1814" s="127" t="str">
        <f>IFERROR(__xludf.DUMMYFUNCTION("""COMPUTED_VALUE"""),"50/23 Phạm Thị liên")</f>
        <v>50/23 Phạm Thị liên</v>
      </c>
      <c r="D1814" s="127" t="str">
        <f>IFERROR(__xludf.DUMMYFUNCTION("""COMPUTED_VALUE"""),"chó")</f>
        <v>chó</v>
      </c>
      <c r="E1814" s="127" t="str">
        <f>IFERROR(__xludf.DUMMYFUNCTION("""COMPUTED_VALUE"""),"lear")</f>
        <v>lear</v>
      </c>
    </row>
    <row r="1815" ht="15.75" customHeight="1">
      <c r="A1815" s="128" t="str">
        <f>IFERROR(__xludf.DUMMYFUNCTION("""COMPUTED_VALUE"""),"0369 308 300")</f>
        <v>0369 308 300</v>
      </c>
      <c r="B1815" s="143" t="str">
        <f>IFERROR(__xludf.DUMMYFUNCTION("""COMPUTED_VALUE"""),"Em Nhật Duy")</f>
        <v>Em Nhật Duy</v>
      </c>
      <c r="C1815" s="127" t="str">
        <f>IFERROR(__xludf.DUMMYFUNCTION("""COMPUTED_VALUE"""),"9/4/16 Đoàn Hữu Trưng")</f>
        <v>9/4/16 Đoàn Hữu Trưng</v>
      </c>
      <c r="D1815" s="127" t="str">
        <f>IFERROR(__xludf.DUMMYFUNCTION("""COMPUTED_VALUE"""),"Mèo")</f>
        <v>Mèo</v>
      </c>
      <c r="E1815" s="127" t="str">
        <f>IFERROR(__xludf.DUMMYFUNCTION("""COMPUTED_VALUE"""),"Xám")</f>
        <v>Xám</v>
      </c>
    </row>
    <row r="1816" ht="15.75" customHeight="1">
      <c r="A1816" s="128" t="str">
        <f>IFERROR(__xludf.DUMMYFUNCTION("""COMPUTED_VALUE"""),"0935 555 969")</f>
        <v>0935 555 969</v>
      </c>
      <c r="B1816" s="127" t="str">
        <f>IFERROR(__xludf.DUMMYFUNCTION("""COMPUTED_VALUE"""),"Anh Hai ")</f>
        <v>Anh Hai </v>
      </c>
      <c r="C1816" s="127" t="str">
        <f>IFERROR(__xludf.DUMMYFUNCTION("""COMPUTED_VALUE"""),"224 Lý Nam Đế ")</f>
        <v>224 Lý Nam Đế </v>
      </c>
      <c r="D1816" s="127" t="str">
        <f>IFERROR(__xludf.DUMMYFUNCTION("""COMPUTED_VALUE"""),"Chó")</f>
        <v>Chó</v>
      </c>
      <c r="E1816" s="127" t="str">
        <f>IFERROR(__xludf.DUMMYFUNCTION("""COMPUTED_VALUE"""),"Ky")</f>
        <v>Ky</v>
      </c>
    </row>
    <row r="1817" ht="15.75" customHeight="1">
      <c r="A1817" s="128" t="str">
        <f>IFERROR(__xludf.DUMMYFUNCTION("""COMPUTED_VALUE"""),"0888 877 000")</f>
        <v>0888 877 000</v>
      </c>
      <c r="B1817" s="127" t="str">
        <f>IFERROR(__xludf.DUMMYFUNCTION("""COMPUTED_VALUE"""),"Anh Đông ")</f>
        <v>Anh Đông </v>
      </c>
      <c r="C1817" s="127" t="str">
        <f>IFERROR(__xludf.DUMMYFUNCTION("""COMPUTED_VALUE"""),"Lô F43- Bao mỹ 14- KQH Hương Sơ")</f>
        <v>Lô F43- Bao mỹ 14- KQH Hương Sơ</v>
      </c>
      <c r="D1817" s="127" t="str">
        <f>IFERROR(__xludf.DUMMYFUNCTION("""COMPUTED_VALUE"""),"Chó")</f>
        <v>Chó</v>
      </c>
      <c r="E1817" s="127"/>
    </row>
    <row r="1818" ht="15.75" customHeight="1">
      <c r="A1818" s="128" t="str">
        <f>IFERROR(__xludf.DUMMYFUNCTION("""COMPUTED_VALUE"""),"0702 799 172")</f>
        <v>0702 799 172</v>
      </c>
      <c r="B1818" s="127" t="str">
        <f>IFERROR(__xludf.DUMMYFUNCTION("""COMPUTED_VALUE"""),"Em Quỳnh")</f>
        <v>Em Quỳnh</v>
      </c>
      <c r="C1818" s="127" t="str">
        <f>IFERROR(__xludf.DUMMYFUNCTION("""COMPUTED_VALUE"""),"5/39 Nguyễn Hữu Dật")</f>
        <v>5/39 Nguyễn Hữu Dật</v>
      </c>
      <c r="D1818" s="127" t="str">
        <f>IFERROR(__xludf.DUMMYFUNCTION("""COMPUTED_VALUE"""),"Mèo")</f>
        <v>Mèo</v>
      </c>
      <c r="E1818" s="127" t="str">
        <f>IFERROR(__xludf.DUMMYFUNCTION("""COMPUTED_VALUE"""),"Con")</f>
        <v>Con</v>
      </c>
    </row>
    <row r="1819" ht="15.75" customHeight="1">
      <c r="A1819" s="128" t="str">
        <f>IFERROR(__xludf.DUMMYFUNCTION("""COMPUTED_VALUE"""),"0908 337 120")</f>
        <v>0908 337 120</v>
      </c>
      <c r="B1819" s="127" t="str">
        <f>IFERROR(__xludf.DUMMYFUNCTION("""COMPUTED_VALUE"""),"Trâm Anh")</f>
        <v>Trâm Anh</v>
      </c>
      <c r="C1819" s="127"/>
      <c r="D1819" s="127" t="str">
        <f>IFERROR(__xludf.DUMMYFUNCTION("""COMPUTED_VALUE"""),"chó")</f>
        <v>chó</v>
      </c>
      <c r="E1819" s="127" t="str">
        <f>IFERROR(__xludf.DUMMYFUNCTION("""COMPUTED_VALUE"""),"Tủn")</f>
        <v>Tủn</v>
      </c>
    </row>
    <row r="1820" ht="15.75" customHeight="1">
      <c r="A1820" s="128" t="str">
        <f>IFERROR(__xludf.DUMMYFUNCTION("""COMPUTED_VALUE"""),"0379 901 079")</f>
        <v>0379 901 079</v>
      </c>
      <c r="B1820" s="127" t="str">
        <f>IFERROR(__xludf.DUMMYFUNCTION("""COMPUTED_VALUE"""),"Minh Phương")</f>
        <v>Minh Phương</v>
      </c>
      <c r="C1820" s="127" t="str">
        <f>IFERROR(__xludf.DUMMYFUNCTION("""COMPUTED_VALUE"""),"37 Dương Văn An")</f>
        <v>37 Dương Văn An</v>
      </c>
      <c r="D1820" s="127" t="str">
        <f>IFERROR(__xludf.DUMMYFUNCTION("""COMPUTED_VALUE"""),"mèo")</f>
        <v>mèo</v>
      </c>
      <c r="E1820" s="127" t="str">
        <f>IFERROR(__xludf.DUMMYFUNCTION("""COMPUTED_VALUE"""),"x")</f>
        <v>x</v>
      </c>
    </row>
    <row r="1821" ht="15.75" customHeight="1">
      <c r="A1821" s="128" t="str">
        <f>IFERROR(__xludf.DUMMYFUNCTION("""COMPUTED_VALUE"""),"0933 399 975")</f>
        <v>0933 399 975</v>
      </c>
      <c r="B1821" s="127" t="str">
        <f>IFERROR(__xludf.DUMMYFUNCTION("""COMPUTED_VALUE"""),"Anh Hải")</f>
        <v>Anh Hải</v>
      </c>
      <c r="C1821" s="127" t="str">
        <f>IFERROR(__xludf.DUMMYFUNCTION("""COMPUTED_VALUE"""),"6/50 Xuân diệu")</f>
        <v>6/50 Xuân diệu</v>
      </c>
      <c r="D1821" s="127" t="str">
        <f>IFERROR(__xludf.DUMMYFUNCTION("""COMPUTED_VALUE"""),"chó ")</f>
        <v>chó </v>
      </c>
      <c r="E1821" s="127" t="str">
        <f>IFERROR(__xludf.DUMMYFUNCTION("""COMPUTED_VALUE"""),"Ky")</f>
        <v>Ky</v>
      </c>
    </row>
    <row r="1822" ht="15.75" customHeight="1">
      <c r="A1822" s="128" t="str">
        <f>IFERROR(__xludf.DUMMYFUNCTION("""COMPUTED_VALUE"""),"0769 140 641")</f>
        <v>0769 140 641</v>
      </c>
      <c r="B1822" s="127" t="str">
        <f>IFERROR(__xludf.DUMMYFUNCTION("""COMPUTED_VALUE"""),"Vy")</f>
        <v>Vy</v>
      </c>
      <c r="C1822" s="127" t="str">
        <f>IFERROR(__xludf.DUMMYFUNCTION("""COMPUTED_VALUE"""),"31 Tây Sơn")</f>
        <v>31 Tây Sơn</v>
      </c>
      <c r="D1822" s="127" t="str">
        <f>IFERROR(__xludf.DUMMYFUNCTION("""COMPUTED_VALUE"""),"mèo")</f>
        <v>mèo</v>
      </c>
      <c r="E1822" s="127" t="str">
        <f>IFERROR(__xludf.DUMMYFUNCTION("""COMPUTED_VALUE""")," Bơ")</f>
        <v> Bơ</v>
      </c>
    </row>
    <row r="1823" ht="15.75" customHeight="1">
      <c r="A1823" s="128" t="str">
        <f>IFERROR(__xludf.DUMMYFUNCTION("""COMPUTED_VALUE"""),"0358 878 260")</f>
        <v>0358 878 260</v>
      </c>
      <c r="B1823" s="127" t="str">
        <f>IFERROR(__xludf.DUMMYFUNCTION("""COMPUTED_VALUE"""),"Anh Sơn")</f>
        <v>Anh Sơn</v>
      </c>
      <c r="C1823" s="127" t="str">
        <f>IFERROR(__xludf.DUMMYFUNCTION("""COMPUTED_VALUE"""),"Thủy Xuân")</f>
        <v>Thủy Xuân</v>
      </c>
      <c r="D1823" s="127" t="str">
        <f>IFERROR(__xludf.DUMMYFUNCTION("""COMPUTED_VALUE"""),"Mèo")</f>
        <v>Mèo</v>
      </c>
      <c r="E1823" s="127" t="str">
        <f>IFERROR(__xludf.DUMMYFUNCTION("""COMPUTED_VALUE"""),"ko tên")</f>
        <v>ko tên</v>
      </c>
    </row>
    <row r="1824" ht="15.75" customHeight="1">
      <c r="A1824" s="128" t="str">
        <f>IFERROR(__xludf.DUMMYFUNCTION("""COMPUTED_VALUE"""),"0906 414 797")</f>
        <v>0906 414 797</v>
      </c>
      <c r="B1824" s="127" t="str">
        <f>IFERROR(__xludf.DUMMYFUNCTION("""COMPUTED_VALUE"""),"Chị Nguyên")</f>
        <v>Chị Nguyên</v>
      </c>
      <c r="C1824" s="127" t="str">
        <f>IFERROR(__xludf.DUMMYFUNCTION("""COMPUTED_VALUE"""),"36 Nguyễn Hoàng")</f>
        <v>36 Nguyễn Hoàng</v>
      </c>
      <c r="D1824" s="127" t="str">
        <f>IFERROR(__xludf.DUMMYFUNCTION("""COMPUTED_VALUE"""),"chó")</f>
        <v>chó</v>
      </c>
      <c r="E1824" s="127" t="str">
        <f>IFERROR(__xludf.DUMMYFUNCTION("""COMPUTED_VALUE"""),"Luckky")</f>
        <v>Luckky</v>
      </c>
    </row>
    <row r="1825" ht="15.75" customHeight="1">
      <c r="A1825" s="128" t="str">
        <f>IFERROR(__xludf.DUMMYFUNCTION("""COMPUTED_VALUE"""),"0376 433 811")</f>
        <v>0376 433 811</v>
      </c>
      <c r="B1825" s="127" t="str">
        <f>IFERROR(__xludf.DUMMYFUNCTION("""COMPUTED_VALUE"""),"Chú Tăng")</f>
        <v>Chú Tăng</v>
      </c>
      <c r="C1825" s="127" t="str">
        <f>IFERROR(__xludf.DUMMYFUNCTION("""COMPUTED_VALUE"""),"20/10/1 nguyễn Hoàng")</f>
        <v>20/10/1 nguyễn Hoàng</v>
      </c>
      <c r="D1825" s="127" t="str">
        <f>IFERROR(__xludf.DUMMYFUNCTION("""COMPUTED_VALUE"""),"chó")</f>
        <v>chó</v>
      </c>
      <c r="E1825" s="127" t="str">
        <f>IFERROR(__xludf.DUMMYFUNCTION("""COMPUTED_VALUE""")," Bun")</f>
        <v> Bun</v>
      </c>
    </row>
    <row r="1826" ht="15.75" customHeight="1">
      <c r="A1826" s="128" t="str">
        <f>IFERROR(__xludf.DUMMYFUNCTION("""COMPUTED_VALUE"""),"0708 667 575")</f>
        <v>0708 667 575</v>
      </c>
      <c r="B1826" s="127" t="str">
        <f>IFERROR(__xludf.DUMMYFUNCTION("""COMPUTED_VALUE"""),"Em Thiện")</f>
        <v>Em Thiện</v>
      </c>
      <c r="C1826" s="127" t="str">
        <f>IFERROR(__xludf.DUMMYFUNCTION("""COMPUTED_VALUE"""),"34 Hàn Mặc Tử")</f>
        <v>34 Hàn Mặc Tử</v>
      </c>
      <c r="D1826" s="127" t="str">
        <f>IFERROR(__xludf.DUMMYFUNCTION("""COMPUTED_VALUE"""),"chó")</f>
        <v>chó</v>
      </c>
      <c r="E1826" s="127" t="str">
        <f>IFERROR(__xludf.DUMMYFUNCTION("""COMPUTED_VALUE"""),"x")</f>
        <v>x</v>
      </c>
    </row>
    <row r="1827" ht="15.75" customHeight="1">
      <c r="A1827" s="128" t="str">
        <f>IFERROR(__xludf.DUMMYFUNCTION("""COMPUTED_VALUE"""),"0383 536 924")</f>
        <v>0383 536 924</v>
      </c>
      <c r="B1827" s="127" t="str">
        <f>IFERROR(__xludf.DUMMYFUNCTION("""COMPUTED_VALUE"""),"Bích trâm")</f>
        <v>Bích trâm</v>
      </c>
      <c r="C1827" s="127" t="str">
        <f>IFERROR(__xludf.DUMMYFUNCTION("""COMPUTED_VALUE"""),"84 Triệu Quang Phục")</f>
        <v>84 Triệu Quang Phục</v>
      </c>
      <c r="D1827" s="127" t="str">
        <f>IFERROR(__xludf.DUMMYFUNCTION("""COMPUTED_VALUE"""),"mèo")</f>
        <v>mèo</v>
      </c>
      <c r="E1827" s="127" t="str">
        <f>IFERROR(__xludf.DUMMYFUNCTION("""COMPUTED_VALUE"""),"Heo")</f>
        <v>Heo</v>
      </c>
    </row>
    <row r="1828" ht="15.75" customHeight="1">
      <c r="A1828" s="128" t="str">
        <f>IFERROR(__xludf.DUMMYFUNCTION("""COMPUTED_VALUE"""),"0935 502 649")</f>
        <v>0935 502 649</v>
      </c>
      <c r="B1828" s="127" t="str">
        <f>IFERROR(__xludf.DUMMYFUNCTION("""COMPUTED_VALUE"""),"ANh Phương")</f>
        <v>ANh Phương</v>
      </c>
      <c r="C1828" s="127" t="str">
        <f>IFERROR(__xludf.DUMMYFUNCTION("""COMPUTED_VALUE"""),"9/56 Thái Phiên")</f>
        <v>9/56 Thái Phiên</v>
      </c>
      <c r="D1828" s="127" t="str">
        <f>IFERROR(__xludf.DUMMYFUNCTION("""COMPUTED_VALUE"""),"chó")</f>
        <v>chó</v>
      </c>
      <c r="E1828" s="127" t="str">
        <f>IFERROR(__xludf.DUMMYFUNCTION("""COMPUTED_VALUE"""),"Bin")</f>
        <v>Bin</v>
      </c>
    </row>
    <row r="1829" ht="15.75" customHeight="1">
      <c r="A1829" s="128" t="str">
        <f>IFERROR(__xludf.DUMMYFUNCTION("""COMPUTED_VALUE"""),"0398 596 744")</f>
        <v>0398 596 744</v>
      </c>
      <c r="B1829" s="127" t="str">
        <f>IFERROR(__xludf.DUMMYFUNCTION("""COMPUTED_VALUE"""),"Anh Nhân")</f>
        <v>Anh Nhân</v>
      </c>
      <c r="C1829" s="127" t="str">
        <f>IFERROR(__xludf.DUMMYFUNCTION("""COMPUTED_VALUE"""),"50 Trần Thái Tông")</f>
        <v>50 Trần Thái Tông</v>
      </c>
      <c r="D1829" s="127" t="str">
        <f>IFERROR(__xludf.DUMMYFUNCTION("""COMPUTED_VALUE"""),"Chó")</f>
        <v>Chó</v>
      </c>
      <c r="E1829" s="127" t="str">
        <f>IFERROR(__xludf.DUMMYFUNCTION("""COMPUTED_VALUE"""),"Xù")</f>
        <v>Xù</v>
      </c>
    </row>
    <row r="1830" ht="15.75" customHeight="1">
      <c r="A1830" s="128" t="str">
        <f>IFERROR(__xludf.DUMMYFUNCTION("""COMPUTED_VALUE"""),"0966 914 800")</f>
        <v>0966 914 800</v>
      </c>
      <c r="B1830" s="127" t="str">
        <f>IFERROR(__xludf.DUMMYFUNCTION("""COMPUTED_VALUE"""),"Anh Quốc")</f>
        <v>Anh Quốc</v>
      </c>
      <c r="C1830" s="127" t="str">
        <f>IFERROR(__xludf.DUMMYFUNCTION("""COMPUTED_VALUE"""),"Kiệt 16 Duy Tân")</f>
        <v>Kiệt 16 Duy Tân</v>
      </c>
      <c r="D1830" s="127" t="str">
        <f>IFERROR(__xludf.DUMMYFUNCTION("""COMPUTED_VALUE"""),"chó")</f>
        <v>chó</v>
      </c>
      <c r="E1830" s="127" t="str">
        <f>IFERROR(__xludf.DUMMYFUNCTION("""COMPUTED_VALUE"""),"Lu")</f>
        <v>Lu</v>
      </c>
    </row>
    <row r="1831" ht="15.75" customHeight="1">
      <c r="A1831" s="128" t="str">
        <f>IFERROR(__xludf.DUMMYFUNCTION("""COMPUTED_VALUE"""),"0943 068 912")</f>
        <v>0943 068 912</v>
      </c>
      <c r="B1831" s="127" t="str">
        <f>IFERROR(__xludf.DUMMYFUNCTION("""COMPUTED_VALUE"""),"Chị Hải")</f>
        <v>Chị Hải</v>
      </c>
      <c r="C1831" s="127" t="str">
        <f>IFERROR(__xludf.DUMMYFUNCTION("""COMPUTED_VALUE"""),"22 Thích Nữ Diệu Không")</f>
        <v>22 Thích Nữ Diệu Không</v>
      </c>
      <c r="D1831" s="127" t="str">
        <f>IFERROR(__xludf.DUMMYFUNCTION("""COMPUTED_VALUE"""),"mèo")</f>
        <v>mèo</v>
      </c>
      <c r="E1831" s="127" t="str">
        <f>IFERROR(__xludf.DUMMYFUNCTION("""COMPUTED_VALUE""")," Cam")</f>
        <v> Cam</v>
      </c>
    </row>
    <row r="1832" ht="15.75" customHeight="1">
      <c r="A1832" s="128" t="str">
        <f>IFERROR(__xludf.DUMMYFUNCTION("""COMPUTED_VALUE"""),"0562 139 799")</f>
        <v>0562 139 799</v>
      </c>
      <c r="B1832" s="127" t="str">
        <f>IFERROR(__xludf.DUMMYFUNCTION("""COMPUTED_VALUE"""),"Em My")</f>
        <v>Em My</v>
      </c>
      <c r="C1832" s="127" t="str">
        <f>IFERROR(__xludf.DUMMYFUNCTION("""COMPUTED_VALUE"""),"192/5 Lý Nam Đế")</f>
        <v>192/5 Lý Nam Đế</v>
      </c>
      <c r="D1832" s="127" t="str">
        <f>IFERROR(__xludf.DUMMYFUNCTION("""COMPUTED_VALUE"""),"mèo")</f>
        <v>mèo</v>
      </c>
      <c r="E1832" s="127" t="str">
        <f>IFERROR(__xludf.DUMMYFUNCTION("""COMPUTED_VALUE"""),"Min")</f>
        <v>Min</v>
      </c>
    </row>
    <row r="1833" ht="15.75" customHeight="1">
      <c r="A1833" s="128">
        <f>IFERROR(__xludf.DUMMYFUNCTION("""COMPUTED_VALUE"""),7.95511776E8)</f>
        <v>795511776</v>
      </c>
      <c r="B1833" s="127" t="str">
        <f>IFERROR(__xludf.DUMMYFUNCTION("""COMPUTED_VALUE"""),"Chị Hương")</f>
        <v>Chị Hương</v>
      </c>
      <c r="C1833" s="127" t="str">
        <f>IFERROR(__xludf.DUMMYFUNCTION("""COMPUTED_VALUE"""),"vân An, Hương An")</f>
        <v>vân An, Hương An</v>
      </c>
      <c r="D1833" s="127" t="str">
        <f>IFERROR(__xludf.DUMMYFUNCTION("""COMPUTED_VALUE"""),"chó")</f>
        <v>chó</v>
      </c>
      <c r="E1833" s="127" t="str">
        <f>IFERROR(__xludf.DUMMYFUNCTION("""COMPUTED_VALUE"""),"Lucky")</f>
        <v>Lucky</v>
      </c>
    </row>
    <row r="1834" ht="15.75" customHeight="1">
      <c r="A1834" s="128" t="str">
        <f>IFERROR(__xludf.DUMMYFUNCTION("""COMPUTED_VALUE"""),"0978 846 425")</f>
        <v>0978 846 425</v>
      </c>
      <c r="B1834" s="127" t="str">
        <f>IFERROR(__xludf.DUMMYFUNCTION("""COMPUTED_VALUE"""),"Anh Nhân")</f>
        <v>Anh Nhân</v>
      </c>
      <c r="C1834" s="127" t="str">
        <f>IFERROR(__xludf.DUMMYFUNCTION("""COMPUTED_VALUE"""),"Hương Xuân, Hương Trà")</f>
        <v>Hương Xuân, Hương Trà</v>
      </c>
      <c r="D1834" s="127" t="str">
        <f>IFERROR(__xludf.DUMMYFUNCTION("""COMPUTED_VALUE"""),"chó")</f>
        <v>chó</v>
      </c>
      <c r="E1834" s="127" t="str">
        <f>IFERROR(__xludf.DUMMYFUNCTION("""COMPUTED_VALUE"""),"Trắng")</f>
        <v>Trắng</v>
      </c>
    </row>
    <row r="1835" ht="15.75" customHeight="1">
      <c r="A1835" s="128" t="str">
        <f>IFERROR(__xludf.DUMMYFUNCTION("""COMPUTED_VALUE"""),"0984 530 661")</f>
        <v>0984 530 661</v>
      </c>
      <c r="B1835" s="127" t="str">
        <f>IFERROR(__xludf.DUMMYFUNCTION("""COMPUTED_VALUE"""),"Lâm Thị Thu Thuy")</f>
        <v>Lâm Thị Thu Thuy</v>
      </c>
      <c r="C1835" s="127" t="str">
        <f>IFERROR(__xludf.DUMMYFUNCTION("""COMPUTED_VALUE"""),"Đường 8 an cựu city")</f>
        <v>Đường 8 an cựu city</v>
      </c>
      <c r="D1835" s="127" t="str">
        <f>IFERROR(__xludf.DUMMYFUNCTION("""COMPUTED_VALUE"""),"Chó")</f>
        <v>Chó</v>
      </c>
      <c r="E1835" s="127"/>
    </row>
    <row r="1836" ht="15.75" customHeight="1">
      <c r="A1836" s="128" t="str">
        <f>IFERROR(__xludf.DUMMYFUNCTION("""COMPUTED_VALUE"""),"0934 730 905")</f>
        <v>0934 730 905</v>
      </c>
      <c r="B1836" s="127" t="str">
        <f>IFERROR(__xludf.DUMMYFUNCTION("""COMPUTED_VALUE"""),"Phạm Thị Khánh Loan")</f>
        <v>Phạm Thị Khánh Loan</v>
      </c>
      <c r="C1836" s="127" t="str">
        <f>IFERROR(__xludf.DUMMYFUNCTION("""COMPUTED_VALUE"""),"71 An Dương Vương")</f>
        <v>71 An Dương Vương</v>
      </c>
      <c r="D1836" s="127" t="str">
        <f>IFERROR(__xludf.DUMMYFUNCTION("""COMPUTED_VALUE"""),"Chó")</f>
        <v>Chó</v>
      </c>
      <c r="E1836" s="127"/>
    </row>
    <row r="1837" ht="15.75" customHeight="1">
      <c r="A1837" s="128" t="str">
        <f>IFERROR(__xludf.DUMMYFUNCTION("""COMPUTED_VALUE"""),"0932 588 939")</f>
        <v>0932 588 939</v>
      </c>
      <c r="B1837" s="127" t="str">
        <f>IFERROR(__xludf.DUMMYFUNCTION("""COMPUTED_VALUE"""),"Diệu Hiền")</f>
        <v>Diệu Hiền</v>
      </c>
      <c r="C1837" s="119" t="str">
        <f>IFERROR(__xludf.DUMMYFUNCTION("""COMPUTED_VALUE"""),"234 Bạch Đằng")</f>
        <v>234 Bạch Đằng</v>
      </c>
      <c r="D1837" s="127" t="str">
        <f>IFERROR(__xludf.DUMMYFUNCTION("""COMPUTED_VALUE"""),"Chó")</f>
        <v>Chó</v>
      </c>
      <c r="E1837" s="127" t="str">
        <f>IFERROR(__xludf.DUMMYFUNCTION("""COMPUTED_VALUE"""),"Win")</f>
        <v>Win</v>
      </c>
    </row>
    <row r="1838" ht="15.75" customHeight="1">
      <c r="A1838" s="128" t="str">
        <f>IFERROR(__xludf.DUMMYFUNCTION("""COMPUTED_VALUE"""),"0914 045 739")</f>
        <v>0914 045 739</v>
      </c>
      <c r="B1838" s="127" t="str">
        <f>IFERROR(__xludf.DUMMYFUNCTION("""COMPUTED_VALUE"""),"Thanh Trúc")</f>
        <v>Thanh Trúc</v>
      </c>
      <c r="C1838" s="127" t="str">
        <f>IFERROR(__xludf.DUMMYFUNCTION("""COMPUTED_VALUE"""),"54 Đoàn Hữu Trưng")</f>
        <v>54 Đoàn Hữu Trưng</v>
      </c>
      <c r="D1838" s="127" t="str">
        <f>IFERROR(__xludf.DUMMYFUNCTION("""COMPUTED_VALUE"""),"Mèo")</f>
        <v>Mèo</v>
      </c>
      <c r="E1838" s="127" t="str">
        <f>IFERROR(__xludf.DUMMYFUNCTION("""COMPUTED_VALUE"""),"Bánh Mỳ")</f>
        <v>Bánh Mỳ</v>
      </c>
    </row>
    <row r="1839" ht="15.75" customHeight="1">
      <c r="A1839" s="128" t="str">
        <f>IFERROR(__xludf.DUMMYFUNCTION("""COMPUTED_VALUE"""),"0932 267 590")</f>
        <v>0932 267 590</v>
      </c>
      <c r="B1839" s="127" t="str">
        <f>IFERROR(__xludf.DUMMYFUNCTION("""COMPUTED_VALUE"""),"Trần Quốc Tháng")</f>
        <v>Trần Quốc Tháng</v>
      </c>
      <c r="C1839" s="127" t="str">
        <f>IFERROR(__xludf.DUMMYFUNCTION("""COMPUTED_VALUE"""),"Thuận An")</f>
        <v>Thuận An</v>
      </c>
      <c r="D1839" s="127" t="str">
        <f>IFERROR(__xludf.DUMMYFUNCTION("""COMPUTED_VALUE"""),"Chó")</f>
        <v>Chó</v>
      </c>
      <c r="E1839" s="127" t="str">
        <f>IFERROR(__xludf.DUMMYFUNCTION("""COMPUTED_VALUE"""),"Bé Đẹp")</f>
        <v>Bé Đẹp</v>
      </c>
    </row>
    <row r="1840" ht="15.75" customHeight="1">
      <c r="A1840" s="128" t="str">
        <f>IFERROR(__xludf.DUMMYFUNCTION("""COMPUTED_VALUE"""),"0373 613 707")</f>
        <v>0373 613 707</v>
      </c>
      <c r="B1840" s="127" t="str">
        <f>IFERROR(__xludf.DUMMYFUNCTION("""COMPUTED_VALUE"""),"Trương Thị Trâm Anh")</f>
        <v>Trương Thị Trâm Anh</v>
      </c>
      <c r="C1840" s="127" t="str">
        <f>IFERROR(__xludf.DUMMYFUNCTION("""COMPUTED_VALUE"""),"K 52 Bà Triệu")</f>
        <v>K 52 Bà Triệu</v>
      </c>
      <c r="D1840" s="127" t="str">
        <f>IFERROR(__xludf.DUMMYFUNCTION("""COMPUTED_VALUE"""),"Mèo")</f>
        <v>Mèo</v>
      </c>
      <c r="E1840" s="127" t="str">
        <f>IFERROR(__xludf.DUMMYFUNCTION("""COMPUTED_VALUE"""),"xoài/ mít")</f>
        <v>xoài/ mít</v>
      </c>
    </row>
    <row r="1841" ht="15.75" customHeight="1">
      <c r="A1841" s="128" t="str">
        <f>IFERROR(__xludf.DUMMYFUNCTION("""COMPUTED_VALUE"""),"0775 512 700")</f>
        <v>0775 512 700</v>
      </c>
      <c r="B1841" s="127" t="str">
        <f>IFERROR(__xludf.DUMMYFUNCTION("""COMPUTED_VALUE"""),"Nguyễn Vinh")</f>
        <v>Nguyễn Vinh</v>
      </c>
      <c r="C1841" s="127" t="str">
        <f>IFERROR(__xludf.DUMMYFUNCTION("""COMPUTED_VALUE"""),"5/44 Đoàn HỮu Trưng")</f>
        <v>5/44 Đoàn HỮu Trưng</v>
      </c>
      <c r="D1841" s="127" t="str">
        <f>IFERROR(__xludf.DUMMYFUNCTION("""COMPUTED_VALUE"""),"Chó")</f>
        <v>Chó</v>
      </c>
      <c r="E1841" s="127" t="str">
        <f>IFERROR(__xludf.DUMMYFUNCTION("""COMPUTED_VALUE"""),"Fo")</f>
        <v>Fo</v>
      </c>
    </row>
    <row r="1842" ht="15.75" customHeight="1">
      <c r="A1842" s="128" t="str">
        <f>IFERROR(__xludf.DUMMYFUNCTION("""COMPUTED_VALUE"""),"0799 389 382")</f>
        <v>0799 389 382</v>
      </c>
      <c r="B1842" s="127" t="str">
        <f>IFERROR(__xludf.DUMMYFUNCTION("""COMPUTED_VALUE"""),"Hồng Anh")</f>
        <v>Hồng Anh</v>
      </c>
      <c r="C1842" s="127" t="str">
        <f>IFERROR(__xludf.DUMMYFUNCTION("""COMPUTED_VALUE"""),"Nguyễn Huệ")</f>
        <v>Nguyễn Huệ</v>
      </c>
      <c r="D1842" s="127" t="str">
        <f>IFERROR(__xludf.DUMMYFUNCTION("""COMPUTED_VALUE"""),"CHó")</f>
        <v>CHó</v>
      </c>
      <c r="E1842" s="127" t="str">
        <f>IFERROR(__xludf.DUMMYFUNCTION("""COMPUTED_VALUE"""),"Sa")</f>
        <v>Sa</v>
      </c>
    </row>
    <row r="1843" ht="15.75" customHeight="1">
      <c r="A1843" s="128" t="str">
        <f>IFERROR(__xludf.DUMMYFUNCTION("""COMPUTED_VALUE"""),"0783 490 403")</f>
        <v>0783 490 403</v>
      </c>
      <c r="B1843" s="127" t="str">
        <f>IFERROR(__xludf.DUMMYFUNCTION("""COMPUTED_VALUE"""),"Lê Quyên Bảo Trâm")</f>
        <v>Lê Quyên Bảo Trâm</v>
      </c>
      <c r="C1843" s="127" t="str">
        <f>IFERROR(__xludf.DUMMYFUNCTION("""COMPUTED_VALUE"""),"28 Hồng Chương")</f>
        <v>28 Hồng Chương</v>
      </c>
      <c r="D1843" s="127" t="str">
        <f>IFERROR(__xludf.DUMMYFUNCTION("""COMPUTED_VALUE"""),"Mèo")</f>
        <v>Mèo</v>
      </c>
      <c r="E1843" s="127" t="str">
        <f>IFERROR(__xludf.DUMMYFUNCTION("""COMPUTED_VALUE"""),"Moon")</f>
        <v>Moon</v>
      </c>
    </row>
    <row r="1844" ht="15.75" customHeight="1">
      <c r="A1844" s="128" t="str">
        <f>IFERROR(__xludf.DUMMYFUNCTION("""COMPUTED_VALUE"""),"0931 908 111")</f>
        <v>0931 908 111</v>
      </c>
      <c r="B1844" s="127" t="str">
        <f>IFERROR(__xludf.DUMMYFUNCTION("""COMPUTED_VALUE"""),"Chị Liên")</f>
        <v>Chị Liên</v>
      </c>
      <c r="C1844" s="127" t="str">
        <f>IFERROR(__xludf.DUMMYFUNCTION("""COMPUTED_VALUE"""),"Hương Hồ")</f>
        <v>Hương Hồ</v>
      </c>
      <c r="D1844" s="127" t="str">
        <f>IFERROR(__xludf.DUMMYFUNCTION("""COMPUTED_VALUE"""),"Chó")</f>
        <v>Chó</v>
      </c>
      <c r="E1844" s="119" t="str">
        <f>IFERROR(__xludf.DUMMYFUNCTION("""COMPUTED_VALUE"""),"bon ")</f>
        <v>bon </v>
      </c>
    </row>
    <row r="1845" ht="15.75" customHeight="1">
      <c r="A1845" s="128" t="str">
        <f>IFERROR(__xludf.DUMMYFUNCTION("""COMPUTED_VALUE"""),"0905 454 369")</f>
        <v>0905 454 369</v>
      </c>
      <c r="B1845" s="127" t="str">
        <f>IFERROR(__xludf.DUMMYFUNCTION("""COMPUTED_VALUE"""),"Anh Út")</f>
        <v>Anh Út</v>
      </c>
      <c r="C1845" s="127" t="str">
        <f>IFERROR(__xludf.DUMMYFUNCTION("""COMPUTED_VALUE"""),"39 Phạm thi Liên")</f>
        <v>39 Phạm thi Liên</v>
      </c>
      <c r="D1845" s="127" t="str">
        <f>IFERROR(__xludf.DUMMYFUNCTION("""COMPUTED_VALUE"""),"mèo")</f>
        <v>mèo</v>
      </c>
      <c r="E1845" s="127" t="str">
        <f>IFERROR(__xludf.DUMMYFUNCTION("""COMPUTED_VALUE""")," Bông")</f>
        <v> Bông</v>
      </c>
    </row>
    <row r="1846" ht="15.75" customHeight="1">
      <c r="A1846" s="128" t="str">
        <f>IFERROR(__xludf.DUMMYFUNCTION("""COMPUTED_VALUE"""),"0795 708 565")</f>
        <v>0795 708 565</v>
      </c>
      <c r="B1846" s="127" t="str">
        <f>IFERROR(__xludf.DUMMYFUNCTION("""COMPUTED_VALUE"""),"Trương Vân")</f>
        <v>Trương Vân</v>
      </c>
      <c r="C1846" s="127" t="str">
        <f>IFERROR(__xludf.DUMMYFUNCTION("""COMPUTED_VALUE"""),"11 ngô thời nhậm")</f>
        <v>11 ngô thời nhậm</v>
      </c>
      <c r="D1846" s="127" t="str">
        <f>IFERROR(__xludf.DUMMYFUNCTION("""COMPUTED_VALUE"""),"chó")</f>
        <v>chó</v>
      </c>
      <c r="E1846" s="127" t="str">
        <f>IFERROR(__xludf.DUMMYFUNCTION("""COMPUTED_VALUE""")," Lu")</f>
        <v> Lu</v>
      </c>
    </row>
    <row r="1847" ht="15.75" customHeight="1">
      <c r="A1847" s="128" t="str">
        <f>IFERROR(__xludf.DUMMYFUNCTION("""COMPUTED_VALUE"""),"0386 316 783")</f>
        <v>0386 316 783</v>
      </c>
      <c r="B1847" s="127" t="str">
        <f>IFERROR(__xludf.DUMMYFUNCTION("""COMPUTED_VALUE"""),"Chị Như ý")</f>
        <v>Chị Như ý</v>
      </c>
      <c r="C1847" s="127" t="str">
        <f>IFERROR(__xludf.DUMMYFUNCTION("""COMPUTED_VALUE"""),"114 Lý Thần Tông")</f>
        <v>114 Lý Thần Tông</v>
      </c>
      <c r="D1847" s="127" t="str">
        <f>IFERROR(__xludf.DUMMYFUNCTION("""COMPUTED_VALUE"""),"chó")</f>
        <v>chó</v>
      </c>
      <c r="E1847" s="127" t="str">
        <f>IFERROR(__xludf.DUMMYFUNCTION("""COMPUTED_VALUE""")," Bánh Bao- bánh Mỳ")</f>
        <v> Bánh Bao- bánh Mỳ</v>
      </c>
    </row>
    <row r="1848" ht="15.75" customHeight="1">
      <c r="A1848" s="128" t="str">
        <f>IFERROR(__xludf.DUMMYFUNCTION("""COMPUTED_VALUE"""),"0866 193 125")</f>
        <v>0866 193 125</v>
      </c>
      <c r="B1848" s="127" t="str">
        <f>IFERROR(__xludf.DUMMYFUNCTION("""COMPUTED_VALUE"""),"Quỳnh")</f>
        <v>Quỳnh</v>
      </c>
      <c r="C1848" s="127" t="str">
        <f>IFERROR(__xludf.DUMMYFUNCTION("""COMPUTED_VALUE"""),"Thuận An")</f>
        <v>Thuận An</v>
      </c>
      <c r="D1848" s="127" t="str">
        <f>IFERROR(__xludf.DUMMYFUNCTION("""COMPUTED_VALUE"""),"Chó")</f>
        <v>Chó</v>
      </c>
      <c r="E1848" s="127" t="str">
        <f>IFERROR(__xludf.DUMMYFUNCTION("""COMPUTED_VALUE"""),"Gạo")</f>
        <v>Gạo</v>
      </c>
    </row>
    <row r="1849" ht="15.75" customHeight="1">
      <c r="A1849" s="128" t="str">
        <f>IFERROR(__xludf.DUMMYFUNCTION("""COMPUTED_VALUE"""),"0856 209 231")</f>
        <v>0856 209 231</v>
      </c>
      <c r="B1849" s="127" t="str">
        <f>IFERROR(__xludf.DUMMYFUNCTION("""COMPUTED_VALUE"""),"Rem")</f>
        <v>Rem</v>
      </c>
      <c r="C1849" s="127" t="str">
        <f>IFERROR(__xludf.DUMMYFUNCTION("""COMPUTED_VALUE"""),"46 Nguyễn Sinh Cung")</f>
        <v>46 Nguyễn Sinh Cung</v>
      </c>
      <c r="D1849" s="127" t="str">
        <f>IFERROR(__xludf.DUMMYFUNCTION("""COMPUTED_VALUE"""),"mèo")</f>
        <v>mèo</v>
      </c>
      <c r="E1849" s="127"/>
    </row>
    <row r="1850" ht="15.75" customHeight="1">
      <c r="A1850" s="128" t="str">
        <f>IFERROR(__xludf.DUMMYFUNCTION("""COMPUTED_VALUE"""),"0388 160 200")</f>
        <v>0388 160 200</v>
      </c>
      <c r="B1850" s="127" t="str">
        <f>IFERROR(__xludf.DUMMYFUNCTION("""COMPUTED_VALUE"""),"Minh Đức")</f>
        <v>Minh Đức</v>
      </c>
      <c r="C1850" s="127" t="str">
        <f>IFERROR(__xludf.DUMMYFUNCTION("""COMPUTED_VALUE"""),"45 Ngô Hà")</f>
        <v>45 Ngô Hà</v>
      </c>
      <c r="D1850" s="127" t="str">
        <f>IFERROR(__xludf.DUMMYFUNCTION("""COMPUTED_VALUE"""),"Chó")</f>
        <v>Chó</v>
      </c>
      <c r="E1850" s="127" t="str">
        <f>IFERROR(__xludf.DUMMYFUNCTION("""COMPUTED_VALUE"""),"Tôm")</f>
        <v>Tôm</v>
      </c>
    </row>
    <row r="1851" ht="15.75" customHeight="1">
      <c r="A1851" s="128" t="str">
        <f>IFERROR(__xludf.DUMMYFUNCTION("""COMPUTED_VALUE"""),"0384 392 744")</f>
        <v>0384 392 744</v>
      </c>
      <c r="B1851" s="127" t="str">
        <f>IFERROR(__xludf.DUMMYFUNCTION("""COMPUTED_VALUE"""),"Em Tường Vy")</f>
        <v>Em Tường Vy</v>
      </c>
      <c r="C1851" s="127" t="str">
        <f>IFERROR(__xludf.DUMMYFUNCTION("""COMPUTED_VALUE"""),"Ngõ 12 Kiệt 16 Đoàn Hữu Trưng")</f>
        <v>Ngõ 12 Kiệt 16 Đoàn Hữu Trưng</v>
      </c>
      <c r="D1851" s="127" t="str">
        <f>IFERROR(__xludf.DUMMYFUNCTION("""COMPUTED_VALUE"""),"mèo")</f>
        <v>mèo</v>
      </c>
      <c r="E1851" s="127" t="str">
        <f>IFERROR(__xludf.DUMMYFUNCTION("""COMPUTED_VALUE"""),"Miu")</f>
        <v>Miu</v>
      </c>
    </row>
    <row r="1852" ht="15.75" customHeight="1">
      <c r="A1852" s="128" t="str">
        <f>IFERROR(__xludf.DUMMYFUNCTION("""COMPUTED_VALUE"""),"0708 050 752")</f>
        <v>0708 050 752</v>
      </c>
      <c r="B1852" s="127" t="str">
        <f>IFERROR(__xludf.DUMMYFUNCTION("""COMPUTED_VALUE"""),"Chị Nhung")</f>
        <v>Chị Nhung</v>
      </c>
      <c r="C1852" s="127" t="str">
        <f>IFERROR(__xludf.DUMMYFUNCTION("""COMPUTED_VALUE"""),"201 Bùi Thị Xuân")</f>
        <v>201 Bùi Thị Xuân</v>
      </c>
      <c r="D1852" s="127" t="str">
        <f>IFERROR(__xludf.DUMMYFUNCTION("""COMPUTED_VALUE"""),"chó")</f>
        <v>chó</v>
      </c>
      <c r="E1852" s="127" t="str">
        <f>IFERROR(__xludf.DUMMYFUNCTION("""COMPUTED_VALUE"""),"Bơ")</f>
        <v>Bơ</v>
      </c>
    </row>
    <row r="1853" ht="15.75" customHeight="1">
      <c r="A1853" s="128" t="str">
        <f>IFERROR(__xludf.DUMMYFUNCTION("""COMPUTED_VALUE"""),"0707 508 821")</f>
        <v>0707 508 821</v>
      </c>
      <c r="B1853" s="127" t="str">
        <f>IFERROR(__xludf.DUMMYFUNCTION("""COMPUTED_VALUE"""),"Anh Thìn")</f>
        <v>Anh Thìn</v>
      </c>
      <c r="C1853" s="127" t="str">
        <f>IFERROR(__xludf.DUMMYFUNCTION("""COMPUTED_VALUE"""),"12/31 Nguyễn Phúc Lan")</f>
        <v>12/31 Nguyễn Phúc Lan</v>
      </c>
      <c r="D1853" s="127" t="str">
        <f>IFERROR(__xludf.DUMMYFUNCTION("""COMPUTED_VALUE"""),"chó")</f>
        <v>chó</v>
      </c>
      <c r="E1853" s="127" t="str">
        <f>IFERROR(__xludf.DUMMYFUNCTION("""COMPUTED_VALUE"""),"Vàng")</f>
        <v>Vàng</v>
      </c>
    </row>
    <row r="1854" ht="15.75" customHeight="1">
      <c r="A1854" s="128" t="str">
        <f>IFERROR(__xludf.DUMMYFUNCTION("""COMPUTED_VALUE"""),"0848 777 026")</f>
        <v>0848 777 026</v>
      </c>
      <c r="B1854" s="127" t="str">
        <f>IFERROR(__xludf.DUMMYFUNCTION("""COMPUTED_VALUE"""),"Chị Thương")</f>
        <v>Chị Thương</v>
      </c>
      <c r="C1854" s="127" t="str">
        <f>IFERROR(__xludf.DUMMYFUNCTION("""COMPUTED_VALUE"""),"Đông Hà- Quảng Trị")</f>
        <v>Đông Hà- Quảng Trị</v>
      </c>
      <c r="D1854" s="127" t="str">
        <f>IFERROR(__xludf.DUMMYFUNCTION("""COMPUTED_VALUE"""),"chó")</f>
        <v>chó</v>
      </c>
      <c r="E1854" s="127" t="str">
        <f>IFERROR(__xludf.DUMMYFUNCTION("""COMPUTED_VALUE"""),"Bơ")</f>
        <v>Bơ</v>
      </c>
    </row>
    <row r="1855" ht="15.75" customHeight="1">
      <c r="A1855" s="128" t="str">
        <f>IFERROR(__xludf.DUMMYFUNCTION("""COMPUTED_VALUE"""),"0789 030 900")</f>
        <v>0789 030 900</v>
      </c>
      <c r="B1855" s="127" t="str">
        <f>IFERROR(__xludf.DUMMYFUNCTION("""COMPUTED_VALUE"""),"Thầy Quang Tấn")</f>
        <v>Thầy Quang Tấn</v>
      </c>
      <c r="C1855" s="127" t="str">
        <f>IFERROR(__xludf.DUMMYFUNCTION("""COMPUTED_VALUE"""),"chùa Huyền Không Sơn Thượng")</f>
        <v>chùa Huyền Không Sơn Thượng</v>
      </c>
      <c r="D1855" s="127" t="str">
        <f>IFERROR(__xludf.DUMMYFUNCTION("""COMPUTED_VALUE"""),"chó")</f>
        <v>chó</v>
      </c>
      <c r="E1855" s="127" t="str">
        <f>IFERROR(__xludf.DUMMYFUNCTION("""COMPUTED_VALUE"""),"Bun")</f>
        <v>Bun</v>
      </c>
    </row>
    <row r="1856" ht="15.75" customHeight="1">
      <c r="A1856" s="128" t="str">
        <f>IFERROR(__xludf.DUMMYFUNCTION("""COMPUTED_VALUE"""),"0935 677 074")</f>
        <v>0935 677 074</v>
      </c>
      <c r="B1856" s="127" t="str">
        <f>IFERROR(__xludf.DUMMYFUNCTION("""COMPUTED_VALUE"""),"chị Bích Diệu")</f>
        <v>chị Bích Diệu</v>
      </c>
      <c r="C1856" s="127" t="str">
        <f>IFERROR(__xludf.DUMMYFUNCTION("""COMPUTED_VALUE"""),"78/6 Phạm Thị Liên")</f>
        <v>78/6 Phạm Thị Liên</v>
      </c>
      <c r="D1856" s="127" t="str">
        <f>IFERROR(__xludf.DUMMYFUNCTION("""COMPUTED_VALUE"""),"mèo")</f>
        <v>mèo</v>
      </c>
      <c r="E1856" s="127" t="str">
        <f>IFERROR(__xludf.DUMMYFUNCTION("""COMPUTED_VALUE"""),"Mon")</f>
        <v>Mon</v>
      </c>
    </row>
    <row r="1857" ht="15.75" customHeight="1">
      <c r="A1857" s="128" t="str">
        <f>IFERROR(__xludf.DUMMYFUNCTION("""COMPUTED_VALUE"""),"0931 339 789")</f>
        <v>0931 339 789</v>
      </c>
      <c r="B1857" s="127" t="str">
        <f>IFERROR(__xludf.DUMMYFUNCTION("""COMPUTED_VALUE"""),"Chị Ngân")</f>
        <v>Chị Ngân</v>
      </c>
      <c r="C1857" s="127" t="str">
        <f>IFERROR(__xludf.DUMMYFUNCTION("""COMPUTED_VALUE"""),"132 Văn Thánh")</f>
        <v>132 Văn Thánh</v>
      </c>
      <c r="D1857" s="127" t="str">
        <f>IFERROR(__xludf.DUMMYFUNCTION("""COMPUTED_VALUE"""),"chó")</f>
        <v>chó</v>
      </c>
      <c r="E1857" s="127" t="str">
        <f>IFERROR(__xludf.DUMMYFUNCTION("""COMPUTED_VALUE"""),"Nhím")</f>
        <v>Nhím</v>
      </c>
    </row>
    <row r="1858" ht="15.75" customHeight="1">
      <c r="A1858" s="128" t="str">
        <f>IFERROR(__xludf.DUMMYFUNCTION("""COMPUTED_VALUE"""),"0935 421 411")</f>
        <v>0935 421 411</v>
      </c>
      <c r="B1858" s="127" t="str">
        <f>IFERROR(__xludf.DUMMYFUNCTION("""COMPUTED_VALUE"""),"Anh Tuấn")</f>
        <v>Anh Tuấn</v>
      </c>
      <c r="C1858" s="127" t="str">
        <f>IFERROR(__xludf.DUMMYFUNCTION("""COMPUTED_VALUE"""),"83A Lý NAm Đế")</f>
        <v>83A Lý NAm Đế</v>
      </c>
      <c r="D1858" s="127" t="str">
        <f>IFERROR(__xludf.DUMMYFUNCTION("""COMPUTED_VALUE"""),"chó")</f>
        <v>chó</v>
      </c>
      <c r="E1858" s="127" t="str">
        <f>IFERROR(__xludf.DUMMYFUNCTION("""COMPUTED_VALUE"""),"Suty")</f>
        <v>Suty</v>
      </c>
    </row>
    <row r="1859" ht="15.75" customHeight="1">
      <c r="A1859" s="128" t="str">
        <f>IFERROR(__xludf.DUMMYFUNCTION("""COMPUTED_VALUE"""),"0932 578 689")</f>
        <v>0932 578 689</v>
      </c>
      <c r="B1859" s="127" t="str">
        <f>IFERROR(__xludf.DUMMYFUNCTION("""COMPUTED_VALUE"""),"Chú Đồng")</f>
        <v>Chú Đồng</v>
      </c>
      <c r="C1859" s="127" t="str">
        <f>IFERROR(__xludf.DUMMYFUNCTION("""COMPUTED_VALUE"""),"80/2 Nguyễn Hoàng")</f>
        <v>80/2 Nguyễn Hoàng</v>
      </c>
      <c r="D1859" s="127" t="str">
        <f>IFERROR(__xludf.DUMMYFUNCTION("""COMPUTED_VALUE"""),"chó")</f>
        <v>chó</v>
      </c>
      <c r="E1859" s="127" t="str">
        <f>IFERROR(__xludf.DUMMYFUNCTION("""COMPUTED_VALUE"""),"Đen")</f>
        <v>Đen</v>
      </c>
    </row>
    <row r="1860" ht="15.75" customHeight="1">
      <c r="A1860" s="128" t="str">
        <f>IFERROR(__xludf.DUMMYFUNCTION("""COMPUTED_VALUE"""),"0839 200 402")</f>
        <v>0839 200 402</v>
      </c>
      <c r="B1860" s="127" t="str">
        <f>IFERROR(__xludf.DUMMYFUNCTION("""COMPUTED_VALUE"""),"Em Nhi")</f>
        <v>Em Nhi</v>
      </c>
      <c r="C1860" s="127" t="str">
        <f>IFERROR(__xludf.DUMMYFUNCTION("""COMPUTED_VALUE"""),"33 Hoàng Thị Loan")</f>
        <v>33 Hoàng Thị Loan</v>
      </c>
      <c r="D1860" s="127" t="str">
        <f>IFERROR(__xludf.DUMMYFUNCTION("""COMPUTED_VALUE"""),"mèo")</f>
        <v>mèo</v>
      </c>
      <c r="E1860" s="127" t="str">
        <f>IFERROR(__xludf.DUMMYFUNCTION("""COMPUTED_VALUE"""),"Bí")</f>
        <v>Bí</v>
      </c>
    </row>
    <row r="1861" ht="15.75" customHeight="1">
      <c r="A1861" s="128" t="str">
        <f>IFERROR(__xludf.DUMMYFUNCTION("""COMPUTED_VALUE"""),"0965 642 222")</f>
        <v>0965 642 222</v>
      </c>
      <c r="B1861" s="127" t="str">
        <f>IFERROR(__xludf.DUMMYFUNCTION("""COMPUTED_VALUE"""),"Trương Đinh Tiến")</f>
        <v>Trương Đinh Tiến</v>
      </c>
      <c r="C1861" s="127" t="str">
        <f>IFERROR(__xludf.DUMMYFUNCTION("""COMPUTED_VALUE"""),"163 Nguyễn Lộ Trạch")</f>
        <v>163 Nguyễn Lộ Trạch</v>
      </c>
      <c r="D1861" s="127" t="str">
        <f>IFERROR(__xludf.DUMMYFUNCTION("""COMPUTED_VALUE"""),"Mèo")</f>
        <v>Mèo</v>
      </c>
      <c r="E1861" s="127" t="str">
        <f>IFERROR(__xludf.DUMMYFUNCTION("""COMPUTED_VALUE"""),"Miu")</f>
        <v>Miu</v>
      </c>
    </row>
    <row r="1862" ht="15.75" customHeight="1">
      <c r="A1862" s="128" t="str">
        <f>IFERROR(__xludf.DUMMYFUNCTION("""COMPUTED_VALUE"""),"0914 501 589")</f>
        <v>0914 501 589</v>
      </c>
      <c r="B1862" s="123" t="str">
        <f>IFERROR(__xludf.DUMMYFUNCTION("""COMPUTED_VALUE"""),"Anh Tuấn")</f>
        <v>Anh Tuấn</v>
      </c>
      <c r="C1862" s="119" t="str">
        <f>IFERROR(__xludf.DUMMYFUNCTION("""COMPUTED_VALUE"""),"81 Nguyễn Hoàng")</f>
        <v>81 Nguyễn Hoàng</v>
      </c>
      <c r="D1862" s="127" t="str">
        <f>IFERROR(__xludf.DUMMYFUNCTION("""COMPUTED_VALUE"""),"Chó")</f>
        <v>Chó</v>
      </c>
      <c r="E1862" s="119" t="str">
        <f>IFERROR(__xludf.DUMMYFUNCTION("""COMPUTED_VALUE"""),"Vàng")</f>
        <v>Vàng</v>
      </c>
    </row>
    <row r="1863" ht="15.75" customHeight="1">
      <c r="A1863" s="128" t="str">
        <f>IFERROR(__xludf.DUMMYFUNCTION("""COMPUTED_VALUE"""),"0935 133 616")</f>
        <v>0935 133 616</v>
      </c>
      <c r="B1863" s="127" t="str">
        <f>IFERROR(__xludf.DUMMYFUNCTION("""COMPUTED_VALUE"""),"Anh Quân")</f>
        <v>Anh Quân</v>
      </c>
      <c r="C1863" s="127" t="str">
        <f>IFERROR(__xludf.DUMMYFUNCTION("""COMPUTED_VALUE"""),"Phú Lộc")</f>
        <v>Phú Lộc</v>
      </c>
      <c r="D1863" s="127" t="str">
        <f>IFERROR(__xludf.DUMMYFUNCTION("""COMPUTED_VALUE"""),"Chó")</f>
        <v>Chó</v>
      </c>
      <c r="E1863" s="127" t="str">
        <f>IFERROR(__xludf.DUMMYFUNCTION("""COMPUTED_VALUE"""),"Bắp ")</f>
        <v>Bắp </v>
      </c>
    </row>
    <row r="1864" ht="15.75" customHeight="1">
      <c r="A1864" s="128" t="str">
        <f>IFERROR(__xludf.DUMMYFUNCTION("""COMPUTED_VALUE"""),"0789 457 038")</f>
        <v>0789 457 038</v>
      </c>
      <c r="B1864" s="127" t="str">
        <f>IFERROR(__xludf.DUMMYFUNCTION("""COMPUTED_VALUE"""),"Na")</f>
        <v>Na</v>
      </c>
      <c r="C1864" s="127"/>
      <c r="D1864" s="127" t="str">
        <f>IFERROR(__xludf.DUMMYFUNCTION("""COMPUTED_VALUE"""),"chó")</f>
        <v>chó</v>
      </c>
      <c r="E1864" s="127" t="str">
        <f>IFERROR(__xludf.DUMMYFUNCTION("""COMPUTED_VALUE""")," Cỏ")</f>
        <v> Cỏ</v>
      </c>
    </row>
    <row r="1865" ht="15.75" customHeight="1">
      <c r="A1865" s="128" t="str">
        <f>IFERROR(__xludf.DUMMYFUNCTION("""COMPUTED_VALUE"""),"0344 525 824")</f>
        <v>0344 525 824</v>
      </c>
      <c r="B1865" s="127" t="str">
        <f>IFERROR(__xludf.DUMMYFUNCTION("""COMPUTED_VALUE"""),"Minh")</f>
        <v>Minh</v>
      </c>
      <c r="C1865" s="127" t="str">
        <f>IFERROR(__xludf.DUMMYFUNCTION("""COMPUTED_VALUE"""),"14/101 Phan Bội Châu")</f>
        <v>14/101 Phan Bội Châu</v>
      </c>
      <c r="D1865" s="127" t="str">
        <f>IFERROR(__xludf.DUMMYFUNCTION("""COMPUTED_VALUE"""),"chó")</f>
        <v>chó</v>
      </c>
      <c r="E1865" s="127" t="str">
        <f>IFERROR(__xludf.DUMMYFUNCTION("""COMPUTED_VALUE""")," Phèn")</f>
        <v> Phèn</v>
      </c>
    </row>
    <row r="1866" ht="15.75" customHeight="1">
      <c r="A1866" s="128" t="str">
        <f>IFERROR(__xludf.DUMMYFUNCTION("""COMPUTED_VALUE"""),"0914 501 589")</f>
        <v>0914 501 589</v>
      </c>
      <c r="B1866" s="127" t="str">
        <f>IFERROR(__xludf.DUMMYFUNCTION("""COMPUTED_VALUE"""),"Chị Bích")</f>
        <v>Chị Bích</v>
      </c>
      <c r="C1866" s="127" t="str">
        <f>IFERROR(__xludf.DUMMYFUNCTION("""COMPUTED_VALUE"""),"6/14/120 Điện Biên Phủ")</f>
        <v>6/14/120 Điện Biên Phủ</v>
      </c>
      <c r="D1866" s="127" t="str">
        <f>IFERROR(__xludf.DUMMYFUNCTION("""COMPUTED_VALUE"""),"Chó")</f>
        <v>Chó</v>
      </c>
      <c r="E1866" s="127" t="str">
        <f>IFERROR(__xludf.DUMMYFUNCTION("""COMPUTED_VALUE"""),"Beri")</f>
        <v>Beri</v>
      </c>
    </row>
    <row r="1867" ht="15.75" customHeight="1">
      <c r="A1867" s="128" t="str">
        <f>IFERROR(__xludf.DUMMYFUNCTION("""COMPUTED_VALUE"""),"0913 284 287")</f>
        <v>0913 284 287</v>
      </c>
      <c r="B1867" s="127" t="str">
        <f>IFERROR(__xludf.DUMMYFUNCTION("""COMPUTED_VALUE"""),"Chiị Thủy")</f>
        <v>Chiị Thủy</v>
      </c>
      <c r="C1867" s="127" t="str">
        <f>IFERROR(__xludf.DUMMYFUNCTION("""COMPUTED_VALUE"""),"175 Phan Bội Châu")</f>
        <v>175 Phan Bội Châu</v>
      </c>
      <c r="D1867" s="127" t="str">
        <f>IFERROR(__xludf.DUMMYFUNCTION("""COMPUTED_VALUE"""),"mèo ")</f>
        <v>mèo </v>
      </c>
      <c r="E1867" s="127" t="str">
        <f>IFERROR(__xludf.DUMMYFUNCTION("""COMPUTED_VALUE"""),"Sóc")</f>
        <v>Sóc</v>
      </c>
    </row>
    <row r="1868" ht="15.75" customHeight="1">
      <c r="A1868" s="128" t="str">
        <f>IFERROR(__xludf.DUMMYFUNCTION("""COMPUTED_VALUE"""),"0858 081 528")</f>
        <v>0858 081 528</v>
      </c>
      <c r="B1868" s="127" t="str">
        <f>IFERROR(__xludf.DUMMYFUNCTION("""COMPUTED_VALUE"""),"Khánh")</f>
        <v>Khánh</v>
      </c>
      <c r="C1868" s="127" t="str">
        <f>IFERROR(__xludf.DUMMYFUNCTION("""COMPUTED_VALUE"""),"Võ Thị Sáu")</f>
        <v>Võ Thị Sáu</v>
      </c>
      <c r="D1868" s="127" t="str">
        <f>IFERROR(__xludf.DUMMYFUNCTION("""COMPUTED_VALUE"""),"Mèo")</f>
        <v>Mèo</v>
      </c>
      <c r="E1868" s="127" t="str">
        <f>IFERROR(__xludf.DUMMYFUNCTION("""COMPUTED_VALUE"""),"Bơ")</f>
        <v>Bơ</v>
      </c>
    </row>
    <row r="1869" ht="15.75" customHeight="1">
      <c r="A1869" s="128" t="str">
        <f>IFERROR(__xludf.DUMMYFUNCTION("""COMPUTED_VALUE"""),"0889 196 640")</f>
        <v>0889 196 640</v>
      </c>
      <c r="B1869" s="127" t="str">
        <f>IFERROR(__xludf.DUMMYFUNCTION("""COMPUTED_VALUE"""),"Tạ Công Hải")</f>
        <v>Tạ Công Hải</v>
      </c>
      <c r="C1869" s="127" t="str">
        <f>IFERROR(__xludf.DUMMYFUNCTION("""COMPUTED_VALUE"""),"Đồng Hới- Quảng Bình")</f>
        <v>Đồng Hới- Quảng Bình</v>
      </c>
      <c r="D1869" s="127" t="str">
        <f>IFERROR(__xludf.DUMMYFUNCTION("""COMPUTED_VALUE"""),"Mèo")</f>
        <v>Mèo</v>
      </c>
      <c r="E1869" s="127" t="str">
        <f>IFERROR(__xludf.DUMMYFUNCTION("""COMPUTED_VALUE"""),"Miu")</f>
        <v>Miu</v>
      </c>
    </row>
    <row r="1870" ht="15.75" customHeight="1">
      <c r="A1870" s="128" t="str">
        <f>IFERROR(__xludf.DUMMYFUNCTION("""COMPUTED_VALUE"""),"0935 939 321")</f>
        <v>0935 939 321</v>
      </c>
      <c r="B1870" s="127" t="str">
        <f>IFERROR(__xludf.DUMMYFUNCTION("""COMPUTED_VALUE"""),"Trà Giang")</f>
        <v>Trà Giang</v>
      </c>
      <c r="C1870" s="127" t="str">
        <f>IFERROR(__xludf.DUMMYFUNCTION("""COMPUTED_VALUE"""),"201 Phan Bội Châu")</f>
        <v>201 Phan Bội Châu</v>
      </c>
      <c r="D1870" s="127" t="str">
        <f>IFERROR(__xludf.DUMMYFUNCTION("""COMPUTED_VALUE"""),"Chó")</f>
        <v>Chó</v>
      </c>
      <c r="E1870" s="127" t="str">
        <f>IFERROR(__xludf.DUMMYFUNCTION("""COMPUTED_VALUE"""),"lucky")</f>
        <v>lucky</v>
      </c>
    </row>
    <row r="1871" ht="15.75" customHeight="1">
      <c r="A1871" s="128" t="str">
        <f>IFERROR(__xludf.DUMMYFUNCTION("""COMPUTED_VALUE"""),"0913 425 416")</f>
        <v>0913 425 416</v>
      </c>
      <c r="B1871" s="127" t="str">
        <f>IFERROR(__xludf.DUMMYFUNCTION("""COMPUTED_VALUE"""),"Chú Khuyến")</f>
        <v>Chú Khuyến</v>
      </c>
      <c r="C1871" s="127" t="str">
        <f>IFERROR(__xludf.DUMMYFUNCTION("""COMPUTED_VALUE"""),"28 Ngô Thời Nhậm")</f>
        <v>28 Ngô Thời Nhậm</v>
      </c>
      <c r="D1871" s="127" t="str">
        <f>IFERROR(__xludf.DUMMYFUNCTION("""COMPUTED_VALUE"""),"chó")</f>
        <v>chó</v>
      </c>
      <c r="E1871" s="127" t="str">
        <f>IFERROR(__xludf.DUMMYFUNCTION("""COMPUTED_VALUE"""),"Rùa")</f>
        <v>Rùa</v>
      </c>
    </row>
    <row r="1872" ht="15.75" customHeight="1">
      <c r="A1872" s="128" t="str">
        <f>IFERROR(__xludf.DUMMYFUNCTION("""COMPUTED_VALUE"""),"0706 690 782")</f>
        <v>0706 690 782</v>
      </c>
      <c r="B1872" s="127" t="str">
        <f>IFERROR(__xludf.DUMMYFUNCTION("""COMPUTED_VALUE"""),"Thầy Tài")</f>
        <v>Thầy Tài</v>
      </c>
      <c r="C1872" s="127" t="str">
        <f>IFERROR(__xludf.DUMMYFUNCTION("""COMPUTED_VALUE"""),"2 Kiệt 147A Chùa Chánh Giáp")</f>
        <v>2 Kiệt 147A Chùa Chánh Giáp</v>
      </c>
      <c r="D1872" s="127" t="str">
        <f>IFERROR(__xludf.DUMMYFUNCTION("""COMPUTED_VALUE"""),"chó")</f>
        <v>chó</v>
      </c>
      <c r="E1872" s="127" t="str">
        <f>IFERROR(__xludf.DUMMYFUNCTION("""COMPUTED_VALUE"""),"Rin")</f>
        <v>Rin</v>
      </c>
    </row>
    <row r="1873" ht="15.75" customHeight="1">
      <c r="A1873" s="128" t="str">
        <f>IFERROR(__xludf.DUMMYFUNCTION("""COMPUTED_VALUE"""),"0393 152 400")</f>
        <v>0393 152 400</v>
      </c>
      <c r="B1873" s="127" t="str">
        <f>IFERROR(__xludf.DUMMYFUNCTION("""COMPUTED_VALUE"""),"Em Nhi")</f>
        <v>Em Nhi</v>
      </c>
      <c r="C1873" s="127" t="str">
        <f>IFERROR(__xludf.DUMMYFUNCTION("""COMPUTED_VALUE"""),"42 Duy Tân")</f>
        <v>42 Duy Tân</v>
      </c>
      <c r="D1873" s="127" t="str">
        <f>IFERROR(__xludf.DUMMYFUNCTION("""COMPUTED_VALUE"""),"chó")</f>
        <v>chó</v>
      </c>
      <c r="E1873" s="127" t="str">
        <f>IFERROR(__xludf.DUMMYFUNCTION("""COMPUTED_VALUE"""),"mèo")</f>
        <v>mèo</v>
      </c>
    </row>
    <row r="1874" ht="15.75" customHeight="1">
      <c r="A1874" s="128" t="str">
        <f>IFERROR(__xludf.DUMMYFUNCTION("""COMPUTED_VALUE"""),"0782 828 060")</f>
        <v>0782 828 060</v>
      </c>
      <c r="B1874" s="127" t="str">
        <f>IFERROR(__xludf.DUMMYFUNCTION("""COMPUTED_VALUE"""),"Em Hân")</f>
        <v>Em Hân</v>
      </c>
      <c r="C1874" s="127" t="str">
        <f>IFERROR(__xludf.DUMMYFUNCTION("""COMPUTED_VALUE"""),"Nguyễn Hữu Cảnh")</f>
        <v>Nguyễn Hữu Cảnh</v>
      </c>
      <c r="D1874" s="127" t="str">
        <f>IFERROR(__xludf.DUMMYFUNCTION("""COMPUTED_VALUE"""),"mèo")</f>
        <v>mèo</v>
      </c>
      <c r="E1874" s="127" t="str">
        <f>IFERROR(__xludf.DUMMYFUNCTION("""COMPUTED_VALUE"""),"Ca")</f>
        <v>Ca</v>
      </c>
    </row>
    <row r="1875" ht="15.75" customHeight="1">
      <c r="A1875" s="128" t="str">
        <f>IFERROR(__xludf.DUMMYFUNCTION("""COMPUTED_VALUE"""),"0912 302 622")</f>
        <v>0912 302 622</v>
      </c>
      <c r="B1875" s="127" t="str">
        <f>IFERROR(__xludf.DUMMYFUNCTION("""COMPUTED_VALUE"""),"Dương")</f>
        <v>Dương</v>
      </c>
      <c r="C1875" s="127" t="str">
        <f>IFERROR(__xludf.DUMMYFUNCTION("""COMPUTED_VALUE""")," Phường Thủy Xuân")</f>
        <v> Phường Thủy Xuân</v>
      </c>
      <c r="D1875" s="127" t="str">
        <f>IFERROR(__xludf.DUMMYFUNCTION("""COMPUTED_VALUE"""),"mèo")</f>
        <v>mèo</v>
      </c>
      <c r="E1875" s="127" t="str">
        <f>IFERROR(__xludf.DUMMYFUNCTION("""COMPUTED_VALUE""")," Moon")</f>
        <v> Moon</v>
      </c>
    </row>
    <row r="1876" ht="15.75" customHeight="1">
      <c r="A1876" s="128" t="str">
        <f>IFERROR(__xludf.DUMMYFUNCTION("""COMPUTED_VALUE"""),"0797 360 168")</f>
        <v>0797 360 168</v>
      </c>
      <c r="B1876" s="127" t="str">
        <f>IFERROR(__xludf.DUMMYFUNCTION("""COMPUTED_VALUE"""),"Như Quỳnh")</f>
        <v>Như Quỳnh</v>
      </c>
      <c r="C1876" s="127" t="str">
        <f>IFERROR(__xludf.DUMMYFUNCTION("""COMPUTED_VALUE"""),"26/168 Trần Phú")</f>
        <v>26/168 Trần Phú</v>
      </c>
      <c r="D1876" s="127" t="str">
        <f>IFERROR(__xludf.DUMMYFUNCTION("""COMPUTED_VALUE"""),"chó")</f>
        <v>chó</v>
      </c>
      <c r="E1876" s="127" t="str">
        <f>IFERROR(__xludf.DUMMYFUNCTION("""COMPUTED_VALUE""")," Mèo")</f>
        <v> Mèo</v>
      </c>
    </row>
    <row r="1877" ht="15.75" customHeight="1">
      <c r="A1877" s="128" t="str">
        <f>IFERROR(__xludf.DUMMYFUNCTION("""COMPUTED_VALUE"""),"0916 368 835")</f>
        <v>0916 368 835</v>
      </c>
      <c r="B1877" s="127" t="str">
        <f>IFERROR(__xludf.DUMMYFUNCTION("""COMPUTED_VALUE"""),"Chị Ái")</f>
        <v>Chị Ái</v>
      </c>
      <c r="C1877" s="127" t="str">
        <f>IFERROR(__xludf.DUMMYFUNCTION("""COMPUTED_VALUE"""),"26/245 Điện Biên Phủ")</f>
        <v>26/245 Điện Biên Phủ</v>
      </c>
      <c r="D1877" s="127" t="str">
        <f>IFERROR(__xludf.DUMMYFUNCTION("""COMPUTED_VALUE"""),"chó")</f>
        <v>chó</v>
      </c>
      <c r="E1877" s="127" t="str">
        <f>IFERROR(__xludf.DUMMYFUNCTION("""COMPUTED_VALUE""")," SoMy")</f>
        <v> SoMy</v>
      </c>
    </row>
    <row r="1878" ht="15.75" customHeight="1">
      <c r="A1878" s="128" t="str">
        <f>IFERROR(__xludf.DUMMYFUNCTION("""COMPUTED_VALUE"""),"0898 195 763")</f>
        <v>0898 195 763</v>
      </c>
      <c r="B1878" s="127" t="str">
        <f>IFERROR(__xludf.DUMMYFUNCTION("""COMPUTED_VALUE"""),"Hùng")</f>
        <v>Hùng</v>
      </c>
      <c r="C1878" s="127"/>
      <c r="D1878" s="127" t="str">
        <f>IFERROR(__xludf.DUMMYFUNCTION("""COMPUTED_VALUE"""),"chó")</f>
        <v>chó</v>
      </c>
      <c r="E1878" s="119" t="str">
        <f>IFERROR(__xludf.DUMMYFUNCTION("""COMPUTED_VALUE""")," Pao")</f>
        <v> Pao</v>
      </c>
    </row>
    <row r="1879" ht="15.75" customHeight="1">
      <c r="A1879" s="128" t="str">
        <f>IFERROR(__xludf.DUMMYFUNCTION("""COMPUTED_VALUE"""),"0333 542 489")</f>
        <v>0333 542 489</v>
      </c>
      <c r="B1879" s="127" t="str">
        <f>IFERROR(__xludf.DUMMYFUNCTION("""COMPUTED_VALUE"""),"Huỳnh Tư")</f>
        <v>Huỳnh Tư</v>
      </c>
      <c r="C1879" s="127" t="str">
        <f>IFERROR(__xludf.DUMMYFUNCTION("""COMPUTED_VALUE"""),"104 Ngự Bình")</f>
        <v>104 Ngự Bình</v>
      </c>
      <c r="D1879" s="127" t="str">
        <f>IFERROR(__xludf.DUMMYFUNCTION("""COMPUTED_VALUE"""),"mèo")</f>
        <v>mèo</v>
      </c>
      <c r="E1879" s="127" t="str">
        <f>IFERROR(__xludf.DUMMYFUNCTION("""COMPUTED_VALUE""")," ")</f>
        <v> </v>
      </c>
    </row>
    <row r="1880" ht="15.75" customHeight="1">
      <c r="A1880" s="128" t="str">
        <f>IFERROR(__xludf.DUMMYFUNCTION("""COMPUTED_VALUE"""),"0935 671 503")</f>
        <v>0935 671 503</v>
      </c>
      <c r="B1880" s="127" t="str">
        <f>IFERROR(__xludf.DUMMYFUNCTION("""COMPUTED_VALUE"""),"Anh Tùng")</f>
        <v>Anh Tùng</v>
      </c>
      <c r="C1880" s="127" t="str">
        <f>IFERROR(__xludf.DUMMYFUNCTION("""COMPUTED_VALUE"""),"31  Trần Quang Khải")</f>
        <v>31  Trần Quang Khải</v>
      </c>
      <c r="D1880" s="127" t="str">
        <f>IFERROR(__xludf.DUMMYFUNCTION("""COMPUTED_VALUE"""),"mèo")</f>
        <v>mèo</v>
      </c>
      <c r="E1880" s="127" t="str">
        <f>IFERROR(__xludf.DUMMYFUNCTION("""COMPUTED_VALUE"""),"Cọp")</f>
        <v>Cọp</v>
      </c>
    </row>
    <row r="1881" ht="15.75" customHeight="1">
      <c r="A1881" s="128" t="str">
        <f>IFERROR(__xludf.DUMMYFUNCTION("""COMPUTED_VALUE"""),"0949 369 399")</f>
        <v>0949 369 399</v>
      </c>
      <c r="B1881" s="127" t="str">
        <f>IFERROR(__xludf.DUMMYFUNCTION("""COMPUTED_VALUE"""),"Anh DĐạt")</f>
        <v>Anh DĐạt</v>
      </c>
      <c r="C1881" s="127" t="str">
        <f>IFERROR(__xludf.DUMMYFUNCTION("""COMPUTED_VALUE"""),"Kiệt 131 Trần Phú")</f>
        <v>Kiệt 131 Trần Phú</v>
      </c>
      <c r="D1881" s="127" t="str">
        <f>IFERROR(__xludf.DUMMYFUNCTION("""COMPUTED_VALUE""")," Chó")</f>
        <v> Chó</v>
      </c>
      <c r="E1881" s="127" t="str">
        <f>IFERROR(__xludf.DUMMYFUNCTION("""COMPUTED_VALUE""")," Sóc")</f>
        <v> Sóc</v>
      </c>
    </row>
    <row r="1882" ht="15.75" customHeight="1">
      <c r="A1882" s="128" t="str">
        <f>IFERROR(__xludf.DUMMYFUNCTION("""COMPUTED_VALUE"""),"0775 516 243")</f>
        <v>0775 516 243</v>
      </c>
      <c r="B1882" s="127" t="str">
        <f>IFERROR(__xludf.DUMMYFUNCTION("""COMPUTED_VALUE"""),"Chị Châu")</f>
        <v>Chị Châu</v>
      </c>
      <c r="C1882" s="127" t="str">
        <f>IFERROR(__xludf.DUMMYFUNCTION("""COMPUTED_VALUE"""),"Nam Thượng, Phú thượng")</f>
        <v>Nam Thượng, Phú thượng</v>
      </c>
      <c r="D1882" s="127" t="str">
        <f>IFERROR(__xludf.DUMMYFUNCTION("""COMPUTED_VALUE"""),"chó")</f>
        <v>chó</v>
      </c>
      <c r="E1882" s="127" t="str">
        <f>IFERROR(__xludf.DUMMYFUNCTION("""COMPUTED_VALUE"""),"Bông")</f>
        <v>Bông</v>
      </c>
    </row>
    <row r="1883" ht="15.75" customHeight="1">
      <c r="A1883" s="128" t="str">
        <f>IFERROR(__xludf.DUMMYFUNCTION("""COMPUTED_VALUE"""),"0769 644 436")</f>
        <v>0769 644 436</v>
      </c>
      <c r="B1883" s="127" t="str">
        <f>IFERROR(__xludf.DUMMYFUNCTION("""COMPUTED_VALUE"""),"Anh Quang")</f>
        <v>Anh Quang</v>
      </c>
      <c r="C1883" s="127" t="str">
        <f>IFERROR(__xludf.DUMMYFUNCTION("""COMPUTED_VALUE"""),"LKV 16/4 KDT Royal park")</f>
        <v>LKV 16/4 KDT Royal park</v>
      </c>
      <c r="D1883" s="127" t="str">
        <f>IFERROR(__xludf.DUMMYFUNCTION("""COMPUTED_VALUE"""),"chó")</f>
        <v>chó</v>
      </c>
      <c r="E1883" s="127" t="str">
        <f>IFERROR(__xludf.DUMMYFUNCTION("""COMPUTED_VALUE"""),"Ka")</f>
        <v>Ka</v>
      </c>
    </row>
    <row r="1884" ht="15.75" customHeight="1">
      <c r="A1884" s="128" t="str">
        <f>IFERROR(__xludf.DUMMYFUNCTION("""COMPUTED_VALUE"""),"0826 347 677")</f>
        <v>0826 347 677</v>
      </c>
      <c r="B1884" s="127" t="str">
        <f>IFERROR(__xludf.DUMMYFUNCTION("""COMPUTED_VALUE"""),"Dì Nga")</f>
        <v>Dì Nga</v>
      </c>
      <c r="C1884" s="127" t="str">
        <f>IFERROR(__xludf.DUMMYFUNCTION("""COMPUTED_VALUE"""),"42 Tùng Thiện Vương")</f>
        <v>42 Tùng Thiện Vương</v>
      </c>
      <c r="D1884" s="127" t="str">
        <f>IFERROR(__xludf.DUMMYFUNCTION("""COMPUTED_VALUE"""),"chó")</f>
        <v>chó</v>
      </c>
      <c r="E1884" s="127" t="str">
        <f>IFERROR(__xludf.DUMMYFUNCTION("""COMPUTED_VALUE"""),"Bạch")</f>
        <v>Bạch</v>
      </c>
    </row>
    <row r="1885" ht="15.75" customHeight="1">
      <c r="A1885" s="128" t="str">
        <f>IFERROR(__xludf.DUMMYFUNCTION("""COMPUTED_VALUE"""),"0762 415 531")</f>
        <v>0762 415 531</v>
      </c>
      <c r="B1885" s="127" t="str">
        <f>IFERROR(__xludf.DUMMYFUNCTION("""COMPUTED_VALUE"""),"Kim Lý")</f>
        <v>Kim Lý</v>
      </c>
      <c r="C1885" s="127" t="str">
        <f>IFERROR(__xludf.DUMMYFUNCTION("""COMPUTED_VALUE"""),"Chợ Nọ, Phú Dương")</f>
        <v>Chợ Nọ, Phú Dương</v>
      </c>
      <c r="D1885" s="127" t="str">
        <f>IFERROR(__xludf.DUMMYFUNCTION("""COMPUTED_VALUE"""),"mèo")</f>
        <v>mèo</v>
      </c>
      <c r="E1885" s="127" t="str">
        <f>IFERROR(__xludf.DUMMYFUNCTION("""COMPUTED_VALUE"""),"Măng")</f>
        <v>Măng</v>
      </c>
    </row>
    <row r="1886" ht="15.75" customHeight="1">
      <c r="A1886" s="128" t="str">
        <f>IFERROR(__xludf.DUMMYFUNCTION("""COMPUTED_VALUE"""),"0935 329 137")</f>
        <v>0935 329 137</v>
      </c>
      <c r="B1886" s="127" t="str">
        <f>IFERROR(__xludf.DUMMYFUNCTION("""COMPUTED_VALUE"""),"Em Linh")</f>
        <v>Em Linh</v>
      </c>
      <c r="C1886" s="127" t="str">
        <f>IFERROR(__xludf.DUMMYFUNCTION("""COMPUTED_VALUE"""),"Hương Hồ")</f>
        <v>Hương Hồ</v>
      </c>
      <c r="D1886" s="127" t="str">
        <f>IFERROR(__xludf.DUMMYFUNCTION("""COMPUTED_VALUE"""),"mèo")</f>
        <v>mèo</v>
      </c>
      <c r="E1886" s="127" t="str">
        <f>IFERROR(__xludf.DUMMYFUNCTION("""COMPUTED_VALUE"""),"Ki")</f>
        <v>Ki</v>
      </c>
    </row>
    <row r="1887" ht="15.75" customHeight="1">
      <c r="A1887" s="128" t="str">
        <f>IFERROR(__xludf.DUMMYFUNCTION("""COMPUTED_VALUE"""),"0855 553 609")</f>
        <v>0855 553 609</v>
      </c>
      <c r="B1887" s="127" t="str">
        <f>IFERROR(__xludf.DUMMYFUNCTION("""COMPUTED_VALUE"""),"Chị Thu")</f>
        <v>Chị Thu</v>
      </c>
      <c r="C1887" s="127" t="str">
        <f>IFERROR(__xludf.DUMMYFUNCTION("""COMPUTED_VALUE"""),"202 Phạm Văn Đồng")</f>
        <v>202 Phạm Văn Đồng</v>
      </c>
      <c r="D1887" s="127" t="str">
        <f>IFERROR(__xludf.DUMMYFUNCTION("""COMPUTED_VALUE"""),"chó")</f>
        <v>chó</v>
      </c>
      <c r="E1887" s="127" t="str">
        <f>IFERROR(__xludf.DUMMYFUNCTION("""COMPUTED_VALUE"""),"La")</f>
        <v>La</v>
      </c>
    </row>
    <row r="1888" ht="15.75" customHeight="1">
      <c r="A1888" s="128" t="str">
        <f>IFERROR(__xludf.DUMMYFUNCTION("""COMPUTED_VALUE"""),"0333 557 575")</f>
        <v>0333 557 575</v>
      </c>
      <c r="B1888" s="127" t="str">
        <f>IFERROR(__xludf.DUMMYFUNCTION("""COMPUTED_VALUE"""),"Em Minh Châu")</f>
        <v>Em Minh Châu</v>
      </c>
      <c r="C1888" s="127" t="str">
        <f>IFERROR(__xludf.DUMMYFUNCTION("""COMPUTED_VALUE"""),"86 Điện Biên Phủ")</f>
        <v>86 Điện Biên Phủ</v>
      </c>
      <c r="D1888" s="127" t="str">
        <f>IFERROR(__xludf.DUMMYFUNCTION("""COMPUTED_VALUE"""),"mèo")</f>
        <v>mèo</v>
      </c>
      <c r="E1888" s="127" t="str">
        <f>IFERROR(__xludf.DUMMYFUNCTION("""COMPUTED_VALUE"""),"Chén")</f>
        <v>Chén</v>
      </c>
    </row>
    <row r="1889" ht="15.75" customHeight="1">
      <c r="A1889" s="128" t="str">
        <f>IFERROR(__xludf.DUMMYFUNCTION("""COMPUTED_VALUE"""),"0931 996 841")</f>
        <v>0931 996 841</v>
      </c>
      <c r="B1889" s="127" t="str">
        <f>IFERROR(__xludf.DUMMYFUNCTION("""COMPUTED_VALUE"""),"Phạm Hữu Tình Hoàng")</f>
        <v>Phạm Hữu Tình Hoàng</v>
      </c>
      <c r="C1889" s="127" t="str">
        <f>IFERROR(__xludf.DUMMYFUNCTION("""COMPUTED_VALUE"""),"12-23 Đường 15 Royal park")</f>
        <v>12-23 Đường 15 Royal park</v>
      </c>
      <c r="D1889" s="127" t="str">
        <f>IFERROR(__xludf.DUMMYFUNCTION("""COMPUTED_VALUE"""),"mèo")</f>
        <v>mèo</v>
      </c>
      <c r="E1889" s="127" t="str">
        <f>IFERROR(__xludf.DUMMYFUNCTION("""COMPUTED_VALUE""")," Tiêu")</f>
        <v> Tiêu</v>
      </c>
    </row>
    <row r="1890" ht="15.75" customHeight="1">
      <c r="A1890" s="128" t="str">
        <f>IFERROR(__xludf.DUMMYFUNCTION("""COMPUTED_VALUE"""),"0346 421 765")</f>
        <v>0346 421 765</v>
      </c>
      <c r="B1890" s="127" t="str">
        <f>IFERROR(__xludf.DUMMYFUNCTION("""COMPUTED_VALUE"""),"Anh Lâm")</f>
        <v>Anh Lâm</v>
      </c>
      <c r="C1890" s="127" t="str">
        <f>IFERROR(__xludf.DUMMYFUNCTION("""COMPUTED_VALUE"""),"93 Bùi Thị Xuân")</f>
        <v>93 Bùi Thị Xuân</v>
      </c>
      <c r="D1890" s="127" t="str">
        <f>IFERROR(__xludf.DUMMYFUNCTION("""COMPUTED_VALUE"""),"mèo")</f>
        <v>mèo</v>
      </c>
      <c r="E1890" s="127" t="str">
        <f>IFERROR(__xludf.DUMMYFUNCTION("""COMPUTED_VALUE"""),"Mây")</f>
        <v>Mây</v>
      </c>
    </row>
    <row r="1891" ht="15.75" customHeight="1">
      <c r="A1891" s="128" t="str">
        <f>IFERROR(__xludf.DUMMYFUNCTION("""COMPUTED_VALUE"""),"0935 035 043")</f>
        <v>0935 035 043</v>
      </c>
      <c r="B1891" s="127" t="str">
        <f>IFERROR(__xludf.DUMMYFUNCTION("""COMPUTED_VALUE"""),"Chiị Ny")</f>
        <v>Chiị Ny</v>
      </c>
      <c r="C1891" s="127" t="str">
        <f>IFERROR(__xludf.DUMMYFUNCTION("""COMPUTED_VALUE"""),"10 Thanh Hải")</f>
        <v>10 Thanh Hải</v>
      </c>
      <c r="D1891" s="127" t="str">
        <f>IFERROR(__xludf.DUMMYFUNCTION("""COMPUTED_VALUE"""),"chó")</f>
        <v>chó</v>
      </c>
      <c r="E1891" s="127" t="str">
        <f>IFERROR(__xludf.DUMMYFUNCTION("""COMPUTED_VALUE""")," Cún")</f>
        <v> Cún</v>
      </c>
    </row>
    <row r="1892" ht="15.75" customHeight="1">
      <c r="A1892" s="128" t="str">
        <f>IFERROR(__xludf.DUMMYFUNCTION("""COMPUTED_VALUE"""),"0914 025 163")</f>
        <v>0914 025 163</v>
      </c>
      <c r="B1892" s="127" t="str">
        <f>IFERROR(__xludf.DUMMYFUNCTION("""COMPUTED_VALUE"""),"Traần Bang")</f>
        <v>Traần Bang</v>
      </c>
      <c r="C1892" s="127"/>
      <c r="D1892" s="127" t="str">
        <f>IFERROR(__xludf.DUMMYFUNCTION("""COMPUTED_VALUE"""),"mèo")</f>
        <v>mèo</v>
      </c>
      <c r="E1892" s="127" t="str">
        <f>IFERROR(__xludf.DUMMYFUNCTION("""COMPUTED_VALUE""")," Su")</f>
        <v> Su</v>
      </c>
    </row>
    <row r="1893" ht="15.75" customHeight="1">
      <c r="A1893" s="128" t="str">
        <f>IFERROR(__xludf.DUMMYFUNCTION("""COMPUTED_VALUE"""),"0706 109 555")</f>
        <v>0706 109 555</v>
      </c>
      <c r="B1893" s="127" t="str">
        <f>IFERROR(__xludf.DUMMYFUNCTION("""COMPUTED_VALUE"""),"Anh Thiện")</f>
        <v>Anh Thiện</v>
      </c>
      <c r="C1893" s="127" t="str">
        <f>IFERROR(__xludf.DUMMYFUNCTION("""COMPUTED_VALUE"""),"56 Đặng Huy Trứ")</f>
        <v>56 Đặng Huy Trứ</v>
      </c>
      <c r="D1893" s="127" t="str">
        <f>IFERROR(__xludf.DUMMYFUNCTION("""COMPUTED_VALUE"""),"chó")</f>
        <v>chó</v>
      </c>
      <c r="E1893" s="127" t="str">
        <f>IFERROR(__xludf.DUMMYFUNCTION("""COMPUTED_VALUE""")," Sam,")</f>
        <v> Sam,</v>
      </c>
    </row>
    <row r="1894" ht="15.75" customHeight="1">
      <c r="A1894" s="128" t="str">
        <f>IFERROR(__xludf.DUMMYFUNCTION("""COMPUTED_VALUE"""),"0816 919 293")</f>
        <v>0816 919 293</v>
      </c>
      <c r="B1894" s="127" t="str">
        <f>IFERROR(__xludf.DUMMYFUNCTION("""COMPUTED_VALUE"""),"Sư Cô")</f>
        <v>Sư Cô</v>
      </c>
      <c r="C1894" s="127" t="str">
        <f>IFERROR(__xludf.DUMMYFUNCTION("""COMPUTED_VALUE"""),"175 Long Hồ")</f>
        <v>175 Long Hồ</v>
      </c>
      <c r="D1894" s="127" t="str">
        <f>IFERROR(__xludf.DUMMYFUNCTION("""COMPUTED_VALUE"""),"chó")</f>
        <v>chó</v>
      </c>
      <c r="E1894" s="127" t="str">
        <f>IFERROR(__xludf.DUMMYFUNCTION("""COMPUTED_VALUE"""),"Lu")</f>
        <v>Lu</v>
      </c>
    </row>
    <row r="1895" ht="15.75" customHeight="1">
      <c r="A1895" s="128" t="str">
        <f>IFERROR(__xludf.DUMMYFUNCTION("""COMPUTED_VALUE"""),"0356 500 203")</f>
        <v>0356 500 203</v>
      </c>
      <c r="B1895" s="127" t="str">
        <f>IFERROR(__xludf.DUMMYFUNCTION("""COMPUTED_VALUE"""),"Em Phúc")</f>
        <v>Em Phúc</v>
      </c>
      <c r="C1895" s="127" t="str">
        <f>IFERROR(__xludf.DUMMYFUNCTION("""COMPUTED_VALUE"""),"k 65 Phan Bội Châu")</f>
        <v>k 65 Phan Bội Châu</v>
      </c>
      <c r="D1895" s="127" t="str">
        <f>IFERROR(__xludf.DUMMYFUNCTION("""COMPUTED_VALUE"""),"mèo")</f>
        <v>mèo</v>
      </c>
      <c r="E1895" s="127" t="str">
        <f>IFERROR(__xludf.DUMMYFUNCTION("""COMPUTED_VALUE""")," Mèo")</f>
        <v> Mèo</v>
      </c>
    </row>
    <row r="1896" ht="15.75" customHeight="1">
      <c r="A1896" s="128" t="str">
        <f>IFERROR(__xludf.DUMMYFUNCTION("""COMPUTED_VALUE"""),"0935 261 407")</f>
        <v>0935 261 407</v>
      </c>
      <c r="B1896" s="127" t="str">
        <f>IFERROR(__xludf.DUMMYFUNCTION("""COMPUTED_VALUE"""),"Chị Dung ")</f>
        <v>Chị Dung </v>
      </c>
      <c r="C1896" s="127" t="str">
        <f>IFERROR(__xludf.DUMMYFUNCTION("""COMPUTED_VALUE"""),"Hương Cần")</f>
        <v>Hương Cần</v>
      </c>
      <c r="D1896" s="127" t="str">
        <f>IFERROR(__xludf.DUMMYFUNCTION("""COMPUTED_VALUE"""),"chó")</f>
        <v>chó</v>
      </c>
      <c r="E1896" s="127" t="str">
        <f>IFERROR(__xludf.DUMMYFUNCTION("""COMPUTED_VALUE"""),"Mít")</f>
        <v>Mít</v>
      </c>
    </row>
    <row r="1897" ht="15.75" customHeight="1">
      <c r="A1897" s="128" t="str">
        <f>IFERROR(__xludf.DUMMYFUNCTION("""COMPUTED_VALUE"""),"0387 103 100")</f>
        <v>0387 103 100</v>
      </c>
      <c r="B1897" s="127" t="str">
        <f>IFERROR(__xludf.DUMMYFUNCTION("""COMPUTED_VALUE"""),"Chị Hằng")</f>
        <v>Chị Hằng</v>
      </c>
      <c r="C1897" s="127" t="str">
        <f>IFERROR(__xludf.DUMMYFUNCTION("""COMPUTED_VALUE"""),"Bằng Lang")</f>
        <v>Bằng Lang</v>
      </c>
      <c r="D1897" s="127" t="str">
        <f>IFERROR(__xludf.DUMMYFUNCTION("""COMPUTED_VALUE"""),"Mèo")</f>
        <v>Mèo</v>
      </c>
      <c r="E1897" s="127" t="str">
        <f>IFERROR(__xludf.DUMMYFUNCTION("""COMPUTED_VALUE"""),"Tam")</f>
        <v>Tam</v>
      </c>
    </row>
    <row r="1898" ht="15.75" customHeight="1">
      <c r="A1898" s="128" t="str">
        <f>IFERROR(__xludf.DUMMYFUNCTION("""COMPUTED_VALUE"""),"0933 212 060")</f>
        <v>0933 212 060</v>
      </c>
      <c r="B1898" s="127" t="str">
        <f>IFERROR(__xludf.DUMMYFUNCTION("""COMPUTED_VALUE"""),"Anh Tường ")</f>
        <v>Anh Tường </v>
      </c>
      <c r="C1898" s="127" t="str">
        <f>IFERROR(__xludf.DUMMYFUNCTION("""COMPUTED_VALUE"""),"64 Nguyễn Quốc Thái")</f>
        <v>64 Nguyễn Quốc Thái</v>
      </c>
      <c r="D1898" s="127" t="str">
        <f>IFERROR(__xludf.DUMMYFUNCTION("""COMPUTED_VALUE"""),"mèo")</f>
        <v>mèo</v>
      </c>
      <c r="E1898" s="127" t="str">
        <f>IFERROR(__xludf.DUMMYFUNCTION("""COMPUTED_VALUE"""),"Bắp bắp")</f>
        <v>Bắp bắp</v>
      </c>
    </row>
    <row r="1899" ht="15.75" customHeight="1">
      <c r="A1899" s="128" t="str">
        <f>IFERROR(__xludf.DUMMYFUNCTION("""COMPUTED_VALUE"""),"0968 354 721")</f>
        <v>0968 354 721</v>
      </c>
      <c r="B1899" s="127" t="str">
        <f>IFERROR(__xludf.DUMMYFUNCTION("""COMPUTED_VALUE"""),"Chị Nguyên")</f>
        <v>Chị Nguyên</v>
      </c>
      <c r="C1899" s="127" t="str">
        <f>IFERROR(__xludf.DUMMYFUNCTION("""COMPUTED_VALUE"""),"Tổ dân phố Long Hồ")</f>
        <v>Tổ dân phố Long Hồ</v>
      </c>
      <c r="D1899" s="127" t="str">
        <f>IFERROR(__xludf.DUMMYFUNCTION("""COMPUTED_VALUE"""),"Chó")</f>
        <v>Chó</v>
      </c>
      <c r="E1899" s="127" t="str">
        <f>IFERROR(__xludf.DUMMYFUNCTION("""COMPUTED_VALUE"""),"Ki")</f>
        <v>Ki</v>
      </c>
    </row>
    <row r="1900" ht="15.75" customHeight="1">
      <c r="A1900" s="128" t="str">
        <f>IFERROR(__xludf.DUMMYFUNCTION("""COMPUTED_VALUE"""),"0837 975 356")</f>
        <v>0837 975 356</v>
      </c>
      <c r="B1900" s="127" t="str">
        <f>IFERROR(__xludf.DUMMYFUNCTION("""COMPUTED_VALUE"""),"Anh Duy")</f>
        <v>Anh Duy</v>
      </c>
      <c r="C1900" s="127" t="str">
        <f>IFERROR(__xludf.DUMMYFUNCTION("""COMPUTED_VALUE"""),"64 Bửu Đình")</f>
        <v>64 Bửu Đình</v>
      </c>
      <c r="D1900" s="127" t="str">
        <f>IFERROR(__xludf.DUMMYFUNCTION("""COMPUTED_VALUE"""),"chó")</f>
        <v>chó</v>
      </c>
      <c r="E1900" s="119" t="str">
        <f>IFERROR(__xludf.DUMMYFUNCTION("""COMPUTED_VALUE"""),"Sữa")</f>
        <v>Sữa</v>
      </c>
    </row>
    <row r="1901" ht="15.75" customHeight="1">
      <c r="A1901" s="128" t="str">
        <f>IFERROR(__xludf.DUMMYFUNCTION("""COMPUTED_VALUE"""),"0387 731 527")</f>
        <v>0387 731 527</v>
      </c>
      <c r="B1901" s="127" t="str">
        <f>IFERROR(__xludf.DUMMYFUNCTION("""COMPUTED_VALUE"""),"Anh Hữu")</f>
        <v>Anh Hữu</v>
      </c>
      <c r="C1901" s="127" t="str">
        <f>IFERROR(__xludf.DUMMYFUNCTION("""COMPUTED_VALUE"""),"34 Nguyễn Phúc Nguyên")</f>
        <v>34 Nguyễn Phúc Nguyên</v>
      </c>
      <c r="D1901" s="127" t="str">
        <f>IFERROR(__xludf.DUMMYFUNCTION("""COMPUTED_VALUE"""),"chó")</f>
        <v>chó</v>
      </c>
      <c r="E1901" s="127" t="str">
        <f>IFERROR(__xludf.DUMMYFUNCTION("""COMPUTED_VALUE"""),"Mali")</f>
        <v>Mali</v>
      </c>
    </row>
    <row r="1902" ht="15.75" customHeight="1">
      <c r="A1902" s="128" t="str">
        <f>IFERROR(__xludf.DUMMYFUNCTION("""COMPUTED_VALUE"""),"0334 834 546")</f>
        <v>0334 834 546</v>
      </c>
      <c r="B1902" s="127" t="str">
        <f>IFERROR(__xludf.DUMMYFUNCTION("""COMPUTED_VALUE"""),"Em Cẩm tú")</f>
        <v>Em Cẩm tú</v>
      </c>
      <c r="C1902" s="127" t="str">
        <f>IFERROR(__xludf.DUMMYFUNCTION("""COMPUTED_VALUE"""),"4/18 Thánh Giongs")</f>
        <v>4/18 Thánh Giongs</v>
      </c>
      <c r="D1902" s="127" t="str">
        <f>IFERROR(__xludf.DUMMYFUNCTION("""COMPUTED_VALUE"""),"Mèo")</f>
        <v>Mèo</v>
      </c>
      <c r="E1902" s="127" t="str">
        <f>IFERROR(__xludf.DUMMYFUNCTION("""COMPUTED_VALUE"""),"Mít")</f>
        <v>Mít</v>
      </c>
    </row>
    <row r="1903" ht="15.75" customHeight="1">
      <c r="A1903" s="128" t="str">
        <f>IFERROR(__xludf.DUMMYFUNCTION("""COMPUTED_VALUE"""),"0912 542 496")</f>
        <v>0912 542 496</v>
      </c>
      <c r="B1903" s="127" t="str">
        <f>IFERROR(__xludf.DUMMYFUNCTION("""COMPUTED_VALUE"""),"Anh Đức Anh")</f>
        <v>Anh Đức Anh</v>
      </c>
      <c r="C1903" s="127" t="str">
        <f>IFERROR(__xludf.DUMMYFUNCTION("""COMPUTED_VALUE"""),"Nguyễn Thiện Kế")</f>
        <v>Nguyễn Thiện Kế</v>
      </c>
      <c r="D1903" s="127" t="str">
        <f>IFERROR(__xludf.DUMMYFUNCTION("""COMPUTED_VALUE"""),"mèo")</f>
        <v>mèo</v>
      </c>
      <c r="E1903" s="127" t="str">
        <f>IFERROR(__xludf.DUMMYFUNCTION("""COMPUTED_VALUE""")," Mướp- Thổ")</f>
        <v> Mướp- Thổ</v>
      </c>
    </row>
    <row r="1904" ht="15.75" customHeight="1">
      <c r="A1904" s="128" t="str">
        <f>IFERROR(__xludf.DUMMYFUNCTION("""COMPUTED_VALUE"""),"0344 887 451")</f>
        <v>0344 887 451</v>
      </c>
      <c r="B1904" s="127" t="str">
        <f>IFERROR(__xludf.DUMMYFUNCTION("""COMPUTED_VALUE"""),"Em Hải Anh")</f>
        <v>Em Hải Anh</v>
      </c>
      <c r="C1904" s="127" t="str">
        <f>IFERROR(__xludf.DUMMYFUNCTION("""COMPUTED_VALUE"""),"kqh Hương An")</f>
        <v>kqh Hương An</v>
      </c>
      <c r="D1904" s="127" t="str">
        <f>IFERROR(__xludf.DUMMYFUNCTION("""COMPUTED_VALUE"""),"chó")</f>
        <v>chó</v>
      </c>
      <c r="E1904" s="127" t="str">
        <f>IFERROR(__xludf.DUMMYFUNCTION("""COMPUTED_VALUE""")," Bull")</f>
        <v> Bull</v>
      </c>
    </row>
    <row r="1905" ht="15.75" customHeight="1">
      <c r="A1905" s="128" t="str">
        <f>IFERROR(__xludf.DUMMYFUNCTION("""COMPUTED_VALUE"""),"0818 024 754")</f>
        <v>0818 024 754</v>
      </c>
      <c r="B1905" s="127" t="str">
        <f>IFERROR(__xludf.DUMMYFUNCTION("""COMPUTED_VALUE"""),"Em Mơ")</f>
        <v>Em Mơ</v>
      </c>
      <c r="C1905" s="127" t="str">
        <f>IFERROR(__xludf.DUMMYFUNCTION("""COMPUTED_VALUE"""),"6B/30 Huyền Trân Công Chúa")</f>
        <v>6B/30 Huyền Trân Công Chúa</v>
      </c>
      <c r="D1905" s="127" t="str">
        <f>IFERROR(__xludf.DUMMYFUNCTION("""COMPUTED_VALUE"""),"chó")</f>
        <v>chó</v>
      </c>
      <c r="E1905" s="127" t="str">
        <f>IFERROR(__xludf.DUMMYFUNCTION("""COMPUTED_VALUE"""),"Rex")</f>
        <v>Rex</v>
      </c>
    </row>
    <row r="1906" ht="15.75" customHeight="1">
      <c r="A1906" s="128" t="str">
        <f>IFERROR(__xludf.DUMMYFUNCTION("""COMPUTED_VALUE"""),"0902 579 031")</f>
        <v>0902 579 031</v>
      </c>
      <c r="B1906" s="127" t="str">
        <f>IFERROR(__xludf.DUMMYFUNCTION("""COMPUTED_VALUE"""),"Anh Quang")</f>
        <v>Anh Quang</v>
      </c>
      <c r="C1906" s="127" t="str">
        <f>IFERROR(__xludf.DUMMYFUNCTION("""COMPUTED_VALUE"""),"93 Ngự Bình")</f>
        <v>93 Ngự Bình</v>
      </c>
      <c r="D1906" s="127" t="str">
        <f>IFERROR(__xludf.DUMMYFUNCTION("""COMPUTED_VALUE"""),"chó")</f>
        <v>chó</v>
      </c>
      <c r="E1906" s="127" t="str">
        <f>IFERROR(__xludf.DUMMYFUNCTION("""COMPUTED_VALUE""")," Bull")</f>
        <v> Bull</v>
      </c>
    </row>
    <row r="1907" ht="15.75" customHeight="1">
      <c r="A1907" s="128" t="str">
        <f>IFERROR(__xludf.DUMMYFUNCTION("""COMPUTED_VALUE"""),"0365 403 157")</f>
        <v>0365 403 157</v>
      </c>
      <c r="B1907" s="127" t="str">
        <f>IFERROR(__xludf.DUMMYFUNCTION("""COMPUTED_VALUE"""),"Em Minh")</f>
        <v>Em Minh</v>
      </c>
      <c r="C1907" s="127" t="str">
        <f>IFERROR(__xludf.DUMMYFUNCTION("""COMPUTED_VALUE"""),"7/461 Chi Lăng")</f>
        <v>7/461 Chi Lăng</v>
      </c>
      <c r="D1907" s="127" t="str">
        <f>IFERROR(__xludf.DUMMYFUNCTION("""COMPUTED_VALUE"""),"chó")</f>
        <v>chó</v>
      </c>
      <c r="E1907" s="119" t="str">
        <f>IFERROR(__xludf.DUMMYFUNCTION("""COMPUTED_VALUE""")," Bull")</f>
        <v> Bull</v>
      </c>
    </row>
    <row r="1908" ht="15.75" customHeight="1">
      <c r="A1908" s="128" t="str">
        <f>IFERROR(__xludf.DUMMYFUNCTION("""COMPUTED_VALUE"""),"0773 553 752")</f>
        <v>0773 553 752</v>
      </c>
      <c r="B1908" s="127" t="str">
        <f>IFERROR(__xludf.DUMMYFUNCTION("""COMPUTED_VALUE"""),"Dì Linh")</f>
        <v>Dì Linh</v>
      </c>
      <c r="C1908" s="127" t="str">
        <f>IFERROR(__xludf.DUMMYFUNCTION("""COMPUTED_VALUE"""),"3/26 /131 Trần Phú")</f>
        <v>3/26 /131 Trần Phú</v>
      </c>
      <c r="D1908" s="127" t="str">
        <f>IFERROR(__xludf.DUMMYFUNCTION("""COMPUTED_VALUE"""),"chó")</f>
        <v>chó</v>
      </c>
      <c r="E1908" s="127" t="str">
        <f>IFERROR(__xludf.DUMMYFUNCTION("""COMPUTED_VALUE""")," Bi")</f>
        <v> Bi</v>
      </c>
    </row>
    <row r="1909" ht="15.75" customHeight="1">
      <c r="A1909" s="128" t="str">
        <f>IFERROR(__xludf.DUMMYFUNCTION("""COMPUTED_VALUE"""),"0945 762 001")</f>
        <v>0945 762 001</v>
      </c>
      <c r="B1909" s="127" t="str">
        <f>IFERROR(__xludf.DUMMYFUNCTION("""COMPUTED_VALUE"""),"Chị Thùy")</f>
        <v>Chị Thùy</v>
      </c>
      <c r="C1909" s="127" t="str">
        <f>IFERROR(__xludf.DUMMYFUNCTION("""COMPUTED_VALUE"""),"535 Trần Hưng Đạo - Đà Nẵng")</f>
        <v>535 Trần Hưng Đạo - Đà Nẵng</v>
      </c>
      <c r="D1909" s="127" t="str">
        <f>IFERROR(__xludf.DUMMYFUNCTION("""COMPUTED_VALUE"""),"Mèo")</f>
        <v>Mèo</v>
      </c>
      <c r="E1909" s="119" t="str">
        <f>IFERROR(__xludf.DUMMYFUNCTION("""COMPUTED_VALUE"""),"Sún")</f>
        <v>Sún</v>
      </c>
    </row>
    <row r="1910" ht="15.75" customHeight="1">
      <c r="A1910" s="128" t="str">
        <f>IFERROR(__xludf.DUMMYFUNCTION("""COMPUTED_VALUE"""),"0975 115 965")</f>
        <v>0975 115 965</v>
      </c>
      <c r="B1910" s="127" t="str">
        <f>IFERROR(__xludf.DUMMYFUNCTION("""COMPUTED_VALUE"""),"Anh Lợi ")</f>
        <v>Anh Lợi </v>
      </c>
      <c r="C1910" s="127" t="str">
        <f>IFERROR(__xludf.DUMMYFUNCTION("""COMPUTED_VALUE"""),"62 Dương Bá Nuôi")</f>
        <v>62 Dương Bá Nuôi</v>
      </c>
      <c r="D1910" s="127" t="str">
        <f>IFERROR(__xludf.DUMMYFUNCTION("""COMPUTED_VALUE"""),"chó")</f>
        <v>chó</v>
      </c>
      <c r="E1910" s="127" t="str">
        <f>IFERROR(__xludf.DUMMYFUNCTION("""COMPUTED_VALUE"""),"Milo")</f>
        <v>Milo</v>
      </c>
    </row>
    <row r="1911" ht="15.75" customHeight="1">
      <c r="A1911" s="128" t="str">
        <f>IFERROR(__xludf.DUMMYFUNCTION("""COMPUTED_VALUE"""),"0397 698 379")</f>
        <v>0397 698 379</v>
      </c>
      <c r="B1911" s="127" t="str">
        <f>IFERROR(__xludf.DUMMYFUNCTION("""COMPUTED_VALUE"""),"Chú Bé")</f>
        <v>Chú Bé</v>
      </c>
      <c r="C1911" s="127" t="str">
        <f>IFERROR(__xludf.DUMMYFUNCTION("""COMPUTED_VALUE"""),"Chợ Thông - Hương Hồ")</f>
        <v>Chợ Thông - Hương Hồ</v>
      </c>
      <c r="D1911" s="127" t="str">
        <f>IFERROR(__xludf.DUMMYFUNCTION("""COMPUTED_VALUE"""),"Mèo")</f>
        <v>Mèo</v>
      </c>
      <c r="E1911" s="127" t="str">
        <f>IFERROR(__xludf.DUMMYFUNCTION("""COMPUTED_VALUE"""),"Mèo")</f>
        <v>Mèo</v>
      </c>
    </row>
    <row r="1912" ht="15.75" customHeight="1">
      <c r="A1912" s="128" t="str">
        <f>IFERROR(__xludf.DUMMYFUNCTION("""COMPUTED_VALUE"""),"0914 905 555")</f>
        <v>0914 905 555</v>
      </c>
      <c r="B1912" s="127" t="str">
        <f>IFERROR(__xludf.DUMMYFUNCTION("""COMPUTED_VALUE"""),"Chị Dung ")</f>
        <v>Chị Dung </v>
      </c>
      <c r="C1912" s="127" t="str">
        <f>IFERROR(__xludf.DUMMYFUNCTION("""COMPUTED_VALUE"""),"206 Hùng Vương ")</f>
        <v>206 Hùng Vương </v>
      </c>
      <c r="D1912" s="127" t="str">
        <f>IFERROR(__xludf.DUMMYFUNCTION("""COMPUTED_VALUE"""),"Chó")</f>
        <v>Chó</v>
      </c>
      <c r="E1912" s="127" t="str">
        <f>IFERROR(__xludf.DUMMYFUNCTION("""COMPUTED_VALUE"""),"Nomi ")</f>
        <v>Nomi </v>
      </c>
    </row>
    <row r="1913" ht="15.75" customHeight="1">
      <c r="A1913" s="128" t="str">
        <f>IFERROR(__xludf.DUMMYFUNCTION("""COMPUTED_VALUE"""),"0905 382 000")</f>
        <v>0905 382 000</v>
      </c>
      <c r="B1913" s="127" t="str">
        <f>IFERROR(__xludf.DUMMYFUNCTION("""COMPUTED_VALUE"""),"Chú Cung ")</f>
        <v>Chú Cung </v>
      </c>
      <c r="C1913" s="127" t="str">
        <f>IFERROR(__xludf.DUMMYFUNCTION("""COMPUTED_VALUE"""),"138 Nguyễn Phúc Nguyên")</f>
        <v>138 Nguyễn Phúc Nguyên</v>
      </c>
      <c r="D1913" s="127" t="str">
        <f>IFERROR(__xludf.DUMMYFUNCTION("""COMPUTED_VALUE"""),"chó")</f>
        <v>chó</v>
      </c>
      <c r="E1913" s="119"/>
    </row>
    <row r="1914" ht="15.75" customHeight="1">
      <c r="A1914" s="128" t="str">
        <f>IFERROR(__xludf.DUMMYFUNCTION("""COMPUTED_VALUE"""),"0898 212 730")</f>
        <v>0898 212 730</v>
      </c>
      <c r="B1914" s="127" t="str">
        <f>IFERROR(__xludf.DUMMYFUNCTION("""COMPUTED_VALUE"""),"Em Tú")</f>
        <v>Em Tú</v>
      </c>
      <c r="C1914" s="127" t="str">
        <f>IFERROR(__xludf.DUMMYFUNCTION("""COMPUTED_VALUE"""),"33 Nguyền Thị Lài")</f>
        <v>33 Nguyền Thị Lài</v>
      </c>
      <c r="D1914" s="127" t="str">
        <f>IFERROR(__xludf.DUMMYFUNCTION("""COMPUTED_VALUE"""),"mèo")</f>
        <v>mèo</v>
      </c>
      <c r="E1914" s="127" t="str">
        <f>IFERROR(__xludf.DUMMYFUNCTION("""COMPUTED_VALUE""")," Maccha")</f>
        <v> Maccha</v>
      </c>
    </row>
    <row r="1915" ht="15.75" customHeight="1">
      <c r="A1915" s="128" t="str">
        <f>IFERROR(__xludf.DUMMYFUNCTION("""COMPUTED_VALUE"""),"0357 456 700")</f>
        <v>0357 456 700</v>
      </c>
      <c r="B1915" s="127" t="str">
        <f>IFERROR(__xludf.DUMMYFUNCTION("""COMPUTED_VALUE"""),"Anh Chương")</f>
        <v>Anh Chương</v>
      </c>
      <c r="C1915" s="127" t="str">
        <f>IFERROR(__xludf.DUMMYFUNCTION("""COMPUTED_VALUE"""),"TRần PHú")</f>
        <v>TRần PHú</v>
      </c>
      <c r="D1915" s="127" t="str">
        <f>IFERROR(__xludf.DUMMYFUNCTION("""COMPUTED_VALUE"""),"Mèo")</f>
        <v>Mèo</v>
      </c>
      <c r="E1915" s="127" t="str">
        <f>IFERROR(__xludf.DUMMYFUNCTION("""COMPUTED_VALUE""")," Dứa")</f>
        <v> Dứa</v>
      </c>
    </row>
    <row r="1916" ht="15.75" customHeight="1">
      <c r="A1916" s="128" t="str">
        <f>IFERROR(__xludf.DUMMYFUNCTION("""COMPUTED_VALUE"""),"0915 518 583")</f>
        <v>0915 518 583</v>
      </c>
      <c r="B1916" s="127" t="str">
        <f>IFERROR(__xludf.DUMMYFUNCTION("""COMPUTED_VALUE"""),"Anh Phú")</f>
        <v>Anh Phú</v>
      </c>
      <c r="C1916" s="127" t="str">
        <f>IFERROR(__xludf.DUMMYFUNCTION("""COMPUTED_VALUE"""),"149 Bà Triệu")</f>
        <v>149 Bà Triệu</v>
      </c>
      <c r="D1916" s="127" t="str">
        <f>IFERROR(__xludf.DUMMYFUNCTION("""COMPUTED_VALUE"""),"chó")</f>
        <v>chó</v>
      </c>
      <c r="E1916" s="127" t="str">
        <f>IFERROR(__xludf.DUMMYFUNCTION("""COMPUTED_VALUE"""),"Bơ")</f>
        <v>Bơ</v>
      </c>
    </row>
    <row r="1917" ht="15.75" customHeight="1">
      <c r="A1917" s="128" t="str">
        <f>IFERROR(__xludf.DUMMYFUNCTION("""COMPUTED_VALUE"""),"0779 397 975")</f>
        <v>0779 397 975</v>
      </c>
      <c r="B1917" s="127" t="str">
        <f>IFERROR(__xludf.DUMMYFUNCTION("""COMPUTED_VALUE"""),"Anh Tính")</f>
        <v>Anh Tính</v>
      </c>
      <c r="C1917" s="127"/>
      <c r="D1917" s="127" t="str">
        <f>IFERROR(__xludf.DUMMYFUNCTION("""COMPUTED_VALUE"""),"chó")</f>
        <v>chó</v>
      </c>
      <c r="E1917" s="127" t="str">
        <f>IFERROR(__xludf.DUMMYFUNCTION("""COMPUTED_VALUE"""),"mèo")</f>
        <v>mèo</v>
      </c>
    </row>
    <row r="1918" ht="15.75" customHeight="1">
      <c r="A1918" s="128" t="str">
        <f>IFERROR(__xludf.DUMMYFUNCTION("""COMPUTED_VALUE"""),"0934 836 465")</f>
        <v>0934 836 465</v>
      </c>
      <c r="B1918" s="127" t="str">
        <f>IFERROR(__xludf.DUMMYFUNCTION("""COMPUTED_VALUE"""),"Chú Hoang Ngự Bình")</f>
        <v>Chú Hoang Ngự Bình</v>
      </c>
      <c r="C1918" s="127" t="str">
        <f>IFERROR(__xludf.DUMMYFUNCTION("""COMPUTED_VALUE"""),"24/131 Trần Phú")</f>
        <v>24/131 Trần Phú</v>
      </c>
      <c r="D1918" s="127" t="str">
        <f>IFERROR(__xludf.DUMMYFUNCTION("""COMPUTED_VALUE""")," chó")</f>
        <v> chó</v>
      </c>
      <c r="E1918" s="119" t="str">
        <f>IFERROR(__xludf.DUMMYFUNCTION("""COMPUTED_VALUE""")," Nâu")</f>
        <v> Nâu</v>
      </c>
    </row>
    <row r="1919" ht="15.75" customHeight="1">
      <c r="A1919" s="128" t="str">
        <f>IFERROR(__xludf.DUMMYFUNCTION("""COMPUTED_VALUE"""),"0762 569 026")</f>
        <v>0762 569 026</v>
      </c>
      <c r="B1919" s="127" t="str">
        <f>IFERROR(__xludf.DUMMYFUNCTION("""COMPUTED_VALUE"""),"Hải Đăng")</f>
        <v>Hải Đăng</v>
      </c>
      <c r="C1919" s="127" t="str">
        <f>IFERROR(__xludf.DUMMYFUNCTION("""COMPUTED_VALUE"""),"Xóm 8 Lại Thế")</f>
        <v>Xóm 8 Lại Thế</v>
      </c>
      <c r="D1919" s="127" t="str">
        <f>IFERROR(__xludf.DUMMYFUNCTION("""COMPUTED_VALUE"""),"chó ")</f>
        <v>chó </v>
      </c>
      <c r="E1919" s="119" t="str">
        <f>IFERROR(__xludf.DUMMYFUNCTION("""COMPUTED_VALUE""")," Bưởi")</f>
        <v> Bưởi</v>
      </c>
    </row>
    <row r="1920" ht="15.75" customHeight="1">
      <c r="A1920" s="128" t="str">
        <f>IFERROR(__xludf.DUMMYFUNCTION("""COMPUTED_VALUE"""),"0914 172 559")</f>
        <v>0914 172 559</v>
      </c>
      <c r="B1920" s="127" t="str">
        <f>IFERROR(__xludf.DUMMYFUNCTION("""COMPUTED_VALUE"""),"Chị Hoàng")</f>
        <v>Chị Hoàng</v>
      </c>
      <c r="C1920" s="127" t="str">
        <f>IFERROR(__xludf.DUMMYFUNCTION("""COMPUTED_VALUE"""),"Chung Cư Xuân Phú")</f>
        <v>Chung Cư Xuân Phú</v>
      </c>
      <c r="D1920" s="127" t="str">
        <f>IFERROR(__xludf.DUMMYFUNCTION("""COMPUTED_VALUE"""),"mèo")</f>
        <v>mèo</v>
      </c>
      <c r="E1920" s="127" t="str">
        <f>IFERROR(__xludf.DUMMYFUNCTION("""COMPUTED_VALUE"""),"Kem")</f>
        <v>Kem</v>
      </c>
    </row>
    <row r="1921" ht="15.75" customHeight="1">
      <c r="A1921" s="128" t="str">
        <f>IFERROR(__xludf.DUMMYFUNCTION("""COMPUTED_VALUE"""),"0788 555 657")</f>
        <v>0788 555 657</v>
      </c>
      <c r="B1921" s="127" t="str">
        <f>IFERROR(__xludf.DUMMYFUNCTION("""COMPUTED_VALUE"""),"Anh Cường")</f>
        <v>Anh Cường</v>
      </c>
      <c r="C1921" s="127" t="str">
        <f>IFERROR(__xludf.DUMMYFUNCTION("""COMPUTED_VALUE"""),"1/29 k47 Ưng Bình")</f>
        <v>1/29 k47 Ưng Bình</v>
      </c>
      <c r="D1921" s="127" t="str">
        <f>IFERROR(__xludf.DUMMYFUNCTION("""COMPUTED_VALUE"""),"chó")</f>
        <v>chó</v>
      </c>
      <c r="E1921" s="127"/>
    </row>
    <row r="1922" ht="15.75" customHeight="1">
      <c r="A1922" s="128" t="str">
        <f>IFERROR(__xludf.DUMMYFUNCTION("""COMPUTED_VALUE"""),"0935 879 558")</f>
        <v>0935 879 558</v>
      </c>
      <c r="B1922" s="127" t="str">
        <f>IFERROR(__xludf.DUMMYFUNCTION("""COMPUTED_VALUE"""),"Em Quân")</f>
        <v>Em Quân</v>
      </c>
      <c r="C1922" s="127" t="str">
        <f>IFERROR(__xludf.DUMMYFUNCTION("""COMPUTED_VALUE"""),"28 Cao Bá Quát")</f>
        <v>28 Cao Bá Quát</v>
      </c>
      <c r="D1922" s="127" t="str">
        <f>IFERROR(__xludf.DUMMYFUNCTION("""COMPUTED_VALUE"""),"chó")</f>
        <v>chó</v>
      </c>
      <c r="E1922" s="127" t="str">
        <f>IFERROR(__xludf.DUMMYFUNCTION("""COMPUTED_VALUE"""),"Su")</f>
        <v>Su</v>
      </c>
    </row>
    <row r="1923" ht="15.75" customHeight="1">
      <c r="A1923" s="128" t="str">
        <f>IFERROR(__xludf.DUMMYFUNCTION("""COMPUTED_VALUE"""),"0339 233 639")</f>
        <v>0339 233 639</v>
      </c>
      <c r="B1923" s="127" t="str">
        <f>IFERROR(__xludf.DUMMYFUNCTION("""COMPUTED_VALUE"""),"Anh Khoa")</f>
        <v>Anh Khoa</v>
      </c>
      <c r="C1923" s="127" t="str">
        <f>IFERROR(__xludf.DUMMYFUNCTION("""COMPUTED_VALUE"""),"81 Tùng Thiện Vương")</f>
        <v>81 Tùng Thiện Vương</v>
      </c>
      <c r="D1923" s="127" t="str">
        <f>IFERROR(__xludf.DUMMYFUNCTION("""COMPUTED_VALUE"""),"chó")</f>
        <v>chó</v>
      </c>
      <c r="E1923" s="127" t="str">
        <f>IFERROR(__xludf.DUMMYFUNCTION("""COMPUTED_VALUE"""),"Si")</f>
        <v>Si</v>
      </c>
    </row>
    <row r="1924" ht="15.75" customHeight="1">
      <c r="A1924" s="128" t="str">
        <f>IFERROR(__xludf.DUMMYFUNCTION("""COMPUTED_VALUE"""),"0827 880 193")</f>
        <v>0827 880 193</v>
      </c>
      <c r="B1924" s="127" t="str">
        <f>IFERROR(__xludf.DUMMYFUNCTION("""COMPUTED_VALUE"""),"Anh Quốc")</f>
        <v>Anh Quốc</v>
      </c>
      <c r="C1924" s="127" t="str">
        <f>IFERROR(__xludf.DUMMYFUNCTION("""COMPUTED_VALUE"""),"xóm 1 Tây Trì Nhơn")</f>
        <v>xóm 1 Tây Trì Nhơn</v>
      </c>
      <c r="D1924" s="127" t="str">
        <f>IFERROR(__xludf.DUMMYFUNCTION("""COMPUTED_VALUE"""),"chó")</f>
        <v>chó</v>
      </c>
      <c r="E1924" s="127" t="str">
        <f>IFERROR(__xludf.DUMMYFUNCTION("""COMPUTED_VALUE"""),"Dế Mèn")</f>
        <v>Dế Mèn</v>
      </c>
    </row>
    <row r="1925" ht="15.75" customHeight="1">
      <c r="A1925" s="128" t="str">
        <f>IFERROR(__xludf.DUMMYFUNCTION("""COMPUTED_VALUE"""),"0982 621 124")</f>
        <v>0982 621 124</v>
      </c>
      <c r="B1925" s="127" t="str">
        <f>IFERROR(__xludf.DUMMYFUNCTION("""COMPUTED_VALUE"""),"Chú Lâm")</f>
        <v>Chú Lâm</v>
      </c>
      <c r="C1925" s="127" t="str">
        <f>IFERROR(__xludf.DUMMYFUNCTION("""COMPUTED_VALUE"""),"6/80 Bửu Đình")</f>
        <v>6/80 Bửu Đình</v>
      </c>
      <c r="D1925" s="127" t="str">
        <f>IFERROR(__xludf.DUMMYFUNCTION("""COMPUTED_VALUE"""),"mèo")</f>
        <v>mèo</v>
      </c>
      <c r="E1925" s="127"/>
    </row>
    <row r="1926" ht="15.75" customHeight="1">
      <c r="A1926" s="128" t="str">
        <f>IFERROR(__xludf.DUMMYFUNCTION("""COMPUTED_VALUE"""),"0362 755 141")</f>
        <v>0362 755 141</v>
      </c>
      <c r="B1926" s="127" t="str">
        <f>IFERROR(__xludf.DUMMYFUNCTION("""COMPUTED_VALUE"""),"Nhật Huy")</f>
        <v>Nhật Huy</v>
      </c>
      <c r="C1926" s="127" t="str">
        <f>IFERROR(__xludf.DUMMYFUNCTION("""COMPUTED_VALUE"""),"24/28 Ngự Bình")</f>
        <v>24/28 Ngự Bình</v>
      </c>
      <c r="D1926" s="127" t="str">
        <f>IFERROR(__xludf.DUMMYFUNCTION("""COMPUTED_VALUE"""),"mèo ")</f>
        <v>mèo </v>
      </c>
      <c r="E1926" s="127" t="str">
        <f>IFERROR(__xludf.DUMMYFUNCTION("""COMPUTED_VALUE"""),"min")</f>
        <v>min</v>
      </c>
    </row>
    <row r="1927" ht="15.75" customHeight="1">
      <c r="A1927" s="128" t="str">
        <f>IFERROR(__xludf.DUMMYFUNCTION("""COMPUTED_VALUE"""),"0387 049 704")</f>
        <v>0387 049 704</v>
      </c>
      <c r="B1927" s="127" t="str">
        <f>IFERROR(__xludf.DUMMYFUNCTION("""COMPUTED_VALUE"""),"Chị Thư")</f>
        <v>Chị Thư</v>
      </c>
      <c r="C1927" s="127" t="str">
        <f>IFERROR(__xludf.DUMMYFUNCTION("""COMPUTED_VALUE"""),"25k177 Phan Đình Phùng")</f>
        <v>25k177 Phan Đình Phùng</v>
      </c>
      <c r="D1927" s="127" t="str">
        <f>IFERROR(__xludf.DUMMYFUNCTION("""COMPUTED_VALUE"""),"mèo")</f>
        <v>mèo</v>
      </c>
      <c r="E1927" s="127" t="str">
        <f>IFERROR(__xludf.DUMMYFUNCTION("""COMPUTED_VALUE"""),"xoài")</f>
        <v>xoài</v>
      </c>
    </row>
    <row r="1928" ht="15.75" customHeight="1">
      <c r="A1928" s="128" t="str">
        <f>IFERROR(__xludf.DUMMYFUNCTION("""COMPUTED_VALUE"""),"0796 767 191")</f>
        <v>0796 767 191</v>
      </c>
      <c r="B1928" s="127" t="str">
        <f>IFERROR(__xludf.DUMMYFUNCTION("""COMPUTED_VALUE"""),"Em Ngọc Trân")</f>
        <v>Em Ngọc Trân</v>
      </c>
      <c r="C1928" s="127" t="str">
        <f>IFERROR(__xludf.DUMMYFUNCTION("""COMPUTED_VALUE"""),"159 Hùng Vương")</f>
        <v>159 Hùng Vương</v>
      </c>
      <c r="D1928" s="127" t="str">
        <f>IFERROR(__xludf.DUMMYFUNCTION("""COMPUTED_VALUE"""),"chó")</f>
        <v>chó</v>
      </c>
      <c r="E1928" s="127" t="str">
        <f>IFERROR(__xludf.DUMMYFUNCTION("""COMPUTED_VALUE"""),"Cáo")</f>
        <v>Cáo</v>
      </c>
    </row>
    <row r="1929" ht="15.75" customHeight="1">
      <c r="A1929" s="128" t="str">
        <f>IFERROR(__xludf.DUMMYFUNCTION("""COMPUTED_VALUE"""),"0898 429 167")</f>
        <v>0898 429 167</v>
      </c>
      <c r="B1929" s="127" t="str">
        <f>IFERROR(__xludf.DUMMYFUNCTION("""COMPUTED_VALUE"""),"Tiên")</f>
        <v>Tiên</v>
      </c>
      <c r="C1929" s="127" t="str">
        <f>IFERROR(__xludf.DUMMYFUNCTION("""COMPUTED_VALUE"""),"Lăng Khải Định")</f>
        <v>Lăng Khải Định</v>
      </c>
      <c r="D1929" s="127" t="str">
        <f>IFERROR(__xludf.DUMMYFUNCTION("""COMPUTED_VALUE"""),"mèo")</f>
        <v>mèo</v>
      </c>
      <c r="E1929" s="127" t="str">
        <f>IFERROR(__xludf.DUMMYFUNCTION("""COMPUTED_VALUE""")," Miu")</f>
        <v> Miu</v>
      </c>
    </row>
    <row r="1930" ht="15.75" customHeight="1">
      <c r="A1930" s="128" t="str">
        <f>IFERROR(__xludf.DUMMYFUNCTION("""COMPUTED_VALUE"""),"0936 168 045")</f>
        <v>0936 168 045</v>
      </c>
      <c r="B1930" s="127" t="str">
        <f>IFERROR(__xludf.DUMMYFUNCTION("""COMPUTED_VALUE"""),"Nhật Anh")</f>
        <v>Nhật Anh</v>
      </c>
      <c r="C1930" s="127" t="str">
        <f>IFERROR(__xludf.DUMMYFUNCTION("""COMPUTED_VALUE""")," 8 Nguyễn Thiện Kế")</f>
        <v> 8 Nguyễn Thiện Kế</v>
      </c>
      <c r="D1930" s="127" t="str">
        <f>IFERROR(__xludf.DUMMYFUNCTION("""COMPUTED_VALUE"""),"mèo")</f>
        <v>mèo</v>
      </c>
      <c r="E1930" s="127" t="str">
        <f>IFERROR(__xludf.DUMMYFUNCTION("""COMPUTED_VALUE"""),"Chín")</f>
        <v>Chín</v>
      </c>
    </row>
    <row r="1931" ht="15.75" customHeight="1">
      <c r="A1931" s="128" t="str">
        <f>IFERROR(__xludf.DUMMYFUNCTION("""COMPUTED_VALUE"""),"0913 489 969")</f>
        <v>0913 489 969</v>
      </c>
      <c r="B1931" s="127" t="str">
        <f>IFERROR(__xludf.DUMMYFUNCTION("""COMPUTED_VALUE"""),"Nguyễn Phúc Tuấn Cương")</f>
        <v>Nguyễn Phúc Tuấn Cương</v>
      </c>
      <c r="C1931" s="127" t="str">
        <f>IFERROR(__xludf.DUMMYFUNCTION("""COMPUTED_VALUE"""),"81 Đào Tấn")</f>
        <v>81 Đào Tấn</v>
      </c>
      <c r="D1931" s="127" t="str">
        <f>IFERROR(__xludf.DUMMYFUNCTION("""COMPUTED_VALUE"""),"chó")</f>
        <v>chó</v>
      </c>
      <c r="E1931" s="127" t="str">
        <f>IFERROR(__xludf.DUMMYFUNCTION("""COMPUTED_VALUE""")," Bi")</f>
        <v> Bi</v>
      </c>
    </row>
    <row r="1932" ht="15.75" customHeight="1">
      <c r="A1932" s="128" t="str">
        <f>IFERROR(__xludf.DUMMYFUNCTION("""COMPUTED_VALUE"""),"0799 103 826")</f>
        <v>0799 103 826</v>
      </c>
      <c r="B1932" s="127" t="str">
        <f>IFERROR(__xludf.DUMMYFUNCTION("""COMPUTED_VALUE"""),"Mỹ Linh")</f>
        <v>Mỹ Linh</v>
      </c>
      <c r="C1932" s="127" t="str">
        <f>IFERROR(__xludf.DUMMYFUNCTION("""COMPUTED_VALUE"""),"Duy Tân")</f>
        <v>Duy Tân</v>
      </c>
      <c r="D1932" s="127" t="str">
        <f>IFERROR(__xludf.DUMMYFUNCTION("""COMPUTED_VALUE"""),"chó")</f>
        <v>chó</v>
      </c>
      <c r="E1932" s="127" t="str">
        <f>IFERROR(__xludf.DUMMYFUNCTION("""COMPUTED_VALUE""")," Bự")</f>
        <v> Bự</v>
      </c>
    </row>
    <row r="1933" ht="15.75" customHeight="1">
      <c r="A1933" s="128" t="str">
        <f>IFERROR(__xludf.DUMMYFUNCTION("""COMPUTED_VALUE"""),"0896 236 928")</f>
        <v>0896 236 928</v>
      </c>
      <c r="B1933" s="127" t="str">
        <f>IFERROR(__xludf.DUMMYFUNCTION("""COMPUTED_VALUE"""),"Em Trang")</f>
        <v>Em Trang</v>
      </c>
      <c r="C1933" s="127" t="str">
        <f>IFERROR(__xludf.DUMMYFUNCTION("""COMPUTED_VALUE"""),"6/56 Minh Mạng")</f>
        <v>6/56 Minh Mạng</v>
      </c>
      <c r="D1933" s="127" t="str">
        <f>IFERROR(__xludf.DUMMYFUNCTION("""COMPUTED_VALUE"""),"mèo")</f>
        <v>mèo</v>
      </c>
      <c r="E1933" s="127" t="str">
        <f>IFERROR(__xludf.DUMMYFUNCTION("""COMPUTED_VALUE""")," Moon")</f>
        <v> Moon</v>
      </c>
    </row>
    <row r="1934" ht="15.75" customHeight="1">
      <c r="A1934" s="128" t="str">
        <f>IFERROR(__xludf.DUMMYFUNCTION("""COMPUTED_VALUE"""),"0935 386 157")</f>
        <v>0935 386 157</v>
      </c>
      <c r="B1934" s="127" t="str">
        <f>IFERROR(__xludf.DUMMYFUNCTION("""COMPUTED_VALUE"""),"C Trân")</f>
        <v>C Trân</v>
      </c>
      <c r="C1934" s="127" t="str">
        <f>IFERROR(__xludf.DUMMYFUNCTION("""COMPUTED_VALUE"""),"250 Phan Bội Châu")</f>
        <v>250 Phan Bội Châu</v>
      </c>
      <c r="D1934" s="127" t="str">
        <f>IFERROR(__xludf.DUMMYFUNCTION("""COMPUTED_VALUE"""),"chó")</f>
        <v>chó</v>
      </c>
      <c r="E1934" s="127" t="str">
        <f>IFERROR(__xludf.DUMMYFUNCTION("""COMPUTED_VALUE"""),"Cát")</f>
        <v>Cát</v>
      </c>
    </row>
    <row r="1935" ht="15.75" customHeight="1">
      <c r="A1935" s="128" t="str">
        <f>IFERROR(__xludf.DUMMYFUNCTION("""COMPUTED_VALUE"""),"0935 887 335")</f>
        <v>0935 887 335</v>
      </c>
      <c r="B1935" s="127" t="str">
        <f>IFERROR(__xludf.DUMMYFUNCTION("""COMPUTED_VALUE"""),"Anh Tú")</f>
        <v>Anh Tú</v>
      </c>
      <c r="C1935" s="127" t="str">
        <f>IFERROR(__xludf.DUMMYFUNCTION("""COMPUTED_VALUE"""),"kiệt 131/68 Trần Phú")</f>
        <v>kiệt 131/68 Trần Phú</v>
      </c>
      <c r="D1935" s="127" t="str">
        <f>IFERROR(__xludf.DUMMYFUNCTION("""COMPUTED_VALUE"""),"chó ")</f>
        <v>chó </v>
      </c>
      <c r="E1935" s="127" t="str">
        <f>IFERROR(__xludf.DUMMYFUNCTION("""COMPUTED_VALUE"""),"luccky")</f>
        <v>luccky</v>
      </c>
    </row>
    <row r="1936" ht="15.75" customHeight="1">
      <c r="A1936" s="128" t="str">
        <f>IFERROR(__xludf.DUMMYFUNCTION("""COMPUTED_VALUE"""),"0339 324 300")</f>
        <v>0339 324 300</v>
      </c>
      <c r="B1936" s="127" t="str">
        <f>IFERROR(__xludf.DUMMYFUNCTION("""COMPUTED_VALUE"""),"Chị Loan")</f>
        <v>Chị Loan</v>
      </c>
      <c r="C1936" s="127" t="str">
        <f>IFERROR(__xludf.DUMMYFUNCTION("""COMPUTED_VALUE"""),"Thủy Xuân")</f>
        <v>Thủy Xuân</v>
      </c>
      <c r="D1936" s="127" t="str">
        <f>IFERROR(__xludf.DUMMYFUNCTION("""COMPUTED_VALUE"""),"chó")</f>
        <v>chó</v>
      </c>
      <c r="E1936" s="127" t="str">
        <f>IFERROR(__xludf.DUMMYFUNCTION("""COMPUTED_VALUE""")," kem")</f>
        <v> kem</v>
      </c>
    </row>
    <row r="1937" ht="15.75" customHeight="1">
      <c r="A1937" s="128" t="str">
        <f>IFERROR(__xludf.DUMMYFUNCTION("""COMPUTED_VALUE"""),"0356 863 280")</f>
        <v>0356 863 280</v>
      </c>
      <c r="B1937" s="127" t="str">
        <f>IFERROR(__xludf.DUMMYFUNCTION("""COMPUTED_VALUE"""),"Em Thược")</f>
        <v>Em Thược</v>
      </c>
      <c r="C1937" s="127" t="str">
        <f>IFERROR(__xludf.DUMMYFUNCTION("""COMPUTED_VALUE"""),"Đặng Văn Ngữ")</f>
        <v>Đặng Văn Ngữ</v>
      </c>
      <c r="D1937" s="127" t="str">
        <f>IFERROR(__xludf.DUMMYFUNCTION("""COMPUTED_VALUE"""),"Rùa")</f>
        <v>Rùa</v>
      </c>
      <c r="E1937" s="127" t="str">
        <f>IFERROR(__xludf.DUMMYFUNCTION("""COMPUTED_VALUE"""),"ko tên")</f>
        <v>ko tên</v>
      </c>
    </row>
    <row r="1938" ht="15.75" customHeight="1">
      <c r="A1938" s="128" t="str">
        <f>IFERROR(__xludf.DUMMYFUNCTION("""COMPUTED_VALUE"""),"0348 706 165")</f>
        <v>0348 706 165</v>
      </c>
      <c r="B1938" s="127" t="str">
        <f>IFERROR(__xludf.DUMMYFUNCTION("""COMPUTED_VALUE"""),"Em Khánh Linh")</f>
        <v>Em Khánh Linh</v>
      </c>
      <c r="C1938" s="127" t="str">
        <f>IFERROR(__xludf.DUMMYFUNCTION("""COMPUTED_VALUE"""),"145 Điện Biên Phủ")</f>
        <v>145 Điện Biên Phủ</v>
      </c>
      <c r="D1938" s="127" t="str">
        <f>IFERROR(__xludf.DUMMYFUNCTION("""COMPUTED_VALUE"""),"mèo")</f>
        <v>mèo</v>
      </c>
      <c r="E1938" s="127" t="str">
        <f>IFERROR(__xludf.DUMMYFUNCTION("""COMPUTED_VALUE"""),"ko tên")</f>
        <v>ko tên</v>
      </c>
    </row>
    <row r="1939" ht="15.75" customHeight="1">
      <c r="A1939" s="128" t="str">
        <f>IFERROR(__xludf.DUMMYFUNCTION("""COMPUTED_VALUE"""),"0941 920 053")</f>
        <v>0941 920 053</v>
      </c>
      <c r="B1939" s="127" t="str">
        <f>IFERROR(__xludf.DUMMYFUNCTION("""COMPUTED_VALUE"""),"Anh Tùng")</f>
        <v>Anh Tùng</v>
      </c>
      <c r="C1939" s="127" t="str">
        <f>IFERROR(__xludf.DUMMYFUNCTION("""COMPUTED_VALUE"""),"13 Phùng Chí Kiên")</f>
        <v>13 Phùng Chí Kiên</v>
      </c>
      <c r="D1939" s="127" t="str">
        <f>IFERROR(__xludf.DUMMYFUNCTION("""COMPUTED_VALUE"""),"mèo")</f>
        <v>mèo</v>
      </c>
      <c r="E1939" s="119" t="str">
        <f>IFERROR(__xludf.DUMMYFUNCTION("""COMPUTED_VALUE""")," Bí")</f>
        <v> Bí</v>
      </c>
    </row>
    <row r="1940" ht="15.75" customHeight="1">
      <c r="A1940" s="128" t="str">
        <f>IFERROR(__xludf.DUMMYFUNCTION("""COMPUTED_VALUE"""),"0764 625 341")</f>
        <v>0764 625 341</v>
      </c>
      <c r="B1940" s="127" t="str">
        <f>IFERROR(__xludf.DUMMYFUNCTION("""COMPUTED_VALUE"""),"Chú Đức")</f>
        <v>Chú Đức</v>
      </c>
      <c r="C1940" s="127" t="str">
        <f>IFERROR(__xludf.DUMMYFUNCTION("""COMPUTED_VALUE"""),"72 Đào Tán")</f>
        <v>72 Đào Tán</v>
      </c>
      <c r="D1940" s="127" t="str">
        <f>IFERROR(__xludf.DUMMYFUNCTION("""COMPUTED_VALUE"""),"chó")</f>
        <v>chó</v>
      </c>
      <c r="E1940" s="127" t="str">
        <f>IFERROR(__xludf.DUMMYFUNCTION("""COMPUTED_VALUE""")," Vàng")</f>
        <v> Vàng</v>
      </c>
    </row>
    <row r="1941" ht="15.75" customHeight="1">
      <c r="A1941" s="128" t="str">
        <f>IFERROR(__xludf.DUMMYFUNCTION("""COMPUTED_VALUE"""),"0934 849 480")</f>
        <v>0934 849 480</v>
      </c>
      <c r="B1941" s="127" t="str">
        <f>IFERROR(__xludf.DUMMYFUNCTION("""COMPUTED_VALUE"""),"Nguyễn Thị Kim Ngọc")</f>
        <v>Nguyễn Thị Kim Ngọc</v>
      </c>
      <c r="C1941" s="127" t="str">
        <f>IFERROR(__xludf.DUMMYFUNCTION("""COMPUTED_VALUE"""),"1/91/131 Trần Phú")</f>
        <v>1/91/131 Trần Phú</v>
      </c>
      <c r="D1941" s="127" t="str">
        <f>IFERROR(__xludf.DUMMYFUNCTION("""COMPUTED_VALUE"""),"Chó ")</f>
        <v>Chó </v>
      </c>
      <c r="E1941" s="119" t="str">
        <f>IFERROR(__xludf.DUMMYFUNCTION("""COMPUTED_VALUE"""),"Vàng")</f>
        <v>Vàng</v>
      </c>
    </row>
    <row r="1942" ht="15.75" customHeight="1">
      <c r="A1942" s="128" t="str">
        <f>IFERROR(__xludf.DUMMYFUNCTION("""COMPUTED_VALUE"""),"0370 972 101")</f>
        <v>0370 972 101</v>
      </c>
      <c r="B1942" s="127" t="str">
        <f>IFERROR(__xludf.DUMMYFUNCTION("""COMPUTED_VALUE"""),"Cô Dung")</f>
        <v>Cô Dung</v>
      </c>
      <c r="C1942" s="127" t="str">
        <f>IFERROR(__xludf.DUMMYFUNCTION("""COMPUTED_VALUE""")," 205 B Trần Phú")</f>
        <v> 205 B Trần Phú</v>
      </c>
      <c r="D1942" s="127" t="str">
        <f>IFERROR(__xludf.DUMMYFUNCTION("""COMPUTED_VALUE"""),"Chó")</f>
        <v>Chó</v>
      </c>
      <c r="E1942" s="127" t="str">
        <f>IFERROR(__xludf.DUMMYFUNCTION("""COMPUTED_VALUE"""),"Rôn")</f>
        <v>Rôn</v>
      </c>
    </row>
    <row r="1943" ht="15.75" customHeight="1">
      <c r="A1943" s="128" t="str">
        <f>IFERROR(__xludf.DUMMYFUNCTION("""COMPUTED_VALUE"""),"0989 702 653")</f>
        <v>0989 702 653</v>
      </c>
      <c r="B1943" s="127" t="str">
        <f>IFERROR(__xludf.DUMMYFUNCTION("""COMPUTED_VALUE"""),"Ngọc")</f>
        <v>Ngọc</v>
      </c>
      <c r="C1943" s="127" t="str">
        <f>IFERROR(__xludf.DUMMYFUNCTION("""COMPUTED_VALUE"""),"14/52 Bà Triệu")</f>
        <v>14/52 Bà Triệu</v>
      </c>
      <c r="D1943" s="127" t="str">
        <f>IFERROR(__xludf.DUMMYFUNCTION("""COMPUTED_VALUE"""),"mèo")</f>
        <v>mèo</v>
      </c>
      <c r="E1943" s="127" t="str">
        <f>IFERROR(__xludf.DUMMYFUNCTION("""COMPUTED_VALUE""")," Dứa")</f>
        <v> Dứa</v>
      </c>
    </row>
    <row r="1944" ht="15.75" customHeight="1">
      <c r="A1944" s="128" t="str">
        <f>IFERROR(__xludf.DUMMYFUNCTION("""COMPUTED_VALUE"""),"0971 952 196")</f>
        <v>0971 952 196</v>
      </c>
      <c r="B1944" s="127" t="str">
        <f>IFERROR(__xludf.DUMMYFUNCTION("""COMPUTED_VALUE"""),"Chị An")</f>
        <v>Chị An</v>
      </c>
      <c r="C1944" s="127" t="str">
        <f>IFERROR(__xludf.DUMMYFUNCTION("""COMPUTED_VALUE"""),"Hương hồ")</f>
        <v>Hương hồ</v>
      </c>
      <c r="D1944" s="127" t="str">
        <f>IFERROR(__xludf.DUMMYFUNCTION("""COMPUTED_VALUE"""),"mèo")</f>
        <v>mèo</v>
      </c>
      <c r="E1944" s="127" t="str">
        <f>IFERROR(__xludf.DUMMYFUNCTION("""COMPUTED_VALUE"""),"Bốc")</f>
        <v>Bốc</v>
      </c>
    </row>
    <row r="1945" ht="15.75" customHeight="1">
      <c r="A1945" s="128" t="str">
        <f>IFERROR(__xludf.DUMMYFUNCTION("""COMPUTED_VALUE"""),"0981 040 275")</f>
        <v>0981 040 275</v>
      </c>
      <c r="B1945" s="127" t="str">
        <f>IFERROR(__xludf.DUMMYFUNCTION("""COMPUTED_VALUE"""),"Chị Mỹ Tiên")</f>
        <v>Chị Mỹ Tiên</v>
      </c>
      <c r="C1945" s="127" t="str">
        <f>IFERROR(__xludf.DUMMYFUNCTION("""COMPUTED_VALUE"""),"Thanh Phước- Hương Phong")</f>
        <v>Thanh Phước- Hương Phong</v>
      </c>
      <c r="D1945" s="127" t="str">
        <f>IFERROR(__xludf.DUMMYFUNCTION("""COMPUTED_VALUE"""),"chó")</f>
        <v>chó</v>
      </c>
      <c r="E1945" s="127" t="str">
        <f>IFERROR(__xludf.DUMMYFUNCTION("""COMPUTED_VALUE"""),"Mun")</f>
        <v>Mun</v>
      </c>
    </row>
    <row r="1946" ht="15.75" customHeight="1">
      <c r="A1946" s="128" t="str">
        <f>IFERROR(__xludf.DUMMYFUNCTION("""COMPUTED_VALUE"""),"0382 000 915")</f>
        <v>0382 000 915</v>
      </c>
      <c r="B1946" s="127" t="str">
        <f>IFERROR(__xludf.DUMMYFUNCTION("""COMPUTED_VALUE"""),"Dì Liên")</f>
        <v>Dì Liên</v>
      </c>
      <c r="C1946" s="127" t="str">
        <f>IFERROR(__xludf.DUMMYFUNCTION("""COMPUTED_VALUE"""),"Lô Y14 Tản Đà")</f>
        <v>Lô Y14 Tản Đà</v>
      </c>
      <c r="D1946" s="127" t="str">
        <f>IFERROR(__xludf.DUMMYFUNCTION("""COMPUTED_VALUE"""),"chó")</f>
        <v>chó</v>
      </c>
      <c r="E1946" s="127" t="str">
        <f>IFERROR(__xludf.DUMMYFUNCTION("""COMPUTED_VALUE"""),"Đen")</f>
        <v>Đen</v>
      </c>
    </row>
    <row r="1947" ht="15.75" customHeight="1">
      <c r="A1947" s="128" t="str">
        <f>IFERROR(__xludf.DUMMYFUNCTION("""COMPUTED_VALUE"""),"0399 422 636")</f>
        <v>0399 422 636</v>
      </c>
      <c r="B1947" s="127" t="str">
        <f>IFERROR(__xludf.DUMMYFUNCTION("""COMPUTED_VALUE"""),"Nhật Mai")</f>
        <v>Nhật Mai</v>
      </c>
      <c r="C1947" s="127" t="str">
        <f>IFERROR(__xludf.DUMMYFUNCTION("""COMPUTED_VALUE"""),"8/8/40 Lý Nam Đế")</f>
        <v>8/8/40 Lý Nam Đế</v>
      </c>
      <c r="D1947" s="127" t="str">
        <f>IFERROR(__xludf.DUMMYFUNCTION("""COMPUTED_VALUE"""),"chó")</f>
        <v>chó</v>
      </c>
      <c r="E1947" s="127" t="str">
        <f>IFERROR(__xludf.DUMMYFUNCTION("""COMPUTED_VALUE"""),"Sona")</f>
        <v>Sona</v>
      </c>
    </row>
    <row r="1948" ht="15.75" customHeight="1">
      <c r="A1948" s="128" t="str">
        <f>IFERROR(__xludf.DUMMYFUNCTION("""COMPUTED_VALUE"""),"0764 313 121")</f>
        <v>0764 313 121</v>
      </c>
      <c r="B1948" s="127" t="str">
        <f>IFERROR(__xludf.DUMMYFUNCTION("""COMPUTED_VALUE"""),"Anh Hoàng")</f>
        <v>Anh Hoàng</v>
      </c>
      <c r="C1948" s="127" t="str">
        <f>IFERROR(__xludf.DUMMYFUNCTION("""COMPUTED_VALUE"""),"Số 2 Đường số 4 An Hòa")</f>
        <v>Số 2 Đường số 4 An Hòa</v>
      </c>
      <c r="D1948" s="127" t="str">
        <f>IFERROR(__xludf.DUMMYFUNCTION("""COMPUTED_VALUE"""),"Chó")</f>
        <v>Chó</v>
      </c>
      <c r="E1948" s="127" t="str">
        <f>IFERROR(__xludf.DUMMYFUNCTION("""COMPUTED_VALUE"""),"Vàng")</f>
        <v>Vàng</v>
      </c>
    </row>
    <row r="1949" ht="15.75" customHeight="1">
      <c r="A1949" s="128" t="str">
        <f>IFERROR(__xludf.DUMMYFUNCTION("""COMPUTED_VALUE"""),"0236 875 570")</f>
        <v>0236 875 570</v>
      </c>
      <c r="B1949" s="127" t="str">
        <f>IFERROR(__xludf.DUMMYFUNCTION("""COMPUTED_VALUE"""),"Bà Vinh")</f>
        <v>Bà Vinh</v>
      </c>
      <c r="C1949" s="127" t="str">
        <f>IFERROR(__xludf.DUMMYFUNCTION("""COMPUTED_VALUE"""),"Chùa Huyền Không")</f>
        <v>Chùa Huyền Không</v>
      </c>
      <c r="D1949" s="127" t="str">
        <f>IFERROR(__xludf.DUMMYFUNCTION("""COMPUTED_VALUE"""),"Chó")</f>
        <v>Chó</v>
      </c>
      <c r="E1949" s="127"/>
    </row>
    <row r="1950" ht="15.75" customHeight="1">
      <c r="A1950" s="128" t="str">
        <f>IFERROR(__xludf.DUMMYFUNCTION("""COMPUTED_VALUE"""),"0906 414 672")</f>
        <v>0906 414 672</v>
      </c>
      <c r="B1950" s="127" t="str">
        <f>IFERROR(__xludf.DUMMYFUNCTION("""COMPUTED_VALUE"""),"Chị Tường Vi")</f>
        <v>Chị Tường Vi</v>
      </c>
      <c r="C1950" s="127" t="str">
        <f>IFERROR(__xludf.DUMMYFUNCTION("""COMPUTED_VALUE"""),"5/7 Nguyễn Công Trứ")</f>
        <v>5/7 Nguyễn Công Trứ</v>
      </c>
      <c r="D1950" s="127" t="str">
        <f>IFERROR(__xludf.DUMMYFUNCTION("""COMPUTED_VALUE"""),"mèo")</f>
        <v>mèo</v>
      </c>
      <c r="E1950" s="119" t="str">
        <f>IFERROR(__xludf.DUMMYFUNCTION("""COMPUTED_VALUE"""),"zery")</f>
        <v>zery</v>
      </c>
    </row>
    <row r="1951" ht="15.75" customHeight="1">
      <c r="A1951" s="128" t="str">
        <f>IFERROR(__xludf.DUMMYFUNCTION("""COMPUTED_VALUE"""),"0878 801 453")</f>
        <v>0878 801 453</v>
      </c>
      <c r="B1951" s="127" t="str">
        <f>IFERROR(__xludf.DUMMYFUNCTION("""COMPUTED_VALUE"""),"Đinh Thái Trang")</f>
        <v>Đinh Thái Trang</v>
      </c>
      <c r="C1951" s="127" t="str">
        <f>IFERROR(__xludf.DUMMYFUNCTION("""COMPUTED_VALUE"""),"246 Hùng Vương")</f>
        <v>246 Hùng Vương</v>
      </c>
      <c r="D1951" s="127" t="str">
        <f>IFERROR(__xludf.DUMMYFUNCTION("""COMPUTED_VALUE"""),"mèo")</f>
        <v>mèo</v>
      </c>
      <c r="E1951" s="127" t="str">
        <f>IFERROR(__xludf.DUMMYFUNCTION("""COMPUTED_VALUE"""),"Sữa")</f>
        <v>Sữa</v>
      </c>
    </row>
    <row r="1952" ht="15.75" customHeight="1">
      <c r="A1952" s="128" t="str">
        <f>IFERROR(__xludf.DUMMYFUNCTION("""COMPUTED_VALUE"""),"0779 129 416")</f>
        <v>0779 129 416</v>
      </c>
      <c r="B1952" s="127" t="str">
        <f>IFERROR(__xludf.DUMMYFUNCTION("""COMPUTED_VALUE"""),"Dì Quý")</f>
        <v>Dì Quý</v>
      </c>
      <c r="C1952" s="127" t="str">
        <f>IFERROR(__xludf.DUMMYFUNCTION("""COMPUTED_VALUE"""),"Phạm Thị LIên")</f>
        <v>Phạm Thị LIên</v>
      </c>
      <c r="D1952" s="127" t="str">
        <f>IFERROR(__xludf.DUMMYFUNCTION("""COMPUTED_VALUE"""),"mèo")</f>
        <v>mèo</v>
      </c>
      <c r="E1952" s="127" t="str">
        <f>IFERROR(__xludf.DUMMYFUNCTION("""COMPUTED_VALUE"""),"Miu")</f>
        <v>Miu</v>
      </c>
    </row>
    <row r="1953" ht="15.75" customHeight="1">
      <c r="A1953" s="128" t="str">
        <f>IFERROR(__xludf.DUMMYFUNCTION("""COMPUTED_VALUE"""),"0375 345 355")</f>
        <v>0375 345 355</v>
      </c>
      <c r="B1953" s="127" t="str">
        <f>IFERROR(__xludf.DUMMYFUNCTION("""COMPUTED_VALUE"""),"Anh Quyên")</f>
        <v>Anh Quyên</v>
      </c>
      <c r="C1953" s="127" t="str">
        <f>IFERROR(__xludf.DUMMYFUNCTION("""COMPUTED_VALUE"""),"tổ 2 An Bình")</f>
        <v>tổ 2 An Bình</v>
      </c>
      <c r="D1953" s="127" t="str">
        <f>IFERROR(__xludf.DUMMYFUNCTION("""COMPUTED_VALUE"""),"Chó ")</f>
        <v>Chó </v>
      </c>
      <c r="E1953" s="127" t="str">
        <f>IFERROR(__xludf.DUMMYFUNCTION("""COMPUTED_VALUE"""),"Gấu")</f>
        <v>Gấu</v>
      </c>
    </row>
    <row r="1954" ht="15.75" customHeight="1">
      <c r="A1954" s="128" t="str">
        <f>IFERROR(__xludf.DUMMYFUNCTION("""COMPUTED_VALUE"""),"0935 552 262")</f>
        <v>0935 552 262</v>
      </c>
      <c r="B1954" s="127" t="str">
        <f>IFERROR(__xludf.DUMMYFUNCTION("""COMPUTED_VALUE"""),"Chị Uyên")</f>
        <v>Chị Uyên</v>
      </c>
      <c r="C1954" s="127" t="str">
        <f>IFERROR(__xludf.DUMMYFUNCTION("""COMPUTED_VALUE"""),"02 Phan Chu trinh")</f>
        <v>02 Phan Chu trinh</v>
      </c>
      <c r="D1954" s="127" t="str">
        <f>IFERROR(__xludf.DUMMYFUNCTION("""COMPUTED_VALUE"""),"chó")</f>
        <v>chó</v>
      </c>
      <c r="E1954" s="127" t="str">
        <f>IFERROR(__xludf.DUMMYFUNCTION("""COMPUTED_VALUE"""),"Bin")</f>
        <v>Bin</v>
      </c>
    </row>
    <row r="1955" ht="15.75" customHeight="1">
      <c r="A1955" s="128" t="str">
        <f>IFERROR(__xludf.DUMMYFUNCTION("""COMPUTED_VALUE"""),"0935 353 390")</f>
        <v>0935 353 390</v>
      </c>
      <c r="B1955" s="127" t="str">
        <f>IFERROR(__xludf.DUMMYFUNCTION("""COMPUTED_VALUE"""),"Chị Thanh ")</f>
        <v>Chị Thanh </v>
      </c>
      <c r="C1955" s="127" t="str">
        <f>IFERROR(__xludf.DUMMYFUNCTION("""COMPUTED_VALUE"""),"Lô C69 Nguyễn Phúc Chu")</f>
        <v>Lô C69 Nguyễn Phúc Chu</v>
      </c>
      <c r="D1955" s="127" t="str">
        <f>IFERROR(__xludf.DUMMYFUNCTION("""COMPUTED_VALUE"""),"Chó")</f>
        <v>Chó</v>
      </c>
      <c r="E1955" s="127" t="str">
        <f>IFERROR(__xludf.DUMMYFUNCTION("""COMPUTED_VALUE"""),"Lem")</f>
        <v>Lem</v>
      </c>
    </row>
    <row r="1956" ht="15.75" customHeight="1">
      <c r="A1956" s="128" t="str">
        <f>IFERROR(__xludf.DUMMYFUNCTION("""COMPUTED_VALUE"""),"0367 698 379")</f>
        <v>0367 698 379</v>
      </c>
      <c r="B1956" s="127" t="str">
        <f>IFERROR(__xludf.DUMMYFUNCTION("""COMPUTED_VALUE"""),"Chú Bé")</f>
        <v>Chú Bé</v>
      </c>
      <c r="C1956" s="127" t="str">
        <f>IFERROR(__xludf.DUMMYFUNCTION("""COMPUTED_VALUE"""),"chợ Thông")</f>
        <v>chợ Thông</v>
      </c>
      <c r="D1956" s="127" t="str">
        <f>IFERROR(__xludf.DUMMYFUNCTION("""COMPUTED_VALUE"""),"mèo")</f>
        <v>mèo</v>
      </c>
      <c r="E1956" s="127" t="str">
        <f>IFERROR(__xludf.DUMMYFUNCTION("""COMPUTED_VALUE"""),"Mèo")</f>
        <v>Mèo</v>
      </c>
    </row>
    <row r="1957" ht="15.75" customHeight="1">
      <c r="A1957" s="128" t="str">
        <f>IFERROR(__xludf.DUMMYFUNCTION("""COMPUTED_VALUE"""),"0398 187 574")</f>
        <v>0398 187 574</v>
      </c>
      <c r="B1957" s="127" t="str">
        <f>IFERROR(__xludf.DUMMYFUNCTION("""COMPUTED_VALUE"""),"Anh Tâm")</f>
        <v>Anh Tâm</v>
      </c>
      <c r="C1957" s="127" t="str">
        <f>IFERROR(__xludf.DUMMYFUNCTION("""COMPUTED_VALUE"""),"Quảng Trị")</f>
        <v>Quảng Trị</v>
      </c>
      <c r="D1957" s="127" t="str">
        <f>IFERROR(__xludf.DUMMYFUNCTION("""COMPUTED_VALUE"""),"chó")</f>
        <v>chó</v>
      </c>
      <c r="E1957" s="127" t="str">
        <f>IFERROR(__xludf.DUMMYFUNCTION("""COMPUTED_VALUE"""),"Vàng ")</f>
        <v>Vàng </v>
      </c>
    </row>
    <row r="1958" ht="15.75" customHeight="1">
      <c r="A1958" s="128" t="str">
        <f>IFERROR(__xludf.DUMMYFUNCTION("""COMPUTED_VALUE"""),"0779 555 606")</f>
        <v>0779 555 606</v>
      </c>
      <c r="B1958" s="127" t="str">
        <f>IFERROR(__xludf.DUMMYFUNCTION("""COMPUTED_VALUE"""),"Dì Hậu")</f>
        <v>Dì Hậu</v>
      </c>
      <c r="C1958" s="127" t="str">
        <f>IFERROR(__xludf.DUMMYFUNCTION("""COMPUTED_VALUE"""),"12/28 Nguyễn Phúc Lan")</f>
        <v>12/28 Nguyễn Phúc Lan</v>
      </c>
      <c r="D1958" s="127" t="str">
        <f>IFERROR(__xludf.DUMMYFUNCTION("""COMPUTED_VALUE"""),"chó")</f>
        <v>chó</v>
      </c>
      <c r="E1958" s="127" t="str">
        <f>IFERROR(__xludf.DUMMYFUNCTION("""COMPUTED_VALUE"""),"Bin")</f>
        <v>Bin</v>
      </c>
    </row>
    <row r="1959" ht="15.75" customHeight="1">
      <c r="A1959" s="128" t="str">
        <f>IFERROR(__xludf.DUMMYFUNCTION("""COMPUTED_VALUE"""),"0377 524 844")</f>
        <v>0377 524 844</v>
      </c>
      <c r="B1959" s="127" t="str">
        <f>IFERROR(__xludf.DUMMYFUNCTION("""COMPUTED_VALUE"""),"Thùy Trâm")</f>
        <v>Thùy Trâm</v>
      </c>
      <c r="C1959" s="127" t="str">
        <f>IFERROR(__xludf.DUMMYFUNCTION("""COMPUTED_VALUE"""),"13 Nguyễn Đăng Thịnh")</f>
        <v>13 Nguyễn Đăng Thịnh</v>
      </c>
      <c r="D1959" s="127" t="str">
        <f>IFERROR(__xludf.DUMMYFUNCTION("""COMPUTED_VALUE"""),"mèo")</f>
        <v>mèo</v>
      </c>
      <c r="E1959" s="119" t="str">
        <f>IFERROR(__xludf.DUMMYFUNCTION("""COMPUTED_VALUE"""),"Bún")</f>
        <v>Bún</v>
      </c>
    </row>
    <row r="1960" ht="15.75" customHeight="1">
      <c r="A1960" s="128" t="str">
        <f>IFERROR(__xludf.DUMMYFUNCTION("""COMPUTED_VALUE"""),"0706 214 391")</f>
        <v>0706 214 391</v>
      </c>
      <c r="B1960" s="127" t="str">
        <f>IFERROR(__xludf.DUMMYFUNCTION("""COMPUTED_VALUE"""),"Chị Trang")</f>
        <v>Chị Trang</v>
      </c>
      <c r="C1960" s="127" t="str">
        <f>IFERROR(__xludf.DUMMYFUNCTION("""COMPUTED_VALUE"""),"25 Trần Nhân Tông")</f>
        <v>25 Trần Nhân Tông</v>
      </c>
      <c r="D1960" s="127" t="str">
        <f>IFERROR(__xludf.DUMMYFUNCTION("""COMPUTED_VALUE"""),"mèo")</f>
        <v>mèo</v>
      </c>
      <c r="E1960" s="127" t="str">
        <f>IFERROR(__xludf.DUMMYFUNCTION("""COMPUTED_VALUE"""),"vàng/đen")</f>
        <v>vàng/đen</v>
      </c>
    </row>
    <row r="1961" ht="15.75" customHeight="1">
      <c r="A1961" s="128" t="str">
        <f>IFERROR(__xludf.DUMMYFUNCTION("""COMPUTED_VALUE"""),"0967 709 953")</f>
        <v>0967 709 953</v>
      </c>
      <c r="B1961" s="127" t="str">
        <f>IFERROR(__xludf.DUMMYFUNCTION("""COMPUTED_VALUE"""),"Anh Tiến")</f>
        <v>Anh Tiến</v>
      </c>
      <c r="C1961" s="127" t="str">
        <f>IFERROR(__xludf.DUMMYFUNCTION("""COMPUTED_VALUE"""),"32/200 Lý Nam Đế")</f>
        <v>32/200 Lý Nam Đế</v>
      </c>
      <c r="D1961" s="127" t="str">
        <f>IFERROR(__xludf.DUMMYFUNCTION("""COMPUTED_VALUE"""),"chó ")</f>
        <v>chó </v>
      </c>
      <c r="E1961" s="127" t="str">
        <f>IFERROR(__xludf.DUMMYFUNCTION("""COMPUTED_VALUE"""),"Cún")</f>
        <v>Cún</v>
      </c>
    </row>
    <row r="1962" ht="15.75" customHeight="1">
      <c r="A1962" s="128" t="str">
        <f>IFERROR(__xludf.DUMMYFUNCTION("""COMPUTED_VALUE"""),"0858 177 296")</f>
        <v>0858 177 296</v>
      </c>
      <c r="B1962" s="127" t="str">
        <f>IFERROR(__xludf.DUMMYFUNCTION("""COMPUTED_VALUE"""),"Chị Linh ")</f>
        <v>Chị Linh </v>
      </c>
      <c r="C1962" s="127" t="str">
        <f>IFERROR(__xludf.DUMMYFUNCTION("""COMPUTED_VALUE"""),"11/24 Phạm Thị Liên")</f>
        <v>11/24 Phạm Thị Liên</v>
      </c>
      <c r="D1962" s="127" t="str">
        <f>IFERROR(__xludf.DUMMYFUNCTION("""COMPUTED_VALUE"""),"chó")</f>
        <v>chó</v>
      </c>
      <c r="E1962" s="127" t="str">
        <f>IFERROR(__xludf.DUMMYFUNCTION("""COMPUTED_VALUE"""),"Milo")</f>
        <v>Milo</v>
      </c>
    </row>
    <row r="1963" ht="15.75" customHeight="1">
      <c r="A1963" s="128" t="str">
        <f>IFERROR(__xludf.DUMMYFUNCTION("""COMPUTED_VALUE"""),"0383 302 809")</f>
        <v>0383 302 809</v>
      </c>
      <c r="B1963" s="127" t="str">
        <f>IFERROR(__xludf.DUMMYFUNCTION("""COMPUTED_VALUE"""),"Chị Loan")</f>
        <v>Chị Loan</v>
      </c>
      <c r="C1963" s="127" t="str">
        <f>IFERROR(__xludf.DUMMYFUNCTION("""COMPUTED_VALUE"""),"51 Điện Biên Phủ")</f>
        <v>51 Điện Biên Phủ</v>
      </c>
      <c r="D1963" s="127" t="str">
        <f>IFERROR(__xludf.DUMMYFUNCTION("""COMPUTED_VALUE"""),"chó ")</f>
        <v>chó </v>
      </c>
      <c r="E1963" s="127" t="str">
        <f>IFERROR(__xludf.DUMMYFUNCTION("""COMPUTED_VALUE"""),"Pin")</f>
        <v>Pin</v>
      </c>
    </row>
    <row r="1964" ht="15.75" customHeight="1">
      <c r="A1964" s="128" t="str">
        <f>IFERROR(__xludf.DUMMYFUNCTION("""COMPUTED_VALUE"""),"0792 169 112")</f>
        <v>0792 169 112</v>
      </c>
      <c r="B1964" s="127" t="str">
        <f>IFERROR(__xludf.DUMMYFUNCTION("""COMPUTED_VALUE"""),"Bác Lân")</f>
        <v>Bác Lân</v>
      </c>
      <c r="C1964" s="127" t="str">
        <f>IFERROR(__xludf.DUMMYFUNCTION("""COMPUTED_VALUE"""),"Kiệt 104 Phạm Thị Liên")</f>
        <v>Kiệt 104 Phạm Thị Liên</v>
      </c>
      <c r="D1964" s="127" t="str">
        <f>IFERROR(__xludf.DUMMYFUNCTION("""COMPUTED_VALUE"""),"Chó")</f>
        <v>Chó</v>
      </c>
      <c r="E1964" s="127" t="str">
        <f>IFERROR(__xludf.DUMMYFUNCTION("""COMPUTED_VALUE"""),"Teddy")</f>
        <v>Teddy</v>
      </c>
    </row>
    <row r="1965" ht="15.75" customHeight="1">
      <c r="A1965" s="128" t="str">
        <f>IFERROR(__xludf.DUMMYFUNCTION("""COMPUTED_VALUE"""),"0906 793 663")</f>
        <v>0906 793 663</v>
      </c>
      <c r="B1965" s="127" t="str">
        <f>IFERROR(__xludf.DUMMYFUNCTION("""COMPUTED_VALUE"""),"Anh Sơn")</f>
        <v>Anh Sơn</v>
      </c>
      <c r="C1965" s="127" t="str">
        <f>IFERROR(__xludf.DUMMYFUNCTION("""COMPUTED_VALUE"""),"Nera 1, Tố Hữu")</f>
        <v>Nera 1, Tố Hữu</v>
      </c>
      <c r="D1965" s="127" t="str">
        <f>IFERROR(__xludf.DUMMYFUNCTION("""COMPUTED_VALUE"""),"Mèo")</f>
        <v>Mèo</v>
      </c>
      <c r="E1965" s="127" t="str">
        <f>IFERROR(__xludf.DUMMYFUNCTION("""COMPUTED_VALUE"""),"Bo")</f>
        <v>Bo</v>
      </c>
    </row>
    <row r="1966" ht="15.75" customHeight="1">
      <c r="A1966" s="128" t="str">
        <f>IFERROR(__xludf.DUMMYFUNCTION("""COMPUTED_VALUE"""),"0905 655 675")</f>
        <v>0905 655 675</v>
      </c>
      <c r="B1966" s="127" t="str">
        <f>IFERROR(__xludf.DUMMYFUNCTION("""COMPUTED_VALUE"""),"Anh Long")</f>
        <v>Anh Long</v>
      </c>
      <c r="C1966" s="127" t="str">
        <f>IFERROR(__xludf.DUMMYFUNCTION("""COMPUTED_VALUE"""),"20 Nguyễn Phúc Nguyên")</f>
        <v>20 Nguyễn Phúc Nguyên</v>
      </c>
      <c r="D1966" s="127" t="str">
        <f>IFERROR(__xludf.DUMMYFUNCTION("""COMPUTED_VALUE"""),"mèo")</f>
        <v>mèo</v>
      </c>
      <c r="E1966" s="119" t="str">
        <f>IFERROR(__xludf.DUMMYFUNCTION("""COMPUTED_VALUE"""),"Meo")</f>
        <v>Meo</v>
      </c>
    </row>
    <row r="1967" ht="15.75" customHeight="1">
      <c r="A1967" s="128" t="str">
        <f>IFERROR(__xludf.DUMMYFUNCTION("""COMPUTED_VALUE"""),"0944 915 222")</f>
        <v>0944 915 222</v>
      </c>
      <c r="B1967" s="127" t="str">
        <f>IFERROR(__xludf.DUMMYFUNCTION("""COMPUTED_VALUE"""),"Anh Hiếu")</f>
        <v>Anh Hiếu</v>
      </c>
      <c r="C1967" s="127" t="str">
        <f>IFERROR(__xludf.DUMMYFUNCTION("""COMPUTED_VALUE"""),"31 Hồng Khẳng")</f>
        <v>31 Hồng Khẳng</v>
      </c>
      <c r="D1967" s="127" t="str">
        <f>IFERROR(__xludf.DUMMYFUNCTION("""COMPUTED_VALUE"""),"chó")</f>
        <v>chó</v>
      </c>
      <c r="E1967" s="127" t="str">
        <f>IFERROR(__xludf.DUMMYFUNCTION("""COMPUTED_VALUE"""),"Coca")</f>
        <v>Coca</v>
      </c>
    </row>
    <row r="1968" ht="15.75" customHeight="1">
      <c r="A1968" s="128" t="str">
        <f>IFERROR(__xludf.DUMMYFUNCTION("""COMPUTED_VALUE"""),"0905 979 303")</f>
        <v>0905 979 303</v>
      </c>
      <c r="B1968" s="127" t="str">
        <f>IFERROR(__xludf.DUMMYFUNCTION("""COMPUTED_VALUE"""),"Chú Kiên")</f>
        <v>Chú Kiên</v>
      </c>
      <c r="C1968" s="127" t="str">
        <f>IFERROR(__xludf.DUMMYFUNCTION("""COMPUTED_VALUE"""),"35/4/7 Phạm Thị Liên")</f>
        <v>35/4/7 Phạm Thị Liên</v>
      </c>
      <c r="D1968" s="127" t="str">
        <f>IFERROR(__xludf.DUMMYFUNCTION("""COMPUTED_VALUE"""),"chó")</f>
        <v>chó</v>
      </c>
      <c r="E1968" s="127" t="str">
        <f>IFERROR(__xludf.DUMMYFUNCTION("""COMPUTED_VALUE"""),"Siro")</f>
        <v>Siro</v>
      </c>
    </row>
    <row r="1969" ht="15.75" customHeight="1">
      <c r="A1969" s="128" t="str">
        <f>IFERROR(__xludf.DUMMYFUNCTION("""COMPUTED_VALUE"""),"0375 494 742")</f>
        <v>0375 494 742</v>
      </c>
      <c r="B1969" s="127" t="str">
        <f>IFERROR(__xludf.DUMMYFUNCTION("""COMPUTED_VALUE"""),"Anh Hải")</f>
        <v>Anh Hải</v>
      </c>
      <c r="C1969" s="127" t="str">
        <f>IFERROR(__xludf.DUMMYFUNCTION("""COMPUTED_VALUE"""),"240/22 Lý Nam Đế")</f>
        <v>240/22 Lý Nam Đế</v>
      </c>
      <c r="D1969" s="127" t="str">
        <f>IFERROR(__xludf.DUMMYFUNCTION("""COMPUTED_VALUE"""),"chó")</f>
        <v>chó</v>
      </c>
      <c r="E1969" s="127" t="str">
        <f>IFERROR(__xludf.DUMMYFUNCTION("""COMPUTED_VALUE"""),"Koma")</f>
        <v>Koma</v>
      </c>
    </row>
    <row r="1970" ht="15.75" customHeight="1">
      <c r="A1970" s="128" t="str">
        <f>IFERROR(__xludf.DUMMYFUNCTION("""COMPUTED_VALUE"""),"0918 130 120")</f>
        <v>0918 130 120</v>
      </c>
      <c r="B1970" s="127" t="str">
        <f>IFERROR(__xludf.DUMMYFUNCTION("""COMPUTED_VALUE"""),"Chú Lộc")</f>
        <v>Chú Lộc</v>
      </c>
      <c r="C1970" s="127" t="str">
        <f>IFERROR(__xludf.DUMMYFUNCTION("""COMPUTED_VALUE"""),"Ngọc Hồ Hương Hồ")</f>
        <v>Ngọc Hồ Hương Hồ</v>
      </c>
      <c r="D1970" s="127" t="str">
        <f>IFERROR(__xludf.DUMMYFUNCTION("""COMPUTED_VALUE"""),"Chó")</f>
        <v>Chó</v>
      </c>
      <c r="E1970" s="119" t="str">
        <f>IFERROR(__xludf.DUMMYFUNCTION("""COMPUTED_VALUE"""),"Bốp")</f>
        <v>Bốp</v>
      </c>
    </row>
    <row r="1971" ht="15.75" customHeight="1">
      <c r="A1971" s="128" t="str">
        <f>IFERROR(__xludf.DUMMYFUNCTION("""COMPUTED_VALUE"""),"0376 752 437")</f>
        <v>0376 752 437</v>
      </c>
      <c r="B1971" s="127" t="str">
        <f>IFERROR(__xludf.DUMMYFUNCTION("""COMPUTED_VALUE"""),"Anh Hoàng")</f>
        <v>Anh Hoàng</v>
      </c>
      <c r="C1971" s="127" t="str">
        <f>IFERROR(__xludf.DUMMYFUNCTION("""COMPUTED_VALUE"""),"36/15 Phạm Thị Liên")</f>
        <v>36/15 Phạm Thị Liên</v>
      </c>
      <c r="D1971" s="127" t="str">
        <f>IFERROR(__xludf.DUMMYFUNCTION("""COMPUTED_VALUE"""),"chó")</f>
        <v>chó</v>
      </c>
      <c r="E1971" s="119" t="str">
        <f>IFERROR(__xludf.DUMMYFUNCTION("""COMPUTED_VALUE"""),"Gấu")</f>
        <v>Gấu</v>
      </c>
    </row>
    <row r="1972" ht="15.75" customHeight="1">
      <c r="A1972" s="128" t="str">
        <f>IFERROR(__xludf.DUMMYFUNCTION("""COMPUTED_VALUE"""),"0372 941 146")</f>
        <v>0372 941 146</v>
      </c>
      <c r="B1972" s="127" t="str">
        <f>IFERROR(__xludf.DUMMYFUNCTION("""COMPUTED_VALUE"""),"Em Ngân")</f>
        <v>Em Ngân</v>
      </c>
      <c r="C1972" s="127" t="str">
        <f>IFERROR(__xludf.DUMMYFUNCTION("""COMPUTED_VALUE"""),"100 Trần Văn Kỷ")</f>
        <v>100 Trần Văn Kỷ</v>
      </c>
      <c r="D1972" s="127" t="str">
        <f>IFERROR(__xludf.DUMMYFUNCTION("""COMPUTED_VALUE"""),"mèo")</f>
        <v>mèo</v>
      </c>
      <c r="E1972" s="127" t="str">
        <f>IFERROR(__xludf.DUMMYFUNCTION("""COMPUTED_VALUE"""),"Dâu")</f>
        <v>Dâu</v>
      </c>
    </row>
    <row r="1973" ht="15.75" customHeight="1">
      <c r="A1973" s="128" t="str">
        <f>IFERROR(__xludf.DUMMYFUNCTION("""COMPUTED_VALUE"""),"0704 167 796")</f>
        <v>0704 167 796</v>
      </c>
      <c r="B1973" s="127" t="str">
        <f>IFERROR(__xludf.DUMMYFUNCTION("""COMPUTED_VALUE"""),"Quyền")</f>
        <v>Quyền</v>
      </c>
      <c r="C1973" s="127" t="str">
        <f>IFERROR(__xludf.DUMMYFUNCTION("""COMPUTED_VALUE"""),"Phú Thượng")</f>
        <v>Phú Thượng</v>
      </c>
      <c r="D1973" s="127" t="str">
        <f>IFERROR(__xludf.DUMMYFUNCTION("""COMPUTED_VALUE"""),"chó")</f>
        <v>chó</v>
      </c>
      <c r="E1973" s="127"/>
    </row>
    <row r="1974" ht="15.75" customHeight="1">
      <c r="A1974" s="128" t="str">
        <f>IFERROR(__xludf.DUMMYFUNCTION("""COMPUTED_VALUE"""),"0346 615 052")</f>
        <v>0346 615 052</v>
      </c>
      <c r="B1974" s="127" t="str">
        <f>IFERROR(__xludf.DUMMYFUNCTION("""COMPUTED_VALUE"""),"Em Thảo Sang")</f>
        <v>Em Thảo Sang</v>
      </c>
      <c r="C1974" s="127" t="str">
        <f>IFERROR(__xludf.DUMMYFUNCTION("""COMPUTED_VALUE"""),"49/3/ 56 Nguyễn Công Trứ")</f>
        <v>49/3/ 56 Nguyễn Công Trứ</v>
      </c>
      <c r="D1974" s="127" t="str">
        <f>IFERROR(__xludf.DUMMYFUNCTION("""COMPUTED_VALUE"""),"chó")</f>
        <v>chó</v>
      </c>
      <c r="E1974" s="127" t="str">
        <f>IFERROR(__xludf.DUMMYFUNCTION("""COMPUTED_VALUE""")," Red")</f>
        <v> Red</v>
      </c>
    </row>
    <row r="1975" ht="15.75" customHeight="1">
      <c r="A1975" s="128" t="str">
        <f>IFERROR(__xludf.DUMMYFUNCTION("""COMPUTED_VALUE"""),"0796 507 575")</f>
        <v>0796 507 575</v>
      </c>
      <c r="B1975" s="127" t="str">
        <f>IFERROR(__xludf.DUMMYFUNCTION("""COMPUTED_VALUE"""),"Nguyên")</f>
        <v>Nguyên</v>
      </c>
      <c r="C1975" s="127" t="str">
        <f>IFERROR(__xludf.DUMMYFUNCTION("""COMPUTED_VALUE"""),"Trần Phú")</f>
        <v>Trần Phú</v>
      </c>
      <c r="D1975" s="127" t="str">
        <f>IFERROR(__xludf.DUMMYFUNCTION("""COMPUTED_VALUE""")," chó")</f>
        <v> chó</v>
      </c>
      <c r="E1975" s="127" t="str">
        <f>IFERROR(__xludf.DUMMYFUNCTION("""COMPUTED_VALUE"""),"Tony")</f>
        <v>Tony</v>
      </c>
    </row>
    <row r="1976" ht="15.75" customHeight="1">
      <c r="A1976" s="128" t="str">
        <f>IFERROR(__xludf.DUMMYFUNCTION("""COMPUTED_VALUE"""),"0358 632 067")</f>
        <v>0358 632 067</v>
      </c>
      <c r="B1976" s="127" t="str">
        <f>IFERROR(__xludf.DUMMYFUNCTION("""COMPUTED_VALUE"""),"Em Thư")</f>
        <v>Em Thư</v>
      </c>
      <c r="C1976" s="127" t="str">
        <f>IFERROR(__xludf.DUMMYFUNCTION("""COMPUTED_VALUE"""),"K79 Minh Mạng")</f>
        <v>K79 Minh Mạng</v>
      </c>
      <c r="D1976" s="127" t="str">
        <f>IFERROR(__xludf.DUMMYFUNCTION("""COMPUTED_VALUE"""),"mèo")</f>
        <v>mèo</v>
      </c>
      <c r="E1976" s="119" t="str">
        <f>IFERROR(__xludf.DUMMYFUNCTION("""COMPUTED_VALUE""")," Thỏ")</f>
        <v> Thỏ</v>
      </c>
    </row>
    <row r="1977" ht="15.75" customHeight="1">
      <c r="A1977" s="128" t="str">
        <f>IFERROR(__xludf.DUMMYFUNCTION("""COMPUTED_VALUE"""),"0914 177 465")</f>
        <v>0914 177 465</v>
      </c>
      <c r="B1977" s="127" t="str">
        <f>IFERROR(__xludf.DUMMYFUNCTION("""COMPUTED_VALUE"""),"Em Quang")</f>
        <v>Em Quang</v>
      </c>
      <c r="C1977" s="127" t="str">
        <f>IFERROR(__xludf.DUMMYFUNCTION("""COMPUTED_VALUE""")," Bùi Thị Xuân")</f>
        <v> Bùi Thị Xuân</v>
      </c>
      <c r="D1977" s="127" t="str">
        <f>IFERROR(__xludf.DUMMYFUNCTION("""COMPUTED_VALUE"""),"mèo ")</f>
        <v>mèo </v>
      </c>
      <c r="E1977" s="127" t="str">
        <f>IFERROR(__xludf.DUMMYFUNCTION("""COMPUTED_VALUE"""),"Sam")</f>
        <v>Sam</v>
      </c>
    </row>
    <row r="1978" ht="15.75" customHeight="1">
      <c r="A1978" s="128" t="str">
        <f>IFERROR(__xludf.DUMMYFUNCTION("""COMPUTED_VALUE"""),"0382 605 435")</f>
        <v>0382 605 435</v>
      </c>
      <c r="B1978" s="127" t="str">
        <f>IFERROR(__xludf.DUMMYFUNCTION("""COMPUTED_VALUE"""),"Chị Kim Loan")</f>
        <v>Chị Kim Loan</v>
      </c>
      <c r="C1978" s="127" t="str">
        <f>IFERROR(__xludf.DUMMYFUNCTION("""COMPUTED_VALUE"""),"Thủy Dương Hương Thuy")</f>
        <v>Thủy Dương Hương Thuy</v>
      </c>
      <c r="D1978" s="127" t="str">
        <f>IFERROR(__xludf.DUMMYFUNCTION("""COMPUTED_VALUE"""),"mèo ")</f>
        <v>mèo </v>
      </c>
      <c r="E1978" s="127" t="str">
        <f>IFERROR(__xludf.DUMMYFUNCTION("""COMPUTED_VALUE"""),"Sữa")</f>
        <v>Sữa</v>
      </c>
    </row>
    <row r="1979" ht="15.75" customHeight="1">
      <c r="A1979" s="128" t="str">
        <f>IFERROR(__xludf.DUMMYFUNCTION("""COMPUTED_VALUE"""),"0903 501 936")</f>
        <v>0903 501 936</v>
      </c>
      <c r="B1979" s="127" t="str">
        <f>IFERROR(__xludf.DUMMYFUNCTION("""COMPUTED_VALUE"""),"Em Ngọc Đức")</f>
        <v>Em Ngọc Đức</v>
      </c>
      <c r="C1979" s="127" t="str">
        <f>IFERROR(__xludf.DUMMYFUNCTION("""COMPUTED_VALUE"""),"29 Hồng Khẳng")</f>
        <v>29 Hồng Khẳng</v>
      </c>
      <c r="D1979" s="127" t="str">
        <f>IFERROR(__xludf.DUMMYFUNCTION("""COMPUTED_VALUE"""),"chó")</f>
        <v>chó</v>
      </c>
      <c r="E1979" s="127" t="str">
        <f>IFERROR(__xludf.DUMMYFUNCTION("""COMPUTED_VALUE"""),"Milo")</f>
        <v>Milo</v>
      </c>
    </row>
    <row r="1980" ht="15.75" customHeight="1">
      <c r="A1980" s="128" t="str">
        <f>IFERROR(__xludf.DUMMYFUNCTION("""COMPUTED_VALUE"""),"0389 905 677")</f>
        <v>0389 905 677</v>
      </c>
      <c r="B1980" s="127" t="str">
        <f>IFERROR(__xludf.DUMMYFUNCTION("""COMPUTED_VALUE"""),"Bích Nga")</f>
        <v>Bích Nga</v>
      </c>
      <c r="C1980" s="127" t="str">
        <f>IFERROR(__xludf.DUMMYFUNCTION("""COMPUTED_VALUE"""),"72 Tùng Thiện Vương")</f>
        <v>72 Tùng Thiện Vương</v>
      </c>
      <c r="D1980" s="127" t="str">
        <f>IFERROR(__xludf.DUMMYFUNCTION("""COMPUTED_VALUE"""),"Chó")</f>
        <v>Chó</v>
      </c>
      <c r="E1980" s="127" t="str">
        <f>IFERROR(__xludf.DUMMYFUNCTION("""COMPUTED_VALUE"""),"CaRy")</f>
        <v>CaRy</v>
      </c>
    </row>
    <row r="1981" ht="15.75" customHeight="1">
      <c r="A1981" s="128" t="str">
        <f>IFERROR(__xludf.DUMMYFUNCTION("""COMPUTED_VALUE"""),"0357 947 347")</f>
        <v>0357 947 347</v>
      </c>
      <c r="B1981" s="127" t="str">
        <f>IFERROR(__xludf.DUMMYFUNCTION("""COMPUTED_VALUE"""),"Chị Traâm")</f>
        <v>Chị Traâm</v>
      </c>
      <c r="C1981" s="127" t="str">
        <f>IFERROR(__xludf.DUMMYFUNCTION("""COMPUTED_VALUE"""),"25 B Lịch Đợi")</f>
        <v>25 B Lịch Đợi</v>
      </c>
      <c r="D1981" s="127" t="str">
        <f>IFERROR(__xludf.DUMMYFUNCTION("""COMPUTED_VALUE"""),"chó")</f>
        <v>chó</v>
      </c>
      <c r="E1981" s="127" t="str">
        <f>IFERROR(__xludf.DUMMYFUNCTION("""COMPUTED_VALUE""")," Đen")</f>
        <v> Đen</v>
      </c>
    </row>
    <row r="1982" ht="15.75" customHeight="1">
      <c r="A1982" s="128" t="str">
        <f>IFERROR(__xludf.DUMMYFUNCTION("""COMPUTED_VALUE"""),"0789 193 582")</f>
        <v>0789 193 582</v>
      </c>
      <c r="B1982" s="127" t="str">
        <f>IFERROR(__xludf.DUMMYFUNCTION("""COMPUTED_VALUE"""),"Vy")</f>
        <v>Vy</v>
      </c>
      <c r="C1982" s="127" t="str">
        <f>IFERROR(__xludf.DUMMYFUNCTION("""COMPUTED_VALUE"""),"24/134 Nguyễn Huệ")</f>
        <v>24/134 Nguyễn Huệ</v>
      </c>
      <c r="D1982" s="127" t="str">
        <f>IFERROR(__xludf.DUMMYFUNCTION("""COMPUTED_VALUE"""),"chó")</f>
        <v>chó</v>
      </c>
      <c r="E1982" s="127" t="str">
        <f>IFERROR(__xludf.DUMMYFUNCTION("""COMPUTED_VALUE""")," Cheddar")</f>
        <v> Cheddar</v>
      </c>
    </row>
    <row r="1983" ht="15.75" customHeight="1">
      <c r="A1983" s="128" t="str">
        <f>IFERROR(__xludf.DUMMYFUNCTION("""COMPUTED_VALUE"""),"0332 830 058")</f>
        <v>0332 830 058</v>
      </c>
      <c r="B1983" s="127" t="str">
        <f>IFERROR(__xludf.DUMMYFUNCTION("""COMPUTED_VALUE"""),"Như Ý")</f>
        <v>Như Ý</v>
      </c>
      <c r="C1983" s="127" t="str">
        <f>IFERROR(__xludf.DUMMYFUNCTION("""COMPUTED_VALUE""")," 302 Trịnh Công Sơn")</f>
        <v> 302 Trịnh Công Sơn</v>
      </c>
      <c r="D1983" s="127" t="str">
        <f>IFERROR(__xludf.DUMMYFUNCTION("""COMPUTED_VALUE"""),"chó")</f>
        <v>chó</v>
      </c>
      <c r="E1983" s="119" t="str">
        <f>IFERROR(__xludf.DUMMYFUNCTION("""COMPUTED_VALUE"""),"Ken")</f>
        <v>Ken</v>
      </c>
    </row>
    <row r="1984" ht="15.75" customHeight="1">
      <c r="A1984" s="128" t="str">
        <f>IFERROR(__xludf.DUMMYFUNCTION("""COMPUTED_VALUE"""),"0912 524 142")</f>
        <v>0912 524 142</v>
      </c>
      <c r="B1984" s="127" t="str">
        <f>IFERROR(__xludf.DUMMYFUNCTION("""COMPUTED_VALUE"""),"Chị Bích")</f>
        <v>Chị Bích</v>
      </c>
      <c r="C1984" s="127" t="str">
        <f>IFERROR(__xludf.DUMMYFUNCTION("""COMPUTED_VALUE"""),"k25 Tùng Thiện vương")</f>
        <v>k25 Tùng Thiện vương</v>
      </c>
      <c r="D1984" s="127" t="str">
        <f>IFERROR(__xludf.DUMMYFUNCTION("""COMPUTED_VALUE"""),"Chó")</f>
        <v>Chó</v>
      </c>
      <c r="E1984" s="127"/>
    </row>
    <row r="1985" ht="15.75" customHeight="1">
      <c r="A1985" s="128" t="str">
        <f>IFERROR(__xludf.DUMMYFUNCTION("""COMPUTED_VALUE"""),"0819 708 127")</f>
        <v>0819 708 127</v>
      </c>
      <c r="B1985" s="127" t="str">
        <f>IFERROR(__xludf.DUMMYFUNCTION("""COMPUTED_VALUE"""),"Chị Tâm")</f>
        <v>Chị Tâm</v>
      </c>
      <c r="C1985" s="127" t="str">
        <f>IFERROR(__xludf.DUMMYFUNCTION("""COMPUTED_VALUE"""),"9/2/6 Tam Thai")</f>
        <v>9/2/6 Tam Thai</v>
      </c>
      <c r="D1985" s="127" t="str">
        <f>IFERROR(__xludf.DUMMYFUNCTION("""COMPUTED_VALUE"""),"chó")</f>
        <v>chó</v>
      </c>
      <c r="E1985" s="119" t="str">
        <f>IFERROR(__xludf.DUMMYFUNCTION("""COMPUTED_VALUE""")," Sin")</f>
        <v> Sin</v>
      </c>
    </row>
    <row r="1986" ht="15.75" customHeight="1">
      <c r="A1986" s="128" t="str">
        <f>IFERROR(__xludf.DUMMYFUNCTION("""COMPUTED_VALUE"""),"0332 877 030")</f>
        <v>0332 877 030</v>
      </c>
      <c r="B1986" s="127" t="str">
        <f>IFERROR(__xludf.DUMMYFUNCTION("""COMPUTED_VALUE"""),"Trần Phi Long")</f>
        <v>Trần Phi Long</v>
      </c>
      <c r="C1986" s="127" t="str">
        <f>IFERROR(__xludf.DUMMYFUNCTION("""COMPUTED_VALUE"""),"19 xóm Đình Lại Thế")</f>
        <v>19 xóm Đình Lại Thế</v>
      </c>
      <c r="D1986" s="127" t="str">
        <f>IFERROR(__xludf.DUMMYFUNCTION("""COMPUTED_VALUE"""),"mèo")</f>
        <v>mèo</v>
      </c>
      <c r="E1986" s="127" t="str">
        <f>IFERROR(__xludf.DUMMYFUNCTION("""COMPUTED_VALUE"""),"Henry")</f>
        <v>Henry</v>
      </c>
    </row>
    <row r="1987" ht="15.75" customHeight="1">
      <c r="A1987" s="128" t="str">
        <f>IFERROR(__xludf.DUMMYFUNCTION("""COMPUTED_VALUE"""),"0858 815 528")</f>
        <v>0858 815 528</v>
      </c>
      <c r="B1987" s="127" t="str">
        <f>IFERROR(__xludf.DUMMYFUNCTION("""COMPUTED_VALUE"""),"Em Khánh")</f>
        <v>Em Khánh</v>
      </c>
      <c r="C1987" s="127" t="str">
        <f>IFERROR(__xludf.DUMMYFUNCTION("""COMPUTED_VALUE"""),"1/26 Võ Thị Sáu")</f>
        <v>1/26 Võ Thị Sáu</v>
      </c>
      <c r="D1987" s="127" t="str">
        <f>IFERROR(__xludf.DUMMYFUNCTION("""COMPUTED_VALUE"""),"mèo")</f>
        <v>mèo</v>
      </c>
      <c r="E1987" s="127" t="str">
        <f>IFERROR(__xludf.DUMMYFUNCTION("""COMPUTED_VALUE"""),"Bơ")</f>
        <v>Bơ</v>
      </c>
    </row>
    <row r="1988" ht="15.75" customHeight="1">
      <c r="A1988" s="128" t="str">
        <f>IFERROR(__xludf.DUMMYFUNCTION("""COMPUTED_VALUE"""),"0702 428 722")</f>
        <v>0702 428 722</v>
      </c>
      <c r="B1988" s="127" t="str">
        <f>IFERROR(__xludf.DUMMYFUNCTION("""COMPUTED_VALUE"""),"Trần Nguyễn Hạnh Tiên")</f>
        <v>Trần Nguyễn Hạnh Tiên</v>
      </c>
      <c r="C1988" s="127" t="str">
        <f>IFERROR(__xludf.DUMMYFUNCTION("""COMPUTED_VALUE"""),"Thuận An")</f>
        <v>Thuận An</v>
      </c>
      <c r="D1988" s="127" t="str">
        <f>IFERROR(__xludf.DUMMYFUNCTION("""COMPUTED_VALUE"""),"chó")</f>
        <v>chó</v>
      </c>
      <c r="E1988" s="127"/>
    </row>
    <row r="1989" ht="15.75" customHeight="1">
      <c r="A1989" s="128" t="str">
        <f>IFERROR(__xludf.DUMMYFUNCTION("""COMPUTED_VALUE"""),"0934 819 155")</f>
        <v>0934 819 155</v>
      </c>
      <c r="B1989" s="127" t="str">
        <f>IFERROR(__xludf.DUMMYFUNCTION("""COMPUTED_VALUE"""),"Chị My")</f>
        <v>Chị My</v>
      </c>
      <c r="C1989" s="127" t="str">
        <f>IFERROR(__xludf.DUMMYFUNCTION("""COMPUTED_VALUE"""),"b217 Đường D5 Phú Mỹ Lợi")</f>
        <v>b217 Đường D5 Phú Mỹ Lợi</v>
      </c>
      <c r="D1989" s="127" t="str">
        <f>IFERROR(__xludf.DUMMYFUNCTION("""COMPUTED_VALUE"""),"chó")</f>
        <v>chó</v>
      </c>
      <c r="E1989" s="127" t="str">
        <f>IFERROR(__xludf.DUMMYFUNCTION("""COMPUTED_VALUE"""),"Tiểu Bạch")</f>
        <v>Tiểu Bạch</v>
      </c>
    </row>
    <row r="1990" ht="15.75" customHeight="1">
      <c r="A1990" s="128" t="str">
        <f>IFERROR(__xludf.DUMMYFUNCTION("""COMPUTED_VALUE"""),"0964 949 961")</f>
        <v>0964 949 961</v>
      </c>
      <c r="B1990" s="127" t="str">
        <f>IFERROR(__xludf.DUMMYFUNCTION("""COMPUTED_VALUE"""),"Chị Hằng")</f>
        <v>Chị Hằng</v>
      </c>
      <c r="C1990" s="127" t="str">
        <f>IFERROR(__xludf.DUMMYFUNCTION("""COMPUTED_VALUE"""),"42 Nguyễn Công Trứ")</f>
        <v>42 Nguyễn Công Trứ</v>
      </c>
      <c r="D1990" s="127" t="str">
        <f>IFERROR(__xludf.DUMMYFUNCTION("""COMPUTED_VALUE"""),"chó")</f>
        <v>chó</v>
      </c>
      <c r="E1990" s="127" t="str">
        <f>IFERROR(__xludf.DUMMYFUNCTION("""COMPUTED_VALUE"""),"Bánh bao")</f>
        <v>Bánh bao</v>
      </c>
    </row>
    <row r="1991" ht="15.75" customHeight="1">
      <c r="A1991" s="128" t="str">
        <f>IFERROR(__xludf.DUMMYFUNCTION("""COMPUTED_VALUE"""),"0902 409 398")</f>
        <v>0902 409 398</v>
      </c>
      <c r="B1991" s="127" t="str">
        <f>IFERROR(__xludf.DUMMYFUNCTION("""COMPUTED_VALUE"""),"Anh Huy")</f>
        <v>Anh Huy</v>
      </c>
      <c r="C1991" s="127" t="str">
        <f>IFERROR(__xludf.DUMMYFUNCTION("""COMPUTED_VALUE"""),"36/8 Lý Nam Đế")</f>
        <v>36/8 Lý Nam Đế</v>
      </c>
      <c r="D1991" s="127" t="str">
        <f>IFERROR(__xludf.DUMMYFUNCTION("""COMPUTED_VALUE"""),"chó")</f>
        <v>chó</v>
      </c>
      <c r="E1991" s="127" t="str">
        <f>IFERROR(__xludf.DUMMYFUNCTION("""COMPUTED_VALUE"""),"Rin")</f>
        <v>Rin</v>
      </c>
    </row>
    <row r="1992" ht="15.75" customHeight="1">
      <c r="A1992" s="128" t="str">
        <f>IFERROR(__xludf.DUMMYFUNCTION("""COMPUTED_VALUE"""),"0898 179 369")</f>
        <v>0898 179 369</v>
      </c>
      <c r="B1992" s="127" t="str">
        <f>IFERROR(__xludf.DUMMYFUNCTION("""COMPUTED_VALUE"""),"Thone")</f>
        <v>Thone</v>
      </c>
      <c r="C1992" s="127" t="str">
        <f>IFERROR(__xludf.DUMMYFUNCTION("""COMPUTED_VALUE"""),"49 Hoàng Thông")</f>
        <v>49 Hoàng Thông</v>
      </c>
      <c r="D1992" s="127" t="str">
        <f>IFERROR(__xludf.DUMMYFUNCTION("""COMPUTED_VALUE"""),"mèo")</f>
        <v>mèo</v>
      </c>
      <c r="E1992" s="127" t="str">
        <f>IFERROR(__xludf.DUMMYFUNCTION("""COMPUTED_VALUE"""),"Namthom")</f>
        <v>Namthom</v>
      </c>
    </row>
    <row r="1993" ht="15.75" customHeight="1">
      <c r="A1993" s="128" t="str">
        <f>IFERROR(__xludf.DUMMYFUNCTION("""COMPUTED_VALUE"""),"0911 224 949")</f>
        <v>0911 224 949</v>
      </c>
      <c r="B1993" s="127" t="str">
        <f>IFERROR(__xludf.DUMMYFUNCTION("""COMPUTED_VALUE"""),"Chị Vân Anh")</f>
        <v>Chị Vân Anh</v>
      </c>
      <c r="C1993" s="127" t="str">
        <f>IFERROR(__xludf.DUMMYFUNCTION("""COMPUTED_VALUE"""),"Phú Thượng")</f>
        <v>Phú Thượng</v>
      </c>
      <c r="D1993" s="127" t="str">
        <f>IFERROR(__xludf.DUMMYFUNCTION("""COMPUTED_VALUE"""),"chó")</f>
        <v>chó</v>
      </c>
      <c r="E1993" s="127" t="str">
        <f>IFERROR(__xludf.DUMMYFUNCTION("""COMPUTED_VALUE"""),"Fox")</f>
        <v>Fox</v>
      </c>
    </row>
    <row r="1994" ht="15.75" customHeight="1">
      <c r="A1994" s="128" t="str">
        <f>IFERROR(__xludf.DUMMYFUNCTION("""COMPUTED_VALUE"""),"0967 670 689")</f>
        <v>0967 670 689</v>
      </c>
      <c r="B1994" s="127" t="str">
        <f>IFERROR(__xludf.DUMMYFUNCTION("""COMPUTED_VALUE"""),"Quốc Bảo")</f>
        <v>Quốc Bảo</v>
      </c>
      <c r="C1994" s="127" t="str">
        <f>IFERROR(__xludf.DUMMYFUNCTION("""COMPUTED_VALUE"""),"375 Chi Lăng")</f>
        <v>375 Chi Lăng</v>
      </c>
      <c r="D1994" s="127" t="str">
        <f>IFERROR(__xludf.DUMMYFUNCTION("""COMPUTED_VALUE"""),"chó")</f>
        <v>chó</v>
      </c>
      <c r="E1994" s="127"/>
    </row>
    <row r="1995" ht="15.75" customHeight="1">
      <c r="A1995" s="128" t="str">
        <f>IFERROR(__xludf.DUMMYFUNCTION("""COMPUTED_VALUE"""),"0934 788 049")</f>
        <v>0934 788 049</v>
      </c>
      <c r="B1995" s="127" t="str">
        <f>IFERROR(__xludf.DUMMYFUNCTION("""COMPUTED_VALUE"""),"Chị Minh")</f>
        <v>Chị Minh</v>
      </c>
      <c r="C1995" s="127" t="str">
        <f>IFERROR(__xludf.DUMMYFUNCTION("""COMPUTED_VALUE"""),"66/187 Hùng Vương")</f>
        <v>66/187 Hùng Vương</v>
      </c>
      <c r="D1995" s="127" t="str">
        <f>IFERROR(__xludf.DUMMYFUNCTION("""COMPUTED_VALUE"""),"chó")</f>
        <v>chó</v>
      </c>
      <c r="E1995" s="127" t="str">
        <f>IFERROR(__xludf.DUMMYFUNCTION("""COMPUTED_VALUE"""),"Louis")</f>
        <v>Louis</v>
      </c>
    </row>
    <row r="1996" ht="15.75" customHeight="1">
      <c r="A1996" s="128" t="str">
        <f>IFERROR(__xludf.DUMMYFUNCTION("""COMPUTED_VALUE"""),"0934 716 696")</f>
        <v>0934 716 696</v>
      </c>
      <c r="B1996" s="127" t="str">
        <f>IFERROR(__xludf.DUMMYFUNCTION("""COMPUTED_VALUE"""),"Anh Bình")</f>
        <v>Anh Bình</v>
      </c>
      <c r="C1996" s="127" t="str">
        <f>IFERROR(__xludf.DUMMYFUNCTION("""COMPUTED_VALUE""")," ")</f>
        <v> </v>
      </c>
      <c r="D1996" s="127" t="str">
        <f>IFERROR(__xludf.DUMMYFUNCTION("""COMPUTED_VALUE"""),"chó")</f>
        <v>chó</v>
      </c>
      <c r="E1996" s="119" t="str">
        <f>IFERROR(__xludf.DUMMYFUNCTION("""COMPUTED_VALUE""")," Sữa")</f>
        <v> Sữa</v>
      </c>
    </row>
    <row r="1997" ht="15.75" customHeight="1">
      <c r="A1997" s="128" t="str">
        <f>IFERROR(__xludf.DUMMYFUNCTION("""COMPUTED_VALUE"""),"0345 425 575")</f>
        <v>0345 425 575</v>
      </c>
      <c r="B1997" s="127" t="str">
        <f>IFERROR(__xludf.DUMMYFUNCTION("""COMPUTED_VALUE"""),"Em Uyên")</f>
        <v>Em Uyên</v>
      </c>
      <c r="C1997" s="127" t="str">
        <f>IFERROR(__xludf.DUMMYFUNCTION("""COMPUTED_VALUE""")," 33/165 Trần Phú")</f>
        <v> 33/165 Trần Phú</v>
      </c>
      <c r="D1997" s="127" t="str">
        <f>IFERROR(__xludf.DUMMYFUNCTION("""COMPUTED_VALUE""")," mèo ")</f>
        <v> mèo </v>
      </c>
      <c r="E1997" s="127" t="str">
        <f>IFERROR(__xludf.DUMMYFUNCTION("""COMPUTED_VALUE"""),"Luốc")</f>
        <v>Luốc</v>
      </c>
    </row>
    <row r="1998" ht="15.75" customHeight="1">
      <c r="A1998" s="128" t="str">
        <f>IFERROR(__xludf.DUMMYFUNCTION("""COMPUTED_VALUE"""),"0966 529 435")</f>
        <v>0966 529 435</v>
      </c>
      <c r="B1998" s="127" t="str">
        <f>IFERROR(__xludf.DUMMYFUNCTION("""COMPUTED_VALUE"""),"Dì Bán Hu Tiếu")</f>
        <v>Dì Bán Hu Tiếu</v>
      </c>
      <c r="C1998" s="127" t="str">
        <f>IFERROR(__xludf.DUMMYFUNCTION("""COMPUTED_VALUE"""),"18 Nguyễn Khoa Chiêm")</f>
        <v>18 Nguyễn Khoa Chiêm</v>
      </c>
      <c r="D1998" s="127" t="str">
        <f>IFERROR(__xludf.DUMMYFUNCTION("""COMPUTED_VALUE"""),"chó ")</f>
        <v>chó </v>
      </c>
      <c r="E1998" s="119" t="str">
        <f>IFERROR(__xludf.DUMMYFUNCTION("""COMPUTED_VALUE"""),"Bò Sữa")</f>
        <v>Bò Sữa</v>
      </c>
    </row>
    <row r="1999" ht="15.75" customHeight="1">
      <c r="A1999" s="117" t="str">
        <f>IFERROR(__xludf.DUMMYFUNCTION("""COMPUTED_VALUE"""),"0383 644 374")</f>
        <v>0383 644 374</v>
      </c>
      <c r="B1999" s="118" t="str">
        <f>IFERROR(__xludf.DUMMYFUNCTION("""COMPUTED_VALUE"""),"Em Ngọc")</f>
        <v>Em Ngọc</v>
      </c>
      <c r="C1999" s="118" t="str">
        <f>IFERROR(__xludf.DUMMYFUNCTION("""COMPUTED_VALUE"""),"Nguyễn Thị Định ")</f>
        <v>Nguyễn Thị Định </v>
      </c>
      <c r="D1999" s="118" t="str">
        <f>IFERROR(__xludf.DUMMYFUNCTION("""COMPUTED_VALUE"""),"chó")</f>
        <v>chó</v>
      </c>
      <c r="E1999" s="118" t="str">
        <f>IFERROR(__xludf.DUMMYFUNCTION("""COMPUTED_VALUE"""),"Moon")</f>
        <v>Moon</v>
      </c>
    </row>
    <row r="2000" ht="15.75" customHeight="1">
      <c r="A2000" s="117" t="str">
        <f>IFERROR(__xludf.DUMMYFUNCTION("""COMPUTED_VALUE"""),"0977 041 329")</f>
        <v>0977 041 329</v>
      </c>
      <c r="B2000" s="118" t="str">
        <f>IFERROR(__xludf.DUMMYFUNCTION("""COMPUTED_VALUE"""),"Em Lành")</f>
        <v>Em Lành</v>
      </c>
      <c r="C2000" s="118" t="str">
        <f>IFERROR(__xludf.DUMMYFUNCTION("""COMPUTED_VALUE"""),"chợ Đầu Mội")</f>
        <v>chợ Đầu Mội</v>
      </c>
      <c r="D2000" s="118" t="str">
        <f>IFERROR(__xludf.DUMMYFUNCTION("""COMPUTED_VALUE"""),"chó")</f>
        <v>chó</v>
      </c>
      <c r="E2000" s="118" t="str">
        <f>IFERROR(__xludf.DUMMYFUNCTION("""COMPUTED_VALUE""")," ")</f>
        <v> </v>
      </c>
    </row>
    <row r="2001" ht="15.75" customHeight="1">
      <c r="A2001" s="117" t="str">
        <f>IFERROR(__xludf.DUMMYFUNCTION("""COMPUTED_VALUE"""),"0898 492 330")</f>
        <v>0898 492 330</v>
      </c>
      <c r="B2001" s="118" t="str">
        <f>IFERROR(__xludf.DUMMYFUNCTION("""COMPUTED_VALUE"""),"Anh Trí")</f>
        <v>Anh Trí</v>
      </c>
      <c r="C2001" s="118" t="str">
        <f>IFERROR(__xludf.DUMMYFUNCTION("""COMPUTED_VALUE"""),"KQH An Tây")</f>
        <v>KQH An Tây</v>
      </c>
      <c r="D2001" s="118" t="str">
        <f>IFERROR(__xludf.DUMMYFUNCTION("""COMPUTED_VALUE"""),"mèo ")</f>
        <v>mèo </v>
      </c>
      <c r="E2001" s="118" t="str">
        <f>IFERROR(__xludf.DUMMYFUNCTION("""COMPUTED_VALUE"""),"đen")</f>
        <v>đen</v>
      </c>
    </row>
    <row r="2002" ht="15.75" customHeight="1">
      <c r="A2002" s="117" t="str">
        <f>IFERROR(__xludf.DUMMYFUNCTION("""COMPUTED_VALUE"""),"0737 658 663")</f>
        <v>0737 658 663</v>
      </c>
      <c r="B2002" s="118" t="str">
        <f>IFERROR(__xludf.DUMMYFUNCTION("""COMPUTED_VALUE"""),"sorina")</f>
        <v>sorina</v>
      </c>
      <c r="C2002" s="118"/>
      <c r="D2002" s="118" t="str">
        <f>IFERROR(__xludf.DUMMYFUNCTION("""COMPUTED_VALUE"""),"chó")</f>
        <v>chó</v>
      </c>
      <c r="E2002" s="118" t="str">
        <f>IFERROR(__xludf.DUMMYFUNCTION("""COMPUTED_VALUE"""),"Radu")</f>
        <v>Radu</v>
      </c>
    </row>
    <row r="2003" ht="15.75" customHeight="1">
      <c r="A2003" s="117" t="str">
        <f>IFERROR(__xludf.DUMMYFUNCTION("""COMPUTED_VALUE"""),"0704 552 761")</f>
        <v>0704 552 761</v>
      </c>
      <c r="B2003" s="118" t="str">
        <f>IFERROR(__xludf.DUMMYFUNCTION("""COMPUTED_VALUE"""),"Dì Mang")</f>
        <v>Dì Mang</v>
      </c>
      <c r="C2003" s="118" t="str">
        <f>IFERROR(__xludf.DUMMYFUNCTION("""COMPUTED_VALUE"""),"24 Huỳnh Tấn Phái")</f>
        <v>24 Huỳnh Tấn Phái</v>
      </c>
      <c r="D2003" s="118" t="str">
        <f>IFERROR(__xludf.DUMMYFUNCTION("""COMPUTED_VALUE"""),"mèo")</f>
        <v>mèo</v>
      </c>
      <c r="E2003" s="118" t="str">
        <f>IFERROR(__xludf.DUMMYFUNCTION("""COMPUTED_VALUE"""),"Trắng")</f>
        <v>Trắng</v>
      </c>
    </row>
    <row r="2004" ht="15.75" customHeight="1">
      <c r="A2004" s="117" t="str">
        <f>IFERROR(__xludf.DUMMYFUNCTION("""COMPUTED_VALUE"""),"0774 498 431")</f>
        <v>0774 498 431</v>
      </c>
      <c r="B2004" s="118" t="str">
        <f>IFERROR(__xludf.DUMMYFUNCTION("""COMPUTED_VALUE"""),"Em Thiên Ngân")</f>
        <v>Em Thiên Ngân</v>
      </c>
      <c r="C2004" s="118" t="str">
        <f>IFERROR(__xludf.DUMMYFUNCTION("""COMPUTED_VALUE"""),"12/33 Phạm Văn Đồng")</f>
        <v>12/33 Phạm Văn Đồng</v>
      </c>
      <c r="D2004" s="118" t="str">
        <f>IFERROR(__xludf.DUMMYFUNCTION("""COMPUTED_VALUE"""),"chó")</f>
        <v>chó</v>
      </c>
      <c r="E2004" s="118" t="str">
        <f>IFERROR(__xludf.DUMMYFUNCTION("""COMPUTED_VALUE""")," Bun")</f>
        <v> Bun</v>
      </c>
    </row>
    <row r="2005" ht="15.75" customHeight="1">
      <c r="A2005" s="117"/>
      <c r="B2005" s="118"/>
      <c r="C2005" s="118"/>
      <c r="D2005" s="118"/>
      <c r="E2005" s="118"/>
    </row>
    <row r="2006" ht="15.75" customHeight="1">
      <c r="A2006" s="117" t="str">
        <f>IFERROR(__xludf.DUMMYFUNCTION("""COMPUTED_VALUE"""),"0778 525 047")</f>
        <v>0778 525 047</v>
      </c>
      <c r="B2006" s="118" t="str">
        <f>IFERROR(__xludf.DUMMYFUNCTION("""COMPUTED_VALUE"""),"Dì ")</f>
        <v>Dì </v>
      </c>
      <c r="C2006" s="118" t="str">
        <f>IFERROR(__xludf.DUMMYFUNCTION("""COMPUTED_VALUE"""),"95 Phan Đình Phùng")</f>
        <v>95 Phan Đình Phùng</v>
      </c>
      <c r="D2006" s="118" t="str">
        <f>IFERROR(__xludf.DUMMYFUNCTION("""COMPUTED_VALUE"""),"chó")</f>
        <v>chó</v>
      </c>
      <c r="E2006" s="118" t="str">
        <f>IFERROR(__xludf.DUMMYFUNCTION("""COMPUTED_VALUE""")," Mít")</f>
        <v> Mít</v>
      </c>
    </row>
    <row r="2007" ht="15.75" customHeight="1">
      <c r="A2007" s="117" t="str">
        <f>IFERROR(__xludf.DUMMYFUNCTION("""COMPUTED_VALUE"""),"0899 237 092")</f>
        <v>0899 237 092</v>
      </c>
      <c r="B2007" s="118" t="str">
        <f>IFERROR(__xludf.DUMMYFUNCTION("""COMPUTED_VALUE"""),"Anh Trường")</f>
        <v>Anh Trường</v>
      </c>
      <c r="C2007" s="118" t="str">
        <f>IFERROR(__xludf.DUMMYFUNCTION("""COMPUTED_VALUE""")," 16/51/131 Trần phú")</f>
        <v> 16/51/131 Trần phú</v>
      </c>
      <c r="D2007" s="118" t="str">
        <f>IFERROR(__xludf.DUMMYFUNCTION("""COMPUTED_VALUE"""),"chó")</f>
        <v>chó</v>
      </c>
      <c r="E2007" s="118" t="str">
        <f>IFERROR(__xludf.DUMMYFUNCTION("""COMPUTED_VALUE""")," Mực")</f>
        <v> Mực</v>
      </c>
    </row>
    <row r="2008" ht="15.75" customHeight="1">
      <c r="A2008" s="117" t="str">
        <f>IFERROR(__xludf.DUMMYFUNCTION("""COMPUTED_VALUE"""),"0932 486 682")</f>
        <v>0932 486 682</v>
      </c>
      <c r="B2008" s="118" t="str">
        <f>IFERROR(__xludf.DUMMYFUNCTION("""COMPUTED_VALUE"""),"Trần Thị Thu Uyên")</f>
        <v>Trần Thị Thu Uyên</v>
      </c>
      <c r="C2008" s="118" t="str">
        <f>IFERROR(__xludf.DUMMYFUNCTION("""COMPUTED_VALUE"""),"Nguyễn Phúc Nguyên")</f>
        <v>Nguyễn Phúc Nguyên</v>
      </c>
      <c r="D2008" s="118" t="str">
        <f>IFERROR(__xludf.DUMMYFUNCTION("""COMPUTED_VALUE"""),"mèo")</f>
        <v>mèo</v>
      </c>
      <c r="E2008" s="118" t="str">
        <f>IFERROR(__xludf.DUMMYFUNCTION("""COMPUTED_VALUE"""),"Nơ")</f>
        <v>Nơ</v>
      </c>
    </row>
    <row r="2009" ht="15.75" customHeight="1">
      <c r="A2009" s="117" t="str">
        <f>IFERROR(__xludf.DUMMYFUNCTION("""COMPUTED_VALUE"""),"0355 784 714")</f>
        <v>0355 784 714</v>
      </c>
      <c r="B2009" s="118" t="str">
        <f>IFERROR(__xludf.DUMMYFUNCTION("""COMPUTED_VALUE"""),"Chị Loan")</f>
        <v>Chị Loan</v>
      </c>
      <c r="C2009" s="118" t="str">
        <f>IFERROR(__xludf.DUMMYFUNCTION("""COMPUTED_VALUE"""),"21/131 Trần Phú")</f>
        <v>21/131 Trần Phú</v>
      </c>
      <c r="D2009" s="118" t="str">
        <f>IFERROR(__xludf.DUMMYFUNCTION("""COMPUTED_VALUE"""),"chó")</f>
        <v>chó</v>
      </c>
      <c r="E2009" s="118" t="str">
        <f>IFERROR(__xludf.DUMMYFUNCTION("""COMPUTED_VALUE""")," Ki")</f>
        <v> Ki</v>
      </c>
    </row>
    <row r="2010" ht="15.75" customHeight="1">
      <c r="A2010" s="117" t="str">
        <f>IFERROR(__xludf.DUMMYFUNCTION("""COMPUTED_VALUE"""),"0559 387 913")</f>
        <v>0559 387 913</v>
      </c>
      <c r="B2010" s="118" t="str">
        <f>IFERROR(__xludf.DUMMYFUNCTION("""COMPUTED_VALUE"""),"Marska niobong")</f>
        <v>Marska niobong</v>
      </c>
      <c r="C2010" s="118" t="str">
        <f>IFERROR(__xludf.DUMMYFUNCTION("""COMPUTED_VALUE"""),"Đan Mạch")</f>
        <v>Đan Mạch</v>
      </c>
      <c r="D2010" s="118" t="str">
        <f>IFERROR(__xludf.DUMMYFUNCTION("""COMPUTED_VALUE"""),"chó")</f>
        <v>chó</v>
      </c>
      <c r="E2010" s="118" t="str">
        <f>IFERROR(__xludf.DUMMYFUNCTION("""COMPUTED_VALUE""")," Đen")</f>
        <v> Đen</v>
      </c>
    </row>
    <row r="2011" ht="15.75" customHeight="1">
      <c r="A2011" s="117" t="str">
        <f>IFERROR(__xludf.DUMMYFUNCTION("""COMPUTED_VALUE"""),"0387 704 387")</f>
        <v>0387 704 387</v>
      </c>
      <c r="B2011" s="118" t="str">
        <f>IFERROR(__xludf.DUMMYFUNCTION("""COMPUTED_VALUE"""),"Em Châu")</f>
        <v>Em Châu</v>
      </c>
      <c r="C2011" s="118" t="str">
        <f>IFERROR(__xludf.DUMMYFUNCTION("""COMPUTED_VALUE"""),"5/32 Nguyễn Phúc Chu")</f>
        <v>5/32 Nguyễn Phúc Chu</v>
      </c>
      <c r="D2011" s="118" t="str">
        <f>IFERROR(__xludf.DUMMYFUNCTION("""COMPUTED_VALUE"""),"chó")</f>
        <v>chó</v>
      </c>
      <c r="E2011" s="118" t="str">
        <f>IFERROR(__xludf.DUMMYFUNCTION("""COMPUTED_VALUE"""),"mít")</f>
        <v>mít</v>
      </c>
    </row>
    <row r="2012" ht="15.75" customHeight="1">
      <c r="A2012" s="117" t="str">
        <f>IFERROR(__xludf.DUMMYFUNCTION("""COMPUTED_VALUE"""),"0379 549 623")</f>
        <v>0379 549 623</v>
      </c>
      <c r="B2012" s="118" t="str">
        <f>IFERROR(__xludf.DUMMYFUNCTION("""COMPUTED_VALUE"""),"Dì Thảo")</f>
        <v>Dì Thảo</v>
      </c>
      <c r="C2012" s="118" t="str">
        <f>IFERROR(__xludf.DUMMYFUNCTION("""COMPUTED_VALUE"""),"16 Nguyễn Phúc Nguyên ")</f>
        <v>16 Nguyễn Phúc Nguyên </v>
      </c>
      <c r="D2012" s="118" t="str">
        <f>IFERROR(__xludf.DUMMYFUNCTION("""COMPUTED_VALUE"""),"chó")</f>
        <v>chó</v>
      </c>
      <c r="E2012" s="118" t="str">
        <f>IFERROR(__xludf.DUMMYFUNCTION("""COMPUTED_VALUE"""),"Mơ")</f>
        <v>Mơ</v>
      </c>
    </row>
    <row r="2013" ht="15.75" customHeight="1">
      <c r="A2013" s="117" t="str">
        <f>IFERROR(__xludf.DUMMYFUNCTION("""COMPUTED_VALUE"""),"0393 486 608")</f>
        <v>0393 486 608</v>
      </c>
      <c r="B2013" s="118" t="str">
        <f>IFERROR(__xludf.DUMMYFUNCTION("""COMPUTED_VALUE"""),"Em Kiều Oanh ")</f>
        <v>Em Kiều Oanh </v>
      </c>
      <c r="C2013" s="118" t="str">
        <f>IFERROR(__xludf.DUMMYFUNCTION("""COMPUTED_VALUE"""),"178/2/27 Ngự Bình")</f>
        <v>178/2/27 Ngự Bình</v>
      </c>
      <c r="D2013" s="118" t="str">
        <f>IFERROR(__xludf.DUMMYFUNCTION("""COMPUTED_VALUE"""),"Mèo")</f>
        <v>Mèo</v>
      </c>
      <c r="E2013" s="118" t="str">
        <f>IFERROR(__xludf.DUMMYFUNCTION("""COMPUTED_VALUE"""),"Poppy")</f>
        <v>Poppy</v>
      </c>
    </row>
    <row r="2014" ht="15.75" customHeight="1">
      <c r="A2014" s="117" t="str">
        <f>IFERROR(__xludf.DUMMYFUNCTION("""COMPUTED_VALUE"""),"0906 416 328")</f>
        <v>0906 416 328</v>
      </c>
      <c r="B2014" s="118" t="str">
        <f>IFERROR(__xludf.DUMMYFUNCTION("""COMPUTED_VALUE"""),"Chú Ngữ")</f>
        <v>Chú Ngữ</v>
      </c>
      <c r="C2014" s="118" t="str">
        <f>IFERROR(__xludf.DUMMYFUNCTION("""COMPUTED_VALUE"""),"170 Lý Nam Đế")</f>
        <v>170 Lý Nam Đế</v>
      </c>
      <c r="D2014" s="118" t="str">
        <f>IFERROR(__xludf.DUMMYFUNCTION("""COMPUTED_VALUE"""),"Chó")</f>
        <v>Chó</v>
      </c>
      <c r="E2014" s="118" t="str">
        <f>IFERROR(__xludf.DUMMYFUNCTION("""COMPUTED_VALUE"""),"cỏ ")</f>
        <v>cỏ </v>
      </c>
    </row>
    <row r="2015" ht="15.75" customHeight="1">
      <c r="A2015" s="117" t="str">
        <f>IFERROR(__xludf.DUMMYFUNCTION("""COMPUTED_VALUE"""),"0914 001 972")</f>
        <v>0914 001 972</v>
      </c>
      <c r="B2015" s="118" t="str">
        <f>IFERROR(__xludf.DUMMYFUNCTION("""COMPUTED_VALUE"""),"Anh Tính")</f>
        <v>Anh Tính</v>
      </c>
      <c r="C2015" s="118" t="str">
        <f>IFERROR(__xludf.DUMMYFUNCTION("""COMPUTED_VALUE"""),"274 Phan Bội Châu")</f>
        <v>274 Phan Bội Châu</v>
      </c>
      <c r="D2015" s="118" t="str">
        <f>IFERROR(__xludf.DUMMYFUNCTION("""COMPUTED_VALUE"""),"chó")</f>
        <v>chó</v>
      </c>
      <c r="E2015" s="118"/>
    </row>
    <row r="2016" ht="15.75" customHeight="1">
      <c r="A2016" s="117" t="str">
        <f>IFERROR(__xludf.DUMMYFUNCTION("""COMPUTED_VALUE"""),"0935 227 900")</f>
        <v>0935 227 900</v>
      </c>
      <c r="B2016" s="118" t="str">
        <f>IFERROR(__xludf.DUMMYFUNCTION("""COMPUTED_VALUE"""),"Anh Hoàng ")</f>
        <v>Anh Hoàng </v>
      </c>
      <c r="C2016" s="118" t="str">
        <f>IFERROR(__xludf.DUMMYFUNCTION("""COMPUTED_VALUE"""),"Bàu Vá")</f>
        <v>Bàu Vá</v>
      </c>
      <c r="D2016" s="118" t="str">
        <f>IFERROR(__xludf.DUMMYFUNCTION("""COMPUTED_VALUE"""),"Chó")</f>
        <v>Chó</v>
      </c>
      <c r="E2016" s="118" t="str">
        <f>IFERROR(__xludf.DUMMYFUNCTION("""COMPUTED_VALUE"""),"Bull")</f>
        <v>Bull</v>
      </c>
    </row>
    <row r="2017" ht="15.75" customHeight="1">
      <c r="A2017" s="117" t="str">
        <f>IFERROR(__xludf.DUMMYFUNCTION("""COMPUTED_VALUE"""),"0914 977 607")</f>
        <v>0914 977 607</v>
      </c>
      <c r="B2017" s="118" t="str">
        <f>IFERROR(__xludf.DUMMYFUNCTION("""COMPUTED_VALUE"""),"Trân Tân")</f>
        <v>Trân Tân</v>
      </c>
      <c r="C2017" s="118" t="str">
        <f>IFERROR(__xludf.DUMMYFUNCTION("""COMPUTED_VALUE"""),"Phạm Thị liên")</f>
        <v>Phạm Thị liên</v>
      </c>
      <c r="D2017" s="118" t="str">
        <f>IFERROR(__xludf.DUMMYFUNCTION("""COMPUTED_VALUE"""),"Chó")</f>
        <v>Chó</v>
      </c>
      <c r="E2017" s="118" t="str">
        <f>IFERROR(__xludf.DUMMYFUNCTION("""COMPUTED_VALUE"""),"tí")</f>
        <v>tí</v>
      </c>
    </row>
    <row r="2018" ht="15.75" customHeight="1">
      <c r="A2018" s="117" t="str">
        <f>IFERROR(__xludf.DUMMYFUNCTION("""COMPUTED_VALUE"""),"0934 962 028")</f>
        <v>0934 962 028</v>
      </c>
      <c r="B2018" s="118" t="str">
        <f>IFERROR(__xludf.DUMMYFUNCTION("""COMPUTED_VALUE"""),"Thầy Thiện Phúc")</f>
        <v>Thầy Thiện Phúc</v>
      </c>
      <c r="C2018" s="118" t="str">
        <f>IFERROR(__xludf.DUMMYFUNCTION("""COMPUTED_VALUE"""),"Huyền Không Sơn Thượng")</f>
        <v>Huyền Không Sơn Thượng</v>
      </c>
      <c r="D2018" s="118" t="str">
        <f>IFERROR(__xludf.DUMMYFUNCTION("""COMPUTED_VALUE"""),"mèo")</f>
        <v>mèo</v>
      </c>
      <c r="E2018" s="118" t="str">
        <f>IFERROR(__xludf.DUMMYFUNCTION("""COMPUTED_VALUE"""),"Chập chen")</f>
        <v>Chập chen</v>
      </c>
    </row>
    <row r="2019" ht="15.75" customHeight="1">
      <c r="A2019" s="117" t="str">
        <f>IFERROR(__xludf.DUMMYFUNCTION("""COMPUTED_VALUE"""),"0385 026 903")</f>
        <v>0385 026 903</v>
      </c>
      <c r="B2019" s="118" t="str">
        <f>IFERROR(__xludf.DUMMYFUNCTION("""COMPUTED_VALUE"""),"Chị Ánh")</f>
        <v>Chị Ánh</v>
      </c>
      <c r="C2019" s="118" t="str">
        <f>IFERROR(__xludf.DUMMYFUNCTION("""COMPUTED_VALUE"""),"5/59/7 nguyễn Hữu Dật")</f>
        <v>5/59/7 nguyễn Hữu Dật</v>
      </c>
      <c r="D2019" s="118" t="str">
        <f>IFERROR(__xludf.DUMMYFUNCTION("""COMPUTED_VALUE"""),"chó")</f>
        <v>chó</v>
      </c>
      <c r="E2019" s="118" t="str">
        <f>IFERROR(__xludf.DUMMYFUNCTION("""COMPUTED_VALUE"""),"Gấu")</f>
        <v>Gấu</v>
      </c>
    </row>
    <row r="2020" ht="15.75" customHeight="1">
      <c r="A2020" s="117" t="str">
        <f>IFERROR(__xludf.DUMMYFUNCTION("""COMPUTED_VALUE"""),"0935 149 189")</f>
        <v>0935 149 189</v>
      </c>
      <c r="B2020" s="118" t="str">
        <f>IFERROR(__xludf.DUMMYFUNCTION("""COMPUTED_VALUE"""),"Chị Cẩm Hà")</f>
        <v>Chị Cẩm Hà</v>
      </c>
      <c r="C2020" s="118" t="str">
        <f>IFERROR(__xludf.DUMMYFUNCTION("""COMPUTED_VALUE"""),"5/12 Lịch Đợi")</f>
        <v>5/12 Lịch Đợi</v>
      </c>
      <c r="D2020" s="118" t="str">
        <f>IFERROR(__xludf.DUMMYFUNCTION("""COMPUTED_VALUE"""),"chó")</f>
        <v>chó</v>
      </c>
      <c r="E2020" s="118" t="str">
        <f>IFERROR(__xludf.DUMMYFUNCTION("""COMPUTED_VALUE"""),"Sữa")</f>
        <v>Sữa</v>
      </c>
    </row>
    <row r="2021" ht="15.75" customHeight="1">
      <c r="A2021" s="117" t="str">
        <f>IFERROR(__xludf.DUMMYFUNCTION("""COMPUTED_VALUE"""),"0787 679 837")</f>
        <v>0787 679 837</v>
      </c>
      <c r="B2021" s="118" t="str">
        <f>IFERROR(__xludf.DUMMYFUNCTION("""COMPUTED_VALUE"""),"Anh Hiếu")</f>
        <v>Anh Hiếu</v>
      </c>
      <c r="C2021" s="118" t="str">
        <f>IFERROR(__xludf.DUMMYFUNCTION("""COMPUTED_VALUE"""),"15/15/82 Quảng Tế")</f>
        <v>15/15/82 Quảng Tế</v>
      </c>
      <c r="D2021" s="118" t="str">
        <f>IFERROR(__xludf.DUMMYFUNCTION("""COMPUTED_VALUE"""),"chó")</f>
        <v>chó</v>
      </c>
      <c r="E2021" s="118" t="str">
        <f>IFERROR(__xludf.DUMMYFUNCTION("""COMPUTED_VALUE"""),"Min")</f>
        <v>Min</v>
      </c>
    </row>
    <row r="2022" ht="15.75" customHeight="1">
      <c r="A2022" s="117" t="str">
        <f>IFERROR(__xludf.DUMMYFUNCTION("""COMPUTED_VALUE"""),"0914 126 339")</f>
        <v>0914 126 339</v>
      </c>
      <c r="B2022" s="118" t="str">
        <f>IFERROR(__xludf.DUMMYFUNCTION("""COMPUTED_VALUE"""),"Dì Thu")</f>
        <v>Dì Thu</v>
      </c>
      <c r="C2022" s="118" t="str">
        <f>IFERROR(__xludf.DUMMYFUNCTION("""COMPUTED_VALUE"""),"Phan Bội Châu")</f>
        <v>Phan Bội Châu</v>
      </c>
      <c r="D2022" s="118" t="str">
        <f>IFERROR(__xludf.DUMMYFUNCTION("""COMPUTED_VALUE"""),"chó")</f>
        <v>chó</v>
      </c>
      <c r="E2022" s="118" t="str">
        <f>IFERROR(__xludf.DUMMYFUNCTION("""COMPUTED_VALUE"""),"Mập")</f>
        <v>Mập</v>
      </c>
    </row>
    <row r="2023" ht="15.75" customHeight="1">
      <c r="A2023" s="117" t="str">
        <f>IFERROR(__xludf.DUMMYFUNCTION("""COMPUTED_VALUE"""),"0789 492 922")</f>
        <v>0789 492 922</v>
      </c>
      <c r="B2023" s="118" t="str">
        <f>IFERROR(__xludf.DUMMYFUNCTION("""COMPUTED_VALUE"""),"Vũ Đình Nghĩa")</f>
        <v>Vũ Đình Nghĩa</v>
      </c>
      <c r="C2023" s="118" t="str">
        <f>IFERROR(__xludf.DUMMYFUNCTION("""COMPUTED_VALUE"""),"427 Nguyễn Tất Thành")</f>
        <v>427 Nguyễn Tất Thành</v>
      </c>
      <c r="D2023" s="118" t="str">
        <f>IFERROR(__xludf.DUMMYFUNCTION("""COMPUTED_VALUE"""),"mèo")</f>
        <v>mèo</v>
      </c>
      <c r="E2023" s="118"/>
    </row>
    <row r="2024" ht="15.75" customHeight="1">
      <c r="A2024" s="117" t="str">
        <f>IFERROR(__xludf.DUMMYFUNCTION("""COMPUTED_VALUE"""),"0915 278 560")</f>
        <v>0915 278 560</v>
      </c>
      <c r="B2024" s="118" t="str">
        <f>IFERROR(__xludf.DUMMYFUNCTION("""COMPUTED_VALUE"""),"Kim Ngân")</f>
        <v>Kim Ngân</v>
      </c>
      <c r="C2024" s="118" t="str">
        <f>IFERROR(__xludf.DUMMYFUNCTION("""COMPUTED_VALUE"""),"32/111 Đặng Văn Ngữ")</f>
        <v>32/111 Đặng Văn Ngữ</v>
      </c>
      <c r="D2024" s="118" t="str">
        <f>IFERROR(__xludf.DUMMYFUNCTION("""COMPUTED_VALUE"""),"mèo")</f>
        <v>mèo</v>
      </c>
      <c r="E2024" s="118"/>
    </row>
    <row r="2025" ht="15.75" customHeight="1">
      <c r="A2025" s="117" t="str">
        <f>IFERROR(__xludf.DUMMYFUNCTION("""COMPUTED_VALUE"""),"0399 071 033")</f>
        <v>0399 071 033</v>
      </c>
      <c r="B2025" s="118" t="str">
        <f>IFERROR(__xludf.DUMMYFUNCTION("""COMPUTED_VALUE"""),"Anh Thịnh")</f>
        <v>Anh Thịnh</v>
      </c>
      <c r="C2025" s="118" t="str">
        <f>IFERROR(__xludf.DUMMYFUNCTION("""COMPUTED_VALUE"""),"Hải Triều - An Đông ")</f>
        <v>Hải Triều - An Đông </v>
      </c>
      <c r="D2025" s="118" t="str">
        <f>IFERROR(__xludf.DUMMYFUNCTION("""COMPUTED_VALUE"""),"mèo")</f>
        <v>mèo</v>
      </c>
      <c r="E2025" s="118" t="str">
        <f>IFERROR(__xludf.DUMMYFUNCTION("""COMPUTED_VALUE"""),"Nấm")</f>
        <v>Nấm</v>
      </c>
    </row>
    <row r="2026" ht="15.75" customHeight="1">
      <c r="A2026" s="117" t="str">
        <f>IFERROR(__xludf.DUMMYFUNCTION("""COMPUTED_VALUE"""),"0971 643 643")</f>
        <v>0971 643 643</v>
      </c>
      <c r="B2026" s="118" t="str">
        <f>IFERROR(__xludf.DUMMYFUNCTION("""COMPUTED_VALUE"""),"Chị Huệ")</f>
        <v>Chị Huệ</v>
      </c>
      <c r="C2026" s="118" t="str">
        <f>IFERROR(__xludf.DUMMYFUNCTION("""COMPUTED_VALUE"""),"lô a14 xóm Ngọc Anh")</f>
        <v>lô a14 xóm Ngọc Anh</v>
      </c>
      <c r="D2026" s="118" t="str">
        <f>IFERROR(__xludf.DUMMYFUNCTION("""COMPUTED_VALUE"""),"chó")</f>
        <v>chó</v>
      </c>
      <c r="E2026" s="118" t="str">
        <f>IFERROR(__xludf.DUMMYFUNCTION("""COMPUTED_VALUE"""),"Đô")</f>
        <v>Đô</v>
      </c>
    </row>
    <row r="2027" ht="15.75" customHeight="1">
      <c r="A2027" s="117" t="str">
        <f>IFERROR(__xludf.DUMMYFUNCTION("""COMPUTED_VALUE"""),"0935 752 512")</f>
        <v>0935 752 512</v>
      </c>
      <c r="B2027" s="118" t="str">
        <f>IFERROR(__xludf.DUMMYFUNCTION("""COMPUTED_VALUE"""),"Nguyễn Thị Phương Uyên")</f>
        <v>Nguyễn Thị Phương Uyên</v>
      </c>
      <c r="C2027" s="118" t="str">
        <f>IFERROR(__xludf.DUMMYFUNCTION("""COMPUTED_VALUE"""),"34 Trương Thi - Đà Nẵng")</f>
        <v>34 Trương Thi - Đà Nẵng</v>
      </c>
      <c r="D2027" s="118" t="str">
        <f>IFERROR(__xludf.DUMMYFUNCTION("""COMPUTED_VALUE"""),"chó")</f>
        <v>chó</v>
      </c>
      <c r="E2027" s="118" t="str">
        <f>IFERROR(__xludf.DUMMYFUNCTION("""COMPUTED_VALUE"""),"Tam")</f>
        <v>Tam</v>
      </c>
    </row>
    <row r="2028" ht="15.75" customHeight="1">
      <c r="A2028" s="117" t="str">
        <f>IFERROR(__xludf.DUMMYFUNCTION("""COMPUTED_VALUE"""),"0934 859 856")</f>
        <v>0934 859 856</v>
      </c>
      <c r="B2028" s="118" t="str">
        <f>IFERROR(__xludf.DUMMYFUNCTION("""COMPUTED_VALUE"""),"Anh Luật")</f>
        <v>Anh Luật</v>
      </c>
      <c r="C2028" s="118" t="str">
        <f>IFERROR(__xludf.DUMMYFUNCTION("""COMPUTED_VALUE"""),"14/11/110 Kim Long ")</f>
        <v>14/11/110 Kim Long </v>
      </c>
      <c r="D2028" s="118" t="str">
        <f>IFERROR(__xludf.DUMMYFUNCTION("""COMPUTED_VALUE"""),"Mèo")</f>
        <v>Mèo</v>
      </c>
      <c r="E2028" s="118" t="str">
        <f>IFERROR(__xludf.DUMMYFUNCTION("""COMPUTED_VALUE"""),"Dương")</f>
        <v>Dương</v>
      </c>
    </row>
    <row r="2029" ht="15.75" customHeight="1">
      <c r="A2029" s="117" t="str">
        <f>IFERROR(__xludf.DUMMYFUNCTION("""COMPUTED_VALUE"""),"0845 440 019")</f>
        <v>0845 440 019</v>
      </c>
      <c r="B2029" s="118" t="str">
        <f>IFERROR(__xludf.DUMMYFUNCTION("""COMPUTED_VALUE"""),"Em Tuyền")</f>
        <v>Em Tuyền</v>
      </c>
      <c r="C2029" s="118" t="str">
        <f>IFERROR(__xludf.DUMMYFUNCTION("""COMPUTED_VALUE"""),"194 Ngô Đức Kế")</f>
        <v>194 Ngô Đức Kế</v>
      </c>
      <c r="D2029" s="118" t="str">
        <f>IFERROR(__xludf.DUMMYFUNCTION("""COMPUTED_VALUE"""),"chó")</f>
        <v>chó</v>
      </c>
      <c r="E2029" s="118" t="str">
        <f>IFERROR(__xludf.DUMMYFUNCTION("""COMPUTED_VALUE"""),"Moài")</f>
        <v>Moài</v>
      </c>
    </row>
    <row r="2030" ht="15.75" customHeight="1">
      <c r="A2030" s="117" t="str">
        <f>IFERROR(__xludf.DUMMYFUNCTION("""COMPUTED_VALUE"""),"0383 167 875")</f>
        <v>0383 167 875</v>
      </c>
      <c r="B2030" s="118" t="str">
        <f>IFERROR(__xludf.DUMMYFUNCTION("""COMPUTED_VALUE"""),"Chị Phương")</f>
        <v>Chị Phương</v>
      </c>
      <c r="C2030" s="118" t="str">
        <f>IFERROR(__xludf.DUMMYFUNCTION("""COMPUTED_VALUE"""),"11 Ngô Gia Tự")</f>
        <v>11 Ngô Gia Tự</v>
      </c>
      <c r="D2030" s="118" t="str">
        <f>IFERROR(__xludf.DUMMYFUNCTION("""COMPUTED_VALUE"""),"chó")</f>
        <v>chó</v>
      </c>
      <c r="E2030" s="119" t="str">
        <f>IFERROR(__xludf.DUMMYFUNCTION("""COMPUTED_VALUE"""),"bơ")</f>
        <v>bơ</v>
      </c>
    </row>
    <row r="2031" ht="15.75" customHeight="1">
      <c r="A2031" s="117" t="str">
        <f>IFERROR(__xludf.DUMMYFUNCTION("""COMPUTED_VALUE"""),"0706 145 119")</f>
        <v>0706 145 119</v>
      </c>
      <c r="B2031" s="118" t="str">
        <f>IFERROR(__xludf.DUMMYFUNCTION("""COMPUTED_VALUE"""),"Anh Kiệt")</f>
        <v>Anh Kiệt</v>
      </c>
      <c r="C2031" s="118" t="str">
        <f>IFERROR(__xludf.DUMMYFUNCTION("""COMPUTED_VALUE"""),"Thủy Bằng")</f>
        <v>Thủy Bằng</v>
      </c>
      <c r="D2031" s="118" t="str">
        <f>IFERROR(__xludf.DUMMYFUNCTION("""COMPUTED_VALUE"""),"mèo")</f>
        <v>mèo</v>
      </c>
      <c r="E2031" s="118"/>
    </row>
    <row r="2032" ht="15.75" customHeight="1">
      <c r="A2032" s="117" t="str">
        <f>IFERROR(__xludf.DUMMYFUNCTION("""COMPUTED_VALUE"""),"0935 677 608")</f>
        <v>0935 677 608</v>
      </c>
      <c r="B2032" s="118" t="str">
        <f>IFERROR(__xludf.DUMMYFUNCTION("""COMPUTED_VALUE"""),"Chị Hà")</f>
        <v>Chị Hà</v>
      </c>
      <c r="C2032" s="118" t="str">
        <f>IFERROR(__xludf.DUMMYFUNCTION("""COMPUTED_VALUE""")," Kiệt 50 Dương Thiệu Tước")</f>
        <v> Kiệt 50 Dương Thiệu Tước</v>
      </c>
      <c r="D2032" s="118" t="str">
        <f>IFERROR(__xludf.DUMMYFUNCTION("""COMPUTED_VALUE"""),"chó")</f>
        <v>chó</v>
      </c>
      <c r="E2032" s="118" t="str">
        <f>IFERROR(__xludf.DUMMYFUNCTION("""COMPUTED_VALUE"""),"Đào")</f>
        <v>Đào</v>
      </c>
    </row>
    <row r="2033" ht="15.75" customHeight="1">
      <c r="A2033" s="117" t="str">
        <f>IFERROR(__xludf.DUMMYFUNCTION("""COMPUTED_VALUE"""),"0935 170 888")</f>
        <v>0935 170 888</v>
      </c>
      <c r="B2033" s="118" t="str">
        <f>IFERROR(__xludf.DUMMYFUNCTION("""COMPUTED_VALUE"""),"Chị Linh")</f>
        <v>Chị Linh</v>
      </c>
      <c r="C2033" s="118" t="str">
        <f>IFERROR(__xludf.DUMMYFUNCTION("""COMPUTED_VALUE"""),"Hội An")</f>
        <v>Hội An</v>
      </c>
      <c r="D2033" s="118" t="str">
        <f>IFERROR(__xludf.DUMMYFUNCTION("""COMPUTED_VALUE"""),"chó")</f>
        <v>chó</v>
      </c>
      <c r="E2033" s="118" t="str">
        <f>IFERROR(__xludf.DUMMYFUNCTION("""COMPUTED_VALUE"""),"Bikini")</f>
        <v>Bikini</v>
      </c>
    </row>
    <row r="2034" ht="15.75" customHeight="1">
      <c r="A2034" s="117" t="str">
        <f>IFERROR(__xludf.DUMMYFUNCTION("""COMPUTED_VALUE"""),"0359 432 135")</f>
        <v>0359 432 135</v>
      </c>
      <c r="B2034" s="118" t="str">
        <f>IFERROR(__xludf.DUMMYFUNCTION("""COMPUTED_VALUE"""),"Anh Phong")</f>
        <v>Anh Phong</v>
      </c>
      <c r="C2034" s="118"/>
      <c r="D2034" s="118" t="str">
        <f>IFERROR(__xludf.DUMMYFUNCTION("""COMPUTED_VALUE"""),"Chó")</f>
        <v>Chó</v>
      </c>
      <c r="E2034" s="118" t="str">
        <f>IFERROR(__xludf.DUMMYFUNCTION("""COMPUTED_VALUE"""),"Subeo")</f>
        <v>Subeo</v>
      </c>
    </row>
    <row r="2035" ht="15.75" customHeight="1">
      <c r="A2035" s="117" t="str">
        <f>IFERROR(__xludf.DUMMYFUNCTION("""COMPUTED_VALUE"""),"0935 182 850")</f>
        <v>0935 182 850</v>
      </c>
      <c r="B2035" s="118" t="str">
        <f>IFERROR(__xludf.DUMMYFUNCTION("""COMPUTED_VALUE"""),"Minh Hạnh")</f>
        <v>Minh Hạnh</v>
      </c>
      <c r="C2035" s="118" t="str">
        <f>IFERROR(__xludf.DUMMYFUNCTION("""COMPUTED_VALUE"""),"28 Nguyễn Phúc Chu")</f>
        <v>28 Nguyễn Phúc Chu</v>
      </c>
      <c r="D2035" s="118" t="str">
        <f>IFERROR(__xludf.DUMMYFUNCTION("""COMPUTED_VALUE"""),"chó")</f>
        <v>chó</v>
      </c>
      <c r="E2035" s="118" t="str">
        <f>IFERROR(__xludf.DUMMYFUNCTION("""COMPUTED_VALUE"""),"bao")</f>
        <v>bao</v>
      </c>
    </row>
    <row r="2036" ht="15.75" customHeight="1">
      <c r="A2036" s="117" t="str">
        <f>IFERROR(__xludf.DUMMYFUNCTION("""COMPUTED_VALUE"""),"0934 837 241")</f>
        <v>0934 837 241</v>
      </c>
      <c r="B2036" s="118" t="str">
        <f>IFERROR(__xludf.DUMMYFUNCTION("""COMPUTED_VALUE"""),"Chị Huệ")</f>
        <v>Chị Huệ</v>
      </c>
      <c r="C2036" s="118" t="str">
        <f>IFERROR(__xludf.DUMMYFUNCTION("""COMPUTED_VALUE"""),"Phạm Thị Liên")</f>
        <v>Phạm Thị Liên</v>
      </c>
      <c r="D2036" s="118" t="str">
        <f>IFERROR(__xludf.DUMMYFUNCTION("""COMPUTED_VALUE"""),"chó")</f>
        <v>chó</v>
      </c>
      <c r="E2036" s="118" t="str">
        <f>IFERROR(__xludf.DUMMYFUNCTION("""COMPUTED_VALUE"""),"Sữa")</f>
        <v>Sữa</v>
      </c>
    </row>
    <row r="2037" ht="15.75" customHeight="1">
      <c r="A2037" s="117" t="str">
        <f>IFERROR(__xludf.DUMMYFUNCTION("""COMPUTED_VALUE"""),"0702 628 403")</f>
        <v>0702 628 403</v>
      </c>
      <c r="B2037" s="118" t="str">
        <f>IFERROR(__xludf.DUMMYFUNCTION("""COMPUTED_VALUE"""),"Cô Bích Hà")</f>
        <v>Cô Bích Hà</v>
      </c>
      <c r="C2037" s="118" t="str">
        <f>IFERROR(__xludf.DUMMYFUNCTION("""COMPUTED_VALUE"""),"Nguyễn Phúc Lan")</f>
        <v>Nguyễn Phúc Lan</v>
      </c>
      <c r="D2037" s="118" t="str">
        <f>IFERROR(__xludf.DUMMYFUNCTION("""COMPUTED_VALUE"""),"chó")</f>
        <v>chó</v>
      </c>
      <c r="E2037" s="118" t="str">
        <f>IFERROR(__xludf.DUMMYFUNCTION("""COMPUTED_VALUE"""),"Dâu tây")</f>
        <v>Dâu tây</v>
      </c>
    </row>
    <row r="2038" ht="15.75" customHeight="1">
      <c r="A2038" s="117" t="str">
        <f>IFERROR(__xludf.DUMMYFUNCTION("""COMPUTED_VALUE"""),"0708 141 156")</f>
        <v>0708 141 156</v>
      </c>
      <c r="B2038" s="118" t="str">
        <f>IFERROR(__xludf.DUMMYFUNCTION("""COMPUTED_VALUE"""),"Chị Diệp ")</f>
        <v>Chị Diệp </v>
      </c>
      <c r="C2038" s="118"/>
      <c r="D2038" s="118" t="str">
        <f>IFERROR(__xludf.DUMMYFUNCTION("""COMPUTED_VALUE"""),"chó")</f>
        <v>chó</v>
      </c>
      <c r="E2038" s="118" t="str">
        <f>IFERROR(__xludf.DUMMYFUNCTION("""COMPUTED_VALUE"""),"Nomi")</f>
        <v>Nomi</v>
      </c>
    </row>
    <row r="2039" ht="15.75" customHeight="1">
      <c r="A2039" s="117" t="str">
        <f>IFERROR(__xludf.DUMMYFUNCTION("""COMPUTED_VALUE"""),"0336 982 497")</f>
        <v>0336 982 497</v>
      </c>
      <c r="B2039" s="118" t="str">
        <f>IFERROR(__xludf.DUMMYFUNCTION("""COMPUTED_VALUE"""),"Anh Lê Trí")</f>
        <v>Anh Lê Trí</v>
      </c>
      <c r="C2039" s="118" t="str">
        <f>IFERROR(__xludf.DUMMYFUNCTION("""COMPUTED_VALUE"""),"Tổ 5 khu 3 Hương Sơ")</f>
        <v>Tổ 5 khu 3 Hương Sơ</v>
      </c>
      <c r="D2039" s="118" t="str">
        <f>IFERROR(__xludf.DUMMYFUNCTION("""COMPUTED_VALUE"""),"chó")</f>
        <v>chó</v>
      </c>
      <c r="E2039" s="118" t="str">
        <f>IFERROR(__xludf.DUMMYFUNCTION("""COMPUTED_VALUE"""),"Bu")</f>
        <v>Bu</v>
      </c>
    </row>
    <row r="2040" ht="15.75" customHeight="1">
      <c r="A2040" s="117" t="str">
        <f>IFERROR(__xludf.DUMMYFUNCTION("""COMPUTED_VALUE"""),"0785 598 910")</f>
        <v>0785 598 910</v>
      </c>
      <c r="B2040" s="118" t="str">
        <f>IFERROR(__xludf.DUMMYFUNCTION("""COMPUTED_VALUE"""),"Anh Huy")</f>
        <v>Anh Huy</v>
      </c>
      <c r="C2040" s="118" t="str">
        <f>IFERROR(__xludf.DUMMYFUNCTION("""COMPUTED_VALUE"""),"3a/54/ 131 Trần Phú")</f>
        <v>3a/54/ 131 Trần Phú</v>
      </c>
      <c r="D2040" s="118" t="str">
        <f>IFERROR(__xludf.DUMMYFUNCTION("""COMPUTED_VALUE"""),"chó")</f>
        <v>chó</v>
      </c>
      <c r="E2040" s="118" t="str">
        <f>IFERROR(__xludf.DUMMYFUNCTION("""COMPUTED_VALUE""")," Heo")</f>
        <v> Heo</v>
      </c>
    </row>
    <row r="2041" ht="15.75" customHeight="1">
      <c r="A2041" s="117" t="str">
        <f>IFERROR(__xludf.DUMMYFUNCTION("""COMPUTED_VALUE"""),"0352 019 194")</f>
        <v>0352 019 194</v>
      </c>
      <c r="B2041" s="118" t="str">
        <f>IFERROR(__xludf.DUMMYFUNCTION("""COMPUTED_VALUE"""),"Em Kiều")</f>
        <v>Em Kiều</v>
      </c>
      <c r="C2041" s="118" t="str">
        <f>IFERROR(__xludf.DUMMYFUNCTION("""COMPUTED_VALUE"""),"16/73 Nguyễn Hữu Cảnh")</f>
        <v>16/73 Nguyễn Hữu Cảnh</v>
      </c>
      <c r="D2041" s="118" t="str">
        <f>IFERROR(__xludf.DUMMYFUNCTION("""COMPUTED_VALUE"""),"mèo")</f>
        <v>mèo</v>
      </c>
      <c r="E2041" s="118" t="str">
        <f>IFERROR(__xludf.DUMMYFUNCTION("""COMPUTED_VALUE"""),"Sam")</f>
        <v>Sam</v>
      </c>
    </row>
    <row r="2042" ht="15.75" customHeight="1">
      <c r="A2042" s="117" t="str">
        <f>IFERROR(__xludf.DUMMYFUNCTION("""COMPUTED_VALUE"""),"0912 759 820")</f>
        <v>0912 759 820</v>
      </c>
      <c r="B2042" s="118" t="str">
        <f>IFERROR(__xludf.DUMMYFUNCTION("""COMPUTED_VALUE"""),"Em Thy")</f>
        <v>Em Thy</v>
      </c>
      <c r="C2042" s="118" t="str">
        <f>IFERROR(__xludf.DUMMYFUNCTION("""COMPUTED_VALUE"""),"5/69/131 Trần Phú")</f>
        <v>5/69/131 Trần Phú</v>
      </c>
      <c r="D2042" s="118" t="str">
        <f>IFERROR(__xludf.DUMMYFUNCTION("""COMPUTED_VALUE"""),"mèo")</f>
        <v>mèo</v>
      </c>
      <c r="E2042" s="118" t="str">
        <f>IFERROR(__xludf.DUMMYFUNCTION("""COMPUTED_VALUE""")," Sâu")</f>
        <v> Sâu</v>
      </c>
    </row>
    <row r="2043" ht="15.75" customHeight="1">
      <c r="A2043" s="117" t="str">
        <f>IFERROR(__xludf.DUMMYFUNCTION("""COMPUTED_VALUE"""),"0786 042 481")</f>
        <v>0786 042 481</v>
      </c>
      <c r="B2043" s="118" t="str">
        <f>IFERROR(__xludf.DUMMYFUNCTION("""COMPUTED_VALUE"""),"Xuân Lộc")</f>
        <v>Xuân Lộc</v>
      </c>
      <c r="C2043" s="118"/>
      <c r="D2043" s="118" t="str">
        <f>IFERROR(__xludf.DUMMYFUNCTION("""COMPUTED_VALUE"""),"mèo")</f>
        <v>mèo</v>
      </c>
      <c r="E2043" s="118" t="str">
        <f>IFERROR(__xludf.DUMMYFUNCTION("""COMPUTED_VALUE""")," Ổi")</f>
        <v> Ổi</v>
      </c>
    </row>
    <row r="2044" ht="15.75" customHeight="1">
      <c r="A2044" s="117" t="str">
        <f>IFERROR(__xludf.DUMMYFUNCTION("""COMPUTED_VALUE"""),"0379 072 101")</f>
        <v>0379 072 101</v>
      </c>
      <c r="B2044" s="118" t="str">
        <f>IFERROR(__xludf.DUMMYFUNCTION("""COMPUTED_VALUE"""),"Cô dung")</f>
        <v>Cô dung</v>
      </c>
      <c r="C2044" s="118" t="str">
        <f>IFERROR(__xludf.DUMMYFUNCTION("""COMPUTED_VALUE"""),"205 Trần phú")</f>
        <v>205 Trần phú</v>
      </c>
      <c r="D2044" s="118" t="str">
        <f>IFERROR(__xludf.DUMMYFUNCTION("""COMPUTED_VALUE""")," chó")</f>
        <v> chó</v>
      </c>
      <c r="E2044" s="118" t="str">
        <f>IFERROR(__xludf.DUMMYFUNCTION("""COMPUTED_VALUE""")," Mon")</f>
        <v> Mon</v>
      </c>
    </row>
    <row r="2045" ht="15.75" customHeight="1">
      <c r="A2045" s="117" t="str">
        <f>IFERROR(__xludf.DUMMYFUNCTION("""COMPUTED_VALUE"""),"0799 385 385")</f>
        <v>0799 385 385</v>
      </c>
      <c r="B2045" s="118" t="str">
        <f>IFERROR(__xludf.DUMMYFUNCTION("""COMPUTED_VALUE"""),"Anh Thắng")</f>
        <v>Anh Thắng</v>
      </c>
      <c r="C2045" s="118"/>
      <c r="D2045" s="118" t="str">
        <f>IFERROR(__xludf.DUMMYFUNCTION("""COMPUTED_VALUE"""),"chó")</f>
        <v>chó</v>
      </c>
      <c r="E2045" s="118" t="str">
        <f>IFERROR(__xludf.DUMMYFUNCTION("""COMPUTED_VALUE""")," fox")</f>
        <v> fox</v>
      </c>
    </row>
    <row r="2046" ht="15.75" customHeight="1">
      <c r="A2046" s="117" t="str">
        <f>IFERROR(__xludf.DUMMYFUNCTION("""COMPUTED_VALUE"""),"0935 939 321")</f>
        <v>0935 939 321</v>
      </c>
      <c r="B2046" s="118" t="str">
        <f>IFERROR(__xludf.DUMMYFUNCTION("""COMPUTED_VALUE"""),"Nguyễn Thanh Trà Giang")</f>
        <v>Nguyễn Thanh Trà Giang</v>
      </c>
      <c r="C2046" s="118" t="str">
        <f>IFERROR(__xludf.DUMMYFUNCTION("""COMPUTED_VALUE"""),"26 võ Liêm Sơn")</f>
        <v>26 võ Liêm Sơn</v>
      </c>
      <c r="D2046" s="118" t="str">
        <f>IFERROR(__xludf.DUMMYFUNCTION("""COMPUTED_VALUE"""),"chó ")</f>
        <v>chó </v>
      </c>
      <c r="E2046" s="118" t="str">
        <f>IFERROR(__xludf.DUMMYFUNCTION("""COMPUTED_VALUE"""),"lucky")</f>
        <v>lucky</v>
      </c>
    </row>
    <row r="2047" ht="15.75" customHeight="1">
      <c r="A2047" s="117" t="str">
        <f>IFERROR(__xludf.DUMMYFUNCTION("""COMPUTED_VALUE"""),"0382 685 542")</f>
        <v>0382 685 542</v>
      </c>
      <c r="B2047" s="118" t="str">
        <f>IFERROR(__xludf.DUMMYFUNCTION("""COMPUTED_VALUE"""),"Dì Hương")</f>
        <v>Dì Hương</v>
      </c>
      <c r="C2047" s="118" t="str">
        <f>IFERROR(__xludf.DUMMYFUNCTION("""COMPUTED_VALUE"""),"1/103 Xuân Diệu")</f>
        <v>1/103 Xuân Diệu</v>
      </c>
      <c r="D2047" s="118" t="str">
        <f>IFERROR(__xludf.DUMMYFUNCTION("""COMPUTED_VALUE"""),"chó  ")</f>
        <v>chó  </v>
      </c>
      <c r="E2047" s="118" t="str">
        <f>IFERROR(__xludf.DUMMYFUNCTION("""COMPUTED_VALUE"""),"May")</f>
        <v>May</v>
      </c>
    </row>
    <row r="2048" ht="15.75" customHeight="1">
      <c r="A2048" s="117" t="str">
        <f>IFERROR(__xludf.DUMMYFUNCTION("""COMPUTED_VALUE"""),"0935 731 588")</f>
        <v>0935 731 588</v>
      </c>
      <c r="B2048" s="118" t="str">
        <f>IFERROR(__xludf.DUMMYFUNCTION("""COMPUTED_VALUE"""),"Anh Thắng")</f>
        <v>Anh Thắng</v>
      </c>
      <c r="C2048" s="118" t="str">
        <f>IFERROR(__xludf.DUMMYFUNCTION("""COMPUTED_VALUE"""),"214 Ngự Bình")</f>
        <v>214 Ngự Bình</v>
      </c>
      <c r="D2048" s="118" t="str">
        <f>IFERROR(__xludf.DUMMYFUNCTION("""COMPUTED_VALUE"""),"chó")</f>
        <v>chó</v>
      </c>
      <c r="E2048" s="118" t="str">
        <f>IFERROR(__xludf.DUMMYFUNCTION("""COMPUTED_VALUE"""),"Na")</f>
        <v>Na</v>
      </c>
    </row>
    <row r="2049" ht="15.75" customHeight="1">
      <c r="A2049" s="117" t="str">
        <f>IFERROR(__xludf.DUMMYFUNCTION("""COMPUTED_VALUE"""),"0901 997 042")</f>
        <v>0901 997 042</v>
      </c>
      <c r="B2049" s="118" t="str">
        <f>IFERROR(__xludf.DUMMYFUNCTION("""COMPUTED_VALUE"""),"Anh Hiếu")</f>
        <v>Anh Hiếu</v>
      </c>
      <c r="C2049" s="118" t="str">
        <f>IFERROR(__xludf.DUMMYFUNCTION("""COMPUTED_VALUE"""),"5 Phạm Văn Đồng nối dài")</f>
        <v>5 Phạm Văn Đồng nối dài</v>
      </c>
      <c r="D2049" s="118" t="str">
        <f>IFERROR(__xludf.DUMMYFUNCTION("""COMPUTED_VALUE"""),"chó")</f>
        <v>chó</v>
      </c>
      <c r="E2049" s="118"/>
    </row>
    <row r="2050" ht="15.75" customHeight="1">
      <c r="A2050" s="117" t="str">
        <f>IFERROR(__xludf.DUMMYFUNCTION("""COMPUTED_VALUE"""),"0348 196 656")</f>
        <v>0348 196 656</v>
      </c>
      <c r="B2050" s="118" t="str">
        <f>IFERROR(__xludf.DUMMYFUNCTION("""COMPUTED_VALUE"""),"cát Ly")</f>
        <v>cát Ly</v>
      </c>
      <c r="C2050" s="118" t="str">
        <f>IFERROR(__xludf.DUMMYFUNCTION("""COMPUTED_VALUE"""),"Phú Thuận, Phú Vang")</f>
        <v>Phú Thuận, Phú Vang</v>
      </c>
      <c r="D2050" s="118" t="str">
        <f>IFERROR(__xludf.DUMMYFUNCTION("""COMPUTED_VALUE"""),"mèo")</f>
        <v>mèo</v>
      </c>
      <c r="E2050" s="118" t="str">
        <f>IFERROR(__xludf.DUMMYFUNCTION("""COMPUTED_VALUE"""),"Nem")</f>
        <v>Nem</v>
      </c>
    </row>
    <row r="2051" ht="15.75" customHeight="1">
      <c r="A2051" s="117" t="str">
        <f>IFERROR(__xludf.DUMMYFUNCTION("""COMPUTED_VALUE"""),"0784 452 829")</f>
        <v>0784 452 829</v>
      </c>
      <c r="B2051" s="118" t="str">
        <f>IFERROR(__xludf.DUMMYFUNCTION("""COMPUTED_VALUE"""),"Phương Nhi")</f>
        <v>Phương Nhi</v>
      </c>
      <c r="C2051" s="118" t="str">
        <f>IFERROR(__xludf.DUMMYFUNCTION("""COMPUTED_VALUE"""),"259 Phạm Văn Đồng")</f>
        <v>259 Phạm Văn Đồng</v>
      </c>
      <c r="D2051" s="118" t="str">
        <f>IFERROR(__xludf.DUMMYFUNCTION("""COMPUTED_VALUE"""),"chó")</f>
        <v>chó</v>
      </c>
      <c r="E2051" s="118" t="str">
        <f>IFERROR(__xludf.DUMMYFUNCTION("""COMPUTED_VALUE"""),"Sam")</f>
        <v>Sam</v>
      </c>
    </row>
    <row r="2052" ht="15.75" customHeight="1">
      <c r="A2052" s="117" t="str">
        <f>IFERROR(__xludf.DUMMYFUNCTION("""COMPUTED_VALUE"""),"0375 970 952")</f>
        <v>0375 970 952</v>
      </c>
      <c r="B2052" s="118" t="str">
        <f>IFERROR(__xludf.DUMMYFUNCTION("""COMPUTED_VALUE"""),"Chị Tâm")</f>
        <v>Chị Tâm</v>
      </c>
      <c r="C2052" s="118" t="str">
        <f>IFERROR(__xludf.DUMMYFUNCTION("""COMPUTED_VALUE"""),"Phú Mậu")</f>
        <v>Phú Mậu</v>
      </c>
      <c r="D2052" s="118" t="str">
        <f>IFERROR(__xludf.DUMMYFUNCTION("""COMPUTED_VALUE"""),"mèo")</f>
        <v>mèo</v>
      </c>
      <c r="E2052" s="118"/>
    </row>
    <row r="2053" ht="15.75" customHeight="1">
      <c r="A2053" s="117" t="str">
        <f>IFERROR(__xludf.DUMMYFUNCTION("""COMPUTED_VALUE"""),"0905 877 888")</f>
        <v>0905 877 888</v>
      </c>
      <c r="B2053" s="118" t="str">
        <f>IFERROR(__xludf.DUMMYFUNCTION("""COMPUTED_VALUE"""),"Nguyễn Thị Kim Anh")</f>
        <v>Nguyễn Thị Kim Anh</v>
      </c>
      <c r="C2053" s="118" t="str">
        <f>IFERROR(__xludf.DUMMYFUNCTION("""COMPUTED_VALUE"""),"38 Trần Nguyên Đán")</f>
        <v>38 Trần Nguyên Đán</v>
      </c>
      <c r="D2053" s="118" t="str">
        <f>IFERROR(__xludf.DUMMYFUNCTION("""COMPUTED_VALUE"""),"chó")</f>
        <v>chó</v>
      </c>
      <c r="E2053" s="118" t="str">
        <f>IFERROR(__xludf.DUMMYFUNCTION("""COMPUTED_VALUE"""),"Gấu")</f>
        <v>Gấu</v>
      </c>
    </row>
    <row r="2054" ht="15.75" customHeight="1">
      <c r="A2054" s="117" t="str">
        <f>IFERROR(__xludf.DUMMYFUNCTION("""COMPUTED_VALUE"""),"0344 873 604")</f>
        <v>0344 873 604</v>
      </c>
      <c r="B2054" s="118" t="str">
        <f>IFERROR(__xludf.DUMMYFUNCTION("""COMPUTED_VALUE"""),"Nha")</f>
        <v>Nha</v>
      </c>
      <c r="C2054" s="118" t="str">
        <f>IFERROR(__xludf.DUMMYFUNCTION("""COMPUTED_VALUE"""),"49A/27 Ngự Bình")</f>
        <v>49A/27 Ngự Bình</v>
      </c>
      <c r="D2054" s="118" t="str">
        <f>IFERROR(__xludf.DUMMYFUNCTION("""COMPUTED_VALUE"""),"mèo")</f>
        <v>mèo</v>
      </c>
      <c r="E2054" s="118" t="str">
        <f>IFERROR(__xludf.DUMMYFUNCTION("""COMPUTED_VALUE""")," Miu")</f>
        <v> Miu</v>
      </c>
    </row>
    <row r="2055" ht="15.75" customHeight="1">
      <c r="A2055" s="117" t="str">
        <f>IFERROR(__xludf.DUMMYFUNCTION("""COMPUTED_VALUE"""),"0914 303 659")</f>
        <v>0914 303 659</v>
      </c>
      <c r="B2055" s="118" t="str">
        <f>IFERROR(__xludf.DUMMYFUNCTION("""COMPUTED_VALUE"""),"Anh Long")</f>
        <v>Anh Long</v>
      </c>
      <c r="C2055" s="118" t="str">
        <f>IFERROR(__xludf.DUMMYFUNCTION("""COMPUTED_VALUE"""),"83 Lê Duẩn")</f>
        <v>83 Lê Duẩn</v>
      </c>
      <c r="D2055" s="118" t="str">
        <f>IFERROR(__xludf.DUMMYFUNCTION("""COMPUTED_VALUE"""),"Chó")</f>
        <v>Chó</v>
      </c>
      <c r="E2055" s="118" t="str">
        <f>IFERROR(__xludf.DUMMYFUNCTION("""COMPUTED_VALUE""")," Bò")</f>
        <v> Bò</v>
      </c>
    </row>
    <row r="2056" ht="15.75" customHeight="1">
      <c r="A2056" s="117" t="str">
        <f>IFERROR(__xludf.DUMMYFUNCTION("""COMPUTED_VALUE"""),"0383 348 685")</f>
        <v>0383 348 685</v>
      </c>
      <c r="B2056" s="118" t="str">
        <f>IFERROR(__xludf.DUMMYFUNCTION("""COMPUTED_VALUE"""),"Võ Quang Thắng")</f>
        <v>Võ Quang Thắng</v>
      </c>
      <c r="C2056" s="118" t="str">
        <f>IFERROR(__xludf.DUMMYFUNCTION("""COMPUTED_VALUE"""),"113 Điện Biên Phủ")</f>
        <v>113 Điện Biên Phủ</v>
      </c>
      <c r="D2056" s="118" t="str">
        <f>IFERROR(__xludf.DUMMYFUNCTION("""COMPUTED_VALUE"""),"mèo")</f>
        <v>mèo</v>
      </c>
      <c r="E2056" s="118" t="str">
        <f>IFERROR(__xludf.DUMMYFUNCTION("""COMPUTED_VALUE""")," Rơm")</f>
        <v> Rơm</v>
      </c>
    </row>
    <row r="2057" ht="15.75" customHeight="1">
      <c r="A2057" s="117" t="str">
        <f>IFERROR(__xludf.DUMMYFUNCTION("""COMPUTED_VALUE"""),"0858 065 727")</f>
        <v>0858 065 727</v>
      </c>
      <c r="B2057" s="118" t="str">
        <f>IFERROR(__xludf.DUMMYFUNCTION("""COMPUTED_VALUE"""),"Chị Nhỏ")</f>
        <v>Chị Nhỏ</v>
      </c>
      <c r="C2057" s="118" t="str">
        <f>IFERROR(__xludf.DUMMYFUNCTION("""COMPUTED_VALUE"""),"11 Ngự Bình")</f>
        <v>11 Ngự Bình</v>
      </c>
      <c r="D2057" s="118" t="str">
        <f>IFERROR(__xludf.DUMMYFUNCTION("""COMPUTED_VALUE""")," mèo ")</f>
        <v> mèo </v>
      </c>
      <c r="E2057" s="118"/>
    </row>
    <row r="2058" ht="15.75" customHeight="1">
      <c r="A2058" s="117" t="str">
        <f>IFERROR(__xludf.DUMMYFUNCTION("""COMPUTED_VALUE"""),"0835 510 099")</f>
        <v>0835 510 099</v>
      </c>
      <c r="B2058" s="118" t="str">
        <f>IFERROR(__xludf.DUMMYFUNCTION("""COMPUTED_VALUE"""),"Chị Trâm")</f>
        <v>Chị Trâm</v>
      </c>
      <c r="C2058" s="118" t="str">
        <f>IFERROR(__xludf.DUMMYFUNCTION("""COMPUTED_VALUE"""),"77 Phan Đăng Lưu")</f>
        <v>77 Phan Đăng Lưu</v>
      </c>
      <c r="D2058" s="118" t="str">
        <f>IFERROR(__xludf.DUMMYFUNCTION("""COMPUTED_VALUE"""),"chó ")</f>
        <v>chó </v>
      </c>
      <c r="E2058" s="118" t="str">
        <f>IFERROR(__xludf.DUMMYFUNCTION("""COMPUTED_VALUE""")," Micky")</f>
        <v> Micky</v>
      </c>
    </row>
    <row r="2059" ht="15.75" customHeight="1">
      <c r="A2059" s="117" t="str">
        <f>IFERROR(__xludf.DUMMYFUNCTION("""COMPUTED_VALUE"""),"0528 168 593")</f>
        <v>0528 168 593</v>
      </c>
      <c r="B2059" s="118" t="str">
        <f>IFERROR(__xludf.DUMMYFUNCTION("""COMPUTED_VALUE"""),"Nguyễn Nhật Lâm Chi")</f>
        <v>Nguyễn Nhật Lâm Chi</v>
      </c>
      <c r="C2059" s="118" t="str">
        <f>IFERROR(__xludf.DUMMYFUNCTION("""COMPUTED_VALUE"""),"k9/87 Lịch Đợi")</f>
        <v>k9/87 Lịch Đợi</v>
      </c>
      <c r="D2059" s="118" t="str">
        <f>IFERROR(__xludf.DUMMYFUNCTION("""COMPUTED_VALUE"""),"mèo")</f>
        <v>mèo</v>
      </c>
      <c r="E2059" s="118" t="str">
        <f>IFERROR(__xludf.DUMMYFUNCTION("""COMPUTED_VALUE""")," Neca")</f>
        <v> Neca</v>
      </c>
    </row>
    <row r="2060" ht="15.75" customHeight="1">
      <c r="A2060" s="117" t="str">
        <f>IFERROR(__xludf.DUMMYFUNCTION("""COMPUTED_VALUE"""),"0977 103 464")</f>
        <v>0977 103 464</v>
      </c>
      <c r="B2060" s="118" t="str">
        <f>IFERROR(__xludf.DUMMYFUNCTION("""COMPUTED_VALUE"""),"Chú Tiến")</f>
        <v>Chú Tiến</v>
      </c>
      <c r="C2060" s="118" t="str">
        <f>IFERROR(__xludf.DUMMYFUNCTION("""COMPUTED_VALUE"""),"255 Trần Phú")</f>
        <v>255 Trần Phú</v>
      </c>
      <c r="D2060" s="118" t="str">
        <f>IFERROR(__xludf.DUMMYFUNCTION("""COMPUTED_VALUE"""),"chó")</f>
        <v>chó</v>
      </c>
      <c r="E2060" s="118" t="str">
        <f>IFERROR(__xludf.DUMMYFUNCTION("""COMPUTED_VALUE"""),"Xoài")</f>
        <v>Xoài</v>
      </c>
    </row>
    <row r="2061" ht="15.75" customHeight="1">
      <c r="A2061" s="128" t="str">
        <f>IFERROR(__xludf.DUMMYFUNCTION("""COMPUTED_VALUE"""),"0383 903 306")</f>
        <v>0383 903 306</v>
      </c>
      <c r="B2061" s="127" t="str">
        <f>IFERROR(__xludf.DUMMYFUNCTION("""COMPUTED_VALUE"""),"Dì Phương")</f>
        <v>Dì Phương</v>
      </c>
      <c r="C2061" s="127" t="str">
        <f>IFERROR(__xludf.DUMMYFUNCTION("""COMPUTED_VALUE"""),"Phường thủy Xuân")</f>
        <v>Phường thủy Xuân</v>
      </c>
      <c r="D2061" s="127" t="str">
        <f>IFERROR(__xludf.DUMMYFUNCTION("""COMPUTED_VALUE"""),"mèo")</f>
        <v>mèo</v>
      </c>
      <c r="E2061" s="119" t="str">
        <f>IFERROR(__xludf.DUMMYFUNCTION("""COMPUTED_VALUE""")," Láo")</f>
        <v> Láo</v>
      </c>
    </row>
    <row r="2062" ht="15.75" customHeight="1">
      <c r="A2062" s="128" t="str">
        <f>IFERROR(__xludf.DUMMYFUNCTION("""COMPUTED_VALUE"""),"0935 173 851")</f>
        <v>0935 173 851</v>
      </c>
      <c r="B2062" s="127" t="str">
        <f>IFERROR(__xludf.DUMMYFUNCTION("""COMPUTED_VALUE"""),"Trang")</f>
        <v>Trang</v>
      </c>
      <c r="C2062" s="127" t="str">
        <f>IFERROR(__xludf.DUMMYFUNCTION("""COMPUTED_VALUE"""),"kiệt 245 Bùi thị Xuân")</f>
        <v>kiệt 245 Bùi thị Xuân</v>
      </c>
      <c r="D2062" s="127" t="str">
        <f>IFERROR(__xludf.DUMMYFUNCTION("""COMPUTED_VALUE"""),"chó")</f>
        <v>chó</v>
      </c>
      <c r="E2062" s="127" t="str">
        <f>IFERROR(__xludf.DUMMYFUNCTION("""COMPUTED_VALUE""")," Đen")</f>
        <v> Đen</v>
      </c>
    </row>
    <row r="2063" ht="15.75" customHeight="1">
      <c r="A2063" s="128" t="str">
        <f>IFERROR(__xludf.DUMMYFUNCTION("""COMPUTED_VALUE"""),"0867 931 426")</f>
        <v>0867 931 426</v>
      </c>
      <c r="B2063" s="127" t="str">
        <f>IFERROR(__xludf.DUMMYFUNCTION("""COMPUTED_VALUE"""),"Thùy Dương")</f>
        <v>Thùy Dương</v>
      </c>
      <c r="C2063" s="127" t="str">
        <f>IFERROR(__xludf.DUMMYFUNCTION("""COMPUTED_VALUE"""),"10B/ 82 Quảng Tế")</f>
        <v>10B/ 82 Quảng Tế</v>
      </c>
      <c r="D2063" s="127" t="str">
        <f>IFERROR(__xludf.DUMMYFUNCTION("""COMPUTED_VALUE"""),"mèo")</f>
        <v>mèo</v>
      </c>
      <c r="E2063" s="127" t="str">
        <f>IFERROR(__xludf.DUMMYFUNCTION("""COMPUTED_VALUE""")," Mi")</f>
        <v> Mi</v>
      </c>
    </row>
    <row r="2064" ht="15.75" customHeight="1">
      <c r="A2064" s="128" t="str">
        <f>IFERROR(__xludf.DUMMYFUNCTION("""COMPUTED_VALUE"""),"0965 890 713")</f>
        <v>0965 890 713</v>
      </c>
      <c r="B2064" s="127" t="str">
        <f>IFERROR(__xludf.DUMMYFUNCTION("""COMPUTED_VALUE"""),"Anh Tài")</f>
        <v>Anh Tài</v>
      </c>
      <c r="C2064" s="127" t="str">
        <f>IFERROR(__xludf.DUMMYFUNCTION("""COMPUTED_VALUE""")," Phú Thượng")</f>
        <v> Phú Thượng</v>
      </c>
      <c r="D2064" s="127" t="str">
        <f>IFERROR(__xludf.DUMMYFUNCTION("""COMPUTED_VALUE"""),"chó")</f>
        <v>chó</v>
      </c>
      <c r="E2064" s="127" t="str">
        <f>IFERROR(__xludf.DUMMYFUNCTION("""COMPUTED_VALUE"""),",")</f>
        <v>,</v>
      </c>
    </row>
    <row r="2065" ht="15.75" customHeight="1">
      <c r="A2065" s="128" t="str">
        <f>IFERROR(__xludf.DUMMYFUNCTION("""COMPUTED_VALUE"""),"0981 199 045")</f>
        <v>0981 199 045</v>
      </c>
      <c r="B2065" s="127" t="str">
        <f>IFERROR(__xludf.DUMMYFUNCTION("""COMPUTED_VALUE"""),"Anh Thanh Bùi")</f>
        <v>Anh Thanh Bùi</v>
      </c>
      <c r="C2065" s="127" t="str">
        <f>IFERROR(__xludf.DUMMYFUNCTION("""COMPUTED_VALUE""")," Hương Phong")</f>
        <v> Hương Phong</v>
      </c>
      <c r="D2065" s="127" t="str">
        <f>IFERROR(__xludf.DUMMYFUNCTION("""COMPUTED_VALUE"""),"chó")</f>
        <v>chó</v>
      </c>
      <c r="E2065" s="127" t="str">
        <f>IFERROR(__xludf.DUMMYFUNCTION("""COMPUTED_VALUE""")," Gấu")</f>
        <v> Gấu</v>
      </c>
    </row>
    <row r="2066" ht="15.75" customHeight="1">
      <c r="A2066" s="128" t="str">
        <f>IFERROR(__xludf.DUMMYFUNCTION("""COMPUTED_VALUE"""),"0795 528 486")</f>
        <v>0795 528 486</v>
      </c>
      <c r="B2066" s="127" t="str">
        <f>IFERROR(__xludf.DUMMYFUNCTION("""COMPUTED_VALUE"""),"Anh Tuấn")</f>
        <v>Anh Tuấn</v>
      </c>
      <c r="C2066" s="127" t="str">
        <f>IFERROR(__xludf.DUMMYFUNCTION("""COMPUTED_VALUE"""),"266 Phan Chu Trinh")</f>
        <v>266 Phan Chu Trinh</v>
      </c>
      <c r="D2066" s="127" t="str">
        <f>IFERROR(__xludf.DUMMYFUNCTION("""COMPUTED_VALUE"""),"chó")</f>
        <v>chó</v>
      </c>
      <c r="E2066" s="127" t="str">
        <f>IFERROR(__xludf.DUMMYFUNCTION("""COMPUTED_VALUE"""),"Đen")</f>
        <v>Đen</v>
      </c>
    </row>
    <row r="2067" ht="15.75" customHeight="1">
      <c r="A2067" s="128" t="str">
        <f>IFERROR(__xludf.DUMMYFUNCTION("""COMPUTED_VALUE"""),"0823 994 479")</f>
        <v>0823 994 479</v>
      </c>
      <c r="B2067" s="127" t="str">
        <f>IFERROR(__xludf.DUMMYFUNCTION("""COMPUTED_VALUE"""),"Chị Thi")</f>
        <v>Chị Thi</v>
      </c>
      <c r="C2067" s="127"/>
      <c r="D2067" s="127" t="str">
        <f>IFERROR(__xludf.DUMMYFUNCTION("""COMPUTED_VALUE"""),"chó")</f>
        <v>chó</v>
      </c>
      <c r="E2067" s="127"/>
    </row>
    <row r="2068" ht="15.75" customHeight="1">
      <c r="A2068" s="128" t="str">
        <f>IFERROR(__xludf.DUMMYFUNCTION("""COMPUTED_VALUE"""),"0393 699 196")</f>
        <v>0393 699 196</v>
      </c>
      <c r="B2068" s="127" t="str">
        <f>IFERROR(__xludf.DUMMYFUNCTION("""COMPUTED_VALUE"""),"Chị Chi")</f>
        <v>Chị Chi</v>
      </c>
      <c r="C2068" s="127" t="str">
        <f>IFERROR(__xludf.DUMMYFUNCTION("""COMPUTED_VALUE"""),"Phạm Thị Liên")</f>
        <v>Phạm Thị Liên</v>
      </c>
      <c r="D2068" s="127" t="str">
        <f>IFERROR(__xludf.DUMMYFUNCTION("""COMPUTED_VALUE"""),"chó")</f>
        <v>chó</v>
      </c>
      <c r="E2068" s="127" t="str">
        <f>IFERROR(__xludf.DUMMYFUNCTION("""COMPUTED_VALUE"""),"Ớt")</f>
        <v>Ớt</v>
      </c>
    </row>
    <row r="2069" ht="15.75" customHeight="1">
      <c r="A2069" s="128" t="str">
        <f>IFERROR(__xludf.DUMMYFUNCTION("""COMPUTED_VALUE"""),"0352 761 554")</f>
        <v>0352 761 554</v>
      </c>
      <c r="B2069" s="127" t="str">
        <f>IFERROR(__xludf.DUMMYFUNCTION("""COMPUTED_VALUE"""),"Chị Hoa")</f>
        <v>Chị Hoa</v>
      </c>
      <c r="C2069" s="127" t="str">
        <f>IFERROR(__xludf.DUMMYFUNCTION("""COMPUTED_VALUE"""),"Phong Điền")</f>
        <v>Phong Điền</v>
      </c>
      <c r="D2069" s="127" t="str">
        <f>IFERROR(__xludf.DUMMYFUNCTION("""COMPUTED_VALUE"""),"chó")</f>
        <v>chó</v>
      </c>
      <c r="E2069" s="127" t="str">
        <f>IFERROR(__xludf.DUMMYFUNCTION("""COMPUTED_VALUE"""),"Nâu")</f>
        <v>Nâu</v>
      </c>
    </row>
    <row r="2070" ht="15.75" customHeight="1">
      <c r="A2070" s="128" t="str">
        <f>IFERROR(__xludf.DUMMYFUNCTION("""COMPUTED_VALUE"""),"0364 450 592")</f>
        <v>0364 450 592</v>
      </c>
      <c r="B2070" s="127" t="str">
        <f>IFERROR(__xludf.DUMMYFUNCTION("""COMPUTED_VALUE"""),"Lan Trinh")</f>
        <v>Lan Trinh</v>
      </c>
      <c r="C2070" s="127" t="str">
        <f>IFERROR(__xludf.DUMMYFUNCTION("""COMPUTED_VALUE"""),"97/17 Phạm Thị Liên")</f>
        <v>97/17 Phạm Thị Liên</v>
      </c>
      <c r="D2070" s="127" t="str">
        <f>IFERROR(__xludf.DUMMYFUNCTION("""COMPUTED_VALUE"""),"chó")</f>
        <v>chó</v>
      </c>
      <c r="E2070" s="127" t="str">
        <f>IFERROR(__xludf.DUMMYFUNCTION("""COMPUTED_VALUE"""),"Co Co")</f>
        <v>Co Co</v>
      </c>
    </row>
    <row r="2071" ht="15.75" customHeight="1">
      <c r="A2071" s="128" t="str">
        <f>IFERROR(__xludf.DUMMYFUNCTION("""COMPUTED_VALUE"""),"0912 765 750")</f>
        <v>0912 765 750</v>
      </c>
      <c r="B2071" s="127" t="str">
        <f>IFERROR(__xludf.DUMMYFUNCTION("""COMPUTED_VALUE"""),"ANh Thuần")</f>
        <v>ANh Thuần</v>
      </c>
      <c r="C2071" s="127" t="str">
        <f>IFERROR(__xludf.DUMMYFUNCTION("""COMPUTED_VALUE"""),"87 Nguyễn Phúc Lan")</f>
        <v>87 Nguyễn Phúc Lan</v>
      </c>
      <c r="D2071" s="127" t="str">
        <f>IFERROR(__xludf.DUMMYFUNCTION("""COMPUTED_VALUE"""),"mèo")</f>
        <v>mèo</v>
      </c>
      <c r="E2071" s="127" t="str">
        <f>IFERROR(__xludf.DUMMYFUNCTION("""COMPUTED_VALUE"""),"Mun")</f>
        <v>Mun</v>
      </c>
    </row>
    <row r="2072" ht="15.75" customHeight="1">
      <c r="A2072" s="128" t="str">
        <f>IFERROR(__xludf.DUMMYFUNCTION("""COMPUTED_VALUE"""),"0339 713 699")</f>
        <v>0339 713 699</v>
      </c>
      <c r="B2072" s="127" t="str">
        <f>IFERROR(__xludf.DUMMYFUNCTION("""COMPUTED_VALUE"""),"Anh Hiệp")</f>
        <v>Anh Hiệp</v>
      </c>
      <c r="C2072" s="127" t="str">
        <f>IFERROR(__xludf.DUMMYFUNCTION("""COMPUTED_VALUE"""),"91/131 trần Phú")</f>
        <v>91/131 trần Phú</v>
      </c>
      <c r="D2072" s="127" t="str">
        <f>IFERROR(__xludf.DUMMYFUNCTION("""COMPUTED_VALUE"""),"chó")</f>
        <v>chó</v>
      </c>
      <c r="E2072" s="127" t="str">
        <f>IFERROR(__xludf.DUMMYFUNCTION("""COMPUTED_VALUE"""),"kiến")</f>
        <v>kiến</v>
      </c>
    </row>
    <row r="2073" ht="15.75" customHeight="1">
      <c r="A2073" s="128" t="str">
        <f>IFERROR(__xludf.DUMMYFUNCTION("""COMPUTED_VALUE"""),"0963 112 077")</f>
        <v>0963 112 077</v>
      </c>
      <c r="B2073" s="127" t="str">
        <f>IFERROR(__xludf.DUMMYFUNCTION("""COMPUTED_VALUE"""),"Hằng")</f>
        <v>Hằng</v>
      </c>
      <c r="C2073" s="127" t="str">
        <f>IFERROR(__xludf.DUMMYFUNCTION("""COMPUTED_VALUE"""),"113 Điện biên phủ")</f>
        <v>113 Điện biên phủ</v>
      </c>
      <c r="D2073" s="127" t="str">
        <f>IFERROR(__xludf.DUMMYFUNCTION("""COMPUTED_VALUE"""),"chó")</f>
        <v>chó</v>
      </c>
      <c r="E2073" s="127" t="str">
        <f>IFERROR(__xludf.DUMMYFUNCTION("""COMPUTED_VALUE"""),"Rơm")</f>
        <v>Rơm</v>
      </c>
    </row>
    <row r="2074" ht="15.75" customHeight="1">
      <c r="A2074" s="128" t="str">
        <f>IFERROR(__xludf.DUMMYFUNCTION("""COMPUTED_VALUE"""),"0964 454 215")</f>
        <v>0964 454 215</v>
      </c>
      <c r="B2074" s="127" t="str">
        <f>IFERROR(__xludf.DUMMYFUNCTION("""COMPUTED_VALUE"""),"Ngọc")</f>
        <v>Ngọc</v>
      </c>
      <c r="C2074" s="127" t="str">
        <f>IFERROR(__xludf.DUMMYFUNCTION("""COMPUTED_VALUE"""),"k27 kênh nhơn bầu vá")</f>
        <v>k27 kênh nhơn bầu vá</v>
      </c>
      <c r="D2074" s="127" t="str">
        <f>IFERROR(__xludf.DUMMYFUNCTION("""COMPUTED_VALUE"""),"chó")</f>
        <v>chó</v>
      </c>
      <c r="E2074" s="127" t="str">
        <f>IFERROR(__xludf.DUMMYFUNCTION("""COMPUTED_VALUE"""),"bơ")</f>
        <v>bơ</v>
      </c>
    </row>
    <row r="2075" ht="15.75" customHeight="1">
      <c r="A2075" s="117" t="str">
        <f>IFERROR(__xludf.DUMMYFUNCTION("""COMPUTED_VALUE"""),"0935 779 077")</f>
        <v>0935 779 077</v>
      </c>
      <c r="B2075" s="118" t="str">
        <f>IFERROR(__xludf.DUMMYFUNCTION("""COMPUTED_VALUE"""),"Anh Ý")</f>
        <v>Anh Ý</v>
      </c>
      <c r="C2075" s="118" t="str">
        <f>IFERROR(__xludf.DUMMYFUNCTION("""COMPUTED_VALUE"""),"55 huyền Trân Công Chúa")</f>
        <v>55 huyền Trân Công Chúa</v>
      </c>
      <c r="D2075" s="118" t="str">
        <f>IFERROR(__xludf.DUMMYFUNCTION("""COMPUTED_VALUE"""),"chó")</f>
        <v>chó</v>
      </c>
      <c r="E2075" s="119" t="str">
        <f>IFERROR(__xludf.DUMMYFUNCTION("""COMPUTED_VALUE"""),"lu")</f>
        <v>lu</v>
      </c>
    </row>
    <row r="2076" ht="15.75" customHeight="1">
      <c r="A2076" s="117" t="str">
        <f>IFERROR(__xludf.DUMMYFUNCTION("""COMPUTED_VALUE"""),"0357 170 143")</f>
        <v>0357 170 143</v>
      </c>
      <c r="B2076" s="118" t="str">
        <f>IFERROR(__xludf.DUMMYFUNCTION("""COMPUTED_VALUE"""),"Khánh Huyền")</f>
        <v>Khánh Huyền</v>
      </c>
      <c r="C2076" s="118" t="str">
        <f>IFERROR(__xludf.DUMMYFUNCTION("""COMPUTED_VALUE"""),"42/89 Duy Tân")</f>
        <v>42/89 Duy Tân</v>
      </c>
      <c r="D2076" s="118" t="str">
        <f>IFERROR(__xludf.DUMMYFUNCTION("""COMPUTED_VALUE"""),"chó")</f>
        <v>chó</v>
      </c>
      <c r="E2076" s="119" t="str">
        <f>IFERROR(__xludf.DUMMYFUNCTION("""COMPUTED_VALUE"""),"mon")</f>
        <v>mon</v>
      </c>
    </row>
    <row r="2077" ht="15.75" customHeight="1">
      <c r="A2077" s="117" t="str">
        <f>IFERROR(__xludf.DUMMYFUNCTION("""COMPUTED_VALUE"""),"0935 560 509")</f>
        <v>0935 560 509</v>
      </c>
      <c r="B2077" s="118" t="str">
        <f>IFERROR(__xludf.DUMMYFUNCTION("""COMPUTED_VALUE"""),"Bảo Quốc")</f>
        <v>Bảo Quốc</v>
      </c>
      <c r="C2077" s="118" t="str">
        <f>IFERROR(__xludf.DUMMYFUNCTION("""COMPUTED_VALUE"""),"10/20/88 Thiên Thai")</f>
        <v>10/20/88 Thiên Thai</v>
      </c>
      <c r="D2077" s="118" t="str">
        <f>IFERROR(__xludf.DUMMYFUNCTION("""COMPUTED_VALUE"""),"Chó")</f>
        <v>Chó</v>
      </c>
      <c r="E2077" s="118" t="str">
        <f>IFERROR(__xludf.DUMMYFUNCTION("""COMPUTED_VALUE"""),"Bi")</f>
        <v>Bi</v>
      </c>
    </row>
    <row r="2078" ht="15.75" customHeight="1">
      <c r="A2078" s="117" t="str">
        <f>IFERROR(__xludf.DUMMYFUNCTION("""COMPUTED_VALUE"""),"0901 171 029")</f>
        <v>0901 171 029</v>
      </c>
      <c r="B2078" s="118" t="str">
        <f>IFERROR(__xludf.DUMMYFUNCTION("""COMPUTED_VALUE"""),"Anh Phong")</f>
        <v>Anh Phong</v>
      </c>
      <c r="C2078" s="118" t="str">
        <f>IFERROR(__xludf.DUMMYFUNCTION("""COMPUTED_VALUE"""),"1B Thanh Hải")</f>
        <v>1B Thanh Hải</v>
      </c>
      <c r="D2078" s="118" t="str">
        <f>IFERROR(__xludf.DUMMYFUNCTION("""COMPUTED_VALUE"""),"Chó")</f>
        <v>Chó</v>
      </c>
      <c r="E2078" s="118"/>
    </row>
    <row r="2079" ht="15.75" customHeight="1">
      <c r="A2079" s="117" t="str">
        <f>IFERROR(__xludf.DUMMYFUNCTION("""COMPUTED_VALUE"""),"0935 123 426")</f>
        <v>0935 123 426</v>
      </c>
      <c r="B2079" s="118" t="str">
        <f>IFERROR(__xludf.DUMMYFUNCTION("""COMPUTED_VALUE"""),"Ngọc Bích")</f>
        <v>Ngọc Bích</v>
      </c>
      <c r="C2079" s="118" t="str">
        <f>IFERROR(__xludf.DUMMYFUNCTION("""COMPUTED_VALUE"""),"5/33 Chế Lan Viên")</f>
        <v>5/33 Chế Lan Viên</v>
      </c>
      <c r="D2079" s="118" t="str">
        <f>IFERROR(__xludf.DUMMYFUNCTION("""COMPUTED_VALUE"""),"Chó")</f>
        <v>Chó</v>
      </c>
      <c r="E2079" s="118" t="str">
        <f>IFERROR(__xludf.DUMMYFUNCTION("""COMPUTED_VALUE"""),"cua")</f>
        <v>cua</v>
      </c>
    </row>
    <row r="2080" ht="15.75" customHeight="1">
      <c r="A2080" s="117" t="str">
        <f>IFERROR(__xludf.DUMMYFUNCTION("""COMPUTED_VALUE"""),"0377 422 087")</f>
        <v>0377 422 087</v>
      </c>
      <c r="B2080" s="118" t="str">
        <f>IFERROR(__xludf.DUMMYFUNCTION("""COMPUTED_VALUE"""),"Thảo")</f>
        <v>Thảo</v>
      </c>
      <c r="C2080" s="118" t="str">
        <f>IFERROR(__xludf.DUMMYFUNCTION("""COMPUTED_VALUE"""),"17 Lê Ngô Cát")</f>
        <v>17 Lê Ngô Cát</v>
      </c>
      <c r="D2080" s="118" t="str">
        <f>IFERROR(__xludf.DUMMYFUNCTION("""COMPUTED_VALUE"""),"Chó")</f>
        <v>Chó</v>
      </c>
      <c r="E2080" s="118" t="str">
        <f>IFERROR(__xludf.DUMMYFUNCTION("""COMPUTED_VALUE"""),"Gạo")</f>
        <v>Gạo</v>
      </c>
    </row>
    <row r="2081" ht="15.75" customHeight="1">
      <c r="A2081" s="117" t="str">
        <f>IFERROR(__xludf.DUMMYFUNCTION("""COMPUTED_VALUE"""),"0905 260 705")</f>
        <v>0905 260 705</v>
      </c>
      <c r="B2081" s="118" t="str">
        <f>IFERROR(__xludf.DUMMYFUNCTION("""COMPUTED_VALUE"""),"Chị Loan")</f>
        <v>Chị Loan</v>
      </c>
      <c r="C2081" s="118"/>
      <c r="D2081" s="118" t="str">
        <f>IFERROR(__xludf.DUMMYFUNCTION("""COMPUTED_VALUE"""),"chó")</f>
        <v>chó</v>
      </c>
      <c r="E2081" s="118"/>
    </row>
    <row r="2082" ht="15.75" customHeight="1">
      <c r="A2082" s="117" t="str">
        <f>IFERROR(__xludf.DUMMYFUNCTION("""COMPUTED_VALUE"""),"0363 536 593")</f>
        <v>0363 536 593</v>
      </c>
      <c r="B2082" s="118" t="str">
        <f>IFERROR(__xludf.DUMMYFUNCTION("""COMPUTED_VALUE"""),"Le thị Kiều Trinh")</f>
        <v>Le thị Kiều Trinh</v>
      </c>
      <c r="C2082" s="118" t="str">
        <f>IFERROR(__xludf.DUMMYFUNCTION("""COMPUTED_VALUE"""),"Phong An- Phong Điền")</f>
        <v>Phong An- Phong Điền</v>
      </c>
      <c r="D2082" s="118" t="str">
        <f>IFERROR(__xludf.DUMMYFUNCTION("""COMPUTED_VALUE""")," mèo")</f>
        <v> mèo</v>
      </c>
      <c r="E2082" s="119" t="str">
        <f>IFERROR(__xludf.DUMMYFUNCTION("""COMPUTED_VALUE""")," Cau")</f>
        <v> Cau</v>
      </c>
    </row>
    <row r="2083" ht="15.75" customHeight="1">
      <c r="A2083" s="117" t="str">
        <f>IFERROR(__xludf.DUMMYFUNCTION("""COMPUTED_VALUE"""),"0905 330 892")</f>
        <v>0905 330 892</v>
      </c>
      <c r="B2083" s="118" t="str">
        <f>IFERROR(__xludf.DUMMYFUNCTION("""COMPUTED_VALUE"""),"Hồng Hạnh")</f>
        <v>Hồng Hạnh</v>
      </c>
      <c r="C2083" s="118" t="str">
        <f>IFERROR(__xludf.DUMMYFUNCTION("""COMPUTED_VALUE"""),"1/8/254 Phan Chu Trinh")</f>
        <v>1/8/254 Phan Chu Trinh</v>
      </c>
      <c r="D2083" s="118" t="str">
        <f>IFERROR(__xludf.DUMMYFUNCTION("""COMPUTED_VALUE"""),"Chó")</f>
        <v>Chó</v>
      </c>
      <c r="E2083" s="118" t="str">
        <f>IFERROR(__xludf.DUMMYFUNCTION("""COMPUTED_VALUE"""),"Mol")</f>
        <v>Mol</v>
      </c>
    </row>
    <row r="2084" ht="15.75" customHeight="1">
      <c r="A2084" s="117" t="str">
        <f>IFERROR(__xludf.DUMMYFUNCTION("""COMPUTED_VALUE"""),"0812 874 624")</f>
        <v>0812 874 624</v>
      </c>
      <c r="B2084" s="118" t="str">
        <f>IFERROR(__xludf.DUMMYFUNCTION("""COMPUTED_VALUE"""),"Linh Đan")</f>
        <v>Linh Đan</v>
      </c>
      <c r="C2084" s="118" t="str">
        <f>IFERROR(__xludf.DUMMYFUNCTION("""COMPUTED_VALUE"""),"KQH Hói sen ")</f>
        <v>KQH Hói sen </v>
      </c>
      <c r="D2084" s="118" t="str">
        <f>IFERROR(__xludf.DUMMYFUNCTION("""COMPUTED_VALUE"""),"Chó")</f>
        <v>Chó</v>
      </c>
      <c r="E2084" s="118" t="str">
        <f>IFERROR(__xludf.DUMMYFUNCTION("""COMPUTED_VALUE"""),"beo")</f>
        <v>beo</v>
      </c>
    </row>
    <row r="2085" ht="15.75" customHeight="1">
      <c r="A2085" s="117" t="str">
        <f>IFERROR(__xludf.DUMMYFUNCTION("""COMPUTED_VALUE"""),"0368 995 380")</f>
        <v>0368 995 380</v>
      </c>
      <c r="B2085" s="118" t="str">
        <f>IFERROR(__xludf.DUMMYFUNCTION("""COMPUTED_VALUE"""),"Chị Lan")</f>
        <v>Chị Lan</v>
      </c>
      <c r="C2085" s="118" t="str">
        <f>IFERROR(__xludf.DUMMYFUNCTION("""COMPUTED_VALUE"""),"25 xóm 1 Ngọc Anh")</f>
        <v>25 xóm 1 Ngọc Anh</v>
      </c>
      <c r="D2085" s="118" t="str">
        <f>IFERROR(__xludf.DUMMYFUNCTION("""COMPUTED_VALUE"""),"chó")</f>
        <v>chó</v>
      </c>
      <c r="E2085" s="118" t="str">
        <f>IFERROR(__xludf.DUMMYFUNCTION("""COMPUTED_VALUE"""),"Ky")</f>
        <v>Ky</v>
      </c>
    </row>
    <row r="2086" ht="15.75" customHeight="1">
      <c r="A2086" s="117" t="str">
        <f>IFERROR(__xludf.DUMMYFUNCTION("""COMPUTED_VALUE"""),"0975 449 681")</f>
        <v>0975 449 681</v>
      </c>
      <c r="B2086" s="118" t="str">
        <f>IFERROR(__xludf.DUMMYFUNCTION("""COMPUTED_VALUE"""),"Đỗ Sỉ Dỉnh")</f>
        <v>Đỗ Sỉ Dỉnh</v>
      </c>
      <c r="C2086" s="118" t="str">
        <f>IFERROR(__xludf.DUMMYFUNCTION("""COMPUTED_VALUE"""),"45 Chi Lăng")</f>
        <v>45 Chi Lăng</v>
      </c>
      <c r="D2086" s="118" t="str">
        <f>IFERROR(__xludf.DUMMYFUNCTION("""COMPUTED_VALUE"""),"chó")</f>
        <v>chó</v>
      </c>
      <c r="E2086" s="118" t="str">
        <f>IFERROR(__xludf.DUMMYFUNCTION("""COMPUTED_VALUE"""),"Vàng")</f>
        <v>Vàng</v>
      </c>
    </row>
    <row r="2087" ht="15.75" customHeight="1">
      <c r="A2087" s="117" t="str">
        <f>IFERROR(__xludf.DUMMYFUNCTION("""COMPUTED_VALUE"""),"0927 441 476")</f>
        <v>0927 441 476</v>
      </c>
      <c r="B2087" s="118" t="str">
        <f>IFERROR(__xludf.DUMMYFUNCTION("""COMPUTED_VALUE"""),"ANh Hiếu")</f>
        <v>ANh Hiếu</v>
      </c>
      <c r="C2087" s="118" t="str">
        <f>IFERROR(__xludf.DUMMYFUNCTION("""COMPUTED_VALUE"""),"F5 Hương Sơ")</f>
        <v>F5 Hương Sơ</v>
      </c>
      <c r="D2087" s="118" t="str">
        <f>IFERROR(__xludf.DUMMYFUNCTION("""COMPUTED_VALUE"""),"chó")</f>
        <v>chó</v>
      </c>
      <c r="E2087" s="118" t="str">
        <f>IFERROR(__xludf.DUMMYFUNCTION("""COMPUTED_VALUE"""),"Gold")</f>
        <v>Gold</v>
      </c>
    </row>
    <row r="2088" ht="15.75" customHeight="1">
      <c r="A2088" s="117" t="str">
        <f>IFERROR(__xludf.DUMMYFUNCTION("""COMPUTED_VALUE"""),"0855 003 059")</f>
        <v>0855 003 059</v>
      </c>
      <c r="B2088" s="118" t="str">
        <f>IFERROR(__xludf.DUMMYFUNCTION("""COMPUTED_VALUE"""),"Cô Bạch Tây")</f>
        <v>Cô Bạch Tây</v>
      </c>
      <c r="C2088" s="118" t="str">
        <f>IFERROR(__xludf.DUMMYFUNCTION("""COMPUTED_VALUE"""),"04 Nguyễn Phúc Nguyên")</f>
        <v>04 Nguyễn Phúc Nguyên</v>
      </c>
      <c r="D2088" s="118" t="str">
        <f>IFERROR(__xludf.DUMMYFUNCTION("""COMPUTED_VALUE"""),"chó")</f>
        <v>chó</v>
      </c>
      <c r="E2088" s="118" t="str">
        <f>IFERROR(__xludf.DUMMYFUNCTION("""COMPUTED_VALUE"""),"Biển")</f>
        <v>Biển</v>
      </c>
    </row>
    <row r="2089" ht="15.75" customHeight="1">
      <c r="A2089" s="117" t="str">
        <f>IFERROR(__xludf.DUMMYFUNCTION("""COMPUTED_VALUE"""),"0901 164 338")</f>
        <v>0901 164 338</v>
      </c>
      <c r="B2089" s="118" t="str">
        <f>IFERROR(__xludf.DUMMYFUNCTION("""COMPUTED_VALUE"""),"Dì Dung ")</f>
        <v>Dì Dung </v>
      </c>
      <c r="C2089" s="118" t="str">
        <f>IFERROR(__xludf.DUMMYFUNCTION("""COMPUTED_VALUE"""),"255 Lý Thần Tông")</f>
        <v>255 Lý Thần Tông</v>
      </c>
      <c r="D2089" s="118" t="str">
        <f>IFERROR(__xludf.DUMMYFUNCTION("""COMPUTED_VALUE"""),"chó")</f>
        <v>chó</v>
      </c>
      <c r="E2089" s="118" t="str">
        <f>IFERROR(__xludf.DUMMYFUNCTION("""COMPUTED_VALUE"""),"Nai")</f>
        <v>Nai</v>
      </c>
    </row>
    <row r="2090" ht="15.75" customHeight="1">
      <c r="A2090" s="117" t="str">
        <f>IFERROR(__xludf.DUMMYFUNCTION("""COMPUTED_VALUE"""),"0835 781 117")</f>
        <v>0835 781 117</v>
      </c>
      <c r="B2090" s="118" t="str">
        <f>IFERROR(__xludf.DUMMYFUNCTION("""COMPUTED_VALUE"""),"Dì Kim Trinh")</f>
        <v>Dì Kim Trinh</v>
      </c>
      <c r="C2090" s="118" t="str">
        <f>IFERROR(__xludf.DUMMYFUNCTION("""COMPUTED_VALUE"""),"Phạm Thị Liên")</f>
        <v>Phạm Thị Liên</v>
      </c>
      <c r="D2090" s="118" t="str">
        <f>IFERROR(__xludf.DUMMYFUNCTION("""COMPUTED_VALUE"""),"chó")</f>
        <v>chó</v>
      </c>
      <c r="E2090" s="118" t="str">
        <f>IFERROR(__xludf.DUMMYFUNCTION("""COMPUTED_VALUE"""),"Red")</f>
        <v>Red</v>
      </c>
    </row>
    <row r="2091" ht="15.75" customHeight="1">
      <c r="A2091" s="117" t="str">
        <f>IFERROR(__xludf.DUMMYFUNCTION("""COMPUTED_VALUE"""),"0914 036 030")</f>
        <v>0914 036 030</v>
      </c>
      <c r="B2091" s="118" t="str">
        <f>IFERROR(__xludf.DUMMYFUNCTION("""COMPUTED_VALUE"""),"chi Hương")</f>
        <v>chi Hương</v>
      </c>
      <c r="C2091" s="118" t="str">
        <f>IFERROR(__xludf.DUMMYFUNCTION("""COMPUTED_VALUE"""),"k130 Trần Phú")</f>
        <v>k130 Trần Phú</v>
      </c>
      <c r="D2091" s="118" t="str">
        <f>IFERROR(__xludf.DUMMYFUNCTION("""COMPUTED_VALUE"""),"Chó")</f>
        <v>Chó</v>
      </c>
      <c r="E2091" s="118" t="str">
        <f>IFERROR(__xludf.DUMMYFUNCTION("""COMPUTED_VALUE"""),"ruby")</f>
        <v>ruby</v>
      </c>
    </row>
    <row r="2092" ht="15.75" customHeight="1">
      <c r="A2092" s="117" t="str">
        <f>IFERROR(__xludf.DUMMYFUNCTION("""COMPUTED_VALUE"""),"0906 450 009")</f>
        <v>0906 450 009</v>
      </c>
      <c r="B2092" s="118" t="str">
        <f>IFERROR(__xludf.DUMMYFUNCTION("""COMPUTED_VALUE"""),"Chị Nhạn")</f>
        <v>Chị Nhạn</v>
      </c>
      <c r="C2092" s="118" t="str">
        <f>IFERROR(__xludf.DUMMYFUNCTION("""COMPUTED_VALUE"""),"200 Bùi Thị Xuân")</f>
        <v>200 Bùi Thị Xuân</v>
      </c>
      <c r="D2092" s="118" t="str">
        <f>IFERROR(__xludf.DUMMYFUNCTION("""COMPUTED_VALUE"""),"chó")</f>
        <v>chó</v>
      </c>
      <c r="E2092" s="118" t="str">
        <f>IFERROR(__xludf.DUMMYFUNCTION("""COMPUTED_VALUE"""),"Lu")</f>
        <v>Lu</v>
      </c>
    </row>
    <row r="2093" ht="15.75" customHeight="1">
      <c r="A2093" s="117" t="str">
        <f>IFERROR(__xludf.DUMMYFUNCTION("""COMPUTED_VALUE"""),"0394 526 450")</f>
        <v>0394 526 450</v>
      </c>
      <c r="B2093" s="118" t="str">
        <f>IFERROR(__xludf.DUMMYFUNCTION("""COMPUTED_VALUE"""),"Phương")</f>
        <v>Phương</v>
      </c>
      <c r="C2093" s="118" t="str">
        <f>IFERROR(__xludf.DUMMYFUNCTION("""COMPUTED_VALUE"""),"Lê Ngô Cát")</f>
        <v>Lê Ngô Cát</v>
      </c>
      <c r="D2093" s="118" t="str">
        <f>IFERROR(__xludf.DUMMYFUNCTION("""COMPUTED_VALUE"""),"chó")</f>
        <v>chó</v>
      </c>
      <c r="E2093" s="118" t="str">
        <f>IFERROR(__xludf.DUMMYFUNCTION("""COMPUTED_VALUE"""),"Bi")</f>
        <v>Bi</v>
      </c>
    </row>
    <row r="2094" ht="15.75" customHeight="1">
      <c r="A2094" s="117" t="str">
        <f>IFERROR(__xludf.DUMMYFUNCTION("""COMPUTED_VALUE"""),"0937 028 452")</f>
        <v>0937 028 452</v>
      </c>
      <c r="B2094" s="118" t="str">
        <f>IFERROR(__xludf.DUMMYFUNCTION("""COMPUTED_VALUE"""),"Anh Bảo")</f>
        <v>Anh Bảo</v>
      </c>
      <c r="C2094" s="118" t="str">
        <f>IFERROR(__xludf.DUMMYFUNCTION("""COMPUTED_VALUE"""),"15/30 Minh Mạng")</f>
        <v>15/30 Minh Mạng</v>
      </c>
      <c r="D2094" s="118" t="str">
        <f>IFERROR(__xludf.DUMMYFUNCTION("""COMPUTED_VALUE"""),"chó")</f>
        <v>chó</v>
      </c>
      <c r="E2094" s="118" t="str">
        <f>IFERROR(__xludf.DUMMYFUNCTION("""COMPUTED_VALUE"""),"Milu")</f>
        <v>Milu</v>
      </c>
    </row>
    <row r="2095" ht="15.75" customHeight="1">
      <c r="A2095" s="117" t="str">
        <f>IFERROR(__xludf.DUMMYFUNCTION("""COMPUTED_VALUE"""),"0962 544 187")</f>
        <v>0962 544 187</v>
      </c>
      <c r="B2095" s="118" t="str">
        <f>IFERROR(__xludf.DUMMYFUNCTION("""COMPUTED_VALUE"""),"Chị Hiền")</f>
        <v>Chị Hiền</v>
      </c>
      <c r="C2095" s="118" t="str">
        <f>IFERROR(__xludf.DUMMYFUNCTION("""COMPUTED_VALUE"""),"1/17/77 Thiên Thái")</f>
        <v>1/17/77 Thiên Thái</v>
      </c>
      <c r="D2095" s="118" t="str">
        <f>IFERROR(__xludf.DUMMYFUNCTION("""COMPUTED_VALUE"""),"Chó")</f>
        <v>Chó</v>
      </c>
      <c r="E2095" s="118" t="str">
        <f>IFERROR(__xludf.DUMMYFUNCTION("""COMPUTED_VALUE"""),"Rô")</f>
        <v>Rô</v>
      </c>
    </row>
    <row r="2096" ht="15.75" customHeight="1">
      <c r="A2096" s="117" t="str">
        <f>IFERROR(__xludf.DUMMYFUNCTION("""COMPUTED_VALUE"""),"0935 504 013")</f>
        <v>0935 504 013</v>
      </c>
      <c r="B2096" s="118" t="str">
        <f>IFERROR(__xludf.DUMMYFUNCTION("""COMPUTED_VALUE"""),"Dì Tú")</f>
        <v>Dì Tú</v>
      </c>
      <c r="C2096" s="118" t="str">
        <f>IFERROR(__xludf.DUMMYFUNCTION("""COMPUTED_VALUE"""),"An Vân, Hương An")</f>
        <v>An Vân, Hương An</v>
      </c>
      <c r="D2096" s="118" t="str">
        <f>IFERROR(__xludf.DUMMYFUNCTION("""COMPUTED_VALUE"""),"chó")</f>
        <v>chó</v>
      </c>
      <c r="E2096" s="118"/>
    </row>
    <row r="2097" ht="15.75" customHeight="1">
      <c r="A2097" s="117" t="str">
        <f>IFERROR(__xludf.DUMMYFUNCTION("""COMPUTED_VALUE"""),"0353 017 064")</f>
        <v>0353 017 064</v>
      </c>
      <c r="B2097" s="118" t="str">
        <f>IFERROR(__xludf.DUMMYFUNCTION("""COMPUTED_VALUE"""),"Chị Hải Triều")</f>
        <v>Chị Hải Triều</v>
      </c>
      <c r="C2097" s="118" t="str">
        <f>IFERROR(__xludf.DUMMYFUNCTION("""COMPUTED_VALUE"""),"21/209 Phan Đình Phùng")</f>
        <v>21/209 Phan Đình Phùng</v>
      </c>
      <c r="D2097" s="118" t="str">
        <f>IFERROR(__xludf.DUMMYFUNCTION("""COMPUTED_VALUE"""),"chó ")</f>
        <v>chó </v>
      </c>
      <c r="E2097" s="118" t="str">
        <f>IFERROR(__xludf.DUMMYFUNCTION("""COMPUTED_VALUE"""),"Sữa")</f>
        <v>Sữa</v>
      </c>
    </row>
    <row r="2098" ht="15.75" customHeight="1">
      <c r="A2098" s="117" t="str">
        <f>IFERROR(__xludf.DUMMYFUNCTION("""COMPUTED_VALUE"""),"0934 923 237")</f>
        <v>0934 923 237</v>
      </c>
      <c r="B2098" s="118" t="str">
        <f>IFERROR(__xludf.DUMMYFUNCTION("""COMPUTED_VALUE"""),"Hoài Thu")</f>
        <v>Hoài Thu</v>
      </c>
      <c r="C2098" s="118" t="str">
        <f>IFERROR(__xludf.DUMMYFUNCTION("""COMPUTED_VALUE"""),"105 Cao Đình Độ")</f>
        <v>105 Cao Đình Độ</v>
      </c>
      <c r="D2098" s="118" t="str">
        <f>IFERROR(__xludf.DUMMYFUNCTION("""COMPUTED_VALUE"""),"Mèo")</f>
        <v>Mèo</v>
      </c>
      <c r="E2098" s="118" t="str">
        <f>IFERROR(__xludf.DUMMYFUNCTION("""COMPUTED_VALUE"""),"Ngáo")</f>
        <v>Ngáo</v>
      </c>
    </row>
    <row r="2099" ht="15.75" customHeight="1">
      <c r="A2099" s="117" t="str">
        <f>IFERROR(__xludf.DUMMYFUNCTION("""COMPUTED_VALUE"""),"0794 101 189")</f>
        <v>0794 101 189</v>
      </c>
      <c r="B2099" s="118" t="str">
        <f>IFERROR(__xludf.DUMMYFUNCTION("""COMPUTED_VALUE"""),"Chị Hòa")</f>
        <v>Chị Hòa</v>
      </c>
      <c r="C2099" s="118" t="str">
        <f>IFERROR(__xludf.DUMMYFUNCTION("""COMPUTED_VALUE"""),"Hồ Đắc Di")</f>
        <v>Hồ Đắc Di</v>
      </c>
      <c r="D2099" s="118" t="str">
        <f>IFERROR(__xludf.DUMMYFUNCTION("""COMPUTED_VALUE"""),"Mèo")</f>
        <v>Mèo</v>
      </c>
      <c r="E2099" s="118" t="str">
        <f>IFERROR(__xludf.DUMMYFUNCTION("""COMPUTED_VALUE"""),"Cam")</f>
        <v>Cam</v>
      </c>
    </row>
    <row r="2100" ht="15.75" customHeight="1">
      <c r="A2100" s="117" t="str">
        <f>IFERROR(__xludf.DUMMYFUNCTION("""COMPUTED_VALUE"""),"0344 938 383")</f>
        <v>0344 938 383</v>
      </c>
      <c r="B2100" s="118" t="str">
        <f>IFERROR(__xludf.DUMMYFUNCTION("""COMPUTED_VALUE"""),"Chị Trúc")</f>
        <v>Chị Trúc</v>
      </c>
      <c r="C2100" s="118" t="str">
        <f>IFERROR(__xludf.DUMMYFUNCTION("""COMPUTED_VALUE"""),"Phong Điền")</f>
        <v>Phong Điền</v>
      </c>
      <c r="D2100" s="118" t="str">
        <f>IFERROR(__xludf.DUMMYFUNCTION("""COMPUTED_VALUE"""),"mèo")</f>
        <v>mèo</v>
      </c>
      <c r="E2100" s="118" t="str">
        <f>IFERROR(__xludf.DUMMYFUNCTION("""COMPUTED_VALUE"""),"Đậu")</f>
        <v>Đậu</v>
      </c>
    </row>
    <row r="2101" ht="15.75" customHeight="1">
      <c r="A2101" s="117" t="str">
        <f>IFERROR(__xludf.DUMMYFUNCTION("""COMPUTED_VALUE"""),"0829 698 237")</f>
        <v>0829 698 237</v>
      </c>
      <c r="B2101" s="118" t="str">
        <f>IFERROR(__xludf.DUMMYFUNCTION("""COMPUTED_VALUE"""),"Dì Lan")</f>
        <v>Dì Lan</v>
      </c>
      <c r="C2101" s="118" t="str">
        <f>IFERROR(__xludf.DUMMYFUNCTION("""COMPUTED_VALUE"""),"Nguyễn Hoàng")</f>
        <v>Nguyễn Hoàng</v>
      </c>
      <c r="D2101" s="118" t="str">
        <f>IFERROR(__xludf.DUMMYFUNCTION("""COMPUTED_VALUE"""),"chó")</f>
        <v>chó</v>
      </c>
      <c r="E2101" s="118" t="str">
        <f>IFERROR(__xludf.DUMMYFUNCTION("""COMPUTED_VALUE"""),"Rốt")</f>
        <v>Rốt</v>
      </c>
    </row>
    <row r="2102" ht="15.75" customHeight="1">
      <c r="A2102" s="117" t="str">
        <f>IFERROR(__xludf.DUMMYFUNCTION("""COMPUTED_VALUE"""),"0334 101 542")</f>
        <v>0334 101 542</v>
      </c>
      <c r="B2102" s="118" t="str">
        <f>IFERROR(__xludf.DUMMYFUNCTION("""COMPUTED_VALUE"""),"Em Minh")</f>
        <v>Em Minh</v>
      </c>
      <c r="C2102" s="118" t="str">
        <f>IFERROR(__xludf.DUMMYFUNCTION("""COMPUTED_VALUE"""),"13 Nguyễn Hữu Dật")</f>
        <v>13 Nguyễn Hữu Dật</v>
      </c>
      <c r="D2102" s="118" t="str">
        <f>IFERROR(__xludf.DUMMYFUNCTION("""COMPUTED_VALUE"""),"chó")</f>
        <v>chó</v>
      </c>
      <c r="E2102" s="118" t="str">
        <f>IFERROR(__xludf.DUMMYFUNCTION("""COMPUTED_VALUE"""),"Mèo")</f>
        <v>Mèo</v>
      </c>
    </row>
    <row r="2103" ht="15.75" customHeight="1">
      <c r="A2103" s="117" t="str">
        <f>IFERROR(__xludf.DUMMYFUNCTION("""COMPUTED_VALUE"""),"0901 259 789")</f>
        <v>0901 259 789</v>
      </c>
      <c r="B2103" s="118" t="str">
        <f>IFERROR(__xludf.DUMMYFUNCTION("""COMPUTED_VALUE"""),"Em Ngân chị hằng")</f>
        <v>Em Ngân chị hằng</v>
      </c>
      <c r="C2103" s="118" t="str">
        <f>IFERROR(__xludf.DUMMYFUNCTION("""COMPUTED_VALUE"""),"OTM 1-3 lê đức Anh")</f>
        <v>OTM 1-3 lê đức Anh</v>
      </c>
      <c r="D2103" s="118" t="str">
        <f>IFERROR(__xludf.DUMMYFUNCTION("""COMPUTED_VALUE"""),"chó")</f>
        <v>chó</v>
      </c>
      <c r="E2103" s="118" t="str">
        <f>IFERROR(__xludf.DUMMYFUNCTION("""COMPUTED_VALUE"""),"Lucky")</f>
        <v>Lucky</v>
      </c>
    </row>
    <row r="2104" ht="15.75" customHeight="1">
      <c r="A2104" s="117" t="str">
        <f>IFERROR(__xludf.DUMMYFUNCTION("""COMPUTED_VALUE"""),"0365 019 958")</f>
        <v>0365 019 958</v>
      </c>
      <c r="B2104" s="118" t="str">
        <f>IFERROR(__xludf.DUMMYFUNCTION("""COMPUTED_VALUE"""),"Chiến học viên")</f>
        <v>Chiến học viên</v>
      </c>
      <c r="C2104" s="118" t="str">
        <f>IFERROR(__xludf.DUMMYFUNCTION("""COMPUTED_VALUE"""),"Đà Nẵng CITY PET 23 Đặng Dung")</f>
        <v>Đà Nẵng CITY PET 23 Đặng Dung</v>
      </c>
      <c r="D2104" s="118"/>
      <c r="E2104" s="118"/>
    </row>
    <row r="2105" ht="15.75" customHeight="1">
      <c r="A2105" s="117" t="str">
        <f>IFERROR(__xludf.DUMMYFUNCTION("""COMPUTED_VALUE"""),"0395 391 780")</f>
        <v>0395 391 780</v>
      </c>
      <c r="B2105" s="118" t="str">
        <f>IFERROR(__xludf.DUMMYFUNCTION("""COMPUTED_VALUE"""),"Ngô Hoàn")</f>
        <v>Ngô Hoàn</v>
      </c>
      <c r="C2105" s="118" t="str">
        <f>IFERROR(__xludf.DUMMYFUNCTION("""COMPUTED_VALUE"""),"Phú Vang")</f>
        <v>Phú Vang</v>
      </c>
      <c r="D2105" s="118" t="str">
        <f>IFERROR(__xludf.DUMMYFUNCTION("""COMPUTED_VALUE"""),"mèo")</f>
        <v>mèo</v>
      </c>
      <c r="E2105" s="118" t="str">
        <f>IFERROR(__xludf.DUMMYFUNCTION("""COMPUTED_VALUE"""),"ko tên")</f>
        <v>ko tên</v>
      </c>
    </row>
    <row r="2106" ht="15.75" customHeight="1">
      <c r="A2106" s="117" t="str">
        <f>IFERROR(__xludf.DUMMYFUNCTION("""COMPUTED_VALUE"""),"0814 099 755")</f>
        <v>0814 099 755</v>
      </c>
      <c r="B2106" s="118" t="str">
        <f>IFERROR(__xludf.DUMMYFUNCTION("""COMPUTED_VALUE"""),"Chị Thanh")</f>
        <v>Chị Thanh</v>
      </c>
      <c r="C2106" s="118" t="str">
        <f>IFERROR(__xludf.DUMMYFUNCTION("""COMPUTED_VALUE"""),"Phước Vĩnh")</f>
        <v>Phước Vĩnh</v>
      </c>
      <c r="D2106" s="118" t="str">
        <f>IFERROR(__xludf.DUMMYFUNCTION("""COMPUTED_VALUE"""),"mèo")</f>
        <v>mèo</v>
      </c>
      <c r="E2106" s="118"/>
    </row>
    <row r="2107" ht="15.75" customHeight="1">
      <c r="A2107" s="128" t="str">
        <f>IFERROR(__xludf.DUMMYFUNCTION("""COMPUTED_VALUE"""),"0935 747 320")</f>
        <v>0935 747 320</v>
      </c>
      <c r="B2107" s="127" t="str">
        <f>IFERROR(__xludf.DUMMYFUNCTION("""COMPUTED_VALUE"""),"Chị Hồng")</f>
        <v>Chị Hồng</v>
      </c>
      <c r="C2107" s="127" t="str">
        <f>IFERROR(__xludf.DUMMYFUNCTION("""COMPUTED_VALUE"""),"Thủy Dương")</f>
        <v>Thủy Dương</v>
      </c>
      <c r="D2107" s="127" t="str">
        <f>IFERROR(__xludf.DUMMYFUNCTION("""COMPUTED_VALUE"""),"mèo")</f>
        <v>mèo</v>
      </c>
      <c r="E2107" s="127" t="str">
        <f>IFERROR(__xludf.DUMMYFUNCTION("""COMPUTED_VALUE"""),"coca")</f>
        <v>coca</v>
      </c>
    </row>
    <row r="2108" ht="15.75" customHeight="1">
      <c r="A2108" s="128" t="str">
        <f>IFERROR(__xludf.DUMMYFUNCTION("""COMPUTED_VALUE"""),"0948 496 678")</f>
        <v>0948 496 678</v>
      </c>
      <c r="B2108" s="127" t="str">
        <f>IFERROR(__xludf.DUMMYFUNCTION("""COMPUTED_VALUE"""),"Trang")</f>
        <v>Trang</v>
      </c>
      <c r="C2108" s="127" t="str">
        <f>IFERROR(__xludf.DUMMYFUNCTION("""COMPUTED_VALUE"""),"13 Phùng Chí Kiên")</f>
        <v>13 Phùng Chí Kiên</v>
      </c>
      <c r="D2108" s="127" t="str">
        <f>IFERROR(__xludf.DUMMYFUNCTION("""COMPUTED_VALUE"""),"mèo")</f>
        <v>mèo</v>
      </c>
      <c r="E2108" s="119"/>
    </row>
    <row r="2109" ht="15.75" customHeight="1">
      <c r="A2109" s="128" t="str">
        <f>IFERROR(__xludf.DUMMYFUNCTION("""COMPUTED_VALUE"""),"0706 097 199")</f>
        <v>0706 097 199</v>
      </c>
      <c r="B2109" s="127" t="str">
        <f>IFERROR(__xludf.DUMMYFUNCTION("""COMPUTED_VALUE"""),"Anh Hiền")</f>
        <v>Anh Hiền</v>
      </c>
      <c r="C2109" s="127" t="str">
        <f>IFERROR(__xludf.DUMMYFUNCTION("""COMPUTED_VALUE"""),"27 Thanh Tịnh")</f>
        <v>27 Thanh Tịnh</v>
      </c>
      <c r="D2109" s="127" t="str">
        <f>IFERROR(__xludf.DUMMYFUNCTION("""COMPUTED_VALUE"""),"chó")</f>
        <v>chó</v>
      </c>
      <c r="E2109" s="119" t="str">
        <f>IFERROR(__xludf.DUMMYFUNCTION("""COMPUTED_VALUE"""),"Mực")</f>
        <v>Mực</v>
      </c>
    </row>
    <row r="2110" ht="15.75" customHeight="1">
      <c r="A2110" s="128" t="str">
        <f>IFERROR(__xludf.DUMMYFUNCTION("""COMPUTED_VALUE"""),"0905 767 906")</f>
        <v>0905 767 906</v>
      </c>
      <c r="B2110" s="127" t="str">
        <f>IFERROR(__xludf.DUMMYFUNCTION("""COMPUTED_VALUE"""),"Anh Gôn")</f>
        <v>Anh Gôn</v>
      </c>
      <c r="C2110" s="127" t="str">
        <f>IFERROR(__xludf.DUMMYFUNCTION("""COMPUTED_VALUE"""),"k289 Bùi Thị Xuân")</f>
        <v>k289 Bùi Thị Xuân</v>
      </c>
      <c r="D2110" s="127" t="str">
        <f>IFERROR(__xludf.DUMMYFUNCTION("""COMPUTED_VALUE"""),"Chó")</f>
        <v>Chó</v>
      </c>
      <c r="E2110" s="127"/>
    </row>
    <row r="2111" ht="15.75" customHeight="1">
      <c r="A2111" s="128" t="str">
        <f>IFERROR(__xludf.DUMMYFUNCTION("""COMPUTED_VALUE"""),"0333 365 851")</f>
        <v>0333 365 851</v>
      </c>
      <c r="B2111" s="127" t="str">
        <f>IFERROR(__xludf.DUMMYFUNCTION("""COMPUTED_VALUE"""),"Hoàng Anh")</f>
        <v>Hoàng Anh</v>
      </c>
      <c r="C2111" s="127" t="str">
        <f>IFERROR(__xludf.DUMMYFUNCTION("""COMPUTED_VALUE"""),"xóm 4/1 Lại Thế")</f>
        <v>xóm 4/1 Lại Thế</v>
      </c>
      <c r="D2111" s="127" t="str">
        <f>IFERROR(__xludf.DUMMYFUNCTION("""COMPUTED_VALUE"""),"mèo")</f>
        <v>mèo</v>
      </c>
      <c r="E2111" s="127" t="str">
        <f>IFERROR(__xludf.DUMMYFUNCTION("""COMPUTED_VALUE"""),"Piu")</f>
        <v>Piu</v>
      </c>
    </row>
    <row r="2112" ht="15.75" customHeight="1">
      <c r="A2112" s="117" t="str">
        <f>IFERROR(__xludf.DUMMYFUNCTION("""COMPUTED_VALUE"""),"0796 677 212")</f>
        <v>0796 677 212</v>
      </c>
      <c r="B2112" s="118" t="str">
        <f>IFERROR(__xludf.DUMMYFUNCTION("""COMPUTED_VALUE"""),"Chị Thi")</f>
        <v>Chị Thi</v>
      </c>
      <c r="C2112" s="118" t="str">
        <f>IFERROR(__xludf.DUMMYFUNCTION("""COMPUTED_VALUE"""),"1a Văn Cao")</f>
        <v>1a Văn Cao</v>
      </c>
      <c r="D2112" s="118"/>
      <c r="E2112" s="118"/>
    </row>
    <row r="2113" ht="15.75" customHeight="1">
      <c r="A2113" s="128" t="str">
        <f>IFERROR(__xludf.DUMMYFUNCTION("""COMPUTED_VALUE"""),"0855 186 777")</f>
        <v>0855 186 777</v>
      </c>
      <c r="B2113" s="127" t="str">
        <f>IFERROR(__xludf.DUMMYFUNCTION("""COMPUTED_VALUE"""),"ANh Lâm")</f>
        <v>ANh Lâm</v>
      </c>
      <c r="C2113" s="127" t="str">
        <f>IFERROR(__xludf.DUMMYFUNCTION("""COMPUTED_VALUE"""),"14/14 An Ninh")</f>
        <v>14/14 An Ninh</v>
      </c>
      <c r="D2113" s="127" t="str">
        <f>IFERROR(__xludf.DUMMYFUNCTION("""COMPUTED_VALUE"""),"mèo")</f>
        <v>mèo</v>
      </c>
      <c r="E2113" s="127"/>
    </row>
    <row r="2114" ht="15.75" customHeight="1">
      <c r="A2114" s="128" t="str">
        <f>IFERROR(__xludf.DUMMYFUNCTION("""COMPUTED_VALUE"""),"0976 214 908")</f>
        <v>0976 214 908</v>
      </c>
      <c r="B2114" s="127" t="str">
        <f>IFERROR(__xludf.DUMMYFUNCTION("""COMPUTED_VALUE"""),"em Bảo Nhi")</f>
        <v>em Bảo Nhi</v>
      </c>
      <c r="C2114" s="127" t="str">
        <f>IFERROR(__xludf.DUMMYFUNCTION("""COMPUTED_VALUE"""),"61 Nguyễn Phúc Chu")</f>
        <v>61 Nguyễn Phúc Chu</v>
      </c>
      <c r="D2114" s="127" t="str">
        <f>IFERROR(__xludf.DUMMYFUNCTION("""COMPUTED_VALUE"""),"chó")</f>
        <v>chó</v>
      </c>
      <c r="E2114" s="127" t="str">
        <f>IFERROR(__xludf.DUMMYFUNCTION("""COMPUTED_VALUE"""),"Gấu")</f>
        <v>Gấu</v>
      </c>
    </row>
    <row r="2115" ht="15.75" customHeight="1">
      <c r="A2115" s="128" t="str">
        <f>IFERROR(__xludf.DUMMYFUNCTION("""COMPUTED_VALUE"""),"0234 350 2737")</f>
        <v>0234 350 2737</v>
      </c>
      <c r="B2115" s="127" t="str">
        <f>IFERROR(__xludf.DUMMYFUNCTION("""COMPUTED_VALUE"""),"Dì Bé")</f>
        <v>Dì Bé</v>
      </c>
      <c r="C2115" s="127" t="str">
        <f>IFERROR(__xludf.DUMMYFUNCTION("""COMPUTED_VALUE""")," 29/290 Lý Nam Đế")</f>
        <v> 29/290 Lý Nam Đế</v>
      </c>
      <c r="D2115" s="127" t="str">
        <f>IFERROR(__xludf.DUMMYFUNCTION("""COMPUTED_VALUE"""),"chó ")</f>
        <v>chó </v>
      </c>
      <c r="E2115" s="127" t="str">
        <f>IFERROR(__xludf.DUMMYFUNCTION("""COMPUTED_VALUE""")," Bitcoin")</f>
        <v> Bitcoin</v>
      </c>
    </row>
    <row r="2116" ht="15.75" customHeight="1">
      <c r="A2116" s="128" t="str">
        <f>IFERROR(__xludf.DUMMYFUNCTION("""COMPUTED_VALUE"""),"0905 631 001")</f>
        <v>0905 631 001</v>
      </c>
      <c r="B2116" s="127" t="str">
        <f>IFERROR(__xludf.DUMMYFUNCTION("""COMPUTED_VALUE"""),"Dì Ngọc")</f>
        <v>Dì Ngọc</v>
      </c>
      <c r="C2116" s="127" t="str">
        <f>IFERROR(__xludf.DUMMYFUNCTION("""COMPUTED_VALUE"""),"xóm 3 Ngọc Anh")</f>
        <v>xóm 3 Ngọc Anh</v>
      </c>
      <c r="D2116" s="127" t="str">
        <f>IFERROR(__xludf.DUMMYFUNCTION("""COMPUTED_VALUE"""),"mèo")</f>
        <v>mèo</v>
      </c>
      <c r="E2116" s="119" t="str">
        <f>IFERROR(__xludf.DUMMYFUNCTION("""COMPUTED_VALUE"""),"Dưa")</f>
        <v>Dưa</v>
      </c>
    </row>
    <row r="2117" ht="15.75" customHeight="1">
      <c r="A2117" s="117" t="str">
        <f>IFERROR(__xludf.DUMMYFUNCTION("""COMPUTED_VALUE"""),"0976 525 091")</f>
        <v>0976 525 091</v>
      </c>
      <c r="B2117" s="118" t="str">
        <f>IFERROR(__xludf.DUMMYFUNCTION("""COMPUTED_VALUE"""),"Chị Hạnh")</f>
        <v>Chị Hạnh</v>
      </c>
      <c r="C2117" s="118" t="str">
        <f>IFERROR(__xludf.DUMMYFUNCTION("""COMPUTED_VALUE"""),"Phạm Văn Đồng")</f>
        <v>Phạm Văn Đồng</v>
      </c>
      <c r="D2117" s="118" t="str">
        <f>IFERROR(__xludf.DUMMYFUNCTION("""COMPUTED_VALUE"""),"mèo")</f>
        <v>mèo</v>
      </c>
      <c r="E2117" s="118" t="str">
        <f>IFERROR(__xludf.DUMMYFUNCTION("""COMPUTED_VALUE"""),"Báo")</f>
        <v>Báo</v>
      </c>
    </row>
    <row r="2118" ht="15.75" customHeight="1">
      <c r="A2118" s="128" t="str">
        <f>IFERROR(__xludf.DUMMYFUNCTION("""COMPUTED_VALUE"""),"0924 899 035")</f>
        <v>0924 899 035</v>
      </c>
      <c r="B2118" s="127" t="str">
        <f>IFERROR(__xludf.DUMMYFUNCTION("""COMPUTED_VALUE"""),"Chị Thảo")</f>
        <v>Chị Thảo</v>
      </c>
      <c r="C2118" s="127" t="str">
        <f>IFERROR(__xludf.DUMMYFUNCTION("""COMPUTED_VALUE"""),"4 Nguyễn Gia Thưởng")</f>
        <v>4 Nguyễn Gia Thưởng</v>
      </c>
      <c r="D2118" s="127" t="str">
        <f>IFERROR(__xludf.DUMMYFUNCTION("""COMPUTED_VALUE"""),"chó")</f>
        <v>chó</v>
      </c>
      <c r="E2118" s="119" t="str">
        <f>IFERROR(__xludf.DUMMYFUNCTION("""COMPUTED_VALUE"""),"Ổi")</f>
        <v>Ổi</v>
      </c>
    </row>
    <row r="2119" ht="15.75" customHeight="1">
      <c r="A2119" s="117" t="str">
        <f>IFERROR(__xludf.DUMMYFUNCTION("""COMPUTED_VALUE"""),"0905 324 568")</f>
        <v>0905 324 568</v>
      </c>
      <c r="B2119" s="118" t="str">
        <f>IFERROR(__xludf.DUMMYFUNCTION("""COMPUTED_VALUE"""),"Nguyên Trần Thanh Thảo")</f>
        <v>Nguyên Trần Thanh Thảo</v>
      </c>
      <c r="C2119" s="118" t="str">
        <f>IFERROR(__xludf.DUMMYFUNCTION("""COMPUTED_VALUE"""),"20 tổ 2 Lại Thế")</f>
        <v>20 tổ 2 Lại Thế</v>
      </c>
      <c r="D2119" s="118" t="str">
        <f>IFERROR(__xludf.DUMMYFUNCTION("""COMPUTED_VALUE"""),"mèo")</f>
        <v>mèo</v>
      </c>
      <c r="E2119" s="119" t="str">
        <f>IFERROR(__xludf.DUMMYFUNCTION("""COMPUTED_VALUE"""),"Bơ")</f>
        <v>Bơ</v>
      </c>
    </row>
    <row r="2120" ht="15.75" customHeight="1">
      <c r="A2120" s="117" t="str">
        <f>IFERROR(__xludf.DUMMYFUNCTION("""COMPUTED_VALUE"""),"0906 496 146")</f>
        <v>0906 496 146</v>
      </c>
      <c r="B2120" s="118" t="str">
        <f>IFERROR(__xludf.DUMMYFUNCTION("""COMPUTED_VALUE"""),"Chị Sương")</f>
        <v>Chị Sương</v>
      </c>
      <c r="C2120" s="118" t="str">
        <f>IFERROR(__xludf.DUMMYFUNCTION("""COMPUTED_VALUE"""),"33/14 Nguyễn Hoàng")</f>
        <v>33/14 Nguyễn Hoàng</v>
      </c>
      <c r="D2120" s="118" t="str">
        <f>IFERROR(__xludf.DUMMYFUNCTION("""COMPUTED_VALUE"""),"mèo")</f>
        <v>mèo</v>
      </c>
      <c r="E2120" s="118" t="str">
        <f>IFERROR(__xludf.DUMMYFUNCTION("""COMPUTED_VALUE"""),"Thể")</f>
        <v>Thể</v>
      </c>
    </row>
    <row r="2121" ht="15.75" customHeight="1">
      <c r="A2121" s="117" t="str">
        <f>IFERROR(__xludf.DUMMYFUNCTION("""COMPUTED_VALUE"""),"0989 227 991")</f>
        <v>0989 227 991</v>
      </c>
      <c r="B2121" s="118" t="str">
        <f>IFERROR(__xludf.DUMMYFUNCTION("""COMPUTED_VALUE"""),"Em Hà")</f>
        <v>Em Hà</v>
      </c>
      <c r="C2121" s="118" t="str">
        <f>IFERROR(__xludf.DUMMYFUNCTION("""COMPUTED_VALUE"""),"61 Nguyễn Hoàng")</f>
        <v>61 Nguyễn Hoàng</v>
      </c>
      <c r="D2121" s="118" t="str">
        <f>IFERROR(__xludf.DUMMYFUNCTION("""COMPUTED_VALUE"""),"chó")</f>
        <v>chó</v>
      </c>
      <c r="E2121" s="118" t="str">
        <f>IFERROR(__xludf.DUMMYFUNCTION("""COMPUTED_VALUE"""),"đô")</f>
        <v>đô</v>
      </c>
    </row>
    <row r="2122" ht="15.75" customHeight="1">
      <c r="A2122" s="117" t="str">
        <f>IFERROR(__xludf.DUMMYFUNCTION("""COMPUTED_VALUE"""),"0386 669 902")</f>
        <v>0386 669 902</v>
      </c>
      <c r="B2122" s="118" t="str">
        <f>IFERROR(__xludf.DUMMYFUNCTION("""COMPUTED_VALUE"""),"Anh Tính")</f>
        <v>Anh Tính</v>
      </c>
      <c r="C2122" s="118" t="str">
        <f>IFERROR(__xludf.DUMMYFUNCTION("""COMPUTED_VALUE"""),"Gio Linh")</f>
        <v>Gio Linh</v>
      </c>
      <c r="D2122" s="118" t="str">
        <f>IFERROR(__xludf.DUMMYFUNCTION("""COMPUTED_VALUE"""),"mèo")</f>
        <v>mèo</v>
      </c>
      <c r="E2122" s="118" t="str">
        <f>IFERROR(__xludf.DUMMYFUNCTION("""COMPUTED_VALUE"""),"Miu Miu")</f>
        <v>Miu Miu</v>
      </c>
    </row>
    <row r="2123" ht="15.75" customHeight="1">
      <c r="A2123" s="128" t="str">
        <f>IFERROR(__xludf.DUMMYFUNCTION("""COMPUTED_VALUE"""),"0968 382 514")</f>
        <v>0968 382 514</v>
      </c>
      <c r="B2123" s="127" t="str">
        <f>IFERROR(__xludf.DUMMYFUNCTION("""COMPUTED_VALUE"""),"Chị Nhi")</f>
        <v>Chị Nhi</v>
      </c>
      <c r="C2123" s="127" t="str">
        <f>IFERROR(__xludf.DUMMYFUNCTION("""COMPUTED_VALUE"""),"138 Phạm Thị Liên")</f>
        <v>138 Phạm Thị Liên</v>
      </c>
      <c r="D2123" s="127" t="str">
        <f>IFERROR(__xludf.DUMMYFUNCTION("""COMPUTED_VALUE"""),"chó")</f>
        <v>chó</v>
      </c>
      <c r="E2123" s="119" t="str">
        <f>IFERROR(__xludf.DUMMYFUNCTION("""COMPUTED_VALUE"""),"Nút")</f>
        <v>Nút</v>
      </c>
    </row>
    <row r="2124" ht="15.75" customHeight="1">
      <c r="A2124" s="128" t="str">
        <f>IFERROR(__xludf.DUMMYFUNCTION("""COMPUTED_VALUE"""),"0796 279 733")</f>
        <v>0796 279 733</v>
      </c>
      <c r="B2124" s="127" t="str">
        <f>IFERROR(__xludf.DUMMYFUNCTION("""COMPUTED_VALUE"""),"Anh Nam")</f>
        <v>Anh Nam</v>
      </c>
      <c r="C2124" s="127" t="str">
        <f>IFERROR(__xludf.DUMMYFUNCTION("""COMPUTED_VALUE"""),"19/198 Phan Chu Trinh")</f>
        <v>19/198 Phan Chu Trinh</v>
      </c>
      <c r="D2124" s="127" t="str">
        <f>IFERROR(__xludf.DUMMYFUNCTION("""COMPUTED_VALUE"""),"chó")</f>
        <v>chó</v>
      </c>
      <c r="E2124" s="127"/>
    </row>
    <row r="2125" ht="15.75" customHeight="1">
      <c r="A2125" s="117" t="str">
        <f>IFERROR(__xludf.DUMMYFUNCTION("""COMPUTED_VALUE"""),"0795 520 809")</f>
        <v>0795 520 809</v>
      </c>
      <c r="B2125" s="118" t="str">
        <f>IFERROR(__xludf.DUMMYFUNCTION("""COMPUTED_VALUE"""),"Anh Quyết")</f>
        <v>Anh Quyết</v>
      </c>
      <c r="C2125" s="118" t="str">
        <f>IFERROR(__xludf.DUMMYFUNCTION("""COMPUTED_VALUE"""),"42/3/15 Phú Mộng")</f>
        <v>42/3/15 Phú Mộng</v>
      </c>
      <c r="D2125" s="118" t="str">
        <f>IFERROR(__xludf.DUMMYFUNCTION("""COMPUTED_VALUE"""),"chó")</f>
        <v>chó</v>
      </c>
      <c r="E2125" s="118" t="str">
        <f>IFERROR(__xludf.DUMMYFUNCTION("""COMPUTED_VALUE"""),"Nô")</f>
        <v>Nô</v>
      </c>
    </row>
    <row r="2126" ht="15.75" customHeight="1">
      <c r="A2126" s="117" t="str">
        <f>IFERROR(__xludf.DUMMYFUNCTION("""COMPUTED_VALUE"""),"0944 537 944")</f>
        <v>0944 537 944</v>
      </c>
      <c r="B2126" s="118" t="str">
        <f>IFERROR(__xludf.DUMMYFUNCTION("""COMPUTED_VALUE"""),"Dì Kim")</f>
        <v>Dì Kim</v>
      </c>
      <c r="C2126" s="118" t="str">
        <f>IFERROR(__xludf.DUMMYFUNCTION("""COMPUTED_VALUE"""),"59/43 Lý Nam Đế")</f>
        <v>59/43 Lý Nam Đế</v>
      </c>
      <c r="D2126" s="118" t="str">
        <f>IFERROR(__xludf.DUMMYFUNCTION("""COMPUTED_VALUE"""),"chó")</f>
        <v>chó</v>
      </c>
      <c r="E2126" s="118" t="str">
        <f>IFERROR(__xludf.DUMMYFUNCTION("""COMPUTED_VALUE"""),"Phóc")</f>
        <v>Phóc</v>
      </c>
    </row>
    <row r="2127" ht="15.75" customHeight="1">
      <c r="A2127" s="117" t="str">
        <f>IFERROR(__xludf.DUMMYFUNCTION("""COMPUTED_VALUE"""),"0827 127 456")</f>
        <v>0827 127 456</v>
      </c>
      <c r="B2127" s="118" t="str">
        <f>IFERROR(__xludf.DUMMYFUNCTION("""COMPUTED_VALUE"""),"Chị Hiền")</f>
        <v>Chị Hiền</v>
      </c>
      <c r="C2127" s="118" t="str">
        <f>IFERROR(__xludf.DUMMYFUNCTION("""COMPUTED_VALUE"""),"Đông Hà, Quảng Trị")</f>
        <v>Đông Hà, Quảng Trị</v>
      </c>
      <c r="D2127" s="118" t="str">
        <f>IFERROR(__xludf.DUMMYFUNCTION("""COMPUTED_VALUE"""),"chó")</f>
        <v>chó</v>
      </c>
      <c r="E2127" s="118" t="str">
        <f>IFERROR(__xludf.DUMMYFUNCTION("""COMPUTED_VALUE"""),"Miu Ti")</f>
        <v>Miu Ti</v>
      </c>
    </row>
    <row r="2128" ht="15.75" customHeight="1">
      <c r="A2128" s="128" t="str">
        <f>IFERROR(__xludf.DUMMYFUNCTION("""COMPUTED_VALUE"""),"0339 352 246")</f>
        <v>0339 352 246</v>
      </c>
      <c r="B2128" s="127" t="str">
        <f>IFERROR(__xludf.DUMMYFUNCTION("""COMPUTED_VALUE"""),"Chị Trúc")</f>
        <v>Chị Trúc</v>
      </c>
      <c r="C2128" s="127" t="str">
        <f>IFERROR(__xludf.DUMMYFUNCTION("""COMPUTED_VALUE"""),"08 Phạm THị Liên")</f>
        <v>08 Phạm THị Liên</v>
      </c>
      <c r="D2128" s="127" t="str">
        <f>IFERROR(__xludf.DUMMYFUNCTION("""COMPUTED_VALUE"""),"chó")</f>
        <v>chó</v>
      </c>
      <c r="E2128" s="127" t="str">
        <f>IFERROR(__xludf.DUMMYFUNCTION("""COMPUTED_VALUE"""),"Cafe")</f>
        <v>Cafe</v>
      </c>
    </row>
    <row r="2129" ht="15.75" customHeight="1">
      <c r="A2129" s="117" t="str">
        <f>IFERROR(__xludf.DUMMYFUNCTION("""COMPUTED_VALUE"""),"0906 434 778")</f>
        <v>0906 434 778</v>
      </c>
      <c r="B2129" s="118" t="str">
        <f>IFERROR(__xludf.DUMMYFUNCTION("""COMPUTED_VALUE"""),"Chị Hằng")</f>
        <v>Chị Hằng</v>
      </c>
      <c r="C2129" s="118" t="str">
        <f>IFERROR(__xludf.DUMMYFUNCTION("""COMPUTED_VALUE"""),"147 Chi Lăng")</f>
        <v>147 Chi Lăng</v>
      </c>
      <c r="D2129" s="118" t="str">
        <f>IFERROR(__xludf.DUMMYFUNCTION("""COMPUTED_VALUE"""),"mèo")</f>
        <v>mèo</v>
      </c>
      <c r="E2129" s="118" t="str">
        <f>IFERROR(__xludf.DUMMYFUNCTION("""COMPUTED_VALUE"""),"Lý")</f>
        <v>Lý</v>
      </c>
    </row>
    <row r="2130" ht="15.75" customHeight="1">
      <c r="A2130" s="128" t="str">
        <f>IFERROR(__xludf.DUMMYFUNCTION("""COMPUTED_VALUE"""),"0348 420 489")</f>
        <v>0348 420 489</v>
      </c>
      <c r="B2130" s="127" t="str">
        <f>IFERROR(__xludf.DUMMYFUNCTION("""COMPUTED_VALUE"""),"Chị Diệu Linh")</f>
        <v>Chị Diệu Linh</v>
      </c>
      <c r="C2130" s="127" t="str">
        <f>IFERROR(__xludf.DUMMYFUNCTION("""COMPUTED_VALUE"""),"Hương Hồ")</f>
        <v>Hương Hồ</v>
      </c>
      <c r="D2130" s="127" t="str">
        <f>IFERROR(__xludf.DUMMYFUNCTION("""COMPUTED_VALUE"""),"chó ")</f>
        <v>chó </v>
      </c>
      <c r="E2130" s="127" t="str">
        <f>IFERROR(__xludf.DUMMYFUNCTION("""COMPUTED_VALUE"""),"Su")</f>
        <v>Su</v>
      </c>
    </row>
    <row r="2131" ht="15.75" customHeight="1">
      <c r="A2131" s="117" t="str">
        <f>IFERROR(__xludf.DUMMYFUNCTION("""COMPUTED_VALUE"""),"0773 534 411")</f>
        <v>0773 534 411</v>
      </c>
      <c r="B2131" s="118" t="str">
        <f>IFERROR(__xludf.DUMMYFUNCTION("""COMPUTED_VALUE"""),"Tường Vi")</f>
        <v>Tường Vi</v>
      </c>
      <c r="C2131" s="118" t="str">
        <f>IFERROR(__xludf.DUMMYFUNCTION("""COMPUTED_VALUE"""),"30/11  Nguyễn Khoa Chiêm")</f>
        <v>30/11  Nguyễn Khoa Chiêm</v>
      </c>
      <c r="D2131" s="118" t="str">
        <f>IFERROR(__xludf.DUMMYFUNCTION("""COMPUTED_VALUE"""),"chó")</f>
        <v>chó</v>
      </c>
      <c r="E2131" s="118" t="str">
        <f>IFERROR(__xludf.DUMMYFUNCTION("""COMPUTED_VALUE"""),"Bun")</f>
        <v>Bun</v>
      </c>
    </row>
    <row r="2132" ht="15.75" customHeight="1">
      <c r="A2132" s="117" t="str">
        <f>IFERROR(__xludf.DUMMYFUNCTION("""COMPUTED_VALUE"""),"0983 100 927")</f>
        <v>0983 100 927</v>
      </c>
      <c r="B2132" s="118" t="str">
        <f>IFERROR(__xludf.DUMMYFUNCTION("""COMPUTED_VALUE"""),"Chị Minh")</f>
        <v>Chị Minh</v>
      </c>
      <c r="C2132" s="118" t="str">
        <f>IFERROR(__xludf.DUMMYFUNCTION("""COMPUTED_VALUE"""),"49 Duy Tân")</f>
        <v>49 Duy Tân</v>
      </c>
      <c r="D2132" s="118" t="str">
        <f>IFERROR(__xludf.DUMMYFUNCTION("""COMPUTED_VALUE"""),"chó")</f>
        <v>chó</v>
      </c>
      <c r="E2132" s="119"/>
    </row>
    <row r="2133" ht="15.75" customHeight="1">
      <c r="A2133" s="128" t="str">
        <f>IFERROR(__xludf.DUMMYFUNCTION("""COMPUTED_VALUE"""),"0978 910 410")</f>
        <v>0978 910 410</v>
      </c>
      <c r="B2133" s="127" t="str">
        <f>IFERROR(__xludf.DUMMYFUNCTION("""COMPUTED_VALUE"""),"chị khách ")</f>
        <v>chị khách </v>
      </c>
      <c r="C2133" s="127" t="str">
        <f>IFERROR(__xludf.DUMMYFUNCTION("""COMPUTED_VALUE"""),"10/111 trần Thái Tông")</f>
        <v>10/111 trần Thái Tông</v>
      </c>
      <c r="D2133" s="127" t="str">
        <f>IFERROR(__xludf.DUMMYFUNCTION("""COMPUTED_VALUE"""),"Chó")</f>
        <v>Chó</v>
      </c>
      <c r="E2133" s="127"/>
    </row>
    <row r="2134" ht="15.75" customHeight="1">
      <c r="A2134" s="128" t="str">
        <f>IFERROR(__xludf.DUMMYFUNCTION("""COMPUTED_VALUE"""),"0838 739 935")</f>
        <v>0838 739 935</v>
      </c>
      <c r="B2134" s="127" t="str">
        <f>IFERROR(__xludf.DUMMYFUNCTION("""COMPUTED_VALUE"""),"Chú Thúc")</f>
        <v>Chú Thúc</v>
      </c>
      <c r="C2134" s="127"/>
      <c r="D2134" s="127" t="str">
        <f>IFERROR(__xludf.DUMMYFUNCTION("""COMPUTED_VALUE"""),"mèo")</f>
        <v>mèo</v>
      </c>
      <c r="E2134" s="127" t="str">
        <f>IFERROR(__xludf.DUMMYFUNCTION("""COMPUTED_VALUE"""),"su")</f>
        <v>su</v>
      </c>
    </row>
    <row r="2135" ht="15.75" customHeight="1">
      <c r="A2135" s="128" t="str">
        <f>IFERROR(__xludf.DUMMYFUNCTION("""COMPUTED_VALUE"""),"0968 250 015")</f>
        <v>0968 250 015</v>
      </c>
      <c r="B2135" s="127" t="str">
        <f>IFERROR(__xludf.DUMMYFUNCTION("""COMPUTED_VALUE"""),"Anh Khánh")</f>
        <v>Anh Khánh</v>
      </c>
      <c r="C2135" s="127" t="str">
        <f>IFERROR(__xludf.DUMMYFUNCTION("""COMPUTED_VALUE"""),"25 Nguyễn Thái Học")</f>
        <v>25 Nguyễn Thái Học</v>
      </c>
      <c r="D2135" s="127" t="str">
        <f>IFERROR(__xludf.DUMMYFUNCTION("""COMPUTED_VALUE"""),"Chó")</f>
        <v>Chó</v>
      </c>
      <c r="E2135" s="119" t="str">
        <f>IFERROR(__xludf.DUMMYFUNCTION("""COMPUTED_VALUE"""),"RuBy")</f>
        <v>RuBy</v>
      </c>
    </row>
    <row r="2136" ht="15.75" customHeight="1">
      <c r="A2136" s="117" t="str">
        <f>IFERROR(__xludf.DUMMYFUNCTION("""COMPUTED_VALUE"""),"0915 802 309")</f>
        <v>0915 802 309</v>
      </c>
      <c r="B2136" s="118" t="str">
        <f>IFERROR(__xludf.DUMMYFUNCTION("""COMPUTED_VALUE"""),"Nhi")</f>
        <v>Nhi</v>
      </c>
      <c r="C2136" s="118" t="str">
        <f>IFERROR(__xludf.DUMMYFUNCTION("""COMPUTED_VALUE"""),"82 Hoàng Thị Loan")</f>
        <v>82 Hoàng Thị Loan</v>
      </c>
      <c r="D2136" s="118" t="str">
        <f>IFERROR(__xludf.DUMMYFUNCTION("""COMPUTED_VALUE"""),"Chó")</f>
        <v>Chó</v>
      </c>
      <c r="E2136" s="118" t="str">
        <f>IFERROR(__xludf.DUMMYFUNCTION("""COMPUTED_VALUE"""),"Mon")</f>
        <v>Mon</v>
      </c>
    </row>
    <row r="2137" ht="15.75" customHeight="1">
      <c r="A2137" s="128" t="str">
        <f>IFERROR(__xludf.DUMMYFUNCTION("""COMPUTED_VALUE"""),"0905 139 272")</f>
        <v>0905 139 272</v>
      </c>
      <c r="B2137" s="127" t="str">
        <f>IFERROR(__xludf.DUMMYFUNCTION("""COMPUTED_VALUE"""),"hadelinh")</f>
        <v>hadelinh</v>
      </c>
      <c r="C2137" s="127" t="str">
        <f>IFERROR(__xludf.DUMMYFUNCTION("""COMPUTED_VALUE"""),"09 Tây Sơn")</f>
        <v>09 Tây Sơn</v>
      </c>
      <c r="D2137" s="127" t="str">
        <f>IFERROR(__xludf.DUMMYFUNCTION("""COMPUTED_VALUE"""),"chó")</f>
        <v>chó</v>
      </c>
      <c r="E2137" s="127" t="str">
        <f>IFERROR(__xludf.DUMMYFUNCTION("""COMPUTED_VALUE"""),"beo")</f>
        <v>beo</v>
      </c>
    </row>
    <row r="2138" ht="15.75" customHeight="1">
      <c r="A2138" s="128" t="str">
        <f>IFERROR(__xludf.DUMMYFUNCTION("""COMPUTED_VALUE"""),"0938 543 434")</f>
        <v>0938 543 434</v>
      </c>
      <c r="B2138" s="127" t="str">
        <f>IFERROR(__xludf.DUMMYFUNCTION("""COMPUTED_VALUE"""),"Dì Hiếu")</f>
        <v>Dì Hiếu</v>
      </c>
      <c r="C2138" s="127" t="str">
        <f>IFERROR(__xludf.DUMMYFUNCTION("""COMPUTED_VALUE"""),"159 Phan Đăng Lưu")</f>
        <v>159 Phan Đăng Lưu</v>
      </c>
      <c r="D2138" s="127" t="str">
        <f>IFERROR(__xludf.DUMMYFUNCTION("""COMPUTED_VALUE"""),"chó")</f>
        <v>chó</v>
      </c>
      <c r="E2138" s="127" t="str">
        <f>IFERROR(__xludf.DUMMYFUNCTION("""COMPUTED_VALUE"""),"Money")</f>
        <v>Money</v>
      </c>
    </row>
    <row r="2139" ht="15.75" customHeight="1">
      <c r="A2139" s="128" t="str">
        <f>IFERROR(__xludf.DUMMYFUNCTION("""COMPUTED_VALUE"""),"0973 530 506")</f>
        <v>0973 530 506</v>
      </c>
      <c r="B2139" s="127" t="str">
        <f>IFERROR(__xludf.DUMMYFUNCTION("""COMPUTED_VALUE"""),"Chị Oanh")</f>
        <v>Chị Oanh</v>
      </c>
      <c r="C2139" s="127" t="str">
        <f>IFERROR(__xludf.DUMMYFUNCTION("""COMPUTED_VALUE"""),"11 Lý Thường Kiệt")</f>
        <v>11 Lý Thường Kiệt</v>
      </c>
      <c r="D2139" s="127" t="str">
        <f>IFERROR(__xludf.DUMMYFUNCTION("""COMPUTED_VALUE"""),"chó")</f>
        <v>chó</v>
      </c>
      <c r="E2139" s="127" t="str">
        <f>IFERROR(__xludf.DUMMYFUNCTION("""COMPUTED_VALUE"""),"chít")</f>
        <v>chít</v>
      </c>
    </row>
    <row r="2140" ht="15.75" customHeight="1">
      <c r="A2140" s="128" t="str">
        <f>IFERROR(__xludf.DUMMYFUNCTION("""COMPUTED_VALUE"""),"0706 957 767")</f>
        <v>0706 957 767</v>
      </c>
      <c r="B2140" s="127" t="str">
        <f>IFERROR(__xludf.DUMMYFUNCTION("""COMPUTED_VALUE"""),"Chú Trình")</f>
        <v>Chú Trình</v>
      </c>
      <c r="C2140" s="127" t="str">
        <f>IFERROR(__xludf.DUMMYFUNCTION("""COMPUTED_VALUE"""),"16/54/131 Trần Phú")</f>
        <v>16/54/131 Trần Phú</v>
      </c>
      <c r="D2140" s="127" t="str">
        <f>IFERROR(__xludf.DUMMYFUNCTION("""COMPUTED_VALUE"""),"chó")</f>
        <v>chó</v>
      </c>
      <c r="E2140" s="127" t="str">
        <f>IFERROR(__xludf.DUMMYFUNCTION("""COMPUTED_VALUE"""),"bốp")</f>
        <v>bốp</v>
      </c>
    </row>
    <row r="2141" ht="15.75" customHeight="1">
      <c r="A2141" s="117" t="str">
        <f>IFERROR(__xludf.DUMMYFUNCTION("""COMPUTED_VALUE"""),"0903 711 485")</f>
        <v>0903 711 485</v>
      </c>
      <c r="B2141" s="118" t="str">
        <f>IFERROR(__xludf.DUMMYFUNCTION("""COMPUTED_VALUE"""),"Chị Trâm")</f>
        <v>Chị Trâm</v>
      </c>
      <c r="C2141" s="118" t="str">
        <f>IFERROR(__xludf.DUMMYFUNCTION("""COMPUTED_VALUE"""),"157 Tôn Thất Thuyết")</f>
        <v>157 Tôn Thất Thuyết</v>
      </c>
      <c r="D2141" s="118" t="str">
        <f>IFERROR(__xludf.DUMMYFUNCTION("""COMPUTED_VALUE"""),"chó")</f>
        <v>chó</v>
      </c>
      <c r="E2141" s="118" t="str">
        <f>IFERROR(__xludf.DUMMYFUNCTION("""COMPUTED_VALUE"""),"Heo")</f>
        <v>Heo</v>
      </c>
    </row>
    <row r="2142" ht="15.75" customHeight="1">
      <c r="A2142" s="117" t="str">
        <f>IFERROR(__xludf.DUMMYFUNCTION("""COMPUTED_VALUE"""),"0356 565 654")</f>
        <v>0356 565 654</v>
      </c>
      <c r="B2142" s="118" t="str">
        <f>IFERROR(__xludf.DUMMYFUNCTION("""COMPUTED_VALUE"""),"Anh Huy")</f>
        <v>Anh Huy</v>
      </c>
      <c r="C2142" s="118" t="str">
        <f>IFERROR(__xludf.DUMMYFUNCTION("""COMPUTED_VALUE"""),"g243 Green city")</f>
        <v>g243 Green city</v>
      </c>
      <c r="D2142" s="118" t="str">
        <f>IFERROR(__xludf.DUMMYFUNCTION("""COMPUTED_VALUE"""),"mèo")</f>
        <v>mèo</v>
      </c>
      <c r="E2142" s="118" t="str">
        <f>IFERROR(__xludf.DUMMYFUNCTION("""COMPUTED_VALUE"""),"lu")</f>
        <v>lu</v>
      </c>
    </row>
    <row r="2143" ht="15.75" customHeight="1">
      <c r="A2143" s="117" t="str">
        <f>IFERROR(__xludf.DUMMYFUNCTION("""COMPUTED_VALUE"""),"0973 986 759")</f>
        <v>0973 986 759</v>
      </c>
      <c r="B2143" s="118" t="str">
        <f>IFERROR(__xludf.DUMMYFUNCTION("""COMPUTED_VALUE"""),"anh phúc")</f>
        <v>anh phúc</v>
      </c>
      <c r="C2143" s="118" t="str">
        <f>IFERROR(__xludf.DUMMYFUNCTION("""COMPUTED_VALUE""")," Vỹ dạ")</f>
        <v> Vỹ dạ</v>
      </c>
      <c r="D2143" s="118" t="str">
        <f>IFERROR(__xludf.DUMMYFUNCTION("""COMPUTED_VALUE"""),"chó")</f>
        <v>chó</v>
      </c>
      <c r="E2143" s="118" t="str">
        <f>IFERROR(__xludf.DUMMYFUNCTION("""COMPUTED_VALUE""")," Mực")</f>
        <v> Mực</v>
      </c>
    </row>
    <row r="2144" ht="15.75" customHeight="1">
      <c r="A2144" s="117" t="str">
        <f>IFERROR(__xludf.DUMMYFUNCTION("""COMPUTED_VALUE"""),"0356 026 656")</f>
        <v>0356 026 656</v>
      </c>
      <c r="B2144" s="118" t="str">
        <f>IFERROR(__xludf.DUMMYFUNCTION("""COMPUTED_VALUE"""),"Chị Hương")</f>
        <v>Chị Hương</v>
      </c>
      <c r="C2144" s="118" t="str">
        <f>IFERROR(__xludf.DUMMYFUNCTION("""COMPUTED_VALUE"""),"32 xóm 2 Ngọc Anh")</f>
        <v>32 xóm 2 Ngọc Anh</v>
      </c>
      <c r="D2144" s="118" t="str">
        <f>IFERROR(__xludf.DUMMYFUNCTION("""COMPUTED_VALUE"""),"chó")</f>
        <v>chó</v>
      </c>
      <c r="E2144" s="118" t="str">
        <f>IFERROR(__xludf.DUMMYFUNCTION("""COMPUTED_VALUE"""),"Bin")</f>
        <v>Bin</v>
      </c>
    </row>
    <row r="2145" ht="15.75" customHeight="1">
      <c r="A2145" s="128" t="str">
        <f>IFERROR(__xludf.DUMMYFUNCTION("""COMPUTED_VALUE"""),"0796 657 897")</f>
        <v>0796 657 897</v>
      </c>
      <c r="B2145" s="127" t="str">
        <f>IFERROR(__xludf.DUMMYFUNCTION("""COMPUTED_VALUE"""),"Chị Lê")</f>
        <v>Chị Lê</v>
      </c>
      <c r="C2145" s="127" t="str">
        <f>IFERROR(__xludf.DUMMYFUNCTION("""COMPUTED_VALUE"""),"thôn Vân An, Phú Mỹ")</f>
        <v>thôn Vân An, Phú Mỹ</v>
      </c>
      <c r="D2145" s="127" t="str">
        <f>IFERROR(__xludf.DUMMYFUNCTION("""COMPUTED_VALUE"""),"chó")</f>
        <v>chó</v>
      </c>
      <c r="E2145" s="127" t="str">
        <f>IFERROR(__xludf.DUMMYFUNCTION("""COMPUTED_VALUE"""),"Gấu")</f>
        <v>Gấu</v>
      </c>
    </row>
    <row r="2146" ht="15.75" customHeight="1">
      <c r="A2146" s="128" t="str">
        <f>IFERROR(__xludf.DUMMYFUNCTION("""COMPUTED_VALUE"""),"0374 408 002")</f>
        <v>0374 408 002</v>
      </c>
      <c r="B2146" s="127" t="str">
        <f>IFERROR(__xludf.DUMMYFUNCTION("""COMPUTED_VALUE"""),"Chú Sỹ")</f>
        <v>Chú Sỹ</v>
      </c>
      <c r="C2146" s="127" t="str">
        <f>IFERROR(__xludf.DUMMYFUNCTION("""COMPUTED_VALUE"""),"18/9/131 Trần Phú")</f>
        <v>18/9/131 Trần Phú</v>
      </c>
      <c r="D2146" s="127" t="str">
        <f>IFERROR(__xludf.DUMMYFUNCTION("""COMPUTED_VALUE"""),"chó")</f>
        <v>chó</v>
      </c>
      <c r="E2146" s="127" t="str">
        <f>IFERROR(__xludf.DUMMYFUNCTION("""COMPUTED_VALUE"""),"bo")</f>
        <v>bo</v>
      </c>
    </row>
    <row r="2147" ht="15.75" customHeight="1">
      <c r="A2147" s="128" t="str">
        <f>IFERROR(__xludf.DUMMYFUNCTION("""COMPUTED_VALUE"""),"0935 528 359")</f>
        <v>0935 528 359</v>
      </c>
      <c r="B2147" s="127" t="str">
        <f>IFERROR(__xludf.DUMMYFUNCTION("""COMPUTED_VALUE"""),"Anh Huy")</f>
        <v>Anh Huy</v>
      </c>
      <c r="C2147" s="127" t="str">
        <f>IFERROR(__xludf.DUMMYFUNCTION("""COMPUTED_VALUE"""),"k4 ngõ 5/8 Nguyễn Phúc Lan")</f>
        <v>k4 ngõ 5/8 Nguyễn Phúc Lan</v>
      </c>
      <c r="D2147" s="127" t="str">
        <f>IFERROR(__xludf.DUMMYFUNCTION("""COMPUTED_VALUE"""),"chó")</f>
        <v>chó</v>
      </c>
      <c r="E2147" s="119" t="str">
        <f>IFERROR(__xludf.DUMMYFUNCTION("""COMPUTED_VALUE"""),"Nâu")</f>
        <v>Nâu</v>
      </c>
    </row>
    <row r="2148" ht="15.75" customHeight="1">
      <c r="A2148" s="128" t="str">
        <f>IFERROR(__xludf.DUMMYFUNCTION("""COMPUTED_VALUE"""),"0935 352 574")</f>
        <v>0935 352 574</v>
      </c>
      <c r="B2148" s="127" t="str">
        <f>IFERROR(__xludf.DUMMYFUNCTION("""COMPUTED_VALUE"""),"Anh Hiếu")</f>
        <v>Anh Hiếu</v>
      </c>
      <c r="C2148" s="127" t="str">
        <f>IFERROR(__xludf.DUMMYFUNCTION("""COMPUTED_VALUE"""),"66 Đồng Miễu- Phú An")</f>
        <v>66 Đồng Miễu- Phú An</v>
      </c>
      <c r="D2148" s="127" t="str">
        <f>IFERROR(__xludf.DUMMYFUNCTION("""COMPUTED_VALUE"""),"chó")</f>
        <v>chó</v>
      </c>
      <c r="E2148" s="127" t="str">
        <f>IFERROR(__xludf.DUMMYFUNCTION("""COMPUTED_VALUE"""),"Bôm")</f>
        <v>Bôm</v>
      </c>
    </row>
    <row r="2149" ht="15.75" customHeight="1">
      <c r="A2149" s="117" t="str">
        <f>IFERROR(__xludf.DUMMYFUNCTION("""COMPUTED_VALUE"""),"0392 019 331")</f>
        <v>0392 019 331</v>
      </c>
      <c r="B2149" s="118" t="str">
        <f>IFERROR(__xludf.DUMMYFUNCTION("""COMPUTED_VALUE"""),"Thảo Nguyên")</f>
        <v>Thảo Nguyên</v>
      </c>
      <c r="C2149" s="118" t="str">
        <f>IFERROR(__xludf.DUMMYFUNCTION("""COMPUTED_VALUE"""),"147 Văn Thánh")</f>
        <v>147 Văn Thánh</v>
      </c>
      <c r="D2149" s="118" t="str">
        <f>IFERROR(__xludf.DUMMYFUNCTION("""COMPUTED_VALUE"""),"chó")</f>
        <v>chó</v>
      </c>
      <c r="E2149" s="118"/>
    </row>
    <row r="2150" ht="15.75" customHeight="1">
      <c r="A2150" s="128" t="str">
        <f>IFERROR(__xludf.DUMMYFUNCTION("""COMPUTED_VALUE"""),"0359 202 262")</f>
        <v>0359 202 262</v>
      </c>
      <c r="B2150" s="127" t="str">
        <f>IFERROR(__xludf.DUMMYFUNCTION("""COMPUTED_VALUE"""),"Nguyễn thị thúy Nhi")</f>
        <v>Nguyễn thị thúy Nhi</v>
      </c>
      <c r="C2150" s="119" t="str">
        <f>IFERROR(__xludf.DUMMYFUNCTION("""COMPUTED_VALUE"""),"lộc bổn phú lộc")</f>
        <v>lộc bổn phú lộc</v>
      </c>
      <c r="D2150" s="127" t="str">
        <f>IFERROR(__xludf.DUMMYFUNCTION("""COMPUTED_VALUE"""),"mèo")</f>
        <v>mèo</v>
      </c>
      <c r="E2150" s="127" t="str">
        <f>IFERROR(__xludf.DUMMYFUNCTION("""COMPUTED_VALUE"""),"miu")</f>
        <v>miu</v>
      </c>
    </row>
    <row r="2151" ht="15.75" customHeight="1">
      <c r="A2151" s="128" t="str">
        <f>IFERROR(__xludf.DUMMYFUNCTION("""COMPUTED_VALUE"""),"0918 879 510")</f>
        <v>0918 879 510</v>
      </c>
      <c r="B2151" s="127" t="str">
        <f>IFERROR(__xludf.DUMMYFUNCTION("""COMPUTED_VALUE"""),"Diệu Ân")</f>
        <v>Diệu Ân</v>
      </c>
      <c r="C2151" s="127" t="str">
        <f>IFERROR(__xludf.DUMMYFUNCTION("""COMPUTED_VALUE"""),"Phú Mộng - Kim Long")</f>
        <v>Phú Mộng - Kim Long</v>
      </c>
      <c r="D2151" s="127" t="str">
        <f>IFERROR(__xludf.DUMMYFUNCTION("""COMPUTED_VALUE"""),"chó")</f>
        <v>chó</v>
      </c>
      <c r="E2151" s="127" t="str">
        <f>IFERROR(__xludf.DUMMYFUNCTION("""COMPUTED_VALUE"""),"Luci")</f>
        <v>Luci</v>
      </c>
    </row>
    <row r="2152" ht="15.75" customHeight="1">
      <c r="A2152" s="128" t="str">
        <f>IFERROR(__xludf.DUMMYFUNCTION("""COMPUTED_VALUE"""),"0935 054 561")</f>
        <v>0935 054 561</v>
      </c>
      <c r="B2152" s="127" t="str">
        <f>IFERROR(__xludf.DUMMYFUNCTION("""COMPUTED_VALUE"""),"Anh Bình")</f>
        <v>Anh Bình</v>
      </c>
      <c r="C2152" s="127" t="str">
        <f>IFERROR(__xludf.DUMMYFUNCTION("""COMPUTED_VALUE"""),"Chợ Nọ")</f>
        <v>Chợ Nọ</v>
      </c>
      <c r="D2152" s="127" t="str">
        <f>IFERROR(__xludf.DUMMYFUNCTION("""COMPUTED_VALUE""")," Chó")</f>
        <v> Chó</v>
      </c>
      <c r="E2152" s="127" t="str">
        <f>IFERROR(__xludf.DUMMYFUNCTION("""COMPUTED_VALUE""")," MiLu")</f>
        <v> MiLu</v>
      </c>
    </row>
    <row r="2153" ht="15.75" customHeight="1">
      <c r="A2153" s="128" t="str">
        <f>IFERROR(__xludf.DUMMYFUNCTION("""COMPUTED_VALUE"""),"0938 350 405")</f>
        <v>0938 350 405</v>
      </c>
      <c r="B2153" s="127" t="str">
        <f>IFERROR(__xludf.DUMMYFUNCTION("""COMPUTED_VALUE"""),"Anh Hoàng")</f>
        <v>Anh Hoàng</v>
      </c>
      <c r="C2153" s="127" t="str">
        <f>IFERROR(__xludf.DUMMYFUNCTION("""COMPUTED_VALUE"""),"87 Duy Tân")</f>
        <v>87 Duy Tân</v>
      </c>
      <c r="D2153" s="127" t="str">
        <f>IFERROR(__xludf.DUMMYFUNCTION("""COMPUTED_VALUE"""),"mèo")</f>
        <v>mèo</v>
      </c>
      <c r="E2153" s="127" t="str">
        <f>IFERROR(__xludf.DUMMYFUNCTION("""COMPUTED_VALUE"""),"Misa")</f>
        <v>Misa</v>
      </c>
    </row>
    <row r="2154" ht="15.75" customHeight="1">
      <c r="A2154" s="117" t="str">
        <f>IFERROR(__xludf.DUMMYFUNCTION("""COMPUTED_VALUE"""),"0932 535 176")</f>
        <v>0932 535 176</v>
      </c>
      <c r="B2154" s="118" t="str">
        <f>IFERROR(__xludf.DUMMYFUNCTION("""COMPUTED_VALUE"""),"Chị Thủy")</f>
        <v>Chị Thủy</v>
      </c>
      <c r="C2154" s="118" t="str">
        <f>IFERROR(__xludf.DUMMYFUNCTION("""COMPUTED_VALUE"""),"An Văn-Hương An")</f>
        <v>An Văn-Hương An</v>
      </c>
      <c r="D2154" s="118" t="str">
        <f>IFERROR(__xludf.DUMMYFUNCTION("""COMPUTED_VALUE"""),"chó")</f>
        <v>chó</v>
      </c>
      <c r="E2154" s="119" t="str">
        <f>IFERROR(__xludf.DUMMYFUNCTION("""COMPUTED_VALUE"""),"Đốm")</f>
        <v>Đốm</v>
      </c>
    </row>
    <row r="2155" ht="15.75" customHeight="1">
      <c r="A2155" s="117" t="str">
        <f>IFERROR(__xludf.DUMMYFUNCTION("""COMPUTED_VALUE"""),"0947 576 712")</f>
        <v>0947 576 712</v>
      </c>
      <c r="B2155" s="118" t="str">
        <f>IFERROR(__xludf.DUMMYFUNCTION("""COMPUTED_VALUE"""),"Cô Tường Dung")</f>
        <v>Cô Tường Dung</v>
      </c>
      <c r="C2155" s="118" t="str">
        <f>IFERROR(__xludf.DUMMYFUNCTION("""COMPUTED_VALUE"""),"chùa Tô Đà")</f>
        <v>chùa Tô Đà</v>
      </c>
      <c r="D2155" s="118" t="str">
        <f>IFERROR(__xludf.DUMMYFUNCTION("""COMPUTED_VALUE"""),"chó")</f>
        <v>chó</v>
      </c>
      <c r="E2155" s="118" t="str">
        <f>IFERROR(__xludf.DUMMYFUNCTION("""COMPUTED_VALUE"""),"Tuda")</f>
        <v>Tuda</v>
      </c>
    </row>
    <row r="2156" ht="15.75" customHeight="1">
      <c r="A2156" s="128" t="str">
        <f>IFERROR(__xludf.DUMMYFUNCTION("""COMPUTED_VALUE"""),"0827 493 310")</f>
        <v>0827 493 310</v>
      </c>
      <c r="B2156" s="127" t="str">
        <f>IFERROR(__xludf.DUMMYFUNCTION("""COMPUTED_VALUE"""),"Mệ Vạn")</f>
        <v>Mệ Vạn</v>
      </c>
      <c r="C2156" s="127" t="str">
        <f>IFERROR(__xludf.DUMMYFUNCTION("""COMPUTED_VALUE"""),"15/4 Nguyễn pHúc Nguyên")</f>
        <v>15/4 Nguyễn pHúc Nguyên</v>
      </c>
      <c r="D2156" s="127" t="str">
        <f>IFERROR(__xludf.DUMMYFUNCTION("""COMPUTED_VALUE"""),"chó")</f>
        <v>chó</v>
      </c>
      <c r="E2156" s="127"/>
    </row>
    <row r="2157" ht="15.75" customHeight="1">
      <c r="A2157" s="128" t="str">
        <f>IFERROR(__xludf.DUMMYFUNCTION("""COMPUTED_VALUE"""),"0828 896 319")</f>
        <v>0828 896 319</v>
      </c>
      <c r="B2157" s="127" t="str">
        <f>IFERROR(__xludf.DUMMYFUNCTION("""COMPUTED_VALUE"""),"Chị Ngọc  ")</f>
        <v>Chị Ngọc  </v>
      </c>
      <c r="C2157" s="127" t="str">
        <f>IFERROR(__xludf.DUMMYFUNCTION("""COMPUTED_VALUE"""),"24/22 Nguyễn Phúc Nguyên")</f>
        <v>24/22 Nguyễn Phúc Nguyên</v>
      </c>
      <c r="D2157" s="127" t="str">
        <f>IFERROR(__xludf.DUMMYFUNCTION("""COMPUTED_VALUE"""),"mèo")</f>
        <v>mèo</v>
      </c>
      <c r="E2157" s="127" t="str">
        <f>IFERROR(__xludf.DUMMYFUNCTION("""COMPUTED_VALUE"""),"Bông")</f>
        <v>Bông</v>
      </c>
    </row>
    <row r="2158" ht="15.75" customHeight="1">
      <c r="A2158" s="117" t="str">
        <f>IFERROR(__xludf.DUMMYFUNCTION("""COMPUTED_VALUE"""),"0935 135 123")</f>
        <v>0935 135 123</v>
      </c>
      <c r="B2158" s="118" t="str">
        <f>IFERROR(__xludf.DUMMYFUNCTION("""COMPUTED_VALUE"""),"Anh Hoàng")</f>
        <v>Anh Hoàng</v>
      </c>
      <c r="C2158" s="118" t="str">
        <f>IFERROR(__xludf.DUMMYFUNCTION("""COMPUTED_VALUE"""),"Chợ Tuần")</f>
        <v>Chợ Tuần</v>
      </c>
      <c r="D2158" s="118" t="str">
        <f>IFERROR(__xludf.DUMMYFUNCTION("""COMPUTED_VALUE"""),"chó")</f>
        <v>chó</v>
      </c>
      <c r="E2158" s="118" t="str">
        <f>IFERROR(__xludf.DUMMYFUNCTION("""COMPUTED_VALUE"""),"Đậu")</f>
        <v>Đậu</v>
      </c>
    </row>
    <row r="2159" ht="15.75" customHeight="1">
      <c r="A2159" s="117" t="str">
        <f>IFERROR(__xludf.DUMMYFUNCTION("""COMPUTED_VALUE"""),"0888 884 479")</f>
        <v>0888 884 479</v>
      </c>
      <c r="B2159" s="118" t="str">
        <f>IFERROR(__xludf.DUMMYFUNCTION("""COMPUTED_VALUE"""),"Anh Nguyên")</f>
        <v>Anh Nguyên</v>
      </c>
      <c r="C2159" s="118" t="str">
        <f>IFERROR(__xludf.DUMMYFUNCTION("""COMPUTED_VALUE"""),"18/110 Kim Long")</f>
        <v>18/110 Kim Long</v>
      </c>
      <c r="D2159" s="118" t="str">
        <f>IFERROR(__xludf.DUMMYFUNCTION("""COMPUTED_VALUE"""),"chó")</f>
        <v>chó</v>
      </c>
      <c r="E2159" s="118" t="str">
        <f>IFERROR(__xludf.DUMMYFUNCTION("""COMPUTED_VALUE"""),"Lucky")</f>
        <v>Lucky</v>
      </c>
    </row>
    <row r="2160" ht="15.75" customHeight="1">
      <c r="A2160" s="117" t="str">
        <f>IFERROR(__xludf.DUMMYFUNCTION("""COMPUTED_VALUE"""),"0934 959 315")</f>
        <v>0934 959 315</v>
      </c>
      <c r="B2160" s="118" t="str">
        <f>IFERROR(__xludf.DUMMYFUNCTION("""COMPUTED_VALUE"""),"Chị Ngọc Trân")</f>
        <v>Chị Ngọc Trân</v>
      </c>
      <c r="C2160" s="118" t="str">
        <f>IFERROR(__xludf.DUMMYFUNCTION("""COMPUTED_VALUE"""),"177 Lê Duẩn")</f>
        <v>177 Lê Duẩn</v>
      </c>
      <c r="D2160" s="118" t="str">
        <f>IFERROR(__xludf.DUMMYFUNCTION("""COMPUTED_VALUE"""),"chó")</f>
        <v>chó</v>
      </c>
      <c r="E2160" s="118" t="str">
        <f>IFERROR(__xludf.DUMMYFUNCTION("""COMPUTED_VALUE"""),"Bít")</f>
        <v>Bít</v>
      </c>
    </row>
    <row r="2161" ht="15.75" customHeight="1">
      <c r="A2161" s="117" t="str">
        <f>IFERROR(__xludf.DUMMYFUNCTION("""COMPUTED_VALUE"""),"0397 411 234")</f>
        <v>0397 411 234</v>
      </c>
      <c r="B2161" s="118" t="str">
        <f>IFERROR(__xludf.DUMMYFUNCTION("""COMPUTED_VALUE"""),"Thiên Ân")</f>
        <v>Thiên Ân</v>
      </c>
      <c r="C2161" s="118" t="str">
        <f>IFERROR(__xludf.DUMMYFUNCTION("""COMPUTED_VALUE"""),"21/54/131 Trần Phú")</f>
        <v>21/54/131 Trần Phú</v>
      </c>
      <c r="D2161" s="118" t="str">
        <f>IFERROR(__xludf.DUMMYFUNCTION("""COMPUTED_VALUE"""),"chó")</f>
        <v>chó</v>
      </c>
      <c r="E2161" s="118" t="str">
        <f>IFERROR(__xludf.DUMMYFUNCTION("""COMPUTED_VALUE"""),"ken")</f>
        <v>ken</v>
      </c>
    </row>
    <row r="2162" ht="15.75" customHeight="1">
      <c r="A2162" s="128" t="str">
        <f>IFERROR(__xludf.DUMMYFUNCTION("""COMPUTED_VALUE"""),"0828 820 210")</f>
        <v>0828 820 210</v>
      </c>
      <c r="B2162" s="127" t="str">
        <f>IFERROR(__xludf.DUMMYFUNCTION("""COMPUTED_VALUE"""),"Anh Tài")</f>
        <v>Anh Tài</v>
      </c>
      <c r="C2162" s="127" t="str">
        <f>IFERROR(__xludf.DUMMYFUNCTION("""COMPUTED_VALUE"""),"k77 Thiên Thai")</f>
        <v>k77 Thiên Thai</v>
      </c>
      <c r="D2162" s="127" t="str">
        <f>IFERROR(__xludf.DUMMYFUNCTION("""COMPUTED_VALUE"""),"chó")</f>
        <v>chó</v>
      </c>
      <c r="E2162" s="127" t="str">
        <f>IFERROR(__xludf.DUMMYFUNCTION("""COMPUTED_VALUE"""),"dâu")</f>
        <v>dâu</v>
      </c>
    </row>
    <row r="2163" ht="15.75" customHeight="1">
      <c r="A2163" s="117" t="str">
        <f>IFERROR(__xludf.DUMMYFUNCTION("""COMPUTED_VALUE"""),"0374 227 300")</f>
        <v>0374 227 300</v>
      </c>
      <c r="B2163" s="144" t="str">
        <f>IFERROR(__xludf.DUMMYFUNCTION("""COMPUTED_VALUE"""),"Minh ")</f>
        <v>Minh </v>
      </c>
      <c r="C2163" s="118" t="str">
        <f>IFERROR(__xludf.DUMMYFUNCTION("""COMPUTED_VALUE"""),"Thủy bằng")</f>
        <v>Thủy bằng</v>
      </c>
      <c r="D2163" s="118" t="str">
        <f>IFERROR(__xludf.DUMMYFUNCTION("""COMPUTED_VALUE"""),"chó")</f>
        <v>chó</v>
      </c>
      <c r="E2163" s="118" t="str">
        <f>IFERROR(__xludf.DUMMYFUNCTION("""COMPUTED_VALUE"""),"đen")</f>
        <v>đen</v>
      </c>
    </row>
    <row r="2164" ht="15.75" customHeight="1">
      <c r="A2164" s="117" t="str">
        <f>IFERROR(__xludf.DUMMYFUNCTION("""COMPUTED_VALUE"""),"0866 672 275")</f>
        <v>0866 672 275</v>
      </c>
      <c r="B2164" s="144" t="str">
        <f>IFERROR(__xludf.DUMMYFUNCTION("""COMPUTED_VALUE"""),"Bình")</f>
        <v>Bình</v>
      </c>
      <c r="C2164" s="118" t="str">
        <f>IFERROR(__xludf.DUMMYFUNCTION("""COMPUTED_VALUE"""),"100/11 nguyễn lộ  trạch")</f>
        <v>100/11 nguyễn lộ  trạch</v>
      </c>
      <c r="D2164" s="118" t="str">
        <f>IFERROR(__xludf.DUMMYFUNCTION("""COMPUTED_VALUE"""),"mèo")</f>
        <v>mèo</v>
      </c>
      <c r="E2164" s="118" t="str">
        <f>IFERROR(__xludf.DUMMYFUNCTION("""COMPUTED_VALUE"""),"Audy")</f>
        <v>Audy</v>
      </c>
    </row>
    <row r="2165" ht="15.75" customHeight="1">
      <c r="A2165" s="128" t="str">
        <f>IFERROR(__xludf.DUMMYFUNCTION("""COMPUTED_VALUE"""),"0935 693 355")</f>
        <v>0935 693 355</v>
      </c>
      <c r="B2165" s="144" t="str">
        <f>IFERROR(__xludf.DUMMYFUNCTION("""COMPUTED_VALUE"""),"Chị Minh")</f>
        <v>Chị Minh</v>
      </c>
      <c r="C2165" s="127" t="str">
        <f>IFERROR(__xludf.DUMMYFUNCTION("""COMPUTED_VALUE"""),"02 Bùi Viện")</f>
        <v>02 Bùi Viện</v>
      </c>
      <c r="D2165" s="127" t="str">
        <f>IFERROR(__xludf.DUMMYFUNCTION("""COMPUTED_VALUE"""),"chó")</f>
        <v>chó</v>
      </c>
      <c r="E2165" s="127" t="str">
        <f>IFERROR(__xludf.DUMMYFUNCTION("""COMPUTED_VALUE"""),"khoai tây")</f>
        <v>khoai tây</v>
      </c>
    </row>
    <row r="2166" ht="15.75" customHeight="1">
      <c r="A2166" s="117" t="str">
        <f>IFERROR(__xludf.DUMMYFUNCTION("""COMPUTED_VALUE"""),"0812 481 173")</f>
        <v>0812 481 173</v>
      </c>
      <c r="B2166" s="144" t="str">
        <f>IFERROR(__xludf.DUMMYFUNCTION("""COMPUTED_VALUE"""),"Mỹ Quỳnh")</f>
        <v>Mỹ Quỳnh</v>
      </c>
      <c r="C2166" s="118" t="str">
        <f>IFERROR(__xludf.DUMMYFUNCTION("""COMPUTED_VALUE"""),"1/350 Phan Chu Trinh")</f>
        <v>1/350 Phan Chu Trinh</v>
      </c>
      <c r="D2166" s="118" t="str">
        <f>IFERROR(__xludf.DUMMYFUNCTION("""COMPUTED_VALUE"""),"chó")</f>
        <v>chó</v>
      </c>
      <c r="E2166" s="118" t="str">
        <f>IFERROR(__xludf.DUMMYFUNCTION("""COMPUTED_VALUE"""),"bún")</f>
        <v>bún</v>
      </c>
    </row>
    <row r="2167" ht="15.75" customHeight="1">
      <c r="A2167" s="128" t="str">
        <f>IFERROR(__xludf.DUMMYFUNCTION("""COMPUTED_VALUE"""),"Hội An")</f>
        <v>Hội An</v>
      </c>
      <c r="B2167" s="144" t="str">
        <f>IFERROR(__xludf.DUMMYFUNCTION("""COMPUTED_VALUE"""),"Chị Linh")</f>
        <v>Chị Linh</v>
      </c>
      <c r="C2167" s="127" t="str">
        <f>IFERROR(__xludf.DUMMYFUNCTION("""COMPUTED_VALUE"""),"Hội An")</f>
        <v>Hội An</v>
      </c>
      <c r="D2167" s="127" t="str">
        <f>IFERROR(__xludf.DUMMYFUNCTION("""COMPUTED_VALUE"""),"chó")</f>
        <v>chó</v>
      </c>
      <c r="E2167" s="127" t="str">
        <f>IFERROR(__xludf.DUMMYFUNCTION("""COMPUTED_VALUE"""),"Bikini")</f>
        <v>Bikini</v>
      </c>
    </row>
    <row r="2168" ht="15.75" customHeight="1">
      <c r="A2168" s="117" t="str">
        <f>IFERROR(__xludf.DUMMYFUNCTION("""COMPUTED_VALUE"""),"0969 569 464")</f>
        <v>0969 569 464</v>
      </c>
      <c r="B2168" s="144" t="str">
        <f>IFERROR(__xludf.DUMMYFUNCTION("""COMPUTED_VALUE"""),"Chị Thảo  ")</f>
        <v>Chị Thảo  </v>
      </c>
      <c r="C2168" s="118" t="str">
        <f>IFERROR(__xludf.DUMMYFUNCTION("""COMPUTED_VALUE"""),"59 Nguyễn Hữu Dật")</f>
        <v>59 Nguyễn Hữu Dật</v>
      </c>
      <c r="D2168" s="118" t="str">
        <f>IFERROR(__xludf.DUMMYFUNCTION("""COMPUTED_VALUE"""),"chó")</f>
        <v>chó</v>
      </c>
      <c r="E2168" s="118" t="str">
        <f>IFERROR(__xludf.DUMMYFUNCTION("""COMPUTED_VALUE"""),"Lu")</f>
        <v>Lu</v>
      </c>
    </row>
    <row r="2169" ht="15.75" customHeight="1">
      <c r="A2169" s="117" t="str">
        <f>IFERROR(__xludf.DUMMYFUNCTION("""COMPUTED_VALUE"""),"0364 832 457")</f>
        <v>0364 832 457</v>
      </c>
      <c r="B2169" s="144" t="str">
        <f>IFERROR(__xludf.DUMMYFUNCTION("""COMPUTED_VALUE"""),"Chị Hà")</f>
        <v>Chị Hà</v>
      </c>
      <c r="C2169" s="118" t="str">
        <f>IFERROR(__xludf.DUMMYFUNCTION("""COMPUTED_VALUE"""),"39 Hồ Văn Hiến")</f>
        <v>39 Hồ Văn Hiến</v>
      </c>
      <c r="D2169" s="118" t="str">
        <f>IFERROR(__xludf.DUMMYFUNCTION("""COMPUTED_VALUE"""),"mèo")</f>
        <v>mèo</v>
      </c>
      <c r="E2169" s="118"/>
    </row>
    <row r="2170" ht="15.75" customHeight="1">
      <c r="A2170" s="128" t="str">
        <f>IFERROR(__xludf.DUMMYFUNCTION("""COMPUTED_VALUE"""),"0358 741 810")</f>
        <v>0358 741 810</v>
      </c>
      <c r="B2170" s="127" t="str">
        <f>IFERROR(__xludf.DUMMYFUNCTION("""COMPUTED_VALUE"""),"Chị Diệp")</f>
        <v>Chị Diệp</v>
      </c>
      <c r="C2170" s="127" t="str">
        <f>IFERROR(__xludf.DUMMYFUNCTION("""COMPUTED_VALUE"""),"57A Nguyễn Hoàng")</f>
        <v>57A Nguyễn Hoàng</v>
      </c>
      <c r="D2170" s="127" t="str">
        <f>IFERROR(__xludf.DUMMYFUNCTION("""COMPUTED_VALUE"""),"chó")</f>
        <v>chó</v>
      </c>
      <c r="E2170" s="127" t="str">
        <f>IFERROR(__xludf.DUMMYFUNCTION("""COMPUTED_VALUE"""),"Dâu Tây")</f>
        <v>Dâu Tây</v>
      </c>
    </row>
    <row r="2171" ht="15.75" customHeight="1">
      <c r="A2171" s="117" t="str">
        <f>IFERROR(__xludf.DUMMYFUNCTION("""COMPUTED_VALUE"""),"0376 384 767")</f>
        <v>0376 384 767</v>
      </c>
      <c r="B2171" s="118" t="str">
        <f>IFERROR(__xludf.DUMMYFUNCTION("""COMPUTED_VALUE"""),"Chị Mỹ Tiên")</f>
        <v>Chị Mỹ Tiên</v>
      </c>
      <c r="C2171" s="118" t="str">
        <f>IFERROR(__xludf.DUMMYFUNCTION("""COMPUTED_VALUE"""),"Thanh Phước- Hương Phong")</f>
        <v>Thanh Phước- Hương Phong</v>
      </c>
      <c r="D2171" s="118" t="str">
        <f>IFERROR(__xludf.DUMMYFUNCTION("""COMPUTED_VALUE"""),"chó")</f>
        <v>chó</v>
      </c>
      <c r="E2171" s="118" t="str">
        <f>IFERROR(__xludf.DUMMYFUNCTION("""COMPUTED_VALUE"""),"Mập")</f>
        <v>Mập</v>
      </c>
    </row>
    <row r="2172" ht="15.75" customHeight="1">
      <c r="A2172" s="117" t="str">
        <f>IFERROR(__xludf.DUMMYFUNCTION("""COMPUTED_VALUE"""),"0985 439 110")</f>
        <v>0985 439 110</v>
      </c>
      <c r="B2172" s="118" t="str">
        <f>IFERROR(__xludf.DUMMYFUNCTION("""COMPUTED_VALUE"""),"Anh Công")</f>
        <v>Anh Công</v>
      </c>
      <c r="C2172" s="118" t="str">
        <f>IFERROR(__xludf.DUMMYFUNCTION("""COMPUTED_VALUE"""),"k131 Trần Phú")</f>
        <v>k131 Trần Phú</v>
      </c>
      <c r="D2172" s="118" t="str">
        <f>IFERROR(__xludf.DUMMYFUNCTION("""COMPUTED_VALUE"""),"chó")</f>
        <v>chó</v>
      </c>
      <c r="E2172" s="118" t="str">
        <f>IFERROR(__xludf.DUMMYFUNCTION("""COMPUTED_VALUE"""),"mèo")</f>
        <v>mèo</v>
      </c>
    </row>
    <row r="2173" ht="15.75" customHeight="1">
      <c r="A2173" s="128" t="str">
        <f>IFERROR(__xludf.DUMMYFUNCTION("""COMPUTED_VALUE"""),"0796 666 370")</f>
        <v>0796 666 370</v>
      </c>
      <c r="B2173" s="127" t="str">
        <f>IFERROR(__xludf.DUMMYFUNCTION("""COMPUTED_VALUE"""),"Anh Anh")</f>
        <v>Anh Anh</v>
      </c>
      <c r="C2173" s="127" t="str">
        <f>IFERROR(__xludf.DUMMYFUNCTION("""COMPUTED_VALUE"""),"Phú Mậu")</f>
        <v>Phú Mậu</v>
      </c>
      <c r="D2173" s="127" t="str">
        <f>IFERROR(__xludf.DUMMYFUNCTION("""COMPUTED_VALUE"""),"mèo")</f>
        <v>mèo</v>
      </c>
      <c r="E2173" s="127" t="str">
        <f>IFERROR(__xludf.DUMMYFUNCTION("""COMPUTED_VALUE"""),"Ko tên")</f>
        <v>Ko tên</v>
      </c>
    </row>
    <row r="2174" ht="15.75" customHeight="1">
      <c r="A2174" s="122" t="str">
        <f>IFERROR(__xludf.DUMMYFUNCTION("""COMPUTED_VALUE"""),"0843 452 452")</f>
        <v>0843 452 452</v>
      </c>
      <c r="B2174" s="127" t="str">
        <f>IFERROR(__xludf.DUMMYFUNCTION("""COMPUTED_VALUE"""),"Cẩm Tiên")</f>
        <v>Cẩm Tiên</v>
      </c>
      <c r="C2174" s="127" t="str">
        <f>IFERROR(__xludf.DUMMYFUNCTION("""COMPUTED_VALUE"""),"57 Hàn Mạc Tử")</f>
        <v>57 Hàn Mạc Tử</v>
      </c>
      <c r="D2174" s="127" t="str">
        <f>IFERROR(__xludf.DUMMYFUNCTION("""COMPUTED_VALUE"""),"Chó")</f>
        <v>Chó</v>
      </c>
      <c r="E2174" s="127" t="str">
        <f>IFERROR(__xludf.DUMMYFUNCTION("""COMPUTED_VALUE""")," Bông")</f>
        <v> Bông</v>
      </c>
    </row>
    <row r="2175" ht="15.75" customHeight="1">
      <c r="A2175" s="128" t="str">
        <f>IFERROR(__xludf.DUMMYFUNCTION("""COMPUTED_VALUE"""),"0934 900 094")</f>
        <v>0934 900 094</v>
      </c>
      <c r="B2175" s="127" t="str">
        <f>IFERROR(__xludf.DUMMYFUNCTION("""COMPUTED_VALUE"""),"chị thuận")</f>
        <v>chị thuận</v>
      </c>
      <c r="C2175" s="127" t="str">
        <f>IFERROR(__xludf.DUMMYFUNCTION("""COMPUTED_VALUE"""),"Thuỷ  Vân")</f>
        <v>Thuỷ  Vân</v>
      </c>
      <c r="D2175" s="127" t="str">
        <f>IFERROR(__xludf.DUMMYFUNCTION("""COMPUTED_VALUE"""),"mèo")</f>
        <v>mèo</v>
      </c>
      <c r="E2175" s="127" t="str">
        <f>IFERROR(__xludf.DUMMYFUNCTION("""COMPUTED_VALUE"""),"Trắng")</f>
        <v>Trắng</v>
      </c>
    </row>
    <row r="2176" ht="15.75" customHeight="1">
      <c r="A2176" s="117" t="str">
        <f>IFERROR(__xludf.DUMMYFUNCTION("""COMPUTED_VALUE"""),"0973 475 408")</f>
        <v>0973 475 408</v>
      </c>
      <c r="B2176" s="118" t="str">
        <f>IFERROR(__xludf.DUMMYFUNCTION("""COMPUTED_VALUE"""),"Em Vân")</f>
        <v>Em Vân</v>
      </c>
      <c r="C2176" s="118" t="str">
        <f>IFERROR(__xludf.DUMMYFUNCTION("""COMPUTED_VALUE"""),"k131 Trần Phú")</f>
        <v>k131 Trần Phú</v>
      </c>
      <c r="D2176" s="118" t="str">
        <f>IFERROR(__xludf.DUMMYFUNCTION("""COMPUTED_VALUE"""),"mèo")</f>
        <v>mèo</v>
      </c>
      <c r="E2176" s="118" t="str">
        <f>IFERROR(__xludf.DUMMYFUNCTION("""COMPUTED_VALUE"""),"bắp")</f>
        <v>bắp</v>
      </c>
    </row>
    <row r="2177" ht="15.75" customHeight="1">
      <c r="A2177" s="117" t="str">
        <f>IFERROR(__xludf.DUMMYFUNCTION("""COMPUTED_VALUE"""),"0343 434 588")</f>
        <v>0343 434 588</v>
      </c>
      <c r="B2177" s="118" t="str">
        <f>IFERROR(__xludf.DUMMYFUNCTION("""COMPUTED_VALUE"""),"Chị yến")</f>
        <v>Chị yến</v>
      </c>
      <c r="C2177" s="118" t="str">
        <f>IFERROR(__xludf.DUMMYFUNCTION("""COMPUTED_VALUE"""),"An tây")</f>
        <v>An tây</v>
      </c>
      <c r="D2177" s="118" t="str">
        <f>IFERROR(__xludf.DUMMYFUNCTION("""COMPUTED_VALUE"""),"chó")</f>
        <v>chó</v>
      </c>
      <c r="E2177" s="118" t="str">
        <f>IFERROR(__xludf.DUMMYFUNCTION("""COMPUTED_VALUE"""),"rose")</f>
        <v>rose</v>
      </c>
    </row>
    <row r="2178" ht="15.75" customHeight="1">
      <c r="A2178" s="117" t="str">
        <f>IFERROR(__xludf.DUMMYFUNCTION("""COMPUTED_VALUE"""),"0937 967 070")</f>
        <v>0937 967 070</v>
      </c>
      <c r="B2178" s="118" t="str">
        <f>IFERROR(__xludf.DUMMYFUNCTION("""COMPUTED_VALUE"""),"Anh Bình")</f>
        <v>Anh Bình</v>
      </c>
      <c r="C2178" s="118"/>
      <c r="D2178" s="118" t="str">
        <f>IFERROR(__xludf.DUMMYFUNCTION("""COMPUTED_VALUE"""),"mèo")</f>
        <v>mèo</v>
      </c>
      <c r="E2178" s="118" t="str">
        <f>IFERROR(__xludf.DUMMYFUNCTION("""COMPUTED_VALUE""")," xám")</f>
        <v> xám</v>
      </c>
    </row>
    <row r="2179" ht="15.75" customHeight="1">
      <c r="A2179" s="117" t="str">
        <f>IFERROR(__xludf.DUMMYFUNCTION("""COMPUTED_VALUE"""),"0359 210 903")</f>
        <v>0359 210 903</v>
      </c>
      <c r="B2179" s="118" t="str">
        <f>IFERROR(__xludf.DUMMYFUNCTION("""COMPUTED_VALUE"""),"Chị Tú")</f>
        <v>Chị Tú</v>
      </c>
      <c r="C2179" s="118" t="str">
        <f>IFERROR(__xludf.DUMMYFUNCTION("""COMPUTED_VALUE""")," 14 B62 Ngọc anh")</f>
        <v> 14 B62 Ngọc anh</v>
      </c>
      <c r="D2179" s="118" t="str">
        <f>IFERROR(__xludf.DUMMYFUNCTION("""COMPUTED_VALUE"""),"mèo")</f>
        <v>mèo</v>
      </c>
      <c r="E2179" s="118" t="str">
        <f>IFERROR(__xludf.DUMMYFUNCTION("""COMPUTED_VALUE""")," Gạo")</f>
        <v> Gạo</v>
      </c>
    </row>
    <row r="2180" ht="15.75" customHeight="1">
      <c r="A2180" s="128" t="str">
        <f>IFERROR(__xludf.DUMMYFUNCTION("""COMPUTED_VALUE"""),"0935 311 977")</f>
        <v>0935 311 977</v>
      </c>
      <c r="B2180" s="127" t="str">
        <f>IFERROR(__xludf.DUMMYFUNCTION("""COMPUTED_VALUE"""),"Chị Trang")</f>
        <v>Chị Trang</v>
      </c>
      <c r="C2180" s="127" t="str">
        <f>IFERROR(__xludf.DUMMYFUNCTION("""COMPUTED_VALUE"""),"15/36 Trần Quag Khải")</f>
        <v>15/36 Trần Quag Khải</v>
      </c>
      <c r="D2180" s="127" t="str">
        <f>IFERROR(__xludf.DUMMYFUNCTION("""COMPUTED_VALUE"""),"chó")</f>
        <v>chó</v>
      </c>
      <c r="E2180" s="127" t="str">
        <f>IFERROR(__xludf.DUMMYFUNCTION("""COMPUTED_VALUE""")," I nô")</f>
        <v> I nô</v>
      </c>
    </row>
    <row r="2181" ht="15.75" customHeight="1">
      <c r="A2181" s="128" t="str">
        <f>IFERROR(__xludf.DUMMYFUNCTION("""COMPUTED_VALUE"""),"0855 021 501")</f>
        <v>0855 021 501</v>
      </c>
      <c r="B2181" s="127" t="str">
        <f>IFERROR(__xludf.DUMMYFUNCTION("""COMPUTED_VALUE"""),"Zet")</f>
        <v>Zet</v>
      </c>
      <c r="C2181" s="127" t="str">
        <f>IFERROR(__xludf.DUMMYFUNCTION("""COMPUTED_VALUE"""),"k 25 Tùng Thiện Vương")</f>
        <v>k 25 Tùng Thiện Vương</v>
      </c>
      <c r="D2181" s="127" t="str">
        <f>IFERROR(__xludf.DUMMYFUNCTION("""COMPUTED_VALUE"""),"chó")</f>
        <v>chó</v>
      </c>
      <c r="E2181" s="127" t="str">
        <f>IFERROR(__xludf.DUMMYFUNCTION("""COMPUTED_VALUE""")," kẹo")</f>
        <v> kẹo</v>
      </c>
    </row>
    <row r="2182" ht="15.75" customHeight="1">
      <c r="A2182" s="128" t="str">
        <f>IFERROR(__xludf.DUMMYFUNCTION("""COMPUTED_VALUE"""),"0846 934 357")</f>
        <v>0846 934 357</v>
      </c>
      <c r="B2182" s="127" t="str">
        <f>IFERROR(__xludf.DUMMYFUNCTION("""COMPUTED_VALUE"""),"Thầy Từ Đàm")</f>
        <v>Thầy Từ Đàm</v>
      </c>
      <c r="C2182" s="127" t="str">
        <f>IFERROR(__xludf.DUMMYFUNCTION("""COMPUTED_VALUE"""),"chùa Từ Đàm")</f>
        <v>chùa Từ Đàm</v>
      </c>
      <c r="D2182" s="127" t="str">
        <f>IFERROR(__xludf.DUMMYFUNCTION("""COMPUTED_VALUE"""),"mèo")</f>
        <v>mèo</v>
      </c>
      <c r="E2182" s="127" t="str">
        <f>IFERROR(__xludf.DUMMYFUNCTION("""COMPUTED_VALUE"""),"miu")</f>
        <v>miu</v>
      </c>
    </row>
    <row r="2183" ht="15.75" customHeight="1">
      <c r="A2183" s="128" t="str">
        <f>IFERROR(__xludf.DUMMYFUNCTION("""COMPUTED_VALUE"""),"0346 116 462")</f>
        <v>0346 116 462</v>
      </c>
      <c r="B2183" s="127" t="str">
        <f>IFERROR(__xludf.DUMMYFUNCTION("""COMPUTED_VALUE"""),"Bác Trung")</f>
        <v>Bác Trung</v>
      </c>
      <c r="C2183" s="127" t="str">
        <f>IFERROR(__xludf.DUMMYFUNCTION("""COMPUTED_VALUE"""),"Phú Mậu Huế")</f>
        <v>Phú Mậu Huế</v>
      </c>
      <c r="D2183" s="127" t="str">
        <f>IFERROR(__xludf.DUMMYFUNCTION("""COMPUTED_VALUE"""),"chó ")</f>
        <v>chó </v>
      </c>
      <c r="E2183" s="127"/>
    </row>
    <row r="2184" ht="15.75" customHeight="1">
      <c r="A2184" s="117" t="str">
        <f>IFERROR(__xludf.DUMMYFUNCTION("""COMPUTED_VALUE"""),"0932 148 937")</f>
        <v>0932 148 937</v>
      </c>
      <c r="B2184" s="118" t="str">
        <f>IFERROR(__xludf.DUMMYFUNCTION("""COMPUTED_VALUE"""),"Chị Trâm")</f>
        <v>Chị Trâm</v>
      </c>
      <c r="C2184" s="118" t="str">
        <f>IFERROR(__xludf.DUMMYFUNCTION("""COMPUTED_VALUE"""),"10/35 Đặng Huy Trứ")</f>
        <v>10/35 Đặng Huy Trứ</v>
      </c>
      <c r="D2184" s="118" t="str">
        <f>IFERROR(__xludf.DUMMYFUNCTION("""COMPUTED_VALUE"""),"chó")</f>
        <v>chó</v>
      </c>
      <c r="E2184" s="118" t="str">
        <f>IFERROR(__xludf.DUMMYFUNCTION("""COMPUTED_VALUE"""),"bia")</f>
        <v>bia</v>
      </c>
    </row>
    <row r="2185" ht="15.75" customHeight="1">
      <c r="A2185" s="128" t="str">
        <f>IFERROR(__xludf.DUMMYFUNCTION("""COMPUTED_VALUE"""),"0763 774 649")</f>
        <v>0763 774 649</v>
      </c>
      <c r="B2185" s="127" t="str">
        <f>IFERROR(__xludf.DUMMYFUNCTION("""COMPUTED_VALUE"""),"Anh Huy")</f>
        <v>Anh Huy</v>
      </c>
      <c r="C2185" s="127" t="str">
        <f>IFERROR(__xludf.DUMMYFUNCTION("""COMPUTED_VALUE"""),"16 Nguyễn Chí Thanh")</f>
        <v>16 Nguyễn Chí Thanh</v>
      </c>
      <c r="D2185" s="127" t="str">
        <f>IFERROR(__xludf.DUMMYFUNCTION("""COMPUTED_VALUE"""),"mèo")</f>
        <v>mèo</v>
      </c>
      <c r="E2185" s="127" t="str">
        <f>IFERROR(__xludf.DUMMYFUNCTION("""COMPUTED_VALUE"""),"Mào")</f>
        <v>Mào</v>
      </c>
    </row>
    <row r="2186" ht="15.75" customHeight="1">
      <c r="A2186" s="117" t="str">
        <f>IFERROR(__xludf.DUMMYFUNCTION("""COMPUTED_VALUE"""),"0899 235 092")</f>
        <v>0899 235 092</v>
      </c>
      <c r="B2186" s="118" t="str">
        <f>IFERROR(__xludf.DUMMYFUNCTION("""COMPUTED_VALUE"""),"Anh Đạt")</f>
        <v>Anh Đạt</v>
      </c>
      <c r="C2186" s="118" t="str">
        <f>IFERROR(__xludf.DUMMYFUNCTION("""COMPUTED_VALUE"""),"K149 Trần Phú")</f>
        <v>K149 Trần Phú</v>
      </c>
      <c r="D2186" s="118" t="str">
        <f>IFERROR(__xludf.DUMMYFUNCTION("""COMPUTED_VALUE"""),"chó")</f>
        <v>chó</v>
      </c>
      <c r="E2186" s="118" t="str">
        <f>IFERROR(__xludf.DUMMYFUNCTION("""COMPUTED_VALUE"""),"sa")</f>
        <v>sa</v>
      </c>
    </row>
    <row r="2187" ht="15.75" customHeight="1">
      <c r="A2187" s="128" t="str">
        <f>IFERROR(__xludf.DUMMYFUNCTION("""COMPUTED_VALUE"""),"0784 474 860")</f>
        <v>0784 474 860</v>
      </c>
      <c r="B2187" s="127" t="str">
        <f>IFERROR(__xludf.DUMMYFUNCTION("""COMPUTED_VALUE"""),"Chị Thảo Nhi")</f>
        <v>Chị Thảo Nhi</v>
      </c>
      <c r="C2187" s="127" t="str">
        <f>IFERROR(__xludf.DUMMYFUNCTION("""COMPUTED_VALUE"""),"1/16/16 Đoàn Hữu Trưng")</f>
        <v>1/16/16 Đoàn Hữu Trưng</v>
      </c>
      <c r="D2187" s="127" t="str">
        <f>IFERROR(__xludf.DUMMYFUNCTION("""COMPUTED_VALUE"""),"chó")</f>
        <v>chó</v>
      </c>
      <c r="E2187" s="127" t="str">
        <f>IFERROR(__xludf.DUMMYFUNCTION("""COMPUTED_VALUE"""),"bon")</f>
        <v>bon</v>
      </c>
    </row>
    <row r="2188" ht="15.75" customHeight="1">
      <c r="A2188" s="117" t="str">
        <f>IFERROR(__xludf.DUMMYFUNCTION("""COMPUTED_VALUE"""),"0896 239 034")</f>
        <v>0896 239 034</v>
      </c>
      <c r="B2188" s="118" t="str">
        <f>IFERROR(__xludf.DUMMYFUNCTION("""COMPUTED_VALUE"""),"Duy Huynh")</f>
        <v>Duy Huynh</v>
      </c>
      <c r="C2188" s="118" t="str">
        <f>IFERROR(__xludf.DUMMYFUNCTION("""COMPUTED_VALUE"""),"3/166 Điện Biên phủ")</f>
        <v>3/166 Điện Biên phủ</v>
      </c>
      <c r="D2188" s="118" t="str">
        <f>IFERROR(__xludf.DUMMYFUNCTION("""COMPUTED_VALUE"""),"chó")</f>
        <v>chó</v>
      </c>
      <c r="E2188" s="118"/>
    </row>
    <row r="2189" ht="15.75" customHeight="1">
      <c r="A2189" s="128" t="str">
        <f>IFERROR(__xludf.DUMMYFUNCTION("""COMPUTED_VALUE"""),"0963 771 042")</f>
        <v>0963 771 042</v>
      </c>
      <c r="B2189" s="127" t="str">
        <f>IFERROR(__xludf.DUMMYFUNCTION("""COMPUTED_VALUE"""),"Trần Mẫn")</f>
        <v>Trần Mẫn</v>
      </c>
      <c r="C2189" s="127" t="str">
        <f>IFERROR(__xludf.DUMMYFUNCTION("""COMPUTED_VALUE"""),"26/15/69/131 Trần Phú")</f>
        <v>26/15/69/131 Trần Phú</v>
      </c>
      <c r="D2189" s="127" t="str">
        <f>IFERROR(__xludf.DUMMYFUNCTION("""COMPUTED_VALUE"""),"chó")</f>
        <v>chó</v>
      </c>
      <c r="E2189" s="127" t="str">
        <f>IFERROR(__xludf.DUMMYFUNCTION("""COMPUTED_VALUE"""),"na su")</f>
        <v>na su</v>
      </c>
    </row>
    <row r="2190" ht="15.75" customHeight="1">
      <c r="A2190" s="117" t="str">
        <f>IFERROR(__xludf.DUMMYFUNCTION("""COMPUTED_VALUE"""),"0378 738 204")</f>
        <v>0378 738 204</v>
      </c>
      <c r="B2190" s="118" t="str">
        <f>IFERROR(__xludf.DUMMYFUNCTION("""COMPUTED_VALUE"""),"Vũ")</f>
        <v>Vũ</v>
      </c>
      <c r="C2190" s="118" t="str">
        <f>IFERROR(__xludf.DUMMYFUNCTION("""COMPUTED_VALUE"""),"20/227 Trần Phú")</f>
        <v>20/227 Trần Phú</v>
      </c>
      <c r="D2190" s="118" t="str">
        <f>IFERROR(__xludf.DUMMYFUNCTION("""COMPUTED_VALUE"""),"chó")</f>
        <v>chó</v>
      </c>
      <c r="E2190" s="118" t="str">
        <f>IFERROR(__xludf.DUMMYFUNCTION("""COMPUTED_VALUE"""),"Lu")</f>
        <v>Lu</v>
      </c>
    </row>
    <row r="2191" ht="15.75" customHeight="1">
      <c r="A2191" s="117" t="str">
        <f>IFERROR(__xludf.DUMMYFUNCTION("""COMPUTED_VALUE"""),"0789 469 561")</f>
        <v>0789 469 561</v>
      </c>
      <c r="B2191" s="118" t="str">
        <f>IFERROR(__xludf.DUMMYFUNCTION("""COMPUTED_VALUE"""),"Anh An")</f>
        <v>Anh An</v>
      </c>
      <c r="C2191" s="118" t="str">
        <f>IFERROR(__xludf.DUMMYFUNCTION("""COMPUTED_VALUE"""),"kiệt 4 Vân Dương, Thuỷ Vân")</f>
        <v>kiệt 4 Vân Dương, Thuỷ Vân</v>
      </c>
      <c r="D2191" s="118" t="str">
        <f>IFERROR(__xludf.DUMMYFUNCTION("""COMPUTED_VALUE"""),"chó")</f>
        <v>chó</v>
      </c>
      <c r="E2191" s="118" t="str">
        <f>IFERROR(__xludf.DUMMYFUNCTION("""COMPUTED_VALUE"""),"Đen")</f>
        <v>Đen</v>
      </c>
    </row>
    <row r="2192" ht="15.75" customHeight="1">
      <c r="A2192" s="128" t="str">
        <f>IFERROR(__xludf.DUMMYFUNCTION("""COMPUTED_VALUE"""),"0939 227 051")</f>
        <v>0939 227 051</v>
      </c>
      <c r="B2192" s="127" t="str">
        <f>IFERROR(__xludf.DUMMYFUNCTION("""COMPUTED_VALUE"""),"Chú Lê Sử")</f>
        <v>Chú Lê Sử</v>
      </c>
      <c r="C2192" s="127" t="str">
        <f>IFERROR(__xludf.DUMMYFUNCTION("""COMPUTED_VALUE"""),"17/254 Phạm Văn Đồng")</f>
        <v>17/254 Phạm Văn Đồng</v>
      </c>
      <c r="D2192" s="127" t="str">
        <f>IFERROR(__xludf.DUMMYFUNCTION("""COMPUTED_VALUE"""),"chó")</f>
        <v>chó</v>
      </c>
      <c r="E2192" s="127" t="str">
        <f>IFERROR(__xludf.DUMMYFUNCTION("""COMPUTED_VALUE"""),"Na")</f>
        <v>Na</v>
      </c>
    </row>
    <row r="2193" ht="15.75" customHeight="1">
      <c r="A2193" s="128" t="str">
        <f>IFERROR(__xludf.DUMMYFUNCTION("""COMPUTED_VALUE"""),"0905 910 797")</f>
        <v>0905 910 797</v>
      </c>
      <c r="B2193" s="127" t="str">
        <f>IFERROR(__xludf.DUMMYFUNCTION("""COMPUTED_VALUE"""),"Anh Toàn")</f>
        <v>Anh Toàn</v>
      </c>
      <c r="C2193" s="127" t="str">
        <f>IFERROR(__xludf.DUMMYFUNCTION("""COMPUTED_VALUE"""),"222 Phạm Văn Đồng")</f>
        <v>222 Phạm Văn Đồng</v>
      </c>
      <c r="D2193" s="127" t="str">
        <f>IFERROR(__xludf.DUMMYFUNCTION("""COMPUTED_VALUE"""),"mèo")</f>
        <v>mèo</v>
      </c>
      <c r="E2193" s="127" t="str">
        <f>IFERROR(__xludf.DUMMYFUNCTION("""COMPUTED_VALUE"""),"Bún")</f>
        <v>Bún</v>
      </c>
    </row>
    <row r="2194" ht="15.75" customHeight="1">
      <c r="A2194" s="128" t="str">
        <f>IFERROR(__xludf.DUMMYFUNCTION("""COMPUTED_VALUE"""),"0367 592 922")</f>
        <v>0367 592 922</v>
      </c>
      <c r="B2194" s="127" t="str">
        <f>IFERROR(__xludf.DUMMYFUNCTION("""COMPUTED_VALUE"""),"Chị Lý")</f>
        <v>Chị Lý</v>
      </c>
      <c r="C2194" s="127" t="str">
        <f>IFERROR(__xludf.DUMMYFUNCTION("""COMPUTED_VALUE"""),"La ỷ- Phú Thượng")</f>
        <v>La ỷ- Phú Thượng</v>
      </c>
      <c r="D2194" s="127" t="str">
        <f>IFERROR(__xludf.DUMMYFUNCTION("""COMPUTED_VALUE"""),"chó")</f>
        <v>chó</v>
      </c>
      <c r="E2194" s="127"/>
    </row>
    <row r="2195" ht="15.75" customHeight="1">
      <c r="A2195" s="128" t="str">
        <f>IFERROR(__xludf.DUMMYFUNCTION("""COMPUTED_VALUE"""),"0397 525 522")</f>
        <v>0397 525 522</v>
      </c>
      <c r="B2195" s="127" t="str">
        <f>IFERROR(__xludf.DUMMYFUNCTION("""COMPUTED_VALUE"""),"Anh Chung ")</f>
        <v>Anh Chung </v>
      </c>
      <c r="C2195" s="127" t="str">
        <f>IFERROR(__xludf.DUMMYFUNCTION("""COMPUTED_VALUE"""),"2A/ 140 Lý Nam Đế")</f>
        <v>2A/ 140 Lý Nam Đế</v>
      </c>
      <c r="D2195" s="127" t="str">
        <f>IFERROR(__xludf.DUMMYFUNCTION("""COMPUTED_VALUE"""),"Chó")</f>
        <v>Chó</v>
      </c>
      <c r="E2195" s="127" t="str">
        <f>IFERROR(__xludf.DUMMYFUNCTION("""COMPUTED_VALUE"""),"Moon")</f>
        <v>Moon</v>
      </c>
    </row>
    <row r="2196" ht="15.75" customHeight="1">
      <c r="A2196" s="117" t="str">
        <f>IFERROR(__xludf.DUMMYFUNCTION("""COMPUTED_VALUE"""),"0868 991 427")</f>
        <v>0868 991 427</v>
      </c>
      <c r="B2196" s="118" t="str">
        <f>IFERROR(__xludf.DUMMYFUNCTION("""COMPUTED_VALUE"""),"Anh Hưng")</f>
        <v>Anh Hưng</v>
      </c>
      <c r="C2196" s="118" t="str">
        <f>IFERROR(__xludf.DUMMYFUNCTION("""COMPUTED_VALUE"""),"30/7 Lê Thánh Tôn/ 32/69 Đặng Huy Trứ")</f>
        <v>30/7 Lê Thánh Tôn/ 32/69 Đặng Huy Trứ</v>
      </c>
      <c r="D2196" s="118" t="str">
        <f>IFERROR(__xludf.DUMMYFUNCTION("""COMPUTED_VALUE"""),"Mèo")</f>
        <v>Mèo</v>
      </c>
      <c r="E2196" s="118" t="str">
        <f>IFERROR(__xludf.DUMMYFUNCTION("""COMPUTED_VALUE"""),"Mon")</f>
        <v>Mon</v>
      </c>
    </row>
    <row r="2197" ht="15.75" customHeight="1">
      <c r="A2197" s="128" t="str">
        <f>IFERROR(__xludf.DUMMYFUNCTION("""COMPUTED_VALUE"""),"0813 683 600")</f>
        <v>0813 683 600</v>
      </c>
      <c r="B2197" s="127" t="str">
        <f>IFERROR(__xludf.DUMMYFUNCTION("""COMPUTED_VALUE"""),"Chị Kim ")</f>
        <v>Chị Kim </v>
      </c>
      <c r="C2197" s="127" t="str">
        <f>IFERROR(__xludf.DUMMYFUNCTION("""COMPUTED_VALUE"""),"79 Nguyễn Hoàng")</f>
        <v>79 Nguyễn Hoàng</v>
      </c>
      <c r="D2197" s="127" t="str">
        <f>IFERROR(__xludf.DUMMYFUNCTION("""COMPUTED_VALUE"""),"chó")</f>
        <v>chó</v>
      </c>
      <c r="E2197" s="127"/>
    </row>
    <row r="2198" ht="15.75" customHeight="1">
      <c r="A2198" s="128" t="str">
        <f>IFERROR(__xludf.DUMMYFUNCTION("""COMPUTED_VALUE"""),"0935 223 435")</f>
        <v>0935 223 435</v>
      </c>
      <c r="B2198" s="127" t="str">
        <f>IFERROR(__xludf.DUMMYFUNCTION("""COMPUTED_VALUE"""),"Dì Dung ")</f>
        <v>Dì Dung </v>
      </c>
      <c r="C2198" s="127" t="str">
        <f>IFERROR(__xludf.DUMMYFUNCTION("""COMPUTED_VALUE"""),"255 Lý Thần Tông")</f>
        <v>255 Lý Thần Tông</v>
      </c>
      <c r="D2198" s="127" t="str">
        <f>IFERROR(__xludf.DUMMYFUNCTION("""COMPUTED_VALUE"""),"Chó")</f>
        <v>Chó</v>
      </c>
      <c r="E2198" s="127" t="str">
        <f>IFERROR(__xludf.DUMMYFUNCTION("""COMPUTED_VALUE"""),"Nai")</f>
        <v>Nai</v>
      </c>
    </row>
    <row r="2199" ht="15.75" customHeight="1">
      <c r="A2199" s="128" t="str">
        <f>IFERROR(__xludf.DUMMYFUNCTION("""COMPUTED_VALUE"""),"0911 385 211")</f>
        <v>0911 385 211</v>
      </c>
      <c r="B2199" s="127" t="str">
        <f>IFERROR(__xludf.DUMMYFUNCTION("""COMPUTED_VALUE"""),"Chú Bá")</f>
        <v>Chú Bá</v>
      </c>
      <c r="C2199" s="127" t="str">
        <f>IFERROR(__xludf.DUMMYFUNCTION("""COMPUTED_VALUE"""),"226 Lý Nam Đế")</f>
        <v>226 Lý Nam Đế</v>
      </c>
      <c r="D2199" s="127" t="str">
        <f>IFERROR(__xludf.DUMMYFUNCTION("""COMPUTED_VALUE"""),"chó")</f>
        <v>chó</v>
      </c>
      <c r="E2199" s="127" t="str">
        <f>IFERROR(__xludf.DUMMYFUNCTION("""COMPUTED_VALUE"""),"Bơ")</f>
        <v>Bơ</v>
      </c>
    </row>
    <row r="2200" ht="15.75" customHeight="1">
      <c r="A2200" s="128" t="str">
        <f>IFERROR(__xludf.DUMMYFUNCTION("""COMPUTED_VALUE"""),"0772 406 598")</f>
        <v>0772 406 598</v>
      </c>
      <c r="B2200" s="127" t="str">
        <f>IFERROR(__xludf.DUMMYFUNCTION("""COMPUTED_VALUE"""),"Chị Trang")</f>
        <v>Chị Trang</v>
      </c>
      <c r="C2200" s="127" t="str">
        <f>IFERROR(__xludf.DUMMYFUNCTION("""COMPUTED_VALUE"""),"12/5 Phạm Thị liên")</f>
        <v>12/5 Phạm Thị liên</v>
      </c>
      <c r="D2200" s="127" t="str">
        <f>IFERROR(__xludf.DUMMYFUNCTION("""COMPUTED_VALUE"""),"chó")</f>
        <v>chó</v>
      </c>
      <c r="E2200" s="127" t="str">
        <f>IFERROR(__xludf.DUMMYFUNCTION("""COMPUTED_VALUE"""),"Nô")</f>
        <v>Nô</v>
      </c>
    </row>
    <row r="2201" ht="15.75" customHeight="1">
      <c r="A2201" s="128" t="str">
        <f>IFERROR(__xludf.DUMMYFUNCTION("""COMPUTED_VALUE"""),"0346 197 678")</f>
        <v>0346 197 678</v>
      </c>
      <c r="B2201" s="127" t="str">
        <f>IFERROR(__xludf.DUMMYFUNCTION("""COMPUTED_VALUE"""),"Anh Phương")</f>
        <v>Anh Phương</v>
      </c>
      <c r="C2201" s="127" t="str">
        <f>IFERROR(__xludf.DUMMYFUNCTION("""COMPUTED_VALUE"""),"262 Phan Chu Trinh")</f>
        <v>262 Phan Chu Trinh</v>
      </c>
      <c r="D2201" s="127" t="str">
        <f>IFERROR(__xludf.DUMMYFUNCTION("""COMPUTED_VALUE"""),"chó")</f>
        <v>chó</v>
      </c>
      <c r="E2201" s="127" t="str">
        <f>IFERROR(__xludf.DUMMYFUNCTION("""COMPUTED_VALUE"""),"Thúi")</f>
        <v>Thúi</v>
      </c>
    </row>
    <row r="2202" ht="15.75" customHeight="1">
      <c r="A2202" s="117" t="str">
        <f>IFERROR(__xludf.DUMMYFUNCTION("""COMPUTED_VALUE"""),"0396 365 846")</f>
        <v>0396 365 846</v>
      </c>
      <c r="B2202" s="118" t="str">
        <f>IFERROR(__xludf.DUMMYFUNCTION("""COMPUTED_VALUE"""),"Anh Nguyện ")</f>
        <v>Anh Nguyện </v>
      </c>
      <c r="C2202" s="118" t="str">
        <f>IFERROR(__xludf.DUMMYFUNCTION("""COMPUTED_VALUE"""),"An Hòa")</f>
        <v>An Hòa</v>
      </c>
      <c r="D2202" s="118" t="str">
        <f>IFERROR(__xludf.DUMMYFUNCTION("""COMPUTED_VALUE"""),"chó")</f>
        <v>chó</v>
      </c>
      <c r="E2202" s="118"/>
    </row>
    <row r="2203" ht="15.75" customHeight="1">
      <c r="A2203" s="128" t="str">
        <f>IFERROR(__xludf.DUMMYFUNCTION("""COMPUTED_VALUE"""),"0772 555 320")</f>
        <v>0772 555 320</v>
      </c>
      <c r="B2203" s="127" t="str">
        <f>IFERROR(__xludf.DUMMYFUNCTION("""COMPUTED_VALUE"""),"Dì Phương")</f>
        <v>Dì Phương</v>
      </c>
      <c r="C2203" s="127" t="str">
        <f>IFERROR(__xludf.DUMMYFUNCTION("""COMPUTED_VALUE"""),"24 Lý Nhân Tông")</f>
        <v>24 Lý Nhân Tông</v>
      </c>
      <c r="D2203" s="127" t="str">
        <f>IFERROR(__xludf.DUMMYFUNCTION("""COMPUTED_VALUE"""),"chó")</f>
        <v>chó</v>
      </c>
      <c r="E2203" s="127" t="str">
        <f>IFERROR(__xludf.DUMMYFUNCTION("""COMPUTED_VALUE"""),"ricky")</f>
        <v>ricky</v>
      </c>
    </row>
    <row r="2204" ht="15.75" customHeight="1">
      <c r="A2204" s="117" t="str">
        <f>IFERROR(__xludf.DUMMYFUNCTION("""COMPUTED_VALUE"""),"0946 675 453")</f>
        <v>0946 675 453</v>
      </c>
      <c r="B2204" s="118" t="str">
        <f>IFERROR(__xludf.DUMMYFUNCTION("""COMPUTED_VALUE"""),"Chị Minh Anh")</f>
        <v>Chị Minh Anh</v>
      </c>
      <c r="C2204" s="119" t="str">
        <f>IFERROR(__xludf.DUMMYFUNCTION("""COMPUTED_VALUE"""),"kiệt 162 Lý Nam Đế")</f>
        <v>kiệt 162 Lý Nam Đế</v>
      </c>
      <c r="D2204" s="118" t="str">
        <f>IFERROR(__xludf.DUMMYFUNCTION("""COMPUTED_VALUE"""),"chó")</f>
        <v>chó</v>
      </c>
      <c r="E2204" s="118" t="str">
        <f>IFERROR(__xludf.DUMMYFUNCTION("""COMPUTED_VALUE"""),"chuối")</f>
        <v>chuối</v>
      </c>
    </row>
    <row r="2205" ht="15.75" customHeight="1">
      <c r="A2205" s="128" t="str">
        <f>IFERROR(__xludf.DUMMYFUNCTION("""COMPUTED_VALUE"""),"0359 485 472")</f>
        <v>0359 485 472</v>
      </c>
      <c r="B2205" s="127" t="str">
        <f>IFERROR(__xludf.DUMMYFUNCTION("""COMPUTED_VALUE"""),"Anh Sĩ")</f>
        <v>Anh Sĩ</v>
      </c>
      <c r="C2205" s="127" t="str">
        <f>IFERROR(__xludf.DUMMYFUNCTION("""COMPUTED_VALUE"""),"44/35 Ngự Bình")</f>
        <v>44/35 Ngự Bình</v>
      </c>
      <c r="D2205" s="127" t="str">
        <f>IFERROR(__xludf.DUMMYFUNCTION("""COMPUTED_VALUE"""),"mèo")</f>
        <v>mèo</v>
      </c>
      <c r="E2205" s="127" t="str">
        <f>IFERROR(__xludf.DUMMYFUNCTION("""COMPUTED_VALUE"""),"Báo")</f>
        <v>Báo</v>
      </c>
    </row>
    <row r="2206" ht="15.75" customHeight="1">
      <c r="A2206" s="128" t="str">
        <f>IFERROR(__xludf.DUMMYFUNCTION("""COMPUTED_VALUE"""),"0925 685 336")</f>
        <v>0925 685 336</v>
      </c>
      <c r="B2206" s="127" t="str">
        <f>IFERROR(__xludf.DUMMYFUNCTION("""COMPUTED_VALUE"""),"Nguyễn Văn Hải")</f>
        <v>Nguyễn Văn Hải</v>
      </c>
      <c r="C2206" s="127" t="str">
        <f>IFERROR(__xludf.DUMMYFUNCTION("""COMPUTED_VALUE"""),"23/35 Ngự Bình")</f>
        <v>23/35 Ngự Bình</v>
      </c>
      <c r="D2206" s="127" t="str">
        <f>IFERROR(__xludf.DUMMYFUNCTION("""COMPUTED_VALUE"""),"Chó")</f>
        <v>Chó</v>
      </c>
      <c r="E2206" s="127" t="str">
        <f>IFERROR(__xludf.DUMMYFUNCTION("""COMPUTED_VALUE"""),"Milu")</f>
        <v>Milu</v>
      </c>
    </row>
    <row r="2207" ht="15.75" customHeight="1">
      <c r="A2207" s="117" t="str">
        <f>IFERROR(__xludf.DUMMYFUNCTION("""COMPUTED_VALUE"""),"0913 420 033")</f>
        <v>0913 420 033</v>
      </c>
      <c r="B2207" s="118" t="str">
        <f>IFERROR(__xludf.DUMMYFUNCTION("""COMPUTED_VALUE"""),"Chị Phương")</f>
        <v>Chị Phương</v>
      </c>
      <c r="C2207" s="118" t="str">
        <f>IFERROR(__xludf.DUMMYFUNCTION("""COMPUTED_VALUE"""),"129 Long Hồ")</f>
        <v>129 Long Hồ</v>
      </c>
      <c r="D2207" s="118" t="str">
        <f>IFERROR(__xludf.DUMMYFUNCTION("""COMPUTED_VALUE"""),"chó")</f>
        <v>chó</v>
      </c>
      <c r="E2207" s="118" t="str">
        <f>IFERROR(__xludf.DUMMYFUNCTION("""COMPUTED_VALUE"""),"Bu")</f>
        <v>Bu</v>
      </c>
    </row>
    <row r="2208" ht="15.75" customHeight="1">
      <c r="A2208" s="128" t="str">
        <f>IFERROR(__xludf.DUMMYFUNCTION("""COMPUTED_VALUE"""),"0935 300 135")</f>
        <v>0935 300 135</v>
      </c>
      <c r="B2208" s="127" t="str">
        <f>IFERROR(__xludf.DUMMYFUNCTION("""COMPUTED_VALUE"""),"anh Phùng")</f>
        <v>anh Phùng</v>
      </c>
      <c r="C2208" s="127" t="str">
        <f>IFERROR(__xludf.DUMMYFUNCTION("""COMPUTED_VALUE"""),"11/4/147 phan Đình Phùng")</f>
        <v>11/4/147 phan Đình Phùng</v>
      </c>
      <c r="D2208" s="127" t="str">
        <f>IFERROR(__xludf.DUMMYFUNCTION("""COMPUTED_VALUE"""),"Chó")</f>
        <v>Chó</v>
      </c>
      <c r="E2208" s="127" t="str">
        <f>IFERROR(__xludf.DUMMYFUNCTION("""COMPUTED_VALUE"""),"Vàng")</f>
        <v>Vàng</v>
      </c>
    </row>
    <row r="2209" ht="15.75" customHeight="1">
      <c r="A2209" s="128" t="str">
        <f>IFERROR(__xludf.DUMMYFUNCTION("""COMPUTED_VALUE"""),"0934 929 062")</f>
        <v>0934 929 062</v>
      </c>
      <c r="B2209" s="127" t="str">
        <f>IFERROR(__xludf.DUMMYFUNCTION("""COMPUTED_VALUE"""),"Anh Tuấn")</f>
        <v>Anh Tuấn</v>
      </c>
      <c r="C2209" s="127" t="str">
        <f>IFERROR(__xludf.DUMMYFUNCTION("""COMPUTED_VALUE"""),"82/1 Nguyễn Huệ")</f>
        <v>82/1 Nguyễn Huệ</v>
      </c>
      <c r="D2209" s="127" t="str">
        <f>IFERROR(__xludf.DUMMYFUNCTION("""COMPUTED_VALUE"""),"Chó")</f>
        <v>Chó</v>
      </c>
      <c r="E2209" s="127" t="str">
        <f>IFERROR(__xludf.DUMMYFUNCTION("""COMPUTED_VALUE"""),"Bơ")</f>
        <v>Bơ</v>
      </c>
    </row>
    <row r="2210" ht="15.75" customHeight="1">
      <c r="A2210" s="128" t="str">
        <f>IFERROR(__xludf.DUMMYFUNCTION("""COMPUTED_VALUE"""),"0829 036 169")</f>
        <v>0829 036 169</v>
      </c>
      <c r="B2210" s="127" t="str">
        <f>IFERROR(__xludf.DUMMYFUNCTION("""COMPUTED_VALUE"""),"An Sương")</f>
        <v>An Sương</v>
      </c>
      <c r="C2210" s="119" t="str">
        <f>IFERROR(__xludf.DUMMYFUNCTION("""COMPUTED_VALUE"""),"9/68 Ngự Bình")</f>
        <v>9/68 Ngự Bình</v>
      </c>
      <c r="D2210" s="127" t="str">
        <f>IFERROR(__xludf.DUMMYFUNCTION("""COMPUTED_VALUE"""),"Mèo")</f>
        <v>Mèo</v>
      </c>
      <c r="E2210" s="127"/>
    </row>
    <row r="2211" ht="15.75" customHeight="1">
      <c r="A2211" s="128" t="str">
        <f>IFERROR(__xludf.DUMMYFUNCTION("""COMPUTED_VALUE"""),"0795 712 183")</f>
        <v>0795 712 183</v>
      </c>
      <c r="B2211" s="127" t="str">
        <f>IFERROR(__xludf.DUMMYFUNCTION("""COMPUTED_VALUE"""),"Anh Công")</f>
        <v>Anh Công</v>
      </c>
      <c r="C2211" s="119" t="str">
        <f>IFERROR(__xludf.DUMMYFUNCTION("""COMPUTED_VALUE"""),"tổ 11 Thủy Xuân, Tp Huế")</f>
        <v>tổ 11 Thủy Xuân, Tp Huế</v>
      </c>
      <c r="D2211" s="127" t="str">
        <f>IFERROR(__xludf.DUMMYFUNCTION("""COMPUTED_VALUE"""),"Chó")</f>
        <v>Chó</v>
      </c>
      <c r="E2211" s="119" t="str">
        <f>IFERROR(__xludf.DUMMYFUNCTION("""COMPUTED_VALUE"""),"Đen")</f>
        <v>Đen</v>
      </c>
    </row>
    <row r="2212" ht="15.75" customHeight="1">
      <c r="A2212" s="117" t="str">
        <f>IFERROR(__xludf.DUMMYFUNCTION("""COMPUTED_VALUE"""),"0905 521 153")</f>
        <v>0905 521 153</v>
      </c>
      <c r="B2212" s="118" t="str">
        <f>IFERROR(__xludf.DUMMYFUNCTION("""COMPUTED_VALUE"""),"Anh Nhân")</f>
        <v>Anh Nhân</v>
      </c>
      <c r="C2212" s="118" t="str">
        <f>IFERROR(__xludf.DUMMYFUNCTION("""COMPUTED_VALUE"""),"8/5/19 Đặng Văn Ngữ")</f>
        <v>8/5/19 Đặng Văn Ngữ</v>
      </c>
      <c r="D2212" s="118" t="str">
        <f>IFERROR(__xludf.DUMMYFUNCTION("""COMPUTED_VALUE"""),"Mèo")</f>
        <v>Mèo</v>
      </c>
      <c r="E2212" s="118" t="str">
        <f>IFERROR(__xludf.DUMMYFUNCTION("""COMPUTED_VALUE"""),"Bông")</f>
        <v>Bông</v>
      </c>
    </row>
    <row r="2213" ht="15.75" customHeight="1">
      <c r="A2213" s="117" t="str">
        <f>IFERROR(__xludf.DUMMYFUNCTION("""COMPUTED_VALUE"""),"0914 051 585")</f>
        <v>0914 051 585</v>
      </c>
      <c r="B2213" s="118" t="str">
        <f>IFERROR(__xludf.DUMMYFUNCTION("""COMPUTED_VALUE"""),"Anh Phong")</f>
        <v>Anh Phong</v>
      </c>
      <c r="C2213" s="118" t="str">
        <f>IFERROR(__xludf.DUMMYFUNCTION("""COMPUTED_VALUE"""),"82/1 Nguyễn Huệ")</f>
        <v>82/1 Nguyễn Huệ</v>
      </c>
      <c r="D2213" s="118" t="str">
        <f>IFERROR(__xludf.DUMMYFUNCTION("""COMPUTED_VALUE"""),"chó")</f>
        <v>chó</v>
      </c>
      <c r="E2213" s="118" t="str">
        <f>IFERROR(__xludf.DUMMYFUNCTION("""COMPUTED_VALUE"""),"Bơ")</f>
        <v>Bơ</v>
      </c>
    </row>
    <row r="2214" ht="15.75" customHeight="1">
      <c r="A2214" s="117" t="str">
        <f>IFERROR(__xludf.DUMMYFUNCTION("""COMPUTED_VALUE"""),"0327 747 149")</f>
        <v>0327 747 149</v>
      </c>
      <c r="B2214" s="118" t="str">
        <f>IFERROR(__xludf.DUMMYFUNCTION("""COMPUTED_VALUE"""),"Uyên")</f>
        <v>Uyên</v>
      </c>
      <c r="C2214" s="118" t="str">
        <f>IFERROR(__xludf.DUMMYFUNCTION("""COMPUTED_VALUE"""),"Hải Dương - TP huế")</f>
        <v>Hải Dương - TP huế</v>
      </c>
      <c r="D2214" s="118" t="str">
        <f>IFERROR(__xludf.DUMMYFUNCTION("""COMPUTED_VALUE"""),"mèo")</f>
        <v>mèo</v>
      </c>
      <c r="E2214" s="118" t="str">
        <f>IFERROR(__xludf.DUMMYFUNCTION("""COMPUTED_VALUE"""),"Miu")</f>
        <v>Miu</v>
      </c>
    </row>
    <row r="2215" ht="15.75" customHeight="1">
      <c r="A2215" s="117" t="str">
        <f>IFERROR(__xludf.DUMMYFUNCTION("""COMPUTED_VALUE"""),"0935 030 875")</f>
        <v>0935 030 875</v>
      </c>
      <c r="B2215" s="118" t="str">
        <f>IFERROR(__xludf.DUMMYFUNCTION("""COMPUTED_VALUE"""),"Thọ")</f>
        <v>Thọ</v>
      </c>
      <c r="C2215" s="118" t="str">
        <f>IFERROR(__xludf.DUMMYFUNCTION("""COMPUTED_VALUE"""),"Thuận An")</f>
        <v>Thuận An</v>
      </c>
      <c r="D2215" s="118" t="str">
        <f>IFERROR(__xludf.DUMMYFUNCTION("""COMPUTED_VALUE"""),"chó ")</f>
        <v>chó </v>
      </c>
      <c r="E2215" s="118" t="str">
        <f>IFERROR(__xludf.DUMMYFUNCTION("""COMPUTED_VALUE"""),"Bông")</f>
        <v>Bông</v>
      </c>
    </row>
    <row r="2216" ht="15.75" customHeight="1">
      <c r="A2216" s="128" t="str">
        <f>IFERROR(__xludf.DUMMYFUNCTION("""COMPUTED_VALUE"""),"0855 019 316")</f>
        <v>0855 019 316</v>
      </c>
      <c r="B2216" s="127" t="str">
        <f>IFERROR(__xludf.DUMMYFUNCTION("""COMPUTED_VALUE"""),"Khánh Thi")</f>
        <v>Khánh Thi</v>
      </c>
      <c r="C2216" s="127" t="str">
        <f>IFERROR(__xludf.DUMMYFUNCTION("""COMPUTED_VALUE"""),"91 Xóm 3 Ngọc Anh")</f>
        <v>91 Xóm 3 Ngọc Anh</v>
      </c>
      <c r="D2216" s="127" t="str">
        <f>IFERROR(__xludf.DUMMYFUNCTION("""COMPUTED_VALUE"""),"chó")</f>
        <v>chó</v>
      </c>
      <c r="E2216" s="127" t="str">
        <f>IFERROR(__xludf.DUMMYFUNCTION("""COMPUTED_VALUE""")," Mì")</f>
        <v> Mì</v>
      </c>
    </row>
    <row r="2217" ht="15.75" customHeight="1">
      <c r="A2217" s="128" t="str">
        <f>IFERROR(__xludf.DUMMYFUNCTION("""COMPUTED_VALUE"""),"0394 693 537")</f>
        <v>0394 693 537</v>
      </c>
      <c r="B2217" s="127" t="str">
        <f>IFERROR(__xludf.DUMMYFUNCTION("""COMPUTED_VALUE"""),"Chú Bình")</f>
        <v>Chú Bình</v>
      </c>
      <c r="C2217" s="127" t="str">
        <f>IFERROR(__xludf.DUMMYFUNCTION("""COMPUTED_VALUE"""),"An Ninh- Hương Long")</f>
        <v>An Ninh- Hương Long</v>
      </c>
      <c r="D2217" s="127" t="str">
        <f>IFERROR(__xludf.DUMMYFUNCTION("""COMPUTED_VALUE"""),"chó")</f>
        <v>chó</v>
      </c>
      <c r="E2217" s="127" t="str">
        <f>IFERROR(__xludf.DUMMYFUNCTION("""COMPUTED_VALUE"""),"Lu")</f>
        <v>Lu</v>
      </c>
    </row>
    <row r="2218" ht="15.75" customHeight="1">
      <c r="A2218" s="128" t="str">
        <f>IFERROR(__xludf.DUMMYFUNCTION("""COMPUTED_VALUE"""),"0794 514 317")</f>
        <v>0794 514 317</v>
      </c>
      <c r="B2218" s="127" t="str">
        <f>IFERROR(__xludf.DUMMYFUNCTION("""COMPUTED_VALUE"""),"Chị Kiều My")</f>
        <v>Chị Kiều My</v>
      </c>
      <c r="C2218" s="127" t="str">
        <f>IFERROR(__xludf.DUMMYFUNCTION("""COMPUTED_VALUE"""),"3/8 Lương Y")</f>
        <v>3/8 Lương Y</v>
      </c>
      <c r="D2218" s="127" t="str">
        <f>IFERROR(__xludf.DUMMYFUNCTION("""COMPUTED_VALUE"""),"chó")</f>
        <v>chó</v>
      </c>
      <c r="E2218" s="127" t="str">
        <f>IFERROR(__xludf.DUMMYFUNCTION("""COMPUTED_VALUE"""),"Vani")</f>
        <v>Vani</v>
      </c>
    </row>
    <row r="2219" ht="15.75" customHeight="1">
      <c r="A2219" s="128" t="str">
        <f>IFERROR(__xludf.DUMMYFUNCTION("""COMPUTED_VALUE"""),"0838 714 868")</f>
        <v>0838 714 868</v>
      </c>
      <c r="B2219" s="127" t="str">
        <f>IFERROR(__xludf.DUMMYFUNCTION("""COMPUTED_VALUE"""),"Hải Vân")</f>
        <v>Hải Vân</v>
      </c>
      <c r="C2219" s="127" t="str">
        <f>IFERROR(__xludf.DUMMYFUNCTION("""COMPUTED_VALUE"""),"k28 Minh Mạng")</f>
        <v>k28 Minh Mạng</v>
      </c>
      <c r="D2219" s="127" t="str">
        <f>IFERROR(__xludf.DUMMYFUNCTION("""COMPUTED_VALUE"""),"chó")</f>
        <v>chó</v>
      </c>
      <c r="E2219" s="127"/>
    </row>
    <row r="2220" ht="15.75" customHeight="1">
      <c r="A2220" s="128" t="str">
        <f>IFERROR(__xludf.DUMMYFUNCTION("""COMPUTED_VALUE"""),"0935 333 693")</f>
        <v>0935 333 693</v>
      </c>
      <c r="B2220" s="127" t="str">
        <f>IFERROR(__xludf.DUMMYFUNCTION("""COMPUTED_VALUE"""),"Chú Nghĩa")</f>
        <v>Chú Nghĩa</v>
      </c>
      <c r="C2220" s="127" t="str">
        <f>IFERROR(__xludf.DUMMYFUNCTION("""COMPUTED_VALUE"""),"253 Phan Bội Châu")</f>
        <v>253 Phan Bội Châu</v>
      </c>
      <c r="D2220" s="127" t="str">
        <f>IFERROR(__xludf.DUMMYFUNCTION("""COMPUTED_VALUE"""),"Chó")</f>
        <v>Chó</v>
      </c>
      <c r="E2220" s="127" t="str">
        <f>IFERROR(__xludf.DUMMYFUNCTION("""COMPUTED_VALUE"""),"Bi")</f>
        <v>Bi</v>
      </c>
    </row>
    <row r="2221" ht="15.75" customHeight="1">
      <c r="A2221" s="117" t="str">
        <f>IFERROR(__xludf.DUMMYFUNCTION("""COMPUTED_VALUE"""),"0346 350 076")</f>
        <v>0346 350 076</v>
      </c>
      <c r="B2221" s="118" t="str">
        <f>IFERROR(__xludf.DUMMYFUNCTION("""COMPUTED_VALUE"""),"Hồ Trần Thảo Linh")</f>
        <v>Hồ Trần Thảo Linh</v>
      </c>
      <c r="C2221" s="118" t="str">
        <f>IFERROR(__xludf.DUMMYFUNCTION("""COMPUTED_VALUE"""),"9 Hùng Vương")</f>
        <v>9 Hùng Vương</v>
      </c>
      <c r="D2221" s="118" t="str">
        <f>IFERROR(__xludf.DUMMYFUNCTION("""COMPUTED_VALUE"""),"Chó")</f>
        <v>Chó</v>
      </c>
      <c r="E2221" s="118" t="str">
        <f>IFERROR(__xludf.DUMMYFUNCTION("""COMPUTED_VALUE"""),"Mây")</f>
        <v>Mây</v>
      </c>
    </row>
    <row r="2222" ht="15.75" customHeight="1">
      <c r="A2222" s="117" t="str">
        <f>IFERROR(__xludf.DUMMYFUNCTION("""COMPUTED_VALUE"""),"0901 351 196")</f>
        <v>0901 351 196</v>
      </c>
      <c r="B2222" s="118" t="str">
        <f>IFERROR(__xludf.DUMMYFUNCTION("""COMPUTED_VALUE"""),"Chị Giao")</f>
        <v>Chị Giao</v>
      </c>
      <c r="C2222" s="118" t="str">
        <f>IFERROR(__xludf.DUMMYFUNCTION("""COMPUTED_VALUE"""),"xóm 1 Vân Thê Lương, Thuỷ Thanh")</f>
        <v>xóm 1 Vân Thê Lương, Thuỷ Thanh</v>
      </c>
      <c r="D2222" s="118" t="str">
        <f>IFERROR(__xludf.DUMMYFUNCTION("""COMPUTED_VALUE"""),"chó")</f>
        <v>chó</v>
      </c>
      <c r="E2222" s="118" t="str">
        <f>IFERROR(__xludf.DUMMYFUNCTION("""COMPUTED_VALUE"""),"Cốm")</f>
        <v>Cốm</v>
      </c>
    </row>
    <row r="2223" ht="15.75" customHeight="1">
      <c r="A2223" s="128" t="str">
        <f>IFERROR(__xludf.DUMMYFUNCTION("""COMPUTED_VALUE"""),"0934 008 138")</f>
        <v>0934 008 138</v>
      </c>
      <c r="B2223" s="127" t="str">
        <f>IFERROR(__xludf.DUMMYFUNCTION("""COMPUTED_VALUE"""),"Anh Sơn")</f>
        <v>Anh Sơn</v>
      </c>
      <c r="C2223" s="127" t="str">
        <f>IFERROR(__xludf.DUMMYFUNCTION("""COMPUTED_VALUE"""),"81 Tùng Thiện Vương")</f>
        <v>81 Tùng Thiện Vương</v>
      </c>
      <c r="D2223" s="127" t="str">
        <f>IFERROR(__xludf.DUMMYFUNCTION("""COMPUTED_VALUE"""),"chó")</f>
        <v>chó</v>
      </c>
      <c r="E2223" s="127" t="str">
        <f>IFERROR(__xludf.DUMMYFUNCTION("""COMPUTED_VALUE"""),"Si")</f>
        <v>Si</v>
      </c>
    </row>
    <row r="2224" ht="15.75" customHeight="1">
      <c r="A2224" s="128" t="str">
        <f>IFERROR(__xludf.DUMMYFUNCTION("""COMPUTED_VALUE"""),"0912 047 190")</f>
        <v>0912 047 190</v>
      </c>
      <c r="B2224" s="127" t="str">
        <f>IFERROR(__xludf.DUMMYFUNCTION("""COMPUTED_VALUE"""),"Dì Kim Thoa")</f>
        <v>Dì Kim Thoa</v>
      </c>
      <c r="C2224" s="127" t="str">
        <f>IFERROR(__xludf.DUMMYFUNCTION("""COMPUTED_VALUE"""),"Thị trấn Phong Điền")</f>
        <v>Thị trấn Phong Điền</v>
      </c>
      <c r="D2224" s="127" t="str">
        <f>IFERROR(__xludf.DUMMYFUNCTION("""COMPUTED_VALUE"""),"chó")</f>
        <v>chó</v>
      </c>
      <c r="E2224" s="127" t="str">
        <f>IFERROR(__xludf.DUMMYFUNCTION("""COMPUTED_VALUE"""),"Rê")</f>
        <v>Rê</v>
      </c>
    </row>
    <row r="2225" ht="15.75" customHeight="1">
      <c r="A2225" s="128" t="str">
        <f>IFERROR(__xludf.DUMMYFUNCTION("""COMPUTED_VALUE"""),"0358 678 819")</f>
        <v>0358 678 819</v>
      </c>
      <c r="B2225" s="127" t="str">
        <f>IFERROR(__xludf.DUMMYFUNCTION("""COMPUTED_VALUE"""),"Chị Hoàng Diễm")</f>
        <v>Chị Hoàng Diễm</v>
      </c>
      <c r="C2225" s="127" t="str">
        <f>IFERROR(__xludf.DUMMYFUNCTION("""COMPUTED_VALUE"""),"69/1 Phạm Thị Liên")</f>
        <v>69/1 Phạm Thị Liên</v>
      </c>
      <c r="D2225" s="127" t="str">
        <f>IFERROR(__xludf.DUMMYFUNCTION("""COMPUTED_VALUE"""),"chó")</f>
        <v>chó</v>
      </c>
      <c r="E2225" s="127" t="str">
        <f>IFERROR(__xludf.DUMMYFUNCTION("""COMPUTED_VALUE"""),"BuBu")</f>
        <v>BuBu</v>
      </c>
    </row>
    <row r="2226" ht="15.75" customHeight="1">
      <c r="A2226" s="117" t="str">
        <f>IFERROR(__xludf.DUMMYFUNCTION("""COMPUTED_VALUE"""),"0944 365 321")</f>
        <v>0944 365 321</v>
      </c>
      <c r="B2226" s="118" t="str">
        <f>IFERROR(__xludf.DUMMYFUNCTION("""COMPUTED_VALUE"""),"Ung Gia Huy")</f>
        <v>Ung Gia Huy</v>
      </c>
      <c r="C2226" s="118" t="str">
        <f>IFERROR(__xludf.DUMMYFUNCTION("""COMPUTED_VALUE"""),"Huyền Không Sơn Thượng")</f>
        <v>Huyền Không Sơn Thượng</v>
      </c>
      <c r="D2226" s="118" t="str">
        <f>IFERROR(__xludf.DUMMYFUNCTION("""COMPUTED_VALUE"""),"chó")</f>
        <v>chó</v>
      </c>
      <c r="E2226" s="118" t="str">
        <f>IFERROR(__xludf.DUMMYFUNCTION("""COMPUTED_VALUE"""),"Misa")</f>
        <v>Misa</v>
      </c>
    </row>
    <row r="2227" ht="15.75" customHeight="1">
      <c r="A2227" s="117" t="str">
        <f>IFERROR(__xludf.DUMMYFUNCTION("""COMPUTED_VALUE"""),"0941 344 265")</f>
        <v>0941 344 265</v>
      </c>
      <c r="B2227" s="118" t="str">
        <f>IFERROR(__xludf.DUMMYFUNCTION("""COMPUTED_VALUE"""),"Dì Minh")</f>
        <v>Dì Minh</v>
      </c>
      <c r="C2227" s="118" t="str">
        <f>IFERROR(__xludf.DUMMYFUNCTION("""COMPUTED_VALUE"""),"55/4 Vạn Xuân")</f>
        <v>55/4 Vạn Xuân</v>
      </c>
      <c r="D2227" s="118" t="str">
        <f>IFERROR(__xludf.DUMMYFUNCTION("""COMPUTED_VALUE"""),"chó")</f>
        <v>chó</v>
      </c>
      <c r="E2227" s="118" t="str">
        <f>IFERROR(__xludf.DUMMYFUNCTION("""COMPUTED_VALUE"""),"Ky")</f>
        <v>Ky</v>
      </c>
    </row>
    <row r="2228" ht="15.75" customHeight="1">
      <c r="A2228" s="117" t="str">
        <f>IFERROR(__xludf.DUMMYFUNCTION("""COMPUTED_VALUE"""),"0703 241 461")</f>
        <v>0703 241 461</v>
      </c>
      <c r="B2228" s="118" t="str">
        <f>IFERROR(__xludf.DUMMYFUNCTION("""COMPUTED_VALUE"""),"Chị Mỹ Hạnh")</f>
        <v>Chị Mỹ Hạnh</v>
      </c>
      <c r="C2228" s="118" t="str">
        <f>IFERROR(__xludf.DUMMYFUNCTION("""COMPUTED_VALUE"""),"2/2 Lê Văn Sỹ")</f>
        <v>2/2 Lê Văn Sỹ</v>
      </c>
      <c r="D2228" s="118" t="str">
        <f>IFERROR(__xludf.DUMMYFUNCTION("""COMPUTED_VALUE"""),"chó")</f>
        <v>chó</v>
      </c>
      <c r="E2228" s="118" t="str">
        <f>IFERROR(__xludf.DUMMYFUNCTION("""COMPUTED_VALUE"""),"Kem")</f>
        <v>Kem</v>
      </c>
    </row>
    <row r="2229" ht="15.75" customHeight="1">
      <c r="A2229" s="117" t="str">
        <f>IFERROR(__xludf.DUMMYFUNCTION("""COMPUTED_VALUE"""),"0935 905 883")</f>
        <v>0935 905 883</v>
      </c>
      <c r="B2229" s="118" t="str">
        <f>IFERROR(__xludf.DUMMYFUNCTION("""COMPUTED_VALUE"""),"Chị Trang")</f>
        <v>Chị Trang</v>
      </c>
      <c r="C2229" s="118" t="str">
        <f>IFERROR(__xludf.DUMMYFUNCTION("""COMPUTED_VALUE"""),"Hương Hồ")</f>
        <v>Hương Hồ</v>
      </c>
      <c r="D2229" s="118" t="str">
        <f>IFERROR(__xludf.DUMMYFUNCTION("""COMPUTED_VALUE"""),"chó")</f>
        <v>chó</v>
      </c>
      <c r="E2229" s="118" t="str">
        <f>IFERROR(__xludf.DUMMYFUNCTION("""COMPUTED_VALUE"""),"Bạch Tuyết")</f>
        <v>Bạch Tuyết</v>
      </c>
    </row>
    <row r="2230" ht="15.75" customHeight="1">
      <c r="A2230" s="117" t="str">
        <f>IFERROR(__xludf.DUMMYFUNCTION("""COMPUTED_VALUE"""),"0826 262 769")</f>
        <v>0826 262 769</v>
      </c>
      <c r="B2230" s="118" t="str">
        <f>IFERROR(__xludf.DUMMYFUNCTION("""COMPUTED_VALUE"""),"Em Kiệt")</f>
        <v>Em Kiệt</v>
      </c>
      <c r="C2230" s="118" t="str">
        <f>IFERROR(__xludf.DUMMYFUNCTION("""COMPUTED_VALUE"""),"Phạm Thị Liên")</f>
        <v>Phạm Thị Liên</v>
      </c>
      <c r="D2230" s="118" t="str">
        <f>IFERROR(__xludf.DUMMYFUNCTION("""COMPUTED_VALUE"""),"chuột")</f>
        <v>chuột</v>
      </c>
      <c r="E2230" s="118" t="str">
        <f>IFERROR(__xludf.DUMMYFUNCTION("""COMPUTED_VALUE"""),"Lì")</f>
        <v>Lì</v>
      </c>
    </row>
    <row r="2231" ht="15.75" customHeight="1">
      <c r="A2231" s="128" t="str">
        <f>IFERROR(__xludf.DUMMYFUNCTION("""COMPUTED_VALUE"""),"0906 431 999")</f>
        <v>0906 431 999</v>
      </c>
      <c r="B2231" s="127" t="str">
        <f>IFERROR(__xludf.DUMMYFUNCTION("""COMPUTED_VALUE"""),"Chị Nhã")</f>
        <v>Chị Nhã</v>
      </c>
      <c r="C2231" s="127" t="str">
        <f>IFERROR(__xludf.DUMMYFUNCTION("""COMPUTED_VALUE"""),"Hương Hồ")</f>
        <v>Hương Hồ</v>
      </c>
      <c r="D2231" s="127" t="str">
        <f>IFERROR(__xludf.DUMMYFUNCTION("""COMPUTED_VALUE"""),"chó")</f>
        <v>chó</v>
      </c>
      <c r="E2231" s="127" t="str">
        <f>IFERROR(__xludf.DUMMYFUNCTION("""COMPUTED_VALUE"""),"Dâu")</f>
        <v>Dâu</v>
      </c>
    </row>
    <row r="2232" ht="15.75" customHeight="1">
      <c r="A2232" s="128" t="str">
        <f>IFERROR(__xludf.DUMMYFUNCTION("""COMPUTED_VALUE"""),"0985 696 983")</f>
        <v>0985 696 983</v>
      </c>
      <c r="B2232" s="127" t="str">
        <f>IFERROR(__xludf.DUMMYFUNCTION("""COMPUTED_VALUE"""),"ANh Tuấn")</f>
        <v>ANh Tuấn</v>
      </c>
      <c r="C2232" s="127" t="str">
        <f>IFERROR(__xludf.DUMMYFUNCTION("""COMPUTED_VALUE"""),"09 Nguyễn Hữu Dật")</f>
        <v>09 Nguyễn Hữu Dật</v>
      </c>
      <c r="D2232" s="127" t="str">
        <f>IFERROR(__xludf.DUMMYFUNCTION("""COMPUTED_VALUE"""),"chó")</f>
        <v>chó</v>
      </c>
      <c r="E2232" s="127" t="str">
        <f>IFERROR(__xludf.DUMMYFUNCTION("""COMPUTED_VALUE"""),"Ben")</f>
        <v>Ben</v>
      </c>
    </row>
    <row r="2233" ht="15.75" customHeight="1">
      <c r="A2233" s="128" t="str">
        <f>IFERROR(__xludf.DUMMYFUNCTION("""COMPUTED_VALUE"""),"0704 022 487")</f>
        <v>0704 022 487</v>
      </c>
      <c r="B2233" s="127" t="str">
        <f>IFERROR(__xludf.DUMMYFUNCTION("""COMPUTED_VALUE"""),"Chị Tư")</f>
        <v>Chị Tư</v>
      </c>
      <c r="C2233" s="127" t="str">
        <f>IFERROR(__xludf.DUMMYFUNCTION("""COMPUTED_VALUE"""),"33/93 Đặng Huy Trứ")</f>
        <v>33/93 Đặng Huy Trứ</v>
      </c>
      <c r="D2233" s="127" t="str">
        <f>IFERROR(__xludf.DUMMYFUNCTION("""COMPUTED_VALUE"""),"chó")</f>
        <v>chó</v>
      </c>
      <c r="E2233" s="127" t="str">
        <f>IFERROR(__xludf.DUMMYFUNCTION("""COMPUTED_VALUE"""),"Bo")</f>
        <v>Bo</v>
      </c>
    </row>
    <row r="2234" ht="15.75" customHeight="1">
      <c r="A2234" s="117" t="str">
        <f>IFERROR(__xludf.DUMMYFUNCTION("""COMPUTED_VALUE"""),"0943 444 186")</f>
        <v>0943 444 186</v>
      </c>
      <c r="B2234" s="118" t="str">
        <f>IFERROR(__xludf.DUMMYFUNCTION("""COMPUTED_VALUE"""),"Chị Oanh")</f>
        <v>Chị Oanh</v>
      </c>
      <c r="C2234" s="118" t="str">
        <f>IFERROR(__xludf.DUMMYFUNCTION("""COMPUTED_VALUE"""),"Phú Xuân")</f>
        <v>Phú Xuân</v>
      </c>
      <c r="D2234" s="118" t="str">
        <f>IFERROR(__xludf.DUMMYFUNCTION("""COMPUTED_VALUE"""),"chó")</f>
        <v>chó</v>
      </c>
      <c r="E2234" s="118" t="str">
        <f>IFERROR(__xludf.DUMMYFUNCTION("""COMPUTED_VALUE"""),"Bull")</f>
        <v>Bull</v>
      </c>
    </row>
    <row r="2235" ht="15.75" customHeight="1">
      <c r="A2235" s="117" t="str">
        <f>IFERROR(__xludf.DUMMYFUNCTION("""COMPUTED_VALUE"""),"0848 052 592")</f>
        <v>0848 052 592</v>
      </c>
      <c r="B2235" s="118" t="str">
        <f>IFERROR(__xludf.DUMMYFUNCTION("""COMPUTED_VALUE"""),"ANh Nhân")</f>
        <v>ANh Nhân</v>
      </c>
      <c r="C2235" s="118" t="str">
        <f>IFERROR(__xludf.DUMMYFUNCTION("""COMPUTED_VALUE"""),"6/17 Lê Trung Đình")</f>
        <v>6/17 Lê Trung Đình</v>
      </c>
      <c r="D2235" s="118" t="str">
        <f>IFERROR(__xludf.DUMMYFUNCTION("""COMPUTED_VALUE"""),"chó")</f>
        <v>chó</v>
      </c>
      <c r="E2235" s="118" t="str">
        <f>IFERROR(__xludf.DUMMYFUNCTION("""COMPUTED_VALUE"""),"Lucky")</f>
        <v>Lucky</v>
      </c>
    </row>
    <row r="2236" ht="15.75" customHeight="1">
      <c r="A2236" s="117" t="str">
        <f>IFERROR(__xludf.DUMMYFUNCTION("""COMPUTED_VALUE"""),"0768 482 613")</f>
        <v>0768 482 613</v>
      </c>
      <c r="B2236" s="118" t="str">
        <f>IFERROR(__xludf.DUMMYFUNCTION("""COMPUTED_VALUE"""),"Tường Vi")</f>
        <v>Tường Vi</v>
      </c>
      <c r="C2236" s="118" t="str">
        <f>IFERROR(__xludf.DUMMYFUNCTION("""COMPUTED_VALUE"""),"30/11 Nguyễn Khoa Chiêm")</f>
        <v>30/11 Nguyễn Khoa Chiêm</v>
      </c>
      <c r="D2236" s="118" t="str">
        <f>IFERROR(__xludf.DUMMYFUNCTION("""COMPUTED_VALUE"""),"chó")</f>
        <v>chó</v>
      </c>
      <c r="E2236" s="118" t="str">
        <f>IFERROR(__xludf.DUMMYFUNCTION("""COMPUTED_VALUE"""),"bun")</f>
        <v>bun</v>
      </c>
    </row>
    <row r="2237" ht="15.75" customHeight="1">
      <c r="A2237" s="128" t="str">
        <f>IFERROR(__xludf.DUMMYFUNCTION("""COMPUTED_VALUE"""),"0989 577 007")</f>
        <v>0989 577 007</v>
      </c>
      <c r="B2237" s="127" t="str">
        <f>IFERROR(__xludf.DUMMYFUNCTION("""COMPUTED_VALUE"""),"Chị Loan")</f>
        <v>Chị Loan</v>
      </c>
      <c r="C2237" s="127" t="str">
        <f>IFERROR(__xludf.DUMMYFUNCTION("""COMPUTED_VALUE"""),"69/131 Trần phú")</f>
        <v>69/131 Trần phú</v>
      </c>
      <c r="D2237" s="127" t="str">
        <f>IFERROR(__xludf.DUMMYFUNCTION("""COMPUTED_VALUE"""),"chó")</f>
        <v>chó</v>
      </c>
      <c r="E2237" s="127" t="str">
        <f>IFERROR(__xludf.DUMMYFUNCTION("""COMPUTED_VALUE"""),"Nâu")</f>
        <v>Nâu</v>
      </c>
    </row>
    <row r="2238" ht="15.75" customHeight="1">
      <c r="A2238" s="117" t="str">
        <f>IFERROR(__xludf.DUMMYFUNCTION("""COMPUTED_VALUE"""),"0825 155 258")</f>
        <v>0825 155 258</v>
      </c>
      <c r="B2238" s="118" t="str">
        <f>IFERROR(__xludf.DUMMYFUNCTION("""COMPUTED_VALUE"""),"Anh Dũng")</f>
        <v>Anh Dũng</v>
      </c>
      <c r="C2238" s="118" t="str">
        <f>IFERROR(__xludf.DUMMYFUNCTION("""COMPUTED_VALUE"""),"43 Thanh Tịnh")</f>
        <v>43 Thanh Tịnh</v>
      </c>
      <c r="D2238" s="118" t="str">
        <f>IFERROR(__xludf.DUMMYFUNCTION("""COMPUTED_VALUE"""),"chó")</f>
        <v>chó</v>
      </c>
      <c r="E2238" s="118" t="str">
        <f>IFERROR(__xludf.DUMMYFUNCTION("""COMPUTED_VALUE"""),"Bingo")</f>
        <v>Bingo</v>
      </c>
    </row>
    <row r="2239" ht="15.75" customHeight="1">
      <c r="A2239" s="128" t="str">
        <f>IFERROR(__xludf.DUMMYFUNCTION("""COMPUTED_VALUE"""),"0365 311 357")</f>
        <v>0365 311 357</v>
      </c>
      <c r="B2239" s="127" t="str">
        <f>IFERROR(__xludf.DUMMYFUNCTION("""COMPUTED_VALUE"""),"Châu Văn Trí")</f>
        <v>Châu Văn Trí</v>
      </c>
      <c r="C2239" s="127" t="str">
        <f>IFERROR(__xludf.DUMMYFUNCTION("""COMPUTED_VALUE"""),"xóm 6 Lại Thế")</f>
        <v>xóm 6 Lại Thế</v>
      </c>
      <c r="D2239" s="127" t="str">
        <f>IFERROR(__xludf.DUMMYFUNCTION("""COMPUTED_VALUE"""),"chó")</f>
        <v>chó</v>
      </c>
      <c r="E2239" s="127" t="str">
        <f>IFERROR(__xludf.DUMMYFUNCTION("""COMPUTED_VALUE"""),"Mực")</f>
        <v>Mực</v>
      </c>
    </row>
    <row r="2240" ht="15.75" customHeight="1">
      <c r="A2240" s="128" t="str">
        <f>IFERROR(__xludf.DUMMYFUNCTION("""COMPUTED_VALUE"""),"0787 557 599")</f>
        <v>0787 557 599</v>
      </c>
      <c r="B2240" s="127" t="str">
        <f>IFERROR(__xludf.DUMMYFUNCTION("""COMPUTED_VALUE"""),"Em Ngân")</f>
        <v>Em Ngân</v>
      </c>
      <c r="C2240" s="127" t="str">
        <f>IFERROR(__xludf.DUMMYFUNCTION("""COMPUTED_VALUE"""),"Phú Hải, Phú Vang")</f>
        <v>Phú Hải, Phú Vang</v>
      </c>
      <c r="D2240" s="127" t="str">
        <f>IFERROR(__xludf.DUMMYFUNCTION("""COMPUTED_VALUE"""),"chó")</f>
        <v>chó</v>
      </c>
      <c r="E2240" s="127"/>
    </row>
    <row r="2241" ht="15.75" customHeight="1">
      <c r="A2241" s="117" t="str">
        <f>IFERROR(__xludf.DUMMYFUNCTION("""COMPUTED_VALUE"""),"0965 343 677")</f>
        <v>0965 343 677</v>
      </c>
      <c r="B2241" s="118" t="str">
        <f>IFERROR(__xludf.DUMMYFUNCTION("""COMPUTED_VALUE"""),"Bác Quang")</f>
        <v>Bác Quang</v>
      </c>
      <c r="C2241" s="118" t="str">
        <f>IFERROR(__xludf.DUMMYFUNCTION("""COMPUTED_VALUE"""),"Lại Thế")</f>
        <v>Lại Thế</v>
      </c>
      <c r="D2241" s="118" t="str">
        <f>IFERROR(__xludf.DUMMYFUNCTION("""COMPUTED_VALUE"""),"chó")</f>
        <v>chó</v>
      </c>
      <c r="E2241" s="118"/>
    </row>
    <row r="2242" ht="15.75" customHeight="1">
      <c r="A2242" s="117" t="str">
        <f>IFERROR(__xludf.DUMMYFUNCTION("""COMPUTED_VALUE"""),"0769 861 309")</f>
        <v>0769 861 309</v>
      </c>
      <c r="B2242" s="118" t="str">
        <f>IFERROR(__xludf.DUMMYFUNCTION("""COMPUTED_VALUE"""),"Anh Đức")</f>
        <v>Anh Đức</v>
      </c>
      <c r="C2242" s="118" t="str">
        <f>IFERROR(__xludf.DUMMYFUNCTION("""COMPUTED_VALUE"""),"Dạ Lê, Thuỷ Vân")</f>
        <v>Dạ Lê, Thuỷ Vân</v>
      </c>
      <c r="D2242" s="118" t="str">
        <f>IFERROR(__xludf.DUMMYFUNCTION("""COMPUTED_VALUE"""),"chó")</f>
        <v>chó</v>
      </c>
      <c r="E2242" s="119" t="str">
        <f>IFERROR(__xludf.DUMMYFUNCTION("""COMPUTED_VALUE"""),"Sóc")</f>
        <v>Sóc</v>
      </c>
    </row>
    <row r="2243" ht="15.75" customHeight="1">
      <c r="A2243" s="117" t="str">
        <f>IFERROR(__xludf.DUMMYFUNCTION("""COMPUTED_VALUE"""),"0942 593 185")</f>
        <v>0942 593 185</v>
      </c>
      <c r="B2243" s="118" t="str">
        <f>IFERROR(__xludf.DUMMYFUNCTION("""COMPUTED_VALUE"""),"Chị Dương")</f>
        <v>Chị Dương</v>
      </c>
      <c r="C2243" s="118" t="str">
        <f>IFERROR(__xludf.DUMMYFUNCTION("""COMPUTED_VALUE"""),"K263 Bà Triệu")</f>
        <v>K263 Bà Triệu</v>
      </c>
      <c r="D2243" s="118" t="str">
        <f>IFERROR(__xludf.DUMMYFUNCTION("""COMPUTED_VALUE"""),"Chó")</f>
        <v>Chó</v>
      </c>
      <c r="E2243" s="118" t="str">
        <f>IFERROR(__xludf.DUMMYFUNCTION("""COMPUTED_VALUE"""),"Nâu")</f>
        <v>Nâu</v>
      </c>
    </row>
    <row r="2244" ht="15.75" customHeight="1">
      <c r="A2244" s="128" t="str">
        <f>IFERROR(__xludf.DUMMYFUNCTION("""COMPUTED_VALUE"""),"0911 347 348")</f>
        <v>0911 347 348</v>
      </c>
      <c r="B2244" s="127" t="str">
        <f>IFERROR(__xludf.DUMMYFUNCTION("""COMPUTED_VALUE"""),"Oanh")</f>
        <v>Oanh</v>
      </c>
      <c r="C2244" s="127" t="str">
        <f>IFERROR(__xludf.DUMMYFUNCTION("""COMPUTED_VALUE"""),"148 Nguyễn hữu cảnh")</f>
        <v>148 Nguyễn hữu cảnh</v>
      </c>
      <c r="D2244" s="127" t="str">
        <f>IFERROR(__xludf.DUMMYFUNCTION("""COMPUTED_VALUE"""),"mèo")</f>
        <v>mèo</v>
      </c>
      <c r="E2244" s="127" t="str">
        <f>IFERROR(__xludf.DUMMYFUNCTION("""COMPUTED_VALUE"""),"Cá")</f>
        <v>Cá</v>
      </c>
    </row>
    <row r="2245" ht="15.75" customHeight="1">
      <c r="A2245" s="128" t="str">
        <f>IFERROR(__xludf.DUMMYFUNCTION("""COMPUTED_VALUE"""),"0965 001 234")</f>
        <v>0965 001 234</v>
      </c>
      <c r="B2245" s="127" t="str">
        <f>IFERROR(__xludf.DUMMYFUNCTION("""COMPUTED_VALUE"""),"Anh Tuấn")</f>
        <v>Anh Tuấn</v>
      </c>
      <c r="C2245" s="127" t="str">
        <f>IFERROR(__xludf.DUMMYFUNCTION("""COMPUTED_VALUE"""),"k 131 Trần Phú")</f>
        <v>k 131 Trần Phú</v>
      </c>
      <c r="D2245" s="127" t="str">
        <f>IFERROR(__xludf.DUMMYFUNCTION("""COMPUTED_VALUE"""),"CHó")</f>
        <v>CHó</v>
      </c>
      <c r="E2245" s="127" t="str">
        <f>IFERROR(__xludf.DUMMYFUNCTION("""COMPUTED_VALUE"""),"Mèo")</f>
        <v>Mèo</v>
      </c>
    </row>
    <row r="2246" ht="15.75" customHeight="1">
      <c r="A2246" s="128" t="str">
        <f>IFERROR(__xludf.DUMMYFUNCTION("""COMPUTED_VALUE"""),"0914 051 226")</f>
        <v>0914 051 226</v>
      </c>
      <c r="B2246" s="127" t="str">
        <f>IFERROR(__xludf.DUMMYFUNCTION("""COMPUTED_VALUE"""),"Chị Hạnh")</f>
        <v>Chị Hạnh</v>
      </c>
      <c r="C2246" s="127" t="str">
        <f>IFERROR(__xludf.DUMMYFUNCTION("""COMPUTED_VALUE"""),"Xuân Hoà, Vỹ Dạ")</f>
        <v>Xuân Hoà, Vỹ Dạ</v>
      </c>
      <c r="D2246" s="127" t="str">
        <f>IFERROR(__xludf.DUMMYFUNCTION("""COMPUTED_VALUE"""),"chó")</f>
        <v>chó</v>
      </c>
      <c r="E2246" s="127" t="str">
        <f>IFERROR(__xludf.DUMMYFUNCTION("""COMPUTED_VALUE"""),"F")</f>
        <v>F</v>
      </c>
    </row>
    <row r="2247" ht="15.75" customHeight="1">
      <c r="A2247" s="128" t="str">
        <f>IFERROR(__xludf.DUMMYFUNCTION("""COMPUTED_VALUE"""),"0989 221 710")</f>
        <v>0989 221 710</v>
      </c>
      <c r="B2247" s="127" t="str">
        <f>IFERROR(__xludf.DUMMYFUNCTION("""COMPUTED_VALUE"""),"Em Trân")</f>
        <v>Em Trân</v>
      </c>
      <c r="C2247" s="127" t="str">
        <f>IFERROR(__xludf.DUMMYFUNCTION("""COMPUTED_VALUE"""),"3/5/49 Hàn Mặc Tử")</f>
        <v>3/5/49 Hàn Mặc Tử</v>
      </c>
      <c r="D2247" s="127" t="str">
        <f>IFERROR(__xludf.DUMMYFUNCTION("""COMPUTED_VALUE"""),"chó")</f>
        <v>chó</v>
      </c>
      <c r="E2247" s="127" t="str">
        <f>IFERROR(__xludf.DUMMYFUNCTION("""COMPUTED_VALUE"""),"Mây")</f>
        <v>Mây</v>
      </c>
    </row>
    <row r="2248" ht="15.75" customHeight="1">
      <c r="A2248" s="117" t="str">
        <f>IFERROR(__xludf.DUMMYFUNCTION("""COMPUTED_VALUE"""),"0915 350 248")</f>
        <v>0915 350 248</v>
      </c>
      <c r="B2248" s="118" t="str">
        <f>IFERROR(__xludf.DUMMYFUNCTION("""COMPUTED_VALUE"""),"Chị Tiên")</f>
        <v>Chị Tiên</v>
      </c>
      <c r="C2248" s="118" t="str">
        <f>IFERROR(__xludf.DUMMYFUNCTION("""COMPUTED_VALUE"""),"137 Đinh Tiên Hoàng")</f>
        <v>137 Đinh Tiên Hoàng</v>
      </c>
      <c r="D2248" s="118" t="str">
        <f>IFERROR(__xludf.DUMMYFUNCTION("""COMPUTED_VALUE"""),"Chó")</f>
        <v>Chó</v>
      </c>
      <c r="E2248" s="118" t="str">
        <f>IFERROR(__xludf.DUMMYFUNCTION("""COMPUTED_VALUE"""),"Chuối")</f>
        <v>Chuối</v>
      </c>
    </row>
    <row r="2249" ht="15.75" customHeight="1">
      <c r="A2249" s="128" t="str">
        <f>IFERROR(__xludf.DUMMYFUNCTION("""COMPUTED_VALUE"""),"0914 091 205")</f>
        <v>0914 091 205</v>
      </c>
      <c r="B2249" s="127" t="str">
        <f>IFERROR(__xludf.DUMMYFUNCTION("""COMPUTED_VALUE"""),"Trâm anh")</f>
        <v>Trâm anh</v>
      </c>
      <c r="C2249" s="127" t="str">
        <f>IFERROR(__xludf.DUMMYFUNCTION("""COMPUTED_VALUE"""),"103 Trần Phú")</f>
        <v>103 Trần Phú</v>
      </c>
      <c r="D2249" s="127" t="str">
        <f>IFERROR(__xludf.DUMMYFUNCTION("""COMPUTED_VALUE"""),"Mèo")</f>
        <v>Mèo</v>
      </c>
      <c r="E2249" s="127" t="str">
        <f>IFERROR(__xludf.DUMMYFUNCTION("""COMPUTED_VALUE"""),"RuBy")</f>
        <v>RuBy</v>
      </c>
    </row>
    <row r="2250" ht="15.75" customHeight="1">
      <c r="A2250" s="117" t="str">
        <f>IFERROR(__xludf.DUMMYFUNCTION("""COMPUTED_VALUE"""),"0772 555 794")</f>
        <v>0772 555 794</v>
      </c>
      <c r="B2250" s="118" t="str">
        <f>IFERROR(__xludf.DUMMYFUNCTION("""COMPUTED_VALUE"""),"Anh Khoa")</f>
        <v>Anh Khoa</v>
      </c>
      <c r="C2250" s="118" t="str">
        <f>IFERROR(__xludf.DUMMYFUNCTION("""COMPUTED_VALUE"""),"13/142 Trần Quốc Toản")</f>
        <v>13/142 Trần Quốc Toản</v>
      </c>
      <c r="D2250" s="118" t="str">
        <f>IFERROR(__xludf.DUMMYFUNCTION("""COMPUTED_VALUE"""),"chó")</f>
        <v>chó</v>
      </c>
      <c r="E2250" s="118"/>
    </row>
    <row r="2251" ht="15.75" customHeight="1">
      <c r="A2251" s="117" t="str">
        <f>IFERROR(__xludf.DUMMYFUNCTION("""COMPUTED_VALUE"""),"0793 582 757")</f>
        <v>0793 582 757</v>
      </c>
      <c r="B2251" s="118" t="str">
        <f>IFERROR(__xludf.DUMMYFUNCTION("""COMPUTED_VALUE"""),"Hoàng Trang")</f>
        <v>Hoàng Trang</v>
      </c>
      <c r="C2251" s="118" t="str">
        <f>IFERROR(__xludf.DUMMYFUNCTION("""COMPUTED_VALUE"""),"Bùi Thị Xuân")</f>
        <v>Bùi Thị Xuân</v>
      </c>
      <c r="D2251" s="118" t="str">
        <f>IFERROR(__xludf.DUMMYFUNCTION("""COMPUTED_VALUE"""),"mèo")</f>
        <v>mèo</v>
      </c>
      <c r="E2251" s="118" t="str">
        <f>IFERROR(__xludf.DUMMYFUNCTION("""COMPUTED_VALUE"""),"Meo")</f>
        <v>Meo</v>
      </c>
    </row>
    <row r="2252" ht="15.75" customHeight="1">
      <c r="A2252" s="128" t="str">
        <f>IFERROR(__xludf.DUMMYFUNCTION("""COMPUTED_VALUE"""),"0787 506 334")</f>
        <v>0787 506 334</v>
      </c>
      <c r="B2252" s="127" t="str">
        <f>IFERROR(__xludf.DUMMYFUNCTION("""COMPUTED_VALUE"""),"Dì Hiệp")</f>
        <v>Dì Hiệp</v>
      </c>
      <c r="C2252" s="127" t="str">
        <f>IFERROR(__xludf.DUMMYFUNCTION("""COMPUTED_VALUE"""),"242/6 Lý Nam Đế")</f>
        <v>242/6 Lý Nam Đế</v>
      </c>
      <c r="D2252" s="127" t="str">
        <f>IFERROR(__xludf.DUMMYFUNCTION("""COMPUTED_VALUE"""),"chó")</f>
        <v>chó</v>
      </c>
      <c r="E2252" s="119" t="str">
        <f>IFERROR(__xludf.DUMMYFUNCTION("""COMPUTED_VALUE"""),"Nô")</f>
        <v>Nô</v>
      </c>
    </row>
    <row r="2253" ht="15.75" customHeight="1">
      <c r="A2253" s="128" t="str">
        <f>IFERROR(__xludf.DUMMYFUNCTION("""COMPUTED_VALUE"""),"0768 590 325")</f>
        <v>0768 590 325</v>
      </c>
      <c r="B2253" s="127" t="str">
        <f>IFERROR(__xludf.DUMMYFUNCTION("""COMPUTED_VALUE"""),"Em Vân")</f>
        <v>Em Vân</v>
      </c>
      <c r="C2253" s="127" t="str">
        <f>IFERROR(__xludf.DUMMYFUNCTION("""COMPUTED_VALUE"""),"Lại Thế")</f>
        <v>Lại Thế</v>
      </c>
      <c r="D2253" s="127" t="str">
        <f>IFERROR(__xludf.DUMMYFUNCTION("""COMPUTED_VALUE"""),"Mèo ")</f>
        <v>Mèo </v>
      </c>
      <c r="E2253" s="127" t="str">
        <f>IFERROR(__xludf.DUMMYFUNCTION("""COMPUTED_VALUE"""),"Meo")</f>
        <v>Meo</v>
      </c>
    </row>
    <row r="2254" ht="15.75" customHeight="1">
      <c r="A2254" s="117" t="str">
        <f>IFERROR(__xludf.DUMMYFUNCTION("""COMPUTED_VALUE"""),"0888 388 852")</f>
        <v>0888 388 852</v>
      </c>
      <c r="B2254" s="118" t="str">
        <f>IFERROR(__xludf.DUMMYFUNCTION("""COMPUTED_VALUE"""),"Anh Thi")</f>
        <v>Anh Thi</v>
      </c>
      <c r="C2254" s="118" t="str">
        <f>IFERROR(__xludf.DUMMYFUNCTION("""COMPUTED_VALUE"""),"1/34 Lê Quang Quyền")</f>
        <v>1/34 Lê Quang Quyền</v>
      </c>
      <c r="D2254" s="118" t="str">
        <f>IFERROR(__xludf.DUMMYFUNCTION("""COMPUTED_VALUE"""),"chó")</f>
        <v>chó</v>
      </c>
      <c r="E2254" s="118"/>
    </row>
    <row r="2255" ht="15.75" customHeight="1">
      <c r="A2255" s="128" t="str">
        <f>IFERROR(__xludf.DUMMYFUNCTION("""COMPUTED_VALUE"""),"0988 918 180")</f>
        <v>0988 918 180</v>
      </c>
      <c r="B2255" s="127" t="str">
        <f>IFERROR(__xludf.DUMMYFUNCTION("""COMPUTED_VALUE"""),"Anh Thiện ")</f>
        <v>Anh Thiện </v>
      </c>
      <c r="C2255" s="127" t="str">
        <f>IFERROR(__xludf.DUMMYFUNCTION("""COMPUTED_VALUE"""),"64 Thạch Hãn")</f>
        <v>64 Thạch Hãn</v>
      </c>
      <c r="D2255" s="127" t="str">
        <f>IFERROR(__xludf.DUMMYFUNCTION("""COMPUTED_VALUE"""),"Chó")</f>
        <v>Chó</v>
      </c>
      <c r="E2255" s="127" t="str">
        <f>IFERROR(__xludf.DUMMYFUNCTION("""COMPUTED_VALUE"""),"Muội")</f>
        <v>Muội</v>
      </c>
    </row>
    <row r="2256" ht="15.75" customHeight="1">
      <c r="A2256" s="117" t="str">
        <f>IFERROR(__xludf.DUMMYFUNCTION("""COMPUTED_VALUE"""),"0376 652 447")</f>
        <v>0376 652 447</v>
      </c>
      <c r="B2256" s="118" t="str">
        <f>IFERROR(__xludf.DUMMYFUNCTION("""COMPUTED_VALUE"""),"Chị Trang")</f>
        <v>Chị Trang</v>
      </c>
      <c r="C2256" s="118" t="str">
        <f>IFERROR(__xludf.DUMMYFUNCTION("""COMPUTED_VALUE"""),"Đối diện 52 Hồ Đắc Di")</f>
        <v>Đối diện 52 Hồ Đắc Di</v>
      </c>
      <c r="D2256" s="118" t="str">
        <f>IFERROR(__xludf.DUMMYFUNCTION("""COMPUTED_VALUE"""),"Chó")</f>
        <v>Chó</v>
      </c>
      <c r="E2256" s="119" t="str">
        <f>IFERROR(__xludf.DUMMYFUNCTION("""COMPUTED_VALUE"""),"Mít")</f>
        <v>Mít</v>
      </c>
    </row>
    <row r="2257" ht="15.75" customHeight="1">
      <c r="A2257" s="117" t="str">
        <f>IFERROR(__xludf.DUMMYFUNCTION("""COMPUTED_VALUE"""),"0905 997 775")</f>
        <v>0905 997 775</v>
      </c>
      <c r="B2257" s="118" t="str">
        <f>IFERROR(__xludf.DUMMYFUNCTION("""COMPUTED_VALUE"""),"Anh Hiếu")</f>
        <v>Anh Hiếu</v>
      </c>
      <c r="C2257" s="118" t="str">
        <f>IFERROR(__xludf.DUMMYFUNCTION("""COMPUTED_VALUE"""),"85 Thạch Hãn")</f>
        <v>85 Thạch Hãn</v>
      </c>
      <c r="D2257" s="118" t="str">
        <f>IFERROR(__xludf.DUMMYFUNCTION("""COMPUTED_VALUE"""),"chó")</f>
        <v>chó</v>
      </c>
      <c r="E2257" s="118" t="str">
        <f>IFERROR(__xludf.DUMMYFUNCTION("""COMPUTED_VALUE"""),"Mun")</f>
        <v>Mun</v>
      </c>
    </row>
    <row r="2258" ht="15.75" customHeight="1">
      <c r="A2258" s="128" t="str">
        <f>IFERROR(__xludf.DUMMYFUNCTION("""COMPUTED_VALUE"""),"0905 925 444")</f>
        <v>0905 925 444</v>
      </c>
      <c r="B2258" s="127" t="str">
        <f>IFERROR(__xludf.DUMMYFUNCTION("""COMPUTED_VALUE"""),"Chị Hiền")</f>
        <v>Chị Hiền</v>
      </c>
      <c r="C2258" s="127" t="str">
        <f>IFERROR(__xludf.DUMMYFUNCTION("""COMPUTED_VALUE"""),"83/131 Trần Phú")</f>
        <v>83/131 Trần Phú</v>
      </c>
      <c r="D2258" s="127" t="str">
        <f>IFERROR(__xludf.DUMMYFUNCTION("""COMPUTED_VALUE"""),"Chó")</f>
        <v>Chó</v>
      </c>
      <c r="E2258" s="127" t="str">
        <f>IFERROR(__xludf.DUMMYFUNCTION("""COMPUTED_VALUE"""),"Cừu")</f>
        <v>Cừu</v>
      </c>
    </row>
    <row r="2259" ht="15.75" customHeight="1">
      <c r="A2259" s="117" t="str">
        <f>IFERROR(__xludf.DUMMYFUNCTION("""COMPUTED_VALUE"""),"0932 639 327")</f>
        <v>0932 639 327</v>
      </c>
      <c r="B2259" s="118" t="str">
        <f>IFERROR(__xludf.DUMMYFUNCTION("""COMPUTED_VALUE"""),"Anh Hoàng")</f>
        <v>Anh Hoàng</v>
      </c>
      <c r="C2259" s="118" t="str">
        <f>IFERROR(__xludf.DUMMYFUNCTION("""COMPUTED_VALUE"""),"Lý Nam Đế")</f>
        <v>Lý Nam Đế</v>
      </c>
      <c r="D2259" s="118" t="str">
        <f>IFERROR(__xludf.DUMMYFUNCTION("""COMPUTED_VALUE"""),"chó")</f>
        <v>chó</v>
      </c>
      <c r="E2259" s="118" t="str">
        <f>IFERROR(__xludf.DUMMYFUNCTION("""COMPUTED_VALUE"""),"Mập")</f>
        <v>Mập</v>
      </c>
    </row>
    <row r="2260" ht="15.75" customHeight="1">
      <c r="A2260" s="128" t="str">
        <f>IFERROR(__xludf.DUMMYFUNCTION("""COMPUTED_VALUE"""),"0368 816 888")</f>
        <v>0368 816 888</v>
      </c>
      <c r="B2260" s="127" t="str">
        <f>IFERROR(__xludf.DUMMYFUNCTION("""COMPUTED_VALUE"""),"Anh Tuấn")</f>
        <v>Anh Tuấn</v>
      </c>
      <c r="C2260" s="127" t="str">
        <f>IFERROR(__xludf.DUMMYFUNCTION("""COMPUTED_VALUE"""),"146A Lê Thánh Tôn")</f>
        <v>146A Lê Thánh Tôn</v>
      </c>
      <c r="D2260" s="127" t="str">
        <f>IFERROR(__xludf.DUMMYFUNCTION("""COMPUTED_VALUE"""),"chó")</f>
        <v>chó</v>
      </c>
      <c r="E2260" s="127"/>
    </row>
    <row r="2261" ht="15.75" customHeight="1">
      <c r="A2261" s="128" t="str">
        <f>IFERROR(__xludf.DUMMYFUNCTION("""COMPUTED_VALUE"""),"0392 872 748")</f>
        <v>0392 872 748</v>
      </c>
      <c r="B2261" s="127" t="str">
        <f>IFERROR(__xludf.DUMMYFUNCTION("""COMPUTED_VALUE"""),"Anh Đại")</f>
        <v>Anh Đại</v>
      </c>
      <c r="C2261" s="127" t="str">
        <f>IFERROR(__xludf.DUMMYFUNCTION("""COMPUTED_VALUE"""),"55 Nguyễn Công Trứ")</f>
        <v>55 Nguyễn Công Trứ</v>
      </c>
      <c r="D2261" s="127" t="str">
        <f>IFERROR(__xludf.DUMMYFUNCTION("""COMPUTED_VALUE"""),"chó ")</f>
        <v>chó </v>
      </c>
      <c r="E2261" s="127" t="str">
        <f>IFERROR(__xludf.DUMMYFUNCTION("""COMPUTED_VALUE"""),"Win")</f>
        <v>Win</v>
      </c>
    </row>
    <row r="2262" ht="15.75" customHeight="1">
      <c r="A2262" s="117" t="str">
        <f>IFERROR(__xludf.DUMMYFUNCTION("""COMPUTED_VALUE"""),"0935 726 755")</f>
        <v>0935 726 755</v>
      </c>
      <c r="B2262" s="118" t="str">
        <f>IFERROR(__xludf.DUMMYFUNCTION("""COMPUTED_VALUE"""),"Anh Nhân")</f>
        <v>Anh Nhân</v>
      </c>
      <c r="C2262" s="118" t="str">
        <f>IFERROR(__xludf.DUMMYFUNCTION("""COMPUTED_VALUE"""),"79 Thiên Thai")</f>
        <v>79 Thiên Thai</v>
      </c>
      <c r="D2262" s="118" t="str">
        <f>IFERROR(__xludf.DUMMYFUNCTION("""COMPUTED_VALUE"""),"mèo")</f>
        <v>mèo</v>
      </c>
      <c r="E2262" s="118" t="str">
        <f>IFERROR(__xludf.DUMMYFUNCTION("""COMPUTED_VALUE"""),"Bư")</f>
        <v>Bư</v>
      </c>
    </row>
    <row r="2263" ht="15.75" customHeight="1">
      <c r="A2263" s="128" t="str">
        <f>IFERROR(__xludf.DUMMYFUNCTION("""COMPUTED_VALUE"""),"0934 933 391")</f>
        <v>0934 933 391</v>
      </c>
      <c r="B2263" s="127" t="str">
        <f>IFERROR(__xludf.DUMMYFUNCTION("""COMPUTED_VALUE"""),"Chị Tuyền")</f>
        <v>Chị Tuyền</v>
      </c>
      <c r="C2263" s="127" t="str">
        <f>IFERROR(__xludf.DUMMYFUNCTION("""COMPUTED_VALUE"""),"Trần Thái Tông")</f>
        <v>Trần Thái Tông</v>
      </c>
      <c r="D2263" s="127" t="str">
        <f>IFERROR(__xludf.DUMMYFUNCTION("""COMPUTED_VALUE"""),"Chó")</f>
        <v>Chó</v>
      </c>
      <c r="E2263" s="127" t="str">
        <f>IFERROR(__xludf.DUMMYFUNCTION("""COMPUTED_VALUE"""),"Ken")</f>
        <v>Ken</v>
      </c>
    </row>
    <row r="2264" ht="15.75" customHeight="1">
      <c r="A2264" s="128" t="str">
        <f>IFERROR(__xludf.DUMMYFUNCTION("""COMPUTED_VALUE"""),"0931 921 283")</f>
        <v>0931 921 283</v>
      </c>
      <c r="B2264" s="127" t="str">
        <f>IFERROR(__xludf.DUMMYFUNCTION("""COMPUTED_VALUE"""),"Thư")</f>
        <v>Thư</v>
      </c>
      <c r="C2264" s="127" t="str">
        <f>IFERROR(__xludf.DUMMYFUNCTION("""COMPUTED_VALUE"""),"30/12 Nguyễn Khoa Chiêm")</f>
        <v>30/12 Nguyễn Khoa Chiêm</v>
      </c>
      <c r="D2264" s="127" t="str">
        <f>IFERROR(__xludf.DUMMYFUNCTION("""COMPUTED_VALUE"""),"Chó")</f>
        <v>Chó</v>
      </c>
      <c r="E2264" s="127" t="str">
        <f>IFERROR(__xludf.DUMMYFUNCTION("""COMPUTED_VALUE"""),"Mom")</f>
        <v>Mom</v>
      </c>
    </row>
    <row r="2265" ht="15.75" customHeight="1">
      <c r="A2265" s="117" t="str">
        <f>IFERROR(__xludf.DUMMYFUNCTION("""COMPUTED_VALUE"""),"0332 279 459")</f>
        <v>0332 279 459</v>
      </c>
      <c r="B2265" s="118" t="str">
        <f>IFERROR(__xludf.DUMMYFUNCTION("""COMPUTED_VALUE"""),"Hoàng Ý Nhi")</f>
        <v>Hoàng Ý Nhi</v>
      </c>
      <c r="C2265" s="118" t="str">
        <f>IFERROR(__xludf.DUMMYFUNCTION("""COMPUTED_VALUE"""),"43/26 Lương văn Can")</f>
        <v>43/26 Lương văn Can</v>
      </c>
      <c r="D2265" s="118" t="str">
        <f>IFERROR(__xludf.DUMMYFUNCTION("""COMPUTED_VALUE"""),"Chó")</f>
        <v>Chó</v>
      </c>
      <c r="E2265" s="118" t="str">
        <f>IFERROR(__xludf.DUMMYFUNCTION("""COMPUTED_VALUE"""),"Vàng")</f>
        <v>Vàng</v>
      </c>
    </row>
    <row r="2266" ht="15.75" customHeight="1">
      <c r="A2266" s="117" t="str">
        <f>IFERROR(__xludf.DUMMYFUNCTION("""COMPUTED_VALUE"""),"0976 676 825")</f>
        <v>0976 676 825</v>
      </c>
      <c r="B2266" s="118" t="str">
        <f>IFERROR(__xludf.DUMMYFUNCTION("""COMPUTED_VALUE"""),"Anh Vinh")</f>
        <v>Anh Vinh</v>
      </c>
      <c r="C2266" s="118" t="str">
        <f>IFERROR(__xludf.DUMMYFUNCTION("""COMPUTED_VALUE"""),"43 Hoài Thanh")</f>
        <v>43 Hoài Thanh</v>
      </c>
      <c r="D2266" s="118" t="str">
        <f>IFERROR(__xludf.DUMMYFUNCTION("""COMPUTED_VALUE"""),"chó")</f>
        <v>chó</v>
      </c>
      <c r="E2266" s="118" t="str">
        <f>IFERROR(__xludf.DUMMYFUNCTION("""COMPUTED_VALUE"""),"Bun")</f>
        <v>Bun</v>
      </c>
    </row>
    <row r="2267" ht="15.75" customHeight="1">
      <c r="A2267" s="117" t="str">
        <f>IFERROR(__xludf.DUMMYFUNCTION("""COMPUTED_VALUE"""),"0852 678 246")</f>
        <v>0852 678 246</v>
      </c>
      <c r="B2267" s="118" t="str">
        <f>IFERROR(__xludf.DUMMYFUNCTION("""COMPUTED_VALUE"""),"Chị Dung")</f>
        <v>Chị Dung</v>
      </c>
      <c r="C2267" s="118" t="str">
        <f>IFERROR(__xludf.DUMMYFUNCTION("""COMPUTED_VALUE"""),"28 Mai Khắc Đôn")</f>
        <v>28 Mai Khắc Đôn</v>
      </c>
      <c r="D2267" s="118" t="str">
        <f>IFERROR(__xludf.DUMMYFUNCTION("""COMPUTED_VALUE"""),"chó")</f>
        <v>chó</v>
      </c>
      <c r="E2267" s="118" t="str">
        <f>IFERROR(__xludf.DUMMYFUNCTION("""COMPUTED_VALUE"""),"Rum")</f>
        <v>Rum</v>
      </c>
    </row>
    <row r="2268" ht="15.75" customHeight="1">
      <c r="A2268" s="117" t="str">
        <f>IFERROR(__xludf.DUMMYFUNCTION("""COMPUTED_VALUE"""),"0857 087 333")</f>
        <v>0857 087 333</v>
      </c>
      <c r="B2268" s="118" t="str">
        <f>IFERROR(__xludf.DUMMYFUNCTION("""COMPUTED_VALUE"""),"Chị Hạ")</f>
        <v>Chị Hạ</v>
      </c>
      <c r="C2268" s="118" t="str">
        <f>IFERROR(__xludf.DUMMYFUNCTION("""COMPUTED_VALUE"""),"2 Nguyễn Duy Trinh")</f>
        <v>2 Nguyễn Duy Trinh</v>
      </c>
      <c r="D2268" s="118" t="str">
        <f>IFERROR(__xludf.DUMMYFUNCTION("""COMPUTED_VALUE"""),"Mèo")</f>
        <v>Mèo</v>
      </c>
      <c r="E2268" s="118" t="str">
        <f>IFERROR(__xludf.DUMMYFUNCTION("""COMPUTED_VALUE"""),"Lô lô")</f>
        <v>Lô lô</v>
      </c>
    </row>
    <row r="2269" ht="15.75" customHeight="1">
      <c r="A2269" s="128" t="str">
        <f>IFERROR(__xludf.DUMMYFUNCTION("""COMPUTED_VALUE"""),"0376 845 252")</f>
        <v>0376 845 252</v>
      </c>
      <c r="B2269" s="127" t="str">
        <f>IFERROR(__xludf.DUMMYFUNCTION("""COMPUTED_VALUE"""),"Chị Thúy")</f>
        <v>Chị Thúy</v>
      </c>
      <c r="C2269" s="127" t="str">
        <f>IFERROR(__xludf.DUMMYFUNCTION("""COMPUTED_VALUE"""),"50 Bửu Đình")</f>
        <v>50 Bửu Đình</v>
      </c>
      <c r="D2269" s="127" t="str">
        <f>IFERROR(__xludf.DUMMYFUNCTION("""COMPUTED_VALUE"""),"chó")</f>
        <v>chó</v>
      </c>
      <c r="E2269" s="119" t="str">
        <f>IFERROR(__xludf.DUMMYFUNCTION("""COMPUTED_VALUE"""),"Vện")</f>
        <v>Vện</v>
      </c>
    </row>
    <row r="2270" ht="15.75" customHeight="1">
      <c r="A2270" s="117" t="str">
        <f>IFERROR(__xludf.DUMMYFUNCTION("""COMPUTED_VALUE"""),"0917 313 072")</f>
        <v>0917 313 072</v>
      </c>
      <c r="B2270" s="118" t="str">
        <f>IFERROR(__xludf.DUMMYFUNCTION("""COMPUTED_VALUE"""),"Trương Thị Thùy Linh")</f>
        <v>Trương Thị Thùy Linh</v>
      </c>
      <c r="C2270" s="118" t="str">
        <f>IFERROR(__xludf.DUMMYFUNCTION("""COMPUTED_VALUE"""),"Quảng Trị")</f>
        <v>Quảng Trị</v>
      </c>
      <c r="D2270" s="118" t="str">
        <f>IFERROR(__xludf.DUMMYFUNCTION("""COMPUTED_VALUE"""),"chó")</f>
        <v>chó</v>
      </c>
      <c r="E2270" s="118" t="str">
        <f>IFERROR(__xludf.DUMMYFUNCTION("""COMPUTED_VALUE"""),"Ken")</f>
        <v>Ken</v>
      </c>
    </row>
    <row r="2271" ht="15.75" customHeight="1">
      <c r="A2271" s="117" t="str">
        <f>IFERROR(__xludf.DUMMYFUNCTION("""COMPUTED_VALUE"""),"0772 927 945")</f>
        <v>0772 927 945</v>
      </c>
      <c r="B2271" s="118" t="str">
        <f>IFERROR(__xludf.DUMMYFUNCTION("""COMPUTED_VALUE"""),"Trần Ngọc Anh Khoa")</f>
        <v>Trần Ngọc Anh Khoa</v>
      </c>
      <c r="C2271" s="118" t="str">
        <f>IFERROR(__xludf.DUMMYFUNCTION("""COMPUTED_VALUE"""),"161 Đặng Văn Ngữ")</f>
        <v>161 Đặng Văn Ngữ</v>
      </c>
      <c r="D2271" s="118" t="str">
        <f>IFERROR(__xludf.DUMMYFUNCTION("""COMPUTED_VALUE"""),"mèo")</f>
        <v>mèo</v>
      </c>
      <c r="E2271" s="118" t="str">
        <f>IFERROR(__xludf.DUMMYFUNCTION("""COMPUTED_VALUE"""),"Sữa")</f>
        <v>Sữa</v>
      </c>
    </row>
    <row r="2272" ht="15.75" customHeight="1">
      <c r="A2272" s="128" t="str">
        <f>IFERROR(__xludf.DUMMYFUNCTION("""COMPUTED_VALUE"""),"0903 521 533")</f>
        <v>0903 521 533</v>
      </c>
      <c r="B2272" s="127" t="str">
        <f>IFERROR(__xludf.DUMMYFUNCTION("""COMPUTED_VALUE"""),"Thu Nga")</f>
        <v>Thu Nga</v>
      </c>
      <c r="C2272" s="127" t="str">
        <f>IFERROR(__xludf.DUMMYFUNCTION("""COMPUTED_VALUE"""),"253 Phan Bội Châu")</f>
        <v>253 Phan Bội Châu</v>
      </c>
      <c r="D2272" s="127" t="str">
        <f>IFERROR(__xludf.DUMMYFUNCTION("""COMPUTED_VALUE"""),"Chó")</f>
        <v>Chó</v>
      </c>
      <c r="E2272" s="127"/>
    </row>
    <row r="2273" ht="15.75" customHeight="1">
      <c r="A2273" s="117" t="str">
        <f>IFERROR(__xludf.DUMMYFUNCTION("""COMPUTED_VALUE"""),"0763 089 049")</f>
        <v>0763 089 049</v>
      </c>
      <c r="B2273" s="118" t="str">
        <f>IFERROR(__xludf.DUMMYFUNCTION("""COMPUTED_VALUE"""),"Ngân")</f>
        <v>Ngân</v>
      </c>
      <c r="C2273" s="118" t="str">
        <f>IFERROR(__xludf.DUMMYFUNCTION("""COMPUTED_VALUE"""),"An cựu")</f>
        <v>An cựu</v>
      </c>
      <c r="D2273" s="118" t="str">
        <f>IFERROR(__xludf.DUMMYFUNCTION("""COMPUTED_VALUE"""),"mèo")</f>
        <v>mèo</v>
      </c>
      <c r="E2273" s="118" t="str">
        <f>IFERROR(__xludf.DUMMYFUNCTION("""COMPUTED_VALUE"""),"Su")</f>
        <v>Su</v>
      </c>
    </row>
    <row r="2274" ht="15.75" customHeight="1">
      <c r="A2274" s="145" t="str">
        <f>IFERROR(__xludf.DUMMYFUNCTION("""COMPUTED_VALUE"""),"0363 572 841")</f>
        <v>0363 572 841</v>
      </c>
      <c r="B2274" s="146" t="str">
        <f>IFERROR(__xludf.DUMMYFUNCTION("""COMPUTED_VALUE"""),"Hoàng Lâm Uy")</f>
        <v>Hoàng Lâm Uy</v>
      </c>
      <c r="C2274" s="146" t="str">
        <f>IFERROR(__xludf.DUMMYFUNCTION("""COMPUTED_VALUE"""),"10/1/81 Hồ Đắc Di")</f>
        <v>10/1/81 Hồ Đắc Di</v>
      </c>
      <c r="D2274" s="146" t="str">
        <f>IFERROR(__xludf.DUMMYFUNCTION("""COMPUTED_VALUE"""),"Mèo")</f>
        <v>Mèo</v>
      </c>
      <c r="E2274" s="146" t="str">
        <f>IFERROR(__xludf.DUMMYFUNCTION("""COMPUTED_VALUE"""),"Nick")</f>
        <v>Nick</v>
      </c>
    </row>
    <row r="2275" ht="15.75" customHeight="1">
      <c r="A2275" s="128" t="str">
        <f>IFERROR(__xludf.DUMMYFUNCTION("""COMPUTED_VALUE"""),"0775 214 414")</f>
        <v>0775 214 414</v>
      </c>
      <c r="B2275" s="127" t="str">
        <f>IFERROR(__xludf.DUMMYFUNCTION("""COMPUTED_VALUE"""),"Anh Hải")</f>
        <v>Anh Hải</v>
      </c>
      <c r="C2275" s="127" t="str">
        <f>IFERROR(__xludf.DUMMYFUNCTION("""COMPUTED_VALUE"""),"Phú Thượng")</f>
        <v>Phú Thượng</v>
      </c>
      <c r="D2275" s="127" t="str">
        <f>IFERROR(__xludf.DUMMYFUNCTION("""COMPUTED_VALUE"""),"chó")</f>
        <v>chó</v>
      </c>
      <c r="E2275" s="127" t="str">
        <f>IFERROR(__xludf.DUMMYFUNCTION("""COMPUTED_VALUE"""),"Bạc")</f>
        <v>Bạc</v>
      </c>
    </row>
    <row r="2276" ht="15.75" customHeight="1">
      <c r="A2276" s="128" t="str">
        <f>IFERROR(__xludf.DUMMYFUNCTION("""COMPUTED_VALUE"""),"0799 393 733")</f>
        <v>0799 393 733</v>
      </c>
      <c r="B2276" s="127" t="str">
        <f>IFERROR(__xludf.DUMMYFUNCTION("""COMPUTED_VALUE"""),"Anh Điệp")</f>
        <v>Anh Điệp</v>
      </c>
      <c r="C2276" s="127" t="str">
        <f>IFERROR(__xludf.DUMMYFUNCTION("""COMPUTED_VALUE"""),"Hồ Thừa")</f>
        <v>Hồ Thừa</v>
      </c>
      <c r="D2276" s="127" t="str">
        <f>IFERROR(__xludf.DUMMYFUNCTION("""COMPUTED_VALUE"""),"chó")</f>
        <v>chó</v>
      </c>
      <c r="E2276" s="127" t="str">
        <f>IFERROR(__xludf.DUMMYFUNCTION("""COMPUTED_VALUE"""),"Lisa")</f>
        <v>Lisa</v>
      </c>
    </row>
    <row r="2277" ht="15.75" customHeight="1">
      <c r="A2277" s="128" t="str">
        <f>IFERROR(__xludf.DUMMYFUNCTION("""COMPUTED_VALUE"""),"0384 225 862")</f>
        <v>0384 225 862</v>
      </c>
      <c r="B2277" s="127" t="str">
        <f>IFERROR(__xludf.DUMMYFUNCTION("""COMPUTED_VALUE"""),"Dì Nhung")</f>
        <v>Dì Nhung</v>
      </c>
      <c r="C2277" s="127"/>
      <c r="D2277" s="127" t="str">
        <f>IFERROR(__xludf.DUMMYFUNCTION("""COMPUTED_VALUE"""),"mèo ")</f>
        <v>mèo </v>
      </c>
      <c r="E2277" s="127" t="str">
        <f>IFERROR(__xludf.DUMMYFUNCTION("""COMPUTED_VALUE"""),"kem")</f>
        <v>kem</v>
      </c>
    </row>
    <row r="2278" ht="15.75" customHeight="1">
      <c r="A2278" s="117" t="str">
        <f>IFERROR(__xludf.DUMMYFUNCTION("""COMPUTED_VALUE"""),"0913 903 161")</f>
        <v>0913 903 161</v>
      </c>
      <c r="B2278" s="118" t="str">
        <f>IFERROR(__xludf.DUMMYFUNCTION("""COMPUTED_VALUE"""),"Chị Nhung")</f>
        <v>Chị Nhung</v>
      </c>
      <c r="C2278" s="118" t="str">
        <f>IFERROR(__xludf.DUMMYFUNCTION("""COMPUTED_VALUE"""),"12/200 Lý Nam Đế")</f>
        <v>12/200 Lý Nam Đế</v>
      </c>
      <c r="D2278" s="118" t="str">
        <f>IFERROR(__xludf.DUMMYFUNCTION("""COMPUTED_VALUE"""),"chó")</f>
        <v>chó</v>
      </c>
      <c r="E2278" s="118" t="str">
        <f>IFERROR(__xludf.DUMMYFUNCTION("""COMPUTED_VALUE"""),"Red")</f>
        <v>Red</v>
      </c>
    </row>
    <row r="2279" ht="15.75" customHeight="1">
      <c r="A2279" s="117" t="str">
        <f>IFERROR(__xludf.DUMMYFUNCTION("""COMPUTED_VALUE"""),"0933 895 266")</f>
        <v>0933 895 266</v>
      </c>
      <c r="B2279" s="118" t="str">
        <f>IFERROR(__xludf.DUMMYFUNCTION("""COMPUTED_VALUE"""),"Chị Nguyệt")</f>
        <v>Chị Nguyệt</v>
      </c>
      <c r="C2279" s="118"/>
      <c r="D2279" s="118" t="str">
        <f>IFERROR(__xludf.DUMMYFUNCTION("""COMPUTED_VALUE"""),"chó")</f>
        <v>chó</v>
      </c>
      <c r="E2279" s="118" t="str">
        <f>IFERROR(__xludf.DUMMYFUNCTION("""COMPUTED_VALUE""")," milk")</f>
        <v> milk</v>
      </c>
    </row>
    <row r="2280" ht="15.75" customHeight="1">
      <c r="A2280" s="128" t="str">
        <f>IFERROR(__xludf.DUMMYFUNCTION("""COMPUTED_VALUE"""),"0898 223 407")</f>
        <v>0898 223 407</v>
      </c>
      <c r="B2280" s="127" t="str">
        <f>IFERROR(__xludf.DUMMYFUNCTION("""COMPUTED_VALUE"""),"Anh Pin")</f>
        <v>Anh Pin</v>
      </c>
      <c r="C2280" s="127" t="str">
        <f>IFERROR(__xludf.DUMMYFUNCTION("""COMPUTED_VALUE"""),"11 Mai Khắc Đôn")</f>
        <v>11 Mai Khắc Đôn</v>
      </c>
      <c r="D2280" s="127" t="str">
        <f>IFERROR(__xludf.DUMMYFUNCTION("""COMPUTED_VALUE"""),"chó")</f>
        <v>chó</v>
      </c>
      <c r="E2280" s="127" t="str">
        <f>IFERROR(__xludf.DUMMYFUNCTION("""COMPUTED_VALUE"""),"Mơ")</f>
        <v>Mơ</v>
      </c>
    </row>
    <row r="2281" ht="15.75" customHeight="1">
      <c r="A2281" s="128" t="str">
        <f>IFERROR(__xludf.DUMMYFUNCTION("""COMPUTED_VALUE"""),"0961 276 163")</f>
        <v>0961 276 163</v>
      </c>
      <c r="B2281" s="127" t="str">
        <f>IFERROR(__xludf.DUMMYFUNCTION("""COMPUTED_VALUE"""),"Nhật")</f>
        <v>Nhật</v>
      </c>
      <c r="C2281" s="127" t="str">
        <f>IFERROR(__xludf.DUMMYFUNCTION("""COMPUTED_VALUE"""),"17/103 Lê Ngô Cát")</f>
        <v>17/103 Lê Ngô Cát</v>
      </c>
      <c r="D2281" s="127" t="str">
        <f>IFERROR(__xludf.DUMMYFUNCTION("""COMPUTED_VALUE"""),"Mèo")</f>
        <v>Mèo</v>
      </c>
      <c r="E2281" s="127" t="str">
        <f>IFERROR(__xludf.DUMMYFUNCTION("""COMPUTED_VALUE"""),"Lucki")</f>
        <v>Lucki</v>
      </c>
    </row>
    <row r="2282" ht="15.75" customHeight="1">
      <c r="A2282" s="128" t="str">
        <f>IFERROR(__xludf.DUMMYFUNCTION("""COMPUTED_VALUE"""),"0364 266 792")</f>
        <v>0364 266 792</v>
      </c>
      <c r="B2282" s="127" t="str">
        <f>IFERROR(__xludf.DUMMYFUNCTION("""COMPUTED_VALUE"""),"Phúc")</f>
        <v>Phúc</v>
      </c>
      <c r="C2282" s="127" t="str">
        <f>IFERROR(__xludf.DUMMYFUNCTION("""COMPUTED_VALUE"""),"1/20/130 Trần Phú")</f>
        <v>1/20/130 Trần Phú</v>
      </c>
      <c r="D2282" s="127" t="str">
        <f>IFERROR(__xludf.DUMMYFUNCTION("""COMPUTED_VALUE"""),"Chó")</f>
        <v>Chó</v>
      </c>
      <c r="E2282" s="127" t="str">
        <f>IFERROR(__xludf.DUMMYFUNCTION("""COMPUTED_VALUE"""),"Bông ")</f>
        <v>Bông </v>
      </c>
    </row>
    <row r="2283" ht="15.75" customHeight="1">
      <c r="A2283" s="128" t="str">
        <f>IFERROR(__xludf.DUMMYFUNCTION("""COMPUTED_VALUE"""),"0788 601 767")</f>
        <v>0788 601 767</v>
      </c>
      <c r="B2283" s="127" t="str">
        <f>IFERROR(__xludf.DUMMYFUNCTION("""COMPUTED_VALUE"""),"C Thảo")</f>
        <v>C Thảo</v>
      </c>
      <c r="C2283" s="127" t="str">
        <f>IFERROR(__xludf.DUMMYFUNCTION("""COMPUTED_VALUE"""),"23/2/27 Ngự Bình")</f>
        <v>23/2/27 Ngự Bình</v>
      </c>
      <c r="D2283" s="127" t="str">
        <f>IFERROR(__xludf.DUMMYFUNCTION("""COMPUTED_VALUE"""),"Chó")</f>
        <v>Chó</v>
      </c>
      <c r="E2283" s="119" t="str">
        <f>IFERROR(__xludf.DUMMYFUNCTION("""COMPUTED_VALUE"""),"Sam")</f>
        <v>Sam</v>
      </c>
    </row>
    <row r="2284" ht="15.75" customHeight="1">
      <c r="A2284" s="128" t="str">
        <f>IFERROR(__xludf.DUMMYFUNCTION("""COMPUTED_VALUE"""),"0913 540 345")</f>
        <v>0913 540 345</v>
      </c>
      <c r="B2284" s="127" t="str">
        <f>IFERROR(__xludf.DUMMYFUNCTION("""COMPUTED_VALUE"""),"Anh Hải")</f>
        <v>Anh Hải</v>
      </c>
      <c r="C2284" s="127" t="str">
        <f>IFERROR(__xludf.DUMMYFUNCTION("""COMPUTED_VALUE"""),"40/6 Hoàng Đình Ái")</f>
        <v>40/6 Hoàng Đình Ái</v>
      </c>
      <c r="D2284" s="127" t="str">
        <f>IFERROR(__xludf.DUMMYFUNCTION("""COMPUTED_VALUE"""),"Chó")</f>
        <v>Chó</v>
      </c>
      <c r="E2284" s="127" t="str">
        <f>IFERROR(__xludf.DUMMYFUNCTION("""COMPUTED_VALUE"""),"Lu")</f>
        <v>Lu</v>
      </c>
    </row>
    <row r="2285" ht="15.75" customHeight="1">
      <c r="A2285" s="128" t="str">
        <f>IFERROR(__xludf.DUMMYFUNCTION("""COMPUTED_VALUE"""),"0935 695 604")</f>
        <v>0935 695 604</v>
      </c>
      <c r="B2285" s="127" t="str">
        <f>IFERROR(__xludf.DUMMYFUNCTION("""COMPUTED_VALUE"""),"Tường")</f>
        <v>Tường</v>
      </c>
      <c r="C2285" s="127" t="str">
        <f>IFERROR(__xludf.DUMMYFUNCTION("""COMPUTED_VALUE"""),"98/82 Quảng Tế")</f>
        <v>98/82 Quảng Tế</v>
      </c>
      <c r="D2285" s="127" t="str">
        <f>IFERROR(__xludf.DUMMYFUNCTION("""COMPUTED_VALUE"""),"Mèo")</f>
        <v>Mèo</v>
      </c>
      <c r="E2285" s="127" t="str">
        <f>IFERROR(__xludf.DUMMYFUNCTION("""COMPUTED_VALUE"""),"Vàng")</f>
        <v>Vàng</v>
      </c>
    </row>
    <row r="2286" ht="15.75" customHeight="1">
      <c r="A2286" s="117" t="str">
        <f>IFERROR(__xludf.DUMMYFUNCTION("""COMPUTED_VALUE"""),"0935 939 121")</f>
        <v>0935 939 121</v>
      </c>
      <c r="B2286" s="118" t="str">
        <f>IFERROR(__xludf.DUMMYFUNCTION("""COMPUTED_VALUE"""),"E Na")</f>
        <v>E Na</v>
      </c>
      <c r="C2286" s="118" t="str">
        <f>IFERROR(__xludf.DUMMYFUNCTION("""COMPUTED_VALUE"""),"26 Võ Liêm Sơn")</f>
        <v>26 Võ Liêm Sơn</v>
      </c>
      <c r="D2286" s="118" t="str">
        <f>IFERROR(__xludf.DUMMYFUNCTION("""COMPUTED_VALUE"""),"chó")</f>
        <v>chó</v>
      </c>
      <c r="E2286" s="118" t="str">
        <f>IFERROR(__xludf.DUMMYFUNCTION("""COMPUTED_VALUE"""),"Lucki")</f>
        <v>Lucki</v>
      </c>
    </row>
    <row r="2287" ht="15.75" customHeight="1">
      <c r="A2287" s="128" t="str">
        <f>IFERROR(__xludf.DUMMYFUNCTION("""COMPUTED_VALUE"""),"0975 237 138")</f>
        <v>0975 237 138</v>
      </c>
      <c r="B2287" s="127" t="str">
        <f>IFERROR(__xludf.DUMMYFUNCTION("""COMPUTED_VALUE"""),"Anh Trung")</f>
        <v>Anh Trung</v>
      </c>
      <c r="C2287" s="127" t="str">
        <f>IFERROR(__xludf.DUMMYFUNCTION("""COMPUTED_VALUE"""),"Hương Chữ")</f>
        <v>Hương Chữ</v>
      </c>
      <c r="D2287" s="127" t="str">
        <f>IFERROR(__xludf.DUMMYFUNCTION("""COMPUTED_VALUE"""),"chó")</f>
        <v>chó</v>
      </c>
      <c r="E2287" s="127" t="str">
        <f>IFERROR(__xludf.DUMMYFUNCTION("""COMPUTED_VALUE"""),"Ky")</f>
        <v>Ky</v>
      </c>
    </row>
    <row r="2288" ht="15.75" customHeight="1">
      <c r="A2288" s="128" t="str">
        <f>IFERROR(__xludf.DUMMYFUNCTION("""COMPUTED_VALUE"""),"0937 258 627")</f>
        <v>0937 258 627</v>
      </c>
      <c r="B2288" s="127" t="str">
        <f>IFERROR(__xludf.DUMMYFUNCTION("""COMPUTED_VALUE"""),"Hồ Thị Vi")</f>
        <v>Hồ Thị Vi</v>
      </c>
      <c r="C2288" s="127" t="str">
        <f>IFERROR(__xludf.DUMMYFUNCTION("""COMPUTED_VALUE"""),"268 Ngự Bình")</f>
        <v>268 Ngự Bình</v>
      </c>
      <c r="D2288" s="127" t="str">
        <f>IFERROR(__xludf.DUMMYFUNCTION("""COMPUTED_VALUE"""),"Chó")</f>
        <v>Chó</v>
      </c>
      <c r="E2288" s="127" t="str">
        <f>IFERROR(__xludf.DUMMYFUNCTION("""COMPUTED_VALUE"""),"Nu")</f>
        <v>Nu</v>
      </c>
    </row>
    <row r="2289" ht="15.75" customHeight="1">
      <c r="A2289" s="128" t="str">
        <f>IFERROR(__xludf.DUMMYFUNCTION("""COMPUTED_VALUE"""),"0783 227 302")</f>
        <v>0783 227 302</v>
      </c>
      <c r="B2289" s="127" t="str">
        <f>IFERROR(__xludf.DUMMYFUNCTION("""COMPUTED_VALUE"""),"Chị Ngân")</f>
        <v>Chị Ngân</v>
      </c>
      <c r="C2289" s="127" t="str">
        <f>IFERROR(__xludf.DUMMYFUNCTION("""COMPUTED_VALUE"""),"68 tùng Thiện Vương")</f>
        <v>68 tùng Thiện Vương</v>
      </c>
      <c r="D2289" s="127" t="str">
        <f>IFERROR(__xludf.DUMMYFUNCTION("""COMPUTED_VALUE"""),"chó")</f>
        <v>chó</v>
      </c>
      <c r="E2289" s="127" t="str">
        <f>IFERROR(__xludf.DUMMYFUNCTION("""COMPUTED_VALUE""")," lu")</f>
        <v> lu</v>
      </c>
    </row>
    <row r="2290" ht="15.75" customHeight="1">
      <c r="A2290" s="117" t="str">
        <f>IFERROR(__xludf.DUMMYFUNCTION("""COMPUTED_VALUE"""),"0906 481 633")</f>
        <v>0906 481 633</v>
      </c>
      <c r="B2290" s="118" t="str">
        <f>IFERROR(__xludf.DUMMYFUNCTION("""COMPUTED_VALUE"""),"Chị Thanh")</f>
        <v>Chị Thanh</v>
      </c>
      <c r="C2290" s="118" t="str">
        <f>IFERROR(__xludf.DUMMYFUNCTION("""COMPUTED_VALUE"""),"6 kqh Phú Thượng")</f>
        <v>6 kqh Phú Thượng</v>
      </c>
      <c r="D2290" s="118" t="str">
        <f>IFERROR(__xludf.DUMMYFUNCTION("""COMPUTED_VALUE"""),"chó")</f>
        <v>chó</v>
      </c>
      <c r="E2290" s="118" t="str">
        <f>IFERROR(__xludf.DUMMYFUNCTION("""COMPUTED_VALUE"""),"Mì tôm")</f>
        <v>Mì tôm</v>
      </c>
    </row>
    <row r="2291" ht="15.75" customHeight="1">
      <c r="A2291" s="117" t="str">
        <f>IFERROR(__xludf.DUMMYFUNCTION("""COMPUTED_VALUE"""),"0794 548 529")</f>
        <v>0794 548 529</v>
      </c>
      <c r="B2291" s="118" t="str">
        <f>IFERROR(__xludf.DUMMYFUNCTION("""COMPUTED_VALUE"""),"Anh Tom")</f>
        <v>Anh Tom</v>
      </c>
      <c r="C2291" s="118" t="str">
        <f>IFERROR(__xludf.DUMMYFUNCTION("""COMPUTED_VALUE"""),"Thuận An")</f>
        <v>Thuận An</v>
      </c>
      <c r="D2291" s="118" t="str">
        <f>IFERROR(__xludf.DUMMYFUNCTION("""COMPUTED_VALUE"""),"chó ")</f>
        <v>chó </v>
      </c>
      <c r="E2291" s="118" t="str">
        <f>IFERROR(__xludf.DUMMYFUNCTION("""COMPUTED_VALUE"""),"whisky")</f>
        <v>whisky</v>
      </c>
    </row>
    <row r="2292" ht="15.75" customHeight="1">
      <c r="A2292" s="117" t="str">
        <f>IFERROR(__xludf.DUMMYFUNCTION("""COMPUTED_VALUE"""),"0702 998 937")</f>
        <v>0702 998 937</v>
      </c>
      <c r="B2292" s="118" t="str">
        <f>IFERROR(__xludf.DUMMYFUNCTION("""COMPUTED_VALUE"""),"chị Trí")</f>
        <v>chị Trí</v>
      </c>
      <c r="C2292" s="118" t="str">
        <f>IFERROR(__xludf.DUMMYFUNCTION("""COMPUTED_VALUE"""),"22 Minh Mạng")</f>
        <v>22 Minh Mạng</v>
      </c>
      <c r="D2292" s="118" t="str">
        <f>IFERROR(__xludf.DUMMYFUNCTION("""COMPUTED_VALUE"""),"Mèo")</f>
        <v>Mèo</v>
      </c>
      <c r="E2292" s="119" t="str">
        <f>IFERROR(__xludf.DUMMYFUNCTION("""COMPUTED_VALUE"""),"Nho")</f>
        <v>Nho</v>
      </c>
    </row>
    <row r="2293" ht="15.75" customHeight="1">
      <c r="A2293" s="117" t="str">
        <f>IFERROR(__xludf.DUMMYFUNCTION("""COMPUTED_VALUE"""),"0905 660 844")</f>
        <v>0905 660 844</v>
      </c>
      <c r="B2293" s="118" t="str">
        <f>IFERROR(__xludf.DUMMYFUNCTION("""COMPUTED_VALUE"""),"Chị Mai Hương")</f>
        <v>Chị Mai Hương</v>
      </c>
      <c r="C2293" s="118" t="str">
        <f>IFERROR(__xludf.DUMMYFUNCTION("""COMPUTED_VALUE"""),"56 Nguyễn Khuyến")</f>
        <v>56 Nguyễn Khuyến</v>
      </c>
      <c r="D2293" s="118" t="str">
        <f>IFERROR(__xludf.DUMMYFUNCTION("""COMPUTED_VALUE"""),"Chó/ mèo")</f>
        <v>Chó/ mèo</v>
      </c>
      <c r="E2293" s="119" t="str">
        <f>IFERROR(__xludf.DUMMYFUNCTION("""COMPUTED_VALUE"""),"Cam/ xoài")</f>
        <v>Cam/ xoài</v>
      </c>
    </row>
    <row r="2294" ht="15.75" customHeight="1">
      <c r="A2294" s="117" t="str">
        <f>IFERROR(__xludf.DUMMYFUNCTION("""COMPUTED_VALUE"""),"0829 126 286")</f>
        <v>0829 126 286</v>
      </c>
      <c r="B2294" s="118" t="str">
        <f>IFERROR(__xludf.DUMMYFUNCTION("""COMPUTED_VALUE"""),"Nguyễn Viết Thắng")</f>
        <v>Nguyễn Viết Thắng</v>
      </c>
      <c r="C2294" s="118" t="str">
        <f>IFERROR(__xludf.DUMMYFUNCTION("""COMPUTED_VALUE"""),"H13 Lịch Đợi")</f>
        <v>H13 Lịch Đợi</v>
      </c>
      <c r="D2294" s="118" t="str">
        <f>IFERROR(__xludf.DUMMYFUNCTION("""COMPUTED_VALUE"""),"Mèo")</f>
        <v>Mèo</v>
      </c>
      <c r="E2294" s="119" t="str">
        <f>IFERROR(__xludf.DUMMYFUNCTION("""COMPUTED_VALUE"""),"Bee")</f>
        <v>Bee</v>
      </c>
    </row>
    <row r="2295" ht="15.75" customHeight="1">
      <c r="A2295" s="117" t="str">
        <f>IFERROR(__xludf.DUMMYFUNCTION("""COMPUTED_VALUE"""),"0931 393 678")</f>
        <v>0931 393 678</v>
      </c>
      <c r="B2295" s="118" t="str">
        <f>IFERROR(__xludf.DUMMYFUNCTION("""COMPUTED_VALUE"""),"Thảo Nguyên")</f>
        <v>Thảo Nguyên</v>
      </c>
      <c r="C2295" s="118" t="str">
        <f>IFERROR(__xludf.DUMMYFUNCTION("""COMPUTED_VALUE"""),"Ngự Bình")</f>
        <v>Ngự Bình</v>
      </c>
      <c r="D2295" s="118" t="str">
        <f>IFERROR(__xludf.DUMMYFUNCTION("""COMPUTED_VALUE"""),"mèo")</f>
        <v>mèo</v>
      </c>
      <c r="E2295" s="118" t="str">
        <f>IFERROR(__xludf.DUMMYFUNCTION("""COMPUTED_VALUE"""),"Cam")</f>
        <v>Cam</v>
      </c>
    </row>
    <row r="2296" ht="15.75" customHeight="1">
      <c r="A2296" s="128" t="str">
        <f>IFERROR(__xludf.DUMMYFUNCTION("""COMPUTED_VALUE"""),"0365 231 189")</f>
        <v>0365 231 189</v>
      </c>
      <c r="B2296" s="127" t="str">
        <f>IFERROR(__xludf.DUMMYFUNCTION("""COMPUTED_VALUE"""),"Nguyễn Tấn Minh")</f>
        <v>Nguyễn Tấn Minh</v>
      </c>
      <c r="C2296" s="127" t="str">
        <f>IFERROR(__xludf.DUMMYFUNCTION("""COMPUTED_VALUE"""),"38 Đặng Huy Trứ")</f>
        <v>38 Đặng Huy Trứ</v>
      </c>
      <c r="D2296" s="127" t="str">
        <f>IFERROR(__xludf.DUMMYFUNCTION("""COMPUTED_VALUE"""),"Mèo")</f>
        <v>Mèo</v>
      </c>
      <c r="E2296" s="127" t="str">
        <f>IFERROR(__xludf.DUMMYFUNCTION("""COMPUTED_VALUE"""),"Lisa")</f>
        <v>Lisa</v>
      </c>
    </row>
    <row r="2297" ht="15.75" customHeight="1">
      <c r="A2297" s="128" t="str">
        <f>IFERROR(__xludf.DUMMYFUNCTION("""COMPUTED_VALUE"""),"0838 682 460")</f>
        <v>0838 682 460</v>
      </c>
      <c r="B2297" s="127" t="str">
        <f>IFERROR(__xludf.DUMMYFUNCTION("""COMPUTED_VALUE"""),"Bác Ngọc")</f>
        <v>Bác Ngọc</v>
      </c>
      <c r="C2297" s="127" t="str">
        <f>IFERROR(__xludf.DUMMYFUNCTION("""COMPUTED_VALUE"""),"6/29 Hàm Nghi")</f>
        <v>6/29 Hàm Nghi</v>
      </c>
      <c r="D2297" s="127" t="str">
        <f>IFERROR(__xludf.DUMMYFUNCTION("""COMPUTED_VALUE"""),"Chó")</f>
        <v>Chó</v>
      </c>
      <c r="E2297" s="127"/>
    </row>
    <row r="2298" ht="15.75" customHeight="1">
      <c r="A2298" s="128" t="str">
        <f>IFERROR(__xludf.DUMMYFUNCTION("""COMPUTED_VALUE"""),"0384 600 366")</f>
        <v>0384 600 366</v>
      </c>
      <c r="B2298" s="127" t="str">
        <f>IFERROR(__xludf.DUMMYFUNCTION("""COMPUTED_VALUE"""),"Chị  nhi")</f>
        <v>Chị  nhi</v>
      </c>
      <c r="C2298" s="127" t="str">
        <f>IFERROR(__xludf.DUMMYFUNCTION("""COMPUTED_VALUE"""),"246 Hùng Vương")</f>
        <v>246 Hùng Vương</v>
      </c>
      <c r="D2298" s="127" t="str">
        <f>IFERROR(__xludf.DUMMYFUNCTION("""COMPUTED_VALUE"""),"mèo")</f>
        <v>mèo</v>
      </c>
      <c r="E2298" s="127"/>
    </row>
    <row r="2299" ht="15.75" customHeight="1">
      <c r="A2299" s="128" t="str">
        <f>IFERROR(__xludf.DUMMYFUNCTION("""COMPUTED_VALUE"""),"0905 572 275")</f>
        <v>0905 572 275</v>
      </c>
      <c r="B2299" s="127" t="str">
        <f>IFERROR(__xludf.DUMMYFUNCTION("""COMPUTED_VALUE"""),"Anh Dương")</f>
        <v>Anh Dương</v>
      </c>
      <c r="C2299" s="127" t="str">
        <f>IFERROR(__xludf.DUMMYFUNCTION("""COMPUTED_VALUE"""),"25/130 Thích Tịnh Khiết")</f>
        <v>25/130 Thích Tịnh Khiết</v>
      </c>
      <c r="D2299" s="127" t="str">
        <f>IFERROR(__xludf.DUMMYFUNCTION("""COMPUTED_VALUE"""),"mèo")</f>
        <v>mèo</v>
      </c>
      <c r="E2299" s="127" t="str">
        <f>IFERROR(__xludf.DUMMYFUNCTION("""COMPUTED_VALUE"""),"Xúi")</f>
        <v>Xúi</v>
      </c>
    </row>
    <row r="2300" ht="15.75" customHeight="1">
      <c r="A2300" s="128" t="str">
        <f>IFERROR(__xludf.DUMMYFUNCTION("""COMPUTED_VALUE"""),"0796 534 048")</f>
        <v>0796 534 048</v>
      </c>
      <c r="B2300" s="127" t="str">
        <f>IFERROR(__xludf.DUMMYFUNCTION("""COMPUTED_VALUE"""),"Thanh Phượng")</f>
        <v>Thanh Phượng</v>
      </c>
      <c r="C2300" s="127" t="str">
        <f>IFERROR(__xludf.DUMMYFUNCTION("""COMPUTED_VALUE"""),"104/2 Phạm Thị Liên")</f>
        <v>104/2 Phạm Thị Liên</v>
      </c>
      <c r="D2300" s="127" t="str">
        <f>IFERROR(__xludf.DUMMYFUNCTION("""COMPUTED_VALUE"""),"mèo")</f>
        <v>mèo</v>
      </c>
      <c r="E2300" s="127" t="str">
        <f>IFERROR(__xludf.DUMMYFUNCTION("""COMPUTED_VALUE"""),"miu")</f>
        <v>miu</v>
      </c>
    </row>
    <row r="2301" ht="15.75" customHeight="1">
      <c r="A2301" s="128" t="str">
        <f>IFERROR(__xludf.DUMMYFUNCTION("""COMPUTED_VALUE"""),"0917 516 294")</f>
        <v>0917 516 294</v>
      </c>
      <c r="B2301" s="127" t="str">
        <f>IFERROR(__xludf.DUMMYFUNCTION("""COMPUTED_VALUE"""),"Anh Sơn")</f>
        <v>Anh Sơn</v>
      </c>
      <c r="C2301" s="127" t="str">
        <f>IFERROR(__xludf.DUMMYFUNCTION("""COMPUTED_VALUE"""),"332 Lý Nam Đế")</f>
        <v>332 Lý Nam Đế</v>
      </c>
      <c r="D2301" s="127" t="str">
        <f>IFERROR(__xludf.DUMMYFUNCTION("""COMPUTED_VALUE"""),"Chó")</f>
        <v>Chó</v>
      </c>
      <c r="E2301" s="127" t="str">
        <f>IFERROR(__xludf.DUMMYFUNCTION("""COMPUTED_VALUE"""),"Đen")</f>
        <v>Đen</v>
      </c>
    </row>
    <row r="2302" ht="15.75" customHeight="1">
      <c r="A2302" s="117" t="str">
        <f>IFERROR(__xludf.DUMMYFUNCTION("""COMPUTED_VALUE"""),"0334 843 350")</f>
        <v>0334 843 350</v>
      </c>
      <c r="B2302" s="118" t="str">
        <f>IFERROR(__xludf.DUMMYFUNCTION("""COMPUTED_VALUE"""),"Nguyễn Văn Phong ")</f>
        <v>Nguyễn Văn Phong </v>
      </c>
      <c r="C2302" s="118" t="str">
        <f>IFERROR(__xludf.DUMMYFUNCTION("""COMPUTED_VALUE"""),"Hương Toàn")</f>
        <v>Hương Toàn</v>
      </c>
      <c r="D2302" s="118" t="str">
        <f>IFERROR(__xludf.DUMMYFUNCTION("""COMPUTED_VALUE"""),"chó")</f>
        <v>chó</v>
      </c>
      <c r="E2302" s="118"/>
    </row>
    <row r="2303" ht="15.75" customHeight="1">
      <c r="A2303" s="117" t="str">
        <f>IFERROR(__xludf.DUMMYFUNCTION("""COMPUTED_VALUE"""),"0766 770 018")</f>
        <v>0766 770 018</v>
      </c>
      <c r="B2303" s="118" t="str">
        <f>IFERROR(__xludf.DUMMYFUNCTION("""COMPUTED_VALUE"""),"Lê Thị Ty")</f>
        <v>Lê Thị Ty</v>
      </c>
      <c r="C2303" s="118" t="str">
        <f>IFERROR(__xludf.DUMMYFUNCTION("""COMPUTED_VALUE"""),"Phú Mậu, Phú Vang")</f>
        <v>Phú Mậu, Phú Vang</v>
      </c>
      <c r="D2303" s="118" t="str">
        <f>IFERROR(__xludf.DUMMYFUNCTION("""COMPUTED_VALUE"""),"Chó")</f>
        <v>Chó</v>
      </c>
      <c r="E2303" s="118" t="str">
        <f>IFERROR(__xludf.DUMMYFUNCTION("""COMPUTED_VALUE"""),"Mau")</f>
        <v>Mau</v>
      </c>
    </row>
    <row r="2304" ht="15.75" customHeight="1">
      <c r="A2304" s="128" t="str">
        <f>IFERROR(__xludf.DUMMYFUNCTION("""COMPUTED_VALUE"""),"0932 209 875")</f>
        <v>0932 209 875</v>
      </c>
      <c r="B2304" s="127" t="str">
        <f>IFERROR(__xludf.DUMMYFUNCTION("""COMPUTED_VALUE"""),"Chị Tuyết")</f>
        <v>Chị Tuyết</v>
      </c>
      <c r="C2304" s="127" t="str">
        <f>IFERROR(__xludf.DUMMYFUNCTION("""COMPUTED_VALUE"""),"94 Điện Biên Phủ")</f>
        <v>94 Điện Biên Phủ</v>
      </c>
      <c r="D2304" s="127" t="str">
        <f>IFERROR(__xludf.DUMMYFUNCTION("""COMPUTED_VALUE"""),"chó")</f>
        <v>chó</v>
      </c>
      <c r="E2304" s="127" t="str">
        <f>IFERROR(__xludf.DUMMYFUNCTION("""COMPUTED_VALUE"""),"Gấu")</f>
        <v>Gấu</v>
      </c>
    </row>
    <row r="2305" ht="15.75" customHeight="1">
      <c r="A2305" s="128" t="str">
        <f>IFERROR(__xludf.DUMMYFUNCTION("""COMPUTED_VALUE"""),"0899 242 373")</f>
        <v>0899 242 373</v>
      </c>
      <c r="B2305" s="127" t="str">
        <f>IFERROR(__xludf.DUMMYFUNCTION("""COMPUTED_VALUE"""),"Phương ")</f>
        <v>Phương </v>
      </c>
      <c r="C2305" s="127" t="str">
        <f>IFERROR(__xludf.DUMMYFUNCTION("""COMPUTED_VALUE"""),"34/69 k131 Trần phú")</f>
        <v>34/69 k131 Trần phú</v>
      </c>
      <c r="D2305" s="127" t="str">
        <f>IFERROR(__xludf.DUMMYFUNCTION("""COMPUTED_VALUE"""),"chó")</f>
        <v>chó</v>
      </c>
      <c r="E2305" s="127" t="str">
        <f>IFERROR(__xludf.DUMMYFUNCTION("""COMPUTED_VALUE"""),"lý")</f>
        <v>lý</v>
      </c>
    </row>
    <row r="2306" ht="15.75" customHeight="1">
      <c r="A2306" s="117" t="str">
        <f>IFERROR(__xludf.DUMMYFUNCTION("""COMPUTED_VALUE"""),"0984 556 939")</f>
        <v>0984 556 939</v>
      </c>
      <c r="B2306" s="118" t="str">
        <f>IFERROR(__xludf.DUMMYFUNCTION("""COMPUTED_VALUE"""),"Nguyễn Đức Tùng Phương")</f>
        <v>Nguyễn Đức Tùng Phương</v>
      </c>
      <c r="C2306" s="118" t="str">
        <f>IFERROR(__xludf.DUMMYFUNCTION("""COMPUTED_VALUE"""),"đối diện 26 võ liêm Sơn")</f>
        <v>đối diện 26 võ liêm Sơn</v>
      </c>
      <c r="D2306" s="118" t="str">
        <f>IFERROR(__xludf.DUMMYFUNCTION("""COMPUTED_VALUE"""),"chó")</f>
        <v>chó</v>
      </c>
      <c r="E2306" s="118"/>
    </row>
    <row r="2307" ht="15.75" customHeight="1">
      <c r="A2307" s="128" t="str">
        <f>IFERROR(__xludf.DUMMYFUNCTION("""COMPUTED_VALUE"""),"0935 086 446")</f>
        <v>0935 086 446</v>
      </c>
      <c r="B2307" s="127" t="str">
        <f>IFERROR(__xludf.DUMMYFUNCTION("""COMPUTED_VALUE"""),"Nguyễn Thị Thương")</f>
        <v>Nguyễn Thị Thương</v>
      </c>
      <c r="C2307" s="127" t="str">
        <f>IFERROR(__xludf.DUMMYFUNCTION("""COMPUTED_VALUE"""),"233 Trần Phú")</f>
        <v>233 Trần Phú</v>
      </c>
      <c r="D2307" s="127" t="str">
        <f>IFERROR(__xludf.DUMMYFUNCTION("""COMPUTED_VALUE"""),"chó")</f>
        <v>chó</v>
      </c>
      <c r="E2307" s="127" t="str">
        <f>IFERROR(__xludf.DUMMYFUNCTION("""COMPUTED_VALUE"""),"ken")</f>
        <v>ken</v>
      </c>
    </row>
    <row r="2308" ht="15.75" customHeight="1">
      <c r="A2308" s="117" t="str">
        <f>IFERROR(__xludf.DUMMYFUNCTION("""COMPUTED_VALUE"""),"0907 687 986")</f>
        <v>0907 687 986</v>
      </c>
      <c r="B2308" s="118" t="str">
        <f>IFERROR(__xludf.DUMMYFUNCTION("""COMPUTED_VALUE"""),"Anh Ân")</f>
        <v>Anh Ân</v>
      </c>
      <c r="C2308" s="118" t="str">
        <f>IFERROR(__xludf.DUMMYFUNCTION("""COMPUTED_VALUE"""),"15k22 Hàm Nghi")</f>
        <v>15k22 Hàm Nghi</v>
      </c>
      <c r="D2308" s="118" t="str">
        <f>IFERROR(__xludf.DUMMYFUNCTION("""COMPUTED_VALUE"""),"chó")</f>
        <v>chó</v>
      </c>
      <c r="E2308" s="118" t="str">
        <f>IFERROR(__xludf.DUMMYFUNCTION("""COMPUTED_VALUE"""),"noa")</f>
        <v>noa</v>
      </c>
    </row>
    <row r="2309" ht="15.75" customHeight="1">
      <c r="A2309" s="128" t="str">
        <f>IFERROR(__xludf.DUMMYFUNCTION("""COMPUTED_VALUE"""),"0339 331 780")</f>
        <v>0339 331 780</v>
      </c>
      <c r="B2309" s="127" t="str">
        <f>IFERROR(__xludf.DUMMYFUNCTION("""COMPUTED_VALUE"""),"Hoàng văn Dũng")</f>
        <v>Hoàng văn Dũng</v>
      </c>
      <c r="C2309" s="127" t="str">
        <f>IFERROR(__xludf.DUMMYFUNCTION("""COMPUTED_VALUE"""),"k131 trần phú")</f>
        <v>k131 trần phú</v>
      </c>
      <c r="D2309" s="127" t="str">
        <f>IFERROR(__xludf.DUMMYFUNCTION("""COMPUTED_VALUE"""),"chó")</f>
        <v>chó</v>
      </c>
      <c r="E2309" s="127" t="str">
        <f>IFERROR(__xludf.DUMMYFUNCTION("""COMPUTED_VALUE"""),"ki")</f>
        <v>ki</v>
      </c>
    </row>
    <row r="2310" ht="15.75" customHeight="1">
      <c r="A2310" s="128" t="str">
        <f>IFERROR(__xludf.DUMMYFUNCTION("""COMPUTED_VALUE"""),"0988 342 403")</f>
        <v>0988 342 403</v>
      </c>
      <c r="B2310" s="127" t="str">
        <f>IFERROR(__xludf.DUMMYFUNCTION("""COMPUTED_VALUE"""),"Chị Thủy")</f>
        <v>Chị Thủy</v>
      </c>
      <c r="C2310" s="127" t="str">
        <f>IFERROR(__xludf.DUMMYFUNCTION("""COMPUTED_VALUE"""),"1/11/77 Thiên Thai")</f>
        <v>1/11/77 Thiên Thai</v>
      </c>
      <c r="D2310" s="127" t="str">
        <f>IFERROR(__xludf.DUMMYFUNCTION("""COMPUTED_VALUE"""),"chó")</f>
        <v>chó</v>
      </c>
      <c r="E2310" s="127" t="str">
        <f>IFERROR(__xludf.DUMMYFUNCTION("""COMPUTED_VALUE"""),"milk")</f>
        <v>milk</v>
      </c>
    </row>
    <row r="2311" ht="15.75" customHeight="1">
      <c r="A2311" s="128" t="str">
        <f>IFERROR(__xludf.DUMMYFUNCTION("""COMPUTED_VALUE"""),"0334 423 120")</f>
        <v>0334 423 120</v>
      </c>
      <c r="B2311" s="127" t="str">
        <f>IFERROR(__xludf.DUMMYFUNCTION("""COMPUTED_VALUE"""),"Chị Loan")</f>
        <v>Chị Loan</v>
      </c>
      <c r="C2311" s="127" t="str">
        <f>IFERROR(__xludf.DUMMYFUNCTION("""COMPUTED_VALUE"""),"Thủy Bằng")</f>
        <v>Thủy Bằng</v>
      </c>
      <c r="D2311" s="127" t="str">
        <f>IFERROR(__xludf.DUMMYFUNCTION("""COMPUTED_VALUE"""),"chó")</f>
        <v>chó</v>
      </c>
      <c r="E2311" s="127" t="str">
        <f>IFERROR(__xludf.DUMMYFUNCTION("""COMPUTED_VALUE"""),"beo")</f>
        <v>beo</v>
      </c>
    </row>
    <row r="2312" ht="15.75" customHeight="1">
      <c r="A2312" s="117" t="str">
        <f>IFERROR(__xludf.DUMMYFUNCTION("""COMPUTED_VALUE"""),"0704 583 625")</f>
        <v>0704 583 625</v>
      </c>
      <c r="B2312" s="118" t="str">
        <f>IFERROR(__xludf.DUMMYFUNCTION("""COMPUTED_VALUE"""),"Minh Thái")</f>
        <v>Minh Thái</v>
      </c>
      <c r="C2312" s="118" t="str">
        <f>IFERROR(__xludf.DUMMYFUNCTION("""COMPUTED_VALUE"""),"36K131 trần phú")</f>
        <v>36K131 trần phú</v>
      </c>
      <c r="D2312" s="118" t="str">
        <f>IFERROR(__xludf.DUMMYFUNCTION("""COMPUTED_VALUE"""),"chó")</f>
        <v>chó</v>
      </c>
      <c r="E2312" s="118" t="str">
        <f>IFERROR(__xludf.DUMMYFUNCTION("""COMPUTED_VALUE"""),"gấu")</f>
        <v>gấu</v>
      </c>
    </row>
    <row r="2313" ht="15.75" customHeight="1">
      <c r="A2313" s="117" t="str">
        <f>IFERROR(__xludf.DUMMYFUNCTION("""COMPUTED_VALUE"""),"0854 150 122")</f>
        <v>0854 150 122</v>
      </c>
      <c r="B2313" s="118" t="str">
        <f>IFERROR(__xludf.DUMMYFUNCTION("""COMPUTED_VALUE"""),"Diệu Anh")</f>
        <v>Diệu Anh</v>
      </c>
      <c r="C2313" s="118" t="str">
        <f>IFERROR(__xludf.DUMMYFUNCTION("""COMPUTED_VALUE"""),"64A Dương Văn An")</f>
        <v>64A Dương Văn An</v>
      </c>
      <c r="D2313" s="118" t="str">
        <f>IFERROR(__xludf.DUMMYFUNCTION("""COMPUTED_VALUE"""),"mèo")</f>
        <v>mèo</v>
      </c>
      <c r="E2313" s="118" t="str">
        <f>IFERROR(__xludf.DUMMYFUNCTION("""COMPUTED_VALUE"""),"Meo")</f>
        <v>Meo</v>
      </c>
    </row>
    <row r="2314" ht="15.75" customHeight="1">
      <c r="A2314" s="147" t="str">
        <f>IFERROR(__xludf.DUMMYFUNCTION("""COMPUTED_VALUE"""),"0914 721 000")</f>
        <v>0914 721 000</v>
      </c>
      <c r="B2314" s="148" t="str">
        <f>IFERROR(__xludf.DUMMYFUNCTION("""COMPUTED_VALUE"""),"Hoàng Anh Tuấn")</f>
        <v>Hoàng Anh Tuấn</v>
      </c>
      <c r="C2314" s="148" t="str">
        <f>IFERROR(__xludf.DUMMYFUNCTION("""COMPUTED_VALUE"""),"k333 Phạm Văn Đồng")</f>
        <v>k333 Phạm Văn Đồng</v>
      </c>
      <c r="D2314" s="148" t="str">
        <f>IFERROR(__xludf.DUMMYFUNCTION("""COMPUTED_VALUE"""),"chó")</f>
        <v>chó</v>
      </c>
      <c r="E2314" s="148" t="str">
        <f>IFERROR(__xludf.DUMMYFUNCTION("""COMPUTED_VALUE"""),"Nic")</f>
        <v>Nic</v>
      </c>
    </row>
    <row r="2315" ht="15.75" customHeight="1">
      <c r="A2315" s="117" t="str">
        <f>IFERROR(__xludf.DUMMYFUNCTION("""COMPUTED_VALUE"""),"0935 698 768")</f>
        <v>0935 698 768</v>
      </c>
      <c r="B2315" s="118" t="str">
        <f>IFERROR(__xludf.DUMMYFUNCTION("""COMPUTED_VALUE"""),"Anh Quang")</f>
        <v>Anh Quang</v>
      </c>
      <c r="C2315" s="118" t="str">
        <f>IFERROR(__xludf.DUMMYFUNCTION("""COMPUTED_VALUE"""),"k32 Huyền Trân Công Chúa")</f>
        <v>k32 Huyền Trân Công Chúa</v>
      </c>
      <c r="D2315" s="118" t="str">
        <f>IFERROR(__xludf.DUMMYFUNCTION("""COMPUTED_VALUE"""),"chó")</f>
        <v>chó</v>
      </c>
      <c r="E2315" s="118" t="str">
        <f>IFERROR(__xludf.DUMMYFUNCTION("""COMPUTED_VALUE"""),"Đen")</f>
        <v>Đen</v>
      </c>
    </row>
    <row r="2316" ht="15.75" customHeight="1">
      <c r="A2316" s="128" t="str">
        <f>IFERROR(__xludf.DUMMYFUNCTION("""COMPUTED_VALUE"""),"0773 554 745")</f>
        <v>0773 554 745</v>
      </c>
      <c r="B2316" s="127" t="str">
        <f>IFERROR(__xludf.DUMMYFUNCTION("""COMPUTED_VALUE"""),"Chị Trân")</f>
        <v>Chị Trân</v>
      </c>
      <c r="C2316" s="127" t="str">
        <f>IFERROR(__xludf.DUMMYFUNCTION("""COMPUTED_VALUE"""),"Phú Vang")</f>
        <v>Phú Vang</v>
      </c>
      <c r="D2316" s="127" t="str">
        <f>IFERROR(__xludf.DUMMYFUNCTION("""COMPUTED_VALUE"""),"chó")</f>
        <v>chó</v>
      </c>
      <c r="E2316" s="127" t="str">
        <f>IFERROR(__xludf.DUMMYFUNCTION("""COMPUTED_VALUE"""),"Chè")</f>
        <v>Chè</v>
      </c>
    </row>
    <row r="2317" ht="15.75" customHeight="1">
      <c r="A2317" s="117" t="str">
        <f>IFERROR(__xludf.DUMMYFUNCTION("""COMPUTED_VALUE"""),"0393 095 592")</f>
        <v>0393 095 592</v>
      </c>
      <c r="B2317" s="118" t="str">
        <f>IFERROR(__xludf.DUMMYFUNCTION("""COMPUTED_VALUE"""),"Anh Bình")</f>
        <v>Anh Bình</v>
      </c>
      <c r="C2317" s="118" t="str">
        <f>IFERROR(__xludf.DUMMYFUNCTION("""COMPUTED_VALUE"""),"53 Lựu Bảo")</f>
        <v>53 Lựu Bảo</v>
      </c>
      <c r="D2317" s="118" t="str">
        <f>IFERROR(__xludf.DUMMYFUNCTION("""COMPUTED_VALUE"""),"chó")</f>
        <v>chó</v>
      </c>
      <c r="E2317" s="118" t="str">
        <f>IFERROR(__xludf.DUMMYFUNCTION("""COMPUTED_VALUE"""),"Đen")</f>
        <v>Đen</v>
      </c>
    </row>
    <row r="2318" ht="15.75" customHeight="1">
      <c r="A2318" s="117" t="str">
        <f>IFERROR(__xludf.DUMMYFUNCTION("""COMPUTED_VALUE"""),"0963 001 666")</f>
        <v>0963 001 666</v>
      </c>
      <c r="B2318" s="118" t="str">
        <f>IFERROR(__xludf.DUMMYFUNCTION("""COMPUTED_VALUE"""),"Dì Phương")</f>
        <v>Dì Phương</v>
      </c>
      <c r="C2318" s="118" t="str">
        <f>IFERROR(__xludf.DUMMYFUNCTION("""COMPUTED_VALUE"""),"Đông Hà Quảng Trị")</f>
        <v>Đông Hà Quảng Trị</v>
      </c>
      <c r="D2318" s="118" t="str">
        <f>IFERROR(__xludf.DUMMYFUNCTION("""COMPUTED_VALUE"""),"chó")</f>
        <v>chó</v>
      </c>
      <c r="E2318" s="118" t="str">
        <f>IFERROR(__xludf.DUMMYFUNCTION("""COMPUTED_VALUE"""),"Roăng")</f>
        <v>Roăng</v>
      </c>
    </row>
    <row r="2319" ht="15.75" customHeight="1">
      <c r="A2319" s="117" t="str">
        <f>IFERROR(__xludf.DUMMYFUNCTION("""COMPUTED_VALUE"""),"0914 426 485")</f>
        <v>0914 426 485</v>
      </c>
      <c r="B2319" s="118" t="str">
        <f>IFERROR(__xludf.DUMMYFUNCTION("""COMPUTED_VALUE"""),"Chị Huệ")</f>
        <v>Chị Huệ</v>
      </c>
      <c r="C2319" s="118" t="str">
        <f>IFERROR(__xludf.DUMMYFUNCTION("""COMPUTED_VALUE"""),"32k 200 Lý nam Đế")</f>
        <v>32k 200 Lý nam Đế</v>
      </c>
      <c r="D2319" s="118" t="str">
        <f>IFERROR(__xludf.DUMMYFUNCTION("""COMPUTED_VALUE"""),"chó")</f>
        <v>chó</v>
      </c>
      <c r="E2319" s="118" t="str">
        <f>IFERROR(__xludf.DUMMYFUNCTION("""COMPUTED_VALUE"""),"Lu Lu")</f>
        <v>Lu Lu</v>
      </c>
    </row>
    <row r="2320" ht="15.75" customHeight="1">
      <c r="A2320" s="128" t="str">
        <f>IFERROR(__xludf.DUMMYFUNCTION("""COMPUTED_VALUE"""),"0902 240 960")</f>
        <v>0902 240 960</v>
      </c>
      <c r="B2320" s="118" t="str">
        <f>IFERROR(__xludf.DUMMYFUNCTION("""COMPUTED_VALUE"""),"Chị Uyển")</f>
        <v>Chị Uyển</v>
      </c>
      <c r="C2320" s="118" t="str">
        <f>IFERROR(__xludf.DUMMYFUNCTION("""COMPUTED_VALUE"""),"Tây kỳ Nhơn")</f>
        <v>Tây kỳ Nhơn</v>
      </c>
      <c r="D2320" s="127" t="str">
        <f>IFERROR(__xludf.DUMMYFUNCTION("""COMPUTED_VALUE"""),"mèo")</f>
        <v>mèo</v>
      </c>
      <c r="E2320" s="127" t="str">
        <f>IFERROR(__xludf.DUMMYFUNCTION("""COMPUTED_VALUE""")," Bơ")</f>
        <v> Bơ</v>
      </c>
    </row>
    <row r="2321" ht="15.75" customHeight="1">
      <c r="A2321" s="128" t="str">
        <f>IFERROR(__xludf.DUMMYFUNCTION("""COMPUTED_VALUE"""),"0932 531 542")</f>
        <v>0932 531 542</v>
      </c>
      <c r="B2321" s="127" t="str">
        <f>IFERROR(__xludf.DUMMYFUNCTION("""COMPUTED_VALUE"""),"Anh Ua")</f>
        <v>Anh Ua</v>
      </c>
      <c r="C2321" s="127" t="str">
        <f>IFERROR(__xludf.DUMMYFUNCTION("""COMPUTED_VALUE"""),"17 A Tùng thiện Vương")</f>
        <v>17 A Tùng thiện Vương</v>
      </c>
      <c r="D2321" s="127" t="str">
        <f>IFERROR(__xludf.DUMMYFUNCTION("""COMPUTED_VALUE"""),"chó")</f>
        <v>chó</v>
      </c>
      <c r="E2321" s="119" t="str">
        <f>IFERROR(__xludf.DUMMYFUNCTION("""COMPUTED_VALUE"""),"Sady")</f>
        <v>Sady</v>
      </c>
    </row>
    <row r="2322" ht="15.75" customHeight="1">
      <c r="A2322" s="128" t="str">
        <f>IFERROR(__xludf.DUMMYFUNCTION("""COMPUTED_VALUE"""),"0949 427 880")</f>
        <v>0949 427 880</v>
      </c>
      <c r="B2322" s="127" t="str">
        <f>IFERROR(__xludf.DUMMYFUNCTION("""COMPUTED_VALUE"""),"Chị Nguyệt")</f>
        <v>Chị Nguyệt</v>
      </c>
      <c r="C2322" s="127" t="str">
        <f>IFERROR(__xludf.DUMMYFUNCTION("""COMPUTED_VALUE"""),"10 nguyễn Quý Anh")</f>
        <v>10 nguyễn Quý Anh</v>
      </c>
      <c r="D2322" s="127" t="str">
        <f>IFERROR(__xludf.DUMMYFUNCTION("""COMPUTED_VALUE"""),"chó")</f>
        <v>chó</v>
      </c>
      <c r="E2322" s="127" t="str">
        <f>IFERROR(__xludf.DUMMYFUNCTION("""COMPUTED_VALUE"""),"Heo")</f>
        <v>Heo</v>
      </c>
    </row>
    <row r="2323" ht="15.75" customHeight="1">
      <c r="A2323" s="128" t="str">
        <f>IFERROR(__xludf.DUMMYFUNCTION("""COMPUTED_VALUE"""),"0932 549 668")</f>
        <v>0932 549 668</v>
      </c>
      <c r="B2323" s="127" t="str">
        <f>IFERROR(__xludf.DUMMYFUNCTION("""COMPUTED_VALUE"""),"Bà Lê Thị A")</f>
        <v>Bà Lê Thị A</v>
      </c>
      <c r="C2323" s="127" t="str">
        <f>IFERROR(__xludf.DUMMYFUNCTION("""COMPUTED_VALUE"""),"chùa Long Hồ")</f>
        <v>chùa Long Hồ</v>
      </c>
      <c r="D2323" s="127" t="str">
        <f>IFERROR(__xludf.DUMMYFUNCTION("""COMPUTED_VALUE"""),"chó")</f>
        <v>chó</v>
      </c>
      <c r="E2323" s="127" t="str">
        <f>IFERROR(__xludf.DUMMYFUNCTION("""COMPUTED_VALUE"""),"Ruby")</f>
        <v>Ruby</v>
      </c>
    </row>
    <row r="2324" ht="15.75" customHeight="1">
      <c r="A2324" s="117" t="str">
        <f>IFERROR(__xludf.DUMMYFUNCTION("""COMPUTED_VALUE"""),"0914 457 823")</f>
        <v>0914 457 823</v>
      </c>
      <c r="B2324" s="118" t="str">
        <f>IFERROR(__xludf.DUMMYFUNCTION("""COMPUTED_VALUE"""),"Chị Vân")</f>
        <v>Chị Vân</v>
      </c>
      <c r="C2324" s="118" t="str">
        <f>IFERROR(__xludf.DUMMYFUNCTION("""COMPUTED_VALUE"""),"271 Xuân 68")</f>
        <v>271 Xuân 68</v>
      </c>
      <c r="D2324" s="118" t="str">
        <f>IFERROR(__xludf.DUMMYFUNCTION("""COMPUTED_VALUE"""),"chó")</f>
        <v>chó</v>
      </c>
      <c r="E2324" s="118"/>
    </row>
    <row r="2325" ht="15.75" customHeight="1">
      <c r="A2325" s="117" t="str">
        <f>IFERROR(__xludf.DUMMYFUNCTION("""COMPUTED_VALUE"""),"0702 705 165")</f>
        <v>0702 705 165</v>
      </c>
      <c r="B2325" s="118" t="str">
        <f>IFERROR(__xludf.DUMMYFUNCTION("""COMPUTED_VALUE"""),"Chị Nhi")</f>
        <v>Chị Nhi</v>
      </c>
      <c r="C2325" s="118" t="str">
        <f>IFERROR(__xludf.DUMMYFUNCTION("""COMPUTED_VALUE"""),"34/333 Phạm Văn Đồng")</f>
        <v>34/333 Phạm Văn Đồng</v>
      </c>
      <c r="D2325" s="118" t="str">
        <f>IFERROR(__xludf.DUMMYFUNCTION("""COMPUTED_VALUE""")," chó")</f>
        <v> chó</v>
      </c>
      <c r="E2325" s="118" t="str">
        <f>IFERROR(__xludf.DUMMYFUNCTION("""COMPUTED_VALUE""")," Ky")</f>
        <v> Ky</v>
      </c>
    </row>
    <row r="2326" ht="15.75" customHeight="1">
      <c r="A2326" s="117" t="str">
        <f>IFERROR(__xludf.DUMMYFUNCTION("""COMPUTED_VALUE"""),"0904 276 145")</f>
        <v>0904 276 145</v>
      </c>
      <c r="B2326" s="118" t="str">
        <f>IFERROR(__xludf.DUMMYFUNCTION("""COMPUTED_VALUE"""),"Thuỳ Dương")</f>
        <v>Thuỳ Dương</v>
      </c>
      <c r="C2326" s="118" t="str">
        <f>IFERROR(__xludf.DUMMYFUNCTION("""COMPUTED_VALUE"""),"16 Hồng Khẳng")</f>
        <v>16 Hồng Khẳng</v>
      </c>
      <c r="D2326" s="118" t="str">
        <f>IFERROR(__xludf.DUMMYFUNCTION("""COMPUTED_VALUE"""),"chó")</f>
        <v>chó</v>
      </c>
      <c r="E2326" s="118" t="str">
        <f>IFERROR(__xludf.DUMMYFUNCTION("""COMPUTED_VALUE"""),"Đen ")</f>
        <v>Đen </v>
      </c>
    </row>
    <row r="2327" ht="15.75" customHeight="1">
      <c r="A2327" s="117" t="str">
        <f>IFERROR(__xludf.DUMMYFUNCTION("""COMPUTED_VALUE"""),"0766 786 374")</f>
        <v>0766 786 374</v>
      </c>
      <c r="B2327" s="118" t="str">
        <f>IFERROR(__xludf.DUMMYFUNCTION("""COMPUTED_VALUE"""),"Bình")</f>
        <v>Bình</v>
      </c>
      <c r="C2327" s="118" t="str">
        <f>IFERROR(__xludf.DUMMYFUNCTION("""COMPUTED_VALUE"""),"27 A Xuân thuỷ")</f>
        <v>27 A Xuân thuỷ</v>
      </c>
      <c r="D2327" s="118" t="str">
        <f>IFERROR(__xludf.DUMMYFUNCTION("""COMPUTED_VALUE"""),"chó ")</f>
        <v>chó </v>
      </c>
      <c r="E2327" s="118" t="str">
        <f>IFERROR(__xludf.DUMMYFUNCTION("""COMPUTED_VALUE"""),"Đen- vàng")</f>
        <v>Đen- vàng</v>
      </c>
    </row>
    <row r="2328" ht="15.75" customHeight="1">
      <c r="A2328" s="128" t="str">
        <f>IFERROR(__xludf.DUMMYFUNCTION("""COMPUTED_VALUE"""),"0981 080 512")</f>
        <v>0981 080 512</v>
      </c>
      <c r="B2328" s="127" t="str">
        <f>IFERROR(__xludf.DUMMYFUNCTION("""COMPUTED_VALUE"""),"Chị ánh")</f>
        <v>Chị ánh</v>
      </c>
      <c r="C2328" s="127" t="str">
        <f>IFERROR(__xludf.DUMMYFUNCTION("""COMPUTED_VALUE"""),"Phú Lộc")</f>
        <v>Phú Lộc</v>
      </c>
      <c r="D2328" s="127" t="str">
        <f>IFERROR(__xludf.DUMMYFUNCTION("""COMPUTED_VALUE"""),"chó")</f>
        <v>chó</v>
      </c>
      <c r="E2328" s="127" t="str">
        <f>IFERROR(__xludf.DUMMYFUNCTION("""COMPUTED_VALUE""")," Girl- Bun")</f>
        <v> Girl- Bun</v>
      </c>
    </row>
    <row r="2329" ht="15.75" customHeight="1">
      <c r="A2329" s="117" t="str">
        <f>IFERROR(__xludf.DUMMYFUNCTION("""COMPUTED_VALUE"""),"0905 996 000")</f>
        <v>0905 996 000</v>
      </c>
      <c r="B2329" s="118" t="str">
        <f>IFERROR(__xludf.DUMMYFUNCTION("""COMPUTED_VALUE"""),"Anh Hà")</f>
        <v>Anh Hà</v>
      </c>
      <c r="C2329" s="118" t="str">
        <f>IFERROR(__xludf.DUMMYFUNCTION("""COMPUTED_VALUE"""),"k149 Trần Phú")</f>
        <v>k149 Trần Phú</v>
      </c>
      <c r="D2329" s="118" t="str">
        <f>IFERROR(__xludf.DUMMYFUNCTION("""COMPUTED_VALUE"""),"chó")</f>
        <v>chó</v>
      </c>
      <c r="E2329" s="118" t="str">
        <f>IFERROR(__xludf.DUMMYFUNCTION("""COMPUTED_VALUE"""),"Min")</f>
        <v>Min</v>
      </c>
    </row>
    <row r="2330" ht="15.75" customHeight="1">
      <c r="A2330" s="128" t="str">
        <f>IFERROR(__xludf.DUMMYFUNCTION("""COMPUTED_VALUE"""),"0766 634 363")</f>
        <v>0766 634 363</v>
      </c>
      <c r="B2330" s="127" t="str">
        <f>IFERROR(__xludf.DUMMYFUNCTION("""COMPUTED_VALUE"""),"Như Ý")</f>
        <v>Như Ý</v>
      </c>
      <c r="C2330" s="127" t="str">
        <f>IFERROR(__xludf.DUMMYFUNCTION("""COMPUTED_VALUE"""),"79 Đào Tấn")</f>
        <v>79 Đào Tấn</v>
      </c>
      <c r="D2330" s="127" t="str">
        <f>IFERROR(__xludf.DUMMYFUNCTION("""COMPUTED_VALUE"""),"Chó")</f>
        <v>Chó</v>
      </c>
      <c r="E2330" s="127" t="str">
        <f>IFERROR(__xludf.DUMMYFUNCTION("""COMPUTED_VALUE"""),"Ky")</f>
        <v>Ky</v>
      </c>
    </row>
    <row r="2331" ht="15.75" customHeight="1">
      <c r="A2331" s="117" t="str">
        <f>IFERROR(__xludf.DUMMYFUNCTION("""COMPUTED_VALUE"""),"0914 172 678")</f>
        <v>0914 172 678</v>
      </c>
      <c r="B2331" s="118" t="str">
        <f>IFERROR(__xludf.DUMMYFUNCTION("""COMPUTED_VALUE"""),"Bi/chị Hà")</f>
        <v>Bi/chị Hà</v>
      </c>
      <c r="C2331" s="118" t="str">
        <f>IFERROR(__xludf.DUMMYFUNCTION("""COMPUTED_VALUE"""),"16/49 Đào Tấn")</f>
        <v>16/49 Đào Tấn</v>
      </c>
      <c r="D2331" s="118" t="str">
        <f>IFERROR(__xludf.DUMMYFUNCTION("""COMPUTED_VALUE"""),"Chó")</f>
        <v>Chó</v>
      </c>
      <c r="E2331" s="118" t="str">
        <f>IFERROR(__xludf.DUMMYFUNCTION("""COMPUTED_VALUE"""),"Noel")</f>
        <v>Noel</v>
      </c>
    </row>
    <row r="2332" ht="15.75" customHeight="1">
      <c r="A2332" s="117" t="str">
        <f>IFERROR(__xludf.DUMMYFUNCTION("""COMPUTED_VALUE"""),"0914 076 597")</f>
        <v>0914 076 597</v>
      </c>
      <c r="B2332" s="118" t="str">
        <f>IFERROR(__xludf.DUMMYFUNCTION("""COMPUTED_VALUE"""),"Ngọc")</f>
        <v>Ngọc</v>
      </c>
      <c r="C2332" s="118" t="str">
        <f>IFERROR(__xludf.DUMMYFUNCTION("""COMPUTED_VALUE"""),"k142 Nguyễn Trường Tộ")</f>
        <v>k142 Nguyễn Trường Tộ</v>
      </c>
      <c r="D2332" s="118" t="str">
        <f>IFERROR(__xludf.DUMMYFUNCTION("""COMPUTED_VALUE"""),"Mèo")</f>
        <v>Mèo</v>
      </c>
      <c r="E2332" s="118" t="str">
        <f>IFERROR(__xludf.DUMMYFUNCTION("""COMPUTED_VALUE"""),"MiNi")</f>
        <v>MiNi</v>
      </c>
    </row>
    <row r="2333" ht="15.75" customHeight="1">
      <c r="A2333" s="117" t="str">
        <f>IFERROR(__xludf.DUMMYFUNCTION("""COMPUTED_VALUE"""),"0334 277 419")</f>
        <v>0334 277 419</v>
      </c>
      <c r="B2333" s="118" t="str">
        <f>IFERROR(__xludf.DUMMYFUNCTION("""COMPUTED_VALUE"""),"Trúc")</f>
        <v>Trúc</v>
      </c>
      <c r="C2333" s="118" t="str">
        <f>IFERROR(__xludf.DUMMYFUNCTION("""COMPUTED_VALUE"""),"106 Đặng Huy Trứ")</f>
        <v>106 Đặng Huy Trứ</v>
      </c>
      <c r="D2333" s="118" t="str">
        <f>IFERROR(__xludf.DUMMYFUNCTION("""COMPUTED_VALUE"""),"Mèo")</f>
        <v>Mèo</v>
      </c>
      <c r="E2333" s="119" t="str">
        <f>IFERROR(__xludf.DUMMYFUNCTION("""COMPUTED_VALUE"""),"Heo")</f>
        <v>Heo</v>
      </c>
    </row>
    <row r="2334" ht="15.75" customHeight="1">
      <c r="A2334" s="117" t="str">
        <f>IFERROR(__xludf.DUMMYFUNCTION("""COMPUTED_VALUE"""),"0345 982 619")</f>
        <v>0345 982 619</v>
      </c>
      <c r="B2334" s="118" t="str">
        <f>IFERROR(__xludf.DUMMYFUNCTION("""COMPUTED_VALUE"""),"Nguyễn Đức Thành")</f>
        <v>Nguyễn Đức Thành</v>
      </c>
      <c r="C2334" s="118" t="str">
        <f>IFERROR(__xludf.DUMMYFUNCTION("""COMPUTED_VALUE"""),"254 Phan Bội Châu")</f>
        <v>254 Phan Bội Châu</v>
      </c>
      <c r="D2334" s="118" t="str">
        <f>IFERROR(__xludf.DUMMYFUNCTION("""COMPUTED_VALUE"""),"Mèo")</f>
        <v>Mèo</v>
      </c>
      <c r="E2334" s="118" t="str">
        <f>IFERROR(__xludf.DUMMYFUNCTION("""COMPUTED_VALUE"""),"Vện")</f>
        <v>Vện</v>
      </c>
    </row>
    <row r="2335" ht="15.75" customHeight="1">
      <c r="A2335" s="117" t="str">
        <f>IFERROR(__xludf.DUMMYFUNCTION("""COMPUTED_VALUE"""),"0339 682 921")</f>
        <v>0339 682 921</v>
      </c>
      <c r="B2335" s="118" t="str">
        <f>IFERROR(__xludf.DUMMYFUNCTION("""COMPUTED_VALUE"""),"An")</f>
        <v>An</v>
      </c>
      <c r="C2335" s="118"/>
      <c r="D2335" s="118" t="str">
        <f>IFERROR(__xludf.DUMMYFUNCTION("""COMPUTED_VALUE"""),"chó")</f>
        <v>chó</v>
      </c>
      <c r="E2335" s="118"/>
    </row>
    <row r="2336" ht="15.75" customHeight="1">
      <c r="A2336" s="117" t="str">
        <f>IFERROR(__xludf.DUMMYFUNCTION("""COMPUTED_VALUE"""),"0935 592 092")</f>
        <v>0935 592 092</v>
      </c>
      <c r="B2336" s="118" t="str">
        <f>IFERROR(__xludf.DUMMYFUNCTION("""COMPUTED_VALUE"""),"Anh Tuấn")</f>
        <v>Anh Tuấn</v>
      </c>
      <c r="C2336" s="118" t="str">
        <f>IFERROR(__xludf.DUMMYFUNCTION("""COMPUTED_VALUE"""),"Phan Bội Châu")</f>
        <v>Phan Bội Châu</v>
      </c>
      <c r="D2336" s="118" t="str">
        <f>IFERROR(__xludf.DUMMYFUNCTION("""COMPUTED_VALUE"""),"Chó")</f>
        <v>Chó</v>
      </c>
      <c r="E2336" s="118" t="str">
        <f>IFERROR(__xludf.DUMMYFUNCTION("""COMPUTED_VALUE"""),"Nâu")</f>
        <v>Nâu</v>
      </c>
    </row>
    <row r="2337" ht="15.75" customHeight="1">
      <c r="A2337" s="117" t="str">
        <f>IFERROR(__xludf.DUMMYFUNCTION("""COMPUTED_VALUE"""),"0964 293 593")</f>
        <v>0964 293 593</v>
      </c>
      <c r="B2337" s="118" t="str">
        <f>IFERROR(__xludf.DUMMYFUNCTION("""COMPUTED_VALUE"""),"Anh Phương")</f>
        <v>Anh Phương</v>
      </c>
      <c r="C2337" s="118" t="str">
        <f>IFERROR(__xludf.DUMMYFUNCTION("""COMPUTED_VALUE"""),"9/17/54 Lê Ngô Cát")</f>
        <v>9/17/54 Lê Ngô Cát</v>
      </c>
      <c r="D2337" s="118" t="str">
        <f>IFERROR(__xludf.DUMMYFUNCTION("""COMPUTED_VALUE"""),"Chó")</f>
        <v>Chó</v>
      </c>
      <c r="E2337" s="118" t="str">
        <f>IFERROR(__xludf.DUMMYFUNCTION("""COMPUTED_VALUE"""),"Nâu")</f>
        <v>Nâu</v>
      </c>
    </row>
    <row r="2338" ht="15.75" customHeight="1">
      <c r="A2338" s="117" t="str">
        <f>IFERROR(__xludf.DUMMYFUNCTION("""COMPUTED_VALUE"""),"0934 936 465")</f>
        <v>0934 936 465</v>
      </c>
      <c r="B2338" s="118" t="str">
        <f>IFERROR(__xludf.DUMMYFUNCTION("""COMPUTED_VALUE"""),"Hoàng Ngự Bình")</f>
        <v>Hoàng Ngự Bình</v>
      </c>
      <c r="C2338" s="118" t="str">
        <f>IFERROR(__xludf.DUMMYFUNCTION("""COMPUTED_VALUE"""),"24/131 Trần Phú")</f>
        <v>24/131 Trần Phú</v>
      </c>
      <c r="D2338" s="118" t="str">
        <f>IFERROR(__xludf.DUMMYFUNCTION("""COMPUTED_VALUE"""),"Chó")</f>
        <v>Chó</v>
      </c>
      <c r="E2338" s="118" t="str">
        <f>IFERROR(__xludf.DUMMYFUNCTION("""COMPUTED_VALUE"""),"Nâu")</f>
        <v>Nâu</v>
      </c>
    </row>
    <row r="2339" ht="15.75" customHeight="1">
      <c r="A2339" s="117" t="str">
        <f>IFERROR(__xludf.DUMMYFUNCTION("""COMPUTED_VALUE"""),"0914 114 451")</f>
        <v>0914 114 451</v>
      </c>
      <c r="B2339" s="118" t="str">
        <f>IFERROR(__xludf.DUMMYFUNCTION("""COMPUTED_VALUE"""),"Chú Châu")</f>
        <v>Chú Châu</v>
      </c>
      <c r="C2339" s="118" t="str">
        <f>IFERROR(__xludf.DUMMYFUNCTION("""COMPUTED_VALUE"""),"253/9 Điện Biên Phủ")</f>
        <v>253/9 Điện Biên Phủ</v>
      </c>
      <c r="D2339" s="118" t="str">
        <f>IFERROR(__xludf.DUMMYFUNCTION("""COMPUTED_VALUE"""),"chó")</f>
        <v>chó</v>
      </c>
      <c r="E2339" s="118"/>
    </row>
    <row r="2340" ht="15.75" customHeight="1">
      <c r="A2340" s="117" t="str">
        <f>IFERROR(__xludf.DUMMYFUNCTION("""COMPUTED_VALUE"""),"0888 426 699")</f>
        <v>0888 426 699</v>
      </c>
      <c r="B2340" s="118" t="str">
        <f>IFERROR(__xludf.DUMMYFUNCTION("""COMPUTED_VALUE"""),"Chị Nga")</f>
        <v>Chị Nga</v>
      </c>
      <c r="C2340" s="118" t="str">
        <f>IFERROR(__xludf.DUMMYFUNCTION("""COMPUTED_VALUE"""),"Phú Mậu")</f>
        <v>Phú Mậu</v>
      </c>
      <c r="D2340" s="118" t="str">
        <f>IFERROR(__xludf.DUMMYFUNCTION("""COMPUTED_VALUE"""),"Chó ")</f>
        <v>Chó </v>
      </c>
      <c r="E2340" s="118" t="str">
        <f>IFERROR(__xludf.DUMMYFUNCTION("""COMPUTED_VALUE"""),"win")</f>
        <v>win</v>
      </c>
    </row>
    <row r="2341" ht="15.75" customHeight="1">
      <c r="A2341" s="117" t="str">
        <f>IFERROR(__xludf.DUMMYFUNCTION("""COMPUTED_VALUE"""),"0961 793 456")</f>
        <v>0961 793 456</v>
      </c>
      <c r="B2341" s="118" t="str">
        <f>IFERROR(__xludf.DUMMYFUNCTION("""COMPUTED_VALUE"""),"chị Nga")</f>
        <v>chị Nga</v>
      </c>
      <c r="C2341" s="118" t="str">
        <f>IFERROR(__xludf.DUMMYFUNCTION("""COMPUTED_VALUE"""),"Tây Kỳ Nhơn")</f>
        <v>Tây Kỳ Nhơn</v>
      </c>
      <c r="D2341" s="118" t="str">
        <f>IFERROR(__xludf.DUMMYFUNCTION("""COMPUTED_VALUE"""),"chó")</f>
        <v>chó</v>
      </c>
      <c r="E2341" s="118" t="str">
        <f>IFERROR(__xludf.DUMMYFUNCTION("""COMPUTED_VALUE""")," Tẻn- tẻn")</f>
        <v> Tẻn- tẻn</v>
      </c>
    </row>
    <row r="2342" ht="15.75" customHeight="1">
      <c r="A2342" s="117" t="str">
        <f>IFERROR(__xludf.DUMMYFUNCTION("""COMPUTED_VALUE"""),"0983 221 965")</f>
        <v>0983 221 965</v>
      </c>
      <c r="B2342" s="118" t="str">
        <f>IFERROR(__xludf.DUMMYFUNCTION("""COMPUTED_VALUE"""),"Chú Nguyễn Ngọc An")</f>
        <v>Chú Nguyễn Ngọc An</v>
      </c>
      <c r="C2342" s="118" t="str">
        <f>IFERROR(__xludf.DUMMYFUNCTION("""COMPUTED_VALUE""")," 8/10 Tuy Lý Vương")</f>
        <v> 8/10 Tuy Lý Vương</v>
      </c>
      <c r="D2342" s="118" t="str">
        <f>IFERROR(__xludf.DUMMYFUNCTION("""COMPUTED_VALUE"""),"chó")</f>
        <v>chó</v>
      </c>
      <c r="E2342" s="118" t="str">
        <f>IFERROR(__xludf.DUMMYFUNCTION("""COMPUTED_VALUE""")," Ki")</f>
        <v> Ki</v>
      </c>
    </row>
    <row r="2343" ht="15.75" customHeight="1">
      <c r="A2343" s="117" t="str">
        <f>IFERROR(__xludf.DUMMYFUNCTION("""COMPUTED_VALUE"""),"0948 339 993")</f>
        <v>0948 339 993</v>
      </c>
      <c r="B2343" s="118" t="str">
        <f>IFERROR(__xludf.DUMMYFUNCTION("""COMPUTED_VALUE"""),"Anh Long")</f>
        <v>Anh Long</v>
      </c>
      <c r="C2343" s="118" t="str">
        <f>IFERROR(__xludf.DUMMYFUNCTION("""COMPUTED_VALUE"""),"Xóm 1 Ngọc anh")</f>
        <v>Xóm 1 Ngọc anh</v>
      </c>
      <c r="D2343" s="118" t="str">
        <f>IFERROR(__xludf.DUMMYFUNCTION("""COMPUTED_VALUE"""),"chó")</f>
        <v>chó</v>
      </c>
      <c r="E2343" s="118" t="str">
        <f>IFERROR(__xludf.DUMMYFUNCTION("""COMPUTED_VALUE"""),"Mino")</f>
        <v>Mino</v>
      </c>
    </row>
    <row r="2344" ht="15.75" customHeight="1">
      <c r="A2344" s="117" t="str">
        <f>IFERROR(__xludf.DUMMYFUNCTION("""COMPUTED_VALUE"""),"0352 353 534")</f>
        <v>0352 353 534</v>
      </c>
      <c r="B2344" s="118" t="str">
        <f>IFERROR(__xludf.DUMMYFUNCTION("""COMPUTED_VALUE"""),"Trà My")</f>
        <v>Trà My</v>
      </c>
      <c r="C2344" s="118" t="str">
        <f>IFERROR(__xludf.DUMMYFUNCTION("""COMPUTED_VALUE"""),"10/5 Trần Hữu Khác Quảng Điền")</f>
        <v>10/5 Trần Hữu Khác Quảng Điền</v>
      </c>
      <c r="D2344" s="118" t="str">
        <f>IFERROR(__xludf.DUMMYFUNCTION("""COMPUTED_VALUE"""),"mèo")</f>
        <v>mèo</v>
      </c>
      <c r="E2344" s="118" t="str">
        <f>IFERROR(__xludf.DUMMYFUNCTION("""COMPUTED_VALUE""")," Mía")</f>
        <v> Mía</v>
      </c>
    </row>
    <row r="2345" ht="15.75" customHeight="1">
      <c r="A2345" s="117" t="str">
        <f>IFERROR(__xludf.DUMMYFUNCTION("""COMPUTED_VALUE"""),"0354 170 192")</f>
        <v>0354 170 192</v>
      </c>
      <c r="B2345" s="118" t="str">
        <f>IFERROR(__xludf.DUMMYFUNCTION("""COMPUTED_VALUE"""),"Thảo")</f>
        <v>Thảo</v>
      </c>
      <c r="C2345" s="118" t="str">
        <f>IFERROR(__xludf.DUMMYFUNCTION("""COMPUTED_VALUE""")," 375 Chi Lăng")</f>
        <v> 375 Chi Lăng</v>
      </c>
      <c r="D2345" s="118" t="str">
        <f>IFERROR(__xludf.DUMMYFUNCTION("""COMPUTED_VALUE"""),"mèo")</f>
        <v>mèo</v>
      </c>
      <c r="E2345" s="118" t="str">
        <f>IFERROR(__xludf.DUMMYFUNCTION("""COMPUTED_VALUE"""),"Mim")</f>
        <v>Mim</v>
      </c>
    </row>
    <row r="2346" ht="15.75" customHeight="1">
      <c r="A2346" s="117" t="str">
        <f>IFERROR(__xludf.DUMMYFUNCTION("""COMPUTED_VALUE"""),"0859 241 015")</f>
        <v>0859 241 015</v>
      </c>
      <c r="B2346" s="118" t="str">
        <f>IFERROR(__xludf.DUMMYFUNCTION("""COMPUTED_VALUE"""),"Dì Hoàng")</f>
        <v>Dì Hoàng</v>
      </c>
      <c r="C2346" s="118" t="str">
        <f>IFERROR(__xludf.DUMMYFUNCTION("""COMPUTED_VALUE"""),"164 Điện Biên Phủ")</f>
        <v>164 Điện Biên Phủ</v>
      </c>
      <c r="D2346" s="118" t="str">
        <f>IFERROR(__xludf.DUMMYFUNCTION("""COMPUTED_VALUE"""),"chó")</f>
        <v>chó</v>
      </c>
      <c r="E2346" s="118" t="str">
        <f>IFERROR(__xludf.DUMMYFUNCTION("""COMPUTED_VALUE"""),"Xù")</f>
        <v>Xù</v>
      </c>
    </row>
    <row r="2347" ht="15.75" customHeight="1">
      <c r="A2347" s="117" t="str">
        <f>IFERROR(__xludf.DUMMYFUNCTION("""COMPUTED_VALUE"""),"0906 479 406")</f>
        <v>0906 479 406</v>
      </c>
      <c r="B2347" s="118" t="str">
        <f>IFERROR(__xludf.DUMMYFUNCTION("""COMPUTED_VALUE"""),"Anh Thiện ")</f>
        <v>Anh Thiện </v>
      </c>
      <c r="C2347" s="118" t="str">
        <f>IFERROR(__xludf.DUMMYFUNCTION("""COMPUTED_VALUE"""),"18/8/320 Bạch Đằng")</f>
        <v>18/8/320 Bạch Đằng</v>
      </c>
      <c r="D2347" s="118" t="str">
        <f>IFERROR(__xludf.DUMMYFUNCTION("""COMPUTED_VALUE"""),"chó")</f>
        <v>chó</v>
      </c>
      <c r="E2347" s="118" t="str">
        <f>IFERROR(__xludf.DUMMYFUNCTION("""COMPUTED_VALUE"""),"Losy")</f>
        <v>Losy</v>
      </c>
    </row>
    <row r="2348" ht="15.75" customHeight="1">
      <c r="A2348" s="117" t="str">
        <f>IFERROR(__xludf.DUMMYFUNCTION("""COMPUTED_VALUE"""),"0352 292 571")</f>
        <v>0352 292 571</v>
      </c>
      <c r="B2348" s="118" t="str">
        <f>IFERROR(__xludf.DUMMYFUNCTION("""COMPUTED_VALUE"""),"Lê Thị Bích Huyền")</f>
        <v>Lê Thị Bích Huyền</v>
      </c>
      <c r="C2348" s="118" t="str">
        <f>IFERROR(__xludf.DUMMYFUNCTION("""COMPUTED_VALUE"""),"3/192 Lý Nam Đế")</f>
        <v>3/192 Lý Nam Đế</v>
      </c>
      <c r="D2348" s="118" t="str">
        <f>IFERROR(__xludf.DUMMYFUNCTION("""COMPUTED_VALUE"""),"chó")</f>
        <v>chó</v>
      </c>
      <c r="E2348" s="118" t="str">
        <f>IFERROR(__xludf.DUMMYFUNCTION("""COMPUTED_VALUE"""),"Ki")</f>
        <v>Ki</v>
      </c>
    </row>
    <row r="2349" ht="15.75" customHeight="1">
      <c r="A2349" s="117" t="str">
        <f>IFERROR(__xludf.DUMMYFUNCTION("""COMPUTED_VALUE"""),"0917 242 054")</f>
        <v>0917 242 054</v>
      </c>
      <c r="B2349" s="118" t="str">
        <f>IFERROR(__xludf.DUMMYFUNCTION("""COMPUTED_VALUE"""),"Cô Rạng")</f>
        <v>Cô Rạng</v>
      </c>
      <c r="C2349" s="118" t="str">
        <f>IFERROR(__xludf.DUMMYFUNCTION("""COMPUTED_VALUE"""),"36/37/240 Lý Nam Đế")</f>
        <v>36/37/240 Lý Nam Đế</v>
      </c>
      <c r="D2349" s="118" t="str">
        <f>IFERROR(__xludf.DUMMYFUNCTION("""COMPUTED_VALUE"""),"Chó")</f>
        <v>Chó</v>
      </c>
      <c r="E2349" s="118" t="str">
        <f>IFERROR(__xludf.DUMMYFUNCTION("""COMPUTED_VALUE"""),"Đốm/Đậu")</f>
        <v>Đốm/Đậu</v>
      </c>
    </row>
    <row r="2350" ht="15.75" customHeight="1">
      <c r="A2350" s="117" t="str">
        <f>IFERROR(__xludf.DUMMYFUNCTION("""COMPUTED_VALUE"""),"0796 256 653")</f>
        <v>0796 256 653</v>
      </c>
      <c r="B2350" s="118" t="str">
        <f>IFERROR(__xludf.DUMMYFUNCTION("""COMPUTED_VALUE"""),"Anh Tiến")</f>
        <v>Anh Tiến</v>
      </c>
      <c r="C2350" s="118" t="str">
        <f>IFERROR(__xludf.DUMMYFUNCTION("""COMPUTED_VALUE"""),"An Đông")</f>
        <v>An Đông</v>
      </c>
      <c r="D2350" s="118" t="str">
        <f>IFERROR(__xludf.DUMMYFUNCTION("""COMPUTED_VALUE"""),"Mèo")</f>
        <v>Mèo</v>
      </c>
      <c r="E2350" s="118" t="str">
        <f>IFERROR(__xludf.DUMMYFUNCTION("""COMPUTED_VALUE"""),"Bông")</f>
        <v>Bông</v>
      </c>
    </row>
    <row r="2351" ht="15.75" customHeight="1">
      <c r="A2351" s="117" t="str">
        <f>IFERROR(__xludf.DUMMYFUNCTION("""COMPUTED_VALUE"""),"0983 587 054")</f>
        <v>0983 587 054</v>
      </c>
      <c r="B2351" s="118" t="str">
        <f>IFERROR(__xludf.DUMMYFUNCTION("""COMPUTED_VALUE"""),"Chị Hà")</f>
        <v>Chị Hà</v>
      </c>
      <c r="C2351" s="118" t="str">
        <f>IFERROR(__xludf.DUMMYFUNCTION("""COMPUTED_VALUE"""),"97 Lựu Bảo")</f>
        <v>97 Lựu Bảo</v>
      </c>
      <c r="D2351" s="118" t="str">
        <f>IFERROR(__xludf.DUMMYFUNCTION("""COMPUTED_VALUE"""),"Mèo")</f>
        <v>Mèo</v>
      </c>
      <c r="E2351" s="118" t="str">
        <f>IFERROR(__xludf.DUMMYFUNCTION("""COMPUTED_VALUE"""),"Bông")</f>
        <v>Bông</v>
      </c>
    </row>
    <row r="2352" ht="15.75" customHeight="1">
      <c r="A2352" s="117" t="str">
        <f>IFERROR(__xludf.DUMMYFUNCTION("""COMPUTED_VALUE"""),"0707 063 650")</f>
        <v>0707 063 650</v>
      </c>
      <c r="B2352" s="118" t="str">
        <f>IFERROR(__xludf.DUMMYFUNCTION("""COMPUTED_VALUE"""),"Anh Hùng")</f>
        <v>Anh Hùng</v>
      </c>
      <c r="C2352" s="118" t="str">
        <f>IFERROR(__xludf.DUMMYFUNCTION("""COMPUTED_VALUE"""),"118 Lê Duẫn")</f>
        <v>118 Lê Duẫn</v>
      </c>
      <c r="D2352" s="118" t="str">
        <f>IFERROR(__xludf.DUMMYFUNCTION("""COMPUTED_VALUE"""),"chó")</f>
        <v>chó</v>
      </c>
      <c r="E2352" s="118"/>
    </row>
    <row r="2353" ht="15.75" customHeight="1">
      <c r="A2353" s="117" t="str">
        <f>IFERROR(__xludf.DUMMYFUNCTION("""COMPUTED_VALUE"""),"0912 625 004")</f>
        <v>0912 625 004</v>
      </c>
      <c r="B2353" s="118" t="str">
        <f>IFERROR(__xludf.DUMMYFUNCTION("""COMPUTED_VALUE"""),"Chị Hoàng ")</f>
        <v>Chị Hoàng </v>
      </c>
      <c r="C2353" s="127" t="str">
        <f>IFERROR(__xludf.DUMMYFUNCTION("""COMPUTED_VALUE"""),"6/112 Nguyễn Chí Thanh")</f>
        <v>6/112 Nguyễn Chí Thanh</v>
      </c>
      <c r="D2353" s="118" t="str">
        <f>IFERROR(__xludf.DUMMYFUNCTION("""COMPUTED_VALUE"""),"chó")</f>
        <v>chó</v>
      </c>
      <c r="E2353" s="118" t="str">
        <f>IFERROR(__xludf.DUMMYFUNCTION("""COMPUTED_VALUE"""),"Sữa")</f>
        <v>Sữa</v>
      </c>
    </row>
    <row r="2354" ht="15.75" customHeight="1">
      <c r="A2354" s="117" t="str">
        <f>IFERROR(__xludf.DUMMYFUNCTION("""COMPUTED_VALUE"""),"0902 720 860")</f>
        <v>0902 720 860</v>
      </c>
      <c r="B2354" s="118" t="str">
        <f>IFERROR(__xludf.DUMMYFUNCTION("""COMPUTED_VALUE"""),"Anh Hùng")</f>
        <v>Anh Hùng</v>
      </c>
      <c r="C2354" s="118" t="str">
        <f>IFERROR(__xludf.DUMMYFUNCTION("""COMPUTED_VALUE"""),"347 Bùi Thị Xuân")</f>
        <v>347 Bùi Thị Xuân</v>
      </c>
      <c r="D2354" s="118" t="str">
        <f>IFERROR(__xludf.DUMMYFUNCTION("""COMPUTED_VALUE"""),"chó")</f>
        <v>chó</v>
      </c>
      <c r="E2354" s="118" t="str">
        <f>IFERROR(__xludf.DUMMYFUNCTION("""COMPUTED_VALUE"""),"Red")</f>
        <v>Red</v>
      </c>
    </row>
    <row r="2355" ht="15.75" customHeight="1">
      <c r="A2355" s="117" t="str">
        <f>IFERROR(__xludf.DUMMYFUNCTION("""COMPUTED_VALUE"""),"0983 421 567")</f>
        <v>0983 421 567</v>
      </c>
      <c r="B2355" s="118" t="str">
        <f>IFERROR(__xludf.DUMMYFUNCTION("""COMPUTED_VALUE"""),"Hoàng Thị Diệu Bình")</f>
        <v>Hoàng Thị Diệu Bình</v>
      </c>
      <c r="C2355" s="118" t="str">
        <f>IFERROR(__xludf.DUMMYFUNCTION("""COMPUTED_VALUE"""),"64A Nguyễn Du, Đông Hà, QT")</f>
        <v>64A Nguyễn Du, Đông Hà, QT</v>
      </c>
      <c r="D2355" s="118" t="str">
        <f>IFERROR(__xludf.DUMMYFUNCTION("""COMPUTED_VALUE"""),"chó")</f>
        <v>chó</v>
      </c>
      <c r="E2355" s="118" t="str">
        <f>IFERROR(__xludf.DUMMYFUNCTION("""COMPUTED_VALUE"""),"Beo")</f>
        <v>Beo</v>
      </c>
    </row>
    <row r="2356" ht="15.75" customHeight="1">
      <c r="A2356" s="117" t="str">
        <f>IFERROR(__xludf.DUMMYFUNCTION("""COMPUTED_VALUE"""),"0899 495 033")</f>
        <v>0899 495 033</v>
      </c>
      <c r="B2356" s="118" t="str">
        <f>IFERROR(__xludf.DUMMYFUNCTION("""COMPUTED_VALUE"""),"Chú Quang")</f>
        <v>Chú Quang</v>
      </c>
      <c r="C2356" s="118" t="str">
        <f>IFERROR(__xludf.DUMMYFUNCTION("""COMPUTED_VALUE"""),"27/ 289 Bùi Thị Xuân")</f>
        <v>27/ 289 Bùi Thị Xuân</v>
      </c>
      <c r="D2356" s="118" t="str">
        <f>IFERROR(__xludf.DUMMYFUNCTION("""COMPUTED_VALUE"""),"chó")</f>
        <v>chó</v>
      </c>
      <c r="E2356" s="118" t="str">
        <f>IFERROR(__xludf.DUMMYFUNCTION("""COMPUTED_VALUE"""),"Đen")</f>
        <v>Đen</v>
      </c>
    </row>
    <row r="2357" ht="15.75" customHeight="1">
      <c r="A2357" s="117" t="str">
        <f>IFERROR(__xludf.DUMMYFUNCTION("""COMPUTED_VALUE"""),"0794 549 435")</f>
        <v>0794 549 435</v>
      </c>
      <c r="B2357" s="118" t="str">
        <f>IFERROR(__xludf.DUMMYFUNCTION("""COMPUTED_VALUE"""),"Chị Vân")</f>
        <v>Chị Vân</v>
      </c>
      <c r="C2357" s="118" t="str">
        <f>IFERROR(__xludf.DUMMYFUNCTION("""COMPUTED_VALUE"""),"11 Mang Cá")</f>
        <v>11 Mang Cá</v>
      </c>
      <c r="D2357" s="118" t="str">
        <f>IFERROR(__xludf.DUMMYFUNCTION("""COMPUTED_VALUE"""),"mèo")</f>
        <v>mèo</v>
      </c>
      <c r="E2357" s="119" t="str">
        <f>IFERROR(__xludf.DUMMYFUNCTION("""COMPUTED_VALUE"""),"Long")</f>
        <v>Long</v>
      </c>
    </row>
    <row r="2358" ht="15.75" customHeight="1">
      <c r="A2358" s="117" t="str">
        <f>IFERROR(__xludf.DUMMYFUNCTION("""COMPUTED_VALUE"""),"0913 420 522")</f>
        <v>0913 420 522</v>
      </c>
      <c r="B2358" s="118" t="str">
        <f>IFERROR(__xludf.DUMMYFUNCTION("""COMPUTED_VALUE"""),"Chú Mừng")</f>
        <v>Chú Mừng</v>
      </c>
      <c r="C2358" s="118" t="str">
        <f>IFERROR(__xludf.DUMMYFUNCTION("""COMPUTED_VALUE"""),"18 Nguyễn Hữu Dật")</f>
        <v>18 Nguyễn Hữu Dật</v>
      </c>
      <c r="D2358" s="118" t="str">
        <f>IFERROR(__xludf.DUMMYFUNCTION("""COMPUTED_VALUE"""),"chó")</f>
        <v>chó</v>
      </c>
      <c r="E2358" s="118" t="str">
        <f>IFERROR(__xludf.DUMMYFUNCTION("""COMPUTED_VALUE"""),"Nâu")</f>
        <v>Nâu</v>
      </c>
    </row>
    <row r="2359" ht="15.75" customHeight="1">
      <c r="A2359" s="117" t="str">
        <f>IFERROR(__xludf.DUMMYFUNCTION("""COMPUTED_VALUE"""),"0387 450 969")</f>
        <v>0387 450 969</v>
      </c>
      <c r="B2359" s="118" t="str">
        <f>IFERROR(__xludf.DUMMYFUNCTION("""COMPUTED_VALUE"""),"Dì Nở")</f>
        <v>Dì Nở</v>
      </c>
      <c r="C2359" s="118" t="str">
        <f>IFERROR(__xludf.DUMMYFUNCTION("""COMPUTED_VALUE"""),"Hải Dương - Huế")</f>
        <v>Hải Dương - Huế</v>
      </c>
      <c r="D2359" s="118" t="str">
        <f>IFERROR(__xludf.DUMMYFUNCTION("""COMPUTED_VALUE"""),"chó")</f>
        <v>chó</v>
      </c>
      <c r="E2359" s="119" t="str">
        <f>IFERROR(__xludf.DUMMYFUNCTION("""COMPUTED_VALUE"""),"Apolo")</f>
        <v>Apolo</v>
      </c>
    </row>
    <row r="2360" ht="15.75" customHeight="1">
      <c r="A2360" s="117" t="str">
        <f>IFERROR(__xludf.DUMMYFUNCTION("""COMPUTED_VALUE"""),"0869 027 682")</f>
        <v>0869 027 682</v>
      </c>
      <c r="B2360" s="118" t="str">
        <f>IFERROR(__xludf.DUMMYFUNCTION("""COMPUTED_VALUE"""),"Thi")</f>
        <v>Thi</v>
      </c>
      <c r="C2360" s="118" t="str">
        <f>IFERROR(__xludf.DUMMYFUNCTION("""COMPUTED_VALUE"""),"22/17/9 Phú Mộng")</f>
        <v>22/17/9 Phú Mộng</v>
      </c>
      <c r="D2360" s="118" t="str">
        <f>IFERROR(__xludf.DUMMYFUNCTION("""COMPUTED_VALUE"""),"chó")</f>
        <v>chó</v>
      </c>
      <c r="E2360" s="118" t="str">
        <f>IFERROR(__xludf.DUMMYFUNCTION("""COMPUTED_VALUE"""),"SuSi")</f>
        <v>SuSi</v>
      </c>
    </row>
    <row r="2361" ht="15.75" customHeight="1">
      <c r="A2361" s="117" t="str">
        <f>IFERROR(__xludf.DUMMYFUNCTION("""COMPUTED_VALUE"""),"0234 681 685")</f>
        <v>0234 681 685</v>
      </c>
      <c r="B2361" s="118" t="str">
        <f>IFERROR(__xludf.DUMMYFUNCTION("""COMPUTED_VALUE"""),"cty Vedana")</f>
        <v>cty Vedana</v>
      </c>
      <c r="C2361" s="118" t="str">
        <f>IFERROR(__xludf.DUMMYFUNCTION("""COMPUTED_VALUE"""),"112 Minh Mạng")</f>
        <v>112 Minh Mạng</v>
      </c>
      <c r="D2361" s="118" t="str">
        <f>IFERROR(__xludf.DUMMYFUNCTION("""COMPUTED_VALUE"""),"vẹt")</f>
        <v>vẹt</v>
      </c>
      <c r="E2361" s="118"/>
    </row>
    <row r="2362" ht="15.75" customHeight="1">
      <c r="A2362" s="117" t="str">
        <f>IFERROR(__xludf.DUMMYFUNCTION("""COMPUTED_VALUE"""),"0777 686 188")</f>
        <v>0777 686 188</v>
      </c>
      <c r="B2362" s="118" t="str">
        <f>IFERROR(__xludf.DUMMYFUNCTION("""COMPUTED_VALUE"""),"Dì Thanh Nga")</f>
        <v>Dì Thanh Nga</v>
      </c>
      <c r="C2362" s="118" t="str">
        <f>IFERROR(__xludf.DUMMYFUNCTION("""COMPUTED_VALUE"""),"64 Đường 6, Phước Bình, HCM")</f>
        <v>64 Đường 6, Phước Bình, HCM</v>
      </c>
      <c r="D2362" s="118" t="str">
        <f>IFERROR(__xludf.DUMMYFUNCTION("""COMPUTED_VALUE"""),"chó")</f>
        <v>chó</v>
      </c>
      <c r="E2362" s="118" t="str">
        <f>IFERROR(__xludf.DUMMYFUNCTION("""COMPUTED_VALUE"""),"Sony")</f>
        <v>Sony</v>
      </c>
    </row>
    <row r="2363" ht="15.75" customHeight="1">
      <c r="A2363" s="117" t="str">
        <f>IFERROR(__xludf.DUMMYFUNCTION("""COMPUTED_VALUE"""),"0779 467 740")</f>
        <v>0779 467 740</v>
      </c>
      <c r="B2363" s="118" t="str">
        <f>IFERROR(__xludf.DUMMYFUNCTION("""COMPUTED_VALUE"""),"anh Hoài")</f>
        <v>anh Hoài</v>
      </c>
      <c r="C2363" s="118" t="str">
        <f>IFERROR(__xludf.DUMMYFUNCTION("""COMPUTED_VALUE"""),"Thuận an")</f>
        <v>Thuận an</v>
      </c>
      <c r="D2363" s="118" t="str">
        <f>IFERROR(__xludf.DUMMYFUNCTION("""COMPUTED_VALUE"""),"chó")</f>
        <v>chó</v>
      </c>
      <c r="E2363" s="119" t="str">
        <f>IFERROR(__xludf.DUMMYFUNCTION("""COMPUTED_VALUE"""),"bom")</f>
        <v>bom</v>
      </c>
    </row>
    <row r="2364" ht="15.75" customHeight="1">
      <c r="A2364" s="117" t="str">
        <f>IFERROR(__xludf.DUMMYFUNCTION("""COMPUTED_VALUE"""),"0333 424 105")</f>
        <v>0333 424 105</v>
      </c>
      <c r="B2364" s="118" t="str">
        <f>IFERROR(__xludf.DUMMYFUNCTION("""COMPUTED_VALUE"""),"Thùy Trang")</f>
        <v>Thùy Trang</v>
      </c>
      <c r="C2364" s="118" t="str">
        <f>IFERROR(__xludf.DUMMYFUNCTION("""COMPUTED_VALUE"""),"48/8 Ngự Bình")</f>
        <v>48/8 Ngự Bình</v>
      </c>
      <c r="D2364" s="118" t="str">
        <f>IFERROR(__xludf.DUMMYFUNCTION("""COMPUTED_VALUE"""),"Chó")</f>
        <v>Chó</v>
      </c>
      <c r="E2364" s="118" t="str">
        <f>IFERROR(__xludf.DUMMYFUNCTION("""COMPUTED_VALUE"""),"Vàng")</f>
        <v>Vàng</v>
      </c>
    </row>
    <row r="2365" ht="15.75" customHeight="1">
      <c r="A2365" s="117" t="str">
        <f>IFERROR(__xludf.DUMMYFUNCTION("""COMPUTED_VALUE"""),"0914 091 428")</f>
        <v>0914 091 428</v>
      </c>
      <c r="B2365" s="118" t="str">
        <f>IFERROR(__xludf.DUMMYFUNCTION("""COMPUTED_VALUE"""),"Dì Trang")</f>
        <v>Dì Trang</v>
      </c>
      <c r="C2365" s="118" t="str">
        <f>IFERROR(__xludf.DUMMYFUNCTION("""COMPUTED_VALUE"""),"10 Hồng Khẳng")</f>
        <v>10 Hồng Khẳng</v>
      </c>
      <c r="D2365" s="118" t="str">
        <f>IFERROR(__xludf.DUMMYFUNCTION("""COMPUTED_VALUE"""),"chó")</f>
        <v>chó</v>
      </c>
      <c r="E2365" s="118" t="str">
        <f>IFERROR(__xludf.DUMMYFUNCTION("""COMPUTED_VALUE"""),"Nấm")</f>
        <v>Nấm</v>
      </c>
    </row>
    <row r="2366" ht="15.75" customHeight="1">
      <c r="A2366" s="117" t="str">
        <f>IFERROR(__xludf.DUMMYFUNCTION("""COMPUTED_VALUE"""),"0935 040 887")</f>
        <v>0935 040 887</v>
      </c>
      <c r="B2366" s="118" t="str">
        <f>IFERROR(__xludf.DUMMYFUNCTION("""COMPUTED_VALUE"""),"Chị Trang")</f>
        <v>Chị Trang</v>
      </c>
      <c r="C2366" s="118" t="str">
        <f>IFERROR(__xludf.DUMMYFUNCTION("""COMPUTED_VALUE"""),"Ki15 B Xuân hoà")</f>
        <v>Ki15 B Xuân hoà</v>
      </c>
      <c r="D2366" s="118" t="str">
        <f>IFERROR(__xludf.DUMMYFUNCTION("""COMPUTED_VALUE"""),"mèo")</f>
        <v>mèo</v>
      </c>
      <c r="E2366" s="118" t="str">
        <f>IFERROR(__xludf.DUMMYFUNCTION("""COMPUTED_VALUE""")," Lùn")</f>
        <v> Lùn</v>
      </c>
    </row>
    <row r="2367" ht="15.75" customHeight="1">
      <c r="A2367" s="117" t="str">
        <f>IFERROR(__xludf.DUMMYFUNCTION("""COMPUTED_VALUE"""),"0367 891 671")</f>
        <v>0367 891 671</v>
      </c>
      <c r="B2367" s="118" t="str">
        <f>IFERROR(__xludf.DUMMYFUNCTION("""COMPUTED_VALUE"""),"Anh phát")</f>
        <v>Anh phát</v>
      </c>
      <c r="C2367" s="118" t="str">
        <f>IFERROR(__xludf.DUMMYFUNCTION("""COMPUTED_VALUE"""),"42 Duy Tân")</f>
        <v>42 Duy Tân</v>
      </c>
      <c r="D2367" s="118" t="str">
        <f>IFERROR(__xludf.DUMMYFUNCTION("""COMPUTED_VALUE"""),"chó")</f>
        <v>chó</v>
      </c>
      <c r="E2367" s="118" t="str">
        <f>IFERROR(__xludf.DUMMYFUNCTION("""COMPUTED_VALUE""")," Mèo")</f>
        <v> Mèo</v>
      </c>
    </row>
    <row r="2368" ht="15.75" customHeight="1">
      <c r="A2368" s="117" t="str">
        <f>IFERROR(__xludf.DUMMYFUNCTION("""COMPUTED_VALUE"""),"0914 249 799")</f>
        <v>0914 249 799</v>
      </c>
      <c r="B2368" s="118" t="str">
        <f>IFERROR(__xludf.DUMMYFUNCTION("""COMPUTED_VALUE"""),"Cô Định")</f>
        <v>Cô Định</v>
      </c>
      <c r="C2368" s="118" t="str">
        <f>IFERROR(__xludf.DUMMYFUNCTION("""COMPUTED_VALUE"""),"Khu B Royoal Park")</f>
        <v>Khu B Royoal Park</v>
      </c>
      <c r="D2368" s="118" t="str">
        <f>IFERROR(__xludf.DUMMYFUNCTION("""COMPUTED_VALUE"""),"mèo")</f>
        <v>mèo</v>
      </c>
      <c r="E2368" s="118" t="str">
        <f>IFERROR(__xludf.DUMMYFUNCTION("""COMPUTED_VALUE""")," Bi")</f>
        <v> Bi</v>
      </c>
    </row>
    <row r="2369" ht="15.75" customHeight="1">
      <c r="A2369" s="117" t="str">
        <f>IFERROR(__xludf.DUMMYFUNCTION("""COMPUTED_VALUE"""),"0906 530 936")</f>
        <v>0906 530 936</v>
      </c>
      <c r="B2369" s="118" t="str">
        <f>IFERROR(__xludf.DUMMYFUNCTION("""COMPUTED_VALUE"""),"Anh Tùng")</f>
        <v>Anh Tùng</v>
      </c>
      <c r="C2369" s="118" t="str">
        <f>IFERROR(__xludf.DUMMYFUNCTION("""COMPUTED_VALUE"""),"29/250 Phan Bội Châu")</f>
        <v>29/250 Phan Bội Châu</v>
      </c>
      <c r="D2369" s="118" t="str">
        <f>IFERROR(__xludf.DUMMYFUNCTION("""COMPUTED_VALUE"""),"Chó")</f>
        <v>Chó</v>
      </c>
      <c r="E2369" s="118" t="str">
        <f>IFERROR(__xludf.DUMMYFUNCTION("""COMPUTED_VALUE"""),"Lạc")</f>
        <v>Lạc</v>
      </c>
    </row>
    <row r="2370" ht="15.75" customHeight="1">
      <c r="A2370" s="117" t="str">
        <f>IFERROR(__xludf.DUMMYFUNCTION("""COMPUTED_VALUE"""),"0934 490 094")</f>
        <v>0934 490 094</v>
      </c>
      <c r="B2370" s="118" t="str">
        <f>IFERROR(__xludf.DUMMYFUNCTION("""COMPUTED_VALUE"""),"Nguyễn Thị Thuận")</f>
        <v>Nguyễn Thị Thuận</v>
      </c>
      <c r="C2370" s="118" t="str">
        <f>IFERROR(__xludf.DUMMYFUNCTION("""COMPUTED_VALUE"""),"Kiệt 2 Xuân Hoà")</f>
        <v>Kiệt 2 Xuân Hoà</v>
      </c>
      <c r="D2370" s="118" t="str">
        <f>IFERROR(__xludf.DUMMYFUNCTION("""COMPUTED_VALUE"""),"mèo")</f>
        <v>mèo</v>
      </c>
      <c r="E2370" s="118" t="str">
        <f>IFERROR(__xludf.DUMMYFUNCTION("""COMPUTED_VALUE"""),"trắng")</f>
        <v>trắng</v>
      </c>
    </row>
    <row r="2371" ht="15.75" customHeight="1">
      <c r="A2371" s="117" t="str">
        <f>IFERROR(__xludf.DUMMYFUNCTION("""COMPUTED_VALUE"""),"0796 691 903")</f>
        <v>0796 691 903</v>
      </c>
      <c r="B2371" s="118" t="str">
        <f>IFERROR(__xludf.DUMMYFUNCTION("""COMPUTED_VALUE"""),"Chị Thuỷ Tiên")</f>
        <v>Chị Thuỷ Tiên</v>
      </c>
      <c r="C2371" s="118" t="str">
        <f>IFERROR(__xludf.DUMMYFUNCTION("""COMPUTED_VALUE"""),"9/42 Nguyễn Công Trứ")</f>
        <v>9/42 Nguyễn Công Trứ</v>
      </c>
      <c r="D2371" s="118" t="str">
        <f>IFERROR(__xludf.DUMMYFUNCTION("""COMPUTED_VALUE"""),"mèo")</f>
        <v>mèo</v>
      </c>
      <c r="E2371" s="118" t="str">
        <f>IFERROR(__xludf.DUMMYFUNCTION("""COMPUTED_VALUE""")," Seyo")</f>
        <v> Seyo</v>
      </c>
    </row>
    <row r="2372" ht="15.75" customHeight="1">
      <c r="A2372" s="115" t="str">
        <f>IFERROR(__xludf.DUMMYFUNCTION("""COMPUTED_VALUE"""),"0383 191 544")</f>
        <v>0383 191 544</v>
      </c>
      <c r="B2372" s="127" t="str">
        <f>IFERROR(__xludf.DUMMYFUNCTION("""COMPUTED_VALUE"""),"Chú Nghĩa")</f>
        <v>Chú Nghĩa</v>
      </c>
      <c r="C2372" s="116" t="str">
        <f>IFERROR(__xludf.DUMMYFUNCTION("""COMPUTED_VALUE"""),"60 Phú Mộng")</f>
        <v>60 Phú Mộng</v>
      </c>
      <c r="D2372" s="116" t="str">
        <f>IFERROR(__xludf.DUMMYFUNCTION("""COMPUTED_VALUE"""),"Chó")</f>
        <v>Chó</v>
      </c>
      <c r="E2372" s="116" t="str">
        <f>IFERROR(__xludf.DUMMYFUNCTION("""COMPUTED_VALUE"""),"Đen/Sam")</f>
        <v>Đen/Sam</v>
      </c>
    </row>
    <row r="2373" ht="15.75" customHeight="1">
      <c r="A2373" s="117" t="str">
        <f>IFERROR(__xludf.DUMMYFUNCTION("""COMPUTED_VALUE"""),"0935 809 435")</f>
        <v>0935 809 435</v>
      </c>
      <c r="B2373" s="118" t="str">
        <f>IFERROR(__xludf.DUMMYFUNCTION("""COMPUTED_VALUE"""),"Em Quỳnh Châu")</f>
        <v>Em Quỳnh Châu</v>
      </c>
      <c r="C2373" s="118"/>
      <c r="D2373" s="118" t="str">
        <f>IFERROR(__xludf.DUMMYFUNCTION("""COMPUTED_VALUE"""),"Mèo")</f>
        <v>Mèo</v>
      </c>
      <c r="E2373" s="118" t="str">
        <f>IFERROR(__xludf.DUMMYFUNCTION("""COMPUTED_VALUE"""),"Măng")</f>
        <v>Măng</v>
      </c>
    </row>
    <row r="2374" ht="15.75" customHeight="1">
      <c r="A2374" s="117" t="str">
        <f>IFERROR(__xludf.DUMMYFUNCTION("""COMPUTED_VALUE"""),"0984 918 395")</f>
        <v>0984 918 395</v>
      </c>
      <c r="B2374" s="118" t="str">
        <f>IFERROR(__xludf.DUMMYFUNCTION("""COMPUTED_VALUE"""),"Chị My")</f>
        <v>Chị My</v>
      </c>
      <c r="C2374" s="118" t="str">
        <f>IFERROR(__xludf.DUMMYFUNCTION("""COMPUTED_VALUE"""),"Phú Thượng")</f>
        <v>Phú Thượng</v>
      </c>
      <c r="D2374" s="118" t="str">
        <f>IFERROR(__xludf.DUMMYFUNCTION("""COMPUTED_VALUE"""),"chó")</f>
        <v>chó</v>
      </c>
      <c r="E2374" s="118" t="str">
        <f>IFERROR(__xludf.DUMMYFUNCTION("""COMPUTED_VALUE""")," Go")</f>
        <v> Go</v>
      </c>
    </row>
    <row r="2375" ht="15.75" customHeight="1">
      <c r="A2375" s="117" t="str">
        <f>IFERROR(__xludf.DUMMYFUNCTION("""COMPUTED_VALUE"""),"0905 106 901")</f>
        <v>0905 106 901</v>
      </c>
      <c r="B2375" s="118" t="str">
        <f>IFERROR(__xludf.DUMMYFUNCTION("""COMPUTED_VALUE"""),"Hồ Sĩ Thái")</f>
        <v>Hồ Sĩ Thái</v>
      </c>
      <c r="C2375" s="118" t="str">
        <f>IFERROR(__xludf.DUMMYFUNCTION("""COMPUTED_VALUE"""),"54/2 Phú Mộng")</f>
        <v>54/2 Phú Mộng</v>
      </c>
      <c r="D2375" s="118" t="str">
        <f>IFERROR(__xludf.DUMMYFUNCTION("""COMPUTED_VALUE"""),"Chó")</f>
        <v>Chó</v>
      </c>
      <c r="E2375" s="118" t="str">
        <f>IFERROR(__xludf.DUMMYFUNCTION("""COMPUTED_VALUE"""),"Ki")</f>
        <v>Ki</v>
      </c>
    </row>
    <row r="2376" ht="15.75" customHeight="1">
      <c r="A2376" s="117" t="str">
        <f>IFERROR(__xludf.DUMMYFUNCTION("""COMPUTED_VALUE"""),"0778 490 547")</f>
        <v>0778 490 547</v>
      </c>
      <c r="B2376" s="118" t="str">
        <f>IFERROR(__xludf.DUMMYFUNCTION("""COMPUTED_VALUE"""),"Chú Hoà")</f>
        <v>Chú Hoà</v>
      </c>
      <c r="C2376" s="118" t="str">
        <f>IFERROR(__xludf.DUMMYFUNCTION("""COMPUTED_VALUE"""),"Phường phú Thượng")</f>
        <v>Phường phú Thượng</v>
      </c>
      <c r="D2376" s="118" t="str">
        <f>IFERROR(__xludf.DUMMYFUNCTION("""COMPUTED_VALUE"""),"mèo")</f>
        <v>mèo</v>
      </c>
      <c r="E2376" s="118" t="str">
        <f>IFERROR(__xludf.DUMMYFUNCTION("""COMPUTED_VALUE""")," Vàng")</f>
        <v> Vàng</v>
      </c>
    </row>
    <row r="2377" ht="15.75" customHeight="1">
      <c r="A2377" s="117" t="str">
        <f>IFERROR(__xludf.DUMMYFUNCTION("""COMPUTED_VALUE"""),"0987 152 677")</f>
        <v>0987 152 677</v>
      </c>
      <c r="B2377" s="118" t="str">
        <f>IFERROR(__xludf.DUMMYFUNCTION("""COMPUTED_VALUE"""),"Desiani")</f>
        <v>Desiani</v>
      </c>
      <c r="C2377" s="118" t="str">
        <f>IFERROR(__xludf.DUMMYFUNCTION("""COMPUTED_VALUE"""),"kiệt 11 Thuỷ vân")</f>
        <v>kiệt 11 Thuỷ vân</v>
      </c>
      <c r="D2377" s="118" t="str">
        <f>IFERROR(__xludf.DUMMYFUNCTION("""COMPUTED_VALUE"""),"chó")</f>
        <v>chó</v>
      </c>
      <c r="E2377" s="118" t="str">
        <f>IFERROR(__xludf.DUMMYFUNCTION("""COMPUTED_VALUE"""),"7 con")</f>
        <v>7 con</v>
      </c>
    </row>
    <row r="2378" ht="15.75" customHeight="1">
      <c r="A2378" s="117" t="str">
        <f>IFERROR(__xludf.DUMMYFUNCTION("""COMPUTED_VALUE"""),"0702 308 025")</f>
        <v>0702 308 025</v>
      </c>
      <c r="B2378" s="118" t="str">
        <f>IFERROR(__xludf.DUMMYFUNCTION("""COMPUTED_VALUE"""),"Anh Rôn")</f>
        <v>Anh Rôn</v>
      </c>
      <c r="C2378" s="118" t="str">
        <f>IFERROR(__xludf.DUMMYFUNCTION("""COMPUTED_VALUE"""),"Thuận an")</f>
        <v>Thuận an</v>
      </c>
      <c r="D2378" s="118" t="str">
        <f>IFERROR(__xludf.DUMMYFUNCTION("""COMPUTED_VALUE"""),"chó")</f>
        <v>chó</v>
      </c>
      <c r="E2378" s="118" t="str">
        <f>IFERROR(__xludf.DUMMYFUNCTION("""COMPUTED_VALUE"""),"Gấu- Sóc")</f>
        <v>Gấu- Sóc</v>
      </c>
    </row>
    <row r="2379" ht="15.75" customHeight="1">
      <c r="A2379" s="117" t="str">
        <f>IFERROR(__xludf.DUMMYFUNCTION("""COMPUTED_VALUE"""),"0348 131 876")</f>
        <v>0348 131 876</v>
      </c>
      <c r="B2379" s="118" t="str">
        <f>IFERROR(__xludf.DUMMYFUNCTION("""COMPUTED_VALUE"""),"Nguyễn Hữu Phước")</f>
        <v>Nguyễn Hữu Phước</v>
      </c>
      <c r="C2379" s="118" t="str">
        <f>IFERROR(__xludf.DUMMYFUNCTION("""COMPUTED_VALUE"""),"15/173 Phan Đình Phùng")</f>
        <v>15/173 Phan Đình Phùng</v>
      </c>
      <c r="D2379" s="118" t="str">
        <f>IFERROR(__xludf.DUMMYFUNCTION("""COMPUTED_VALUE"""),"Chó")</f>
        <v>Chó</v>
      </c>
      <c r="E2379" s="118" t="str">
        <f>IFERROR(__xludf.DUMMYFUNCTION("""COMPUTED_VALUE"""),"Si")</f>
        <v>Si</v>
      </c>
    </row>
    <row r="2380" ht="15.75" customHeight="1">
      <c r="A2380" s="117" t="str">
        <f>IFERROR(__xludf.DUMMYFUNCTION("""COMPUTED_VALUE"""),"0384 709 569")</f>
        <v>0384 709 569</v>
      </c>
      <c r="B2380" s="118" t="str">
        <f>IFERROR(__xludf.DUMMYFUNCTION("""COMPUTED_VALUE"""),"Thảo")</f>
        <v>Thảo</v>
      </c>
      <c r="C2380" s="118" t="str">
        <f>IFERROR(__xludf.DUMMYFUNCTION("""COMPUTED_VALUE"""),"16/3/5/66 Xuân Diệu")</f>
        <v>16/3/5/66 Xuân Diệu</v>
      </c>
      <c r="D2380" s="118" t="str">
        <f>IFERROR(__xludf.DUMMYFUNCTION("""COMPUTED_VALUE"""),"Mèo")</f>
        <v>Mèo</v>
      </c>
      <c r="E2380" s="118" t="str">
        <f>IFERROR(__xludf.DUMMYFUNCTION("""COMPUTED_VALUE"""),"Bưởi")</f>
        <v>Bưởi</v>
      </c>
    </row>
    <row r="2381" ht="15.75" customHeight="1">
      <c r="A2381" s="128" t="str">
        <f>IFERROR(__xludf.DUMMYFUNCTION("""COMPUTED_VALUE"""),"0975 921 524")</f>
        <v>0975 921 524</v>
      </c>
      <c r="B2381" s="118" t="str">
        <f>IFERROR(__xludf.DUMMYFUNCTION("""COMPUTED_VALUE"""),"Tôn Nữ Thị Ly")</f>
        <v>Tôn Nữ Thị Ly</v>
      </c>
      <c r="C2381" s="118" t="str">
        <f>IFERROR(__xludf.DUMMYFUNCTION("""COMPUTED_VALUE"""),"162 Ngự Bình")</f>
        <v>162 Ngự Bình</v>
      </c>
      <c r="D2381" s="118" t="str">
        <f>IFERROR(__xludf.DUMMYFUNCTION("""COMPUTED_VALUE"""),"Mèo")</f>
        <v>Mèo</v>
      </c>
      <c r="E2381" s="118" t="str">
        <f>IFERROR(__xludf.DUMMYFUNCTION("""COMPUTED_VALUE"""),"Mia")</f>
        <v>Mia</v>
      </c>
    </row>
    <row r="2382" ht="15.75" customHeight="1">
      <c r="A2382" s="117" t="str">
        <f>IFERROR(__xludf.DUMMYFUNCTION("""COMPUTED_VALUE"""),"0858 065 722")</f>
        <v>0858 065 722</v>
      </c>
      <c r="B2382" s="118" t="str">
        <f>IFERROR(__xludf.DUMMYFUNCTION("""COMPUTED_VALUE"""),"Chiị Oanh")</f>
        <v>Chiị Oanh</v>
      </c>
      <c r="C2382" s="118" t="str">
        <f>IFERROR(__xludf.DUMMYFUNCTION("""COMPUTED_VALUE"""),"11/68 Ngự Bình")</f>
        <v>11/68 Ngự Bình</v>
      </c>
      <c r="D2382" s="118" t="str">
        <f>IFERROR(__xludf.DUMMYFUNCTION("""COMPUTED_VALUE"""),"Mèo")</f>
        <v>Mèo</v>
      </c>
      <c r="E2382" s="119" t="str">
        <f>IFERROR(__xludf.DUMMYFUNCTION("""COMPUTED_VALUE"""),"mèo")</f>
        <v>mèo</v>
      </c>
    </row>
    <row r="2383" ht="15.75" customHeight="1">
      <c r="A2383" s="117" t="str">
        <f>IFERROR(__xludf.DUMMYFUNCTION("""COMPUTED_VALUE"""),"0964 560 343")</f>
        <v>0964 560 343</v>
      </c>
      <c r="B2383" s="118" t="str">
        <f>IFERROR(__xludf.DUMMYFUNCTION("""COMPUTED_VALUE"""),"Chú Hải")</f>
        <v>Chú Hải</v>
      </c>
      <c r="C2383" s="118" t="str">
        <f>IFERROR(__xludf.DUMMYFUNCTION("""COMPUTED_VALUE"""),"Hồ Thừa")</f>
        <v>Hồ Thừa</v>
      </c>
      <c r="D2383" s="118" t="str">
        <f>IFERROR(__xludf.DUMMYFUNCTION("""COMPUTED_VALUE"""),"Chó")</f>
        <v>Chó</v>
      </c>
      <c r="E2383" s="118" t="str">
        <f>IFERROR(__xludf.DUMMYFUNCTION("""COMPUTED_VALUE"""),"Gấu")</f>
        <v>Gấu</v>
      </c>
    </row>
    <row r="2384" ht="15.75" customHeight="1">
      <c r="A2384" s="117" t="str">
        <f>IFERROR(__xludf.DUMMYFUNCTION("""COMPUTED_VALUE"""),"0326 771 239")</f>
        <v>0326 771 239</v>
      </c>
      <c r="B2384" s="118" t="str">
        <f>IFERROR(__xludf.DUMMYFUNCTION("""COMPUTED_VALUE"""),"Anh Thanh")</f>
        <v>Anh Thanh</v>
      </c>
      <c r="C2384" s="118" t="str">
        <f>IFERROR(__xludf.DUMMYFUNCTION("""COMPUTED_VALUE"""),"k47 Minh Mạng")</f>
        <v>k47 Minh Mạng</v>
      </c>
      <c r="D2384" s="118" t="str">
        <f>IFERROR(__xludf.DUMMYFUNCTION("""COMPUTED_VALUE"""),"Chó")</f>
        <v>Chó</v>
      </c>
      <c r="E2384" s="118" t="str">
        <f>IFERROR(__xludf.DUMMYFUNCTION("""COMPUTED_VALUE"""),"Đen")</f>
        <v>Đen</v>
      </c>
    </row>
    <row r="2385" ht="15.75" customHeight="1">
      <c r="A2385" s="128" t="str">
        <f>IFERROR(__xludf.DUMMYFUNCTION("""COMPUTED_VALUE"""),"0397 006 864")</f>
        <v>0397 006 864</v>
      </c>
      <c r="B2385" s="118" t="str">
        <f>IFERROR(__xludf.DUMMYFUNCTION("""COMPUTED_VALUE"""),"Hiền")</f>
        <v>Hiền</v>
      </c>
      <c r="C2385" s="118" t="str">
        <f>IFERROR(__xludf.DUMMYFUNCTION("""COMPUTED_VALUE"""),"Hương Thọ")</f>
        <v>Hương Thọ</v>
      </c>
      <c r="D2385" s="118" t="str">
        <f>IFERROR(__xludf.DUMMYFUNCTION("""COMPUTED_VALUE"""),"mèo")</f>
        <v>mèo</v>
      </c>
      <c r="E2385" s="118" t="str">
        <f>IFERROR(__xludf.DUMMYFUNCTION("""COMPUTED_VALUE"""),"nếp")</f>
        <v>nếp</v>
      </c>
    </row>
    <row r="2386" ht="15.75" customHeight="1">
      <c r="A2386" s="117" t="str">
        <f>IFERROR(__xludf.DUMMYFUNCTION("""COMPUTED_VALUE"""),"0977 225 618")</f>
        <v>0977 225 618</v>
      </c>
      <c r="B2386" s="118" t="str">
        <f>IFERROR(__xludf.DUMMYFUNCTION("""COMPUTED_VALUE"""),"Chị Hoa")</f>
        <v>Chị Hoa</v>
      </c>
      <c r="C2386" s="118" t="str">
        <f>IFERROR(__xludf.DUMMYFUNCTION("""COMPUTED_VALUE"""),"5/3/128 Nguyễn Khoa Chiêm")</f>
        <v>5/3/128 Nguyễn Khoa Chiêm</v>
      </c>
      <c r="D2386" s="118" t="str">
        <f>IFERROR(__xludf.DUMMYFUNCTION("""COMPUTED_VALUE"""),"Chó")</f>
        <v>Chó</v>
      </c>
      <c r="E2386" s="118" t="str">
        <f>IFERROR(__xludf.DUMMYFUNCTION("""COMPUTED_VALUE"""),"Lucky")</f>
        <v>Lucky</v>
      </c>
    </row>
    <row r="2387" ht="15.75" customHeight="1">
      <c r="A2387" s="128" t="str">
        <f>IFERROR(__xludf.DUMMYFUNCTION("""COMPUTED_VALUE"""),"0339 129 722")</f>
        <v>0339 129 722</v>
      </c>
      <c r="B2387" s="127" t="str">
        <f>IFERROR(__xludf.DUMMYFUNCTION("""COMPUTED_VALUE"""),"Chị Thảo Tiên")</f>
        <v>Chị Thảo Tiên</v>
      </c>
      <c r="C2387" s="127" t="str">
        <f>IFERROR(__xludf.DUMMYFUNCTION("""COMPUTED_VALUE"""),"53/4 Phạm Thị Liên")</f>
        <v>53/4 Phạm Thị Liên</v>
      </c>
      <c r="D2387" s="127" t="str">
        <f>IFERROR(__xludf.DUMMYFUNCTION("""COMPUTED_VALUE"""),"Chó")</f>
        <v>Chó</v>
      </c>
      <c r="E2387" s="127" t="str">
        <f>IFERROR(__xludf.DUMMYFUNCTION("""COMPUTED_VALUE"""),"Xù")</f>
        <v>Xù</v>
      </c>
    </row>
    <row r="2388" ht="15.75" customHeight="1">
      <c r="A2388" s="117" t="str">
        <f>IFERROR(__xludf.DUMMYFUNCTION("""COMPUTED_VALUE"""),"0866 935 340")</f>
        <v>0866 935 340</v>
      </c>
      <c r="B2388" s="118" t="str">
        <f>IFERROR(__xludf.DUMMYFUNCTION("""COMPUTED_VALUE"""),"Khánh Thy")</f>
        <v>Khánh Thy</v>
      </c>
      <c r="C2388" s="118" t="str">
        <f>IFERROR(__xludf.DUMMYFUNCTION("""COMPUTED_VALUE"""),"30/7 Lê Thánh Tôn")</f>
        <v>30/7 Lê Thánh Tôn</v>
      </c>
      <c r="D2388" s="118" t="str">
        <f>IFERROR(__xludf.DUMMYFUNCTION("""COMPUTED_VALUE"""),"Mèo")</f>
        <v>Mèo</v>
      </c>
      <c r="E2388" s="118" t="str">
        <f>IFERROR(__xludf.DUMMYFUNCTION("""COMPUTED_VALUE"""),"Chó")</f>
        <v>Chó</v>
      </c>
    </row>
    <row r="2389" ht="15.75" customHeight="1">
      <c r="A2389" s="128" t="str">
        <f>IFERROR(__xludf.DUMMYFUNCTION("""COMPUTED_VALUE"""),"0901 973 860")</f>
        <v>0901 973 860</v>
      </c>
      <c r="B2389" s="127" t="str">
        <f>IFERROR(__xludf.DUMMYFUNCTION("""COMPUTED_VALUE"""),"Anh Tuấn")</f>
        <v>Anh Tuấn</v>
      </c>
      <c r="C2389" s="127" t="str">
        <f>IFERROR(__xludf.DUMMYFUNCTION("""COMPUTED_VALUE"""),"An Hòa, Hương An")</f>
        <v>An Hòa, Hương An</v>
      </c>
      <c r="D2389" s="127" t="str">
        <f>IFERROR(__xludf.DUMMYFUNCTION("""COMPUTED_VALUE"""),"Chó")</f>
        <v>Chó</v>
      </c>
      <c r="E2389" s="127" t="str">
        <f>IFERROR(__xludf.DUMMYFUNCTION("""COMPUTED_VALUE"""),"Vàng")</f>
        <v>Vàng</v>
      </c>
    </row>
    <row r="2390" ht="15.75" customHeight="1">
      <c r="A2390" s="117" t="str">
        <f>IFERROR(__xludf.DUMMYFUNCTION("""COMPUTED_VALUE"""),"0777 401 823")</f>
        <v>0777 401 823</v>
      </c>
      <c r="B2390" s="118" t="str">
        <f>IFERROR(__xludf.DUMMYFUNCTION("""COMPUTED_VALUE"""),"Chi Quỳnh")</f>
        <v>Chi Quỳnh</v>
      </c>
      <c r="C2390" s="118" t="str">
        <f>IFERROR(__xludf.DUMMYFUNCTION("""COMPUTED_VALUE""")," xốm 8 Ngọc anh")</f>
        <v> xốm 8 Ngọc anh</v>
      </c>
      <c r="D2390" s="118" t="str">
        <f>IFERROR(__xludf.DUMMYFUNCTION("""COMPUTED_VALUE"""),"mèo")</f>
        <v>mèo</v>
      </c>
      <c r="E2390" s="118" t="str">
        <f>IFERROR(__xludf.DUMMYFUNCTION("""COMPUTED_VALUE""")," vàng")</f>
        <v> vàng</v>
      </c>
    </row>
    <row r="2391" ht="15.75" customHeight="1">
      <c r="A2391" s="117" t="str">
        <f>IFERROR(__xludf.DUMMYFUNCTION("""COMPUTED_VALUE"""),"0855 991 416")</f>
        <v>0855 991 416</v>
      </c>
      <c r="B2391" s="118" t="str">
        <f>IFERROR(__xludf.DUMMYFUNCTION("""COMPUTED_VALUE"""),"Chị Tú Anh")</f>
        <v>Chị Tú Anh</v>
      </c>
      <c r="C2391" s="118" t="str">
        <f>IFERROR(__xludf.DUMMYFUNCTION("""COMPUTED_VALUE"""),"Nguyễn Phúc CHu")</f>
        <v>Nguyễn Phúc CHu</v>
      </c>
      <c r="D2391" s="118" t="str">
        <f>IFERROR(__xludf.DUMMYFUNCTION("""COMPUTED_VALUE"""),"Mèo")</f>
        <v>Mèo</v>
      </c>
      <c r="E2391" s="118" t="str">
        <f>IFERROR(__xludf.DUMMYFUNCTION("""COMPUTED_VALUE"""),"Mi")</f>
        <v>Mi</v>
      </c>
    </row>
    <row r="2392" ht="15.75" customHeight="1">
      <c r="A2392" s="117" t="str">
        <f>IFERROR(__xludf.DUMMYFUNCTION("""COMPUTED_VALUE"""),"0389 064 286")</f>
        <v>0389 064 286</v>
      </c>
      <c r="B2392" s="118" t="str">
        <f>IFERROR(__xludf.DUMMYFUNCTION("""COMPUTED_VALUE"""),"y Búp")</f>
        <v>y Búp</v>
      </c>
      <c r="C2392" s="118" t="str">
        <f>IFERROR(__xludf.DUMMYFUNCTION("""COMPUTED_VALUE"""),"45 Duy Tân")</f>
        <v>45 Duy Tân</v>
      </c>
      <c r="D2392" s="118" t="str">
        <f>IFERROR(__xludf.DUMMYFUNCTION("""COMPUTED_VALUE"""),"Chó")</f>
        <v>Chó</v>
      </c>
      <c r="E2392" s="118" t="str">
        <f>IFERROR(__xludf.DUMMYFUNCTION("""COMPUTED_VALUE"""),"Milo")</f>
        <v>Milo</v>
      </c>
    </row>
    <row r="2393" ht="15.75" customHeight="1">
      <c r="A2393" s="117" t="str">
        <f>IFERROR(__xludf.DUMMYFUNCTION("""COMPUTED_VALUE"""),"0918 919 234")</f>
        <v>0918 919 234</v>
      </c>
      <c r="B2393" s="118" t="str">
        <f>IFERROR(__xludf.DUMMYFUNCTION("""COMPUTED_VALUE"""),"Chị Bích Thảo")</f>
        <v>Chị Bích Thảo</v>
      </c>
      <c r="C2393" s="118" t="str">
        <f>IFERROR(__xludf.DUMMYFUNCTION("""COMPUTED_VALUE"""),"Lý NAm Đế")</f>
        <v>Lý NAm Đế</v>
      </c>
      <c r="D2393" s="118" t="str">
        <f>IFERROR(__xludf.DUMMYFUNCTION("""COMPUTED_VALUE"""),"Mèo")</f>
        <v>Mèo</v>
      </c>
      <c r="E2393" s="119" t="str">
        <f>IFERROR(__xludf.DUMMYFUNCTION("""COMPUTED_VALUE"""),"Mimi")</f>
        <v>Mimi</v>
      </c>
    </row>
    <row r="2394" ht="15.75" customHeight="1">
      <c r="A2394" s="117" t="str">
        <f>IFERROR(__xludf.DUMMYFUNCTION("""COMPUTED_VALUE"""),"0905 051 169")</f>
        <v>0905 051 169</v>
      </c>
      <c r="B2394" s="118" t="str">
        <f>IFERROR(__xludf.DUMMYFUNCTION("""COMPUTED_VALUE"""),"Dì Thủy")</f>
        <v>Dì Thủy</v>
      </c>
      <c r="C2394" s="118" t="str">
        <f>IFERROR(__xludf.DUMMYFUNCTION("""COMPUTED_VALUE"""),"10/36 Phạm thị Liên")</f>
        <v>10/36 Phạm thị Liên</v>
      </c>
      <c r="D2394" s="118" t="str">
        <f>IFERROR(__xludf.DUMMYFUNCTION("""COMPUTED_VALUE"""),"mèo")</f>
        <v>mèo</v>
      </c>
      <c r="E2394" s="118" t="str">
        <f>IFERROR(__xludf.DUMMYFUNCTION("""COMPUTED_VALUE"""),"béo")</f>
        <v>béo</v>
      </c>
    </row>
    <row r="2395" ht="15.75" customHeight="1">
      <c r="A2395" s="117" t="str">
        <f>IFERROR(__xludf.DUMMYFUNCTION("""COMPUTED_VALUE"""),"0965 666 200")</f>
        <v>0965 666 200</v>
      </c>
      <c r="B2395" s="118" t="str">
        <f>IFERROR(__xludf.DUMMYFUNCTION("""COMPUTED_VALUE"""),"Chị Dương")</f>
        <v>Chị Dương</v>
      </c>
      <c r="C2395" s="118" t="str">
        <f>IFERROR(__xludf.DUMMYFUNCTION("""COMPUTED_VALUE"""),"100 Điện BIên Phủ")</f>
        <v>100 Điện BIên Phủ</v>
      </c>
      <c r="D2395" s="118" t="str">
        <f>IFERROR(__xludf.DUMMYFUNCTION("""COMPUTED_VALUE"""),"Chó")</f>
        <v>Chó</v>
      </c>
      <c r="E2395" s="118" t="str">
        <f>IFERROR(__xludf.DUMMYFUNCTION("""COMPUTED_VALUE"""),"Mi")</f>
        <v>Mi</v>
      </c>
    </row>
    <row r="2396" ht="15.75" customHeight="1">
      <c r="A2396" s="117" t="str">
        <f>IFERROR(__xludf.DUMMYFUNCTION("""COMPUTED_VALUE"""),"0935 662 410")</f>
        <v>0935 662 410</v>
      </c>
      <c r="B2396" s="118" t="str">
        <f>IFERROR(__xludf.DUMMYFUNCTION("""COMPUTED_VALUE"""),"Lê Thị Mười")</f>
        <v>Lê Thị Mười</v>
      </c>
      <c r="C2396" s="118" t="str">
        <f>IFERROR(__xludf.DUMMYFUNCTION("""COMPUTED_VALUE"""),"k93 Đặng Huy Trứ")</f>
        <v>k93 Đặng Huy Trứ</v>
      </c>
      <c r="D2396" s="118" t="str">
        <f>IFERROR(__xludf.DUMMYFUNCTION("""COMPUTED_VALUE"""),"chó")</f>
        <v>chó</v>
      </c>
      <c r="E2396" s="118" t="str">
        <f>IFERROR(__xludf.DUMMYFUNCTION("""COMPUTED_VALUE"""),"Lu")</f>
        <v>Lu</v>
      </c>
    </row>
    <row r="2397" ht="15.75" customHeight="1">
      <c r="A2397" s="128" t="str">
        <f>IFERROR(__xludf.DUMMYFUNCTION("""COMPUTED_VALUE"""),"0877 283 180")</f>
        <v>0877 283 180</v>
      </c>
      <c r="B2397" s="127" t="str">
        <f>IFERROR(__xludf.DUMMYFUNCTION("""COMPUTED_VALUE"""),"Em Long")</f>
        <v>Em Long</v>
      </c>
      <c r="C2397" s="127" t="str">
        <f>IFERROR(__xludf.DUMMYFUNCTION("""COMPUTED_VALUE"""),"k21 Nguyễn Phúc Thụ")</f>
        <v>k21 Nguyễn Phúc Thụ</v>
      </c>
      <c r="D2397" s="127" t="str">
        <f>IFERROR(__xludf.DUMMYFUNCTION("""COMPUTED_VALUE"""),"mèo")</f>
        <v>mèo</v>
      </c>
      <c r="E2397" s="127" t="str">
        <f>IFERROR(__xludf.DUMMYFUNCTION("""COMPUTED_VALUE"""),"Chíp")</f>
        <v>Chíp</v>
      </c>
    </row>
    <row r="2398" ht="15.75" customHeight="1">
      <c r="A2398" s="117" t="str">
        <f>IFERROR(__xludf.DUMMYFUNCTION("""COMPUTED_VALUE"""),"0794 265 174")</f>
        <v>0794 265 174</v>
      </c>
      <c r="B2398" s="118" t="str">
        <f>IFERROR(__xludf.DUMMYFUNCTION("""COMPUTED_VALUE"""),"Chị Thảo")</f>
        <v>Chị Thảo</v>
      </c>
      <c r="C2398" s="118" t="str">
        <f>IFERROR(__xludf.DUMMYFUNCTION("""COMPUTED_VALUE"""),"3 Huyền Trân Công Chúa")</f>
        <v>3 Huyền Trân Công Chúa</v>
      </c>
      <c r="D2398" s="118" t="str">
        <f>IFERROR(__xludf.DUMMYFUNCTION("""COMPUTED_VALUE"""),"chó")</f>
        <v>chó</v>
      </c>
      <c r="E2398" s="118"/>
    </row>
    <row r="2399" ht="15.75" customHeight="1">
      <c r="A2399" s="117" t="str">
        <f>IFERROR(__xludf.DUMMYFUNCTION("""COMPUTED_VALUE"""),"0918 947 505")</f>
        <v>0918 947 505</v>
      </c>
      <c r="B2399" s="127" t="str">
        <f>IFERROR(__xludf.DUMMYFUNCTION("""COMPUTED_VALUE"""),"Anh Rin")</f>
        <v>Anh Rin</v>
      </c>
      <c r="C2399" s="127" t="str">
        <f>IFERROR(__xludf.DUMMYFUNCTION("""COMPUTED_VALUE"""),"26/8 Lương Y")</f>
        <v>26/8 Lương Y</v>
      </c>
      <c r="D2399" s="127" t="str">
        <f>IFERROR(__xludf.DUMMYFUNCTION("""COMPUTED_VALUE"""),"chó")</f>
        <v>chó</v>
      </c>
      <c r="E2399" s="127" t="str">
        <f>IFERROR(__xludf.DUMMYFUNCTION("""COMPUTED_VALUE""")," cà phê")</f>
        <v> cà phê</v>
      </c>
    </row>
    <row r="2400" ht="15.75" customHeight="1">
      <c r="A2400" s="128" t="str">
        <f>IFERROR(__xludf.DUMMYFUNCTION("""COMPUTED_VALUE"""),"0919 300 219")</f>
        <v>0919 300 219</v>
      </c>
      <c r="B2400" s="127" t="str">
        <f>IFERROR(__xludf.DUMMYFUNCTION("""COMPUTED_VALUE"""),"ANh Cương")</f>
        <v>ANh Cương</v>
      </c>
      <c r="C2400" s="127" t="str">
        <f>IFERROR(__xludf.DUMMYFUNCTION("""COMPUTED_VALUE"""),"Hương Hồ")</f>
        <v>Hương Hồ</v>
      </c>
      <c r="D2400" s="127" t="str">
        <f>IFERROR(__xludf.DUMMYFUNCTION("""COMPUTED_VALUE"""),"chó")</f>
        <v>chó</v>
      </c>
      <c r="E2400" s="127" t="str">
        <f>IFERROR(__xludf.DUMMYFUNCTION("""COMPUTED_VALUE"""),"Boss")</f>
        <v>Boss</v>
      </c>
    </row>
    <row r="2401" ht="15.75" customHeight="1">
      <c r="A2401" s="128" t="str">
        <f>IFERROR(__xludf.DUMMYFUNCTION("""COMPUTED_VALUE"""),"0974 236 541")</f>
        <v>0974 236 541</v>
      </c>
      <c r="B2401" s="127" t="str">
        <f>IFERROR(__xludf.DUMMYFUNCTION("""COMPUTED_VALUE"""),"Dương Thị Mỹ Hoàng")</f>
        <v>Dương Thị Mỹ Hoàng</v>
      </c>
      <c r="C2401" s="127" t="str">
        <f>IFERROR(__xludf.DUMMYFUNCTION("""COMPUTED_VALUE"""),"4/47 Lương Văn Can")</f>
        <v>4/47 Lương Văn Can</v>
      </c>
      <c r="D2401" s="127" t="str">
        <f>IFERROR(__xludf.DUMMYFUNCTION("""COMPUTED_VALUE"""),"mèo")</f>
        <v>mèo</v>
      </c>
      <c r="E2401" s="119" t="str">
        <f>IFERROR(__xludf.DUMMYFUNCTION("""COMPUTED_VALUE"""),"Hến")</f>
        <v>Hến</v>
      </c>
    </row>
    <row r="2402" ht="15.75" customHeight="1">
      <c r="A2402" s="117" t="str">
        <f>IFERROR(__xludf.DUMMYFUNCTION("""COMPUTED_VALUE"""),"0968 332 071")</f>
        <v>0968 332 071</v>
      </c>
      <c r="B2402" s="118" t="str">
        <f>IFERROR(__xludf.DUMMYFUNCTION("""COMPUTED_VALUE"""),"Chị Kiều")</f>
        <v>Chị Kiều</v>
      </c>
      <c r="C2402" s="118" t="str">
        <f>IFERROR(__xludf.DUMMYFUNCTION("""COMPUTED_VALUE"""),"168/4 Phan Chu Trinh")</f>
        <v>168/4 Phan Chu Trinh</v>
      </c>
      <c r="D2402" s="118" t="str">
        <f>IFERROR(__xludf.DUMMYFUNCTION("""COMPUTED_VALUE"""),"chó")</f>
        <v>chó</v>
      </c>
      <c r="E2402" s="118" t="str">
        <f>IFERROR(__xludf.DUMMYFUNCTION("""COMPUTED_VALUE"""),"Red")</f>
        <v>Red</v>
      </c>
    </row>
    <row r="2403" ht="15.75" customHeight="1">
      <c r="A2403" s="128" t="str">
        <f>IFERROR(__xludf.DUMMYFUNCTION("""COMPUTED_VALUE"""),"0903 534 963")</f>
        <v>0903 534 963</v>
      </c>
      <c r="B2403" s="127" t="str">
        <f>IFERROR(__xludf.DUMMYFUNCTION("""COMPUTED_VALUE"""),"Thái Quốc Phong")</f>
        <v>Thái Quốc Phong</v>
      </c>
      <c r="C2403" s="127" t="str">
        <f>IFERROR(__xludf.DUMMYFUNCTION("""COMPUTED_VALUE"""),"9 Nguyễn Hoàng")</f>
        <v>9 Nguyễn Hoàng</v>
      </c>
      <c r="D2403" s="127" t="str">
        <f>IFERROR(__xludf.DUMMYFUNCTION("""COMPUTED_VALUE"""),"chó")</f>
        <v>chó</v>
      </c>
      <c r="E2403" s="127" t="str">
        <f>IFERROR(__xludf.DUMMYFUNCTION("""COMPUTED_VALUE"""),"Xám")</f>
        <v>Xám</v>
      </c>
    </row>
    <row r="2404" ht="15.75" customHeight="1">
      <c r="A2404" s="128" t="str">
        <f>IFERROR(__xludf.DUMMYFUNCTION("""COMPUTED_VALUE"""),"0917 054 767")</f>
        <v>0917 054 767</v>
      </c>
      <c r="B2404" s="127" t="str">
        <f>IFERROR(__xludf.DUMMYFUNCTION("""COMPUTED_VALUE"""),"Lê Minh Quân")</f>
        <v>Lê Minh Quân</v>
      </c>
      <c r="C2404" s="127" t="str">
        <f>IFERROR(__xludf.DUMMYFUNCTION("""COMPUTED_VALUE"""),"k81 Hồ Đắc Di")</f>
        <v>k81 Hồ Đắc Di</v>
      </c>
      <c r="D2404" s="127" t="str">
        <f>IFERROR(__xludf.DUMMYFUNCTION("""COMPUTED_VALUE"""),"mèo")</f>
        <v>mèo</v>
      </c>
      <c r="E2404" s="127" t="str">
        <f>IFERROR(__xludf.DUMMYFUNCTION("""COMPUTED_VALUE"""),"yellow")</f>
        <v>yellow</v>
      </c>
    </row>
    <row r="2405" ht="15.75" customHeight="1">
      <c r="A2405" s="117" t="str">
        <f>IFERROR(__xludf.DUMMYFUNCTION("""COMPUTED_VALUE"""),"0767 124 946")</f>
        <v>0767 124 946</v>
      </c>
      <c r="B2405" s="118" t="str">
        <f>IFERROR(__xludf.DUMMYFUNCTION("""COMPUTED_VALUE"""),"Anh Thành")</f>
        <v>Anh Thành</v>
      </c>
      <c r="C2405" s="119" t="str">
        <f>IFERROR(__xludf.DUMMYFUNCTION("""COMPUTED_VALUE"""),"69/131 Trần Phú")</f>
        <v>69/131 Trần Phú</v>
      </c>
      <c r="D2405" s="118" t="str">
        <f>IFERROR(__xludf.DUMMYFUNCTION("""COMPUTED_VALUE"""),"mèo")</f>
        <v>mèo</v>
      </c>
      <c r="E2405" s="119" t="str">
        <f>IFERROR(__xludf.DUMMYFUNCTION("""COMPUTED_VALUE"""),"tuti")</f>
        <v>tuti</v>
      </c>
    </row>
    <row r="2406" ht="15.75" customHeight="1">
      <c r="A2406" s="117" t="str">
        <f>IFERROR(__xludf.DUMMYFUNCTION("""COMPUTED_VALUE"""),"0794 449 495")</f>
        <v>0794 449 495</v>
      </c>
      <c r="B2406" s="118" t="str">
        <f>IFERROR(__xludf.DUMMYFUNCTION("""COMPUTED_VALUE"""),"Bình")</f>
        <v>Bình</v>
      </c>
      <c r="C2406" s="118" t="str">
        <f>IFERROR(__xludf.DUMMYFUNCTION("""COMPUTED_VALUE"""),"Phạm Văn Đồng")</f>
        <v>Phạm Văn Đồng</v>
      </c>
      <c r="D2406" s="118" t="str">
        <f>IFERROR(__xludf.DUMMYFUNCTION("""COMPUTED_VALUE"""),"chó")</f>
        <v>chó</v>
      </c>
      <c r="E2406" s="119"/>
    </row>
    <row r="2407" ht="15.75" customHeight="1">
      <c r="A2407" s="128" t="str">
        <f>IFERROR(__xludf.DUMMYFUNCTION("""COMPUTED_VALUE"""),"0973 066 046")</f>
        <v>0973 066 046</v>
      </c>
      <c r="B2407" s="127" t="str">
        <f>IFERROR(__xludf.DUMMYFUNCTION("""COMPUTED_VALUE"""),"Chú Hùng")</f>
        <v>Chú Hùng</v>
      </c>
      <c r="C2407" s="127"/>
      <c r="D2407" s="127" t="str">
        <f>IFERROR(__xludf.DUMMYFUNCTION("""COMPUTED_VALUE"""),"chó")</f>
        <v>chó</v>
      </c>
      <c r="E2407" s="127"/>
    </row>
    <row r="2408" ht="15.75" customHeight="1">
      <c r="A2408" s="128" t="str">
        <f>IFERROR(__xludf.DUMMYFUNCTION("""COMPUTED_VALUE"""),"0912 504 588")</f>
        <v>0912 504 588</v>
      </c>
      <c r="B2408" s="127" t="str">
        <f>IFERROR(__xludf.DUMMYFUNCTION("""COMPUTED_VALUE"""),"Chị Oanh")</f>
        <v>Chị Oanh</v>
      </c>
      <c r="C2408" s="127" t="str">
        <f>IFERROR(__xludf.DUMMYFUNCTION("""COMPUTED_VALUE"""),"47/25 Lương Văn Can")</f>
        <v>47/25 Lương Văn Can</v>
      </c>
      <c r="D2408" s="127" t="str">
        <f>IFERROR(__xludf.DUMMYFUNCTION("""COMPUTED_VALUE"""),"Chó")</f>
        <v>Chó</v>
      </c>
      <c r="E2408" s="119" t="str">
        <f>IFERROR(__xludf.DUMMYFUNCTION("""COMPUTED_VALUE"""),"Cưng")</f>
        <v>Cưng</v>
      </c>
    </row>
    <row r="2409" ht="15.75" customHeight="1">
      <c r="A2409" s="128" t="str">
        <f>IFERROR(__xludf.DUMMYFUNCTION("""COMPUTED_VALUE"""),"0906 431 053")</f>
        <v>0906 431 053</v>
      </c>
      <c r="B2409" s="127" t="str">
        <f>IFERROR(__xludf.DUMMYFUNCTION("""COMPUTED_VALUE"""),"anh Đô")</f>
        <v>anh Đô</v>
      </c>
      <c r="C2409" s="127" t="str">
        <f>IFERROR(__xludf.DUMMYFUNCTION("""COMPUTED_VALUE"""),"30 Tôn Thất Tùng")</f>
        <v>30 Tôn Thất Tùng</v>
      </c>
      <c r="D2409" s="127" t="str">
        <f>IFERROR(__xludf.DUMMYFUNCTION("""COMPUTED_VALUE"""),"chó")</f>
        <v>chó</v>
      </c>
      <c r="E2409" s="127" t="str">
        <f>IFERROR(__xludf.DUMMYFUNCTION("""COMPUTED_VALUE"""),"mun")</f>
        <v>mun</v>
      </c>
    </row>
    <row r="2410" ht="15.75" customHeight="1">
      <c r="A2410" s="117" t="str">
        <f>IFERROR(__xludf.DUMMYFUNCTION("""COMPUTED_VALUE"""),"0365 569 543")</f>
        <v>0365 569 543</v>
      </c>
      <c r="B2410" s="118" t="str">
        <f>IFERROR(__xludf.DUMMYFUNCTION("""COMPUTED_VALUE"""),"Em Hồng")</f>
        <v>Em Hồng</v>
      </c>
      <c r="C2410" s="118" t="str">
        <f>IFERROR(__xludf.DUMMYFUNCTION("""COMPUTED_VALUE"""),"Tỉnh lộ 10")</f>
        <v>Tỉnh lộ 10</v>
      </c>
      <c r="D2410" s="118" t="str">
        <f>IFERROR(__xludf.DUMMYFUNCTION("""COMPUTED_VALUE"""),"chó")</f>
        <v>chó</v>
      </c>
      <c r="E2410" s="118" t="str">
        <f>IFERROR(__xludf.DUMMYFUNCTION("""COMPUTED_VALUE""")," Bim")</f>
        <v> Bim</v>
      </c>
    </row>
    <row r="2411" ht="15.75" customHeight="1">
      <c r="A2411" s="128" t="str">
        <f>IFERROR(__xludf.DUMMYFUNCTION("""COMPUTED_VALUE"""),"0888 070 796")</f>
        <v>0888 070 796</v>
      </c>
      <c r="B2411" s="127" t="str">
        <f>IFERROR(__xludf.DUMMYFUNCTION("""COMPUTED_VALUE"""),"Anh Khoa")</f>
        <v>Anh Khoa</v>
      </c>
      <c r="C2411" s="127" t="str">
        <f>IFERROR(__xludf.DUMMYFUNCTION("""COMPUTED_VALUE"""),"Phú mậu")</f>
        <v>Phú mậu</v>
      </c>
      <c r="D2411" s="127" t="str">
        <f>IFERROR(__xludf.DUMMYFUNCTION("""COMPUTED_VALUE"""),"chó")</f>
        <v>chó</v>
      </c>
      <c r="E2411" s="127" t="str">
        <f>IFERROR(__xludf.DUMMYFUNCTION("""COMPUTED_VALUE""")," Gô")</f>
        <v> Gô</v>
      </c>
    </row>
    <row r="2412" ht="15.75" customHeight="1">
      <c r="A2412" s="128" t="str">
        <f>IFERROR(__xludf.DUMMYFUNCTION("""COMPUTED_VALUE"""),"0907 475 207")</f>
        <v>0907 475 207</v>
      </c>
      <c r="B2412" s="127" t="str">
        <f>IFERROR(__xludf.DUMMYFUNCTION("""COMPUTED_VALUE"""),"Em Quang")</f>
        <v>Em Quang</v>
      </c>
      <c r="C2412" s="127" t="str">
        <f>IFERROR(__xludf.DUMMYFUNCTION("""COMPUTED_VALUE"""),"14/162 Nguyễn Sinh Cung")</f>
        <v>14/162 Nguyễn Sinh Cung</v>
      </c>
      <c r="D2412" s="127" t="str">
        <f>IFERROR(__xludf.DUMMYFUNCTION("""COMPUTED_VALUE"""),"mèo")</f>
        <v>mèo</v>
      </c>
      <c r="E2412" s="127" t="str">
        <f>IFERROR(__xludf.DUMMYFUNCTION("""COMPUTED_VALUE""")," Bí")</f>
        <v> Bí</v>
      </c>
    </row>
    <row r="2413" ht="15.75" customHeight="1">
      <c r="A2413" s="128" t="str">
        <f>IFERROR(__xludf.DUMMYFUNCTION("""COMPUTED_VALUE"""),"0902 631 305")</f>
        <v>0902 631 305</v>
      </c>
      <c r="B2413" s="127" t="str">
        <f>IFERROR(__xludf.DUMMYFUNCTION("""COMPUTED_VALUE"""),"Chị tâm")</f>
        <v>Chị tâm</v>
      </c>
      <c r="C2413" s="127" t="str">
        <f>IFERROR(__xludf.DUMMYFUNCTION("""COMPUTED_VALUE"""),"Lư Khánh - Phú dương")</f>
        <v>Lư Khánh - Phú dương</v>
      </c>
      <c r="D2413" s="127" t="str">
        <f>IFERROR(__xludf.DUMMYFUNCTION("""COMPUTED_VALUE"""),"mèo ")</f>
        <v>mèo </v>
      </c>
      <c r="E2413" s="127" t="str">
        <f>IFERROR(__xludf.DUMMYFUNCTION("""COMPUTED_VALUE"""),"mít")</f>
        <v>mít</v>
      </c>
    </row>
    <row r="2414" ht="15.75" customHeight="1">
      <c r="A2414" s="117" t="str">
        <f>IFERROR(__xludf.DUMMYFUNCTION("""COMPUTED_VALUE"""),"0768 444 910")</f>
        <v>0768 444 910</v>
      </c>
      <c r="B2414" s="118" t="str">
        <f>IFERROR(__xludf.DUMMYFUNCTION("""COMPUTED_VALUE"""),"Anh Hùng")</f>
        <v>Anh Hùng</v>
      </c>
      <c r="C2414" s="118" t="str">
        <f>IFERROR(__xludf.DUMMYFUNCTION("""COMPUTED_VALUE"""),"Tổ 4 lại Thế")</f>
        <v>Tổ 4 lại Thế</v>
      </c>
      <c r="D2414" s="118" t="str">
        <f>IFERROR(__xludf.DUMMYFUNCTION("""COMPUTED_VALUE"""),"dê")</f>
        <v>dê</v>
      </c>
      <c r="E2414" s="119"/>
    </row>
    <row r="2415" ht="15.75" customHeight="1">
      <c r="A2415" s="128" t="str">
        <f>IFERROR(__xludf.DUMMYFUNCTION("""COMPUTED_VALUE"""),"0913 425 668")</f>
        <v>0913 425 668</v>
      </c>
      <c r="B2415" s="127" t="str">
        <f>IFERROR(__xludf.DUMMYFUNCTION("""COMPUTED_VALUE"""),"Anh Huy")</f>
        <v>Anh Huy</v>
      </c>
      <c r="C2415" s="127" t="str">
        <f>IFERROR(__xludf.DUMMYFUNCTION("""COMPUTED_VALUE"""),"3/57 hai Bà trưng")</f>
        <v>3/57 hai Bà trưng</v>
      </c>
      <c r="D2415" s="127" t="str">
        <f>IFERROR(__xludf.DUMMYFUNCTION("""COMPUTED_VALUE"""),"chó ")</f>
        <v>chó </v>
      </c>
      <c r="E2415" s="127" t="str">
        <f>IFERROR(__xludf.DUMMYFUNCTION("""COMPUTED_VALUE"""),"sóc")</f>
        <v>sóc</v>
      </c>
    </row>
    <row r="2416" ht="15.75" customHeight="1">
      <c r="A2416" s="128" t="str">
        <f>IFERROR(__xludf.DUMMYFUNCTION("""COMPUTED_VALUE"""),"0384 090 699")</f>
        <v>0384 090 699</v>
      </c>
      <c r="B2416" s="127" t="str">
        <f>IFERROR(__xludf.DUMMYFUNCTION("""COMPUTED_VALUE"""),"Minh Thư")</f>
        <v>Minh Thư</v>
      </c>
      <c r="C2416" s="127" t="str">
        <f>IFERROR(__xludf.DUMMYFUNCTION("""COMPUTED_VALUE"""),"7/185 Nguyễn Chí Thanh")</f>
        <v>7/185 Nguyễn Chí Thanh</v>
      </c>
      <c r="D2416" s="127" t="str">
        <f>IFERROR(__xludf.DUMMYFUNCTION("""COMPUTED_VALUE"""),"mèo")</f>
        <v>mèo</v>
      </c>
      <c r="E2416" s="127" t="str">
        <f>IFERROR(__xludf.DUMMYFUNCTION("""COMPUTED_VALUE""")," meo")</f>
        <v> meo</v>
      </c>
    </row>
    <row r="2417" ht="15.75" customHeight="1">
      <c r="A2417" s="117" t="str">
        <f>IFERROR(__xludf.DUMMYFUNCTION("""COMPUTED_VALUE"""),"0935 554 959")</f>
        <v>0935 554 959</v>
      </c>
      <c r="B2417" s="127" t="str">
        <f>IFERROR(__xludf.DUMMYFUNCTION("""COMPUTED_VALUE"""),"Tống Ngọc Hưng")</f>
        <v>Tống Ngọc Hưng</v>
      </c>
      <c r="C2417" s="127" t="str">
        <f>IFERROR(__xludf.DUMMYFUNCTION("""COMPUTED_VALUE"""),"Phú Bài")</f>
        <v>Phú Bài</v>
      </c>
      <c r="D2417" s="127" t="str">
        <f>IFERROR(__xludf.DUMMYFUNCTION("""COMPUTED_VALUE"""),"chó")</f>
        <v>chó</v>
      </c>
      <c r="E2417" s="119" t="str">
        <f>IFERROR(__xludf.DUMMYFUNCTION("""COMPUTED_VALUE"""),"Na")</f>
        <v>Na</v>
      </c>
    </row>
    <row r="2418" ht="15.75" customHeight="1">
      <c r="A2418" s="128" t="str">
        <f>IFERROR(__xludf.DUMMYFUNCTION("""COMPUTED_VALUE"""),"0915 641 166")</f>
        <v>0915 641 166</v>
      </c>
      <c r="B2418" s="127" t="str">
        <f>IFERROR(__xludf.DUMMYFUNCTION("""COMPUTED_VALUE"""),"dì Kiểm")</f>
        <v>dì Kiểm</v>
      </c>
      <c r="C2418" s="127" t="str">
        <f>IFERROR(__xludf.DUMMYFUNCTION("""COMPUTED_VALUE"""),"95 Điện Biên Phủ")</f>
        <v>95 Điện Biên Phủ</v>
      </c>
      <c r="D2418" s="127" t="str">
        <f>IFERROR(__xludf.DUMMYFUNCTION("""COMPUTED_VALUE"""),"chó")</f>
        <v>chó</v>
      </c>
      <c r="E2418" s="127" t="str">
        <f>IFERROR(__xludf.DUMMYFUNCTION("""COMPUTED_VALUE"""),"moon")</f>
        <v>moon</v>
      </c>
    </row>
    <row r="2419" ht="15.75" customHeight="1">
      <c r="A2419" s="128" t="str">
        <f>IFERROR(__xludf.DUMMYFUNCTION("""COMPUTED_VALUE"""),"0932 493 444")</f>
        <v>0932 493 444</v>
      </c>
      <c r="B2419" s="127" t="str">
        <f>IFERROR(__xludf.DUMMYFUNCTION("""COMPUTED_VALUE"""),"Thanh")</f>
        <v>Thanh</v>
      </c>
      <c r="C2419" s="127" t="str">
        <f>IFERROR(__xludf.DUMMYFUNCTION("""COMPUTED_VALUE"""),"6/128 Phan Chu Trinh")</f>
        <v>6/128 Phan Chu Trinh</v>
      </c>
      <c r="D2419" s="127" t="str">
        <f>IFERROR(__xludf.DUMMYFUNCTION("""COMPUTED_VALUE"""),"mèo")</f>
        <v>mèo</v>
      </c>
      <c r="E2419" s="127" t="str">
        <f>IFERROR(__xludf.DUMMYFUNCTION("""COMPUTED_VALUE"""),"Muối")</f>
        <v>Muối</v>
      </c>
    </row>
    <row r="2420" ht="15.75" customHeight="1">
      <c r="A2420" s="117" t="str">
        <f>IFERROR(__xludf.DUMMYFUNCTION("""COMPUTED_VALUE"""),"0946 408 626")</f>
        <v>0946 408 626</v>
      </c>
      <c r="B2420" s="118" t="str">
        <f>IFERROR(__xludf.DUMMYFUNCTION("""COMPUTED_VALUE"""),"Chị Nhung")</f>
        <v>Chị Nhung</v>
      </c>
      <c r="C2420" s="118" t="str">
        <f>IFERROR(__xludf.DUMMYFUNCTION("""COMPUTED_VALUE"""),"202/2 Lý Nam Đế")</f>
        <v>202/2 Lý Nam Đế</v>
      </c>
      <c r="D2420" s="118" t="str">
        <f>IFERROR(__xludf.DUMMYFUNCTION("""COMPUTED_VALUE"""),"chó")</f>
        <v>chó</v>
      </c>
      <c r="E2420" s="118" t="str">
        <f>IFERROR(__xludf.DUMMYFUNCTION("""COMPUTED_VALUE"""),"Bull")</f>
        <v>Bull</v>
      </c>
    </row>
    <row r="2421" ht="15.75" customHeight="1">
      <c r="A2421" s="128" t="str">
        <f>IFERROR(__xludf.DUMMYFUNCTION("""COMPUTED_VALUE"""),"0903 325 417")</f>
        <v>0903 325 417</v>
      </c>
      <c r="B2421" s="127" t="str">
        <f>IFERROR(__xludf.DUMMYFUNCTION("""COMPUTED_VALUE"""),"Hoàng Thị Thảo Miên")</f>
        <v>Hoàng Thị Thảo Miên</v>
      </c>
      <c r="C2421" s="127" t="str">
        <f>IFERROR(__xludf.DUMMYFUNCTION("""COMPUTED_VALUE"""),"3k32 huyền trân công chúa")</f>
        <v>3k32 huyền trân công chúa</v>
      </c>
      <c r="D2421" s="127" t="str">
        <f>IFERROR(__xludf.DUMMYFUNCTION("""COMPUTED_VALUE"""),"chó")</f>
        <v>chó</v>
      </c>
      <c r="E2421" s="119" t="str">
        <f>IFERROR(__xludf.DUMMYFUNCTION("""COMPUTED_VALUE"""),"kít")</f>
        <v>kít</v>
      </c>
    </row>
    <row r="2422" ht="15.75" customHeight="1">
      <c r="A2422" s="117" t="str">
        <f>IFERROR(__xludf.DUMMYFUNCTION("""COMPUTED_VALUE"""),"0915 920 949")</f>
        <v>0915 920 949</v>
      </c>
      <c r="B2422" s="118" t="str">
        <f>IFERROR(__xludf.DUMMYFUNCTION("""COMPUTED_VALUE"""),"Ngọc Trâm")</f>
        <v>Ngọc Trâm</v>
      </c>
      <c r="C2422" s="118" t="str">
        <f>IFERROR(__xludf.DUMMYFUNCTION("""COMPUTED_VALUE"""),"19/25 Mai Khắc Đôn")</f>
        <v>19/25 Mai Khắc Đôn</v>
      </c>
      <c r="D2422" s="118" t="str">
        <f>IFERROR(__xludf.DUMMYFUNCTION("""COMPUTED_VALUE"""),"mèo")</f>
        <v>mèo</v>
      </c>
      <c r="E2422" s="119" t="str">
        <f>IFERROR(__xludf.DUMMYFUNCTION("""COMPUTED_VALUE"""),"Vịt")</f>
        <v>Vịt</v>
      </c>
    </row>
    <row r="2423" ht="15.75" customHeight="1">
      <c r="A2423" s="117" t="str">
        <f>IFERROR(__xludf.DUMMYFUNCTION("""COMPUTED_VALUE"""),"0898 165 029")</f>
        <v>0898 165 029</v>
      </c>
      <c r="B2423" s="118" t="str">
        <f>IFERROR(__xludf.DUMMYFUNCTION("""COMPUTED_VALUE"""),"Lê Uyên Thi")</f>
        <v>Lê Uyên Thi</v>
      </c>
      <c r="C2423" s="118" t="str">
        <f>IFERROR(__xludf.DUMMYFUNCTION("""COMPUTED_VALUE"""),"48/33 Nguyễn Hoàng")</f>
        <v>48/33 Nguyễn Hoàng</v>
      </c>
      <c r="D2423" s="118" t="str">
        <f>IFERROR(__xludf.DUMMYFUNCTION("""COMPUTED_VALUE"""),"chó")</f>
        <v>chó</v>
      </c>
      <c r="E2423" s="118"/>
    </row>
    <row r="2424" ht="15.75" customHeight="1">
      <c r="A2424" s="117" t="str">
        <f>IFERROR(__xludf.DUMMYFUNCTION("""COMPUTED_VALUE"""),"0796 545 128")</f>
        <v>0796 545 128</v>
      </c>
      <c r="B2424" s="118" t="str">
        <f>IFERROR(__xludf.DUMMYFUNCTION("""COMPUTED_VALUE"""),"Anh Lợi")</f>
        <v>Anh Lợi</v>
      </c>
      <c r="C2424" s="118" t="str">
        <f>IFERROR(__xludf.DUMMYFUNCTION("""COMPUTED_VALUE"""),"150 Nguyễn Hữu Dật")</f>
        <v>150 Nguyễn Hữu Dật</v>
      </c>
      <c r="D2424" s="118" t="str">
        <f>IFERROR(__xludf.DUMMYFUNCTION("""COMPUTED_VALUE"""),"chó")</f>
        <v>chó</v>
      </c>
      <c r="E2424" s="118"/>
    </row>
    <row r="2425" ht="15.75" customHeight="1">
      <c r="A2425" s="128" t="str">
        <f>IFERROR(__xludf.DUMMYFUNCTION("""COMPUTED_VALUE"""),"0336 658 621")</f>
        <v>0336 658 621</v>
      </c>
      <c r="B2425" s="127" t="str">
        <f>IFERROR(__xludf.DUMMYFUNCTION("""COMPUTED_VALUE"""),"Chị Nga")</f>
        <v>Chị Nga</v>
      </c>
      <c r="C2425" s="127" t="str">
        <f>IFERROR(__xludf.DUMMYFUNCTION("""COMPUTED_VALUE"""),"142 Văn Thánh")</f>
        <v>142 Văn Thánh</v>
      </c>
      <c r="D2425" s="127" t="str">
        <f>IFERROR(__xludf.DUMMYFUNCTION("""COMPUTED_VALUE"""),"chó")</f>
        <v>chó</v>
      </c>
      <c r="E2425" s="127" t="str">
        <f>IFERROR(__xludf.DUMMYFUNCTION("""COMPUTED_VALUE"""),"Si")</f>
        <v>Si</v>
      </c>
    </row>
    <row r="2426" ht="15.75" customHeight="1">
      <c r="A2426" s="128" t="str">
        <f>IFERROR(__xludf.DUMMYFUNCTION("""COMPUTED_VALUE"""),"0935 261 372")</f>
        <v>0935 261 372</v>
      </c>
      <c r="B2426" s="127" t="str">
        <f>IFERROR(__xludf.DUMMYFUNCTION("""COMPUTED_VALUE"""),"Chị Sang")</f>
        <v>Chị Sang</v>
      </c>
      <c r="C2426" s="127" t="str">
        <f>IFERROR(__xludf.DUMMYFUNCTION("""COMPUTED_VALUE"""),"50 Vạn Xuân")</f>
        <v>50 Vạn Xuân</v>
      </c>
      <c r="D2426" s="127" t="str">
        <f>IFERROR(__xludf.DUMMYFUNCTION("""COMPUTED_VALUE"""),"mèo")</f>
        <v>mèo</v>
      </c>
      <c r="E2426" s="127" t="str">
        <f>IFERROR(__xludf.DUMMYFUNCTION("""COMPUTED_VALUE"""),"Gô")</f>
        <v>Gô</v>
      </c>
    </row>
    <row r="2427" ht="15.75" customHeight="1">
      <c r="A2427" s="128" t="str">
        <f>IFERROR(__xludf.DUMMYFUNCTION("""COMPUTED_VALUE"""),"0777 505 687")</f>
        <v>0777 505 687</v>
      </c>
      <c r="B2427" s="127" t="str">
        <f>IFERROR(__xludf.DUMMYFUNCTION("""COMPUTED_VALUE"""),"ANh Hải")</f>
        <v>ANh Hải</v>
      </c>
      <c r="C2427" s="127" t="str">
        <f>IFERROR(__xludf.DUMMYFUNCTION("""COMPUTED_VALUE"""),"240/22 Lý Nam Đế")</f>
        <v>240/22 Lý Nam Đế</v>
      </c>
      <c r="D2427" s="127" t="str">
        <f>IFERROR(__xludf.DUMMYFUNCTION("""COMPUTED_VALUE"""),"chó")</f>
        <v>chó</v>
      </c>
      <c r="E2427" s="127" t="str">
        <f>IFERROR(__xludf.DUMMYFUNCTION("""COMPUTED_VALUE"""),"Kuma")</f>
        <v>Kuma</v>
      </c>
    </row>
    <row r="2428" ht="15.75" customHeight="1">
      <c r="A2428" s="117" t="str">
        <f>IFERROR(__xludf.DUMMYFUNCTION("""COMPUTED_VALUE"""),"0762 624 662")</f>
        <v>0762 624 662</v>
      </c>
      <c r="B2428" s="118" t="str">
        <f>IFERROR(__xludf.DUMMYFUNCTION("""COMPUTED_VALUE"""),"Chị Nhi")</f>
        <v>Chị Nhi</v>
      </c>
      <c r="C2428" s="118" t="str">
        <f>IFERROR(__xludf.DUMMYFUNCTION("""COMPUTED_VALUE"""),"2/2/23 Nhật Lệ")</f>
        <v>2/2/23 Nhật Lệ</v>
      </c>
      <c r="D2428" s="118" t="str">
        <f>IFERROR(__xludf.DUMMYFUNCTION("""COMPUTED_VALUE"""),"chó")</f>
        <v>chó</v>
      </c>
      <c r="E2428" s="149" t="str">
        <f>IFERROR(__xludf.DUMMYFUNCTION("""COMPUTED_VALUE"""),"Bin")</f>
        <v>Bin</v>
      </c>
    </row>
    <row r="2429" ht="15.75" customHeight="1">
      <c r="A2429" s="128" t="str">
        <f>IFERROR(__xludf.DUMMYFUNCTION("""COMPUTED_VALUE"""),"0888 777 443")</f>
        <v>0888 777 443</v>
      </c>
      <c r="B2429" s="127" t="str">
        <f>IFERROR(__xludf.DUMMYFUNCTION("""COMPUTED_VALUE"""),"Anh Khanh")</f>
        <v>Anh Khanh</v>
      </c>
      <c r="C2429" s="127" t="str">
        <f>IFERROR(__xludf.DUMMYFUNCTION("""COMPUTED_VALUE"""),"124 Nguyễn Phúc Nguyên")</f>
        <v>124 Nguyễn Phúc Nguyên</v>
      </c>
      <c r="D2429" s="127" t="str">
        <f>IFERROR(__xludf.DUMMYFUNCTION("""COMPUTED_VALUE"""),"chó")</f>
        <v>chó</v>
      </c>
      <c r="E2429" s="127" t="str">
        <f>IFERROR(__xludf.DUMMYFUNCTION("""COMPUTED_VALUE"""),"Mơ")</f>
        <v>Mơ</v>
      </c>
    </row>
    <row r="2430" ht="15.75" customHeight="1">
      <c r="A2430" s="117" t="str">
        <f>IFERROR(__xludf.DUMMYFUNCTION("""COMPUTED_VALUE"""),"0935 473 150")</f>
        <v>0935 473 150</v>
      </c>
      <c r="B2430" s="118" t="str">
        <f>IFERROR(__xludf.DUMMYFUNCTION("""COMPUTED_VALUE"""),"ANh Thiên")</f>
        <v>ANh Thiên</v>
      </c>
      <c r="C2430" s="118" t="str">
        <f>IFERROR(__xludf.DUMMYFUNCTION("""COMPUTED_VALUE"""),"13/57 Nguyễn Hoàng")</f>
        <v>13/57 Nguyễn Hoàng</v>
      </c>
      <c r="D2430" s="118" t="str">
        <f>IFERROR(__xludf.DUMMYFUNCTION("""COMPUTED_VALUE"""),"chó")</f>
        <v>chó</v>
      </c>
      <c r="E2430" s="118" t="str">
        <f>IFERROR(__xludf.DUMMYFUNCTION("""COMPUTED_VALUE"""),"Ky")</f>
        <v>Ky</v>
      </c>
    </row>
    <row r="2431" ht="15.75" customHeight="1">
      <c r="A2431" s="117" t="str">
        <f>IFERROR(__xludf.DUMMYFUNCTION("""COMPUTED_VALUE"""),"0789 948 216")</f>
        <v>0789 948 216</v>
      </c>
      <c r="B2431" s="118" t="str">
        <f>IFERROR(__xludf.DUMMYFUNCTION("""COMPUTED_VALUE"""),"Bảo Long")</f>
        <v>Bảo Long</v>
      </c>
      <c r="C2431" s="118" t="str">
        <f>IFERROR(__xludf.DUMMYFUNCTION("""COMPUTED_VALUE"""),"35 Yết Kiêu")</f>
        <v>35 Yết Kiêu</v>
      </c>
      <c r="D2431" s="118" t="str">
        <f>IFERROR(__xludf.DUMMYFUNCTION("""COMPUTED_VALUE"""),"chó")</f>
        <v>chó</v>
      </c>
      <c r="E2431" s="118" t="str">
        <f>IFERROR(__xludf.DUMMYFUNCTION("""COMPUTED_VALUE"""),"Lu")</f>
        <v>Lu</v>
      </c>
    </row>
    <row r="2432" ht="15.75" customHeight="1">
      <c r="A2432" s="128" t="str">
        <f>IFERROR(__xludf.DUMMYFUNCTION("""COMPUTED_VALUE"""),"0856 026 284")</f>
        <v>0856 026 284</v>
      </c>
      <c r="B2432" s="127" t="str">
        <f>IFERROR(__xludf.DUMMYFUNCTION("""COMPUTED_VALUE"""),"Anh Bin")</f>
        <v>Anh Bin</v>
      </c>
      <c r="C2432" s="127" t="str">
        <f>IFERROR(__xludf.DUMMYFUNCTION("""COMPUTED_VALUE"""),"Phong Điền")</f>
        <v>Phong Điền</v>
      </c>
      <c r="D2432" s="127" t="str">
        <f>IFERROR(__xludf.DUMMYFUNCTION("""COMPUTED_VALUE"""),"chó")</f>
        <v>chó</v>
      </c>
      <c r="E2432" s="127" t="str">
        <f>IFERROR(__xludf.DUMMYFUNCTION("""COMPUTED_VALUE"""),"Bờm")</f>
        <v>Bờm</v>
      </c>
    </row>
    <row r="2433" ht="15.75" customHeight="1">
      <c r="A2433" s="128" t="str">
        <f>IFERROR(__xludf.DUMMYFUNCTION("""COMPUTED_VALUE"""),"0777 533 043")</f>
        <v>0777 533 043</v>
      </c>
      <c r="B2433" s="127" t="str">
        <f>IFERROR(__xludf.DUMMYFUNCTION("""COMPUTED_VALUE"""),"Bảo Phước")</f>
        <v>Bảo Phước</v>
      </c>
      <c r="C2433" s="127" t="str">
        <f>IFERROR(__xludf.DUMMYFUNCTION("""COMPUTED_VALUE"""),"9/180 Lý Nam Đế")</f>
        <v>9/180 Lý Nam Đế</v>
      </c>
      <c r="D2433" s="127" t="str">
        <f>IFERROR(__xludf.DUMMYFUNCTION("""COMPUTED_VALUE"""),"mèo")</f>
        <v>mèo</v>
      </c>
      <c r="E2433" s="127" t="str">
        <f>IFERROR(__xludf.DUMMYFUNCTION("""COMPUTED_VALUE"""),"Mướp")</f>
        <v>Mướp</v>
      </c>
    </row>
    <row r="2434" ht="15.75" customHeight="1">
      <c r="A2434" s="117" t="str">
        <f>IFERROR(__xludf.DUMMYFUNCTION("""COMPUTED_VALUE"""),"0363 340 233")</f>
        <v>0363 340 233</v>
      </c>
      <c r="B2434" s="118" t="str">
        <f>IFERROR(__xludf.DUMMYFUNCTION("""COMPUTED_VALUE"""),"Chị Thảo")</f>
        <v>Chị Thảo</v>
      </c>
      <c r="C2434" s="118" t="str">
        <f>IFERROR(__xludf.DUMMYFUNCTION("""COMPUTED_VALUE"""),"7/194 Phan Bội Châu")</f>
        <v>7/194 Phan Bội Châu</v>
      </c>
      <c r="D2434" s="118" t="str">
        <f>IFERROR(__xludf.DUMMYFUNCTION("""COMPUTED_VALUE"""),"chó")</f>
        <v>chó</v>
      </c>
      <c r="E2434" s="119" t="str">
        <f>IFERROR(__xludf.DUMMYFUNCTION("""COMPUTED_VALUE"""),"Gấu")</f>
        <v>Gấu</v>
      </c>
    </row>
    <row r="2435" ht="15.75" customHeight="1">
      <c r="A2435" s="128" t="str">
        <f>IFERROR(__xludf.DUMMYFUNCTION("""COMPUTED_VALUE"""),"0934 903 313")</f>
        <v>0934 903 313</v>
      </c>
      <c r="B2435" s="127" t="str">
        <f>IFERROR(__xludf.DUMMYFUNCTION("""COMPUTED_VALUE"""),"Hồ Nhật Bình")</f>
        <v>Hồ Nhật Bình</v>
      </c>
      <c r="C2435" s="127" t="str">
        <f>IFERROR(__xludf.DUMMYFUNCTION("""COMPUTED_VALUE"""),"26/57 Nguyễn Hoàng")</f>
        <v>26/57 Nguyễn Hoàng</v>
      </c>
      <c r="D2435" s="127" t="str">
        <f>IFERROR(__xludf.DUMMYFUNCTION("""COMPUTED_VALUE"""),"Chó")</f>
        <v>Chó</v>
      </c>
      <c r="E2435" s="127" t="str">
        <f>IFERROR(__xludf.DUMMYFUNCTION("""COMPUTED_VALUE"""),"3 con")</f>
        <v>3 con</v>
      </c>
    </row>
    <row r="2436" ht="15.75" customHeight="1">
      <c r="A2436" s="128" t="str">
        <f>IFERROR(__xludf.DUMMYFUNCTION("""COMPUTED_VALUE"""),"0928 025 045")</f>
        <v>0928 025 045</v>
      </c>
      <c r="B2436" s="127" t="str">
        <f>IFERROR(__xludf.DUMMYFUNCTION("""COMPUTED_VALUE"""),"Chú Thuận")</f>
        <v>Chú Thuận</v>
      </c>
      <c r="C2436" s="127" t="str">
        <f>IFERROR(__xludf.DUMMYFUNCTION("""COMPUTED_VALUE"""),"34 Lý Nam Đế")</f>
        <v>34 Lý Nam Đế</v>
      </c>
      <c r="D2436" s="127" t="str">
        <f>IFERROR(__xludf.DUMMYFUNCTION("""COMPUTED_VALUE"""),"chó")</f>
        <v>chó</v>
      </c>
      <c r="E2436" s="127" t="str">
        <f>IFERROR(__xludf.DUMMYFUNCTION("""COMPUTED_VALUE"""),"To To")</f>
        <v>To To</v>
      </c>
    </row>
    <row r="2437" ht="15.75" customHeight="1">
      <c r="A2437" s="128" t="str">
        <f>IFERROR(__xludf.DUMMYFUNCTION("""COMPUTED_VALUE"""),"0982 912 885")</f>
        <v>0982 912 885</v>
      </c>
      <c r="B2437" s="127" t="str">
        <f>IFERROR(__xludf.DUMMYFUNCTION("""COMPUTED_VALUE"""),"ANh Quốc")</f>
        <v>ANh Quốc</v>
      </c>
      <c r="C2437" s="127" t="str">
        <f>IFERROR(__xludf.DUMMYFUNCTION("""COMPUTED_VALUE"""),"Phú Lộc")</f>
        <v>Phú Lộc</v>
      </c>
      <c r="D2437" s="127" t="str">
        <f>IFERROR(__xludf.DUMMYFUNCTION("""COMPUTED_VALUE"""),"chó")</f>
        <v>chó</v>
      </c>
      <c r="E2437" s="127" t="str">
        <f>IFERROR(__xludf.DUMMYFUNCTION("""COMPUTED_VALUE"""),"Ky")</f>
        <v>Ky</v>
      </c>
    </row>
    <row r="2438" ht="15.75" customHeight="1">
      <c r="A2438" s="117" t="str">
        <f>IFERROR(__xludf.DUMMYFUNCTION("""COMPUTED_VALUE"""),"0932 492 303")</f>
        <v>0932 492 303</v>
      </c>
      <c r="B2438" s="118" t="str">
        <f>IFERROR(__xludf.DUMMYFUNCTION("""COMPUTED_VALUE"""),"Chú Đào Hữu Bình")</f>
        <v>Chú Đào Hữu Bình</v>
      </c>
      <c r="C2438" s="118" t="str">
        <f>IFERROR(__xludf.DUMMYFUNCTION("""COMPUTED_VALUE"""),"Đặng Văn ngữ")</f>
        <v>Đặng Văn ngữ</v>
      </c>
      <c r="D2438" s="118" t="str">
        <f>IFERROR(__xludf.DUMMYFUNCTION("""COMPUTED_VALUE"""),"chó")</f>
        <v>chó</v>
      </c>
      <c r="E2438" s="119" t="str">
        <f>IFERROR(__xludf.DUMMYFUNCTION("""COMPUTED_VALUE"""),"Tô")</f>
        <v>Tô</v>
      </c>
    </row>
    <row r="2439" ht="15.75" customHeight="1">
      <c r="A2439" s="128" t="str">
        <f>IFERROR(__xludf.DUMMYFUNCTION("""COMPUTED_VALUE"""),"0327 889 363")</f>
        <v>0327 889 363</v>
      </c>
      <c r="B2439" s="127" t="str">
        <f>IFERROR(__xludf.DUMMYFUNCTION("""COMPUTED_VALUE"""),"Em Đan")</f>
        <v>Em Đan</v>
      </c>
      <c r="C2439" s="127" t="str">
        <f>IFERROR(__xludf.DUMMYFUNCTION("""COMPUTED_VALUE"""),"37 Lý Thường Kiệt")</f>
        <v>37 Lý Thường Kiệt</v>
      </c>
      <c r="D2439" s="127" t="str">
        <f>IFERROR(__xludf.DUMMYFUNCTION("""COMPUTED_VALUE"""),"mèo")</f>
        <v>mèo</v>
      </c>
      <c r="E2439" s="127" t="str">
        <f>IFERROR(__xludf.DUMMYFUNCTION("""COMPUTED_VALUE"""),"Sứa")</f>
        <v>Sứa</v>
      </c>
    </row>
    <row r="2440" ht="15.75" customHeight="1">
      <c r="A2440" s="128" t="str">
        <f>IFERROR(__xludf.DUMMYFUNCTION("""COMPUTED_VALUE"""),"0914 738 994")</f>
        <v>0914 738 994</v>
      </c>
      <c r="B2440" s="127" t="str">
        <f>IFERROR(__xludf.DUMMYFUNCTION("""COMPUTED_VALUE"""),"Hân")</f>
        <v>Hân</v>
      </c>
      <c r="C2440" s="127" t="str">
        <f>IFERROR(__xludf.DUMMYFUNCTION("""COMPUTED_VALUE"""),"50 Hải Triều")</f>
        <v>50 Hải Triều</v>
      </c>
      <c r="D2440" s="127" t="str">
        <f>IFERROR(__xludf.DUMMYFUNCTION("""COMPUTED_VALUE"""),"mèo")</f>
        <v>mèo</v>
      </c>
      <c r="E2440" s="127" t="str">
        <f>IFERROR(__xludf.DUMMYFUNCTION("""COMPUTED_VALUE"""),"Ruồi")</f>
        <v>Ruồi</v>
      </c>
    </row>
    <row r="2441" ht="15.75" customHeight="1">
      <c r="A2441" s="128" t="str">
        <f>IFERROR(__xludf.DUMMYFUNCTION("""COMPUTED_VALUE"""),"0814 755 861")</f>
        <v>0814 755 861</v>
      </c>
      <c r="B2441" s="127" t="str">
        <f>IFERROR(__xludf.DUMMYFUNCTION("""COMPUTED_VALUE"""),"Anh Hùng")</f>
        <v>Anh Hùng</v>
      </c>
      <c r="C2441" s="127" t="str">
        <f>IFERROR(__xludf.DUMMYFUNCTION("""COMPUTED_VALUE"""),"66 Tôn Thất Thiệp")</f>
        <v>66 Tôn Thất Thiệp</v>
      </c>
      <c r="D2441" s="127" t="str">
        <f>IFERROR(__xludf.DUMMYFUNCTION("""COMPUTED_VALUE"""),"mèo")</f>
        <v>mèo</v>
      </c>
      <c r="E2441" s="127"/>
    </row>
    <row r="2442" ht="15.75" customHeight="1">
      <c r="A2442" s="117" t="str">
        <f>IFERROR(__xludf.DUMMYFUNCTION("""COMPUTED_VALUE"""),"0914 114 215")</f>
        <v>0914 114 215</v>
      </c>
      <c r="B2442" s="118" t="str">
        <f>IFERROR(__xludf.DUMMYFUNCTION("""COMPUTED_VALUE"""),"Dì Hiền")</f>
        <v>Dì Hiền</v>
      </c>
      <c r="C2442" s="118" t="str">
        <f>IFERROR(__xludf.DUMMYFUNCTION("""COMPUTED_VALUE"""),"8/67 Nguyễn hoàng")</f>
        <v>8/67 Nguyễn hoàng</v>
      </c>
      <c r="D2442" s="118" t="str">
        <f>IFERROR(__xludf.DUMMYFUNCTION("""COMPUTED_VALUE"""),"chó")</f>
        <v>chó</v>
      </c>
      <c r="E2442" s="118" t="str">
        <f>IFERROR(__xludf.DUMMYFUNCTION("""COMPUTED_VALUE"""),"Red")</f>
        <v>Red</v>
      </c>
    </row>
    <row r="2443" ht="15.75" customHeight="1">
      <c r="A2443" s="117" t="str">
        <f>IFERROR(__xludf.DUMMYFUNCTION("""COMPUTED_VALUE"""),"0904 755 059")</f>
        <v>0904 755 059</v>
      </c>
      <c r="B2443" s="118" t="str">
        <f>IFERROR(__xludf.DUMMYFUNCTION("""COMPUTED_VALUE"""),"Hồ thị Tuyết Mai")</f>
        <v>Hồ thị Tuyết Mai</v>
      </c>
      <c r="C2443" s="118" t="str">
        <f>IFERROR(__xludf.DUMMYFUNCTION("""COMPUTED_VALUE"""),"16 An Ninh")</f>
        <v>16 An Ninh</v>
      </c>
      <c r="D2443" s="118" t="str">
        <f>IFERROR(__xludf.DUMMYFUNCTION("""COMPUTED_VALUE"""),"chó")</f>
        <v>chó</v>
      </c>
      <c r="E2443" s="118" t="str">
        <f>IFERROR(__xludf.DUMMYFUNCTION("""COMPUTED_VALUE"""),"Bo")</f>
        <v>Bo</v>
      </c>
    </row>
    <row r="2444" ht="15.75" customHeight="1">
      <c r="A2444" s="117" t="str">
        <f>IFERROR(__xludf.DUMMYFUNCTION("""COMPUTED_VALUE"""),"0935 772 795")</f>
        <v>0935 772 795</v>
      </c>
      <c r="B2444" s="118" t="str">
        <f>IFERROR(__xludf.DUMMYFUNCTION("""COMPUTED_VALUE"""),"Anh Bách")</f>
        <v>Anh Bách</v>
      </c>
      <c r="C2444" s="118" t="str">
        <f>IFERROR(__xludf.DUMMYFUNCTION("""COMPUTED_VALUE"""),"117 Lê Duẩn")</f>
        <v>117 Lê Duẩn</v>
      </c>
      <c r="D2444" s="118" t="str">
        <f>IFERROR(__xludf.DUMMYFUNCTION("""COMPUTED_VALUE"""),"chó")</f>
        <v>chó</v>
      </c>
      <c r="E2444" s="118" t="str">
        <f>IFERROR(__xludf.DUMMYFUNCTION("""COMPUTED_VALUE"""),"Ruby")</f>
        <v>Ruby</v>
      </c>
    </row>
    <row r="2445" ht="15.75" customHeight="1">
      <c r="A2445" s="117" t="str">
        <f>IFERROR(__xludf.DUMMYFUNCTION("""COMPUTED_VALUE"""),"0935 512 158")</f>
        <v>0935 512 158</v>
      </c>
      <c r="B2445" s="118" t="str">
        <f>IFERROR(__xludf.DUMMYFUNCTION("""COMPUTED_VALUE"""),"Em Nhã Linh")</f>
        <v>Em Nhã Linh</v>
      </c>
      <c r="C2445" s="118" t="str">
        <f>IFERROR(__xludf.DUMMYFUNCTION("""COMPUTED_VALUE"""),"k40 Lịch Đợi")</f>
        <v>k40 Lịch Đợi</v>
      </c>
      <c r="D2445" s="118" t="str">
        <f>IFERROR(__xludf.DUMMYFUNCTION("""COMPUTED_VALUE"""),"chó")</f>
        <v>chó</v>
      </c>
      <c r="E2445" s="118" t="str">
        <f>IFERROR(__xludf.DUMMYFUNCTION("""COMPUTED_VALUE"""),"Tủn")</f>
        <v>Tủn</v>
      </c>
    </row>
    <row r="2446" ht="15.75" customHeight="1">
      <c r="A2446" s="117" t="str">
        <f>IFERROR(__xludf.DUMMYFUNCTION("""COMPUTED_VALUE"""),"0865 329 619")</f>
        <v>0865 329 619</v>
      </c>
      <c r="B2446" s="118" t="str">
        <f>IFERROR(__xludf.DUMMYFUNCTION("""COMPUTED_VALUE"""),"Thầy Bảo")</f>
        <v>Thầy Bảo</v>
      </c>
      <c r="C2446" s="118" t="str">
        <f>IFERROR(__xludf.DUMMYFUNCTION("""COMPUTED_VALUE"""),"Chùa Phổ Tế")</f>
        <v>Chùa Phổ Tế</v>
      </c>
      <c r="D2446" s="118" t="str">
        <f>IFERROR(__xludf.DUMMYFUNCTION("""COMPUTED_VALUE"""),"chó")</f>
        <v>chó</v>
      </c>
      <c r="E2446" s="118" t="str">
        <f>IFERROR(__xludf.DUMMYFUNCTION("""COMPUTED_VALUE"""),"`bo")</f>
        <v>`bo</v>
      </c>
    </row>
    <row r="2447" ht="15.75" customHeight="1">
      <c r="A2447" s="128" t="str">
        <f>IFERROR(__xludf.DUMMYFUNCTION("""COMPUTED_VALUE"""),"0905 502 364")</f>
        <v>0905 502 364</v>
      </c>
      <c r="B2447" s="127" t="str">
        <f>IFERROR(__xludf.DUMMYFUNCTION("""COMPUTED_VALUE"""),"di ty")</f>
        <v>di ty</v>
      </c>
      <c r="C2447" s="127" t="str">
        <f>IFERROR(__xludf.DUMMYFUNCTION("""COMPUTED_VALUE"""),"2/4/190 trần phú")</f>
        <v>2/4/190 trần phú</v>
      </c>
      <c r="D2447" s="127" t="str">
        <f>IFERROR(__xludf.DUMMYFUNCTION("""COMPUTED_VALUE"""),"chó")</f>
        <v>chó</v>
      </c>
      <c r="E2447" s="127" t="str">
        <f>IFERROR(__xludf.DUMMYFUNCTION("""COMPUTED_VALUE"""),"rốt")</f>
        <v>rốt</v>
      </c>
    </row>
    <row r="2448" ht="15.75" customHeight="1">
      <c r="A2448" s="117" t="str">
        <f>IFERROR(__xludf.DUMMYFUNCTION("""COMPUTED_VALUE"""),"0966 846 906")</f>
        <v>0966 846 906</v>
      </c>
      <c r="B2448" s="118" t="str">
        <f>IFERROR(__xludf.DUMMYFUNCTION("""COMPUTED_VALUE"""),"Em Kim Nhung")</f>
        <v>Em Kim Nhung</v>
      </c>
      <c r="C2448" s="118" t="str">
        <f>IFERROR(__xludf.DUMMYFUNCTION("""COMPUTED_VALUE"""),"52 Phan Bội Châu")</f>
        <v>52 Phan Bội Châu</v>
      </c>
      <c r="D2448" s="118" t="str">
        <f>IFERROR(__xludf.DUMMYFUNCTION("""COMPUTED_VALUE"""),"mèo")</f>
        <v>mèo</v>
      </c>
      <c r="E2448" s="118" t="str">
        <f>IFERROR(__xludf.DUMMYFUNCTION("""COMPUTED_VALUE"""),"Éc")</f>
        <v>Éc</v>
      </c>
    </row>
    <row r="2449" ht="15.75" customHeight="1">
      <c r="A2449" s="128" t="str">
        <f>IFERROR(__xludf.DUMMYFUNCTION("""COMPUTED_VALUE"""),"0395 669 071")</f>
        <v>0395 669 071</v>
      </c>
      <c r="B2449" s="127" t="str">
        <f>IFERROR(__xludf.DUMMYFUNCTION("""COMPUTED_VALUE"""),"Chú Cường")</f>
        <v>Chú Cường</v>
      </c>
      <c r="C2449" s="127" t="str">
        <f>IFERROR(__xludf.DUMMYFUNCTION("""COMPUTED_VALUE"""),"42 Đào tấn")</f>
        <v>42 Đào tấn</v>
      </c>
      <c r="D2449" s="127" t="str">
        <f>IFERROR(__xludf.DUMMYFUNCTION("""COMPUTED_VALUE"""),"chó")</f>
        <v>chó</v>
      </c>
      <c r="E2449" s="127" t="str">
        <f>IFERROR(__xludf.DUMMYFUNCTION("""COMPUTED_VALUE""")," ")</f>
        <v> </v>
      </c>
    </row>
    <row r="2450" ht="15.75" customHeight="1">
      <c r="A2450" s="128" t="str">
        <f>IFERROR(__xludf.DUMMYFUNCTION("""COMPUTED_VALUE"""),"0971 365 852")</f>
        <v>0971 365 852</v>
      </c>
      <c r="B2450" s="127" t="str">
        <f>IFERROR(__xludf.DUMMYFUNCTION("""COMPUTED_VALUE"""),"Em Thi")</f>
        <v>Em Thi</v>
      </c>
      <c r="C2450" s="127" t="str">
        <f>IFERROR(__xludf.DUMMYFUNCTION("""COMPUTED_VALUE"""),"Chùa phật đứng")</f>
        <v>Chùa phật đứng</v>
      </c>
      <c r="D2450" s="127" t="str">
        <f>IFERROR(__xludf.DUMMYFUNCTION("""COMPUTED_VALUE"""),"mèo")</f>
        <v>mèo</v>
      </c>
      <c r="E2450" s="127" t="str">
        <f>IFERROR(__xludf.DUMMYFUNCTION("""COMPUTED_VALUE""")," Đen")</f>
        <v> Đen</v>
      </c>
    </row>
    <row r="2451" ht="15.75" customHeight="1">
      <c r="A2451" s="117" t="str">
        <f>IFERROR(__xludf.DUMMYFUNCTION("""COMPUTED_VALUE"""),"0933 653 510")</f>
        <v>0933 653 510</v>
      </c>
      <c r="B2451" s="118" t="str">
        <f>IFERROR(__xludf.DUMMYFUNCTION("""COMPUTED_VALUE"""),"về Nhà")</f>
        <v>về Nhà</v>
      </c>
      <c r="C2451" s="118" t="str">
        <f>IFERROR(__xludf.DUMMYFUNCTION("""COMPUTED_VALUE"""),"11/12 Đặng huy Trứ")</f>
        <v>11/12 Đặng huy Trứ</v>
      </c>
      <c r="D2451" s="118" t="str">
        <f>IFERROR(__xludf.DUMMYFUNCTION("""COMPUTED_VALUE"""),"chó")</f>
        <v>chó</v>
      </c>
      <c r="E2451" s="118" t="str">
        <f>IFERROR(__xludf.DUMMYFUNCTION("""COMPUTED_VALUE""")," ken")</f>
        <v> ken</v>
      </c>
    </row>
    <row r="2452" ht="15.75" customHeight="1">
      <c r="A2452" s="117" t="str">
        <f>IFERROR(__xludf.DUMMYFUNCTION("""COMPUTED_VALUE"""),"0762 647 039")</f>
        <v>0762 647 039</v>
      </c>
      <c r="B2452" s="118" t="str">
        <f>IFERROR(__xludf.DUMMYFUNCTION("""COMPUTED_VALUE"""),"Chị Thúy")</f>
        <v>Chị Thúy</v>
      </c>
      <c r="C2452" s="118" t="str">
        <f>IFERROR(__xludf.DUMMYFUNCTION("""COMPUTED_VALUE"""),"k131 TP")</f>
        <v>k131 TP</v>
      </c>
      <c r="D2452" s="118" t="str">
        <f>IFERROR(__xludf.DUMMYFUNCTION("""COMPUTED_VALUE"""),"chó")</f>
        <v>chó</v>
      </c>
      <c r="E2452" s="118" t="str">
        <f>IFERROR(__xludf.DUMMYFUNCTION("""COMPUTED_VALUE"""),"fox")</f>
        <v>fox</v>
      </c>
    </row>
    <row r="2453" ht="15.75" customHeight="1">
      <c r="A2453" s="128" t="str">
        <f>IFERROR(__xludf.DUMMYFUNCTION("""COMPUTED_VALUE"""),"0799 002 357")</f>
        <v>0799 002 357</v>
      </c>
      <c r="B2453" s="127" t="str">
        <f>IFERROR(__xludf.DUMMYFUNCTION("""COMPUTED_VALUE"""),"em ngọc")</f>
        <v>em ngọc</v>
      </c>
      <c r="C2453" s="127" t="str">
        <f>IFERROR(__xludf.DUMMYFUNCTION("""COMPUTED_VALUE"""),"Xuân Phú")</f>
        <v>Xuân Phú</v>
      </c>
      <c r="D2453" s="127" t="str">
        <f>IFERROR(__xludf.DUMMYFUNCTION("""COMPUTED_VALUE"""),"chó")</f>
        <v>chó</v>
      </c>
      <c r="E2453" s="127" t="str">
        <f>IFERROR(__xludf.DUMMYFUNCTION("""COMPUTED_VALUE"""),"bull")</f>
        <v>bull</v>
      </c>
    </row>
    <row r="2454" ht="15.75" customHeight="1">
      <c r="A2454" s="117" t="str">
        <f>IFERROR(__xludf.DUMMYFUNCTION("""COMPUTED_VALUE"""),"0935 066 633")</f>
        <v>0935 066 633</v>
      </c>
      <c r="B2454" s="127" t="str">
        <f>IFERROR(__xludf.DUMMYFUNCTION("""COMPUTED_VALUE"""),"Chú Thanh")</f>
        <v>Chú Thanh</v>
      </c>
      <c r="C2454" s="127" t="str">
        <f>IFERROR(__xludf.DUMMYFUNCTION("""COMPUTED_VALUE"""),"10/14 Đoàn Hữu Trưng")</f>
        <v>10/14 Đoàn Hữu Trưng</v>
      </c>
      <c r="D2454" s="127" t="str">
        <f>IFERROR(__xludf.DUMMYFUNCTION("""COMPUTED_VALUE"""),"Chó")</f>
        <v>Chó</v>
      </c>
      <c r="E2454" s="127" t="str">
        <f>IFERROR(__xludf.DUMMYFUNCTION("""COMPUTED_VALUE"""),"Lu")</f>
        <v>Lu</v>
      </c>
    </row>
    <row r="2455" ht="15.75" customHeight="1">
      <c r="A2455" s="128" t="str">
        <f>IFERROR(__xludf.DUMMYFUNCTION("""COMPUTED_VALUE"""),"0396 062 510")</f>
        <v>0396 062 510</v>
      </c>
      <c r="B2455" s="127" t="str">
        <f>IFERROR(__xludf.DUMMYFUNCTION("""COMPUTED_VALUE"""),"Thảo")</f>
        <v>Thảo</v>
      </c>
      <c r="C2455" s="127" t="str">
        <f>IFERROR(__xludf.DUMMYFUNCTION("""COMPUTED_VALUE"""),"9/2/6 Tam Thai")</f>
        <v>9/2/6 Tam Thai</v>
      </c>
      <c r="D2455" s="127" t="str">
        <f>IFERROR(__xludf.DUMMYFUNCTION("""COMPUTED_VALUE"""),"Mèo")</f>
        <v>Mèo</v>
      </c>
      <c r="E2455" s="127" t="str">
        <f>IFERROR(__xludf.DUMMYFUNCTION("""COMPUTED_VALUE"""),"Min")</f>
        <v>Min</v>
      </c>
    </row>
    <row r="2456" ht="15.75" customHeight="1">
      <c r="A2456" s="128" t="str">
        <f>IFERROR(__xludf.DUMMYFUNCTION("""COMPUTED_VALUE"""),"0394 296 937")</f>
        <v>0394 296 937</v>
      </c>
      <c r="B2456" s="127" t="str">
        <f>IFERROR(__xludf.DUMMYFUNCTION("""COMPUTED_VALUE"""),"Chị Hạnh")</f>
        <v>Chị Hạnh</v>
      </c>
      <c r="C2456" s="127" t="str">
        <f>IFERROR(__xludf.DUMMYFUNCTION("""COMPUTED_VALUE"""),"Hoàng Thị Loan")</f>
        <v>Hoàng Thị Loan</v>
      </c>
      <c r="D2456" s="127" t="str">
        <f>IFERROR(__xludf.DUMMYFUNCTION("""COMPUTED_VALUE"""),"Chó")</f>
        <v>Chó</v>
      </c>
      <c r="E2456" s="127" t="str">
        <f>IFERROR(__xludf.DUMMYFUNCTION("""COMPUTED_VALUE"""),"misa")</f>
        <v>misa</v>
      </c>
    </row>
    <row r="2457" ht="15.75" customHeight="1">
      <c r="A2457" s="128" t="str">
        <f>IFERROR(__xludf.DUMMYFUNCTION("""COMPUTED_VALUE"""),"0393 528 443")</f>
        <v>0393 528 443</v>
      </c>
      <c r="B2457" s="127" t="str">
        <f>IFERROR(__xludf.DUMMYFUNCTION("""COMPUTED_VALUE"""),"Trần Văn Hào")</f>
        <v>Trần Văn Hào</v>
      </c>
      <c r="C2457" s="127" t="str">
        <f>IFERROR(__xludf.DUMMYFUNCTION("""COMPUTED_VALUE"""),"P Thủy Phương")</f>
        <v>P Thủy Phương</v>
      </c>
      <c r="D2457" s="127" t="str">
        <f>IFERROR(__xludf.DUMMYFUNCTION("""COMPUTED_VALUE"""),"Chó")</f>
        <v>Chó</v>
      </c>
      <c r="E2457" s="119" t="str">
        <f>IFERROR(__xludf.DUMMYFUNCTION("""COMPUTED_VALUE"""),"Bun")</f>
        <v>Bun</v>
      </c>
    </row>
    <row r="2458" ht="15.75" customHeight="1">
      <c r="A2458" s="128" t="str">
        <f>IFERROR(__xludf.DUMMYFUNCTION("""COMPUTED_VALUE"""),"0935 608 830")</f>
        <v>0935 608 830</v>
      </c>
      <c r="B2458" s="127" t="str">
        <f>IFERROR(__xludf.DUMMYFUNCTION("""COMPUTED_VALUE"""),"Chị Ngân")</f>
        <v>Chị Ngân</v>
      </c>
      <c r="C2458" s="127" t="str">
        <f>IFERROR(__xludf.DUMMYFUNCTION("""COMPUTED_VALUE"""),"5 Lê Khắc Quyền")</f>
        <v>5 Lê Khắc Quyền</v>
      </c>
      <c r="D2458" s="127" t="str">
        <f>IFERROR(__xludf.DUMMYFUNCTION("""COMPUTED_VALUE"""),"Chó")</f>
        <v>Chó</v>
      </c>
      <c r="E2458" s="127" t="str">
        <f>IFERROR(__xludf.DUMMYFUNCTION("""COMPUTED_VALUE"""),"Gấu")</f>
        <v>Gấu</v>
      </c>
    </row>
    <row r="2459" ht="15.75" customHeight="1">
      <c r="A2459" s="117" t="str">
        <f>IFERROR(__xludf.DUMMYFUNCTION("""COMPUTED_VALUE"""),"0969 343 473")</f>
        <v>0969 343 473</v>
      </c>
      <c r="B2459" s="121" t="str">
        <f>IFERROR(__xludf.DUMMYFUNCTION("""COMPUTED_VALUE"""),"Mỹ Hảo")</f>
        <v>Mỹ Hảo</v>
      </c>
      <c r="C2459" s="118" t="str">
        <f>IFERROR(__xludf.DUMMYFUNCTION("""COMPUTED_VALUE"""),"109 Minh Mạng")</f>
        <v>109 Minh Mạng</v>
      </c>
      <c r="D2459" s="118" t="str">
        <f>IFERROR(__xludf.DUMMYFUNCTION("""COMPUTED_VALUE"""),"Chó")</f>
        <v>Chó</v>
      </c>
      <c r="E2459" s="118" t="str">
        <f>IFERROR(__xludf.DUMMYFUNCTION("""COMPUTED_VALUE"""),"Lu")</f>
        <v>Lu</v>
      </c>
    </row>
    <row r="2460" ht="15.75" customHeight="1">
      <c r="A2460" s="117" t="str">
        <f>IFERROR(__xludf.DUMMYFUNCTION("""COMPUTED_VALUE"""),"0775 641 223")</f>
        <v>0775 641 223</v>
      </c>
      <c r="B2460" s="118" t="str">
        <f>IFERROR(__xludf.DUMMYFUNCTION("""COMPUTED_VALUE"""),"Bảo")</f>
        <v>Bảo</v>
      </c>
      <c r="C2460" s="118" t="str">
        <f>IFERROR(__xludf.DUMMYFUNCTION("""COMPUTED_VALUE"""),"18/245 Phan bội Châu")</f>
        <v>18/245 Phan bội Châu</v>
      </c>
      <c r="D2460" s="118" t="str">
        <f>IFERROR(__xludf.DUMMYFUNCTION("""COMPUTED_VALUE"""),"Chó")</f>
        <v>Chó</v>
      </c>
      <c r="E2460" s="118"/>
    </row>
    <row r="2461" ht="15.75" customHeight="1">
      <c r="A2461" s="117" t="str">
        <f>IFERROR(__xludf.DUMMYFUNCTION("""COMPUTED_VALUE"""),"0935 840 610")</f>
        <v>0935 840 610</v>
      </c>
      <c r="B2461" s="118" t="str">
        <f>IFERROR(__xludf.DUMMYFUNCTION("""COMPUTED_VALUE"""),"Trí")</f>
        <v>Trí</v>
      </c>
      <c r="C2461" s="118" t="str">
        <f>IFERROR(__xludf.DUMMYFUNCTION("""COMPUTED_VALUE"""),"51/40 Nguyễn Sinh Cung")</f>
        <v>51/40 Nguyễn Sinh Cung</v>
      </c>
      <c r="D2461" s="118" t="str">
        <f>IFERROR(__xludf.DUMMYFUNCTION("""COMPUTED_VALUE"""),"Mèo")</f>
        <v>Mèo</v>
      </c>
      <c r="E2461" s="118" t="str">
        <f>IFERROR(__xludf.DUMMYFUNCTION("""COMPUTED_VALUE"""),"siba")</f>
        <v>siba</v>
      </c>
    </row>
    <row r="2462" ht="15.75" customHeight="1">
      <c r="A2462" s="128" t="str">
        <f>IFERROR(__xludf.DUMMYFUNCTION("""COMPUTED_VALUE"""),"0768 502 534")</f>
        <v>0768 502 534</v>
      </c>
      <c r="B2462" s="127" t="str">
        <f>IFERROR(__xludf.DUMMYFUNCTION("""COMPUTED_VALUE"""),"Nhi")</f>
        <v>Nhi</v>
      </c>
      <c r="C2462" s="127" t="str">
        <f>IFERROR(__xludf.DUMMYFUNCTION("""COMPUTED_VALUE"""),"thôn Tân An- Xã Phú thọ Huyện phú vang")</f>
        <v>thôn Tân An- Xã Phú thọ Huyện phú vang</v>
      </c>
      <c r="D2462" s="127" t="str">
        <f>IFERROR(__xludf.DUMMYFUNCTION("""COMPUTED_VALUE"""),"chó ")</f>
        <v>chó </v>
      </c>
      <c r="E2462" s="127" t="str">
        <f>IFERROR(__xludf.DUMMYFUNCTION("""COMPUTED_VALUE"""),"bun")</f>
        <v>bun</v>
      </c>
    </row>
    <row r="2463" ht="15.75" customHeight="1">
      <c r="A2463" s="117" t="str">
        <f>IFERROR(__xludf.DUMMYFUNCTION("""COMPUTED_VALUE"""),"0789 465 231")</f>
        <v>0789 465 231</v>
      </c>
      <c r="B2463" s="118" t="str">
        <f>IFERROR(__xludf.DUMMYFUNCTION("""COMPUTED_VALUE"""),"Phúc")</f>
        <v>Phúc</v>
      </c>
      <c r="C2463" s="118" t="str">
        <f>IFERROR(__xludf.DUMMYFUNCTION("""COMPUTED_VALUE"""),"11/5/19 Đặng Văn Ngữ")</f>
        <v>11/5/19 Đặng Văn Ngữ</v>
      </c>
      <c r="D2463" s="118" t="str">
        <f>IFERROR(__xludf.DUMMYFUNCTION("""COMPUTED_VALUE"""),"Mèo")</f>
        <v>Mèo</v>
      </c>
      <c r="E2463" s="119" t="str">
        <f>IFERROR(__xludf.DUMMYFUNCTION("""COMPUTED_VALUE"""),"Sâu")</f>
        <v>Sâu</v>
      </c>
    </row>
    <row r="2464" ht="15.75" customHeight="1">
      <c r="A2464" s="128" t="str">
        <f>IFERROR(__xludf.DUMMYFUNCTION("""COMPUTED_VALUE"""),"0911 161 112")</f>
        <v>0911 161 112</v>
      </c>
      <c r="B2464" s="127" t="str">
        <f>IFERROR(__xludf.DUMMYFUNCTION("""COMPUTED_VALUE"""),"Mai Phương")</f>
        <v>Mai Phương</v>
      </c>
      <c r="C2464" s="127" t="str">
        <f>IFERROR(__xludf.DUMMYFUNCTION("""COMPUTED_VALUE"""),"9c/299 Bùi Thị Xuân")</f>
        <v>9c/299 Bùi Thị Xuân</v>
      </c>
      <c r="D2464" s="127" t="str">
        <f>IFERROR(__xludf.DUMMYFUNCTION("""COMPUTED_VALUE"""),"Chó")</f>
        <v>Chó</v>
      </c>
      <c r="E2464" s="127" t="str">
        <f>IFERROR(__xludf.DUMMYFUNCTION("""COMPUTED_VALUE"""),"Kết")</f>
        <v>Kết</v>
      </c>
    </row>
    <row r="2465" ht="15.75" customHeight="1">
      <c r="A2465" s="128" t="str">
        <f>IFERROR(__xludf.DUMMYFUNCTION("""COMPUTED_VALUE"""),"0903 156 031")</f>
        <v>0903 156 031</v>
      </c>
      <c r="B2465" s="127" t="str">
        <f>IFERROR(__xludf.DUMMYFUNCTION("""COMPUTED_VALUE"""),"Bích Ngọc")</f>
        <v>Bích Ngọc</v>
      </c>
      <c r="C2465" s="127" t="str">
        <f>IFERROR(__xludf.DUMMYFUNCTION("""COMPUTED_VALUE"""),"37 Ấu Triệu")</f>
        <v>37 Ấu Triệu</v>
      </c>
      <c r="D2465" s="127" t="str">
        <f>IFERROR(__xludf.DUMMYFUNCTION("""COMPUTED_VALUE"""),"Chó")</f>
        <v>Chó</v>
      </c>
      <c r="E2465" s="119" t="str">
        <f>IFERROR(__xludf.DUMMYFUNCTION("""COMPUTED_VALUE"""),"Chien")</f>
        <v>Chien</v>
      </c>
    </row>
    <row r="2466" ht="15.75" customHeight="1">
      <c r="A2466" s="128" t="str">
        <f>IFERROR(__xludf.DUMMYFUNCTION("""COMPUTED_VALUE"""),"0347 487 006")</f>
        <v>0347 487 006</v>
      </c>
      <c r="B2466" s="127" t="str">
        <f>IFERROR(__xludf.DUMMYFUNCTION("""COMPUTED_VALUE"""),"Quỳnh")</f>
        <v>Quỳnh</v>
      </c>
      <c r="C2466" s="127" t="str">
        <f>IFERROR(__xludf.DUMMYFUNCTION("""COMPUTED_VALUE"""),"54 Nguyễn Khoa chiêm")</f>
        <v>54 Nguyễn Khoa chiêm</v>
      </c>
      <c r="D2466" s="127" t="str">
        <f>IFERROR(__xludf.DUMMYFUNCTION("""COMPUTED_VALUE"""),"Mèo")</f>
        <v>Mèo</v>
      </c>
      <c r="E2466" s="119" t="str">
        <f>IFERROR(__xludf.DUMMYFUNCTION("""COMPUTED_VALUE"""),"Bối")</f>
        <v>Bối</v>
      </c>
    </row>
    <row r="2467" ht="15.75" customHeight="1">
      <c r="A2467" s="117" t="str">
        <f>IFERROR(__xludf.DUMMYFUNCTION("""COMPUTED_VALUE"""),"0379 114 085")</f>
        <v>0379 114 085</v>
      </c>
      <c r="B2467" s="118" t="str">
        <f>IFERROR(__xludf.DUMMYFUNCTION("""COMPUTED_VALUE"""),"Lam")</f>
        <v>Lam</v>
      </c>
      <c r="C2467" s="118" t="str">
        <f>IFERROR(__xludf.DUMMYFUNCTION("""COMPUTED_VALUE"""),"6/35 Lê Hồng Phong")</f>
        <v>6/35 Lê Hồng Phong</v>
      </c>
      <c r="D2467" s="118" t="str">
        <f>IFERROR(__xludf.DUMMYFUNCTION("""COMPUTED_VALUE"""),"chó")</f>
        <v>chó</v>
      </c>
      <c r="E2467" s="118"/>
    </row>
    <row r="2468" ht="15.75" customHeight="1">
      <c r="A2468" s="128" t="str">
        <f>IFERROR(__xludf.DUMMYFUNCTION("""COMPUTED_VALUE"""),"0968 340 412")</f>
        <v>0968 340 412</v>
      </c>
      <c r="B2468" s="127" t="str">
        <f>IFERROR(__xludf.DUMMYFUNCTION("""COMPUTED_VALUE"""),"Chị Hà")</f>
        <v>Chị Hà</v>
      </c>
      <c r="C2468" s="127" t="str">
        <f>IFERROR(__xludf.DUMMYFUNCTION("""COMPUTED_VALUE"""),"Hải dương")</f>
        <v>Hải dương</v>
      </c>
      <c r="D2468" s="127" t="str">
        <f>IFERROR(__xludf.DUMMYFUNCTION("""COMPUTED_VALUE"""),"chó")</f>
        <v>chó</v>
      </c>
      <c r="E2468" s="127" t="str">
        <f>IFERROR(__xludf.DUMMYFUNCTION("""COMPUTED_VALUE"""),"Chít")</f>
        <v>Chít</v>
      </c>
    </row>
    <row r="2469" ht="15.75" customHeight="1">
      <c r="A2469" s="117" t="str">
        <f>IFERROR(__xludf.DUMMYFUNCTION("""COMPUTED_VALUE"""),"0905 591 808")</f>
        <v>0905 591 808</v>
      </c>
      <c r="B2469" s="118" t="str">
        <f>IFERROR(__xludf.DUMMYFUNCTION("""COMPUTED_VALUE"""),"Lê đinh Quang Thịnh")</f>
        <v>Lê đinh Quang Thịnh</v>
      </c>
      <c r="C2469" s="118" t="str">
        <f>IFERROR(__xludf.DUMMYFUNCTION("""COMPUTED_VALUE"""),"Hùng vương")</f>
        <v>Hùng vương</v>
      </c>
      <c r="D2469" s="118" t="str">
        <f>IFERROR(__xludf.DUMMYFUNCTION("""COMPUTED_VALUE"""),"mèo")</f>
        <v>mèo</v>
      </c>
      <c r="E2469" s="127" t="str">
        <f>IFERROR(__xludf.DUMMYFUNCTION("""COMPUTED_VALUE"""),"chinsu	")</f>
        <v>chinsu	</v>
      </c>
    </row>
    <row r="2470" ht="15.75" customHeight="1">
      <c r="A2470" s="128" t="str">
        <f>IFERROR(__xludf.DUMMYFUNCTION("""COMPUTED_VALUE"""),"0971 858 175")</f>
        <v>0971 858 175</v>
      </c>
      <c r="B2470" s="127" t="str">
        <f>IFERROR(__xludf.DUMMYFUNCTION("""COMPUTED_VALUE"""),"Em My")</f>
        <v>Em My</v>
      </c>
      <c r="C2470" s="127" t="str">
        <f>IFERROR(__xludf.DUMMYFUNCTION("""COMPUTED_VALUE"""),"187 Hùng Vương")</f>
        <v>187 Hùng Vương</v>
      </c>
      <c r="D2470" s="127" t="str">
        <f>IFERROR(__xludf.DUMMYFUNCTION("""COMPUTED_VALUE"""),"chó")</f>
        <v>chó</v>
      </c>
      <c r="E2470" s="127" t="str">
        <f>IFERROR(__xludf.DUMMYFUNCTION("""COMPUTED_VALUE"""),"lu")</f>
        <v>lu</v>
      </c>
    </row>
    <row r="2471" ht="15.75" customHeight="1">
      <c r="A2471" s="117" t="str">
        <f>IFERROR(__xludf.DUMMYFUNCTION("""COMPUTED_VALUE"""),"0916 481 551")</f>
        <v>0916 481 551</v>
      </c>
      <c r="B2471" s="118" t="str">
        <f>IFERROR(__xludf.DUMMYFUNCTION("""COMPUTED_VALUE"""),"Tô Uyên")</f>
        <v>Tô Uyên</v>
      </c>
      <c r="C2471" s="118" t="str">
        <f>IFERROR(__xludf.DUMMYFUNCTION("""COMPUTED_VALUE"""),"31 Lương Nhữ Hộc")</f>
        <v>31 Lương Nhữ Hộc</v>
      </c>
      <c r="D2471" s="118" t="str">
        <f>IFERROR(__xludf.DUMMYFUNCTION("""COMPUTED_VALUE"""),"chó")</f>
        <v>chó</v>
      </c>
      <c r="E2471" s="118" t="str">
        <f>IFERROR(__xludf.DUMMYFUNCTION("""COMPUTED_VALUE"""),"Nâu")</f>
        <v>Nâu</v>
      </c>
    </row>
    <row r="2472" ht="15.75" customHeight="1">
      <c r="A2472" s="117" t="str">
        <f>IFERROR(__xludf.DUMMYFUNCTION("""COMPUTED_VALUE"""),"0708 114 524")</f>
        <v>0708 114 524</v>
      </c>
      <c r="B2472" s="118" t="str">
        <f>IFERROR(__xludf.DUMMYFUNCTION("""COMPUTED_VALUE"""),"ông Chí")</f>
        <v>ông Chí</v>
      </c>
      <c r="C2472" s="118" t="str">
        <f>IFERROR(__xludf.DUMMYFUNCTION("""COMPUTED_VALUE"""),"7/15 ngõ 69 k131 Trần Phú")</f>
        <v>7/15 ngõ 69 k131 Trần Phú</v>
      </c>
      <c r="D2472" s="118" t="str">
        <f>IFERROR(__xludf.DUMMYFUNCTION("""COMPUTED_VALUE"""),"chó")</f>
        <v>chó</v>
      </c>
      <c r="E2472" s="118" t="str">
        <f>IFERROR(__xludf.DUMMYFUNCTION("""COMPUTED_VALUE"""),"mino")</f>
        <v>mino</v>
      </c>
    </row>
    <row r="2473" ht="15.75" customHeight="1">
      <c r="A2473" s="117" t="str">
        <f>IFERROR(__xludf.DUMMYFUNCTION("""COMPUTED_VALUE"""),"0905 183 621")</f>
        <v>0905 183 621</v>
      </c>
      <c r="B2473" s="118" t="str">
        <f>IFERROR(__xludf.DUMMYFUNCTION("""COMPUTED_VALUE"""),"Anh Đáng")</f>
        <v>Anh Đáng</v>
      </c>
      <c r="C2473" s="118" t="str">
        <f>IFERROR(__xludf.DUMMYFUNCTION("""COMPUTED_VALUE"""),"K138 Phạm Thị Liên")</f>
        <v>K138 Phạm Thị Liên</v>
      </c>
      <c r="D2473" s="118" t="str">
        <f>IFERROR(__xludf.DUMMYFUNCTION("""COMPUTED_VALUE"""),"Chó")</f>
        <v>Chó</v>
      </c>
      <c r="E2473" s="118" t="str">
        <f>IFERROR(__xludf.DUMMYFUNCTION("""COMPUTED_VALUE"""),"Lucky")</f>
        <v>Lucky</v>
      </c>
    </row>
    <row r="2474" ht="15.75" customHeight="1">
      <c r="A2474" s="117" t="str">
        <f>IFERROR(__xludf.DUMMYFUNCTION("""COMPUTED_VALUE"""),"0886 624 436")</f>
        <v>0886 624 436</v>
      </c>
      <c r="B2474" s="118" t="str">
        <f>IFERROR(__xludf.DUMMYFUNCTION("""COMPUTED_VALUE"""),"Anh Phúc")</f>
        <v>Anh Phúc</v>
      </c>
      <c r="C2474" s="118" t="str">
        <f>IFERROR(__xludf.DUMMYFUNCTION("""COMPUTED_VALUE"""),"202 Phạm Văn Đồng")</f>
        <v>202 Phạm Văn Đồng</v>
      </c>
      <c r="D2474" s="118" t="str">
        <f>IFERROR(__xludf.DUMMYFUNCTION("""COMPUTED_VALUE"""),"chó")</f>
        <v>chó</v>
      </c>
      <c r="E2474" s="118" t="str">
        <f>IFERROR(__xludf.DUMMYFUNCTION("""COMPUTED_VALUE""")," Dơ")</f>
        <v> Dơ</v>
      </c>
    </row>
    <row r="2475" ht="15.75" customHeight="1">
      <c r="A2475" s="128" t="str">
        <f>IFERROR(__xludf.DUMMYFUNCTION("""COMPUTED_VALUE"""),"0348 312 229")</f>
        <v>0348 312 229</v>
      </c>
      <c r="B2475" s="127" t="str">
        <f>IFERROR(__xludf.DUMMYFUNCTION("""COMPUTED_VALUE"""),"Chú Huỳnh Viết hồng")</f>
        <v>Chú Huỳnh Viết hồng</v>
      </c>
      <c r="C2475" s="127" t="str">
        <f>IFERROR(__xludf.DUMMYFUNCTION("""COMPUTED_VALUE"""),"Phú lộc")</f>
        <v>Phú lộc</v>
      </c>
      <c r="D2475" s="127" t="str">
        <f>IFERROR(__xludf.DUMMYFUNCTION("""COMPUTED_VALUE"""),"chó")</f>
        <v>chó</v>
      </c>
      <c r="E2475" s="119" t="str">
        <f>IFERROR(__xludf.DUMMYFUNCTION("""COMPUTED_VALUE""")," Luka")</f>
        <v> Luka</v>
      </c>
    </row>
    <row r="2476" ht="15.75" customHeight="1">
      <c r="A2476" s="117" t="str">
        <f>IFERROR(__xludf.DUMMYFUNCTION("""COMPUTED_VALUE"""),"0852 307 270")</f>
        <v>0852 307 270</v>
      </c>
      <c r="B2476" s="118" t="str">
        <f>IFERROR(__xludf.DUMMYFUNCTION("""COMPUTED_VALUE"""),"Trường An")</f>
        <v>Trường An</v>
      </c>
      <c r="C2476" s="118" t="str">
        <f>IFERROR(__xludf.DUMMYFUNCTION("""COMPUTED_VALUE"""),"51 Nguyễn Sinh Cung")</f>
        <v>51 Nguyễn Sinh Cung</v>
      </c>
      <c r="D2476" s="118" t="str">
        <f>IFERROR(__xludf.DUMMYFUNCTION("""COMPUTED_VALUE"""),"mèo")</f>
        <v>mèo</v>
      </c>
      <c r="E2476" s="118" t="str">
        <f>IFERROR(__xludf.DUMMYFUNCTION("""COMPUTED_VALUE"""),"Tam Thể- Đen")</f>
        <v>Tam Thể- Đen</v>
      </c>
    </row>
    <row r="2477" ht="15.75" customHeight="1">
      <c r="A2477" s="117" t="str">
        <f>IFERROR(__xludf.DUMMYFUNCTION("""COMPUTED_VALUE"""),"0376 469 241")</f>
        <v>0376 469 241</v>
      </c>
      <c r="B2477" s="118" t="str">
        <f>IFERROR(__xludf.DUMMYFUNCTION("""COMPUTED_VALUE"""),"Em Hồng")</f>
        <v>Em Hồng</v>
      </c>
      <c r="C2477" s="118" t="str">
        <f>IFERROR(__xludf.DUMMYFUNCTION("""COMPUTED_VALUE"""),"Nam Thượng- Phú Thượng")</f>
        <v>Nam Thượng- Phú Thượng</v>
      </c>
      <c r="D2477" s="118" t="str">
        <f>IFERROR(__xludf.DUMMYFUNCTION("""COMPUTED_VALUE"""),"chó")</f>
        <v>chó</v>
      </c>
      <c r="E2477" s="119" t="str">
        <f>IFERROR(__xludf.DUMMYFUNCTION("""COMPUTED_VALUE""")," Đốm")</f>
        <v> Đốm</v>
      </c>
    </row>
    <row r="2478" ht="15.75" customHeight="1">
      <c r="A2478" s="117" t="str">
        <f>IFERROR(__xludf.DUMMYFUNCTION("""COMPUTED_VALUE"""),"0398 591 347")</f>
        <v>0398 591 347</v>
      </c>
      <c r="B2478" s="118" t="str">
        <f>IFERROR(__xludf.DUMMYFUNCTION("""COMPUTED_VALUE"""),"Em Nguyễn Trung Quang")</f>
        <v>Em Nguyễn Trung Quang</v>
      </c>
      <c r="C2478" s="118" t="str">
        <f>IFERROR(__xludf.DUMMYFUNCTION("""COMPUTED_VALUE"""),"Thôn định Cư - phú an")</f>
        <v>Thôn định Cư - phú an</v>
      </c>
      <c r="D2478" s="118" t="str">
        <f>IFERROR(__xludf.DUMMYFUNCTION("""COMPUTED_VALUE"""),"mèo")</f>
        <v>mèo</v>
      </c>
      <c r="E2478" s="118" t="str">
        <f>IFERROR(__xludf.DUMMYFUNCTION("""COMPUTED_VALUE""")," Min")</f>
        <v> Min</v>
      </c>
    </row>
    <row r="2479" ht="15.75" customHeight="1">
      <c r="A2479" s="117" t="str">
        <f>IFERROR(__xludf.DUMMYFUNCTION("""COMPUTED_VALUE"""),"0901 994 280")</f>
        <v>0901 994 280</v>
      </c>
      <c r="B2479" s="118" t="str">
        <f>IFERROR(__xludf.DUMMYFUNCTION("""COMPUTED_VALUE"""),"Dì Thiện")</f>
        <v>Dì Thiện</v>
      </c>
      <c r="C2479" s="118" t="str">
        <f>IFERROR(__xludf.DUMMYFUNCTION("""COMPUTED_VALUE"""),"Phú thượng")</f>
        <v>Phú thượng</v>
      </c>
      <c r="D2479" s="118" t="str">
        <f>IFERROR(__xludf.DUMMYFUNCTION("""COMPUTED_VALUE"""),"chó")</f>
        <v>chó</v>
      </c>
      <c r="E2479" s="118" t="str">
        <f>IFERROR(__xludf.DUMMYFUNCTION("""COMPUTED_VALUE""")," Gấu")</f>
        <v> Gấu</v>
      </c>
    </row>
    <row r="2480" ht="15.75" customHeight="1">
      <c r="A2480" s="117" t="str">
        <f>IFERROR(__xludf.DUMMYFUNCTION("""COMPUTED_VALUE"""),"0916 659 523")</f>
        <v>0916 659 523</v>
      </c>
      <c r="B2480" s="118" t="str">
        <f>IFERROR(__xludf.DUMMYFUNCTION("""COMPUTED_VALUE"""),"Dương Cẩm Ly")</f>
        <v>Dương Cẩm Ly</v>
      </c>
      <c r="C2480" s="118" t="str">
        <f>IFERROR(__xludf.DUMMYFUNCTION("""COMPUTED_VALUE"""),"77 Thiên Thai")</f>
        <v>77 Thiên Thai</v>
      </c>
      <c r="D2480" s="118" t="str">
        <f>IFERROR(__xludf.DUMMYFUNCTION("""COMPUTED_VALUE"""),"mèo")</f>
        <v>mèo</v>
      </c>
      <c r="E2480" s="118" t="str">
        <f>IFERROR(__xludf.DUMMYFUNCTION("""COMPUTED_VALUE""")," Huy")</f>
        <v> Huy</v>
      </c>
    </row>
    <row r="2481" ht="15.75" customHeight="1">
      <c r="A2481" s="117" t="str">
        <f>IFERROR(__xludf.DUMMYFUNCTION("""COMPUTED_VALUE"""),"0901 165 689")</f>
        <v>0901 165 689</v>
      </c>
      <c r="B2481" s="118" t="str">
        <f>IFERROR(__xludf.DUMMYFUNCTION("""COMPUTED_VALUE"""),"chị Lê ")</f>
        <v>chị Lê </v>
      </c>
      <c r="C2481" s="118" t="str">
        <f>IFERROR(__xludf.DUMMYFUNCTION("""COMPUTED_VALUE"""),"55 Nguyễn Công trứ")</f>
        <v>55 Nguyễn Công trứ</v>
      </c>
      <c r="D2481" s="118" t="str">
        <f>IFERROR(__xludf.DUMMYFUNCTION("""COMPUTED_VALUE"""),"chó")</f>
        <v>chó</v>
      </c>
      <c r="E2481" s="118" t="str">
        <f>IFERROR(__xludf.DUMMYFUNCTION("""COMPUTED_VALUE""")," win")</f>
        <v> win</v>
      </c>
    </row>
    <row r="2482" ht="15.75" customHeight="1">
      <c r="A2482" s="117" t="str">
        <f>IFERROR(__xludf.DUMMYFUNCTION("""COMPUTED_VALUE"""),"0399 732 300")</f>
        <v>0399 732 300</v>
      </c>
      <c r="B2482" s="118" t="str">
        <f>IFERROR(__xludf.DUMMYFUNCTION("""COMPUTED_VALUE"""),"Chị chi")</f>
        <v>Chị chi</v>
      </c>
      <c r="C2482" s="118" t="str">
        <f>IFERROR(__xludf.DUMMYFUNCTION("""COMPUTED_VALUE"""),"Tây trì Nhơn")</f>
        <v>Tây trì Nhơn</v>
      </c>
      <c r="D2482" s="118" t="str">
        <f>IFERROR(__xludf.DUMMYFUNCTION("""COMPUTED_VALUE"""),"chó")</f>
        <v>chó</v>
      </c>
      <c r="E2482" s="118" t="str">
        <f>IFERROR(__xludf.DUMMYFUNCTION("""COMPUTED_VALUE""")," Xù")</f>
        <v> Xù</v>
      </c>
    </row>
    <row r="2483" ht="15.75" customHeight="1">
      <c r="A2483" s="117" t="str">
        <f>IFERROR(__xludf.DUMMYFUNCTION("""COMPUTED_VALUE"""),"0369 909 564")</f>
        <v>0369 909 564</v>
      </c>
      <c r="B2483" s="118" t="str">
        <f>IFERROR(__xludf.DUMMYFUNCTION("""COMPUTED_VALUE"""),"Chị Thảo")</f>
        <v>Chị Thảo</v>
      </c>
      <c r="C2483" s="118" t="str">
        <f>IFERROR(__xludf.DUMMYFUNCTION("""COMPUTED_VALUE"""),"Thuỷ Phù- Hương Thuỷ")</f>
        <v>Thuỷ Phù- Hương Thuỷ</v>
      </c>
      <c r="D2483" s="118" t="str">
        <f>IFERROR(__xludf.DUMMYFUNCTION("""COMPUTED_VALUE"""),"chó")</f>
        <v>chó</v>
      </c>
      <c r="E2483" s="118" t="str">
        <f>IFERROR(__xludf.DUMMYFUNCTION("""COMPUTED_VALUE"""),"Ricky")</f>
        <v>Ricky</v>
      </c>
    </row>
    <row r="2484" ht="15.75" customHeight="1">
      <c r="A2484" s="117" t="str">
        <f>IFERROR(__xludf.DUMMYFUNCTION("""COMPUTED_VALUE"""),"0907 979 105")</f>
        <v>0907 979 105</v>
      </c>
      <c r="B2484" s="118" t="str">
        <f>IFERROR(__xludf.DUMMYFUNCTION("""COMPUTED_VALUE"""),"Anh Đức")</f>
        <v>Anh Đức</v>
      </c>
      <c r="C2484" s="118" t="str">
        <f>IFERROR(__xludf.DUMMYFUNCTION("""COMPUTED_VALUE"""),"35 tổ 2 Tây Trị Nhơn")</f>
        <v>35 tổ 2 Tây Trị Nhơn</v>
      </c>
      <c r="D2484" s="118" t="str">
        <f>IFERROR(__xludf.DUMMYFUNCTION("""COMPUTED_VALUE"""),"chó")</f>
        <v>chó</v>
      </c>
      <c r="E2484" s="118" t="str">
        <f>IFERROR(__xludf.DUMMYFUNCTION("""COMPUTED_VALUE"""),"Bun")</f>
        <v>Bun</v>
      </c>
    </row>
    <row r="2485" ht="15.75" customHeight="1">
      <c r="A2485" s="117" t="str">
        <f>IFERROR(__xludf.DUMMYFUNCTION("""COMPUTED_VALUE"""),"0905 242 852")</f>
        <v>0905 242 852</v>
      </c>
      <c r="B2485" s="118" t="str">
        <f>IFERROR(__xludf.DUMMYFUNCTION("""COMPUTED_VALUE"""),"Chị Hồng")</f>
        <v>Chị Hồng</v>
      </c>
      <c r="C2485" s="118" t="str">
        <f>IFERROR(__xludf.DUMMYFUNCTION("""COMPUTED_VALUE"""),"36 Trần Văn Ơn")</f>
        <v>36 Trần Văn Ơn</v>
      </c>
      <c r="D2485" s="118" t="str">
        <f>IFERROR(__xludf.DUMMYFUNCTION("""COMPUTED_VALUE"""),"chó ")</f>
        <v>chó </v>
      </c>
      <c r="E2485" s="118" t="str">
        <f>IFERROR(__xludf.DUMMYFUNCTION("""COMPUTED_VALUE"""),"benly")</f>
        <v>benly</v>
      </c>
    </row>
    <row r="2486" ht="15.75" customHeight="1">
      <c r="A2486" s="122" t="str">
        <f>IFERROR(__xludf.DUMMYFUNCTION("""COMPUTED_VALUE"""),"0835 908 091")</f>
        <v>0835 908 091</v>
      </c>
      <c r="B2486" s="118" t="str">
        <f>IFERROR(__xludf.DUMMYFUNCTION("""COMPUTED_VALUE"""),"Chị Tâm")</f>
        <v>Chị Tâm</v>
      </c>
      <c r="C2486" s="119" t="str">
        <f>IFERROR(__xludf.DUMMYFUNCTION("""COMPUTED_VALUE"""),"5/37/128 Nguyễn Khoa Chiêm")</f>
        <v>5/37/128 Nguyễn Khoa Chiêm</v>
      </c>
      <c r="D2486" s="119" t="str">
        <f>IFERROR(__xludf.DUMMYFUNCTION("""COMPUTED_VALUE"""),"chó")</f>
        <v>chó</v>
      </c>
      <c r="E2486" s="119" t="str">
        <f>IFERROR(__xludf.DUMMYFUNCTION("""COMPUTED_VALUE""")," Bông")</f>
        <v> Bông</v>
      </c>
    </row>
    <row r="2487" ht="15.75" customHeight="1">
      <c r="A2487" s="117" t="str">
        <f>IFERROR(__xludf.DUMMYFUNCTION("""COMPUTED_VALUE"""),"0965 810 396")</f>
        <v>0965 810 396</v>
      </c>
      <c r="B2487" s="118" t="str">
        <f>IFERROR(__xludf.DUMMYFUNCTION("""COMPUTED_VALUE"""),"Em Duyên")</f>
        <v>Em Duyên</v>
      </c>
      <c r="C2487" s="118" t="str">
        <f>IFERROR(__xludf.DUMMYFUNCTION("""COMPUTED_VALUE"""),"30 đoạn Hữu trưng")</f>
        <v>30 đoạn Hữu trưng</v>
      </c>
      <c r="D2487" s="118" t="str">
        <f>IFERROR(__xludf.DUMMYFUNCTION("""COMPUTED_VALUE"""),"mèo ")</f>
        <v>mèo </v>
      </c>
      <c r="E2487" s="118" t="str">
        <f>IFERROR(__xludf.DUMMYFUNCTION("""COMPUTED_VALUE""")," vin")</f>
        <v> vin</v>
      </c>
    </row>
    <row r="2488" ht="15.75" customHeight="1">
      <c r="A2488" s="117" t="str">
        <f>IFERROR(__xludf.DUMMYFUNCTION("""COMPUTED_VALUE"""),"0386 633 332")</f>
        <v>0386 633 332</v>
      </c>
      <c r="B2488" s="118" t="str">
        <f>IFERROR(__xludf.DUMMYFUNCTION("""COMPUTED_VALUE"""),"Anh Huy")</f>
        <v>Anh Huy</v>
      </c>
      <c r="C2488" s="118" t="str">
        <f>IFERROR(__xludf.DUMMYFUNCTION("""COMPUTED_VALUE"""),"9B Nguyễn Phúc Thụ")</f>
        <v>9B Nguyễn Phúc Thụ</v>
      </c>
      <c r="D2488" s="118" t="str">
        <f>IFERROR(__xludf.DUMMYFUNCTION("""COMPUTED_VALUE"""),"Chó")</f>
        <v>Chó</v>
      </c>
      <c r="E2488" s="118" t="str">
        <f>IFERROR(__xludf.DUMMYFUNCTION("""COMPUTED_VALUE"""),"MiLu")</f>
        <v>MiLu</v>
      </c>
    </row>
    <row r="2489" ht="15.75" customHeight="1">
      <c r="A2489" s="117" t="str">
        <f>IFERROR(__xludf.DUMMYFUNCTION("""COMPUTED_VALUE"""),"0702 388 142")</f>
        <v>0702 388 142</v>
      </c>
      <c r="B2489" s="118" t="str">
        <f>IFERROR(__xludf.DUMMYFUNCTION("""COMPUTED_VALUE"""),"Dì Hiền")</f>
        <v>Dì Hiền</v>
      </c>
      <c r="C2489" s="119" t="str">
        <f>IFERROR(__xludf.DUMMYFUNCTION("""COMPUTED_VALUE"""),"5/64 Nguyễn Phúc Thụ")</f>
        <v>5/64 Nguyễn Phúc Thụ</v>
      </c>
      <c r="D2489" s="118" t="str">
        <f>IFERROR(__xludf.DUMMYFUNCTION("""COMPUTED_VALUE"""),"Chó")</f>
        <v>Chó</v>
      </c>
      <c r="E2489" s="118" t="str">
        <f>IFERROR(__xludf.DUMMYFUNCTION("""COMPUTED_VALUE"""),"Ry")</f>
        <v>Ry</v>
      </c>
    </row>
    <row r="2490" ht="15.75" customHeight="1">
      <c r="A2490" s="117" t="str">
        <f>IFERROR(__xludf.DUMMYFUNCTION("""COMPUTED_VALUE"""),"0943 813 779")</f>
        <v>0943 813 779</v>
      </c>
      <c r="B2490" s="118" t="str">
        <f>IFERROR(__xludf.DUMMYFUNCTION("""COMPUTED_VALUE"""),"Cô Phương")</f>
        <v>Cô Phương</v>
      </c>
      <c r="C2490" s="118" t="str">
        <f>IFERROR(__xludf.DUMMYFUNCTION("""COMPUTED_VALUE"""),"58 Lương Ngọc Quyến")</f>
        <v>58 Lương Ngọc Quyến</v>
      </c>
      <c r="D2490" s="118" t="str">
        <f>IFERROR(__xludf.DUMMYFUNCTION("""COMPUTED_VALUE"""),"Chó")</f>
        <v>Chó</v>
      </c>
      <c r="E2490" s="118" t="str">
        <f>IFERROR(__xludf.DUMMYFUNCTION("""COMPUTED_VALUE"""),"vàng")</f>
        <v>vàng</v>
      </c>
    </row>
    <row r="2491" ht="15.75" customHeight="1">
      <c r="A2491" s="117" t="str">
        <f>IFERROR(__xludf.DUMMYFUNCTION("""COMPUTED_VALUE"""),"0792 369 096")</f>
        <v>0792 369 096</v>
      </c>
      <c r="B2491" s="118" t="str">
        <f>IFERROR(__xludf.DUMMYFUNCTION("""COMPUTED_VALUE"""),"Lê Văn Phú")</f>
        <v>Lê Văn Phú</v>
      </c>
      <c r="C2491" s="118" t="str">
        <f>IFERROR(__xludf.DUMMYFUNCTION("""COMPUTED_VALUE"""),"31 Nguyễn Phúc Thái")</f>
        <v>31 Nguyễn Phúc Thái</v>
      </c>
      <c r="D2491" s="118" t="str">
        <f>IFERROR(__xludf.DUMMYFUNCTION("""COMPUTED_VALUE"""),"chó")</f>
        <v>chó</v>
      </c>
      <c r="E2491" s="118" t="str">
        <f>IFERROR(__xludf.DUMMYFUNCTION("""COMPUTED_VALUE"""),"gấu")</f>
        <v>gấu</v>
      </c>
    </row>
    <row r="2492" ht="15.75" customHeight="1">
      <c r="A2492" s="117" t="str">
        <f>IFERROR(__xludf.DUMMYFUNCTION("""COMPUTED_VALUE"""),"0898 165 643")</f>
        <v>0898 165 643</v>
      </c>
      <c r="B2492" s="118" t="str">
        <f>IFERROR(__xludf.DUMMYFUNCTION("""COMPUTED_VALUE"""),"Dì Nhung")</f>
        <v>Dì Nhung</v>
      </c>
      <c r="C2492" s="118"/>
      <c r="D2492" s="118" t="str">
        <f>IFERROR(__xludf.DUMMYFUNCTION("""COMPUTED_VALUE"""),"mèo")</f>
        <v>mèo</v>
      </c>
      <c r="E2492" s="118" t="str">
        <f>IFERROR(__xludf.DUMMYFUNCTION("""COMPUTED_VALUE"""),"Bối")</f>
        <v>Bối</v>
      </c>
    </row>
    <row r="2493" ht="15.75" customHeight="1">
      <c r="A2493" s="117" t="str">
        <f>IFERROR(__xludf.DUMMYFUNCTION("""COMPUTED_VALUE"""),"0916 440 525")</f>
        <v>0916 440 525</v>
      </c>
      <c r="B2493" s="118" t="str">
        <f>IFERROR(__xludf.DUMMYFUNCTION("""COMPUTED_VALUE"""),"Chị Tú")</f>
        <v>Chị Tú</v>
      </c>
      <c r="C2493" s="118" t="str">
        <f>IFERROR(__xludf.DUMMYFUNCTION("""COMPUTED_VALUE"""),"Lô 47 HKQ Bầu vá")</f>
        <v>Lô 47 HKQ Bầu vá</v>
      </c>
      <c r="D2493" s="118" t="str">
        <f>IFERROR(__xludf.DUMMYFUNCTION("""COMPUTED_VALUE"""),"Mèo")</f>
        <v>Mèo</v>
      </c>
      <c r="E2493" s="118" t="str">
        <f>IFERROR(__xludf.DUMMYFUNCTION("""COMPUTED_VALUE"""),"Zacky")</f>
        <v>Zacky</v>
      </c>
    </row>
    <row r="2494" ht="15.75" customHeight="1">
      <c r="A2494" s="117" t="str">
        <f>IFERROR(__xludf.DUMMYFUNCTION("""COMPUTED_VALUE"""),"0914 553 364")</f>
        <v>0914 553 364</v>
      </c>
      <c r="B2494" s="118" t="str">
        <f>IFERROR(__xludf.DUMMYFUNCTION("""COMPUTED_VALUE"""),"Dì về nhà")</f>
        <v>Dì về nhà</v>
      </c>
      <c r="C2494" s="118" t="str">
        <f>IFERROR(__xludf.DUMMYFUNCTION("""COMPUTED_VALUE"""),"16/246 Hùng Vương")</f>
        <v>16/246 Hùng Vương</v>
      </c>
      <c r="D2494" s="118" t="str">
        <f>IFERROR(__xludf.DUMMYFUNCTION("""COMPUTED_VALUE"""),"mèo ")</f>
        <v>mèo </v>
      </c>
      <c r="E2494" s="118" t="str">
        <f>IFERROR(__xludf.DUMMYFUNCTION("""COMPUTED_VALUE"""),"xám")</f>
        <v>xám</v>
      </c>
    </row>
    <row r="2495" ht="15.75" customHeight="1">
      <c r="A2495" s="117" t="str">
        <f>IFERROR(__xludf.DUMMYFUNCTION("""COMPUTED_VALUE"""),"0833 440 511")</f>
        <v>0833 440 511</v>
      </c>
      <c r="B2495" s="118" t="str">
        <f>IFERROR(__xludf.DUMMYFUNCTION("""COMPUTED_VALUE"""),"Em linh")</f>
        <v>Em linh</v>
      </c>
      <c r="C2495" s="118" t="str">
        <f>IFERROR(__xludf.DUMMYFUNCTION("""COMPUTED_VALUE"""),"23/58 duy Tân")</f>
        <v>23/58 duy Tân</v>
      </c>
      <c r="D2495" s="118" t="str">
        <f>IFERROR(__xludf.DUMMYFUNCTION("""COMPUTED_VALUE"""),"chó")</f>
        <v>chó</v>
      </c>
      <c r="E2495" s="118" t="str">
        <f>IFERROR(__xludf.DUMMYFUNCTION("""COMPUTED_VALUE"""),"Phê- Ven")</f>
        <v>Phê- Ven</v>
      </c>
    </row>
    <row r="2496" ht="15.75" customHeight="1">
      <c r="A2496" s="117" t="str">
        <f>IFERROR(__xludf.DUMMYFUNCTION("""COMPUTED_VALUE"""),"0794 550 239")</f>
        <v>0794 550 239</v>
      </c>
      <c r="B2496" s="118" t="str">
        <f>IFERROR(__xludf.DUMMYFUNCTION("""COMPUTED_VALUE"""),"Trung")</f>
        <v>Trung</v>
      </c>
      <c r="C2496" s="118" t="str">
        <f>IFERROR(__xludf.DUMMYFUNCTION("""COMPUTED_VALUE"""),"140/13 Lý Nam Đế")</f>
        <v>140/13 Lý Nam Đế</v>
      </c>
      <c r="D2496" s="118" t="str">
        <f>IFERROR(__xludf.DUMMYFUNCTION("""COMPUTED_VALUE"""),"mèo")</f>
        <v>mèo</v>
      </c>
      <c r="E2496" s="118" t="str">
        <f>IFERROR(__xludf.DUMMYFUNCTION("""COMPUTED_VALUE"""),"Bơ")</f>
        <v>Bơ</v>
      </c>
    </row>
    <row r="2497" ht="15.75" customHeight="1">
      <c r="A2497" s="117" t="str">
        <f>IFERROR(__xludf.DUMMYFUNCTION("""COMPUTED_VALUE"""),"0777 421 456")</f>
        <v>0777 421 456</v>
      </c>
      <c r="B2497" s="118" t="str">
        <f>IFERROR(__xludf.DUMMYFUNCTION("""COMPUTED_VALUE"""),"Chị Linh")</f>
        <v>Chị Linh</v>
      </c>
      <c r="C2497" s="118" t="str">
        <f>IFERROR(__xludf.DUMMYFUNCTION("""COMPUTED_VALUE"""),"143 Hàn Mặc Tử")</f>
        <v>143 Hàn Mặc Tử</v>
      </c>
      <c r="D2497" s="118" t="str">
        <f>IFERROR(__xludf.DUMMYFUNCTION("""COMPUTED_VALUE"""),"mèo")</f>
        <v>mèo</v>
      </c>
      <c r="E2497" s="118" t="str">
        <f>IFERROR(__xludf.DUMMYFUNCTION("""COMPUTED_VALUE"""),"Bịp")</f>
        <v>Bịp</v>
      </c>
    </row>
    <row r="2498" ht="15.75" customHeight="1">
      <c r="A2498" s="117" t="str">
        <f>IFERROR(__xludf.DUMMYFUNCTION("""COMPUTED_VALUE"""),"0786 229 770")</f>
        <v>0786 229 770</v>
      </c>
      <c r="B2498" s="118" t="str">
        <f>IFERROR(__xludf.DUMMYFUNCTION("""COMPUTED_VALUE"""),"Chị Nhật hạ")</f>
        <v>Chị Nhật hạ</v>
      </c>
      <c r="C2498" s="118" t="str">
        <f>IFERROR(__xludf.DUMMYFUNCTION("""COMPUTED_VALUE"""),"247 Trần phú")</f>
        <v>247 Trần phú</v>
      </c>
      <c r="D2498" s="118" t="str">
        <f>IFERROR(__xludf.DUMMYFUNCTION("""COMPUTED_VALUE"""),"Chó")</f>
        <v>Chó</v>
      </c>
      <c r="E2498" s="118" t="str">
        <f>IFERROR(__xludf.DUMMYFUNCTION("""COMPUTED_VALUE"""),"Su")</f>
        <v>Su</v>
      </c>
    </row>
    <row r="2499" ht="15.75" customHeight="1">
      <c r="A2499" s="117" t="str">
        <f>IFERROR(__xludf.DUMMYFUNCTION("""COMPUTED_VALUE"""),"0969 267 783")</f>
        <v>0969 267 783</v>
      </c>
      <c r="B2499" s="118" t="str">
        <f>IFERROR(__xludf.DUMMYFUNCTION("""COMPUTED_VALUE"""),"Thu Hà")</f>
        <v>Thu Hà</v>
      </c>
      <c r="C2499" s="118" t="str">
        <f>IFERROR(__xludf.DUMMYFUNCTION("""COMPUTED_VALUE"""),"168 Phan Chu Trinh")</f>
        <v>168 Phan Chu Trinh</v>
      </c>
      <c r="D2499" s="118" t="str">
        <f>IFERROR(__xludf.DUMMYFUNCTION("""COMPUTED_VALUE"""),"chó")</f>
        <v>chó</v>
      </c>
      <c r="E2499" s="118" t="str">
        <f>IFERROR(__xludf.DUMMYFUNCTION("""COMPUTED_VALUE""")," Súp")</f>
        <v> Súp</v>
      </c>
    </row>
    <row r="2500" ht="15.75" customHeight="1">
      <c r="A2500" s="117" t="str">
        <f>IFERROR(__xludf.DUMMYFUNCTION("""COMPUTED_VALUE"""),"0708 005 455")</f>
        <v>0708 005 455</v>
      </c>
      <c r="B2500" s="118" t="str">
        <f>IFERROR(__xludf.DUMMYFUNCTION("""COMPUTED_VALUE"""),"Vũ")</f>
        <v>Vũ</v>
      </c>
      <c r="C2500" s="118" t="str">
        <f>IFERROR(__xludf.DUMMYFUNCTION("""COMPUTED_VALUE"""),"10/11 Nguyễn Khuyến")</f>
        <v>10/11 Nguyễn Khuyến</v>
      </c>
      <c r="D2500" s="118" t="str">
        <f>IFERROR(__xludf.DUMMYFUNCTION("""COMPUTED_VALUE"""),"mèo")</f>
        <v>mèo</v>
      </c>
      <c r="E2500" s="118" t="str">
        <f>IFERROR(__xludf.DUMMYFUNCTION("""COMPUTED_VALUE""")," Sun")</f>
        <v> Sun</v>
      </c>
    </row>
    <row r="2501" ht="15.75" customHeight="1">
      <c r="A2501" s="117" t="str">
        <f>IFERROR(__xludf.DUMMYFUNCTION("""COMPUTED_VALUE"""),"0332 937 180")</f>
        <v>0332 937 180</v>
      </c>
      <c r="B2501" s="118" t="str">
        <f>IFERROR(__xludf.DUMMYFUNCTION("""COMPUTED_VALUE"""),"Trương Thị Lệ")</f>
        <v>Trương Thị Lệ</v>
      </c>
      <c r="C2501" s="118" t="str">
        <f>IFERROR(__xludf.DUMMYFUNCTION("""COMPUTED_VALUE"""),"Hải Dương")</f>
        <v>Hải Dương</v>
      </c>
      <c r="D2501" s="118" t="str">
        <f>IFERROR(__xludf.DUMMYFUNCTION("""COMPUTED_VALUE"""),"mèo")</f>
        <v>mèo</v>
      </c>
      <c r="E2501" s="118"/>
    </row>
    <row r="2502" ht="15.75" customHeight="1">
      <c r="A2502" s="117" t="str">
        <f>IFERROR(__xludf.DUMMYFUNCTION("""COMPUTED_VALUE"""),"0792 135 461")</f>
        <v>0792 135 461</v>
      </c>
      <c r="B2502" s="144" t="str">
        <f>IFERROR(__xludf.DUMMYFUNCTION("""COMPUTED_VALUE"""),"Em Tuyền")</f>
        <v>Em Tuyền</v>
      </c>
      <c r="C2502" s="118" t="str">
        <f>IFERROR(__xludf.DUMMYFUNCTION("""COMPUTED_VALUE"""),"14 Thái Dương, Thuận An")</f>
        <v>14 Thái Dương, Thuận An</v>
      </c>
      <c r="D2502" s="118" t="str">
        <f>IFERROR(__xludf.DUMMYFUNCTION("""COMPUTED_VALUE"""),"chó")</f>
        <v>chó</v>
      </c>
      <c r="E2502" s="118"/>
    </row>
    <row r="2503" ht="15.75" customHeight="1">
      <c r="A2503" s="117" t="str">
        <f>IFERROR(__xludf.DUMMYFUNCTION("""COMPUTED_VALUE"""),"0934 966 252")</f>
        <v>0934 966 252</v>
      </c>
      <c r="B2503" s="118" t="str">
        <f>IFERROR(__xludf.DUMMYFUNCTION("""COMPUTED_VALUE"""),"Dì Diệp")</f>
        <v>Dì Diệp</v>
      </c>
      <c r="C2503" s="118" t="str">
        <f>IFERROR(__xludf.DUMMYFUNCTION("""COMPUTED_VALUE"""),"Hương An")</f>
        <v>Hương An</v>
      </c>
      <c r="D2503" s="118" t="str">
        <f>IFERROR(__xludf.DUMMYFUNCTION("""COMPUTED_VALUE"""),"chó")</f>
        <v>chó</v>
      </c>
      <c r="E2503" s="118" t="str">
        <f>IFERROR(__xludf.DUMMYFUNCTION("""COMPUTED_VALUE"""),"Pi")</f>
        <v>Pi</v>
      </c>
    </row>
    <row r="2504" ht="15.75" customHeight="1">
      <c r="A2504" s="117" t="str">
        <f>IFERROR(__xludf.DUMMYFUNCTION("""COMPUTED_VALUE"""),"0356 435 645")</f>
        <v>0356 435 645</v>
      </c>
      <c r="B2504" s="118" t="str">
        <f>IFERROR(__xludf.DUMMYFUNCTION("""COMPUTED_VALUE"""),"Anh Tuấn")</f>
        <v>Anh Tuấn</v>
      </c>
      <c r="C2504" s="118" t="str">
        <f>IFERROR(__xludf.DUMMYFUNCTION("""COMPUTED_VALUE"""),"Lại Thế")</f>
        <v>Lại Thế</v>
      </c>
      <c r="D2504" s="118" t="str">
        <f>IFERROR(__xludf.DUMMYFUNCTION("""COMPUTED_VALUE"""),"chó")</f>
        <v>chó</v>
      </c>
      <c r="E2504" s="118" t="str">
        <f>IFERROR(__xludf.DUMMYFUNCTION("""COMPUTED_VALUE"""),"Ki")</f>
        <v>Ki</v>
      </c>
    </row>
    <row r="2505" ht="15.75" customHeight="1">
      <c r="A2505" s="117" t="str">
        <f>IFERROR(__xludf.DUMMYFUNCTION("""COMPUTED_VALUE"""),"0763 217 725")</f>
        <v>0763 217 725</v>
      </c>
      <c r="B2505" s="118" t="str">
        <f>IFERROR(__xludf.DUMMYFUNCTION("""COMPUTED_VALUE"""),"Chị Ánh")</f>
        <v>Chị Ánh</v>
      </c>
      <c r="C2505" s="118" t="str">
        <f>IFERROR(__xludf.DUMMYFUNCTION("""COMPUTED_VALUE"""),"41a k47 Ưng Bình")</f>
        <v>41a k47 Ưng Bình</v>
      </c>
      <c r="D2505" s="118" t="str">
        <f>IFERROR(__xludf.DUMMYFUNCTION("""COMPUTED_VALUE"""),"chó")</f>
        <v>chó</v>
      </c>
      <c r="E2505" s="118" t="str">
        <f>IFERROR(__xludf.DUMMYFUNCTION("""COMPUTED_VALUE"""),"xoài")</f>
        <v>xoài</v>
      </c>
    </row>
    <row r="2506" ht="15.75" customHeight="1">
      <c r="A2506" s="117" t="str">
        <f>IFERROR(__xludf.DUMMYFUNCTION("""COMPUTED_VALUE"""),"0817 652 852")</f>
        <v>0817 652 852</v>
      </c>
      <c r="B2506" s="118" t="str">
        <f>IFERROR(__xludf.DUMMYFUNCTION("""COMPUTED_VALUE"""),"Anh Thành")</f>
        <v>Anh Thành</v>
      </c>
      <c r="C2506" s="118" t="str">
        <f>IFERROR(__xludf.DUMMYFUNCTION("""COMPUTED_VALUE"""),"Chiết Bi")</f>
        <v>Chiết Bi</v>
      </c>
      <c r="D2506" s="118" t="str">
        <f>IFERROR(__xludf.DUMMYFUNCTION("""COMPUTED_VALUE"""),"chó")</f>
        <v>chó</v>
      </c>
      <c r="E2506" s="118"/>
    </row>
    <row r="2507" ht="15.75" customHeight="1">
      <c r="A2507" s="117" t="str">
        <f>IFERROR(__xludf.DUMMYFUNCTION("""COMPUTED_VALUE"""),"0787 531 586")</f>
        <v>0787 531 586</v>
      </c>
      <c r="B2507" s="118" t="str">
        <f>IFERROR(__xludf.DUMMYFUNCTION("""COMPUTED_VALUE"""),"Chị Tâm")</f>
        <v>Chị Tâm</v>
      </c>
      <c r="C2507" s="118" t="str">
        <f>IFERROR(__xludf.DUMMYFUNCTION("""COMPUTED_VALUE"""),"Thanh Tịnh")</f>
        <v>Thanh Tịnh</v>
      </c>
      <c r="D2507" s="118" t="str">
        <f>IFERROR(__xludf.DUMMYFUNCTION("""COMPUTED_VALUE"""),"mèo")</f>
        <v>mèo</v>
      </c>
      <c r="E2507" s="118" t="str">
        <f>IFERROR(__xludf.DUMMYFUNCTION("""COMPUTED_VALUE"""),"Yorn")</f>
        <v>Yorn</v>
      </c>
    </row>
    <row r="2508" ht="15.75" customHeight="1">
      <c r="A2508" s="117" t="str">
        <f>IFERROR(__xludf.DUMMYFUNCTION("""COMPUTED_VALUE"""),"0382 686 924")</f>
        <v>0382 686 924</v>
      </c>
      <c r="B2508" s="118" t="str">
        <f>IFERROR(__xludf.DUMMYFUNCTION("""COMPUTED_VALUE"""),"Cô Hồng")</f>
        <v>Cô Hồng</v>
      </c>
      <c r="C2508" s="118" t="str">
        <f>IFERROR(__xludf.DUMMYFUNCTION("""COMPUTED_VALUE"""),"16 Hồng Khẳng")</f>
        <v>16 Hồng Khẳng</v>
      </c>
      <c r="D2508" s="118" t="str">
        <f>IFERROR(__xludf.DUMMYFUNCTION("""COMPUTED_VALUE"""),"chó")</f>
        <v>chó</v>
      </c>
      <c r="E2508" s="118"/>
    </row>
    <row r="2509" ht="15.75" customHeight="1">
      <c r="A2509" s="117" t="str">
        <f>IFERROR(__xludf.DUMMYFUNCTION("""COMPUTED_VALUE"""),"0783 505 350")</f>
        <v>0783 505 350</v>
      </c>
      <c r="B2509" s="118" t="str">
        <f>IFERROR(__xludf.DUMMYFUNCTION("""COMPUTED_VALUE"""),"Chị Hằng")</f>
        <v>Chị Hằng</v>
      </c>
      <c r="C2509" s="118" t="str">
        <f>IFERROR(__xludf.DUMMYFUNCTION("""COMPUTED_VALUE"""),"3/11 Tây Thượng, Phú Thượng")</f>
        <v>3/11 Tây Thượng, Phú Thượng</v>
      </c>
      <c r="D2509" s="118" t="str">
        <f>IFERROR(__xludf.DUMMYFUNCTION("""COMPUTED_VALUE"""),"mèo")</f>
        <v>mèo</v>
      </c>
      <c r="E2509" s="118" t="str">
        <f>IFERROR(__xludf.DUMMYFUNCTION("""COMPUTED_VALUE"""),"Mướp Đắng")</f>
        <v>Mướp Đắng</v>
      </c>
    </row>
    <row r="2510" ht="15.75" customHeight="1">
      <c r="A2510" s="117" t="str">
        <f>IFERROR(__xludf.DUMMYFUNCTION("""COMPUTED_VALUE"""),"0772 484 281")</f>
        <v>0772 484 281</v>
      </c>
      <c r="B2510" s="118" t="str">
        <f>IFERROR(__xludf.DUMMYFUNCTION("""COMPUTED_VALUE"""),"Dì Ngọc Mai hàng xóm")</f>
        <v>Dì Ngọc Mai hàng xóm</v>
      </c>
      <c r="C2510" s="118" t="str">
        <f>IFERROR(__xludf.DUMMYFUNCTION("""COMPUTED_VALUE"""),"27 Hồng Khẳng")</f>
        <v>27 Hồng Khẳng</v>
      </c>
      <c r="D2510" s="118" t="str">
        <f>IFERROR(__xludf.DUMMYFUNCTION("""COMPUTED_VALUE"""),"chó")</f>
        <v>chó</v>
      </c>
      <c r="E2510" s="118" t="str">
        <f>IFERROR(__xludf.DUMMYFUNCTION("""COMPUTED_VALUE"""),"Noa")</f>
        <v>Noa</v>
      </c>
    </row>
    <row r="2511" ht="15.75" customHeight="1">
      <c r="A2511" s="117" t="str">
        <f>IFERROR(__xludf.DUMMYFUNCTION("""COMPUTED_VALUE"""),"0935 337 408")</f>
        <v>0935 337 408</v>
      </c>
      <c r="B2511" s="144" t="str">
        <f>IFERROR(__xludf.DUMMYFUNCTION("""COMPUTED_VALUE"""),"Chị Hằng")</f>
        <v>Chị Hằng</v>
      </c>
      <c r="C2511" s="118" t="str">
        <f>IFERROR(__xludf.DUMMYFUNCTION("""COMPUTED_VALUE"""),"97 Hoàng Thị Loan")</f>
        <v>97 Hoàng Thị Loan</v>
      </c>
      <c r="D2511" s="118" t="str">
        <f>IFERROR(__xludf.DUMMYFUNCTION("""COMPUTED_VALUE"""),"chó")</f>
        <v>chó</v>
      </c>
      <c r="E2511" s="118" t="str">
        <f>IFERROR(__xludf.DUMMYFUNCTION("""COMPUTED_VALUE"""),"Ben")</f>
        <v>Ben</v>
      </c>
    </row>
    <row r="2512" ht="15.75" customHeight="1">
      <c r="A2512" s="117" t="str">
        <f>IFERROR(__xludf.DUMMYFUNCTION("""COMPUTED_VALUE"""),"0905 251 133")</f>
        <v>0905 251 133</v>
      </c>
      <c r="B2512" s="118" t="str">
        <f>IFERROR(__xludf.DUMMYFUNCTION("""COMPUTED_VALUE"""),"Chị Nhi")</f>
        <v>Chị Nhi</v>
      </c>
      <c r="C2512" s="118" t="str">
        <f>IFERROR(__xludf.DUMMYFUNCTION("""COMPUTED_VALUE"""),"1/57 Nguyễn Công Trứ")</f>
        <v>1/57 Nguyễn Công Trứ</v>
      </c>
      <c r="D2512" s="118" t="str">
        <f>IFERROR(__xludf.DUMMYFUNCTION("""COMPUTED_VALUE"""),"chó")</f>
        <v>chó</v>
      </c>
      <c r="E2512" s="118" t="str">
        <f>IFERROR(__xludf.DUMMYFUNCTION("""COMPUTED_VALUE"""),"Bun")</f>
        <v>Bun</v>
      </c>
    </row>
    <row r="2513" ht="15.75" customHeight="1">
      <c r="A2513" s="117" t="str">
        <f>IFERROR(__xludf.DUMMYFUNCTION("""COMPUTED_VALUE"""),"0826 855 286")</f>
        <v>0826 855 286</v>
      </c>
      <c r="B2513" s="118" t="str">
        <f>IFERROR(__xludf.DUMMYFUNCTION("""COMPUTED_VALUE"""),"Dì Nhung")</f>
        <v>Dì Nhung</v>
      </c>
      <c r="C2513" s="118" t="str">
        <f>IFERROR(__xludf.DUMMYFUNCTION("""COMPUTED_VALUE"""),"Dục Thanh, Vỹ dạ")</f>
        <v>Dục Thanh, Vỹ dạ</v>
      </c>
      <c r="D2513" s="118" t="str">
        <f>IFERROR(__xludf.DUMMYFUNCTION("""COMPUTED_VALUE"""),"chó")</f>
        <v>chó</v>
      </c>
      <c r="E2513" s="118" t="str">
        <f>IFERROR(__xludf.DUMMYFUNCTION("""COMPUTED_VALUE"""),"Lu")</f>
        <v>Lu</v>
      </c>
    </row>
    <row r="2514" ht="15.75" customHeight="1">
      <c r="A2514" s="117" t="str">
        <f>IFERROR(__xludf.DUMMYFUNCTION("""COMPUTED_VALUE"""),"0399 186 529")</f>
        <v>0399 186 529</v>
      </c>
      <c r="B2514" s="118" t="str">
        <f>IFERROR(__xludf.DUMMYFUNCTION("""COMPUTED_VALUE"""),"Chú Phương")</f>
        <v>Chú Phương</v>
      </c>
      <c r="C2514" s="118" t="str">
        <f>IFERROR(__xludf.DUMMYFUNCTION("""COMPUTED_VALUE"""),"53/40 Nguyễn Sinh cung")</f>
        <v>53/40 Nguyễn Sinh cung</v>
      </c>
      <c r="D2514" s="118" t="str">
        <f>IFERROR(__xludf.DUMMYFUNCTION("""COMPUTED_VALUE"""),"mèo")</f>
        <v>mèo</v>
      </c>
      <c r="E2514" s="127" t="str">
        <f>IFERROR(__xludf.DUMMYFUNCTION("""COMPUTED_VALUE"""),"chít")</f>
        <v>chít</v>
      </c>
    </row>
    <row r="2515" ht="15.75" customHeight="1">
      <c r="A2515" s="117" t="str">
        <f>IFERROR(__xludf.DUMMYFUNCTION("""COMPUTED_VALUE"""),"0945 714 323")</f>
        <v>0945 714 323</v>
      </c>
      <c r="B2515" s="118" t="str">
        <f>IFERROR(__xludf.DUMMYFUNCTION("""COMPUTED_VALUE"""),"anh Duy")</f>
        <v>anh Duy</v>
      </c>
      <c r="C2515" s="119" t="str">
        <f>IFERROR(__xludf.DUMMYFUNCTION("""COMPUTED_VALUE"""),"61 Phạm Thị Liên")</f>
        <v>61 Phạm Thị Liên</v>
      </c>
      <c r="D2515" s="118" t="str">
        <f>IFERROR(__xludf.DUMMYFUNCTION("""COMPUTED_VALUE"""),"Mèo")</f>
        <v>Mèo</v>
      </c>
      <c r="E2515" s="119" t="str">
        <f>IFERROR(__xludf.DUMMYFUNCTION("""COMPUTED_VALUE"""),"Tuyết")</f>
        <v>Tuyết</v>
      </c>
    </row>
    <row r="2516" ht="15.75" customHeight="1">
      <c r="A2516" s="117" t="str">
        <f>IFERROR(__xludf.DUMMYFUNCTION("""COMPUTED_VALUE"""),"0935 189 416")</f>
        <v>0935 189 416</v>
      </c>
      <c r="B2516" s="118" t="str">
        <f>IFERROR(__xludf.DUMMYFUNCTION("""COMPUTED_VALUE"""),"Nhi")</f>
        <v>Nhi</v>
      </c>
      <c r="C2516" s="118" t="str">
        <f>IFERROR(__xludf.DUMMYFUNCTION("""COMPUTED_VALUE"""),"18/1/42 Đào Tấn")</f>
        <v>18/1/42 Đào Tấn</v>
      </c>
      <c r="D2516" s="118" t="str">
        <f>IFERROR(__xludf.DUMMYFUNCTION("""COMPUTED_VALUE"""),"chó")</f>
        <v>chó</v>
      </c>
      <c r="E2516" s="118" t="str">
        <f>IFERROR(__xludf.DUMMYFUNCTION("""COMPUTED_VALUE"""),"Gấu")</f>
        <v>Gấu</v>
      </c>
    </row>
    <row r="2517" ht="15.75" customHeight="1">
      <c r="A2517" s="117" t="str">
        <f>IFERROR(__xludf.DUMMYFUNCTION("""COMPUTED_VALUE"""),"0352 561 560")</f>
        <v>0352 561 560</v>
      </c>
      <c r="B2517" s="118" t="str">
        <f>IFERROR(__xludf.DUMMYFUNCTION("""COMPUTED_VALUE"""),"Anh Quang")</f>
        <v>Anh Quang</v>
      </c>
      <c r="C2517" s="118" t="str">
        <f>IFERROR(__xludf.DUMMYFUNCTION("""COMPUTED_VALUE"""),"59/22A Lý Nam Đế")</f>
        <v>59/22A Lý Nam Đế</v>
      </c>
      <c r="D2517" s="118" t="str">
        <f>IFERROR(__xludf.DUMMYFUNCTION("""COMPUTED_VALUE"""),"Chó")</f>
        <v>Chó</v>
      </c>
      <c r="E2517" s="118"/>
    </row>
    <row r="2518" ht="15.75" customHeight="1">
      <c r="A2518" s="117" t="str">
        <f>IFERROR(__xludf.DUMMYFUNCTION("""COMPUTED_VALUE"""),"0795 654 455")</f>
        <v>0795 654 455</v>
      </c>
      <c r="B2518" s="118" t="str">
        <f>IFERROR(__xludf.DUMMYFUNCTION("""COMPUTED_VALUE"""),"Chị Na")</f>
        <v>Chị Na</v>
      </c>
      <c r="C2518" s="118" t="str">
        <f>IFERROR(__xludf.DUMMYFUNCTION("""COMPUTED_VALUE"""),"Bùi Thị Xuân")</f>
        <v>Bùi Thị Xuân</v>
      </c>
      <c r="D2518" s="118" t="str">
        <f>IFERROR(__xludf.DUMMYFUNCTION("""COMPUTED_VALUE"""),"chó")</f>
        <v>chó</v>
      </c>
      <c r="E2518" s="118" t="str">
        <f>IFERROR(__xludf.DUMMYFUNCTION("""COMPUTED_VALUE"""),"Nô")</f>
        <v>Nô</v>
      </c>
    </row>
    <row r="2519" ht="15.75" customHeight="1">
      <c r="A2519" s="117" t="str">
        <f>IFERROR(__xludf.DUMMYFUNCTION("""COMPUTED_VALUE"""),"0388 828 353")</f>
        <v>0388 828 353</v>
      </c>
      <c r="B2519" s="118" t="str">
        <f>IFERROR(__xludf.DUMMYFUNCTION("""COMPUTED_VALUE"""),"Anh Thành Thái")</f>
        <v>Anh Thành Thái</v>
      </c>
      <c r="C2519" s="118" t="str">
        <f>IFERROR(__xludf.DUMMYFUNCTION("""COMPUTED_VALUE"""),"215 A Trần pHú")</f>
        <v>215 A Trần pHú</v>
      </c>
      <c r="D2519" s="118" t="str">
        <f>IFERROR(__xludf.DUMMYFUNCTION("""COMPUTED_VALUE"""),"mèo")</f>
        <v>mèo</v>
      </c>
      <c r="E2519" s="118" t="str">
        <f>IFERROR(__xludf.DUMMYFUNCTION("""COMPUTED_VALUE"""),"Su")</f>
        <v>Su</v>
      </c>
    </row>
    <row r="2520" ht="15.75" customHeight="1">
      <c r="A2520" s="117" t="str">
        <f>IFERROR(__xludf.DUMMYFUNCTION("""COMPUTED_VALUE"""),"0768 520 001")</f>
        <v>0768 520 001</v>
      </c>
      <c r="B2520" s="118" t="str">
        <f>IFERROR(__xludf.DUMMYFUNCTION("""COMPUTED_VALUE"""),"Anh Nguyên")</f>
        <v>Anh Nguyên</v>
      </c>
      <c r="C2520" s="119" t="str">
        <f>IFERROR(__xludf.DUMMYFUNCTION("""COMPUTED_VALUE"""),"49 Phạm Thị Liên")</f>
        <v>49 Phạm Thị Liên</v>
      </c>
      <c r="D2520" s="118" t="str">
        <f>IFERROR(__xludf.DUMMYFUNCTION("""COMPUTED_VALUE"""),"Chó ")</f>
        <v>Chó </v>
      </c>
      <c r="E2520" s="118" t="str">
        <f>IFERROR(__xludf.DUMMYFUNCTION("""COMPUTED_VALUE"""),"Đô")</f>
        <v>Đô</v>
      </c>
    </row>
    <row r="2521" ht="15.75" customHeight="1">
      <c r="A2521" s="117" t="str">
        <f>IFERROR(__xludf.DUMMYFUNCTION("""COMPUTED_VALUE"""),"0919 691 562")</f>
        <v>0919 691 562</v>
      </c>
      <c r="B2521" s="118" t="str">
        <f>IFERROR(__xludf.DUMMYFUNCTION("""COMPUTED_VALUE"""),"Anh Vũ")</f>
        <v>Anh Vũ</v>
      </c>
      <c r="C2521" s="118" t="str">
        <f>IFERROR(__xludf.DUMMYFUNCTION("""COMPUTED_VALUE"""),"55/245 Bùi Thị Xuân")</f>
        <v>55/245 Bùi Thị Xuân</v>
      </c>
      <c r="D2521" s="118" t="str">
        <f>IFERROR(__xludf.DUMMYFUNCTION("""COMPUTED_VALUE"""),"Chó")</f>
        <v>Chó</v>
      </c>
      <c r="E2521" s="118" t="str">
        <f>IFERROR(__xludf.DUMMYFUNCTION("""COMPUTED_VALUE"""),"Red")</f>
        <v>Red</v>
      </c>
    </row>
    <row r="2522" ht="15.75" customHeight="1">
      <c r="A2522" s="117" t="str">
        <f>IFERROR(__xludf.DUMMYFUNCTION("""COMPUTED_VALUE"""),"0905 136 310")</f>
        <v>0905 136 310</v>
      </c>
      <c r="B2522" s="118" t="str">
        <f>IFERROR(__xludf.DUMMYFUNCTION("""COMPUTED_VALUE"""),"Chị Tuyết Anh")</f>
        <v>Chị Tuyết Anh</v>
      </c>
      <c r="C2522" s="118" t="str">
        <f>IFERROR(__xludf.DUMMYFUNCTION("""COMPUTED_VALUE"""),"41/69/131 Trần Phú")</f>
        <v>41/69/131 Trần Phú</v>
      </c>
      <c r="D2522" s="118" t="str">
        <f>IFERROR(__xludf.DUMMYFUNCTION("""COMPUTED_VALUE"""),"Mèo")</f>
        <v>Mèo</v>
      </c>
      <c r="E2522" s="118" t="str">
        <f>IFERROR(__xludf.DUMMYFUNCTION("""COMPUTED_VALUE"""),"Meomeo")</f>
        <v>Meomeo</v>
      </c>
    </row>
    <row r="2523" ht="15.75" customHeight="1">
      <c r="A2523" s="117" t="str">
        <f>IFERROR(__xludf.DUMMYFUNCTION("""COMPUTED_VALUE"""),"0986 054 736")</f>
        <v>0986 054 736</v>
      </c>
      <c r="B2523" s="118" t="str">
        <f>IFERROR(__xludf.DUMMYFUNCTION("""COMPUTED_VALUE"""),"Chị Hoài Anh")</f>
        <v>Chị Hoài Anh</v>
      </c>
      <c r="C2523" s="118" t="str">
        <f>IFERROR(__xludf.DUMMYFUNCTION("""COMPUTED_VALUE"""),"DĐào tấn")</f>
        <v>DĐào tấn</v>
      </c>
      <c r="D2523" s="118" t="str">
        <f>IFERROR(__xludf.DUMMYFUNCTION("""COMPUTED_VALUE"""),"chó ")</f>
        <v>chó </v>
      </c>
      <c r="E2523" s="118" t="str">
        <f>IFERROR(__xludf.DUMMYFUNCTION("""COMPUTED_VALUE"""),"nâu")</f>
        <v>nâu</v>
      </c>
    </row>
    <row r="2524" ht="15.75" customHeight="1">
      <c r="A2524" s="117" t="str">
        <f>IFERROR(__xludf.DUMMYFUNCTION("""COMPUTED_VALUE"""),"0918 007 943")</f>
        <v>0918 007 943</v>
      </c>
      <c r="B2524" s="118" t="str">
        <f>IFERROR(__xludf.DUMMYFUNCTION("""COMPUTED_VALUE"""),"Em Sơn Hải")</f>
        <v>Em Sơn Hải</v>
      </c>
      <c r="C2524" s="118" t="str">
        <f>IFERROR(__xludf.DUMMYFUNCTION("""COMPUTED_VALUE"""),"4/32 Đặng Huy Trứ")</f>
        <v>4/32 Đặng Huy Trứ</v>
      </c>
      <c r="D2524" s="118" t="str">
        <f>IFERROR(__xludf.DUMMYFUNCTION("""COMPUTED_VALUE"""),"mèo")</f>
        <v>mèo</v>
      </c>
      <c r="E2524" s="118" t="str">
        <f>IFERROR(__xludf.DUMMYFUNCTION("""COMPUTED_VALUE"""),"Chuột")</f>
        <v>Chuột</v>
      </c>
    </row>
    <row r="2525" ht="15.75" customHeight="1">
      <c r="A2525" s="117" t="str">
        <f>IFERROR(__xludf.DUMMYFUNCTION("""COMPUTED_VALUE"""),"0777 034 172")</f>
        <v>0777 034 172</v>
      </c>
      <c r="B2525" s="118" t="str">
        <f>IFERROR(__xludf.DUMMYFUNCTION("""COMPUTED_VALUE"""),"Em Liên")</f>
        <v>Em Liên</v>
      </c>
      <c r="C2525" s="118" t="str">
        <f>IFERROR(__xludf.DUMMYFUNCTION("""COMPUTED_VALUE"""),"Phú an- Phú Vang")</f>
        <v>Phú an- Phú Vang</v>
      </c>
      <c r="D2525" s="118" t="str">
        <f>IFERROR(__xludf.DUMMYFUNCTION("""COMPUTED_VALUE"""),"chó")</f>
        <v>chó</v>
      </c>
      <c r="E2525" s="118" t="str">
        <f>IFERROR(__xludf.DUMMYFUNCTION("""COMPUTED_VALUE""")," Lu")</f>
        <v> Lu</v>
      </c>
    </row>
    <row r="2526" ht="15.75" customHeight="1">
      <c r="A2526" s="117" t="str">
        <f>IFERROR(__xludf.DUMMYFUNCTION("""COMPUTED_VALUE"""),"0902 424 892")</f>
        <v>0902 424 892</v>
      </c>
      <c r="B2526" s="118" t="str">
        <f>IFERROR(__xludf.DUMMYFUNCTION("""COMPUTED_VALUE"""),"Chí Thanh")</f>
        <v>Chí Thanh</v>
      </c>
      <c r="C2526" s="118" t="str">
        <f>IFERROR(__xludf.DUMMYFUNCTION("""COMPUTED_VALUE"""),"18 Xóm 2 Ngọc Anh")</f>
        <v>18 Xóm 2 Ngọc Anh</v>
      </c>
      <c r="D2526" s="118" t="str">
        <f>IFERROR(__xludf.DUMMYFUNCTION("""COMPUTED_VALUE"""),"Chó")</f>
        <v>Chó</v>
      </c>
      <c r="E2526" s="118"/>
    </row>
    <row r="2527" ht="15.75" customHeight="1">
      <c r="A2527" s="117" t="str">
        <f>IFERROR(__xludf.DUMMYFUNCTION("""COMPUTED_VALUE"""),"0916 607 770")</f>
        <v>0916 607 770</v>
      </c>
      <c r="B2527" s="118" t="str">
        <f>IFERROR(__xludf.DUMMYFUNCTION("""COMPUTED_VALUE"""),"Chị Oanh")</f>
        <v>Chị Oanh</v>
      </c>
      <c r="C2527" s="118" t="str">
        <f>IFERROR(__xludf.DUMMYFUNCTION("""COMPUTED_VALUE"""),"93 Dặng Văn ngữ")</f>
        <v>93 Dặng Văn ngữ</v>
      </c>
      <c r="D2527" s="118" t="str">
        <f>IFERROR(__xludf.DUMMYFUNCTION("""COMPUTED_VALUE"""),"chó")</f>
        <v>chó</v>
      </c>
      <c r="E2527" s="118" t="str">
        <f>IFERROR(__xludf.DUMMYFUNCTION("""COMPUTED_VALUE""")," Củ cải")</f>
        <v> Củ cải</v>
      </c>
    </row>
    <row r="2528" ht="15.75" customHeight="1">
      <c r="A2528" s="117" t="str">
        <f>IFERROR(__xludf.DUMMYFUNCTION("""COMPUTED_VALUE"""),"0979 667 218")</f>
        <v>0979 667 218</v>
      </c>
      <c r="B2528" s="118" t="str">
        <f>IFERROR(__xludf.DUMMYFUNCTION("""COMPUTED_VALUE"""),"Chị Nhung")</f>
        <v>Chị Nhung</v>
      </c>
      <c r="C2528" s="118" t="str">
        <f>IFERROR(__xludf.DUMMYFUNCTION("""COMPUTED_VALUE""")," 131 Trần Phú")</f>
        <v> 131 Trần Phú</v>
      </c>
      <c r="D2528" s="118" t="str">
        <f>IFERROR(__xludf.DUMMYFUNCTION("""COMPUTED_VALUE"""),"chó")</f>
        <v>chó</v>
      </c>
      <c r="E2528" s="118" t="str">
        <f>IFERROR(__xludf.DUMMYFUNCTION("""COMPUTED_VALUE""")," Ken")</f>
        <v> Ken</v>
      </c>
    </row>
    <row r="2529" ht="15.75" customHeight="1">
      <c r="A2529" s="117" t="str">
        <f>IFERROR(__xludf.DUMMYFUNCTION("""COMPUTED_VALUE"""),"0365 040 234")</f>
        <v>0365 040 234</v>
      </c>
      <c r="B2529" s="118" t="str">
        <f>IFERROR(__xludf.DUMMYFUNCTION("""COMPUTED_VALUE"""),"Nguyễn Công Châu")</f>
        <v>Nguyễn Công Châu</v>
      </c>
      <c r="C2529" s="118" t="str">
        <f>IFERROR(__xludf.DUMMYFUNCTION("""COMPUTED_VALUE"""),"14/28 Ngự Bình")</f>
        <v>14/28 Ngự Bình</v>
      </c>
      <c r="D2529" s="118" t="str">
        <f>IFERROR(__xludf.DUMMYFUNCTION("""COMPUTED_VALUE"""),"chó")</f>
        <v>chó</v>
      </c>
      <c r="E2529" s="118" t="str">
        <f>IFERROR(__xludf.DUMMYFUNCTION("""COMPUTED_VALUE""")," Thúi")</f>
        <v> Thúi</v>
      </c>
    </row>
    <row r="2530" ht="15.75" customHeight="1">
      <c r="A2530" s="117" t="str">
        <f>IFERROR(__xludf.DUMMYFUNCTION("""COMPUTED_VALUE"""),"0904 566 825")</f>
        <v>0904 566 825</v>
      </c>
      <c r="B2530" s="118" t="str">
        <f>IFERROR(__xludf.DUMMYFUNCTION("""COMPUTED_VALUE"""),"Cô Dung")</f>
        <v>Cô Dung</v>
      </c>
      <c r="C2530" s="118" t="str">
        <f>IFERROR(__xludf.DUMMYFUNCTION("""COMPUTED_VALUE"""),"43 Nguyễn Thiện Kế")</f>
        <v>43 Nguyễn Thiện Kế</v>
      </c>
      <c r="D2530" s="118" t="str">
        <f>IFERROR(__xludf.DUMMYFUNCTION("""COMPUTED_VALUE"""),"mèo ")</f>
        <v>mèo </v>
      </c>
      <c r="E2530" s="118" t="str">
        <f>IFERROR(__xludf.DUMMYFUNCTION("""COMPUTED_VALUE"""),"cute")</f>
        <v>cute</v>
      </c>
    </row>
    <row r="2531" ht="15.75" customHeight="1">
      <c r="A2531" s="117" t="str">
        <f>IFERROR(__xludf.DUMMYFUNCTION("""COMPUTED_VALUE"""),"0937 814 800")</f>
        <v>0937 814 800</v>
      </c>
      <c r="B2531" s="118" t="str">
        <f>IFERROR(__xludf.DUMMYFUNCTION("""COMPUTED_VALUE"""),"Chị Nhi")</f>
        <v>Chị Nhi</v>
      </c>
      <c r="C2531" s="118" t="str">
        <f>IFERROR(__xludf.DUMMYFUNCTION("""COMPUTED_VALUE""")," Hương Hồ")</f>
        <v> Hương Hồ</v>
      </c>
      <c r="D2531" s="118" t="str">
        <f>IFERROR(__xludf.DUMMYFUNCTION("""COMPUTED_VALUE"""),"chó")</f>
        <v>chó</v>
      </c>
      <c r="E2531" s="118" t="str">
        <f>IFERROR(__xludf.DUMMYFUNCTION("""COMPUTED_VALUE"""),"Nu")</f>
        <v>Nu</v>
      </c>
    </row>
    <row r="2532" ht="15.75" customHeight="1">
      <c r="A2532" s="117" t="str">
        <f>IFERROR(__xludf.DUMMYFUNCTION("""COMPUTED_VALUE"""),"0394 656 434")</f>
        <v>0394 656 434</v>
      </c>
      <c r="B2532" s="118" t="str">
        <f>IFERROR(__xludf.DUMMYFUNCTION("""COMPUTED_VALUE"""),"Chị Thủy")</f>
        <v>Chị Thủy</v>
      </c>
      <c r="C2532" s="118" t="str">
        <f>IFERROR(__xludf.DUMMYFUNCTION("""COMPUTED_VALUE"""),"An Tây")</f>
        <v>An Tây</v>
      </c>
      <c r="D2532" s="118" t="str">
        <f>IFERROR(__xludf.DUMMYFUNCTION("""COMPUTED_VALUE"""),"Chó")</f>
        <v>Chó</v>
      </c>
      <c r="E2532" s="118" t="str">
        <f>IFERROR(__xludf.DUMMYFUNCTION("""COMPUTED_VALUE""")," chuối")</f>
        <v> chuối</v>
      </c>
    </row>
    <row r="2533" ht="15.75" customHeight="1">
      <c r="A2533" s="117" t="str">
        <f>IFERROR(__xludf.DUMMYFUNCTION("""COMPUTED_VALUE"""),"0986 240 436")</f>
        <v>0986 240 436</v>
      </c>
      <c r="B2533" s="118" t="str">
        <f>IFERROR(__xludf.DUMMYFUNCTION("""COMPUTED_VALUE"""),"Anh Tùng")</f>
        <v>Anh Tùng</v>
      </c>
      <c r="C2533" s="118" t="str">
        <f>IFERROR(__xludf.DUMMYFUNCTION("""COMPUTED_VALUE"""),"4/146 Trần Quốc Toản")</f>
        <v>4/146 Trần Quốc Toản</v>
      </c>
      <c r="D2533" s="118" t="str">
        <f>IFERROR(__xludf.DUMMYFUNCTION("""COMPUTED_VALUE"""),"Chó")</f>
        <v>Chó</v>
      </c>
      <c r="E2533" s="118"/>
    </row>
    <row r="2534" ht="15.75" customHeight="1">
      <c r="A2534" s="117" t="str">
        <f>IFERROR(__xludf.DUMMYFUNCTION("""COMPUTED_VALUE"""),"0824 344 501")</f>
        <v>0824 344 501</v>
      </c>
      <c r="B2534" s="127" t="str">
        <f>IFERROR(__xludf.DUMMYFUNCTION("""COMPUTED_VALUE"""),"Chú Chế")</f>
        <v>Chú Chế</v>
      </c>
      <c r="C2534" s="119" t="str">
        <f>IFERROR(__xludf.DUMMYFUNCTION("""COMPUTED_VALUE"""),"8/4/35 Nguyễn Phúc Lan")</f>
        <v>8/4/35 Nguyễn Phúc Lan</v>
      </c>
      <c r="D2534" s="118" t="str">
        <f>IFERROR(__xludf.DUMMYFUNCTION("""COMPUTED_VALUE"""),"Chó")</f>
        <v>Chó</v>
      </c>
      <c r="E2534" s="119" t="str">
        <f>IFERROR(__xludf.DUMMYFUNCTION("""COMPUTED_VALUE"""),"Lì")</f>
        <v>Lì</v>
      </c>
    </row>
    <row r="2535" ht="15.75" customHeight="1">
      <c r="A2535" s="117" t="str">
        <f>IFERROR(__xludf.DUMMYFUNCTION("""COMPUTED_VALUE"""),"0903 020 425")</f>
        <v>0903 020 425</v>
      </c>
      <c r="B2535" s="118" t="str">
        <f>IFERROR(__xludf.DUMMYFUNCTION("""COMPUTED_VALUE"""),"Em Nhật Anh")</f>
        <v>Em Nhật Anh</v>
      </c>
      <c r="C2535" s="118" t="str">
        <f>IFERROR(__xludf.DUMMYFUNCTION("""COMPUTED_VALUE"""),"15/79 Phạm Thị Liên")</f>
        <v>15/79 Phạm Thị Liên</v>
      </c>
      <c r="D2535" s="118" t="str">
        <f>IFERROR(__xludf.DUMMYFUNCTION("""COMPUTED_VALUE"""),"chó")</f>
        <v>chó</v>
      </c>
      <c r="E2535" s="118" t="str">
        <f>IFERROR(__xludf.DUMMYFUNCTION("""COMPUTED_VALUE"""),"An")</f>
        <v>An</v>
      </c>
    </row>
    <row r="2536" ht="15.75" customHeight="1">
      <c r="A2536" s="117" t="str">
        <f>IFERROR(__xludf.DUMMYFUNCTION("""COMPUTED_VALUE"""),"0377 341 889")</f>
        <v>0377 341 889</v>
      </c>
      <c r="B2536" s="118" t="str">
        <f>IFERROR(__xludf.DUMMYFUNCTION("""COMPUTED_VALUE"""),"Mai Thương")</f>
        <v>Mai Thương</v>
      </c>
      <c r="C2536" s="118" t="str">
        <f>IFERROR(__xludf.DUMMYFUNCTION("""COMPUTED_VALUE"""),"25 Phạm Tú")</f>
        <v>25 Phạm Tú</v>
      </c>
      <c r="D2536" s="118" t="str">
        <f>IFERROR(__xludf.DUMMYFUNCTION("""COMPUTED_VALUE"""),"mèo")</f>
        <v>mèo</v>
      </c>
      <c r="E2536" s="118" t="str">
        <f>IFERROR(__xludf.DUMMYFUNCTION("""COMPUTED_VALUE"""),"Mướp")</f>
        <v>Mướp</v>
      </c>
    </row>
    <row r="2537" ht="15.75" customHeight="1">
      <c r="A2537" s="117" t="str">
        <f>IFERROR(__xludf.DUMMYFUNCTION("""COMPUTED_VALUE"""),"0913 419 663")</f>
        <v>0913 419 663</v>
      </c>
      <c r="B2537" s="118" t="str">
        <f>IFERROR(__xludf.DUMMYFUNCTION("""COMPUTED_VALUE"""),"Hoài Nhi")</f>
        <v>Hoài Nhi</v>
      </c>
      <c r="C2537" s="118" t="str">
        <f>IFERROR(__xludf.DUMMYFUNCTION("""COMPUTED_VALUE"""),"25/11 Nguyễn Phúc Thụ")</f>
        <v>25/11 Nguyễn Phúc Thụ</v>
      </c>
      <c r="D2537" s="118" t="str">
        <f>IFERROR(__xludf.DUMMYFUNCTION("""COMPUTED_VALUE"""),"mèo")</f>
        <v>mèo</v>
      </c>
      <c r="E2537" s="118" t="str">
        <f>IFERROR(__xludf.DUMMYFUNCTION("""COMPUTED_VALUE"""),"Ú")</f>
        <v>Ú</v>
      </c>
    </row>
    <row r="2538" ht="15.75" customHeight="1">
      <c r="A2538" s="117" t="str">
        <f>IFERROR(__xludf.DUMMYFUNCTION("""COMPUTED_VALUE"""),"0935 022 162")</f>
        <v>0935 022 162</v>
      </c>
      <c r="B2538" s="118" t="str">
        <f>IFERROR(__xludf.DUMMYFUNCTION("""COMPUTED_VALUE"""),"Anh Bắc")</f>
        <v>Anh Bắc</v>
      </c>
      <c r="C2538" s="118" t="str">
        <f>IFERROR(__xludf.DUMMYFUNCTION("""COMPUTED_VALUE"""),"240/76 Lý Nam Đế")</f>
        <v>240/76 Lý Nam Đế</v>
      </c>
      <c r="D2538" s="118" t="str">
        <f>IFERROR(__xludf.DUMMYFUNCTION("""COMPUTED_VALUE"""),"Chó")</f>
        <v>Chó</v>
      </c>
      <c r="E2538" s="118" t="str">
        <f>IFERROR(__xludf.DUMMYFUNCTION("""COMPUTED_VALUE"""),"Ken")</f>
        <v>Ken</v>
      </c>
    </row>
    <row r="2539" ht="15.75" customHeight="1">
      <c r="A2539" s="117" t="str">
        <f>IFERROR(__xludf.DUMMYFUNCTION("""COMPUTED_VALUE"""),"0945 545 589")</f>
        <v>0945 545 589</v>
      </c>
      <c r="B2539" s="118" t="str">
        <f>IFERROR(__xludf.DUMMYFUNCTION("""COMPUTED_VALUE"""),"Võ Thị Thanh")</f>
        <v>Võ Thị Thanh</v>
      </c>
      <c r="C2539" s="118" t="str">
        <f>IFERROR(__xludf.DUMMYFUNCTION("""COMPUTED_VALUE"""),"243 Đặng tất")</f>
        <v>243 Đặng tất</v>
      </c>
      <c r="D2539" s="118" t="str">
        <f>IFERROR(__xludf.DUMMYFUNCTION("""COMPUTED_VALUE"""),"Chó")</f>
        <v>Chó</v>
      </c>
      <c r="E2539" s="118" t="str">
        <f>IFERROR(__xludf.DUMMYFUNCTION("""COMPUTED_VALUE"""),"mía")</f>
        <v>mía</v>
      </c>
    </row>
    <row r="2540" ht="15.75" customHeight="1">
      <c r="A2540" s="117" t="str">
        <f>IFERROR(__xludf.DUMMYFUNCTION("""COMPUTED_VALUE"""),"0983 810 058")</f>
        <v>0983 810 058</v>
      </c>
      <c r="B2540" s="118" t="str">
        <f>IFERROR(__xludf.DUMMYFUNCTION("""COMPUTED_VALUE"""),"Bảo Nguyên")</f>
        <v>Bảo Nguyên</v>
      </c>
      <c r="C2540" s="118" t="str">
        <f>IFERROR(__xludf.DUMMYFUNCTION("""COMPUTED_VALUE"""),"8/6 Lê Tự Nhiên")</f>
        <v>8/6 Lê Tự Nhiên</v>
      </c>
      <c r="D2540" s="118" t="str">
        <f>IFERROR(__xludf.DUMMYFUNCTION("""COMPUTED_VALUE"""),"Mèo")</f>
        <v>Mèo</v>
      </c>
      <c r="E2540" s="118"/>
    </row>
    <row r="2541" ht="15.75" customHeight="1">
      <c r="A2541" s="117" t="str">
        <f>IFERROR(__xludf.DUMMYFUNCTION("""COMPUTED_VALUE"""),"0858 087 832")</f>
        <v>0858 087 832</v>
      </c>
      <c r="B2541" s="118" t="str">
        <f>IFERROR(__xludf.DUMMYFUNCTION("""COMPUTED_VALUE"""),"Anh Lâm")</f>
        <v>Anh Lâm</v>
      </c>
      <c r="C2541" s="118" t="str">
        <f>IFERROR(__xludf.DUMMYFUNCTION("""COMPUTED_VALUE"""),"k1 Xuân Hoà")</f>
        <v>k1 Xuân Hoà</v>
      </c>
      <c r="D2541" s="118" t="str">
        <f>IFERROR(__xludf.DUMMYFUNCTION("""COMPUTED_VALUE"""),"chó")</f>
        <v>chó</v>
      </c>
      <c r="E2541" s="118" t="str">
        <f>IFERROR(__xludf.DUMMYFUNCTION("""COMPUTED_VALUE"""),"May")</f>
        <v>May</v>
      </c>
    </row>
    <row r="2542" ht="15.75" customHeight="1">
      <c r="A2542" s="117" t="str">
        <f>IFERROR(__xludf.DUMMYFUNCTION("""COMPUTED_VALUE"""),"0858 309 307")</f>
        <v>0858 309 307</v>
      </c>
      <c r="B2542" s="118" t="str">
        <f>IFERROR(__xludf.DUMMYFUNCTION("""COMPUTED_VALUE"""),"Anh Nguyên")</f>
        <v>Anh Nguyên</v>
      </c>
      <c r="C2542" s="118" t="str">
        <f>IFERROR(__xludf.DUMMYFUNCTION("""COMPUTED_VALUE"""),"Phú Thượng, Phú Vang")</f>
        <v>Phú Thượng, Phú Vang</v>
      </c>
      <c r="D2542" s="118" t="str">
        <f>IFERROR(__xludf.DUMMYFUNCTION("""COMPUTED_VALUE"""),"mèo")</f>
        <v>mèo</v>
      </c>
      <c r="E2542" s="118" t="str">
        <f>IFERROR(__xludf.DUMMYFUNCTION("""COMPUTED_VALUE"""),"vàng")</f>
        <v>vàng</v>
      </c>
    </row>
    <row r="2543" ht="15.75" customHeight="1">
      <c r="A2543" s="117" t="str">
        <f>IFERROR(__xludf.DUMMYFUNCTION("""COMPUTED_VALUE"""),"0344 985 745")</f>
        <v>0344 985 745</v>
      </c>
      <c r="B2543" s="118" t="str">
        <f>IFERROR(__xludf.DUMMYFUNCTION("""COMPUTED_VALUE"""),"Em Hương")</f>
        <v>Em Hương</v>
      </c>
      <c r="C2543" s="118" t="str">
        <f>IFERROR(__xludf.DUMMYFUNCTION("""COMPUTED_VALUE"""),"46 Trần Phú")</f>
        <v>46 Trần Phú</v>
      </c>
      <c r="D2543" s="118" t="str">
        <f>IFERROR(__xludf.DUMMYFUNCTION("""COMPUTED_VALUE"""),"mèo")</f>
        <v>mèo</v>
      </c>
      <c r="E2543" s="119" t="str">
        <f>IFERROR(__xludf.DUMMYFUNCTION("""COMPUTED_VALUE"""),"Xoài")</f>
        <v>Xoài</v>
      </c>
    </row>
    <row r="2544" ht="15.75" customHeight="1">
      <c r="A2544" s="117" t="str">
        <f>IFERROR(__xludf.DUMMYFUNCTION("""COMPUTED_VALUE"""),"0919 009 010")</f>
        <v>0919 009 010</v>
      </c>
      <c r="B2544" s="118" t="str">
        <f>IFERROR(__xludf.DUMMYFUNCTION("""COMPUTED_VALUE"""),"Chị Thảo")</f>
        <v>Chị Thảo</v>
      </c>
      <c r="C2544" s="118" t="str">
        <f>IFERROR(__xludf.DUMMYFUNCTION("""COMPUTED_VALUE"""),"Xóm Ngọc Anh")</f>
        <v>Xóm Ngọc Anh</v>
      </c>
      <c r="D2544" s="118" t="str">
        <f>IFERROR(__xludf.DUMMYFUNCTION("""COMPUTED_VALUE"""),"mèo")</f>
        <v>mèo</v>
      </c>
      <c r="E2544" s="119" t="str">
        <f>IFERROR(__xludf.DUMMYFUNCTION("""COMPUTED_VALUE"""),"đậu")</f>
        <v>đậu</v>
      </c>
    </row>
    <row r="2545" ht="15.75" customHeight="1">
      <c r="A2545" s="122" t="str">
        <f>IFERROR(__xludf.DUMMYFUNCTION("""COMPUTED_VALUE"""),"0337 439 428")</f>
        <v>0337 439 428</v>
      </c>
      <c r="B2545" s="119" t="str">
        <f>IFERROR(__xludf.DUMMYFUNCTION("""COMPUTED_VALUE"""),"Nhi")</f>
        <v>Nhi</v>
      </c>
      <c r="C2545" s="119" t="str">
        <f>IFERROR(__xludf.DUMMYFUNCTION("""COMPUTED_VALUE"""),"k131 Hàn Mặc Tử")</f>
        <v>k131 Hàn Mặc Tử</v>
      </c>
      <c r="D2545" s="119" t="str">
        <f>IFERROR(__xludf.DUMMYFUNCTION("""COMPUTED_VALUE"""),"chó")</f>
        <v>chó</v>
      </c>
      <c r="E2545" s="119" t="str">
        <f>IFERROR(__xludf.DUMMYFUNCTION("""COMPUTED_VALUE"""),"Sâu")</f>
        <v>Sâu</v>
      </c>
    </row>
    <row r="2546" ht="15.75" customHeight="1">
      <c r="A2546" s="122" t="str">
        <f>IFERROR(__xludf.DUMMYFUNCTION("""COMPUTED_VALUE"""),"0901 375 375")</f>
        <v>0901 375 375</v>
      </c>
      <c r="B2546" s="119" t="str">
        <f>IFERROR(__xludf.DUMMYFUNCTION("""COMPUTED_VALUE"""),"Anh Linh")</f>
        <v>Anh Linh</v>
      </c>
      <c r="C2546" s="119" t="str">
        <f>IFERROR(__xludf.DUMMYFUNCTION("""COMPUTED_VALUE"""),"167 Phạm Văn Đồng")</f>
        <v>167 Phạm Văn Đồng</v>
      </c>
      <c r="D2546" s="119" t="str">
        <f>IFERROR(__xludf.DUMMYFUNCTION("""COMPUTED_VALUE"""),"chó")</f>
        <v>chó</v>
      </c>
      <c r="E2546" s="119" t="str">
        <f>IFERROR(__xludf.DUMMYFUNCTION("""COMPUTED_VALUE"""),"Dola")</f>
        <v>Dola</v>
      </c>
    </row>
    <row r="2547" ht="15.75" customHeight="1">
      <c r="A2547" s="122" t="str">
        <f>IFERROR(__xludf.DUMMYFUNCTION("""COMPUTED_VALUE"""),"0914 757 575")</f>
        <v>0914 757 575</v>
      </c>
      <c r="B2547" s="119" t="str">
        <f>IFERROR(__xludf.DUMMYFUNCTION("""COMPUTED_VALUE"""),"Anh Thiện")</f>
        <v>Anh Thiện</v>
      </c>
      <c r="C2547" s="119" t="str">
        <f>IFERROR(__xludf.DUMMYFUNCTION("""COMPUTED_VALUE"""),"Nguyễn Công Trứ")</f>
        <v>Nguyễn Công Trứ</v>
      </c>
      <c r="D2547" s="119" t="str">
        <f>IFERROR(__xludf.DUMMYFUNCTION("""COMPUTED_VALUE"""),"chó")</f>
        <v>chó</v>
      </c>
      <c r="E2547" s="119"/>
    </row>
    <row r="2548" ht="15.75" customHeight="1">
      <c r="A2548" s="122" t="str">
        <f>IFERROR(__xludf.DUMMYFUNCTION("""COMPUTED_VALUE"""),"0812 876 445")</f>
        <v>0812 876 445</v>
      </c>
      <c r="B2548" s="119" t="str">
        <f>IFERROR(__xludf.DUMMYFUNCTION("""COMPUTED_VALUE"""),"Anh Vũ")</f>
        <v>Anh Vũ</v>
      </c>
      <c r="C2548" s="119" t="str">
        <f>IFERROR(__xludf.DUMMYFUNCTION("""COMPUTED_VALUE"""),"167/15 Nguyễn Lộ Trạch")</f>
        <v>167/15 Nguyễn Lộ Trạch</v>
      </c>
      <c r="D2548" s="119" t="str">
        <f>IFERROR(__xludf.DUMMYFUNCTION("""COMPUTED_VALUE"""),"chó")</f>
        <v>chó</v>
      </c>
      <c r="E2548" s="119" t="str">
        <f>IFERROR(__xludf.DUMMYFUNCTION("""COMPUTED_VALUE"""),"Sala")</f>
        <v>Sala</v>
      </c>
    </row>
    <row r="2549" ht="15.75" customHeight="1">
      <c r="A2549" s="122" t="str">
        <f>IFERROR(__xludf.DUMMYFUNCTION("""COMPUTED_VALUE"""),"0865 304 947")</f>
        <v>0865 304 947</v>
      </c>
      <c r="B2549" s="119" t="str">
        <f>IFERROR(__xludf.DUMMYFUNCTION("""COMPUTED_VALUE"""),"Chị Diễm ")</f>
        <v>Chị Diễm </v>
      </c>
      <c r="C2549" s="119" t="str">
        <f>IFERROR(__xludf.DUMMYFUNCTION("""COMPUTED_VALUE"""),"57 Duy Tân")</f>
        <v>57 Duy Tân</v>
      </c>
      <c r="D2549" s="119" t="str">
        <f>IFERROR(__xludf.DUMMYFUNCTION("""COMPUTED_VALUE"""),"chó")</f>
        <v>chó</v>
      </c>
      <c r="E2549" s="119"/>
    </row>
    <row r="2550" ht="15.75" customHeight="1">
      <c r="A2550" s="122" t="str">
        <f>IFERROR(__xludf.DUMMYFUNCTION("""COMPUTED_VALUE"""),"0984 867 475")</f>
        <v>0984 867 475</v>
      </c>
      <c r="B2550" s="119" t="str">
        <f>IFERROR(__xludf.DUMMYFUNCTION("""COMPUTED_VALUE"""),"Anh Hưng")</f>
        <v>Anh Hưng</v>
      </c>
      <c r="C2550" s="119" t="str">
        <f>IFERROR(__xludf.DUMMYFUNCTION("""COMPUTED_VALUE"""),"1/269 bùi Thị Xuân")</f>
        <v>1/269 bùi Thị Xuân</v>
      </c>
      <c r="D2550" s="119" t="str">
        <f>IFERROR(__xludf.DUMMYFUNCTION("""COMPUTED_VALUE"""),"chó")</f>
        <v>chó</v>
      </c>
      <c r="E2550" s="119" t="str">
        <f>IFERROR(__xludf.DUMMYFUNCTION("""COMPUTED_VALUE"""),"no")</f>
        <v>no</v>
      </c>
    </row>
    <row r="2551" ht="15.75" customHeight="1">
      <c r="A2551" s="122" t="str">
        <f>IFERROR(__xludf.DUMMYFUNCTION("""COMPUTED_VALUE"""),"0934 675 021")</f>
        <v>0934 675 021</v>
      </c>
      <c r="B2551" s="119" t="str">
        <f>IFERROR(__xludf.DUMMYFUNCTION("""COMPUTED_VALUE"""),"Bác Hiếu")</f>
        <v>Bác Hiếu</v>
      </c>
      <c r="C2551" s="119" t="str">
        <f>IFERROR(__xludf.DUMMYFUNCTION("""COMPUTED_VALUE"""),"40/33 Nguyễn Hoàng")</f>
        <v>40/33 Nguyễn Hoàng</v>
      </c>
      <c r="D2551" s="119" t="str">
        <f>IFERROR(__xludf.DUMMYFUNCTION("""COMPUTED_VALUE"""),"chó")</f>
        <v>chó</v>
      </c>
      <c r="E2551" s="119" t="str">
        <f>IFERROR(__xludf.DUMMYFUNCTION("""COMPUTED_VALUE"""),"Nora")</f>
        <v>Nora</v>
      </c>
    </row>
    <row r="2552" ht="15.75" customHeight="1">
      <c r="A2552" s="122" t="str">
        <f>IFERROR(__xludf.DUMMYFUNCTION("""COMPUTED_VALUE"""),"0905 616 010")</f>
        <v>0905 616 010</v>
      </c>
      <c r="B2552" s="119" t="str">
        <f>IFERROR(__xludf.DUMMYFUNCTION("""COMPUTED_VALUE"""),"Anh Đức")</f>
        <v>Anh Đức</v>
      </c>
      <c r="C2552" s="119" t="str">
        <f>IFERROR(__xludf.DUMMYFUNCTION("""COMPUTED_VALUE"""),"242 Lý Nam Đế")</f>
        <v>242 Lý Nam Đế</v>
      </c>
      <c r="D2552" s="119" t="str">
        <f>IFERROR(__xludf.DUMMYFUNCTION("""COMPUTED_VALUE"""),"Chó")</f>
        <v>Chó</v>
      </c>
      <c r="E2552" s="119" t="str">
        <f>IFERROR(__xludf.DUMMYFUNCTION("""COMPUTED_VALUE"""),"Bắp")</f>
        <v>Bắp</v>
      </c>
    </row>
    <row r="2553" ht="15.75" customHeight="1">
      <c r="A2553" s="122" t="str">
        <f>IFERROR(__xludf.DUMMYFUNCTION("""COMPUTED_VALUE"""),"0935 315 233")</f>
        <v>0935 315 233</v>
      </c>
      <c r="B2553" s="119" t="str">
        <f>IFERROR(__xludf.DUMMYFUNCTION("""COMPUTED_VALUE"""),"Chị Châu")</f>
        <v>Chị Châu</v>
      </c>
      <c r="C2553" s="119" t="str">
        <f>IFERROR(__xludf.DUMMYFUNCTION("""COMPUTED_VALUE"""),"4 Lê Đại Hành")</f>
        <v>4 Lê Đại Hành</v>
      </c>
      <c r="D2553" s="119" t="str">
        <f>IFERROR(__xludf.DUMMYFUNCTION("""COMPUTED_VALUE"""),"chó")</f>
        <v>chó</v>
      </c>
      <c r="E2553" s="119" t="str">
        <f>IFERROR(__xludf.DUMMYFUNCTION("""COMPUTED_VALUE"""),"Tony")</f>
        <v>Tony</v>
      </c>
    </row>
    <row r="2554" ht="15.75" customHeight="1">
      <c r="A2554" s="122" t="str">
        <f>IFERROR(__xludf.DUMMYFUNCTION("""COMPUTED_VALUE"""),"0796 636 337")</f>
        <v>0796 636 337</v>
      </c>
      <c r="B2554" s="119" t="str">
        <f>IFERROR(__xludf.DUMMYFUNCTION("""COMPUTED_VALUE"""),"Em Nhi")</f>
        <v>Em Nhi</v>
      </c>
      <c r="C2554" s="119" t="str">
        <f>IFERROR(__xludf.DUMMYFUNCTION("""COMPUTED_VALUE"""),"19k 184 Phan Chu Trinh")</f>
        <v>19k 184 Phan Chu Trinh</v>
      </c>
      <c r="D2554" s="119" t="str">
        <f>IFERROR(__xludf.DUMMYFUNCTION("""COMPUTED_VALUE"""),"Mèo")</f>
        <v>Mèo</v>
      </c>
      <c r="E2554" s="119" t="str">
        <f>IFERROR(__xludf.DUMMYFUNCTION("""COMPUTED_VALUE"""),"mint")</f>
        <v>mint</v>
      </c>
    </row>
    <row r="2555" ht="15.75" customHeight="1">
      <c r="A2555" s="122" t="str">
        <f>IFERROR(__xludf.DUMMYFUNCTION("""COMPUTED_VALUE"""),"0365 335 191")</f>
        <v>0365 335 191</v>
      </c>
      <c r="B2555" s="119" t="str">
        <f>IFERROR(__xludf.DUMMYFUNCTION("""COMPUTED_VALUE"""),"Thầy Nhuận Chánh")</f>
        <v>Thầy Nhuận Chánh</v>
      </c>
      <c r="C2555" s="119" t="str">
        <f>IFERROR(__xludf.DUMMYFUNCTION("""COMPUTED_VALUE"""),"200 Trần Phú")</f>
        <v>200 Trần Phú</v>
      </c>
      <c r="D2555" s="119" t="str">
        <f>IFERROR(__xludf.DUMMYFUNCTION("""COMPUTED_VALUE"""),"Chó ")</f>
        <v>Chó </v>
      </c>
      <c r="E2555" s="119" t="str">
        <f>IFERROR(__xludf.DUMMYFUNCTION("""COMPUTED_VALUE"""),"Bi")</f>
        <v>Bi</v>
      </c>
    </row>
    <row r="2556" ht="15.75" customHeight="1">
      <c r="A2556" s="122" t="str">
        <f>IFERROR(__xludf.DUMMYFUNCTION("""COMPUTED_VALUE"""),"0898 168 162")</f>
        <v>0898 168 162</v>
      </c>
      <c r="B2556" s="119" t="str">
        <f>IFERROR(__xludf.DUMMYFUNCTION("""COMPUTED_VALUE"""),"Chị Trâm")</f>
        <v>Chị Trâm</v>
      </c>
      <c r="C2556" s="119" t="str">
        <f>IFERROR(__xludf.DUMMYFUNCTION("""COMPUTED_VALUE"""),"Thanh Hải")</f>
        <v>Thanh Hải</v>
      </c>
      <c r="D2556" s="119" t="str">
        <f>IFERROR(__xludf.DUMMYFUNCTION("""COMPUTED_VALUE"""),"chó")</f>
        <v>chó</v>
      </c>
      <c r="E2556" s="119" t="str">
        <f>IFERROR(__xludf.DUMMYFUNCTION("""COMPUTED_VALUE"""),"Đốm")</f>
        <v>Đốm</v>
      </c>
    </row>
    <row r="2557" ht="15.75" customHeight="1">
      <c r="A2557" s="122" t="str">
        <f>IFERROR(__xludf.DUMMYFUNCTION("""COMPUTED_VALUE"""),"0788 595 059")</f>
        <v>0788 595 059</v>
      </c>
      <c r="B2557" s="119" t="str">
        <f>IFERROR(__xludf.DUMMYFUNCTION("""COMPUTED_VALUE"""),"Dì Xuân ")</f>
        <v>Dì Xuân </v>
      </c>
      <c r="C2557" s="119" t="str">
        <f>IFERROR(__xludf.DUMMYFUNCTION("""COMPUTED_VALUE"""),"22/69 Phạm Thị Liên")</f>
        <v>22/69 Phạm Thị Liên</v>
      </c>
      <c r="D2557" s="119" t="str">
        <f>IFERROR(__xludf.DUMMYFUNCTION("""COMPUTED_VALUE"""),"chó")</f>
        <v>chó</v>
      </c>
      <c r="E2557" s="119" t="str">
        <f>IFERROR(__xludf.DUMMYFUNCTION("""COMPUTED_VALUE"""),"Misa")</f>
        <v>Misa</v>
      </c>
    </row>
    <row r="2558" ht="15.75" customHeight="1">
      <c r="A2558" s="122" t="str">
        <f>IFERROR(__xludf.DUMMYFUNCTION("""COMPUTED_VALUE"""),"0935 987 564")</f>
        <v>0935 987 564</v>
      </c>
      <c r="B2558" s="119" t="str">
        <f>IFERROR(__xludf.DUMMYFUNCTION("""COMPUTED_VALUE"""),"Anh Hà Anh")</f>
        <v>Anh Hà Anh</v>
      </c>
      <c r="C2558" s="119" t="str">
        <f>IFERROR(__xludf.DUMMYFUNCTION("""COMPUTED_VALUE"""),"5/ 32 Hồ Văn Đỗ")</f>
        <v>5/ 32 Hồ Văn Đỗ</v>
      </c>
      <c r="D2558" s="119" t="str">
        <f>IFERROR(__xludf.DUMMYFUNCTION("""COMPUTED_VALUE"""),"chó")</f>
        <v>chó</v>
      </c>
      <c r="E2558" s="119" t="str">
        <f>IFERROR(__xludf.DUMMYFUNCTION("""COMPUTED_VALUE"""),"Bun")</f>
        <v>Bun</v>
      </c>
    </row>
    <row r="2559" ht="15.75" customHeight="1">
      <c r="A2559" s="122" t="str">
        <f>IFERROR(__xludf.DUMMYFUNCTION("""COMPUTED_VALUE"""),"0384 821 124")</f>
        <v>0384 821 124</v>
      </c>
      <c r="B2559" s="119" t="str">
        <f>IFERROR(__xludf.DUMMYFUNCTION("""COMPUTED_VALUE"""),"Anh Bảo ")</f>
        <v>Anh Bảo </v>
      </c>
      <c r="C2559" s="119" t="str">
        <f>IFERROR(__xludf.DUMMYFUNCTION("""COMPUTED_VALUE"""),"2k 210 Phan Chu Trinh")</f>
        <v>2k 210 Phan Chu Trinh</v>
      </c>
      <c r="D2559" s="119" t="str">
        <f>IFERROR(__xludf.DUMMYFUNCTION("""COMPUTED_VALUE"""),"Mèo")</f>
        <v>Mèo</v>
      </c>
      <c r="E2559" s="119" t="str">
        <f>IFERROR(__xludf.DUMMYFUNCTION("""COMPUTED_VALUE"""),"đen")</f>
        <v>đen</v>
      </c>
    </row>
    <row r="2560" ht="15.75" customHeight="1">
      <c r="A2560" s="122" t="str">
        <f>IFERROR(__xludf.DUMMYFUNCTION("""COMPUTED_VALUE"""),"0387 431 527")</f>
        <v>0387 431 527</v>
      </c>
      <c r="B2560" s="119" t="str">
        <f>IFERROR(__xludf.DUMMYFUNCTION("""COMPUTED_VALUE"""),"Thiên Hữu")</f>
        <v>Thiên Hữu</v>
      </c>
      <c r="C2560" s="119" t="str">
        <f>IFERROR(__xludf.DUMMYFUNCTION("""COMPUTED_VALUE"""),"34 Nguyễn Phúc Nguyên")</f>
        <v>34 Nguyễn Phúc Nguyên</v>
      </c>
      <c r="D2560" s="119" t="str">
        <f>IFERROR(__xludf.DUMMYFUNCTION("""COMPUTED_VALUE"""),"chó")</f>
        <v>chó</v>
      </c>
      <c r="E2560" s="119" t="str">
        <f>IFERROR(__xludf.DUMMYFUNCTION("""COMPUTED_VALUE"""),"Maxy")</f>
        <v>Maxy</v>
      </c>
    </row>
    <row r="2561" ht="15.75" customHeight="1">
      <c r="A2561" s="122" t="str">
        <f>IFERROR(__xludf.DUMMYFUNCTION("""COMPUTED_VALUE"""),"0325 026 713")</f>
        <v>0325 026 713</v>
      </c>
      <c r="B2561" s="119" t="str">
        <f>IFERROR(__xludf.DUMMYFUNCTION("""COMPUTED_VALUE"""),"Xuân Mai")</f>
        <v>Xuân Mai</v>
      </c>
      <c r="C2561" s="119" t="str">
        <f>IFERROR(__xludf.DUMMYFUNCTION("""COMPUTED_VALUE"""),"Long Hồ - Hương Hồ")</f>
        <v>Long Hồ - Hương Hồ</v>
      </c>
      <c r="D2561" s="119" t="str">
        <f>IFERROR(__xludf.DUMMYFUNCTION("""COMPUTED_VALUE"""),"Chó")</f>
        <v>Chó</v>
      </c>
      <c r="E2561" s="119" t="str">
        <f>IFERROR(__xludf.DUMMYFUNCTION("""COMPUTED_VALUE"""),"Milo")</f>
        <v>Milo</v>
      </c>
    </row>
    <row r="2562" ht="15.75" customHeight="1">
      <c r="A2562" s="122" t="str">
        <f>IFERROR(__xludf.DUMMYFUNCTION("""COMPUTED_VALUE"""),"0987 312 065")</f>
        <v>0987 312 065</v>
      </c>
      <c r="B2562" s="119" t="str">
        <f>IFERROR(__xludf.DUMMYFUNCTION("""COMPUTED_VALUE"""),"Chị Thảo")</f>
        <v>Chị Thảo</v>
      </c>
      <c r="C2562" s="119" t="str">
        <f>IFERROR(__xludf.DUMMYFUNCTION("""COMPUTED_VALUE"""),"8/175 Phan Bội Châu")</f>
        <v>8/175 Phan Bội Châu</v>
      </c>
      <c r="D2562" s="119" t="str">
        <f>IFERROR(__xludf.DUMMYFUNCTION("""COMPUTED_VALUE"""),"mèo")</f>
        <v>mèo</v>
      </c>
      <c r="E2562" s="119" t="str">
        <f>IFERROR(__xludf.DUMMYFUNCTION("""COMPUTED_VALUE"""),"Khoai")</f>
        <v>Khoai</v>
      </c>
    </row>
    <row r="2563" ht="15.75" customHeight="1">
      <c r="A2563" s="122" t="str">
        <f>IFERROR(__xludf.DUMMYFUNCTION("""COMPUTED_VALUE"""),"0776 237 748")</f>
        <v>0776 237 748</v>
      </c>
      <c r="B2563" s="119" t="str">
        <f>IFERROR(__xludf.DUMMYFUNCTION("""COMPUTED_VALUE"""),"em Trung")</f>
        <v>em Trung</v>
      </c>
      <c r="C2563" s="119" t="str">
        <f>IFERROR(__xludf.DUMMYFUNCTION("""COMPUTED_VALUE"""),"K66 Xuân Diệu")</f>
        <v>K66 Xuân Diệu</v>
      </c>
      <c r="D2563" s="119" t="str">
        <f>IFERROR(__xludf.DUMMYFUNCTION("""COMPUTED_VALUE"""),"mèo")</f>
        <v>mèo</v>
      </c>
      <c r="E2563" s="119" t="str">
        <f>IFERROR(__xludf.DUMMYFUNCTION("""COMPUTED_VALUE"""),"tun")</f>
        <v>tun</v>
      </c>
    </row>
    <row r="2564" ht="15.75" customHeight="1">
      <c r="A2564" s="122" t="str">
        <f>IFERROR(__xludf.DUMMYFUNCTION("""COMPUTED_VALUE"""),"0905 121 176")</f>
        <v>0905 121 176</v>
      </c>
      <c r="B2564" s="119" t="str">
        <f>IFERROR(__xludf.DUMMYFUNCTION("""COMPUTED_VALUE"""),"Chị Giang")</f>
        <v>Chị Giang</v>
      </c>
      <c r="C2564" s="119" t="str">
        <f>IFERROR(__xludf.DUMMYFUNCTION("""COMPUTED_VALUE"""),"30/82 Quảng Tế")</f>
        <v>30/82 Quảng Tế</v>
      </c>
      <c r="D2564" s="119" t="str">
        <f>IFERROR(__xludf.DUMMYFUNCTION("""COMPUTED_VALUE"""),"mèo")</f>
        <v>mèo</v>
      </c>
      <c r="E2564" s="119"/>
    </row>
    <row r="2565" ht="15.75" customHeight="1">
      <c r="A2565" s="122" t="str">
        <f>IFERROR(__xludf.DUMMYFUNCTION("""COMPUTED_VALUE"""),"0914 189 445")</f>
        <v>0914 189 445</v>
      </c>
      <c r="B2565" s="119" t="str">
        <f>IFERROR(__xludf.DUMMYFUNCTION("""COMPUTED_VALUE"""),"khách")</f>
        <v>khách</v>
      </c>
      <c r="C2565" s="119" t="str">
        <f>IFERROR(__xludf.DUMMYFUNCTION("""COMPUTED_VALUE"""),"4 Tôn thất Dương Kỵ")</f>
        <v>4 Tôn thất Dương Kỵ</v>
      </c>
      <c r="D2565" s="119" t="str">
        <f>IFERROR(__xludf.DUMMYFUNCTION("""COMPUTED_VALUE"""),"chó")</f>
        <v>chó</v>
      </c>
      <c r="E2565" s="119" t="str">
        <f>IFERROR(__xludf.DUMMYFUNCTION("""COMPUTED_VALUE"""),"Gấu")</f>
        <v>Gấu</v>
      </c>
    </row>
    <row r="2566" ht="15.75" customHeight="1">
      <c r="A2566" s="122" t="str">
        <f>IFERROR(__xludf.DUMMYFUNCTION("""COMPUTED_VALUE"""),"0327 742 511")</f>
        <v>0327 742 511</v>
      </c>
      <c r="B2566" s="119" t="str">
        <f>IFERROR(__xludf.DUMMYFUNCTION("""COMPUTED_VALUE"""),"Em Nhi")</f>
        <v>Em Nhi</v>
      </c>
      <c r="C2566" s="119" t="str">
        <f>IFERROR(__xludf.DUMMYFUNCTION("""COMPUTED_VALUE"""),"Quảng An, Quảng Điền")</f>
        <v>Quảng An, Quảng Điền</v>
      </c>
      <c r="D2566" s="119" t="str">
        <f>IFERROR(__xludf.DUMMYFUNCTION("""COMPUTED_VALUE"""),"chó")</f>
        <v>chó</v>
      </c>
      <c r="E2566" s="119" t="str">
        <f>IFERROR(__xludf.DUMMYFUNCTION("""COMPUTED_VALUE"""),"Bum")</f>
        <v>Bum</v>
      </c>
    </row>
    <row r="2567" ht="15.75" customHeight="1">
      <c r="A2567" s="122" t="str">
        <f>IFERROR(__xludf.DUMMYFUNCTION("""COMPUTED_VALUE"""),"0396 669 047")</f>
        <v>0396 669 047</v>
      </c>
      <c r="B2567" s="119" t="str">
        <f>IFERROR(__xludf.DUMMYFUNCTION("""COMPUTED_VALUE"""),"Vy ")</f>
        <v>Vy </v>
      </c>
      <c r="C2567" s="119" t="str">
        <f>IFERROR(__xludf.DUMMYFUNCTION("""COMPUTED_VALUE"""),"11/69 Phạm Thị Liên")</f>
        <v>11/69 Phạm Thị Liên</v>
      </c>
      <c r="D2567" s="119" t="str">
        <f>IFERROR(__xludf.DUMMYFUNCTION("""COMPUTED_VALUE"""),"chó")</f>
        <v>chó</v>
      </c>
      <c r="E2567" s="119" t="str">
        <f>IFERROR(__xludf.DUMMYFUNCTION("""COMPUTED_VALUE"""),"Milo")</f>
        <v>Milo</v>
      </c>
    </row>
    <row r="2568" ht="15.75" customHeight="1">
      <c r="A2568" s="122" t="str">
        <f>IFERROR(__xludf.DUMMYFUNCTION("""COMPUTED_VALUE"""),"0859 487 964")</f>
        <v>0859 487 964</v>
      </c>
      <c r="B2568" s="119" t="str">
        <f>IFERROR(__xludf.DUMMYFUNCTION("""COMPUTED_VALUE"""),"Trần Công Vinh")</f>
        <v>Trần Công Vinh</v>
      </c>
      <c r="C2568" s="119" t="str">
        <f>IFERROR(__xludf.DUMMYFUNCTION("""COMPUTED_VALUE"""),"Lại Thế")</f>
        <v>Lại Thế</v>
      </c>
      <c r="D2568" s="119" t="str">
        <f>IFERROR(__xludf.DUMMYFUNCTION("""COMPUTED_VALUE"""),"Mèo")</f>
        <v>Mèo</v>
      </c>
      <c r="E2568" s="119" t="str">
        <f>IFERROR(__xludf.DUMMYFUNCTION("""COMPUTED_VALUE"""),"Mun")</f>
        <v>Mun</v>
      </c>
    </row>
    <row r="2569" ht="15.75" customHeight="1">
      <c r="A2569" s="122" t="str">
        <f>IFERROR(__xludf.DUMMYFUNCTION("""COMPUTED_VALUE"""),"0935 379 141")</f>
        <v>0935 379 141</v>
      </c>
      <c r="B2569" s="119" t="str">
        <f>IFERROR(__xludf.DUMMYFUNCTION("""COMPUTED_VALUE"""),"Thanh Tú")</f>
        <v>Thanh Tú</v>
      </c>
      <c r="C2569" s="119" t="str">
        <f>IFERROR(__xludf.DUMMYFUNCTION("""COMPUTED_VALUE"""),"34b Phạm Văn Đồng")</f>
        <v>34b Phạm Văn Đồng</v>
      </c>
      <c r="D2569" s="119" t="str">
        <f>IFERROR(__xludf.DUMMYFUNCTION("""COMPUTED_VALUE"""),"chó")</f>
        <v>chó</v>
      </c>
      <c r="E2569" s="119" t="str">
        <f>IFERROR(__xludf.DUMMYFUNCTION("""COMPUTED_VALUE"""),"Xù")</f>
        <v>Xù</v>
      </c>
    </row>
    <row r="2570" ht="15.75" customHeight="1">
      <c r="A2570" s="122" t="str">
        <f>IFERROR(__xludf.DUMMYFUNCTION("""COMPUTED_VALUE"""),"0941 610 865")</f>
        <v>0941 610 865</v>
      </c>
      <c r="B2570" s="119" t="str">
        <f>IFERROR(__xludf.DUMMYFUNCTION("""COMPUTED_VALUE"""),"Bùi Thị Vân")</f>
        <v>Bùi Thị Vân</v>
      </c>
      <c r="C2570" s="119" t="str">
        <f>IFERROR(__xludf.DUMMYFUNCTION("""COMPUTED_VALUE"""),"Lộc Điền, Phú Lộc")</f>
        <v>Lộc Điền, Phú Lộc</v>
      </c>
      <c r="D2570" s="119" t="str">
        <f>IFERROR(__xludf.DUMMYFUNCTION("""COMPUTED_VALUE"""),"chó")</f>
        <v>chó</v>
      </c>
      <c r="E2570" s="119" t="str">
        <f>IFERROR(__xludf.DUMMYFUNCTION("""COMPUTED_VALUE"""),"Coca")</f>
        <v>Coca</v>
      </c>
    </row>
    <row r="2571" ht="15.75" customHeight="1">
      <c r="A2571" s="122" t="str">
        <f>IFERROR(__xludf.DUMMYFUNCTION("""COMPUTED_VALUE"""),"0914 042 136")</f>
        <v>0914 042 136</v>
      </c>
      <c r="B2571" s="119" t="str">
        <f>IFERROR(__xludf.DUMMYFUNCTION("""COMPUTED_VALUE"""),"Anh Chương")</f>
        <v>Anh Chương</v>
      </c>
      <c r="C2571" s="119" t="str">
        <f>IFERROR(__xludf.DUMMYFUNCTION("""COMPUTED_VALUE"""),"79 Phạm Thị Liên")</f>
        <v>79 Phạm Thị Liên</v>
      </c>
      <c r="D2571" s="119" t="str">
        <f>IFERROR(__xludf.DUMMYFUNCTION("""COMPUTED_VALUE"""),"Chó")</f>
        <v>Chó</v>
      </c>
      <c r="E2571" s="119" t="str">
        <f>IFERROR(__xludf.DUMMYFUNCTION("""COMPUTED_VALUE"""),"Bin")</f>
        <v>Bin</v>
      </c>
    </row>
    <row r="2572" ht="15.75" customHeight="1">
      <c r="A2572" s="122" t="str">
        <f>IFERROR(__xludf.DUMMYFUNCTION("""COMPUTED_VALUE"""),"0905 492 391")</f>
        <v>0905 492 391</v>
      </c>
      <c r="B2572" s="119" t="str">
        <f>IFERROR(__xludf.DUMMYFUNCTION("""COMPUTED_VALUE"""),"Anh Tuấn")</f>
        <v>Anh Tuấn</v>
      </c>
      <c r="C2572" s="119" t="str">
        <f>IFERROR(__xludf.DUMMYFUNCTION("""COMPUTED_VALUE"""),"16/47 Lương Văn Can")</f>
        <v>16/47 Lương Văn Can</v>
      </c>
      <c r="D2572" s="119" t="str">
        <f>IFERROR(__xludf.DUMMYFUNCTION("""COMPUTED_VALUE"""),"chó")</f>
        <v>chó</v>
      </c>
      <c r="E2572" s="119" t="str">
        <f>IFERROR(__xludf.DUMMYFUNCTION("""COMPUTED_VALUE"""),"Mun")</f>
        <v>Mun</v>
      </c>
    </row>
    <row r="2573" ht="15.75" customHeight="1">
      <c r="A2573" s="122" t="str">
        <f>IFERROR(__xludf.DUMMYFUNCTION("""COMPUTED_VALUE"""),"0965 529 117")</f>
        <v>0965 529 117</v>
      </c>
      <c r="B2573" s="119" t="str">
        <f>IFERROR(__xludf.DUMMYFUNCTION("""COMPUTED_VALUE"""),"Tường Vy")</f>
        <v>Tường Vy</v>
      </c>
      <c r="C2573" s="119" t="str">
        <f>IFERROR(__xludf.DUMMYFUNCTION("""COMPUTED_VALUE"""),"Dương Đại, Phú Xuân, Phú Vang")</f>
        <v>Dương Đại, Phú Xuân, Phú Vang</v>
      </c>
      <c r="D2573" s="119" t="str">
        <f>IFERROR(__xludf.DUMMYFUNCTION("""COMPUTED_VALUE"""),"chó")</f>
        <v>chó</v>
      </c>
      <c r="E2573" s="119" t="str">
        <f>IFERROR(__xludf.DUMMYFUNCTION("""COMPUTED_VALUE"""),"Mít")</f>
        <v>Mít</v>
      </c>
    </row>
    <row r="2574" ht="15.75" customHeight="1">
      <c r="A2574" s="122" t="str">
        <f>IFERROR(__xludf.DUMMYFUNCTION("""COMPUTED_VALUE"""),"0817 806 376")</f>
        <v>0817 806 376</v>
      </c>
      <c r="B2574" s="119" t="str">
        <f>IFERROR(__xludf.DUMMYFUNCTION("""COMPUTED_VALUE"""),"Minh")</f>
        <v>Minh</v>
      </c>
      <c r="C2574" s="119" t="str">
        <f>IFERROR(__xludf.DUMMYFUNCTION("""COMPUTED_VALUE"""),"4/6 An Ninh")</f>
        <v>4/6 An Ninh</v>
      </c>
      <c r="D2574" s="119" t="str">
        <f>IFERROR(__xludf.DUMMYFUNCTION("""COMPUTED_VALUE"""),"Mèo")</f>
        <v>Mèo</v>
      </c>
      <c r="E2574" s="119"/>
    </row>
    <row r="2575" ht="15.75" customHeight="1">
      <c r="A2575" s="122" t="str">
        <f>IFERROR(__xludf.DUMMYFUNCTION("""COMPUTED_VALUE"""),"0905 635 912")</f>
        <v>0905 635 912</v>
      </c>
      <c r="B2575" s="119" t="str">
        <f>IFERROR(__xludf.DUMMYFUNCTION("""COMPUTED_VALUE"""),"Anh Đức")</f>
        <v>Anh Đức</v>
      </c>
      <c r="C2575" s="119" t="str">
        <f>IFERROR(__xludf.DUMMYFUNCTION("""COMPUTED_VALUE"""),"242  Lý Nam Đế")</f>
        <v>242  Lý Nam Đế</v>
      </c>
      <c r="D2575" s="119" t="str">
        <f>IFERROR(__xludf.DUMMYFUNCTION("""COMPUTED_VALUE"""),"Chó")</f>
        <v>Chó</v>
      </c>
      <c r="E2575" s="119" t="str">
        <f>IFERROR(__xludf.DUMMYFUNCTION("""COMPUTED_VALUE"""),"Bắp")</f>
        <v>Bắp</v>
      </c>
    </row>
    <row r="2576" ht="15.75" customHeight="1">
      <c r="A2576" s="122" t="str">
        <f>IFERROR(__xludf.DUMMYFUNCTION("""COMPUTED_VALUE"""),"0334 995 104")</f>
        <v>0334 995 104</v>
      </c>
      <c r="B2576" s="119" t="str">
        <f>IFERROR(__xludf.DUMMYFUNCTION("""COMPUTED_VALUE"""),"Chị Diệu")</f>
        <v>Chị Diệu</v>
      </c>
      <c r="C2576" s="119" t="str">
        <f>IFERROR(__xludf.DUMMYFUNCTION("""COMPUTED_VALUE"""),"Tỉnh lộ 10")</f>
        <v>Tỉnh lộ 10</v>
      </c>
      <c r="D2576" s="119" t="str">
        <f>IFERROR(__xludf.DUMMYFUNCTION("""COMPUTED_VALUE"""),"Chó")</f>
        <v>Chó</v>
      </c>
      <c r="E2576" s="119" t="str">
        <f>IFERROR(__xludf.DUMMYFUNCTION("""COMPUTED_VALUE"""),"Tôm")</f>
        <v>Tôm</v>
      </c>
    </row>
    <row r="2577" ht="15.75" customHeight="1">
      <c r="A2577" s="122" t="str">
        <f>IFERROR(__xludf.DUMMYFUNCTION("""COMPUTED_VALUE"""),"0931 961 206")</f>
        <v>0931 961 206</v>
      </c>
      <c r="B2577" s="119" t="str">
        <f>IFERROR(__xludf.DUMMYFUNCTION("""COMPUTED_VALUE"""),"Em Thuận ")</f>
        <v>Em Thuận </v>
      </c>
      <c r="C2577" s="119" t="str">
        <f>IFERROR(__xludf.DUMMYFUNCTION("""COMPUTED_VALUE"""),"43 An Ninh")</f>
        <v>43 An Ninh</v>
      </c>
      <c r="D2577" s="119" t="str">
        <f>IFERROR(__xludf.DUMMYFUNCTION("""COMPUTED_VALUE"""),"chó")</f>
        <v>chó</v>
      </c>
      <c r="E2577" s="119"/>
    </row>
    <row r="2578" ht="15.75" customHeight="1">
      <c r="A2578" s="122" t="str">
        <f>IFERROR(__xludf.DUMMYFUNCTION("""COMPUTED_VALUE"""),"0344 235 763")</f>
        <v>0344 235 763</v>
      </c>
      <c r="B2578" s="119" t="str">
        <f>IFERROR(__xludf.DUMMYFUNCTION("""COMPUTED_VALUE"""),"Anh Huy Quang")</f>
        <v>Anh Huy Quang</v>
      </c>
      <c r="C2578" s="119" t="str">
        <f>IFERROR(__xludf.DUMMYFUNCTION("""COMPUTED_VALUE"""),"4/7/130 Trần Phú")</f>
        <v>4/7/130 Trần Phú</v>
      </c>
      <c r="D2578" s="119" t="str">
        <f>IFERROR(__xludf.DUMMYFUNCTION("""COMPUTED_VALUE"""),"chó")</f>
        <v>chó</v>
      </c>
      <c r="E2578" s="119" t="str">
        <f>IFERROR(__xludf.DUMMYFUNCTION("""COMPUTED_VALUE"""),"Lu")</f>
        <v>Lu</v>
      </c>
    </row>
    <row r="2579" ht="15.75" customHeight="1">
      <c r="A2579" s="122" t="str">
        <f>IFERROR(__xludf.DUMMYFUNCTION("""COMPUTED_VALUE"""),"0234 351 2135")</f>
        <v>0234 351 2135</v>
      </c>
      <c r="B2579" s="119" t="str">
        <f>IFERROR(__xludf.DUMMYFUNCTION("""COMPUTED_VALUE"""),"Bà Thu ")</f>
        <v>Bà Thu </v>
      </c>
      <c r="C2579" s="119" t="str">
        <f>IFERROR(__xludf.DUMMYFUNCTION("""COMPUTED_VALUE"""),"38A Lê Thánh Tôn")</f>
        <v>38A Lê Thánh Tôn</v>
      </c>
      <c r="D2579" s="119" t="str">
        <f>IFERROR(__xludf.DUMMYFUNCTION("""COMPUTED_VALUE"""),"chó")</f>
        <v>chó</v>
      </c>
      <c r="E2579" s="119" t="str">
        <f>IFERROR(__xludf.DUMMYFUNCTION("""COMPUTED_VALUE"""),"Dolla")</f>
        <v>Dolla</v>
      </c>
    </row>
    <row r="2580" ht="15.75" customHeight="1">
      <c r="A2580" s="122" t="str">
        <f>IFERROR(__xludf.DUMMYFUNCTION("""COMPUTED_VALUE"""),"0905 635 912")</f>
        <v>0905 635 912</v>
      </c>
      <c r="B2580" s="119" t="str">
        <f>IFERROR(__xludf.DUMMYFUNCTION("""COMPUTED_VALUE"""),"Dì Hồng")</f>
        <v>Dì Hồng</v>
      </c>
      <c r="C2580" s="119" t="str">
        <f>IFERROR(__xludf.DUMMYFUNCTION("""COMPUTED_VALUE"""),"36 Ngô Đức Kế")</f>
        <v>36 Ngô Đức Kế</v>
      </c>
      <c r="D2580" s="119" t="str">
        <f>IFERROR(__xludf.DUMMYFUNCTION("""COMPUTED_VALUE"""),"Chó")</f>
        <v>Chó</v>
      </c>
      <c r="E2580" s="119" t="str">
        <f>IFERROR(__xludf.DUMMYFUNCTION("""COMPUTED_VALUE"""),"Bi em")</f>
        <v>Bi em</v>
      </c>
    </row>
    <row r="2581" ht="15.75" customHeight="1">
      <c r="A2581" s="122" t="str">
        <f>IFERROR(__xludf.DUMMYFUNCTION("""COMPUTED_VALUE"""),"0935 770 076")</f>
        <v>0935 770 076</v>
      </c>
      <c r="B2581" s="119" t="str">
        <f>IFERROR(__xludf.DUMMYFUNCTION("""COMPUTED_VALUE"""),"Dì Hương ")</f>
        <v>Dì Hương </v>
      </c>
      <c r="C2581" s="119" t="str">
        <f>IFERROR(__xludf.DUMMYFUNCTION("""COMPUTED_VALUE"""),"14/79 Phạm Thị Liên")</f>
        <v>14/79 Phạm Thị Liên</v>
      </c>
      <c r="D2581" s="119" t="str">
        <f>IFERROR(__xludf.DUMMYFUNCTION("""COMPUTED_VALUE"""),"chó")</f>
        <v>chó</v>
      </c>
      <c r="E2581" s="119" t="str">
        <f>IFERROR(__xludf.DUMMYFUNCTION("""COMPUTED_VALUE"""),"Su")</f>
        <v>Su</v>
      </c>
    </row>
    <row r="2582" ht="15.75" customHeight="1">
      <c r="A2582" s="122" t="str">
        <f>IFERROR(__xludf.DUMMYFUNCTION("""COMPUTED_VALUE"""),"0905 478 968")</f>
        <v>0905 478 968</v>
      </c>
      <c r="B2582" s="119" t="str">
        <f>IFERROR(__xludf.DUMMYFUNCTION("""COMPUTED_VALUE"""),"Trần Đức")</f>
        <v>Trần Đức</v>
      </c>
      <c r="C2582" s="119" t="str">
        <f>IFERROR(__xludf.DUMMYFUNCTION("""COMPUTED_VALUE"""),"11/.45 Duy Tân")</f>
        <v>11/.45 Duy Tân</v>
      </c>
      <c r="D2582" s="119" t="str">
        <f>IFERROR(__xludf.DUMMYFUNCTION("""COMPUTED_VALUE"""),"chó")</f>
        <v>chó</v>
      </c>
      <c r="E2582" s="119" t="str">
        <f>IFERROR(__xludf.DUMMYFUNCTION("""COMPUTED_VALUE""")," Suýt")</f>
        <v> Suýt</v>
      </c>
    </row>
    <row r="2583" ht="15.75" customHeight="1">
      <c r="A2583" s="122" t="str">
        <f>IFERROR(__xludf.DUMMYFUNCTION("""COMPUTED_VALUE"""),"0935 089 918")</f>
        <v>0935 089 918</v>
      </c>
      <c r="B2583" s="119" t="str">
        <f>IFERROR(__xludf.DUMMYFUNCTION("""COMPUTED_VALUE"""),"Chị Hiền")</f>
        <v>Chị Hiền</v>
      </c>
      <c r="C2583" s="119" t="str">
        <f>IFERROR(__xludf.DUMMYFUNCTION("""COMPUTED_VALUE"""),"Võ Văn Kiệt")</f>
        <v>Võ Văn Kiệt</v>
      </c>
      <c r="D2583" s="119" t="str">
        <f>IFERROR(__xludf.DUMMYFUNCTION("""COMPUTED_VALUE"""),"chó")</f>
        <v>chó</v>
      </c>
      <c r="E2583" s="119" t="str">
        <f>IFERROR(__xludf.DUMMYFUNCTION("""COMPUTED_VALUE"""),"Nâu")</f>
        <v>Nâu</v>
      </c>
    </row>
    <row r="2584" ht="15.75" customHeight="1">
      <c r="A2584" s="122" t="str">
        <f>IFERROR(__xludf.DUMMYFUNCTION("""COMPUTED_VALUE"""),"0936 024 610")</f>
        <v>0936 024 610</v>
      </c>
      <c r="B2584" s="119" t="str">
        <f>IFERROR(__xludf.DUMMYFUNCTION("""COMPUTED_VALUE"""),"Anh Hà")</f>
        <v>Anh Hà</v>
      </c>
      <c r="C2584" s="119" t="str">
        <f>IFERROR(__xludf.DUMMYFUNCTION("""COMPUTED_VALUE"""),"k 131 Trần Phú")</f>
        <v>k 131 Trần Phú</v>
      </c>
      <c r="D2584" s="119" t="str">
        <f>IFERROR(__xludf.DUMMYFUNCTION("""COMPUTED_VALUE"""),"chó")</f>
        <v>chó</v>
      </c>
      <c r="E2584" s="119" t="str">
        <f>IFERROR(__xludf.DUMMYFUNCTION("""COMPUTED_VALUE"""),"Bo")</f>
        <v>Bo</v>
      </c>
    </row>
    <row r="2585" ht="15.75" customHeight="1">
      <c r="A2585" s="122" t="str">
        <f>IFERROR(__xludf.DUMMYFUNCTION("""COMPUTED_VALUE"""),"0369 370 803")</f>
        <v>0369 370 803</v>
      </c>
      <c r="B2585" s="119" t="str">
        <f>IFERROR(__xludf.DUMMYFUNCTION("""COMPUTED_VALUE"""),"Dì mỹ dung")</f>
        <v>Dì mỹ dung</v>
      </c>
      <c r="C2585" s="119" t="str">
        <f>IFERROR(__xludf.DUMMYFUNCTION("""COMPUTED_VALUE"""),"Bình Tiến Bình Điềng")</f>
        <v>Bình Tiến Bình Điềng</v>
      </c>
      <c r="D2585" s="119" t="str">
        <f>IFERROR(__xludf.DUMMYFUNCTION("""COMPUTED_VALUE"""),"chó ")</f>
        <v>chó </v>
      </c>
      <c r="E2585" s="119" t="str">
        <f>IFERROR(__xludf.DUMMYFUNCTION("""COMPUTED_VALUE"""),"Hary")</f>
        <v>Hary</v>
      </c>
    </row>
    <row r="2586" ht="15.75" customHeight="1">
      <c r="A2586" s="122" t="str">
        <f>IFERROR(__xludf.DUMMYFUNCTION("""COMPUTED_VALUE"""),"0708 078 919")</f>
        <v>0708 078 919</v>
      </c>
      <c r="B2586" s="119" t="str">
        <f>IFERROR(__xludf.DUMMYFUNCTION("""COMPUTED_VALUE"""),"Anh Toàn")</f>
        <v>Anh Toàn</v>
      </c>
      <c r="C2586" s="119" t="str">
        <f>IFERROR(__xludf.DUMMYFUNCTION("""COMPUTED_VALUE"""),"202 Lê Duẫn")</f>
        <v>202 Lê Duẫn</v>
      </c>
      <c r="D2586" s="119" t="str">
        <f>IFERROR(__xludf.DUMMYFUNCTION("""COMPUTED_VALUE"""),"Chó")</f>
        <v>Chó</v>
      </c>
      <c r="E2586" s="119" t="str">
        <f>IFERROR(__xludf.DUMMYFUNCTION("""COMPUTED_VALUE"""),"3 chai")</f>
        <v>3 chai</v>
      </c>
    </row>
    <row r="2587" ht="15.75" customHeight="1">
      <c r="A2587" s="122" t="str">
        <f>IFERROR(__xludf.DUMMYFUNCTION("""COMPUTED_VALUE"""),"0915 455 756")</f>
        <v>0915 455 756</v>
      </c>
      <c r="B2587" s="119" t="str">
        <f>IFERROR(__xludf.DUMMYFUNCTION("""COMPUTED_VALUE"""),"Dương Duy Hưng")</f>
        <v>Dương Duy Hưng</v>
      </c>
      <c r="C2587" s="119" t="str">
        <f>IFERROR(__xludf.DUMMYFUNCTION("""COMPUTED_VALUE"""),"6/15 Minh Mạng")</f>
        <v>6/15 Minh Mạng</v>
      </c>
      <c r="D2587" s="119" t="str">
        <f>IFERROR(__xludf.DUMMYFUNCTION("""COMPUTED_VALUE"""),"chó")</f>
        <v>chó</v>
      </c>
      <c r="E2587" s="119" t="str">
        <f>IFERROR(__xludf.DUMMYFUNCTION("""COMPUTED_VALUE""")," Xù")</f>
        <v> Xù</v>
      </c>
    </row>
    <row r="2588" ht="15.75" customHeight="1">
      <c r="A2588" s="122" t="str">
        <f>IFERROR(__xludf.DUMMYFUNCTION("""COMPUTED_VALUE"""),"0906 590 913")</f>
        <v>0906 590 913</v>
      </c>
      <c r="B2588" s="119" t="str">
        <f>IFERROR(__xludf.DUMMYFUNCTION("""COMPUTED_VALUE"""),"Anh Hợp")</f>
        <v>Anh Hợp</v>
      </c>
      <c r="C2588" s="119" t="str">
        <f>IFERROR(__xludf.DUMMYFUNCTION("""COMPUTED_VALUE"""),"180/17 Lý Nam Đế")</f>
        <v>180/17 Lý Nam Đế</v>
      </c>
      <c r="D2588" s="119" t="str">
        <f>IFERROR(__xludf.DUMMYFUNCTION("""COMPUTED_VALUE"""),"Chó")</f>
        <v>Chó</v>
      </c>
      <c r="E2588" s="119" t="str">
        <f>IFERROR(__xludf.DUMMYFUNCTION("""COMPUTED_VALUE"""),"Bum")</f>
        <v>Bum</v>
      </c>
    </row>
    <row r="2589" ht="15.75" customHeight="1">
      <c r="A2589" s="122" t="str">
        <f>IFERROR(__xludf.DUMMYFUNCTION("""COMPUTED_VALUE"""),"0368 040 799")</f>
        <v>0368 040 799</v>
      </c>
      <c r="B2589" s="119" t="str">
        <f>IFERROR(__xludf.DUMMYFUNCTION("""COMPUTED_VALUE"""),"Chị Loan")</f>
        <v>Chị Loan</v>
      </c>
      <c r="C2589" s="119" t="str">
        <f>IFERROR(__xludf.DUMMYFUNCTION("""COMPUTED_VALUE"""),"Tỉnh lộ 10")</f>
        <v>Tỉnh lộ 10</v>
      </c>
      <c r="D2589" s="119" t="str">
        <f>IFERROR(__xludf.DUMMYFUNCTION("""COMPUTED_VALUE"""),"chó")</f>
        <v>chó</v>
      </c>
      <c r="E2589" s="119" t="str">
        <f>IFERROR(__xludf.DUMMYFUNCTION("""COMPUTED_VALUE"""),"Rich")</f>
        <v>Rich</v>
      </c>
    </row>
    <row r="2590" ht="15.75" customHeight="1">
      <c r="A2590" s="122" t="str">
        <f>IFERROR(__xludf.DUMMYFUNCTION("""COMPUTED_VALUE"""),"0905 910 766")</f>
        <v>0905 910 766</v>
      </c>
      <c r="B2590" s="119" t="str">
        <f>IFERROR(__xludf.DUMMYFUNCTION("""COMPUTED_VALUE"""),"Anh Tú")</f>
        <v>Anh Tú</v>
      </c>
      <c r="C2590" s="119" t="str">
        <f>IFERROR(__xludf.DUMMYFUNCTION("""COMPUTED_VALUE"""),"2 Đào Tấn")</f>
        <v>2 Đào Tấn</v>
      </c>
      <c r="D2590" s="119" t="str">
        <f>IFERROR(__xludf.DUMMYFUNCTION("""COMPUTED_VALUE"""),"chó")</f>
        <v>chó</v>
      </c>
      <c r="E2590" s="119" t="str">
        <f>IFERROR(__xludf.DUMMYFUNCTION("""COMPUTED_VALUE"""),"Nhớ")</f>
        <v>Nhớ</v>
      </c>
    </row>
    <row r="2591" ht="15.75" customHeight="1">
      <c r="A2591" s="122" t="str">
        <f>IFERROR(__xludf.DUMMYFUNCTION("""COMPUTED_VALUE"""),"0935 795 594")</f>
        <v>0935 795 594</v>
      </c>
      <c r="B2591" s="119" t="str">
        <f>IFERROR(__xludf.DUMMYFUNCTION("""COMPUTED_VALUE"""),"Rinnie Nguyen")</f>
        <v>Rinnie Nguyen</v>
      </c>
      <c r="C2591" s="119" t="str">
        <f>IFERROR(__xludf.DUMMYFUNCTION("""COMPUTED_VALUE"""),"22 Trần Nguyên Đán")</f>
        <v>22 Trần Nguyên Đán</v>
      </c>
      <c r="D2591" s="119" t="str">
        <f>IFERROR(__xludf.DUMMYFUNCTION("""COMPUTED_VALUE"""),"mèo")</f>
        <v>mèo</v>
      </c>
      <c r="E2591" s="119"/>
    </row>
    <row r="2592" ht="15.75" customHeight="1">
      <c r="A2592" s="122" t="str">
        <f>IFERROR(__xludf.DUMMYFUNCTION("""COMPUTED_VALUE"""),"0389 562 203")</f>
        <v>0389 562 203</v>
      </c>
      <c r="B2592" s="119" t="str">
        <f>IFERROR(__xludf.DUMMYFUNCTION("""COMPUTED_VALUE"""),"Chị Vững")</f>
        <v>Chị Vững</v>
      </c>
      <c r="C2592" s="119" t="str">
        <f>IFERROR(__xludf.DUMMYFUNCTION("""COMPUTED_VALUE"""),"4/71 Nguyễn Phúc Lam")</f>
        <v>4/71 Nguyễn Phúc Lam</v>
      </c>
      <c r="D2592" s="119" t="str">
        <f>IFERROR(__xludf.DUMMYFUNCTION("""COMPUTED_VALUE"""),"chó")</f>
        <v>chó</v>
      </c>
      <c r="E2592" s="119" t="str">
        <f>IFERROR(__xludf.DUMMYFUNCTION("""COMPUTED_VALUE"""),"Nu")</f>
        <v>Nu</v>
      </c>
    </row>
    <row r="2593" ht="15.75" customHeight="1">
      <c r="A2593" s="122" t="str">
        <f>IFERROR(__xludf.DUMMYFUNCTION("""COMPUTED_VALUE"""),"0364 944 155")</f>
        <v>0364 944 155</v>
      </c>
      <c r="B2593" s="119" t="str">
        <f>IFERROR(__xludf.DUMMYFUNCTION("""COMPUTED_VALUE"""),"Kiều Anh")</f>
        <v>Kiều Anh</v>
      </c>
      <c r="C2593" s="119" t="str">
        <f>IFERROR(__xludf.DUMMYFUNCTION("""COMPUTED_VALUE"""),"9/310 Triệu Túc")</f>
        <v>9/310 Triệu Túc</v>
      </c>
      <c r="D2593" s="119" t="str">
        <f>IFERROR(__xludf.DUMMYFUNCTION("""COMPUTED_VALUE"""),"chó")</f>
        <v>chó</v>
      </c>
      <c r="E2593" s="119" t="str">
        <f>IFERROR(__xludf.DUMMYFUNCTION("""COMPUTED_VALUE"""),"Bơ")</f>
        <v>Bơ</v>
      </c>
    </row>
    <row r="2594" ht="15.75" customHeight="1">
      <c r="A2594" s="122" t="str">
        <f>IFERROR(__xludf.DUMMYFUNCTION("""COMPUTED_VALUE"""),"0935 795 299")</f>
        <v>0935 795 299</v>
      </c>
      <c r="B2594" s="119" t="str">
        <f>IFERROR(__xludf.DUMMYFUNCTION("""COMPUTED_VALUE"""),"Chị Hằng")</f>
        <v>Chị Hằng</v>
      </c>
      <c r="C2594" s="119" t="str">
        <f>IFERROR(__xludf.DUMMYFUNCTION("""COMPUTED_VALUE"""),"71 Mạc Đỉnh Chi")</f>
        <v>71 Mạc Đỉnh Chi</v>
      </c>
      <c r="D2594" s="119" t="str">
        <f>IFERROR(__xludf.DUMMYFUNCTION("""COMPUTED_VALUE"""),"mèo")</f>
        <v>mèo</v>
      </c>
      <c r="E2594" s="119" t="str">
        <f>IFERROR(__xludf.DUMMYFUNCTION("""COMPUTED_VALUE"""),"Sóc/Sáp")</f>
        <v>Sóc/Sáp</v>
      </c>
    </row>
    <row r="2595" ht="15.75" customHeight="1">
      <c r="A2595" s="122" t="str">
        <f>IFERROR(__xludf.DUMMYFUNCTION("""COMPUTED_VALUE"""),"0976 317 651")</f>
        <v>0976 317 651</v>
      </c>
      <c r="B2595" s="119" t="str">
        <f>IFERROR(__xludf.DUMMYFUNCTION("""COMPUTED_VALUE"""),"Cô Thúy")</f>
        <v>Cô Thúy</v>
      </c>
      <c r="C2595" s="119" t="str">
        <f>IFERROR(__xludf.DUMMYFUNCTION("""COMPUTED_VALUE"""),"Chùa Tô Đà")</f>
        <v>Chùa Tô Đà</v>
      </c>
      <c r="D2595" s="119" t="str">
        <f>IFERROR(__xludf.DUMMYFUNCTION("""COMPUTED_VALUE"""),"chó")</f>
        <v>chó</v>
      </c>
      <c r="E2595" s="119" t="str">
        <f>IFERROR(__xludf.DUMMYFUNCTION("""COMPUTED_VALUE"""),"Tuda")</f>
        <v>Tuda</v>
      </c>
    </row>
    <row r="2596" ht="15.75" customHeight="1">
      <c r="A2596" s="122" t="str">
        <f>IFERROR(__xludf.DUMMYFUNCTION("""COMPUTED_VALUE"""),"0584 645 678")</f>
        <v>0584 645 678</v>
      </c>
      <c r="B2596" s="119" t="str">
        <f>IFERROR(__xludf.DUMMYFUNCTION("""COMPUTED_VALUE"""),"Em Tình")</f>
        <v>Em Tình</v>
      </c>
      <c r="C2596" s="119"/>
      <c r="D2596" s="119" t="str">
        <f>IFERROR(__xludf.DUMMYFUNCTION("""COMPUTED_VALUE"""),"mèo")</f>
        <v>mèo</v>
      </c>
      <c r="E2596" s="119" t="str">
        <f>IFERROR(__xludf.DUMMYFUNCTION("""COMPUTED_VALUE"""),"Lợn")</f>
        <v>Lợn</v>
      </c>
    </row>
    <row r="2597" ht="15.75" customHeight="1">
      <c r="A2597" s="122" t="str">
        <f>IFERROR(__xludf.DUMMYFUNCTION("""COMPUTED_VALUE"""),"0862 473 158")</f>
        <v>0862 473 158</v>
      </c>
      <c r="B2597" s="119" t="str">
        <f>IFERROR(__xludf.DUMMYFUNCTION("""COMPUTED_VALUE"""),"Thảo")</f>
        <v>Thảo</v>
      </c>
      <c r="C2597" s="119" t="str">
        <f>IFERROR(__xludf.DUMMYFUNCTION("""COMPUTED_VALUE"""),"86 Nguyễn Sinh Cung")</f>
        <v>86 Nguyễn Sinh Cung</v>
      </c>
      <c r="D2597" s="119" t="str">
        <f>IFERROR(__xludf.DUMMYFUNCTION("""COMPUTED_VALUE"""),"chó")</f>
        <v>chó</v>
      </c>
      <c r="E2597" s="119" t="str">
        <f>IFERROR(__xludf.DUMMYFUNCTION("""COMPUTED_VALUE"""),"Sữa")</f>
        <v>Sữa</v>
      </c>
    </row>
    <row r="2598" ht="15.75" customHeight="1">
      <c r="A2598" s="122" t="str">
        <f>IFERROR(__xludf.DUMMYFUNCTION("""COMPUTED_VALUE"""),"0367 373 620")</f>
        <v>0367 373 620</v>
      </c>
      <c r="B2598" s="119" t="str">
        <f>IFERROR(__xludf.DUMMYFUNCTION("""COMPUTED_VALUE"""),"Anh Bình")</f>
        <v>Anh Bình</v>
      </c>
      <c r="C2598" s="119"/>
      <c r="D2598" s="119" t="str">
        <f>IFERROR(__xludf.DUMMYFUNCTION("""COMPUTED_VALUE"""),"chó")</f>
        <v>chó</v>
      </c>
      <c r="E2598" s="119" t="str">
        <f>IFERROR(__xludf.DUMMYFUNCTION("""COMPUTED_VALUE"""),"Xù")</f>
        <v>Xù</v>
      </c>
    </row>
    <row r="2599" ht="15.75" customHeight="1">
      <c r="A2599" s="122" t="str">
        <f>IFERROR(__xludf.DUMMYFUNCTION("""COMPUTED_VALUE"""),"0344 751 161")</f>
        <v>0344 751 161</v>
      </c>
      <c r="B2599" s="119" t="str">
        <f>IFERROR(__xludf.DUMMYFUNCTION("""COMPUTED_VALUE"""),"Thầy Danh")</f>
        <v>Thầy Danh</v>
      </c>
      <c r="C2599" s="119" t="str">
        <f>IFERROR(__xludf.DUMMYFUNCTION("""COMPUTED_VALUE"""),"Chùa Tịnh Vân")</f>
        <v>Chùa Tịnh Vân</v>
      </c>
      <c r="D2599" s="119" t="str">
        <f>IFERROR(__xludf.DUMMYFUNCTION("""COMPUTED_VALUE"""),"chó")</f>
        <v>chó</v>
      </c>
      <c r="E2599" s="119" t="str">
        <f>IFERROR(__xludf.DUMMYFUNCTION("""COMPUTED_VALUE"""),"Bin")</f>
        <v>Bin</v>
      </c>
    </row>
    <row r="2600" ht="15.75" customHeight="1">
      <c r="A2600" s="122" t="str">
        <f>IFERROR(__xludf.DUMMYFUNCTION("""COMPUTED_VALUE"""),"0935 443 845")</f>
        <v>0935 443 845</v>
      </c>
      <c r="B2600" s="119" t="str">
        <f>IFERROR(__xludf.DUMMYFUNCTION("""COMPUTED_VALUE"""),"Đỗ Hữu Tuấn")</f>
        <v>Đỗ Hữu Tuấn</v>
      </c>
      <c r="C2600" s="119" t="str">
        <f>IFERROR(__xludf.DUMMYFUNCTION("""COMPUTED_VALUE"""),"60 Nguyễn Hoàng")</f>
        <v>60 Nguyễn Hoàng</v>
      </c>
      <c r="D2600" s="119" t="str">
        <f>IFERROR(__xludf.DUMMYFUNCTION("""COMPUTED_VALUE"""),"Mèo")</f>
        <v>Mèo</v>
      </c>
      <c r="E2600" s="119"/>
    </row>
    <row r="2601" ht="15.75" customHeight="1">
      <c r="A2601" s="122" t="str">
        <f>IFERROR(__xludf.DUMMYFUNCTION("""COMPUTED_VALUE"""),"0364 190 656")</f>
        <v>0364 190 656</v>
      </c>
      <c r="B2601" s="119" t="str">
        <f>IFERROR(__xludf.DUMMYFUNCTION("""COMPUTED_VALUE"""),"Anh Sơn")</f>
        <v>Anh Sơn</v>
      </c>
      <c r="C2601" s="119" t="str">
        <f>IFERROR(__xludf.DUMMYFUNCTION("""COMPUTED_VALUE"""),"10/6/2 Nguyễn Hữu Duật")</f>
        <v>10/6/2 Nguyễn Hữu Duật</v>
      </c>
      <c r="D2601" s="119" t="str">
        <f>IFERROR(__xludf.DUMMYFUNCTION("""COMPUTED_VALUE"""),"chó")</f>
        <v>chó</v>
      </c>
      <c r="E2601" s="119" t="str">
        <f>IFERROR(__xludf.DUMMYFUNCTION("""COMPUTED_VALUE"""),"Nâu")</f>
        <v>Nâu</v>
      </c>
    </row>
    <row r="2602" ht="15.75" customHeight="1">
      <c r="A2602" s="122" t="str">
        <f>IFERROR(__xludf.DUMMYFUNCTION("""COMPUTED_VALUE"""),"0762 592 796")</f>
        <v>0762 592 796</v>
      </c>
      <c r="B2602" s="119" t="str">
        <f>IFERROR(__xludf.DUMMYFUNCTION("""COMPUTED_VALUE"""),"Lê Thị Anh Đào")</f>
        <v>Lê Thị Anh Đào</v>
      </c>
      <c r="C2602" s="119" t="str">
        <f>IFERROR(__xludf.DUMMYFUNCTION("""COMPUTED_VALUE"""),"55 Lê Duẫn")</f>
        <v>55 Lê Duẫn</v>
      </c>
      <c r="D2602" s="119" t="str">
        <f>IFERROR(__xludf.DUMMYFUNCTION("""COMPUTED_VALUE"""),"Mèo")</f>
        <v>Mèo</v>
      </c>
      <c r="E2602" s="119" t="str">
        <f>IFERROR(__xludf.DUMMYFUNCTION("""COMPUTED_VALUE"""),"Đậu Đen")</f>
        <v>Đậu Đen</v>
      </c>
    </row>
    <row r="2603" ht="15.75" customHeight="1">
      <c r="A2603" s="122" t="str">
        <f>IFERROR(__xludf.DUMMYFUNCTION("""COMPUTED_VALUE"""),"0961 951 770")</f>
        <v>0961 951 770</v>
      </c>
      <c r="B2603" s="119" t="str">
        <f>IFERROR(__xludf.DUMMYFUNCTION("""COMPUTED_VALUE"""),"Lan Anh")</f>
        <v>Lan Anh</v>
      </c>
      <c r="C2603" s="119" t="str">
        <f>IFERROR(__xludf.DUMMYFUNCTION("""COMPUTED_VALUE"""),"k 69 lê Ngô Cát")</f>
        <v>k 69 lê Ngô Cát</v>
      </c>
      <c r="D2603" s="119" t="str">
        <f>IFERROR(__xludf.DUMMYFUNCTION("""COMPUTED_VALUE"""),"mèo")</f>
        <v>mèo</v>
      </c>
      <c r="E2603" s="119" t="str">
        <f>IFERROR(__xludf.DUMMYFUNCTION("""COMPUTED_VALUE"""),"Đào")</f>
        <v>Đào</v>
      </c>
    </row>
    <row r="2604" ht="15.75" customHeight="1">
      <c r="A2604" s="122" t="str">
        <f>IFERROR(__xludf.DUMMYFUNCTION("""COMPUTED_VALUE"""),"0338 214 101")</f>
        <v>0338 214 101</v>
      </c>
      <c r="B2604" s="119" t="str">
        <f>IFERROR(__xludf.DUMMYFUNCTION("""COMPUTED_VALUE"""),"Chị Nguyên")</f>
        <v>Chị Nguyên</v>
      </c>
      <c r="C2604" s="119" t="str">
        <f>IFERROR(__xludf.DUMMYFUNCTION("""COMPUTED_VALUE""")," 212 Bùi Thị Xuân")</f>
        <v> 212 Bùi Thị Xuân</v>
      </c>
      <c r="D2604" s="119" t="str">
        <f>IFERROR(__xludf.DUMMYFUNCTION("""COMPUTED_VALUE"""),"mèo")</f>
        <v>mèo</v>
      </c>
      <c r="E2604" s="119" t="str">
        <f>IFERROR(__xludf.DUMMYFUNCTION("""COMPUTED_VALUE""")," Moon")</f>
        <v> Moon</v>
      </c>
    </row>
    <row r="2605" ht="15.75" customHeight="1">
      <c r="A2605" s="122" t="str">
        <f>IFERROR(__xludf.DUMMYFUNCTION("""COMPUTED_VALUE"""),"0869 602 407")</f>
        <v>0869 602 407</v>
      </c>
      <c r="B2605" s="119" t="str">
        <f>IFERROR(__xludf.DUMMYFUNCTION("""COMPUTED_VALUE"""),"Em Đạt")</f>
        <v>Em Đạt</v>
      </c>
      <c r="C2605" s="119" t="str">
        <f>IFERROR(__xludf.DUMMYFUNCTION("""COMPUTED_VALUE"""),"10/33 Tam Giang")</f>
        <v>10/33 Tam Giang</v>
      </c>
      <c r="D2605" s="119" t="str">
        <f>IFERROR(__xludf.DUMMYFUNCTION("""COMPUTED_VALUE"""),"Chó")</f>
        <v>Chó</v>
      </c>
      <c r="E2605" s="119" t="str">
        <f>IFERROR(__xludf.DUMMYFUNCTION("""COMPUTED_VALUE"""),"Bạc Xỉu")</f>
        <v>Bạc Xỉu</v>
      </c>
    </row>
    <row r="2606" ht="15.75" customHeight="1">
      <c r="A2606" s="122" t="str">
        <f>IFERROR(__xludf.DUMMYFUNCTION("""COMPUTED_VALUE"""),"0935 785 305")</f>
        <v>0935 785 305</v>
      </c>
      <c r="B2606" s="119" t="str">
        <f>IFERROR(__xludf.DUMMYFUNCTION("""COMPUTED_VALUE"""),"Chị Nhi")</f>
        <v>Chị Nhi</v>
      </c>
      <c r="C2606" s="119" t="str">
        <f>IFERROR(__xludf.DUMMYFUNCTION("""COMPUTED_VALUE"""),"13 thanh Hải")</f>
        <v>13 thanh Hải</v>
      </c>
      <c r="D2606" s="119" t="str">
        <f>IFERROR(__xludf.DUMMYFUNCTION("""COMPUTED_VALUE"""),"Chó")</f>
        <v>Chó</v>
      </c>
      <c r="E2606" s="119" t="str">
        <f>IFERROR(__xludf.DUMMYFUNCTION("""COMPUTED_VALUE""")," Bom")</f>
        <v> Bom</v>
      </c>
    </row>
    <row r="2607" ht="15.75" customHeight="1">
      <c r="A2607" s="122" t="str">
        <f>IFERROR(__xludf.DUMMYFUNCTION("""COMPUTED_VALUE"""),"0945 719 318")</f>
        <v>0945 719 318</v>
      </c>
      <c r="B2607" s="119" t="str">
        <f>IFERROR(__xludf.DUMMYFUNCTION("""COMPUTED_VALUE"""),"Chị Hằng")</f>
        <v>Chị Hằng</v>
      </c>
      <c r="C2607" s="119" t="str">
        <f>IFERROR(__xludf.DUMMYFUNCTION("""COMPUTED_VALUE"""),"167 Ngự Bình")</f>
        <v>167 Ngự Bình</v>
      </c>
      <c r="D2607" s="119" t="str">
        <f>IFERROR(__xludf.DUMMYFUNCTION("""COMPUTED_VALUE"""),"chó ")</f>
        <v>chó </v>
      </c>
      <c r="E2607" s="119" t="str">
        <f>IFERROR(__xludf.DUMMYFUNCTION("""COMPUTED_VALUE"""),"Lucky")</f>
        <v>Lucky</v>
      </c>
    </row>
    <row r="2608" ht="15.75" customHeight="1">
      <c r="A2608" s="122" t="str">
        <f>IFERROR(__xludf.DUMMYFUNCTION("""COMPUTED_VALUE"""),"0912 172 502")</f>
        <v>0912 172 502</v>
      </c>
      <c r="B2608" s="119" t="str">
        <f>IFERROR(__xludf.DUMMYFUNCTION("""COMPUTED_VALUE"""),"Anh Huưng")</f>
        <v>Anh Huưng</v>
      </c>
      <c r="C2608" s="119" t="str">
        <f>IFERROR(__xludf.DUMMYFUNCTION("""COMPUTED_VALUE"""),"11 Lê Minh")</f>
        <v>11 Lê Minh</v>
      </c>
      <c r="D2608" s="119" t="str">
        <f>IFERROR(__xludf.DUMMYFUNCTION("""COMPUTED_VALUE"""),"chó")</f>
        <v>chó</v>
      </c>
      <c r="E2608" s="119" t="str">
        <f>IFERROR(__xludf.DUMMYFUNCTION("""COMPUTED_VALUE"""),"con")</f>
        <v>con</v>
      </c>
    </row>
    <row r="2609" ht="15.75" customHeight="1">
      <c r="A2609" s="122" t="str">
        <f>IFERROR(__xludf.DUMMYFUNCTION("""COMPUTED_VALUE"""),"0843 444 359")</f>
        <v>0843 444 359</v>
      </c>
      <c r="B2609" s="119" t="str">
        <f>IFERROR(__xludf.DUMMYFUNCTION("""COMPUTED_VALUE"""),"Em Trúc")</f>
        <v>Em Trúc</v>
      </c>
      <c r="C2609" s="119" t="str">
        <f>IFERROR(__xludf.DUMMYFUNCTION("""COMPUTED_VALUE"""),"a8/238 Bùi thị Xuân")</f>
        <v>a8/238 Bùi thị Xuân</v>
      </c>
      <c r="D2609" s="119" t="str">
        <f>IFERROR(__xludf.DUMMYFUNCTION("""COMPUTED_VALUE"""),"chó")</f>
        <v>chó</v>
      </c>
      <c r="E2609" s="119" t="str">
        <f>IFERROR(__xludf.DUMMYFUNCTION("""COMPUTED_VALUE""")," Mỡ")</f>
        <v> Mỡ</v>
      </c>
    </row>
    <row r="2610" ht="15.75" customHeight="1">
      <c r="A2610" s="122" t="str">
        <f>IFERROR(__xludf.DUMMYFUNCTION("""COMPUTED_VALUE"""),"0782 090 278")</f>
        <v>0782 090 278</v>
      </c>
      <c r="B2610" s="119" t="str">
        <f>IFERROR(__xludf.DUMMYFUNCTION("""COMPUTED_VALUE"""),"Chị Linh")</f>
        <v>Chị Linh</v>
      </c>
      <c r="C2610" s="119" t="str">
        <f>IFERROR(__xludf.DUMMYFUNCTION("""COMPUTED_VALUE"""),"227 Trần Phú")</f>
        <v>227 Trần Phú</v>
      </c>
      <c r="D2610" s="119" t="str">
        <f>IFERROR(__xludf.DUMMYFUNCTION("""COMPUTED_VALUE"""),"chó ")</f>
        <v>chó </v>
      </c>
      <c r="E2610" s="119" t="str">
        <f>IFERROR(__xludf.DUMMYFUNCTION("""COMPUTED_VALUE"""),"Ru")</f>
        <v>Ru</v>
      </c>
    </row>
    <row r="2611" ht="15.75" customHeight="1">
      <c r="A2611" s="122" t="str">
        <f>IFERROR(__xludf.DUMMYFUNCTION("""COMPUTED_VALUE"""),"0795 792 763")</f>
        <v>0795 792 763</v>
      </c>
      <c r="B2611" s="119" t="str">
        <f>IFERROR(__xludf.DUMMYFUNCTION("""COMPUTED_VALUE"""),"Chị Phương Ngân")</f>
        <v>Chị Phương Ngân</v>
      </c>
      <c r="C2611" s="119" t="str">
        <f>IFERROR(__xludf.DUMMYFUNCTION("""COMPUTED_VALUE"""),"24/350 Phan Chu Trinh")</f>
        <v>24/350 Phan Chu Trinh</v>
      </c>
      <c r="D2611" s="119" t="str">
        <f>IFERROR(__xludf.DUMMYFUNCTION("""COMPUTED_VALUE"""),"chuột")</f>
        <v>chuột</v>
      </c>
      <c r="E2611" s="119" t="str">
        <f>IFERROR(__xludf.DUMMYFUNCTION("""COMPUTED_VALUE"""),"Bạch Bạch")</f>
        <v>Bạch Bạch</v>
      </c>
    </row>
    <row r="2612" ht="15.75" customHeight="1">
      <c r="A2612" s="122" t="str">
        <f>IFERROR(__xludf.DUMMYFUNCTION("""COMPUTED_VALUE"""),"0795 762 566")</f>
        <v>0795 762 566</v>
      </c>
      <c r="B2612" s="119" t="str">
        <f>IFERROR(__xludf.DUMMYFUNCTION("""COMPUTED_VALUE"""),"Chị Chi")</f>
        <v>Chị Chi</v>
      </c>
      <c r="C2612" s="119" t="str">
        <f>IFERROR(__xludf.DUMMYFUNCTION("""COMPUTED_VALUE"""),"1/69 Phạm Thị Liên")</f>
        <v>1/69 Phạm Thị Liên</v>
      </c>
      <c r="D2612" s="119" t="str">
        <f>IFERROR(__xludf.DUMMYFUNCTION("""COMPUTED_VALUE"""),"Chó")</f>
        <v>Chó</v>
      </c>
      <c r="E2612" s="119" t="str">
        <f>IFERROR(__xludf.DUMMYFUNCTION("""COMPUTED_VALUE"""),"Cá")</f>
        <v>Cá</v>
      </c>
    </row>
    <row r="2613" ht="15.75" customHeight="1">
      <c r="A2613" s="122" t="str">
        <f>IFERROR(__xludf.DUMMYFUNCTION("""COMPUTED_VALUE"""),"0913 630 815")</f>
        <v>0913 630 815</v>
      </c>
      <c r="B2613" s="119" t="str">
        <f>IFERROR(__xludf.DUMMYFUNCTION("""COMPUTED_VALUE"""),"Tamara")</f>
        <v>Tamara</v>
      </c>
      <c r="C2613" s="119"/>
      <c r="D2613" s="119" t="str">
        <f>IFERROR(__xludf.DUMMYFUNCTION("""COMPUTED_VALUE"""),"mèo")</f>
        <v>mèo</v>
      </c>
      <c r="E2613" s="119"/>
    </row>
    <row r="2614" ht="15.75" customHeight="1">
      <c r="A2614" s="122" t="str">
        <f>IFERROR(__xludf.DUMMYFUNCTION("""COMPUTED_VALUE"""),"0935 550 004")</f>
        <v>0935 550 004</v>
      </c>
      <c r="B2614" s="119" t="str">
        <f>IFERROR(__xludf.DUMMYFUNCTION("""COMPUTED_VALUE"""),"Anh Khánh")</f>
        <v>Anh Khánh</v>
      </c>
      <c r="C2614" s="119" t="str">
        <f>IFERROR(__xludf.DUMMYFUNCTION("""COMPUTED_VALUE"""),"13/10 Hải Triều")</f>
        <v>13/10 Hải Triều</v>
      </c>
      <c r="D2614" s="119" t="str">
        <f>IFERROR(__xludf.DUMMYFUNCTION("""COMPUTED_VALUE"""),"chó")</f>
        <v>chó</v>
      </c>
      <c r="E2614" s="119"/>
    </row>
    <row r="2615" ht="15.75" customHeight="1">
      <c r="A2615" s="122" t="str">
        <f>IFERROR(__xludf.DUMMYFUNCTION("""COMPUTED_VALUE"""),"0982 137 221")</f>
        <v>0982 137 221</v>
      </c>
      <c r="B2615" s="119" t="str">
        <f>IFERROR(__xludf.DUMMYFUNCTION("""COMPUTED_VALUE"""),"Dì An")</f>
        <v>Dì An</v>
      </c>
      <c r="C2615" s="119" t="str">
        <f>IFERROR(__xludf.DUMMYFUNCTION("""COMPUTED_VALUE"""),"Phú Thượng, Phú Vang")</f>
        <v>Phú Thượng, Phú Vang</v>
      </c>
      <c r="D2615" s="119" t="str">
        <f>IFERROR(__xludf.DUMMYFUNCTION("""COMPUTED_VALUE"""),"chó")</f>
        <v>chó</v>
      </c>
      <c r="E2615" s="119" t="str">
        <f>IFERROR(__xludf.DUMMYFUNCTION("""COMPUTED_VALUE"""),"Kaka")</f>
        <v>Kaka</v>
      </c>
    </row>
    <row r="2616" ht="15.75" customHeight="1">
      <c r="A2616" s="122" t="str">
        <f>IFERROR(__xludf.DUMMYFUNCTION("""COMPUTED_VALUE"""),"0375 700 880")</f>
        <v>0375 700 880</v>
      </c>
      <c r="B2616" s="119" t="str">
        <f>IFERROR(__xludf.DUMMYFUNCTION("""COMPUTED_VALUE"""),"Em Nhi")</f>
        <v>Em Nhi</v>
      </c>
      <c r="C2616" s="119" t="str">
        <f>IFERROR(__xludf.DUMMYFUNCTION("""COMPUTED_VALUE"""),"Lào")</f>
        <v>Lào</v>
      </c>
      <c r="D2616" s="119" t="str">
        <f>IFERROR(__xludf.DUMMYFUNCTION("""COMPUTED_VALUE"""),"mèo")</f>
        <v>mèo</v>
      </c>
      <c r="E2616" s="119" t="str">
        <f>IFERROR(__xludf.DUMMYFUNCTION("""COMPUTED_VALUE"""),"Bom")</f>
        <v>Bom</v>
      </c>
    </row>
    <row r="2617" ht="15.75" customHeight="1">
      <c r="A2617" s="122" t="str">
        <f>IFERROR(__xludf.DUMMYFUNCTION("""COMPUTED_VALUE"""),"0769 782 251")</f>
        <v>0769 782 251</v>
      </c>
      <c r="B2617" s="119" t="str">
        <f>IFERROR(__xludf.DUMMYFUNCTION("""COMPUTED_VALUE"""),"Hoàng Thị Như Quỳnh")</f>
        <v>Hoàng Thị Như Quỳnh</v>
      </c>
      <c r="C2617" s="119" t="str">
        <f>IFERROR(__xludf.DUMMYFUNCTION("""COMPUTED_VALUE"""),"La Khê, Thuỷ bằng")</f>
        <v>La Khê, Thuỷ bằng</v>
      </c>
      <c r="D2617" s="119" t="str">
        <f>IFERROR(__xludf.DUMMYFUNCTION("""COMPUTED_VALUE"""),"chó")</f>
        <v>chó</v>
      </c>
      <c r="E2617" s="119" t="str">
        <f>IFERROR(__xludf.DUMMYFUNCTION("""COMPUTED_VALUE""")," Chai")</f>
        <v> Chai</v>
      </c>
    </row>
    <row r="2618" ht="15.75" customHeight="1">
      <c r="A2618" s="122" t="str">
        <f>IFERROR(__xludf.DUMMYFUNCTION("""COMPUTED_VALUE"""),"0335 212 981")</f>
        <v>0335 212 981</v>
      </c>
      <c r="B2618" s="119" t="str">
        <f>IFERROR(__xludf.DUMMYFUNCTION("""COMPUTED_VALUE"""),"Chị Mai")</f>
        <v>Chị Mai</v>
      </c>
      <c r="C2618" s="119" t="str">
        <f>IFERROR(__xludf.DUMMYFUNCTION("""COMPUTED_VALUE"""),"Diên Trường, Thuận An")</f>
        <v>Diên Trường, Thuận An</v>
      </c>
      <c r="D2618" s="119" t="str">
        <f>IFERROR(__xludf.DUMMYFUNCTION("""COMPUTED_VALUE"""),"chó")</f>
        <v>chó</v>
      </c>
      <c r="E2618" s="119" t="str">
        <f>IFERROR(__xludf.DUMMYFUNCTION("""COMPUTED_VALUE"""),"Thung Lủng")</f>
        <v>Thung Lủng</v>
      </c>
    </row>
    <row r="2619" ht="15.75" customHeight="1">
      <c r="A2619" s="122" t="str">
        <f>IFERROR(__xludf.DUMMYFUNCTION("""COMPUTED_VALUE"""),"0797 498 997")</f>
        <v>0797 498 997</v>
      </c>
      <c r="B2619" s="119" t="str">
        <f>IFERROR(__xludf.DUMMYFUNCTION("""COMPUTED_VALUE"""),"Chị Hân")</f>
        <v>Chị Hân</v>
      </c>
      <c r="C2619" s="119" t="str">
        <f>IFERROR(__xludf.DUMMYFUNCTION("""COMPUTED_VALUE"""),"k2 Xuân Hoà")</f>
        <v>k2 Xuân Hoà</v>
      </c>
      <c r="D2619" s="119" t="str">
        <f>IFERROR(__xludf.DUMMYFUNCTION("""COMPUTED_VALUE"""),"chó")</f>
        <v>chó</v>
      </c>
      <c r="E2619" s="119" t="str">
        <f>IFERROR(__xludf.DUMMYFUNCTION("""COMPUTED_VALUE"""),"Mon")</f>
        <v>Mon</v>
      </c>
    </row>
    <row r="2620" ht="15.75" customHeight="1">
      <c r="A2620" s="122" t="str">
        <f>IFERROR(__xludf.DUMMYFUNCTION("""COMPUTED_VALUE"""),"0983 001 966")</f>
        <v>0983 001 966</v>
      </c>
      <c r="B2620" s="119" t="str">
        <f>IFERROR(__xludf.DUMMYFUNCTION("""COMPUTED_VALUE"""),"Chú Lập")</f>
        <v>Chú Lập</v>
      </c>
      <c r="C2620" s="119" t="str">
        <f>IFERROR(__xludf.DUMMYFUNCTION("""COMPUTED_VALUE"""),"78/14 Phạm Thị Liên")</f>
        <v>78/14 Phạm Thị Liên</v>
      </c>
      <c r="D2620" s="119" t="str">
        <f>IFERROR(__xludf.DUMMYFUNCTION("""COMPUTED_VALUE"""),"chó")</f>
        <v>chó</v>
      </c>
      <c r="E2620" s="119"/>
    </row>
    <row r="2621" ht="15.75" customHeight="1">
      <c r="A2621" s="122" t="str">
        <f>IFERROR(__xludf.DUMMYFUNCTION("""COMPUTED_VALUE"""),"0988 789 614")</f>
        <v>0988 789 614</v>
      </c>
      <c r="B2621" s="119" t="str">
        <f>IFERROR(__xludf.DUMMYFUNCTION("""COMPUTED_VALUE"""),"Anh Quang")</f>
        <v>Anh Quang</v>
      </c>
      <c r="C2621" s="119" t="str">
        <f>IFERROR(__xludf.DUMMYFUNCTION("""COMPUTED_VALUE"""),"Bãi Sậy 5 Hương Sơ")</f>
        <v>Bãi Sậy 5 Hương Sơ</v>
      </c>
      <c r="D2621" s="119" t="str">
        <f>IFERROR(__xludf.DUMMYFUNCTION("""COMPUTED_VALUE"""),"Chó")</f>
        <v>Chó</v>
      </c>
      <c r="E2621" s="119" t="str">
        <f>IFERROR(__xludf.DUMMYFUNCTION("""COMPUTED_VALUE"""),"Gold")</f>
        <v>Gold</v>
      </c>
    </row>
    <row r="2622" ht="15.75" customHeight="1">
      <c r="A2622" s="122" t="str">
        <f>IFERROR(__xludf.DUMMYFUNCTION("""COMPUTED_VALUE"""),"0796 630 050")</f>
        <v>0796 630 050</v>
      </c>
      <c r="B2622" s="119" t="str">
        <f>IFERROR(__xludf.DUMMYFUNCTION("""COMPUTED_VALUE"""),"Anh Phúc")</f>
        <v>Anh Phúc</v>
      </c>
      <c r="C2622" s="119" t="str">
        <f>IFERROR(__xludf.DUMMYFUNCTION("""COMPUTED_VALUE"""),"Hùng Vương")</f>
        <v>Hùng Vương</v>
      </c>
      <c r="D2622" s="119" t="str">
        <f>IFERROR(__xludf.DUMMYFUNCTION("""COMPUTED_VALUE"""),"chó")</f>
        <v>chó</v>
      </c>
      <c r="E2622" s="119"/>
    </row>
    <row r="2623" ht="15.75" customHeight="1">
      <c r="A2623" s="122" t="str">
        <f>IFERROR(__xludf.DUMMYFUNCTION("""COMPUTED_VALUE"""),"0348 153 028")</f>
        <v>0348 153 028</v>
      </c>
      <c r="B2623" s="119" t="str">
        <f>IFERROR(__xludf.DUMMYFUNCTION("""COMPUTED_VALUE"""),"Chú Hiền")</f>
        <v>Chú Hiền</v>
      </c>
      <c r="C2623" s="119" t="str">
        <f>IFERROR(__xludf.DUMMYFUNCTION("""COMPUTED_VALUE"""),"46 Nguyễn Phúc Tần")</f>
        <v>46 Nguyễn Phúc Tần</v>
      </c>
      <c r="D2623" s="119" t="str">
        <f>IFERROR(__xludf.DUMMYFUNCTION("""COMPUTED_VALUE"""),"chó")</f>
        <v>chó</v>
      </c>
      <c r="E2623" s="119" t="str">
        <f>IFERROR(__xludf.DUMMYFUNCTION("""COMPUTED_VALUE"""),"coca")</f>
        <v>coca</v>
      </c>
    </row>
    <row r="2624" ht="15.75" customHeight="1">
      <c r="A2624" s="122" t="str">
        <f>IFERROR(__xludf.DUMMYFUNCTION("""COMPUTED_VALUE"""),"0934 936 966")</f>
        <v>0934 936 966</v>
      </c>
      <c r="B2624" s="119" t="str">
        <f>IFERROR(__xludf.DUMMYFUNCTION("""COMPUTED_VALUE"""),"Tống Châu Hân")</f>
        <v>Tống Châu Hân</v>
      </c>
      <c r="C2624" s="119" t="str">
        <f>IFERROR(__xludf.DUMMYFUNCTION("""COMPUTED_VALUE"""),"206 Hùng Vương")</f>
        <v>206 Hùng Vương</v>
      </c>
      <c r="D2624" s="119" t="str">
        <f>IFERROR(__xludf.DUMMYFUNCTION("""COMPUTED_VALUE"""),"Chó")</f>
        <v>Chó</v>
      </c>
      <c r="E2624" s="119" t="str">
        <f>IFERROR(__xludf.DUMMYFUNCTION("""COMPUTED_VALUE"""),"Ninja")</f>
        <v>Ninja</v>
      </c>
    </row>
    <row r="2625" ht="15.75" customHeight="1">
      <c r="A2625" s="122" t="str">
        <f>IFERROR(__xludf.DUMMYFUNCTION("""COMPUTED_VALUE"""),"0902 845 963")</f>
        <v>0902 845 963</v>
      </c>
      <c r="B2625" s="119" t="str">
        <f>IFERROR(__xludf.DUMMYFUNCTION("""COMPUTED_VALUE"""),"Anh Đức")</f>
        <v>Anh Đức</v>
      </c>
      <c r="C2625" s="119" t="str">
        <f>IFERROR(__xludf.DUMMYFUNCTION("""COMPUTED_VALUE"""),"Đặng Huy Trứ")</f>
        <v>Đặng Huy Trứ</v>
      </c>
      <c r="D2625" s="119" t="str">
        <f>IFERROR(__xludf.DUMMYFUNCTION("""COMPUTED_VALUE"""),"chó ")</f>
        <v>chó </v>
      </c>
      <c r="E2625" s="119" t="str">
        <f>IFERROR(__xludf.DUMMYFUNCTION("""COMPUTED_VALUE""")," trăng- Nâu")</f>
        <v> trăng- Nâu</v>
      </c>
    </row>
    <row r="2626" ht="15.75" customHeight="1">
      <c r="A2626" s="122" t="str">
        <f>IFERROR(__xludf.DUMMYFUNCTION("""COMPUTED_VALUE"""),"0964 349 246")</f>
        <v>0964 349 246</v>
      </c>
      <c r="B2626" s="119" t="str">
        <f>IFERROR(__xludf.DUMMYFUNCTION("""COMPUTED_VALUE"""),"Chị Lan")</f>
        <v>Chị Lan</v>
      </c>
      <c r="C2626" s="119" t="str">
        <f>IFERROR(__xludf.DUMMYFUNCTION("""COMPUTED_VALUE"""),"190 Trần Phú")</f>
        <v>190 Trần Phú</v>
      </c>
      <c r="D2626" s="119" t="str">
        <f>IFERROR(__xludf.DUMMYFUNCTION("""COMPUTED_VALUE"""),"chó")</f>
        <v>chó</v>
      </c>
      <c r="E2626" s="119" t="str">
        <f>IFERROR(__xludf.DUMMYFUNCTION("""COMPUTED_VALUE"""),"Xi")</f>
        <v>Xi</v>
      </c>
    </row>
    <row r="2627" ht="15.75" customHeight="1">
      <c r="A2627" s="122" t="str">
        <f>IFERROR(__xludf.DUMMYFUNCTION("""COMPUTED_VALUE"""),"0901 943 147")</f>
        <v>0901 943 147</v>
      </c>
      <c r="B2627" s="119" t="str">
        <f>IFERROR(__xludf.DUMMYFUNCTION("""COMPUTED_VALUE"""),"Lê Nguyên Bảo")</f>
        <v>Lê Nguyên Bảo</v>
      </c>
      <c r="C2627" s="119" t="str">
        <f>IFERROR(__xludf.DUMMYFUNCTION("""COMPUTED_VALUE"""),"Tổ 12 Thủy Xuân")</f>
        <v>Tổ 12 Thủy Xuân</v>
      </c>
      <c r="D2627" s="119" t="str">
        <f>IFERROR(__xludf.DUMMYFUNCTION("""COMPUTED_VALUE"""),"mèo")</f>
        <v>mèo</v>
      </c>
      <c r="E2627" s="119" t="str">
        <f>IFERROR(__xludf.DUMMYFUNCTION("""COMPUTED_VALUE"""),"Vinamilk")</f>
        <v>Vinamilk</v>
      </c>
    </row>
    <row r="2628" ht="15.75" customHeight="1">
      <c r="A2628" s="122" t="str">
        <f>IFERROR(__xludf.DUMMYFUNCTION("""COMPUTED_VALUE"""),"0916 980 113")</f>
        <v>0916 980 113</v>
      </c>
      <c r="B2628" s="119" t="str">
        <f>IFERROR(__xludf.DUMMYFUNCTION("""COMPUTED_VALUE"""),"Anh Long")</f>
        <v>Anh Long</v>
      </c>
      <c r="C2628" s="119" t="str">
        <f>IFERROR(__xludf.DUMMYFUNCTION("""COMPUTED_VALUE"""),"Hương Hồ - Hương Trà ")</f>
        <v>Hương Hồ - Hương Trà </v>
      </c>
      <c r="D2628" s="119" t="str">
        <f>IFERROR(__xludf.DUMMYFUNCTION("""COMPUTED_VALUE"""),"Chó")</f>
        <v>Chó</v>
      </c>
      <c r="E2628" s="119" t="str">
        <f>IFERROR(__xludf.DUMMYFUNCTION("""COMPUTED_VALUE"""),"Đen")</f>
        <v>Đen</v>
      </c>
    </row>
    <row r="2629" ht="15.75" customHeight="1">
      <c r="A2629" s="122" t="str">
        <f>IFERROR(__xludf.DUMMYFUNCTION("""COMPUTED_VALUE"""),"0707 419 782")</f>
        <v>0707 419 782</v>
      </c>
      <c r="B2629" s="119" t="str">
        <f>IFERROR(__xludf.DUMMYFUNCTION("""COMPUTED_VALUE"""),"Em Thanh Thủy")</f>
        <v>Em Thanh Thủy</v>
      </c>
      <c r="C2629" s="119" t="str">
        <f>IFERROR(__xludf.DUMMYFUNCTION("""COMPUTED_VALUE"""),"Xã Phú Dương")</f>
        <v>Xã Phú Dương</v>
      </c>
      <c r="D2629" s="119" t="str">
        <f>IFERROR(__xludf.DUMMYFUNCTION("""COMPUTED_VALUE"""),"chó")</f>
        <v>chó</v>
      </c>
      <c r="E2629" s="119" t="str">
        <f>IFERROR(__xludf.DUMMYFUNCTION("""COMPUTED_VALUE"""),"Lu Lu")</f>
        <v>Lu Lu</v>
      </c>
    </row>
    <row r="2630" ht="15.75" customHeight="1">
      <c r="A2630" s="122" t="str">
        <f>IFERROR(__xludf.DUMMYFUNCTION("""COMPUTED_VALUE"""),"0765 011 555")</f>
        <v>0765 011 555</v>
      </c>
      <c r="B2630" s="119" t="str">
        <f>IFERROR(__xludf.DUMMYFUNCTION("""COMPUTED_VALUE"""),"Chị Phương Thảo")</f>
        <v>Chị Phương Thảo</v>
      </c>
      <c r="C2630" s="119" t="str">
        <f>IFERROR(__xludf.DUMMYFUNCTION("""COMPUTED_VALUE"""),"34C/131 trần Phú")</f>
        <v>34C/131 trần Phú</v>
      </c>
      <c r="D2630" s="119" t="str">
        <f>IFERROR(__xludf.DUMMYFUNCTION("""COMPUTED_VALUE"""),"chó")</f>
        <v>chó</v>
      </c>
      <c r="E2630" s="119" t="str">
        <f>IFERROR(__xludf.DUMMYFUNCTION("""COMPUTED_VALUE""")," Ka")</f>
        <v> Ka</v>
      </c>
    </row>
    <row r="2631" ht="15.75" customHeight="1">
      <c r="A2631" s="122" t="str">
        <f>IFERROR(__xludf.DUMMYFUNCTION("""COMPUTED_VALUE"""),"0902 424 742")</f>
        <v>0902 424 742</v>
      </c>
      <c r="B2631" s="119" t="str">
        <f>IFERROR(__xludf.DUMMYFUNCTION("""COMPUTED_VALUE"""),"Anh Hiếu")</f>
        <v>Anh Hiếu</v>
      </c>
      <c r="C2631" s="119" t="str">
        <f>IFERROR(__xludf.DUMMYFUNCTION("""COMPUTED_VALUE"""),"Hội An")</f>
        <v>Hội An</v>
      </c>
      <c r="D2631" s="119" t="str">
        <f>IFERROR(__xludf.DUMMYFUNCTION("""COMPUTED_VALUE"""),"mèo")</f>
        <v>mèo</v>
      </c>
      <c r="E2631" s="119" t="str">
        <f>IFERROR(__xludf.DUMMYFUNCTION("""COMPUTED_VALUE"""),"Mi")</f>
        <v>Mi</v>
      </c>
    </row>
    <row r="2632" ht="15.75" customHeight="1">
      <c r="A2632" s="122" t="str">
        <f>IFERROR(__xludf.DUMMYFUNCTION("""COMPUTED_VALUE"""),"0765 857 464")</f>
        <v>0765 857 464</v>
      </c>
      <c r="B2632" s="119" t="str">
        <f>IFERROR(__xludf.DUMMYFUNCTION("""COMPUTED_VALUE"""),"Chú Quang ")</f>
        <v>Chú Quang </v>
      </c>
      <c r="C2632" s="119" t="str">
        <f>IFERROR(__xludf.DUMMYFUNCTION("""COMPUTED_VALUE"""),"Phú Mộng")</f>
        <v>Phú Mộng</v>
      </c>
      <c r="D2632" s="119" t="str">
        <f>IFERROR(__xludf.DUMMYFUNCTION("""COMPUTED_VALUE"""),"chó")</f>
        <v>chó</v>
      </c>
      <c r="E2632" s="119" t="str">
        <f>IFERROR(__xludf.DUMMYFUNCTION("""COMPUTED_VALUE"""),"Mập")</f>
        <v>Mập</v>
      </c>
    </row>
    <row r="2633" ht="15.75" customHeight="1">
      <c r="A2633" s="122" t="str">
        <f>IFERROR(__xludf.DUMMYFUNCTION("""COMPUTED_VALUE"""),"0765 305 141")</f>
        <v>0765 305 141</v>
      </c>
      <c r="B2633" s="119" t="str">
        <f>IFERROR(__xludf.DUMMYFUNCTION("""COMPUTED_VALUE"""),"Chú Chí")</f>
        <v>Chú Chí</v>
      </c>
      <c r="C2633" s="119" t="str">
        <f>IFERROR(__xludf.DUMMYFUNCTION("""COMPUTED_VALUE"""),"152 minh mạng")</f>
        <v>152 minh mạng</v>
      </c>
      <c r="D2633" s="119" t="str">
        <f>IFERROR(__xludf.DUMMYFUNCTION("""COMPUTED_VALUE"""),"chó")</f>
        <v>chó</v>
      </c>
      <c r="E2633" s="119" t="str">
        <f>IFERROR(__xludf.DUMMYFUNCTION("""COMPUTED_VALUE"""),"mắt")</f>
        <v>mắt</v>
      </c>
    </row>
    <row r="2634" ht="15.75" customHeight="1">
      <c r="A2634" s="122" t="str">
        <f>IFERROR(__xludf.DUMMYFUNCTION("""COMPUTED_VALUE"""),"0782 020 222")</f>
        <v>0782 020 222</v>
      </c>
      <c r="B2634" s="119" t="str">
        <f>IFERROR(__xludf.DUMMYFUNCTION("""COMPUTED_VALUE"""),"Phương Nhi")</f>
        <v>Phương Nhi</v>
      </c>
      <c r="C2634" s="119" t="str">
        <f>IFERROR(__xludf.DUMMYFUNCTION("""COMPUTED_VALUE"""),"09 Tống Duy Tân")</f>
        <v>09 Tống Duy Tân</v>
      </c>
      <c r="D2634" s="119" t="str">
        <f>IFERROR(__xludf.DUMMYFUNCTION("""COMPUTED_VALUE"""),"chó")</f>
        <v>chó</v>
      </c>
      <c r="E2634" s="119" t="str">
        <f>IFERROR(__xludf.DUMMYFUNCTION("""COMPUTED_VALUE"""),"Ken")</f>
        <v>Ken</v>
      </c>
    </row>
    <row r="2635" ht="15.75" customHeight="1">
      <c r="A2635" s="122" t="str">
        <f>IFERROR(__xludf.DUMMYFUNCTION("""COMPUTED_VALUE"""),"0374 224 908")</f>
        <v>0374 224 908</v>
      </c>
      <c r="B2635" s="119" t="str">
        <f>IFERROR(__xludf.DUMMYFUNCTION("""COMPUTED_VALUE"""),"Đoàn Anh Tú")</f>
        <v>Đoàn Anh Tú</v>
      </c>
      <c r="C2635" s="119" t="str">
        <f>IFERROR(__xludf.DUMMYFUNCTION("""COMPUTED_VALUE"""),"2/1 Nguyễn Khoa Chiêm")</f>
        <v>2/1 Nguyễn Khoa Chiêm</v>
      </c>
      <c r="D2635" s="119" t="str">
        <f>IFERROR(__xludf.DUMMYFUNCTION("""COMPUTED_VALUE"""),"chó")</f>
        <v>chó</v>
      </c>
      <c r="E2635" s="119" t="str">
        <f>IFERROR(__xludf.DUMMYFUNCTION("""COMPUTED_VALUE"""),"Cam")</f>
        <v>Cam</v>
      </c>
    </row>
    <row r="2636" ht="15.75" customHeight="1">
      <c r="A2636" s="122" t="str">
        <f>IFERROR(__xludf.DUMMYFUNCTION("""COMPUTED_VALUE"""),"0934 705 292")</f>
        <v>0934 705 292</v>
      </c>
      <c r="B2636" s="119" t="str">
        <f>IFERROR(__xludf.DUMMYFUNCTION("""COMPUTED_VALUE"""),"Chị Sa")</f>
        <v>Chị Sa</v>
      </c>
      <c r="C2636" s="119" t="str">
        <f>IFERROR(__xludf.DUMMYFUNCTION("""COMPUTED_VALUE"""),"kiệt 2 Xuân Thuỷ")</f>
        <v>kiệt 2 Xuân Thuỷ</v>
      </c>
      <c r="D2636" s="119" t="str">
        <f>IFERROR(__xludf.DUMMYFUNCTION("""COMPUTED_VALUE"""),"mèo")</f>
        <v>mèo</v>
      </c>
      <c r="E2636" s="119" t="str">
        <f>IFERROR(__xludf.DUMMYFUNCTION("""COMPUTED_VALUE"""),"Miu Miu")</f>
        <v>Miu Miu</v>
      </c>
    </row>
    <row r="2637" ht="15.75" customHeight="1">
      <c r="A2637" s="122" t="str">
        <f>IFERROR(__xludf.DUMMYFUNCTION("""COMPUTED_VALUE"""),"0905 162 399")</f>
        <v>0905 162 399</v>
      </c>
      <c r="B2637" s="119" t="str">
        <f>IFERROR(__xludf.DUMMYFUNCTION("""COMPUTED_VALUE"""),"Anh Thuỷ")</f>
        <v>Anh Thuỷ</v>
      </c>
      <c r="C2637" s="119" t="str">
        <f>IFERROR(__xludf.DUMMYFUNCTION("""COMPUTED_VALUE"""),"31/9 Lê Quý Đôn")</f>
        <v>31/9 Lê Quý Đôn</v>
      </c>
      <c r="D2637" s="119" t="str">
        <f>IFERROR(__xludf.DUMMYFUNCTION("""COMPUTED_VALUE"""),"chó")</f>
        <v>chó</v>
      </c>
      <c r="E2637" s="119" t="str">
        <f>IFERROR(__xludf.DUMMYFUNCTION("""COMPUTED_VALUE"""),"Than")</f>
        <v>Than</v>
      </c>
    </row>
    <row r="2638" ht="15.75" customHeight="1">
      <c r="A2638" s="122" t="str">
        <f>IFERROR(__xludf.DUMMYFUNCTION("""COMPUTED_VALUE"""),"0764 068 245")</f>
        <v>0764 068 245</v>
      </c>
      <c r="B2638" s="119" t="str">
        <f>IFERROR(__xludf.DUMMYFUNCTION("""COMPUTED_VALUE"""),"Chị Phương")</f>
        <v>Chị Phương</v>
      </c>
      <c r="C2638" s="119" t="str">
        <f>IFERROR(__xludf.DUMMYFUNCTION("""COMPUTED_VALUE"""),"73/47 Ưng Bình")</f>
        <v>73/47 Ưng Bình</v>
      </c>
      <c r="D2638" s="119" t="str">
        <f>IFERROR(__xludf.DUMMYFUNCTION("""COMPUTED_VALUE"""),"chó")</f>
        <v>chó</v>
      </c>
      <c r="E2638" s="119" t="str">
        <f>IFERROR(__xludf.DUMMYFUNCTION("""COMPUTED_VALUE"""),"Luca")</f>
        <v>Luca</v>
      </c>
    </row>
    <row r="2639" ht="15.75" customHeight="1">
      <c r="A2639" s="122" t="str">
        <f>IFERROR(__xludf.DUMMYFUNCTION("""COMPUTED_VALUE"""),"0961 391 199")</f>
        <v>0961 391 199</v>
      </c>
      <c r="B2639" s="119" t="str">
        <f>IFERROR(__xludf.DUMMYFUNCTION("""COMPUTED_VALUE"""),"Chị Ngân")</f>
        <v>Chị Ngân</v>
      </c>
      <c r="C2639" s="119" t="str">
        <f>IFERROR(__xludf.DUMMYFUNCTION("""COMPUTED_VALUE"""),"Phú Thượng")</f>
        <v>Phú Thượng</v>
      </c>
      <c r="D2639" s="119" t="str">
        <f>IFERROR(__xludf.DUMMYFUNCTION("""COMPUTED_VALUE"""),"chó")</f>
        <v>chó</v>
      </c>
      <c r="E2639" s="119" t="str">
        <f>IFERROR(__xludf.DUMMYFUNCTION("""COMPUTED_VALUE"""),"Min")</f>
        <v>Min</v>
      </c>
    </row>
    <row r="2640" ht="15.75" customHeight="1">
      <c r="A2640" s="122" t="str">
        <f>IFERROR(__xludf.DUMMYFUNCTION("""COMPUTED_VALUE"""),"0972 997 955")</f>
        <v>0972 997 955</v>
      </c>
      <c r="B2640" s="119" t="str">
        <f>IFERROR(__xludf.DUMMYFUNCTION("""COMPUTED_VALUE"""),"Anh Minh")</f>
        <v>Anh Minh</v>
      </c>
      <c r="C2640" s="119" t="str">
        <f>IFERROR(__xludf.DUMMYFUNCTION("""COMPUTED_VALUE"""),"166 Hoa Lư")</f>
        <v>166 Hoa Lư</v>
      </c>
      <c r="D2640" s="119" t="str">
        <f>IFERROR(__xludf.DUMMYFUNCTION("""COMPUTED_VALUE"""),"Mèo")</f>
        <v>Mèo</v>
      </c>
      <c r="E2640" s="119" t="str">
        <f>IFERROR(__xludf.DUMMYFUNCTION("""COMPUTED_VALUE"""),"Happy")</f>
        <v>Happy</v>
      </c>
    </row>
    <row r="2641" ht="15.75" customHeight="1">
      <c r="A2641" s="122" t="str">
        <f>IFERROR(__xludf.DUMMYFUNCTION("""COMPUTED_VALUE"""),"0794 511 909")</f>
        <v>0794 511 909</v>
      </c>
      <c r="B2641" s="119" t="str">
        <f>IFERROR(__xludf.DUMMYFUNCTION("""COMPUTED_VALUE"""),"Yến")</f>
        <v>Yến</v>
      </c>
      <c r="C2641" s="119" t="str">
        <f>IFERROR(__xludf.DUMMYFUNCTION("""COMPUTED_VALUE"""),"99 Vạn Xuân")</f>
        <v>99 Vạn Xuân</v>
      </c>
      <c r="D2641" s="119" t="str">
        <f>IFERROR(__xludf.DUMMYFUNCTION("""COMPUTED_VALUE"""),"chó")</f>
        <v>chó</v>
      </c>
      <c r="E2641" s="119" t="str">
        <f>IFERROR(__xludf.DUMMYFUNCTION("""COMPUTED_VALUE"""),"Cua")</f>
        <v>Cua</v>
      </c>
    </row>
    <row r="2642" ht="15.75" customHeight="1">
      <c r="A2642" s="122" t="str">
        <f>IFERROR(__xludf.DUMMYFUNCTION("""COMPUTED_VALUE"""),"0914 256 079")</f>
        <v>0914 256 079</v>
      </c>
      <c r="B2642" s="119" t="str">
        <f>IFERROR(__xludf.DUMMYFUNCTION("""COMPUTED_VALUE"""),"Hà Thị Minh")</f>
        <v>Hà Thị Minh</v>
      </c>
      <c r="C2642" s="119" t="str">
        <f>IFERROR(__xludf.DUMMYFUNCTION("""COMPUTED_VALUE"""),"Quảng Trị")</f>
        <v>Quảng Trị</v>
      </c>
      <c r="D2642" s="119" t="str">
        <f>IFERROR(__xludf.DUMMYFUNCTION("""COMPUTED_VALUE"""),"chó")</f>
        <v>chó</v>
      </c>
      <c r="E2642" s="119" t="str">
        <f>IFERROR(__xludf.DUMMYFUNCTION("""COMPUTED_VALUE"""),"Mít")</f>
        <v>Mít</v>
      </c>
    </row>
    <row r="2643" ht="15.75" customHeight="1">
      <c r="A2643" s="122" t="str">
        <f>IFERROR(__xludf.DUMMYFUNCTION("""COMPUTED_VALUE"""),"0912 221 988")</f>
        <v>0912 221 988</v>
      </c>
      <c r="B2643" s="119" t="str">
        <f>IFERROR(__xludf.DUMMYFUNCTION("""COMPUTED_VALUE"""),"Anh Kiên")</f>
        <v>Anh Kiên</v>
      </c>
      <c r="C2643" s="119" t="str">
        <f>IFERROR(__xludf.DUMMYFUNCTION("""COMPUTED_VALUE"""),"Hà nội")</f>
        <v>Hà nội</v>
      </c>
      <c r="D2643" s="119" t="str">
        <f>IFERROR(__xludf.DUMMYFUNCTION("""COMPUTED_VALUE"""),"chó")</f>
        <v>chó</v>
      </c>
      <c r="E2643" s="119"/>
    </row>
    <row r="2644" ht="15.75" customHeight="1">
      <c r="A2644" s="122" t="str">
        <f>IFERROR(__xludf.DUMMYFUNCTION("""COMPUTED_VALUE"""),"0374 568 176")</f>
        <v>0374 568 176</v>
      </c>
      <c r="B2644" s="119" t="str">
        <f>IFERROR(__xludf.DUMMYFUNCTION("""COMPUTED_VALUE"""),"Anh Lân")</f>
        <v>Anh Lân</v>
      </c>
      <c r="C2644" s="119" t="str">
        <f>IFERROR(__xludf.DUMMYFUNCTION("""COMPUTED_VALUE"""),"Phạm thị Liên")</f>
        <v>Phạm thị Liên</v>
      </c>
      <c r="D2644" s="119" t="str">
        <f>IFERROR(__xludf.DUMMYFUNCTION("""COMPUTED_VALUE"""),"Chó")</f>
        <v>Chó</v>
      </c>
      <c r="E2644" s="119" t="str">
        <f>IFERROR(__xludf.DUMMYFUNCTION("""COMPUTED_VALUE"""),"Meo")</f>
        <v>Meo</v>
      </c>
    </row>
    <row r="2645" ht="15.75" customHeight="1">
      <c r="A2645" s="122" t="str">
        <f>IFERROR(__xludf.DUMMYFUNCTION("""COMPUTED_VALUE"""),"0906 530 869")</f>
        <v>0906 530 869</v>
      </c>
      <c r="B2645" s="119" t="str">
        <f>IFERROR(__xludf.DUMMYFUNCTION("""COMPUTED_VALUE"""),"Cô Trang")</f>
        <v>Cô Trang</v>
      </c>
      <c r="C2645" s="119" t="str">
        <f>IFERROR(__xludf.DUMMYFUNCTION("""COMPUTED_VALUE"""),"401 Chi Lăng")</f>
        <v>401 Chi Lăng</v>
      </c>
      <c r="D2645" s="119" t="str">
        <f>IFERROR(__xludf.DUMMYFUNCTION("""COMPUTED_VALUE"""),"Mèo")</f>
        <v>Mèo</v>
      </c>
      <c r="E2645" s="119" t="str">
        <f>IFERROR(__xludf.DUMMYFUNCTION("""COMPUTED_VALUE"""),"Tom")</f>
        <v>Tom</v>
      </c>
    </row>
    <row r="2646" ht="15.75" customHeight="1">
      <c r="A2646" s="122" t="str">
        <f>IFERROR(__xludf.DUMMYFUNCTION("""COMPUTED_VALUE"""),"0968 839 191")</f>
        <v>0968 839 191</v>
      </c>
      <c r="B2646" s="119" t="str">
        <f>IFERROR(__xludf.DUMMYFUNCTION("""COMPUTED_VALUE"""),"Chị Diệu Hiền")</f>
        <v>Chị Diệu Hiền</v>
      </c>
      <c r="C2646" s="119" t="str">
        <f>IFERROR(__xludf.DUMMYFUNCTION("""COMPUTED_VALUE"""),"12/80 Nguyễn Hoàng")</f>
        <v>12/80 Nguyễn Hoàng</v>
      </c>
      <c r="D2646" s="119" t="str">
        <f>IFERROR(__xludf.DUMMYFUNCTION("""COMPUTED_VALUE"""),"chó")</f>
        <v>chó</v>
      </c>
      <c r="E2646" s="119" t="str">
        <f>IFERROR(__xludf.DUMMYFUNCTION("""COMPUTED_VALUE"""),"Mun")</f>
        <v>Mun</v>
      </c>
    </row>
    <row r="2647" ht="15.75" customHeight="1">
      <c r="A2647" s="122" t="str">
        <f>IFERROR(__xludf.DUMMYFUNCTION("""COMPUTED_VALUE"""),"0905 117 952")</f>
        <v>0905 117 952</v>
      </c>
      <c r="B2647" s="119" t="str">
        <f>IFERROR(__xludf.DUMMYFUNCTION("""COMPUTED_VALUE"""),"Chị Linh")</f>
        <v>Chị Linh</v>
      </c>
      <c r="C2647" s="119" t="str">
        <f>IFERROR(__xludf.DUMMYFUNCTION("""COMPUTED_VALUE"""),"Bùi Hữu Nghĩa")</f>
        <v>Bùi Hữu Nghĩa</v>
      </c>
      <c r="D2647" s="119" t="str">
        <f>IFERROR(__xludf.DUMMYFUNCTION("""COMPUTED_VALUE"""),"Chó")</f>
        <v>Chó</v>
      </c>
      <c r="E2647" s="119" t="str">
        <f>IFERROR(__xludf.DUMMYFUNCTION("""COMPUTED_VALUE"""),"Gạo")</f>
        <v>Gạo</v>
      </c>
    </row>
    <row r="2648" ht="15.75" customHeight="1">
      <c r="A2648" s="122" t="str">
        <f>IFERROR(__xludf.DUMMYFUNCTION("""COMPUTED_VALUE"""),"0363 300 444")</f>
        <v>0363 300 444</v>
      </c>
      <c r="B2648" s="119" t="str">
        <f>IFERROR(__xludf.DUMMYFUNCTION("""COMPUTED_VALUE"""),"Anh Khoa")</f>
        <v>Anh Khoa</v>
      </c>
      <c r="C2648" s="119" t="str">
        <f>IFERROR(__xludf.DUMMYFUNCTION("""COMPUTED_VALUE"""),"27 Đào Tấn")</f>
        <v>27 Đào Tấn</v>
      </c>
      <c r="D2648" s="119" t="str">
        <f>IFERROR(__xludf.DUMMYFUNCTION("""COMPUTED_VALUE"""),"chó")</f>
        <v>chó</v>
      </c>
      <c r="E2648" s="119" t="str">
        <f>IFERROR(__xludf.DUMMYFUNCTION("""COMPUTED_VALUE"""),"Lượm")</f>
        <v>Lượm</v>
      </c>
    </row>
    <row r="2649" ht="15.75" customHeight="1">
      <c r="A2649" s="122" t="str">
        <f>IFERROR(__xludf.DUMMYFUNCTION("""COMPUTED_VALUE"""),"0886 351 025")</f>
        <v>0886 351 025</v>
      </c>
      <c r="B2649" s="119" t="str">
        <f>IFERROR(__xludf.DUMMYFUNCTION("""COMPUTED_VALUE"""),"Giang")</f>
        <v>Giang</v>
      </c>
      <c r="C2649" s="119" t="str">
        <f>IFERROR(__xludf.DUMMYFUNCTION("""COMPUTED_VALUE"""),"104/12 Phạm Thị Liên")</f>
        <v>104/12 Phạm Thị Liên</v>
      </c>
      <c r="D2649" s="119" t="str">
        <f>IFERROR(__xludf.DUMMYFUNCTION("""COMPUTED_VALUE"""),"Mèo")</f>
        <v>Mèo</v>
      </c>
      <c r="E2649" s="119" t="str">
        <f>IFERROR(__xludf.DUMMYFUNCTION("""COMPUTED_VALUE"""),"Bo")</f>
        <v>Bo</v>
      </c>
    </row>
    <row r="2650" ht="15.75" customHeight="1">
      <c r="A2650" s="122" t="str">
        <f>IFERROR(__xludf.DUMMYFUNCTION("""COMPUTED_VALUE"""),"0333 507 020")</f>
        <v>0333 507 020</v>
      </c>
      <c r="B2650" s="119" t="str">
        <f>IFERROR(__xludf.DUMMYFUNCTION("""COMPUTED_VALUE"""),"Nguyễn Văn Tính")</f>
        <v>Nguyễn Văn Tính</v>
      </c>
      <c r="C2650" s="119" t="str">
        <f>IFERROR(__xludf.DUMMYFUNCTION("""COMPUTED_VALUE"""),"76 Nguyễn Hoàng")</f>
        <v>76 Nguyễn Hoàng</v>
      </c>
      <c r="D2650" s="119" t="str">
        <f>IFERROR(__xludf.DUMMYFUNCTION("""COMPUTED_VALUE"""),"Chó")</f>
        <v>Chó</v>
      </c>
      <c r="E2650" s="119" t="str">
        <f>IFERROR(__xludf.DUMMYFUNCTION("""COMPUTED_VALUE"""),"Bông")</f>
        <v>Bông</v>
      </c>
    </row>
    <row r="2651" ht="15.75" customHeight="1">
      <c r="A2651" s="122" t="str">
        <f>IFERROR(__xludf.DUMMYFUNCTION("""COMPUTED_VALUE"""),"0396 497 491")</f>
        <v>0396 497 491</v>
      </c>
      <c r="B2651" s="119" t="str">
        <f>IFERROR(__xludf.DUMMYFUNCTION("""COMPUTED_VALUE"""),"Đăng")</f>
        <v>Đăng</v>
      </c>
      <c r="C2651" s="119" t="str">
        <f>IFERROR(__xludf.DUMMYFUNCTION("""COMPUTED_VALUE"""),"4/4 Hoài Thanh")</f>
        <v>4/4 Hoài Thanh</v>
      </c>
      <c r="D2651" s="119" t="str">
        <f>IFERROR(__xludf.DUMMYFUNCTION("""COMPUTED_VALUE"""),"mèo")</f>
        <v>mèo</v>
      </c>
      <c r="E2651" s="119" t="str">
        <f>IFERROR(__xludf.DUMMYFUNCTION("""COMPUTED_VALUE"""),"May")</f>
        <v>May</v>
      </c>
    </row>
    <row r="2652" ht="15.75" customHeight="1">
      <c r="A2652" s="122" t="str">
        <f>IFERROR(__xludf.DUMMYFUNCTION("""COMPUTED_VALUE"""),"0932 589 331")</f>
        <v>0932 589 331</v>
      </c>
      <c r="B2652" s="119" t="str">
        <f>IFERROR(__xludf.DUMMYFUNCTION("""COMPUTED_VALUE"""),"Uyên Phương")</f>
        <v>Uyên Phương</v>
      </c>
      <c r="C2652" s="119" t="str">
        <f>IFERROR(__xludf.DUMMYFUNCTION("""COMPUTED_VALUE"""),"84/8 Nguyễn Hữu Dật")</f>
        <v>84/8 Nguyễn Hữu Dật</v>
      </c>
      <c r="D2652" s="119" t="str">
        <f>IFERROR(__xludf.DUMMYFUNCTION("""COMPUTED_VALUE"""),"Chó")</f>
        <v>Chó</v>
      </c>
      <c r="E2652" s="119" t="str">
        <f>IFERROR(__xludf.DUMMYFUNCTION("""COMPUTED_VALUE"""),"Su")</f>
        <v>Su</v>
      </c>
    </row>
    <row r="2653" ht="15.75" customHeight="1">
      <c r="A2653" s="122" t="str">
        <f>IFERROR(__xludf.DUMMYFUNCTION("""COMPUTED_VALUE"""),"0769 989 258")</f>
        <v>0769 989 258</v>
      </c>
      <c r="B2653" s="119" t="str">
        <f>IFERROR(__xludf.DUMMYFUNCTION("""COMPUTED_VALUE"""),"Lê Quốc Huy")</f>
        <v>Lê Quốc Huy</v>
      </c>
      <c r="C2653" s="119" t="str">
        <f>IFERROR(__xludf.DUMMYFUNCTION("""COMPUTED_VALUE"""),"110/14/4 Kim Long")</f>
        <v>110/14/4 Kim Long</v>
      </c>
      <c r="D2653" s="119" t="str">
        <f>IFERROR(__xludf.DUMMYFUNCTION("""COMPUTED_VALUE"""),"mèo")</f>
        <v>mèo</v>
      </c>
      <c r="E2653" s="119" t="str">
        <f>IFERROR(__xludf.DUMMYFUNCTION("""COMPUTED_VALUE"""),"Ngơ")</f>
        <v>Ngơ</v>
      </c>
    </row>
    <row r="2654" ht="15.75" customHeight="1">
      <c r="A2654" s="122" t="str">
        <f>IFERROR(__xludf.DUMMYFUNCTION("""COMPUTED_VALUE"""),"0342 111 717")</f>
        <v>0342 111 717</v>
      </c>
      <c r="B2654" s="119" t="str">
        <f>IFERROR(__xludf.DUMMYFUNCTION("""COMPUTED_VALUE"""),"Anh Quang")</f>
        <v>Anh Quang</v>
      </c>
      <c r="C2654" s="119" t="str">
        <f>IFERROR(__xludf.DUMMYFUNCTION("""COMPUTED_VALUE"""),"10/6/108 Lê Ngô Cát")</f>
        <v>10/6/108 Lê Ngô Cát</v>
      </c>
      <c r="D2654" s="119" t="str">
        <f>IFERROR(__xludf.DUMMYFUNCTION("""COMPUTED_VALUE"""),"Chó")</f>
        <v>Chó</v>
      </c>
      <c r="E2654" s="119" t="str">
        <f>IFERROR(__xludf.DUMMYFUNCTION("""COMPUTED_VALUE"""),"Đốm")</f>
        <v>Đốm</v>
      </c>
    </row>
    <row r="2655" ht="15.75" customHeight="1">
      <c r="A2655" s="122" t="str">
        <f>IFERROR(__xludf.DUMMYFUNCTION("""COMPUTED_VALUE"""),"0849 984 284")</f>
        <v>0849 984 284</v>
      </c>
      <c r="B2655" s="119" t="str">
        <f>IFERROR(__xludf.DUMMYFUNCTION("""COMPUTED_VALUE"""),"Đặng Ngọc Nguyên")</f>
        <v>Đặng Ngọc Nguyên</v>
      </c>
      <c r="C2655" s="119" t="str">
        <f>IFERROR(__xludf.DUMMYFUNCTION("""COMPUTED_VALUE"""),"79 Nguyễn Hoàng")</f>
        <v>79 Nguyễn Hoàng</v>
      </c>
      <c r="D2655" s="119" t="str">
        <f>IFERROR(__xludf.DUMMYFUNCTION("""COMPUTED_VALUE"""),"Gà")</f>
        <v>Gà</v>
      </c>
      <c r="E2655" s="119"/>
    </row>
    <row r="2656" ht="15.75" customHeight="1">
      <c r="A2656" s="122" t="str">
        <f>IFERROR(__xludf.DUMMYFUNCTION("""COMPUTED_VALUE"""),"0932 418 738")</f>
        <v>0932 418 738</v>
      </c>
      <c r="B2656" s="119" t="str">
        <f>IFERROR(__xludf.DUMMYFUNCTION("""COMPUTED_VALUE"""),"Trần Thị Thiện Loan")</f>
        <v>Trần Thị Thiện Loan</v>
      </c>
      <c r="C2656" s="119" t="str">
        <f>IFERROR(__xludf.DUMMYFUNCTION("""COMPUTED_VALUE"""),"142 Hàn Mặc Tử")</f>
        <v>142 Hàn Mặc Tử</v>
      </c>
      <c r="D2656" s="119" t="str">
        <f>IFERROR(__xludf.DUMMYFUNCTION("""COMPUTED_VALUE"""),"chó")</f>
        <v>chó</v>
      </c>
      <c r="E2656" s="119" t="str">
        <f>IFERROR(__xludf.DUMMYFUNCTION("""COMPUTED_VALUE"""),"Lyly")</f>
        <v>Lyly</v>
      </c>
    </row>
    <row r="2657" ht="15.75" customHeight="1">
      <c r="A2657" s="122" t="str">
        <f>IFERROR(__xludf.DUMMYFUNCTION("""COMPUTED_VALUE"""),"0775 554 433")</f>
        <v>0775 554 433</v>
      </c>
      <c r="B2657" s="119" t="str">
        <f>IFERROR(__xludf.DUMMYFUNCTION("""COMPUTED_VALUE"""),"Anh Nhân")</f>
        <v>Anh Nhân</v>
      </c>
      <c r="C2657" s="119" t="str">
        <f>IFERROR(__xludf.DUMMYFUNCTION("""COMPUTED_VALUE"""),"2/5 Lê Huân")</f>
        <v>2/5 Lê Huân</v>
      </c>
      <c r="D2657" s="119" t="str">
        <f>IFERROR(__xludf.DUMMYFUNCTION("""COMPUTED_VALUE"""),"chó")</f>
        <v>chó</v>
      </c>
      <c r="E2657" s="119" t="str">
        <f>IFERROR(__xludf.DUMMYFUNCTION("""COMPUTED_VALUE"""),"Ruby")</f>
        <v>Ruby</v>
      </c>
    </row>
    <row r="2658" ht="15.75" customHeight="1">
      <c r="A2658" s="122" t="str">
        <f>IFERROR(__xludf.DUMMYFUNCTION("""COMPUTED_VALUE"""),"0901 163 080")</f>
        <v>0901 163 080</v>
      </c>
      <c r="B2658" s="119" t="str">
        <f>IFERROR(__xludf.DUMMYFUNCTION("""COMPUTED_VALUE"""),"Anh Hùng")</f>
        <v>Anh Hùng</v>
      </c>
      <c r="C2658" s="119" t="str">
        <f>IFERROR(__xludf.DUMMYFUNCTION("""COMPUTED_VALUE"""),"5/70 Mạc Đĩnh Chi")</f>
        <v>5/70 Mạc Đĩnh Chi</v>
      </c>
      <c r="D2658" s="119" t="str">
        <f>IFERROR(__xludf.DUMMYFUNCTION("""COMPUTED_VALUE"""),"chó")</f>
        <v>chó</v>
      </c>
      <c r="E2658" s="119"/>
    </row>
    <row r="2659" ht="15.75" customHeight="1">
      <c r="A2659" s="122" t="str">
        <f>IFERROR(__xludf.DUMMYFUNCTION("""COMPUTED_VALUE"""),"0901 299 000")</f>
        <v>0901 299 000</v>
      </c>
      <c r="B2659" s="119" t="str">
        <f>IFERROR(__xludf.DUMMYFUNCTION("""COMPUTED_VALUE"""),"Sư Cô Tuệ Tĩnh")</f>
        <v>Sư Cô Tuệ Tĩnh</v>
      </c>
      <c r="C2659" s="119" t="str">
        <f>IFERROR(__xludf.DUMMYFUNCTION("""COMPUTED_VALUE"""),"48 Thiên Thai")</f>
        <v>48 Thiên Thai</v>
      </c>
      <c r="D2659" s="119" t="str">
        <f>IFERROR(__xludf.DUMMYFUNCTION("""COMPUTED_VALUE"""),"Chó")</f>
        <v>Chó</v>
      </c>
      <c r="E2659" s="119" t="str">
        <f>IFERROR(__xludf.DUMMYFUNCTION("""COMPUTED_VALUE"""),"Lu")</f>
        <v>Lu</v>
      </c>
    </row>
    <row r="2660" ht="15.75" customHeight="1">
      <c r="A2660" s="122" t="str">
        <f>IFERROR(__xludf.DUMMYFUNCTION("""COMPUTED_VALUE"""),"0932 307 270")</f>
        <v>0932 307 270</v>
      </c>
      <c r="B2660" s="119" t="str">
        <f>IFERROR(__xludf.DUMMYFUNCTION("""COMPUTED_VALUE"""),"Em An ")</f>
        <v>Em An </v>
      </c>
      <c r="C2660" s="119" t="str">
        <f>IFERROR(__xludf.DUMMYFUNCTION("""COMPUTED_VALUE"""),"51/40 Nguyễn Sinh Cung")</f>
        <v>51/40 Nguyễn Sinh Cung</v>
      </c>
      <c r="D2660" s="119" t="str">
        <f>IFERROR(__xludf.DUMMYFUNCTION("""COMPUTED_VALUE"""),"Mèo")</f>
        <v>Mèo</v>
      </c>
      <c r="E2660" s="119" t="str">
        <f>IFERROR(__xludf.DUMMYFUNCTION("""COMPUTED_VALUE"""),"Sí")</f>
        <v>Sí</v>
      </c>
    </row>
    <row r="2661" ht="15.75" customHeight="1">
      <c r="A2661" s="122" t="str">
        <f>IFERROR(__xludf.DUMMYFUNCTION("""COMPUTED_VALUE"""),"0972 341 535")</f>
        <v>0972 341 535</v>
      </c>
      <c r="B2661" s="119" t="str">
        <f>IFERROR(__xludf.DUMMYFUNCTION("""COMPUTED_VALUE"""),"Anh Nhật")</f>
        <v>Anh Nhật</v>
      </c>
      <c r="C2661" s="119"/>
      <c r="D2661" s="119" t="str">
        <f>IFERROR(__xludf.DUMMYFUNCTION("""COMPUTED_VALUE"""),"Chó")</f>
        <v>Chó</v>
      </c>
      <c r="E2661" s="119"/>
    </row>
    <row r="2662" ht="15.75" customHeight="1">
      <c r="A2662" s="122" t="str">
        <f>IFERROR(__xludf.DUMMYFUNCTION("""COMPUTED_VALUE"""),"0853 587 856")</f>
        <v>0853 587 856</v>
      </c>
      <c r="B2662" s="119" t="str">
        <f>IFERROR(__xludf.DUMMYFUNCTION("""COMPUTED_VALUE"""),"Em Thảo")</f>
        <v>Em Thảo</v>
      </c>
      <c r="C2662" s="119" t="str">
        <f>IFERROR(__xludf.DUMMYFUNCTION("""COMPUTED_VALUE"""),"11B/26/9/131 Trần Phú")</f>
        <v>11B/26/9/131 Trần Phú</v>
      </c>
      <c r="D2662" s="119" t="str">
        <f>IFERROR(__xludf.DUMMYFUNCTION("""COMPUTED_VALUE"""),"Mèo")</f>
        <v>Mèo</v>
      </c>
      <c r="E2662" s="119" t="str">
        <f>IFERROR(__xludf.DUMMYFUNCTION("""COMPUTED_VALUE"""),"Sana")</f>
        <v>Sana</v>
      </c>
    </row>
    <row r="2663" ht="15.75" customHeight="1">
      <c r="A2663" s="122" t="str">
        <f>IFERROR(__xludf.DUMMYFUNCTION("""COMPUTED_VALUE"""),"0889 493 935")</f>
        <v>0889 493 935</v>
      </c>
      <c r="B2663" s="119" t="str">
        <f>IFERROR(__xludf.DUMMYFUNCTION("""COMPUTED_VALUE"""),"Anh Thành")</f>
        <v>Anh Thành</v>
      </c>
      <c r="C2663" s="119" t="str">
        <f>IFERROR(__xludf.DUMMYFUNCTION("""COMPUTED_VALUE"""),"K245 Phan Bội Châu")</f>
        <v>K245 Phan Bội Châu</v>
      </c>
      <c r="D2663" s="119" t="str">
        <f>IFERROR(__xludf.DUMMYFUNCTION("""COMPUTED_VALUE"""),"Chó")</f>
        <v>Chó</v>
      </c>
      <c r="E2663" s="119" t="str">
        <f>IFERROR(__xludf.DUMMYFUNCTION("""COMPUTED_VALUE"""),"Xoáy")</f>
        <v>Xoáy</v>
      </c>
    </row>
    <row r="2664" ht="15.75" customHeight="1">
      <c r="A2664" s="122" t="str">
        <f>IFERROR(__xludf.DUMMYFUNCTION("""COMPUTED_VALUE"""),"0852 972 805")</f>
        <v>0852 972 805</v>
      </c>
      <c r="B2664" s="119" t="str">
        <f>IFERROR(__xludf.DUMMYFUNCTION("""COMPUTED_VALUE"""),"Anh Kiệt")</f>
        <v>Anh Kiệt</v>
      </c>
      <c r="C2664" s="119" t="str">
        <f>IFERROR(__xludf.DUMMYFUNCTION("""COMPUTED_VALUE"""),"9/18/79 Minh Mạng")</f>
        <v>9/18/79 Minh Mạng</v>
      </c>
      <c r="D2664" s="119" t="str">
        <f>IFERROR(__xludf.DUMMYFUNCTION("""COMPUTED_VALUE"""),"Chó")</f>
        <v>Chó</v>
      </c>
      <c r="E2664" s="119" t="str">
        <f>IFERROR(__xludf.DUMMYFUNCTION("""COMPUTED_VALUE"""),"Bưởi")</f>
        <v>Bưởi</v>
      </c>
    </row>
    <row r="2665" ht="15.75" customHeight="1">
      <c r="A2665" s="122" t="str">
        <f>IFERROR(__xludf.DUMMYFUNCTION("""COMPUTED_VALUE"""),"0936 655 249")</f>
        <v>0936 655 249</v>
      </c>
      <c r="B2665" s="119" t="str">
        <f>IFERROR(__xludf.DUMMYFUNCTION("""COMPUTED_VALUE"""),"Chị Phương")</f>
        <v>Chị Phương</v>
      </c>
      <c r="C2665" s="119" t="str">
        <f>IFERROR(__xludf.DUMMYFUNCTION("""COMPUTED_VALUE"""),"19 Nam Giao")</f>
        <v>19 Nam Giao</v>
      </c>
      <c r="D2665" s="119" t="str">
        <f>IFERROR(__xludf.DUMMYFUNCTION("""COMPUTED_VALUE"""),"chó")</f>
        <v>chó</v>
      </c>
      <c r="E2665" s="119" t="str">
        <f>IFERROR(__xludf.DUMMYFUNCTION("""COMPUTED_VALUE"""),"Zet")</f>
        <v>Zet</v>
      </c>
    </row>
    <row r="2666" ht="15.75" customHeight="1">
      <c r="A2666" s="122" t="str">
        <f>IFERROR(__xludf.DUMMYFUNCTION("""COMPUTED_VALUE"""),"0917 102 953")</f>
        <v>0917 102 953</v>
      </c>
      <c r="B2666" s="119" t="str">
        <f>IFERROR(__xludf.DUMMYFUNCTION("""COMPUTED_VALUE"""),"Chị Thùy Anh ")</f>
        <v>Chị Thùy Anh </v>
      </c>
      <c r="C2666" s="119" t="str">
        <f>IFERROR(__xludf.DUMMYFUNCTION("""COMPUTED_VALUE"""),"Hương Văn - Hương Trà")</f>
        <v>Hương Văn - Hương Trà</v>
      </c>
      <c r="D2666" s="119" t="str">
        <f>IFERROR(__xludf.DUMMYFUNCTION("""COMPUTED_VALUE"""),"chó")</f>
        <v>chó</v>
      </c>
      <c r="E2666" s="119" t="str">
        <f>IFERROR(__xludf.DUMMYFUNCTION("""COMPUTED_VALUE"""),"bông")</f>
        <v>bông</v>
      </c>
    </row>
    <row r="2667" ht="15.75" customHeight="1">
      <c r="A2667" s="122" t="str">
        <f>IFERROR(__xludf.DUMMYFUNCTION("""COMPUTED_VALUE"""),"0383 609 038")</f>
        <v>0383 609 038</v>
      </c>
      <c r="B2667" s="119" t="str">
        <f>IFERROR(__xludf.DUMMYFUNCTION("""COMPUTED_VALUE"""),"Chị Nguyên")</f>
        <v>Chị Nguyên</v>
      </c>
      <c r="C2667" s="119" t="str">
        <f>IFERROR(__xludf.DUMMYFUNCTION("""COMPUTED_VALUE""")," 6 nguyễn trường tộ")</f>
        <v> 6 nguyễn trường tộ</v>
      </c>
      <c r="D2667" s="119" t="str">
        <f>IFERROR(__xludf.DUMMYFUNCTION("""COMPUTED_VALUE"""),"chó")</f>
        <v>chó</v>
      </c>
      <c r="E2667" s="119" t="str">
        <f>IFERROR(__xludf.DUMMYFUNCTION("""COMPUTED_VALUE""")," nhon")</f>
        <v> nhon</v>
      </c>
    </row>
    <row r="2668" ht="15.75" customHeight="1">
      <c r="A2668" s="122" t="str">
        <f>IFERROR(__xludf.DUMMYFUNCTION("""COMPUTED_VALUE"""),"0984 872 678")</f>
        <v>0984 872 678</v>
      </c>
      <c r="B2668" s="119" t="str">
        <f>IFERROR(__xludf.DUMMYFUNCTION("""COMPUTED_VALUE"""),"Chị Hà")</f>
        <v>Chị Hà</v>
      </c>
      <c r="C2668" s="119" t="str">
        <f>IFERROR(__xludf.DUMMYFUNCTION("""COMPUTED_VALUE"""),"16/49 Đào Tấn")</f>
        <v>16/49 Đào Tấn</v>
      </c>
      <c r="D2668" s="119" t="str">
        <f>IFERROR(__xludf.DUMMYFUNCTION("""COMPUTED_VALUE"""),"Chó")</f>
        <v>Chó</v>
      </c>
      <c r="E2668" s="119" t="str">
        <f>IFERROR(__xludf.DUMMYFUNCTION("""COMPUTED_VALUE"""),"noel")</f>
        <v>noel</v>
      </c>
    </row>
    <row r="2669" ht="15.75" customHeight="1">
      <c r="A2669" s="122" t="str">
        <f>IFERROR(__xludf.DUMMYFUNCTION("""COMPUTED_VALUE"""),"0911 935 720")</f>
        <v>0911 935 720</v>
      </c>
      <c r="B2669" s="119" t="str">
        <f>IFERROR(__xludf.DUMMYFUNCTION("""COMPUTED_VALUE"""),"Em Yến")</f>
        <v>Em Yến</v>
      </c>
      <c r="C2669" s="119" t="str">
        <f>IFERROR(__xludf.DUMMYFUNCTION("""COMPUTED_VALUE""")," 7/15/131 trần Phú")</f>
        <v> 7/15/131 trần Phú</v>
      </c>
      <c r="D2669" s="119" t="str">
        <f>IFERROR(__xludf.DUMMYFUNCTION("""COMPUTED_VALUE"""),"mèo")</f>
        <v>mèo</v>
      </c>
      <c r="E2669" s="119" t="str">
        <f>IFERROR(__xludf.DUMMYFUNCTION("""COMPUTED_VALUE"""),"đào")</f>
        <v>đào</v>
      </c>
    </row>
    <row r="2670" ht="15.75" customHeight="1">
      <c r="A2670" s="122" t="str">
        <f>IFERROR(__xludf.DUMMYFUNCTION("""COMPUTED_VALUE"""),"0919 570 547")</f>
        <v>0919 570 547</v>
      </c>
      <c r="B2670" s="119" t="str">
        <f>IFERROR(__xludf.DUMMYFUNCTION("""COMPUTED_VALUE"""),"Anh Vinh")</f>
        <v>Anh Vinh</v>
      </c>
      <c r="C2670" s="119" t="str">
        <f>IFERROR(__xludf.DUMMYFUNCTION("""COMPUTED_VALUE"""),"kiệt 131 trần Phú")</f>
        <v>kiệt 131 trần Phú</v>
      </c>
      <c r="D2670" s="119" t="str">
        <f>IFERROR(__xludf.DUMMYFUNCTION("""COMPUTED_VALUE"""),"chó")</f>
        <v>chó</v>
      </c>
      <c r="E2670" s="119" t="str">
        <f>IFERROR(__xludf.DUMMYFUNCTION("""COMPUTED_VALUE""")," Xù")</f>
        <v> Xù</v>
      </c>
    </row>
    <row r="2671" ht="15.75" customHeight="1">
      <c r="A2671" s="122" t="str">
        <f>IFERROR(__xludf.DUMMYFUNCTION("""COMPUTED_VALUE"""),"0914 210 955")</f>
        <v>0914 210 955</v>
      </c>
      <c r="B2671" s="119" t="str">
        <f>IFERROR(__xludf.DUMMYFUNCTION("""COMPUTED_VALUE"""),"Em Nhi")</f>
        <v>Em Nhi</v>
      </c>
      <c r="C2671" s="119" t="str">
        <f>IFERROR(__xludf.DUMMYFUNCTION("""COMPUTED_VALUE"""),"ktx trường Bia")</f>
        <v>ktx trường Bia</v>
      </c>
      <c r="D2671" s="119" t="str">
        <f>IFERROR(__xludf.DUMMYFUNCTION("""COMPUTED_VALUE"""),"MÈO")</f>
        <v>MÈO</v>
      </c>
      <c r="E2671" s="119" t="str">
        <f>IFERROR(__xludf.DUMMYFUNCTION("""COMPUTED_VALUE"""),"x")</f>
        <v>x</v>
      </c>
    </row>
    <row r="2672" ht="15.75" customHeight="1">
      <c r="A2672" s="122" t="str">
        <f>IFERROR(__xludf.DUMMYFUNCTION("""COMPUTED_VALUE"""),"0935 632 868")</f>
        <v>0935 632 868</v>
      </c>
      <c r="B2672" s="119" t="str">
        <f>IFERROR(__xludf.DUMMYFUNCTION("""COMPUTED_VALUE"""),"Anh Thành")</f>
        <v>Anh Thành</v>
      </c>
      <c r="C2672" s="119" t="str">
        <f>IFERROR(__xludf.DUMMYFUNCTION("""COMPUTED_VALUE"""),"35 Đặng Huy trứ")</f>
        <v>35 Đặng Huy trứ</v>
      </c>
      <c r="D2672" s="119" t="str">
        <f>IFERROR(__xludf.DUMMYFUNCTION("""COMPUTED_VALUE"""),"chó")</f>
        <v>chó</v>
      </c>
      <c r="E2672" s="119" t="str">
        <f>IFERROR(__xludf.DUMMYFUNCTION("""COMPUTED_VALUE""")," Ngáo")</f>
        <v> Ngáo</v>
      </c>
    </row>
    <row r="2673" ht="15.75" customHeight="1">
      <c r="A2673" s="122" t="str">
        <f>IFERROR(__xludf.DUMMYFUNCTION("""COMPUTED_VALUE"""),"0906 596 073")</f>
        <v>0906 596 073</v>
      </c>
      <c r="B2673" s="119" t="str">
        <f>IFERROR(__xludf.DUMMYFUNCTION("""COMPUTED_VALUE"""),"Thái Hoàng Hiệp")</f>
        <v>Thái Hoàng Hiệp</v>
      </c>
      <c r="C2673" s="119" t="str">
        <f>IFERROR(__xludf.DUMMYFUNCTION("""COMPUTED_VALUE"""),"16G Nguyễn Bỉnh Khiêm")</f>
        <v>16G Nguyễn Bỉnh Khiêm</v>
      </c>
      <c r="D2673" s="119" t="str">
        <f>IFERROR(__xludf.DUMMYFUNCTION("""COMPUTED_VALUE"""),"mèo")</f>
        <v>mèo</v>
      </c>
      <c r="E2673" s="119" t="str">
        <f>IFERROR(__xludf.DUMMYFUNCTION("""COMPUTED_VALUE"""),"Mướp")</f>
        <v>Mướp</v>
      </c>
    </row>
    <row r="2674" ht="15.75" customHeight="1">
      <c r="A2674" s="122" t="str">
        <f>IFERROR(__xludf.DUMMYFUNCTION("""COMPUTED_VALUE"""),"0779 508 410")</f>
        <v>0779 508 410</v>
      </c>
      <c r="B2674" s="119" t="str">
        <f>IFERROR(__xludf.DUMMYFUNCTION("""COMPUTED_VALUE"""),"Dương Thị Thanh thủy")</f>
        <v>Dương Thị Thanh thủy</v>
      </c>
      <c r="C2674" s="119" t="str">
        <f>IFERROR(__xludf.DUMMYFUNCTION("""COMPUTED_VALUE"""),"Phú Dương, tp Huế")</f>
        <v>Phú Dương, tp Huế</v>
      </c>
      <c r="D2674" s="119" t="str">
        <f>IFERROR(__xludf.DUMMYFUNCTION("""COMPUTED_VALUE"""),"chó")</f>
        <v>chó</v>
      </c>
      <c r="E2674" s="119" t="str">
        <f>IFERROR(__xludf.DUMMYFUNCTION("""COMPUTED_VALUE"""),"Lulu")</f>
        <v>Lulu</v>
      </c>
    </row>
    <row r="2675" ht="15.75" customHeight="1">
      <c r="A2675" s="122" t="str">
        <f>IFERROR(__xludf.DUMMYFUNCTION("""COMPUTED_VALUE"""),"0971 537 744")</f>
        <v>0971 537 744</v>
      </c>
      <c r="B2675" s="119" t="str">
        <f>IFERROR(__xludf.DUMMYFUNCTION("""COMPUTED_VALUE"""),"Anh Minh Hùng")</f>
        <v>Anh Minh Hùng</v>
      </c>
      <c r="C2675" s="119" t="str">
        <f>IFERROR(__xludf.DUMMYFUNCTION("""COMPUTED_VALUE"""),"k55 vũ Ngọc Phan")</f>
        <v>k55 vũ Ngọc Phan</v>
      </c>
      <c r="D2675" s="119" t="str">
        <f>IFERROR(__xludf.DUMMYFUNCTION("""COMPUTED_VALUE"""),"chó")</f>
        <v>chó</v>
      </c>
      <c r="E2675" s="119" t="str">
        <f>IFERROR(__xludf.DUMMYFUNCTION("""COMPUTED_VALUE"""),"Coca")</f>
        <v>Coca</v>
      </c>
    </row>
    <row r="2676" ht="15.75" customHeight="1">
      <c r="A2676" s="122" t="str">
        <f>IFERROR(__xludf.DUMMYFUNCTION("""COMPUTED_VALUE"""),"0903 517 063")</f>
        <v>0903 517 063</v>
      </c>
      <c r="B2676" s="119" t="str">
        <f>IFERROR(__xludf.DUMMYFUNCTION("""COMPUTED_VALUE"""),"Chú Dũng")</f>
        <v>Chú Dũng</v>
      </c>
      <c r="C2676" s="119" t="str">
        <f>IFERROR(__xludf.DUMMYFUNCTION("""COMPUTED_VALUE"""),"29/176 Phan Chu Trinh")</f>
        <v>29/176 Phan Chu Trinh</v>
      </c>
      <c r="D2676" s="119" t="str">
        <f>IFERROR(__xludf.DUMMYFUNCTION("""COMPUTED_VALUE"""),"mèo")</f>
        <v>mèo</v>
      </c>
      <c r="E2676" s="119"/>
    </row>
    <row r="2677" ht="15.75" customHeight="1">
      <c r="A2677" s="122" t="str">
        <f>IFERROR(__xludf.DUMMYFUNCTION("""COMPUTED_VALUE"""),"0902 585 258")</f>
        <v>0902 585 258</v>
      </c>
      <c r="B2677" s="119" t="str">
        <f>IFERROR(__xludf.DUMMYFUNCTION("""COMPUTED_VALUE"""),"Anh Hiệp")</f>
        <v>Anh Hiệp</v>
      </c>
      <c r="C2677" s="119" t="str">
        <f>IFERROR(__xludf.DUMMYFUNCTION("""COMPUTED_VALUE"""),"6A Hồng Thiết")</f>
        <v>6A Hồng Thiết</v>
      </c>
      <c r="D2677" s="119" t="str">
        <f>IFERROR(__xludf.DUMMYFUNCTION("""COMPUTED_VALUE"""),"chó")</f>
        <v>chó</v>
      </c>
      <c r="E2677" s="119" t="str">
        <f>IFERROR(__xludf.DUMMYFUNCTION("""COMPUTED_VALUE"""),"Min")</f>
        <v>Min</v>
      </c>
    </row>
    <row r="2678" ht="15.75" customHeight="1">
      <c r="A2678" s="122" t="str">
        <f>IFERROR(__xludf.DUMMYFUNCTION("""COMPUTED_VALUE"""),"0906 447 611")</f>
        <v>0906 447 611</v>
      </c>
      <c r="B2678" s="119" t="str">
        <f>IFERROR(__xludf.DUMMYFUNCTION("""COMPUTED_VALUE"""),"Phương Thảo")</f>
        <v>Phương Thảo</v>
      </c>
      <c r="C2678" s="119" t="str">
        <f>IFERROR(__xludf.DUMMYFUNCTION("""COMPUTED_VALUE"""),"18/53 Hàn Mặc Tử")</f>
        <v>18/53 Hàn Mặc Tử</v>
      </c>
      <c r="D2678" s="119" t="str">
        <f>IFERROR(__xludf.DUMMYFUNCTION("""COMPUTED_VALUE"""),"chó")</f>
        <v>chó</v>
      </c>
      <c r="E2678" s="119" t="str">
        <f>IFERROR(__xludf.DUMMYFUNCTION("""COMPUTED_VALUE"""),"Xù")</f>
        <v>Xù</v>
      </c>
    </row>
    <row r="2679" ht="15.75" customHeight="1">
      <c r="A2679" s="122" t="str">
        <f>IFERROR(__xludf.DUMMYFUNCTION("""COMPUTED_VALUE"""),"0838 621 745")</f>
        <v>0838 621 745</v>
      </c>
      <c r="B2679" s="119" t="str">
        <f>IFERROR(__xludf.DUMMYFUNCTION("""COMPUTED_VALUE"""),"Em Sơn")</f>
        <v>Em Sơn</v>
      </c>
      <c r="C2679" s="119" t="str">
        <f>IFERROR(__xludf.DUMMYFUNCTION("""COMPUTED_VALUE"""),"D266 Tỉnh Lộ 10")</f>
        <v>D266 Tỉnh Lộ 10</v>
      </c>
      <c r="D2679" s="119" t="str">
        <f>IFERROR(__xludf.DUMMYFUNCTION("""COMPUTED_VALUE"""),"chó")</f>
        <v>chó</v>
      </c>
      <c r="E2679" s="119" t="str">
        <f>IFERROR(__xludf.DUMMYFUNCTION("""COMPUTED_VALUE"""),"Hela")</f>
        <v>Hela</v>
      </c>
    </row>
    <row r="2680" ht="15.75" customHeight="1">
      <c r="A2680" s="122" t="str">
        <f>IFERROR(__xludf.DUMMYFUNCTION("""COMPUTED_VALUE"""),"0905 386 925")</f>
        <v>0905 386 925</v>
      </c>
      <c r="B2680" s="119" t="str">
        <f>IFERROR(__xludf.DUMMYFUNCTION("""COMPUTED_VALUE"""),"Chị Kim Vui")</f>
        <v>Chị Kim Vui</v>
      </c>
      <c r="C2680" s="119" t="str">
        <f>IFERROR(__xludf.DUMMYFUNCTION("""COMPUTED_VALUE"""),"Hoàng Diệu, Đà Nẵng")</f>
        <v>Hoàng Diệu, Đà Nẵng</v>
      </c>
      <c r="D2680" s="119" t="str">
        <f>IFERROR(__xludf.DUMMYFUNCTION("""COMPUTED_VALUE"""),"chó")</f>
        <v>chó</v>
      </c>
      <c r="E2680" s="119" t="str">
        <f>IFERROR(__xludf.DUMMYFUNCTION("""COMPUTED_VALUE"""),"Luca")</f>
        <v>Luca</v>
      </c>
    </row>
    <row r="2681" ht="15.75" customHeight="1">
      <c r="A2681" s="122" t="str">
        <f>IFERROR(__xludf.DUMMYFUNCTION("""COMPUTED_VALUE"""),"0905 835 142")</f>
        <v>0905 835 142</v>
      </c>
      <c r="B2681" s="119" t="str">
        <f>IFERROR(__xludf.DUMMYFUNCTION("""COMPUTED_VALUE"""),"Anh Long")</f>
        <v>Anh Long</v>
      </c>
      <c r="C2681" s="119" t="str">
        <f>IFERROR(__xludf.DUMMYFUNCTION("""COMPUTED_VALUE"""),"44 k42 Nguyễn Công Trứ")</f>
        <v>44 k42 Nguyễn Công Trứ</v>
      </c>
      <c r="D2681" s="119" t="str">
        <f>IFERROR(__xludf.DUMMYFUNCTION("""COMPUTED_VALUE"""),"mèo")</f>
        <v>mèo</v>
      </c>
      <c r="E2681" s="119" t="str">
        <f>IFERROR(__xludf.DUMMYFUNCTION("""COMPUTED_VALUE"""),"Mimi")</f>
        <v>Mimi</v>
      </c>
    </row>
    <row r="2682" ht="15.75" customHeight="1">
      <c r="A2682" s="122" t="str">
        <f>IFERROR(__xludf.DUMMYFUNCTION("""COMPUTED_VALUE"""),"0372 522 083")</f>
        <v>0372 522 083</v>
      </c>
      <c r="B2682" s="119" t="str">
        <f>IFERROR(__xludf.DUMMYFUNCTION("""COMPUTED_VALUE"""),"Chị Nhi")</f>
        <v>Chị Nhi</v>
      </c>
      <c r="C2682" s="119" t="str">
        <f>IFERROR(__xludf.DUMMYFUNCTION("""COMPUTED_VALUE"""),"k139/4b Đặng Văn Ngữ")</f>
        <v>k139/4b Đặng Văn Ngữ</v>
      </c>
      <c r="D2682" s="119" t="str">
        <f>IFERROR(__xludf.DUMMYFUNCTION("""COMPUTED_VALUE"""),"mèo")</f>
        <v>mèo</v>
      </c>
      <c r="E2682" s="119" t="str">
        <f>IFERROR(__xludf.DUMMYFUNCTION("""COMPUTED_VALUE"""),"miu")</f>
        <v>miu</v>
      </c>
    </row>
    <row r="2683" ht="15.75" customHeight="1">
      <c r="A2683" s="122" t="str">
        <f>IFERROR(__xludf.DUMMYFUNCTION("""COMPUTED_VALUE"""),"0903 501 748")</f>
        <v>0903 501 748</v>
      </c>
      <c r="B2683" s="119" t="str">
        <f>IFERROR(__xludf.DUMMYFUNCTION("""COMPUTED_VALUE"""),"Chị Nhã")</f>
        <v>Chị Nhã</v>
      </c>
      <c r="C2683" s="119" t="str">
        <f>IFERROR(__xludf.DUMMYFUNCTION("""COMPUTED_VALUE"""),"Thủy Xuân")</f>
        <v>Thủy Xuân</v>
      </c>
      <c r="D2683" s="119" t="str">
        <f>IFERROR(__xludf.DUMMYFUNCTION("""COMPUTED_VALUE"""),"Chó ")</f>
        <v>Chó </v>
      </c>
      <c r="E2683" s="119" t="str">
        <f>IFERROR(__xludf.DUMMYFUNCTION("""COMPUTED_VALUE"""),"Đen")</f>
        <v>Đen</v>
      </c>
    </row>
    <row r="2684" ht="15.75" customHeight="1">
      <c r="A2684" s="122" t="str">
        <f>IFERROR(__xludf.DUMMYFUNCTION("""COMPUTED_VALUE"""),"0853 993 389")</f>
        <v>0853 993 389</v>
      </c>
      <c r="B2684" s="119" t="str">
        <f>IFERROR(__xludf.DUMMYFUNCTION("""COMPUTED_VALUE"""),"Nam Khanh")</f>
        <v>Nam Khanh</v>
      </c>
      <c r="C2684" s="119" t="str">
        <f>IFERROR(__xludf.DUMMYFUNCTION("""COMPUTED_VALUE"""),"17B Nguyệt Biều")</f>
        <v>17B Nguyệt Biều</v>
      </c>
      <c r="D2684" s="119" t="str">
        <f>IFERROR(__xludf.DUMMYFUNCTION("""COMPUTED_VALUE"""),"Chó ")</f>
        <v>Chó </v>
      </c>
      <c r="E2684" s="119" t="str">
        <f>IFERROR(__xludf.DUMMYFUNCTION("""COMPUTED_VALUE"""),"Chôm")</f>
        <v>Chôm</v>
      </c>
    </row>
    <row r="2685" ht="15.75" customHeight="1">
      <c r="A2685" s="122" t="str">
        <f>IFERROR(__xludf.DUMMYFUNCTION("""COMPUTED_VALUE"""),"0935 081 734")</f>
        <v>0935 081 734</v>
      </c>
      <c r="B2685" s="119" t="str">
        <f>IFERROR(__xludf.DUMMYFUNCTION("""COMPUTED_VALUE"""),"Niệm")</f>
        <v>Niệm</v>
      </c>
      <c r="C2685" s="119" t="str">
        <f>IFERROR(__xludf.DUMMYFUNCTION("""COMPUTED_VALUE"""),"Thủy Bằng")</f>
        <v>Thủy Bằng</v>
      </c>
      <c r="D2685" s="119" t="str">
        <f>IFERROR(__xludf.DUMMYFUNCTION("""COMPUTED_VALUE"""),"mèo")</f>
        <v>mèo</v>
      </c>
      <c r="E2685" s="119" t="str">
        <f>IFERROR(__xludf.DUMMYFUNCTION("""COMPUTED_VALUE"""),"Mướp")</f>
        <v>Mướp</v>
      </c>
    </row>
    <row r="2686" ht="15.75" customHeight="1">
      <c r="A2686" s="122" t="str">
        <f>IFERROR(__xludf.DUMMYFUNCTION("""COMPUTED_VALUE"""),"0865 453 465")</f>
        <v>0865 453 465</v>
      </c>
      <c r="B2686" s="119" t="str">
        <f>IFERROR(__xludf.DUMMYFUNCTION("""COMPUTED_VALUE"""),"Chị Hà")</f>
        <v>Chị Hà</v>
      </c>
      <c r="C2686" s="119" t="str">
        <f>IFERROR(__xludf.DUMMYFUNCTION("""COMPUTED_VALUE"""),"Quảng trị")</f>
        <v>Quảng trị</v>
      </c>
      <c r="D2686" s="119" t="str">
        <f>IFERROR(__xludf.DUMMYFUNCTION("""COMPUTED_VALUE"""),"chó")</f>
        <v>chó</v>
      </c>
      <c r="E2686" s="119" t="str">
        <f>IFERROR(__xludf.DUMMYFUNCTION("""COMPUTED_VALUE"""),"Cún")</f>
        <v>Cún</v>
      </c>
    </row>
    <row r="2687" ht="15.75" customHeight="1">
      <c r="A2687" s="122" t="str">
        <f>IFERROR(__xludf.DUMMYFUNCTION("""COMPUTED_VALUE"""),"0795 795 790")</f>
        <v>0795 795 790</v>
      </c>
      <c r="B2687" s="119" t="str">
        <f>IFERROR(__xludf.DUMMYFUNCTION("""COMPUTED_VALUE"""),"Bùi Thị Phương Thảo")</f>
        <v>Bùi Thị Phương Thảo</v>
      </c>
      <c r="C2687" s="119" t="str">
        <f>IFERROR(__xludf.DUMMYFUNCTION("""COMPUTED_VALUE"""),"31 Hoài Thanh")</f>
        <v>31 Hoài Thanh</v>
      </c>
      <c r="D2687" s="119" t="str">
        <f>IFERROR(__xludf.DUMMYFUNCTION("""COMPUTED_VALUE"""),"chó")</f>
        <v>chó</v>
      </c>
      <c r="E2687" s="119" t="str">
        <f>IFERROR(__xludf.DUMMYFUNCTION("""COMPUTED_VALUE"""),"For")</f>
        <v>For</v>
      </c>
    </row>
    <row r="2688" ht="15.75" customHeight="1">
      <c r="A2688" s="122" t="str">
        <f>IFERROR(__xludf.DUMMYFUNCTION("""COMPUTED_VALUE"""),"0901 124 949")</f>
        <v>0901 124 949</v>
      </c>
      <c r="B2688" s="119" t="str">
        <f>IFERROR(__xludf.DUMMYFUNCTION("""COMPUTED_VALUE"""),"Chị Tố Như")</f>
        <v>Chị Tố Như</v>
      </c>
      <c r="C2688" s="119" t="str">
        <f>IFERROR(__xludf.DUMMYFUNCTION("""COMPUTED_VALUE"""),"k43/56 Lê Hữu Trác, Đà Nẵng")</f>
        <v>k43/56 Lê Hữu Trác, Đà Nẵng</v>
      </c>
      <c r="D2688" s="119" t="str">
        <f>IFERROR(__xludf.DUMMYFUNCTION("""COMPUTED_VALUE"""),"chó")</f>
        <v>chó</v>
      </c>
      <c r="E2688" s="119" t="str">
        <f>IFERROR(__xludf.DUMMYFUNCTION("""COMPUTED_VALUE"""),"Ri")</f>
        <v>Ri</v>
      </c>
    </row>
    <row r="2689" ht="15.75" customHeight="1">
      <c r="A2689" s="122" t="str">
        <f>IFERROR(__xludf.DUMMYFUNCTION("""COMPUTED_VALUE"""),"0888 553 603")</f>
        <v>0888 553 603</v>
      </c>
      <c r="B2689" s="119" t="str">
        <f>IFERROR(__xludf.DUMMYFUNCTION("""COMPUTED_VALUE"""),"Chị Hà")</f>
        <v>Chị Hà</v>
      </c>
      <c r="C2689" s="119" t="str">
        <f>IFERROR(__xludf.DUMMYFUNCTION("""COMPUTED_VALUE"""),"112 Minh Mạng")</f>
        <v>112 Minh Mạng</v>
      </c>
      <c r="D2689" s="119" t="str">
        <f>IFERROR(__xludf.DUMMYFUNCTION("""COMPUTED_VALUE"""),"Chó ")</f>
        <v>Chó </v>
      </c>
      <c r="E2689" s="119" t="str">
        <f>IFERROR(__xludf.DUMMYFUNCTION("""COMPUTED_VALUE"""),"Tony")</f>
        <v>Tony</v>
      </c>
    </row>
    <row r="2690" ht="15.75" customHeight="1">
      <c r="A2690" s="122" t="str">
        <f>IFERROR(__xludf.DUMMYFUNCTION("""COMPUTED_VALUE"""),"0914 678 896")</f>
        <v>0914 678 896</v>
      </c>
      <c r="B2690" s="119" t="str">
        <f>IFERROR(__xludf.DUMMYFUNCTION("""COMPUTED_VALUE"""),"Chị Lê Thùy Chi")</f>
        <v>Chị Lê Thùy Chi</v>
      </c>
      <c r="C2690" s="119" t="str">
        <f>IFERROR(__xludf.DUMMYFUNCTION("""COMPUTED_VALUE"""),"Xuân Phú")</f>
        <v>Xuân Phú</v>
      </c>
      <c r="D2690" s="119" t="str">
        <f>IFERROR(__xludf.DUMMYFUNCTION("""COMPUTED_VALUE"""),"Chó ")</f>
        <v>Chó </v>
      </c>
      <c r="E2690" s="119" t="str">
        <f>IFERROR(__xludf.DUMMYFUNCTION("""COMPUTED_VALUE"""),"Choco")</f>
        <v>Choco</v>
      </c>
    </row>
    <row r="2691" ht="15.75" customHeight="1">
      <c r="A2691" s="122" t="str">
        <f>IFERROR(__xludf.DUMMYFUNCTION("""COMPUTED_VALUE"""),"0394 342 484")</f>
        <v>0394 342 484</v>
      </c>
      <c r="B2691" s="119" t="str">
        <f>IFERROR(__xludf.DUMMYFUNCTION("""COMPUTED_VALUE"""),"Anh Diên")</f>
        <v>Anh Diên</v>
      </c>
      <c r="C2691" s="119" t="str">
        <f>IFERROR(__xludf.DUMMYFUNCTION("""COMPUTED_VALUE"""),"131 Vạn Xuân")</f>
        <v>131 Vạn Xuân</v>
      </c>
      <c r="D2691" s="119" t="str">
        <f>IFERROR(__xludf.DUMMYFUNCTION("""COMPUTED_VALUE"""),"Chó")</f>
        <v>Chó</v>
      </c>
      <c r="E2691" s="119" t="str">
        <f>IFERROR(__xludf.DUMMYFUNCTION("""COMPUTED_VALUE"""),"Lu")</f>
        <v>Lu</v>
      </c>
    </row>
    <row r="2692" ht="15.75" customHeight="1">
      <c r="A2692" s="122" t="str">
        <f>IFERROR(__xludf.DUMMYFUNCTION("""COMPUTED_VALUE"""),"0349 889 753")</f>
        <v>0349 889 753</v>
      </c>
      <c r="B2692" s="119" t="str">
        <f>IFERROR(__xludf.DUMMYFUNCTION("""COMPUTED_VALUE"""),"Đức okada")</f>
        <v>Đức okada</v>
      </c>
      <c r="C2692" s="119"/>
      <c r="D2692" s="119"/>
      <c r="E2692" s="119"/>
    </row>
    <row r="2693" ht="15.75" customHeight="1">
      <c r="A2693" s="122" t="str">
        <f>IFERROR(__xludf.DUMMYFUNCTION("""COMPUTED_VALUE"""),"0814 119 282")</f>
        <v>0814 119 282</v>
      </c>
      <c r="B2693" s="119" t="str">
        <f>IFERROR(__xludf.DUMMYFUNCTION("""COMPUTED_VALUE"""),"Chị Xuân Mai")</f>
        <v>Chị Xuân Mai</v>
      </c>
      <c r="C2693" s="119" t="str">
        <f>IFERROR(__xludf.DUMMYFUNCTION("""COMPUTED_VALUE"""),"Long Hồ")</f>
        <v>Long Hồ</v>
      </c>
      <c r="D2693" s="119" t="str">
        <f>IFERROR(__xludf.DUMMYFUNCTION("""COMPUTED_VALUE"""),"chó")</f>
        <v>chó</v>
      </c>
      <c r="E2693" s="119" t="str">
        <f>IFERROR(__xludf.DUMMYFUNCTION("""COMPUTED_VALUE"""),"Milo")</f>
        <v>Milo</v>
      </c>
    </row>
    <row r="2694" ht="15.75" customHeight="1">
      <c r="A2694" s="122" t="str">
        <f>IFERROR(__xludf.DUMMYFUNCTION("""COMPUTED_VALUE"""),"0764 851 225")</f>
        <v>0764 851 225</v>
      </c>
      <c r="B2694" s="119" t="str">
        <f>IFERROR(__xludf.DUMMYFUNCTION("""COMPUTED_VALUE"""),"Anh Dũng")</f>
        <v>Anh Dũng</v>
      </c>
      <c r="C2694" s="119" t="str">
        <f>IFERROR(__xludf.DUMMYFUNCTION("""COMPUTED_VALUE"""),"Lô H4 KTĐC Phú Hiệp")</f>
        <v>Lô H4 KTĐC Phú Hiệp</v>
      </c>
      <c r="D2694" s="119" t="str">
        <f>IFERROR(__xludf.DUMMYFUNCTION("""COMPUTED_VALUE"""),"chó")</f>
        <v>chó</v>
      </c>
      <c r="E2694" s="119" t="str">
        <f>IFERROR(__xludf.DUMMYFUNCTION("""COMPUTED_VALUE"""),"Gấu")</f>
        <v>Gấu</v>
      </c>
    </row>
    <row r="2695" ht="15.75" customHeight="1">
      <c r="A2695" s="122" t="str">
        <f>IFERROR(__xludf.DUMMYFUNCTION("""COMPUTED_VALUE"""),"0905 383 869")</f>
        <v>0905 383 869</v>
      </c>
      <c r="B2695" s="119" t="str">
        <f>IFERROR(__xludf.DUMMYFUNCTION("""COMPUTED_VALUE"""),"Phú")</f>
        <v>Phú</v>
      </c>
      <c r="C2695" s="119" t="str">
        <f>IFERROR(__xludf.DUMMYFUNCTION("""COMPUTED_VALUE"""),"114 Vạn Xuân")</f>
        <v>114 Vạn Xuân</v>
      </c>
      <c r="D2695" s="119" t="str">
        <f>IFERROR(__xludf.DUMMYFUNCTION("""COMPUTED_VALUE"""),"mèo")</f>
        <v>mèo</v>
      </c>
      <c r="E2695" s="119" t="str">
        <f>IFERROR(__xludf.DUMMYFUNCTION("""COMPUTED_VALUE"""),"Pam")</f>
        <v>Pam</v>
      </c>
    </row>
    <row r="2696" ht="15.75" customHeight="1">
      <c r="A2696" s="122" t="str">
        <f>IFERROR(__xludf.DUMMYFUNCTION("""COMPUTED_VALUE"""),"0979 023 362")</f>
        <v>0979 023 362</v>
      </c>
      <c r="B2696" s="119" t="str">
        <f>IFERROR(__xludf.DUMMYFUNCTION("""COMPUTED_VALUE"""),"Chị Nga")</f>
        <v>Chị Nga</v>
      </c>
      <c r="C2696" s="119" t="str">
        <f>IFERROR(__xludf.DUMMYFUNCTION("""COMPUTED_VALUE"""),"Kiệt 4 ngõ 1 Nguyễn Phúc Lan")</f>
        <v>Kiệt 4 ngõ 1 Nguyễn Phúc Lan</v>
      </c>
      <c r="D2696" s="119" t="str">
        <f>IFERROR(__xludf.DUMMYFUNCTION("""COMPUTED_VALUE"""),"chó")</f>
        <v>chó</v>
      </c>
      <c r="E2696" s="119" t="str">
        <f>IFERROR(__xludf.DUMMYFUNCTION("""COMPUTED_VALUE"""),"Đen")</f>
        <v>Đen</v>
      </c>
    </row>
    <row r="2697" ht="15.75" customHeight="1">
      <c r="A2697" s="122" t="str">
        <f>IFERROR(__xludf.DUMMYFUNCTION("""COMPUTED_VALUE"""),"0707 312 312")</f>
        <v>0707 312 312</v>
      </c>
      <c r="B2697" s="119" t="str">
        <f>IFERROR(__xludf.DUMMYFUNCTION("""COMPUTED_VALUE"""),"Chị Vân")</f>
        <v>Chị Vân</v>
      </c>
      <c r="C2697" s="119" t="str">
        <f>IFERROR(__xludf.DUMMYFUNCTION("""COMPUTED_VALUE"""),"Lê Quang Quyền")</f>
        <v>Lê Quang Quyền</v>
      </c>
      <c r="D2697" s="119" t="str">
        <f>IFERROR(__xludf.DUMMYFUNCTION("""COMPUTED_VALUE"""),"chó")</f>
        <v>chó</v>
      </c>
      <c r="E2697" s="119" t="str">
        <f>IFERROR(__xludf.DUMMYFUNCTION("""COMPUTED_VALUE"""),"Bi")</f>
        <v>Bi</v>
      </c>
    </row>
    <row r="2698" ht="15.75" customHeight="1">
      <c r="A2698" s="122" t="str">
        <f>IFERROR(__xludf.DUMMYFUNCTION("""COMPUTED_VALUE"""),"0766 719 366")</f>
        <v>0766 719 366</v>
      </c>
      <c r="B2698" s="119" t="str">
        <f>IFERROR(__xludf.DUMMYFUNCTION("""COMPUTED_VALUE"""),"Trần Đình Minh Quang")</f>
        <v>Trần Đình Minh Quang</v>
      </c>
      <c r="C2698" s="119" t="str">
        <f>IFERROR(__xludf.DUMMYFUNCTION("""COMPUTED_VALUE"""),"268 Tôn Thất Thiệp")</f>
        <v>268 Tôn Thất Thiệp</v>
      </c>
      <c r="D2698" s="119" t="str">
        <f>IFERROR(__xludf.DUMMYFUNCTION("""COMPUTED_VALUE"""),"chó")</f>
        <v>chó</v>
      </c>
      <c r="E2698" s="119" t="str">
        <f>IFERROR(__xludf.DUMMYFUNCTION("""COMPUTED_VALUE"""),"gold")</f>
        <v>gold</v>
      </c>
    </row>
    <row r="2699" ht="15.75" customHeight="1">
      <c r="A2699" s="122" t="str">
        <f>IFERROR(__xludf.DUMMYFUNCTION("""COMPUTED_VALUE"""),"0783 542 186")</f>
        <v>0783 542 186</v>
      </c>
      <c r="B2699" s="119" t="str">
        <f>IFERROR(__xludf.DUMMYFUNCTION("""COMPUTED_VALUE"""),"Chị Hoài")</f>
        <v>Chị Hoài</v>
      </c>
      <c r="C2699" s="119" t="str">
        <f>IFERROR(__xludf.DUMMYFUNCTION("""COMPUTED_VALUE"""),"104 Vạn Xuân")</f>
        <v>104 Vạn Xuân</v>
      </c>
      <c r="D2699" s="119" t="str">
        <f>IFERROR(__xludf.DUMMYFUNCTION("""COMPUTED_VALUE"""),"chó")</f>
        <v>chó</v>
      </c>
      <c r="E2699" s="119" t="str">
        <f>IFERROR(__xludf.DUMMYFUNCTION("""COMPUTED_VALUE"""),"Milu")</f>
        <v>Milu</v>
      </c>
    </row>
    <row r="2700" ht="15.75" customHeight="1">
      <c r="A2700" s="122" t="str">
        <f>IFERROR(__xludf.DUMMYFUNCTION("""COMPUTED_VALUE"""),"0935 612 829")</f>
        <v>0935 612 829</v>
      </c>
      <c r="B2700" s="119" t="str">
        <f>IFERROR(__xludf.DUMMYFUNCTION("""COMPUTED_VALUE"""),"Chị Bích Hằng")</f>
        <v>Chị Bích Hằng</v>
      </c>
      <c r="C2700" s="119" t="str">
        <f>IFERROR(__xludf.DUMMYFUNCTION("""COMPUTED_VALUE"""),"4 Bạch Đằng")</f>
        <v>4 Bạch Đằng</v>
      </c>
      <c r="D2700" s="119" t="str">
        <f>IFERROR(__xludf.DUMMYFUNCTION("""COMPUTED_VALUE"""),"chó")</f>
        <v>chó</v>
      </c>
      <c r="E2700" s="119" t="str">
        <f>IFERROR(__xludf.DUMMYFUNCTION("""COMPUTED_VALUE"""),"Dollar")</f>
        <v>Dollar</v>
      </c>
    </row>
    <row r="2701" ht="15.75" customHeight="1">
      <c r="A2701" s="122" t="str">
        <f>IFERROR(__xludf.DUMMYFUNCTION("""COMPUTED_VALUE"""),"0799 418 784")</f>
        <v>0799 418 784</v>
      </c>
      <c r="B2701" s="119" t="str">
        <f>IFERROR(__xludf.DUMMYFUNCTION("""COMPUTED_VALUE"""),"Em Phúc")</f>
        <v>Em Phúc</v>
      </c>
      <c r="C2701" s="119" t="str">
        <f>IFERROR(__xludf.DUMMYFUNCTION("""COMPUTED_VALUE"""),"16/8 Nguyễn Hữu Dật")</f>
        <v>16/8 Nguyễn Hữu Dật</v>
      </c>
      <c r="D2701" s="119" t="str">
        <f>IFERROR(__xludf.DUMMYFUNCTION("""COMPUTED_VALUE"""),"chó")</f>
        <v>chó</v>
      </c>
      <c r="E2701" s="119" t="str">
        <f>IFERROR(__xludf.DUMMYFUNCTION("""COMPUTED_VALUE"""),"gấu")</f>
        <v>gấu</v>
      </c>
    </row>
    <row r="2702" ht="15.75" customHeight="1">
      <c r="A2702" s="122" t="str">
        <f>IFERROR(__xludf.DUMMYFUNCTION("""COMPUTED_VALUE"""),"0905 488 499")</f>
        <v>0905 488 499</v>
      </c>
      <c r="B2702" s="119" t="str">
        <f>IFERROR(__xludf.DUMMYFUNCTION("""COMPUTED_VALUE"""),"Hà Mi")</f>
        <v>Hà Mi</v>
      </c>
      <c r="C2702" s="119" t="str">
        <f>IFERROR(__xludf.DUMMYFUNCTION("""COMPUTED_VALUE"""),"15/79 Phạm Thị Liên")</f>
        <v>15/79 Phạm Thị Liên</v>
      </c>
      <c r="D2702" s="119" t="str">
        <f>IFERROR(__xludf.DUMMYFUNCTION("""COMPUTED_VALUE"""),"chó")</f>
        <v>chó</v>
      </c>
      <c r="E2702" s="119" t="str">
        <f>IFERROR(__xludf.DUMMYFUNCTION("""COMPUTED_VALUE"""),"Lu")</f>
        <v>Lu</v>
      </c>
    </row>
    <row r="2703" ht="15.75" customHeight="1">
      <c r="A2703" s="122" t="str">
        <f>IFERROR(__xludf.DUMMYFUNCTION("""COMPUTED_VALUE"""),"0905 835 796")</f>
        <v>0905 835 796</v>
      </c>
      <c r="B2703" s="119" t="str">
        <f>IFERROR(__xludf.DUMMYFUNCTION("""COMPUTED_VALUE"""),"Dì Hậu")</f>
        <v>Dì Hậu</v>
      </c>
      <c r="C2703" s="119" t="str">
        <f>IFERROR(__xludf.DUMMYFUNCTION("""COMPUTED_VALUE"""),"1/1 Thánh Gióng")</f>
        <v>1/1 Thánh Gióng</v>
      </c>
      <c r="D2703" s="119" t="str">
        <f>IFERROR(__xludf.DUMMYFUNCTION("""COMPUTED_VALUE"""),"Chó")</f>
        <v>Chó</v>
      </c>
      <c r="E2703" s="119" t="str">
        <f>IFERROR(__xludf.DUMMYFUNCTION("""COMPUTED_VALUE"""),"Lala")</f>
        <v>Lala</v>
      </c>
    </row>
    <row r="2704" ht="15.75" customHeight="1">
      <c r="A2704" s="122" t="str">
        <f>IFERROR(__xludf.DUMMYFUNCTION("""COMPUTED_VALUE"""),"0908 574 888")</f>
        <v>0908 574 888</v>
      </c>
      <c r="B2704" s="119" t="str">
        <f>IFERROR(__xludf.DUMMYFUNCTION("""COMPUTED_VALUE"""),"Dì Thủy")</f>
        <v>Dì Thủy</v>
      </c>
      <c r="C2704" s="119" t="str">
        <f>IFERROR(__xludf.DUMMYFUNCTION("""COMPUTED_VALUE"""),"69/8 Phạm Thị Liên")</f>
        <v>69/8 Phạm Thị Liên</v>
      </c>
      <c r="D2704" s="119" t="str">
        <f>IFERROR(__xludf.DUMMYFUNCTION("""COMPUTED_VALUE"""),"chó")</f>
        <v>chó</v>
      </c>
      <c r="E2704" s="119" t="str">
        <f>IFERROR(__xludf.DUMMYFUNCTION("""COMPUTED_VALUE"""),"Vid")</f>
        <v>Vid</v>
      </c>
    </row>
    <row r="2705" ht="15.75" customHeight="1">
      <c r="A2705" s="122" t="str">
        <f>IFERROR(__xludf.DUMMYFUNCTION("""COMPUTED_VALUE"""),"0384 131 634")</f>
        <v>0384 131 634</v>
      </c>
      <c r="B2705" s="119" t="str">
        <f>IFERROR(__xludf.DUMMYFUNCTION("""COMPUTED_VALUE"""),"ANh Vũ")</f>
        <v>ANh Vũ</v>
      </c>
      <c r="C2705" s="119" t="str">
        <f>IFERROR(__xludf.DUMMYFUNCTION("""COMPUTED_VALUE"""),"180 Lý Nam Đế")</f>
        <v>180 Lý Nam Đế</v>
      </c>
      <c r="D2705" s="119" t="str">
        <f>IFERROR(__xludf.DUMMYFUNCTION("""COMPUTED_VALUE"""),"chó")</f>
        <v>chó</v>
      </c>
      <c r="E2705" s="119" t="str">
        <f>IFERROR(__xludf.DUMMYFUNCTION("""COMPUTED_VALUE"""),"Chắt")</f>
        <v>Chắt</v>
      </c>
    </row>
    <row r="2706" ht="15.75" customHeight="1">
      <c r="A2706" s="122" t="str">
        <f>IFERROR(__xludf.DUMMYFUNCTION("""COMPUTED_VALUE"""),"0943 711 033")</f>
        <v>0943 711 033</v>
      </c>
      <c r="B2706" s="119" t="str">
        <f>IFERROR(__xludf.DUMMYFUNCTION("""COMPUTED_VALUE"""),"Chị Hằng")</f>
        <v>Chị Hằng</v>
      </c>
      <c r="C2706" s="119" t="str">
        <f>IFERROR(__xludf.DUMMYFUNCTION("""COMPUTED_VALUE"""),"111 Long Hồ")</f>
        <v>111 Long Hồ</v>
      </c>
      <c r="D2706" s="119" t="str">
        <f>IFERROR(__xludf.DUMMYFUNCTION("""COMPUTED_VALUE"""),"chó")</f>
        <v>chó</v>
      </c>
      <c r="E2706" s="119" t="str">
        <f>IFERROR(__xludf.DUMMYFUNCTION("""COMPUTED_VALUE"""),"milo")</f>
        <v>milo</v>
      </c>
    </row>
    <row r="2707" ht="15.75" customHeight="1">
      <c r="A2707" s="122" t="str">
        <f>IFERROR(__xludf.DUMMYFUNCTION("""COMPUTED_VALUE"""),"0354 714 641")</f>
        <v>0354 714 641</v>
      </c>
      <c r="B2707" s="119" t="str">
        <f>IFERROR(__xludf.DUMMYFUNCTION("""COMPUTED_VALUE"""),"Hoàng")</f>
        <v>Hoàng</v>
      </c>
      <c r="C2707" s="119" t="str">
        <f>IFERROR(__xludf.DUMMYFUNCTION("""COMPUTED_VALUE"""),"10/33 Nguyễn Hoàng")</f>
        <v>10/33 Nguyễn Hoàng</v>
      </c>
      <c r="D2707" s="119" t="str">
        <f>IFERROR(__xludf.DUMMYFUNCTION("""COMPUTED_VALUE"""),"mèo")</f>
        <v>mèo</v>
      </c>
      <c r="E2707" s="119" t="str">
        <f>IFERROR(__xludf.DUMMYFUNCTION("""COMPUTED_VALUE"""),"Su")</f>
        <v>Su</v>
      </c>
    </row>
    <row r="2708" ht="15.75" customHeight="1">
      <c r="A2708" s="122" t="str">
        <f>IFERROR(__xludf.DUMMYFUNCTION("""COMPUTED_VALUE"""),"0388 125 059 ")</f>
        <v>0388 125 059 </v>
      </c>
      <c r="B2708" s="119" t="str">
        <f>IFERROR(__xludf.DUMMYFUNCTION("""COMPUTED_VALUE"""),"Em Huyền")</f>
        <v>Em Huyền</v>
      </c>
      <c r="C2708" s="119" t="str">
        <f>IFERROR(__xludf.DUMMYFUNCTION("""COMPUTED_VALUE"""),"9/336 Tăng Bạt Hổ")</f>
        <v>9/336 Tăng Bạt Hổ</v>
      </c>
      <c r="D2708" s="119" t="str">
        <f>IFERROR(__xludf.DUMMYFUNCTION("""COMPUTED_VALUE"""),"Chó")</f>
        <v>Chó</v>
      </c>
      <c r="E2708" s="119" t="str">
        <f>IFERROR(__xludf.DUMMYFUNCTION("""COMPUTED_VALUE"""),"Poo")</f>
        <v>Poo</v>
      </c>
    </row>
    <row r="2709" ht="15.75" customHeight="1">
      <c r="A2709" s="122" t="str">
        <f>IFERROR(__xludf.DUMMYFUNCTION("""COMPUTED_VALUE"""),"0964 692 552")</f>
        <v>0964 692 552</v>
      </c>
      <c r="B2709" s="119" t="str">
        <f>IFERROR(__xludf.DUMMYFUNCTION("""COMPUTED_VALUE"""),"Anh Quý")</f>
        <v>Anh Quý</v>
      </c>
      <c r="C2709" s="119" t="str">
        <f>IFERROR(__xludf.DUMMYFUNCTION("""COMPUTED_VALUE"""),"Hải Thế")</f>
        <v>Hải Thế</v>
      </c>
      <c r="D2709" s="119" t="str">
        <f>IFERROR(__xludf.DUMMYFUNCTION("""COMPUTED_VALUE"""),"chó")</f>
        <v>chó</v>
      </c>
      <c r="E2709" s="119" t="str">
        <f>IFERROR(__xludf.DUMMYFUNCTION("""COMPUTED_VALUE"""),"Bắp")</f>
        <v>Bắp</v>
      </c>
    </row>
    <row r="2710" ht="15.75" customHeight="1">
      <c r="A2710" s="122" t="str">
        <f>IFERROR(__xludf.DUMMYFUNCTION("""COMPUTED_VALUE"""),"0828 702 346")</f>
        <v>0828 702 346</v>
      </c>
      <c r="B2710" s="119" t="str">
        <f>IFERROR(__xludf.DUMMYFUNCTION("""COMPUTED_VALUE"""),"Dì Mùi")</f>
        <v>Dì Mùi</v>
      </c>
      <c r="C2710" s="119" t="str">
        <f>IFERROR(__xludf.DUMMYFUNCTION("""COMPUTED_VALUE"""),"20/10/4 Nguyễn Hoàng")</f>
        <v>20/10/4 Nguyễn Hoàng</v>
      </c>
      <c r="D2710" s="119" t="str">
        <f>IFERROR(__xludf.DUMMYFUNCTION("""COMPUTED_VALUE"""),"chó")</f>
        <v>chó</v>
      </c>
      <c r="E2710" s="119" t="str">
        <f>IFERROR(__xludf.DUMMYFUNCTION("""COMPUTED_VALUE"""),"Suri")</f>
        <v>Suri</v>
      </c>
    </row>
    <row r="2711" ht="15.75" customHeight="1">
      <c r="A2711" s="122" t="str">
        <f>IFERROR(__xludf.DUMMYFUNCTION("""COMPUTED_VALUE"""),"0901 987 444")</f>
        <v>0901 987 444</v>
      </c>
      <c r="B2711" s="119" t="str">
        <f>IFERROR(__xludf.DUMMYFUNCTION("""COMPUTED_VALUE"""),"Anh Cường")</f>
        <v>Anh Cường</v>
      </c>
      <c r="C2711" s="119" t="str">
        <f>IFERROR(__xludf.DUMMYFUNCTION("""COMPUTED_VALUE"""),"19/28 Huyền Trân Công Chúa")</f>
        <v>19/28 Huyền Trân Công Chúa</v>
      </c>
      <c r="D2711" s="119" t="str">
        <f>IFERROR(__xludf.DUMMYFUNCTION("""COMPUTED_VALUE"""),"Chó")</f>
        <v>Chó</v>
      </c>
      <c r="E2711" s="119" t="str">
        <f>IFERROR(__xludf.DUMMYFUNCTION("""COMPUTED_VALUE"""),"Pug")</f>
        <v>Pug</v>
      </c>
    </row>
    <row r="2712" ht="15.75" customHeight="1">
      <c r="A2712" s="122" t="str">
        <f>IFERROR(__xludf.DUMMYFUNCTION("""COMPUTED_VALUE"""),"0397 676 888")</f>
        <v>0397 676 888</v>
      </c>
      <c r="B2712" s="119" t="str">
        <f>IFERROR(__xludf.DUMMYFUNCTION("""COMPUTED_VALUE"""),"Nguyễn THị Hồng Như")</f>
        <v>Nguyễn THị Hồng Như</v>
      </c>
      <c r="C2712" s="119" t="str">
        <f>IFERROR(__xludf.DUMMYFUNCTION("""COMPUTED_VALUE"""),"k53 Phạm Thị Liên")</f>
        <v>k53 Phạm Thị Liên</v>
      </c>
      <c r="D2712" s="119" t="str">
        <f>IFERROR(__xludf.DUMMYFUNCTION("""COMPUTED_VALUE"""),"chó")</f>
        <v>chó</v>
      </c>
      <c r="E2712" s="119" t="str">
        <f>IFERROR(__xludf.DUMMYFUNCTION("""COMPUTED_VALUE"""),"Bi")</f>
        <v>Bi</v>
      </c>
    </row>
    <row r="2713" ht="15.75" customHeight="1">
      <c r="A2713" s="122" t="str">
        <f>IFERROR(__xludf.DUMMYFUNCTION("""COMPUTED_VALUE"""),"0935 021 206")</f>
        <v>0935 021 206</v>
      </c>
      <c r="B2713" s="119" t="str">
        <f>IFERROR(__xludf.DUMMYFUNCTION("""COMPUTED_VALUE"""),"Chị Linh")</f>
        <v>Chị Linh</v>
      </c>
      <c r="C2713" s="119" t="str">
        <f>IFERROR(__xludf.DUMMYFUNCTION("""COMPUTED_VALUE"""),"431 Lê Duẩn")</f>
        <v>431 Lê Duẩn</v>
      </c>
      <c r="D2713" s="119" t="str">
        <f>IFERROR(__xludf.DUMMYFUNCTION("""COMPUTED_VALUE"""),"chó")</f>
        <v>chó</v>
      </c>
      <c r="E2713" s="119" t="str">
        <f>IFERROR(__xludf.DUMMYFUNCTION("""COMPUTED_VALUE"""),"Đậu")</f>
        <v>Đậu</v>
      </c>
    </row>
    <row r="2714" ht="15.75" customHeight="1">
      <c r="A2714" s="122" t="str">
        <f>IFERROR(__xludf.DUMMYFUNCTION("""COMPUTED_VALUE"""),"0827 835 146")</f>
        <v>0827 835 146</v>
      </c>
      <c r="B2714" s="119" t="str">
        <f>IFERROR(__xludf.DUMMYFUNCTION("""COMPUTED_VALUE"""),"Châu Thị Kim Anh")</f>
        <v>Châu Thị Kim Anh</v>
      </c>
      <c r="C2714" s="119" t="str">
        <f>IFERROR(__xludf.DUMMYFUNCTION("""COMPUTED_VALUE"""),"Thôn Ngọc Anh")</f>
        <v>Thôn Ngọc Anh</v>
      </c>
      <c r="D2714" s="119" t="str">
        <f>IFERROR(__xludf.DUMMYFUNCTION("""COMPUTED_VALUE"""),"mèo")</f>
        <v>mèo</v>
      </c>
      <c r="E2714" s="119" t="str">
        <f>IFERROR(__xludf.DUMMYFUNCTION("""COMPUTED_VALUE"""),"Trắng")</f>
        <v>Trắng</v>
      </c>
    </row>
    <row r="2715" ht="15.75" customHeight="1">
      <c r="A2715" s="122" t="str">
        <f>IFERROR(__xludf.DUMMYFUNCTION("""COMPUTED_VALUE"""),"0899 516 303")</f>
        <v>0899 516 303</v>
      </c>
      <c r="B2715" s="119" t="str">
        <f>IFERROR(__xludf.DUMMYFUNCTION("""COMPUTED_VALUE"""),"Dì Chuyên")</f>
        <v>Dì Chuyên</v>
      </c>
      <c r="C2715" s="119" t="str">
        <f>IFERROR(__xludf.DUMMYFUNCTION("""COMPUTED_VALUE"""),"197 Bùi Thị Xuân")</f>
        <v>197 Bùi Thị Xuân</v>
      </c>
      <c r="D2715" s="119" t="str">
        <f>IFERROR(__xludf.DUMMYFUNCTION("""COMPUTED_VALUE"""),"chó")</f>
        <v>chó</v>
      </c>
      <c r="E2715" s="119" t="str">
        <f>IFERROR(__xludf.DUMMYFUNCTION("""COMPUTED_VALUE"""),"Bing")</f>
        <v>Bing</v>
      </c>
    </row>
    <row r="2716" ht="15.75" customHeight="1">
      <c r="A2716" s="122" t="str">
        <f>IFERROR(__xludf.DUMMYFUNCTION("""COMPUTED_VALUE"""),"0906 572 801")</f>
        <v>0906 572 801</v>
      </c>
      <c r="B2716" s="119" t="str">
        <f>IFERROR(__xludf.DUMMYFUNCTION("""COMPUTED_VALUE"""),"Anh Phương")</f>
        <v>Anh Phương</v>
      </c>
      <c r="C2716" s="119" t="str">
        <f>IFERROR(__xludf.DUMMYFUNCTION("""COMPUTED_VALUE"""),"23/32 Nguyễn Phúc Chu")</f>
        <v>23/32 Nguyễn Phúc Chu</v>
      </c>
      <c r="D2716" s="119" t="str">
        <f>IFERROR(__xludf.DUMMYFUNCTION("""COMPUTED_VALUE"""),"chó")</f>
        <v>chó</v>
      </c>
      <c r="E2716" s="119" t="str">
        <f>IFERROR(__xludf.DUMMYFUNCTION("""COMPUTED_VALUE"""),"Bom")</f>
        <v>Bom</v>
      </c>
    </row>
    <row r="2717" ht="15.75" customHeight="1">
      <c r="A2717" s="122" t="str">
        <f>IFERROR(__xludf.DUMMYFUNCTION("""COMPUTED_VALUE"""),"0912 276 616")</f>
        <v>0912 276 616</v>
      </c>
      <c r="B2717" s="119" t="str">
        <f>IFERROR(__xludf.DUMMYFUNCTION("""COMPUTED_VALUE"""),"Anh Tiến")</f>
        <v>Anh Tiến</v>
      </c>
      <c r="C2717" s="119" t="str">
        <f>IFERROR(__xludf.DUMMYFUNCTION("""COMPUTED_VALUE"""),"32/3/271 Chi Lăng")</f>
        <v>32/3/271 Chi Lăng</v>
      </c>
      <c r="D2717" s="119" t="str">
        <f>IFERROR(__xludf.DUMMYFUNCTION("""COMPUTED_VALUE"""),"mèo")</f>
        <v>mèo</v>
      </c>
      <c r="E2717" s="119" t="str">
        <f>IFERROR(__xludf.DUMMYFUNCTION("""COMPUTED_VALUE"""),"Min")</f>
        <v>Min</v>
      </c>
    </row>
    <row r="2718" ht="15.75" customHeight="1">
      <c r="A2718" s="122" t="str">
        <f>IFERROR(__xludf.DUMMYFUNCTION("""COMPUTED_VALUE"""),"0357 606 661")</f>
        <v>0357 606 661</v>
      </c>
      <c r="B2718" s="119" t="str">
        <f>IFERROR(__xludf.DUMMYFUNCTION("""COMPUTED_VALUE"""),"Chú Phan Hải")</f>
        <v>Chú Phan Hải</v>
      </c>
      <c r="C2718" s="119" t="str">
        <f>IFERROR(__xludf.DUMMYFUNCTION("""COMPUTED_VALUE"""),"78 Phạm Thị Liên")</f>
        <v>78 Phạm Thị Liên</v>
      </c>
      <c r="D2718" s="119" t="str">
        <f>IFERROR(__xludf.DUMMYFUNCTION("""COMPUTED_VALUE"""),"chó")</f>
        <v>chó</v>
      </c>
      <c r="E2718" s="119"/>
    </row>
    <row r="2719" ht="15.75" customHeight="1">
      <c r="A2719" s="122" t="str">
        <f>IFERROR(__xludf.DUMMYFUNCTION("""COMPUTED_VALUE"""),"0766 611 067")</f>
        <v>0766 611 067</v>
      </c>
      <c r="B2719" s="119" t="str">
        <f>IFERROR(__xludf.DUMMYFUNCTION("""COMPUTED_VALUE"""),"Em Ánh")</f>
        <v>Em Ánh</v>
      </c>
      <c r="C2719" s="119" t="str">
        <f>IFERROR(__xludf.DUMMYFUNCTION("""COMPUTED_VALUE"""),"66/26 Xuân Diệu")</f>
        <v>66/26 Xuân Diệu</v>
      </c>
      <c r="D2719" s="119" t="str">
        <f>IFERROR(__xludf.DUMMYFUNCTION("""COMPUTED_VALUE"""),"mèo")</f>
        <v>mèo</v>
      </c>
      <c r="E2719" s="119" t="str">
        <f>IFERROR(__xludf.DUMMYFUNCTION("""COMPUTED_VALUE"""),"Quậy")</f>
        <v>Quậy</v>
      </c>
    </row>
    <row r="2720" ht="15.75" customHeight="1">
      <c r="A2720" s="122" t="str">
        <f>IFERROR(__xludf.DUMMYFUNCTION("""COMPUTED_VALUE"""),"0903 426 407")</f>
        <v>0903 426 407</v>
      </c>
      <c r="B2720" s="119" t="str">
        <f>IFERROR(__xludf.DUMMYFUNCTION("""COMPUTED_VALUE"""),"Chị Huyền")</f>
        <v>Chị Huyền</v>
      </c>
      <c r="C2720" s="119" t="str">
        <f>IFERROR(__xludf.DUMMYFUNCTION("""COMPUTED_VALUE"""),"36/1 Nguyễn Khoa Chiêm")</f>
        <v>36/1 Nguyễn Khoa Chiêm</v>
      </c>
      <c r="D2720" s="119" t="str">
        <f>IFERROR(__xludf.DUMMYFUNCTION("""COMPUTED_VALUE"""),"Chó")</f>
        <v>Chó</v>
      </c>
      <c r="E2720" s="119" t="str">
        <f>IFERROR(__xludf.DUMMYFUNCTION("""COMPUTED_VALUE"""),"Kem")</f>
        <v>Kem</v>
      </c>
    </row>
    <row r="2721" ht="15.75" customHeight="1">
      <c r="A2721" s="122" t="str">
        <f>IFERROR(__xludf.DUMMYFUNCTION("""COMPUTED_VALUE"""),"0964 471 197")</f>
        <v>0964 471 197</v>
      </c>
      <c r="B2721" s="119" t="str">
        <f>IFERROR(__xludf.DUMMYFUNCTION("""COMPUTED_VALUE"""),"Anh Huy")</f>
        <v>Anh Huy</v>
      </c>
      <c r="C2721" s="119" t="str">
        <f>IFERROR(__xludf.DUMMYFUNCTION("""COMPUTED_VALUE"""),"259 Trần Phú")</f>
        <v>259 Trần Phú</v>
      </c>
      <c r="D2721" s="119" t="str">
        <f>IFERROR(__xludf.DUMMYFUNCTION("""COMPUTED_VALUE"""),"chó")</f>
        <v>chó</v>
      </c>
      <c r="E2721" s="119" t="str">
        <f>IFERROR(__xludf.DUMMYFUNCTION("""COMPUTED_VALUE"""),"Bum")</f>
        <v>Bum</v>
      </c>
    </row>
    <row r="2722" ht="15.75" customHeight="1">
      <c r="A2722" s="122" t="str">
        <f>IFERROR(__xludf.DUMMYFUNCTION("""COMPUTED_VALUE"""),"0896 420 574")</f>
        <v>0896 420 574</v>
      </c>
      <c r="B2722" s="119" t="str">
        <f>IFERROR(__xludf.DUMMYFUNCTION("""COMPUTED_VALUE"""),"Anh Khánh ")</f>
        <v>Anh Khánh </v>
      </c>
      <c r="C2722" s="119" t="str">
        <f>IFERROR(__xludf.DUMMYFUNCTION("""COMPUTED_VALUE"""),"81 Xuân Diệu")</f>
        <v>81 Xuân Diệu</v>
      </c>
      <c r="D2722" s="119" t="str">
        <f>IFERROR(__xludf.DUMMYFUNCTION("""COMPUTED_VALUE"""),"mèo")</f>
        <v>mèo</v>
      </c>
      <c r="E2722" s="119"/>
    </row>
    <row r="2723" ht="15.75" customHeight="1">
      <c r="A2723" s="122" t="str">
        <f>IFERROR(__xludf.DUMMYFUNCTION("""COMPUTED_VALUE"""),"0935 432 122")</f>
        <v>0935 432 122</v>
      </c>
      <c r="B2723" s="119" t="str">
        <f>IFERROR(__xludf.DUMMYFUNCTION("""COMPUTED_VALUE"""),"Anh Bom")</f>
        <v>Anh Bom</v>
      </c>
      <c r="C2723" s="119" t="str">
        <f>IFERROR(__xludf.DUMMYFUNCTION("""COMPUTED_VALUE"""),"66 Võ Liêm Sơn")</f>
        <v>66 Võ Liêm Sơn</v>
      </c>
      <c r="D2723" s="119" t="str">
        <f>IFERROR(__xludf.DUMMYFUNCTION("""COMPUTED_VALUE"""),"Chó")</f>
        <v>Chó</v>
      </c>
      <c r="E2723" s="119" t="str">
        <f>IFERROR(__xludf.DUMMYFUNCTION("""COMPUTED_VALUE"""),"Kem")</f>
        <v>Kem</v>
      </c>
    </row>
    <row r="2724" ht="15.75" customHeight="1">
      <c r="A2724" s="122" t="str">
        <f>IFERROR(__xludf.DUMMYFUNCTION("""COMPUTED_VALUE"""),"0796 697 222")</f>
        <v>0796 697 222</v>
      </c>
      <c r="B2724" s="119" t="str">
        <f>IFERROR(__xludf.DUMMYFUNCTION("""COMPUTED_VALUE"""),"Chị Bé")</f>
        <v>Chị Bé</v>
      </c>
      <c r="C2724" s="119"/>
      <c r="D2724" s="119" t="str">
        <f>IFERROR(__xludf.DUMMYFUNCTION("""COMPUTED_VALUE"""),"mèo")</f>
        <v>mèo</v>
      </c>
      <c r="E2724" s="119" t="str">
        <f>IFERROR(__xludf.DUMMYFUNCTION("""COMPUTED_VALUE"""),"Đậu")</f>
        <v>Đậu</v>
      </c>
    </row>
    <row r="2725" ht="15.75" customHeight="1">
      <c r="A2725" s="122" t="str">
        <f>IFERROR(__xludf.DUMMYFUNCTION("""COMPUTED_VALUE"""),"0865 350 678")</f>
        <v>0865 350 678</v>
      </c>
      <c r="B2725" s="119" t="str">
        <f>IFERROR(__xludf.DUMMYFUNCTION("""COMPUTED_VALUE"""),"chị Linh")</f>
        <v>chị Linh</v>
      </c>
      <c r="C2725" s="119" t="str">
        <f>IFERROR(__xludf.DUMMYFUNCTION("""COMPUTED_VALUE"""),"93 Bùi Thị Xuân")</f>
        <v>93 Bùi Thị Xuân</v>
      </c>
      <c r="D2725" s="119" t="str">
        <f>IFERROR(__xludf.DUMMYFUNCTION("""COMPUTED_VALUE"""),"mèo")</f>
        <v>mèo</v>
      </c>
      <c r="E2725" s="119" t="str">
        <f>IFERROR(__xludf.DUMMYFUNCTION("""COMPUTED_VALUE"""),"Susu")</f>
        <v>Susu</v>
      </c>
    </row>
    <row r="2726" ht="15.75" customHeight="1">
      <c r="A2726" s="122" t="str">
        <f>IFERROR(__xludf.DUMMYFUNCTION("""COMPUTED_VALUE"""),"0332 588 579")</f>
        <v>0332 588 579</v>
      </c>
      <c r="B2726" s="119" t="str">
        <f>IFERROR(__xludf.DUMMYFUNCTION("""COMPUTED_VALUE"""),"Chị Hiền")</f>
        <v>Chị Hiền</v>
      </c>
      <c r="C2726" s="119" t="str">
        <f>IFERROR(__xludf.DUMMYFUNCTION("""COMPUTED_VALUE"""),"109 Minh Mạng")</f>
        <v>109 Minh Mạng</v>
      </c>
      <c r="D2726" s="119" t="str">
        <f>IFERROR(__xludf.DUMMYFUNCTION("""COMPUTED_VALUE"""),"chó")</f>
        <v>chó</v>
      </c>
      <c r="E2726" s="119" t="str">
        <f>IFERROR(__xludf.DUMMYFUNCTION("""COMPUTED_VALUE"""),"Lộc")</f>
        <v>Lộc</v>
      </c>
    </row>
    <row r="2727" ht="15.75" customHeight="1">
      <c r="A2727" s="122" t="str">
        <f>IFERROR(__xludf.DUMMYFUNCTION("""COMPUTED_VALUE"""),"0918 916 138")</f>
        <v>0918 916 138</v>
      </c>
      <c r="B2727" s="119" t="str">
        <f>IFERROR(__xludf.DUMMYFUNCTION("""COMPUTED_VALUE"""),"Trân")</f>
        <v>Trân</v>
      </c>
      <c r="C2727" s="119" t="str">
        <f>IFERROR(__xludf.DUMMYFUNCTION("""COMPUTED_VALUE"""),"89/1 Phan Đình Phùng")</f>
        <v>89/1 Phan Đình Phùng</v>
      </c>
      <c r="D2727" s="119" t="str">
        <f>IFERROR(__xludf.DUMMYFUNCTION("""COMPUTED_VALUE"""),"Mèo")</f>
        <v>Mèo</v>
      </c>
      <c r="E2727" s="119" t="str">
        <f>IFERROR(__xludf.DUMMYFUNCTION("""COMPUTED_VALUE"""),"Miu")</f>
        <v>Miu</v>
      </c>
    </row>
    <row r="2728" ht="15.75" customHeight="1">
      <c r="A2728" s="122" t="str">
        <f>IFERROR(__xludf.DUMMYFUNCTION("""COMPUTED_VALUE"""),"0833 588 344")</f>
        <v>0833 588 344</v>
      </c>
      <c r="B2728" s="119" t="str">
        <f>IFERROR(__xludf.DUMMYFUNCTION("""COMPUTED_VALUE"""),"Anh Phúc")</f>
        <v>Anh Phúc</v>
      </c>
      <c r="C2728" s="119" t="str">
        <f>IFERROR(__xludf.DUMMYFUNCTION("""COMPUTED_VALUE"""),"Trần Phú")</f>
        <v>Trần Phú</v>
      </c>
      <c r="D2728" s="119" t="str">
        <f>IFERROR(__xludf.DUMMYFUNCTION("""COMPUTED_VALUE"""),"mèo")</f>
        <v>mèo</v>
      </c>
      <c r="E2728" s="119" t="str">
        <f>IFERROR(__xludf.DUMMYFUNCTION("""COMPUTED_VALUE""")," Đen")</f>
        <v> Đen</v>
      </c>
    </row>
    <row r="2729" ht="15.75" customHeight="1">
      <c r="A2729" s="122" t="str">
        <f>IFERROR(__xludf.DUMMYFUNCTION("""COMPUTED_VALUE"""),"0981 787 629")</f>
        <v>0981 787 629</v>
      </c>
      <c r="B2729" s="119" t="str">
        <f>IFERROR(__xludf.DUMMYFUNCTION("""COMPUTED_VALUE"""),"Anh Nghĩa")</f>
        <v>Anh Nghĩa</v>
      </c>
      <c r="C2729" s="119" t="str">
        <f>IFERROR(__xludf.DUMMYFUNCTION("""COMPUTED_VALUE"""),"15 Đào tấn")</f>
        <v>15 Đào tấn</v>
      </c>
      <c r="D2729" s="119" t="str">
        <f>IFERROR(__xludf.DUMMYFUNCTION("""COMPUTED_VALUE"""),"mèo")</f>
        <v>mèo</v>
      </c>
      <c r="E2729" s="119" t="str">
        <f>IFERROR(__xludf.DUMMYFUNCTION("""COMPUTED_VALUE""")," Lu")</f>
        <v> Lu</v>
      </c>
    </row>
    <row r="2730" ht="15.75" customHeight="1">
      <c r="A2730" s="122" t="str">
        <f>IFERROR(__xludf.DUMMYFUNCTION("""COMPUTED_VALUE"""),"0935 711 661")</f>
        <v>0935 711 661</v>
      </c>
      <c r="B2730" s="119" t="str">
        <f>IFERROR(__xludf.DUMMYFUNCTION("""COMPUTED_VALUE"""),"Chị Phương")</f>
        <v>Chị Phương</v>
      </c>
      <c r="C2730" s="119" t="str">
        <f>IFERROR(__xludf.DUMMYFUNCTION("""COMPUTED_VALUE"""),"28/1 Quảng tế")</f>
        <v>28/1 Quảng tế</v>
      </c>
      <c r="D2730" s="119" t="str">
        <f>IFERROR(__xludf.DUMMYFUNCTION("""COMPUTED_VALUE"""),"chó")</f>
        <v>chó</v>
      </c>
      <c r="E2730" s="119" t="str">
        <f>IFERROR(__xludf.DUMMYFUNCTION("""COMPUTED_VALUE""")," Kyra")</f>
        <v> Kyra</v>
      </c>
    </row>
    <row r="2731" ht="15.75" customHeight="1">
      <c r="A2731" s="122" t="str">
        <f>IFERROR(__xludf.DUMMYFUNCTION("""COMPUTED_VALUE"""),"0906 561 156")</f>
        <v>0906 561 156</v>
      </c>
      <c r="B2731" s="119" t="str">
        <f>IFERROR(__xludf.DUMMYFUNCTION("""COMPUTED_VALUE"""),"Chị Ni")</f>
        <v>Chị Ni</v>
      </c>
      <c r="C2731" s="119" t="str">
        <f>IFERROR(__xludf.DUMMYFUNCTION("""COMPUTED_VALUE"""),"126 Nguyễn Khoa chiêm")</f>
        <v>126 Nguyễn Khoa chiêm</v>
      </c>
      <c r="D2731" s="119" t="str">
        <f>IFERROR(__xludf.DUMMYFUNCTION("""COMPUTED_VALUE"""),"chó")</f>
        <v>chó</v>
      </c>
      <c r="E2731" s="119" t="str">
        <f>IFERROR(__xludf.DUMMYFUNCTION("""COMPUTED_VALUE""")," su su")</f>
        <v> su su</v>
      </c>
    </row>
    <row r="2732" ht="15.75" customHeight="1">
      <c r="A2732" s="122" t="str">
        <f>IFERROR(__xludf.DUMMYFUNCTION("""COMPUTED_VALUE"""),"0905 477 677")</f>
        <v>0905 477 677</v>
      </c>
      <c r="B2732" s="119" t="str">
        <f>IFERROR(__xludf.DUMMYFUNCTION("""COMPUTED_VALUE"""),"Chú Tuyến")</f>
        <v>Chú Tuyến</v>
      </c>
      <c r="C2732" s="119" t="str">
        <f>IFERROR(__xludf.DUMMYFUNCTION("""COMPUTED_VALUE"""),"1 lê lợi")</f>
        <v>1 lê lợi</v>
      </c>
      <c r="D2732" s="119" t="str">
        <f>IFERROR(__xludf.DUMMYFUNCTION("""COMPUTED_VALUE"""),"chó ")</f>
        <v>chó </v>
      </c>
      <c r="E2732" s="119" t="str">
        <f>IFERROR(__xludf.DUMMYFUNCTION("""COMPUTED_VALUE"""),"rubo")</f>
        <v>rubo</v>
      </c>
    </row>
    <row r="2733" ht="15.75" customHeight="1">
      <c r="A2733" s="122" t="str">
        <f>IFERROR(__xludf.DUMMYFUNCTION("""COMPUTED_VALUE"""),"0343 867 311")</f>
        <v>0343 867 311</v>
      </c>
      <c r="B2733" s="119" t="str">
        <f>IFERROR(__xludf.DUMMYFUNCTION("""COMPUTED_VALUE"""),"Trần Văn tuấn")</f>
        <v>Trần Văn tuấn</v>
      </c>
      <c r="C2733" s="119" t="str">
        <f>IFERROR(__xludf.DUMMYFUNCTION("""COMPUTED_VALUE"""),"4/4 lương quán")</f>
        <v>4/4 lương quán</v>
      </c>
      <c r="D2733" s="119" t="str">
        <f>IFERROR(__xludf.DUMMYFUNCTION("""COMPUTED_VALUE"""),"chó ")</f>
        <v>chó </v>
      </c>
      <c r="E2733" s="119" t="str">
        <f>IFERROR(__xludf.DUMMYFUNCTION("""COMPUTED_VALUE"""),"Bun")</f>
        <v>Bun</v>
      </c>
    </row>
    <row r="2734" ht="15.75" customHeight="1">
      <c r="A2734" s="122" t="str">
        <f>IFERROR(__xludf.DUMMYFUNCTION("""COMPUTED_VALUE"""),"0789 484 075")</f>
        <v>0789 484 075</v>
      </c>
      <c r="B2734" s="119" t="str">
        <f>IFERROR(__xludf.DUMMYFUNCTION("""COMPUTED_VALUE"""),"chị Uyên")</f>
        <v>chị Uyên</v>
      </c>
      <c r="C2734" s="119" t="str">
        <f>IFERROR(__xludf.DUMMYFUNCTION("""COMPUTED_VALUE"""),"kiệt 227 Trần Phú")</f>
        <v>kiệt 227 Trần Phú</v>
      </c>
      <c r="D2734" s="119" t="str">
        <f>IFERROR(__xludf.DUMMYFUNCTION("""COMPUTED_VALUE"""),"chó")</f>
        <v>chó</v>
      </c>
      <c r="E2734" s="119" t="str">
        <f>IFERROR(__xludf.DUMMYFUNCTION("""COMPUTED_VALUE""")," Milo")</f>
        <v> Milo</v>
      </c>
    </row>
    <row r="2735" ht="15.75" customHeight="1">
      <c r="A2735" s="122" t="str">
        <f>IFERROR(__xludf.DUMMYFUNCTION("""COMPUTED_VALUE"""),"0387 010 007")</f>
        <v>0387 010 007</v>
      </c>
      <c r="B2735" s="119" t="str">
        <f>IFERROR(__xludf.DUMMYFUNCTION("""COMPUTED_VALUE"""),"Em Trang")</f>
        <v>Em Trang</v>
      </c>
      <c r="C2735" s="119" t="str">
        <f>IFERROR(__xludf.DUMMYFUNCTION("""COMPUTED_VALUE"""),"15 Lương Van Can")</f>
        <v>15 Lương Van Can</v>
      </c>
      <c r="D2735" s="119" t="str">
        <f>IFERROR(__xludf.DUMMYFUNCTION("""COMPUTED_VALUE"""),"mèo")</f>
        <v>mèo</v>
      </c>
      <c r="E2735" s="119" t="str">
        <f>IFERROR(__xludf.DUMMYFUNCTION("""COMPUTED_VALUE"""),"Mi")</f>
        <v>Mi</v>
      </c>
    </row>
    <row r="2736" ht="15.75" customHeight="1">
      <c r="A2736" s="122" t="str">
        <f>IFERROR(__xludf.DUMMYFUNCTION("""COMPUTED_VALUE"""),"0848 835 334")</f>
        <v>0848 835 334</v>
      </c>
      <c r="B2736" s="119" t="str">
        <f>IFERROR(__xludf.DUMMYFUNCTION("""COMPUTED_VALUE"""),"Chị Oanh")</f>
        <v>Chị Oanh</v>
      </c>
      <c r="C2736" s="119" t="str">
        <f>IFERROR(__xludf.DUMMYFUNCTION("""COMPUTED_VALUE"""),"Chung Cư Xuân Phú")</f>
        <v>Chung Cư Xuân Phú</v>
      </c>
      <c r="D2736" s="119" t="str">
        <f>IFERROR(__xludf.DUMMYFUNCTION("""COMPUTED_VALUE"""),"mèo")</f>
        <v>mèo</v>
      </c>
      <c r="E2736" s="119" t="str">
        <f>IFERROR(__xludf.DUMMYFUNCTION("""COMPUTED_VALUE"""),"Mimi")</f>
        <v>Mimi</v>
      </c>
    </row>
    <row r="2737" ht="15.75" customHeight="1">
      <c r="A2737" s="122" t="str">
        <f>IFERROR(__xludf.DUMMYFUNCTION("""COMPUTED_VALUE"""),"0961 718 734")</f>
        <v>0961 718 734</v>
      </c>
      <c r="B2737" s="119" t="str">
        <f>IFERROR(__xludf.DUMMYFUNCTION("""COMPUTED_VALUE"""),"Em Uyên")</f>
        <v>Em Uyên</v>
      </c>
      <c r="C2737" s="119" t="str">
        <f>IFERROR(__xludf.DUMMYFUNCTION("""COMPUTED_VALUE"""),"26 Trần Thúc Nhẫn")</f>
        <v>26 Trần Thúc Nhẫn</v>
      </c>
      <c r="D2737" s="119" t="str">
        <f>IFERROR(__xludf.DUMMYFUNCTION("""COMPUTED_VALUE"""),"mèo")</f>
        <v>mèo</v>
      </c>
      <c r="E2737" s="119" t="str">
        <f>IFERROR(__xludf.DUMMYFUNCTION("""COMPUTED_VALUE"""),"Bun")</f>
        <v>Bun</v>
      </c>
    </row>
    <row r="2738" ht="15.75" customHeight="1">
      <c r="A2738" s="122" t="str">
        <f>IFERROR(__xludf.DUMMYFUNCTION("""COMPUTED_VALUE"""),"0795 762 537")</f>
        <v>0795 762 537</v>
      </c>
      <c r="B2738" s="119" t="str">
        <f>IFERROR(__xludf.DUMMYFUNCTION("""COMPUTED_VALUE"""),"Em Minh Thi")</f>
        <v>Em Minh Thi</v>
      </c>
      <c r="C2738" s="119" t="str">
        <f>IFERROR(__xludf.DUMMYFUNCTION("""COMPUTED_VALUE"""),"8/11/36 Trần Quang Khải")</f>
        <v>8/11/36 Trần Quang Khải</v>
      </c>
      <c r="D2738" s="119" t="str">
        <f>IFERROR(__xludf.DUMMYFUNCTION("""COMPUTED_VALUE"""),"chó")</f>
        <v>chó</v>
      </c>
      <c r="E2738" s="119" t="str">
        <f>IFERROR(__xludf.DUMMYFUNCTION("""COMPUTED_VALUE"""),"Sữa")</f>
        <v>Sữa</v>
      </c>
    </row>
    <row r="2739" ht="15.75" customHeight="1">
      <c r="A2739" s="122" t="str">
        <f>IFERROR(__xludf.DUMMYFUNCTION("""COMPUTED_VALUE"""),"0772 535 328")</f>
        <v>0772 535 328</v>
      </c>
      <c r="B2739" s="119" t="str">
        <f>IFERROR(__xludf.DUMMYFUNCTION("""COMPUTED_VALUE"""),"Chị Thanh Thảo")</f>
        <v>Chị Thanh Thảo</v>
      </c>
      <c r="C2739" s="119" t="str">
        <f>IFERROR(__xludf.DUMMYFUNCTION("""COMPUTED_VALUE"""),"Long Thọ")</f>
        <v>Long Thọ</v>
      </c>
      <c r="D2739" s="119" t="str">
        <f>IFERROR(__xludf.DUMMYFUNCTION("""COMPUTED_VALUE"""),"mèo")</f>
        <v>mèo</v>
      </c>
      <c r="E2739" s="119" t="str">
        <f>IFERROR(__xludf.DUMMYFUNCTION("""COMPUTED_VALUE"""),"Đen")</f>
        <v>Đen</v>
      </c>
    </row>
    <row r="2740" ht="15.75" customHeight="1">
      <c r="A2740" s="122" t="str">
        <f>IFERROR(__xludf.DUMMYFUNCTION("""COMPUTED_VALUE"""),"0914 313 456")</f>
        <v>0914 313 456</v>
      </c>
      <c r="B2740" s="119" t="str">
        <f>IFERROR(__xludf.DUMMYFUNCTION("""COMPUTED_VALUE"""),"Dì Hằng")</f>
        <v>Dì Hằng</v>
      </c>
      <c r="C2740" s="119" t="str">
        <f>IFERROR(__xludf.DUMMYFUNCTION("""COMPUTED_VALUE"""),"54 Nguyễn Khuyến")</f>
        <v>54 Nguyễn Khuyến</v>
      </c>
      <c r="D2740" s="119" t="str">
        <f>IFERROR(__xludf.DUMMYFUNCTION("""COMPUTED_VALUE"""),"mèo")</f>
        <v>mèo</v>
      </c>
      <c r="E2740" s="119" t="str">
        <f>IFERROR(__xludf.DUMMYFUNCTION("""COMPUTED_VALUE"""),"Miu")</f>
        <v>Miu</v>
      </c>
    </row>
    <row r="2741" ht="15.75" customHeight="1">
      <c r="A2741" s="122" t="str">
        <f>IFERROR(__xludf.DUMMYFUNCTION("""COMPUTED_VALUE"""),"0913 343 075")</f>
        <v>0913 343 075</v>
      </c>
      <c r="B2741" s="119" t="str">
        <f>IFERROR(__xludf.DUMMYFUNCTION("""COMPUTED_VALUE"""),"Chị Thắm")</f>
        <v>Chị Thắm</v>
      </c>
      <c r="C2741" s="119" t="str">
        <f>IFERROR(__xludf.DUMMYFUNCTION("""COMPUTED_VALUE"""),"73 Nguyễn Hữu Cảnh")</f>
        <v>73 Nguyễn Hữu Cảnh</v>
      </c>
      <c r="D2741" s="119" t="str">
        <f>IFERROR(__xludf.DUMMYFUNCTION("""COMPUTED_VALUE"""),"mèo")</f>
        <v>mèo</v>
      </c>
      <c r="E2741" s="119" t="str">
        <f>IFERROR(__xludf.DUMMYFUNCTION("""COMPUTED_VALUE"""),"Kẹo")</f>
        <v>Kẹo</v>
      </c>
    </row>
    <row r="2742" ht="15.75" customHeight="1">
      <c r="A2742" s="122" t="str">
        <f>IFERROR(__xludf.DUMMYFUNCTION("""COMPUTED_VALUE"""),"0901 989 188")</f>
        <v>0901 989 188</v>
      </c>
      <c r="B2742" s="119" t="str">
        <f>IFERROR(__xludf.DUMMYFUNCTION("""COMPUTED_VALUE"""),"Chị Thủy")</f>
        <v>Chị Thủy</v>
      </c>
      <c r="C2742" s="119" t="str">
        <f>IFERROR(__xludf.DUMMYFUNCTION("""COMPUTED_VALUE"""),"177 Lương Nhữ Hộc")</f>
        <v>177 Lương Nhữ Hộc</v>
      </c>
      <c r="D2742" s="119" t="str">
        <f>IFERROR(__xludf.DUMMYFUNCTION("""COMPUTED_VALUE"""),"mèo")</f>
        <v>mèo</v>
      </c>
      <c r="E2742" s="119" t="str">
        <f>IFERROR(__xludf.DUMMYFUNCTION("""COMPUTED_VALUE"""),"Miu miu")</f>
        <v>Miu miu</v>
      </c>
    </row>
    <row r="2743" ht="15.75" customHeight="1">
      <c r="A2743" s="122" t="str">
        <f>IFERROR(__xludf.DUMMYFUNCTION("""COMPUTED_VALUE"""),"0935 556 514")</f>
        <v>0935 556 514</v>
      </c>
      <c r="B2743" s="119" t="str">
        <f>IFERROR(__xludf.DUMMYFUNCTION("""COMPUTED_VALUE"""),"Anh Minh")</f>
        <v>Anh Minh</v>
      </c>
      <c r="C2743" s="119" t="str">
        <f>IFERROR(__xludf.DUMMYFUNCTION("""COMPUTED_VALUE"""),"79 Minh Mạng")</f>
        <v>79 Minh Mạng</v>
      </c>
      <c r="D2743" s="119" t="str">
        <f>IFERROR(__xludf.DUMMYFUNCTION("""COMPUTED_VALUE"""),"Chó")</f>
        <v>Chó</v>
      </c>
      <c r="E2743" s="119" t="str">
        <f>IFERROR(__xludf.DUMMYFUNCTION("""COMPUTED_VALUE"""),"Linh")</f>
        <v>Linh</v>
      </c>
    </row>
    <row r="2744" ht="15.75" customHeight="1">
      <c r="A2744" s="122" t="str">
        <f>IFERROR(__xludf.DUMMYFUNCTION("""COMPUTED_VALUE"""),"0973 220 965")</f>
        <v>0973 220 965</v>
      </c>
      <c r="B2744" s="119" t="str">
        <f>IFERROR(__xludf.DUMMYFUNCTION("""COMPUTED_VALUE"""),"Ngọc Minh")</f>
        <v>Ngọc Minh</v>
      </c>
      <c r="C2744" s="119" t="str">
        <f>IFERROR(__xludf.DUMMYFUNCTION("""COMPUTED_VALUE"""),"Phú Thượng")</f>
        <v>Phú Thượng</v>
      </c>
      <c r="D2744" s="119" t="str">
        <f>IFERROR(__xludf.DUMMYFUNCTION("""COMPUTED_VALUE"""),"chó")</f>
        <v>chó</v>
      </c>
      <c r="E2744" s="119" t="str">
        <f>IFERROR(__xludf.DUMMYFUNCTION("""COMPUTED_VALUE"""),"Ga")</f>
        <v>Ga</v>
      </c>
    </row>
    <row r="2745" ht="15.75" customHeight="1">
      <c r="A2745" s="122" t="str">
        <f>IFERROR(__xludf.DUMMYFUNCTION("""COMPUTED_VALUE"""),"0977 339 919")</f>
        <v>0977 339 919</v>
      </c>
      <c r="B2745" s="119" t="str">
        <f>IFERROR(__xludf.DUMMYFUNCTION("""COMPUTED_VALUE"""),"Chị Gái")</f>
        <v>Chị Gái</v>
      </c>
      <c r="C2745" s="119" t="str">
        <f>IFERROR(__xludf.DUMMYFUNCTION("""COMPUTED_VALUE"""),"7 Xuân Diệu")</f>
        <v>7 Xuân Diệu</v>
      </c>
      <c r="D2745" s="119" t="str">
        <f>IFERROR(__xludf.DUMMYFUNCTION("""COMPUTED_VALUE"""),"chó")</f>
        <v>chó</v>
      </c>
      <c r="E2745" s="119"/>
    </row>
    <row r="2746" ht="15.75" customHeight="1">
      <c r="A2746" s="122" t="str">
        <f>IFERROR(__xludf.DUMMYFUNCTION("""COMPUTED_VALUE"""),"0355 412 314")</f>
        <v>0355 412 314</v>
      </c>
      <c r="B2746" s="119" t="str">
        <f>IFERROR(__xludf.DUMMYFUNCTION("""COMPUTED_VALUE"""),"Chị Đoan")</f>
        <v>Chị Đoan</v>
      </c>
      <c r="C2746" s="119" t="str">
        <f>IFERROR(__xludf.DUMMYFUNCTION("""COMPUTED_VALUE"""),"15 k49 Hàn Mặc Tử")</f>
        <v>15 k49 Hàn Mặc Tử</v>
      </c>
      <c r="D2746" s="119" t="str">
        <f>IFERROR(__xludf.DUMMYFUNCTION("""COMPUTED_VALUE"""),"chó")</f>
        <v>chó</v>
      </c>
      <c r="E2746" s="119" t="str">
        <f>IFERROR(__xludf.DUMMYFUNCTION("""COMPUTED_VALUE"""),"Cốm")</f>
        <v>Cốm</v>
      </c>
    </row>
    <row r="2747" ht="15.75" customHeight="1">
      <c r="A2747" s="122" t="str">
        <f>IFERROR(__xludf.DUMMYFUNCTION("""COMPUTED_VALUE"""),"0794 589 238")</f>
        <v>0794 589 238</v>
      </c>
      <c r="B2747" s="119" t="str">
        <f>IFERROR(__xludf.DUMMYFUNCTION("""COMPUTED_VALUE"""),"Anh Di")</f>
        <v>Anh Di</v>
      </c>
      <c r="C2747" s="119" t="str">
        <f>IFERROR(__xludf.DUMMYFUNCTION("""COMPUTED_VALUE"""),"Thuận An")</f>
        <v>Thuận An</v>
      </c>
      <c r="D2747" s="119" t="str">
        <f>IFERROR(__xludf.DUMMYFUNCTION("""COMPUTED_VALUE"""),"chó")</f>
        <v>chó</v>
      </c>
      <c r="E2747" s="119" t="str">
        <f>IFERROR(__xludf.DUMMYFUNCTION("""COMPUTED_VALUE"""),"Nâu")</f>
        <v>Nâu</v>
      </c>
    </row>
    <row r="2748" ht="15.75" customHeight="1">
      <c r="A2748" s="122" t="str">
        <f>IFERROR(__xludf.DUMMYFUNCTION("""COMPUTED_VALUE"""),"0785 785 444")</f>
        <v>0785 785 444</v>
      </c>
      <c r="B2748" s="119" t="str">
        <f>IFERROR(__xludf.DUMMYFUNCTION("""COMPUTED_VALUE"""),"Anh Khoa")</f>
        <v>Anh Khoa</v>
      </c>
      <c r="C2748" s="119" t="str">
        <f>IFERROR(__xludf.DUMMYFUNCTION("""COMPUTED_VALUE"""),"4/7 Ưng Bình")</f>
        <v>4/7 Ưng Bình</v>
      </c>
      <c r="D2748" s="119" t="str">
        <f>IFERROR(__xludf.DUMMYFUNCTION("""COMPUTED_VALUE"""),"chó")</f>
        <v>chó</v>
      </c>
      <c r="E2748" s="119" t="str">
        <f>IFERROR(__xludf.DUMMYFUNCTION("""COMPUTED_VALUE"""),"Lucy")</f>
        <v>Lucy</v>
      </c>
    </row>
    <row r="2749" ht="15.75" customHeight="1">
      <c r="A2749" s="122" t="str">
        <f>IFERROR(__xludf.DUMMYFUNCTION("""COMPUTED_VALUE"""),"0966 107 435")</f>
        <v>0966 107 435</v>
      </c>
      <c r="B2749" s="119" t="str">
        <f>IFERROR(__xludf.DUMMYFUNCTION("""COMPUTED_VALUE"""),"Chị Quỳnh")</f>
        <v>Chị Quỳnh</v>
      </c>
      <c r="C2749" s="119" t="str">
        <f>IFERROR(__xludf.DUMMYFUNCTION("""COMPUTED_VALUE"""),"175 Lý Thánh Tông-Phú Lộc")</f>
        <v>175 Lý Thánh Tông-Phú Lộc</v>
      </c>
      <c r="D2749" s="119" t="str">
        <f>IFERROR(__xludf.DUMMYFUNCTION("""COMPUTED_VALUE"""),"chó")</f>
        <v>chó</v>
      </c>
      <c r="E2749" s="119" t="str">
        <f>IFERROR(__xludf.DUMMYFUNCTION("""COMPUTED_VALUE"""),"Pi")</f>
        <v>Pi</v>
      </c>
    </row>
    <row r="2750" ht="15.75" customHeight="1">
      <c r="A2750" s="122" t="str">
        <f>IFERROR(__xludf.DUMMYFUNCTION("""COMPUTED_VALUE"""),"0935 680 914")</f>
        <v>0935 680 914</v>
      </c>
      <c r="B2750" s="119" t="str">
        <f>IFERROR(__xludf.DUMMYFUNCTION("""COMPUTED_VALUE"""),"Anh Phú")</f>
        <v>Anh Phú</v>
      </c>
      <c r="C2750" s="119" t="str">
        <f>IFERROR(__xludf.DUMMYFUNCTION("""COMPUTED_VALUE"""),"06 Nguyễn Đức Cảnh")</f>
        <v>06 Nguyễn Đức Cảnh</v>
      </c>
      <c r="D2750" s="119" t="str">
        <f>IFERROR(__xludf.DUMMYFUNCTION("""COMPUTED_VALUE"""),"chó")</f>
        <v>chó</v>
      </c>
      <c r="E2750" s="119" t="str">
        <f>IFERROR(__xludf.DUMMYFUNCTION("""COMPUTED_VALUE"""),"Su")</f>
        <v>Su</v>
      </c>
    </row>
    <row r="2751" ht="15.75" customHeight="1">
      <c r="A2751" s="122" t="str">
        <f>IFERROR(__xludf.DUMMYFUNCTION("""COMPUTED_VALUE"""),"0938 120 287")</f>
        <v>0938 120 287</v>
      </c>
      <c r="B2751" s="119" t="str">
        <f>IFERROR(__xludf.DUMMYFUNCTION("""COMPUTED_VALUE"""),"Anh Dương")</f>
        <v>Anh Dương</v>
      </c>
      <c r="C2751" s="119" t="str">
        <f>IFERROR(__xludf.DUMMYFUNCTION("""COMPUTED_VALUE"""),"6 Trần Đại Nghĩa")</f>
        <v>6 Trần Đại Nghĩa</v>
      </c>
      <c r="D2751" s="119" t="str">
        <f>IFERROR(__xludf.DUMMYFUNCTION("""COMPUTED_VALUE"""),"chó")</f>
        <v>chó</v>
      </c>
      <c r="E2751" s="119" t="str">
        <f>IFERROR(__xludf.DUMMYFUNCTION("""COMPUTED_VALUE""")," Lu")</f>
        <v> Lu</v>
      </c>
    </row>
    <row r="2752" ht="15.75" customHeight="1">
      <c r="A2752" s="122" t="str">
        <f>IFERROR(__xludf.DUMMYFUNCTION("""COMPUTED_VALUE"""),"0914 054 675")</f>
        <v>0914 054 675</v>
      </c>
      <c r="B2752" s="119" t="str">
        <f>IFERROR(__xludf.DUMMYFUNCTION("""COMPUTED_VALUE"""),"Lê Thị Minh Hiếu")</f>
        <v>Lê Thị Minh Hiếu</v>
      </c>
      <c r="C2752" s="119" t="str">
        <f>IFERROR(__xludf.DUMMYFUNCTION("""COMPUTED_VALUE"""),"Phong Điền")</f>
        <v>Phong Điền</v>
      </c>
      <c r="D2752" s="119" t="str">
        <f>IFERROR(__xludf.DUMMYFUNCTION("""COMPUTED_VALUE"""),"chó")</f>
        <v>chó</v>
      </c>
      <c r="E2752" s="119" t="str">
        <f>IFERROR(__xludf.DUMMYFUNCTION("""COMPUTED_VALUE""")," Lu")</f>
        <v> Lu</v>
      </c>
    </row>
    <row r="2753" ht="15.75" customHeight="1">
      <c r="A2753" s="122" t="str">
        <f>IFERROR(__xludf.DUMMYFUNCTION("""COMPUTED_VALUE"""),"0977 426 111")</f>
        <v>0977 426 111</v>
      </c>
      <c r="B2753" s="119" t="str">
        <f>IFERROR(__xludf.DUMMYFUNCTION("""COMPUTED_VALUE"""),"Chị Mạng")</f>
        <v>Chị Mạng</v>
      </c>
      <c r="C2753" s="119" t="str">
        <f>IFERROR(__xludf.DUMMYFUNCTION("""COMPUTED_VALUE"""),"200 Trần Phú")</f>
        <v>200 Trần Phú</v>
      </c>
      <c r="D2753" s="119" t="str">
        <f>IFERROR(__xludf.DUMMYFUNCTION("""COMPUTED_VALUE"""),"chó")</f>
        <v>chó</v>
      </c>
      <c r="E2753" s="119" t="str">
        <f>IFERROR(__xludf.DUMMYFUNCTION("""COMPUTED_VALUE""")," Lu")</f>
        <v> Lu</v>
      </c>
    </row>
    <row r="2754" ht="15.75" customHeight="1">
      <c r="A2754" s="122" t="str">
        <f>IFERROR(__xludf.DUMMYFUNCTION("""COMPUTED_VALUE"""),"0935 155 954")</f>
        <v>0935 155 954</v>
      </c>
      <c r="B2754" s="119" t="str">
        <f>IFERROR(__xludf.DUMMYFUNCTION("""COMPUTED_VALUE"""),"Chị Trang")</f>
        <v>Chị Trang</v>
      </c>
      <c r="C2754" s="119" t="str">
        <f>IFERROR(__xludf.DUMMYFUNCTION("""COMPUTED_VALUE"""),"29/68 điện Biên Phủ")</f>
        <v>29/68 điện Biên Phủ</v>
      </c>
      <c r="D2754" s="119" t="str">
        <f>IFERROR(__xludf.DUMMYFUNCTION("""COMPUTED_VALUE"""),"mèo ")</f>
        <v>mèo </v>
      </c>
      <c r="E2754" s="119" t="str">
        <f>IFERROR(__xludf.DUMMYFUNCTION("""COMPUTED_VALUE"""),"đen")</f>
        <v>đen</v>
      </c>
    </row>
    <row r="2755" ht="15.75" customHeight="1">
      <c r="A2755" s="122" t="str">
        <f>IFERROR(__xludf.DUMMYFUNCTION("""COMPUTED_VALUE"""),"0355 037 914")</f>
        <v>0355 037 914</v>
      </c>
      <c r="B2755" s="119" t="str">
        <f>IFERROR(__xludf.DUMMYFUNCTION("""COMPUTED_VALUE"""),"Chị Mỹ")</f>
        <v>Chị Mỹ</v>
      </c>
      <c r="C2755" s="119" t="str">
        <f>IFERROR(__xludf.DUMMYFUNCTION("""COMPUTED_VALUE"""),"19 Phạm Phú thứ")</f>
        <v>19 Phạm Phú thứ</v>
      </c>
      <c r="D2755" s="119" t="str">
        <f>IFERROR(__xludf.DUMMYFUNCTION("""COMPUTED_VALUE"""),"chó")</f>
        <v>chó</v>
      </c>
      <c r="E2755" s="119" t="str">
        <f>IFERROR(__xludf.DUMMYFUNCTION("""COMPUTED_VALUE""")," Bốp")</f>
        <v> Bốp</v>
      </c>
    </row>
    <row r="2756" ht="15.75" customHeight="1">
      <c r="A2756" s="122" t="str">
        <f>IFERROR(__xludf.DUMMYFUNCTION("""COMPUTED_VALUE"""),"0382 961 707")</f>
        <v>0382 961 707</v>
      </c>
      <c r="B2756" s="119" t="str">
        <f>IFERROR(__xludf.DUMMYFUNCTION("""COMPUTED_VALUE"""),"Chị Giang")</f>
        <v>Chị Giang</v>
      </c>
      <c r="C2756" s="119" t="str">
        <f>IFERROR(__xludf.DUMMYFUNCTION("""COMPUTED_VALUE"""),"15 Lương Văn Can")</f>
        <v>15 Lương Văn Can</v>
      </c>
      <c r="D2756" s="119" t="str">
        <f>IFERROR(__xludf.DUMMYFUNCTION("""COMPUTED_VALUE"""),"chó")</f>
        <v>chó</v>
      </c>
      <c r="E2756" s="119" t="str">
        <f>IFERROR(__xludf.DUMMYFUNCTION("""COMPUTED_VALUE""")," Mia")</f>
        <v> Mia</v>
      </c>
    </row>
    <row r="2757" ht="15.75" customHeight="1">
      <c r="A2757" s="122" t="str">
        <f>IFERROR(__xludf.DUMMYFUNCTION("""COMPUTED_VALUE"""),"0905 631 180")</f>
        <v>0905 631 180</v>
      </c>
      <c r="B2757" s="119" t="str">
        <f>IFERROR(__xludf.DUMMYFUNCTION("""COMPUTED_VALUE"""),"Chị Hạnh")</f>
        <v>Chị Hạnh</v>
      </c>
      <c r="C2757" s="119" t="str">
        <f>IFERROR(__xludf.DUMMYFUNCTION("""COMPUTED_VALUE"""),"221 A Trần Phú")</f>
        <v>221 A Trần Phú</v>
      </c>
      <c r="D2757" s="119" t="str">
        <f>IFERROR(__xludf.DUMMYFUNCTION("""COMPUTED_VALUE"""),"mèo ")</f>
        <v>mèo </v>
      </c>
      <c r="E2757" s="119" t="str">
        <f>IFERROR(__xludf.DUMMYFUNCTION("""COMPUTED_VALUE"""),"Bông")</f>
        <v>Bông</v>
      </c>
    </row>
    <row r="2758" ht="15.75" customHeight="1">
      <c r="A2758" s="122" t="str">
        <f>IFERROR(__xludf.DUMMYFUNCTION("""COMPUTED_VALUE"""),"0935 040 452")</f>
        <v>0935 040 452</v>
      </c>
      <c r="B2758" s="119" t="str">
        <f>IFERROR(__xludf.DUMMYFUNCTION("""COMPUTED_VALUE"""),"Chị Mười")</f>
        <v>Chị Mười</v>
      </c>
      <c r="C2758" s="119" t="str">
        <f>IFERROR(__xludf.DUMMYFUNCTION("""COMPUTED_VALUE"""),"46/93 Đặng Huy Trứ")</f>
        <v>46/93 Đặng Huy Trứ</v>
      </c>
      <c r="D2758" s="119" t="str">
        <f>IFERROR(__xludf.DUMMYFUNCTION("""COMPUTED_VALUE"""),"chó")</f>
        <v>chó</v>
      </c>
      <c r="E2758" s="119" t="str">
        <f>IFERROR(__xludf.DUMMYFUNCTION("""COMPUTED_VALUE""")," Xù")</f>
        <v> Xù</v>
      </c>
    </row>
    <row r="2759" ht="15.75" customHeight="1">
      <c r="A2759" s="122" t="str">
        <f>IFERROR(__xludf.DUMMYFUNCTION("""COMPUTED_VALUE"""),"0975 912 702")</f>
        <v>0975 912 702</v>
      </c>
      <c r="B2759" s="119" t="str">
        <f>IFERROR(__xludf.DUMMYFUNCTION("""COMPUTED_VALUE"""),"Em Linh")</f>
        <v>Em Linh</v>
      </c>
      <c r="C2759" s="119" t="str">
        <f>IFERROR(__xludf.DUMMYFUNCTION("""COMPUTED_VALUE"""),"10/3/257 Trần Phú")</f>
        <v>10/3/257 Trần Phú</v>
      </c>
      <c r="D2759" s="119" t="str">
        <f>IFERROR(__xludf.DUMMYFUNCTION("""COMPUTED_VALUE"""),"mèo ")</f>
        <v>mèo </v>
      </c>
      <c r="E2759" s="119" t="str">
        <f>IFERROR(__xludf.DUMMYFUNCTION("""COMPUTED_VALUE"""),"sép")</f>
        <v>sép</v>
      </c>
    </row>
    <row r="2760" ht="15.75" customHeight="1">
      <c r="A2760" s="122" t="str">
        <f>IFERROR(__xludf.DUMMYFUNCTION("""COMPUTED_VALUE"""),"0935 569 966")</f>
        <v>0935 569 966</v>
      </c>
      <c r="B2760" s="119" t="str">
        <f>IFERROR(__xludf.DUMMYFUNCTION("""COMPUTED_VALUE"""),"Anh Thiện")</f>
        <v>Anh Thiện</v>
      </c>
      <c r="C2760" s="119" t="str">
        <f>IFERROR(__xludf.DUMMYFUNCTION("""COMPUTED_VALUE"""),"Thuận An")</f>
        <v>Thuận An</v>
      </c>
      <c r="D2760" s="119" t="str">
        <f>IFERROR(__xludf.DUMMYFUNCTION("""COMPUTED_VALUE"""),"chó")</f>
        <v>chó</v>
      </c>
      <c r="E2760" s="119" t="str">
        <f>IFERROR(__xludf.DUMMYFUNCTION("""COMPUTED_VALUE"""),"Ribery")</f>
        <v>Ribery</v>
      </c>
    </row>
    <row r="2761" ht="15.75" customHeight="1">
      <c r="A2761" s="122" t="str">
        <f>IFERROR(__xludf.DUMMYFUNCTION("""COMPUTED_VALUE"""),"0789 432 769")</f>
        <v>0789 432 769</v>
      </c>
      <c r="B2761" s="119" t="str">
        <f>IFERROR(__xludf.DUMMYFUNCTION("""COMPUTED_VALUE"""),"Em Khánh Nguyên")</f>
        <v>Em Khánh Nguyên</v>
      </c>
      <c r="C2761" s="119" t="str">
        <f>IFERROR(__xludf.DUMMYFUNCTION("""COMPUTED_VALUE"""),"37 Hùng Vương")</f>
        <v>37 Hùng Vương</v>
      </c>
      <c r="D2761" s="119" t="str">
        <f>IFERROR(__xludf.DUMMYFUNCTION("""COMPUTED_VALUE"""),"mèo")</f>
        <v>mèo</v>
      </c>
      <c r="E2761" s="119" t="str">
        <f>IFERROR(__xludf.DUMMYFUNCTION("""COMPUTED_VALUE"""),"Chuột")</f>
        <v>Chuột</v>
      </c>
    </row>
    <row r="2762" ht="15.75" customHeight="1">
      <c r="A2762" s="122" t="str">
        <f>IFERROR(__xludf.DUMMYFUNCTION("""COMPUTED_VALUE"""),"0772 424 047")</f>
        <v>0772 424 047</v>
      </c>
      <c r="B2762" s="119" t="str">
        <f>IFERROR(__xludf.DUMMYFUNCTION("""COMPUTED_VALUE"""),"Uyên")</f>
        <v>Uyên</v>
      </c>
      <c r="C2762" s="119" t="str">
        <f>IFERROR(__xludf.DUMMYFUNCTION("""COMPUTED_VALUE"""),"Hương Hồ")</f>
        <v>Hương Hồ</v>
      </c>
      <c r="D2762" s="119" t="str">
        <f>IFERROR(__xludf.DUMMYFUNCTION("""COMPUTED_VALUE"""),"chó")</f>
        <v>chó</v>
      </c>
      <c r="E2762" s="119" t="str">
        <f>IFERROR(__xludf.DUMMYFUNCTION("""COMPUTED_VALUE"""),"Lucky")</f>
        <v>Lucky</v>
      </c>
    </row>
    <row r="2763" ht="15.75" customHeight="1">
      <c r="A2763" s="122" t="str">
        <f>IFERROR(__xludf.DUMMYFUNCTION("""COMPUTED_VALUE"""),"0787 765 187")</f>
        <v>0787 765 187</v>
      </c>
      <c r="B2763" s="119" t="str">
        <f>IFERROR(__xludf.DUMMYFUNCTION("""COMPUTED_VALUE"""),"Bích Loan")</f>
        <v>Bích Loan</v>
      </c>
      <c r="C2763" s="119" t="str">
        <f>IFERROR(__xludf.DUMMYFUNCTION("""COMPUTED_VALUE"""),"52 Lê Duẩn")</f>
        <v>52 Lê Duẩn</v>
      </c>
      <c r="D2763" s="119" t="str">
        <f>IFERROR(__xludf.DUMMYFUNCTION("""COMPUTED_VALUE"""),"chó")</f>
        <v>chó</v>
      </c>
      <c r="E2763" s="119" t="str">
        <f>IFERROR(__xludf.DUMMYFUNCTION("""COMPUTED_VALUE"""),"Beo")</f>
        <v>Beo</v>
      </c>
    </row>
    <row r="2764" ht="15.75" customHeight="1">
      <c r="A2764" s="122" t="str">
        <f>IFERROR(__xludf.DUMMYFUNCTION("""COMPUTED_VALUE"""),"0935 475 266")</f>
        <v>0935 475 266</v>
      </c>
      <c r="B2764" s="119" t="str">
        <f>IFERROR(__xludf.DUMMYFUNCTION("""COMPUTED_VALUE"""),"Phan Út")</f>
        <v>Phan Út</v>
      </c>
      <c r="C2764" s="119" t="str">
        <f>IFERROR(__xludf.DUMMYFUNCTION("""COMPUTED_VALUE"""),"24 Lê Tự Nhiên")</f>
        <v>24 Lê Tự Nhiên</v>
      </c>
      <c r="D2764" s="119" t="str">
        <f>IFERROR(__xludf.DUMMYFUNCTION("""COMPUTED_VALUE"""),"chó")</f>
        <v>chó</v>
      </c>
      <c r="E2764" s="119" t="str">
        <f>IFERROR(__xludf.DUMMYFUNCTION("""COMPUTED_VALUE"""),"Lucky")</f>
        <v>Lucky</v>
      </c>
    </row>
    <row r="2765" ht="15.75" customHeight="1">
      <c r="A2765" s="122" t="str">
        <f>IFERROR(__xludf.DUMMYFUNCTION("""COMPUTED_VALUE"""),"0369 152 867")</f>
        <v>0369 152 867</v>
      </c>
      <c r="B2765" s="119" t="str">
        <f>IFERROR(__xludf.DUMMYFUNCTION("""COMPUTED_VALUE"""),"Anh Khánh")</f>
        <v>Anh Khánh</v>
      </c>
      <c r="C2765" s="119"/>
      <c r="D2765" s="119" t="str">
        <f>IFERROR(__xludf.DUMMYFUNCTION("""COMPUTED_VALUE"""),"chó")</f>
        <v>chó</v>
      </c>
      <c r="E2765" s="119" t="str">
        <f>IFERROR(__xludf.DUMMYFUNCTION("""COMPUTED_VALUE"""),"dâu")</f>
        <v>dâu</v>
      </c>
    </row>
    <row r="2766" ht="15.75" customHeight="1">
      <c r="A2766" s="122" t="str">
        <f>IFERROR(__xludf.DUMMYFUNCTION("""COMPUTED_VALUE"""),"0966 652 123")</f>
        <v>0966 652 123</v>
      </c>
      <c r="B2766" s="119" t="str">
        <f>IFERROR(__xludf.DUMMYFUNCTION("""COMPUTED_VALUE"""),"Anh Tùng")</f>
        <v>Anh Tùng</v>
      </c>
      <c r="C2766" s="119" t="str">
        <f>IFERROR(__xludf.DUMMYFUNCTION("""COMPUTED_VALUE"""),"134 Phạm Thị Liên")</f>
        <v>134 Phạm Thị Liên</v>
      </c>
      <c r="D2766" s="119" t="str">
        <f>IFERROR(__xludf.DUMMYFUNCTION("""COMPUTED_VALUE"""),"chó")</f>
        <v>chó</v>
      </c>
      <c r="E2766" s="119" t="str">
        <f>IFERROR(__xludf.DUMMYFUNCTION("""COMPUTED_VALUE"""),"Ca")</f>
        <v>Ca</v>
      </c>
    </row>
    <row r="2767" ht="15.75" customHeight="1">
      <c r="A2767" s="122" t="str">
        <f>IFERROR(__xludf.DUMMYFUNCTION("""COMPUTED_VALUE"""),"0399 511 637")</f>
        <v>0399 511 637</v>
      </c>
      <c r="B2767" s="119" t="str">
        <f>IFERROR(__xludf.DUMMYFUNCTION("""COMPUTED_VALUE"""),"Chị Trâm")</f>
        <v>Chị Trâm</v>
      </c>
      <c r="C2767" s="119" t="str">
        <f>IFERROR(__xludf.DUMMYFUNCTION("""COMPUTED_VALUE"""),"44 An Ninh")</f>
        <v>44 An Ninh</v>
      </c>
      <c r="D2767" s="119" t="str">
        <f>IFERROR(__xludf.DUMMYFUNCTION("""COMPUTED_VALUE"""),"Mèo")</f>
        <v>Mèo</v>
      </c>
      <c r="E2767" s="119" t="str">
        <f>IFERROR(__xludf.DUMMYFUNCTION("""COMPUTED_VALUE"""),"Moon")</f>
        <v>Moon</v>
      </c>
    </row>
    <row r="2768" ht="15.75" customHeight="1">
      <c r="A2768" s="122" t="str">
        <f>IFERROR(__xludf.DUMMYFUNCTION("""COMPUTED_VALUE"""),"0973 858 453")</f>
        <v>0973 858 453</v>
      </c>
      <c r="B2768" s="119" t="str">
        <f>IFERROR(__xludf.DUMMYFUNCTION("""COMPUTED_VALUE"""),"Chị diệu")</f>
        <v>Chị diệu</v>
      </c>
      <c r="C2768" s="119" t="str">
        <f>IFERROR(__xludf.DUMMYFUNCTION("""COMPUTED_VALUE"""),"112 đặng huy trứ")</f>
        <v>112 đặng huy trứ</v>
      </c>
      <c r="D2768" s="119" t="str">
        <f>IFERROR(__xludf.DUMMYFUNCTION("""COMPUTED_VALUE"""),"chó")</f>
        <v>chó</v>
      </c>
      <c r="E2768" s="119" t="str">
        <f>IFERROR(__xludf.DUMMYFUNCTION("""COMPUTED_VALUE""")," Mập u")</f>
        <v> Mập u</v>
      </c>
    </row>
    <row r="2769" ht="15.75" customHeight="1">
      <c r="A2769" s="122" t="str">
        <f>IFERROR(__xludf.DUMMYFUNCTION("""COMPUTED_VALUE"""),"0903 598 436")</f>
        <v>0903 598 436</v>
      </c>
      <c r="B2769" s="119" t="str">
        <f>IFERROR(__xludf.DUMMYFUNCTION("""COMPUTED_VALUE"""),"Anh Thành")</f>
        <v>Anh Thành</v>
      </c>
      <c r="C2769" s="119" t="str">
        <f>IFERROR(__xludf.DUMMYFUNCTION("""COMPUTED_VALUE"""),"C3 Chung Cư Trường An")</f>
        <v>C3 Chung Cư Trường An</v>
      </c>
      <c r="D2769" s="119" t="str">
        <f>IFERROR(__xludf.DUMMYFUNCTION("""COMPUTED_VALUE"""),"mèo")</f>
        <v>mèo</v>
      </c>
      <c r="E2769" s="119" t="str">
        <f>IFERROR(__xludf.DUMMYFUNCTION("""COMPUTED_VALUE""")," Mưa")</f>
        <v> Mưa</v>
      </c>
    </row>
    <row r="2770" ht="15.75" customHeight="1">
      <c r="A2770" s="122" t="str">
        <f>IFERROR(__xludf.DUMMYFUNCTION("""COMPUTED_VALUE"""),"0362 156 025")</f>
        <v>0362 156 025</v>
      </c>
      <c r="B2770" s="119" t="str">
        <f>IFERROR(__xludf.DUMMYFUNCTION("""COMPUTED_VALUE"""),"Dì Vân")</f>
        <v>Dì Vân</v>
      </c>
      <c r="C2770" s="119" t="str">
        <f>IFERROR(__xludf.DUMMYFUNCTION("""COMPUTED_VALUE"""),"84 Phạm Thị Liên")</f>
        <v>84 Phạm Thị Liên</v>
      </c>
      <c r="D2770" s="119" t="str">
        <f>IFERROR(__xludf.DUMMYFUNCTION("""COMPUTED_VALUE"""),"chó")</f>
        <v>chó</v>
      </c>
      <c r="E2770" s="119"/>
    </row>
    <row r="2771" ht="15.75" customHeight="1">
      <c r="A2771" s="122" t="str">
        <f>IFERROR(__xludf.DUMMYFUNCTION("""COMPUTED_VALUE"""),"0378 133 335")</f>
        <v>0378 133 335</v>
      </c>
      <c r="B2771" s="119" t="str">
        <f>IFERROR(__xludf.DUMMYFUNCTION("""COMPUTED_VALUE"""),"Chị Vân")</f>
        <v>Chị Vân</v>
      </c>
      <c r="C2771" s="119" t="str">
        <f>IFERROR(__xludf.DUMMYFUNCTION("""COMPUTED_VALUE"""),"78 Nguyễn Phúc chu")</f>
        <v>78 Nguyễn Phúc chu</v>
      </c>
      <c r="D2771" s="119" t="str">
        <f>IFERROR(__xludf.DUMMYFUNCTION("""COMPUTED_VALUE"""),"Chó")</f>
        <v>Chó</v>
      </c>
      <c r="E2771" s="119" t="str">
        <f>IFERROR(__xludf.DUMMYFUNCTION("""COMPUTED_VALUE"""),"Bông")</f>
        <v>Bông</v>
      </c>
    </row>
    <row r="2772" ht="15.75" customHeight="1">
      <c r="A2772" s="122" t="str">
        <f>IFERROR(__xludf.DUMMYFUNCTION("""COMPUTED_VALUE"""),"0935 833 893")</f>
        <v>0935 833 893</v>
      </c>
      <c r="B2772" s="119" t="str">
        <f>IFERROR(__xludf.DUMMYFUNCTION("""COMPUTED_VALUE"""),"Ưng")</f>
        <v>Ưng</v>
      </c>
      <c r="C2772" s="119" t="str">
        <f>IFERROR(__xludf.DUMMYFUNCTION("""COMPUTED_VALUE"""),"25/98 Nguyễn Phúc Nguyên")</f>
        <v>25/98 Nguyễn Phúc Nguyên</v>
      </c>
      <c r="D2772" s="119" t="str">
        <f>IFERROR(__xludf.DUMMYFUNCTION("""COMPUTED_VALUE"""),"Chó")</f>
        <v>Chó</v>
      </c>
      <c r="E2772" s="119" t="str">
        <f>IFERROR(__xludf.DUMMYFUNCTION("""COMPUTED_VALUE"""),"Kid")</f>
        <v>Kid</v>
      </c>
    </row>
    <row r="2773" ht="15.75" customHeight="1">
      <c r="A2773" s="122" t="str">
        <f>IFERROR(__xludf.DUMMYFUNCTION("""COMPUTED_VALUE"""),"0384 278 910")</f>
        <v>0384 278 910</v>
      </c>
      <c r="B2773" s="119" t="str">
        <f>IFERROR(__xludf.DUMMYFUNCTION("""COMPUTED_VALUE"""),"Anh Cuối")</f>
        <v>Anh Cuối</v>
      </c>
      <c r="C2773" s="119" t="str">
        <f>IFERROR(__xludf.DUMMYFUNCTION("""COMPUTED_VALUE"""),"60 Nguyễn Khoa văn")</f>
        <v>60 Nguyễn Khoa văn</v>
      </c>
      <c r="D2773" s="119" t="str">
        <f>IFERROR(__xludf.DUMMYFUNCTION("""COMPUTED_VALUE"""),"chó")</f>
        <v>chó</v>
      </c>
      <c r="E2773" s="119" t="str">
        <f>IFERROR(__xludf.DUMMYFUNCTION("""COMPUTED_VALUE"""),"Shelly")</f>
        <v>Shelly</v>
      </c>
    </row>
    <row r="2774" ht="15.75" customHeight="1">
      <c r="A2774" s="122" t="str">
        <f>IFERROR(__xludf.DUMMYFUNCTION("""COMPUTED_VALUE"""),"0702 215 545")</f>
        <v>0702 215 545</v>
      </c>
      <c r="B2774" s="119" t="str">
        <f>IFERROR(__xludf.DUMMYFUNCTION("""COMPUTED_VALUE"""),"Đỗ Văn Quý")</f>
        <v>Đỗ Văn Quý</v>
      </c>
      <c r="C2774" s="119" t="str">
        <f>IFERROR(__xludf.DUMMYFUNCTION("""COMPUTED_VALUE"""),"106 Bạch Đằng")</f>
        <v>106 Bạch Đằng</v>
      </c>
      <c r="D2774" s="119" t="str">
        <f>IFERROR(__xludf.DUMMYFUNCTION("""COMPUTED_VALUE"""),"chó")</f>
        <v>chó</v>
      </c>
      <c r="E2774" s="119" t="str">
        <f>IFERROR(__xludf.DUMMYFUNCTION("""COMPUTED_VALUE"""),"Bông")</f>
        <v>Bông</v>
      </c>
    </row>
    <row r="2775" ht="15.75" customHeight="1">
      <c r="A2775" s="122" t="str">
        <f>IFERROR(__xludf.DUMMYFUNCTION("""COMPUTED_VALUE"""),"0373 829 958")</f>
        <v>0373 829 958</v>
      </c>
      <c r="B2775" s="119" t="str">
        <f>IFERROR(__xludf.DUMMYFUNCTION("""COMPUTED_VALUE"""),"Vi")</f>
        <v>Vi</v>
      </c>
      <c r="C2775" s="119" t="str">
        <f>IFERROR(__xludf.DUMMYFUNCTION("""COMPUTED_VALUE"""),"16/47 Ưng Bình")</f>
        <v>16/47 Ưng Bình</v>
      </c>
      <c r="D2775" s="119" t="str">
        <f>IFERROR(__xludf.DUMMYFUNCTION("""COMPUTED_VALUE"""),"chó")</f>
        <v>chó</v>
      </c>
      <c r="E2775" s="119" t="str">
        <f>IFERROR(__xludf.DUMMYFUNCTION("""COMPUTED_VALUE"""),"Quắn")</f>
        <v>Quắn</v>
      </c>
    </row>
    <row r="2776" ht="15.75" customHeight="1">
      <c r="A2776" s="122" t="str">
        <f>IFERROR(__xludf.DUMMYFUNCTION("""COMPUTED_VALUE"""),"0913 495 895")</f>
        <v>0913 495 895</v>
      </c>
      <c r="B2776" s="119" t="str">
        <f>IFERROR(__xludf.DUMMYFUNCTION("""COMPUTED_VALUE"""),"chú Tuấn")</f>
        <v>chú Tuấn</v>
      </c>
      <c r="C2776" s="119" t="str">
        <f>IFERROR(__xludf.DUMMYFUNCTION("""COMPUTED_VALUE"""),"205 Phan Bội Châu")</f>
        <v>205 Phan Bội Châu</v>
      </c>
      <c r="D2776" s="119" t="str">
        <f>IFERROR(__xludf.DUMMYFUNCTION("""COMPUTED_VALUE"""),"chó")</f>
        <v>chó</v>
      </c>
      <c r="E2776" s="119" t="str">
        <f>IFERROR(__xludf.DUMMYFUNCTION("""COMPUTED_VALUE"""),"Gấu")</f>
        <v>Gấu</v>
      </c>
    </row>
    <row r="2777" ht="15.75" customHeight="1">
      <c r="A2777" s="122" t="str">
        <f>IFERROR(__xludf.DUMMYFUNCTION("""COMPUTED_VALUE"""),"0777 737 739")</f>
        <v>0777 737 739</v>
      </c>
      <c r="B2777" s="119" t="str">
        <f>IFERROR(__xludf.DUMMYFUNCTION("""COMPUTED_VALUE"""),"Anh Lập")</f>
        <v>Anh Lập</v>
      </c>
      <c r="C2777" s="119" t="str">
        <f>IFERROR(__xludf.DUMMYFUNCTION("""COMPUTED_VALUE"""),"Phú Đa")</f>
        <v>Phú Đa</v>
      </c>
      <c r="D2777" s="119" t="str">
        <f>IFERROR(__xludf.DUMMYFUNCTION("""COMPUTED_VALUE"""),"mèo")</f>
        <v>mèo</v>
      </c>
      <c r="E2777" s="119" t="str">
        <f>IFERROR(__xludf.DUMMYFUNCTION("""COMPUTED_VALUE"""),"k tên")</f>
        <v>k tên</v>
      </c>
    </row>
    <row r="2778" ht="15.75" customHeight="1">
      <c r="A2778" s="122" t="str">
        <f>IFERROR(__xludf.DUMMYFUNCTION("""COMPUTED_VALUE"""),"0356 234 569")</f>
        <v>0356 234 569</v>
      </c>
      <c r="B2778" s="119" t="str">
        <f>IFERROR(__xludf.DUMMYFUNCTION("""COMPUTED_VALUE"""),"Em Quang")</f>
        <v>Em Quang</v>
      </c>
      <c r="C2778" s="119" t="str">
        <f>IFERROR(__xludf.DUMMYFUNCTION("""COMPUTED_VALUE"""),"87 Địa Linh")</f>
        <v>87 Địa Linh</v>
      </c>
      <c r="D2778" s="119" t="str">
        <f>IFERROR(__xludf.DUMMYFUNCTION("""COMPUTED_VALUE"""),"chó")</f>
        <v>chó</v>
      </c>
      <c r="E2778" s="119" t="str">
        <f>IFERROR(__xludf.DUMMYFUNCTION("""COMPUTED_VALUE"""),"Bông")</f>
        <v>Bông</v>
      </c>
    </row>
    <row r="2779" ht="15.75" customHeight="1">
      <c r="A2779" s="122" t="str">
        <f>IFERROR(__xludf.DUMMYFUNCTION("""COMPUTED_VALUE"""),"0792 434 602")</f>
        <v>0792 434 602</v>
      </c>
      <c r="B2779" s="119" t="str">
        <f>IFERROR(__xludf.DUMMYFUNCTION("""COMPUTED_VALUE"""),"Em Hồng Ngọc")</f>
        <v>Em Hồng Ngọc</v>
      </c>
      <c r="C2779" s="119" t="str">
        <f>IFERROR(__xludf.DUMMYFUNCTION("""COMPUTED_VALUE"""),"22/11B/77 Thiên Thai")</f>
        <v>22/11B/77 Thiên Thai</v>
      </c>
      <c r="D2779" s="119" t="str">
        <f>IFERROR(__xludf.DUMMYFUNCTION("""COMPUTED_VALUE"""),"Chó ")</f>
        <v>Chó </v>
      </c>
      <c r="E2779" s="119" t="str">
        <f>IFERROR(__xludf.DUMMYFUNCTION("""COMPUTED_VALUE"""),"Chuồn")</f>
        <v>Chuồn</v>
      </c>
    </row>
    <row r="2780" ht="15.75" customHeight="1">
      <c r="A2780" s="122" t="str">
        <f>IFERROR(__xludf.DUMMYFUNCTION("""COMPUTED_VALUE"""),"0914 202 593")</f>
        <v>0914 202 593</v>
      </c>
      <c r="B2780" s="119" t="str">
        <f>IFERROR(__xludf.DUMMYFUNCTION("""COMPUTED_VALUE"""),"Chị Trang ")</f>
        <v>Chị Trang </v>
      </c>
      <c r="C2780" s="119" t="str">
        <f>IFERROR(__xludf.DUMMYFUNCTION("""COMPUTED_VALUE"""),"33 Nguyễn Phúc Chu")</f>
        <v>33 Nguyễn Phúc Chu</v>
      </c>
      <c r="D2780" s="119" t="str">
        <f>IFERROR(__xludf.DUMMYFUNCTION("""COMPUTED_VALUE"""),"Chó")</f>
        <v>Chó</v>
      </c>
      <c r="E2780" s="119" t="str">
        <f>IFERROR(__xludf.DUMMYFUNCTION("""COMPUTED_VALUE"""),"Mun")</f>
        <v>Mun</v>
      </c>
    </row>
    <row r="2781" ht="15.75" customHeight="1">
      <c r="A2781" s="122" t="str">
        <f>IFERROR(__xludf.DUMMYFUNCTION("""COMPUTED_VALUE"""),"0903 305 781")</f>
        <v>0903 305 781</v>
      </c>
      <c r="B2781" s="119" t="str">
        <f>IFERROR(__xludf.DUMMYFUNCTION("""COMPUTED_VALUE"""),"Minh Toàn")</f>
        <v>Minh Toàn</v>
      </c>
      <c r="C2781" s="119" t="str">
        <f>IFERROR(__xludf.DUMMYFUNCTION("""COMPUTED_VALUE"""),"9/37 Hùng Vương")</f>
        <v>9/37 Hùng Vương</v>
      </c>
      <c r="D2781" s="119" t="str">
        <f>IFERROR(__xludf.DUMMYFUNCTION("""COMPUTED_VALUE"""),"mèo")</f>
        <v>mèo</v>
      </c>
      <c r="E2781" s="119" t="str">
        <f>IFERROR(__xludf.DUMMYFUNCTION("""COMPUTED_VALUE"""),"Tiêu")</f>
        <v>Tiêu</v>
      </c>
    </row>
    <row r="2782" ht="15.75" customHeight="1">
      <c r="A2782" s="122" t="str">
        <f>IFERROR(__xludf.DUMMYFUNCTION("""COMPUTED_VALUE"""),"0914 457 677")</f>
        <v>0914 457 677</v>
      </c>
      <c r="B2782" s="119" t="str">
        <f>IFERROR(__xludf.DUMMYFUNCTION("""COMPUTED_VALUE"""),"Anh Tuấn")</f>
        <v>Anh Tuấn</v>
      </c>
      <c r="C2782" s="119" t="str">
        <f>IFERROR(__xludf.DUMMYFUNCTION("""COMPUTED_VALUE"""),"98 Quảng Tế")</f>
        <v>98 Quảng Tế</v>
      </c>
      <c r="D2782" s="119" t="str">
        <f>IFERROR(__xludf.DUMMYFUNCTION("""COMPUTED_VALUE"""),"Chó")</f>
        <v>Chó</v>
      </c>
      <c r="E2782" s="119" t="str">
        <f>IFERROR(__xludf.DUMMYFUNCTION("""COMPUTED_VALUE"""),"Xoài")</f>
        <v>Xoài</v>
      </c>
    </row>
    <row r="2783" ht="15.75" customHeight="1">
      <c r="A2783" s="122" t="str">
        <f>IFERROR(__xludf.DUMMYFUNCTION("""COMPUTED_VALUE"""),"0915 643 860")</f>
        <v>0915 643 860</v>
      </c>
      <c r="B2783" s="119" t="str">
        <f>IFERROR(__xludf.DUMMYFUNCTION("""COMPUTED_VALUE"""),"Cô  Hương")</f>
        <v>Cô  Hương</v>
      </c>
      <c r="C2783" s="119" t="str">
        <f>IFERROR(__xludf.DUMMYFUNCTION("""COMPUTED_VALUE"""),"80/2 Nguyễn Hoàng")</f>
        <v>80/2 Nguyễn Hoàng</v>
      </c>
      <c r="D2783" s="119" t="str">
        <f>IFERROR(__xludf.DUMMYFUNCTION("""COMPUTED_VALUE"""),"Chó")</f>
        <v>Chó</v>
      </c>
      <c r="E2783" s="119" t="str">
        <f>IFERROR(__xludf.DUMMYFUNCTION("""COMPUTED_VALUE"""),"Mực")</f>
        <v>Mực</v>
      </c>
    </row>
    <row r="2784" ht="15.75" customHeight="1">
      <c r="A2784" s="122" t="str">
        <f>IFERROR(__xludf.DUMMYFUNCTION("""COMPUTED_VALUE"""),"0327 959 977")</f>
        <v>0327 959 977</v>
      </c>
      <c r="B2784" s="119" t="str">
        <f>IFERROR(__xludf.DUMMYFUNCTION("""COMPUTED_VALUE"""),"Em Hà")</f>
        <v>Em Hà</v>
      </c>
      <c r="C2784" s="119" t="str">
        <f>IFERROR(__xludf.DUMMYFUNCTION("""COMPUTED_VALUE"""),"151 Hàm Mạc Tử")</f>
        <v>151 Hàm Mạc Tử</v>
      </c>
      <c r="D2784" s="119" t="str">
        <f>IFERROR(__xludf.DUMMYFUNCTION("""COMPUTED_VALUE"""),"Chó")</f>
        <v>Chó</v>
      </c>
      <c r="E2784" s="119" t="str">
        <f>IFERROR(__xludf.DUMMYFUNCTION("""COMPUTED_VALUE"""),"Khoai")</f>
        <v>Khoai</v>
      </c>
    </row>
    <row r="2785" ht="15.75" customHeight="1">
      <c r="A2785" s="122" t="str">
        <f>IFERROR(__xludf.DUMMYFUNCTION("""COMPUTED_VALUE"""),"0356 391 307")</f>
        <v>0356 391 307</v>
      </c>
      <c r="B2785" s="119" t="str">
        <f>IFERROR(__xludf.DUMMYFUNCTION("""COMPUTED_VALUE"""),"Em Bình")</f>
        <v>Em Bình</v>
      </c>
      <c r="C2785" s="119" t="str">
        <f>IFERROR(__xludf.DUMMYFUNCTION("""COMPUTED_VALUE"""),"43 Nguyễn Trọng Nhiên")</f>
        <v>43 Nguyễn Trọng Nhiên</v>
      </c>
      <c r="D2785" s="119" t="str">
        <f>IFERROR(__xludf.DUMMYFUNCTION("""COMPUTED_VALUE"""),"chó")</f>
        <v>chó</v>
      </c>
      <c r="E2785" s="119" t="str">
        <f>IFERROR(__xludf.DUMMYFUNCTION("""COMPUTED_VALUE"""),"Bắp")</f>
        <v>Bắp</v>
      </c>
    </row>
    <row r="2786" ht="15.75" customHeight="1">
      <c r="A2786" s="122" t="str">
        <f>IFERROR(__xludf.DUMMYFUNCTION("""COMPUTED_VALUE"""),"0815 959 345")</f>
        <v>0815 959 345</v>
      </c>
      <c r="B2786" s="119" t="str">
        <f>IFERROR(__xludf.DUMMYFUNCTION("""COMPUTED_VALUE"""),"Anh Sơn")</f>
        <v>Anh Sơn</v>
      </c>
      <c r="C2786" s="119" t="str">
        <f>IFERROR(__xludf.DUMMYFUNCTION("""COMPUTED_VALUE"""),"An Cựu City")</f>
        <v>An Cựu City</v>
      </c>
      <c r="D2786" s="119" t="str">
        <f>IFERROR(__xludf.DUMMYFUNCTION("""COMPUTED_VALUE"""),"Chó")</f>
        <v>Chó</v>
      </c>
      <c r="E2786" s="119" t="str">
        <f>IFERROR(__xludf.DUMMYFUNCTION("""COMPUTED_VALUE"""),"Heo")</f>
        <v>Heo</v>
      </c>
    </row>
    <row r="2787" ht="15.75" customHeight="1">
      <c r="A2787" s="122" t="str">
        <f>IFERROR(__xludf.DUMMYFUNCTION("""COMPUTED_VALUE"""),"0904 394 520")</f>
        <v>0904 394 520</v>
      </c>
      <c r="B2787" s="119" t="str">
        <f>IFERROR(__xludf.DUMMYFUNCTION("""COMPUTED_VALUE"""),"Dì...")</f>
        <v>Dì...</v>
      </c>
      <c r="C2787" s="119" t="str">
        <f>IFERROR(__xludf.DUMMYFUNCTION("""COMPUTED_VALUE"""),"343 Chi Lăng")</f>
        <v>343 Chi Lăng</v>
      </c>
      <c r="D2787" s="119" t="str">
        <f>IFERROR(__xludf.DUMMYFUNCTION("""COMPUTED_VALUE"""),"chó")</f>
        <v>chó</v>
      </c>
      <c r="E2787" s="119" t="str">
        <f>IFERROR(__xludf.DUMMYFUNCTION("""COMPUTED_VALUE"""),"Lucky")</f>
        <v>Lucky</v>
      </c>
    </row>
    <row r="2788" ht="15.75" customHeight="1">
      <c r="A2788" s="122" t="str">
        <f>IFERROR(__xludf.DUMMYFUNCTION("""COMPUTED_VALUE"""),"0376 786 567")</f>
        <v>0376 786 567</v>
      </c>
      <c r="B2788" s="119" t="str">
        <f>IFERROR(__xludf.DUMMYFUNCTION("""COMPUTED_VALUE"""),"Chị Yến")</f>
        <v>Chị Yến</v>
      </c>
      <c r="C2788" s="119" t="str">
        <f>IFERROR(__xludf.DUMMYFUNCTION("""COMPUTED_VALUE"""),"199 Phan Bội Châu")</f>
        <v>199 Phan Bội Châu</v>
      </c>
      <c r="D2788" s="119" t="str">
        <f>IFERROR(__xludf.DUMMYFUNCTION("""COMPUTED_VALUE"""),"Chó ")</f>
        <v>Chó </v>
      </c>
      <c r="E2788" s="119" t="str">
        <f>IFERROR(__xludf.DUMMYFUNCTION("""COMPUTED_VALUE"""),"Đen/Vàng")</f>
        <v>Đen/Vàng</v>
      </c>
    </row>
    <row r="2789" ht="15.75" customHeight="1">
      <c r="A2789" s="122" t="str">
        <f>IFERROR(__xludf.DUMMYFUNCTION("""COMPUTED_VALUE"""),"0865 552 432")</f>
        <v>0865 552 432</v>
      </c>
      <c r="B2789" s="119" t="str">
        <f>IFERROR(__xludf.DUMMYFUNCTION("""COMPUTED_VALUE"""),"Nguyễn Thị Diễm Quỳnh")</f>
        <v>Nguyễn Thị Diễm Quỳnh</v>
      </c>
      <c r="C2789" s="119" t="str">
        <f>IFERROR(__xludf.DUMMYFUNCTION("""COMPUTED_VALUE"""),"k17 Lý Nam Đế")</f>
        <v>k17 Lý Nam Đế</v>
      </c>
      <c r="D2789" s="119" t="str">
        <f>IFERROR(__xludf.DUMMYFUNCTION("""COMPUTED_VALUE"""),"Chó")</f>
        <v>Chó</v>
      </c>
      <c r="E2789" s="119" t="str">
        <f>IFERROR(__xludf.DUMMYFUNCTION("""COMPUTED_VALUE"""),"Sữa")</f>
        <v>Sữa</v>
      </c>
    </row>
    <row r="2790" ht="15.75" customHeight="1">
      <c r="A2790" s="122" t="str">
        <f>IFERROR(__xludf.DUMMYFUNCTION("""COMPUTED_VALUE"""),"0932 448 277")</f>
        <v>0932 448 277</v>
      </c>
      <c r="B2790" s="119" t="str">
        <f>IFERROR(__xludf.DUMMYFUNCTION("""COMPUTED_VALUE"""),"Bảo Ngọc")</f>
        <v>Bảo Ngọc</v>
      </c>
      <c r="C2790" s="119" t="str">
        <f>IFERROR(__xludf.DUMMYFUNCTION("""COMPUTED_VALUE"""),"24A Nguyễn Cư Trinh")</f>
        <v>24A Nguyễn Cư Trinh</v>
      </c>
      <c r="D2790" s="119" t="str">
        <f>IFERROR(__xludf.DUMMYFUNCTION("""COMPUTED_VALUE"""),"mèo")</f>
        <v>mèo</v>
      </c>
      <c r="E2790" s="119" t="str">
        <f>IFERROR(__xludf.DUMMYFUNCTION("""COMPUTED_VALUE"""),"Mít")</f>
        <v>Mít</v>
      </c>
    </row>
    <row r="2791" ht="15.75" customHeight="1">
      <c r="A2791" s="122" t="str">
        <f>IFERROR(__xludf.DUMMYFUNCTION("""COMPUTED_VALUE"""),"0836 356 736")</f>
        <v>0836 356 736</v>
      </c>
      <c r="B2791" s="119" t="str">
        <f>IFERROR(__xludf.DUMMYFUNCTION("""COMPUTED_VALUE"""),"Dì Cúc")</f>
        <v>Dì Cúc</v>
      </c>
      <c r="C2791" s="119" t="str">
        <f>IFERROR(__xludf.DUMMYFUNCTION("""COMPUTED_VALUE"""),"15/22 Thanh Nghị")</f>
        <v>15/22 Thanh Nghị</v>
      </c>
      <c r="D2791" s="119" t="str">
        <f>IFERROR(__xludf.DUMMYFUNCTION("""COMPUTED_VALUE"""),"Mèo")</f>
        <v>Mèo</v>
      </c>
      <c r="E2791" s="119" t="str">
        <f>IFERROR(__xludf.DUMMYFUNCTION("""COMPUTED_VALUE"""),"Mèo")</f>
        <v>Mèo</v>
      </c>
    </row>
    <row r="2792" ht="15.75" customHeight="1">
      <c r="A2792" s="122" t="str">
        <f>IFERROR(__xludf.DUMMYFUNCTION("""COMPUTED_VALUE"""),"0915 529 709")</f>
        <v>0915 529 709</v>
      </c>
      <c r="B2792" s="119" t="str">
        <f>IFERROR(__xludf.DUMMYFUNCTION("""COMPUTED_VALUE"""),"Cao Ngọc Trường")</f>
        <v>Cao Ngọc Trường</v>
      </c>
      <c r="C2792" s="119" t="str">
        <f>IFERROR(__xludf.DUMMYFUNCTION("""COMPUTED_VALUE"""),"Phường Trường An")</f>
        <v>Phường Trường An</v>
      </c>
      <c r="D2792" s="119" t="str">
        <f>IFERROR(__xludf.DUMMYFUNCTION("""COMPUTED_VALUE"""),"Chó")</f>
        <v>Chó</v>
      </c>
      <c r="E2792" s="119" t="str">
        <f>IFERROR(__xludf.DUMMYFUNCTION("""COMPUTED_VALUE"""),"Lu")</f>
        <v>Lu</v>
      </c>
    </row>
    <row r="2793" ht="15.75" customHeight="1">
      <c r="A2793" s="122" t="str">
        <f>IFERROR(__xludf.DUMMYFUNCTION("""COMPUTED_VALUE"""),"0969 148 357")</f>
        <v>0969 148 357</v>
      </c>
      <c r="B2793" s="119" t="str">
        <f>IFERROR(__xludf.DUMMYFUNCTION("""COMPUTED_VALUE"""),"Anh Nam")</f>
        <v>Anh Nam</v>
      </c>
      <c r="C2793" s="119" t="str">
        <f>IFERROR(__xludf.DUMMYFUNCTION("""COMPUTED_VALUE"""),"27 Nguyễn Đức Cảnh")</f>
        <v>27 Nguyễn Đức Cảnh</v>
      </c>
      <c r="D2793" s="119" t="str">
        <f>IFERROR(__xludf.DUMMYFUNCTION("""COMPUTED_VALUE"""),"Mèo")</f>
        <v>Mèo</v>
      </c>
      <c r="E2793" s="119" t="str">
        <f>IFERROR(__xludf.DUMMYFUNCTION("""COMPUTED_VALUE"""),"Bông")</f>
        <v>Bông</v>
      </c>
    </row>
    <row r="2794" ht="15.75" customHeight="1">
      <c r="A2794" s="122" t="str">
        <f>IFERROR(__xludf.DUMMYFUNCTION("""COMPUTED_VALUE"""),"0935 509 344")</f>
        <v>0935 509 344</v>
      </c>
      <c r="B2794" s="119" t="str">
        <f>IFERROR(__xludf.DUMMYFUNCTION("""COMPUTED_VALUE"""),"Anh Nhật")</f>
        <v>Anh Nhật</v>
      </c>
      <c r="C2794" s="119" t="str">
        <f>IFERROR(__xludf.DUMMYFUNCTION("""COMPUTED_VALUE"""),"13/11 Nguyễn Khuyến")</f>
        <v>13/11 Nguyễn Khuyến</v>
      </c>
      <c r="D2794" s="119" t="str">
        <f>IFERROR(__xludf.DUMMYFUNCTION("""COMPUTED_VALUE"""),"chó")</f>
        <v>chó</v>
      </c>
      <c r="E2794" s="119" t="str">
        <f>IFERROR(__xludf.DUMMYFUNCTION("""COMPUTED_VALUE"""),"Hạ Vi")</f>
        <v>Hạ Vi</v>
      </c>
    </row>
    <row r="2795" ht="15.75" customHeight="1">
      <c r="A2795" s="122" t="str">
        <f>IFERROR(__xludf.DUMMYFUNCTION("""COMPUTED_VALUE"""),"0359 694 512")</f>
        <v>0359 694 512</v>
      </c>
      <c r="B2795" s="119" t="str">
        <f>IFERROR(__xludf.DUMMYFUNCTION("""COMPUTED_VALUE"""),"Trần Văn Minh")</f>
        <v>Trần Văn Minh</v>
      </c>
      <c r="C2795" s="119" t="str">
        <f>IFERROR(__xludf.DUMMYFUNCTION("""COMPUTED_VALUE"""),"k8/9 Nguyễn Phúc Lan")</f>
        <v>k8/9 Nguyễn Phúc Lan</v>
      </c>
      <c r="D2795" s="119" t="str">
        <f>IFERROR(__xludf.DUMMYFUNCTION("""COMPUTED_VALUE"""),"chó")</f>
        <v>chó</v>
      </c>
      <c r="E2795" s="119" t="str">
        <f>IFERROR(__xludf.DUMMYFUNCTION("""COMPUTED_VALUE"""),"Sam")</f>
        <v>Sam</v>
      </c>
    </row>
    <row r="2796" ht="15.75" customHeight="1">
      <c r="A2796" s="122" t="str">
        <f>IFERROR(__xludf.DUMMYFUNCTION("""COMPUTED_VALUE"""),"0383 753 050")</f>
        <v>0383 753 050</v>
      </c>
      <c r="B2796" s="119" t="str">
        <f>IFERROR(__xludf.DUMMYFUNCTION("""COMPUTED_VALUE"""),"Nguyễn Thị Dần")</f>
        <v>Nguyễn Thị Dần</v>
      </c>
      <c r="C2796" s="119" t="str">
        <f>IFERROR(__xludf.DUMMYFUNCTION("""COMPUTED_VALUE"""),"69/27 Phạm Thị Liên")</f>
        <v>69/27 Phạm Thị Liên</v>
      </c>
      <c r="D2796" s="119" t="str">
        <f>IFERROR(__xludf.DUMMYFUNCTION("""COMPUTED_VALUE"""),"mèo")</f>
        <v>mèo</v>
      </c>
      <c r="E2796" s="119" t="str">
        <f>IFERROR(__xludf.DUMMYFUNCTION("""COMPUTED_VALUE"""),"Mèo")</f>
        <v>Mèo</v>
      </c>
    </row>
    <row r="2797" ht="15.75" customHeight="1">
      <c r="A2797" s="122" t="str">
        <f>IFERROR(__xludf.DUMMYFUNCTION("""COMPUTED_VALUE"""),"0819 454 399")</f>
        <v>0819 454 399</v>
      </c>
      <c r="B2797" s="119" t="str">
        <f>IFERROR(__xludf.DUMMYFUNCTION("""COMPUTED_VALUE"""),"Anh Thảo")</f>
        <v>Anh Thảo</v>
      </c>
      <c r="C2797" s="119" t="str">
        <f>IFERROR(__xludf.DUMMYFUNCTION("""COMPUTED_VALUE"""),"Thuỷ Vân")</f>
        <v>Thuỷ Vân</v>
      </c>
      <c r="D2797" s="119" t="str">
        <f>IFERROR(__xludf.DUMMYFUNCTION("""COMPUTED_VALUE"""),"chó")</f>
        <v>chó</v>
      </c>
      <c r="E2797" s="119" t="str">
        <f>IFERROR(__xludf.DUMMYFUNCTION("""COMPUTED_VALUE"""),"Rid")</f>
        <v>Rid</v>
      </c>
    </row>
    <row r="2798" ht="15.75" customHeight="1">
      <c r="A2798" s="122" t="str">
        <f>IFERROR(__xludf.DUMMYFUNCTION("""COMPUTED_VALUE"""),"0935 453 340")</f>
        <v>0935 453 340</v>
      </c>
      <c r="B2798" s="119" t="str">
        <f>IFERROR(__xludf.DUMMYFUNCTION("""COMPUTED_VALUE"""),"Ngọc")</f>
        <v>Ngọc</v>
      </c>
      <c r="C2798" s="119" t="str">
        <f>IFERROR(__xludf.DUMMYFUNCTION("""COMPUTED_VALUE"""),"68 Lại Thế")</f>
        <v>68 Lại Thế</v>
      </c>
      <c r="D2798" s="119" t="str">
        <f>IFERROR(__xludf.DUMMYFUNCTION("""COMPUTED_VALUE"""),"chó")</f>
        <v>chó</v>
      </c>
      <c r="E2798" s="119" t="str">
        <f>IFERROR(__xludf.DUMMYFUNCTION("""COMPUTED_VALUE"""),"Bông")</f>
        <v>Bông</v>
      </c>
    </row>
    <row r="2799" ht="15.75" customHeight="1">
      <c r="A2799" s="122" t="str">
        <f>IFERROR(__xludf.DUMMYFUNCTION("""COMPUTED_VALUE"""),"0702 320 149")</f>
        <v>0702 320 149</v>
      </c>
      <c r="B2799" s="119" t="str">
        <f>IFERROR(__xludf.DUMMYFUNCTION("""COMPUTED_VALUE"""),"Thanh Quy")</f>
        <v>Thanh Quy</v>
      </c>
      <c r="C2799" s="119" t="str">
        <f>IFERROR(__xludf.DUMMYFUNCTION("""COMPUTED_VALUE"""),"157 Hàn Mặc Tử")</f>
        <v>157 Hàn Mặc Tử</v>
      </c>
      <c r="D2799" s="119" t="str">
        <f>IFERROR(__xludf.DUMMYFUNCTION("""COMPUTED_VALUE"""),"chó")</f>
        <v>chó</v>
      </c>
      <c r="E2799" s="119">
        <f>IFERROR(__xludf.DUMMYFUNCTION("""COMPUTED_VALUE"""),150.0)</f>
        <v>150</v>
      </c>
    </row>
    <row r="2800" ht="15.75" customHeight="1">
      <c r="A2800" s="122" t="str">
        <f>IFERROR(__xludf.DUMMYFUNCTION("""COMPUTED_VALUE"""),"0934 800 681")</f>
        <v>0934 800 681</v>
      </c>
      <c r="B2800" s="119" t="str">
        <f>IFERROR(__xludf.DUMMYFUNCTION("""COMPUTED_VALUE"""),"Anh Phúc")</f>
        <v>Anh Phúc</v>
      </c>
      <c r="C2800" s="119" t="str">
        <f>IFERROR(__xludf.DUMMYFUNCTION("""COMPUTED_VALUE"""),"14 Dương Văn An")</f>
        <v>14 Dương Văn An</v>
      </c>
      <c r="D2800" s="119" t="str">
        <f>IFERROR(__xludf.DUMMYFUNCTION("""COMPUTED_VALUE"""),"chó")</f>
        <v>chó</v>
      </c>
      <c r="E2800" s="119" t="str">
        <f>IFERROR(__xludf.DUMMYFUNCTION("""COMPUTED_VALUE"""),"Bắp")</f>
        <v>Bắp</v>
      </c>
    </row>
    <row r="2801" ht="15.75" customHeight="1">
      <c r="A2801" s="122" t="str">
        <f>IFERROR(__xludf.DUMMYFUNCTION("""COMPUTED_VALUE"""),"0974 249 412")</f>
        <v>0974 249 412</v>
      </c>
      <c r="B2801" s="119" t="str">
        <f>IFERROR(__xludf.DUMMYFUNCTION("""COMPUTED_VALUE"""),"Bùi Ngọc Kiều Mai")</f>
        <v>Bùi Ngọc Kiều Mai</v>
      </c>
      <c r="C2801" s="119" t="str">
        <f>IFERROR(__xludf.DUMMYFUNCTION("""COMPUTED_VALUE"""),"Điền Môn, Phong Điền")</f>
        <v>Điền Môn, Phong Điền</v>
      </c>
      <c r="D2801" s="119" t="str">
        <f>IFERROR(__xludf.DUMMYFUNCTION("""COMPUTED_VALUE"""),"mèo")</f>
        <v>mèo</v>
      </c>
      <c r="E2801" s="119" t="str">
        <f>IFERROR(__xludf.DUMMYFUNCTION("""COMPUTED_VALUE"""),"mèo")</f>
        <v>mèo</v>
      </c>
    </row>
    <row r="2802" ht="15.75" customHeight="1">
      <c r="A2802" s="122" t="str">
        <f>IFERROR(__xludf.DUMMYFUNCTION("""COMPUTED_VALUE"""),"0987 474 455")</f>
        <v>0987 474 455</v>
      </c>
      <c r="B2802" s="119" t="str">
        <f>IFERROR(__xludf.DUMMYFUNCTION("""COMPUTED_VALUE"""),"Anh Thành")</f>
        <v>Anh Thành</v>
      </c>
      <c r="C2802" s="119" t="str">
        <f>IFERROR(__xludf.DUMMYFUNCTION("""COMPUTED_VALUE"""),"12/80 Nguyễn Hoàng")</f>
        <v>12/80 Nguyễn Hoàng</v>
      </c>
      <c r="D2802" s="119" t="str">
        <f>IFERROR(__xludf.DUMMYFUNCTION("""COMPUTED_VALUE"""),"Chó")</f>
        <v>Chó</v>
      </c>
      <c r="E2802" s="119" t="str">
        <f>IFERROR(__xludf.DUMMYFUNCTION("""COMPUTED_VALUE"""),"Mun")</f>
        <v>Mun</v>
      </c>
    </row>
    <row r="2803" ht="15.75" customHeight="1">
      <c r="A2803" s="122" t="str">
        <f>IFERROR(__xludf.DUMMYFUNCTION("""COMPUTED_VALUE"""),"0968 032 672")</f>
        <v>0968 032 672</v>
      </c>
      <c r="B2803" s="119"/>
      <c r="C2803" s="119" t="str">
        <f>IFERROR(__xludf.DUMMYFUNCTION("""COMPUTED_VALUE"""),"20/10 Nguyễn Hoàng")</f>
        <v>20/10 Nguyễn Hoàng</v>
      </c>
      <c r="D2803" s="119" t="str">
        <f>IFERROR(__xludf.DUMMYFUNCTION("""COMPUTED_VALUE"""),"Chó")</f>
        <v>Chó</v>
      </c>
      <c r="E2803" s="119"/>
    </row>
    <row r="2804" ht="15.75" customHeight="1">
      <c r="A2804" s="122" t="str">
        <f>IFERROR(__xludf.DUMMYFUNCTION("""COMPUTED_VALUE"""),"0825 155 055")</f>
        <v>0825 155 055</v>
      </c>
      <c r="B2804" s="119" t="str">
        <f>IFERROR(__xludf.DUMMYFUNCTION("""COMPUTED_VALUE"""),"Chị Ngọc")</f>
        <v>Chị Ngọc</v>
      </c>
      <c r="C2804" s="119" t="str">
        <f>IFERROR(__xludf.DUMMYFUNCTION("""COMPUTED_VALUE"""),"k110/17/9 Kim Long")</f>
        <v>k110/17/9 Kim Long</v>
      </c>
      <c r="D2804" s="119" t="str">
        <f>IFERROR(__xludf.DUMMYFUNCTION("""COMPUTED_VALUE"""),"Mèo")</f>
        <v>Mèo</v>
      </c>
      <c r="E2804" s="119" t="str">
        <f>IFERROR(__xludf.DUMMYFUNCTION("""COMPUTED_VALUE"""),"Ky")</f>
        <v>Ky</v>
      </c>
    </row>
    <row r="2805" ht="15.75" customHeight="1">
      <c r="A2805" s="122" t="str">
        <f>IFERROR(__xludf.DUMMYFUNCTION("""COMPUTED_VALUE"""),"0769 589 555")</f>
        <v>0769 589 555</v>
      </c>
      <c r="B2805" s="119" t="str">
        <f>IFERROR(__xludf.DUMMYFUNCTION("""COMPUTED_VALUE"""),"Chị Hạnh")</f>
        <v>Chị Hạnh</v>
      </c>
      <c r="C2805" s="119" t="str">
        <f>IFERROR(__xludf.DUMMYFUNCTION("""COMPUTED_VALUE"""),"144 Bùi Thị Xuân")</f>
        <v>144 Bùi Thị Xuân</v>
      </c>
      <c r="D2805" s="119" t="str">
        <f>IFERROR(__xludf.DUMMYFUNCTION("""COMPUTED_VALUE"""),"Mèo")</f>
        <v>Mèo</v>
      </c>
      <c r="E2805" s="119" t="str">
        <f>IFERROR(__xludf.DUMMYFUNCTION("""COMPUTED_VALUE"""),"Bơ")</f>
        <v>Bơ</v>
      </c>
    </row>
    <row r="2806" ht="15.75" customHeight="1">
      <c r="A2806" s="122" t="str">
        <f>IFERROR(__xludf.DUMMYFUNCTION("""COMPUTED_VALUE"""),"0708 092 901")</f>
        <v>0708 092 901</v>
      </c>
      <c r="B2806" s="119" t="str">
        <f>IFERROR(__xludf.DUMMYFUNCTION("""COMPUTED_VALUE"""),"Phương")</f>
        <v>Phương</v>
      </c>
      <c r="C2806" s="119" t="str">
        <f>IFERROR(__xludf.DUMMYFUNCTION("""COMPUTED_VALUE"""),"Chung cư vincoland")</f>
        <v>Chung cư vincoland</v>
      </c>
      <c r="D2806" s="119" t="str">
        <f>IFERROR(__xludf.DUMMYFUNCTION("""COMPUTED_VALUE"""),"Mèo")</f>
        <v>Mèo</v>
      </c>
      <c r="E2806" s="119" t="str">
        <f>IFERROR(__xludf.DUMMYFUNCTION("""COMPUTED_VALUE"""),"Đen")</f>
        <v>Đen</v>
      </c>
    </row>
    <row r="2807" ht="15.75" customHeight="1">
      <c r="A2807" s="122" t="str">
        <f>IFERROR(__xludf.DUMMYFUNCTION("""COMPUTED_VALUE"""),"0934 963 368")</f>
        <v>0934 963 368</v>
      </c>
      <c r="B2807" s="119" t="str">
        <f>IFERROR(__xludf.DUMMYFUNCTION("""COMPUTED_VALUE"""),"Anh Hùng")</f>
        <v>Anh Hùng</v>
      </c>
      <c r="C2807" s="119" t="str">
        <f>IFERROR(__xludf.DUMMYFUNCTION("""COMPUTED_VALUE"""),"61 Nguyễn Hòang")</f>
        <v>61 Nguyễn Hòang</v>
      </c>
      <c r="D2807" s="119" t="str">
        <f>IFERROR(__xludf.DUMMYFUNCTION("""COMPUTED_VALUE"""),"chó")</f>
        <v>chó</v>
      </c>
      <c r="E2807" s="119" t="str">
        <f>IFERROR(__xludf.DUMMYFUNCTION("""COMPUTED_VALUE"""),"Boss")</f>
        <v>Boss</v>
      </c>
    </row>
    <row r="2808" ht="15.75" customHeight="1">
      <c r="A2808" s="122" t="str">
        <f>IFERROR(__xludf.DUMMYFUNCTION("""COMPUTED_VALUE"""),"0326 003 772")</f>
        <v>0326 003 772</v>
      </c>
      <c r="B2808" s="119" t="str">
        <f>IFERROR(__xludf.DUMMYFUNCTION("""COMPUTED_VALUE"""),"Tuấn Anh")</f>
        <v>Tuấn Anh</v>
      </c>
      <c r="C2808" s="119" t="str">
        <f>IFERROR(__xludf.DUMMYFUNCTION("""COMPUTED_VALUE"""),"302 Bùi Thị Xuân")</f>
        <v>302 Bùi Thị Xuân</v>
      </c>
      <c r="D2808" s="119" t="str">
        <f>IFERROR(__xludf.DUMMYFUNCTION("""COMPUTED_VALUE"""),"Chó")</f>
        <v>Chó</v>
      </c>
      <c r="E2808" s="119" t="str">
        <f>IFERROR(__xludf.DUMMYFUNCTION("""COMPUTED_VALUE"""),"suri")</f>
        <v>suri</v>
      </c>
    </row>
    <row r="2809" ht="15.75" customHeight="1">
      <c r="A2809" s="122" t="str">
        <f>IFERROR(__xludf.DUMMYFUNCTION("""COMPUTED_VALUE"""),"0814 990 780")</f>
        <v>0814 990 780</v>
      </c>
      <c r="B2809" s="119" t="str">
        <f>IFERROR(__xludf.DUMMYFUNCTION("""COMPUTED_VALUE"""),"Anh Hoàng")</f>
        <v>Anh Hoàng</v>
      </c>
      <c r="C2809" s="119" t="str">
        <f>IFERROR(__xludf.DUMMYFUNCTION("""COMPUTED_VALUE"""),"289/4 Bùi Thị Xuân")</f>
        <v>289/4 Bùi Thị Xuân</v>
      </c>
      <c r="D2809" s="119" t="str">
        <f>IFERROR(__xludf.DUMMYFUNCTION("""COMPUTED_VALUE"""),"Chó")</f>
        <v>Chó</v>
      </c>
      <c r="E2809" s="119" t="str">
        <f>IFERROR(__xludf.DUMMYFUNCTION("""COMPUTED_VALUE"""),"MiNo")</f>
        <v>MiNo</v>
      </c>
    </row>
    <row r="2810" ht="15.75" customHeight="1">
      <c r="A2810" s="122" t="str">
        <f>IFERROR(__xludf.DUMMYFUNCTION("""COMPUTED_VALUE"""),"0702 709 970")</f>
        <v>0702 709 970</v>
      </c>
      <c r="B2810" s="119" t="str">
        <f>IFERROR(__xludf.DUMMYFUNCTION("""COMPUTED_VALUE"""),"Anh Phong")</f>
        <v>Anh Phong</v>
      </c>
      <c r="C2810" s="119" t="str">
        <f>IFERROR(__xludf.DUMMYFUNCTION("""COMPUTED_VALUE"""),"Phú Mỹ An")</f>
        <v>Phú Mỹ An</v>
      </c>
      <c r="D2810" s="119" t="str">
        <f>IFERROR(__xludf.DUMMYFUNCTION("""COMPUTED_VALUE"""),"Mèo")</f>
        <v>Mèo</v>
      </c>
      <c r="E2810" s="119" t="str">
        <f>IFERROR(__xludf.DUMMYFUNCTION("""COMPUTED_VALUE"""),"Bo")</f>
        <v>Bo</v>
      </c>
    </row>
    <row r="2811" ht="15.75" customHeight="1">
      <c r="A2811" s="122" t="str">
        <f>IFERROR(__xludf.DUMMYFUNCTION("""COMPUTED_VALUE"""),"0915 929 662")</f>
        <v>0915 929 662</v>
      </c>
      <c r="B2811" s="119" t="str">
        <f>IFERROR(__xludf.DUMMYFUNCTION("""COMPUTED_VALUE"""),"Anh Đinh")</f>
        <v>Anh Đinh</v>
      </c>
      <c r="C2811" s="119" t="str">
        <f>IFERROR(__xludf.DUMMYFUNCTION("""COMPUTED_VALUE"""),"8/3 Lý Nam Đế")</f>
        <v>8/3 Lý Nam Đế</v>
      </c>
      <c r="D2811" s="119" t="str">
        <f>IFERROR(__xludf.DUMMYFUNCTION("""COMPUTED_VALUE"""),"Mèo")</f>
        <v>Mèo</v>
      </c>
      <c r="E2811" s="119" t="str">
        <f>IFERROR(__xludf.DUMMYFUNCTION("""COMPUTED_VALUE"""),"Miu")</f>
        <v>Miu</v>
      </c>
    </row>
    <row r="2812" ht="15.75" customHeight="1">
      <c r="A2812" s="122" t="str">
        <f>IFERROR(__xludf.DUMMYFUNCTION("""COMPUTED_VALUE"""),"0394 520 578")</f>
        <v>0394 520 578</v>
      </c>
      <c r="B2812" s="119" t="str">
        <f>IFERROR(__xludf.DUMMYFUNCTION("""COMPUTED_VALUE"""),"Chị Quyên")</f>
        <v>Chị Quyên</v>
      </c>
      <c r="C2812" s="119" t="str">
        <f>IFERROR(__xludf.DUMMYFUNCTION("""COMPUTED_VALUE"""),"43/68 Nguyễn Phúc Chu")</f>
        <v>43/68 Nguyễn Phúc Chu</v>
      </c>
      <c r="D2812" s="119" t="str">
        <f>IFERROR(__xludf.DUMMYFUNCTION("""COMPUTED_VALUE"""),"Chó")</f>
        <v>Chó</v>
      </c>
      <c r="E2812" s="119" t="str">
        <f>IFERROR(__xludf.DUMMYFUNCTION("""COMPUTED_VALUE"""),"Bơ")</f>
        <v>Bơ</v>
      </c>
    </row>
    <row r="2813" ht="15.75" customHeight="1">
      <c r="A2813" s="122" t="str">
        <f>IFERROR(__xludf.DUMMYFUNCTION("""COMPUTED_VALUE"""),"0783 922 524")</f>
        <v>0783 922 524</v>
      </c>
      <c r="B2813" s="119" t="str">
        <f>IFERROR(__xludf.DUMMYFUNCTION("""COMPUTED_VALUE"""),"Anh Thư")</f>
        <v>Anh Thư</v>
      </c>
      <c r="C2813" s="119" t="str">
        <f>IFERROR(__xludf.DUMMYFUNCTION("""COMPUTED_VALUE"""),"Thôn La Ỷ -  Phú Thượng")</f>
        <v>Thôn La Ỷ -  Phú Thượng</v>
      </c>
      <c r="D2813" s="119" t="str">
        <f>IFERROR(__xludf.DUMMYFUNCTION("""COMPUTED_VALUE"""),"mèo")</f>
        <v>mèo</v>
      </c>
      <c r="E2813" s="119" t="str">
        <f>IFERROR(__xludf.DUMMYFUNCTION("""COMPUTED_VALUE"""),"Mun")</f>
        <v>Mun</v>
      </c>
    </row>
    <row r="2814" ht="15.75" customHeight="1">
      <c r="A2814" s="122" t="str">
        <f>IFERROR(__xludf.DUMMYFUNCTION("""COMPUTED_VALUE"""),"0942 234 974")</f>
        <v>0942 234 974</v>
      </c>
      <c r="B2814" s="119" t="str">
        <f>IFERROR(__xludf.DUMMYFUNCTION("""COMPUTED_VALUE"""),"Chị Hạnh")</f>
        <v>Chị Hạnh</v>
      </c>
      <c r="C2814" s="119" t="str">
        <f>IFERROR(__xludf.DUMMYFUNCTION("""COMPUTED_VALUE"""),"200/64 Lý Nam Đế")</f>
        <v>200/64 Lý Nam Đế</v>
      </c>
      <c r="D2814" s="119" t="str">
        <f>IFERROR(__xludf.DUMMYFUNCTION("""COMPUTED_VALUE"""),"Chó")</f>
        <v>Chó</v>
      </c>
      <c r="E2814" s="119" t="str">
        <f>IFERROR(__xludf.DUMMYFUNCTION("""COMPUTED_VALUE"""),"Đậu")</f>
        <v>Đậu</v>
      </c>
    </row>
    <row r="2815" ht="15.75" customHeight="1">
      <c r="A2815" s="122" t="str">
        <f>IFERROR(__xludf.DUMMYFUNCTION("""COMPUTED_VALUE"""),"0234 388 555")</f>
        <v>0234 388 555</v>
      </c>
      <c r="B2815" s="119" t="str">
        <f>IFERROR(__xludf.DUMMYFUNCTION("""COMPUTED_VALUE"""),"Bác Long")</f>
        <v>Bác Long</v>
      </c>
      <c r="C2815" s="119" t="str">
        <f>IFERROR(__xludf.DUMMYFUNCTION("""COMPUTED_VALUE"""),"16/49 Đào Tấn")</f>
        <v>16/49 Đào Tấn</v>
      </c>
      <c r="D2815" s="119" t="str">
        <f>IFERROR(__xludf.DUMMYFUNCTION("""COMPUTED_VALUE"""),"chó")</f>
        <v>chó</v>
      </c>
      <c r="E2815" s="119" t="str">
        <f>IFERROR(__xludf.DUMMYFUNCTION("""COMPUTED_VALUE"""),"Noel")</f>
        <v>Noel</v>
      </c>
    </row>
    <row r="2816" ht="15.75" customHeight="1">
      <c r="A2816" s="122" t="str">
        <f>IFERROR(__xludf.DUMMYFUNCTION("""COMPUTED_VALUE"""),"0898 913 845")</f>
        <v>0898 913 845</v>
      </c>
      <c r="B2816" s="119" t="str">
        <f>IFERROR(__xludf.DUMMYFUNCTION("""COMPUTED_VALUE"""),"Em Nhi")</f>
        <v>Em Nhi</v>
      </c>
      <c r="C2816" s="119" t="str">
        <f>IFERROR(__xludf.DUMMYFUNCTION("""COMPUTED_VALUE"""),"Kiệt 131 Lịch Đợi")</f>
        <v>Kiệt 131 Lịch Đợi</v>
      </c>
      <c r="D2816" s="119" t="str">
        <f>IFERROR(__xludf.DUMMYFUNCTION("""COMPUTED_VALUE"""),"mèo")</f>
        <v>mèo</v>
      </c>
      <c r="E2816" s="119" t="str">
        <f>IFERROR(__xludf.DUMMYFUNCTION("""COMPUTED_VALUE""")," Miu")</f>
        <v> Miu</v>
      </c>
    </row>
    <row r="2817" ht="15.75" customHeight="1">
      <c r="A2817" s="122" t="str">
        <f>IFERROR(__xludf.DUMMYFUNCTION("""COMPUTED_VALUE"""),"0899 602 713")</f>
        <v>0899 602 713</v>
      </c>
      <c r="B2817" s="119" t="str">
        <f>IFERROR(__xludf.DUMMYFUNCTION("""COMPUTED_VALUE"""),"Tường Vi")</f>
        <v>Tường Vi</v>
      </c>
      <c r="C2817" s="119" t="str">
        <f>IFERROR(__xludf.DUMMYFUNCTION("""COMPUTED_VALUE"""),"22/187 Phan đình Phùng")</f>
        <v>22/187 Phan đình Phùng</v>
      </c>
      <c r="D2817" s="119" t="str">
        <f>IFERROR(__xludf.DUMMYFUNCTION("""COMPUTED_VALUE"""),"Chó")</f>
        <v>Chó</v>
      </c>
      <c r="E2817" s="119" t="str">
        <f>IFERROR(__xludf.DUMMYFUNCTION("""COMPUTED_VALUE""")," mì")</f>
        <v> mì</v>
      </c>
    </row>
    <row r="2818" ht="15.75" customHeight="1">
      <c r="A2818" s="122" t="str">
        <f>IFERROR(__xludf.DUMMYFUNCTION("""COMPUTED_VALUE"""),"0905 751 868")</f>
        <v>0905 751 868</v>
      </c>
      <c r="B2818" s="119" t="str">
        <f>IFERROR(__xludf.DUMMYFUNCTION("""COMPUTED_VALUE"""),"Nguyễn cao hiếu")</f>
        <v>Nguyễn cao hiếu</v>
      </c>
      <c r="C2818" s="119" t="str">
        <f>IFERROR(__xludf.DUMMYFUNCTION("""COMPUTED_VALUE"""),"số 1 ngõ 15 kiệt 101 phan Bội Châu")</f>
        <v>số 1 ngõ 15 kiệt 101 phan Bội Châu</v>
      </c>
      <c r="D2818" s="119" t="str">
        <f>IFERROR(__xludf.DUMMYFUNCTION("""COMPUTED_VALUE"""),"mèo ")</f>
        <v>mèo </v>
      </c>
      <c r="E2818" s="119" t="str">
        <f>IFERROR(__xludf.DUMMYFUNCTION("""COMPUTED_VALUE"""),"vàng")</f>
        <v>vàng</v>
      </c>
    </row>
    <row r="2819" ht="15.75" customHeight="1">
      <c r="A2819" s="122" t="str">
        <f>IFERROR(__xludf.DUMMYFUNCTION("""COMPUTED_VALUE"""),"0352 430 500")</f>
        <v>0352 430 500</v>
      </c>
      <c r="B2819" s="119" t="str">
        <f>IFERROR(__xludf.DUMMYFUNCTION("""COMPUTED_VALUE"""),"Anh Huưng")</f>
        <v>Anh Huưng</v>
      </c>
      <c r="C2819" s="119" t="str">
        <f>IFERROR(__xludf.DUMMYFUNCTION("""COMPUTED_VALUE"""),"72 Đào tấn")</f>
        <v>72 Đào tấn</v>
      </c>
      <c r="D2819" s="119" t="str">
        <f>IFERROR(__xludf.DUMMYFUNCTION("""COMPUTED_VALUE"""),"chó ")</f>
        <v>chó </v>
      </c>
      <c r="E2819" s="119" t="str">
        <f>IFERROR(__xludf.DUMMYFUNCTION("""COMPUTED_VALUE"""),"bun")</f>
        <v>bun</v>
      </c>
    </row>
    <row r="2820" ht="15.75" customHeight="1">
      <c r="A2820" s="122" t="str">
        <f>IFERROR(__xludf.DUMMYFUNCTION("""COMPUTED_VALUE"""),"0905 294 112")</f>
        <v>0905 294 112</v>
      </c>
      <c r="B2820" s="119" t="str">
        <f>IFERROR(__xludf.DUMMYFUNCTION("""COMPUTED_VALUE"""),"Trương Đình Việt")</f>
        <v>Trương Đình Việt</v>
      </c>
      <c r="C2820" s="119" t="str">
        <f>IFERROR(__xludf.DUMMYFUNCTION("""COMPUTED_VALUE"""),"6/79 Phạm Thị Liên")</f>
        <v>6/79 Phạm Thị Liên</v>
      </c>
      <c r="D2820" s="119" t="str">
        <f>IFERROR(__xludf.DUMMYFUNCTION("""COMPUTED_VALUE"""),"Chó")</f>
        <v>Chó</v>
      </c>
      <c r="E2820" s="119" t="str">
        <f>IFERROR(__xludf.DUMMYFUNCTION("""COMPUTED_VALUE"""),"Rốt")</f>
        <v>Rốt</v>
      </c>
    </row>
    <row r="2821" ht="15.75" customHeight="1">
      <c r="A2821" s="122" t="str">
        <f>IFERROR(__xludf.DUMMYFUNCTION("""COMPUTED_VALUE"""),"0975 222 235")</f>
        <v>0975 222 235</v>
      </c>
      <c r="B2821" s="119" t="str">
        <f>IFERROR(__xludf.DUMMYFUNCTION("""COMPUTED_VALUE"""),"Chị Giang")</f>
        <v>Chị Giang</v>
      </c>
      <c r="C2821" s="119" t="str">
        <f>IFERROR(__xludf.DUMMYFUNCTION("""COMPUTED_VALUE"""),"Ngã 3 Lê Quang Quân- Nguyễn Phúc Chu")</f>
        <v>Ngã 3 Lê Quang Quân- Nguyễn Phúc Chu</v>
      </c>
      <c r="D2821" s="119" t="str">
        <f>IFERROR(__xludf.DUMMYFUNCTION("""COMPUTED_VALUE"""),"Chó")</f>
        <v>Chó</v>
      </c>
      <c r="E2821" s="119" t="str">
        <f>IFERROR(__xludf.DUMMYFUNCTION("""COMPUTED_VALUE""")," Bông")</f>
        <v> Bông</v>
      </c>
    </row>
    <row r="2822" ht="15.75" customHeight="1">
      <c r="A2822" s="122" t="str">
        <f>IFERROR(__xludf.DUMMYFUNCTION("""COMPUTED_VALUE"""),"0865 014 645")</f>
        <v>0865 014 645</v>
      </c>
      <c r="B2822" s="119" t="str">
        <f>IFERROR(__xludf.DUMMYFUNCTION("""COMPUTED_VALUE"""),"Chị Mười")</f>
        <v>Chị Mười</v>
      </c>
      <c r="C2822" s="119" t="str">
        <f>IFERROR(__xludf.DUMMYFUNCTION("""COMPUTED_VALUE"""),"KQH Kim Long")</f>
        <v>KQH Kim Long</v>
      </c>
      <c r="D2822" s="119" t="str">
        <f>IFERROR(__xludf.DUMMYFUNCTION("""COMPUTED_VALUE"""),"Chó")</f>
        <v>Chó</v>
      </c>
      <c r="E2822" s="119" t="str">
        <f>IFERROR(__xludf.DUMMYFUNCTION("""COMPUTED_VALUE"""),"Nu")</f>
        <v>Nu</v>
      </c>
    </row>
    <row r="2823" ht="15.75" customHeight="1">
      <c r="A2823" s="122" t="str">
        <f>IFERROR(__xludf.DUMMYFUNCTION("""COMPUTED_VALUE"""),"0376 623 241")</f>
        <v>0376 623 241</v>
      </c>
      <c r="B2823" s="119" t="str">
        <f>IFERROR(__xludf.DUMMYFUNCTION("""COMPUTED_VALUE"""),"Hải Đăng")</f>
        <v>Hải Đăng</v>
      </c>
      <c r="C2823" s="119" t="str">
        <f>IFERROR(__xludf.DUMMYFUNCTION("""COMPUTED_VALUE"""),"Nguyễn Duy Cung")</f>
        <v>Nguyễn Duy Cung</v>
      </c>
      <c r="D2823" s="119" t="str">
        <f>IFERROR(__xludf.DUMMYFUNCTION("""COMPUTED_VALUE"""),"Chó")</f>
        <v>Chó</v>
      </c>
      <c r="E2823" s="119" t="str">
        <f>IFERROR(__xludf.DUMMYFUNCTION("""COMPUTED_VALUE"""),"Trắng")</f>
        <v>Trắng</v>
      </c>
    </row>
    <row r="2824" ht="15.75" customHeight="1">
      <c r="A2824" s="122" t="str">
        <f>IFERROR(__xludf.DUMMYFUNCTION("""COMPUTED_VALUE"""),"0901 941 419")</f>
        <v>0901 941 419</v>
      </c>
      <c r="B2824" s="119" t="str">
        <f>IFERROR(__xludf.DUMMYFUNCTION("""COMPUTED_VALUE"""),"Chị Tiên")</f>
        <v>Chị Tiên</v>
      </c>
      <c r="C2824" s="119" t="str">
        <f>IFERROR(__xludf.DUMMYFUNCTION("""COMPUTED_VALUE"""),"47 Vạn Xuân")</f>
        <v>47 Vạn Xuân</v>
      </c>
      <c r="D2824" s="119" t="str">
        <f>IFERROR(__xludf.DUMMYFUNCTION("""COMPUTED_VALUE"""),"chó")</f>
        <v>chó</v>
      </c>
      <c r="E2824" s="119" t="str">
        <f>IFERROR(__xludf.DUMMYFUNCTION("""COMPUTED_VALUE"""),"Coca")</f>
        <v>Coca</v>
      </c>
    </row>
    <row r="2825" ht="15.75" customHeight="1">
      <c r="A2825" s="122" t="str">
        <f>IFERROR(__xludf.DUMMYFUNCTION("""COMPUTED_VALUE"""),"0905 141 153")</f>
        <v>0905 141 153</v>
      </c>
      <c r="B2825" s="119" t="str">
        <f>IFERROR(__xludf.DUMMYFUNCTION("""COMPUTED_VALUE"""),"Vĩnh Liên")</f>
        <v>Vĩnh Liên</v>
      </c>
      <c r="C2825" s="119" t="str">
        <f>IFERROR(__xludf.DUMMYFUNCTION("""COMPUTED_VALUE"""),"43/10 Đinh Tiên Hoàng")</f>
        <v>43/10 Đinh Tiên Hoàng</v>
      </c>
      <c r="D2825" s="119" t="str">
        <f>IFERROR(__xludf.DUMMYFUNCTION("""COMPUTED_VALUE"""),"Mèo")</f>
        <v>Mèo</v>
      </c>
      <c r="E2825" s="119" t="str">
        <f>IFERROR(__xludf.DUMMYFUNCTION("""COMPUTED_VALUE"""),"ĐÁ")</f>
        <v>ĐÁ</v>
      </c>
    </row>
    <row r="2826" ht="15.75" customHeight="1">
      <c r="A2826" s="122" t="str">
        <f>IFERROR(__xludf.DUMMYFUNCTION("""COMPUTED_VALUE"""),"0379 243 446")</f>
        <v>0379 243 446</v>
      </c>
      <c r="B2826" s="119" t="str">
        <f>IFERROR(__xludf.DUMMYFUNCTION("""COMPUTED_VALUE"""),"Hải ")</f>
        <v>Hải </v>
      </c>
      <c r="C2826" s="119" t="str">
        <f>IFERROR(__xludf.DUMMYFUNCTION("""COMPUTED_VALUE"""),"Nguyễn Phúc Chu")</f>
        <v>Nguyễn Phúc Chu</v>
      </c>
      <c r="D2826" s="119" t="str">
        <f>IFERROR(__xludf.DUMMYFUNCTION("""COMPUTED_VALUE"""),"Chó")</f>
        <v>Chó</v>
      </c>
      <c r="E2826" s="119" t="str">
        <f>IFERROR(__xludf.DUMMYFUNCTION("""COMPUTED_VALUE"""),"Bun")</f>
        <v>Bun</v>
      </c>
    </row>
    <row r="2827" ht="15.75" customHeight="1">
      <c r="A2827" s="122" t="str">
        <f>IFERROR(__xludf.DUMMYFUNCTION("""COMPUTED_VALUE"""),"0931 969 677")</f>
        <v>0931 969 677</v>
      </c>
      <c r="B2827" s="119" t="str">
        <f>IFERROR(__xludf.DUMMYFUNCTION("""COMPUTED_VALUE"""),"Nguyễn Thị Ngọc Mai")</f>
        <v>Nguyễn Thị Ngọc Mai</v>
      </c>
      <c r="C2827" s="119" t="str">
        <f>IFERROR(__xludf.DUMMYFUNCTION("""COMPUTED_VALUE"""),"7 Lê Lợi")</f>
        <v>7 Lê Lợi</v>
      </c>
      <c r="D2827" s="119" t="str">
        <f>IFERROR(__xludf.DUMMYFUNCTION("""COMPUTED_VALUE"""),"Mèo")</f>
        <v>Mèo</v>
      </c>
      <c r="E2827" s="119"/>
    </row>
    <row r="2828" ht="15.75" customHeight="1">
      <c r="A2828" s="122" t="str">
        <f>IFERROR(__xludf.DUMMYFUNCTION("""COMPUTED_VALUE""")," 0963 783 651")</f>
        <v> 0963 783 651</v>
      </c>
      <c r="B2828" s="119" t="str">
        <f>IFERROR(__xludf.DUMMYFUNCTION("""COMPUTED_VALUE"""),"Tôn Thất Đình")</f>
        <v>Tôn Thất Đình</v>
      </c>
      <c r="C2828" s="119" t="str">
        <f>IFERROR(__xludf.DUMMYFUNCTION("""COMPUTED_VALUE"""),"332 Lý Nam Đế")</f>
        <v>332 Lý Nam Đế</v>
      </c>
      <c r="D2828" s="119" t="str">
        <f>IFERROR(__xludf.DUMMYFUNCTION("""COMPUTED_VALUE"""),"Mèo")</f>
        <v>Mèo</v>
      </c>
      <c r="E2828" s="119" t="str">
        <f>IFERROR(__xludf.DUMMYFUNCTION("""COMPUTED_VALUE"""),"Sen")</f>
        <v>Sen</v>
      </c>
    </row>
    <row r="2829" ht="15.75" customHeight="1">
      <c r="A2829" s="122" t="str">
        <f>IFERROR(__xludf.DUMMYFUNCTION("""COMPUTED_VALUE"""),"0868 296 945")</f>
        <v>0868 296 945</v>
      </c>
      <c r="B2829" s="119" t="str">
        <f>IFERROR(__xludf.DUMMYFUNCTION("""COMPUTED_VALUE"""),"Trâm")</f>
        <v>Trâm</v>
      </c>
      <c r="C2829" s="119" t="str">
        <f>IFERROR(__xludf.DUMMYFUNCTION("""COMPUTED_VALUE"""),"104 Kim Long")</f>
        <v>104 Kim Long</v>
      </c>
      <c r="D2829" s="119" t="str">
        <f>IFERROR(__xludf.DUMMYFUNCTION("""COMPUTED_VALUE"""),"Chó")</f>
        <v>Chó</v>
      </c>
      <c r="E2829" s="119" t="str">
        <f>IFERROR(__xludf.DUMMYFUNCTION("""COMPUTED_VALUE"""),"Bi")</f>
        <v>Bi</v>
      </c>
    </row>
    <row r="2830" ht="15.75" customHeight="1">
      <c r="A2830" s="122" t="str">
        <f>IFERROR(__xludf.DUMMYFUNCTION("""COMPUTED_VALUE"""),"0766 684 448")</f>
        <v>0766 684 448</v>
      </c>
      <c r="B2830" s="119" t="str">
        <f>IFERROR(__xludf.DUMMYFUNCTION("""COMPUTED_VALUE"""),"Anh Minh")</f>
        <v>Anh Minh</v>
      </c>
      <c r="C2830" s="119" t="str">
        <f>IFERROR(__xludf.DUMMYFUNCTION("""COMPUTED_VALUE"""),"Thủy Bằng")</f>
        <v>Thủy Bằng</v>
      </c>
      <c r="D2830" s="119" t="str">
        <f>IFERROR(__xludf.DUMMYFUNCTION("""COMPUTED_VALUE"""),"Chó")</f>
        <v>Chó</v>
      </c>
      <c r="E2830" s="119" t="str">
        <f>IFERROR(__xludf.DUMMYFUNCTION("""COMPUTED_VALUE"""),"Chanh")</f>
        <v>Chanh</v>
      </c>
    </row>
    <row r="2831" ht="15.75" customHeight="1">
      <c r="A2831" s="122" t="str">
        <f>IFERROR(__xludf.DUMMYFUNCTION("""COMPUTED_VALUE"""),"0905 152 886")</f>
        <v>0905 152 886</v>
      </c>
      <c r="B2831" s="119" t="str">
        <f>IFERROR(__xludf.DUMMYFUNCTION("""COMPUTED_VALUE"""),"Chị Tuyền")</f>
        <v>Chị Tuyền</v>
      </c>
      <c r="C2831" s="119" t="str">
        <f>IFERROR(__xludf.DUMMYFUNCTION("""COMPUTED_VALUE"""),"21/138 Nguyễn Sinh Cung")</f>
        <v>21/138 Nguyễn Sinh Cung</v>
      </c>
      <c r="D2831" s="119" t="str">
        <f>IFERROR(__xludf.DUMMYFUNCTION("""COMPUTED_VALUE"""),"Chó")</f>
        <v>Chó</v>
      </c>
      <c r="E2831" s="119" t="str">
        <f>IFERROR(__xludf.DUMMYFUNCTION("""COMPUTED_VALUE"""),"Li")</f>
        <v>Li</v>
      </c>
    </row>
    <row r="2832" ht="15.75" customHeight="1">
      <c r="A2832" s="122" t="str">
        <f>IFERROR(__xludf.DUMMYFUNCTION("""COMPUTED_VALUE"""),"0763 618 389")</f>
        <v>0763 618 389</v>
      </c>
      <c r="B2832" s="119" t="str">
        <f>IFERROR(__xludf.DUMMYFUNCTION("""COMPUTED_VALUE"""),"Phan Thị Hồng Lĩnh")</f>
        <v>Phan Thị Hồng Lĩnh</v>
      </c>
      <c r="C2832" s="119" t="str">
        <f>IFERROR(__xludf.DUMMYFUNCTION("""COMPUTED_VALUE"""),"163 Nguyễn Lộ Trạch")</f>
        <v>163 Nguyễn Lộ Trạch</v>
      </c>
      <c r="D2832" s="119" t="str">
        <f>IFERROR(__xludf.DUMMYFUNCTION("""COMPUTED_VALUE"""),"mèo")</f>
        <v>mèo</v>
      </c>
      <c r="E2832" s="119" t="str">
        <f>IFERROR(__xludf.DUMMYFUNCTION("""COMPUTED_VALUE"""),"Minhon")</f>
        <v>Minhon</v>
      </c>
    </row>
    <row r="2833" ht="15.75" customHeight="1">
      <c r="A2833" s="122" t="str">
        <f>IFERROR(__xludf.DUMMYFUNCTION("""COMPUTED_VALUE"""),"0941 294 677")</f>
        <v>0941 294 677</v>
      </c>
      <c r="B2833" s="119" t="str">
        <f>IFERROR(__xludf.DUMMYFUNCTION("""COMPUTED_VALUE"""),"Anh Nga")</f>
        <v>Anh Nga</v>
      </c>
      <c r="C2833" s="119" t="str">
        <f>IFERROR(__xludf.DUMMYFUNCTION("""COMPUTED_VALUE"""),"Đà Nẵng")</f>
        <v>Đà Nẵng</v>
      </c>
      <c r="D2833" s="119" t="str">
        <f>IFERROR(__xludf.DUMMYFUNCTION("""COMPUTED_VALUE"""),"chó")</f>
        <v>chó</v>
      </c>
      <c r="E2833" s="119"/>
    </row>
    <row r="2834" ht="15.75" customHeight="1">
      <c r="A2834" s="122" t="str">
        <f>IFERROR(__xludf.DUMMYFUNCTION("""COMPUTED_VALUE"""),"0934 946 611")</f>
        <v>0934 946 611</v>
      </c>
      <c r="B2834" s="119" t="str">
        <f>IFERROR(__xludf.DUMMYFUNCTION("""COMPUTED_VALUE"""),"Dì Vân")</f>
        <v>Dì Vân</v>
      </c>
      <c r="C2834" s="119"/>
      <c r="D2834" s="119" t="str">
        <f>IFERROR(__xludf.DUMMYFUNCTION("""COMPUTED_VALUE"""),"mèo")</f>
        <v>mèo</v>
      </c>
      <c r="E2834" s="119" t="str">
        <f>IFERROR(__xludf.DUMMYFUNCTION("""COMPUTED_VALUE"""),"Miu")</f>
        <v>Miu</v>
      </c>
    </row>
    <row r="2835" ht="15.75" customHeight="1">
      <c r="A2835" s="122" t="str">
        <f>IFERROR(__xludf.DUMMYFUNCTION("""COMPUTED_VALUE"""),"0935 538 373")</f>
        <v>0935 538 373</v>
      </c>
      <c r="B2835" s="119" t="str">
        <f>IFERROR(__xludf.DUMMYFUNCTION("""COMPUTED_VALUE"""),"Anh Tùng")</f>
        <v>Anh Tùng</v>
      </c>
      <c r="C2835" s="119" t="str">
        <f>IFERROR(__xludf.DUMMYFUNCTION("""COMPUTED_VALUE"""),"Lô 05/16 KDC Kim Long 5")</f>
        <v>Lô 05/16 KDC Kim Long 5</v>
      </c>
      <c r="D2835" s="119" t="str">
        <f>IFERROR(__xludf.DUMMYFUNCTION("""COMPUTED_VALUE"""),"Chó ")</f>
        <v>Chó </v>
      </c>
      <c r="E2835" s="119" t="str">
        <f>IFERROR(__xludf.DUMMYFUNCTION("""COMPUTED_VALUE"""),"Bia")</f>
        <v>Bia</v>
      </c>
    </row>
    <row r="2836" ht="15.75" customHeight="1">
      <c r="A2836" s="122" t="str">
        <f>IFERROR(__xludf.DUMMYFUNCTION("""COMPUTED_VALUE"""),"0964 341 234")</f>
        <v>0964 341 234</v>
      </c>
      <c r="B2836" s="119" t="str">
        <f>IFERROR(__xludf.DUMMYFUNCTION("""COMPUTED_VALUE"""),"Nguyễn Duy Quang")</f>
        <v>Nguyễn Duy Quang</v>
      </c>
      <c r="C2836" s="119" t="str">
        <f>IFERROR(__xludf.DUMMYFUNCTION("""COMPUTED_VALUE"""),"27/42 Nguyễn Phúc Tần")</f>
        <v>27/42 Nguyễn Phúc Tần</v>
      </c>
      <c r="D2836" s="119" t="str">
        <f>IFERROR(__xludf.DUMMYFUNCTION("""COMPUTED_VALUE"""),"chó")</f>
        <v>chó</v>
      </c>
      <c r="E2836" s="119" t="str">
        <f>IFERROR(__xludf.DUMMYFUNCTION("""COMPUTED_VALUE"""),"Noa")</f>
        <v>Noa</v>
      </c>
    </row>
    <row r="2837" ht="15.75" customHeight="1">
      <c r="A2837" s="122" t="str">
        <f>IFERROR(__xludf.DUMMYFUNCTION("""COMPUTED_VALUE"""),"0905 129 455")</f>
        <v>0905 129 455</v>
      </c>
      <c r="B2837" s="119" t="str">
        <f>IFERROR(__xludf.DUMMYFUNCTION("""COMPUTED_VALUE"""),"chú Thỏa")</f>
        <v>chú Thỏa</v>
      </c>
      <c r="C2837" s="119" t="str">
        <f>IFERROR(__xludf.DUMMYFUNCTION("""COMPUTED_VALUE"""),"4/84 Hoàng Diệu")</f>
        <v>4/84 Hoàng Diệu</v>
      </c>
      <c r="D2837" s="119" t="str">
        <f>IFERROR(__xludf.DUMMYFUNCTION("""COMPUTED_VALUE"""),"chó")</f>
        <v>chó</v>
      </c>
      <c r="E2837" s="119" t="str">
        <f>IFERROR(__xludf.DUMMYFUNCTION("""COMPUTED_VALUE""")," xù")</f>
        <v> xù</v>
      </c>
    </row>
    <row r="2838" ht="15.75" customHeight="1">
      <c r="A2838" s="122" t="str">
        <f>IFERROR(__xludf.DUMMYFUNCTION("""COMPUTED_VALUE"""),"0906 494 545")</f>
        <v>0906 494 545</v>
      </c>
      <c r="B2838" s="119" t="str">
        <f>IFERROR(__xludf.DUMMYFUNCTION("""COMPUTED_VALUE"""),"Chị Thủy")</f>
        <v>Chị Thủy</v>
      </c>
      <c r="C2838" s="119" t="str">
        <f>IFERROR(__xludf.DUMMYFUNCTION("""COMPUTED_VALUE"""),"99 Lê Ngô Cát")</f>
        <v>99 Lê Ngô Cát</v>
      </c>
      <c r="D2838" s="119" t="str">
        <f>IFERROR(__xludf.DUMMYFUNCTION("""COMPUTED_VALUE"""),"mèo ")</f>
        <v>mèo </v>
      </c>
      <c r="E2838" s="119" t="str">
        <f>IFERROR(__xludf.DUMMYFUNCTION("""COMPUTED_VALUE"""),"Xám")</f>
        <v>Xám</v>
      </c>
    </row>
    <row r="2839" ht="15.75" customHeight="1">
      <c r="A2839" s="122" t="str">
        <f>IFERROR(__xludf.DUMMYFUNCTION("""COMPUTED_VALUE"""),"0836 672 152 ")</f>
        <v>0836 672 152 </v>
      </c>
      <c r="B2839" s="119" t="str">
        <f>IFERROR(__xludf.DUMMYFUNCTION("""COMPUTED_VALUE"""),"Mai Nhi")</f>
        <v>Mai Nhi</v>
      </c>
      <c r="C2839" s="119" t="str">
        <f>IFERROR(__xludf.DUMMYFUNCTION("""COMPUTED_VALUE"""),"487 Bùi Thị Xuân")</f>
        <v>487 Bùi Thị Xuân</v>
      </c>
      <c r="D2839" s="119" t="str">
        <f>IFERROR(__xludf.DUMMYFUNCTION("""COMPUTED_VALUE"""),"mèo")</f>
        <v>mèo</v>
      </c>
      <c r="E2839" s="119" t="str">
        <f>IFERROR(__xludf.DUMMYFUNCTION("""COMPUTED_VALUE"""),"trắng")</f>
        <v>trắng</v>
      </c>
    </row>
    <row r="2840" ht="15.75" customHeight="1">
      <c r="A2840" s="122" t="str">
        <f>IFERROR(__xludf.DUMMYFUNCTION("""COMPUTED_VALUE"""),"0762 623 444")</f>
        <v>0762 623 444</v>
      </c>
      <c r="B2840" s="119" t="str">
        <f>IFERROR(__xludf.DUMMYFUNCTION("""COMPUTED_VALUE"""),"Anh Thiên")</f>
        <v>Anh Thiên</v>
      </c>
      <c r="C2840" s="119" t="str">
        <f>IFERROR(__xludf.DUMMYFUNCTION("""COMPUTED_VALUE"""),"5/293 Điện Biên Phủ")</f>
        <v>5/293 Điện Biên Phủ</v>
      </c>
      <c r="D2840" s="119" t="str">
        <f>IFERROR(__xludf.DUMMYFUNCTION("""COMPUTED_VALUE"""),"Chó")</f>
        <v>Chó</v>
      </c>
      <c r="E2840" s="119" t="str">
        <f>IFERROR(__xludf.DUMMYFUNCTION("""COMPUTED_VALUE"""),"Ky")</f>
        <v>Ky</v>
      </c>
    </row>
    <row r="2841" ht="15.75" customHeight="1">
      <c r="A2841" s="122" t="str">
        <f>IFERROR(__xludf.DUMMYFUNCTION("""COMPUTED_VALUE"""),"0983 811 506")</f>
        <v>0983 811 506</v>
      </c>
      <c r="B2841" s="119" t="str">
        <f>IFERROR(__xludf.DUMMYFUNCTION("""COMPUTED_VALUE"""),"Anh Phú")</f>
        <v>Anh Phú</v>
      </c>
      <c r="C2841" s="119" t="str">
        <f>IFERROR(__xludf.DUMMYFUNCTION("""COMPUTED_VALUE"""),"51 Chu Văn An")</f>
        <v>51 Chu Văn An</v>
      </c>
      <c r="D2841" s="119" t="str">
        <f>IFERROR(__xludf.DUMMYFUNCTION("""COMPUTED_VALUE"""),"mèo")</f>
        <v>mèo</v>
      </c>
      <c r="E2841" s="119" t="str">
        <f>IFERROR(__xludf.DUMMYFUNCTION("""COMPUTED_VALUE"""),"Rum")</f>
        <v>Rum</v>
      </c>
    </row>
    <row r="2842" ht="15.75" customHeight="1">
      <c r="A2842" s="122" t="str">
        <f>IFERROR(__xludf.DUMMYFUNCTION("""COMPUTED_VALUE"""),"0703 622 601")</f>
        <v>0703 622 601</v>
      </c>
      <c r="B2842" s="119" t="str">
        <f>IFERROR(__xludf.DUMMYFUNCTION("""COMPUTED_VALUE"""),"Em Nghi")</f>
        <v>Em Nghi</v>
      </c>
      <c r="C2842" s="119" t="str">
        <f>IFERROR(__xludf.DUMMYFUNCTION("""COMPUTED_VALUE"""),"27 Phan Đình Giót")</f>
        <v>27 Phan Đình Giót</v>
      </c>
      <c r="D2842" s="119" t="str">
        <f>IFERROR(__xludf.DUMMYFUNCTION("""COMPUTED_VALUE"""),"Mèo")</f>
        <v>Mèo</v>
      </c>
      <c r="E2842" s="119" t="str">
        <f>IFERROR(__xludf.DUMMYFUNCTION("""COMPUTED_VALUE"""),"Miu")</f>
        <v>Miu</v>
      </c>
    </row>
    <row r="2843" ht="15.75" customHeight="1">
      <c r="A2843" s="122" t="str">
        <f>IFERROR(__xludf.DUMMYFUNCTION("""COMPUTED_VALUE"""),"0983 348 172")</f>
        <v>0983 348 172</v>
      </c>
      <c r="B2843" s="119" t="str">
        <f>IFERROR(__xludf.DUMMYFUNCTION("""COMPUTED_VALUE"""),"chị Quỳnh")</f>
        <v>chị Quỳnh</v>
      </c>
      <c r="C2843" s="119" t="str">
        <f>IFERROR(__xludf.DUMMYFUNCTION("""COMPUTED_VALUE"""),"2/29/69 Lê Ngô Cát")</f>
        <v>2/29/69 Lê Ngô Cát</v>
      </c>
      <c r="D2843" s="119" t="str">
        <f>IFERROR(__xludf.DUMMYFUNCTION("""COMPUTED_VALUE"""),"mèo")</f>
        <v>mèo</v>
      </c>
      <c r="E2843" s="119" t="str">
        <f>IFERROR(__xludf.DUMMYFUNCTION("""COMPUTED_VALUE"""),"cỏ")</f>
        <v>cỏ</v>
      </c>
    </row>
    <row r="2844" ht="15.75" customHeight="1">
      <c r="A2844" s="122" t="str">
        <f>IFERROR(__xludf.DUMMYFUNCTION("""COMPUTED_VALUE"""),"0327 397 534")</f>
        <v>0327 397 534</v>
      </c>
      <c r="B2844" s="119" t="str">
        <f>IFERROR(__xludf.DUMMYFUNCTION("""COMPUTED_VALUE"""),"Hồ Thị Phiêt")</f>
        <v>Hồ Thị Phiêt</v>
      </c>
      <c r="C2844" s="119" t="str">
        <f>IFERROR(__xludf.DUMMYFUNCTION("""COMPUTED_VALUE"""),"32 Long Hồ")</f>
        <v>32 Long Hồ</v>
      </c>
      <c r="D2844" s="119" t="str">
        <f>IFERROR(__xludf.DUMMYFUNCTION("""COMPUTED_VALUE"""),"Chó")</f>
        <v>Chó</v>
      </c>
      <c r="E2844" s="119" t="str">
        <f>IFERROR(__xludf.DUMMYFUNCTION("""COMPUTED_VALUE"""),"Mít")</f>
        <v>Mít</v>
      </c>
    </row>
    <row r="2845" ht="15.75" customHeight="1">
      <c r="A2845" s="122" t="str">
        <f>IFERROR(__xludf.DUMMYFUNCTION("""COMPUTED_VALUE"""),"0763 605 935")</f>
        <v>0763 605 935</v>
      </c>
      <c r="B2845" s="119" t="str">
        <f>IFERROR(__xludf.DUMMYFUNCTION("""COMPUTED_VALUE"""),"Chị Dương")</f>
        <v>Chị Dương</v>
      </c>
      <c r="C2845" s="119" t="str">
        <f>IFERROR(__xludf.DUMMYFUNCTION("""COMPUTED_VALUE"""),"25/65 Đặng Huy Trứ")</f>
        <v>25/65 Đặng Huy Trứ</v>
      </c>
      <c r="D2845" s="119" t="str">
        <f>IFERROR(__xludf.DUMMYFUNCTION("""COMPUTED_VALUE"""),"mèo")</f>
        <v>mèo</v>
      </c>
      <c r="E2845" s="119" t="str">
        <f>IFERROR(__xludf.DUMMYFUNCTION("""COMPUTED_VALUE""")," keo")</f>
        <v> keo</v>
      </c>
    </row>
    <row r="2846" ht="15.75" customHeight="1">
      <c r="A2846" s="122" t="str">
        <f>IFERROR(__xludf.DUMMYFUNCTION("""COMPUTED_VALUE"""),"0337 731 535")</f>
        <v>0337 731 535</v>
      </c>
      <c r="B2846" s="119" t="str">
        <f>IFERROR(__xludf.DUMMYFUNCTION("""COMPUTED_VALUE"""),"Chị Trà")</f>
        <v>Chị Trà</v>
      </c>
      <c r="C2846" s="119" t="str">
        <f>IFERROR(__xludf.DUMMYFUNCTION("""COMPUTED_VALUE"""),"88 Hoàng thị Loan")</f>
        <v>88 Hoàng thị Loan</v>
      </c>
      <c r="D2846" s="119" t="str">
        <f>IFERROR(__xludf.DUMMYFUNCTION("""COMPUTED_VALUE"""),"chó")</f>
        <v>chó</v>
      </c>
      <c r="E2846" s="119" t="str">
        <f>IFERROR(__xludf.DUMMYFUNCTION("""COMPUTED_VALUE"""),"Bông")</f>
        <v>Bông</v>
      </c>
    </row>
    <row r="2847" ht="15.75" customHeight="1">
      <c r="A2847" s="122" t="str">
        <f>IFERROR(__xludf.DUMMYFUNCTION("""COMPUTED_VALUE"""),"0983 394 541")</f>
        <v>0983 394 541</v>
      </c>
      <c r="B2847" s="119" t="str">
        <f>IFERROR(__xludf.DUMMYFUNCTION("""COMPUTED_VALUE"""),"Anh Hải")</f>
        <v>Anh Hải</v>
      </c>
      <c r="C2847" s="119" t="str">
        <f>IFERROR(__xludf.DUMMYFUNCTION("""COMPUTED_VALUE"""),"26 Lương Văn can")</f>
        <v>26 Lương Văn can</v>
      </c>
      <c r="D2847" s="119" t="str">
        <f>IFERROR(__xludf.DUMMYFUNCTION("""COMPUTED_VALUE"""),"chó")</f>
        <v>chó</v>
      </c>
      <c r="E2847" s="119" t="str">
        <f>IFERROR(__xludf.DUMMYFUNCTION("""COMPUTED_VALUE""")," Pom")</f>
        <v> Pom</v>
      </c>
    </row>
    <row r="2848" ht="15.75" customHeight="1">
      <c r="A2848" s="122" t="str">
        <f>IFERROR(__xludf.DUMMYFUNCTION("""COMPUTED_VALUE"""),"0935 130 370")</f>
        <v>0935 130 370</v>
      </c>
      <c r="B2848" s="119" t="str">
        <f>IFERROR(__xludf.DUMMYFUNCTION("""COMPUTED_VALUE"""),"Chị Diệp")</f>
        <v>Chị Diệp</v>
      </c>
      <c r="C2848" s="119" t="str">
        <f>IFERROR(__xludf.DUMMYFUNCTION("""COMPUTED_VALUE"""),"trần Phú")</f>
        <v>trần Phú</v>
      </c>
      <c r="D2848" s="119" t="str">
        <f>IFERROR(__xludf.DUMMYFUNCTION("""COMPUTED_VALUE"""),"mèo")</f>
        <v>mèo</v>
      </c>
      <c r="E2848" s="119" t="str">
        <f>IFERROR(__xludf.DUMMYFUNCTION("""COMPUTED_VALUE""")," vàng")</f>
        <v> vàng</v>
      </c>
    </row>
    <row r="2849" ht="15.75" customHeight="1">
      <c r="A2849" s="122" t="str">
        <f>IFERROR(__xludf.DUMMYFUNCTION("""COMPUTED_VALUE"""),"0785 556 999")</f>
        <v>0785 556 999</v>
      </c>
      <c r="B2849" s="119" t="str">
        <f>IFERROR(__xludf.DUMMYFUNCTION("""COMPUTED_VALUE"""),"chị ngoc")</f>
        <v>chị ngoc</v>
      </c>
      <c r="C2849" s="119" t="str">
        <f>IFERROR(__xludf.DUMMYFUNCTION("""COMPUTED_VALUE"""),"14/91 hhàn mạc tử")</f>
        <v>14/91 hhàn mạc tử</v>
      </c>
      <c r="D2849" s="119" t="str">
        <f>IFERROR(__xludf.DUMMYFUNCTION("""COMPUTED_VALUE"""),"chó")</f>
        <v>chó</v>
      </c>
      <c r="E2849" s="119" t="str">
        <f>IFERROR(__xludf.DUMMYFUNCTION("""COMPUTED_VALUE""")," Xù")</f>
        <v> Xù</v>
      </c>
    </row>
    <row r="2850" ht="15.75" customHeight="1">
      <c r="A2850" s="122" t="str">
        <f>IFERROR(__xludf.DUMMYFUNCTION("""COMPUTED_VALUE"""),"0333 559 101")</f>
        <v>0333 559 101</v>
      </c>
      <c r="B2850" s="119" t="str">
        <f>IFERROR(__xludf.DUMMYFUNCTION("""COMPUTED_VALUE"""),"Em My")</f>
        <v>Em My</v>
      </c>
      <c r="C2850" s="119" t="str">
        <f>IFERROR(__xludf.DUMMYFUNCTION("""COMPUTED_VALUE"""),"25/1 Nguyễn Văn Cừ")</f>
        <v>25/1 Nguyễn Văn Cừ</v>
      </c>
      <c r="D2850" s="119" t="str">
        <f>IFERROR(__xludf.DUMMYFUNCTION("""COMPUTED_VALUE"""),"chó")</f>
        <v>chó</v>
      </c>
      <c r="E2850" s="119" t="str">
        <f>IFERROR(__xludf.DUMMYFUNCTION("""COMPUTED_VALUE""")," Chup pa Chup")</f>
        <v> Chup pa Chup</v>
      </c>
    </row>
    <row r="2851" ht="15.75" customHeight="1">
      <c r="A2851" s="122" t="str">
        <f>IFERROR(__xludf.DUMMYFUNCTION("""COMPUTED_VALUE"""),"0918 566 198")</f>
        <v>0918 566 198</v>
      </c>
      <c r="B2851" s="119" t="str">
        <f>IFERROR(__xludf.DUMMYFUNCTION("""COMPUTED_VALUE"""),"Chị Ánh")</f>
        <v>Chị Ánh</v>
      </c>
      <c r="C2851" s="119"/>
      <c r="D2851" s="119"/>
      <c r="E2851" s="119"/>
    </row>
    <row r="2852" ht="15.75" customHeight="1">
      <c r="A2852" s="122" t="str">
        <f>IFERROR(__xludf.DUMMYFUNCTION("""COMPUTED_VALUE"""),"0898 614 520")</f>
        <v>0898 614 520</v>
      </c>
      <c r="B2852" s="119" t="str">
        <f>IFERROR(__xludf.DUMMYFUNCTION("""COMPUTED_VALUE"""),"Em Tiến")</f>
        <v>Em Tiến</v>
      </c>
      <c r="C2852" s="119" t="str">
        <f>IFERROR(__xludf.DUMMYFUNCTION("""COMPUTED_VALUE"""),"15 Lương Văn Can")</f>
        <v>15 Lương Văn Can</v>
      </c>
      <c r="D2852" s="119" t="str">
        <f>IFERROR(__xludf.DUMMYFUNCTION("""COMPUTED_VALUE"""),"chó")</f>
        <v>chó</v>
      </c>
      <c r="E2852" s="119" t="str">
        <f>IFERROR(__xludf.DUMMYFUNCTION("""COMPUTED_VALUE""")," cô ca")</f>
        <v> cô ca</v>
      </c>
    </row>
    <row r="2853" ht="15.75" customHeight="1">
      <c r="A2853" s="122" t="str">
        <f>IFERROR(__xludf.DUMMYFUNCTION("""COMPUTED_VALUE"""),"0931 945 757")</f>
        <v>0931 945 757</v>
      </c>
      <c r="B2853" s="119" t="str">
        <f>IFERROR(__xludf.DUMMYFUNCTION("""COMPUTED_VALUE"""),"Chị Linh")</f>
        <v>Chị Linh</v>
      </c>
      <c r="C2853" s="119" t="str">
        <f>IFERROR(__xludf.DUMMYFUNCTION("""COMPUTED_VALUE"""),"47B trần Nguyên Hãn")</f>
        <v>47B trần Nguyên Hãn</v>
      </c>
      <c r="D2853" s="119" t="str">
        <f>IFERROR(__xludf.DUMMYFUNCTION("""COMPUTED_VALUE"""),"chó ")</f>
        <v>chó </v>
      </c>
      <c r="E2853" s="119" t="str">
        <f>IFERROR(__xludf.DUMMYFUNCTION("""COMPUTED_VALUE"""),"Tin Tin")</f>
        <v>Tin Tin</v>
      </c>
    </row>
    <row r="2854" ht="15.75" customHeight="1">
      <c r="A2854" s="122" t="str">
        <f>IFERROR(__xludf.DUMMYFUNCTION("""COMPUTED_VALUE"""),"0702 702 970")</f>
        <v>0702 702 970</v>
      </c>
      <c r="B2854" s="119" t="str">
        <f>IFERROR(__xludf.DUMMYFUNCTION("""COMPUTED_VALUE"""),"Anh Phong")</f>
        <v>Anh Phong</v>
      </c>
      <c r="C2854" s="119" t="str">
        <f>IFERROR(__xludf.DUMMYFUNCTION("""COMPUTED_VALUE"""),"Khu đô Thị Phú Mỹ")</f>
        <v>Khu đô Thị Phú Mỹ</v>
      </c>
      <c r="D2854" s="119" t="str">
        <f>IFERROR(__xludf.DUMMYFUNCTION("""COMPUTED_VALUE"""),"mèo")</f>
        <v>mèo</v>
      </c>
      <c r="E2854" s="119" t="str">
        <f>IFERROR(__xludf.DUMMYFUNCTION("""COMPUTED_VALUE""")," bo")</f>
        <v> bo</v>
      </c>
    </row>
    <row r="2855" ht="15.75" customHeight="1">
      <c r="A2855" s="122" t="str">
        <f>IFERROR(__xludf.DUMMYFUNCTION("""COMPUTED_VALUE"""),"0985 159 492")</f>
        <v>0985 159 492</v>
      </c>
      <c r="B2855" s="119" t="str">
        <f>IFERROR(__xludf.DUMMYFUNCTION("""COMPUTED_VALUE"""),"Nguyễn Thị Vương")</f>
        <v>Nguyễn Thị Vương</v>
      </c>
      <c r="C2855" s="119" t="str">
        <f>IFERROR(__xludf.DUMMYFUNCTION("""COMPUTED_VALUE"""),"60/4 Phạm Thị Liên")</f>
        <v>60/4 Phạm Thị Liên</v>
      </c>
      <c r="D2855" s="119" t="str">
        <f>IFERROR(__xludf.DUMMYFUNCTION("""COMPUTED_VALUE"""),"chó")</f>
        <v>chó</v>
      </c>
      <c r="E2855" s="119" t="str">
        <f>IFERROR(__xludf.DUMMYFUNCTION("""COMPUTED_VALUE"""),"Trắng")</f>
        <v>Trắng</v>
      </c>
    </row>
    <row r="2856" ht="15.75" customHeight="1">
      <c r="A2856" s="122" t="str">
        <f>IFERROR(__xludf.DUMMYFUNCTION("""COMPUTED_VALUE"""),"0906 464 945")</f>
        <v>0906 464 945</v>
      </c>
      <c r="B2856" s="119" t="str">
        <f>IFERROR(__xludf.DUMMYFUNCTION("""COMPUTED_VALUE"""),"Chị Hiền")</f>
        <v>Chị Hiền</v>
      </c>
      <c r="C2856" s="119" t="str">
        <f>IFERROR(__xludf.DUMMYFUNCTION("""COMPUTED_VALUE"""),"Tỉnh lộ 10")</f>
        <v>Tỉnh lộ 10</v>
      </c>
      <c r="D2856" s="119" t="str">
        <f>IFERROR(__xludf.DUMMYFUNCTION("""COMPUTED_VALUE"""),"chó")</f>
        <v>chó</v>
      </c>
      <c r="E2856" s="119"/>
    </row>
    <row r="2857" ht="15.75" customHeight="1">
      <c r="A2857" s="122" t="str">
        <f>IFERROR(__xludf.DUMMYFUNCTION("""COMPUTED_VALUE"""),"0362 249 296")</f>
        <v>0362 249 296</v>
      </c>
      <c r="B2857" s="119" t="str">
        <f>IFERROR(__xludf.DUMMYFUNCTION("""COMPUTED_VALUE"""),"Thảo")</f>
        <v>Thảo</v>
      </c>
      <c r="C2857" s="119" t="str">
        <f>IFERROR(__xludf.DUMMYFUNCTION("""COMPUTED_VALUE"""),"62 Hải Triều")</f>
        <v>62 Hải Triều</v>
      </c>
      <c r="D2857" s="119" t="str">
        <f>IFERROR(__xludf.DUMMYFUNCTION("""COMPUTED_VALUE"""),"chó")</f>
        <v>chó</v>
      </c>
      <c r="E2857" s="119" t="str">
        <f>IFERROR(__xludf.DUMMYFUNCTION("""COMPUTED_VALUE"""),"Miu")</f>
        <v>Miu</v>
      </c>
    </row>
    <row r="2858" ht="15.75" customHeight="1">
      <c r="A2858" s="122" t="str">
        <f>IFERROR(__xludf.DUMMYFUNCTION("""COMPUTED_VALUE"""),"0867 772 703")</f>
        <v>0867 772 703</v>
      </c>
      <c r="B2858" s="119" t="str">
        <f>IFERROR(__xludf.DUMMYFUNCTION("""COMPUTED_VALUE"""),"Mysa")</f>
        <v>Mysa</v>
      </c>
      <c r="C2858" s="119" t="str">
        <f>IFERROR(__xludf.DUMMYFUNCTION("""COMPUTED_VALUE"""),"Thuỷ Bằng")</f>
        <v>Thuỷ Bằng</v>
      </c>
      <c r="D2858" s="119" t="str">
        <f>IFERROR(__xludf.DUMMYFUNCTION("""COMPUTED_VALUE"""),"mèo")</f>
        <v>mèo</v>
      </c>
      <c r="E2858" s="119" t="str">
        <f>IFERROR(__xludf.DUMMYFUNCTION("""COMPUTED_VALUE"""),"Su ")</f>
        <v>Su </v>
      </c>
    </row>
    <row r="2859" ht="15.75" customHeight="1">
      <c r="A2859" s="122" t="str">
        <f>IFERROR(__xludf.DUMMYFUNCTION("""COMPUTED_VALUE"""),"0396 104 077")</f>
        <v>0396 104 077</v>
      </c>
      <c r="B2859" s="119" t="str">
        <f>IFERROR(__xludf.DUMMYFUNCTION("""COMPUTED_VALUE"""),"Chú Dũng")</f>
        <v>Chú Dũng</v>
      </c>
      <c r="C2859" s="119" t="str">
        <f>IFERROR(__xludf.DUMMYFUNCTION("""COMPUTED_VALUE"""),"Hương Phong")</f>
        <v>Hương Phong</v>
      </c>
      <c r="D2859" s="119" t="str">
        <f>IFERROR(__xludf.DUMMYFUNCTION("""COMPUTED_VALUE"""),"chó")</f>
        <v>chó</v>
      </c>
      <c r="E2859" s="119" t="str">
        <f>IFERROR(__xludf.DUMMYFUNCTION("""COMPUTED_VALUE"""),"Sun")</f>
        <v>Sun</v>
      </c>
    </row>
    <row r="2860" ht="15.75" customHeight="1">
      <c r="A2860" s="122" t="str">
        <f>IFERROR(__xludf.DUMMYFUNCTION("""COMPUTED_VALUE"""),"0945 872 862")</f>
        <v>0945 872 862</v>
      </c>
      <c r="B2860" s="119" t="str">
        <f>IFERROR(__xludf.DUMMYFUNCTION("""COMPUTED_VALUE"""),"Anh Thịnh")</f>
        <v>Anh Thịnh</v>
      </c>
      <c r="C2860" s="119" t="str">
        <f>IFERROR(__xludf.DUMMYFUNCTION("""COMPUTED_VALUE"""),"3 Hàn Mặc Tử")</f>
        <v>3 Hàn Mặc Tử</v>
      </c>
      <c r="D2860" s="119" t="str">
        <f>IFERROR(__xludf.DUMMYFUNCTION("""COMPUTED_VALUE"""),"chó")</f>
        <v>chó</v>
      </c>
      <c r="E2860" s="119" t="str">
        <f>IFERROR(__xludf.DUMMYFUNCTION("""COMPUTED_VALUE"""),"Phóc")</f>
        <v>Phóc</v>
      </c>
    </row>
    <row r="2861" ht="15.75" customHeight="1">
      <c r="A2861" s="122" t="str">
        <f>IFERROR(__xludf.DUMMYFUNCTION("""COMPUTED_VALUE"""),"0393 630 033")</f>
        <v>0393 630 033</v>
      </c>
      <c r="B2861" s="119" t="str">
        <f>IFERROR(__xludf.DUMMYFUNCTION("""COMPUTED_VALUE"""),"Anh Đức")</f>
        <v>Anh Đức</v>
      </c>
      <c r="C2861" s="119" t="str">
        <f>IFERROR(__xludf.DUMMYFUNCTION("""COMPUTED_VALUE"""),"170 Chi Lăng")</f>
        <v>170 Chi Lăng</v>
      </c>
      <c r="D2861" s="119" t="str">
        <f>IFERROR(__xludf.DUMMYFUNCTION("""COMPUTED_VALUE"""),"chó")</f>
        <v>chó</v>
      </c>
      <c r="E2861" s="119" t="str">
        <f>IFERROR(__xludf.DUMMYFUNCTION("""COMPUTED_VALUE"""),"Xù")</f>
        <v>Xù</v>
      </c>
    </row>
    <row r="2862" ht="15.75" customHeight="1">
      <c r="A2862" s="122" t="str">
        <f>IFERROR(__xludf.DUMMYFUNCTION("""COMPUTED_VALUE"""),"0914 835 315")</f>
        <v>0914 835 315</v>
      </c>
      <c r="B2862" s="119" t="str">
        <f>IFERROR(__xludf.DUMMYFUNCTION("""COMPUTED_VALUE"""),"Xê")</f>
        <v>Xê</v>
      </c>
      <c r="C2862" s="119" t="str">
        <f>IFERROR(__xludf.DUMMYFUNCTION("""COMPUTED_VALUE"""),"Phong Điền")</f>
        <v>Phong Điền</v>
      </c>
      <c r="D2862" s="119" t="str">
        <f>IFERROR(__xludf.DUMMYFUNCTION("""COMPUTED_VALUE"""),"chó")</f>
        <v>chó</v>
      </c>
      <c r="E2862" s="119" t="str">
        <f>IFERROR(__xludf.DUMMYFUNCTION("""COMPUTED_VALUE"""),"Herist")</f>
        <v>Herist</v>
      </c>
    </row>
    <row r="2863" ht="15.75" customHeight="1">
      <c r="A2863" s="122" t="str">
        <f>IFERROR(__xludf.DUMMYFUNCTION("""COMPUTED_VALUE"""),"0935 666 469")</f>
        <v>0935 666 469</v>
      </c>
      <c r="B2863" s="119" t="str">
        <f>IFERROR(__xludf.DUMMYFUNCTION("""COMPUTED_VALUE"""),"Anh Nam")</f>
        <v>Anh Nam</v>
      </c>
      <c r="C2863" s="119" t="str">
        <f>IFERROR(__xludf.DUMMYFUNCTION("""COMPUTED_VALUE"""),"49 Tây Trì Nhơn")</f>
        <v>49 Tây Trì Nhơn</v>
      </c>
      <c r="D2863" s="119" t="str">
        <f>IFERROR(__xludf.DUMMYFUNCTION("""COMPUTED_VALUE"""),"chó")</f>
        <v>chó</v>
      </c>
      <c r="E2863" s="119" t="str">
        <f>IFERROR(__xludf.DUMMYFUNCTION("""COMPUTED_VALUE"""),"Bốc")</f>
        <v>Bốc</v>
      </c>
    </row>
    <row r="2864" ht="15.75" customHeight="1">
      <c r="A2864" s="122" t="str">
        <f>IFERROR(__xludf.DUMMYFUNCTION("""COMPUTED_VALUE"""),"0328 501 695")</f>
        <v>0328 501 695</v>
      </c>
      <c r="B2864" s="119" t="str">
        <f>IFERROR(__xludf.DUMMYFUNCTION("""COMPUTED_VALUE"""),"Em Nhung")</f>
        <v>Em Nhung</v>
      </c>
      <c r="C2864" s="119" t="str">
        <f>IFERROR(__xludf.DUMMYFUNCTION("""COMPUTED_VALUE"""),"33 An Dương Vương")</f>
        <v>33 An Dương Vương</v>
      </c>
      <c r="D2864" s="119" t="str">
        <f>IFERROR(__xludf.DUMMYFUNCTION("""COMPUTED_VALUE"""),"chó")</f>
        <v>chó</v>
      </c>
      <c r="E2864" s="119" t="str">
        <f>IFERROR(__xludf.DUMMYFUNCTION("""COMPUTED_VALUE"""),"Kem")</f>
        <v>Kem</v>
      </c>
    </row>
    <row r="2865" ht="15.75" customHeight="1">
      <c r="A2865" s="122" t="str">
        <f>IFERROR(__xludf.DUMMYFUNCTION("""COMPUTED_VALUE"""),"0772 545 972")</f>
        <v>0772 545 972</v>
      </c>
      <c r="B2865" s="119" t="str">
        <f>IFERROR(__xludf.DUMMYFUNCTION("""COMPUTED_VALUE"""),"Anh Công")</f>
        <v>Anh Công</v>
      </c>
      <c r="C2865" s="119" t="str">
        <f>IFERROR(__xludf.DUMMYFUNCTION("""COMPUTED_VALUE"""),"25 Trần Quang Phiệt")</f>
        <v>25 Trần Quang Phiệt</v>
      </c>
      <c r="D2865" s="119" t="str">
        <f>IFERROR(__xludf.DUMMYFUNCTION("""COMPUTED_VALUE"""),"chó")</f>
        <v>chó</v>
      </c>
      <c r="E2865" s="119"/>
    </row>
    <row r="2866" ht="15.75" customHeight="1">
      <c r="A2866" s="122" t="str">
        <f>IFERROR(__xludf.DUMMYFUNCTION("""COMPUTED_VALUE"""),"0935 143 159")</f>
        <v>0935 143 159</v>
      </c>
      <c r="B2866" s="119" t="str">
        <f>IFERROR(__xludf.DUMMYFUNCTION("""COMPUTED_VALUE"""),"Chị Hà")</f>
        <v>Chị Hà</v>
      </c>
      <c r="C2866" s="119" t="str">
        <f>IFERROR(__xludf.DUMMYFUNCTION("""COMPUTED_VALUE"""),"85/227 Phạm Văn Đồng")</f>
        <v>85/227 Phạm Văn Đồng</v>
      </c>
      <c r="D2866" s="119" t="str">
        <f>IFERROR(__xludf.DUMMYFUNCTION("""COMPUTED_VALUE"""),"mèo")</f>
        <v>mèo</v>
      </c>
      <c r="E2866" s="119" t="str">
        <f>IFERROR(__xludf.DUMMYFUNCTION("""COMPUTED_VALUE"""),"Miu")</f>
        <v>Miu</v>
      </c>
    </row>
    <row r="2867" ht="15.75" customHeight="1">
      <c r="A2867" s="122" t="str">
        <f>IFERROR(__xludf.DUMMYFUNCTION("""COMPUTED_VALUE"""),"0975 901 043")</f>
        <v>0975 901 043</v>
      </c>
      <c r="B2867" s="119" t="str">
        <f>IFERROR(__xludf.DUMMYFUNCTION("""COMPUTED_VALUE"""),"Chị Nhi")</f>
        <v>Chị Nhi</v>
      </c>
      <c r="C2867" s="119" t="str">
        <f>IFERROR(__xludf.DUMMYFUNCTION("""COMPUTED_VALUE"""),"Khu 6 Thiên Thai")</f>
        <v>Khu 6 Thiên Thai</v>
      </c>
      <c r="D2867" s="119" t="str">
        <f>IFERROR(__xludf.DUMMYFUNCTION("""COMPUTED_VALUE"""),"mèo")</f>
        <v>mèo</v>
      </c>
      <c r="E2867" s="119" t="str">
        <f>IFERROR(__xludf.DUMMYFUNCTION("""COMPUTED_VALUE"""),"Gạo")</f>
        <v>Gạo</v>
      </c>
    </row>
    <row r="2868" ht="15.75" customHeight="1">
      <c r="A2868" s="122" t="str">
        <f>IFERROR(__xludf.DUMMYFUNCTION("""COMPUTED_VALUE"""),"0931 486 823")</f>
        <v>0931 486 823</v>
      </c>
      <c r="B2868" s="119" t="str">
        <f>IFERROR(__xludf.DUMMYFUNCTION("""COMPUTED_VALUE"""),"Anh Đăng Khoa")</f>
        <v>Anh Đăng Khoa</v>
      </c>
      <c r="C2868" s="119" t="str">
        <f>IFERROR(__xludf.DUMMYFUNCTION("""COMPUTED_VALUE"""),"44 Nguyễn Công Trứ")</f>
        <v>44 Nguyễn Công Trứ</v>
      </c>
      <c r="D2868" s="119" t="str">
        <f>IFERROR(__xludf.DUMMYFUNCTION("""COMPUTED_VALUE"""),"chó")</f>
        <v>chó</v>
      </c>
      <c r="E2868" s="119" t="str">
        <f>IFERROR(__xludf.DUMMYFUNCTION("""COMPUTED_VALUE"""),"Tèo")</f>
        <v>Tèo</v>
      </c>
    </row>
    <row r="2869" ht="15.75" customHeight="1">
      <c r="A2869" s="122" t="str">
        <f>IFERROR(__xludf.DUMMYFUNCTION("""COMPUTED_VALUE"""),"0914 943 911")</f>
        <v>0914 943 911</v>
      </c>
      <c r="B2869" s="119" t="str">
        <f>IFERROR(__xludf.DUMMYFUNCTION("""COMPUTED_VALUE"""),"Trần Ngọc Minh")</f>
        <v>Trần Ngọc Minh</v>
      </c>
      <c r="C2869" s="119" t="str">
        <f>IFERROR(__xludf.DUMMYFUNCTION("""COMPUTED_VALUE"""),"Khu A chung cư Xuân Phú")</f>
        <v>Khu A chung cư Xuân Phú</v>
      </c>
      <c r="D2869" s="119" t="str">
        <f>IFERROR(__xludf.DUMMYFUNCTION("""COMPUTED_VALUE"""),"chó")</f>
        <v>chó</v>
      </c>
      <c r="E2869" s="119" t="str">
        <f>IFERROR(__xludf.DUMMYFUNCTION("""COMPUTED_VALUE"""),"Ki")</f>
        <v>Ki</v>
      </c>
    </row>
    <row r="2870" ht="15.75" customHeight="1">
      <c r="A2870" s="122" t="str">
        <f>IFERROR(__xludf.DUMMYFUNCTION("""COMPUTED_VALUE"""),"0935 934 802")</f>
        <v>0935 934 802</v>
      </c>
      <c r="B2870" s="119" t="str">
        <f>IFERROR(__xludf.DUMMYFUNCTION("""COMPUTED_VALUE"""),"Chị Trinh")</f>
        <v>Chị Trinh</v>
      </c>
      <c r="C2870" s="119" t="str">
        <f>IFERROR(__xludf.DUMMYFUNCTION("""COMPUTED_VALUE"""),"17 AN Ninh")</f>
        <v>17 AN Ninh</v>
      </c>
      <c r="D2870" s="119" t="str">
        <f>IFERROR(__xludf.DUMMYFUNCTION("""COMPUTED_VALUE"""),"chó")</f>
        <v>chó</v>
      </c>
      <c r="E2870" s="119" t="str">
        <f>IFERROR(__xludf.DUMMYFUNCTION("""COMPUTED_VALUE"""),"Xù")</f>
        <v>Xù</v>
      </c>
    </row>
    <row r="2871" ht="15.75" customHeight="1">
      <c r="A2871" s="122" t="str">
        <f>IFERROR(__xludf.DUMMYFUNCTION("""COMPUTED_VALUE"""),"0905 258 916")</f>
        <v>0905 258 916</v>
      </c>
      <c r="B2871" s="119" t="str">
        <f>IFERROR(__xludf.DUMMYFUNCTION("""COMPUTED_VALUE"""),"Chị Minh Thi")</f>
        <v>Chị Minh Thi</v>
      </c>
      <c r="C2871" s="119" t="str">
        <f>IFERROR(__xludf.DUMMYFUNCTION("""COMPUTED_VALUE"""),"78/6 Phạm Thị Liên")</f>
        <v>78/6 Phạm Thị Liên</v>
      </c>
      <c r="D2871" s="119" t="str">
        <f>IFERROR(__xludf.DUMMYFUNCTION("""COMPUTED_VALUE"""),"mèo")</f>
        <v>mèo</v>
      </c>
      <c r="E2871" s="119" t="str">
        <f>IFERROR(__xludf.DUMMYFUNCTION("""COMPUTED_VALUE"""),"Gạo")</f>
        <v>Gạo</v>
      </c>
    </row>
    <row r="2872" ht="15.75" customHeight="1">
      <c r="A2872" s="122" t="str">
        <f>IFERROR(__xludf.DUMMYFUNCTION("""COMPUTED_VALUE"""),"0948 741 168")</f>
        <v>0948 741 168</v>
      </c>
      <c r="B2872" s="119" t="str">
        <f>IFERROR(__xludf.DUMMYFUNCTION("""COMPUTED_VALUE"""),"Dì Nguyễn THị Yến Nga")</f>
        <v>Dì Nguyễn THị Yến Nga</v>
      </c>
      <c r="C2872" s="119" t="str">
        <f>IFERROR(__xludf.DUMMYFUNCTION("""COMPUTED_VALUE"""),"18/69 Phạm Thị Liên")</f>
        <v>18/69 Phạm Thị Liên</v>
      </c>
      <c r="D2872" s="119" t="str">
        <f>IFERROR(__xludf.DUMMYFUNCTION("""COMPUTED_VALUE"""),"chó")</f>
        <v>chó</v>
      </c>
      <c r="E2872" s="119" t="str">
        <f>IFERROR(__xludf.DUMMYFUNCTION("""COMPUTED_VALUE"""),"Lucky")</f>
        <v>Lucky</v>
      </c>
    </row>
    <row r="2873" ht="15.75" customHeight="1">
      <c r="A2873" s="122" t="str">
        <f>IFERROR(__xludf.DUMMYFUNCTION("""COMPUTED_VALUE"""),"0896 452 991")</f>
        <v>0896 452 991</v>
      </c>
      <c r="B2873" s="119" t="str">
        <f>IFERROR(__xludf.DUMMYFUNCTION("""COMPUTED_VALUE"""),"Chị Thi")</f>
        <v>Chị Thi</v>
      </c>
      <c r="C2873" s="119" t="str">
        <f>IFERROR(__xludf.DUMMYFUNCTION("""COMPUTED_VALUE"""),"104/17/4 Kim Long")</f>
        <v>104/17/4 Kim Long</v>
      </c>
      <c r="D2873" s="119" t="str">
        <f>IFERROR(__xludf.DUMMYFUNCTION("""COMPUTED_VALUE"""),"chó")</f>
        <v>chó</v>
      </c>
      <c r="E2873" s="119" t="str">
        <f>IFERROR(__xludf.DUMMYFUNCTION("""COMPUTED_VALUE"""),"Milu")</f>
        <v>Milu</v>
      </c>
    </row>
    <row r="2874" ht="15.75" customHeight="1">
      <c r="A2874" s="122" t="str">
        <f>IFERROR(__xludf.DUMMYFUNCTION("""COMPUTED_VALUE"""),"0336 545 627")</f>
        <v>0336 545 627</v>
      </c>
      <c r="B2874" s="119" t="str">
        <f>IFERROR(__xludf.DUMMYFUNCTION("""COMPUTED_VALUE"""),"Chị Tuyến")</f>
        <v>Chị Tuyến</v>
      </c>
      <c r="C2874" s="119" t="str">
        <f>IFERROR(__xludf.DUMMYFUNCTION("""COMPUTED_VALUE"""),"201 Phan Bội Châu")</f>
        <v>201 Phan Bội Châu</v>
      </c>
      <c r="D2874" s="119" t="str">
        <f>IFERROR(__xludf.DUMMYFUNCTION("""COMPUTED_VALUE""")," mèo")</f>
        <v> mèo</v>
      </c>
      <c r="E2874" s="119" t="str">
        <f>IFERROR(__xludf.DUMMYFUNCTION("""COMPUTED_VALUE""")," Bơ")</f>
        <v> Bơ</v>
      </c>
    </row>
    <row r="2875" ht="15.75" customHeight="1">
      <c r="A2875" s="122" t="str">
        <f>IFERROR(__xludf.DUMMYFUNCTION("""COMPUTED_VALUE"""),"0962 228 793")</f>
        <v>0962 228 793</v>
      </c>
      <c r="B2875" s="119" t="str">
        <f>IFERROR(__xludf.DUMMYFUNCTION("""COMPUTED_VALUE"""),"Phương Nhi")</f>
        <v>Phương Nhi</v>
      </c>
      <c r="C2875" s="119" t="str">
        <f>IFERROR(__xludf.DUMMYFUNCTION("""COMPUTED_VALUE"""),"39 Nguyễn Sinh Cung")</f>
        <v>39 Nguyễn Sinh Cung</v>
      </c>
      <c r="D2875" s="119" t="str">
        <f>IFERROR(__xludf.DUMMYFUNCTION("""COMPUTED_VALUE"""),"chó")</f>
        <v>chó</v>
      </c>
      <c r="E2875" s="119" t="str">
        <f>IFERROR(__xludf.DUMMYFUNCTION("""COMPUTED_VALUE"""),"Moy")</f>
        <v>Moy</v>
      </c>
    </row>
    <row r="2876" ht="15.75" customHeight="1">
      <c r="A2876" s="122" t="str">
        <f>IFERROR(__xludf.DUMMYFUNCTION("""COMPUTED_VALUE"""),"0778 568 198")</f>
        <v>0778 568 198</v>
      </c>
      <c r="B2876" s="119" t="str">
        <f>IFERROR(__xludf.DUMMYFUNCTION("""COMPUTED_VALUE"""),"Kim Anh")</f>
        <v>Kim Anh</v>
      </c>
      <c r="C2876" s="119" t="str">
        <f>IFERROR(__xludf.DUMMYFUNCTION("""COMPUTED_VALUE"""),"61/3 An Dương Vương")</f>
        <v>61/3 An Dương Vương</v>
      </c>
      <c r="D2876" s="119" t="str">
        <f>IFERROR(__xludf.DUMMYFUNCTION("""COMPUTED_VALUE"""),"chó")</f>
        <v>chó</v>
      </c>
      <c r="E2876" s="119" t="str">
        <f>IFERROR(__xludf.DUMMYFUNCTION("""COMPUTED_VALUE"""),"Ka")</f>
        <v>Ka</v>
      </c>
    </row>
    <row r="2877" ht="15.75" customHeight="1">
      <c r="A2877" s="122" t="str">
        <f>IFERROR(__xludf.DUMMYFUNCTION("""COMPUTED_VALUE"""),"0347 814 657")</f>
        <v>0347 814 657</v>
      </c>
      <c r="B2877" s="119" t="str">
        <f>IFERROR(__xludf.DUMMYFUNCTION("""COMPUTED_VALUE"""),"Anh Thiện")</f>
        <v>Anh Thiện</v>
      </c>
      <c r="C2877" s="119" t="str">
        <f>IFERROR(__xludf.DUMMYFUNCTION("""COMPUTED_VALUE"""),"Hương Sơ")</f>
        <v>Hương Sơ</v>
      </c>
      <c r="D2877" s="119" t="str">
        <f>IFERROR(__xludf.DUMMYFUNCTION("""COMPUTED_VALUE"""),"chó")</f>
        <v>chó</v>
      </c>
      <c r="E2877" s="119" t="str">
        <f>IFERROR(__xludf.DUMMYFUNCTION("""COMPUTED_VALUE"""),"Mực")</f>
        <v>Mực</v>
      </c>
    </row>
    <row r="2878" ht="15.75" customHeight="1">
      <c r="A2878" s="122" t="str">
        <f>IFERROR(__xludf.DUMMYFUNCTION("""COMPUTED_VALUE"""),"0903 505 161")</f>
        <v>0903 505 161</v>
      </c>
      <c r="B2878" s="119" t="str">
        <f>IFERROR(__xludf.DUMMYFUNCTION("""COMPUTED_VALUE"""),"Quỳnh Trâm")</f>
        <v>Quỳnh Trâm</v>
      </c>
      <c r="C2878" s="119" t="str">
        <f>IFERROR(__xludf.DUMMYFUNCTION("""COMPUTED_VALUE"""),"333 Phạm Văn Đồng")</f>
        <v>333 Phạm Văn Đồng</v>
      </c>
      <c r="D2878" s="119" t="str">
        <f>IFERROR(__xludf.DUMMYFUNCTION("""COMPUTED_VALUE"""),"mèo")</f>
        <v>mèo</v>
      </c>
      <c r="E2878" s="119" t="str">
        <f>IFERROR(__xludf.DUMMYFUNCTION("""COMPUTED_VALUE"""),"Lim")</f>
        <v>Lim</v>
      </c>
    </row>
    <row r="2879" ht="15.75" customHeight="1">
      <c r="A2879" s="122" t="str">
        <f>IFERROR(__xludf.DUMMYFUNCTION("""COMPUTED_VALUE"""),"0378 194 241")</f>
        <v>0378 194 241</v>
      </c>
      <c r="B2879" s="119" t="str">
        <f>IFERROR(__xludf.DUMMYFUNCTION("""COMPUTED_VALUE"""),"Em Quân")</f>
        <v>Em Quân</v>
      </c>
      <c r="C2879" s="119" t="str">
        <f>IFERROR(__xludf.DUMMYFUNCTION("""COMPUTED_VALUE"""),"62 Lịch Đợi")</f>
        <v>62 Lịch Đợi</v>
      </c>
      <c r="D2879" s="119" t="str">
        <f>IFERROR(__xludf.DUMMYFUNCTION("""COMPUTED_VALUE"""),"mèo")</f>
        <v>mèo</v>
      </c>
      <c r="E2879" s="119" t="str">
        <f>IFERROR(__xludf.DUMMYFUNCTION("""COMPUTED_VALUE"""),"Không tên")</f>
        <v>Không tên</v>
      </c>
    </row>
    <row r="2880" ht="15.75" customHeight="1">
      <c r="A2880" s="122" t="str">
        <f>IFERROR(__xludf.DUMMYFUNCTION("""COMPUTED_VALUE"""),"0762 929 848")</f>
        <v>0762 929 848</v>
      </c>
      <c r="B2880" s="119" t="str">
        <f>IFERROR(__xludf.DUMMYFUNCTION("""COMPUTED_VALUE"""),"Chị Lysa")</f>
        <v>Chị Lysa</v>
      </c>
      <c r="C2880" s="119" t="str">
        <f>IFERROR(__xludf.DUMMYFUNCTION("""COMPUTED_VALUE"""),"10/44 An Ninh")</f>
        <v>10/44 An Ninh</v>
      </c>
      <c r="D2880" s="119" t="str">
        <f>IFERROR(__xludf.DUMMYFUNCTION("""COMPUTED_VALUE"""),"Chó")</f>
        <v>Chó</v>
      </c>
      <c r="E2880" s="119" t="str">
        <f>IFERROR(__xludf.DUMMYFUNCTION("""COMPUTED_VALUE"""),"Emmy")</f>
        <v>Emmy</v>
      </c>
    </row>
    <row r="2881" ht="15.75" customHeight="1">
      <c r="A2881" s="122" t="str">
        <f>IFERROR(__xludf.DUMMYFUNCTION("""COMPUTED_VALUE"""),"0369 257 443")</f>
        <v>0369 257 443</v>
      </c>
      <c r="B2881" s="119" t="str">
        <f>IFERROR(__xludf.DUMMYFUNCTION("""COMPUTED_VALUE"""),"Anh Trường")</f>
        <v>Anh Trường</v>
      </c>
      <c r="C2881" s="119" t="str">
        <f>IFERROR(__xludf.DUMMYFUNCTION("""COMPUTED_VALUE"""),"131 Trần Phú")</f>
        <v>131 Trần Phú</v>
      </c>
      <c r="D2881" s="119" t="str">
        <f>IFERROR(__xludf.DUMMYFUNCTION("""COMPUTED_VALUE"""),"Chó")</f>
        <v>Chó</v>
      </c>
      <c r="E2881" s="119" t="str">
        <f>IFERROR(__xludf.DUMMYFUNCTION("""COMPUTED_VALUE"""),"Sủi")</f>
        <v>Sủi</v>
      </c>
    </row>
    <row r="2882" ht="15.75" customHeight="1">
      <c r="A2882" s="122" t="str">
        <f>IFERROR(__xludf.DUMMYFUNCTION("""COMPUTED_VALUE"""),"0916 804 764")</f>
        <v>0916 804 764</v>
      </c>
      <c r="B2882" s="119" t="str">
        <f>IFERROR(__xludf.DUMMYFUNCTION("""COMPUTED_VALUE"""),"Anh chung")</f>
        <v>Anh chung</v>
      </c>
      <c r="C2882" s="119" t="str">
        <f>IFERROR(__xludf.DUMMYFUNCTION("""COMPUTED_VALUE"""),"105 Cao Đình Độ")</f>
        <v>105 Cao Đình Độ</v>
      </c>
      <c r="D2882" s="119" t="str">
        <f>IFERROR(__xludf.DUMMYFUNCTION("""COMPUTED_VALUE"""),"Chó")</f>
        <v>Chó</v>
      </c>
      <c r="E2882" s="119" t="str">
        <f>IFERROR(__xludf.DUMMYFUNCTION("""COMPUTED_VALUE"""),"MI lô")</f>
        <v>MI lô</v>
      </c>
    </row>
    <row r="2883" ht="15.75" customHeight="1">
      <c r="A2883" s="122" t="str">
        <f>IFERROR(__xludf.DUMMYFUNCTION("""COMPUTED_VALUE"""),"0778 558 249")</f>
        <v>0778 558 249</v>
      </c>
      <c r="B2883" s="119" t="str">
        <f>IFERROR(__xludf.DUMMYFUNCTION("""COMPUTED_VALUE"""),"Anh Lực ")</f>
        <v>Anh Lực </v>
      </c>
      <c r="C2883" s="119" t="str">
        <f>IFERROR(__xludf.DUMMYFUNCTION("""COMPUTED_VALUE"""),"21 Lê Hồng Phong")</f>
        <v>21 Lê Hồng Phong</v>
      </c>
      <c r="D2883" s="119" t="str">
        <f>IFERROR(__xludf.DUMMYFUNCTION("""COMPUTED_VALUE"""),"Chó")</f>
        <v>Chó</v>
      </c>
      <c r="E2883" s="119" t="str">
        <f>IFERROR(__xludf.DUMMYFUNCTION("""COMPUTED_VALUE"""),"Milu")</f>
        <v>Milu</v>
      </c>
    </row>
    <row r="2884" ht="15.75" customHeight="1">
      <c r="A2884" s="122" t="str">
        <f>IFERROR(__xludf.DUMMYFUNCTION("""COMPUTED_VALUE"""),"0782 980 723")</f>
        <v>0782 980 723</v>
      </c>
      <c r="B2884" s="119" t="str">
        <f>IFERROR(__xludf.DUMMYFUNCTION("""COMPUTED_VALUE"""),"Anh Long")</f>
        <v>Anh Long</v>
      </c>
      <c r="C2884" s="119" t="str">
        <f>IFERROR(__xludf.DUMMYFUNCTION("""COMPUTED_VALUE"""),"184 Phan Chu Trinh")</f>
        <v>184 Phan Chu Trinh</v>
      </c>
      <c r="D2884" s="119" t="str">
        <f>IFERROR(__xludf.DUMMYFUNCTION("""COMPUTED_VALUE"""),"chó")</f>
        <v>chó</v>
      </c>
      <c r="E2884" s="119" t="str">
        <f>IFERROR(__xludf.DUMMYFUNCTION("""COMPUTED_VALUE"""),"Tom")</f>
        <v>Tom</v>
      </c>
    </row>
    <row r="2885" ht="15.75" customHeight="1">
      <c r="A2885" s="122" t="str">
        <f>IFERROR(__xludf.DUMMYFUNCTION("""COMPUTED_VALUE"""),"0935 989 209")</f>
        <v>0935 989 209</v>
      </c>
      <c r="B2885" s="119" t="str">
        <f>IFERROR(__xludf.DUMMYFUNCTION("""COMPUTED_VALUE"""),"Chị Linh")</f>
        <v>Chị Linh</v>
      </c>
      <c r="C2885" s="119" t="str">
        <f>IFERROR(__xludf.DUMMYFUNCTION("""COMPUTED_VALUE"""),"3/4 Nguyễn Phúc Nguyên")</f>
        <v>3/4 Nguyễn Phúc Nguyên</v>
      </c>
      <c r="D2885" s="119" t="str">
        <f>IFERROR(__xludf.DUMMYFUNCTION("""COMPUTED_VALUE"""),"Chó")</f>
        <v>Chó</v>
      </c>
      <c r="E2885" s="119" t="str">
        <f>IFERROR(__xludf.DUMMYFUNCTION("""COMPUTED_VALUE"""),"Rô")</f>
        <v>Rô</v>
      </c>
    </row>
    <row r="2886" ht="15.75" customHeight="1">
      <c r="A2886" s="122" t="str">
        <f>IFERROR(__xludf.DUMMYFUNCTION("""COMPUTED_VALUE"""),"0905 809 981")</f>
        <v>0905 809 981</v>
      </c>
      <c r="B2886" s="119" t="str">
        <f>IFERROR(__xludf.DUMMYFUNCTION("""COMPUTED_VALUE"""),"Dì Thủy")</f>
        <v>Dì Thủy</v>
      </c>
      <c r="C2886" s="119" t="str">
        <f>IFERROR(__xludf.DUMMYFUNCTION("""COMPUTED_VALUE"""),"227 Ngự Bình")</f>
        <v>227 Ngự Bình</v>
      </c>
      <c r="D2886" s="119" t="str">
        <f>IFERROR(__xludf.DUMMYFUNCTION("""COMPUTED_VALUE"""),"Chó")</f>
        <v>Chó</v>
      </c>
      <c r="E2886" s="119" t="str">
        <f>IFERROR(__xludf.DUMMYFUNCTION("""COMPUTED_VALUE"""),"Vàng")</f>
        <v>Vàng</v>
      </c>
    </row>
    <row r="2887" ht="15.75" customHeight="1">
      <c r="A2887" s="122" t="str">
        <f>IFERROR(__xludf.DUMMYFUNCTION("""COMPUTED_VALUE"""),"0372 787 356")</f>
        <v>0372 787 356</v>
      </c>
      <c r="B2887" s="119" t="str">
        <f>IFERROR(__xludf.DUMMYFUNCTION("""COMPUTED_VALUE"""),"Thao Học viên")</f>
        <v>Thao Học viên</v>
      </c>
      <c r="C2887" s="119" t="str">
        <f>IFERROR(__xludf.DUMMYFUNCTION("""COMPUTED_VALUE"""),"Quảng Nam")</f>
        <v>Quảng Nam</v>
      </c>
      <c r="D2887" s="119" t="str">
        <f>IFERROR(__xludf.DUMMYFUNCTION("""COMPUTED_VALUE"""),"chó")</f>
        <v>chó</v>
      </c>
      <c r="E2887" s="119" t="str">
        <f>IFERROR(__xludf.DUMMYFUNCTION("""COMPUTED_VALUE"""),"Milo")</f>
        <v>Milo</v>
      </c>
    </row>
    <row r="2888" ht="15.75" customHeight="1">
      <c r="A2888" s="122" t="str">
        <f>IFERROR(__xludf.DUMMYFUNCTION("""COMPUTED_VALUE"""),"0961 304 817")</f>
        <v>0961 304 817</v>
      </c>
      <c r="B2888" s="119" t="str">
        <f>IFERROR(__xludf.DUMMYFUNCTION("""COMPUTED_VALUE"""),"Chị Phương")</f>
        <v>Chị Phương</v>
      </c>
      <c r="C2888" s="119" t="str">
        <f>IFERROR(__xludf.DUMMYFUNCTION("""COMPUTED_VALUE"""),"60/131 Trần Phú")</f>
        <v>60/131 Trần Phú</v>
      </c>
      <c r="D2888" s="119" t="str">
        <f>IFERROR(__xludf.DUMMYFUNCTION("""COMPUTED_VALUE"""),"Mèo")</f>
        <v>Mèo</v>
      </c>
      <c r="E2888" s="119" t="str">
        <f>IFERROR(__xludf.DUMMYFUNCTION("""COMPUTED_VALUE"""),"to - nhỏ")</f>
        <v>to - nhỏ</v>
      </c>
    </row>
    <row r="2889" ht="15.75" customHeight="1">
      <c r="A2889" s="122" t="str">
        <f>IFERROR(__xludf.DUMMYFUNCTION("""COMPUTED_VALUE"""),"0905 217 963")</f>
        <v>0905 217 963</v>
      </c>
      <c r="B2889" s="119" t="str">
        <f>IFERROR(__xludf.DUMMYFUNCTION("""COMPUTED_VALUE"""),"Dì Thúy Hồng")</f>
        <v>Dì Thúy Hồng</v>
      </c>
      <c r="C2889" s="119" t="str">
        <f>IFERROR(__xludf.DUMMYFUNCTION("""COMPUTED_VALUE"""),"419 Bùi Thị Xuân")</f>
        <v>419 Bùi Thị Xuân</v>
      </c>
      <c r="D2889" s="119" t="str">
        <f>IFERROR(__xludf.DUMMYFUNCTION("""COMPUTED_VALUE"""),"chó ")</f>
        <v>chó </v>
      </c>
      <c r="E2889" s="119" t="str">
        <f>IFERROR(__xludf.DUMMYFUNCTION("""COMPUTED_VALUE"""),"Tom")</f>
        <v>Tom</v>
      </c>
    </row>
    <row r="2890" ht="15.75" customHeight="1">
      <c r="A2890" s="122" t="str">
        <f>IFERROR(__xludf.DUMMYFUNCTION("""COMPUTED_VALUE"""),"0919 493 625")</f>
        <v>0919 493 625</v>
      </c>
      <c r="B2890" s="119" t="str">
        <f>IFERROR(__xludf.DUMMYFUNCTION("""COMPUTED_VALUE"""),"Chị Trang")</f>
        <v>Chị Trang</v>
      </c>
      <c r="C2890" s="119" t="str">
        <f>IFERROR(__xludf.DUMMYFUNCTION("""COMPUTED_VALUE"""),"Kim Long")</f>
        <v>Kim Long</v>
      </c>
      <c r="D2890" s="119" t="str">
        <f>IFERROR(__xludf.DUMMYFUNCTION("""COMPUTED_VALUE"""),"chó")</f>
        <v>chó</v>
      </c>
      <c r="E2890" s="119" t="str">
        <f>IFERROR(__xludf.DUMMYFUNCTION("""COMPUTED_VALUE"""),"LUcky")</f>
        <v>LUcky</v>
      </c>
    </row>
    <row r="2891" ht="15.75" customHeight="1">
      <c r="A2891" s="122" t="str">
        <f>IFERROR(__xludf.DUMMYFUNCTION("""COMPUTED_VALUE"""),"0836 019 545")</f>
        <v>0836 019 545</v>
      </c>
      <c r="B2891" s="119" t="str">
        <f>IFERROR(__xludf.DUMMYFUNCTION("""COMPUTED_VALUE"""),"Chú Dũng")</f>
        <v>Chú Dũng</v>
      </c>
      <c r="C2891" s="119" t="str">
        <f>IFERROR(__xludf.DUMMYFUNCTION("""COMPUTED_VALUE"""),"15 Lương Quán")</f>
        <v>15 Lương Quán</v>
      </c>
      <c r="D2891" s="119" t="str">
        <f>IFERROR(__xludf.DUMMYFUNCTION("""COMPUTED_VALUE"""),"Chó")</f>
        <v>Chó</v>
      </c>
      <c r="E2891" s="119" t="str">
        <f>IFERROR(__xludf.DUMMYFUNCTION("""COMPUTED_VALUE"""),"Bun")</f>
        <v>Bun</v>
      </c>
    </row>
    <row r="2892" ht="15.75" customHeight="1">
      <c r="A2892" s="122" t="str">
        <f>IFERROR(__xludf.DUMMYFUNCTION("""COMPUTED_VALUE"""),"0364 807 556")</f>
        <v>0364 807 556</v>
      </c>
      <c r="B2892" s="119" t="str">
        <f>IFERROR(__xludf.DUMMYFUNCTION("""COMPUTED_VALUE"""),"ANh Thịnh")</f>
        <v>ANh Thịnh</v>
      </c>
      <c r="C2892" s="119" t="str">
        <f>IFERROR(__xludf.DUMMYFUNCTION("""COMPUTED_VALUE"""),"19 La Sơn Phu Tử")</f>
        <v>19 La Sơn Phu Tử</v>
      </c>
      <c r="D2892" s="119" t="str">
        <f>IFERROR(__xludf.DUMMYFUNCTION("""COMPUTED_VALUE"""),"chó")</f>
        <v>chó</v>
      </c>
      <c r="E2892" s="119" t="str">
        <f>IFERROR(__xludf.DUMMYFUNCTION("""COMPUTED_VALUE"""),"Chun")</f>
        <v>Chun</v>
      </c>
    </row>
    <row r="2893" ht="15.75" customHeight="1">
      <c r="A2893" s="122" t="str">
        <f>IFERROR(__xludf.DUMMYFUNCTION("""COMPUTED_VALUE"""),"0934 674 616")</f>
        <v>0934 674 616</v>
      </c>
      <c r="B2893" s="119" t="str">
        <f>IFERROR(__xludf.DUMMYFUNCTION("""COMPUTED_VALUE"""),"Trần Thị Ngọc Hân")</f>
        <v>Trần Thị Ngọc Hân</v>
      </c>
      <c r="C2893" s="119" t="str">
        <f>IFERROR(__xludf.DUMMYFUNCTION("""COMPUTED_VALUE"""),"16/28 Phạm Thị Liên")</f>
        <v>16/28 Phạm Thị Liên</v>
      </c>
      <c r="D2893" s="119" t="str">
        <f>IFERROR(__xludf.DUMMYFUNCTION("""COMPUTED_VALUE"""),"mèo")</f>
        <v>mèo</v>
      </c>
      <c r="E2893" s="119" t="str">
        <f>IFERROR(__xludf.DUMMYFUNCTION("""COMPUTED_VALUE"""),"Gấu")</f>
        <v>Gấu</v>
      </c>
    </row>
    <row r="2894" ht="15.75" customHeight="1">
      <c r="A2894" s="122" t="str">
        <f>IFERROR(__xludf.DUMMYFUNCTION("""COMPUTED_VALUE"""),"0703 586 818")</f>
        <v>0703 586 818</v>
      </c>
      <c r="B2894" s="119" t="str">
        <f>IFERROR(__xludf.DUMMYFUNCTION("""COMPUTED_VALUE"""),"Chị Thùy Trinh")</f>
        <v>Chị Thùy Trinh</v>
      </c>
      <c r="C2894" s="119" t="str">
        <f>IFERROR(__xludf.DUMMYFUNCTION("""COMPUTED_VALUE"""),"Chùa Huyền Không")</f>
        <v>Chùa Huyền Không</v>
      </c>
      <c r="D2894" s="119" t="str">
        <f>IFERROR(__xludf.DUMMYFUNCTION("""COMPUTED_VALUE"""),"chó")</f>
        <v>chó</v>
      </c>
      <c r="E2894" s="119" t="str">
        <f>IFERROR(__xludf.DUMMYFUNCTION("""COMPUTED_VALUE"""),"Lina")</f>
        <v>Lina</v>
      </c>
    </row>
    <row r="2895" ht="15.75" customHeight="1">
      <c r="A2895" s="122" t="str">
        <f>IFERROR(__xludf.DUMMYFUNCTION("""COMPUTED_VALUE"""),"0903 570 168")</f>
        <v>0903 570 168</v>
      </c>
      <c r="B2895" s="119" t="str">
        <f>IFERROR(__xludf.DUMMYFUNCTION("""COMPUTED_VALUE"""),"chú Hoàng ANh")</f>
        <v>chú Hoàng ANh</v>
      </c>
      <c r="C2895" s="119" t="str">
        <f>IFERROR(__xludf.DUMMYFUNCTION("""COMPUTED_VALUE"""),"Lô E45 KQH Hương Long")</f>
        <v>Lô E45 KQH Hương Long</v>
      </c>
      <c r="D2895" s="119" t="str">
        <f>IFERROR(__xludf.DUMMYFUNCTION("""COMPUTED_VALUE"""),"chó")</f>
        <v>chó</v>
      </c>
      <c r="E2895" s="119" t="str">
        <f>IFERROR(__xludf.DUMMYFUNCTION("""COMPUTED_VALUE"""),"Ben")</f>
        <v>Ben</v>
      </c>
    </row>
    <row r="2896" ht="15.75" customHeight="1">
      <c r="A2896" s="122" t="str">
        <f>IFERROR(__xludf.DUMMYFUNCTION("""COMPUTED_VALUE"""),"0914 550 408")</f>
        <v>0914 550 408</v>
      </c>
      <c r="B2896" s="119" t="str">
        <f>IFERROR(__xludf.DUMMYFUNCTION("""COMPUTED_VALUE"""),"Chị Tâm")</f>
        <v>Chị Tâm</v>
      </c>
      <c r="C2896" s="119" t="str">
        <f>IFERROR(__xludf.DUMMYFUNCTION("""COMPUTED_VALUE"""),"26 Phú Mộng")</f>
        <v>26 Phú Mộng</v>
      </c>
      <c r="D2896" s="119" t="str">
        <f>IFERROR(__xludf.DUMMYFUNCTION("""COMPUTED_VALUE"""),"chó")</f>
        <v>chó</v>
      </c>
      <c r="E2896" s="119" t="str">
        <f>IFERROR(__xludf.DUMMYFUNCTION("""COMPUTED_VALUE"""),"Mú")</f>
        <v>Mú</v>
      </c>
    </row>
    <row r="2897" ht="15.75" customHeight="1">
      <c r="A2897" s="122" t="str">
        <f>IFERROR(__xludf.DUMMYFUNCTION("""COMPUTED_VALUE"""),"0986 621 665")</f>
        <v>0986 621 665</v>
      </c>
      <c r="B2897" s="119" t="str">
        <f>IFERROR(__xludf.DUMMYFUNCTION("""COMPUTED_VALUE"""),"Chị Kiều ANh")</f>
        <v>Chị Kiều ANh</v>
      </c>
      <c r="C2897" s="119" t="str">
        <f>IFERROR(__xludf.DUMMYFUNCTION("""COMPUTED_VALUE"""),"22/4/9 Phú Mộng")</f>
        <v>22/4/9 Phú Mộng</v>
      </c>
      <c r="D2897" s="119" t="str">
        <f>IFERROR(__xludf.DUMMYFUNCTION("""COMPUTED_VALUE"""),"chó")</f>
        <v>chó</v>
      </c>
      <c r="E2897" s="119" t="str">
        <f>IFERROR(__xludf.DUMMYFUNCTION("""COMPUTED_VALUE"""),"Nhóc")</f>
        <v>Nhóc</v>
      </c>
    </row>
    <row r="2898" ht="15.75" customHeight="1">
      <c r="A2898" s="122" t="str">
        <f>IFERROR(__xludf.DUMMYFUNCTION("""COMPUTED_VALUE"""),"0976 324 707")</f>
        <v>0976 324 707</v>
      </c>
      <c r="B2898" s="119" t="str">
        <f>IFERROR(__xludf.DUMMYFUNCTION("""COMPUTED_VALUE"""),"Chị Trinh")</f>
        <v>Chị Trinh</v>
      </c>
      <c r="C2898" s="119" t="str">
        <f>IFERROR(__xludf.DUMMYFUNCTION("""COMPUTED_VALUE"""),"73 Thích Tịnh Khiết")</f>
        <v>73 Thích Tịnh Khiết</v>
      </c>
      <c r="D2898" s="119" t="str">
        <f>IFERROR(__xludf.DUMMYFUNCTION("""COMPUTED_VALUE"""),"chó")</f>
        <v>chó</v>
      </c>
      <c r="E2898" s="119" t="str">
        <f>IFERROR(__xludf.DUMMYFUNCTION("""COMPUTED_VALUE"""),"Báo")</f>
        <v>Báo</v>
      </c>
    </row>
    <row r="2899" ht="15.75" customHeight="1">
      <c r="A2899" s="122" t="str">
        <f>IFERROR(__xludf.DUMMYFUNCTION("""COMPUTED_VALUE"""),"0332 895 252")</f>
        <v>0332 895 252</v>
      </c>
      <c r="B2899" s="119" t="str">
        <f>IFERROR(__xludf.DUMMYFUNCTION("""COMPUTED_VALUE"""),"Anh Hùng")</f>
        <v>Anh Hùng</v>
      </c>
      <c r="C2899" s="119" t="str">
        <f>IFERROR(__xludf.DUMMYFUNCTION("""COMPUTED_VALUE"""),"6/80 Bửu Đình")</f>
        <v>6/80 Bửu Đình</v>
      </c>
      <c r="D2899" s="119" t="str">
        <f>IFERROR(__xludf.DUMMYFUNCTION("""COMPUTED_VALUE"""),"chó")</f>
        <v>chó</v>
      </c>
      <c r="E2899" s="119" t="str">
        <f>IFERROR(__xludf.DUMMYFUNCTION("""COMPUTED_VALUE"""),"Ky")</f>
        <v>Ky</v>
      </c>
    </row>
    <row r="2900" ht="15.75" customHeight="1">
      <c r="A2900" s="122" t="str">
        <f>IFERROR(__xludf.DUMMYFUNCTION("""COMPUTED_VALUE"""),"0935 438 133")</f>
        <v>0935 438 133</v>
      </c>
      <c r="B2900" s="119" t="str">
        <f>IFERROR(__xludf.DUMMYFUNCTION("""COMPUTED_VALUE"""),"Dì Kim Anh")</f>
        <v>Dì Kim Anh</v>
      </c>
      <c r="C2900" s="119" t="str">
        <f>IFERROR(__xludf.DUMMYFUNCTION("""COMPUTED_VALUE"""),"Hương An")</f>
        <v>Hương An</v>
      </c>
      <c r="D2900" s="119" t="str">
        <f>IFERROR(__xludf.DUMMYFUNCTION("""COMPUTED_VALUE"""),"chó")</f>
        <v>chó</v>
      </c>
      <c r="E2900" s="119"/>
    </row>
    <row r="2901" ht="15.75" customHeight="1">
      <c r="A2901" s="122" t="str">
        <f>IFERROR(__xludf.DUMMYFUNCTION("""COMPUTED_VALUE"""),"0702 300 230")</f>
        <v>0702 300 230</v>
      </c>
      <c r="B2901" s="119" t="str">
        <f>IFERROR(__xludf.DUMMYFUNCTION("""COMPUTED_VALUE"""),"Trà My")</f>
        <v>Trà My</v>
      </c>
      <c r="C2901" s="119" t="str">
        <f>IFERROR(__xludf.DUMMYFUNCTION("""COMPUTED_VALUE"""),"Dương Thiệu Tước")</f>
        <v>Dương Thiệu Tước</v>
      </c>
      <c r="D2901" s="119" t="str">
        <f>IFERROR(__xludf.DUMMYFUNCTION("""COMPUTED_VALUE"""),"chó")</f>
        <v>chó</v>
      </c>
      <c r="E2901" s="119" t="str">
        <f>IFERROR(__xludf.DUMMYFUNCTION("""COMPUTED_VALUE"""),"Bư")</f>
        <v>Bư</v>
      </c>
    </row>
    <row r="2902" ht="15.75" customHeight="1">
      <c r="A2902" s="122" t="str">
        <f>IFERROR(__xludf.DUMMYFUNCTION("""COMPUTED_VALUE"""),"0837 648 194")</f>
        <v>0837 648 194</v>
      </c>
      <c r="B2902" s="119" t="str">
        <f>IFERROR(__xludf.DUMMYFUNCTION("""COMPUTED_VALUE"""),"Chị Tâm Giao")</f>
        <v>Chị Tâm Giao</v>
      </c>
      <c r="C2902" s="119" t="str">
        <f>IFERROR(__xludf.DUMMYFUNCTION("""COMPUTED_VALUE"""),"Quảng Điền")</f>
        <v>Quảng Điền</v>
      </c>
      <c r="D2902" s="119" t="str">
        <f>IFERROR(__xludf.DUMMYFUNCTION("""COMPUTED_VALUE"""),"mèo")</f>
        <v>mèo</v>
      </c>
      <c r="E2902" s="119" t="str">
        <f>IFERROR(__xludf.DUMMYFUNCTION("""COMPUTED_VALUE"""),"Mão")</f>
        <v>Mão</v>
      </c>
    </row>
    <row r="2903" ht="15.75" customHeight="1">
      <c r="A2903" s="122" t="str">
        <f>IFERROR(__xludf.DUMMYFUNCTION("""COMPUTED_VALUE"""),"0779 502 501")</f>
        <v>0779 502 501</v>
      </c>
      <c r="B2903" s="119" t="str">
        <f>IFERROR(__xludf.DUMMYFUNCTION("""COMPUTED_VALUE"""),"Dì Hà")</f>
        <v>Dì Hà</v>
      </c>
      <c r="C2903" s="119" t="str">
        <f>IFERROR(__xludf.DUMMYFUNCTION("""COMPUTED_VALUE"""),"E37 Khu Tái Định Cư Hương Long")</f>
        <v>E37 Khu Tái Định Cư Hương Long</v>
      </c>
      <c r="D2903" s="119" t="str">
        <f>IFERROR(__xludf.DUMMYFUNCTION("""COMPUTED_VALUE"""),"chó")</f>
        <v>chó</v>
      </c>
      <c r="E2903" s="119" t="str">
        <f>IFERROR(__xludf.DUMMYFUNCTION("""COMPUTED_VALUE"""),"Red")</f>
        <v>Red</v>
      </c>
    </row>
    <row r="2904" ht="15.75" customHeight="1">
      <c r="A2904" s="122" t="str">
        <f>IFERROR(__xludf.DUMMYFUNCTION("""COMPUTED_VALUE"""),"0905 746 352")</f>
        <v>0905 746 352</v>
      </c>
      <c r="B2904" s="119" t="str">
        <f>IFERROR(__xludf.DUMMYFUNCTION("""COMPUTED_VALUE"""),"Anh Tư")</f>
        <v>Anh Tư</v>
      </c>
      <c r="C2904" s="119" t="str">
        <f>IFERROR(__xludf.DUMMYFUNCTION("""COMPUTED_VALUE"""),"19 Nguyễn Thiện Thuật")</f>
        <v>19 Nguyễn Thiện Thuật</v>
      </c>
      <c r="D2904" s="119" t="str">
        <f>IFERROR(__xludf.DUMMYFUNCTION("""COMPUTED_VALUE"""),"chó")</f>
        <v>chó</v>
      </c>
      <c r="E2904" s="119" t="str">
        <f>IFERROR(__xludf.DUMMYFUNCTION("""COMPUTED_VALUE"""),"Su")</f>
        <v>Su</v>
      </c>
    </row>
    <row r="2905" ht="15.75" customHeight="1">
      <c r="A2905" s="122" t="str">
        <f>IFERROR(__xludf.DUMMYFUNCTION("""COMPUTED_VALUE"""),"0797 888 258")</f>
        <v>0797 888 258</v>
      </c>
      <c r="B2905" s="119" t="str">
        <f>IFERROR(__xludf.DUMMYFUNCTION("""COMPUTED_VALUE"""),"Cô Thanh Trí")</f>
        <v>Cô Thanh Trí</v>
      </c>
      <c r="C2905" s="119" t="str">
        <f>IFERROR(__xludf.DUMMYFUNCTION("""COMPUTED_VALUE"""),"chùa Phước Duyên")</f>
        <v>chùa Phước Duyên</v>
      </c>
      <c r="D2905" s="119" t="str">
        <f>IFERROR(__xludf.DUMMYFUNCTION("""COMPUTED_VALUE"""),"mèo")</f>
        <v>mèo</v>
      </c>
      <c r="E2905" s="119" t="str">
        <f>IFERROR(__xludf.DUMMYFUNCTION("""COMPUTED_VALUE"""),"Bụi")</f>
        <v>Bụi</v>
      </c>
    </row>
    <row r="2906" ht="15.75" customHeight="1">
      <c r="A2906" s="122" t="str">
        <f>IFERROR(__xludf.DUMMYFUNCTION("""COMPUTED_VALUE"""),"0943 693 990")</f>
        <v>0943 693 990</v>
      </c>
      <c r="B2906" s="119" t="str">
        <f>IFERROR(__xludf.DUMMYFUNCTION("""COMPUTED_VALUE"""),"Đặng Thị Như Ý")</f>
        <v>Đặng Thị Như Ý</v>
      </c>
      <c r="C2906" s="119" t="str">
        <f>IFERROR(__xludf.DUMMYFUNCTION("""COMPUTED_VALUE"""),"1/243 Phan Bội Châu")</f>
        <v>1/243 Phan Bội Châu</v>
      </c>
      <c r="D2906" s="119" t="str">
        <f>IFERROR(__xludf.DUMMYFUNCTION("""COMPUTED_VALUE"""),"Mèo")</f>
        <v>Mèo</v>
      </c>
      <c r="E2906" s="119" t="str">
        <f>IFERROR(__xludf.DUMMYFUNCTION("""COMPUTED_VALUE"""),"Xám")</f>
        <v>Xám</v>
      </c>
    </row>
    <row r="2907" ht="15.75" customHeight="1">
      <c r="A2907" s="122" t="str">
        <f>IFERROR(__xludf.DUMMYFUNCTION("""COMPUTED_VALUE"""),"0935 055 075")</f>
        <v>0935 055 075</v>
      </c>
      <c r="B2907" s="119" t="str">
        <f>IFERROR(__xludf.DUMMYFUNCTION("""COMPUTED_VALUE"""),"Anh Sơn")</f>
        <v>Anh Sơn</v>
      </c>
      <c r="C2907" s="119" t="str">
        <f>IFERROR(__xludf.DUMMYFUNCTION("""COMPUTED_VALUE"""),"39 Nguyễn Hoàng")</f>
        <v>39 Nguyễn Hoàng</v>
      </c>
      <c r="D2907" s="119" t="str">
        <f>IFERROR(__xludf.DUMMYFUNCTION("""COMPUTED_VALUE"""),"chó")</f>
        <v>chó</v>
      </c>
      <c r="E2907" s="119"/>
    </row>
    <row r="2908" ht="15.75" customHeight="1">
      <c r="A2908" s="122" t="str">
        <f>IFERROR(__xludf.DUMMYFUNCTION("""COMPUTED_VALUE"""),"0935 292 158")</f>
        <v>0935 292 158</v>
      </c>
      <c r="B2908" s="119" t="str">
        <f>IFERROR(__xludf.DUMMYFUNCTION("""COMPUTED_VALUE"""),"Trà My")</f>
        <v>Trà My</v>
      </c>
      <c r="C2908" s="119" t="str">
        <f>IFERROR(__xludf.DUMMYFUNCTION("""COMPUTED_VALUE"""),"116 Phạm Thị Liên")</f>
        <v>116 Phạm Thị Liên</v>
      </c>
      <c r="D2908" s="119" t="str">
        <f>IFERROR(__xludf.DUMMYFUNCTION("""COMPUTED_VALUE"""),"Chó ")</f>
        <v>Chó </v>
      </c>
      <c r="E2908" s="119" t="str">
        <f>IFERROR(__xludf.DUMMYFUNCTION("""COMPUTED_VALUE"""),"Lucky")</f>
        <v>Lucky</v>
      </c>
    </row>
    <row r="2909" ht="15.75" customHeight="1">
      <c r="A2909" s="122" t="str">
        <f>IFERROR(__xludf.DUMMYFUNCTION("""COMPUTED_VALUE"""),"0935 399 309")</f>
        <v>0935 399 309</v>
      </c>
      <c r="B2909" s="119" t="str">
        <f>IFERROR(__xludf.DUMMYFUNCTION("""COMPUTED_VALUE"""),"Nguyễn Sỹ Hưng")</f>
        <v>Nguyễn Sỹ Hưng</v>
      </c>
      <c r="C2909" s="119" t="str">
        <f>IFERROR(__xludf.DUMMYFUNCTION("""COMPUTED_VALUE"""),"17 Đặng Chiêm")</f>
        <v>17 Đặng Chiêm</v>
      </c>
      <c r="D2909" s="119" t="str">
        <f>IFERROR(__xludf.DUMMYFUNCTION("""COMPUTED_VALUE"""),"mèo")</f>
        <v>mèo</v>
      </c>
      <c r="E2909" s="119" t="str">
        <f>IFERROR(__xludf.DUMMYFUNCTION("""COMPUTED_VALUE"""),"Mimi")</f>
        <v>Mimi</v>
      </c>
    </row>
    <row r="2910" ht="15.75" customHeight="1">
      <c r="A2910" s="122" t="str">
        <f>IFERROR(__xludf.DUMMYFUNCTION("""COMPUTED_VALUE"""),"0987 416 151")</f>
        <v>0987 416 151</v>
      </c>
      <c r="B2910" s="119" t="str">
        <f>IFERROR(__xludf.DUMMYFUNCTION("""COMPUTED_VALUE"""),"Chị Mai")</f>
        <v>Chị Mai</v>
      </c>
      <c r="C2910" s="119" t="str">
        <f>IFERROR(__xludf.DUMMYFUNCTION("""COMPUTED_VALUE"""),"3/8/79 Phạm Thị Liên")</f>
        <v>3/8/79 Phạm Thị Liên</v>
      </c>
      <c r="D2910" s="119" t="str">
        <f>IFERROR(__xludf.DUMMYFUNCTION("""COMPUTED_VALUE"""),"chó")</f>
        <v>chó</v>
      </c>
      <c r="E2910" s="119" t="str">
        <f>IFERROR(__xludf.DUMMYFUNCTION("""COMPUTED_VALUE"""),"Pi")</f>
        <v>Pi</v>
      </c>
    </row>
    <row r="2911" ht="15.75" customHeight="1">
      <c r="A2911" s="122" t="str">
        <f>IFERROR(__xludf.DUMMYFUNCTION("""COMPUTED_VALUE"""),"0702 457 243")</f>
        <v>0702 457 243</v>
      </c>
      <c r="B2911" s="119" t="str">
        <f>IFERROR(__xludf.DUMMYFUNCTION("""COMPUTED_VALUE"""),"Chị Hằng")</f>
        <v>Chị Hằng</v>
      </c>
      <c r="C2911" s="119"/>
      <c r="D2911" s="119" t="str">
        <f>IFERROR(__xludf.DUMMYFUNCTION("""COMPUTED_VALUE"""),"Chó ")</f>
        <v>Chó </v>
      </c>
      <c r="E2911" s="119" t="str">
        <f>IFERROR(__xludf.DUMMYFUNCTION("""COMPUTED_VALUE"""),"Lu")</f>
        <v>Lu</v>
      </c>
    </row>
    <row r="2912" ht="15.75" customHeight="1">
      <c r="A2912" s="122" t="str">
        <f>IFERROR(__xludf.DUMMYFUNCTION("""COMPUTED_VALUE"""),"0858 397 773")</f>
        <v>0858 397 773</v>
      </c>
      <c r="B2912" s="119" t="str">
        <f>IFERROR(__xludf.DUMMYFUNCTION("""COMPUTED_VALUE"""),"Anh Thắng")</f>
        <v>Anh Thắng</v>
      </c>
      <c r="C2912" s="119" t="str">
        <f>IFERROR(__xludf.DUMMYFUNCTION("""COMPUTED_VALUE"""),"157/1 Bà Triệu")</f>
        <v>157/1 Bà Triệu</v>
      </c>
      <c r="D2912" s="119" t="str">
        <f>IFERROR(__xludf.DUMMYFUNCTION("""COMPUTED_VALUE"""),"chó")</f>
        <v>chó</v>
      </c>
      <c r="E2912" s="119"/>
    </row>
    <row r="2913" ht="15.75" customHeight="1">
      <c r="A2913" s="122" t="str">
        <f>IFERROR(__xludf.DUMMYFUNCTION("""COMPUTED_VALUE"""),"0906 550 659")</f>
        <v>0906 550 659</v>
      </c>
      <c r="B2913" s="119" t="str">
        <f>IFERROR(__xludf.DUMMYFUNCTION("""COMPUTED_VALUE"""),"Chú Vĩnh")</f>
        <v>Chú Vĩnh</v>
      </c>
      <c r="C2913" s="119" t="str">
        <f>IFERROR(__xludf.DUMMYFUNCTION("""COMPUTED_VALUE"""),"7/66 An Ninh")</f>
        <v>7/66 An Ninh</v>
      </c>
      <c r="D2913" s="119" t="str">
        <f>IFERROR(__xludf.DUMMYFUNCTION("""COMPUTED_VALUE"""),"chó")</f>
        <v>chó</v>
      </c>
      <c r="E2913" s="119"/>
    </row>
    <row r="2914" ht="15.75" customHeight="1">
      <c r="A2914" s="122" t="str">
        <f>IFERROR(__xludf.DUMMYFUNCTION("""COMPUTED_VALUE"""),"0326 875 570")</f>
        <v>0326 875 570</v>
      </c>
      <c r="B2914" s="119" t="str">
        <f>IFERROR(__xludf.DUMMYFUNCTION("""COMPUTED_VALUE"""),"Bà Vinh")</f>
        <v>Bà Vinh</v>
      </c>
      <c r="C2914" s="119" t="str">
        <f>IFERROR(__xludf.DUMMYFUNCTION("""COMPUTED_VALUE"""),"Chùa Huyền Không")</f>
        <v>Chùa Huyền Không</v>
      </c>
      <c r="D2914" s="119" t="str">
        <f>IFERROR(__xludf.DUMMYFUNCTION("""COMPUTED_VALUE"""),"mèo")</f>
        <v>mèo</v>
      </c>
      <c r="E2914" s="119"/>
    </row>
    <row r="2915" ht="15.75" customHeight="1">
      <c r="A2915" s="122" t="str">
        <f>IFERROR(__xludf.DUMMYFUNCTION("""COMPUTED_VALUE"""),"0354 766 861")</f>
        <v>0354 766 861</v>
      </c>
      <c r="B2915" s="119" t="str">
        <f>IFERROR(__xludf.DUMMYFUNCTION("""COMPUTED_VALUE"""),"Cao Hữu Hoàng")</f>
        <v>Cao Hữu Hoàng</v>
      </c>
      <c r="C2915" s="119" t="str">
        <f>IFERROR(__xludf.DUMMYFUNCTION("""COMPUTED_VALUE""")," 56/131 Trần Phú")</f>
        <v> 56/131 Trần Phú</v>
      </c>
      <c r="D2915" s="119" t="str">
        <f>IFERROR(__xludf.DUMMYFUNCTION("""COMPUTED_VALUE"""),"chó")</f>
        <v>chó</v>
      </c>
      <c r="E2915" s="119" t="str">
        <f>IFERROR(__xludf.DUMMYFUNCTION("""COMPUTED_VALUE""")," Lu")</f>
        <v> Lu</v>
      </c>
    </row>
    <row r="2916" ht="15.75" customHeight="1">
      <c r="A2916" s="122" t="str">
        <f>IFERROR(__xludf.DUMMYFUNCTION("""COMPUTED_VALUE"""),"0901 528 336")</f>
        <v>0901 528 336</v>
      </c>
      <c r="B2916" s="119" t="str">
        <f>IFERROR(__xludf.DUMMYFUNCTION("""COMPUTED_VALUE"""),"Dì Lành")</f>
        <v>Dì Lành</v>
      </c>
      <c r="C2916" s="119" t="str">
        <f>IFERROR(__xludf.DUMMYFUNCTION("""COMPUTED_VALUE"""),"48/235 Bà Triệu")</f>
        <v>48/235 Bà Triệu</v>
      </c>
      <c r="D2916" s="119" t="str">
        <f>IFERROR(__xludf.DUMMYFUNCTION("""COMPUTED_VALUE"""),"chó")</f>
        <v>chó</v>
      </c>
      <c r="E2916" s="119" t="str">
        <f>IFERROR(__xludf.DUMMYFUNCTION("""COMPUTED_VALUE"""),"Lucky")</f>
        <v>Lucky</v>
      </c>
    </row>
    <row r="2917" ht="15.75" customHeight="1">
      <c r="A2917" s="122" t="str">
        <f>IFERROR(__xludf.DUMMYFUNCTION("""COMPUTED_VALUE"""),"0702 366 729")</f>
        <v>0702 366 729</v>
      </c>
      <c r="B2917" s="119" t="str">
        <f>IFERROR(__xludf.DUMMYFUNCTION("""COMPUTED_VALUE"""),"Anh Thiện")</f>
        <v>Anh Thiện</v>
      </c>
      <c r="C2917" s="119" t="str">
        <f>IFERROR(__xludf.DUMMYFUNCTION("""COMPUTED_VALUE"""),"4/1 Hoàng Quốc Việt")</f>
        <v>4/1 Hoàng Quốc Việt</v>
      </c>
      <c r="D2917" s="119" t="str">
        <f>IFERROR(__xludf.DUMMYFUNCTION("""COMPUTED_VALUE"""),"chó")</f>
        <v>chó</v>
      </c>
      <c r="E2917" s="119"/>
    </row>
    <row r="2918" ht="15.75" customHeight="1">
      <c r="A2918" s="122" t="str">
        <f>IFERROR(__xludf.DUMMYFUNCTION("""COMPUTED_VALUE"""),"0905 732 920")</f>
        <v>0905 732 920</v>
      </c>
      <c r="B2918" s="119" t="str">
        <f>IFERROR(__xludf.DUMMYFUNCTION("""COMPUTED_VALUE"""),"vè nhà")</f>
        <v>vè nhà</v>
      </c>
      <c r="C2918" s="119" t="str">
        <f>IFERROR(__xludf.DUMMYFUNCTION("""COMPUTED_VALUE"""),"80 lê Công Thành")</f>
        <v>80 lê Công Thành</v>
      </c>
      <c r="D2918" s="119" t="str">
        <f>IFERROR(__xludf.DUMMYFUNCTION("""COMPUTED_VALUE"""),"chó")</f>
        <v>chó</v>
      </c>
      <c r="E2918" s="119" t="str">
        <f>IFERROR(__xludf.DUMMYFUNCTION("""COMPUTED_VALUE""")," đen")</f>
        <v> đen</v>
      </c>
    </row>
    <row r="2919" ht="15.75" customHeight="1">
      <c r="A2919" s="122" t="str">
        <f>IFERROR(__xludf.DUMMYFUNCTION("""COMPUTED_VALUE"""),"0387 819 080")</f>
        <v>0387 819 080</v>
      </c>
      <c r="B2919" s="119" t="str">
        <f>IFERROR(__xludf.DUMMYFUNCTION("""COMPUTED_VALUE"""),"Anh Đẳng ")</f>
        <v>Anh Đẳng </v>
      </c>
      <c r="C2919" s="119" t="str">
        <f>IFERROR(__xludf.DUMMYFUNCTION("""COMPUTED_VALUE"""),"43 Vạn Xuân")</f>
        <v>43 Vạn Xuân</v>
      </c>
      <c r="D2919" s="119" t="str">
        <f>IFERROR(__xludf.DUMMYFUNCTION("""COMPUTED_VALUE"""),"chó")</f>
        <v>chó</v>
      </c>
      <c r="E2919" s="119" t="str">
        <f>IFERROR(__xludf.DUMMYFUNCTION("""COMPUTED_VALUE"""),"Xù")</f>
        <v>Xù</v>
      </c>
    </row>
    <row r="2920" ht="15.75" customHeight="1">
      <c r="A2920" s="122" t="str">
        <f>IFERROR(__xludf.DUMMYFUNCTION("""COMPUTED_VALUE"""),"0987 313 955")</f>
        <v>0987 313 955</v>
      </c>
      <c r="B2920" s="119" t="str">
        <f>IFERROR(__xludf.DUMMYFUNCTION("""COMPUTED_VALUE"""),"Chị Nguyệt")</f>
        <v>Chị Nguyệt</v>
      </c>
      <c r="C2920" s="119" t="str">
        <f>IFERROR(__xludf.DUMMYFUNCTION("""COMPUTED_VALUE"""),"26/14/147 Phan Đình Phùng")</f>
        <v>26/14/147 Phan Đình Phùng</v>
      </c>
      <c r="D2920" s="119" t="str">
        <f>IFERROR(__xludf.DUMMYFUNCTION("""COMPUTED_VALUE"""),"mèo")</f>
        <v>mèo</v>
      </c>
      <c r="E2920" s="119" t="str">
        <f>IFERROR(__xludf.DUMMYFUNCTION("""COMPUTED_VALUE"""),"Pety")</f>
        <v>Pety</v>
      </c>
    </row>
    <row r="2921" ht="15.75" customHeight="1">
      <c r="A2921" s="122" t="str">
        <f>IFERROR(__xludf.DUMMYFUNCTION("""COMPUTED_VALUE"""),"0765 381 321")</f>
        <v>0765 381 321</v>
      </c>
      <c r="B2921" s="119" t="str">
        <f>IFERROR(__xludf.DUMMYFUNCTION("""COMPUTED_VALUE"""),"Anh Huy")</f>
        <v>Anh Huy</v>
      </c>
      <c r="C2921" s="119" t="str">
        <f>IFERROR(__xludf.DUMMYFUNCTION("""COMPUTED_VALUE"""),"6 Tịnh Tâm")</f>
        <v>6 Tịnh Tâm</v>
      </c>
      <c r="D2921" s="119" t="str">
        <f>IFERROR(__xludf.DUMMYFUNCTION("""COMPUTED_VALUE"""),"chó")</f>
        <v>chó</v>
      </c>
      <c r="E2921" s="119" t="str">
        <f>IFERROR(__xludf.DUMMYFUNCTION("""COMPUTED_VALUE"""),"Rise")</f>
        <v>Rise</v>
      </c>
    </row>
    <row r="2922" ht="15.75" customHeight="1">
      <c r="A2922" s="122" t="str">
        <f>IFERROR(__xludf.DUMMYFUNCTION("""COMPUTED_VALUE"""),"0795 759 048")</f>
        <v>0795 759 048</v>
      </c>
      <c r="B2922" s="119" t="str">
        <f>IFERROR(__xludf.DUMMYFUNCTION("""COMPUTED_VALUE"""),"A Ken")</f>
        <v>A Ken</v>
      </c>
      <c r="C2922" s="119" t="str">
        <f>IFERROR(__xludf.DUMMYFUNCTION("""COMPUTED_VALUE"""),"6/68 Đặng Dung")</f>
        <v>6/68 Đặng Dung</v>
      </c>
      <c r="D2922" s="119" t="str">
        <f>IFERROR(__xludf.DUMMYFUNCTION("""COMPUTED_VALUE"""),"chó")</f>
        <v>chó</v>
      </c>
      <c r="E2922" s="119" t="str">
        <f>IFERROR(__xludf.DUMMYFUNCTION("""COMPUTED_VALUE"""),"Đen")</f>
        <v>Đen</v>
      </c>
    </row>
    <row r="2923" ht="15.75" customHeight="1">
      <c r="A2923" s="122" t="str">
        <f>IFERROR(__xludf.DUMMYFUNCTION("""COMPUTED_VALUE"""),"0913 261 756")</f>
        <v>0913 261 756</v>
      </c>
      <c r="B2923" s="119" t="str">
        <f>IFERROR(__xludf.DUMMYFUNCTION("""COMPUTED_VALUE"""),"Em Hương Giang")</f>
        <v>Em Hương Giang</v>
      </c>
      <c r="C2923" s="119" t="str">
        <f>IFERROR(__xludf.DUMMYFUNCTION("""COMPUTED_VALUE"""),"81/5 Bà Triệu")</f>
        <v>81/5 Bà Triệu</v>
      </c>
      <c r="D2923" s="119" t="str">
        <f>IFERROR(__xludf.DUMMYFUNCTION("""COMPUTED_VALUE"""),"mèo")</f>
        <v>mèo</v>
      </c>
      <c r="E2923" s="119" t="str">
        <f>IFERROR(__xludf.DUMMYFUNCTION("""COMPUTED_VALUE"""),"2 mái")</f>
        <v>2 mái</v>
      </c>
    </row>
    <row r="2924" ht="15.75" customHeight="1">
      <c r="A2924" s="122" t="str">
        <f>IFERROR(__xludf.DUMMYFUNCTION("""COMPUTED_VALUE"""),"0886 189 875")</f>
        <v>0886 189 875</v>
      </c>
      <c r="B2924" s="119" t="str">
        <f>IFERROR(__xludf.DUMMYFUNCTION("""COMPUTED_VALUE"""),"E Thuỵ Khanh")</f>
        <v>E Thuỵ Khanh</v>
      </c>
      <c r="C2924" s="119" t="str">
        <f>IFERROR(__xludf.DUMMYFUNCTION("""COMPUTED_VALUE"""),"12/19 Phùng Lưu")</f>
        <v>12/19 Phùng Lưu</v>
      </c>
      <c r="D2924" s="119" t="str">
        <f>IFERROR(__xludf.DUMMYFUNCTION("""COMPUTED_VALUE"""),"chó")</f>
        <v>chó</v>
      </c>
      <c r="E2924" s="119" t="str">
        <f>IFERROR(__xludf.DUMMYFUNCTION("""COMPUTED_VALUE"""),"Cây")</f>
        <v>Cây</v>
      </c>
    </row>
    <row r="2925" ht="15.75" customHeight="1">
      <c r="A2925" s="122" t="str">
        <f>IFERROR(__xludf.DUMMYFUNCTION("""COMPUTED_VALUE"""),"0935 680 935")</f>
        <v>0935 680 935</v>
      </c>
      <c r="B2925" s="119" t="str">
        <f>IFERROR(__xludf.DUMMYFUNCTION("""COMPUTED_VALUE"""),"E Khánh Huyền")</f>
        <v>E Khánh Huyền</v>
      </c>
      <c r="C2925" s="119" t="str">
        <f>IFERROR(__xludf.DUMMYFUNCTION("""COMPUTED_VALUE"""),"43 Nguyễn Công Trứ")</f>
        <v>43 Nguyễn Công Trứ</v>
      </c>
      <c r="D2925" s="119" t="str">
        <f>IFERROR(__xludf.DUMMYFUNCTION("""COMPUTED_VALUE"""),"mèo")</f>
        <v>mèo</v>
      </c>
      <c r="E2925" s="119"/>
    </row>
    <row r="2926" ht="15.75" customHeight="1">
      <c r="A2926" s="122" t="str">
        <f>IFERROR(__xludf.DUMMYFUNCTION("""COMPUTED_VALUE"""),"0988 787 207")</f>
        <v>0988 787 207</v>
      </c>
      <c r="B2926" s="119" t="str">
        <f>IFERROR(__xludf.DUMMYFUNCTION("""COMPUTED_VALUE"""),"Chị Tuyền")</f>
        <v>Chị Tuyền</v>
      </c>
      <c r="C2926" s="119" t="str">
        <f>IFERROR(__xludf.DUMMYFUNCTION("""COMPUTED_VALUE"""),"21/138 Nguyễn Sinh Cung")</f>
        <v>21/138 Nguyễn Sinh Cung</v>
      </c>
      <c r="D2926" s="119" t="str">
        <f>IFERROR(__xludf.DUMMYFUNCTION("""COMPUTED_VALUE"""),"Chó")</f>
        <v>Chó</v>
      </c>
      <c r="E2926" s="119" t="str">
        <f>IFERROR(__xludf.DUMMYFUNCTION("""COMPUTED_VALUE"""),"Ly")</f>
        <v>Ly</v>
      </c>
    </row>
    <row r="2927" ht="15.75" customHeight="1">
      <c r="A2927" s="122" t="str">
        <f>IFERROR(__xludf.DUMMYFUNCTION("""COMPUTED_VALUE"""),"0935 242 371")</f>
        <v>0935 242 371</v>
      </c>
      <c r="B2927" s="119" t="str">
        <f>IFERROR(__xludf.DUMMYFUNCTION("""COMPUTED_VALUE"""),"Chú Thuận")</f>
        <v>Chú Thuận</v>
      </c>
      <c r="C2927" s="119" t="str">
        <f>IFERROR(__xludf.DUMMYFUNCTION("""COMPUTED_VALUE"""),"Bửu Đình")</f>
        <v>Bửu Đình</v>
      </c>
      <c r="D2927" s="119" t="str">
        <f>IFERROR(__xludf.DUMMYFUNCTION("""COMPUTED_VALUE"""),"mèo")</f>
        <v>mèo</v>
      </c>
      <c r="E2927" s="119" t="str">
        <f>IFERROR(__xludf.DUMMYFUNCTION("""COMPUTED_VALUE"""),"lu")</f>
        <v>lu</v>
      </c>
    </row>
    <row r="2928" ht="15.75" customHeight="1">
      <c r="A2928" s="122" t="str">
        <f>IFERROR(__xludf.DUMMYFUNCTION("""COMPUTED_VALUE"""),"0935 369 646")</f>
        <v>0935 369 646</v>
      </c>
      <c r="B2928" s="119" t="str">
        <f>IFERROR(__xludf.DUMMYFUNCTION("""COMPUTED_VALUE"""),"Anh Quốc")</f>
        <v>Anh Quốc</v>
      </c>
      <c r="C2928" s="119" t="str">
        <f>IFERROR(__xludf.DUMMYFUNCTION("""COMPUTED_VALUE"""),"53 Phan Bội Châu")</f>
        <v>53 Phan Bội Châu</v>
      </c>
      <c r="D2928" s="119" t="str">
        <f>IFERROR(__xludf.DUMMYFUNCTION("""COMPUTED_VALUE"""),"Chó")</f>
        <v>Chó</v>
      </c>
      <c r="E2928" s="119" t="str">
        <f>IFERROR(__xludf.DUMMYFUNCTION("""COMPUTED_VALUE"""),"Lu")</f>
        <v>Lu</v>
      </c>
    </row>
    <row r="2929" ht="15.75" customHeight="1">
      <c r="A2929" s="122" t="str">
        <f>IFERROR(__xludf.DUMMYFUNCTION("""COMPUTED_VALUE"""),"0817 542 108")</f>
        <v>0817 542 108</v>
      </c>
      <c r="B2929" s="119"/>
      <c r="C2929" s="119" t="str">
        <f>IFERROR(__xludf.DUMMYFUNCTION("""COMPUTED_VALUE"""),"8 Vạn Xuân")</f>
        <v>8 Vạn Xuân</v>
      </c>
      <c r="D2929" s="119" t="str">
        <f>IFERROR(__xludf.DUMMYFUNCTION("""COMPUTED_VALUE"""),"Chó")</f>
        <v>Chó</v>
      </c>
      <c r="E2929" s="119"/>
    </row>
    <row r="2930" ht="15.75" customHeight="1">
      <c r="A2930" s="122" t="str">
        <f>IFERROR(__xludf.DUMMYFUNCTION("""COMPUTED_VALUE"""),"0935 192 920")</f>
        <v>0935 192 920</v>
      </c>
      <c r="B2930" s="119"/>
      <c r="C2930" s="119" t="str">
        <f>IFERROR(__xludf.DUMMYFUNCTION("""COMPUTED_VALUE"""),"19 Lê Hồng Phong")</f>
        <v>19 Lê Hồng Phong</v>
      </c>
      <c r="D2930" s="119" t="str">
        <f>IFERROR(__xludf.DUMMYFUNCTION("""COMPUTED_VALUE"""),"Chó")</f>
        <v>Chó</v>
      </c>
      <c r="E2930" s="119" t="str">
        <f>IFERROR(__xludf.DUMMYFUNCTION("""COMPUTED_VALUE"""),"Vện")</f>
        <v>Vện</v>
      </c>
    </row>
    <row r="2931" ht="15.75" customHeight="1">
      <c r="A2931" s="122" t="str">
        <f>IFERROR(__xludf.DUMMYFUNCTION("""COMPUTED_VALUE"""),"0934 749 945")</f>
        <v>0934 749 945</v>
      </c>
      <c r="B2931" s="119" t="str">
        <f>IFERROR(__xludf.DUMMYFUNCTION("""COMPUTED_VALUE"""),"Chị Huệ")</f>
        <v>Chị Huệ</v>
      </c>
      <c r="C2931" s="119" t="str">
        <f>IFERROR(__xludf.DUMMYFUNCTION("""COMPUTED_VALUE"""),"14/14 An Ninh")</f>
        <v>14/14 An Ninh</v>
      </c>
      <c r="D2931" s="119" t="str">
        <f>IFERROR(__xludf.DUMMYFUNCTION("""COMPUTED_VALUE"""),"chó")</f>
        <v>chó</v>
      </c>
      <c r="E2931" s="119" t="str">
        <f>IFERROR(__xludf.DUMMYFUNCTION("""COMPUTED_VALUE"""),"Trum")</f>
        <v>Trum</v>
      </c>
    </row>
    <row r="2932" ht="15.75" customHeight="1">
      <c r="A2932" s="122" t="str">
        <f>IFERROR(__xludf.DUMMYFUNCTION("""COMPUTED_VALUE"""),"0948 589 500")</f>
        <v>0948 589 500</v>
      </c>
      <c r="B2932" s="119" t="str">
        <f>IFERROR(__xludf.DUMMYFUNCTION("""COMPUTED_VALUE"""),"Em Thanh Trúc")</f>
        <v>Em Thanh Trúc</v>
      </c>
      <c r="C2932" s="119" t="str">
        <f>IFERROR(__xludf.DUMMYFUNCTION("""COMPUTED_VALUE"""),"54/131 Trần Phú")</f>
        <v>54/131 Trần Phú</v>
      </c>
      <c r="D2932" s="119" t="str">
        <f>IFERROR(__xludf.DUMMYFUNCTION("""COMPUTED_VALUE"""),"Mèo")</f>
        <v>Mèo</v>
      </c>
      <c r="E2932" s="119" t="str">
        <f>IFERROR(__xludf.DUMMYFUNCTION("""COMPUTED_VALUE"""),"Huệ")</f>
        <v>Huệ</v>
      </c>
    </row>
    <row r="2933" ht="15.75" customHeight="1">
      <c r="A2933" s="122" t="str">
        <f>IFERROR(__xludf.DUMMYFUNCTION("""COMPUTED_VALUE"""),"0944 276 634")</f>
        <v>0944 276 634</v>
      </c>
      <c r="B2933" s="119" t="str">
        <f>IFERROR(__xludf.DUMMYFUNCTION("""COMPUTED_VALUE"""),"Chị Như")</f>
        <v>Chị Như</v>
      </c>
      <c r="C2933" s="119" t="str">
        <f>IFERROR(__xludf.DUMMYFUNCTION("""COMPUTED_VALUE"""),"104/2 Kim Long ")</f>
        <v>104/2 Kim Long </v>
      </c>
      <c r="D2933" s="119" t="str">
        <f>IFERROR(__xludf.DUMMYFUNCTION("""COMPUTED_VALUE"""),"Mèo")</f>
        <v>Mèo</v>
      </c>
      <c r="E2933" s="119" t="str">
        <f>IFERROR(__xludf.DUMMYFUNCTION("""COMPUTED_VALUE"""),"Cheng")</f>
        <v>Cheng</v>
      </c>
    </row>
    <row r="2934" ht="15.75" customHeight="1">
      <c r="A2934" s="122" t="str">
        <f>IFERROR(__xludf.DUMMYFUNCTION("""COMPUTED_VALUE"""),"0846 520 779")</f>
        <v>0846 520 779</v>
      </c>
      <c r="B2934" s="119" t="str">
        <f>IFERROR(__xludf.DUMMYFUNCTION("""COMPUTED_VALUE"""),"Em Quang Anh")</f>
        <v>Em Quang Anh</v>
      </c>
      <c r="C2934" s="119" t="str">
        <f>IFERROR(__xludf.DUMMYFUNCTION("""COMPUTED_VALUE"""),"75 Ngự Bình")</f>
        <v>75 Ngự Bình</v>
      </c>
      <c r="D2934" s="119" t="str">
        <f>IFERROR(__xludf.DUMMYFUNCTION("""COMPUTED_VALUE"""),"Chó")</f>
        <v>Chó</v>
      </c>
      <c r="E2934" s="119" t="str">
        <f>IFERROR(__xludf.DUMMYFUNCTION("""COMPUTED_VALUE"""),"Súp")</f>
        <v>Súp</v>
      </c>
    </row>
    <row r="2935" ht="15.75" customHeight="1">
      <c r="A2935" s="122" t="str">
        <f>IFERROR(__xludf.DUMMYFUNCTION("""COMPUTED_VALUE"""),"0365 261 726")</f>
        <v>0365 261 726</v>
      </c>
      <c r="B2935" s="119" t="str">
        <f>IFERROR(__xludf.DUMMYFUNCTION("""COMPUTED_VALUE"""),"Chị Dung ")</f>
        <v>Chị Dung </v>
      </c>
      <c r="C2935" s="119" t="str">
        <f>IFERROR(__xludf.DUMMYFUNCTION("""COMPUTED_VALUE"""),"100 Ngự Bình")</f>
        <v>100 Ngự Bình</v>
      </c>
      <c r="D2935" s="119" t="str">
        <f>IFERROR(__xludf.DUMMYFUNCTION("""COMPUTED_VALUE"""),"Mèo")</f>
        <v>Mèo</v>
      </c>
      <c r="E2935" s="119" t="str">
        <f>IFERROR(__xludf.DUMMYFUNCTION("""COMPUTED_VALUE"""),"Sam")</f>
        <v>Sam</v>
      </c>
    </row>
    <row r="2936" ht="15.75" customHeight="1">
      <c r="A2936" s="122" t="str">
        <f>IFERROR(__xludf.DUMMYFUNCTION("""COMPUTED_VALUE"""),"0906 511 248")</f>
        <v>0906 511 248</v>
      </c>
      <c r="B2936" s="119" t="str">
        <f>IFERROR(__xludf.DUMMYFUNCTION("""COMPUTED_VALUE"""),"Đoàn Thị Hải")</f>
        <v>Đoàn Thị Hải</v>
      </c>
      <c r="C2936" s="119" t="str">
        <f>IFERROR(__xludf.DUMMYFUNCTION("""COMPUTED_VALUE"""),"phú An, Phú Vang")</f>
        <v>phú An, Phú Vang</v>
      </c>
      <c r="D2936" s="119" t="str">
        <f>IFERROR(__xludf.DUMMYFUNCTION("""COMPUTED_VALUE"""),"Chó")</f>
        <v>Chó</v>
      </c>
      <c r="E2936" s="119" t="str">
        <f>IFERROR(__xludf.DUMMYFUNCTION("""COMPUTED_VALUE"""),"Wed ")</f>
        <v>Wed </v>
      </c>
    </row>
    <row r="2937" ht="15.75" customHeight="1">
      <c r="A2937" s="122" t="str">
        <f>IFERROR(__xludf.DUMMYFUNCTION("""COMPUTED_VALUE"""),"0944 405 213")</f>
        <v>0944 405 213</v>
      </c>
      <c r="B2937" s="119" t="str">
        <f>IFERROR(__xludf.DUMMYFUNCTION("""COMPUTED_VALUE"""),"Chị nhi")</f>
        <v>Chị nhi</v>
      </c>
      <c r="C2937" s="119" t="str">
        <f>IFERROR(__xludf.DUMMYFUNCTION("""COMPUTED_VALUE"""),"157/1 Bà Triệu")</f>
        <v>157/1 Bà Triệu</v>
      </c>
      <c r="D2937" s="119" t="str">
        <f>IFERROR(__xludf.DUMMYFUNCTION("""COMPUTED_VALUE"""),"Chó")</f>
        <v>Chó</v>
      </c>
      <c r="E2937" s="119"/>
    </row>
    <row r="2938" ht="15.75" customHeight="1">
      <c r="A2938" s="122" t="str">
        <f>IFERROR(__xludf.DUMMYFUNCTION("""COMPUTED_VALUE"""),"0819 906 652")</f>
        <v>0819 906 652</v>
      </c>
      <c r="B2938" s="119" t="str">
        <f>IFERROR(__xludf.DUMMYFUNCTION("""COMPUTED_VALUE"""),"Chị Giàu")</f>
        <v>Chị Giàu</v>
      </c>
      <c r="C2938" s="119" t="str">
        <f>IFERROR(__xludf.DUMMYFUNCTION("""COMPUTED_VALUE"""),"Hương Hồ")</f>
        <v>Hương Hồ</v>
      </c>
      <c r="D2938" s="119" t="str">
        <f>IFERROR(__xludf.DUMMYFUNCTION("""COMPUTED_VALUE"""),"chó")</f>
        <v>chó</v>
      </c>
      <c r="E2938" s="119" t="str">
        <f>IFERROR(__xludf.DUMMYFUNCTION("""COMPUTED_VALUE"""),"Mun")</f>
        <v>Mun</v>
      </c>
    </row>
    <row r="2939" ht="15.75" customHeight="1">
      <c r="A2939" s="122" t="str">
        <f>IFERROR(__xludf.DUMMYFUNCTION("""COMPUTED_VALUE"""),"0702 744 342")</f>
        <v>0702 744 342</v>
      </c>
      <c r="B2939" s="119" t="str">
        <f>IFERROR(__xludf.DUMMYFUNCTION("""COMPUTED_VALUE"""),"Lê Thị Minh Phương")</f>
        <v>Lê Thị Minh Phương</v>
      </c>
      <c r="C2939" s="119" t="str">
        <f>IFERROR(__xludf.DUMMYFUNCTION("""COMPUTED_VALUE"""),"56 Nguyên Phúc Chu")</f>
        <v>56 Nguyên Phúc Chu</v>
      </c>
      <c r="D2939" s="119" t="str">
        <f>IFERROR(__xludf.DUMMYFUNCTION("""COMPUTED_VALUE"""),"mèo")</f>
        <v>mèo</v>
      </c>
      <c r="E2939" s="119" t="str">
        <f>IFERROR(__xludf.DUMMYFUNCTION("""COMPUTED_VALUE"""),"Meo")</f>
        <v>Meo</v>
      </c>
    </row>
    <row r="2940" ht="15.75" customHeight="1">
      <c r="A2940" s="122" t="str">
        <f>IFERROR(__xludf.DUMMYFUNCTION("""COMPUTED_VALUE"""),"0775 628 625")</f>
        <v>0775 628 625</v>
      </c>
      <c r="B2940" s="119" t="str">
        <f>IFERROR(__xludf.DUMMYFUNCTION("""COMPUTED_VALUE"""),"Chị Mơ")</f>
        <v>Chị Mơ</v>
      </c>
      <c r="C2940" s="119" t="str">
        <f>IFERROR(__xludf.DUMMYFUNCTION("""COMPUTED_VALUE"""),"114 Ngô Đức Kế")</f>
        <v>114 Ngô Đức Kế</v>
      </c>
      <c r="D2940" s="119" t="str">
        <f>IFERROR(__xludf.DUMMYFUNCTION("""COMPUTED_VALUE"""),"Chó")</f>
        <v>Chó</v>
      </c>
      <c r="E2940" s="119" t="str">
        <f>IFERROR(__xludf.DUMMYFUNCTION("""COMPUTED_VALUE"""),"Sữa")</f>
        <v>Sữa</v>
      </c>
    </row>
    <row r="2941" ht="15.75" customHeight="1">
      <c r="A2941" s="122" t="str">
        <f>IFERROR(__xludf.DUMMYFUNCTION("""COMPUTED_VALUE"""),"0359 050 994")</f>
        <v>0359 050 994</v>
      </c>
      <c r="B2941" s="119" t="str">
        <f>IFERROR(__xludf.DUMMYFUNCTION("""COMPUTED_VALUE"""),"Chị Phúc")</f>
        <v>Chị Phúc</v>
      </c>
      <c r="C2941" s="119" t="str">
        <f>IFERROR(__xludf.DUMMYFUNCTION("""COMPUTED_VALUE"""),"An Lưu - Hương An")</f>
        <v>An Lưu - Hương An</v>
      </c>
      <c r="D2941" s="119" t="str">
        <f>IFERROR(__xludf.DUMMYFUNCTION("""COMPUTED_VALUE"""),"Chó")</f>
        <v>Chó</v>
      </c>
      <c r="E2941" s="119" t="str">
        <f>IFERROR(__xludf.DUMMYFUNCTION("""COMPUTED_VALUE"""),"Mít")</f>
        <v>Mít</v>
      </c>
    </row>
    <row r="2942" ht="15.75" customHeight="1">
      <c r="A2942" s="122" t="str">
        <f>IFERROR(__xludf.DUMMYFUNCTION("""COMPUTED_VALUE"""),"0948 649 482")</f>
        <v>0948 649 482</v>
      </c>
      <c r="B2942" s="119" t="str">
        <f>IFERROR(__xludf.DUMMYFUNCTION("""COMPUTED_VALUE"""),"Anh Việt")</f>
        <v>Anh Việt</v>
      </c>
      <c r="C2942" s="119" t="str">
        <f>IFERROR(__xludf.DUMMYFUNCTION("""COMPUTED_VALUE"""),"Hương Hồ - Hương Trà")</f>
        <v>Hương Hồ - Hương Trà</v>
      </c>
      <c r="D2942" s="119" t="str">
        <f>IFERROR(__xludf.DUMMYFUNCTION("""COMPUTED_VALUE"""),"Chó")</f>
        <v>Chó</v>
      </c>
      <c r="E2942" s="119" t="str">
        <f>IFERROR(__xludf.DUMMYFUNCTION("""COMPUTED_VALUE"""),"Nâu")</f>
        <v>Nâu</v>
      </c>
    </row>
    <row r="2943" ht="15.75" customHeight="1">
      <c r="A2943" s="122" t="str">
        <f>IFERROR(__xludf.DUMMYFUNCTION("""COMPUTED_VALUE"""),"0702 416 035")</f>
        <v>0702 416 035</v>
      </c>
      <c r="B2943" s="119" t="str">
        <f>IFERROR(__xludf.DUMMYFUNCTION("""COMPUTED_VALUE"""),"Chị Bảo Ngọc")</f>
        <v>Chị Bảo Ngọc</v>
      </c>
      <c r="C2943" s="119" t="str">
        <f>IFERROR(__xludf.DUMMYFUNCTION("""COMPUTED_VALUE"""),"33/393 Bùi Thị Xuân")</f>
        <v>33/393 Bùi Thị Xuân</v>
      </c>
      <c r="D2943" s="119" t="str">
        <f>IFERROR(__xludf.DUMMYFUNCTION("""COMPUTED_VALUE"""),"chó")</f>
        <v>chó</v>
      </c>
      <c r="E2943" s="119" t="str">
        <f>IFERROR(__xludf.DUMMYFUNCTION("""COMPUTED_VALUE"""),"Bom")</f>
        <v>Bom</v>
      </c>
    </row>
    <row r="2944" ht="15.75" customHeight="1">
      <c r="A2944" s="122" t="str">
        <f>IFERROR(__xludf.DUMMYFUNCTION("""COMPUTED_VALUE"""),"0336 434 896")</f>
        <v>0336 434 896</v>
      </c>
      <c r="B2944" s="119" t="str">
        <f>IFERROR(__xludf.DUMMYFUNCTION("""COMPUTED_VALUE"""),"Nhật Phong")</f>
        <v>Nhật Phong</v>
      </c>
      <c r="C2944" s="119" t="str">
        <f>IFERROR(__xludf.DUMMYFUNCTION("""COMPUTED_VALUE"""),"12/5 Nguyễn Phúc Nguyên")</f>
        <v>12/5 Nguyễn Phúc Nguyên</v>
      </c>
      <c r="D2944" s="119" t="str">
        <f>IFERROR(__xludf.DUMMYFUNCTION("""COMPUTED_VALUE"""),"Chó")</f>
        <v>Chó</v>
      </c>
      <c r="E2944" s="119" t="str">
        <f>IFERROR(__xludf.DUMMYFUNCTION("""COMPUTED_VALUE"""),"Đốm")</f>
        <v>Đốm</v>
      </c>
    </row>
    <row r="2945" ht="15.75" customHeight="1">
      <c r="A2945" s="122" t="str">
        <f>IFERROR(__xludf.DUMMYFUNCTION("""COMPUTED_VALUE"""),"0932 574 154")</f>
        <v>0932 574 154</v>
      </c>
      <c r="B2945" s="119" t="str">
        <f>IFERROR(__xludf.DUMMYFUNCTION("""COMPUTED_VALUE"""),"Cẩm Vân")</f>
        <v>Cẩm Vân</v>
      </c>
      <c r="C2945" s="119" t="str">
        <f>IFERROR(__xludf.DUMMYFUNCTION("""COMPUTED_VALUE"""),"Làng Châu Chữ")</f>
        <v>Làng Châu Chữ</v>
      </c>
      <c r="D2945" s="119" t="str">
        <f>IFERROR(__xludf.DUMMYFUNCTION("""COMPUTED_VALUE"""),"Chó")</f>
        <v>Chó</v>
      </c>
      <c r="E2945" s="119" t="str">
        <f>IFERROR(__xludf.DUMMYFUNCTION("""COMPUTED_VALUE"""),"Gấu")</f>
        <v>Gấu</v>
      </c>
    </row>
    <row r="2946" ht="15.75" customHeight="1">
      <c r="A2946" s="122" t="str">
        <f>IFERROR(__xludf.DUMMYFUNCTION("""COMPUTED_VALUE"""),"0935 771 837")</f>
        <v>0935 771 837</v>
      </c>
      <c r="B2946" s="119" t="str">
        <f>IFERROR(__xludf.DUMMYFUNCTION("""COMPUTED_VALUE"""),"Dì Nở")</f>
        <v>Dì Nở</v>
      </c>
      <c r="C2946" s="119" t="str">
        <f>IFERROR(__xludf.DUMMYFUNCTION("""COMPUTED_VALUE"""),"7/209 Điện Biên Phủ")</f>
        <v>7/209 Điện Biên Phủ</v>
      </c>
      <c r="D2946" s="119" t="str">
        <f>IFERROR(__xludf.DUMMYFUNCTION("""COMPUTED_VALUE"""),"Chó")</f>
        <v>Chó</v>
      </c>
      <c r="E2946" s="119" t="str">
        <f>IFERROR(__xludf.DUMMYFUNCTION("""COMPUTED_VALUE"""),"Lu")</f>
        <v>Lu</v>
      </c>
    </row>
    <row r="2947" ht="15.75" customHeight="1">
      <c r="A2947" s="122" t="str">
        <f>IFERROR(__xludf.DUMMYFUNCTION("""COMPUTED_VALUE"""),"0817 471 075")</f>
        <v>0817 471 075</v>
      </c>
      <c r="B2947" s="119" t="str">
        <f>IFERROR(__xludf.DUMMYFUNCTION("""COMPUTED_VALUE"""),"Em Phương")</f>
        <v>Em Phương</v>
      </c>
      <c r="C2947" s="119" t="str">
        <f>IFERROR(__xludf.DUMMYFUNCTION("""COMPUTED_VALUE"""),"19/271 Chi Lăng")</f>
        <v>19/271 Chi Lăng</v>
      </c>
      <c r="D2947" s="119" t="str">
        <f>IFERROR(__xludf.DUMMYFUNCTION("""COMPUTED_VALUE"""),"mèo")</f>
        <v>mèo</v>
      </c>
      <c r="E2947" s="119" t="str">
        <f>IFERROR(__xludf.DUMMYFUNCTION("""COMPUTED_VALUE"""),"cúc/ lài")</f>
        <v>cúc/ lài</v>
      </c>
    </row>
    <row r="2948" ht="15.75" customHeight="1">
      <c r="A2948" s="122" t="str">
        <f>IFERROR(__xludf.DUMMYFUNCTION("""COMPUTED_VALUE"""),"0978 017 789")</f>
        <v>0978 017 789</v>
      </c>
      <c r="B2948" s="119" t="str">
        <f>IFERROR(__xludf.DUMMYFUNCTION("""COMPUTED_VALUE"""),"Cô Tịnh")</f>
        <v>Cô Tịnh</v>
      </c>
      <c r="C2948" s="119" t="str">
        <f>IFERROR(__xludf.DUMMYFUNCTION("""COMPUTED_VALUE"""),"48 Thiện Thai")</f>
        <v>48 Thiện Thai</v>
      </c>
      <c r="D2948" s="119" t="str">
        <f>IFERROR(__xludf.DUMMYFUNCTION("""COMPUTED_VALUE"""),"Chó")</f>
        <v>Chó</v>
      </c>
      <c r="E2948" s="119" t="str">
        <f>IFERROR(__xludf.DUMMYFUNCTION("""COMPUTED_VALUE"""),"Moon/min")</f>
        <v>Moon/min</v>
      </c>
    </row>
    <row r="2949" ht="15.75" customHeight="1">
      <c r="A2949" s="122" t="str">
        <f>IFERROR(__xludf.DUMMYFUNCTION("""COMPUTED_VALUE"""),"0773 388 389")</f>
        <v>0773 388 389</v>
      </c>
      <c r="B2949" s="119" t="str">
        <f>IFERROR(__xludf.DUMMYFUNCTION("""COMPUTED_VALUE"""),"Chị Thảo")</f>
        <v>Chị Thảo</v>
      </c>
      <c r="C2949" s="119" t="str">
        <f>IFERROR(__xludf.DUMMYFUNCTION("""COMPUTED_VALUE"""),"Hương Toàn - Hương Trà")</f>
        <v>Hương Toàn - Hương Trà</v>
      </c>
      <c r="D2949" s="119" t="str">
        <f>IFERROR(__xludf.DUMMYFUNCTION("""COMPUTED_VALUE"""),"Chó")</f>
        <v>Chó</v>
      </c>
      <c r="E2949" s="119" t="str">
        <f>IFERROR(__xludf.DUMMYFUNCTION("""COMPUTED_VALUE"""),"Bom")</f>
        <v>Bom</v>
      </c>
    </row>
    <row r="2950" ht="15.75" customHeight="1">
      <c r="A2950" s="122" t="str">
        <f>IFERROR(__xludf.DUMMYFUNCTION("""COMPUTED_VALUE"""),"0947 960 595")</f>
        <v>0947 960 595</v>
      </c>
      <c r="B2950" s="119" t="str">
        <f>IFERROR(__xludf.DUMMYFUNCTION("""COMPUTED_VALUE"""),"Chị Như")</f>
        <v>Chị Như</v>
      </c>
      <c r="C2950" s="119" t="str">
        <f>IFERROR(__xludf.DUMMYFUNCTION("""COMPUTED_VALUE"""),"24/5/69/131 Trần Phú")</f>
        <v>24/5/69/131 Trần Phú</v>
      </c>
      <c r="D2950" s="119" t="str">
        <f>IFERROR(__xludf.DUMMYFUNCTION("""COMPUTED_VALUE"""),"Chó")</f>
        <v>Chó</v>
      </c>
      <c r="E2950" s="119" t="str">
        <f>IFERROR(__xludf.DUMMYFUNCTION("""COMPUTED_VALUE"""),"Đen")</f>
        <v>Đen</v>
      </c>
    </row>
    <row r="2951" ht="15.75" customHeight="1">
      <c r="A2951" s="122" t="str">
        <f>IFERROR(__xludf.DUMMYFUNCTION("""COMPUTED_VALUE"""),"0889 430 246")</f>
        <v>0889 430 246</v>
      </c>
      <c r="B2951" s="119" t="str">
        <f>IFERROR(__xludf.DUMMYFUNCTION("""COMPUTED_VALUE"""),"Linh")</f>
        <v>Linh</v>
      </c>
      <c r="C2951" s="119" t="str">
        <f>IFERROR(__xludf.DUMMYFUNCTION("""COMPUTED_VALUE"""),"24/23/131 Trần Phú")</f>
        <v>24/23/131 Trần Phú</v>
      </c>
      <c r="D2951" s="119" t="str">
        <f>IFERROR(__xludf.DUMMYFUNCTION("""COMPUTED_VALUE"""),"Chó")</f>
        <v>Chó</v>
      </c>
      <c r="E2951" s="119" t="str">
        <f>IFERROR(__xludf.DUMMYFUNCTION("""COMPUTED_VALUE"""),"Mít")</f>
        <v>Mít</v>
      </c>
    </row>
    <row r="2952" ht="15.75" customHeight="1">
      <c r="A2952" s="122" t="str">
        <f>IFERROR(__xludf.DUMMYFUNCTION("""COMPUTED_VALUE"""),"0358 099 449")</f>
        <v>0358 099 449</v>
      </c>
      <c r="B2952" s="119" t="str">
        <f>IFERROR(__xludf.DUMMYFUNCTION("""COMPUTED_VALUE"""),"Hoàng Huân")</f>
        <v>Hoàng Huân</v>
      </c>
      <c r="C2952" s="119" t="str">
        <f>IFERROR(__xludf.DUMMYFUNCTION("""COMPUTED_VALUE"""),"191/6 Điện Biên Phủ")</f>
        <v>191/6 Điện Biên Phủ</v>
      </c>
      <c r="D2952" s="119" t="str">
        <f>IFERROR(__xludf.DUMMYFUNCTION("""COMPUTED_VALUE"""),"Chó")</f>
        <v>Chó</v>
      </c>
      <c r="E2952" s="119" t="str">
        <f>IFERROR(__xludf.DUMMYFUNCTION("""COMPUTED_VALUE"""),"Xù")</f>
        <v>Xù</v>
      </c>
    </row>
    <row r="2953" ht="15.75" customHeight="1">
      <c r="A2953" s="122" t="str">
        <f>IFERROR(__xludf.DUMMYFUNCTION("""COMPUTED_VALUE"""),"0705 225 252")</f>
        <v>0705 225 252</v>
      </c>
      <c r="B2953" s="119" t="str">
        <f>IFERROR(__xludf.DUMMYFUNCTION("""COMPUTED_VALUE"""),"Anh Thành")</f>
        <v>Anh Thành</v>
      </c>
      <c r="C2953" s="119" t="str">
        <f>IFERROR(__xludf.DUMMYFUNCTION("""COMPUTED_VALUE"""),"17/63 Điện Biên Phủ")</f>
        <v>17/63 Điện Biên Phủ</v>
      </c>
      <c r="D2953" s="119" t="str">
        <f>IFERROR(__xludf.DUMMYFUNCTION("""COMPUTED_VALUE"""),"Mèo")</f>
        <v>Mèo</v>
      </c>
      <c r="E2953" s="119" t="str">
        <f>IFERROR(__xludf.DUMMYFUNCTION("""COMPUTED_VALUE"""),"Bi")</f>
        <v>Bi</v>
      </c>
    </row>
    <row r="2954" ht="15.75" customHeight="1">
      <c r="A2954" s="122" t="str">
        <f>IFERROR(__xludf.DUMMYFUNCTION("""COMPUTED_VALUE"""),"0935 993 481")</f>
        <v>0935 993 481</v>
      </c>
      <c r="B2954" s="119" t="str">
        <f>IFERROR(__xludf.DUMMYFUNCTION("""COMPUTED_VALUE"""),"Chị  Ý")</f>
        <v>Chị  Ý</v>
      </c>
      <c r="C2954" s="119" t="str">
        <f>IFERROR(__xludf.DUMMYFUNCTION("""COMPUTED_VALUE"""),"66 Võ Liêm Sơn")</f>
        <v>66 Võ Liêm Sơn</v>
      </c>
      <c r="D2954" s="119" t="str">
        <f>IFERROR(__xludf.DUMMYFUNCTION("""COMPUTED_VALUE"""),"Chó")</f>
        <v>Chó</v>
      </c>
      <c r="E2954" s="119" t="str">
        <f>IFERROR(__xludf.DUMMYFUNCTION("""COMPUTED_VALUE"""),"Ken")</f>
        <v>Ken</v>
      </c>
    </row>
    <row r="2955" ht="15.75" customHeight="1">
      <c r="A2955" s="122" t="str">
        <f>IFERROR(__xludf.DUMMYFUNCTION("""COMPUTED_VALUE"""),"0905 339 916")</f>
        <v>0905 339 916</v>
      </c>
      <c r="B2955" s="119" t="str">
        <f>IFERROR(__xludf.DUMMYFUNCTION("""COMPUTED_VALUE"""),"Chị Yến")</f>
        <v>Chị Yến</v>
      </c>
      <c r="C2955" s="119" t="str">
        <f>IFERROR(__xludf.DUMMYFUNCTION("""COMPUTED_VALUE"""),"Đồng Hới, Quảng Bình")</f>
        <v>Đồng Hới, Quảng Bình</v>
      </c>
      <c r="D2955" s="119" t="str">
        <f>IFERROR(__xludf.DUMMYFUNCTION("""COMPUTED_VALUE"""),"Chó ")</f>
        <v>Chó </v>
      </c>
      <c r="E2955" s="119" t="str">
        <f>IFERROR(__xludf.DUMMYFUNCTION("""COMPUTED_VALUE"""),"Lucky")</f>
        <v>Lucky</v>
      </c>
    </row>
    <row r="2956" ht="15.75" customHeight="1">
      <c r="A2956" s="122" t="str">
        <f>IFERROR(__xludf.DUMMYFUNCTION("""COMPUTED_VALUE"""),"0762 632 444")</f>
        <v>0762 632 444</v>
      </c>
      <c r="B2956" s="119" t="str">
        <f>IFERROR(__xludf.DUMMYFUNCTION("""COMPUTED_VALUE"""),"Anh Thiên")</f>
        <v>Anh Thiên</v>
      </c>
      <c r="C2956" s="119" t="str">
        <f>IFERROR(__xludf.DUMMYFUNCTION("""COMPUTED_VALUE"""),"5/293 điện biên phủ")</f>
        <v>5/293 điện biên phủ</v>
      </c>
      <c r="D2956" s="119" t="str">
        <f>IFERROR(__xludf.DUMMYFUNCTION("""COMPUTED_VALUE"""),"Chó")</f>
        <v>Chó</v>
      </c>
      <c r="E2956" s="119" t="str">
        <f>IFERROR(__xludf.DUMMYFUNCTION("""COMPUTED_VALUE"""),"Ky")</f>
        <v>Ky</v>
      </c>
    </row>
    <row r="2957" ht="15.75" customHeight="1">
      <c r="A2957" s="122" t="str">
        <f>IFERROR(__xludf.DUMMYFUNCTION("""COMPUTED_VALUE"""),"0905 156 571")</f>
        <v>0905 156 571</v>
      </c>
      <c r="B2957" s="119" t="str">
        <f>IFERROR(__xludf.DUMMYFUNCTION("""COMPUTED_VALUE"""),"Mỹ Hạnh")</f>
        <v>Mỹ Hạnh</v>
      </c>
      <c r="C2957" s="119" t="str">
        <f>IFERROR(__xludf.DUMMYFUNCTION("""COMPUTED_VALUE"""),"5/103 Lê Ngô Cát")</f>
        <v>5/103 Lê Ngô Cát</v>
      </c>
      <c r="D2957" s="119" t="str">
        <f>IFERROR(__xludf.DUMMYFUNCTION("""COMPUTED_VALUE"""),"mèo")</f>
        <v>mèo</v>
      </c>
      <c r="E2957" s="119" t="str">
        <f>IFERROR(__xludf.DUMMYFUNCTION("""COMPUTED_VALUE"""),"Mun")</f>
        <v>Mun</v>
      </c>
    </row>
    <row r="2958" ht="15.75" customHeight="1">
      <c r="A2958" s="122" t="str">
        <f>IFERROR(__xludf.DUMMYFUNCTION("""COMPUTED_VALUE"""),"0364 664 512")</f>
        <v>0364 664 512</v>
      </c>
      <c r="B2958" s="119" t="str">
        <f>IFERROR(__xludf.DUMMYFUNCTION("""COMPUTED_VALUE"""),"Anh Quý")</f>
        <v>Anh Quý</v>
      </c>
      <c r="C2958" s="119" t="str">
        <f>IFERROR(__xludf.DUMMYFUNCTION("""COMPUTED_VALUE"""),"Bầu Vá")</f>
        <v>Bầu Vá</v>
      </c>
      <c r="D2958" s="119" t="str">
        <f>IFERROR(__xludf.DUMMYFUNCTION("""COMPUTED_VALUE"""),"Chó")</f>
        <v>Chó</v>
      </c>
      <c r="E2958" s="119" t="str">
        <f>IFERROR(__xludf.DUMMYFUNCTION("""COMPUTED_VALUE"""),"Red")</f>
        <v>Red</v>
      </c>
    </row>
    <row r="2959" ht="15.75" customHeight="1">
      <c r="A2959" s="122" t="str">
        <f>IFERROR(__xludf.DUMMYFUNCTION("""COMPUTED_VALUE"""),"0376 534 112")</f>
        <v>0376 534 112</v>
      </c>
      <c r="B2959" s="119" t="str">
        <f>IFERROR(__xludf.DUMMYFUNCTION("""COMPUTED_VALUE"""),"Văn Dũng")</f>
        <v>Văn Dũng</v>
      </c>
      <c r="C2959" s="119" t="str">
        <f>IFERROR(__xludf.DUMMYFUNCTION("""COMPUTED_VALUE"""),"Chùa Đức Sơn")</f>
        <v>Chùa Đức Sơn</v>
      </c>
      <c r="D2959" s="119" t="str">
        <f>IFERROR(__xludf.DUMMYFUNCTION("""COMPUTED_VALUE"""),"Chó")</f>
        <v>Chó</v>
      </c>
      <c r="E2959" s="119" t="str">
        <f>IFERROR(__xludf.DUMMYFUNCTION("""COMPUTED_VALUE"""),"Moon")</f>
        <v>Moon</v>
      </c>
    </row>
    <row r="2960" ht="15.75" customHeight="1">
      <c r="A2960" s="122" t="str">
        <f>IFERROR(__xludf.DUMMYFUNCTION("""COMPUTED_VALUE"""),"0935 345 739")</f>
        <v>0935 345 739</v>
      </c>
      <c r="B2960" s="119" t="str">
        <f>IFERROR(__xludf.DUMMYFUNCTION("""COMPUTED_VALUE"""),"Chị Thủy")</f>
        <v>Chị Thủy</v>
      </c>
      <c r="C2960" s="119" t="str">
        <f>IFERROR(__xludf.DUMMYFUNCTION("""COMPUTED_VALUE"""),"5A/44A Hoàng Thị Loan")</f>
        <v>5A/44A Hoàng Thị Loan</v>
      </c>
      <c r="D2960" s="119" t="str">
        <f>IFERROR(__xludf.DUMMYFUNCTION("""COMPUTED_VALUE"""),"Chó")</f>
        <v>Chó</v>
      </c>
      <c r="E2960" s="119" t="str">
        <f>IFERROR(__xludf.DUMMYFUNCTION("""COMPUTED_VALUE"""),"Gấu")</f>
        <v>Gấu</v>
      </c>
    </row>
    <row r="2961" ht="15.75" customHeight="1">
      <c r="A2961" s="122" t="str">
        <f>IFERROR(__xludf.DUMMYFUNCTION("""COMPUTED_VALUE"""),"0913 414 889")</f>
        <v>0913 414 889</v>
      </c>
      <c r="B2961" s="119" t="str">
        <f>IFERROR(__xludf.DUMMYFUNCTION("""COMPUTED_VALUE"""),"Anh Phước")</f>
        <v>Anh Phước</v>
      </c>
      <c r="C2961" s="119" t="str">
        <f>IFERROR(__xludf.DUMMYFUNCTION("""COMPUTED_VALUE"""),"2/22 Sơn Xuyên")</f>
        <v>2/22 Sơn Xuyên</v>
      </c>
      <c r="D2961" s="119" t="str">
        <f>IFERROR(__xludf.DUMMYFUNCTION("""COMPUTED_VALUE"""),"chó ")</f>
        <v>chó </v>
      </c>
      <c r="E2961" s="119" t="str">
        <f>IFERROR(__xludf.DUMMYFUNCTION("""COMPUTED_VALUE"""),"Chíp- Bim")</f>
        <v>Chíp- Bim</v>
      </c>
    </row>
    <row r="2962" ht="15.75" customHeight="1">
      <c r="A2962" s="122" t="str">
        <f>IFERROR(__xludf.DUMMYFUNCTION("""COMPUTED_VALUE"""),"0919 487 820")</f>
        <v>0919 487 820</v>
      </c>
      <c r="B2962" s="119" t="str">
        <f>IFERROR(__xludf.DUMMYFUNCTION("""COMPUTED_VALUE"""),"Chị Hồng Gấm")</f>
        <v>Chị Hồng Gấm</v>
      </c>
      <c r="C2962" s="119" t="str">
        <f>IFERROR(__xludf.DUMMYFUNCTION("""COMPUTED_VALUE"""),"16/1 Hoàng Quốc Việt")</f>
        <v>16/1 Hoàng Quốc Việt</v>
      </c>
      <c r="D2962" s="119" t="str">
        <f>IFERROR(__xludf.DUMMYFUNCTION("""COMPUTED_VALUE"""),"chó")</f>
        <v>chó</v>
      </c>
      <c r="E2962" s="119" t="str">
        <f>IFERROR(__xludf.DUMMYFUNCTION("""COMPUTED_VALUE"""),"Xù")</f>
        <v>Xù</v>
      </c>
    </row>
    <row r="2963" ht="15.75" customHeight="1">
      <c r="A2963" s="122" t="str">
        <f>IFERROR(__xludf.DUMMYFUNCTION("""COMPUTED_VALUE"""),"0394 836 135")</f>
        <v>0394 836 135</v>
      </c>
      <c r="B2963" s="119" t="str">
        <f>IFERROR(__xludf.DUMMYFUNCTION("""COMPUTED_VALUE"""),"Quang Đạo")</f>
        <v>Quang Đạo</v>
      </c>
      <c r="C2963" s="119" t="str">
        <f>IFERROR(__xludf.DUMMYFUNCTION("""COMPUTED_VALUE"""),"Xóm 5 An Tuyên")</f>
        <v>Xóm 5 An Tuyên</v>
      </c>
      <c r="D2963" s="119" t="str">
        <f>IFERROR(__xludf.DUMMYFUNCTION("""COMPUTED_VALUE"""),"chó")</f>
        <v>chó</v>
      </c>
      <c r="E2963" s="119" t="str">
        <f>IFERROR(__xludf.DUMMYFUNCTION("""COMPUTED_VALUE"""),"Rốt")</f>
        <v>Rốt</v>
      </c>
    </row>
    <row r="2964" ht="15.75" customHeight="1">
      <c r="A2964" s="122" t="str">
        <f>IFERROR(__xludf.DUMMYFUNCTION("""COMPUTED_VALUE"""),"0981 587 282")</f>
        <v>0981 587 282</v>
      </c>
      <c r="B2964" s="119" t="str">
        <f>IFERROR(__xludf.DUMMYFUNCTION("""COMPUTED_VALUE"""),"Dì Lan")</f>
        <v>Dì Lan</v>
      </c>
      <c r="C2964" s="119" t="str">
        <f>IFERROR(__xludf.DUMMYFUNCTION("""COMPUTED_VALUE"""),"Lô B49 Tùng Thiện Vương")</f>
        <v>Lô B49 Tùng Thiện Vương</v>
      </c>
      <c r="D2964" s="119" t="str">
        <f>IFERROR(__xludf.DUMMYFUNCTION("""COMPUTED_VALUE"""),"chó")</f>
        <v>chó</v>
      </c>
      <c r="E2964" s="119" t="str">
        <f>IFERROR(__xludf.DUMMYFUNCTION("""COMPUTED_VALUE"""),"Tila Đen")</f>
        <v>Tila Đen</v>
      </c>
    </row>
    <row r="2965" ht="15.75" customHeight="1">
      <c r="A2965" s="122" t="str">
        <f>IFERROR(__xludf.DUMMYFUNCTION("""COMPUTED_VALUE"""),"0914 003 555")</f>
        <v>0914 003 555</v>
      </c>
      <c r="B2965" s="119" t="str">
        <f>IFERROR(__xludf.DUMMYFUNCTION("""COMPUTED_VALUE"""),"Chị Anh")</f>
        <v>Chị Anh</v>
      </c>
      <c r="C2965" s="119" t="str">
        <f>IFERROR(__xludf.DUMMYFUNCTION("""COMPUTED_VALUE"""),"8 Bà Triệu")</f>
        <v>8 Bà Triệu</v>
      </c>
      <c r="D2965" s="119" t="str">
        <f>IFERROR(__xludf.DUMMYFUNCTION("""COMPUTED_VALUE"""),"chó")</f>
        <v>chó</v>
      </c>
      <c r="E2965" s="119" t="str">
        <f>IFERROR(__xludf.DUMMYFUNCTION("""COMPUTED_VALUE"""),"Rid")</f>
        <v>Rid</v>
      </c>
    </row>
    <row r="2966" ht="15.75" customHeight="1">
      <c r="A2966" s="122" t="str">
        <f>IFERROR(__xludf.DUMMYFUNCTION("""COMPUTED_VALUE"""),"0838 892 782")</f>
        <v>0838 892 782</v>
      </c>
      <c r="B2966" s="119" t="str">
        <f>IFERROR(__xludf.DUMMYFUNCTION("""COMPUTED_VALUE"""),"Sự Tuệ hải")</f>
        <v>Sự Tuệ hải</v>
      </c>
      <c r="C2966" s="119" t="str">
        <f>IFERROR(__xludf.DUMMYFUNCTION("""COMPUTED_VALUE"""),"Chùa Diệu Sơn")</f>
        <v>Chùa Diệu Sơn</v>
      </c>
      <c r="D2966" s="119" t="str">
        <f>IFERROR(__xludf.DUMMYFUNCTION("""COMPUTED_VALUE"""),"chó")</f>
        <v>chó</v>
      </c>
      <c r="E2966" s="119" t="str">
        <f>IFERROR(__xludf.DUMMYFUNCTION("""COMPUTED_VALUE"""),"Vàng")</f>
        <v>Vàng</v>
      </c>
    </row>
    <row r="2967" ht="15.75" customHeight="1">
      <c r="A2967" s="122" t="str">
        <f>IFERROR(__xludf.DUMMYFUNCTION("""COMPUTED_VALUE"""),"0905 290 797")</f>
        <v>0905 290 797</v>
      </c>
      <c r="B2967" s="119" t="str">
        <f>IFERROR(__xludf.DUMMYFUNCTION("""COMPUTED_VALUE"""),"Hà Trang")</f>
        <v>Hà Trang</v>
      </c>
      <c r="C2967" s="119" t="str">
        <f>IFERROR(__xludf.DUMMYFUNCTION("""COMPUTED_VALUE"""),"Ecogarden")</f>
        <v>Ecogarden</v>
      </c>
      <c r="D2967" s="119" t="str">
        <f>IFERROR(__xludf.DUMMYFUNCTION("""COMPUTED_VALUE"""),"chó")</f>
        <v>chó</v>
      </c>
      <c r="E2967" s="119" t="str">
        <f>IFERROR(__xludf.DUMMYFUNCTION("""COMPUTED_VALUE"""),"Xoắn")</f>
        <v>Xoắn</v>
      </c>
    </row>
    <row r="2968" ht="15.75" customHeight="1">
      <c r="A2968" s="122" t="str">
        <f>IFERROR(__xludf.DUMMYFUNCTION("""COMPUTED_VALUE"""),"0935 909 810")</f>
        <v>0935 909 810</v>
      </c>
      <c r="B2968" s="119" t="str">
        <f>IFERROR(__xludf.DUMMYFUNCTION("""COMPUTED_VALUE"""),"vè nhà")</f>
        <v>vè nhà</v>
      </c>
      <c r="C2968" s="119" t="str">
        <f>IFERROR(__xludf.DUMMYFUNCTION("""COMPUTED_VALUE"""),"45/16 Duy tân")</f>
        <v>45/16 Duy tân</v>
      </c>
      <c r="D2968" s="119" t="str">
        <f>IFERROR(__xludf.DUMMYFUNCTION("""COMPUTED_VALUE"""),"chó")</f>
        <v>chó</v>
      </c>
      <c r="E2968" s="119" t="str">
        <f>IFERROR(__xludf.DUMMYFUNCTION("""COMPUTED_VALUE"""),"đen")</f>
        <v>đen</v>
      </c>
    </row>
    <row r="2969" ht="15.75" customHeight="1">
      <c r="A2969" s="122" t="str">
        <f>IFERROR(__xludf.DUMMYFUNCTION("""COMPUTED_VALUE"""),"0914 312 363")</f>
        <v>0914 312 363</v>
      </c>
      <c r="B2969" s="119" t="str">
        <f>IFERROR(__xludf.DUMMYFUNCTION("""COMPUTED_VALUE"""),"Anh Thắng")</f>
        <v>Anh Thắng</v>
      </c>
      <c r="C2969" s="119" t="str">
        <f>IFERROR(__xludf.DUMMYFUNCTION("""COMPUTED_VALUE"""),"k 106 Minh mạng")</f>
        <v>k 106 Minh mạng</v>
      </c>
      <c r="D2969" s="119" t="str">
        <f>IFERROR(__xludf.DUMMYFUNCTION("""COMPUTED_VALUE"""),"chó")</f>
        <v>chó</v>
      </c>
      <c r="E2969" s="119" t="str">
        <f>IFERROR(__xludf.DUMMYFUNCTION("""COMPUTED_VALUE""")," Trắng")</f>
        <v> Trắng</v>
      </c>
    </row>
    <row r="2970" ht="15.75" customHeight="1">
      <c r="A2970" s="122" t="str">
        <f>IFERROR(__xludf.DUMMYFUNCTION("""COMPUTED_VALUE"""),"0902 549 917")</f>
        <v>0902 549 917</v>
      </c>
      <c r="B2970" s="119" t="str">
        <f>IFERROR(__xludf.DUMMYFUNCTION("""COMPUTED_VALUE"""),"Lê Thị Hồng Hạnh")</f>
        <v>Lê Thị Hồng Hạnh</v>
      </c>
      <c r="C2970" s="119" t="str">
        <f>IFERROR(__xludf.DUMMYFUNCTION("""COMPUTED_VALUE"""),"21/19 Phan Đình Phùng")</f>
        <v>21/19 Phan Đình Phùng</v>
      </c>
      <c r="D2970" s="119" t="str">
        <f>IFERROR(__xludf.DUMMYFUNCTION("""COMPUTED_VALUE"""),"chó")</f>
        <v>chó</v>
      </c>
      <c r="E2970" s="119" t="str">
        <f>IFERROR(__xludf.DUMMYFUNCTION("""COMPUTED_VALUE"""),"Archie")</f>
        <v>Archie</v>
      </c>
    </row>
    <row r="2971" ht="15.75" customHeight="1">
      <c r="A2971" s="122" t="str">
        <f>IFERROR(__xludf.DUMMYFUNCTION("""COMPUTED_VALUE"""),"0362 743 287")</f>
        <v>0362 743 287</v>
      </c>
      <c r="B2971" s="119" t="str">
        <f>IFERROR(__xludf.DUMMYFUNCTION("""COMPUTED_VALUE"""),"Đặng Hưng")</f>
        <v>Đặng Hưng</v>
      </c>
      <c r="C2971" s="119" t="str">
        <f>IFERROR(__xludf.DUMMYFUNCTION("""COMPUTED_VALUE"""),"10 xóm 2 Ngọc anh")</f>
        <v>10 xóm 2 Ngọc anh</v>
      </c>
      <c r="D2971" s="119" t="str">
        <f>IFERROR(__xludf.DUMMYFUNCTION("""COMPUTED_VALUE"""),"chó")</f>
        <v>chó</v>
      </c>
      <c r="E2971" s="119" t="str">
        <f>IFERROR(__xludf.DUMMYFUNCTION("""COMPUTED_VALUE""")," Su-Nô")</f>
        <v> Su-Nô</v>
      </c>
    </row>
    <row r="2972" ht="15.75" customHeight="1">
      <c r="A2972" s="122" t="str">
        <f>IFERROR(__xludf.DUMMYFUNCTION("""COMPUTED_VALUE"""),"0912 861 002")</f>
        <v>0912 861 002</v>
      </c>
      <c r="B2972" s="119" t="str">
        <f>IFERROR(__xludf.DUMMYFUNCTION("""COMPUTED_VALUE"""),"Ngọc Hân")</f>
        <v>Ngọc Hân</v>
      </c>
      <c r="C2972" s="119" t="str">
        <f>IFERROR(__xludf.DUMMYFUNCTION("""COMPUTED_VALUE"""),"68/9 Nguyễn Phúc Nguyên")</f>
        <v>68/9 Nguyễn Phúc Nguyên</v>
      </c>
      <c r="D2972" s="119" t="str">
        <f>IFERROR(__xludf.DUMMYFUNCTION("""COMPUTED_VALUE"""),"chó")</f>
        <v>chó</v>
      </c>
      <c r="E2972" s="119" t="str">
        <f>IFERROR(__xludf.DUMMYFUNCTION("""COMPUTED_VALUE"""),"vàng")</f>
        <v>vàng</v>
      </c>
    </row>
    <row r="2973" ht="15.75" customHeight="1">
      <c r="A2973" s="122" t="str">
        <f>IFERROR(__xludf.DUMMYFUNCTION("""COMPUTED_VALUE"""),"0923 756 064")</f>
        <v>0923 756 064</v>
      </c>
      <c r="B2973" s="119"/>
      <c r="C2973" s="119" t="str">
        <f>IFERROR(__xludf.DUMMYFUNCTION("""COMPUTED_VALUE"""),"11c Đặng Huy Trứ")</f>
        <v>11c Đặng Huy Trứ</v>
      </c>
      <c r="D2973" s="119" t="str">
        <f>IFERROR(__xludf.DUMMYFUNCTION("""COMPUTED_VALUE"""),"chó")</f>
        <v>chó</v>
      </c>
      <c r="E2973" s="119" t="str">
        <f>IFERROR(__xludf.DUMMYFUNCTION("""COMPUTED_VALUE"""),"Sam")</f>
        <v>Sam</v>
      </c>
    </row>
    <row r="2974" ht="15.75" customHeight="1">
      <c r="A2974" s="122" t="str">
        <f>IFERROR(__xludf.DUMMYFUNCTION("""COMPUTED_VALUE"""),"0974 617 525")</f>
        <v>0974 617 525</v>
      </c>
      <c r="B2974" s="119" t="str">
        <f>IFERROR(__xludf.DUMMYFUNCTION("""COMPUTED_VALUE"""),"Em Cẩm Tú")</f>
        <v>Em Cẩm Tú</v>
      </c>
      <c r="C2974" s="119" t="str">
        <f>IFERROR(__xludf.DUMMYFUNCTION("""COMPUTED_VALUE"""),"18 Mai Khắc Đôn")</f>
        <v>18 Mai Khắc Đôn</v>
      </c>
      <c r="D2974" s="119" t="str">
        <f>IFERROR(__xludf.DUMMYFUNCTION("""COMPUTED_VALUE"""),"Mèo")</f>
        <v>Mèo</v>
      </c>
      <c r="E2974" s="119" t="str">
        <f>IFERROR(__xludf.DUMMYFUNCTION("""COMPUTED_VALUE"""),"Maru")</f>
        <v>Maru</v>
      </c>
    </row>
    <row r="2975" ht="15.75" customHeight="1">
      <c r="A2975" s="122" t="str">
        <f>IFERROR(__xludf.DUMMYFUNCTION("""COMPUTED_VALUE"""),"0329 493 306")</f>
        <v>0329 493 306</v>
      </c>
      <c r="B2975" s="119" t="str">
        <f>IFERROR(__xludf.DUMMYFUNCTION("""COMPUTED_VALUE"""),"Anh Thịnh")</f>
        <v>Anh Thịnh</v>
      </c>
      <c r="C2975" s="119" t="str">
        <f>IFERROR(__xludf.DUMMYFUNCTION("""COMPUTED_VALUE"""),"119 Nguyễn Lộ Trạch")</f>
        <v>119 Nguyễn Lộ Trạch</v>
      </c>
      <c r="D2975" s="119" t="str">
        <f>IFERROR(__xludf.DUMMYFUNCTION("""COMPUTED_VALUE"""),"chó")</f>
        <v>chó</v>
      </c>
      <c r="E2975" s="119" t="str">
        <f>IFERROR(__xludf.DUMMYFUNCTION("""COMPUTED_VALUE"""),"Xệ")</f>
        <v>Xệ</v>
      </c>
    </row>
    <row r="2976" ht="15.75" customHeight="1">
      <c r="A2976" s="122" t="str">
        <f>IFERROR(__xludf.DUMMYFUNCTION("""COMPUTED_VALUE"""),"0935 004 987")</f>
        <v>0935 004 987</v>
      </c>
      <c r="B2976" s="119" t="str">
        <f>IFERROR(__xludf.DUMMYFUNCTION("""COMPUTED_VALUE"""),"Anh Linh")</f>
        <v>Anh Linh</v>
      </c>
      <c r="C2976" s="119" t="str">
        <f>IFERROR(__xludf.DUMMYFUNCTION("""COMPUTED_VALUE"""),"50 Nguyễn Sinh Cung")</f>
        <v>50 Nguyễn Sinh Cung</v>
      </c>
      <c r="D2976" s="119" t="str">
        <f>IFERROR(__xludf.DUMMYFUNCTION("""COMPUTED_VALUE"""),"mèo")</f>
        <v>mèo</v>
      </c>
      <c r="E2976" s="119" t="str">
        <f>IFERROR(__xludf.DUMMYFUNCTION("""COMPUTED_VALUE"""),"Min")</f>
        <v>Min</v>
      </c>
    </row>
    <row r="2977" ht="15.75" customHeight="1">
      <c r="A2977" s="122" t="str">
        <f>IFERROR(__xludf.DUMMYFUNCTION("""COMPUTED_VALUE"""),"0364 433 525")</f>
        <v>0364 433 525</v>
      </c>
      <c r="B2977" s="119" t="str">
        <f>IFERROR(__xludf.DUMMYFUNCTION("""COMPUTED_VALUE"""),"Chị Tuyết")</f>
        <v>Chị Tuyết</v>
      </c>
      <c r="C2977" s="119" t="str">
        <f>IFERROR(__xludf.DUMMYFUNCTION("""COMPUTED_VALUE"""),"Phong Hải - Phong Điền")</f>
        <v>Phong Hải - Phong Điền</v>
      </c>
      <c r="D2977" s="119" t="str">
        <f>IFERROR(__xludf.DUMMYFUNCTION("""COMPUTED_VALUE"""),"chó")</f>
        <v>chó</v>
      </c>
      <c r="E2977" s="119" t="str">
        <f>IFERROR(__xludf.DUMMYFUNCTION("""COMPUTED_VALUE"""),"Milu")</f>
        <v>Milu</v>
      </c>
    </row>
    <row r="2978" ht="15.75" customHeight="1">
      <c r="A2978" s="122" t="str">
        <f>IFERROR(__xludf.DUMMYFUNCTION("""COMPUTED_VALUE"""),"0376 654 060")</f>
        <v>0376 654 060</v>
      </c>
      <c r="B2978" s="119" t="str">
        <f>IFERROR(__xludf.DUMMYFUNCTION("""COMPUTED_VALUE"""),"Trần Thị Hoà")</f>
        <v>Trần Thị Hoà</v>
      </c>
      <c r="C2978" s="119" t="str">
        <f>IFERROR(__xludf.DUMMYFUNCTION("""COMPUTED_VALUE"""),"Thuận An")</f>
        <v>Thuận An</v>
      </c>
      <c r="D2978" s="119" t="str">
        <f>IFERROR(__xludf.DUMMYFUNCTION("""COMPUTED_VALUE"""),"chó")</f>
        <v>chó</v>
      </c>
      <c r="E2978" s="119" t="str">
        <f>IFERROR(__xludf.DUMMYFUNCTION("""COMPUTED_VALUE"""),"Subin")</f>
        <v>Subin</v>
      </c>
    </row>
    <row r="2979" ht="15.75" customHeight="1">
      <c r="A2979" s="122" t="str">
        <f>IFERROR(__xludf.DUMMYFUNCTION("""COMPUTED_VALUE"""),"0969 082 718")</f>
        <v>0969 082 718</v>
      </c>
      <c r="B2979" s="119" t="str">
        <f>IFERROR(__xludf.DUMMYFUNCTION("""COMPUTED_VALUE"""),"Nguyễn Đình Hải")</f>
        <v>Nguyễn Đình Hải</v>
      </c>
      <c r="C2979" s="119" t="str">
        <f>IFERROR(__xludf.DUMMYFUNCTION("""COMPUTED_VALUE"""),"Phú Vang")</f>
        <v>Phú Vang</v>
      </c>
      <c r="D2979" s="119" t="str">
        <f>IFERROR(__xludf.DUMMYFUNCTION("""COMPUTED_VALUE"""),"mèo")</f>
        <v>mèo</v>
      </c>
      <c r="E2979" s="119" t="str">
        <f>IFERROR(__xludf.DUMMYFUNCTION("""COMPUTED_VALUE"""),"Chảnh")</f>
        <v>Chảnh</v>
      </c>
    </row>
    <row r="2980" ht="15.75" customHeight="1">
      <c r="A2980" s="122" t="str">
        <f>IFERROR(__xludf.DUMMYFUNCTION("""COMPUTED_VALUE"""),"0376 377 543")</f>
        <v>0376 377 543</v>
      </c>
      <c r="B2980" s="119" t="str">
        <f>IFERROR(__xludf.DUMMYFUNCTION("""COMPUTED_VALUE"""),"Anh Ben")</f>
        <v>Anh Ben</v>
      </c>
      <c r="C2980" s="119" t="str">
        <f>IFERROR(__xludf.DUMMYFUNCTION("""COMPUTED_VALUE"""),"6/8/35 Nguyễn Phúc Lan")</f>
        <v>6/8/35 Nguyễn Phúc Lan</v>
      </c>
      <c r="D2980" s="119" t="str">
        <f>IFERROR(__xludf.DUMMYFUNCTION("""COMPUTED_VALUE"""),"Chó")</f>
        <v>Chó</v>
      </c>
      <c r="E2980" s="119" t="str">
        <f>IFERROR(__xludf.DUMMYFUNCTION("""COMPUTED_VALUE"""),"Đốm")</f>
        <v>Đốm</v>
      </c>
    </row>
    <row r="2981" ht="15.75" customHeight="1">
      <c r="A2981" s="122" t="str">
        <f>IFERROR(__xludf.DUMMYFUNCTION("""COMPUTED_VALUE"""),"0396 881 854")</f>
        <v>0396 881 854</v>
      </c>
      <c r="B2981" s="119" t="str">
        <f>IFERROR(__xludf.DUMMYFUNCTION("""COMPUTED_VALUE"""),"Chị Phương Uyên")</f>
        <v>Chị Phương Uyên</v>
      </c>
      <c r="C2981" s="119" t="str">
        <f>IFERROR(__xludf.DUMMYFUNCTION("""COMPUTED_VALUE"""),"6/6 Văn Cao")</f>
        <v>6/6 Văn Cao</v>
      </c>
      <c r="D2981" s="119" t="str">
        <f>IFERROR(__xludf.DUMMYFUNCTION("""COMPUTED_VALUE"""),"mèo")</f>
        <v>mèo</v>
      </c>
      <c r="E2981" s="119" t="str">
        <f>IFERROR(__xludf.DUMMYFUNCTION("""COMPUTED_VALUE"""),"Miu")</f>
        <v>Miu</v>
      </c>
    </row>
    <row r="2982" ht="15.75" customHeight="1">
      <c r="A2982" s="122" t="str">
        <f>IFERROR(__xludf.DUMMYFUNCTION("""COMPUTED_VALUE"""),"0705 426 449")</f>
        <v>0705 426 449</v>
      </c>
      <c r="B2982" s="119" t="str">
        <f>IFERROR(__xludf.DUMMYFUNCTION("""COMPUTED_VALUE"""),"Ý Nhi")</f>
        <v>Ý Nhi</v>
      </c>
      <c r="C2982" s="119" t="str">
        <f>IFERROR(__xludf.DUMMYFUNCTION("""COMPUTED_VALUE"""),"12/143 Phan Bội Châu")</f>
        <v>12/143 Phan Bội Châu</v>
      </c>
      <c r="D2982" s="119" t="str">
        <f>IFERROR(__xludf.DUMMYFUNCTION("""COMPUTED_VALUE"""),"chó")</f>
        <v>chó</v>
      </c>
      <c r="E2982" s="119" t="str">
        <f>IFERROR(__xludf.DUMMYFUNCTION("""COMPUTED_VALUE"""),"Củ Cải")</f>
        <v>Củ Cải</v>
      </c>
    </row>
    <row r="2983" ht="15.75" customHeight="1">
      <c r="A2983" s="122" t="str">
        <f>IFERROR(__xludf.DUMMYFUNCTION("""COMPUTED_VALUE"""),"0385 691 344")</f>
        <v>0385 691 344</v>
      </c>
      <c r="B2983" s="119" t="str">
        <f>IFERROR(__xludf.DUMMYFUNCTION("""COMPUTED_VALUE"""),"Nguyễn Thị Thuỳ Nhân")</f>
        <v>Nguyễn Thị Thuỳ Nhân</v>
      </c>
      <c r="C2983" s="119" t="str">
        <f>IFERROR(__xludf.DUMMYFUNCTION("""COMPUTED_VALUE"""),"8/48 Ngự Bình")</f>
        <v>8/48 Ngự Bình</v>
      </c>
      <c r="D2983" s="119" t="str">
        <f>IFERROR(__xludf.DUMMYFUNCTION("""COMPUTED_VALUE"""),"chó")</f>
        <v>chó</v>
      </c>
      <c r="E2983" s="119" t="str">
        <f>IFERROR(__xludf.DUMMYFUNCTION("""COMPUTED_VALUE"""),"Mít")</f>
        <v>Mít</v>
      </c>
    </row>
    <row r="2984" ht="15.75" customHeight="1">
      <c r="A2984" s="122" t="str">
        <f>IFERROR(__xludf.DUMMYFUNCTION("""COMPUTED_VALUE"""),"0984 445 000")</f>
        <v>0984 445 000</v>
      </c>
      <c r="B2984" s="119" t="str">
        <f>IFERROR(__xludf.DUMMYFUNCTION("""COMPUTED_VALUE"""),"Ngọc Bảo")</f>
        <v>Ngọc Bảo</v>
      </c>
      <c r="C2984" s="119" t="str">
        <f>IFERROR(__xludf.DUMMYFUNCTION("""COMPUTED_VALUE"""),"28/31/8 Nguyễn Khoa Chiêm")</f>
        <v>28/31/8 Nguyễn Khoa Chiêm</v>
      </c>
      <c r="D2984" s="119" t="str">
        <f>IFERROR(__xludf.DUMMYFUNCTION("""COMPUTED_VALUE"""),"Chó")</f>
        <v>Chó</v>
      </c>
      <c r="E2984" s="119" t="str">
        <f>IFERROR(__xludf.DUMMYFUNCTION("""COMPUTED_VALUE"""),"Phú Quốc")</f>
        <v>Phú Quốc</v>
      </c>
    </row>
    <row r="2985" ht="15.75" customHeight="1">
      <c r="A2985" s="122" t="str">
        <f>IFERROR(__xludf.DUMMYFUNCTION("""COMPUTED_VALUE"""),"0948 601 914")</f>
        <v>0948 601 914</v>
      </c>
      <c r="B2985" s="119" t="str">
        <f>IFERROR(__xludf.DUMMYFUNCTION("""COMPUTED_VALUE"""),"Dì Hoàng")</f>
        <v>Dì Hoàng</v>
      </c>
      <c r="C2985" s="119" t="str">
        <f>IFERROR(__xludf.DUMMYFUNCTION("""COMPUTED_VALUE"""),"k55 Vũ Ngọc Phan")</f>
        <v>k55 Vũ Ngọc Phan</v>
      </c>
      <c r="D2985" s="119" t="str">
        <f>IFERROR(__xludf.DUMMYFUNCTION("""COMPUTED_VALUE"""),"chó")</f>
        <v>chó</v>
      </c>
      <c r="E2985" s="119" t="str">
        <f>IFERROR(__xludf.DUMMYFUNCTION("""COMPUTED_VALUE"""),"Co Ca")</f>
        <v>Co Ca</v>
      </c>
    </row>
    <row r="2986" ht="15.75" customHeight="1">
      <c r="A2986" s="122" t="str">
        <f>IFERROR(__xludf.DUMMYFUNCTION("""COMPUTED_VALUE"""),"0983 485 071")</f>
        <v>0983 485 071</v>
      </c>
      <c r="B2986" s="119" t="str">
        <f>IFERROR(__xludf.DUMMYFUNCTION("""COMPUTED_VALUE"""),"Trần Thị Thu Thảo")</f>
        <v>Trần Thị Thu Thảo</v>
      </c>
      <c r="C2986" s="119" t="str">
        <f>IFERROR(__xludf.DUMMYFUNCTION("""COMPUTED_VALUE"""),"Phú Lộc")</f>
        <v>Phú Lộc</v>
      </c>
      <c r="D2986" s="119" t="str">
        <f>IFERROR(__xludf.DUMMYFUNCTION("""COMPUTED_VALUE"""),"chó")</f>
        <v>chó</v>
      </c>
      <c r="E2986" s="119" t="str">
        <f>IFERROR(__xludf.DUMMYFUNCTION("""COMPUTED_VALUE"""),"Min")</f>
        <v>Min</v>
      </c>
    </row>
    <row r="2987" ht="15.75" customHeight="1">
      <c r="A2987" s="122" t="str">
        <f>IFERROR(__xludf.DUMMYFUNCTION("""COMPUTED_VALUE"""),"0903 513 430")</f>
        <v>0903 513 430</v>
      </c>
      <c r="B2987" s="119" t="str">
        <f>IFERROR(__xludf.DUMMYFUNCTION("""COMPUTED_VALUE"""),"Cô Quý")</f>
        <v>Cô Quý</v>
      </c>
      <c r="C2987" s="119" t="str">
        <f>IFERROR(__xludf.DUMMYFUNCTION("""COMPUTED_VALUE"""),"chùa")</f>
        <v>chùa</v>
      </c>
      <c r="D2987" s="119" t="str">
        <f>IFERROR(__xludf.DUMMYFUNCTION("""COMPUTED_VALUE"""),"mèo")</f>
        <v>mèo</v>
      </c>
      <c r="E2987" s="119" t="str">
        <f>IFERROR(__xludf.DUMMYFUNCTION("""COMPUTED_VALUE"""),"Bông")</f>
        <v>Bông</v>
      </c>
    </row>
    <row r="2988" ht="15.75" customHeight="1">
      <c r="A2988" s="122" t="str">
        <f>IFERROR(__xludf.DUMMYFUNCTION("""COMPUTED_VALUE"""),"0367 446 882")</f>
        <v>0367 446 882</v>
      </c>
      <c r="B2988" s="119" t="str">
        <f>IFERROR(__xludf.DUMMYFUNCTION("""COMPUTED_VALUE"""),"Chị Linh")</f>
        <v>Chị Linh</v>
      </c>
      <c r="C2988" s="119" t="str">
        <f>IFERROR(__xludf.DUMMYFUNCTION("""COMPUTED_VALUE"""),"Chợ Nọ")</f>
        <v>Chợ Nọ</v>
      </c>
      <c r="D2988" s="119" t="str">
        <f>IFERROR(__xludf.DUMMYFUNCTION("""COMPUTED_VALUE"""),"chó")</f>
        <v>chó</v>
      </c>
      <c r="E2988" s="119" t="str">
        <f>IFERROR(__xludf.DUMMYFUNCTION("""COMPUTED_VALUE"""),"Bơ")</f>
        <v>Bơ</v>
      </c>
    </row>
    <row r="2989" ht="15.75" customHeight="1">
      <c r="A2989" s="122" t="str">
        <f>IFERROR(__xludf.DUMMYFUNCTION("""COMPUTED_VALUE"""),"0905 181 199")</f>
        <v>0905 181 199</v>
      </c>
      <c r="B2989" s="119" t="str">
        <f>IFERROR(__xludf.DUMMYFUNCTION("""COMPUTED_VALUE"""),"Bác Trung")</f>
        <v>Bác Trung</v>
      </c>
      <c r="C2989" s="119" t="str">
        <f>IFERROR(__xludf.DUMMYFUNCTION("""COMPUTED_VALUE"""),"Lại Thế")</f>
        <v>Lại Thế</v>
      </c>
      <c r="D2989" s="119" t="str">
        <f>IFERROR(__xludf.DUMMYFUNCTION("""COMPUTED_VALUE"""),"chó")</f>
        <v>chó</v>
      </c>
      <c r="E2989" s="119" t="str">
        <f>IFERROR(__xludf.DUMMYFUNCTION("""COMPUTED_VALUE"""),"Vàng")</f>
        <v>Vàng</v>
      </c>
    </row>
    <row r="2990" ht="15.75" customHeight="1">
      <c r="A2990" s="122" t="str">
        <f>IFERROR(__xludf.DUMMYFUNCTION("""COMPUTED_VALUE"""),"0914 478 857")</f>
        <v>0914 478 857</v>
      </c>
      <c r="B2990" s="119" t="str">
        <f>IFERROR(__xludf.DUMMYFUNCTION("""COMPUTED_VALUE"""),"Dì Hạnh")</f>
        <v>Dì Hạnh</v>
      </c>
      <c r="C2990" s="119" t="str">
        <f>IFERROR(__xludf.DUMMYFUNCTION("""COMPUTED_VALUE"""),"205/4 Bà Triệu")</f>
        <v>205/4 Bà Triệu</v>
      </c>
      <c r="D2990" s="119" t="str">
        <f>IFERROR(__xludf.DUMMYFUNCTION("""COMPUTED_VALUE"""),"Chó")</f>
        <v>Chó</v>
      </c>
      <c r="E2990" s="119"/>
    </row>
    <row r="2991" ht="15.75" customHeight="1">
      <c r="A2991" s="122" t="str">
        <f>IFERROR(__xludf.DUMMYFUNCTION("""COMPUTED_VALUE"""),"0914 848 490")</f>
        <v>0914 848 490</v>
      </c>
      <c r="B2991" s="119" t="str">
        <f>IFERROR(__xludf.DUMMYFUNCTION("""COMPUTED_VALUE"""),"Phương")</f>
        <v>Phương</v>
      </c>
      <c r="C2991" s="119" t="str">
        <f>IFERROR(__xludf.DUMMYFUNCTION("""COMPUTED_VALUE"""),"K39 Đào Tấn")</f>
        <v>K39 Đào Tấn</v>
      </c>
      <c r="D2991" s="119" t="str">
        <f>IFERROR(__xludf.DUMMYFUNCTION("""COMPUTED_VALUE"""),"Mèo")</f>
        <v>Mèo</v>
      </c>
      <c r="E2991" s="119" t="str">
        <f>IFERROR(__xludf.DUMMYFUNCTION("""COMPUTED_VALUE"""),"Mèo mèo")</f>
        <v>Mèo mèo</v>
      </c>
    </row>
    <row r="2992" ht="15.75" customHeight="1">
      <c r="A2992" s="122" t="str">
        <f>IFERROR(__xludf.DUMMYFUNCTION("""COMPUTED_VALUE"""),"0905 551 912")</f>
        <v>0905 551 912</v>
      </c>
      <c r="B2992" s="119" t="str">
        <f>IFERROR(__xludf.DUMMYFUNCTION("""COMPUTED_VALUE"""),"Chị Hải")</f>
        <v>Chị Hải</v>
      </c>
      <c r="C2992" s="119" t="str">
        <f>IFERROR(__xludf.DUMMYFUNCTION("""COMPUTED_VALUE"""),"26 Minh Mạng")</f>
        <v>26 Minh Mạng</v>
      </c>
      <c r="D2992" s="119" t="str">
        <f>IFERROR(__xludf.DUMMYFUNCTION("""COMPUTED_VALUE"""),"Mèo")</f>
        <v>Mèo</v>
      </c>
      <c r="E2992" s="119"/>
    </row>
    <row r="2993" ht="15.75" customHeight="1">
      <c r="A2993" s="122" t="str">
        <f>IFERROR(__xludf.DUMMYFUNCTION("""COMPUTED_VALUE"""),"0935 064 164")</f>
        <v>0935 064 164</v>
      </c>
      <c r="B2993" s="119" t="str">
        <f>IFERROR(__xludf.DUMMYFUNCTION("""COMPUTED_VALUE"""),"Chú Duy")</f>
        <v>Chú Duy</v>
      </c>
      <c r="C2993" s="119" t="str">
        <f>IFERROR(__xludf.DUMMYFUNCTION("""COMPUTED_VALUE"""),"Trần Phú")</f>
        <v>Trần Phú</v>
      </c>
      <c r="D2993" s="119" t="str">
        <f>IFERROR(__xludf.DUMMYFUNCTION("""COMPUTED_VALUE"""),"Chó")</f>
        <v>Chó</v>
      </c>
      <c r="E2993" s="119" t="str">
        <f>IFERROR(__xludf.DUMMYFUNCTION("""COMPUTED_VALUE"""),"Bin")</f>
        <v>Bin</v>
      </c>
    </row>
    <row r="2994" ht="15.75" customHeight="1">
      <c r="A2994" s="122" t="str">
        <f>IFERROR(__xludf.DUMMYFUNCTION("""COMPUTED_VALUE"""),"0962 405 757")</f>
        <v>0962 405 757</v>
      </c>
      <c r="B2994" s="119" t="str">
        <f>IFERROR(__xludf.DUMMYFUNCTION("""COMPUTED_VALUE"""),"Đoàn Đức Lương")</f>
        <v>Đoàn Đức Lương</v>
      </c>
      <c r="C2994" s="119" t="str">
        <f>IFERROR(__xludf.DUMMYFUNCTION("""COMPUTED_VALUE"""),"số7 đường 6 An Cựu City")</f>
        <v>số7 đường 6 An Cựu City</v>
      </c>
      <c r="D2994" s="119" t="str">
        <f>IFERROR(__xludf.DUMMYFUNCTION("""COMPUTED_VALUE"""),"Mèo")</f>
        <v>Mèo</v>
      </c>
      <c r="E2994" s="119"/>
    </row>
    <row r="2995" ht="15.75" customHeight="1">
      <c r="A2995" s="122" t="str">
        <f>IFERROR(__xludf.DUMMYFUNCTION("""COMPUTED_VALUE"""),"0772 521 952")</f>
        <v>0772 521 952</v>
      </c>
      <c r="B2995" s="119" t="str">
        <f>IFERROR(__xludf.DUMMYFUNCTION("""COMPUTED_VALUE"""),"Linh")</f>
        <v>Linh</v>
      </c>
      <c r="C2995" s="119" t="str">
        <f>IFERROR(__xludf.DUMMYFUNCTION("""COMPUTED_VALUE"""),"11/20/120 Điện Biên Phủ")</f>
        <v>11/20/120 Điện Biên Phủ</v>
      </c>
      <c r="D2995" s="119" t="str">
        <f>IFERROR(__xludf.DUMMYFUNCTION("""COMPUTED_VALUE"""),"Chó")</f>
        <v>Chó</v>
      </c>
      <c r="E2995" s="119"/>
    </row>
    <row r="2996" ht="15.75" customHeight="1">
      <c r="A2996" s="122" t="str">
        <f>IFERROR(__xludf.DUMMYFUNCTION("""COMPUTED_VALUE"""),"0902 277 704")</f>
        <v>0902 277 704</v>
      </c>
      <c r="B2996" s="119" t="str">
        <f>IFERROR(__xludf.DUMMYFUNCTION("""COMPUTED_VALUE"""),"Chú Chánh ")</f>
        <v>Chú Chánh </v>
      </c>
      <c r="C2996" s="119" t="str">
        <f>IFERROR(__xludf.DUMMYFUNCTION("""COMPUTED_VALUE"""),"69 Thanh lam Bồ ")</f>
        <v>69 Thanh lam Bồ </v>
      </c>
      <c r="D2996" s="119" t="str">
        <f>IFERROR(__xludf.DUMMYFUNCTION("""COMPUTED_VALUE"""),"Chó ")</f>
        <v>Chó </v>
      </c>
      <c r="E2996" s="119" t="str">
        <f>IFERROR(__xludf.DUMMYFUNCTION("""COMPUTED_VALUE"""),"ken ")</f>
        <v>ken </v>
      </c>
    </row>
    <row r="2997" ht="15.75" customHeight="1">
      <c r="A2997" s="122" t="str">
        <f>IFERROR(__xludf.DUMMYFUNCTION("""COMPUTED_VALUE"""),"0387 106 526")</f>
        <v>0387 106 526</v>
      </c>
      <c r="B2997" s="119" t="str">
        <f>IFERROR(__xludf.DUMMYFUNCTION("""COMPUTED_VALUE"""),"Chị Thanh Thùy")</f>
        <v>Chị Thanh Thùy</v>
      </c>
      <c r="C2997" s="119" t="str">
        <f>IFERROR(__xludf.DUMMYFUNCTION("""COMPUTED_VALUE"""),"17 Nguyễn Bính ")</f>
        <v>17 Nguyễn Bính </v>
      </c>
      <c r="D2997" s="119" t="str">
        <f>IFERROR(__xludf.DUMMYFUNCTION("""COMPUTED_VALUE"""),"Mèo")</f>
        <v>Mèo</v>
      </c>
      <c r="E2997" s="119" t="str">
        <f>IFERROR(__xludf.DUMMYFUNCTION("""COMPUTED_VALUE"""),"Pic")</f>
        <v>Pic</v>
      </c>
    </row>
    <row r="2998" ht="15.75" customHeight="1">
      <c r="A2998" s="122" t="str">
        <f>IFERROR(__xludf.DUMMYFUNCTION("""COMPUTED_VALUE"""),"0914 132 272")</f>
        <v>0914 132 272</v>
      </c>
      <c r="B2998" s="119" t="str">
        <f>IFERROR(__xludf.DUMMYFUNCTION("""COMPUTED_VALUE"""),"Chú Dũng ")</f>
        <v>Chú Dũng </v>
      </c>
      <c r="C2998" s="119" t="str">
        <f>IFERROR(__xludf.DUMMYFUNCTION("""COMPUTED_VALUE"""),"214 Nguyễn Phúc Lan")</f>
        <v>214 Nguyễn Phúc Lan</v>
      </c>
      <c r="D2998" s="119" t="str">
        <f>IFERROR(__xludf.DUMMYFUNCTION("""COMPUTED_VALUE"""),"Chó ")</f>
        <v>Chó </v>
      </c>
      <c r="E2998" s="119" t="str">
        <f>IFERROR(__xludf.DUMMYFUNCTION("""COMPUTED_VALUE"""),"Bắp")</f>
        <v>Bắp</v>
      </c>
    </row>
    <row r="2999" ht="15.75" customHeight="1">
      <c r="A2999" s="122" t="str">
        <f>IFERROR(__xludf.DUMMYFUNCTION("""COMPUTED_VALUE"""),"0908 844 967")</f>
        <v>0908 844 967</v>
      </c>
      <c r="B2999" s="119" t="str">
        <f>IFERROR(__xludf.DUMMYFUNCTION("""COMPUTED_VALUE"""),"Anh Linh")</f>
        <v>Anh Linh</v>
      </c>
      <c r="C2999" s="119" t="str">
        <f>IFERROR(__xludf.DUMMYFUNCTION("""COMPUTED_VALUE"""),"35 Nguyễn Phúc Thái")</f>
        <v>35 Nguyễn Phúc Thái</v>
      </c>
      <c r="D2999" s="119" t="str">
        <f>IFERROR(__xludf.DUMMYFUNCTION("""COMPUTED_VALUE"""),"Chó")</f>
        <v>Chó</v>
      </c>
      <c r="E2999" s="119" t="str">
        <f>IFERROR(__xludf.DUMMYFUNCTION("""COMPUTED_VALUE"""),"Vàng")</f>
        <v>Vàng</v>
      </c>
    </row>
    <row r="3000" ht="15.75" customHeight="1">
      <c r="A3000" s="122" t="str">
        <f>IFERROR(__xludf.DUMMYFUNCTION("""COMPUTED_VALUE"""),"0799 327 150")</f>
        <v>0799 327 150</v>
      </c>
      <c r="B3000" s="119" t="str">
        <f>IFERROR(__xludf.DUMMYFUNCTION("""COMPUTED_VALUE"""),"Em Phúc")</f>
        <v>Em Phúc</v>
      </c>
      <c r="C3000" s="119" t="str">
        <f>IFERROR(__xludf.DUMMYFUNCTION("""COMPUTED_VALUE"""),"Hương Hồ")</f>
        <v>Hương Hồ</v>
      </c>
      <c r="D3000" s="119" t="str">
        <f>IFERROR(__xludf.DUMMYFUNCTION("""COMPUTED_VALUE"""),"Mèo")</f>
        <v>Mèo</v>
      </c>
      <c r="E3000" s="119" t="str">
        <f>IFERROR(__xludf.DUMMYFUNCTION("""COMPUTED_VALUE"""),"Vàng")</f>
        <v>Vàng</v>
      </c>
    </row>
    <row r="3001" ht="15.75" customHeight="1">
      <c r="A3001" s="122" t="str">
        <f>IFERROR(__xludf.DUMMYFUNCTION("""COMPUTED_VALUE"""),"0968 625 036")</f>
        <v>0968 625 036</v>
      </c>
      <c r="B3001" s="119" t="str">
        <f>IFERROR(__xludf.DUMMYFUNCTION("""COMPUTED_VALUE"""),"Chị Hà")</f>
        <v>Chị Hà</v>
      </c>
      <c r="C3001" s="119" t="str">
        <f>IFERROR(__xludf.DUMMYFUNCTION("""COMPUTED_VALUE"""),"Khu Quy Hoạch Kim Long")</f>
        <v>Khu Quy Hoạch Kim Long</v>
      </c>
      <c r="D3001" s="119" t="str">
        <f>IFERROR(__xludf.DUMMYFUNCTION("""COMPUTED_VALUE"""),"Chó")</f>
        <v>Chó</v>
      </c>
      <c r="E3001" s="119" t="str">
        <f>IFERROR(__xludf.DUMMYFUNCTION("""COMPUTED_VALUE"""),"Meo")</f>
        <v>Meo</v>
      </c>
    </row>
    <row r="3002" ht="15.75" customHeight="1">
      <c r="A3002" s="122" t="str">
        <f>IFERROR(__xludf.DUMMYFUNCTION("""COMPUTED_VALUE"""),"0398 663 683")</f>
        <v>0398 663 683</v>
      </c>
      <c r="B3002" s="119" t="str">
        <f>IFERROR(__xludf.DUMMYFUNCTION("""COMPUTED_VALUE"""),"Chị Thùy Linh ")</f>
        <v>Chị Thùy Linh </v>
      </c>
      <c r="C3002" s="119" t="str">
        <f>IFERROR(__xludf.DUMMYFUNCTION("""COMPUTED_VALUE"""),"Lan Xã Bầu - Thủy Thanh")</f>
        <v>Lan Xã Bầu - Thủy Thanh</v>
      </c>
      <c r="D3002" s="119" t="str">
        <f>IFERROR(__xludf.DUMMYFUNCTION("""COMPUTED_VALUE"""),"Mèo")</f>
        <v>Mèo</v>
      </c>
      <c r="E3002" s="119" t="str">
        <f>IFERROR(__xludf.DUMMYFUNCTION("""COMPUTED_VALUE"""),"Chuột")</f>
        <v>Chuột</v>
      </c>
    </row>
    <row r="3003" ht="15.75" customHeight="1">
      <c r="A3003" s="122" t="str">
        <f>IFERROR(__xludf.DUMMYFUNCTION("""COMPUTED_VALUE"""),"0382 883 873")</f>
        <v>0382 883 873</v>
      </c>
      <c r="B3003" s="119" t="str">
        <f>IFERROR(__xludf.DUMMYFUNCTION("""COMPUTED_VALUE"""),"Chị Giáng Châu")</f>
        <v>Chị Giáng Châu</v>
      </c>
      <c r="C3003" s="119" t="str">
        <f>IFERROR(__xludf.DUMMYFUNCTION("""COMPUTED_VALUE"""),"37 Nguyễn Hoàng")</f>
        <v>37 Nguyễn Hoàng</v>
      </c>
      <c r="D3003" s="119" t="str">
        <f>IFERROR(__xludf.DUMMYFUNCTION("""COMPUTED_VALUE"""),"Chó")</f>
        <v>Chó</v>
      </c>
      <c r="E3003" s="119" t="str">
        <f>IFERROR(__xludf.DUMMYFUNCTION("""COMPUTED_VALUE"""),"Mít")</f>
        <v>Mít</v>
      </c>
    </row>
    <row r="3004" ht="15.75" customHeight="1">
      <c r="A3004" s="122" t="str">
        <f>IFERROR(__xludf.DUMMYFUNCTION("""COMPUTED_VALUE"""),"0886 572 761")</f>
        <v>0886 572 761</v>
      </c>
      <c r="B3004" s="119" t="str">
        <f>IFERROR(__xludf.DUMMYFUNCTION("""COMPUTED_VALUE"""),"Thế Cường")</f>
        <v>Thế Cường</v>
      </c>
      <c r="C3004" s="119" t="str">
        <f>IFERROR(__xludf.DUMMYFUNCTION("""COMPUTED_VALUE"""),"Lô A2 Dục Thanh")</f>
        <v>Lô A2 Dục Thanh</v>
      </c>
      <c r="D3004" s="119" t="str">
        <f>IFERROR(__xludf.DUMMYFUNCTION("""COMPUTED_VALUE"""),"Mèo")</f>
        <v>Mèo</v>
      </c>
      <c r="E3004" s="119" t="str">
        <f>IFERROR(__xludf.DUMMYFUNCTION("""COMPUTED_VALUE"""),"Tuyết")</f>
        <v>Tuyết</v>
      </c>
    </row>
    <row r="3005" ht="15.75" customHeight="1">
      <c r="A3005" s="122" t="str">
        <f>IFERROR(__xludf.DUMMYFUNCTION("""COMPUTED_VALUE"""),"0335 283 403")</f>
        <v>0335 283 403</v>
      </c>
      <c r="B3005" s="119" t="str">
        <f>IFERROR(__xludf.DUMMYFUNCTION("""COMPUTED_VALUE"""),"Anh Chiến")</f>
        <v>Anh Chiến</v>
      </c>
      <c r="C3005" s="119" t="str">
        <f>IFERROR(__xludf.DUMMYFUNCTION("""COMPUTED_VALUE"""),"21 Đặng Chiêm")</f>
        <v>21 Đặng Chiêm</v>
      </c>
      <c r="D3005" s="119" t="str">
        <f>IFERROR(__xludf.DUMMYFUNCTION("""COMPUTED_VALUE"""),"Mèo")</f>
        <v>Mèo</v>
      </c>
      <c r="E3005" s="119" t="str">
        <f>IFERROR(__xludf.DUMMYFUNCTION("""COMPUTED_VALUE"""),"Râu")</f>
        <v>Râu</v>
      </c>
    </row>
    <row r="3006" ht="15.75" customHeight="1">
      <c r="A3006" s="122" t="str">
        <f>IFERROR(__xludf.DUMMYFUNCTION("""COMPUTED_VALUE"""),"0335 305 9890")</f>
        <v>0335 305 9890</v>
      </c>
      <c r="B3006" s="119" t="str">
        <f>IFERROR(__xludf.DUMMYFUNCTION("""COMPUTED_VALUE"""),"Chị Ngọc")</f>
        <v>Chị Ngọc</v>
      </c>
      <c r="C3006" s="119" t="str">
        <f>IFERROR(__xludf.DUMMYFUNCTION("""COMPUTED_VALUE"""),"14/91 hàn mạc tử")</f>
        <v>14/91 hàn mạc tử</v>
      </c>
      <c r="D3006" s="119" t="str">
        <f>IFERROR(__xludf.DUMMYFUNCTION("""COMPUTED_VALUE"""),"chó")</f>
        <v>chó</v>
      </c>
      <c r="E3006" s="119" t="str">
        <f>IFERROR(__xludf.DUMMYFUNCTION("""COMPUTED_VALUE""")," xù")</f>
        <v> xù</v>
      </c>
    </row>
    <row r="3007" ht="15.75" customHeight="1">
      <c r="A3007" s="122" t="str">
        <f>IFERROR(__xludf.DUMMYFUNCTION("""COMPUTED_VALUE"""),"0905 551 535")</f>
        <v>0905 551 535</v>
      </c>
      <c r="B3007" s="119" t="str">
        <f>IFERROR(__xludf.DUMMYFUNCTION("""COMPUTED_VALUE"""),"Chị Hân")</f>
        <v>Chị Hân</v>
      </c>
      <c r="C3007" s="119" t="str">
        <f>IFERROR(__xludf.DUMMYFUNCTION("""COMPUTED_VALUE"""),"32 Lê Đình Dương - Đà Nẵng")</f>
        <v>32 Lê Đình Dương - Đà Nẵng</v>
      </c>
      <c r="D3007" s="119" t="str">
        <f>IFERROR(__xludf.DUMMYFUNCTION("""COMPUTED_VALUE"""),"Mèo")</f>
        <v>Mèo</v>
      </c>
      <c r="E3007" s="119" t="str">
        <f>IFERROR(__xludf.DUMMYFUNCTION("""COMPUTED_VALUE"""),"Rồng")</f>
        <v>Rồng</v>
      </c>
    </row>
    <row r="3008" ht="15.75" customHeight="1">
      <c r="A3008" s="122" t="str">
        <f>IFERROR(__xludf.DUMMYFUNCTION("""COMPUTED_VALUE"""),"0913 621 135")</f>
        <v>0913 621 135</v>
      </c>
      <c r="B3008" s="119" t="str">
        <f>IFERROR(__xludf.DUMMYFUNCTION("""COMPUTED_VALUE"""),"Anh Quang")</f>
        <v>Anh Quang</v>
      </c>
      <c r="C3008" s="119" t="str">
        <f>IFERROR(__xludf.DUMMYFUNCTION("""COMPUTED_VALUE"""),"Thành phố Đà Nẵng")</f>
        <v>Thành phố Đà Nẵng</v>
      </c>
      <c r="D3008" s="119" t="str">
        <f>IFERROR(__xludf.DUMMYFUNCTION("""COMPUTED_VALUE"""),"Chó")</f>
        <v>Chó</v>
      </c>
      <c r="E3008" s="119" t="str">
        <f>IFERROR(__xludf.DUMMYFUNCTION("""COMPUTED_VALUE"""),"Sóc")</f>
        <v>Sóc</v>
      </c>
    </row>
    <row r="3009" ht="15.75" customHeight="1">
      <c r="A3009" s="122" t="str">
        <f>IFERROR(__xludf.DUMMYFUNCTION("""COMPUTED_VALUE"""),"0357 968 237")</f>
        <v>0357 968 237</v>
      </c>
      <c r="B3009" s="119" t="str">
        <f>IFERROR(__xludf.DUMMYFUNCTION("""COMPUTED_VALUE"""),"Anh Minh")</f>
        <v>Anh Minh</v>
      </c>
      <c r="C3009" s="119" t="str">
        <f>IFERROR(__xludf.DUMMYFUNCTION("""COMPUTED_VALUE"""),"24/12 Nguyễn Phúc Nguyên")</f>
        <v>24/12 Nguyễn Phúc Nguyên</v>
      </c>
      <c r="D3009" s="119" t="str">
        <f>IFERROR(__xludf.DUMMYFUNCTION("""COMPUTED_VALUE"""),"Chó")</f>
        <v>Chó</v>
      </c>
      <c r="E3009" s="119" t="str">
        <f>IFERROR(__xludf.DUMMYFUNCTION("""COMPUTED_VALUE"""),"Milu")</f>
        <v>Milu</v>
      </c>
    </row>
    <row r="3010" ht="15.75" customHeight="1">
      <c r="A3010" s="122" t="str">
        <f>IFERROR(__xludf.DUMMYFUNCTION("""COMPUTED_VALUE"""),"0365 521 527")</f>
        <v>0365 521 527</v>
      </c>
      <c r="B3010" s="119" t="str">
        <f>IFERROR(__xludf.DUMMYFUNCTION("""COMPUTED_VALUE"""),"Chị Tình")</f>
        <v>Chị Tình</v>
      </c>
      <c r="C3010" s="119" t="str">
        <f>IFERROR(__xludf.DUMMYFUNCTION("""COMPUTED_VALUE"""),"18/69 Phạm Thị Liên")</f>
        <v>18/69 Phạm Thị Liên</v>
      </c>
      <c r="D3010" s="119" t="str">
        <f>IFERROR(__xludf.DUMMYFUNCTION("""COMPUTED_VALUE"""),"Chó")</f>
        <v>Chó</v>
      </c>
      <c r="E3010" s="119" t="str">
        <f>IFERROR(__xludf.DUMMYFUNCTION("""COMPUTED_VALUE"""),"Rio")</f>
        <v>Rio</v>
      </c>
    </row>
    <row r="3011" ht="15.75" customHeight="1">
      <c r="A3011" s="122" t="str">
        <f>IFERROR(__xludf.DUMMYFUNCTION("""COMPUTED_VALUE"""),"0399 984 862")</f>
        <v>0399 984 862</v>
      </c>
      <c r="B3011" s="119" t="str">
        <f>IFERROR(__xludf.DUMMYFUNCTION("""COMPUTED_VALUE"""),"Dì Mai")</f>
        <v>Dì Mai</v>
      </c>
      <c r="C3011" s="119" t="str">
        <f>IFERROR(__xludf.DUMMYFUNCTION("""COMPUTED_VALUE"""),"44/17 An Ninh")</f>
        <v>44/17 An Ninh</v>
      </c>
      <c r="D3011" s="119" t="str">
        <f>IFERROR(__xludf.DUMMYFUNCTION("""COMPUTED_VALUE"""),"Chó")</f>
        <v>Chó</v>
      </c>
      <c r="E3011" s="119" t="str">
        <f>IFERROR(__xludf.DUMMYFUNCTION("""COMPUTED_VALUE"""),"Phóc")</f>
        <v>Phóc</v>
      </c>
    </row>
    <row r="3012" ht="15.75" customHeight="1">
      <c r="A3012" s="122" t="str">
        <f>IFERROR(__xludf.DUMMYFUNCTION("""COMPUTED_VALUE"""),"0935 625 024")</f>
        <v>0935 625 024</v>
      </c>
      <c r="B3012" s="119" t="str">
        <f>IFERROR(__xludf.DUMMYFUNCTION("""COMPUTED_VALUE"""),"Chị Po")</f>
        <v>Chị Po</v>
      </c>
      <c r="C3012" s="119" t="str">
        <f>IFERROR(__xludf.DUMMYFUNCTION("""COMPUTED_VALUE"""),"2/67 Vạn Xuân ")</f>
        <v>2/67 Vạn Xuân </v>
      </c>
      <c r="D3012" s="119" t="str">
        <f>IFERROR(__xludf.DUMMYFUNCTION("""COMPUTED_VALUE"""),"Chó ")</f>
        <v>Chó </v>
      </c>
      <c r="E3012" s="119" t="str">
        <f>IFERROR(__xludf.DUMMYFUNCTION("""COMPUTED_VALUE"""),"Sữa")</f>
        <v>Sữa</v>
      </c>
    </row>
    <row r="3013" ht="15.75" customHeight="1">
      <c r="A3013" s="122" t="str">
        <f>IFERROR(__xludf.DUMMYFUNCTION("""COMPUTED_VALUE"""),"0896 206 656")</f>
        <v>0896 206 656</v>
      </c>
      <c r="B3013" s="119" t="str">
        <f>IFERROR(__xludf.DUMMYFUNCTION("""COMPUTED_VALUE"""),"Anh Hào")</f>
        <v>Anh Hào</v>
      </c>
      <c r="C3013" s="119" t="str">
        <f>IFERROR(__xludf.DUMMYFUNCTION("""COMPUTED_VALUE"""),"34 Đặng Tất")</f>
        <v>34 Đặng Tất</v>
      </c>
      <c r="D3013" s="119" t="str">
        <f>IFERROR(__xludf.DUMMYFUNCTION("""COMPUTED_VALUE"""),"Chó")</f>
        <v>Chó</v>
      </c>
      <c r="E3013" s="119" t="str">
        <f>IFERROR(__xludf.DUMMYFUNCTION("""COMPUTED_VALUE"""),"Nô")</f>
        <v>Nô</v>
      </c>
    </row>
    <row r="3014" ht="15.75" customHeight="1">
      <c r="A3014" s="122" t="str">
        <f>IFERROR(__xludf.DUMMYFUNCTION("""COMPUTED_VALUE"""),"0905 778 608")</f>
        <v>0905 778 608</v>
      </c>
      <c r="B3014" s="119" t="str">
        <f>IFERROR(__xludf.DUMMYFUNCTION("""COMPUTED_VALUE"""),"Chị Ngân")</f>
        <v>Chị Ngân</v>
      </c>
      <c r="C3014" s="119" t="str">
        <f>IFERROR(__xludf.DUMMYFUNCTION("""COMPUTED_VALUE"""),"11 Mai Khắc Đôn")</f>
        <v>11 Mai Khắc Đôn</v>
      </c>
      <c r="D3014" s="119" t="str">
        <f>IFERROR(__xludf.DUMMYFUNCTION("""COMPUTED_VALUE"""),"Chó")</f>
        <v>Chó</v>
      </c>
      <c r="E3014" s="119" t="str">
        <f>IFERROR(__xludf.DUMMYFUNCTION("""COMPUTED_VALUE"""),"Nâu")</f>
        <v>Nâu</v>
      </c>
    </row>
    <row r="3015" ht="15.75" customHeight="1">
      <c r="A3015" s="122" t="str">
        <f>IFERROR(__xludf.DUMMYFUNCTION("""COMPUTED_VALUE"""),"0945 241 177")</f>
        <v>0945 241 177</v>
      </c>
      <c r="B3015" s="119" t="str">
        <f>IFERROR(__xludf.DUMMYFUNCTION("""COMPUTED_VALUE"""),"Chú Hiệp ")</f>
        <v>Chú Hiệp </v>
      </c>
      <c r="C3015" s="119" t="str">
        <f>IFERROR(__xludf.DUMMYFUNCTION("""COMPUTED_VALUE"""),"58/2 Nguyễn Phúc Chu")</f>
        <v>58/2 Nguyễn Phúc Chu</v>
      </c>
      <c r="D3015" s="119" t="str">
        <f>IFERROR(__xludf.DUMMYFUNCTION("""COMPUTED_VALUE"""),"Chó")</f>
        <v>Chó</v>
      </c>
      <c r="E3015" s="119" t="str">
        <f>IFERROR(__xludf.DUMMYFUNCTION("""COMPUTED_VALUE"""),"Micky")</f>
        <v>Micky</v>
      </c>
    </row>
    <row r="3016" ht="15.75" customHeight="1">
      <c r="A3016" s="122" t="str">
        <f>IFERROR(__xludf.DUMMYFUNCTION("""COMPUTED_VALUE"""),"0968 689 600")</f>
        <v>0968 689 600</v>
      </c>
      <c r="B3016" s="119" t="str">
        <f>IFERROR(__xludf.DUMMYFUNCTION("""COMPUTED_VALUE"""),"Khang")</f>
        <v>Khang</v>
      </c>
      <c r="C3016" s="119" t="str">
        <f>IFERROR(__xludf.DUMMYFUNCTION("""COMPUTED_VALUE"""),"12/69 Đặng Huy Trứ")</f>
        <v>12/69 Đặng Huy Trứ</v>
      </c>
      <c r="D3016" s="119" t="str">
        <f>IFERROR(__xludf.DUMMYFUNCTION("""COMPUTED_VALUE"""),"Chó")</f>
        <v>Chó</v>
      </c>
      <c r="E3016" s="119" t="str">
        <f>IFERROR(__xludf.DUMMYFUNCTION("""COMPUTED_VALUE"""),"Sóc")</f>
        <v>Sóc</v>
      </c>
    </row>
    <row r="3017" ht="15.75" customHeight="1">
      <c r="A3017" s="122" t="str">
        <f>IFERROR(__xludf.DUMMYFUNCTION("""COMPUTED_VALUE"""),"0935 266 287")</f>
        <v>0935 266 287</v>
      </c>
      <c r="B3017" s="119" t="str">
        <f>IFERROR(__xludf.DUMMYFUNCTION("""COMPUTED_VALUE"""),"Chú Thanh")</f>
        <v>Chú Thanh</v>
      </c>
      <c r="C3017" s="119" t="str">
        <f>IFERROR(__xludf.DUMMYFUNCTION("""COMPUTED_VALUE"""),"25 Nguyễn Hoàng ")</f>
        <v>25 Nguyễn Hoàng </v>
      </c>
      <c r="D3017" s="119" t="str">
        <f>IFERROR(__xludf.DUMMYFUNCTION("""COMPUTED_VALUE"""),"Chó")</f>
        <v>Chó</v>
      </c>
      <c r="E3017" s="119" t="str">
        <f>IFERROR(__xludf.DUMMYFUNCTION("""COMPUTED_VALUE"""),"Pin")</f>
        <v>Pin</v>
      </c>
    </row>
    <row r="3018" ht="15.75" customHeight="1">
      <c r="A3018" s="122" t="str">
        <f>IFERROR(__xludf.DUMMYFUNCTION("""COMPUTED_VALUE"""),"0935 202 060")</f>
        <v>0935 202 060</v>
      </c>
      <c r="B3018" s="119" t="str">
        <f>IFERROR(__xludf.DUMMYFUNCTION("""COMPUTED_VALUE"""),"Chị Minh")</f>
        <v>Chị Minh</v>
      </c>
      <c r="C3018" s="119" t="str">
        <f>IFERROR(__xludf.DUMMYFUNCTION("""COMPUTED_VALUE"""),"21/167 Nguyễn Hữu Cảnh")</f>
        <v>21/167 Nguyễn Hữu Cảnh</v>
      </c>
      <c r="D3018" s="119" t="str">
        <f>IFERROR(__xludf.DUMMYFUNCTION("""COMPUTED_VALUE"""),"chó")</f>
        <v>chó</v>
      </c>
      <c r="E3018" s="119" t="str">
        <f>IFERROR(__xludf.DUMMYFUNCTION("""COMPUTED_VALUE"""),"Boy")</f>
        <v>Boy</v>
      </c>
    </row>
    <row r="3019" ht="15.75" customHeight="1">
      <c r="A3019" s="122" t="str">
        <f>IFERROR(__xludf.DUMMYFUNCTION("""COMPUTED_VALUE"""),"0382 174 208")</f>
        <v>0382 174 208</v>
      </c>
      <c r="B3019" s="119" t="str">
        <f>IFERROR(__xludf.DUMMYFUNCTION("""COMPUTED_VALUE"""),"Bách")</f>
        <v>Bách</v>
      </c>
      <c r="C3019" s="119"/>
      <c r="D3019" s="119" t="str">
        <f>IFERROR(__xludf.DUMMYFUNCTION("""COMPUTED_VALUE"""),"Mèo")</f>
        <v>Mèo</v>
      </c>
      <c r="E3019" s="119" t="str">
        <f>IFERROR(__xludf.DUMMYFUNCTION("""COMPUTED_VALUE"""),"B Heo")</f>
        <v>B Heo</v>
      </c>
    </row>
    <row r="3020" ht="15.75" customHeight="1">
      <c r="A3020" s="122" t="str">
        <f>IFERROR(__xludf.DUMMYFUNCTION("""COMPUTED_VALUE"""),"0934 909 975")</f>
        <v>0934 909 975</v>
      </c>
      <c r="B3020" s="119" t="str">
        <f>IFERROR(__xludf.DUMMYFUNCTION("""COMPUTED_VALUE"""),"Chị Lan")</f>
        <v>Chị Lan</v>
      </c>
      <c r="C3020" s="119" t="str">
        <f>IFERROR(__xludf.DUMMYFUNCTION("""COMPUTED_VALUE"""),"Khu tái đinh cư Kim Long")</f>
        <v>Khu tái đinh cư Kim Long</v>
      </c>
      <c r="D3020" s="119" t="str">
        <f>IFERROR(__xludf.DUMMYFUNCTION("""COMPUTED_VALUE"""),"Chó")</f>
        <v>Chó</v>
      </c>
      <c r="E3020" s="119" t="str">
        <f>IFERROR(__xludf.DUMMYFUNCTION("""COMPUTED_VALUE"""),"Lu")</f>
        <v>Lu</v>
      </c>
    </row>
    <row r="3021" ht="15.75" customHeight="1">
      <c r="A3021" s="122" t="str">
        <f>IFERROR(__xludf.DUMMYFUNCTION("""COMPUTED_VALUE"""),"0393 983 738")</f>
        <v>0393 983 738</v>
      </c>
      <c r="B3021" s="119" t="str">
        <f>IFERROR(__xludf.DUMMYFUNCTION("""COMPUTED_VALUE"""),"Dì Hiệp ")</f>
        <v>Dì Hiệp </v>
      </c>
      <c r="C3021" s="119" t="str">
        <f>IFERROR(__xludf.DUMMYFUNCTION("""COMPUTED_VALUE"""),"Đông Hà")</f>
        <v>Đông Hà</v>
      </c>
      <c r="D3021" s="119" t="str">
        <f>IFERROR(__xludf.DUMMYFUNCTION("""COMPUTED_VALUE"""),"Chó")</f>
        <v>Chó</v>
      </c>
      <c r="E3021" s="119" t="str">
        <f>IFERROR(__xludf.DUMMYFUNCTION("""COMPUTED_VALUE"""),"Táo")</f>
        <v>Táo</v>
      </c>
    </row>
    <row r="3022" ht="15.75" customHeight="1">
      <c r="A3022" s="122" t="str">
        <f>IFERROR(__xludf.DUMMYFUNCTION("""COMPUTED_VALUE"""),"0906 412 668")</f>
        <v>0906 412 668</v>
      </c>
      <c r="B3022" s="119" t="str">
        <f>IFERROR(__xludf.DUMMYFUNCTION("""COMPUTED_VALUE"""),"Anh Chiểu")</f>
        <v>Anh Chiểu</v>
      </c>
      <c r="C3022" s="119" t="str">
        <f>IFERROR(__xludf.DUMMYFUNCTION("""COMPUTED_VALUE"""),"9/32 Nguyễn Phúc Chu")</f>
        <v>9/32 Nguyễn Phúc Chu</v>
      </c>
      <c r="D3022" s="119" t="str">
        <f>IFERROR(__xludf.DUMMYFUNCTION("""COMPUTED_VALUE"""),"Chó")</f>
        <v>Chó</v>
      </c>
      <c r="E3022" s="119"/>
    </row>
    <row r="3023" ht="15.75" customHeight="1">
      <c r="A3023" s="122" t="str">
        <f>IFERROR(__xludf.DUMMYFUNCTION("""COMPUTED_VALUE"""),"0944 206 263")</f>
        <v>0944 206 263</v>
      </c>
      <c r="B3023" s="119" t="str">
        <f>IFERROR(__xludf.DUMMYFUNCTION("""COMPUTED_VALUE"""),"Chị Loan")</f>
        <v>Chị Loan</v>
      </c>
      <c r="C3023" s="119" t="str">
        <f>IFERROR(__xludf.DUMMYFUNCTION("""COMPUTED_VALUE"""),"15 Nguyễn Hữu Dật")</f>
        <v>15 Nguyễn Hữu Dật</v>
      </c>
      <c r="D3023" s="119" t="str">
        <f>IFERROR(__xludf.DUMMYFUNCTION("""COMPUTED_VALUE"""),"mèo ")</f>
        <v>mèo </v>
      </c>
      <c r="E3023" s="119" t="str">
        <f>IFERROR(__xludf.DUMMYFUNCTION("""COMPUTED_VALUE"""),"Mun")</f>
        <v>Mun</v>
      </c>
    </row>
    <row r="3024" ht="15.75" customHeight="1">
      <c r="A3024" s="122" t="str">
        <f>IFERROR(__xludf.DUMMYFUNCTION("""COMPUTED_VALUE"""),"0355 685 079")</f>
        <v>0355 685 079</v>
      </c>
      <c r="B3024" s="119" t="str">
        <f>IFERROR(__xludf.DUMMYFUNCTION("""COMPUTED_VALUE"""),"Anh Tuấn")</f>
        <v>Anh Tuấn</v>
      </c>
      <c r="C3024" s="119" t="str">
        <f>IFERROR(__xludf.DUMMYFUNCTION("""COMPUTED_VALUE"""),"nhà gỗ dì Nga")</f>
        <v>nhà gỗ dì Nga</v>
      </c>
      <c r="D3024" s="119" t="str">
        <f>IFERROR(__xludf.DUMMYFUNCTION("""COMPUTED_VALUE"""),"chó")</f>
        <v>chó</v>
      </c>
      <c r="E3024" s="119" t="str">
        <f>IFERROR(__xludf.DUMMYFUNCTION("""COMPUTED_VALUE"""),"Bom")</f>
        <v>Bom</v>
      </c>
    </row>
    <row r="3025" ht="15.75" customHeight="1">
      <c r="A3025" s="122" t="str">
        <f>IFERROR(__xludf.DUMMYFUNCTION("""COMPUTED_VALUE"""),"0931 107 949")</f>
        <v>0931 107 949</v>
      </c>
      <c r="B3025" s="119" t="str">
        <f>IFERROR(__xludf.DUMMYFUNCTION("""COMPUTED_VALUE"""),"Chị Thảo")</f>
        <v>Chị Thảo</v>
      </c>
      <c r="C3025" s="119" t="str">
        <f>IFERROR(__xludf.DUMMYFUNCTION("""COMPUTED_VALUE"""),"19/25 Mai Khắc Đôn")</f>
        <v>19/25 Mai Khắc Đôn</v>
      </c>
      <c r="D3025" s="119" t="str">
        <f>IFERROR(__xludf.DUMMYFUNCTION("""COMPUTED_VALUE"""),"Mèo")</f>
        <v>Mèo</v>
      </c>
      <c r="E3025" s="119" t="str">
        <f>IFERROR(__xludf.DUMMYFUNCTION("""COMPUTED_VALUE"""),"Phương ")</f>
        <v>Phương </v>
      </c>
    </row>
    <row r="3026" ht="15.75" customHeight="1">
      <c r="A3026" s="122" t="str">
        <f>IFERROR(__xludf.DUMMYFUNCTION("""COMPUTED_VALUE"""),"0356 008 738")</f>
        <v>0356 008 738</v>
      </c>
      <c r="B3026" s="119" t="str">
        <f>IFERROR(__xludf.DUMMYFUNCTION("""COMPUTED_VALUE"""),"kim Oanh")</f>
        <v>kim Oanh</v>
      </c>
      <c r="C3026" s="119" t="str">
        <f>IFERROR(__xludf.DUMMYFUNCTION("""COMPUTED_VALUE"""),"Thị Xã Quảng Trị")</f>
        <v>Thị Xã Quảng Trị</v>
      </c>
      <c r="D3026" s="119" t="str">
        <f>IFERROR(__xludf.DUMMYFUNCTION("""COMPUTED_VALUE"""),"chó")</f>
        <v>chó</v>
      </c>
      <c r="E3026" s="119" t="str">
        <f>IFERROR(__xludf.DUMMYFUNCTION("""COMPUTED_VALUE"""),"Bông ")</f>
        <v>Bông </v>
      </c>
    </row>
    <row r="3027" ht="15.75" customHeight="1">
      <c r="A3027" s="122" t="str">
        <f>IFERROR(__xludf.DUMMYFUNCTION("""COMPUTED_VALUE"""),"0334 107 496")</f>
        <v>0334 107 496</v>
      </c>
      <c r="B3027" s="119" t="str">
        <f>IFERROR(__xludf.DUMMYFUNCTION("""COMPUTED_VALUE"""),"Chị Ka")</f>
        <v>Chị Ka</v>
      </c>
      <c r="C3027" s="119" t="str">
        <f>IFERROR(__xludf.DUMMYFUNCTION("""COMPUTED_VALUE"""),"Xóm Thủy Dương")</f>
        <v>Xóm Thủy Dương</v>
      </c>
      <c r="D3027" s="119" t="str">
        <f>IFERROR(__xludf.DUMMYFUNCTION("""COMPUTED_VALUE"""),"Chó")</f>
        <v>Chó</v>
      </c>
      <c r="E3027" s="119" t="str">
        <f>IFERROR(__xludf.DUMMYFUNCTION("""COMPUTED_VALUE"""),"Nô")</f>
        <v>Nô</v>
      </c>
    </row>
    <row r="3028" ht="15.75" customHeight="1">
      <c r="A3028" s="122" t="str">
        <f>IFERROR(__xludf.DUMMYFUNCTION("""COMPUTED_VALUE"""),"0825 425 999")</f>
        <v>0825 425 999</v>
      </c>
      <c r="B3028" s="119" t="str">
        <f>IFERROR(__xludf.DUMMYFUNCTION("""COMPUTED_VALUE"""),"Anh Thành ")</f>
        <v>Anh Thành </v>
      </c>
      <c r="C3028" s="119" t="str">
        <f>IFERROR(__xludf.DUMMYFUNCTION("""COMPUTED_VALUE"""),"Vincoland")</f>
        <v>Vincoland</v>
      </c>
      <c r="D3028" s="119" t="str">
        <f>IFERROR(__xludf.DUMMYFUNCTION("""COMPUTED_VALUE"""),"Chó")</f>
        <v>Chó</v>
      </c>
      <c r="E3028" s="119" t="str">
        <f>IFERROR(__xludf.DUMMYFUNCTION("""COMPUTED_VALUE"""),"lucky ")</f>
        <v>lucky </v>
      </c>
    </row>
    <row r="3029" ht="15.75" customHeight="1">
      <c r="A3029" s="122" t="str">
        <f>IFERROR(__xludf.DUMMYFUNCTION("""COMPUTED_VALUE"""),"0908 494 085")</f>
        <v>0908 494 085</v>
      </c>
      <c r="B3029" s="119" t="str">
        <f>IFERROR(__xludf.DUMMYFUNCTION("""COMPUTED_VALUE"""),"Chú Lực")</f>
        <v>Chú Lực</v>
      </c>
      <c r="C3029" s="119" t="str">
        <f>IFERROR(__xludf.DUMMYFUNCTION("""COMPUTED_VALUE"""),"An Bình")</f>
        <v>An Bình</v>
      </c>
      <c r="D3029" s="119" t="str">
        <f>IFERROR(__xludf.DUMMYFUNCTION("""COMPUTED_VALUE"""),"Chó ")</f>
        <v>Chó </v>
      </c>
      <c r="E3029" s="119"/>
    </row>
    <row r="3030" ht="15.75" customHeight="1">
      <c r="A3030" s="122" t="str">
        <f>IFERROR(__xludf.DUMMYFUNCTION("""COMPUTED_VALUE"""),"0787 761 451")</f>
        <v>0787 761 451</v>
      </c>
      <c r="B3030" s="119" t="str">
        <f>IFERROR(__xludf.DUMMYFUNCTION("""COMPUTED_VALUE"""),"Chị Duyên")</f>
        <v>Chị Duyên</v>
      </c>
      <c r="C3030" s="119" t="str">
        <f>IFERROR(__xludf.DUMMYFUNCTION("""COMPUTED_VALUE"""),"29/16 Lương Y")</f>
        <v>29/16 Lương Y</v>
      </c>
      <c r="D3030" s="119" t="str">
        <f>IFERROR(__xludf.DUMMYFUNCTION("""COMPUTED_VALUE"""),"chó")</f>
        <v>chó</v>
      </c>
      <c r="E3030" s="119" t="str">
        <f>IFERROR(__xludf.DUMMYFUNCTION("""COMPUTED_VALUE"""),"Rốt")</f>
        <v>Rốt</v>
      </c>
    </row>
    <row r="3031" ht="15.75" customHeight="1">
      <c r="A3031" s="122" t="str">
        <f>IFERROR(__xludf.DUMMYFUNCTION("""COMPUTED_VALUE"""),"0916 921 336")</f>
        <v>0916 921 336</v>
      </c>
      <c r="B3031" s="119" t="str">
        <f>IFERROR(__xludf.DUMMYFUNCTION("""COMPUTED_VALUE"""),"Anh Trang")</f>
        <v>Anh Trang</v>
      </c>
      <c r="C3031" s="119" t="str">
        <f>IFERROR(__xludf.DUMMYFUNCTION("""COMPUTED_VALUE"""),"Kim Long ")</f>
        <v>Kim Long </v>
      </c>
      <c r="D3031" s="119" t="str">
        <f>IFERROR(__xludf.DUMMYFUNCTION("""COMPUTED_VALUE"""),"Chó")</f>
        <v>Chó</v>
      </c>
      <c r="E3031" s="119" t="str">
        <f>IFERROR(__xludf.DUMMYFUNCTION("""COMPUTED_VALUE"""),"Candy")</f>
        <v>Candy</v>
      </c>
    </row>
    <row r="3032" ht="15.75" customHeight="1">
      <c r="A3032" s="122" t="str">
        <f>IFERROR(__xludf.DUMMYFUNCTION("""COMPUTED_VALUE"""),"0905 948 514")</f>
        <v>0905 948 514</v>
      </c>
      <c r="B3032" s="119" t="str">
        <f>IFERROR(__xludf.DUMMYFUNCTION("""COMPUTED_VALUE"""),"Bác Thanh")</f>
        <v>Bác Thanh</v>
      </c>
      <c r="C3032" s="119" t="str">
        <f>IFERROR(__xludf.DUMMYFUNCTION("""COMPUTED_VALUE"""),"6/79 Phạm Thị Liên")</f>
        <v>6/79 Phạm Thị Liên</v>
      </c>
      <c r="D3032" s="119" t="str">
        <f>IFERROR(__xludf.DUMMYFUNCTION("""COMPUTED_VALUE"""),"chó")</f>
        <v>chó</v>
      </c>
      <c r="E3032" s="119" t="str">
        <f>IFERROR(__xludf.DUMMYFUNCTION("""COMPUTED_VALUE"""),"Lucky")</f>
        <v>Lucky</v>
      </c>
    </row>
    <row r="3033" ht="15.75" customHeight="1">
      <c r="A3033" s="122" t="str">
        <f>IFERROR(__xludf.DUMMYFUNCTION("""COMPUTED_VALUE"""),"0858 886 715")</f>
        <v>0858 886 715</v>
      </c>
      <c r="B3033" s="119" t="str">
        <f>IFERROR(__xludf.DUMMYFUNCTION("""COMPUTED_VALUE"""),"Chị Giang")</f>
        <v>Chị Giang</v>
      </c>
      <c r="C3033" s="119" t="str">
        <f>IFERROR(__xludf.DUMMYFUNCTION("""COMPUTED_VALUE"""),"17 Nguyễn Phúc Thái")</f>
        <v>17 Nguyễn Phúc Thái</v>
      </c>
      <c r="D3033" s="119" t="str">
        <f>IFERROR(__xludf.DUMMYFUNCTION("""COMPUTED_VALUE"""),"chó")</f>
        <v>chó</v>
      </c>
      <c r="E3033" s="119" t="str">
        <f>IFERROR(__xludf.DUMMYFUNCTION("""COMPUTED_VALUE"""),"Đen")</f>
        <v>Đen</v>
      </c>
    </row>
    <row r="3034" ht="15.75" customHeight="1">
      <c r="A3034" s="122" t="str">
        <f>IFERROR(__xludf.DUMMYFUNCTION("""COMPUTED_VALUE"""),"0395 223 931")</f>
        <v>0395 223 931</v>
      </c>
      <c r="B3034" s="119" t="str">
        <f>IFERROR(__xludf.DUMMYFUNCTION("""COMPUTED_VALUE"""),"Phi Vân")</f>
        <v>Phi Vân</v>
      </c>
      <c r="C3034" s="119" t="str">
        <f>IFERROR(__xludf.DUMMYFUNCTION("""COMPUTED_VALUE"""),"Tổ 8 KV 4 PHường An Tây")</f>
        <v>Tổ 8 KV 4 PHường An Tây</v>
      </c>
      <c r="D3034" s="119" t="str">
        <f>IFERROR(__xludf.DUMMYFUNCTION("""COMPUTED_VALUE"""),"Chó")</f>
        <v>Chó</v>
      </c>
      <c r="E3034" s="119"/>
    </row>
    <row r="3035" ht="15.75" customHeight="1">
      <c r="A3035" s="122" t="str">
        <f>IFERROR(__xludf.DUMMYFUNCTION("""COMPUTED_VALUE"""),"0377 420 746")</f>
        <v>0377 420 746</v>
      </c>
      <c r="B3035" s="119" t="str">
        <f>IFERROR(__xludf.DUMMYFUNCTION("""COMPUTED_VALUE"""),"Chú Phước")</f>
        <v>Chú Phước</v>
      </c>
      <c r="C3035" s="119" t="str">
        <f>IFERROR(__xludf.DUMMYFUNCTION("""COMPUTED_VALUE"""),"724 Nguyễn Khoa Vi")</f>
        <v>724 Nguyễn Khoa Vi</v>
      </c>
      <c r="D3035" s="119" t="str">
        <f>IFERROR(__xludf.DUMMYFUNCTION("""COMPUTED_VALUE"""),"chó")</f>
        <v>chó</v>
      </c>
      <c r="E3035" s="119" t="str">
        <f>IFERROR(__xludf.DUMMYFUNCTION("""COMPUTED_VALUE"""),"Đen")</f>
        <v>Đen</v>
      </c>
    </row>
    <row r="3036" ht="15.75" customHeight="1">
      <c r="A3036" s="122" t="str">
        <f>IFERROR(__xludf.DUMMYFUNCTION("""COMPUTED_VALUE"""),"0941 720 921")</f>
        <v>0941 720 921</v>
      </c>
      <c r="B3036" s="119" t="str">
        <f>IFERROR(__xludf.DUMMYFUNCTION("""COMPUTED_VALUE"""),"Nhi")</f>
        <v>Nhi</v>
      </c>
      <c r="C3036" s="119" t="str">
        <f>IFERROR(__xludf.DUMMYFUNCTION("""COMPUTED_VALUE"""),"22/137 Trường Chinh")</f>
        <v>22/137 Trường Chinh</v>
      </c>
      <c r="D3036" s="119" t="str">
        <f>IFERROR(__xludf.DUMMYFUNCTION("""COMPUTED_VALUE"""),"Chó")</f>
        <v>Chó</v>
      </c>
      <c r="E3036" s="119" t="str">
        <f>IFERROR(__xludf.DUMMYFUNCTION("""COMPUTED_VALUE"""),"CoCo")</f>
        <v>CoCo</v>
      </c>
    </row>
    <row r="3037" ht="15.75" customHeight="1">
      <c r="A3037" s="122" t="str">
        <f>IFERROR(__xludf.DUMMYFUNCTION("""COMPUTED_VALUE"""),"0901 211 357")</f>
        <v>0901 211 357</v>
      </c>
      <c r="B3037" s="119" t="str">
        <f>IFERROR(__xludf.DUMMYFUNCTION("""COMPUTED_VALUE"""),"Khanh")</f>
        <v>Khanh</v>
      </c>
      <c r="C3037" s="119" t="str">
        <f>IFERROR(__xludf.DUMMYFUNCTION("""COMPUTED_VALUE"""),"Thủy Bằng")</f>
        <v>Thủy Bằng</v>
      </c>
      <c r="D3037" s="119" t="str">
        <f>IFERROR(__xludf.DUMMYFUNCTION("""COMPUTED_VALUE"""),"Chó")</f>
        <v>Chó</v>
      </c>
      <c r="E3037" s="119" t="str">
        <f>IFERROR(__xludf.DUMMYFUNCTION("""COMPUTED_VALUE"""),"Đen")</f>
        <v>Đen</v>
      </c>
    </row>
    <row r="3038" ht="15.75" customHeight="1">
      <c r="A3038" s="122" t="str">
        <f>IFERROR(__xludf.DUMMYFUNCTION("""COMPUTED_VALUE"""),"0905 493 328")</f>
        <v>0905 493 328</v>
      </c>
      <c r="B3038" s="119" t="str">
        <f>IFERROR(__xludf.DUMMYFUNCTION("""COMPUTED_VALUE"""),"Chú Vũ")</f>
        <v>Chú Vũ</v>
      </c>
      <c r="C3038" s="119" t="str">
        <f>IFERROR(__xludf.DUMMYFUNCTION("""COMPUTED_VALUE"""),"35 Cao Xuân Dục")</f>
        <v>35 Cao Xuân Dục</v>
      </c>
      <c r="D3038" s="119" t="str">
        <f>IFERROR(__xludf.DUMMYFUNCTION("""COMPUTED_VALUE"""),"chó")</f>
        <v>chó</v>
      </c>
      <c r="E3038" s="119" t="str">
        <f>IFERROR(__xludf.DUMMYFUNCTION("""COMPUTED_VALUE"""),"lu")</f>
        <v>lu</v>
      </c>
    </row>
    <row r="3039" ht="15.75" customHeight="1">
      <c r="A3039" s="122" t="str">
        <f>IFERROR(__xludf.DUMMYFUNCTION("""COMPUTED_VALUE"""),"0905 126 766")</f>
        <v>0905 126 766</v>
      </c>
      <c r="B3039" s="119" t="str">
        <f>IFERROR(__xludf.DUMMYFUNCTION("""COMPUTED_VALUE"""),"Anh Lân")</f>
        <v>Anh Lân</v>
      </c>
      <c r="C3039" s="119" t="str">
        <f>IFERROR(__xludf.DUMMYFUNCTION("""COMPUTED_VALUE"""),"42 Tùng Thiện Vương")</f>
        <v>42 Tùng Thiện Vương</v>
      </c>
      <c r="D3039" s="119" t="str">
        <f>IFERROR(__xludf.DUMMYFUNCTION("""COMPUTED_VALUE"""),"chó")</f>
        <v>chó</v>
      </c>
      <c r="E3039" s="119" t="str">
        <f>IFERROR(__xludf.DUMMYFUNCTION("""COMPUTED_VALUE"""),"Kendu")</f>
        <v>Kendu</v>
      </c>
    </row>
    <row r="3040" ht="15.75" customHeight="1">
      <c r="A3040" s="122" t="str">
        <f>IFERROR(__xludf.DUMMYFUNCTION("""COMPUTED_VALUE"""),"0798 483 929")</f>
        <v>0798 483 929</v>
      </c>
      <c r="B3040" s="119" t="str">
        <f>IFERROR(__xludf.DUMMYFUNCTION("""COMPUTED_VALUE"""),"Anh Phùng")</f>
        <v>Anh Phùng</v>
      </c>
      <c r="C3040" s="119" t="str">
        <f>IFERROR(__xludf.DUMMYFUNCTION("""COMPUTED_VALUE"""),"32 Triệu Việt Vương")</f>
        <v>32 Triệu Việt Vương</v>
      </c>
      <c r="D3040" s="119" t="str">
        <f>IFERROR(__xludf.DUMMYFUNCTION("""COMPUTED_VALUE"""),"chó")</f>
        <v>chó</v>
      </c>
      <c r="E3040" s="119" t="str">
        <f>IFERROR(__xludf.DUMMYFUNCTION("""COMPUTED_VALUE"""),"Net")</f>
        <v>Net</v>
      </c>
    </row>
    <row r="3041" ht="15.75" customHeight="1">
      <c r="A3041" s="122" t="str">
        <f>IFERROR(__xludf.DUMMYFUNCTION("""COMPUTED_VALUE"""),"0967 626 543")</f>
        <v>0967 626 543</v>
      </c>
      <c r="B3041" s="119" t="str">
        <f>IFERROR(__xludf.DUMMYFUNCTION("""COMPUTED_VALUE"""),"Chị Ri")</f>
        <v>Chị Ri</v>
      </c>
      <c r="C3041" s="119" t="str">
        <f>IFERROR(__xludf.DUMMYFUNCTION("""COMPUTED_VALUE"""),"Thuận An")</f>
        <v>Thuận An</v>
      </c>
      <c r="D3041" s="119" t="str">
        <f>IFERROR(__xludf.DUMMYFUNCTION("""COMPUTED_VALUE"""),"chó")</f>
        <v>chó</v>
      </c>
      <c r="E3041" s="119" t="str">
        <f>IFERROR(__xludf.DUMMYFUNCTION("""COMPUTED_VALUE"""),"Bèo")</f>
        <v>Bèo</v>
      </c>
    </row>
    <row r="3042" ht="15.75" customHeight="1">
      <c r="A3042" s="122" t="str">
        <f>IFERROR(__xludf.DUMMYFUNCTION("""COMPUTED_VALUE"""),"0949 461 175")</f>
        <v>0949 461 175</v>
      </c>
      <c r="B3042" s="119" t="str">
        <f>IFERROR(__xludf.DUMMYFUNCTION("""COMPUTED_VALUE"""),"Hoàng Nam")</f>
        <v>Hoàng Nam</v>
      </c>
      <c r="C3042" s="119" t="str">
        <f>IFERROR(__xludf.DUMMYFUNCTION("""COMPUTED_VALUE"""),"25 Hà Nội")</f>
        <v>25 Hà Nội</v>
      </c>
      <c r="D3042" s="119" t="str">
        <f>IFERROR(__xludf.DUMMYFUNCTION("""COMPUTED_VALUE"""),"Mèo")</f>
        <v>Mèo</v>
      </c>
      <c r="E3042" s="119" t="str">
        <f>IFERROR(__xludf.DUMMYFUNCTION("""COMPUTED_VALUE"""),"Min ")</f>
        <v>Min </v>
      </c>
    </row>
    <row r="3043" ht="15.75" customHeight="1">
      <c r="A3043" s="122" t="str">
        <f>IFERROR(__xludf.DUMMYFUNCTION("""COMPUTED_VALUE"""),"0934 808 141")</f>
        <v>0934 808 141</v>
      </c>
      <c r="B3043" s="119" t="str">
        <f>IFERROR(__xludf.DUMMYFUNCTION("""COMPUTED_VALUE"""),"Chị Dung")</f>
        <v>Chị Dung</v>
      </c>
      <c r="C3043" s="119" t="str">
        <f>IFERROR(__xludf.DUMMYFUNCTION("""COMPUTED_VALUE"""),"12 Hà Huy Giáp")</f>
        <v>12 Hà Huy Giáp</v>
      </c>
      <c r="D3043" s="119" t="str">
        <f>IFERROR(__xludf.DUMMYFUNCTION("""COMPUTED_VALUE"""),"chó")</f>
        <v>chó</v>
      </c>
      <c r="E3043" s="119" t="str">
        <f>IFERROR(__xludf.DUMMYFUNCTION("""COMPUTED_VALUE"""),"Milo")</f>
        <v>Milo</v>
      </c>
    </row>
    <row r="3044" ht="15.75" customHeight="1">
      <c r="A3044" s="122" t="str">
        <f>IFERROR(__xludf.DUMMYFUNCTION("""COMPUTED_VALUE"""),"0917 371 189")</f>
        <v>0917 371 189</v>
      </c>
      <c r="B3044" s="119" t="str">
        <f>IFERROR(__xludf.DUMMYFUNCTION("""COMPUTED_VALUE"""),"Kim Anh")</f>
        <v>Kim Anh</v>
      </c>
      <c r="C3044" s="119" t="str">
        <f>IFERROR(__xludf.DUMMYFUNCTION("""COMPUTED_VALUE"""),"9D/29/69/131 Trần Phú")</f>
        <v>9D/29/69/131 Trần Phú</v>
      </c>
      <c r="D3044" s="119" t="str">
        <f>IFERROR(__xludf.DUMMYFUNCTION("""COMPUTED_VALUE"""),"chó")</f>
        <v>chó</v>
      </c>
      <c r="E3044" s="119" t="str">
        <f>IFERROR(__xludf.DUMMYFUNCTION("""COMPUTED_VALUE"""),"Xù")</f>
        <v>Xù</v>
      </c>
    </row>
    <row r="3045" ht="15.75" customHeight="1">
      <c r="A3045" s="122" t="str">
        <f>IFERROR(__xludf.DUMMYFUNCTION("""COMPUTED_VALUE"""),"0363 686 816")</f>
        <v>0363 686 816</v>
      </c>
      <c r="B3045" s="119" t="str">
        <f>IFERROR(__xludf.DUMMYFUNCTION("""COMPUTED_VALUE"""),"Khuyên")</f>
        <v>Khuyên</v>
      </c>
      <c r="C3045" s="119" t="str">
        <f>IFERROR(__xludf.DUMMYFUNCTION("""COMPUTED_VALUE"""),"Phú Vang")</f>
        <v>Phú Vang</v>
      </c>
      <c r="D3045" s="119" t="str">
        <f>IFERROR(__xludf.DUMMYFUNCTION("""COMPUTED_VALUE"""),"Chó")</f>
        <v>Chó</v>
      </c>
      <c r="E3045" s="119" t="str">
        <f>IFERROR(__xludf.DUMMYFUNCTION("""COMPUTED_VALUE"""),"Sữa")</f>
        <v>Sữa</v>
      </c>
    </row>
    <row r="3046" ht="15.75" customHeight="1">
      <c r="A3046" s="122" t="str">
        <f>IFERROR(__xludf.DUMMYFUNCTION("""COMPUTED_VALUE"""),"0396 888 162")</f>
        <v>0396 888 162</v>
      </c>
      <c r="B3046" s="119" t="str">
        <f>IFERROR(__xludf.DUMMYFUNCTION("""COMPUTED_VALUE"""),"Chị Lành")</f>
        <v>Chị Lành</v>
      </c>
      <c r="C3046" s="119" t="str">
        <f>IFERROR(__xludf.DUMMYFUNCTION("""COMPUTED_VALUE"""),"Thủy Bằng")</f>
        <v>Thủy Bằng</v>
      </c>
      <c r="D3046" s="119" t="str">
        <f>IFERROR(__xludf.DUMMYFUNCTION("""COMPUTED_VALUE"""),"Chó")</f>
        <v>Chó</v>
      </c>
      <c r="E3046" s="119" t="str">
        <f>IFERROR(__xludf.DUMMYFUNCTION("""COMPUTED_VALUE"""),"Min ")</f>
        <v>Min </v>
      </c>
    </row>
    <row r="3047" ht="15.75" customHeight="1">
      <c r="A3047" s="122" t="str">
        <f>IFERROR(__xludf.DUMMYFUNCTION("""COMPUTED_VALUE"""),"0334 120 632")</f>
        <v>0334 120 632</v>
      </c>
      <c r="B3047" s="119" t="str">
        <f>IFERROR(__xludf.DUMMYFUNCTION("""COMPUTED_VALUE"""),"Anh Tài")</f>
        <v>Anh Tài</v>
      </c>
      <c r="C3047" s="119" t="str">
        <f>IFERROR(__xludf.DUMMYFUNCTION("""COMPUTED_VALUE"""),"239 Nguyễn Sinh Cung")</f>
        <v>239 Nguyễn Sinh Cung</v>
      </c>
      <c r="D3047" s="119" t="str">
        <f>IFERROR(__xludf.DUMMYFUNCTION("""COMPUTED_VALUE"""),"Chó")</f>
        <v>Chó</v>
      </c>
      <c r="E3047" s="119" t="str">
        <f>IFERROR(__xludf.DUMMYFUNCTION("""COMPUTED_VALUE"""),"Rich /bun")</f>
        <v>Rich /bun</v>
      </c>
    </row>
    <row r="3048" ht="15.75" customHeight="1">
      <c r="A3048" s="122" t="str">
        <f>IFERROR(__xludf.DUMMYFUNCTION("""COMPUTED_VALUE"""),"0935 673 750")</f>
        <v>0935 673 750</v>
      </c>
      <c r="B3048" s="119" t="str">
        <f>IFERROR(__xludf.DUMMYFUNCTION("""COMPUTED_VALUE"""),"Huyền")</f>
        <v>Huyền</v>
      </c>
      <c r="C3048" s="119" t="str">
        <f>IFERROR(__xludf.DUMMYFUNCTION("""COMPUTED_VALUE"""),"242 Bùi Thị Xuân")</f>
        <v>242 Bùi Thị Xuân</v>
      </c>
      <c r="D3048" s="119" t="str">
        <f>IFERROR(__xludf.DUMMYFUNCTION("""COMPUTED_VALUE"""),"Chó")</f>
        <v>Chó</v>
      </c>
      <c r="E3048" s="119" t="str">
        <f>IFERROR(__xludf.DUMMYFUNCTION("""COMPUTED_VALUE"""),"Bi")</f>
        <v>Bi</v>
      </c>
    </row>
    <row r="3049" ht="15.75" customHeight="1">
      <c r="A3049" s="122" t="str">
        <f>IFERROR(__xludf.DUMMYFUNCTION("""COMPUTED_VALUE"""),"0367 318 080")</f>
        <v>0367 318 080</v>
      </c>
      <c r="B3049" s="119" t="str">
        <f>IFERROR(__xludf.DUMMYFUNCTION("""COMPUTED_VALUE"""),"Nguyễn Thị Phương Anh")</f>
        <v>Nguyễn Thị Phương Anh</v>
      </c>
      <c r="C3049" s="119" t="str">
        <f>IFERROR(__xludf.DUMMYFUNCTION("""COMPUTED_VALUE"""),"7 Nguyễn Phước Thụ")</f>
        <v>7 Nguyễn Phước Thụ</v>
      </c>
      <c r="D3049" s="119" t="str">
        <f>IFERROR(__xludf.DUMMYFUNCTION("""COMPUTED_VALUE"""),"chó")</f>
        <v>chó</v>
      </c>
      <c r="E3049" s="119" t="str">
        <f>IFERROR(__xludf.DUMMYFUNCTION("""COMPUTED_VALUE"""),"Milo")</f>
        <v>Milo</v>
      </c>
    </row>
    <row r="3050" ht="15.75" customHeight="1">
      <c r="A3050" s="122" t="str">
        <f>IFERROR(__xludf.DUMMYFUNCTION("""COMPUTED_VALUE"""),"0982 016 026")</f>
        <v>0982 016 026</v>
      </c>
      <c r="B3050" s="119" t="str">
        <f>IFERROR(__xludf.DUMMYFUNCTION("""COMPUTED_VALUE"""),"Cô Thảo")</f>
        <v>Cô Thảo</v>
      </c>
      <c r="C3050" s="119" t="str">
        <f>IFERROR(__xludf.DUMMYFUNCTION("""COMPUTED_VALUE"""),"100 Phạm Văn Đồng")</f>
        <v>100 Phạm Văn Đồng</v>
      </c>
      <c r="D3050" s="119" t="str">
        <f>IFERROR(__xludf.DUMMYFUNCTION("""COMPUTED_VALUE"""),"mèo")</f>
        <v>mèo</v>
      </c>
      <c r="E3050" s="119" t="str">
        <f>IFERROR(__xludf.DUMMYFUNCTION("""COMPUTED_VALUE"""),"Mun")</f>
        <v>Mun</v>
      </c>
    </row>
    <row r="3051" ht="15.75" customHeight="1">
      <c r="A3051" s="122" t="str">
        <f>IFERROR(__xludf.DUMMYFUNCTION("""COMPUTED_VALUE"""),"0387 376 002")</f>
        <v>0387 376 002</v>
      </c>
      <c r="B3051" s="119" t="str">
        <f>IFERROR(__xludf.DUMMYFUNCTION("""COMPUTED_VALUE"""),"Chị trâm")</f>
        <v>Chị trâm</v>
      </c>
      <c r="C3051" s="119" t="str">
        <f>IFERROR(__xludf.DUMMYFUNCTION("""COMPUTED_VALUE"""),"3/38 Tịnh Tâm")</f>
        <v>3/38 Tịnh Tâm</v>
      </c>
      <c r="D3051" s="119" t="str">
        <f>IFERROR(__xludf.DUMMYFUNCTION("""COMPUTED_VALUE"""),"chó")</f>
        <v>chó</v>
      </c>
      <c r="E3051" s="119" t="str">
        <f>IFERROR(__xludf.DUMMYFUNCTION("""COMPUTED_VALUE"""),"Khủng Long")</f>
        <v>Khủng Long</v>
      </c>
    </row>
    <row r="3052" ht="15.75" customHeight="1">
      <c r="A3052" s="122" t="str">
        <f>IFERROR(__xludf.DUMMYFUNCTION("""COMPUTED_VALUE"""),"0779 547 794")</f>
        <v>0779 547 794</v>
      </c>
      <c r="B3052" s="119" t="str">
        <f>IFERROR(__xludf.DUMMYFUNCTION("""COMPUTED_VALUE"""),"Dì Hường")</f>
        <v>Dì Hường</v>
      </c>
      <c r="C3052" s="119" t="str">
        <f>IFERROR(__xludf.DUMMYFUNCTION("""COMPUTED_VALUE"""),"Thuận An")</f>
        <v>Thuận An</v>
      </c>
      <c r="D3052" s="119" t="str">
        <f>IFERROR(__xludf.DUMMYFUNCTION("""COMPUTED_VALUE"""),"chó ")</f>
        <v>chó </v>
      </c>
      <c r="E3052" s="119" t="str">
        <f>IFERROR(__xludf.DUMMYFUNCTION("""COMPUTED_VALUE"""),"Si")</f>
        <v>Si</v>
      </c>
    </row>
    <row r="3053" ht="15.75" customHeight="1">
      <c r="A3053" s="122" t="str">
        <f>IFERROR(__xludf.DUMMYFUNCTION("""COMPUTED_VALUE"""),"0703 961 558")</f>
        <v>0703 961 558</v>
      </c>
      <c r="B3053" s="119" t="str">
        <f>IFERROR(__xludf.DUMMYFUNCTION("""COMPUTED_VALUE"""),"Chị Nhi")</f>
        <v>Chị Nhi</v>
      </c>
      <c r="C3053" s="119" t="str">
        <f>IFERROR(__xludf.DUMMYFUNCTION("""COMPUTED_VALUE"""),"Thuận An")</f>
        <v>Thuận An</v>
      </c>
      <c r="D3053" s="119" t="str">
        <f>IFERROR(__xludf.DUMMYFUNCTION("""COMPUTED_VALUE"""),"chó")</f>
        <v>chó</v>
      </c>
      <c r="E3053" s="119" t="str">
        <f>IFERROR(__xludf.DUMMYFUNCTION("""COMPUTED_VALUE"""),"Gấu")</f>
        <v>Gấu</v>
      </c>
    </row>
    <row r="3054" ht="15.75" customHeight="1">
      <c r="A3054" s="122" t="str">
        <f>IFERROR(__xludf.DUMMYFUNCTION("""COMPUTED_VALUE"""),"0905 906 161")</f>
        <v>0905 906 161</v>
      </c>
      <c r="B3054" s="119" t="str">
        <f>IFERROR(__xludf.DUMMYFUNCTION("""COMPUTED_VALUE"""),"Chị hà")</f>
        <v>Chị hà</v>
      </c>
      <c r="C3054" s="119" t="str">
        <f>IFERROR(__xludf.DUMMYFUNCTION("""COMPUTED_VALUE"""),"Lộc Điền Phú Lộc")</f>
        <v>Lộc Điền Phú Lộc</v>
      </c>
      <c r="D3054" s="119" t="str">
        <f>IFERROR(__xludf.DUMMYFUNCTION("""COMPUTED_VALUE"""),"mèo")</f>
        <v>mèo</v>
      </c>
      <c r="E3054" s="119" t="str">
        <f>IFERROR(__xludf.DUMMYFUNCTION("""COMPUTED_VALUE"""),"Phin")</f>
        <v>Phin</v>
      </c>
    </row>
    <row r="3055" ht="15.75" customHeight="1">
      <c r="A3055" s="122" t="str">
        <f>IFERROR(__xludf.DUMMYFUNCTION("""COMPUTED_VALUE"""),"0778 567 198")</f>
        <v>0778 567 198</v>
      </c>
      <c r="B3055" s="119" t="str">
        <f>IFERROR(__xludf.DUMMYFUNCTION("""COMPUTED_VALUE"""),"Kim Anh")</f>
        <v>Kim Anh</v>
      </c>
      <c r="C3055" s="119" t="str">
        <f>IFERROR(__xludf.DUMMYFUNCTION("""COMPUTED_VALUE"""),"61/3 Dương Văn An")</f>
        <v>61/3 Dương Văn An</v>
      </c>
      <c r="D3055" s="119" t="str">
        <f>IFERROR(__xludf.DUMMYFUNCTION("""COMPUTED_VALUE"""),"chó")</f>
        <v>chó</v>
      </c>
      <c r="E3055" s="119" t="str">
        <f>IFERROR(__xludf.DUMMYFUNCTION("""COMPUTED_VALUE"""),"Ka")</f>
        <v>Ka</v>
      </c>
    </row>
    <row r="3056" ht="15.75" customHeight="1">
      <c r="A3056" s="122" t="str">
        <f>IFERROR(__xludf.DUMMYFUNCTION("""COMPUTED_VALUE"""),"0389 266 285")</f>
        <v>0389 266 285</v>
      </c>
      <c r="B3056" s="119" t="str">
        <f>IFERROR(__xludf.DUMMYFUNCTION("""COMPUTED_VALUE"""),"Anh Dương")</f>
        <v>Anh Dương</v>
      </c>
      <c r="C3056" s="119" t="str">
        <f>IFERROR(__xludf.DUMMYFUNCTION("""COMPUTED_VALUE"""),"7/59 Nguyễn Hữu Dật")</f>
        <v>7/59 Nguyễn Hữu Dật</v>
      </c>
      <c r="D3056" s="119" t="str">
        <f>IFERROR(__xludf.DUMMYFUNCTION("""COMPUTED_VALUE"""),"chó")</f>
        <v>chó</v>
      </c>
      <c r="E3056" s="119" t="str">
        <f>IFERROR(__xludf.DUMMYFUNCTION("""COMPUTED_VALUE"""),"Mun")</f>
        <v>Mun</v>
      </c>
    </row>
    <row r="3057" ht="15.75" customHeight="1">
      <c r="A3057" s="122" t="str">
        <f>IFERROR(__xludf.DUMMYFUNCTION("""COMPUTED_VALUE"""),"0383 275 674")</f>
        <v>0383 275 674</v>
      </c>
      <c r="B3057" s="119" t="str">
        <f>IFERROR(__xludf.DUMMYFUNCTION("""COMPUTED_VALUE"""),"Chú Tiên")</f>
        <v>Chú Tiên</v>
      </c>
      <c r="C3057" s="119" t="str">
        <f>IFERROR(__xludf.DUMMYFUNCTION("""COMPUTED_VALUE"""),"Kiệt 59 Ngự Bình")</f>
        <v>Kiệt 59 Ngự Bình</v>
      </c>
      <c r="D3057" s="119" t="str">
        <f>IFERROR(__xludf.DUMMYFUNCTION("""COMPUTED_VALUE"""),"chó")</f>
        <v>chó</v>
      </c>
      <c r="E3057" s="119" t="str">
        <f>IFERROR(__xludf.DUMMYFUNCTION("""COMPUTED_VALUE"""),"Sin")</f>
        <v>Sin</v>
      </c>
    </row>
    <row r="3058" ht="15.75" customHeight="1">
      <c r="A3058" s="122" t="str">
        <f>IFERROR(__xludf.DUMMYFUNCTION("""COMPUTED_VALUE"""),"0335 779 965")</f>
        <v>0335 779 965</v>
      </c>
      <c r="B3058" s="119" t="str">
        <f>IFERROR(__xludf.DUMMYFUNCTION("""COMPUTED_VALUE"""),"Chị Uyên")</f>
        <v>Chị Uyên</v>
      </c>
      <c r="C3058" s="119" t="str">
        <f>IFERROR(__xludf.DUMMYFUNCTION("""COMPUTED_VALUE"""),"68/187 Hùng Vương")</f>
        <v>68/187 Hùng Vương</v>
      </c>
      <c r="D3058" s="119" t="str">
        <f>IFERROR(__xludf.DUMMYFUNCTION("""COMPUTED_VALUE"""),"chó")</f>
        <v>chó</v>
      </c>
      <c r="E3058" s="119" t="str">
        <f>IFERROR(__xludf.DUMMYFUNCTION("""COMPUTED_VALUE"""),"Pi")</f>
        <v>Pi</v>
      </c>
    </row>
    <row r="3059" ht="15.75" customHeight="1">
      <c r="A3059" s="122" t="str">
        <f>IFERROR(__xludf.DUMMYFUNCTION("""COMPUTED_VALUE"""),"0398 403 690")</f>
        <v>0398 403 690</v>
      </c>
      <c r="B3059" s="119" t="str">
        <f>IFERROR(__xludf.DUMMYFUNCTION("""COMPUTED_VALUE"""),"Chị Phương")</f>
        <v>Chị Phương</v>
      </c>
      <c r="C3059" s="119" t="str">
        <f>IFERROR(__xludf.DUMMYFUNCTION("""COMPUTED_VALUE"""),"Phú Lộc")</f>
        <v>Phú Lộc</v>
      </c>
      <c r="D3059" s="119" t="str">
        <f>IFERROR(__xludf.DUMMYFUNCTION("""COMPUTED_VALUE"""),"mèo")</f>
        <v>mèo</v>
      </c>
      <c r="E3059" s="119" t="str">
        <f>IFERROR(__xludf.DUMMYFUNCTION("""COMPUTED_VALUE"""),"Ti")</f>
        <v>Ti</v>
      </c>
    </row>
    <row r="3060" ht="15.75" customHeight="1">
      <c r="A3060" s="122" t="str">
        <f>IFERROR(__xludf.DUMMYFUNCTION("""COMPUTED_VALUE"""),"0395 553 026")</f>
        <v>0395 553 026</v>
      </c>
      <c r="B3060" s="119" t="str">
        <f>IFERROR(__xludf.DUMMYFUNCTION("""COMPUTED_VALUE"""),"Nguyễn Hoàng Minh Trí")</f>
        <v>Nguyễn Hoàng Minh Trí</v>
      </c>
      <c r="C3060" s="119" t="str">
        <f>IFERROR(__xludf.DUMMYFUNCTION("""COMPUTED_VALUE"""),"118/5 Nguyễn Lộ Trạch")</f>
        <v>118/5 Nguyễn Lộ Trạch</v>
      </c>
      <c r="D3060" s="119" t="str">
        <f>IFERROR(__xludf.DUMMYFUNCTION("""COMPUTED_VALUE"""),"mèo")</f>
        <v>mèo</v>
      </c>
      <c r="E3060" s="119" t="str">
        <f>IFERROR(__xludf.DUMMYFUNCTION("""COMPUTED_VALUE"""),"Nấm")</f>
        <v>Nấm</v>
      </c>
    </row>
    <row r="3061" ht="15.75" customHeight="1">
      <c r="A3061" s="122" t="str">
        <f>IFERROR(__xludf.DUMMYFUNCTION("""COMPUTED_VALUE"""),"0338 407 686")</f>
        <v>0338 407 686</v>
      </c>
      <c r="B3061" s="119" t="str">
        <f>IFERROR(__xludf.DUMMYFUNCTION("""COMPUTED_VALUE"""),"Đăng Thùy Linh")</f>
        <v>Đăng Thùy Linh</v>
      </c>
      <c r="C3061" s="119" t="str">
        <f>IFERROR(__xludf.DUMMYFUNCTION("""COMPUTED_VALUE"""),"Hải Thanh - Phong Hải")</f>
        <v>Hải Thanh - Phong Hải</v>
      </c>
      <c r="D3061" s="119"/>
      <c r="E3061" s="119" t="str">
        <f>IFERROR(__xludf.DUMMYFUNCTION("""COMPUTED_VALUE"""),"Coca")</f>
        <v>Coca</v>
      </c>
    </row>
    <row r="3062" ht="15.75" customHeight="1">
      <c r="A3062" s="122" t="str">
        <f>IFERROR(__xludf.DUMMYFUNCTION("""COMPUTED_VALUE"""),"0942 421 189")</f>
        <v>0942 421 189</v>
      </c>
      <c r="B3062" s="119" t="str">
        <f>IFERROR(__xludf.DUMMYFUNCTION("""COMPUTED_VALUE"""),"Chú Nam")</f>
        <v>Chú Nam</v>
      </c>
      <c r="C3062" s="119" t="str">
        <f>IFERROR(__xludf.DUMMYFUNCTION("""COMPUTED_VALUE"""),"3/33 Lê Quý Đôn")</f>
        <v>3/33 Lê Quý Đôn</v>
      </c>
      <c r="D3062" s="119" t="str">
        <f>IFERROR(__xludf.DUMMYFUNCTION("""COMPUTED_VALUE"""),"chó")</f>
        <v>chó</v>
      </c>
      <c r="E3062" s="119" t="str">
        <f>IFERROR(__xludf.DUMMYFUNCTION("""COMPUTED_VALUE"""),"Nick")</f>
        <v>Nick</v>
      </c>
    </row>
    <row r="3063" ht="15.75" customHeight="1">
      <c r="A3063" s="122" t="str">
        <f>IFERROR(__xludf.DUMMYFUNCTION("""COMPUTED_VALUE"""),"0983 548 197")</f>
        <v>0983 548 197</v>
      </c>
      <c r="B3063" s="119" t="str">
        <f>IFERROR(__xludf.DUMMYFUNCTION("""COMPUTED_VALUE"""),"Chị Nga")</f>
        <v>Chị Nga</v>
      </c>
      <c r="C3063" s="119"/>
      <c r="D3063" s="119" t="str">
        <f>IFERROR(__xludf.DUMMYFUNCTION("""COMPUTED_VALUE"""),"Chó")</f>
        <v>Chó</v>
      </c>
      <c r="E3063" s="119"/>
    </row>
    <row r="3064" ht="15.75" customHeight="1">
      <c r="A3064" s="122" t="str">
        <f>IFERROR(__xludf.DUMMYFUNCTION("""COMPUTED_VALUE"""),"0368 863 309")</f>
        <v>0368 863 309</v>
      </c>
      <c r="B3064" s="119" t="str">
        <f>IFERROR(__xludf.DUMMYFUNCTION("""COMPUTED_VALUE"""),"Nhi")</f>
        <v>Nhi</v>
      </c>
      <c r="C3064" s="119" t="str">
        <f>IFERROR(__xludf.DUMMYFUNCTION("""COMPUTED_VALUE"""),"Phú An")</f>
        <v>Phú An</v>
      </c>
      <c r="D3064" s="119" t="str">
        <f>IFERROR(__xludf.DUMMYFUNCTION("""COMPUTED_VALUE"""),"Mèo")</f>
        <v>Mèo</v>
      </c>
      <c r="E3064" s="119" t="str">
        <f>IFERROR(__xludf.DUMMYFUNCTION("""COMPUTED_VALUE"""),"Gấu")</f>
        <v>Gấu</v>
      </c>
    </row>
    <row r="3065" ht="15.75" customHeight="1">
      <c r="A3065" s="122" t="str">
        <f>IFERROR(__xludf.DUMMYFUNCTION("""COMPUTED_VALUE"""),"0868 830 833")</f>
        <v>0868 830 833</v>
      </c>
      <c r="B3065" s="119" t="str">
        <f>IFERROR(__xludf.DUMMYFUNCTION("""COMPUTED_VALUE"""),"Đào Duy Nam")</f>
        <v>Đào Duy Nam</v>
      </c>
      <c r="C3065" s="119" t="str">
        <f>IFERROR(__xludf.DUMMYFUNCTION("""COMPUTED_VALUE"""),"k131 Trần Phú")</f>
        <v>k131 Trần Phú</v>
      </c>
      <c r="D3065" s="119" t="str">
        <f>IFERROR(__xludf.DUMMYFUNCTION("""COMPUTED_VALUE"""),"Chó")</f>
        <v>Chó</v>
      </c>
      <c r="E3065" s="119" t="str">
        <f>IFERROR(__xludf.DUMMYFUNCTION("""COMPUTED_VALUE"""),"Mèo")</f>
        <v>Mèo</v>
      </c>
    </row>
    <row r="3066" ht="15.75" customHeight="1">
      <c r="A3066" s="122" t="str">
        <f>IFERROR(__xludf.DUMMYFUNCTION("""COMPUTED_VALUE"""),"0367 130 248")</f>
        <v>0367 130 248</v>
      </c>
      <c r="B3066" s="119" t="str">
        <f>IFERROR(__xludf.DUMMYFUNCTION("""COMPUTED_VALUE"""),"Thanh Trà")</f>
        <v>Thanh Trà</v>
      </c>
      <c r="C3066" s="119" t="str">
        <f>IFERROR(__xludf.DUMMYFUNCTION("""COMPUTED_VALUE"""),"90 Phạm Văn Đồng")</f>
        <v>90 Phạm Văn Đồng</v>
      </c>
      <c r="D3066" s="119" t="str">
        <f>IFERROR(__xludf.DUMMYFUNCTION("""COMPUTED_VALUE"""),"Mèo")</f>
        <v>Mèo</v>
      </c>
      <c r="E3066" s="119"/>
    </row>
    <row r="3067" ht="15.75" customHeight="1">
      <c r="A3067" s="122" t="str">
        <f>IFERROR(__xludf.DUMMYFUNCTION("""COMPUTED_VALUE"""),"0799 338 789")</f>
        <v>0799 338 789</v>
      </c>
      <c r="B3067" s="119" t="str">
        <f>IFERROR(__xludf.DUMMYFUNCTION("""COMPUTED_VALUE"""),"Chị Hồng")</f>
        <v>Chị Hồng</v>
      </c>
      <c r="C3067" s="119" t="str">
        <f>IFERROR(__xludf.DUMMYFUNCTION("""COMPUTED_VALUE"""),"56 Thiên Thai")</f>
        <v>56 Thiên Thai</v>
      </c>
      <c r="D3067" s="119" t="str">
        <f>IFERROR(__xludf.DUMMYFUNCTION("""COMPUTED_VALUE"""),"mèo")</f>
        <v>mèo</v>
      </c>
      <c r="E3067" s="119" t="str">
        <f>IFERROR(__xludf.DUMMYFUNCTION("""COMPUTED_VALUE"""),"Mi")</f>
        <v>Mi</v>
      </c>
    </row>
    <row r="3068" ht="15.75" customHeight="1">
      <c r="A3068" s="122" t="str">
        <f>IFERROR(__xludf.DUMMYFUNCTION("""COMPUTED_VALUE"""),"0337 140 512")</f>
        <v>0337 140 512</v>
      </c>
      <c r="B3068" s="119" t="str">
        <f>IFERROR(__xludf.DUMMYFUNCTION("""COMPUTED_VALUE"""),"Em Quang")</f>
        <v>Em Quang</v>
      </c>
      <c r="C3068" s="119" t="str">
        <f>IFERROR(__xludf.DUMMYFUNCTION("""COMPUTED_VALUE"""),"26 Tây Sơn")</f>
        <v>26 Tây Sơn</v>
      </c>
      <c r="D3068" s="119" t="str">
        <f>IFERROR(__xludf.DUMMYFUNCTION("""COMPUTED_VALUE"""),"mèo")</f>
        <v>mèo</v>
      </c>
      <c r="E3068" s="119"/>
    </row>
    <row r="3069" ht="15.75" customHeight="1">
      <c r="A3069" s="122" t="str">
        <f>IFERROR(__xludf.DUMMYFUNCTION("""COMPUTED_VALUE"""),"0764 882 779")</f>
        <v>0764 882 779</v>
      </c>
      <c r="B3069" s="119" t="str">
        <f>IFERROR(__xludf.DUMMYFUNCTION("""COMPUTED_VALUE"""),"Chị Anh")</f>
        <v>Chị Anh</v>
      </c>
      <c r="C3069" s="119" t="str">
        <f>IFERROR(__xludf.DUMMYFUNCTION("""COMPUTED_VALUE"""),"21/39 Trần Phú")</f>
        <v>21/39 Trần Phú</v>
      </c>
      <c r="D3069" s="119" t="str">
        <f>IFERROR(__xludf.DUMMYFUNCTION("""COMPUTED_VALUE"""),"Mèo")</f>
        <v>Mèo</v>
      </c>
      <c r="E3069" s="119" t="str">
        <f>IFERROR(__xludf.DUMMYFUNCTION("""COMPUTED_VALUE"""),"Bột")</f>
        <v>Bột</v>
      </c>
    </row>
    <row r="3070" ht="15.75" customHeight="1">
      <c r="A3070" s="122" t="str">
        <f>IFERROR(__xludf.DUMMYFUNCTION("""COMPUTED_VALUE"""),"0917 893 558")</f>
        <v>0917 893 558</v>
      </c>
      <c r="B3070" s="119" t="str">
        <f>IFERROR(__xludf.DUMMYFUNCTION("""COMPUTED_VALUE"""),"Hùng")</f>
        <v>Hùng</v>
      </c>
      <c r="C3070" s="119" t="str">
        <f>IFERROR(__xludf.DUMMYFUNCTION("""COMPUTED_VALUE"""),"Phan Chu Trinh")</f>
        <v>Phan Chu Trinh</v>
      </c>
      <c r="D3070" s="119" t="str">
        <f>IFERROR(__xludf.DUMMYFUNCTION("""COMPUTED_VALUE"""),"Mèo")</f>
        <v>Mèo</v>
      </c>
      <c r="E3070" s="119" t="str">
        <f>IFERROR(__xludf.DUMMYFUNCTION("""COMPUTED_VALUE"""),"Mi")</f>
        <v>Mi</v>
      </c>
    </row>
    <row r="3071" ht="15.75" customHeight="1">
      <c r="A3071" s="122" t="str">
        <f>IFERROR(__xludf.DUMMYFUNCTION("""COMPUTED_VALUE"""),"0926 176 886")</f>
        <v>0926 176 886</v>
      </c>
      <c r="B3071" s="119" t="str">
        <f>IFERROR(__xludf.DUMMYFUNCTION("""COMPUTED_VALUE"""),"Hải Anh")</f>
        <v>Hải Anh</v>
      </c>
      <c r="C3071" s="119" t="str">
        <f>IFERROR(__xludf.DUMMYFUNCTION("""COMPUTED_VALUE"""),"16/7 Nguyễn Hữu Cảnh")</f>
        <v>16/7 Nguyễn Hữu Cảnh</v>
      </c>
      <c r="D3071" s="119" t="str">
        <f>IFERROR(__xludf.DUMMYFUNCTION("""COMPUTED_VALUE"""),"Chó")</f>
        <v>Chó</v>
      </c>
      <c r="E3071" s="119" t="str">
        <f>IFERROR(__xludf.DUMMYFUNCTION("""COMPUTED_VALUE"""),"Xám")</f>
        <v>Xám</v>
      </c>
    </row>
    <row r="3072" ht="15.75" customHeight="1">
      <c r="A3072" s="122" t="str">
        <f>IFERROR(__xludf.DUMMYFUNCTION("""COMPUTED_VALUE"""),"0834 374 209")</f>
        <v>0834 374 209</v>
      </c>
      <c r="B3072" s="119" t="str">
        <f>IFERROR(__xludf.DUMMYFUNCTION("""COMPUTED_VALUE"""),"Chị Ny")</f>
        <v>Chị Ny</v>
      </c>
      <c r="C3072" s="119" t="str">
        <f>IFERROR(__xludf.DUMMYFUNCTION("""COMPUTED_VALUE"""),"k79 Minh Mạng")</f>
        <v>k79 Minh Mạng</v>
      </c>
      <c r="D3072" s="119" t="str">
        <f>IFERROR(__xludf.DUMMYFUNCTION("""COMPUTED_VALUE"""),"chó")</f>
        <v>chó</v>
      </c>
      <c r="E3072" s="119" t="str">
        <f>IFERROR(__xludf.DUMMYFUNCTION("""COMPUTED_VALUE"""),"Ky")</f>
        <v>Ky</v>
      </c>
    </row>
    <row r="3073" ht="15.75" customHeight="1">
      <c r="A3073" s="122" t="str">
        <f>IFERROR(__xludf.DUMMYFUNCTION("""COMPUTED_VALUE"""),"0396 293 357")</f>
        <v>0396 293 357</v>
      </c>
      <c r="B3073" s="119" t="str">
        <f>IFERROR(__xludf.DUMMYFUNCTION("""COMPUTED_VALUE"""),"Lê Anh")</f>
        <v>Lê Anh</v>
      </c>
      <c r="C3073" s="119" t="str">
        <f>IFERROR(__xludf.DUMMYFUNCTION("""COMPUTED_VALUE"""),"116 Nguyễn Trãi")</f>
        <v>116 Nguyễn Trãi</v>
      </c>
      <c r="D3073" s="119" t="str">
        <f>IFERROR(__xludf.DUMMYFUNCTION("""COMPUTED_VALUE"""),"chó")</f>
        <v>chó</v>
      </c>
      <c r="E3073" s="119" t="str">
        <f>IFERROR(__xludf.DUMMYFUNCTION("""COMPUTED_VALUE"""),"Tóp")</f>
        <v>Tóp</v>
      </c>
    </row>
    <row r="3074" ht="15.75" customHeight="1">
      <c r="A3074" s="122" t="str">
        <f>IFERROR(__xludf.DUMMYFUNCTION("""COMPUTED_VALUE"""),"0369 710 095")</f>
        <v>0369 710 095</v>
      </c>
      <c r="B3074" s="119" t="str">
        <f>IFERROR(__xludf.DUMMYFUNCTION("""COMPUTED_VALUE"""),"Chị Lành")</f>
        <v>Chị Lành</v>
      </c>
      <c r="C3074" s="119"/>
      <c r="D3074" s="119" t="str">
        <f>IFERROR(__xludf.DUMMYFUNCTION("""COMPUTED_VALUE"""),"chó")</f>
        <v>chó</v>
      </c>
      <c r="E3074" s="119" t="str">
        <f>IFERROR(__xludf.DUMMYFUNCTION("""COMPUTED_VALUE"""),"Gấu")</f>
        <v>Gấu</v>
      </c>
    </row>
    <row r="3075" ht="15.75" customHeight="1">
      <c r="A3075" s="122" t="str">
        <f>IFERROR(__xludf.DUMMYFUNCTION("""COMPUTED_VALUE"""),"0352 008 042")</f>
        <v>0352 008 042</v>
      </c>
      <c r="B3075" s="119" t="str">
        <f>IFERROR(__xludf.DUMMYFUNCTION("""COMPUTED_VALUE"""),"Anh Quyết")</f>
        <v>Anh Quyết</v>
      </c>
      <c r="C3075" s="119" t="str">
        <f>IFERROR(__xludf.DUMMYFUNCTION("""COMPUTED_VALUE"""),"k47 Nguyễn Phúc Chu")</f>
        <v>k47 Nguyễn Phúc Chu</v>
      </c>
      <c r="D3075" s="119" t="str">
        <f>IFERROR(__xludf.DUMMYFUNCTION("""COMPUTED_VALUE"""),"chó")</f>
        <v>chó</v>
      </c>
      <c r="E3075" s="119"/>
    </row>
    <row r="3076" ht="15.75" customHeight="1">
      <c r="A3076" s="122" t="str">
        <f>IFERROR(__xludf.DUMMYFUNCTION("""COMPUTED_VALUE"""),"0983 193 098")</f>
        <v>0983 193 098</v>
      </c>
      <c r="B3076" s="119" t="str">
        <f>IFERROR(__xludf.DUMMYFUNCTION("""COMPUTED_VALUE"""),"Dì Hằng")</f>
        <v>Dì Hằng</v>
      </c>
      <c r="C3076" s="119" t="str">
        <f>IFERROR(__xludf.DUMMYFUNCTION("""COMPUTED_VALUE"""),"Chợ Nọ Phú Dương")</f>
        <v>Chợ Nọ Phú Dương</v>
      </c>
      <c r="D3076" s="119" t="str">
        <f>IFERROR(__xludf.DUMMYFUNCTION("""COMPUTED_VALUE"""),"chó")</f>
        <v>chó</v>
      </c>
      <c r="E3076" s="119" t="str">
        <f>IFERROR(__xludf.DUMMYFUNCTION("""COMPUTED_VALUE"""),"Mít")</f>
        <v>Mít</v>
      </c>
    </row>
    <row r="3077" ht="15.75" customHeight="1">
      <c r="A3077" s="122" t="str">
        <f>IFERROR(__xludf.DUMMYFUNCTION("""COMPUTED_VALUE"""),"0967 280 280")</f>
        <v>0967 280 280</v>
      </c>
      <c r="B3077" s="119" t="str">
        <f>IFERROR(__xludf.DUMMYFUNCTION("""COMPUTED_VALUE"""),"Chị My")</f>
        <v>Chị My</v>
      </c>
      <c r="C3077" s="119" t="str">
        <f>IFERROR(__xludf.DUMMYFUNCTION("""COMPUTED_VALUE"""),"Phú THượng")</f>
        <v>Phú THượng</v>
      </c>
      <c r="D3077" s="119" t="str">
        <f>IFERROR(__xludf.DUMMYFUNCTION("""COMPUTED_VALUE"""),"chó")</f>
        <v>chó</v>
      </c>
      <c r="E3077" s="119" t="str">
        <f>IFERROR(__xludf.DUMMYFUNCTION("""COMPUTED_VALUE"""),"Mực")</f>
        <v>Mực</v>
      </c>
    </row>
    <row r="3078" ht="15.75" customHeight="1">
      <c r="A3078" s="122" t="str">
        <f>IFERROR(__xludf.DUMMYFUNCTION("""COMPUTED_VALUE"""),"0374 727 902")</f>
        <v>0374 727 902</v>
      </c>
      <c r="B3078" s="119" t="str">
        <f>IFERROR(__xludf.DUMMYFUNCTION("""COMPUTED_VALUE"""),"Anh Sơn")</f>
        <v>Anh Sơn</v>
      </c>
      <c r="C3078" s="119" t="str">
        <f>IFERROR(__xludf.DUMMYFUNCTION("""COMPUTED_VALUE"""),"175 Lý Thánh Tông")</f>
        <v>175 Lý Thánh Tông</v>
      </c>
      <c r="D3078" s="119" t="str">
        <f>IFERROR(__xludf.DUMMYFUNCTION("""COMPUTED_VALUE"""),"chó")</f>
        <v>chó</v>
      </c>
      <c r="E3078" s="119" t="str">
        <f>IFERROR(__xludf.DUMMYFUNCTION("""COMPUTED_VALUE"""),"Pi")</f>
        <v>Pi</v>
      </c>
    </row>
    <row r="3079" ht="15.75" customHeight="1">
      <c r="A3079" s="122" t="str">
        <f>IFERROR(__xludf.DUMMYFUNCTION("""COMPUTED_VALUE"""),"0905 878 959")</f>
        <v>0905 878 959</v>
      </c>
      <c r="B3079" s="119" t="str">
        <f>IFERROR(__xludf.DUMMYFUNCTION("""COMPUTED_VALUE"""),"Chú Phúc")</f>
        <v>Chú Phúc</v>
      </c>
      <c r="C3079" s="119" t="str">
        <f>IFERROR(__xludf.DUMMYFUNCTION("""COMPUTED_VALUE"""),"Phạm Văn Đồng")</f>
        <v>Phạm Văn Đồng</v>
      </c>
      <c r="D3079" s="119" t="str">
        <f>IFERROR(__xludf.DUMMYFUNCTION("""COMPUTED_VALUE"""),"chó")</f>
        <v>chó</v>
      </c>
      <c r="E3079" s="119" t="str">
        <f>IFERROR(__xludf.DUMMYFUNCTION("""COMPUTED_VALUE"""),"Kẹo")</f>
        <v>Kẹo</v>
      </c>
    </row>
    <row r="3080" ht="15.75" customHeight="1">
      <c r="A3080" s="122" t="str">
        <f>IFERROR(__xludf.DUMMYFUNCTION("""COMPUTED_VALUE"""),"0896 208 359")</f>
        <v>0896 208 359</v>
      </c>
      <c r="B3080" s="119" t="str">
        <f>IFERROR(__xludf.DUMMYFUNCTION("""COMPUTED_VALUE"""),"Cô bé")</f>
        <v>Cô bé</v>
      </c>
      <c r="C3080" s="119" t="str">
        <f>IFERROR(__xludf.DUMMYFUNCTION("""COMPUTED_VALUE"""),"Chợ Nọ Phú Dương")</f>
        <v>Chợ Nọ Phú Dương</v>
      </c>
      <c r="D3080" s="119" t="str">
        <f>IFERROR(__xludf.DUMMYFUNCTION("""COMPUTED_VALUE"""),"chó")</f>
        <v>chó</v>
      </c>
      <c r="E3080" s="119"/>
    </row>
    <row r="3081" ht="15.75" customHeight="1">
      <c r="A3081" s="122" t="str">
        <f>IFERROR(__xludf.DUMMYFUNCTION("""COMPUTED_VALUE"""),"0905 817 563")</f>
        <v>0905 817 563</v>
      </c>
      <c r="B3081" s="119" t="str">
        <f>IFERROR(__xludf.DUMMYFUNCTION("""COMPUTED_VALUE"""),"Dì Lành")</f>
        <v>Dì Lành</v>
      </c>
      <c r="C3081" s="119" t="str">
        <f>IFERROR(__xludf.DUMMYFUNCTION("""COMPUTED_VALUE"""),"28 Diệu Đế")</f>
        <v>28 Diệu Đế</v>
      </c>
      <c r="D3081" s="119" t="str">
        <f>IFERROR(__xludf.DUMMYFUNCTION("""COMPUTED_VALUE"""),"chó")</f>
        <v>chó</v>
      </c>
      <c r="E3081" s="119"/>
    </row>
    <row r="3082" ht="15.75" customHeight="1">
      <c r="A3082" s="122" t="str">
        <f>IFERROR(__xludf.DUMMYFUNCTION("""COMPUTED_VALUE"""),"0868 287 818")</f>
        <v>0868 287 818</v>
      </c>
      <c r="B3082" s="119" t="str">
        <f>IFERROR(__xludf.DUMMYFUNCTION("""COMPUTED_VALUE"""),"Anh Hưng")</f>
        <v>Anh Hưng</v>
      </c>
      <c r="C3082" s="119" t="str">
        <f>IFERROR(__xludf.DUMMYFUNCTION("""COMPUTED_VALUE"""),"Vinh Thanh Phú Vang")</f>
        <v>Vinh Thanh Phú Vang</v>
      </c>
      <c r="D3082" s="119" t="str">
        <f>IFERROR(__xludf.DUMMYFUNCTION("""COMPUTED_VALUE"""),"chó")</f>
        <v>chó</v>
      </c>
      <c r="E3082" s="119" t="str">
        <f>IFERROR(__xludf.DUMMYFUNCTION("""COMPUTED_VALUE"""),"Su")</f>
        <v>Su</v>
      </c>
    </row>
    <row r="3083" ht="15.75" customHeight="1">
      <c r="A3083" s="122" t="str">
        <f>IFERROR(__xludf.DUMMYFUNCTION("""COMPUTED_VALUE"""),"0985 550 946")</f>
        <v>0985 550 946</v>
      </c>
      <c r="B3083" s="119" t="str">
        <f>IFERROR(__xludf.DUMMYFUNCTION("""COMPUTED_VALUE"""),"Dì Ly")</f>
        <v>Dì Ly</v>
      </c>
      <c r="C3083" s="119" t="str">
        <f>IFERROR(__xludf.DUMMYFUNCTION("""COMPUTED_VALUE"""),"39 Tây Trì Nhơn")</f>
        <v>39 Tây Trì Nhơn</v>
      </c>
      <c r="D3083" s="119" t="str">
        <f>IFERROR(__xludf.DUMMYFUNCTION("""COMPUTED_VALUE"""),"chó")</f>
        <v>chó</v>
      </c>
      <c r="E3083" s="119" t="str">
        <f>IFERROR(__xludf.DUMMYFUNCTION("""COMPUTED_VALUE"""),"Dola")</f>
        <v>Dola</v>
      </c>
    </row>
    <row r="3084" ht="15.75" customHeight="1">
      <c r="A3084" s="122" t="str">
        <f>IFERROR(__xludf.DUMMYFUNCTION("""COMPUTED_VALUE"""),"0934 839 937")</f>
        <v>0934 839 937</v>
      </c>
      <c r="B3084" s="119" t="str">
        <f>IFERROR(__xludf.DUMMYFUNCTION("""COMPUTED_VALUE"""),"em Anh Thư")</f>
        <v>em Anh Thư</v>
      </c>
      <c r="C3084" s="119" t="str">
        <f>IFERROR(__xludf.DUMMYFUNCTION("""COMPUTED_VALUE"""),"25 Thánh Gióng")</f>
        <v>25 Thánh Gióng</v>
      </c>
      <c r="D3084" s="119" t="str">
        <f>IFERROR(__xludf.DUMMYFUNCTION("""COMPUTED_VALUE"""),"mèo")</f>
        <v>mèo</v>
      </c>
      <c r="E3084" s="119" t="str">
        <f>IFERROR(__xludf.DUMMYFUNCTION("""COMPUTED_VALUE"""),"Cường")</f>
        <v>Cường</v>
      </c>
    </row>
    <row r="3085" ht="15.75" customHeight="1">
      <c r="A3085" s="122" t="str">
        <f>IFERROR(__xludf.DUMMYFUNCTION("""COMPUTED_VALUE"""),"0961 516 736")</f>
        <v>0961 516 736</v>
      </c>
      <c r="B3085" s="119" t="str">
        <f>IFERROR(__xludf.DUMMYFUNCTION("""COMPUTED_VALUE"""),"Chị Phượng")</f>
        <v>Chị Phượng</v>
      </c>
      <c r="C3085" s="119" t="str">
        <f>IFERROR(__xludf.DUMMYFUNCTION("""COMPUTED_VALUE"""),"20 Lê Ngô Cát")</f>
        <v>20 Lê Ngô Cát</v>
      </c>
      <c r="D3085" s="119" t="str">
        <f>IFERROR(__xludf.DUMMYFUNCTION("""COMPUTED_VALUE"""),"chuột")</f>
        <v>chuột</v>
      </c>
      <c r="E3085" s="119" t="str">
        <f>IFERROR(__xludf.DUMMYFUNCTION("""COMPUTED_VALUE"""),"Ú")</f>
        <v>Ú</v>
      </c>
    </row>
    <row r="3086" ht="15.75" customHeight="1">
      <c r="A3086" s="122" t="str">
        <f>IFERROR(__xludf.DUMMYFUNCTION("""COMPUTED_VALUE"""),"0941 505 416")</f>
        <v>0941 505 416</v>
      </c>
      <c r="B3086" s="119" t="str">
        <f>IFERROR(__xludf.DUMMYFUNCTION("""COMPUTED_VALUE"""),"Anh Bôn")</f>
        <v>Anh Bôn</v>
      </c>
      <c r="C3086" s="119" t="str">
        <f>IFERROR(__xludf.DUMMYFUNCTION("""COMPUTED_VALUE"""),"2/12/42 An Ninh")</f>
        <v>2/12/42 An Ninh</v>
      </c>
      <c r="D3086" s="119" t="str">
        <f>IFERROR(__xludf.DUMMYFUNCTION("""COMPUTED_VALUE"""),"chó")</f>
        <v>chó</v>
      </c>
      <c r="E3086" s="119" t="str">
        <f>IFERROR(__xludf.DUMMYFUNCTION("""COMPUTED_VALUE"""),"Gấu")</f>
        <v>Gấu</v>
      </c>
    </row>
    <row r="3087" ht="15.75" customHeight="1">
      <c r="A3087" s="122" t="str">
        <f>IFERROR(__xludf.DUMMYFUNCTION("""COMPUTED_VALUE"""),"0984 058 810")</f>
        <v>0984 058 810</v>
      </c>
      <c r="B3087" s="119" t="str">
        <f>IFERROR(__xludf.DUMMYFUNCTION("""COMPUTED_VALUE"""),"Bạn Hùng")</f>
        <v>Bạn Hùng</v>
      </c>
      <c r="C3087" s="119" t="str">
        <f>IFERROR(__xludf.DUMMYFUNCTION("""COMPUTED_VALUE"""),"14 Đặng Tất")</f>
        <v>14 Đặng Tất</v>
      </c>
      <c r="D3087" s="119" t="str">
        <f>IFERROR(__xludf.DUMMYFUNCTION("""COMPUTED_VALUE"""),"mèo")</f>
        <v>mèo</v>
      </c>
      <c r="E3087" s="119" t="str">
        <f>IFERROR(__xludf.DUMMYFUNCTION("""COMPUTED_VALUE"""),"Mon")</f>
        <v>Mon</v>
      </c>
    </row>
    <row r="3088" ht="15.75" customHeight="1">
      <c r="A3088" s="122" t="str">
        <f>IFERROR(__xludf.DUMMYFUNCTION("""COMPUTED_VALUE"""),"0389 364 652")</f>
        <v>0389 364 652</v>
      </c>
      <c r="B3088" s="119" t="str">
        <f>IFERROR(__xludf.DUMMYFUNCTION("""COMPUTED_VALUE"""),"Em Trinh")</f>
        <v>Em Trinh</v>
      </c>
      <c r="C3088" s="119" t="str">
        <f>IFERROR(__xludf.DUMMYFUNCTION("""COMPUTED_VALUE"""),"k43 Hoài Thanh")</f>
        <v>k43 Hoài Thanh</v>
      </c>
      <c r="D3088" s="119" t="str">
        <f>IFERROR(__xludf.DUMMYFUNCTION("""COMPUTED_VALUE"""),"mèo")</f>
        <v>mèo</v>
      </c>
      <c r="E3088" s="119" t="str">
        <f>IFERROR(__xludf.DUMMYFUNCTION("""COMPUTED_VALUE"""),"Mẹc")</f>
        <v>Mẹc</v>
      </c>
    </row>
    <row r="3089" ht="15.75" customHeight="1">
      <c r="A3089" s="122" t="str">
        <f>IFERROR(__xludf.DUMMYFUNCTION("""COMPUTED_VALUE"""),"0972 323 073")</f>
        <v>0972 323 073</v>
      </c>
      <c r="B3089" s="119" t="str">
        <f>IFERROR(__xludf.DUMMYFUNCTION("""COMPUTED_VALUE"""),"Chị Tú")</f>
        <v>Chị Tú</v>
      </c>
      <c r="C3089" s="119" t="str">
        <f>IFERROR(__xludf.DUMMYFUNCTION("""COMPUTED_VALUE"""),"10/20/143 Phan Bội Châu")</f>
        <v>10/20/143 Phan Bội Châu</v>
      </c>
      <c r="D3089" s="119" t="str">
        <f>IFERROR(__xludf.DUMMYFUNCTION("""COMPUTED_VALUE"""),"chó")</f>
        <v>chó</v>
      </c>
      <c r="E3089" s="119" t="str">
        <f>IFERROR(__xludf.DUMMYFUNCTION("""COMPUTED_VALUE"""),"Rốt")</f>
        <v>Rốt</v>
      </c>
    </row>
    <row r="3090" ht="15.75" customHeight="1">
      <c r="A3090" s="122" t="str">
        <f>IFERROR(__xludf.DUMMYFUNCTION("""COMPUTED_VALUE"""),"0379 777 180")</f>
        <v>0379 777 180</v>
      </c>
      <c r="B3090" s="119" t="str">
        <f>IFERROR(__xludf.DUMMYFUNCTION("""COMPUTED_VALUE"""),"Chú Thành")</f>
        <v>Chú Thành</v>
      </c>
      <c r="C3090" s="119" t="str">
        <f>IFERROR(__xludf.DUMMYFUNCTION("""COMPUTED_VALUE"""),"19/54 Lê Ngô Cát")</f>
        <v>19/54 Lê Ngô Cát</v>
      </c>
      <c r="D3090" s="119" t="str">
        <f>IFERROR(__xludf.DUMMYFUNCTION("""COMPUTED_VALUE"""),"chó")</f>
        <v>chó</v>
      </c>
      <c r="E3090" s="119" t="str">
        <f>IFERROR(__xludf.DUMMYFUNCTION("""COMPUTED_VALUE""")," Nâu")</f>
        <v> Nâu</v>
      </c>
    </row>
    <row r="3091" ht="15.75" customHeight="1">
      <c r="A3091" s="122" t="str">
        <f>IFERROR(__xludf.DUMMYFUNCTION("""COMPUTED_VALUE"""),"0914 050 304")</f>
        <v>0914 050 304</v>
      </c>
      <c r="B3091" s="119" t="str">
        <f>IFERROR(__xludf.DUMMYFUNCTION("""COMPUTED_VALUE"""),"Anh Hải")</f>
        <v>Anh Hải</v>
      </c>
      <c r="C3091" s="119"/>
      <c r="D3091" s="119" t="str">
        <f>IFERROR(__xludf.DUMMYFUNCTION("""COMPUTED_VALUE"""),"chó")</f>
        <v>chó</v>
      </c>
      <c r="E3091" s="119" t="str">
        <f>IFERROR(__xludf.DUMMYFUNCTION("""COMPUTED_VALUE"""),"phú quốc")</f>
        <v>phú quốc</v>
      </c>
    </row>
    <row r="3092" ht="15.75" customHeight="1">
      <c r="A3092" s="122" t="str">
        <f>IFERROR(__xludf.DUMMYFUNCTION("""COMPUTED_VALUE"""),"0911 460 859")</f>
        <v>0911 460 859</v>
      </c>
      <c r="B3092" s="119" t="str">
        <f>IFERROR(__xludf.DUMMYFUNCTION("""COMPUTED_VALUE"""),"Dì Cúc")</f>
        <v>Dì Cúc</v>
      </c>
      <c r="C3092" s="119" t="str">
        <f>IFERROR(__xludf.DUMMYFUNCTION("""COMPUTED_VALUE"""),"209 Trần Phú")</f>
        <v>209 Trần Phú</v>
      </c>
      <c r="D3092" s="119" t="str">
        <f>IFERROR(__xludf.DUMMYFUNCTION("""COMPUTED_VALUE"""),"chó")</f>
        <v>chó</v>
      </c>
      <c r="E3092" s="119" t="str">
        <f>IFERROR(__xludf.DUMMYFUNCTION("""COMPUTED_VALUE""")," đen")</f>
        <v> đen</v>
      </c>
    </row>
    <row r="3093" ht="15.75" customHeight="1">
      <c r="A3093" s="122" t="str">
        <f>IFERROR(__xludf.DUMMYFUNCTION("""COMPUTED_VALUE"""),"0357 135 557")</f>
        <v>0357 135 557</v>
      </c>
      <c r="B3093" s="119" t="str">
        <f>IFERROR(__xludf.DUMMYFUNCTION("""COMPUTED_VALUE"""),"Anh Duy")</f>
        <v>Anh Duy</v>
      </c>
      <c r="C3093" s="119" t="str">
        <f>IFERROR(__xludf.DUMMYFUNCTION("""COMPUTED_VALUE""")," Trần Lữ")</f>
        <v> Trần Lữ</v>
      </c>
      <c r="D3093" s="119" t="str">
        <f>IFERROR(__xludf.DUMMYFUNCTION("""COMPUTED_VALUE"""),"mèo")</f>
        <v>mèo</v>
      </c>
      <c r="E3093" s="119" t="str">
        <f>IFERROR(__xludf.DUMMYFUNCTION("""COMPUTED_VALUE"""),"Su")</f>
        <v>Su</v>
      </c>
    </row>
    <row r="3094" ht="15.75" customHeight="1">
      <c r="A3094" s="122" t="str">
        <f>IFERROR(__xludf.DUMMYFUNCTION("""COMPUTED_VALUE"""),"0898 163 636")</f>
        <v>0898 163 636</v>
      </c>
      <c r="B3094" s="119" t="str">
        <f>IFERROR(__xludf.DUMMYFUNCTION("""COMPUTED_VALUE"""),"Chú Quỳnh")</f>
        <v>Chú Quỳnh</v>
      </c>
      <c r="C3094" s="119" t="str">
        <f>IFERROR(__xludf.DUMMYFUNCTION("""COMPUTED_VALUE"""),"kiệt 131 Trần Phú")</f>
        <v>kiệt 131 Trần Phú</v>
      </c>
      <c r="D3094" s="119" t="str">
        <f>IFERROR(__xludf.DUMMYFUNCTION("""COMPUTED_VALUE"""),"chó")</f>
        <v>chó</v>
      </c>
      <c r="E3094" s="119" t="str">
        <f>IFERROR(__xludf.DUMMYFUNCTION("""COMPUTED_VALUE"""),"vàng")</f>
        <v>vàng</v>
      </c>
    </row>
    <row r="3095" ht="15.75" customHeight="1">
      <c r="A3095" s="122" t="str">
        <f>IFERROR(__xludf.DUMMYFUNCTION("""COMPUTED_VALUE"""),"0829 982 975")</f>
        <v>0829 982 975</v>
      </c>
      <c r="B3095" s="119" t="str">
        <f>IFERROR(__xludf.DUMMYFUNCTION("""COMPUTED_VALUE"""),"Gia Bảo")</f>
        <v>Gia Bảo</v>
      </c>
      <c r="C3095" s="119" t="str">
        <f>IFERROR(__xludf.DUMMYFUNCTION("""COMPUTED_VALUE"""),"99 Lê Ngô Cát")</f>
        <v>99 Lê Ngô Cát</v>
      </c>
      <c r="D3095" s="119" t="str">
        <f>IFERROR(__xludf.DUMMYFUNCTION("""COMPUTED_VALUE"""),"mèo")</f>
        <v>mèo</v>
      </c>
      <c r="E3095" s="119" t="str">
        <f>IFERROR(__xludf.DUMMYFUNCTION("""COMPUTED_VALUE""")," xám xanh tai cup")</f>
        <v> xám xanh tai cup</v>
      </c>
    </row>
    <row r="3096" ht="15.75" customHeight="1">
      <c r="A3096" s="122" t="str">
        <f>IFERROR(__xludf.DUMMYFUNCTION("""COMPUTED_VALUE"""),"0834 374 270")</f>
        <v>0834 374 270</v>
      </c>
      <c r="B3096" s="119" t="str">
        <f>IFERROR(__xludf.DUMMYFUNCTION("""COMPUTED_VALUE"""),"Chị Hạnh")</f>
        <v>Chị Hạnh</v>
      </c>
      <c r="C3096" s="119" t="str">
        <f>IFERROR(__xludf.DUMMYFUNCTION("""COMPUTED_VALUE"""),"6/28 Nguyễn Khuyến")</f>
        <v>6/28 Nguyễn Khuyến</v>
      </c>
      <c r="D3096" s="119" t="str">
        <f>IFERROR(__xludf.DUMMYFUNCTION("""COMPUTED_VALUE"""),"chó")</f>
        <v>chó</v>
      </c>
      <c r="E3096" s="119" t="str">
        <f>IFERROR(__xludf.DUMMYFUNCTION("""COMPUTED_VALUE"""),"Bia")</f>
        <v>Bia</v>
      </c>
    </row>
    <row r="3097" ht="15.75" customHeight="1">
      <c r="A3097" s="122" t="str">
        <f>IFERROR(__xludf.DUMMYFUNCTION("""COMPUTED_VALUE"""),"0349 304 911")</f>
        <v>0349 304 911</v>
      </c>
      <c r="B3097" s="119" t="str">
        <f>IFERROR(__xludf.DUMMYFUNCTION("""COMPUTED_VALUE"""),"Lê Đức Quang")</f>
        <v>Lê Đức Quang</v>
      </c>
      <c r="C3097" s="119" t="str">
        <f>IFERROR(__xludf.DUMMYFUNCTION("""COMPUTED_VALUE"""),"18/4/53 Đào tấn")</f>
        <v>18/4/53 Đào tấn</v>
      </c>
      <c r="D3097" s="119" t="str">
        <f>IFERROR(__xludf.DUMMYFUNCTION("""COMPUTED_VALUE"""),"chó")</f>
        <v>chó</v>
      </c>
      <c r="E3097" s="119" t="str">
        <f>IFERROR(__xludf.DUMMYFUNCTION("""COMPUTED_VALUE""")," Bút")</f>
        <v> Bút</v>
      </c>
    </row>
    <row r="3098" ht="15.75" customHeight="1">
      <c r="A3098" s="122" t="str">
        <f>IFERROR(__xludf.DUMMYFUNCTION("""COMPUTED_VALUE"""),"0934 925 020")</f>
        <v>0934 925 020</v>
      </c>
      <c r="B3098" s="119" t="str">
        <f>IFERROR(__xludf.DUMMYFUNCTION("""COMPUTED_VALUE"""),"Bảo Châu/Chị Lan")</f>
        <v>Bảo Châu/Chị Lan</v>
      </c>
      <c r="C3098" s="119" t="str">
        <f>IFERROR(__xludf.DUMMYFUNCTION("""COMPUTED_VALUE"""),"13/44 Hoàng thị Loan")</f>
        <v>13/44 Hoàng thị Loan</v>
      </c>
      <c r="D3098" s="119" t="str">
        <f>IFERROR(__xludf.DUMMYFUNCTION("""COMPUTED_VALUE"""),"chó ")</f>
        <v>chó </v>
      </c>
      <c r="E3098" s="119" t="str">
        <f>IFERROR(__xludf.DUMMYFUNCTION("""COMPUTED_VALUE"""),"su")</f>
        <v>su</v>
      </c>
    </row>
    <row r="3099" ht="15.75" customHeight="1">
      <c r="A3099" s="122" t="str">
        <f>IFERROR(__xludf.DUMMYFUNCTION("""COMPUTED_VALUE"""),"0357 415 579")</f>
        <v>0357 415 579</v>
      </c>
      <c r="B3099" s="119" t="str">
        <f>IFERROR(__xludf.DUMMYFUNCTION("""COMPUTED_VALUE"""),"Khánh vân")</f>
        <v>Khánh vân</v>
      </c>
      <c r="C3099" s="119" t="str">
        <f>IFERROR(__xludf.DUMMYFUNCTION("""COMPUTED_VALUE"""),"27/245 A Bùi Thị xuân")</f>
        <v>27/245 A Bùi Thị xuân</v>
      </c>
      <c r="D3099" s="119" t="str">
        <f>IFERROR(__xludf.DUMMYFUNCTION("""COMPUTED_VALUE""")," Chó")</f>
        <v> Chó</v>
      </c>
      <c r="E3099" s="119" t="str">
        <f>IFERROR(__xludf.DUMMYFUNCTION("""COMPUTED_VALUE"""),"Lyly")</f>
        <v>Lyly</v>
      </c>
    </row>
    <row r="3100" ht="15.75" customHeight="1">
      <c r="A3100" s="122" t="str">
        <f>IFERROR(__xludf.DUMMYFUNCTION("""COMPUTED_VALUE"""),"0905 665 564")</f>
        <v>0905 665 564</v>
      </c>
      <c r="B3100" s="119" t="str">
        <f>IFERROR(__xludf.DUMMYFUNCTION("""COMPUTED_VALUE"""),"Quốc Thịnh")</f>
        <v>Quốc Thịnh</v>
      </c>
      <c r="C3100" s="119" t="str">
        <f>IFERROR(__xludf.DUMMYFUNCTION("""COMPUTED_VALUE"""),"34 Nguyễn Phúc Nguyên")</f>
        <v>34 Nguyễn Phúc Nguyên</v>
      </c>
      <c r="D3100" s="119"/>
      <c r="E3100" s="119" t="str">
        <f>IFERROR(__xludf.DUMMYFUNCTION("""COMPUTED_VALUE"""),"Ka")</f>
        <v>Ka</v>
      </c>
    </row>
    <row r="3101" ht="15.75" customHeight="1">
      <c r="A3101" s="122" t="str">
        <f>IFERROR(__xludf.DUMMYFUNCTION("""COMPUTED_VALUE"""),"0943 068 915")</f>
        <v>0943 068 915</v>
      </c>
      <c r="B3101" s="119" t="str">
        <f>IFERROR(__xludf.DUMMYFUNCTION("""COMPUTED_VALUE"""),"Chị Hải")</f>
        <v>Chị Hải</v>
      </c>
      <c r="C3101" s="119"/>
      <c r="D3101" s="119" t="str">
        <f>IFERROR(__xludf.DUMMYFUNCTION("""COMPUTED_VALUE"""),"chó")</f>
        <v>chó</v>
      </c>
      <c r="E3101" s="119" t="str">
        <f>IFERROR(__xludf.DUMMYFUNCTION("""COMPUTED_VALUE""")," cỏ")</f>
        <v> cỏ</v>
      </c>
    </row>
    <row r="3102" ht="15.75" customHeight="1">
      <c r="A3102" s="122" t="str">
        <f>IFERROR(__xludf.DUMMYFUNCTION("""COMPUTED_VALUE"""),"0395 000 930")</f>
        <v>0395 000 930</v>
      </c>
      <c r="B3102" s="119" t="str">
        <f>IFERROR(__xludf.DUMMYFUNCTION("""COMPUTED_VALUE"""),"Chị Quý")</f>
        <v>Chị Quý</v>
      </c>
      <c r="C3102" s="119" t="str">
        <f>IFERROR(__xludf.DUMMYFUNCTION("""COMPUTED_VALUE"""),"130 Trường Chinh")</f>
        <v>130 Trường Chinh</v>
      </c>
      <c r="D3102" s="119" t="str">
        <f>IFERROR(__xludf.DUMMYFUNCTION("""COMPUTED_VALUE"""),"Mèo")</f>
        <v>Mèo</v>
      </c>
      <c r="E3102" s="119" t="str">
        <f>IFERROR(__xludf.DUMMYFUNCTION("""COMPUTED_VALUE"""),"xám")</f>
        <v>xám</v>
      </c>
    </row>
    <row r="3103" ht="15.75" customHeight="1">
      <c r="A3103" s="122" t="str">
        <f>IFERROR(__xludf.DUMMYFUNCTION("""COMPUTED_VALUE"""),"0913 409 942")</f>
        <v>0913 409 942</v>
      </c>
      <c r="B3103" s="119" t="str">
        <f>IFERROR(__xludf.DUMMYFUNCTION("""COMPUTED_VALUE"""),"Hồ Hoàng Long")</f>
        <v>Hồ Hoàng Long</v>
      </c>
      <c r="C3103" s="119" t="str">
        <f>IFERROR(__xludf.DUMMYFUNCTION("""COMPUTED_VALUE"""),"10/18 Đào Tấn")</f>
        <v>10/18 Đào Tấn</v>
      </c>
      <c r="D3103" s="119" t="str">
        <f>IFERROR(__xludf.DUMMYFUNCTION("""COMPUTED_VALUE"""),"chó")</f>
        <v>chó</v>
      </c>
      <c r="E3103" s="119" t="str">
        <f>IFERROR(__xludf.DUMMYFUNCTION("""COMPUTED_VALUE""")," MiLu")</f>
        <v> MiLu</v>
      </c>
    </row>
    <row r="3104" ht="15.75" customHeight="1">
      <c r="A3104" s="122" t="str">
        <f>IFERROR(__xludf.DUMMYFUNCTION("""COMPUTED_VALUE"""),"0837 763 302")</f>
        <v>0837 763 302</v>
      </c>
      <c r="B3104" s="119" t="str">
        <f>IFERROR(__xludf.DUMMYFUNCTION("""COMPUTED_VALUE"""),"Anh Rôn")</f>
        <v>Anh Rôn</v>
      </c>
      <c r="C3104" s="119" t="str">
        <f>IFERROR(__xludf.DUMMYFUNCTION("""COMPUTED_VALUE"""),"32 A /69 dặng  Huy Trứ")</f>
        <v>32 A /69 dặng  Huy Trứ</v>
      </c>
      <c r="D3104" s="119" t="str">
        <f>IFERROR(__xludf.DUMMYFUNCTION("""COMPUTED_VALUE"""),"chó")</f>
        <v>chó</v>
      </c>
      <c r="E3104" s="119" t="str">
        <f>IFERROR(__xludf.DUMMYFUNCTION("""COMPUTED_VALUE"""),"mèo")</f>
        <v>mèo</v>
      </c>
    </row>
    <row r="3105" ht="15.75" customHeight="1">
      <c r="A3105" s="122" t="str">
        <f>IFERROR(__xludf.DUMMYFUNCTION("""COMPUTED_VALUE"""),"0357 351 065")</f>
        <v>0357 351 065</v>
      </c>
      <c r="B3105" s="119" t="str">
        <f>IFERROR(__xludf.DUMMYFUNCTION("""COMPUTED_VALUE"""),"Chú Thắng")</f>
        <v>Chú Thắng</v>
      </c>
      <c r="C3105" s="119" t="str">
        <f>IFERROR(__xludf.DUMMYFUNCTION("""COMPUTED_VALUE"""),"Thủy Bằng")</f>
        <v>Thủy Bằng</v>
      </c>
      <c r="D3105" s="119" t="str">
        <f>IFERROR(__xludf.DUMMYFUNCTION("""COMPUTED_VALUE"""),"Chó")</f>
        <v>Chó</v>
      </c>
      <c r="E3105" s="119"/>
    </row>
    <row r="3106" ht="15.75" customHeight="1">
      <c r="A3106" s="122" t="str">
        <f>IFERROR(__xludf.DUMMYFUNCTION("""COMPUTED_VALUE"""),"0968 782 408")</f>
        <v>0968 782 408</v>
      </c>
      <c r="B3106" s="119" t="str">
        <f>IFERROR(__xludf.DUMMYFUNCTION("""COMPUTED_VALUE"""),"Phương")</f>
        <v>Phương</v>
      </c>
      <c r="C3106" s="119" t="str">
        <f>IFERROR(__xludf.DUMMYFUNCTION("""COMPUTED_VALUE"""),"Trần Phú")</f>
        <v>Trần Phú</v>
      </c>
      <c r="D3106" s="119" t="str">
        <f>IFERROR(__xludf.DUMMYFUNCTION("""COMPUTED_VALUE"""),"Chó")</f>
        <v>Chó</v>
      </c>
      <c r="E3106" s="119" t="str">
        <f>IFERROR(__xludf.DUMMYFUNCTION("""COMPUTED_VALUE"""),"Boom")</f>
        <v>Boom</v>
      </c>
    </row>
    <row r="3107" ht="15.75" customHeight="1">
      <c r="A3107" s="122" t="str">
        <f>IFERROR(__xludf.DUMMYFUNCTION("""COMPUTED_VALUE"""),"0906 422 265")</f>
        <v>0906 422 265</v>
      </c>
      <c r="B3107" s="119" t="str">
        <f>IFERROR(__xludf.DUMMYFUNCTION("""COMPUTED_VALUE"""),"Anh Hưng")</f>
        <v>Anh Hưng</v>
      </c>
      <c r="C3107" s="119" t="str">
        <f>IFERROR(__xludf.DUMMYFUNCTION("""COMPUTED_VALUE"""),"Lê Ngô Cát")</f>
        <v>Lê Ngô Cát</v>
      </c>
      <c r="D3107" s="119" t="str">
        <f>IFERROR(__xludf.DUMMYFUNCTION("""COMPUTED_VALUE"""),"Chó")</f>
        <v>Chó</v>
      </c>
      <c r="E3107" s="119"/>
    </row>
    <row r="3108" ht="15.75" customHeight="1">
      <c r="A3108" s="122" t="str">
        <f>IFERROR(__xludf.DUMMYFUNCTION("""COMPUTED_VALUE"""),"0935 250 001")</f>
        <v>0935 250 001</v>
      </c>
      <c r="B3108" s="119" t="str">
        <f>IFERROR(__xludf.DUMMYFUNCTION("""COMPUTED_VALUE"""),"Quỳnh Châu")</f>
        <v>Quỳnh Châu</v>
      </c>
      <c r="C3108" s="119" t="str">
        <f>IFERROR(__xludf.DUMMYFUNCTION("""COMPUTED_VALUE"""),"Kiệt 86 Lê Ngô Cát")</f>
        <v>Kiệt 86 Lê Ngô Cát</v>
      </c>
      <c r="D3108" s="119" t="str">
        <f>IFERROR(__xludf.DUMMYFUNCTION("""COMPUTED_VALUE"""),"Chó")</f>
        <v>Chó</v>
      </c>
      <c r="E3108" s="119" t="str">
        <f>IFERROR(__xludf.DUMMYFUNCTION("""COMPUTED_VALUE"""),"Sữa")</f>
        <v>Sữa</v>
      </c>
    </row>
    <row r="3109" ht="15.75" customHeight="1">
      <c r="A3109" s="122" t="str">
        <f>IFERROR(__xludf.DUMMYFUNCTION("""COMPUTED_VALUE"""),"0905 031 156")</f>
        <v>0905 031 156</v>
      </c>
      <c r="B3109" s="119" t="str">
        <f>IFERROR(__xludf.DUMMYFUNCTION("""COMPUTED_VALUE"""),"Chị Bình ")</f>
        <v>Chị Bình </v>
      </c>
      <c r="C3109" s="119" t="str">
        <f>IFERROR(__xludf.DUMMYFUNCTION("""COMPUTED_VALUE"""),"202 Bùi Thị Xuân")</f>
        <v>202 Bùi Thị Xuân</v>
      </c>
      <c r="D3109" s="119" t="str">
        <f>IFERROR(__xludf.DUMMYFUNCTION("""COMPUTED_VALUE"""),"Chó")</f>
        <v>Chó</v>
      </c>
      <c r="E3109" s="119" t="str">
        <f>IFERROR(__xludf.DUMMYFUNCTION("""COMPUTED_VALUE"""),"Lu")</f>
        <v>Lu</v>
      </c>
    </row>
    <row r="3110" ht="15.75" customHeight="1">
      <c r="A3110" s="122" t="str">
        <f>IFERROR(__xludf.DUMMYFUNCTION("""COMPUTED_VALUE"""),"0834 391 180")</f>
        <v>0834 391 180</v>
      </c>
      <c r="B3110" s="119" t="str">
        <f>IFERROR(__xludf.DUMMYFUNCTION("""COMPUTED_VALUE"""),"Anh Hải")</f>
        <v>Anh Hải</v>
      </c>
      <c r="C3110" s="119" t="str">
        <f>IFERROR(__xludf.DUMMYFUNCTION("""COMPUTED_VALUE"""),"6/28 Nguyễn Khuyến")</f>
        <v>6/28 Nguyễn Khuyến</v>
      </c>
      <c r="D3110" s="119" t="str">
        <f>IFERROR(__xludf.DUMMYFUNCTION("""COMPUTED_VALUE"""),"chó")</f>
        <v>chó</v>
      </c>
      <c r="E3110" s="119" t="str">
        <f>IFERROR(__xludf.DUMMYFUNCTION("""COMPUTED_VALUE"""),"Nâu")</f>
        <v>Nâu</v>
      </c>
    </row>
    <row r="3111" ht="15.75" customHeight="1">
      <c r="A3111" s="122" t="str">
        <f>IFERROR(__xludf.DUMMYFUNCTION("""COMPUTED_VALUE"""),"0796 791 197")</f>
        <v>0796 791 197</v>
      </c>
      <c r="B3111" s="119" t="str">
        <f>IFERROR(__xludf.DUMMYFUNCTION("""COMPUTED_VALUE"""),"Bác Cành")</f>
        <v>Bác Cành</v>
      </c>
      <c r="C3111" s="119" t="str">
        <f>IFERROR(__xludf.DUMMYFUNCTION("""COMPUTED_VALUE"""),"6/85 Tư Binh - Thuận An")</f>
        <v>6/85 Tư Binh - Thuận An</v>
      </c>
      <c r="D3111" s="119" t="str">
        <f>IFERROR(__xludf.DUMMYFUNCTION("""COMPUTED_VALUE"""),"chó")</f>
        <v>chó</v>
      </c>
      <c r="E3111" s="119" t="str">
        <f>IFERROR(__xludf.DUMMYFUNCTION("""COMPUTED_VALUE"""),"Tét")</f>
        <v>Tét</v>
      </c>
    </row>
    <row r="3112" ht="15.75" customHeight="1">
      <c r="A3112" s="122" t="str">
        <f>IFERROR(__xludf.DUMMYFUNCTION("""COMPUTED_VALUE"""),"0948 542 131")</f>
        <v>0948 542 131</v>
      </c>
      <c r="B3112" s="119" t="str">
        <f>IFERROR(__xludf.DUMMYFUNCTION("""COMPUTED_VALUE"""),"Anh Nam")</f>
        <v>Anh Nam</v>
      </c>
      <c r="C3112" s="119" t="str">
        <f>IFERROR(__xludf.DUMMYFUNCTION("""COMPUTED_VALUE"""),"52/48 Ngô Quyền")</f>
        <v>52/48 Ngô Quyền</v>
      </c>
      <c r="D3112" s="119" t="str">
        <f>IFERROR(__xludf.DUMMYFUNCTION("""COMPUTED_VALUE"""),"chó")</f>
        <v>chó</v>
      </c>
      <c r="E3112" s="119" t="str">
        <f>IFERROR(__xludf.DUMMYFUNCTION("""COMPUTED_VALUE"""),"Ổi")</f>
        <v>Ổi</v>
      </c>
    </row>
    <row r="3113" ht="15.75" customHeight="1">
      <c r="A3113" s="122" t="str">
        <f>IFERROR(__xludf.DUMMYFUNCTION("""COMPUTED_VALUE"""),"0784 892 704")</f>
        <v>0784 892 704</v>
      </c>
      <c r="B3113" s="119" t="str">
        <f>IFERROR(__xludf.DUMMYFUNCTION("""COMPUTED_VALUE"""),"Anh Thư")</f>
        <v>Anh Thư</v>
      </c>
      <c r="C3113" s="119" t="str">
        <f>IFERROR(__xludf.DUMMYFUNCTION("""COMPUTED_VALUE"""),"31 Xuân Thuỷ")</f>
        <v>31 Xuân Thuỷ</v>
      </c>
      <c r="D3113" s="119" t="str">
        <f>IFERROR(__xludf.DUMMYFUNCTION("""COMPUTED_VALUE"""),"chó")</f>
        <v>chó</v>
      </c>
      <c r="E3113" s="119" t="str">
        <f>IFERROR(__xludf.DUMMYFUNCTION("""COMPUTED_VALUE"""),"Đen")</f>
        <v>Đen</v>
      </c>
    </row>
    <row r="3114" ht="15.75" customHeight="1">
      <c r="A3114" s="122" t="str">
        <f>IFERROR(__xludf.DUMMYFUNCTION("""COMPUTED_VALUE"""),"0376 636 395")</f>
        <v>0376 636 395</v>
      </c>
      <c r="B3114" s="119" t="str">
        <f>IFERROR(__xludf.DUMMYFUNCTION("""COMPUTED_VALUE"""),"Chị Ái")</f>
        <v>Chị Ái</v>
      </c>
      <c r="C3114" s="119" t="str">
        <f>IFERROR(__xludf.DUMMYFUNCTION("""COMPUTED_VALUE"""),"66 Quy Lai - Phú Thanh")</f>
        <v>66 Quy Lai - Phú Thanh</v>
      </c>
      <c r="D3114" s="119" t="str">
        <f>IFERROR(__xludf.DUMMYFUNCTION("""COMPUTED_VALUE"""),"mèo")</f>
        <v>mèo</v>
      </c>
      <c r="E3114" s="119" t="str">
        <f>IFERROR(__xludf.DUMMYFUNCTION("""COMPUTED_VALUE"""),"Mèo")</f>
        <v>Mèo</v>
      </c>
    </row>
    <row r="3115" ht="15.75" customHeight="1">
      <c r="A3115" s="122" t="str">
        <f>IFERROR(__xludf.DUMMYFUNCTION("""COMPUTED_VALUE"""),"0985 991 037")</f>
        <v>0985 991 037</v>
      </c>
      <c r="B3115" s="119" t="str">
        <f>IFERROR(__xludf.DUMMYFUNCTION("""COMPUTED_VALUE"""),"Chú Hoà")</f>
        <v>Chú Hoà</v>
      </c>
      <c r="C3115" s="119" t="str">
        <f>IFERROR(__xludf.DUMMYFUNCTION("""COMPUTED_VALUE"""),"38/210 Phan Chu Trinh")</f>
        <v>38/210 Phan Chu Trinh</v>
      </c>
      <c r="D3115" s="119" t="str">
        <f>IFERROR(__xludf.DUMMYFUNCTION("""COMPUTED_VALUE"""),"chó")</f>
        <v>chó</v>
      </c>
      <c r="E3115" s="119" t="str">
        <f>IFERROR(__xludf.DUMMYFUNCTION("""COMPUTED_VALUE"""),"Muối")</f>
        <v>Muối</v>
      </c>
    </row>
    <row r="3116" ht="15.75" customHeight="1">
      <c r="A3116" s="122" t="str">
        <f>IFERROR(__xludf.DUMMYFUNCTION("""COMPUTED_VALUE"""),"0376 746 186")</f>
        <v>0376 746 186</v>
      </c>
      <c r="B3116" s="119" t="str">
        <f>IFERROR(__xludf.DUMMYFUNCTION("""COMPUTED_VALUE"""),"Chị Thuyền")</f>
        <v>Chị Thuyền</v>
      </c>
      <c r="C3116" s="119" t="str">
        <f>IFERROR(__xludf.DUMMYFUNCTION("""COMPUTED_VALUE"""),"Thuận An")</f>
        <v>Thuận An</v>
      </c>
      <c r="D3116" s="119" t="str">
        <f>IFERROR(__xludf.DUMMYFUNCTION("""COMPUTED_VALUE"""),"chó")</f>
        <v>chó</v>
      </c>
      <c r="E3116" s="119" t="str">
        <f>IFERROR(__xludf.DUMMYFUNCTION("""COMPUTED_VALUE"""),"Caca")</f>
        <v>Caca</v>
      </c>
    </row>
    <row r="3117" ht="15.75" customHeight="1">
      <c r="A3117" s="122" t="str">
        <f>IFERROR(__xludf.DUMMYFUNCTION("""COMPUTED_VALUE"""),"0988 853 759")</f>
        <v>0988 853 759</v>
      </c>
      <c r="B3117" s="119" t="str">
        <f>IFERROR(__xludf.DUMMYFUNCTION("""COMPUTED_VALUE"""),"Anh Tý")</f>
        <v>Anh Tý</v>
      </c>
      <c r="C3117" s="119" t="str">
        <f>IFERROR(__xludf.DUMMYFUNCTION("""COMPUTED_VALUE"""),"Truồi")</f>
        <v>Truồi</v>
      </c>
      <c r="D3117" s="119" t="str">
        <f>IFERROR(__xludf.DUMMYFUNCTION("""COMPUTED_VALUE"""),"chó")</f>
        <v>chó</v>
      </c>
      <c r="E3117" s="119" t="str">
        <f>IFERROR(__xludf.DUMMYFUNCTION("""COMPUTED_VALUE"""),"Lu")</f>
        <v>Lu</v>
      </c>
    </row>
    <row r="3118" ht="15.75" customHeight="1">
      <c r="A3118" s="122" t="str">
        <f>IFERROR(__xludf.DUMMYFUNCTION("""COMPUTED_VALUE"""),"0773 314 003")</f>
        <v>0773 314 003</v>
      </c>
      <c r="B3118" s="119" t="str">
        <f>IFERROR(__xludf.DUMMYFUNCTION("""COMPUTED_VALUE"""),"Ngọc Lan")</f>
        <v>Ngọc Lan</v>
      </c>
      <c r="C3118" s="119" t="str">
        <f>IFERROR(__xludf.DUMMYFUNCTION("""COMPUTED_VALUE"""),"Nguyễn Khoa Chiêm")</f>
        <v>Nguyễn Khoa Chiêm</v>
      </c>
      <c r="D3118" s="119" t="str">
        <f>IFERROR(__xludf.DUMMYFUNCTION("""COMPUTED_VALUE"""),"mèo")</f>
        <v>mèo</v>
      </c>
      <c r="E3118" s="119" t="str">
        <f>IFERROR(__xludf.DUMMYFUNCTION("""COMPUTED_VALUE"""),"Báo")</f>
        <v>Báo</v>
      </c>
    </row>
    <row r="3119" ht="15.75" customHeight="1">
      <c r="A3119" s="122" t="str">
        <f>IFERROR(__xludf.DUMMYFUNCTION("""COMPUTED_VALUE"""),"0394 744 452")</f>
        <v>0394 744 452</v>
      </c>
      <c r="B3119" s="119" t="str">
        <f>IFERROR(__xludf.DUMMYFUNCTION("""COMPUTED_VALUE"""),"Thanh Trúc")</f>
        <v>Thanh Trúc</v>
      </c>
      <c r="C3119" s="119" t="str">
        <f>IFERROR(__xludf.DUMMYFUNCTION("""COMPUTED_VALUE"""),"Phong Điền")</f>
        <v>Phong Điền</v>
      </c>
      <c r="D3119" s="119" t="str">
        <f>IFERROR(__xludf.DUMMYFUNCTION("""COMPUTED_VALUE"""),"chó")</f>
        <v>chó</v>
      </c>
      <c r="E3119" s="119" t="str">
        <f>IFERROR(__xludf.DUMMYFUNCTION("""COMPUTED_VALUE"""),"Poo")</f>
        <v>Poo</v>
      </c>
    </row>
    <row r="3120" ht="15.75" customHeight="1">
      <c r="A3120" s="122" t="str">
        <f>IFERROR(__xludf.DUMMYFUNCTION("""COMPUTED_VALUE"""),"0774 431 884")</f>
        <v>0774 431 884</v>
      </c>
      <c r="B3120" s="119" t="str">
        <f>IFERROR(__xludf.DUMMYFUNCTION("""COMPUTED_VALUE"""),"Dì Trang")</f>
        <v>Dì Trang</v>
      </c>
      <c r="C3120" s="119" t="str">
        <f>IFERROR(__xludf.DUMMYFUNCTION("""COMPUTED_VALUE"""),"8/49 Nguyễn Hữu Cảnh")</f>
        <v>8/49 Nguyễn Hữu Cảnh</v>
      </c>
      <c r="D3120" s="119" t="str">
        <f>IFERROR(__xludf.DUMMYFUNCTION("""COMPUTED_VALUE"""),"mèo")</f>
        <v>mèo</v>
      </c>
      <c r="E3120" s="119" t="str">
        <f>IFERROR(__xludf.DUMMYFUNCTION("""COMPUTED_VALUE"""),"Cun")</f>
        <v>Cun</v>
      </c>
    </row>
    <row r="3121" ht="15.75" customHeight="1">
      <c r="A3121" s="122" t="str">
        <f>IFERROR(__xludf.DUMMYFUNCTION("""COMPUTED_VALUE"""),"0935 371 901")</f>
        <v>0935 371 901</v>
      </c>
      <c r="B3121" s="119" t="str">
        <f>IFERROR(__xludf.DUMMYFUNCTION("""COMPUTED_VALUE"""),"Chị Phụng")</f>
        <v>Chị Phụng</v>
      </c>
      <c r="C3121" s="119" t="str">
        <f>IFERROR(__xludf.DUMMYFUNCTION("""COMPUTED_VALUE"""),"Phú Xuân")</f>
        <v>Phú Xuân</v>
      </c>
      <c r="D3121" s="119" t="str">
        <f>IFERROR(__xludf.DUMMYFUNCTION("""COMPUTED_VALUE"""),"chó")</f>
        <v>chó</v>
      </c>
      <c r="E3121" s="119" t="str">
        <f>IFERROR(__xludf.DUMMYFUNCTION("""COMPUTED_VALUE"""),"Bơ")</f>
        <v>Bơ</v>
      </c>
    </row>
    <row r="3122" ht="15.75" customHeight="1">
      <c r="A3122" s="122" t="str">
        <f>IFERROR(__xludf.DUMMYFUNCTION("""COMPUTED_VALUE"""),"0366 482 822")</f>
        <v>0366 482 822</v>
      </c>
      <c r="B3122" s="119" t="str">
        <f>IFERROR(__xludf.DUMMYFUNCTION("""COMPUTED_VALUE"""),"Anh Đại")</f>
        <v>Anh Đại</v>
      </c>
      <c r="C3122" s="119" t="str">
        <f>IFERROR(__xludf.DUMMYFUNCTION("""COMPUTED_VALUE"""),"1/73 An Ninh ")</f>
        <v>1/73 An Ninh </v>
      </c>
      <c r="D3122" s="119" t="str">
        <f>IFERROR(__xludf.DUMMYFUNCTION("""COMPUTED_VALUE"""),"Chó")</f>
        <v>Chó</v>
      </c>
      <c r="E3122" s="119" t="str">
        <f>IFERROR(__xludf.DUMMYFUNCTION("""COMPUTED_VALUE"""),"Thỏ")</f>
        <v>Thỏ</v>
      </c>
    </row>
    <row r="3123" ht="15.75" customHeight="1">
      <c r="A3123" s="122" t="str">
        <f>IFERROR(__xludf.DUMMYFUNCTION("""COMPUTED_VALUE"""),"0903 525 250")</f>
        <v>0903 525 250</v>
      </c>
      <c r="B3123" s="119" t="str">
        <f>IFERROR(__xludf.DUMMYFUNCTION("""COMPUTED_VALUE"""),"Lê Trường Phú")</f>
        <v>Lê Trường Phú</v>
      </c>
      <c r="C3123" s="119" t="str">
        <f>IFERROR(__xludf.DUMMYFUNCTION("""COMPUTED_VALUE"""),"25/59/7 Nguyễn Hữu Dật")</f>
        <v>25/59/7 Nguyễn Hữu Dật</v>
      </c>
      <c r="D3123" s="119" t="str">
        <f>IFERROR(__xludf.DUMMYFUNCTION("""COMPUTED_VALUE"""),"mèo")</f>
        <v>mèo</v>
      </c>
      <c r="E3123" s="119"/>
    </row>
    <row r="3124" ht="15.75" customHeight="1">
      <c r="A3124" s="122" t="str">
        <f>IFERROR(__xludf.DUMMYFUNCTION("""COMPUTED_VALUE"""),"0911 304 167")</f>
        <v>0911 304 167</v>
      </c>
      <c r="B3124" s="119" t="str">
        <f>IFERROR(__xludf.DUMMYFUNCTION("""COMPUTED_VALUE"""),"Anh nam")</f>
        <v>Anh nam</v>
      </c>
      <c r="C3124" s="119" t="str">
        <f>IFERROR(__xludf.DUMMYFUNCTION("""COMPUTED_VALUE"""),"Hương Hồ")</f>
        <v>Hương Hồ</v>
      </c>
      <c r="D3124" s="119" t="str">
        <f>IFERROR(__xludf.DUMMYFUNCTION("""COMPUTED_VALUE"""),"chó")</f>
        <v>chó</v>
      </c>
      <c r="E3124" s="119" t="str">
        <f>IFERROR(__xludf.DUMMYFUNCTION("""COMPUTED_VALUE"""),"Mico")</f>
        <v>Mico</v>
      </c>
    </row>
    <row r="3125" ht="15.75" customHeight="1">
      <c r="A3125" s="122" t="str">
        <f>IFERROR(__xludf.DUMMYFUNCTION("""COMPUTED_VALUE"""),"0386 709 265")</f>
        <v>0386 709 265</v>
      </c>
      <c r="B3125" s="119" t="str">
        <f>IFERROR(__xludf.DUMMYFUNCTION("""COMPUTED_VALUE"""),"Anh Phú")</f>
        <v>Anh Phú</v>
      </c>
      <c r="C3125" s="119" t="str">
        <f>IFERROR(__xludf.DUMMYFUNCTION("""COMPUTED_VALUE"""),"240/2 Lý Nam Đế")</f>
        <v>240/2 Lý Nam Đế</v>
      </c>
      <c r="D3125" s="119" t="str">
        <f>IFERROR(__xludf.DUMMYFUNCTION("""COMPUTED_VALUE"""),"chó")</f>
        <v>chó</v>
      </c>
      <c r="E3125" s="119" t="str">
        <f>IFERROR(__xludf.DUMMYFUNCTION("""COMPUTED_VALUE"""),"chó")</f>
        <v>chó</v>
      </c>
    </row>
    <row r="3126" ht="15.75" customHeight="1">
      <c r="A3126" s="122" t="str">
        <f>IFERROR(__xludf.DUMMYFUNCTION("""COMPUTED_VALUE"""),"0862 631 369")</f>
        <v>0862 631 369</v>
      </c>
      <c r="B3126" s="119" t="str">
        <f>IFERROR(__xludf.DUMMYFUNCTION("""COMPUTED_VALUE"""),"Chị Giang ")</f>
        <v>Chị Giang </v>
      </c>
      <c r="C3126" s="119" t="str">
        <f>IFERROR(__xludf.DUMMYFUNCTION("""COMPUTED_VALUE"""),"17 Sư Vạn hạnh")</f>
        <v>17 Sư Vạn hạnh</v>
      </c>
      <c r="D3126" s="119" t="str">
        <f>IFERROR(__xludf.DUMMYFUNCTION("""COMPUTED_VALUE"""),"Mèo")</f>
        <v>Mèo</v>
      </c>
      <c r="E3126" s="119" t="str">
        <f>IFERROR(__xludf.DUMMYFUNCTION("""COMPUTED_VALUE"""),"Trắng")</f>
        <v>Trắng</v>
      </c>
    </row>
    <row r="3127" ht="15.75" customHeight="1">
      <c r="A3127" s="122" t="str">
        <f>IFERROR(__xludf.DUMMYFUNCTION("""COMPUTED_VALUE"""),"0905 106 839")</f>
        <v>0905 106 839</v>
      </c>
      <c r="B3127" s="119" t="str">
        <f>IFERROR(__xludf.DUMMYFUNCTION("""COMPUTED_VALUE"""),"Chú Hùng ")</f>
        <v>Chú Hùng </v>
      </c>
      <c r="C3127" s="119" t="str">
        <f>IFERROR(__xludf.DUMMYFUNCTION("""COMPUTED_VALUE"""),"HƯơng Sơ")</f>
        <v>HƯơng Sơ</v>
      </c>
      <c r="D3127" s="119" t="str">
        <f>IFERROR(__xludf.DUMMYFUNCTION("""COMPUTED_VALUE"""),"Chó")</f>
        <v>Chó</v>
      </c>
      <c r="E3127" s="119" t="str">
        <f>IFERROR(__xludf.DUMMYFUNCTION("""COMPUTED_VALUE"""),"Milo")</f>
        <v>Milo</v>
      </c>
    </row>
    <row r="3128" ht="15.75" customHeight="1">
      <c r="A3128" s="122" t="str">
        <f>IFERROR(__xludf.DUMMYFUNCTION("""COMPUTED_VALUE"""),"0886 162 413")</f>
        <v>0886 162 413</v>
      </c>
      <c r="B3128" s="119" t="str">
        <f>IFERROR(__xludf.DUMMYFUNCTION("""COMPUTED_VALUE"""),"Chị Quỳnh")</f>
        <v>Chị Quỳnh</v>
      </c>
      <c r="C3128" s="119" t="str">
        <f>IFERROR(__xludf.DUMMYFUNCTION("""COMPUTED_VALUE"""),"65/1 Đặng Huy Trứ")</f>
        <v>65/1 Đặng Huy Trứ</v>
      </c>
      <c r="D3128" s="119" t="str">
        <f>IFERROR(__xludf.DUMMYFUNCTION("""COMPUTED_VALUE"""),"Mèo")</f>
        <v>Mèo</v>
      </c>
      <c r="E3128" s="119" t="str">
        <f>IFERROR(__xludf.DUMMYFUNCTION("""COMPUTED_VALUE"""),"Mận")</f>
        <v>Mận</v>
      </c>
    </row>
    <row r="3129" ht="15.75" customHeight="1">
      <c r="A3129" s="122" t="str">
        <f>IFERROR(__xludf.DUMMYFUNCTION("""COMPUTED_VALUE"""),"0977 481 545")</f>
        <v>0977 481 545</v>
      </c>
      <c r="B3129" s="119" t="str">
        <f>IFERROR(__xludf.DUMMYFUNCTION("""COMPUTED_VALUE"""),"Em Lộc")</f>
        <v>Em Lộc</v>
      </c>
      <c r="C3129" s="119" t="str">
        <f>IFERROR(__xludf.DUMMYFUNCTION("""COMPUTED_VALUE"""),"K110/17 Kim Long ")</f>
        <v>K110/17 Kim Long </v>
      </c>
      <c r="D3129" s="119" t="str">
        <f>IFERROR(__xludf.DUMMYFUNCTION("""COMPUTED_VALUE"""),"Mèo")</f>
        <v>Mèo</v>
      </c>
      <c r="E3129" s="119" t="str">
        <f>IFERROR(__xludf.DUMMYFUNCTION("""COMPUTED_VALUE"""),"Meo")</f>
        <v>Meo</v>
      </c>
    </row>
    <row r="3130" ht="15.75" customHeight="1">
      <c r="A3130" s="122" t="str">
        <f>IFERROR(__xludf.DUMMYFUNCTION("""COMPUTED_VALUE"""),"0853 553 012")</f>
        <v>0853 553 012</v>
      </c>
      <c r="B3130" s="119" t="str">
        <f>IFERROR(__xludf.DUMMYFUNCTION("""COMPUTED_VALUE"""),"Chị Trang")</f>
        <v>Chị Trang</v>
      </c>
      <c r="C3130" s="119" t="str">
        <f>IFERROR(__xludf.DUMMYFUNCTION("""COMPUTED_VALUE"""),"200 Lý nam Đế")</f>
        <v>200 Lý nam Đế</v>
      </c>
      <c r="D3130" s="119" t="str">
        <f>IFERROR(__xludf.DUMMYFUNCTION("""COMPUTED_VALUE"""),"mèo")</f>
        <v>mèo</v>
      </c>
      <c r="E3130" s="119" t="str">
        <f>IFERROR(__xludf.DUMMYFUNCTION("""COMPUTED_VALUE"""),"Sữa")</f>
        <v>Sữa</v>
      </c>
    </row>
    <row r="3131" ht="15.75" customHeight="1">
      <c r="A3131" s="122" t="str">
        <f>IFERROR(__xludf.DUMMYFUNCTION("""COMPUTED_VALUE"""),"0914 666 969")</f>
        <v>0914 666 969</v>
      </c>
      <c r="B3131" s="119" t="str">
        <f>IFERROR(__xludf.DUMMYFUNCTION("""COMPUTED_VALUE"""),"Thầy Toàn")</f>
        <v>Thầy Toàn</v>
      </c>
      <c r="C3131" s="119" t="str">
        <f>IFERROR(__xludf.DUMMYFUNCTION("""COMPUTED_VALUE"""),"24 Phan Văn Trường")</f>
        <v>24 Phan Văn Trường</v>
      </c>
      <c r="D3131" s="119" t="str">
        <f>IFERROR(__xludf.DUMMYFUNCTION("""COMPUTED_VALUE"""),"Chó")</f>
        <v>Chó</v>
      </c>
      <c r="E3131" s="119" t="str">
        <f>IFERROR(__xludf.DUMMYFUNCTION("""COMPUTED_VALUE"""),"Tony")</f>
        <v>Tony</v>
      </c>
    </row>
    <row r="3132" ht="15.75" customHeight="1">
      <c r="A3132" s="122" t="str">
        <f>IFERROR(__xludf.DUMMYFUNCTION("""COMPUTED_VALUE"""),"0363 921 801")</f>
        <v>0363 921 801</v>
      </c>
      <c r="B3132" s="119" t="str">
        <f>IFERROR(__xludf.DUMMYFUNCTION("""COMPUTED_VALUE"""),"Chú Lân")</f>
        <v>Chú Lân</v>
      </c>
      <c r="C3132" s="119" t="str">
        <f>IFERROR(__xludf.DUMMYFUNCTION("""COMPUTED_VALUE"""),"92 Ngọc Hồ")</f>
        <v>92 Ngọc Hồ</v>
      </c>
      <c r="D3132" s="119" t="str">
        <f>IFERROR(__xludf.DUMMYFUNCTION("""COMPUTED_VALUE"""),"Chó")</f>
        <v>Chó</v>
      </c>
      <c r="E3132" s="119" t="str">
        <f>IFERROR(__xludf.DUMMYFUNCTION("""COMPUTED_VALUE"""),"Kim Cương ")</f>
        <v>Kim Cương </v>
      </c>
    </row>
    <row r="3133" ht="15.75" customHeight="1">
      <c r="A3133" s="122" t="str">
        <f>IFERROR(__xludf.DUMMYFUNCTION("""COMPUTED_VALUE"""),"0394 527 735")</f>
        <v>0394 527 735</v>
      </c>
      <c r="B3133" s="119" t="str">
        <f>IFERROR(__xludf.DUMMYFUNCTION("""COMPUTED_VALUE"""),"Dì Hồ Thị Lâm")</f>
        <v>Dì Hồ Thị Lâm</v>
      </c>
      <c r="C3133" s="119" t="str">
        <f>IFERROR(__xludf.DUMMYFUNCTION("""COMPUTED_VALUE"""),"574 Bùi Thị Xuân")</f>
        <v>574 Bùi Thị Xuân</v>
      </c>
      <c r="D3133" s="119" t="str">
        <f>IFERROR(__xludf.DUMMYFUNCTION("""COMPUTED_VALUE"""),"chó")</f>
        <v>chó</v>
      </c>
      <c r="E3133" s="119" t="str">
        <f>IFERROR(__xludf.DUMMYFUNCTION("""COMPUTED_VALUE"""),"Bông")</f>
        <v>Bông</v>
      </c>
    </row>
    <row r="3134" ht="15.75" customHeight="1">
      <c r="A3134" s="122" t="str">
        <f>IFERROR(__xludf.DUMMYFUNCTION("""COMPUTED_VALUE"""),"0762 598 331")</f>
        <v>0762 598 331</v>
      </c>
      <c r="B3134" s="119" t="str">
        <f>IFERROR(__xludf.DUMMYFUNCTION("""COMPUTED_VALUE"""),"Ánh Dương ")</f>
        <v>Ánh Dương </v>
      </c>
      <c r="C3134" s="119" t="str">
        <f>IFERROR(__xludf.DUMMYFUNCTION("""COMPUTED_VALUE"""),"22/3 vạn Xuân")</f>
        <v>22/3 vạn Xuân</v>
      </c>
      <c r="D3134" s="119" t="str">
        <f>IFERROR(__xludf.DUMMYFUNCTION("""COMPUTED_VALUE"""),"Chó")</f>
        <v>Chó</v>
      </c>
      <c r="E3134" s="119" t="str">
        <f>IFERROR(__xludf.DUMMYFUNCTION("""COMPUTED_VALUE"""),"Batô")</f>
        <v>Batô</v>
      </c>
    </row>
    <row r="3135" ht="15.75" customHeight="1">
      <c r="A3135" s="122" t="str">
        <f>IFERROR(__xludf.DUMMYFUNCTION("""COMPUTED_VALUE"""),"0355 354 370")</f>
        <v>0355 354 370</v>
      </c>
      <c r="B3135" s="119" t="str">
        <f>IFERROR(__xludf.DUMMYFUNCTION("""COMPUTED_VALUE"""),"Anh Phúc")</f>
        <v>Anh Phúc</v>
      </c>
      <c r="C3135" s="119" t="str">
        <f>IFERROR(__xludf.DUMMYFUNCTION("""COMPUTED_VALUE"""),"Phú Mậu")</f>
        <v>Phú Mậu</v>
      </c>
      <c r="D3135" s="119" t="str">
        <f>IFERROR(__xludf.DUMMYFUNCTION("""COMPUTED_VALUE"""),"Chó")</f>
        <v>Chó</v>
      </c>
      <c r="E3135" s="119" t="str">
        <f>IFERROR(__xludf.DUMMYFUNCTION("""COMPUTED_VALUE"""),"Xù")</f>
        <v>Xù</v>
      </c>
    </row>
    <row r="3136" ht="15.75" customHeight="1">
      <c r="A3136" s="122" t="str">
        <f>IFERROR(__xludf.DUMMYFUNCTION("""COMPUTED_VALUE"""),"0964 790 177")</f>
        <v>0964 790 177</v>
      </c>
      <c r="B3136" s="119" t="str">
        <f>IFERROR(__xludf.DUMMYFUNCTION("""COMPUTED_VALUE"""),"Chị Thuỷ")</f>
        <v>Chị Thuỷ</v>
      </c>
      <c r="C3136" s="119" t="str">
        <f>IFERROR(__xludf.DUMMYFUNCTION("""COMPUTED_VALUE"""),"Quảng Trị")</f>
        <v>Quảng Trị</v>
      </c>
      <c r="D3136" s="119" t="str">
        <f>IFERROR(__xludf.DUMMYFUNCTION("""COMPUTED_VALUE"""),"Chó")</f>
        <v>Chó</v>
      </c>
      <c r="E3136" s="119" t="str">
        <f>IFERROR(__xludf.DUMMYFUNCTION("""COMPUTED_VALUE"""),"Xù")</f>
        <v>Xù</v>
      </c>
    </row>
    <row r="3137" ht="15.75" customHeight="1">
      <c r="A3137" s="122" t="str">
        <f>IFERROR(__xludf.DUMMYFUNCTION("""COMPUTED_VALUE"""),"0366 521 791")</f>
        <v>0366 521 791</v>
      </c>
      <c r="B3137" s="119" t="str">
        <f>IFERROR(__xludf.DUMMYFUNCTION("""COMPUTED_VALUE"""),"Chị Trang ")</f>
        <v>Chị Trang </v>
      </c>
      <c r="C3137" s="119" t="str">
        <f>IFERROR(__xludf.DUMMYFUNCTION("""COMPUTED_VALUE"""),"206/2 Nguyễn Hữu Duật")</f>
        <v>206/2 Nguyễn Hữu Duật</v>
      </c>
      <c r="D3137" s="119" t="str">
        <f>IFERROR(__xludf.DUMMYFUNCTION("""COMPUTED_VALUE"""),"Chó")</f>
        <v>Chó</v>
      </c>
      <c r="E3137" s="119" t="str">
        <f>IFERROR(__xludf.DUMMYFUNCTION("""COMPUTED_VALUE"""),"Tom")</f>
        <v>Tom</v>
      </c>
    </row>
    <row r="3138" ht="15.75" customHeight="1">
      <c r="A3138" s="122" t="str">
        <f>IFERROR(__xludf.DUMMYFUNCTION("""COMPUTED_VALUE"""),"0342 534 856")</f>
        <v>0342 534 856</v>
      </c>
      <c r="B3138" s="119" t="str">
        <f>IFERROR(__xludf.DUMMYFUNCTION("""COMPUTED_VALUE"""),"Anh Tùng")</f>
        <v>Anh Tùng</v>
      </c>
      <c r="C3138" s="119" t="str">
        <f>IFERROR(__xludf.DUMMYFUNCTION("""COMPUTED_VALUE"""),"240/92 Lý Nam Đế")</f>
        <v>240/92 Lý Nam Đế</v>
      </c>
      <c r="D3138" s="119" t="str">
        <f>IFERROR(__xludf.DUMMYFUNCTION("""COMPUTED_VALUE"""),"Chó")</f>
        <v>Chó</v>
      </c>
      <c r="E3138" s="119" t="str">
        <f>IFERROR(__xludf.DUMMYFUNCTION("""COMPUTED_VALUE"""),"Bụp")</f>
        <v>Bụp</v>
      </c>
    </row>
    <row r="3139" ht="15.75" customHeight="1">
      <c r="A3139" s="122" t="str">
        <f>IFERROR(__xludf.DUMMYFUNCTION("""COMPUTED_VALUE"""),"0365 352 825")</f>
        <v>0365 352 825</v>
      </c>
      <c r="B3139" s="119" t="str">
        <f>IFERROR(__xludf.DUMMYFUNCTION("""COMPUTED_VALUE"""),"Chị Quý")</f>
        <v>Chị Quý</v>
      </c>
      <c r="C3139" s="119" t="str">
        <f>IFERROR(__xludf.DUMMYFUNCTION("""COMPUTED_VALUE"""),"93 Lý Nam Đế")</f>
        <v>93 Lý Nam Đế</v>
      </c>
      <c r="D3139" s="119" t="str">
        <f>IFERROR(__xludf.DUMMYFUNCTION("""COMPUTED_VALUE"""),"mèo")</f>
        <v>mèo</v>
      </c>
      <c r="E3139" s="119" t="str">
        <f>IFERROR(__xludf.DUMMYFUNCTION("""COMPUTED_VALUE"""),"pheri")</f>
        <v>pheri</v>
      </c>
    </row>
    <row r="3140" ht="15.75" customHeight="1">
      <c r="A3140" s="122" t="str">
        <f>IFERROR(__xludf.DUMMYFUNCTION("""COMPUTED_VALUE"""),"0763 255 802")</f>
        <v>0763 255 802</v>
      </c>
      <c r="B3140" s="119" t="str">
        <f>IFERROR(__xludf.DUMMYFUNCTION("""COMPUTED_VALUE"""),"Em phước Tường")</f>
        <v>Em phước Tường</v>
      </c>
      <c r="C3140" s="119" t="str">
        <f>IFERROR(__xludf.DUMMYFUNCTION("""COMPUTED_VALUE"""),"33/1 Nguyễn Hoàng ")</f>
        <v>33/1 Nguyễn Hoàng </v>
      </c>
      <c r="D3140" s="119" t="str">
        <f>IFERROR(__xludf.DUMMYFUNCTION("""COMPUTED_VALUE"""),"mèo")</f>
        <v>mèo</v>
      </c>
      <c r="E3140" s="119" t="str">
        <f>IFERROR(__xludf.DUMMYFUNCTION("""COMPUTED_VALUE"""),"Phận")</f>
        <v>Phận</v>
      </c>
    </row>
    <row r="3141" ht="15.75" customHeight="1">
      <c r="A3141" s="122" t="str">
        <f>IFERROR(__xludf.DUMMYFUNCTION("""COMPUTED_VALUE"""),"0328 279 612")</f>
        <v>0328 279 612</v>
      </c>
      <c r="B3141" s="119" t="str">
        <f>IFERROR(__xludf.DUMMYFUNCTION("""COMPUTED_VALUE"""),"Em Nhàn")</f>
        <v>Em Nhàn</v>
      </c>
      <c r="C3141" s="119" t="str">
        <f>IFERROR(__xludf.DUMMYFUNCTION("""COMPUTED_VALUE"""),"Cafe Mộc Viên")</f>
        <v>Cafe Mộc Viên</v>
      </c>
      <c r="D3141" s="119" t="str">
        <f>IFERROR(__xludf.DUMMYFUNCTION("""COMPUTED_VALUE"""),"chó")</f>
        <v>chó</v>
      </c>
      <c r="E3141" s="119" t="str">
        <f>IFERROR(__xludf.DUMMYFUNCTION("""COMPUTED_VALUE"""),"Sam")</f>
        <v>Sam</v>
      </c>
    </row>
    <row r="3142" ht="15.75" customHeight="1">
      <c r="A3142" s="122" t="str">
        <f>IFERROR(__xludf.DUMMYFUNCTION("""COMPUTED_VALUE"""),"0387 109 668")</f>
        <v>0387 109 668</v>
      </c>
      <c r="B3142" s="119" t="str">
        <f>IFERROR(__xludf.DUMMYFUNCTION("""COMPUTED_VALUE"""),"Anh Tâm")</f>
        <v>Anh Tâm</v>
      </c>
      <c r="C3142" s="119" t="str">
        <f>IFERROR(__xludf.DUMMYFUNCTION("""COMPUTED_VALUE"""),"Bao Vinh")</f>
        <v>Bao Vinh</v>
      </c>
      <c r="D3142" s="119" t="str">
        <f>IFERROR(__xludf.DUMMYFUNCTION("""COMPUTED_VALUE"""),"Sóc")</f>
        <v>Sóc</v>
      </c>
      <c r="E3142" s="119"/>
    </row>
    <row r="3143" ht="15.75" customHeight="1">
      <c r="A3143" s="122" t="str">
        <f>IFERROR(__xludf.DUMMYFUNCTION("""COMPUTED_VALUE"""),"0378 149 924")</f>
        <v>0378 149 924</v>
      </c>
      <c r="B3143" s="119" t="str">
        <f>IFERROR(__xludf.DUMMYFUNCTION("""COMPUTED_VALUE"""),"Dì Thiệc")</f>
        <v>Dì Thiệc</v>
      </c>
      <c r="C3143" s="119" t="str">
        <f>IFERROR(__xludf.DUMMYFUNCTION("""COMPUTED_VALUE"""),"Hương Hồ")</f>
        <v>Hương Hồ</v>
      </c>
      <c r="D3143" s="119" t="str">
        <f>IFERROR(__xludf.DUMMYFUNCTION("""COMPUTED_VALUE"""),"Chó")</f>
        <v>Chó</v>
      </c>
      <c r="E3143" s="119" t="str">
        <f>IFERROR(__xludf.DUMMYFUNCTION("""COMPUTED_VALUE"""),"Tỏi")</f>
        <v>Tỏi</v>
      </c>
    </row>
    <row r="3144" ht="15.75" customHeight="1">
      <c r="A3144" s="122" t="str">
        <f>IFERROR(__xludf.DUMMYFUNCTION("""COMPUTED_VALUE"""),"0779 593 180")</f>
        <v>0779 593 180</v>
      </c>
      <c r="B3144" s="119" t="str">
        <f>IFERROR(__xludf.DUMMYFUNCTION("""COMPUTED_VALUE"""),"Chị Lộc Ninh ")</f>
        <v>Chị Lộc Ninh </v>
      </c>
      <c r="C3144" s="119" t="str">
        <f>IFERROR(__xludf.DUMMYFUNCTION("""COMPUTED_VALUE"""),"7 Nguyễn Khoa Vy")</f>
        <v>7 Nguyễn Khoa Vy</v>
      </c>
      <c r="D3144" s="119" t="str">
        <f>IFERROR(__xludf.DUMMYFUNCTION("""COMPUTED_VALUE"""),"chó")</f>
        <v>chó</v>
      </c>
      <c r="E3144" s="119" t="str">
        <f>IFERROR(__xludf.DUMMYFUNCTION("""COMPUTED_VALUE"""),"Lu")</f>
        <v>Lu</v>
      </c>
    </row>
    <row r="3145" ht="15.75" customHeight="1">
      <c r="A3145" s="122" t="str">
        <f>IFERROR(__xludf.DUMMYFUNCTION("""COMPUTED_VALUE"""),"0373 897 349")</f>
        <v>0373 897 349</v>
      </c>
      <c r="B3145" s="119" t="str">
        <f>IFERROR(__xludf.DUMMYFUNCTION("""COMPUTED_VALUE"""),"Chị Như")</f>
        <v>Chị Như</v>
      </c>
      <c r="C3145" s="119" t="str">
        <f>IFERROR(__xludf.DUMMYFUNCTION("""COMPUTED_VALUE"""),"104/3 Kim Long ")</f>
        <v>104/3 Kim Long </v>
      </c>
      <c r="D3145" s="119" t="str">
        <f>IFERROR(__xludf.DUMMYFUNCTION("""COMPUTED_VALUE"""),"Chó")</f>
        <v>Chó</v>
      </c>
      <c r="E3145" s="119" t="str">
        <f>IFERROR(__xludf.DUMMYFUNCTION("""COMPUTED_VALUE"""),"Vàng")</f>
        <v>Vàng</v>
      </c>
    </row>
    <row r="3146" ht="15.75" customHeight="1">
      <c r="A3146" s="122" t="str">
        <f>IFERROR(__xludf.DUMMYFUNCTION("""COMPUTED_VALUE"""),"0799 418 583")</f>
        <v>0799 418 583</v>
      </c>
      <c r="B3146" s="119" t="str">
        <f>IFERROR(__xludf.DUMMYFUNCTION("""COMPUTED_VALUE"""),"Anh Quốc")</f>
        <v>Anh Quốc</v>
      </c>
      <c r="C3146" s="119" t="str">
        <f>IFERROR(__xludf.DUMMYFUNCTION("""COMPUTED_VALUE"""),"26/35 Điện Biên Phủ")</f>
        <v>26/35 Điện Biên Phủ</v>
      </c>
      <c r="D3146" s="119" t="str">
        <f>IFERROR(__xludf.DUMMYFUNCTION("""COMPUTED_VALUE"""),"Chó")</f>
        <v>Chó</v>
      </c>
      <c r="E3146" s="119"/>
    </row>
    <row r="3147" ht="15.75" customHeight="1">
      <c r="A3147" s="122" t="str">
        <f>IFERROR(__xludf.DUMMYFUNCTION("""COMPUTED_VALUE"""),"0903 558 699")</f>
        <v>0903 558 699</v>
      </c>
      <c r="B3147" s="119" t="str">
        <f>IFERROR(__xludf.DUMMYFUNCTION("""COMPUTED_VALUE"""),"Chú Lê Thanh")</f>
        <v>Chú Lê Thanh</v>
      </c>
      <c r="C3147" s="119" t="str">
        <f>IFERROR(__xludf.DUMMYFUNCTION("""COMPUTED_VALUE"""),"Vinh An - Phú Vang")</f>
        <v>Vinh An - Phú Vang</v>
      </c>
      <c r="D3147" s="119" t="str">
        <f>IFERROR(__xludf.DUMMYFUNCTION("""COMPUTED_VALUE"""),"chó")</f>
        <v>chó</v>
      </c>
      <c r="E3147" s="119" t="str">
        <f>IFERROR(__xludf.DUMMYFUNCTION("""COMPUTED_VALUE"""),"Nicko")</f>
        <v>Nicko</v>
      </c>
    </row>
    <row r="3148" ht="15.75" customHeight="1">
      <c r="A3148" s="122" t="str">
        <f>IFERROR(__xludf.DUMMYFUNCTION("""COMPUTED_VALUE"""),"0905 995 119 ")</f>
        <v>0905 995 119 </v>
      </c>
      <c r="B3148" s="119" t="str">
        <f>IFERROR(__xludf.DUMMYFUNCTION("""COMPUTED_VALUE"""),"Chị Châu")</f>
        <v>Chị Châu</v>
      </c>
      <c r="C3148" s="119" t="str">
        <f>IFERROR(__xludf.DUMMYFUNCTION("""COMPUTED_VALUE"""),"51 Trần Quốc Toản")</f>
        <v>51 Trần Quốc Toản</v>
      </c>
      <c r="D3148" s="119" t="str">
        <f>IFERROR(__xludf.DUMMYFUNCTION("""COMPUTED_VALUE"""),"Chó")</f>
        <v>Chó</v>
      </c>
      <c r="E3148" s="119" t="str">
        <f>IFERROR(__xludf.DUMMYFUNCTION("""COMPUTED_VALUE"""),"Xoài")</f>
        <v>Xoài</v>
      </c>
    </row>
    <row r="3149" ht="15.75" customHeight="1">
      <c r="A3149" s="122" t="str">
        <f>IFERROR(__xludf.DUMMYFUNCTION("""COMPUTED_VALUE"""),"0945 843 033")</f>
        <v>0945 843 033</v>
      </c>
      <c r="B3149" s="119" t="str">
        <f>IFERROR(__xludf.DUMMYFUNCTION("""COMPUTED_VALUE"""),"Em Mỹ Trâm")</f>
        <v>Em Mỹ Trâm</v>
      </c>
      <c r="C3149" s="119" t="str">
        <f>IFERROR(__xludf.DUMMYFUNCTION("""COMPUTED_VALUE"""),"7/56 Trần Nhật Duật")</f>
        <v>7/56 Trần Nhật Duật</v>
      </c>
      <c r="D3149" s="119" t="str">
        <f>IFERROR(__xludf.DUMMYFUNCTION("""COMPUTED_VALUE"""),"Mèo")</f>
        <v>Mèo</v>
      </c>
      <c r="E3149" s="119" t="str">
        <f>IFERROR(__xludf.DUMMYFUNCTION("""COMPUTED_VALUE"""),"Bắp")</f>
        <v>Bắp</v>
      </c>
    </row>
    <row r="3150" ht="15.75" customHeight="1">
      <c r="A3150" s="122" t="str">
        <f>IFERROR(__xludf.DUMMYFUNCTION("""COMPUTED_VALUE"""),"0935 115 642")</f>
        <v>0935 115 642</v>
      </c>
      <c r="B3150" s="119" t="str">
        <f>IFERROR(__xludf.DUMMYFUNCTION("""COMPUTED_VALUE"""),"Chị Thảo My")</f>
        <v>Chị Thảo My</v>
      </c>
      <c r="C3150" s="119" t="str">
        <f>IFERROR(__xludf.DUMMYFUNCTION("""COMPUTED_VALUE"""),"137 Vạn Xuân")</f>
        <v>137 Vạn Xuân</v>
      </c>
      <c r="D3150" s="119" t="str">
        <f>IFERROR(__xludf.DUMMYFUNCTION("""COMPUTED_VALUE"""),"Chó")</f>
        <v>Chó</v>
      </c>
      <c r="E3150" s="119" t="str">
        <f>IFERROR(__xludf.DUMMYFUNCTION("""COMPUTED_VALUE"""),"Ruby")</f>
        <v>Ruby</v>
      </c>
    </row>
    <row r="3151" ht="15.75" customHeight="1">
      <c r="A3151" s="122" t="str">
        <f>IFERROR(__xludf.DUMMYFUNCTION("""COMPUTED_VALUE"""),"0354 704 296")</f>
        <v>0354 704 296</v>
      </c>
      <c r="B3151" s="119" t="str">
        <f>IFERROR(__xludf.DUMMYFUNCTION("""COMPUTED_VALUE"""),"Kim Chi")</f>
        <v>Kim Chi</v>
      </c>
      <c r="C3151" s="119" t="str">
        <f>IFERROR(__xludf.DUMMYFUNCTION("""COMPUTED_VALUE"""),"129 Võ Trạc")</f>
        <v>129 Võ Trạc</v>
      </c>
      <c r="D3151" s="119" t="str">
        <f>IFERROR(__xludf.DUMMYFUNCTION("""COMPUTED_VALUE"""),"Mèo")</f>
        <v>Mèo</v>
      </c>
      <c r="E3151" s="119" t="str">
        <f>IFERROR(__xludf.DUMMYFUNCTION("""COMPUTED_VALUE"""),"Hải Mây")</f>
        <v>Hải Mây</v>
      </c>
    </row>
    <row r="3152" ht="15.75" customHeight="1">
      <c r="A3152" s="122" t="str">
        <f>IFERROR(__xludf.DUMMYFUNCTION("""COMPUTED_VALUE"""),"0912 252 752")</f>
        <v>0912 252 752</v>
      </c>
      <c r="B3152" s="119" t="str">
        <f>IFERROR(__xludf.DUMMYFUNCTION("""COMPUTED_VALUE"""),"Anh Hưng")</f>
        <v>Anh Hưng</v>
      </c>
      <c r="C3152" s="119" t="str">
        <f>IFERROR(__xludf.DUMMYFUNCTION("""COMPUTED_VALUE"""),"4 k45 Duy Tân")</f>
        <v>4 k45 Duy Tân</v>
      </c>
      <c r="D3152" s="119" t="str">
        <f>IFERROR(__xludf.DUMMYFUNCTION("""COMPUTED_VALUE"""),"mèo")</f>
        <v>mèo</v>
      </c>
      <c r="E3152" s="119" t="str">
        <f>IFERROR(__xludf.DUMMYFUNCTION("""COMPUTED_VALUE"""),"bông")</f>
        <v>bông</v>
      </c>
    </row>
    <row r="3153" ht="15.75" customHeight="1">
      <c r="A3153" s="122" t="str">
        <f>IFERROR(__xludf.DUMMYFUNCTION("""COMPUTED_VALUE"""),"0774 954 591")</f>
        <v>0774 954 591</v>
      </c>
      <c r="B3153" s="119" t="str">
        <f>IFERROR(__xludf.DUMMYFUNCTION("""COMPUTED_VALUE"""),"Em Vi")</f>
        <v>Em Vi</v>
      </c>
      <c r="C3153" s="119"/>
      <c r="D3153" s="119" t="str">
        <f>IFERROR(__xludf.DUMMYFUNCTION("""COMPUTED_VALUE"""),"Chó")</f>
        <v>Chó</v>
      </c>
      <c r="E3153" s="119" t="str">
        <f>IFERROR(__xludf.DUMMYFUNCTION("""COMPUTED_VALUE"""),"Milu")</f>
        <v>Milu</v>
      </c>
    </row>
    <row r="3154" ht="15.75" customHeight="1">
      <c r="A3154" s="122" t="str">
        <f>IFERROR(__xludf.DUMMYFUNCTION("""COMPUTED_VALUE"""),"0902 712 208")</f>
        <v>0902 712 208</v>
      </c>
      <c r="B3154" s="119" t="str">
        <f>IFERROR(__xludf.DUMMYFUNCTION("""COMPUTED_VALUE"""),"Chị ")</f>
        <v>Chị </v>
      </c>
      <c r="C3154" s="119" t="str">
        <f>IFERROR(__xludf.DUMMYFUNCTION("""COMPUTED_VALUE"""),"Thiên Thai")</f>
        <v>Thiên Thai</v>
      </c>
      <c r="D3154" s="119" t="str">
        <f>IFERROR(__xludf.DUMMYFUNCTION("""COMPUTED_VALUE"""),"Chó")</f>
        <v>Chó</v>
      </c>
      <c r="E3154" s="119" t="str">
        <f>IFERROR(__xludf.DUMMYFUNCTION("""COMPUTED_VALUE"""),"Lu")</f>
        <v>Lu</v>
      </c>
    </row>
    <row r="3155" ht="15.75" customHeight="1">
      <c r="A3155" s="122" t="str">
        <f>IFERROR(__xludf.DUMMYFUNCTION("""COMPUTED_VALUE"""),"0903 517 935")</f>
        <v>0903 517 935</v>
      </c>
      <c r="B3155" s="119" t="str">
        <f>IFERROR(__xludf.DUMMYFUNCTION("""COMPUTED_VALUE"""),"Chí")</f>
        <v>Chí</v>
      </c>
      <c r="C3155" s="119"/>
      <c r="D3155" s="119"/>
      <c r="E3155" s="119"/>
    </row>
    <row r="3156" ht="15.75" customHeight="1">
      <c r="A3156" s="122" t="str">
        <f>IFERROR(__xludf.DUMMYFUNCTION("""COMPUTED_VALUE"""),"0796 104 909")</f>
        <v>0796 104 909</v>
      </c>
      <c r="B3156" s="119" t="str">
        <f>IFERROR(__xludf.DUMMYFUNCTION("""COMPUTED_VALUE"""),"Anh Dương")</f>
        <v>Anh Dương</v>
      </c>
      <c r="C3156" s="119" t="str">
        <f>IFERROR(__xludf.DUMMYFUNCTION("""COMPUTED_VALUE"""),"15/53 Trâng Hải Thành - Thuận An")</f>
        <v>15/53 Trâng Hải Thành - Thuận An</v>
      </c>
      <c r="D3156" s="119" t="str">
        <f>IFERROR(__xludf.DUMMYFUNCTION("""COMPUTED_VALUE"""),"Chó")</f>
        <v>Chó</v>
      </c>
      <c r="E3156" s="119" t="str">
        <f>IFERROR(__xludf.DUMMYFUNCTION("""COMPUTED_VALUE"""),"Lu")</f>
        <v>Lu</v>
      </c>
    </row>
    <row r="3157" ht="15.75" customHeight="1">
      <c r="A3157" s="122" t="str">
        <f>IFERROR(__xludf.DUMMYFUNCTION("""COMPUTED_VALUE"""),"0934 929 171")</f>
        <v>0934 929 171</v>
      </c>
      <c r="B3157" s="119" t="str">
        <f>IFERROR(__xludf.DUMMYFUNCTION("""COMPUTED_VALUE"""),"Trần Thị cát Tường")</f>
        <v>Trần Thị cát Tường</v>
      </c>
      <c r="C3157" s="119" t="str">
        <f>IFERROR(__xludf.DUMMYFUNCTION("""COMPUTED_VALUE"""),"Thủy Xuân")</f>
        <v>Thủy Xuân</v>
      </c>
      <c r="D3157" s="119" t="str">
        <f>IFERROR(__xludf.DUMMYFUNCTION("""COMPUTED_VALUE"""),"Chó")</f>
        <v>Chó</v>
      </c>
      <c r="E3157" s="119" t="str">
        <f>IFERROR(__xludf.DUMMYFUNCTION("""COMPUTED_VALUE"""),"Cún")</f>
        <v>Cún</v>
      </c>
    </row>
    <row r="3158" ht="15.75" customHeight="1">
      <c r="A3158" s="122" t="str">
        <f>IFERROR(__xludf.DUMMYFUNCTION("""COMPUTED_VALUE"""),"0931 804 668")</f>
        <v>0931 804 668</v>
      </c>
      <c r="B3158" s="119" t="str">
        <f>IFERROR(__xludf.DUMMYFUNCTION("""COMPUTED_VALUE"""),"Anh Thành")</f>
        <v>Anh Thành</v>
      </c>
      <c r="C3158" s="119" t="str">
        <f>IFERROR(__xludf.DUMMYFUNCTION("""COMPUTED_VALUE"""),"18/16 Duy Tân")</f>
        <v>18/16 Duy Tân</v>
      </c>
      <c r="D3158" s="119" t="str">
        <f>IFERROR(__xludf.DUMMYFUNCTION("""COMPUTED_VALUE"""),"Chó")</f>
        <v>Chó</v>
      </c>
      <c r="E3158" s="119" t="str">
        <f>IFERROR(__xludf.DUMMYFUNCTION("""COMPUTED_VALUE"""),"King")</f>
        <v>King</v>
      </c>
    </row>
    <row r="3159" ht="15.75" customHeight="1">
      <c r="A3159" s="122" t="str">
        <f>IFERROR(__xludf.DUMMYFUNCTION("""COMPUTED_VALUE"""),"0964 356 451")</f>
        <v>0964 356 451</v>
      </c>
      <c r="B3159" s="119" t="str">
        <f>IFERROR(__xludf.DUMMYFUNCTION("""COMPUTED_VALUE"""),"Mai Thị Hoài Hương")</f>
        <v>Mai Thị Hoài Hương</v>
      </c>
      <c r="C3159" s="119" t="str">
        <f>IFERROR(__xludf.DUMMYFUNCTION("""COMPUTED_VALUE"""),"215 Trần Phú")</f>
        <v>215 Trần Phú</v>
      </c>
      <c r="D3159" s="119" t="str">
        <f>IFERROR(__xludf.DUMMYFUNCTION("""COMPUTED_VALUE"""),"Mèo")</f>
        <v>Mèo</v>
      </c>
      <c r="E3159" s="119" t="str">
        <f>IFERROR(__xludf.DUMMYFUNCTION("""COMPUTED_VALUE"""),"Mon")</f>
        <v>Mon</v>
      </c>
    </row>
    <row r="3160" ht="15.75" customHeight="1">
      <c r="A3160" s="122" t="str">
        <f>IFERROR(__xludf.DUMMYFUNCTION("""COMPUTED_VALUE"""),"0931 983 174")</f>
        <v>0931 983 174</v>
      </c>
      <c r="B3160" s="119" t="str">
        <f>IFERROR(__xludf.DUMMYFUNCTION("""COMPUTED_VALUE"""),"Chú Thành")</f>
        <v>Chú Thành</v>
      </c>
      <c r="C3160" s="119" t="str">
        <f>IFERROR(__xludf.DUMMYFUNCTION("""COMPUTED_VALUE"""),"5/3/66 Xuân Diệu")</f>
        <v>5/3/66 Xuân Diệu</v>
      </c>
      <c r="D3160" s="119" t="str">
        <f>IFERROR(__xludf.DUMMYFUNCTION("""COMPUTED_VALUE"""),"Chó")</f>
        <v>Chó</v>
      </c>
      <c r="E3160" s="119"/>
    </row>
    <row r="3161" ht="15.75" customHeight="1">
      <c r="A3161" s="122" t="str">
        <f>IFERROR(__xludf.DUMMYFUNCTION("""COMPUTED_VALUE"""),"0947 122 835")</f>
        <v>0947 122 835</v>
      </c>
      <c r="B3161" s="119" t="str">
        <f>IFERROR(__xludf.DUMMYFUNCTION("""COMPUTED_VALUE"""),"Thầy Huy")</f>
        <v>Thầy Huy</v>
      </c>
      <c r="C3161" s="119" t="str">
        <f>IFERROR(__xludf.DUMMYFUNCTION("""COMPUTED_VALUE"""),"Nguyễn Sinh Cung")</f>
        <v>Nguyễn Sinh Cung</v>
      </c>
      <c r="D3161" s="119" t="str">
        <f>IFERROR(__xludf.DUMMYFUNCTION("""COMPUTED_VALUE"""),"chó")</f>
        <v>chó</v>
      </c>
      <c r="E3161" s="119" t="str">
        <f>IFERROR(__xludf.DUMMYFUNCTION("""COMPUTED_VALUE"""),"Bông")</f>
        <v>Bông</v>
      </c>
    </row>
    <row r="3162" ht="15.75" customHeight="1">
      <c r="A3162" s="122" t="str">
        <f>IFERROR(__xludf.DUMMYFUNCTION("""COMPUTED_VALUE"""),"0968 587 340")</f>
        <v>0968 587 340</v>
      </c>
      <c r="B3162" s="119" t="str">
        <f>IFERROR(__xludf.DUMMYFUNCTION("""COMPUTED_VALUE"""),"Chị Hạnh")</f>
        <v>Chị Hạnh</v>
      </c>
      <c r="C3162" s="119" t="str">
        <f>IFERROR(__xludf.DUMMYFUNCTION("""COMPUTED_VALUE"""),"104 Hoàng Quốc Việt")</f>
        <v>104 Hoàng Quốc Việt</v>
      </c>
      <c r="D3162" s="119" t="str">
        <f>IFERROR(__xludf.DUMMYFUNCTION("""COMPUTED_VALUE"""),"Chó")</f>
        <v>Chó</v>
      </c>
      <c r="E3162" s="119" t="str">
        <f>IFERROR(__xludf.DUMMYFUNCTION("""COMPUTED_VALUE"""),"Đen")</f>
        <v>Đen</v>
      </c>
    </row>
    <row r="3163" ht="15.75" customHeight="1">
      <c r="A3163" s="122" t="str">
        <f>IFERROR(__xludf.DUMMYFUNCTION("""COMPUTED_VALUE"""),"0703 585 543")</f>
        <v>0703 585 543</v>
      </c>
      <c r="B3163" s="119" t="str">
        <f>IFERROR(__xludf.DUMMYFUNCTION("""COMPUTED_VALUE"""),"Minh Tú")</f>
        <v>Minh Tú</v>
      </c>
      <c r="C3163" s="119" t="str">
        <f>IFERROR(__xludf.DUMMYFUNCTION("""COMPUTED_VALUE"""),"203 Bùi Thị Xuân")</f>
        <v>203 Bùi Thị Xuân</v>
      </c>
      <c r="D3163" s="119" t="str">
        <f>IFERROR(__xludf.DUMMYFUNCTION("""COMPUTED_VALUE"""),"Mèo")</f>
        <v>Mèo</v>
      </c>
      <c r="E3163" s="119" t="str">
        <f>IFERROR(__xludf.DUMMYFUNCTION("""COMPUTED_VALUE"""),"Bún")</f>
        <v>Bún</v>
      </c>
    </row>
    <row r="3164" ht="15.75" customHeight="1">
      <c r="A3164" s="122" t="str">
        <f>IFERROR(__xludf.DUMMYFUNCTION("""COMPUTED_VALUE"""),"0905 759 191")</f>
        <v>0905 759 191</v>
      </c>
      <c r="B3164" s="119" t="str">
        <f>IFERROR(__xludf.DUMMYFUNCTION("""COMPUTED_VALUE"""),"Chị Trang")</f>
        <v>Chị Trang</v>
      </c>
      <c r="C3164" s="119" t="str">
        <f>IFERROR(__xludf.DUMMYFUNCTION("""COMPUTED_VALUE"""),"131 Trần Phú")</f>
        <v>131 Trần Phú</v>
      </c>
      <c r="D3164" s="119" t="str">
        <f>IFERROR(__xludf.DUMMYFUNCTION("""COMPUTED_VALUE"""),"Chó")</f>
        <v>Chó</v>
      </c>
      <c r="E3164" s="119" t="str">
        <f>IFERROR(__xludf.DUMMYFUNCTION("""COMPUTED_VALUE"""),"Tô")</f>
        <v>Tô</v>
      </c>
    </row>
    <row r="3165" ht="15.75" customHeight="1">
      <c r="A3165" s="122" t="str">
        <f>IFERROR(__xludf.DUMMYFUNCTION("""COMPUTED_VALUE"""),"0387 819 777")</f>
        <v>0387 819 777</v>
      </c>
      <c r="B3165" s="119" t="str">
        <f>IFERROR(__xludf.DUMMYFUNCTION("""COMPUTED_VALUE"""),"Cát Tường")</f>
        <v>Cát Tường</v>
      </c>
      <c r="C3165" s="119" t="str">
        <f>IFERROR(__xludf.DUMMYFUNCTION("""COMPUTED_VALUE"""),"Mỹ An")</f>
        <v>Mỹ An</v>
      </c>
      <c r="D3165" s="119" t="str">
        <f>IFERROR(__xludf.DUMMYFUNCTION("""COMPUTED_VALUE"""),"mèo")</f>
        <v>mèo</v>
      </c>
      <c r="E3165" s="119" t="str">
        <f>IFERROR(__xludf.DUMMYFUNCTION("""COMPUTED_VALUE"""),"Mít")</f>
        <v>Mít</v>
      </c>
    </row>
    <row r="3166" ht="15.75" customHeight="1">
      <c r="A3166" s="122" t="str">
        <f>IFERROR(__xludf.DUMMYFUNCTION("""COMPUTED_VALUE"""),"0702 428 900")</f>
        <v>0702 428 900</v>
      </c>
      <c r="B3166" s="119" t="str">
        <f>IFERROR(__xludf.DUMMYFUNCTION("""COMPUTED_VALUE"""),"Bùi Văn Pháp")</f>
        <v>Bùi Văn Pháp</v>
      </c>
      <c r="C3166" s="119" t="str">
        <f>IFERROR(__xludf.DUMMYFUNCTION("""COMPUTED_VALUE"""),"E25 Phú Hiệp")</f>
        <v>E25 Phú Hiệp</v>
      </c>
      <c r="D3166" s="119" t="str">
        <f>IFERROR(__xludf.DUMMYFUNCTION("""COMPUTED_VALUE"""),"chó")</f>
        <v>chó</v>
      </c>
      <c r="E3166" s="119" t="str">
        <f>IFERROR(__xludf.DUMMYFUNCTION("""COMPUTED_VALUE"""),"Milo")</f>
        <v>Milo</v>
      </c>
    </row>
    <row r="3167" ht="15.75" customHeight="1">
      <c r="A3167" s="122" t="str">
        <f>IFERROR(__xludf.DUMMYFUNCTION("""COMPUTED_VALUE"""),"0935 068 211")</f>
        <v>0935 068 211</v>
      </c>
      <c r="B3167" s="119" t="str">
        <f>IFERROR(__xludf.DUMMYFUNCTION("""COMPUTED_VALUE"""),"Chị Vân")</f>
        <v>Chị Vân</v>
      </c>
      <c r="C3167" s="119" t="str">
        <f>IFERROR(__xludf.DUMMYFUNCTION("""COMPUTED_VALUE"""),"Triều Thuỷ")</f>
        <v>Triều Thuỷ</v>
      </c>
      <c r="D3167" s="119" t="str">
        <f>IFERROR(__xludf.DUMMYFUNCTION("""COMPUTED_VALUE"""),"mèo")</f>
        <v>mèo</v>
      </c>
      <c r="E3167" s="119" t="str">
        <f>IFERROR(__xludf.DUMMYFUNCTION("""COMPUTED_VALUE"""),"Chảnh")</f>
        <v>Chảnh</v>
      </c>
    </row>
    <row r="3168" ht="15.75" customHeight="1">
      <c r="A3168" s="122" t="str">
        <f>IFERROR(__xludf.DUMMYFUNCTION("""COMPUTED_VALUE"""),"0763 820 940")</f>
        <v>0763 820 940</v>
      </c>
      <c r="B3168" s="119" t="str">
        <f>IFERROR(__xludf.DUMMYFUNCTION("""COMPUTED_VALUE"""),"Oxlathai")</f>
        <v>Oxlathai</v>
      </c>
      <c r="C3168" s="119" t="str">
        <f>IFERROR(__xludf.DUMMYFUNCTION("""COMPUTED_VALUE"""),"51 Hoàng Thông")</f>
        <v>51 Hoàng Thông</v>
      </c>
      <c r="D3168" s="119" t="str">
        <f>IFERROR(__xludf.DUMMYFUNCTION("""COMPUTED_VALUE"""),"mèo")</f>
        <v>mèo</v>
      </c>
      <c r="E3168" s="119" t="str">
        <f>IFERROR(__xludf.DUMMYFUNCTION("""COMPUTED_VALUE"""),"Mai")</f>
        <v>Mai</v>
      </c>
    </row>
    <row r="3169" ht="15.75" customHeight="1">
      <c r="A3169" s="122" t="str">
        <f>IFERROR(__xludf.DUMMYFUNCTION("""COMPUTED_VALUE"""),"0776 758 686")</f>
        <v>0776 758 686</v>
      </c>
      <c r="B3169" s="119" t="str">
        <f>IFERROR(__xludf.DUMMYFUNCTION("""COMPUTED_VALUE"""),"Minh Khang")</f>
        <v>Minh Khang</v>
      </c>
      <c r="C3169" s="119" t="str">
        <f>IFERROR(__xludf.DUMMYFUNCTION("""COMPUTED_VALUE"""),"24B Tú Xương")</f>
        <v>24B Tú Xương</v>
      </c>
      <c r="D3169" s="119" t="str">
        <f>IFERROR(__xludf.DUMMYFUNCTION("""COMPUTED_VALUE"""),"mèo")</f>
        <v>mèo</v>
      </c>
      <c r="E3169" s="119" t="str">
        <f>IFERROR(__xludf.DUMMYFUNCTION("""COMPUTED_VALUE"""),"Cherry")</f>
        <v>Cherry</v>
      </c>
    </row>
    <row r="3170" ht="15.75" customHeight="1">
      <c r="A3170" s="122" t="str">
        <f>IFERROR(__xludf.DUMMYFUNCTION("""COMPUTED_VALUE"""),"0944 344 799")</f>
        <v>0944 344 799</v>
      </c>
      <c r="B3170" s="119" t="str">
        <f>IFERROR(__xludf.DUMMYFUNCTION("""COMPUTED_VALUE"""),"Anh Trung")</f>
        <v>Anh Trung</v>
      </c>
      <c r="C3170" s="119" t="str">
        <f>IFERROR(__xludf.DUMMYFUNCTION("""COMPUTED_VALUE"""),"53/131 Trần Phú")</f>
        <v>53/131 Trần Phú</v>
      </c>
      <c r="D3170" s="119" t="str">
        <f>IFERROR(__xludf.DUMMYFUNCTION("""COMPUTED_VALUE"""),"Chó")</f>
        <v>Chó</v>
      </c>
      <c r="E3170" s="119"/>
    </row>
    <row r="3171" ht="15.75" customHeight="1">
      <c r="A3171" s="122" t="str">
        <f>IFERROR(__xludf.DUMMYFUNCTION("""COMPUTED_VALUE"""),"0329 070 310")</f>
        <v>0329 070 310</v>
      </c>
      <c r="B3171" s="119" t="str">
        <f>IFERROR(__xludf.DUMMYFUNCTION("""COMPUTED_VALUE"""),"Em Tiên")</f>
        <v>Em Tiên</v>
      </c>
      <c r="C3171" s="119" t="str">
        <f>IFERROR(__xludf.DUMMYFUNCTION("""COMPUTED_VALUE"""),"31/16 Duy Tân")</f>
        <v>31/16 Duy Tân</v>
      </c>
      <c r="D3171" s="119" t="str">
        <f>IFERROR(__xludf.DUMMYFUNCTION("""COMPUTED_VALUE"""),"mèo")</f>
        <v>mèo</v>
      </c>
      <c r="E3171" s="119" t="str">
        <f>IFERROR(__xludf.DUMMYFUNCTION("""COMPUTED_VALUE"""),"Kem")</f>
        <v>Kem</v>
      </c>
    </row>
    <row r="3172" ht="15.75" customHeight="1">
      <c r="A3172" s="122" t="str">
        <f>IFERROR(__xludf.DUMMYFUNCTION("""COMPUTED_VALUE"""),"0942 438 264")</f>
        <v>0942 438 264</v>
      </c>
      <c r="B3172" s="119" t="str">
        <f>IFERROR(__xludf.DUMMYFUNCTION("""COMPUTED_VALUE"""),"Chị Hạnh")</f>
        <v>Chị Hạnh</v>
      </c>
      <c r="C3172" s="119" t="str">
        <f>IFERROR(__xludf.DUMMYFUNCTION("""COMPUTED_VALUE"""),"6/49 Đào Tấn")</f>
        <v>6/49 Đào Tấn</v>
      </c>
      <c r="D3172" s="119" t="str">
        <f>IFERROR(__xludf.DUMMYFUNCTION("""COMPUTED_VALUE"""),"chó")</f>
        <v>chó</v>
      </c>
      <c r="E3172" s="119" t="str">
        <f>IFERROR(__xludf.DUMMYFUNCTION("""COMPUTED_VALUE"""),"Lame")</f>
        <v>Lame</v>
      </c>
    </row>
    <row r="3173" ht="15.75" customHeight="1">
      <c r="A3173" s="122" t="str">
        <f>IFERROR(__xludf.DUMMYFUNCTION("""COMPUTED_VALUE"""),"0369 668 849")</f>
        <v>0369 668 849</v>
      </c>
      <c r="B3173" s="119" t="str">
        <f>IFERROR(__xludf.DUMMYFUNCTION("""COMPUTED_VALUE"""),"Cô Từ Hạnh ")</f>
        <v>Cô Từ Hạnh </v>
      </c>
      <c r="C3173" s="119" t="str">
        <f>IFERROR(__xludf.DUMMYFUNCTION("""COMPUTED_VALUE"""),"Chùa Huyền Không")</f>
        <v>Chùa Huyền Không</v>
      </c>
      <c r="D3173" s="119" t="str">
        <f>IFERROR(__xludf.DUMMYFUNCTION("""COMPUTED_VALUE"""),"chó")</f>
        <v>chó</v>
      </c>
      <c r="E3173" s="119" t="str">
        <f>IFERROR(__xludf.DUMMYFUNCTION("""COMPUTED_VALUE"""),"Sữa")</f>
        <v>Sữa</v>
      </c>
    </row>
    <row r="3174" ht="15.75" customHeight="1">
      <c r="A3174" s="122" t="str">
        <f>IFERROR(__xludf.DUMMYFUNCTION("""COMPUTED_VALUE"""),"0779 426 141")</f>
        <v>0779 426 141</v>
      </c>
      <c r="B3174" s="119" t="str">
        <f>IFERROR(__xludf.DUMMYFUNCTION("""COMPUTED_VALUE"""),"Đức Anh")</f>
        <v>Đức Anh</v>
      </c>
      <c r="C3174" s="119" t="str">
        <f>IFERROR(__xludf.DUMMYFUNCTION("""COMPUTED_VALUE"""),"107 Trần Nguyên Đán")</f>
        <v>107 Trần Nguyên Đán</v>
      </c>
      <c r="D3174" s="119" t="str">
        <f>IFERROR(__xludf.DUMMYFUNCTION("""COMPUTED_VALUE"""),"chó")</f>
        <v>chó</v>
      </c>
      <c r="E3174" s="119" t="str">
        <f>IFERROR(__xludf.DUMMYFUNCTION("""COMPUTED_VALUE"""),"Vàng")</f>
        <v>Vàng</v>
      </c>
    </row>
    <row r="3175" ht="15.75" customHeight="1">
      <c r="A3175" s="122" t="str">
        <f>IFERROR(__xludf.DUMMYFUNCTION("""COMPUTED_VALUE"""),"0905 529 069")</f>
        <v>0905 529 069</v>
      </c>
      <c r="B3175" s="119" t="str">
        <f>IFERROR(__xludf.DUMMYFUNCTION("""COMPUTED_VALUE"""),"Chị Nguyên")</f>
        <v>Chị Nguyên</v>
      </c>
      <c r="C3175" s="119" t="str">
        <f>IFERROR(__xludf.DUMMYFUNCTION("""COMPUTED_VALUE"""),"58 Nguyễn Hoàng")</f>
        <v>58 Nguyễn Hoàng</v>
      </c>
      <c r="D3175" s="119" t="str">
        <f>IFERROR(__xludf.DUMMYFUNCTION("""COMPUTED_VALUE"""),"chó")</f>
        <v>chó</v>
      </c>
      <c r="E3175" s="119" t="str">
        <f>IFERROR(__xludf.DUMMYFUNCTION("""COMPUTED_VALUE"""),"táo")</f>
        <v>táo</v>
      </c>
    </row>
    <row r="3176" ht="15.75" customHeight="1">
      <c r="A3176" s="122" t="str">
        <f>IFERROR(__xludf.DUMMYFUNCTION("""COMPUTED_VALUE"""),"0905 340 540")</f>
        <v>0905 340 540</v>
      </c>
      <c r="B3176" s="119" t="str">
        <f>IFERROR(__xludf.DUMMYFUNCTION("""COMPUTED_VALUE"""),"chị Bột")</f>
        <v>chị Bột</v>
      </c>
      <c r="C3176" s="119" t="str">
        <f>IFERROR(__xludf.DUMMYFUNCTION("""COMPUTED_VALUE"""),"6/6/101 Lê Huân")</f>
        <v>6/6/101 Lê Huân</v>
      </c>
      <c r="D3176" s="119" t="str">
        <f>IFERROR(__xludf.DUMMYFUNCTION("""COMPUTED_VALUE"""),"chó")</f>
        <v>chó</v>
      </c>
      <c r="E3176" s="119" t="str">
        <f>IFERROR(__xludf.DUMMYFUNCTION("""COMPUTED_VALUE"""),"Boy")</f>
        <v>Boy</v>
      </c>
    </row>
    <row r="3177" ht="15.75" customHeight="1">
      <c r="A3177" s="122" t="str">
        <f>IFERROR(__xludf.DUMMYFUNCTION("""COMPUTED_VALUE"""),"0327 827 673")</f>
        <v>0327 827 673</v>
      </c>
      <c r="B3177" s="119" t="str">
        <f>IFERROR(__xludf.DUMMYFUNCTION("""COMPUTED_VALUE"""),"Chị trinh")</f>
        <v>Chị trinh</v>
      </c>
      <c r="C3177" s="119" t="str">
        <f>IFERROR(__xludf.DUMMYFUNCTION("""COMPUTED_VALUE"""),"62 Tố Hữu")</f>
        <v>62 Tố Hữu</v>
      </c>
      <c r="D3177" s="119" t="str">
        <f>IFERROR(__xludf.DUMMYFUNCTION("""COMPUTED_VALUE"""),"mèo")</f>
        <v>mèo</v>
      </c>
      <c r="E3177" s="119" t="str">
        <f>IFERROR(__xludf.DUMMYFUNCTION("""COMPUTED_VALUE"""),"B Heo")</f>
        <v>B Heo</v>
      </c>
    </row>
    <row r="3178" ht="15.75" customHeight="1">
      <c r="A3178" s="122" t="str">
        <f>IFERROR(__xludf.DUMMYFUNCTION("""COMPUTED_VALUE"""),"0384 392 858")</f>
        <v>0384 392 858</v>
      </c>
      <c r="B3178" s="119" t="str">
        <f>IFERROR(__xludf.DUMMYFUNCTION("""COMPUTED_VALUE"""),"Hoàng Đình Minh")</f>
        <v>Hoàng Đình Minh</v>
      </c>
      <c r="C3178" s="119" t="str">
        <f>IFERROR(__xludf.DUMMYFUNCTION("""COMPUTED_VALUE"""),"29 Nguyễn Trọng Nhân")</f>
        <v>29 Nguyễn Trọng Nhân</v>
      </c>
      <c r="D3178" s="119" t="str">
        <f>IFERROR(__xludf.DUMMYFUNCTION("""COMPUTED_VALUE"""),"mèo")</f>
        <v>mèo</v>
      </c>
      <c r="E3178" s="119"/>
    </row>
    <row r="3179" ht="15.75" customHeight="1">
      <c r="A3179" s="122" t="str">
        <f>IFERROR(__xludf.DUMMYFUNCTION("""COMPUTED_VALUE"""),"0948 455 645")</f>
        <v>0948 455 645</v>
      </c>
      <c r="B3179" s="119" t="str">
        <f>IFERROR(__xludf.DUMMYFUNCTION("""COMPUTED_VALUE"""),"Anh Vũ")</f>
        <v>Anh Vũ</v>
      </c>
      <c r="C3179" s="119" t="str">
        <f>IFERROR(__xludf.DUMMYFUNCTION("""COMPUTED_VALUE"""),"Quảng Trị")</f>
        <v>Quảng Trị</v>
      </c>
      <c r="D3179" s="119" t="str">
        <f>IFERROR(__xludf.DUMMYFUNCTION("""COMPUTED_VALUE"""),"chó")</f>
        <v>chó</v>
      </c>
      <c r="E3179" s="119" t="str">
        <f>IFERROR(__xludf.DUMMYFUNCTION("""COMPUTED_VALUE"""),"Sochu")</f>
        <v>Sochu</v>
      </c>
    </row>
    <row r="3180" ht="15.75" customHeight="1">
      <c r="A3180" s="122" t="str">
        <f>IFERROR(__xludf.DUMMYFUNCTION("""COMPUTED_VALUE"""),"0935 100 806")</f>
        <v>0935 100 806</v>
      </c>
      <c r="B3180" s="119" t="str">
        <f>IFERROR(__xludf.DUMMYFUNCTION("""COMPUTED_VALUE"""),"Anh Vũ")</f>
        <v>Anh Vũ</v>
      </c>
      <c r="C3180" s="119" t="str">
        <f>IFERROR(__xludf.DUMMYFUNCTION("""COMPUTED_VALUE"""),"32 Nguyễn Chí Diểu")</f>
        <v>32 Nguyễn Chí Diểu</v>
      </c>
      <c r="D3180" s="119" t="str">
        <f>IFERROR(__xludf.DUMMYFUNCTION("""COMPUTED_VALUE"""),"mèo")</f>
        <v>mèo</v>
      </c>
      <c r="E3180" s="119" t="str">
        <f>IFERROR(__xludf.DUMMYFUNCTION("""COMPUTED_VALUE"""),"Đen")</f>
        <v>Đen</v>
      </c>
    </row>
    <row r="3181" ht="15.75" customHeight="1">
      <c r="A3181" s="122" t="str">
        <f>IFERROR(__xludf.DUMMYFUNCTION("""COMPUTED_VALUE"""),"0818 212 708")</f>
        <v>0818 212 708</v>
      </c>
      <c r="B3181" s="119" t="str">
        <f>IFERROR(__xludf.DUMMYFUNCTION("""COMPUTED_VALUE"""),"Chị Huyền")</f>
        <v>Chị Huyền</v>
      </c>
      <c r="C3181" s="119" t="str">
        <f>IFERROR(__xludf.DUMMYFUNCTION("""COMPUTED_VALUE"""),"An Vân Dương, Hương An")</f>
        <v>An Vân Dương, Hương An</v>
      </c>
      <c r="D3181" s="119" t="str">
        <f>IFERROR(__xludf.DUMMYFUNCTION("""COMPUTED_VALUE"""),"Chó ")</f>
        <v>Chó </v>
      </c>
      <c r="E3181" s="119" t="str">
        <f>IFERROR(__xludf.DUMMYFUNCTION("""COMPUTED_VALUE"""),"Pitô")</f>
        <v>Pitô</v>
      </c>
    </row>
    <row r="3182" ht="15.75" customHeight="1">
      <c r="A3182" s="122" t="str">
        <f>IFERROR(__xludf.DUMMYFUNCTION("""COMPUTED_VALUE"""),"0702 316 080")</f>
        <v>0702 316 080</v>
      </c>
      <c r="B3182" s="119" t="str">
        <f>IFERROR(__xludf.DUMMYFUNCTION("""COMPUTED_VALUE"""),"Chú....")</f>
        <v>Chú....</v>
      </c>
      <c r="C3182" s="119" t="str">
        <f>IFERROR(__xludf.DUMMYFUNCTION("""COMPUTED_VALUE"""),"78 Mai Khắc Đôn ")</f>
        <v>78 Mai Khắc Đôn </v>
      </c>
      <c r="D3182" s="119" t="str">
        <f>IFERROR(__xludf.DUMMYFUNCTION("""COMPUTED_VALUE"""),"Chó ")</f>
        <v>Chó </v>
      </c>
      <c r="E3182" s="119" t="str">
        <f>IFERROR(__xludf.DUMMYFUNCTION("""COMPUTED_VALUE"""),"Phóc")</f>
        <v>Phóc</v>
      </c>
    </row>
    <row r="3183" ht="15.75" customHeight="1">
      <c r="A3183" s="122" t="str">
        <f>IFERROR(__xludf.DUMMYFUNCTION("""COMPUTED_VALUE"""),"0834 620 949")</f>
        <v>0834 620 949</v>
      </c>
      <c r="B3183" s="119" t="str">
        <f>IFERROR(__xludf.DUMMYFUNCTION("""COMPUTED_VALUE"""),"Ngọc Trâm")</f>
        <v>Ngọc Trâm</v>
      </c>
      <c r="C3183" s="119" t="str">
        <f>IFERROR(__xludf.DUMMYFUNCTION("""COMPUTED_VALUE"""),"19/25 Mai Khắc Đôn")</f>
        <v>19/25 Mai Khắc Đôn</v>
      </c>
      <c r="D3183" s="119" t="str">
        <f>IFERROR(__xludf.DUMMYFUNCTION("""COMPUTED_VALUE"""),"mèo")</f>
        <v>mèo</v>
      </c>
      <c r="E3183" s="119" t="str">
        <f>IFERROR(__xludf.DUMMYFUNCTION("""COMPUTED_VALUE"""),"Mướp")</f>
        <v>Mướp</v>
      </c>
    </row>
    <row r="3184" ht="15.75" customHeight="1">
      <c r="A3184" s="122" t="str">
        <f>IFERROR(__xludf.DUMMYFUNCTION("""COMPUTED_VALUE"""),"0935 306 006")</f>
        <v>0935 306 006</v>
      </c>
      <c r="B3184" s="119" t="str">
        <f>IFERROR(__xludf.DUMMYFUNCTION("""COMPUTED_VALUE"""),"Thầy Sơn")</f>
        <v>Thầy Sơn</v>
      </c>
      <c r="C3184" s="119" t="str">
        <f>IFERROR(__xludf.DUMMYFUNCTION("""COMPUTED_VALUE"""),"Sư Lưu Quảng")</f>
        <v>Sư Lưu Quảng</v>
      </c>
      <c r="D3184" s="119" t="str">
        <f>IFERROR(__xludf.DUMMYFUNCTION("""COMPUTED_VALUE"""),"Chó")</f>
        <v>Chó</v>
      </c>
      <c r="E3184" s="119" t="str">
        <f>IFERROR(__xludf.DUMMYFUNCTION("""COMPUTED_VALUE"""),"Bạch Nhi")</f>
        <v>Bạch Nhi</v>
      </c>
    </row>
    <row r="3185" ht="15.75" customHeight="1">
      <c r="A3185" s="122" t="str">
        <f>IFERROR(__xludf.DUMMYFUNCTION("""COMPUTED_VALUE"""),"0943 061 465")</f>
        <v>0943 061 465</v>
      </c>
      <c r="B3185" s="119" t="str">
        <f>IFERROR(__xludf.DUMMYFUNCTION("""COMPUTED_VALUE"""),"Anh nha ")</f>
        <v>Anh nha </v>
      </c>
      <c r="C3185" s="119" t="str">
        <f>IFERROR(__xludf.DUMMYFUNCTION("""COMPUTED_VALUE"""),"3/6 Lý Nam Đế")</f>
        <v>3/6 Lý Nam Đế</v>
      </c>
      <c r="D3185" s="119" t="str">
        <f>IFERROR(__xludf.DUMMYFUNCTION("""COMPUTED_VALUE"""),"chó")</f>
        <v>chó</v>
      </c>
      <c r="E3185" s="119" t="str">
        <f>IFERROR(__xludf.DUMMYFUNCTION("""COMPUTED_VALUE"""),"Messi")</f>
        <v>Messi</v>
      </c>
    </row>
    <row r="3186" ht="15.75" customHeight="1">
      <c r="A3186" s="122" t="str">
        <f>IFERROR(__xludf.DUMMYFUNCTION("""COMPUTED_VALUE"""),"0905 536 936")</f>
        <v>0905 536 936</v>
      </c>
      <c r="B3186" s="119" t="str">
        <f>IFERROR(__xludf.DUMMYFUNCTION("""COMPUTED_VALUE"""),"Chị Linh ")</f>
        <v>Chị Linh </v>
      </c>
      <c r="C3186" s="119" t="str">
        <f>IFERROR(__xludf.DUMMYFUNCTION("""COMPUTED_VALUE"""),"2/21 Nguyễn Phúc Thụ")</f>
        <v>2/21 Nguyễn Phúc Thụ</v>
      </c>
      <c r="D3186" s="119" t="str">
        <f>IFERROR(__xludf.DUMMYFUNCTION("""COMPUTED_VALUE"""),"Chó")</f>
        <v>Chó</v>
      </c>
      <c r="E3186" s="119"/>
    </row>
    <row r="3187" ht="15.75" customHeight="1">
      <c r="A3187" s="122" t="str">
        <f>IFERROR(__xludf.DUMMYFUNCTION("""COMPUTED_VALUE"""),"0336 737 668")</f>
        <v>0336 737 668</v>
      </c>
      <c r="B3187" s="119" t="str">
        <f>IFERROR(__xludf.DUMMYFUNCTION("""COMPUTED_VALUE"""),"Anh Dũng")</f>
        <v>Anh Dũng</v>
      </c>
      <c r="C3187" s="119" t="str">
        <f>IFERROR(__xludf.DUMMYFUNCTION("""COMPUTED_VALUE"""),"44/7 Hồ Đắc Di")</f>
        <v>44/7 Hồ Đắc Di</v>
      </c>
      <c r="D3187" s="119" t="str">
        <f>IFERROR(__xludf.DUMMYFUNCTION("""COMPUTED_VALUE"""),"Chó")</f>
        <v>Chó</v>
      </c>
      <c r="E3187" s="119" t="str">
        <f>IFERROR(__xludf.DUMMYFUNCTION("""COMPUTED_VALUE"""),"Nâu")</f>
        <v>Nâu</v>
      </c>
    </row>
    <row r="3188" ht="15.75" customHeight="1">
      <c r="A3188" s="122" t="str">
        <f>IFERROR(__xludf.DUMMYFUNCTION("""COMPUTED_VALUE"""),"0773 431 575")</f>
        <v>0773 431 575</v>
      </c>
      <c r="B3188" s="119" t="str">
        <f>IFERROR(__xludf.DUMMYFUNCTION("""COMPUTED_VALUE"""),"Anh Lộc")</f>
        <v>Anh Lộc</v>
      </c>
      <c r="C3188" s="119" t="str">
        <f>IFERROR(__xludf.DUMMYFUNCTION("""COMPUTED_VALUE"""),"248 Lý Nam Đế")</f>
        <v>248 Lý Nam Đế</v>
      </c>
      <c r="D3188" s="119" t="str">
        <f>IFERROR(__xludf.DUMMYFUNCTION("""COMPUTED_VALUE"""),"chó")</f>
        <v>chó</v>
      </c>
      <c r="E3188" s="119" t="str">
        <f>IFERROR(__xludf.DUMMYFUNCTION("""COMPUTED_VALUE"""),"Oshi")</f>
        <v>Oshi</v>
      </c>
    </row>
    <row r="3189" ht="15.75" customHeight="1">
      <c r="A3189" s="122" t="str">
        <f>IFERROR(__xludf.DUMMYFUNCTION("""COMPUTED_VALUE"""),"0943 931 215")</f>
        <v>0943 931 215</v>
      </c>
      <c r="B3189" s="119" t="str">
        <f>IFERROR(__xludf.DUMMYFUNCTION("""COMPUTED_VALUE"""),"Em Nghĩa")</f>
        <v>Em Nghĩa</v>
      </c>
      <c r="C3189" s="119" t="str">
        <f>IFERROR(__xludf.DUMMYFUNCTION("""COMPUTED_VALUE"""),"210/6 Lý Nam Đế")</f>
        <v>210/6 Lý Nam Đế</v>
      </c>
      <c r="D3189" s="119" t="str">
        <f>IFERROR(__xludf.DUMMYFUNCTION("""COMPUTED_VALUE"""),"chó ")</f>
        <v>chó </v>
      </c>
      <c r="E3189" s="119" t="str">
        <f>IFERROR(__xludf.DUMMYFUNCTION("""COMPUTED_VALUE"""),"Mun")</f>
        <v>Mun</v>
      </c>
    </row>
    <row r="3190" ht="15.75" customHeight="1">
      <c r="A3190" s="122" t="str">
        <f>IFERROR(__xludf.DUMMYFUNCTION("""COMPUTED_VALUE"""),"0867 557 575")</f>
        <v>0867 557 575</v>
      </c>
      <c r="B3190" s="119" t="str">
        <f>IFERROR(__xludf.DUMMYFUNCTION("""COMPUTED_VALUE"""),"Anh Vinh")</f>
        <v>Anh Vinh</v>
      </c>
      <c r="C3190" s="119" t="str">
        <f>IFERROR(__xludf.DUMMYFUNCTION("""COMPUTED_VALUE"""),"240 Lý Nam Đế")</f>
        <v>240 Lý Nam Đế</v>
      </c>
      <c r="D3190" s="119" t="str">
        <f>IFERROR(__xludf.DUMMYFUNCTION("""COMPUTED_VALUE"""),"Dúi")</f>
        <v>Dúi</v>
      </c>
      <c r="E3190" s="119"/>
    </row>
    <row r="3191" ht="15.75" customHeight="1">
      <c r="A3191" s="122" t="str">
        <f>IFERROR(__xludf.DUMMYFUNCTION("""COMPUTED_VALUE"""),"0393 386 608")</f>
        <v>0393 386 608</v>
      </c>
      <c r="B3191" s="119" t="str">
        <f>IFERROR(__xludf.DUMMYFUNCTION("""COMPUTED_VALUE"""),"Kiều Oanh")</f>
        <v>Kiều Oanh</v>
      </c>
      <c r="C3191" s="119" t="str">
        <f>IFERROR(__xludf.DUMMYFUNCTION("""COMPUTED_VALUE"""),"178/27 Ngự Bình")</f>
        <v>178/27 Ngự Bình</v>
      </c>
      <c r="D3191" s="119" t="str">
        <f>IFERROR(__xludf.DUMMYFUNCTION("""COMPUTED_VALUE"""),"mèo")</f>
        <v>mèo</v>
      </c>
      <c r="E3191" s="119" t="str">
        <f>IFERROR(__xludf.DUMMYFUNCTION("""COMPUTED_VALUE"""),"Popy")</f>
        <v>Popy</v>
      </c>
    </row>
    <row r="3192" ht="15.75" customHeight="1">
      <c r="A3192" s="122" t="str">
        <f>IFERROR(__xludf.DUMMYFUNCTION("""COMPUTED_VALUE"""),"0793 538 352")</f>
        <v>0793 538 352</v>
      </c>
      <c r="B3192" s="119" t="str">
        <f>IFERROR(__xludf.DUMMYFUNCTION("""COMPUTED_VALUE"""),"Chị Hằng")</f>
        <v>Chị Hằng</v>
      </c>
      <c r="C3192" s="119" t="str">
        <f>IFERROR(__xludf.DUMMYFUNCTION("""COMPUTED_VALUE"""),"6 Điện Biên Phủ")</f>
        <v>6 Điện Biên Phủ</v>
      </c>
      <c r="D3192" s="119" t="str">
        <f>IFERROR(__xludf.DUMMYFUNCTION("""COMPUTED_VALUE"""),"chó ")</f>
        <v>chó </v>
      </c>
      <c r="E3192" s="119" t="str">
        <f>IFERROR(__xludf.DUMMYFUNCTION("""COMPUTED_VALUE"""),"Tô")</f>
        <v>Tô</v>
      </c>
    </row>
    <row r="3193" ht="15.75" customHeight="1">
      <c r="A3193" s="122" t="str">
        <f>IFERROR(__xludf.DUMMYFUNCTION("""COMPUTED_VALUE"""),"0818 968 129")</f>
        <v>0818 968 129</v>
      </c>
      <c r="B3193" s="119" t="str">
        <f>IFERROR(__xludf.DUMMYFUNCTION("""COMPUTED_VALUE"""),"Dì Hà")</f>
        <v>Dì Hà</v>
      </c>
      <c r="C3193" s="119" t="str">
        <f>IFERROR(__xludf.DUMMYFUNCTION("""COMPUTED_VALUE"""),"52/5 Kim Long")</f>
        <v>52/5 Kim Long</v>
      </c>
      <c r="D3193" s="119" t="str">
        <f>IFERROR(__xludf.DUMMYFUNCTION("""COMPUTED_VALUE"""),"chó")</f>
        <v>chó</v>
      </c>
      <c r="E3193" s="119" t="str">
        <f>IFERROR(__xludf.DUMMYFUNCTION("""COMPUTED_VALUE"""),"Mun")</f>
        <v>Mun</v>
      </c>
    </row>
    <row r="3194" ht="15.75" customHeight="1">
      <c r="A3194" s="122" t="str">
        <f>IFERROR(__xludf.DUMMYFUNCTION("""COMPUTED_VALUE"""),"0760 519 830")</f>
        <v>0760 519 830</v>
      </c>
      <c r="B3194" s="119" t="str">
        <f>IFERROR(__xludf.DUMMYFUNCTION("""COMPUTED_VALUE"""),"Võ Thị Minh Ngọc")</f>
        <v>Võ Thị Minh Ngọc</v>
      </c>
      <c r="C3194" s="119" t="str">
        <f>IFERROR(__xludf.DUMMYFUNCTION("""COMPUTED_VALUE"""),"79 Thiên Thai")</f>
        <v>79 Thiên Thai</v>
      </c>
      <c r="D3194" s="119" t="str">
        <f>IFERROR(__xludf.DUMMYFUNCTION("""COMPUTED_VALUE"""),"mèo ")</f>
        <v>mèo </v>
      </c>
      <c r="E3194" s="119" t="str">
        <f>IFERROR(__xludf.DUMMYFUNCTION("""COMPUTED_VALUE"""),"riềng")</f>
        <v>riềng</v>
      </c>
    </row>
    <row r="3195" ht="15.75" customHeight="1">
      <c r="A3195" s="122" t="str">
        <f>IFERROR(__xludf.DUMMYFUNCTION("""COMPUTED_VALUE"""),"0393 552 893")</f>
        <v>0393 552 893</v>
      </c>
      <c r="B3195" s="119" t="str">
        <f>IFERROR(__xludf.DUMMYFUNCTION("""COMPUTED_VALUE"""),"Anh Quốc")</f>
        <v>Anh Quốc</v>
      </c>
      <c r="C3195" s="119" t="str">
        <f>IFERROR(__xludf.DUMMYFUNCTION("""COMPUTED_VALUE"""),"k32 Thiên Thai")</f>
        <v>k32 Thiên Thai</v>
      </c>
      <c r="D3195" s="119" t="str">
        <f>IFERROR(__xludf.DUMMYFUNCTION("""COMPUTED_VALUE"""),"Chó")</f>
        <v>Chó</v>
      </c>
      <c r="E3195" s="119" t="str">
        <f>IFERROR(__xludf.DUMMYFUNCTION("""COMPUTED_VALUE"""),"Girl")</f>
        <v>Girl</v>
      </c>
    </row>
    <row r="3196" ht="15.75" customHeight="1">
      <c r="A3196" s="122" t="str">
        <f>IFERROR(__xludf.DUMMYFUNCTION("""COMPUTED_VALUE"""),"0932 580 229")</f>
        <v>0932 580 229</v>
      </c>
      <c r="B3196" s="119" t="str">
        <f>IFERROR(__xludf.DUMMYFUNCTION("""COMPUTED_VALUE"""),"Minh Thi")</f>
        <v>Minh Thi</v>
      </c>
      <c r="C3196" s="119" t="str">
        <f>IFERROR(__xludf.DUMMYFUNCTION("""COMPUTED_VALUE"""),"156 Thiên Thai")</f>
        <v>156 Thiên Thai</v>
      </c>
      <c r="D3196" s="119" t="str">
        <f>IFERROR(__xludf.DUMMYFUNCTION("""COMPUTED_VALUE"""),"Mèo")</f>
        <v>Mèo</v>
      </c>
      <c r="E3196" s="119" t="str">
        <f>IFERROR(__xludf.DUMMYFUNCTION("""COMPUTED_VALUE"""),"MI")</f>
        <v>MI</v>
      </c>
    </row>
    <row r="3197" ht="15.75" customHeight="1">
      <c r="A3197" s="122" t="str">
        <f>IFERROR(__xludf.DUMMYFUNCTION("""COMPUTED_VALUE"""),"0914 142 191")</f>
        <v>0914 142 191</v>
      </c>
      <c r="B3197" s="119" t="str">
        <f>IFERROR(__xludf.DUMMYFUNCTION("""COMPUTED_VALUE"""),"Anh Chiến")</f>
        <v>Anh Chiến</v>
      </c>
      <c r="C3197" s="119" t="str">
        <f>IFERROR(__xludf.DUMMYFUNCTION("""COMPUTED_VALUE"""),"128 Nguyễn Khoa Chiêm")</f>
        <v>128 Nguyễn Khoa Chiêm</v>
      </c>
      <c r="D3197" s="119" t="str">
        <f>IFERROR(__xludf.DUMMYFUNCTION("""COMPUTED_VALUE"""),"Chó")</f>
        <v>Chó</v>
      </c>
      <c r="E3197" s="119" t="str">
        <f>IFERROR(__xludf.DUMMYFUNCTION("""COMPUTED_VALUE"""),"Kem")</f>
        <v>Kem</v>
      </c>
    </row>
    <row r="3198" ht="15.75" customHeight="1">
      <c r="A3198" s="122" t="str">
        <f>IFERROR(__xludf.DUMMYFUNCTION("""COMPUTED_VALUE"""),"0856 445 591")</f>
        <v>0856 445 591</v>
      </c>
      <c r="B3198" s="119" t="str">
        <f>IFERROR(__xludf.DUMMYFUNCTION("""COMPUTED_VALUE"""),"Dì Thanh")</f>
        <v>Dì Thanh</v>
      </c>
      <c r="C3198" s="119" t="str">
        <f>IFERROR(__xludf.DUMMYFUNCTION("""COMPUTED_VALUE"""),"Lộc Điền")</f>
        <v>Lộc Điền</v>
      </c>
      <c r="D3198" s="119" t="str">
        <f>IFERROR(__xludf.DUMMYFUNCTION("""COMPUTED_VALUE"""),"Chó")</f>
        <v>Chó</v>
      </c>
      <c r="E3198" s="119" t="str">
        <f>IFERROR(__xludf.DUMMYFUNCTION("""COMPUTED_VALUE"""),"RI")</f>
        <v>RI</v>
      </c>
    </row>
    <row r="3199" ht="15.75" customHeight="1">
      <c r="A3199" s="122" t="str">
        <f>IFERROR(__xludf.DUMMYFUNCTION("""COMPUTED_VALUE"""),"0945 722 200")</f>
        <v>0945 722 200</v>
      </c>
      <c r="B3199" s="119" t="str">
        <f>IFERROR(__xludf.DUMMYFUNCTION("""COMPUTED_VALUE"""),"Chị Thanh")</f>
        <v>Chị Thanh</v>
      </c>
      <c r="C3199" s="119" t="str">
        <f>IFERROR(__xludf.DUMMYFUNCTION("""COMPUTED_VALUE"""),"5/1 Đội Cung")</f>
        <v>5/1 Đội Cung</v>
      </c>
      <c r="D3199" s="119" t="str">
        <f>IFERROR(__xludf.DUMMYFUNCTION("""COMPUTED_VALUE"""),"Mèo")</f>
        <v>Mèo</v>
      </c>
      <c r="E3199" s="119" t="str">
        <f>IFERROR(__xludf.DUMMYFUNCTION("""COMPUTED_VALUE"""),"Mon")</f>
        <v>Mon</v>
      </c>
    </row>
    <row r="3200" ht="15.75" customHeight="1">
      <c r="A3200" s="122" t="str">
        <f>IFERROR(__xludf.DUMMYFUNCTION("""COMPUTED_VALUE"""),"0934 454 909")</f>
        <v>0934 454 909</v>
      </c>
      <c r="B3200" s="119" t="str">
        <f>IFERROR(__xludf.DUMMYFUNCTION("""COMPUTED_VALUE"""),"CHị Hiền")</f>
        <v>CHị Hiền</v>
      </c>
      <c r="C3200" s="119" t="str">
        <f>IFERROR(__xludf.DUMMYFUNCTION("""COMPUTED_VALUE"""),"5/27 Nguyễn Công Trứ")</f>
        <v>5/27 Nguyễn Công Trứ</v>
      </c>
      <c r="D3200" s="119" t="str">
        <f>IFERROR(__xludf.DUMMYFUNCTION("""COMPUTED_VALUE"""),"Mèo")</f>
        <v>Mèo</v>
      </c>
      <c r="E3200" s="119" t="str">
        <f>IFERROR(__xludf.DUMMYFUNCTION("""COMPUTED_VALUE"""),"Sam")</f>
        <v>Sam</v>
      </c>
    </row>
    <row r="3201" ht="15.75" customHeight="1">
      <c r="A3201" s="122" t="str">
        <f>IFERROR(__xludf.DUMMYFUNCTION("""COMPUTED_VALUE"""),"0941 509 552")</f>
        <v>0941 509 552</v>
      </c>
      <c r="B3201" s="119" t="str">
        <f>IFERROR(__xludf.DUMMYFUNCTION("""COMPUTED_VALUE"""),"Hiếu")</f>
        <v>Hiếu</v>
      </c>
      <c r="C3201" s="119" t="str">
        <f>IFERROR(__xludf.DUMMYFUNCTION("""COMPUTED_VALUE"""),"34 Tôn Thất Dương Kị")</f>
        <v>34 Tôn Thất Dương Kị</v>
      </c>
      <c r="D3201" s="119" t="str">
        <f>IFERROR(__xludf.DUMMYFUNCTION("""COMPUTED_VALUE"""),"chó")</f>
        <v>chó</v>
      </c>
      <c r="E3201" s="119" t="str">
        <f>IFERROR(__xludf.DUMMYFUNCTION("""COMPUTED_VALUE"""),"Mây")</f>
        <v>Mây</v>
      </c>
    </row>
    <row r="3202" ht="15.75" customHeight="1">
      <c r="A3202" s="122" t="str">
        <f>IFERROR(__xludf.DUMMYFUNCTION("""COMPUTED_VALUE"""),"0787 501 381")</f>
        <v>0787 501 381</v>
      </c>
      <c r="B3202" s="119" t="str">
        <f>IFERROR(__xludf.DUMMYFUNCTION("""COMPUTED_VALUE"""),"Anh Nhật")</f>
        <v>Anh Nhật</v>
      </c>
      <c r="C3202" s="119" t="str">
        <f>IFERROR(__xludf.DUMMYFUNCTION("""COMPUTED_VALUE"""),"18 Đào Tấn")</f>
        <v>18 Đào Tấn</v>
      </c>
      <c r="D3202" s="119" t="str">
        <f>IFERROR(__xludf.DUMMYFUNCTION("""COMPUTED_VALUE"""),"Chó")</f>
        <v>Chó</v>
      </c>
      <c r="E3202" s="119" t="str">
        <f>IFERROR(__xludf.DUMMYFUNCTION("""COMPUTED_VALUE"""),"heri")</f>
        <v>heri</v>
      </c>
    </row>
    <row r="3203" ht="15.75" customHeight="1">
      <c r="A3203" s="122" t="str">
        <f>IFERROR(__xludf.DUMMYFUNCTION("""COMPUTED_VALUE"""),"0795 678 975")</f>
        <v>0795 678 975</v>
      </c>
      <c r="B3203" s="119" t="str">
        <f>IFERROR(__xludf.DUMMYFUNCTION("""COMPUTED_VALUE"""),"Anh Sơn")</f>
        <v>Anh Sơn</v>
      </c>
      <c r="C3203" s="119" t="str">
        <f>IFERROR(__xludf.DUMMYFUNCTION("""COMPUTED_VALUE"""),"67/Xóm 1B Dưỡng Nông")</f>
        <v>67/Xóm 1B Dưỡng Nông</v>
      </c>
      <c r="D3203" s="119" t="str">
        <f>IFERROR(__xludf.DUMMYFUNCTION("""COMPUTED_VALUE"""),"Chó")</f>
        <v>Chó</v>
      </c>
      <c r="E3203" s="119"/>
    </row>
    <row r="3204" ht="15.75" customHeight="1">
      <c r="A3204" s="122" t="str">
        <f>IFERROR(__xludf.DUMMYFUNCTION("""COMPUTED_VALUE"""),"0896 207 991")</f>
        <v>0896 207 991</v>
      </c>
      <c r="B3204" s="119" t="str">
        <f>IFERROR(__xludf.DUMMYFUNCTION("""COMPUTED_VALUE"""),"Anh Sơn")</f>
        <v>Anh Sơn</v>
      </c>
      <c r="C3204" s="119" t="str">
        <f>IFERROR(__xludf.DUMMYFUNCTION("""COMPUTED_VALUE""")," ")</f>
        <v> </v>
      </c>
      <c r="D3204" s="119" t="str">
        <f>IFERROR(__xludf.DUMMYFUNCTION("""COMPUTED_VALUE"""),"Chó")</f>
        <v>Chó</v>
      </c>
      <c r="E3204" s="119"/>
    </row>
    <row r="3205" ht="15.75" customHeight="1">
      <c r="A3205" s="122" t="str">
        <f>IFERROR(__xludf.DUMMYFUNCTION("""COMPUTED_VALUE"""),"0986 399 451")</f>
        <v>0986 399 451</v>
      </c>
      <c r="B3205" s="119" t="str">
        <f>IFERROR(__xludf.DUMMYFUNCTION("""COMPUTED_VALUE"""),"Hồ Thị Thanh Nhàn")</f>
        <v>Hồ Thị Thanh Nhàn</v>
      </c>
      <c r="C3205" s="119" t="str">
        <f>IFERROR(__xludf.DUMMYFUNCTION("""COMPUTED_VALUE"""),"361 Điện Biên Phủ")</f>
        <v>361 Điện Biên Phủ</v>
      </c>
      <c r="D3205" s="119" t="str">
        <f>IFERROR(__xludf.DUMMYFUNCTION("""COMPUTED_VALUE"""),"Mèo")</f>
        <v>Mèo</v>
      </c>
      <c r="E3205" s="119" t="str">
        <f>IFERROR(__xludf.DUMMYFUNCTION("""COMPUTED_VALUE"""),"Miu")</f>
        <v>Miu</v>
      </c>
    </row>
    <row r="3206" ht="15.75" customHeight="1">
      <c r="A3206" s="122" t="str">
        <f>IFERROR(__xludf.DUMMYFUNCTION("""COMPUTED_VALUE"""),"0775 541 620")</f>
        <v>0775 541 620</v>
      </c>
      <c r="B3206" s="119" t="str">
        <f>IFERROR(__xludf.DUMMYFUNCTION("""COMPUTED_VALUE"""),"Em Linh")</f>
        <v>Em Linh</v>
      </c>
      <c r="C3206" s="119" t="str">
        <f>IFERROR(__xludf.DUMMYFUNCTION("""COMPUTED_VALUE"""),"3/102 Huyền Trân Công Chúa")</f>
        <v>3/102 Huyền Trân Công Chúa</v>
      </c>
      <c r="D3206" s="119" t="str">
        <f>IFERROR(__xludf.DUMMYFUNCTION("""COMPUTED_VALUE"""),"Mèo")</f>
        <v>Mèo</v>
      </c>
      <c r="E3206" s="119" t="str">
        <f>IFERROR(__xludf.DUMMYFUNCTION("""COMPUTED_VALUE"""),"Băng")</f>
        <v>Băng</v>
      </c>
    </row>
    <row r="3207" ht="15.75" customHeight="1">
      <c r="A3207" s="122" t="str">
        <f>IFERROR(__xludf.DUMMYFUNCTION("""COMPUTED_VALUE"""),"0935 536 796")</f>
        <v>0935 536 796</v>
      </c>
      <c r="B3207" s="119" t="str">
        <f>IFERROR(__xludf.DUMMYFUNCTION("""COMPUTED_VALUE"""),"Em Thắng")</f>
        <v>Em Thắng</v>
      </c>
      <c r="C3207" s="119" t="str">
        <f>IFERROR(__xludf.DUMMYFUNCTION("""COMPUTED_VALUE"""),"122/131 Trần Phú")</f>
        <v>122/131 Trần Phú</v>
      </c>
      <c r="D3207" s="119" t="str">
        <f>IFERROR(__xludf.DUMMYFUNCTION("""COMPUTED_VALUE"""),"Chó")</f>
        <v>Chó</v>
      </c>
      <c r="E3207" s="119" t="str">
        <f>IFERROR(__xludf.DUMMYFUNCTION("""COMPUTED_VALUE"""),"Ty")</f>
        <v>Ty</v>
      </c>
    </row>
    <row r="3208" ht="15.75" customHeight="1">
      <c r="A3208" s="122" t="str">
        <f>IFERROR(__xludf.DUMMYFUNCTION("""COMPUTED_VALUE"""),"0332 092 190")</f>
        <v>0332 092 190</v>
      </c>
      <c r="B3208" s="119" t="str">
        <f>IFERROR(__xludf.DUMMYFUNCTION("""COMPUTED_VALUE"""),"Thầy Ngô Định")</f>
        <v>Thầy Ngô Định</v>
      </c>
      <c r="C3208" s="119" t="str">
        <f>IFERROR(__xludf.DUMMYFUNCTION("""COMPUTED_VALUE"""),"Đường Châu Chữ")</f>
        <v>Đường Châu Chữ</v>
      </c>
      <c r="D3208" s="119" t="str">
        <f>IFERROR(__xludf.DUMMYFUNCTION("""COMPUTED_VALUE"""),"Chó")</f>
        <v>Chó</v>
      </c>
      <c r="E3208" s="119" t="str">
        <f>IFERROR(__xludf.DUMMYFUNCTION("""COMPUTED_VALUE"""),"Nấm Mối")</f>
        <v>Nấm Mối</v>
      </c>
    </row>
    <row r="3209" ht="15.75" customHeight="1">
      <c r="A3209" s="122" t="str">
        <f>IFERROR(__xludf.DUMMYFUNCTION("""COMPUTED_VALUE"""),"0905 630 378")</f>
        <v>0905 630 378</v>
      </c>
      <c r="B3209" s="119" t="str">
        <f>IFERROR(__xludf.DUMMYFUNCTION("""COMPUTED_VALUE"""),"Em Bình")</f>
        <v>Em Bình</v>
      </c>
      <c r="C3209" s="119" t="str">
        <f>IFERROR(__xludf.DUMMYFUNCTION("""COMPUTED_VALUE"""),"90 Vạn Xuân")</f>
        <v>90 Vạn Xuân</v>
      </c>
      <c r="D3209" s="119" t="str">
        <f>IFERROR(__xludf.DUMMYFUNCTION("""COMPUTED_VALUE"""),"chó")</f>
        <v>chó</v>
      </c>
      <c r="E3209" s="119" t="str">
        <f>IFERROR(__xludf.DUMMYFUNCTION("""COMPUTED_VALUE"""),"Lu")</f>
        <v>Lu</v>
      </c>
    </row>
    <row r="3210" ht="15.75" customHeight="1">
      <c r="A3210" s="122" t="str">
        <f>IFERROR(__xludf.DUMMYFUNCTION("""COMPUTED_VALUE"""),"0972 340 775")</f>
        <v>0972 340 775</v>
      </c>
      <c r="B3210" s="119" t="str">
        <f>IFERROR(__xludf.DUMMYFUNCTION("""COMPUTED_VALUE"""),"Nguyễn Văn Hiếu")</f>
        <v>Nguyễn Văn Hiếu</v>
      </c>
      <c r="C3210" s="119" t="str">
        <f>IFERROR(__xludf.DUMMYFUNCTION("""COMPUTED_VALUE"""),"208/4 Lý Nam Đế")</f>
        <v>208/4 Lý Nam Đế</v>
      </c>
      <c r="D3210" s="119" t="str">
        <f>IFERROR(__xludf.DUMMYFUNCTION("""COMPUTED_VALUE"""),"chó")</f>
        <v>chó</v>
      </c>
      <c r="E3210" s="119" t="str">
        <f>IFERROR(__xludf.DUMMYFUNCTION("""COMPUTED_VALUE"""),"Mập")</f>
        <v>Mập</v>
      </c>
    </row>
    <row r="3211" ht="15.75" customHeight="1">
      <c r="A3211" s="122" t="str">
        <f>IFERROR(__xludf.DUMMYFUNCTION("""COMPUTED_VALUE"""),"0963 544 442")</f>
        <v>0963 544 442</v>
      </c>
      <c r="B3211" s="119" t="str">
        <f>IFERROR(__xludf.DUMMYFUNCTION("""COMPUTED_VALUE"""),"Chị Hiền")</f>
        <v>Chị Hiền</v>
      </c>
      <c r="C3211" s="119" t="str">
        <f>IFERROR(__xludf.DUMMYFUNCTION("""COMPUTED_VALUE"""),"11/56 Duy Tân")</f>
        <v>11/56 Duy Tân</v>
      </c>
      <c r="D3211" s="119" t="str">
        <f>IFERROR(__xludf.DUMMYFUNCTION("""COMPUTED_VALUE"""),"chó")</f>
        <v>chó</v>
      </c>
      <c r="E3211" s="119" t="str">
        <f>IFERROR(__xludf.DUMMYFUNCTION("""COMPUTED_VALUE"""),"My")</f>
        <v>My</v>
      </c>
    </row>
    <row r="3212" ht="15.75" customHeight="1">
      <c r="A3212" s="122" t="str">
        <f>IFERROR(__xludf.DUMMYFUNCTION("""COMPUTED_VALUE"""),"0762 601 480")</f>
        <v>0762 601 480</v>
      </c>
      <c r="B3212" s="119" t="str">
        <f>IFERROR(__xludf.DUMMYFUNCTION("""COMPUTED_VALUE"""),"Chị Huệ")</f>
        <v>Chị Huệ</v>
      </c>
      <c r="C3212" s="119" t="str">
        <f>IFERROR(__xludf.DUMMYFUNCTION("""COMPUTED_VALUE"""),"157 tăng bạt Hổ")</f>
        <v>157 tăng bạt Hổ</v>
      </c>
      <c r="D3212" s="119" t="str">
        <f>IFERROR(__xludf.DUMMYFUNCTION("""COMPUTED_VALUE"""),"chó")</f>
        <v>chó</v>
      </c>
      <c r="E3212" s="119"/>
    </row>
    <row r="3213" ht="15.75" customHeight="1">
      <c r="A3213" s="122" t="str">
        <f>IFERROR(__xludf.DUMMYFUNCTION("""COMPUTED_VALUE"""),"0948 967 171")</f>
        <v>0948 967 171</v>
      </c>
      <c r="B3213" s="119" t="str">
        <f>IFERROR(__xludf.DUMMYFUNCTION("""COMPUTED_VALUE"""),"Chị Chi")</f>
        <v>Chị Chi</v>
      </c>
      <c r="C3213" s="119" t="str">
        <f>IFERROR(__xludf.DUMMYFUNCTION("""COMPUTED_VALUE"""),"3/3 Vạn Xuân")</f>
        <v>3/3 Vạn Xuân</v>
      </c>
      <c r="D3213" s="119" t="str">
        <f>IFERROR(__xludf.DUMMYFUNCTION("""COMPUTED_VALUE"""),"chó")</f>
        <v>chó</v>
      </c>
      <c r="E3213" s="119" t="str">
        <f>IFERROR(__xludf.DUMMYFUNCTION("""COMPUTED_VALUE"""),"Bon")</f>
        <v>Bon</v>
      </c>
    </row>
    <row r="3214" ht="15.75" customHeight="1">
      <c r="A3214" s="122" t="str">
        <f>IFERROR(__xludf.DUMMYFUNCTION("""COMPUTED_VALUE"""),"0935 884 860")</f>
        <v>0935 884 860</v>
      </c>
      <c r="B3214" s="119" t="str">
        <f>IFERROR(__xludf.DUMMYFUNCTION("""COMPUTED_VALUE"""),"Bo Bo")</f>
        <v>Bo Bo</v>
      </c>
      <c r="C3214" s="119" t="str">
        <f>IFERROR(__xludf.DUMMYFUNCTION("""COMPUTED_VALUE"""),"460 Chi Lăng")</f>
        <v>460 Chi Lăng</v>
      </c>
      <c r="D3214" s="119" t="str">
        <f>IFERROR(__xludf.DUMMYFUNCTION("""COMPUTED_VALUE"""),"chó")</f>
        <v>chó</v>
      </c>
      <c r="E3214" s="119" t="str">
        <f>IFERROR(__xludf.DUMMYFUNCTION("""COMPUTED_VALUE"""),"Lu Lu")</f>
        <v>Lu Lu</v>
      </c>
    </row>
    <row r="3215" ht="15.75" customHeight="1">
      <c r="A3215" s="122" t="str">
        <f>IFERROR(__xludf.DUMMYFUNCTION("""COMPUTED_VALUE"""),"0762 689 286")</f>
        <v>0762 689 286</v>
      </c>
      <c r="B3215" s="119" t="str">
        <f>IFERROR(__xludf.DUMMYFUNCTION("""COMPUTED_VALUE"""),"Anh Phúc")</f>
        <v>Anh Phúc</v>
      </c>
      <c r="C3215" s="119" t="str">
        <f>IFERROR(__xludf.DUMMYFUNCTION("""COMPUTED_VALUE"""),"167 Phạm Văn Đồng")</f>
        <v>167 Phạm Văn Đồng</v>
      </c>
      <c r="D3215" s="119" t="str">
        <f>IFERROR(__xludf.DUMMYFUNCTION("""COMPUTED_VALUE"""),"chó")</f>
        <v>chó</v>
      </c>
      <c r="E3215" s="119" t="str">
        <f>IFERROR(__xludf.DUMMYFUNCTION("""COMPUTED_VALUE"""),"Ola")</f>
        <v>Ola</v>
      </c>
    </row>
    <row r="3216" ht="15.75" customHeight="1">
      <c r="A3216" s="122" t="str">
        <f>IFERROR(__xludf.DUMMYFUNCTION("""COMPUTED_VALUE"""),"0912 313 917")</f>
        <v>0912 313 917</v>
      </c>
      <c r="B3216" s="119" t="str">
        <f>IFERROR(__xludf.DUMMYFUNCTION("""COMPUTED_VALUE"""),"Anh Phương")</f>
        <v>Anh Phương</v>
      </c>
      <c r="C3216" s="119" t="str">
        <f>IFERROR(__xludf.DUMMYFUNCTION("""COMPUTED_VALUE"""),"70 Nguyễn Phúc Thụ")</f>
        <v>70 Nguyễn Phúc Thụ</v>
      </c>
      <c r="D3216" s="119" t="str">
        <f>IFERROR(__xludf.DUMMYFUNCTION("""COMPUTED_VALUE"""),"chó")</f>
        <v>chó</v>
      </c>
      <c r="E3216" s="119" t="str">
        <f>IFERROR(__xludf.DUMMYFUNCTION("""COMPUTED_VALUE"""),"Khoai")</f>
        <v>Khoai</v>
      </c>
    </row>
    <row r="3217" ht="15.75" customHeight="1">
      <c r="A3217" s="122" t="str">
        <f>IFERROR(__xludf.DUMMYFUNCTION("""COMPUTED_VALUE"""),"0777 222 054")</f>
        <v>0777 222 054</v>
      </c>
      <c r="B3217" s="119" t="str">
        <f>IFERROR(__xludf.DUMMYFUNCTION("""COMPUTED_VALUE"""),"Anh Hoàng")</f>
        <v>Anh Hoàng</v>
      </c>
      <c r="C3217" s="119" t="str">
        <f>IFERROR(__xludf.DUMMYFUNCTION("""COMPUTED_VALUE"""),"397 Lê Duẩn")</f>
        <v>397 Lê Duẩn</v>
      </c>
      <c r="D3217" s="119" t="str">
        <f>IFERROR(__xludf.DUMMYFUNCTION("""COMPUTED_VALUE"""),"chó")</f>
        <v>chó</v>
      </c>
      <c r="E3217" s="119" t="str">
        <f>IFERROR(__xludf.DUMMYFUNCTION("""COMPUTED_VALUE"""),"Lu")</f>
        <v>Lu</v>
      </c>
    </row>
    <row r="3218" ht="15.75" customHeight="1">
      <c r="A3218" s="122" t="str">
        <f>IFERROR(__xludf.DUMMYFUNCTION("""COMPUTED_VALUE"""),"0935 617 073")</f>
        <v>0935 617 073</v>
      </c>
      <c r="B3218" s="119" t="str">
        <f>IFERROR(__xludf.DUMMYFUNCTION("""COMPUTED_VALUE"""),"Chị Thuận")</f>
        <v>Chị Thuận</v>
      </c>
      <c r="C3218" s="119" t="str">
        <f>IFERROR(__xludf.DUMMYFUNCTION("""COMPUTED_VALUE"""),"71 Phạm Thị Liên")</f>
        <v>71 Phạm Thị Liên</v>
      </c>
      <c r="D3218" s="119" t="str">
        <f>IFERROR(__xludf.DUMMYFUNCTION("""COMPUTED_VALUE"""),"chó")</f>
        <v>chó</v>
      </c>
      <c r="E3218" s="119" t="str">
        <f>IFERROR(__xludf.DUMMYFUNCTION("""COMPUTED_VALUE"""),"Cà Rốt")</f>
        <v>Cà Rốt</v>
      </c>
    </row>
    <row r="3219" ht="15.75" customHeight="1">
      <c r="A3219" s="122" t="str">
        <f>IFERROR(__xludf.DUMMYFUNCTION("""COMPUTED_VALUE"""),"0917 471 075")</f>
        <v>0917 471 075</v>
      </c>
      <c r="B3219" s="119" t="str">
        <f>IFERROR(__xludf.DUMMYFUNCTION("""COMPUTED_VALUE"""),"Em Phương")</f>
        <v>Em Phương</v>
      </c>
      <c r="C3219" s="119" t="str">
        <f>IFERROR(__xludf.DUMMYFUNCTION("""COMPUTED_VALUE"""),"19/271 Chi Lăng")</f>
        <v>19/271 Chi Lăng</v>
      </c>
      <c r="D3219" s="119" t="str">
        <f>IFERROR(__xludf.DUMMYFUNCTION("""COMPUTED_VALUE"""),"chó")</f>
        <v>chó</v>
      </c>
      <c r="E3219" s="119" t="str">
        <f>IFERROR(__xludf.DUMMYFUNCTION("""COMPUTED_VALUE"""),"Mập")</f>
        <v>Mập</v>
      </c>
    </row>
    <row r="3220" ht="15.75" customHeight="1">
      <c r="A3220" s="122" t="str">
        <f>IFERROR(__xludf.DUMMYFUNCTION("""COMPUTED_VALUE"""),"0901 172 268")</f>
        <v>0901 172 268</v>
      </c>
      <c r="B3220" s="119" t="str">
        <f>IFERROR(__xludf.DUMMYFUNCTION("""COMPUTED_VALUE"""),"Anh Phúc")</f>
        <v>Anh Phúc</v>
      </c>
      <c r="C3220" s="119" t="str">
        <f>IFERROR(__xludf.DUMMYFUNCTION("""COMPUTED_VALUE"""),"16/103 Nhật Lệ")</f>
        <v>16/103 Nhật Lệ</v>
      </c>
      <c r="D3220" s="119" t="str">
        <f>IFERROR(__xludf.DUMMYFUNCTION("""COMPUTED_VALUE"""),"chó")</f>
        <v>chó</v>
      </c>
      <c r="E3220" s="119" t="str">
        <f>IFERROR(__xludf.DUMMYFUNCTION("""COMPUTED_VALUE"""),"Mun")</f>
        <v>Mun</v>
      </c>
    </row>
    <row r="3221" ht="15.75" customHeight="1">
      <c r="A3221" s="122" t="str">
        <f>IFERROR(__xludf.DUMMYFUNCTION("""COMPUTED_VALUE"""),"0905 704 960")</f>
        <v>0905 704 960</v>
      </c>
      <c r="B3221" s="119" t="str">
        <f>IFERROR(__xludf.DUMMYFUNCTION("""COMPUTED_VALUE"""),"Chị Lan")</f>
        <v>Chị Lan</v>
      </c>
      <c r="C3221" s="119" t="str">
        <f>IFERROR(__xludf.DUMMYFUNCTION("""COMPUTED_VALUE"""),"78/10 Phạm Thị Liên")</f>
        <v>78/10 Phạm Thị Liên</v>
      </c>
      <c r="D3221" s="119" t="str">
        <f>IFERROR(__xludf.DUMMYFUNCTION("""COMPUTED_VALUE"""),"chó")</f>
        <v>chó</v>
      </c>
      <c r="E3221" s="119" t="str">
        <f>IFERROR(__xludf.DUMMYFUNCTION("""COMPUTED_VALUE"""),"Gấu")</f>
        <v>Gấu</v>
      </c>
    </row>
    <row r="3222" ht="15.75" customHeight="1">
      <c r="A3222" s="122" t="str">
        <f>IFERROR(__xludf.DUMMYFUNCTION("""COMPUTED_VALUE"""),"0934 865 657")</f>
        <v>0934 865 657</v>
      </c>
      <c r="B3222" s="119" t="str">
        <f>IFERROR(__xludf.DUMMYFUNCTION("""COMPUTED_VALUE"""),"Chị Thảo")</f>
        <v>Chị Thảo</v>
      </c>
      <c r="C3222" s="119" t="str">
        <f>IFERROR(__xludf.DUMMYFUNCTION("""COMPUTED_VALUE"""),"44/11B/77 Thiên Thai")</f>
        <v>44/11B/77 Thiên Thai</v>
      </c>
      <c r="D3222" s="119" t="str">
        <f>IFERROR(__xludf.DUMMYFUNCTION("""COMPUTED_VALUE"""),"Chó")</f>
        <v>Chó</v>
      </c>
      <c r="E3222" s="119" t="str">
        <f>IFERROR(__xludf.DUMMYFUNCTION("""COMPUTED_VALUE"""),"Bốp")</f>
        <v>Bốp</v>
      </c>
    </row>
    <row r="3223" ht="15.75" customHeight="1">
      <c r="A3223" s="122" t="str">
        <f>IFERROR(__xludf.DUMMYFUNCTION("""COMPUTED_VALUE"""),"0931 991 888")</f>
        <v>0931 991 888</v>
      </c>
      <c r="B3223" s="119" t="str">
        <f>IFERROR(__xludf.DUMMYFUNCTION("""COMPUTED_VALUE"""),"Chị Trang")</f>
        <v>Chị Trang</v>
      </c>
      <c r="C3223" s="119" t="str">
        <f>IFERROR(__xludf.DUMMYFUNCTION("""COMPUTED_VALUE"""),"24 Trương Định")</f>
        <v>24 Trương Định</v>
      </c>
      <c r="D3223" s="119" t="str">
        <f>IFERROR(__xludf.DUMMYFUNCTION("""COMPUTED_VALUE"""),"mèo")</f>
        <v>mèo</v>
      </c>
      <c r="E3223" s="119" t="str">
        <f>IFERROR(__xludf.DUMMYFUNCTION("""COMPUTED_VALUE"""),"Coffee")</f>
        <v>Coffee</v>
      </c>
    </row>
    <row r="3224" ht="15.75" customHeight="1">
      <c r="A3224" s="122" t="str">
        <f>IFERROR(__xludf.DUMMYFUNCTION("""COMPUTED_VALUE"""),"0362 126 627")</f>
        <v>0362 126 627</v>
      </c>
      <c r="B3224" s="119" t="str">
        <f>IFERROR(__xludf.DUMMYFUNCTION("""COMPUTED_VALUE"""),"Bé Lan Trinh")</f>
        <v>Bé Lan Trinh</v>
      </c>
      <c r="C3224" s="119" t="str">
        <f>IFERROR(__xludf.DUMMYFUNCTION("""COMPUTED_VALUE"""),"3 Phạm Tu")</f>
        <v>3 Phạm Tu</v>
      </c>
      <c r="D3224" s="119" t="str">
        <f>IFERROR(__xludf.DUMMYFUNCTION("""COMPUTED_VALUE"""),"chó ")</f>
        <v>chó </v>
      </c>
      <c r="E3224" s="119" t="str">
        <f>IFERROR(__xludf.DUMMYFUNCTION("""COMPUTED_VALUE"""),"Ti")</f>
        <v>Ti</v>
      </c>
    </row>
    <row r="3225" ht="15.75" customHeight="1">
      <c r="A3225" s="122" t="str">
        <f>IFERROR(__xludf.DUMMYFUNCTION("""COMPUTED_VALUE"""),"0935 679 766")</f>
        <v>0935 679 766</v>
      </c>
      <c r="B3225" s="119" t="str">
        <f>IFERROR(__xludf.DUMMYFUNCTION("""COMPUTED_VALUE"""),"Chị Thắm")</f>
        <v>Chị Thắm</v>
      </c>
      <c r="C3225" s="119" t="str">
        <f>IFERROR(__xludf.DUMMYFUNCTION("""COMPUTED_VALUE"""),"16 Hoàng Kim Hoán")</f>
        <v>16 Hoàng Kim Hoán</v>
      </c>
      <c r="D3225" s="119" t="str">
        <f>IFERROR(__xludf.DUMMYFUNCTION("""COMPUTED_VALUE"""),"chó")</f>
        <v>chó</v>
      </c>
      <c r="E3225" s="119" t="str">
        <f>IFERROR(__xludf.DUMMYFUNCTION("""COMPUTED_VALUE"""),"Ruby")</f>
        <v>Ruby</v>
      </c>
    </row>
    <row r="3226" ht="15.75" customHeight="1">
      <c r="A3226" s="122" t="str">
        <f>IFERROR(__xludf.DUMMYFUNCTION("""COMPUTED_VALUE"""),"0378 208 979")</f>
        <v>0378 208 979</v>
      </c>
      <c r="B3226" s="119" t="str">
        <f>IFERROR(__xludf.DUMMYFUNCTION("""COMPUTED_VALUE"""),"Chị Võ thị Thu Vân")</f>
        <v>Chị Võ thị Thu Vân</v>
      </c>
      <c r="C3226" s="119" t="str">
        <f>IFERROR(__xludf.DUMMYFUNCTION("""COMPUTED_VALUE"""),"302 Bùi tHị Xuân")</f>
        <v>302 Bùi tHị Xuân</v>
      </c>
      <c r="D3226" s="119" t="str">
        <f>IFERROR(__xludf.DUMMYFUNCTION("""COMPUTED_VALUE"""),"chó")</f>
        <v>chó</v>
      </c>
      <c r="E3226" s="119" t="str">
        <f>IFERROR(__xludf.DUMMYFUNCTION("""COMPUTED_VALUE"""),"Lucy")</f>
        <v>Lucy</v>
      </c>
    </row>
    <row r="3227" ht="15.75" customHeight="1">
      <c r="A3227" s="122" t="str">
        <f>IFERROR(__xludf.DUMMYFUNCTION("""COMPUTED_VALUE"""),"0777 521 644")</f>
        <v>0777 521 644</v>
      </c>
      <c r="B3227" s="119" t="str">
        <f>IFERROR(__xludf.DUMMYFUNCTION("""COMPUTED_VALUE"""),"Chị Vân Hạ")</f>
        <v>Chị Vân Hạ</v>
      </c>
      <c r="C3227" s="119" t="str">
        <f>IFERROR(__xludf.DUMMYFUNCTION("""COMPUTED_VALUE"""),"27 Cao Xuân Dục")</f>
        <v>27 Cao Xuân Dục</v>
      </c>
      <c r="D3227" s="119" t="str">
        <f>IFERROR(__xludf.DUMMYFUNCTION("""COMPUTED_VALUE"""),"Chó ")</f>
        <v>Chó </v>
      </c>
      <c r="E3227" s="119" t="str">
        <f>IFERROR(__xludf.DUMMYFUNCTION("""COMPUTED_VALUE"""),"Suni")</f>
        <v>Suni</v>
      </c>
    </row>
    <row r="3228" ht="15.75" customHeight="1">
      <c r="A3228" s="122" t="str">
        <f>IFERROR(__xludf.DUMMYFUNCTION("""COMPUTED_VALUE"""),"0918 908 278")</f>
        <v>0918 908 278</v>
      </c>
      <c r="B3228" s="119" t="str">
        <f>IFERROR(__xludf.DUMMYFUNCTION("""COMPUTED_VALUE"""),"Em Bảo Ngọc")</f>
        <v>Em Bảo Ngọc</v>
      </c>
      <c r="C3228" s="119" t="str">
        <f>IFERROR(__xludf.DUMMYFUNCTION("""COMPUTED_VALUE"""),"24A nguyễn Cư Trinh")</f>
        <v>24A nguyễn Cư Trinh</v>
      </c>
      <c r="D3228" s="119" t="str">
        <f>IFERROR(__xludf.DUMMYFUNCTION("""COMPUTED_VALUE"""),"mèo")</f>
        <v>mèo</v>
      </c>
      <c r="E3228" s="119" t="str">
        <f>IFERROR(__xludf.DUMMYFUNCTION("""COMPUTED_VALUE"""),"Quýt")</f>
        <v>Quýt</v>
      </c>
    </row>
    <row r="3229" ht="15.75" customHeight="1">
      <c r="A3229" s="122" t="str">
        <f>IFERROR(__xludf.DUMMYFUNCTION("""COMPUTED_VALUE"""),"0358 474 267")</f>
        <v>0358 474 267</v>
      </c>
      <c r="B3229" s="119" t="str">
        <f>IFERROR(__xludf.DUMMYFUNCTION("""COMPUTED_VALUE"""),"Anh Tuấn Long")</f>
        <v>Anh Tuấn Long</v>
      </c>
      <c r="C3229" s="119" t="str">
        <f>IFERROR(__xludf.DUMMYFUNCTION("""COMPUTED_VALUE"""),"17/293 Điện Biên Phủ")</f>
        <v>17/293 Điện Biên Phủ</v>
      </c>
      <c r="D3229" s="119" t="str">
        <f>IFERROR(__xludf.DUMMYFUNCTION("""COMPUTED_VALUE"""),"Rùa")</f>
        <v>Rùa</v>
      </c>
      <c r="E3229" s="119"/>
    </row>
    <row r="3230" ht="15.75" customHeight="1">
      <c r="A3230" s="122" t="str">
        <f>IFERROR(__xludf.DUMMYFUNCTION("""COMPUTED_VALUE"""),"0836 504 399")</f>
        <v>0836 504 399</v>
      </c>
      <c r="B3230" s="119" t="str">
        <f>IFERROR(__xludf.DUMMYFUNCTION("""COMPUTED_VALUE"""),"Em Thái")</f>
        <v>Em Thái</v>
      </c>
      <c r="C3230" s="119" t="str">
        <f>IFERROR(__xludf.DUMMYFUNCTION("""COMPUTED_VALUE"""),"Quảng Công")</f>
        <v>Quảng Công</v>
      </c>
      <c r="D3230" s="119" t="str">
        <f>IFERROR(__xludf.DUMMYFUNCTION("""COMPUTED_VALUE"""),"chó")</f>
        <v>chó</v>
      </c>
      <c r="E3230" s="119" t="str">
        <f>IFERROR(__xludf.DUMMYFUNCTION("""COMPUTED_VALUE"""),"Gấu")</f>
        <v>Gấu</v>
      </c>
    </row>
    <row r="3231" ht="15.75" customHeight="1">
      <c r="A3231" s="122" t="str">
        <f>IFERROR(__xludf.DUMMYFUNCTION("""COMPUTED_VALUE"""),"0766 558 956")</f>
        <v>0766 558 956</v>
      </c>
      <c r="B3231" s="119" t="str">
        <f>IFERROR(__xludf.DUMMYFUNCTION("""COMPUTED_VALUE"""),"Em Châu")</f>
        <v>Em Châu</v>
      </c>
      <c r="C3231" s="119" t="str">
        <f>IFERROR(__xludf.DUMMYFUNCTION("""COMPUTED_VALUE"""),"Phú Hậu")</f>
        <v>Phú Hậu</v>
      </c>
      <c r="D3231" s="119" t="str">
        <f>IFERROR(__xludf.DUMMYFUNCTION("""COMPUTED_VALUE"""),"mèo")</f>
        <v>mèo</v>
      </c>
      <c r="E3231" s="119" t="str">
        <f>IFERROR(__xludf.DUMMYFUNCTION("""COMPUTED_VALUE"""),"Bắp")</f>
        <v>Bắp</v>
      </c>
    </row>
    <row r="3232" ht="15.75" customHeight="1">
      <c r="A3232" s="122" t="str">
        <f>IFERROR(__xludf.DUMMYFUNCTION("""COMPUTED_VALUE"""),"0393 080 069")</f>
        <v>0393 080 069</v>
      </c>
      <c r="B3232" s="119" t="str">
        <f>IFERROR(__xludf.DUMMYFUNCTION("""COMPUTED_VALUE"""),"Trần Ngọc Phương Anh")</f>
        <v>Trần Ngọc Phương Anh</v>
      </c>
      <c r="C3232" s="119" t="str">
        <f>IFERROR(__xludf.DUMMYFUNCTION("""COMPUTED_VALUE"""),"03 Lương Nhữ Hộc")</f>
        <v>03 Lương Nhữ Hộc</v>
      </c>
      <c r="D3232" s="119" t="str">
        <f>IFERROR(__xludf.DUMMYFUNCTION("""COMPUTED_VALUE"""),"mèo")</f>
        <v>mèo</v>
      </c>
      <c r="E3232" s="119" t="str">
        <f>IFERROR(__xludf.DUMMYFUNCTION("""COMPUTED_VALUE"""),"Mun")</f>
        <v>Mun</v>
      </c>
    </row>
    <row r="3233" ht="15.75" customHeight="1">
      <c r="A3233" s="122" t="str">
        <f>IFERROR(__xludf.DUMMYFUNCTION("""COMPUTED_VALUE"""),"0769 556 996")</f>
        <v>0769 556 996</v>
      </c>
      <c r="B3233" s="119" t="str">
        <f>IFERROR(__xludf.DUMMYFUNCTION("""COMPUTED_VALUE"""),"Anh Trung")</f>
        <v>Anh Trung</v>
      </c>
      <c r="C3233" s="119" t="str">
        <f>IFERROR(__xludf.DUMMYFUNCTION("""COMPUTED_VALUE"""),"Hương Hồ")</f>
        <v>Hương Hồ</v>
      </c>
      <c r="D3233" s="119" t="str">
        <f>IFERROR(__xludf.DUMMYFUNCTION("""COMPUTED_VALUE"""),"chó")</f>
        <v>chó</v>
      </c>
      <c r="E3233" s="119" t="str">
        <f>IFERROR(__xludf.DUMMYFUNCTION("""COMPUTED_VALUE"""),"Kem")</f>
        <v>Kem</v>
      </c>
    </row>
    <row r="3234" ht="15.75" customHeight="1">
      <c r="A3234" s="122" t="str">
        <f>IFERROR(__xludf.DUMMYFUNCTION("""COMPUTED_VALUE"""),"0762 629 064")</f>
        <v>0762 629 064</v>
      </c>
      <c r="B3234" s="119" t="str">
        <f>IFERROR(__xludf.DUMMYFUNCTION("""COMPUTED_VALUE"""),"Nguyễn Thanh Vĩ")</f>
        <v>Nguyễn Thanh Vĩ</v>
      </c>
      <c r="C3234" s="119" t="str">
        <f>IFERROR(__xludf.DUMMYFUNCTION("""COMPUTED_VALUE"""),"64 Bạch Đằng")</f>
        <v>64 Bạch Đằng</v>
      </c>
      <c r="D3234" s="119" t="str">
        <f>IFERROR(__xludf.DUMMYFUNCTION("""COMPUTED_VALUE"""),"mèo")</f>
        <v>mèo</v>
      </c>
      <c r="E3234" s="119" t="str">
        <f>IFERROR(__xludf.DUMMYFUNCTION("""COMPUTED_VALUE"""),"Phin")</f>
        <v>Phin</v>
      </c>
    </row>
    <row r="3235" ht="15.75" customHeight="1">
      <c r="A3235" s="122" t="str">
        <f>IFERROR(__xludf.DUMMYFUNCTION("""COMPUTED_VALUE"""),"0917 467 880")</f>
        <v>0917 467 880</v>
      </c>
      <c r="B3235" s="119" t="str">
        <f>IFERROR(__xludf.DUMMYFUNCTION("""COMPUTED_VALUE"""),"Chị Loan")</f>
        <v>Chị Loan</v>
      </c>
      <c r="C3235" s="119" t="str">
        <f>IFERROR(__xludf.DUMMYFUNCTION("""COMPUTED_VALUE"""),"Hương An")</f>
        <v>Hương An</v>
      </c>
      <c r="D3235" s="119" t="str">
        <f>IFERROR(__xludf.DUMMYFUNCTION("""COMPUTED_VALUE"""),"chó")</f>
        <v>chó</v>
      </c>
      <c r="E3235" s="119" t="str">
        <f>IFERROR(__xludf.DUMMYFUNCTION("""COMPUTED_VALUE"""),"Lu")</f>
        <v>Lu</v>
      </c>
    </row>
    <row r="3236" ht="15.75" customHeight="1">
      <c r="A3236" s="122" t="str">
        <f>IFERROR(__xludf.DUMMYFUNCTION("""COMPUTED_VALUE"""),"0906 043 158")</f>
        <v>0906 043 158</v>
      </c>
      <c r="B3236" s="119" t="str">
        <f>IFERROR(__xludf.DUMMYFUNCTION("""COMPUTED_VALUE"""),"Chị Linh")</f>
        <v>Chị Linh</v>
      </c>
      <c r="C3236" s="119" t="str">
        <f>IFERROR(__xludf.DUMMYFUNCTION("""COMPUTED_VALUE"""),"100 Điện Biên Phủ")</f>
        <v>100 Điện Biên Phủ</v>
      </c>
      <c r="D3236" s="119" t="str">
        <f>IFERROR(__xludf.DUMMYFUNCTION("""COMPUTED_VALUE"""),"chó")</f>
        <v>chó</v>
      </c>
      <c r="E3236" s="119" t="str">
        <f>IFERROR(__xludf.DUMMYFUNCTION("""COMPUTED_VALUE"""),"Đen")</f>
        <v>Đen</v>
      </c>
    </row>
    <row r="3237" ht="15.75" customHeight="1">
      <c r="A3237" s="122" t="str">
        <f>IFERROR(__xludf.DUMMYFUNCTION("""COMPUTED_VALUE"""),"0358 182 604")</f>
        <v>0358 182 604</v>
      </c>
      <c r="B3237" s="119" t="str">
        <f>IFERROR(__xludf.DUMMYFUNCTION("""COMPUTED_VALUE"""),"Nguyễn Hữa Quân")</f>
        <v>Nguyễn Hữa Quân</v>
      </c>
      <c r="C3237" s="119" t="str">
        <f>IFERROR(__xludf.DUMMYFUNCTION("""COMPUTED_VALUE"""),"18/16 Duy Tân")</f>
        <v>18/16 Duy Tân</v>
      </c>
      <c r="D3237" s="119" t="str">
        <f>IFERROR(__xludf.DUMMYFUNCTION("""COMPUTED_VALUE"""),"Mèo")</f>
        <v>Mèo</v>
      </c>
      <c r="E3237" s="119" t="str">
        <f>IFERROR(__xludf.DUMMYFUNCTION("""COMPUTED_VALUE"""),"Ka")</f>
        <v>Ka</v>
      </c>
    </row>
    <row r="3238" ht="15.75" customHeight="1">
      <c r="A3238" s="122" t="str">
        <f>IFERROR(__xludf.DUMMYFUNCTION("""COMPUTED_VALUE"""),"0763 624 498")</f>
        <v>0763 624 498</v>
      </c>
      <c r="B3238" s="119" t="str">
        <f>IFERROR(__xludf.DUMMYFUNCTION("""COMPUTED_VALUE"""),"Chị Thư")</f>
        <v>Chị Thư</v>
      </c>
      <c r="C3238" s="119" t="str">
        <f>IFERROR(__xludf.DUMMYFUNCTION("""COMPUTED_VALUE"""),"18/87 Nguyễn Huệ")</f>
        <v>18/87 Nguyễn Huệ</v>
      </c>
      <c r="D3238" s="119" t="str">
        <f>IFERROR(__xludf.DUMMYFUNCTION("""COMPUTED_VALUE"""),"Mèo")</f>
        <v>Mèo</v>
      </c>
      <c r="E3238" s="119" t="str">
        <f>IFERROR(__xludf.DUMMYFUNCTION("""COMPUTED_VALUE"""),"Bông")</f>
        <v>Bông</v>
      </c>
    </row>
    <row r="3239" ht="15.75" customHeight="1">
      <c r="A3239" s="122" t="str">
        <f>IFERROR(__xludf.DUMMYFUNCTION("""COMPUTED_VALUE"""),"0905 987 920")</f>
        <v>0905 987 920</v>
      </c>
      <c r="B3239" s="119" t="str">
        <f>IFERROR(__xludf.DUMMYFUNCTION("""COMPUTED_VALUE"""),"Chị Thảo")</f>
        <v>Chị Thảo</v>
      </c>
      <c r="C3239" s="119" t="str">
        <f>IFERROR(__xludf.DUMMYFUNCTION("""COMPUTED_VALUE"""),"30  Tôn Thất Dương Kỵ")</f>
        <v>30  Tôn Thất Dương Kỵ</v>
      </c>
      <c r="D3239" s="119" t="str">
        <f>IFERROR(__xludf.DUMMYFUNCTION("""COMPUTED_VALUE"""),"Chó")</f>
        <v>Chó</v>
      </c>
      <c r="E3239" s="119" t="str">
        <f>IFERROR(__xludf.DUMMYFUNCTION("""COMPUTED_VALUE"""),"Pun")</f>
        <v>Pun</v>
      </c>
    </row>
    <row r="3240" ht="15.75" customHeight="1">
      <c r="A3240" s="122" t="str">
        <f>IFERROR(__xludf.DUMMYFUNCTION("""COMPUTED_VALUE"""),"0914 077 827")</f>
        <v>0914 077 827</v>
      </c>
      <c r="B3240" s="119" t="str">
        <f>IFERROR(__xludf.DUMMYFUNCTION("""COMPUTED_VALUE"""),"Hoàng Thị Lan")</f>
        <v>Hoàng Thị Lan</v>
      </c>
      <c r="C3240" s="119" t="str">
        <f>IFERROR(__xludf.DUMMYFUNCTION("""COMPUTED_VALUE"""),"64 Đặng Huy Trứ")</f>
        <v>64 Đặng Huy Trứ</v>
      </c>
      <c r="D3240" s="119" t="str">
        <f>IFERROR(__xludf.DUMMYFUNCTION("""COMPUTED_VALUE"""),"Chó")</f>
        <v>Chó</v>
      </c>
      <c r="E3240" s="119" t="str">
        <f>IFERROR(__xludf.DUMMYFUNCTION("""COMPUTED_VALUE"""),"Heo")</f>
        <v>Heo</v>
      </c>
    </row>
    <row r="3241" ht="15.75" customHeight="1">
      <c r="A3241" s="122" t="str">
        <f>IFERROR(__xludf.DUMMYFUNCTION("""COMPUTED_VALUE"""),"0915 910 246")</f>
        <v>0915 910 246</v>
      </c>
      <c r="B3241" s="119" t="str">
        <f>IFERROR(__xludf.DUMMYFUNCTION("""COMPUTED_VALUE"""),"Lê Văn Hải")</f>
        <v>Lê Văn Hải</v>
      </c>
      <c r="C3241" s="119" t="str">
        <f>IFERROR(__xludf.DUMMYFUNCTION("""COMPUTED_VALUE"""),"53A/131 Trần Phú")</f>
        <v>53A/131 Trần Phú</v>
      </c>
      <c r="D3241" s="119" t="str">
        <f>IFERROR(__xludf.DUMMYFUNCTION("""COMPUTED_VALUE"""),"Chó")</f>
        <v>Chó</v>
      </c>
      <c r="E3241" s="119" t="str">
        <f>IFERROR(__xludf.DUMMYFUNCTION("""COMPUTED_VALUE"""),"Vàng")</f>
        <v>Vàng</v>
      </c>
    </row>
    <row r="3242" ht="15.75" customHeight="1">
      <c r="A3242" s="122" t="str">
        <f>IFERROR(__xludf.DUMMYFUNCTION("""COMPUTED_VALUE"""),"0834 579 499")</f>
        <v>0834 579 499</v>
      </c>
      <c r="B3242" s="119" t="str">
        <f>IFERROR(__xludf.DUMMYFUNCTION("""COMPUTED_VALUE"""),"Dì Thu")</f>
        <v>Dì Thu</v>
      </c>
      <c r="C3242" s="119" t="str">
        <f>IFERROR(__xludf.DUMMYFUNCTION("""COMPUTED_VALUE"""),"13/43 Lý Thường Kiệt")</f>
        <v>13/43 Lý Thường Kiệt</v>
      </c>
      <c r="D3242" s="119" t="str">
        <f>IFERROR(__xludf.DUMMYFUNCTION("""COMPUTED_VALUE"""),"Mèo")</f>
        <v>Mèo</v>
      </c>
      <c r="E3242" s="119" t="str">
        <f>IFERROR(__xludf.DUMMYFUNCTION("""COMPUTED_VALUE"""),"Su")</f>
        <v>Su</v>
      </c>
    </row>
    <row r="3243" ht="15.75" customHeight="1">
      <c r="A3243" s="122" t="str">
        <f>IFERROR(__xludf.DUMMYFUNCTION("""COMPUTED_VALUE"""),"0795 737 716")</f>
        <v>0795 737 716</v>
      </c>
      <c r="B3243" s="119" t="str">
        <f>IFERROR(__xludf.DUMMYFUNCTION("""COMPUTED_VALUE"""),"Ngọc Trân")</f>
        <v>Ngọc Trân</v>
      </c>
      <c r="C3243" s="119" t="str">
        <f>IFERROR(__xludf.DUMMYFUNCTION("""COMPUTED_VALUE"""),"106 Đặng Huy Trứ")</f>
        <v>106 Đặng Huy Trứ</v>
      </c>
      <c r="D3243" s="119" t="str">
        <f>IFERROR(__xludf.DUMMYFUNCTION("""COMPUTED_VALUE"""),"Mèo")</f>
        <v>Mèo</v>
      </c>
      <c r="E3243" s="119" t="str">
        <f>IFERROR(__xludf.DUMMYFUNCTION("""COMPUTED_VALUE"""),"Vịt")</f>
        <v>Vịt</v>
      </c>
    </row>
    <row r="3244" ht="15.75" customHeight="1">
      <c r="A3244" s="122" t="str">
        <f>IFERROR(__xludf.DUMMYFUNCTION("""COMPUTED_VALUE"""),"0932 529 757")</f>
        <v>0932 529 757</v>
      </c>
      <c r="B3244" s="119" t="str">
        <f>IFERROR(__xludf.DUMMYFUNCTION("""COMPUTED_VALUE"""),"Phạm Thị Nhung")</f>
        <v>Phạm Thị Nhung</v>
      </c>
      <c r="C3244" s="119" t="str">
        <f>IFERROR(__xludf.DUMMYFUNCTION("""COMPUTED_VALUE"""),"Đào Tấn")</f>
        <v>Đào Tấn</v>
      </c>
      <c r="D3244" s="119" t="str">
        <f>IFERROR(__xludf.DUMMYFUNCTION("""COMPUTED_VALUE"""),"Chó")</f>
        <v>Chó</v>
      </c>
      <c r="E3244" s="119" t="str">
        <f>IFERROR(__xludf.DUMMYFUNCTION("""COMPUTED_VALUE"""),"Lu")</f>
        <v>Lu</v>
      </c>
    </row>
    <row r="3245" ht="15.75" customHeight="1">
      <c r="A3245" s="122" t="str">
        <f>IFERROR(__xludf.DUMMYFUNCTION("""COMPUTED_VALUE"""),"0906 455 814")</f>
        <v>0906 455 814</v>
      </c>
      <c r="B3245" s="119" t="str">
        <f>IFERROR(__xludf.DUMMYFUNCTION("""COMPUTED_VALUE"""),"Anh Chương")</f>
        <v>Anh Chương</v>
      </c>
      <c r="C3245" s="119" t="str">
        <f>IFERROR(__xludf.DUMMYFUNCTION("""COMPUTED_VALUE"""),"60 Phùng Hưng")</f>
        <v>60 Phùng Hưng</v>
      </c>
      <c r="D3245" s="119" t="str">
        <f>IFERROR(__xludf.DUMMYFUNCTION("""COMPUTED_VALUE"""),"chó")</f>
        <v>chó</v>
      </c>
      <c r="E3245" s="119"/>
    </row>
    <row r="3246" ht="15.75" customHeight="1">
      <c r="A3246" s="122" t="str">
        <f>IFERROR(__xludf.DUMMYFUNCTION("""COMPUTED_VALUE"""),"0934 755 786")</f>
        <v>0934 755 786</v>
      </c>
      <c r="B3246" s="119" t="str">
        <f>IFERROR(__xludf.DUMMYFUNCTION("""COMPUTED_VALUE"""),"Anh Khoa")</f>
        <v>Anh Khoa</v>
      </c>
      <c r="C3246" s="119" t="str">
        <f>IFERROR(__xludf.DUMMYFUNCTION("""COMPUTED_VALUE"""),"35 Hồ Văn Hiến")</f>
        <v>35 Hồ Văn Hiến</v>
      </c>
      <c r="D3246" s="119" t="str">
        <f>IFERROR(__xludf.DUMMYFUNCTION("""COMPUTED_VALUE"""),"chó")</f>
        <v>chó</v>
      </c>
      <c r="E3246" s="119" t="str">
        <f>IFERROR(__xludf.DUMMYFUNCTION("""COMPUTED_VALUE"""),"Nick")</f>
        <v>Nick</v>
      </c>
    </row>
    <row r="3247" ht="15.75" customHeight="1">
      <c r="A3247" s="122" t="str">
        <f>IFERROR(__xludf.DUMMYFUNCTION("""COMPUTED_VALUE"""),"0702 554 114")</f>
        <v>0702 554 114</v>
      </c>
      <c r="B3247" s="119" t="str">
        <f>IFERROR(__xludf.DUMMYFUNCTION("""COMPUTED_VALUE"""),"Anh Phi")</f>
        <v>Anh Phi</v>
      </c>
      <c r="C3247" s="119" t="str">
        <f>IFERROR(__xludf.DUMMYFUNCTION("""COMPUTED_VALUE"""),"26 Bửu Đình")</f>
        <v>26 Bửu Đình</v>
      </c>
      <c r="D3247" s="119" t="str">
        <f>IFERROR(__xludf.DUMMYFUNCTION("""COMPUTED_VALUE"""),"mèo")</f>
        <v>mèo</v>
      </c>
      <c r="E3247" s="119" t="str">
        <f>IFERROR(__xludf.DUMMYFUNCTION("""COMPUTED_VALUE"""),"Bông")</f>
        <v>Bông</v>
      </c>
    </row>
    <row r="3248" ht="15.75" customHeight="1">
      <c r="A3248" s="122" t="str">
        <f>IFERROR(__xludf.DUMMYFUNCTION("""COMPUTED_VALUE"""),"0787 577 693")</f>
        <v>0787 577 693</v>
      </c>
      <c r="B3248" s="119" t="str">
        <f>IFERROR(__xludf.DUMMYFUNCTION("""COMPUTED_VALUE"""),"Chị Quỳnh Anh")</f>
        <v>Chị Quỳnh Anh</v>
      </c>
      <c r="C3248" s="119" t="str">
        <f>IFERROR(__xludf.DUMMYFUNCTION("""COMPUTED_VALUE"""),"08 Dặng Huy Trứ")</f>
        <v>08 Dặng Huy Trứ</v>
      </c>
      <c r="D3248" s="119" t="str">
        <f>IFERROR(__xludf.DUMMYFUNCTION("""COMPUTED_VALUE"""),"chó")</f>
        <v>chó</v>
      </c>
      <c r="E3248" s="119" t="str">
        <f>IFERROR(__xludf.DUMMYFUNCTION("""COMPUTED_VALUE"""),"Nâu")</f>
        <v>Nâu</v>
      </c>
    </row>
    <row r="3249" ht="15.75" customHeight="1">
      <c r="A3249" s="122" t="str">
        <f>IFERROR(__xludf.DUMMYFUNCTION("""COMPUTED_VALUE"""),"0396 109 989")</f>
        <v>0396 109 989</v>
      </c>
      <c r="B3249" s="119" t="str">
        <f>IFERROR(__xludf.DUMMYFUNCTION("""COMPUTED_VALUE"""),"Em Mi Mi")</f>
        <v>Em Mi Mi</v>
      </c>
      <c r="C3249" s="119" t="str">
        <f>IFERROR(__xludf.DUMMYFUNCTION("""COMPUTED_VALUE"""),"Quảng Phú, Quảng Điền")</f>
        <v>Quảng Phú, Quảng Điền</v>
      </c>
      <c r="D3249" s="119" t="str">
        <f>IFERROR(__xludf.DUMMYFUNCTION("""COMPUTED_VALUE"""),"mèo")</f>
        <v>mèo</v>
      </c>
      <c r="E3249" s="119" t="str">
        <f>IFERROR(__xludf.DUMMYFUNCTION("""COMPUTED_VALUE"""),"Mướp")</f>
        <v>Mướp</v>
      </c>
    </row>
    <row r="3250" ht="15.75" customHeight="1">
      <c r="A3250" s="122" t="str">
        <f>IFERROR(__xludf.DUMMYFUNCTION("""COMPUTED_VALUE"""),"0356 752 431")</f>
        <v>0356 752 431</v>
      </c>
      <c r="B3250" s="119" t="str">
        <f>IFERROR(__xludf.DUMMYFUNCTION("""COMPUTED_VALUE"""),"Chị Anh Thư")</f>
        <v>Chị Anh Thư</v>
      </c>
      <c r="C3250" s="119" t="str">
        <f>IFERROR(__xludf.DUMMYFUNCTION("""COMPUTED_VALUE"""),"Thuỷ Dương")</f>
        <v>Thuỷ Dương</v>
      </c>
      <c r="D3250" s="119" t="str">
        <f>IFERROR(__xludf.DUMMYFUNCTION("""COMPUTED_VALUE"""),"mèo")</f>
        <v>mèo</v>
      </c>
      <c r="E3250" s="119" t="str">
        <f>IFERROR(__xludf.DUMMYFUNCTION("""COMPUTED_VALUE"""),"Kem")</f>
        <v>Kem</v>
      </c>
    </row>
    <row r="3251" ht="15.75" customHeight="1">
      <c r="A3251" s="122" t="str">
        <f>IFERROR(__xludf.DUMMYFUNCTION("""COMPUTED_VALUE"""),"0948 444 423")</f>
        <v>0948 444 423</v>
      </c>
      <c r="B3251" s="119" t="str">
        <f>IFERROR(__xludf.DUMMYFUNCTION("""COMPUTED_VALUE"""),"Chị Nhung")</f>
        <v>Chị Nhung</v>
      </c>
      <c r="C3251" s="119" t="str">
        <f>IFERROR(__xludf.DUMMYFUNCTION("""COMPUTED_VALUE"""),"144 Bùi Thị Xuân")</f>
        <v>144 Bùi Thị Xuân</v>
      </c>
      <c r="D3251" s="119" t="str">
        <f>IFERROR(__xludf.DUMMYFUNCTION("""COMPUTED_VALUE"""),"mèo")</f>
        <v>mèo</v>
      </c>
      <c r="E3251" s="119" t="str">
        <f>IFERROR(__xludf.DUMMYFUNCTION("""COMPUTED_VALUE"""),"Bo")</f>
        <v>Bo</v>
      </c>
    </row>
    <row r="3252" ht="15.75" customHeight="1">
      <c r="A3252" s="122" t="str">
        <f>IFERROR(__xludf.DUMMYFUNCTION("""COMPUTED_VALUE"""),"0763 235 256")</f>
        <v>0763 235 256</v>
      </c>
      <c r="B3252" s="119" t="str">
        <f>IFERROR(__xludf.DUMMYFUNCTION("""COMPUTED_VALUE"""),"E Nguyên Anh")</f>
        <v>E Nguyên Anh</v>
      </c>
      <c r="C3252" s="119" t="str">
        <f>IFERROR(__xludf.DUMMYFUNCTION("""COMPUTED_VALUE"""),"KQH Kim Long")</f>
        <v>KQH Kim Long</v>
      </c>
      <c r="D3252" s="119" t="str">
        <f>IFERROR(__xludf.DUMMYFUNCTION("""COMPUTED_VALUE"""),"chó")</f>
        <v>chó</v>
      </c>
      <c r="E3252" s="119" t="str">
        <f>IFERROR(__xludf.DUMMYFUNCTION("""COMPUTED_VALUE"""),"Herry")</f>
        <v>Herry</v>
      </c>
    </row>
    <row r="3253" ht="15.75" customHeight="1">
      <c r="A3253" s="122" t="str">
        <f>IFERROR(__xludf.DUMMYFUNCTION("""COMPUTED_VALUE"""),"0906 597 953")</f>
        <v>0906 597 953</v>
      </c>
      <c r="B3253" s="119" t="str">
        <f>IFERROR(__xludf.DUMMYFUNCTION("""COMPUTED_VALUE"""),"Chị Nga")</f>
        <v>Chị Nga</v>
      </c>
      <c r="C3253" s="119" t="str">
        <f>IFERROR(__xludf.DUMMYFUNCTION("""COMPUTED_VALUE"""),"240 Lý Nam Đế")</f>
        <v>240 Lý Nam Đế</v>
      </c>
      <c r="D3253" s="119" t="str">
        <f>IFERROR(__xludf.DUMMYFUNCTION("""COMPUTED_VALUE"""),"chó")</f>
        <v>chó</v>
      </c>
      <c r="E3253" s="119" t="str">
        <f>IFERROR(__xludf.DUMMYFUNCTION("""COMPUTED_VALUE"""),"Si")</f>
        <v>Si</v>
      </c>
    </row>
    <row r="3254" ht="15.75" customHeight="1">
      <c r="A3254" s="122" t="str">
        <f>IFERROR(__xludf.DUMMYFUNCTION("""COMPUTED_VALUE"""),"0966 492 822")</f>
        <v>0966 492 822</v>
      </c>
      <c r="B3254" s="119" t="str">
        <f>IFERROR(__xludf.DUMMYFUNCTION("""COMPUTED_VALUE"""),"Chú Trí")</f>
        <v>Chú Trí</v>
      </c>
      <c r="C3254" s="119" t="str">
        <f>IFERROR(__xludf.DUMMYFUNCTION("""COMPUTED_VALUE"""),"64 An Ninh")</f>
        <v>64 An Ninh</v>
      </c>
      <c r="D3254" s="119" t="str">
        <f>IFERROR(__xludf.DUMMYFUNCTION("""COMPUTED_VALUE"""),"chó")</f>
        <v>chó</v>
      </c>
      <c r="E3254" s="119" t="str">
        <f>IFERROR(__xludf.DUMMYFUNCTION("""COMPUTED_VALUE"""),"Misa")</f>
        <v>Misa</v>
      </c>
    </row>
    <row r="3255" ht="15.75" customHeight="1">
      <c r="A3255" s="122" t="str">
        <f>IFERROR(__xludf.DUMMYFUNCTION("""COMPUTED_VALUE"""),"0843 921 402")</f>
        <v>0843 921 402</v>
      </c>
      <c r="B3255" s="119" t="str">
        <f>IFERROR(__xludf.DUMMYFUNCTION("""COMPUTED_VALUE"""),"Anh Thắng")</f>
        <v>Anh Thắng</v>
      </c>
      <c r="C3255" s="119" t="str">
        <f>IFERROR(__xludf.DUMMYFUNCTION("""COMPUTED_VALUE"""),"15 Nguyễn Đăng Thịnh, Hương An, Hương Trà")</f>
        <v>15 Nguyễn Đăng Thịnh, Hương An, Hương Trà</v>
      </c>
      <c r="D3255" s="119" t="str">
        <f>IFERROR(__xludf.DUMMYFUNCTION("""COMPUTED_VALUE"""),"chó")</f>
        <v>chó</v>
      </c>
      <c r="E3255" s="119" t="str">
        <f>IFERROR(__xludf.DUMMYFUNCTION("""COMPUTED_VALUE"""),"Đốm")</f>
        <v>Đốm</v>
      </c>
    </row>
    <row r="3256" ht="15.75" customHeight="1">
      <c r="A3256" s="122" t="str">
        <f>IFERROR(__xludf.DUMMYFUNCTION("""COMPUTED_VALUE"""),"0344 139 405")</f>
        <v>0344 139 405</v>
      </c>
      <c r="B3256" s="119" t="str">
        <f>IFERROR(__xludf.DUMMYFUNCTION("""COMPUTED_VALUE"""),"Em Hường")</f>
        <v>Em Hường</v>
      </c>
      <c r="C3256" s="119" t="str">
        <f>IFERROR(__xludf.DUMMYFUNCTION("""COMPUTED_VALUE"""),"Hương Long, Hương Trà")</f>
        <v>Hương Long, Hương Trà</v>
      </c>
      <c r="D3256" s="119" t="str">
        <f>IFERROR(__xludf.DUMMYFUNCTION("""COMPUTED_VALUE"""),"mèo")</f>
        <v>mèo</v>
      </c>
      <c r="E3256" s="119" t="str">
        <f>IFERROR(__xludf.DUMMYFUNCTION("""COMPUTED_VALUE"""),"Bông")</f>
        <v>Bông</v>
      </c>
    </row>
    <row r="3257" ht="15.75" customHeight="1">
      <c r="A3257" s="122" t="str">
        <f>IFERROR(__xludf.DUMMYFUNCTION("""COMPUTED_VALUE"""),"0869 296 018")</f>
        <v>0869 296 018</v>
      </c>
      <c r="B3257" s="119" t="str">
        <f>IFERROR(__xludf.DUMMYFUNCTION("""COMPUTED_VALUE"""),"Chị Nhi")</f>
        <v>Chị Nhi</v>
      </c>
      <c r="C3257" s="119" t="str">
        <f>IFERROR(__xludf.DUMMYFUNCTION("""COMPUTED_VALUE"""),"Quảng Điền")</f>
        <v>Quảng Điền</v>
      </c>
      <c r="D3257" s="119" t="str">
        <f>IFERROR(__xludf.DUMMYFUNCTION("""COMPUTED_VALUE"""),"Chó")</f>
        <v>Chó</v>
      </c>
      <c r="E3257" s="119" t="str">
        <f>IFERROR(__xludf.DUMMYFUNCTION("""COMPUTED_VALUE"""),"Tỏi")</f>
        <v>Tỏi</v>
      </c>
    </row>
    <row r="3258" ht="15.75" customHeight="1">
      <c r="A3258" s="122" t="str">
        <f>IFERROR(__xludf.DUMMYFUNCTION("""COMPUTED_VALUE"""),"0933 535 656")</f>
        <v>0933 535 656</v>
      </c>
      <c r="B3258" s="119" t="str">
        <f>IFERROR(__xludf.DUMMYFUNCTION("""COMPUTED_VALUE"""),"Mệ Hoàng")</f>
        <v>Mệ Hoàng</v>
      </c>
      <c r="C3258" s="119" t="str">
        <f>IFERROR(__xludf.DUMMYFUNCTION("""COMPUTED_VALUE"""),"8/4 Điềm Phùng Thị")</f>
        <v>8/4 Điềm Phùng Thị</v>
      </c>
      <c r="D3258" s="119" t="str">
        <f>IFERROR(__xludf.DUMMYFUNCTION("""COMPUTED_VALUE"""),"Chó")</f>
        <v>Chó</v>
      </c>
      <c r="E3258" s="119" t="str">
        <f>IFERROR(__xludf.DUMMYFUNCTION("""COMPUTED_VALUE"""),"Nâu")</f>
        <v>Nâu</v>
      </c>
    </row>
    <row r="3259" ht="15.75" customHeight="1">
      <c r="A3259" s="122" t="str">
        <f>IFERROR(__xludf.DUMMYFUNCTION("""COMPUTED_VALUE"""),"0903 536 006")</f>
        <v>0903 536 006</v>
      </c>
      <c r="B3259" s="119" t="str">
        <f>IFERROR(__xludf.DUMMYFUNCTION("""COMPUTED_VALUE"""),"Anh Thiện")</f>
        <v>Anh Thiện</v>
      </c>
      <c r="C3259" s="119" t="str">
        <f>IFERROR(__xludf.DUMMYFUNCTION("""COMPUTED_VALUE"""),"42/3 Dương Văn An")</f>
        <v>42/3 Dương Văn An</v>
      </c>
      <c r="D3259" s="119" t="str">
        <f>IFERROR(__xludf.DUMMYFUNCTION("""COMPUTED_VALUE"""),"Mèo")</f>
        <v>Mèo</v>
      </c>
      <c r="E3259" s="119" t="str">
        <f>IFERROR(__xludf.DUMMYFUNCTION("""COMPUTED_VALUE"""),"Baby")</f>
        <v>Baby</v>
      </c>
    </row>
    <row r="3260" ht="15.75" customHeight="1">
      <c r="A3260" s="122" t="str">
        <f>IFERROR(__xludf.DUMMYFUNCTION("""COMPUTED_VALUE"""),"0932 572 475")</f>
        <v>0932 572 475</v>
      </c>
      <c r="B3260" s="119" t="str">
        <f>IFERROR(__xludf.DUMMYFUNCTION("""COMPUTED_VALUE"""),"Anh Phú")</f>
        <v>Anh Phú</v>
      </c>
      <c r="C3260" s="119" t="str">
        <f>IFERROR(__xludf.DUMMYFUNCTION("""COMPUTED_VALUE"""),"Nguyễn Huệ")</f>
        <v>Nguyễn Huệ</v>
      </c>
      <c r="D3260" s="119" t="str">
        <f>IFERROR(__xludf.DUMMYFUNCTION("""COMPUTED_VALUE"""),"Chó")</f>
        <v>Chó</v>
      </c>
      <c r="E3260" s="119" t="str">
        <f>IFERROR(__xludf.DUMMYFUNCTION("""COMPUTED_VALUE"""),"Bun")</f>
        <v>Bun</v>
      </c>
    </row>
    <row r="3261" ht="15.75" customHeight="1">
      <c r="A3261" s="122" t="str">
        <f>IFERROR(__xludf.DUMMYFUNCTION("""COMPUTED_VALUE"""),"0916 922 025")</f>
        <v>0916 922 025</v>
      </c>
      <c r="B3261" s="119" t="str">
        <f>IFERROR(__xludf.DUMMYFUNCTION("""COMPUTED_VALUE"""),"Dì Phương")</f>
        <v>Dì Phương</v>
      </c>
      <c r="C3261" s="119" t="str">
        <f>IFERROR(__xludf.DUMMYFUNCTION("""COMPUTED_VALUE"""),"10/138 Trần Phú")</f>
        <v>10/138 Trần Phú</v>
      </c>
      <c r="D3261" s="119" t="str">
        <f>IFERROR(__xludf.DUMMYFUNCTION("""COMPUTED_VALUE"""),"mèo")</f>
        <v>mèo</v>
      </c>
      <c r="E3261" s="119" t="str">
        <f>IFERROR(__xludf.DUMMYFUNCTION("""COMPUTED_VALUE"""),"Bun")</f>
        <v>Bun</v>
      </c>
    </row>
    <row r="3262" ht="15.75" customHeight="1">
      <c r="A3262" s="122" t="str">
        <f>IFERROR(__xludf.DUMMYFUNCTION("""COMPUTED_VALUE"""),"0365 541 111")</f>
        <v>0365 541 111</v>
      </c>
      <c r="B3262" s="119" t="str">
        <f>IFERROR(__xludf.DUMMYFUNCTION("""COMPUTED_VALUE"""),"Cô Hằng")</f>
        <v>Cô Hằng</v>
      </c>
      <c r="C3262" s="119" t="str">
        <f>IFERROR(__xludf.DUMMYFUNCTION("""COMPUTED_VALUE"""),"17 Thiên Thai")</f>
        <v>17 Thiên Thai</v>
      </c>
      <c r="D3262" s="119" t="str">
        <f>IFERROR(__xludf.DUMMYFUNCTION("""COMPUTED_VALUE"""),"chó")</f>
        <v>chó</v>
      </c>
      <c r="E3262" s="119" t="str">
        <f>IFERROR(__xludf.DUMMYFUNCTION("""COMPUTED_VALUE"""),"Ri")</f>
        <v>Ri</v>
      </c>
    </row>
    <row r="3263" ht="15.75" customHeight="1">
      <c r="A3263" s="122" t="str">
        <f>IFERROR(__xludf.DUMMYFUNCTION("""COMPUTED_VALUE"""),"0888 589 715")</f>
        <v>0888 589 715</v>
      </c>
      <c r="B3263" s="119" t="str">
        <f>IFERROR(__xludf.DUMMYFUNCTION("""COMPUTED_VALUE"""),"Chị Thư")</f>
        <v>Chị Thư</v>
      </c>
      <c r="C3263" s="119" t="str">
        <f>IFERROR(__xludf.DUMMYFUNCTION("""COMPUTED_VALUE"""),"106 Đặng Huy Trứ")</f>
        <v>106 Đặng Huy Trứ</v>
      </c>
      <c r="D3263" s="119" t="str">
        <f>IFERROR(__xludf.DUMMYFUNCTION("""COMPUTED_VALUE"""),"chó")</f>
        <v>chó</v>
      </c>
      <c r="E3263" s="119" t="str">
        <f>IFERROR(__xludf.DUMMYFUNCTION("""COMPUTED_VALUE"""),"Sulke")</f>
        <v>Sulke</v>
      </c>
    </row>
    <row r="3264" ht="15.75" customHeight="1">
      <c r="A3264" s="122" t="str">
        <f>IFERROR(__xludf.DUMMYFUNCTION("""COMPUTED_VALUE"""),"0854 290 074")</f>
        <v>0854 290 074</v>
      </c>
      <c r="B3264" s="119" t="str">
        <f>IFERROR(__xludf.DUMMYFUNCTION("""COMPUTED_VALUE"""),"Lê Huyền Ái Duyên")</f>
        <v>Lê Huyền Ái Duyên</v>
      </c>
      <c r="C3264" s="119" t="str">
        <f>IFERROR(__xludf.DUMMYFUNCTION("""COMPUTED_VALUE"""),"Nguyễn Hoàng")</f>
        <v>Nguyễn Hoàng</v>
      </c>
      <c r="D3264" s="119" t="str">
        <f>IFERROR(__xludf.DUMMYFUNCTION("""COMPUTED_VALUE"""),"Mèo")</f>
        <v>Mèo</v>
      </c>
      <c r="E3264" s="119" t="str">
        <f>IFERROR(__xludf.DUMMYFUNCTION("""COMPUTED_VALUE"""),"Chả")</f>
        <v>Chả</v>
      </c>
    </row>
    <row r="3265" ht="15.75" customHeight="1">
      <c r="A3265" s="122" t="str">
        <f>IFERROR(__xludf.DUMMYFUNCTION("""COMPUTED_VALUE"""),"0774 406 469")</f>
        <v>0774 406 469</v>
      </c>
      <c r="B3265" s="119" t="str">
        <f>IFERROR(__xludf.DUMMYFUNCTION("""COMPUTED_VALUE"""),"Nguyễn Thị Ngọc Huyền")</f>
        <v>Nguyễn Thị Ngọc Huyền</v>
      </c>
      <c r="C3265" s="119" t="str">
        <f>IFERROR(__xludf.DUMMYFUNCTION("""COMPUTED_VALUE"""),"61 Triều Thuỷ - Phú Vang")</f>
        <v>61 Triều Thuỷ - Phú Vang</v>
      </c>
      <c r="D3265" s="119" t="str">
        <f>IFERROR(__xludf.DUMMYFUNCTION("""COMPUTED_VALUE"""),"Chó")</f>
        <v>Chó</v>
      </c>
      <c r="E3265" s="119" t="str">
        <f>IFERROR(__xludf.DUMMYFUNCTION("""COMPUTED_VALUE"""),"Dolar")</f>
        <v>Dolar</v>
      </c>
    </row>
    <row r="3266" ht="15.75" customHeight="1">
      <c r="A3266" s="122" t="str">
        <f>IFERROR(__xludf.DUMMYFUNCTION("""COMPUTED_VALUE"""),"0944 008 013")</f>
        <v>0944 008 013</v>
      </c>
      <c r="B3266" s="119" t="str">
        <f>IFERROR(__xludf.DUMMYFUNCTION("""COMPUTED_VALUE"""),"Chị Ánh")</f>
        <v>Chị Ánh</v>
      </c>
      <c r="C3266" s="119" t="str">
        <f>IFERROR(__xludf.DUMMYFUNCTION("""COMPUTED_VALUE"""),"Đâò tấn")</f>
        <v>Đâò tấn</v>
      </c>
      <c r="D3266" s="119" t="str">
        <f>IFERROR(__xludf.DUMMYFUNCTION("""COMPUTED_VALUE"""),"chó")</f>
        <v>chó</v>
      </c>
      <c r="E3266" s="119" t="str">
        <f>IFERROR(__xludf.DUMMYFUNCTION("""COMPUTED_VALUE""")," Moon")</f>
        <v> Moon</v>
      </c>
    </row>
    <row r="3267" ht="15.75" customHeight="1">
      <c r="A3267" s="122" t="str">
        <f>IFERROR(__xludf.DUMMYFUNCTION("""COMPUTED_VALUE"""),"0975 449 625 ")</f>
        <v>0975 449 625 </v>
      </c>
      <c r="B3267" s="119" t="str">
        <f>IFERROR(__xludf.DUMMYFUNCTION("""COMPUTED_VALUE"""),"chị Thanh Điệp")</f>
        <v>chị Thanh Điệp</v>
      </c>
      <c r="C3267" s="119" t="str">
        <f>IFERROR(__xludf.DUMMYFUNCTION("""COMPUTED_VALUE"""),"28/187 Hùng Vương")</f>
        <v>28/187 Hùng Vương</v>
      </c>
      <c r="D3267" s="119" t="str">
        <f>IFERROR(__xludf.DUMMYFUNCTION("""COMPUTED_VALUE"""),"mèo")</f>
        <v>mèo</v>
      </c>
      <c r="E3267" s="119" t="str">
        <f>IFERROR(__xludf.DUMMYFUNCTION("""COMPUTED_VALUE"""),"Mướp")</f>
        <v>Mướp</v>
      </c>
    </row>
    <row r="3268" ht="15.75" customHeight="1">
      <c r="A3268" s="122" t="str">
        <f>IFERROR(__xludf.DUMMYFUNCTION("""COMPUTED_VALUE"""),"0902 963 697")</f>
        <v>0902 963 697</v>
      </c>
      <c r="B3268" s="119" t="str">
        <f>IFERROR(__xludf.DUMMYFUNCTION("""COMPUTED_VALUE"""),"Chị Cúc")</f>
        <v>Chị Cúc</v>
      </c>
      <c r="C3268" s="119" t="str">
        <f>IFERROR(__xludf.DUMMYFUNCTION("""COMPUTED_VALUE"""),"5/6 Nguyễn Hữu Dật")</f>
        <v>5/6 Nguyễn Hữu Dật</v>
      </c>
      <c r="D3268" s="119" t="str">
        <f>IFERROR(__xludf.DUMMYFUNCTION("""COMPUTED_VALUE"""),"Chó")</f>
        <v>Chó</v>
      </c>
      <c r="E3268" s="119" t="str">
        <f>IFERROR(__xludf.DUMMYFUNCTION("""COMPUTED_VALUE"""),"Milu")</f>
        <v>Milu</v>
      </c>
    </row>
    <row r="3269" ht="15.75" customHeight="1">
      <c r="A3269" s="122" t="str">
        <f>IFERROR(__xludf.DUMMYFUNCTION("""COMPUTED_VALUE"""),"0783 940 714")</f>
        <v>0783 940 714</v>
      </c>
      <c r="B3269" s="119" t="str">
        <f>IFERROR(__xludf.DUMMYFUNCTION("""COMPUTED_VALUE"""),"Khắc Hiếu")</f>
        <v>Khắc Hiếu</v>
      </c>
      <c r="C3269" s="119" t="str">
        <f>IFERROR(__xludf.DUMMYFUNCTION("""COMPUTED_VALUE"""),"Kim Long")</f>
        <v>Kim Long</v>
      </c>
      <c r="D3269" s="119" t="str">
        <f>IFERROR(__xludf.DUMMYFUNCTION("""COMPUTED_VALUE"""),"Chó")</f>
        <v>Chó</v>
      </c>
      <c r="E3269" s="119" t="str">
        <f>IFERROR(__xludf.DUMMYFUNCTION("""COMPUTED_VALUE"""),"Chôm")</f>
        <v>Chôm</v>
      </c>
    </row>
    <row r="3270" ht="15.75" customHeight="1">
      <c r="A3270" s="122" t="str">
        <f>IFERROR(__xludf.DUMMYFUNCTION("""COMPUTED_VALUE"""),"0948 963 009")</f>
        <v>0948 963 009</v>
      </c>
      <c r="B3270" s="119" t="str">
        <f>IFERROR(__xludf.DUMMYFUNCTION("""COMPUTED_VALUE"""),"Thủy Vân")</f>
        <v>Thủy Vân</v>
      </c>
      <c r="C3270" s="119" t="str">
        <f>IFERROR(__xludf.DUMMYFUNCTION("""COMPUTED_VALUE"""),"22/14 Lê Ngô Cát")</f>
        <v>22/14 Lê Ngô Cát</v>
      </c>
      <c r="D3270" s="119" t="str">
        <f>IFERROR(__xludf.DUMMYFUNCTION("""COMPUTED_VALUE"""),"mèo")</f>
        <v>mèo</v>
      </c>
      <c r="E3270" s="119" t="str">
        <f>IFERROR(__xludf.DUMMYFUNCTION("""COMPUTED_VALUE"""),"Meow")</f>
        <v>Meow</v>
      </c>
    </row>
    <row r="3271" ht="15.75" customHeight="1">
      <c r="A3271" s="122" t="str">
        <f>IFERROR(__xludf.DUMMYFUNCTION("""COMPUTED_VALUE"""),"0914 620 235")</f>
        <v>0914 620 235</v>
      </c>
      <c r="B3271" s="119" t="str">
        <f>IFERROR(__xludf.DUMMYFUNCTION("""COMPUTED_VALUE"""),"Chị Tâm")</f>
        <v>Chị Tâm</v>
      </c>
      <c r="C3271" s="119" t="str">
        <f>IFERROR(__xludf.DUMMYFUNCTION("""COMPUTED_VALUE"""),"26 Minh Mạng")</f>
        <v>26 Minh Mạng</v>
      </c>
      <c r="D3271" s="119" t="str">
        <f>IFERROR(__xludf.DUMMYFUNCTION("""COMPUTED_VALUE"""),"mèo ")</f>
        <v>mèo </v>
      </c>
      <c r="E3271" s="119" t="str">
        <f>IFERROR(__xludf.DUMMYFUNCTION("""COMPUTED_VALUE"""),"rang")</f>
        <v>rang</v>
      </c>
    </row>
    <row r="3272" ht="15.75" customHeight="1">
      <c r="A3272" s="122" t="str">
        <f>IFERROR(__xludf.DUMMYFUNCTION("""COMPUTED_VALUE"""),"0899 497 463")</f>
        <v>0899 497 463</v>
      </c>
      <c r="B3272" s="119" t="str">
        <f>IFERROR(__xludf.DUMMYFUNCTION("""COMPUTED_VALUE"""),"Chị Hoài")</f>
        <v>Chị Hoài</v>
      </c>
      <c r="C3272" s="119" t="str">
        <f>IFERROR(__xludf.DUMMYFUNCTION("""COMPUTED_VALUE"""),"An Cựu")</f>
        <v>An Cựu</v>
      </c>
      <c r="D3272" s="119" t="str">
        <f>IFERROR(__xludf.DUMMYFUNCTION("""COMPUTED_VALUE"""),"chó")</f>
        <v>chó</v>
      </c>
      <c r="E3272" s="119" t="str">
        <f>IFERROR(__xludf.DUMMYFUNCTION("""COMPUTED_VALUE"""),"Bibu")</f>
        <v>Bibu</v>
      </c>
    </row>
    <row r="3273" ht="15.75" customHeight="1">
      <c r="A3273" s="122" t="str">
        <f>IFERROR(__xludf.DUMMYFUNCTION("""COMPUTED_VALUE"""),"0918 070 247")</f>
        <v>0918 070 247</v>
      </c>
      <c r="B3273" s="119" t="str">
        <f>IFERROR(__xludf.DUMMYFUNCTION("""COMPUTED_VALUE"""),"Chú Qúy")</f>
        <v>Chú Qúy</v>
      </c>
      <c r="C3273" s="119" t="str">
        <f>IFERROR(__xludf.DUMMYFUNCTION("""COMPUTED_VALUE"""),"20/5/1 Nguyễn Hoàng")</f>
        <v>20/5/1 Nguyễn Hoàng</v>
      </c>
      <c r="D3273" s="119" t="str">
        <f>IFERROR(__xludf.DUMMYFUNCTION("""COMPUTED_VALUE"""),"Chó")</f>
        <v>Chó</v>
      </c>
      <c r="E3273" s="119"/>
    </row>
    <row r="3274" ht="15.75" customHeight="1">
      <c r="A3274" s="122" t="str">
        <f>IFERROR(__xludf.DUMMYFUNCTION("""COMPUTED_VALUE"""),"0905 579 456")</f>
        <v>0905 579 456</v>
      </c>
      <c r="B3274" s="119" t="str">
        <f>IFERROR(__xludf.DUMMYFUNCTION("""COMPUTED_VALUE"""),"Chị Chi")</f>
        <v>Chị Chi</v>
      </c>
      <c r="C3274" s="119" t="str">
        <f>IFERROR(__xludf.DUMMYFUNCTION("""COMPUTED_VALUE"""),"tổ 9 phường Thủy Xuân")</f>
        <v>tổ 9 phường Thủy Xuân</v>
      </c>
      <c r="D3274" s="119" t="str">
        <f>IFERROR(__xludf.DUMMYFUNCTION("""COMPUTED_VALUE"""),"chó")</f>
        <v>chó</v>
      </c>
      <c r="E3274" s="119" t="str">
        <f>IFERROR(__xludf.DUMMYFUNCTION("""COMPUTED_VALUE"""),"kẹo")</f>
        <v>kẹo</v>
      </c>
    </row>
    <row r="3275" ht="15.75" customHeight="1">
      <c r="A3275" s="122" t="str">
        <f>IFERROR(__xludf.DUMMYFUNCTION("""COMPUTED_VALUE"""),"0343 835 572")</f>
        <v>0343 835 572</v>
      </c>
      <c r="B3275" s="119" t="str">
        <f>IFERROR(__xludf.DUMMYFUNCTION("""COMPUTED_VALUE"""),"Kiều Trang")</f>
        <v>Kiều Trang</v>
      </c>
      <c r="C3275" s="119" t="str">
        <f>IFERROR(__xludf.DUMMYFUNCTION("""COMPUTED_VALUE"""),"17/82 Quảng tế")</f>
        <v>17/82 Quảng tế</v>
      </c>
      <c r="D3275" s="119" t="str">
        <f>IFERROR(__xludf.DUMMYFUNCTION("""COMPUTED_VALUE"""),"mèo")</f>
        <v>mèo</v>
      </c>
      <c r="E3275" s="119" t="str">
        <f>IFERROR(__xludf.DUMMYFUNCTION("""COMPUTED_VALUE"""),"đen")</f>
        <v>đen</v>
      </c>
    </row>
    <row r="3276" ht="15.75" customHeight="1">
      <c r="A3276" s="122" t="str">
        <f>IFERROR(__xludf.DUMMYFUNCTION("""COMPUTED_VALUE"""),"0989 477 012")</f>
        <v>0989 477 012</v>
      </c>
      <c r="B3276" s="119" t="str">
        <f>IFERROR(__xludf.DUMMYFUNCTION("""COMPUTED_VALUE"""),"Ngọc Toàn")</f>
        <v>Ngọc Toàn</v>
      </c>
      <c r="C3276" s="119" t="str">
        <f>IFERROR(__xludf.DUMMYFUNCTION("""COMPUTED_VALUE"""),"95/2 Trần Phú")</f>
        <v>95/2 Trần Phú</v>
      </c>
      <c r="D3276" s="119" t="str">
        <f>IFERROR(__xludf.DUMMYFUNCTION("""COMPUTED_VALUE"""),"chó")</f>
        <v>chó</v>
      </c>
      <c r="E3276" s="119" t="str">
        <f>IFERROR(__xludf.DUMMYFUNCTION("""COMPUTED_VALUE""")," Gấu")</f>
        <v> Gấu</v>
      </c>
    </row>
    <row r="3277" ht="15.75" customHeight="1">
      <c r="A3277" s="122" t="str">
        <f>IFERROR(__xludf.DUMMYFUNCTION("""COMPUTED_VALUE"""),"0795 618 735")</f>
        <v>0795 618 735</v>
      </c>
      <c r="B3277" s="119" t="str">
        <f>IFERROR(__xludf.DUMMYFUNCTION("""COMPUTED_VALUE"""),"Chị Quỳnh Thi")</f>
        <v>Chị Quỳnh Thi</v>
      </c>
      <c r="C3277" s="119" t="str">
        <f>IFERROR(__xludf.DUMMYFUNCTION("""COMPUTED_VALUE"""),"1/44/131 Trần Phú")</f>
        <v>1/44/131 Trần Phú</v>
      </c>
      <c r="D3277" s="119" t="str">
        <f>IFERROR(__xludf.DUMMYFUNCTION("""COMPUTED_VALUE"""),"mèo")</f>
        <v>mèo</v>
      </c>
      <c r="E3277" s="119" t="str">
        <f>IFERROR(__xludf.DUMMYFUNCTION("""COMPUTED_VALUE"""),"Milk")</f>
        <v>Milk</v>
      </c>
    </row>
    <row r="3278" ht="15.75" customHeight="1">
      <c r="A3278" s="122" t="str">
        <f>IFERROR(__xludf.DUMMYFUNCTION("""COMPUTED_VALUE"""),"0347 170 051")</f>
        <v>0347 170 051</v>
      </c>
      <c r="B3278" s="119" t="str">
        <f>IFERROR(__xludf.DUMMYFUNCTION("""COMPUTED_VALUE"""),"Chú Việt")</f>
        <v>Chú Việt</v>
      </c>
      <c r="C3278" s="119" t="str">
        <f>IFERROR(__xludf.DUMMYFUNCTION("""COMPUTED_VALUE"""),"430 Đoàn Hữu Trưng")</f>
        <v>430 Đoàn Hữu Trưng</v>
      </c>
      <c r="D3278" s="119" t="str">
        <f>IFERROR(__xludf.DUMMYFUNCTION("""COMPUTED_VALUE"""),"Chó")</f>
        <v>Chó</v>
      </c>
      <c r="E3278" s="119" t="str">
        <f>IFERROR(__xludf.DUMMYFUNCTION("""COMPUTED_VALUE"""),"Bờm")</f>
        <v>Bờm</v>
      </c>
    </row>
    <row r="3279" ht="15.75" customHeight="1">
      <c r="A3279" s="122" t="str">
        <f>IFERROR(__xludf.DUMMYFUNCTION("""COMPUTED_VALUE"""),"0935 135 817")</f>
        <v>0935 135 817</v>
      </c>
      <c r="B3279" s="119" t="str">
        <f>IFERROR(__xludf.DUMMYFUNCTION("""COMPUTED_VALUE"""),"Bảo Ngân")</f>
        <v>Bảo Ngân</v>
      </c>
      <c r="C3279" s="119" t="str">
        <f>IFERROR(__xludf.DUMMYFUNCTION("""COMPUTED_VALUE"""),"91 Bùi Thị Xuân")</f>
        <v>91 Bùi Thị Xuân</v>
      </c>
      <c r="D3279" s="119" t="str">
        <f>IFERROR(__xludf.DUMMYFUNCTION("""COMPUTED_VALUE"""),"MÈO")</f>
        <v>MÈO</v>
      </c>
      <c r="E3279" s="119" t="str">
        <f>IFERROR(__xludf.DUMMYFUNCTION("""COMPUTED_VALUE"""),"Gôn")</f>
        <v>Gôn</v>
      </c>
    </row>
    <row r="3280" ht="15.75" customHeight="1">
      <c r="A3280" s="122" t="str">
        <f>IFERROR(__xludf.DUMMYFUNCTION("""COMPUTED_VALUE"""),"0901 142 761")</f>
        <v>0901 142 761</v>
      </c>
      <c r="B3280" s="119" t="str">
        <f>IFERROR(__xludf.DUMMYFUNCTION("""COMPUTED_VALUE"""),"Nguyễn Đức Huy")</f>
        <v>Nguyễn Đức Huy</v>
      </c>
      <c r="C3280" s="119" t="str">
        <f>IFERROR(__xludf.DUMMYFUNCTION("""COMPUTED_VALUE"""),"72 Bửu Đình")</f>
        <v>72 Bửu Đình</v>
      </c>
      <c r="D3280" s="119" t="str">
        <f>IFERROR(__xludf.DUMMYFUNCTION("""COMPUTED_VALUE"""),"Chó")</f>
        <v>Chó</v>
      </c>
      <c r="E3280" s="119" t="str">
        <f>IFERROR(__xludf.DUMMYFUNCTION("""COMPUTED_VALUE"""),"Bông")</f>
        <v>Bông</v>
      </c>
    </row>
    <row r="3281" ht="15.75" customHeight="1">
      <c r="A3281" s="122" t="str">
        <f>IFERROR(__xludf.DUMMYFUNCTION("""COMPUTED_VALUE"""),"0935 781 603")</f>
        <v>0935 781 603</v>
      </c>
      <c r="B3281" s="119" t="str">
        <f>IFERROR(__xludf.DUMMYFUNCTION("""COMPUTED_VALUE"""),"Chị Mai Thảo")</f>
        <v>Chị Mai Thảo</v>
      </c>
      <c r="C3281" s="119" t="str">
        <f>IFERROR(__xludf.DUMMYFUNCTION("""COMPUTED_VALUE"""),"5A /16  Nguyễn Sinh Cung")</f>
        <v>5A /16  Nguyễn Sinh Cung</v>
      </c>
      <c r="D3281" s="119" t="str">
        <f>IFERROR(__xludf.DUMMYFUNCTION("""COMPUTED_VALUE"""),"MÈO")</f>
        <v>MÈO</v>
      </c>
      <c r="E3281" s="119" t="str">
        <f>IFERROR(__xludf.DUMMYFUNCTION("""COMPUTED_VALUE"""),"Thỏ")</f>
        <v>Thỏ</v>
      </c>
    </row>
    <row r="3282" ht="15.75" customHeight="1">
      <c r="A3282" s="122" t="str">
        <f>IFERROR(__xludf.DUMMYFUNCTION("""COMPUTED_VALUE"""),"0919 093 865")</f>
        <v>0919 093 865</v>
      </c>
      <c r="B3282" s="119" t="str">
        <f>IFERROR(__xludf.DUMMYFUNCTION("""COMPUTED_VALUE"""),"Cô Dung")</f>
        <v>Cô Dung</v>
      </c>
      <c r="C3282" s="119" t="str">
        <f>IFERROR(__xludf.DUMMYFUNCTION("""COMPUTED_VALUE"""),"14 Bửu Đình")</f>
        <v>14 Bửu Đình</v>
      </c>
      <c r="D3282" s="119" t="str">
        <f>IFERROR(__xludf.DUMMYFUNCTION("""COMPUTED_VALUE"""),"Chó")</f>
        <v>Chó</v>
      </c>
      <c r="E3282" s="119" t="str">
        <f>IFERROR(__xludf.DUMMYFUNCTION("""COMPUTED_VALUE"""),"Ben")</f>
        <v>Ben</v>
      </c>
    </row>
    <row r="3283" ht="15.75" customHeight="1">
      <c r="A3283" s="122" t="str">
        <f>IFERROR(__xludf.DUMMYFUNCTION("""COMPUTED_VALUE"""),"0911 344 877")</f>
        <v>0911 344 877</v>
      </c>
      <c r="B3283" s="119" t="str">
        <f>IFERROR(__xludf.DUMMYFUNCTION("""COMPUTED_VALUE"""),"Chị Hạnh")</f>
        <v>Chị Hạnh</v>
      </c>
      <c r="C3283" s="119" t="str">
        <f>IFERROR(__xludf.DUMMYFUNCTION("""COMPUTED_VALUE"""),"k 182 Tăng Bạt Hổ")</f>
        <v>k 182 Tăng Bạt Hổ</v>
      </c>
      <c r="D3283" s="119" t="str">
        <f>IFERROR(__xludf.DUMMYFUNCTION("""COMPUTED_VALUE"""),"Cú")</f>
        <v>Cú</v>
      </c>
      <c r="E3283" s="119"/>
    </row>
    <row r="3284" ht="15.75" customHeight="1">
      <c r="A3284" s="122" t="str">
        <f>IFERROR(__xludf.DUMMYFUNCTION("""COMPUTED_VALUE"""),"0702 527 575")</f>
        <v>0702 527 575</v>
      </c>
      <c r="B3284" s="119" t="str">
        <f>IFERROR(__xludf.DUMMYFUNCTION("""COMPUTED_VALUE"""),"Anh Quang")</f>
        <v>Anh Quang</v>
      </c>
      <c r="C3284" s="119" t="str">
        <f>IFERROR(__xludf.DUMMYFUNCTION("""COMPUTED_VALUE"""),"Xóm 2 Ngọc Anh")</f>
        <v>Xóm 2 Ngọc Anh</v>
      </c>
      <c r="D3284" s="119" t="str">
        <f>IFERROR(__xludf.DUMMYFUNCTION("""COMPUTED_VALUE"""),"chó")</f>
        <v>chó</v>
      </c>
      <c r="E3284" s="119" t="str">
        <f>IFERROR(__xludf.DUMMYFUNCTION("""COMPUTED_VALUE"""),"răng")</f>
        <v>răng</v>
      </c>
    </row>
    <row r="3285" ht="15.75" customHeight="1">
      <c r="A3285" s="122" t="str">
        <f>IFERROR(__xludf.DUMMYFUNCTION("""COMPUTED_VALUE"""),"0376 565 153")</f>
        <v>0376 565 153</v>
      </c>
      <c r="B3285" s="119" t="str">
        <f>IFERROR(__xludf.DUMMYFUNCTION("""COMPUTED_VALUE"""),"Dì Bo")</f>
        <v>Dì Bo</v>
      </c>
      <c r="C3285" s="119" t="str">
        <f>IFERROR(__xludf.DUMMYFUNCTION("""COMPUTED_VALUE"""),"chó")</f>
        <v>chó</v>
      </c>
      <c r="D3285" s="119" t="str">
        <f>IFERROR(__xludf.DUMMYFUNCTION("""COMPUTED_VALUE"""),"chó")</f>
        <v>chó</v>
      </c>
      <c r="E3285" s="119" t="str">
        <f>IFERROR(__xludf.DUMMYFUNCTION("""COMPUTED_VALUE"""),"bơ")</f>
        <v>bơ</v>
      </c>
    </row>
    <row r="3286" ht="15.75" customHeight="1">
      <c r="A3286" s="122" t="str">
        <f>IFERROR(__xludf.DUMMYFUNCTION("""COMPUTED_VALUE"""),"0935 680 818")</f>
        <v>0935 680 818</v>
      </c>
      <c r="B3286" s="119" t="str">
        <f>IFERROR(__xludf.DUMMYFUNCTION("""COMPUTED_VALUE"""),"Anh Việt")</f>
        <v>Anh Việt</v>
      </c>
      <c r="C3286" s="119" t="str">
        <f>IFERROR(__xludf.DUMMYFUNCTION("""COMPUTED_VALUE"""),"2 Nguyễn Sinh Khiêm")</f>
        <v>2 Nguyễn Sinh Khiêm</v>
      </c>
      <c r="D3286" s="119" t="str">
        <f>IFERROR(__xludf.DUMMYFUNCTION("""COMPUTED_VALUE"""),"chó")</f>
        <v>chó</v>
      </c>
      <c r="E3286" s="119" t="str">
        <f>IFERROR(__xludf.DUMMYFUNCTION("""COMPUTED_VALUE"""),"Rốt")</f>
        <v>Rốt</v>
      </c>
    </row>
    <row r="3287" ht="15.75" customHeight="1">
      <c r="A3287" s="122" t="str">
        <f>IFERROR(__xludf.DUMMYFUNCTION("""COMPUTED_VALUE"""),"0367 114 939")</f>
        <v>0367 114 939</v>
      </c>
      <c r="B3287" s="119" t="str">
        <f>IFERROR(__xludf.DUMMYFUNCTION("""COMPUTED_VALUE"""),"Dung")</f>
        <v>Dung</v>
      </c>
      <c r="C3287" s="119" t="str">
        <f>IFERROR(__xludf.DUMMYFUNCTION("""COMPUTED_VALUE"""),"25/1 Quảng Tế")</f>
        <v>25/1 Quảng Tế</v>
      </c>
      <c r="D3287" s="119" t="str">
        <f>IFERROR(__xludf.DUMMYFUNCTION("""COMPUTED_VALUE"""),"Mèo")</f>
        <v>Mèo</v>
      </c>
      <c r="E3287" s="119" t="str">
        <f>IFERROR(__xludf.DUMMYFUNCTION("""COMPUTED_VALUE"""),"Sữa")</f>
        <v>Sữa</v>
      </c>
    </row>
    <row r="3288" ht="15.75" customHeight="1">
      <c r="A3288" s="122" t="str">
        <f>IFERROR(__xludf.DUMMYFUNCTION("""COMPUTED_VALUE"""),"0988 133 688")</f>
        <v>0988 133 688</v>
      </c>
      <c r="B3288" s="119" t="str">
        <f>IFERROR(__xludf.DUMMYFUNCTION("""COMPUTED_VALUE"""),"Nguyễn Thái Yên")</f>
        <v>Nguyễn Thái Yên</v>
      </c>
      <c r="C3288" s="119" t="str">
        <f>IFERROR(__xludf.DUMMYFUNCTION("""COMPUTED_VALUE"""),"Chi cục Hải quan Cửa Khẩu la lay")</f>
        <v>Chi cục Hải quan Cửa Khẩu la lay</v>
      </c>
      <c r="D3288" s="119" t="str">
        <f>IFERROR(__xludf.DUMMYFUNCTION("""COMPUTED_VALUE"""),"Chó")</f>
        <v>Chó</v>
      </c>
      <c r="E3288" s="119" t="str">
        <f>IFERROR(__xludf.DUMMYFUNCTION("""COMPUTED_VALUE"""),"Zach")</f>
        <v>Zach</v>
      </c>
    </row>
    <row r="3289" ht="15.75" customHeight="1">
      <c r="A3289" s="122" t="str">
        <f>IFERROR(__xludf.DUMMYFUNCTION("""COMPUTED_VALUE"""),"0348 005 793")</f>
        <v>0348 005 793</v>
      </c>
      <c r="B3289" s="119" t="str">
        <f>IFERROR(__xludf.DUMMYFUNCTION("""COMPUTED_VALUE"""),"Chị Tiên")</f>
        <v>Chị Tiên</v>
      </c>
      <c r="C3289" s="119" t="str">
        <f>IFERROR(__xludf.DUMMYFUNCTION("""COMPUTED_VALUE"""),"310 Lý Nam Đế")</f>
        <v>310 Lý Nam Đế</v>
      </c>
      <c r="D3289" s="119" t="str">
        <f>IFERROR(__xludf.DUMMYFUNCTION("""COMPUTED_VALUE"""),"Chó")</f>
        <v>Chó</v>
      </c>
      <c r="E3289" s="119" t="str">
        <f>IFERROR(__xludf.DUMMYFUNCTION("""COMPUTED_VALUE"""),"Nanh")</f>
        <v>Nanh</v>
      </c>
    </row>
    <row r="3290" ht="15.75" customHeight="1">
      <c r="A3290" s="122" t="str">
        <f>IFERROR(__xludf.DUMMYFUNCTION("""COMPUTED_VALUE"""),"0787 764 523")</f>
        <v>0787 764 523</v>
      </c>
      <c r="B3290" s="119" t="str">
        <f>IFERROR(__xludf.DUMMYFUNCTION("""COMPUTED_VALUE"""),"Chị Vân")</f>
        <v>Chị Vân</v>
      </c>
      <c r="C3290" s="119" t="str">
        <f>IFERROR(__xludf.DUMMYFUNCTION("""COMPUTED_VALUE"""),"Đặng huy Trứ")</f>
        <v>Đặng huy Trứ</v>
      </c>
      <c r="D3290" s="119" t="str">
        <f>IFERROR(__xludf.DUMMYFUNCTION("""COMPUTED_VALUE"""),"Chó")</f>
        <v>Chó</v>
      </c>
      <c r="E3290" s="119" t="str">
        <f>IFERROR(__xludf.DUMMYFUNCTION("""COMPUTED_VALUE"""),"Pom")</f>
        <v>Pom</v>
      </c>
    </row>
    <row r="3291" ht="15.75" customHeight="1">
      <c r="A3291" s="122" t="str">
        <f>IFERROR(__xludf.DUMMYFUNCTION("""COMPUTED_VALUE"""),"0357 877 239")</f>
        <v>0357 877 239</v>
      </c>
      <c r="B3291" s="119" t="str">
        <f>IFERROR(__xludf.DUMMYFUNCTION("""COMPUTED_VALUE"""),"Chị Liên")</f>
        <v>Chị Liên</v>
      </c>
      <c r="C3291" s="119" t="str">
        <f>IFERROR(__xludf.DUMMYFUNCTION("""COMPUTED_VALUE"""),"Xóm 11 Vương Thế Nam")</f>
        <v>Xóm 11 Vương Thế Nam</v>
      </c>
      <c r="D3291" s="119" t="str">
        <f>IFERROR(__xludf.DUMMYFUNCTION("""COMPUTED_VALUE"""),"Chó")</f>
        <v>Chó</v>
      </c>
      <c r="E3291" s="119" t="str">
        <f>IFERROR(__xludf.DUMMYFUNCTION("""COMPUTED_VALUE"""),"  ")</f>
        <v>  </v>
      </c>
    </row>
    <row r="3292" ht="15.75" customHeight="1">
      <c r="A3292" s="122" t="str">
        <f>IFERROR(__xludf.DUMMYFUNCTION("""COMPUTED_VALUE"""),"0942 917 127")</f>
        <v>0942 917 127</v>
      </c>
      <c r="B3292" s="119" t="str">
        <f>IFERROR(__xludf.DUMMYFUNCTION("""COMPUTED_VALUE"""),"Chị Hiền")</f>
        <v>Chị Hiền</v>
      </c>
      <c r="C3292" s="119" t="str">
        <f>IFERROR(__xludf.DUMMYFUNCTION("""COMPUTED_VALUE"""),"Hương Long")</f>
        <v>Hương Long</v>
      </c>
      <c r="D3292" s="119" t="str">
        <f>IFERROR(__xludf.DUMMYFUNCTION("""COMPUTED_VALUE"""),"Chó")</f>
        <v>Chó</v>
      </c>
      <c r="E3292" s="119" t="str">
        <f>IFERROR(__xludf.DUMMYFUNCTION("""COMPUTED_VALUE"""),"Son")</f>
        <v>Son</v>
      </c>
    </row>
    <row r="3293" ht="15.75" customHeight="1">
      <c r="A3293" s="122" t="str">
        <f>IFERROR(__xludf.DUMMYFUNCTION("""COMPUTED_VALUE"""),"0852 966 803")</f>
        <v>0852 966 803</v>
      </c>
      <c r="B3293" s="119" t="str">
        <f>IFERROR(__xludf.DUMMYFUNCTION("""COMPUTED_VALUE"""),"Em Thư")</f>
        <v>Em Thư</v>
      </c>
      <c r="C3293" s="119" t="str">
        <f>IFERROR(__xludf.DUMMYFUNCTION("""COMPUTED_VALUE"""),"2 An Ninh")</f>
        <v>2 An Ninh</v>
      </c>
      <c r="D3293" s="119" t="str">
        <f>IFERROR(__xludf.DUMMYFUNCTION("""COMPUTED_VALUE"""),"Chó")</f>
        <v>Chó</v>
      </c>
      <c r="E3293" s="119" t="str">
        <f>IFERROR(__xludf.DUMMYFUNCTION("""COMPUTED_VALUE"""),"Lu")</f>
        <v>Lu</v>
      </c>
    </row>
    <row r="3294" ht="15.75" customHeight="1">
      <c r="A3294" s="122" t="str">
        <f>IFERROR(__xludf.DUMMYFUNCTION("""COMPUTED_VALUE"""),"0799 490 075")</f>
        <v>0799 490 075</v>
      </c>
      <c r="B3294" s="119" t="str">
        <f>IFERROR(__xludf.DUMMYFUNCTION("""COMPUTED_VALUE"""),"Em Thành")</f>
        <v>Em Thành</v>
      </c>
      <c r="C3294" s="119" t="str">
        <f>IFERROR(__xludf.DUMMYFUNCTION("""COMPUTED_VALUE"""),"A 4. 29 KQh Hương Sơ")</f>
        <v>A 4. 29 KQh Hương Sơ</v>
      </c>
      <c r="D3294" s="119" t="str">
        <f>IFERROR(__xludf.DUMMYFUNCTION("""COMPUTED_VALUE"""),"Mèo")</f>
        <v>Mèo</v>
      </c>
      <c r="E3294" s="119" t="str">
        <f>IFERROR(__xludf.DUMMYFUNCTION("""COMPUTED_VALUE"""),"Bối")</f>
        <v>Bối</v>
      </c>
    </row>
    <row r="3295" ht="15.75" customHeight="1">
      <c r="A3295" s="122" t="str">
        <f>IFERROR(__xludf.DUMMYFUNCTION("""COMPUTED_VALUE"""),"0886 042 704")</f>
        <v>0886 042 704</v>
      </c>
      <c r="B3295" s="119" t="str">
        <f>IFERROR(__xludf.DUMMYFUNCTION("""COMPUTED_VALUE"""),"Anh Duy")</f>
        <v>Anh Duy</v>
      </c>
      <c r="C3295" s="119" t="str">
        <f>IFERROR(__xludf.DUMMYFUNCTION("""COMPUTED_VALUE"""),"21A Kiệt 65 Đăng Huy Trứ")</f>
        <v>21A Kiệt 65 Đăng Huy Trứ</v>
      </c>
      <c r="D3295" s="119" t="str">
        <f>IFERROR(__xludf.DUMMYFUNCTION("""COMPUTED_VALUE"""),"Mèo")</f>
        <v>Mèo</v>
      </c>
      <c r="E3295" s="119" t="str">
        <f>IFERROR(__xludf.DUMMYFUNCTION("""COMPUTED_VALUE"""),"Báo")</f>
        <v>Báo</v>
      </c>
    </row>
    <row r="3296" ht="15.75" customHeight="1">
      <c r="A3296" s="122" t="str">
        <f>IFERROR(__xludf.DUMMYFUNCTION("""COMPUTED_VALUE"""),"0918 407 576")</f>
        <v>0918 407 576</v>
      </c>
      <c r="B3296" s="119" t="str">
        <f>IFERROR(__xludf.DUMMYFUNCTION("""COMPUTED_VALUE"""),"Chị Chung")</f>
        <v>Chị Chung</v>
      </c>
      <c r="C3296" s="119" t="str">
        <f>IFERROR(__xludf.DUMMYFUNCTION("""COMPUTED_VALUE"""),"126 Đào Duy Anh")</f>
        <v>126 Đào Duy Anh</v>
      </c>
      <c r="D3296" s="119" t="str">
        <f>IFERROR(__xludf.DUMMYFUNCTION("""COMPUTED_VALUE"""),"chó")</f>
        <v>chó</v>
      </c>
      <c r="E3296" s="119" t="str">
        <f>IFERROR(__xludf.DUMMYFUNCTION("""COMPUTED_VALUE"""),"Gấu")</f>
        <v>Gấu</v>
      </c>
    </row>
    <row r="3297" ht="15.75" customHeight="1">
      <c r="A3297" s="122" t="str">
        <f>IFERROR(__xludf.DUMMYFUNCTION("""COMPUTED_VALUE"""),"0978 821 095")</f>
        <v>0978 821 095</v>
      </c>
      <c r="B3297" s="119" t="str">
        <f>IFERROR(__xludf.DUMMYFUNCTION("""COMPUTED_VALUE"""),"Anh Hưng")</f>
        <v>Anh Hưng</v>
      </c>
      <c r="C3297" s="119" t="str">
        <f>IFERROR(__xludf.DUMMYFUNCTION("""COMPUTED_VALUE"""),"k85 Nguyễn Huệ")</f>
        <v>k85 Nguyễn Huệ</v>
      </c>
      <c r="D3297" s="119" t="str">
        <f>IFERROR(__xludf.DUMMYFUNCTION("""COMPUTED_VALUE"""),"Chó")</f>
        <v>Chó</v>
      </c>
      <c r="E3297" s="119" t="str">
        <f>IFERROR(__xludf.DUMMYFUNCTION("""COMPUTED_VALUE"""),"Mèo")</f>
        <v>Mèo</v>
      </c>
    </row>
    <row r="3298" ht="15.75" customHeight="1">
      <c r="A3298" s="122" t="str">
        <f>IFERROR(__xludf.DUMMYFUNCTION("""COMPUTED_VALUE"""),"0975 058 555")</f>
        <v>0975 058 555</v>
      </c>
      <c r="B3298" s="119" t="str">
        <f>IFERROR(__xludf.DUMMYFUNCTION("""COMPUTED_VALUE"""),"Anh Đức")</f>
        <v>Anh Đức</v>
      </c>
      <c r="C3298" s="119" t="str">
        <f>IFERROR(__xludf.DUMMYFUNCTION("""COMPUTED_VALUE"""),"64 Tôn Thất Thiệp")</f>
        <v>64 Tôn Thất Thiệp</v>
      </c>
      <c r="D3298" s="119" t="str">
        <f>IFERROR(__xludf.DUMMYFUNCTION("""COMPUTED_VALUE"""),"Mèo")</f>
        <v>Mèo</v>
      </c>
      <c r="E3298" s="119" t="str">
        <f>IFERROR(__xludf.DUMMYFUNCTION("""COMPUTED_VALUE"""),"Mi")</f>
        <v>Mi</v>
      </c>
    </row>
    <row r="3299" ht="15.75" customHeight="1">
      <c r="A3299" s="122" t="str">
        <f>IFERROR(__xludf.DUMMYFUNCTION("""COMPUTED_VALUE"""),"0348 736 590")</f>
        <v>0348 736 590</v>
      </c>
      <c r="B3299" s="119" t="str">
        <f>IFERROR(__xludf.DUMMYFUNCTION("""COMPUTED_VALUE"""),"Anh Trân")</f>
        <v>Anh Trân</v>
      </c>
      <c r="C3299" s="119" t="str">
        <f>IFERROR(__xludf.DUMMYFUNCTION("""COMPUTED_VALUE"""),"1/19B Thái Thuận")</f>
        <v>1/19B Thái Thuận</v>
      </c>
      <c r="D3299" s="119" t="str">
        <f>IFERROR(__xludf.DUMMYFUNCTION("""COMPUTED_VALUE"""),"Mèo")</f>
        <v>Mèo</v>
      </c>
      <c r="E3299" s="119" t="str">
        <f>IFERROR(__xludf.DUMMYFUNCTION("""COMPUTED_VALUE"""),"Ngỗng")</f>
        <v>Ngỗng</v>
      </c>
    </row>
    <row r="3300" ht="15.75" customHeight="1">
      <c r="A3300" s="122" t="str">
        <f>IFERROR(__xludf.DUMMYFUNCTION("""COMPUTED_VALUE"""),"0827 448 028")</f>
        <v>0827 448 028</v>
      </c>
      <c r="B3300" s="119" t="str">
        <f>IFERROR(__xludf.DUMMYFUNCTION("""COMPUTED_VALUE"""),"Chị KaMay")</f>
        <v>Chị KaMay</v>
      </c>
      <c r="C3300" s="119" t="str">
        <f>IFERROR(__xludf.DUMMYFUNCTION("""COMPUTED_VALUE"""),"10b/8/8 Hồ Đắc Di")</f>
        <v>10b/8/8 Hồ Đắc Di</v>
      </c>
      <c r="D3300" s="119" t="str">
        <f>IFERROR(__xludf.DUMMYFUNCTION("""COMPUTED_VALUE"""),"Chó")</f>
        <v>Chó</v>
      </c>
      <c r="E3300" s="119" t="str">
        <f>IFERROR(__xludf.DUMMYFUNCTION("""COMPUTED_VALUE"""),"Milo")</f>
        <v>Milo</v>
      </c>
    </row>
    <row r="3301" ht="15.75" customHeight="1">
      <c r="A3301" s="122" t="str">
        <f>IFERROR(__xludf.DUMMYFUNCTION("""COMPUTED_VALUE"""),"0963 354 514")</f>
        <v>0963 354 514</v>
      </c>
      <c r="B3301" s="119"/>
      <c r="C3301" s="119" t="str">
        <f>IFERROR(__xludf.DUMMYFUNCTION("""COMPUTED_VALUE"""),"327 Lý Nam Đế")</f>
        <v>327 Lý Nam Đế</v>
      </c>
      <c r="D3301" s="119" t="str">
        <f>IFERROR(__xludf.DUMMYFUNCTION("""COMPUTED_VALUE"""),"Chó")</f>
        <v>Chó</v>
      </c>
      <c r="E3301" s="119" t="str">
        <f>IFERROR(__xludf.DUMMYFUNCTION("""COMPUTED_VALUE"""),"Vàng")</f>
        <v>Vàng</v>
      </c>
    </row>
    <row r="3302" ht="15.75" customHeight="1">
      <c r="A3302" s="122" t="str">
        <f>IFERROR(__xludf.DUMMYFUNCTION("""COMPUTED_VALUE"""),"0706 106 533")</f>
        <v>0706 106 533</v>
      </c>
      <c r="B3302" s="119" t="str">
        <f>IFERROR(__xludf.DUMMYFUNCTION("""COMPUTED_VALUE"""),"Chị Hà Châu")</f>
        <v>Chị Hà Châu</v>
      </c>
      <c r="C3302" s="119" t="str">
        <f>IFERROR(__xludf.DUMMYFUNCTION("""COMPUTED_VALUE"""),"12/5 Đặng Huy Trứ")</f>
        <v>12/5 Đặng Huy Trứ</v>
      </c>
      <c r="D3302" s="119" t="str">
        <f>IFERROR(__xludf.DUMMYFUNCTION("""COMPUTED_VALUE"""),"Chó")</f>
        <v>Chó</v>
      </c>
      <c r="E3302" s="119" t="str">
        <f>IFERROR(__xludf.DUMMYFUNCTION("""COMPUTED_VALUE"""),"Tôm")</f>
        <v>Tôm</v>
      </c>
    </row>
    <row r="3303" ht="15.75" customHeight="1">
      <c r="A3303" s="122" t="str">
        <f>IFERROR(__xludf.DUMMYFUNCTION("""COMPUTED_VALUE"""),"0768 018 745")</f>
        <v>0768 018 745</v>
      </c>
      <c r="B3303" s="119" t="str">
        <f>IFERROR(__xludf.DUMMYFUNCTION("""COMPUTED_VALUE"""),"Trà My")</f>
        <v>Trà My</v>
      </c>
      <c r="C3303" s="119" t="str">
        <f>IFERROR(__xludf.DUMMYFUNCTION("""COMPUTED_VALUE"""),"19/54 Lê Ngô Cát")</f>
        <v>19/54 Lê Ngô Cát</v>
      </c>
      <c r="D3303" s="119" t="str">
        <f>IFERROR(__xludf.DUMMYFUNCTION("""COMPUTED_VALUE"""),"Mèo")</f>
        <v>Mèo</v>
      </c>
      <c r="E3303" s="119" t="str">
        <f>IFERROR(__xludf.DUMMYFUNCTION("""COMPUTED_VALUE"""),"Nhau")</f>
        <v>Nhau</v>
      </c>
    </row>
    <row r="3304" ht="15.75" customHeight="1">
      <c r="A3304" s="122" t="str">
        <f>IFERROR(__xludf.DUMMYFUNCTION("""COMPUTED_VALUE"""),"0399 174 039")</f>
        <v>0399 174 039</v>
      </c>
      <c r="B3304" s="119" t="str">
        <f>IFERROR(__xludf.DUMMYFUNCTION("""COMPUTED_VALUE"""),"Hoàng Anh")</f>
        <v>Hoàng Anh</v>
      </c>
      <c r="C3304" s="119" t="str">
        <f>IFERROR(__xludf.DUMMYFUNCTION("""COMPUTED_VALUE"""),"kQH Bầu Vá")</f>
        <v>kQH Bầu Vá</v>
      </c>
      <c r="D3304" s="119" t="str">
        <f>IFERROR(__xludf.DUMMYFUNCTION("""COMPUTED_VALUE"""),"Mèo")</f>
        <v>Mèo</v>
      </c>
      <c r="E3304" s="119" t="str">
        <f>IFERROR(__xludf.DUMMYFUNCTION("""COMPUTED_VALUE"""),"Lem")</f>
        <v>Lem</v>
      </c>
    </row>
    <row r="3305" ht="15.75" customHeight="1">
      <c r="A3305" s="122" t="str">
        <f>IFERROR(__xludf.DUMMYFUNCTION("""COMPUTED_VALUE"""),"0706 242 091")</f>
        <v>0706 242 091</v>
      </c>
      <c r="B3305" s="119" t="str">
        <f>IFERROR(__xludf.DUMMYFUNCTION("""COMPUTED_VALUE"""),"Chị My")</f>
        <v>Chị My</v>
      </c>
      <c r="C3305" s="119" t="str">
        <f>IFERROR(__xludf.DUMMYFUNCTION("""COMPUTED_VALUE"""),"92 Nguyễn Phúc Thái")</f>
        <v>92 Nguyễn Phúc Thái</v>
      </c>
      <c r="D3305" s="119" t="str">
        <f>IFERROR(__xludf.DUMMYFUNCTION("""COMPUTED_VALUE"""),"Chó")</f>
        <v>Chó</v>
      </c>
      <c r="E3305" s="119" t="str">
        <f>IFERROR(__xludf.DUMMYFUNCTION("""COMPUTED_VALUE"""),"Milu")</f>
        <v>Milu</v>
      </c>
    </row>
    <row r="3306" ht="15.75" customHeight="1">
      <c r="A3306" s="122" t="str">
        <f>IFERROR(__xludf.DUMMYFUNCTION("""COMPUTED_VALUE"""),"096 572 256")</f>
        <v>096 572 256</v>
      </c>
      <c r="B3306" s="119" t="str">
        <f>IFERROR(__xludf.DUMMYFUNCTION("""COMPUTED_VALUE"""),"Em Trang")</f>
        <v>Em Trang</v>
      </c>
      <c r="C3306" s="119" t="str">
        <f>IFERROR(__xludf.DUMMYFUNCTION("""COMPUTED_VALUE"""),"18/15 Ngự Bình")</f>
        <v>18/15 Ngự Bình</v>
      </c>
      <c r="D3306" s="119" t="str">
        <f>IFERROR(__xludf.DUMMYFUNCTION("""COMPUTED_VALUE"""),"chó")</f>
        <v>chó</v>
      </c>
      <c r="E3306" s="119" t="str">
        <f>IFERROR(__xludf.DUMMYFUNCTION("""COMPUTED_VALUE"""),"Lít")</f>
        <v>Lít</v>
      </c>
    </row>
    <row r="3307" ht="15.75" customHeight="1">
      <c r="A3307" s="122" t="str">
        <f>IFERROR(__xludf.DUMMYFUNCTION("""COMPUTED_VALUE"""),"0379 878 652")</f>
        <v>0379 878 652</v>
      </c>
      <c r="B3307" s="119" t="str">
        <f>IFERROR(__xludf.DUMMYFUNCTION("""COMPUTED_VALUE"""),"Chị Anh Đào")</f>
        <v>Chị Anh Đào</v>
      </c>
      <c r="C3307" s="119" t="str">
        <f>IFERROR(__xludf.DUMMYFUNCTION("""COMPUTED_VALUE"""),"kiệt 5 Xuân Hoà")</f>
        <v>kiệt 5 Xuân Hoà</v>
      </c>
      <c r="D3307" s="119" t="str">
        <f>IFERROR(__xludf.DUMMYFUNCTION("""COMPUTED_VALUE"""),"mèo")</f>
        <v>mèo</v>
      </c>
      <c r="E3307" s="119" t="str">
        <f>IFERROR(__xludf.DUMMYFUNCTION("""COMPUTED_VALUE"""),"Miu")</f>
        <v>Miu</v>
      </c>
    </row>
    <row r="3308" ht="15.75" customHeight="1">
      <c r="A3308" s="122" t="str">
        <f>IFERROR(__xludf.DUMMYFUNCTION("""COMPUTED_VALUE"""),"0927 616 209")</f>
        <v>0927 616 209</v>
      </c>
      <c r="B3308" s="119" t="str">
        <f>IFERROR(__xludf.DUMMYFUNCTION("""COMPUTED_VALUE"""),"C Anh")</f>
        <v>C Anh</v>
      </c>
      <c r="C3308" s="119" t="str">
        <f>IFERROR(__xludf.DUMMYFUNCTION("""COMPUTED_VALUE"""),"43 Nguyễn Chí Diễu")</f>
        <v>43 Nguyễn Chí Diễu</v>
      </c>
      <c r="D3308" s="119" t="str">
        <f>IFERROR(__xludf.DUMMYFUNCTION("""COMPUTED_VALUE"""),"Chó")</f>
        <v>Chó</v>
      </c>
      <c r="E3308" s="119" t="str">
        <f>IFERROR(__xludf.DUMMYFUNCTION("""COMPUTED_VALUE"""),"Mập")</f>
        <v>Mập</v>
      </c>
    </row>
    <row r="3309" ht="15.75" customHeight="1">
      <c r="A3309" s="122" t="str">
        <f>IFERROR(__xludf.DUMMYFUNCTION("""COMPUTED_VALUE"""),"0769 661 742")</f>
        <v>0769 661 742</v>
      </c>
      <c r="B3309" s="119" t="str">
        <f>IFERROR(__xludf.DUMMYFUNCTION("""COMPUTED_VALUE"""),"Chị Chung")</f>
        <v>Chị Chung</v>
      </c>
      <c r="C3309" s="119" t="str">
        <f>IFERROR(__xludf.DUMMYFUNCTION("""COMPUTED_VALUE"""),"Lý Nam Đế")</f>
        <v>Lý Nam Đế</v>
      </c>
      <c r="D3309" s="119" t="str">
        <f>IFERROR(__xludf.DUMMYFUNCTION("""COMPUTED_VALUE"""),"Mèo")</f>
        <v>Mèo</v>
      </c>
      <c r="E3309" s="119"/>
    </row>
    <row r="3310" ht="15.75" customHeight="1">
      <c r="A3310" s="122" t="str">
        <f>IFERROR(__xludf.DUMMYFUNCTION("""COMPUTED_VALUE"""),"0358 314 045")</f>
        <v>0358 314 045</v>
      </c>
      <c r="B3310" s="119" t="str">
        <f>IFERROR(__xludf.DUMMYFUNCTION("""COMPUTED_VALUE"""),"Anh Thuỳ")</f>
        <v>Anh Thuỳ</v>
      </c>
      <c r="C3310" s="119" t="str">
        <f>IFERROR(__xludf.DUMMYFUNCTION("""COMPUTED_VALUE"""),"71 Huyền Trân Công Chúa")</f>
        <v>71 Huyền Trân Công Chúa</v>
      </c>
      <c r="D3310" s="119" t="str">
        <f>IFERROR(__xludf.DUMMYFUNCTION("""COMPUTED_VALUE"""),"Mèo")</f>
        <v>Mèo</v>
      </c>
      <c r="E3310" s="119" t="str">
        <f>IFERROR(__xludf.DUMMYFUNCTION("""COMPUTED_VALUE"""),"Bắp")</f>
        <v>Bắp</v>
      </c>
    </row>
    <row r="3311" ht="15.75" customHeight="1">
      <c r="A3311" s="122" t="str">
        <f>IFERROR(__xludf.DUMMYFUNCTION("""COMPUTED_VALUE"""),"0987 589 153")</f>
        <v>0987 589 153</v>
      </c>
      <c r="B3311" s="119" t="str">
        <f>IFERROR(__xludf.DUMMYFUNCTION("""COMPUTED_VALUE"""),"Anh Công")</f>
        <v>Anh Công</v>
      </c>
      <c r="C3311" s="119" t="str">
        <f>IFERROR(__xludf.DUMMYFUNCTION("""COMPUTED_VALUE"""),"92 Nguyễn Sinh Cung")</f>
        <v>92 Nguyễn Sinh Cung</v>
      </c>
      <c r="D3311" s="119" t="str">
        <f>IFERROR(__xludf.DUMMYFUNCTION("""COMPUTED_VALUE"""),"Chó")</f>
        <v>Chó</v>
      </c>
      <c r="E3311" s="119" t="str">
        <f>IFERROR(__xludf.DUMMYFUNCTION("""COMPUTED_VALUE"""),"Gấu")</f>
        <v>Gấu</v>
      </c>
    </row>
    <row r="3312" ht="15.75" customHeight="1">
      <c r="A3312" s="122" t="str">
        <f>IFERROR(__xludf.DUMMYFUNCTION("""COMPUTED_VALUE"""),"0774 431 145")</f>
        <v>0774 431 145</v>
      </c>
      <c r="B3312" s="119" t="str">
        <f>IFERROR(__xludf.DUMMYFUNCTION("""COMPUTED_VALUE"""),"Chị Thư")</f>
        <v>Chị Thư</v>
      </c>
      <c r="C3312" s="119" t="str">
        <f>IFERROR(__xludf.DUMMYFUNCTION("""COMPUTED_VALUE"""),"Đường số 3 Phú Mỹ An")</f>
        <v>Đường số 3 Phú Mỹ An</v>
      </c>
      <c r="D3312" s="119" t="str">
        <f>IFERROR(__xludf.DUMMYFUNCTION("""COMPUTED_VALUE"""),"chó")</f>
        <v>chó</v>
      </c>
      <c r="E3312" s="119" t="str">
        <f>IFERROR(__xludf.DUMMYFUNCTION("""COMPUTED_VALUE"""),"Bun")</f>
        <v>Bun</v>
      </c>
    </row>
    <row r="3313" ht="15.75" customHeight="1">
      <c r="A3313" s="122" t="str">
        <f>IFERROR(__xludf.DUMMYFUNCTION("""COMPUTED_VALUE"""),"0702 420 136")</f>
        <v>0702 420 136</v>
      </c>
      <c r="B3313" s="119" t="str">
        <f>IFERROR(__xludf.DUMMYFUNCTION("""COMPUTED_VALUE"""),"Bảo Châu")</f>
        <v>Bảo Châu</v>
      </c>
      <c r="C3313" s="119" t="str">
        <f>IFERROR(__xludf.DUMMYFUNCTION("""COMPUTED_VALUE"""),"42 Nguyễn Hữu Bang")</f>
        <v>42 Nguyễn Hữu Bang</v>
      </c>
      <c r="D3313" s="119" t="str">
        <f>IFERROR(__xludf.DUMMYFUNCTION("""COMPUTED_VALUE"""),"mèo")</f>
        <v>mèo</v>
      </c>
      <c r="E3313" s="119" t="str">
        <f>IFERROR(__xludf.DUMMYFUNCTION("""COMPUTED_VALUE"""),"Xoài")</f>
        <v>Xoài</v>
      </c>
    </row>
    <row r="3314" ht="15.75" customHeight="1">
      <c r="A3314" s="122" t="str">
        <f>IFERROR(__xludf.DUMMYFUNCTION("""COMPUTED_VALUE"""),"0961 369 646")</f>
        <v>0961 369 646</v>
      </c>
      <c r="B3314" s="119" t="str">
        <f>IFERROR(__xludf.DUMMYFUNCTION("""COMPUTED_VALUE"""),"Anh Hoà")</f>
        <v>Anh Hoà</v>
      </c>
      <c r="C3314" s="119" t="str">
        <f>IFERROR(__xludf.DUMMYFUNCTION("""COMPUTED_VALUE"""),"Phú Thượng ")</f>
        <v>Phú Thượng </v>
      </c>
      <c r="D3314" s="119" t="str">
        <f>IFERROR(__xludf.DUMMYFUNCTION("""COMPUTED_VALUE"""),"mèo")</f>
        <v>mèo</v>
      </c>
      <c r="E3314" s="119"/>
    </row>
    <row r="3315" ht="15.75" customHeight="1">
      <c r="A3315" s="122" t="str">
        <f>IFERROR(__xludf.DUMMYFUNCTION("""COMPUTED_VALUE"""),"0799 096 678")</f>
        <v>0799 096 678</v>
      </c>
      <c r="B3315" s="119" t="str">
        <f>IFERROR(__xludf.DUMMYFUNCTION("""COMPUTED_VALUE"""),"Chị Yến Nhi")</f>
        <v>Chị Yến Nhi</v>
      </c>
      <c r="C3315" s="119" t="str">
        <f>IFERROR(__xludf.DUMMYFUNCTION("""COMPUTED_VALUE"""),"29 Chu Văn An")</f>
        <v>29 Chu Văn An</v>
      </c>
      <c r="D3315" s="119" t="str">
        <f>IFERROR(__xludf.DUMMYFUNCTION("""COMPUTED_VALUE"""),"mèo")</f>
        <v>mèo</v>
      </c>
      <c r="E3315" s="119" t="str">
        <f>IFERROR(__xludf.DUMMYFUNCTION("""COMPUTED_VALUE"""),"Gấu")</f>
        <v>Gấu</v>
      </c>
    </row>
    <row r="3316" ht="15.75" customHeight="1">
      <c r="A3316" s="122" t="str">
        <f>IFERROR(__xludf.DUMMYFUNCTION("""COMPUTED_VALUE"""),"0374 720 093")</f>
        <v>0374 720 093</v>
      </c>
      <c r="B3316" s="119" t="str">
        <f>IFERROR(__xludf.DUMMYFUNCTION("""COMPUTED_VALUE"""),"Trương Thị Mỹ Như")</f>
        <v>Trương Thị Mỹ Như</v>
      </c>
      <c r="C3316" s="119" t="str">
        <f>IFERROR(__xludf.DUMMYFUNCTION("""COMPUTED_VALUE"""),"Tân Phú, Phú Gia")</f>
        <v>Tân Phú, Phú Gia</v>
      </c>
      <c r="D3316" s="119" t="str">
        <f>IFERROR(__xludf.DUMMYFUNCTION("""COMPUTED_VALUE"""),"chó")</f>
        <v>chó</v>
      </c>
      <c r="E3316" s="119" t="str">
        <f>IFERROR(__xludf.DUMMYFUNCTION("""COMPUTED_VALUE"""),"Tep")</f>
        <v>Tep</v>
      </c>
    </row>
    <row r="3317" ht="15.75" customHeight="1">
      <c r="A3317" s="122" t="str">
        <f>IFERROR(__xludf.DUMMYFUNCTION("""COMPUTED_VALUE"""),"0878 521 576")</f>
        <v>0878 521 576</v>
      </c>
      <c r="B3317" s="119" t="str">
        <f>IFERROR(__xludf.DUMMYFUNCTION("""COMPUTED_VALUE"""),"Chị Hiếu")</f>
        <v>Chị Hiếu</v>
      </c>
      <c r="C3317" s="119" t="str">
        <f>IFERROR(__xludf.DUMMYFUNCTION("""COMPUTED_VALUE"""),"306 Lý Nam Đế")</f>
        <v>306 Lý Nam Đế</v>
      </c>
      <c r="D3317" s="119" t="str">
        <f>IFERROR(__xludf.DUMMYFUNCTION("""COMPUTED_VALUE"""),"Chó")</f>
        <v>Chó</v>
      </c>
      <c r="E3317" s="119" t="str">
        <f>IFERROR(__xludf.DUMMYFUNCTION("""COMPUTED_VALUE"""),"Vàng")</f>
        <v>Vàng</v>
      </c>
    </row>
    <row r="3318" ht="15.75" customHeight="1">
      <c r="A3318" s="122" t="str">
        <f>IFERROR(__xludf.DUMMYFUNCTION("""COMPUTED_VALUE"""),"0935 055 959")</f>
        <v>0935 055 959</v>
      </c>
      <c r="B3318" s="119" t="str">
        <f>IFERROR(__xludf.DUMMYFUNCTION("""COMPUTED_VALUE"""),"Anh Minh Trí")</f>
        <v>Anh Minh Trí</v>
      </c>
      <c r="C3318" s="119" t="str">
        <f>IFERROR(__xludf.DUMMYFUNCTION("""COMPUTED_VALUE"""),"141 Minh Mạng")</f>
        <v>141 Minh Mạng</v>
      </c>
      <c r="D3318" s="119" t="str">
        <f>IFERROR(__xludf.DUMMYFUNCTION("""COMPUTED_VALUE"""),"Chó")</f>
        <v>Chó</v>
      </c>
      <c r="E3318" s="119" t="str">
        <f>IFERROR(__xludf.DUMMYFUNCTION("""COMPUTED_VALUE"""),"Sa")</f>
        <v>Sa</v>
      </c>
    </row>
    <row r="3319" ht="15.75" customHeight="1">
      <c r="A3319" s="122" t="str">
        <f>IFERROR(__xludf.DUMMYFUNCTION("""COMPUTED_VALUE"""),"0914 190 230")</f>
        <v>0914 190 230</v>
      </c>
      <c r="B3319" s="119" t="str">
        <f>IFERROR(__xludf.DUMMYFUNCTION("""COMPUTED_VALUE"""),"Chị Đào")</f>
        <v>Chị Đào</v>
      </c>
      <c r="C3319" s="119" t="str">
        <f>IFERROR(__xludf.DUMMYFUNCTION("""COMPUTED_VALUE"""),"Phú Thượng, Phú Vang")</f>
        <v>Phú Thượng, Phú Vang</v>
      </c>
      <c r="D3319" s="119" t="str">
        <f>IFERROR(__xludf.DUMMYFUNCTION("""COMPUTED_VALUE"""),"chó")</f>
        <v>chó</v>
      </c>
      <c r="E3319" s="119" t="str">
        <f>IFERROR(__xludf.DUMMYFUNCTION("""COMPUTED_VALUE"""),"Bép")</f>
        <v>Bép</v>
      </c>
    </row>
    <row r="3320" ht="15.75" customHeight="1">
      <c r="A3320" s="122" t="str">
        <f>IFERROR(__xludf.DUMMYFUNCTION("""COMPUTED_VALUE"""),"0986 304 938")</f>
        <v>0986 304 938</v>
      </c>
      <c r="B3320" s="119" t="str">
        <f>IFERROR(__xludf.DUMMYFUNCTION("""COMPUTED_VALUE"""),"Chú Thảo")</f>
        <v>Chú Thảo</v>
      </c>
      <c r="C3320" s="119" t="str">
        <f>IFERROR(__xludf.DUMMYFUNCTION("""COMPUTED_VALUE"""),"Phú Mậu")</f>
        <v>Phú Mậu</v>
      </c>
      <c r="D3320" s="119" t="str">
        <f>IFERROR(__xludf.DUMMYFUNCTION("""COMPUTED_VALUE"""),"chó")</f>
        <v>chó</v>
      </c>
      <c r="E3320" s="119" t="str">
        <f>IFERROR(__xludf.DUMMYFUNCTION("""COMPUTED_VALUE"""),"Bi")</f>
        <v>Bi</v>
      </c>
    </row>
    <row r="3321" ht="15.75" customHeight="1">
      <c r="A3321" s="122" t="str">
        <f>IFERROR(__xludf.DUMMYFUNCTION("""COMPUTED_VALUE"""),"0902 464 292")</f>
        <v>0902 464 292</v>
      </c>
      <c r="B3321" s="119" t="str">
        <f>IFERROR(__xludf.DUMMYFUNCTION("""COMPUTED_VALUE"""),"Anh Long")</f>
        <v>Anh Long</v>
      </c>
      <c r="C3321" s="119" t="str">
        <f>IFERROR(__xludf.DUMMYFUNCTION("""COMPUTED_VALUE"""),"Phú Vang")</f>
        <v>Phú Vang</v>
      </c>
      <c r="D3321" s="119" t="str">
        <f>IFERROR(__xludf.DUMMYFUNCTION("""COMPUTED_VALUE"""),"chó")</f>
        <v>chó</v>
      </c>
      <c r="E3321" s="119" t="str">
        <f>IFERROR(__xludf.DUMMYFUNCTION("""COMPUTED_VALUE"""),"Tôm")</f>
        <v>Tôm</v>
      </c>
    </row>
    <row r="3322" ht="15.75" customHeight="1">
      <c r="A3322" s="122" t="str">
        <f>IFERROR(__xludf.DUMMYFUNCTION("""COMPUTED_VALUE"""),"0763 626 919")</f>
        <v>0763 626 919</v>
      </c>
      <c r="B3322" s="119" t="str">
        <f>IFERROR(__xludf.DUMMYFUNCTION("""COMPUTED_VALUE"""),"Thảo Ty")</f>
        <v>Thảo Ty</v>
      </c>
      <c r="C3322" s="119" t="str">
        <f>IFERROR(__xludf.DUMMYFUNCTION("""COMPUTED_VALUE"""),"50 Nguyễn Sinh Cung")</f>
        <v>50 Nguyễn Sinh Cung</v>
      </c>
      <c r="D3322" s="119" t="str">
        <f>IFERROR(__xludf.DUMMYFUNCTION("""COMPUTED_VALUE"""),"mèo")</f>
        <v>mèo</v>
      </c>
      <c r="E3322" s="119"/>
    </row>
    <row r="3323" ht="15.75" customHeight="1">
      <c r="A3323" s="122" t="str">
        <f>IFERROR(__xludf.DUMMYFUNCTION("""COMPUTED_VALUE"""),"0902 762 697")</f>
        <v>0902 762 697</v>
      </c>
      <c r="B3323" s="119" t="str">
        <f>IFERROR(__xludf.DUMMYFUNCTION("""COMPUTED_VALUE"""),"Anh Nhật")</f>
        <v>Anh Nhật</v>
      </c>
      <c r="C3323" s="119" t="str">
        <f>IFERROR(__xludf.DUMMYFUNCTION("""COMPUTED_VALUE"""),"20/27 Thân Văn Nhíp")</f>
        <v>20/27 Thân Văn Nhíp</v>
      </c>
      <c r="D3323" s="119" t="str">
        <f>IFERROR(__xludf.DUMMYFUNCTION("""COMPUTED_VALUE"""),"chó")</f>
        <v>chó</v>
      </c>
      <c r="E3323" s="119" t="str">
        <f>IFERROR(__xludf.DUMMYFUNCTION("""COMPUTED_VALUE"""),"Moon")</f>
        <v>Moon</v>
      </c>
    </row>
    <row r="3324" ht="15.75" customHeight="1">
      <c r="A3324" s="122" t="str">
        <f>IFERROR(__xludf.DUMMYFUNCTION("""COMPUTED_VALUE"""),"0865 607 919")</f>
        <v>0865 607 919</v>
      </c>
      <c r="B3324" s="119" t="str">
        <f>IFERROR(__xludf.DUMMYFUNCTION("""COMPUTED_VALUE"""),"Thầy Đức")</f>
        <v>Thầy Đức</v>
      </c>
      <c r="C3324" s="119" t="str">
        <f>IFERROR(__xludf.DUMMYFUNCTION("""COMPUTED_VALUE"""),"Chùa Phước Duyên")</f>
        <v>Chùa Phước Duyên</v>
      </c>
      <c r="D3324" s="119" t="str">
        <f>IFERROR(__xludf.DUMMYFUNCTION("""COMPUTED_VALUE"""),"mèo")</f>
        <v>mèo</v>
      </c>
      <c r="E3324" s="119" t="str">
        <f>IFERROR(__xludf.DUMMYFUNCTION("""COMPUTED_VALUE"""),"Bông")</f>
        <v>Bông</v>
      </c>
    </row>
    <row r="3325" ht="15.75" customHeight="1">
      <c r="A3325" s="122" t="str">
        <f>IFERROR(__xludf.DUMMYFUNCTION("""COMPUTED_VALUE"""),"0905 802 036")</f>
        <v>0905 802 036</v>
      </c>
      <c r="B3325" s="119" t="str">
        <f>IFERROR(__xludf.DUMMYFUNCTION("""COMPUTED_VALUE"""),"anh khoa")</f>
        <v>anh khoa</v>
      </c>
      <c r="C3325" s="119" t="str">
        <f>IFERROR(__xludf.DUMMYFUNCTION("""COMPUTED_VALUE"""),"76 nguyễn lân")</f>
        <v>76 nguyễn lân</v>
      </c>
      <c r="D3325" s="119" t="str">
        <f>IFERROR(__xludf.DUMMYFUNCTION("""COMPUTED_VALUE"""),"mèo")</f>
        <v>mèo</v>
      </c>
      <c r="E3325" s="119" t="str">
        <f>IFERROR(__xludf.DUMMYFUNCTION("""COMPUTED_VALUE"""),"sóc")</f>
        <v>sóc</v>
      </c>
    </row>
    <row r="3326" ht="15.75" customHeight="1">
      <c r="A3326" s="122" t="str">
        <f>IFERROR(__xludf.DUMMYFUNCTION("""COMPUTED_VALUE"""),"0384 725 840")</f>
        <v>0384 725 840</v>
      </c>
      <c r="B3326" s="119" t="str">
        <f>IFERROR(__xludf.DUMMYFUNCTION("""COMPUTED_VALUE"""),"dương")</f>
        <v>dương</v>
      </c>
      <c r="C3326" s="119" t="str">
        <f>IFERROR(__xludf.DUMMYFUNCTION("""COMPUTED_VALUE"""),"ưng bình")</f>
        <v>ưng bình</v>
      </c>
      <c r="D3326" s="119" t="str">
        <f>IFERROR(__xludf.DUMMYFUNCTION("""COMPUTED_VALUE"""),"chó")</f>
        <v>chó</v>
      </c>
      <c r="E3326" s="119" t="str">
        <f>IFERROR(__xludf.DUMMYFUNCTION("""COMPUTED_VALUE"""),"ken")</f>
        <v>ken</v>
      </c>
    </row>
    <row r="3327" ht="15.75" customHeight="1">
      <c r="A3327" s="122" t="str">
        <f>IFERROR(__xludf.DUMMYFUNCTION("""COMPUTED_VALUE"""),"0904 480 946")</f>
        <v>0904 480 946</v>
      </c>
      <c r="B3327" s="119" t="str">
        <f>IFERROR(__xludf.DUMMYFUNCTION("""COMPUTED_VALUE"""),"chị thuỷ")</f>
        <v>chị thuỷ</v>
      </c>
      <c r="C3327" s="119" t="str">
        <f>IFERROR(__xludf.DUMMYFUNCTION("""COMPUTED_VALUE"""),"23 xóm ngọc anh")</f>
        <v>23 xóm ngọc anh</v>
      </c>
      <c r="D3327" s="119" t="str">
        <f>IFERROR(__xludf.DUMMYFUNCTION("""COMPUTED_VALUE"""),"chó")</f>
        <v>chó</v>
      </c>
      <c r="E3327" s="119" t="str">
        <f>IFERROR(__xludf.DUMMYFUNCTION("""COMPUTED_VALUE"""),"kẹo")</f>
        <v>kẹo</v>
      </c>
    </row>
    <row r="3328" ht="15.75" customHeight="1">
      <c r="A3328" s="122" t="str">
        <f>IFERROR(__xludf.DUMMYFUNCTION("""COMPUTED_VALUE"""),"0383 285 303")</f>
        <v>0383 285 303</v>
      </c>
      <c r="B3328" s="119" t="str">
        <f>IFERROR(__xludf.DUMMYFUNCTION("""COMPUTED_VALUE"""),"em quỳnh")</f>
        <v>em quỳnh</v>
      </c>
      <c r="C3328" s="119" t="str">
        <f>IFERROR(__xludf.DUMMYFUNCTION("""COMPUTED_VALUE"""),"7 cao xuân dục")</f>
        <v>7 cao xuân dục</v>
      </c>
      <c r="D3328" s="119" t="str">
        <f>IFERROR(__xludf.DUMMYFUNCTION("""COMPUTED_VALUE"""),"chó")</f>
        <v>chó</v>
      </c>
      <c r="E3328" s="119" t="str">
        <f>IFERROR(__xludf.DUMMYFUNCTION("""COMPUTED_VALUE"""),"mon")</f>
        <v>mon</v>
      </c>
    </row>
    <row r="3329" ht="15.75" customHeight="1">
      <c r="A3329" s="122" t="str">
        <f>IFERROR(__xludf.DUMMYFUNCTION("""COMPUTED_VALUE"""),"0816 755 828")</f>
        <v>0816 755 828</v>
      </c>
      <c r="B3329" s="119" t="str">
        <f>IFERROR(__xludf.DUMMYFUNCTION("""COMPUTED_VALUE"""),"Phan Thị Vân Tâm")</f>
        <v>Phan Thị Vân Tâm</v>
      </c>
      <c r="C3329" s="119" t="str">
        <f>IFERROR(__xludf.DUMMYFUNCTION("""COMPUTED_VALUE"""),"97 Tư Vinh, thuận an")</f>
        <v>97 Tư Vinh, thuận an</v>
      </c>
      <c r="D3329" s="119" t="str">
        <f>IFERROR(__xludf.DUMMYFUNCTION("""COMPUTED_VALUE"""),"mèo")</f>
        <v>mèo</v>
      </c>
      <c r="E3329" s="119" t="str">
        <f>IFERROR(__xludf.DUMMYFUNCTION("""COMPUTED_VALUE"""),"bơ")</f>
        <v>bơ</v>
      </c>
    </row>
    <row r="3330" ht="15.75" customHeight="1">
      <c r="A3330" s="122" t="str">
        <f>IFERROR(__xludf.DUMMYFUNCTION("""COMPUTED_VALUE"""),"0935 330 948")</f>
        <v>0935 330 948</v>
      </c>
      <c r="B3330" s="119" t="str">
        <f>IFERROR(__xludf.DUMMYFUNCTION("""COMPUTED_VALUE"""),"Chị Thuỷ")</f>
        <v>Chị Thuỷ</v>
      </c>
      <c r="C3330" s="119"/>
      <c r="D3330" s="119" t="str">
        <f>IFERROR(__xludf.DUMMYFUNCTION("""COMPUTED_VALUE"""),"chó")</f>
        <v>chó</v>
      </c>
      <c r="E3330" s="119"/>
    </row>
    <row r="3331" ht="15.75" customHeight="1">
      <c r="A3331" s="122" t="str">
        <f>IFERROR(__xludf.DUMMYFUNCTION("""COMPUTED_VALUE"""),"0782 465 678")</f>
        <v>0782 465 678</v>
      </c>
      <c r="B3331" s="119" t="str">
        <f>IFERROR(__xludf.DUMMYFUNCTION("""COMPUTED_VALUE"""),"Chị Phương")</f>
        <v>Chị Phương</v>
      </c>
      <c r="C3331" s="119" t="str">
        <f>IFERROR(__xludf.DUMMYFUNCTION("""COMPUTED_VALUE"""),"39/5/66 Xuân Diệu")</f>
        <v>39/5/66 Xuân Diệu</v>
      </c>
      <c r="D3331" s="119" t="str">
        <f>IFERROR(__xludf.DUMMYFUNCTION("""COMPUTED_VALUE"""),"chó")</f>
        <v>chó</v>
      </c>
      <c r="E3331" s="119" t="str">
        <f>IFERROR(__xludf.DUMMYFUNCTION("""COMPUTED_VALUE"""),"bủn")</f>
        <v>bủn</v>
      </c>
    </row>
    <row r="3332" ht="15.75" customHeight="1">
      <c r="A3332" s="122" t="str">
        <f>IFERROR(__xludf.DUMMYFUNCTION("""COMPUTED_VALUE"""),"0388 284 719")</f>
        <v>0388 284 719</v>
      </c>
      <c r="B3332" s="119" t="str">
        <f>IFERROR(__xludf.DUMMYFUNCTION("""COMPUTED_VALUE"""),"Nhi")</f>
        <v>Nhi</v>
      </c>
      <c r="C3332" s="119" t="str">
        <f>IFERROR(__xludf.DUMMYFUNCTION("""COMPUTED_VALUE"""),"Phú Lộc")</f>
        <v>Phú Lộc</v>
      </c>
      <c r="D3332" s="119" t="str">
        <f>IFERROR(__xludf.DUMMYFUNCTION("""COMPUTED_VALUE"""),"Chó")</f>
        <v>Chó</v>
      </c>
      <c r="E3332" s="119" t="str">
        <f>IFERROR(__xludf.DUMMYFUNCTION("""COMPUTED_VALUE"""),"Bông")</f>
        <v>Bông</v>
      </c>
    </row>
    <row r="3333" ht="15.75" customHeight="1">
      <c r="A3333" s="122" t="str">
        <f>IFERROR(__xludf.DUMMYFUNCTION("""COMPUTED_VALUE"""),"0384 213 299")</f>
        <v>0384 213 299</v>
      </c>
      <c r="B3333" s="119" t="str">
        <f>IFERROR(__xludf.DUMMYFUNCTION("""COMPUTED_VALUE"""),"Thích Nhật Thành")</f>
        <v>Thích Nhật Thành</v>
      </c>
      <c r="C3333" s="119" t="str">
        <f>IFERROR(__xludf.DUMMYFUNCTION("""COMPUTED_VALUE"""),"Chùa Phước Duyên")</f>
        <v>Chùa Phước Duyên</v>
      </c>
      <c r="D3333" s="119" t="str">
        <f>IFERROR(__xludf.DUMMYFUNCTION("""COMPUTED_VALUE"""),"Chó")</f>
        <v>Chó</v>
      </c>
      <c r="E3333" s="119" t="str">
        <f>IFERROR(__xludf.DUMMYFUNCTION("""COMPUTED_VALUE"""),"Bông/Báo")</f>
        <v>Bông/Báo</v>
      </c>
    </row>
    <row r="3334" ht="15.75" customHeight="1">
      <c r="A3334" s="122" t="str">
        <f>IFERROR(__xludf.DUMMYFUNCTION("""COMPUTED_VALUE"""),"0971 170 793")</f>
        <v>0971 170 793</v>
      </c>
      <c r="B3334" s="119" t="str">
        <f>IFERROR(__xludf.DUMMYFUNCTION("""COMPUTED_VALUE"""),"Anh Phong")</f>
        <v>Anh Phong</v>
      </c>
      <c r="C3334" s="119" t="str">
        <f>IFERROR(__xludf.DUMMYFUNCTION("""COMPUTED_VALUE"""),"10/18/8 Hồ Đắc Di")</f>
        <v>10/18/8 Hồ Đắc Di</v>
      </c>
      <c r="D3334" s="119" t="str">
        <f>IFERROR(__xludf.DUMMYFUNCTION("""COMPUTED_VALUE"""),"chó")</f>
        <v>chó</v>
      </c>
      <c r="E3334" s="119" t="str">
        <f>IFERROR(__xludf.DUMMYFUNCTION("""COMPUTED_VALUE"""),"Henro")</f>
        <v>Henro</v>
      </c>
    </row>
    <row r="3335" ht="15.75" customHeight="1">
      <c r="A3335" s="122" t="str">
        <f>IFERROR(__xludf.DUMMYFUNCTION("""COMPUTED_VALUE"""),"0905 853 167")</f>
        <v>0905 853 167</v>
      </c>
      <c r="B3335" s="119" t="str">
        <f>IFERROR(__xludf.DUMMYFUNCTION("""COMPUTED_VALUE"""),"Anh Thành")</f>
        <v>Anh Thành</v>
      </c>
      <c r="C3335" s="119" t="str">
        <f>IFERROR(__xludf.DUMMYFUNCTION("""COMPUTED_VALUE"""),"333 Phạm Văn Đồng")</f>
        <v>333 Phạm Văn Đồng</v>
      </c>
      <c r="D3335" s="119" t="str">
        <f>IFERROR(__xludf.DUMMYFUNCTION("""COMPUTED_VALUE"""),"Chó")</f>
        <v>Chó</v>
      </c>
      <c r="E3335" s="119"/>
    </row>
    <row r="3336" ht="15.75" customHeight="1">
      <c r="A3336" s="122" t="str">
        <f>IFERROR(__xludf.DUMMYFUNCTION("""COMPUTED_VALUE"""),"0917 559 330")</f>
        <v>0917 559 330</v>
      </c>
      <c r="B3336" s="119" t="str">
        <f>IFERROR(__xludf.DUMMYFUNCTION("""COMPUTED_VALUE"""),"Phạm Thị Thu Hiền")</f>
        <v>Phạm Thị Thu Hiền</v>
      </c>
      <c r="C3336" s="119" t="str">
        <f>IFERROR(__xludf.DUMMYFUNCTION("""COMPUTED_VALUE"""),"Tổ 10, Phú Bài")</f>
        <v>Tổ 10, Phú Bài</v>
      </c>
      <c r="D3336" s="119" t="str">
        <f>IFERROR(__xludf.DUMMYFUNCTION("""COMPUTED_VALUE"""),"chó")</f>
        <v>chó</v>
      </c>
      <c r="E3336" s="119" t="str">
        <f>IFERROR(__xludf.DUMMYFUNCTION("""COMPUTED_VALUE"""),"Tom")</f>
        <v>Tom</v>
      </c>
    </row>
    <row r="3337" ht="15.75" customHeight="1">
      <c r="A3337" s="122" t="str">
        <f>IFERROR(__xludf.DUMMYFUNCTION("""COMPUTED_VALUE"""),"0799 339 390")</f>
        <v>0799 339 390</v>
      </c>
      <c r="B3337" s="119" t="str">
        <f>IFERROR(__xludf.DUMMYFUNCTION("""COMPUTED_VALUE"""),"Anh Rôn")</f>
        <v>Anh Rôn</v>
      </c>
      <c r="C3337" s="119" t="str">
        <f>IFERROR(__xludf.DUMMYFUNCTION("""COMPUTED_VALUE"""),"Phú Thuận, Phú Vang")</f>
        <v>Phú Thuận, Phú Vang</v>
      </c>
      <c r="D3337" s="119" t="str">
        <f>IFERROR(__xludf.DUMMYFUNCTION("""COMPUTED_VALUE"""),"chó")</f>
        <v>chó</v>
      </c>
      <c r="E3337" s="119" t="str">
        <f>IFERROR(__xludf.DUMMYFUNCTION("""COMPUTED_VALUE"""),"Sóc")</f>
        <v>Sóc</v>
      </c>
    </row>
    <row r="3338" ht="15.75" customHeight="1">
      <c r="A3338" s="122" t="str">
        <f>IFERROR(__xludf.DUMMYFUNCTION("""COMPUTED_VALUE"""),"0792 140 669")</f>
        <v>0792 140 669</v>
      </c>
      <c r="B3338" s="119" t="str">
        <f>IFERROR(__xludf.DUMMYFUNCTION("""COMPUTED_VALUE"""),"Yuto Sasaki")</f>
        <v>Yuto Sasaki</v>
      </c>
      <c r="C3338" s="119" t="str">
        <f>IFERROR(__xludf.DUMMYFUNCTION("""COMPUTED_VALUE"""),"KQH Xuân Phú")</f>
        <v>KQH Xuân Phú</v>
      </c>
      <c r="D3338" s="119" t="str">
        <f>IFERROR(__xludf.DUMMYFUNCTION("""COMPUTED_VALUE"""),"mèo")</f>
        <v>mèo</v>
      </c>
      <c r="E3338" s="119" t="str">
        <f>IFERROR(__xludf.DUMMYFUNCTION("""COMPUTED_VALUE"""),"Jiji")</f>
        <v>Jiji</v>
      </c>
    </row>
    <row r="3339" ht="15.75" customHeight="1">
      <c r="A3339" s="122" t="str">
        <f>IFERROR(__xludf.DUMMYFUNCTION("""COMPUTED_VALUE"""),"0896 218 886")</f>
        <v>0896 218 886</v>
      </c>
      <c r="B3339" s="119" t="str">
        <f>IFERROR(__xludf.DUMMYFUNCTION("""COMPUTED_VALUE"""),"Anh Phú")</f>
        <v>Anh Phú</v>
      </c>
      <c r="C3339" s="119" t="str">
        <f>IFERROR(__xludf.DUMMYFUNCTION("""COMPUTED_VALUE"""),"168 Ngự Bình")</f>
        <v>168 Ngự Bình</v>
      </c>
      <c r="D3339" s="119" t="str">
        <f>IFERROR(__xludf.DUMMYFUNCTION("""COMPUTED_VALUE"""),"Chó")</f>
        <v>Chó</v>
      </c>
      <c r="E3339" s="119" t="str">
        <f>IFERROR(__xludf.DUMMYFUNCTION("""COMPUTED_VALUE"""),"Tiểu Bạch")</f>
        <v>Tiểu Bạch</v>
      </c>
    </row>
    <row r="3340" ht="15.75" customHeight="1">
      <c r="A3340" s="122" t="str">
        <f>IFERROR(__xludf.DUMMYFUNCTION("""COMPUTED_VALUE"""),"0789 890 428")</f>
        <v>0789 890 428</v>
      </c>
      <c r="B3340" s="119" t="str">
        <f>IFERROR(__xludf.DUMMYFUNCTION("""COMPUTED_VALUE"""),"Anh Phúc")</f>
        <v>Anh Phúc</v>
      </c>
      <c r="C3340" s="119" t="str">
        <f>IFERROR(__xludf.DUMMYFUNCTION("""COMPUTED_VALUE"""),"k72 Minh Mạng")</f>
        <v>k72 Minh Mạng</v>
      </c>
      <c r="D3340" s="119" t="str">
        <f>IFERROR(__xludf.DUMMYFUNCTION("""COMPUTED_VALUE"""),"chó")</f>
        <v>chó</v>
      </c>
      <c r="E3340" s="119" t="str">
        <f>IFERROR(__xludf.DUMMYFUNCTION("""COMPUTED_VALUE"""),"Gấu")</f>
        <v>Gấu</v>
      </c>
    </row>
    <row r="3341" ht="15.75" customHeight="1">
      <c r="A3341" s="122" t="str">
        <f>IFERROR(__xludf.DUMMYFUNCTION("""COMPUTED_VALUE"""),"0905 188 065")</f>
        <v>0905 188 065</v>
      </c>
      <c r="B3341" s="119" t="str">
        <f>IFERROR(__xludf.DUMMYFUNCTION("""COMPUTED_VALUE"""),"Chị Phương")</f>
        <v>Chị Phương</v>
      </c>
      <c r="C3341" s="119" t="str">
        <f>IFERROR(__xludf.DUMMYFUNCTION("""COMPUTED_VALUE"""),"15/69 Phạm Thị Liên")</f>
        <v>15/69 Phạm Thị Liên</v>
      </c>
      <c r="D3341" s="119" t="str">
        <f>IFERROR(__xludf.DUMMYFUNCTION("""COMPUTED_VALUE"""),"Chó")</f>
        <v>Chó</v>
      </c>
      <c r="E3341" s="119" t="str">
        <f>IFERROR(__xludf.DUMMYFUNCTION("""COMPUTED_VALUE"""),"Top")</f>
        <v>Top</v>
      </c>
    </row>
    <row r="3342" ht="15.75" customHeight="1">
      <c r="A3342" s="122" t="str">
        <f>IFERROR(__xludf.DUMMYFUNCTION("""COMPUTED_VALUE"""),"0702 392 883")</f>
        <v>0702 392 883</v>
      </c>
      <c r="B3342" s="119" t="str">
        <f>IFERROR(__xludf.DUMMYFUNCTION("""COMPUTED_VALUE"""),"Chị Hà")</f>
        <v>Chị Hà</v>
      </c>
      <c r="C3342" s="119" t="str">
        <f>IFERROR(__xludf.DUMMYFUNCTION("""COMPUTED_VALUE"""),"Phú Thượng ")</f>
        <v>Phú Thượng </v>
      </c>
      <c r="D3342" s="119" t="str">
        <f>IFERROR(__xludf.DUMMYFUNCTION("""COMPUTED_VALUE"""),"Chó")</f>
        <v>Chó</v>
      </c>
      <c r="E3342" s="119" t="str">
        <f>IFERROR(__xludf.DUMMYFUNCTION("""COMPUTED_VALUE"""),"lala")</f>
        <v>lala</v>
      </c>
    </row>
    <row r="3343" ht="15.75" customHeight="1">
      <c r="A3343" s="122" t="str">
        <f>IFERROR(__xludf.DUMMYFUNCTION("""COMPUTED_VALUE"""),"0835 175 588")</f>
        <v>0835 175 588</v>
      </c>
      <c r="B3343" s="119" t="str">
        <f>IFERROR(__xludf.DUMMYFUNCTION("""COMPUTED_VALUE"""),"Lê Mạnh Cường")</f>
        <v>Lê Mạnh Cường</v>
      </c>
      <c r="C3343" s="119" t="str">
        <f>IFERROR(__xludf.DUMMYFUNCTION("""COMPUTED_VALUE"""),"Chế Lan Viên")</f>
        <v>Chế Lan Viên</v>
      </c>
      <c r="D3343" s="119" t="str">
        <f>IFERROR(__xludf.DUMMYFUNCTION("""COMPUTED_VALUE"""),"Mèo")</f>
        <v>Mèo</v>
      </c>
      <c r="E3343" s="119"/>
    </row>
    <row r="3344" ht="15.75" customHeight="1">
      <c r="A3344" s="122" t="str">
        <f>IFERROR(__xludf.DUMMYFUNCTION("""COMPUTED_VALUE"""),"0935 137 346")</f>
        <v>0935 137 346</v>
      </c>
      <c r="B3344" s="119" t="str">
        <f>IFERROR(__xludf.DUMMYFUNCTION("""COMPUTED_VALUE"""),"Trần Hữu Nghị")</f>
        <v>Trần Hữu Nghị</v>
      </c>
      <c r="C3344" s="119" t="str">
        <f>IFERROR(__xludf.DUMMYFUNCTION("""COMPUTED_VALUE"""),"Lựu Bảo, Hương Hồ")</f>
        <v>Lựu Bảo, Hương Hồ</v>
      </c>
      <c r="D3344" s="119" t="str">
        <f>IFERROR(__xludf.DUMMYFUNCTION("""COMPUTED_VALUE"""),"Chso")</f>
        <v>Chso</v>
      </c>
      <c r="E3344" s="119" t="str">
        <f>IFERROR(__xludf.DUMMYFUNCTION("""COMPUTED_VALUE"""),"Nâu")</f>
        <v>Nâu</v>
      </c>
    </row>
    <row r="3345" ht="15.75" customHeight="1">
      <c r="A3345" s="122" t="str">
        <f>IFERROR(__xludf.DUMMYFUNCTION("""COMPUTED_VALUE"""),"0386 515 111")</f>
        <v>0386 515 111</v>
      </c>
      <c r="B3345" s="119" t="str">
        <f>IFERROR(__xludf.DUMMYFUNCTION("""COMPUTED_VALUE"""),"Anh Xô")</f>
        <v>Anh Xô</v>
      </c>
      <c r="C3345" s="119" t="str">
        <f>IFERROR(__xludf.DUMMYFUNCTION("""COMPUTED_VALUE"""),"399 Chi Lăng")</f>
        <v>399 Chi Lăng</v>
      </c>
      <c r="D3345" s="119" t="str">
        <f>IFERROR(__xludf.DUMMYFUNCTION("""COMPUTED_VALUE"""),"Chó")</f>
        <v>Chó</v>
      </c>
      <c r="E3345" s="119" t="str">
        <f>IFERROR(__xludf.DUMMYFUNCTION("""COMPUTED_VALUE"""),"Lúa")</f>
        <v>Lúa</v>
      </c>
    </row>
    <row r="3346" ht="15.75" customHeight="1">
      <c r="A3346" s="122" t="str">
        <f>IFERROR(__xludf.DUMMYFUNCTION("""COMPUTED_VALUE"""),"0935 450 020")</f>
        <v>0935 450 020</v>
      </c>
      <c r="B3346" s="119" t="str">
        <f>IFERROR(__xludf.DUMMYFUNCTION("""COMPUTED_VALUE"""),"Anh Quang")</f>
        <v>Anh Quang</v>
      </c>
      <c r="C3346" s="119" t="str">
        <f>IFERROR(__xludf.DUMMYFUNCTION("""COMPUTED_VALUE""")," 10/27 Nguyễn Phúc Lan")</f>
        <v> 10/27 Nguyễn Phúc Lan</v>
      </c>
      <c r="D3346" s="119" t="str">
        <f>IFERROR(__xludf.DUMMYFUNCTION("""COMPUTED_VALUE"""),"Chó")</f>
        <v>Chó</v>
      </c>
      <c r="E3346" s="119" t="str">
        <f>IFERROR(__xludf.DUMMYFUNCTION("""COMPUTED_VALUE"""),"Xám")</f>
        <v>Xám</v>
      </c>
    </row>
    <row r="3347" ht="15.75" customHeight="1">
      <c r="A3347" s="122" t="str">
        <f>IFERROR(__xludf.DUMMYFUNCTION("""COMPUTED_VALUE"""),"0827 488 028")</f>
        <v>0827 488 028</v>
      </c>
      <c r="B3347" s="119" t="str">
        <f>IFERROR(__xludf.DUMMYFUNCTION("""COMPUTED_VALUE"""),"Chị Kamay")</f>
        <v>Chị Kamay</v>
      </c>
      <c r="C3347" s="119" t="str">
        <f>IFERROR(__xludf.DUMMYFUNCTION("""COMPUTED_VALUE"""),"108/8/8 Hồ Đắc Di")</f>
        <v>108/8/8 Hồ Đắc Di</v>
      </c>
      <c r="D3347" s="119" t="str">
        <f>IFERROR(__xludf.DUMMYFUNCTION("""COMPUTED_VALUE"""),"Chó")</f>
        <v>Chó</v>
      </c>
      <c r="E3347" s="119" t="str">
        <f>IFERROR(__xludf.DUMMYFUNCTION("""COMPUTED_VALUE"""),"Milo")</f>
        <v>Milo</v>
      </c>
    </row>
    <row r="3348" ht="15.75" customHeight="1">
      <c r="A3348" s="122" t="str">
        <f>IFERROR(__xludf.DUMMYFUNCTION("""COMPUTED_VALUE"""),"0774 436 800")</f>
        <v>0774 436 800</v>
      </c>
      <c r="B3348" s="119" t="str">
        <f>IFERROR(__xludf.DUMMYFUNCTION("""COMPUTED_VALUE"""),"Anh Quy")</f>
        <v>Anh Quy</v>
      </c>
      <c r="C3348" s="119" t="str">
        <f>IFERROR(__xludf.DUMMYFUNCTION("""COMPUTED_VALUE"""),"K104 Nguyễn Phúc Lan")</f>
        <v>K104 Nguyễn Phúc Lan</v>
      </c>
      <c r="D3348" s="119" t="str">
        <f>IFERROR(__xludf.DUMMYFUNCTION("""COMPUTED_VALUE"""),"Chó")</f>
        <v>Chó</v>
      </c>
      <c r="E3348" s="119"/>
    </row>
    <row r="3349" ht="15.75" customHeight="1">
      <c r="A3349" s="122" t="str">
        <f>IFERROR(__xludf.DUMMYFUNCTION("""COMPUTED_VALUE"""),"0772 417 904")</f>
        <v>0772 417 904</v>
      </c>
      <c r="B3349" s="119" t="str">
        <f>IFERROR(__xludf.DUMMYFUNCTION("""COMPUTED_VALUE"""),"Anh Trung")</f>
        <v>Anh Trung</v>
      </c>
      <c r="C3349" s="119" t="str">
        <f>IFERROR(__xludf.DUMMYFUNCTION("""COMPUTED_VALUE"""),"6/280 Phan Bội Châu")</f>
        <v>6/280 Phan Bội Châu</v>
      </c>
      <c r="D3349" s="119" t="str">
        <f>IFERROR(__xludf.DUMMYFUNCTION("""COMPUTED_VALUE"""),"Mèo")</f>
        <v>Mèo</v>
      </c>
      <c r="E3349" s="119" t="str">
        <f>IFERROR(__xludf.DUMMYFUNCTION("""COMPUTED_VALUE"""),"Nhăn")</f>
        <v>Nhăn</v>
      </c>
    </row>
    <row r="3350" ht="15.75" customHeight="1">
      <c r="A3350" s="122" t="str">
        <f>IFERROR(__xludf.DUMMYFUNCTION("""COMPUTED_VALUE"""),"0766 525 568")</f>
        <v>0766 525 568</v>
      </c>
      <c r="B3350" s="119" t="str">
        <f>IFERROR(__xludf.DUMMYFUNCTION("""COMPUTED_VALUE"""),"Anh Hưng")</f>
        <v>Anh Hưng</v>
      </c>
      <c r="C3350" s="119" t="str">
        <f>IFERROR(__xludf.DUMMYFUNCTION("""COMPUTED_VALUE"""),"5/30 Phạm Thị Liên")</f>
        <v>5/30 Phạm Thị Liên</v>
      </c>
      <c r="D3350" s="119" t="str">
        <f>IFERROR(__xludf.DUMMYFUNCTION("""COMPUTED_VALUE"""),"Mèo")</f>
        <v>Mèo</v>
      </c>
      <c r="E3350" s="119" t="str">
        <f>IFERROR(__xludf.DUMMYFUNCTION("""COMPUTED_VALUE"""),"Meo")</f>
        <v>Meo</v>
      </c>
    </row>
    <row r="3351" ht="15.75" customHeight="1">
      <c r="A3351" s="122" t="str">
        <f>IFERROR(__xludf.DUMMYFUNCTION("""COMPUTED_VALUE"""),"0971 524 477")</f>
        <v>0971 524 477</v>
      </c>
      <c r="B3351" s="119" t="str">
        <f>IFERROR(__xludf.DUMMYFUNCTION("""COMPUTED_VALUE"""),"Chị Yến")</f>
        <v>Chị Yến</v>
      </c>
      <c r="C3351" s="119" t="str">
        <f>IFERROR(__xludf.DUMMYFUNCTION("""COMPUTED_VALUE"""),"Hương Thọ")</f>
        <v>Hương Thọ</v>
      </c>
      <c r="D3351" s="119" t="str">
        <f>IFERROR(__xludf.DUMMYFUNCTION("""COMPUTED_VALUE"""),"chó")</f>
        <v>chó</v>
      </c>
      <c r="E3351" s="119" t="str">
        <f>IFERROR(__xludf.DUMMYFUNCTION("""COMPUTED_VALUE"""),"Đen")</f>
        <v>Đen</v>
      </c>
    </row>
    <row r="3352" ht="15.75" customHeight="1">
      <c r="A3352" s="122" t="str">
        <f>IFERROR(__xludf.DUMMYFUNCTION("""COMPUTED_VALUE"""),"0762 600 550")</f>
        <v>0762 600 550</v>
      </c>
      <c r="B3352" s="119" t="str">
        <f>IFERROR(__xludf.DUMMYFUNCTION("""COMPUTED_VALUE"""),"Anh Long")</f>
        <v>Anh Long</v>
      </c>
      <c r="C3352" s="119" t="str">
        <f>IFERROR(__xludf.DUMMYFUNCTION("""COMPUTED_VALUE"""),"56 Nguyễn Huệ")</f>
        <v>56 Nguyễn Huệ</v>
      </c>
      <c r="D3352" s="119" t="str">
        <f>IFERROR(__xludf.DUMMYFUNCTION("""COMPUTED_VALUE"""),"Chó")</f>
        <v>Chó</v>
      </c>
      <c r="E3352" s="119" t="str">
        <f>IFERROR(__xludf.DUMMYFUNCTION("""COMPUTED_VALUE"""),"Kin")</f>
        <v>Kin</v>
      </c>
    </row>
    <row r="3353" ht="15.75" customHeight="1">
      <c r="A3353" s="122" t="str">
        <f>IFERROR(__xludf.DUMMYFUNCTION("""COMPUTED_VALUE"""),"0786 099 596")</f>
        <v>0786 099 596</v>
      </c>
      <c r="B3353" s="119" t="str">
        <f>IFERROR(__xludf.DUMMYFUNCTION("""COMPUTED_VALUE"""),"Anh Hiếu")</f>
        <v>Anh Hiếu</v>
      </c>
      <c r="C3353" s="119" t="str">
        <f>IFERROR(__xludf.DUMMYFUNCTION("""COMPUTED_VALUE"""),"1 Hàm Nghi")</f>
        <v>1 Hàm Nghi</v>
      </c>
      <c r="D3353" s="119" t="str">
        <f>IFERROR(__xludf.DUMMYFUNCTION("""COMPUTED_VALUE"""),"mèo")</f>
        <v>mèo</v>
      </c>
      <c r="E3353" s="119" t="str">
        <f>IFERROR(__xludf.DUMMYFUNCTION("""COMPUTED_VALUE"""),"Cái")</f>
        <v>Cái</v>
      </c>
    </row>
    <row r="3354" ht="15.75" customHeight="1">
      <c r="A3354" s="122" t="str">
        <f>IFERROR(__xludf.DUMMYFUNCTION("""COMPUTED_VALUE"""),"0931 900 717")</f>
        <v>0931 900 717</v>
      </c>
      <c r="B3354" s="119" t="str">
        <f>IFERROR(__xludf.DUMMYFUNCTION("""COMPUTED_VALUE"""),"Anh Quang")</f>
        <v>Anh Quang</v>
      </c>
      <c r="C3354" s="119" t="str">
        <f>IFERROR(__xludf.DUMMYFUNCTION("""COMPUTED_VALUE"""),"44 Nguyễn Hữu Ba")</f>
        <v>44 Nguyễn Hữu Ba</v>
      </c>
      <c r="D3354" s="119" t="str">
        <f>IFERROR(__xludf.DUMMYFUNCTION("""COMPUTED_VALUE"""),"Mèo")</f>
        <v>Mèo</v>
      </c>
      <c r="E3354" s="119" t="str">
        <f>IFERROR(__xludf.DUMMYFUNCTION("""COMPUTED_VALUE"""),"Chin")</f>
        <v>Chin</v>
      </c>
    </row>
    <row r="3355" ht="15.75" customHeight="1">
      <c r="A3355" s="122" t="str">
        <f>IFERROR(__xludf.DUMMYFUNCTION("""COMPUTED_VALUE"""),"0769 586 931")</f>
        <v>0769 586 931</v>
      </c>
      <c r="B3355" s="119" t="str">
        <f>IFERROR(__xludf.DUMMYFUNCTION("""COMPUTED_VALUE"""),"Em Hoài Phúc")</f>
        <v>Em Hoài Phúc</v>
      </c>
      <c r="C3355" s="119" t="str">
        <f>IFERROR(__xludf.DUMMYFUNCTION("""COMPUTED_VALUE"""),"32 Lê Hồng Phong")</f>
        <v>32 Lê Hồng Phong</v>
      </c>
      <c r="D3355" s="119" t="str">
        <f>IFERROR(__xludf.DUMMYFUNCTION("""COMPUTED_VALUE"""),"chó")</f>
        <v>chó</v>
      </c>
      <c r="E3355" s="119" t="str">
        <f>IFERROR(__xludf.DUMMYFUNCTION("""COMPUTED_VALUE"""),"wen")</f>
        <v>wen</v>
      </c>
    </row>
    <row r="3356" ht="15.75" customHeight="1">
      <c r="A3356" s="122" t="str">
        <f>IFERROR(__xludf.DUMMYFUNCTION("""COMPUTED_VALUE"""),"0337 411 515")</f>
        <v>0337 411 515</v>
      </c>
      <c r="B3356" s="119" t="str">
        <f>IFERROR(__xludf.DUMMYFUNCTION("""COMPUTED_VALUE"""),"Chị Tâm")</f>
        <v>Chị Tâm</v>
      </c>
      <c r="C3356" s="119" t="str">
        <f>IFERROR(__xludf.DUMMYFUNCTION("""COMPUTED_VALUE"""),"28 Lâm Hoằng")</f>
        <v>28 Lâm Hoằng</v>
      </c>
      <c r="D3356" s="119" t="str">
        <f>IFERROR(__xludf.DUMMYFUNCTION("""COMPUTED_VALUE"""),"chó")</f>
        <v>chó</v>
      </c>
      <c r="E3356" s="119" t="str">
        <f>IFERROR(__xludf.DUMMYFUNCTION("""COMPUTED_VALUE"""),"Bom")</f>
        <v>Bom</v>
      </c>
    </row>
    <row r="3357" ht="15.75" customHeight="1">
      <c r="A3357" s="122" t="str">
        <f>IFERROR(__xludf.DUMMYFUNCTION("""COMPUTED_VALUE"""),"0332 888 040")</f>
        <v>0332 888 040</v>
      </c>
      <c r="B3357" s="119" t="str">
        <f>IFERROR(__xludf.DUMMYFUNCTION("""COMPUTED_VALUE"""),"Anh Tín")</f>
        <v>Anh Tín</v>
      </c>
      <c r="C3357" s="119" t="str">
        <f>IFERROR(__xludf.DUMMYFUNCTION("""COMPUTED_VALUE"""),"Thuỷ Dương, Hương Thuỷ")</f>
        <v>Thuỷ Dương, Hương Thuỷ</v>
      </c>
      <c r="D3357" s="119" t="str">
        <f>IFERROR(__xludf.DUMMYFUNCTION("""COMPUTED_VALUE"""),"mèo")</f>
        <v>mèo</v>
      </c>
      <c r="E3357" s="119" t="str">
        <f>IFERROR(__xludf.DUMMYFUNCTION("""COMPUTED_VALUE"""),"Miu")</f>
        <v>Miu</v>
      </c>
    </row>
    <row r="3358" ht="15.75" customHeight="1">
      <c r="A3358" s="122" t="str">
        <f>IFERROR(__xludf.DUMMYFUNCTION("""COMPUTED_VALUE"""),"0762 419 700")</f>
        <v>0762 419 700</v>
      </c>
      <c r="B3358" s="119" t="str">
        <f>IFERROR(__xludf.DUMMYFUNCTION("""COMPUTED_VALUE"""),"Em Hiền")</f>
        <v>Em Hiền</v>
      </c>
      <c r="C3358" s="119" t="str">
        <f>IFERROR(__xludf.DUMMYFUNCTION("""COMPUTED_VALUE"""),"Phú Thuận, Phú Vang")</f>
        <v>Phú Thuận, Phú Vang</v>
      </c>
      <c r="D3358" s="119" t="str">
        <f>IFERROR(__xludf.DUMMYFUNCTION("""COMPUTED_VALUE"""),"mèo")</f>
        <v>mèo</v>
      </c>
      <c r="E3358" s="119" t="str">
        <f>IFERROR(__xludf.DUMMYFUNCTION("""COMPUTED_VALUE"""),"Mây")</f>
        <v>Mây</v>
      </c>
    </row>
    <row r="3359" ht="15.75" customHeight="1">
      <c r="A3359" s="122" t="str">
        <f>IFERROR(__xludf.DUMMYFUNCTION("""COMPUTED_VALUE"""),"0932 513 479")</f>
        <v>0932 513 479</v>
      </c>
      <c r="B3359" s="119" t="str">
        <f>IFERROR(__xludf.DUMMYFUNCTION("""COMPUTED_VALUE"""),"Anh Trí")</f>
        <v>Anh Trí</v>
      </c>
      <c r="C3359" s="119" t="str">
        <f>IFERROR(__xludf.DUMMYFUNCTION("""COMPUTED_VALUE"""),"Phú Thượng, Phú Vang")</f>
        <v>Phú Thượng, Phú Vang</v>
      </c>
      <c r="D3359" s="119" t="str">
        <f>IFERROR(__xludf.DUMMYFUNCTION("""COMPUTED_VALUE"""),"mèo")</f>
        <v>mèo</v>
      </c>
      <c r="E3359" s="119" t="str">
        <f>IFERROR(__xludf.DUMMYFUNCTION("""COMPUTED_VALUE"""),"Min")</f>
        <v>Min</v>
      </c>
    </row>
    <row r="3360" ht="15.75" customHeight="1">
      <c r="A3360" s="122" t="str">
        <f>IFERROR(__xludf.DUMMYFUNCTION("""COMPUTED_VALUE"""),"0814 800 933")</f>
        <v>0814 800 933</v>
      </c>
      <c r="B3360" s="119" t="str">
        <f>IFERROR(__xludf.DUMMYFUNCTION("""COMPUTED_VALUE"""),"Chị Bé")</f>
        <v>Chị Bé</v>
      </c>
      <c r="C3360" s="119" t="str">
        <f>IFERROR(__xludf.DUMMYFUNCTION("""COMPUTED_VALUE"""),"6 Nguyễn Khoa Chiêm")</f>
        <v>6 Nguyễn Khoa Chiêm</v>
      </c>
      <c r="D3360" s="119" t="str">
        <f>IFERROR(__xludf.DUMMYFUNCTION("""COMPUTED_VALUE"""),"chó")</f>
        <v>chó</v>
      </c>
      <c r="E3360" s="119" t="str">
        <f>IFERROR(__xludf.DUMMYFUNCTION("""COMPUTED_VALUE"""),"Red")</f>
        <v>Red</v>
      </c>
    </row>
    <row r="3361" ht="15.75" customHeight="1">
      <c r="A3361" s="122" t="str">
        <f>IFERROR(__xludf.DUMMYFUNCTION("""COMPUTED_VALUE"""),"0947 636 074")</f>
        <v>0947 636 074</v>
      </c>
      <c r="B3361" s="119" t="str">
        <f>IFERROR(__xludf.DUMMYFUNCTION("""COMPUTED_VALUE"""),"Chị Huyền")</f>
        <v>Chị Huyền</v>
      </c>
      <c r="C3361" s="119" t="str">
        <f>IFERROR(__xludf.DUMMYFUNCTION("""COMPUTED_VALUE"""),"48c Xuân Hoà")</f>
        <v>48c Xuân Hoà</v>
      </c>
      <c r="D3361" s="119" t="str">
        <f>IFERROR(__xludf.DUMMYFUNCTION("""COMPUTED_VALUE"""),"Mèo")</f>
        <v>Mèo</v>
      </c>
      <c r="E3361" s="119" t="str">
        <f>IFERROR(__xludf.DUMMYFUNCTION("""COMPUTED_VALUE"""),"Bông")</f>
        <v>Bông</v>
      </c>
    </row>
    <row r="3362" ht="15.75" customHeight="1">
      <c r="A3362" s="122" t="str">
        <f>IFERROR(__xludf.DUMMYFUNCTION("""COMPUTED_VALUE"""),"0787 781 031")</f>
        <v>0787 781 031</v>
      </c>
      <c r="B3362" s="119" t="str">
        <f>IFERROR(__xludf.DUMMYFUNCTION("""COMPUTED_VALUE"""),"Dì Ánh")</f>
        <v>Dì Ánh</v>
      </c>
      <c r="C3362" s="119" t="str">
        <f>IFERROR(__xludf.DUMMYFUNCTION("""COMPUTED_VALUE"""),"30 xóm 2 Lại Thế")</f>
        <v>30 xóm 2 Lại Thế</v>
      </c>
      <c r="D3362" s="119" t="str">
        <f>IFERROR(__xludf.DUMMYFUNCTION("""COMPUTED_VALUE"""),"Chó")</f>
        <v>Chó</v>
      </c>
      <c r="E3362" s="119" t="str">
        <f>IFERROR(__xludf.DUMMYFUNCTION("""COMPUTED_VALUE"""),"Bò sữa")</f>
        <v>Bò sữa</v>
      </c>
    </row>
    <row r="3363" ht="15.75" customHeight="1">
      <c r="A3363" s="122" t="str">
        <f>IFERROR(__xludf.DUMMYFUNCTION("""COMPUTED_VALUE"""),"0835 131 152")</f>
        <v>0835 131 152</v>
      </c>
      <c r="B3363" s="119" t="str">
        <f>IFERROR(__xludf.DUMMYFUNCTION("""COMPUTED_VALUE"""),"Chị Thuỳ")</f>
        <v>Chị Thuỳ</v>
      </c>
      <c r="C3363" s="119" t="str">
        <f>IFERROR(__xludf.DUMMYFUNCTION("""COMPUTED_VALUE"""),"2/2/11 Nguyễn Phúc Lan")</f>
        <v>2/2/11 Nguyễn Phúc Lan</v>
      </c>
      <c r="D3363" s="119" t="str">
        <f>IFERROR(__xludf.DUMMYFUNCTION("""COMPUTED_VALUE"""),"Chó")</f>
        <v>Chó</v>
      </c>
      <c r="E3363" s="119" t="str">
        <f>IFERROR(__xludf.DUMMYFUNCTION("""COMPUTED_VALUE"""),"Gấu")</f>
        <v>Gấu</v>
      </c>
    </row>
    <row r="3364" ht="15.75" customHeight="1">
      <c r="A3364" s="122" t="str">
        <f>IFERROR(__xludf.DUMMYFUNCTION("""COMPUTED_VALUE"""),"0384 229 881")</f>
        <v>0384 229 881</v>
      </c>
      <c r="B3364" s="119" t="str">
        <f>IFERROR(__xludf.DUMMYFUNCTION("""COMPUTED_VALUE"""),"Em yến")</f>
        <v>Em yến</v>
      </c>
      <c r="C3364" s="119" t="str">
        <f>IFERROR(__xludf.DUMMYFUNCTION("""COMPUTED_VALUE"""),"13/230 Bùi Thị Xuân")</f>
        <v>13/230 Bùi Thị Xuân</v>
      </c>
      <c r="D3364" s="119" t="str">
        <f>IFERROR(__xludf.DUMMYFUNCTION("""COMPUTED_VALUE"""),"Chó")</f>
        <v>Chó</v>
      </c>
      <c r="E3364" s="119" t="str">
        <f>IFERROR(__xludf.DUMMYFUNCTION("""COMPUTED_VALUE"""),"Gạo")</f>
        <v>Gạo</v>
      </c>
    </row>
    <row r="3365" ht="15.75" customHeight="1">
      <c r="A3365" s="122" t="str">
        <f>IFERROR(__xludf.DUMMYFUNCTION("""COMPUTED_VALUE"""),"0931 852 815")</f>
        <v>0931 852 815</v>
      </c>
      <c r="B3365" s="119" t="str">
        <f>IFERROR(__xludf.DUMMYFUNCTION("""COMPUTED_VALUE"""),"Võ Doãn Chí")</f>
        <v>Võ Doãn Chí</v>
      </c>
      <c r="C3365" s="119" t="str">
        <f>IFERROR(__xludf.DUMMYFUNCTION("""COMPUTED_VALUE"""),"141 Lê Huân")</f>
        <v>141 Lê Huân</v>
      </c>
      <c r="D3365" s="119" t="str">
        <f>IFERROR(__xludf.DUMMYFUNCTION("""COMPUTED_VALUE"""),"mèo")</f>
        <v>mèo</v>
      </c>
      <c r="E3365" s="119" t="str">
        <f>IFERROR(__xludf.DUMMYFUNCTION("""COMPUTED_VALUE"""),"Sữa")</f>
        <v>Sữa</v>
      </c>
    </row>
    <row r="3366" ht="15.75" customHeight="1">
      <c r="A3366" s="122" t="str">
        <f>IFERROR(__xludf.DUMMYFUNCTION("""COMPUTED_VALUE"""),"0812 593 481")</f>
        <v>0812 593 481</v>
      </c>
      <c r="B3366" s="119" t="str">
        <f>IFERROR(__xludf.DUMMYFUNCTION("""COMPUTED_VALUE"""),"Chị Hương")</f>
        <v>Chị Hương</v>
      </c>
      <c r="C3366" s="119" t="str">
        <f>IFERROR(__xludf.DUMMYFUNCTION("""COMPUTED_VALUE"""),"17/91/131 Trần Phú")</f>
        <v>17/91/131 Trần Phú</v>
      </c>
      <c r="D3366" s="119" t="str">
        <f>IFERROR(__xludf.DUMMYFUNCTION("""COMPUTED_VALUE"""),"mèo")</f>
        <v>mèo</v>
      </c>
      <c r="E3366" s="119" t="str">
        <f>IFERROR(__xludf.DUMMYFUNCTION("""COMPUTED_VALUE"""),"Bông")</f>
        <v>Bông</v>
      </c>
    </row>
    <row r="3367" ht="15.75" customHeight="1">
      <c r="A3367" s="122" t="str">
        <f>IFERROR(__xludf.DUMMYFUNCTION("""COMPUTED_VALUE"""),"0921 117 575")</f>
        <v>0921 117 575</v>
      </c>
      <c r="B3367" s="119" t="str">
        <f>IFERROR(__xludf.DUMMYFUNCTION("""COMPUTED_VALUE"""),"Anh Hoá")</f>
        <v>Anh Hoá</v>
      </c>
      <c r="C3367" s="119" t="str">
        <f>IFERROR(__xludf.DUMMYFUNCTION("""COMPUTED_VALUE"""),"36/1 Phạm Tôn")</f>
        <v>36/1 Phạm Tôn</v>
      </c>
      <c r="D3367" s="119" t="str">
        <f>IFERROR(__xludf.DUMMYFUNCTION("""COMPUTED_VALUE"""),"Mèo")</f>
        <v>Mèo</v>
      </c>
      <c r="E3367" s="119" t="str">
        <f>IFERROR(__xludf.DUMMYFUNCTION("""COMPUTED_VALUE"""),"Shin")</f>
        <v>Shin</v>
      </c>
    </row>
    <row r="3368" ht="15.75" customHeight="1">
      <c r="A3368" s="122" t="str">
        <f>IFERROR(__xludf.DUMMYFUNCTION("""COMPUTED_VALUE"""),"0766 721 252")</f>
        <v>0766 721 252</v>
      </c>
      <c r="B3368" s="119" t="str">
        <f>IFERROR(__xludf.DUMMYFUNCTION("""COMPUTED_VALUE"""),"Anh Quang")</f>
        <v>Anh Quang</v>
      </c>
      <c r="C3368" s="119" t="str">
        <f>IFERROR(__xludf.DUMMYFUNCTION("""COMPUTED_VALUE"""),"95/6 Vạn Xuân")</f>
        <v>95/6 Vạn Xuân</v>
      </c>
      <c r="D3368" s="119" t="str">
        <f>IFERROR(__xludf.DUMMYFUNCTION("""COMPUTED_VALUE"""),"chó")</f>
        <v>chó</v>
      </c>
      <c r="E3368" s="119" t="str">
        <f>IFERROR(__xludf.DUMMYFUNCTION("""COMPUTED_VALUE"""),"Vàng")</f>
        <v>Vàng</v>
      </c>
    </row>
    <row r="3369" ht="15.75" customHeight="1">
      <c r="A3369" s="122" t="str">
        <f>IFERROR(__xludf.DUMMYFUNCTION("""COMPUTED_VALUE"""),"0788 643 720")</f>
        <v>0788 643 720</v>
      </c>
      <c r="B3369" s="119" t="str">
        <f>IFERROR(__xludf.DUMMYFUNCTION("""COMPUTED_VALUE"""),"Chị Bê")</f>
        <v>Chị Bê</v>
      </c>
      <c r="C3369" s="119" t="str">
        <f>IFERROR(__xludf.DUMMYFUNCTION("""COMPUTED_VALUE"""),"Chợ Nọ")</f>
        <v>Chợ Nọ</v>
      </c>
      <c r="D3369" s="119" t="str">
        <f>IFERROR(__xludf.DUMMYFUNCTION("""COMPUTED_VALUE"""),"chó")</f>
        <v>chó</v>
      </c>
      <c r="E3369" s="119" t="str">
        <f>IFERROR(__xludf.DUMMYFUNCTION("""COMPUTED_VALUE"""),"Bô")</f>
        <v>Bô</v>
      </c>
    </row>
    <row r="3370" ht="15.75" customHeight="1">
      <c r="A3370" s="122" t="str">
        <f>IFERROR(__xludf.DUMMYFUNCTION("""COMPUTED_VALUE"""),"0901 528 407")</f>
        <v>0901 528 407</v>
      </c>
      <c r="B3370" s="119" t="str">
        <f>IFERROR(__xludf.DUMMYFUNCTION("""COMPUTED_VALUE"""),"Em Đạt")</f>
        <v>Em Đạt</v>
      </c>
      <c r="C3370" s="119" t="str">
        <f>IFERROR(__xludf.DUMMYFUNCTION("""COMPUTED_VALUE"""),"19a/ k11Đặng Văn Ngữ")</f>
        <v>19a/ k11Đặng Văn Ngữ</v>
      </c>
      <c r="D3370" s="119" t="str">
        <f>IFERROR(__xludf.DUMMYFUNCTION("""COMPUTED_VALUE"""),"mèo")</f>
        <v>mèo</v>
      </c>
      <c r="E3370" s="119" t="str">
        <f>IFERROR(__xludf.DUMMYFUNCTION("""COMPUTED_VALUE"""),"Cám")</f>
        <v>Cám</v>
      </c>
    </row>
    <row r="3371" ht="15.75" customHeight="1">
      <c r="A3371" s="122" t="str">
        <f>IFERROR(__xludf.DUMMYFUNCTION("""COMPUTED_VALUE"""),"0398 070 302")</f>
        <v>0398 070 302</v>
      </c>
      <c r="B3371" s="119" t="str">
        <f>IFERROR(__xludf.DUMMYFUNCTION("""COMPUTED_VALUE"""),"Dì Diễm")</f>
        <v>Dì Diễm</v>
      </c>
      <c r="C3371" s="119" t="str">
        <f>IFERROR(__xludf.DUMMYFUNCTION("""COMPUTED_VALUE"""),"k52 Nguyễn Khoa Vy")</f>
        <v>k52 Nguyễn Khoa Vy</v>
      </c>
      <c r="D3371" s="119" t="str">
        <f>IFERROR(__xludf.DUMMYFUNCTION("""COMPUTED_VALUE"""),"chó")</f>
        <v>chó</v>
      </c>
      <c r="E3371" s="119" t="str">
        <f>IFERROR(__xludf.DUMMYFUNCTION("""COMPUTED_VALUE"""),"bô")</f>
        <v>bô</v>
      </c>
    </row>
    <row r="3372" ht="15.75" customHeight="1">
      <c r="A3372" s="122" t="str">
        <f>IFERROR(__xludf.DUMMYFUNCTION("""COMPUTED_VALUE"""),"0901 377 766")</f>
        <v>0901 377 766</v>
      </c>
      <c r="B3372" s="119" t="str">
        <f>IFERROR(__xludf.DUMMYFUNCTION("""COMPUTED_VALUE"""),"Chị Linh")</f>
        <v>Chị Linh</v>
      </c>
      <c r="C3372" s="119" t="str">
        <f>IFERROR(__xludf.DUMMYFUNCTION("""COMPUTED_VALUE"""),"1a Phạm Văn Đồng")</f>
        <v>1a Phạm Văn Đồng</v>
      </c>
      <c r="D3372" s="119" t="str">
        <f>IFERROR(__xludf.DUMMYFUNCTION("""COMPUTED_VALUE"""),"chó")</f>
        <v>chó</v>
      </c>
      <c r="E3372" s="119" t="str">
        <f>IFERROR(__xludf.DUMMYFUNCTION("""COMPUTED_VALUE"""),"Su")</f>
        <v>Su</v>
      </c>
    </row>
    <row r="3373" ht="15.75" customHeight="1">
      <c r="A3373" s="122" t="str">
        <f>IFERROR(__xludf.DUMMYFUNCTION("""COMPUTED_VALUE"""),"0826 855 433")</f>
        <v>0826 855 433</v>
      </c>
      <c r="B3373" s="119" t="str">
        <f>IFERROR(__xludf.DUMMYFUNCTION("""COMPUTED_VALUE"""),"Chị Thuỷ")</f>
        <v>Chị Thuỷ</v>
      </c>
      <c r="C3373" s="119" t="str">
        <f>IFERROR(__xludf.DUMMYFUNCTION("""COMPUTED_VALUE"""),"Xóm 7 Lại Thế")</f>
        <v>Xóm 7 Lại Thế</v>
      </c>
      <c r="D3373" s="119" t="str">
        <f>IFERROR(__xludf.DUMMYFUNCTION("""COMPUTED_VALUE"""),"chó")</f>
        <v>chó</v>
      </c>
      <c r="E3373" s="119" t="str">
        <f>IFERROR(__xludf.DUMMYFUNCTION("""COMPUTED_VALUE"""),"Nâu")</f>
        <v>Nâu</v>
      </c>
    </row>
    <row r="3374" ht="15.75" customHeight="1">
      <c r="A3374" s="122" t="str">
        <f>IFERROR(__xludf.DUMMYFUNCTION("""COMPUTED_VALUE"""),"0824 200 749")</f>
        <v>0824 200 749</v>
      </c>
      <c r="B3374" s="119" t="str">
        <f>IFERROR(__xludf.DUMMYFUNCTION("""COMPUTED_VALUE"""),"Em Ngọc Châu")</f>
        <v>Em Ngọc Châu</v>
      </c>
      <c r="C3374" s="119" t="str">
        <f>IFERROR(__xludf.DUMMYFUNCTION("""COMPUTED_VALUE"""),"1/149 Trần Phú")</f>
        <v>1/149 Trần Phú</v>
      </c>
      <c r="D3374" s="119" t="str">
        <f>IFERROR(__xludf.DUMMYFUNCTION("""COMPUTED_VALUE"""),"Mèo")</f>
        <v>Mèo</v>
      </c>
      <c r="E3374" s="119" t="str">
        <f>IFERROR(__xludf.DUMMYFUNCTION("""COMPUTED_VALUE"""),"Béo")</f>
        <v>Béo</v>
      </c>
    </row>
    <row r="3375" ht="15.75" customHeight="1">
      <c r="A3375" s="122" t="str">
        <f>IFERROR(__xludf.DUMMYFUNCTION("""COMPUTED_VALUE"""),"0384 232 015")</f>
        <v>0384 232 015</v>
      </c>
      <c r="B3375" s="119" t="str">
        <f>IFERROR(__xludf.DUMMYFUNCTION("""COMPUTED_VALUE"""),"Anh Huy")</f>
        <v>Anh Huy</v>
      </c>
      <c r="C3375" s="119" t="str">
        <f>IFERROR(__xludf.DUMMYFUNCTION("""COMPUTED_VALUE"""),"38/72 Dương Thiệu Tước")</f>
        <v>38/72 Dương Thiệu Tước</v>
      </c>
      <c r="D3375" s="119" t="str">
        <f>IFERROR(__xludf.DUMMYFUNCTION("""COMPUTED_VALUE"""),"Chó")</f>
        <v>Chó</v>
      </c>
      <c r="E3375" s="119" t="str">
        <f>IFERROR(__xludf.DUMMYFUNCTION("""COMPUTED_VALUE"""),"Bông")</f>
        <v>Bông</v>
      </c>
    </row>
    <row r="3376" ht="15.75" customHeight="1">
      <c r="A3376" s="122" t="str">
        <f>IFERROR(__xludf.DUMMYFUNCTION("""COMPUTED_VALUE"""),"0762 630 967")</f>
        <v>0762 630 967</v>
      </c>
      <c r="B3376" s="119" t="str">
        <f>IFERROR(__xludf.DUMMYFUNCTION("""COMPUTED_VALUE"""),"Em Nhung")</f>
        <v>Em Nhung</v>
      </c>
      <c r="C3376" s="119" t="str">
        <f>IFERROR(__xludf.DUMMYFUNCTION("""COMPUTED_VALUE"""),"11/27 Trần Phú")</f>
        <v>11/27 Trần Phú</v>
      </c>
      <c r="D3376" s="119" t="str">
        <f>IFERROR(__xludf.DUMMYFUNCTION("""COMPUTED_VALUE"""),"chó")</f>
        <v>chó</v>
      </c>
      <c r="E3376" s="119" t="str">
        <f>IFERROR(__xludf.DUMMYFUNCTION("""COMPUTED_VALUE"""),"Sữa")</f>
        <v>Sữa</v>
      </c>
    </row>
    <row r="3377" ht="15.75" customHeight="1">
      <c r="A3377" s="122" t="str">
        <f>IFERROR(__xludf.DUMMYFUNCTION("""COMPUTED_VALUE"""),"j")</f>
        <v>j</v>
      </c>
      <c r="B3377" s="119" t="str">
        <f>IFERROR(__xludf.DUMMYFUNCTION("""COMPUTED_VALUE"""),"Anh Đại")</f>
        <v>Anh Đại</v>
      </c>
      <c r="C3377" s="119" t="str">
        <f>IFERROR(__xludf.DUMMYFUNCTION("""COMPUTED_VALUE"""),"1/73 An Ninh")</f>
        <v>1/73 An Ninh</v>
      </c>
      <c r="D3377" s="119" t="str">
        <f>IFERROR(__xludf.DUMMYFUNCTION("""COMPUTED_VALUE"""),"chó")</f>
        <v>chó</v>
      </c>
      <c r="E3377" s="119" t="str">
        <f>IFERROR(__xludf.DUMMYFUNCTION("""COMPUTED_VALUE"""),"ky")</f>
        <v>ky</v>
      </c>
    </row>
    <row r="3378" ht="15.75" customHeight="1">
      <c r="A3378" s="122" t="str">
        <f>IFERROR(__xludf.DUMMYFUNCTION("""COMPUTED_VALUE"""),"0944 007 133")</f>
        <v>0944 007 133</v>
      </c>
      <c r="B3378" s="119" t="str">
        <f>IFERROR(__xludf.DUMMYFUNCTION("""COMPUTED_VALUE"""),"Thảo Trang")</f>
        <v>Thảo Trang</v>
      </c>
      <c r="C3378" s="119" t="str">
        <f>IFERROR(__xludf.DUMMYFUNCTION("""COMPUTED_VALUE"""),"36 Thái Phiên")</f>
        <v>36 Thái Phiên</v>
      </c>
      <c r="D3378" s="119" t="str">
        <f>IFERROR(__xludf.DUMMYFUNCTION("""COMPUTED_VALUE"""),"Chó")</f>
        <v>Chó</v>
      </c>
      <c r="E3378" s="119"/>
    </row>
    <row r="3379" ht="15.75" customHeight="1">
      <c r="A3379" s="122" t="str">
        <f>IFERROR(__xludf.DUMMYFUNCTION("""COMPUTED_VALUE"""),"0934 991 773")</f>
        <v>0934 991 773</v>
      </c>
      <c r="B3379" s="119" t="str">
        <f>IFERROR(__xludf.DUMMYFUNCTION("""COMPUTED_VALUE"""),"Chị Hiền")</f>
        <v>Chị Hiền</v>
      </c>
      <c r="C3379" s="119" t="str">
        <f>IFERROR(__xludf.DUMMYFUNCTION("""COMPUTED_VALUE"""),"số 8 xóm 5 Lại Thé")</f>
        <v>số 8 xóm 5 Lại Thé</v>
      </c>
      <c r="D3379" s="119" t="str">
        <f>IFERROR(__xludf.DUMMYFUNCTION("""COMPUTED_VALUE"""),"chó")</f>
        <v>chó</v>
      </c>
      <c r="E3379" s="119" t="str">
        <f>IFERROR(__xludf.DUMMYFUNCTION("""COMPUTED_VALUE"""),"Ky")</f>
        <v>Ky</v>
      </c>
    </row>
    <row r="3380" ht="15.75" customHeight="1">
      <c r="A3380" s="122" t="str">
        <f>IFERROR(__xludf.DUMMYFUNCTION("""COMPUTED_VALUE"""),"0934 700 169")</f>
        <v>0934 700 169</v>
      </c>
      <c r="B3380" s="119"/>
      <c r="C3380" s="119" t="str">
        <f>IFERROR(__xludf.DUMMYFUNCTION("""COMPUTED_VALUE"""),"323 Nguyễn sinh Cung")</f>
        <v>323 Nguyễn sinh Cung</v>
      </c>
      <c r="D3380" s="119" t="str">
        <f>IFERROR(__xludf.DUMMYFUNCTION("""COMPUTED_VALUE"""),"chó")</f>
        <v>chó</v>
      </c>
      <c r="E3380" s="119"/>
    </row>
    <row r="3381" ht="15.75" customHeight="1">
      <c r="A3381" s="122" t="str">
        <f>IFERROR(__xludf.DUMMYFUNCTION("""COMPUTED_VALUE"""),"0793 183 821")</f>
        <v>0793 183 821</v>
      </c>
      <c r="B3381" s="119" t="str">
        <f>IFERROR(__xludf.DUMMYFUNCTION("""COMPUTED_VALUE"""),"Anh Tuấn Anh")</f>
        <v>Anh Tuấn Anh</v>
      </c>
      <c r="C3381" s="119" t="str">
        <f>IFERROR(__xludf.DUMMYFUNCTION("""COMPUTED_VALUE"""),"34/42 Nguyễn Công Trứ")</f>
        <v>34/42 Nguyễn Công Trứ</v>
      </c>
      <c r="D3381" s="119" t="str">
        <f>IFERROR(__xludf.DUMMYFUNCTION("""COMPUTED_VALUE"""),"Chó")</f>
        <v>Chó</v>
      </c>
      <c r="E3381" s="119"/>
    </row>
    <row r="3382" ht="15.75" customHeight="1">
      <c r="A3382" s="122" t="str">
        <f>IFERROR(__xludf.DUMMYFUNCTION("""COMPUTED_VALUE"""),"0905 509 606")</f>
        <v>0905 509 606</v>
      </c>
      <c r="B3382" s="119" t="str">
        <f>IFERROR(__xludf.DUMMYFUNCTION("""COMPUTED_VALUE"""),"Anh Thành")</f>
        <v>Anh Thành</v>
      </c>
      <c r="C3382" s="119" t="str">
        <f>IFERROR(__xludf.DUMMYFUNCTION("""COMPUTED_VALUE"""),"Quốc lộ 49")</f>
        <v>Quốc lộ 49</v>
      </c>
      <c r="D3382" s="119" t="str">
        <f>IFERROR(__xludf.DUMMYFUNCTION("""COMPUTED_VALUE"""),"Mèo")</f>
        <v>Mèo</v>
      </c>
      <c r="E3382" s="119" t="str">
        <f>IFERROR(__xludf.DUMMYFUNCTION("""COMPUTED_VALUE"""),"Mèo")</f>
        <v>Mèo</v>
      </c>
    </row>
    <row r="3383" ht="15.75" customHeight="1">
      <c r="A3383" s="122" t="str">
        <f>IFERROR(__xludf.DUMMYFUNCTION("""COMPUTED_VALUE"""),"0766 560 607")</f>
        <v>0766 560 607</v>
      </c>
      <c r="B3383" s="119" t="str">
        <f>IFERROR(__xludf.DUMMYFUNCTION("""COMPUTED_VALUE"""),"Hoàng Hương Giang")</f>
        <v>Hoàng Hương Giang</v>
      </c>
      <c r="C3383" s="119" t="str">
        <f>IFERROR(__xludf.DUMMYFUNCTION("""COMPUTED_VALUE"""),"72 Nguyễn Phúc Nguyên")</f>
        <v>72 Nguyễn Phúc Nguyên</v>
      </c>
      <c r="D3383" s="119" t="str">
        <f>IFERROR(__xludf.DUMMYFUNCTION("""COMPUTED_VALUE"""),"Chó")</f>
        <v>Chó</v>
      </c>
      <c r="E3383" s="119"/>
    </row>
    <row r="3384" ht="15.75" customHeight="1">
      <c r="A3384" s="122" t="str">
        <f>IFERROR(__xludf.DUMMYFUNCTION("""COMPUTED_VALUE"""),"0794 520 578")</f>
        <v>0794 520 578</v>
      </c>
      <c r="B3384" s="119" t="str">
        <f>IFERROR(__xludf.DUMMYFUNCTION("""COMPUTED_VALUE"""),"Em Quyên")</f>
        <v>Em Quyên</v>
      </c>
      <c r="C3384" s="119" t="str">
        <f>IFERROR(__xludf.DUMMYFUNCTION("""COMPUTED_VALUE"""),"43/68 Nguyễn Phúc Chu")</f>
        <v>43/68 Nguyễn Phúc Chu</v>
      </c>
      <c r="D3384" s="119" t="str">
        <f>IFERROR(__xludf.DUMMYFUNCTION("""COMPUTED_VALUE"""),"Chó")</f>
        <v>Chó</v>
      </c>
      <c r="E3384" s="119" t="str">
        <f>IFERROR(__xludf.DUMMYFUNCTION("""COMPUTED_VALUE"""),"Bơ")</f>
        <v>Bơ</v>
      </c>
    </row>
    <row r="3385" ht="15.75" customHeight="1">
      <c r="A3385" s="122" t="str">
        <f>IFERROR(__xludf.DUMMYFUNCTION("""COMPUTED_VALUE"""),"0792 351 143")</f>
        <v>0792 351 143</v>
      </c>
      <c r="B3385" s="119" t="str">
        <f>IFERROR(__xludf.DUMMYFUNCTION("""COMPUTED_VALUE"""),"Anh lít")</f>
        <v>Anh lít</v>
      </c>
      <c r="C3385" s="119" t="str">
        <f>IFERROR(__xludf.DUMMYFUNCTION("""COMPUTED_VALUE"""),"phú mậu")</f>
        <v>phú mậu</v>
      </c>
      <c r="D3385" s="119" t="str">
        <f>IFERROR(__xludf.DUMMYFUNCTION("""COMPUTED_VALUE"""),"chó")</f>
        <v>chó</v>
      </c>
      <c r="E3385" s="119" t="str">
        <f>IFERROR(__xludf.DUMMYFUNCTION("""COMPUTED_VALUE"""),"bi")</f>
        <v>bi</v>
      </c>
    </row>
    <row r="3386" ht="15.75" customHeight="1">
      <c r="A3386" s="122" t="str">
        <f>IFERROR(__xludf.DUMMYFUNCTION("""COMPUTED_VALUE"""),"0353 397 899")</f>
        <v>0353 397 899</v>
      </c>
      <c r="B3386" s="119" t="str">
        <f>IFERROR(__xludf.DUMMYFUNCTION("""COMPUTED_VALUE"""),"Anh Manh")</f>
        <v>Anh Manh</v>
      </c>
      <c r="C3386" s="119" t="str">
        <f>IFERROR(__xludf.DUMMYFUNCTION("""COMPUTED_VALUE"""),"97/131 Tran phu")</f>
        <v>97/131 Tran phu</v>
      </c>
      <c r="D3386" s="119" t="str">
        <f>IFERROR(__xludf.DUMMYFUNCTION("""COMPUTED_VALUE"""),"chó")</f>
        <v>chó</v>
      </c>
      <c r="E3386" s="119" t="str">
        <f>IFERROR(__xludf.DUMMYFUNCTION("""COMPUTED_VALUE"""),"Bun")</f>
        <v>Bun</v>
      </c>
    </row>
    <row r="3387" ht="15.75" customHeight="1">
      <c r="A3387" s="122" t="str">
        <f>IFERROR(__xludf.DUMMYFUNCTION("""COMPUTED_VALUE"""),"0762 519 830")</f>
        <v>0762 519 830</v>
      </c>
      <c r="B3387" s="119" t="str">
        <f>IFERROR(__xludf.DUMMYFUNCTION("""COMPUTED_VALUE"""),"Minh Ngoc ")</f>
        <v>Minh Ngoc </v>
      </c>
      <c r="C3387" s="119" t="str">
        <f>IFERROR(__xludf.DUMMYFUNCTION("""COMPUTED_VALUE"""),"79 Thiên Thai")</f>
        <v>79 Thiên Thai</v>
      </c>
      <c r="D3387" s="119" t="str">
        <f>IFERROR(__xludf.DUMMYFUNCTION("""COMPUTED_VALUE"""),"Mèo")</f>
        <v>Mèo</v>
      </c>
      <c r="E3387" s="119" t="str">
        <f>IFERROR(__xludf.DUMMYFUNCTION("""COMPUTED_VALUE"""),"Muc")</f>
        <v>Muc</v>
      </c>
    </row>
    <row r="3388" ht="15.75" customHeight="1">
      <c r="A3388" s="122" t="str">
        <f>IFERROR(__xludf.DUMMYFUNCTION("""COMPUTED_VALUE"""),"0935 362 796")</f>
        <v>0935 362 796</v>
      </c>
      <c r="B3388" s="119" t="str">
        <f>IFERROR(__xludf.DUMMYFUNCTION("""COMPUTED_VALUE"""),"Nguyễn Tuấn Anh")</f>
        <v>Nguyễn Tuấn Anh</v>
      </c>
      <c r="C3388" s="119" t="str">
        <f>IFERROR(__xludf.DUMMYFUNCTION("""COMPUTED_VALUE"""),"30/39 Phạm Thị Liên")</f>
        <v>30/39 Phạm Thị Liên</v>
      </c>
      <c r="D3388" s="119" t="str">
        <f>IFERROR(__xludf.DUMMYFUNCTION("""COMPUTED_VALUE"""),"chó")</f>
        <v>chó</v>
      </c>
      <c r="E3388" s="119" t="str">
        <f>IFERROR(__xludf.DUMMYFUNCTION("""COMPUTED_VALUE"""),"Vàng")</f>
        <v>Vàng</v>
      </c>
    </row>
    <row r="3389" ht="15.75" customHeight="1">
      <c r="A3389" s="122" t="str">
        <f>IFERROR(__xludf.DUMMYFUNCTION("""COMPUTED_VALUE"""),"0787 605 635")</f>
        <v>0787 605 635</v>
      </c>
      <c r="B3389" s="119" t="str">
        <f>IFERROR(__xludf.DUMMYFUNCTION("""COMPUTED_VALUE"""),"Em Hoàng")</f>
        <v>Em Hoàng</v>
      </c>
      <c r="C3389" s="119" t="str">
        <f>IFERROR(__xludf.DUMMYFUNCTION("""COMPUTED_VALUE"""),"104 Phùng Hưng")</f>
        <v>104 Phùng Hưng</v>
      </c>
      <c r="D3389" s="119" t="str">
        <f>IFERROR(__xludf.DUMMYFUNCTION("""COMPUTED_VALUE"""),"mèo")</f>
        <v>mèo</v>
      </c>
      <c r="E3389" s="119" t="str">
        <f>IFERROR(__xludf.DUMMYFUNCTION("""COMPUTED_VALUE"""),"Suri")</f>
        <v>Suri</v>
      </c>
    </row>
    <row r="3390" ht="15.75" customHeight="1">
      <c r="A3390" s="122" t="str">
        <f>IFERROR(__xludf.DUMMYFUNCTION("""COMPUTED_VALUE"""),"0965 293 217")</f>
        <v>0965 293 217</v>
      </c>
      <c r="B3390" s="119" t="str">
        <f>IFERROR(__xludf.DUMMYFUNCTION("""COMPUTED_VALUE"""),"Anh Dũng")</f>
        <v>Anh Dũng</v>
      </c>
      <c r="C3390" s="119" t="str">
        <f>IFERROR(__xludf.DUMMYFUNCTION("""COMPUTED_VALUE"""),"25 k42 Phạm Thị Liên")</f>
        <v>25 k42 Phạm Thị Liên</v>
      </c>
      <c r="D3390" s="119" t="str">
        <f>IFERROR(__xludf.DUMMYFUNCTION("""COMPUTED_VALUE"""),"chó")</f>
        <v>chó</v>
      </c>
      <c r="E3390" s="119" t="str">
        <f>IFERROR(__xludf.DUMMYFUNCTION("""COMPUTED_VALUE"""),"Nâu")</f>
        <v>Nâu</v>
      </c>
    </row>
    <row r="3391" ht="15.75" customHeight="1">
      <c r="A3391" s="122" t="str">
        <f>IFERROR(__xludf.DUMMYFUNCTION("""COMPUTED_VALUE"""),"0942 245 248")</f>
        <v>0942 245 248</v>
      </c>
      <c r="B3391" s="119" t="str">
        <f>IFERROR(__xludf.DUMMYFUNCTION("""COMPUTED_VALUE"""),"Dì Tuyết")</f>
        <v>Dì Tuyết</v>
      </c>
      <c r="C3391" s="119" t="str">
        <f>IFERROR(__xludf.DUMMYFUNCTION("""COMPUTED_VALUE"""),"300 Lý Thái tổ")</f>
        <v>300 Lý Thái tổ</v>
      </c>
      <c r="D3391" s="119" t="str">
        <f>IFERROR(__xludf.DUMMYFUNCTION("""COMPUTED_VALUE"""),"chó")</f>
        <v>chó</v>
      </c>
      <c r="E3391" s="119" t="str">
        <f>IFERROR(__xludf.DUMMYFUNCTION("""COMPUTED_VALUE"""),"Sữa")</f>
        <v>Sữa</v>
      </c>
    </row>
    <row r="3392" ht="15.75" customHeight="1">
      <c r="A3392" s="122" t="str">
        <f>IFERROR(__xludf.DUMMYFUNCTION("""COMPUTED_VALUE"""),"0987 551 042")</f>
        <v>0987 551 042</v>
      </c>
      <c r="B3392" s="119" t="str">
        <f>IFERROR(__xludf.DUMMYFUNCTION("""COMPUTED_VALUE"""),"Chị Nhỏ")</f>
        <v>Chị Nhỏ</v>
      </c>
      <c r="C3392" s="119" t="str">
        <f>IFERROR(__xludf.DUMMYFUNCTION("""COMPUTED_VALUE"""),"01 Lịch Đợi")</f>
        <v>01 Lịch Đợi</v>
      </c>
      <c r="D3392" s="119" t="str">
        <f>IFERROR(__xludf.DUMMYFUNCTION("""COMPUTED_VALUE"""),"chó")</f>
        <v>chó</v>
      </c>
      <c r="E3392" s="119" t="str">
        <f>IFERROR(__xludf.DUMMYFUNCTION("""COMPUTED_VALUE"""),"Mi")</f>
        <v>Mi</v>
      </c>
    </row>
    <row r="3393" ht="15.75" customHeight="1">
      <c r="A3393" s="122" t="str">
        <f>IFERROR(__xludf.DUMMYFUNCTION("""COMPUTED_VALUE"""),"0905 303 253")</f>
        <v>0905 303 253</v>
      </c>
      <c r="B3393" s="119" t="str">
        <f>IFERROR(__xludf.DUMMYFUNCTION("""COMPUTED_VALUE"""),"BS Thùy Vương")</f>
        <v>BS Thùy Vương</v>
      </c>
      <c r="C3393" s="119" t="str">
        <f>IFERROR(__xludf.DUMMYFUNCTION("""COMPUTED_VALUE"""),"5/299 Bùi Thị Xuân")</f>
        <v>5/299 Bùi Thị Xuân</v>
      </c>
      <c r="D3393" s="119" t="str">
        <f>IFERROR(__xludf.DUMMYFUNCTION("""COMPUTED_VALUE"""),"chó")</f>
        <v>chó</v>
      </c>
      <c r="E3393" s="119" t="str">
        <f>IFERROR(__xludf.DUMMYFUNCTION("""COMPUTED_VALUE"""),"Mi")</f>
        <v>Mi</v>
      </c>
    </row>
    <row r="3394" ht="15.75" customHeight="1">
      <c r="A3394" s="122" t="str">
        <f>IFERROR(__xludf.DUMMYFUNCTION("""COMPUTED_VALUE"""),"0328 789 931")</f>
        <v>0328 789 931</v>
      </c>
      <c r="B3394" s="119" t="str">
        <f>IFERROR(__xludf.DUMMYFUNCTION("""COMPUTED_VALUE"""),"Anh Lâm")</f>
        <v>Anh Lâm</v>
      </c>
      <c r="C3394" s="119" t="str">
        <f>IFERROR(__xludf.DUMMYFUNCTION("""COMPUTED_VALUE"""),"Phong An, Phong Điền")</f>
        <v>Phong An, Phong Điền</v>
      </c>
      <c r="D3394" s="119" t="str">
        <f>IFERROR(__xludf.DUMMYFUNCTION("""COMPUTED_VALUE"""),"chó")</f>
        <v>chó</v>
      </c>
      <c r="E3394" s="119" t="str">
        <f>IFERROR(__xludf.DUMMYFUNCTION("""COMPUTED_VALUE"""),"Hani")</f>
        <v>Hani</v>
      </c>
    </row>
    <row r="3395" ht="15.75" customHeight="1">
      <c r="A3395" s="122" t="str">
        <f>IFERROR(__xludf.DUMMYFUNCTION("""COMPUTED_VALUE"""),"0847 146 953")</f>
        <v>0847 146 953</v>
      </c>
      <c r="B3395" s="119" t="str">
        <f>IFERROR(__xludf.DUMMYFUNCTION("""COMPUTED_VALUE"""),"Anh Toàn")</f>
        <v>Anh Toàn</v>
      </c>
      <c r="C3395" s="119" t="str">
        <f>IFERROR(__xludf.DUMMYFUNCTION("""COMPUTED_VALUE"""),"15/65 Phan Bội Châu")</f>
        <v>15/65 Phan Bội Châu</v>
      </c>
      <c r="D3395" s="119" t="str">
        <f>IFERROR(__xludf.DUMMYFUNCTION("""COMPUTED_VALUE"""),"mèo")</f>
        <v>mèo</v>
      </c>
      <c r="E3395" s="119" t="str">
        <f>IFERROR(__xludf.DUMMYFUNCTION("""COMPUTED_VALUE"""),"Suny")</f>
        <v>Suny</v>
      </c>
    </row>
    <row r="3396" ht="15.75" customHeight="1">
      <c r="A3396" s="122" t="str">
        <f>IFERROR(__xludf.DUMMYFUNCTION("""COMPUTED_VALUE"""),"0901 163 304")</f>
        <v>0901 163 304</v>
      </c>
      <c r="B3396" s="119" t="str">
        <f>IFERROR(__xludf.DUMMYFUNCTION("""COMPUTED_VALUE"""),"Chú Bé")</f>
        <v>Chú Bé</v>
      </c>
      <c r="C3396" s="119" t="str">
        <f>IFERROR(__xludf.DUMMYFUNCTION("""COMPUTED_VALUE"""),"93/7 Ưng Bình")</f>
        <v>93/7 Ưng Bình</v>
      </c>
      <c r="D3396" s="119" t="str">
        <f>IFERROR(__xludf.DUMMYFUNCTION("""COMPUTED_VALUE"""),"chó")</f>
        <v>chó</v>
      </c>
      <c r="E3396" s="119" t="str">
        <f>IFERROR(__xludf.DUMMYFUNCTION("""COMPUTED_VALUE"""),"Đô")</f>
        <v>Đô</v>
      </c>
    </row>
    <row r="3397" ht="15.75" customHeight="1">
      <c r="A3397" s="122" t="str">
        <f>IFERROR(__xludf.DUMMYFUNCTION("""COMPUTED_VALUE"""),"0935 768 392")</f>
        <v>0935 768 392</v>
      </c>
      <c r="B3397" s="119" t="str">
        <f>IFERROR(__xludf.DUMMYFUNCTION("""COMPUTED_VALUE"""),"Chị Ngọc Anh")</f>
        <v>Chị Ngọc Anh</v>
      </c>
      <c r="C3397" s="119" t="str">
        <f>IFERROR(__xludf.DUMMYFUNCTION("""COMPUTED_VALUE"""),"36A/198 Phan Chu Trinh")</f>
        <v>36A/198 Phan Chu Trinh</v>
      </c>
      <c r="D3397" s="119" t="str">
        <f>IFERROR(__xludf.DUMMYFUNCTION("""COMPUTED_VALUE"""),"Mèo")</f>
        <v>Mèo</v>
      </c>
      <c r="E3397" s="119" t="str">
        <f>IFERROR(__xludf.DUMMYFUNCTION("""COMPUTED_VALUE"""),"Nimu")</f>
        <v>Nimu</v>
      </c>
    </row>
    <row r="3398" ht="15.75" customHeight="1">
      <c r="A3398" s="122" t="str">
        <f>IFERROR(__xludf.DUMMYFUNCTION("""COMPUTED_VALUE"""),"0382 434 009")</f>
        <v>0382 434 009</v>
      </c>
      <c r="B3398" s="119" t="str">
        <f>IFERROR(__xludf.DUMMYFUNCTION("""COMPUTED_VALUE"""),"Chị Ngọc")</f>
        <v>Chị Ngọc</v>
      </c>
      <c r="C3398" s="119" t="str">
        <f>IFERROR(__xludf.DUMMYFUNCTION("""COMPUTED_VALUE"""),"Hương Long")</f>
        <v>Hương Long</v>
      </c>
      <c r="D3398" s="119" t="str">
        <f>IFERROR(__xludf.DUMMYFUNCTION("""COMPUTED_VALUE"""),"chó")</f>
        <v>chó</v>
      </c>
      <c r="E3398" s="119" t="str">
        <f>IFERROR(__xludf.DUMMYFUNCTION("""COMPUTED_VALUE"""),"Milu")</f>
        <v>Milu</v>
      </c>
    </row>
    <row r="3399" ht="15.75" customHeight="1">
      <c r="A3399" s="122" t="str">
        <f>IFERROR(__xludf.DUMMYFUNCTION("""COMPUTED_VALUE"""),"0898 199 007")</f>
        <v>0898 199 007</v>
      </c>
      <c r="B3399" s="119" t="str">
        <f>IFERROR(__xludf.DUMMYFUNCTION("""COMPUTED_VALUE"""),"Anh Khánh")</f>
        <v>Anh Khánh</v>
      </c>
      <c r="C3399" s="119" t="str">
        <f>IFERROR(__xludf.DUMMYFUNCTION("""COMPUTED_VALUE"""),"81 Xuân Diệu")</f>
        <v>81 Xuân Diệu</v>
      </c>
      <c r="D3399" s="119" t="str">
        <f>IFERROR(__xludf.DUMMYFUNCTION("""COMPUTED_VALUE"""),"mèo")</f>
        <v>mèo</v>
      </c>
      <c r="E3399" s="119"/>
    </row>
    <row r="3400" ht="15.75" customHeight="1">
      <c r="A3400" s="122" t="str">
        <f>IFERROR(__xludf.DUMMYFUNCTION("""COMPUTED_VALUE"""),"0961 764 567")</f>
        <v>0961 764 567</v>
      </c>
      <c r="B3400" s="119" t="str">
        <f>IFERROR(__xludf.DUMMYFUNCTION("""COMPUTED_VALUE"""),"Phan Văn Biên")</f>
        <v>Phan Văn Biên</v>
      </c>
      <c r="C3400" s="119" t="str">
        <f>IFERROR(__xludf.DUMMYFUNCTION("""COMPUTED_VALUE"""),"7/33 Lịch Đợi")</f>
        <v>7/33 Lịch Đợi</v>
      </c>
      <c r="D3400" s="119" t="str">
        <f>IFERROR(__xludf.DUMMYFUNCTION("""COMPUTED_VALUE"""),"chó")</f>
        <v>chó</v>
      </c>
      <c r="E3400" s="119"/>
    </row>
    <row r="3401" ht="15.75" customHeight="1">
      <c r="A3401" s="122" t="str">
        <f>IFERROR(__xludf.DUMMYFUNCTION("""COMPUTED_VALUE"""),"0362 406 199")</f>
        <v>0362 406 199</v>
      </c>
      <c r="B3401" s="119" t="str">
        <f>IFERROR(__xludf.DUMMYFUNCTION("""COMPUTED_VALUE"""),"Anh Thao")</f>
        <v>Anh Thao</v>
      </c>
      <c r="C3401" s="119" t="str">
        <f>IFERROR(__xludf.DUMMYFUNCTION("""COMPUTED_VALUE"""),"Le ngo cat")</f>
        <v>Le ngo cat</v>
      </c>
      <c r="D3401" s="119" t="str">
        <f>IFERROR(__xludf.DUMMYFUNCTION("""COMPUTED_VALUE"""),"chó")</f>
        <v>chó</v>
      </c>
      <c r="E3401" s="119" t="str">
        <f>IFERROR(__xludf.DUMMYFUNCTION("""COMPUTED_VALUE"""),"Nau")</f>
        <v>Nau</v>
      </c>
    </row>
    <row r="3402" ht="15.75" customHeight="1">
      <c r="A3402" s="122" t="str">
        <f>IFERROR(__xludf.DUMMYFUNCTION("""COMPUTED_VALUE"""),"0392 091 382")</f>
        <v>0392 091 382</v>
      </c>
      <c r="B3402" s="119" t="str">
        <f>IFERROR(__xludf.DUMMYFUNCTION("""COMPUTED_VALUE"""),"Anh Bão")</f>
        <v>Anh Bão</v>
      </c>
      <c r="C3402" s="119" t="str">
        <f>IFERROR(__xludf.DUMMYFUNCTION("""COMPUTED_VALUE"""),"332 Lý Nam Đế")</f>
        <v>332 Lý Nam Đế</v>
      </c>
      <c r="D3402" s="119" t="str">
        <f>IFERROR(__xludf.DUMMYFUNCTION("""COMPUTED_VALUE"""),"Chó")</f>
        <v>Chó</v>
      </c>
      <c r="E3402" s="119" t="str">
        <f>IFERROR(__xludf.DUMMYFUNCTION("""COMPUTED_VALUE"""),"ĐÔ")</f>
        <v>ĐÔ</v>
      </c>
    </row>
    <row r="3403" ht="15.75" customHeight="1">
      <c r="A3403" s="122" t="str">
        <f>IFERROR(__xludf.DUMMYFUNCTION("""COMPUTED_VALUE"""),"0357 506 072")</f>
        <v>0357 506 072</v>
      </c>
      <c r="B3403" s="119"/>
      <c r="C3403" s="119" t="str">
        <f>IFERROR(__xludf.DUMMYFUNCTION("""COMPUTED_VALUE"""),"99 Lê Ngô Cát")</f>
        <v>99 Lê Ngô Cát</v>
      </c>
      <c r="D3403" s="119" t="str">
        <f>IFERROR(__xludf.DUMMYFUNCTION("""COMPUTED_VALUE"""),"chó")</f>
        <v>chó</v>
      </c>
      <c r="E3403" s="119"/>
    </row>
    <row r="3404" ht="15.75" customHeight="1">
      <c r="A3404" s="122" t="str">
        <f>IFERROR(__xludf.DUMMYFUNCTION("""COMPUTED_VALUE"""),"0912 528 779")</f>
        <v>0912 528 779</v>
      </c>
      <c r="B3404" s="119" t="str">
        <f>IFERROR(__xludf.DUMMYFUNCTION("""COMPUTED_VALUE"""),"Dì Nữ")</f>
        <v>Dì Nữ</v>
      </c>
      <c r="C3404" s="119" t="str">
        <f>IFERROR(__xludf.DUMMYFUNCTION("""COMPUTED_VALUE"""),"102 Bạch Đằng")</f>
        <v>102 Bạch Đằng</v>
      </c>
      <c r="D3404" s="119" t="str">
        <f>IFERROR(__xludf.DUMMYFUNCTION("""COMPUTED_VALUE"""),"Chó")</f>
        <v>Chó</v>
      </c>
      <c r="E3404" s="119"/>
    </row>
    <row r="3405" ht="15.75" customHeight="1">
      <c r="A3405" s="122" t="str">
        <f>IFERROR(__xludf.DUMMYFUNCTION("""COMPUTED_VALUE"""),"0352 656 320")</f>
        <v>0352 656 320</v>
      </c>
      <c r="B3405" s="119" t="str">
        <f>IFERROR(__xludf.DUMMYFUNCTION("""COMPUTED_VALUE"""),"Anh Tuyến")</f>
        <v>Anh Tuyến</v>
      </c>
      <c r="C3405" s="119" t="str">
        <f>IFERROR(__xludf.DUMMYFUNCTION("""COMPUTED_VALUE"""),"Long Hồ - Hương Hồ")</f>
        <v>Long Hồ - Hương Hồ</v>
      </c>
      <c r="D3405" s="119" t="str">
        <f>IFERROR(__xludf.DUMMYFUNCTION("""COMPUTED_VALUE"""),"chó")</f>
        <v>chó</v>
      </c>
      <c r="E3405" s="119" t="str">
        <f>IFERROR(__xludf.DUMMYFUNCTION("""COMPUTED_VALUE"""),"Milo")</f>
        <v>Milo</v>
      </c>
    </row>
    <row r="3406" ht="15.75" customHeight="1">
      <c r="A3406" s="122" t="str">
        <f>IFERROR(__xludf.DUMMYFUNCTION("""COMPUTED_VALUE"""),"0934 959 295")</f>
        <v>0934 959 295</v>
      </c>
      <c r="B3406" s="119" t="str">
        <f>IFERROR(__xludf.DUMMYFUNCTION("""COMPUTED_VALUE"""),"Anh Nhật")</f>
        <v>Anh Nhật</v>
      </c>
      <c r="C3406" s="119" t="str">
        <f>IFERROR(__xludf.DUMMYFUNCTION("""COMPUTED_VALUE"""),"24/10 Phạm Thị Liên")</f>
        <v>24/10 Phạm Thị Liên</v>
      </c>
      <c r="D3406" s="119" t="str">
        <f>IFERROR(__xludf.DUMMYFUNCTION("""COMPUTED_VALUE"""),"Chó")</f>
        <v>Chó</v>
      </c>
      <c r="E3406" s="119" t="str">
        <f>IFERROR(__xludf.DUMMYFUNCTION("""COMPUTED_VALUE"""),"Gô")</f>
        <v>Gô</v>
      </c>
    </row>
    <row r="3407" ht="15.75" customHeight="1">
      <c r="A3407" s="122" t="str">
        <f>IFERROR(__xludf.DUMMYFUNCTION("""COMPUTED_VALUE"""),"0898 214 527")</f>
        <v>0898 214 527</v>
      </c>
      <c r="B3407" s="119" t="str">
        <f>IFERROR(__xludf.DUMMYFUNCTION("""COMPUTED_VALUE"""),"Ngọc Quý")</f>
        <v>Ngọc Quý</v>
      </c>
      <c r="C3407" s="119" t="str">
        <f>IFERROR(__xludf.DUMMYFUNCTION("""COMPUTED_VALUE"""),"26/15 Hoàng Quốc Việt")</f>
        <v>26/15 Hoàng Quốc Việt</v>
      </c>
      <c r="D3407" s="119" t="str">
        <f>IFERROR(__xludf.DUMMYFUNCTION("""COMPUTED_VALUE"""),"chó")</f>
        <v>chó</v>
      </c>
      <c r="E3407" s="119" t="str">
        <f>IFERROR(__xludf.DUMMYFUNCTION("""COMPUTED_VALUE"""),"Chuột")</f>
        <v>Chuột</v>
      </c>
    </row>
    <row r="3408" ht="15.75" customHeight="1">
      <c r="A3408" s="122" t="str">
        <f>IFERROR(__xludf.DUMMYFUNCTION("""COMPUTED_VALUE"""),"0794 697 556")</f>
        <v>0794 697 556</v>
      </c>
      <c r="B3408" s="119" t="str">
        <f>IFERROR(__xludf.DUMMYFUNCTION("""COMPUTED_VALUE"""),"Anh Sơn")</f>
        <v>Anh Sơn</v>
      </c>
      <c r="C3408" s="119" t="str">
        <f>IFERROR(__xludf.DUMMYFUNCTION("""COMPUTED_VALUE"""),"7/11 Nguyễn Phúc Thái")</f>
        <v>7/11 Nguyễn Phúc Thái</v>
      </c>
      <c r="D3408" s="119" t="str">
        <f>IFERROR(__xludf.DUMMYFUNCTION("""COMPUTED_VALUE"""),"Chó")</f>
        <v>Chó</v>
      </c>
      <c r="E3408" s="119" t="str">
        <f>IFERROR(__xludf.DUMMYFUNCTION("""COMPUTED_VALUE"""),"Bom")</f>
        <v>Bom</v>
      </c>
    </row>
    <row r="3409" ht="15.75" customHeight="1">
      <c r="A3409" s="122" t="str">
        <f>IFERROR(__xludf.DUMMYFUNCTION("""COMPUTED_VALUE"""),"0935 564 900")</f>
        <v>0935 564 900</v>
      </c>
      <c r="B3409" s="119" t="str">
        <f>IFERROR(__xludf.DUMMYFUNCTION("""COMPUTED_VALUE"""),"Nhật Thảo")</f>
        <v>Nhật Thảo</v>
      </c>
      <c r="C3409" s="119" t="str">
        <f>IFERROR(__xludf.DUMMYFUNCTION("""COMPUTED_VALUE"""),"121 Điện Biên  Phủ")</f>
        <v>121 Điện Biên  Phủ</v>
      </c>
      <c r="D3409" s="119" t="str">
        <f>IFERROR(__xludf.DUMMYFUNCTION("""COMPUTED_VALUE"""),"Chó")</f>
        <v>Chó</v>
      </c>
      <c r="E3409" s="119"/>
    </row>
    <row r="3410" ht="15.75" customHeight="1">
      <c r="A3410" s="122" t="str">
        <f>IFERROR(__xludf.DUMMYFUNCTION("""COMPUTED_VALUE"""),"0978 938 848")</f>
        <v>0978 938 848</v>
      </c>
      <c r="B3410" s="119" t="str">
        <f>IFERROR(__xludf.DUMMYFUNCTION("""COMPUTED_VALUE"""),"Nguyễn Đắc Chức")</f>
        <v>Nguyễn Đắc Chức</v>
      </c>
      <c r="C3410" s="119" t="str">
        <f>IFERROR(__xludf.DUMMYFUNCTION("""COMPUTED_VALUE"""),"44 Hoàng Quốc Việt")</f>
        <v>44 Hoàng Quốc Việt</v>
      </c>
      <c r="D3410" s="119" t="str">
        <f>IFERROR(__xludf.DUMMYFUNCTION("""COMPUTED_VALUE"""),"Chó")</f>
        <v>Chó</v>
      </c>
      <c r="E3410" s="119" t="str">
        <f>IFERROR(__xludf.DUMMYFUNCTION("""COMPUTED_VALUE"""),"Xù")</f>
        <v>Xù</v>
      </c>
    </row>
    <row r="3411" ht="15.75" customHeight="1">
      <c r="A3411" s="122" t="str">
        <f>IFERROR(__xludf.DUMMYFUNCTION("""COMPUTED_VALUE"""),"0983 525 711")</f>
        <v>0983 525 711</v>
      </c>
      <c r="B3411" s="119" t="str">
        <f>IFERROR(__xludf.DUMMYFUNCTION("""COMPUTED_VALUE"""),"Nguyễn Văn Kiệt")</f>
        <v>Nguyễn Văn Kiệt</v>
      </c>
      <c r="C3411" s="119" t="str">
        <f>IFERROR(__xludf.DUMMYFUNCTION("""COMPUTED_VALUE"""),"Hương Hồ")</f>
        <v>Hương Hồ</v>
      </c>
      <c r="D3411" s="119" t="str">
        <f>IFERROR(__xludf.DUMMYFUNCTION("""COMPUTED_VALUE"""),"Chó")</f>
        <v>Chó</v>
      </c>
      <c r="E3411" s="119" t="str">
        <f>IFERROR(__xludf.DUMMYFUNCTION("""COMPUTED_VALUE"""),"Robot")</f>
        <v>Robot</v>
      </c>
    </row>
    <row r="3412" ht="15.75" customHeight="1">
      <c r="A3412" s="122" t="str">
        <f>IFERROR(__xludf.DUMMYFUNCTION("""COMPUTED_VALUE"""),"0816 435 552")</f>
        <v>0816 435 552</v>
      </c>
      <c r="B3412" s="119" t="str">
        <f>IFERROR(__xludf.DUMMYFUNCTION("""COMPUTED_VALUE"""),"Chị Loan")</f>
        <v>Chị Loan</v>
      </c>
      <c r="C3412" s="119" t="str">
        <f>IFERROR(__xludf.DUMMYFUNCTION("""COMPUTED_VALUE"""),"7/11 Nguyễn Phúc Thái")</f>
        <v>7/11 Nguyễn Phúc Thái</v>
      </c>
      <c r="D3412" s="119" t="str">
        <f>IFERROR(__xludf.DUMMYFUNCTION("""COMPUTED_VALUE"""),"Chó")</f>
        <v>Chó</v>
      </c>
      <c r="E3412" s="119" t="str">
        <f>IFERROR(__xludf.DUMMYFUNCTION("""COMPUTED_VALUE"""),"Bom")</f>
        <v>Bom</v>
      </c>
    </row>
    <row r="3413" ht="15.75" customHeight="1">
      <c r="A3413" s="122" t="str">
        <f>IFERROR(__xludf.DUMMYFUNCTION("""COMPUTED_VALUE"""),"0344 139 450")</f>
        <v>0344 139 450</v>
      </c>
      <c r="B3413" s="119" t="str">
        <f>IFERROR(__xludf.DUMMYFUNCTION("""COMPUTED_VALUE"""),"Em Hường")</f>
        <v>Em Hường</v>
      </c>
      <c r="C3413" s="119" t="str">
        <f>IFERROR(__xludf.DUMMYFUNCTION("""COMPUTED_VALUE"""),"29 Đặng Huy Trứ")</f>
        <v>29 Đặng Huy Trứ</v>
      </c>
      <c r="D3413" s="119" t="str">
        <f>IFERROR(__xludf.DUMMYFUNCTION("""COMPUTED_VALUE"""),"Mèo")</f>
        <v>Mèo</v>
      </c>
      <c r="E3413" s="119" t="str">
        <f>IFERROR(__xludf.DUMMYFUNCTION("""COMPUTED_VALUE"""),"Bông")</f>
        <v>Bông</v>
      </c>
    </row>
    <row r="3414" ht="15.75" customHeight="1">
      <c r="A3414" s="122" t="str">
        <f>IFERROR(__xludf.DUMMYFUNCTION("""COMPUTED_VALUE"""),"0947 461 043")</f>
        <v>0947 461 043</v>
      </c>
      <c r="B3414" s="119" t="str">
        <f>IFERROR(__xludf.DUMMYFUNCTION("""COMPUTED_VALUE"""),"Chị Phượng")</f>
        <v>Chị Phượng</v>
      </c>
      <c r="C3414" s="119" t="str">
        <f>IFERROR(__xludf.DUMMYFUNCTION("""COMPUTED_VALUE"""),"10/42 Nguyễn Phúc Tần")</f>
        <v>10/42 Nguyễn Phúc Tần</v>
      </c>
      <c r="D3414" s="119" t="str">
        <f>IFERROR(__xludf.DUMMYFUNCTION("""COMPUTED_VALUE"""),"Chó")</f>
        <v>Chó</v>
      </c>
      <c r="E3414" s="119" t="str">
        <f>IFERROR(__xludf.DUMMYFUNCTION("""COMPUTED_VALUE"""),"Tròn")</f>
        <v>Tròn</v>
      </c>
    </row>
    <row r="3415" ht="15.75" customHeight="1">
      <c r="A3415" s="122" t="str">
        <f>IFERROR(__xludf.DUMMYFUNCTION("""COMPUTED_VALUE"""),"0789 189 722")</f>
        <v>0789 189 722</v>
      </c>
      <c r="B3415" s="119" t="str">
        <f>IFERROR(__xludf.DUMMYFUNCTION("""COMPUTED_VALUE"""),"Anh Tuấn")</f>
        <v>Anh Tuấn</v>
      </c>
      <c r="C3415" s="119" t="str">
        <f>IFERROR(__xludf.DUMMYFUNCTION("""COMPUTED_VALUE"""),"Chợ Thông")</f>
        <v>Chợ Thông</v>
      </c>
      <c r="D3415" s="119" t="str">
        <f>IFERROR(__xludf.DUMMYFUNCTION("""COMPUTED_VALUE"""),"chó")</f>
        <v>chó</v>
      </c>
      <c r="E3415" s="119" t="str">
        <f>IFERROR(__xludf.DUMMYFUNCTION("""COMPUTED_VALUE"""),"Momo")</f>
        <v>Momo</v>
      </c>
    </row>
    <row r="3416" ht="15.75" customHeight="1">
      <c r="A3416" s="122" t="str">
        <f>IFERROR(__xludf.DUMMYFUNCTION("""COMPUTED_VALUE"""),"0931 976 066")</f>
        <v>0931 976 066</v>
      </c>
      <c r="B3416" s="119" t="str">
        <f>IFERROR(__xludf.DUMMYFUNCTION("""COMPUTED_VALUE"""),"Anh Nghi")</f>
        <v>Anh Nghi</v>
      </c>
      <c r="C3416" s="119" t="str">
        <f>IFERROR(__xludf.DUMMYFUNCTION("""COMPUTED_VALUE"""),"Phú Thượng")</f>
        <v>Phú Thượng</v>
      </c>
      <c r="D3416" s="119" t="str">
        <f>IFERROR(__xludf.DUMMYFUNCTION("""COMPUTED_VALUE"""),"chó")</f>
        <v>chó</v>
      </c>
      <c r="E3416" s="119" t="str">
        <f>IFERROR(__xludf.DUMMYFUNCTION("""COMPUTED_VALUE"""),"xúc xích")</f>
        <v>xúc xích</v>
      </c>
    </row>
    <row r="3417" ht="15.75" customHeight="1">
      <c r="A3417" s="122" t="str">
        <f>IFERROR(__xludf.DUMMYFUNCTION("""COMPUTED_VALUE"""),"0386 877 114")</f>
        <v>0386 877 114</v>
      </c>
      <c r="B3417" s="119" t="str">
        <f>IFERROR(__xludf.DUMMYFUNCTION("""COMPUTED_VALUE"""),"Chị Tín")</f>
        <v>Chị Tín</v>
      </c>
      <c r="C3417" s="119" t="str">
        <f>IFERROR(__xludf.DUMMYFUNCTION("""COMPUTED_VALUE"""),"an dương, phú thuận, phú vang")</f>
        <v>an dương, phú thuận, phú vang</v>
      </c>
      <c r="D3417" s="119" t="str">
        <f>IFERROR(__xludf.DUMMYFUNCTION("""COMPUTED_VALUE"""),"chó")</f>
        <v>chó</v>
      </c>
      <c r="E3417" s="119" t="str">
        <f>IFERROR(__xludf.DUMMYFUNCTION("""COMPUTED_VALUE"""),"su")</f>
        <v>su</v>
      </c>
    </row>
    <row r="3418" ht="15.75" customHeight="1">
      <c r="A3418" s="122" t="str">
        <f>IFERROR(__xludf.DUMMYFUNCTION("""COMPUTED_VALUE"""),"0766 557 717")</f>
        <v>0766 557 717</v>
      </c>
      <c r="B3418" s="119" t="str">
        <f>IFERROR(__xludf.DUMMYFUNCTION("""COMPUTED_VALUE"""),"Anh Mỹ")</f>
        <v>Anh Mỹ</v>
      </c>
      <c r="C3418" s="119" t="str">
        <f>IFERROR(__xludf.DUMMYFUNCTION("""COMPUTED_VALUE"""),"Phú An, Phú Vang")</f>
        <v>Phú An, Phú Vang</v>
      </c>
      <c r="D3418" s="119" t="str">
        <f>IFERROR(__xludf.DUMMYFUNCTION("""COMPUTED_VALUE"""),"chó")</f>
        <v>chó</v>
      </c>
      <c r="E3418" s="119" t="str">
        <f>IFERROR(__xludf.DUMMYFUNCTION("""COMPUTED_VALUE"""),"Coca")</f>
        <v>Coca</v>
      </c>
    </row>
    <row r="3419" ht="15.75" customHeight="1">
      <c r="A3419" s="122" t="str">
        <f>IFERROR(__xludf.DUMMYFUNCTION("""COMPUTED_VALUE"""),"0352 677 345")</f>
        <v>0352 677 345</v>
      </c>
      <c r="B3419" s="119" t="str">
        <f>IFERROR(__xludf.DUMMYFUNCTION("""COMPUTED_VALUE"""),"Chị Kim Chi")</f>
        <v>Chị Kim Chi</v>
      </c>
      <c r="C3419" s="119"/>
      <c r="D3419" s="119" t="str">
        <f>IFERROR(__xludf.DUMMYFUNCTION("""COMPUTED_VALUE"""),"mèo")</f>
        <v>mèo</v>
      </c>
      <c r="E3419" s="119"/>
    </row>
    <row r="3420" ht="15.75" customHeight="1">
      <c r="A3420" s="122" t="str">
        <f>IFERROR(__xludf.DUMMYFUNCTION("""COMPUTED_VALUE"""),"0905 729 351")</f>
        <v>0905 729 351</v>
      </c>
      <c r="B3420" s="119" t="str">
        <f>IFERROR(__xludf.DUMMYFUNCTION("""COMPUTED_VALUE"""),"Chị Hằng")</f>
        <v>Chị Hằng</v>
      </c>
      <c r="C3420" s="119" t="str">
        <f>IFERROR(__xludf.DUMMYFUNCTION("""COMPUTED_VALUE"""),"10/20 An Tây")</f>
        <v>10/20 An Tây</v>
      </c>
      <c r="D3420" s="119" t="str">
        <f>IFERROR(__xludf.DUMMYFUNCTION("""COMPUTED_VALUE"""),"chó")</f>
        <v>chó</v>
      </c>
      <c r="E3420" s="119" t="str">
        <f>IFERROR(__xludf.DUMMYFUNCTION("""COMPUTED_VALUE"""),"xe")</f>
        <v>xe</v>
      </c>
    </row>
    <row r="3421" ht="15.75" customHeight="1">
      <c r="A3421" s="122" t="str">
        <f>IFERROR(__xludf.DUMMYFUNCTION("""COMPUTED_VALUE"""),"0934 848 100")</f>
        <v>0934 848 100</v>
      </c>
      <c r="B3421" s="119" t="str">
        <f>IFERROR(__xludf.DUMMYFUNCTION("""COMPUTED_VALUE"""),"Anh Tiến")</f>
        <v>Anh Tiến</v>
      </c>
      <c r="C3421" s="119" t="str">
        <f>IFERROR(__xludf.DUMMYFUNCTION("""COMPUTED_VALUE"""),"Thuỷ Vân, Hương Thuỷ")</f>
        <v>Thuỷ Vân, Hương Thuỷ</v>
      </c>
      <c r="D3421" s="119" t="str">
        <f>IFERROR(__xludf.DUMMYFUNCTION("""COMPUTED_VALUE"""),"mèo")</f>
        <v>mèo</v>
      </c>
      <c r="E3421" s="119" t="str">
        <f>IFERROR(__xludf.DUMMYFUNCTION("""COMPUTED_VALUE"""),"chó")</f>
        <v>chó</v>
      </c>
    </row>
    <row r="3422" ht="15.75" customHeight="1">
      <c r="A3422" s="122" t="str">
        <f>IFERROR(__xludf.DUMMYFUNCTION("""COMPUTED_VALUE"""),"0934 837 678")</f>
        <v>0934 837 678</v>
      </c>
      <c r="B3422" s="119" t="str">
        <f>IFERROR(__xludf.DUMMYFUNCTION("""COMPUTED_VALUE"""),"Anh Phú")</f>
        <v>Anh Phú</v>
      </c>
      <c r="C3422" s="119" t="str">
        <f>IFERROR(__xludf.DUMMYFUNCTION("""COMPUTED_VALUE"""),"Thuỷ Vân")</f>
        <v>Thuỷ Vân</v>
      </c>
      <c r="D3422" s="119" t="str">
        <f>IFERROR(__xludf.DUMMYFUNCTION("""COMPUTED_VALUE"""),"chó")</f>
        <v>chó</v>
      </c>
      <c r="E3422" s="119" t="str">
        <f>IFERROR(__xludf.DUMMYFUNCTION("""COMPUTED_VALUE"""),"Đốm")</f>
        <v>Đốm</v>
      </c>
    </row>
    <row r="3423" ht="15.75" customHeight="1">
      <c r="A3423" s="122" t="str">
        <f>IFERROR(__xludf.DUMMYFUNCTION("""COMPUTED_VALUE"""),"0367 877 901")</f>
        <v>0367 877 901</v>
      </c>
      <c r="B3423" s="119" t="str">
        <f>IFERROR(__xludf.DUMMYFUNCTION("""COMPUTED_VALUE"""),"Chị Loan")</f>
        <v>Chị Loan</v>
      </c>
      <c r="C3423" s="119" t="str">
        <f>IFERROR(__xludf.DUMMYFUNCTION("""COMPUTED_VALUE"""),"7/7 Lý Nam Đế")</f>
        <v>7/7 Lý Nam Đế</v>
      </c>
      <c r="D3423" s="119" t="str">
        <f>IFERROR(__xludf.DUMMYFUNCTION("""COMPUTED_VALUE"""),"Chó")</f>
        <v>Chó</v>
      </c>
      <c r="E3423" s="119" t="str">
        <f>IFERROR(__xludf.DUMMYFUNCTION("""COMPUTED_VALUE"""),"Kem")</f>
        <v>Kem</v>
      </c>
    </row>
    <row r="3424" ht="15.75" customHeight="1">
      <c r="A3424" s="122" t="str">
        <f>IFERROR(__xludf.DUMMYFUNCTION("""COMPUTED_VALUE"""),"0842 777 781")</f>
        <v>0842 777 781</v>
      </c>
      <c r="B3424" s="119" t="str">
        <f>IFERROR(__xludf.DUMMYFUNCTION("""COMPUTED_VALUE"""),"Anh Hoàng")</f>
        <v>Anh Hoàng</v>
      </c>
      <c r="C3424" s="119" t="str">
        <f>IFERROR(__xludf.DUMMYFUNCTION("""COMPUTED_VALUE"""),"72 Nguyẽn Phúc Nguyên")</f>
        <v>72 Nguyẽn Phúc Nguyên</v>
      </c>
      <c r="D3424" s="119" t="str">
        <f>IFERROR(__xludf.DUMMYFUNCTION("""COMPUTED_VALUE"""),"Chó")</f>
        <v>Chó</v>
      </c>
      <c r="E3424" s="119"/>
    </row>
    <row r="3425" ht="15.75" customHeight="1">
      <c r="A3425" s="122" t="str">
        <f>IFERROR(__xludf.DUMMYFUNCTION("""COMPUTED_VALUE"""),"0787 796 006")</f>
        <v>0787 796 006</v>
      </c>
      <c r="B3425" s="119" t="str">
        <f>IFERROR(__xludf.DUMMYFUNCTION("""COMPUTED_VALUE"""),"Anh Dũng")</f>
        <v>Anh Dũng</v>
      </c>
      <c r="C3425" s="119" t="str">
        <f>IFERROR(__xludf.DUMMYFUNCTION("""COMPUTED_VALUE"""),"8/2/17 Vạn Xuân")</f>
        <v>8/2/17 Vạn Xuân</v>
      </c>
      <c r="D3425" s="119" t="str">
        <f>IFERROR(__xludf.DUMMYFUNCTION("""COMPUTED_VALUE"""),"Mèo")</f>
        <v>Mèo</v>
      </c>
      <c r="E3425" s="119" t="str">
        <f>IFERROR(__xludf.DUMMYFUNCTION("""COMPUTED_VALUE"""),"Mỡ")</f>
        <v>Mỡ</v>
      </c>
    </row>
    <row r="3426" ht="15.75" customHeight="1">
      <c r="A3426" s="122" t="str">
        <f>IFERROR(__xludf.DUMMYFUNCTION("""COMPUTED_VALUE"""),"0973 323 073")</f>
        <v>0973 323 073</v>
      </c>
      <c r="B3426" s="119" t="str">
        <f>IFERROR(__xludf.DUMMYFUNCTION("""COMPUTED_VALUE"""),"Cẩm Tú")</f>
        <v>Cẩm Tú</v>
      </c>
      <c r="C3426" s="119" t="str">
        <f>IFERROR(__xludf.DUMMYFUNCTION("""COMPUTED_VALUE"""),"3/15 Nguyễn Hữu Dật")</f>
        <v>3/15 Nguyễn Hữu Dật</v>
      </c>
      <c r="D3426" s="119" t="str">
        <f>IFERROR(__xludf.DUMMYFUNCTION("""COMPUTED_VALUE"""),"chó")</f>
        <v>chó</v>
      </c>
      <c r="E3426" s="119"/>
    </row>
    <row r="3427" ht="15.75" customHeight="1">
      <c r="A3427" s="122" t="str">
        <f>IFERROR(__xludf.DUMMYFUNCTION("""COMPUTED_VALUE"""),"0947 798 830")</f>
        <v>0947 798 830</v>
      </c>
      <c r="B3427" s="119" t="str">
        <f>IFERROR(__xludf.DUMMYFUNCTION("""COMPUTED_VALUE"""),"Đinh Thái Trang")</f>
        <v>Đinh Thái Trang</v>
      </c>
      <c r="C3427" s="119" t="str">
        <f>IFERROR(__xludf.DUMMYFUNCTION("""COMPUTED_VALUE"""),"61 Dương Văn an")</f>
        <v>61 Dương Văn an</v>
      </c>
      <c r="D3427" s="119" t="str">
        <f>IFERROR(__xludf.DUMMYFUNCTION("""COMPUTED_VALUE"""),"Mèo")</f>
        <v>Mèo</v>
      </c>
      <c r="E3427" s="119" t="str">
        <f>IFERROR(__xludf.DUMMYFUNCTION("""COMPUTED_VALUE"""),"Sữa")</f>
        <v>Sữa</v>
      </c>
    </row>
    <row r="3428" ht="15.75" customHeight="1">
      <c r="A3428" s="122" t="str">
        <f>IFERROR(__xludf.DUMMYFUNCTION("""COMPUTED_VALUE"""),"0925 820 555")</f>
        <v>0925 820 555</v>
      </c>
      <c r="B3428" s="119" t="str">
        <f>IFERROR(__xludf.DUMMYFUNCTION("""COMPUTED_VALUE"""),"Pamela Carter")</f>
        <v>Pamela Carter</v>
      </c>
      <c r="C3428" s="119"/>
      <c r="D3428" s="119" t="str">
        <f>IFERROR(__xludf.DUMMYFUNCTION("""COMPUTED_VALUE"""),"chó")</f>
        <v>chó</v>
      </c>
      <c r="E3428" s="119"/>
    </row>
    <row r="3429" ht="15.75" customHeight="1">
      <c r="A3429" s="122" t="str">
        <f>IFERROR(__xludf.DUMMYFUNCTION("""COMPUTED_VALUE"""),"0705 935 598")</f>
        <v>0705 935 598</v>
      </c>
      <c r="B3429" s="119" t="str">
        <f>IFERROR(__xludf.DUMMYFUNCTION("""COMPUTED_VALUE"""),"Chị My")</f>
        <v>Chị My</v>
      </c>
      <c r="C3429" s="119" t="str">
        <f>IFERROR(__xludf.DUMMYFUNCTION("""COMPUTED_VALUE"""),"Phú Thượng, Phú Vang")</f>
        <v>Phú Thượng, Phú Vang</v>
      </c>
      <c r="D3429" s="119" t="str">
        <f>IFERROR(__xludf.DUMMYFUNCTION("""COMPUTED_VALUE"""),"chó")</f>
        <v>chó</v>
      </c>
      <c r="E3429" s="119" t="str">
        <f>IFERROR(__xludf.DUMMYFUNCTION("""COMPUTED_VALUE"""),"Gâu")</f>
        <v>Gâu</v>
      </c>
    </row>
    <row r="3430" ht="15.75" customHeight="1">
      <c r="A3430" s="122" t="str">
        <f>IFERROR(__xludf.DUMMYFUNCTION("""COMPUTED_VALUE"""),"0778 703 126")</f>
        <v>0778 703 126</v>
      </c>
      <c r="B3430" s="119" t="str">
        <f>IFERROR(__xludf.DUMMYFUNCTION("""COMPUTED_VALUE"""),"Chị Tân ")</f>
        <v>Chị Tân </v>
      </c>
      <c r="C3430" s="119" t="str">
        <f>IFERROR(__xludf.DUMMYFUNCTION("""COMPUTED_VALUE"""),"45b Đào Tấn")</f>
        <v>45b Đào Tấn</v>
      </c>
      <c r="D3430" s="119" t="str">
        <f>IFERROR(__xludf.DUMMYFUNCTION("""COMPUTED_VALUE"""),"Mèo")</f>
        <v>Mèo</v>
      </c>
      <c r="E3430" s="119"/>
    </row>
    <row r="3431" ht="15.75" customHeight="1">
      <c r="A3431" s="122" t="str">
        <f>IFERROR(__xludf.DUMMYFUNCTION("""COMPUTED_VALUE"""),"0385 140 070")</f>
        <v>0385 140 070</v>
      </c>
      <c r="B3431" s="119" t="str">
        <f>IFERROR(__xludf.DUMMYFUNCTION("""COMPUTED_VALUE"""),"Chị Phân")</f>
        <v>Chị Phân</v>
      </c>
      <c r="C3431" s="119" t="str">
        <f>IFERROR(__xludf.DUMMYFUNCTION("""COMPUTED_VALUE"""),"Trần Thái Tông")</f>
        <v>Trần Thái Tông</v>
      </c>
      <c r="D3431" s="119" t="str">
        <f>IFERROR(__xludf.DUMMYFUNCTION("""COMPUTED_VALUE"""),"chó")</f>
        <v>chó</v>
      </c>
      <c r="E3431" s="119" t="str">
        <f>IFERROR(__xludf.DUMMYFUNCTION("""COMPUTED_VALUE"""),"Cà Rốt")</f>
        <v>Cà Rốt</v>
      </c>
    </row>
    <row r="3432" ht="15.75" customHeight="1">
      <c r="A3432" s="122" t="str">
        <f>IFERROR(__xludf.DUMMYFUNCTION("""COMPUTED_VALUE"""),"0947 357 102")</f>
        <v>0947 357 102</v>
      </c>
      <c r="B3432" s="119" t="str">
        <f>IFERROR(__xludf.DUMMYFUNCTION("""COMPUTED_VALUE"""),"Nguyễn Miu")</f>
        <v>Nguyễn Miu</v>
      </c>
      <c r="C3432" s="119"/>
      <c r="D3432" s="119"/>
      <c r="E3432" s="119"/>
    </row>
    <row r="3433" ht="15.75" customHeight="1">
      <c r="A3433" s="122" t="str">
        <f>IFERROR(__xludf.DUMMYFUNCTION("""COMPUTED_VALUE"""),"0823 733 205")</f>
        <v>0823 733 205</v>
      </c>
      <c r="B3433" s="119" t="str">
        <f>IFERROR(__xludf.DUMMYFUNCTION("""COMPUTED_VALUE"""),"Em Hiệp")</f>
        <v>Em Hiệp</v>
      </c>
      <c r="C3433" s="119" t="str">
        <f>IFERROR(__xludf.DUMMYFUNCTION("""COMPUTED_VALUE"""),"Phong Điền")</f>
        <v>Phong Điền</v>
      </c>
      <c r="D3433" s="119" t="str">
        <f>IFERROR(__xludf.DUMMYFUNCTION("""COMPUTED_VALUE"""),"Chó")</f>
        <v>Chó</v>
      </c>
      <c r="E3433" s="119" t="str">
        <f>IFERROR(__xludf.DUMMYFUNCTION("""COMPUTED_VALUE"""),"Rốp")</f>
        <v>Rốp</v>
      </c>
    </row>
    <row r="3434" ht="15.75" customHeight="1">
      <c r="A3434" s="122" t="str">
        <f>IFERROR(__xludf.DUMMYFUNCTION("""COMPUTED_VALUE"""),"0917 445 104")</f>
        <v>0917 445 104</v>
      </c>
      <c r="B3434" s="119" t="str">
        <f>IFERROR(__xludf.DUMMYFUNCTION("""COMPUTED_VALUE"""),"Em Đông An")</f>
        <v>Em Đông An</v>
      </c>
      <c r="C3434" s="119" t="str">
        <f>IFERROR(__xludf.DUMMYFUNCTION("""COMPUTED_VALUE"""),"4/566 Bùi Thị Xuân")</f>
        <v>4/566 Bùi Thị Xuân</v>
      </c>
      <c r="D3434" s="119" t="str">
        <f>IFERROR(__xludf.DUMMYFUNCTION("""COMPUTED_VALUE"""),"chó")</f>
        <v>chó</v>
      </c>
      <c r="E3434" s="119" t="str">
        <f>IFERROR(__xludf.DUMMYFUNCTION("""COMPUTED_VALUE"""),"Mun")</f>
        <v>Mun</v>
      </c>
    </row>
    <row r="3435" ht="15.75" customHeight="1">
      <c r="A3435" s="122" t="str">
        <f>IFERROR(__xludf.DUMMYFUNCTION("""COMPUTED_VALUE"""),"0762 613 238")</f>
        <v>0762 613 238</v>
      </c>
      <c r="B3435" s="119" t="str">
        <f>IFERROR(__xludf.DUMMYFUNCTION("""COMPUTED_VALUE"""),"Hoài Phong")</f>
        <v>Hoài Phong</v>
      </c>
      <c r="C3435" s="119" t="str">
        <f>IFERROR(__xludf.DUMMYFUNCTION("""COMPUTED_VALUE"""),"37 Ấu Triệu")</f>
        <v>37 Ấu Triệu</v>
      </c>
      <c r="D3435" s="119" t="str">
        <f>IFERROR(__xludf.DUMMYFUNCTION("""COMPUTED_VALUE"""),"chó")</f>
        <v>chó</v>
      </c>
      <c r="E3435" s="119" t="str">
        <f>IFERROR(__xludf.DUMMYFUNCTION("""COMPUTED_VALUE"""),"Chiên")</f>
        <v>Chiên</v>
      </c>
    </row>
    <row r="3436" ht="15.75" customHeight="1">
      <c r="A3436" s="122" t="str">
        <f>IFERROR(__xludf.DUMMYFUNCTION("""COMPUTED_VALUE"""),"0899 201 272")</f>
        <v>0899 201 272</v>
      </c>
      <c r="B3436" s="119" t="str">
        <f>IFERROR(__xludf.DUMMYFUNCTION("""COMPUTED_VALUE"""),"Nhật")</f>
        <v>Nhật</v>
      </c>
      <c r="C3436" s="119" t="str">
        <f>IFERROR(__xludf.DUMMYFUNCTION("""COMPUTED_VALUE"""),"86 Lê Ngô Cát")</f>
        <v>86 Lê Ngô Cát</v>
      </c>
      <c r="D3436" s="119" t="str">
        <f>IFERROR(__xludf.DUMMYFUNCTION("""COMPUTED_VALUE"""),"mèo")</f>
        <v>mèo</v>
      </c>
      <c r="E3436" s="119" t="str">
        <f>IFERROR(__xludf.DUMMYFUNCTION("""COMPUTED_VALUE"""),"Noel")</f>
        <v>Noel</v>
      </c>
    </row>
    <row r="3437" ht="15.75" customHeight="1">
      <c r="A3437" s="122" t="str">
        <f>IFERROR(__xludf.DUMMYFUNCTION("""COMPUTED_VALUE"""),"0394 634 826")</f>
        <v>0394 634 826</v>
      </c>
      <c r="B3437" s="119" t="str">
        <f>IFERROR(__xludf.DUMMYFUNCTION("""COMPUTED_VALUE"""),"Trần Mỹ Duyên")</f>
        <v>Trần Mỹ Duyên</v>
      </c>
      <c r="C3437" s="119" t="str">
        <f>IFERROR(__xludf.DUMMYFUNCTION("""COMPUTED_VALUE"""),"Nam Thượng, Phú Thượng")</f>
        <v>Nam Thượng, Phú Thượng</v>
      </c>
      <c r="D3437" s="119" t="str">
        <f>IFERROR(__xludf.DUMMYFUNCTION("""COMPUTED_VALUE"""),"Mèo")</f>
        <v>Mèo</v>
      </c>
      <c r="E3437" s="119" t="str">
        <f>IFERROR(__xludf.DUMMYFUNCTION("""COMPUTED_VALUE"""),"Miu")</f>
        <v>Miu</v>
      </c>
    </row>
    <row r="3438" ht="15.75" customHeight="1">
      <c r="A3438" s="122" t="str">
        <f>IFERROR(__xludf.DUMMYFUNCTION("""COMPUTED_VALUE"""),"0931 909 531")</f>
        <v>0931 909 531</v>
      </c>
      <c r="B3438" s="119" t="str">
        <f>IFERROR(__xludf.DUMMYFUNCTION("""COMPUTED_VALUE"""),"Chị Thi")</f>
        <v>Chị Thi</v>
      </c>
      <c r="C3438" s="119" t="str">
        <f>IFERROR(__xludf.DUMMYFUNCTION("""COMPUTED_VALUE"""),"69 Đặng Huy Trứ")</f>
        <v>69 Đặng Huy Trứ</v>
      </c>
      <c r="D3438" s="119" t="str">
        <f>IFERROR(__xludf.DUMMYFUNCTION("""COMPUTED_VALUE"""),"Chó")</f>
        <v>Chó</v>
      </c>
      <c r="E3438" s="119" t="str">
        <f>IFERROR(__xludf.DUMMYFUNCTION("""COMPUTED_VALUE"""),"Tôm")</f>
        <v>Tôm</v>
      </c>
    </row>
    <row r="3439" ht="15.75" customHeight="1">
      <c r="A3439" s="122" t="str">
        <f>IFERROR(__xludf.DUMMYFUNCTION("""COMPUTED_VALUE"""),"0327 380 803")</f>
        <v>0327 380 803</v>
      </c>
      <c r="B3439" s="119" t="str">
        <f>IFERROR(__xludf.DUMMYFUNCTION("""COMPUTED_VALUE"""),"Anh Nhẫn")</f>
        <v>Anh Nhẫn</v>
      </c>
      <c r="C3439" s="119" t="str">
        <f>IFERROR(__xludf.DUMMYFUNCTION("""COMPUTED_VALUE"""),"244 Điện Biên Phủ")</f>
        <v>244 Điện Biên Phủ</v>
      </c>
      <c r="D3439" s="119" t="str">
        <f>IFERROR(__xludf.DUMMYFUNCTION("""COMPUTED_VALUE"""),"chó")</f>
        <v>chó</v>
      </c>
      <c r="E3439" s="119" t="str">
        <f>IFERROR(__xludf.DUMMYFUNCTION("""COMPUTED_VALUE"""),"Misa")</f>
        <v>Misa</v>
      </c>
    </row>
    <row r="3440" ht="15.75" customHeight="1">
      <c r="A3440" s="122" t="str">
        <f>IFERROR(__xludf.DUMMYFUNCTION("""COMPUTED_VALUE"""),"0766 766 431")</f>
        <v>0766 766 431</v>
      </c>
      <c r="B3440" s="119" t="str">
        <f>IFERROR(__xludf.DUMMYFUNCTION("""COMPUTED_VALUE"""),"Dì Hồng")</f>
        <v>Dì Hồng</v>
      </c>
      <c r="C3440" s="119" t="str">
        <f>IFERROR(__xludf.DUMMYFUNCTION("""COMPUTED_VALUE"""),"5/217 Điện Biên Phủ")</f>
        <v>5/217 Điện Biên Phủ</v>
      </c>
      <c r="D3440" s="119" t="str">
        <f>IFERROR(__xludf.DUMMYFUNCTION("""COMPUTED_VALUE"""),"mèo")</f>
        <v>mèo</v>
      </c>
      <c r="E3440" s="119" t="str">
        <f>IFERROR(__xludf.DUMMYFUNCTION("""COMPUTED_VALUE"""),"Miu")</f>
        <v>Miu</v>
      </c>
    </row>
    <row r="3441" ht="15.75" customHeight="1">
      <c r="A3441" s="122" t="str">
        <f>IFERROR(__xludf.DUMMYFUNCTION("""COMPUTED_VALUE"""),"0961 630 666")</f>
        <v>0961 630 666</v>
      </c>
      <c r="B3441" s="119" t="str">
        <f>IFERROR(__xludf.DUMMYFUNCTION("""COMPUTED_VALUE"""),"Anh Nam")</f>
        <v>Anh Nam</v>
      </c>
      <c r="C3441" s="119" t="str">
        <f>IFERROR(__xludf.DUMMYFUNCTION("""COMPUTED_VALUE"""),"Gara xe - sau lưng PK")</f>
        <v>Gara xe - sau lưng PK</v>
      </c>
      <c r="D3441" s="119" t="str">
        <f>IFERROR(__xludf.DUMMYFUNCTION("""COMPUTED_VALUE"""),"Chó")</f>
        <v>Chó</v>
      </c>
      <c r="E3441" s="119"/>
    </row>
    <row r="3442" ht="15.75" customHeight="1">
      <c r="A3442" s="122" t="str">
        <f>IFERROR(__xludf.DUMMYFUNCTION("""COMPUTED_VALUE"""),"0763 035 297")</f>
        <v>0763 035 297</v>
      </c>
      <c r="B3442" s="119" t="str">
        <f>IFERROR(__xludf.DUMMYFUNCTION("""COMPUTED_VALUE"""),"Anh Long")</f>
        <v>Anh Long</v>
      </c>
      <c r="C3442" s="119" t="str">
        <f>IFERROR(__xludf.DUMMYFUNCTION("""COMPUTED_VALUE"""),"9 Nam Giao")</f>
        <v>9 Nam Giao</v>
      </c>
      <c r="D3442" s="119" t="str">
        <f>IFERROR(__xludf.DUMMYFUNCTION("""COMPUTED_VALUE"""),"mèo")</f>
        <v>mèo</v>
      </c>
      <c r="E3442" s="119" t="str">
        <f>IFERROR(__xludf.DUMMYFUNCTION("""COMPUTED_VALUE"""),"Xám")</f>
        <v>Xám</v>
      </c>
    </row>
    <row r="3443" ht="15.75" customHeight="1">
      <c r="A3443" s="122" t="str">
        <f>IFERROR(__xludf.DUMMYFUNCTION("""COMPUTED_VALUE"""),"0964 249 097")</f>
        <v>0964 249 097</v>
      </c>
      <c r="B3443" s="119" t="str">
        <f>IFERROR(__xludf.DUMMYFUNCTION("""COMPUTED_VALUE"""),"Anh Sỹ")</f>
        <v>Anh Sỹ</v>
      </c>
      <c r="C3443" s="119" t="str">
        <f>IFERROR(__xludf.DUMMYFUNCTION("""COMPUTED_VALUE"""),"24/168 Trần Phú")</f>
        <v>24/168 Trần Phú</v>
      </c>
      <c r="D3443" s="119" t="str">
        <f>IFERROR(__xludf.DUMMYFUNCTION("""COMPUTED_VALUE"""),"mèo")</f>
        <v>mèo</v>
      </c>
      <c r="E3443" s="119" t="str">
        <f>IFERROR(__xludf.DUMMYFUNCTION("""COMPUTED_VALUE"""),"Rice")</f>
        <v>Rice</v>
      </c>
    </row>
    <row r="3444" ht="15.75" customHeight="1">
      <c r="A3444" s="122" t="str">
        <f>IFERROR(__xludf.DUMMYFUNCTION("""COMPUTED_VALUE"""),"0766 626 275")</f>
        <v>0766 626 275</v>
      </c>
      <c r="B3444" s="119"/>
      <c r="C3444" s="119" t="str">
        <f>IFERROR(__xludf.DUMMYFUNCTION("""COMPUTED_VALUE"""),"3 Nguyễn Văn Siêu")</f>
        <v>3 Nguyễn Văn Siêu</v>
      </c>
      <c r="D3444" s="119" t="str">
        <f>IFERROR(__xludf.DUMMYFUNCTION("""COMPUTED_VALUE"""),"Chó")</f>
        <v>Chó</v>
      </c>
      <c r="E3444" s="119"/>
    </row>
    <row r="3445" ht="15.75" customHeight="1">
      <c r="A3445" s="122" t="str">
        <f>IFERROR(__xludf.DUMMYFUNCTION("""COMPUTED_VALUE"""),"0794 521 369")</f>
        <v>0794 521 369</v>
      </c>
      <c r="B3445" s="119" t="str">
        <f>IFERROR(__xludf.DUMMYFUNCTION("""COMPUTED_VALUE"""),"anh Thành")</f>
        <v>anh Thành</v>
      </c>
      <c r="C3445" s="119" t="str">
        <f>IFERROR(__xludf.DUMMYFUNCTION("""COMPUTED_VALUE"""),"58 Tăng Bạt Hổ")</f>
        <v>58 Tăng Bạt Hổ</v>
      </c>
      <c r="D3445" s="119" t="str">
        <f>IFERROR(__xludf.DUMMYFUNCTION("""COMPUTED_VALUE"""),"Chó")</f>
        <v>Chó</v>
      </c>
      <c r="E3445" s="119" t="str">
        <f>IFERROR(__xludf.DUMMYFUNCTION("""COMPUTED_VALUE"""),"Mickey")</f>
        <v>Mickey</v>
      </c>
    </row>
    <row r="3446" ht="15.75" customHeight="1">
      <c r="A3446" s="122" t="str">
        <f>IFERROR(__xludf.DUMMYFUNCTION("""COMPUTED_VALUE"""),"0946 688 405")</f>
        <v>0946 688 405</v>
      </c>
      <c r="B3446" s="119" t="str">
        <f>IFERROR(__xludf.DUMMYFUNCTION("""COMPUTED_VALUE"""),"Cô Diệu Bữu")</f>
        <v>Cô Diệu Bữu</v>
      </c>
      <c r="C3446" s="119" t="str">
        <f>IFERROR(__xludf.DUMMYFUNCTION("""COMPUTED_VALUE"""),"Hải Lăng, Quảng Trị")</f>
        <v>Hải Lăng, Quảng Trị</v>
      </c>
      <c r="D3446" s="119" t="str">
        <f>IFERROR(__xludf.DUMMYFUNCTION("""COMPUTED_VALUE"""),"Mèo")</f>
        <v>Mèo</v>
      </c>
      <c r="E3446" s="119" t="str">
        <f>IFERROR(__xludf.DUMMYFUNCTION("""COMPUTED_VALUE"""),"Từ")</f>
        <v>Từ</v>
      </c>
    </row>
    <row r="3447" ht="15.75" customHeight="1">
      <c r="A3447" s="122" t="str">
        <f>IFERROR(__xludf.DUMMYFUNCTION("""COMPUTED_VALUE"""),"0914 025 797")</f>
        <v>0914 025 797</v>
      </c>
      <c r="B3447" s="119"/>
      <c r="C3447" s="119" t="str">
        <f>IFERROR(__xludf.DUMMYFUNCTION("""COMPUTED_VALUE"""),"2 Trần Nguyên Hãn")</f>
        <v>2 Trần Nguyên Hãn</v>
      </c>
      <c r="D3447" s="119" t="str">
        <f>IFERROR(__xludf.DUMMYFUNCTION("""COMPUTED_VALUE"""),"Chó")</f>
        <v>Chó</v>
      </c>
      <c r="E3447" s="119"/>
    </row>
    <row r="3448" ht="15.75" customHeight="1">
      <c r="A3448" s="122" t="str">
        <f>IFERROR(__xludf.DUMMYFUNCTION("""COMPUTED_VALUE"""),"0983 908 236")</f>
        <v>0983 908 236</v>
      </c>
      <c r="B3448" s="119" t="str">
        <f>IFERROR(__xludf.DUMMYFUNCTION("""COMPUTED_VALUE"""),"Chị Trà My")</f>
        <v>Chị Trà My</v>
      </c>
      <c r="C3448" s="119" t="str">
        <f>IFERROR(__xludf.DUMMYFUNCTION("""COMPUTED_VALUE"""),"Chung Cư Xuân Phú")</f>
        <v>Chung Cư Xuân Phú</v>
      </c>
      <c r="D3448" s="119" t="str">
        <f>IFERROR(__xludf.DUMMYFUNCTION("""COMPUTED_VALUE"""),"mèo")</f>
        <v>mèo</v>
      </c>
      <c r="E3448" s="119" t="str">
        <f>IFERROR(__xludf.DUMMYFUNCTION("""COMPUTED_VALUE"""),"Candy")</f>
        <v>Candy</v>
      </c>
    </row>
    <row r="3449" ht="15.75" customHeight="1">
      <c r="A3449" s="122" t="str">
        <f>IFERROR(__xludf.DUMMYFUNCTION("""COMPUTED_VALUE"""),"0774 421 906")</f>
        <v>0774 421 906</v>
      </c>
      <c r="B3449" s="119" t="str">
        <f>IFERROR(__xludf.DUMMYFUNCTION("""COMPUTED_VALUE"""),"Thành")</f>
        <v>Thành</v>
      </c>
      <c r="C3449" s="119" t="str">
        <f>IFERROR(__xludf.DUMMYFUNCTION("""COMPUTED_VALUE"""),"Phú Mỹ, Phú Vang")</f>
        <v>Phú Mỹ, Phú Vang</v>
      </c>
      <c r="D3449" s="119" t="str">
        <f>IFERROR(__xludf.DUMMYFUNCTION("""COMPUTED_VALUE"""),"chó")</f>
        <v>chó</v>
      </c>
      <c r="E3449" s="119" t="str">
        <f>IFERROR(__xludf.DUMMYFUNCTION("""COMPUTED_VALUE"""),"Thor")</f>
        <v>Thor</v>
      </c>
    </row>
    <row r="3450" ht="15.75" customHeight="1">
      <c r="A3450" s="122" t="str">
        <f>IFERROR(__xludf.DUMMYFUNCTION("""COMPUTED_VALUE"""),"0762 618 481")</f>
        <v>0762 618 481</v>
      </c>
      <c r="B3450" s="119" t="str">
        <f>IFERROR(__xludf.DUMMYFUNCTION("""COMPUTED_VALUE"""),"Hồng Minh")</f>
        <v>Hồng Minh</v>
      </c>
      <c r="C3450" s="119" t="str">
        <f>IFERROR(__xludf.DUMMYFUNCTION("""COMPUTED_VALUE"""),"3/254 Bùi Thị Xuân")</f>
        <v>3/254 Bùi Thị Xuân</v>
      </c>
      <c r="D3450" s="119" t="str">
        <f>IFERROR(__xludf.DUMMYFUNCTION("""COMPUTED_VALUE"""),"mèo")</f>
        <v>mèo</v>
      </c>
      <c r="E3450" s="119" t="str">
        <f>IFERROR(__xludf.DUMMYFUNCTION("""COMPUTED_VALUE"""),"Lúa")</f>
        <v>Lúa</v>
      </c>
    </row>
    <row r="3451" ht="15.75" customHeight="1">
      <c r="A3451" s="122" t="str">
        <f>IFERROR(__xludf.DUMMYFUNCTION("""COMPUTED_VALUE"""),"0385 169 680")</f>
        <v>0385 169 680</v>
      </c>
      <c r="B3451" s="119" t="str">
        <f>IFERROR(__xludf.DUMMYFUNCTION("""COMPUTED_VALUE"""),"Tô Quốc An")</f>
        <v>Tô Quốc An</v>
      </c>
      <c r="C3451" s="119" t="str">
        <f>IFERROR(__xludf.DUMMYFUNCTION("""COMPUTED_VALUE"""),"Eco Garden, Thuỷ Vân")</f>
        <v>Eco Garden, Thuỷ Vân</v>
      </c>
      <c r="D3451" s="119" t="str">
        <f>IFERROR(__xludf.DUMMYFUNCTION("""COMPUTED_VALUE"""),"mèo")</f>
        <v>mèo</v>
      </c>
      <c r="E3451" s="119" t="str">
        <f>IFERROR(__xludf.DUMMYFUNCTION("""COMPUTED_VALUE"""),"Mint")</f>
        <v>Mint</v>
      </c>
    </row>
    <row r="3452" ht="15.75" customHeight="1">
      <c r="A3452" s="122" t="str">
        <f>IFERROR(__xludf.DUMMYFUNCTION("""COMPUTED_VALUE"""),"0869 162 771")</f>
        <v>0869 162 771</v>
      </c>
      <c r="B3452" s="119" t="str">
        <f>IFERROR(__xludf.DUMMYFUNCTION("""COMPUTED_VALUE"""),"khánh Nhàn")</f>
        <v>khánh Nhàn</v>
      </c>
      <c r="C3452" s="119" t="str">
        <f>IFERROR(__xludf.DUMMYFUNCTION("""COMPUTED_VALUE"""),"Quảng Ngạn, Quảng Điền")</f>
        <v>Quảng Ngạn, Quảng Điền</v>
      </c>
      <c r="D3452" s="119" t="str">
        <f>IFERROR(__xludf.DUMMYFUNCTION("""COMPUTED_VALUE"""),"chó")</f>
        <v>chó</v>
      </c>
      <c r="E3452" s="119" t="str">
        <f>IFERROR(__xludf.DUMMYFUNCTION("""COMPUTED_VALUE"""),"Lavie")</f>
        <v>Lavie</v>
      </c>
    </row>
    <row r="3453" ht="15.75" customHeight="1">
      <c r="A3453" s="122" t="str">
        <f>IFERROR(__xludf.DUMMYFUNCTION("""COMPUTED_VALUE"""),"0765 052 547")</f>
        <v>0765 052 547</v>
      </c>
      <c r="B3453" s="119" t="str">
        <f>IFERROR(__xludf.DUMMYFUNCTION("""COMPUTED_VALUE"""),"anh Phong")</f>
        <v>anh Phong</v>
      </c>
      <c r="C3453" s="119" t="str">
        <f>IFERROR(__xludf.DUMMYFUNCTION("""COMPUTED_VALUE"""),"48 Huyền Trân công Chúa")</f>
        <v>48 Huyền Trân công Chúa</v>
      </c>
      <c r="D3453" s="119" t="str">
        <f>IFERROR(__xludf.DUMMYFUNCTION("""COMPUTED_VALUE"""),"Chó")</f>
        <v>Chó</v>
      </c>
      <c r="E3453" s="119" t="str">
        <f>IFERROR(__xludf.DUMMYFUNCTION("""COMPUTED_VALUE"""),"Nâu")</f>
        <v>Nâu</v>
      </c>
    </row>
    <row r="3454" ht="15.75" customHeight="1">
      <c r="A3454" s="122" t="str">
        <f>IFERROR(__xludf.DUMMYFUNCTION("""COMPUTED_VALUE"""),"0906 432 176")</f>
        <v>0906 432 176</v>
      </c>
      <c r="B3454" s="119" t="str">
        <f>IFERROR(__xludf.DUMMYFUNCTION("""COMPUTED_VALUE"""),"Nguyẽn Thị Nhật Tâm")</f>
        <v>Nguyẽn Thị Nhật Tâm</v>
      </c>
      <c r="C3454" s="119" t="str">
        <f>IFERROR(__xludf.DUMMYFUNCTION("""COMPUTED_VALUE"""),"Hương chữ")</f>
        <v>Hương chữ</v>
      </c>
      <c r="D3454" s="119" t="str">
        <f>IFERROR(__xludf.DUMMYFUNCTION("""COMPUTED_VALUE"""),"Chó")</f>
        <v>Chó</v>
      </c>
      <c r="E3454" s="119" t="str">
        <f>IFERROR(__xludf.DUMMYFUNCTION("""COMPUTED_VALUE"""),"BI")</f>
        <v>BI</v>
      </c>
    </row>
    <row r="3455" ht="15.75" customHeight="1">
      <c r="A3455" s="122" t="str">
        <f>IFERROR(__xludf.DUMMYFUNCTION("""COMPUTED_VALUE"""),"0348 882 661")</f>
        <v>0348 882 661</v>
      </c>
      <c r="B3455" s="119" t="str">
        <f>IFERROR(__xludf.DUMMYFUNCTION("""COMPUTED_VALUE"""),"Nguyễn Đình Pháp")</f>
        <v>Nguyễn Đình Pháp</v>
      </c>
      <c r="C3455" s="119" t="str">
        <f>IFERROR(__xludf.DUMMYFUNCTION("""COMPUTED_VALUE"""),"20/98 Nguyễn Phúc Nguyên")</f>
        <v>20/98 Nguyễn Phúc Nguyên</v>
      </c>
      <c r="D3455" s="119" t="str">
        <f>IFERROR(__xludf.DUMMYFUNCTION("""COMPUTED_VALUE"""),"Chó")</f>
        <v>Chó</v>
      </c>
      <c r="E3455" s="119" t="str">
        <f>IFERROR(__xludf.DUMMYFUNCTION("""COMPUTED_VALUE"""),"Ớt")</f>
        <v>Ớt</v>
      </c>
    </row>
    <row r="3456" ht="15.75" customHeight="1">
      <c r="A3456" s="122" t="str">
        <f>IFERROR(__xludf.DUMMYFUNCTION("""COMPUTED_VALUE"""),"0903 357 258")</f>
        <v>0903 357 258</v>
      </c>
      <c r="B3456" s="119" t="str">
        <f>IFERROR(__xludf.DUMMYFUNCTION("""COMPUTED_VALUE"""),"Lê Trường Long")</f>
        <v>Lê Trường Long</v>
      </c>
      <c r="C3456" s="119" t="str">
        <f>IFERROR(__xludf.DUMMYFUNCTION("""COMPUTED_VALUE"""),"34 Lê Quang Quyền")</f>
        <v>34 Lê Quang Quyền</v>
      </c>
      <c r="D3456" s="119" t="str">
        <f>IFERROR(__xludf.DUMMYFUNCTION("""COMPUTED_VALUE"""),"Chó")</f>
        <v>Chó</v>
      </c>
      <c r="E3456" s="119" t="str">
        <f>IFERROR(__xludf.DUMMYFUNCTION("""COMPUTED_VALUE"""),"Em")</f>
        <v>Em</v>
      </c>
    </row>
    <row r="3457" ht="15.75" customHeight="1">
      <c r="A3457" s="122" t="str">
        <f>IFERROR(__xludf.DUMMYFUNCTION("""COMPUTED_VALUE"""),"0338 563 352")</f>
        <v>0338 563 352</v>
      </c>
      <c r="B3457" s="119" t="str">
        <f>IFERROR(__xludf.DUMMYFUNCTION("""COMPUTED_VALUE"""),"anh Minh Tuấn")</f>
        <v>anh Minh Tuấn</v>
      </c>
      <c r="C3457" s="119" t="str">
        <f>IFERROR(__xludf.DUMMYFUNCTION("""COMPUTED_VALUE"""),"Thanh Phường")</f>
        <v>Thanh Phường</v>
      </c>
      <c r="D3457" s="119" t="str">
        <f>IFERROR(__xludf.DUMMYFUNCTION("""COMPUTED_VALUE"""),"Chó")</f>
        <v>Chó</v>
      </c>
      <c r="E3457" s="119" t="str">
        <f>IFERROR(__xludf.DUMMYFUNCTION("""COMPUTED_VALUE"""),"nâu")</f>
        <v>nâu</v>
      </c>
    </row>
    <row r="3458" ht="15.75" customHeight="1">
      <c r="A3458" s="122" t="str">
        <f>IFERROR(__xludf.DUMMYFUNCTION("""COMPUTED_VALUE"""),"0793 634 738")</f>
        <v>0793 634 738</v>
      </c>
      <c r="B3458" s="119" t="str">
        <f>IFERROR(__xludf.DUMMYFUNCTION("""COMPUTED_VALUE"""),"Bác Khai")</f>
        <v>Bác Khai</v>
      </c>
      <c r="C3458" s="119" t="str">
        <f>IFERROR(__xludf.DUMMYFUNCTION("""COMPUTED_VALUE"""),"207 Chi Lăng")</f>
        <v>207 Chi Lăng</v>
      </c>
      <c r="D3458" s="119" t="str">
        <f>IFERROR(__xludf.DUMMYFUNCTION("""COMPUTED_VALUE"""),"chó")</f>
        <v>chó</v>
      </c>
      <c r="E3458" s="119" t="str">
        <f>IFERROR(__xludf.DUMMYFUNCTION("""COMPUTED_VALUE"""),"Beo")</f>
        <v>Beo</v>
      </c>
    </row>
    <row r="3459" ht="15.75" customHeight="1">
      <c r="A3459" s="122" t="str">
        <f>IFERROR(__xludf.DUMMYFUNCTION("""COMPUTED_VALUE"""),"0868 089 350")</f>
        <v>0868 089 350</v>
      </c>
      <c r="B3459" s="119" t="str">
        <f>IFERROR(__xludf.DUMMYFUNCTION("""COMPUTED_VALUE"""),"Anh Hiếu")</f>
        <v>Anh Hiếu</v>
      </c>
      <c r="C3459" s="119" t="str">
        <f>IFERROR(__xludf.DUMMYFUNCTION("""COMPUTED_VALUE"""),"4/111 Ngô Thế Lân")</f>
        <v>4/111 Ngô Thế Lân</v>
      </c>
      <c r="D3459" s="119" t="str">
        <f>IFERROR(__xludf.DUMMYFUNCTION("""COMPUTED_VALUE"""),"Chó")</f>
        <v>Chó</v>
      </c>
      <c r="E3459" s="119" t="str">
        <f>IFERROR(__xludf.DUMMYFUNCTION("""COMPUTED_VALUE"""),"Sóc")</f>
        <v>Sóc</v>
      </c>
    </row>
    <row r="3460" ht="15.75" customHeight="1">
      <c r="A3460" s="122" t="str">
        <f>IFERROR(__xludf.DUMMYFUNCTION("""COMPUTED_VALUE"""),"0975 725 332")</f>
        <v>0975 725 332</v>
      </c>
      <c r="B3460" s="119" t="str">
        <f>IFERROR(__xludf.DUMMYFUNCTION("""COMPUTED_VALUE"""),"Chị Thanh")</f>
        <v>Chị Thanh</v>
      </c>
      <c r="C3460" s="119" t="str">
        <f>IFERROR(__xludf.DUMMYFUNCTION("""COMPUTED_VALUE"""),"Quảng Trị")</f>
        <v>Quảng Trị</v>
      </c>
      <c r="D3460" s="119" t="str">
        <f>IFERROR(__xludf.DUMMYFUNCTION("""COMPUTED_VALUE"""),"Chó")</f>
        <v>Chó</v>
      </c>
      <c r="E3460" s="119" t="str">
        <f>IFERROR(__xludf.DUMMYFUNCTION("""COMPUTED_VALUE"""),"Mit")</f>
        <v>Mit</v>
      </c>
    </row>
    <row r="3461" ht="15.75" customHeight="1">
      <c r="A3461" s="122" t="str">
        <f>IFERROR(__xludf.DUMMYFUNCTION("""COMPUTED_VALUE"""),"0762 616 483")</f>
        <v>0762 616 483</v>
      </c>
      <c r="B3461" s="119" t="str">
        <f>IFERROR(__xludf.DUMMYFUNCTION("""COMPUTED_VALUE"""),"Anh Đức")</f>
        <v>Anh Đức</v>
      </c>
      <c r="C3461" s="119" t="str">
        <f>IFERROR(__xludf.DUMMYFUNCTION("""COMPUTED_VALUE"""),"11/1/98 Nguyễn Phúc Nguyên")</f>
        <v>11/1/98 Nguyễn Phúc Nguyên</v>
      </c>
      <c r="D3461" s="119" t="str">
        <f>IFERROR(__xludf.DUMMYFUNCTION("""COMPUTED_VALUE"""),"Chó")</f>
        <v>Chó</v>
      </c>
      <c r="E3461" s="119"/>
    </row>
    <row r="3462" ht="15.75" customHeight="1">
      <c r="A3462" s="122" t="str">
        <f>IFERROR(__xludf.DUMMYFUNCTION("""COMPUTED_VALUE"""),"0965 901 908")</f>
        <v>0965 901 908</v>
      </c>
      <c r="B3462" s="119" t="str">
        <f>IFERROR(__xludf.DUMMYFUNCTION("""COMPUTED_VALUE"""),"Kim Chi")</f>
        <v>Kim Chi</v>
      </c>
      <c r="C3462" s="119" t="str">
        <f>IFERROR(__xludf.DUMMYFUNCTION("""COMPUTED_VALUE"""),"104 Phạm Thị Liên")</f>
        <v>104 Phạm Thị Liên</v>
      </c>
      <c r="D3462" s="119" t="str">
        <f>IFERROR(__xludf.DUMMYFUNCTION("""COMPUTED_VALUE"""),"Chó")</f>
        <v>Chó</v>
      </c>
      <c r="E3462" s="119" t="str">
        <f>IFERROR(__xludf.DUMMYFUNCTION("""COMPUTED_VALUE"""),"BopBi")</f>
        <v>BopBi</v>
      </c>
    </row>
    <row r="3463" ht="15.75" customHeight="1">
      <c r="A3463" s="122" t="str">
        <f>IFERROR(__xludf.DUMMYFUNCTION("""COMPUTED_VALUE"""),"0962 967 972")</f>
        <v>0962 967 972</v>
      </c>
      <c r="B3463" s="119" t="str">
        <f>IFERROR(__xludf.DUMMYFUNCTION("""COMPUTED_VALUE"""),"Khánh Hiền")</f>
        <v>Khánh Hiền</v>
      </c>
      <c r="C3463" s="119" t="str">
        <f>IFERROR(__xludf.DUMMYFUNCTION("""COMPUTED_VALUE"""),"Phong Điền")</f>
        <v>Phong Điền</v>
      </c>
      <c r="D3463" s="119" t="str">
        <f>IFERROR(__xludf.DUMMYFUNCTION("""COMPUTED_VALUE"""),"Chó")</f>
        <v>Chó</v>
      </c>
      <c r="E3463" s="119" t="str">
        <f>IFERROR(__xludf.DUMMYFUNCTION("""COMPUTED_VALUE"""),"Bông")</f>
        <v>Bông</v>
      </c>
    </row>
    <row r="3464" ht="15.75" customHeight="1">
      <c r="A3464" s="122" t="str">
        <f>IFERROR(__xludf.DUMMYFUNCTION("""COMPUTED_VALUE"""),"0905 768 078")</f>
        <v>0905 768 078</v>
      </c>
      <c r="B3464" s="119" t="str">
        <f>IFERROR(__xludf.DUMMYFUNCTION("""COMPUTED_VALUE"""),"Chị Trang")</f>
        <v>Chị Trang</v>
      </c>
      <c r="C3464" s="119" t="str">
        <f>IFERROR(__xludf.DUMMYFUNCTION("""COMPUTED_VALUE"""),"k19 đường bản bộ kqh Bầu vá")</f>
        <v>k19 đường bản bộ kqh Bầu vá</v>
      </c>
      <c r="D3464" s="119" t="str">
        <f>IFERROR(__xludf.DUMMYFUNCTION("""COMPUTED_VALUE"""),"chó ")</f>
        <v>chó </v>
      </c>
      <c r="E3464" s="119" t="str">
        <f>IFERROR(__xludf.DUMMYFUNCTION("""COMPUTED_VALUE"""),"King")</f>
        <v>King</v>
      </c>
    </row>
    <row r="3465" ht="15.75" customHeight="1">
      <c r="A3465" s="122" t="str">
        <f>IFERROR(__xludf.DUMMYFUNCTION("""COMPUTED_VALUE"""),"0367 843 160")</f>
        <v>0367 843 160</v>
      </c>
      <c r="B3465" s="119" t="str">
        <f>IFERROR(__xludf.DUMMYFUNCTION("""COMPUTED_VALUE"""),"Anh Sâm")</f>
        <v>Anh Sâm</v>
      </c>
      <c r="C3465" s="119" t="str">
        <f>IFERROR(__xludf.DUMMYFUNCTION("""COMPUTED_VALUE"""),"0367 843 160")</f>
        <v>0367 843 160</v>
      </c>
      <c r="D3465" s="119" t="str">
        <f>IFERROR(__xludf.DUMMYFUNCTION("""COMPUTED_VALUE"""),"mèo")</f>
        <v>mèo</v>
      </c>
      <c r="E3465" s="119" t="str">
        <f>IFERROR(__xludf.DUMMYFUNCTION("""COMPUTED_VALUE""")," Bạc")</f>
        <v> Bạc</v>
      </c>
    </row>
    <row r="3466" ht="15.75" customHeight="1">
      <c r="A3466" s="122" t="str">
        <f>IFERROR(__xludf.DUMMYFUNCTION("""COMPUTED_VALUE"""),"0935 567 901")</f>
        <v>0935 567 901</v>
      </c>
      <c r="B3466" s="119" t="str">
        <f>IFERROR(__xludf.DUMMYFUNCTION("""COMPUTED_VALUE"""),"Hồ Huyền")</f>
        <v>Hồ Huyền</v>
      </c>
      <c r="C3466" s="119" t="str">
        <f>IFERROR(__xludf.DUMMYFUNCTION("""COMPUTED_VALUE"""),"4/216 Lý Nam Đế")</f>
        <v>4/216 Lý Nam Đế</v>
      </c>
      <c r="D3466" s="119" t="str">
        <f>IFERROR(__xludf.DUMMYFUNCTION("""COMPUTED_VALUE"""),"Chó")</f>
        <v>Chó</v>
      </c>
      <c r="E3466" s="119" t="str">
        <f>IFERROR(__xludf.DUMMYFUNCTION("""COMPUTED_VALUE"""),"Ben")</f>
        <v>Ben</v>
      </c>
    </row>
    <row r="3467" ht="15.75" customHeight="1">
      <c r="A3467" s="122" t="str">
        <f>IFERROR(__xludf.DUMMYFUNCTION("""COMPUTED_VALUE"""),"0913 236 373")</f>
        <v>0913 236 373</v>
      </c>
      <c r="B3467" s="119" t="str">
        <f>IFERROR(__xludf.DUMMYFUNCTION("""COMPUTED_VALUE"""),"Chị Yến")</f>
        <v>Chị Yến</v>
      </c>
      <c r="C3467" s="119" t="str">
        <f>IFERROR(__xludf.DUMMYFUNCTION("""COMPUTED_VALUE"""),"90 Tôn Thất Thiệp")</f>
        <v>90 Tôn Thất Thiệp</v>
      </c>
      <c r="D3467" s="119" t="str">
        <f>IFERROR(__xludf.DUMMYFUNCTION("""COMPUTED_VALUE"""),"Mèo")</f>
        <v>Mèo</v>
      </c>
      <c r="E3467" s="119" t="str">
        <f>IFERROR(__xludf.DUMMYFUNCTION("""COMPUTED_VALUE"""),"Sock")</f>
        <v>Sock</v>
      </c>
    </row>
    <row r="3468" ht="15.75" customHeight="1">
      <c r="A3468" s="122" t="str">
        <f>IFERROR(__xludf.DUMMYFUNCTION("""COMPUTED_VALUE"""),"0916 417 895")</f>
        <v>0916 417 895</v>
      </c>
      <c r="B3468" s="119" t="str">
        <f>IFERROR(__xludf.DUMMYFUNCTION("""COMPUTED_VALUE"""),"Hồ Anh Tuấn")</f>
        <v>Hồ Anh Tuấn</v>
      </c>
      <c r="C3468" s="119" t="str">
        <f>IFERROR(__xludf.DUMMYFUNCTION("""COMPUTED_VALUE"""),"Quảng Bình")</f>
        <v>Quảng Bình</v>
      </c>
      <c r="D3468" s="119" t="str">
        <f>IFERROR(__xludf.DUMMYFUNCTION("""COMPUTED_VALUE"""),"chó")</f>
        <v>chó</v>
      </c>
      <c r="E3468" s="119" t="str">
        <f>IFERROR(__xludf.DUMMYFUNCTION("""COMPUTED_VALUE"""),"Chiêu")</f>
        <v>Chiêu</v>
      </c>
    </row>
    <row r="3469" ht="15.75" customHeight="1">
      <c r="A3469" s="122" t="str">
        <f>IFERROR(__xludf.DUMMYFUNCTION("""COMPUTED_VALUE"""),"0855 237 040")</f>
        <v>0855 237 040</v>
      </c>
      <c r="B3469" s="119" t="str">
        <f>IFERROR(__xludf.DUMMYFUNCTION("""COMPUTED_VALUE"""),"Ngân")</f>
        <v>Ngân</v>
      </c>
      <c r="C3469" s="119" t="str">
        <f>IFERROR(__xludf.DUMMYFUNCTION("""COMPUTED_VALUE"""),"15/54 Nguyễn Phúc Nguyên")</f>
        <v>15/54 Nguyễn Phúc Nguyên</v>
      </c>
      <c r="D3469" s="119" t="str">
        <f>IFERROR(__xludf.DUMMYFUNCTION("""COMPUTED_VALUE"""),"Mèo")</f>
        <v>Mèo</v>
      </c>
      <c r="E3469" s="119" t="str">
        <f>IFERROR(__xludf.DUMMYFUNCTION("""COMPUTED_VALUE"""),"Mận")</f>
        <v>Mận</v>
      </c>
    </row>
    <row r="3470" ht="15.75" customHeight="1">
      <c r="A3470" s="122" t="str">
        <f>IFERROR(__xludf.DUMMYFUNCTION("""COMPUTED_VALUE"""),"0369 175 428")</f>
        <v>0369 175 428</v>
      </c>
      <c r="B3470" s="119" t="str">
        <f>IFERROR(__xludf.DUMMYFUNCTION("""COMPUTED_VALUE"""),"Quỳnh Anh")</f>
        <v>Quỳnh Anh</v>
      </c>
      <c r="C3470" s="119" t="str">
        <f>IFERROR(__xludf.DUMMYFUNCTION("""COMPUTED_VALUE"""),"342B Bùi Thị Xuân")</f>
        <v>342B Bùi Thị Xuân</v>
      </c>
      <c r="D3470" s="119" t="str">
        <f>IFERROR(__xludf.DUMMYFUNCTION("""COMPUTED_VALUE"""),"chó")</f>
        <v>chó</v>
      </c>
      <c r="E3470" s="119" t="str">
        <f>IFERROR(__xludf.DUMMYFUNCTION("""COMPUTED_VALUE"""),"Nhỏ")</f>
        <v>Nhỏ</v>
      </c>
    </row>
    <row r="3471" ht="15.75" customHeight="1">
      <c r="A3471" s="122" t="str">
        <f>IFERROR(__xludf.DUMMYFUNCTION("""COMPUTED_VALUE"""),"0932 574 300")</f>
        <v>0932 574 300</v>
      </c>
      <c r="B3471" s="119" t="str">
        <f>IFERROR(__xludf.DUMMYFUNCTION("""COMPUTED_VALUE"""),"Diệu Hương")</f>
        <v>Diệu Hương</v>
      </c>
      <c r="C3471" s="119" t="str">
        <f>IFERROR(__xludf.DUMMYFUNCTION("""COMPUTED_VALUE"""),"Minh Thanh")</f>
        <v>Minh Thanh</v>
      </c>
      <c r="D3471" s="119" t="str">
        <f>IFERROR(__xludf.DUMMYFUNCTION("""COMPUTED_VALUE"""),"Mèo")</f>
        <v>Mèo</v>
      </c>
      <c r="E3471" s="119" t="str">
        <f>IFERROR(__xludf.DUMMYFUNCTION("""COMPUTED_VALUE"""),"Ỉn")</f>
        <v>Ỉn</v>
      </c>
    </row>
    <row r="3472" ht="15.75" customHeight="1">
      <c r="A3472" s="122" t="str">
        <f>IFERROR(__xludf.DUMMYFUNCTION("""COMPUTED_VALUE"""),"0935 868 202")</f>
        <v>0935 868 202</v>
      </c>
      <c r="B3472" s="119" t="str">
        <f>IFERROR(__xludf.DUMMYFUNCTION("""COMPUTED_VALUE"""),"Quốc Anh")</f>
        <v>Quốc Anh</v>
      </c>
      <c r="C3472" s="119" t="str">
        <f>IFERROR(__xludf.DUMMYFUNCTION("""COMPUTED_VALUE"""),"1/27 nguyễn Phúc Lan")</f>
        <v>1/27 nguyễn Phúc Lan</v>
      </c>
      <c r="D3472" s="119" t="str">
        <f>IFERROR(__xludf.DUMMYFUNCTION("""COMPUTED_VALUE"""),"mèo")</f>
        <v>mèo</v>
      </c>
      <c r="E3472" s="119" t="str">
        <f>IFERROR(__xludf.DUMMYFUNCTION("""COMPUTED_VALUE"""),"đen")</f>
        <v>đen</v>
      </c>
    </row>
    <row r="3473" ht="15.75" customHeight="1">
      <c r="A3473" s="122" t="str">
        <f>IFERROR(__xludf.DUMMYFUNCTION("""COMPUTED_VALUE"""),"0813 312 784")</f>
        <v>0813 312 784</v>
      </c>
      <c r="B3473" s="119" t="str">
        <f>IFERROR(__xludf.DUMMYFUNCTION("""COMPUTED_VALUE"""),"Nhật Minh")</f>
        <v>Nhật Minh</v>
      </c>
      <c r="C3473" s="119" t="str">
        <f>IFERROR(__xludf.DUMMYFUNCTION("""COMPUTED_VALUE"""),"152 Kim Long")</f>
        <v>152 Kim Long</v>
      </c>
      <c r="D3473" s="119" t="str">
        <f>IFERROR(__xludf.DUMMYFUNCTION("""COMPUTED_VALUE"""),"Chó")</f>
        <v>Chó</v>
      </c>
      <c r="E3473" s="119" t="str">
        <f>IFERROR(__xludf.DUMMYFUNCTION("""COMPUTED_VALUE"""),"Ve")</f>
        <v>Ve</v>
      </c>
    </row>
    <row r="3474" ht="15.75" customHeight="1">
      <c r="A3474" s="122" t="str">
        <f>IFERROR(__xludf.DUMMYFUNCTION("""COMPUTED_VALUE"""),"0937 819 136")</f>
        <v>0937 819 136</v>
      </c>
      <c r="B3474" s="119" t="str">
        <f>IFERROR(__xludf.DUMMYFUNCTION("""COMPUTED_VALUE"""),"Thầy Phong")</f>
        <v>Thầy Phong</v>
      </c>
      <c r="C3474" s="119" t="str">
        <f>IFERROR(__xludf.DUMMYFUNCTION("""COMPUTED_VALUE"""),"Chùa Huyền Không")</f>
        <v>Chùa Huyền Không</v>
      </c>
      <c r="D3474" s="119" t="str">
        <f>IFERROR(__xludf.DUMMYFUNCTION("""COMPUTED_VALUE"""),"Chó")</f>
        <v>Chó</v>
      </c>
      <c r="E3474" s="119"/>
    </row>
    <row r="3475" ht="15.75" customHeight="1">
      <c r="A3475" s="122" t="str">
        <f>IFERROR(__xludf.DUMMYFUNCTION("""COMPUTED_VALUE"""),"0983 455 726")</f>
        <v>0983 455 726</v>
      </c>
      <c r="B3475" s="119" t="str">
        <f>IFERROR(__xludf.DUMMYFUNCTION("""COMPUTED_VALUE"""),"Chú Sơn")</f>
        <v>Chú Sơn</v>
      </c>
      <c r="C3475" s="119" t="str">
        <f>IFERROR(__xludf.DUMMYFUNCTION("""COMPUTED_VALUE"""),"Kim Long")</f>
        <v>Kim Long</v>
      </c>
      <c r="D3475" s="119" t="str">
        <f>IFERROR(__xludf.DUMMYFUNCTION("""COMPUTED_VALUE"""),"Chó")</f>
        <v>Chó</v>
      </c>
      <c r="E3475" s="119"/>
    </row>
    <row r="3476" ht="15.75" customHeight="1">
      <c r="A3476" s="122" t="str">
        <f>IFERROR(__xludf.DUMMYFUNCTION("""COMPUTED_VALUE"""),"0334 654 743")</f>
        <v>0334 654 743</v>
      </c>
      <c r="B3476" s="119" t="str">
        <f>IFERROR(__xludf.DUMMYFUNCTION("""COMPUTED_VALUE"""),"Anh Thư")</f>
        <v>Anh Thư</v>
      </c>
      <c r="C3476" s="119" t="str">
        <f>IFERROR(__xludf.DUMMYFUNCTION("""COMPUTED_VALUE"""),"48 Trần Hữu Phát")</f>
        <v>48 Trần Hữu Phát</v>
      </c>
      <c r="D3476" s="119" t="str">
        <f>IFERROR(__xludf.DUMMYFUNCTION("""COMPUTED_VALUE"""),"Chó")</f>
        <v>Chó</v>
      </c>
      <c r="E3476" s="119" t="str">
        <f>IFERROR(__xludf.DUMMYFUNCTION("""COMPUTED_VALUE"""),"Biu")</f>
        <v>Biu</v>
      </c>
    </row>
    <row r="3477" ht="15.75" customHeight="1">
      <c r="A3477" s="122" t="str">
        <f>IFERROR(__xludf.DUMMYFUNCTION("""COMPUTED_VALUE"""),"0931 978 292")</f>
        <v>0931 978 292</v>
      </c>
      <c r="B3477" s="119" t="str">
        <f>IFERROR(__xludf.DUMMYFUNCTION("""COMPUTED_VALUE"""),"Em Thành")</f>
        <v>Em Thành</v>
      </c>
      <c r="C3477" s="119" t="str">
        <f>IFERROR(__xludf.DUMMYFUNCTION("""COMPUTED_VALUE"""),"177/3 Hàn Mặc Tử")</f>
        <v>177/3 Hàn Mặc Tử</v>
      </c>
      <c r="D3477" s="119" t="str">
        <f>IFERROR(__xludf.DUMMYFUNCTION("""COMPUTED_VALUE"""),"mèo")</f>
        <v>mèo</v>
      </c>
      <c r="E3477" s="119" t="str">
        <f>IFERROR(__xludf.DUMMYFUNCTION("""COMPUTED_VALUE"""),"Báo")</f>
        <v>Báo</v>
      </c>
    </row>
    <row r="3478" ht="15.75" customHeight="1">
      <c r="A3478" s="122" t="str">
        <f>IFERROR(__xludf.DUMMYFUNCTION("""COMPUTED_VALUE"""),"0779 490 005")</f>
        <v>0779 490 005</v>
      </c>
      <c r="B3478" s="119" t="str">
        <f>IFERROR(__xludf.DUMMYFUNCTION("""COMPUTED_VALUE"""),"Chị Ngọc Anh")</f>
        <v>Chị Ngọc Anh</v>
      </c>
      <c r="C3478" s="119" t="str">
        <f>IFERROR(__xludf.DUMMYFUNCTION("""COMPUTED_VALUE"""),"55/9 Vạn Xuân")</f>
        <v>55/9 Vạn Xuân</v>
      </c>
      <c r="D3478" s="119" t="str">
        <f>IFERROR(__xludf.DUMMYFUNCTION("""COMPUTED_VALUE"""),"Chó")</f>
        <v>Chó</v>
      </c>
      <c r="E3478" s="119" t="str">
        <f>IFERROR(__xludf.DUMMYFUNCTION("""COMPUTED_VALUE"""),"Tóc")</f>
        <v>Tóc</v>
      </c>
    </row>
    <row r="3479" ht="15.75" customHeight="1">
      <c r="A3479" s="122" t="str">
        <f>IFERROR(__xludf.DUMMYFUNCTION("""COMPUTED_VALUE"""),"0979 547 349")</f>
        <v>0979 547 349</v>
      </c>
      <c r="B3479" s="119" t="str">
        <f>IFERROR(__xludf.DUMMYFUNCTION("""COMPUTED_VALUE"""),"Anh Khánh")</f>
        <v>Anh Khánh</v>
      </c>
      <c r="C3479" s="119" t="str">
        <f>IFERROR(__xludf.DUMMYFUNCTION("""COMPUTED_VALUE"""),"Lâm Đồng")</f>
        <v>Lâm Đồng</v>
      </c>
      <c r="D3479" s="119" t="str">
        <f>IFERROR(__xludf.DUMMYFUNCTION("""COMPUTED_VALUE"""),"Chó")</f>
        <v>Chó</v>
      </c>
      <c r="E3479" s="119" t="str">
        <f>IFERROR(__xludf.DUMMYFUNCTION("""COMPUTED_VALUE"""),"Gạo")</f>
        <v>Gạo</v>
      </c>
    </row>
    <row r="3480" ht="15.75" customHeight="1">
      <c r="A3480" s="122" t="str">
        <f>IFERROR(__xludf.DUMMYFUNCTION("""COMPUTED_VALUE"""),"0964 371 584")</f>
        <v>0964 371 584</v>
      </c>
      <c r="B3480" s="119" t="str">
        <f>IFERROR(__xludf.DUMMYFUNCTION("""COMPUTED_VALUE"""),"Petter")</f>
        <v>Petter</v>
      </c>
      <c r="C3480" s="119" t="str">
        <f>IFERROR(__xludf.DUMMYFUNCTION("""COMPUTED_VALUE"""),"Khải dịnh")</f>
        <v>Khải dịnh</v>
      </c>
      <c r="D3480" s="119" t="str">
        <f>IFERROR(__xludf.DUMMYFUNCTION("""COMPUTED_VALUE"""),"chó")</f>
        <v>chó</v>
      </c>
      <c r="E3480" s="119" t="str">
        <f>IFERROR(__xludf.DUMMYFUNCTION("""COMPUTED_VALUE"""),"Bắp")</f>
        <v>Bắp</v>
      </c>
    </row>
    <row r="3481" ht="15.75" customHeight="1">
      <c r="A3481" s="122" t="str">
        <f>IFERROR(__xludf.DUMMYFUNCTION("""COMPUTED_VALUE"""),"0969 485 695")</f>
        <v>0969 485 695</v>
      </c>
      <c r="B3481" s="119" t="str">
        <f>IFERROR(__xludf.DUMMYFUNCTION("""COMPUTED_VALUE"""),"Chị Hà")</f>
        <v>Chị Hà</v>
      </c>
      <c r="C3481" s="119" t="str">
        <f>IFERROR(__xludf.DUMMYFUNCTION("""COMPUTED_VALUE"""),"Hồ Dắc Di")</f>
        <v>Hồ Dắc Di</v>
      </c>
      <c r="D3481" s="119" t="str">
        <f>IFERROR(__xludf.DUMMYFUNCTION("""COMPUTED_VALUE"""),"mèo")</f>
        <v>mèo</v>
      </c>
      <c r="E3481" s="119" t="str">
        <f>IFERROR(__xludf.DUMMYFUNCTION("""COMPUTED_VALUE""")," mèo")</f>
        <v> mèo</v>
      </c>
    </row>
    <row r="3482" ht="15.75" customHeight="1">
      <c r="A3482" s="122" t="str">
        <f>IFERROR(__xludf.DUMMYFUNCTION("""COMPUTED_VALUE"""),"0935 178 584")</f>
        <v>0935 178 584</v>
      </c>
      <c r="B3482" s="119" t="str">
        <f>IFERROR(__xludf.DUMMYFUNCTION("""COMPUTED_VALUE"""),"Hoài Phương")</f>
        <v>Hoài Phương</v>
      </c>
      <c r="C3482" s="119" t="str">
        <f>IFERROR(__xludf.DUMMYFUNCTION("""COMPUTED_VALUE"""),"Kim Long")</f>
        <v>Kim Long</v>
      </c>
      <c r="D3482" s="119" t="str">
        <f>IFERROR(__xludf.DUMMYFUNCTION("""COMPUTED_VALUE"""),"mèo")</f>
        <v>mèo</v>
      </c>
      <c r="E3482" s="119" t="str">
        <f>IFERROR(__xludf.DUMMYFUNCTION("""COMPUTED_VALUE"""),"Mim")</f>
        <v>Mim</v>
      </c>
    </row>
    <row r="3483" ht="15.75" customHeight="1">
      <c r="A3483" s="122" t="str">
        <f>IFERROR(__xludf.DUMMYFUNCTION("""COMPUTED_VALUE"""),"0357 679 837")</f>
        <v>0357 679 837</v>
      </c>
      <c r="B3483" s="119" t="str">
        <f>IFERROR(__xludf.DUMMYFUNCTION("""COMPUTED_VALUE"""),"Cao Thị Thu Ly")</f>
        <v>Cao Thị Thu Ly</v>
      </c>
      <c r="C3483" s="119" t="str">
        <f>IFERROR(__xludf.DUMMYFUNCTION("""COMPUTED_VALUE"""),"73 Tùng Thiện Vương")</f>
        <v>73 Tùng Thiện Vương</v>
      </c>
      <c r="D3483" s="119" t="str">
        <f>IFERROR(__xludf.DUMMYFUNCTION("""COMPUTED_VALUE"""),"chó")</f>
        <v>chó</v>
      </c>
      <c r="E3483" s="119" t="str">
        <f>IFERROR(__xludf.DUMMYFUNCTION("""COMPUTED_VALUE"""),"La")</f>
        <v>La</v>
      </c>
    </row>
    <row r="3484" ht="15.75" customHeight="1">
      <c r="A3484" s="122" t="str">
        <f>IFERROR(__xludf.DUMMYFUNCTION("""COMPUTED_VALUE"""),"0837 702 234")</f>
        <v>0837 702 234</v>
      </c>
      <c r="B3484" s="119" t="str">
        <f>IFERROR(__xludf.DUMMYFUNCTION("""COMPUTED_VALUE"""),"Anh Trường")</f>
        <v>Anh Trường</v>
      </c>
      <c r="C3484" s="119" t="str">
        <f>IFERROR(__xludf.DUMMYFUNCTION("""COMPUTED_VALUE"""),"24 Trần Thúc Nhẫn")</f>
        <v>24 Trần Thúc Nhẫn</v>
      </c>
      <c r="D3484" s="119" t="str">
        <f>IFERROR(__xludf.DUMMYFUNCTION("""COMPUTED_VALUE"""),"Mèo")</f>
        <v>Mèo</v>
      </c>
      <c r="E3484" s="119" t="str">
        <f>IFERROR(__xludf.DUMMYFUNCTION("""COMPUTED_VALUE"""),"Táo")</f>
        <v>Táo</v>
      </c>
    </row>
    <row r="3485" ht="15.75" customHeight="1">
      <c r="A3485" s="122" t="str">
        <f>IFERROR(__xludf.DUMMYFUNCTION("""COMPUTED_VALUE"""),"0901 138 048")</f>
        <v>0901 138 048</v>
      </c>
      <c r="B3485" s="119" t="str">
        <f>IFERROR(__xludf.DUMMYFUNCTION("""COMPUTED_VALUE"""),"Anh Đạt")</f>
        <v>Anh Đạt</v>
      </c>
      <c r="C3485" s="119" t="str">
        <f>IFERROR(__xludf.DUMMYFUNCTION("""COMPUTED_VALUE"""),"10 sư liễu Quán")</f>
        <v>10 sư liễu Quán</v>
      </c>
      <c r="D3485" s="119" t="str">
        <f>IFERROR(__xludf.DUMMYFUNCTION("""COMPUTED_VALUE"""),"mèo")</f>
        <v>mèo</v>
      </c>
      <c r="E3485" s="119" t="str">
        <f>IFERROR(__xludf.DUMMYFUNCTION("""COMPUTED_VALUE"""),"mèo")</f>
        <v>mèo</v>
      </c>
    </row>
    <row r="3486" ht="15.75" customHeight="1">
      <c r="A3486" s="122" t="str">
        <f>IFERROR(__xludf.DUMMYFUNCTION("""COMPUTED_VALUE"""),"0905 730 396")</f>
        <v>0905 730 396</v>
      </c>
      <c r="B3486" s="119" t="str">
        <f>IFERROR(__xludf.DUMMYFUNCTION("""COMPUTED_VALUE"""),"Chị Nhi")</f>
        <v>Chị Nhi</v>
      </c>
      <c r="C3486" s="119" t="str">
        <f>IFERROR(__xludf.DUMMYFUNCTION("""COMPUTED_VALUE"""),"111 Nhật Lệ")</f>
        <v>111 Nhật Lệ</v>
      </c>
      <c r="D3486" s="119" t="str">
        <f>IFERROR(__xludf.DUMMYFUNCTION("""COMPUTED_VALUE"""),"chó")</f>
        <v>chó</v>
      </c>
      <c r="E3486" s="119" t="str">
        <f>IFERROR(__xludf.DUMMYFUNCTION("""COMPUTED_VALUE"""),"King")</f>
        <v>King</v>
      </c>
    </row>
    <row r="3487" ht="15.75" customHeight="1">
      <c r="A3487" s="122" t="str">
        <f>IFERROR(__xludf.DUMMYFUNCTION("""COMPUTED_VALUE"""),"0779 317 217")</f>
        <v>0779 317 217</v>
      </c>
      <c r="B3487" s="119" t="str">
        <f>IFERROR(__xludf.DUMMYFUNCTION("""COMPUTED_VALUE"""),"Chị Vân")</f>
        <v>Chị Vân</v>
      </c>
      <c r="C3487" s="119" t="str">
        <f>IFERROR(__xludf.DUMMYFUNCTION("""COMPUTED_VALUE"""),"8/5/44 An Ninh")</f>
        <v>8/5/44 An Ninh</v>
      </c>
      <c r="D3487" s="119" t="str">
        <f>IFERROR(__xludf.DUMMYFUNCTION("""COMPUTED_VALUE"""),"Chó")</f>
        <v>Chó</v>
      </c>
      <c r="E3487" s="119" t="str">
        <f>IFERROR(__xludf.DUMMYFUNCTION("""COMPUTED_VALUE"""),"Bun")</f>
        <v>Bun</v>
      </c>
    </row>
    <row r="3488" ht="15.75" customHeight="1">
      <c r="A3488" s="122" t="str">
        <f>IFERROR(__xludf.DUMMYFUNCTION("""COMPUTED_VALUE"""),"0773 974 194")</f>
        <v>0773 974 194</v>
      </c>
      <c r="B3488" s="119" t="str">
        <f>IFERROR(__xludf.DUMMYFUNCTION("""COMPUTED_VALUE"""),"Bảo Ngọc")</f>
        <v>Bảo Ngọc</v>
      </c>
      <c r="C3488" s="119" t="str">
        <f>IFERROR(__xludf.DUMMYFUNCTION("""COMPUTED_VALUE"""),"205/12 Bà Triệu")</f>
        <v>205/12 Bà Triệu</v>
      </c>
      <c r="D3488" s="119" t="str">
        <f>IFERROR(__xludf.DUMMYFUNCTION("""COMPUTED_VALUE"""),"mèo")</f>
        <v>mèo</v>
      </c>
      <c r="E3488" s="119" t="str">
        <f>IFERROR(__xludf.DUMMYFUNCTION("""COMPUTED_VALUE"""),"Salmon")</f>
        <v>Salmon</v>
      </c>
    </row>
    <row r="3489" ht="15.75" customHeight="1">
      <c r="A3489" s="122" t="str">
        <f>IFERROR(__xludf.DUMMYFUNCTION("""COMPUTED_VALUE"""),"0905 541 842")</f>
        <v>0905 541 842</v>
      </c>
      <c r="B3489" s="119" t="str">
        <f>IFERROR(__xludf.DUMMYFUNCTION("""COMPUTED_VALUE"""),"Chị Xuân")</f>
        <v>Chị Xuân</v>
      </c>
      <c r="C3489" s="119" t="str">
        <f>IFERROR(__xludf.DUMMYFUNCTION("""COMPUTED_VALUE"""),"15/54/k7 Ưng Bình")</f>
        <v>15/54/k7 Ưng Bình</v>
      </c>
      <c r="D3489" s="119" t="str">
        <f>IFERROR(__xludf.DUMMYFUNCTION("""COMPUTED_VALUE"""),"chó")</f>
        <v>chó</v>
      </c>
      <c r="E3489" s="119" t="str">
        <f>IFERROR(__xludf.DUMMYFUNCTION("""COMPUTED_VALUE"""),"Tony")</f>
        <v>Tony</v>
      </c>
    </row>
    <row r="3490" ht="15.75" customHeight="1">
      <c r="A3490" s="122" t="str">
        <f>IFERROR(__xludf.DUMMYFUNCTION("""COMPUTED_VALUE"""),"0938 787 610")</f>
        <v>0938 787 610</v>
      </c>
      <c r="B3490" s="119" t="str">
        <f>IFERROR(__xludf.DUMMYFUNCTION("""COMPUTED_VALUE"""),"Anh Nhân")</f>
        <v>Anh Nhân</v>
      </c>
      <c r="C3490" s="119" t="str">
        <f>IFERROR(__xludf.DUMMYFUNCTION("""COMPUTED_VALUE"""),"4/3/k41 Lê Quý Đôn")</f>
        <v>4/3/k41 Lê Quý Đôn</v>
      </c>
      <c r="D3490" s="119" t="str">
        <f>IFERROR(__xludf.DUMMYFUNCTION("""COMPUTED_VALUE"""),"chó")</f>
        <v>chó</v>
      </c>
      <c r="E3490" s="119" t="str">
        <f>IFERROR(__xludf.DUMMYFUNCTION("""COMPUTED_VALUE"""),"Xu")</f>
        <v>Xu</v>
      </c>
    </row>
    <row r="3491" ht="15.75" customHeight="1">
      <c r="A3491" s="122" t="str">
        <f>IFERROR(__xludf.DUMMYFUNCTION("""COMPUTED_VALUE"""),"0327 373 968")</f>
        <v>0327 373 968</v>
      </c>
      <c r="B3491" s="119" t="str">
        <f>IFERROR(__xludf.DUMMYFUNCTION("""COMPUTED_VALUE"""),"nguyễn minh đức")</f>
        <v>nguyễn minh đức</v>
      </c>
      <c r="C3491" s="119"/>
      <c r="D3491" s="119" t="str">
        <f>IFERROR(__xludf.DUMMYFUNCTION("""COMPUTED_VALUE"""),"chó")</f>
        <v>chó</v>
      </c>
      <c r="E3491" s="119" t="str">
        <f>IFERROR(__xludf.DUMMYFUNCTION("""COMPUTED_VALUE"""),"chó")</f>
        <v>chó</v>
      </c>
    </row>
    <row r="3492" ht="15.75" customHeight="1">
      <c r="A3492" s="122" t="str">
        <f>IFERROR(__xludf.DUMMYFUNCTION("""COMPUTED_VALUE"""),"0385 538 813")</f>
        <v>0385 538 813</v>
      </c>
      <c r="B3492" s="119" t="str">
        <f>IFERROR(__xludf.DUMMYFUNCTION("""COMPUTED_VALUE"""),"Chị My")</f>
        <v>Chị My</v>
      </c>
      <c r="C3492" s="119" t="str">
        <f>IFERROR(__xludf.DUMMYFUNCTION("""COMPUTED_VALUE"""),"11/346 Nguyễn Sinh Cung")</f>
        <v>11/346 Nguyễn Sinh Cung</v>
      </c>
      <c r="D3492" s="119" t="str">
        <f>IFERROR(__xludf.DUMMYFUNCTION("""COMPUTED_VALUE"""),"chó")</f>
        <v>chó</v>
      </c>
      <c r="E3492" s="119" t="str">
        <f>IFERROR(__xludf.DUMMYFUNCTION("""COMPUTED_VALUE"""),"Su")</f>
        <v>Su</v>
      </c>
    </row>
    <row r="3493" ht="15.75" customHeight="1">
      <c r="A3493" s="122" t="str">
        <f>IFERROR(__xludf.DUMMYFUNCTION("""COMPUTED_VALUE"""),"0338 001 919")</f>
        <v>0338 001 919</v>
      </c>
      <c r="B3493" s="119" t="str">
        <f>IFERROR(__xludf.DUMMYFUNCTION("""COMPUTED_VALUE"""),"Anh Thanh")</f>
        <v>Anh Thanh</v>
      </c>
      <c r="C3493" s="119" t="str">
        <f>IFERROR(__xludf.DUMMYFUNCTION("""COMPUTED_VALUE"""),"1/33 Nguyễn Khoa Chiêm")</f>
        <v>1/33 Nguyễn Khoa Chiêm</v>
      </c>
      <c r="D3493" s="119" t="str">
        <f>IFERROR(__xludf.DUMMYFUNCTION("""COMPUTED_VALUE"""),"Chó")</f>
        <v>Chó</v>
      </c>
      <c r="E3493" s="119" t="str">
        <f>IFERROR(__xludf.DUMMYFUNCTION("""COMPUTED_VALUE"""),"Rốt")</f>
        <v>Rốt</v>
      </c>
    </row>
    <row r="3494" ht="15.75" customHeight="1">
      <c r="A3494" s="122" t="str">
        <f>IFERROR(__xludf.DUMMYFUNCTION("""COMPUTED_VALUE"""),"0971 359 946")</f>
        <v>0971 359 946</v>
      </c>
      <c r="B3494" s="119" t="str">
        <f>IFERROR(__xludf.DUMMYFUNCTION("""COMPUTED_VALUE"""),"Mỹ Hảo")</f>
        <v>Mỹ Hảo</v>
      </c>
      <c r="C3494" s="119" t="str">
        <f>IFERROR(__xludf.DUMMYFUNCTION("""COMPUTED_VALUE"""),"Phú Dương, Phú Vang")</f>
        <v>Phú Dương, Phú Vang</v>
      </c>
      <c r="D3494" s="119" t="str">
        <f>IFERROR(__xludf.DUMMYFUNCTION("""COMPUTED_VALUE"""),"mèo")</f>
        <v>mèo</v>
      </c>
      <c r="E3494" s="119" t="str">
        <f>IFERROR(__xludf.DUMMYFUNCTION("""COMPUTED_VALUE"""),"Tam thể")</f>
        <v>Tam thể</v>
      </c>
    </row>
    <row r="3495" ht="15.75" customHeight="1">
      <c r="A3495" s="122" t="str">
        <f>IFERROR(__xludf.DUMMYFUNCTION("""COMPUTED_VALUE"""),"0979 810 163")</f>
        <v>0979 810 163</v>
      </c>
      <c r="B3495" s="119" t="str">
        <f>IFERROR(__xludf.DUMMYFUNCTION("""COMPUTED_VALUE"""),"Anh Xa Nhu")</f>
        <v>Anh Xa Nhu</v>
      </c>
      <c r="C3495" s="119" t="str">
        <f>IFERROR(__xludf.DUMMYFUNCTION("""COMPUTED_VALUE"""),"Hương Văn, Hương Trà")</f>
        <v>Hương Văn, Hương Trà</v>
      </c>
      <c r="D3495" s="119" t="str">
        <f>IFERROR(__xludf.DUMMYFUNCTION("""COMPUTED_VALUE"""),"chó")</f>
        <v>chó</v>
      </c>
      <c r="E3495" s="119" t="str">
        <f>IFERROR(__xludf.DUMMYFUNCTION("""COMPUTED_VALUE"""),"Ben")</f>
        <v>Ben</v>
      </c>
    </row>
    <row r="3496" ht="15.75" customHeight="1">
      <c r="A3496" s="122" t="str">
        <f>IFERROR(__xludf.DUMMYFUNCTION("""COMPUTED_VALUE"""),"0908 502 983")</f>
        <v>0908 502 983</v>
      </c>
      <c r="B3496" s="119" t="str">
        <f>IFERROR(__xludf.DUMMYFUNCTION("""COMPUTED_VALUE"""),"Minh Phụng")</f>
        <v>Minh Phụng</v>
      </c>
      <c r="C3496" s="119" t="str">
        <f>IFERROR(__xludf.DUMMYFUNCTION("""COMPUTED_VALUE"""),"Eco Garden, Thuỷ Vân")</f>
        <v>Eco Garden, Thuỷ Vân</v>
      </c>
      <c r="D3496" s="119" t="str">
        <f>IFERROR(__xludf.DUMMYFUNCTION("""COMPUTED_VALUE"""),"mèo")</f>
        <v>mèo</v>
      </c>
      <c r="E3496" s="119" t="str">
        <f>IFERROR(__xludf.DUMMYFUNCTION("""COMPUTED_VALUE"""),"Mint")</f>
        <v>Mint</v>
      </c>
    </row>
    <row r="3497" ht="15.75" customHeight="1">
      <c r="A3497" s="122" t="str">
        <f>IFERROR(__xludf.DUMMYFUNCTION("""COMPUTED_VALUE"""),"0944 445 058")</f>
        <v>0944 445 058</v>
      </c>
      <c r="B3497" s="119" t="str">
        <f>IFERROR(__xludf.DUMMYFUNCTION("""COMPUTED_VALUE"""),"Anh Xuân")</f>
        <v>Anh Xuân</v>
      </c>
      <c r="C3497" s="119" t="str">
        <f>IFERROR(__xludf.DUMMYFUNCTION("""COMPUTED_VALUE"""),"32 Thiên Thai")</f>
        <v>32 Thiên Thai</v>
      </c>
      <c r="D3497" s="119" t="str">
        <f>IFERROR(__xludf.DUMMYFUNCTION("""COMPUTED_VALUE"""),"Chó")</f>
        <v>Chó</v>
      </c>
      <c r="E3497" s="119" t="str">
        <f>IFERROR(__xludf.DUMMYFUNCTION("""COMPUTED_VALUE"""),"Ken")</f>
        <v>Ken</v>
      </c>
    </row>
    <row r="3498" ht="15.75" customHeight="1">
      <c r="A3498" s="122" t="str">
        <f>IFERROR(__xludf.DUMMYFUNCTION("""COMPUTED_VALUE"""),"0925 878 584")</f>
        <v>0925 878 584</v>
      </c>
      <c r="B3498" s="119" t="str">
        <f>IFERROR(__xludf.DUMMYFUNCTION("""COMPUTED_VALUE"""),"Nguyễn Hoài Phương")</f>
        <v>Nguyễn Hoài Phương</v>
      </c>
      <c r="C3498" s="119" t="str">
        <f>IFERROR(__xludf.DUMMYFUNCTION("""COMPUTED_VALUE"""),"1/1/21 Phan Trọng Tịnh")</f>
        <v>1/1/21 Phan Trọng Tịnh</v>
      </c>
      <c r="D3498" s="119" t="str">
        <f>IFERROR(__xludf.DUMMYFUNCTION("""COMPUTED_VALUE"""),"mèo")</f>
        <v>mèo</v>
      </c>
      <c r="E3498" s="119" t="str">
        <f>IFERROR(__xludf.DUMMYFUNCTION("""COMPUTED_VALUE"""),"Mim")</f>
        <v>Mim</v>
      </c>
    </row>
    <row r="3499" ht="15.75" customHeight="1">
      <c r="A3499" s="122" t="str">
        <f>IFERROR(__xludf.DUMMYFUNCTION("""COMPUTED_VALUE"""),"0935 329 383")</f>
        <v>0935 329 383</v>
      </c>
      <c r="B3499" s="119" t="str">
        <f>IFERROR(__xludf.DUMMYFUNCTION("""COMPUTED_VALUE"""),"Đình Thanh Hải")</f>
        <v>Đình Thanh Hải</v>
      </c>
      <c r="C3499" s="119" t="str">
        <f>IFERROR(__xludf.DUMMYFUNCTION("""COMPUTED_VALUE"""),"3/36 La Sơn Phu Tử")</f>
        <v>3/36 La Sơn Phu Tử</v>
      </c>
      <c r="D3499" s="119" t="str">
        <f>IFERROR(__xludf.DUMMYFUNCTION("""COMPUTED_VALUE"""),"Chó")</f>
        <v>Chó</v>
      </c>
      <c r="E3499" s="119" t="str">
        <f>IFERROR(__xludf.DUMMYFUNCTION("""COMPUTED_VALUE"""),"MiLo")</f>
        <v>MiLo</v>
      </c>
    </row>
    <row r="3500" ht="15.75" customHeight="1">
      <c r="A3500" s="122" t="str">
        <f>IFERROR(__xludf.DUMMYFUNCTION("""COMPUTED_VALUE"""),"0903 597 674")</f>
        <v>0903 597 674</v>
      </c>
      <c r="B3500" s="119" t="str">
        <f>IFERROR(__xludf.DUMMYFUNCTION("""COMPUTED_VALUE"""),"Chị Phượng")</f>
        <v>Chị Phượng</v>
      </c>
      <c r="C3500" s="119" t="str">
        <f>IFERROR(__xludf.DUMMYFUNCTION("""COMPUTED_VALUE"""),"104/37 Kim Long")</f>
        <v>104/37 Kim Long</v>
      </c>
      <c r="D3500" s="119" t="str">
        <f>IFERROR(__xludf.DUMMYFUNCTION("""COMPUTED_VALUE"""),"Chó")</f>
        <v>Chó</v>
      </c>
      <c r="E3500" s="119" t="str">
        <f>IFERROR(__xludf.DUMMYFUNCTION("""COMPUTED_VALUE"""),"Xoài")</f>
        <v>Xoài</v>
      </c>
    </row>
    <row r="3501" ht="15.75" customHeight="1">
      <c r="A3501" s="122" t="str">
        <f>IFERROR(__xludf.DUMMYFUNCTION("""COMPUTED_VALUE"""),"0935 000 945")</f>
        <v>0935 000 945</v>
      </c>
      <c r="B3501" s="119" t="str">
        <f>IFERROR(__xludf.DUMMYFUNCTION("""COMPUTED_VALUE"""),"Chị Thủy")</f>
        <v>Chị Thủy</v>
      </c>
      <c r="C3501" s="119" t="str">
        <f>IFERROR(__xludf.DUMMYFUNCTION("""COMPUTED_VALUE"""),"18 Hòa Mỹ- Tây Lộc")</f>
        <v>18 Hòa Mỹ- Tây Lộc</v>
      </c>
      <c r="D3501" s="119" t="str">
        <f>IFERROR(__xludf.DUMMYFUNCTION("""COMPUTED_VALUE"""),"Chó")</f>
        <v>Chó</v>
      </c>
      <c r="E3501" s="119" t="str">
        <f>IFERROR(__xludf.DUMMYFUNCTION("""COMPUTED_VALUE"""),"Ichi")</f>
        <v>Ichi</v>
      </c>
    </row>
    <row r="3502" ht="15.75" customHeight="1">
      <c r="A3502" s="122" t="str">
        <f>IFERROR(__xludf.DUMMYFUNCTION("""COMPUTED_VALUE"""),"0914 215 602")</f>
        <v>0914 215 602</v>
      </c>
      <c r="B3502" s="119" t="str">
        <f>IFERROR(__xludf.DUMMYFUNCTION("""COMPUTED_VALUE"""),"Trương Công Tuấn")</f>
        <v>Trương Công Tuấn</v>
      </c>
      <c r="C3502" s="119" t="str">
        <f>IFERROR(__xludf.DUMMYFUNCTION("""COMPUTED_VALUE"""),"21/54 Lê Ngô Cát")</f>
        <v>21/54 Lê Ngô Cát</v>
      </c>
      <c r="D3502" s="119" t="str">
        <f>IFERROR(__xludf.DUMMYFUNCTION("""COMPUTED_VALUE"""),"chó")</f>
        <v>chó</v>
      </c>
      <c r="E3502" s="119" t="str">
        <f>IFERROR(__xludf.DUMMYFUNCTION("""COMPUTED_VALUE"""),"Đen")</f>
        <v>Đen</v>
      </c>
    </row>
    <row r="3503" ht="15.75" customHeight="1">
      <c r="A3503" s="122" t="str">
        <f>IFERROR(__xludf.DUMMYFUNCTION("""COMPUTED_VALUE"""),"0348 500 667")</f>
        <v>0348 500 667</v>
      </c>
      <c r="B3503" s="119" t="str">
        <f>IFERROR(__xludf.DUMMYFUNCTION("""COMPUTED_VALUE"""),"Hoàng Thị Kim Thảo")</f>
        <v>Hoàng Thị Kim Thảo</v>
      </c>
      <c r="C3503" s="119" t="str">
        <f>IFERROR(__xludf.DUMMYFUNCTION("""COMPUTED_VALUE"""),"Quảng Điền, TT Huế")</f>
        <v>Quảng Điền, TT Huế</v>
      </c>
      <c r="D3503" s="119" t="str">
        <f>IFERROR(__xludf.DUMMYFUNCTION("""COMPUTED_VALUE"""),"Chó")</f>
        <v>Chó</v>
      </c>
      <c r="E3503" s="119" t="str">
        <f>IFERROR(__xludf.DUMMYFUNCTION("""COMPUTED_VALUE"""),"Bạc Xỉu")</f>
        <v>Bạc Xỉu</v>
      </c>
    </row>
    <row r="3504" ht="15.75" customHeight="1">
      <c r="A3504" s="122" t="str">
        <f>IFERROR(__xludf.DUMMYFUNCTION("""COMPUTED_VALUE"""),"0387 875 668")</f>
        <v>0387 875 668</v>
      </c>
      <c r="B3504" s="119" t="str">
        <f>IFERROR(__xludf.DUMMYFUNCTION("""COMPUTED_VALUE"""),"Chị Linh")</f>
        <v>Chị Linh</v>
      </c>
      <c r="C3504" s="119" t="str">
        <f>IFERROR(__xludf.DUMMYFUNCTION("""COMPUTED_VALUE"""),"22 Nguyễn Tuân")</f>
        <v>22 Nguyễn Tuân</v>
      </c>
      <c r="D3504" s="119" t="str">
        <f>IFERROR(__xludf.DUMMYFUNCTION("""COMPUTED_VALUE"""),"chó")</f>
        <v>chó</v>
      </c>
      <c r="E3504" s="119" t="str">
        <f>IFERROR(__xludf.DUMMYFUNCTION("""COMPUTED_VALUE"""),"Teddy")</f>
        <v>Teddy</v>
      </c>
    </row>
    <row r="3505" ht="15.75" customHeight="1">
      <c r="A3505" s="122" t="str">
        <f>IFERROR(__xludf.DUMMYFUNCTION("""COMPUTED_VALUE"""),"0762 519 732")</f>
        <v>0762 519 732</v>
      </c>
      <c r="B3505" s="119" t="str">
        <f>IFERROR(__xludf.DUMMYFUNCTION("""COMPUTED_VALUE"""),"Chị Mỹ Linh")</f>
        <v>Chị Mỹ Linh</v>
      </c>
      <c r="C3505" s="119" t="str">
        <f>IFERROR(__xludf.DUMMYFUNCTION("""COMPUTED_VALUE"""),"253/9 Điện Biên Phủ")</f>
        <v>253/9 Điện Biên Phủ</v>
      </c>
      <c r="D3505" s="119" t="str">
        <f>IFERROR(__xludf.DUMMYFUNCTION("""COMPUTED_VALUE"""),"mèo")</f>
        <v>mèo</v>
      </c>
      <c r="E3505" s="119" t="str">
        <f>IFERROR(__xludf.DUMMYFUNCTION("""COMPUTED_VALUE"""),"Mi Mi")</f>
        <v>Mi Mi</v>
      </c>
    </row>
    <row r="3506" ht="15.75" customHeight="1">
      <c r="A3506" s="122" t="str">
        <f>IFERROR(__xludf.DUMMYFUNCTION("""COMPUTED_VALUE"""),"0335 693 865")</f>
        <v>0335 693 865</v>
      </c>
      <c r="B3506" s="119" t="str">
        <f>IFERROR(__xludf.DUMMYFUNCTION("""COMPUTED_VALUE"""),"Chị Hà (chung)")</f>
        <v>Chị Hà (chung)</v>
      </c>
      <c r="C3506" s="119" t="str">
        <f>IFERROR(__xludf.DUMMYFUNCTION("""COMPUTED_VALUE"""),"25k250 Phan Bội Châu")</f>
        <v>25k250 Phan Bội Châu</v>
      </c>
      <c r="D3506" s="119" t="str">
        <f>IFERROR(__xludf.DUMMYFUNCTION("""COMPUTED_VALUE"""),"Chó")</f>
        <v>Chó</v>
      </c>
      <c r="E3506" s="119" t="str">
        <f>IFERROR(__xludf.DUMMYFUNCTION("""COMPUTED_VALUE"""),"Mèo")</f>
        <v>Mèo</v>
      </c>
    </row>
    <row r="3507" ht="15.75" customHeight="1">
      <c r="A3507" s="122" t="str">
        <f>IFERROR(__xludf.DUMMYFUNCTION("""COMPUTED_VALUE"""),"0358 235 750")</f>
        <v>0358 235 750</v>
      </c>
      <c r="B3507" s="119" t="str">
        <f>IFERROR(__xludf.DUMMYFUNCTION("""COMPUTED_VALUE"""),"Chị Hiền")</f>
        <v>Chị Hiền</v>
      </c>
      <c r="C3507" s="119" t="str">
        <f>IFERROR(__xludf.DUMMYFUNCTION("""COMPUTED_VALUE"""),"5/145 Điện Biên Phủ")</f>
        <v>5/145 Điện Biên Phủ</v>
      </c>
      <c r="D3507" s="119" t="str">
        <f>IFERROR(__xludf.DUMMYFUNCTION("""COMPUTED_VALUE"""),"chó")</f>
        <v>chó</v>
      </c>
      <c r="E3507" s="119" t="str">
        <f>IFERROR(__xludf.DUMMYFUNCTION("""COMPUTED_VALUE"""),"Xù")</f>
        <v>Xù</v>
      </c>
    </row>
    <row r="3508" ht="15.75" customHeight="1">
      <c r="A3508" s="122" t="str">
        <f>IFERROR(__xludf.DUMMYFUNCTION("""COMPUTED_VALUE"""),"0792 099 482")</f>
        <v>0792 099 482</v>
      </c>
      <c r="B3508" s="119" t="str">
        <f>IFERROR(__xludf.DUMMYFUNCTION("""COMPUTED_VALUE"""),"Anh Đức")</f>
        <v>Anh Đức</v>
      </c>
      <c r="C3508" s="119" t="str">
        <f>IFERROR(__xludf.DUMMYFUNCTION("""COMPUTED_VALUE"""),"12/65 Lê Ngô Cát")</f>
        <v>12/65 Lê Ngô Cát</v>
      </c>
      <c r="D3508" s="119" t="str">
        <f>IFERROR(__xludf.DUMMYFUNCTION("""COMPUTED_VALUE"""),"chó")</f>
        <v>chó</v>
      </c>
      <c r="E3508" s="119" t="str">
        <f>IFERROR(__xludf.DUMMYFUNCTION("""COMPUTED_VALUE"""),"Lu")</f>
        <v>Lu</v>
      </c>
    </row>
    <row r="3509" ht="15.75" customHeight="1">
      <c r="A3509" s="122" t="str">
        <f>IFERROR(__xludf.DUMMYFUNCTION("""COMPUTED_VALUE"""),"0564 365 250")</f>
        <v>0564 365 250</v>
      </c>
      <c r="B3509" s="119" t="str">
        <f>IFERROR(__xludf.DUMMYFUNCTION("""COMPUTED_VALUE"""),"Nguyễn Lê Mẫn Quân")</f>
        <v>Nguyễn Lê Mẫn Quân</v>
      </c>
      <c r="C3509" s="119" t="str">
        <f>IFERROR(__xludf.DUMMYFUNCTION("""COMPUTED_VALUE"""),"K36 Nguyễn Cư Trinh")</f>
        <v>K36 Nguyễn Cư Trinh</v>
      </c>
      <c r="D3509" s="119" t="str">
        <f>IFERROR(__xludf.DUMMYFUNCTION("""COMPUTED_VALUE"""),"mèo")</f>
        <v>mèo</v>
      </c>
      <c r="E3509" s="119" t="str">
        <f>IFERROR(__xludf.DUMMYFUNCTION("""COMPUTED_VALUE"""),"Fony")</f>
        <v>Fony</v>
      </c>
    </row>
    <row r="3510" ht="15.75" customHeight="1">
      <c r="A3510" s="122" t="str">
        <f>IFERROR(__xludf.DUMMYFUNCTION("""COMPUTED_VALUE"""),"0773 543 051")</f>
        <v>0773 543 051</v>
      </c>
      <c r="B3510" s="119" t="str">
        <f>IFERROR(__xludf.DUMMYFUNCTION("""COMPUTED_VALUE"""),"Chị Trang")</f>
        <v>Chị Trang</v>
      </c>
      <c r="C3510" s="119" t="str">
        <f>IFERROR(__xludf.DUMMYFUNCTION("""COMPUTED_VALUE"""),"106 Minh Mạng")</f>
        <v>106 Minh Mạng</v>
      </c>
      <c r="D3510" s="119" t="str">
        <f>IFERROR(__xludf.DUMMYFUNCTION("""COMPUTED_VALUE"""),"Chó")</f>
        <v>Chó</v>
      </c>
      <c r="E3510" s="119" t="str">
        <f>IFERROR(__xludf.DUMMYFUNCTION("""COMPUTED_VALUE"""),"Cua")</f>
        <v>Cua</v>
      </c>
    </row>
    <row r="3511" ht="15.75" customHeight="1">
      <c r="A3511" s="122" t="str">
        <f>IFERROR(__xludf.DUMMYFUNCTION("""COMPUTED_VALUE"""),"0968 752 468")</f>
        <v>0968 752 468</v>
      </c>
      <c r="B3511" s="119" t="str">
        <f>IFERROR(__xludf.DUMMYFUNCTION("""COMPUTED_VALUE"""),"Thanh Phương")</f>
        <v>Thanh Phương</v>
      </c>
      <c r="C3511" s="119" t="str">
        <f>IFERROR(__xludf.DUMMYFUNCTION("""COMPUTED_VALUE"""),"85/ 131 Trần Phú")</f>
        <v>85/ 131 Trần Phú</v>
      </c>
      <c r="D3511" s="119" t="str">
        <f>IFERROR(__xludf.DUMMYFUNCTION("""COMPUTED_VALUE"""),"Chó")</f>
        <v>Chó</v>
      </c>
      <c r="E3511" s="119" t="str">
        <f>IFERROR(__xludf.DUMMYFUNCTION("""COMPUTED_VALUE"""),"Mực")</f>
        <v>Mực</v>
      </c>
    </row>
    <row r="3512" ht="15.75" customHeight="1">
      <c r="A3512" s="122" t="str">
        <f>IFERROR(__xludf.DUMMYFUNCTION("""COMPUTED_VALUE"""),"0768 525 116")</f>
        <v>0768 525 116</v>
      </c>
      <c r="B3512" s="119" t="str">
        <f>IFERROR(__xludf.DUMMYFUNCTION("""COMPUTED_VALUE"""),"Anh Phúc")</f>
        <v>Anh Phúc</v>
      </c>
      <c r="C3512" s="119" t="str">
        <f>IFERROR(__xludf.DUMMYFUNCTION("""COMPUTED_VALUE"""),"xóm 4 Ngọc Anh")</f>
        <v>xóm 4 Ngọc Anh</v>
      </c>
      <c r="D3512" s="119" t="str">
        <f>IFERROR(__xludf.DUMMYFUNCTION("""COMPUTED_VALUE"""),"chó")</f>
        <v>chó</v>
      </c>
      <c r="E3512" s="119" t="str">
        <f>IFERROR(__xludf.DUMMYFUNCTION("""COMPUTED_VALUE"""),"Voi")</f>
        <v>Voi</v>
      </c>
    </row>
    <row r="3513" ht="15.75" customHeight="1">
      <c r="A3513" s="122" t="str">
        <f>IFERROR(__xludf.DUMMYFUNCTION("""COMPUTED_VALUE"""),"0328 517 337")</f>
        <v>0328 517 337</v>
      </c>
      <c r="B3513" s="119" t="str">
        <f>IFERROR(__xludf.DUMMYFUNCTION("""COMPUTED_VALUE"""),"Anh Lê Thắng")</f>
        <v>Anh Lê Thắng</v>
      </c>
      <c r="C3513" s="119" t="str">
        <f>IFERROR(__xludf.DUMMYFUNCTION("""COMPUTED_VALUE"""),"36/93 Đặng Huy Trứ")</f>
        <v>36/93 Đặng Huy Trứ</v>
      </c>
      <c r="D3513" s="119" t="str">
        <f>IFERROR(__xludf.DUMMYFUNCTION("""COMPUTED_VALUE"""),"chó")</f>
        <v>chó</v>
      </c>
      <c r="E3513" s="119" t="str">
        <f>IFERROR(__xludf.DUMMYFUNCTION("""COMPUTED_VALUE"""),"Phóc")</f>
        <v>Phóc</v>
      </c>
    </row>
    <row r="3514" ht="15.75" customHeight="1">
      <c r="A3514" s="122" t="str">
        <f>IFERROR(__xludf.DUMMYFUNCTION("""COMPUTED_VALUE"""),"0935 210 489")</f>
        <v>0935 210 489</v>
      </c>
      <c r="B3514" s="119" t="str">
        <f>IFERROR(__xludf.DUMMYFUNCTION("""COMPUTED_VALUE"""),"Dì Trần Thị Hoa")</f>
        <v>Dì Trần Thị Hoa</v>
      </c>
      <c r="C3514" s="119" t="str">
        <f>IFERROR(__xludf.DUMMYFUNCTION("""COMPUTED_VALUE"""),"12/k35 Điện Biên Phủ")</f>
        <v>12/k35 Điện Biên Phủ</v>
      </c>
      <c r="D3514" s="119" t="str">
        <f>IFERROR(__xludf.DUMMYFUNCTION("""COMPUTED_VALUE"""),"chó")</f>
        <v>chó</v>
      </c>
      <c r="E3514" s="119" t="str">
        <f>IFERROR(__xludf.DUMMYFUNCTION("""COMPUTED_VALUE"""),"Tony")</f>
        <v>Tony</v>
      </c>
    </row>
    <row r="3515" ht="15.75" customHeight="1">
      <c r="A3515" s="122" t="str">
        <f>IFERROR(__xludf.DUMMYFUNCTION("""COMPUTED_VALUE"""),"0856 006 456")</f>
        <v>0856 006 456</v>
      </c>
      <c r="B3515" s="119" t="str">
        <f>IFERROR(__xludf.DUMMYFUNCTION("""COMPUTED_VALUE"""),"Chị Trang")</f>
        <v>Chị Trang</v>
      </c>
      <c r="C3515" s="119" t="str">
        <f>IFERROR(__xludf.DUMMYFUNCTION("""COMPUTED_VALUE"""),"10 Nguyễn Hoàng")</f>
        <v>10 Nguyễn Hoàng</v>
      </c>
      <c r="D3515" s="119" t="str">
        <f>IFERROR(__xludf.DUMMYFUNCTION("""COMPUTED_VALUE"""),"chó")</f>
        <v>chó</v>
      </c>
      <c r="E3515" s="119" t="str">
        <f>IFERROR(__xludf.DUMMYFUNCTION("""COMPUTED_VALUE"""),"Xu")</f>
        <v>Xu</v>
      </c>
    </row>
    <row r="3516" ht="15.75" customHeight="1">
      <c r="A3516" s="122" t="str">
        <f>IFERROR(__xludf.DUMMYFUNCTION("""COMPUTED_VALUE"""),"0794 723 291")</f>
        <v>0794 723 291</v>
      </c>
      <c r="B3516" s="119" t="str">
        <f>IFERROR(__xludf.DUMMYFUNCTION("""COMPUTED_VALUE"""),"Hồ Văn Huy")</f>
        <v>Hồ Văn Huy</v>
      </c>
      <c r="C3516" s="119" t="str">
        <f>IFERROR(__xludf.DUMMYFUNCTION("""COMPUTED_VALUE"""),"17/42/2 Đào tấn")</f>
        <v>17/42/2 Đào tấn</v>
      </c>
      <c r="D3516" s="119" t="str">
        <f>IFERROR(__xludf.DUMMYFUNCTION("""COMPUTED_VALUE"""),"chó")</f>
        <v>chó</v>
      </c>
      <c r="E3516" s="119" t="str">
        <f>IFERROR(__xludf.DUMMYFUNCTION("""COMPUTED_VALUE"""),"Bông")</f>
        <v>Bông</v>
      </c>
    </row>
    <row r="3517" ht="15.75" customHeight="1">
      <c r="A3517" s="122" t="str">
        <f>IFERROR(__xludf.DUMMYFUNCTION("""COMPUTED_VALUE"""),"0393 190 968")</f>
        <v>0393 190 968</v>
      </c>
      <c r="B3517" s="119" t="str">
        <f>IFERROR(__xludf.DUMMYFUNCTION("""COMPUTED_VALUE"""),"Thương")</f>
        <v>Thương</v>
      </c>
      <c r="C3517" s="119" t="str">
        <f>IFERROR(__xludf.DUMMYFUNCTION("""COMPUTED_VALUE"""),"6 Lương Văn Can")</f>
        <v>6 Lương Văn Can</v>
      </c>
      <c r="D3517" s="119" t="str">
        <f>IFERROR(__xludf.DUMMYFUNCTION("""COMPUTED_VALUE"""),"mèo")</f>
        <v>mèo</v>
      </c>
      <c r="E3517" s="119" t="str">
        <f>IFERROR(__xludf.DUMMYFUNCTION("""COMPUTED_VALUE"""),"Bi")</f>
        <v>Bi</v>
      </c>
    </row>
    <row r="3518" ht="15.75" customHeight="1">
      <c r="A3518" s="122" t="str">
        <f>IFERROR(__xludf.DUMMYFUNCTION("""COMPUTED_VALUE"""),"0979 538 407")</f>
        <v>0979 538 407</v>
      </c>
      <c r="B3518" s="119" t="str">
        <f>IFERROR(__xludf.DUMMYFUNCTION("""COMPUTED_VALUE"""),"Chị My")</f>
        <v>Chị My</v>
      </c>
      <c r="C3518" s="119" t="str">
        <f>IFERROR(__xludf.DUMMYFUNCTION("""COMPUTED_VALUE"""),"98/7 Nguyễn Phúc Nguyên")</f>
        <v>98/7 Nguyễn Phúc Nguyên</v>
      </c>
      <c r="D3518" s="119" t="str">
        <f>IFERROR(__xludf.DUMMYFUNCTION("""COMPUTED_VALUE"""),"chó")</f>
        <v>chó</v>
      </c>
      <c r="E3518" s="119" t="str">
        <f>IFERROR(__xludf.DUMMYFUNCTION("""COMPUTED_VALUE"""),"Ken")</f>
        <v>Ken</v>
      </c>
    </row>
    <row r="3519" ht="15.75" customHeight="1">
      <c r="A3519" s="122" t="str">
        <f>IFERROR(__xludf.DUMMYFUNCTION("""COMPUTED_VALUE"""),"0767 271 328")</f>
        <v>0767 271 328</v>
      </c>
      <c r="B3519" s="119" t="str">
        <f>IFERROR(__xludf.DUMMYFUNCTION("""COMPUTED_VALUE"""),"Chị Nhung")</f>
        <v>Chị Nhung</v>
      </c>
      <c r="C3519" s="119" t="str">
        <f>IFERROR(__xludf.DUMMYFUNCTION("""COMPUTED_VALUE"""),"10/129 An Dương Vương")</f>
        <v>10/129 An Dương Vương</v>
      </c>
      <c r="D3519" s="119" t="str">
        <f>IFERROR(__xludf.DUMMYFUNCTION("""COMPUTED_VALUE"""),"mèo")</f>
        <v>mèo</v>
      </c>
      <c r="E3519" s="119" t="str">
        <f>IFERROR(__xludf.DUMMYFUNCTION("""COMPUTED_VALUE"""),"Xì")</f>
        <v>Xì</v>
      </c>
    </row>
    <row r="3520" ht="15.75" customHeight="1">
      <c r="A3520" s="122" t="str">
        <f>IFERROR(__xludf.DUMMYFUNCTION("""COMPUTED_VALUE"""),"0365 148 373")</f>
        <v>0365 148 373</v>
      </c>
      <c r="B3520" s="119" t="str">
        <f>IFERROR(__xludf.DUMMYFUNCTION("""COMPUTED_VALUE"""),"Chị Hường")</f>
        <v>Chị Hường</v>
      </c>
      <c r="C3520" s="119" t="str">
        <f>IFERROR(__xludf.DUMMYFUNCTION("""COMPUTED_VALUE"""),"19 Nguyễn Phúc Thụ")</f>
        <v>19 Nguyễn Phúc Thụ</v>
      </c>
      <c r="D3520" s="119" t="str">
        <f>IFERROR(__xludf.DUMMYFUNCTION("""COMPUTED_VALUE"""),"chó")</f>
        <v>chó</v>
      </c>
      <c r="E3520" s="119"/>
    </row>
    <row r="3521" ht="15.75" customHeight="1">
      <c r="A3521" s="122" t="str">
        <f>IFERROR(__xludf.DUMMYFUNCTION("""COMPUTED_VALUE"""),"0384 261 117")</f>
        <v>0384 261 117</v>
      </c>
      <c r="B3521" s="119" t="str">
        <f>IFERROR(__xludf.DUMMYFUNCTION("""COMPUTED_VALUE"""),"Chị Hằng")</f>
        <v>Chị Hằng</v>
      </c>
      <c r="C3521" s="119" t="str">
        <f>IFERROR(__xludf.DUMMYFUNCTION("""COMPUTED_VALUE"""),"84 Vạn Xuân")</f>
        <v>84 Vạn Xuân</v>
      </c>
      <c r="D3521" s="119" t="str">
        <f>IFERROR(__xludf.DUMMYFUNCTION("""COMPUTED_VALUE"""),"mèo")</f>
        <v>mèo</v>
      </c>
      <c r="E3521" s="119" t="str">
        <f>IFERROR(__xludf.DUMMYFUNCTION("""COMPUTED_VALUE"""),"Sam")</f>
        <v>Sam</v>
      </c>
    </row>
    <row r="3522" ht="15.75" customHeight="1">
      <c r="A3522" s="122" t="str">
        <f>IFERROR(__xludf.DUMMYFUNCTION("""COMPUTED_VALUE"""),"0905 845 712")</f>
        <v>0905 845 712</v>
      </c>
      <c r="B3522" s="119" t="str">
        <f>IFERROR(__xludf.DUMMYFUNCTION("""COMPUTED_VALUE"""),"Chú Chương ")</f>
        <v>Chú Chương </v>
      </c>
      <c r="C3522" s="119" t="str">
        <f>IFERROR(__xludf.DUMMYFUNCTION("""COMPUTED_VALUE"""),"Trường Nguyễn Hoàng")</f>
        <v>Trường Nguyễn Hoàng</v>
      </c>
      <c r="D3522" s="119" t="str">
        <f>IFERROR(__xludf.DUMMYFUNCTION("""COMPUTED_VALUE"""),"chó")</f>
        <v>chó</v>
      </c>
      <c r="E3522" s="119" t="str">
        <f>IFERROR(__xludf.DUMMYFUNCTION("""COMPUTED_VALUE"""),"Milu")</f>
        <v>Milu</v>
      </c>
    </row>
    <row r="3523" ht="15.75" customHeight="1">
      <c r="A3523" s="122" t="str">
        <f>IFERROR(__xludf.DUMMYFUNCTION("""COMPUTED_VALUE"""),"0768 411 171")</f>
        <v>0768 411 171</v>
      </c>
      <c r="B3523" s="119" t="str">
        <f>IFERROR(__xludf.DUMMYFUNCTION("""COMPUTED_VALUE"""),"Kiều Trân")</f>
        <v>Kiều Trân</v>
      </c>
      <c r="C3523" s="119" t="str">
        <f>IFERROR(__xludf.DUMMYFUNCTION("""COMPUTED_VALUE"""),"30 Thạch Hản")</f>
        <v>30 Thạch Hản</v>
      </c>
      <c r="D3523" s="119" t="str">
        <f>IFERROR(__xludf.DUMMYFUNCTION("""COMPUTED_VALUE"""),"chó ")</f>
        <v>chó </v>
      </c>
      <c r="E3523" s="119" t="str">
        <f>IFERROR(__xludf.DUMMYFUNCTION("""COMPUTED_VALUE"""),"Five")</f>
        <v>Five</v>
      </c>
    </row>
    <row r="3524" ht="15.75" customHeight="1">
      <c r="A3524" s="122" t="str">
        <f>IFERROR(__xludf.DUMMYFUNCTION("""COMPUTED_VALUE"""),"0762 656 277")</f>
        <v>0762 656 277</v>
      </c>
      <c r="B3524" s="119" t="str">
        <f>IFERROR(__xludf.DUMMYFUNCTION("""COMPUTED_VALUE"""),"Lê Duy Hoàng")</f>
        <v>Lê Duy Hoàng</v>
      </c>
      <c r="C3524" s="119" t="str">
        <f>IFERROR(__xludf.DUMMYFUNCTION("""COMPUTED_VALUE"""),"Phạm Thị Liên")</f>
        <v>Phạm Thị Liên</v>
      </c>
      <c r="D3524" s="119" t="str">
        <f>IFERROR(__xludf.DUMMYFUNCTION("""COMPUTED_VALUE"""),"mèo")</f>
        <v>mèo</v>
      </c>
      <c r="E3524" s="119" t="str">
        <f>IFERROR(__xludf.DUMMYFUNCTION("""COMPUTED_VALUE"""),"Shun")</f>
        <v>Shun</v>
      </c>
    </row>
    <row r="3525" ht="15.75" customHeight="1">
      <c r="A3525" s="122" t="str">
        <f>IFERROR(__xludf.DUMMYFUNCTION("""COMPUTED_VALUE"""),"0905 654 444")</f>
        <v>0905 654 444</v>
      </c>
      <c r="B3525" s="119" t="str">
        <f>IFERROR(__xludf.DUMMYFUNCTION("""COMPUTED_VALUE"""),"Kỳ Đoàn")</f>
        <v>Kỳ Đoàn</v>
      </c>
      <c r="C3525" s="119" t="str">
        <f>IFERROR(__xludf.DUMMYFUNCTION("""COMPUTED_VALUE"""),"103 Vạn Xuân")</f>
        <v>103 Vạn Xuân</v>
      </c>
      <c r="D3525" s="119" t="str">
        <f>IFERROR(__xludf.DUMMYFUNCTION("""COMPUTED_VALUE"""),"chó")</f>
        <v>chó</v>
      </c>
      <c r="E3525" s="119"/>
    </row>
    <row r="3526" ht="15.75" customHeight="1">
      <c r="A3526" s="122" t="str">
        <f>IFERROR(__xludf.DUMMYFUNCTION("""COMPUTED_VALUE"""),"0395 139 805")</f>
        <v>0395 139 805</v>
      </c>
      <c r="B3526" s="119" t="str">
        <f>IFERROR(__xludf.DUMMYFUNCTION("""COMPUTED_VALUE"""),"Chị Linh")</f>
        <v>Chị Linh</v>
      </c>
      <c r="C3526" s="119" t="str">
        <f>IFERROR(__xludf.DUMMYFUNCTION("""COMPUTED_VALUE"""),"18 Mai Khắc Đôn")</f>
        <v>18 Mai Khắc Đôn</v>
      </c>
      <c r="D3526" s="119" t="str">
        <f>IFERROR(__xludf.DUMMYFUNCTION("""COMPUTED_VALUE"""),"mèo")</f>
        <v>mèo</v>
      </c>
      <c r="E3526" s="119" t="str">
        <f>IFERROR(__xludf.DUMMYFUNCTION("""COMPUTED_VALUE"""),"Ky")</f>
        <v>Ky</v>
      </c>
    </row>
    <row r="3527" ht="15.75" customHeight="1">
      <c r="A3527" s="122" t="str">
        <f>IFERROR(__xludf.DUMMYFUNCTION("""COMPUTED_VALUE"""),"0967 354 777")</f>
        <v>0967 354 777</v>
      </c>
      <c r="B3527" s="119" t="str">
        <f>IFERROR(__xludf.DUMMYFUNCTION("""COMPUTED_VALUE"""),"Chị Muội")</f>
        <v>Chị Muội</v>
      </c>
      <c r="C3527" s="119" t="str">
        <f>IFERROR(__xludf.DUMMYFUNCTION("""COMPUTED_VALUE"""),"Cam Lộ - Quảng trị ")</f>
        <v>Cam Lộ - Quảng trị </v>
      </c>
      <c r="D3527" s="119" t="str">
        <f>IFERROR(__xludf.DUMMYFUNCTION("""COMPUTED_VALUE"""),"Chó ")</f>
        <v>Chó </v>
      </c>
      <c r="E3527" s="119" t="str">
        <f>IFERROR(__xludf.DUMMYFUNCTION("""COMPUTED_VALUE"""),"Sumo")</f>
        <v>Sumo</v>
      </c>
    </row>
    <row r="3528" ht="15.75" customHeight="1">
      <c r="A3528" s="122" t="str">
        <f>IFERROR(__xludf.DUMMYFUNCTION("""COMPUTED_VALUE"""),"0327 123 760")</f>
        <v>0327 123 760</v>
      </c>
      <c r="B3528" s="119" t="str">
        <f>IFERROR(__xludf.DUMMYFUNCTION("""COMPUTED_VALUE"""),"Tuấn")</f>
        <v>Tuấn</v>
      </c>
      <c r="C3528" s="119" t="str">
        <f>IFERROR(__xludf.DUMMYFUNCTION("""COMPUTED_VALUE"""),"60/10 Phạm Thị Liên")</f>
        <v>60/10 Phạm Thị Liên</v>
      </c>
      <c r="D3528" s="119" t="str">
        <f>IFERROR(__xludf.DUMMYFUNCTION("""COMPUTED_VALUE"""),"chó")</f>
        <v>chó</v>
      </c>
      <c r="E3528" s="119" t="str">
        <f>IFERROR(__xludf.DUMMYFUNCTION("""COMPUTED_VALUE"""),"Xù")</f>
        <v>Xù</v>
      </c>
    </row>
    <row r="3529" ht="15.75" customHeight="1">
      <c r="A3529" s="122" t="str">
        <f>IFERROR(__xludf.DUMMYFUNCTION("""COMPUTED_VALUE"""),"0383 673 651")</f>
        <v>0383 673 651</v>
      </c>
      <c r="B3529" s="119" t="str">
        <f>IFERROR(__xludf.DUMMYFUNCTION("""COMPUTED_VALUE"""),"Em Minh")</f>
        <v>Em Minh</v>
      </c>
      <c r="C3529" s="119" t="str">
        <f>IFERROR(__xludf.DUMMYFUNCTION("""COMPUTED_VALUE"""),"22/k80 Bửu Điình")</f>
        <v>22/k80 Bửu Điình</v>
      </c>
      <c r="D3529" s="119" t="str">
        <f>IFERROR(__xludf.DUMMYFUNCTION("""COMPUTED_VALUE"""),"Mèo")</f>
        <v>Mèo</v>
      </c>
      <c r="E3529" s="119" t="str">
        <f>IFERROR(__xludf.DUMMYFUNCTION("""COMPUTED_VALUE"""),"Điên")</f>
        <v>Điên</v>
      </c>
    </row>
    <row r="3530" ht="15.75" customHeight="1">
      <c r="A3530" s="122" t="str">
        <f>IFERROR(__xludf.DUMMYFUNCTION("""COMPUTED_VALUE"""),"0905 486 585")</f>
        <v>0905 486 585</v>
      </c>
      <c r="B3530" s="119" t="str">
        <f>IFERROR(__xludf.DUMMYFUNCTION("""COMPUTED_VALUE"""),"Anh Tú")</f>
        <v>Anh Tú</v>
      </c>
      <c r="C3530" s="119" t="str">
        <f>IFERROR(__xludf.DUMMYFUNCTION("""COMPUTED_VALUE"""),"4A Anh Ninh")</f>
        <v>4A Anh Ninh</v>
      </c>
      <c r="D3530" s="119" t="str">
        <f>IFERROR(__xludf.DUMMYFUNCTION("""COMPUTED_VALUE"""),"Chó")</f>
        <v>Chó</v>
      </c>
      <c r="E3530" s="119" t="str">
        <f>IFERROR(__xludf.DUMMYFUNCTION("""COMPUTED_VALUE"""),"Vàng")</f>
        <v>Vàng</v>
      </c>
    </row>
    <row r="3531" ht="15.75" customHeight="1">
      <c r="A3531" s="122" t="str">
        <f>IFERROR(__xludf.DUMMYFUNCTION("""COMPUTED_VALUE"""),"0935 662 252")</f>
        <v>0935 662 252</v>
      </c>
      <c r="B3531" s="119" t="str">
        <f>IFERROR(__xludf.DUMMYFUNCTION("""COMPUTED_VALUE"""),"Chị Vinh")</f>
        <v>Chị Vinh</v>
      </c>
      <c r="C3531" s="119" t="str">
        <f>IFERROR(__xludf.DUMMYFUNCTION("""COMPUTED_VALUE"""),"39 Nguyễn Hoàng")</f>
        <v>39 Nguyễn Hoàng</v>
      </c>
      <c r="D3531" s="119" t="str">
        <f>IFERROR(__xludf.DUMMYFUNCTION("""COMPUTED_VALUE"""),"Chó")</f>
        <v>Chó</v>
      </c>
      <c r="E3531" s="119" t="str">
        <f>IFERROR(__xludf.DUMMYFUNCTION("""COMPUTED_VALUE"""),"Phin")</f>
        <v>Phin</v>
      </c>
    </row>
    <row r="3532" ht="15.75" customHeight="1">
      <c r="A3532" s="122" t="str">
        <f>IFERROR(__xludf.DUMMYFUNCTION("""COMPUTED_VALUE"""),"0987 353 602")</f>
        <v>0987 353 602</v>
      </c>
      <c r="B3532" s="119" t="str">
        <f>IFERROR(__xludf.DUMMYFUNCTION("""COMPUTED_VALUE"""),"Anh Lít")</f>
        <v>Anh Lít</v>
      </c>
      <c r="C3532" s="119" t="str">
        <f>IFERROR(__xludf.DUMMYFUNCTION("""COMPUTED_VALUE"""),"Lý Nam Đế")</f>
        <v>Lý Nam Đế</v>
      </c>
      <c r="D3532" s="119" t="str">
        <f>IFERROR(__xludf.DUMMYFUNCTION("""COMPUTED_VALUE"""),"Gà")</f>
        <v>Gà</v>
      </c>
      <c r="E3532" s="119"/>
    </row>
    <row r="3533" ht="15.75" customHeight="1">
      <c r="A3533" s="122" t="str">
        <f>IFERROR(__xludf.DUMMYFUNCTION("""COMPUTED_VALUE"""),"0985 291 006")</f>
        <v>0985 291 006</v>
      </c>
      <c r="B3533" s="119" t="str">
        <f>IFERROR(__xludf.DUMMYFUNCTION("""COMPUTED_VALUE"""),"Bác Minh ")</f>
        <v>Bác Minh </v>
      </c>
      <c r="C3533" s="119" t="str">
        <f>IFERROR(__xludf.DUMMYFUNCTION("""COMPUTED_VALUE"""),"Hương Hồ ")</f>
        <v>Hương Hồ </v>
      </c>
      <c r="D3533" s="119" t="str">
        <f>IFERROR(__xludf.DUMMYFUNCTION("""COMPUTED_VALUE"""),"Chó ")</f>
        <v>Chó </v>
      </c>
      <c r="E3533" s="119" t="str">
        <f>IFERROR(__xludf.DUMMYFUNCTION("""COMPUTED_VALUE"""),"vàng ")</f>
        <v>vàng </v>
      </c>
    </row>
    <row r="3534" ht="15.75" customHeight="1">
      <c r="A3534" s="122" t="str">
        <f>IFERROR(__xludf.DUMMYFUNCTION("""COMPUTED_VALUE"""),"0392 442 323")</f>
        <v>0392 442 323</v>
      </c>
      <c r="B3534" s="119" t="str">
        <f>IFERROR(__xludf.DUMMYFUNCTION("""COMPUTED_VALUE"""),"CHú Thanh")</f>
        <v>CHú Thanh</v>
      </c>
      <c r="C3534" s="119" t="str">
        <f>IFERROR(__xludf.DUMMYFUNCTION("""COMPUTED_VALUE"""),"Long Hồ Thượng 1")</f>
        <v>Long Hồ Thượng 1</v>
      </c>
      <c r="D3534" s="119" t="str">
        <f>IFERROR(__xludf.DUMMYFUNCTION("""COMPUTED_VALUE"""),"Mèo")</f>
        <v>Mèo</v>
      </c>
      <c r="E3534" s="119" t="str">
        <f>IFERROR(__xludf.DUMMYFUNCTION("""COMPUTED_VALUE"""),"Mèo")</f>
        <v>Mèo</v>
      </c>
    </row>
    <row r="3535" ht="15.75" customHeight="1">
      <c r="A3535" s="122" t="str">
        <f>IFERROR(__xludf.DUMMYFUNCTION("""COMPUTED_VALUE"""),"0776 600 806")</f>
        <v>0776 600 806</v>
      </c>
      <c r="B3535" s="119" t="str">
        <f>IFERROR(__xludf.DUMMYFUNCTION("""COMPUTED_VALUE"""),"Anh Quang")</f>
        <v>Anh Quang</v>
      </c>
      <c r="C3535" s="119" t="str">
        <f>IFERROR(__xludf.DUMMYFUNCTION("""COMPUTED_VALUE"""),"33/78 Nguyễn Hữu Duật")</f>
        <v>33/78 Nguyễn Hữu Duật</v>
      </c>
      <c r="D3535" s="119" t="str">
        <f>IFERROR(__xludf.DUMMYFUNCTION("""COMPUTED_VALUE"""),"chó ")</f>
        <v>chó </v>
      </c>
      <c r="E3535" s="119" t="str">
        <f>IFERROR(__xludf.DUMMYFUNCTION("""COMPUTED_VALUE"""),"Kun")</f>
        <v>Kun</v>
      </c>
    </row>
    <row r="3536" ht="15.75" customHeight="1">
      <c r="A3536" s="122" t="str">
        <f>IFERROR(__xludf.DUMMYFUNCTION("""COMPUTED_VALUE"""),"0905 364 929")</f>
        <v>0905 364 929</v>
      </c>
      <c r="B3536" s="119" t="str">
        <f>IFERROR(__xludf.DUMMYFUNCTION("""COMPUTED_VALUE"""),"Chú Trung")</f>
        <v>Chú Trung</v>
      </c>
      <c r="C3536" s="119" t="str">
        <f>IFERROR(__xludf.DUMMYFUNCTION("""COMPUTED_VALUE"""),"50/23 Phạm Thị Liên")</f>
        <v>50/23 Phạm Thị Liên</v>
      </c>
      <c r="D3536" s="119" t="str">
        <f>IFERROR(__xludf.DUMMYFUNCTION("""COMPUTED_VALUE"""),"chó ")</f>
        <v>chó </v>
      </c>
      <c r="E3536" s="119" t="str">
        <f>IFERROR(__xludf.DUMMYFUNCTION("""COMPUTED_VALUE"""),"Lear")</f>
        <v>Lear</v>
      </c>
    </row>
    <row r="3537" ht="15.75" customHeight="1">
      <c r="A3537" s="122" t="str">
        <f>IFERROR(__xludf.DUMMYFUNCTION("""COMPUTED_VALUE"""),"0856 078 495")</f>
        <v>0856 078 495</v>
      </c>
      <c r="B3537" s="119" t="str">
        <f>IFERROR(__xludf.DUMMYFUNCTION("""COMPUTED_VALUE"""),"Em Trang ")</f>
        <v>Em Trang </v>
      </c>
      <c r="C3537" s="119" t="str">
        <f>IFERROR(__xludf.DUMMYFUNCTION("""COMPUTED_VALUE"""),"KTX Nông lâm Huế")</f>
        <v>KTX Nông lâm Huế</v>
      </c>
      <c r="D3537" s="119" t="str">
        <f>IFERROR(__xludf.DUMMYFUNCTION("""COMPUTED_VALUE"""),"Chó ")</f>
        <v>Chó </v>
      </c>
      <c r="E3537" s="119" t="str">
        <f>IFERROR(__xludf.DUMMYFUNCTION("""COMPUTED_VALUE"""),"Penicillin")</f>
        <v>Penicillin</v>
      </c>
    </row>
    <row r="3538" ht="15.75" customHeight="1">
      <c r="A3538" s="122" t="str">
        <f>IFERROR(__xludf.DUMMYFUNCTION("""COMPUTED_VALUE"""),"0937 766 013")</f>
        <v>0937 766 013</v>
      </c>
      <c r="B3538" s="119" t="str">
        <f>IFERROR(__xludf.DUMMYFUNCTION("""COMPUTED_VALUE"""),"Mỹ Khanh")</f>
        <v>Mỹ Khanh</v>
      </c>
      <c r="C3538" s="119" t="str">
        <f>IFERROR(__xludf.DUMMYFUNCTION("""COMPUTED_VALUE"""),"75/4 Vạn Xuân")</f>
        <v>75/4 Vạn Xuân</v>
      </c>
      <c r="D3538" s="119" t="str">
        <f>IFERROR(__xludf.DUMMYFUNCTION("""COMPUTED_VALUE"""),"Chó")</f>
        <v>Chó</v>
      </c>
      <c r="E3538" s="119" t="str">
        <f>IFERROR(__xludf.DUMMYFUNCTION("""COMPUTED_VALUE"""),"Huda")</f>
        <v>Huda</v>
      </c>
    </row>
    <row r="3539" ht="15.75" customHeight="1">
      <c r="A3539" s="122" t="str">
        <f>IFERROR(__xludf.DUMMYFUNCTION("""COMPUTED_VALUE"""),"0385 677 405")</f>
        <v>0385 677 405</v>
      </c>
      <c r="B3539" s="119" t="str">
        <f>IFERROR(__xludf.DUMMYFUNCTION("""COMPUTED_VALUE"""),"Tý (sunny pet)")</f>
        <v>Tý (sunny pet)</v>
      </c>
      <c r="C3539" s="119" t="str">
        <f>IFERROR(__xludf.DUMMYFUNCTION("""COMPUTED_VALUE"""),"Tứ Hạ Hương Trà")</f>
        <v>Tứ Hạ Hương Trà</v>
      </c>
      <c r="D3539" s="119" t="str">
        <f>IFERROR(__xludf.DUMMYFUNCTION("""COMPUTED_VALUE"""),"chó ")</f>
        <v>chó </v>
      </c>
      <c r="E3539" s="119" t="str">
        <f>IFERROR(__xludf.DUMMYFUNCTION("""COMPUTED_VALUE"""),"Gấu")</f>
        <v>Gấu</v>
      </c>
    </row>
    <row r="3540" ht="15.75" customHeight="1">
      <c r="A3540" s="122" t="str">
        <f>IFERROR(__xludf.DUMMYFUNCTION("""COMPUTED_VALUE"""),"0935 552 180")</f>
        <v>0935 552 180</v>
      </c>
      <c r="B3540" s="119" t="str">
        <f>IFERROR(__xludf.DUMMYFUNCTION("""COMPUTED_VALUE"""),"anh Quý")</f>
        <v>anh Quý</v>
      </c>
      <c r="C3540" s="119" t="str">
        <f>IFERROR(__xludf.DUMMYFUNCTION("""COMPUTED_VALUE"""),"4 Vạn Xuân")</f>
        <v>4 Vạn Xuân</v>
      </c>
      <c r="D3540" s="119" t="str">
        <f>IFERROR(__xludf.DUMMYFUNCTION("""COMPUTED_VALUE"""),"Chó")</f>
        <v>Chó</v>
      </c>
      <c r="E3540" s="119" t="str">
        <f>IFERROR(__xludf.DUMMYFUNCTION("""COMPUTED_VALUE"""),"Chuối")</f>
        <v>Chuối</v>
      </c>
    </row>
    <row r="3541" ht="15.75" customHeight="1">
      <c r="A3541" s="122" t="str">
        <f>IFERROR(__xludf.DUMMYFUNCTION("""COMPUTED_VALUE"""),"0358 185 074")</f>
        <v>0358 185 074</v>
      </c>
      <c r="B3541" s="119" t="str">
        <f>IFERROR(__xludf.DUMMYFUNCTION("""COMPUTED_VALUE"""),"Dì Nga ")</f>
        <v>Dì Nga </v>
      </c>
      <c r="C3541" s="119" t="str">
        <f>IFERROR(__xludf.DUMMYFUNCTION("""COMPUTED_VALUE"""),"Khu quy hoạch Kim Long ")</f>
        <v>Khu quy hoạch Kim Long </v>
      </c>
      <c r="D3541" s="119" t="str">
        <f>IFERROR(__xludf.DUMMYFUNCTION("""COMPUTED_VALUE"""),"Chó ")</f>
        <v>Chó </v>
      </c>
      <c r="E3541" s="119" t="str">
        <f>IFERROR(__xludf.DUMMYFUNCTION("""COMPUTED_VALUE"""),"Cam ")</f>
        <v>Cam </v>
      </c>
    </row>
    <row r="3542" ht="15.75" customHeight="1">
      <c r="A3542" s="122" t="str">
        <f>IFERROR(__xludf.DUMMYFUNCTION("""COMPUTED_VALUE"""),"0358 480 611")</f>
        <v>0358 480 611</v>
      </c>
      <c r="B3542" s="119" t="str">
        <f>IFERROR(__xludf.DUMMYFUNCTION("""COMPUTED_VALUE"""),"Thu Hương")</f>
        <v>Thu Hương</v>
      </c>
      <c r="C3542" s="119" t="str">
        <f>IFERROR(__xludf.DUMMYFUNCTION("""COMPUTED_VALUE"""),"33/235 Bà Triệu")</f>
        <v>33/235 Bà Triệu</v>
      </c>
      <c r="D3542" s="119" t="str">
        <f>IFERROR(__xludf.DUMMYFUNCTION("""COMPUTED_VALUE"""),"mèo")</f>
        <v>mèo</v>
      </c>
      <c r="E3542" s="119" t="str">
        <f>IFERROR(__xludf.DUMMYFUNCTION("""COMPUTED_VALUE"""),"Bông")</f>
        <v>Bông</v>
      </c>
    </row>
    <row r="3543" ht="15.75" customHeight="1">
      <c r="A3543" s="122" t="str">
        <f>IFERROR(__xludf.DUMMYFUNCTION("""COMPUTED_VALUE"""),"0903 502 012")</f>
        <v>0903 502 012</v>
      </c>
      <c r="B3543" s="119" t="str">
        <f>IFERROR(__xludf.DUMMYFUNCTION("""COMPUTED_VALUE"""),"Anh Thành")</f>
        <v>Anh Thành</v>
      </c>
      <c r="C3543" s="119" t="str">
        <f>IFERROR(__xludf.DUMMYFUNCTION("""COMPUTED_VALUE"""),"67 Trần Quốc Toản")</f>
        <v>67 Trần Quốc Toản</v>
      </c>
      <c r="D3543" s="119" t="str">
        <f>IFERROR(__xludf.DUMMYFUNCTION("""COMPUTED_VALUE"""),"Chó")</f>
        <v>Chó</v>
      </c>
      <c r="E3543" s="119" t="str">
        <f>IFERROR(__xludf.DUMMYFUNCTION("""COMPUTED_VALUE"""),"Milo")</f>
        <v>Milo</v>
      </c>
    </row>
    <row r="3544" ht="15.75" customHeight="1">
      <c r="A3544" s="122" t="str">
        <f>IFERROR(__xludf.DUMMYFUNCTION("""COMPUTED_VALUE"""),"0375 144 879")</f>
        <v>0375 144 879</v>
      </c>
      <c r="B3544" s="119" t="str">
        <f>IFERROR(__xludf.DUMMYFUNCTION("""COMPUTED_VALUE"""),"Anh Trường")</f>
        <v>Anh Trường</v>
      </c>
      <c r="C3544" s="119" t="str">
        <f>IFERROR(__xludf.DUMMYFUNCTION("""COMPUTED_VALUE"""),"3/19 Hồ Xuân Hương")</f>
        <v>3/19 Hồ Xuân Hương</v>
      </c>
      <c r="D3544" s="119" t="str">
        <f>IFERROR(__xludf.DUMMYFUNCTION("""COMPUTED_VALUE"""),"Chó")</f>
        <v>Chó</v>
      </c>
      <c r="E3544" s="119" t="str">
        <f>IFERROR(__xludf.DUMMYFUNCTION("""COMPUTED_VALUE""")," Lucky")</f>
        <v> Lucky</v>
      </c>
    </row>
    <row r="3545" ht="15.75" customHeight="1">
      <c r="A3545" s="122" t="str">
        <f>IFERROR(__xludf.DUMMYFUNCTION("""COMPUTED_VALUE"""),"0796 718 832")</f>
        <v>0796 718 832</v>
      </c>
      <c r="B3545" s="119" t="str">
        <f>IFERROR(__xludf.DUMMYFUNCTION("""COMPUTED_VALUE"""),"Chị Lan")</f>
        <v>Chị Lan</v>
      </c>
      <c r="C3545" s="119" t="str">
        <f>IFERROR(__xludf.DUMMYFUNCTION("""COMPUTED_VALUE"""),"Thuận An")</f>
        <v>Thuận An</v>
      </c>
      <c r="D3545" s="119" t="str">
        <f>IFERROR(__xludf.DUMMYFUNCTION("""COMPUTED_VALUE"""),"chó")</f>
        <v>chó</v>
      </c>
      <c r="E3545" s="119" t="str">
        <f>IFERROR(__xludf.DUMMYFUNCTION("""COMPUTED_VALUE"""),"Su")</f>
        <v>Su</v>
      </c>
    </row>
    <row r="3546" ht="15.75" customHeight="1">
      <c r="A3546" s="122" t="str">
        <f>IFERROR(__xludf.DUMMYFUNCTION("""COMPUTED_VALUE"""),"0933 638 943")</f>
        <v>0933 638 943</v>
      </c>
      <c r="B3546" s="119" t="str">
        <f>IFERROR(__xludf.DUMMYFUNCTION("""COMPUTED_VALUE"""),"Dì Vui ")</f>
        <v>Dì Vui </v>
      </c>
      <c r="C3546" s="119" t="str">
        <f>IFERROR(__xludf.DUMMYFUNCTION("""COMPUTED_VALUE"""),"Phong Điền ")</f>
        <v>Phong Điền </v>
      </c>
      <c r="D3546" s="119" t="str">
        <f>IFERROR(__xludf.DUMMYFUNCTION("""COMPUTED_VALUE"""),"Chó ")</f>
        <v>Chó </v>
      </c>
      <c r="E3546" s="119" t="str">
        <f>IFERROR(__xludf.DUMMYFUNCTION("""COMPUTED_VALUE"""),"Bớp ")</f>
        <v>Bớp </v>
      </c>
    </row>
    <row r="3547" ht="15.75" customHeight="1">
      <c r="A3547" s="122" t="str">
        <f>IFERROR(__xludf.DUMMYFUNCTION("""COMPUTED_VALUE"""),"0905 712 266")</f>
        <v>0905 712 266</v>
      </c>
      <c r="B3547" s="119" t="str">
        <f>IFERROR(__xludf.DUMMYFUNCTION("""COMPUTED_VALUE"""),"Anh Vũ")</f>
        <v>Anh Vũ</v>
      </c>
      <c r="C3547" s="119" t="str">
        <f>IFERROR(__xludf.DUMMYFUNCTION("""COMPUTED_VALUE"""),"4 Khúc Thừa Dụ")</f>
        <v>4 Khúc Thừa Dụ</v>
      </c>
      <c r="D3547" s="119" t="str">
        <f>IFERROR(__xludf.DUMMYFUNCTION("""COMPUTED_VALUE"""),"mèo")</f>
        <v>mèo</v>
      </c>
      <c r="E3547" s="119" t="str">
        <f>IFERROR(__xludf.DUMMYFUNCTION("""COMPUTED_VALUE"""),"Tiger")</f>
        <v>Tiger</v>
      </c>
    </row>
    <row r="3548" ht="15.75" customHeight="1">
      <c r="A3548" s="122" t="str">
        <f>IFERROR(__xludf.DUMMYFUNCTION("""COMPUTED_VALUE"""),"0932 441 535")</f>
        <v>0932 441 535</v>
      </c>
      <c r="B3548" s="119" t="str">
        <f>IFERROR(__xludf.DUMMYFUNCTION("""COMPUTED_VALUE"""),"Chị Như")</f>
        <v>Chị Như</v>
      </c>
      <c r="C3548" s="119" t="str">
        <f>IFERROR(__xludf.DUMMYFUNCTION("""COMPUTED_VALUE"""),"114 Đặng Thái Thân")</f>
        <v>114 Đặng Thái Thân</v>
      </c>
      <c r="D3548" s="119" t="str">
        <f>IFERROR(__xludf.DUMMYFUNCTION("""COMPUTED_VALUE"""),"chó")</f>
        <v>chó</v>
      </c>
      <c r="E3548" s="119" t="str">
        <f>IFERROR(__xludf.DUMMYFUNCTION("""COMPUTED_VALUE"""),"Lu")</f>
        <v>Lu</v>
      </c>
    </row>
    <row r="3549" ht="15.75" customHeight="1">
      <c r="A3549" s="122" t="str">
        <f>IFERROR(__xludf.DUMMYFUNCTION("""COMPUTED_VALUE"""),"0935 696 217")</f>
        <v>0935 696 217</v>
      </c>
      <c r="B3549" s="119" t="str">
        <f>IFERROR(__xludf.DUMMYFUNCTION("""COMPUTED_VALUE"""),"Anh Thắng")</f>
        <v>Anh Thắng</v>
      </c>
      <c r="C3549" s="119" t="str">
        <f>IFERROR(__xludf.DUMMYFUNCTION("""COMPUTED_VALUE"""),"7/38 Nguyễn Gia Thiều")</f>
        <v>7/38 Nguyễn Gia Thiều</v>
      </c>
      <c r="D3549" s="119" t="str">
        <f>IFERROR(__xludf.DUMMYFUNCTION("""COMPUTED_VALUE"""),"Chó")</f>
        <v>Chó</v>
      </c>
      <c r="E3549" s="119" t="str">
        <f>IFERROR(__xludf.DUMMYFUNCTION("""COMPUTED_VALUE"""),"Lu")</f>
        <v>Lu</v>
      </c>
    </row>
    <row r="3550" ht="15.75" customHeight="1">
      <c r="A3550" s="122" t="str">
        <f>IFERROR(__xludf.DUMMYFUNCTION("""COMPUTED_VALUE"""),"0985 908 357")</f>
        <v>0985 908 357</v>
      </c>
      <c r="B3550" s="119" t="str">
        <f>IFERROR(__xludf.DUMMYFUNCTION("""COMPUTED_VALUE"""),"Anh Lợi")</f>
        <v>Anh Lợi</v>
      </c>
      <c r="C3550" s="119" t="str">
        <f>IFERROR(__xludf.DUMMYFUNCTION("""COMPUTED_VALUE"""),"Lại Thế")</f>
        <v>Lại Thế</v>
      </c>
      <c r="D3550" s="119" t="str">
        <f>IFERROR(__xludf.DUMMYFUNCTION("""COMPUTED_VALUE"""),"chó")</f>
        <v>chó</v>
      </c>
      <c r="E3550" s="119" t="str">
        <f>IFERROR(__xludf.DUMMYFUNCTION("""COMPUTED_VALUE"""),"Mây")</f>
        <v>Mây</v>
      </c>
    </row>
    <row r="3551" ht="15.75" customHeight="1">
      <c r="A3551" s="122" t="str">
        <f>IFERROR(__xludf.DUMMYFUNCTION("""COMPUTED_VALUE"""),"0793 666 366")</f>
        <v>0793 666 366</v>
      </c>
      <c r="B3551" s="119" t="str">
        <f>IFERROR(__xludf.DUMMYFUNCTION("""COMPUTED_VALUE"""),"chị thư")</f>
        <v>chị thư</v>
      </c>
      <c r="C3551" s="119" t="str">
        <f>IFERROR(__xludf.DUMMYFUNCTION("""COMPUTED_VALUE"""),"98 nguyễn phúc nguyên")</f>
        <v>98 nguyễn phúc nguyên</v>
      </c>
      <c r="D3551" s="119" t="str">
        <f>IFERROR(__xludf.DUMMYFUNCTION("""COMPUTED_VALUE"""),"chó")</f>
        <v>chó</v>
      </c>
      <c r="E3551" s="119"/>
    </row>
    <row r="3552" ht="15.75" customHeight="1">
      <c r="A3552" s="122" t="str">
        <f>IFERROR(__xludf.DUMMYFUNCTION("""COMPUTED_VALUE"""),"0335 505 864")</f>
        <v>0335 505 864</v>
      </c>
      <c r="B3552" s="119" t="str">
        <f>IFERROR(__xludf.DUMMYFUNCTION("""COMPUTED_VALUE"""),"Thảo Phuơng")</f>
        <v>Thảo Phuơng</v>
      </c>
      <c r="C3552" s="119" t="str">
        <f>IFERROR(__xludf.DUMMYFUNCTION("""COMPUTED_VALUE"""),"64 Nguyễn Hữu Thọ")</f>
        <v>64 Nguyễn Hữu Thọ</v>
      </c>
      <c r="D3552" s="119" t="str">
        <f>IFERROR(__xludf.DUMMYFUNCTION("""COMPUTED_VALUE"""),"mèo")</f>
        <v>mèo</v>
      </c>
      <c r="E3552" s="119"/>
    </row>
    <row r="3553" ht="15.75" customHeight="1">
      <c r="A3553" s="122" t="str">
        <f>IFERROR(__xludf.DUMMYFUNCTION("""COMPUTED_VALUE"""),"0777 436 198")</f>
        <v>0777 436 198</v>
      </c>
      <c r="B3553" s="119" t="str">
        <f>IFERROR(__xludf.DUMMYFUNCTION("""COMPUTED_VALUE"""),"anh Nhật Hiếu")</f>
        <v>anh Nhật Hiếu</v>
      </c>
      <c r="C3553" s="119" t="str">
        <f>IFERROR(__xludf.DUMMYFUNCTION("""COMPUTED_VALUE"""),"1/18/11 Nguyễn Phúc Loan")</f>
        <v>1/18/11 Nguyễn Phúc Loan</v>
      </c>
      <c r="D3553" s="119" t="str">
        <f>IFERROR(__xludf.DUMMYFUNCTION("""COMPUTED_VALUE"""),"chó")</f>
        <v>chó</v>
      </c>
      <c r="E3553" s="119" t="str">
        <f>IFERROR(__xludf.DUMMYFUNCTION("""COMPUTED_VALUE"""),"gấu")</f>
        <v>gấu</v>
      </c>
    </row>
    <row r="3554" ht="15.75" customHeight="1">
      <c r="A3554" s="122" t="str">
        <f>IFERROR(__xludf.DUMMYFUNCTION("""COMPUTED_VALUE"""),"0705 237 477")</f>
        <v>0705 237 477</v>
      </c>
      <c r="B3554" s="119" t="str">
        <f>IFERROR(__xludf.DUMMYFUNCTION("""COMPUTED_VALUE"""),"Chị Hương")</f>
        <v>Chị Hương</v>
      </c>
      <c r="C3554" s="119" t="str">
        <f>IFERROR(__xludf.DUMMYFUNCTION("""COMPUTED_VALUE"""),"253 Điện Biên Phủ")</f>
        <v>253 Điện Biên Phủ</v>
      </c>
      <c r="D3554" s="119" t="str">
        <f>IFERROR(__xludf.DUMMYFUNCTION("""COMPUTED_VALUE"""),"chó")</f>
        <v>chó</v>
      </c>
      <c r="E3554" s="119" t="str">
        <f>IFERROR(__xludf.DUMMYFUNCTION("""COMPUTED_VALUE"""),"Jexdy")</f>
        <v>Jexdy</v>
      </c>
    </row>
    <row r="3555" ht="15.75" customHeight="1">
      <c r="A3555" s="122" t="str">
        <f>IFERROR(__xludf.DUMMYFUNCTION("""COMPUTED_VALUE"""),"0779 784 707")</f>
        <v>0779 784 707</v>
      </c>
      <c r="B3555" s="119" t="str">
        <f>IFERROR(__xludf.DUMMYFUNCTION("""COMPUTED_VALUE"""),"em Huyền")</f>
        <v>em Huyền</v>
      </c>
      <c r="C3555" s="119" t="str">
        <f>IFERROR(__xludf.DUMMYFUNCTION("""COMPUTED_VALUE"""),"3/44 Hoàng Thị Loan")</f>
        <v>3/44 Hoàng Thị Loan</v>
      </c>
      <c r="D3555" s="119" t="str">
        <f>IFERROR(__xludf.DUMMYFUNCTION("""COMPUTED_VALUE"""),"mèo")</f>
        <v>mèo</v>
      </c>
      <c r="E3555" s="119"/>
    </row>
    <row r="3556" ht="15.75" customHeight="1">
      <c r="A3556" s="122" t="str">
        <f>IFERROR(__xludf.DUMMYFUNCTION("""COMPUTED_VALUE"""),"0819 157 822")</f>
        <v>0819 157 822</v>
      </c>
      <c r="B3556" s="119" t="str">
        <f>IFERROR(__xludf.DUMMYFUNCTION("""COMPUTED_VALUE"""),"Nguyễn Thị Thanh Sang")</f>
        <v>Nguyễn Thị Thanh Sang</v>
      </c>
      <c r="C3556" s="119" t="str">
        <f>IFERROR(__xludf.DUMMYFUNCTION("""COMPUTED_VALUE"""),"57/24 Nguyễn Hoàng")</f>
        <v>57/24 Nguyễn Hoàng</v>
      </c>
      <c r="D3556" s="119" t="str">
        <f>IFERROR(__xludf.DUMMYFUNCTION("""COMPUTED_VALUE"""),"mèo ")</f>
        <v>mèo </v>
      </c>
      <c r="E3556" s="119" t="str">
        <f>IFERROR(__xludf.DUMMYFUNCTION("""COMPUTED_VALUE"""),"Beo")</f>
        <v>Beo</v>
      </c>
    </row>
    <row r="3557" ht="15.75" customHeight="1">
      <c r="A3557" s="122" t="str">
        <f>IFERROR(__xludf.DUMMYFUNCTION("""COMPUTED_VALUE"""),"0946 347 703")</f>
        <v>0946 347 703</v>
      </c>
      <c r="B3557" s="119" t="str">
        <f>IFERROR(__xludf.DUMMYFUNCTION("""COMPUTED_VALUE"""),"Đức Lợi")</f>
        <v>Đức Lợi</v>
      </c>
      <c r="C3557" s="119" t="str">
        <f>IFERROR(__xludf.DUMMYFUNCTION("""COMPUTED_VALUE"""),"54/9 Phú Mộng")</f>
        <v>54/9 Phú Mộng</v>
      </c>
      <c r="D3557" s="119" t="str">
        <f>IFERROR(__xludf.DUMMYFUNCTION("""COMPUTED_VALUE"""),"chó")</f>
        <v>chó</v>
      </c>
      <c r="E3557" s="119" t="str">
        <f>IFERROR(__xludf.DUMMYFUNCTION("""COMPUTED_VALUE"""),"Vàng")</f>
        <v>Vàng</v>
      </c>
    </row>
    <row r="3558" ht="15.75" customHeight="1">
      <c r="A3558" s="122" t="str">
        <f>IFERROR(__xludf.DUMMYFUNCTION("""COMPUTED_VALUE"""),"0911 254 779")</f>
        <v>0911 254 779</v>
      </c>
      <c r="B3558" s="119" t="str">
        <f>IFERROR(__xludf.DUMMYFUNCTION("""COMPUTED_VALUE"""),"Chị Sâm")</f>
        <v>Chị Sâm</v>
      </c>
      <c r="C3558" s="119" t="str">
        <f>IFERROR(__xludf.DUMMYFUNCTION("""COMPUTED_VALUE"""),"59 Lý Nam Đế")</f>
        <v>59 Lý Nam Đế</v>
      </c>
      <c r="D3558" s="119" t="str">
        <f>IFERROR(__xludf.DUMMYFUNCTION("""COMPUTED_VALUE"""),"chó")</f>
        <v>chó</v>
      </c>
      <c r="E3558" s="119" t="str">
        <f>IFERROR(__xludf.DUMMYFUNCTION("""COMPUTED_VALUE"""),"Bino")</f>
        <v>Bino</v>
      </c>
    </row>
    <row r="3559" ht="15.75" customHeight="1">
      <c r="A3559" s="122" t="str">
        <f>IFERROR(__xludf.DUMMYFUNCTION("""COMPUTED_VALUE"""),"0794 313 264")</f>
        <v>0794 313 264</v>
      </c>
      <c r="B3559" s="119" t="str">
        <f>IFERROR(__xludf.DUMMYFUNCTION("""COMPUTED_VALUE"""),"chị trâm")</f>
        <v>chị trâm</v>
      </c>
      <c r="C3559" s="119"/>
      <c r="D3559" s="119" t="str">
        <f>IFERROR(__xludf.DUMMYFUNCTION("""COMPUTED_VALUE"""),"chó")</f>
        <v>chó</v>
      </c>
      <c r="E3559" s="119" t="str">
        <f>IFERROR(__xludf.DUMMYFUNCTION("""COMPUTED_VALUE"""),"tiger")</f>
        <v>tiger</v>
      </c>
    </row>
    <row r="3560" ht="15.75" customHeight="1">
      <c r="A3560" s="122" t="str">
        <f>IFERROR(__xludf.DUMMYFUNCTION("""COMPUTED_VALUE"""),"0362 515 027")</f>
        <v>0362 515 027</v>
      </c>
      <c r="B3560" s="119" t="str">
        <f>IFERROR(__xludf.DUMMYFUNCTION("""COMPUTED_VALUE"""),"Em Thư")</f>
        <v>Em Thư</v>
      </c>
      <c r="C3560" s="119"/>
      <c r="D3560" s="119"/>
      <c r="E3560" s="119"/>
    </row>
    <row r="3561" ht="15.75" customHeight="1">
      <c r="A3561" s="122" t="str">
        <f>IFERROR(__xludf.DUMMYFUNCTION("""COMPUTED_VALUE"""),"0981 246 923")</f>
        <v>0981 246 923</v>
      </c>
      <c r="B3561" s="119" t="str">
        <f>IFERROR(__xludf.DUMMYFUNCTION("""COMPUTED_VALUE"""),"Anh Khang")</f>
        <v>Anh Khang</v>
      </c>
      <c r="C3561" s="119" t="str">
        <f>IFERROR(__xludf.DUMMYFUNCTION("""COMPUTED_VALUE"""),"kqh Kim Long")</f>
        <v>kqh Kim Long</v>
      </c>
      <c r="D3561" s="119" t="str">
        <f>IFERROR(__xludf.DUMMYFUNCTION("""COMPUTED_VALUE"""),"chó")</f>
        <v>chó</v>
      </c>
      <c r="E3561" s="119"/>
    </row>
    <row r="3562" ht="15.75" customHeight="1">
      <c r="A3562" s="122" t="str">
        <f>IFERROR(__xludf.DUMMYFUNCTION("""COMPUTED_VALUE"""),"0976 872 301")</f>
        <v>0976 872 301</v>
      </c>
      <c r="B3562" s="119" t="str">
        <f>IFERROR(__xludf.DUMMYFUNCTION("""COMPUTED_VALUE"""),"Em Bảo")</f>
        <v>Em Bảo</v>
      </c>
      <c r="C3562" s="119" t="str">
        <f>IFERROR(__xludf.DUMMYFUNCTION("""COMPUTED_VALUE"""),"40 Phú Mộng")</f>
        <v>40 Phú Mộng</v>
      </c>
      <c r="D3562" s="119" t="str">
        <f>IFERROR(__xludf.DUMMYFUNCTION("""COMPUTED_VALUE"""),"chó")</f>
        <v>chó</v>
      </c>
      <c r="E3562" s="119" t="str">
        <f>IFERROR(__xludf.DUMMYFUNCTION("""COMPUTED_VALUE"""),"milu")</f>
        <v>milu</v>
      </c>
    </row>
    <row r="3563" ht="15.75" customHeight="1">
      <c r="A3563" s="122" t="str">
        <f>IFERROR(__xludf.DUMMYFUNCTION("""COMPUTED_VALUE"""),"0839 090 102")</f>
        <v>0839 090 102</v>
      </c>
      <c r="B3563" s="119" t="str">
        <f>IFERROR(__xludf.DUMMYFUNCTION("""COMPUTED_VALUE"""),"Phượng")</f>
        <v>Phượng</v>
      </c>
      <c r="C3563" s="119" t="str">
        <f>IFERROR(__xludf.DUMMYFUNCTION("""COMPUTED_VALUE"""),"33 Hồ Văn Hiến")</f>
        <v>33 Hồ Văn Hiến</v>
      </c>
      <c r="D3563" s="119" t="str">
        <f>IFERROR(__xludf.DUMMYFUNCTION("""COMPUTED_VALUE"""),"chó")</f>
        <v>chó</v>
      </c>
      <c r="E3563" s="119" t="str">
        <f>IFERROR(__xludf.DUMMYFUNCTION("""COMPUTED_VALUE"""),"Bông")</f>
        <v>Bông</v>
      </c>
    </row>
    <row r="3564" ht="15.75" customHeight="1">
      <c r="A3564" s="122" t="str">
        <f>IFERROR(__xludf.DUMMYFUNCTION("""COMPUTED_VALUE"""),"0968 942 318")</f>
        <v>0968 942 318</v>
      </c>
      <c r="B3564" s="119" t="str">
        <f>IFERROR(__xludf.DUMMYFUNCTION("""COMPUTED_VALUE"""),"Anh Phú")</f>
        <v>Anh Phú</v>
      </c>
      <c r="C3564" s="119" t="str">
        <f>IFERROR(__xludf.DUMMYFUNCTION("""COMPUTED_VALUE"""),"124 Nguyễn Hữu Cảnh")</f>
        <v>124 Nguyễn Hữu Cảnh</v>
      </c>
      <c r="D3564" s="119" t="str">
        <f>IFERROR(__xludf.DUMMYFUNCTION("""COMPUTED_VALUE"""),"chó")</f>
        <v>chó</v>
      </c>
      <c r="E3564" s="119"/>
    </row>
    <row r="3565" ht="15.75" customHeight="1">
      <c r="A3565" s="122" t="str">
        <f>IFERROR(__xludf.DUMMYFUNCTION("""COMPUTED_VALUE"""),"0762 588 039")</f>
        <v>0762 588 039</v>
      </c>
      <c r="B3565" s="119" t="str">
        <f>IFERROR(__xludf.DUMMYFUNCTION("""COMPUTED_VALUE"""),"Chị Nhi")</f>
        <v>Chị Nhi</v>
      </c>
      <c r="C3565" s="119" t="str">
        <f>IFERROR(__xludf.DUMMYFUNCTION("""COMPUTED_VALUE"""),"Chợ Nọ")</f>
        <v>Chợ Nọ</v>
      </c>
      <c r="D3565" s="119" t="str">
        <f>IFERROR(__xludf.DUMMYFUNCTION("""COMPUTED_VALUE"""),"chó")</f>
        <v>chó</v>
      </c>
      <c r="E3565" s="119" t="str">
        <f>IFERROR(__xludf.DUMMYFUNCTION("""COMPUTED_VALUE"""),"mập")</f>
        <v>mập</v>
      </c>
    </row>
    <row r="3566" ht="15.75" customHeight="1">
      <c r="A3566" s="122" t="str">
        <f>IFERROR(__xludf.DUMMYFUNCTION("""COMPUTED_VALUE"""),"0905 828 293")</f>
        <v>0905 828 293</v>
      </c>
      <c r="B3566" s="119" t="str">
        <f>IFERROR(__xludf.DUMMYFUNCTION("""COMPUTED_VALUE"""),"Anh Đạt NV")</f>
        <v>Anh Đạt NV</v>
      </c>
      <c r="C3566" s="119" t="str">
        <f>IFERROR(__xludf.DUMMYFUNCTION("""COMPUTED_VALUE"""),"Thú y Thanh Đàm 116 Nguyễn Tất Thành-Thuỷ Dương")</f>
        <v>Thú y Thanh Đàm 116 Nguyễn Tất Thành-Thuỷ Dương</v>
      </c>
      <c r="D3566" s="119" t="str">
        <f>IFERROR(__xludf.DUMMYFUNCTION("""COMPUTED_VALUE"""),"chó")</f>
        <v>chó</v>
      </c>
      <c r="E3566" s="119" t="str">
        <f>IFERROR(__xludf.DUMMYFUNCTION("""COMPUTED_VALUE"""),"Pha")</f>
        <v>Pha</v>
      </c>
    </row>
    <row r="3567" ht="15.75" customHeight="1">
      <c r="A3567" s="122" t="str">
        <f>IFERROR(__xludf.DUMMYFUNCTION("""COMPUTED_VALUE"""),"0937 291 848")</f>
        <v>0937 291 848</v>
      </c>
      <c r="B3567" s="119" t="str">
        <f>IFERROR(__xludf.DUMMYFUNCTION("""COMPUTED_VALUE"""),"Anh Nhân")</f>
        <v>Anh Nhân</v>
      </c>
      <c r="C3567" s="119" t="str">
        <f>IFERROR(__xludf.DUMMYFUNCTION("""COMPUTED_VALUE"""),"Tăng Bạt Hổ")</f>
        <v>Tăng Bạt Hổ</v>
      </c>
      <c r="D3567" s="119" t="str">
        <f>IFERROR(__xludf.DUMMYFUNCTION("""COMPUTED_VALUE"""),"chó")</f>
        <v>chó</v>
      </c>
      <c r="E3567" s="119" t="str">
        <f>IFERROR(__xludf.DUMMYFUNCTION("""COMPUTED_VALUE"""),"Ổi sẻ")</f>
        <v>Ổi sẻ</v>
      </c>
    </row>
    <row r="3568" ht="15.75" customHeight="1">
      <c r="A3568" s="122" t="str">
        <f>IFERROR(__xludf.DUMMYFUNCTION("""COMPUTED_VALUE"""),"0386 213 762")</f>
        <v>0386 213 762</v>
      </c>
      <c r="B3568" s="119" t="str">
        <f>IFERROR(__xludf.DUMMYFUNCTION("""COMPUTED_VALUE"""),"Em Phong")</f>
        <v>Em Phong</v>
      </c>
      <c r="C3568" s="119" t="str">
        <f>IFERROR(__xludf.DUMMYFUNCTION("""COMPUTED_VALUE"""),"44/10 An Ninh")</f>
        <v>44/10 An Ninh</v>
      </c>
      <c r="D3568" s="119" t="str">
        <f>IFERROR(__xludf.DUMMYFUNCTION("""COMPUTED_VALUE"""),"chó")</f>
        <v>chó</v>
      </c>
      <c r="E3568" s="119"/>
    </row>
    <row r="3569" ht="15.75" customHeight="1">
      <c r="A3569" s="122" t="str">
        <f>IFERROR(__xludf.DUMMYFUNCTION("""COMPUTED_VALUE"""),"0934 852 603")</f>
        <v>0934 852 603</v>
      </c>
      <c r="B3569" s="119" t="str">
        <f>IFERROR(__xludf.DUMMYFUNCTION("""COMPUTED_VALUE"""),"Bác Năm")</f>
        <v>Bác Năm</v>
      </c>
      <c r="C3569" s="119" t="str">
        <f>IFERROR(__xludf.DUMMYFUNCTION("""COMPUTED_VALUE"""),"15/6 Nguyễn Hoàng")</f>
        <v>15/6 Nguyễn Hoàng</v>
      </c>
      <c r="D3569" s="119" t="str">
        <f>IFERROR(__xludf.DUMMYFUNCTION("""COMPUTED_VALUE"""),"chó")</f>
        <v>chó</v>
      </c>
      <c r="E3569" s="119"/>
    </row>
    <row r="3570" ht="15.75" customHeight="1">
      <c r="A3570" s="122" t="str">
        <f>IFERROR(__xludf.DUMMYFUNCTION("""COMPUTED_VALUE"""),"0935 414 390")</f>
        <v>0935 414 390</v>
      </c>
      <c r="B3570" s="119" t="str">
        <f>IFERROR(__xludf.DUMMYFUNCTION("""COMPUTED_VALUE"""),"Chị Hạnhk")</f>
        <v>Chị Hạnhk</v>
      </c>
      <c r="C3570" s="119" t="str">
        <f>IFERROR(__xludf.DUMMYFUNCTION("""COMPUTED_VALUE"""),"7/4/80 Phạm Thị Liên")</f>
        <v>7/4/80 Phạm Thị Liên</v>
      </c>
      <c r="D3570" s="119" t="str">
        <f>IFERROR(__xludf.DUMMYFUNCTION("""COMPUTED_VALUE"""),"chó")</f>
        <v>chó</v>
      </c>
      <c r="E3570" s="119"/>
    </row>
    <row r="3571" ht="15.75" customHeight="1">
      <c r="A3571" s="122" t="str">
        <f>IFERROR(__xludf.DUMMYFUNCTION("""COMPUTED_VALUE"""),"0914 729 266")</f>
        <v>0914 729 266</v>
      </c>
      <c r="B3571" s="119" t="str">
        <f>IFERROR(__xludf.DUMMYFUNCTION("""COMPUTED_VALUE"""),"Dì Hạnh")</f>
        <v>Dì Hạnh</v>
      </c>
      <c r="C3571" s="119" t="str">
        <f>IFERROR(__xludf.DUMMYFUNCTION("""COMPUTED_VALUE"""),"13/k22 Phú Mộng")</f>
        <v>13/k22 Phú Mộng</v>
      </c>
      <c r="D3571" s="119" t="str">
        <f>IFERROR(__xludf.DUMMYFUNCTION("""COMPUTED_VALUE"""),"chó")</f>
        <v>chó</v>
      </c>
      <c r="E3571" s="119"/>
    </row>
    <row r="3572" ht="15.75" customHeight="1">
      <c r="A3572" s="122" t="str">
        <f>IFERROR(__xludf.DUMMYFUNCTION("""COMPUTED_VALUE"""),"0364 200 201")</f>
        <v>0364 200 201</v>
      </c>
      <c r="B3572" s="119" t="str">
        <f>IFERROR(__xludf.DUMMYFUNCTION("""COMPUTED_VALUE"""),"Em Thảo")</f>
        <v>Em Thảo</v>
      </c>
      <c r="C3572" s="119" t="str">
        <f>IFERROR(__xludf.DUMMYFUNCTION("""COMPUTED_VALUE"""),"lô 43 kqh Kim Long")</f>
        <v>lô 43 kqh Kim Long</v>
      </c>
      <c r="D3572" s="119" t="str">
        <f>IFERROR(__xludf.DUMMYFUNCTION("""COMPUTED_VALUE"""),"mèo")</f>
        <v>mèo</v>
      </c>
      <c r="E3572" s="119" t="str">
        <f>IFERROR(__xludf.DUMMYFUNCTION("""COMPUTED_VALUE"""),"sư tử")</f>
        <v>sư tử</v>
      </c>
    </row>
    <row r="3573" ht="15.75" customHeight="1">
      <c r="A3573" s="122" t="str">
        <f>IFERROR(__xludf.DUMMYFUNCTION("""COMPUTED_VALUE"""),"0976 013 603")</f>
        <v>0976 013 603</v>
      </c>
      <c r="B3573" s="119" t="str">
        <f>IFERROR(__xludf.DUMMYFUNCTION("""COMPUTED_VALUE"""),"Phan Cẩm Tú")</f>
        <v>Phan Cẩm Tú</v>
      </c>
      <c r="C3573" s="119" t="str">
        <f>IFERROR(__xludf.DUMMYFUNCTION("""COMPUTED_VALUE"""),"30/5 Phạm Thị Liên")</f>
        <v>30/5 Phạm Thị Liên</v>
      </c>
      <c r="D3573" s="119" t="str">
        <f>IFERROR(__xludf.DUMMYFUNCTION("""COMPUTED_VALUE"""),"chó")</f>
        <v>chó</v>
      </c>
      <c r="E3573" s="119" t="str">
        <f>IFERROR(__xludf.DUMMYFUNCTION("""COMPUTED_VALUE"""),"Ky")</f>
        <v>Ky</v>
      </c>
    </row>
    <row r="3574" ht="15.75" customHeight="1">
      <c r="A3574" s="122" t="str">
        <f>IFERROR(__xludf.DUMMYFUNCTION("""COMPUTED_VALUE"""),"0378 107 350")</f>
        <v>0378 107 350</v>
      </c>
      <c r="B3574" s="119" t="str">
        <f>IFERROR(__xludf.DUMMYFUNCTION("""COMPUTED_VALUE"""),"Anh Hồ Khoa")</f>
        <v>Anh Hồ Khoa</v>
      </c>
      <c r="C3574" s="119" t="str">
        <f>IFERROR(__xludf.DUMMYFUNCTION("""COMPUTED_VALUE"""),"chợ Thông")</f>
        <v>chợ Thông</v>
      </c>
      <c r="D3574" s="119" t="str">
        <f>IFERROR(__xludf.DUMMYFUNCTION("""COMPUTED_VALUE"""),"chó")</f>
        <v>chó</v>
      </c>
      <c r="E3574" s="119" t="str">
        <f>IFERROR(__xludf.DUMMYFUNCTION("""COMPUTED_VALUE"""),"Vàng")</f>
        <v>Vàng</v>
      </c>
    </row>
    <row r="3575" ht="15.75" customHeight="1">
      <c r="A3575" s="122" t="str">
        <f>IFERROR(__xludf.DUMMYFUNCTION("""COMPUTED_VALUE"""),"0359 578 120")</f>
        <v>0359 578 120</v>
      </c>
      <c r="B3575" s="119" t="str">
        <f>IFERROR(__xludf.DUMMYFUNCTION("""COMPUTED_VALUE"""),"Anh Trung")</f>
        <v>Anh Trung</v>
      </c>
      <c r="C3575" s="119" t="str">
        <f>IFERROR(__xludf.DUMMYFUNCTION("""COMPUTED_VALUE"""),"Thuận An")</f>
        <v>Thuận An</v>
      </c>
      <c r="D3575" s="119" t="str">
        <f>IFERROR(__xludf.DUMMYFUNCTION("""COMPUTED_VALUE"""),"chó")</f>
        <v>chó</v>
      </c>
      <c r="E3575" s="119" t="str">
        <f>IFERROR(__xludf.DUMMYFUNCTION("""COMPUTED_VALUE"""),"milo")</f>
        <v>milo</v>
      </c>
    </row>
    <row r="3576" ht="15.75" customHeight="1">
      <c r="A3576" s="122" t="str">
        <f>IFERROR(__xludf.DUMMYFUNCTION("""COMPUTED_VALUE"""),"0938 780 122")</f>
        <v>0938 780 122</v>
      </c>
      <c r="B3576" s="119" t="str">
        <f>IFERROR(__xludf.DUMMYFUNCTION("""COMPUTED_VALUE"""),"Chú Trần Nhỏ")</f>
        <v>Chú Trần Nhỏ</v>
      </c>
      <c r="C3576" s="119" t="str">
        <f>IFERROR(__xludf.DUMMYFUNCTION("""COMPUTED_VALUE"""),"Chiết Bi - Phú Thượng")</f>
        <v>Chiết Bi - Phú Thượng</v>
      </c>
      <c r="D3576" s="119" t="str">
        <f>IFERROR(__xludf.DUMMYFUNCTION("""COMPUTED_VALUE"""),"Chó")</f>
        <v>Chó</v>
      </c>
      <c r="E3576" s="119" t="str">
        <f>IFERROR(__xludf.DUMMYFUNCTION("""COMPUTED_VALUE"""),"Suki/suka")</f>
        <v>Suki/suka</v>
      </c>
    </row>
    <row r="3577" ht="15.75" customHeight="1">
      <c r="A3577" s="122" t="str">
        <f>IFERROR(__xludf.DUMMYFUNCTION("""COMPUTED_VALUE"""),"0962 288 072")</f>
        <v>0962 288 072</v>
      </c>
      <c r="B3577" s="119" t="str">
        <f>IFERROR(__xludf.DUMMYFUNCTION("""COMPUTED_VALUE"""),"Chú Giao")</f>
        <v>Chú Giao</v>
      </c>
      <c r="C3577" s="119" t="str">
        <f>IFERROR(__xludf.DUMMYFUNCTION("""COMPUTED_VALUE"""),"k 318 Nguyễn Sinh Cung")</f>
        <v>k 318 Nguyễn Sinh Cung</v>
      </c>
      <c r="D3577" s="119" t="str">
        <f>IFERROR(__xludf.DUMMYFUNCTION("""COMPUTED_VALUE"""),"Chó")</f>
        <v>Chó</v>
      </c>
      <c r="E3577" s="119" t="str">
        <f>IFERROR(__xludf.DUMMYFUNCTION("""COMPUTED_VALUE"""),"Ken")</f>
        <v>Ken</v>
      </c>
    </row>
    <row r="3578" ht="15.75" customHeight="1">
      <c r="A3578" s="122" t="str">
        <f>IFERROR(__xludf.DUMMYFUNCTION("""COMPUTED_VALUE"""),"0935 435 007")</f>
        <v>0935 435 007</v>
      </c>
      <c r="B3578" s="119" t="str">
        <f>IFERROR(__xludf.DUMMYFUNCTION("""COMPUTED_VALUE"""),"Anh Tứ")</f>
        <v>Anh Tứ</v>
      </c>
      <c r="C3578" s="119"/>
      <c r="D3578" s="119"/>
      <c r="E3578" s="119"/>
    </row>
    <row r="3579" ht="15.75" customHeight="1">
      <c r="A3579" s="122" t="str">
        <f>IFERROR(__xludf.DUMMYFUNCTION("""COMPUTED_VALUE"""),"0901 144 688")</f>
        <v>0901 144 688</v>
      </c>
      <c r="B3579" s="119" t="str">
        <f>IFERROR(__xludf.DUMMYFUNCTION("""COMPUTED_VALUE"""),"khách lẻ")</f>
        <v>khách lẻ</v>
      </c>
      <c r="C3579" s="119"/>
      <c r="D3579" s="119"/>
      <c r="E3579" s="119"/>
    </row>
    <row r="3580" ht="15.75" customHeight="1">
      <c r="A3580" s="122" t="str">
        <f>IFERROR(__xludf.DUMMYFUNCTION("""COMPUTED_VALUE"""),"0796 615 701")</f>
        <v>0796 615 701</v>
      </c>
      <c r="B3580" s="119" t="str">
        <f>IFERROR(__xludf.DUMMYFUNCTION("""COMPUTED_VALUE"""),"Thái")</f>
        <v>Thái</v>
      </c>
      <c r="C3580" s="119" t="str">
        <f>IFERROR(__xludf.DUMMYFUNCTION("""COMPUTED_VALUE"""),"Phú An- Phú Vang")</f>
        <v>Phú An- Phú Vang</v>
      </c>
      <c r="D3580" s="119" t="str">
        <f>IFERROR(__xludf.DUMMYFUNCTION("""COMPUTED_VALUE"""),"Chó")</f>
        <v>Chó</v>
      </c>
      <c r="E3580" s="119" t="str">
        <f>IFERROR(__xludf.DUMMYFUNCTION("""COMPUTED_VALUE"""),"Nô")</f>
        <v>Nô</v>
      </c>
    </row>
    <row r="3581" ht="15.75" customHeight="1">
      <c r="A3581" s="122" t="str">
        <f>IFERROR(__xludf.DUMMYFUNCTION("""COMPUTED_VALUE"""),"0935 551 200")</f>
        <v>0935 551 200</v>
      </c>
      <c r="B3581" s="119" t="str">
        <f>IFERROR(__xludf.DUMMYFUNCTION("""COMPUTED_VALUE"""),"Anh Hà")</f>
        <v>Anh Hà</v>
      </c>
      <c r="C3581" s="119" t="str">
        <f>IFERROR(__xludf.DUMMYFUNCTION("""COMPUTED_VALUE"""),"Thuỷ Xuân")</f>
        <v>Thuỷ Xuân</v>
      </c>
      <c r="D3581" s="119" t="str">
        <f>IFERROR(__xludf.DUMMYFUNCTION("""COMPUTED_VALUE"""),"Mèo")</f>
        <v>Mèo</v>
      </c>
      <c r="E3581" s="119" t="str">
        <f>IFERROR(__xludf.DUMMYFUNCTION("""COMPUTED_VALUE"""),"Suni")</f>
        <v>Suni</v>
      </c>
    </row>
    <row r="3582" ht="15.75" customHeight="1">
      <c r="A3582" s="122" t="str">
        <f>IFERROR(__xludf.DUMMYFUNCTION("""COMPUTED_VALUE"""),"0989 743 913")</f>
        <v>0989 743 913</v>
      </c>
      <c r="B3582" s="119" t="str">
        <f>IFERROR(__xludf.DUMMYFUNCTION("""COMPUTED_VALUE"""),"Chị Chi")</f>
        <v>Chị Chi</v>
      </c>
      <c r="C3582" s="119" t="str">
        <f>IFERROR(__xludf.DUMMYFUNCTION("""COMPUTED_VALUE"""),"5/50 Nguyễn Khuyến")</f>
        <v>5/50 Nguyễn Khuyến</v>
      </c>
      <c r="D3582" s="119" t="str">
        <f>IFERROR(__xludf.DUMMYFUNCTION("""COMPUTED_VALUE"""),"Mèo")</f>
        <v>Mèo</v>
      </c>
      <c r="E3582" s="119" t="str">
        <f>IFERROR(__xludf.DUMMYFUNCTION("""COMPUTED_VALUE"""),"Dâu")</f>
        <v>Dâu</v>
      </c>
    </row>
    <row r="3583" ht="15.75" customHeight="1">
      <c r="A3583" s="122" t="str">
        <f>IFERROR(__xludf.DUMMYFUNCTION("""COMPUTED_VALUE"""),"0905 829 925")</f>
        <v>0905 829 925</v>
      </c>
      <c r="B3583" s="119" t="str">
        <f>IFERROR(__xludf.DUMMYFUNCTION("""COMPUTED_VALUE"""),"Chú Phụng")</f>
        <v>Chú Phụng</v>
      </c>
      <c r="C3583" s="119" t="str">
        <f>IFERROR(__xludf.DUMMYFUNCTION("""COMPUTED_VALUE"""),"15A k59 Duy Tân")</f>
        <v>15A k59 Duy Tân</v>
      </c>
      <c r="D3583" s="119" t="str">
        <f>IFERROR(__xludf.DUMMYFUNCTION("""COMPUTED_VALUE"""),"chó")</f>
        <v>chó</v>
      </c>
      <c r="E3583" s="119"/>
    </row>
    <row r="3584" ht="15.75" customHeight="1">
      <c r="A3584" s="122" t="str">
        <f>IFERROR(__xludf.DUMMYFUNCTION("""COMPUTED_VALUE"""),"0369 526 448")</f>
        <v>0369 526 448</v>
      </c>
      <c r="B3584" s="119" t="str">
        <f>IFERROR(__xludf.DUMMYFUNCTION("""COMPUTED_VALUE"""),"Chị Diệp")</f>
        <v>Chị Diệp</v>
      </c>
      <c r="C3584" s="119" t="str">
        <f>IFERROR(__xludf.DUMMYFUNCTION("""COMPUTED_VALUE"""),"Nguyễn Lộ Trạch")</f>
        <v>Nguyễn Lộ Trạch</v>
      </c>
      <c r="D3584" s="119" t="str">
        <f>IFERROR(__xludf.DUMMYFUNCTION("""COMPUTED_VALUE"""),"Mèo")</f>
        <v>Mèo</v>
      </c>
      <c r="E3584" s="119"/>
    </row>
    <row r="3585" ht="15.75" customHeight="1">
      <c r="A3585" s="122" t="str">
        <f>IFERROR(__xludf.DUMMYFUNCTION("""COMPUTED_VALUE"""),"0905 450 995")</f>
        <v>0905 450 995</v>
      </c>
      <c r="B3585" s="119" t="str">
        <f>IFERROR(__xludf.DUMMYFUNCTION("""COMPUTED_VALUE"""),"Đỗ Phú Thành")</f>
        <v>Đỗ Phú Thành</v>
      </c>
      <c r="C3585" s="119" t="str">
        <f>IFERROR(__xludf.DUMMYFUNCTION("""COMPUTED_VALUE"""),"143/ 5 Lê Huân")</f>
        <v>143/ 5 Lê Huân</v>
      </c>
      <c r="D3585" s="119" t="str">
        <f>IFERROR(__xludf.DUMMYFUNCTION("""COMPUTED_VALUE"""),"Mèo")</f>
        <v>Mèo</v>
      </c>
      <c r="E3585" s="119"/>
    </row>
    <row r="3586" ht="15.75" customHeight="1">
      <c r="A3586" s="122" t="str">
        <f>IFERROR(__xludf.DUMMYFUNCTION("""COMPUTED_VALUE"""),"0347 239 892")</f>
        <v>0347 239 892</v>
      </c>
      <c r="B3586" s="119" t="str">
        <f>IFERROR(__xludf.DUMMYFUNCTION("""COMPUTED_VALUE"""),"Diễm Quỳnh")</f>
        <v>Diễm Quỳnh</v>
      </c>
      <c r="C3586" s="119" t="str">
        <f>IFERROR(__xludf.DUMMYFUNCTION("""COMPUTED_VALUE"""),"Thuỷ Vân")</f>
        <v>Thuỷ Vân</v>
      </c>
      <c r="D3586" s="119" t="str">
        <f>IFERROR(__xludf.DUMMYFUNCTION("""COMPUTED_VALUE"""),"Chó")</f>
        <v>Chó</v>
      </c>
      <c r="E3586" s="119" t="str">
        <f>IFERROR(__xludf.DUMMYFUNCTION("""COMPUTED_VALUE"""),"Sữa")</f>
        <v>Sữa</v>
      </c>
    </row>
    <row r="3587" ht="15.75" customHeight="1">
      <c r="A3587" s="122" t="str">
        <f>IFERROR(__xludf.DUMMYFUNCTION("""COMPUTED_VALUE"""),"0763 655 705")</f>
        <v>0763 655 705</v>
      </c>
      <c r="B3587" s="119" t="str">
        <f>IFERROR(__xludf.DUMMYFUNCTION("""COMPUTED_VALUE"""),"Phạm Thị Linh")</f>
        <v>Phạm Thị Linh</v>
      </c>
      <c r="C3587" s="119" t="str">
        <f>IFERROR(__xludf.DUMMYFUNCTION("""COMPUTED_VALUE"""),"Chợ Nọ")</f>
        <v>Chợ Nọ</v>
      </c>
      <c r="D3587" s="119" t="str">
        <f>IFERROR(__xludf.DUMMYFUNCTION("""COMPUTED_VALUE"""),"Chó")</f>
        <v>Chó</v>
      </c>
      <c r="E3587" s="119" t="str">
        <f>IFERROR(__xludf.DUMMYFUNCTION("""COMPUTED_VALUE"""),"Ky")</f>
        <v>Ky</v>
      </c>
    </row>
    <row r="3588" ht="15.75" customHeight="1">
      <c r="A3588" s="122" t="str">
        <f>IFERROR(__xludf.DUMMYFUNCTION("""COMPUTED_VALUE"""),"0779 402 513")</f>
        <v>0779 402 513</v>
      </c>
      <c r="B3588" s="119" t="str">
        <f>IFERROR(__xludf.DUMMYFUNCTION("""COMPUTED_VALUE"""),"Chị Nay")</f>
        <v>Chị Nay</v>
      </c>
      <c r="C3588" s="119" t="str">
        <f>IFERROR(__xludf.DUMMYFUNCTION("""COMPUTED_VALUE"""),"3 kiệt 126 phạm văn đồng")</f>
        <v>3 kiệt 126 phạm văn đồng</v>
      </c>
      <c r="D3588" s="119" t="str">
        <f>IFERROR(__xludf.DUMMYFUNCTION("""COMPUTED_VALUE"""),"Mèo")</f>
        <v>Mèo</v>
      </c>
      <c r="E3588" s="119" t="str">
        <f>IFERROR(__xludf.DUMMYFUNCTION("""COMPUTED_VALUE"""),"Loki")</f>
        <v>Loki</v>
      </c>
    </row>
    <row r="3589" ht="15.75" customHeight="1">
      <c r="A3589" s="122" t="str">
        <f>IFERROR(__xludf.DUMMYFUNCTION("""COMPUTED_VALUE"""),"0355 550 231")</f>
        <v>0355 550 231</v>
      </c>
      <c r="B3589" s="119" t="str">
        <f>IFERROR(__xludf.DUMMYFUNCTION("""COMPUTED_VALUE"""),"Chú La Văn Cành")</f>
        <v>Chú La Văn Cành</v>
      </c>
      <c r="C3589" s="119" t="str">
        <f>IFERROR(__xludf.DUMMYFUNCTION("""COMPUTED_VALUE"""),"Thuận An- tp Huế")</f>
        <v>Thuận An- tp Huế</v>
      </c>
      <c r="D3589" s="119" t="str">
        <f>IFERROR(__xludf.DUMMYFUNCTION("""COMPUTED_VALUE"""),"Chó")</f>
        <v>Chó</v>
      </c>
      <c r="E3589" s="119" t="str">
        <f>IFERROR(__xludf.DUMMYFUNCTION("""COMPUTED_VALUE"""),"mây")</f>
        <v>mây</v>
      </c>
    </row>
    <row r="3590" ht="15.75" customHeight="1">
      <c r="A3590" s="122" t="str">
        <f>IFERROR(__xludf.DUMMYFUNCTION("""COMPUTED_VALUE"""),"0946 420 505")</f>
        <v>0946 420 505</v>
      </c>
      <c r="B3590" s="119" t="str">
        <f>IFERROR(__xludf.DUMMYFUNCTION("""COMPUTED_VALUE"""),"Chị Xuân")</f>
        <v>Chị Xuân</v>
      </c>
      <c r="C3590" s="119" t="str">
        <f>IFERROR(__xludf.DUMMYFUNCTION("""COMPUTED_VALUE"""),"6/67 Ngô Thế Lân")</f>
        <v>6/67 Ngô Thế Lân</v>
      </c>
      <c r="D3590" s="119" t="str">
        <f>IFERROR(__xludf.DUMMYFUNCTION("""COMPUTED_VALUE"""),"chó")</f>
        <v>chó</v>
      </c>
      <c r="E3590" s="119" t="str">
        <f>IFERROR(__xludf.DUMMYFUNCTION("""COMPUTED_VALUE"""),"Pha")</f>
        <v>Pha</v>
      </c>
    </row>
    <row r="3591" ht="15.75" customHeight="1">
      <c r="A3591" s="122" t="str">
        <f>IFERROR(__xludf.DUMMYFUNCTION("""COMPUTED_VALUE"""),"0896 458 943")</f>
        <v>0896 458 943</v>
      </c>
      <c r="B3591" s="119" t="str">
        <f>IFERROR(__xludf.DUMMYFUNCTION("""COMPUTED_VALUE"""),"Anh Thắng")</f>
        <v>Anh Thắng</v>
      </c>
      <c r="C3591" s="119" t="str">
        <f>IFERROR(__xludf.DUMMYFUNCTION("""COMPUTED_VALUE"""),"68k35 ngõ 4 Nguyễn Phúc lan")</f>
        <v>68k35 ngõ 4 Nguyễn Phúc lan</v>
      </c>
      <c r="D3591" s="119" t="str">
        <f>IFERROR(__xludf.DUMMYFUNCTION("""COMPUTED_VALUE"""),"chó")</f>
        <v>chó</v>
      </c>
      <c r="E3591" s="119"/>
    </row>
    <row r="3592" ht="15.75" customHeight="1">
      <c r="A3592" s="122" t="str">
        <f>IFERROR(__xludf.DUMMYFUNCTION("""COMPUTED_VALUE"""),"0934 846 060")</f>
        <v>0934 846 060</v>
      </c>
      <c r="B3592" s="119" t="str">
        <f>IFERROR(__xludf.DUMMYFUNCTION("""COMPUTED_VALUE"""),"Chị Nhi")</f>
        <v>Chị Nhi</v>
      </c>
      <c r="C3592" s="119" t="str">
        <f>IFERROR(__xludf.DUMMYFUNCTION("""COMPUTED_VALUE"""),"264 Lý Nam Đế")</f>
        <v>264 Lý Nam Đế</v>
      </c>
      <c r="D3592" s="119" t="str">
        <f>IFERROR(__xludf.DUMMYFUNCTION("""COMPUTED_VALUE"""),"chó")</f>
        <v>chó</v>
      </c>
      <c r="E3592" s="119" t="str">
        <f>IFERROR(__xludf.DUMMYFUNCTION("""COMPUTED_VALUE"""),"Xù")</f>
        <v>Xù</v>
      </c>
    </row>
    <row r="3593" ht="15.75" customHeight="1">
      <c r="A3593" s="122" t="str">
        <f>IFERROR(__xludf.DUMMYFUNCTION("""COMPUTED_VALUE"""),"0799 448 464")</f>
        <v>0799 448 464</v>
      </c>
      <c r="B3593" s="119" t="str">
        <f>IFERROR(__xludf.DUMMYFUNCTION("""COMPUTED_VALUE"""),"Chị Hải")</f>
        <v>Chị Hải</v>
      </c>
      <c r="C3593" s="119" t="str">
        <f>IFERROR(__xludf.DUMMYFUNCTION("""COMPUTED_VALUE"""),"277a Bùi Thị Xuân")</f>
        <v>277a Bùi Thị Xuân</v>
      </c>
      <c r="D3593" s="119" t="str">
        <f>IFERROR(__xludf.DUMMYFUNCTION("""COMPUTED_VALUE"""),"chó")</f>
        <v>chó</v>
      </c>
      <c r="E3593" s="119" t="str">
        <f>IFERROR(__xludf.DUMMYFUNCTION("""COMPUTED_VALUE"""),"Xu")</f>
        <v>Xu</v>
      </c>
    </row>
    <row r="3594" ht="15.75" customHeight="1">
      <c r="A3594" s="122" t="str">
        <f>IFERROR(__xludf.DUMMYFUNCTION("""COMPUTED_VALUE"""),"0774 680 465")</f>
        <v>0774 680 465</v>
      </c>
      <c r="B3594" s="119" t="str">
        <f>IFERROR(__xludf.DUMMYFUNCTION("""COMPUTED_VALUE"""),"Chị Ty")</f>
        <v>Chị Ty</v>
      </c>
      <c r="C3594" s="119" t="str">
        <f>IFERROR(__xludf.DUMMYFUNCTION("""COMPUTED_VALUE"""),"23 Phạm Thị Liên")</f>
        <v>23 Phạm Thị Liên</v>
      </c>
      <c r="D3594" s="119" t="str">
        <f>IFERROR(__xludf.DUMMYFUNCTION("""COMPUTED_VALUE"""),"chó")</f>
        <v>chó</v>
      </c>
      <c r="E3594" s="119" t="str">
        <f>IFERROR(__xludf.DUMMYFUNCTION("""COMPUTED_VALUE"""),"Milo")</f>
        <v>Milo</v>
      </c>
    </row>
    <row r="3595" ht="15.75" customHeight="1">
      <c r="A3595" s="122" t="str">
        <f>IFERROR(__xludf.DUMMYFUNCTION("""COMPUTED_VALUE"""),"0764 848 994")</f>
        <v>0764 848 994</v>
      </c>
      <c r="B3595" s="119" t="str">
        <f>IFERROR(__xludf.DUMMYFUNCTION("""COMPUTED_VALUE"""),"Em Linh")</f>
        <v>Em Linh</v>
      </c>
      <c r="C3595" s="119" t="str">
        <f>IFERROR(__xludf.DUMMYFUNCTION("""COMPUTED_VALUE"""),"k47 Nguyễn Phúc Chu")</f>
        <v>k47 Nguyễn Phúc Chu</v>
      </c>
      <c r="D3595" s="119" t="str">
        <f>IFERROR(__xludf.DUMMYFUNCTION("""COMPUTED_VALUE"""),"chó")</f>
        <v>chó</v>
      </c>
      <c r="E3595" s="119" t="str">
        <f>IFERROR(__xludf.DUMMYFUNCTION("""COMPUTED_VALUE"""),"Xu")</f>
        <v>Xu</v>
      </c>
    </row>
    <row r="3596" ht="15.75" customHeight="1">
      <c r="A3596" s="122" t="str">
        <f>IFERROR(__xludf.DUMMYFUNCTION("""COMPUTED_VALUE"""),"0346 162 481")</f>
        <v>0346 162 481</v>
      </c>
      <c r="B3596" s="119" t="str">
        <f>IFERROR(__xludf.DUMMYFUNCTION("""COMPUTED_VALUE"""),"Vân Anh")</f>
        <v>Vân Anh</v>
      </c>
      <c r="C3596" s="119" t="str">
        <f>IFERROR(__xludf.DUMMYFUNCTION("""COMPUTED_VALUE"""),"12/59 Duy Tân")</f>
        <v>12/59 Duy Tân</v>
      </c>
      <c r="D3596" s="119" t="str">
        <f>IFERROR(__xludf.DUMMYFUNCTION("""COMPUTED_VALUE"""),"mèo")</f>
        <v>mèo</v>
      </c>
      <c r="E3596" s="119" t="str">
        <f>IFERROR(__xludf.DUMMYFUNCTION("""COMPUTED_VALUE"""),"Xôi")</f>
        <v>Xôi</v>
      </c>
    </row>
    <row r="3597" ht="15.75" customHeight="1">
      <c r="A3597" s="122" t="str">
        <f>IFERROR(__xludf.DUMMYFUNCTION("""COMPUTED_VALUE"""),"0978 622 517")</f>
        <v>0978 622 517</v>
      </c>
      <c r="B3597" s="119" t="str">
        <f>IFERROR(__xludf.DUMMYFUNCTION("""COMPUTED_VALUE"""),"CHị Thảo")</f>
        <v>CHị Thảo</v>
      </c>
      <c r="C3597" s="119" t="str">
        <f>IFERROR(__xludf.DUMMYFUNCTION("""COMPUTED_VALUE"""),"Hương Hồ")</f>
        <v>Hương Hồ</v>
      </c>
      <c r="D3597" s="119" t="str">
        <f>IFERROR(__xludf.DUMMYFUNCTION("""COMPUTED_VALUE"""),"mèo")</f>
        <v>mèo</v>
      </c>
      <c r="E3597" s="119" t="str">
        <f>IFERROR(__xludf.DUMMYFUNCTION("""COMPUTED_VALUE"""),"Mèo")</f>
        <v>Mèo</v>
      </c>
    </row>
    <row r="3598" ht="15.75" customHeight="1">
      <c r="A3598" s="122" t="str">
        <f>IFERROR(__xludf.DUMMYFUNCTION("""COMPUTED_VALUE"""),"0914 869 162")</f>
        <v>0914 869 162</v>
      </c>
      <c r="B3598" s="119" t="str">
        <f>IFERROR(__xludf.DUMMYFUNCTION("""COMPUTED_VALUE"""),"Chị Trâm")</f>
        <v>Chị Trâm</v>
      </c>
      <c r="C3598" s="119" t="str">
        <f>IFERROR(__xludf.DUMMYFUNCTION("""COMPUTED_VALUE"""),"1 Lý Nhân Tông")</f>
        <v>1 Lý Nhân Tông</v>
      </c>
      <c r="D3598" s="119" t="str">
        <f>IFERROR(__xludf.DUMMYFUNCTION("""COMPUTED_VALUE"""),"chó")</f>
        <v>chó</v>
      </c>
      <c r="E3598" s="119" t="str">
        <f>IFERROR(__xludf.DUMMYFUNCTION("""COMPUTED_VALUE"""),"Min")</f>
        <v>Min</v>
      </c>
    </row>
    <row r="3599" ht="15.75" customHeight="1">
      <c r="A3599" s="122" t="str">
        <f>IFERROR(__xludf.DUMMYFUNCTION("""COMPUTED_VALUE"""),"0986 069 749")</f>
        <v>0986 069 749</v>
      </c>
      <c r="B3599" s="119" t="str">
        <f>IFERROR(__xludf.DUMMYFUNCTION("""COMPUTED_VALUE"""),"Anh Ngọc")</f>
        <v>Anh Ngọc</v>
      </c>
      <c r="C3599" s="119" t="str">
        <f>IFERROR(__xludf.DUMMYFUNCTION("""COMPUTED_VALUE"""),"k105 Hàn Mặc Tử")</f>
        <v>k105 Hàn Mặc Tử</v>
      </c>
      <c r="D3599" s="119" t="str">
        <f>IFERROR(__xludf.DUMMYFUNCTION("""COMPUTED_VALUE"""),"chó")</f>
        <v>chó</v>
      </c>
      <c r="E3599" s="119" t="str">
        <f>IFERROR(__xludf.DUMMYFUNCTION("""COMPUTED_VALUE"""),"Na")</f>
        <v>Na</v>
      </c>
    </row>
    <row r="3600" ht="15.75" customHeight="1">
      <c r="A3600" s="122" t="str">
        <f>IFERROR(__xludf.DUMMYFUNCTION("""COMPUTED_VALUE"""),"0778 541 606")</f>
        <v>0778 541 606</v>
      </c>
      <c r="B3600" s="119" t="str">
        <f>IFERROR(__xludf.DUMMYFUNCTION("""COMPUTED_VALUE"""),"Dì Hường")</f>
        <v>Dì Hường</v>
      </c>
      <c r="C3600" s="119" t="str">
        <f>IFERROR(__xludf.DUMMYFUNCTION("""COMPUTED_VALUE"""),"k2/49 Nguyễn Cư Trinh")</f>
        <v>k2/49 Nguyễn Cư Trinh</v>
      </c>
      <c r="D3600" s="119" t="str">
        <f>IFERROR(__xludf.DUMMYFUNCTION("""COMPUTED_VALUE"""),"mèo")</f>
        <v>mèo</v>
      </c>
      <c r="E3600" s="119"/>
    </row>
    <row r="3601" ht="15.75" customHeight="1">
      <c r="A3601" s="122" t="str">
        <f>IFERROR(__xludf.DUMMYFUNCTION("""COMPUTED_VALUE"""),"0905 336 805")</f>
        <v>0905 336 805</v>
      </c>
      <c r="B3601" s="119" t="str">
        <f>IFERROR(__xludf.DUMMYFUNCTION("""COMPUTED_VALUE"""),"Dì Trang")</f>
        <v>Dì Trang</v>
      </c>
      <c r="C3601" s="119" t="str">
        <f>IFERROR(__xludf.DUMMYFUNCTION("""COMPUTED_VALUE"""),"40/k2 Tỉnh lộ 10")</f>
        <v>40/k2 Tỉnh lộ 10</v>
      </c>
      <c r="D3601" s="119" t="str">
        <f>IFERROR(__xludf.DUMMYFUNCTION("""COMPUTED_VALUE"""),"chó")</f>
        <v>chó</v>
      </c>
      <c r="E3601" s="119" t="str">
        <f>IFERROR(__xludf.DUMMYFUNCTION("""COMPUTED_VALUE"""),"Bom")</f>
        <v>Bom</v>
      </c>
    </row>
    <row r="3602" ht="15.75" customHeight="1">
      <c r="A3602" s="122" t="str">
        <f>IFERROR(__xludf.DUMMYFUNCTION("""COMPUTED_VALUE"""),"0906 432 170")</f>
        <v>0906 432 170</v>
      </c>
      <c r="B3602" s="119" t="str">
        <f>IFERROR(__xludf.DUMMYFUNCTION("""COMPUTED_VALUE"""),"Chị Tâm")</f>
        <v>Chị Tâm</v>
      </c>
      <c r="C3602" s="119" t="str">
        <f>IFERROR(__xludf.DUMMYFUNCTION("""COMPUTED_VALUE"""),"Quê Chữ, Hương Chữ")</f>
        <v>Quê Chữ, Hương Chữ</v>
      </c>
      <c r="D3602" s="119" t="str">
        <f>IFERROR(__xludf.DUMMYFUNCTION("""COMPUTED_VALUE"""),"mèo")</f>
        <v>mèo</v>
      </c>
      <c r="E3602" s="119" t="str">
        <f>IFERROR(__xludf.DUMMYFUNCTION("""COMPUTED_VALUE"""),"Bi")</f>
        <v>Bi</v>
      </c>
    </row>
    <row r="3603" ht="15.75" customHeight="1">
      <c r="A3603" s="122" t="str">
        <f>IFERROR(__xludf.DUMMYFUNCTION("""COMPUTED_VALUE"""),"0815 636 492")</f>
        <v>0815 636 492</v>
      </c>
      <c r="B3603" s="119" t="str">
        <f>IFERROR(__xludf.DUMMYFUNCTION("""COMPUTED_VALUE"""),"Anh tài")</f>
        <v>Anh tài</v>
      </c>
      <c r="C3603" s="119" t="str">
        <f>IFERROR(__xludf.DUMMYFUNCTION("""COMPUTED_VALUE"""),"16 Tô Ngọc Vân")</f>
        <v>16 Tô Ngọc Vân</v>
      </c>
      <c r="D3603" s="119" t="str">
        <f>IFERROR(__xludf.DUMMYFUNCTION("""COMPUTED_VALUE"""),"chó")</f>
        <v>chó</v>
      </c>
      <c r="E3603" s="119" t="str">
        <f>IFERROR(__xludf.DUMMYFUNCTION("""COMPUTED_VALUE"""),"Ky")</f>
        <v>Ky</v>
      </c>
    </row>
    <row r="3604" ht="15.75" customHeight="1">
      <c r="A3604" s="122" t="str">
        <f>IFERROR(__xludf.DUMMYFUNCTION("""COMPUTED_VALUE"""),"0935 269 950")</f>
        <v>0935 269 950</v>
      </c>
      <c r="B3604" s="119" t="str">
        <f>IFERROR(__xludf.DUMMYFUNCTION("""COMPUTED_VALUE"""),"Duy")</f>
        <v>Duy</v>
      </c>
      <c r="C3604" s="119" t="str">
        <f>IFERROR(__xludf.DUMMYFUNCTION("""COMPUTED_VALUE"""),"61 Phạm Thị Liên")</f>
        <v>61 Phạm Thị Liên</v>
      </c>
      <c r="D3604" s="119" t="str">
        <f>IFERROR(__xludf.DUMMYFUNCTION("""COMPUTED_VALUE"""),"chó")</f>
        <v>chó</v>
      </c>
      <c r="E3604" s="119" t="str">
        <f>IFERROR(__xludf.DUMMYFUNCTION("""COMPUTED_VALUE"""),"Lisa")</f>
        <v>Lisa</v>
      </c>
    </row>
    <row r="3605" ht="15.75" customHeight="1">
      <c r="A3605" s="122" t="str">
        <f>IFERROR(__xludf.DUMMYFUNCTION("""COMPUTED_VALUE"""),"0908 603 237")</f>
        <v>0908 603 237</v>
      </c>
      <c r="B3605" s="119" t="str">
        <f>IFERROR(__xludf.DUMMYFUNCTION("""COMPUTED_VALUE"""),"Chị Bạch Mai")</f>
        <v>Chị Bạch Mai</v>
      </c>
      <c r="C3605" s="119" t="str">
        <f>IFERROR(__xludf.DUMMYFUNCTION("""COMPUTED_VALUE"""),"159 Vạn Xuân")</f>
        <v>159 Vạn Xuân</v>
      </c>
      <c r="D3605" s="119" t="str">
        <f>IFERROR(__xludf.DUMMYFUNCTION("""COMPUTED_VALUE"""),"mèo")</f>
        <v>mèo</v>
      </c>
      <c r="E3605" s="119" t="str">
        <f>IFERROR(__xludf.DUMMYFUNCTION("""COMPUTED_VALUE"""),"Kem")</f>
        <v>Kem</v>
      </c>
    </row>
    <row r="3606" ht="15.75" customHeight="1">
      <c r="A3606" s="122" t="str">
        <f>IFERROR(__xludf.DUMMYFUNCTION("""COMPUTED_VALUE"""),"0839 655 301")</f>
        <v>0839 655 301</v>
      </c>
      <c r="B3606" s="119" t="str">
        <f>IFERROR(__xludf.DUMMYFUNCTION("""COMPUTED_VALUE"""),"Dì Diệu")</f>
        <v>Dì Diệu</v>
      </c>
      <c r="C3606" s="119" t="str">
        <f>IFERROR(__xludf.DUMMYFUNCTION("""COMPUTED_VALUE"""),"15/2 Nguyễn Hoàng")</f>
        <v>15/2 Nguyễn Hoàng</v>
      </c>
      <c r="D3606" s="119" t="str">
        <f>IFERROR(__xludf.DUMMYFUNCTION("""COMPUTED_VALUE"""),"chó")</f>
        <v>chó</v>
      </c>
      <c r="E3606" s="119" t="str">
        <f>IFERROR(__xludf.DUMMYFUNCTION("""COMPUTED_VALUE"""),"Ky")</f>
        <v>Ky</v>
      </c>
    </row>
    <row r="3607" ht="15.75" customHeight="1">
      <c r="A3607" s="122" t="str">
        <f>IFERROR(__xludf.DUMMYFUNCTION("""COMPUTED_VALUE"""),"0942 977 621")</f>
        <v>0942 977 621</v>
      </c>
      <c r="B3607" s="119" t="str">
        <f>IFERROR(__xludf.DUMMYFUNCTION("""COMPUTED_VALUE"""),"Ngọc Hà")</f>
        <v>Ngọc Hà</v>
      </c>
      <c r="C3607" s="119" t="str">
        <f>IFERROR(__xludf.DUMMYFUNCTION("""COMPUTED_VALUE"""),"44 Hồ Đắc Di")</f>
        <v>44 Hồ Đắc Di</v>
      </c>
      <c r="D3607" s="119" t="str">
        <f>IFERROR(__xludf.DUMMYFUNCTION("""COMPUTED_VALUE"""),"mèo")</f>
        <v>mèo</v>
      </c>
      <c r="E3607" s="119" t="str">
        <f>IFERROR(__xludf.DUMMYFUNCTION("""COMPUTED_VALUE"""),"Benly")</f>
        <v>Benly</v>
      </c>
    </row>
    <row r="3608" ht="15.75" customHeight="1">
      <c r="A3608" s="122" t="str">
        <f>IFERROR(__xludf.DUMMYFUNCTION("""COMPUTED_VALUE"""),"0707 556 921")</f>
        <v>0707 556 921</v>
      </c>
      <c r="B3608" s="119" t="str">
        <f>IFERROR(__xludf.DUMMYFUNCTION("""COMPUTED_VALUE"""),"Chị Nhi")</f>
        <v>Chị Nhi</v>
      </c>
      <c r="C3608" s="119" t="str">
        <f>IFERROR(__xludf.DUMMYFUNCTION("""COMPUTED_VALUE"""),"thôn Văn Thê, Thuỷ Thanh, Hương Thuỷ")</f>
        <v>thôn Văn Thê, Thuỷ Thanh, Hương Thuỷ</v>
      </c>
      <c r="D3608" s="119" t="str">
        <f>IFERROR(__xludf.DUMMYFUNCTION("""COMPUTED_VALUE"""),"mèo")</f>
        <v>mèo</v>
      </c>
      <c r="E3608" s="119" t="str">
        <f>IFERROR(__xludf.DUMMYFUNCTION("""COMPUTED_VALUE"""),"Mun")</f>
        <v>Mun</v>
      </c>
    </row>
    <row r="3609" ht="15.75" customHeight="1">
      <c r="A3609" s="122" t="str">
        <f>IFERROR(__xludf.DUMMYFUNCTION("""COMPUTED_VALUE"""),"0905 781 897")</f>
        <v>0905 781 897</v>
      </c>
      <c r="B3609" s="119" t="str">
        <f>IFERROR(__xludf.DUMMYFUNCTION("""COMPUTED_VALUE"""),"Bác Minh ")</f>
        <v>Bác Minh </v>
      </c>
      <c r="C3609" s="119" t="str">
        <f>IFERROR(__xludf.DUMMYFUNCTION("""COMPUTED_VALUE"""),"2/21 Nguyễn Phúc Thụ")</f>
        <v>2/21 Nguyễn Phúc Thụ</v>
      </c>
      <c r="D3609" s="119" t="str">
        <f>IFERROR(__xludf.DUMMYFUNCTION("""COMPUTED_VALUE"""),"Chó")</f>
        <v>Chó</v>
      </c>
      <c r="E3609" s="119" t="str">
        <f>IFERROR(__xludf.DUMMYFUNCTION("""COMPUTED_VALUE"""),"Nâu")</f>
        <v>Nâu</v>
      </c>
    </row>
    <row r="3610" ht="15.75" customHeight="1">
      <c r="A3610" s="122" t="str">
        <f>IFERROR(__xludf.DUMMYFUNCTION("""COMPUTED_VALUE"""),"0363 921 851")</f>
        <v>0363 921 851</v>
      </c>
      <c r="B3610" s="119" t="str">
        <f>IFERROR(__xludf.DUMMYFUNCTION("""COMPUTED_VALUE"""),"Dì Thuyên")</f>
        <v>Dì Thuyên</v>
      </c>
      <c r="C3610" s="119" t="str">
        <f>IFERROR(__xludf.DUMMYFUNCTION("""COMPUTED_VALUE"""),"92 Ngọc Hồ ")</f>
        <v>92 Ngọc Hồ </v>
      </c>
      <c r="D3610" s="119" t="str">
        <f>IFERROR(__xludf.DUMMYFUNCTION("""COMPUTED_VALUE"""),"Chó ")</f>
        <v>Chó </v>
      </c>
      <c r="E3610" s="119" t="str">
        <f>IFERROR(__xludf.DUMMYFUNCTION("""COMPUTED_VALUE"""),"Kim cương ")</f>
        <v>Kim cương </v>
      </c>
    </row>
    <row r="3611" ht="15.75" customHeight="1">
      <c r="A3611" s="122" t="str">
        <f>IFERROR(__xludf.DUMMYFUNCTION("""COMPUTED_VALUE"""),"0347 982 775")</f>
        <v>0347 982 775</v>
      </c>
      <c r="B3611" s="119" t="str">
        <f>IFERROR(__xludf.DUMMYFUNCTION("""COMPUTED_VALUE"""),"Ngọc Sang")</f>
        <v>Ngọc Sang</v>
      </c>
      <c r="C3611" s="119" t="str">
        <f>IFERROR(__xludf.DUMMYFUNCTION("""COMPUTED_VALUE"""),"24/33 An Dương Vương")</f>
        <v>24/33 An Dương Vương</v>
      </c>
      <c r="D3611" s="119" t="str">
        <f>IFERROR(__xludf.DUMMYFUNCTION("""COMPUTED_VALUE"""),"mèo")</f>
        <v>mèo</v>
      </c>
      <c r="E3611" s="119"/>
    </row>
    <row r="3612" ht="15.75" customHeight="1">
      <c r="A3612" s="122" t="str">
        <f>IFERROR(__xludf.DUMMYFUNCTION("""COMPUTED_VALUE"""),"0774 189 132")</f>
        <v>0774 189 132</v>
      </c>
      <c r="B3612" s="119" t="str">
        <f>IFERROR(__xludf.DUMMYFUNCTION("""COMPUTED_VALUE"""),"Anh Duy Đạt")</f>
        <v>Anh Duy Đạt</v>
      </c>
      <c r="C3612" s="119" t="str">
        <f>IFERROR(__xludf.DUMMYFUNCTION("""COMPUTED_VALUE"""),"100 Đặng Huy Trứ")</f>
        <v>100 Đặng Huy Trứ</v>
      </c>
      <c r="D3612" s="119" t="str">
        <f>IFERROR(__xludf.DUMMYFUNCTION("""COMPUTED_VALUE"""),"chó ")</f>
        <v>chó </v>
      </c>
      <c r="E3612" s="119" t="str">
        <f>IFERROR(__xludf.DUMMYFUNCTION("""COMPUTED_VALUE"""),"Mon")</f>
        <v>Mon</v>
      </c>
    </row>
    <row r="3613" ht="15.75" customHeight="1">
      <c r="A3613" s="122" t="str">
        <f>IFERROR(__xludf.DUMMYFUNCTION("""COMPUTED_VALUE"""),"0905 958 338")</f>
        <v>0905 958 338</v>
      </c>
      <c r="B3613" s="119" t="str">
        <f>IFERROR(__xludf.DUMMYFUNCTION("""COMPUTED_VALUE"""),"Anh Cường")</f>
        <v>Anh Cường</v>
      </c>
      <c r="C3613" s="119" t="str">
        <f>IFERROR(__xludf.DUMMYFUNCTION("""COMPUTED_VALUE"""),"27/56 Duy Tân")</f>
        <v>27/56 Duy Tân</v>
      </c>
      <c r="D3613" s="119" t="str">
        <f>IFERROR(__xludf.DUMMYFUNCTION("""COMPUTED_VALUE"""),"chó")</f>
        <v>chó</v>
      </c>
      <c r="E3613" s="119" t="str">
        <f>IFERROR(__xludf.DUMMYFUNCTION("""COMPUTED_VALUE"""),"Milu")</f>
        <v>Milu</v>
      </c>
    </row>
    <row r="3614" ht="15.75" customHeight="1">
      <c r="A3614" s="122" t="str">
        <f>IFERROR(__xludf.DUMMYFUNCTION("""COMPUTED_VALUE"""),"0935 555 670")</f>
        <v>0935 555 670</v>
      </c>
      <c r="B3614" s="119" t="str">
        <f>IFERROR(__xludf.DUMMYFUNCTION("""COMPUTED_VALUE"""),"Anh Trung ")</f>
        <v>Anh Trung </v>
      </c>
      <c r="C3614" s="119" t="str">
        <f>IFERROR(__xludf.DUMMYFUNCTION("""COMPUTED_VALUE"""),"12/80 Nguyễn Hoàng ")</f>
        <v>12/80 Nguyễn Hoàng </v>
      </c>
      <c r="D3614" s="119" t="str">
        <f>IFERROR(__xludf.DUMMYFUNCTION("""COMPUTED_VALUE"""),"Chó ")</f>
        <v>Chó </v>
      </c>
      <c r="E3614" s="119" t="str">
        <f>IFERROR(__xludf.DUMMYFUNCTION("""COMPUTED_VALUE"""),"Ky")</f>
        <v>Ky</v>
      </c>
    </row>
    <row r="3615" ht="15.75" customHeight="1">
      <c r="A3615" s="122" t="str">
        <f>IFERROR(__xludf.DUMMYFUNCTION("""COMPUTED_VALUE"""),"0944 632 246")</f>
        <v>0944 632 246</v>
      </c>
      <c r="B3615" s="119" t="str">
        <f>IFERROR(__xludf.DUMMYFUNCTION("""COMPUTED_VALUE"""),"ANh Hào")</f>
        <v>ANh Hào</v>
      </c>
      <c r="C3615" s="119" t="str">
        <f>IFERROR(__xludf.DUMMYFUNCTION("""COMPUTED_VALUE"""),"Roya Pack")</f>
        <v>Roya Pack</v>
      </c>
      <c r="D3615" s="119" t="str">
        <f>IFERROR(__xludf.DUMMYFUNCTION("""COMPUTED_VALUE"""),"chó")</f>
        <v>chó</v>
      </c>
      <c r="E3615" s="119"/>
    </row>
    <row r="3616" ht="15.75" customHeight="1">
      <c r="A3616" s="122" t="str">
        <f>IFERROR(__xludf.DUMMYFUNCTION("""COMPUTED_VALUE"""),"0373 748 584")</f>
        <v>0373 748 584</v>
      </c>
      <c r="B3616" s="119" t="str">
        <f>IFERROR(__xludf.DUMMYFUNCTION("""COMPUTED_VALUE"""),"Dì Thu Lộc")</f>
        <v>Dì Thu Lộc</v>
      </c>
      <c r="C3616" s="119" t="str">
        <f>IFERROR(__xludf.DUMMYFUNCTION("""COMPUTED_VALUE"""),"6 Đào Tấn")</f>
        <v>6 Đào Tấn</v>
      </c>
      <c r="D3616" s="119" t="str">
        <f>IFERROR(__xludf.DUMMYFUNCTION("""COMPUTED_VALUE"""),"mèo")</f>
        <v>mèo</v>
      </c>
      <c r="E3616" s="119" t="str">
        <f>IFERROR(__xludf.DUMMYFUNCTION("""COMPUTED_VALUE"""),"Ba Xạo")</f>
        <v>Ba Xạo</v>
      </c>
    </row>
    <row r="3617" ht="15.75" customHeight="1">
      <c r="A3617" s="122" t="str">
        <f>IFERROR(__xludf.DUMMYFUNCTION("""COMPUTED_VALUE"""),"0352 601 200")</f>
        <v>0352 601 200</v>
      </c>
      <c r="B3617" s="119" t="str">
        <f>IFERROR(__xludf.DUMMYFUNCTION("""COMPUTED_VALUE"""),"Phan Thị Bích Chi")</f>
        <v>Phan Thị Bích Chi</v>
      </c>
      <c r="C3617" s="119" t="str">
        <f>IFERROR(__xludf.DUMMYFUNCTION("""COMPUTED_VALUE"""),"Xịa")</f>
        <v>Xịa</v>
      </c>
      <c r="D3617" s="119" t="str">
        <f>IFERROR(__xludf.DUMMYFUNCTION("""COMPUTED_VALUE"""),"chó")</f>
        <v>chó</v>
      </c>
      <c r="E3617" s="119" t="str">
        <f>IFERROR(__xludf.DUMMYFUNCTION("""COMPUTED_VALUE"""),"Xù")</f>
        <v>Xù</v>
      </c>
    </row>
    <row r="3618" ht="15.75" customHeight="1">
      <c r="A3618" s="122" t="str">
        <f>IFERROR(__xludf.DUMMYFUNCTION("""COMPUTED_VALUE"""),"0979 023 710")</f>
        <v>0979 023 710</v>
      </c>
      <c r="B3618" s="119" t="str">
        <f>IFERROR(__xludf.DUMMYFUNCTION("""COMPUTED_VALUE"""),"Anh Tồn")</f>
        <v>Anh Tồn</v>
      </c>
      <c r="C3618" s="119" t="str">
        <f>IFERROR(__xludf.DUMMYFUNCTION("""COMPUTED_VALUE"""),"364 Đinh Tiên Hoàng")</f>
        <v>364 Đinh Tiên Hoàng</v>
      </c>
      <c r="D3618" s="119" t="str">
        <f>IFERROR(__xludf.DUMMYFUNCTION("""COMPUTED_VALUE"""),"chó")</f>
        <v>chó</v>
      </c>
      <c r="E3618" s="119" t="str">
        <f>IFERROR(__xludf.DUMMYFUNCTION("""COMPUTED_VALUE"""),"Mít")</f>
        <v>Mít</v>
      </c>
    </row>
    <row r="3619" ht="15.75" customHeight="1">
      <c r="A3619" s="122" t="str">
        <f>IFERROR(__xludf.DUMMYFUNCTION("""COMPUTED_VALUE"""),"0387 410 390")</f>
        <v>0387 410 390</v>
      </c>
      <c r="B3619" s="119" t="str">
        <f>IFERROR(__xludf.DUMMYFUNCTION("""COMPUTED_VALUE"""),"Chị Bé")</f>
        <v>Chị Bé</v>
      </c>
      <c r="C3619" s="119" t="str">
        <f>IFERROR(__xludf.DUMMYFUNCTION("""COMPUTED_VALUE"""),"44 Nguyễn Viết xuân")</f>
        <v>44 Nguyễn Viết xuân</v>
      </c>
      <c r="D3619" s="119" t="str">
        <f>IFERROR(__xludf.DUMMYFUNCTION("""COMPUTED_VALUE"""),"Chó")</f>
        <v>Chó</v>
      </c>
      <c r="E3619" s="119" t="str">
        <f>IFERROR(__xludf.DUMMYFUNCTION("""COMPUTED_VALUE"""),"Nâu")</f>
        <v>Nâu</v>
      </c>
    </row>
    <row r="3620" ht="15.75" customHeight="1">
      <c r="A3620" s="122" t="str">
        <f>IFERROR(__xludf.DUMMYFUNCTION("""COMPUTED_VALUE"""),"0931 755 252")</f>
        <v>0931 755 252</v>
      </c>
      <c r="B3620" s="119" t="str">
        <f>IFERROR(__xludf.DUMMYFUNCTION("""COMPUTED_VALUE"""),"Anh Hoàng")</f>
        <v>Anh Hoàng</v>
      </c>
      <c r="C3620" s="119" t="str">
        <f>IFERROR(__xludf.DUMMYFUNCTION("""COMPUTED_VALUE"""),"Kiệt 131 Trần Phú")</f>
        <v>Kiệt 131 Trần Phú</v>
      </c>
      <c r="D3620" s="119" t="str">
        <f>IFERROR(__xludf.DUMMYFUNCTION("""COMPUTED_VALUE"""),"chó")</f>
        <v>chó</v>
      </c>
      <c r="E3620" s="119"/>
    </row>
    <row r="3621" ht="15.75" customHeight="1">
      <c r="A3621" s="122" t="str">
        <f>IFERROR(__xludf.DUMMYFUNCTION("""COMPUTED_VALUE"""),"0345 696 664")</f>
        <v>0345 696 664</v>
      </c>
      <c r="B3621" s="119" t="str">
        <f>IFERROR(__xludf.DUMMYFUNCTION("""COMPUTED_VALUE"""),"Võ Văn Kiệt")</f>
        <v>Võ Văn Kiệt</v>
      </c>
      <c r="C3621" s="119" t="str">
        <f>IFERROR(__xludf.DUMMYFUNCTION("""COMPUTED_VALUE"""),"Hương Phong- TP Huế")</f>
        <v>Hương Phong- TP Huế</v>
      </c>
      <c r="D3621" s="119" t="str">
        <f>IFERROR(__xludf.DUMMYFUNCTION("""COMPUTED_VALUE"""),"Chó")</f>
        <v>Chó</v>
      </c>
      <c r="E3621" s="119" t="str">
        <f>IFERROR(__xludf.DUMMYFUNCTION("""COMPUTED_VALUE"""),"Mây")</f>
        <v>Mây</v>
      </c>
    </row>
    <row r="3622" ht="15.75" customHeight="1">
      <c r="A3622" s="122" t="str">
        <f>IFERROR(__xludf.DUMMYFUNCTION("""COMPUTED_VALUE"""),"0905 459 763")</f>
        <v>0905 459 763</v>
      </c>
      <c r="B3622" s="119" t="str">
        <f>IFERROR(__xludf.DUMMYFUNCTION("""COMPUTED_VALUE"""),"Anh Phương")</f>
        <v>Anh Phương</v>
      </c>
      <c r="C3622" s="119" t="str">
        <f>IFERROR(__xludf.DUMMYFUNCTION("""COMPUTED_VALUE"""),"La Ỷ, Phú Thượng, Phú Vang")</f>
        <v>La Ỷ, Phú Thượng, Phú Vang</v>
      </c>
      <c r="D3622" s="119" t="str">
        <f>IFERROR(__xludf.DUMMYFUNCTION("""COMPUTED_VALUE"""),"chó")</f>
        <v>chó</v>
      </c>
      <c r="E3622" s="119" t="str">
        <f>IFERROR(__xludf.DUMMYFUNCTION("""COMPUTED_VALUE"""),"Covid")</f>
        <v>Covid</v>
      </c>
    </row>
    <row r="3623" ht="15.75" customHeight="1">
      <c r="A3623" s="122" t="str">
        <f>IFERROR(__xludf.DUMMYFUNCTION("""COMPUTED_VALUE"""),"0899 873 145")</f>
        <v>0899 873 145</v>
      </c>
      <c r="B3623" s="119" t="str">
        <f>IFERROR(__xludf.DUMMYFUNCTION("""COMPUTED_VALUE"""),"Anh Tuấn")</f>
        <v>Anh Tuấn</v>
      </c>
      <c r="C3623" s="119" t="str">
        <f>IFERROR(__xludf.DUMMYFUNCTION("""COMPUTED_VALUE"""),"Phú Hải, Phú Vang")</f>
        <v>Phú Hải, Phú Vang</v>
      </c>
      <c r="D3623" s="119" t="str">
        <f>IFERROR(__xludf.DUMMYFUNCTION("""COMPUTED_VALUE"""),"chó")</f>
        <v>chó</v>
      </c>
      <c r="E3623" s="119" t="str">
        <f>IFERROR(__xludf.DUMMYFUNCTION("""COMPUTED_VALUE"""),"Pill")</f>
        <v>Pill</v>
      </c>
    </row>
    <row r="3624" ht="15.75" customHeight="1">
      <c r="A3624" s="122" t="str">
        <f>IFERROR(__xludf.DUMMYFUNCTION("""COMPUTED_VALUE"""),"0933 696 769")</f>
        <v>0933 696 769</v>
      </c>
      <c r="B3624" s="119" t="str">
        <f>IFERROR(__xludf.DUMMYFUNCTION("""COMPUTED_VALUE"""),"Ngân Phúc")</f>
        <v>Ngân Phúc</v>
      </c>
      <c r="C3624" s="119" t="str">
        <f>IFERROR(__xludf.DUMMYFUNCTION("""COMPUTED_VALUE"""),"31 Bà Triệu")</f>
        <v>31 Bà Triệu</v>
      </c>
      <c r="D3624" s="119" t="str">
        <f>IFERROR(__xludf.DUMMYFUNCTION("""COMPUTED_VALUE"""),"chó")</f>
        <v>chó</v>
      </c>
      <c r="E3624" s="119" t="str">
        <f>IFERROR(__xludf.DUMMYFUNCTION("""COMPUTED_VALUE"""),"Quýt")</f>
        <v>Quýt</v>
      </c>
    </row>
    <row r="3625" ht="15.75" customHeight="1">
      <c r="A3625" s="122" t="str">
        <f>IFERROR(__xludf.DUMMYFUNCTION("""COMPUTED_VALUE"""),"0676 565 153")</f>
        <v>0676 565 153</v>
      </c>
      <c r="B3625" s="119" t="str">
        <f>IFERROR(__xludf.DUMMYFUNCTION("""COMPUTED_VALUE"""),"Dì Lý")</f>
        <v>Dì Lý</v>
      </c>
      <c r="C3625" s="119" t="str">
        <f>IFERROR(__xludf.DUMMYFUNCTION("""COMPUTED_VALUE"""),"17  Bà Triệu")</f>
        <v>17  Bà Triệu</v>
      </c>
      <c r="D3625" s="119" t="str">
        <f>IFERROR(__xludf.DUMMYFUNCTION("""COMPUTED_VALUE"""),"Chó")</f>
        <v>Chó</v>
      </c>
      <c r="E3625" s="119" t="str">
        <f>IFERROR(__xludf.DUMMYFUNCTION("""COMPUTED_VALUE"""),"Bơ")</f>
        <v>Bơ</v>
      </c>
    </row>
    <row r="3626" ht="15.75" customHeight="1">
      <c r="A3626" s="122" t="str">
        <f>IFERROR(__xludf.DUMMYFUNCTION("""COMPUTED_VALUE"""),"0905 885 954")</f>
        <v>0905 885 954</v>
      </c>
      <c r="B3626" s="119" t="str">
        <f>IFERROR(__xludf.DUMMYFUNCTION("""COMPUTED_VALUE"""),"Anh Lai")</f>
        <v>Anh Lai</v>
      </c>
      <c r="C3626" s="119" t="str">
        <f>IFERROR(__xludf.DUMMYFUNCTION("""COMPUTED_VALUE"""),"42/1/16 Đào Tấn")</f>
        <v>42/1/16 Đào Tấn</v>
      </c>
      <c r="D3626" s="119" t="str">
        <f>IFERROR(__xludf.DUMMYFUNCTION("""COMPUTED_VALUE"""),"mèo")</f>
        <v>mèo</v>
      </c>
      <c r="E3626" s="119" t="str">
        <f>IFERROR(__xludf.DUMMYFUNCTION("""COMPUTED_VALUE"""),"Mi Dông")</f>
        <v>Mi Dông</v>
      </c>
    </row>
    <row r="3627" ht="15.75" customHeight="1">
      <c r="A3627" s="122" t="str">
        <f>IFERROR(__xludf.DUMMYFUNCTION("""COMPUTED_VALUE"""),"0932 425 888")</f>
        <v>0932 425 888</v>
      </c>
      <c r="B3627" s="119" t="str">
        <f>IFERROR(__xludf.DUMMYFUNCTION("""COMPUTED_VALUE"""),"Chị Hà")</f>
        <v>Chị Hà</v>
      </c>
      <c r="C3627" s="119" t="str">
        <f>IFERROR(__xludf.DUMMYFUNCTION("""COMPUTED_VALUE"""),"12 Diễn Phái")</f>
        <v>12 Diễn Phái</v>
      </c>
      <c r="D3627" s="119" t="str">
        <f>IFERROR(__xludf.DUMMYFUNCTION("""COMPUTED_VALUE"""),"Chó")</f>
        <v>Chó</v>
      </c>
      <c r="E3627" s="119" t="str">
        <f>IFERROR(__xludf.DUMMYFUNCTION("""COMPUTED_VALUE"""),"lucky")</f>
        <v>lucky</v>
      </c>
    </row>
    <row r="3628" ht="15.75" customHeight="1">
      <c r="A3628" s="122" t="str">
        <f>IFERROR(__xludf.DUMMYFUNCTION("""COMPUTED_VALUE"""),"0966 804 276")</f>
        <v>0966 804 276</v>
      </c>
      <c r="B3628" s="119" t="str">
        <f>IFERROR(__xludf.DUMMYFUNCTION("""COMPUTED_VALUE"""),"Chị Thảo")</f>
        <v>Chị Thảo</v>
      </c>
      <c r="C3628" s="119" t="str">
        <f>IFERROR(__xludf.DUMMYFUNCTION("""COMPUTED_VALUE"""),"20/112 Trần Phú")</f>
        <v>20/112 Trần Phú</v>
      </c>
      <c r="D3628" s="119" t="str">
        <f>IFERROR(__xludf.DUMMYFUNCTION("""COMPUTED_VALUE"""),"chó")</f>
        <v>chó</v>
      </c>
      <c r="E3628" s="119" t="str">
        <f>IFERROR(__xludf.DUMMYFUNCTION("""COMPUTED_VALUE"""),"Tina")</f>
        <v>Tina</v>
      </c>
    </row>
    <row r="3629" ht="15.75" customHeight="1">
      <c r="A3629" s="122" t="str">
        <f>IFERROR(__xludf.DUMMYFUNCTION("""COMPUTED_VALUE"""),"0971 847 434")</f>
        <v>0971 847 434</v>
      </c>
      <c r="B3629" s="119" t="str">
        <f>IFERROR(__xludf.DUMMYFUNCTION("""COMPUTED_VALUE"""),"Chị Huế")</f>
        <v>Chị Huế</v>
      </c>
      <c r="C3629" s="119" t="str">
        <f>IFERROR(__xludf.DUMMYFUNCTION("""COMPUTED_VALUE"""),"Nguyễn Khoa chiêm")</f>
        <v>Nguyễn Khoa chiêm</v>
      </c>
      <c r="D3629" s="119" t="str">
        <f>IFERROR(__xludf.DUMMYFUNCTION("""COMPUTED_VALUE"""),"Chó")</f>
        <v>Chó</v>
      </c>
      <c r="E3629" s="119" t="str">
        <f>IFERROR(__xludf.DUMMYFUNCTION("""COMPUTED_VALUE"""),"Bông")</f>
        <v>Bông</v>
      </c>
    </row>
    <row r="3630" ht="15.75" customHeight="1">
      <c r="A3630" s="122" t="str">
        <f>IFERROR(__xludf.DUMMYFUNCTION("""COMPUTED_VALUE"""),"0935 543 357")</f>
        <v>0935 543 357</v>
      </c>
      <c r="B3630" s="119" t="str">
        <f>IFERROR(__xludf.DUMMYFUNCTION("""COMPUTED_VALUE"""),"Chị Linh")</f>
        <v>Chị Linh</v>
      </c>
      <c r="C3630" s="119" t="str">
        <f>IFERROR(__xludf.DUMMYFUNCTION("""COMPUTED_VALUE"""),"Lương Y")</f>
        <v>Lương Y</v>
      </c>
      <c r="D3630" s="119" t="str">
        <f>IFERROR(__xludf.DUMMYFUNCTION("""COMPUTED_VALUE"""),"chó ")</f>
        <v>chó </v>
      </c>
      <c r="E3630" s="119" t="str">
        <f>IFERROR(__xludf.DUMMYFUNCTION("""COMPUTED_VALUE"""),"Sam")</f>
        <v>Sam</v>
      </c>
    </row>
    <row r="3631" ht="15.75" customHeight="1">
      <c r="A3631" s="122" t="str">
        <f>IFERROR(__xludf.DUMMYFUNCTION("""COMPUTED_VALUE"""),"0799 819 652")</f>
        <v>0799 819 652</v>
      </c>
      <c r="B3631" s="119" t="str">
        <f>IFERROR(__xludf.DUMMYFUNCTION("""COMPUTED_VALUE"""),"Chị Nhung")</f>
        <v>Chị Nhung</v>
      </c>
      <c r="C3631" s="119"/>
      <c r="D3631" s="119" t="str">
        <f>IFERROR(__xludf.DUMMYFUNCTION("""COMPUTED_VALUE"""),"mèo ")</f>
        <v>mèo </v>
      </c>
      <c r="E3631" s="119"/>
    </row>
    <row r="3632" ht="15.75" customHeight="1">
      <c r="A3632" s="122" t="str">
        <f>IFERROR(__xludf.DUMMYFUNCTION("""COMPUTED_VALUE"""),"0774 564 217")</f>
        <v>0774 564 217</v>
      </c>
      <c r="B3632" s="119" t="str">
        <f>IFERROR(__xludf.DUMMYFUNCTION("""COMPUTED_VALUE"""),"Chị Nguyễn Thị Lành")</f>
        <v>Chị Nguyễn Thị Lành</v>
      </c>
      <c r="C3632" s="119" t="str">
        <f>IFERROR(__xludf.DUMMYFUNCTION("""COMPUTED_VALUE"""),"65/1 Đặng Huy Trứ")</f>
        <v>65/1 Đặng Huy Trứ</v>
      </c>
      <c r="D3632" s="119" t="str">
        <f>IFERROR(__xludf.DUMMYFUNCTION("""COMPUTED_VALUE"""),"chó ")</f>
        <v>chó </v>
      </c>
      <c r="E3632" s="119" t="str">
        <f>IFERROR(__xludf.DUMMYFUNCTION("""COMPUTED_VALUE"""),"Nâu")</f>
        <v>Nâu</v>
      </c>
    </row>
    <row r="3633" ht="15.75" customHeight="1">
      <c r="A3633" s="122" t="str">
        <f>IFERROR(__xludf.DUMMYFUNCTION("""COMPUTED_VALUE"""),"0906 555 223")</f>
        <v>0906 555 223</v>
      </c>
      <c r="B3633" s="119" t="str">
        <f>IFERROR(__xludf.DUMMYFUNCTION("""COMPUTED_VALUE"""),"Anh Triêù")</f>
        <v>Anh Triêù</v>
      </c>
      <c r="C3633" s="119" t="str">
        <f>IFERROR(__xludf.DUMMYFUNCTION("""COMPUTED_VALUE"""),"12/130 Trần Phú")</f>
        <v>12/130 Trần Phú</v>
      </c>
      <c r="D3633" s="119" t="str">
        <f>IFERROR(__xludf.DUMMYFUNCTION("""COMPUTED_VALUE"""),"chó")</f>
        <v>chó</v>
      </c>
      <c r="E3633" s="119" t="str">
        <f>IFERROR(__xludf.DUMMYFUNCTION("""COMPUTED_VALUE"""),"Rốt")</f>
        <v>Rốt</v>
      </c>
    </row>
    <row r="3634" ht="15.75" customHeight="1">
      <c r="A3634" s="122" t="str">
        <f>IFERROR(__xludf.DUMMYFUNCTION("""COMPUTED_VALUE"""),"0817 792 773")</f>
        <v>0817 792 773</v>
      </c>
      <c r="B3634" s="119" t="str">
        <f>IFERROR(__xludf.DUMMYFUNCTION("""COMPUTED_VALUE"""),"Em Hải")</f>
        <v>Em Hải</v>
      </c>
      <c r="C3634" s="119" t="str">
        <f>IFERROR(__xludf.DUMMYFUNCTION("""COMPUTED_VALUE"""),"58/1 Nguyễn Hoàng")</f>
        <v>58/1 Nguyễn Hoàng</v>
      </c>
      <c r="D3634" s="119" t="str">
        <f>IFERROR(__xludf.DUMMYFUNCTION("""COMPUTED_VALUE"""),"mèo")</f>
        <v>mèo</v>
      </c>
      <c r="E3634" s="119" t="str">
        <f>IFERROR(__xludf.DUMMYFUNCTION("""COMPUTED_VALUE"""),"Bưởi")</f>
        <v>Bưởi</v>
      </c>
    </row>
    <row r="3635" ht="15.75" customHeight="1">
      <c r="A3635" s="122" t="str">
        <f>IFERROR(__xludf.DUMMYFUNCTION("""COMPUTED_VALUE"""),"0934 964 222")</f>
        <v>0934 964 222</v>
      </c>
      <c r="B3635" s="119" t="str">
        <f>IFERROR(__xludf.DUMMYFUNCTION("""COMPUTED_VALUE"""),"Nguyễn văn Lợi")</f>
        <v>Nguyễn văn Lợi</v>
      </c>
      <c r="C3635" s="119" t="str">
        <f>IFERROR(__xludf.DUMMYFUNCTION("""COMPUTED_VALUE"""),"6/9/7 Nguyễn Công Trứ")</f>
        <v>6/9/7 Nguyễn Công Trứ</v>
      </c>
      <c r="D3635" s="119" t="str">
        <f>IFERROR(__xludf.DUMMYFUNCTION("""COMPUTED_VALUE"""),"Chó")</f>
        <v>Chó</v>
      </c>
      <c r="E3635" s="119"/>
    </row>
    <row r="3636" ht="15.75" customHeight="1">
      <c r="A3636" s="122" t="str">
        <f>IFERROR(__xludf.DUMMYFUNCTION("""COMPUTED_VALUE"""),"0774 427 402")</f>
        <v>0774 427 402</v>
      </c>
      <c r="B3636" s="119" t="str">
        <f>IFERROR(__xludf.DUMMYFUNCTION("""COMPUTED_VALUE"""),"Chị Misa")</f>
        <v>Chị Misa</v>
      </c>
      <c r="C3636" s="119" t="str">
        <f>IFERROR(__xludf.DUMMYFUNCTION("""COMPUTED_VALUE"""),"174 Tăng Bạt Hổ")</f>
        <v>174 Tăng Bạt Hổ</v>
      </c>
      <c r="D3636" s="119" t="str">
        <f>IFERROR(__xludf.DUMMYFUNCTION("""COMPUTED_VALUE"""),"chó")</f>
        <v>chó</v>
      </c>
      <c r="E3636" s="119" t="str">
        <f>IFERROR(__xludf.DUMMYFUNCTION("""COMPUTED_VALUE"""),"Ổi Sẻ")</f>
        <v>Ổi Sẻ</v>
      </c>
    </row>
    <row r="3637" ht="15.75" customHeight="1">
      <c r="A3637" s="122" t="str">
        <f>IFERROR(__xludf.DUMMYFUNCTION("""COMPUTED_VALUE"""),"0334 394 249")</f>
        <v>0334 394 249</v>
      </c>
      <c r="B3637" s="119" t="str">
        <f>IFERROR(__xludf.DUMMYFUNCTION("""COMPUTED_VALUE"""),"Em Long")</f>
        <v>Em Long</v>
      </c>
      <c r="C3637" s="119" t="str">
        <f>IFERROR(__xludf.DUMMYFUNCTION("""COMPUTED_VALUE"""),"31 Minh Mạng")</f>
        <v>31 Minh Mạng</v>
      </c>
      <c r="D3637" s="119" t="str">
        <f>IFERROR(__xludf.DUMMYFUNCTION("""COMPUTED_VALUE"""),"chó")</f>
        <v>chó</v>
      </c>
      <c r="E3637" s="119" t="str">
        <f>IFERROR(__xludf.DUMMYFUNCTION("""COMPUTED_VALUE"""),"Gi")</f>
        <v>Gi</v>
      </c>
    </row>
    <row r="3638" ht="15.75" customHeight="1">
      <c r="A3638" s="122" t="str">
        <f>IFERROR(__xludf.DUMMYFUNCTION("""COMPUTED_VALUE"""),"0394 498 511")</f>
        <v>0394 498 511</v>
      </c>
      <c r="B3638" s="119" t="str">
        <f>IFERROR(__xludf.DUMMYFUNCTION("""COMPUTED_VALUE"""),"Chị Hồng Nhung")</f>
        <v>Chị Hồng Nhung</v>
      </c>
      <c r="C3638" s="119" t="str">
        <f>IFERROR(__xludf.DUMMYFUNCTION("""COMPUTED_VALUE"""),"46 Nguyễn Hữu Dật")</f>
        <v>46 Nguyễn Hữu Dật</v>
      </c>
      <c r="D3638" s="119" t="str">
        <f>IFERROR(__xludf.DUMMYFUNCTION("""COMPUTED_VALUE"""),"chó")</f>
        <v>chó</v>
      </c>
      <c r="E3638" s="119" t="str">
        <f>IFERROR(__xludf.DUMMYFUNCTION("""COMPUTED_VALUE"""),"Đà")</f>
        <v>Đà</v>
      </c>
    </row>
    <row r="3639" ht="15.75" customHeight="1">
      <c r="A3639" s="122" t="str">
        <f>IFERROR(__xludf.DUMMYFUNCTION("""COMPUTED_VALUE"""),"0856 670 785")</f>
        <v>0856 670 785</v>
      </c>
      <c r="B3639" s="119" t="str">
        <f>IFERROR(__xludf.DUMMYFUNCTION("""COMPUTED_VALUE"""),"Anh Phương")</f>
        <v>Anh Phương</v>
      </c>
      <c r="C3639" s="119" t="str">
        <f>IFERROR(__xludf.DUMMYFUNCTION("""COMPUTED_VALUE"""),"10 Tăng Bạt Hổ")</f>
        <v>10 Tăng Bạt Hổ</v>
      </c>
      <c r="D3639" s="119" t="str">
        <f>IFERROR(__xludf.DUMMYFUNCTION("""COMPUTED_VALUE"""),"chó")</f>
        <v>chó</v>
      </c>
      <c r="E3639" s="119" t="str">
        <f>IFERROR(__xludf.DUMMYFUNCTION("""COMPUTED_VALUE"""),"Mon")</f>
        <v>Mon</v>
      </c>
    </row>
    <row r="3640" ht="15.75" customHeight="1">
      <c r="A3640" s="122" t="str">
        <f>IFERROR(__xludf.DUMMYFUNCTION("""COMPUTED_VALUE"""),"0905 808 122")</f>
        <v>0905 808 122</v>
      </c>
      <c r="B3640" s="119" t="str">
        <f>IFERROR(__xludf.DUMMYFUNCTION("""COMPUTED_VALUE"""),"Chị Nhung/dì Hòa")</f>
        <v>Chị Nhung/dì Hòa</v>
      </c>
      <c r="C3640" s="119" t="str">
        <f>IFERROR(__xludf.DUMMYFUNCTION("""COMPUTED_VALUE"""),"33 Hồ Văn Hiển")</f>
        <v>33 Hồ Văn Hiển</v>
      </c>
      <c r="D3640" s="119" t="str">
        <f>IFERROR(__xludf.DUMMYFUNCTION("""COMPUTED_VALUE"""),"chó")</f>
        <v>chó</v>
      </c>
      <c r="E3640" s="119" t="str">
        <f>IFERROR(__xludf.DUMMYFUNCTION("""COMPUTED_VALUE"""),"Xù")</f>
        <v>Xù</v>
      </c>
    </row>
    <row r="3641" ht="15.75" customHeight="1">
      <c r="A3641" s="122" t="str">
        <f>IFERROR(__xludf.DUMMYFUNCTION("""COMPUTED_VALUE"""),"0965 699 900")</f>
        <v>0965 699 900</v>
      </c>
      <c r="B3641" s="119" t="str">
        <f>IFERROR(__xludf.DUMMYFUNCTION("""COMPUTED_VALUE"""),"Anh Minh")</f>
        <v>Anh Minh</v>
      </c>
      <c r="C3641" s="119" t="str">
        <f>IFERROR(__xludf.DUMMYFUNCTION("""COMPUTED_VALUE"""),"B39 Tỉnh lộ 10- Phú Thượng")</f>
        <v>B39 Tỉnh lộ 10- Phú Thượng</v>
      </c>
      <c r="D3641" s="119" t="str">
        <f>IFERROR(__xludf.DUMMYFUNCTION("""COMPUTED_VALUE"""),"Chó")</f>
        <v>Chó</v>
      </c>
      <c r="E3641" s="119" t="str">
        <f>IFERROR(__xludf.DUMMYFUNCTION("""COMPUTED_VALUE"""),"Red")</f>
        <v>Red</v>
      </c>
    </row>
    <row r="3642" ht="15.75" customHeight="1">
      <c r="A3642" s="122" t="str">
        <f>IFERROR(__xludf.DUMMYFUNCTION("""COMPUTED_VALUE"""),"0973 636 143")</f>
        <v>0973 636 143</v>
      </c>
      <c r="B3642" s="119" t="str">
        <f>IFERROR(__xludf.DUMMYFUNCTION("""COMPUTED_VALUE"""),"Bác Minh")</f>
        <v>Bác Minh</v>
      </c>
      <c r="C3642" s="119" t="str">
        <f>IFERROR(__xludf.DUMMYFUNCTION("""COMPUTED_VALUE"""),"28/254 Phan Chu Trinh")</f>
        <v>28/254 Phan Chu Trinh</v>
      </c>
      <c r="D3642" s="119" t="str">
        <f>IFERROR(__xludf.DUMMYFUNCTION("""COMPUTED_VALUE"""),"chó")</f>
        <v>chó</v>
      </c>
      <c r="E3642" s="119" t="str">
        <f>IFERROR(__xludf.DUMMYFUNCTION("""COMPUTED_VALUE"""),"Tino")</f>
        <v>Tino</v>
      </c>
    </row>
    <row r="3643" ht="15.75" customHeight="1">
      <c r="A3643" s="122" t="str">
        <f>IFERROR(__xludf.DUMMYFUNCTION("""COMPUTED_VALUE"""),"0852 852 469")</f>
        <v>0852 852 469</v>
      </c>
      <c r="B3643" s="119" t="str">
        <f>IFERROR(__xludf.DUMMYFUNCTION("""COMPUTED_VALUE"""),"Anh Lân")</f>
        <v>Anh Lân</v>
      </c>
      <c r="C3643" s="119" t="str">
        <f>IFERROR(__xludf.DUMMYFUNCTION("""COMPUTED_VALUE"""),"72 Phạm Thị Liên")</f>
        <v>72 Phạm Thị Liên</v>
      </c>
      <c r="D3643" s="119" t="str">
        <f>IFERROR(__xludf.DUMMYFUNCTION("""COMPUTED_VALUE"""),"chó")</f>
        <v>chó</v>
      </c>
      <c r="E3643" s="119" t="str">
        <f>IFERROR(__xludf.DUMMYFUNCTION("""COMPUTED_VALUE"""),"ky")</f>
        <v>ky</v>
      </c>
    </row>
    <row r="3644" ht="15.75" customHeight="1">
      <c r="A3644" s="122" t="str">
        <f>IFERROR(__xludf.DUMMYFUNCTION("""COMPUTED_VALUE"""),"0934 743 344")</f>
        <v>0934 743 344</v>
      </c>
      <c r="B3644" s="119" t="str">
        <f>IFERROR(__xludf.DUMMYFUNCTION("""COMPUTED_VALUE"""),"Chị Thuỷ")</f>
        <v>Chị Thuỷ</v>
      </c>
      <c r="C3644" s="119" t="str">
        <f>IFERROR(__xludf.DUMMYFUNCTION("""COMPUTED_VALUE"""),"kiệt 10 Vũ Ngọc Phan")</f>
        <v>kiệt 10 Vũ Ngọc Phan</v>
      </c>
      <c r="D3644" s="119" t="str">
        <f>IFERROR(__xludf.DUMMYFUNCTION("""COMPUTED_VALUE"""),"Chó")</f>
        <v>Chó</v>
      </c>
      <c r="E3644" s="119" t="str">
        <f>IFERROR(__xludf.DUMMYFUNCTION("""COMPUTED_VALUE"""),"Tino")</f>
        <v>Tino</v>
      </c>
    </row>
    <row r="3645" ht="15.75" customHeight="1">
      <c r="A3645" s="122" t="str">
        <f>IFERROR(__xludf.DUMMYFUNCTION("""COMPUTED_VALUE"""),"0862 810 121")</f>
        <v>0862 810 121</v>
      </c>
      <c r="B3645" s="119" t="str">
        <f>IFERROR(__xludf.DUMMYFUNCTION("""COMPUTED_VALUE"""),"C Tường Vy")</f>
        <v>C Tường Vy</v>
      </c>
      <c r="C3645" s="119" t="str">
        <f>IFERROR(__xludf.DUMMYFUNCTION("""COMPUTED_VALUE"""),"7/185 Nguyễn Chí Thanh")</f>
        <v>7/185 Nguyễn Chí Thanh</v>
      </c>
      <c r="D3645" s="119" t="str">
        <f>IFERROR(__xludf.DUMMYFUNCTION("""COMPUTED_VALUE"""),"Mèo")</f>
        <v>Mèo</v>
      </c>
      <c r="E3645" s="119" t="str">
        <f>IFERROR(__xludf.DUMMYFUNCTION("""COMPUTED_VALUE"""),"Meo")</f>
        <v>Meo</v>
      </c>
    </row>
    <row r="3646" ht="15.75" customHeight="1">
      <c r="A3646" s="122" t="str">
        <f>IFERROR(__xludf.DUMMYFUNCTION("""COMPUTED_VALUE"""),"0702 435 392")</f>
        <v>0702 435 392</v>
      </c>
      <c r="B3646" s="119" t="str">
        <f>IFERROR(__xludf.DUMMYFUNCTION("""COMPUTED_VALUE"""),"chị Ny")</f>
        <v>chị Ny</v>
      </c>
      <c r="C3646" s="119" t="str">
        <f>IFERROR(__xludf.DUMMYFUNCTION("""COMPUTED_VALUE"""),"Phú Thuận- Phú Vang")</f>
        <v>Phú Thuận- Phú Vang</v>
      </c>
      <c r="D3646" s="119" t="str">
        <f>IFERROR(__xludf.DUMMYFUNCTION("""COMPUTED_VALUE"""),"Chó")</f>
        <v>Chó</v>
      </c>
      <c r="E3646" s="119"/>
    </row>
    <row r="3647" ht="15.75" customHeight="1">
      <c r="A3647" s="122" t="str">
        <f>IFERROR(__xludf.DUMMYFUNCTION("""COMPUTED_VALUE"""),"0961 396 646")</f>
        <v>0961 396 646</v>
      </c>
      <c r="B3647" s="119" t="str">
        <f>IFERROR(__xludf.DUMMYFUNCTION("""COMPUTED_VALUE"""),"Anh Hoà")</f>
        <v>Anh Hoà</v>
      </c>
      <c r="C3647" s="119" t="str">
        <f>IFERROR(__xludf.DUMMYFUNCTION("""COMPUTED_VALUE"""),"Phú Thương ")</f>
        <v>Phú Thương </v>
      </c>
      <c r="D3647" s="119" t="str">
        <f>IFERROR(__xludf.DUMMYFUNCTION("""COMPUTED_VALUE"""),"Mèo")</f>
        <v>Mèo</v>
      </c>
      <c r="E3647" s="119" t="str">
        <f>IFERROR(__xludf.DUMMYFUNCTION("""COMPUTED_VALUE"""),"Lạc")</f>
        <v>Lạc</v>
      </c>
    </row>
    <row r="3648" ht="15.75" customHeight="1">
      <c r="A3648" s="122" t="str">
        <f>IFERROR(__xludf.DUMMYFUNCTION("""COMPUTED_VALUE"""),"0905 101 675")</f>
        <v>0905 101 675</v>
      </c>
      <c r="B3648" s="119" t="str">
        <f>IFERROR(__xludf.DUMMYFUNCTION("""COMPUTED_VALUE"""),"Trần Thanh Minh")</f>
        <v>Trần Thanh Minh</v>
      </c>
      <c r="C3648" s="119" t="str">
        <f>IFERROR(__xludf.DUMMYFUNCTION("""COMPUTED_VALUE"""),"Phú Lộc")</f>
        <v>Phú Lộc</v>
      </c>
      <c r="D3648" s="119" t="str">
        <f>IFERROR(__xludf.DUMMYFUNCTION("""COMPUTED_VALUE"""),"chó")</f>
        <v>chó</v>
      </c>
      <c r="E3648" s="119"/>
    </row>
    <row r="3649" ht="15.75" customHeight="1">
      <c r="A3649" s="122" t="str">
        <f>IFERROR(__xludf.DUMMYFUNCTION("""COMPUTED_VALUE"""),"0328 084 935")</f>
        <v>0328 084 935</v>
      </c>
      <c r="B3649" s="119" t="str">
        <f>IFERROR(__xludf.DUMMYFUNCTION("""COMPUTED_VALUE"""),"Em Hiếu")</f>
        <v>Em Hiếu</v>
      </c>
      <c r="C3649" s="119" t="str">
        <f>IFERROR(__xludf.DUMMYFUNCTION("""COMPUTED_VALUE"""),"5/218 Đào Tấn")</f>
        <v>5/218 Đào Tấn</v>
      </c>
      <c r="D3649" s="119" t="str">
        <f>IFERROR(__xludf.DUMMYFUNCTION("""COMPUTED_VALUE"""),"mèo ")</f>
        <v>mèo </v>
      </c>
      <c r="E3649" s="119" t="str">
        <f>IFERROR(__xludf.DUMMYFUNCTION("""COMPUTED_VALUE"""),"Bạc")</f>
        <v>Bạc</v>
      </c>
    </row>
    <row r="3650" ht="15.75" customHeight="1">
      <c r="A3650" s="122" t="str">
        <f>IFERROR(__xludf.DUMMYFUNCTION("""COMPUTED_VALUE"""),"0347 689 960")</f>
        <v>0347 689 960</v>
      </c>
      <c r="B3650" s="119" t="str">
        <f>IFERROR(__xludf.DUMMYFUNCTION("""COMPUTED_VALUE"""),"Hồ Văn Quân")</f>
        <v>Hồ Văn Quân</v>
      </c>
      <c r="C3650" s="119" t="str">
        <f>IFERROR(__xludf.DUMMYFUNCTION("""COMPUTED_VALUE"""),"Nguyễn Văn Linh")</f>
        <v>Nguyễn Văn Linh</v>
      </c>
      <c r="D3650" s="119" t="str">
        <f>IFERROR(__xludf.DUMMYFUNCTION("""COMPUTED_VALUE"""),"Chó")</f>
        <v>Chó</v>
      </c>
      <c r="E3650" s="119" t="str">
        <f>IFERROR(__xludf.DUMMYFUNCTION("""COMPUTED_VALUE"""),"Rubi")</f>
        <v>Rubi</v>
      </c>
    </row>
    <row r="3651" ht="15.75" customHeight="1">
      <c r="A3651" s="122" t="str">
        <f>IFERROR(__xludf.DUMMYFUNCTION("""COMPUTED_VALUE"""),"0355 764 695")</f>
        <v>0355 764 695</v>
      </c>
      <c r="B3651" s="119" t="str">
        <f>IFERROR(__xludf.DUMMYFUNCTION("""COMPUTED_VALUE"""),"Hoàng Kim")</f>
        <v>Hoàng Kim</v>
      </c>
      <c r="C3651" s="119" t="str">
        <f>IFERROR(__xludf.DUMMYFUNCTION("""COMPUTED_VALUE"""),"Phú Lộc")</f>
        <v>Phú Lộc</v>
      </c>
      <c r="D3651" s="119" t="str">
        <f>IFERROR(__xludf.DUMMYFUNCTION("""COMPUTED_VALUE"""),"chó")</f>
        <v>chó</v>
      </c>
      <c r="E3651" s="119" t="str">
        <f>IFERROR(__xludf.DUMMYFUNCTION("""COMPUTED_VALUE"""),"Súp lơ")</f>
        <v>Súp lơ</v>
      </c>
    </row>
    <row r="3652" ht="15.75" customHeight="1">
      <c r="A3652" s="122" t="str">
        <f>IFERROR(__xludf.DUMMYFUNCTION("""COMPUTED_VALUE"""),"0913 465 224")</f>
        <v>0913 465 224</v>
      </c>
      <c r="B3652" s="119" t="str">
        <f>IFERROR(__xludf.DUMMYFUNCTION("""COMPUTED_VALUE"""),"Anh Thắng")</f>
        <v>Anh Thắng</v>
      </c>
      <c r="C3652" s="119" t="str">
        <f>IFERROR(__xludf.DUMMYFUNCTION("""COMPUTED_VALUE"""),"31/246 Hùng Vương")</f>
        <v>31/246 Hùng Vương</v>
      </c>
      <c r="D3652" s="119" t="str">
        <f>IFERROR(__xludf.DUMMYFUNCTION("""COMPUTED_VALUE"""),"chó")</f>
        <v>chó</v>
      </c>
      <c r="E3652" s="119" t="str">
        <f>IFERROR(__xludf.DUMMYFUNCTION("""COMPUTED_VALUE"""),"Ben")</f>
        <v>Ben</v>
      </c>
    </row>
    <row r="3653" ht="15.75" customHeight="1">
      <c r="A3653" s="122" t="str">
        <f>IFERROR(__xludf.DUMMYFUNCTION("""COMPUTED_VALUE"""),"0855 254 668")</f>
        <v>0855 254 668</v>
      </c>
      <c r="B3653" s="119" t="str">
        <f>IFERROR(__xludf.DUMMYFUNCTION("""COMPUTED_VALUE"""),"Nguyễn Phi")</f>
        <v>Nguyễn Phi</v>
      </c>
      <c r="C3653" s="119" t="str">
        <f>IFERROR(__xludf.DUMMYFUNCTION("""COMPUTED_VALUE"""),"166/1 Điện Biên Phủ")</f>
        <v>166/1 Điện Biên Phủ</v>
      </c>
      <c r="D3653" s="119" t="str">
        <f>IFERROR(__xludf.DUMMYFUNCTION("""COMPUTED_VALUE"""),"chó ")</f>
        <v>chó </v>
      </c>
      <c r="E3653" s="119"/>
    </row>
    <row r="3654" ht="15.75" customHeight="1">
      <c r="A3654" s="122" t="str">
        <f>IFERROR(__xludf.DUMMYFUNCTION("""COMPUTED_VALUE"""),"0935 895 315")</f>
        <v>0935 895 315</v>
      </c>
      <c r="B3654" s="119" t="str">
        <f>IFERROR(__xludf.DUMMYFUNCTION("""COMPUTED_VALUE"""),"Nhật Tiến")</f>
        <v>Nhật Tiến</v>
      </c>
      <c r="C3654" s="119" t="str">
        <f>IFERROR(__xludf.DUMMYFUNCTION("""COMPUTED_VALUE"""),"10/15 Xuân Diêu")</f>
        <v>10/15 Xuân Diêu</v>
      </c>
      <c r="D3654" s="119" t="str">
        <f>IFERROR(__xludf.DUMMYFUNCTION("""COMPUTED_VALUE"""),"chó ")</f>
        <v>chó </v>
      </c>
      <c r="E3654" s="119" t="str">
        <f>IFERROR(__xludf.DUMMYFUNCTION("""COMPUTED_VALUE"""),"Táo")</f>
        <v>Táo</v>
      </c>
    </row>
    <row r="3655" ht="15.75" customHeight="1">
      <c r="A3655" s="122" t="str">
        <f>IFERROR(__xludf.DUMMYFUNCTION("""COMPUTED_VALUE"""),"0827 370 942")</f>
        <v>0827 370 942</v>
      </c>
      <c r="B3655" s="119" t="str">
        <f>IFERROR(__xludf.DUMMYFUNCTION("""COMPUTED_VALUE"""),"Chị Thuỷ")</f>
        <v>Chị Thuỷ</v>
      </c>
      <c r="C3655" s="119" t="str">
        <f>IFERROR(__xludf.DUMMYFUNCTION("""COMPUTED_VALUE"""),"Phú Lộc")</f>
        <v>Phú Lộc</v>
      </c>
      <c r="D3655" s="119" t="str">
        <f>IFERROR(__xludf.DUMMYFUNCTION("""COMPUTED_VALUE"""),"Chó")</f>
        <v>Chó</v>
      </c>
      <c r="E3655" s="119" t="str">
        <f>IFERROR(__xludf.DUMMYFUNCTION("""COMPUTED_VALUE"""),"Kin")</f>
        <v>Kin</v>
      </c>
    </row>
    <row r="3656" ht="15.75" customHeight="1">
      <c r="A3656" s="122" t="str">
        <f>IFERROR(__xludf.DUMMYFUNCTION("""COMPUTED_VALUE"""),"0814 114 331")</f>
        <v>0814 114 331</v>
      </c>
      <c r="B3656" s="119" t="str">
        <f>IFERROR(__xludf.DUMMYFUNCTION("""COMPUTED_VALUE"""),"Bảo Trân")</f>
        <v>Bảo Trân</v>
      </c>
      <c r="C3656" s="119" t="str">
        <f>IFERROR(__xludf.DUMMYFUNCTION("""COMPUTED_VALUE"""),"18/65 Đặng Huy Trứ")</f>
        <v>18/65 Đặng Huy Trứ</v>
      </c>
      <c r="D3656" s="119" t="str">
        <f>IFERROR(__xludf.DUMMYFUNCTION("""COMPUTED_VALUE"""),"chó")</f>
        <v>chó</v>
      </c>
      <c r="E3656" s="119" t="str">
        <f>IFERROR(__xludf.DUMMYFUNCTION("""COMPUTED_VALUE"""),"Bi")</f>
        <v>Bi</v>
      </c>
    </row>
    <row r="3657" ht="15.75" customHeight="1">
      <c r="A3657" s="122" t="str">
        <f>IFERROR(__xludf.DUMMYFUNCTION("""COMPUTED_VALUE"""),"0835 050 888")</f>
        <v>0835 050 888</v>
      </c>
      <c r="B3657" s="119" t="str">
        <f>IFERROR(__xludf.DUMMYFUNCTION("""COMPUTED_VALUE"""),"Chị Diễm Hằng")</f>
        <v>Chị Diễm Hằng</v>
      </c>
      <c r="C3657" s="119" t="str">
        <f>IFERROR(__xludf.DUMMYFUNCTION("""COMPUTED_VALUE"""),"11/268A Điện Biên Phủ")</f>
        <v>11/268A Điện Biên Phủ</v>
      </c>
      <c r="D3657" s="119" t="str">
        <f>IFERROR(__xludf.DUMMYFUNCTION("""COMPUTED_VALUE"""),"chó ")</f>
        <v>chó </v>
      </c>
      <c r="E3657" s="119"/>
    </row>
    <row r="3658" ht="15.75" customHeight="1">
      <c r="A3658" s="122" t="str">
        <f>IFERROR(__xludf.DUMMYFUNCTION("""COMPUTED_VALUE"""),"0905 880 881")</f>
        <v>0905 880 881</v>
      </c>
      <c r="B3658" s="119" t="str">
        <f>IFERROR(__xludf.DUMMYFUNCTION("""COMPUTED_VALUE"""),"Anh Phát")</f>
        <v>Anh Phát</v>
      </c>
      <c r="C3658" s="119" t="str">
        <f>IFERROR(__xludf.DUMMYFUNCTION("""COMPUTED_VALUE"""),"139 Phan Bội Châu")</f>
        <v>139 Phan Bội Châu</v>
      </c>
      <c r="D3658" s="119" t="str">
        <f>IFERROR(__xludf.DUMMYFUNCTION("""COMPUTED_VALUE"""),"chó")</f>
        <v>chó</v>
      </c>
      <c r="E3658" s="119" t="str">
        <f>IFERROR(__xludf.DUMMYFUNCTION("""COMPUTED_VALUE"""),"Đậu")</f>
        <v>Đậu</v>
      </c>
    </row>
    <row r="3659" ht="15.75" customHeight="1">
      <c r="A3659" s="122" t="str">
        <f>IFERROR(__xludf.DUMMYFUNCTION("""COMPUTED_VALUE"""),"0362 748 200")</f>
        <v>0362 748 200</v>
      </c>
      <c r="B3659" s="119" t="str">
        <f>IFERROR(__xludf.DUMMYFUNCTION("""COMPUTED_VALUE"""),"Nguyễn Quỳnh Như")</f>
        <v>Nguyễn Quỳnh Như</v>
      </c>
      <c r="C3659" s="119" t="str">
        <f>IFERROR(__xludf.DUMMYFUNCTION("""COMPUTED_VALUE"""),"Phú Đa")</f>
        <v>Phú Đa</v>
      </c>
      <c r="D3659" s="119" t="str">
        <f>IFERROR(__xludf.DUMMYFUNCTION("""COMPUTED_VALUE"""),"Chó")</f>
        <v>Chó</v>
      </c>
      <c r="E3659" s="119" t="str">
        <f>IFERROR(__xludf.DUMMYFUNCTION("""COMPUTED_VALUE"""),"Lu")</f>
        <v>Lu</v>
      </c>
    </row>
    <row r="3660" ht="15.75" customHeight="1">
      <c r="A3660" s="122" t="str">
        <f>IFERROR(__xludf.DUMMYFUNCTION("""COMPUTED_VALUE"""),"0766 558 989")</f>
        <v>0766 558 989</v>
      </c>
      <c r="B3660" s="119" t="str">
        <f>IFERROR(__xludf.DUMMYFUNCTION("""COMPUTED_VALUE"""),"Chị Quyên")</f>
        <v>Chị Quyên</v>
      </c>
      <c r="C3660" s="119" t="str">
        <f>IFERROR(__xludf.DUMMYFUNCTION("""COMPUTED_VALUE"""),"87 Phan Văn Trường")</f>
        <v>87 Phan Văn Trường</v>
      </c>
      <c r="D3660" s="119" t="str">
        <f>IFERROR(__xludf.DUMMYFUNCTION("""COMPUTED_VALUE"""),"Chó")</f>
        <v>Chó</v>
      </c>
      <c r="E3660" s="119" t="str">
        <f>IFERROR(__xludf.DUMMYFUNCTION("""COMPUTED_VALUE"""),"Báo/Heo")</f>
        <v>Báo/Heo</v>
      </c>
    </row>
    <row r="3661" ht="15.75" customHeight="1">
      <c r="A3661" s="122" t="str">
        <f>IFERROR(__xludf.DUMMYFUNCTION("""COMPUTED_VALUE"""),"0795 566 626")</f>
        <v>0795 566 626</v>
      </c>
      <c r="B3661" s="119" t="str">
        <f>IFERROR(__xludf.DUMMYFUNCTION("""COMPUTED_VALUE"""),"Em Minh Trí")</f>
        <v>Em Minh Trí</v>
      </c>
      <c r="C3661" s="119" t="str">
        <f>IFERROR(__xludf.DUMMYFUNCTION("""COMPUTED_VALUE"""),"84 Thiên thai")</f>
        <v>84 Thiên thai</v>
      </c>
      <c r="D3661" s="119" t="str">
        <f>IFERROR(__xludf.DUMMYFUNCTION("""COMPUTED_VALUE"""),"mèo")</f>
        <v>mèo</v>
      </c>
      <c r="E3661" s="119" t="str">
        <f>IFERROR(__xludf.DUMMYFUNCTION("""COMPUTED_VALUE"""),"Bông")</f>
        <v>Bông</v>
      </c>
    </row>
    <row r="3662" ht="15.75" customHeight="1">
      <c r="A3662" s="122" t="str">
        <f>IFERROR(__xludf.DUMMYFUNCTION("""COMPUTED_VALUE"""),"0359 052 296")</f>
        <v>0359 052 296</v>
      </c>
      <c r="B3662" s="119" t="str">
        <f>IFERROR(__xludf.DUMMYFUNCTION("""COMPUTED_VALUE"""),"Anh Vận")</f>
        <v>Anh Vận</v>
      </c>
      <c r="C3662" s="119" t="str">
        <f>IFERROR(__xludf.DUMMYFUNCTION("""COMPUTED_VALUE"""),"19 Lê Đức Toàn")</f>
        <v>19 Lê Đức Toàn</v>
      </c>
      <c r="D3662" s="119" t="str">
        <f>IFERROR(__xludf.DUMMYFUNCTION("""COMPUTED_VALUE"""),"mèo")</f>
        <v>mèo</v>
      </c>
      <c r="E3662" s="119" t="str">
        <f>IFERROR(__xludf.DUMMYFUNCTION("""COMPUTED_VALUE"""),"Min")</f>
        <v>Min</v>
      </c>
    </row>
    <row r="3663" ht="15.75" customHeight="1">
      <c r="A3663" s="122" t="str">
        <f>IFERROR(__xludf.DUMMYFUNCTION("""COMPUTED_VALUE"""),"0904 999 043")</f>
        <v>0904 999 043</v>
      </c>
      <c r="B3663" s="119" t="str">
        <f>IFERROR(__xludf.DUMMYFUNCTION("""COMPUTED_VALUE"""),"ANh Cường")</f>
        <v>ANh Cường</v>
      </c>
      <c r="C3663" s="119"/>
      <c r="D3663" s="119" t="str">
        <f>IFERROR(__xludf.DUMMYFUNCTION("""COMPUTED_VALUE"""),"chó")</f>
        <v>chó</v>
      </c>
      <c r="E3663" s="119" t="str">
        <f>IFERROR(__xludf.DUMMYFUNCTION("""COMPUTED_VALUE"""),"Bò")</f>
        <v>Bò</v>
      </c>
    </row>
    <row r="3664" ht="15.75" customHeight="1">
      <c r="A3664" s="122" t="str">
        <f>IFERROR(__xludf.DUMMYFUNCTION("""COMPUTED_VALUE"""),"0905 791 133")</f>
        <v>0905 791 133</v>
      </c>
      <c r="B3664" s="119" t="str">
        <f>IFERROR(__xludf.DUMMYFUNCTION("""COMPUTED_VALUE"""),"Chị thắm")</f>
        <v>Chị thắm</v>
      </c>
      <c r="C3664" s="119" t="str">
        <f>IFERROR(__xludf.DUMMYFUNCTION("""COMPUTED_VALUE"""),"An Dương, Thuỷ Bằng")</f>
        <v>An Dương, Thuỷ Bằng</v>
      </c>
      <c r="D3664" s="119" t="str">
        <f>IFERROR(__xludf.DUMMYFUNCTION("""COMPUTED_VALUE"""),"mèo")</f>
        <v>mèo</v>
      </c>
      <c r="E3664" s="119" t="str">
        <f>IFERROR(__xludf.DUMMYFUNCTION("""COMPUTED_VALUE"""),"Đẹp")</f>
        <v>Đẹp</v>
      </c>
    </row>
    <row r="3665" ht="15.75" customHeight="1">
      <c r="A3665" s="122" t="str">
        <f>IFERROR(__xludf.DUMMYFUNCTION("""COMPUTED_VALUE"""),"0349 978 213")</f>
        <v>0349 978 213</v>
      </c>
      <c r="B3665" s="119" t="str">
        <f>IFERROR(__xludf.DUMMYFUNCTION("""COMPUTED_VALUE"""),"Diễm Quỳnh")</f>
        <v>Diễm Quỳnh</v>
      </c>
      <c r="C3665" s="119" t="str">
        <f>IFERROR(__xludf.DUMMYFUNCTION("""COMPUTED_VALUE"""),"2/5 Nguyễn Phúc thái")</f>
        <v>2/5 Nguyễn Phúc thái</v>
      </c>
      <c r="D3665" s="119" t="str">
        <f>IFERROR(__xludf.DUMMYFUNCTION("""COMPUTED_VALUE"""),"chó")</f>
        <v>chó</v>
      </c>
      <c r="E3665" s="119" t="str">
        <f>IFERROR(__xludf.DUMMYFUNCTION("""COMPUTED_VALUE"""),"Ky")</f>
        <v>Ky</v>
      </c>
    </row>
    <row r="3666" ht="15.75" customHeight="1">
      <c r="A3666" s="122" t="str">
        <f>IFERROR(__xludf.DUMMYFUNCTION("""COMPUTED_VALUE"""),"0935 362 382")</f>
        <v>0935 362 382</v>
      </c>
      <c r="B3666" s="119" t="str">
        <f>IFERROR(__xludf.DUMMYFUNCTION("""COMPUTED_VALUE"""),"Nguyễn Thành Gắng")</f>
        <v>Nguyễn Thành Gắng</v>
      </c>
      <c r="C3666" s="119" t="str">
        <f>IFERROR(__xludf.DUMMYFUNCTION("""COMPUTED_VALUE"""),"2/1/242 Bùi Thị Xuân")</f>
        <v>2/1/242 Bùi Thị Xuân</v>
      </c>
      <c r="D3666" s="119" t="str">
        <f>IFERROR(__xludf.DUMMYFUNCTION("""COMPUTED_VALUE"""),"chó")</f>
        <v>chó</v>
      </c>
      <c r="E3666" s="119" t="str">
        <f>IFERROR(__xludf.DUMMYFUNCTION("""COMPUTED_VALUE"""),"Bự")</f>
        <v>Bự</v>
      </c>
    </row>
    <row r="3667" ht="15.75" customHeight="1">
      <c r="A3667" s="122" t="str">
        <f>IFERROR(__xludf.DUMMYFUNCTION("""COMPUTED_VALUE"""),"0852 124 958")</f>
        <v>0852 124 958</v>
      </c>
      <c r="B3667" s="119" t="str">
        <f>IFERROR(__xludf.DUMMYFUNCTION("""COMPUTED_VALUE"""),"Chị Định")</f>
        <v>Chị Định</v>
      </c>
      <c r="C3667" s="119" t="str">
        <f>IFERROR(__xludf.DUMMYFUNCTION("""COMPUTED_VALUE"""),"Long Hồ")</f>
        <v>Long Hồ</v>
      </c>
      <c r="D3667" s="119" t="str">
        <f>IFERROR(__xludf.DUMMYFUNCTION("""COMPUTED_VALUE"""),"chó")</f>
        <v>chó</v>
      </c>
      <c r="E3667" s="119" t="str">
        <f>IFERROR(__xludf.DUMMYFUNCTION("""COMPUTED_VALUE"""),"Pho")</f>
        <v>Pho</v>
      </c>
    </row>
    <row r="3668" ht="15.75" customHeight="1">
      <c r="A3668" s="122" t="str">
        <f>IFERROR(__xludf.DUMMYFUNCTION("""COMPUTED_VALUE"""),"0918 560 198")</f>
        <v>0918 560 198</v>
      </c>
      <c r="B3668" s="119" t="str">
        <f>IFERROR(__xludf.DUMMYFUNCTION("""COMPUTED_VALUE"""),"Chị Ngọc Ánh")</f>
        <v>Chị Ngọc Ánh</v>
      </c>
      <c r="C3668" s="119" t="str">
        <f>IFERROR(__xludf.DUMMYFUNCTION("""COMPUTED_VALUE"""),"Minh Mạng")</f>
        <v>Minh Mạng</v>
      </c>
      <c r="D3668" s="119" t="str">
        <f>IFERROR(__xludf.DUMMYFUNCTION("""COMPUTED_VALUE"""),"chó")</f>
        <v>chó</v>
      </c>
      <c r="E3668" s="119" t="str">
        <f>IFERROR(__xludf.DUMMYFUNCTION("""COMPUTED_VALUE"""),"Nâu")</f>
        <v>Nâu</v>
      </c>
    </row>
    <row r="3669" ht="15.75" customHeight="1">
      <c r="A3669" s="122" t="str">
        <f>IFERROR(__xludf.DUMMYFUNCTION("""COMPUTED_VALUE"""),"0904 922 336")</f>
        <v>0904 922 336</v>
      </c>
      <c r="B3669" s="119" t="str">
        <f>IFERROR(__xludf.DUMMYFUNCTION("""COMPUTED_VALUE"""),"Chị Loan")</f>
        <v>Chị Loan</v>
      </c>
      <c r="C3669" s="119" t="str">
        <f>IFERROR(__xludf.DUMMYFUNCTION("""COMPUTED_VALUE"""),"Hương Thọ")</f>
        <v>Hương Thọ</v>
      </c>
      <c r="D3669" s="119" t="str">
        <f>IFERROR(__xludf.DUMMYFUNCTION("""COMPUTED_VALUE"""),"chó")</f>
        <v>chó</v>
      </c>
      <c r="E3669" s="119" t="str">
        <f>IFERROR(__xludf.DUMMYFUNCTION("""COMPUTED_VALUE"""),"Nơ")</f>
        <v>Nơ</v>
      </c>
    </row>
    <row r="3670" ht="15.75" customHeight="1">
      <c r="A3670" s="122" t="str">
        <f>IFERROR(__xludf.DUMMYFUNCTION("""COMPUTED_VALUE"""),"0388 118 993")</f>
        <v>0388 118 993</v>
      </c>
      <c r="B3670" s="119" t="str">
        <f>IFERROR(__xludf.DUMMYFUNCTION("""COMPUTED_VALUE"""),"Em Pháp")</f>
        <v>Em Pháp</v>
      </c>
      <c r="C3670" s="119" t="str">
        <f>IFERROR(__xludf.DUMMYFUNCTION("""COMPUTED_VALUE"""),"An Hoà, Hương An")</f>
        <v>An Hoà, Hương An</v>
      </c>
      <c r="D3670" s="119" t="str">
        <f>IFERROR(__xludf.DUMMYFUNCTION("""COMPUTED_VALUE"""),"chó")</f>
        <v>chó</v>
      </c>
      <c r="E3670" s="119" t="str">
        <f>IFERROR(__xludf.DUMMYFUNCTION("""COMPUTED_VALUE"""),"Sữa")</f>
        <v>Sữa</v>
      </c>
    </row>
    <row r="3671" ht="15.75" customHeight="1">
      <c r="A3671" s="122" t="str">
        <f>IFERROR(__xludf.DUMMYFUNCTION("""COMPUTED_VALUE"""),"0905 152 969")</f>
        <v>0905 152 969</v>
      </c>
      <c r="B3671" s="119" t="str">
        <f>IFERROR(__xludf.DUMMYFUNCTION("""COMPUTED_VALUE"""),"Chị Hạnh")</f>
        <v>Chị Hạnh</v>
      </c>
      <c r="C3671" s="119" t="str">
        <f>IFERROR(__xludf.DUMMYFUNCTION("""COMPUTED_VALUE"""),"154 Lý Nam Đế")</f>
        <v>154 Lý Nam Đế</v>
      </c>
      <c r="D3671" s="119" t="str">
        <f>IFERROR(__xludf.DUMMYFUNCTION("""COMPUTED_VALUE"""),"chó")</f>
        <v>chó</v>
      </c>
      <c r="E3671" s="119" t="str">
        <f>IFERROR(__xludf.DUMMYFUNCTION("""COMPUTED_VALUE"""),"Kun")</f>
        <v>Kun</v>
      </c>
    </row>
    <row r="3672" ht="15.75" customHeight="1">
      <c r="A3672" s="122" t="str">
        <f>IFERROR(__xludf.DUMMYFUNCTION("""COMPUTED_VALUE"""),"0983 522 291")</f>
        <v>0983 522 291</v>
      </c>
      <c r="B3672" s="119" t="str">
        <f>IFERROR(__xludf.DUMMYFUNCTION("""COMPUTED_VALUE"""),"Anh Quang")</f>
        <v>Anh Quang</v>
      </c>
      <c r="C3672" s="119" t="str">
        <f>IFERROR(__xludf.DUMMYFUNCTION("""COMPUTED_VALUE"""),"Hương Chữ")</f>
        <v>Hương Chữ</v>
      </c>
      <c r="D3672" s="119" t="str">
        <f>IFERROR(__xludf.DUMMYFUNCTION("""COMPUTED_VALUE"""),"chó")</f>
        <v>chó</v>
      </c>
      <c r="E3672" s="119" t="str">
        <f>IFERROR(__xludf.DUMMYFUNCTION("""COMPUTED_VALUE"""),"Mina")</f>
        <v>Mina</v>
      </c>
    </row>
    <row r="3673" ht="15.75" customHeight="1">
      <c r="A3673" s="122" t="str">
        <f>IFERROR(__xludf.DUMMYFUNCTION("""COMPUTED_VALUE"""),"0782 405 384")</f>
        <v>0782 405 384</v>
      </c>
      <c r="B3673" s="119" t="str">
        <f>IFERROR(__xludf.DUMMYFUNCTION("""COMPUTED_VALUE"""),"Chị Phương Chi")</f>
        <v>Chị Phương Chi</v>
      </c>
      <c r="C3673" s="119" t="str">
        <f>IFERROR(__xludf.DUMMYFUNCTION("""COMPUTED_VALUE"""),"48 Hải Triều")</f>
        <v>48 Hải Triều</v>
      </c>
      <c r="D3673" s="119" t="str">
        <f>IFERROR(__xludf.DUMMYFUNCTION("""COMPUTED_VALUE"""),"mèo")</f>
        <v>mèo</v>
      </c>
      <c r="E3673" s="119" t="str">
        <f>IFERROR(__xludf.DUMMYFUNCTION("""COMPUTED_VALUE"""),"cam")</f>
        <v>cam</v>
      </c>
    </row>
    <row r="3674" ht="15.75" customHeight="1">
      <c r="A3674" s="122" t="str">
        <f>IFERROR(__xludf.DUMMYFUNCTION("""COMPUTED_VALUE"""),"0905 407 576")</f>
        <v>0905 407 576</v>
      </c>
      <c r="B3674" s="119" t="str">
        <f>IFERROR(__xludf.DUMMYFUNCTION("""COMPUTED_VALUE"""),"Dì Tinh")</f>
        <v>Dì Tinh</v>
      </c>
      <c r="C3674" s="119" t="str">
        <f>IFERROR(__xludf.DUMMYFUNCTION("""COMPUTED_VALUE"""),"52 Tuệ Tĩnh")</f>
        <v>52 Tuệ Tĩnh</v>
      </c>
      <c r="D3674" s="119" t="str">
        <f>IFERROR(__xludf.DUMMYFUNCTION("""COMPUTED_VALUE"""),"chó")</f>
        <v>chó</v>
      </c>
      <c r="E3674" s="119" t="str">
        <f>IFERROR(__xludf.DUMMYFUNCTION("""COMPUTED_VALUE"""),"Rốt")</f>
        <v>Rốt</v>
      </c>
    </row>
    <row r="3675" ht="15.75" customHeight="1">
      <c r="A3675" s="122" t="str">
        <f>IFERROR(__xludf.DUMMYFUNCTION("""COMPUTED_VALUE"""),"0948 869 111")</f>
        <v>0948 869 111</v>
      </c>
      <c r="B3675" s="119" t="str">
        <f>IFERROR(__xludf.DUMMYFUNCTION("""COMPUTED_VALUE"""),"Anh Hoàng")</f>
        <v>Anh Hoàng</v>
      </c>
      <c r="C3675" s="119" t="str">
        <f>IFERROR(__xludf.DUMMYFUNCTION("""COMPUTED_VALUE"""),"19 Phan Trọng Tịnh")</f>
        <v>19 Phan Trọng Tịnh</v>
      </c>
      <c r="D3675" s="119" t="str">
        <f>IFERROR(__xludf.DUMMYFUNCTION("""COMPUTED_VALUE"""),"chó")</f>
        <v>chó</v>
      </c>
      <c r="E3675" s="119" t="str">
        <f>IFERROR(__xludf.DUMMYFUNCTION("""COMPUTED_VALUE"""),"Lucy")</f>
        <v>Lucy</v>
      </c>
    </row>
    <row r="3676" ht="15.75" customHeight="1">
      <c r="A3676" s="122" t="str">
        <f>IFERROR(__xludf.DUMMYFUNCTION("""COMPUTED_VALUE"""),"0978 845 110")</f>
        <v>0978 845 110</v>
      </c>
      <c r="B3676" s="119" t="str">
        <f>IFERROR(__xludf.DUMMYFUNCTION("""COMPUTED_VALUE"""),"Chị Huệ")</f>
        <v>Chị Huệ</v>
      </c>
      <c r="C3676" s="119" t="str">
        <f>IFERROR(__xludf.DUMMYFUNCTION("""COMPUTED_VALUE"""),"5/44 An Ninh")</f>
        <v>5/44 An Ninh</v>
      </c>
      <c r="D3676" s="119" t="str">
        <f>IFERROR(__xludf.DUMMYFUNCTION("""COMPUTED_VALUE"""),"chó")</f>
        <v>chó</v>
      </c>
      <c r="E3676" s="119" t="str">
        <f>IFERROR(__xludf.DUMMYFUNCTION("""COMPUTED_VALUE"""),"Bi")</f>
        <v>Bi</v>
      </c>
    </row>
    <row r="3677" ht="15.75" customHeight="1">
      <c r="A3677" s="122" t="str">
        <f>IFERROR(__xludf.DUMMYFUNCTION("""COMPUTED_VALUE"""),"0368 199 995")</f>
        <v>0368 199 995</v>
      </c>
      <c r="B3677" s="119" t="str">
        <f>IFERROR(__xludf.DUMMYFUNCTION("""COMPUTED_VALUE"""),"Cô Tịnh Hải")</f>
        <v>Cô Tịnh Hải</v>
      </c>
      <c r="C3677" s="119" t="str">
        <f>IFERROR(__xludf.DUMMYFUNCTION("""COMPUTED_VALUE"""),"chùa Huyền Không Sơn Thượng")</f>
        <v>chùa Huyền Không Sơn Thượng</v>
      </c>
      <c r="D3677" s="119" t="str">
        <f>IFERROR(__xludf.DUMMYFUNCTION("""COMPUTED_VALUE"""),"chó")</f>
        <v>chó</v>
      </c>
      <c r="E3677" s="119" t="str">
        <f>IFERROR(__xludf.DUMMYFUNCTION("""COMPUTED_VALUE"""),"Mino")</f>
        <v>Mino</v>
      </c>
    </row>
    <row r="3678" ht="15.75" customHeight="1">
      <c r="A3678" s="122" t="str">
        <f>IFERROR(__xludf.DUMMYFUNCTION("""COMPUTED_VALUE"""),"0935 161 291")</f>
        <v>0935 161 291</v>
      </c>
      <c r="B3678" s="119" t="str">
        <f>IFERROR(__xludf.DUMMYFUNCTION("""COMPUTED_VALUE"""),"Chị Giao")</f>
        <v>Chị Giao</v>
      </c>
      <c r="C3678" s="119" t="str">
        <f>IFERROR(__xludf.DUMMYFUNCTION("""COMPUTED_VALUE"""),"60 Xuân Diệu")</f>
        <v>60 Xuân Diệu</v>
      </c>
      <c r="D3678" s="119" t="str">
        <f>IFERROR(__xludf.DUMMYFUNCTION("""COMPUTED_VALUE"""),"mèo")</f>
        <v>mèo</v>
      </c>
      <c r="E3678" s="119" t="str">
        <f>IFERROR(__xludf.DUMMYFUNCTION("""COMPUTED_VALUE"""),"Santi")</f>
        <v>Santi</v>
      </c>
    </row>
    <row r="3679" ht="15.75" customHeight="1">
      <c r="A3679" s="122" t="str">
        <f>IFERROR(__xludf.DUMMYFUNCTION("""COMPUTED_VALUE"""),"0336 685 067")</f>
        <v>0336 685 067</v>
      </c>
      <c r="B3679" s="119" t="str">
        <f>IFERROR(__xludf.DUMMYFUNCTION("""COMPUTED_VALUE"""),"Em Thuý")</f>
        <v>Em Thuý</v>
      </c>
      <c r="C3679" s="119" t="str">
        <f>IFERROR(__xludf.DUMMYFUNCTION("""COMPUTED_VALUE"""),"Hương Vinh")</f>
        <v>Hương Vinh</v>
      </c>
      <c r="D3679" s="119" t="str">
        <f>IFERROR(__xludf.DUMMYFUNCTION("""COMPUTED_VALUE"""),"mèo")</f>
        <v>mèo</v>
      </c>
      <c r="E3679" s="119" t="str">
        <f>IFERROR(__xludf.DUMMYFUNCTION("""COMPUTED_VALUE"""),"Xoài")</f>
        <v>Xoài</v>
      </c>
    </row>
    <row r="3680" ht="15.75" customHeight="1">
      <c r="A3680" s="122" t="str">
        <f>IFERROR(__xludf.DUMMYFUNCTION("""COMPUTED_VALUE"""),"0762 405 384")</f>
        <v>0762 405 384</v>
      </c>
      <c r="B3680" s="119" t="str">
        <f>IFERROR(__xludf.DUMMYFUNCTION("""COMPUTED_VALUE"""),"Phương Chi")</f>
        <v>Phương Chi</v>
      </c>
      <c r="C3680" s="119" t="str">
        <f>IFERROR(__xludf.DUMMYFUNCTION("""COMPUTED_VALUE"""),"48 Hải Triều")</f>
        <v>48 Hải Triều</v>
      </c>
      <c r="D3680" s="119" t="str">
        <f>IFERROR(__xludf.DUMMYFUNCTION("""COMPUTED_VALUE"""),"Mèo")</f>
        <v>Mèo</v>
      </c>
      <c r="E3680" s="119"/>
    </row>
    <row r="3681" ht="15.75" customHeight="1">
      <c r="A3681" s="122" t="str">
        <f>IFERROR(__xludf.DUMMYFUNCTION("""COMPUTED_VALUE"""),"0929 202 162")</f>
        <v>0929 202 162</v>
      </c>
      <c r="B3681" s="119" t="str">
        <f>IFERROR(__xludf.DUMMYFUNCTION("""COMPUTED_VALUE"""),"Ngô Công Minh Thành")</f>
        <v>Ngô Công Minh Thành</v>
      </c>
      <c r="C3681" s="119" t="str">
        <f>IFERROR(__xludf.DUMMYFUNCTION("""COMPUTED_VALUE"""),"Hàn Mặc Tử")</f>
        <v>Hàn Mặc Tử</v>
      </c>
      <c r="D3681" s="119" t="str">
        <f>IFERROR(__xludf.DUMMYFUNCTION("""COMPUTED_VALUE"""),"Mèo")</f>
        <v>Mèo</v>
      </c>
      <c r="E3681" s="119" t="str">
        <f>IFERROR(__xludf.DUMMYFUNCTION("""COMPUTED_VALUE"""),"Báo")</f>
        <v>Báo</v>
      </c>
    </row>
    <row r="3682" ht="15.75" customHeight="1">
      <c r="A3682" s="122" t="str">
        <f>IFERROR(__xludf.DUMMYFUNCTION("""COMPUTED_VALUE"""),"0768 148 476")</f>
        <v>0768 148 476</v>
      </c>
      <c r="B3682" s="119" t="str">
        <f>IFERROR(__xludf.DUMMYFUNCTION("""COMPUTED_VALUE"""),"Chị Thuý")</f>
        <v>Chị Thuý</v>
      </c>
      <c r="C3682" s="119" t="str">
        <f>IFERROR(__xludf.DUMMYFUNCTION("""COMPUTED_VALUE"""),"Bùi Thị Xuân")</f>
        <v>Bùi Thị Xuân</v>
      </c>
      <c r="D3682" s="119" t="str">
        <f>IFERROR(__xludf.DUMMYFUNCTION("""COMPUTED_VALUE"""),"Mèo")</f>
        <v>Mèo</v>
      </c>
      <c r="E3682" s="119"/>
    </row>
    <row r="3683" ht="15.75" customHeight="1">
      <c r="A3683" s="122" t="str">
        <f>IFERROR(__xludf.DUMMYFUNCTION("""COMPUTED_VALUE"""),"0765 844 555")</f>
        <v>0765 844 555</v>
      </c>
      <c r="B3683" s="119" t="str">
        <f>IFERROR(__xludf.DUMMYFUNCTION("""COMPUTED_VALUE"""),"Thanh Sơn")</f>
        <v>Thanh Sơn</v>
      </c>
      <c r="C3683" s="119" t="str">
        <f>IFERROR(__xludf.DUMMYFUNCTION("""COMPUTED_VALUE"""),"21 Nguyễn Thái Học")</f>
        <v>21 Nguyễn Thái Học</v>
      </c>
      <c r="D3683" s="119" t="str">
        <f>IFERROR(__xludf.DUMMYFUNCTION("""COMPUTED_VALUE"""),"Chó")</f>
        <v>Chó</v>
      </c>
      <c r="E3683" s="119"/>
    </row>
    <row r="3684" ht="15.75" customHeight="1">
      <c r="A3684" s="122" t="str">
        <f>IFERROR(__xludf.DUMMYFUNCTION("""COMPUTED_VALUE"""),"0774 593 967")</f>
        <v>0774 593 967</v>
      </c>
      <c r="B3684" s="119" t="str">
        <f>IFERROR(__xludf.DUMMYFUNCTION("""COMPUTED_VALUE"""),"E Hậu")</f>
        <v>E Hậu</v>
      </c>
      <c r="C3684" s="119" t="str">
        <f>IFERROR(__xludf.DUMMYFUNCTION("""COMPUTED_VALUE"""),"Hoàng Quốc Việt")</f>
        <v>Hoàng Quốc Việt</v>
      </c>
      <c r="D3684" s="119" t="str">
        <f>IFERROR(__xludf.DUMMYFUNCTION("""COMPUTED_VALUE"""),"Chó")</f>
        <v>Chó</v>
      </c>
      <c r="E3684" s="119" t="str">
        <f>IFERROR(__xludf.DUMMYFUNCTION("""COMPUTED_VALUE"""),"Bông")</f>
        <v>Bông</v>
      </c>
    </row>
    <row r="3685" ht="15.75" customHeight="1">
      <c r="A3685" s="122" t="str">
        <f>IFERROR(__xludf.DUMMYFUNCTION("""COMPUTED_VALUE"""),"0899 236 266")</f>
        <v>0899 236 266</v>
      </c>
      <c r="B3685" s="119" t="str">
        <f>IFERROR(__xludf.DUMMYFUNCTION("""COMPUTED_VALUE"""),"Anh Thịnh")</f>
        <v>Anh Thịnh</v>
      </c>
      <c r="C3685" s="119" t="str">
        <f>IFERROR(__xludf.DUMMYFUNCTION("""COMPUTED_VALUE"""),"Phú Thượng")</f>
        <v>Phú Thượng</v>
      </c>
      <c r="D3685" s="119" t="str">
        <f>IFERROR(__xludf.DUMMYFUNCTION("""COMPUTED_VALUE"""),"mèo")</f>
        <v>mèo</v>
      </c>
      <c r="E3685" s="119" t="str">
        <f>IFERROR(__xludf.DUMMYFUNCTION("""COMPUTED_VALUE"""),"Dứa")</f>
        <v>Dứa</v>
      </c>
    </row>
    <row r="3686" ht="15.75" customHeight="1">
      <c r="A3686" s="122" t="str">
        <f>IFERROR(__xludf.DUMMYFUNCTION("""COMPUTED_VALUE"""),"0329 793 366")</f>
        <v>0329 793 366</v>
      </c>
      <c r="B3686" s="119" t="str">
        <f>IFERROR(__xludf.DUMMYFUNCTION("""COMPUTED_VALUE"""),"Anh Hiểu")</f>
        <v>Anh Hiểu</v>
      </c>
      <c r="C3686" s="119" t="str">
        <f>IFERROR(__xludf.DUMMYFUNCTION("""COMPUTED_VALUE"""),"36/85 An Dương Vương")</f>
        <v>36/85 An Dương Vương</v>
      </c>
      <c r="D3686" s="119" t="str">
        <f>IFERROR(__xludf.DUMMYFUNCTION("""COMPUTED_VALUE"""),"Chó")</f>
        <v>Chó</v>
      </c>
      <c r="E3686" s="119" t="str">
        <f>IFERROR(__xludf.DUMMYFUNCTION("""COMPUTED_VALUE"""),"Rốt")</f>
        <v>Rốt</v>
      </c>
    </row>
    <row r="3687" ht="15.75" customHeight="1">
      <c r="A3687" s="122" t="str">
        <f>IFERROR(__xludf.DUMMYFUNCTION("""COMPUTED_VALUE"""),"0792 205 747")</f>
        <v>0792 205 747</v>
      </c>
      <c r="B3687" s="119" t="str">
        <f>IFERROR(__xludf.DUMMYFUNCTION("""COMPUTED_VALUE"""),"Chị Linh")</f>
        <v>Chị Linh</v>
      </c>
      <c r="C3687" s="119" t="str">
        <f>IFERROR(__xludf.DUMMYFUNCTION("""COMPUTED_VALUE"""),"290 Phạm Văn Đồng")</f>
        <v>290 Phạm Văn Đồng</v>
      </c>
      <c r="D3687" s="119" t="str">
        <f>IFERROR(__xludf.DUMMYFUNCTION("""COMPUTED_VALUE"""),"CHó")</f>
        <v>CHó</v>
      </c>
      <c r="E3687" s="119" t="str">
        <f>IFERROR(__xludf.DUMMYFUNCTION("""COMPUTED_VALUE"""),"Bông")</f>
        <v>Bông</v>
      </c>
    </row>
    <row r="3688" ht="15.75" customHeight="1">
      <c r="A3688" s="122" t="str">
        <f>IFERROR(__xludf.DUMMYFUNCTION("""COMPUTED_VALUE"""),"0903 577 136")</f>
        <v>0903 577 136</v>
      </c>
      <c r="B3688" s="119" t="str">
        <f>IFERROR(__xludf.DUMMYFUNCTION("""COMPUTED_VALUE"""),"Dì Nga")</f>
        <v>Dì Nga</v>
      </c>
      <c r="C3688" s="119" t="str">
        <f>IFERROR(__xludf.DUMMYFUNCTION("""COMPUTED_VALUE"""),"56 Nguyễn Khoa Vi")</f>
        <v>56 Nguyễn Khoa Vi</v>
      </c>
      <c r="D3688" s="119" t="str">
        <f>IFERROR(__xludf.DUMMYFUNCTION("""COMPUTED_VALUE"""),"mèo")</f>
        <v>mèo</v>
      </c>
      <c r="E3688" s="119"/>
    </row>
    <row r="3689" ht="15.75" customHeight="1">
      <c r="A3689" s="122" t="str">
        <f>IFERROR(__xludf.DUMMYFUNCTION("""COMPUTED_VALUE"""),"0347 954 649")</f>
        <v>0347 954 649</v>
      </c>
      <c r="B3689" s="119" t="str">
        <f>IFERROR(__xludf.DUMMYFUNCTION("""COMPUTED_VALUE"""),"Anh Thế")</f>
        <v>Anh Thế</v>
      </c>
      <c r="C3689" s="119" t="str">
        <f>IFERROR(__xludf.DUMMYFUNCTION("""COMPUTED_VALUE"""),"104 Điện Biên Phủ")</f>
        <v>104 Điện Biên Phủ</v>
      </c>
      <c r="D3689" s="119" t="str">
        <f>IFERROR(__xludf.DUMMYFUNCTION("""COMPUTED_VALUE"""),"Mèo")</f>
        <v>Mèo</v>
      </c>
      <c r="E3689" s="119" t="str">
        <f>IFERROR(__xludf.DUMMYFUNCTION("""COMPUTED_VALUE"""),"nora")</f>
        <v>nora</v>
      </c>
    </row>
    <row r="3690" ht="15.75" customHeight="1">
      <c r="A3690" s="122" t="str">
        <f>IFERROR(__xludf.DUMMYFUNCTION("""COMPUTED_VALUE"""),"0908 233 829")</f>
        <v>0908 233 829</v>
      </c>
      <c r="B3690" s="119" t="str">
        <f>IFERROR(__xludf.DUMMYFUNCTION("""COMPUTED_VALUE"""),"Chị xuân ")</f>
        <v>Chị xuân </v>
      </c>
      <c r="C3690" s="119" t="str">
        <f>IFERROR(__xludf.DUMMYFUNCTION("""COMPUTED_VALUE"""),"Lại Thế")</f>
        <v>Lại Thế</v>
      </c>
      <c r="D3690" s="119" t="str">
        <f>IFERROR(__xludf.DUMMYFUNCTION("""COMPUTED_VALUE"""),"Mèo")</f>
        <v>Mèo</v>
      </c>
      <c r="E3690" s="119" t="str">
        <f>IFERROR(__xludf.DUMMYFUNCTION("""COMPUTED_VALUE"""),"mimi/titi")</f>
        <v>mimi/titi</v>
      </c>
    </row>
    <row r="3691" ht="15.75" customHeight="1">
      <c r="A3691" s="122" t="str">
        <f>IFERROR(__xludf.DUMMYFUNCTION("""COMPUTED_VALUE"""),"0905 842 563")</f>
        <v>0905 842 563</v>
      </c>
      <c r="B3691" s="119" t="str">
        <f>IFERROR(__xludf.DUMMYFUNCTION("""COMPUTED_VALUE"""),"Dì Hằng")</f>
        <v>Dì Hằng</v>
      </c>
      <c r="C3691" s="119" t="str">
        <f>IFERROR(__xludf.DUMMYFUNCTION("""COMPUTED_VALUE"""),"16 Nguyễn Trường Tộ")</f>
        <v>16 Nguyễn Trường Tộ</v>
      </c>
      <c r="D3691" s="119" t="str">
        <f>IFERROR(__xludf.DUMMYFUNCTION("""COMPUTED_VALUE"""),"Chó")</f>
        <v>Chó</v>
      </c>
      <c r="E3691" s="119" t="str">
        <f>IFERROR(__xludf.DUMMYFUNCTION("""COMPUTED_VALUE"""),"happy")</f>
        <v>happy</v>
      </c>
    </row>
    <row r="3692" ht="15.75" customHeight="1">
      <c r="A3692" s="122" t="str">
        <f>IFERROR(__xludf.DUMMYFUNCTION("""COMPUTED_VALUE"""),"0989 328 652")</f>
        <v>0989 328 652</v>
      </c>
      <c r="B3692" s="119" t="str">
        <f>IFERROR(__xludf.DUMMYFUNCTION("""COMPUTED_VALUE"""),"Chi Hạnh")</f>
        <v>Chi Hạnh</v>
      </c>
      <c r="C3692" s="119" t="str">
        <f>IFERROR(__xludf.DUMMYFUNCTION("""COMPUTED_VALUE"""),"45 Chu Văn An")</f>
        <v>45 Chu Văn An</v>
      </c>
      <c r="D3692" s="119" t="str">
        <f>IFERROR(__xludf.DUMMYFUNCTION("""COMPUTED_VALUE"""),"Mèo")</f>
        <v>Mèo</v>
      </c>
      <c r="E3692" s="119" t="str">
        <f>IFERROR(__xludf.DUMMYFUNCTION("""COMPUTED_VALUE"""),"Muối")</f>
        <v>Muối</v>
      </c>
    </row>
    <row r="3693" ht="15.75" customHeight="1">
      <c r="A3693" s="122" t="str">
        <f>IFERROR(__xludf.DUMMYFUNCTION("""COMPUTED_VALUE"""),"0338 997 922")</f>
        <v>0338 997 922</v>
      </c>
      <c r="B3693" s="119" t="str">
        <f>IFERROR(__xludf.DUMMYFUNCTION("""COMPUTED_VALUE"""),"Anh Trí")</f>
        <v>Anh Trí</v>
      </c>
      <c r="C3693" s="119" t="str">
        <f>IFERROR(__xludf.DUMMYFUNCTION("""COMPUTED_VALUE"""),"68 Hùng Vương")</f>
        <v>68 Hùng Vương</v>
      </c>
      <c r="D3693" s="119" t="str">
        <f>IFERROR(__xludf.DUMMYFUNCTION("""COMPUTED_VALUE"""),"chó")</f>
        <v>chó</v>
      </c>
      <c r="E3693" s="119" t="str">
        <f>IFERROR(__xludf.DUMMYFUNCTION("""COMPUTED_VALUE"""),"Gold")</f>
        <v>Gold</v>
      </c>
    </row>
    <row r="3694" ht="15.75" customHeight="1">
      <c r="A3694" s="122" t="str">
        <f>IFERROR(__xludf.DUMMYFUNCTION("""COMPUTED_VALUE"""),"0906 514 755")</f>
        <v>0906 514 755</v>
      </c>
      <c r="B3694" s="119" t="str">
        <f>IFERROR(__xludf.DUMMYFUNCTION("""COMPUTED_VALUE"""),"Anh Trung")</f>
        <v>Anh Trung</v>
      </c>
      <c r="C3694" s="119" t="str">
        <f>IFERROR(__xludf.DUMMYFUNCTION("""COMPUTED_VALUE"""),"thuỷ Vân")</f>
        <v>thuỷ Vân</v>
      </c>
      <c r="D3694" s="119" t="str">
        <f>IFERROR(__xludf.DUMMYFUNCTION("""COMPUTED_VALUE"""),"chó")</f>
        <v>chó</v>
      </c>
      <c r="E3694" s="119" t="str">
        <f>IFERROR(__xludf.DUMMYFUNCTION("""COMPUTED_VALUE"""),"lu")</f>
        <v>lu</v>
      </c>
    </row>
    <row r="3695" ht="15.75" customHeight="1">
      <c r="A3695" s="122" t="str">
        <f>IFERROR(__xludf.DUMMYFUNCTION("""COMPUTED_VALUE"""),"0708 114 524")</f>
        <v>0708 114 524</v>
      </c>
      <c r="B3695" s="119" t="str">
        <f>IFERROR(__xludf.DUMMYFUNCTION("""COMPUTED_VALUE"""),"Bác Chí")</f>
        <v>Bác Chí</v>
      </c>
      <c r="C3695" s="119" t="str">
        <f>IFERROR(__xludf.DUMMYFUNCTION("""COMPUTED_VALUE"""),"7/15/69/131 Trần Phú ")</f>
        <v>7/15/69/131 Trần Phú </v>
      </c>
      <c r="D3695" s="119" t="str">
        <f>IFERROR(__xludf.DUMMYFUNCTION("""COMPUTED_VALUE"""),"Chó")</f>
        <v>Chó</v>
      </c>
      <c r="E3695" s="119" t="str">
        <f>IFERROR(__xludf.DUMMYFUNCTION("""COMPUTED_VALUE"""),"Rê")</f>
        <v>Rê</v>
      </c>
    </row>
    <row r="3696" ht="15.75" customHeight="1">
      <c r="A3696" s="122" t="str">
        <f>IFERROR(__xludf.DUMMYFUNCTION("""COMPUTED_VALUE"""),"0835 456 152")</f>
        <v>0835 456 152</v>
      </c>
      <c r="B3696" s="119" t="str">
        <f>IFERROR(__xludf.DUMMYFUNCTION("""COMPUTED_VALUE"""),"Chị Thanh")</f>
        <v>Chị Thanh</v>
      </c>
      <c r="C3696" s="119" t="str">
        <f>IFERROR(__xludf.DUMMYFUNCTION("""COMPUTED_VALUE"""),"139 Đặng Huy Trứ")</f>
        <v>139 Đặng Huy Trứ</v>
      </c>
      <c r="D3696" s="119" t="str">
        <f>IFERROR(__xludf.DUMMYFUNCTION("""COMPUTED_VALUE"""),"CHó ")</f>
        <v>CHó </v>
      </c>
      <c r="E3696" s="119" t="str">
        <f>IFERROR(__xludf.DUMMYFUNCTION("""COMPUTED_VALUE"""),"Bút")</f>
        <v>Bút</v>
      </c>
    </row>
    <row r="3697" ht="15.75" customHeight="1">
      <c r="A3697" s="122" t="str">
        <f>IFERROR(__xludf.DUMMYFUNCTION("""COMPUTED_VALUE"""),"0329 600 571")</f>
        <v>0329 600 571</v>
      </c>
      <c r="B3697" s="119" t="str">
        <f>IFERROR(__xludf.DUMMYFUNCTION("""COMPUTED_VALUE"""),"Chị Mai")</f>
        <v>Chị Mai</v>
      </c>
      <c r="C3697" s="119" t="str">
        <f>IFERROR(__xludf.DUMMYFUNCTION("""COMPUTED_VALUE"""),"Thuỷ Vân")</f>
        <v>Thuỷ Vân</v>
      </c>
      <c r="D3697" s="119" t="str">
        <f>IFERROR(__xludf.DUMMYFUNCTION("""COMPUTED_VALUE"""),"mèo")</f>
        <v>mèo</v>
      </c>
      <c r="E3697" s="119" t="str">
        <f>IFERROR(__xludf.DUMMYFUNCTION("""COMPUTED_VALUE"""),"Mực")</f>
        <v>Mực</v>
      </c>
    </row>
    <row r="3698" ht="15.75" customHeight="1">
      <c r="A3698" s="122" t="str">
        <f>IFERROR(__xludf.DUMMYFUNCTION("""COMPUTED_VALUE"""),"0392 918 007")</f>
        <v>0392 918 007</v>
      </c>
      <c r="B3698" s="119" t="str">
        <f>IFERROR(__xludf.DUMMYFUNCTION("""COMPUTED_VALUE"""),"Chị Phương")</f>
        <v>Chị Phương</v>
      </c>
      <c r="C3698" s="119" t="str">
        <f>IFERROR(__xludf.DUMMYFUNCTION("""COMPUTED_VALUE"""),"Phú Thượng")</f>
        <v>Phú Thượng</v>
      </c>
      <c r="D3698" s="119" t="str">
        <f>IFERROR(__xludf.DUMMYFUNCTION("""COMPUTED_VALUE"""),"mèo")</f>
        <v>mèo</v>
      </c>
      <c r="E3698" s="119" t="str">
        <f>IFERROR(__xludf.DUMMYFUNCTION("""COMPUTED_VALUE"""),"sam")</f>
        <v>sam</v>
      </c>
    </row>
    <row r="3699" ht="15.75" customHeight="1">
      <c r="A3699" s="122" t="str">
        <f>IFERROR(__xludf.DUMMYFUNCTION("""COMPUTED_VALUE"""),"0796 639 919")</f>
        <v>0796 639 919</v>
      </c>
      <c r="B3699" s="119" t="str">
        <f>IFERROR(__xludf.DUMMYFUNCTION("""COMPUTED_VALUE"""),"Chi Thư ")</f>
        <v>Chi Thư </v>
      </c>
      <c r="C3699" s="119" t="str">
        <f>IFERROR(__xludf.DUMMYFUNCTION("""COMPUTED_VALUE"""),"29/23/131 Trần Phú")</f>
        <v>29/23/131 Trần Phú</v>
      </c>
      <c r="D3699" s="119" t="str">
        <f>IFERROR(__xludf.DUMMYFUNCTION("""COMPUTED_VALUE"""),"Chó")</f>
        <v>Chó</v>
      </c>
      <c r="E3699" s="119" t="str">
        <f>IFERROR(__xludf.DUMMYFUNCTION("""COMPUTED_VALUE"""),"Ben")</f>
        <v>Ben</v>
      </c>
    </row>
    <row r="3700" ht="15.75" customHeight="1">
      <c r="A3700" s="122" t="str">
        <f>IFERROR(__xludf.DUMMYFUNCTION("""COMPUTED_VALUE"""),"0327 386 821")</f>
        <v>0327 386 821</v>
      </c>
      <c r="B3700" s="119" t="str">
        <f>IFERROR(__xludf.DUMMYFUNCTION("""COMPUTED_VALUE"""),"Chị Huyền")</f>
        <v>Chị Huyền</v>
      </c>
      <c r="C3700" s="119" t="str">
        <f>IFERROR(__xludf.DUMMYFUNCTION("""COMPUTED_VALUE"""),"227 Trần Phú")</f>
        <v>227 Trần Phú</v>
      </c>
      <c r="D3700" s="119" t="str">
        <f>IFERROR(__xludf.DUMMYFUNCTION("""COMPUTED_VALUE"""),"Chó")</f>
        <v>Chó</v>
      </c>
      <c r="E3700" s="119" t="str">
        <f>IFERROR(__xludf.DUMMYFUNCTION("""COMPUTED_VALUE"""),"Mực ")</f>
        <v>Mực </v>
      </c>
    </row>
    <row r="3701" ht="15.75" customHeight="1">
      <c r="A3701" s="122" t="str">
        <f>IFERROR(__xludf.DUMMYFUNCTION("""COMPUTED_VALUE"""),"0902 569 745")</f>
        <v>0902 569 745</v>
      </c>
      <c r="B3701" s="119" t="str">
        <f>IFERROR(__xludf.DUMMYFUNCTION("""COMPUTED_VALUE"""),"Chị Phương ")</f>
        <v>Chị Phương </v>
      </c>
      <c r="C3701" s="119" t="str">
        <f>IFERROR(__xludf.DUMMYFUNCTION("""COMPUTED_VALUE"""),"24/13 Chế Lan Viên")</f>
        <v>24/13 Chế Lan Viên</v>
      </c>
      <c r="D3701" s="119" t="str">
        <f>IFERROR(__xludf.DUMMYFUNCTION("""COMPUTED_VALUE"""),"Mèo")</f>
        <v>Mèo</v>
      </c>
      <c r="E3701" s="119" t="str">
        <f>IFERROR(__xludf.DUMMYFUNCTION("""COMPUTED_VALUE"""),"Đậu")</f>
        <v>Đậu</v>
      </c>
    </row>
    <row r="3702" ht="15.75" customHeight="1">
      <c r="A3702" s="122" t="str">
        <f>IFERROR(__xludf.DUMMYFUNCTION("""COMPUTED_VALUE"""),"0397 711 185")</f>
        <v>0397 711 185</v>
      </c>
      <c r="B3702" s="119" t="str">
        <f>IFERROR(__xludf.DUMMYFUNCTION("""COMPUTED_VALUE"""),"Chị Trâm")</f>
        <v>Chị Trâm</v>
      </c>
      <c r="C3702" s="119" t="str">
        <f>IFERROR(__xludf.DUMMYFUNCTION("""COMPUTED_VALUE"""),"21/250 Phan Bội Châu")</f>
        <v>21/250 Phan Bội Châu</v>
      </c>
      <c r="D3702" s="119" t="str">
        <f>IFERROR(__xludf.DUMMYFUNCTION("""COMPUTED_VALUE"""),"Mèo")</f>
        <v>Mèo</v>
      </c>
      <c r="E3702" s="119"/>
    </row>
    <row r="3703" ht="15.75" customHeight="1">
      <c r="A3703" s="122" t="str">
        <f>IFERROR(__xludf.DUMMYFUNCTION("""COMPUTED_VALUE"""),"0905 337 458")</f>
        <v>0905 337 458</v>
      </c>
      <c r="B3703" s="119" t="str">
        <f>IFERROR(__xludf.DUMMYFUNCTION("""COMPUTED_VALUE"""),"Chị Linh ")</f>
        <v>Chị Linh </v>
      </c>
      <c r="C3703" s="119" t="str">
        <f>IFERROR(__xludf.DUMMYFUNCTION("""COMPUTED_VALUE"""),"6/14 Hàm Nghi")</f>
        <v>6/14 Hàm Nghi</v>
      </c>
      <c r="D3703" s="119" t="str">
        <f>IFERROR(__xludf.DUMMYFUNCTION("""COMPUTED_VALUE"""),"mèo")</f>
        <v>mèo</v>
      </c>
      <c r="E3703" s="119" t="str">
        <f>IFERROR(__xludf.DUMMYFUNCTION("""COMPUTED_VALUE"""),"Mon")</f>
        <v>Mon</v>
      </c>
    </row>
    <row r="3704" ht="15.75" customHeight="1">
      <c r="A3704" s="122" t="str">
        <f>IFERROR(__xludf.DUMMYFUNCTION("""COMPUTED_VALUE"""),"0859 490 246")</f>
        <v>0859 490 246</v>
      </c>
      <c r="B3704" s="119" t="str">
        <f>IFERROR(__xludf.DUMMYFUNCTION("""COMPUTED_VALUE"""),"Anh Ân")</f>
        <v>Anh Ân</v>
      </c>
      <c r="C3704" s="119" t="str">
        <f>IFERROR(__xludf.DUMMYFUNCTION("""COMPUTED_VALUE"""),"31/31/246 Hùng Vương")</f>
        <v>31/31/246 Hùng Vương</v>
      </c>
      <c r="D3704" s="119" t="str">
        <f>IFERROR(__xludf.DUMMYFUNCTION("""COMPUTED_VALUE"""),"Mèo")</f>
        <v>Mèo</v>
      </c>
      <c r="E3704" s="119"/>
    </row>
    <row r="3705" ht="15.75" customHeight="1">
      <c r="A3705" s="122" t="str">
        <f>IFERROR(__xludf.DUMMYFUNCTION("""COMPUTED_VALUE"""),"0825 082 595")</f>
        <v>0825 082 595</v>
      </c>
      <c r="B3705" s="119" t="str">
        <f>IFERROR(__xludf.DUMMYFUNCTION("""COMPUTED_VALUE"""),"Anh Nhân")</f>
        <v>Anh Nhân</v>
      </c>
      <c r="C3705" s="119" t="str">
        <f>IFERROR(__xludf.DUMMYFUNCTION("""COMPUTED_VALUE"""),"27/65 Đặng Huy Trứ")</f>
        <v>27/65 Đặng Huy Trứ</v>
      </c>
      <c r="D3705" s="119" t="str">
        <f>IFERROR(__xludf.DUMMYFUNCTION("""COMPUTED_VALUE"""),"Chó")</f>
        <v>Chó</v>
      </c>
      <c r="E3705" s="119"/>
    </row>
    <row r="3706" ht="15.75" customHeight="1">
      <c r="A3706" s="122" t="str">
        <f>IFERROR(__xludf.DUMMYFUNCTION("""COMPUTED_VALUE"""),"0902 732 886")</f>
        <v>0902 732 886</v>
      </c>
      <c r="B3706" s="119" t="str">
        <f>IFERROR(__xludf.DUMMYFUNCTION("""COMPUTED_VALUE"""),"Anh Tài")</f>
        <v>Anh Tài</v>
      </c>
      <c r="C3706" s="119" t="str">
        <f>IFERROR(__xludf.DUMMYFUNCTION("""COMPUTED_VALUE"""),"Dương Văn An")</f>
        <v>Dương Văn An</v>
      </c>
      <c r="D3706" s="119" t="str">
        <f>IFERROR(__xludf.DUMMYFUNCTION("""COMPUTED_VALUE"""),"Mèo")</f>
        <v>Mèo</v>
      </c>
      <c r="E3706" s="119" t="str">
        <f>IFERROR(__xludf.DUMMYFUNCTION("""COMPUTED_VALUE"""),"Mía")</f>
        <v>Mía</v>
      </c>
    </row>
    <row r="3707" ht="15.75" customHeight="1">
      <c r="A3707" s="122" t="str">
        <f>IFERROR(__xludf.DUMMYFUNCTION("""COMPUTED_VALUE"""),"0706 655 552")</f>
        <v>0706 655 552</v>
      </c>
      <c r="B3707" s="119" t="str">
        <f>IFERROR(__xludf.DUMMYFUNCTION("""COMPUTED_VALUE"""),"Anh Tân")</f>
        <v>Anh Tân</v>
      </c>
      <c r="C3707" s="119" t="str">
        <f>IFERROR(__xludf.DUMMYFUNCTION("""COMPUTED_VALUE"""),"84 Lý Thái Tổ")</f>
        <v>84 Lý Thái Tổ</v>
      </c>
      <c r="D3707" s="119" t="str">
        <f>IFERROR(__xludf.DUMMYFUNCTION("""COMPUTED_VALUE"""),"Mèo")</f>
        <v>Mèo</v>
      </c>
      <c r="E3707" s="119" t="str">
        <f>IFERROR(__xludf.DUMMYFUNCTION("""COMPUTED_VALUE"""),"Chuột")</f>
        <v>Chuột</v>
      </c>
    </row>
    <row r="3708" ht="15.75" customHeight="1">
      <c r="A3708" s="122" t="str">
        <f>IFERROR(__xludf.DUMMYFUNCTION("""COMPUTED_VALUE"""),"0899 882 207")</f>
        <v>0899 882 207</v>
      </c>
      <c r="B3708" s="119" t="str">
        <f>IFERROR(__xludf.DUMMYFUNCTION("""COMPUTED_VALUE"""),"Chị Hằng ")</f>
        <v>Chị Hằng </v>
      </c>
      <c r="C3708" s="119" t="str">
        <f>IFERROR(__xludf.DUMMYFUNCTION("""COMPUTED_VALUE"""),"Võ Văn Kiệt")</f>
        <v>Võ Văn Kiệt</v>
      </c>
      <c r="D3708" s="119" t="str">
        <f>IFERROR(__xludf.DUMMYFUNCTION("""COMPUTED_VALUE"""),"Chó ")</f>
        <v>Chó </v>
      </c>
      <c r="E3708" s="119"/>
    </row>
    <row r="3709" ht="15.75" customHeight="1">
      <c r="A3709" s="122" t="str">
        <f>IFERROR(__xludf.DUMMYFUNCTION("""COMPUTED_VALUE"""),"0385 555 377")</f>
        <v>0385 555 377</v>
      </c>
      <c r="B3709" s="119" t="str">
        <f>IFERROR(__xludf.DUMMYFUNCTION("""COMPUTED_VALUE"""),"Anh Thảo")</f>
        <v>Anh Thảo</v>
      </c>
      <c r="C3709" s="119" t="str">
        <f>IFERROR(__xludf.DUMMYFUNCTION("""COMPUTED_VALUE"""),"135/33 Đặng Văn Ngữ")</f>
        <v>135/33 Đặng Văn Ngữ</v>
      </c>
      <c r="D3709" s="119" t="str">
        <f>IFERROR(__xludf.DUMMYFUNCTION("""COMPUTED_VALUE"""),"chó")</f>
        <v>chó</v>
      </c>
      <c r="E3709" s="119" t="str">
        <f>IFERROR(__xludf.DUMMYFUNCTION("""COMPUTED_VALUE"""),"Xù")</f>
        <v>Xù</v>
      </c>
    </row>
    <row r="3710" ht="15.75" customHeight="1">
      <c r="A3710" s="122" t="str">
        <f>IFERROR(__xludf.DUMMYFUNCTION("""COMPUTED_VALUE"""),"0374 797 815")</f>
        <v>0374 797 815</v>
      </c>
      <c r="B3710" s="119" t="str">
        <f>IFERROR(__xludf.DUMMYFUNCTION("""COMPUTED_VALUE"""),"Anh Hạnh")</f>
        <v>Anh Hạnh</v>
      </c>
      <c r="C3710" s="119" t="str">
        <f>IFERROR(__xludf.DUMMYFUNCTION("""COMPUTED_VALUE"""),"21/35 Hoàng Hữu Nghĩa")</f>
        <v>21/35 Hoàng Hữu Nghĩa</v>
      </c>
      <c r="D3710" s="119" t="str">
        <f>IFERROR(__xludf.DUMMYFUNCTION("""COMPUTED_VALUE"""),"Chó")</f>
        <v>Chó</v>
      </c>
      <c r="E3710" s="119" t="str">
        <f>IFERROR(__xludf.DUMMYFUNCTION("""COMPUTED_VALUE"""),"Chó")</f>
        <v>Chó</v>
      </c>
    </row>
    <row r="3711" ht="15.75" customHeight="1">
      <c r="A3711" s="122" t="str">
        <f>IFERROR(__xludf.DUMMYFUNCTION("""COMPUTED_VALUE"""),"0983 833 590")</f>
        <v>0983 833 590</v>
      </c>
      <c r="B3711" s="119" t="str">
        <f>IFERROR(__xludf.DUMMYFUNCTION("""COMPUTED_VALUE"""),"Chú Sơn")</f>
        <v>Chú Sơn</v>
      </c>
      <c r="C3711" s="119" t="str">
        <f>IFERROR(__xludf.DUMMYFUNCTION("""COMPUTED_VALUE"""),"49 Đào Tấn")</f>
        <v>49 Đào Tấn</v>
      </c>
      <c r="D3711" s="119" t="str">
        <f>IFERROR(__xludf.DUMMYFUNCTION("""COMPUTED_VALUE"""),"Chó")</f>
        <v>Chó</v>
      </c>
      <c r="E3711" s="119" t="str">
        <f>IFERROR(__xludf.DUMMYFUNCTION("""COMPUTED_VALUE"""),"mast")</f>
        <v>mast</v>
      </c>
    </row>
    <row r="3712" ht="15.75" customHeight="1">
      <c r="A3712" s="122" t="str">
        <f>IFERROR(__xludf.DUMMYFUNCTION("""COMPUTED_VALUE"""),"0797 169 732")</f>
        <v>0797 169 732</v>
      </c>
      <c r="B3712" s="119" t="str">
        <f>IFERROR(__xludf.DUMMYFUNCTION("""COMPUTED_VALUE"""),"Huyền Minh")</f>
        <v>Huyền Minh</v>
      </c>
      <c r="C3712" s="119" t="str">
        <f>IFERROR(__xludf.DUMMYFUNCTION("""COMPUTED_VALUE"""),"17/2 Bùi Xuân Phái")</f>
        <v>17/2 Bùi Xuân Phái</v>
      </c>
      <c r="D3712" s="119" t="str">
        <f>IFERROR(__xludf.DUMMYFUNCTION("""COMPUTED_VALUE"""),"mèo")</f>
        <v>mèo</v>
      </c>
      <c r="E3712" s="119" t="str">
        <f>IFERROR(__xludf.DUMMYFUNCTION("""COMPUTED_VALUE"""),"yori")</f>
        <v>yori</v>
      </c>
    </row>
    <row r="3713" ht="15.75" customHeight="1">
      <c r="A3713" s="122" t="str">
        <f>IFERROR(__xludf.DUMMYFUNCTION("""COMPUTED_VALUE"""),"0338 751 795")</f>
        <v>0338 751 795</v>
      </c>
      <c r="B3713" s="119" t="str">
        <f>IFERROR(__xludf.DUMMYFUNCTION("""COMPUTED_VALUE"""),"Chị Nhật Tú")</f>
        <v>Chị Nhật Tú</v>
      </c>
      <c r="C3713" s="119" t="str">
        <f>IFERROR(__xludf.DUMMYFUNCTION("""COMPUTED_VALUE"""),"28A/16 Đoàn Hữu Trưng ")</f>
        <v>28A/16 Đoàn Hữu Trưng </v>
      </c>
      <c r="D3713" s="119" t="str">
        <f>IFERROR(__xludf.DUMMYFUNCTION("""COMPUTED_VALUE"""),"Mèo")</f>
        <v>Mèo</v>
      </c>
      <c r="E3713" s="119" t="str">
        <f>IFERROR(__xludf.DUMMYFUNCTION("""COMPUTED_VALUE"""),"vida")</f>
        <v>vida</v>
      </c>
    </row>
    <row r="3714" ht="15.75" customHeight="1">
      <c r="A3714" s="122" t="str">
        <f>IFERROR(__xludf.DUMMYFUNCTION("""COMPUTED_VALUE"""),"0984 818 125")</f>
        <v>0984 818 125</v>
      </c>
      <c r="B3714" s="119" t="str">
        <f>IFERROR(__xludf.DUMMYFUNCTION("""COMPUTED_VALUE"""),"Anh Tuyên")</f>
        <v>Anh Tuyên</v>
      </c>
      <c r="C3714" s="119" t="str">
        <f>IFERROR(__xludf.DUMMYFUNCTION("""COMPUTED_VALUE"""),"Phú Thượng")</f>
        <v>Phú Thượng</v>
      </c>
      <c r="D3714" s="119" t="str">
        <f>IFERROR(__xludf.DUMMYFUNCTION("""COMPUTED_VALUE"""),"Mèo")</f>
        <v>Mèo</v>
      </c>
      <c r="E3714" s="119"/>
    </row>
    <row r="3715" ht="15.75" customHeight="1">
      <c r="A3715" s="122" t="str">
        <f>IFERROR(__xludf.DUMMYFUNCTION("""COMPUTED_VALUE"""),"0365 041 234")</f>
        <v>0365 041 234</v>
      </c>
      <c r="B3715" s="119" t="str">
        <f>IFERROR(__xludf.DUMMYFUNCTION("""COMPUTED_VALUE"""),"Anh Bun")</f>
        <v>Anh Bun</v>
      </c>
      <c r="C3715" s="119" t="str">
        <f>IFERROR(__xludf.DUMMYFUNCTION("""COMPUTED_VALUE"""),"152 Minh Mạng")</f>
        <v>152 Minh Mạng</v>
      </c>
      <c r="D3715" s="119" t="str">
        <f>IFERROR(__xludf.DUMMYFUNCTION("""COMPUTED_VALUE"""),"Chó")</f>
        <v>Chó</v>
      </c>
      <c r="E3715" s="119" t="str">
        <f>IFERROR(__xludf.DUMMYFUNCTION("""COMPUTED_VALUE"""),"Ky")</f>
        <v>Ky</v>
      </c>
    </row>
    <row r="3716" ht="15.75" customHeight="1">
      <c r="A3716" s="122" t="str">
        <f>IFERROR(__xludf.DUMMYFUNCTION("""COMPUTED_VALUE"""),"0905 555 317")</f>
        <v>0905 555 317</v>
      </c>
      <c r="B3716" s="119" t="str">
        <f>IFERROR(__xludf.DUMMYFUNCTION("""COMPUTED_VALUE"""),"Anh Long ")</f>
        <v>Anh Long </v>
      </c>
      <c r="C3716" s="119" t="str">
        <f>IFERROR(__xludf.DUMMYFUNCTION("""COMPUTED_VALUE"""),"Kiệt 17 TRẦN PHÚ")</f>
        <v>Kiệt 17 TRẦN PHÚ</v>
      </c>
      <c r="D3716" s="119" t="str">
        <f>IFERROR(__xludf.DUMMYFUNCTION("""COMPUTED_VALUE"""),"Chó")</f>
        <v>Chó</v>
      </c>
      <c r="E3716" s="119"/>
    </row>
    <row r="3717" ht="15.75" customHeight="1">
      <c r="A3717" s="122" t="str">
        <f>IFERROR(__xludf.DUMMYFUNCTION("""COMPUTED_VALUE"""),"0703 555 479")</f>
        <v>0703 555 479</v>
      </c>
      <c r="B3717" s="119" t="str">
        <f>IFERROR(__xludf.DUMMYFUNCTION("""COMPUTED_VALUE"""),"Chị Phương ")</f>
        <v>Chị Phương </v>
      </c>
      <c r="C3717" s="119" t="str">
        <f>IFERROR(__xludf.DUMMYFUNCTION("""COMPUTED_VALUE"""),"Kiệt 49 Thiên Thai")</f>
        <v>Kiệt 49 Thiên Thai</v>
      </c>
      <c r="D3717" s="119" t="str">
        <f>IFERROR(__xludf.DUMMYFUNCTION("""COMPUTED_VALUE"""),"Chó")</f>
        <v>Chó</v>
      </c>
      <c r="E3717" s="119" t="str">
        <f>IFERROR(__xludf.DUMMYFUNCTION("""COMPUTED_VALUE"""),"Mun")</f>
        <v>Mun</v>
      </c>
    </row>
    <row r="3718" ht="15.75" customHeight="1">
      <c r="A3718" s="122" t="str">
        <f>IFERROR(__xludf.DUMMYFUNCTION("""COMPUTED_VALUE"""),"0846 562 347")</f>
        <v>0846 562 347</v>
      </c>
      <c r="B3718" s="119" t="str">
        <f>IFERROR(__xludf.DUMMYFUNCTION("""COMPUTED_VALUE"""),"Võ Ngọc Hiếu")</f>
        <v>Võ Ngọc Hiếu</v>
      </c>
      <c r="C3718" s="119" t="str">
        <f>IFERROR(__xludf.DUMMYFUNCTION("""COMPUTED_VALUE"""),"9A/ 131/ 88 Nguyễn Khoa Chiêm")</f>
        <v>9A/ 131/ 88 Nguyễn Khoa Chiêm</v>
      </c>
      <c r="D3718" s="119" t="str">
        <f>IFERROR(__xludf.DUMMYFUNCTION("""COMPUTED_VALUE"""),"Chó")</f>
        <v>Chó</v>
      </c>
      <c r="E3718" s="119" t="str">
        <f>IFERROR(__xludf.DUMMYFUNCTION("""COMPUTED_VALUE"""),"Bông")</f>
        <v>Bông</v>
      </c>
    </row>
    <row r="3719" ht="15.75" customHeight="1">
      <c r="A3719" s="122" t="str">
        <f>IFERROR(__xludf.DUMMYFUNCTION("""COMPUTED_VALUE"""),"0915 515 583")</f>
        <v>0915 515 583</v>
      </c>
      <c r="B3719" s="119" t="str">
        <f>IFERROR(__xludf.DUMMYFUNCTION("""COMPUTED_VALUE"""),"anh Phú")</f>
        <v>anh Phú</v>
      </c>
      <c r="C3719" s="119" t="str">
        <f>IFERROR(__xludf.DUMMYFUNCTION("""COMPUTED_VALUE"""),"Bà Triệu")</f>
        <v>Bà Triệu</v>
      </c>
      <c r="D3719" s="119" t="str">
        <f>IFERROR(__xludf.DUMMYFUNCTION("""COMPUTED_VALUE"""),"chó")</f>
        <v>chó</v>
      </c>
      <c r="E3719" s="119" t="str">
        <f>IFERROR(__xludf.DUMMYFUNCTION("""COMPUTED_VALUE"""),"xoài")</f>
        <v>xoài</v>
      </c>
    </row>
    <row r="3720" ht="15.75" customHeight="1">
      <c r="A3720" s="122" t="str">
        <f>IFERROR(__xludf.DUMMYFUNCTION("""COMPUTED_VALUE"""),"0932 447 497")</f>
        <v>0932 447 497</v>
      </c>
      <c r="B3720" s="119" t="str">
        <f>IFERROR(__xludf.DUMMYFUNCTION("""COMPUTED_VALUE"""),"Anh Quyền")</f>
        <v>Anh Quyền</v>
      </c>
      <c r="C3720" s="119" t="str">
        <f>IFERROR(__xludf.DUMMYFUNCTION("""COMPUTED_VALUE"""),"Kim Long")</f>
        <v>Kim Long</v>
      </c>
      <c r="D3720" s="119" t="str">
        <f>IFERROR(__xludf.DUMMYFUNCTION("""COMPUTED_VALUE"""),"chó")</f>
        <v>chó</v>
      </c>
      <c r="E3720" s="119"/>
    </row>
    <row r="3721" ht="15.75" customHeight="1">
      <c r="A3721" s="122" t="str">
        <f>IFERROR(__xludf.DUMMYFUNCTION("""COMPUTED_VALUE"""),"0826 467 599")</f>
        <v>0826 467 599</v>
      </c>
      <c r="B3721" s="119" t="str">
        <f>IFERROR(__xludf.DUMMYFUNCTION("""COMPUTED_VALUE"""),"Em Quỳnh")</f>
        <v>Em Quỳnh</v>
      </c>
      <c r="C3721" s="119" t="str">
        <f>IFERROR(__xludf.DUMMYFUNCTION("""COMPUTED_VALUE"""),"4/1/2 Triều Sơn Tây")</f>
        <v>4/1/2 Triều Sơn Tây</v>
      </c>
      <c r="D3721" s="119" t="str">
        <f>IFERROR(__xludf.DUMMYFUNCTION("""COMPUTED_VALUE"""),"chó")</f>
        <v>chó</v>
      </c>
      <c r="E3721" s="119" t="str">
        <f>IFERROR(__xludf.DUMMYFUNCTION("""COMPUTED_VALUE"""),"Bi")</f>
        <v>Bi</v>
      </c>
    </row>
    <row r="3722" ht="15.75" customHeight="1">
      <c r="A3722" s="122" t="str">
        <f>IFERROR(__xludf.DUMMYFUNCTION("""COMPUTED_VALUE"""),"0779 593 051")</f>
        <v>0779 593 051</v>
      </c>
      <c r="B3722" s="119" t="str">
        <f>IFERROR(__xludf.DUMMYFUNCTION("""COMPUTED_VALUE"""),"Hoàng Văn Minh Tâm")</f>
        <v>Hoàng Văn Minh Tâm</v>
      </c>
      <c r="C3722" s="119" t="str">
        <f>IFERROR(__xludf.DUMMYFUNCTION("""COMPUTED_VALUE"""),"95/1/3 Vạn Xuân")</f>
        <v>95/1/3 Vạn Xuân</v>
      </c>
      <c r="D3722" s="119" t="str">
        <f>IFERROR(__xludf.DUMMYFUNCTION("""COMPUTED_VALUE"""),"chó")</f>
        <v>chó</v>
      </c>
      <c r="E3722" s="119" t="str">
        <f>IFERROR(__xludf.DUMMYFUNCTION("""COMPUTED_VALUE"""),"Sữa")</f>
        <v>Sữa</v>
      </c>
    </row>
    <row r="3723" ht="15.75" customHeight="1">
      <c r="A3723" s="122" t="str">
        <f>IFERROR(__xludf.DUMMYFUNCTION("""COMPUTED_VALUE"""),"0384 389 948")</f>
        <v>0384 389 948</v>
      </c>
      <c r="B3723" s="119" t="str">
        <f>IFERROR(__xludf.DUMMYFUNCTION("""COMPUTED_VALUE"""),"Chú Vinh")</f>
        <v>Chú Vinh</v>
      </c>
      <c r="C3723" s="119" t="str">
        <f>IFERROR(__xludf.DUMMYFUNCTION("""COMPUTED_VALUE"""),"Hoà Thượng")</f>
        <v>Hoà Thượng</v>
      </c>
      <c r="D3723" s="119" t="str">
        <f>IFERROR(__xludf.DUMMYFUNCTION("""COMPUTED_VALUE"""),"chó")</f>
        <v>chó</v>
      </c>
      <c r="E3723" s="119"/>
    </row>
    <row r="3724" ht="15.75" customHeight="1">
      <c r="A3724" s="122" t="str">
        <f>IFERROR(__xludf.DUMMYFUNCTION("""COMPUTED_VALUE"""),"0901 103 553")</f>
        <v>0901 103 553</v>
      </c>
      <c r="B3724" s="119" t="str">
        <f>IFERROR(__xludf.DUMMYFUNCTION("""COMPUTED_VALUE"""),"Tiểu Vy")</f>
        <v>Tiểu Vy</v>
      </c>
      <c r="C3724" s="119" t="str">
        <f>IFERROR(__xludf.DUMMYFUNCTION("""COMPUTED_VALUE"""),"Kiệt 131 Trần Phú")</f>
        <v>Kiệt 131 Trần Phú</v>
      </c>
      <c r="D3724" s="119" t="str">
        <f>IFERROR(__xludf.DUMMYFUNCTION("""COMPUTED_VALUE"""),"Chó ")</f>
        <v>Chó </v>
      </c>
      <c r="E3724" s="119"/>
    </row>
    <row r="3725" ht="15.75" customHeight="1">
      <c r="A3725" s="122" t="str">
        <f>IFERROR(__xludf.DUMMYFUNCTION("""COMPUTED_VALUE"""),"0703 269 341")</f>
        <v>0703 269 341</v>
      </c>
      <c r="B3725" s="119" t="str">
        <f>IFERROR(__xludf.DUMMYFUNCTION("""COMPUTED_VALUE"""),"Anh Huy")</f>
        <v>Anh Huy</v>
      </c>
      <c r="C3725" s="119" t="str">
        <f>IFERROR(__xludf.DUMMYFUNCTION("""COMPUTED_VALUE"""),"46/130 Thích Tịnh Khiết")</f>
        <v>46/130 Thích Tịnh Khiết</v>
      </c>
      <c r="D3725" s="119" t="str">
        <f>IFERROR(__xludf.DUMMYFUNCTION("""COMPUTED_VALUE"""),"mèo")</f>
        <v>mèo</v>
      </c>
      <c r="E3725" s="119" t="str">
        <f>IFERROR(__xludf.DUMMYFUNCTION("""COMPUTED_VALUE"""),"Tom")</f>
        <v>Tom</v>
      </c>
    </row>
    <row r="3726" ht="15.75" customHeight="1">
      <c r="A3726" s="122" t="str">
        <f>IFERROR(__xludf.DUMMYFUNCTION("""COMPUTED_VALUE"""),"0706 198 372")</f>
        <v>0706 198 372</v>
      </c>
      <c r="B3726" s="119" t="str">
        <f>IFERROR(__xludf.DUMMYFUNCTION("""COMPUTED_VALUE"""),"Dì Hoàng ")</f>
        <v>Dì Hoàng </v>
      </c>
      <c r="C3726" s="119" t="str">
        <f>IFERROR(__xludf.DUMMYFUNCTION("""COMPUTED_VALUE"""),"6 Thanh Hải")</f>
        <v>6 Thanh Hải</v>
      </c>
      <c r="D3726" s="119" t="str">
        <f>IFERROR(__xludf.DUMMYFUNCTION("""COMPUTED_VALUE"""),"chó ")</f>
        <v>chó </v>
      </c>
      <c r="E3726" s="119" t="str">
        <f>IFERROR(__xludf.DUMMYFUNCTION("""COMPUTED_VALUE"""),"Gấu")</f>
        <v>Gấu</v>
      </c>
    </row>
    <row r="3727" ht="15.75" customHeight="1">
      <c r="A3727" s="122" t="str">
        <f>IFERROR(__xludf.DUMMYFUNCTION("""COMPUTED_VALUE"""),"0935 170 442")</f>
        <v>0935 170 442</v>
      </c>
      <c r="B3727" s="119" t="str">
        <f>IFERROR(__xludf.DUMMYFUNCTION("""COMPUTED_VALUE"""),"Em Được")</f>
        <v>Em Được</v>
      </c>
      <c r="C3727" s="119" t="str">
        <f>IFERROR(__xludf.DUMMYFUNCTION("""COMPUTED_VALUE"""),"96 Lê ngô Cát")</f>
        <v>96 Lê ngô Cát</v>
      </c>
      <c r="D3727" s="119" t="str">
        <f>IFERROR(__xludf.DUMMYFUNCTION("""COMPUTED_VALUE"""),"chó")</f>
        <v>chó</v>
      </c>
      <c r="E3727" s="119" t="str">
        <f>IFERROR(__xludf.DUMMYFUNCTION("""COMPUTED_VALUE"""),"Xìu")</f>
        <v>Xìu</v>
      </c>
    </row>
    <row r="3728" ht="15.75" customHeight="1">
      <c r="A3728" s="122" t="str">
        <f>IFERROR(__xludf.DUMMYFUNCTION("""COMPUTED_VALUE"""),"0962 798 259")</f>
        <v>0962 798 259</v>
      </c>
      <c r="B3728" s="119" t="str">
        <f>IFERROR(__xludf.DUMMYFUNCTION("""COMPUTED_VALUE"""),"Chị thanh")</f>
        <v>Chị thanh</v>
      </c>
      <c r="C3728" s="119" t="str">
        <f>IFERROR(__xludf.DUMMYFUNCTION("""COMPUTED_VALUE"""),"110 Kim Long")</f>
        <v>110 Kim Long</v>
      </c>
      <c r="D3728" s="119" t="str">
        <f>IFERROR(__xludf.DUMMYFUNCTION("""COMPUTED_VALUE"""),"chó")</f>
        <v>chó</v>
      </c>
      <c r="E3728" s="119" t="str">
        <f>IFERROR(__xludf.DUMMYFUNCTION("""COMPUTED_VALUE"""),"Su")</f>
        <v>Su</v>
      </c>
    </row>
    <row r="3729" ht="15.75" customHeight="1">
      <c r="A3729" s="122" t="str">
        <f>IFERROR(__xludf.DUMMYFUNCTION("""COMPUTED_VALUE"""),"0903 539 800")</f>
        <v>0903 539 800</v>
      </c>
      <c r="B3729" s="119" t="str">
        <f>IFERROR(__xludf.DUMMYFUNCTION("""COMPUTED_VALUE"""),"Chị Minh")</f>
        <v>Chị Minh</v>
      </c>
      <c r="C3729" s="119" t="str">
        <f>IFERROR(__xludf.DUMMYFUNCTION("""COMPUTED_VALUE"""),"2A/20 Bùi Xuân Phái")</f>
        <v>2A/20 Bùi Xuân Phái</v>
      </c>
      <c r="D3729" s="119" t="str">
        <f>IFERROR(__xludf.DUMMYFUNCTION("""COMPUTED_VALUE"""),"Mèo")</f>
        <v>Mèo</v>
      </c>
      <c r="E3729" s="119" t="str">
        <f>IFERROR(__xludf.DUMMYFUNCTION("""COMPUTED_VALUE"""),"mè")</f>
        <v>mè</v>
      </c>
    </row>
    <row r="3730" ht="15.75" customHeight="1">
      <c r="A3730" s="122" t="str">
        <f>IFERROR(__xludf.DUMMYFUNCTION("""COMPUTED_VALUE"""),"0979 484 327")</f>
        <v>0979 484 327</v>
      </c>
      <c r="B3730" s="119" t="str">
        <f>IFERROR(__xludf.DUMMYFUNCTION("""COMPUTED_VALUE"""),"Em Nguyên")</f>
        <v>Em Nguyên</v>
      </c>
      <c r="C3730" s="119" t="str">
        <f>IFERROR(__xludf.DUMMYFUNCTION("""COMPUTED_VALUE"""),"142 Hàn Mạc Tử")</f>
        <v>142 Hàn Mạc Tử</v>
      </c>
      <c r="D3730" s="119" t="str">
        <f>IFERROR(__xludf.DUMMYFUNCTION("""COMPUTED_VALUE"""),"mèo")</f>
        <v>mèo</v>
      </c>
      <c r="E3730" s="119" t="str">
        <f>IFERROR(__xludf.DUMMYFUNCTION("""COMPUTED_VALUE"""),"Nơ")</f>
        <v>Nơ</v>
      </c>
    </row>
    <row r="3731" ht="15.75" customHeight="1">
      <c r="A3731" s="122" t="str">
        <f>IFERROR(__xludf.DUMMYFUNCTION("""COMPUTED_VALUE"""),"0832 840 870")</f>
        <v>0832 840 870</v>
      </c>
      <c r="B3731" s="119" t="str">
        <f>IFERROR(__xludf.DUMMYFUNCTION("""COMPUTED_VALUE"""),"Hoàng Thị Hiệp")</f>
        <v>Hoàng Thị Hiệp</v>
      </c>
      <c r="C3731" s="119" t="str">
        <f>IFERROR(__xludf.DUMMYFUNCTION("""COMPUTED_VALUE"""),"7B/ 68 Đặng Huy Trứ")</f>
        <v>7B/ 68 Đặng Huy Trứ</v>
      </c>
      <c r="D3731" s="119" t="str">
        <f>IFERROR(__xludf.DUMMYFUNCTION("""COMPUTED_VALUE"""),"Chó")</f>
        <v>Chó</v>
      </c>
      <c r="E3731" s="119" t="str">
        <f>IFERROR(__xludf.DUMMYFUNCTION("""COMPUTED_VALUE"""),"lucky")</f>
        <v>lucky</v>
      </c>
    </row>
    <row r="3732" ht="15.75" customHeight="1">
      <c r="A3732" s="122" t="str">
        <f>IFERROR(__xludf.DUMMYFUNCTION("""COMPUTED_VALUE"""),"0788 513 567")</f>
        <v>0788 513 567</v>
      </c>
      <c r="B3732" s="119" t="str">
        <f>IFERROR(__xludf.DUMMYFUNCTION("""COMPUTED_VALUE"""),"Chị Hoàng Yến")</f>
        <v>Chị Hoàng Yến</v>
      </c>
      <c r="C3732" s="119" t="str">
        <f>IFERROR(__xludf.DUMMYFUNCTION("""COMPUTED_VALUE"""),"10 Ngô Liên Tinh")</f>
        <v>10 Ngô Liên Tinh</v>
      </c>
      <c r="D3732" s="119" t="str">
        <f>IFERROR(__xludf.DUMMYFUNCTION("""COMPUTED_VALUE"""),"chó")</f>
        <v>chó</v>
      </c>
      <c r="E3732" s="119" t="str">
        <f>IFERROR(__xludf.DUMMYFUNCTION("""COMPUTED_VALUE"""),"Mun")</f>
        <v>Mun</v>
      </c>
    </row>
    <row r="3733" ht="15.75" customHeight="1">
      <c r="A3733" s="122" t="str">
        <f>IFERROR(__xludf.DUMMYFUNCTION("""COMPUTED_VALUE"""),"0948 192 252")</f>
        <v>0948 192 252</v>
      </c>
      <c r="B3733" s="119" t="str">
        <f>IFERROR(__xludf.DUMMYFUNCTION("""COMPUTED_VALUE"""),"Dì Sáu")</f>
        <v>Dì Sáu</v>
      </c>
      <c r="C3733" s="119" t="str">
        <f>IFERROR(__xludf.DUMMYFUNCTION("""COMPUTED_VALUE"""),"24/46 Trần Phú")</f>
        <v>24/46 Trần Phú</v>
      </c>
      <c r="D3733" s="119" t="str">
        <f>IFERROR(__xludf.DUMMYFUNCTION("""COMPUTED_VALUE"""),"chó")</f>
        <v>chó</v>
      </c>
      <c r="E3733" s="119" t="str">
        <f>IFERROR(__xludf.DUMMYFUNCTION("""COMPUTED_VALUE"""),"Bơ")</f>
        <v>Bơ</v>
      </c>
    </row>
    <row r="3734" ht="15.75" customHeight="1">
      <c r="A3734" s="122" t="str">
        <f>IFERROR(__xludf.DUMMYFUNCTION("""COMPUTED_VALUE"""),"0376 889 136")</f>
        <v>0376 889 136</v>
      </c>
      <c r="B3734" s="119" t="str">
        <f>IFERROR(__xludf.DUMMYFUNCTION("""COMPUTED_VALUE"""),"Dì Nguyễn Thị Dung")</f>
        <v>Dì Nguyễn Thị Dung</v>
      </c>
      <c r="C3734" s="119" t="str">
        <f>IFERROR(__xludf.DUMMYFUNCTION("""COMPUTED_VALUE"""),"127 Trần Thái Tông")</f>
        <v>127 Trần Thái Tông</v>
      </c>
      <c r="D3734" s="119" t="str">
        <f>IFERROR(__xludf.DUMMYFUNCTION("""COMPUTED_VALUE"""),"Mèo")</f>
        <v>Mèo</v>
      </c>
      <c r="E3734" s="119" t="str">
        <f>IFERROR(__xludf.DUMMYFUNCTION("""COMPUTED_VALUE"""),"Mây")</f>
        <v>Mây</v>
      </c>
    </row>
    <row r="3735" ht="15.75" customHeight="1">
      <c r="A3735" s="122" t="str">
        <f>IFERROR(__xludf.DUMMYFUNCTION("""COMPUTED_VALUE"""),"0702 086 119")</f>
        <v>0702 086 119</v>
      </c>
      <c r="B3735" s="119" t="str">
        <f>IFERROR(__xludf.DUMMYFUNCTION("""COMPUTED_VALUE"""),"Em Đan")</f>
        <v>Em Đan</v>
      </c>
      <c r="C3735" s="119"/>
      <c r="D3735" s="119" t="str">
        <f>IFERROR(__xludf.DUMMYFUNCTION("""COMPUTED_VALUE"""),"mèo")</f>
        <v>mèo</v>
      </c>
      <c r="E3735" s="119" t="str">
        <f>IFERROR(__xludf.DUMMYFUNCTION("""COMPUTED_VALUE"""),"Nai")</f>
        <v>Nai</v>
      </c>
    </row>
    <row r="3736" ht="15.75" customHeight="1">
      <c r="A3736" s="122" t="str">
        <f>IFERROR(__xludf.DUMMYFUNCTION("""COMPUTED_VALUE"""),"0763 569 596")</f>
        <v>0763 569 596</v>
      </c>
      <c r="B3736" s="119" t="str">
        <f>IFERROR(__xludf.DUMMYFUNCTION("""COMPUTED_VALUE"""),"Quốc Anh")</f>
        <v>Quốc Anh</v>
      </c>
      <c r="C3736" s="119" t="str">
        <f>IFERROR(__xludf.DUMMYFUNCTION("""COMPUTED_VALUE"""),"Phú Mỹ, Phú Vang")</f>
        <v>Phú Mỹ, Phú Vang</v>
      </c>
      <c r="D3736" s="119" t="str">
        <f>IFERROR(__xludf.DUMMYFUNCTION("""COMPUTED_VALUE"""),"Chó")</f>
        <v>Chó</v>
      </c>
      <c r="E3736" s="119"/>
    </row>
    <row r="3737" ht="15.75" customHeight="1">
      <c r="A3737" s="122" t="str">
        <f>IFERROR(__xludf.DUMMYFUNCTION("""COMPUTED_VALUE"""),"0945 374 986")</f>
        <v>0945 374 986</v>
      </c>
      <c r="B3737" s="119" t="str">
        <f>IFERROR(__xludf.DUMMYFUNCTION("""COMPUTED_VALUE"""),"Em Khánh Huyền")</f>
        <v>Em Khánh Huyền</v>
      </c>
      <c r="C3737" s="119" t="str">
        <f>IFERROR(__xludf.DUMMYFUNCTION("""COMPUTED_VALUE"""),"95 Nguyễn Trãi")</f>
        <v>95 Nguyễn Trãi</v>
      </c>
      <c r="D3737" s="119" t="str">
        <f>IFERROR(__xludf.DUMMYFUNCTION("""COMPUTED_VALUE"""),"mèo")</f>
        <v>mèo</v>
      </c>
      <c r="E3737" s="119" t="str">
        <f>IFERROR(__xludf.DUMMYFUNCTION("""COMPUTED_VALUE"""),"tôm")</f>
        <v>tôm</v>
      </c>
    </row>
    <row r="3738" ht="15.75" customHeight="1">
      <c r="A3738" s="122" t="str">
        <f>IFERROR(__xludf.DUMMYFUNCTION("""COMPUTED_VALUE"""),"0916 151 459")</f>
        <v>0916 151 459</v>
      </c>
      <c r="B3738" s="119" t="str">
        <f>IFERROR(__xludf.DUMMYFUNCTION("""COMPUTED_VALUE"""),"Anh Cường")</f>
        <v>Anh Cường</v>
      </c>
      <c r="C3738" s="119" t="str">
        <f>IFERROR(__xludf.DUMMYFUNCTION("""COMPUTED_VALUE"""),"K81 Nguyễn Huệ")</f>
        <v>K81 Nguyễn Huệ</v>
      </c>
      <c r="D3738" s="119" t="str">
        <f>IFERROR(__xludf.DUMMYFUNCTION("""COMPUTED_VALUE"""),"chó ")</f>
        <v>chó </v>
      </c>
      <c r="E3738" s="119" t="str">
        <f>IFERROR(__xludf.DUMMYFUNCTION("""COMPUTED_VALUE"""),"Nâu")</f>
        <v>Nâu</v>
      </c>
    </row>
    <row r="3739" ht="15.75" customHeight="1">
      <c r="A3739" s="122" t="str">
        <f>IFERROR(__xludf.DUMMYFUNCTION("""COMPUTED_VALUE"""),"0834 378 498")</f>
        <v>0834 378 498</v>
      </c>
      <c r="B3739" s="119" t="str">
        <f>IFERROR(__xludf.DUMMYFUNCTION("""COMPUTED_VALUE"""),"Thuỳ Tiên")</f>
        <v>Thuỳ Tiên</v>
      </c>
      <c r="C3739" s="119" t="str">
        <f>IFERROR(__xludf.DUMMYFUNCTION("""COMPUTED_VALUE"""),"30/69 Đặng Huy Trứ")</f>
        <v>30/69 Đặng Huy Trứ</v>
      </c>
      <c r="D3739" s="119" t="str">
        <f>IFERROR(__xludf.DUMMYFUNCTION("""COMPUTED_VALUE"""),"chó ")</f>
        <v>chó </v>
      </c>
      <c r="E3739" s="119" t="str">
        <f>IFERROR(__xludf.DUMMYFUNCTION("""COMPUTED_VALUE"""),"Sói")</f>
        <v>Sói</v>
      </c>
    </row>
    <row r="3740" ht="15.75" customHeight="1">
      <c r="A3740" s="122" t="str">
        <f>IFERROR(__xludf.DUMMYFUNCTION("""COMPUTED_VALUE"""),"0975 581 192")</f>
        <v>0975 581 192</v>
      </c>
      <c r="B3740" s="119" t="str">
        <f>IFERROR(__xludf.DUMMYFUNCTION("""COMPUTED_VALUE"""),"Anh Lộc")</f>
        <v>Anh Lộc</v>
      </c>
      <c r="C3740" s="119" t="str">
        <f>IFERROR(__xludf.DUMMYFUNCTION("""COMPUTED_VALUE"""),"Hương An")</f>
        <v>Hương An</v>
      </c>
      <c r="D3740" s="119" t="str">
        <f>IFERROR(__xludf.DUMMYFUNCTION("""COMPUTED_VALUE"""),"chó")</f>
        <v>chó</v>
      </c>
      <c r="E3740" s="119" t="str">
        <f>IFERROR(__xludf.DUMMYFUNCTION("""COMPUTED_VALUE"""),"Subin")</f>
        <v>Subin</v>
      </c>
    </row>
    <row r="3741" ht="15.75" customHeight="1">
      <c r="A3741" s="122" t="str">
        <f>IFERROR(__xludf.DUMMYFUNCTION("""COMPUTED_VALUE"""),"0765 432 861")</f>
        <v>0765 432 861</v>
      </c>
      <c r="B3741" s="119" t="str">
        <f>IFERROR(__xludf.DUMMYFUNCTION("""COMPUTED_VALUE"""),"Anh Tín")</f>
        <v>Anh Tín</v>
      </c>
      <c r="C3741" s="119" t="str">
        <f>IFERROR(__xludf.DUMMYFUNCTION("""COMPUTED_VALUE"""),"105 Đặng Huy Trứ")</f>
        <v>105 Đặng Huy Trứ</v>
      </c>
      <c r="D3741" s="119" t="str">
        <f>IFERROR(__xludf.DUMMYFUNCTION("""COMPUTED_VALUE"""),"Chó")</f>
        <v>Chó</v>
      </c>
      <c r="E3741" s="119"/>
    </row>
    <row r="3742" ht="15.75" customHeight="1">
      <c r="A3742" s="122" t="str">
        <f>IFERROR(__xludf.DUMMYFUNCTION("""COMPUTED_VALUE"""),"0936 007 930")</f>
        <v>0936 007 930</v>
      </c>
      <c r="B3742" s="119" t="str">
        <f>IFERROR(__xludf.DUMMYFUNCTION("""COMPUTED_VALUE"""),"Trà Giang")</f>
        <v>Trà Giang</v>
      </c>
      <c r="C3742" s="119" t="str">
        <f>IFERROR(__xludf.DUMMYFUNCTION("""COMPUTED_VALUE"""),"Thuận An")</f>
        <v>Thuận An</v>
      </c>
      <c r="D3742" s="119" t="str">
        <f>IFERROR(__xludf.DUMMYFUNCTION("""COMPUTED_VALUE"""),"Chó")</f>
        <v>Chó</v>
      </c>
      <c r="E3742" s="119" t="str">
        <f>IFERROR(__xludf.DUMMYFUNCTION("""COMPUTED_VALUE"""),"Bun")</f>
        <v>Bun</v>
      </c>
    </row>
    <row r="3743" ht="15.75" customHeight="1">
      <c r="A3743" s="122" t="str">
        <f>IFERROR(__xludf.DUMMYFUNCTION("""COMPUTED_VALUE"""),"0772 503 722")</f>
        <v>0772 503 722</v>
      </c>
      <c r="B3743" s="119" t="str">
        <f>IFERROR(__xludf.DUMMYFUNCTION("""COMPUTED_VALUE"""),"Em Hòa")</f>
        <v>Em Hòa</v>
      </c>
      <c r="C3743" s="119" t="str">
        <f>IFERROR(__xludf.DUMMYFUNCTION("""COMPUTED_VALUE"""),"155A An Dương Vương ")</f>
        <v>155A An Dương Vương </v>
      </c>
      <c r="D3743" s="119" t="str">
        <f>IFERROR(__xludf.DUMMYFUNCTION("""COMPUTED_VALUE"""),"Mèo")</f>
        <v>Mèo</v>
      </c>
      <c r="E3743" s="119"/>
    </row>
    <row r="3744" ht="15.75" customHeight="1">
      <c r="A3744" s="122" t="str">
        <f>IFERROR(__xludf.DUMMYFUNCTION("""COMPUTED_VALUE"""),"0905 158 696")</f>
        <v>0905 158 696</v>
      </c>
      <c r="B3744" s="119" t="str">
        <f>IFERROR(__xludf.DUMMYFUNCTION("""COMPUTED_VALUE"""),"Anh Thiện ")</f>
        <v>Anh Thiện </v>
      </c>
      <c r="C3744" s="119" t="str">
        <f>IFERROR(__xludf.DUMMYFUNCTION("""COMPUTED_VALUE"""),"Lê Ngô Cát")</f>
        <v>Lê Ngô Cát</v>
      </c>
      <c r="D3744" s="119" t="str">
        <f>IFERROR(__xludf.DUMMYFUNCTION("""COMPUTED_VALUE"""),"Chó")</f>
        <v>Chó</v>
      </c>
      <c r="E3744" s="119"/>
    </row>
    <row r="3745" ht="15.75" customHeight="1">
      <c r="A3745" s="122" t="str">
        <f>IFERROR(__xludf.DUMMYFUNCTION("""COMPUTED_VALUE"""),"0795 633 79")</f>
        <v>0795 633 79</v>
      </c>
      <c r="B3745" s="119" t="str">
        <f>IFERROR(__xludf.DUMMYFUNCTION("""COMPUTED_VALUE"""),"Chú Hiếu")</f>
        <v>Chú Hiếu</v>
      </c>
      <c r="C3745" s="119" t="str">
        <f>IFERROR(__xludf.DUMMYFUNCTION("""COMPUTED_VALUE"""),"82 Nguyễn Hoàng")</f>
        <v>82 Nguyễn Hoàng</v>
      </c>
      <c r="D3745" s="119" t="str">
        <f>IFERROR(__xludf.DUMMYFUNCTION("""COMPUTED_VALUE"""),"chó")</f>
        <v>chó</v>
      </c>
      <c r="E3745" s="119" t="str">
        <f>IFERROR(__xludf.DUMMYFUNCTION("""COMPUTED_VALUE"""),"Misa")</f>
        <v>Misa</v>
      </c>
    </row>
    <row r="3746" ht="15.75" customHeight="1">
      <c r="A3746" s="122" t="str">
        <f>IFERROR(__xludf.DUMMYFUNCTION("""COMPUTED_VALUE"""),"0776 102 227")</f>
        <v>0776 102 227</v>
      </c>
      <c r="B3746" s="119" t="str">
        <f>IFERROR(__xludf.DUMMYFUNCTION("""COMPUTED_VALUE"""),"Anh Hào")</f>
        <v>Anh Hào</v>
      </c>
      <c r="C3746" s="119" t="str">
        <f>IFERROR(__xludf.DUMMYFUNCTION("""COMPUTED_VALUE"""),"148 Trương Gia Mô")</f>
        <v>148 Trương Gia Mô</v>
      </c>
      <c r="D3746" s="119" t="str">
        <f>IFERROR(__xludf.DUMMYFUNCTION("""COMPUTED_VALUE"""),"mèo")</f>
        <v>mèo</v>
      </c>
      <c r="E3746" s="119" t="str">
        <f>IFERROR(__xludf.DUMMYFUNCTION("""COMPUTED_VALUE"""),"Rô")</f>
        <v>Rô</v>
      </c>
    </row>
    <row r="3747" ht="15.75" customHeight="1">
      <c r="A3747" s="122" t="str">
        <f>IFERROR(__xludf.DUMMYFUNCTION("""COMPUTED_VALUE"""),"0976 218 576")</f>
        <v>0976 218 576</v>
      </c>
      <c r="B3747" s="119" t="str">
        <f>IFERROR(__xludf.DUMMYFUNCTION("""COMPUTED_VALUE"""),"Chị Tiên")</f>
        <v>Chị Tiên</v>
      </c>
      <c r="C3747" s="119" t="str">
        <f>IFERROR(__xludf.DUMMYFUNCTION("""COMPUTED_VALUE"""),"1/14 Đoàn Hữu Trưng")</f>
        <v>1/14 Đoàn Hữu Trưng</v>
      </c>
      <c r="D3747" s="119" t="str">
        <f>IFERROR(__xludf.DUMMYFUNCTION("""COMPUTED_VALUE"""),"Chó")</f>
        <v>Chó</v>
      </c>
      <c r="E3747" s="119" t="str">
        <f>IFERROR(__xludf.DUMMYFUNCTION("""COMPUTED_VALUE"""),"Luna")</f>
        <v>Luna</v>
      </c>
    </row>
    <row r="3748" ht="15.75" customHeight="1">
      <c r="A3748" s="122" t="str">
        <f>IFERROR(__xludf.DUMMYFUNCTION("""COMPUTED_VALUE"""),"0388 877 109")</f>
        <v>0388 877 109</v>
      </c>
      <c r="B3748" s="119" t="str">
        <f>IFERROR(__xludf.DUMMYFUNCTION("""COMPUTED_VALUE"""),"Anh Việt")</f>
        <v>Anh Việt</v>
      </c>
      <c r="C3748" s="119" t="str">
        <f>IFERROR(__xludf.DUMMYFUNCTION("""COMPUTED_VALUE"""),"10/65 Lê Ngô Cát")</f>
        <v>10/65 Lê Ngô Cát</v>
      </c>
      <c r="D3748" s="119" t="str">
        <f>IFERROR(__xludf.DUMMYFUNCTION("""COMPUTED_VALUE"""),"Chó")</f>
        <v>Chó</v>
      </c>
      <c r="E3748" s="119"/>
    </row>
    <row r="3749" ht="15.75" customHeight="1">
      <c r="A3749" s="122" t="str">
        <f>IFERROR(__xludf.DUMMYFUNCTION("""COMPUTED_VALUE"""),"0968 081 248")</f>
        <v>0968 081 248</v>
      </c>
      <c r="B3749" s="119" t="str">
        <f>IFERROR(__xludf.DUMMYFUNCTION("""COMPUTED_VALUE"""),"anh Quyền")</f>
        <v>anh Quyền</v>
      </c>
      <c r="C3749" s="119" t="str">
        <f>IFERROR(__xludf.DUMMYFUNCTION("""COMPUTED_VALUE"""),"Phường An Đông")</f>
        <v>Phường An Đông</v>
      </c>
      <c r="D3749" s="119" t="str">
        <f>IFERROR(__xludf.DUMMYFUNCTION("""COMPUTED_VALUE"""),"Chó")</f>
        <v>Chó</v>
      </c>
      <c r="E3749" s="119" t="str">
        <f>IFERROR(__xludf.DUMMYFUNCTION("""COMPUTED_VALUE"""),"Lỗi")</f>
        <v>Lỗi</v>
      </c>
    </row>
    <row r="3750" ht="15.75" customHeight="1">
      <c r="A3750" s="122" t="str">
        <f>IFERROR(__xludf.DUMMYFUNCTION("""COMPUTED_VALUE"""),"0936 587 910")</f>
        <v>0936 587 910</v>
      </c>
      <c r="B3750" s="119" t="str">
        <f>IFERROR(__xludf.DUMMYFUNCTION("""COMPUTED_VALUE"""),"Anh Hiệp")</f>
        <v>Anh Hiệp</v>
      </c>
      <c r="C3750" s="119" t="str">
        <f>IFERROR(__xludf.DUMMYFUNCTION("""COMPUTED_VALUE"""),"6/44 Duy Tân")</f>
        <v>6/44 Duy Tân</v>
      </c>
      <c r="D3750" s="119" t="str">
        <f>IFERROR(__xludf.DUMMYFUNCTION("""COMPUTED_VALUE"""),"Chó")</f>
        <v>Chó</v>
      </c>
      <c r="E3750" s="119" t="str">
        <f>IFERROR(__xludf.DUMMYFUNCTION("""COMPUTED_VALUE"""),"Mun")</f>
        <v>Mun</v>
      </c>
    </row>
    <row r="3751" ht="15.75" customHeight="1">
      <c r="A3751" s="122" t="str">
        <f>IFERROR(__xludf.DUMMYFUNCTION("""COMPUTED_VALUE"""),"0384 252 540")</f>
        <v>0384 252 540</v>
      </c>
      <c r="B3751" s="119" t="str">
        <f>IFERROR(__xludf.DUMMYFUNCTION("""COMPUTED_VALUE"""),"Anh Nam")</f>
        <v>Anh Nam</v>
      </c>
      <c r="C3751" s="119" t="str">
        <f>IFERROR(__xludf.DUMMYFUNCTION("""COMPUTED_VALUE"""),"197 Trần Phú")</f>
        <v>197 Trần Phú</v>
      </c>
      <c r="D3751" s="119" t="str">
        <f>IFERROR(__xludf.DUMMYFUNCTION("""COMPUTED_VALUE"""),"Mèo")</f>
        <v>Mèo</v>
      </c>
      <c r="E3751" s="119"/>
    </row>
    <row r="3752" ht="15.75" customHeight="1">
      <c r="A3752" s="122" t="str">
        <f>IFERROR(__xludf.DUMMYFUNCTION("""COMPUTED_VALUE"""),"0795 569 762")</f>
        <v>0795 569 762</v>
      </c>
      <c r="B3752" s="119" t="str">
        <f>IFERROR(__xludf.DUMMYFUNCTION("""COMPUTED_VALUE"""),"em Thư")</f>
        <v>em Thư</v>
      </c>
      <c r="C3752" s="119" t="str">
        <f>IFERROR(__xludf.DUMMYFUNCTION("""COMPUTED_VALUE"""),"80 Hải Triều")</f>
        <v>80 Hải Triều</v>
      </c>
      <c r="D3752" s="119" t="str">
        <f>IFERROR(__xludf.DUMMYFUNCTION("""COMPUTED_VALUE"""),"Chó")</f>
        <v>Chó</v>
      </c>
      <c r="E3752" s="119" t="str">
        <f>IFERROR(__xludf.DUMMYFUNCTION("""COMPUTED_VALUE"""),"nâu")</f>
        <v>nâu</v>
      </c>
    </row>
    <row r="3753" ht="15.75" customHeight="1">
      <c r="A3753" s="122" t="str">
        <f>IFERROR(__xludf.DUMMYFUNCTION("""COMPUTED_VALUE"""),"0935 092 674")</f>
        <v>0935 092 674</v>
      </c>
      <c r="B3753" s="119" t="str">
        <f>IFERROR(__xludf.DUMMYFUNCTION("""COMPUTED_VALUE"""),"Anh Nguyên")</f>
        <v>Anh Nguyên</v>
      </c>
      <c r="C3753" s="119" t="str">
        <f>IFERROR(__xludf.DUMMYFUNCTION("""COMPUTED_VALUE"""),"1/6 An Ninh")</f>
        <v>1/6 An Ninh</v>
      </c>
      <c r="D3753" s="119" t="str">
        <f>IFERROR(__xludf.DUMMYFUNCTION("""COMPUTED_VALUE"""),"chó")</f>
        <v>chó</v>
      </c>
      <c r="E3753" s="119" t="str">
        <f>IFERROR(__xludf.DUMMYFUNCTION("""COMPUTED_VALUE"""),"Dâu")</f>
        <v>Dâu</v>
      </c>
    </row>
    <row r="3754" ht="15.75" customHeight="1">
      <c r="A3754" s="122" t="str">
        <f>IFERROR(__xludf.DUMMYFUNCTION("""COMPUTED_VALUE"""),"0843 187 558")</f>
        <v>0843 187 558</v>
      </c>
      <c r="B3754" s="119" t="str">
        <f>IFERROR(__xludf.DUMMYFUNCTION("""COMPUTED_VALUE"""),"Nguyễn Thị Thắm")</f>
        <v>Nguyễn Thị Thắm</v>
      </c>
      <c r="C3754" s="119" t="str">
        <f>IFERROR(__xludf.DUMMYFUNCTION("""COMPUTED_VALUE"""),"73 Nguyễn Hữu Cảnh")</f>
        <v>73 Nguyễn Hữu Cảnh</v>
      </c>
      <c r="D3754" s="119" t="str">
        <f>IFERROR(__xludf.DUMMYFUNCTION("""COMPUTED_VALUE"""),"mèo")</f>
        <v>mèo</v>
      </c>
      <c r="E3754" s="119" t="str">
        <f>IFERROR(__xludf.DUMMYFUNCTION("""COMPUTED_VALUE"""),"Kẹo")</f>
        <v>Kẹo</v>
      </c>
    </row>
    <row r="3755" ht="15.75" customHeight="1">
      <c r="A3755" s="122" t="str">
        <f>IFERROR(__xludf.DUMMYFUNCTION("""COMPUTED_VALUE"""),"0834 031 541")</f>
        <v>0834 031 541</v>
      </c>
      <c r="B3755" s="119" t="str">
        <f>IFERROR(__xludf.DUMMYFUNCTION("""COMPUTED_VALUE"""),"Chú Trung")</f>
        <v>Chú Trung</v>
      </c>
      <c r="C3755" s="119" t="str">
        <f>IFERROR(__xludf.DUMMYFUNCTION("""COMPUTED_VALUE"""),"1/22 Bạch Đằng")</f>
        <v>1/22 Bạch Đằng</v>
      </c>
      <c r="D3755" s="119" t="str">
        <f>IFERROR(__xludf.DUMMYFUNCTION("""COMPUTED_VALUE"""),"chó")</f>
        <v>chó</v>
      </c>
      <c r="E3755" s="119" t="str">
        <f>IFERROR(__xludf.DUMMYFUNCTION("""COMPUTED_VALUE"""),"Vàng")</f>
        <v>Vàng</v>
      </c>
    </row>
    <row r="3756" ht="15.75" customHeight="1">
      <c r="A3756" s="122" t="str">
        <f>IFERROR(__xludf.DUMMYFUNCTION("""COMPUTED_VALUE"""),"0972 805 483")</f>
        <v>0972 805 483</v>
      </c>
      <c r="B3756" s="119" t="str">
        <f>IFERROR(__xludf.DUMMYFUNCTION("""COMPUTED_VALUE"""),"Phạm Thị Hạt")</f>
        <v>Phạm Thị Hạt</v>
      </c>
      <c r="C3756" s="119" t="str">
        <f>IFERROR(__xludf.DUMMYFUNCTION("""COMPUTED_VALUE"""),"32 Lê Hồng Phong")</f>
        <v>32 Lê Hồng Phong</v>
      </c>
      <c r="D3756" s="119" t="str">
        <f>IFERROR(__xludf.DUMMYFUNCTION("""COMPUTED_VALUE"""),"mèo")</f>
        <v>mèo</v>
      </c>
      <c r="E3756" s="119" t="str">
        <f>IFERROR(__xludf.DUMMYFUNCTION("""COMPUTED_VALUE"""),"Sâu")</f>
        <v>Sâu</v>
      </c>
    </row>
    <row r="3757" ht="15.75" customHeight="1">
      <c r="A3757" s="122" t="str">
        <f>IFERROR(__xludf.DUMMYFUNCTION("""COMPUTED_VALUE"""),"0935 032 161")</f>
        <v>0935 032 161</v>
      </c>
      <c r="B3757" s="119" t="str">
        <f>IFERROR(__xludf.DUMMYFUNCTION("""COMPUTED_VALUE"""),"Em Ngân")</f>
        <v>Em Ngân</v>
      </c>
      <c r="C3757" s="119" t="str">
        <f>IFERROR(__xludf.DUMMYFUNCTION("""COMPUTED_VALUE"""),"127 Vạn Xuân")</f>
        <v>127 Vạn Xuân</v>
      </c>
      <c r="D3757" s="119" t="str">
        <f>IFERROR(__xludf.DUMMYFUNCTION("""COMPUTED_VALUE"""),"chó ")</f>
        <v>chó </v>
      </c>
      <c r="E3757" s="119" t="str">
        <f>IFERROR(__xludf.DUMMYFUNCTION("""COMPUTED_VALUE"""),"Gấu")</f>
        <v>Gấu</v>
      </c>
    </row>
    <row r="3758" ht="15.75" customHeight="1">
      <c r="A3758" s="122" t="str">
        <f>IFERROR(__xludf.DUMMYFUNCTION("""COMPUTED_VALUE"""),"0343 884 611")</f>
        <v>0343 884 611</v>
      </c>
      <c r="B3758" s="119" t="str">
        <f>IFERROR(__xludf.DUMMYFUNCTION("""COMPUTED_VALUE"""),"Anh Lê Ngọc tiến")</f>
        <v>Anh Lê Ngọc tiến</v>
      </c>
      <c r="C3758" s="119" t="str">
        <f>IFERROR(__xludf.DUMMYFUNCTION("""COMPUTED_VALUE"""),"18/131 Nguyễn Phúc Lan")</f>
        <v>18/131 Nguyễn Phúc Lan</v>
      </c>
      <c r="D3758" s="119" t="str">
        <f>IFERROR(__xludf.DUMMYFUNCTION("""COMPUTED_VALUE"""),"mèo")</f>
        <v>mèo</v>
      </c>
      <c r="E3758" s="119" t="str">
        <f>IFERROR(__xludf.DUMMYFUNCTION("""COMPUTED_VALUE"""),"Cừu")</f>
        <v>Cừu</v>
      </c>
    </row>
    <row r="3759" ht="15.75" customHeight="1">
      <c r="A3759" s="122" t="str">
        <f>IFERROR(__xludf.DUMMYFUNCTION("""COMPUTED_VALUE"""),"0855 546 828")</f>
        <v>0855 546 828</v>
      </c>
      <c r="B3759" s="119" t="str">
        <f>IFERROR(__xludf.DUMMYFUNCTION("""COMPUTED_VALUE"""),"Phương Đài")</f>
        <v>Phương Đài</v>
      </c>
      <c r="C3759" s="119" t="str">
        <f>IFERROR(__xludf.DUMMYFUNCTION("""COMPUTED_VALUE"""),"26 Ngô Quyền")</f>
        <v>26 Ngô Quyền</v>
      </c>
      <c r="D3759" s="119" t="str">
        <f>IFERROR(__xludf.DUMMYFUNCTION("""COMPUTED_VALUE"""),"mèo")</f>
        <v>mèo</v>
      </c>
      <c r="E3759" s="119" t="str">
        <f>IFERROR(__xludf.DUMMYFUNCTION("""COMPUTED_VALUE""")," Phô Mai")</f>
        <v> Phô Mai</v>
      </c>
    </row>
    <row r="3760" ht="15.75" customHeight="1">
      <c r="A3760" s="122" t="str">
        <f>IFERROR(__xludf.DUMMYFUNCTION("""COMPUTED_VALUE"""),"0333 938 658")</f>
        <v>0333 938 658</v>
      </c>
      <c r="B3760" s="119" t="str">
        <f>IFERROR(__xludf.DUMMYFUNCTION("""COMPUTED_VALUE"""),"Trần Hoàng Phương")</f>
        <v>Trần Hoàng Phương</v>
      </c>
      <c r="C3760" s="119" t="str">
        <f>IFERROR(__xludf.DUMMYFUNCTION("""COMPUTED_VALUE"""),"Phú Lộc")</f>
        <v>Phú Lộc</v>
      </c>
      <c r="D3760" s="119" t="str">
        <f>IFERROR(__xludf.DUMMYFUNCTION("""COMPUTED_VALUE"""),"chó")</f>
        <v>chó</v>
      </c>
      <c r="E3760" s="119" t="str">
        <f>IFERROR(__xludf.DUMMYFUNCTION("""COMPUTED_VALUE"""),"Em")</f>
        <v>Em</v>
      </c>
    </row>
    <row r="3761" ht="15.75" customHeight="1">
      <c r="A3761" s="122" t="str">
        <f>IFERROR(__xludf.DUMMYFUNCTION("""COMPUTED_VALUE"""),"0913 981 764")</f>
        <v>0913 981 764</v>
      </c>
      <c r="B3761" s="119" t="str">
        <f>IFERROR(__xludf.DUMMYFUNCTION("""COMPUTED_VALUE"""),"Chị Nhung")</f>
        <v>Chị Nhung</v>
      </c>
      <c r="C3761" s="119" t="str">
        <f>IFERROR(__xludf.DUMMYFUNCTION("""COMPUTED_VALUE"""),"53 Lý Nam Đế")</f>
        <v>53 Lý Nam Đế</v>
      </c>
      <c r="D3761" s="119" t="str">
        <f>IFERROR(__xludf.DUMMYFUNCTION("""COMPUTED_VALUE"""),"mèo")</f>
        <v>mèo</v>
      </c>
      <c r="E3761" s="119" t="str">
        <f>IFERROR(__xludf.DUMMYFUNCTION("""COMPUTED_VALUE"""),"Snow")</f>
        <v>Snow</v>
      </c>
    </row>
    <row r="3762" ht="15.75" customHeight="1">
      <c r="A3762" s="122" t="str">
        <f>IFERROR(__xludf.DUMMYFUNCTION("""COMPUTED_VALUE"""),"0796 720 160")</f>
        <v>0796 720 160</v>
      </c>
      <c r="B3762" s="119" t="str">
        <f>IFERROR(__xludf.DUMMYFUNCTION("""COMPUTED_VALUE"""),"Chị Thương")</f>
        <v>Chị Thương</v>
      </c>
      <c r="C3762" s="119" t="str">
        <f>IFERROR(__xludf.DUMMYFUNCTION("""COMPUTED_VALUE"""),"72 Nguyễn Phúc Nguyên")</f>
        <v>72 Nguyễn Phúc Nguyên</v>
      </c>
      <c r="D3762" s="119" t="str">
        <f>IFERROR(__xludf.DUMMYFUNCTION("""COMPUTED_VALUE"""),"chó")</f>
        <v>chó</v>
      </c>
      <c r="E3762" s="119" t="str">
        <f>IFERROR(__xludf.DUMMYFUNCTION("""COMPUTED_VALUE"""),"Gạo")</f>
        <v>Gạo</v>
      </c>
    </row>
    <row r="3763" ht="15.75" customHeight="1">
      <c r="A3763" s="122" t="str">
        <f>IFERROR(__xludf.DUMMYFUNCTION("""COMPUTED_VALUE"""),"0336 152 637")</f>
        <v>0336 152 637</v>
      </c>
      <c r="B3763" s="119" t="str">
        <f>IFERROR(__xludf.DUMMYFUNCTION("""COMPUTED_VALUE"""),"Dì Hiền")</f>
        <v>Dì Hiền</v>
      </c>
      <c r="C3763" s="119" t="str">
        <f>IFERROR(__xludf.DUMMYFUNCTION("""COMPUTED_VALUE"""),"2/40 Đào Duy Anh")</f>
        <v>2/40 Đào Duy Anh</v>
      </c>
      <c r="D3763" s="119" t="str">
        <f>IFERROR(__xludf.DUMMYFUNCTION("""COMPUTED_VALUE"""),"chó")</f>
        <v>chó</v>
      </c>
      <c r="E3763" s="119" t="str">
        <f>IFERROR(__xludf.DUMMYFUNCTION("""COMPUTED_VALUE"""),"Kem")</f>
        <v>Kem</v>
      </c>
    </row>
    <row r="3764" ht="15.75" customHeight="1">
      <c r="A3764" s="122" t="str">
        <f>IFERROR(__xludf.DUMMYFUNCTION("""COMPUTED_VALUE"""),"0345 502 321")</f>
        <v>0345 502 321</v>
      </c>
      <c r="B3764" s="119" t="str">
        <f>IFERROR(__xludf.DUMMYFUNCTION("""COMPUTED_VALUE"""),"Võ Văn Phong")</f>
        <v>Võ Văn Phong</v>
      </c>
      <c r="C3764" s="119" t="str">
        <f>IFERROR(__xludf.DUMMYFUNCTION("""COMPUTED_VALUE"""),"Hương An")</f>
        <v>Hương An</v>
      </c>
      <c r="D3764" s="119" t="str">
        <f>IFERROR(__xludf.DUMMYFUNCTION("""COMPUTED_VALUE"""),"chó")</f>
        <v>chó</v>
      </c>
      <c r="E3764" s="119" t="str">
        <f>IFERROR(__xludf.DUMMYFUNCTION("""COMPUTED_VALUE"""),"Đen")</f>
        <v>Đen</v>
      </c>
    </row>
    <row r="3765" ht="15.75" customHeight="1">
      <c r="A3765" s="122" t="str">
        <f>IFERROR(__xludf.DUMMYFUNCTION("""COMPUTED_VALUE"""),"0905 530 219")</f>
        <v>0905 530 219</v>
      </c>
      <c r="B3765" s="119" t="str">
        <f>IFERROR(__xludf.DUMMYFUNCTION("""COMPUTED_VALUE"""),"Chú Hồng")</f>
        <v>Chú Hồng</v>
      </c>
      <c r="C3765" s="119" t="str">
        <f>IFERROR(__xludf.DUMMYFUNCTION("""COMPUTED_VALUE"""),"19 Lê Khắc Quyền")</f>
        <v>19 Lê Khắc Quyền</v>
      </c>
      <c r="D3765" s="119" t="str">
        <f>IFERROR(__xludf.DUMMYFUNCTION("""COMPUTED_VALUE"""),"chó")</f>
        <v>chó</v>
      </c>
      <c r="E3765" s="119" t="str">
        <f>IFERROR(__xludf.DUMMYFUNCTION("""COMPUTED_VALUE"""),"Bun")</f>
        <v>Bun</v>
      </c>
    </row>
    <row r="3766" ht="15.75" customHeight="1">
      <c r="A3766" s="122" t="str">
        <f>IFERROR(__xludf.DUMMYFUNCTION("""COMPUTED_VALUE"""),"0905 449 718")</f>
        <v>0905 449 718</v>
      </c>
      <c r="B3766" s="119" t="str">
        <f>IFERROR(__xludf.DUMMYFUNCTION("""COMPUTED_VALUE"""),"Anh Thọ")</f>
        <v>Anh Thọ</v>
      </c>
      <c r="C3766" s="119" t="str">
        <f>IFERROR(__xludf.DUMMYFUNCTION("""COMPUTED_VALUE"""),"Kiệt 131 Trần Phú")</f>
        <v>Kiệt 131 Trần Phú</v>
      </c>
      <c r="D3766" s="119" t="str">
        <f>IFERROR(__xludf.DUMMYFUNCTION("""COMPUTED_VALUE"""),"Chó")</f>
        <v>Chó</v>
      </c>
      <c r="E3766" s="119"/>
    </row>
    <row r="3767" ht="15.75" customHeight="1">
      <c r="A3767" s="122" t="str">
        <f>IFERROR(__xludf.DUMMYFUNCTION("""COMPUTED_VALUE"""),"0905 917 975")</f>
        <v>0905 917 975</v>
      </c>
      <c r="B3767" s="119" t="str">
        <f>IFERROR(__xludf.DUMMYFUNCTION("""COMPUTED_VALUE"""),"CHị Hiền")</f>
        <v>CHị Hiền</v>
      </c>
      <c r="C3767" s="119" t="str">
        <f>IFERROR(__xludf.DUMMYFUNCTION("""COMPUTED_VALUE"""),"32/9/131  Trần Phú")</f>
        <v>32/9/131  Trần Phú</v>
      </c>
      <c r="D3767" s="119" t="str">
        <f>IFERROR(__xludf.DUMMYFUNCTION("""COMPUTED_VALUE"""),"mèo")</f>
        <v>mèo</v>
      </c>
      <c r="E3767" s="119" t="str">
        <f>IFERROR(__xludf.DUMMYFUNCTION("""COMPUTED_VALUE"""),"Miu")</f>
        <v>Miu</v>
      </c>
    </row>
    <row r="3768" ht="15.75" customHeight="1">
      <c r="A3768" s="122" t="str">
        <f>IFERROR(__xludf.DUMMYFUNCTION("""COMPUTED_VALUE"""),"0931 107 919")</f>
        <v>0931 107 919</v>
      </c>
      <c r="B3768" s="119" t="str">
        <f>IFERROR(__xludf.DUMMYFUNCTION("""COMPUTED_VALUE"""),"Em Trâm")</f>
        <v>Em Trâm</v>
      </c>
      <c r="C3768" s="119" t="str">
        <f>IFERROR(__xludf.DUMMYFUNCTION("""COMPUTED_VALUE"""),"19/25 Mai Thúc Loan")</f>
        <v>19/25 Mai Thúc Loan</v>
      </c>
      <c r="D3768" s="119" t="str">
        <f>IFERROR(__xludf.DUMMYFUNCTION("""COMPUTED_VALUE"""),"mèo")</f>
        <v>mèo</v>
      </c>
      <c r="E3768" s="119" t="str">
        <f>IFERROR(__xludf.DUMMYFUNCTION("""COMPUTED_VALUE"""),"Vịt")</f>
        <v>Vịt</v>
      </c>
    </row>
    <row r="3769" ht="15.75" customHeight="1">
      <c r="A3769" s="122" t="str">
        <f>IFERROR(__xludf.DUMMYFUNCTION("""COMPUTED_VALUE"""),"0342 783 213")</f>
        <v>0342 783 213</v>
      </c>
      <c r="B3769" s="119" t="str">
        <f>IFERROR(__xludf.DUMMYFUNCTION("""COMPUTED_VALUE"""),"Chú Hùng")</f>
        <v>Chú Hùng</v>
      </c>
      <c r="C3769" s="119" t="str">
        <f>IFERROR(__xludf.DUMMYFUNCTION("""COMPUTED_VALUE"""),"35 văn thánh")</f>
        <v>35 văn thánh</v>
      </c>
      <c r="D3769" s="119" t="str">
        <f>IFERROR(__xludf.DUMMYFUNCTION("""COMPUTED_VALUE"""),"chó")</f>
        <v>chó</v>
      </c>
      <c r="E3769" s="119" t="str">
        <f>IFERROR(__xludf.DUMMYFUNCTION("""COMPUTED_VALUE"""),"Boy")</f>
        <v>Boy</v>
      </c>
    </row>
    <row r="3770" ht="15.75" customHeight="1">
      <c r="A3770" s="122" t="str">
        <f>IFERROR(__xludf.DUMMYFUNCTION("""COMPUTED_VALUE"""),"0779 489 151")</f>
        <v>0779 489 151</v>
      </c>
      <c r="B3770" s="119" t="str">
        <f>IFERROR(__xludf.DUMMYFUNCTION("""COMPUTED_VALUE"""),"Chị Diễm My")</f>
        <v>Chị Diễm My</v>
      </c>
      <c r="C3770" s="119" t="str">
        <f>IFERROR(__xludf.DUMMYFUNCTION("""COMPUTED_VALUE"""),"Thuỷ Bằng")</f>
        <v>Thuỷ Bằng</v>
      </c>
      <c r="D3770" s="119" t="str">
        <f>IFERROR(__xludf.DUMMYFUNCTION("""COMPUTED_VALUE"""),"chó")</f>
        <v>chó</v>
      </c>
      <c r="E3770" s="119" t="str">
        <f>IFERROR(__xludf.DUMMYFUNCTION("""COMPUTED_VALUE"""),"chôm chôm")</f>
        <v>chôm chôm</v>
      </c>
    </row>
    <row r="3771" ht="15.75" customHeight="1">
      <c r="A3771" s="122" t="str">
        <f>IFERROR(__xludf.DUMMYFUNCTION("""COMPUTED_VALUE"""),"0964 116 140")</f>
        <v>0964 116 140</v>
      </c>
      <c r="B3771" s="119" t="str">
        <f>IFERROR(__xludf.DUMMYFUNCTION("""COMPUTED_VALUE"""),"Chị xuân Ánh")</f>
        <v>Chị xuân Ánh</v>
      </c>
      <c r="C3771" s="119" t="str">
        <f>IFERROR(__xludf.DUMMYFUNCTION("""COMPUTED_VALUE"""),"Hương Toàn")</f>
        <v>Hương Toàn</v>
      </c>
      <c r="D3771" s="119" t="str">
        <f>IFERROR(__xludf.DUMMYFUNCTION("""COMPUTED_VALUE"""),"chó")</f>
        <v>chó</v>
      </c>
      <c r="E3771" s="119" t="str">
        <f>IFERROR(__xludf.DUMMYFUNCTION("""COMPUTED_VALUE"""),"Lu")</f>
        <v>Lu</v>
      </c>
    </row>
    <row r="3772" ht="15.75" customHeight="1">
      <c r="A3772" s="122" t="str">
        <f>IFERROR(__xludf.DUMMYFUNCTION("""COMPUTED_VALUE"""),"0838 680 380")</f>
        <v>0838 680 380</v>
      </c>
      <c r="B3772" s="119" t="str">
        <f>IFERROR(__xludf.DUMMYFUNCTION("""COMPUTED_VALUE"""),"Chị Ny ")</f>
        <v>Chị Ny </v>
      </c>
      <c r="C3772" s="119" t="str">
        <f>IFERROR(__xludf.DUMMYFUNCTION("""COMPUTED_VALUE"""),"Chợ Mai")</f>
        <v>Chợ Mai</v>
      </c>
      <c r="D3772" s="119" t="str">
        <f>IFERROR(__xludf.DUMMYFUNCTION("""COMPUTED_VALUE"""),"mèo")</f>
        <v>mèo</v>
      </c>
      <c r="E3772" s="119" t="str">
        <f>IFERROR(__xludf.DUMMYFUNCTION("""COMPUTED_VALUE"""),"mướp")</f>
        <v>mướp</v>
      </c>
    </row>
    <row r="3773" ht="15.75" customHeight="1">
      <c r="A3773" s="122" t="str">
        <f>IFERROR(__xludf.DUMMYFUNCTION("""COMPUTED_VALUE"""),"0914 191 508")</f>
        <v>0914 191 508</v>
      </c>
      <c r="B3773" s="119" t="str">
        <f>IFERROR(__xludf.DUMMYFUNCTION("""COMPUTED_VALUE"""),"Chú Hòa-dì Nga")</f>
        <v>Chú Hòa-dì Nga</v>
      </c>
      <c r="C3773" s="119" t="str">
        <f>IFERROR(__xludf.DUMMYFUNCTION("""COMPUTED_VALUE"""),"10/138 Trần Phú")</f>
        <v>10/138 Trần Phú</v>
      </c>
      <c r="D3773" s="119" t="str">
        <f>IFERROR(__xludf.DUMMYFUNCTION("""COMPUTED_VALUE"""),"Mèo")</f>
        <v>Mèo</v>
      </c>
      <c r="E3773" s="119" t="str">
        <f>IFERROR(__xludf.DUMMYFUNCTION("""COMPUTED_VALUE"""),"Mèo")</f>
        <v>Mèo</v>
      </c>
    </row>
    <row r="3774" ht="15.75" customHeight="1">
      <c r="A3774" s="122" t="str">
        <f>IFERROR(__xludf.DUMMYFUNCTION("""COMPUTED_VALUE"""),"0704 542 468")</f>
        <v>0704 542 468</v>
      </c>
      <c r="B3774" s="119" t="str">
        <f>IFERROR(__xludf.DUMMYFUNCTION("""COMPUTED_VALUE"""),"Anh Nghĩa")</f>
        <v>Anh Nghĩa</v>
      </c>
      <c r="C3774" s="119" t="str">
        <f>IFERROR(__xludf.DUMMYFUNCTION("""COMPUTED_VALUE"""),"G4 Hoàng Đình Ái")</f>
        <v>G4 Hoàng Đình Ái</v>
      </c>
      <c r="D3774" s="119" t="str">
        <f>IFERROR(__xludf.DUMMYFUNCTION("""COMPUTED_VALUE"""),"Chó")</f>
        <v>Chó</v>
      </c>
      <c r="E3774" s="119"/>
    </row>
    <row r="3775" ht="15.75" customHeight="1">
      <c r="A3775" s="122" t="str">
        <f>IFERROR(__xludf.DUMMYFUNCTION("""COMPUTED_VALUE"""),"0935 818 800")</f>
        <v>0935 818 800</v>
      </c>
      <c r="B3775" s="119" t="str">
        <f>IFERROR(__xludf.DUMMYFUNCTION("""COMPUTED_VALUE"""),"Anh Trưng")</f>
        <v>Anh Trưng</v>
      </c>
      <c r="C3775" s="119" t="str">
        <f>IFERROR(__xludf.DUMMYFUNCTION("""COMPUTED_VALUE"""),"Phường Mỹ Thượng")</f>
        <v>Phường Mỹ Thượng</v>
      </c>
      <c r="D3775" s="119" t="str">
        <f>IFERROR(__xludf.DUMMYFUNCTION("""COMPUTED_VALUE"""),"Mèo")</f>
        <v>Mèo</v>
      </c>
      <c r="E3775" s="119" t="str">
        <f>IFERROR(__xludf.DUMMYFUNCTION("""COMPUTED_VALUE"""),"Heo")</f>
        <v>Heo</v>
      </c>
    </row>
    <row r="3776" ht="15.75" customHeight="1">
      <c r="A3776" s="122" t="str">
        <f>IFERROR(__xludf.DUMMYFUNCTION("""COMPUTED_VALUE"""),"0935 299 460")</f>
        <v>0935 299 460</v>
      </c>
      <c r="B3776" s="119" t="str">
        <f>IFERROR(__xludf.DUMMYFUNCTION("""COMPUTED_VALUE"""),"Hồng Ngọc Quân")</f>
        <v>Hồng Ngọc Quân</v>
      </c>
      <c r="C3776" s="119" t="str">
        <f>IFERROR(__xludf.DUMMYFUNCTION("""COMPUTED_VALUE"""),"Đông Hà")</f>
        <v>Đông Hà</v>
      </c>
      <c r="D3776" s="119" t="str">
        <f>IFERROR(__xludf.DUMMYFUNCTION("""COMPUTED_VALUE"""),"Chó")</f>
        <v>Chó</v>
      </c>
      <c r="E3776" s="119" t="str">
        <f>IFERROR(__xludf.DUMMYFUNCTION("""COMPUTED_VALUE"""),"Xù")</f>
        <v>Xù</v>
      </c>
    </row>
    <row r="3777" ht="15.75" customHeight="1">
      <c r="A3777" s="122" t="str">
        <f>IFERROR(__xludf.DUMMYFUNCTION("""COMPUTED_VALUE"""),"0387 781 009")</f>
        <v>0387 781 009</v>
      </c>
      <c r="B3777" s="119" t="str">
        <f>IFERROR(__xludf.DUMMYFUNCTION("""COMPUTED_VALUE"""),"Nguyên Sương")</f>
        <v>Nguyên Sương</v>
      </c>
      <c r="C3777" s="119" t="str">
        <f>IFERROR(__xludf.DUMMYFUNCTION("""COMPUTED_VALUE"""),"62 Lê Duẩn")</f>
        <v>62 Lê Duẩn</v>
      </c>
      <c r="D3777" s="119" t="str">
        <f>IFERROR(__xludf.DUMMYFUNCTION("""COMPUTED_VALUE"""),"Mèo")</f>
        <v>Mèo</v>
      </c>
      <c r="E3777" s="119" t="str">
        <f>IFERROR(__xludf.DUMMYFUNCTION("""COMPUTED_VALUE"""),"Silk")</f>
        <v>Silk</v>
      </c>
    </row>
    <row r="3778" ht="15.75" customHeight="1">
      <c r="A3778" s="122" t="str">
        <f>IFERROR(__xludf.DUMMYFUNCTION("""COMPUTED_VALUE"""),"0364 970 903")</f>
        <v>0364 970 903</v>
      </c>
      <c r="B3778" s="119" t="str">
        <f>IFERROR(__xludf.DUMMYFUNCTION("""COMPUTED_VALUE"""),"Dì Hoa")</f>
        <v>Dì Hoa</v>
      </c>
      <c r="C3778" s="119" t="str">
        <f>IFERROR(__xludf.DUMMYFUNCTION("""COMPUTED_VALUE"""),"202 Lý Nam Đế")</f>
        <v>202 Lý Nam Đế</v>
      </c>
      <c r="D3778" s="119" t="str">
        <f>IFERROR(__xludf.DUMMYFUNCTION("""COMPUTED_VALUE"""),"chó")</f>
        <v>chó</v>
      </c>
      <c r="E3778" s="119"/>
    </row>
    <row r="3779" ht="15.75" customHeight="1">
      <c r="A3779" s="122" t="str">
        <f>IFERROR(__xludf.DUMMYFUNCTION("""COMPUTED_VALUE"""),"0905 148 632")</f>
        <v>0905 148 632</v>
      </c>
      <c r="B3779" s="119" t="str">
        <f>IFERROR(__xludf.DUMMYFUNCTION("""COMPUTED_VALUE"""),"Chú Thắng")</f>
        <v>Chú Thắng</v>
      </c>
      <c r="C3779" s="119" t="str">
        <f>IFERROR(__xludf.DUMMYFUNCTION("""COMPUTED_VALUE"""),"83 phạm Thị Liên")</f>
        <v>83 phạm Thị Liên</v>
      </c>
      <c r="D3779" s="119" t="str">
        <f>IFERROR(__xludf.DUMMYFUNCTION("""COMPUTED_VALUE"""),"mèo")</f>
        <v>mèo</v>
      </c>
      <c r="E3779" s="119" t="str">
        <f>IFERROR(__xludf.DUMMYFUNCTION("""COMPUTED_VALUE"""),"3 màu")</f>
        <v>3 màu</v>
      </c>
    </row>
    <row r="3780" ht="15.75" customHeight="1">
      <c r="A3780" s="122" t="str">
        <f>IFERROR(__xludf.DUMMYFUNCTION("""COMPUTED_VALUE"""),"0931 211 680")</f>
        <v>0931 211 680</v>
      </c>
      <c r="B3780" s="119" t="str">
        <f>IFERROR(__xludf.DUMMYFUNCTION("""COMPUTED_VALUE"""),"Anh Quyền")</f>
        <v>Anh Quyền</v>
      </c>
      <c r="C3780" s="119" t="str">
        <f>IFERROR(__xludf.DUMMYFUNCTION("""COMPUTED_VALUE"""),"13/120 Điện Biên Phủ")</f>
        <v>13/120 Điện Biên Phủ</v>
      </c>
      <c r="D3780" s="119" t="str">
        <f>IFERROR(__xludf.DUMMYFUNCTION("""COMPUTED_VALUE"""),"chó")</f>
        <v>chó</v>
      </c>
      <c r="E3780" s="119"/>
    </row>
    <row r="3781" ht="15.75" customHeight="1">
      <c r="A3781" s="122" t="str">
        <f>IFERROR(__xludf.DUMMYFUNCTION("""COMPUTED_VALUE"""),"0833 348 183")</f>
        <v>0833 348 183</v>
      </c>
      <c r="B3781" s="119" t="str">
        <f>IFERROR(__xludf.DUMMYFUNCTION("""COMPUTED_VALUE"""),"Chị Vân")</f>
        <v>Chị Vân</v>
      </c>
      <c r="C3781" s="119" t="str">
        <f>IFERROR(__xludf.DUMMYFUNCTION("""COMPUTED_VALUE"""),"33 Lê Quang Quyền")</f>
        <v>33 Lê Quang Quyền</v>
      </c>
      <c r="D3781" s="119" t="str">
        <f>IFERROR(__xludf.DUMMYFUNCTION("""COMPUTED_VALUE"""),"chó")</f>
        <v>chó</v>
      </c>
      <c r="E3781" s="119" t="str">
        <f>IFERROR(__xludf.DUMMYFUNCTION("""COMPUTED_VALUE"""),"Vàng")</f>
        <v>Vàng</v>
      </c>
    </row>
    <row r="3782" ht="15.75" customHeight="1">
      <c r="A3782" s="122" t="str">
        <f>IFERROR(__xludf.DUMMYFUNCTION("""COMPUTED_VALUE"""),"0399 444 178")</f>
        <v>0399 444 178</v>
      </c>
      <c r="B3782" s="119" t="str">
        <f>IFERROR(__xludf.DUMMYFUNCTION("""COMPUTED_VALUE"""),"Anh Phương")</f>
        <v>Anh Phương</v>
      </c>
      <c r="C3782" s="119" t="str">
        <f>IFERROR(__xludf.DUMMYFUNCTION("""COMPUTED_VALUE"""),"33 Nguyễn Hoàng")</f>
        <v>33 Nguyễn Hoàng</v>
      </c>
      <c r="D3782" s="119" t="str">
        <f>IFERROR(__xludf.DUMMYFUNCTION("""COMPUTED_VALUE"""),"Chó")</f>
        <v>Chó</v>
      </c>
      <c r="E3782" s="119" t="str">
        <f>IFERROR(__xludf.DUMMYFUNCTION("""COMPUTED_VALUE"""),"Tiêu")</f>
        <v>Tiêu</v>
      </c>
    </row>
    <row r="3783" ht="15.75" customHeight="1">
      <c r="A3783" s="122" t="str">
        <f>IFERROR(__xludf.DUMMYFUNCTION("""COMPUTED_VALUE"""),"0903 536 669")</f>
        <v>0903 536 669</v>
      </c>
      <c r="B3783" s="119" t="str">
        <f>IFERROR(__xludf.DUMMYFUNCTION("""COMPUTED_VALUE"""),"Trần Hoài Anh")</f>
        <v>Trần Hoài Anh</v>
      </c>
      <c r="C3783" s="119" t="str">
        <f>IFERROR(__xludf.DUMMYFUNCTION("""COMPUTED_VALUE"""),"chung cư Xuân Phú")</f>
        <v>chung cư Xuân Phú</v>
      </c>
      <c r="D3783" s="119" t="str">
        <f>IFERROR(__xludf.DUMMYFUNCTION("""COMPUTED_VALUE"""),"chó")</f>
        <v>chó</v>
      </c>
      <c r="E3783" s="119" t="str">
        <f>IFERROR(__xludf.DUMMYFUNCTION("""COMPUTED_VALUE"""),"Kem")</f>
        <v>Kem</v>
      </c>
    </row>
    <row r="3784" ht="15.75" customHeight="1">
      <c r="A3784" s="122" t="str">
        <f>IFERROR(__xludf.DUMMYFUNCTION("""COMPUTED_VALUE"""),"0905 879 267")</f>
        <v>0905 879 267</v>
      </c>
      <c r="B3784" s="119" t="str">
        <f>IFERROR(__xludf.DUMMYFUNCTION("""COMPUTED_VALUE"""),"Hồ Văn Hiển")</f>
        <v>Hồ Văn Hiển</v>
      </c>
      <c r="C3784" s="119" t="str">
        <f>IFERROR(__xludf.DUMMYFUNCTION("""COMPUTED_VALUE"""),"18/202 Lý Nam Đế")</f>
        <v>18/202 Lý Nam Đế</v>
      </c>
      <c r="D3784" s="119" t="str">
        <f>IFERROR(__xludf.DUMMYFUNCTION("""COMPUTED_VALUE"""),"chó")</f>
        <v>chó</v>
      </c>
      <c r="E3784" s="119" t="str">
        <f>IFERROR(__xludf.DUMMYFUNCTION("""COMPUTED_VALUE"""),"Rosi")</f>
        <v>Rosi</v>
      </c>
    </row>
    <row r="3785" ht="15.75" customHeight="1">
      <c r="A3785" s="122" t="str">
        <f>IFERROR(__xludf.DUMMYFUNCTION("""COMPUTED_VALUE"""),"0962 041 133")</f>
        <v>0962 041 133</v>
      </c>
      <c r="B3785" s="119" t="str">
        <f>IFERROR(__xludf.DUMMYFUNCTION("""COMPUTED_VALUE"""),"Chị Thu Hương")</f>
        <v>Chị Thu Hương</v>
      </c>
      <c r="C3785" s="119" t="str">
        <f>IFERROR(__xludf.DUMMYFUNCTION("""COMPUTED_VALUE"""),"Quảng Điền")</f>
        <v>Quảng Điền</v>
      </c>
      <c r="D3785" s="119" t="str">
        <f>IFERROR(__xludf.DUMMYFUNCTION("""COMPUTED_VALUE"""),"chó")</f>
        <v>chó</v>
      </c>
      <c r="E3785" s="119" t="str">
        <f>IFERROR(__xludf.DUMMYFUNCTION("""COMPUTED_VALUE"""),"Lucky")</f>
        <v>Lucky</v>
      </c>
    </row>
    <row r="3786" ht="15.75" customHeight="1">
      <c r="A3786" s="122" t="str">
        <f>IFERROR(__xludf.DUMMYFUNCTION("""COMPUTED_VALUE"""),"0365 602 679")</f>
        <v>0365 602 679</v>
      </c>
      <c r="B3786" s="119" t="str">
        <f>IFERROR(__xludf.DUMMYFUNCTION("""COMPUTED_VALUE"""),"DÌ Hường")</f>
        <v>DÌ Hường</v>
      </c>
      <c r="C3786" s="119" t="str">
        <f>IFERROR(__xludf.DUMMYFUNCTION("""COMPUTED_VALUE"""),"k22/4/12 Phú Mộng")</f>
        <v>k22/4/12 Phú Mộng</v>
      </c>
      <c r="D3786" s="119" t="str">
        <f>IFERROR(__xludf.DUMMYFUNCTION("""COMPUTED_VALUE"""),"Mèo")</f>
        <v>Mèo</v>
      </c>
      <c r="E3786" s="119" t="str">
        <f>IFERROR(__xludf.DUMMYFUNCTION("""COMPUTED_VALUE"""),"Kitti")</f>
        <v>Kitti</v>
      </c>
    </row>
    <row r="3787" ht="15.75" customHeight="1">
      <c r="A3787" s="122" t="str">
        <f>IFERROR(__xludf.DUMMYFUNCTION("""COMPUTED_VALUE"""),"0705 648 748")</f>
        <v>0705 648 748</v>
      </c>
      <c r="B3787" s="119" t="str">
        <f>IFERROR(__xludf.DUMMYFUNCTION("""COMPUTED_VALUE"""),"Anh Thiệu")</f>
        <v>Anh Thiệu</v>
      </c>
      <c r="C3787" s="119" t="str">
        <f>IFERROR(__xludf.DUMMYFUNCTION("""COMPUTED_VALUE"""),"k42 Phạm Thị Liên")</f>
        <v>k42 Phạm Thị Liên</v>
      </c>
      <c r="D3787" s="119" t="str">
        <f>IFERROR(__xludf.DUMMYFUNCTION("""COMPUTED_VALUE"""),"Chó")</f>
        <v>Chó</v>
      </c>
      <c r="E3787" s="119" t="str">
        <f>IFERROR(__xludf.DUMMYFUNCTION("""COMPUTED_VALUE"""),"Bông")</f>
        <v>Bông</v>
      </c>
    </row>
    <row r="3788" ht="15.75" customHeight="1">
      <c r="A3788" s="122" t="str">
        <f>IFERROR(__xludf.DUMMYFUNCTION("""COMPUTED_VALUE"""),"0785 504 402")</f>
        <v>0785 504 402</v>
      </c>
      <c r="B3788" s="119" t="str">
        <f>IFERROR(__xludf.DUMMYFUNCTION("""COMPUTED_VALUE"""),"Thầy Bảo")</f>
        <v>Thầy Bảo</v>
      </c>
      <c r="C3788" s="119" t="str">
        <f>IFERROR(__xludf.DUMMYFUNCTION("""COMPUTED_VALUE"""),"chùa Phươc Duyên")</f>
        <v>chùa Phươc Duyên</v>
      </c>
      <c r="D3788" s="119" t="str">
        <f>IFERROR(__xludf.DUMMYFUNCTION("""COMPUTED_VALUE"""),"mèo")</f>
        <v>mèo</v>
      </c>
      <c r="E3788" s="119" t="str">
        <f>IFERROR(__xludf.DUMMYFUNCTION("""COMPUTED_VALUE"""),"Bông")</f>
        <v>Bông</v>
      </c>
    </row>
    <row r="3789" ht="15.75" customHeight="1">
      <c r="A3789" s="122" t="str">
        <f>IFERROR(__xludf.DUMMYFUNCTION("""COMPUTED_VALUE"""),"0931 199 191")</f>
        <v>0931 199 191</v>
      </c>
      <c r="B3789" s="119" t="str">
        <f>IFERROR(__xludf.DUMMYFUNCTION("""COMPUTED_VALUE"""),"Chị Trâm  ")</f>
        <v>Chị Trâm  </v>
      </c>
      <c r="C3789" s="119" t="str">
        <f>IFERROR(__xludf.DUMMYFUNCTION("""COMPUTED_VALUE"""),"226 Nguyễn Trãi")</f>
        <v>226 Nguyễn Trãi</v>
      </c>
      <c r="D3789" s="119" t="str">
        <f>IFERROR(__xludf.DUMMYFUNCTION("""COMPUTED_VALUE"""),"chó")</f>
        <v>chó</v>
      </c>
      <c r="E3789" s="119" t="str">
        <f>IFERROR(__xludf.DUMMYFUNCTION("""COMPUTED_VALUE"""),"Gạo")</f>
        <v>Gạo</v>
      </c>
    </row>
    <row r="3790" ht="15.75" customHeight="1">
      <c r="A3790" s="122" t="str">
        <f>IFERROR(__xludf.DUMMYFUNCTION("""COMPUTED_VALUE"""),"0978 988 007")</f>
        <v>0978 988 007</v>
      </c>
      <c r="B3790" s="119" t="str">
        <f>IFERROR(__xludf.DUMMYFUNCTION("""COMPUTED_VALUE"""),"Chị Linh")</f>
        <v>Chị Linh</v>
      </c>
      <c r="C3790" s="119" t="str">
        <f>IFERROR(__xludf.DUMMYFUNCTION("""COMPUTED_VALUE"""),"Nguyễn Trường Tộ")</f>
        <v>Nguyễn Trường Tộ</v>
      </c>
      <c r="D3790" s="119" t="str">
        <f>IFERROR(__xludf.DUMMYFUNCTION("""COMPUTED_VALUE"""),"chó")</f>
        <v>chó</v>
      </c>
      <c r="E3790" s="119" t="str">
        <f>IFERROR(__xludf.DUMMYFUNCTION("""COMPUTED_VALUE"""),"Bông")</f>
        <v>Bông</v>
      </c>
    </row>
    <row r="3791" ht="15.75" customHeight="1">
      <c r="A3791" s="122" t="str">
        <f>IFERROR(__xludf.DUMMYFUNCTION("""COMPUTED_VALUE"""),"0949 902 357")</f>
        <v>0949 902 357</v>
      </c>
      <c r="B3791" s="119" t="str">
        <f>IFERROR(__xludf.DUMMYFUNCTION("""COMPUTED_VALUE"""),"Chị Uyên")</f>
        <v>Chị Uyên</v>
      </c>
      <c r="C3791" s="119" t="str">
        <f>IFERROR(__xludf.DUMMYFUNCTION("""COMPUTED_VALUE"""),"199 Văn Thánh")</f>
        <v>199 Văn Thánh</v>
      </c>
      <c r="D3791" s="119" t="str">
        <f>IFERROR(__xludf.DUMMYFUNCTION("""COMPUTED_VALUE"""),"chó")</f>
        <v>chó</v>
      </c>
      <c r="E3791" s="119" t="str">
        <f>IFERROR(__xludf.DUMMYFUNCTION("""COMPUTED_VALUE"""),"Gấu")</f>
        <v>Gấu</v>
      </c>
    </row>
    <row r="3792" ht="15.75" customHeight="1">
      <c r="A3792" s="122" t="str">
        <f>IFERROR(__xludf.DUMMYFUNCTION("""COMPUTED_VALUE"""),"0988 849 508")</f>
        <v>0988 849 508</v>
      </c>
      <c r="B3792" s="119" t="str">
        <f>IFERROR(__xludf.DUMMYFUNCTION("""COMPUTED_VALUE"""),"Nguyễn Văn Vũ")</f>
        <v>Nguyễn Văn Vũ</v>
      </c>
      <c r="C3792" s="119" t="str">
        <f>IFERROR(__xludf.DUMMYFUNCTION("""COMPUTED_VALUE"""),"thiên Thai- An tây")</f>
        <v>thiên Thai- An tây</v>
      </c>
      <c r="D3792" s="119" t="str">
        <f>IFERROR(__xludf.DUMMYFUNCTION("""COMPUTED_VALUE"""),"Chó")</f>
        <v>Chó</v>
      </c>
      <c r="E3792" s="119" t="str">
        <f>IFERROR(__xludf.DUMMYFUNCTION("""COMPUTED_VALUE"""),"Chít")</f>
        <v>Chít</v>
      </c>
    </row>
    <row r="3793" ht="15.75" customHeight="1">
      <c r="A3793" s="122" t="str">
        <f>IFERROR(__xludf.DUMMYFUNCTION("""COMPUTED_VALUE"""),"0905 822 923")</f>
        <v>0905 822 923</v>
      </c>
      <c r="B3793" s="119" t="str">
        <f>IFERROR(__xludf.DUMMYFUNCTION("""COMPUTED_VALUE"""),"Anh  Phú")</f>
        <v>Anh  Phú</v>
      </c>
      <c r="C3793" s="119" t="str">
        <f>IFERROR(__xludf.DUMMYFUNCTION("""COMPUTED_VALUE"""),"81 Nguyễn Huệ")</f>
        <v>81 Nguyễn Huệ</v>
      </c>
      <c r="D3793" s="119" t="str">
        <f>IFERROR(__xludf.DUMMYFUNCTION("""COMPUTED_VALUE"""),"chó")</f>
        <v>chó</v>
      </c>
      <c r="E3793" s="119" t="str">
        <f>IFERROR(__xludf.DUMMYFUNCTION("""COMPUTED_VALUE""")," lu")</f>
        <v> lu</v>
      </c>
    </row>
    <row r="3794" ht="15.75" customHeight="1">
      <c r="A3794" s="122" t="str">
        <f>IFERROR(__xludf.DUMMYFUNCTION("""COMPUTED_VALUE"""),"0793 574 994")</f>
        <v>0793 574 994</v>
      </c>
      <c r="B3794" s="119" t="str">
        <f>IFERROR(__xludf.DUMMYFUNCTION("""COMPUTED_VALUE"""),"Anh Hiếu")</f>
        <v>Anh Hiếu</v>
      </c>
      <c r="C3794" s="119" t="str">
        <f>IFERROR(__xludf.DUMMYFUNCTION("""COMPUTED_VALUE"""),"Tùng Thiện Vương")</f>
        <v>Tùng Thiện Vương</v>
      </c>
      <c r="D3794" s="119" t="str">
        <f>IFERROR(__xludf.DUMMYFUNCTION("""COMPUTED_VALUE"""),"mèo")</f>
        <v>mèo</v>
      </c>
      <c r="E3794" s="119" t="str">
        <f>IFERROR(__xludf.DUMMYFUNCTION("""COMPUTED_VALUE""")," Súp")</f>
        <v> Súp</v>
      </c>
    </row>
    <row r="3795" ht="15.75" customHeight="1">
      <c r="A3795" s="122" t="str">
        <f>IFERROR(__xludf.DUMMYFUNCTION("""COMPUTED_VALUE"""),"0899 917 895")</f>
        <v>0899 917 895</v>
      </c>
      <c r="B3795" s="119" t="str">
        <f>IFERROR(__xludf.DUMMYFUNCTION("""COMPUTED_VALUE"""),"Anh Huy")</f>
        <v>Anh Huy</v>
      </c>
      <c r="C3795" s="119" t="str">
        <f>IFERROR(__xludf.DUMMYFUNCTION("""COMPUTED_VALUE"""),"374 Bùi Thị Xuân")</f>
        <v>374 Bùi Thị Xuân</v>
      </c>
      <c r="D3795" s="119" t="str">
        <f>IFERROR(__xludf.DUMMYFUNCTION("""COMPUTED_VALUE"""),"Chó")</f>
        <v>Chó</v>
      </c>
      <c r="E3795" s="119" t="str">
        <f>IFERROR(__xludf.DUMMYFUNCTION("""COMPUTED_VALUE"""),"Bun")</f>
        <v>Bun</v>
      </c>
    </row>
    <row r="3796" ht="15.75" customHeight="1">
      <c r="A3796" s="122" t="str">
        <f>IFERROR(__xludf.DUMMYFUNCTION("""COMPUTED_VALUE"""),"0855 100 503")</f>
        <v>0855 100 503</v>
      </c>
      <c r="B3796" s="119" t="str">
        <f>IFERROR(__xludf.DUMMYFUNCTION("""COMPUTED_VALUE"""),"Em Châu - Dì Nga")</f>
        <v>Em Châu - Dì Nga</v>
      </c>
      <c r="C3796" s="119" t="str">
        <f>IFERROR(__xludf.DUMMYFUNCTION("""COMPUTED_VALUE"""),"Phú Hậu tp Huế")</f>
        <v>Phú Hậu tp Huế</v>
      </c>
      <c r="D3796" s="119" t="str">
        <f>IFERROR(__xludf.DUMMYFUNCTION("""COMPUTED_VALUE"""),"Chó")</f>
        <v>Chó</v>
      </c>
      <c r="E3796" s="119" t="str">
        <f>IFERROR(__xludf.DUMMYFUNCTION("""COMPUTED_VALUE"""),"Mập")</f>
        <v>Mập</v>
      </c>
    </row>
    <row r="3797" ht="15.75" customHeight="1">
      <c r="A3797" s="122" t="str">
        <f>IFERROR(__xludf.DUMMYFUNCTION("""COMPUTED_VALUE"""),"0905 959 862")</f>
        <v>0905 959 862</v>
      </c>
      <c r="B3797" s="119" t="str">
        <f>IFERROR(__xludf.DUMMYFUNCTION("""COMPUTED_VALUE"""),"Hồ Văn Hùng")</f>
        <v>Hồ Văn Hùng</v>
      </c>
      <c r="C3797" s="119" t="str">
        <f>IFERROR(__xludf.DUMMYFUNCTION("""COMPUTED_VALUE"""),"73/4 Điện Biên Phủ")</f>
        <v>73/4 Điện Biên Phủ</v>
      </c>
      <c r="D3797" s="119" t="str">
        <f>IFERROR(__xludf.DUMMYFUNCTION("""COMPUTED_VALUE"""),"Chó")</f>
        <v>Chó</v>
      </c>
      <c r="E3797" s="119" t="str">
        <f>IFERROR(__xludf.DUMMYFUNCTION("""COMPUTED_VALUE"""),"Bống")</f>
        <v>Bống</v>
      </c>
    </row>
    <row r="3798" ht="15.75" customHeight="1">
      <c r="A3798" s="122" t="str">
        <f>IFERROR(__xludf.DUMMYFUNCTION("""COMPUTED_VALUE"""),"0935 535 413")</f>
        <v>0935 535 413</v>
      </c>
      <c r="B3798" s="119" t="str">
        <f>IFERROR(__xludf.DUMMYFUNCTION("""COMPUTED_VALUE"""),"Chị Giao")</f>
        <v>Chị Giao</v>
      </c>
      <c r="C3798" s="119" t="str">
        <f>IFERROR(__xludf.DUMMYFUNCTION("""COMPUTED_VALUE"""),"Đào Tấn")</f>
        <v>Đào Tấn</v>
      </c>
      <c r="D3798" s="119" t="str">
        <f>IFERROR(__xludf.DUMMYFUNCTION("""COMPUTED_VALUE"""),"Chó")</f>
        <v>Chó</v>
      </c>
      <c r="E3798" s="119" t="str">
        <f>IFERROR(__xludf.DUMMYFUNCTION("""COMPUTED_VALUE"""),"lucky")</f>
        <v>lucky</v>
      </c>
    </row>
    <row r="3799" ht="15.75" customHeight="1">
      <c r="A3799" s="122" t="str">
        <f>IFERROR(__xludf.DUMMYFUNCTION("""COMPUTED_VALUE"""),"0903 535 212")</f>
        <v>0903 535 212</v>
      </c>
      <c r="B3799" s="119" t="str">
        <f>IFERROR(__xludf.DUMMYFUNCTION("""COMPUTED_VALUE"""),"Dì Cườm")</f>
        <v>Dì Cườm</v>
      </c>
      <c r="C3799" s="119" t="str">
        <f>IFERROR(__xludf.DUMMYFUNCTION("""COMPUTED_VALUE"""),"65 Phạm Thị Liên")</f>
        <v>65 Phạm Thị Liên</v>
      </c>
      <c r="D3799" s="119" t="str">
        <f>IFERROR(__xludf.DUMMYFUNCTION("""COMPUTED_VALUE"""),"chó")</f>
        <v>chó</v>
      </c>
      <c r="E3799" s="119" t="str">
        <f>IFERROR(__xludf.DUMMYFUNCTION("""COMPUTED_VALUE"""),"Momo")</f>
        <v>Momo</v>
      </c>
    </row>
    <row r="3800" ht="15.75" customHeight="1">
      <c r="A3800" s="122" t="str">
        <f>IFERROR(__xludf.DUMMYFUNCTION("""COMPUTED_VALUE"""),"0984 254 434")</f>
        <v>0984 254 434</v>
      </c>
      <c r="B3800" s="119" t="str">
        <f>IFERROR(__xludf.DUMMYFUNCTION("""COMPUTED_VALUE"""),"Chị huệ")</f>
        <v>Chị huệ</v>
      </c>
      <c r="C3800" s="119" t="str">
        <f>IFERROR(__xludf.DUMMYFUNCTION("""COMPUTED_VALUE"""),"Phú Lộc")</f>
        <v>Phú Lộc</v>
      </c>
      <c r="D3800" s="119" t="str">
        <f>IFERROR(__xludf.DUMMYFUNCTION("""COMPUTED_VALUE"""),"chó")</f>
        <v>chó</v>
      </c>
      <c r="E3800" s="119" t="str">
        <f>IFERROR(__xludf.DUMMYFUNCTION("""COMPUTED_VALUE"""),"Heo")</f>
        <v>Heo</v>
      </c>
    </row>
    <row r="3801" ht="15.75" customHeight="1">
      <c r="A3801" s="122" t="str">
        <f>IFERROR(__xludf.DUMMYFUNCTION("""COMPUTED_VALUE"""),"0906 451 867")</f>
        <v>0906 451 867</v>
      </c>
      <c r="B3801" s="119" t="str">
        <f>IFERROR(__xludf.DUMMYFUNCTION("""COMPUTED_VALUE"""),"Phạm Trọng An")</f>
        <v>Phạm Trọng An</v>
      </c>
      <c r="C3801" s="119" t="str">
        <f>IFERROR(__xludf.DUMMYFUNCTION("""COMPUTED_VALUE"""),"169 Xuân 68")</f>
        <v>169 Xuân 68</v>
      </c>
      <c r="D3801" s="119" t="str">
        <f>IFERROR(__xludf.DUMMYFUNCTION("""COMPUTED_VALUE"""),"mèo")</f>
        <v>mèo</v>
      </c>
      <c r="E3801" s="119" t="str">
        <f>IFERROR(__xludf.DUMMYFUNCTION("""COMPUTED_VALUE"""),"Mực")</f>
        <v>Mực</v>
      </c>
    </row>
    <row r="3802" ht="15.75" customHeight="1">
      <c r="A3802" s="122" t="str">
        <f>IFERROR(__xludf.DUMMYFUNCTION("""COMPUTED_VALUE"""),"0905 171 135")</f>
        <v>0905 171 135</v>
      </c>
      <c r="B3802" s="119" t="str">
        <f>IFERROR(__xludf.DUMMYFUNCTION("""COMPUTED_VALUE"""),"Anh Dũng")</f>
        <v>Anh Dũng</v>
      </c>
      <c r="C3802" s="119" t="str">
        <f>IFERROR(__xludf.DUMMYFUNCTION("""COMPUTED_VALUE"""),"47/26 Lương Văn Can")</f>
        <v>47/26 Lương Văn Can</v>
      </c>
      <c r="D3802" s="119" t="str">
        <f>IFERROR(__xludf.DUMMYFUNCTION("""COMPUTED_VALUE"""),"Chó")</f>
        <v>Chó</v>
      </c>
      <c r="E3802" s="119" t="str">
        <f>IFERROR(__xludf.DUMMYFUNCTION("""COMPUTED_VALUE"""),"Cưng")</f>
        <v>Cưng</v>
      </c>
    </row>
    <row r="3803" ht="15.75" customHeight="1">
      <c r="A3803" s="122" t="str">
        <f>IFERROR(__xludf.DUMMYFUNCTION("""COMPUTED_VALUE"""),"0914 145 552")</f>
        <v>0914 145 552</v>
      </c>
      <c r="B3803" s="119" t="str">
        <f>IFERROR(__xludf.DUMMYFUNCTION("""COMPUTED_VALUE"""),"Phạm Thị Kiều")</f>
        <v>Phạm Thị Kiều</v>
      </c>
      <c r="C3803" s="119" t="str">
        <f>IFERROR(__xludf.DUMMYFUNCTION("""COMPUTED_VALUE"""),"166 Điện Biên Phủ")</f>
        <v>166 Điện Biên Phủ</v>
      </c>
      <c r="D3803" s="119" t="str">
        <f>IFERROR(__xludf.DUMMYFUNCTION("""COMPUTED_VALUE"""),"Chó")</f>
        <v>Chó</v>
      </c>
      <c r="E3803" s="119" t="str">
        <f>IFERROR(__xludf.DUMMYFUNCTION("""COMPUTED_VALUE"""),"Nâu")</f>
        <v>Nâu</v>
      </c>
    </row>
    <row r="3804" ht="15.75" customHeight="1">
      <c r="A3804" s="122" t="str">
        <f>IFERROR(__xludf.DUMMYFUNCTION("""COMPUTED_VALUE"""),"0946 572 256")</f>
        <v>0946 572 256</v>
      </c>
      <c r="B3804" s="119" t="str">
        <f>IFERROR(__xludf.DUMMYFUNCTION("""COMPUTED_VALUE"""),"Trang")</f>
        <v>Trang</v>
      </c>
      <c r="C3804" s="119" t="str">
        <f>IFERROR(__xludf.DUMMYFUNCTION("""COMPUTED_VALUE"""),"18/15 Ngự Bình")</f>
        <v>18/15 Ngự Bình</v>
      </c>
      <c r="D3804" s="119" t="str">
        <f>IFERROR(__xludf.DUMMYFUNCTION("""COMPUTED_VALUE"""),"chó")</f>
        <v>chó</v>
      </c>
      <c r="E3804" s="119" t="str">
        <f>IFERROR(__xludf.DUMMYFUNCTION("""COMPUTED_VALUE"""),"Lít")</f>
        <v>Lít</v>
      </c>
    </row>
    <row r="3805" ht="15.75" customHeight="1">
      <c r="A3805" s="122" t="str">
        <f>IFERROR(__xludf.DUMMYFUNCTION("""COMPUTED_VALUE"""),"0395 615 656")</f>
        <v>0395 615 656</v>
      </c>
      <c r="B3805" s="119" t="str">
        <f>IFERROR(__xludf.DUMMYFUNCTION("""COMPUTED_VALUE"""),"Chị Hiền")</f>
        <v>Chị Hiền</v>
      </c>
      <c r="C3805" s="119" t="str">
        <f>IFERROR(__xludf.DUMMYFUNCTION("""COMPUTED_VALUE"""),"Thuận An")</f>
        <v>Thuận An</v>
      </c>
      <c r="D3805" s="119" t="str">
        <f>IFERROR(__xludf.DUMMYFUNCTION("""COMPUTED_VALUE"""),"Chó")</f>
        <v>Chó</v>
      </c>
      <c r="E3805" s="119" t="str">
        <f>IFERROR(__xludf.DUMMYFUNCTION("""COMPUTED_VALUE"""),"Cun")</f>
        <v>Cun</v>
      </c>
    </row>
    <row r="3806" ht="15.75" customHeight="1">
      <c r="A3806" s="122" t="str">
        <f>IFERROR(__xludf.DUMMYFUNCTION("""COMPUTED_VALUE"""),"0914 702 813")</f>
        <v>0914 702 813</v>
      </c>
      <c r="B3806" s="119" t="str">
        <f>IFERROR(__xludf.DUMMYFUNCTION("""COMPUTED_VALUE"""),"Chị Vân Anh")</f>
        <v>Chị Vân Anh</v>
      </c>
      <c r="C3806" s="119" t="str">
        <f>IFERROR(__xludf.DUMMYFUNCTION("""COMPUTED_VALUE"""),"Kiệt 18 Hoàng Diệu")</f>
        <v>Kiệt 18 Hoàng Diệu</v>
      </c>
      <c r="D3806" s="119" t="str">
        <f>IFERROR(__xludf.DUMMYFUNCTION("""COMPUTED_VALUE"""),"Mèo")</f>
        <v>Mèo</v>
      </c>
      <c r="E3806" s="119" t="str">
        <f>IFERROR(__xludf.DUMMYFUNCTION("""COMPUTED_VALUE"""),"Bóp")</f>
        <v>Bóp</v>
      </c>
    </row>
    <row r="3807" ht="15.75" customHeight="1">
      <c r="A3807" s="122" t="str">
        <f>IFERROR(__xludf.DUMMYFUNCTION("""COMPUTED_VALUE"""),"0944 534 387")</f>
        <v>0944 534 387</v>
      </c>
      <c r="B3807" s="119" t="str">
        <f>IFERROR(__xludf.DUMMYFUNCTION("""COMPUTED_VALUE"""),"Chị Ngọc ")</f>
        <v>Chị Ngọc </v>
      </c>
      <c r="C3807" s="119" t="str">
        <f>IFERROR(__xludf.DUMMYFUNCTION("""COMPUTED_VALUE"""),"201 Phan Bội Châu")</f>
        <v>201 Phan Bội Châu</v>
      </c>
      <c r="D3807" s="119" t="str">
        <f>IFERROR(__xludf.DUMMYFUNCTION("""COMPUTED_VALUE"""),"Mèo")</f>
        <v>Mèo</v>
      </c>
      <c r="E3807" s="119" t="str">
        <f>IFERROR(__xludf.DUMMYFUNCTION("""COMPUTED_VALUE"""),"Kem")</f>
        <v>Kem</v>
      </c>
    </row>
    <row r="3808" ht="15.75" customHeight="1">
      <c r="A3808" s="122" t="str">
        <f>IFERROR(__xludf.DUMMYFUNCTION("""COMPUTED_VALUE"""),"0382 432 547")</f>
        <v>0382 432 547</v>
      </c>
      <c r="B3808" s="119" t="str">
        <f>IFERROR(__xludf.DUMMYFUNCTION("""COMPUTED_VALUE"""),"Nguyễn Thị Hồng Bảy")</f>
        <v>Nguyễn Thị Hồng Bảy</v>
      </c>
      <c r="C3808" s="119" t="str">
        <f>IFERROR(__xludf.DUMMYFUNCTION("""COMPUTED_VALUE"""),"202 Lý Nam Đế")</f>
        <v>202 Lý Nam Đế</v>
      </c>
      <c r="D3808" s="119" t="str">
        <f>IFERROR(__xludf.DUMMYFUNCTION("""COMPUTED_VALUE"""),"chó")</f>
        <v>chó</v>
      </c>
      <c r="E3808" s="119" t="str">
        <f>IFERROR(__xludf.DUMMYFUNCTION("""COMPUTED_VALUE"""),"gim")</f>
        <v>gim</v>
      </c>
    </row>
    <row r="3809" ht="15.75" customHeight="1">
      <c r="A3809" s="122" t="str">
        <f>IFERROR(__xludf.DUMMYFUNCTION("""COMPUTED_VALUE"""),"0369 435 986")</f>
        <v>0369 435 986</v>
      </c>
      <c r="B3809" s="119" t="str">
        <f>IFERROR(__xludf.DUMMYFUNCTION("""COMPUTED_VALUE"""),"Trần Ngọc Hiến")</f>
        <v>Trần Ngọc Hiến</v>
      </c>
      <c r="C3809" s="119" t="str">
        <f>IFERROR(__xludf.DUMMYFUNCTION("""COMPUTED_VALUE"""),"53 Đào Tấn")</f>
        <v>53 Đào Tấn</v>
      </c>
      <c r="D3809" s="119" t="str">
        <f>IFERROR(__xludf.DUMMYFUNCTION("""COMPUTED_VALUE"""),"Chó")</f>
        <v>Chó</v>
      </c>
      <c r="E3809" s="119" t="str">
        <f>IFERROR(__xludf.DUMMYFUNCTION("""COMPUTED_VALUE"""),"Ngáo")</f>
        <v>Ngáo</v>
      </c>
    </row>
    <row r="3810" ht="15.75" customHeight="1">
      <c r="A3810" s="122" t="str">
        <f>IFERROR(__xludf.DUMMYFUNCTION("""COMPUTED_VALUE"""),"0944 470 096")</f>
        <v>0944 470 096</v>
      </c>
      <c r="B3810" s="119" t="str">
        <f>IFERROR(__xludf.DUMMYFUNCTION("""COMPUTED_VALUE"""),"em Linh")</f>
        <v>em Linh</v>
      </c>
      <c r="C3810" s="119" t="str">
        <f>IFERROR(__xludf.DUMMYFUNCTION("""COMPUTED_VALUE"""),"6/14/29 Hàm Nghi")</f>
        <v>6/14/29 Hàm Nghi</v>
      </c>
      <c r="D3810" s="119" t="str">
        <f>IFERROR(__xludf.DUMMYFUNCTION("""COMPUTED_VALUE"""),"Mèo")</f>
        <v>Mèo</v>
      </c>
      <c r="E3810" s="119"/>
    </row>
    <row r="3811" ht="15.75" customHeight="1">
      <c r="A3811" s="122" t="str">
        <f>IFERROR(__xludf.DUMMYFUNCTION("""COMPUTED_VALUE"""),"0368 977 727")</f>
        <v>0368 977 727</v>
      </c>
      <c r="B3811" s="119" t="str">
        <f>IFERROR(__xludf.DUMMYFUNCTION("""COMPUTED_VALUE"""),"Anh An")</f>
        <v>Anh An</v>
      </c>
      <c r="C3811" s="119" t="str">
        <f>IFERROR(__xludf.DUMMYFUNCTION("""COMPUTED_VALUE"""),"Phú Lộc")</f>
        <v>Phú Lộc</v>
      </c>
      <c r="D3811" s="119" t="str">
        <f>IFERROR(__xludf.DUMMYFUNCTION("""COMPUTED_VALUE"""),"Chó")</f>
        <v>Chó</v>
      </c>
      <c r="E3811" s="119" t="str">
        <f>IFERROR(__xludf.DUMMYFUNCTION("""COMPUTED_VALUE"""),"gạo")</f>
        <v>gạo</v>
      </c>
    </row>
    <row r="3812" ht="15.75" customHeight="1">
      <c r="A3812" s="122" t="str">
        <f>IFERROR(__xludf.DUMMYFUNCTION("""COMPUTED_VALUE"""),"0395 137 272")</f>
        <v>0395 137 272</v>
      </c>
      <c r="B3812" s="119" t="str">
        <f>IFERROR(__xludf.DUMMYFUNCTION("""COMPUTED_VALUE"""),"Em Phượng")</f>
        <v>Em Phượng</v>
      </c>
      <c r="C3812" s="119"/>
      <c r="D3812" s="119" t="str">
        <f>IFERROR(__xludf.DUMMYFUNCTION("""COMPUTED_VALUE"""),"chó ")</f>
        <v>chó </v>
      </c>
      <c r="E3812" s="119" t="str">
        <f>IFERROR(__xludf.DUMMYFUNCTION("""COMPUTED_VALUE"""),"quậy")</f>
        <v>quậy</v>
      </c>
    </row>
    <row r="3813" ht="15.75" customHeight="1">
      <c r="A3813" s="122" t="str">
        <f>IFERROR(__xludf.DUMMYFUNCTION("""COMPUTED_VALUE"""),"0896 466 970")</f>
        <v>0896 466 970</v>
      </c>
      <c r="B3813" s="119" t="str">
        <f>IFERROR(__xludf.DUMMYFUNCTION("""COMPUTED_VALUE"""),"Em Quang Thứ")</f>
        <v>Em Quang Thứ</v>
      </c>
      <c r="C3813" s="119" t="str">
        <f>IFERROR(__xludf.DUMMYFUNCTION("""COMPUTED_VALUE"""),"kiệt 81 Hồ Đắc Di")</f>
        <v>kiệt 81 Hồ Đắc Di</v>
      </c>
      <c r="D3813" s="119" t="str">
        <f>IFERROR(__xludf.DUMMYFUNCTION("""COMPUTED_VALUE"""),"Mèo")</f>
        <v>Mèo</v>
      </c>
      <c r="E3813" s="119" t="str">
        <f>IFERROR(__xludf.DUMMYFUNCTION("""COMPUTED_VALUE"""),"Phở")</f>
        <v>Phở</v>
      </c>
    </row>
    <row r="3814" ht="15.75" customHeight="1">
      <c r="A3814" s="122" t="str">
        <f>IFERROR(__xludf.DUMMYFUNCTION("""COMPUTED_VALUE"""),"0384 711 030")</f>
        <v>0384 711 030</v>
      </c>
      <c r="B3814" s="119" t="str">
        <f>IFERROR(__xludf.DUMMYFUNCTION("""COMPUTED_VALUE"""),"Chị Thảo")</f>
        <v>Chị Thảo</v>
      </c>
      <c r="C3814" s="119" t="str">
        <f>IFERROR(__xludf.DUMMYFUNCTION("""COMPUTED_VALUE"""),"Yết kiêu")</f>
        <v>Yết kiêu</v>
      </c>
      <c r="D3814" s="119" t="str">
        <f>IFERROR(__xludf.DUMMYFUNCTION("""COMPUTED_VALUE"""),"Mèo")</f>
        <v>Mèo</v>
      </c>
      <c r="E3814" s="119" t="str">
        <f>IFERROR(__xludf.DUMMYFUNCTION("""COMPUTED_VALUE"""),"Midu")</f>
        <v>Midu</v>
      </c>
    </row>
    <row r="3815" ht="15.75" customHeight="1">
      <c r="A3815" s="122" t="str">
        <f>IFERROR(__xludf.DUMMYFUNCTION("""COMPUTED_VALUE"""),"0943 798 135")</f>
        <v>0943 798 135</v>
      </c>
      <c r="B3815" s="119" t="str">
        <f>IFERROR(__xludf.DUMMYFUNCTION("""COMPUTED_VALUE"""),"Chú Cường")</f>
        <v>Chú Cường</v>
      </c>
      <c r="C3815" s="119" t="str">
        <f>IFERROR(__xludf.DUMMYFUNCTION("""COMPUTED_VALUE"""),"175 Long Hồ")</f>
        <v>175 Long Hồ</v>
      </c>
      <c r="D3815" s="119" t="str">
        <f>IFERROR(__xludf.DUMMYFUNCTION("""COMPUTED_VALUE"""),"Chó")</f>
        <v>Chó</v>
      </c>
      <c r="E3815" s="119" t="str">
        <f>IFERROR(__xludf.DUMMYFUNCTION("""COMPUTED_VALUE"""),"Tun")</f>
        <v>Tun</v>
      </c>
    </row>
    <row r="3816" ht="15.75" customHeight="1">
      <c r="A3816" s="122" t="str">
        <f>IFERROR(__xludf.DUMMYFUNCTION("""COMPUTED_VALUE"""),"0794 526 316")</f>
        <v>0794 526 316</v>
      </c>
      <c r="B3816" s="119" t="str">
        <f>IFERROR(__xludf.DUMMYFUNCTION("""COMPUTED_VALUE"""),"Anh Lập Nhân")</f>
        <v>Anh Lập Nhân</v>
      </c>
      <c r="C3816" s="119" t="str">
        <f>IFERROR(__xludf.DUMMYFUNCTION("""COMPUTED_VALUE"""),"64 Hữu Thọ")</f>
        <v>64 Hữu Thọ</v>
      </c>
      <c r="D3816" s="119" t="str">
        <f>IFERROR(__xludf.DUMMYFUNCTION("""COMPUTED_VALUE"""),"mèo")</f>
        <v>mèo</v>
      </c>
      <c r="E3816" s="119" t="str">
        <f>IFERROR(__xludf.DUMMYFUNCTION("""COMPUTED_VALUE"""),"Ko tên")</f>
        <v>Ko tên</v>
      </c>
    </row>
    <row r="3817" ht="15.75" customHeight="1">
      <c r="A3817" s="122" t="str">
        <f>IFERROR(__xludf.DUMMYFUNCTION("""COMPUTED_VALUE"""),"0935 259 936")</f>
        <v>0935 259 936</v>
      </c>
      <c r="B3817" s="119" t="str">
        <f>IFERROR(__xludf.DUMMYFUNCTION("""COMPUTED_VALUE"""),"Chị Hiền")</f>
        <v>Chị Hiền</v>
      </c>
      <c r="C3817" s="119" t="str">
        <f>IFERROR(__xludf.DUMMYFUNCTION("""COMPUTED_VALUE"""),"An Tây")</f>
        <v>An Tây</v>
      </c>
      <c r="D3817" s="119" t="str">
        <f>IFERROR(__xludf.DUMMYFUNCTION("""COMPUTED_VALUE"""),"Mèo")</f>
        <v>Mèo</v>
      </c>
      <c r="E3817" s="119" t="str">
        <f>IFERROR(__xludf.DUMMYFUNCTION("""COMPUTED_VALUE"""),"Chanh")</f>
        <v>Chanh</v>
      </c>
    </row>
    <row r="3818" ht="15.75" customHeight="1">
      <c r="A3818" s="122" t="str">
        <f>IFERROR(__xludf.DUMMYFUNCTION("""COMPUTED_VALUE"""),"0847 157 009")</f>
        <v>0847 157 009</v>
      </c>
      <c r="B3818" s="119" t="str">
        <f>IFERROR(__xludf.DUMMYFUNCTION("""COMPUTED_VALUE"""),"Em Ánh")</f>
        <v>Em Ánh</v>
      </c>
      <c r="C3818" s="119" t="str">
        <f>IFERROR(__xludf.DUMMYFUNCTION("""COMPUTED_VALUE""")," 2 Nguyễn Văn Khả")</f>
        <v> 2 Nguyễn Văn Khả</v>
      </c>
      <c r="D3818" s="119" t="str">
        <f>IFERROR(__xludf.DUMMYFUNCTION("""COMPUTED_VALUE"""),"mèo")</f>
        <v>mèo</v>
      </c>
      <c r="E3818" s="119" t="str">
        <f>IFERROR(__xludf.DUMMYFUNCTION("""COMPUTED_VALUE"""),"Sữa")</f>
        <v>Sữa</v>
      </c>
    </row>
    <row r="3819" ht="15.75" customHeight="1">
      <c r="A3819" s="122" t="str">
        <f>IFERROR(__xludf.DUMMYFUNCTION("""COMPUTED_VALUE"""),"0763 737 916")</f>
        <v>0763 737 916</v>
      </c>
      <c r="B3819" s="119" t="str">
        <f>IFERROR(__xludf.DUMMYFUNCTION("""COMPUTED_VALUE"""),"Chị Thu")</f>
        <v>Chị Thu</v>
      </c>
      <c r="C3819" s="119" t="str">
        <f>IFERROR(__xludf.DUMMYFUNCTION("""COMPUTED_VALUE"""),"19 Văn Cao")</f>
        <v>19 Văn Cao</v>
      </c>
      <c r="D3819" s="119" t="str">
        <f>IFERROR(__xludf.DUMMYFUNCTION("""COMPUTED_VALUE"""),"chó")</f>
        <v>chó</v>
      </c>
      <c r="E3819" s="119" t="str">
        <f>IFERROR(__xludf.DUMMYFUNCTION("""COMPUTED_VALUE"""),"Gấu")</f>
        <v>Gấu</v>
      </c>
    </row>
    <row r="3820" ht="15.75" customHeight="1">
      <c r="A3820" s="122" t="str">
        <f>IFERROR(__xludf.DUMMYFUNCTION("""COMPUTED_VALUE"""),"0373 613 767")</f>
        <v>0373 613 767</v>
      </c>
      <c r="B3820" s="119" t="str">
        <f>IFERROR(__xludf.DUMMYFUNCTION("""COMPUTED_VALUE"""),"Chị Trâm Anh")</f>
        <v>Chị Trâm Anh</v>
      </c>
      <c r="C3820" s="119" t="str">
        <f>IFERROR(__xludf.DUMMYFUNCTION("""COMPUTED_VALUE"""),"82/2/27 Ngự Bình")</f>
        <v>82/2/27 Ngự Bình</v>
      </c>
      <c r="D3820" s="119" t="str">
        <f>IFERROR(__xludf.DUMMYFUNCTION("""COMPUTED_VALUE"""),"mèo")</f>
        <v>mèo</v>
      </c>
      <c r="E3820" s="119" t="str">
        <f>IFERROR(__xludf.DUMMYFUNCTION("""COMPUTED_VALUE"""),"Mít")</f>
        <v>Mít</v>
      </c>
    </row>
    <row r="3821" ht="15.75" customHeight="1">
      <c r="A3821" s="122" t="str">
        <f>IFERROR(__xludf.DUMMYFUNCTION("""COMPUTED_VALUE"""),"0762 437 634")</f>
        <v>0762 437 634</v>
      </c>
      <c r="B3821" s="119"/>
      <c r="C3821" s="119" t="str">
        <f>IFERROR(__xludf.DUMMYFUNCTION("""COMPUTED_VALUE"""),"Chợ Nọ")</f>
        <v>Chợ Nọ</v>
      </c>
      <c r="D3821" s="119" t="str">
        <f>IFERROR(__xludf.DUMMYFUNCTION("""COMPUTED_VALUE"""),"chó")</f>
        <v>chó</v>
      </c>
      <c r="E3821" s="119" t="str">
        <f>IFERROR(__xludf.DUMMYFUNCTION("""COMPUTED_VALUE"""),"Dừa")</f>
        <v>Dừa</v>
      </c>
    </row>
    <row r="3822" ht="15.75" customHeight="1">
      <c r="A3822" s="122" t="str">
        <f>IFERROR(__xludf.DUMMYFUNCTION("""COMPUTED_VALUE"""),"0935 719 517")</f>
        <v>0935 719 517</v>
      </c>
      <c r="B3822" s="119" t="str">
        <f>IFERROR(__xludf.DUMMYFUNCTION("""COMPUTED_VALUE"""),"Chị Loan")</f>
        <v>Chị Loan</v>
      </c>
      <c r="C3822" s="119" t="str">
        <f>IFERROR(__xludf.DUMMYFUNCTION("""COMPUTED_VALUE"""),"1/1/187 Hùng Vương")</f>
        <v>1/1/187 Hùng Vương</v>
      </c>
      <c r="D3822" s="119" t="str">
        <f>IFERROR(__xludf.DUMMYFUNCTION("""COMPUTED_VALUE"""),"chó")</f>
        <v>chó</v>
      </c>
      <c r="E3822" s="119" t="str">
        <f>IFERROR(__xludf.DUMMYFUNCTION("""COMPUTED_VALUE"""),"Milo")</f>
        <v>Milo</v>
      </c>
    </row>
    <row r="3823" ht="15.75" customHeight="1">
      <c r="A3823" s="122" t="str">
        <f>IFERROR(__xludf.DUMMYFUNCTION("""COMPUTED_VALUE"""),"0901 105 858")</f>
        <v>0901 105 858</v>
      </c>
      <c r="B3823" s="119"/>
      <c r="C3823" s="119"/>
      <c r="D3823" s="119"/>
      <c r="E3823" s="119"/>
    </row>
    <row r="3824" ht="15.75" customHeight="1">
      <c r="A3824" s="122" t="str">
        <f>IFERROR(__xludf.DUMMYFUNCTION("""COMPUTED_VALUE"""),"0936 085 872")</f>
        <v>0936 085 872</v>
      </c>
      <c r="B3824" s="119" t="str">
        <f>IFERROR(__xludf.DUMMYFUNCTION("""COMPUTED_VALUE"""),"Bác Dũng")</f>
        <v>Bác Dũng</v>
      </c>
      <c r="C3824" s="119" t="str">
        <f>IFERROR(__xludf.DUMMYFUNCTION("""COMPUTED_VALUE"""),"45/56 Nguyễn Công Trứ")</f>
        <v>45/56 Nguyễn Công Trứ</v>
      </c>
      <c r="D3824" s="119" t="str">
        <f>IFERROR(__xludf.DUMMYFUNCTION("""COMPUTED_VALUE"""),"Chó")</f>
        <v>Chó</v>
      </c>
      <c r="E3824" s="119" t="str">
        <f>IFERROR(__xludf.DUMMYFUNCTION("""COMPUTED_VALUE"""),"Min")</f>
        <v>Min</v>
      </c>
    </row>
    <row r="3825" ht="15.75" customHeight="1">
      <c r="A3825" s="122" t="str">
        <f>IFERROR(__xludf.DUMMYFUNCTION("""COMPUTED_VALUE"""),"0967 896 165")</f>
        <v>0967 896 165</v>
      </c>
      <c r="B3825" s="119" t="str">
        <f>IFERROR(__xludf.DUMMYFUNCTION("""COMPUTED_VALUE"""),"Anh HIếu")</f>
        <v>Anh HIếu</v>
      </c>
      <c r="C3825" s="119" t="str">
        <f>IFERROR(__xludf.DUMMYFUNCTION("""COMPUTED_VALUE"""),"45A Nguyễn Phúc Chu")</f>
        <v>45A Nguyễn Phúc Chu</v>
      </c>
      <c r="D3825" s="119" t="str">
        <f>IFERROR(__xludf.DUMMYFUNCTION("""COMPUTED_VALUE"""),"chó")</f>
        <v>chó</v>
      </c>
      <c r="E3825" s="119" t="str">
        <f>IFERROR(__xludf.DUMMYFUNCTION("""COMPUTED_VALUE"""),"Bun")</f>
        <v>Bun</v>
      </c>
    </row>
    <row r="3826" ht="15.75" customHeight="1">
      <c r="A3826" s="122" t="str">
        <f>IFERROR(__xludf.DUMMYFUNCTION("""COMPUTED_VALUE"""),"0796 725 746")</f>
        <v>0796 725 746</v>
      </c>
      <c r="B3826" s="119" t="str">
        <f>IFERROR(__xludf.DUMMYFUNCTION("""COMPUTED_VALUE"""),"mẹ anh khoa")</f>
        <v>mẹ anh khoa</v>
      </c>
      <c r="C3826" s="119" t="str">
        <f>IFERROR(__xludf.DUMMYFUNCTION("""COMPUTED_VALUE"""),"1/8 lương quán ")</f>
        <v>1/8 lương quán </v>
      </c>
      <c r="D3826" s="119" t="str">
        <f>IFERROR(__xludf.DUMMYFUNCTION("""COMPUTED_VALUE"""),"mèo")</f>
        <v>mèo</v>
      </c>
      <c r="E3826" s="119" t="str">
        <f>IFERROR(__xludf.DUMMYFUNCTION("""COMPUTED_VALUE"""),"mun")</f>
        <v>mun</v>
      </c>
    </row>
    <row r="3827" ht="15.75" customHeight="1">
      <c r="A3827" s="122" t="str">
        <f>IFERROR(__xludf.DUMMYFUNCTION("""COMPUTED_VALUE"""),"0796 870 914")</f>
        <v>0796 870 914</v>
      </c>
      <c r="B3827" s="119" t="str">
        <f>IFERROR(__xludf.DUMMYFUNCTION("""COMPUTED_VALUE"""),"Dì Hoa")</f>
        <v>Dì Hoa</v>
      </c>
      <c r="C3827" s="119" t="str">
        <f>IFERROR(__xludf.DUMMYFUNCTION("""COMPUTED_VALUE"""),"A lưới")</f>
        <v>A lưới</v>
      </c>
      <c r="D3827" s="119" t="str">
        <f>IFERROR(__xludf.DUMMYFUNCTION("""COMPUTED_VALUE"""),"chó")</f>
        <v>chó</v>
      </c>
      <c r="E3827" s="119" t="str">
        <f>IFERROR(__xludf.DUMMYFUNCTION("""COMPUTED_VALUE""")," Đen")</f>
        <v> Đen</v>
      </c>
    </row>
    <row r="3828" ht="15.75" customHeight="1">
      <c r="A3828" s="122" t="str">
        <f>IFERROR(__xludf.DUMMYFUNCTION("""COMPUTED_VALUE"""),"0704 130 914")</f>
        <v>0704 130 914</v>
      </c>
      <c r="B3828" s="119" t="str">
        <f>IFERROR(__xludf.DUMMYFUNCTION("""COMPUTED_VALUE"""),"Nguyễn Văn Khoa")</f>
        <v>Nguyễn Văn Khoa</v>
      </c>
      <c r="C3828" s="119" t="str">
        <f>IFERROR(__xludf.DUMMYFUNCTION("""COMPUTED_VALUE"""),"1/8 Lương Quán")</f>
        <v>1/8 Lương Quán</v>
      </c>
      <c r="D3828" s="119" t="str">
        <f>IFERROR(__xludf.DUMMYFUNCTION("""COMPUTED_VALUE"""),"chó")</f>
        <v>chó</v>
      </c>
      <c r="E3828" s="119" t="str">
        <f>IFERROR(__xludf.DUMMYFUNCTION("""COMPUTED_VALUE"""),"Min")</f>
        <v>Min</v>
      </c>
    </row>
    <row r="3829" ht="15.75" customHeight="1">
      <c r="A3829" s="122" t="str">
        <f>IFERROR(__xludf.DUMMYFUNCTION("""COMPUTED_VALUE"""),"0905 708 231")</f>
        <v>0905 708 231</v>
      </c>
      <c r="B3829" s="119" t="str">
        <f>IFERROR(__xludf.DUMMYFUNCTION("""COMPUTED_VALUE"""),"Em Tâm")</f>
        <v>Em Tâm</v>
      </c>
      <c r="C3829" s="119" t="str">
        <f>IFERROR(__xludf.DUMMYFUNCTION("""COMPUTED_VALUE"""),"An Dương Vương")</f>
        <v>An Dương Vương</v>
      </c>
      <c r="D3829" s="119" t="str">
        <f>IFERROR(__xludf.DUMMYFUNCTION("""COMPUTED_VALUE"""),"mèo")</f>
        <v>mèo</v>
      </c>
      <c r="E3829" s="119" t="str">
        <f>IFERROR(__xludf.DUMMYFUNCTION("""COMPUTED_VALUE"""),"Fin")</f>
        <v>Fin</v>
      </c>
    </row>
    <row r="3830" ht="15.75" customHeight="1">
      <c r="A3830" s="122" t="str">
        <f>IFERROR(__xludf.DUMMYFUNCTION("""COMPUTED_VALUE"""),"0385 432 266")</f>
        <v>0385 432 266</v>
      </c>
      <c r="B3830" s="119" t="str">
        <f>IFERROR(__xludf.DUMMYFUNCTION("""COMPUTED_VALUE"""),"Em Nga")</f>
        <v>Em Nga</v>
      </c>
      <c r="C3830" s="119" t="str">
        <f>IFERROR(__xludf.DUMMYFUNCTION("""COMPUTED_VALUE"""),"A lưới")</f>
        <v>A lưới</v>
      </c>
      <c r="D3830" s="119" t="str">
        <f>IFERROR(__xludf.DUMMYFUNCTION("""COMPUTED_VALUE"""),"chó")</f>
        <v>chó</v>
      </c>
      <c r="E3830" s="119" t="str">
        <f>IFERROR(__xludf.DUMMYFUNCTION("""COMPUTED_VALUE"""),"mốc")</f>
        <v>mốc</v>
      </c>
    </row>
    <row r="3831" ht="15.75" customHeight="1">
      <c r="A3831" s="122" t="str">
        <f>IFERROR(__xludf.DUMMYFUNCTION("""COMPUTED_VALUE"""),"0824 977 152")</f>
        <v>0824 977 152</v>
      </c>
      <c r="B3831" s="119" t="str">
        <f>IFERROR(__xludf.DUMMYFUNCTION("""COMPUTED_VALUE"""),"Anh Tuấn")</f>
        <v>Anh Tuấn</v>
      </c>
      <c r="C3831" s="119" t="str">
        <f>IFERROR(__xludf.DUMMYFUNCTION("""COMPUTED_VALUE"""),"83 Bà Triệu")</f>
        <v>83 Bà Triệu</v>
      </c>
      <c r="D3831" s="119" t="str">
        <f>IFERROR(__xludf.DUMMYFUNCTION("""COMPUTED_VALUE"""),"chó")</f>
        <v>chó</v>
      </c>
      <c r="E3831" s="119" t="str">
        <f>IFERROR(__xludf.DUMMYFUNCTION("""COMPUTED_VALUE"""),"Tin")</f>
        <v>Tin</v>
      </c>
    </row>
    <row r="3832" ht="15.75" customHeight="1">
      <c r="A3832" s="122" t="str">
        <f>IFERROR(__xludf.DUMMYFUNCTION("""COMPUTED_VALUE"""),"0358 821 225")</f>
        <v>0358 821 225</v>
      </c>
      <c r="B3832" s="119" t="str">
        <f>IFERROR(__xludf.DUMMYFUNCTION("""COMPUTED_VALUE"""),"Em Hương")</f>
        <v>Em Hương</v>
      </c>
      <c r="C3832" s="119" t="str">
        <f>IFERROR(__xludf.DUMMYFUNCTION("""COMPUTED_VALUE"""),"54 Nguyễn Khoa Chiêm")</f>
        <v>54 Nguyễn Khoa Chiêm</v>
      </c>
      <c r="D3832" s="119" t="str">
        <f>IFERROR(__xludf.DUMMYFUNCTION("""COMPUTED_VALUE"""),"mèo")</f>
        <v>mèo</v>
      </c>
      <c r="E3832" s="119" t="str">
        <f>IFERROR(__xludf.DUMMYFUNCTION("""COMPUTED_VALUE"""),"2 Triệu")</f>
        <v>2 Triệu</v>
      </c>
    </row>
    <row r="3833" ht="15.75" customHeight="1">
      <c r="A3833" s="122" t="str">
        <f>IFERROR(__xludf.DUMMYFUNCTION("""COMPUTED_VALUE"""),"0899 879 572")</f>
        <v>0899 879 572</v>
      </c>
      <c r="B3833" s="119" t="str">
        <f>IFERROR(__xludf.DUMMYFUNCTION("""COMPUTED_VALUE"""),"Nguyễn VŨ Tường Vy")</f>
        <v>Nguyễn VŨ Tường Vy</v>
      </c>
      <c r="C3833" s="119" t="str">
        <f>IFERROR(__xludf.DUMMYFUNCTION("""COMPUTED_VALUE"""),"255 Điện Biên Phủ")</f>
        <v>255 Điện Biên Phủ</v>
      </c>
      <c r="D3833" s="119" t="str">
        <f>IFERROR(__xludf.DUMMYFUNCTION("""COMPUTED_VALUE"""),"chó")</f>
        <v>chó</v>
      </c>
      <c r="E3833" s="119" t="str">
        <f>IFERROR(__xludf.DUMMYFUNCTION("""COMPUTED_VALUE"""),"Min")</f>
        <v>Min</v>
      </c>
    </row>
    <row r="3834" ht="15.75" customHeight="1">
      <c r="A3834" s="122" t="str">
        <f>IFERROR(__xludf.DUMMYFUNCTION("""COMPUTED_VALUE"""),"0905 553 545")</f>
        <v>0905 553 545</v>
      </c>
      <c r="B3834" s="119" t="str">
        <f>IFERROR(__xludf.DUMMYFUNCTION("""COMPUTED_VALUE"""),"Anh Hiếu")</f>
        <v>Anh Hiếu</v>
      </c>
      <c r="C3834" s="119" t="str">
        <f>IFERROR(__xludf.DUMMYFUNCTION("""COMPUTED_VALUE"""),"403 Bờ Sông Hương")</f>
        <v>403 Bờ Sông Hương</v>
      </c>
      <c r="D3834" s="119" t="str">
        <f>IFERROR(__xludf.DUMMYFUNCTION("""COMPUTED_VALUE"""),"chó")</f>
        <v>chó</v>
      </c>
      <c r="E3834" s="119" t="str">
        <f>IFERROR(__xludf.DUMMYFUNCTION("""COMPUTED_VALUE"""),"Bắp")</f>
        <v>Bắp</v>
      </c>
    </row>
    <row r="3835" ht="15.75" customHeight="1">
      <c r="A3835" s="122" t="str">
        <f>IFERROR(__xludf.DUMMYFUNCTION("""COMPUTED_VALUE"""),"0966 821 484")</f>
        <v>0966 821 484</v>
      </c>
      <c r="B3835" s="119" t="str">
        <f>IFERROR(__xludf.DUMMYFUNCTION("""COMPUTED_VALUE"""),"Anh Toàn")</f>
        <v>Anh Toàn</v>
      </c>
      <c r="C3835" s="119" t="str">
        <f>IFERROR(__xludf.DUMMYFUNCTION("""COMPUTED_VALUE"""),"14/310 Lý Nam Đế")</f>
        <v>14/310 Lý Nam Đế</v>
      </c>
      <c r="D3835" s="119" t="str">
        <f>IFERROR(__xludf.DUMMYFUNCTION("""COMPUTED_VALUE"""),"mèo")</f>
        <v>mèo</v>
      </c>
      <c r="E3835" s="119"/>
    </row>
    <row r="3836" ht="15.75" customHeight="1">
      <c r="A3836" s="122" t="str">
        <f>IFERROR(__xludf.DUMMYFUNCTION("""COMPUTED_VALUE"""),"0945 315 335")</f>
        <v>0945 315 335</v>
      </c>
      <c r="B3836" s="119" t="str">
        <f>IFERROR(__xludf.DUMMYFUNCTION("""COMPUTED_VALUE"""),"Chị Tuyết")</f>
        <v>Chị Tuyết</v>
      </c>
      <c r="C3836" s="119" t="str">
        <f>IFERROR(__xludf.DUMMYFUNCTION("""COMPUTED_VALUE"""),"Bùi Thị Xuân")</f>
        <v>Bùi Thị Xuân</v>
      </c>
      <c r="D3836" s="119" t="str">
        <f>IFERROR(__xludf.DUMMYFUNCTION("""COMPUTED_VALUE"""),"vẹt")</f>
        <v>vẹt</v>
      </c>
      <c r="E3836" s="119"/>
    </row>
    <row r="3837" ht="15.75" customHeight="1">
      <c r="A3837" s="122" t="str">
        <f>IFERROR(__xludf.DUMMYFUNCTION("""COMPUTED_VALUE"""),"0357 928 158")</f>
        <v>0357 928 158</v>
      </c>
      <c r="B3837" s="119" t="str">
        <f>IFERROR(__xludf.DUMMYFUNCTION("""COMPUTED_VALUE"""),"Em Ngân")</f>
        <v>Em Ngân</v>
      </c>
      <c r="C3837" s="119" t="str">
        <f>IFERROR(__xludf.DUMMYFUNCTION("""COMPUTED_VALUE"""),"162 Nguyễn Hữu Cảnh")</f>
        <v>162 Nguyễn Hữu Cảnh</v>
      </c>
      <c r="D3837" s="119" t="str">
        <f>IFERROR(__xludf.DUMMYFUNCTION("""COMPUTED_VALUE"""),"mèo")</f>
        <v>mèo</v>
      </c>
      <c r="E3837" s="119" t="str">
        <f>IFERROR(__xludf.DUMMYFUNCTION("""COMPUTED_VALUE"""),"Bông")</f>
        <v>Bông</v>
      </c>
    </row>
    <row r="3838" ht="15.75" customHeight="1">
      <c r="A3838" s="122" t="str">
        <f>IFERROR(__xludf.DUMMYFUNCTION("""COMPUTED_VALUE"""),"0905 714 667")</f>
        <v>0905 714 667</v>
      </c>
      <c r="B3838" s="119" t="str">
        <f>IFERROR(__xludf.DUMMYFUNCTION("""COMPUTED_VALUE"""),"Anh Dũng")</f>
        <v>Anh Dũng</v>
      </c>
      <c r="C3838" s="119" t="str">
        <f>IFERROR(__xludf.DUMMYFUNCTION("""COMPUTED_VALUE"""),"214 Lý Nam Đế")</f>
        <v>214 Lý Nam Đế</v>
      </c>
      <c r="D3838" s="119" t="str">
        <f>IFERROR(__xludf.DUMMYFUNCTION("""COMPUTED_VALUE"""),"chó")</f>
        <v>chó</v>
      </c>
      <c r="E3838" s="119" t="str">
        <f>IFERROR(__xludf.DUMMYFUNCTION("""COMPUTED_VALUE"""),"Bi")</f>
        <v>Bi</v>
      </c>
    </row>
    <row r="3839" ht="15.75" customHeight="1">
      <c r="A3839" s="122" t="str">
        <f>IFERROR(__xludf.DUMMYFUNCTION("""COMPUTED_VALUE"""),"0846 425 799")</f>
        <v>0846 425 799</v>
      </c>
      <c r="B3839" s="119" t="str">
        <f>IFERROR(__xludf.DUMMYFUNCTION("""COMPUTED_VALUE"""),"Minh Huy")</f>
        <v>Minh Huy</v>
      </c>
      <c r="C3839" s="119" t="str">
        <f>IFERROR(__xludf.DUMMYFUNCTION("""COMPUTED_VALUE"""),"248 Nguyễn Văn Linh")</f>
        <v>248 Nguyễn Văn Linh</v>
      </c>
      <c r="D3839" s="119" t="str">
        <f>IFERROR(__xludf.DUMMYFUNCTION("""COMPUTED_VALUE"""),"Sóc")</f>
        <v>Sóc</v>
      </c>
      <c r="E3839" s="119" t="str">
        <f>IFERROR(__xludf.DUMMYFUNCTION("""COMPUTED_VALUE"""),"Chip")</f>
        <v>Chip</v>
      </c>
    </row>
    <row r="3840" ht="15.75" customHeight="1">
      <c r="A3840" s="122" t="str">
        <f>IFERROR(__xludf.DUMMYFUNCTION("""COMPUTED_VALUE"""),"0935 758 369")</f>
        <v>0935 758 369</v>
      </c>
      <c r="B3840" s="119" t="str">
        <f>IFERROR(__xludf.DUMMYFUNCTION("""COMPUTED_VALUE"""),"Chị Nga")</f>
        <v>Chị Nga</v>
      </c>
      <c r="C3840" s="119" t="str">
        <f>IFERROR(__xludf.DUMMYFUNCTION("""COMPUTED_VALUE"""),"An Ninh")</f>
        <v>An Ninh</v>
      </c>
      <c r="D3840" s="119" t="str">
        <f>IFERROR(__xludf.DUMMYFUNCTION("""COMPUTED_VALUE"""),"chó")</f>
        <v>chó</v>
      </c>
      <c r="E3840" s="119" t="str">
        <f>IFERROR(__xludf.DUMMYFUNCTION("""COMPUTED_VALUE"""),"Rùa")</f>
        <v>Rùa</v>
      </c>
    </row>
    <row r="3841" ht="15.75" customHeight="1">
      <c r="A3841" s="122" t="str">
        <f>IFERROR(__xludf.DUMMYFUNCTION("""COMPUTED_VALUE"""),"0905 997 206")</f>
        <v>0905 997 206</v>
      </c>
      <c r="B3841" s="119" t="str">
        <f>IFERROR(__xludf.DUMMYFUNCTION("""COMPUTED_VALUE"""),"Nguyễn Thị Nhung")</f>
        <v>Nguyễn Thị Nhung</v>
      </c>
      <c r="C3841" s="119" t="str">
        <f>IFERROR(__xludf.DUMMYFUNCTION("""COMPUTED_VALUE"""),"92 Tư vinh Thuận An")</f>
        <v>92 Tư vinh Thuận An</v>
      </c>
      <c r="D3841" s="119" t="str">
        <f>IFERROR(__xludf.DUMMYFUNCTION("""COMPUTED_VALUE"""),"chó")</f>
        <v>chó</v>
      </c>
      <c r="E3841" s="119" t="str">
        <f>IFERROR(__xludf.DUMMYFUNCTION("""COMPUTED_VALUE"""),"Bun")</f>
        <v>Bun</v>
      </c>
    </row>
    <row r="3842" ht="15.75" customHeight="1">
      <c r="A3842" s="122" t="str">
        <f>IFERROR(__xludf.DUMMYFUNCTION("""COMPUTED_VALUE"""),"0796 052 617")</f>
        <v>0796 052 617</v>
      </c>
      <c r="B3842" s="119" t="str">
        <f>IFERROR(__xludf.DUMMYFUNCTION("""COMPUTED_VALUE"""),"Chị Thuý")</f>
        <v>Chị Thuý</v>
      </c>
      <c r="C3842" s="119" t="str">
        <f>IFERROR(__xludf.DUMMYFUNCTION("""COMPUTED_VALUE"""),"Lô E9 Hương Bình")</f>
        <v>Lô E9 Hương Bình</v>
      </c>
      <c r="D3842" s="119" t="str">
        <f>IFERROR(__xludf.DUMMYFUNCTION("""COMPUTED_VALUE"""),"chó")</f>
        <v>chó</v>
      </c>
      <c r="E3842" s="119" t="str">
        <f>IFERROR(__xludf.DUMMYFUNCTION("""COMPUTED_VALUE"""),"Đen")</f>
        <v>Đen</v>
      </c>
    </row>
    <row r="3843" ht="15.75" customHeight="1">
      <c r="A3843" s="122" t="str">
        <f>IFERROR(__xludf.DUMMYFUNCTION("""COMPUTED_VALUE"""),"0935 715 969")</f>
        <v>0935 715 969</v>
      </c>
      <c r="B3843" s="119" t="str">
        <f>IFERROR(__xludf.DUMMYFUNCTION("""COMPUTED_VALUE"""),"Chị Châu")</f>
        <v>Chị Châu</v>
      </c>
      <c r="C3843" s="119" t="str">
        <f>IFERROR(__xludf.DUMMYFUNCTION("""COMPUTED_VALUE"""),"59 Nguyễn Hoàng")</f>
        <v>59 Nguyễn Hoàng</v>
      </c>
      <c r="D3843" s="119" t="str">
        <f>IFERROR(__xludf.DUMMYFUNCTION("""COMPUTED_VALUE"""),"chó")</f>
        <v>chó</v>
      </c>
      <c r="E3843" s="119"/>
    </row>
    <row r="3844" ht="15.75" customHeight="1">
      <c r="A3844" s="122" t="str">
        <f>IFERROR(__xludf.DUMMYFUNCTION("""COMPUTED_VALUE"""),"0919 769 009")</f>
        <v>0919 769 009</v>
      </c>
      <c r="B3844" s="119" t="str">
        <f>IFERROR(__xludf.DUMMYFUNCTION("""COMPUTED_VALUE"""),"Anh Thảo")</f>
        <v>Anh Thảo</v>
      </c>
      <c r="C3844" s="119" t="str">
        <f>IFERROR(__xludf.DUMMYFUNCTION("""COMPUTED_VALUE"""),"Tứ Hạ")</f>
        <v>Tứ Hạ</v>
      </c>
      <c r="D3844" s="119" t="str">
        <f>IFERROR(__xludf.DUMMYFUNCTION("""COMPUTED_VALUE"""),"mèo")</f>
        <v>mèo</v>
      </c>
      <c r="E3844" s="119"/>
    </row>
    <row r="3845" ht="15.75" customHeight="1">
      <c r="A3845" s="122" t="str">
        <f>IFERROR(__xludf.DUMMYFUNCTION("""COMPUTED_VALUE"""),"0901 960 942")</f>
        <v>0901 960 942</v>
      </c>
      <c r="B3845" s="119" t="str">
        <f>IFERROR(__xludf.DUMMYFUNCTION("""COMPUTED_VALUE"""),"Em Trọng")</f>
        <v>Em Trọng</v>
      </c>
      <c r="C3845" s="119" t="str">
        <f>IFERROR(__xludf.DUMMYFUNCTION("""COMPUTED_VALUE"""),"5/12 Phạm Thị Liên")</f>
        <v>5/12 Phạm Thị Liên</v>
      </c>
      <c r="D3845" s="119" t="str">
        <f>IFERROR(__xludf.DUMMYFUNCTION("""COMPUTED_VALUE"""),"chó")</f>
        <v>chó</v>
      </c>
      <c r="E3845" s="119" t="str">
        <f>IFERROR(__xludf.DUMMYFUNCTION("""COMPUTED_VALUE"""),"No")</f>
        <v>No</v>
      </c>
    </row>
    <row r="3846" ht="15.75" customHeight="1">
      <c r="A3846" s="122" t="str">
        <f>IFERROR(__xludf.DUMMYFUNCTION("""COMPUTED_VALUE"""),"0912 002 984")</f>
        <v>0912 002 984</v>
      </c>
      <c r="B3846" s="119" t="str">
        <f>IFERROR(__xludf.DUMMYFUNCTION("""COMPUTED_VALUE"""),"Chị Hạnh")</f>
        <v>Chị Hạnh</v>
      </c>
      <c r="C3846" s="119" t="str">
        <f>IFERROR(__xludf.DUMMYFUNCTION("""COMPUTED_VALUE"""),"3/366 Đinh Tiên Hoàng")</f>
        <v>3/366 Đinh Tiên Hoàng</v>
      </c>
      <c r="D3846" s="119" t="str">
        <f>IFERROR(__xludf.DUMMYFUNCTION("""COMPUTED_VALUE"""),"mèo")</f>
        <v>mèo</v>
      </c>
      <c r="E3846" s="119"/>
    </row>
    <row r="3847" ht="15.75" customHeight="1">
      <c r="A3847" s="122" t="str">
        <f>IFERROR(__xludf.DUMMYFUNCTION("""COMPUTED_VALUE"""),"0797 795 797")</f>
        <v>0797 795 797</v>
      </c>
      <c r="B3847" s="119" t="str">
        <f>IFERROR(__xludf.DUMMYFUNCTION("""COMPUTED_VALUE"""),"Anh Công")</f>
        <v>Anh Công</v>
      </c>
      <c r="C3847" s="119" t="str">
        <f>IFERROR(__xludf.DUMMYFUNCTION("""COMPUTED_VALUE"""),"15/15 Đống Đa")</f>
        <v>15/15 Đống Đa</v>
      </c>
      <c r="D3847" s="119" t="str">
        <f>IFERROR(__xludf.DUMMYFUNCTION("""COMPUTED_VALUE"""),"chó")</f>
        <v>chó</v>
      </c>
      <c r="E3847" s="119" t="str">
        <f>IFERROR(__xludf.DUMMYFUNCTION("""COMPUTED_VALUE"""),"King")</f>
        <v>King</v>
      </c>
    </row>
    <row r="3848" ht="15.75" customHeight="1">
      <c r="A3848" s="122" t="str">
        <f>IFERROR(__xludf.DUMMYFUNCTION("""COMPUTED_VALUE"""),"0966 887 592")</f>
        <v>0966 887 592</v>
      </c>
      <c r="B3848" s="119" t="str">
        <f>IFERROR(__xludf.DUMMYFUNCTION("""COMPUTED_VALUE"""),"Bác Sơn")</f>
        <v>Bác Sơn</v>
      </c>
      <c r="C3848" s="119" t="str">
        <f>IFERROR(__xludf.DUMMYFUNCTION("""COMPUTED_VALUE"""),"KCN An Hoà")</f>
        <v>KCN An Hoà</v>
      </c>
      <c r="D3848" s="119" t="str">
        <f>IFERROR(__xludf.DUMMYFUNCTION("""COMPUTED_VALUE"""),"chó")</f>
        <v>chó</v>
      </c>
      <c r="E3848" s="119"/>
    </row>
    <row r="3849" ht="15.75" customHeight="1">
      <c r="A3849" s="122" t="str">
        <f>IFERROR(__xludf.DUMMYFUNCTION("""COMPUTED_VALUE"""),"0362 735 160")</f>
        <v>0362 735 160</v>
      </c>
      <c r="B3849" s="119" t="str">
        <f>IFERROR(__xludf.DUMMYFUNCTION("""COMPUTED_VALUE"""),"Tuyến")</f>
        <v>Tuyến</v>
      </c>
      <c r="C3849" s="119" t="str">
        <f>IFERROR(__xludf.DUMMYFUNCTION("""COMPUTED_VALUE"""),"Okada")</f>
        <v>Okada</v>
      </c>
      <c r="D3849" s="119" t="str">
        <f>IFERROR(__xludf.DUMMYFUNCTION("""COMPUTED_VALUE"""),"mèo")</f>
        <v>mèo</v>
      </c>
      <c r="E3849" s="119"/>
    </row>
    <row r="3850" ht="15.75" customHeight="1">
      <c r="A3850" s="122" t="str">
        <f>IFERROR(__xludf.DUMMYFUNCTION("""COMPUTED_VALUE"""),"0795 583 788")</f>
        <v>0795 583 788</v>
      </c>
      <c r="B3850" s="119" t="str">
        <f>IFERROR(__xludf.DUMMYFUNCTION("""COMPUTED_VALUE"""),"Chị Bảo Vy")</f>
        <v>Chị Bảo Vy</v>
      </c>
      <c r="C3850" s="119" t="str">
        <f>IFERROR(__xludf.DUMMYFUNCTION("""COMPUTED_VALUE"""),"Phú Hậu")</f>
        <v>Phú Hậu</v>
      </c>
      <c r="D3850" s="119" t="str">
        <f>IFERROR(__xludf.DUMMYFUNCTION("""COMPUTED_VALUE"""),"chó")</f>
        <v>chó</v>
      </c>
      <c r="E3850" s="119" t="str">
        <f>IFERROR(__xludf.DUMMYFUNCTION("""COMPUTED_VALUE"""),"Xù")</f>
        <v>Xù</v>
      </c>
    </row>
    <row r="3851" ht="15.75" customHeight="1">
      <c r="A3851" s="122" t="str">
        <f>IFERROR(__xludf.DUMMYFUNCTION("""COMPUTED_VALUE"""),"0824 370 408")</f>
        <v>0824 370 408</v>
      </c>
      <c r="B3851" s="119" t="str">
        <f>IFERROR(__xludf.DUMMYFUNCTION("""COMPUTED_VALUE"""),"Chị Hồng Vân")</f>
        <v>Chị Hồng Vân</v>
      </c>
      <c r="C3851" s="119" t="str">
        <f>IFERROR(__xludf.DUMMYFUNCTION("""COMPUTED_VALUE"""),"7/15 Xuân Diệu")</f>
        <v>7/15 Xuân Diệu</v>
      </c>
      <c r="D3851" s="119" t="str">
        <f>IFERROR(__xludf.DUMMYFUNCTION("""COMPUTED_VALUE"""),"chó")</f>
        <v>chó</v>
      </c>
      <c r="E3851" s="119" t="str">
        <f>IFERROR(__xludf.DUMMYFUNCTION("""COMPUTED_VALUE"""),"Gấu")</f>
        <v>Gấu</v>
      </c>
    </row>
    <row r="3852" ht="15.75" customHeight="1">
      <c r="A3852" s="122" t="str">
        <f>IFERROR(__xludf.DUMMYFUNCTION("""COMPUTED_VALUE"""),"0787 668 515")</f>
        <v>0787 668 515</v>
      </c>
      <c r="B3852" s="119" t="str">
        <f>IFERROR(__xludf.DUMMYFUNCTION("""COMPUTED_VALUE"""),"Chú Vui")</f>
        <v>Chú Vui</v>
      </c>
      <c r="C3852" s="119" t="str">
        <f>IFERROR(__xludf.DUMMYFUNCTION("""COMPUTED_VALUE"""),"35/82 Nguyễn Sinh Cung")</f>
        <v>35/82 Nguyễn Sinh Cung</v>
      </c>
      <c r="D3852" s="119" t="str">
        <f>IFERROR(__xludf.DUMMYFUNCTION("""COMPUTED_VALUE"""),"chó")</f>
        <v>chó</v>
      </c>
      <c r="E3852" s="119" t="str">
        <f>IFERROR(__xludf.DUMMYFUNCTION("""COMPUTED_VALUE"""),"Đen")</f>
        <v>Đen</v>
      </c>
    </row>
    <row r="3853" ht="15.75" customHeight="1">
      <c r="A3853" s="122" t="str">
        <f>IFERROR(__xludf.DUMMYFUNCTION("""COMPUTED_VALUE"""),"0853 990 981")</f>
        <v>0853 990 981</v>
      </c>
      <c r="B3853" s="119" t="str">
        <f>IFERROR(__xludf.DUMMYFUNCTION("""COMPUTED_VALUE"""),"Chị Tường Vy")</f>
        <v>Chị Tường Vy</v>
      </c>
      <c r="C3853" s="119" t="str">
        <f>IFERROR(__xludf.DUMMYFUNCTION("""COMPUTED_VALUE"""),"12 Hồ Dắc Di")</f>
        <v>12 Hồ Dắc Di</v>
      </c>
      <c r="D3853" s="119" t="str">
        <f>IFERROR(__xludf.DUMMYFUNCTION("""COMPUTED_VALUE"""),"mèo")</f>
        <v>mèo</v>
      </c>
      <c r="E3853" s="119" t="str">
        <f>IFERROR(__xludf.DUMMYFUNCTION("""COMPUTED_VALUE"""),"Lỳ")</f>
        <v>Lỳ</v>
      </c>
    </row>
    <row r="3854" ht="15.75" customHeight="1">
      <c r="A3854" s="122" t="str">
        <f>IFERROR(__xludf.DUMMYFUNCTION("""COMPUTED_VALUE"""),"0823 176 178")</f>
        <v>0823 176 178</v>
      </c>
      <c r="B3854" s="119" t="str">
        <f>IFERROR(__xludf.DUMMYFUNCTION("""COMPUTED_VALUE"""),"Chị Nhi")</f>
        <v>Chị Nhi</v>
      </c>
      <c r="C3854" s="119" t="str">
        <f>IFERROR(__xludf.DUMMYFUNCTION("""COMPUTED_VALUE"""),"Xuân Thủy")</f>
        <v>Xuân Thủy</v>
      </c>
      <c r="D3854" s="119" t="str">
        <f>IFERROR(__xludf.DUMMYFUNCTION("""COMPUTED_VALUE"""),"mèo")</f>
        <v>mèo</v>
      </c>
      <c r="E3854" s="119" t="str">
        <f>IFERROR(__xludf.DUMMYFUNCTION("""COMPUTED_VALUE"""),"Ngáo")</f>
        <v>Ngáo</v>
      </c>
    </row>
    <row r="3855" ht="15.75" customHeight="1">
      <c r="A3855" s="122" t="str">
        <f>IFERROR(__xludf.DUMMYFUNCTION("""COMPUTED_VALUE"""),"0388 838 353")</f>
        <v>0388 838 353</v>
      </c>
      <c r="B3855" s="119" t="str">
        <f>IFERROR(__xludf.DUMMYFUNCTION("""COMPUTED_VALUE"""),"Anh Nguyễn Thanh Thái")</f>
        <v>Anh Nguyễn Thanh Thái</v>
      </c>
      <c r="C3855" s="119" t="str">
        <f>IFERROR(__xludf.DUMMYFUNCTION("""COMPUTED_VALUE"""),"215 Trần Phú")</f>
        <v>215 Trần Phú</v>
      </c>
      <c r="D3855" s="119" t="str">
        <f>IFERROR(__xludf.DUMMYFUNCTION("""COMPUTED_VALUE"""),"mèo ")</f>
        <v>mèo </v>
      </c>
      <c r="E3855" s="119" t="str">
        <f>IFERROR(__xludf.DUMMYFUNCTION("""COMPUTED_VALUE"""),"Ko tên")</f>
        <v>Ko tên</v>
      </c>
    </row>
    <row r="3856" ht="15.75" customHeight="1">
      <c r="A3856" s="122" t="str">
        <f>IFERROR(__xludf.DUMMYFUNCTION("""COMPUTED_VALUE"""),"0377 689 127")</f>
        <v>0377 689 127</v>
      </c>
      <c r="B3856" s="119" t="str">
        <f>IFERROR(__xludf.DUMMYFUNCTION("""COMPUTED_VALUE"""),"Em Thư")</f>
        <v>Em Thư</v>
      </c>
      <c r="C3856" s="119" t="str">
        <f>IFERROR(__xludf.DUMMYFUNCTION("""COMPUTED_VALUE"""),"Hải Triều")</f>
        <v>Hải Triều</v>
      </c>
      <c r="D3856" s="119" t="str">
        <f>IFERROR(__xludf.DUMMYFUNCTION("""COMPUTED_VALUE"""),"chó")</f>
        <v>chó</v>
      </c>
      <c r="E3856" s="119" t="str">
        <f>IFERROR(__xludf.DUMMYFUNCTION("""COMPUTED_VALUE"""),"Nâu")</f>
        <v>Nâu</v>
      </c>
    </row>
    <row r="3857" ht="15.75" customHeight="1">
      <c r="A3857" s="122" t="str">
        <f>IFERROR(__xludf.DUMMYFUNCTION("""COMPUTED_VALUE"""),"0918 101 921")</f>
        <v>0918 101 921</v>
      </c>
      <c r="B3857" s="119" t="str">
        <f>IFERROR(__xludf.DUMMYFUNCTION("""COMPUTED_VALUE"""),"Chị Trang")</f>
        <v>Chị Trang</v>
      </c>
      <c r="C3857" s="119" t="str">
        <f>IFERROR(__xludf.DUMMYFUNCTION("""COMPUTED_VALUE"""),"tổ 10 thủy xuân")</f>
        <v>tổ 10 thủy xuân</v>
      </c>
      <c r="D3857" s="119" t="str">
        <f>IFERROR(__xludf.DUMMYFUNCTION("""COMPUTED_VALUE"""),"chó")</f>
        <v>chó</v>
      </c>
      <c r="E3857" s="119" t="str">
        <f>IFERROR(__xludf.DUMMYFUNCTION("""COMPUTED_VALUE""")," kyta")</f>
        <v> kyta</v>
      </c>
    </row>
    <row r="3858" ht="15.75" customHeight="1">
      <c r="A3858" s="122" t="str">
        <f>IFERROR(__xludf.DUMMYFUNCTION("""COMPUTED_VALUE"""),"0905 373 396")</f>
        <v>0905 373 396</v>
      </c>
      <c r="B3858" s="119" t="str">
        <f>IFERROR(__xludf.DUMMYFUNCTION("""COMPUTED_VALUE"""),"Chị Trang")</f>
        <v>Chị Trang</v>
      </c>
      <c r="C3858" s="119" t="str">
        <f>IFERROR(__xludf.DUMMYFUNCTION("""COMPUTED_VALUE"""),"tổ 11 Nguyễn Thị Định - Bầu vá")</f>
        <v>tổ 11 Nguyễn Thị Định - Bầu vá</v>
      </c>
      <c r="D3858" s="119" t="str">
        <f>IFERROR(__xludf.DUMMYFUNCTION("""COMPUTED_VALUE"""),"chó")</f>
        <v>chó</v>
      </c>
      <c r="E3858" s="119" t="str">
        <f>IFERROR(__xludf.DUMMYFUNCTION("""COMPUTED_VALUE"""),"MiLo")</f>
        <v>MiLo</v>
      </c>
    </row>
    <row r="3859" ht="15.75" customHeight="1">
      <c r="A3859" s="122" t="str">
        <f>IFERROR(__xludf.DUMMYFUNCTION("""COMPUTED_VALUE"""),"0916 643 856")</f>
        <v>0916 643 856</v>
      </c>
      <c r="B3859" s="119" t="str">
        <f>IFERROR(__xludf.DUMMYFUNCTION("""COMPUTED_VALUE"""),"Dì Tuyết")</f>
        <v>Dì Tuyết</v>
      </c>
      <c r="C3859" s="119" t="str">
        <f>IFERROR(__xludf.DUMMYFUNCTION("""COMPUTED_VALUE"""),"38 Nguyễn Thái Học")</f>
        <v>38 Nguyễn Thái Học</v>
      </c>
      <c r="D3859" s="119" t="str">
        <f>IFERROR(__xludf.DUMMYFUNCTION("""COMPUTED_VALUE"""),"chó")</f>
        <v>chó</v>
      </c>
      <c r="E3859" s="119" t="str">
        <f>IFERROR(__xludf.DUMMYFUNCTION("""COMPUTED_VALUE""")," Ben")</f>
        <v> Ben</v>
      </c>
    </row>
    <row r="3860" ht="15.75" customHeight="1">
      <c r="A3860" s="122" t="str">
        <f>IFERROR(__xludf.DUMMYFUNCTION("""COMPUTED_VALUE"""),"0702 565 845")</f>
        <v>0702 565 845</v>
      </c>
      <c r="B3860" s="119" t="str">
        <f>IFERROR(__xludf.DUMMYFUNCTION("""COMPUTED_VALUE"""),"Em Mỹ Duyên")</f>
        <v>Em Mỹ Duyên</v>
      </c>
      <c r="C3860" s="119" t="str">
        <f>IFERROR(__xludf.DUMMYFUNCTION("""COMPUTED_VALUE"""),"Ngã 3 Phú Mỹ")</f>
        <v>Ngã 3 Phú Mỹ</v>
      </c>
      <c r="D3860" s="119" t="str">
        <f>IFERROR(__xludf.DUMMYFUNCTION("""COMPUTED_VALUE"""),"Chó")</f>
        <v>Chó</v>
      </c>
      <c r="E3860" s="119" t="str">
        <f>IFERROR(__xludf.DUMMYFUNCTION("""COMPUTED_VALUE"""),"Đậu")</f>
        <v>Đậu</v>
      </c>
    </row>
    <row r="3861" ht="15.75" customHeight="1">
      <c r="A3861" s="122" t="str">
        <f>IFERROR(__xludf.DUMMYFUNCTION("""COMPUTED_VALUE"""),"0794 554 552")</f>
        <v>0794 554 552</v>
      </c>
      <c r="B3861" s="119" t="str">
        <f>IFERROR(__xludf.DUMMYFUNCTION("""COMPUTED_VALUE"""),"Anh Thịnh")</f>
        <v>Anh Thịnh</v>
      </c>
      <c r="C3861" s="119" t="str">
        <f>IFERROR(__xludf.DUMMYFUNCTION("""COMPUTED_VALUE"""),"481 Bùi thị Xuân")</f>
        <v>481 Bùi thị Xuân</v>
      </c>
      <c r="D3861" s="119" t="str">
        <f>IFERROR(__xludf.DUMMYFUNCTION("""COMPUTED_VALUE"""),"chó ")</f>
        <v>chó </v>
      </c>
      <c r="E3861" s="119" t="str">
        <f>IFERROR(__xludf.DUMMYFUNCTION("""COMPUTED_VALUE"""),"Lắc")</f>
        <v>Lắc</v>
      </c>
    </row>
    <row r="3862" ht="15.75" customHeight="1">
      <c r="A3862" s="122" t="str">
        <f>IFERROR(__xludf.DUMMYFUNCTION("""COMPUTED_VALUE"""),"0989 591 929")</f>
        <v>0989 591 929</v>
      </c>
      <c r="B3862" s="119" t="str">
        <f>IFERROR(__xludf.DUMMYFUNCTION("""COMPUTED_VALUE"""),"Em Thi")</f>
        <v>Em Thi</v>
      </c>
      <c r="C3862" s="119" t="str">
        <f>IFERROR(__xludf.DUMMYFUNCTION("""COMPUTED_VALUE"""),"106 Minh Mạng")</f>
        <v>106 Minh Mạng</v>
      </c>
      <c r="D3862" s="119" t="str">
        <f>IFERROR(__xludf.DUMMYFUNCTION("""COMPUTED_VALUE"""),"chó")</f>
        <v>chó</v>
      </c>
      <c r="E3862" s="119" t="str">
        <f>IFERROR(__xludf.DUMMYFUNCTION("""COMPUTED_VALUE""")," Lucky")</f>
        <v> Lucky</v>
      </c>
    </row>
    <row r="3863" ht="15.75" customHeight="1">
      <c r="A3863" s="122" t="str">
        <f>IFERROR(__xludf.DUMMYFUNCTION("""COMPUTED_VALUE"""),"0971 528 167")</f>
        <v>0971 528 167</v>
      </c>
      <c r="B3863" s="119" t="str">
        <f>IFERROR(__xludf.DUMMYFUNCTION("""COMPUTED_VALUE"""),"Chị Pha")</f>
        <v>Chị Pha</v>
      </c>
      <c r="C3863" s="119" t="str">
        <f>IFERROR(__xludf.DUMMYFUNCTION("""COMPUTED_VALUE"""),"4/227 Phan Bội Châu")</f>
        <v>4/227 Phan Bội Châu</v>
      </c>
      <c r="D3863" s="119" t="str">
        <f>IFERROR(__xludf.DUMMYFUNCTION("""COMPUTED_VALUE"""),"mèo")</f>
        <v>mèo</v>
      </c>
      <c r="E3863" s="119" t="str">
        <f>IFERROR(__xludf.DUMMYFUNCTION("""COMPUTED_VALUE"""),"Bánh Gấu- Bánh Kem")</f>
        <v>Bánh Gấu- Bánh Kem</v>
      </c>
    </row>
    <row r="3864" ht="15.75" customHeight="1">
      <c r="A3864" s="122" t="str">
        <f>IFERROR(__xludf.DUMMYFUNCTION("""COMPUTED_VALUE"""),"0935 261 210")</f>
        <v>0935 261 210</v>
      </c>
      <c r="B3864" s="119" t="str">
        <f>IFERROR(__xludf.DUMMYFUNCTION("""COMPUTED_VALUE"""),"Em Minh")</f>
        <v>Em Minh</v>
      </c>
      <c r="C3864" s="119" t="str">
        <f>IFERROR(__xludf.DUMMYFUNCTION("""COMPUTED_VALUE"""),"30 Nguyễn Văn thoại")</f>
        <v>30 Nguyễn Văn thoại</v>
      </c>
      <c r="D3864" s="119" t="str">
        <f>IFERROR(__xludf.DUMMYFUNCTION("""COMPUTED_VALUE""")," mèo")</f>
        <v> mèo</v>
      </c>
      <c r="E3864" s="119" t="str">
        <f>IFERROR(__xludf.DUMMYFUNCTION("""COMPUTED_VALUE""")," Xám")</f>
        <v> Xám</v>
      </c>
    </row>
    <row r="3865" ht="15.75" customHeight="1">
      <c r="A3865" s="122" t="str">
        <f>IFERROR(__xludf.DUMMYFUNCTION("""COMPUTED_VALUE"""),"0981 212 033")</f>
        <v>0981 212 033</v>
      </c>
      <c r="B3865" s="119" t="str">
        <f>IFERROR(__xludf.DUMMYFUNCTION("""COMPUTED_VALUE"""),"Chị Nghê")</f>
        <v>Chị Nghê</v>
      </c>
      <c r="C3865" s="119" t="str">
        <f>IFERROR(__xludf.DUMMYFUNCTION("""COMPUTED_VALUE"""),"53 Xuân Diệu")</f>
        <v>53 Xuân Diệu</v>
      </c>
      <c r="D3865" s="119" t="str">
        <f>IFERROR(__xludf.DUMMYFUNCTION("""COMPUTED_VALUE"""),"chó")</f>
        <v>chó</v>
      </c>
      <c r="E3865" s="119" t="str">
        <f>IFERROR(__xludf.DUMMYFUNCTION("""COMPUTED_VALUE""")," Coca")</f>
        <v> Coca</v>
      </c>
    </row>
    <row r="3866" ht="15.75" customHeight="1">
      <c r="A3866" s="122" t="str">
        <f>IFERROR(__xludf.DUMMYFUNCTION("""COMPUTED_VALUE"""),"0702 657 765")</f>
        <v>0702 657 765</v>
      </c>
      <c r="B3866" s="119" t="str">
        <f>IFERROR(__xludf.DUMMYFUNCTION("""COMPUTED_VALUE"""),"Chị Vy")</f>
        <v>Chị Vy</v>
      </c>
      <c r="C3866" s="119" t="str">
        <f>IFERROR(__xludf.DUMMYFUNCTION("""COMPUTED_VALUE"""),"8/84 lê Ngô cát")</f>
        <v>8/84 lê Ngô cát</v>
      </c>
      <c r="D3866" s="119" t="str">
        <f>IFERROR(__xludf.DUMMYFUNCTION("""COMPUTED_VALUE"""),"chó")</f>
        <v>chó</v>
      </c>
      <c r="E3866" s="119" t="str">
        <f>IFERROR(__xludf.DUMMYFUNCTION("""COMPUTED_VALUE""")," Bò")</f>
        <v> Bò</v>
      </c>
    </row>
    <row r="3867" ht="15.75" customHeight="1">
      <c r="A3867" s="122" t="str">
        <f>IFERROR(__xludf.DUMMYFUNCTION("""COMPUTED_VALUE"""),"0865 159 463")</f>
        <v>0865 159 463</v>
      </c>
      <c r="B3867" s="119" t="str">
        <f>IFERROR(__xludf.DUMMYFUNCTION("""COMPUTED_VALUE"""),"Chị Minh Anh")</f>
        <v>Chị Minh Anh</v>
      </c>
      <c r="C3867" s="119" t="str">
        <f>IFERROR(__xludf.DUMMYFUNCTION("""COMPUTED_VALUE"""),"184 Điện Biên phủ")</f>
        <v>184 Điện Biên phủ</v>
      </c>
      <c r="D3867" s="119" t="str">
        <f>IFERROR(__xludf.DUMMYFUNCTION("""COMPUTED_VALUE"""),"mèo")</f>
        <v>mèo</v>
      </c>
      <c r="E3867" s="119" t="str">
        <f>IFERROR(__xludf.DUMMYFUNCTION("""COMPUTED_VALUE""")," Bông")</f>
        <v> Bông</v>
      </c>
    </row>
    <row r="3868" ht="15.75" customHeight="1">
      <c r="A3868" s="122" t="str">
        <f>IFERROR(__xludf.DUMMYFUNCTION("""COMPUTED_VALUE"""),"0333 018 884")</f>
        <v>0333 018 884</v>
      </c>
      <c r="B3868" s="119" t="str">
        <f>IFERROR(__xludf.DUMMYFUNCTION("""COMPUTED_VALUE"""),"ANh Hợi")</f>
        <v>ANh Hợi</v>
      </c>
      <c r="C3868" s="119" t="str">
        <f>IFERROR(__xludf.DUMMYFUNCTION("""COMPUTED_VALUE"""),"Phú Mỹ")</f>
        <v>Phú Mỹ</v>
      </c>
      <c r="D3868" s="119" t="str">
        <f>IFERROR(__xludf.DUMMYFUNCTION("""COMPUTED_VALUE"""),"Chó")</f>
        <v>Chó</v>
      </c>
      <c r="E3868" s="119" t="str">
        <f>IFERROR(__xludf.DUMMYFUNCTION("""COMPUTED_VALUE"""),"Mèo")</f>
        <v>Mèo</v>
      </c>
    </row>
    <row r="3869" ht="15.75" customHeight="1">
      <c r="A3869" s="122" t="str">
        <f>IFERROR(__xludf.DUMMYFUNCTION("""COMPUTED_VALUE"""),"0773 550 700")</f>
        <v>0773 550 700</v>
      </c>
      <c r="B3869" s="119" t="str">
        <f>IFERROR(__xludf.DUMMYFUNCTION("""COMPUTED_VALUE"""),"Anh Quý")</f>
        <v>Anh Quý</v>
      </c>
      <c r="C3869" s="119" t="str">
        <f>IFERROR(__xludf.DUMMYFUNCTION("""COMPUTED_VALUE"""),"7/205 Ngự Bình")</f>
        <v>7/205 Ngự Bình</v>
      </c>
      <c r="D3869" s="119" t="str">
        <f>IFERROR(__xludf.DUMMYFUNCTION("""COMPUTED_VALUE"""),"mèo")</f>
        <v>mèo</v>
      </c>
      <c r="E3869" s="119" t="str">
        <f>IFERROR(__xludf.DUMMYFUNCTION("""COMPUTED_VALUE"""),"mèo")</f>
        <v>mèo</v>
      </c>
    </row>
    <row r="3870" ht="15.75" customHeight="1">
      <c r="A3870" s="122" t="str">
        <f>IFERROR(__xludf.DUMMYFUNCTION("""COMPUTED_VALUE"""),"0394 476 235")</f>
        <v>0394 476 235</v>
      </c>
      <c r="B3870" s="119" t="str">
        <f>IFERROR(__xludf.DUMMYFUNCTION("""COMPUTED_VALUE"""),"Em Hải anh")</f>
        <v>Em Hải anh</v>
      </c>
      <c r="C3870" s="119" t="str">
        <f>IFERROR(__xludf.DUMMYFUNCTION("""COMPUTED_VALUE"""),"34/210 Phan Chu Trinh")</f>
        <v>34/210 Phan Chu Trinh</v>
      </c>
      <c r="D3870" s="119" t="str">
        <f>IFERROR(__xludf.DUMMYFUNCTION("""COMPUTED_VALUE"""),"chó")</f>
        <v>chó</v>
      </c>
      <c r="E3870" s="119" t="str">
        <f>IFERROR(__xludf.DUMMYFUNCTION("""COMPUTED_VALUE""")," Xuka")</f>
        <v> Xuka</v>
      </c>
    </row>
    <row r="3871" ht="15.75" customHeight="1">
      <c r="A3871" s="122" t="str">
        <f>IFERROR(__xludf.DUMMYFUNCTION("""COMPUTED_VALUE"""),"0945 811 812")</f>
        <v>0945 811 812</v>
      </c>
      <c r="B3871" s="119" t="str">
        <f>IFERROR(__xludf.DUMMYFUNCTION("""COMPUTED_VALUE"""),"Anh Đình Trí")</f>
        <v>Anh Đình Trí</v>
      </c>
      <c r="C3871" s="119" t="str">
        <f>IFERROR(__xludf.DUMMYFUNCTION("""COMPUTED_VALUE"""),"19 Thanh Hải")</f>
        <v>19 Thanh Hải</v>
      </c>
      <c r="D3871" s="119" t="str">
        <f>IFERROR(__xludf.DUMMYFUNCTION("""COMPUTED_VALUE"""),"chó ")</f>
        <v>chó </v>
      </c>
      <c r="E3871" s="119" t="str">
        <f>IFERROR(__xludf.DUMMYFUNCTION("""COMPUTED_VALUE"""),"ko tên")</f>
        <v>ko tên</v>
      </c>
    </row>
    <row r="3872" ht="15.75" customHeight="1">
      <c r="A3872" s="122" t="str">
        <f>IFERROR(__xludf.DUMMYFUNCTION("""COMPUTED_VALUE"""),"0849 900 127")</f>
        <v>0849 900 127</v>
      </c>
      <c r="B3872" s="119" t="str">
        <f>IFERROR(__xludf.DUMMYFUNCTION("""COMPUTED_VALUE"""),"Chị Sao Băng")</f>
        <v>Chị Sao Băng</v>
      </c>
      <c r="C3872" s="119" t="str">
        <f>IFERROR(__xludf.DUMMYFUNCTION("""COMPUTED_VALUE"""),"Khe Sanh, Hương Hòa, Quảng Trị")</f>
        <v>Khe Sanh, Hương Hòa, Quảng Trị</v>
      </c>
      <c r="D3872" s="119" t="str">
        <f>IFERROR(__xludf.DUMMYFUNCTION("""COMPUTED_VALUE"""),"chó")</f>
        <v>chó</v>
      </c>
      <c r="E3872" s="119" t="str">
        <f>IFERROR(__xludf.DUMMYFUNCTION("""COMPUTED_VALUE""")," Mây")</f>
        <v> Mây</v>
      </c>
    </row>
    <row r="3873" ht="15.75" customHeight="1">
      <c r="A3873" s="122" t="str">
        <f>IFERROR(__xludf.DUMMYFUNCTION("""COMPUTED_VALUE"""),"0932 446 072")</f>
        <v>0932 446 072</v>
      </c>
      <c r="B3873" s="119" t="str">
        <f>IFERROR(__xludf.DUMMYFUNCTION("""COMPUTED_VALUE"""),"Chú sơn")</f>
        <v>Chú sơn</v>
      </c>
      <c r="C3873" s="119" t="str">
        <f>IFERROR(__xludf.DUMMYFUNCTION("""COMPUTED_VALUE"""),"333 Điện Biên Phủ")</f>
        <v>333 Điện Biên Phủ</v>
      </c>
      <c r="D3873" s="119" t="str">
        <f>IFERROR(__xludf.DUMMYFUNCTION("""COMPUTED_VALUE"""),"chó")</f>
        <v>chó</v>
      </c>
      <c r="E3873" s="119" t="str">
        <f>IFERROR(__xludf.DUMMYFUNCTION("""COMPUTED_VALUE""")," Lu")</f>
        <v> Lu</v>
      </c>
    </row>
    <row r="3874" ht="15.75" customHeight="1">
      <c r="A3874" s="122" t="str">
        <f>IFERROR(__xludf.DUMMYFUNCTION("""COMPUTED_VALUE"""),"0896 223 475")</f>
        <v>0896 223 475</v>
      </c>
      <c r="B3874" s="119" t="str">
        <f>IFERROR(__xludf.DUMMYFUNCTION("""COMPUTED_VALUE"""),"Lê Na")</f>
        <v>Lê Na</v>
      </c>
      <c r="C3874" s="119" t="str">
        <f>IFERROR(__xludf.DUMMYFUNCTION("""COMPUTED_VALUE"""),"Chung cư Xuân Phú")</f>
        <v>Chung cư Xuân Phú</v>
      </c>
      <c r="D3874" s="119" t="str">
        <f>IFERROR(__xludf.DUMMYFUNCTION("""COMPUTED_VALUE"""),"Chuột")</f>
        <v>Chuột</v>
      </c>
      <c r="E3874" s="119"/>
    </row>
    <row r="3875" ht="15.75" customHeight="1">
      <c r="A3875" s="122" t="str">
        <f>IFERROR(__xludf.DUMMYFUNCTION("""COMPUTED_VALUE"""),"0932 516 794")</f>
        <v>0932 516 794</v>
      </c>
      <c r="B3875" s="119" t="str">
        <f>IFERROR(__xludf.DUMMYFUNCTION("""COMPUTED_VALUE"""),"Chị thúy Nhi")</f>
        <v>Chị thúy Nhi</v>
      </c>
      <c r="C3875" s="119" t="str">
        <f>IFERROR(__xludf.DUMMYFUNCTION("""COMPUTED_VALUE"""),"13/88 Nguyễn Khoa Chiêm")</f>
        <v>13/88 Nguyễn Khoa Chiêm</v>
      </c>
      <c r="D3875" s="119" t="str">
        <f>IFERROR(__xludf.DUMMYFUNCTION("""COMPUTED_VALUE"""),"chó")</f>
        <v>chó</v>
      </c>
      <c r="E3875" s="119" t="str">
        <f>IFERROR(__xludf.DUMMYFUNCTION("""COMPUTED_VALUE"""),"Bụng to")</f>
        <v>Bụng to</v>
      </c>
    </row>
    <row r="3876" ht="15.75" customHeight="1">
      <c r="A3876" s="122" t="str">
        <f>IFERROR(__xludf.DUMMYFUNCTION("""COMPUTED_VALUE"""),"0905 560 667")</f>
        <v>0905 560 667</v>
      </c>
      <c r="B3876" s="119" t="str">
        <f>IFERROR(__xludf.DUMMYFUNCTION("""COMPUTED_VALUE"""),"Thảo Nhi")</f>
        <v>Thảo Nhi</v>
      </c>
      <c r="C3876" s="119" t="str">
        <f>IFERROR(__xludf.DUMMYFUNCTION("""COMPUTED_VALUE"""),"307 Bùi Thị Xuân")</f>
        <v>307 Bùi Thị Xuân</v>
      </c>
      <c r="D3876" s="119" t="str">
        <f>IFERROR(__xludf.DUMMYFUNCTION("""COMPUTED_VALUE"""),"Mèo")</f>
        <v>Mèo</v>
      </c>
      <c r="E3876" s="119" t="str">
        <f>IFERROR(__xludf.DUMMYFUNCTION("""COMPUTED_VALUE"""),"Viên Minh")</f>
        <v>Viên Minh</v>
      </c>
    </row>
    <row r="3877" ht="15.75" customHeight="1">
      <c r="A3877" s="122" t="str">
        <f>IFERROR(__xludf.DUMMYFUNCTION("""COMPUTED_VALUE"""),"0389 297 985")</f>
        <v>0389 297 985</v>
      </c>
      <c r="B3877" s="119" t="str">
        <f>IFERROR(__xludf.DUMMYFUNCTION("""COMPUTED_VALUE"""),"Em Khang")</f>
        <v>Em Khang</v>
      </c>
      <c r="C3877" s="119" t="str">
        <f>IFERROR(__xludf.DUMMYFUNCTION("""COMPUTED_VALUE"""),"23/131 Trần Phú")</f>
        <v>23/131 Trần Phú</v>
      </c>
      <c r="D3877" s="119" t="str">
        <f>IFERROR(__xludf.DUMMYFUNCTION("""COMPUTED_VALUE"""),"mèo ")</f>
        <v>mèo </v>
      </c>
      <c r="E3877" s="119" t="str">
        <f>IFERROR(__xludf.DUMMYFUNCTION("""COMPUTED_VALUE"""),"Miu")</f>
        <v>Miu</v>
      </c>
    </row>
    <row r="3878" ht="15.75" customHeight="1">
      <c r="A3878" s="122" t="str">
        <f>IFERROR(__xludf.DUMMYFUNCTION("""COMPUTED_VALUE"""),"0916 441 525")</f>
        <v>0916 441 525</v>
      </c>
      <c r="B3878" s="119" t="str">
        <f>IFERROR(__xludf.DUMMYFUNCTION("""COMPUTED_VALUE"""),"Chị Tiên")</f>
        <v>Chị Tiên</v>
      </c>
      <c r="C3878" s="119" t="str">
        <f>IFERROR(__xludf.DUMMYFUNCTION("""COMPUTED_VALUE"""),"Bùi Thị Xuân")</f>
        <v>Bùi Thị Xuân</v>
      </c>
      <c r="D3878" s="119" t="str">
        <f>IFERROR(__xludf.DUMMYFUNCTION("""COMPUTED_VALUE"""),"chó")</f>
        <v>chó</v>
      </c>
      <c r="E3878" s="119" t="str">
        <f>IFERROR(__xludf.DUMMYFUNCTION("""COMPUTED_VALUE"""),"MiMi")</f>
        <v>MiMi</v>
      </c>
    </row>
    <row r="3879" ht="15.75" customHeight="1">
      <c r="A3879" s="122" t="str">
        <f>IFERROR(__xludf.DUMMYFUNCTION("""COMPUTED_VALUE"""),"0375 139 456")</f>
        <v>0375 139 456</v>
      </c>
      <c r="B3879" s="119" t="str">
        <f>IFERROR(__xludf.DUMMYFUNCTION("""COMPUTED_VALUE"""),"Chị Thu Hà")</f>
        <v>Chị Thu Hà</v>
      </c>
      <c r="C3879" s="119" t="str">
        <f>IFERROR(__xludf.DUMMYFUNCTION("""COMPUTED_VALUE"""),"25/57 Hai Bà Trưng")</f>
        <v>25/57 Hai Bà Trưng</v>
      </c>
      <c r="D3879" s="119" t="str">
        <f>IFERROR(__xludf.DUMMYFUNCTION("""COMPUTED_VALUE"""),"chó")</f>
        <v>chó</v>
      </c>
      <c r="E3879" s="119" t="str">
        <f>IFERROR(__xludf.DUMMYFUNCTION("""COMPUTED_VALUE"""),"Sữa")</f>
        <v>Sữa</v>
      </c>
    </row>
    <row r="3880" ht="15.75" customHeight="1">
      <c r="A3880" s="122" t="str">
        <f>IFERROR(__xludf.DUMMYFUNCTION("""COMPUTED_VALUE"""),"0783 132 150")</f>
        <v>0783 132 150</v>
      </c>
      <c r="B3880" s="119" t="str">
        <f>IFERROR(__xludf.DUMMYFUNCTION("""COMPUTED_VALUE"""),"Chị Hiền")</f>
        <v>Chị Hiền</v>
      </c>
      <c r="C3880" s="119" t="str">
        <f>IFERROR(__xludf.DUMMYFUNCTION("""COMPUTED_VALUE"""),"10/65 Lê Ngô Cát")</f>
        <v>10/65 Lê Ngô Cát</v>
      </c>
      <c r="D3880" s="119" t="str">
        <f>IFERROR(__xludf.DUMMYFUNCTION("""COMPUTED_VALUE"""),"chó")</f>
        <v>chó</v>
      </c>
      <c r="E3880" s="119"/>
    </row>
    <row r="3881" ht="15.75" customHeight="1">
      <c r="A3881" s="122" t="str">
        <f>IFERROR(__xludf.DUMMYFUNCTION("""COMPUTED_VALUE"""),"0984 775 000")</f>
        <v>0984 775 000</v>
      </c>
      <c r="B3881" s="119" t="str">
        <f>IFERROR(__xludf.DUMMYFUNCTION("""COMPUTED_VALUE"""),"Chị Nhung")</f>
        <v>Chị Nhung</v>
      </c>
      <c r="C3881" s="119" t="str">
        <f>IFERROR(__xludf.DUMMYFUNCTION("""COMPUTED_VALUE"""),"16 Hàm Nghi")</f>
        <v>16 Hàm Nghi</v>
      </c>
      <c r="D3881" s="119" t="str">
        <f>IFERROR(__xludf.DUMMYFUNCTION("""COMPUTED_VALUE"""),"chó")</f>
        <v>chó</v>
      </c>
      <c r="E3881" s="119" t="str">
        <f>IFERROR(__xludf.DUMMYFUNCTION("""COMPUTED_VALUE""")," Gấu")</f>
        <v> Gấu</v>
      </c>
    </row>
    <row r="3882" ht="15.75" customHeight="1">
      <c r="A3882" s="122" t="str">
        <f>IFERROR(__xludf.DUMMYFUNCTION("""COMPUTED_VALUE"""),"0768 073 241")</f>
        <v>0768 073 241</v>
      </c>
      <c r="B3882" s="119" t="str">
        <f>IFERROR(__xludf.DUMMYFUNCTION("""COMPUTED_VALUE"""),"Chị Trâm")</f>
        <v>Chị Trâm</v>
      </c>
      <c r="C3882" s="119" t="str">
        <f>IFERROR(__xludf.DUMMYFUNCTION("""COMPUTED_VALUE"""),"1/44/131 Trân phú")</f>
        <v>1/44/131 Trân phú</v>
      </c>
      <c r="D3882" s="119" t="str">
        <f>IFERROR(__xludf.DUMMYFUNCTION("""COMPUTED_VALUE"""),"chó")</f>
        <v>chó</v>
      </c>
      <c r="E3882" s="119" t="str">
        <f>IFERROR(__xludf.DUMMYFUNCTION("""COMPUTED_VALUE"""),"Rốt")</f>
        <v>Rốt</v>
      </c>
    </row>
    <row r="3883" ht="15.75" customHeight="1">
      <c r="A3883" s="122" t="str">
        <f>IFERROR(__xludf.DUMMYFUNCTION("""COMPUTED_VALUE"""),"0937 439 595")</f>
        <v>0937 439 595</v>
      </c>
      <c r="B3883" s="119" t="str">
        <f>IFERROR(__xludf.DUMMYFUNCTION("""COMPUTED_VALUE"""),"Anh Trí")</f>
        <v>Anh Trí</v>
      </c>
      <c r="C3883" s="119" t="str">
        <f>IFERROR(__xludf.DUMMYFUNCTION("""COMPUTED_VALUE"""),"38/210 phan Chu Trinh")</f>
        <v>38/210 phan Chu Trinh</v>
      </c>
      <c r="D3883" s="119" t="str">
        <f>IFERROR(__xludf.DUMMYFUNCTION("""COMPUTED_VALUE"""),"chó ")</f>
        <v>chó </v>
      </c>
      <c r="E3883" s="119" t="str">
        <f>IFERROR(__xludf.DUMMYFUNCTION("""COMPUTED_VALUE"""),"Muối")</f>
        <v>Muối</v>
      </c>
    </row>
    <row r="3884" ht="15.75" customHeight="1">
      <c r="A3884" s="122" t="str">
        <f>IFERROR(__xludf.DUMMYFUNCTION("""COMPUTED_VALUE"""),"0963 790 953")</f>
        <v>0963 790 953</v>
      </c>
      <c r="B3884" s="119" t="str">
        <f>IFERROR(__xludf.DUMMYFUNCTION("""COMPUTED_VALUE"""),"anh hải")</f>
        <v>anh hải</v>
      </c>
      <c r="C3884" s="119" t="str">
        <f>IFERROR(__xludf.DUMMYFUNCTION("""COMPUTED_VALUE"""),"6/13/88 nguyễn khoa chiêm")</f>
        <v>6/13/88 nguyễn khoa chiêm</v>
      </c>
      <c r="D3884" s="119" t="str">
        <f>IFERROR(__xludf.DUMMYFUNCTION("""COMPUTED_VALUE"""),"chó")</f>
        <v>chó</v>
      </c>
      <c r="E3884" s="119" t="str">
        <f>IFERROR(__xludf.DUMMYFUNCTION("""COMPUTED_VALUE"""),"tép,cá")</f>
        <v>tép,cá</v>
      </c>
    </row>
    <row r="3885" ht="15.75" customHeight="1">
      <c r="A3885" s="122" t="str">
        <f>IFERROR(__xludf.DUMMYFUNCTION("""COMPUTED_VALUE"""),"0918 128 119")</f>
        <v>0918 128 119</v>
      </c>
      <c r="B3885" s="119" t="str">
        <f>IFERROR(__xludf.DUMMYFUNCTION("""COMPUTED_VALUE"""),"Phạm Thị Thu La")</f>
        <v>Phạm Thị Thu La</v>
      </c>
      <c r="C3885" s="119" t="str">
        <f>IFERROR(__xludf.DUMMYFUNCTION("""COMPUTED_VALUE"""),"12/20/120 Điện Biên phủ")</f>
        <v>12/20/120 Điện Biên phủ</v>
      </c>
      <c r="D3885" s="119" t="str">
        <f>IFERROR(__xludf.DUMMYFUNCTION("""COMPUTED_VALUE"""),"chó ")</f>
        <v>chó </v>
      </c>
      <c r="E3885" s="119" t="str">
        <f>IFERROR(__xludf.DUMMYFUNCTION("""COMPUTED_VALUE"""),"Xề")</f>
        <v>Xề</v>
      </c>
    </row>
    <row r="3886" ht="15.75" customHeight="1">
      <c r="A3886" s="122" t="str">
        <f>IFERROR(__xludf.DUMMYFUNCTION("""COMPUTED_VALUE"""),"0989 687 826")</f>
        <v>0989 687 826</v>
      </c>
      <c r="B3886" s="119" t="str">
        <f>IFERROR(__xludf.DUMMYFUNCTION("""COMPUTED_VALUE"""),"Chú Mẫn")</f>
        <v>Chú Mẫn</v>
      </c>
      <c r="C3886" s="119" t="str">
        <f>IFERROR(__xludf.DUMMYFUNCTION("""COMPUTED_VALUE"""),"Phạm Thị Liên")</f>
        <v>Phạm Thị Liên</v>
      </c>
      <c r="D3886" s="119" t="str">
        <f>IFERROR(__xludf.DUMMYFUNCTION("""COMPUTED_VALUE"""),"mèo")</f>
        <v>mèo</v>
      </c>
      <c r="E3886" s="119" t="str">
        <f>IFERROR(__xludf.DUMMYFUNCTION("""COMPUTED_VALUE"""),"Miu")</f>
        <v>Miu</v>
      </c>
    </row>
    <row r="3887" ht="15.75" customHeight="1">
      <c r="A3887" s="122" t="str">
        <f>IFERROR(__xludf.DUMMYFUNCTION("""COMPUTED_VALUE"""),"0787 796 206")</f>
        <v>0787 796 206</v>
      </c>
      <c r="B3887" s="119" t="str">
        <f>IFERROR(__xludf.DUMMYFUNCTION("""COMPUTED_VALUE"""),"dì Ky")</f>
        <v>dì Ky</v>
      </c>
      <c r="C3887" s="119" t="str">
        <f>IFERROR(__xludf.DUMMYFUNCTION("""COMPUTED_VALUE"""),"22 k 91 Thích Tịnh Khiết")</f>
        <v>22 k 91 Thích Tịnh Khiết</v>
      </c>
      <c r="D3887" s="119" t="str">
        <f>IFERROR(__xludf.DUMMYFUNCTION("""COMPUTED_VALUE"""),"mèo")</f>
        <v>mèo</v>
      </c>
      <c r="E3887" s="119" t="str">
        <f>IFERROR(__xludf.DUMMYFUNCTION("""COMPUTED_VALUE"""),"Sấm")</f>
        <v>Sấm</v>
      </c>
    </row>
    <row r="3888" ht="15.75" customHeight="1">
      <c r="A3888" s="122" t="str">
        <f>IFERROR(__xludf.DUMMYFUNCTION("""COMPUTED_VALUE"""),"0935 051 276")</f>
        <v>0935 051 276</v>
      </c>
      <c r="B3888" s="119" t="str">
        <f>IFERROR(__xludf.DUMMYFUNCTION("""COMPUTED_VALUE"""),"Dì Lan")</f>
        <v>Dì Lan</v>
      </c>
      <c r="C3888" s="119" t="str">
        <f>IFERROR(__xludf.DUMMYFUNCTION("""COMPUTED_VALUE"""),"131 Trần Phú")</f>
        <v>131 Trần Phú</v>
      </c>
      <c r="D3888" s="119" t="str">
        <f>IFERROR(__xludf.DUMMYFUNCTION("""COMPUTED_VALUE"""),"chó")</f>
        <v>chó</v>
      </c>
      <c r="E3888" s="119" t="str">
        <f>IFERROR(__xludf.DUMMYFUNCTION("""COMPUTED_VALUE""")," Lu")</f>
        <v> Lu</v>
      </c>
    </row>
    <row r="3889" ht="15.75" customHeight="1">
      <c r="A3889" s="122" t="str">
        <f>IFERROR(__xludf.DUMMYFUNCTION("""COMPUTED_VALUE"""),"0858 877 089")</f>
        <v>0858 877 089</v>
      </c>
      <c r="B3889" s="119" t="str">
        <f>IFERROR(__xludf.DUMMYFUNCTION("""COMPUTED_VALUE"""),"Bảo Châu")</f>
        <v>Bảo Châu</v>
      </c>
      <c r="C3889" s="119" t="str">
        <f>IFERROR(__xludf.DUMMYFUNCTION("""COMPUTED_VALUE"""),"xóm 1 Ngọc Anh")</f>
        <v>xóm 1 Ngọc Anh</v>
      </c>
      <c r="D3889" s="119" t="str">
        <f>IFERROR(__xludf.DUMMYFUNCTION("""COMPUTED_VALUE"""),"chó")</f>
        <v>chó</v>
      </c>
      <c r="E3889" s="119" t="str">
        <f>IFERROR(__xludf.DUMMYFUNCTION("""COMPUTED_VALUE"""),"Omo")</f>
        <v>Omo</v>
      </c>
    </row>
    <row r="3890" ht="15.75" customHeight="1">
      <c r="A3890" s="122" t="str">
        <f>IFERROR(__xludf.DUMMYFUNCTION("""COMPUTED_VALUE"""),"0337 347 339")</f>
        <v>0337 347 339</v>
      </c>
      <c r="B3890" s="119" t="str">
        <f>IFERROR(__xludf.DUMMYFUNCTION("""COMPUTED_VALUE"""),"Anh Minh")</f>
        <v>Anh Minh</v>
      </c>
      <c r="C3890" s="119" t="str">
        <f>IFERROR(__xludf.DUMMYFUNCTION("""COMPUTED_VALUE"""),"An Xuân Tây, Quảng Điền")</f>
        <v>An Xuân Tây, Quảng Điền</v>
      </c>
      <c r="D3890" s="119" t="str">
        <f>IFERROR(__xludf.DUMMYFUNCTION("""COMPUTED_VALUE"""),"chó")</f>
        <v>chó</v>
      </c>
      <c r="E3890" s="119" t="str">
        <f>IFERROR(__xludf.DUMMYFUNCTION("""COMPUTED_VALUE"""),"Mít")</f>
        <v>Mít</v>
      </c>
    </row>
    <row r="3891" ht="15.75" customHeight="1">
      <c r="A3891" s="122" t="str">
        <f>IFERROR(__xludf.DUMMYFUNCTION("""COMPUTED_VALUE"""),"0982 990 217")</f>
        <v>0982 990 217</v>
      </c>
      <c r="B3891" s="119" t="str">
        <f>IFERROR(__xludf.DUMMYFUNCTION("""COMPUTED_VALUE"""),"Anh Đức")</f>
        <v>Anh Đức</v>
      </c>
      <c r="C3891" s="119" t="str">
        <f>IFERROR(__xludf.DUMMYFUNCTION("""COMPUTED_VALUE"""),"62 Tố Hữu")</f>
        <v>62 Tố Hữu</v>
      </c>
      <c r="D3891" s="119" t="str">
        <f>IFERROR(__xludf.DUMMYFUNCTION("""COMPUTED_VALUE"""),"mèo")</f>
        <v>mèo</v>
      </c>
      <c r="E3891" s="119" t="str">
        <f>IFERROR(__xludf.DUMMYFUNCTION("""COMPUTED_VALUE"""),"Xuly")</f>
        <v>Xuly</v>
      </c>
    </row>
    <row r="3892" ht="15.75" customHeight="1">
      <c r="A3892" s="122" t="str">
        <f>IFERROR(__xludf.DUMMYFUNCTION("""COMPUTED_VALUE"""),"0774 426 875")</f>
        <v>0774 426 875</v>
      </c>
      <c r="B3892" s="119" t="str">
        <f>IFERROR(__xludf.DUMMYFUNCTION("""COMPUTED_VALUE"""),"Chị Quỳnh ")</f>
        <v>Chị Quỳnh </v>
      </c>
      <c r="C3892" s="119" t="str">
        <f>IFERROR(__xludf.DUMMYFUNCTION("""COMPUTED_VALUE"""),"Thuận  An")</f>
        <v>Thuận  An</v>
      </c>
      <c r="D3892" s="119" t="str">
        <f>IFERROR(__xludf.DUMMYFUNCTION("""COMPUTED_VALUE"""),"chó")</f>
        <v>chó</v>
      </c>
      <c r="E3892" s="119" t="str">
        <f>IFERROR(__xludf.DUMMYFUNCTION("""COMPUTED_VALUE""")," Quắn")</f>
        <v> Quắn</v>
      </c>
    </row>
    <row r="3893" ht="15.75" customHeight="1">
      <c r="A3893" s="122" t="str">
        <f>IFERROR(__xludf.DUMMYFUNCTION("""COMPUTED_VALUE"""),"0812 811 780")</f>
        <v>0812 811 780</v>
      </c>
      <c r="B3893" s="119" t="str">
        <f>IFERROR(__xludf.DUMMYFUNCTION("""COMPUTED_VALUE"""),"Anh Nhật")</f>
        <v>Anh Nhật</v>
      </c>
      <c r="C3893" s="119" t="str">
        <f>IFERROR(__xludf.DUMMYFUNCTION("""COMPUTED_VALUE"""),"105 Nguyễn Sinh Cung")</f>
        <v>105 Nguyễn Sinh Cung</v>
      </c>
      <c r="D3893" s="119" t="str">
        <f>IFERROR(__xludf.DUMMYFUNCTION("""COMPUTED_VALUE"""),"chó")</f>
        <v>chó</v>
      </c>
      <c r="E3893" s="119" t="str">
        <f>IFERROR(__xludf.DUMMYFUNCTION("""COMPUTED_VALUE""")," ko tên")</f>
        <v> ko tên</v>
      </c>
    </row>
    <row r="3894" ht="15.75" customHeight="1">
      <c r="A3894" s="122" t="str">
        <f>IFERROR(__xludf.DUMMYFUNCTION("""COMPUTED_VALUE"""),"0772 792 099")</f>
        <v>0772 792 099</v>
      </c>
      <c r="B3894" s="119" t="str">
        <f>IFERROR(__xludf.DUMMYFUNCTION("""COMPUTED_VALUE"""),"Chị Thảo My")</f>
        <v>Chị Thảo My</v>
      </c>
      <c r="C3894" s="119" t="str">
        <f>IFERROR(__xludf.DUMMYFUNCTION("""COMPUTED_VALUE"""),"3/17 Trần phú")</f>
        <v>3/17 Trần phú</v>
      </c>
      <c r="D3894" s="119" t="str">
        <f>IFERROR(__xludf.DUMMYFUNCTION("""COMPUTED_VALUE"""),"mèo")</f>
        <v>mèo</v>
      </c>
      <c r="E3894" s="119" t="str">
        <f>IFERROR(__xludf.DUMMYFUNCTION("""COMPUTED_VALUE"""),"Beo")</f>
        <v>Beo</v>
      </c>
    </row>
    <row r="3895" ht="15.75" customHeight="1">
      <c r="A3895" s="122" t="str">
        <f>IFERROR(__xludf.DUMMYFUNCTION("""COMPUTED_VALUE"""),"0914 215 537")</f>
        <v>0914 215 537</v>
      </c>
      <c r="B3895" s="119" t="str">
        <f>IFERROR(__xludf.DUMMYFUNCTION("""COMPUTED_VALUE"""),"Anh Hiền")</f>
        <v>Anh Hiền</v>
      </c>
      <c r="C3895" s="119" t="str">
        <f>IFERROR(__xludf.DUMMYFUNCTION("""COMPUTED_VALUE"""),"483 A Bùi Thị Xuân")</f>
        <v>483 A Bùi Thị Xuân</v>
      </c>
      <c r="D3895" s="119" t="str">
        <f>IFERROR(__xludf.DUMMYFUNCTION("""COMPUTED_VALUE"""),"mèo")</f>
        <v>mèo</v>
      </c>
      <c r="E3895" s="119" t="str">
        <f>IFERROR(__xludf.DUMMYFUNCTION("""COMPUTED_VALUE"""),"ko tên")</f>
        <v>ko tên</v>
      </c>
    </row>
    <row r="3896" ht="15.75" customHeight="1">
      <c r="A3896" s="122" t="str">
        <f>IFERROR(__xludf.DUMMYFUNCTION("""COMPUTED_VALUE"""),"0935 465 710")</f>
        <v>0935 465 710</v>
      </c>
      <c r="B3896" s="119" t="str">
        <f>IFERROR(__xludf.DUMMYFUNCTION("""COMPUTED_VALUE"""),"Anh Bách")</f>
        <v>Anh Bách</v>
      </c>
      <c r="C3896" s="119" t="str">
        <f>IFERROR(__xludf.DUMMYFUNCTION("""COMPUTED_VALUE"""),"1/92 Đặng Huy Trứ")</f>
        <v>1/92 Đặng Huy Trứ</v>
      </c>
      <c r="D3896" s="119" t="str">
        <f>IFERROR(__xludf.DUMMYFUNCTION("""COMPUTED_VALUE"""),"mèo")</f>
        <v>mèo</v>
      </c>
      <c r="E3896" s="119" t="str">
        <f>IFERROR(__xludf.DUMMYFUNCTION("""COMPUTED_VALUE"""),"ky")</f>
        <v>ky</v>
      </c>
    </row>
    <row r="3897" ht="15.75" customHeight="1">
      <c r="A3897" s="122" t="str">
        <f>IFERROR(__xludf.DUMMYFUNCTION("""COMPUTED_VALUE"""),"0784 297 103")</f>
        <v>0784 297 103</v>
      </c>
      <c r="B3897" s="119" t="str">
        <f>IFERROR(__xludf.DUMMYFUNCTION("""COMPUTED_VALUE"""),"Anh Huy")</f>
        <v>Anh Huy</v>
      </c>
      <c r="C3897" s="119" t="str">
        <f>IFERROR(__xludf.DUMMYFUNCTION("""COMPUTED_VALUE"""),"lô A 24 bầu Vá")</f>
        <v>lô A 24 bầu Vá</v>
      </c>
      <c r="D3897" s="119" t="str">
        <f>IFERROR(__xludf.DUMMYFUNCTION("""COMPUTED_VALUE"""),"chó")</f>
        <v>chó</v>
      </c>
      <c r="E3897" s="119" t="str">
        <f>IFERROR(__xludf.DUMMYFUNCTION("""COMPUTED_VALUE"""),"Rốt")</f>
        <v>Rốt</v>
      </c>
    </row>
    <row r="3898" ht="15.75" customHeight="1">
      <c r="A3898" s="122" t="str">
        <f>IFERROR(__xludf.DUMMYFUNCTION("""COMPUTED_VALUE"""),"0799 340 427")</f>
        <v>0799 340 427</v>
      </c>
      <c r="B3898" s="119" t="str">
        <f>IFERROR(__xludf.DUMMYFUNCTION("""COMPUTED_VALUE"""),"Anh Phạm Ngọc Phi")</f>
        <v>Anh Phạm Ngọc Phi</v>
      </c>
      <c r="C3898" s="119" t="str">
        <f>IFERROR(__xludf.DUMMYFUNCTION("""COMPUTED_VALUE"""),"91 Tôn Thất kỳ dương")</f>
        <v>91 Tôn Thất kỳ dương</v>
      </c>
      <c r="D3898" s="119" t="str">
        <f>IFERROR(__xludf.DUMMYFUNCTION("""COMPUTED_VALUE"""),"mèo")</f>
        <v>mèo</v>
      </c>
      <c r="E3898" s="119" t="str">
        <f>IFERROR(__xludf.DUMMYFUNCTION("""COMPUTED_VALUE"""),"Mia")</f>
        <v>Mia</v>
      </c>
    </row>
    <row r="3899" ht="15.75" customHeight="1">
      <c r="A3899" s="122" t="str">
        <f>IFERROR(__xludf.DUMMYFUNCTION("""COMPUTED_VALUE"""),"0935 898 098")</f>
        <v>0935 898 098</v>
      </c>
      <c r="B3899" s="119" t="str">
        <f>IFERROR(__xludf.DUMMYFUNCTION("""COMPUTED_VALUE"""),"Chiị Võ thị Tuất")</f>
        <v>Chiị Võ thị Tuất</v>
      </c>
      <c r="C3899" s="119" t="str">
        <f>IFERROR(__xludf.DUMMYFUNCTION("""COMPUTED_VALUE"""),"2/4 Hoai thanh")</f>
        <v>2/4 Hoai thanh</v>
      </c>
      <c r="D3899" s="119" t="str">
        <f>IFERROR(__xludf.DUMMYFUNCTION("""COMPUTED_VALUE"""),"chó")</f>
        <v>chó</v>
      </c>
      <c r="E3899" s="119" t="str">
        <f>IFERROR(__xludf.DUMMYFUNCTION("""COMPUTED_VALUE""")," Rê")</f>
        <v> Rê</v>
      </c>
    </row>
    <row r="3900" ht="15.75" customHeight="1">
      <c r="A3900" s="122" t="str">
        <f>IFERROR(__xludf.DUMMYFUNCTION("""COMPUTED_VALUE"""),"0796 606 333")</f>
        <v>0796 606 333</v>
      </c>
      <c r="B3900" s="119" t="str">
        <f>IFERROR(__xludf.DUMMYFUNCTION("""COMPUTED_VALUE"""),"Chị Pha")</f>
        <v>Chị Pha</v>
      </c>
      <c r="C3900" s="119" t="str">
        <f>IFERROR(__xludf.DUMMYFUNCTION("""COMPUTED_VALUE"""),"180 Phạm Văn Đồng")</f>
        <v>180 Phạm Văn Đồng</v>
      </c>
      <c r="D3900" s="119" t="str">
        <f>IFERROR(__xludf.DUMMYFUNCTION("""COMPUTED_VALUE"""),"chó")</f>
        <v>chó</v>
      </c>
      <c r="E3900" s="119" t="str">
        <f>IFERROR(__xludf.DUMMYFUNCTION("""COMPUTED_VALUE"""),"My")</f>
        <v>My</v>
      </c>
    </row>
    <row r="3901" ht="15.75" customHeight="1">
      <c r="A3901" s="122" t="str">
        <f>IFERROR(__xludf.DUMMYFUNCTION("""COMPUTED_VALUE"""),"0971 580 396")</f>
        <v>0971 580 396</v>
      </c>
      <c r="B3901" s="119" t="str">
        <f>IFERROR(__xludf.DUMMYFUNCTION("""COMPUTED_VALUE"""),"Chị Vân")</f>
        <v>Chị Vân</v>
      </c>
      <c r="C3901" s="119" t="str">
        <f>IFERROR(__xludf.DUMMYFUNCTION("""COMPUTED_VALUE"""),"k81 Nguyễn Huệ")</f>
        <v>k81 Nguyễn Huệ</v>
      </c>
      <c r="D3901" s="119" t="str">
        <f>IFERROR(__xludf.DUMMYFUNCTION("""COMPUTED_VALUE"""),"chó")</f>
        <v>chó</v>
      </c>
      <c r="E3901" s="119" t="str">
        <f>IFERROR(__xludf.DUMMYFUNCTION("""COMPUTED_VALUE"""),"Lu")</f>
        <v>Lu</v>
      </c>
    </row>
    <row r="3902" ht="15.75" customHeight="1">
      <c r="A3902" s="122" t="str">
        <f>IFERROR(__xludf.DUMMYFUNCTION("""COMPUTED_VALUE"""),"0898 168 899")</f>
        <v>0898 168 899</v>
      </c>
      <c r="B3902" s="119" t="str">
        <f>IFERROR(__xludf.DUMMYFUNCTION("""COMPUTED_VALUE"""),"Anh Hoàng")</f>
        <v>Anh Hoàng</v>
      </c>
      <c r="C3902" s="119" t="str">
        <f>IFERROR(__xludf.DUMMYFUNCTION("""COMPUTED_VALUE"""),"Thuỷ Dương")</f>
        <v>Thuỷ Dương</v>
      </c>
      <c r="D3902" s="119" t="str">
        <f>IFERROR(__xludf.DUMMYFUNCTION("""COMPUTED_VALUE"""),"chó")</f>
        <v>chó</v>
      </c>
      <c r="E3902" s="119" t="str">
        <f>IFERROR(__xludf.DUMMYFUNCTION("""COMPUTED_VALUE"""),"Milu")</f>
        <v>Milu</v>
      </c>
    </row>
    <row r="3903" ht="15.75" customHeight="1">
      <c r="A3903" s="122" t="str">
        <f>IFERROR(__xludf.DUMMYFUNCTION("""COMPUTED_VALUE"""),"0812 176 445")</f>
        <v>0812 176 445</v>
      </c>
      <c r="B3903" s="119" t="str">
        <f>IFERROR(__xludf.DUMMYFUNCTION("""COMPUTED_VALUE"""),"Bảo Trâm")</f>
        <v>Bảo Trâm</v>
      </c>
      <c r="C3903" s="119" t="str">
        <f>IFERROR(__xludf.DUMMYFUNCTION("""COMPUTED_VALUE"""),"10 Dương Xuân")</f>
        <v>10 Dương Xuân</v>
      </c>
      <c r="D3903" s="119" t="str">
        <f>IFERROR(__xludf.DUMMYFUNCTION("""COMPUTED_VALUE"""),"chó")</f>
        <v>chó</v>
      </c>
      <c r="E3903" s="119" t="str">
        <f>IFERROR(__xludf.DUMMYFUNCTION("""COMPUTED_VALUE""")," Ky")</f>
        <v> Ky</v>
      </c>
    </row>
    <row r="3904" ht="15.75" customHeight="1">
      <c r="A3904" s="122" t="str">
        <f>IFERROR(__xludf.DUMMYFUNCTION("""COMPUTED_VALUE"""),"0969 074 898")</f>
        <v>0969 074 898</v>
      </c>
      <c r="B3904" s="119" t="str">
        <f>IFERROR(__xludf.DUMMYFUNCTION("""COMPUTED_VALUE"""),"Chị Hoa")</f>
        <v>Chị Hoa</v>
      </c>
      <c r="C3904" s="119" t="str">
        <f>IFERROR(__xludf.DUMMYFUNCTION("""COMPUTED_VALUE"""),"54/128 Nguyễn khoa chiêm")</f>
        <v>54/128 Nguyễn khoa chiêm</v>
      </c>
      <c r="D3904" s="119" t="str">
        <f>IFERROR(__xludf.DUMMYFUNCTION("""COMPUTED_VALUE"""),"mèo")</f>
        <v>mèo</v>
      </c>
      <c r="E3904" s="119" t="str">
        <f>IFERROR(__xludf.DUMMYFUNCTION("""COMPUTED_VALUE"""),"Ngơ")</f>
        <v>Ngơ</v>
      </c>
    </row>
    <row r="3905" ht="15.75" customHeight="1">
      <c r="A3905" s="122" t="str">
        <f>IFERROR(__xludf.DUMMYFUNCTION("""COMPUTED_VALUE"""),"0824 599 906")</f>
        <v>0824 599 906</v>
      </c>
      <c r="B3905" s="119" t="str">
        <f>IFERROR(__xludf.DUMMYFUNCTION("""COMPUTED_VALUE"""),"Chị Nga")</f>
        <v>Chị Nga</v>
      </c>
      <c r="C3905" s="119" t="str">
        <f>IFERROR(__xludf.DUMMYFUNCTION("""COMPUTED_VALUE"""),"6 Nguyễn Phúc Chu")</f>
        <v>6 Nguyễn Phúc Chu</v>
      </c>
      <c r="D3905" s="119" t="str">
        <f>IFERROR(__xludf.DUMMYFUNCTION("""COMPUTED_VALUE"""),"chó")</f>
        <v>chó</v>
      </c>
      <c r="E3905" s="119" t="str">
        <f>IFERROR(__xludf.DUMMYFUNCTION("""COMPUTED_VALUE"""),"Lem")</f>
        <v>Lem</v>
      </c>
    </row>
    <row r="3906" ht="15.75" customHeight="1">
      <c r="A3906" s="122" t="str">
        <f>IFERROR(__xludf.DUMMYFUNCTION("""COMPUTED_VALUE"""),"0905 884 894")</f>
        <v>0905 884 894</v>
      </c>
      <c r="B3906" s="119" t="str">
        <f>IFERROR(__xludf.DUMMYFUNCTION("""COMPUTED_VALUE"""),"Dì Diệu Phương")</f>
        <v>Dì Diệu Phương</v>
      </c>
      <c r="C3906" s="119" t="str">
        <f>IFERROR(__xludf.DUMMYFUNCTION("""COMPUTED_VALUE"""),"14/136/240 Lý Nam Đế")</f>
        <v>14/136/240 Lý Nam Đế</v>
      </c>
      <c r="D3906" s="119" t="str">
        <f>IFERROR(__xludf.DUMMYFUNCTION("""COMPUTED_VALUE"""),"chó")</f>
        <v>chó</v>
      </c>
      <c r="E3906" s="119" t="str">
        <f>IFERROR(__xludf.DUMMYFUNCTION("""COMPUTED_VALUE"""),"Bun")</f>
        <v>Bun</v>
      </c>
    </row>
    <row r="3907" ht="15.75" customHeight="1">
      <c r="A3907" s="122" t="str">
        <f>IFERROR(__xludf.DUMMYFUNCTION("""COMPUTED_VALUE"""),"0933 329 902")</f>
        <v>0933 329 902</v>
      </c>
      <c r="B3907" s="119" t="str">
        <f>IFERROR(__xludf.DUMMYFUNCTION("""COMPUTED_VALUE"""),"Anh Hoàng")</f>
        <v>Anh Hoàng</v>
      </c>
      <c r="C3907" s="119"/>
      <c r="D3907" s="119" t="str">
        <f>IFERROR(__xludf.DUMMYFUNCTION("""COMPUTED_VALUE"""),"chó")</f>
        <v>chó</v>
      </c>
      <c r="E3907" s="119" t="str">
        <f>IFERROR(__xludf.DUMMYFUNCTION("""COMPUTED_VALUE"""),"Sá Xị")</f>
        <v>Sá Xị</v>
      </c>
    </row>
    <row r="3908" ht="15.75" customHeight="1">
      <c r="A3908" s="122" t="str">
        <f>IFERROR(__xludf.DUMMYFUNCTION("""COMPUTED_VALUE"""),"0777 579 640")</f>
        <v>0777 579 640</v>
      </c>
      <c r="B3908" s="119" t="str">
        <f>IFERROR(__xludf.DUMMYFUNCTION("""COMPUTED_VALUE"""),"Em Kiều Trinh")</f>
        <v>Em Kiều Trinh</v>
      </c>
      <c r="C3908" s="119" t="str">
        <f>IFERROR(__xludf.DUMMYFUNCTION("""COMPUTED_VALUE"""),"Dương Nổ Đông, Thuỷ Dương")</f>
        <v>Dương Nổ Đông, Thuỷ Dương</v>
      </c>
      <c r="D3908" s="119" t="str">
        <f>IFERROR(__xludf.DUMMYFUNCTION("""COMPUTED_VALUE"""),"mèo")</f>
        <v>mèo</v>
      </c>
      <c r="E3908" s="119" t="str">
        <f>IFERROR(__xludf.DUMMYFUNCTION("""COMPUTED_VALUE"""),"Mon")</f>
        <v>Mon</v>
      </c>
    </row>
    <row r="3909" ht="15.75" customHeight="1">
      <c r="A3909" s="122" t="str">
        <f>IFERROR(__xludf.DUMMYFUNCTION("""COMPUTED_VALUE"""),"0383 636 920")</f>
        <v>0383 636 920</v>
      </c>
      <c r="B3909" s="119" t="str">
        <f>IFERROR(__xludf.DUMMYFUNCTION("""COMPUTED_VALUE"""),"Em Linh")</f>
        <v>Em Linh</v>
      </c>
      <c r="C3909" s="119" t="str">
        <f>IFERROR(__xludf.DUMMYFUNCTION("""COMPUTED_VALUE"""),"44 Phan Bội Châu")</f>
        <v>44 Phan Bội Châu</v>
      </c>
      <c r="D3909" s="119" t="str">
        <f>IFERROR(__xludf.DUMMYFUNCTION("""COMPUTED_VALUE"""),"mèo")</f>
        <v>mèo</v>
      </c>
      <c r="E3909" s="119" t="str">
        <f>IFERROR(__xludf.DUMMYFUNCTION("""COMPUTED_VALUE"""),"Miu")</f>
        <v>Miu</v>
      </c>
    </row>
    <row r="3910" ht="15.75" customHeight="1">
      <c r="A3910" s="122" t="str">
        <f>IFERROR(__xludf.DUMMYFUNCTION("""COMPUTED_VALUE"""),"0796 941 238")</f>
        <v>0796 941 238</v>
      </c>
      <c r="B3910" s="119" t="str">
        <f>IFERROR(__xludf.DUMMYFUNCTION("""COMPUTED_VALUE"""),"Mỹ Duyên")</f>
        <v>Mỹ Duyên</v>
      </c>
      <c r="C3910" s="119" t="str">
        <f>IFERROR(__xludf.DUMMYFUNCTION("""COMPUTED_VALUE"""),"Thuận An")</f>
        <v>Thuận An</v>
      </c>
      <c r="D3910" s="119" t="str">
        <f>IFERROR(__xludf.DUMMYFUNCTION("""COMPUTED_VALUE"""),"Chó")</f>
        <v>Chó</v>
      </c>
      <c r="E3910" s="119" t="str">
        <f>IFERROR(__xludf.DUMMYFUNCTION("""COMPUTED_VALUE"""),"Bò Sữa")</f>
        <v>Bò Sữa</v>
      </c>
    </row>
    <row r="3911" ht="15.75" customHeight="1">
      <c r="A3911" s="122" t="str">
        <f>IFERROR(__xludf.DUMMYFUNCTION("""COMPUTED_VALUE"""),"0964 821 614")</f>
        <v>0964 821 614</v>
      </c>
      <c r="B3911" s="119" t="str">
        <f>IFERROR(__xludf.DUMMYFUNCTION("""COMPUTED_VALUE"""),"Anh Diệp")</f>
        <v>Anh Diệp</v>
      </c>
      <c r="C3911" s="119" t="str">
        <f>IFERROR(__xludf.DUMMYFUNCTION("""COMPUTED_VALUE"""),"310 Lý Nam Đế")</f>
        <v>310 Lý Nam Đế</v>
      </c>
      <c r="D3911" s="119" t="str">
        <f>IFERROR(__xludf.DUMMYFUNCTION("""COMPUTED_VALUE"""),"chó")</f>
        <v>chó</v>
      </c>
      <c r="E3911" s="119" t="str">
        <f>IFERROR(__xludf.DUMMYFUNCTION("""COMPUTED_VALUE"""),"Đen")</f>
        <v>Đen</v>
      </c>
    </row>
    <row r="3912" ht="15.75" customHeight="1">
      <c r="A3912" s="122" t="str">
        <f>IFERROR(__xludf.DUMMYFUNCTION("""COMPUTED_VALUE"""),"0914 444 393")</f>
        <v>0914 444 393</v>
      </c>
      <c r="B3912" s="119" t="str">
        <f>IFERROR(__xludf.DUMMYFUNCTION("""COMPUTED_VALUE"""),"chị Yến")</f>
        <v>chị Yến</v>
      </c>
      <c r="C3912" s="119" t="str">
        <f>IFERROR(__xludf.DUMMYFUNCTION("""COMPUTED_VALUE"""),"07 Lê Lợi")</f>
        <v>07 Lê Lợi</v>
      </c>
      <c r="D3912" s="119" t="str">
        <f>IFERROR(__xludf.DUMMYFUNCTION("""COMPUTED_VALUE"""),"mèo")</f>
        <v>mèo</v>
      </c>
      <c r="E3912" s="119" t="str">
        <f>IFERROR(__xludf.DUMMYFUNCTION("""COMPUTED_VALUE"""),"Mèo")</f>
        <v>Mèo</v>
      </c>
    </row>
    <row r="3913" ht="15.75" customHeight="1">
      <c r="A3913" s="122" t="str">
        <f>IFERROR(__xludf.DUMMYFUNCTION("""COMPUTED_VALUE"""),"0827 515 038")</f>
        <v>0827 515 038</v>
      </c>
      <c r="B3913" s="119" t="str">
        <f>IFERROR(__xludf.DUMMYFUNCTION("""COMPUTED_VALUE"""),"Anh Đen")</f>
        <v>Anh Đen</v>
      </c>
      <c r="C3913" s="119" t="str">
        <f>IFERROR(__xludf.DUMMYFUNCTION("""COMPUTED_VALUE"""),"3/335 Nguyễn Sinh Cung")</f>
        <v>3/335 Nguyễn Sinh Cung</v>
      </c>
      <c r="D3913" s="119" t="str">
        <f>IFERROR(__xludf.DUMMYFUNCTION("""COMPUTED_VALUE"""),"chó")</f>
        <v>chó</v>
      </c>
      <c r="E3913" s="119" t="str">
        <f>IFERROR(__xludf.DUMMYFUNCTION("""COMPUTED_VALUE"""),"Milo")</f>
        <v>Milo</v>
      </c>
    </row>
    <row r="3914" ht="15.75" customHeight="1">
      <c r="A3914" s="122" t="str">
        <f>IFERROR(__xludf.DUMMYFUNCTION("""COMPUTED_VALUE"""),"0788 504 402")</f>
        <v>0788 504 402</v>
      </c>
      <c r="B3914" s="119" t="str">
        <f>IFERROR(__xludf.DUMMYFUNCTION("""COMPUTED_VALUE"""),"Thầy Phú")</f>
        <v>Thầy Phú</v>
      </c>
      <c r="C3914" s="119" t="str">
        <f>IFERROR(__xludf.DUMMYFUNCTION("""COMPUTED_VALUE"""),"chùa Phước Duyên")</f>
        <v>chùa Phước Duyên</v>
      </c>
      <c r="D3914" s="119" t="str">
        <f>IFERROR(__xludf.DUMMYFUNCTION("""COMPUTED_VALUE"""),"mèo")</f>
        <v>mèo</v>
      </c>
      <c r="E3914" s="119" t="str">
        <f>IFERROR(__xludf.DUMMYFUNCTION("""COMPUTED_VALUE"""),"Bông")</f>
        <v>Bông</v>
      </c>
    </row>
    <row r="3915" ht="15.75" customHeight="1">
      <c r="A3915" s="122" t="str">
        <f>IFERROR(__xludf.DUMMYFUNCTION("""COMPUTED_VALUE"""),"0934 965 940")</f>
        <v>0934 965 940</v>
      </c>
      <c r="B3915" s="119" t="str">
        <f>IFERROR(__xludf.DUMMYFUNCTION("""COMPUTED_VALUE"""),"Chị Như")</f>
        <v>Chị Như</v>
      </c>
      <c r="C3915" s="119" t="str">
        <f>IFERROR(__xludf.DUMMYFUNCTION("""COMPUTED_VALUE"""),"32/119 Hùng Vương")</f>
        <v>32/119 Hùng Vương</v>
      </c>
      <c r="D3915" s="119" t="str">
        <f>IFERROR(__xludf.DUMMYFUNCTION("""COMPUTED_VALUE"""),"chó")</f>
        <v>chó</v>
      </c>
      <c r="E3915" s="119" t="str">
        <f>IFERROR(__xludf.DUMMYFUNCTION("""COMPUTED_VALUE"""),"Bia")</f>
        <v>Bia</v>
      </c>
    </row>
    <row r="3916" ht="15.75" customHeight="1">
      <c r="A3916" s="122" t="str">
        <f>IFERROR(__xludf.DUMMYFUNCTION("""COMPUTED_VALUE"""),"968 896 165")</f>
        <v>968 896 165</v>
      </c>
      <c r="B3916" s="119" t="str">
        <f>IFERROR(__xludf.DUMMYFUNCTION("""COMPUTED_VALUE"""),"Anh Hiếu")</f>
        <v>Anh Hiếu</v>
      </c>
      <c r="C3916" s="119" t="str">
        <f>IFERROR(__xludf.DUMMYFUNCTION("""COMPUTED_VALUE"""),"45A Nguyễn Phúc Chi")</f>
        <v>45A Nguyễn Phúc Chi</v>
      </c>
      <c r="D3916" s="119" t="str">
        <f>IFERROR(__xludf.DUMMYFUNCTION("""COMPUTED_VALUE"""),"chó")</f>
        <v>chó</v>
      </c>
      <c r="E3916" s="119" t="str">
        <f>IFERROR(__xludf.DUMMYFUNCTION("""COMPUTED_VALUE"""),"Bun")</f>
        <v>Bun</v>
      </c>
    </row>
    <row r="3917" ht="15.75" customHeight="1">
      <c r="A3917" s="122" t="str">
        <f>IFERROR(__xludf.DUMMYFUNCTION("""COMPUTED_VALUE"""),"0914 547 727")</f>
        <v>0914 547 727</v>
      </c>
      <c r="B3917" s="119" t="str">
        <f>IFERROR(__xludf.DUMMYFUNCTION("""COMPUTED_VALUE"""),"Anh Huy")</f>
        <v>Anh Huy</v>
      </c>
      <c r="C3917" s="119" t="str">
        <f>IFERROR(__xludf.DUMMYFUNCTION("""COMPUTED_VALUE"""),"1/24 Chế Lan Viên")</f>
        <v>1/24 Chế Lan Viên</v>
      </c>
      <c r="D3917" s="119" t="str">
        <f>IFERROR(__xludf.DUMMYFUNCTION("""COMPUTED_VALUE"""),"chó")</f>
        <v>chó</v>
      </c>
      <c r="E3917" s="119" t="str">
        <f>IFERROR(__xludf.DUMMYFUNCTION("""COMPUTED_VALUE"""),"Ben")</f>
        <v>Ben</v>
      </c>
    </row>
    <row r="3918" ht="15.75" customHeight="1">
      <c r="A3918" s="122" t="str">
        <f>IFERROR(__xludf.DUMMYFUNCTION("""COMPUTED_VALUE"""),"0794 529 422")</f>
        <v>0794 529 422</v>
      </c>
      <c r="B3918" s="119" t="str">
        <f>IFERROR(__xludf.DUMMYFUNCTION("""COMPUTED_VALUE"""),"Lê Phan Ngọc Mỹ")</f>
        <v>Lê Phan Ngọc Mỹ</v>
      </c>
      <c r="C3918" s="119" t="str">
        <f>IFERROR(__xludf.DUMMYFUNCTION("""COMPUTED_VALUE"""),"63/41 Phạm Thị Liên")</f>
        <v>63/41 Phạm Thị Liên</v>
      </c>
      <c r="D3918" s="119" t="str">
        <f>IFERROR(__xludf.DUMMYFUNCTION("""COMPUTED_VALUE"""),"Chó")</f>
        <v>Chó</v>
      </c>
      <c r="E3918" s="119" t="str">
        <f>IFERROR(__xludf.DUMMYFUNCTION("""COMPUTED_VALUE"""),"Ngáo")</f>
        <v>Ngáo</v>
      </c>
    </row>
    <row r="3919" ht="15.75" customHeight="1">
      <c r="A3919" s="122" t="str">
        <f>IFERROR(__xludf.DUMMYFUNCTION("""COMPUTED_VALUE"""),"0845 009 055")</f>
        <v>0845 009 055</v>
      </c>
      <c r="B3919" s="119" t="str">
        <f>IFERROR(__xludf.DUMMYFUNCTION("""COMPUTED_VALUE"""),"Chị Hường")</f>
        <v>Chị Hường</v>
      </c>
      <c r="C3919" s="119" t="str">
        <f>IFERROR(__xludf.DUMMYFUNCTION("""COMPUTED_VALUE"""),"4/272 Điện Biên Phủ")</f>
        <v>4/272 Điện Biên Phủ</v>
      </c>
      <c r="D3919" s="119" t="str">
        <f>IFERROR(__xludf.DUMMYFUNCTION("""COMPUTED_VALUE"""),"chó")</f>
        <v>chó</v>
      </c>
      <c r="E3919" s="119" t="str">
        <f>IFERROR(__xludf.DUMMYFUNCTION("""COMPUTED_VALUE"""),"ky")</f>
        <v>ky</v>
      </c>
    </row>
    <row r="3920" ht="15.75" customHeight="1">
      <c r="A3920" s="122" t="str">
        <f>IFERROR(__xludf.DUMMYFUNCTION("""COMPUTED_VALUE"""),"0905 978 694")</f>
        <v>0905 978 694</v>
      </c>
      <c r="B3920" s="119" t="str">
        <f>IFERROR(__xludf.DUMMYFUNCTION("""COMPUTED_VALUE"""),"Nguyễn Thi Mai Thương")</f>
        <v>Nguyễn Thi Mai Thương</v>
      </c>
      <c r="C3920" s="119" t="str">
        <f>IFERROR(__xludf.DUMMYFUNCTION("""COMPUTED_VALUE"""),"1/2 Lịch Đợi")</f>
        <v>1/2 Lịch Đợi</v>
      </c>
      <c r="D3920" s="119" t="str">
        <f>IFERROR(__xludf.DUMMYFUNCTION("""COMPUTED_VALUE"""),"chó")</f>
        <v>chó</v>
      </c>
      <c r="E3920" s="119" t="str">
        <f>IFERROR(__xludf.DUMMYFUNCTION("""COMPUTED_VALUE"""),"Đốm")</f>
        <v>Đốm</v>
      </c>
    </row>
    <row r="3921" ht="15.75" customHeight="1">
      <c r="A3921" s="122" t="str">
        <f>IFERROR(__xludf.DUMMYFUNCTION("""COMPUTED_VALUE"""),"0342 523 123")</f>
        <v>0342 523 123</v>
      </c>
      <c r="B3921" s="119" t="str">
        <f>IFERROR(__xludf.DUMMYFUNCTION("""COMPUTED_VALUE"""),"Em Nhung")</f>
        <v>Em Nhung</v>
      </c>
      <c r="C3921" s="119" t="str">
        <f>IFERROR(__xludf.DUMMYFUNCTION("""COMPUTED_VALUE"""),"Tứ hạ")</f>
        <v>Tứ hạ</v>
      </c>
      <c r="D3921" s="119" t="str">
        <f>IFERROR(__xludf.DUMMYFUNCTION("""COMPUTED_VALUE"""),"mèo")</f>
        <v>mèo</v>
      </c>
      <c r="E3921" s="119" t="str">
        <f>IFERROR(__xludf.DUMMYFUNCTION("""COMPUTED_VALUE"""),"Choai")</f>
        <v>Choai</v>
      </c>
    </row>
    <row r="3922" ht="15.75" customHeight="1">
      <c r="A3922" s="122" t="str">
        <f>IFERROR(__xludf.DUMMYFUNCTION("""COMPUTED_VALUE"""),"0785 680 680")</f>
        <v>0785 680 680</v>
      </c>
      <c r="B3922" s="119" t="str">
        <f>IFERROR(__xludf.DUMMYFUNCTION("""COMPUTED_VALUE"""),"Anh An")</f>
        <v>Anh An</v>
      </c>
      <c r="C3922" s="119" t="str">
        <f>IFERROR(__xludf.DUMMYFUNCTION("""COMPUTED_VALUE"""),"Thủy Xuân")</f>
        <v>Thủy Xuân</v>
      </c>
      <c r="D3922" s="119" t="str">
        <f>IFERROR(__xludf.DUMMYFUNCTION("""COMPUTED_VALUE"""),"chó")</f>
        <v>chó</v>
      </c>
      <c r="E3922" s="119" t="str">
        <f>IFERROR(__xludf.DUMMYFUNCTION("""COMPUTED_VALUE"""),"Kyta")</f>
        <v>Kyta</v>
      </c>
    </row>
    <row r="3923" ht="15.75" customHeight="1">
      <c r="A3923" s="122" t="str">
        <f>IFERROR(__xludf.DUMMYFUNCTION("""COMPUTED_VALUE"""),"0867 580 321")</f>
        <v>0867 580 321</v>
      </c>
      <c r="B3923" s="119" t="str">
        <f>IFERROR(__xludf.DUMMYFUNCTION("""COMPUTED_VALUE"""),"Khánh Huyền")</f>
        <v>Khánh Huyền</v>
      </c>
      <c r="C3923" s="119" t="str">
        <f>IFERROR(__xludf.DUMMYFUNCTION("""COMPUTED_VALUE"""),"79 Minh Mạng")</f>
        <v>79 Minh Mạng</v>
      </c>
      <c r="D3923" s="119" t="str">
        <f>IFERROR(__xludf.DUMMYFUNCTION("""COMPUTED_VALUE"""),"mèo")</f>
        <v>mèo</v>
      </c>
      <c r="E3923" s="119" t="str">
        <f>IFERROR(__xludf.DUMMYFUNCTION("""COMPUTED_VALUE"""),"Tiêu")</f>
        <v>Tiêu</v>
      </c>
    </row>
    <row r="3924" ht="15.75" customHeight="1">
      <c r="A3924" s="122" t="str">
        <f>IFERROR(__xludf.DUMMYFUNCTION("""COMPUTED_VALUE"""),"0788 556 440")</f>
        <v>0788 556 440</v>
      </c>
      <c r="B3924" s="119" t="str">
        <f>IFERROR(__xludf.DUMMYFUNCTION("""COMPUTED_VALUE"""),"Chị Linh")</f>
        <v>Chị Linh</v>
      </c>
      <c r="C3924" s="119" t="str">
        <f>IFERROR(__xludf.DUMMYFUNCTION("""COMPUTED_VALUE"""),"185 Phan Bội Châu")</f>
        <v>185 Phan Bội Châu</v>
      </c>
      <c r="D3924" s="119" t="str">
        <f>IFERROR(__xludf.DUMMYFUNCTION("""COMPUTED_VALUE"""),"mèo")</f>
        <v>mèo</v>
      </c>
      <c r="E3924" s="119" t="str">
        <f>IFERROR(__xludf.DUMMYFUNCTION("""COMPUTED_VALUE"""),"Đậu")</f>
        <v>Đậu</v>
      </c>
    </row>
    <row r="3925" ht="15.75" customHeight="1">
      <c r="A3925" s="122" t="str">
        <f>IFERROR(__xludf.DUMMYFUNCTION("""COMPUTED_VALUE"""),"0911 866 739")</f>
        <v>0911 866 739</v>
      </c>
      <c r="B3925" s="119" t="str">
        <f>IFERROR(__xludf.DUMMYFUNCTION("""COMPUTED_VALUE"""),"Anh Khánh")</f>
        <v>Anh Khánh</v>
      </c>
      <c r="C3925" s="119" t="str">
        <f>IFERROR(__xludf.DUMMYFUNCTION("""COMPUTED_VALUE"""),"209 Phú bài")</f>
        <v>209 Phú bài</v>
      </c>
      <c r="D3925" s="119" t="str">
        <f>IFERROR(__xludf.DUMMYFUNCTION("""COMPUTED_VALUE"""),"chó")</f>
        <v>chó</v>
      </c>
      <c r="E3925" s="119" t="str">
        <f>IFERROR(__xludf.DUMMYFUNCTION("""COMPUTED_VALUE"""),"không tên")</f>
        <v>không tên</v>
      </c>
    </row>
    <row r="3926" ht="15.75" customHeight="1">
      <c r="A3926" s="122" t="str">
        <f>IFERROR(__xludf.DUMMYFUNCTION("""COMPUTED_VALUE"""),"0981 682 477")</f>
        <v>0981 682 477</v>
      </c>
      <c r="B3926" s="119" t="str">
        <f>IFERROR(__xludf.DUMMYFUNCTION("""COMPUTED_VALUE"""),"Nguyễn Thi Thu Hà")</f>
        <v>Nguyễn Thi Thu Hà</v>
      </c>
      <c r="C3926" s="119" t="str">
        <f>IFERROR(__xludf.DUMMYFUNCTION("""COMPUTED_VALUE"""),"276 Lý Nam Đế")</f>
        <v>276 Lý Nam Đế</v>
      </c>
      <c r="D3926" s="119" t="str">
        <f>IFERROR(__xludf.DUMMYFUNCTION("""COMPUTED_VALUE"""),"chó")</f>
        <v>chó</v>
      </c>
      <c r="E3926" s="119" t="str">
        <f>IFERROR(__xludf.DUMMYFUNCTION("""COMPUTED_VALUE"""),"Luci")</f>
        <v>Luci</v>
      </c>
    </row>
    <row r="3927" ht="15.75" customHeight="1">
      <c r="A3927" s="122" t="str">
        <f>IFERROR(__xludf.DUMMYFUNCTION("""COMPUTED_VALUE"""),"0795 706 556")</f>
        <v>0795 706 556</v>
      </c>
      <c r="B3927" s="119" t="str">
        <f>IFERROR(__xludf.DUMMYFUNCTION("""COMPUTED_VALUE"""),"Nguyễn Thị Quỳnh Anh")</f>
        <v>Nguyễn Thị Quỳnh Anh</v>
      </c>
      <c r="C3927" s="119" t="str">
        <f>IFERROR(__xludf.DUMMYFUNCTION("""COMPUTED_VALUE"""),"20 Nguyễn Khoa Chiêm")</f>
        <v>20 Nguyễn Khoa Chiêm</v>
      </c>
      <c r="D3927" s="119" t="str">
        <f>IFERROR(__xludf.DUMMYFUNCTION("""COMPUTED_VALUE"""),"mèo")</f>
        <v>mèo</v>
      </c>
      <c r="E3927" s="119" t="str">
        <f>IFERROR(__xludf.DUMMYFUNCTION("""COMPUTED_VALUE"""),"Bông")</f>
        <v>Bông</v>
      </c>
    </row>
    <row r="3928" ht="15.75" customHeight="1">
      <c r="A3928" s="122" t="str">
        <f>IFERROR(__xludf.DUMMYFUNCTION("""COMPUTED_VALUE"""),"0935 107 904")</f>
        <v>0935 107 904</v>
      </c>
      <c r="B3928" s="119" t="str">
        <f>IFERROR(__xludf.DUMMYFUNCTION("""COMPUTED_VALUE"""),"Em Dương")</f>
        <v>Em Dương</v>
      </c>
      <c r="C3928" s="119" t="str">
        <f>IFERROR(__xludf.DUMMYFUNCTION("""COMPUTED_VALUE"""),"Vạn Xuân")</f>
        <v>Vạn Xuân</v>
      </c>
      <c r="D3928" s="119" t="str">
        <f>IFERROR(__xludf.DUMMYFUNCTION("""COMPUTED_VALUE"""),"chó")</f>
        <v>chó</v>
      </c>
      <c r="E3928" s="119" t="str">
        <f>IFERROR(__xludf.DUMMYFUNCTION("""COMPUTED_VALUE"""),"Bun")</f>
        <v>Bun</v>
      </c>
    </row>
    <row r="3929" ht="15.75" customHeight="1">
      <c r="A3929" s="122" t="str">
        <f>IFERROR(__xludf.DUMMYFUNCTION("""COMPUTED_VALUE"""),"0834 565 948")</f>
        <v>0834 565 948</v>
      </c>
      <c r="B3929" s="119" t="str">
        <f>IFERROR(__xludf.DUMMYFUNCTION("""COMPUTED_VALUE"""),"Nguyễn Trần Mỹ Ngọc")</f>
        <v>Nguyễn Trần Mỹ Ngọc</v>
      </c>
      <c r="C3929" s="119" t="str">
        <f>IFERROR(__xludf.DUMMYFUNCTION("""COMPUTED_VALUE"""),"Hương Hồ- Lựu Bảo")</f>
        <v>Hương Hồ- Lựu Bảo</v>
      </c>
      <c r="D3929" s="119" t="str">
        <f>IFERROR(__xludf.DUMMYFUNCTION("""COMPUTED_VALUE"""),"chó")</f>
        <v>chó</v>
      </c>
      <c r="E3929" s="119" t="str">
        <f>IFERROR(__xludf.DUMMYFUNCTION("""COMPUTED_VALUE"""),"Ổi")</f>
        <v>Ổi</v>
      </c>
    </row>
    <row r="3930" ht="15.75" customHeight="1">
      <c r="A3930" s="122" t="str">
        <f>IFERROR(__xludf.DUMMYFUNCTION("""COMPUTED_VALUE"""),"0886 272 658")</f>
        <v>0886 272 658</v>
      </c>
      <c r="B3930" s="119" t="str">
        <f>IFERROR(__xludf.DUMMYFUNCTION("""COMPUTED_VALUE"""),"Nhi")</f>
        <v>Nhi</v>
      </c>
      <c r="C3930" s="119" t="str">
        <f>IFERROR(__xludf.DUMMYFUNCTION("""COMPUTED_VALUE"""),"293 Nguyễn Trãi")</f>
        <v>293 Nguyễn Trãi</v>
      </c>
      <c r="D3930" s="119" t="str">
        <f>IFERROR(__xludf.DUMMYFUNCTION("""COMPUTED_VALUE"""),"mèo")</f>
        <v>mèo</v>
      </c>
      <c r="E3930" s="119" t="str">
        <f>IFERROR(__xludf.DUMMYFUNCTION("""COMPUTED_VALUE"""),"Nghé")</f>
        <v>Nghé</v>
      </c>
    </row>
    <row r="3931" ht="15.75" customHeight="1">
      <c r="A3931" s="122" t="str">
        <f>IFERROR(__xludf.DUMMYFUNCTION("""COMPUTED_VALUE"""),"0796 657 003")</f>
        <v>0796 657 003</v>
      </c>
      <c r="B3931" s="119" t="str">
        <f>IFERROR(__xludf.DUMMYFUNCTION("""COMPUTED_VALUE"""),"Anh Hoàng")</f>
        <v>Anh Hoàng</v>
      </c>
      <c r="C3931" s="119" t="str">
        <f>IFERROR(__xludf.DUMMYFUNCTION("""COMPUTED_VALUE"""),"12/47 Thanh Tịnh")</f>
        <v>12/47 Thanh Tịnh</v>
      </c>
      <c r="D3931" s="119" t="str">
        <f>IFERROR(__xludf.DUMMYFUNCTION("""COMPUTED_VALUE"""),"chó")</f>
        <v>chó</v>
      </c>
      <c r="E3931" s="119" t="str">
        <f>IFERROR(__xludf.DUMMYFUNCTION("""COMPUTED_VALUE"""),"Heo")</f>
        <v>Heo</v>
      </c>
    </row>
    <row r="3932" ht="15.75" customHeight="1">
      <c r="A3932" s="122" t="str">
        <f>IFERROR(__xludf.DUMMYFUNCTION("""COMPUTED_VALUE"""),"0335 441 652")</f>
        <v>0335 441 652</v>
      </c>
      <c r="B3932" s="119" t="str">
        <f>IFERROR(__xludf.DUMMYFUNCTION("""COMPUTED_VALUE"""),"Chú Hạnh")</f>
        <v>Chú Hạnh</v>
      </c>
      <c r="C3932" s="119" t="str">
        <f>IFERROR(__xludf.DUMMYFUNCTION("""COMPUTED_VALUE"""),"Lộc Thuỷ - Phú Lộc")</f>
        <v>Lộc Thuỷ - Phú Lộc</v>
      </c>
      <c r="D3932" s="119" t="str">
        <f>IFERROR(__xludf.DUMMYFUNCTION("""COMPUTED_VALUE"""),"chó")</f>
        <v>chó</v>
      </c>
      <c r="E3932" s="119" t="str">
        <f>IFERROR(__xludf.DUMMYFUNCTION("""COMPUTED_VALUE"""),"Ky")</f>
        <v>Ky</v>
      </c>
    </row>
    <row r="3933" ht="15.75" customHeight="1">
      <c r="A3933" s="122" t="str">
        <f>IFERROR(__xludf.DUMMYFUNCTION("""COMPUTED_VALUE"""),"0917 025 115")</f>
        <v>0917 025 115</v>
      </c>
      <c r="B3933" s="119" t="str">
        <f>IFERROR(__xludf.DUMMYFUNCTION("""COMPUTED_VALUE"""),"Chị Diêu")</f>
        <v>Chị Diêu</v>
      </c>
      <c r="C3933" s="119" t="str">
        <f>IFERROR(__xludf.DUMMYFUNCTION("""COMPUTED_VALUE"""),"Thuỷ Dương")</f>
        <v>Thuỷ Dương</v>
      </c>
      <c r="D3933" s="119" t="str">
        <f>IFERROR(__xludf.DUMMYFUNCTION("""COMPUTED_VALUE"""),"chó")</f>
        <v>chó</v>
      </c>
      <c r="E3933" s="119" t="str">
        <f>IFERROR(__xludf.DUMMYFUNCTION("""COMPUTED_VALUE"""),"Nâu")</f>
        <v>Nâu</v>
      </c>
    </row>
    <row r="3934" ht="15.75" customHeight="1">
      <c r="A3934" s="122" t="str">
        <f>IFERROR(__xludf.DUMMYFUNCTION("""COMPUTED_VALUE"""),"0708 077 381")</f>
        <v>0708 077 381</v>
      </c>
      <c r="B3934" s="119" t="str">
        <f>IFERROR(__xludf.DUMMYFUNCTION("""COMPUTED_VALUE"""),"Chị Ngọc")</f>
        <v>Chị Ngọc</v>
      </c>
      <c r="C3934" s="119" t="str">
        <f>IFERROR(__xludf.DUMMYFUNCTION("""COMPUTED_VALUE"""),"64 Nguyễn Hoàng")</f>
        <v>64 Nguyễn Hoàng</v>
      </c>
      <c r="D3934" s="119" t="str">
        <f>IFERROR(__xludf.DUMMYFUNCTION("""COMPUTED_VALUE"""),"chó")</f>
        <v>chó</v>
      </c>
      <c r="E3934" s="119" t="str">
        <f>IFERROR(__xludf.DUMMYFUNCTION("""COMPUTED_VALUE"""),"Nâu Em")</f>
        <v>Nâu Em</v>
      </c>
    </row>
    <row r="3935" ht="15.75" customHeight="1">
      <c r="A3935" s="122" t="str">
        <f>IFERROR(__xludf.DUMMYFUNCTION("""COMPUTED_VALUE"""),"0906 445 680")</f>
        <v>0906 445 680</v>
      </c>
      <c r="B3935" s="119" t="str">
        <f>IFERROR(__xludf.DUMMYFUNCTION("""COMPUTED_VALUE"""),"Chị Hằng")</f>
        <v>Chị Hằng</v>
      </c>
      <c r="C3935" s="119" t="str">
        <f>IFERROR(__xludf.DUMMYFUNCTION("""COMPUTED_VALUE"""),"Trần Phú")</f>
        <v>Trần Phú</v>
      </c>
      <c r="D3935" s="119" t="str">
        <f>IFERROR(__xludf.DUMMYFUNCTION("""COMPUTED_VALUE"""),"chó")</f>
        <v>chó</v>
      </c>
      <c r="E3935" s="119" t="str">
        <f>IFERROR(__xludf.DUMMYFUNCTION("""COMPUTED_VALUE"""),"Tèo")</f>
        <v>Tèo</v>
      </c>
    </row>
    <row r="3936" ht="15.75" customHeight="1">
      <c r="A3936" s="122" t="str">
        <f>IFERROR(__xludf.DUMMYFUNCTION("""COMPUTED_VALUE"""),"0911 564 468")</f>
        <v>0911 564 468</v>
      </c>
      <c r="B3936" s="119" t="str">
        <f>IFERROR(__xludf.DUMMYFUNCTION("""COMPUTED_VALUE"""),"Chị lan")</f>
        <v>Chị lan</v>
      </c>
      <c r="C3936" s="119" t="str">
        <f>IFERROR(__xludf.DUMMYFUNCTION("""COMPUTED_VALUE"""),"24 Ngô Gia tự")</f>
        <v>24 Ngô Gia tự</v>
      </c>
      <c r="D3936" s="119" t="str">
        <f>IFERROR(__xludf.DUMMYFUNCTION("""COMPUTED_VALUE"""),"chó")</f>
        <v>chó</v>
      </c>
      <c r="E3936" s="119" t="str">
        <f>IFERROR(__xludf.DUMMYFUNCTION("""COMPUTED_VALUE"""),"long")</f>
        <v>long</v>
      </c>
    </row>
    <row r="3937" ht="15.75" customHeight="1">
      <c r="A3937" s="122" t="str">
        <f>IFERROR(__xludf.DUMMYFUNCTION("""COMPUTED_VALUE"""),"0388 866 312")</f>
        <v>0388 866 312</v>
      </c>
      <c r="B3937" s="119" t="str">
        <f>IFERROR(__xludf.DUMMYFUNCTION("""COMPUTED_VALUE"""),"anh Tuấn")</f>
        <v>anh Tuấn</v>
      </c>
      <c r="C3937" s="119" t="str">
        <f>IFERROR(__xludf.DUMMYFUNCTION("""COMPUTED_VALUE"""),"22/4/9 Phú Mộng")</f>
        <v>22/4/9 Phú Mộng</v>
      </c>
      <c r="D3937" s="119" t="str">
        <f>IFERROR(__xludf.DUMMYFUNCTION("""COMPUTED_VALUE"""),"chó")</f>
        <v>chó</v>
      </c>
      <c r="E3937" s="119" t="str">
        <f>IFERROR(__xludf.DUMMYFUNCTION("""COMPUTED_VALUE"""),"Nhóc")</f>
        <v>Nhóc</v>
      </c>
    </row>
    <row r="3938" ht="15.75" customHeight="1">
      <c r="A3938" s="122" t="str">
        <f>IFERROR(__xludf.DUMMYFUNCTION("""COMPUTED_VALUE"""),"0355 424 448")</f>
        <v>0355 424 448</v>
      </c>
      <c r="B3938" s="119" t="str">
        <f>IFERROR(__xludf.DUMMYFUNCTION("""COMPUTED_VALUE"""),"Chị Ý")</f>
        <v>Chị Ý</v>
      </c>
      <c r="C3938" s="119" t="str">
        <f>IFERROR(__xludf.DUMMYFUNCTION("""COMPUTED_VALUE"""),"Lộc bổn phú lộc")</f>
        <v>Lộc bổn phú lộc</v>
      </c>
      <c r="D3938" s="119" t="str">
        <f>IFERROR(__xludf.DUMMYFUNCTION("""COMPUTED_VALUE"""),"chó")</f>
        <v>chó</v>
      </c>
      <c r="E3938" s="119" t="str">
        <f>IFERROR(__xludf.DUMMYFUNCTION("""COMPUTED_VALUE"""),"Nô")</f>
        <v>Nô</v>
      </c>
    </row>
    <row r="3939" ht="15.75" customHeight="1">
      <c r="A3939" s="122" t="str">
        <f>IFERROR(__xludf.DUMMYFUNCTION("""COMPUTED_VALUE"""),"0702 628 478")</f>
        <v>0702 628 478</v>
      </c>
      <c r="B3939" s="119" t="str">
        <f>IFERROR(__xludf.DUMMYFUNCTION("""COMPUTED_VALUE"""),"Em Hà")</f>
        <v>Em Hà</v>
      </c>
      <c r="C3939" s="119" t="str">
        <f>IFERROR(__xludf.DUMMYFUNCTION("""COMPUTED_VALUE"""),"Xuân Phú")</f>
        <v>Xuân Phú</v>
      </c>
      <c r="D3939" s="119" t="str">
        <f>IFERROR(__xludf.DUMMYFUNCTION("""COMPUTED_VALUE"""),"mèo")</f>
        <v>mèo</v>
      </c>
      <c r="E3939" s="119" t="str">
        <f>IFERROR(__xludf.DUMMYFUNCTION("""COMPUTED_VALUE"""),"Lính")</f>
        <v>Lính</v>
      </c>
    </row>
    <row r="3940" ht="15.75" customHeight="1">
      <c r="A3940" s="122" t="str">
        <f>IFERROR(__xludf.DUMMYFUNCTION("""COMPUTED_VALUE"""),"0706 150 524")</f>
        <v>0706 150 524</v>
      </c>
      <c r="B3940" s="119" t="str">
        <f>IFERROR(__xludf.DUMMYFUNCTION("""COMPUTED_VALUE"""),"Chị Hương")</f>
        <v>Chị Hương</v>
      </c>
      <c r="C3940" s="119" t="str">
        <f>IFERROR(__xludf.DUMMYFUNCTION("""COMPUTED_VALUE"""),"Phú Mậu")</f>
        <v>Phú Mậu</v>
      </c>
      <c r="D3940" s="119" t="str">
        <f>IFERROR(__xludf.DUMMYFUNCTION("""COMPUTED_VALUE"""),"Chó")</f>
        <v>Chó</v>
      </c>
      <c r="E3940" s="119" t="str">
        <f>IFERROR(__xludf.DUMMYFUNCTION("""COMPUTED_VALUE"""),"Lucky")</f>
        <v>Lucky</v>
      </c>
    </row>
    <row r="3941" ht="15.75" customHeight="1">
      <c r="A3941" s="122" t="str">
        <f>IFERROR(__xludf.DUMMYFUNCTION("""COMPUTED_VALUE"""),"0763 608 566")</f>
        <v>0763 608 566</v>
      </c>
      <c r="B3941" s="119" t="str">
        <f>IFERROR(__xludf.DUMMYFUNCTION("""COMPUTED_VALUE"""),"Anh Phương ")</f>
        <v>Anh Phương </v>
      </c>
      <c r="C3941" s="119" t="str">
        <f>IFERROR(__xludf.DUMMYFUNCTION("""COMPUTED_VALUE"""),"51 Tùng Thiện Vương")</f>
        <v>51 Tùng Thiện Vương</v>
      </c>
      <c r="D3941" s="119" t="str">
        <f>IFERROR(__xludf.DUMMYFUNCTION("""COMPUTED_VALUE"""),"Chó")</f>
        <v>Chó</v>
      </c>
      <c r="E3941" s="119" t="str">
        <f>IFERROR(__xludf.DUMMYFUNCTION("""COMPUTED_VALUE"""),"Bin")</f>
        <v>Bin</v>
      </c>
    </row>
    <row r="3942" ht="15.75" customHeight="1">
      <c r="A3942" s="122" t="str">
        <f>IFERROR(__xludf.DUMMYFUNCTION("""COMPUTED_VALUE"""),"0366 230 157")</f>
        <v>0366 230 157</v>
      </c>
      <c r="B3942" s="119" t="str">
        <f>IFERROR(__xludf.DUMMYFUNCTION("""COMPUTED_VALUE"""),"Em Tài")</f>
        <v>Em Tài</v>
      </c>
      <c r="C3942" s="119" t="str">
        <f>IFERROR(__xludf.DUMMYFUNCTION("""COMPUTED_VALUE"""),"46 Hồ Đắc Di")</f>
        <v>46 Hồ Đắc Di</v>
      </c>
      <c r="D3942" s="119" t="str">
        <f>IFERROR(__xludf.DUMMYFUNCTION("""COMPUTED_VALUE"""),"mèo")</f>
        <v>mèo</v>
      </c>
      <c r="E3942" s="119" t="str">
        <f>IFERROR(__xludf.DUMMYFUNCTION("""COMPUTED_VALUE"""),"Tiên")</f>
        <v>Tiên</v>
      </c>
    </row>
    <row r="3943" ht="15.75" customHeight="1">
      <c r="A3943" s="122" t="str">
        <f>IFERROR(__xludf.DUMMYFUNCTION("""COMPUTED_VALUE"""),"0858 939 828")</f>
        <v>0858 939 828</v>
      </c>
      <c r="B3943" s="119" t="str">
        <f>IFERROR(__xludf.DUMMYFUNCTION("""COMPUTED_VALUE"""),"Anh Trung")</f>
        <v>Anh Trung</v>
      </c>
      <c r="C3943" s="119" t="str">
        <f>IFERROR(__xludf.DUMMYFUNCTION("""COMPUTED_VALUE"""),"159 Phan Đăng Lưu")</f>
        <v>159 Phan Đăng Lưu</v>
      </c>
      <c r="D3943" s="119" t="str">
        <f>IFERROR(__xludf.DUMMYFUNCTION("""COMPUTED_VALUE"""),"chó")</f>
        <v>chó</v>
      </c>
      <c r="E3943" s="119" t="str">
        <f>IFERROR(__xludf.DUMMYFUNCTION("""COMPUTED_VALUE"""),"Ní")</f>
        <v>Ní</v>
      </c>
    </row>
    <row r="3944" ht="15.75" customHeight="1">
      <c r="A3944" s="122" t="str">
        <f>IFERROR(__xludf.DUMMYFUNCTION("""COMPUTED_VALUE"""),"0333 023 743")</f>
        <v>0333 023 743</v>
      </c>
      <c r="B3944" s="119" t="str">
        <f>IFERROR(__xludf.DUMMYFUNCTION("""COMPUTED_VALUE"""),"Em Mỹ Uyên")</f>
        <v>Em Mỹ Uyên</v>
      </c>
      <c r="C3944" s="119" t="str">
        <f>IFERROR(__xludf.DUMMYFUNCTION("""COMPUTED_VALUE"""),"110/17/5 Kim Long")</f>
        <v>110/17/5 Kim Long</v>
      </c>
      <c r="D3944" s="119" t="str">
        <f>IFERROR(__xludf.DUMMYFUNCTION("""COMPUTED_VALUE"""),"chó")</f>
        <v>chó</v>
      </c>
      <c r="E3944" s="119" t="str">
        <f>IFERROR(__xludf.DUMMYFUNCTION("""COMPUTED_VALUE"""),"Sâu")</f>
        <v>Sâu</v>
      </c>
    </row>
    <row r="3945" ht="15.75" customHeight="1">
      <c r="A3945" s="122" t="str">
        <f>IFERROR(__xludf.DUMMYFUNCTION("""COMPUTED_VALUE"""),"0385 192 875")</f>
        <v>0385 192 875</v>
      </c>
      <c r="B3945" s="119" t="str">
        <f>IFERROR(__xludf.DUMMYFUNCTION("""COMPUTED_VALUE"""),"Chị Na")</f>
        <v>Chị Na</v>
      </c>
      <c r="C3945" s="119" t="str">
        <f>IFERROR(__xludf.DUMMYFUNCTION("""COMPUTED_VALUE"""),"KQH Kim Long")</f>
        <v>KQH Kim Long</v>
      </c>
      <c r="D3945" s="119" t="str">
        <f>IFERROR(__xludf.DUMMYFUNCTION("""COMPUTED_VALUE"""),"chó")</f>
        <v>chó</v>
      </c>
      <c r="E3945" s="119" t="str">
        <f>IFERROR(__xludf.DUMMYFUNCTION("""COMPUTED_VALUE"""),"Nu")</f>
        <v>Nu</v>
      </c>
    </row>
    <row r="3946" ht="15.75" customHeight="1">
      <c r="A3946" s="122" t="str">
        <f>IFERROR(__xludf.DUMMYFUNCTION("""COMPUTED_VALUE"""),"0345 518 667")</f>
        <v>0345 518 667</v>
      </c>
      <c r="B3946" s="119" t="str">
        <f>IFERROR(__xludf.DUMMYFUNCTION("""COMPUTED_VALUE"""),"Mỹ Hạnh")</f>
        <v>Mỹ Hạnh</v>
      </c>
      <c r="C3946" s="119"/>
      <c r="D3946" s="119" t="str">
        <f>IFERROR(__xludf.DUMMYFUNCTION("""COMPUTED_VALUE"""),"chó")</f>
        <v>chó</v>
      </c>
      <c r="E3946" s="119" t="str">
        <f>IFERROR(__xludf.DUMMYFUNCTION("""COMPUTED_VALUE"""),"Tỏi")</f>
        <v>Tỏi</v>
      </c>
    </row>
    <row r="3947" ht="15.75" customHeight="1">
      <c r="A3947" s="122" t="str">
        <f>IFERROR(__xludf.DUMMYFUNCTION("""COMPUTED_VALUE"""),"0988 964 196")</f>
        <v>0988 964 196</v>
      </c>
      <c r="B3947" s="119" t="str">
        <f>IFERROR(__xludf.DUMMYFUNCTION("""COMPUTED_VALUE"""),"Chị An")</f>
        <v>Chị An</v>
      </c>
      <c r="C3947" s="119" t="str">
        <f>IFERROR(__xludf.DUMMYFUNCTION("""COMPUTED_VALUE"""),"1B thanh hải")</f>
        <v>1B thanh hải</v>
      </c>
      <c r="D3947" s="119" t="str">
        <f>IFERROR(__xludf.DUMMYFUNCTION("""COMPUTED_VALUE"""),"mèo")</f>
        <v>mèo</v>
      </c>
      <c r="E3947" s="119"/>
    </row>
    <row r="3948" ht="15.75" customHeight="1">
      <c r="A3948" s="122" t="str">
        <f>IFERROR(__xludf.DUMMYFUNCTION("""COMPUTED_VALUE"""),"0963 067 007")</f>
        <v>0963 067 007</v>
      </c>
      <c r="B3948" s="119" t="str">
        <f>IFERROR(__xludf.DUMMYFUNCTION("""COMPUTED_VALUE"""),"Chị linh")</f>
        <v>Chị linh</v>
      </c>
      <c r="C3948" s="119" t="str">
        <f>IFERROR(__xludf.DUMMYFUNCTION("""COMPUTED_VALUE"""),"52 Nguyễn khuyến")</f>
        <v>52 Nguyễn khuyến</v>
      </c>
      <c r="D3948" s="119" t="str">
        <f>IFERROR(__xludf.DUMMYFUNCTION("""COMPUTED_VALUE"""),"chó")</f>
        <v>chó</v>
      </c>
      <c r="E3948" s="119" t="str">
        <f>IFERROR(__xludf.DUMMYFUNCTION("""COMPUTED_VALUE""")," Bư")</f>
        <v> Bư</v>
      </c>
    </row>
    <row r="3949" ht="15.75" customHeight="1">
      <c r="A3949" s="122" t="str">
        <f>IFERROR(__xludf.DUMMYFUNCTION("""COMPUTED_VALUE"""),"0705 990 359")</f>
        <v>0705 990 359</v>
      </c>
      <c r="B3949" s="119" t="str">
        <f>IFERROR(__xludf.DUMMYFUNCTION("""COMPUTED_VALUE"""),"Em Phát")</f>
        <v>Em Phát</v>
      </c>
      <c r="C3949" s="119" t="str">
        <f>IFERROR(__xludf.DUMMYFUNCTION("""COMPUTED_VALUE"""),"53 Xuân diệu")</f>
        <v>53 Xuân diệu</v>
      </c>
      <c r="D3949" s="119" t="str">
        <f>IFERROR(__xludf.DUMMYFUNCTION("""COMPUTED_VALUE"""),"chó")</f>
        <v>chó</v>
      </c>
      <c r="E3949" s="119" t="str">
        <f>IFERROR(__xludf.DUMMYFUNCTION("""COMPUTED_VALUE"""),"Coca")</f>
        <v>Coca</v>
      </c>
    </row>
    <row r="3950" ht="15.75" customHeight="1">
      <c r="A3950" s="122" t="str">
        <f>IFERROR(__xludf.DUMMYFUNCTION("""COMPUTED_VALUE"""),"0702 618 017")</f>
        <v>0702 618 017</v>
      </c>
      <c r="B3950" s="119" t="str">
        <f>IFERROR(__xludf.DUMMYFUNCTION("""COMPUTED_VALUE"""),"Dì Trinh")</f>
        <v>Dì Trinh</v>
      </c>
      <c r="C3950" s="119" t="str">
        <f>IFERROR(__xludf.DUMMYFUNCTION("""COMPUTED_VALUE"""),"255 Trần Hưng Đạo")</f>
        <v>255 Trần Hưng Đạo</v>
      </c>
      <c r="D3950" s="119" t="str">
        <f>IFERROR(__xludf.DUMMYFUNCTION("""COMPUTED_VALUE"""),"chó")</f>
        <v>chó</v>
      </c>
      <c r="E3950" s="119" t="str">
        <f>IFERROR(__xludf.DUMMYFUNCTION("""COMPUTED_VALUE"""),"Bush")</f>
        <v>Bush</v>
      </c>
    </row>
    <row r="3951" ht="15.75" customHeight="1">
      <c r="A3951" s="122" t="str">
        <f>IFERROR(__xludf.DUMMYFUNCTION("""COMPUTED_VALUE"""),"0845 522 775")</f>
        <v>0845 522 775</v>
      </c>
      <c r="B3951" s="119" t="str">
        <f>IFERROR(__xludf.DUMMYFUNCTION("""COMPUTED_VALUE"""),"Anh Sô")</f>
        <v>Anh Sô</v>
      </c>
      <c r="C3951" s="119" t="str">
        <f>IFERROR(__xludf.DUMMYFUNCTION("""COMPUTED_VALUE"""),"277 Bùi thị Xuân")</f>
        <v>277 Bùi thị Xuân</v>
      </c>
      <c r="D3951" s="119" t="str">
        <f>IFERROR(__xludf.DUMMYFUNCTION("""COMPUTED_VALUE""")," chó")</f>
        <v> chó</v>
      </c>
      <c r="E3951" s="119" t="str">
        <f>IFERROR(__xludf.DUMMYFUNCTION("""COMPUTED_VALUE"""),"Su")</f>
        <v>Su</v>
      </c>
    </row>
    <row r="3952" ht="15.75" customHeight="1">
      <c r="A3952" s="122" t="str">
        <f>IFERROR(__xludf.DUMMYFUNCTION("""COMPUTED_VALUE"""),"0362 606 869")</f>
        <v>0362 606 869</v>
      </c>
      <c r="B3952" s="119" t="str">
        <f>IFERROR(__xludf.DUMMYFUNCTION("""COMPUTED_VALUE"""),"Anh Tạ Quốc  Hải")</f>
        <v>Anh Tạ Quốc  Hải</v>
      </c>
      <c r="C3952" s="119" t="str">
        <f>IFERROR(__xludf.DUMMYFUNCTION("""COMPUTED_VALUE"""),"23/29 trần Phú")</f>
        <v>23/29 trần Phú</v>
      </c>
      <c r="D3952" s="119" t="str">
        <f>IFERROR(__xludf.DUMMYFUNCTION("""COMPUTED_VALUE""")," chó")</f>
        <v> chó</v>
      </c>
      <c r="E3952" s="119"/>
    </row>
    <row r="3953" ht="15.75" customHeight="1">
      <c r="A3953" s="122" t="str">
        <f>IFERROR(__xludf.DUMMYFUNCTION("""COMPUTED_VALUE"""),"0912 642 829")</f>
        <v>0912 642 829</v>
      </c>
      <c r="B3953" s="119" t="str">
        <f>IFERROR(__xludf.DUMMYFUNCTION("""COMPUTED_VALUE"""),"Chị trang")</f>
        <v>Chị trang</v>
      </c>
      <c r="C3953" s="119" t="str">
        <f>IFERROR(__xludf.DUMMYFUNCTION("""COMPUTED_VALUE"""),"247 Trần Phú")</f>
        <v>247 Trần Phú</v>
      </c>
      <c r="D3953" s="119" t="str">
        <f>IFERROR(__xludf.DUMMYFUNCTION("""COMPUTED_VALUE"""),"chó")</f>
        <v>chó</v>
      </c>
      <c r="E3953" s="119" t="str">
        <f>IFERROR(__xludf.DUMMYFUNCTION("""COMPUTED_VALUE""")," kaka")</f>
        <v> kaka</v>
      </c>
    </row>
    <row r="3954" ht="15.75" customHeight="1">
      <c r="A3954" s="122" t="str">
        <f>IFERROR(__xludf.DUMMYFUNCTION("""COMPUTED_VALUE"""),"0915 324 654")</f>
        <v>0915 324 654</v>
      </c>
      <c r="B3954" s="119" t="str">
        <f>IFERROR(__xludf.DUMMYFUNCTION("""COMPUTED_VALUE"""),"Tuấn Kiệt")</f>
        <v>Tuấn Kiệt</v>
      </c>
      <c r="C3954" s="119" t="str">
        <f>IFERROR(__xludf.DUMMYFUNCTION("""COMPUTED_VALUE"""),"Phú thượng phú vang")</f>
        <v>Phú thượng phú vang</v>
      </c>
      <c r="D3954" s="119" t="str">
        <f>IFERROR(__xludf.DUMMYFUNCTION("""COMPUTED_VALUE"""),"mèo")</f>
        <v>mèo</v>
      </c>
      <c r="E3954" s="119" t="str">
        <f>IFERROR(__xludf.DUMMYFUNCTION("""COMPUTED_VALUE"""),"Bo")</f>
        <v>Bo</v>
      </c>
    </row>
    <row r="3955" ht="15.75" customHeight="1">
      <c r="A3955" s="122" t="str">
        <f>IFERROR(__xludf.DUMMYFUNCTION("""COMPUTED_VALUE"""),"0774 568 916")</f>
        <v>0774 568 916</v>
      </c>
      <c r="B3955" s="119" t="str">
        <f>IFERROR(__xludf.DUMMYFUNCTION("""COMPUTED_VALUE"""),"Chị Đô")</f>
        <v>Chị Đô</v>
      </c>
      <c r="C3955" s="119" t="str">
        <f>IFERROR(__xludf.DUMMYFUNCTION("""COMPUTED_VALUE"""),"91/7 Ưng Bình")</f>
        <v>91/7 Ưng Bình</v>
      </c>
      <c r="D3955" s="119" t="str">
        <f>IFERROR(__xludf.DUMMYFUNCTION("""COMPUTED_VALUE"""),"chó")</f>
        <v>chó</v>
      </c>
      <c r="E3955" s="119" t="str">
        <f>IFERROR(__xludf.DUMMYFUNCTION("""COMPUTED_VALUE"""),"Bia")</f>
        <v>Bia</v>
      </c>
    </row>
    <row r="3956" ht="15.75" customHeight="1">
      <c r="A3956" s="122" t="str">
        <f>IFERROR(__xludf.DUMMYFUNCTION("""COMPUTED_VALUE"""),"0787 770 193")</f>
        <v>0787 770 193</v>
      </c>
      <c r="B3956" s="119" t="str">
        <f>IFERROR(__xludf.DUMMYFUNCTION("""COMPUTED_VALUE"""),"Anh Bảo Hoàng")</f>
        <v>Anh Bảo Hoàng</v>
      </c>
      <c r="C3956" s="119" t="str">
        <f>IFERROR(__xludf.DUMMYFUNCTION("""COMPUTED_VALUE"""),"a16 Nguyễn Khoa Vy")</f>
        <v>a16 Nguyễn Khoa Vy</v>
      </c>
      <c r="D3956" s="119" t="str">
        <f>IFERROR(__xludf.DUMMYFUNCTION("""COMPUTED_VALUE"""),"Chó")</f>
        <v>Chó</v>
      </c>
      <c r="E3956" s="119" t="str">
        <f>IFERROR(__xludf.DUMMYFUNCTION("""COMPUTED_VALUE"""),"Bun")</f>
        <v>Bun</v>
      </c>
    </row>
    <row r="3957" ht="15.75" customHeight="1">
      <c r="A3957" s="122" t="str">
        <f>IFERROR(__xludf.DUMMYFUNCTION("""COMPUTED_VALUE"""),"0358 081 607")</f>
        <v>0358 081 607</v>
      </c>
      <c r="B3957" s="119" t="str">
        <f>IFERROR(__xludf.DUMMYFUNCTION("""COMPUTED_VALUE"""),"E Quỳnh")</f>
        <v>E Quỳnh</v>
      </c>
      <c r="C3957" s="119" t="str">
        <f>IFERROR(__xludf.DUMMYFUNCTION("""COMPUTED_VALUE"""),"112 Tăng Bạt Hổ")</f>
        <v>112 Tăng Bạt Hổ</v>
      </c>
      <c r="D3957" s="119" t="str">
        <f>IFERROR(__xludf.DUMMYFUNCTION("""COMPUTED_VALUE"""),"Mèo")</f>
        <v>Mèo</v>
      </c>
      <c r="E3957" s="119" t="str">
        <f>IFERROR(__xludf.DUMMYFUNCTION("""COMPUTED_VALUE"""),"Nga")</f>
        <v>Nga</v>
      </c>
    </row>
    <row r="3958" ht="15.75" customHeight="1">
      <c r="A3958" s="122" t="str">
        <f>IFERROR(__xludf.DUMMYFUNCTION("""COMPUTED_VALUE"""),"0935 361 448")</f>
        <v>0935 361 448</v>
      </c>
      <c r="B3958" s="119" t="str">
        <f>IFERROR(__xludf.DUMMYFUNCTION("""COMPUTED_VALUE"""),"Chú Bình")</f>
        <v>Chú Bình</v>
      </c>
      <c r="C3958" s="119" t="str">
        <f>IFERROR(__xludf.DUMMYFUNCTION("""COMPUTED_VALUE"""),"02 Mang cá")</f>
        <v>02 Mang cá</v>
      </c>
      <c r="D3958" s="119" t="str">
        <f>IFERROR(__xludf.DUMMYFUNCTION("""COMPUTED_VALUE"""),"Chó")</f>
        <v>Chó</v>
      </c>
      <c r="E3958" s="119" t="str">
        <f>IFERROR(__xludf.DUMMYFUNCTION("""COMPUTED_VALUE"""),"Mơ")</f>
        <v>Mơ</v>
      </c>
    </row>
    <row r="3959" ht="15.75" customHeight="1">
      <c r="A3959" s="122" t="str">
        <f>IFERROR(__xludf.DUMMYFUNCTION("""COMPUTED_VALUE"""),"0746 235 163")</f>
        <v>0746 235 163</v>
      </c>
      <c r="B3959" s="119" t="str">
        <f>IFERROR(__xludf.DUMMYFUNCTION("""COMPUTED_VALUE"""),"Chị Trâm")</f>
        <v>Chị Trâm</v>
      </c>
      <c r="C3959" s="119" t="str">
        <f>IFERROR(__xludf.DUMMYFUNCTION("""COMPUTED_VALUE"""),"Tôn Thất Thiệp")</f>
        <v>Tôn Thất Thiệp</v>
      </c>
      <c r="D3959" s="119" t="str">
        <f>IFERROR(__xludf.DUMMYFUNCTION("""COMPUTED_VALUE"""),"Chó")</f>
        <v>Chó</v>
      </c>
      <c r="E3959" s="119" t="str">
        <f>IFERROR(__xludf.DUMMYFUNCTION("""COMPUTED_VALUE"""),"Bông")</f>
        <v>Bông</v>
      </c>
    </row>
    <row r="3960" ht="15.75" customHeight="1">
      <c r="A3960" s="122" t="str">
        <f>IFERROR(__xludf.DUMMYFUNCTION("""COMPUTED_VALUE"""),"0915 555 382")</f>
        <v>0915 555 382</v>
      </c>
      <c r="B3960" s="119" t="str">
        <f>IFERROR(__xludf.DUMMYFUNCTION("""COMPUTED_VALUE"""),"Nguyễn an Phước")</f>
        <v>Nguyễn an Phước</v>
      </c>
      <c r="C3960" s="119"/>
      <c r="D3960" s="119"/>
      <c r="E3960" s="119"/>
    </row>
    <row r="3961" ht="15.75" customHeight="1">
      <c r="A3961" s="122" t="str">
        <f>IFERROR(__xludf.DUMMYFUNCTION("""COMPUTED_VALUE"""),"0903 517 925")</f>
        <v>0903 517 925</v>
      </c>
      <c r="B3961" s="119" t="str">
        <f>IFERROR(__xludf.DUMMYFUNCTION("""COMPUTED_VALUE"""),"Chú Hiền")</f>
        <v>Chú Hiền</v>
      </c>
      <c r="C3961" s="119" t="str">
        <f>IFERROR(__xludf.DUMMYFUNCTION("""COMPUTED_VALUE"""),"23 Thanh Tịnh")</f>
        <v>23 Thanh Tịnh</v>
      </c>
      <c r="D3961" s="119" t="str">
        <f>IFERROR(__xludf.DUMMYFUNCTION("""COMPUTED_VALUE"""),"Mèo")</f>
        <v>Mèo</v>
      </c>
      <c r="E3961" s="119" t="str">
        <f>IFERROR(__xludf.DUMMYFUNCTION("""COMPUTED_VALUE"""),"Trắng")</f>
        <v>Trắng</v>
      </c>
    </row>
    <row r="3962" ht="15.75" customHeight="1">
      <c r="A3962" s="122" t="str">
        <f>IFERROR(__xludf.DUMMYFUNCTION("""COMPUTED_VALUE"""),"0784 546 791")</f>
        <v>0784 546 791</v>
      </c>
      <c r="B3962" s="119" t="str">
        <f>IFERROR(__xludf.DUMMYFUNCTION("""COMPUTED_VALUE"""),"Đinh Khắc Nhật Hoàng")</f>
        <v>Đinh Khắc Nhật Hoàng</v>
      </c>
      <c r="C3962" s="119" t="str">
        <f>IFERROR(__xludf.DUMMYFUNCTION("""COMPUTED_VALUE"""),"Phú thuận, Phú Vang")</f>
        <v>Phú thuận, Phú Vang</v>
      </c>
      <c r="D3962" s="119" t="str">
        <f>IFERROR(__xludf.DUMMYFUNCTION("""COMPUTED_VALUE"""),"chó")</f>
        <v>chó</v>
      </c>
      <c r="E3962" s="119" t="str">
        <f>IFERROR(__xludf.DUMMYFUNCTION("""COMPUTED_VALUE"""),"Đốm")</f>
        <v>Đốm</v>
      </c>
    </row>
    <row r="3963" ht="15.75" customHeight="1">
      <c r="A3963" s="122" t="str">
        <f>IFERROR(__xludf.DUMMYFUNCTION("""COMPUTED_VALUE"""),"0935 555 971")</f>
        <v>0935 555 971</v>
      </c>
      <c r="B3963" s="119" t="str">
        <f>IFERROR(__xludf.DUMMYFUNCTION("""COMPUTED_VALUE"""),"Minh Tâm")</f>
        <v>Minh Tâm</v>
      </c>
      <c r="C3963" s="119" t="str">
        <f>IFERROR(__xludf.DUMMYFUNCTION("""COMPUTED_VALUE"""),"78 Mai Thúc Loan")</f>
        <v>78 Mai Thúc Loan</v>
      </c>
      <c r="D3963" s="119" t="str">
        <f>IFERROR(__xludf.DUMMYFUNCTION("""COMPUTED_VALUE"""),"Chó")</f>
        <v>Chó</v>
      </c>
      <c r="E3963" s="119" t="str">
        <f>IFERROR(__xludf.DUMMYFUNCTION("""COMPUTED_VALUE"""),"Ki")</f>
        <v>Ki</v>
      </c>
    </row>
    <row r="3964" ht="15.75" customHeight="1">
      <c r="A3964" s="122" t="str">
        <f>IFERROR(__xludf.DUMMYFUNCTION("""COMPUTED_VALUE"""),"0348 255 534")</f>
        <v>0348 255 534</v>
      </c>
      <c r="B3964" s="119" t="str">
        <f>IFERROR(__xludf.DUMMYFUNCTION("""COMPUTED_VALUE"""),"Chị Lam")</f>
        <v>Chị Lam</v>
      </c>
      <c r="C3964" s="119" t="str">
        <f>IFERROR(__xludf.DUMMYFUNCTION("""COMPUTED_VALUE"""),"Lộc An, Phú Lộc")</f>
        <v>Lộc An, Phú Lộc</v>
      </c>
      <c r="D3964" s="119" t="str">
        <f>IFERROR(__xludf.DUMMYFUNCTION("""COMPUTED_VALUE"""),"Chó")</f>
        <v>Chó</v>
      </c>
      <c r="E3964" s="119"/>
    </row>
    <row r="3965" ht="15.75" customHeight="1">
      <c r="A3965" s="122" t="str">
        <f>IFERROR(__xludf.DUMMYFUNCTION("""COMPUTED_VALUE"""),"0799 399 327")</f>
        <v>0799 399 327</v>
      </c>
      <c r="B3965" s="119" t="str">
        <f>IFERROR(__xludf.DUMMYFUNCTION("""COMPUTED_VALUE"""),"Anh Tín")</f>
        <v>Anh Tín</v>
      </c>
      <c r="C3965" s="119" t="str">
        <f>IFERROR(__xludf.DUMMYFUNCTION("""COMPUTED_VALUE"""),"Thuỷ Dương, Hương Thuỷ")</f>
        <v>Thuỷ Dương, Hương Thuỷ</v>
      </c>
      <c r="D3965" s="119" t="str">
        <f>IFERROR(__xludf.DUMMYFUNCTION("""COMPUTED_VALUE"""),"Mèo")</f>
        <v>Mèo</v>
      </c>
      <c r="E3965" s="119"/>
    </row>
    <row r="3966" ht="15.75" customHeight="1">
      <c r="A3966" s="122" t="str">
        <f>IFERROR(__xludf.DUMMYFUNCTION("""COMPUTED_VALUE"""),"0898 168 000")</f>
        <v>0898 168 000</v>
      </c>
      <c r="B3966" s="119" t="str">
        <f>IFERROR(__xludf.DUMMYFUNCTION("""COMPUTED_VALUE"""),"Thế Anh")</f>
        <v>Thế Anh</v>
      </c>
      <c r="C3966" s="119" t="str">
        <f>IFERROR(__xludf.DUMMYFUNCTION("""COMPUTED_VALUE"""),"Bùi Thị Xuân")</f>
        <v>Bùi Thị Xuân</v>
      </c>
      <c r="D3966" s="119" t="str">
        <f>IFERROR(__xludf.DUMMYFUNCTION("""COMPUTED_VALUE"""),"Chó")</f>
        <v>Chó</v>
      </c>
      <c r="E3966" s="119" t="str">
        <f>IFERROR(__xludf.DUMMYFUNCTION("""COMPUTED_VALUE"""),"Gấu")</f>
        <v>Gấu</v>
      </c>
    </row>
    <row r="3967" ht="15.75" customHeight="1">
      <c r="A3967" s="122" t="str">
        <f>IFERROR(__xludf.DUMMYFUNCTION("""COMPUTED_VALUE"""),"0766 238 169")</f>
        <v>0766 238 169</v>
      </c>
      <c r="B3967" s="119" t="str">
        <f>IFERROR(__xludf.DUMMYFUNCTION("""COMPUTED_VALUE"""),"Dì Trang")</f>
        <v>Dì Trang</v>
      </c>
      <c r="C3967" s="119" t="str">
        <f>IFERROR(__xludf.DUMMYFUNCTION("""COMPUTED_VALUE"""),"98/131 Trần Phú")</f>
        <v>98/131 Trần Phú</v>
      </c>
      <c r="D3967" s="119" t="str">
        <f>IFERROR(__xludf.DUMMYFUNCTION("""COMPUTED_VALUE"""),"chó")</f>
        <v>chó</v>
      </c>
      <c r="E3967" s="119"/>
    </row>
    <row r="3968" ht="15.75" customHeight="1">
      <c r="A3968" s="122" t="str">
        <f>IFERROR(__xludf.DUMMYFUNCTION("""COMPUTED_VALUE"""),"0906 426 427")</f>
        <v>0906 426 427</v>
      </c>
      <c r="B3968" s="119" t="str">
        <f>IFERROR(__xludf.DUMMYFUNCTION("""COMPUTED_VALUE"""),"ANh Hảo")</f>
        <v>ANh Hảo</v>
      </c>
      <c r="C3968" s="119" t="str">
        <f>IFERROR(__xludf.DUMMYFUNCTION("""COMPUTED_VALUE"""),"12 Ấu Triệu")</f>
        <v>12 Ấu Triệu</v>
      </c>
      <c r="D3968" s="119" t="str">
        <f>IFERROR(__xludf.DUMMYFUNCTION("""COMPUTED_VALUE"""),"Chó")</f>
        <v>Chó</v>
      </c>
      <c r="E3968" s="119" t="str">
        <f>IFERROR(__xludf.DUMMYFUNCTION("""COMPUTED_VALUE"""),"Tin")</f>
        <v>Tin</v>
      </c>
    </row>
    <row r="3969" ht="15.75" customHeight="1">
      <c r="A3969" s="122" t="str">
        <f>IFERROR(__xludf.DUMMYFUNCTION("""COMPUTED_VALUE"""),"0905 119 783")</f>
        <v>0905 119 783</v>
      </c>
      <c r="B3969" s="119" t="str">
        <f>IFERROR(__xludf.DUMMYFUNCTION("""COMPUTED_VALUE"""),"Chị Anh")</f>
        <v>Chị Anh</v>
      </c>
      <c r="C3969" s="119" t="str">
        <f>IFERROR(__xludf.DUMMYFUNCTION("""COMPUTED_VALUE"""),"k131 Trần Phú")</f>
        <v>k131 Trần Phú</v>
      </c>
      <c r="D3969" s="119" t="str">
        <f>IFERROR(__xludf.DUMMYFUNCTION("""COMPUTED_VALUE"""),"Mèo")</f>
        <v>Mèo</v>
      </c>
      <c r="E3969" s="119"/>
    </row>
    <row r="3970" ht="15.75" customHeight="1">
      <c r="A3970" s="122" t="str">
        <f>IFERROR(__xludf.DUMMYFUNCTION("""COMPUTED_VALUE"""),"0889 228 928")</f>
        <v>0889 228 928</v>
      </c>
      <c r="B3970" s="119" t="str">
        <f>IFERROR(__xludf.DUMMYFUNCTION("""COMPUTED_VALUE"""),"Đặng Ngọc Phương Thảo")</f>
        <v>Đặng Ngọc Phương Thảo</v>
      </c>
      <c r="C3970" s="119" t="str">
        <f>IFERROR(__xludf.DUMMYFUNCTION("""COMPUTED_VALUE"""),"5/53 Hàm Nghi")</f>
        <v>5/53 Hàm Nghi</v>
      </c>
      <c r="D3970" s="119" t="str">
        <f>IFERROR(__xludf.DUMMYFUNCTION("""COMPUTED_VALUE"""),"Mèo")</f>
        <v>Mèo</v>
      </c>
      <c r="E3970" s="119" t="str">
        <f>IFERROR(__xludf.DUMMYFUNCTION("""COMPUTED_VALUE"""),"Nu")</f>
        <v>Nu</v>
      </c>
    </row>
    <row r="3971" ht="15.75" customHeight="1">
      <c r="A3971" s="122" t="str">
        <f>IFERROR(__xludf.DUMMYFUNCTION("""COMPUTED_VALUE"""),"0585 659 858")</f>
        <v>0585 659 858</v>
      </c>
      <c r="B3971" s="119" t="str">
        <f>IFERROR(__xludf.DUMMYFUNCTION("""COMPUTED_VALUE"""),"Nguyễn Thị Mẫu Đơn")</f>
        <v>Nguyễn Thị Mẫu Đơn</v>
      </c>
      <c r="C3971" s="119" t="str">
        <f>IFERROR(__xludf.DUMMYFUNCTION("""COMPUTED_VALUE"""),"Minh Mạng")</f>
        <v>Minh Mạng</v>
      </c>
      <c r="D3971" s="119" t="str">
        <f>IFERROR(__xludf.DUMMYFUNCTION("""COMPUTED_VALUE"""),"Chó")</f>
        <v>Chó</v>
      </c>
      <c r="E3971" s="119" t="str">
        <f>IFERROR(__xludf.DUMMYFUNCTION("""COMPUTED_VALUE"""),"Bống")</f>
        <v>Bống</v>
      </c>
    </row>
    <row r="3972" ht="15.75" customHeight="1">
      <c r="A3972" s="122" t="str">
        <f>IFERROR(__xludf.DUMMYFUNCTION("""COMPUTED_VALUE"""),"0934 891 197")</f>
        <v>0934 891 197</v>
      </c>
      <c r="B3972" s="119" t="str">
        <f>IFERROR(__xludf.DUMMYFUNCTION("""COMPUTED_VALUE"""),"Chị Nguyên")</f>
        <v>Chị Nguyên</v>
      </c>
      <c r="C3972" s="119" t="str">
        <f>IFERROR(__xludf.DUMMYFUNCTION("""COMPUTED_VALUE"""),"3/245 Phạm Văn Đồng")</f>
        <v>3/245 Phạm Văn Đồng</v>
      </c>
      <c r="D3972" s="119" t="str">
        <f>IFERROR(__xludf.DUMMYFUNCTION("""COMPUTED_VALUE"""),"mèo")</f>
        <v>mèo</v>
      </c>
      <c r="E3972" s="119" t="str">
        <f>IFERROR(__xludf.DUMMYFUNCTION("""COMPUTED_VALUE"""),"Vàng")</f>
        <v>Vàng</v>
      </c>
    </row>
    <row r="3973" ht="15.75" customHeight="1">
      <c r="A3973" s="122" t="str">
        <f>IFERROR(__xludf.DUMMYFUNCTION("""COMPUTED_VALUE"""),"0933 202 904")</f>
        <v>0933 202 904</v>
      </c>
      <c r="B3973" s="119" t="str">
        <f>IFERROR(__xludf.DUMMYFUNCTION("""COMPUTED_VALUE"""),"Chú Bảo")</f>
        <v>Chú Bảo</v>
      </c>
      <c r="C3973" s="119" t="str">
        <f>IFERROR(__xludf.DUMMYFUNCTION("""COMPUTED_VALUE"""),"42 Hàn Mặc Tử")</f>
        <v>42 Hàn Mặc Tử</v>
      </c>
      <c r="D3973" s="119" t="str">
        <f>IFERROR(__xludf.DUMMYFUNCTION("""COMPUTED_VALUE"""),"chó")</f>
        <v>chó</v>
      </c>
      <c r="E3973" s="119" t="str">
        <f>IFERROR(__xludf.DUMMYFUNCTION("""COMPUTED_VALUE"""),"Mon")</f>
        <v>Mon</v>
      </c>
    </row>
    <row r="3974" ht="15.75" customHeight="1">
      <c r="A3974" s="122" t="str">
        <f>IFERROR(__xludf.DUMMYFUNCTION("""COMPUTED_VALUE"""),"0941 199 331")</f>
        <v>0941 199 331</v>
      </c>
      <c r="B3974" s="119" t="str">
        <f>IFERROR(__xludf.DUMMYFUNCTION("""COMPUTED_VALUE"""),"Anh Phúc")</f>
        <v>Anh Phúc</v>
      </c>
      <c r="C3974" s="119" t="str">
        <f>IFERROR(__xludf.DUMMYFUNCTION("""COMPUTED_VALUE"""),"Phạm Văn Đồng")</f>
        <v>Phạm Văn Đồng</v>
      </c>
      <c r="D3974" s="119" t="str">
        <f>IFERROR(__xludf.DUMMYFUNCTION("""COMPUTED_VALUE"""),"chó")</f>
        <v>chó</v>
      </c>
      <c r="E3974" s="119"/>
    </row>
    <row r="3975" ht="15.75" customHeight="1">
      <c r="A3975" s="122" t="str">
        <f>IFERROR(__xludf.DUMMYFUNCTION("""COMPUTED_VALUE"""),"0945 241 220")</f>
        <v>0945 241 220</v>
      </c>
      <c r="B3975" s="119" t="str">
        <f>IFERROR(__xludf.DUMMYFUNCTION("""COMPUTED_VALUE"""),"Hồ Văn Hải")</f>
        <v>Hồ Văn Hải</v>
      </c>
      <c r="C3975" s="119" t="str">
        <f>IFERROR(__xludf.DUMMYFUNCTION("""COMPUTED_VALUE"""),"46/69/131 Trần Phúc ")</f>
        <v>46/69/131 Trần Phúc </v>
      </c>
      <c r="D3975" s="119" t="str">
        <f>IFERROR(__xludf.DUMMYFUNCTION("""COMPUTED_VALUE"""),"chó")</f>
        <v>chó</v>
      </c>
      <c r="E3975" s="119" t="str">
        <f>IFERROR(__xludf.DUMMYFUNCTION("""COMPUTED_VALUE"""),"Bột")</f>
        <v>Bột</v>
      </c>
    </row>
    <row r="3976" ht="15.75" customHeight="1">
      <c r="A3976" s="122" t="str">
        <f>IFERROR(__xludf.DUMMYFUNCTION("""COMPUTED_VALUE"""),"0766 782 631")</f>
        <v>0766 782 631</v>
      </c>
      <c r="B3976" s="119" t="str">
        <f>IFERROR(__xludf.DUMMYFUNCTION("""COMPUTED_VALUE"""),"Dì Ngọc")</f>
        <v>Dì Ngọc</v>
      </c>
      <c r="C3976" s="119" t="str">
        <f>IFERROR(__xludf.DUMMYFUNCTION("""COMPUTED_VALUE"""),"183 Phan Bội Châu")</f>
        <v>183 Phan Bội Châu</v>
      </c>
      <c r="D3976" s="119" t="str">
        <f>IFERROR(__xludf.DUMMYFUNCTION("""COMPUTED_VALUE"""),"Mèo")</f>
        <v>Mèo</v>
      </c>
      <c r="E3976" s="119"/>
    </row>
    <row r="3977" ht="15.75" customHeight="1">
      <c r="A3977" s="122" t="str">
        <f>IFERROR(__xludf.DUMMYFUNCTION("""COMPUTED_VALUE"""),"0914 393 944")</f>
        <v>0914 393 944</v>
      </c>
      <c r="B3977" s="119" t="str">
        <f>IFERROR(__xludf.DUMMYFUNCTION("""COMPUTED_VALUE"""),"em Phương")</f>
        <v>em Phương</v>
      </c>
      <c r="C3977" s="119" t="str">
        <f>IFERROR(__xludf.DUMMYFUNCTION("""COMPUTED_VALUE"""),"101/6 Dương Văn An")</f>
        <v>101/6 Dương Văn An</v>
      </c>
      <c r="D3977" s="119" t="str">
        <f>IFERROR(__xludf.DUMMYFUNCTION("""COMPUTED_VALUE"""),"mèo")</f>
        <v>mèo</v>
      </c>
      <c r="E3977" s="119" t="str">
        <f>IFERROR(__xludf.DUMMYFUNCTION("""COMPUTED_VALUE"""),"Money")</f>
        <v>Money</v>
      </c>
    </row>
    <row r="3978" ht="15.75" customHeight="1">
      <c r="A3978" s="122" t="str">
        <f>IFERROR(__xludf.DUMMYFUNCTION("""COMPUTED_VALUE"""),"0704 597 195")</f>
        <v>0704 597 195</v>
      </c>
      <c r="B3978" s="119" t="str">
        <f>IFERROR(__xludf.DUMMYFUNCTION("""COMPUTED_VALUE"""),"Chị Bích Ngọc")</f>
        <v>Chị Bích Ngọc</v>
      </c>
      <c r="C3978" s="119" t="str">
        <f>IFERROR(__xludf.DUMMYFUNCTION("""COMPUTED_VALUE"""),"Phú Thượng")</f>
        <v>Phú Thượng</v>
      </c>
      <c r="D3978" s="119" t="str">
        <f>IFERROR(__xludf.DUMMYFUNCTION("""COMPUTED_VALUE"""),"chó")</f>
        <v>chó</v>
      </c>
      <c r="E3978" s="119" t="str">
        <f>IFERROR(__xludf.DUMMYFUNCTION("""COMPUTED_VALUE"""),"Đen")</f>
        <v>Đen</v>
      </c>
    </row>
    <row r="3979" ht="15.75" customHeight="1">
      <c r="A3979" s="122" t="str">
        <f>IFERROR(__xludf.DUMMYFUNCTION("""COMPUTED_VALUE"""),"0964 289 208")</f>
        <v>0964 289 208</v>
      </c>
      <c r="B3979" s="119" t="str">
        <f>IFERROR(__xludf.DUMMYFUNCTION("""COMPUTED_VALUE"""),"Chị Trinh")</f>
        <v>Chị Trinh</v>
      </c>
      <c r="C3979" s="119" t="str">
        <f>IFERROR(__xludf.DUMMYFUNCTION("""COMPUTED_VALUE"""),"Hải Dương")</f>
        <v>Hải Dương</v>
      </c>
      <c r="D3979" s="119" t="str">
        <f>IFERROR(__xludf.DUMMYFUNCTION("""COMPUTED_VALUE"""),"chó")</f>
        <v>chó</v>
      </c>
      <c r="E3979" s="119" t="str">
        <f>IFERROR(__xludf.DUMMYFUNCTION("""COMPUTED_VALUE"""),"Toro")</f>
        <v>Toro</v>
      </c>
    </row>
    <row r="3980" ht="15.75" customHeight="1">
      <c r="A3980" s="122" t="str">
        <f>IFERROR(__xludf.DUMMYFUNCTION("""COMPUTED_VALUE"""),"0935 260 335")</f>
        <v>0935 260 335</v>
      </c>
      <c r="B3980" s="119" t="str">
        <f>IFERROR(__xludf.DUMMYFUNCTION("""COMPUTED_VALUE"""),"Chị Đào")</f>
        <v>Chị Đào</v>
      </c>
      <c r="C3980" s="119" t="str">
        <f>IFERROR(__xludf.DUMMYFUNCTION("""COMPUTED_VALUE"""),"7B/15/69/131 Trần Phú")</f>
        <v>7B/15/69/131 Trần Phú</v>
      </c>
      <c r="D3980" s="119" t="str">
        <f>IFERROR(__xludf.DUMMYFUNCTION("""COMPUTED_VALUE"""),"mèo")</f>
        <v>mèo</v>
      </c>
      <c r="E3980" s="119"/>
    </row>
    <row r="3981" ht="15.75" customHeight="1">
      <c r="A3981" s="122" t="str">
        <f>IFERROR(__xludf.DUMMYFUNCTION("""COMPUTED_VALUE"""),"0812 021 111")</f>
        <v>0812 021 111</v>
      </c>
      <c r="B3981" s="119" t="str">
        <f>IFERROR(__xludf.DUMMYFUNCTION("""COMPUTED_VALUE"""),"Chị Tiên")</f>
        <v>Chị Tiên</v>
      </c>
      <c r="C3981" s="119" t="str">
        <f>IFERROR(__xludf.DUMMYFUNCTION("""COMPUTED_VALUE"""),"36/5 Quảng Tế")</f>
        <v>36/5 Quảng Tế</v>
      </c>
      <c r="D3981" s="119" t="str">
        <f>IFERROR(__xludf.DUMMYFUNCTION("""COMPUTED_VALUE"""),"Chó")</f>
        <v>Chó</v>
      </c>
      <c r="E3981" s="119"/>
    </row>
    <row r="3982" ht="15.75" customHeight="1">
      <c r="A3982" s="122" t="str">
        <f>IFERROR(__xludf.DUMMYFUNCTION("""COMPUTED_VALUE"""),"0917 009 544")</f>
        <v>0917 009 544</v>
      </c>
      <c r="B3982" s="119" t="str">
        <f>IFERROR(__xludf.DUMMYFUNCTION("""COMPUTED_VALUE"""),"em Bảo Châu")</f>
        <v>em Bảo Châu</v>
      </c>
      <c r="C3982" s="119" t="str">
        <f>IFERROR(__xludf.DUMMYFUNCTION("""COMPUTED_VALUE"""),"286 Điện Biên Phủ")</f>
        <v>286 Điện Biên Phủ</v>
      </c>
      <c r="D3982" s="119" t="str">
        <f>IFERROR(__xludf.DUMMYFUNCTION("""COMPUTED_VALUE"""),"mèo")</f>
        <v>mèo</v>
      </c>
      <c r="E3982" s="119"/>
    </row>
    <row r="3983" ht="15.75" customHeight="1">
      <c r="A3983" s="122" t="str">
        <f>IFERROR(__xludf.DUMMYFUNCTION("""COMPUTED_VALUE"""),"0358 133 564")</f>
        <v>0358 133 564</v>
      </c>
      <c r="B3983" s="119" t="str">
        <f>IFERROR(__xludf.DUMMYFUNCTION("""COMPUTED_VALUE"""),"Chị Quỳnh Nhi")</f>
        <v>Chị Quỳnh Nhi</v>
      </c>
      <c r="C3983" s="119" t="str">
        <f>IFERROR(__xludf.DUMMYFUNCTION("""COMPUTED_VALUE"""),"255 Trần Phú")</f>
        <v>255 Trần Phú</v>
      </c>
      <c r="D3983" s="119" t="str">
        <f>IFERROR(__xludf.DUMMYFUNCTION("""COMPUTED_VALUE"""),"Chó")</f>
        <v>Chó</v>
      </c>
      <c r="E3983" s="119"/>
    </row>
    <row r="3984" ht="15.75" customHeight="1">
      <c r="A3984" s="122" t="str">
        <f>IFERROR(__xludf.DUMMYFUNCTION("""COMPUTED_VALUE"""),"0777 429 152")</f>
        <v>0777 429 152</v>
      </c>
      <c r="B3984" s="119" t="str">
        <f>IFERROR(__xludf.DUMMYFUNCTION("""COMPUTED_VALUE"""),"Hoàng Lê Nguyên Thảo")</f>
        <v>Hoàng Lê Nguyên Thảo</v>
      </c>
      <c r="C3984" s="119" t="str">
        <f>IFERROR(__xludf.DUMMYFUNCTION("""COMPUTED_VALUE"""),"Phú Thượng")</f>
        <v>Phú Thượng</v>
      </c>
      <c r="D3984" s="119" t="str">
        <f>IFERROR(__xludf.DUMMYFUNCTION("""COMPUTED_VALUE"""),"mèo")</f>
        <v>mèo</v>
      </c>
      <c r="E3984" s="119" t="str">
        <f>IFERROR(__xludf.DUMMYFUNCTION("""COMPUTED_VALUE"""),"Dâu")</f>
        <v>Dâu</v>
      </c>
    </row>
    <row r="3985" ht="15.75" customHeight="1">
      <c r="A3985" s="122" t="str">
        <f>IFERROR(__xludf.DUMMYFUNCTION("""COMPUTED_VALUE"""),"0702 449 588")</f>
        <v>0702 449 588</v>
      </c>
      <c r="B3985" s="119" t="str">
        <f>IFERROR(__xludf.DUMMYFUNCTION("""COMPUTED_VALUE"""),"Phạm Thị Mỹ Thảo")</f>
        <v>Phạm Thị Mỹ Thảo</v>
      </c>
      <c r="C3985" s="119" t="str">
        <f>IFERROR(__xludf.DUMMYFUNCTION("""COMPUTED_VALUE"""),"1/103 Thiên Thai")</f>
        <v>1/103 Thiên Thai</v>
      </c>
      <c r="D3985" s="119" t="str">
        <f>IFERROR(__xludf.DUMMYFUNCTION("""COMPUTED_VALUE"""),"chó")</f>
        <v>chó</v>
      </c>
      <c r="E3985" s="119" t="str">
        <f>IFERROR(__xludf.DUMMYFUNCTION("""COMPUTED_VALUE"""),"Bi")</f>
        <v>Bi</v>
      </c>
    </row>
    <row r="3986" ht="15.75" customHeight="1">
      <c r="A3986" s="122" t="str">
        <f>IFERROR(__xludf.DUMMYFUNCTION("""COMPUTED_VALUE"""),"0379 907 079")</f>
        <v>0379 907 079</v>
      </c>
      <c r="B3986" s="119" t="str">
        <f>IFERROR(__xludf.DUMMYFUNCTION("""COMPUTED_VALUE"""),"Chị Phương")</f>
        <v>Chị Phương</v>
      </c>
      <c r="C3986" s="119" t="str">
        <f>IFERROR(__xludf.DUMMYFUNCTION("""COMPUTED_VALUE"""),"37 Dương Văn An")</f>
        <v>37 Dương Văn An</v>
      </c>
      <c r="D3986" s="119" t="str">
        <f>IFERROR(__xludf.DUMMYFUNCTION("""COMPUTED_VALUE"""),"Chó ")</f>
        <v>Chó </v>
      </c>
      <c r="E3986" s="119" t="str">
        <f>IFERROR(__xludf.DUMMYFUNCTION("""COMPUTED_VALUE"""),"Gấu")</f>
        <v>Gấu</v>
      </c>
    </row>
    <row r="3987" ht="15.75" customHeight="1">
      <c r="A3987" s="122" t="str">
        <f>IFERROR(__xludf.DUMMYFUNCTION("""COMPUTED_VALUE"""),"0914 905 677")</f>
        <v>0914 905 677</v>
      </c>
      <c r="B3987" s="119" t="str">
        <f>IFERROR(__xludf.DUMMYFUNCTION("""COMPUTED_VALUE"""),"Dì Hà")</f>
        <v>Dì Hà</v>
      </c>
      <c r="C3987" s="119" t="str">
        <f>IFERROR(__xludf.DUMMYFUNCTION("""COMPUTED_VALUE"""),"103 Phan Bội Châu")</f>
        <v>103 Phan Bội Châu</v>
      </c>
      <c r="D3987" s="119" t="str">
        <f>IFERROR(__xludf.DUMMYFUNCTION("""COMPUTED_VALUE"""),"Chó")</f>
        <v>Chó</v>
      </c>
      <c r="E3987" s="119" t="str">
        <f>IFERROR(__xludf.DUMMYFUNCTION("""COMPUTED_VALUE"""),"Gấu")</f>
        <v>Gấu</v>
      </c>
    </row>
    <row r="3988" ht="15.75" customHeight="1">
      <c r="A3988" s="122" t="str">
        <f>IFERROR(__xludf.DUMMYFUNCTION("""COMPUTED_VALUE"""),"0978 610 623")</f>
        <v>0978 610 623</v>
      </c>
      <c r="B3988" s="119" t="str">
        <f>IFERROR(__xludf.DUMMYFUNCTION("""COMPUTED_VALUE"""),"Chí Thiện")</f>
        <v>Chí Thiện</v>
      </c>
      <c r="C3988" s="119" t="str">
        <f>IFERROR(__xludf.DUMMYFUNCTION("""COMPUTED_VALUE"""),"143 Hàn Mặc Tử")</f>
        <v>143 Hàn Mặc Tử</v>
      </c>
      <c r="D3988" s="119" t="str">
        <f>IFERROR(__xludf.DUMMYFUNCTION("""COMPUTED_VALUE"""),"chó")</f>
        <v>chó</v>
      </c>
      <c r="E3988" s="119" t="str">
        <f>IFERROR(__xludf.DUMMYFUNCTION("""COMPUTED_VALUE"""),"Phê")</f>
        <v>Phê</v>
      </c>
    </row>
    <row r="3989" ht="15.75" customHeight="1">
      <c r="A3989" s="122" t="str">
        <f>IFERROR(__xludf.DUMMYFUNCTION("""COMPUTED_VALUE"""),"0935 358 333")</f>
        <v>0935 358 333</v>
      </c>
      <c r="B3989" s="119" t="str">
        <f>IFERROR(__xludf.DUMMYFUNCTION("""COMPUTED_VALUE"""),"Chị Vân")</f>
        <v>Chị Vân</v>
      </c>
      <c r="C3989" s="119" t="str">
        <f>IFERROR(__xludf.DUMMYFUNCTION("""COMPUTED_VALUE"""),"B27 đường số 2 An cựu city")</f>
        <v>B27 đường số 2 An cựu city</v>
      </c>
      <c r="D3989" s="119" t="str">
        <f>IFERROR(__xludf.DUMMYFUNCTION("""COMPUTED_VALUE"""),"Chó")</f>
        <v>Chó</v>
      </c>
      <c r="E3989" s="119"/>
    </row>
    <row r="3990" ht="15.75" customHeight="1">
      <c r="A3990" s="122" t="str">
        <f>IFERROR(__xludf.DUMMYFUNCTION("""COMPUTED_VALUE"""),"0946 921 444")</f>
        <v>0946 921 444</v>
      </c>
      <c r="B3990" s="119" t="str">
        <f>IFERROR(__xludf.DUMMYFUNCTION("""COMPUTED_VALUE"""),"Anh Tư")</f>
        <v>Anh Tư</v>
      </c>
      <c r="C3990" s="119" t="str">
        <f>IFERROR(__xludf.DUMMYFUNCTION("""COMPUTED_VALUE"""),"2/95 Trần Phú")</f>
        <v>2/95 Trần Phú</v>
      </c>
      <c r="D3990" s="119" t="str">
        <f>IFERROR(__xludf.DUMMYFUNCTION("""COMPUTED_VALUE"""),"chó")</f>
        <v>chó</v>
      </c>
      <c r="E3990" s="119"/>
    </row>
    <row r="3991" ht="15.75" customHeight="1">
      <c r="A3991" s="122" t="str">
        <f>IFERROR(__xludf.DUMMYFUNCTION("""COMPUTED_VALUE"""),"0964 504 347")</f>
        <v>0964 504 347</v>
      </c>
      <c r="B3991" s="119" t="str">
        <f>IFERROR(__xludf.DUMMYFUNCTION("""COMPUTED_VALUE"""),"Anh Tân")</f>
        <v>Anh Tân</v>
      </c>
      <c r="C3991" s="119" t="str">
        <f>IFERROR(__xludf.DUMMYFUNCTION("""COMPUTED_VALUE"""),"K97 Lưu  Bảo")</f>
        <v>K97 Lưu  Bảo</v>
      </c>
      <c r="D3991" s="119" t="str">
        <f>IFERROR(__xludf.DUMMYFUNCTION("""COMPUTED_VALUE"""),"Mèo")</f>
        <v>Mèo</v>
      </c>
      <c r="E3991" s="119" t="str">
        <f>IFERROR(__xludf.DUMMYFUNCTION("""COMPUTED_VALUE"""),"Két")</f>
        <v>Két</v>
      </c>
    </row>
    <row r="3992" ht="15.75" customHeight="1">
      <c r="A3992" s="122" t="str">
        <f>IFERROR(__xludf.DUMMYFUNCTION("""COMPUTED_VALUE"""),"0948 491 470")</f>
        <v>0948 491 470</v>
      </c>
      <c r="B3992" s="119" t="str">
        <f>IFERROR(__xludf.DUMMYFUNCTION("""COMPUTED_VALUE"""),"Chị Hoà")</f>
        <v>Chị Hoà</v>
      </c>
      <c r="C3992" s="119" t="str">
        <f>IFERROR(__xludf.DUMMYFUNCTION("""COMPUTED_VALUE"""),"50 Hải Triều")</f>
        <v>50 Hải Triều</v>
      </c>
      <c r="D3992" s="119" t="str">
        <f>IFERROR(__xludf.DUMMYFUNCTION("""COMPUTED_VALUE"""),"Mèo")</f>
        <v>Mèo</v>
      </c>
      <c r="E3992" s="119" t="str">
        <f>IFERROR(__xludf.DUMMYFUNCTION("""COMPUTED_VALUE"""),"Mơ")</f>
        <v>Mơ</v>
      </c>
    </row>
    <row r="3993" ht="15.75" customHeight="1">
      <c r="A3993" s="122" t="str">
        <f>IFERROR(__xludf.DUMMYFUNCTION("""COMPUTED_VALUE"""),"0399 938 407")</f>
        <v>0399 938 407</v>
      </c>
      <c r="B3993" s="119" t="str">
        <f>IFERROR(__xludf.DUMMYFUNCTION("""COMPUTED_VALUE"""),"Nguyễn Văn Mẫn")</f>
        <v>Nguyễn Văn Mẫn</v>
      </c>
      <c r="C3993" s="119" t="str">
        <f>IFERROR(__xludf.DUMMYFUNCTION("""COMPUTED_VALUE"""),"n405 Phạm Thị Liên")</f>
        <v>n405 Phạm Thị Liên</v>
      </c>
      <c r="D3993" s="119" t="str">
        <f>IFERROR(__xludf.DUMMYFUNCTION("""COMPUTED_VALUE"""),"Chó")</f>
        <v>Chó</v>
      </c>
      <c r="E3993" s="119" t="str">
        <f>IFERROR(__xludf.DUMMYFUNCTION("""COMPUTED_VALUE"""),"Bút")</f>
        <v>Bút</v>
      </c>
    </row>
    <row r="3994" ht="15.75" customHeight="1">
      <c r="A3994" s="122" t="str">
        <f>IFERROR(__xludf.DUMMYFUNCTION("""COMPUTED_VALUE"""),"0788 659 266")</f>
        <v>0788 659 266</v>
      </c>
      <c r="B3994" s="119" t="str">
        <f>IFERROR(__xludf.DUMMYFUNCTION("""COMPUTED_VALUE"""),"Chị Hương")</f>
        <v>Chị Hương</v>
      </c>
      <c r="C3994" s="119" t="str">
        <f>IFERROR(__xludf.DUMMYFUNCTION("""COMPUTED_VALUE"""),"2/10 Nhật Lệ")</f>
        <v>2/10 Nhật Lệ</v>
      </c>
      <c r="D3994" s="119" t="str">
        <f>IFERROR(__xludf.DUMMYFUNCTION("""COMPUTED_VALUE"""),"Mèo")</f>
        <v>Mèo</v>
      </c>
      <c r="E3994" s="119" t="str">
        <f>IFERROR(__xludf.DUMMYFUNCTION("""COMPUTED_VALUE"""),"Gạo")</f>
        <v>Gạo</v>
      </c>
    </row>
    <row r="3995" ht="15.75" customHeight="1">
      <c r="A3995" s="122" t="str">
        <f>IFERROR(__xludf.DUMMYFUNCTION("""COMPUTED_VALUE"""),"0774 251 098")</f>
        <v>0774 251 098</v>
      </c>
      <c r="B3995" s="119" t="str">
        <f>IFERROR(__xludf.DUMMYFUNCTION("""COMPUTED_VALUE"""),"Mai Trinh")</f>
        <v>Mai Trinh</v>
      </c>
      <c r="C3995" s="119" t="str">
        <f>IFERROR(__xludf.DUMMYFUNCTION("""COMPUTED_VALUE"""),"7/97 Hoàng Quốc Việt")</f>
        <v>7/97 Hoàng Quốc Việt</v>
      </c>
      <c r="D3995" s="119" t="str">
        <f>IFERROR(__xludf.DUMMYFUNCTION("""COMPUTED_VALUE"""),"Mèo")</f>
        <v>Mèo</v>
      </c>
      <c r="E3995" s="119" t="str">
        <f>IFERROR(__xludf.DUMMYFUNCTION("""COMPUTED_VALUE"""),"Mây")</f>
        <v>Mây</v>
      </c>
    </row>
    <row r="3996" ht="15.75" customHeight="1">
      <c r="A3996" s="122" t="str">
        <f>IFERROR(__xludf.DUMMYFUNCTION("""COMPUTED_VALUE"""),"0916 442 353")</f>
        <v>0916 442 353</v>
      </c>
      <c r="B3996" s="119" t="str">
        <f>IFERROR(__xludf.DUMMYFUNCTION("""COMPUTED_VALUE"""),"Nguyễn Thị Mỹ Trang")</f>
        <v>Nguyễn Thị Mỹ Trang</v>
      </c>
      <c r="C3996" s="119" t="str">
        <f>IFERROR(__xludf.DUMMYFUNCTION("""COMPUTED_VALUE"""),"114 Thái Phiên")</f>
        <v>114 Thái Phiên</v>
      </c>
      <c r="D3996" s="119" t="str">
        <f>IFERROR(__xludf.DUMMYFUNCTION("""COMPUTED_VALUE"""),"Mèo")</f>
        <v>Mèo</v>
      </c>
      <c r="E3996" s="119" t="str">
        <f>IFERROR(__xludf.DUMMYFUNCTION("""COMPUTED_VALUE"""),"Ô Vô")</f>
        <v>Ô Vô</v>
      </c>
    </row>
    <row r="3997" ht="15.75" customHeight="1">
      <c r="A3997" s="122" t="str">
        <f>IFERROR(__xludf.DUMMYFUNCTION("""COMPUTED_VALUE"""),"0935 295 005")</f>
        <v>0935 295 005</v>
      </c>
      <c r="B3997" s="119" t="str">
        <f>IFERROR(__xludf.DUMMYFUNCTION("""COMPUTED_VALUE"""),"Chị Ân")</f>
        <v>Chị Ân</v>
      </c>
      <c r="C3997" s="119" t="str">
        <f>IFERROR(__xludf.DUMMYFUNCTION("""COMPUTED_VALUE"""),"6/53 Hàm Nghi")</f>
        <v>6/53 Hàm Nghi</v>
      </c>
      <c r="D3997" s="119" t="str">
        <f>IFERROR(__xludf.DUMMYFUNCTION("""COMPUTED_VALUE"""),"Chó")</f>
        <v>Chó</v>
      </c>
      <c r="E3997" s="119" t="str">
        <f>IFERROR(__xludf.DUMMYFUNCTION("""COMPUTED_VALUE"""),"Xoài")</f>
        <v>Xoài</v>
      </c>
    </row>
    <row r="3998" ht="15.75" customHeight="1">
      <c r="A3998" s="122" t="str">
        <f>IFERROR(__xludf.DUMMYFUNCTION("""COMPUTED_VALUE"""),"0706 201 804")</f>
        <v>0706 201 804</v>
      </c>
      <c r="B3998" s="119" t="str">
        <f>IFERROR(__xludf.DUMMYFUNCTION("""COMPUTED_VALUE"""),"Em Phong")</f>
        <v>Em Phong</v>
      </c>
      <c r="C3998" s="119" t="str">
        <f>IFERROR(__xludf.DUMMYFUNCTION("""COMPUTED_VALUE"""),"4/71 Nguyễn Phúc Lan")</f>
        <v>4/71 Nguyễn Phúc Lan</v>
      </c>
      <c r="D3998" s="119" t="str">
        <f>IFERROR(__xludf.DUMMYFUNCTION("""COMPUTED_VALUE"""),"Chó")</f>
        <v>Chó</v>
      </c>
      <c r="E3998" s="119" t="str">
        <f>IFERROR(__xludf.DUMMYFUNCTION("""COMPUTED_VALUE"""),"Nu")</f>
        <v>Nu</v>
      </c>
    </row>
    <row r="3999" ht="15.75" customHeight="1">
      <c r="A3999" s="122" t="str">
        <f>IFERROR(__xludf.DUMMYFUNCTION("""COMPUTED_VALUE"""),"0336 967 455")</f>
        <v>0336 967 455</v>
      </c>
      <c r="B3999" s="119" t="str">
        <f>IFERROR(__xludf.DUMMYFUNCTION("""COMPUTED_VALUE"""),"Chị Trinh")</f>
        <v>Chị Trinh</v>
      </c>
      <c r="C3999" s="119" t="str">
        <f>IFERROR(__xludf.DUMMYFUNCTION("""COMPUTED_VALUE"""),"75A lý Nam đế")</f>
        <v>75A lý Nam đế</v>
      </c>
      <c r="D3999" s="119" t="str">
        <f>IFERROR(__xludf.DUMMYFUNCTION("""COMPUTED_VALUE"""),"Chó")</f>
        <v>Chó</v>
      </c>
      <c r="E3999" s="119" t="str">
        <f>IFERROR(__xludf.DUMMYFUNCTION("""COMPUTED_VALUE"""),"Sữa")</f>
        <v>Sữa</v>
      </c>
    </row>
    <row r="4000" ht="15.75" customHeight="1">
      <c r="A4000" s="122" t="str">
        <f>IFERROR(__xludf.DUMMYFUNCTION("""COMPUTED_VALUE"""),"0983 510 690")</f>
        <v>0983 510 690</v>
      </c>
      <c r="B4000" s="119" t="str">
        <f>IFERROR(__xludf.DUMMYFUNCTION("""COMPUTED_VALUE"""),"Anh Trí")</f>
        <v>Anh Trí</v>
      </c>
      <c r="C4000" s="119" t="str">
        <f>IFERROR(__xludf.DUMMYFUNCTION("""COMPUTED_VALUE"""),"24/6 Phạm Thị Liên")</f>
        <v>24/6 Phạm Thị Liên</v>
      </c>
      <c r="D4000" s="119" t="str">
        <f>IFERROR(__xludf.DUMMYFUNCTION("""COMPUTED_VALUE"""),"Chó")</f>
        <v>Chó</v>
      </c>
      <c r="E4000" s="119" t="str">
        <f>IFERROR(__xludf.DUMMYFUNCTION("""COMPUTED_VALUE"""),"Khoai")</f>
        <v>Khoai</v>
      </c>
    </row>
    <row r="4001" ht="15.75" customHeight="1">
      <c r="A4001" s="122" t="str">
        <f>IFERROR(__xludf.DUMMYFUNCTION("""COMPUTED_VALUE"""),"0983 333 811")</f>
        <v>0983 333 811</v>
      </c>
      <c r="B4001" s="119" t="str">
        <f>IFERROR(__xludf.DUMMYFUNCTION("""COMPUTED_VALUE"""),"Anh Chương")</f>
        <v>Anh Chương</v>
      </c>
      <c r="C4001" s="119" t="str">
        <f>IFERROR(__xludf.DUMMYFUNCTION("""COMPUTED_VALUE"""),"157 Hàn Mặc Tử")</f>
        <v>157 Hàn Mặc Tử</v>
      </c>
      <c r="D4001" s="119" t="str">
        <f>IFERROR(__xludf.DUMMYFUNCTION("""COMPUTED_VALUE"""),"mèo")</f>
        <v>mèo</v>
      </c>
      <c r="E4001" s="119"/>
    </row>
    <row r="4002" ht="15.75" customHeight="1">
      <c r="A4002" s="122" t="str">
        <f>IFERROR(__xludf.DUMMYFUNCTION("""COMPUTED_VALUE"""),"0328 332 180")</f>
        <v>0328 332 180</v>
      </c>
      <c r="B4002" s="119" t="str">
        <f>IFERROR(__xludf.DUMMYFUNCTION("""COMPUTED_VALUE"""),"Thu Hà")</f>
        <v>Thu Hà</v>
      </c>
      <c r="C4002" s="119" t="str">
        <f>IFERROR(__xludf.DUMMYFUNCTION("""COMPUTED_VALUE"""),"10/134 Bà Triệu")</f>
        <v>10/134 Bà Triệu</v>
      </c>
      <c r="D4002" s="119" t="str">
        <f>IFERROR(__xludf.DUMMYFUNCTION("""COMPUTED_VALUE"""),"mèo")</f>
        <v>mèo</v>
      </c>
      <c r="E4002" s="119"/>
    </row>
    <row r="4003" ht="15.75" customHeight="1">
      <c r="A4003" s="122" t="str">
        <f>IFERROR(__xludf.DUMMYFUNCTION("""COMPUTED_VALUE"""),"0387 336 680")</f>
        <v>0387 336 680</v>
      </c>
      <c r="B4003" s="119" t="str">
        <f>IFERROR(__xludf.DUMMYFUNCTION("""COMPUTED_VALUE"""),"Em Hải")</f>
        <v>Em Hải</v>
      </c>
      <c r="C4003" s="119" t="str">
        <f>IFERROR(__xludf.DUMMYFUNCTION("""COMPUTED_VALUE"""),"30 Lê Công Hành")</f>
        <v>30 Lê Công Hành</v>
      </c>
      <c r="D4003" s="119" t="str">
        <f>IFERROR(__xludf.DUMMYFUNCTION("""COMPUTED_VALUE"""),"mèo")</f>
        <v>mèo</v>
      </c>
      <c r="E4003" s="119" t="str">
        <f>IFERROR(__xludf.DUMMYFUNCTION("""COMPUTED_VALUE"""),"Ngáo")</f>
        <v>Ngáo</v>
      </c>
    </row>
    <row r="4004" ht="15.75" customHeight="1">
      <c r="A4004" s="122" t="str">
        <f>IFERROR(__xludf.DUMMYFUNCTION("""COMPUTED_VALUE"""),"0359 741 129")</f>
        <v>0359 741 129</v>
      </c>
      <c r="B4004" s="119"/>
      <c r="C4004" s="119" t="str">
        <f>IFERROR(__xludf.DUMMYFUNCTION("""COMPUTED_VALUE"""),"14/39 Phạm Thị Liên")</f>
        <v>14/39 Phạm Thị Liên</v>
      </c>
      <c r="D4004" s="119" t="str">
        <f>IFERROR(__xludf.DUMMYFUNCTION("""COMPUTED_VALUE"""),"Chó")</f>
        <v>Chó</v>
      </c>
      <c r="E4004" s="119"/>
    </row>
    <row r="4005" ht="15.75" customHeight="1">
      <c r="A4005" s="122" t="str">
        <f>IFERROR(__xludf.DUMMYFUNCTION("""COMPUTED_VALUE"""),"0826 843 686")</f>
        <v>0826 843 686</v>
      </c>
      <c r="B4005" s="119" t="str">
        <f>IFERROR(__xludf.DUMMYFUNCTION("""COMPUTED_VALUE"""),"Dì Linh Cơ")</f>
        <v>Dì Linh Cơ</v>
      </c>
      <c r="C4005" s="119" t="str">
        <f>IFERROR(__xludf.DUMMYFUNCTION("""COMPUTED_VALUE"""),"148 An Dương Vương")</f>
        <v>148 An Dương Vương</v>
      </c>
      <c r="D4005" s="119" t="str">
        <f>IFERROR(__xludf.DUMMYFUNCTION("""COMPUTED_VALUE"""),"Chó")</f>
        <v>Chó</v>
      </c>
      <c r="E4005" s="119" t="str">
        <f>IFERROR(__xludf.DUMMYFUNCTION("""COMPUTED_VALUE"""),"Bin/Bun")</f>
        <v>Bin/Bun</v>
      </c>
    </row>
    <row r="4006" ht="15.75" customHeight="1">
      <c r="A4006" s="122" t="str">
        <f>IFERROR(__xludf.DUMMYFUNCTION("""COMPUTED_VALUE"""),"0774 542 076")</f>
        <v>0774 542 076</v>
      </c>
      <c r="B4006" s="119" t="str">
        <f>IFERROR(__xludf.DUMMYFUNCTION("""COMPUTED_VALUE"""),"em Hiền")</f>
        <v>em Hiền</v>
      </c>
      <c r="C4006" s="119" t="str">
        <f>IFERROR(__xludf.DUMMYFUNCTION("""COMPUTED_VALUE"""),"13/69/47 Ưng Bình")</f>
        <v>13/69/47 Ưng Bình</v>
      </c>
      <c r="D4006" s="119" t="str">
        <f>IFERROR(__xludf.DUMMYFUNCTION("""COMPUTED_VALUE"""),"chó")</f>
        <v>chó</v>
      </c>
      <c r="E4006" s="119" t="str">
        <f>IFERROR(__xludf.DUMMYFUNCTION("""COMPUTED_VALUE"""),"Đà")</f>
        <v>Đà</v>
      </c>
    </row>
    <row r="4007" ht="15.75" customHeight="1">
      <c r="A4007" s="122" t="str">
        <f>IFERROR(__xludf.DUMMYFUNCTION("""COMPUTED_VALUE"""),"0364 224 406")</f>
        <v>0364 224 406</v>
      </c>
      <c r="B4007" s="119" t="str">
        <f>IFERROR(__xludf.DUMMYFUNCTION("""COMPUTED_VALUE"""),"Mai Linh")</f>
        <v>Mai Linh</v>
      </c>
      <c r="C4007" s="119" t="str">
        <f>IFERROR(__xludf.DUMMYFUNCTION("""COMPUTED_VALUE"""),"2A Xuân Diệu")</f>
        <v>2A Xuân Diệu</v>
      </c>
      <c r="D4007" s="119"/>
      <c r="E4007" s="119"/>
    </row>
    <row r="4008" ht="15.75" customHeight="1">
      <c r="A4008" s="122" t="str">
        <f>IFERROR(__xludf.DUMMYFUNCTION("""COMPUTED_VALUE"""),"0782 269 903")</f>
        <v>0782 269 903</v>
      </c>
      <c r="B4008" s="119" t="str">
        <f>IFERROR(__xludf.DUMMYFUNCTION("""COMPUTED_VALUE"""),"Em Vân")</f>
        <v>Em Vân</v>
      </c>
      <c r="C4008" s="119" t="str">
        <f>IFERROR(__xludf.DUMMYFUNCTION("""COMPUTED_VALUE"""),"4/63 Điện Biên Phủ")</f>
        <v>4/63 Điện Biên Phủ</v>
      </c>
      <c r="D4008" s="119" t="str">
        <f>IFERROR(__xludf.DUMMYFUNCTION("""COMPUTED_VALUE"""),"Mèo")</f>
        <v>Mèo</v>
      </c>
      <c r="E4008" s="119"/>
    </row>
    <row r="4009" ht="15.75" customHeight="1">
      <c r="A4009" s="122" t="str">
        <f>IFERROR(__xludf.DUMMYFUNCTION("""COMPUTED_VALUE"""),"0908 750 246")</f>
        <v>0908 750 246</v>
      </c>
      <c r="B4009" s="119" t="str">
        <f>IFERROR(__xludf.DUMMYFUNCTION("""COMPUTED_VALUE"""),"Chị phương minh")</f>
        <v>Chị phương minh</v>
      </c>
      <c r="C4009" s="119" t="str">
        <f>IFERROR(__xludf.DUMMYFUNCTION("""COMPUTED_VALUE"""),"4/93 Đặng Huy Trứ")</f>
        <v>4/93 Đặng Huy Trứ</v>
      </c>
      <c r="D4009" s="119" t="str">
        <f>IFERROR(__xludf.DUMMYFUNCTION("""COMPUTED_VALUE"""),"Chó")</f>
        <v>Chó</v>
      </c>
      <c r="E4009" s="119"/>
    </row>
    <row r="4010" ht="15.75" customHeight="1">
      <c r="A4010" s="122" t="str">
        <f>IFERROR(__xludf.DUMMYFUNCTION("""COMPUTED_VALUE"""),"0914 025 681")</f>
        <v>0914 025 681</v>
      </c>
      <c r="B4010" s="119" t="str">
        <f>IFERROR(__xludf.DUMMYFUNCTION("""COMPUTED_VALUE"""),"Chú Cường")</f>
        <v>Chú Cường</v>
      </c>
      <c r="C4010" s="119" t="str">
        <f>IFERROR(__xludf.DUMMYFUNCTION("""COMPUTED_VALUE"""),"QL Thú y Phước Vĩnh")</f>
        <v>QL Thú y Phước Vĩnh</v>
      </c>
      <c r="D4010" s="119"/>
      <c r="E4010" s="119"/>
    </row>
    <row r="4011" ht="15.75" customHeight="1">
      <c r="A4011" s="122" t="str">
        <f>IFERROR(__xludf.DUMMYFUNCTION("""COMPUTED_VALUE"""),"0931 978 837")</f>
        <v>0931 978 837</v>
      </c>
      <c r="B4011" s="119" t="str">
        <f>IFERROR(__xludf.DUMMYFUNCTION("""COMPUTED_VALUE"""),"Ngọc Giàu")</f>
        <v>Ngọc Giàu</v>
      </c>
      <c r="C4011" s="119" t="str">
        <f>IFERROR(__xludf.DUMMYFUNCTION("""COMPUTED_VALUE"""),"6A xóm 3 Lại Thế")</f>
        <v>6A xóm 3 Lại Thế</v>
      </c>
      <c r="D4011" s="119" t="str">
        <f>IFERROR(__xludf.DUMMYFUNCTION("""COMPUTED_VALUE"""),"chó")</f>
        <v>chó</v>
      </c>
      <c r="E4011" s="119" t="str">
        <f>IFERROR(__xludf.DUMMYFUNCTION("""COMPUTED_VALUE"""),"Lucky")</f>
        <v>Lucky</v>
      </c>
    </row>
    <row r="4012" ht="15.75" customHeight="1">
      <c r="A4012" s="122" t="str">
        <f>IFERROR(__xludf.DUMMYFUNCTION("""COMPUTED_VALUE"""),"0905 779 462")</f>
        <v>0905 779 462</v>
      </c>
      <c r="B4012" s="119" t="str">
        <f>IFERROR(__xludf.DUMMYFUNCTION("""COMPUTED_VALUE"""),"Chị Thủy")</f>
        <v>Chị Thủy</v>
      </c>
      <c r="C4012" s="119" t="str">
        <f>IFERROR(__xludf.DUMMYFUNCTION("""COMPUTED_VALUE"""),"81 Đặng Huy Trứ")</f>
        <v>81 Đặng Huy Trứ</v>
      </c>
      <c r="D4012" s="119" t="str">
        <f>IFERROR(__xludf.DUMMYFUNCTION("""COMPUTED_VALUE"""),"Chó")</f>
        <v>Chó</v>
      </c>
      <c r="E4012" s="119" t="str">
        <f>IFERROR(__xludf.DUMMYFUNCTION("""COMPUTED_VALUE"""),"Cam")</f>
        <v>Cam</v>
      </c>
    </row>
    <row r="4013" ht="15.75" customHeight="1">
      <c r="A4013" s="122" t="str">
        <f>IFERROR(__xludf.DUMMYFUNCTION("""COMPUTED_VALUE"""),"0357 567 454")</f>
        <v>0357 567 454</v>
      </c>
      <c r="B4013" s="119" t="str">
        <f>IFERROR(__xludf.DUMMYFUNCTION("""COMPUTED_VALUE"""),"Thuỳ Trang")</f>
        <v>Thuỳ Trang</v>
      </c>
      <c r="C4013" s="119" t="str">
        <f>IFERROR(__xludf.DUMMYFUNCTION("""COMPUTED_VALUE"""),"đối diện 25 tổ 2 Lại Thế")</f>
        <v>đối diện 25 tổ 2 Lại Thế</v>
      </c>
      <c r="D4013" s="119" t="str">
        <f>IFERROR(__xludf.DUMMYFUNCTION("""COMPUTED_VALUE"""),"chó")</f>
        <v>chó</v>
      </c>
      <c r="E4013" s="119"/>
    </row>
    <row r="4014" ht="15.75" customHeight="1">
      <c r="A4014" s="122" t="str">
        <f>IFERROR(__xludf.DUMMYFUNCTION("""COMPUTED_VALUE"""),"0889 222 181")</f>
        <v>0889 222 181</v>
      </c>
      <c r="B4014" s="119" t="str">
        <f>IFERROR(__xludf.DUMMYFUNCTION("""COMPUTED_VALUE"""),"Ý Minh")</f>
        <v>Ý Minh</v>
      </c>
      <c r="C4014" s="119" t="str">
        <f>IFERROR(__xludf.DUMMYFUNCTION("""COMPUTED_VALUE"""),"53/20 Trần Quang Khải")</f>
        <v>53/20 Trần Quang Khải</v>
      </c>
      <c r="D4014" s="119" t="str">
        <f>IFERROR(__xludf.DUMMYFUNCTION("""COMPUTED_VALUE"""),"Chó")</f>
        <v>Chó</v>
      </c>
      <c r="E4014" s="119" t="str">
        <f>IFERROR(__xludf.DUMMYFUNCTION("""COMPUTED_VALUE"""),"bánh gạo")</f>
        <v>bánh gạo</v>
      </c>
    </row>
    <row r="4015" ht="15.75" customHeight="1">
      <c r="A4015" s="122" t="str">
        <f>IFERROR(__xludf.DUMMYFUNCTION("""COMPUTED_VALUE"""),"0346 142 485")</f>
        <v>0346 142 485</v>
      </c>
      <c r="B4015" s="119" t="str">
        <f>IFERROR(__xludf.DUMMYFUNCTION("""COMPUTED_VALUE"""),"Ngọc Hân")</f>
        <v>Ngọc Hân</v>
      </c>
      <c r="C4015" s="119" t="str">
        <f>IFERROR(__xludf.DUMMYFUNCTION("""COMPUTED_VALUE"""),"Thôn 3 Vinh Thanh")</f>
        <v>Thôn 3 Vinh Thanh</v>
      </c>
      <c r="D4015" s="119" t="str">
        <f>IFERROR(__xludf.DUMMYFUNCTION("""COMPUTED_VALUE"""),"chó")</f>
        <v>chó</v>
      </c>
      <c r="E4015" s="119" t="str">
        <f>IFERROR(__xludf.DUMMYFUNCTION("""COMPUTED_VALUE"""),"Dee")</f>
        <v>Dee</v>
      </c>
    </row>
    <row r="4016" ht="15.75" customHeight="1">
      <c r="A4016" s="122" t="str">
        <f>IFERROR(__xludf.DUMMYFUNCTION("""COMPUTED_VALUE"""),"0984 818 393")</f>
        <v>0984 818 393</v>
      </c>
      <c r="B4016" s="119" t="str">
        <f>IFERROR(__xludf.DUMMYFUNCTION("""COMPUTED_VALUE"""),"Dì Hà ")</f>
        <v>Dì Hà </v>
      </c>
      <c r="C4016" s="119" t="str">
        <f>IFERROR(__xludf.DUMMYFUNCTION("""COMPUTED_VALUE"""),"75 Cao Xuân Dục")</f>
        <v>75 Cao Xuân Dục</v>
      </c>
      <c r="D4016" s="119" t="str">
        <f>IFERROR(__xludf.DUMMYFUNCTION("""COMPUTED_VALUE"""),"chó")</f>
        <v>chó</v>
      </c>
      <c r="E4016" s="119"/>
    </row>
    <row r="4017" ht="15.75" customHeight="1">
      <c r="A4017" s="122" t="str">
        <f>IFERROR(__xludf.DUMMYFUNCTION("""COMPUTED_VALUE"""),"0932 477 711")</f>
        <v>0932 477 711</v>
      </c>
      <c r="B4017" s="119" t="str">
        <f>IFERROR(__xludf.DUMMYFUNCTION("""COMPUTED_VALUE"""),"Chị Thư")</f>
        <v>Chị Thư</v>
      </c>
      <c r="C4017" s="119" t="str">
        <f>IFERROR(__xludf.DUMMYFUNCTION("""COMPUTED_VALUE"""),"106 Minh Mạng")</f>
        <v>106 Minh Mạng</v>
      </c>
      <c r="D4017" s="119" t="str">
        <f>IFERROR(__xludf.DUMMYFUNCTION("""COMPUTED_VALUE"""),"Chó")</f>
        <v>Chó</v>
      </c>
      <c r="E4017" s="119" t="str">
        <f>IFERROR(__xludf.DUMMYFUNCTION("""COMPUTED_VALUE"""),"Shi")</f>
        <v>Shi</v>
      </c>
    </row>
    <row r="4018" ht="15.75" customHeight="1">
      <c r="A4018" s="122" t="str">
        <f>IFERROR(__xludf.DUMMYFUNCTION("""COMPUTED_VALUE"""),"0988 600 019")</f>
        <v>0988 600 019</v>
      </c>
      <c r="B4018" s="119" t="str">
        <f>IFERROR(__xludf.DUMMYFUNCTION("""COMPUTED_VALUE"""),"Anh Hải")</f>
        <v>Anh Hải</v>
      </c>
      <c r="C4018" s="119" t="str">
        <f>IFERROR(__xludf.DUMMYFUNCTION("""COMPUTED_VALUE"""),"213/4 Ngự Bình")</f>
        <v>213/4 Ngự Bình</v>
      </c>
      <c r="D4018" s="119" t="str">
        <f>IFERROR(__xludf.DUMMYFUNCTION("""COMPUTED_VALUE"""),"Chó")</f>
        <v>Chó</v>
      </c>
      <c r="E4018" s="119" t="str">
        <f>IFERROR(__xludf.DUMMYFUNCTION("""COMPUTED_VALUE"""),"Lucky")</f>
        <v>Lucky</v>
      </c>
    </row>
    <row r="4019" ht="15.75" customHeight="1">
      <c r="A4019" s="122" t="str">
        <f>IFERROR(__xludf.DUMMYFUNCTION("""COMPUTED_VALUE"""),"0905 647 480")</f>
        <v>0905 647 480</v>
      </c>
      <c r="B4019" s="119" t="str">
        <f>IFERROR(__xludf.DUMMYFUNCTION("""COMPUTED_VALUE"""),"Anh Duy")</f>
        <v>Anh Duy</v>
      </c>
      <c r="C4019" s="119" t="str">
        <f>IFERROR(__xludf.DUMMYFUNCTION("""COMPUTED_VALUE"""),"3/121 Bùi Thị Xuân")</f>
        <v>3/121 Bùi Thị Xuân</v>
      </c>
      <c r="D4019" s="119" t="str">
        <f>IFERROR(__xludf.DUMMYFUNCTION("""COMPUTED_VALUE"""),"Chó")</f>
        <v>Chó</v>
      </c>
      <c r="E4019" s="119" t="str">
        <f>IFERROR(__xludf.DUMMYFUNCTION("""COMPUTED_VALUE"""),"Gấu")</f>
        <v>Gấu</v>
      </c>
    </row>
    <row r="4020" ht="15.75" customHeight="1">
      <c r="A4020" s="122"/>
      <c r="B4020" s="119" t="str">
        <f>IFERROR(__xludf.DUMMYFUNCTION("""COMPUTED_VALUE"""),"Phan Trần Nhật Tiên")</f>
        <v>Phan Trần Nhật Tiên</v>
      </c>
      <c r="C4020" s="119" t="str">
        <f>IFERROR(__xludf.DUMMYFUNCTION("""COMPUTED_VALUE"""),"8/162 Phan Chu Trinh")</f>
        <v>8/162 Phan Chu Trinh</v>
      </c>
      <c r="D4020" s="119" t="str">
        <f>IFERROR(__xludf.DUMMYFUNCTION("""COMPUTED_VALUE"""),"Chó")</f>
        <v>Chó</v>
      </c>
      <c r="E4020" s="119" t="str">
        <f>IFERROR(__xludf.DUMMYFUNCTION("""COMPUTED_VALUE"""),"Sony")</f>
        <v>Sony</v>
      </c>
    </row>
    <row r="4021" ht="15.75" customHeight="1">
      <c r="A4021" s="122" t="str">
        <f>IFERROR(__xludf.DUMMYFUNCTION("""COMPUTED_VALUE"""),"0775 524 537")</f>
        <v>0775 524 537</v>
      </c>
      <c r="B4021" s="119" t="str">
        <f>IFERROR(__xludf.DUMMYFUNCTION("""COMPUTED_VALUE"""),"chị Enny")</f>
        <v>chị Enny</v>
      </c>
      <c r="C4021" s="119" t="str">
        <f>IFERROR(__xludf.DUMMYFUNCTION("""COMPUTED_VALUE"""),"51 Hoàng Thông- Vỹ Dạ")</f>
        <v>51 Hoàng Thông- Vỹ Dạ</v>
      </c>
      <c r="D4021" s="119" t="str">
        <f>IFERROR(__xludf.DUMMYFUNCTION("""COMPUTED_VALUE"""),"mèo")</f>
        <v>mèo</v>
      </c>
      <c r="E4021" s="119" t="str">
        <f>IFERROR(__xludf.DUMMYFUNCTION("""COMPUTED_VALUE"""),"Salmon")</f>
        <v>Salmon</v>
      </c>
    </row>
    <row r="4022" ht="15.75" customHeight="1">
      <c r="A4022" s="122" t="str">
        <f>IFERROR(__xludf.DUMMYFUNCTION("""COMPUTED_VALUE"""),"0912 224 862")</f>
        <v>0912 224 862</v>
      </c>
      <c r="B4022" s="119" t="str">
        <f>IFERROR(__xludf.DUMMYFUNCTION("""COMPUTED_VALUE"""),"Dì Hương")</f>
        <v>Dì Hương</v>
      </c>
      <c r="C4022" s="119" t="str">
        <f>IFERROR(__xludf.DUMMYFUNCTION("""COMPUTED_VALUE"""),"102 Đặng Huy Trứ")</f>
        <v>102 Đặng Huy Trứ</v>
      </c>
      <c r="D4022" s="119" t="str">
        <f>IFERROR(__xludf.DUMMYFUNCTION("""COMPUTED_VALUE"""),"Mèo")</f>
        <v>Mèo</v>
      </c>
      <c r="E4022" s="119" t="str">
        <f>IFERROR(__xludf.DUMMYFUNCTION("""COMPUTED_VALUE"""),"Miu")</f>
        <v>Miu</v>
      </c>
    </row>
    <row r="4023" ht="15.75" customHeight="1">
      <c r="A4023" s="122" t="str">
        <f>IFERROR(__xludf.DUMMYFUNCTION("""COMPUTED_VALUE"""),"0384 623 898")</f>
        <v>0384 623 898</v>
      </c>
      <c r="B4023" s="119" t="str">
        <f>IFERROR(__xludf.DUMMYFUNCTION("""COMPUTED_VALUE"""),"Chú Đạt")</f>
        <v>Chú Đạt</v>
      </c>
      <c r="C4023" s="119" t="str">
        <f>IFERROR(__xludf.DUMMYFUNCTION("""COMPUTED_VALUE"""),"7/132 Nguyễn Hữu Dật")</f>
        <v>7/132 Nguyễn Hữu Dật</v>
      </c>
      <c r="D4023" s="119" t="str">
        <f>IFERROR(__xludf.DUMMYFUNCTION("""COMPUTED_VALUE"""),"Chó")</f>
        <v>Chó</v>
      </c>
      <c r="E4023" s="119" t="str">
        <f>IFERROR(__xludf.DUMMYFUNCTION("""COMPUTED_VALUE"""),"Trắng")</f>
        <v>Trắng</v>
      </c>
    </row>
    <row r="4024" ht="15.75" customHeight="1">
      <c r="A4024" s="122" t="str">
        <f>IFERROR(__xludf.DUMMYFUNCTION("""COMPUTED_VALUE"""),"0702 369 642")</f>
        <v>0702 369 642</v>
      </c>
      <c r="B4024" s="119" t="str">
        <f>IFERROR(__xludf.DUMMYFUNCTION("""COMPUTED_VALUE"""),"Chị Ân")</f>
        <v>Chị Ân</v>
      </c>
      <c r="C4024" s="119" t="str">
        <f>IFERROR(__xludf.DUMMYFUNCTION("""COMPUTED_VALUE"""),"18/4/16 Đoàn Hữu Trưng")</f>
        <v>18/4/16 Đoàn Hữu Trưng</v>
      </c>
      <c r="D4024" s="119" t="str">
        <f>IFERROR(__xludf.DUMMYFUNCTION("""COMPUTED_VALUE"""),"Chó")</f>
        <v>Chó</v>
      </c>
      <c r="E4024" s="119" t="str">
        <f>IFERROR(__xludf.DUMMYFUNCTION("""COMPUTED_VALUE"""),"Gril")</f>
        <v>Gril</v>
      </c>
    </row>
    <row r="4025" ht="15.75" customHeight="1">
      <c r="A4025" s="122" t="str">
        <f>IFERROR(__xludf.DUMMYFUNCTION("""COMPUTED_VALUE"""),"0352 654 633")</f>
        <v>0352 654 633</v>
      </c>
      <c r="B4025" s="119" t="str">
        <f>IFERROR(__xludf.DUMMYFUNCTION("""COMPUTED_VALUE"""),"Phạm Thị Kim Cúc")</f>
        <v>Phạm Thị Kim Cúc</v>
      </c>
      <c r="C4025" s="119" t="str">
        <f>IFERROR(__xludf.DUMMYFUNCTION("""COMPUTED_VALUE"""),"5/k52 Nguyễn Khoa Vy")</f>
        <v>5/k52 Nguyễn Khoa Vy</v>
      </c>
      <c r="D4025" s="119" t="str">
        <f>IFERROR(__xludf.DUMMYFUNCTION("""COMPUTED_VALUE"""),"chó")</f>
        <v>chó</v>
      </c>
      <c r="E4025" s="119" t="str">
        <f>IFERROR(__xludf.DUMMYFUNCTION("""COMPUTED_VALUE"""),"Đôla")</f>
        <v>Đôla</v>
      </c>
    </row>
    <row r="4026" ht="15.75" customHeight="1">
      <c r="A4026" s="122" t="str">
        <f>IFERROR(__xludf.DUMMYFUNCTION("""COMPUTED_VALUE"""),"0976 746 761")</f>
        <v>0976 746 761</v>
      </c>
      <c r="B4026" s="119" t="str">
        <f>IFERROR(__xludf.DUMMYFUNCTION("""COMPUTED_VALUE"""),"Nguyễn Văn Tụ")</f>
        <v>Nguyễn Văn Tụ</v>
      </c>
      <c r="C4026" s="119" t="str">
        <f>IFERROR(__xludf.DUMMYFUNCTION("""COMPUTED_VALUE"""),"An Hoà - Hương An")</f>
        <v>An Hoà - Hương An</v>
      </c>
      <c r="D4026" s="119" t="str">
        <f>IFERROR(__xludf.DUMMYFUNCTION("""COMPUTED_VALUE"""),"chó")</f>
        <v>chó</v>
      </c>
      <c r="E4026" s="119" t="str">
        <f>IFERROR(__xludf.DUMMYFUNCTION("""COMPUTED_VALUE"""),"Bi")</f>
        <v>Bi</v>
      </c>
    </row>
    <row r="4027" ht="15.75" customHeight="1">
      <c r="A4027" s="122" t="str">
        <f>IFERROR(__xludf.DUMMYFUNCTION("""COMPUTED_VALUE"""),"0762 723 644")</f>
        <v>0762 723 644</v>
      </c>
      <c r="B4027" s="119" t="str">
        <f>IFERROR(__xludf.DUMMYFUNCTION("""COMPUTED_VALUE"""),"Anh Thuận")</f>
        <v>Anh Thuận</v>
      </c>
      <c r="C4027" s="119" t="str">
        <f>IFERROR(__xludf.DUMMYFUNCTION("""COMPUTED_VALUE"""),"53 Văn Thánh")</f>
        <v>53 Văn Thánh</v>
      </c>
      <c r="D4027" s="119" t="str">
        <f>IFERROR(__xludf.DUMMYFUNCTION("""COMPUTED_VALUE"""),"chó")</f>
        <v>chó</v>
      </c>
      <c r="E4027" s="119" t="str">
        <f>IFERROR(__xludf.DUMMYFUNCTION("""COMPUTED_VALUE"""),"Milo")</f>
        <v>Milo</v>
      </c>
    </row>
    <row r="4028" ht="15.75" customHeight="1">
      <c r="A4028" s="122" t="str">
        <f>IFERROR(__xludf.DUMMYFUNCTION("""COMPUTED_VALUE"""),"0843 959 959")</f>
        <v>0843 959 959</v>
      </c>
      <c r="B4028" s="119" t="str">
        <f>IFERROR(__xludf.DUMMYFUNCTION("""COMPUTED_VALUE"""),"Chị Bình")</f>
        <v>Chị Bình</v>
      </c>
      <c r="C4028" s="119" t="str">
        <f>IFERROR(__xludf.DUMMYFUNCTION("""COMPUTED_VALUE"""),"235 Đặng Tất")</f>
        <v>235 Đặng Tất</v>
      </c>
      <c r="D4028" s="119" t="str">
        <f>IFERROR(__xludf.DUMMYFUNCTION("""COMPUTED_VALUE"""),"chó")</f>
        <v>chó</v>
      </c>
      <c r="E4028" s="119" t="str">
        <f>IFERROR(__xludf.DUMMYFUNCTION("""COMPUTED_VALUE"""),"Gạo")</f>
        <v>Gạo</v>
      </c>
    </row>
    <row r="4029" ht="15.75" customHeight="1">
      <c r="A4029" s="122" t="str">
        <f>IFERROR(__xludf.DUMMYFUNCTION("""COMPUTED_VALUE"""),"0762 777 567")</f>
        <v>0762 777 567</v>
      </c>
      <c r="B4029" s="119" t="str">
        <f>IFERROR(__xludf.DUMMYFUNCTION("""COMPUTED_VALUE"""),"Anh Tuấn")</f>
        <v>Anh Tuấn</v>
      </c>
      <c r="C4029" s="119" t="str">
        <f>IFERROR(__xludf.DUMMYFUNCTION("""COMPUTED_VALUE"""),"123 Trường Chinh")</f>
        <v>123 Trường Chinh</v>
      </c>
      <c r="D4029" s="119" t="str">
        <f>IFERROR(__xludf.DUMMYFUNCTION("""COMPUTED_VALUE"""),"chó")</f>
        <v>chó</v>
      </c>
      <c r="E4029" s="119" t="str">
        <f>IFERROR(__xludf.DUMMYFUNCTION("""COMPUTED_VALUE"""),"Huda")</f>
        <v>Huda</v>
      </c>
    </row>
    <row r="4030" ht="15.75" customHeight="1">
      <c r="A4030" s="122" t="str">
        <f>IFERROR(__xludf.DUMMYFUNCTION("""COMPUTED_VALUE"""),"0768 414 960")</f>
        <v>0768 414 960</v>
      </c>
      <c r="B4030" s="119" t="str">
        <f>IFERROR(__xludf.DUMMYFUNCTION("""COMPUTED_VALUE"""),"Tài")</f>
        <v>Tài</v>
      </c>
      <c r="C4030" s="119" t="str">
        <f>IFERROR(__xludf.DUMMYFUNCTION("""COMPUTED_VALUE"""),"10 Bà Triệu")</f>
        <v>10 Bà Triệu</v>
      </c>
      <c r="D4030" s="119" t="str">
        <f>IFERROR(__xludf.DUMMYFUNCTION("""COMPUTED_VALUE"""),"mèo")</f>
        <v>mèo</v>
      </c>
      <c r="E4030" s="119" t="str">
        <f>IFERROR(__xludf.DUMMYFUNCTION("""COMPUTED_VALUE"""),"Dâu")</f>
        <v>Dâu</v>
      </c>
    </row>
    <row r="4031" ht="15.75" customHeight="1">
      <c r="A4031" s="122" t="str">
        <f>IFERROR(__xludf.DUMMYFUNCTION("""COMPUTED_VALUE"""),"0972 578 571")</f>
        <v>0972 578 571</v>
      </c>
      <c r="B4031" s="119" t="str">
        <f>IFERROR(__xludf.DUMMYFUNCTION("""COMPUTED_VALUE"""),"Chị Nhung")</f>
        <v>Chị Nhung</v>
      </c>
      <c r="C4031" s="119" t="str">
        <f>IFERROR(__xludf.DUMMYFUNCTION("""COMPUTED_VALUE"""),"21 Trần Nguyên Đán")</f>
        <v>21 Trần Nguyên Đán</v>
      </c>
      <c r="D4031" s="119" t="str">
        <f>IFERROR(__xludf.DUMMYFUNCTION("""COMPUTED_VALUE"""),"chó")</f>
        <v>chó</v>
      </c>
      <c r="E4031" s="119" t="str">
        <f>IFERROR(__xludf.DUMMYFUNCTION("""COMPUTED_VALUE"""),"Bông")</f>
        <v>Bông</v>
      </c>
    </row>
    <row r="4032" ht="15.75" customHeight="1">
      <c r="A4032" s="122" t="str">
        <f>IFERROR(__xludf.DUMMYFUNCTION("""COMPUTED_VALUE"""),"0911 427 242")</f>
        <v>0911 427 242</v>
      </c>
      <c r="B4032" s="119" t="str">
        <f>IFERROR(__xludf.DUMMYFUNCTION("""COMPUTED_VALUE"""),"Dì Lạc")</f>
        <v>Dì Lạc</v>
      </c>
      <c r="C4032" s="119" t="str">
        <f>IFERROR(__xludf.DUMMYFUNCTION("""COMPUTED_VALUE"""),"40B khu tập Thể Đống Đa")</f>
        <v>40B khu tập Thể Đống Đa</v>
      </c>
      <c r="D4032" s="119" t="str">
        <f>IFERROR(__xludf.DUMMYFUNCTION("""COMPUTED_VALUE"""),"chó")</f>
        <v>chó</v>
      </c>
      <c r="E4032" s="119" t="str">
        <f>IFERROR(__xludf.DUMMYFUNCTION("""COMPUTED_VALUE"""),"Mực")</f>
        <v>Mực</v>
      </c>
    </row>
    <row r="4033" ht="15.75" customHeight="1">
      <c r="A4033" s="122" t="str">
        <f>IFERROR(__xludf.DUMMYFUNCTION("""COMPUTED_VALUE"""),"0909 724 280")</f>
        <v>0909 724 280</v>
      </c>
      <c r="B4033" s="119" t="str">
        <f>IFERROR(__xludf.DUMMYFUNCTION("""COMPUTED_VALUE"""),"Khánh Phương")</f>
        <v>Khánh Phương</v>
      </c>
      <c r="C4033" s="119" t="str">
        <f>IFERROR(__xludf.DUMMYFUNCTION("""COMPUTED_VALUE"""),"20 Phan Văn Trường")</f>
        <v>20 Phan Văn Trường</v>
      </c>
      <c r="D4033" s="119" t="str">
        <f>IFERROR(__xludf.DUMMYFUNCTION("""COMPUTED_VALUE"""),"Chó")</f>
        <v>Chó</v>
      </c>
      <c r="E4033" s="119" t="str">
        <f>IFERROR(__xludf.DUMMYFUNCTION("""COMPUTED_VALUE"""),"Ben")</f>
        <v>Ben</v>
      </c>
    </row>
    <row r="4034" ht="15.75" customHeight="1">
      <c r="A4034" s="122" t="str">
        <f>IFERROR(__xludf.DUMMYFUNCTION("""COMPUTED_VALUE"""),"0972 681 385")</f>
        <v>0972 681 385</v>
      </c>
      <c r="B4034" s="119" t="str">
        <f>IFERROR(__xludf.DUMMYFUNCTION("""COMPUTED_VALUE"""),"Dì Diểm")</f>
        <v>Dì Diểm</v>
      </c>
      <c r="C4034" s="119" t="str">
        <f>IFERROR(__xludf.DUMMYFUNCTION("""COMPUTED_VALUE"""),"14/69 Phạm Thị Liên")</f>
        <v>14/69 Phạm Thị Liên</v>
      </c>
      <c r="D4034" s="119" t="str">
        <f>IFERROR(__xludf.DUMMYFUNCTION("""COMPUTED_VALUE"""),"Chó")</f>
        <v>Chó</v>
      </c>
      <c r="E4034" s="119" t="str">
        <f>IFERROR(__xludf.DUMMYFUNCTION("""COMPUTED_VALUE"""),"Ry")</f>
        <v>Ry</v>
      </c>
    </row>
    <row r="4035" ht="15.75" customHeight="1">
      <c r="A4035" s="122" t="str">
        <f>IFERROR(__xludf.DUMMYFUNCTION("""COMPUTED_VALUE"""),"0343 831 761")</f>
        <v>0343 831 761</v>
      </c>
      <c r="B4035" s="119" t="str">
        <f>IFERROR(__xludf.DUMMYFUNCTION("""COMPUTED_VALUE"""),"E Thắng")</f>
        <v>E Thắng</v>
      </c>
      <c r="C4035" s="119" t="str">
        <f>IFERROR(__xludf.DUMMYFUNCTION("""COMPUTED_VALUE"""),"5Phan Đăng Lưu")</f>
        <v>5Phan Đăng Lưu</v>
      </c>
      <c r="D4035" s="119" t="str">
        <f>IFERROR(__xludf.DUMMYFUNCTION("""COMPUTED_VALUE"""),"Mèo")</f>
        <v>Mèo</v>
      </c>
      <c r="E4035" s="119"/>
    </row>
    <row r="4036" ht="15.75" customHeight="1">
      <c r="A4036" s="122" t="str">
        <f>IFERROR(__xludf.DUMMYFUNCTION("""COMPUTED_VALUE"""),"0982 098 217")</f>
        <v>0982 098 217</v>
      </c>
      <c r="B4036" s="119" t="str">
        <f>IFERROR(__xludf.DUMMYFUNCTION("""COMPUTED_VALUE"""),"Anh Kỳ")</f>
        <v>Anh Kỳ</v>
      </c>
      <c r="C4036" s="119" t="str">
        <f>IFERROR(__xludf.DUMMYFUNCTION("""COMPUTED_VALUE"""),"42/10 Phú Mộng")</f>
        <v>42/10 Phú Mộng</v>
      </c>
      <c r="D4036" s="119" t="str">
        <f>IFERROR(__xludf.DUMMYFUNCTION("""COMPUTED_VALUE"""),"Mèo")</f>
        <v>Mèo</v>
      </c>
      <c r="E4036" s="119" t="str">
        <f>IFERROR(__xludf.DUMMYFUNCTION("""COMPUTED_VALUE"""),"Địa")</f>
        <v>Địa</v>
      </c>
    </row>
    <row r="4037" ht="15.75" customHeight="1">
      <c r="A4037" s="122" t="str">
        <f>IFERROR(__xludf.DUMMYFUNCTION("""COMPUTED_VALUE"""),"0787 744 481")</f>
        <v>0787 744 481</v>
      </c>
      <c r="B4037" s="119" t="str">
        <f>IFERROR(__xludf.DUMMYFUNCTION("""COMPUTED_VALUE"""),"Chị Tường Vân")</f>
        <v>Chị Tường Vân</v>
      </c>
      <c r="C4037" s="119" t="str">
        <f>IFERROR(__xludf.DUMMYFUNCTION("""COMPUTED_VALUE"""),"Nguyệt Biều")</f>
        <v>Nguyệt Biều</v>
      </c>
      <c r="D4037" s="119" t="str">
        <f>IFERROR(__xludf.DUMMYFUNCTION("""COMPUTED_VALUE"""),"Chó")</f>
        <v>Chó</v>
      </c>
      <c r="E4037" s="119" t="str">
        <f>IFERROR(__xludf.DUMMYFUNCTION("""COMPUTED_VALUE"""),"Beo/ Mập")</f>
        <v>Beo/ Mập</v>
      </c>
    </row>
    <row r="4038" ht="15.75" customHeight="1">
      <c r="A4038" s="122" t="str">
        <f>IFERROR(__xludf.DUMMYFUNCTION("""COMPUTED_VALUE"""),"0914 019 983")</f>
        <v>0914 019 983</v>
      </c>
      <c r="B4038" s="119" t="str">
        <f>IFERROR(__xludf.DUMMYFUNCTION("""COMPUTED_VALUE"""),"Nguyễn Thị Ngọc Thuý")</f>
        <v>Nguyễn Thị Ngọc Thuý</v>
      </c>
      <c r="C4038" s="119" t="str">
        <f>IFERROR(__xludf.DUMMYFUNCTION("""COMPUTED_VALUE"""),"Hương Hồ")</f>
        <v>Hương Hồ</v>
      </c>
      <c r="D4038" s="119" t="str">
        <f>IFERROR(__xludf.DUMMYFUNCTION("""COMPUTED_VALUE"""),"Chó")</f>
        <v>Chó</v>
      </c>
      <c r="E4038" s="119" t="str">
        <f>IFERROR(__xludf.DUMMYFUNCTION("""COMPUTED_VALUE"""),"Mika")</f>
        <v>Mika</v>
      </c>
    </row>
    <row r="4039" ht="15.75" customHeight="1">
      <c r="A4039" s="122" t="str">
        <f>IFERROR(__xludf.DUMMYFUNCTION("""COMPUTED_VALUE"""),"0949 416 567")</f>
        <v>0949 416 567</v>
      </c>
      <c r="B4039" s="119" t="str">
        <f>IFERROR(__xludf.DUMMYFUNCTION("""COMPUTED_VALUE"""),"Hồ Ái Như")</f>
        <v>Hồ Ái Như</v>
      </c>
      <c r="C4039" s="119" t="str">
        <f>IFERROR(__xludf.DUMMYFUNCTION("""COMPUTED_VALUE"""),"48 Phạm Thị Liên")</f>
        <v>48 Phạm Thị Liên</v>
      </c>
      <c r="D4039" s="119" t="str">
        <f>IFERROR(__xludf.DUMMYFUNCTION("""COMPUTED_VALUE"""),"chó")</f>
        <v>chó</v>
      </c>
      <c r="E4039" s="119" t="str">
        <f>IFERROR(__xludf.DUMMYFUNCTION("""COMPUTED_VALUE"""),"Mực")</f>
        <v>Mực</v>
      </c>
    </row>
    <row r="4040" ht="15.75" customHeight="1">
      <c r="A4040" s="122" t="str">
        <f>IFERROR(__xludf.DUMMYFUNCTION("""COMPUTED_VALUE"""),"0378 735 493")</f>
        <v>0378 735 493</v>
      </c>
      <c r="B4040" s="119" t="str">
        <f>IFERROR(__xludf.DUMMYFUNCTION("""COMPUTED_VALUE"""),"Nguyễn Văn Linh")</f>
        <v>Nguyễn Văn Linh</v>
      </c>
      <c r="C4040" s="119" t="str">
        <f>IFERROR(__xludf.DUMMYFUNCTION("""COMPUTED_VALUE"""),"Hương Hồ")</f>
        <v>Hương Hồ</v>
      </c>
      <c r="D4040" s="119" t="str">
        <f>IFERROR(__xludf.DUMMYFUNCTION("""COMPUTED_VALUE"""),"chó")</f>
        <v>chó</v>
      </c>
      <c r="E4040" s="119" t="str">
        <f>IFERROR(__xludf.DUMMYFUNCTION("""COMPUTED_VALUE"""),"Đen")</f>
        <v>Đen</v>
      </c>
    </row>
    <row r="4041" ht="15.75" customHeight="1">
      <c r="A4041" s="122" t="str">
        <f>IFERROR(__xludf.DUMMYFUNCTION("""COMPUTED_VALUE"""),"0334 120 141")</f>
        <v>0334 120 141</v>
      </c>
      <c r="B4041" s="119" t="str">
        <f>IFERROR(__xludf.DUMMYFUNCTION("""COMPUTED_VALUE"""),"Khánh Huyền")</f>
        <v>Khánh Huyền</v>
      </c>
      <c r="C4041" s="119" t="str">
        <f>IFERROR(__xludf.DUMMYFUNCTION("""COMPUTED_VALUE"""),"k87 Nguyễn Huệ")</f>
        <v>k87 Nguyễn Huệ</v>
      </c>
      <c r="D4041" s="119" t="str">
        <f>IFERROR(__xludf.DUMMYFUNCTION("""COMPUTED_VALUE"""),"mèo")</f>
        <v>mèo</v>
      </c>
      <c r="E4041" s="119" t="str">
        <f>IFERROR(__xludf.DUMMYFUNCTION("""COMPUTED_VALUE"""),"Sữa")</f>
        <v>Sữa</v>
      </c>
    </row>
    <row r="4042" ht="15.75" customHeight="1">
      <c r="A4042" s="122" t="str">
        <f>IFERROR(__xludf.DUMMYFUNCTION("""COMPUTED_VALUE"""),"0901 973 673")</f>
        <v>0901 973 673</v>
      </c>
      <c r="B4042" s="119" t="str">
        <f>IFERROR(__xludf.DUMMYFUNCTION("""COMPUTED_VALUE"""),"Nhàn")</f>
        <v>Nhàn</v>
      </c>
      <c r="C4042" s="119" t="str">
        <f>IFERROR(__xludf.DUMMYFUNCTION("""COMPUTED_VALUE"""),"Thuỷ Thanh- Hương Thuỷ")</f>
        <v>Thuỷ Thanh- Hương Thuỷ</v>
      </c>
      <c r="D4042" s="119" t="str">
        <f>IFERROR(__xludf.DUMMYFUNCTION("""COMPUTED_VALUE"""),"chó")</f>
        <v>chó</v>
      </c>
      <c r="E4042" s="119" t="str">
        <f>IFERROR(__xludf.DUMMYFUNCTION("""COMPUTED_VALUE"""),"Ky")</f>
        <v>Ky</v>
      </c>
    </row>
    <row r="4043" ht="15.75" customHeight="1">
      <c r="A4043" s="122" t="str">
        <f>IFERROR(__xludf.DUMMYFUNCTION("""COMPUTED_VALUE"""),"0796 966 355")</f>
        <v>0796 966 355</v>
      </c>
      <c r="B4043" s="119" t="str">
        <f>IFERROR(__xludf.DUMMYFUNCTION("""COMPUTED_VALUE"""),"Nguyễn Quang Mẫn")</f>
        <v>Nguyễn Quang Mẫn</v>
      </c>
      <c r="C4043" s="119" t="str">
        <f>IFERROR(__xludf.DUMMYFUNCTION("""COMPUTED_VALUE"""),"11 Phường thuỷ xuân")</f>
        <v>11 Phường thuỷ xuân</v>
      </c>
      <c r="D4043" s="119" t="str">
        <f>IFERROR(__xludf.DUMMYFUNCTION("""COMPUTED_VALUE"""),"Chó")</f>
        <v>Chó</v>
      </c>
      <c r="E4043" s="119" t="str">
        <f>IFERROR(__xludf.DUMMYFUNCTION("""COMPUTED_VALUE"""),"Hai")</f>
        <v>Hai</v>
      </c>
    </row>
    <row r="4044" ht="15.75" customHeight="1">
      <c r="A4044" s="122" t="str">
        <f>IFERROR(__xludf.DUMMYFUNCTION("""COMPUTED_VALUE"""),"0382 078 853")</f>
        <v>0382 078 853</v>
      </c>
      <c r="B4044" s="119" t="str">
        <f>IFERROR(__xludf.DUMMYFUNCTION("""COMPUTED_VALUE"""),"Phan Tý")</f>
        <v>Phan Tý</v>
      </c>
      <c r="C4044" s="119" t="str">
        <f>IFERROR(__xludf.DUMMYFUNCTION("""COMPUTED_VALUE"""),"3 Nguyễn Phúc Tần")</f>
        <v>3 Nguyễn Phúc Tần</v>
      </c>
      <c r="D4044" s="119" t="str">
        <f>IFERROR(__xludf.DUMMYFUNCTION("""COMPUTED_VALUE"""),"Mèo")</f>
        <v>Mèo</v>
      </c>
      <c r="E4044" s="119" t="str">
        <f>IFERROR(__xludf.DUMMYFUNCTION("""COMPUTED_VALUE"""),"Khế")</f>
        <v>Khế</v>
      </c>
    </row>
    <row r="4045" ht="15.75" customHeight="1">
      <c r="A4045" s="122" t="str">
        <f>IFERROR(__xludf.DUMMYFUNCTION("""COMPUTED_VALUE"""),"0981 022556")</f>
        <v>0981 022556</v>
      </c>
      <c r="B4045" s="119" t="str">
        <f>IFERROR(__xludf.DUMMYFUNCTION("""COMPUTED_VALUE"""),"Chị Thanh Liễu")</f>
        <v>Chị Thanh Liễu</v>
      </c>
      <c r="C4045" s="119" t="str">
        <f>IFERROR(__xludf.DUMMYFUNCTION("""COMPUTED_VALUE"""),"84 Nguyễn Cảnh Châu")</f>
        <v>84 Nguyễn Cảnh Châu</v>
      </c>
      <c r="D4045" s="119" t="str">
        <f>IFERROR(__xludf.DUMMYFUNCTION("""COMPUTED_VALUE"""),"Chó")</f>
        <v>Chó</v>
      </c>
      <c r="E4045" s="119" t="str">
        <f>IFERROR(__xludf.DUMMYFUNCTION("""COMPUTED_VALUE"""),"Bông")</f>
        <v>Bông</v>
      </c>
    </row>
    <row r="4046" ht="15.75" customHeight="1">
      <c r="A4046" s="122" t="str">
        <f>IFERROR(__xludf.DUMMYFUNCTION("""COMPUTED_VALUE"""),"0396 781 682")</f>
        <v>0396 781 682</v>
      </c>
      <c r="B4046" s="119" t="str">
        <f>IFERROR(__xludf.DUMMYFUNCTION("""COMPUTED_VALUE"""),"Anh Huy")</f>
        <v>Anh Huy</v>
      </c>
      <c r="C4046" s="119" t="str">
        <f>IFERROR(__xludf.DUMMYFUNCTION("""COMPUTED_VALUE"""),"40/246 Hùng Vương")</f>
        <v>40/246 Hùng Vương</v>
      </c>
      <c r="D4046" s="119" t="str">
        <f>IFERROR(__xludf.DUMMYFUNCTION("""COMPUTED_VALUE"""),"mèo")</f>
        <v>mèo</v>
      </c>
      <c r="E4046" s="119" t="str">
        <f>IFERROR(__xludf.DUMMYFUNCTION("""COMPUTED_VALUE"""),"Vũ")</f>
        <v>Vũ</v>
      </c>
    </row>
    <row r="4047" ht="15.75" customHeight="1">
      <c r="A4047" s="122" t="str">
        <f>IFERROR(__xludf.DUMMYFUNCTION("""COMPUTED_VALUE"""),"0365 916 184")</f>
        <v>0365 916 184</v>
      </c>
      <c r="B4047" s="119" t="str">
        <f>IFERROR(__xludf.DUMMYFUNCTION("""COMPUTED_VALUE"""),"Em Huyền")</f>
        <v>Em Huyền</v>
      </c>
      <c r="C4047" s="119" t="str">
        <f>IFERROR(__xludf.DUMMYFUNCTION("""COMPUTED_VALUE"""),"8/12 Tô Ngọc Vân")</f>
        <v>8/12 Tô Ngọc Vân</v>
      </c>
      <c r="D4047" s="119" t="str">
        <f>IFERROR(__xludf.DUMMYFUNCTION("""COMPUTED_VALUE"""),"mèo")</f>
        <v>mèo</v>
      </c>
      <c r="E4047" s="119" t="str">
        <f>IFERROR(__xludf.DUMMYFUNCTION("""COMPUTED_VALUE"""),"Bún")</f>
        <v>Bún</v>
      </c>
    </row>
    <row r="4048" ht="15.75" customHeight="1">
      <c r="A4048" s="122" t="str">
        <f>IFERROR(__xludf.DUMMYFUNCTION("""COMPUTED_VALUE"""),"0906 542 020")</f>
        <v>0906 542 020</v>
      </c>
      <c r="B4048" s="119" t="str">
        <f>IFERROR(__xludf.DUMMYFUNCTION("""COMPUTED_VALUE"""),"Anh An")</f>
        <v>Anh An</v>
      </c>
      <c r="C4048" s="119" t="str">
        <f>IFERROR(__xludf.DUMMYFUNCTION("""COMPUTED_VALUE"""),"5/148 Hải Triều")</f>
        <v>5/148 Hải Triều</v>
      </c>
      <c r="D4048" s="119" t="str">
        <f>IFERROR(__xludf.DUMMYFUNCTION("""COMPUTED_VALUE"""),"chó")</f>
        <v>chó</v>
      </c>
      <c r="E4048" s="119" t="str">
        <f>IFERROR(__xludf.DUMMYFUNCTION("""COMPUTED_VALUE"""),"Xe")</f>
        <v>Xe</v>
      </c>
    </row>
    <row r="4049" ht="15.75" customHeight="1">
      <c r="A4049" s="122" t="str">
        <f>IFERROR(__xludf.DUMMYFUNCTION("""COMPUTED_VALUE"""),"0889 031 452")</f>
        <v>0889 031 452</v>
      </c>
      <c r="B4049" s="119" t="str">
        <f>IFERROR(__xludf.DUMMYFUNCTION("""COMPUTED_VALUE"""),"Em Nhi")</f>
        <v>Em Nhi</v>
      </c>
      <c r="C4049" s="119" t="str">
        <f>IFERROR(__xludf.DUMMYFUNCTION("""COMPUTED_VALUE"""),"112 Hùng Vương")</f>
        <v>112 Hùng Vương</v>
      </c>
      <c r="D4049" s="119" t="str">
        <f>IFERROR(__xludf.DUMMYFUNCTION("""COMPUTED_VALUE"""),"chó")</f>
        <v>chó</v>
      </c>
      <c r="E4049" s="119" t="str">
        <f>IFERROR(__xludf.DUMMYFUNCTION("""COMPUTED_VALUE"""),"Táo")</f>
        <v>Táo</v>
      </c>
    </row>
    <row r="4050" ht="15.75" customHeight="1">
      <c r="A4050" s="122" t="str">
        <f>IFERROR(__xludf.DUMMYFUNCTION("""COMPUTED_VALUE"""),"0945 429 849")</f>
        <v>0945 429 849</v>
      </c>
      <c r="B4050" s="119" t="str">
        <f>IFERROR(__xludf.DUMMYFUNCTION("""COMPUTED_VALUE"""),"Chị Nhi")</f>
        <v>Chị Nhi</v>
      </c>
      <c r="C4050" s="119" t="str">
        <f>IFERROR(__xludf.DUMMYFUNCTION("""COMPUTED_VALUE"""),"59 Đặng Huy Trứ")</f>
        <v>59 Đặng Huy Trứ</v>
      </c>
      <c r="D4050" s="119" t="str">
        <f>IFERROR(__xludf.DUMMYFUNCTION("""COMPUTED_VALUE"""),"Chó")</f>
        <v>Chó</v>
      </c>
      <c r="E4050" s="119" t="str">
        <f>IFERROR(__xludf.DUMMYFUNCTION("""COMPUTED_VALUE"""),"Xù")</f>
        <v>Xù</v>
      </c>
    </row>
    <row r="4051" ht="15.75" customHeight="1">
      <c r="A4051" s="122" t="str">
        <f>IFERROR(__xludf.DUMMYFUNCTION("""COMPUTED_VALUE"""),"0366 409 517")</f>
        <v>0366 409 517</v>
      </c>
      <c r="B4051" s="119" t="str">
        <f>IFERROR(__xludf.DUMMYFUNCTION("""COMPUTED_VALUE"""),"Chị Thúy")</f>
        <v>Chị Thúy</v>
      </c>
      <c r="C4051" s="119" t="str">
        <f>IFERROR(__xludf.DUMMYFUNCTION("""COMPUTED_VALUE"""),"1/51 Minh Mạng")</f>
        <v>1/51 Minh Mạng</v>
      </c>
      <c r="D4051" s="119" t="str">
        <f>IFERROR(__xludf.DUMMYFUNCTION("""COMPUTED_VALUE"""),"chó")</f>
        <v>chó</v>
      </c>
      <c r="E4051" s="119"/>
    </row>
    <row r="4052" ht="15.75" customHeight="1">
      <c r="A4052" s="122" t="str">
        <f>IFERROR(__xludf.DUMMYFUNCTION("""COMPUTED_VALUE"""),"0935 019 335")</f>
        <v>0935 019 335</v>
      </c>
      <c r="B4052" s="119" t="str">
        <f>IFERROR(__xludf.DUMMYFUNCTION("""COMPUTED_VALUE"""),"Chị Nhi")</f>
        <v>Chị Nhi</v>
      </c>
      <c r="C4052" s="119" t="str">
        <f>IFERROR(__xludf.DUMMYFUNCTION("""COMPUTED_VALUE"""),"Phú Bài")</f>
        <v>Phú Bài</v>
      </c>
      <c r="D4052" s="119" t="str">
        <f>IFERROR(__xludf.DUMMYFUNCTION("""COMPUTED_VALUE"""),"mèo")</f>
        <v>mèo</v>
      </c>
      <c r="E4052" s="119" t="str">
        <f>IFERROR(__xludf.DUMMYFUNCTION("""COMPUTED_VALUE"""),"Misa")</f>
        <v>Misa</v>
      </c>
    </row>
    <row r="4053" ht="15.75" customHeight="1">
      <c r="A4053" s="122" t="str">
        <f>IFERROR(__xludf.DUMMYFUNCTION("""COMPUTED_VALUE"""),"0377 234 591")</f>
        <v>0377 234 591</v>
      </c>
      <c r="B4053" s="119" t="str">
        <f>IFERROR(__xludf.DUMMYFUNCTION("""COMPUTED_VALUE"""),"Anh Thừa")</f>
        <v>Anh Thừa</v>
      </c>
      <c r="C4053" s="119" t="str">
        <f>IFERROR(__xludf.DUMMYFUNCTION("""COMPUTED_VALUE"""),"Kiệt 42 Nguyễn Duy Cung")</f>
        <v>Kiệt 42 Nguyễn Duy Cung</v>
      </c>
      <c r="D4053" s="119" t="str">
        <f>IFERROR(__xludf.DUMMYFUNCTION("""COMPUTED_VALUE"""),"chó")</f>
        <v>chó</v>
      </c>
      <c r="E4053" s="119"/>
    </row>
    <row r="4054" ht="15.75" customHeight="1">
      <c r="A4054" s="122" t="str">
        <f>IFERROR(__xludf.DUMMYFUNCTION("""COMPUTED_VALUE"""),"0986 944 820")</f>
        <v>0986 944 820</v>
      </c>
      <c r="B4054" s="119" t="str">
        <f>IFERROR(__xludf.DUMMYFUNCTION("""COMPUTED_VALUE"""),"Lê Quang Trung")</f>
        <v>Lê Quang Trung</v>
      </c>
      <c r="C4054" s="119" t="str">
        <f>IFERROR(__xludf.DUMMYFUNCTION("""COMPUTED_VALUE"""),"Thuỷ Phù")</f>
        <v>Thuỷ Phù</v>
      </c>
      <c r="D4054" s="119" t="str">
        <f>IFERROR(__xludf.DUMMYFUNCTION("""COMPUTED_VALUE"""),"chó")</f>
        <v>chó</v>
      </c>
      <c r="E4054" s="119" t="str">
        <f>IFERROR(__xludf.DUMMYFUNCTION("""COMPUTED_VALUE"""),"Bông")</f>
        <v>Bông</v>
      </c>
    </row>
    <row r="4055" ht="15.75" customHeight="1">
      <c r="A4055" s="122" t="str">
        <f>IFERROR(__xludf.DUMMYFUNCTION("""COMPUTED_VALUE"""),"0707 967 991")</f>
        <v>0707 967 991</v>
      </c>
      <c r="B4055" s="119" t="str">
        <f>IFERROR(__xludf.DUMMYFUNCTION("""COMPUTED_VALUE"""),"Em Na")</f>
        <v>Em Na</v>
      </c>
      <c r="C4055" s="119" t="str">
        <f>IFERROR(__xludf.DUMMYFUNCTION("""COMPUTED_VALUE"""),"KTX sv Lào")</f>
        <v>KTX sv Lào</v>
      </c>
      <c r="D4055" s="119" t="str">
        <f>IFERROR(__xludf.DUMMYFUNCTION("""COMPUTED_VALUE"""),"mèo")</f>
        <v>mèo</v>
      </c>
      <c r="E4055" s="119" t="str">
        <f>IFERROR(__xludf.DUMMYFUNCTION("""COMPUTED_VALUE"""),"Lukas")</f>
        <v>Lukas</v>
      </c>
    </row>
    <row r="4056" ht="15.75" customHeight="1">
      <c r="A4056" s="122" t="str">
        <f>IFERROR(__xludf.DUMMYFUNCTION("""COMPUTED_VALUE"""),"0914 472 300")</f>
        <v>0914 472 300</v>
      </c>
      <c r="B4056" s="119" t="str">
        <f>IFERROR(__xludf.DUMMYFUNCTION("""COMPUTED_VALUE"""),"Chú Điểu")</f>
        <v>Chú Điểu</v>
      </c>
      <c r="C4056" s="119" t="str">
        <f>IFERROR(__xludf.DUMMYFUNCTION("""COMPUTED_VALUE"""),"Chợ Kim Long")</f>
        <v>Chợ Kim Long</v>
      </c>
      <c r="D4056" s="119" t="str">
        <f>IFERROR(__xludf.DUMMYFUNCTION("""COMPUTED_VALUE"""),"Chó")</f>
        <v>Chó</v>
      </c>
      <c r="E4056" s="119" t="str">
        <f>IFERROR(__xludf.DUMMYFUNCTION("""COMPUTED_VALUE"""),"Tít")</f>
        <v>Tít</v>
      </c>
    </row>
    <row r="4057" ht="15.75" customHeight="1">
      <c r="A4057" s="122" t="str">
        <f>IFERROR(__xludf.DUMMYFUNCTION("""COMPUTED_VALUE"""),"0373 918 901")</f>
        <v>0373 918 901</v>
      </c>
      <c r="B4057" s="119" t="str">
        <f>IFERROR(__xludf.DUMMYFUNCTION("""COMPUTED_VALUE"""),"Anh Vũ")</f>
        <v>Anh Vũ</v>
      </c>
      <c r="C4057" s="119" t="str">
        <f>IFERROR(__xludf.DUMMYFUNCTION("""COMPUTED_VALUE"""),"An cựu")</f>
        <v>An cựu</v>
      </c>
      <c r="D4057" s="119" t="str">
        <f>IFERROR(__xludf.DUMMYFUNCTION("""COMPUTED_VALUE"""),"Chó")</f>
        <v>Chó</v>
      </c>
      <c r="E4057" s="119" t="str">
        <f>IFERROR(__xludf.DUMMYFUNCTION("""COMPUTED_VALUE"""),"Bull")</f>
        <v>Bull</v>
      </c>
    </row>
    <row r="4058" ht="15.75" customHeight="1">
      <c r="A4058" s="122" t="str">
        <f>IFERROR(__xludf.DUMMYFUNCTION("""COMPUTED_VALUE"""),"0356 760 205")</f>
        <v>0356 760 205</v>
      </c>
      <c r="B4058" s="119" t="str">
        <f>IFERROR(__xludf.DUMMYFUNCTION("""COMPUTED_VALUE"""),"Lê Quốc Bảo")</f>
        <v>Lê Quốc Bảo</v>
      </c>
      <c r="C4058" s="119" t="str">
        <f>IFERROR(__xludf.DUMMYFUNCTION("""COMPUTED_VALUE"""),"36 Nguyễn Bá Loan Tứ Hạ")</f>
        <v>36 Nguyễn Bá Loan Tứ Hạ</v>
      </c>
      <c r="D4058" s="119" t="str">
        <f>IFERROR(__xludf.DUMMYFUNCTION("""COMPUTED_VALUE"""),"Mèo")</f>
        <v>Mèo</v>
      </c>
      <c r="E4058" s="119"/>
    </row>
    <row r="4059" ht="15.75" customHeight="1">
      <c r="A4059" s="122" t="str">
        <f>IFERROR(__xludf.DUMMYFUNCTION("""COMPUTED_VALUE"""),"0934 359 136")</f>
        <v>0934 359 136</v>
      </c>
      <c r="B4059" s="119" t="str">
        <f>IFERROR(__xludf.DUMMYFUNCTION("""COMPUTED_VALUE"""),"Em lâm")</f>
        <v>Em lâm</v>
      </c>
      <c r="C4059" s="119" t="str">
        <f>IFERROR(__xludf.DUMMYFUNCTION("""COMPUTED_VALUE"""),"244 Điện Biên Phủ")</f>
        <v>244 Điện Biên Phủ</v>
      </c>
      <c r="D4059" s="119" t="str">
        <f>IFERROR(__xludf.DUMMYFUNCTION("""COMPUTED_VALUE"""),"Mèo")</f>
        <v>Mèo</v>
      </c>
      <c r="E4059" s="119" t="str">
        <f>IFERROR(__xludf.DUMMYFUNCTION("""COMPUTED_VALUE"""),"chuột")</f>
        <v>chuột</v>
      </c>
    </row>
    <row r="4060" ht="15.75" customHeight="1">
      <c r="A4060" s="122" t="str">
        <f>IFERROR(__xludf.DUMMYFUNCTION("""COMPUTED_VALUE"""),"0977 238 489")</f>
        <v>0977 238 489</v>
      </c>
      <c r="B4060" s="119" t="str">
        <f>IFERROR(__xludf.DUMMYFUNCTION("""COMPUTED_VALUE"""),"Chị Lợi")</f>
        <v>Chị Lợi</v>
      </c>
      <c r="C4060" s="119" t="str">
        <f>IFERROR(__xludf.DUMMYFUNCTION("""COMPUTED_VALUE"""),"k144 Phạm Thị Liên")</f>
        <v>k144 Phạm Thị Liên</v>
      </c>
      <c r="D4060" s="119" t="str">
        <f>IFERROR(__xludf.DUMMYFUNCTION("""COMPUTED_VALUE"""),"Mèo")</f>
        <v>Mèo</v>
      </c>
      <c r="E4060" s="119" t="str">
        <f>IFERROR(__xludf.DUMMYFUNCTION("""COMPUTED_VALUE"""),"Bạch Tuyết")</f>
        <v>Bạch Tuyết</v>
      </c>
    </row>
    <row r="4061" ht="15.75" customHeight="1">
      <c r="A4061" s="122" t="str">
        <f>IFERROR(__xludf.DUMMYFUNCTION("""COMPUTED_VALUE"""),"0913 948 028")</f>
        <v>0913 948 028</v>
      </c>
      <c r="B4061" s="119" t="str">
        <f>IFERROR(__xludf.DUMMYFUNCTION("""COMPUTED_VALUE"""),"Nguyển Thị Thùy Trang")</f>
        <v>Nguyển Thị Thùy Trang</v>
      </c>
      <c r="C4061" s="119" t="str">
        <f>IFERROR(__xludf.DUMMYFUNCTION("""COMPUTED_VALUE"""),"Nam Đông")</f>
        <v>Nam Đông</v>
      </c>
      <c r="D4061" s="119" t="str">
        <f>IFERROR(__xludf.DUMMYFUNCTION("""COMPUTED_VALUE"""),"Chó")</f>
        <v>Chó</v>
      </c>
      <c r="E4061" s="119" t="str">
        <f>IFERROR(__xludf.DUMMYFUNCTION("""COMPUTED_VALUE"""),"Táo")</f>
        <v>Táo</v>
      </c>
    </row>
    <row r="4062" ht="15.75" customHeight="1">
      <c r="A4062" s="122" t="str">
        <f>IFERROR(__xludf.DUMMYFUNCTION("""COMPUTED_VALUE"""),"0914 111 707")</f>
        <v>0914 111 707</v>
      </c>
      <c r="B4062" s="119" t="str">
        <f>IFERROR(__xludf.DUMMYFUNCTION("""COMPUTED_VALUE"""),"Anh Hảo")</f>
        <v>Anh Hảo</v>
      </c>
      <c r="C4062" s="119" t="str">
        <f>IFERROR(__xludf.DUMMYFUNCTION("""COMPUTED_VALUE"""),"Phan Bội Châu")</f>
        <v>Phan Bội Châu</v>
      </c>
      <c r="D4062" s="119" t="str">
        <f>IFERROR(__xludf.DUMMYFUNCTION("""COMPUTED_VALUE"""),"mèo")</f>
        <v>mèo</v>
      </c>
      <c r="E4062" s="119"/>
    </row>
    <row r="4063" ht="15.75" customHeight="1">
      <c r="A4063" s="122" t="str">
        <f>IFERROR(__xludf.DUMMYFUNCTION("""COMPUTED_VALUE"""),"0358 802 462")</f>
        <v>0358 802 462</v>
      </c>
      <c r="B4063" s="119" t="str">
        <f>IFERROR(__xludf.DUMMYFUNCTION("""COMPUTED_VALUE"""),"Anh Tài")</f>
        <v>Anh Tài</v>
      </c>
      <c r="C4063" s="119" t="str">
        <f>IFERROR(__xludf.DUMMYFUNCTION("""COMPUTED_VALUE"""),"28 Nguyễn Hữu Duật")</f>
        <v>28 Nguyễn Hữu Duật</v>
      </c>
      <c r="D4063" s="119" t="str">
        <f>IFERROR(__xludf.DUMMYFUNCTION("""COMPUTED_VALUE"""),"chó")</f>
        <v>chó</v>
      </c>
      <c r="E4063" s="119" t="str">
        <f>IFERROR(__xludf.DUMMYFUNCTION("""COMPUTED_VALUE"""),"mun")</f>
        <v>mun</v>
      </c>
    </row>
    <row r="4064" ht="15.75" customHeight="1">
      <c r="A4064" s="122" t="str">
        <f>IFERROR(__xludf.DUMMYFUNCTION("""COMPUTED_VALUE"""),"0972 588 571")</f>
        <v>0972 588 571</v>
      </c>
      <c r="B4064" s="119" t="str">
        <f>IFERROR(__xludf.DUMMYFUNCTION("""COMPUTED_VALUE"""),"Chị nhung")</f>
        <v>Chị nhung</v>
      </c>
      <c r="C4064" s="119" t="str">
        <f>IFERROR(__xludf.DUMMYFUNCTION("""COMPUTED_VALUE"""),"21 Trần Nguyên Đán")</f>
        <v>21 Trần Nguyên Đán</v>
      </c>
      <c r="D4064" s="119" t="str">
        <f>IFERROR(__xludf.DUMMYFUNCTION("""COMPUTED_VALUE"""),"chó")</f>
        <v>chó</v>
      </c>
      <c r="E4064" s="119" t="str">
        <f>IFERROR(__xludf.DUMMYFUNCTION("""COMPUTED_VALUE"""),"Bông")</f>
        <v>Bông</v>
      </c>
    </row>
    <row r="4065" ht="15.75" customHeight="1">
      <c r="A4065" s="122" t="str">
        <f>IFERROR(__xludf.DUMMYFUNCTION("""COMPUTED_VALUE"""),"0935 171 786")</f>
        <v>0935 171 786</v>
      </c>
      <c r="B4065" s="119" t="str">
        <f>IFERROR(__xludf.DUMMYFUNCTION("""COMPUTED_VALUE"""),"80 Thanh Hải")</f>
        <v>80 Thanh Hải</v>
      </c>
      <c r="C4065" s="119" t="str">
        <f>IFERROR(__xludf.DUMMYFUNCTION("""COMPUTED_VALUE"""),"chị Ly Sa")</f>
        <v>chị Ly Sa</v>
      </c>
      <c r="D4065" s="119" t="str">
        <f>IFERROR(__xludf.DUMMYFUNCTION("""COMPUTED_VALUE"""),"mèo")</f>
        <v>mèo</v>
      </c>
      <c r="E4065" s="119" t="str">
        <f>IFERROR(__xludf.DUMMYFUNCTION("""COMPUTED_VALUE"""),"mỳ")</f>
        <v>mỳ</v>
      </c>
    </row>
    <row r="4066" ht="15.75" customHeight="1">
      <c r="A4066" s="122" t="str">
        <f>IFERROR(__xludf.DUMMYFUNCTION("""COMPUTED_VALUE"""),"0961 523 496")</f>
        <v>0961 523 496</v>
      </c>
      <c r="B4066" s="119" t="str">
        <f>IFERROR(__xludf.DUMMYFUNCTION("""COMPUTED_VALUE"""),"Anh Châu")</f>
        <v>Anh Châu</v>
      </c>
      <c r="C4066" s="119" t="str">
        <f>IFERROR(__xludf.DUMMYFUNCTION("""COMPUTED_VALUE"""),"Ngự Bình")</f>
        <v>Ngự Bình</v>
      </c>
      <c r="D4066" s="119" t="str">
        <f>IFERROR(__xludf.DUMMYFUNCTION("""COMPUTED_VALUE"""),"Chó")</f>
        <v>Chó</v>
      </c>
      <c r="E4066" s="119" t="str">
        <f>IFERROR(__xludf.DUMMYFUNCTION("""COMPUTED_VALUE"""),"Thúi")</f>
        <v>Thúi</v>
      </c>
    </row>
    <row r="4067" ht="15.75" customHeight="1">
      <c r="A4067" s="122" t="str">
        <f>IFERROR(__xludf.DUMMYFUNCTION("""COMPUTED_VALUE"""),"0784 850 275")</f>
        <v>0784 850 275</v>
      </c>
      <c r="B4067" s="119" t="str">
        <f>IFERROR(__xludf.DUMMYFUNCTION("""COMPUTED_VALUE"""),"Kim Thuyền")</f>
        <v>Kim Thuyền</v>
      </c>
      <c r="C4067" s="119" t="str">
        <f>IFERROR(__xludf.DUMMYFUNCTION("""COMPUTED_VALUE"""),"35 Nguyễn CÔng Trứ")</f>
        <v>35 Nguyễn CÔng Trứ</v>
      </c>
      <c r="D4067" s="119" t="str">
        <f>IFERROR(__xludf.DUMMYFUNCTION("""COMPUTED_VALUE"""),"Chuột")</f>
        <v>Chuột</v>
      </c>
      <c r="E4067" s="119" t="str">
        <f>IFERROR(__xludf.DUMMYFUNCTION("""COMPUTED_VALUE"""),"soái")</f>
        <v>soái</v>
      </c>
    </row>
    <row r="4068" ht="15.75" customHeight="1">
      <c r="A4068" s="122" t="str">
        <f>IFERROR(__xludf.DUMMYFUNCTION("""COMPUTED_VALUE"""),"0937 963 695")</f>
        <v>0937 963 695</v>
      </c>
      <c r="B4068" s="119" t="str">
        <f>IFERROR(__xludf.DUMMYFUNCTION("""COMPUTED_VALUE"""),"Nguyễn Thị Ngọc Lệ")</f>
        <v>Nguyễn Thị Ngọc Lệ</v>
      </c>
      <c r="C4068" s="119" t="str">
        <f>IFERROR(__xludf.DUMMYFUNCTION("""COMPUTED_VALUE"""),"286/4 Lý Nam Đế")</f>
        <v>286/4 Lý Nam Đế</v>
      </c>
      <c r="D4068" s="119" t="str">
        <f>IFERROR(__xludf.DUMMYFUNCTION("""COMPUTED_VALUE"""),"Chó")</f>
        <v>Chó</v>
      </c>
      <c r="E4068" s="119" t="str">
        <f>IFERROR(__xludf.DUMMYFUNCTION("""COMPUTED_VALUE"""),"Bi")</f>
        <v>Bi</v>
      </c>
    </row>
    <row r="4069" ht="15.75" customHeight="1">
      <c r="A4069" s="122" t="str">
        <f>IFERROR(__xludf.DUMMYFUNCTION("""COMPUTED_VALUE"""),"0955 936 113")</f>
        <v>0955 936 113</v>
      </c>
      <c r="B4069" s="119" t="str">
        <f>IFERROR(__xludf.DUMMYFUNCTION("""COMPUTED_VALUE"""),"Chị Linh")</f>
        <v>Chị Linh</v>
      </c>
      <c r="C4069" s="119" t="str">
        <f>IFERROR(__xludf.DUMMYFUNCTION("""COMPUTED_VALUE"""),"18/6/2 Nguyễn Hữu Dật")</f>
        <v>18/6/2 Nguyễn Hữu Dật</v>
      </c>
      <c r="D4069" s="119" t="str">
        <f>IFERROR(__xludf.DUMMYFUNCTION("""COMPUTED_VALUE"""),"Chó")</f>
        <v>Chó</v>
      </c>
      <c r="E4069" s="119" t="str">
        <f>IFERROR(__xludf.DUMMYFUNCTION("""COMPUTED_VALUE"""),"Đốm")</f>
        <v>Đốm</v>
      </c>
    </row>
    <row r="4070" ht="15.75" customHeight="1">
      <c r="A4070" s="122" t="str">
        <f>IFERROR(__xludf.DUMMYFUNCTION("""COMPUTED_VALUE"""),"0347 752 435")</f>
        <v>0347 752 435</v>
      </c>
      <c r="B4070" s="119" t="str">
        <f>IFERROR(__xludf.DUMMYFUNCTION("""COMPUTED_VALUE"""),"Em Kha")</f>
        <v>Em Kha</v>
      </c>
      <c r="C4070" s="119" t="str">
        <f>IFERROR(__xludf.DUMMYFUNCTION("""COMPUTED_VALUE"""),"k131 Trần Phú")</f>
        <v>k131 Trần Phú</v>
      </c>
      <c r="D4070" s="119" t="str">
        <f>IFERROR(__xludf.DUMMYFUNCTION("""COMPUTED_VALUE"""),"mèo")</f>
        <v>mèo</v>
      </c>
      <c r="E4070" s="119"/>
    </row>
    <row r="4071" ht="15.75" customHeight="1">
      <c r="A4071" s="122" t="str">
        <f>IFERROR(__xludf.DUMMYFUNCTION("""COMPUTED_VALUE"""),"0935 065 284")</f>
        <v>0935 065 284</v>
      </c>
      <c r="B4071" s="119" t="str">
        <f>IFERROR(__xludf.DUMMYFUNCTION("""COMPUTED_VALUE"""),"Thư")</f>
        <v>Thư</v>
      </c>
      <c r="C4071" s="119" t="str">
        <f>IFERROR(__xludf.DUMMYFUNCTION("""COMPUTED_VALUE"""),"24 Đặng Dung")</f>
        <v>24 Đặng Dung</v>
      </c>
      <c r="D4071" s="119" t="str">
        <f>IFERROR(__xludf.DUMMYFUNCTION("""COMPUTED_VALUE"""),"Chó")</f>
        <v>Chó</v>
      </c>
      <c r="E4071" s="119" t="str">
        <f>IFERROR(__xludf.DUMMYFUNCTION("""COMPUTED_VALUE"""),"Buddy")</f>
        <v>Buddy</v>
      </c>
    </row>
    <row r="4072" ht="15.75" customHeight="1">
      <c r="A4072" s="122" t="str">
        <f>IFERROR(__xludf.DUMMYFUNCTION("""COMPUTED_VALUE"""),"0352 652 474")</f>
        <v>0352 652 474</v>
      </c>
      <c r="B4072" s="119" t="str">
        <f>IFERROR(__xludf.DUMMYFUNCTION("""COMPUTED_VALUE"""),"Anh Nam")</f>
        <v>Anh Nam</v>
      </c>
      <c r="C4072" s="119" t="str">
        <f>IFERROR(__xludf.DUMMYFUNCTION("""COMPUTED_VALUE"""),"Thích Tịnh Khiết")</f>
        <v>Thích Tịnh Khiết</v>
      </c>
      <c r="D4072" s="119" t="str">
        <f>IFERROR(__xludf.DUMMYFUNCTION("""COMPUTED_VALUE"""),"chó")</f>
        <v>chó</v>
      </c>
      <c r="E4072" s="119" t="str">
        <f>IFERROR(__xludf.DUMMYFUNCTION("""COMPUTED_VALUE"""),"Nâu")</f>
        <v>Nâu</v>
      </c>
    </row>
    <row r="4073" ht="15.75" customHeight="1">
      <c r="A4073" s="122" t="str">
        <f>IFERROR(__xludf.DUMMYFUNCTION("""COMPUTED_VALUE"""),"0901 150 079")</f>
        <v>0901 150 079</v>
      </c>
      <c r="B4073" s="119" t="str">
        <f>IFERROR(__xludf.DUMMYFUNCTION("""COMPUTED_VALUE"""),"Đại Triều")</f>
        <v>Đại Triều</v>
      </c>
      <c r="C4073" s="119" t="str">
        <f>IFERROR(__xludf.DUMMYFUNCTION("""COMPUTED_VALUE"""),"1B Nguyễn Phúc Chu")</f>
        <v>1B Nguyễn Phúc Chu</v>
      </c>
      <c r="D4073" s="119" t="str">
        <f>IFERROR(__xludf.DUMMYFUNCTION("""COMPUTED_VALUE"""),"Chó")</f>
        <v>Chó</v>
      </c>
      <c r="E4073" s="119" t="str">
        <f>IFERROR(__xludf.DUMMYFUNCTION("""COMPUTED_VALUE"""),"Ly")</f>
        <v>Ly</v>
      </c>
    </row>
    <row r="4074" ht="15.75" customHeight="1">
      <c r="A4074" s="122" t="str">
        <f>IFERROR(__xludf.DUMMYFUNCTION("""COMPUTED_VALUE"""),"0916 840 684")</f>
        <v>0916 840 684</v>
      </c>
      <c r="B4074" s="119" t="str">
        <f>IFERROR(__xludf.DUMMYFUNCTION("""COMPUTED_VALUE"""),"Anh Hùng")</f>
        <v>Anh Hùng</v>
      </c>
      <c r="C4074" s="119" t="str">
        <f>IFERROR(__xludf.DUMMYFUNCTION("""COMPUTED_VALUE"""),"24/13 Nguyễn Phúc Nguyên")</f>
        <v>24/13 Nguyễn Phúc Nguyên</v>
      </c>
      <c r="D4074" s="119" t="str">
        <f>IFERROR(__xludf.DUMMYFUNCTION("""COMPUTED_VALUE"""),"chó")</f>
        <v>chó</v>
      </c>
      <c r="E4074" s="119" t="str">
        <f>IFERROR(__xludf.DUMMYFUNCTION("""COMPUTED_VALUE"""),"Mực")</f>
        <v>Mực</v>
      </c>
    </row>
    <row r="4075" ht="15.75" customHeight="1">
      <c r="A4075" s="122" t="str">
        <f>IFERROR(__xludf.DUMMYFUNCTION("""COMPUTED_VALUE"""),"0981 093 740")</f>
        <v>0981 093 740</v>
      </c>
      <c r="B4075" s="119" t="str">
        <f>IFERROR(__xludf.DUMMYFUNCTION("""COMPUTED_VALUE"""),"Chị Như")</f>
        <v>Chị Như</v>
      </c>
      <c r="C4075" s="119" t="str">
        <f>IFERROR(__xludf.DUMMYFUNCTION("""COMPUTED_VALUE"""),"6/10 Đặng Thái Thân")</f>
        <v>6/10 Đặng Thái Thân</v>
      </c>
      <c r="D4075" s="119" t="str">
        <f>IFERROR(__xludf.DUMMYFUNCTION("""COMPUTED_VALUE"""),"mèo")</f>
        <v>mèo</v>
      </c>
      <c r="E4075" s="119" t="str">
        <f>IFERROR(__xludf.DUMMYFUNCTION("""COMPUTED_VALUE"""),"Bò")</f>
        <v>Bò</v>
      </c>
    </row>
    <row r="4076" ht="15.75" customHeight="1">
      <c r="A4076" s="122" t="str">
        <f>IFERROR(__xludf.DUMMYFUNCTION("""COMPUTED_VALUE"""),"0912 296 526")</f>
        <v>0912 296 526</v>
      </c>
      <c r="B4076" s="119" t="str">
        <f>IFERROR(__xludf.DUMMYFUNCTION("""COMPUTED_VALUE"""),"Chị Hiền")</f>
        <v>Chị Hiền</v>
      </c>
      <c r="C4076" s="119" t="str">
        <f>IFERROR(__xludf.DUMMYFUNCTION("""COMPUTED_VALUE"""),"Thuỷ Vân")</f>
        <v>Thuỷ Vân</v>
      </c>
      <c r="D4076" s="119" t="str">
        <f>IFERROR(__xludf.DUMMYFUNCTION("""COMPUTED_VALUE"""),"Chó")</f>
        <v>Chó</v>
      </c>
      <c r="E4076" s="119" t="str">
        <f>IFERROR(__xludf.DUMMYFUNCTION("""COMPUTED_VALUE"""),"Kem")</f>
        <v>Kem</v>
      </c>
    </row>
    <row r="4077" ht="15.75" customHeight="1">
      <c r="A4077" s="122" t="str">
        <f>IFERROR(__xludf.DUMMYFUNCTION("""COMPUTED_VALUE"""),"0903 534 330")</f>
        <v>0903 534 330</v>
      </c>
      <c r="B4077" s="119" t="str">
        <f>IFERROR(__xludf.DUMMYFUNCTION("""COMPUTED_VALUE"""),"Chị Thanh Thanh")</f>
        <v>Chị Thanh Thanh</v>
      </c>
      <c r="C4077" s="119" t="str">
        <f>IFERROR(__xludf.DUMMYFUNCTION("""COMPUTED_VALUE"""),"89 Nguyễn Phúc Nguyên")</f>
        <v>89 Nguyễn Phúc Nguyên</v>
      </c>
      <c r="D4077" s="119" t="str">
        <f>IFERROR(__xludf.DUMMYFUNCTION("""COMPUTED_VALUE"""),"Chó")</f>
        <v>Chó</v>
      </c>
      <c r="E4077" s="119" t="str">
        <f>IFERROR(__xludf.DUMMYFUNCTION("""COMPUTED_VALUE"""),"Xoài")</f>
        <v>Xoài</v>
      </c>
    </row>
    <row r="4078" ht="15.75" customHeight="1">
      <c r="A4078" s="122" t="str">
        <f>IFERROR(__xludf.DUMMYFUNCTION("""COMPUTED_VALUE"""),"0837 451 566")</f>
        <v>0837 451 566</v>
      </c>
      <c r="B4078" s="119" t="str">
        <f>IFERROR(__xludf.DUMMYFUNCTION("""COMPUTED_VALUE"""),"Chị Lài")</f>
        <v>Chị Lài</v>
      </c>
      <c r="C4078" s="119" t="str">
        <f>IFERROR(__xludf.DUMMYFUNCTION("""COMPUTED_VALUE"""),"Hương Trà")</f>
        <v>Hương Trà</v>
      </c>
      <c r="D4078" s="119" t="str">
        <f>IFERROR(__xludf.DUMMYFUNCTION("""COMPUTED_VALUE"""),"Chó")</f>
        <v>Chó</v>
      </c>
      <c r="E4078" s="119" t="str">
        <f>IFERROR(__xludf.DUMMYFUNCTION("""COMPUTED_VALUE"""),"Nem")</f>
        <v>Nem</v>
      </c>
    </row>
    <row r="4079" ht="15.75" customHeight="1">
      <c r="A4079" s="122" t="str">
        <f>IFERROR(__xludf.DUMMYFUNCTION("""COMPUTED_VALUE"""),"0328 972 777")</f>
        <v>0328 972 777</v>
      </c>
      <c r="B4079" s="119" t="str">
        <f>IFERROR(__xludf.DUMMYFUNCTION("""COMPUTED_VALUE"""),"Tony")</f>
        <v>Tony</v>
      </c>
      <c r="C4079" s="119" t="str">
        <f>IFERROR(__xludf.DUMMYFUNCTION("""COMPUTED_VALUE"""),"56/93 An Dương Vương")</f>
        <v>56/93 An Dương Vương</v>
      </c>
      <c r="D4079" s="119" t="str">
        <f>IFERROR(__xludf.DUMMYFUNCTION("""COMPUTED_VALUE"""),"chó")</f>
        <v>chó</v>
      </c>
      <c r="E4079" s="119" t="str">
        <f>IFERROR(__xludf.DUMMYFUNCTION("""COMPUTED_VALUE"""),"poo")</f>
        <v>poo</v>
      </c>
    </row>
    <row r="4080" ht="15.75" customHeight="1">
      <c r="A4080" s="122" t="str">
        <f>IFERROR(__xludf.DUMMYFUNCTION("""COMPUTED_VALUE"""),"0945 313 854")</f>
        <v>0945 313 854</v>
      </c>
      <c r="B4080" s="119" t="str">
        <f>IFERROR(__xludf.DUMMYFUNCTION("""COMPUTED_VALUE"""),"Nguyễn Thị Thu Hiền")</f>
        <v>Nguyễn Thị Thu Hiền</v>
      </c>
      <c r="C4080" s="119" t="str">
        <f>IFERROR(__xludf.DUMMYFUNCTION("""COMPUTED_VALUE"""),"Đông Hà")</f>
        <v>Đông Hà</v>
      </c>
      <c r="D4080" s="119" t="str">
        <f>IFERROR(__xludf.DUMMYFUNCTION("""COMPUTED_VALUE"""),"chó ")</f>
        <v>chó </v>
      </c>
      <c r="E4080" s="119" t="str">
        <f>IFERROR(__xludf.DUMMYFUNCTION("""COMPUTED_VALUE"""),"Kitkat")</f>
        <v>Kitkat</v>
      </c>
    </row>
    <row r="4081" ht="15.75" customHeight="1">
      <c r="A4081" s="122" t="str">
        <f>IFERROR(__xludf.DUMMYFUNCTION("""COMPUTED_VALUE"""),"0704 418 148")</f>
        <v>0704 418 148</v>
      </c>
      <c r="B4081" s="119" t="str">
        <f>IFERROR(__xludf.DUMMYFUNCTION("""COMPUTED_VALUE"""),"Hồ Thị Hạnh")</f>
        <v>Hồ Thị Hạnh</v>
      </c>
      <c r="C4081" s="119" t="str">
        <f>IFERROR(__xludf.DUMMYFUNCTION("""COMPUTED_VALUE"""),"1/236 Hoàng Sa, Hải Tiến")</f>
        <v>1/236 Hoàng Sa, Hải Tiến</v>
      </c>
      <c r="D4081" s="119" t="str">
        <f>IFERROR(__xludf.DUMMYFUNCTION("""COMPUTED_VALUE"""),"Chó")</f>
        <v>Chó</v>
      </c>
      <c r="E4081" s="119" t="str">
        <f>IFERROR(__xludf.DUMMYFUNCTION("""COMPUTED_VALUE"""),"sâu")</f>
        <v>sâu</v>
      </c>
    </row>
    <row r="4082" ht="15.75" customHeight="1">
      <c r="A4082" s="122" t="str">
        <f>IFERROR(__xludf.DUMMYFUNCTION("""COMPUTED_VALUE"""),"0764 064 117")</f>
        <v>0764 064 117</v>
      </c>
      <c r="B4082" s="119" t="str">
        <f>IFERROR(__xludf.DUMMYFUNCTION("""COMPUTED_VALUE"""),"Chị Vân")</f>
        <v>Chị Vân</v>
      </c>
      <c r="C4082" s="119"/>
      <c r="D4082" s="119" t="str">
        <f>IFERROR(__xludf.DUMMYFUNCTION("""COMPUTED_VALUE"""),"Chó")</f>
        <v>Chó</v>
      </c>
      <c r="E4082" s="119" t="str">
        <f>IFERROR(__xludf.DUMMYFUNCTION("""COMPUTED_VALUE"""),"Lisa")</f>
        <v>Lisa</v>
      </c>
    </row>
    <row r="4083" ht="15.75" customHeight="1">
      <c r="A4083" s="122" t="str">
        <f>IFERROR(__xludf.DUMMYFUNCTION("""COMPUTED_VALUE"""),"0349 297 838")</f>
        <v>0349 297 838</v>
      </c>
      <c r="B4083" s="119" t="str">
        <f>IFERROR(__xludf.DUMMYFUNCTION("""COMPUTED_VALUE"""),"Chị  Ánh")</f>
        <v>Chị  Ánh</v>
      </c>
      <c r="C4083" s="119" t="str">
        <f>IFERROR(__xludf.DUMMYFUNCTION("""COMPUTED_VALUE"""),"5/6 Nguyễn Hữu Dật")</f>
        <v>5/6 Nguyễn Hữu Dật</v>
      </c>
      <c r="D4083" s="119" t="str">
        <f>IFERROR(__xludf.DUMMYFUNCTION("""COMPUTED_VALUE"""),"Chó")</f>
        <v>Chó</v>
      </c>
      <c r="E4083" s="119" t="str">
        <f>IFERROR(__xludf.DUMMYFUNCTION("""COMPUTED_VALUE"""),"Ki")</f>
        <v>Ki</v>
      </c>
    </row>
    <row r="4084" ht="15.75" customHeight="1">
      <c r="A4084" s="122" t="str">
        <f>IFERROR(__xludf.DUMMYFUNCTION("""COMPUTED_VALUE"""),"0826 810 121")</f>
        <v>0826 810 121</v>
      </c>
      <c r="B4084" s="119" t="str">
        <f>IFERROR(__xludf.DUMMYFUNCTION("""COMPUTED_VALUE"""),"Em Tường Vi")</f>
        <v>Em Tường Vi</v>
      </c>
      <c r="C4084" s="119" t="str">
        <f>IFERROR(__xludf.DUMMYFUNCTION("""COMPUTED_VALUE"""),"7/185 Nguyễn Chí Thanh")</f>
        <v>7/185 Nguyễn Chí Thanh</v>
      </c>
      <c r="D4084" s="119" t="str">
        <f>IFERROR(__xludf.DUMMYFUNCTION("""COMPUTED_VALUE"""),"mèo")</f>
        <v>mèo</v>
      </c>
      <c r="E4084" s="119" t="str">
        <f>IFERROR(__xludf.DUMMYFUNCTION("""COMPUTED_VALUE"""),"Meo Meo")</f>
        <v>Meo Meo</v>
      </c>
    </row>
    <row r="4085" ht="15.75" customHeight="1">
      <c r="A4085" s="122" t="str">
        <f>IFERROR(__xludf.DUMMYFUNCTION("""COMPUTED_VALUE"""),"0919 671 330")</f>
        <v>0919 671 330</v>
      </c>
      <c r="B4085" s="119" t="str">
        <f>IFERROR(__xludf.DUMMYFUNCTION("""COMPUTED_VALUE"""),"Dì Liễu")</f>
        <v>Dì Liễu</v>
      </c>
      <c r="C4085" s="119" t="str">
        <f>IFERROR(__xludf.DUMMYFUNCTION("""COMPUTED_VALUE"""),"tt sịa")</f>
        <v>tt sịa</v>
      </c>
      <c r="D4085" s="119" t="str">
        <f>IFERROR(__xludf.DUMMYFUNCTION("""COMPUTED_VALUE"""),"chó")</f>
        <v>chó</v>
      </c>
      <c r="E4085" s="119" t="str">
        <f>IFERROR(__xludf.DUMMYFUNCTION("""COMPUTED_VALUE"""),"xù")</f>
        <v>xù</v>
      </c>
    </row>
    <row r="4086" ht="15.75" customHeight="1">
      <c r="A4086" s="122" t="str">
        <f>IFERROR(__xludf.DUMMYFUNCTION("""COMPUTED_VALUE"""),"0329 898 315")</f>
        <v>0329 898 315</v>
      </c>
      <c r="B4086" s="119" t="str">
        <f>IFERROR(__xludf.DUMMYFUNCTION("""COMPUTED_VALUE"""),"Lê Thanh An")</f>
        <v>Lê Thanh An</v>
      </c>
      <c r="C4086" s="119" t="str">
        <f>IFERROR(__xludf.DUMMYFUNCTION("""COMPUTED_VALUE"""),"Võ Nguyên Giáp")</f>
        <v>Võ Nguyên Giáp</v>
      </c>
      <c r="D4086" s="119" t="str">
        <f>IFERROR(__xludf.DUMMYFUNCTION("""COMPUTED_VALUE"""),"mèo")</f>
        <v>mèo</v>
      </c>
      <c r="E4086" s="119"/>
    </row>
    <row r="4087" ht="15.75" customHeight="1">
      <c r="A4087" s="122" t="str">
        <f>IFERROR(__xludf.DUMMYFUNCTION("""COMPUTED_VALUE"""),"0914 002 254")</f>
        <v>0914 002 254</v>
      </c>
      <c r="B4087" s="119" t="str">
        <f>IFERROR(__xludf.DUMMYFUNCTION("""COMPUTED_VALUE"""),"Hoài Quang")</f>
        <v>Hoài Quang</v>
      </c>
      <c r="C4087" s="119" t="str">
        <f>IFERROR(__xludf.DUMMYFUNCTION("""COMPUTED_VALUE"""),"d6 Tuy Lý Vương")</f>
        <v>d6 Tuy Lý Vương</v>
      </c>
      <c r="D4087" s="119" t="str">
        <f>IFERROR(__xludf.DUMMYFUNCTION("""COMPUTED_VALUE"""),"chó")</f>
        <v>chó</v>
      </c>
      <c r="E4087" s="119"/>
    </row>
    <row r="4088" ht="15.75" customHeight="1">
      <c r="A4088" s="122" t="str">
        <f>IFERROR(__xludf.DUMMYFUNCTION("""COMPUTED_VALUE"""),"0912 931 909")</f>
        <v>0912 931 909</v>
      </c>
      <c r="B4088" s="119" t="str">
        <f>IFERROR(__xludf.DUMMYFUNCTION("""COMPUTED_VALUE"""),"Em Trung Hiếu")</f>
        <v>Em Trung Hiếu</v>
      </c>
      <c r="C4088" s="119" t="str">
        <f>IFERROR(__xludf.DUMMYFUNCTION("""COMPUTED_VALUE"""),"8/69 Lê Ngô Cát")</f>
        <v>8/69 Lê Ngô Cát</v>
      </c>
      <c r="D4088" s="119" t="str">
        <f>IFERROR(__xludf.DUMMYFUNCTION("""COMPUTED_VALUE"""),"chó")</f>
        <v>chó</v>
      </c>
      <c r="E4088" s="119"/>
    </row>
    <row r="4089" ht="15.75" customHeight="1">
      <c r="A4089" s="122" t="str">
        <f>IFERROR(__xludf.DUMMYFUNCTION("""COMPUTED_VALUE"""),"0763 603 171")</f>
        <v>0763 603 171</v>
      </c>
      <c r="B4089" s="119" t="str">
        <f>IFERROR(__xludf.DUMMYFUNCTION("""COMPUTED_VALUE"""),"dì Vân")</f>
        <v>dì Vân</v>
      </c>
      <c r="C4089" s="119" t="str">
        <f>IFERROR(__xludf.DUMMYFUNCTION("""COMPUTED_VALUE"""),"7 Lê Khắc Quyến")</f>
        <v>7 Lê Khắc Quyến</v>
      </c>
      <c r="D4089" s="119" t="str">
        <f>IFERROR(__xludf.DUMMYFUNCTION("""COMPUTED_VALUE"""),"chó")</f>
        <v>chó</v>
      </c>
      <c r="E4089" s="119" t="str">
        <f>IFERROR(__xludf.DUMMYFUNCTION("""COMPUTED_VALUE"""),"Nâu")</f>
        <v>Nâu</v>
      </c>
    </row>
    <row r="4090" ht="15.75" customHeight="1">
      <c r="A4090" s="122" t="str">
        <f>IFERROR(__xludf.DUMMYFUNCTION("""COMPUTED_VALUE"""),"0946 895 554")</f>
        <v>0946 895 554</v>
      </c>
      <c r="B4090" s="119" t="str">
        <f>IFERROR(__xludf.DUMMYFUNCTION("""COMPUTED_VALUE"""),"Phan Ninh")</f>
        <v>Phan Ninh</v>
      </c>
      <c r="C4090" s="119" t="str">
        <f>IFERROR(__xludf.DUMMYFUNCTION("""COMPUTED_VALUE"""),"Lô E58 khu quy hoạch Hương Long")</f>
        <v>Lô E58 khu quy hoạch Hương Long</v>
      </c>
      <c r="D4090" s="119" t="str">
        <f>IFERROR(__xludf.DUMMYFUNCTION("""COMPUTED_VALUE"""),"chó")</f>
        <v>chó</v>
      </c>
      <c r="E4090" s="119" t="str">
        <f>IFERROR(__xludf.DUMMYFUNCTION("""COMPUTED_VALUE"""),"Bon")</f>
        <v>Bon</v>
      </c>
    </row>
    <row r="4091" ht="15.75" customHeight="1">
      <c r="A4091" s="122" t="str">
        <f>IFERROR(__xludf.DUMMYFUNCTION("""COMPUTED_VALUE"""),"0382 711 030")</f>
        <v>0382 711 030</v>
      </c>
      <c r="B4091" s="119" t="str">
        <f>IFERROR(__xludf.DUMMYFUNCTION("""COMPUTED_VALUE"""),"Chị Dạ Thảo")</f>
        <v>Chị Dạ Thảo</v>
      </c>
      <c r="C4091" s="119" t="str">
        <f>IFERROR(__xludf.DUMMYFUNCTION("""COMPUTED_VALUE"""),"36 Yết Kiêu")</f>
        <v>36 Yết Kiêu</v>
      </c>
      <c r="D4091" s="119" t="str">
        <f>IFERROR(__xludf.DUMMYFUNCTION("""COMPUTED_VALUE"""),"chó")</f>
        <v>chó</v>
      </c>
      <c r="E4091" s="119" t="str">
        <f>IFERROR(__xludf.DUMMYFUNCTION("""COMPUTED_VALUE"""),"Bành")</f>
        <v>Bành</v>
      </c>
    </row>
    <row r="4092" ht="15.75" customHeight="1">
      <c r="A4092" s="122" t="str">
        <f>IFERROR(__xludf.DUMMYFUNCTION("""COMPUTED_VALUE"""),"0905 143 805")</f>
        <v>0905 143 805</v>
      </c>
      <c r="B4092" s="119" t="str">
        <f>IFERROR(__xludf.DUMMYFUNCTION("""COMPUTED_VALUE"""),"Chị Lê")</f>
        <v>Chị Lê</v>
      </c>
      <c r="C4092" s="119"/>
      <c r="D4092" s="119" t="str">
        <f>IFERROR(__xludf.DUMMYFUNCTION("""COMPUTED_VALUE"""),"chó")</f>
        <v>chó</v>
      </c>
      <c r="E4092" s="119" t="str">
        <f>IFERROR(__xludf.DUMMYFUNCTION("""COMPUTED_VALUE"""),"Corgi")</f>
        <v>Corgi</v>
      </c>
    </row>
    <row r="4093" ht="15.75" customHeight="1">
      <c r="A4093" s="122" t="str">
        <f>IFERROR(__xludf.DUMMYFUNCTION("""COMPUTED_VALUE"""),"0822 169 135")</f>
        <v>0822 169 135</v>
      </c>
      <c r="B4093" s="119" t="str">
        <f>IFERROR(__xludf.DUMMYFUNCTION("""COMPUTED_VALUE"""),"Quỳnh Anh")</f>
        <v>Quỳnh Anh</v>
      </c>
      <c r="C4093" s="119" t="str">
        <f>IFERROR(__xludf.DUMMYFUNCTION("""COMPUTED_VALUE"""),"23 Đào Tấn")</f>
        <v>23 Đào Tấn</v>
      </c>
      <c r="D4093" s="119" t="str">
        <f>IFERROR(__xludf.DUMMYFUNCTION("""COMPUTED_VALUE"""),"chó ")</f>
        <v>chó </v>
      </c>
      <c r="E4093" s="119" t="str">
        <f>IFERROR(__xludf.DUMMYFUNCTION("""COMPUTED_VALUE"""),"gấu")</f>
        <v>gấu</v>
      </c>
    </row>
    <row r="4094" ht="15.75" customHeight="1">
      <c r="A4094" s="122" t="str">
        <f>IFERROR(__xludf.DUMMYFUNCTION("""COMPUTED_VALUE"""),"0768 543 554")</f>
        <v>0768 543 554</v>
      </c>
      <c r="B4094" s="119" t="str">
        <f>IFERROR(__xludf.DUMMYFUNCTION("""COMPUTED_VALUE"""),"Đoàn Chiến thắng")</f>
        <v>Đoàn Chiến thắng</v>
      </c>
      <c r="C4094" s="119" t="str">
        <f>IFERROR(__xludf.DUMMYFUNCTION("""COMPUTED_VALUE"""),"53 Nguyễn Phúc Chu")</f>
        <v>53 Nguyễn Phúc Chu</v>
      </c>
      <c r="D4094" s="119" t="str">
        <f>IFERROR(__xludf.DUMMYFUNCTION("""COMPUTED_VALUE"""),"chó")</f>
        <v>chó</v>
      </c>
      <c r="E4094" s="119" t="str">
        <f>IFERROR(__xludf.DUMMYFUNCTION("""COMPUTED_VALUE"""),"Đen")</f>
        <v>Đen</v>
      </c>
    </row>
    <row r="4095" ht="15.75" customHeight="1">
      <c r="A4095" s="122" t="str">
        <f>IFERROR(__xludf.DUMMYFUNCTION("""COMPUTED_VALUE"""),"0764 759 999")</f>
        <v>0764 759 999</v>
      </c>
      <c r="B4095" s="119" t="str">
        <f>IFERROR(__xludf.DUMMYFUNCTION("""COMPUTED_VALUE"""),"Anh Sơn")</f>
        <v>Anh Sơn</v>
      </c>
      <c r="C4095" s="119" t="str">
        <f>IFERROR(__xludf.DUMMYFUNCTION("""COMPUTED_VALUE"""),"100A K131 Trần phú")</f>
        <v>100A K131 Trần phú</v>
      </c>
      <c r="D4095" s="119" t="str">
        <f>IFERROR(__xludf.DUMMYFUNCTION("""COMPUTED_VALUE"""),"chó")</f>
        <v>chó</v>
      </c>
      <c r="E4095" s="119" t="str">
        <f>IFERROR(__xludf.DUMMYFUNCTION("""COMPUTED_VALUE"""),"heo")</f>
        <v>heo</v>
      </c>
    </row>
    <row r="4096" ht="15.75" customHeight="1">
      <c r="A4096" s="122" t="str">
        <f>IFERROR(__xludf.DUMMYFUNCTION("""COMPUTED_VALUE"""),"0917 316 560")</f>
        <v>0917 316 560</v>
      </c>
      <c r="B4096" s="119" t="str">
        <f>IFERROR(__xludf.DUMMYFUNCTION("""COMPUTED_VALUE"""),"Chị Anh")</f>
        <v>Chị Anh</v>
      </c>
      <c r="C4096" s="119" t="str">
        <f>IFERROR(__xludf.DUMMYFUNCTION("""COMPUTED_VALUE"""),"10/8/8 Hồ Đắc Di")</f>
        <v>10/8/8 Hồ Đắc Di</v>
      </c>
      <c r="D4096" s="119" t="str">
        <f>IFERROR(__xludf.DUMMYFUNCTION("""COMPUTED_VALUE"""),"chó")</f>
        <v>chó</v>
      </c>
      <c r="E4096" s="119" t="str">
        <f>IFERROR(__xludf.DUMMYFUNCTION("""COMPUTED_VALUE"""),"sữa")</f>
        <v>sữa</v>
      </c>
    </row>
    <row r="4097" ht="15.75" customHeight="1">
      <c r="A4097" s="122" t="str">
        <f>IFERROR(__xludf.DUMMYFUNCTION("""COMPUTED_VALUE"""),"0782 526 031")</f>
        <v>0782 526 031</v>
      </c>
      <c r="B4097" s="119" t="str">
        <f>IFERROR(__xludf.DUMMYFUNCTION("""COMPUTED_VALUE"""),"Chú Đại")</f>
        <v>Chú Đại</v>
      </c>
      <c r="C4097" s="119" t="str">
        <f>IFERROR(__xludf.DUMMYFUNCTION("""COMPUTED_VALUE"""),"168 Ngự Bình")</f>
        <v>168 Ngự Bình</v>
      </c>
      <c r="D4097" s="119" t="str">
        <f>IFERROR(__xludf.DUMMYFUNCTION("""COMPUTED_VALUE"""),"chó")</f>
        <v>chó</v>
      </c>
      <c r="E4097" s="119" t="str">
        <f>IFERROR(__xludf.DUMMYFUNCTION("""COMPUTED_VALUE"""),"mun")</f>
        <v>mun</v>
      </c>
    </row>
    <row r="4098" ht="15.75" customHeight="1">
      <c r="A4098" s="122" t="str">
        <f>IFERROR(__xludf.DUMMYFUNCTION("""COMPUTED_VALUE"""),"0565 120 544")</f>
        <v>0565 120 544</v>
      </c>
      <c r="B4098" s="119" t="str">
        <f>IFERROR(__xludf.DUMMYFUNCTION("""COMPUTED_VALUE"""),"Bá Cường")</f>
        <v>Bá Cường</v>
      </c>
      <c r="C4098" s="119" t="str">
        <f>IFERROR(__xludf.DUMMYFUNCTION("""COMPUTED_VALUE"""),"C19 Nguyễn Phúc Chu")</f>
        <v>C19 Nguyễn Phúc Chu</v>
      </c>
      <c r="D4098" s="119" t="str">
        <f>IFERROR(__xludf.DUMMYFUNCTION("""COMPUTED_VALUE"""),"Chó")</f>
        <v>Chó</v>
      </c>
      <c r="E4098" s="119" t="str">
        <f>IFERROR(__xludf.DUMMYFUNCTION("""COMPUTED_VALUE"""),"Ben/ nâu")</f>
        <v>Ben/ nâu</v>
      </c>
    </row>
    <row r="4099" ht="15.75" customHeight="1">
      <c r="A4099" s="122" t="str">
        <f>IFERROR(__xludf.DUMMYFUNCTION("""COMPUTED_VALUE"""),"0373 771 156")</f>
        <v>0373 771 156</v>
      </c>
      <c r="B4099" s="119" t="str">
        <f>IFERROR(__xludf.DUMMYFUNCTION("""COMPUTED_VALUE"""),"Ngô My")</f>
        <v>Ngô My</v>
      </c>
      <c r="C4099" s="119" t="str">
        <f>IFERROR(__xludf.DUMMYFUNCTION("""COMPUTED_VALUE"""),"16/2/42 Đào Tấn")</f>
        <v>16/2/42 Đào Tấn</v>
      </c>
      <c r="D4099" s="119" t="str">
        <f>IFERROR(__xludf.DUMMYFUNCTION("""COMPUTED_VALUE"""),"mèo")</f>
        <v>mèo</v>
      </c>
      <c r="E4099" s="119" t="str">
        <f>IFERROR(__xludf.DUMMYFUNCTION("""COMPUTED_VALUE"""),"Cốm")</f>
        <v>Cốm</v>
      </c>
    </row>
    <row r="4100" ht="15.75" customHeight="1">
      <c r="A4100" s="122" t="str">
        <f>IFERROR(__xludf.DUMMYFUNCTION("""COMPUTED_VALUE"""),"0769 174 974")</f>
        <v>0769 174 974</v>
      </c>
      <c r="B4100" s="119" t="str">
        <f>IFERROR(__xludf.DUMMYFUNCTION("""COMPUTED_VALUE"""),"Chị Giao")</f>
        <v>Chị Giao</v>
      </c>
      <c r="C4100" s="119" t="str">
        <f>IFERROR(__xludf.DUMMYFUNCTION("""COMPUTED_VALUE"""),"75 Yết Kiêu")</f>
        <v>75 Yết Kiêu</v>
      </c>
      <c r="D4100" s="119" t="str">
        <f>IFERROR(__xludf.DUMMYFUNCTION("""COMPUTED_VALUE"""),"mèo")</f>
        <v>mèo</v>
      </c>
      <c r="E4100" s="119"/>
    </row>
    <row r="4101" ht="15.75" customHeight="1">
      <c r="A4101" s="122" t="str">
        <f>IFERROR(__xludf.DUMMYFUNCTION("""COMPUTED_VALUE"""),"0337 073 035")</f>
        <v>0337 073 035</v>
      </c>
      <c r="B4101" s="119" t="str">
        <f>IFERROR(__xludf.DUMMYFUNCTION("""COMPUTED_VALUE"""),"Chú Rin")</f>
        <v>Chú Rin</v>
      </c>
      <c r="C4101" s="119" t="str">
        <f>IFERROR(__xludf.DUMMYFUNCTION("""COMPUTED_VALUE"""),"14 Nguyễn Phúc Lan")</f>
        <v>14 Nguyễn Phúc Lan</v>
      </c>
      <c r="D4101" s="119" t="str">
        <f>IFERROR(__xludf.DUMMYFUNCTION("""COMPUTED_VALUE"""),"chó")</f>
        <v>chó</v>
      </c>
      <c r="E4101" s="119"/>
    </row>
    <row r="4102" ht="15.75" customHeight="1">
      <c r="A4102" s="122" t="str">
        <f>IFERROR(__xludf.DUMMYFUNCTION("""COMPUTED_VALUE"""),"0907 474 808")</f>
        <v>0907 474 808</v>
      </c>
      <c r="B4102" s="119" t="str">
        <f>IFERROR(__xludf.DUMMYFUNCTION("""COMPUTED_VALUE"""),"Anh Cường")</f>
        <v>Anh Cường</v>
      </c>
      <c r="C4102" s="119" t="str">
        <f>IFERROR(__xludf.DUMMYFUNCTION("""COMPUTED_VALUE"""),"An Tây")</f>
        <v>An Tây</v>
      </c>
      <c r="D4102" s="119" t="str">
        <f>IFERROR(__xludf.DUMMYFUNCTION("""COMPUTED_VALUE"""),"chó")</f>
        <v>chó</v>
      </c>
      <c r="E4102" s="119" t="str">
        <f>IFERROR(__xludf.DUMMYFUNCTION("""COMPUTED_VALUE"""),"Mũn - Pi tô")</f>
        <v>Mũn - Pi tô</v>
      </c>
    </row>
    <row r="4103" ht="15.75" customHeight="1">
      <c r="A4103" s="122" t="str">
        <f>IFERROR(__xludf.DUMMYFUNCTION("""COMPUTED_VALUE"""),"0974 046 401")</f>
        <v>0974 046 401</v>
      </c>
      <c r="B4103" s="119" t="str">
        <f>IFERROR(__xludf.DUMMYFUNCTION("""COMPUTED_VALUE"""),"Chị Linh")</f>
        <v>Chị Linh</v>
      </c>
      <c r="C4103" s="119" t="str">
        <f>IFERROR(__xludf.DUMMYFUNCTION("""COMPUTED_VALUE"""),"Phú Mộng ")</f>
        <v>Phú Mộng </v>
      </c>
      <c r="D4103" s="119" t="str">
        <f>IFERROR(__xludf.DUMMYFUNCTION("""COMPUTED_VALUE"""),"Mèo")</f>
        <v>Mèo</v>
      </c>
      <c r="E4103" s="119" t="str">
        <f>IFERROR(__xludf.DUMMYFUNCTION("""COMPUTED_VALUE"""),"Mun")</f>
        <v>Mun</v>
      </c>
    </row>
    <row r="4104" ht="15.75" customHeight="1">
      <c r="A4104" s="122" t="str">
        <f>IFERROR(__xludf.DUMMYFUNCTION("""COMPUTED_VALUE"""),"0384 095 232")</f>
        <v>0384 095 232</v>
      </c>
      <c r="B4104" s="119" t="str">
        <f>IFERROR(__xludf.DUMMYFUNCTION("""COMPUTED_VALUE"""),"Chị Tâm ")</f>
        <v>Chị Tâm </v>
      </c>
      <c r="C4104" s="119" t="str">
        <f>IFERROR(__xludf.DUMMYFUNCTION("""COMPUTED_VALUE"""),"Hương Hồ")</f>
        <v>Hương Hồ</v>
      </c>
      <c r="D4104" s="119" t="str">
        <f>IFERROR(__xludf.DUMMYFUNCTION("""COMPUTED_VALUE"""),"chó")</f>
        <v>chó</v>
      </c>
      <c r="E4104" s="119" t="str">
        <f>IFERROR(__xludf.DUMMYFUNCTION("""COMPUTED_VALUE"""),"Bò")</f>
        <v>Bò</v>
      </c>
    </row>
    <row r="4105" ht="15.75" customHeight="1">
      <c r="A4105" s="122" t="str">
        <f>IFERROR(__xludf.DUMMYFUNCTION("""COMPUTED_VALUE"""),"0768 447 774")</f>
        <v>0768 447 774</v>
      </c>
      <c r="B4105" s="119" t="str">
        <f>IFERROR(__xludf.DUMMYFUNCTION("""COMPUTED_VALUE"""),"Quốc  Anh")</f>
        <v>Quốc  Anh</v>
      </c>
      <c r="C4105" s="119" t="str">
        <f>IFERROR(__xludf.DUMMYFUNCTION("""COMPUTED_VALUE"""),"Khu quy hoạch Hưng An")</f>
        <v>Khu quy hoạch Hưng An</v>
      </c>
      <c r="D4105" s="119" t="str">
        <f>IFERROR(__xludf.DUMMYFUNCTION("""COMPUTED_VALUE"""),"chó")</f>
        <v>chó</v>
      </c>
      <c r="E4105" s="119" t="str">
        <f>IFERROR(__xludf.DUMMYFUNCTION("""COMPUTED_VALUE"""),"Bia")</f>
        <v>Bia</v>
      </c>
    </row>
    <row r="4106" ht="15.75" customHeight="1">
      <c r="A4106" s="122" t="str">
        <f>IFERROR(__xludf.DUMMYFUNCTION("""COMPUTED_VALUE"""),"0935 833 311")</f>
        <v>0935 833 311</v>
      </c>
      <c r="B4106" s="119" t="str">
        <f>IFERROR(__xludf.DUMMYFUNCTION("""COMPUTED_VALUE"""),"Chị Mai")</f>
        <v>Chị Mai</v>
      </c>
      <c r="C4106" s="119" t="str">
        <f>IFERROR(__xludf.DUMMYFUNCTION("""COMPUTED_VALUE"""),"76 Trần Phú")</f>
        <v>76 Trần Phú</v>
      </c>
      <c r="D4106" s="119" t="str">
        <f>IFERROR(__xludf.DUMMYFUNCTION("""COMPUTED_VALUE"""),"Chó")</f>
        <v>Chó</v>
      </c>
      <c r="E4106" s="119"/>
    </row>
    <row r="4107" ht="15.75" customHeight="1">
      <c r="A4107" s="122" t="str">
        <f>IFERROR(__xludf.DUMMYFUNCTION("""COMPUTED_VALUE"""),"0905 652 460")</f>
        <v>0905 652 460</v>
      </c>
      <c r="B4107" s="119" t="str">
        <f>IFERROR(__xludf.DUMMYFUNCTION("""COMPUTED_VALUE"""),"Đặng Thị Mỹ Phương")</f>
        <v>Đặng Thị Mỹ Phương</v>
      </c>
      <c r="C4107" s="119" t="str">
        <f>IFERROR(__xludf.DUMMYFUNCTION("""COMPUTED_VALUE"""),"k79/8/5 Phạm Thị Liên")</f>
        <v>k79/8/5 Phạm Thị Liên</v>
      </c>
      <c r="D4107" s="119" t="str">
        <f>IFERROR(__xludf.DUMMYFUNCTION("""COMPUTED_VALUE"""),"mèo")</f>
        <v>mèo</v>
      </c>
      <c r="E4107" s="119" t="str">
        <f>IFERROR(__xludf.DUMMYFUNCTION("""COMPUTED_VALUE"""),"Trắng")</f>
        <v>Trắng</v>
      </c>
    </row>
    <row r="4108" ht="15.75" customHeight="1">
      <c r="A4108" s="122" t="str">
        <f>IFERROR(__xludf.DUMMYFUNCTION("""COMPUTED_VALUE"""),"0989 638 138")</f>
        <v>0989 638 138</v>
      </c>
      <c r="B4108" s="119" t="str">
        <f>IFERROR(__xludf.DUMMYFUNCTION("""COMPUTED_VALUE"""),"Chị Thủy")</f>
        <v>Chị Thủy</v>
      </c>
      <c r="C4108" s="119" t="str">
        <f>IFERROR(__xludf.DUMMYFUNCTION("""COMPUTED_VALUE"""),"Kiệt 262 Phan Bội Châu")</f>
        <v>Kiệt 262 Phan Bội Châu</v>
      </c>
      <c r="D4108" s="119" t="str">
        <f>IFERROR(__xludf.DUMMYFUNCTION("""COMPUTED_VALUE"""),"Mèo")</f>
        <v>Mèo</v>
      </c>
      <c r="E4108" s="119" t="str">
        <f>IFERROR(__xludf.DUMMYFUNCTION("""COMPUTED_VALUE"""),"Mysoai")</f>
        <v>Mysoai</v>
      </c>
    </row>
    <row r="4109" ht="15.75" customHeight="1">
      <c r="A4109" s="122" t="str">
        <f>IFERROR(__xludf.DUMMYFUNCTION("""COMPUTED_VALUE"""),"0948 652 192")</f>
        <v>0948 652 192</v>
      </c>
      <c r="B4109" s="119" t="str">
        <f>IFERROR(__xludf.DUMMYFUNCTION("""COMPUTED_VALUE"""),"Nguyễn Kiều Anh")</f>
        <v>Nguyễn Kiều Anh</v>
      </c>
      <c r="C4109" s="119" t="str">
        <f>IFERROR(__xludf.DUMMYFUNCTION("""COMPUTED_VALUE"""),"chung cư Vincoland")</f>
        <v>chung cư Vincoland</v>
      </c>
      <c r="D4109" s="119" t="str">
        <f>IFERROR(__xludf.DUMMYFUNCTION("""COMPUTED_VALUE"""),"chó")</f>
        <v>chó</v>
      </c>
      <c r="E4109" s="119"/>
    </row>
    <row r="4110" ht="15.75" customHeight="1">
      <c r="A4110" s="122" t="str">
        <f>IFERROR(__xludf.DUMMYFUNCTION("""COMPUTED_VALUE"""),"0817 715 252")</f>
        <v>0817 715 252</v>
      </c>
      <c r="B4110" s="119" t="str">
        <f>IFERROR(__xludf.DUMMYFUNCTION("""COMPUTED_VALUE"""),"Anh Hiếu")</f>
        <v>Anh Hiếu</v>
      </c>
      <c r="C4110" s="119" t="str">
        <f>IFERROR(__xludf.DUMMYFUNCTION("""COMPUTED_VALUE"""),"2 Bùi San")</f>
        <v>2 Bùi San</v>
      </c>
      <c r="D4110" s="119" t="str">
        <f>IFERROR(__xludf.DUMMYFUNCTION("""COMPUTED_VALUE"""),"chó")</f>
        <v>chó</v>
      </c>
      <c r="E4110" s="119" t="str">
        <f>IFERROR(__xludf.DUMMYFUNCTION("""COMPUTED_VALUE"""),"Ky")</f>
        <v>Ky</v>
      </c>
    </row>
    <row r="4111" ht="15.75" customHeight="1">
      <c r="A4111" s="122" t="str">
        <f>IFERROR(__xludf.DUMMYFUNCTION("""COMPUTED_VALUE"""),"0965 758 057")</f>
        <v>0965 758 057</v>
      </c>
      <c r="B4111" s="119" t="str">
        <f>IFERROR(__xludf.DUMMYFUNCTION("""COMPUTED_VALUE"""),"Cao Thôi")</f>
        <v>Cao Thôi</v>
      </c>
      <c r="C4111" s="119" t="str">
        <f>IFERROR(__xludf.DUMMYFUNCTION("""COMPUTED_VALUE"""),"Vinh Hưng")</f>
        <v>Vinh Hưng</v>
      </c>
      <c r="D4111" s="119" t="str">
        <f>IFERROR(__xludf.DUMMYFUNCTION("""COMPUTED_VALUE"""),"chó")</f>
        <v>chó</v>
      </c>
      <c r="E4111" s="119"/>
    </row>
    <row r="4112" ht="15.75" customHeight="1">
      <c r="A4112" s="122" t="str">
        <f>IFERROR(__xludf.DUMMYFUNCTION("""COMPUTED_VALUE"""),"0935 425 751")</f>
        <v>0935 425 751</v>
      </c>
      <c r="B4112" s="119" t="str">
        <f>IFERROR(__xludf.DUMMYFUNCTION("""COMPUTED_VALUE"""),"Chị Thuỷ")</f>
        <v>Chị Thuỷ</v>
      </c>
      <c r="C4112" s="119" t="str">
        <f>IFERROR(__xludf.DUMMYFUNCTION("""COMPUTED_VALUE"""),"Phú Hồ Phú Vang")</f>
        <v>Phú Hồ Phú Vang</v>
      </c>
      <c r="D4112" s="119" t="str">
        <f>IFERROR(__xludf.DUMMYFUNCTION("""COMPUTED_VALUE"""),"chó")</f>
        <v>chó</v>
      </c>
      <c r="E4112" s="119" t="str">
        <f>IFERROR(__xludf.DUMMYFUNCTION("""COMPUTED_VALUE"""),"Song")</f>
        <v>Song</v>
      </c>
    </row>
    <row r="4113" ht="15.75" customHeight="1">
      <c r="A4113" s="122" t="str">
        <f>IFERROR(__xludf.DUMMYFUNCTION("""COMPUTED_VALUE"""),"0357 567 282")</f>
        <v>0357 567 282</v>
      </c>
      <c r="B4113" s="119" t="str">
        <f>IFERROR(__xludf.DUMMYFUNCTION("""COMPUTED_VALUE"""),"Chị Viễn Phương")</f>
        <v>Chị Viễn Phương</v>
      </c>
      <c r="C4113" s="119" t="str">
        <f>IFERROR(__xludf.DUMMYFUNCTION("""COMPUTED_VALUE"""),"41/10 Thiên Thai")</f>
        <v>41/10 Thiên Thai</v>
      </c>
      <c r="D4113" s="119" t="str">
        <f>IFERROR(__xludf.DUMMYFUNCTION("""COMPUTED_VALUE"""),"chó")</f>
        <v>chó</v>
      </c>
      <c r="E4113" s="119" t="str">
        <f>IFERROR(__xludf.DUMMYFUNCTION("""COMPUTED_VALUE"""),"moon")</f>
        <v>moon</v>
      </c>
    </row>
    <row r="4114" ht="15.75" customHeight="1">
      <c r="A4114" s="122" t="str">
        <f>IFERROR(__xludf.DUMMYFUNCTION("""COMPUTED_VALUE"""),"0865 775 173")</f>
        <v>0865 775 173</v>
      </c>
      <c r="B4114" s="119" t="str">
        <f>IFERROR(__xludf.DUMMYFUNCTION("""COMPUTED_VALUE"""),"Anh Đông")</f>
        <v>Anh Đông</v>
      </c>
      <c r="C4114" s="119" t="str">
        <f>IFERROR(__xludf.DUMMYFUNCTION("""COMPUTED_VALUE"""),"25/57 Hai Bà Trưng")</f>
        <v>25/57 Hai Bà Trưng</v>
      </c>
      <c r="D4114" s="119" t="str">
        <f>IFERROR(__xludf.DUMMYFUNCTION("""COMPUTED_VALUE"""),"chó")</f>
        <v>chó</v>
      </c>
      <c r="E4114" s="119" t="str">
        <f>IFERROR(__xludf.DUMMYFUNCTION("""COMPUTED_VALUE"""),"sữa")</f>
        <v>sữa</v>
      </c>
    </row>
    <row r="4115" ht="15.75" customHeight="1">
      <c r="A4115" s="122" t="str">
        <f>IFERROR(__xludf.DUMMYFUNCTION("""COMPUTED_VALUE"""),"0815 050 246")</f>
        <v>0815 050 246</v>
      </c>
      <c r="B4115" s="119" t="str">
        <f>IFERROR(__xludf.DUMMYFUNCTION("""COMPUTED_VALUE"""),"Thầy Pháp Ngưỡng")</f>
        <v>Thầy Pháp Ngưỡng</v>
      </c>
      <c r="C4115" s="119" t="str">
        <f>IFERROR(__xludf.DUMMYFUNCTION("""COMPUTED_VALUE"""),"Chùa Từ Hiếu")</f>
        <v>Chùa Từ Hiếu</v>
      </c>
      <c r="D4115" s="119" t="str">
        <f>IFERROR(__xludf.DUMMYFUNCTION("""COMPUTED_VALUE"""),"Chó")</f>
        <v>Chó</v>
      </c>
      <c r="E4115" s="119" t="str">
        <f>IFERROR(__xludf.DUMMYFUNCTION("""COMPUTED_VALUE"""),"Nâu")</f>
        <v>Nâu</v>
      </c>
    </row>
    <row r="4116" ht="15.75" customHeight="1">
      <c r="A4116" s="122" t="str">
        <f>IFERROR(__xludf.DUMMYFUNCTION("""COMPUTED_VALUE"""),"0775 046 694")</f>
        <v>0775 046 694</v>
      </c>
      <c r="B4116" s="119" t="str">
        <f>IFERROR(__xludf.DUMMYFUNCTION("""COMPUTED_VALUE"""),"Chị Hiền")</f>
        <v>Chị Hiền</v>
      </c>
      <c r="C4116" s="119"/>
      <c r="D4116" s="119" t="str">
        <f>IFERROR(__xludf.DUMMYFUNCTION("""COMPUTED_VALUE"""),"chó")</f>
        <v>chó</v>
      </c>
      <c r="E4116" s="119" t="str">
        <f>IFERROR(__xludf.DUMMYFUNCTION("""COMPUTED_VALUE"""),"Kem")</f>
        <v>Kem</v>
      </c>
    </row>
    <row r="4117" ht="15.75" customHeight="1">
      <c r="A4117" s="122" t="str">
        <f>IFERROR(__xludf.DUMMYFUNCTION("""COMPUTED_VALUE"""),"0814 655 486")</f>
        <v>0814 655 486</v>
      </c>
      <c r="B4117" s="119" t="str">
        <f>IFERROR(__xludf.DUMMYFUNCTION("""COMPUTED_VALUE"""),"Dì Giang")</f>
        <v>Dì Giang</v>
      </c>
      <c r="C4117" s="119" t="str">
        <f>IFERROR(__xludf.DUMMYFUNCTION("""COMPUTED_VALUE"""),"13 Phùng Chí Kiên")</f>
        <v>13 Phùng Chí Kiên</v>
      </c>
      <c r="D4117" s="119" t="str">
        <f>IFERROR(__xludf.DUMMYFUNCTION("""COMPUTED_VALUE"""),"chó")</f>
        <v>chó</v>
      </c>
      <c r="E4117" s="119" t="str">
        <f>IFERROR(__xludf.DUMMYFUNCTION("""COMPUTED_VALUE"""),"Kem")</f>
        <v>Kem</v>
      </c>
    </row>
    <row r="4118" ht="15.75" customHeight="1">
      <c r="A4118" s="122" t="str">
        <f>IFERROR(__xludf.DUMMYFUNCTION("""COMPUTED_VALUE"""),"0935 090 308")</f>
        <v>0935 090 308</v>
      </c>
      <c r="B4118" s="119" t="str">
        <f>IFERROR(__xludf.DUMMYFUNCTION("""COMPUTED_VALUE"""),"Anh Luật")</f>
        <v>Anh Luật</v>
      </c>
      <c r="C4118" s="119" t="str">
        <f>IFERROR(__xludf.DUMMYFUNCTION("""COMPUTED_VALUE"""),"57 Nguyễn Huệ")</f>
        <v>57 Nguyễn Huệ</v>
      </c>
      <c r="D4118" s="119" t="str">
        <f>IFERROR(__xludf.DUMMYFUNCTION("""COMPUTED_VALUE"""),"chó ")</f>
        <v>chó </v>
      </c>
      <c r="E4118" s="119" t="str">
        <f>IFERROR(__xludf.DUMMYFUNCTION("""COMPUTED_VALUE"""),"Gấu")</f>
        <v>Gấu</v>
      </c>
    </row>
    <row r="4119" ht="15.75" customHeight="1">
      <c r="A4119" s="122" t="str">
        <f>IFERROR(__xludf.DUMMYFUNCTION("""COMPUTED_VALUE"""),"0815 157 575")</f>
        <v>0815 157 575</v>
      </c>
      <c r="B4119" s="119" t="str">
        <f>IFERROR(__xludf.DUMMYFUNCTION("""COMPUTED_VALUE"""),"Chị Ngọc")</f>
        <v>Chị Ngọc</v>
      </c>
      <c r="C4119" s="119" t="str">
        <f>IFERROR(__xludf.DUMMYFUNCTION("""COMPUTED_VALUE"""),"k11/2c Nguyễn Tuân")</f>
        <v>k11/2c Nguyễn Tuân</v>
      </c>
      <c r="D4119" s="119" t="str">
        <f>IFERROR(__xludf.DUMMYFUNCTION("""COMPUTED_VALUE"""),"mèo")</f>
        <v>mèo</v>
      </c>
      <c r="E4119" s="119" t="str">
        <f>IFERROR(__xludf.DUMMYFUNCTION("""COMPUTED_VALUE"""),"meo")</f>
        <v>meo</v>
      </c>
    </row>
    <row r="4120" ht="15.75" customHeight="1">
      <c r="A4120" s="122" t="str">
        <f>IFERROR(__xludf.DUMMYFUNCTION("""COMPUTED_VALUE"""),"0909 630 739")</f>
        <v>0909 630 739</v>
      </c>
      <c r="B4120" s="119" t="str">
        <f>IFERROR(__xludf.DUMMYFUNCTION("""COMPUTED_VALUE"""),"Anh Long")</f>
        <v>Anh Long</v>
      </c>
      <c r="C4120" s="119" t="str">
        <f>IFERROR(__xludf.DUMMYFUNCTION("""COMPUTED_VALUE"""),"8 Lê Ngô Cát")</f>
        <v>8 Lê Ngô Cát</v>
      </c>
      <c r="D4120" s="119" t="str">
        <f>IFERROR(__xludf.DUMMYFUNCTION("""COMPUTED_VALUE"""),"Chó")</f>
        <v>Chó</v>
      </c>
      <c r="E4120" s="119" t="str">
        <f>IFERROR(__xludf.DUMMYFUNCTION("""COMPUTED_VALUE"""),"Gấu")</f>
        <v>Gấu</v>
      </c>
    </row>
    <row r="4121" ht="15.75" customHeight="1">
      <c r="A4121" s="122" t="str">
        <f>IFERROR(__xludf.DUMMYFUNCTION("""COMPUTED_VALUE"""),"0383 015 215")</f>
        <v>0383 015 215</v>
      </c>
      <c r="B4121" s="119" t="str">
        <f>IFERROR(__xludf.DUMMYFUNCTION("""COMPUTED_VALUE"""),"Trà My")</f>
        <v>Trà My</v>
      </c>
      <c r="C4121" s="119" t="str">
        <f>IFERROR(__xludf.DUMMYFUNCTION("""COMPUTED_VALUE"""),"2/38 Tôn Thất Thuyết")</f>
        <v>2/38 Tôn Thất Thuyết</v>
      </c>
      <c r="D4121" s="119" t="str">
        <f>IFERROR(__xludf.DUMMYFUNCTION("""COMPUTED_VALUE"""),"mèo")</f>
        <v>mèo</v>
      </c>
      <c r="E4121" s="119" t="str">
        <f>IFERROR(__xludf.DUMMYFUNCTION("""COMPUTED_VALUE"""),"Báo")</f>
        <v>Báo</v>
      </c>
    </row>
    <row r="4122" ht="15.75" customHeight="1">
      <c r="A4122" s="122" t="str">
        <f>IFERROR(__xludf.DUMMYFUNCTION("""COMPUTED_VALUE"""),"0934 617 573")</f>
        <v>0934 617 573</v>
      </c>
      <c r="B4122" s="119" t="str">
        <f>IFERROR(__xludf.DUMMYFUNCTION("""COMPUTED_VALUE"""),"Chị Mai")</f>
        <v>Chị Mai</v>
      </c>
      <c r="C4122" s="119" t="str">
        <f>IFERROR(__xludf.DUMMYFUNCTION("""COMPUTED_VALUE"""),"thuỷ Biều")</f>
        <v>thuỷ Biều</v>
      </c>
      <c r="D4122" s="119" t="str">
        <f>IFERROR(__xludf.DUMMYFUNCTION("""COMPUTED_VALUE"""),"chó")</f>
        <v>chó</v>
      </c>
      <c r="E4122" s="119" t="str">
        <f>IFERROR(__xludf.DUMMYFUNCTION("""COMPUTED_VALUE"""),"Mun")</f>
        <v>Mun</v>
      </c>
    </row>
    <row r="4123" ht="15.75" customHeight="1">
      <c r="A4123" s="122" t="str">
        <f>IFERROR(__xludf.DUMMYFUNCTION("""COMPUTED_VALUE"""),"0795 857 127")</f>
        <v>0795 857 127</v>
      </c>
      <c r="B4123" s="119" t="str">
        <f>IFERROR(__xludf.DUMMYFUNCTION("""COMPUTED_VALUE"""),"Chị Nga")</f>
        <v>Chị Nga</v>
      </c>
      <c r="C4123" s="119" t="str">
        <f>IFERROR(__xludf.DUMMYFUNCTION("""COMPUTED_VALUE"""),"25 Lưu Hữu Phước")</f>
        <v>25 Lưu Hữu Phước</v>
      </c>
      <c r="D4123" s="119" t="str">
        <f>IFERROR(__xludf.DUMMYFUNCTION("""COMPUTED_VALUE"""),"chó ")</f>
        <v>chó </v>
      </c>
      <c r="E4123" s="119" t="str">
        <f>IFERROR(__xludf.DUMMYFUNCTION("""COMPUTED_VALUE"""),"Đen")</f>
        <v>Đen</v>
      </c>
    </row>
    <row r="4124" ht="15.75" customHeight="1">
      <c r="A4124" s="122" t="str">
        <f>IFERROR(__xludf.DUMMYFUNCTION("""COMPUTED_VALUE"""),"0906 274 581")</f>
        <v>0906 274 581</v>
      </c>
      <c r="B4124" s="119" t="str">
        <f>IFERROR(__xludf.DUMMYFUNCTION("""COMPUTED_VALUE"""),"Trần Hoàng Sa/Sơn")</f>
        <v>Trần Hoàng Sa/Sơn</v>
      </c>
      <c r="C4124" s="119" t="str">
        <f>IFERROR(__xludf.DUMMYFUNCTION("""COMPUTED_VALUE"""),"2/5 Lê Sỹ")</f>
        <v>2/5 Lê Sỹ</v>
      </c>
      <c r="D4124" s="119" t="str">
        <f>IFERROR(__xludf.DUMMYFUNCTION("""COMPUTED_VALUE"""),"chó")</f>
        <v>chó</v>
      </c>
      <c r="E4124" s="119" t="str">
        <f>IFERROR(__xludf.DUMMYFUNCTION("""COMPUTED_VALUE"""),"Quấn")</f>
        <v>Quấn</v>
      </c>
    </row>
    <row r="4125" ht="15.75" customHeight="1">
      <c r="A4125" s="122" t="str">
        <f>IFERROR(__xludf.DUMMYFUNCTION("""COMPUTED_VALUE"""),"0937 222 207")</f>
        <v>0937 222 207</v>
      </c>
      <c r="B4125" s="119" t="str">
        <f>IFERROR(__xludf.DUMMYFUNCTION("""COMPUTED_VALUE"""),"Anh Sang")</f>
        <v>Anh Sang</v>
      </c>
      <c r="C4125" s="119" t="str">
        <f>IFERROR(__xludf.DUMMYFUNCTION("""COMPUTED_VALUE"""),"Phú Lộc")</f>
        <v>Phú Lộc</v>
      </c>
      <c r="D4125" s="119" t="str">
        <f>IFERROR(__xludf.DUMMYFUNCTION("""COMPUTED_VALUE"""),"chó")</f>
        <v>chó</v>
      </c>
      <c r="E4125" s="119" t="str">
        <f>IFERROR(__xludf.DUMMYFUNCTION("""COMPUTED_VALUE"""),"Rốt")</f>
        <v>Rốt</v>
      </c>
    </row>
    <row r="4126" ht="15.75" customHeight="1">
      <c r="A4126" s="122" t="str">
        <f>IFERROR(__xludf.DUMMYFUNCTION("""COMPUTED_VALUE"""),"0762 544 974")</f>
        <v>0762 544 974</v>
      </c>
      <c r="B4126" s="119" t="str">
        <f>IFERROR(__xludf.DUMMYFUNCTION("""COMPUTED_VALUE"""),"Robert Sode")</f>
        <v>Robert Sode</v>
      </c>
      <c r="C4126" s="119"/>
      <c r="D4126" s="119" t="str">
        <f>IFERROR(__xludf.DUMMYFUNCTION("""COMPUTED_VALUE"""),"mèo")</f>
        <v>mèo</v>
      </c>
      <c r="E4126" s="119"/>
    </row>
    <row r="4127" ht="15.75" customHeight="1">
      <c r="A4127" s="122" t="str">
        <f>IFERROR(__xludf.DUMMYFUNCTION("""COMPUTED_VALUE"""),"0773 537 751")</f>
        <v>0773 537 751</v>
      </c>
      <c r="B4127" s="119" t="str">
        <f>IFERROR(__xludf.DUMMYFUNCTION("""COMPUTED_VALUE"""),"Trần Quốc Trường")</f>
        <v>Trần Quốc Trường</v>
      </c>
      <c r="C4127" s="119" t="str">
        <f>IFERROR(__xludf.DUMMYFUNCTION("""COMPUTED_VALUE"""),"Lộc Thuỷ")</f>
        <v>Lộc Thuỷ</v>
      </c>
      <c r="D4127" s="119" t="str">
        <f>IFERROR(__xludf.DUMMYFUNCTION("""COMPUTED_VALUE"""),"chó")</f>
        <v>chó</v>
      </c>
      <c r="E4127" s="119" t="str">
        <f>IFERROR(__xludf.DUMMYFUNCTION("""COMPUTED_VALUE"""),"Hạt Dẻ")</f>
        <v>Hạt Dẻ</v>
      </c>
    </row>
    <row r="4128" ht="15.75" customHeight="1">
      <c r="A4128" s="122" t="str">
        <f>IFERROR(__xludf.DUMMYFUNCTION("""COMPUTED_VALUE"""),"0348 372 101")</f>
        <v>0348 372 101</v>
      </c>
      <c r="B4128" s="119" t="str">
        <f>IFERROR(__xludf.DUMMYFUNCTION("""COMPUTED_VALUE"""),"Chị Tuyết")</f>
        <v>Chị Tuyết</v>
      </c>
      <c r="C4128" s="119" t="str">
        <f>IFERROR(__xludf.DUMMYFUNCTION("""COMPUTED_VALUE"""),"278 Bùi Thị Xuân")</f>
        <v>278 Bùi Thị Xuân</v>
      </c>
      <c r="D4128" s="119" t="str">
        <f>IFERROR(__xludf.DUMMYFUNCTION("""COMPUTED_VALUE"""),"chó")</f>
        <v>chó</v>
      </c>
      <c r="E4128" s="119" t="str">
        <f>IFERROR(__xludf.DUMMYFUNCTION("""COMPUTED_VALUE"""),"Khoai")</f>
        <v>Khoai</v>
      </c>
    </row>
    <row r="4129" ht="15.75" customHeight="1">
      <c r="A4129" s="122" t="str">
        <f>IFERROR(__xludf.DUMMYFUNCTION("""COMPUTED_VALUE"""),"0963 151 742")</f>
        <v>0963 151 742</v>
      </c>
      <c r="B4129" s="119" t="str">
        <f>IFERROR(__xludf.DUMMYFUNCTION("""COMPUTED_VALUE"""),"Trần Phi")</f>
        <v>Trần Phi</v>
      </c>
      <c r="C4129" s="119" t="str">
        <f>IFERROR(__xludf.DUMMYFUNCTION("""COMPUTED_VALUE"""),"Hương Long")</f>
        <v>Hương Long</v>
      </c>
      <c r="D4129" s="119" t="str">
        <f>IFERROR(__xludf.DUMMYFUNCTION("""COMPUTED_VALUE"""),"chó")</f>
        <v>chó</v>
      </c>
      <c r="E4129" s="119" t="str">
        <f>IFERROR(__xludf.DUMMYFUNCTION("""COMPUTED_VALUE"""),"Rôn")</f>
        <v>Rôn</v>
      </c>
    </row>
    <row r="4130" ht="15.75" customHeight="1">
      <c r="A4130" s="122" t="str">
        <f>IFERROR(__xludf.DUMMYFUNCTION("""COMPUTED_VALUE"""),"0809 232 925")</f>
        <v>0809 232 925</v>
      </c>
      <c r="B4130" s="119" t="str">
        <f>IFERROR(__xludf.DUMMYFUNCTION("""COMPUTED_VALUE"""),"Em Huyen")</f>
        <v>Em Huyen</v>
      </c>
      <c r="C4130" s="119" t="str">
        <f>IFERROR(__xludf.DUMMYFUNCTION("""COMPUTED_VALUE"""),"203 Nguyễn Trường Tộ")</f>
        <v>203 Nguyễn Trường Tộ</v>
      </c>
      <c r="D4130" s="119" t="str">
        <f>IFERROR(__xludf.DUMMYFUNCTION("""COMPUTED_VALUE"""),"mèo")</f>
        <v>mèo</v>
      </c>
      <c r="E4130" s="119" t="str">
        <f>IFERROR(__xludf.DUMMYFUNCTION("""COMPUTED_VALUE"""),"Trắng")</f>
        <v>Trắng</v>
      </c>
    </row>
    <row r="4131" ht="15.75" customHeight="1">
      <c r="A4131" s="122" t="str">
        <f>IFERROR(__xludf.DUMMYFUNCTION("""COMPUTED_VALUE"""),"0384 698 977")</f>
        <v>0384 698 977</v>
      </c>
      <c r="B4131" s="119" t="str">
        <f>IFERROR(__xludf.DUMMYFUNCTION("""COMPUTED_VALUE"""),"Dì Dĩ")</f>
        <v>Dì Dĩ</v>
      </c>
      <c r="C4131" s="119" t="str">
        <f>IFERROR(__xludf.DUMMYFUNCTION("""COMPUTED_VALUE"""),"15/5 Hồ Thừa")</f>
        <v>15/5 Hồ Thừa</v>
      </c>
      <c r="D4131" s="119" t="str">
        <f>IFERROR(__xludf.DUMMYFUNCTION("""COMPUTED_VALUE"""),"Chó")</f>
        <v>Chó</v>
      </c>
      <c r="E4131" s="119" t="str">
        <f>IFERROR(__xludf.DUMMYFUNCTION("""COMPUTED_VALUE"""),"Gấu")</f>
        <v>Gấu</v>
      </c>
    </row>
    <row r="4132" ht="15.75" customHeight="1">
      <c r="A4132" s="122" t="str">
        <f>IFERROR(__xludf.DUMMYFUNCTION("""COMPUTED_VALUE"""),"0935 372 255")</f>
        <v>0935 372 255</v>
      </c>
      <c r="B4132" s="119" t="str">
        <f>IFERROR(__xludf.DUMMYFUNCTION("""COMPUTED_VALUE"""),"Thanh Lâm")</f>
        <v>Thanh Lâm</v>
      </c>
      <c r="C4132" s="119" t="str">
        <f>IFERROR(__xludf.DUMMYFUNCTION("""COMPUTED_VALUE"""),"9/31 Phạm Thị Liên")</f>
        <v>9/31 Phạm Thị Liên</v>
      </c>
      <c r="D4132" s="119" t="str">
        <f>IFERROR(__xludf.DUMMYFUNCTION("""COMPUTED_VALUE"""),"chó")</f>
        <v>chó</v>
      </c>
      <c r="E4132" s="119" t="str">
        <f>IFERROR(__xludf.DUMMYFUNCTION("""COMPUTED_VALUE"""),"Dog")</f>
        <v>Dog</v>
      </c>
    </row>
    <row r="4133" ht="15.75" customHeight="1">
      <c r="A4133" s="122" t="str">
        <f>IFERROR(__xludf.DUMMYFUNCTION("""COMPUTED_VALUE"""),"0905 300 603")</f>
        <v>0905 300 603</v>
      </c>
      <c r="B4133" s="119" t="str">
        <f>IFERROR(__xludf.DUMMYFUNCTION("""COMPUTED_VALUE"""),"Anh Tuấn")</f>
        <v>Anh Tuấn</v>
      </c>
      <c r="C4133" s="119" t="str">
        <f>IFERROR(__xludf.DUMMYFUNCTION("""COMPUTED_VALUE"""),"116 Vạn Xuân")</f>
        <v>116 Vạn Xuân</v>
      </c>
      <c r="D4133" s="119" t="str">
        <f>IFERROR(__xludf.DUMMYFUNCTION("""COMPUTED_VALUE"""),"chó")</f>
        <v>chó</v>
      </c>
      <c r="E4133" s="119"/>
    </row>
    <row r="4134" ht="15.75" customHeight="1">
      <c r="A4134" s="122" t="str">
        <f>IFERROR(__xludf.DUMMYFUNCTION("""COMPUTED_VALUE"""),"0385 271 605")</f>
        <v>0385 271 605</v>
      </c>
      <c r="B4134" s="119" t="str">
        <f>IFERROR(__xludf.DUMMYFUNCTION("""COMPUTED_VALUE"""),"Anh Hoàng ")</f>
        <v>Anh Hoàng </v>
      </c>
      <c r="C4134" s="119" t="str">
        <f>IFERROR(__xludf.DUMMYFUNCTION("""COMPUTED_VALUE"""),"37/52 Nguyễn Hoàng")</f>
        <v>37/52 Nguyễn Hoàng</v>
      </c>
      <c r="D4134" s="119" t="str">
        <f>IFERROR(__xludf.DUMMYFUNCTION("""COMPUTED_VALUE"""),"Mèo")</f>
        <v>Mèo</v>
      </c>
      <c r="E4134" s="119" t="str">
        <f>IFERROR(__xludf.DUMMYFUNCTION("""COMPUTED_VALUE"""),"Moon")</f>
        <v>Moon</v>
      </c>
    </row>
    <row r="4135" ht="15.75" customHeight="1">
      <c r="A4135" s="122" t="str">
        <f>IFERROR(__xludf.DUMMYFUNCTION("""COMPUTED_VALUE"""),"0946 941 359")</f>
        <v>0946 941 359</v>
      </c>
      <c r="B4135" s="119" t="str">
        <f>IFERROR(__xludf.DUMMYFUNCTION("""COMPUTED_VALUE"""),"Chị Vân")</f>
        <v>Chị Vân</v>
      </c>
      <c r="C4135" s="119" t="str">
        <f>IFERROR(__xludf.DUMMYFUNCTION("""COMPUTED_VALUE"""),"26/2/147 Phan Đình Phùng")</f>
        <v>26/2/147 Phan Đình Phùng</v>
      </c>
      <c r="D4135" s="119" t="str">
        <f>IFERROR(__xludf.DUMMYFUNCTION("""COMPUTED_VALUE"""),"chó")</f>
        <v>chó</v>
      </c>
      <c r="E4135" s="119" t="str">
        <f>IFERROR(__xludf.DUMMYFUNCTION("""COMPUTED_VALUE"""),"Nâu")</f>
        <v>Nâu</v>
      </c>
    </row>
    <row r="4136" ht="15.75" customHeight="1">
      <c r="A4136" s="122" t="str">
        <f>IFERROR(__xludf.DUMMYFUNCTION("""COMPUTED_VALUE"""),"0848 680 994")</f>
        <v>0848 680 994</v>
      </c>
      <c r="B4136" s="119" t="str">
        <f>IFERROR(__xludf.DUMMYFUNCTION("""COMPUTED_VALUE"""),"Chị Thuỷ")</f>
        <v>Chị Thuỷ</v>
      </c>
      <c r="C4136" s="119" t="str">
        <f>IFERROR(__xludf.DUMMYFUNCTION("""COMPUTED_VALUE"""),"62 Tố Hữu")</f>
        <v>62 Tố Hữu</v>
      </c>
      <c r="D4136" s="119" t="str">
        <f>IFERROR(__xludf.DUMMYFUNCTION("""COMPUTED_VALUE"""),"chó")</f>
        <v>chó</v>
      </c>
      <c r="E4136" s="119" t="str">
        <f>IFERROR(__xludf.DUMMYFUNCTION("""COMPUTED_VALUE"""),"Tom")</f>
        <v>Tom</v>
      </c>
    </row>
    <row r="4137" ht="15.75" customHeight="1">
      <c r="A4137" s="122" t="str">
        <f>IFERROR(__xludf.DUMMYFUNCTION("""COMPUTED_VALUE"""),"0787 567 632")</f>
        <v>0787 567 632</v>
      </c>
      <c r="B4137" s="119" t="str">
        <f>IFERROR(__xludf.DUMMYFUNCTION("""COMPUTED_VALUE"""),"Em Đoan")</f>
        <v>Em Đoan</v>
      </c>
      <c r="C4137" s="119" t="str">
        <f>IFERROR(__xludf.DUMMYFUNCTION("""COMPUTED_VALUE"""),"433 Tăng Bạt Hổ")</f>
        <v>433 Tăng Bạt Hổ</v>
      </c>
      <c r="D4137" s="119" t="str">
        <f>IFERROR(__xludf.DUMMYFUNCTION("""COMPUTED_VALUE"""),"Mèo")</f>
        <v>Mèo</v>
      </c>
      <c r="E4137" s="119" t="str">
        <f>IFERROR(__xludf.DUMMYFUNCTION("""COMPUTED_VALUE"""),"Cam")</f>
        <v>Cam</v>
      </c>
    </row>
    <row r="4138" ht="15.75" customHeight="1">
      <c r="A4138" s="122" t="str">
        <f>IFERROR(__xludf.DUMMYFUNCTION("""COMPUTED_VALUE"""),"0862 625 688")</f>
        <v>0862 625 688</v>
      </c>
      <c r="B4138" s="119" t="str">
        <f>IFERROR(__xludf.DUMMYFUNCTION("""COMPUTED_VALUE"""),"Hoàng Kim Cúc")</f>
        <v>Hoàng Kim Cúc</v>
      </c>
      <c r="C4138" s="119" t="str">
        <f>IFERROR(__xludf.DUMMYFUNCTION("""COMPUTED_VALUE"""),"k5/52 Nguyễn Khoa Thy")</f>
        <v>k5/52 Nguyễn Khoa Thy</v>
      </c>
      <c r="D4138" s="119" t="str">
        <f>IFERROR(__xludf.DUMMYFUNCTION("""COMPUTED_VALUE"""),"chó")</f>
        <v>chó</v>
      </c>
      <c r="E4138" s="119" t="str">
        <f>IFERROR(__xludf.DUMMYFUNCTION("""COMPUTED_VALUE"""),"Dola")</f>
        <v>Dola</v>
      </c>
    </row>
    <row r="4139" ht="15.75" customHeight="1">
      <c r="A4139" s="122" t="str">
        <f>IFERROR(__xludf.DUMMYFUNCTION("""COMPUTED_VALUE"""),"0783 378 545")</f>
        <v>0783 378 545</v>
      </c>
      <c r="B4139" s="119" t="str">
        <f>IFERROR(__xludf.DUMMYFUNCTION("""COMPUTED_VALUE"""),"Anh Cường")</f>
        <v>Anh Cường</v>
      </c>
      <c r="C4139" s="119" t="str">
        <f>IFERROR(__xludf.DUMMYFUNCTION("""COMPUTED_VALUE"""),"100 Lý Nam Đế")</f>
        <v>100 Lý Nam Đế</v>
      </c>
      <c r="D4139" s="119" t="str">
        <f>IFERROR(__xludf.DUMMYFUNCTION("""COMPUTED_VALUE"""),"Chó")</f>
        <v>Chó</v>
      </c>
      <c r="E4139" s="119" t="str">
        <f>IFERROR(__xludf.DUMMYFUNCTION("""COMPUTED_VALUE"""),"Vàng")</f>
        <v>Vàng</v>
      </c>
    </row>
    <row r="4140" ht="15.75" customHeight="1">
      <c r="A4140" s="122" t="str">
        <f>IFERROR(__xludf.DUMMYFUNCTION("""COMPUTED_VALUE"""),"0857 856 724")</f>
        <v>0857 856 724</v>
      </c>
      <c r="B4140" s="119" t="str">
        <f>IFERROR(__xludf.DUMMYFUNCTION("""COMPUTED_VALUE"""),"Chị Thảo")</f>
        <v>Chị Thảo</v>
      </c>
      <c r="C4140" s="119" t="str">
        <f>IFERROR(__xludf.DUMMYFUNCTION("""COMPUTED_VALUE"""),"158 Phạm Văn Đồng")</f>
        <v>158 Phạm Văn Đồng</v>
      </c>
      <c r="D4140" s="119" t="str">
        <f>IFERROR(__xludf.DUMMYFUNCTION("""COMPUTED_VALUE"""),"chó")</f>
        <v>chó</v>
      </c>
      <c r="E4140" s="119" t="str">
        <f>IFERROR(__xludf.DUMMYFUNCTION("""COMPUTED_VALUE"""),"Đen")</f>
        <v>Đen</v>
      </c>
    </row>
    <row r="4141" ht="15.75" customHeight="1">
      <c r="A4141" s="122" t="str">
        <f>IFERROR(__xludf.DUMMYFUNCTION("""COMPUTED_VALUE"""),"0349 826 131")</f>
        <v>0349 826 131</v>
      </c>
      <c r="B4141" s="119" t="str">
        <f>IFERROR(__xludf.DUMMYFUNCTION("""COMPUTED_VALUE"""),"Anh Hiền")</f>
        <v>Anh Hiền</v>
      </c>
      <c r="C4141" s="119" t="str">
        <f>IFERROR(__xludf.DUMMYFUNCTION("""COMPUTED_VALUE"""),"6/244 Phan Chu Trinh")</f>
        <v>6/244 Phan Chu Trinh</v>
      </c>
      <c r="D4141" s="119" t="str">
        <f>IFERROR(__xludf.DUMMYFUNCTION("""COMPUTED_VALUE"""),"Chó")</f>
        <v>Chó</v>
      </c>
      <c r="E4141" s="119"/>
    </row>
    <row r="4142" ht="15.75" customHeight="1">
      <c r="A4142" s="122" t="str">
        <f>IFERROR(__xludf.DUMMYFUNCTION("""COMPUTED_VALUE"""),"0905 943 171")</f>
        <v>0905 943 171</v>
      </c>
      <c r="B4142" s="119" t="str">
        <f>IFERROR(__xludf.DUMMYFUNCTION("""COMPUTED_VALUE"""),"Nguyễn Nghỉ")</f>
        <v>Nguyễn Nghỉ</v>
      </c>
      <c r="C4142" s="119" t="str">
        <f>IFERROR(__xludf.DUMMYFUNCTION("""COMPUTED_VALUE"""),"2/47 An Ninh")</f>
        <v>2/47 An Ninh</v>
      </c>
      <c r="D4142" s="119" t="str">
        <f>IFERROR(__xludf.DUMMYFUNCTION("""COMPUTED_VALUE"""),"chó")</f>
        <v>chó</v>
      </c>
      <c r="E4142" s="119" t="str">
        <f>IFERROR(__xludf.DUMMYFUNCTION("""COMPUTED_VALUE"""),"Red")</f>
        <v>Red</v>
      </c>
    </row>
    <row r="4143" ht="15.75" customHeight="1">
      <c r="A4143" s="122" t="str">
        <f>IFERROR(__xludf.DUMMYFUNCTION("""COMPUTED_VALUE"""),"0914 500 300")</f>
        <v>0914 500 300</v>
      </c>
      <c r="B4143" s="119" t="str">
        <f>IFERROR(__xludf.DUMMYFUNCTION("""COMPUTED_VALUE"""),"Anh Long")</f>
        <v>Anh Long</v>
      </c>
      <c r="C4143" s="119" t="str">
        <f>IFERROR(__xludf.DUMMYFUNCTION("""COMPUTED_VALUE"""),"Kiệt 132 Nguyễn Hữu Dật")</f>
        <v>Kiệt 132 Nguyễn Hữu Dật</v>
      </c>
      <c r="D4143" s="119" t="str">
        <f>IFERROR(__xludf.DUMMYFUNCTION("""COMPUTED_VALUE"""),"Chó ")</f>
        <v>Chó </v>
      </c>
      <c r="E4143" s="119" t="str">
        <f>IFERROR(__xludf.DUMMYFUNCTION("""COMPUTED_VALUE"""),"Xu")</f>
        <v>Xu</v>
      </c>
    </row>
    <row r="4144" ht="15.75" customHeight="1">
      <c r="A4144" s="122" t="str">
        <f>IFERROR(__xludf.DUMMYFUNCTION("""COMPUTED_VALUE"""),"0905 775 631")</f>
        <v>0905 775 631</v>
      </c>
      <c r="B4144" s="119" t="str">
        <f>IFERROR(__xludf.DUMMYFUNCTION("""COMPUTED_VALUE"""),"Chú Hùng")</f>
        <v>Chú Hùng</v>
      </c>
      <c r="C4144" s="119" t="str">
        <f>IFERROR(__xludf.DUMMYFUNCTION("""COMPUTED_VALUE"""),"42/5 Phạm Thị Liên")</f>
        <v>42/5 Phạm Thị Liên</v>
      </c>
      <c r="D4144" s="119" t="str">
        <f>IFERROR(__xludf.DUMMYFUNCTION("""COMPUTED_VALUE"""),"chó")</f>
        <v>chó</v>
      </c>
      <c r="E4144" s="119" t="str">
        <f>IFERROR(__xludf.DUMMYFUNCTION("""COMPUTED_VALUE"""),"Ky")</f>
        <v>Ky</v>
      </c>
    </row>
    <row r="4145" ht="15.75" customHeight="1">
      <c r="A4145" s="122" t="str">
        <f>IFERROR(__xludf.DUMMYFUNCTION("""COMPUTED_VALUE"""),"0938 464 748")</f>
        <v>0938 464 748</v>
      </c>
      <c r="B4145" s="119" t="str">
        <f>IFERROR(__xludf.DUMMYFUNCTION("""COMPUTED_VALUE"""),"Nguyễn Anh Quốc Huy")</f>
        <v>Nguyễn Anh Quốc Huy</v>
      </c>
      <c r="C4145" s="119" t="str">
        <f>IFERROR(__xludf.DUMMYFUNCTION("""COMPUTED_VALUE"""),"kiệt 22, đường số 1 an cựu city")</f>
        <v>kiệt 22, đường số 1 an cựu city</v>
      </c>
      <c r="D4145" s="119" t="str">
        <f>IFERROR(__xludf.DUMMYFUNCTION("""COMPUTED_VALUE"""),"mèo")</f>
        <v>mèo</v>
      </c>
      <c r="E4145" s="119" t="str">
        <f>IFERROR(__xludf.DUMMYFUNCTION("""COMPUTED_VALUE"""),"Dingo")</f>
        <v>Dingo</v>
      </c>
    </row>
    <row r="4146" ht="15.75" customHeight="1">
      <c r="A4146" s="122" t="str">
        <f>IFERROR(__xludf.DUMMYFUNCTION("""COMPUTED_VALUE"""),"0944 110 699")</f>
        <v>0944 110 699</v>
      </c>
      <c r="B4146" s="119" t="str">
        <f>IFERROR(__xludf.DUMMYFUNCTION("""COMPUTED_VALUE"""),"Nhi")</f>
        <v>Nhi</v>
      </c>
      <c r="C4146" s="119" t="str">
        <f>IFERROR(__xludf.DUMMYFUNCTION("""COMPUTED_VALUE"""),"33 Duy Tân")</f>
        <v>33 Duy Tân</v>
      </c>
      <c r="D4146" s="119" t="str">
        <f>IFERROR(__xludf.DUMMYFUNCTION("""COMPUTED_VALUE"""),"Mèo")</f>
        <v>Mèo</v>
      </c>
      <c r="E4146" s="119"/>
    </row>
    <row r="4147" ht="15.75" customHeight="1">
      <c r="A4147" s="122" t="str">
        <f>IFERROR(__xludf.DUMMYFUNCTION("""COMPUTED_VALUE"""),"0916 044 224")</f>
        <v>0916 044 224</v>
      </c>
      <c r="B4147" s="119" t="str">
        <f>IFERROR(__xludf.DUMMYFUNCTION("""COMPUTED_VALUE"""),"Anh Minh")</f>
        <v>Anh Minh</v>
      </c>
      <c r="C4147" s="119" t="str">
        <f>IFERROR(__xludf.DUMMYFUNCTION("""COMPUTED_VALUE"""),"2/333 Phạm Văn Đồng")</f>
        <v>2/333 Phạm Văn Đồng</v>
      </c>
      <c r="D4147" s="119" t="str">
        <f>IFERROR(__xludf.DUMMYFUNCTION("""COMPUTED_VALUE"""),"chó")</f>
        <v>chó</v>
      </c>
      <c r="E4147" s="119" t="str">
        <f>IFERROR(__xludf.DUMMYFUNCTION("""COMPUTED_VALUE""")," Golder")</f>
        <v> Golder</v>
      </c>
    </row>
    <row r="4148" ht="15.75" customHeight="1">
      <c r="A4148" s="122" t="str">
        <f>IFERROR(__xludf.DUMMYFUNCTION("""COMPUTED_VALUE"""),"0898 232 925")</f>
        <v>0898 232 925</v>
      </c>
      <c r="B4148" s="119" t="str">
        <f>IFERROR(__xludf.DUMMYFUNCTION("""COMPUTED_VALUE"""),"Em Huyền")</f>
        <v>Em Huyền</v>
      </c>
      <c r="C4148" s="119" t="str">
        <f>IFERROR(__xludf.DUMMYFUNCTION("""COMPUTED_VALUE"""),"203 Nguyễn Trường Tộ")</f>
        <v>203 Nguyễn Trường Tộ</v>
      </c>
      <c r="D4148" s="119" t="str">
        <f>IFERROR(__xludf.DUMMYFUNCTION("""COMPUTED_VALUE"""),"mèo ")</f>
        <v>mèo </v>
      </c>
      <c r="E4148" s="119" t="str">
        <f>IFERROR(__xludf.DUMMYFUNCTION("""COMPUTED_VALUE"""),"Trắng")</f>
        <v>Trắng</v>
      </c>
    </row>
    <row r="4149" ht="15.75" customHeight="1">
      <c r="A4149" s="122" t="str">
        <f>IFERROR(__xludf.DUMMYFUNCTION("""COMPUTED_VALUE"""),"0937 222 207")</f>
        <v>0937 222 207</v>
      </c>
      <c r="B4149" s="119" t="str">
        <f>IFERROR(__xludf.DUMMYFUNCTION("""COMPUTED_VALUE"""),"Anh sang")</f>
        <v>Anh sang</v>
      </c>
      <c r="C4149" s="119" t="str">
        <f>IFERROR(__xludf.DUMMYFUNCTION("""COMPUTED_VALUE"""),"Phú Lộc")</f>
        <v>Phú Lộc</v>
      </c>
      <c r="D4149" s="119" t="str">
        <f>IFERROR(__xludf.DUMMYFUNCTION("""COMPUTED_VALUE"""),"chó")</f>
        <v>chó</v>
      </c>
      <c r="E4149" s="119" t="str">
        <f>IFERROR(__xludf.DUMMYFUNCTION("""COMPUTED_VALUE"""),"Rốt")</f>
        <v>Rốt</v>
      </c>
    </row>
    <row r="4150" ht="15.75" customHeight="1">
      <c r="A4150" s="122" t="str">
        <f>IFERROR(__xludf.DUMMYFUNCTION("""COMPUTED_VALUE"""),"0948 949 161")</f>
        <v>0948 949 161</v>
      </c>
      <c r="B4150" s="119" t="str">
        <f>IFERROR(__xludf.DUMMYFUNCTION("""COMPUTED_VALUE"""),"Anh Huy")</f>
        <v>Anh Huy</v>
      </c>
      <c r="C4150" s="119" t="str">
        <f>IFERROR(__xludf.DUMMYFUNCTION("""COMPUTED_VALUE"""),"69 Dương Văn An")</f>
        <v>69 Dương Văn An</v>
      </c>
      <c r="D4150" s="119" t="str">
        <f>IFERROR(__xludf.DUMMYFUNCTION("""COMPUTED_VALUE"""),"mèo")</f>
        <v>mèo</v>
      </c>
      <c r="E4150" s="119" t="str">
        <f>IFERROR(__xludf.DUMMYFUNCTION("""COMPUTED_VALUE"""),"Meo")</f>
        <v>Meo</v>
      </c>
    </row>
    <row r="4151" ht="15.75" customHeight="1">
      <c r="A4151" s="122" t="str">
        <f>IFERROR(__xludf.DUMMYFUNCTION("""COMPUTED_VALUE"""),"0987 311 514")</f>
        <v>0987 311 514</v>
      </c>
      <c r="B4151" s="119" t="str">
        <f>IFERROR(__xludf.DUMMYFUNCTION("""COMPUTED_VALUE"""),"Anh Thọ")</f>
        <v>Anh Thọ</v>
      </c>
      <c r="C4151" s="119" t="str">
        <f>IFERROR(__xludf.DUMMYFUNCTION("""COMPUTED_VALUE"""),"21/2 Văn Cao")</f>
        <v>21/2 Văn Cao</v>
      </c>
      <c r="D4151" s="119" t="str">
        <f>IFERROR(__xludf.DUMMYFUNCTION("""COMPUTED_VALUE"""),"chó")</f>
        <v>chó</v>
      </c>
      <c r="E4151" s="119" t="str">
        <f>IFERROR(__xludf.DUMMYFUNCTION("""COMPUTED_VALUE"""),"Su")</f>
        <v>Su</v>
      </c>
    </row>
    <row r="4152" ht="15.75" customHeight="1">
      <c r="A4152" s="122" t="str">
        <f>IFERROR(__xludf.DUMMYFUNCTION("""COMPUTED_VALUE"""),"0337 785 584")</f>
        <v>0337 785 584</v>
      </c>
      <c r="B4152" s="119" t="str">
        <f>IFERROR(__xludf.DUMMYFUNCTION("""COMPUTED_VALUE"""),"Võ Thuỷ Tiên")</f>
        <v>Võ Thuỷ Tiên</v>
      </c>
      <c r="C4152" s="119" t="str">
        <f>IFERROR(__xludf.DUMMYFUNCTION("""COMPUTED_VALUE"""),"Phú lộc")</f>
        <v>Phú lộc</v>
      </c>
      <c r="D4152" s="119" t="str">
        <f>IFERROR(__xludf.DUMMYFUNCTION("""COMPUTED_VALUE"""),"chó")</f>
        <v>chó</v>
      </c>
      <c r="E4152" s="119" t="str">
        <f>IFERROR(__xludf.DUMMYFUNCTION("""COMPUTED_VALUE"""),"Fox")</f>
        <v>Fox</v>
      </c>
    </row>
    <row r="4153" ht="15.75" customHeight="1">
      <c r="A4153" s="122" t="str">
        <f>IFERROR(__xludf.DUMMYFUNCTION("""COMPUTED_VALUE"""),"0901 644 601")</f>
        <v>0901 644 601</v>
      </c>
      <c r="B4153" s="119" t="str">
        <f>IFERROR(__xludf.DUMMYFUNCTION("""COMPUTED_VALUE"""),"Em Thảo")</f>
        <v>Em Thảo</v>
      </c>
      <c r="C4153" s="119" t="str">
        <f>IFERROR(__xludf.DUMMYFUNCTION("""COMPUTED_VALUE"""),"5/53 Hàm Nghi")</f>
        <v>5/53 Hàm Nghi</v>
      </c>
      <c r="D4153" s="119" t="str">
        <f>IFERROR(__xludf.DUMMYFUNCTION("""COMPUTED_VALUE"""),"Mèo")</f>
        <v>Mèo</v>
      </c>
      <c r="E4153" s="119"/>
    </row>
    <row r="4154" ht="15.75" customHeight="1">
      <c r="A4154" s="122" t="str">
        <f>IFERROR(__xludf.DUMMYFUNCTION("""COMPUTED_VALUE"""),"0935 726 753")</f>
        <v>0935 726 753</v>
      </c>
      <c r="B4154" s="119" t="str">
        <f>IFERROR(__xludf.DUMMYFUNCTION("""COMPUTED_VALUE"""),"Võ Đình Hiền Nhân")</f>
        <v>Võ Đình Hiền Nhân</v>
      </c>
      <c r="C4154" s="119" t="str">
        <f>IFERROR(__xludf.DUMMYFUNCTION("""COMPUTED_VALUE"""),"79 Thiên Thai")</f>
        <v>79 Thiên Thai</v>
      </c>
      <c r="D4154" s="119" t="str">
        <f>IFERROR(__xludf.DUMMYFUNCTION("""COMPUTED_VALUE"""),"Mèo")</f>
        <v>Mèo</v>
      </c>
      <c r="E4154" s="119" t="str">
        <f>IFERROR(__xludf.DUMMYFUNCTION("""COMPUTED_VALUE"""),"Mun")</f>
        <v>Mun</v>
      </c>
    </row>
    <row r="4155" ht="15.75" customHeight="1">
      <c r="A4155" s="122" t="str">
        <f>IFERROR(__xludf.DUMMYFUNCTION("""COMPUTED_VALUE"""),"0774 567 448")</f>
        <v>0774 567 448</v>
      </c>
      <c r="B4155" s="119" t="str">
        <f>IFERROR(__xludf.DUMMYFUNCTION("""COMPUTED_VALUE"""),"Chị Dư")</f>
        <v>Chị Dư</v>
      </c>
      <c r="C4155" s="119" t="str">
        <f>IFERROR(__xludf.DUMMYFUNCTION("""COMPUTED_VALUE"""),"11/14 Nguyễn Phúc Lan")</f>
        <v>11/14 Nguyễn Phúc Lan</v>
      </c>
      <c r="D4155" s="119" t="str">
        <f>IFERROR(__xludf.DUMMYFUNCTION("""COMPUTED_VALUE"""),"chó")</f>
        <v>chó</v>
      </c>
      <c r="E4155" s="119" t="str">
        <f>IFERROR(__xludf.DUMMYFUNCTION("""COMPUTED_VALUE"""),"Cafe")</f>
        <v>Cafe</v>
      </c>
    </row>
    <row r="4156" ht="15.75" customHeight="1">
      <c r="A4156" s="122" t="str">
        <f>IFERROR(__xludf.DUMMYFUNCTION("""COMPUTED_VALUE"""),"0983 560 415")</f>
        <v>0983 560 415</v>
      </c>
      <c r="B4156" s="119" t="str">
        <f>IFERROR(__xludf.DUMMYFUNCTION("""COMPUTED_VALUE"""),"Chị Bích Thuỷ")</f>
        <v>Chị Bích Thuỷ</v>
      </c>
      <c r="C4156" s="119" t="str">
        <f>IFERROR(__xludf.DUMMYFUNCTION("""COMPUTED_VALUE"""),"Tứ Hạ")</f>
        <v>Tứ Hạ</v>
      </c>
      <c r="D4156" s="119" t="str">
        <f>IFERROR(__xludf.DUMMYFUNCTION("""COMPUTED_VALUE"""),"Mèo")</f>
        <v>Mèo</v>
      </c>
      <c r="E4156" s="119" t="str">
        <f>IFERROR(__xludf.DUMMYFUNCTION("""COMPUTED_VALUE"""),"Milu")</f>
        <v>Milu</v>
      </c>
    </row>
    <row r="4157" ht="15.75" customHeight="1">
      <c r="A4157" s="122" t="str">
        <f>IFERROR(__xludf.DUMMYFUNCTION("""COMPUTED_VALUE"""),"0382 881 547")</f>
        <v>0382 881 547</v>
      </c>
      <c r="B4157" s="119" t="str">
        <f>IFERROR(__xludf.DUMMYFUNCTION("""COMPUTED_VALUE"""),"Dì Lành")</f>
        <v>Dì Lành</v>
      </c>
      <c r="C4157" s="119" t="str">
        <f>IFERROR(__xludf.DUMMYFUNCTION("""COMPUTED_VALUE"""),"53/5/1 Phạm Thị Liên")</f>
        <v>53/5/1 Phạm Thị Liên</v>
      </c>
      <c r="D4157" s="119" t="str">
        <f>IFERROR(__xludf.DUMMYFUNCTION("""COMPUTED_VALUE"""),"chó")</f>
        <v>chó</v>
      </c>
      <c r="E4157" s="119" t="str">
        <f>IFERROR(__xludf.DUMMYFUNCTION("""COMPUTED_VALUE"""),"Bơ")</f>
        <v>Bơ</v>
      </c>
    </row>
    <row r="4158" ht="15.75" customHeight="1">
      <c r="A4158" s="122" t="str">
        <f>IFERROR(__xludf.DUMMYFUNCTION("""COMPUTED_VALUE"""),"0766 655 638")</f>
        <v>0766 655 638</v>
      </c>
      <c r="B4158" s="119" t="str">
        <f>IFERROR(__xludf.DUMMYFUNCTION("""COMPUTED_VALUE"""),"Nguyễn Anh Thư")</f>
        <v>Nguyễn Anh Thư</v>
      </c>
      <c r="C4158" s="119" t="str">
        <f>IFERROR(__xludf.DUMMYFUNCTION("""COMPUTED_VALUE"""),"8/99 Nguyễn Huệ")</f>
        <v>8/99 Nguyễn Huệ</v>
      </c>
      <c r="D4158" s="119" t="str">
        <f>IFERROR(__xludf.DUMMYFUNCTION("""COMPUTED_VALUE"""),"Chó")</f>
        <v>Chó</v>
      </c>
      <c r="E4158" s="119" t="str">
        <f>IFERROR(__xludf.DUMMYFUNCTION("""COMPUTED_VALUE"""),"Bun")</f>
        <v>Bun</v>
      </c>
    </row>
    <row r="4159" ht="15.75" customHeight="1">
      <c r="A4159" s="122" t="str">
        <f>IFERROR(__xludf.DUMMYFUNCTION("""COMPUTED_VALUE"""),"0766 777 000")</f>
        <v>0766 777 000</v>
      </c>
      <c r="B4159" s="119" t="str">
        <f>IFERROR(__xludf.DUMMYFUNCTION("""COMPUTED_VALUE"""),"Anh Hưng")</f>
        <v>Anh Hưng</v>
      </c>
      <c r="C4159" s="119" t="str">
        <f>IFERROR(__xludf.DUMMYFUNCTION("""COMPUTED_VALUE"""),"57 Vạn Xuân")</f>
        <v>57 Vạn Xuân</v>
      </c>
      <c r="D4159" s="119" t="str">
        <f>IFERROR(__xludf.DUMMYFUNCTION("""COMPUTED_VALUE"""),"chó")</f>
        <v>chó</v>
      </c>
      <c r="E4159" s="119" t="str">
        <f>IFERROR(__xludf.DUMMYFUNCTION("""COMPUTED_VALUE"""),"Ky")</f>
        <v>Ky</v>
      </c>
    </row>
    <row r="4160" ht="15.75" customHeight="1">
      <c r="A4160" s="122" t="str">
        <f>IFERROR(__xludf.DUMMYFUNCTION("""COMPUTED_VALUE"""),"0363 036 806")</f>
        <v>0363 036 806</v>
      </c>
      <c r="B4160" s="119" t="str">
        <f>IFERROR(__xludf.DUMMYFUNCTION("""COMPUTED_VALUE"""),"Thuận")</f>
        <v>Thuận</v>
      </c>
      <c r="C4160" s="119" t="str">
        <f>IFERROR(__xludf.DUMMYFUNCTION("""COMPUTED_VALUE"""),"3 Nguyễn Duy Hiệu")</f>
        <v>3 Nguyễn Duy Hiệu</v>
      </c>
      <c r="D4160" s="119" t="str">
        <f>IFERROR(__xludf.DUMMYFUNCTION("""COMPUTED_VALUE"""),"Mèo")</f>
        <v>Mèo</v>
      </c>
      <c r="E4160" s="119"/>
    </row>
    <row r="4161" ht="15.75" customHeight="1">
      <c r="A4161" s="122" t="str">
        <f>IFERROR(__xludf.DUMMYFUNCTION("""COMPUTED_VALUE"""),"0834 251 223")</f>
        <v>0834 251 223</v>
      </c>
      <c r="B4161" s="119" t="str">
        <f>IFERROR(__xludf.DUMMYFUNCTION("""COMPUTED_VALUE"""),"Anh Nam")</f>
        <v>Anh Nam</v>
      </c>
      <c r="C4161" s="119" t="str">
        <f>IFERROR(__xludf.DUMMYFUNCTION("""COMPUTED_VALUE"""),"93 Ngự Bình")</f>
        <v>93 Ngự Bình</v>
      </c>
      <c r="D4161" s="119" t="str">
        <f>IFERROR(__xludf.DUMMYFUNCTION("""COMPUTED_VALUE"""),"mèo")</f>
        <v>mèo</v>
      </c>
      <c r="E4161" s="119" t="str">
        <f>IFERROR(__xludf.DUMMYFUNCTION("""COMPUTED_VALUE"""),"Bí")</f>
        <v>Bí</v>
      </c>
    </row>
    <row r="4162" ht="15.75" customHeight="1">
      <c r="A4162" s="122" t="str">
        <f>IFERROR(__xludf.DUMMYFUNCTION("""COMPUTED_VALUE"""),"0364 654 140")</f>
        <v>0364 654 140</v>
      </c>
      <c r="B4162" s="119" t="str">
        <f>IFERROR(__xludf.DUMMYFUNCTION("""COMPUTED_VALUE"""),"Nguyễn Văn Thành")</f>
        <v>Nguyễn Văn Thành</v>
      </c>
      <c r="C4162" s="119" t="str">
        <f>IFERROR(__xludf.DUMMYFUNCTION("""COMPUTED_VALUE"""),"Lộc Thuỷ")</f>
        <v>Lộc Thuỷ</v>
      </c>
      <c r="D4162" s="119" t="str">
        <f>IFERROR(__xludf.DUMMYFUNCTION("""COMPUTED_VALUE"""),"chó")</f>
        <v>chó</v>
      </c>
      <c r="E4162" s="119" t="str">
        <f>IFERROR(__xludf.DUMMYFUNCTION("""COMPUTED_VALUE"""),"Dola")</f>
        <v>Dola</v>
      </c>
    </row>
    <row r="4163" ht="15.75" customHeight="1">
      <c r="A4163" s="122" t="str">
        <f>IFERROR(__xludf.DUMMYFUNCTION("""COMPUTED_VALUE"""),"0763 712 735")</f>
        <v>0763 712 735</v>
      </c>
      <c r="B4163" s="119" t="str">
        <f>IFERROR(__xludf.DUMMYFUNCTION("""COMPUTED_VALUE"""),"Anh Long")</f>
        <v>Anh Long</v>
      </c>
      <c r="C4163" s="119"/>
      <c r="D4163" s="119" t="str">
        <f>IFERROR(__xludf.DUMMYFUNCTION("""COMPUTED_VALUE"""),"mèo")</f>
        <v>mèo</v>
      </c>
      <c r="E4163" s="119"/>
    </row>
    <row r="4164" ht="15.75" customHeight="1">
      <c r="A4164" s="122" t="str">
        <f>IFERROR(__xludf.DUMMYFUNCTION("""COMPUTED_VALUE"""),"0914 145 090")</f>
        <v>0914 145 090</v>
      </c>
      <c r="B4164" s="119" t="str">
        <f>IFERROR(__xludf.DUMMYFUNCTION("""COMPUTED_VALUE"""),"Bác Giáo")</f>
        <v>Bác Giáo</v>
      </c>
      <c r="C4164" s="119" t="str">
        <f>IFERROR(__xludf.DUMMYFUNCTION("""COMPUTED_VALUE"""),"16 Bến Nghé")</f>
        <v>16 Bến Nghé</v>
      </c>
      <c r="D4164" s="119" t="str">
        <f>IFERROR(__xludf.DUMMYFUNCTION("""COMPUTED_VALUE"""),"chó")</f>
        <v>chó</v>
      </c>
      <c r="E4164" s="119" t="str">
        <f>IFERROR(__xludf.DUMMYFUNCTION("""COMPUTED_VALUE"""),"LiLi")</f>
        <v>LiLi</v>
      </c>
    </row>
    <row r="4165" ht="15.75" customHeight="1">
      <c r="A4165" s="122" t="str">
        <f>IFERROR(__xludf.DUMMYFUNCTION("""COMPUTED_VALUE"""),"0786 667 890")</f>
        <v>0786 667 890</v>
      </c>
      <c r="B4165" s="119" t="str">
        <f>IFERROR(__xludf.DUMMYFUNCTION("""COMPUTED_VALUE"""),"Anh Khanh")</f>
        <v>Anh Khanh</v>
      </c>
      <c r="C4165" s="119" t="str">
        <f>IFERROR(__xludf.DUMMYFUNCTION("""COMPUTED_VALUE"""),"Phú Dương")</f>
        <v>Phú Dương</v>
      </c>
      <c r="D4165" s="119" t="str">
        <f>IFERROR(__xludf.DUMMYFUNCTION("""COMPUTED_VALUE"""),"chó")</f>
        <v>chó</v>
      </c>
      <c r="E4165" s="119" t="str">
        <f>IFERROR(__xludf.DUMMYFUNCTION("""COMPUTED_VALUE"""),"Đơ")</f>
        <v>Đơ</v>
      </c>
    </row>
    <row r="4166" ht="15.75" customHeight="1">
      <c r="A4166" s="122" t="str">
        <f>IFERROR(__xludf.DUMMYFUNCTION("""COMPUTED_VALUE"""),"0333 069 889")</f>
        <v>0333 069 889</v>
      </c>
      <c r="B4166" s="119" t="str">
        <f>IFERROR(__xludf.DUMMYFUNCTION("""COMPUTED_VALUE"""),"Chị Nhi")</f>
        <v>Chị Nhi</v>
      </c>
      <c r="C4166" s="119" t="str">
        <f>IFERROR(__xludf.DUMMYFUNCTION("""COMPUTED_VALUE"""),"56 Phạm Thị Liên")</f>
        <v>56 Phạm Thị Liên</v>
      </c>
      <c r="D4166" s="119" t="str">
        <f>IFERROR(__xludf.DUMMYFUNCTION("""COMPUTED_VALUE"""),"Chó")</f>
        <v>Chó</v>
      </c>
      <c r="E4166" s="119" t="str">
        <f>IFERROR(__xludf.DUMMYFUNCTION("""COMPUTED_VALUE"""),"Mèo")</f>
        <v>Mèo</v>
      </c>
    </row>
    <row r="4167" ht="15.75" customHeight="1">
      <c r="A4167" s="122" t="str">
        <f>IFERROR(__xludf.DUMMYFUNCTION("""COMPUTED_VALUE"""),"0964 998 244")</f>
        <v>0964 998 244</v>
      </c>
      <c r="B4167" s="119" t="str">
        <f>IFERROR(__xludf.DUMMYFUNCTION("""COMPUTED_VALUE"""),"Chị Nhi")</f>
        <v>Chị Nhi</v>
      </c>
      <c r="C4167" s="119" t="str">
        <f>IFERROR(__xludf.DUMMYFUNCTION("""COMPUTED_VALUE"""),"15/103 Nguyễn Hữu Cảnh")</f>
        <v>15/103 Nguyễn Hữu Cảnh</v>
      </c>
      <c r="D4167" s="119" t="str">
        <f>IFERROR(__xludf.DUMMYFUNCTION("""COMPUTED_VALUE"""),"Chó")</f>
        <v>Chó</v>
      </c>
      <c r="E4167" s="119" t="str">
        <f>IFERROR(__xludf.DUMMYFUNCTION("""COMPUTED_VALUE"""),"Kheo")</f>
        <v>Kheo</v>
      </c>
    </row>
    <row r="4168" ht="15.75" customHeight="1">
      <c r="A4168" s="122" t="str">
        <f>IFERROR(__xludf.DUMMYFUNCTION("""COMPUTED_VALUE"""),"0935 787 139")</f>
        <v>0935 787 139</v>
      </c>
      <c r="B4168" s="119" t="str">
        <f>IFERROR(__xludf.DUMMYFUNCTION("""COMPUTED_VALUE"""),"Anh Sơn")</f>
        <v>Anh Sơn</v>
      </c>
      <c r="C4168" s="119" t="str">
        <f>IFERROR(__xludf.DUMMYFUNCTION("""COMPUTED_VALUE"""),"44 Xuân Thủy")</f>
        <v>44 Xuân Thủy</v>
      </c>
      <c r="D4168" s="119" t="str">
        <f>IFERROR(__xludf.DUMMYFUNCTION("""COMPUTED_VALUE"""),"chó")</f>
        <v>chó</v>
      </c>
      <c r="E4168" s="119" t="str">
        <f>IFERROR(__xludf.DUMMYFUNCTION("""COMPUTED_VALUE"""),"Nâu")</f>
        <v>Nâu</v>
      </c>
    </row>
    <row r="4169" ht="15.75" customHeight="1">
      <c r="A4169" s="122" t="str">
        <f>IFERROR(__xludf.DUMMYFUNCTION("""COMPUTED_VALUE"""),"0384 264 257")</f>
        <v>0384 264 257</v>
      </c>
      <c r="B4169" s="119" t="str">
        <f>IFERROR(__xludf.DUMMYFUNCTION("""COMPUTED_VALUE"""),"Hoàng")</f>
        <v>Hoàng</v>
      </c>
      <c r="C4169" s="119" t="str">
        <f>IFERROR(__xludf.DUMMYFUNCTION("""COMPUTED_VALUE"""),"2/1 Chế Lan Viên")</f>
        <v>2/1 Chế Lan Viên</v>
      </c>
      <c r="D4169" s="119" t="str">
        <f>IFERROR(__xludf.DUMMYFUNCTION("""COMPUTED_VALUE"""),"Mèo")</f>
        <v>Mèo</v>
      </c>
      <c r="E4169" s="119"/>
    </row>
    <row r="4170" ht="15.75" customHeight="1">
      <c r="A4170" s="122" t="str">
        <f>IFERROR(__xludf.DUMMYFUNCTION("""COMPUTED_VALUE"""),"0903 575 766")</f>
        <v>0903 575 766</v>
      </c>
      <c r="B4170" s="119" t="str">
        <f>IFERROR(__xludf.DUMMYFUNCTION("""COMPUTED_VALUE"""),"Trần Hoàng Nguyên")</f>
        <v>Trần Hoàng Nguyên</v>
      </c>
      <c r="C4170" s="119" t="str">
        <f>IFERROR(__xludf.DUMMYFUNCTION("""COMPUTED_VALUE"""),"4 Hùng Vương")</f>
        <v>4 Hùng Vương</v>
      </c>
      <c r="D4170" s="119" t="str">
        <f>IFERROR(__xludf.DUMMYFUNCTION("""COMPUTED_VALUE"""),"Chó")</f>
        <v>Chó</v>
      </c>
      <c r="E4170" s="119" t="str">
        <f>IFERROR(__xludf.DUMMYFUNCTION("""COMPUTED_VALUE"""),"Phin")</f>
        <v>Phin</v>
      </c>
    </row>
    <row r="4171" ht="15.75" customHeight="1">
      <c r="A4171" s="122" t="str">
        <f>IFERROR(__xludf.DUMMYFUNCTION("""COMPUTED_VALUE"""),"0899 876 388")</f>
        <v>0899 876 388</v>
      </c>
      <c r="B4171" s="119" t="str">
        <f>IFERROR(__xludf.DUMMYFUNCTION("""COMPUTED_VALUE"""),"Minh Thư")</f>
        <v>Minh Thư</v>
      </c>
      <c r="C4171" s="119" t="str">
        <f>IFERROR(__xludf.DUMMYFUNCTION("""COMPUTED_VALUE"""),"16/11 Phan Bội Châu")</f>
        <v>16/11 Phan Bội Châu</v>
      </c>
      <c r="D4171" s="119" t="str">
        <f>IFERROR(__xludf.DUMMYFUNCTION("""COMPUTED_VALUE"""),"Chó")</f>
        <v>Chó</v>
      </c>
      <c r="E4171" s="119"/>
    </row>
    <row r="4172" ht="15.75" customHeight="1">
      <c r="A4172" s="122" t="str">
        <f>IFERROR(__xludf.DUMMYFUNCTION("""COMPUTED_VALUE"""),"0846 291 200")</f>
        <v>0846 291 200</v>
      </c>
      <c r="B4172" s="119" t="str">
        <f>IFERROR(__xludf.DUMMYFUNCTION("""COMPUTED_VALUE"""),"Em Đạt")</f>
        <v>Em Đạt</v>
      </c>
      <c r="C4172" s="119" t="str">
        <f>IFERROR(__xludf.DUMMYFUNCTION("""COMPUTED_VALUE"""),"352 Phan Bội Châu")</f>
        <v>352 Phan Bội Châu</v>
      </c>
      <c r="D4172" s="119" t="str">
        <f>IFERROR(__xludf.DUMMYFUNCTION("""COMPUTED_VALUE"""),"Chó")</f>
        <v>Chó</v>
      </c>
      <c r="E4172" s="119"/>
    </row>
    <row r="4173" ht="15.75" customHeight="1">
      <c r="A4173" s="122" t="str">
        <f>IFERROR(__xludf.DUMMYFUNCTION("""COMPUTED_VALUE"""),"0367 507 150/0932 401 104")</f>
        <v>0367 507 150/0932 401 104</v>
      </c>
      <c r="B4173" s="119" t="str">
        <f>IFERROR(__xludf.DUMMYFUNCTION("""COMPUTED_VALUE"""),"Anh Vũ /Anh Thà")</f>
        <v>Anh Vũ /Anh Thà</v>
      </c>
      <c r="C4173" s="119" t="str">
        <f>IFERROR(__xludf.DUMMYFUNCTION("""COMPUTED_VALUE"""),"Phú Lộc")</f>
        <v>Phú Lộc</v>
      </c>
      <c r="D4173" s="119" t="str">
        <f>IFERROR(__xludf.DUMMYFUNCTION("""COMPUTED_VALUE"""),"Chó")</f>
        <v>Chó</v>
      </c>
      <c r="E4173" s="119" t="str">
        <f>IFERROR(__xludf.DUMMYFUNCTION("""COMPUTED_VALUE"""),"phơ")</f>
        <v>phơ</v>
      </c>
    </row>
    <row r="4174" ht="15.75" customHeight="1">
      <c r="A4174" s="122" t="str">
        <f>IFERROR(__xludf.DUMMYFUNCTION("""COMPUTED_VALUE"""),"0702 494 930")</f>
        <v>0702 494 930</v>
      </c>
      <c r="B4174" s="119" t="str">
        <f>IFERROR(__xludf.DUMMYFUNCTION("""COMPUTED_VALUE"""),"Đặng Thị Xuân")</f>
        <v>Đặng Thị Xuân</v>
      </c>
      <c r="C4174" s="119" t="str">
        <f>IFERROR(__xludf.DUMMYFUNCTION("""COMPUTED_VALUE"""),"176 Ngự Bình")</f>
        <v>176 Ngự Bình</v>
      </c>
      <c r="D4174" s="119" t="str">
        <f>IFERROR(__xludf.DUMMYFUNCTION("""COMPUTED_VALUE"""),"Chó")</f>
        <v>Chó</v>
      </c>
      <c r="E4174" s="119" t="str">
        <f>IFERROR(__xludf.DUMMYFUNCTION("""COMPUTED_VALUE"""),"Êdin")</f>
        <v>Êdin</v>
      </c>
    </row>
    <row r="4175" ht="15.75" customHeight="1">
      <c r="A4175" s="122" t="str">
        <f>IFERROR(__xludf.DUMMYFUNCTION("""COMPUTED_VALUE"""),"0946 901 927")</f>
        <v>0946 901 927</v>
      </c>
      <c r="B4175" s="119" t="str">
        <f>IFERROR(__xludf.DUMMYFUNCTION("""COMPUTED_VALUE"""),"Như Ý")</f>
        <v>Như Ý</v>
      </c>
      <c r="C4175" s="119" t="str">
        <f>IFERROR(__xludf.DUMMYFUNCTION("""COMPUTED_VALUE"""),"Thích Nữ Diệu Không")</f>
        <v>Thích Nữ Diệu Không</v>
      </c>
      <c r="D4175" s="119" t="str">
        <f>IFERROR(__xludf.DUMMYFUNCTION("""COMPUTED_VALUE"""),"Chó")</f>
        <v>Chó</v>
      </c>
      <c r="E4175" s="119" t="str">
        <f>IFERROR(__xludf.DUMMYFUNCTION("""COMPUTED_VALUE"""),"Min")</f>
        <v>Min</v>
      </c>
    </row>
    <row r="4176" ht="15.75" customHeight="1">
      <c r="A4176" s="122" t="str">
        <f>IFERROR(__xludf.DUMMYFUNCTION("""COMPUTED_VALUE"""),"0794 418 145")</f>
        <v>0794 418 145</v>
      </c>
      <c r="B4176" s="119" t="str">
        <f>IFERROR(__xludf.DUMMYFUNCTION("""COMPUTED_VALUE"""),"Em Ngân")</f>
        <v>Em Ngân</v>
      </c>
      <c r="C4176" s="119" t="str">
        <f>IFERROR(__xludf.DUMMYFUNCTION("""COMPUTED_VALUE"""),"8/245 phan bội Châu")</f>
        <v>8/245 phan bội Châu</v>
      </c>
      <c r="D4176" s="119" t="str">
        <f>IFERROR(__xludf.DUMMYFUNCTION("""COMPUTED_VALUE"""),"mèo")</f>
        <v>mèo</v>
      </c>
      <c r="E4176" s="119" t="str">
        <f>IFERROR(__xludf.DUMMYFUNCTION("""COMPUTED_VALUE"""),"Đậu ")</f>
        <v>Đậu </v>
      </c>
    </row>
    <row r="4177" ht="15.75" customHeight="1">
      <c r="A4177" s="122" t="str">
        <f>IFERROR(__xludf.DUMMYFUNCTION("""COMPUTED_VALUE"""),"0793 576 169")</f>
        <v>0793 576 169</v>
      </c>
      <c r="B4177" s="119" t="str">
        <f>IFERROR(__xludf.DUMMYFUNCTION("""COMPUTED_VALUE"""),"Dì Quyên")</f>
        <v>Dì Quyên</v>
      </c>
      <c r="C4177" s="119" t="str">
        <f>IFERROR(__xludf.DUMMYFUNCTION("""COMPUTED_VALUE"""),"14 Lê Đình Thái")</f>
        <v>14 Lê Đình Thái</v>
      </c>
      <c r="D4177" s="119" t="str">
        <f>IFERROR(__xludf.DUMMYFUNCTION("""COMPUTED_VALUE"""),"Chó")</f>
        <v>Chó</v>
      </c>
      <c r="E4177" s="119"/>
    </row>
    <row r="4178" ht="15.75" customHeight="1">
      <c r="A4178" s="122" t="str">
        <f>IFERROR(__xludf.DUMMYFUNCTION("""COMPUTED_VALUE"""),"0911 348 292")</f>
        <v>0911 348 292</v>
      </c>
      <c r="B4178" s="119" t="str">
        <f>IFERROR(__xludf.DUMMYFUNCTION("""COMPUTED_VALUE"""),"Dì Quỳnh")</f>
        <v>Dì Quỳnh</v>
      </c>
      <c r="C4178" s="119" t="str">
        <f>IFERROR(__xludf.DUMMYFUNCTION("""COMPUTED_VALUE"""),"k13 Phan Kế Bính")</f>
        <v>k13 Phan Kế Bính</v>
      </c>
      <c r="D4178" s="119" t="str">
        <f>IFERROR(__xludf.DUMMYFUNCTION("""COMPUTED_VALUE"""),"Chó")</f>
        <v>Chó</v>
      </c>
      <c r="E4178" s="119"/>
    </row>
    <row r="4179" ht="15.75" customHeight="1">
      <c r="A4179" s="122" t="str">
        <f>IFERROR(__xludf.DUMMYFUNCTION("""COMPUTED_VALUE"""),"0832 307 270")</f>
        <v>0832 307 270</v>
      </c>
      <c r="B4179" s="119" t="str">
        <f>IFERROR(__xludf.DUMMYFUNCTION("""COMPUTED_VALUE"""),"Trường An")</f>
        <v>Trường An</v>
      </c>
      <c r="C4179" s="119" t="str">
        <f>IFERROR(__xludf.DUMMYFUNCTION("""COMPUTED_VALUE"""),"51/19 Nguyễn Sinh Cung")</f>
        <v>51/19 Nguyễn Sinh Cung</v>
      </c>
      <c r="D4179" s="119" t="str">
        <f>IFERROR(__xludf.DUMMYFUNCTION("""COMPUTED_VALUE"""),"mèo")</f>
        <v>mèo</v>
      </c>
      <c r="E4179" s="119"/>
    </row>
    <row r="4180" ht="15.75" customHeight="1">
      <c r="A4180" s="122" t="str">
        <f>IFERROR(__xludf.DUMMYFUNCTION("""COMPUTED_VALUE"""),"0961 959 994")</f>
        <v>0961 959 994</v>
      </c>
      <c r="B4180" s="119" t="str">
        <f>IFERROR(__xludf.DUMMYFUNCTION("""COMPUTED_VALUE"""),"Anh Hoàng Thế Hùng")</f>
        <v>Anh Hoàng Thế Hùng</v>
      </c>
      <c r="C4180" s="119" t="str">
        <f>IFERROR(__xludf.DUMMYFUNCTION("""COMPUTED_VALUE"""),"20/60/91 k131 Trần Phú")</f>
        <v>20/60/91 k131 Trần Phú</v>
      </c>
      <c r="D4180" s="119" t="str">
        <f>IFERROR(__xludf.DUMMYFUNCTION("""COMPUTED_VALUE"""),"chó")</f>
        <v>chó</v>
      </c>
      <c r="E4180" s="119" t="str">
        <f>IFERROR(__xludf.DUMMYFUNCTION("""COMPUTED_VALUE"""),"Nick")</f>
        <v>Nick</v>
      </c>
    </row>
    <row r="4181" ht="15.75" customHeight="1">
      <c r="A4181" s="122" t="str">
        <f>IFERROR(__xludf.DUMMYFUNCTION("""COMPUTED_VALUE"""),"0905 802 121")</f>
        <v>0905 802 121</v>
      </c>
      <c r="B4181" s="119" t="str">
        <f>IFERROR(__xludf.DUMMYFUNCTION("""COMPUTED_VALUE"""),"Anh Thế Vũ ")</f>
        <v>Anh Thế Vũ </v>
      </c>
      <c r="C4181" s="119" t="str">
        <f>IFERROR(__xludf.DUMMYFUNCTION("""COMPUTED_VALUE"""),"57 Xuân Diệu")</f>
        <v>57 Xuân Diệu</v>
      </c>
      <c r="D4181" s="119" t="str">
        <f>IFERROR(__xludf.DUMMYFUNCTION("""COMPUTED_VALUE"""),"chó")</f>
        <v>chó</v>
      </c>
      <c r="E4181" s="119" t="str">
        <f>IFERROR(__xludf.DUMMYFUNCTION("""COMPUTED_VALUE"""),"Lu")</f>
        <v>Lu</v>
      </c>
    </row>
    <row r="4182" ht="15.75" customHeight="1">
      <c r="A4182" s="122" t="str">
        <f>IFERROR(__xludf.DUMMYFUNCTION("""COMPUTED_VALUE"""),"0938 324 426")</f>
        <v>0938 324 426</v>
      </c>
      <c r="B4182" s="119" t="str">
        <f>IFERROR(__xludf.DUMMYFUNCTION("""COMPUTED_VALUE"""),"Hồng Ngọc")</f>
        <v>Hồng Ngọc</v>
      </c>
      <c r="C4182" s="119" t="str">
        <f>IFERROR(__xludf.DUMMYFUNCTION("""COMPUTED_VALUE"""),"4 Ngô Hà Thủy Biều")</f>
        <v>4 Ngô Hà Thủy Biều</v>
      </c>
      <c r="D4182" s="119" t="str">
        <f>IFERROR(__xludf.DUMMYFUNCTION("""COMPUTED_VALUE"""),"chó")</f>
        <v>chó</v>
      </c>
      <c r="E4182" s="119" t="str">
        <f>IFERROR(__xludf.DUMMYFUNCTION("""COMPUTED_VALUE"""),"Gold")</f>
        <v>Gold</v>
      </c>
    </row>
    <row r="4183" ht="15.75" customHeight="1">
      <c r="A4183" s="122" t="str">
        <f>IFERROR(__xludf.DUMMYFUNCTION("""COMPUTED_VALUE"""),"0394 211 409")</f>
        <v>0394 211 409</v>
      </c>
      <c r="B4183" s="119" t="str">
        <f>IFERROR(__xludf.DUMMYFUNCTION("""COMPUTED_VALUE"""),"Lê Hoài Nam")</f>
        <v>Lê Hoài Nam</v>
      </c>
      <c r="C4183" s="119" t="str">
        <f>IFERROR(__xludf.DUMMYFUNCTION("""COMPUTED_VALUE"""),"4b k 99 Đặng Huy Trứ")</f>
        <v>4b k 99 Đặng Huy Trứ</v>
      </c>
      <c r="D4183" s="119" t="str">
        <f>IFERROR(__xludf.DUMMYFUNCTION("""COMPUTED_VALUE"""),"chó")</f>
        <v>chó</v>
      </c>
      <c r="E4183" s="119" t="str">
        <f>IFERROR(__xludf.DUMMYFUNCTION("""COMPUTED_VALUE"""),"mèo")</f>
        <v>mèo</v>
      </c>
    </row>
    <row r="4184" ht="15.75" customHeight="1">
      <c r="A4184" s="122" t="str">
        <f>IFERROR(__xludf.DUMMYFUNCTION("""COMPUTED_VALUE"""),"0702 662 290")</f>
        <v>0702 662 290</v>
      </c>
      <c r="B4184" s="119" t="str">
        <f>IFERROR(__xludf.DUMMYFUNCTION("""COMPUTED_VALUE"""),"Nam Anh")</f>
        <v>Nam Anh</v>
      </c>
      <c r="C4184" s="119" t="str">
        <f>IFERROR(__xludf.DUMMYFUNCTION("""COMPUTED_VALUE"""),"KQH Bầu Vá")</f>
        <v>KQH Bầu Vá</v>
      </c>
      <c r="D4184" s="119" t="str">
        <f>IFERROR(__xludf.DUMMYFUNCTION("""COMPUTED_VALUE"""),"chó")</f>
        <v>chó</v>
      </c>
      <c r="E4184" s="119"/>
    </row>
    <row r="4185" ht="15.75" customHeight="1">
      <c r="A4185" s="122" t="str">
        <f>IFERROR(__xludf.DUMMYFUNCTION("""COMPUTED_VALUE"""),"0963 347 306")</f>
        <v>0963 347 306</v>
      </c>
      <c r="B4185" s="119" t="str">
        <f>IFERROR(__xludf.DUMMYFUNCTION("""COMPUTED_VALUE"""),"Chị Hương")</f>
        <v>Chị Hương</v>
      </c>
      <c r="C4185" s="119" t="str">
        <f>IFERROR(__xludf.DUMMYFUNCTION("""COMPUTED_VALUE"""),"Bầu Vá")</f>
        <v>Bầu Vá</v>
      </c>
      <c r="D4185" s="119" t="str">
        <f>IFERROR(__xludf.DUMMYFUNCTION("""COMPUTED_VALUE"""),"mèo")</f>
        <v>mèo</v>
      </c>
      <c r="E4185" s="119" t="str">
        <f>IFERROR(__xludf.DUMMYFUNCTION("""COMPUTED_VALUE"""),"Heo")</f>
        <v>Heo</v>
      </c>
    </row>
    <row r="4186" ht="15.75" customHeight="1">
      <c r="A4186" s="122" t="str">
        <f>IFERROR(__xludf.DUMMYFUNCTION("""COMPUTED_VALUE"""),"0775 554 441")</f>
        <v>0775 554 441</v>
      </c>
      <c r="B4186" s="119" t="str">
        <f>IFERROR(__xludf.DUMMYFUNCTION("""COMPUTED_VALUE"""),"Chị Tiên")</f>
        <v>Chị Tiên</v>
      </c>
      <c r="C4186" s="119" t="str">
        <f>IFERROR(__xludf.DUMMYFUNCTION("""COMPUTED_VALUE"""),"75 Nguyễn Phúc Thái")</f>
        <v>75 Nguyễn Phúc Thái</v>
      </c>
      <c r="D4186" s="119" t="str">
        <f>IFERROR(__xludf.DUMMYFUNCTION("""COMPUTED_VALUE"""),"chó")</f>
        <v>chó</v>
      </c>
      <c r="E4186" s="119" t="str">
        <f>IFERROR(__xludf.DUMMYFUNCTION("""COMPUTED_VALUE"""),"nâu")</f>
        <v>nâu</v>
      </c>
    </row>
    <row r="4187" ht="15.75" customHeight="1">
      <c r="A4187" s="122" t="str">
        <f>IFERROR(__xludf.DUMMYFUNCTION("""COMPUTED_VALUE"""),"0865 625 734")</f>
        <v>0865 625 734</v>
      </c>
      <c r="B4187" s="119" t="str">
        <f>IFERROR(__xludf.DUMMYFUNCTION("""COMPUTED_VALUE"""),"Em Đạt ")</f>
        <v>Em Đạt </v>
      </c>
      <c r="C4187" s="119" t="str">
        <f>IFERROR(__xludf.DUMMYFUNCTION("""COMPUTED_VALUE"""),"2/38 Tôn Thất Thuyết")</f>
        <v>2/38 Tôn Thất Thuyết</v>
      </c>
      <c r="D4187" s="119" t="str">
        <f>IFERROR(__xludf.DUMMYFUNCTION("""COMPUTED_VALUE"""),"mèo")</f>
        <v>mèo</v>
      </c>
      <c r="E4187" s="119" t="str">
        <f>IFERROR(__xludf.DUMMYFUNCTION("""COMPUTED_VALUE"""),"Mây")</f>
        <v>Mây</v>
      </c>
    </row>
    <row r="4188" ht="15.75" customHeight="1">
      <c r="A4188" s="122" t="str">
        <f>IFERROR(__xludf.DUMMYFUNCTION("""COMPUTED_VALUE"""),"0703 604 534")</f>
        <v>0703 604 534</v>
      </c>
      <c r="B4188" s="119" t="str">
        <f>IFERROR(__xludf.DUMMYFUNCTION("""COMPUTED_VALUE"""),"Em Tâm")</f>
        <v>Em Tâm</v>
      </c>
      <c r="C4188" s="119" t="str">
        <f>IFERROR(__xludf.DUMMYFUNCTION("""COMPUTED_VALUE"""),"28 Nguyễn Phúc Thụ")</f>
        <v>28 Nguyễn Phúc Thụ</v>
      </c>
      <c r="D4188" s="119" t="str">
        <f>IFERROR(__xludf.DUMMYFUNCTION("""COMPUTED_VALUE"""),"chó")</f>
        <v>chó</v>
      </c>
      <c r="E4188" s="119" t="str">
        <f>IFERROR(__xludf.DUMMYFUNCTION("""COMPUTED_VALUE"""),"Bông")</f>
        <v>Bông</v>
      </c>
    </row>
    <row r="4189" ht="15.75" customHeight="1">
      <c r="A4189" s="122" t="str">
        <f>IFERROR(__xludf.DUMMYFUNCTION("""COMPUTED_VALUE"""),"0775 538 682")</f>
        <v>0775 538 682</v>
      </c>
      <c r="B4189" s="119" t="str">
        <f>IFERROR(__xludf.DUMMYFUNCTION("""COMPUTED_VALUE"""),"Em Đạt sv")</f>
        <v>Em Đạt sv</v>
      </c>
      <c r="C4189" s="119" t="str">
        <f>IFERROR(__xludf.DUMMYFUNCTION("""COMPUTED_VALUE"""),"68 Đào Duy Anh")</f>
        <v>68 Đào Duy Anh</v>
      </c>
      <c r="D4189" s="119" t="str">
        <f>IFERROR(__xludf.DUMMYFUNCTION("""COMPUTED_VALUE"""),"chó")</f>
        <v>chó</v>
      </c>
      <c r="E4189" s="119" t="str">
        <f>IFERROR(__xludf.DUMMYFUNCTION("""COMPUTED_VALUE"""),"Ki")</f>
        <v>Ki</v>
      </c>
    </row>
    <row r="4190" ht="15.75" customHeight="1">
      <c r="A4190" s="122" t="str">
        <f>IFERROR(__xludf.DUMMYFUNCTION("""COMPUTED_VALUE"""),"0905 996 593")</f>
        <v>0905 996 593</v>
      </c>
      <c r="B4190" s="119" t="str">
        <f>IFERROR(__xludf.DUMMYFUNCTION("""COMPUTED_VALUE"""),"Anh Thành")</f>
        <v>Anh Thành</v>
      </c>
      <c r="C4190" s="119" t="str">
        <f>IFERROR(__xludf.DUMMYFUNCTION("""COMPUTED_VALUE"""),"48 Phạm Thị Liên")</f>
        <v>48 Phạm Thị Liên</v>
      </c>
      <c r="D4190" s="119" t="str">
        <f>IFERROR(__xludf.DUMMYFUNCTION("""COMPUTED_VALUE"""),"chó")</f>
        <v>chó</v>
      </c>
      <c r="E4190" s="119" t="str">
        <f>IFERROR(__xludf.DUMMYFUNCTION("""COMPUTED_VALUE"""),"vện")</f>
        <v>vện</v>
      </c>
    </row>
    <row r="4191" ht="15.75" customHeight="1">
      <c r="A4191" s="122" t="str">
        <f>IFERROR(__xludf.DUMMYFUNCTION("""COMPUTED_VALUE"""),"0773 344 650")</f>
        <v>0773 344 650</v>
      </c>
      <c r="B4191" s="119" t="str">
        <f>IFERROR(__xludf.DUMMYFUNCTION("""COMPUTED_VALUE"""),"Trương Thị Quế Trân")</f>
        <v>Trương Thị Quế Trân</v>
      </c>
      <c r="C4191" s="119" t="str">
        <f>IFERROR(__xludf.DUMMYFUNCTION("""COMPUTED_VALUE"""),"33/1 Nguyễn Hoàng")</f>
        <v>33/1 Nguyễn Hoàng</v>
      </c>
      <c r="D4191" s="119" t="str">
        <f>IFERROR(__xludf.DUMMYFUNCTION("""COMPUTED_VALUE"""),"mèo")</f>
        <v>mèo</v>
      </c>
      <c r="E4191" s="119" t="str">
        <f>IFERROR(__xludf.DUMMYFUNCTION("""COMPUTED_VALUE"""),"Phân")</f>
        <v>Phân</v>
      </c>
    </row>
    <row r="4192" ht="15.75" customHeight="1">
      <c r="A4192" s="122" t="str">
        <f>IFERROR(__xludf.DUMMYFUNCTION("""COMPUTED_VALUE"""),"0946 541 175")</f>
        <v>0946 541 175</v>
      </c>
      <c r="B4192" s="119" t="str">
        <f>IFERROR(__xludf.DUMMYFUNCTION("""COMPUTED_VALUE"""),"Châu Viết Khuyên")</f>
        <v>Châu Viết Khuyên</v>
      </c>
      <c r="C4192" s="119" t="str">
        <f>IFERROR(__xludf.DUMMYFUNCTION("""COMPUTED_VALUE"""),"9c/49 Thiên Thai")</f>
        <v>9c/49 Thiên Thai</v>
      </c>
      <c r="D4192" s="119" t="str">
        <f>IFERROR(__xludf.DUMMYFUNCTION("""COMPUTED_VALUE"""),"chó")</f>
        <v>chó</v>
      </c>
      <c r="E4192" s="119" t="str">
        <f>IFERROR(__xludf.DUMMYFUNCTION("""COMPUTED_VALUE"""),"Nâu")</f>
        <v>Nâu</v>
      </c>
    </row>
    <row r="4193" ht="15.75" customHeight="1">
      <c r="A4193" s="122" t="str">
        <f>IFERROR(__xludf.DUMMYFUNCTION("""COMPUTED_VALUE"""),"0764 856 256")</f>
        <v>0764 856 256</v>
      </c>
      <c r="B4193" s="119" t="str">
        <f>IFERROR(__xludf.DUMMYFUNCTION("""COMPUTED_VALUE"""),"Nguyễn Thái Mỹ Hương")</f>
        <v>Nguyễn Thái Mỹ Hương</v>
      </c>
      <c r="C4193" s="119" t="str">
        <f>IFERROR(__xludf.DUMMYFUNCTION("""COMPUTED_VALUE"""),"30/15 Nguyễn Hữu Dật")</f>
        <v>30/15 Nguyễn Hữu Dật</v>
      </c>
      <c r="D4193" s="119" t="str">
        <f>IFERROR(__xludf.DUMMYFUNCTION("""COMPUTED_VALUE"""),"chó")</f>
        <v>chó</v>
      </c>
      <c r="E4193" s="119" t="str">
        <f>IFERROR(__xludf.DUMMYFUNCTION("""COMPUTED_VALUE"""),"Moon")</f>
        <v>Moon</v>
      </c>
    </row>
    <row r="4194" ht="15.75" customHeight="1">
      <c r="A4194" s="122" t="str">
        <f>IFERROR(__xludf.DUMMYFUNCTION("""COMPUTED_VALUE"""),"0905 444 113")</f>
        <v>0905 444 113</v>
      </c>
      <c r="B4194" s="119" t="str">
        <f>IFERROR(__xludf.DUMMYFUNCTION("""COMPUTED_VALUE"""),"Anh Nhật")</f>
        <v>Anh Nhật</v>
      </c>
      <c r="C4194" s="119" t="str">
        <f>IFERROR(__xludf.DUMMYFUNCTION("""COMPUTED_VALUE"""),"79/11 Phạm Thị Liên")</f>
        <v>79/11 Phạm Thị Liên</v>
      </c>
      <c r="D4194" s="119" t="str">
        <f>IFERROR(__xludf.DUMMYFUNCTION("""COMPUTED_VALUE"""),"chó")</f>
        <v>chó</v>
      </c>
      <c r="E4194" s="119" t="str">
        <f>IFERROR(__xludf.DUMMYFUNCTION("""COMPUTED_VALUE"""),"Bắp")</f>
        <v>Bắp</v>
      </c>
    </row>
    <row r="4195" ht="15.75" customHeight="1">
      <c r="A4195" s="122" t="str">
        <f>IFERROR(__xludf.DUMMYFUNCTION("""COMPUTED_VALUE"""),"0905 212 977")</f>
        <v>0905 212 977</v>
      </c>
      <c r="B4195" s="119" t="str">
        <f>IFERROR(__xludf.DUMMYFUNCTION("""COMPUTED_VALUE"""),"Tôn Thất Tùng Thành")</f>
        <v>Tôn Thất Tùng Thành</v>
      </c>
      <c r="C4195" s="119" t="str">
        <f>IFERROR(__xludf.DUMMYFUNCTION("""COMPUTED_VALUE"""),"3/36 Nguyễn Thiện Thuật")</f>
        <v>3/36 Nguyễn Thiện Thuật</v>
      </c>
      <c r="D4195" s="119" t="str">
        <f>IFERROR(__xludf.DUMMYFUNCTION("""COMPUTED_VALUE"""),"chó")</f>
        <v>chó</v>
      </c>
      <c r="E4195" s="119" t="str">
        <f>IFERROR(__xludf.DUMMYFUNCTION("""COMPUTED_VALUE"""),"Corgi")</f>
        <v>Corgi</v>
      </c>
    </row>
    <row r="4196" ht="15.75" customHeight="1">
      <c r="A4196" s="122" t="str">
        <f>IFERROR(__xludf.DUMMYFUNCTION("""COMPUTED_VALUE"""),"0914 550 177")</f>
        <v>0914 550 177</v>
      </c>
      <c r="B4196" s="119" t="str">
        <f>IFERROR(__xludf.DUMMYFUNCTION("""COMPUTED_VALUE"""),"Dì Nguyên")</f>
        <v>Dì Nguyên</v>
      </c>
      <c r="C4196" s="119" t="str">
        <f>IFERROR(__xludf.DUMMYFUNCTION("""COMPUTED_VALUE"""),"23 Bảo Quốc")</f>
        <v>23 Bảo Quốc</v>
      </c>
      <c r="D4196" s="119" t="str">
        <f>IFERROR(__xludf.DUMMYFUNCTION("""COMPUTED_VALUE"""),"chó")</f>
        <v>chó</v>
      </c>
      <c r="E4196" s="119" t="str">
        <f>IFERROR(__xludf.DUMMYFUNCTION("""COMPUTED_VALUE"""),"Bông")</f>
        <v>Bông</v>
      </c>
    </row>
    <row r="4197" ht="15.75" customHeight="1">
      <c r="A4197" s="122" t="str">
        <f>IFERROR(__xludf.DUMMYFUNCTION("""COMPUTED_VALUE"""),"0917 043 151")</f>
        <v>0917 043 151</v>
      </c>
      <c r="B4197" s="119" t="str">
        <f>IFERROR(__xludf.DUMMYFUNCTION("""COMPUTED_VALUE"""),"Chị Trâm Anh")</f>
        <v>Chị Trâm Anh</v>
      </c>
      <c r="C4197" s="119" t="str">
        <f>IFERROR(__xludf.DUMMYFUNCTION("""COMPUTED_VALUE"""),"45 Lê Thị Hiếu")</f>
        <v>45 Lê Thị Hiếu</v>
      </c>
      <c r="D4197" s="119" t="str">
        <f>IFERROR(__xludf.DUMMYFUNCTION("""COMPUTED_VALUE"""),"chó")</f>
        <v>chó</v>
      </c>
      <c r="E4197" s="119" t="str">
        <f>IFERROR(__xludf.DUMMYFUNCTION("""COMPUTED_VALUE"""),"Lem")</f>
        <v>Lem</v>
      </c>
    </row>
    <row r="4198" ht="15.75" customHeight="1">
      <c r="A4198" s="122" t="str">
        <f>IFERROR(__xludf.DUMMYFUNCTION("""COMPUTED_VALUE"""),"0364 435 080")</f>
        <v>0364 435 080</v>
      </c>
      <c r="B4198" s="119" t="str">
        <f>IFERROR(__xludf.DUMMYFUNCTION("""COMPUTED_VALUE"""),"Yến Nhi")</f>
        <v>Yến Nhi</v>
      </c>
      <c r="C4198" s="119" t="str">
        <f>IFERROR(__xludf.DUMMYFUNCTION("""COMPUTED_VALUE"""),"Phú Lộc")</f>
        <v>Phú Lộc</v>
      </c>
      <c r="D4198" s="119" t="str">
        <f>IFERROR(__xludf.DUMMYFUNCTION("""COMPUTED_VALUE"""),"chó")</f>
        <v>chó</v>
      </c>
      <c r="E4198" s="119" t="str">
        <f>IFERROR(__xludf.DUMMYFUNCTION("""COMPUTED_VALUE"""),"Bắp")</f>
        <v>Bắp</v>
      </c>
    </row>
    <row r="4199" ht="15.75" customHeight="1">
      <c r="A4199" s="122" t="str">
        <f>IFERROR(__xludf.DUMMYFUNCTION("""COMPUTED_VALUE"""),"0768 589 559")</f>
        <v>0768 589 559</v>
      </c>
      <c r="B4199" s="119" t="str">
        <f>IFERROR(__xludf.DUMMYFUNCTION("""COMPUTED_VALUE"""),"Nguyễn Thị Bảo Anh")</f>
        <v>Nguyễn Thị Bảo Anh</v>
      </c>
      <c r="C4199" s="119" t="str">
        <f>IFERROR(__xludf.DUMMYFUNCTION("""COMPUTED_VALUE"""),"96 Triệu Quang Phục")</f>
        <v>96 Triệu Quang Phục</v>
      </c>
      <c r="D4199" s="119" t="str">
        <f>IFERROR(__xludf.DUMMYFUNCTION("""COMPUTED_VALUE"""),"chó")</f>
        <v>chó</v>
      </c>
      <c r="E4199" s="119" t="str">
        <f>IFERROR(__xludf.DUMMYFUNCTION("""COMPUTED_VALUE"""),"khoai")</f>
        <v>khoai</v>
      </c>
    </row>
    <row r="4200" ht="15.75" customHeight="1">
      <c r="A4200" s="122" t="str">
        <f>IFERROR(__xludf.DUMMYFUNCTION("""COMPUTED_VALUE"""),"0369 740 114")</f>
        <v>0369 740 114</v>
      </c>
      <c r="B4200" s="119" t="str">
        <f>IFERROR(__xludf.DUMMYFUNCTION("""COMPUTED_VALUE"""),"Chị Hà")</f>
        <v>Chị Hà</v>
      </c>
      <c r="C4200" s="119" t="str">
        <f>IFERROR(__xludf.DUMMYFUNCTION("""COMPUTED_VALUE"""),"Thuỷ thanh")</f>
        <v>Thuỷ thanh</v>
      </c>
      <c r="D4200" s="119" t="str">
        <f>IFERROR(__xludf.DUMMYFUNCTION("""COMPUTED_VALUE"""),"chó")</f>
        <v>chó</v>
      </c>
      <c r="E4200" s="119" t="str">
        <f>IFERROR(__xludf.DUMMYFUNCTION("""COMPUTED_VALUE"""),"Vila")</f>
        <v>Vila</v>
      </c>
    </row>
    <row r="4201" ht="15.75" customHeight="1">
      <c r="A4201" s="122" t="str">
        <f>IFERROR(__xludf.DUMMYFUNCTION("""COMPUTED_VALUE"""),"0969 585 014")</f>
        <v>0969 585 014</v>
      </c>
      <c r="B4201" s="119" t="str">
        <f>IFERROR(__xludf.DUMMYFUNCTION("""COMPUTED_VALUE"""),"Em Quốc Minh")</f>
        <v>Em Quốc Minh</v>
      </c>
      <c r="C4201" s="119"/>
      <c r="D4201" s="119" t="str">
        <f>IFERROR(__xludf.DUMMYFUNCTION("""COMPUTED_VALUE"""),"Mèo")</f>
        <v>Mèo</v>
      </c>
      <c r="E4201" s="119" t="str">
        <f>IFERROR(__xludf.DUMMYFUNCTION("""COMPUTED_VALUE"""),"Sữa")</f>
        <v>Sữa</v>
      </c>
    </row>
    <row r="4202" ht="15.75" customHeight="1">
      <c r="A4202" s="122" t="str">
        <f>IFERROR(__xludf.DUMMYFUNCTION("""COMPUTED_VALUE"""),"0353 015 290")</f>
        <v>0353 015 290</v>
      </c>
      <c r="B4202" s="119" t="str">
        <f>IFERROR(__xludf.DUMMYFUNCTION("""COMPUTED_VALUE"""),"Anh Tuấn")</f>
        <v>Anh Tuấn</v>
      </c>
      <c r="C4202" s="119" t="str">
        <f>IFERROR(__xludf.DUMMYFUNCTION("""COMPUTED_VALUE"""),"Thôn La Ỷ phường Phú Thượng")</f>
        <v>Thôn La Ỷ phường Phú Thượng</v>
      </c>
      <c r="D4202" s="119" t="str">
        <f>IFERROR(__xludf.DUMMYFUNCTION("""COMPUTED_VALUE"""),"chó")</f>
        <v>chó</v>
      </c>
      <c r="E4202" s="119" t="str">
        <f>IFERROR(__xludf.DUMMYFUNCTION("""COMPUTED_VALUE"""),"Bơ")</f>
        <v>Bơ</v>
      </c>
    </row>
    <row r="4203" ht="15.75" customHeight="1">
      <c r="A4203" s="122" t="str">
        <f>IFERROR(__xludf.DUMMYFUNCTION("""COMPUTED_VALUE"""),"0978 531 075")</f>
        <v>0978 531 075</v>
      </c>
      <c r="B4203" s="119" t="str">
        <f>IFERROR(__xludf.DUMMYFUNCTION("""COMPUTED_VALUE"""),"Anh Hiếu")</f>
        <v>Anh Hiếu</v>
      </c>
      <c r="C4203" s="119" t="str">
        <f>IFERROR(__xludf.DUMMYFUNCTION("""COMPUTED_VALUE"""),"14/79 Phùng Lưu")</f>
        <v>14/79 Phùng Lưu</v>
      </c>
      <c r="D4203" s="119" t="str">
        <f>IFERROR(__xludf.DUMMYFUNCTION("""COMPUTED_VALUE"""),"chó")</f>
        <v>chó</v>
      </c>
      <c r="E4203" s="119" t="str">
        <f>IFERROR(__xludf.DUMMYFUNCTION("""COMPUTED_VALUE"""),"Em")</f>
        <v>Em</v>
      </c>
    </row>
    <row r="4204" ht="15.75" customHeight="1">
      <c r="A4204" s="122" t="str">
        <f>IFERROR(__xludf.DUMMYFUNCTION("""COMPUTED_VALUE"""),"0948 701 842")</f>
        <v>0948 701 842</v>
      </c>
      <c r="B4204" s="119" t="str">
        <f>IFERROR(__xludf.DUMMYFUNCTION("""COMPUTED_VALUE"""),"Chú Quang")</f>
        <v>Chú Quang</v>
      </c>
      <c r="C4204" s="119" t="str">
        <f>IFERROR(__xludf.DUMMYFUNCTION("""COMPUTED_VALUE"""),"110/5 Kim Long")</f>
        <v>110/5 Kim Long</v>
      </c>
      <c r="D4204" s="119" t="str">
        <f>IFERROR(__xludf.DUMMYFUNCTION("""COMPUTED_VALUE"""),"chó")</f>
        <v>chó</v>
      </c>
      <c r="E4204" s="119" t="str">
        <f>IFERROR(__xludf.DUMMYFUNCTION("""COMPUTED_VALUE"""),"Lu")</f>
        <v>Lu</v>
      </c>
    </row>
    <row r="4205" ht="15.75" customHeight="1">
      <c r="A4205" s="122" t="str">
        <f>IFERROR(__xludf.DUMMYFUNCTION("""COMPUTED_VALUE"""),"0913 465 174")</f>
        <v>0913 465 174</v>
      </c>
      <c r="B4205" s="119" t="str">
        <f>IFERROR(__xludf.DUMMYFUNCTION("""COMPUTED_VALUE"""),"Lê Thưởng")</f>
        <v>Lê Thưởng</v>
      </c>
      <c r="C4205" s="119" t="str">
        <f>IFERROR(__xludf.DUMMYFUNCTION("""COMPUTED_VALUE"""),"28 Nguyễn Hoàng")</f>
        <v>28 Nguyễn Hoàng</v>
      </c>
      <c r="D4205" s="119" t="str">
        <f>IFERROR(__xludf.DUMMYFUNCTION("""COMPUTED_VALUE"""),"mèo")</f>
        <v>mèo</v>
      </c>
      <c r="E4205" s="119" t="str">
        <f>IFERROR(__xludf.DUMMYFUNCTION("""COMPUTED_VALUE"""),"Yaourt")</f>
        <v>Yaourt</v>
      </c>
    </row>
    <row r="4206" ht="15.75" customHeight="1">
      <c r="A4206" s="122" t="str">
        <f>IFERROR(__xludf.DUMMYFUNCTION("""COMPUTED_VALUE"""),"0904 492 806")</f>
        <v>0904 492 806</v>
      </c>
      <c r="B4206" s="119" t="str">
        <f>IFERROR(__xludf.DUMMYFUNCTION("""COMPUTED_VALUE"""),"Như Ý")</f>
        <v>Như Ý</v>
      </c>
      <c r="C4206" s="119" t="str">
        <f>IFERROR(__xludf.DUMMYFUNCTION("""COMPUTED_VALUE"""),"7/216 Lý Nam Đế")</f>
        <v>7/216 Lý Nam Đế</v>
      </c>
      <c r="D4206" s="119" t="str">
        <f>IFERROR(__xludf.DUMMYFUNCTION("""COMPUTED_VALUE"""),"chó")</f>
        <v>chó</v>
      </c>
      <c r="E4206" s="119" t="str">
        <f>IFERROR(__xludf.DUMMYFUNCTION("""COMPUTED_VALUE"""),"Rich")</f>
        <v>Rich</v>
      </c>
    </row>
    <row r="4207" ht="15.75" customHeight="1">
      <c r="A4207" s="122" t="str">
        <f>IFERROR(__xludf.DUMMYFUNCTION("""COMPUTED_VALUE"""),"0916 666 741")</f>
        <v>0916 666 741</v>
      </c>
      <c r="B4207" s="119" t="str">
        <f>IFERROR(__xludf.DUMMYFUNCTION("""COMPUTED_VALUE"""),"Chị Minh Châu")</f>
        <v>Chị Minh Châu</v>
      </c>
      <c r="C4207" s="119" t="str">
        <f>IFERROR(__xludf.DUMMYFUNCTION("""COMPUTED_VALUE"""),"1/245 Phan Bội Châu")</f>
        <v>1/245 Phan Bội Châu</v>
      </c>
      <c r="D4207" s="119" t="str">
        <f>IFERROR(__xludf.DUMMYFUNCTION("""COMPUTED_VALUE"""),"Chó")</f>
        <v>Chó</v>
      </c>
      <c r="E4207" s="119"/>
    </row>
    <row r="4208" ht="15.75" customHeight="1">
      <c r="A4208" s="122" t="str">
        <f>IFERROR(__xludf.DUMMYFUNCTION("""COMPUTED_VALUE"""),"0905 939 292")</f>
        <v>0905 939 292</v>
      </c>
      <c r="B4208" s="119" t="str">
        <f>IFERROR(__xludf.DUMMYFUNCTION("""COMPUTED_VALUE"""),"Chị Na")</f>
        <v>Chị Na</v>
      </c>
      <c r="C4208" s="119" t="str">
        <f>IFERROR(__xludf.DUMMYFUNCTION("""COMPUTED_VALUE"""),"Thủy Dương")</f>
        <v>Thủy Dương</v>
      </c>
      <c r="D4208" s="119" t="str">
        <f>IFERROR(__xludf.DUMMYFUNCTION("""COMPUTED_VALUE"""),"Chó")</f>
        <v>Chó</v>
      </c>
      <c r="E4208" s="119" t="str">
        <f>IFERROR(__xludf.DUMMYFUNCTION("""COMPUTED_VALUE"""),"Lợn")</f>
        <v>Lợn</v>
      </c>
    </row>
    <row r="4209" ht="15.75" customHeight="1">
      <c r="A4209" s="122" t="str">
        <f>IFERROR(__xludf.DUMMYFUNCTION("""COMPUTED_VALUE"""),"0987 341 377")</f>
        <v>0987 341 377</v>
      </c>
      <c r="B4209" s="119" t="str">
        <f>IFERROR(__xludf.DUMMYFUNCTION("""COMPUTED_VALUE"""),"Anh Luân")</f>
        <v>Anh Luân</v>
      </c>
      <c r="C4209" s="119" t="str">
        <f>IFERROR(__xludf.DUMMYFUNCTION("""COMPUTED_VALUE"""),"18 Nguyễn Thiện kế")</f>
        <v>18 Nguyễn Thiện kế</v>
      </c>
      <c r="D4209" s="119" t="str">
        <f>IFERROR(__xludf.DUMMYFUNCTION("""COMPUTED_VALUE"""),"Chó")</f>
        <v>Chó</v>
      </c>
      <c r="E4209" s="119" t="str">
        <f>IFERROR(__xludf.DUMMYFUNCTION("""COMPUTED_VALUE"""),"Lu")</f>
        <v>Lu</v>
      </c>
    </row>
    <row r="4210" ht="15.75" customHeight="1">
      <c r="A4210" s="122" t="str">
        <f>IFERROR(__xludf.DUMMYFUNCTION("""COMPUTED_VALUE"""),"0905 945 252")</f>
        <v>0905 945 252</v>
      </c>
      <c r="B4210" s="119" t="str">
        <f>IFERROR(__xludf.DUMMYFUNCTION("""COMPUTED_VALUE"""),"chị Phương")</f>
        <v>chị Phương</v>
      </c>
      <c r="C4210" s="119" t="str">
        <f>IFERROR(__xludf.DUMMYFUNCTION("""COMPUTED_VALUE"""),"17 Đào Tấn")</f>
        <v>17 Đào Tấn</v>
      </c>
      <c r="D4210" s="119" t="str">
        <f>IFERROR(__xludf.DUMMYFUNCTION("""COMPUTED_VALUE"""),"Mèo")</f>
        <v>Mèo</v>
      </c>
      <c r="E4210" s="119" t="str">
        <f>IFERROR(__xludf.DUMMYFUNCTION("""COMPUTED_VALUE"""),"Jun")</f>
        <v>Jun</v>
      </c>
    </row>
    <row r="4211" ht="15.75" customHeight="1">
      <c r="A4211" s="122" t="str">
        <f>IFERROR(__xludf.DUMMYFUNCTION("""COMPUTED_VALUE"""),"0901 362 468")</f>
        <v>0901 362 468</v>
      </c>
      <c r="B4211" s="119" t="str">
        <f>IFERROR(__xludf.DUMMYFUNCTION("""COMPUTED_VALUE"""),"Anh Hưng")</f>
        <v>Anh Hưng</v>
      </c>
      <c r="C4211" s="119" t="str">
        <f>IFERROR(__xludf.DUMMYFUNCTION("""COMPUTED_VALUE"""),"19 Lý Thường Kiệt")</f>
        <v>19 Lý Thường Kiệt</v>
      </c>
      <c r="D4211" s="119" t="str">
        <f>IFERROR(__xludf.DUMMYFUNCTION("""COMPUTED_VALUE"""),"chó")</f>
        <v>chó</v>
      </c>
      <c r="E4211" s="119" t="str">
        <f>IFERROR(__xludf.DUMMYFUNCTION("""COMPUTED_VALUE"""),"lu")</f>
        <v>lu</v>
      </c>
    </row>
    <row r="4212" ht="15.75" customHeight="1">
      <c r="A4212" s="122" t="str">
        <f>IFERROR(__xludf.DUMMYFUNCTION("""COMPUTED_VALUE"""),"0931 912 121")</f>
        <v>0931 912 121</v>
      </c>
      <c r="B4212" s="119" t="str">
        <f>IFERROR(__xludf.DUMMYFUNCTION("""COMPUTED_VALUE"""),"Em Châu")</f>
        <v>Em Châu</v>
      </c>
      <c r="C4212" s="119" t="str">
        <f>IFERROR(__xludf.DUMMYFUNCTION("""COMPUTED_VALUE"""),"An Cựu City")</f>
        <v>An Cựu City</v>
      </c>
      <c r="D4212" s="119" t="str">
        <f>IFERROR(__xludf.DUMMYFUNCTION("""COMPUTED_VALUE"""),"mèo")</f>
        <v>mèo</v>
      </c>
      <c r="E4212" s="119" t="str">
        <f>IFERROR(__xludf.DUMMYFUNCTION("""COMPUTED_VALUE"""),"Bông")</f>
        <v>Bông</v>
      </c>
    </row>
    <row r="4213" ht="15.75" customHeight="1">
      <c r="A4213" s="122" t="str">
        <f>IFERROR(__xludf.DUMMYFUNCTION("""COMPUTED_VALUE"""),"0935 968 993")</f>
        <v>0935 968 993</v>
      </c>
      <c r="B4213" s="119" t="str">
        <f>IFERROR(__xludf.DUMMYFUNCTION("""COMPUTED_VALUE"""),"Anh Hoà")</f>
        <v>Anh Hoà</v>
      </c>
      <c r="C4213" s="119" t="str">
        <f>IFERROR(__xludf.DUMMYFUNCTION("""COMPUTED_VALUE"""),"07 Cao Xuân Dục")</f>
        <v>07 Cao Xuân Dục</v>
      </c>
      <c r="D4213" s="119" t="str">
        <f>IFERROR(__xludf.DUMMYFUNCTION("""COMPUTED_VALUE"""),"chó")</f>
        <v>chó</v>
      </c>
      <c r="E4213" s="119" t="str">
        <f>IFERROR(__xludf.DUMMYFUNCTION("""COMPUTED_VALUE""")," Sam")</f>
        <v> Sam</v>
      </c>
    </row>
    <row r="4214" ht="15.75" customHeight="1">
      <c r="A4214" s="122" t="str">
        <f>IFERROR(__xludf.DUMMYFUNCTION("""COMPUTED_VALUE"""),"0359 876 576")</f>
        <v>0359 876 576</v>
      </c>
      <c r="B4214" s="119" t="str">
        <f>IFERROR(__xludf.DUMMYFUNCTION("""COMPUTED_VALUE"""),"Anh Khánh/ Anh Tuấn")</f>
        <v>Anh Khánh/ Anh Tuấn</v>
      </c>
      <c r="C4214" s="119" t="str">
        <f>IFERROR(__xludf.DUMMYFUNCTION("""COMPUTED_VALUE"""),"11/61 Đăng Văn Ngữ")</f>
        <v>11/61 Đăng Văn Ngữ</v>
      </c>
      <c r="D4214" s="119" t="str">
        <f>IFERROR(__xludf.DUMMYFUNCTION("""COMPUTED_VALUE"""),"chó")</f>
        <v>chó</v>
      </c>
      <c r="E4214" s="119" t="str">
        <f>IFERROR(__xludf.DUMMYFUNCTION("""COMPUTED_VALUE"""),"Bông")</f>
        <v>Bông</v>
      </c>
    </row>
    <row r="4215" ht="15.75" customHeight="1">
      <c r="A4215" s="122" t="str">
        <f>IFERROR(__xludf.DUMMYFUNCTION("""COMPUTED_VALUE"""),"0385 176 589")</f>
        <v>0385 176 589</v>
      </c>
      <c r="B4215" s="119" t="str">
        <f>IFERROR(__xludf.DUMMYFUNCTION("""COMPUTED_VALUE"""),"Trần Hương Giang")</f>
        <v>Trần Hương Giang</v>
      </c>
      <c r="C4215" s="119" t="str">
        <f>IFERROR(__xludf.DUMMYFUNCTION("""COMPUTED_VALUE"""),"Bầu Vá Villa")</f>
        <v>Bầu Vá Villa</v>
      </c>
      <c r="D4215" s="119" t="str">
        <f>IFERROR(__xludf.DUMMYFUNCTION("""COMPUTED_VALUE"""),"Mèo")</f>
        <v>Mèo</v>
      </c>
      <c r="E4215" s="119" t="str">
        <f>IFERROR(__xludf.DUMMYFUNCTION("""COMPUTED_VALUE"""),"Bông")</f>
        <v>Bông</v>
      </c>
    </row>
    <row r="4216" ht="15.75" customHeight="1">
      <c r="A4216" s="122" t="str">
        <f>IFERROR(__xludf.DUMMYFUNCTION("""COMPUTED_VALUE"""),"0824 030 590")</f>
        <v>0824 030 590</v>
      </c>
      <c r="B4216" s="119" t="str">
        <f>IFERROR(__xludf.DUMMYFUNCTION("""COMPUTED_VALUE"""),"Chị Thanh Nga")</f>
        <v>Chị Thanh Nga</v>
      </c>
      <c r="C4216" s="119" t="str">
        <f>IFERROR(__xludf.DUMMYFUNCTION("""COMPUTED_VALUE"""),"3/335 Nguyễn Sinh Cug")</f>
        <v>3/335 Nguyễn Sinh Cug</v>
      </c>
      <c r="D4216" s="119" t="str">
        <f>IFERROR(__xludf.DUMMYFUNCTION("""COMPUTED_VALUE"""),"chó")</f>
        <v>chó</v>
      </c>
      <c r="E4216" s="119" t="str">
        <f>IFERROR(__xludf.DUMMYFUNCTION("""COMPUTED_VALUE""")," Milo")</f>
        <v> Milo</v>
      </c>
    </row>
    <row r="4217" ht="15.75" customHeight="1">
      <c r="A4217" s="122" t="str">
        <f>IFERROR(__xludf.DUMMYFUNCTION("""COMPUTED_VALUE"""),"0935 889 800")</f>
        <v>0935 889 800</v>
      </c>
      <c r="B4217" s="119" t="str">
        <f>IFERROR(__xludf.DUMMYFUNCTION("""COMPUTED_VALUE"""),"Chị Mỹ Liên")</f>
        <v>Chị Mỹ Liên</v>
      </c>
      <c r="C4217" s="119" t="str">
        <f>IFERROR(__xludf.DUMMYFUNCTION("""COMPUTED_VALUE"""),"351 Điện Biên Phủ")</f>
        <v>351 Điện Biên Phủ</v>
      </c>
      <c r="D4217" s="119" t="str">
        <f>IFERROR(__xludf.DUMMYFUNCTION("""COMPUTED_VALUE"""),"Chó")</f>
        <v>Chó</v>
      </c>
      <c r="E4217" s="119" t="str">
        <f>IFERROR(__xludf.DUMMYFUNCTION("""COMPUTED_VALUE"""),"Đen")</f>
        <v>Đen</v>
      </c>
    </row>
    <row r="4218" ht="15.75" customHeight="1">
      <c r="A4218" s="122" t="str">
        <f>IFERROR(__xludf.DUMMYFUNCTION("""COMPUTED_VALUE"""),"0896 222 029")</f>
        <v>0896 222 029</v>
      </c>
      <c r="B4218" s="119" t="str">
        <f>IFERROR(__xludf.DUMMYFUNCTION("""COMPUTED_VALUE"""),"Anh Nghĩa")</f>
        <v>Anh Nghĩa</v>
      </c>
      <c r="C4218" s="119" t="str">
        <f>IFERROR(__xludf.DUMMYFUNCTION("""COMPUTED_VALUE"""),"51 Đào Tấn")</f>
        <v>51 Đào Tấn</v>
      </c>
      <c r="D4218" s="119" t="str">
        <f>IFERROR(__xludf.DUMMYFUNCTION("""COMPUTED_VALUE"""),"Chó")</f>
        <v>Chó</v>
      </c>
      <c r="E4218" s="119" t="str">
        <f>IFERROR(__xludf.DUMMYFUNCTION("""COMPUTED_VALUE"""),"Sữa")</f>
        <v>Sữa</v>
      </c>
    </row>
    <row r="4219" ht="15.75" customHeight="1">
      <c r="A4219" s="122" t="str">
        <f>IFERROR(__xludf.DUMMYFUNCTION("""COMPUTED_VALUE"""),"0384 390 994")</f>
        <v>0384 390 994</v>
      </c>
      <c r="B4219" s="119" t="str">
        <f>IFERROR(__xludf.DUMMYFUNCTION("""COMPUTED_VALUE"""),"Chú Cảnh")</f>
        <v>Chú Cảnh</v>
      </c>
      <c r="C4219" s="119" t="str">
        <f>IFERROR(__xludf.DUMMYFUNCTION("""COMPUTED_VALUE"""),"Đặng Huy Trứ")</f>
        <v>Đặng Huy Trứ</v>
      </c>
      <c r="D4219" s="119" t="str">
        <f>IFERROR(__xludf.DUMMYFUNCTION("""COMPUTED_VALUE"""),"Chó")</f>
        <v>Chó</v>
      </c>
      <c r="E4219" s="119" t="str">
        <f>IFERROR(__xludf.DUMMYFUNCTION("""COMPUTED_VALUE"""),"Henri")</f>
        <v>Henri</v>
      </c>
    </row>
    <row r="4220" ht="15.75" customHeight="1">
      <c r="A4220" s="122" t="str">
        <f>IFERROR(__xludf.DUMMYFUNCTION("""COMPUTED_VALUE"""),"0941 394 184")</f>
        <v>0941 394 184</v>
      </c>
      <c r="B4220" s="119" t="str">
        <f>IFERROR(__xludf.DUMMYFUNCTION("""COMPUTED_VALUE"""),"Chị Vy")</f>
        <v>Chị Vy</v>
      </c>
      <c r="C4220" s="119" t="str">
        <f>IFERROR(__xludf.DUMMYFUNCTION("""COMPUTED_VALUE"""),"Chung Cư Xuân phú")</f>
        <v>Chung Cư Xuân phú</v>
      </c>
      <c r="D4220" s="119" t="str">
        <f>IFERROR(__xludf.DUMMYFUNCTION("""COMPUTED_VALUE"""),"Mèo")</f>
        <v>Mèo</v>
      </c>
      <c r="E4220" s="119" t="str">
        <f>IFERROR(__xludf.DUMMYFUNCTION("""COMPUTED_VALUE"""),"Gạo")</f>
        <v>Gạo</v>
      </c>
    </row>
    <row r="4221" ht="15.75" customHeight="1">
      <c r="A4221" s="122" t="str">
        <f>IFERROR(__xludf.DUMMYFUNCTION("""COMPUTED_VALUE"""),"0976 585 228")</f>
        <v>0976 585 228</v>
      </c>
      <c r="B4221" s="119" t="str">
        <f>IFERROR(__xludf.DUMMYFUNCTION("""COMPUTED_VALUE"""),"nguyễn thị Song Hương")</f>
        <v>nguyễn thị Song Hương</v>
      </c>
      <c r="C4221" s="119" t="str">
        <f>IFERROR(__xludf.DUMMYFUNCTION("""COMPUTED_VALUE"""),"39 Đào Tấn")</f>
        <v>39 Đào Tấn</v>
      </c>
      <c r="D4221" s="119" t="str">
        <f>IFERROR(__xludf.DUMMYFUNCTION("""COMPUTED_VALUE"""),"Chó")</f>
        <v>Chó</v>
      </c>
      <c r="E4221" s="119"/>
    </row>
    <row r="4222" ht="15.75" customHeight="1">
      <c r="A4222" s="122" t="str">
        <f>IFERROR(__xludf.DUMMYFUNCTION("""COMPUTED_VALUE"""),"0934 705 493")</f>
        <v>0934 705 493</v>
      </c>
      <c r="B4222" s="119" t="str">
        <f>IFERROR(__xludf.DUMMYFUNCTION("""COMPUTED_VALUE"""),"Anh Minh")</f>
        <v>Anh Minh</v>
      </c>
      <c r="C4222" s="119" t="str">
        <f>IFERROR(__xludf.DUMMYFUNCTION("""COMPUTED_VALUE"""),"4/24 An Dương Vương")</f>
        <v>4/24 An Dương Vương</v>
      </c>
      <c r="D4222" s="119" t="str">
        <f>IFERROR(__xludf.DUMMYFUNCTION("""COMPUTED_VALUE"""),"Chó")</f>
        <v>Chó</v>
      </c>
      <c r="E4222" s="119" t="str">
        <f>IFERROR(__xludf.DUMMYFUNCTION("""COMPUTED_VALUE"""),"Gi")</f>
        <v>Gi</v>
      </c>
    </row>
    <row r="4223" ht="15.75" customHeight="1">
      <c r="A4223" s="122" t="str">
        <f>IFERROR(__xludf.DUMMYFUNCTION("""COMPUTED_VALUE"""),"0787 770 193")</f>
        <v>0787 770 193</v>
      </c>
      <c r="B4223" s="119" t="str">
        <f>IFERROR(__xludf.DUMMYFUNCTION("""COMPUTED_VALUE"""),"Anh Bảo Hoàng")</f>
        <v>Anh Bảo Hoàng</v>
      </c>
      <c r="C4223" s="119" t="str">
        <f>IFERROR(__xludf.DUMMYFUNCTION("""COMPUTED_VALUE"""),"A16 Nguyễn Khoa Vy")</f>
        <v>A16 Nguyễn Khoa Vy</v>
      </c>
      <c r="D4223" s="119" t="str">
        <f>IFERROR(__xludf.DUMMYFUNCTION("""COMPUTED_VALUE"""),"chó")</f>
        <v>chó</v>
      </c>
      <c r="E4223" s="119" t="str">
        <f>IFERROR(__xludf.DUMMYFUNCTION("""COMPUTED_VALUE""")," Bun")</f>
        <v> Bun</v>
      </c>
    </row>
    <row r="4224" ht="15.75" customHeight="1">
      <c r="A4224" s="122" t="str">
        <f>IFERROR(__xludf.DUMMYFUNCTION("""COMPUTED_VALUE"""),"0852 885 958")</f>
        <v>0852 885 958</v>
      </c>
      <c r="B4224" s="119" t="str">
        <f>IFERROR(__xludf.DUMMYFUNCTION("""COMPUTED_VALUE"""),"Em Long")</f>
        <v>Em Long</v>
      </c>
      <c r="C4224" s="119" t="str">
        <f>IFERROR(__xludf.DUMMYFUNCTION("""COMPUTED_VALUE"""),"42 Nguyễn Khánh Toàn")</f>
        <v>42 Nguyễn Khánh Toàn</v>
      </c>
      <c r="D4224" s="119" t="str">
        <f>IFERROR(__xludf.DUMMYFUNCTION("""COMPUTED_VALUE"""),"mèo")</f>
        <v>mèo</v>
      </c>
      <c r="E4224" s="119" t="str">
        <f>IFERROR(__xludf.DUMMYFUNCTION("""COMPUTED_VALUE"""),"Apple")</f>
        <v>Apple</v>
      </c>
    </row>
    <row r="4225" ht="15.75" customHeight="1">
      <c r="A4225" s="122" t="str">
        <f>IFERROR(__xludf.DUMMYFUNCTION("""COMPUTED_VALUE"""),"0965 122 181")</f>
        <v>0965 122 181</v>
      </c>
      <c r="B4225" s="119" t="str">
        <f>IFERROR(__xludf.DUMMYFUNCTION("""COMPUTED_VALUE"""),"Chị Thuỷ")</f>
        <v>Chị Thuỷ</v>
      </c>
      <c r="C4225" s="119" t="str">
        <f>IFERROR(__xludf.DUMMYFUNCTION("""COMPUTED_VALUE"""),"45 Nguyệt Biều")</f>
        <v>45 Nguyệt Biều</v>
      </c>
      <c r="D4225" s="119" t="str">
        <f>IFERROR(__xludf.DUMMYFUNCTION("""COMPUTED_VALUE"""),"chó")</f>
        <v>chó</v>
      </c>
      <c r="E4225" s="119" t="str">
        <f>IFERROR(__xludf.DUMMYFUNCTION("""COMPUTED_VALUE"""),"Gô")</f>
        <v>Gô</v>
      </c>
    </row>
    <row r="4226" ht="15.75" customHeight="1">
      <c r="A4226" s="122" t="str">
        <f>IFERROR(__xludf.DUMMYFUNCTION("""COMPUTED_VALUE"""),"0336 369 013")</f>
        <v>0336 369 013</v>
      </c>
      <c r="B4226" s="119" t="str">
        <f>IFERROR(__xludf.DUMMYFUNCTION("""COMPUTED_VALUE"""),"Chị Cẩm Nhung")</f>
        <v>Chị Cẩm Nhung</v>
      </c>
      <c r="C4226" s="119" t="str">
        <f>IFERROR(__xludf.DUMMYFUNCTION("""COMPUTED_VALUE"""),"Hương Thuỷ")</f>
        <v>Hương Thuỷ</v>
      </c>
      <c r="D4226" s="119" t="str">
        <f>IFERROR(__xludf.DUMMYFUNCTION("""COMPUTED_VALUE"""),"chó")</f>
        <v>chó</v>
      </c>
      <c r="E4226" s="119" t="str">
        <f>IFERROR(__xludf.DUMMYFUNCTION("""COMPUTED_VALUE"""),"Heo")</f>
        <v>Heo</v>
      </c>
    </row>
    <row r="4227" ht="15.75" customHeight="1">
      <c r="A4227" s="122" t="str">
        <f>IFERROR(__xludf.DUMMYFUNCTION("""COMPUTED_VALUE"""),"0765 871 825")</f>
        <v>0765 871 825</v>
      </c>
      <c r="B4227" s="119" t="str">
        <f>IFERROR(__xludf.DUMMYFUNCTION("""COMPUTED_VALUE"""),"Chị Tuyến")</f>
        <v>Chị Tuyến</v>
      </c>
      <c r="C4227" s="119" t="str">
        <f>IFERROR(__xludf.DUMMYFUNCTION("""COMPUTED_VALUE"""),"Thuận An")</f>
        <v>Thuận An</v>
      </c>
      <c r="D4227" s="119" t="str">
        <f>IFERROR(__xludf.DUMMYFUNCTION("""COMPUTED_VALUE"""),"chó")</f>
        <v>chó</v>
      </c>
      <c r="E4227" s="119" t="str">
        <f>IFERROR(__xludf.DUMMYFUNCTION("""COMPUTED_VALUE"""),"Bo")</f>
        <v>Bo</v>
      </c>
    </row>
    <row r="4228" ht="15.75" customHeight="1">
      <c r="A4228" s="122" t="str">
        <f>IFERROR(__xludf.DUMMYFUNCTION("""COMPUTED_VALUE"""),"0364 558 604")</f>
        <v>0364 558 604</v>
      </c>
      <c r="B4228" s="119" t="str">
        <f>IFERROR(__xludf.DUMMYFUNCTION("""COMPUTED_VALUE"""),"Anh Quý")</f>
        <v>Anh Quý</v>
      </c>
      <c r="C4228" s="119" t="str">
        <f>IFERROR(__xludf.DUMMYFUNCTION("""COMPUTED_VALUE"""),"10 Tôn Thất Dương")</f>
        <v>10 Tôn Thất Dương</v>
      </c>
      <c r="D4228" s="119" t="str">
        <f>IFERROR(__xludf.DUMMYFUNCTION("""COMPUTED_VALUE"""),"chó")</f>
        <v>chó</v>
      </c>
      <c r="E4228" s="119" t="str">
        <f>IFERROR(__xludf.DUMMYFUNCTION("""COMPUTED_VALUE"""),"Nâu")</f>
        <v>Nâu</v>
      </c>
    </row>
    <row r="4229" ht="15.75" customHeight="1">
      <c r="A4229" s="122" t="str">
        <f>IFERROR(__xludf.DUMMYFUNCTION("""COMPUTED_VALUE"""),"0839 696 955")</f>
        <v>0839 696 955</v>
      </c>
      <c r="B4229" s="119" t="str">
        <f>IFERROR(__xludf.DUMMYFUNCTION("""COMPUTED_VALUE"""),"Anh Tuấn")</f>
        <v>Anh Tuấn</v>
      </c>
      <c r="C4229" s="119" t="str">
        <f>IFERROR(__xludf.DUMMYFUNCTION("""COMPUTED_VALUE"""),"147 Điện Biên Phủ")</f>
        <v>147 Điện Biên Phủ</v>
      </c>
      <c r="D4229" s="119" t="str">
        <f>IFERROR(__xludf.DUMMYFUNCTION("""COMPUTED_VALUE"""),"mèo")</f>
        <v>mèo</v>
      </c>
      <c r="E4229" s="119" t="str">
        <f>IFERROR(__xludf.DUMMYFUNCTION("""COMPUTED_VALUE"""),"Mây")</f>
        <v>Mây</v>
      </c>
    </row>
    <row r="4230" ht="15.75" customHeight="1">
      <c r="A4230" s="122" t="str">
        <f>IFERROR(__xludf.DUMMYFUNCTION("""COMPUTED_VALUE"""),"0762 651 197")</f>
        <v>0762 651 197</v>
      </c>
      <c r="B4230" s="119" t="str">
        <f>IFERROR(__xludf.DUMMYFUNCTION("""COMPUTED_VALUE"""),"Thảo Nguyên")</f>
        <v>Thảo Nguyên</v>
      </c>
      <c r="C4230" s="119" t="str">
        <f>IFERROR(__xludf.DUMMYFUNCTION("""COMPUTED_VALUE"""),"159 Ngự Bình")</f>
        <v>159 Ngự Bình</v>
      </c>
      <c r="D4230" s="119" t="str">
        <f>IFERROR(__xludf.DUMMYFUNCTION("""COMPUTED_VALUE"""),"Chó")</f>
        <v>Chó</v>
      </c>
      <c r="E4230" s="119" t="str">
        <f>IFERROR(__xludf.DUMMYFUNCTION("""COMPUTED_VALUE"""),"Heo")</f>
        <v>Heo</v>
      </c>
    </row>
    <row r="4231" ht="15.75" customHeight="1">
      <c r="A4231" s="122" t="str">
        <f>IFERROR(__xludf.DUMMYFUNCTION("""COMPUTED_VALUE"""),"0776 699 014")</f>
        <v>0776 699 014</v>
      </c>
      <c r="B4231" s="119" t="str">
        <f>IFERROR(__xludf.DUMMYFUNCTION("""COMPUTED_VALUE"""),"Anh Nhật")</f>
        <v>Anh Nhật</v>
      </c>
      <c r="C4231" s="119" t="str">
        <f>IFERROR(__xludf.DUMMYFUNCTION("""COMPUTED_VALUE"""),"Thân Văn Nhiếp")</f>
        <v>Thân Văn Nhiếp</v>
      </c>
      <c r="D4231" s="119" t="str">
        <f>IFERROR(__xludf.DUMMYFUNCTION("""COMPUTED_VALUE"""),"chó")</f>
        <v>chó</v>
      </c>
      <c r="E4231" s="119" t="str">
        <f>IFERROR(__xludf.DUMMYFUNCTION("""COMPUTED_VALUE"""),"Mon")</f>
        <v>Mon</v>
      </c>
    </row>
    <row r="4232" ht="15.75" customHeight="1">
      <c r="A4232" s="122" t="str">
        <f>IFERROR(__xludf.DUMMYFUNCTION("""COMPUTED_VALUE"""),"0914 050 099")</f>
        <v>0914 050 099</v>
      </c>
      <c r="B4232" s="119" t="str">
        <f>IFERROR(__xludf.DUMMYFUNCTION("""COMPUTED_VALUE"""),"Hà Hoàng Nam")</f>
        <v>Hà Hoàng Nam</v>
      </c>
      <c r="C4232" s="119" t="str">
        <f>IFERROR(__xludf.DUMMYFUNCTION("""COMPUTED_VALUE"""),"9/19 Đặng Văn Ngữ")</f>
        <v>9/19 Đặng Văn Ngữ</v>
      </c>
      <c r="D4232" s="119" t="str">
        <f>IFERROR(__xludf.DUMMYFUNCTION("""COMPUTED_VALUE"""),"mèo")</f>
        <v>mèo</v>
      </c>
      <c r="E4232" s="119"/>
    </row>
    <row r="4233" ht="15.75" customHeight="1">
      <c r="A4233" s="122" t="str">
        <f>IFERROR(__xludf.DUMMYFUNCTION("""COMPUTED_VALUE"""),"0935 218 292")</f>
        <v>0935 218 292</v>
      </c>
      <c r="B4233" s="119" t="str">
        <f>IFERROR(__xludf.DUMMYFUNCTION("""COMPUTED_VALUE"""),"Trần Thị Thuỷ")</f>
        <v>Trần Thị Thuỷ</v>
      </c>
      <c r="C4233" s="119" t="str">
        <f>IFERROR(__xludf.DUMMYFUNCTION("""COMPUTED_VALUE"""),"24 Nguyễn Văn Chư")</f>
        <v>24 Nguyễn Văn Chư</v>
      </c>
      <c r="D4233" s="119" t="str">
        <f>IFERROR(__xludf.DUMMYFUNCTION("""COMPUTED_VALUE"""),"mèo")</f>
        <v>mèo</v>
      </c>
      <c r="E4233" s="119" t="str">
        <f>IFERROR(__xludf.DUMMYFUNCTION("""COMPUTED_VALUE"""),"vàng")</f>
        <v>vàng</v>
      </c>
    </row>
    <row r="4234" ht="15.75" customHeight="1">
      <c r="A4234" s="122" t="str">
        <f>IFERROR(__xludf.DUMMYFUNCTION("""COMPUTED_VALUE"""),"0766 755 666")</f>
        <v>0766 755 666</v>
      </c>
      <c r="B4234" s="119" t="str">
        <f>IFERROR(__xludf.DUMMYFUNCTION("""COMPUTED_VALUE"""),"Dì Lan")</f>
        <v>Dì Lan</v>
      </c>
      <c r="C4234" s="119" t="str">
        <f>IFERROR(__xludf.DUMMYFUNCTION("""COMPUTED_VALUE"""),"55 Lê Viết Lượng")</f>
        <v>55 Lê Viết Lượng</v>
      </c>
      <c r="D4234" s="119" t="str">
        <f>IFERROR(__xludf.DUMMYFUNCTION("""COMPUTED_VALUE"""),"chó")</f>
        <v>chó</v>
      </c>
      <c r="E4234" s="119" t="str">
        <f>IFERROR(__xludf.DUMMYFUNCTION("""COMPUTED_VALUE"""),"ken")</f>
        <v>ken</v>
      </c>
    </row>
    <row r="4235" ht="15.75" customHeight="1">
      <c r="A4235" s="122" t="str">
        <f>IFERROR(__xludf.DUMMYFUNCTION("""COMPUTED_VALUE"""),"0968 157 744")</f>
        <v>0968 157 744</v>
      </c>
      <c r="B4235" s="119" t="str">
        <f>IFERROR(__xludf.DUMMYFUNCTION("""COMPUTED_VALUE"""),"Chị Hương Nhi")</f>
        <v>Chị Hương Nhi</v>
      </c>
      <c r="C4235" s="119" t="str">
        <f>IFERROR(__xludf.DUMMYFUNCTION("""COMPUTED_VALUE"""),"36/5 Phạm Thị Liên")</f>
        <v>36/5 Phạm Thị Liên</v>
      </c>
      <c r="D4235" s="119" t="str">
        <f>IFERROR(__xludf.DUMMYFUNCTION("""COMPUTED_VALUE"""),"chó")</f>
        <v>chó</v>
      </c>
      <c r="E4235" s="119" t="str">
        <f>IFERROR(__xludf.DUMMYFUNCTION("""COMPUTED_VALUE"""),"Mèo")</f>
        <v>Mèo</v>
      </c>
    </row>
    <row r="4236" ht="15.75" customHeight="1">
      <c r="A4236" s="122" t="str">
        <f>IFERROR(__xludf.DUMMYFUNCTION("""COMPUTED_VALUE"""),"0768 553 393")</f>
        <v>0768 553 393</v>
      </c>
      <c r="B4236" s="119" t="str">
        <f>IFERROR(__xludf.DUMMYFUNCTION("""COMPUTED_VALUE"""),"Anh huy")</f>
        <v>Anh huy</v>
      </c>
      <c r="C4236" s="119" t="str">
        <f>IFERROR(__xludf.DUMMYFUNCTION("""COMPUTED_VALUE"""),"23 Nguyễn Phúc Thái")</f>
        <v>23 Nguyễn Phúc Thái</v>
      </c>
      <c r="D4236" s="119" t="str">
        <f>IFERROR(__xludf.DUMMYFUNCTION("""COMPUTED_VALUE"""),"Chó")</f>
        <v>Chó</v>
      </c>
      <c r="E4236" s="119" t="str">
        <f>IFERROR(__xludf.DUMMYFUNCTION("""COMPUTED_VALUE"""),"Nâu")</f>
        <v>Nâu</v>
      </c>
    </row>
    <row r="4237" ht="15.75" customHeight="1">
      <c r="A4237" s="122" t="str">
        <f>IFERROR(__xludf.DUMMYFUNCTION("""COMPUTED_VALUE"""),"0988 601 355")</f>
        <v>0988 601 355</v>
      </c>
      <c r="B4237" s="119" t="str">
        <f>IFERROR(__xludf.DUMMYFUNCTION("""COMPUTED_VALUE"""),"Thầy Phúc Minh")</f>
        <v>Thầy Phúc Minh</v>
      </c>
      <c r="C4237" s="119" t="str">
        <f>IFERROR(__xludf.DUMMYFUNCTION("""COMPUTED_VALUE"""),"Chùa Trung Đông- Phong Điền")</f>
        <v>Chùa Trung Đông- Phong Điền</v>
      </c>
      <c r="D4237" s="119" t="str">
        <f>IFERROR(__xludf.DUMMYFUNCTION("""COMPUTED_VALUE"""),"chó")</f>
        <v>chó</v>
      </c>
      <c r="E4237" s="119"/>
    </row>
    <row r="4238" ht="15.75" customHeight="1">
      <c r="A4238" s="122" t="str">
        <f>IFERROR(__xludf.DUMMYFUNCTION("""COMPUTED_VALUE"""),"0337 304 196")</f>
        <v>0337 304 196</v>
      </c>
      <c r="B4238" s="119" t="str">
        <f>IFERROR(__xludf.DUMMYFUNCTION("""COMPUTED_VALUE"""),"Triệu Vy")</f>
        <v>Triệu Vy</v>
      </c>
      <c r="C4238" s="119" t="str">
        <f>IFERROR(__xludf.DUMMYFUNCTION("""COMPUTED_VALUE"""),"Phong Điền")</f>
        <v>Phong Điền</v>
      </c>
      <c r="D4238" s="119" t="str">
        <f>IFERROR(__xludf.DUMMYFUNCTION("""COMPUTED_VALUE"""),"chó")</f>
        <v>chó</v>
      </c>
      <c r="E4238" s="119" t="str">
        <f>IFERROR(__xludf.DUMMYFUNCTION("""COMPUTED_VALUE"""),"Mỳ")</f>
        <v>Mỳ</v>
      </c>
    </row>
    <row r="4239" ht="15.75" customHeight="1">
      <c r="A4239" s="122" t="str">
        <f>IFERROR(__xludf.DUMMYFUNCTION("""COMPUTED_VALUE"""),"0949 553 434")</f>
        <v>0949 553 434</v>
      </c>
      <c r="B4239" s="119" t="str">
        <f>IFERROR(__xludf.DUMMYFUNCTION("""COMPUTED_VALUE"""),"Chú Châu")</f>
        <v>Chú Châu</v>
      </c>
      <c r="C4239" s="119" t="str">
        <f>IFERROR(__xludf.DUMMYFUNCTION("""COMPUTED_VALUE"""),"28 Mai An Tiêm")</f>
        <v>28 Mai An Tiêm</v>
      </c>
      <c r="D4239" s="119" t="str">
        <f>IFERROR(__xludf.DUMMYFUNCTION("""COMPUTED_VALUE"""),"chó")</f>
        <v>chó</v>
      </c>
      <c r="E4239" s="119" t="str">
        <f>IFERROR(__xludf.DUMMYFUNCTION("""COMPUTED_VALUE"""),"Pu")</f>
        <v>Pu</v>
      </c>
    </row>
    <row r="4240" ht="15.75" customHeight="1">
      <c r="A4240" s="122" t="str">
        <f>IFERROR(__xludf.DUMMYFUNCTION("""COMPUTED_VALUE"""),"0935 024 300")</f>
        <v>0935 024 300</v>
      </c>
      <c r="B4240" s="119" t="str">
        <f>IFERROR(__xludf.DUMMYFUNCTION("""COMPUTED_VALUE"""),"Anh Tuấn")</f>
        <v>Anh Tuấn</v>
      </c>
      <c r="C4240" s="119" t="str">
        <f>IFERROR(__xludf.DUMMYFUNCTION("""COMPUTED_VALUE"""),"130/10 Kim Long")</f>
        <v>130/10 Kim Long</v>
      </c>
      <c r="D4240" s="119" t="str">
        <f>IFERROR(__xludf.DUMMYFUNCTION("""COMPUTED_VALUE"""),"chó")</f>
        <v>chó</v>
      </c>
      <c r="E4240" s="119" t="str">
        <f>IFERROR(__xludf.DUMMYFUNCTION("""COMPUTED_VALUE"""),"Mino")</f>
        <v>Mino</v>
      </c>
    </row>
    <row r="4241" ht="15.75" customHeight="1">
      <c r="A4241" s="122" t="str">
        <f>IFERROR(__xludf.DUMMYFUNCTION("""COMPUTED_VALUE"""),"0772 459 588")</f>
        <v>0772 459 588</v>
      </c>
      <c r="B4241" s="119" t="str">
        <f>IFERROR(__xludf.DUMMYFUNCTION("""COMPUTED_VALUE"""),"Dì Kim Chi")</f>
        <v>Dì Kim Chi</v>
      </c>
      <c r="C4241" s="119" t="str">
        <f>IFERROR(__xludf.DUMMYFUNCTION("""COMPUTED_VALUE"""),"ương")</f>
        <v>ương</v>
      </c>
      <c r="D4241" s="119" t="str">
        <f>IFERROR(__xludf.DUMMYFUNCTION("""COMPUTED_VALUE"""),"chó")</f>
        <v>chó</v>
      </c>
      <c r="E4241" s="119"/>
    </row>
    <row r="4242" ht="15.75" customHeight="1">
      <c r="A4242" s="122" t="str">
        <f>IFERROR(__xludf.DUMMYFUNCTION("""COMPUTED_VALUE"""),"0355 282 452")</f>
        <v>0355 282 452</v>
      </c>
      <c r="B4242" s="119" t="str">
        <f>IFERROR(__xludf.DUMMYFUNCTION("""COMPUTED_VALUE"""),"Trần Quốc Tuấn")</f>
        <v>Trần Quốc Tuấn</v>
      </c>
      <c r="C4242" s="119" t="str">
        <f>IFERROR(__xludf.DUMMYFUNCTION("""COMPUTED_VALUE"""),"16c Nguyễn Phúc Chu")</f>
        <v>16c Nguyễn Phúc Chu</v>
      </c>
      <c r="D4242" s="119" t="str">
        <f>IFERROR(__xludf.DUMMYFUNCTION("""COMPUTED_VALUE"""),"Chó")</f>
        <v>Chó</v>
      </c>
      <c r="E4242" s="119"/>
    </row>
    <row r="4243" ht="15.75" customHeight="1">
      <c r="A4243" s="122" t="str">
        <f>IFERROR(__xludf.DUMMYFUNCTION("""COMPUTED_VALUE"""),"0777 665 995")</f>
        <v>0777 665 995</v>
      </c>
      <c r="B4243" s="119" t="str">
        <f>IFERROR(__xludf.DUMMYFUNCTION("""COMPUTED_VALUE"""),"Chị Bình")</f>
        <v>Chị Bình</v>
      </c>
      <c r="C4243" s="119" t="str">
        <f>IFERROR(__xludf.DUMMYFUNCTION("""COMPUTED_VALUE"""),"8/34 An Ninh")</f>
        <v>8/34 An Ninh</v>
      </c>
      <c r="D4243" s="119" t="str">
        <f>IFERROR(__xludf.DUMMYFUNCTION("""COMPUTED_VALUE"""),"chó")</f>
        <v>chó</v>
      </c>
      <c r="E4243" s="119"/>
    </row>
    <row r="4244" ht="15.75" customHeight="1">
      <c r="A4244" s="122" t="str">
        <f>IFERROR(__xludf.DUMMYFUNCTION("""COMPUTED_VALUE"""),"0906 475 367")</f>
        <v>0906 475 367</v>
      </c>
      <c r="B4244" s="119" t="str">
        <f>IFERROR(__xludf.DUMMYFUNCTION("""COMPUTED_VALUE"""),"Trần Hoà Bình")</f>
        <v>Trần Hoà Bình</v>
      </c>
      <c r="C4244" s="119" t="str">
        <f>IFERROR(__xludf.DUMMYFUNCTION("""COMPUTED_VALUE"""),"49/2 Nguyễn Cư Trinh")</f>
        <v>49/2 Nguyễn Cư Trinh</v>
      </c>
      <c r="D4244" s="119" t="str">
        <f>IFERROR(__xludf.DUMMYFUNCTION("""COMPUTED_VALUE"""),"chó")</f>
        <v>chó</v>
      </c>
      <c r="E4244" s="119" t="str">
        <f>IFERROR(__xludf.DUMMYFUNCTION("""COMPUTED_VALUE"""),"Tốc Tốc")</f>
        <v>Tốc Tốc</v>
      </c>
    </row>
    <row r="4245" ht="15.75" customHeight="1">
      <c r="A4245" s="122" t="str">
        <f>IFERROR(__xludf.DUMMYFUNCTION("""COMPUTED_VALUE"""),"0902 779 304")</f>
        <v>0902 779 304</v>
      </c>
      <c r="B4245" s="119" t="str">
        <f>IFERROR(__xludf.DUMMYFUNCTION("""COMPUTED_VALUE"""),"Chị Lệ Hoà")</f>
        <v>Chị Lệ Hoà</v>
      </c>
      <c r="C4245" s="119"/>
      <c r="D4245" s="119" t="str">
        <f>IFERROR(__xludf.DUMMYFUNCTION("""COMPUTED_VALUE"""),"Chó")</f>
        <v>Chó</v>
      </c>
      <c r="E4245" s="119" t="str">
        <f>IFERROR(__xludf.DUMMYFUNCTION("""COMPUTED_VALUE"""),"Bông")</f>
        <v>Bông</v>
      </c>
    </row>
    <row r="4246" ht="15.75" customHeight="1">
      <c r="A4246" s="122" t="str">
        <f>IFERROR(__xludf.DUMMYFUNCTION("""COMPUTED_VALUE"""),"0366 536 602")</f>
        <v>0366 536 602</v>
      </c>
      <c r="B4246" s="119" t="str">
        <f>IFERROR(__xludf.DUMMYFUNCTION("""COMPUTED_VALUE"""),"Anthony")</f>
        <v>Anthony</v>
      </c>
      <c r="C4246" s="119"/>
      <c r="D4246" s="119" t="str">
        <f>IFERROR(__xludf.DUMMYFUNCTION("""COMPUTED_VALUE"""),"chó")</f>
        <v>chó</v>
      </c>
      <c r="E4246" s="119" t="str">
        <f>IFERROR(__xludf.DUMMYFUNCTION("""COMPUTED_VALUE"""),"Seras")</f>
        <v>Seras</v>
      </c>
    </row>
    <row r="4247" ht="15.75" customHeight="1">
      <c r="A4247" s="122" t="str">
        <f>IFERROR(__xludf.DUMMYFUNCTION("""COMPUTED_VALUE"""),"0796 720 459")</f>
        <v>0796 720 459</v>
      </c>
      <c r="B4247" s="119" t="str">
        <f>IFERROR(__xludf.DUMMYFUNCTION("""COMPUTED_VALUE"""),"Claudia Paul")</f>
        <v>Claudia Paul</v>
      </c>
      <c r="C4247" s="119" t="str">
        <f>IFERROR(__xludf.DUMMYFUNCTION("""COMPUTED_VALUE"""),"39 Cao Xuân Huy")</f>
        <v>39 Cao Xuân Huy</v>
      </c>
      <c r="D4247" s="119" t="str">
        <f>IFERROR(__xludf.DUMMYFUNCTION("""COMPUTED_VALUE"""),"mèo")</f>
        <v>mèo</v>
      </c>
      <c r="E4247" s="119"/>
    </row>
    <row r="4248" ht="15.75" customHeight="1">
      <c r="A4248" s="122" t="str">
        <f>IFERROR(__xludf.DUMMYFUNCTION("""COMPUTED_VALUE"""),"0393 076 256")</f>
        <v>0393 076 256</v>
      </c>
      <c r="B4248" s="119" t="str">
        <f>IFERROR(__xludf.DUMMYFUNCTION("""COMPUTED_VALUE"""),"Chị Út")</f>
        <v>Chị Út</v>
      </c>
      <c r="C4248" s="119" t="str">
        <f>IFERROR(__xludf.DUMMYFUNCTION("""COMPUTED_VALUE"""),"An Ninh")</f>
        <v>An Ninh</v>
      </c>
      <c r="D4248" s="119" t="str">
        <f>IFERROR(__xludf.DUMMYFUNCTION("""COMPUTED_VALUE"""),"Chó")</f>
        <v>Chó</v>
      </c>
      <c r="E4248" s="119" t="str">
        <f>IFERROR(__xludf.DUMMYFUNCTION("""COMPUTED_VALUE"""),"Ki")</f>
        <v>Ki</v>
      </c>
    </row>
    <row r="4249" ht="15.75" customHeight="1">
      <c r="A4249" s="122" t="str">
        <f>IFERROR(__xludf.DUMMYFUNCTION("""COMPUTED_VALUE"""),"0935 000 654")</f>
        <v>0935 000 654</v>
      </c>
      <c r="B4249" s="119" t="str">
        <f>IFERROR(__xludf.DUMMYFUNCTION("""COMPUTED_VALUE"""),"chị Trâm")</f>
        <v>chị Trâm</v>
      </c>
      <c r="C4249" s="119" t="str">
        <f>IFERROR(__xludf.DUMMYFUNCTION("""COMPUTED_VALUE"""),"8/109 Minh Mạng")</f>
        <v>8/109 Minh Mạng</v>
      </c>
      <c r="D4249" s="119" t="str">
        <f>IFERROR(__xludf.DUMMYFUNCTION("""COMPUTED_VALUE"""),"Chó")</f>
        <v>Chó</v>
      </c>
      <c r="E4249" s="119" t="str">
        <f>IFERROR(__xludf.DUMMYFUNCTION("""COMPUTED_VALUE"""),"Sữa")</f>
        <v>Sữa</v>
      </c>
    </row>
    <row r="4250" ht="15.75" customHeight="1">
      <c r="A4250" s="122" t="str">
        <f>IFERROR(__xludf.DUMMYFUNCTION("""COMPUTED_VALUE"""),"0375 457 911")</f>
        <v>0375 457 911</v>
      </c>
      <c r="B4250" s="119" t="str">
        <f>IFERROR(__xludf.DUMMYFUNCTION("""COMPUTED_VALUE"""),"Ngọc Trinh")</f>
        <v>Ngọc Trinh</v>
      </c>
      <c r="C4250" s="119" t="str">
        <f>IFERROR(__xludf.DUMMYFUNCTION("""COMPUTED_VALUE"""),"1/10/104 Điện Biên Phủ")</f>
        <v>1/10/104 Điện Biên Phủ</v>
      </c>
      <c r="D4250" s="119" t="str">
        <f>IFERROR(__xludf.DUMMYFUNCTION("""COMPUTED_VALUE"""),"chó")</f>
        <v>chó</v>
      </c>
      <c r="E4250" s="119" t="str">
        <f>IFERROR(__xludf.DUMMYFUNCTION("""COMPUTED_VALUE"""),"Bi")</f>
        <v>Bi</v>
      </c>
    </row>
    <row r="4251" ht="15.75" customHeight="1">
      <c r="A4251" s="122" t="str">
        <f>IFERROR(__xludf.DUMMYFUNCTION("""COMPUTED_VALUE"""),"0906 556 395")</f>
        <v>0906 556 395</v>
      </c>
      <c r="B4251" s="119" t="str">
        <f>IFERROR(__xludf.DUMMYFUNCTION("""COMPUTED_VALUE"""),"Đình sinh")</f>
        <v>Đình sinh</v>
      </c>
      <c r="C4251" s="119" t="str">
        <f>IFERROR(__xludf.DUMMYFUNCTION("""COMPUTED_VALUE"""),"22 Ngự Bình")</f>
        <v>22 Ngự Bình</v>
      </c>
      <c r="D4251" s="119" t="str">
        <f>IFERROR(__xludf.DUMMYFUNCTION("""COMPUTED_VALUE"""),"Chó")</f>
        <v>Chó</v>
      </c>
      <c r="E4251" s="119" t="str">
        <f>IFERROR(__xludf.DUMMYFUNCTION("""COMPUTED_VALUE"""),"Mèo")</f>
        <v>Mèo</v>
      </c>
    </row>
    <row r="4252" ht="15.75" customHeight="1">
      <c r="A4252" s="122" t="str">
        <f>IFERROR(__xludf.DUMMYFUNCTION("""COMPUTED_VALUE"""),"0399 512 570")</f>
        <v>0399 512 570</v>
      </c>
      <c r="B4252" s="119" t="str">
        <f>IFERROR(__xludf.DUMMYFUNCTION("""COMPUTED_VALUE"""),"Em Vy")</f>
        <v>Em Vy</v>
      </c>
      <c r="C4252" s="119" t="str">
        <f>IFERROR(__xludf.DUMMYFUNCTION("""COMPUTED_VALUE"""),"Hương Thọ")</f>
        <v>Hương Thọ</v>
      </c>
      <c r="D4252" s="119" t="str">
        <f>IFERROR(__xludf.DUMMYFUNCTION("""COMPUTED_VALUE"""),"Mèo")</f>
        <v>Mèo</v>
      </c>
      <c r="E4252" s="119" t="str">
        <f>IFERROR(__xludf.DUMMYFUNCTION("""COMPUTED_VALUE"""),"Sữa")</f>
        <v>Sữa</v>
      </c>
    </row>
    <row r="4253" ht="15.75" customHeight="1">
      <c r="A4253" s="122" t="str">
        <f>IFERROR(__xludf.DUMMYFUNCTION("""COMPUTED_VALUE"""),"0914 663 363")</f>
        <v>0914 663 363</v>
      </c>
      <c r="B4253" s="119" t="str">
        <f>IFERROR(__xludf.DUMMYFUNCTION("""COMPUTED_VALUE"""),"Dì Hiền")</f>
        <v>Dì Hiền</v>
      </c>
      <c r="C4253" s="119" t="str">
        <f>IFERROR(__xludf.DUMMYFUNCTION("""COMPUTED_VALUE"""),"30/147 Phan Đình Phùng")</f>
        <v>30/147 Phan Đình Phùng</v>
      </c>
      <c r="D4253" s="119" t="str">
        <f>IFERROR(__xludf.DUMMYFUNCTION("""COMPUTED_VALUE"""),"Chó")</f>
        <v>Chó</v>
      </c>
      <c r="E4253" s="119" t="str">
        <f>IFERROR(__xludf.DUMMYFUNCTION("""COMPUTED_VALUE"""),"gucci")</f>
        <v>gucci</v>
      </c>
    </row>
    <row r="4254" ht="15.75" customHeight="1">
      <c r="A4254" s="122" t="str">
        <f>IFERROR(__xludf.DUMMYFUNCTION("""COMPUTED_VALUE"""),"0826 307 729")</f>
        <v>0826 307 729</v>
      </c>
      <c r="B4254" s="119" t="str">
        <f>IFERROR(__xludf.DUMMYFUNCTION("""COMPUTED_VALUE"""),"Bảo Trân")</f>
        <v>Bảo Trân</v>
      </c>
      <c r="C4254" s="119" t="str">
        <f>IFERROR(__xludf.DUMMYFUNCTION("""COMPUTED_VALUE"""),"59/93 Đặng Huy Trứ")</f>
        <v>59/93 Đặng Huy Trứ</v>
      </c>
      <c r="D4254" s="119" t="str">
        <f>IFERROR(__xludf.DUMMYFUNCTION("""COMPUTED_VALUE"""),"Mèo")</f>
        <v>Mèo</v>
      </c>
      <c r="E4254" s="119" t="str">
        <f>IFERROR(__xludf.DUMMYFUNCTION("""COMPUTED_VALUE"""),"Mía")</f>
        <v>Mía</v>
      </c>
    </row>
    <row r="4255" ht="15.75" customHeight="1">
      <c r="A4255" s="122" t="str">
        <f>IFERROR(__xludf.DUMMYFUNCTION("""COMPUTED_VALUE"""),"0708 041 149")</f>
        <v>0708 041 149</v>
      </c>
      <c r="B4255" s="119" t="str">
        <f>IFERROR(__xludf.DUMMYFUNCTION("""COMPUTED_VALUE"""),"Em Thư")</f>
        <v>Em Thư</v>
      </c>
      <c r="C4255" s="119" t="str">
        <f>IFERROR(__xludf.DUMMYFUNCTION("""COMPUTED_VALUE"""),"31 C Xuân Thuỷ Vỹ dạ")</f>
        <v>31 C Xuân Thuỷ Vỹ dạ</v>
      </c>
      <c r="D4255" s="119" t="str">
        <f>IFERROR(__xludf.DUMMYFUNCTION("""COMPUTED_VALUE"""),"chó")</f>
        <v>chó</v>
      </c>
      <c r="E4255" s="119" t="str">
        <f>IFERROR(__xludf.DUMMYFUNCTION("""COMPUTED_VALUE""")," Đen")</f>
        <v> Đen</v>
      </c>
    </row>
    <row r="4256" ht="15.75" customHeight="1">
      <c r="A4256" s="122" t="str">
        <f>IFERROR(__xludf.DUMMYFUNCTION("""COMPUTED_VALUE"""),"0344 915 066")</f>
        <v>0344 915 066</v>
      </c>
      <c r="B4256" s="119" t="str">
        <f>IFERROR(__xludf.DUMMYFUNCTION("""COMPUTED_VALUE"""),"Lê Ngọc Huân")</f>
        <v>Lê Ngọc Huân</v>
      </c>
      <c r="C4256" s="119" t="str">
        <f>IFERROR(__xludf.DUMMYFUNCTION("""COMPUTED_VALUE"""),"Hương Thọ")</f>
        <v>Hương Thọ</v>
      </c>
      <c r="D4256" s="119" t="str">
        <f>IFERROR(__xludf.DUMMYFUNCTION("""COMPUTED_VALUE"""),"Chó")</f>
        <v>Chó</v>
      </c>
      <c r="E4256" s="119" t="str">
        <f>IFERROR(__xludf.DUMMYFUNCTION("""COMPUTED_VALUE"""),"lốp")</f>
        <v>lốp</v>
      </c>
    </row>
    <row r="4257" ht="15.75" customHeight="1">
      <c r="A4257" s="122" t="str">
        <f>IFERROR(__xludf.DUMMYFUNCTION("""COMPUTED_VALUE"""),"0905 101 229")</f>
        <v>0905 101 229</v>
      </c>
      <c r="B4257" s="119" t="str">
        <f>IFERROR(__xludf.DUMMYFUNCTION("""COMPUTED_VALUE"""),"Nguyễn Thị Thanh mai")</f>
        <v>Nguyễn Thị Thanh mai</v>
      </c>
      <c r="C4257" s="119" t="str">
        <f>IFERROR(__xludf.DUMMYFUNCTION("""COMPUTED_VALUE"""),"6 Chế Lan viên")</f>
        <v>6 Chế Lan viên</v>
      </c>
      <c r="D4257" s="119" t="str">
        <f>IFERROR(__xludf.DUMMYFUNCTION("""COMPUTED_VALUE"""),"Chó")</f>
        <v>Chó</v>
      </c>
      <c r="E4257" s="119" t="str">
        <f>IFERROR(__xludf.DUMMYFUNCTION("""COMPUTED_VALUE"""),"LucKy ")</f>
        <v>LucKy </v>
      </c>
    </row>
    <row r="4258" ht="15.75" customHeight="1">
      <c r="A4258" s="122" t="str">
        <f>IFERROR(__xludf.DUMMYFUNCTION("""COMPUTED_VALUE"""),"0775 509 842")</f>
        <v>0775 509 842</v>
      </c>
      <c r="B4258" s="119" t="str">
        <f>IFERROR(__xludf.DUMMYFUNCTION("""COMPUTED_VALUE"""),"Chị Dung")</f>
        <v>Chị Dung</v>
      </c>
      <c r="C4258" s="119" t="str">
        <f>IFERROR(__xludf.DUMMYFUNCTION("""COMPUTED_VALUE"""),"Chợ Thông")</f>
        <v>Chợ Thông</v>
      </c>
      <c r="D4258" s="119" t="str">
        <f>IFERROR(__xludf.DUMMYFUNCTION("""COMPUTED_VALUE"""),"chó")</f>
        <v>chó</v>
      </c>
      <c r="E4258" s="119"/>
    </row>
    <row r="4259" ht="15.75" customHeight="1">
      <c r="A4259" s="122" t="str">
        <f>IFERROR(__xludf.DUMMYFUNCTION("""COMPUTED_VALUE"""),"0385 559 916")</f>
        <v>0385 559 916</v>
      </c>
      <c r="B4259" s="119" t="str">
        <f>IFERROR(__xludf.DUMMYFUNCTION("""COMPUTED_VALUE"""),"Chị Duyên")</f>
        <v>Chị Duyên</v>
      </c>
      <c r="C4259" s="119" t="str">
        <f>IFERROR(__xludf.DUMMYFUNCTION("""COMPUTED_VALUE"""),"k112 Đặng Huy Trứ")</f>
        <v>k112 Đặng Huy Trứ</v>
      </c>
      <c r="D4259" s="119" t="str">
        <f>IFERROR(__xludf.DUMMYFUNCTION("""COMPUTED_VALUE"""),"chó")</f>
        <v>chó</v>
      </c>
      <c r="E4259" s="119" t="str">
        <f>IFERROR(__xludf.DUMMYFUNCTION("""COMPUTED_VALUE"""),"Thỏ")</f>
        <v>Thỏ</v>
      </c>
    </row>
    <row r="4260" ht="15.75" customHeight="1">
      <c r="A4260" s="122" t="str">
        <f>IFERROR(__xludf.DUMMYFUNCTION("""COMPUTED_VALUE"""),"0787 710 838")</f>
        <v>0787 710 838</v>
      </c>
      <c r="B4260" s="119" t="str">
        <f>IFERROR(__xludf.DUMMYFUNCTION("""COMPUTED_VALUE"""),"Anh Đạt")</f>
        <v>Anh Đạt</v>
      </c>
      <c r="C4260" s="119"/>
      <c r="D4260" s="119" t="str">
        <f>IFERROR(__xludf.DUMMYFUNCTION("""COMPUTED_VALUE"""),"mèo")</f>
        <v>mèo</v>
      </c>
      <c r="E4260" s="119" t="str">
        <f>IFERROR(__xludf.DUMMYFUNCTION("""COMPUTED_VALUE"""),"Nhung Nhi")</f>
        <v>Nhung Nhi</v>
      </c>
    </row>
    <row r="4261" ht="15.75" customHeight="1">
      <c r="A4261" s="122" t="str">
        <f>IFERROR(__xludf.DUMMYFUNCTION("""COMPUTED_VALUE"""),"0378 819 993")</f>
        <v>0378 819 993</v>
      </c>
      <c r="B4261" s="119" t="str">
        <f>IFERROR(__xludf.DUMMYFUNCTION("""COMPUTED_VALUE"""),"Chị Phương")</f>
        <v>Chị Phương</v>
      </c>
      <c r="C4261" s="119" t="str">
        <f>IFERROR(__xludf.DUMMYFUNCTION("""COMPUTED_VALUE"""),"21/200 Lý Nam Đế")</f>
        <v>21/200 Lý Nam Đế</v>
      </c>
      <c r="D4261" s="119" t="str">
        <f>IFERROR(__xludf.DUMMYFUNCTION("""COMPUTED_VALUE"""),"chó")</f>
        <v>chó</v>
      </c>
      <c r="E4261" s="119" t="str">
        <f>IFERROR(__xludf.DUMMYFUNCTION("""COMPUTED_VALUE"""),"Mun")</f>
        <v>Mun</v>
      </c>
    </row>
    <row r="4262" ht="15.75" customHeight="1">
      <c r="A4262" s="122" t="str">
        <f>IFERROR(__xludf.DUMMYFUNCTION("""COMPUTED_VALUE"""),"0702 703 576")</f>
        <v>0702 703 576</v>
      </c>
      <c r="B4262" s="119" t="str">
        <f>IFERROR(__xludf.DUMMYFUNCTION("""COMPUTED_VALUE"""),"Dì Hoa")</f>
        <v>Dì Hoa</v>
      </c>
      <c r="C4262" s="119" t="str">
        <f>IFERROR(__xludf.DUMMYFUNCTION("""COMPUTED_VALUE"""),"131 Trần Phú")</f>
        <v>131 Trần Phú</v>
      </c>
      <c r="D4262" s="119" t="str">
        <f>IFERROR(__xludf.DUMMYFUNCTION("""COMPUTED_VALUE"""),"Chó")</f>
        <v>Chó</v>
      </c>
      <c r="E4262" s="119"/>
    </row>
    <row r="4263" ht="15.75" customHeight="1">
      <c r="A4263" s="122" t="str">
        <f>IFERROR(__xludf.DUMMYFUNCTION("""COMPUTED_VALUE"""),"0905 314 099")</f>
        <v>0905 314 099</v>
      </c>
      <c r="B4263" s="119" t="str">
        <f>IFERROR(__xludf.DUMMYFUNCTION("""COMPUTED_VALUE"""),"Trần Thị Kim Gia")</f>
        <v>Trần Thị Kim Gia</v>
      </c>
      <c r="C4263" s="119" t="str">
        <f>IFERROR(__xludf.DUMMYFUNCTION("""COMPUTED_VALUE"""),"79 Điện Biên Phủ")</f>
        <v>79 Điện Biên Phủ</v>
      </c>
      <c r="D4263" s="119" t="str">
        <f>IFERROR(__xludf.DUMMYFUNCTION("""COMPUTED_VALUE"""),"mèo")</f>
        <v>mèo</v>
      </c>
      <c r="E4263" s="119" t="str">
        <f>IFERROR(__xludf.DUMMYFUNCTION("""COMPUTED_VALUE"""),"Mèo")</f>
        <v>Mèo</v>
      </c>
    </row>
    <row r="4264" ht="15.75" customHeight="1">
      <c r="A4264" s="122" t="str">
        <f>IFERROR(__xludf.DUMMYFUNCTION("""COMPUTED_VALUE"""),"0998 813 525")</f>
        <v>0998 813 525</v>
      </c>
      <c r="B4264" s="119" t="str">
        <f>IFERROR(__xludf.DUMMYFUNCTION("""COMPUTED_VALUE"""),"Dì Mến")</f>
        <v>Dì Mến</v>
      </c>
      <c r="C4264" s="119" t="str">
        <f>IFERROR(__xludf.DUMMYFUNCTION("""COMPUTED_VALUE"""),"chợ Hương Hồ")</f>
        <v>chợ Hương Hồ</v>
      </c>
      <c r="D4264" s="119" t="str">
        <f>IFERROR(__xludf.DUMMYFUNCTION("""COMPUTED_VALUE"""),"chó")</f>
        <v>chó</v>
      </c>
      <c r="E4264" s="119" t="str">
        <f>IFERROR(__xludf.DUMMYFUNCTION("""COMPUTED_VALUE"""),"Sữa")</f>
        <v>Sữa</v>
      </c>
    </row>
    <row r="4265" ht="15.75" customHeight="1">
      <c r="A4265" s="122" t="str">
        <f>IFERROR(__xludf.DUMMYFUNCTION("""COMPUTED_VALUE"""),"0708 478 606")</f>
        <v>0708 478 606</v>
      </c>
      <c r="B4265" s="119" t="str">
        <f>IFERROR(__xludf.DUMMYFUNCTION("""COMPUTED_VALUE"""),"Thuỳ Trang")</f>
        <v>Thuỳ Trang</v>
      </c>
      <c r="C4265" s="119" t="str">
        <f>IFERROR(__xludf.DUMMYFUNCTION("""COMPUTED_VALUE"""),"240 Lý Nam Đế")</f>
        <v>240 Lý Nam Đế</v>
      </c>
      <c r="D4265" s="119" t="str">
        <f>IFERROR(__xludf.DUMMYFUNCTION("""COMPUTED_VALUE"""),"chó")</f>
        <v>chó</v>
      </c>
      <c r="E4265" s="119" t="str">
        <f>IFERROR(__xludf.DUMMYFUNCTION("""COMPUTED_VALUE"""),"Cà Rốt")</f>
        <v>Cà Rốt</v>
      </c>
    </row>
    <row r="4266" ht="15.75" customHeight="1">
      <c r="A4266" s="122" t="str">
        <f>IFERROR(__xludf.DUMMYFUNCTION("""COMPUTED_VALUE"""),"0914 424 178")</f>
        <v>0914 424 178</v>
      </c>
      <c r="B4266" s="119" t="str">
        <f>IFERROR(__xludf.DUMMYFUNCTION("""COMPUTED_VALUE"""),"Phạm Văn Vui")</f>
        <v>Phạm Văn Vui</v>
      </c>
      <c r="C4266" s="119" t="str">
        <f>IFERROR(__xludf.DUMMYFUNCTION("""COMPUTED_VALUE"""),"An Ninh")</f>
        <v>An Ninh</v>
      </c>
      <c r="D4266" s="119" t="str">
        <f>IFERROR(__xludf.DUMMYFUNCTION("""COMPUTED_VALUE"""),"chó")</f>
        <v>chó</v>
      </c>
      <c r="E4266" s="119" t="str">
        <f>IFERROR(__xludf.DUMMYFUNCTION("""COMPUTED_VALUE"""),"vàng")</f>
        <v>vàng</v>
      </c>
    </row>
    <row r="4267" ht="15.75" customHeight="1">
      <c r="A4267" s="122" t="str">
        <f>IFERROR(__xludf.DUMMYFUNCTION("""COMPUTED_VALUE"""),"0782 726 048")</f>
        <v>0782 726 048</v>
      </c>
      <c r="B4267" s="119" t="str">
        <f>IFERROR(__xludf.DUMMYFUNCTION("""COMPUTED_VALUE"""),"Dì Anh")</f>
        <v>Dì Anh</v>
      </c>
      <c r="C4267" s="119" t="str">
        <f>IFERROR(__xludf.DUMMYFUNCTION("""COMPUTED_VALUE"""),"k102 Huyền Trân Công Chúa")</f>
        <v>k102 Huyền Trân Công Chúa</v>
      </c>
      <c r="D4267" s="119" t="str">
        <f>IFERROR(__xludf.DUMMYFUNCTION("""COMPUTED_VALUE"""),"chó")</f>
        <v>chó</v>
      </c>
      <c r="E4267" s="119" t="str">
        <f>IFERROR(__xludf.DUMMYFUNCTION("""COMPUTED_VALUE"""),"Bin")</f>
        <v>Bin</v>
      </c>
    </row>
    <row r="4268" ht="15.75" customHeight="1">
      <c r="A4268" s="122" t="str">
        <f>IFERROR(__xludf.DUMMYFUNCTION("""COMPUTED_VALUE"""),"0905 814 770")</f>
        <v>0905 814 770</v>
      </c>
      <c r="B4268" s="119" t="str">
        <f>IFERROR(__xludf.DUMMYFUNCTION("""COMPUTED_VALUE"""),"bác châu")</f>
        <v>bác châu</v>
      </c>
      <c r="C4268" s="119" t="str">
        <f>IFERROR(__xludf.DUMMYFUNCTION("""COMPUTED_VALUE"""),"08  nguyễn hữu thọ")</f>
        <v>08  nguyễn hữu thọ</v>
      </c>
      <c r="D4268" s="119" t="str">
        <f>IFERROR(__xludf.DUMMYFUNCTION("""COMPUTED_VALUE"""),"chó")</f>
        <v>chó</v>
      </c>
      <c r="E4268" s="119"/>
    </row>
    <row r="4269" ht="15.75" customHeight="1">
      <c r="A4269" s="122" t="str">
        <f>IFERROR(__xludf.DUMMYFUNCTION("""COMPUTED_VALUE"""),"0938 315 095")</f>
        <v>0938 315 095</v>
      </c>
      <c r="B4269" s="119" t="str">
        <f>IFERROR(__xludf.DUMMYFUNCTION("""COMPUTED_VALUE"""),"Chị Ly")</f>
        <v>Chị Ly</v>
      </c>
      <c r="C4269" s="119" t="str">
        <f>IFERROR(__xludf.DUMMYFUNCTION("""COMPUTED_VALUE"""),"Nguyễn Lộ Trạch")</f>
        <v>Nguyễn Lộ Trạch</v>
      </c>
      <c r="D4269" s="119" t="str">
        <f>IFERROR(__xludf.DUMMYFUNCTION("""COMPUTED_VALUE"""),"chó")</f>
        <v>chó</v>
      </c>
      <c r="E4269" s="119" t="str">
        <f>IFERROR(__xludf.DUMMYFUNCTION("""COMPUTED_VALUE"""),"Cà Phê")</f>
        <v>Cà Phê</v>
      </c>
    </row>
    <row r="4270" ht="15.75" customHeight="1">
      <c r="A4270" s="122" t="str">
        <f>IFERROR(__xludf.DUMMYFUNCTION("""COMPUTED_VALUE"""),"0909 240 600")</f>
        <v>0909 240 600</v>
      </c>
      <c r="B4270" s="119" t="str">
        <f>IFERROR(__xludf.DUMMYFUNCTION("""COMPUTED_VALUE"""),"Phạm Văn Lê")</f>
        <v>Phạm Văn Lê</v>
      </c>
      <c r="C4270" s="119" t="str">
        <f>IFERROR(__xludf.DUMMYFUNCTION("""COMPUTED_VALUE"""),"Phạm Văn Đồng")</f>
        <v>Phạm Văn Đồng</v>
      </c>
      <c r="D4270" s="119" t="str">
        <f>IFERROR(__xludf.DUMMYFUNCTION("""COMPUTED_VALUE"""),"chó")</f>
        <v>chó</v>
      </c>
      <c r="E4270" s="119" t="str">
        <f>IFERROR(__xludf.DUMMYFUNCTION("""COMPUTED_VALUE"""),"MoBi")</f>
        <v>MoBi</v>
      </c>
    </row>
    <row r="4271" ht="15.75" customHeight="1">
      <c r="A4271" s="122" t="str">
        <f>IFERROR(__xludf.DUMMYFUNCTION("""COMPUTED_VALUE"""),"0917 172 481")</f>
        <v>0917 172 481</v>
      </c>
      <c r="B4271" s="119" t="str">
        <f>IFERROR(__xludf.DUMMYFUNCTION("""COMPUTED_VALUE"""),"Em Nhật Hoàng")</f>
        <v>Em Nhật Hoàng</v>
      </c>
      <c r="C4271" s="119" t="str">
        <f>IFERROR(__xludf.DUMMYFUNCTION("""COMPUTED_VALUE"""),"31/69 Đặng huy Trứ")</f>
        <v>31/69 Đặng huy Trứ</v>
      </c>
      <c r="D4271" s="119" t="str">
        <f>IFERROR(__xludf.DUMMYFUNCTION("""COMPUTED_VALUE"""),"chó")</f>
        <v>chó</v>
      </c>
      <c r="E4271" s="119"/>
    </row>
    <row r="4272" ht="15.75" customHeight="1">
      <c r="A4272" s="122" t="str">
        <f>IFERROR(__xludf.DUMMYFUNCTION("""COMPUTED_VALUE"""),"0919 937 322")</f>
        <v>0919 937 322</v>
      </c>
      <c r="B4272" s="119" t="str">
        <f>IFERROR(__xludf.DUMMYFUNCTION("""COMPUTED_VALUE"""),"Chị Nhi")</f>
        <v>Chị Nhi</v>
      </c>
      <c r="C4272" s="119" t="str">
        <f>IFERROR(__xludf.DUMMYFUNCTION("""COMPUTED_VALUE"""),"293 Nguyễn Trãi")</f>
        <v>293 Nguyễn Trãi</v>
      </c>
      <c r="D4272" s="119" t="str">
        <f>IFERROR(__xludf.DUMMYFUNCTION("""COMPUTED_VALUE"""),"mèo")</f>
        <v>mèo</v>
      </c>
      <c r="E4272" s="119"/>
    </row>
    <row r="4273" ht="15.75" customHeight="1">
      <c r="A4273" s="122" t="str">
        <f>IFERROR(__xludf.DUMMYFUNCTION("""COMPUTED_VALUE"""),"0867 402 313")</f>
        <v>0867 402 313</v>
      </c>
      <c r="B4273" s="119" t="str">
        <f>IFERROR(__xludf.DUMMYFUNCTION("""COMPUTED_VALUE"""),"Em Khải")</f>
        <v>Em Khải</v>
      </c>
      <c r="C4273" s="119" t="str">
        <f>IFERROR(__xludf.DUMMYFUNCTION("""COMPUTED_VALUE"""),"240 Lý Nam Đế")</f>
        <v>240 Lý Nam Đế</v>
      </c>
      <c r="D4273" s="119" t="str">
        <f>IFERROR(__xludf.DUMMYFUNCTION("""COMPUTED_VALUE"""),"chó")</f>
        <v>chó</v>
      </c>
      <c r="E4273" s="119" t="str">
        <f>IFERROR(__xludf.DUMMYFUNCTION("""COMPUTED_VALUE"""),"Bitcoin")</f>
        <v>Bitcoin</v>
      </c>
    </row>
    <row r="4274" ht="15.75" customHeight="1">
      <c r="A4274" s="122" t="str">
        <f>IFERROR(__xludf.DUMMYFUNCTION("""COMPUTED_VALUE"""),"0869 225 434")</f>
        <v>0869 225 434</v>
      </c>
      <c r="B4274" s="119" t="str">
        <f>IFERROR(__xludf.DUMMYFUNCTION("""COMPUTED_VALUE"""),"Anh Quý")</f>
        <v>Anh Quý</v>
      </c>
      <c r="C4274" s="119" t="str">
        <f>IFERROR(__xludf.DUMMYFUNCTION("""COMPUTED_VALUE"""),"7/209 Điện Biên Phủ")</f>
        <v>7/209 Điện Biên Phủ</v>
      </c>
      <c r="D4274" s="119" t="str">
        <f>IFERROR(__xludf.DUMMYFUNCTION("""COMPUTED_VALUE"""),"chó ")</f>
        <v>chó </v>
      </c>
      <c r="E4274" s="119" t="str">
        <f>IFERROR(__xludf.DUMMYFUNCTION("""COMPUTED_VALUE"""),"Lu")</f>
        <v>Lu</v>
      </c>
    </row>
    <row r="4275" ht="15.75" customHeight="1">
      <c r="A4275" s="122" t="str">
        <f>IFERROR(__xludf.DUMMYFUNCTION("""COMPUTED_VALUE"""),"0702 757 969")</f>
        <v>0702 757 969</v>
      </c>
      <c r="B4275" s="119" t="str">
        <f>IFERROR(__xludf.DUMMYFUNCTION("""COMPUTED_VALUE"""),"Anh Măng")</f>
        <v>Anh Măng</v>
      </c>
      <c r="C4275" s="119" t="str">
        <f>IFERROR(__xludf.DUMMYFUNCTION("""COMPUTED_VALUE"""),"Hương Hồ")</f>
        <v>Hương Hồ</v>
      </c>
      <c r="D4275" s="119" t="str">
        <f>IFERROR(__xludf.DUMMYFUNCTION("""COMPUTED_VALUE"""),"Chó")</f>
        <v>Chó</v>
      </c>
      <c r="E4275" s="119"/>
    </row>
    <row r="4276" ht="15.75" customHeight="1">
      <c r="A4276" s="122" t="str">
        <f>IFERROR(__xludf.DUMMYFUNCTION("""COMPUTED_VALUE"""),"0857 412 941")</f>
        <v>0857 412 941</v>
      </c>
      <c r="B4276" s="119" t="str">
        <f>IFERROR(__xludf.DUMMYFUNCTION("""COMPUTED_VALUE"""),"Em Toàn")</f>
        <v>Em Toàn</v>
      </c>
      <c r="C4276" s="119" t="str">
        <f>IFERROR(__xludf.DUMMYFUNCTION("""COMPUTED_VALUE"""),"245 Bùi Thị Xuân")</f>
        <v>245 Bùi Thị Xuân</v>
      </c>
      <c r="D4276" s="119" t="str">
        <f>IFERROR(__xludf.DUMMYFUNCTION("""COMPUTED_VALUE"""),"mèo")</f>
        <v>mèo</v>
      </c>
      <c r="E4276" s="119"/>
    </row>
    <row r="4277" ht="15.75" customHeight="1">
      <c r="A4277" s="122" t="str">
        <f>IFERROR(__xludf.DUMMYFUNCTION("""COMPUTED_VALUE"""),"0362 800 975")</f>
        <v>0362 800 975</v>
      </c>
      <c r="B4277" s="119" t="str">
        <f>IFERROR(__xludf.DUMMYFUNCTION("""COMPUTED_VALUE"""),"Nguyễn THị Lan Hương")</f>
        <v>Nguyễn THị Lan Hương</v>
      </c>
      <c r="C4277" s="119" t="str">
        <f>IFERROR(__xludf.DUMMYFUNCTION("""COMPUTED_VALUE"""),"Phú Lộc")</f>
        <v>Phú Lộc</v>
      </c>
      <c r="D4277" s="119" t="str">
        <f>IFERROR(__xludf.DUMMYFUNCTION("""COMPUTED_VALUE"""),"Chó")</f>
        <v>Chó</v>
      </c>
      <c r="E4277" s="119"/>
    </row>
    <row r="4278" ht="15.75" customHeight="1">
      <c r="A4278" s="122" t="str">
        <f>IFERROR(__xludf.DUMMYFUNCTION("""COMPUTED_VALUE"""),"0773 531 985")</f>
        <v>0773 531 985</v>
      </c>
      <c r="B4278" s="119" t="str">
        <f>IFERROR(__xludf.DUMMYFUNCTION("""COMPUTED_VALUE"""),"Trần Văn Nhật")</f>
        <v>Trần Văn Nhật</v>
      </c>
      <c r="C4278" s="119" t="str">
        <f>IFERROR(__xludf.DUMMYFUNCTION("""COMPUTED_VALUE"""),"An Dương Thuận An")</f>
        <v>An Dương Thuận An</v>
      </c>
      <c r="D4278" s="119" t="str">
        <f>IFERROR(__xludf.DUMMYFUNCTION("""COMPUTED_VALUE"""),"Chó")</f>
        <v>Chó</v>
      </c>
      <c r="E4278" s="119" t="str">
        <f>IFERROR(__xludf.DUMMYFUNCTION("""COMPUTED_VALUE"""),"Bin")</f>
        <v>Bin</v>
      </c>
    </row>
    <row r="4279" ht="15.75" customHeight="1">
      <c r="A4279" s="122" t="str">
        <f>IFERROR(__xludf.DUMMYFUNCTION("""COMPUTED_VALUE"""),"0963 921 258")</f>
        <v>0963 921 258</v>
      </c>
      <c r="B4279" s="119" t="str">
        <f>IFERROR(__xludf.DUMMYFUNCTION("""COMPUTED_VALUE"""),"em Thanh Nhàn")</f>
        <v>em Thanh Nhàn</v>
      </c>
      <c r="C4279" s="119" t="str">
        <f>IFERROR(__xludf.DUMMYFUNCTION("""COMPUTED_VALUE"""),"57/18 Nguyễn Hoàng")</f>
        <v>57/18 Nguyễn Hoàng</v>
      </c>
      <c r="D4279" s="119" t="str">
        <f>IFERROR(__xludf.DUMMYFUNCTION("""COMPUTED_VALUE"""),"mèo")</f>
        <v>mèo</v>
      </c>
      <c r="E4279" s="119" t="str">
        <f>IFERROR(__xludf.DUMMYFUNCTION("""COMPUTED_VALUE"""),"miu")</f>
        <v>miu</v>
      </c>
    </row>
    <row r="4280" ht="15.75" customHeight="1">
      <c r="A4280" s="122" t="str">
        <f>IFERROR(__xludf.DUMMYFUNCTION("""COMPUTED_VALUE"""),"0935 366 605")</f>
        <v>0935 366 605</v>
      </c>
      <c r="B4280" s="119" t="str">
        <f>IFERROR(__xludf.DUMMYFUNCTION("""COMPUTED_VALUE"""),"Anh Long")</f>
        <v>Anh Long</v>
      </c>
      <c r="C4280" s="119" t="str">
        <f>IFERROR(__xludf.DUMMYFUNCTION("""COMPUTED_VALUE"""),"100 Minh Mạng")</f>
        <v>100 Minh Mạng</v>
      </c>
      <c r="D4280" s="119" t="str">
        <f>IFERROR(__xludf.DUMMYFUNCTION("""COMPUTED_VALUE"""),"Chó")</f>
        <v>Chó</v>
      </c>
      <c r="E4280" s="119"/>
    </row>
    <row r="4281" ht="15.75" customHeight="1">
      <c r="A4281" s="122" t="str">
        <f>IFERROR(__xludf.DUMMYFUNCTION("""COMPUTED_VALUE"""),"0935 787 367")</f>
        <v>0935 787 367</v>
      </c>
      <c r="B4281" s="119" t="str">
        <f>IFERROR(__xludf.DUMMYFUNCTION("""COMPUTED_VALUE"""),"Quỳnh Anh")</f>
        <v>Quỳnh Anh</v>
      </c>
      <c r="C4281" s="119" t="str">
        <f>IFERROR(__xludf.DUMMYFUNCTION("""COMPUTED_VALUE"""),"thuỷ bằng hương thuỷ")</f>
        <v>thuỷ bằng hương thuỷ</v>
      </c>
      <c r="D4281" s="119" t="str">
        <f>IFERROR(__xludf.DUMMYFUNCTION("""COMPUTED_VALUE"""),"Chó")</f>
        <v>Chó</v>
      </c>
      <c r="E4281" s="119" t="str">
        <f>IFERROR(__xludf.DUMMYFUNCTION("""COMPUTED_VALUE"""),"Gấu")</f>
        <v>Gấu</v>
      </c>
    </row>
    <row r="4282" ht="15.75" customHeight="1">
      <c r="A4282" s="122" t="str">
        <f>IFERROR(__xludf.DUMMYFUNCTION("""COMPUTED_VALUE"""),"0354 070 273")</f>
        <v>0354 070 273</v>
      </c>
      <c r="B4282" s="119" t="str">
        <f>IFERROR(__xludf.DUMMYFUNCTION("""COMPUTED_VALUE"""),"Em Nhật")</f>
        <v>Em Nhật</v>
      </c>
      <c r="C4282" s="119" t="str">
        <f>IFERROR(__xludf.DUMMYFUNCTION("""COMPUTED_VALUE"""),"9/8/11 nguyễn Phúc Lan")</f>
        <v>9/8/11 nguyễn Phúc Lan</v>
      </c>
      <c r="D4282" s="119" t="str">
        <f>IFERROR(__xludf.DUMMYFUNCTION("""COMPUTED_VALUE"""),"Chó")</f>
        <v>Chó</v>
      </c>
      <c r="E4282" s="119" t="str">
        <f>IFERROR(__xludf.DUMMYFUNCTION("""COMPUTED_VALUE"""),"mập")</f>
        <v>mập</v>
      </c>
    </row>
    <row r="4283" ht="15.75" customHeight="1">
      <c r="A4283" s="122" t="str">
        <f>IFERROR(__xludf.DUMMYFUNCTION("""COMPUTED_VALUE"""),"0762 544 861")</f>
        <v>0762 544 861</v>
      </c>
      <c r="B4283" s="119" t="str">
        <f>IFERROR(__xludf.DUMMYFUNCTION("""COMPUTED_VALUE"""),"Nguyễn Thị Hồng")</f>
        <v>Nguyễn Thị Hồng</v>
      </c>
      <c r="C4283" s="119" t="str">
        <f>IFERROR(__xludf.DUMMYFUNCTION("""COMPUTED_VALUE"""),"Vạn Xuân")</f>
        <v>Vạn Xuân</v>
      </c>
      <c r="D4283" s="119" t="str">
        <f>IFERROR(__xludf.DUMMYFUNCTION("""COMPUTED_VALUE"""),"Chó")</f>
        <v>Chó</v>
      </c>
      <c r="E4283" s="119"/>
    </row>
    <row r="4284" ht="15.75" customHeight="1">
      <c r="A4284" s="122"/>
      <c r="B4284" s="119" t="str">
        <f>IFERROR(__xludf.DUMMYFUNCTION("""COMPUTED_VALUE"""),"Chị Bông")</f>
        <v>Chị Bông</v>
      </c>
      <c r="C4284" s="119" t="str">
        <f>IFERROR(__xludf.DUMMYFUNCTION("""COMPUTED_VALUE"""),"Phong Điền")</f>
        <v>Phong Điền</v>
      </c>
      <c r="D4284" s="119" t="str">
        <f>IFERROR(__xludf.DUMMYFUNCTION("""COMPUTED_VALUE"""),"Chó")</f>
        <v>Chó</v>
      </c>
      <c r="E4284" s="119" t="str">
        <f>IFERROR(__xludf.DUMMYFUNCTION("""COMPUTED_VALUE"""),"Em")</f>
        <v>Em</v>
      </c>
    </row>
    <row r="4285" ht="15.75" customHeight="1">
      <c r="A4285" s="122" t="str">
        <f>IFERROR(__xludf.DUMMYFUNCTION("""COMPUTED_VALUE"""),"0396 954 520")</f>
        <v>0396 954 520</v>
      </c>
      <c r="B4285" s="119" t="str">
        <f>IFERROR(__xludf.DUMMYFUNCTION("""COMPUTED_VALUE"""),"Trần Hữu Lộc")</f>
        <v>Trần Hữu Lộc</v>
      </c>
      <c r="C4285" s="119" t="str">
        <f>IFERROR(__xludf.DUMMYFUNCTION("""COMPUTED_VALUE"""),"tổ  2 Kim Long")</f>
        <v>tổ  2 Kim Long</v>
      </c>
      <c r="D4285" s="119" t="str">
        <f>IFERROR(__xludf.DUMMYFUNCTION("""COMPUTED_VALUE"""),"Chó")</f>
        <v>Chó</v>
      </c>
      <c r="E4285" s="119" t="str">
        <f>IFERROR(__xludf.DUMMYFUNCTION("""COMPUTED_VALUE"""),"Lu")</f>
        <v>Lu</v>
      </c>
    </row>
    <row r="4286" ht="15.75" customHeight="1">
      <c r="A4286" s="122" t="str">
        <f>IFERROR(__xludf.DUMMYFUNCTION("""COMPUTED_VALUE"""),"0774 995 098")</f>
        <v>0774 995 098</v>
      </c>
      <c r="B4286" s="119" t="str">
        <f>IFERROR(__xludf.DUMMYFUNCTION("""COMPUTED_VALUE"""),"Anh Phúc")</f>
        <v>Anh Phúc</v>
      </c>
      <c r="C4286" s="119" t="str">
        <f>IFERROR(__xludf.DUMMYFUNCTION("""COMPUTED_VALUE"""),"Lê  Quang Quyền")</f>
        <v>Lê  Quang Quyền</v>
      </c>
      <c r="D4286" s="119" t="str">
        <f>IFERROR(__xludf.DUMMYFUNCTION("""COMPUTED_VALUE"""),"Chó")</f>
        <v>Chó</v>
      </c>
      <c r="E4286" s="119" t="str">
        <f>IFERROR(__xludf.DUMMYFUNCTION("""COMPUTED_VALUE"""),"bát giới")</f>
        <v>bát giới</v>
      </c>
    </row>
    <row r="4287" ht="15.75" customHeight="1">
      <c r="A4287" s="122" t="str">
        <f>IFERROR(__xludf.DUMMYFUNCTION("""COMPUTED_VALUE"""),"0386 528 311")</f>
        <v>0386 528 311</v>
      </c>
      <c r="B4287" s="119" t="str">
        <f>IFERROR(__xludf.DUMMYFUNCTION("""COMPUTED_VALUE"""),"Sư Như Hạnh")</f>
        <v>Sư Như Hạnh</v>
      </c>
      <c r="C4287" s="119" t="str">
        <f>IFERROR(__xludf.DUMMYFUNCTION("""COMPUTED_VALUE"""),"chùa huyền không 1")</f>
        <v>chùa huyền không 1</v>
      </c>
      <c r="D4287" s="119" t="str">
        <f>IFERROR(__xludf.DUMMYFUNCTION("""COMPUTED_VALUE"""),"chó")</f>
        <v>chó</v>
      </c>
      <c r="E4287" s="119" t="str">
        <f>IFERROR(__xludf.DUMMYFUNCTION("""COMPUTED_VALUE"""),"lina")</f>
        <v>lina</v>
      </c>
    </row>
    <row r="4288" ht="15.75" customHeight="1">
      <c r="A4288" s="122" t="str">
        <f>IFERROR(__xludf.DUMMYFUNCTION("""COMPUTED_VALUE"""),"0935 146 935")</f>
        <v>0935 146 935</v>
      </c>
      <c r="B4288" s="119" t="str">
        <f>IFERROR(__xludf.DUMMYFUNCTION("""COMPUTED_VALUE"""),"Anh Lâm")</f>
        <v>Anh Lâm</v>
      </c>
      <c r="C4288" s="119" t="str">
        <f>IFERROR(__xludf.DUMMYFUNCTION("""COMPUTED_VALUE"""),"72 Phạm Thị Liên")</f>
        <v>72 Phạm Thị Liên</v>
      </c>
      <c r="D4288" s="119" t="str">
        <f>IFERROR(__xludf.DUMMYFUNCTION("""COMPUTED_VALUE"""),"chó")</f>
        <v>chó</v>
      </c>
      <c r="E4288" s="119" t="str">
        <f>IFERROR(__xludf.DUMMYFUNCTION("""COMPUTED_VALUE"""),"myu")</f>
        <v>myu</v>
      </c>
    </row>
    <row r="4289" ht="15.75" customHeight="1">
      <c r="A4289" s="122" t="str">
        <f>IFERROR(__xludf.DUMMYFUNCTION("""COMPUTED_VALUE"""),"0338 498 445")</f>
        <v>0338 498 445</v>
      </c>
      <c r="B4289" s="119" t="str">
        <f>IFERROR(__xludf.DUMMYFUNCTION("""COMPUTED_VALUE"""),"Trần Thu Trang")</f>
        <v>Trần Thu Trang</v>
      </c>
      <c r="C4289" s="119" t="str">
        <f>IFERROR(__xludf.DUMMYFUNCTION("""COMPUTED_VALUE"""),"6/24 Lê Văn Can")</f>
        <v>6/24 Lê Văn Can</v>
      </c>
      <c r="D4289" s="119" t="str">
        <f>IFERROR(__xludf.DUMMYFUNCTION("""COMPUTED_VALUE"""),"mèo")</f>
        <v>mèo</v>
      </c>
      <c r="E4289" s="119" t="str">
        <f>IFERROR(__xludf.DUMMYFUNCTION("""COMPUTED_VALUE"""),"Tun")</f>
        <v>Tun</v>
      </c>
    </row>
    <row r="4290" ht="15.75" customHeight="1">
      <c r="A4290" s="122" t="str">
        <f>IFERROR(__xludf.DUMMYFUNCTION("""COMPUTED_VALUE"""),"0905 729 926")</f>
        <v>0905 729 926</v>
      </c>
      <c r="B4290" s="119" t="str">
        <f>IFERROR(__xludf.DUMMYFUNCTION("""COMPUTED_VALUE"""),"Mai Phương Anh ")</f>
        <v>Mai Phương Anh </v>
      </c>
      <c r="C4290" s="119" t="str">
        <f>IFERROR(__xludf.DUMMYFUNCTION("""COMPUTED_VALUE"""),"23/79 Phạm Thị Liên")</f>
        <v>23/79 Phạm Thị Liên</v>
      </c>
      <c r="D4290" s="119" t="str">
        <f>IFERROR(__xludf.DUMMYFUNCTION("""COMPUTED_VALUE"""),"Chó")</f>
        <v>Chó</v>
      </c>
      <c r="E4290" s="119" t="str">
        <f>IFERROR(__xludf.DUMMYFUNCTION("""COMPUTED_VALUE"""),"Lu")</f>
        <v>Lu</v>
      </c>
    </row>
    <row r="4291" ht="15.75" customHeight="1">
      <c r="A4291" s="122" t="str">
        <f>IFERROR(__xludf.DUMMYFUNCTION("""COMPUTED_VALUE"""),"0787 488 527")</f>
        <v>0787 488 527</v>
      </c>
      <c r="B4291" s="119" t="str">
        <f>IFERROR(__xludf.DUMMYFUNCTION("""COMPUTED_VALUE"""),"Chú Trần Đại")</f>
        <v>Chú Trần Đại</v>
      </c>
      <c r="C4291" s="119" t="str">
        <f>IFERROR(__xludf.DUMMYFUNCTION("""COMPUTED_VALUE"""),"34 An Ninh")</f>
        <v>34 An Ninh</v>
      </c>
      <c r="D4291" s="119" t="str">
        <f>IFERROR(__xludf.DUMMYFUNCTION("""COMPUTED_VALUE"""),"Chó")</f>
        <v>Chó</v>
      </c>
      <c r="E4291" s="119" t="str">
        <f>IFERROR(__xludf.DUMMYFUNCTION("""COMPUTED_VALUE"""),"lép")</f>
        <v>lép</v>
      </c>
    </row>
    <row r="4292" ht="15.75" customHeight="1">
      <c r="A4292" s="122" t="str">
        <f>IFERROR(__xludf.DUMMYFUNCTION("""COMPUTED_VALUE"""),"0375 337 207")</f>
        <v>0375 337 207</v>
      </c>
      <c r="B4292" s="119" t="str">
        <f>IFERROR(__xludf.DUMMYFUNCTION("""COMPUTED_VALUE"""),"Chú Bình")</f>
        <v>Chú Bình</v>
      </c>
      <c r="C4292" s="119" t="str">
        <f>IFERROR(__xludf.DUMMYFUNCTION("""COMPUTED_VALUE"""),"187/8 Nguyễn Sinh Cung")</f>
        <v>187/8 Nguyễn Sinh Cung</v>
      </c>
      <c r="D4292" s="119" t="str">
        <f>IFERROR(__xludf.DUMMYFUNCTION("""COMPUTED_VALUE"""),"Chó")</f>
        <v>Chó</v>
      </c>
      <c r="E4292" s="119" t="str">
        <f>IFERROR(__xludf.DUMMYFUNCTION("""COMPUTED_VALUE"""),"Ben")</f>
        <v>Ben</v>
      </c>
    </row>
    <row r="4293" ht="15.75" customHeight="1">
      <c r="A4293" s="122" t="str">
        <f>IFERROR(__xludf.DUMMYFUNCTION("""COMPUTED_VALUE"""),"0782 154 102")</f>
        <v>0782 154 102</v>
      </c>
      <c r="B4293" s="119" t="str">
        <f>IFERROR(__xludf.DUMMYFUNCTION("""COMPUTED_VALUE"""),"Anh Đức")</f>
        <v>Anh Đức</v>
      </c>
      <c r="C4293" s="119" t="str">
        <f>IFERROR(__xludf.DUMMYFUNCTION("""COMPUTED_VALUE"""),"14 lê văn Miên")</f>
        <v>14 lê văn Miên</v>
      </c>
      <c r="D4293" s="119" t="str">
        <f>IFERROR(__xludf.DUMMYFUNCTION("""COMPUTED_VALUE"""),"mèo")</f>
        <v>mèo</v>
      </c>
      <c r="E4293" s="119"/>
    </row>
    <row r="4294" ht="15.75" customHeight="1">
      <c r="A4294" s="122" t="str">
        <f>IFERROR(__xludf.DUMMYFUNCTION("""COMPUTED_VALUE"""),"0913 410 559")</f>
        <v>0913 410 559</v>
      </c>
      <c r="B4294" s="119" t="str">
        <f>IFERROR(__xludf.DUMMYFUNCTION("""COMPUTED_VALUE"""),"Cô Tâm")</f>
        <v>Cô Tâm</v>
      </c>
      <c r="C4294" s="119" t="str">
        <f>IFERROR(__xludf.DUMMYFUNCTION("""COMPUTED_VALUE"""),"322 phan Bội Châu")</f>
        <v>322 phan Bội Châu</v>
      </c>
      <c r="D4294" s="119" t="str">
        <f>IFERROR(__xludf.DUMMYFUNCTION("""COMPUTED_VALUE"""),"Chó")</f>
        <v>Chó</v>
      </c>
      <c r="E4294" s="119"/>
    </row>
    <row r="4295" ht="15.75" customHeight="1">
      <c r="A4295" s="122" t="str">
        <f>IFERROR(__xludf.DUMMYFUNCTION("""COMPUTED_VALUE"""),"0986 749 105")</f>
        <v>0986 749 105</v>
      </c>
      <c r="B4295" s="119" t="str">
        <f>IFERROR(__xludf.DUMMYFUNCTION("""COMPUTED_VALUE"""),"Chị Ngọc")</f>
        <v>Chị Ngọc</v>
      </c>
      <c r="C4295" s="119" t="str">
        <f>IFERROR(__xludf.DUMMYFUNCTION("""COMPUTED_VALUE"""),"14/28 Lê Thánh Tôn")</f>
        <v>14/28 Lê Thánh Tôn</v>
      </c>
      <c r="D4295" s="119" t="str">
        <f>IFERROR(__xludf.DUMMYFUNCTION("""COMPUTED_VALUE"""),"Chó")</f>
        <v>Chó</v>
      </c>
      <c r="E4295" s="119" t="str">
        <f>IFERROR(__xludf.DUMMYFUNCTION("""COMPUTED_VALUE"""),"Ginger")</f>
        <v>Ginger</v>
      </c>
    </row>
    <row r="4296" ht="15.75" customHeight="1">
      <c r="A4296" s="122" t="str">
        <f>IFERROR(__xludf.DUMMYFUNCTION("""COMPUTED_VALUE"""),"0985 005 165")</f>
        <v>0985 005 165</v>
      </c>
      <c r="B4296" s="119" t="str">
        <f>IFERROR(__xludf.DUMMYFUNCTION("""COMPUTED_VALUE"""),"Khách")</f>
        <v>Khách</v>
      </c>
      <c r="C4296" s="119" t="str">
        <f>IFERROR(__xludf.DUMMYFUNCTION("""COMPUTED_VALUE"""),"205 Phan Bội Châu")</f>
        <v>205 Phan Bội Châu</v>
      </c>
      <c r="D4296" s="119" t="str">
        <f>IFERROR(__xludf.DUMMYFUNCTION("""COMPUTED_VALUE"""),"Chó")</f>
        <v>Chó</v>
      </c>
      <c r="E4296" s="119" t="str">
        <f>IFERROR(__xludf.DUMMYFUNCTION("""COMPUTED_VALUE"""),"Vàng")</f>
        <v>Vàng</v>
      </c>
    </row>
    <row r="4297" ht="15.75" customHeight="1">
      <c r="A4297" s="122" t="str">
        <f>IFERROR(__xludf.DUMMYFUNCTION("""COMPUTED_VALUE"""),"0783 635 062")</f>
        <v>0783 635 062</v>
      </c>
      <c r="B4297" s="119" t="str">
        <f>IFERROR(__xludf.DUMMYFUNCTION("""COMPUTED_VALUE"""),"Em Duyên")</f>
        <v>Em Duyên</v>
      </c>
      <c r="C4297" s="119" t="str">
        <f>IFERROR(__xludf.DUMMYFUNCTION("""COMPUTED_VALUE"""),"131 Trần Phú")</f>
        <v>131 Trần Phú</v>
      </c>
      <c r="D4297" s="119" t="str">
        <f>IFERROR(__xludf.DUMMYFUNCTION("""COMPUTED_VALUE"""),"mèo")</f>
        <v>mèo</v>
      </c>
      <c r="E4297" s="119"/>
    </row>
    <row r="4298" ht="15.75" customHeight="1">
      <c r="A4298" s="122" t="str">
        <f>IFERROR(__xludf.DUMMYFUNCTION("""COMPUTED_VALUE"""),"0358 858 823")</f>
        <v>0358 858 823</v>
      </c>
      <c r="B4298" s="119" t="str">
        <f>IFERROR(__xludf.DUMMYFUNCTION("""COMPUTED_VALUE"""),"Em Bảo")</f>
        <v>Em Bảo</v>
      </c>
      <c r="C4298" s="119" t="str">
        <f>IFERROR(__xludf.DUMMYFUNCTION("""COMPUTED_VALUE"""),"12/85 Nguyễn Huệ")</f>
        <v>12/85 Nguyễn Huệ</v>
      </c>
      <c r="D4298" s="119" t="str">
        <f>IFERROR(__xludf.DUMMYFUNCTION("""COMPUTED_VALUE"""),"Mèo")</f>
        <v>Mèo</v>
      </c>
      <c r="E4298" s="119" t="str">
        <f>IFERROR(__xludf.DUMMYFUNCTION("""COMPUTED_VALUE"""),"cherry")</f>
        <v>cherry</v>
      </c>
    </row>
    <row r="4299" ht="15.75" customHeight="1">
      <c r="A4299" s="122" t="str">
        <f>IFERROR(__xludf.DUMMYFUNCTION("""COMPUTED_VALUE"""),"0328 800 522")</f>
        <v>0328 800 522</v>
      </c>
      <c r="B4299" s="119" t="str">
        <f>IFERROR(__xludf.DUMMYFUNCTION("""COMPUTED_VALUE"""),"Ngọc Trân")</f>
        <v>Ngọc Trân</v>
      </c>
      <c r="C4299" s="119" t="str">
        <f>IFERROR(__xludf.DUMMYFUNCTION("""COMPUTED_VALUE"""),"Hương Thọ tp Huế")</f>
        <v>Hương Thọ tp Huế</v>
      </c>
      <c r="D4299" s="119" t="str">
        <f>IFERROR(__xludf.DUMMYFUNCTION("""COMPUTED_VALUE"""),"chó")</f>
        <v>chó</v>
      </c>
      <c r="E4299" s="119" t="str">
        <f>IFERROR(__xludf.DUMMYFUNCTION("""COMPUTED_VALUE"""),"Đô")</f>
        <v>Đô</v>
      </c>
    </row>
    <row r="4300" ht="15.75" customHeight="1">
      <c r="A4300" s="122" t="str">
        <f>IFERROR(__xludf.DUMMYFUNCTION("""COMPUTED_VALUE"""),"0935 500 093")</f>
        <v>0935 500 093</v>
      </c>
      <c r="B4300" s="119" t="str">
        <f>IFERROR(__xludf.DUMMYFUNCTION("""COMPUTED_VALUE"""),"Anh Cương")</f>
        <v>Anh Cương</v>
      </c>
      <c r="C4300" s="119" t="str">
        <f>IFERROR(__xludf.DUMMYFUNCTION("""COMPUTED_VALUE"""),"106/23 Nguyễn Lộ Trạch")</f>
        <v>106/23 Nguyễn Lộ Trạch</v>
      </c>
      <c r="D4300" s="119" t="str">
        <f>IFERROR(__xludf.DUMMYFUNCTION("""COMPUTED_VALUE"""),"Chó")</f>
        <v>Chó</v>
      </c>
      <c r="E4300" s="119" t="str">
        <f>IFERROR(__xludf.DUMMYFUNCTION("""COMPUTED_VALUE"""),"Su")</f>
        <v>Su</v>
      </c>
    </row>
    <row r="4301" ht="15.75" customHeight="1">
      <c r="A4301" s="122" t="str">
        <f>IFERROR(__xludf.DUMMYFUNCTION("""COMPUTED_VALUE"""),"0794 271 588")</f>
        <v>0794 271 588</v>
      </c>
      <c r="B4301" s="119" t="str">
        <f>IFERROR(__xludf.DUMMYFUNCTION("""COMPUTED_VALUE"""),"Châu Giang")</f>
        <v>Châu Giang</v>
      </c>
      <c r="C4301" s="119" t="str">
        <f>IFERROR(__xludf.DUMMYFUNCTION("""COMPUTED_VALUE"""),"55 Võ Thị Sáu")</f>
        <v>55 Võ Thị Sáu</v>
      </c>
      <c r="D4301" s="119" t="str">
        <f>IFERROR(__xludf.DUMMYFUNCTION("""COMPUTED_VALUE"""),"chó")</f>
        <v>chó</v>
      </c>
      <c r="E4301" s="119"/>
    </row>
    <row r="4302" ht="15.75" customHeight="1">
      <c r="A4302" s="122" t="str">
        <f>IFERROR(__xludf.DUMMYFUNCTION("""COMPUTED_VALUE"""),"0905 557 027")</f>
        <v>0905 557 027</v>
      </c>
      <c r="B4302" s="119" t="str">
        <f>IFERROR(__xludf.DUMMYFUNCTION("""COMPUTED_VALUE"""),"Anh Long")</f>
        <v>Anh Long</v>
      </c>
      <c r="C4302" s="119" t="str">
        <f>IFERROR(__xludf.DUMMYFUNCTION("""COMPUTED_VALUE"""),"68 Điện Biên Phủ")</f>
        <v>68 Điện Biên Phủ</v>
      </c>
      <c r="D4302" s="119" t="str">
        <f>IFERROR(__xludf.DUMMYFUNCTION("""COMPUTED_VALUE"""),"chó")</f>
        <v>chó</v>
      </c>
      <c r="E4302" s="119" t="str">
        <f>IFERROR(__xludf.DUMMYFUNCTION("""COMPUTED_VALUE"""),"cỏ")</f>
        <v>cỏ</v>
      </c>
    </row>
    <row r="4303" ht="15.75" customHeight="1">
      <c r="A4303" s="122" t="str">
        <f>IFERROR(__xludf.DUMMYFUNCTION("""COMPUTED_VALUE"""),"0333 466 043")</f>
        <v>0333 466 043</v>
      </c>
      <c r="B4303" s="119" t="str">
        <f>IFERROR(__xludf.DUMMYFUNCTION("""COMPUTED_VALUE"""),"Em Hồng An")</f>
        <v>Em Hồng An</v>
      </c>
      <c r="C4303" s="119" t="str">
        <f>IFERROR(__xludf.DUMMYFUNCTION("""COMPUTED_VALUE"""),"Thuận An")</f>
        <v>Thuận An</v>
      </c>
      <c r="D4303" s="119" t="str">
        <f>IFERROR(__xludf.DUMMYFUNCTION("""COMPUTED_VALUE"""),"Chó")</f>
        <v>Chó</v>
      </c>
      <c r="E4303" s="119" t="str">
        <f>IFERROR(__xludf.DUMMYFUNCTION("""COMPUTED_VALUE"""),"Bông")</f>
        <v>Bông</v>
      </c>
    </row>
    <row r="4304" ht="15.75" customHeight="1">
      <c r="A4304" s="122" t="str">
        <f>IFERROR(__xludf.DUMMYFUNCTION("""COMPUTED_VALUE"""),"0325 428 026")</f>
        <v>0325 428 026</v>
      </c>
      <c r="B4304" s="119" t="str">
        <f>IFERROR(__xludf.DUMMYFUNCTION("""COMPUTED_VALUE"""),"dì Hồng")</f>
        <v>dì Hồng</v>
      </c>
      <c r="C4304" s="119" t="str">
        <f>IFERROR(__xludf.DUMMYFUNCTION("""COMPUTED_VALUE"""),"277 Nguyễn sinh Cung")</f>
        <v>277 Nguyễn sinh Cung</v>
      </c>
      <c r="D4304" s="119" t="str">
        <f>IFERROR(__xludf.DUMMYFUNCTION("""COMPUTED_VALUE"""),"mèo")</f>
        <v>mèo</v>
      </c>
      <c r="E4304" s="119" t="str">
        <f>IFERROR(__xludf.DUMMYFUNCTION("""COMPUTED_VALUE"""),"Công Chúa")</f>
        <v>Công Chúa</v>
      </c>
    </row>
    <row r="4305" ht="15.75" customHeight="1">
      <c r="A4305" s="122" t="str">
        <f>IFERROR(__xludf.DUMMYFUNCTION("""COMPUTED_VALUE"""),"0775 577 005")</f>
        <v>0775 577 005</v>
      </c>
      <c r="B4305" s="119" t="str">
        <f>IFERROR(__xludf.DUMMYFUNCTION("""COMPUTED_VALUE"""),"Chij Nhung")</f>
        <v>Chij Nhung</v>
      </c>
      <c r="C4305" s="119" t="str">
        <f>IFERROR(__xludf.DUMMYFUNCTION("""COMPUTED_VALUE"""),"47 Đặng Tất")</f>
        <v>47 Đặng Tất</v>
      </c>
      <c r="D4305" s="119" t="str">
        <f>IFERROR(__xludf.DUMMYFUNCTION("""COMPUTED_VALUE"""),"Chó")</f>
        <v>Chó</v>
      </c>
      <c r="E4305" s="119" t="str">
        <f>IFERROR(__xludf.DUMMYFUNCTION("""COMPUTED_VALUE"""),"Suri")</f>
        <v>Suri</v>
      </c>
    </row>
    <row r="4306" ht="15.75" customHeight="1">
      <c r="A4306" s="122" t="str">
        <f>IFERROR(__xludf.DUMMYFUNCTION("""COMPUTED_VALUE"""),"0944 875 051")</f>
        <v>0944 875 051</v>
      </c>
      <c r="B4306" s="119" t="str">
        <f>IFERROR(__xludf.DUMMYFUNCTION("""COMPUTED_VALUE"""),"Anh Khương")</f>
        <v>Anh Khương</v>
      </c>
      <c r="C4306" s="119" t="str">
        <f>IFERROR(__xludf.DUMMYFUNCTION("""COMPUTED_VALUE"""),"17/24 Nguyễn Phúc Nguyên")</f>
        <v>17/24 Nguyễn Phúc Nguyên</v>
      </c>
      <c r="D4306" s="119" t="str">
        <f>IFERROR(__xludf.DUMMYFUNCTION("""COMPUTED_VALUE"""),"Chó")</f>
        <v>Chó</v>
      </c>
      <c r="E4306" s="119" t="str">
        <f>IFERROR(__xludf.DUMMYFUNCTION("""COMPUTED_VALUE"""),"Nâu")</f>
        <v>Nâu</v>
      </c>
    </row>
    <row r="4307" ht="15.75" customHeight="1">
      <c r="A4307" s="122" t="str">
        <f>IFERROR(__xludf.DUMMYFUNCTION("""COMPUTED_VALUE"""),"0938 109 932")</f>
        <v>0938 109 932</v>
      </c>
      <c r="B4307" s="119" t="str">
        <f>IFERROR(__xludf.DUMMYFUNCTION("""COMPUTED_VALUE"""),"Em Quốc")</f>
        <v>Em Quốc</v>
      </c>
      <c r="C4307" s="119" t="str">
        <f>IFERROR(__xludf.DUMMYFUNCTION("""COMPUTED_VALUE"""),"Lô D14 KQH Hương Sơ")</f>
        <v>Lô D14 KQH Hương Sơ</v>
      </c>
      <c r="D4307" s="119" t="str">
        <f>IFERROR(__xludf.DUMMYFUNCTION("""COMPUTED_VALUE"""),"Chó")</f>
        <v>Chó</v>
      </c>
      <c r="E4307" s="119" t="str">
        <f>IFERROR(__xludf.DUMMYFUNCTION("""COMPUTED_VALUE"""),"Cam")</f>
        <v>Cam</v>
      </c>
    </row>
    <row r="4308" ht="15.75" customHeight="1">
      <c r="A4308" s="122" t="str">
        <f>IFERROR(__xludf.DUMMYFUNCTION("""COMPUTED_VALUE"""),"0369 973 905")</f>
        <v>0369 973 905</v>
      </c>
      <c r="B4308" s="119" t="str">
        <f>IFERROR(__xludf.DUMMYFUNCTION("""COMPUTED_VALUE"""),"Chị HUyền")</f>
        <v>Chị HUyền</v>
      </c>
      <c r="C4308" s="119" t="str">
        <f>IFERROR(__xludf.DUMMYFUNCTION("""COMPUTED_VALUE"""),"106 Hải Triều")</f>
        <v>106 Hải Triều</v>
      </c>
      <c r="D4308" s="119" t="str">
        <f>IFERROR(__xludf.DUMMYFUNCTION("""COMPUTED_VALUE"""),"Chó")</f>
        <v>Chó</v>
      </c>
      <c r="E4308" s="119" t="str">
        <f>IFERROR(__xludf.DUMMYFUNCTION("""COMPUTED_VALUE"""),"Banh")</f>
        <v>Banh</v>
      </c>
    </row>
    <row r="4309" ht="15.75" customHeight="1">
      <c r="A4309" s="122" t="str">
        <f>IFERROR(__xludf.DUMMYFUNCTION("""COMPUTED_VALUE"""),"0794 526 075")</f>
        <v>0794 526 075</v>
      </c>
      <c r="B4309" s="119" t="str">
        <f>IFERROR(__xludf.DUMMYFUNCTION("""COMPUTED_VALUE"""),"anh Quang")</f>
        <v>anh Quang</v>
      </c>
      <c r="C4309" s="119" t="str">
        <f>IFERROR(__xludf.DUMMYFUNCTION("""COMPUTED_VALUE"""),"Triều Thủy, Phú An")</f>
        <v>Triều Thủy, Phú An</v>
      </c>
      <c r="D4309" s="119" t="str">
        <f>IFERROR(__xludf.DUMMYFUNCTION("""COMPUTED_VALUE"""),"chó")</f>
        <v>chó</v>
      </c>
      <c r="E4309" s="119" t="str">
        <f>IFERROR(__xludf.DUMMYFUNCTION("""COMPUTED_VALUE"""),"Nâu")</f>
        <v>Nâu</v>
      </c>
    </row>
    <row r="4310" ht="15.75" customHeight="1">
      <c r="A4310" s="122" t="str">
        <f>IFERROR(__xludf.DUMMYFUNCTION("""COMPUTED_VALUE"""),"0931 309 206")</f>
        <v>0931 309 206</v>
      </c>
      <c r="B4310" s="119" t="str">
        <f>IFERROR(__xludf.DUMMYFUNCTION("""COMPUTED_VALUE"""),"Cô Huệ")</f>
        <v>Cô Huệ</v>
      </c>
      <c r="C4310" s="119" t="str">
        <f>IFERROR(__xludf.DUMMYFUNCTION("""COMPUTED_VALUE"""),"67B Vạn Xuân")</f>
        <v>67B Vạn Xuân</v>
      </c>
      <c r="D4310" s="119" t="str">
        <f>IFERROR(__xludf.DUMMYFUNCTION("""COMPUTED_VALUE"""),"Chó")</f>
        <v>Chó</v>
      </c>
      <c r="E4310" s="119" t="str">
        <f>IFERROR(__xludf.DUMMYFUNCTION("""COMPUTED_VALUE"""),"Lạc")</f>
        <v>Lạc</v>
      </c>
    </row>
    <row r="4311" ht="15.75" customHeight="1">
      <c r="A4311" s="122" t="str">
        <f>IFERROR(__xludf.DUMMYFUNCTION("""COMPUTED_VALUE"""),"0775 535 619")</f>
        <v>0775 535 619</v>
      </c>
      <c r="B4311" s="119" t="str">
        <f>IFERROR(__xludf.DUMMYFUNCTION("""COMPUTED_VALUE"""),"Em Mai Ý")</f>
        <v>Em Mai Ý</v>
      </c>
      <c r="C4311" s="119" t="str">
        <f>IFERROR(__xludf.DUMMYFUNCTION("""COMPUTED_VALUE"""),"50/16 Phạm Thị Liên")</f>
        <v>50/16 Phạm Thị Liên</v>
      </c>
      <c r="D4311" s="119" t="str">
        <f>IFERROR(__xludf.DUMMYFUNCTION("""COMPUTED_VALUE"""),"Mèo")</f>
        <v>Mèo</v>
      </c>
      <c r="E4311" s="119" t="str">
        <f>IFERROR(__xludf.DUMMYFUNCTION("""COMPUTED_VALUE"""),"Fany")</f>
        <v>Fany</v>
      </c>
    </row>
    <row r="4312" ht="15.75" customHeight="1">
      <c r="A4312" s="122" t="str">
        <f>IFERROR(__xludf.DUMMYFUNCTION("""COMPUTED_VALUE"""),"0979 603 297")</f>
        <v>0979 603 297</v>
      </c>
      <c r="B4312" s="119" t="str">
        <f>IFERROR(__xludf.DUMMYFUNCTION("""COMPUTED_VALUE"""),"Thầy Đăng Nghiêm")</f>
        <v>Thầy Đăng Nghiêm</v>
      </c>
      <c r="C4312" s="119" t="str">
        <f>IFERROR(__xludf.DUMMYFUNCTION("""COMPUTED_VALUE"""),"Chùa Từ Hiếu")</f>
        <v>Chùa Từ Hiếu</v>
      </c>
      <c r="D4312" s="119" t="str">
        <f>IFERROR(__xludf.DUMMYFUNCTION("""COMPUTED_VALUE"""),"mèo")</f>
        <v>mèo</v>
      </c>
      <c r="E4312" s="119"/>
    </row>
    <row r="4313" ht="15.75" customHeight="1">
      <c r="A4313" s="122" t="str">
        <f>IFERROR(__xludf.DUMMYFUNCTION("""COMPUTED_VALUE"""),"0934 136 642")</f>
        <v>0934 136 642</v>
      </c>
      <c r="B4313" s="119" t="str">
        <f>IFERROR(__xludf.DUMMYFUNCTION("""COMPUTED_VALUE"""),"Chị Trang ")</f>
        <v>Chị Trang </v>
      </c>
      <c r="C4313" s="119" t="str">
        <f>IFERROR(__xludf.DUMMYFUNCTION("""COMPUTED_VALUE"""),"Nguyễn Huệ")</f>
        <v>Nguyễn Huệ</v>
      </c>
      <c r="D4313" s="119" t="str">
        <f>IFERROR(__xludf.DUMMYFUNCTION("""COMPUTED_VALUE"""),"chó")</f>
        <v>chó</v>
      </c>
      <c r="E4313" s="119" t="str">
        <f>IFERROR(__xludf.DUMMYFUNCTION("""COMPUTED_VALUE"""),"lai")</f>
        <v>lai</v>
      </c>
    </row>
    <row r="4314" ht="15.75" customHeight="1">
      <c r="A4314" s="122" t="str">
        <f>IFERROR(__xludf.DUMMYFUNCTION("""COMPUTED_VALUE"""),"0911 795 859")</f>
        <v>0911 795 859</v>
      </c>
      <c r="B4314" s="119" t="str">
        <f>IFERROR(__xludf.DUMMYFUNCTION("""COMPUTED_VALUE"""),"Nguyễn Trần Bích Phương")</f>
        <v>Nguyễn Trần Bích Phương</v>
      </c>
      <c r="C4314" s="119" t="str">
        <f>IFERROR(__xludf.DUMMYFUNCTION("""COMPUTED_VALUE"""),"37/5/66 Xuân Diệu")</f>
        <v>37/5/66 Xuân Diệu</v>
      </c>
      <c r="D4314" s="119" t="str">
        <f>IFERROR(__xludf.DUMMYFUNCTION("""COMPUTED_VALUE"""),"chó")</f>
        <v>chó</v>
      </c>
      <c r="E4314" s="119" t="str">
        <f>IFERROR(__xludf.DUMMYFUNCTION("""COMPUTED_VALUE"""),"Miu")</f>
        <v>Miu</v>
      </c>
    </row>
    <row r="4315" ht="15.75" customHeight="1">
      <c r="A4315" s="122" t="str">
        <f>IFERROR(__xludf.DUMMYFUNCTION("""COMPUTED_VALUE"""),"0898 228 589")</f>
        <v>0898 228 589</v>
      </c>
      <c r="B4315" s="119" t="str">
        <f>IFERROR(__xludf.DUMMYFUNCTION("""COMPUTED_VALUE"""),"Sư Pháp Ngân")</f>
        <v>Sư Pháp Ngân</v>
      </c>
      <c r="C4315" s="119" t="str">
        <f>IFERROR(__xludf.DUMMYFUNCTION("""COMPUTED_VALUE"""),"chùa Huyền không sơn thượng")</f>
        <v>chùa Huyền không sơn thượng</v>
      </c>
      <c r="D4315" s="119" t="str">
        <f>IFERROR(__xludf.DUMMYFUNCTION("""COMPUTED_VALUE"""),"chó")</f>
        <v>chó</v>
      </c>
      <c r="E4315" s="119" t="str">
        <f>IFERROR(__xludf.DUMMYFUNCTION("""COMPUTED_VALUE"""),"Me")</f>
        <v>Me</v>
      </c>
    </row>
    <row r="4316" ht="15.75" customHeight="1">
      <c r="A4316" s="122" t="str">
        <f>IFERROR(__xludf.DUMMYFUNCTION("""COMPUTED_VALUE"""),"0348 870 479")</f>
        <v>0348 870 479</v>
      </c>
      <c r="B4316" s="119" t="str">
        <f>IFERROR(__xludf.DUMMYFUNCTION("""COMPUTED_VALUE"""),"Chị Bảo Ngân")</f>
        <v>Chị Bảo Ngân</v>
      </c>
      <c r="C4316" s="119" t="str">
        <f>IFERROR(__xludf.DUMMYFUNCTION("""COMPUTED_VALUE"""),"4/15 Nguyễn Hữu Dật")</f>
        <v>4/15 Nguyễn Hữu Dật</v>
      </c>
      <c r="D4316" s="119" t="str">
        <f>IFERROR(__xludf.DUMMYFUNCTION("""COMPUTED_VALUE"""),"Chó")</f>
        <v>Chó</v>
      </c>
      <c r="E4316" s="119" t="str">
        <f>IFERROR(__xludf.DUMMYFUNCTION("""COMPUTED_VALUE"""),"Tồ")</f>
        <v>Tồ</v>
      </c>
    </row>
    <row r="4317" ht="15.75" customHeight="1">
      <c r="A4317" s="122" t="str">
        <f>IFERROR(__xludf.DUMMYFUNCTION("""COMPUTED_VALUE"""),"0398 780 027")</f>
        <v>0398 780 027</v>
      </c>
      <c r="B4317" s="119" t="str">
        <f>IFERROR(__xludf.DUMMYFUNCTION("""COMPUTED_VALUE"""),"Em Bảo Ngọc")</f>
        <v>Em Bảo Ngọc</v>
      </c>
      <c r="C4317" s="119" t="str">
        <f>IFERROR(__xludf.DUMMYFUNCTION("""COMPUTED_VALUE"""),"Lộc Tiến, Phú Lộc")</f>
        <v>Lộc Tiến, Phú Lộc</v>
      </c>
      <c r="D4317" s="119" t="str">
        <f>IFERROR(__xludf.DUMMYFUNCTION("""COMPUTED_VALUE"""),"mèo")</f>
        <v>mèo</v>
      </c>
      <c r="E4317" s="119" t="str">
        <f>IFERROR(__xludf.DUMMYFUNCTION("""COMPUTED_VALUE"""),"Tép")</f>
        <v>Tép</v>
      </c>
    </row>
    <row r="4318" ht="15.75" customHeight="1">
      <c r="A4318" s="122" t="str">
        <f>IFERROR(__xludf.DUMMYFUNCTION("""COMPUTED_VALUE"""),"0943 015 500")</f>
        <v>0943 015 500</v>
      </c>
      <c r="B4318" s="119" t="str">
        <f>IFERROR(__xludf.DUMMYFUNCTION("""COMPUTED_VALUE"""),"Như Quỳnh")</f>
        <v>Như Quỳnh</v>
      </c>
      <c r="C4318" s="119" t="str">
        <f>IFERROR(__xludf.DUMMYFUNCTION("""COMPUTED_VALUE"""),"4/68 Nguyễn Phúc Chu")</f>
        <v>4/68 Nguyễn Phúc Chu</v>
      </c>
      <c r="D4318" s="119" t="str">
        <f>IFERROR(__xludf.DUMMYFUNCTION("""COMPUTED_VALUE"""),"chó")</f>
        <v>chó</v>
      </c>
      <c r="E4318" s="119" t="str">
        <f>IFERROR(__xludf.DUMMYFUNCTION("""COMPUTED_VALUE"""),"Milac")</f>
        <v>Milac</v>
      </c>
    </row>
    <row r="4319" ht="15.75" customHeight="1">
      <c r="A4319" s="122" t="str">
        <f>IFERROR(__xludf.DUMMYFUNCTION("""COMPUTED_VALUE"""),"0363 268 147")</f>
        <v>0363 268 147</v>
      </c>
      <c r="B4319" s="119" t="str">
        <f>IFERROR(__xludf.DUMMYFUNCTION("""COMPUTED_VALUE"""),"Em Hà")</f>
        <v>Em Hà</v>
      </c>
      <c r="C4319" s="119" t="str">
        <f>IFERROR(__xludf.DUMMYFUNCTION("""COMPUTED_VALUE"""),"53 Nguyễn Hữu Dật")</f>
        <v>53 Nguyễn Hữu Dật</v>
      </c>
      <c r="D4319" s="119" t="str">
        <f>IFERROR(__xludf.DUMMYFUNCTION("""COMPUTED_VALUE"""),"Chó")</f>
        <v>Chó</v>
      </c>
      <c r="E4319" s="119" t="str">
        <f>IFERROR(__xludf.DUMMYFUNCTION("""COMPUTED_VALUE"""),"Heo")</f>
        <v>Heo</v>
      </c>
    </row>
    <row r="4320" ht="15.75" customHeight="1">
      <c r="A4320" s="122" t="str">
        <f>IFERROR(__xludf.DUMMYFUNCTION("""COMPUTED_VALUE"""),"0905 265 695")</f>
        <v>0905 265 695</v>
      </c>
      <c r="B4320" s="119" t="str">
        <f>IFERROR(__xludf.DUMMYFUNCTION("""COMPUTED_VALUE"""),"Anh Ngọc")</f>
        <v>Anh Ngọc</v>
      </c>
      <c r="C4320" s="119" t="str">
        <f>IFERROR(__xludf.DUMMYFUNCTION("""COMPUTED_VALUE"""),"23 Nguyễn Lộ Trạch")</f>
        <v>23 Nguyễn Lộ Trạch</v>
      </c>
      <c r="D4320" s="119" t="str">
        <f>IFERROR(__xludf.DUMMYFUNCTION("""COMPUTED_VALUE"""),"chó")</f>
        <v>chó</v>
      </c>
      <c r="E4320" s="119" t="str">
        <f>IFERROR(__xludf.DUMMYFUNCTION("""COMPUTED_VALUE"""),"Vàng")</f>
        <v>Vàng</v>
      </c>
    </row>
    <row r="4321" ht="15.75" customHeight="1">
      <c r="A4321" s="122" t="str">
        <f>IFERROR(__xludf.DUMMYFUNCTION("""COMPUTED_VALUE"""),"0905 513 880")</f>
        <v>0905 513 880</v>
      </c>
      <c r="B4321" s="119" t="str">
        <f>IFERROR(__xludf.DUMMYFUNCTION("""COMPUTED_VALUE"""),"Chị Lành")</f>
        <v>Chị Lành</v>
      </c>
      <c r="C4321" s="119" t="str">
        <f>IFERROR(__xludf.DUMMYFUNCTION("""COMPUTED_VALUE"""),"31 Hà Huy Giáp")</f>
        <v>31 Hà Huy Giáp</v>
      </c>
      <c r="D4321" s="119" t="str">
        <f>IFERROR(__xludf.DUMMYFUNCTION("""COMPUTED_VALUE"""),"chó")</f>
        <v>chó</v>
      </c>
      <c r="E4321" s="119" t="str">
        <f>IFERROR(__xludf.DUMMYFUNCTION("""COMPUTED_VALUE"""),"coca")</f>
        <v>coca</v>
      </c>
    </row>
    <row r="4322" ht="15.75" customHeight="1">
      <c r="A4322" s="122" t="str">
        <f>IFERROR(__xludf.DUMMYFUNCTION("""COMPUTED_VALUE"""),"0854 594 485")</f>
        <v>0854 594 485</v>
      </c>
      <c r="B4322" s="119" t="str">
        <f>IFERROR(__xludf.DUMMYFUNCTION("""COMPUTED_VALUE"""),"dì Hạnh")</f>
        <v>dì Hạnh</v>
      </c>
      <c r="C4322" s="119" t="str">
        <f>IFERROR(__xludf.DUMMYFUNCTION("""COMPUTED_VALUE"""),"kqh Hương Long")</f>
        <v>kqh Hương Long</v>
      </c>
      <c r="D4322" s="119" t="str">
        <f>IFERROR(__xludf.DUMMYFUNCTION("""COMPUTED_VALUE"""),"chó")</f>
        <v>chó</v>
      </c>
      <c r="E4322" s="119" t="str">
        <f>IFERROR(__xludf.DUMMYFUNCTION("""COMPUTED_VALUE"""),"Nun")</f>
        <v>Nun</v>
      </c>
    </row>
    <row r="4323" ht="15.75" customHeight="1">
      <c r="A4323" s="122" t="str">
        <f>IFERROR(__xludf.DUMMYFUNCTION("""COMPUTED_VALUE"""),"0905 382 001")</f>
        <v>0905 382 001</v>
      </c>
      <c r="B4323" s="119" t="str">
        <f>IFERROR(__xludf.DUMMYFUNCTION("""COMPUTED_VALUE"""),"Chị Sương")</f>
        <v>Chị Sương</v>
      </c>
      <c r="C4323" s="119"/>
      <c r="D4323" s="119" t="str">
        <f>IFERROR(__xludf.DUMMYFUNCTION("""COMPUTED_VALUE"""),"chó")</f>
        <v>chó</v>
      </c>
      <c r="E4323" s="119" t="str">
        <f>IFERROR(__xludf.DUMMYFUNCTION("""COMPUTED_VALUE"""),"Nâu")</f>
        <v>Nâu</v>
      </c>
    </row>
    <row r="4324" ht="15.75" customHeight="1">
      <c r="A4324" s="122" t="str">
        <f>IFERROR(__xludf.DUMMYFUNCTION("""COMPUTED_VALUE"""),"0989 682 607")</f>
        <v>0989 682 607</v>
      </c>
      <c r="B4324" s="119" t="str">
        <f>IFERROR(__xludf.DUMMYFUNCTION("""COMPUTED_VALUE"""),"Mỹ Hoa")</f>
        <v>Mỹ Hoa</v>
      </c>
      <c r="C4324" s="119" t="str">
        <f>IFERROR(__xludf.DUMMYFUNCTION("""COMPUTED_VALUE"""),"7/22 Hà Nội")</f>
        <v>7/22 Hà Nội</v>
      </c>
      <c r="D4324" s="119" t="str">
        <f>IFERROR(__xludf.DUMMYFUNCTION("""COMPUTED_VALUE"""),"mèo")</f>
        <v>mèo</v>
      </c>
      <c r="E4324" s="119" t="str">
        <f>IFERROR(__xludf.DUMMYFUNCTION("""COMPUTED_VALUE"""),"đen")</f>
        <v>đen</v>
      </c>
    </row>
    <row r="4325" ht="15.75" customHeight="1">
      <c r="A4325" s="122" t="str">
        <f>IFERROR(__xludf.DUMMYFUNCTION("""COMPUTED_VALUE"""),"0397 554 240")</f>
        <v>0397 554 240</v>
      </c>
      <c r="B4325" s="119"/>
      <c r="C4325" s="119"/>
      <c r="D4325" s="119"/>
      <c r="E4325" s="119"/>
    </row>
    <row r="4326" ht="15.75" customHeight="1">
      <c r="A4326" s="122" t="str">
        <f>IFERROR(__xludf.DUMMYFUNCTION("""COMPUTED_VALUE"""),"0934 751 769")</f>
        <v>0934 751 769</v>
      </c>
      <c r="B4326" s="119" t="str">
        <f>IFERROR(__xludf.DUMMYFUNCTION("""COMPUTED_VALUE"""),"Hoàng Kim Anh Phụng")</f>
        <v>Hoàng Kim Anh Phụng</v>
      </c>
      <c r="C4326" s="119" t="str">
        <f>IFERROR(__xludf.DUMMYFUNCTION("""COMPUTED_VALUE"""),"23 Xóm giữa, phú thượng")</f>
        <v>23 Xóm giữa, phú thượng</v>
      </c>
      <c r="D4326" s="119" t="str">
        <f>IFERROR(__xludf.DUMMYFUNCTION("""COMPUTED_VALUE"""),"mèo")</f>
        <v>mèo</v>
      </c>
      <c r="E4326" s="119" t="str">
        <f>IFERROR(__xludf.DUMMYFUNCTION("""COMPUTED_VALUE"""),"Măng")</f>
        <v>Măng</v>
      </c>
    </row>
    <row r="4327" ht="15.75" customHeight="1">
      <c r="A4327" s="122" t="str">
        <f>IFERROR(__xludf.DUMMYFUNCTION("""COMPUTED_VALUE"""),"0989 161 476")</f>
        <v>0989 161 476</v>
      </c>
      <c r="B4327" s="119"/>
      <c r="C4327" s="119" t="str">
        <f>IFERROR(__xludf.DUMMYFUNCTION("""COMPUTED_VALUE"""),"n11/1 kqh Thuỷ Thanh")</f>
        <v>n11/1 kqh Thuỷ Thanh</v>
      </c>
      <c r="D4327" s="119" t="str">
        <f>IFERROR(__xludf.DUMMYFUNCTION("""COMPUTED_VALUE"""),"chó")</f>
        <v>chó</v>
      </c>
      <c r="E4327" s="119"/>
    </row>
    <row r="4328" ht="15.75" customHeight="1">
      <c r="A4328" s="122" t="str">
        <f>IFERROR(__xludf.DUMMYFUNCTION("""COMPUTED_VALUE"""),"0977 499 389")</f>
        <v>0977 499 389</v>
      </c>
      <c r="B4328" s="119" t="str">
        <f>IFERROR(__xludf.DUMMYFUNCTION("""COMPUTED_VALUE"""),"Phan Lê Ngọc Tỷ")</f>
        <v>Phan Lê Ngọc Tỷ</v>
      </c>
      <c r="C4328" s="119" t="str">
        <f>IFERROR(__xludf.DUMMYFUNCTION("""COMPUTED_VALUE"""),"8 Nguyễn Thiện Kế")</f>
        <v>8 Nguyễn Thiện Kế</v>
      </c>
      <c r="D4328" s="119" t="str">
        <f>IFERROR(__xludf.DUMMYFUNCTION("""COMPUTED_VALUE"""),"mèo")</f>
        <v>mèo</v>
      </c>
      <c r="E4328" s="119" t="str">
        <f>IFERROR(__xludf.DUMMYFUNCTION("""COMPUTED_VALUE"""),"Muối")</f>
        <v>Muối</v>
      </c>
    </row>
    <row r="4329" ht="15.75" customHeight="1">
      <c r="A4329" s="122" t="str">
        <f>IFERROR(__xludf.DUMMYFUNCTION("""COMPUTED_VALUE"""),"0915 977 476")</f>
        <v>0915 977 476</v>
      </c>
      <c r="B4329" s="119" t="str">
        <f>IFERROR(__xludf.DUMMYFUNCTION("""COMPUTED_VALUE"""),"Chú Tín")</f>
        <v>Chú Tín</v>
      </c>
      <c r="C4329" s="119" t="str">
        <f>IFERROR(__xludf.DUMMYFUNCTION("""COMPUTED_VALUE"""),"73 Vạn Xuân")</f>
        <v>73 Vạn Xuân</v>
      </c>
      <c r="D4329" s="119" t="str">
        <f>IFERROR(__xludf.DUMMYFUNCTION("""COMPUTED_VALUE"""),"chó")</f>
        <v>chó</v>
      </c>
      <c r="E4329" s="119" t="str">
        <f>IFERROR(__xludf.DUMMYFUNCTION("""COMPUTED_VALUE"""),"Red")</f>
        <v>Red</v>
      </c>
    </row>
    <row r="4330" ht="15.75" customHeight="1">
      <c r="A4330" s="122" t="str">
        <f>IFERROR(__xludf.DUMMYFUNCTION("""COMPUTED_VALUE"""),"0912 653 501")</f>
        <v>0912 653 501</v>
      </c>
      <c r="B4330" s="119" t="str">
        <f>IFERROR(__xludf.DUMMYFUNCTION("""COMPUTED_VALUE"""),"Anh Tài")</f>
        <v>Anh Tài</v>
      </c>
      <c r="C4330" s="119" t="str">
        <f>IFERROR(__xludf.DUMMYFUNCTION("""COMPUTED_VALUE"""),"24 Phú Mộng")</f>
        <v>24 Phú Mộng</v>
      </c>
      <c r="D4330" s="119" t="str">
        <f>IFERROR(__xludf.DUMMYFUNCTION("""COMPUTED_VALUE"""),"chó")</f>
        <v>chó</v>
      </c>
      <c r="E4330" s="119"/>
    </row>
    <row r="4331" ht="15.75" customHeight="1">
      <c r="A4331" s="122" t="str">
        <f>IFERROR(__xludf.DUMMYFUNCTION("""COMPUTED_VALUE"""),"0702 326 632")</f>
        <v>0702 326 632</v>
      </c>
      <c r="B4331" s="119" t="str">
        <f>IFERROR(__xludf.DUMMYFUNCTION("""COMPUTED_VALUE"""),"Chị Hằng")</f>
        <v>Chị Hằng</v>
      </c>
      <c r="C4331" s="119" t="str">
        <f>IFERROR(__xludf.DUMMYFUNCTION("""COMPUTED_VALUE"""),"9/2/17 Vạn Xuân")</f>
        <v>9/2/17 Vạn Xuân</v>
      </c>
      <c r="D4331" s="119" t="str">
        <f>IFERROR(__xludf.DUMMYFUNCTION("""COMPUTED_VALUE"""),"chó")</f>
        <v>chó</v>
      </c>
      <c r="E4331" s="119"/>
    </row>
    <row r="4332" ht="15.75" customHeight="1">
      <c r="A4332" s="122" t="str">
        <f>IFERROR(__xludf.DUMMYFUNCTION("""COMPUTED_VALUE"""),"0339 019 174")</f>
        <v>0339 019 174</v>
      </c>
      <c r="B4332" s="119" t="str">
        <f>IFERROR(__xludf.DUMMYFUNCTION("""COMPUTED_VALUE"""),"Chị Linh")</f>
        <v>Chị Linh</v>
      </c>
      <c r="C4332" s="119" t="str">
        <f>IFERROR(__xludf.DUMMYFUNCTION("""COMPUTED_VALUE"""),"Thuận An")</f>
        <v>Thuận An</v>
      </c>
      <c r="D4332" s="119" t="str">
        <f>IFERROR(__xludf.DUMMYFUNCTION("""COMPUTED_VALUE"""),"mèo")</f>
        <v>mèo</v>
      </c>
      <c r="E4332" s="119" t="str">
        <f>IFERROR(__xludf.DUMMYFUNCTION("""COMPUTED_VALUE"""),"Mun")</f>
        <v>Mun</v>
      </c>
    </row>
    <row r="4333" ht="15.75" customHeight="1">
      <c r="A4333" s="122" t="str">
        <f>IFERROR(__xludf.DUMMYFUNCTION("""COMPUTED_VALUE"""),"0935 662 370")</f>
        <v>0935 662 370</v>
      </c>
      <c r="B4333" s="119" t="str">
        <f>IFERROR(__xludf.DUMMYFUNCTION("""COMPUTED_VALUE"""),"Đỗ Tấn Quang")</f>
        <v>Đỗ Tấn Quang</v>
      </c>
      <c r="C4333" s="119" t="str">
        <f>IFERROR(__xludf.DUMMYFUNCTION("""COMPUTED_VALUE"""),"9/35/2/44 Lê Ngô Cát")</f>
        <v>9/35/2/44 Lê Ngô Cát</v>
      </c>
      <c r="D4333" s="119" t="str">
        <f>IFERROR(__xludf.DUMMYFUNCTION("""COMPUTED_VALUE"""),"Chó")</f>
        <v>Chó</v>
      </c>
      <c r="E4333" s="119"/>
    </row>
    <row r="4334" ht="15.75" customHeight="1">
      <c r="A4334" s="122" t="str">
        <f>IFERROR(__xludf.DUMMYFUNCTION("""COMPUTED_VALUE"""),"0935 715 527")</f>
        <v>0935 715 527</v>
      </c>
      <c r="B4334" s="119" t="str">
        <f>IFERROR(__xludf.DUMMYFUNCTION("""COMPUTED_VALUE"""),"Đặng Phước Gia Bảo")</f>
        <v>Đặng Phước Gia Bảo</v>
      </c>
      <c r="C4334" s="119" t="str">
        <f>IFERROR(__xludf.DUMMYFUNCTION("""COMPUTED_VALUE"""),"7 Lưu Trọng Lư Thuận Lộc")</f>
        <v>7 Lưu Trọng Lư Thuận Lộc</v>
      </c>
      <c r="D4334" s="119" t="str">
        <f>IFERROR(__xludf.DUMMYFUNCTION("""COMPUTED_VALUE"""),"mèo")</f>
        <v>mèo</v>
      </c>
      <c r="E4334" s="119" t="str">
        <f>IFERROR(__xludf.DUMMYFUNCTION("""COMPUTED_VALUE"""),"Bắp")</f>
        <v>Bắp</v>
      </c>
    </row>
    <row r="4335" ht="15.75" customHeight="1">
      <c r="A4335" s="122" t="str">
        <f>IFERROR(__xludf.DUMMYFUNCTION("""COMPUTED_VALUE"""),"0856 547 024")</f>
        <v>0856 547 024</v>
      </c>
      <c r="B4335" s="119" t="str">
        <f>IFERROR(__xludf.DUMMYFUNCTION("""COMPUTED_VALUE"""),"Trần Văn Thọ")</f>
        <v>Trần Văn Thọ</v>
      </c>
      <c r="C4335" s="119" t="str">
        <f>IFERROR(__xludf.DUMMYFUNCTION("""COMPUTED_VALUE"""),"19A Lịch Đợi")</f>
        <v>19A Lịch Đợi</v>
      </c>
      <c r="D4335" s="119" t="str">
        <f>IFERROR(__xludf.DUMMYFUNCTION("""COMPUTED_VALUE"""),"Chó")</f>
        <v>Chó</v>
      </c>
      <c r="E4335" s="119" t="str">
        <f>IFERROR(__xludf.DUMMYFUNCTION("""COMPUTED_VALUE"""),"Cá")</f>
        <v>Cá</v>
      </c>
    </row>
    <row r="4336" ht="15.75" customHeight="1">
      <c r="A4336" s="122" t="str">
        <f>IFERROR(__xludf.DUMMYFUNCTION("""COMPUTED_VALUE"""),"0385 372 502")</f>
        <v>0385 372 502</v>
      </c>
      <c r="B4336" s="119" t="str">
        <f>IFERROR(__xludf.DUMMYFUNCTION("""COMPUTED_VALUE"""),"Phạm Thanh Hải")</f>
        <v>Phạm Thanh Hải</v>
      </c>
      <c r="C4336" s="119" t="str">
        <f>IFERROR(__xludf.DUMMYFUNCTION("""COMPUTED_VALUE"""),"l25/8 Khu an cựu city")</f>
        <v>l25/8 Khu an cựu city</v>
      </c>
      <c r="D4336" s="119" t="str">
        <f>IFERROR(__xludf.DUMMYFUNCTION("""COMPUTED_VALUE"""),"chó")</f>
        <v>chó</v>
      </c>
      <c r="E4336" s="119" t="str">
        <f>IFERROR(__xludf.DUMMYFUNCTION("""COMPUTED_VALUE""")," Tom")</f>
        <v> Tom</v>
      </c>
    </row>
    <row r="4337" ht="15.75" customHeight="1">
      <c r="A4337" s="122" t="str">
        <f>IFERROR(__xludf.DUMMYFUNCTION("""COMPUTED_VALUE"""),"0347 439 797")</f>
        <v>0347 439 797</v>
      </c>
      <c r="B4337" s="119" t="str">
        <f>IFERROR(__xludf.DUMMYFUNCTION("""COMPUTED_VALUE"""),"anh Hà")</f>
        <v>anh Hà</v>
      </c>
      <c r="C4337" s="119" t="str">
        <f>IFERROR(__xludf.DUMMYFUNCTION("""COMPUTED_VALUE"""),"9/57 nguyễn hoàng")</f>
        <v>9/57 nguyễn hoàng</v>
      </c>
      <c r="D4337" s="119" t="str">
        <f>IFERROR(__xludf.DUMMYFUNCTION("""COMPUTED_VALUE"""),"chó ")</f>
        <v>chó </v>
      </c>
      <c r="E4337" s="119" t="str">
        <f>IFERROR(__xludf.DUMMYFUNCTION("""COMPUTED_VALUE"""),"kiki")</f>
        <v>kiki</v>
      </c>
    </row>
    <row r="4338" ht="15.75" customHeight="1">
      <c r="A4338" s="122" t="str">
        <f>IFERROR(__xludf.DUMMYFUNCTION("""COMPUTED_VALUE"""),"0775 163 987")</f>
        <v>0775 163 987</v>
      </c>
      <c r="B4338" s="119" t="str">
        <f>IFERROR(__xludf.DUMMYFUNCTION("""COMPUTED_VALUE"""),"em Hoàng")</f>
        <v>em Hoàng</v>
      </c>
      <c r="C4338" s="119" t="str">
        <f>IFERROR(__xludf.DUMMYFUNCTION("""COMPUTED_VALUE"""),"326 Lý Nam Đế")</f>
        <v>326 Lý Nam Đế</v>
      </c>
      <c r="D4338" s="119" t="str">
        <f>IFERROR(__xludf.DUMMYFUNCTION("""COMPUTED_VALUE"""),"chó")</f>
        <v>chó</v>
      </c>
      <c r="E4338" s="119" t="str">
        <f>IFERROR(__xludf.DUMMYFUNCTION("""COMPUTED_VALUE"""),"Beo")</f>
        <v>Beo</v>
      </c>
    </row>
    <row r="4339" ht="15.75" customHeight="1">
      <c r="A4339" s="122" t="str">
        <f>IFERROR(__xludf.DUMMYFUNCTION("""COMPUTED_VALUE"""),"0907 681 976")</f>
        <v>0907 681 976</v>
      </c>
      <c r="B4339" s="119" t="str">
        <f>IFERROR(__xludf.DUMMYFUNCTION("""COMPUTED_VALUE"""),"Anh Nam")</f>
        <v>Anh Nam</v>
      </c>
      <c r="C4339" s="119" t="str">
        <f>IFERROR(__xludf.DUMMYFUNCTION("""COMPUTED_VALUE"""),"40 Bà Triệu")</f>
        <v>40 Bà Triệu</v>
      </c>
      <c r="D4339" s="119" t="str">
        <f>IFERROR(__xludf.DUMMYFUNCTION("""COMPUTED_VALUE"""),"Mèo")</f>
        <v>Mèo</v>
      </c>
      <c r="E4339" s="119" t="str">
        <f>IFERROR(__xludf.DUMMYFUNCTION("""COMPUTED_VALUE"""),"Mao")</f>
        <v>Mao</v>
      </c>
    </row>
    <row r="4340" ht="15.75" customHeight="1">
      <c r="A4340" s="122" t="str">
        <f>IFERROR(__xludf.DUMMYFUNCTION("""COMPUTED_VALUE"""),"0985 799 099")</f>
        <v>0985 799 099</v>
      </c>
      <c r="B4340" s="119" t="str">
        <f>IFERROR(__xludf.DUMMYFUNCTION("""COMPUTED_VALUE"""),"Anh Sứ")</f>
        <v>Anh Sứ</v>
      </c>
      <c r="C4340" s="119"/>
      <c r="D4340" s="119" t="str">
        <f>IFERROR(__xludf.DUMMYFUNCTION("""COMPUTED_VALUE"""),"chó")</f>
        <v>chó</v>
      </c>
      <c r="E4340" s="119" t="str">
        <f>IFERROR(__xludf.DUMMYFUNCTION("""COMPUTED_VALUE"""),"Bun")</f>
        <v>Bun</v>
      </c>
    </row>
    <row r="4341" ht="15.75" customHeight="1">
      <c r="A4341" s="122" t="str">
        <f>IFERROR(__xludf.DUMMYFUNCTION("""COMPUTED_VALUE"""),"0932 566 436")</f>
        <v>0932 566 436</v>
      </c>
      <c r="B4341" s="119" t="str">
        <f>IFERROR(__xludf.DUMMYFUNCTION("""COMPUTED_VALUE"""),"Chị Dung")</f>
        <v>Chị Dung</v>
      </c>
      <c r="C4341" s="119" t="str">
        <f>IFERROR(__xludf.DUMMYFUNCTION("""COMPUTED_VALUE"""),"Điện Biên Phủ")</f>
        <v>Điện Biên Phủ</v>
      </c>
      <c r="D4341" s="119" t="str">
        <f>IFERROR(__xludf.DUMMYFUNCTION("""COMPUTED_VALUE"""),"Chó")</f>
        <v>Chó</v>
      </c>
      <c r="E4341" s="119" t="str">
        <f>IFERROR(__xludf.DUMMYFUNCTION("""COMPUTED_VALUE"""),"Ki")</f>
        <v>Ki</v>
      </c>
    </row>
    <row r="4342" ht="15.75" customHeight="1">
      <c r="A4342" s="122" t="str">
        <f>IFERROR(__xludf.DUMMYFUNCTION("""COMPUTED_VALUE"""),"0905 506 375")</f>
        <v>0905 506 375</v>
      </c>
      <c r="B4342" s="119" t="str">
        <f>IFERROR(__xludf.DUMMYFUNCTION("""COMPUTED_VALUE"""),"Chị Nhi")</f>
        <v>Chị Nhi</v>
      </c>
      <c r="C4342" s="119" t="str">
        <f>IFERROR(__xludf.DUMMYFUNCTION("""COMPUTED_VALUE"""),"197 Bùi Thị Xuân")</f>
        <v>197 Bùi Thị Xuân</v>
      </c>
      <c r="D4342" s="119" t="str">
        <f>IFERROR(__xludf.DUMMYFUNCTION("""COMPUTED_VALUE"""),"Chó")</f>
        <v>Chó</v>
      </c>
      <c r="E4342" s="119" t="str">
        <f>IFERROR(__xludf.DUMMYFUNCTION("""COMPUTED_VALUE"""),"Min")</f>
        <v>Min</v>
      </c>
    </row>
    <row r="4343" ht="15.75" customHeight="1">
      <c r="A4343" s="122" t="str">
        <f>IFERROR(__xludf.DUMMYFUNCTION("""COMPUTED_VALUE"""),"0385 243 812")</f>
        <v>0385 243 812</v>
      </c>
      <c r="B4343" s="119" t="str">
        <f>IFERROR(__xludf.DUMMYFUNCTION("""COMPUTED_VALUE"""),"Dì Hương")</f>
        <v>Dì Hương</v>
      </c>
      <c r="C4343" s="119" t="str">
        <f>IFERROR(__xludf.DUMMYFUNCTION("""COMPUTED_VALUE"""),"Phú Vang")</f>
        <v>Phú Vang</v>
      </c>
      <c r="D4343" s="119" t="str">
        <f>IFERROR(__xludf.DUMMYFUNCTION("""COMPUTED_VALUE"""),"Mèo")</f>
        <v>Mèo</v>
      </c>
      <c r="E4343" s="119" t="str">
        <f>IFERROR(__xludf.DUMMYFUNCTION("""COMPUTED_VALUE"""),"Bông")</f>
        <v>Bông</v>
      </c>
    </row>
    <row r="4344" ht="15.75" customHeight="1">
      <c r="A4344" s="122" t="str">
        <f>IFERROR(__xludf.DUMMYFUNCTION("""COMPUTED_VALUE"""),"0914 236 556")</f>
        <v>0914 236 556</v>
      </c>
      <c r="B4344" s="119" t="str">
        <f>IFERROR(__xludf.DUMMYFUNCTION("""COMPUTED_VALUE"""),"Phan thị sông Hương")</f>
        <v>Phan thị sông Hương</v>
      </c>
      <c r="C4344" s="119" t="str">
        <f>IFERROR(__xludf.DUMMYFUNCTION("""COMPUTED_VALUE"""),"34 Lương Nhữ Hộc")</f>
        <v>34 Lương Nhữ Hộc</v>
      </c>
      <c r="D4344" s="119" t="str">
        <f>IFERROR(__xludf.DUMMYFUNCTION("""COMPUTED_VALUE"""),"chó")</f>
        <v>chó</v>
      </c>
      <c r="E4344" s="119" t="str">
        <f>IFERROR(__xludf.DUMMYFUNCTION("""COMPUTED_VALUE"""),"Texdy")</f>
        <v>Texdy</v>
      </c>
    </row>
    <row r="4345" ht="15.75" customHeight="1">
      <c r="A4345" s="122" t="str">
        <f>IFERROR(__xludf.DUMMYFUNCTION("""COMPUTED_VALUE"""),"0948 765 339")</f>
        <v>0948 765 339</v>
      </c>
      <c r="B4345" s="119" t="str">
        <f>IFERROR(__xludf.DUMMYFUNCTION("""COMPUTED_VALUE"""),"Chị Diễm Quỳnh")</f>
        <v>Chị Diễm Quỳnh</v>
      </c>
      <c r="C4345" s="119" t="str">
        <f>IFERROR(__xludf.DUMMYFUNCTION("""COMPUTED_VALUE"""),"Võ Thị sáu")</f>
        <v>Võ Thị sáu</v>
      </c>
      <c r="D4345" s="119" t="str">
        <f>IFERROR(__xludf.DUMMYFUNCTION("""COMPUTED_VALUE"""),"Chó")</f>
        <v>Chó</v>
      </c>
      <c r="E4345" s="119" t="str">
        <f>IFERROR(__xludf.DUMMYFUNCTION("""COMPUTED_VALUE"""),"Fox")</f>
        <v>Fox</v>
      </c>
    </row>
    <row r="4346" ht="15.75" customHeight="1">
      <c r="A4346" s="122" t="str">
        <f>IFERROR(__xludf.DUMMYFUNCTION("""COMPUTED_VALUE"""),"0796 696 857")</f>
        <v>0796 696 857</v>
      </c>
      <c r="B4346" s="119" t="str">
        <f>IFERROR(__xludf.DUMMYFUNCTION("""COMPUTED_VALUE"""),"Trần Thị Thủy")</f>
        <v>Trần Thị Thủy</v>
      </c>
      <c r="C4346" s="119" t="str">
        <f>IFERROR(__xludf.DUMMYFUNCTION("""COMPUTED_VALUE"""),"Thủy Xuân")</f>
        <v>Thủy Xuân</v>
      </c>
      <c r="D4346" s="119" t="str">
        <f>IFERROR(__xludf.DUMMYFUNCTION("""COMPUTED_VALUE"""),"Chó")</f>
        <v>Chó</v>
      </c>
      <c r="E4346" s="119" t="str">
        <f>IFERROR(__xludf.DUMMYFUNCTION("""COMPUTED_VALUE"""),"Đen")</f>
        <v>Đen</v>
      </c>
    </row>
    <row r="4347" ht="15.75" customHeight="1">
      <c r="A4347" s="122" t="str">
        <f>IFERROR(__xludf.DUMMYFUNCTION("""COMPUTED_VALUE"""),"0349 117 209")</f>
        <v>0349 117 209</v>
      </c>
      <c r="B4347" s="119" t="str">
        <f>IFERROR(__xludf.DUMMYFUNCTION("""COMPUTED_VALUE"""),"Thanh Thảo")</f>
        <v>Thanh Thảo</v>
      </c>
      <c r="C4347" s="119" t="str">
        <f>IFERROR(__xludf.DUMMYFUNCTION("""COMPUTED_VALUE"""),"4/1 Thân Trọng Phước")</f>
        <v>4/1 Thân Trọng Phước</v>
      </c>
      <c r="D4347" s="119" t="str">
        <f>IFERROR(__xludf.DUMMYFUNCTION("""COMPUTED_VALUE"""),"Mèo")</f>
        <v>Mèo</v>
      </c>
      <c r="E4347" s="119"/>
    </row>
    <row r="4348" ht="15.75" customHeight="1">
      <c r="A4348" s="122" t="str">
        <f>IFERROR(__xludf.DUMMYFUNCTION("""COMPUTED_VALUE"""),"0359 987 141 ")</f>
        <v>0359 987 141 </v>
      </c>
      <c r="B4348" s="119" t="str">
        <f>IFERROR(__xludf.DUMMYFUNCTION("""COMPUTED_VALUE"""),"Em Giao")</f>
        <v>Em Giao</v>
      </c>
      <c r="C4348" s="119" t="str">
        <f>IFERROR(__xludf.DUMMYFUNCTION("""COMPUTED_VALUE"""),"333/1 Nguyễn Trãi")</f>
        <v>333/1 Nguyễn Trãi</v>
      </c>
      <c r="D4348" s="119" t="str">
        <f>IFERROR(__xludf.DUMMYFUNCTION("""COMPUTED_VALUE"""),"mèo")</f>
        <v>mèo</v>
      </c>
      <c r="E4348" s="119" t="str">
        <f>IFERROR(__xludf.DUMMYFUNCTION("""COMPUTED_VALUE"""),"Nhiên")</f>
        <v>Nhiên</v>
      </c>
    </row>
    <row r="4349" ht="15.75" customHeight="1">
      <c r="A4349" s="122" t="str">
        <f>IFERROR(__xludf.DUMMYFUNCTION("""COMPUTED_VALUE"""),"0234 381 4564")</f>
        <v>0234 381 4564</v>
      </c>
      <c r="B4349" s="119" t="str">
        <f>IFERROR(__xludf.DUMMYFUNCTION("""COMPUTED_VALUE"""),"Bác Ngộ")</f>
        <v>Bác Ngộ</v>
      </c>
      <c r="C4349" s="119" t="str">
        <f>IFERROR(__xludf.DUMMYFUNCTION("""COMPUTED_VALUE"""),"47/8/8 Hồ Đắc Di")</f>
        <v>47/8/8 Hồ Đắc Di</v>
      </c>
      <c r="D4349" s="119" t="str">
        <f>IFERROR(__xludf.DUMMYFUNCTION("""COMPUTED_VALUE"""),"Chó")</f>
        <v>Chó</v>
      </c>
      <c r="E4349" s="119" t="str">
        <f>IFERROR(__xludf.DUMMYFUNCTION("""COMPUTED_VALUE"""),"Sữa")</f>
        <v>Sữa</v>
      </c>
    </row>
    <row r="4350" ht="15.75" customHeight="1">
      <c r="A4350" s="122" t="str">
        <f>IFERROR(__xludf.DUMMYFUNCTION("""COMPUTED_VALUE"""),"0905 757 699")</f>
        <v>0905 757 699</v>
      </c>
      <c r="B4350" s="119" t="str">
        <f>IFERROR(__xludf.DUMMYFUNCTION("""COMPUTED_VALUE"""),"Lê Thị Bích Phương/chị tâm")</f>
        <v>Lê Thị Bích Phương/chị tâm</v>
      </c>
      <c r="C4350" s="119" t="str">
        <f>IFERROR(__xludf.DUMMYFUNCTION("""COMPUTED_VALUE"""),"153 Phan Bội Châu")</f>
        <v>153 Phan Bội Châu</v>
      </c>
      <c r="D4350" s="119" t="str">
        <f>IFERROR(__xludf.DUMMYFUNCTION("""COMPUTED_VALUE"""),"Chó")</f>
        <v>Chó</v>
      </c>
      <c r="E4350" s="119" t="str">
        <f>IFERROR(__xludf.DUMMYFUNCTION("""COMPUTED_VALUE"""),"minu")</f>
        <v>minu</v>
      </c>
    </row>
    <row r="4351" ht="15.75" customHeight="1">
      <c r="A4351" s="122" t="str">
        <f>IFERROR(__xludf.DUMMYFUNCTION("""COMPUTED_VALUE"""),"0707 037 051")</f>
        <v>0707 037 051</v>
      </c>
      <c r="B4351" s="119" t="str">
        <f>IFERROR(__xludf.DUMMYFUNCTION("""COMPUTED_VALUE"""),"Anh Tống")</f>
        <v>Anh Tống</v>
      </c>
      <c r="C4351" s="119" t="str">
        <f>IFERROR(__xludf.DUMMYFUNCTION("""COMPUTED_VALUE"""),"k 103 Lê Ngô Cát")</f>
        <v>k 103 Lê Ngô Cát</v>
      </c>
      <c r="D4351" s="119" t="str">
        <f>IFERROR(__xludf.DUMMYFUNCTION("""COMPUTED_VALUE"""),"Chó")</f>
        <v>Chó</v>
      </c>
      <c r="E4351" s="119"/>
    </row>
    <row r="4352" ht="15.75" customHeight="1">
      <c r="A4352" s="122" t="str">
        <f>IFERROR(__xludf.DUMMYFUNCTION("""COMPUTED_VALUE"""),"0762 623 238")</f>
        <v>0762 623 238</v>
      </c>
      <c r="B4352" s="119" t="str">
        <f>IFERROR(__xludf.DUMMYFUNCTION("""COMPUTED_VALUE"""),"Dương Lê Hoài Phong")</f>
        <v>Dương Lê Hoài Phong</v>
      </c>
      <c r="C4352" s="119" t="str">
        <f>IFERROR(__xludf.DUMMYFUNCTION("""COMPUTED_VALUE"""),"37 Ấu Triệu")</f>
        <v>37 Ấu Triệu</v>
      </c>
      <c r="D4352" s="119" t="str">
        <f>IFERROR(__xludf.DUMMYFUNCTION("""COMPUTED_VALUE"""),"CHó")</f>
        <v>CHó</v>
      </c>
      <c r="E4352" s="119" t="str">
        <f>IFERROR(__xludf.DUMMYFUNCTION("""COMPUTED_VALUE"""),"chiên")</f>
        <v>chiên</v>
      </c>
    </row>
    <row r="4353" ht="15.75" customHeight="1">
      <c r="A4353" s="122" t="str">
        <f>IFERROR(__xludf.DUMMYFUNCTION("""COMPUTED_VALUE"""),"0386 000 988")</f>
        <v>0386 000 988</v>
      </c>
      <c r="B4353" s="119" t="str">
        <f>IFERROR(__xludf.DUMMYFUNCTION("""COMPUTED_VALUE"""),"Chị Ngọc Anh")</f>
        <v>Chị Ngọc Anh</v>
      </c>
      <c r="C4353" s="119" t="str">
        <f>IFERROR(__xludf.DUMMYFUNCTION("""COMPUTED_VALUE"""),"3/149 Trần Phú")</f>
        <v>3/149 Trần Phú</v>
      </c>
      <c r="D4353" s="119" t="str">
        <f>IFERROR(__xludf.DUMMYFUNCTION("""COMPUTED_VALUE"""),"Chó")</f>
        <v>Chó</v>
      </c>
      <c r="E4353" s="119"/>
    </row>
    <row r="4354" ht="15.75" customHeight="1">
      <c r="A4354" s="122" t="str">
        <f>IFERROR(__xludf.DUMMYFUNCTION("""COMPUTED_VALUE"""),"0936 041 984")</f>
        <v>0936 041 984</v>
      </c>
      <c r="B4354" s="119" t="str">
        <f>IFERROR(__xludf.DUMMYFUNCTION("""COMPUTED_VALUE"""),"Nguyễn Thị thu Phương")</f>
        <v>Nguyễn Thị thu Phương</v>
      </c>
      <c r="C4354" s="119" t="str">
        <f>IFERROR(__xludf.DUMMYFUNCTION("""COMPUTED_VALUE"""),"Cầu Hai- Phú lộc")</f>
        <v>Cầu Hai- Phú lộc</v>
      </c>
      <c r="D4354" s="119" t="str">
        <f>IFERROR(__xludf.DUMMYFUNCTION("""COMPUTED_VALUE"""),"Chó")</f>
        <v>Chó</v>
      </c>
      <c r="E4354" s="119" t="str">
        <f>IFERROR(__xludf.DUMMYFUNCTION("""COMPUTED_VALUE"""),"Quắn")</f>
        <v>Quắn</v>
      </c>
    </row>
    <row r="4355" ht="15.75" customHeight="1">
      <c r="A4355" s="122" t="str">
        <f>IFERROR(__xludf.DUMMYFUNCTION("""COMPUTED_VALUE"""),"0909 116 313")</f>
        <v>0909 116 313</v>
      </c>
      <c r="B4355" s="119" t="str">
        <f>IFERROR(__xludf.DUMMYFUNCTION("""COMPUTED_VALUE"""),"Hồ Thị Anh Thi")</f>
        <v>Hồ Thị Anh Thi</v>
      </c>
      <c r="C4355" s="119" t="str">
        <f>IFERROR(__xludf.DUMMYFUNCTION("""COMPUTED_VALUE"""),"131 Trần Phú")</f>
        <v>131 Trần Phú</v>
      </c>
      <c r="D4355" s="119" t="str">
        <f>IFERROR(__xludf.DUMMYFUNCTION("""COMPUTED_VALUE"""),"Chó")</f>
        <v>Chó</v>
      </c>
      <c r="E4355" s="119" t="str">
        <f>IFERROR(__xludf.DUMMYFUNCTION("""COMPUTED_VALUE"""),"Bông")</f>
        <v>Bông</v>
      </c>
    </row>
    <row r="4356" ht="15.75" customHeight="1">
      <c r="A4356" s="122" t="str">
        <f>IFERROR(__xludf.DUMMYFUNCTION("""COMPUTED_VALUE"""),"0383 729 436")</f>
        <v>0383 729 436</v>
      </c>
      <c r="B4356" s="119" t="str">
        <f>IFERROR(__xludf.DUMMYFUNCTION("""COMPUTED_VALUE"""),"Em Vinh")</f>
        <v>Em Vinh</v>
      </c>
      <c r="C4356" s="119" t="str">
        <f>IFERROR(__xludf.DUMMYFUNCTION("""COMPUTED_VALUE"""),"8/3 Lương Văn Can")</f>
        <v>8/3 Lương Văn Can</v>
      </c>
      <c r="D4356" s="119" t="str">
        <f>IFERROR(__xludf.DUMMYFUNCTION("""COMPUTED_VALUE"""),"Chó")</f>
        <v>Chó</v>
      </c>
      <c r="E4356" s="119" t="str">
        <f>IFERROR(__xludf.DUMMYFUNCTION("""COMPUTED_VALUE"""),"Bốp")</f>
        <v>Bốp</v>
      </c>
    </row>
    <row r="4357" ht="15.75" customHeight="1">
      <c r="A4357" s="122" t="str">
        <f>IFERROR(__xludf.DUMMYFUNCTION("""COMPUTED_VALUE"""),"0332 317 998")</f>
        <v>0332 317 998</v>
      </c>
      <c r="B4357" s="119" t="str">
        <f>IFERROR(__xludf.DUMMYFUNCTION("""COMPUTED_VALUE"""),"Em Khánh")</f>
        <v>Em Khánh</v>
      </c>
      <c r="C4357" s="119" t="str">
        <f>IFERROR(__xludf.DUMMYFUNCTION("""COMPUTED_VALUE"""),"76 Lê Ngô Cát")</f>
        <v>76 Lê Ngô Cát</v>
      </c>
      <c r="D4357" s="119" t="str">
        <f>IFERROR(__xludf.DUMMYFUNCTION("""COMPUTED_VALUE"""),"mèo")</f>
        <v>mèo</v>
      </c>
      <c r="E4357" s="119"/>
    </row>
    <row r="4358" ht="15.75" customHeight="1">
      <c r="A4358" s="122" t="str">
        <f>IFERROR(__xludf.DUMMYFUNCTION("""COMPUTED_VALUE"""),"0898 235 234")</f>
        <v>0898 235 234</v>
      </c>
      <c r="B4358" s="119" t="str">
        <f>IFERROR(__xludf.DUMMYFUNCTION("""COMPUTED_VALUE"""),"Chị Bé")</f>
        <v>Chị Bé</v>
      </c>
      <c r="C4358" s="119" t="str">
        <f>IFERROR(__xludf.DUMMYFUNCTION("""COMPUTED_VALUE"""),"15/100 Đặng Huy Trứ")</f>
        <v>15/100 Đặng Huy Trứ</v>
      </c>
      <c r="D4358" s="119" t="str">
        <f>IFERROR(__xludf.DUMMYFUNCTION("""COMPUTED_VALUE"""),"Mèo")</f>
        <v>Mèo</v>
      </c>
      <c r="E4358" s="119" t="str">
        <f>IFERROR(__xludf.DUMMYFUNCTION("""COMPUTED_VALUE"""),"Đèo")</f>
        <v>Đèo</v>
      </c>
    </row>
    <row r="4359" ht="15.75" customHeight="1">
      <c r="A4359" s="122" t="str">
        <f>IFERROR(__xludf.DUMMYFUNCTION("""COMPUTED_VALUE"""),"0905 996 593")</f>
        <v>0905 996 593</v>
      </c>
      <c r="B4359" s="119" t="str">
        <f>IFERROR(__xludf.DUMMYFUNCTION("""COMPUTED_VALUE"""),"Anh Thành")</f>
        <v>Anh Thành</v>
      </c>
      <c r="C4359" s="119" t="str">
        <f>IFERROR(__xludf.DUMMYFUNCTION("""COMPUTED_VALUE"""),"48 Phạm Thị Liên")</f>
        <v>48 Phạm Thị Liên</v>
      </c>
      <c r="D4359" s="119" t="str">
        <f>IFERROR(__xludf.DUMMYFUNCTION("""COMPUTED_VALUE"""),"chó")</f>
        <v>chó</v>
      </c>
      <c r="E4359" s="119" t="str">
        <f>IFERROR(__xludf.DUMMYFUNCTION("""COMPUTED_VALUE"""),"Vện")</f>
        <v>Vện</v>
      </c>
    </row>
    <row r="4360" ht="15.75" customHeight="1">
      <c r="A4360" s="122" t="str">
        <f>IFERROR(__xludf.DUMMYFUNCTION("""COMPUTED_VALUE"""),"0582 747 458")</f>
        <v>0582 747 458</v>
      </c>
      <c r="B4360" s="119" t="str">
        <f>IFERROR(__xludf.DUMMYFUNCTION("""COMPUTED_VALUE"""),"Lê Thị Thuỳ Trâm")</f>
        <v>Lê Thị Thuỳ Trâm</v>
      </c>
      <c r="C4360" s="119" t="str">
        <f>IFERROR(__xludf.DUMMYFUNCTION("""COMPUTED_VALUE"""),"10 Lê Quang Quyền")</f>
        <v>10 Lê Quang Quyền</v>
      </c>
      <c r="D4360" s="119" t="str">
        <f>IFERROR(__xludf.DUMMYFUNCTION("""COMPUTED_VALUE"""),"chó")</f>
        <v>chó</v>
      </c>
      <c r="E4360" s="119" t="str">
        <f>IFERROR(__xludf.DUMMYFUNCTION("""COMPUTED_VALUE"""),"Mỡ")</f>
        <v>Mỡ</v>
      </c>
    </row>
    <row r="4361" ht="15.75" customHeight="1">
      <c r="A4361" s="122" t="str">
        <f>IFERROR(__xludf.DUMMYFUNCTION("""COMPUTED_VALUE"""),"0934 861 713")</f>
        <v>0934 861 713</v>
      </c>
      <c r="B4361" s="119" t="str">
        <f>IFERROR(__xludf.DUMMYFUNCTION("""COMPUTED_VALUE"""),"Chị Uyên")</f>
        <v>Chị Uyên</v>
      </c>
      <c r="C4361" s="119" t="str">
        <f>IFERROR(__xludf.DUMMYFUNCTION("""COMPUTED_VALUE"""),"Thuận An")</f>
        <v>Thuận An</v>
      </c>
      <c r="D4361" s="119" t="str">
        <f>IFERROR(__xludf.DUMMYFUNCTION("""COMPUTED_VALUE"""),"chó")</f>
        <v>chó</v>
      </c>
      <c r="E4361" s="119" t="str">
        <f>IFERROR(__xludf.DUMMYFUNCTION("""COMPUTED_VALUE""")," ko tên")</f>
        <v> ko tên</v>
      </c>
    </row>
    <row r="4362" ht="15.75" customHeight="1">
      <c r="A4362" s="122" t="str">
        <f>IFERROR(__xludf.DUMMYFUNCTION("""COMPUTED_VALUE"""),"0934 986 164")</f>
        <v>0934 986 164</v>
      </c>
      <c r="B4362" s="119" t="str">
        <f>IFERROR(__xludf.DUMMYFUNCTION("""COMPUTED_VALUE"""),"Chị Phi")</f>
        <v>Chị Phi</v>
      </c>
      <c r="C4362" s="119" t="str">
        <f>IFERROR(__xludf.DUMMYFUNCTION("""COMPUTED_VALUE"""),"1A Phạm Văn Đồng")</f>
        <v>1A Phạm Văn Đồng</v>
      </c>
      <c r="D4362" s="119" t="str">
        <f>IFERROR(__xludf.DUMMYFUNCTION("""COMPUTED_VALUE"""),"chó")</f>
        <v>chó</v>
      </c>
      <c r="E4362" s="119" t="str">
        <f>IFERROR(__xludf.DUMMYFUNCTION("""COMPUTED_VALUE"""),"lu")</f>
        <v>lu</v>
      </c>
    </row>
    <row r="4363" ht="15.75" customHeight="1">
      <c r="A4363" s="122" t="str">
        <f>IFERROR(__xludf.DUMMYFUNCTION("""COMPUTED_VALUE"""),"0866 915 952")</f>
        <v>0866 915 952</v>
      </c>
      <c r="B4363" s="119" t="str">
        <f>IFERROR(__xludf.DUMMYFUNCTION("""COMPUTED_VALUE"""),"chú Phạm Văn Hoanh")</f>
        <v>chú Phạm Văn Hoanh</v>
      </c>
      <c r="C4363" s="119" t="str">
        <f>IFERROR(__xludf.DUMMYFUNCTION("""COMPUTED_VALUE"""),"152 Kim Long")</f>
        <v>152 Kim Long</v>
      </c>
      <c r="D4363" s="119" t="str">
        <f>IFERROR(__xludf.DUMMYFUNCTION("""COMPUTED_VALUE"""),"chó")</f>
        <v>chó</v>
      </c>
      <c r="E4363" s="119" t="str">
        <f>IFERROR(__xludf.DUMMYFUNCTION("""COMPUTED_VALUE"""),"Ve")</f>
        <v>Ve</v>
      </c>
    </row>
    <row r="4364" ht="15.75" customHeight="1">
      <c r="A4364" s="122" t="str">
        <f>IFERROR(__xludf.DUMMYFUNCTION("""COMPUTED_VALUE"""),"0979 139 272")</f>
        <v>0979 139 272</v>
      </c>
      <c r="B4364" s="119" t="str">
        <f>IFERROR(__xludf.DUMMYFUNCTION("""COMPUTED_VALUE"""),"Chị Thảo")</f>
        <v>Chị Thảo</v>
      </c>
      <c r="C4364" s="119" t="str">
        <f>IFERROR(__xludf.DUMMYFUNCTION("""COMPUTED_VALUE"""),"114 Trường Chinh")</f>
        <v>114 Trường Chinh</v>
      </c>
      <c r="D4364" s="119" t="str">
        <f>IFERROR(__xludf.DUMMYFUNCTION("""COMPUTED_VALUE"""),"chó")</f>
        <v>chó</v>
      </c>
      <c r="E4364" s="119" t="str">
        <f>IFERROR(__xludf.DUMMYFUNCTION("""COMPUTED_VALUE""")," Đậu")</f>
        <v> Đậu</v>
      </c>
    </row>
    <row r="4365" ht="15.75" customHeight="1">
      <c r="A4365" s="122" t="str">
        <f>IFERROR(__xludf.DUMMYFUNCTION("""COMPUTED_VALUE"""),"0949 786 484")</f>
        <v>0949 786 484</v>
      </c>
      <c r="B4365" s="119" t="str">
        <f>IFERROR(__xludf.DUMMYFUNCTION("""COMPUTED_VALUE"""),"Chị Trang")</f>
        <v>Chị Trang</v>
      </c>
      <c r="C4365" s="119" t="str">
        <f>IFERROR(__xludf.DUMMYFUNCTION("""COMPUTED_VALUE"""),"335 Nguyễn Sinh Cung")</f>
        <v>335 Nguyễn Sinh Cung</v>
      </c>
      <c r="D4365" s="119" t="str">
        <f>IFERROR(__xludf.DUMMYFUNCTION("""COMPUTED_VALUE"""),"chó")</f>
        <v>chó</v>
      </c>
      <c r="E4365" s="119"/>
    </row>
    <row r="4366" ht="15.75" customHeight="1">
      <c r="A4366" s="122" t="str">
        <f>IFERROR(__xludf.DUMMYFUNCTION("""COMPUTED_VALUE"""),"0935 091 532")</f>
        <v>0935 091 532</v>
      </c>
      <c r="B4366" s="119" t="str">
        <f>IFERROR(__xludf.DUMMYFUNCTION("""COMPUTED_VALUE"""),"Chị Hồng")</f>
        <v>Chị Hồng</v>
      </c>
      <c r="C4366" s="119" t="str">
        <f>IFERROR(__xludf.DUMMYFUNCTION("""COMPUTED_VALUE"""),"Lục Điền")</f>
        <v>Lục Điền</v>
      </c>
      <c r="D4366" s="119" t="str">
        <f>IFERROR(__xludf.DUMMYFUNCTION("""COMPUTED_VALUE"""),"mèo")</f>
        <v>mèo</v>
      </c>
      <c r="E4366" s="119" t="str">
        <f>IFERROR(__xludf.DUMMYFUNCTION("""COMPUTED_VALUE"""),"Bắp")</f>
        <v>Bắp</v>
      </c>
    </row>
    <row r="4367" ht="15.75" customHeight="1">
      <c r="A4367" s="122" t="str">
        <f>IFERROR(__xludf.DUMMYFUNCTION("""COMPUTED_VALUE"""),"0386 023 537")</f>
        <v>0386 023 537</v>
      </c>
      <c r="B4367" s="119" t="str">
        <f>IFERROR(__xludf.DUMMYFUNCTION("""COMPUTED_VALUE"""),"Dì Huệ")</f>
        <v>Dì Huệ</v>
      </c>
      <c r="C4367" s="119" t="str">
        <f>IFERROR(__xludf.DUMMYFUNCTION("""COMPUTED_VALUE"""),"55 Hồng Chương")</f>
        <v>55 Hồng Chương</v>
      </c>
      <c r="D4367" s="119" t="str">
        <f>IFERROR(__xludf.DUMMYFUNCTION("""COMPUTED_VALUE"""),"mèo")</f>
        <v>mèo</v>
      </c>
      <c r="E4367" s="119"/>
    </row>
    <row r="4368" ht="15.75" customHeight="1">
      <c r="A4368" s="122" t="str">
        <f>IFERROR(__xludf.DUMMYFUNCTION("""COMPUTED_VALUE"""),"0905 665 447")</f>
        <v>0905 665 447</v>
      </c>
      <c r="B4368" s="119" t="str">
        <f>IFERROR(__xludf.DUMMYFUNCTION("""COMPUTED_VALUE"""),"Anh Tuấn")</f>
        <v>Anh Tuấn</v>
      </c>
      <c r="C4368" s="119" t="str">
        <f>IFERROR(__xludf.DUMMYFUNCTION("""COMPUTED_VALUE"""),"27 Hồ Dắc Di")</f>
        <v>27 Hồ Dắc Di</v>
      </c>
      <c r="D4368" s="119" t="str">
        <f>IFERROR(__xludf.DUMMYFUNCTION("""COMPUTED_VALUE"""),"chó")</f>
        <v>chó</v>
      </c>
      <c r="E4368" s="119" t="str">
        <f>IFERROR(__xludf.DUMMYFUNCTION("""COMPUTED_VALUE""")," Bông")</f>
        <v> Bông</v>
      </c>
    </row>
    <row r="4369" ht="15.75" customHeight="1">
      <c r="A4369" s="122" t="str">
        <f>IFERROR(__xludf.DUMMYFUNCTION("""COMPUTED_VALUE"""),"0817 836 099")</f>
        <v>0817 836 099</v>
      </c>
      <c r="B4369" s="119" t="str">
        <f>IFERROR(__xludf.DUMMYFUNCTION("""COMPUTED_VALUE"""),"Chị Hà")</f>
        <v>Chị Hà</v>
      </c>
      <c r="C4369" s="119" t="str">
        <f>IFERROR(__xludf.DUMMYFUNCTION("""COMPUTED_VALUE"""),"33 Trần Phú")</f>
        <v>33 Trần Phú</v>
      </c>
      <c r="D4369" s="119" t="str">
        <f>IFERROR(__xludf.DUMMYFUNCTION("""COMPUTED_VALUE"""),"chó")</f>
        <v>chó</v>
      </c>
      <c r="E4369" s="119" t="str">
        <f>IFERROR(__xludf.DUMMYFUNCTION("""COMPUTED_VALUE""")," Lu")</f>
        <v> Lu</v>
      </c>
    </row>
    <row r="4370" ht="15.75" customHeight="1">
      <c r="A4370" s="122" t="str">
        <f>IFERROR(__xludf.DUMMYFUNCTION("""COMPUTED_VALUE"""),"0356 55 654")</f>
        <v>0356 55 654</v>
      </c>
      <c r="B4370" s="119" t="str">
        <f>IFERROR(__xludf.DUMMYFUNCTION("""COMPUTED_VALUE"""),"Anh Huy")</f>
        <v>Anh Huy</v>
      </c>
      <c r="C4370" s="119" t="str">
        <f>IFERROR(__xludf.DUMMYFUNCTION("""COMPUTED_VALUE"""),"Vicoland")</f>
        <v>Vicoland</v>
      </c>
      <c r="D4370" s="119" t="str">
        <f>IFERROR(__xludf.DUMMYFUNCTION("""COMPUTED_VALUE"""),"Mèo")</f>
        <v>Mèo</v>
      </c>
      <c r="E4370" s="119" t="str">
        <f>IFERROR(__xludf.DUMMYFUNCTION("""COMPUTED_VALUE"""),"MoMo")</f>
        <v>MoMo</v>
      </c>
    </row>
    <row r="4371" ht="15.75" customHeight="1">
      <c r="A4371" s="122" t="str">
        <f>IFERROR(__xludf.DUMMYFUNCTION("""COMPUTED_VALUE"""),"0855 761 111")</f>
        <v>0855 761 111</v>
      </c>
      <c r="B4371" s="119" t="str">
        <f>IFERROR(__xludf.DUMMYFUNCTION("""COMPUTED_VALUE"""),"Chị Tâm")</f>
        <v>Chị Tâm</v>
      </c>
      <c r="C4371" s="119" t="str">
        <f>IFERROR(__xludf.DUMMYFUNCTION("""COMPUTED_VALUE"""),"Royal")</f>
        <v>Royal</v>
      </c>
      <c r="D4371" s="119" t="str">
        <f>IFERROR(__xludf.DUMMYFUNCTION("""COMPUTED_VALUE"""),"chó")</f>
        <v>chó</v>
      </c>
      <c r="E4371" s="119" t="str">
        <f>IFERROR(__xludf.DUMMYFUNCTION("""COMPUTED_VALUE""")," Bông")</f>
        <v> Bông</v>
      </c>
    </row>
    <row r="4372" ht="15.75" customHeight="1">
      <c r="A4372" s="122" t="str">
        <f>IFERROR(__xludf.DUMMYFUNCTION("""COMPUTED_VALUE"""),"0389 000 821")</f>
        <v>0389 000 821</v>
      </c>
      <c r="B4372" s="119" t="str">
        <f>IFERROR(__xludf.DUMMYFUNCTION("""COMPUTED_VALUE"""),"Anh Thành Vĩnh")</f>
        <v>Anh Thành Vĩnh</v>
      </c>
      <c r="C4372" s="119" t="str">
        <f>IFERROR(__xludf.DUMMYFUNCTION("""COMPUTED_VALUE"""),"Hương Hồ")</f>
        <v>Hương Hồ</v>
      </c>
      <c r="D4372" s="119" t="str">
        <f>IFERROR(__xludf.DUMMYFUNCTION("""COMPUTED_VALUE"""),"chó")</f>
        <v>chó</v>
      </c>
      <c r="E4372" s="119" t="str">
        <f>IFERROR(__xludf.DUMMYFUNCTION("""COMPUTED_VALUE"""),"Vàng")</f>
        <v>Vàng</v>
      </c>
    </row>
    <row r="4373" ht="15.75" customHeight="1">
      <c r="A4373" s="122" t="str">
        <f>IFERROR(__xludf.DUMMYFUNCTION("""COMPUTED_VALUE"""),"0948 017 063")</f>
        <v>0948 017 063</v>
      </c>
      <c r="B4373" s="119" t="str">
        <f>IFERROR(__xludf.DUMMYFUNCTION("""COMPUTED_VALUE"""),"Em Bình Nguyên")</f>
        <v>Em Bình Nguyên</v>
      </c>
      <c r="C4373" s="119" t="str">
        <f>IFERROR(__xludf.DUMMYFUNCTION("""COMPUTED_VALUE"""),"36/15 Kim Long")</f>
        <v>36/15 Kim Long</v>
      </c>
      <c r="D4373" s="119" t="str">
        <f>IFERROR(__xludf.DUMMYFUNCTION("""COMPUTED_VALUE"""),"chó")</f>
        <v>chó</v>
      </c>
      <c r="E4373" s="119" t="str">
        <f>IFERROR(__xludf.DUMMYFUNCTION("""COMPUTED_VALUE"""),"Bom")</f>
        <v>Bom</v>
      </c>
    </row>
    <row r="4374" ht="15.75" customHeight="1">
      <c r="A4374" s="122" t="str">
        <f>IFERROR(__xludf.DUMMYFUNCTION("""COMPUTED_VALUE"""),"0914 350 011")</f>
        <v>0914 350 011</v>
      </c>
      <c r="B4374" s="119" t="str">
        <f>IFERROR(__xludf.DUMMYFUNCTION("""COMPUTED_VALUE"""),"Nguyễn Thị Minh Lý")</f>
        <v>Nguyễn Thị Minh Lý</v>
      </c>
      <c r="C4374" s="119" t="str">
        <f>IFERROR(__xludf.DUMMYFUNCTION("""COMPUTED_VALUE"""),"Thuỷ Xuân")</f>
        <v>Thuỷ Xuân</v>
      </c>
      <c r="D4374" s="119" t="str">
        <f>IFERROR(__xludf.DUMMYFUNCTION("""COMPUTED_VALUE"""),"chó")</f>
        <v>chó</v>
      </c>
      <c r="E4374" s="119" t="str">
        <f>IFERROR(__xludf.DUMMYFUNCTION("""COMPUTED_VALUE"""),"Leo")</f>
        <v>Leo</v>
      </c>
    </row>
    <row r="4375" ht="15.75" customHeight="1">
      <c r="A4375" s="122" t="str">
        <f>IFERROR(__xludf.DUMMYFUNCTION("""COMPUTED_VALUE"""),"0856 732 813")</f>
        <v>0856 732 813</v>
      </c>
      <c r="B4375" s="119" t="str">
        <f>IFERROR(__xludf.DUMMYFUNCTION("""COMPUTED_VALUE"""),"Chị Thuỳ Ngân")</f>
        <v>Chị Thuỳ Ngân</v>
      </c>
      <c r="C4375" s="119" t="str">
        <f>IFERROR(__xludf.DUMMYFUNCTION("""COMPUTED_VALUE"""),"465 Lê Duẩn")</f>
        <v>465 Lê Duẩn</v>
      </c>
      <c r="D4375" s="119" t="str">
        <f>IFERROR(__xludf.DUMMYFUNCTION("""COMPUTED_VALUE"""),"chó")</f>
        <v>chó</v>
      </c>
      <c r="E4375" s="119" t="str">
        <f>IFERROR(__xludf.DUMMYFUNCTION("""COMPUTED_VALUE"""),"Milo")</f>
        <v>Milo</v>
      </c>
    </row>
    <row r="4376" ht="15.75" customHeight="1">
      <c r="A4376" s="122" t="str">
        <f>IFERROR(__xludf.DUMMYFUNCTION("""COMPUTED_VALUE"""),"0971 482 021")</f>
        <v>0971 482 021</v>
      </c>
      <c r="B4376" s="119" t="str">
        <f>IFERROR(__xludf.DUMMYFUNCTION("""COMPUTED_VALUE"""),"Lê Thị Mỹ Duyên")</f>
        <v>Lê Thị Mỹ Duyên</v>
      </c>
      <c r="C4376" s="119" t="str">
        <f>IFERROR(__xludf.DUMMYFUNCTION("""COMPUTED_VALUE"""),"236 Văn Thánh")</f>
        <v>236 Văn Thánh</v>
      </c>
      <c r="D4376" s="119" t="str">
        <f>IFERROR(__xludf.DUMMYFUNCTION("""COMPUTED_VALUE"""),"chó")</f>
        <v>chó</v>
      </c>
      <c r="E4376" s="119"/>
    </row>
    <row r="4377" ht="15.75" customHeight="1">
      <c r="A4377" s="122" t="str">
        <f>IFERROR(__xludf.DUMMYFUNCTION("""COMPUTED_VALUE"""),"0326 944 233")</f>
        <v>0326 944 233</v>
      </c>
      <c r="B4377" s="119" t="str">
        <f>IFERROR(__xludf.DUMMYFUNCTION("""COMPUTED_VALUE"""),"Cô Tịnh Tín")</f>
        <v>Cô Tịnh Tín</v>
      </c>
      <c r="C4377" s="119" t="str">
        <f>IFERROR(__xludf.DUMMYFUNCTION("""COMPUTED_VALUE"""),"Chùa Huyền Không Sơn Thượng")</f>
        <v>Chùa Huyền Không Sơn Thượng</v>
      </c>
      <c r="D4377" s="119" t="str">
        <f>IFERROR(__xludf.DUMMYFUNCTION("""COMPUTED_VALUE"""),"chó")</f>
        <v>chó</v>
      </c>
      <c r="E4377" s="119" t="str">
        <f>IFERROR(__xludf.DUMMYFUNCTION("""COMPUTED_VALUE"""),"Mino")</f>
        <v>Mino</v>
      </c>
    </row>
    <row r="4378" ht="15.75" customHeight="1">
      <c r="A4378" s="122" t="str">
        <f>IFERROR(__xludf.DUMMYFUNCTION("""COMPUTED_VALUE"""),"0935 261 643")</f>
        <v>0935 261 643</v>
      </c>
      <c r="B4378" s="119" t="str">
        <f>IFERROR(__xludf.DUMMYFUNCTION("""COMPUTED_VALUE"""),"Phan Thị Lệ Hằng")</f>
        <v>Phan Thị Lệ Hằng</v>
      </c>
      <c r="C4378" s="119" t="str">
        <f>IFERROR(__xludf.DUMMYFUNCTION("""COMPUTED_VALUE"""),"Hương Hồ")</f>
        <v>Hương Hồ</v>
      </c>
      <c r="D4378" s="119" t="str">
        <f>IFERROR(__xludf.DUMMYFUNCTION("""COMPUTED_VALUE"""),"chó")</f>
        <v>chó</v>
      </c>
      <c r="E4378" s="119" t="str">
        <f>IFERROR(__xludf.DUMMYFUNCTION("""COMPUTED_VALUE"""),"Beo")</f>
        <v>Beo</v>
      </c>
    </row>
    <row r="4379" ht="15.75" customHeight="1">
      <c r="A4379" s="122" t="str">
        <f>IFERROR(__xludf.DUMMYFUNCTION("""COMPUTED_VALUE"""),"0365 481 413")</f>
        <v>0365 481 413</v>
      </c>
      <c r="B4379" s="119" t="str">
        <f>IFERROR(__xludf.DUMMYFUNCTION("""COMPUTED_VALUE"""),"Tâm Đức")</f>
        <v>Tâm Đức</v>
      </c>
      <c r="C4379" s="119" t="str">
        <f>IFERROR(__xludf.DUMMYFUNCTION("""COMPUTED_VALUE"""),"Thuỷ Dương")</f>
        <v>Thuỷ Dương</v>
      </c>
      <c r="D4379" s="119" t="str">
        <f>IFERROR(__xludf.DUMMYFUNCTION("""COMPUTED_VALUE"""),"chó")</f>
        <v>chó</v>
      </c>
      <c r="E4379" s="119"/>
    </row>
    <row r="4380" ht="15.75" customHeight="1">
      <c r="A4380" s="122" t="str">
        <f>IFERROR(__xludf.DUMMYFUNCTION("""COMPUTED_VALUE"""),"0935 853 300")</f>
        <v>0935 853 300</v>
      </c>
      <c r="B4380" s="119" t="str">
        <f>IFERROR(__xludf.DUMMYFUNCTION("""COMPUTED_VALUE"""),"Chị Trang")</f>
        <v>Chị Trang</v>
      </c>
      <c r="C4380" s="119" t="str">
        <f>IFERROR(__xludf.DUMMYFUNCTION("""COMPUTED_VALUE"""),"Hương Hồ")</f>
        <v>Hương Hồ</v>
      </c>
      <c r="D4380" s="119" t="str">
        <f>IFERROR(__xludf.DUMMYFUNCTION("""COMPUTED_VALUE"""),"chó")</f>
        <v>chó</v>
      </c>
      <c r="E4380" s="119" t="str">
        <f>IFERROR(__xludf.DUMMYFUNCTION("""COMPUTED_VALUE"""),"MiMi")</f>
        <v>MiMi</v>
      </c>
    </row>
    <row r="4381" ht="15.75" customHeight="1">
      <c r="A4381" s="122" t="str">
        <f>IFERROR(__xludf.DUMMYFUNCTION("""COMPUTED_VALUE"""),"0905 113 003")</f>
        <v>0905 113 003</v>
      </c>
      <c r="B4381" s="119" t="str">
        <f>IFERROR(__xludf.DUMMYFUNCTION("""COMPUTED_VALUE"""),"Nguyễn Thị Thuỷ")</f>
        <v>Nguyễn Thị Thuỷ</v>
      </c>
      <c r="C4381" s="119" t="str">
        <f>IFERROR(__xludf.DUMMYFUNCTION("""COMPUTED_VALUE"""),"27 Lý Nam Đế")</f>
        <v>27 Lý Nam Đế</v>
      </c>
      <c r="D4381" s="119" t="str">
        <f>IFERROR(__xludf.DUMMYFUNCTION("""COMPUTED_VALUE"""),"chó")</f>
        <v>chó</v>
      </c>
      <c r="E4381" s="119" t="str">
        <f>IFERROR(__xludf.DUMMYFUNCTION("""COMPUTED_VALUE"""),"Vàng")</f>
        <v>Vàng</v>
      </c>
    </row>
    <row r="4382" ht="15.75" customHeight="1">
      <c r="A4382" s="122" t="str">
        <f>IFERROR(__xludf.DUMMYFUNCTION("""COMPUTED_VALUE"""),"0962 987 088")</f>
        <v>0962 987 088</v>
      </c>
      <c r="B4382" s="119" t="str">
        <f>IFERROR(__xludf.DUMMYFUNCTION("""COMPUTED_VALUE"""),"Anh Bảo Châu")</f>
        <v>Anh Bảo Châu</v>
      </c>
      <c r="C4382" s="119" t="str">
        <f>IFERROR(__xludf.DUMMYFUNCTION("""COMPUTED_VALUE"""),"24 Lý Nhân Tông")</f>
        <v>24 Lý Nhân Tông</v>
      </c>
      <c r="D4382" s="119" t="str">
        <f>IFERROR(__xludf.DUMMYFUNCTION("""COMPUTED_VALUE"""),"Chó")</f>
        <v>Chó</v>
      </c>
      <c r="E4382" s="119" t="str">
        <f>IFERROR(__xludf.DUMMYFUNCTION("""COMPUTED_VALUE"""),"Bin")</f>
        <v>Bin</v>
      </c>
    </row>
    <row r="4383" ht="15.75" customHeight="1">
      <c r="A4383" s="122" t="str">
        <f>IFERROR(__xludf.DUMMYFUNCTION("""COMPUTED_VALUE"""),"0914 312 715")</f>
        <v>0914 312 715</v>
      </c>
      <c r="B4383" s="119" t="str">
        <f>IFERROR(__xludf.DUMMYFUNCTION("""COMPUTED_VALUE"""),"thầy Long")</f>
        <v>thầy Long</v>
      </c>
      <c r="C4383" s="119" t="str">
        <f>IFERROR(__xludf.DUMMYFUNCTION("""COMPUTED_VALUE"""),"K180 Phan Bội Châu")</f>
        <v>K180 Phan Bội Châu</v>
      </c>
      <c r="D4383" s="119" t="str">
        <f>IFERROR(__xludf.DUMMYFUNCTION("""COMPUTED_VALUE"""),"Chó")</f>
        <v>Chó</v>
      </c>
      <c r="E4383" s="119"/>
    </row>
    <row r="4384" ht="15.75" customHeight="1">
      <c r="A4384" s="122" t="str">
        <f>IFERROR(__xludf.DUMMYFUNCTION("""COMPUTED_VALUE"""),"0388 974 971")</f>
        <v>0388 974 971</v>
      </c>
      <c r="B4384" s="119" t="str">
        <f>IFERROR(__xludf.DUMMYFUNCTION("""COMPUTED_VALUE"""),"Anh Đạt")</f>
        <v>Anh Đạt</v>
      </c>
      <c r="C4384" s="119" t="str">
        <f>IFERROR(__xludf.DUMMYFUNCTION("""COMPUTED_VALUE"""),"Nguyễn Khoa Chiêm")</f>
        <v>Nguyễn Khoa Chiêm</v>
      </c>
      <c r="D4384" s="119" t="str">
        <f>IFERROR(__xludf.DUMMYFUNCTION("""COMPUTED_VALUE"""),"chó")</f>
        <v>chó</v>
      </c>
      <c r="E4384" s="119" t="str">
        <f>IFERROR(__xludf.DUMMYFUNCTION("""COMPUTED_VALUE"""),"Lu")</f>
        <v>Lu</v>
      </c>
    </row>
    <row r="4385" ht="15.75" customHeight="1">
      <c r="A4385" s="122" t="str">
        <f>IFERROR(__xludf.DUMMYFUNCTION("""COMPUTED_VALUE"""),"0988 491 034")</f>
        <v>0988 491 034</v>
      </c>
      <c r="B4385" s="119" t="str">
        <f>IFERROR(__xludf.DUMMYFUNCTION("""COMPUTED_VALUE"""),"Anh Vinh")</f>
        <v>Anh Vinh</v>
      </c>
      <c r="C4385" s="119" t="str">
        <f>IFERROR(__xludf.DUMMYFUNCTION("""COMPUTED_VALUE"""),"42 Bạch Mã, Phú Lộc")</f>
        <v>42 Bạch Mã, Phú Lộc</v>
      </c>
      <c r="D4385" s="119" t="str">
        <f>IFERROR(__xludf.DUMMYFUNCTION("""COMPUTED_VALUE"""),"Chó")</f>
        <v>Chó</v>
      </c>
      <c r="E4385" s="119" t="str">
        <f>IFERROR(__xludf.DUMMYFUNCTION("""COMPUTED_VALUE"""),"Cún")</f>
        <v>Cún</v>
      </c>
    </row>
    <row r="4386" ht="15.75" customHeight="1">
      <c r="A4386" s="122" t="str">
        <f>IFERROR(__xludf.DUMMYFUNCTION("""COMPUTED_VALUE"""),"0356 986 895")</f>
        <v>0356 986 895</v>
      </c>
      <c r="B4386" s="119" t="str">
        <f>IFERROR(__xludf.DUMMYFUNCTION("""COMPUTED_VALUE"""),"Chị Quỳnh Trang")</f>
        <v>Chị Quỳnh Trang</v>
      </c>
      <c r="C4386" s="119" t="str">
        <f>IFERROR(__xludf.DUMMYFUNCTION("""COMPUTED_VALUE"""),"115 Lưu Bảo")</f>
        <v>115 Lưu Bảo</v>
      </c>
      <c r="D4386" s="119" t="str">
        <f>IFERROR(__xludf.DUMMYFUNCTION("""COMPUTED_VALUE"""),"Chó")</f>
        <v>Chó</v>
      </c>
      <c r="E4386" s="119" t="str">
        <f>IFERROR(__xludf.DUMMYFUNCTION("""COMPUTED_VALUE"""),"Mèo")</f>
        <v>Mèo</v>
      </c>
    </row>
    <row r="4387" ht="15.75" customHeight="1">
      <c r="A4387" s="122" t="str">
        <f>IFERROR(__xludf.DUMMYFUNCTION("""COMPUTED_VALUE"""),"0944 405 543")</f>
        <v>0944 405 543</v>
      </c>
      <c r="B4387" s="119" t="str">
        <f>IFERROR(__xludf.DUMMYFUNCTION("""COMPUTED_VALUE"""),"Em Long")</f>
        <v>Em Long</v>
      </c>
      <c r="C4387" s="119" t="str">
        <f>IFERROR(__xludf.DUMMYFUNCTION("""COMPUTED_VALUE"""),"Phú Lộc ")</f>
        <v>Phú Lộc </v>
      </c>
      <c r="D4387" s="119" t="str">
        <f>IFERROR(__xludf.DUMMYFUNCTION("""COMPUTED_VALUE"""),"Chó")</f>
        <v>Chó</v>
      </c>
      <c r="E4387" s="119" t="str">
        <f>IFERROR(__xludf.DUMMYFUNCTION("""COMPUTED_VALUE"""),"Rây")</f>
        <v>Rây</v>
      </c>
    </row>
    <row r="4388" ht="15.75" customHeight="1">
      <c r="A4388" s="122" t="str">
        <f>IFERROR(__xludf.DUMMYFUNCTION("""COMPUTED_VALUE"""),"0984 100 075")</f>
        <v>0984 100 075</v>
      </c>
      <c r="B4388" s="119" t="str">
        <f>IFERROR(__xludf.DUMMYFUNCTION("""COMPUTED_VALUE"""),"Em Thanh")</f>
        <v>Em Thanh</v>
      </c>
      <c r="C4388" s="119" t="str">
        <f>IFERROR(__xludf.DUMMYFUNCTION("""COMPUTED_VALUE"""),"Phú Gia Phú Vang")</f>
        <v>Phú Gia Phú Vang</v>
      </c>
      <c r="D4388" s="119" t="str">
        <f>IFERROR(__xludf.DUMMYFUNCTION("""COMPUTED_VALUE"""),"Mèo")</f>
        <v>Mèo</v>
      </c>
      <c r="E4388" s="119" t="str">
        <f>IFERROR(__xludf.DUMMYFUNCTION("""COMPUTED_VALUE"""),"Bắp")</f>
        <v>Bắp</v>
      </c>
    </row>
    <row r="4389" ht="15.75" customHeight="1">
      <c r="A4389" s="122" t="str">
        <f>IFERROR(__xludf.DUMMYFUNCTION("""COMPUTED_VALUE"""),"0949 893 514")</f>
        <v>0949 893 514</v>
      </c>
      <c r="B4389" s="119" t="str">
        <f>IFERROR(__xludf.DUMMYFUNCTION("""COMPUTED_VALUE"""),"Chị Loan")</f>
        <v>Chị Loan</v>
      </c>
      <c r="C4389" s="119" t="str">
        <f>IFERROR(__xludf.DUMMYFUNCTION("""COMPUTED_VALUE"""),"80 Thanh Hải")</f>
        <v>80 Thanh Hải</v>
      </c>
      <c r="D4389" s="119" t="str">
        <f>IFERROR(__xludf.DUMMYFUNCTION("""COMPUTED_VALUE"""),"Chó")</f>
        <v>Chó</v>
      </c>
      <c r="E4389" s="119" t="str">
        <f>IFERROR(__xludf.DUMMYFUNCTION("""COMPUTED_VALUE"""),"Xù")</f>
        <v>Xù</v>
      </c>
    </row>
    <row r="4390" ht="15.75" customHeight="1">
      <c r="A4390" s="122" t="str">
        <f>IFERROR(__xludf.DUMMYFUNCTION("""COMPUTED_VALUE"""),"0707 687 575")</f>
        <v>0707 687 575</v>
      </c>
      <c r="B4390" s="119" t="str">
        <f>IFERROR(__xludf.DUMMYFUNCTION("""COMPUTED_VALUE"""),"Anh win")</f>
        <v>Anh win</v>
      </c>
      <c r="C4390" s="119"/>
      <c r="D4390" s="119" t="str">
        <f>IFERROR(__xludf.DUMMYFUNCTION("""COMPUTED_VALUE"""),"chó")</f>
        <v>chó</v>
      </c>
      <c r="E4390" s="119" t="str">
        <f>IFERROR(__xludf.DUMMYFUNCTION("""COMPUTED_VALUE"""),"Trắng")</f>
        <v>Trắng</v>
      </c>
    </row>
    <row r="4391" ht="15.75" customHeight="1">
      <c r="A4391" s="122" t="str">
        <f>IFERROR(__xludf.DUMMYFUNCTION("""COMPUTED_VALUE"""),"0889 220 912")</f>
        <v>0889 220 912</v>
      </c>
      <c r="B4391" s="119" t="str">
        <f>IFERROR(__xludf.DUMMYFUNCTION("""COMPUTED_VALUE"""),"Em Bảo")</f>
        <v>Em Bảo</v>
      </c>
      <c r="C4391" s="119" t="str">
        <f>IFERROR(__xludf.DUMMYFUNCTION("""COMPUTED_VALUE"""),"Nguyễn Phúc Thái")</f>
        <v>Nguyễn Phúc Thái</v>
      </c>
      <c r="D4391" s="119" t="str">
        <f>IFERROR(__xludf.DUMMYFUNCTION("""COMPUTED_VALUE"""),"Mèo")</f>
        <v>Mèo</v>
      </c>
      <c r="E4391" s="119" t="str">
        <f>IFERROR(__xludf.DUMMYFUNCTION("""COMPUTED_VALUE"""),"Đen")</f>
        <v>Đen</v>
      </c>
    </row>
    <row r="4392" ht="15.75" customHeight="1">
      <c r="A4392" s="122" t="str">
        <f>IFERROR(__xludf.DUMMYFUNCTION("""COMPUTED_VALUE"""),"0762 623 562")</f>
        <v>0762 623 562</v>
      </c>
      <c r="B4392" s="119" t="str">
        <f>IFERROR(__xludf.DUMMYFUNCTION("""COMPUTED_VALUE"""),"Chị Dung")</f>
        <v>Chị Dung</v>
      </c>
      <c r="C4392" s="119" t="str">
        <f>IFERROR(__xludf.DUMMYFUNCTION("""COMPUTED_VALUE"""),"44/131 Trần Phú")</f>
        <v>44/131 Trần Phú</v>
      </c>
      <c r="D4392" s="119" t="str">
        <f>IFERROR(__xludf.DUMMYFUNCTION("""COMPUTED_VALUE"""),"Chó")</f>
        <v>Chó</v>
      </c>
      <c r="E4392" s="119" t="str">
        <f>IFERROR(__xludf.DUMMYFUNCTION("""COMPUTED_VALUE"""),"Nâu")</f>
        <v>Nâu</v>
      </c>
    </row>
    <row r="4393" ht="15.75" customHeight="1">
      <c r="A4393" s="122" t="str">
        <f>IFERROR(__xludf.DUMMYFUNCTION("""COMPUTED_VALUE"""),"0946 542 046")</f>
        <v>0946 542 046</v>
      </c>
      <c r="B4393" s="119" t="str">
        <f>IFERROR(__xludf.DUMMYFUNCTION("""COMPUTED_VALUE"""),"Hoài Thương")</f>
        <v>Hoài Thương</v>
      </c>
      <c r="C4393" s="119" t="str">
        <f>IFERROR(__xludf.DUMMYFUNCTION("""COMPUTED_VALUE"""),"145B Đặng Huy Trứ")</f>
        <v>145B Đặng Huy Trứ</v>
      </c>
      <c r="D4393" s="119" t="str">
        <f>IFERROR(__xludf.DUMMYFUNCTION("""COMPUTED_VALUE"""),"Chó")</f>
        <v>Chó</v>
      </c>
      <c r="E4393" s="119"/>
    </row>
    <row r="4394" ht="15.75" customHeight="1">
      <c r="A4394" s="122" t="str">
        <f>IFERROR(__xludf.DUMMYFUNCTION("""COMPUTED_VALUE"""),"0979 025 298")</f>
        <v>0979 025 298</v>
      </c>
      <c r="B4394" s="119" t="str">
        <f>IFERROR(__xludf.DUMMYFUNCTION("""COMPUTED_VALUE"""),"Anh Hùng")</f>
        <v>Anh Hùng</v>
      </c>
      <c r="C4394" s="119" t="str">
        <f>IFERROR(__xludf.DUMMYFUNCTION("""COMPUTED_VALUE"""),"142 Ngự Bình")</f>
        <v>142 Ngự Bình</v>
      </c>
      <c r="D4394" s="119" t="str">
        <f>IFERROR(__xludf.DUMMYFUNCTION("""COMPUTED_VALUE"""),"Chó")</f>
        <v>Chó</v>
      </c>
      <c r="E4394" s="119" t="str">
        <f>IFERROR(__xludf.DUMMYFUNCTION("""COMPUTED_VALUE"""),"Bom")</f>
        <v>Bom</v>
      </c>
    </row>
    <row r="4395" ht="15.75" customHeight="1">
      <c r="A4395" s="122" t="str">
        <f>IFERROR(__xludf.DUMMYFUNCTION("""COMPUTED_VALUE"""),"0946 471 870")</f>
        <v>0946 471 870</v>
      </c>
      <c r="B4395" s="119" t="str">
        <f>IFERROR(__xludf.DUMMYFUNCTION("""COMPUTED_VALUE"""),"Anh Bảo Châu")</f>
        <v>Anh Bảo Châu</v>
      </c>
      <c r="C4395" s="119" t="str">
        <f>IFERROR(__xludf.DUMMYFUNCTION("""COMPUTED_VALUE"""),"3/15/9/131 Trần Phú")</f>
        <v>3/15/9/131 Trần Phú</v>
      </c>
      <c r="D4395" s="119" t="str">
        <f>IFERROR(__xludf.DUMMYFUNCTION("""COMPUTED_VALUE"""),"Chó")</f>
        <v>Chó</v>
      </c>
      <c r="E4395" s="119" t="str">
        <f>IFERROR(__xludf.DUMMYFUNCTION("""COMPUTED_VALUE"""),"Ngáo")</f>
        <v>Ngáo</v>
      </c>
    </row>
    <row r="4396" ht="15.75" customHeight="1">
      <c r="A4396" s="122" t="str">
        <f>IFERROR(__xludf.DUMMYFUNCTION("""COMPUTED_VALUE"""),"0935 239 285")</f>
        <v>0935 239 285</v>
      </c>
      <c r="B4396" s="119" t="str">
        <f>IFERROR(__xludf.DUMMYFUNCTION("""COMPUTED_VALUE"""),"Chị Hoàng Anh")</f>
        <v>Chị Hoàng Anh</v>
      </c>
      <c r="C4396" s="119" t="str">
        <f>IFERROR(__xludf.DUMMYFUNCTION("""COMPUTED_VALUE"""),"Trần Quang Khải")</f>
        <v>Trần Quang Khải</v>
      </c>
      <c r="D4396" s="119" t="str">
        <f>IFERROR(__xludf.DUMMYFUNCTION("""COMPUTED_VALUE"""),"mèo")</f>
        <v>mèo</v>
      </c>
      <c r="E4396" s="119" t="str">
        <f>IFERROR(__xludf.DUMMYFUNCTION("""COMPUTED_VALUE"""),"Cá")</f>
        <v>Cá</v>
      </c>
    </row>
    <row r="4397" ht="15.75" customHeight="1">
      <c r="A4397" s="122" t="str">
        <f>IFERROR(__xludf.DUMMYFUNCTION("""COMPUTED_VALUE"""),"0935 352 596")</f>
        <v>0935 352 596</v>
      </c>
      <c r="B4397" s="119" t="str">
        <f>IFERROR(__xludf.DUMMYFUNCTION("""COMPUTED_VALUE"""),"Chú Trọng")</f>
        <v>Chú Trọng</v>
      </c>
      <c r="C4397" s="119" t="str">
        <f>IFERROR(__xludf.DUMMYFUNCTION("""COMPUTED_VALUE"""),"Đại Thế")</f>
        <v>Đại Thế</v>
      </c>
      <c r="D4397" s="119" t="str">
        <f>IFERROR(__xludf.DUMMYFUNCTION("""COMPUTED_VALUE"""),"chó")</f>
        <v>chó</v>
      </c>
      <c r="E4397" s="119" t="str">
        <f>IFERROR(__xludf.DUMMYFUNCTION("""COMPUTED_VALUE"""),"Đen")</f>
        <v>Đen</v>
      </c>
    </row>
    <row r="4398" ht="15.75" customHeight="1">
      <c r="A4398" s="122" t="str">
        <f>IFERROR(__xludf.DUMMYFUNCTION("""COMPUTED_VALUE"""),"0815 833 033")</f>
        <v>0815 833 033</v>
      </c>
      <c r="B4398" s="119" t="str">
        <f>IFERROR(__xludf.DUMMYFUNCTION("""COMPUTED_VALUE"""),"Nguyễn Thị Vân Anh")</f>
        <v>Nguyễn Thị Vân Anh</v>
      </c>
      <c r="C4398" s="119" t="str">
        <f>IFERROR(__xludf.DUMMYFUNCTION("""COMPUTED_VALUE"""),"Nam Giao Lê Ngô Cát")</f>
        <v>Nam Giao Lê Ngô Cát</v>
      </c>
      <c r="D4398" s="119" t="str">
        <f>IFERROR(__xludf.DUMMYFUNCTION("""COMPUTED_VALUE"""),"Chó")</f>
        <v>Chó</v>
      </c>
      <c r="E4398" s="119"/>
    </row>
    <row r="4399" ht="15.75" customHeight="1">
      <c r="A4399" s="122" t="str">
        <f>IFERROR(__xludf.DUMMYFUNCTION("""COMPUTED_VALUE"""),"0329 263 955")</f>
        <v>0329 263 955</v>
      </c>
      <c r="B4399" s="119" t="str">
        <f>IFERROR(__xludf.DUMMYFUNCTION("""COMPUTED_VALUE"""),"Yến")</f>
        <v>Yến</v>
      </c>
      <c r="C4399" s="119" t="str">
        <f>IFERROR(__xludf.DUMMYFUNCTION("""COMPUTED_VALUE"""),"Chùa Diệu Thanh, 3/9 Lê Ngô Cát")</f>
        <v>Chùa Diệu Thanh, 3/9 Lê Ngô Cát</v>
      </c>
      <c r="D4399" s="119" t="str">
        <f>IFERROR(__xludf.DUMMYFUNCTION("""COMPUTED_VALUE"""),"Mèo")</f>
        <v>Mèo</v>
      </c>
      <c r="E4399" s="119" t="str">
        <f>IFERROR(__xludf.DUMMYFUNCTION("""COMPUTED_VALUE"""),"Ticky")</f>
        <v>Ticky</v>
      </c>
    </row>
    <row r="4400" ht="15.75" customHeight="1">
      <c r="A4400" s="122" t="str">
        <f>IFERROR(__xludf.DUMMYFUNCTION("""COMPUTED_VALUE"""),"0836 109 792")</f>
        <v>0836 109 792</v>
      </c>
      <c r="B4400" s="119" t="str">
        <f>IFERROR(__xludf.DUMMYFUNCTION("""COMPUTED_VALUE"""),"Lê Thanh Xuân")</f>
        <v>Lê Thanh Xuân</v>
      </c>
      <c r="C4400" s="119" t="str">
        <f>IFERROR(__xludf.DUMMYFUNCTION("""COMPUTED_VALUE"""),"26/111 Trần Thái Tông")</f>
        <v>26/111 Trần Thái Tông</v>
      </c>
      <c r="D4400" s="119" t="str">
        <f>IFERROR(__xludf.DUMMYFUNCTION("""COMPUTED_VALUE"""),"Chó")</f>
        <v>Chó</v>
      </c>
      <c r="E4400" s="119" t="str">
        <f>IFERROR(__xludf.DUMMYFUNCTION("""COMPUTED_VALUE"""),"Vện")</f>
        <v>Vện</v>
      </c>
    </row>
    <row r="4401" ht="15.75" customHeight="1">
      <c r="A4401" s="122" t="str">
        <f>IFERROR(__xludf.DUMMYFUNCTION("""COMPUTED_VALUE"""),"0935 561 884")</f>
        <v>0935 561 884</v>
      </c>
      <c r="B4401" s="119" t="str">
        <f>IFERROR(__xludf.DUMMYFUNCTION("""COMPUTED_VALUE"""),"chị Phụng")</f>
        <v>chị Phụng</v>
      </c>
      <c r="C4401" s="119" t="str">
        <f>IFERROR(__xludf.DUMMYFUNCTION("""COMPUTED_VALUE"""),"84 Tạ Quang Khải")</f>
        <v>84 Tạ Quang Khải</v>
      </c>
      <c r="D4401" s="119" t="str">
        <f>IFERROR(__xludf.DUMMYFUNCTION("""COMPUTED_VALUE"""),"mèo")</f>
        <v>mèo</v>
      </c>
      <c r="E4401" s="119" t="str">
        <f>IFERROR(__xludf.DUMMYFUNCTION("""COMPUTED_VALUE"""),"mít")</f>
        <v>mít</v>
      </c>
    </row>
    <row r="4402" ht="15.75" customHeight="1">
      <c r="A4402" s="122" t="str">
        <f>IFERROR(__xludf.DUMMYFUNCTION("""COMPUTED_VALUE"""),"0363 613 421")</f>
        <v>0363 613 421</v>
      </c>
      <c r="B4402" s="119" t="str">
        <f>IFERROR(__xludf.DUMMYFUNCTION("""COMPUTED_VALUE"""),"Em Thanh Vân")</f>
        <v>Em Thanh Vân</v>
      </c>
      <c r="C4402" s="119" t="str">
        <f>IFERROR(__xludf.DUMMYFUNCTION("""COMPUTED_VALUE"""),"Hương Sơ")</f>
        <v>Hương Sơ</v>
      </c>
      <c r="D4402" s="119" t="str">
        <f>IFERROR(__xludf.DUMMYFUNCTION("""COMPUTED_VALUE"""),"mèo")</f>
        <v>mèo</v>
      </c>
      <c r="E4402" s="119" t="str">
        <f>IFERROR(__xludf.DUMMYFUNCTION("""COMPUTED_VALUE"""),"Chuột")</f>
        <v>Chuột</v>
      </c>
    </row>
    <row r="4403" ht="15.75" customHeight="1">
      <c r="A4403" s="122" t="str">
        <f>IFERROR(__xludf.DUMMYFUNCTION("""COMPUTED_VALUE"""),"0762 626 322")</f>
        <v>0762 626 322</v>
      </c>
      <c r="B4403" s="119" t="str">
        <f>IFERROR(__xludf.DUMMYFUNCTION("""COMPUTED_VALUE"""),"Chị Nhung")</f>
        <v>Chị Nhung</v>
      </c>
      <c r="C4403" s="119" t="str">
        <f>IFERROR(__xludf.DUMMYFUNCTION("""COMPUTED_VALUE"""),"7/4/4 ưng Bình")</f>
        <v>7/4/4 ưng Bình</v>
      </c>
      <c r="D4403" s="119" t="str">
        <f>IFERROR(__xludf.DUMMYFUNCTION("""COMPUTED_VALUE"""),"Chó")</f>
        <v>Chó</v>
      </c>
      <c r="E4403" s="119"/>
    </row>
    <row r="4404" ht="15.75" customHeight="1">
      <c r="A4404" s="122" t="str">
        <f>IFERROR(__xludf.DUMMYFUNCTION("""COMPUTED_VALUE"""),"0379 481 846")</f>
        <v>0379 481 846</v>
      </c>
      <c r="B4404" s="119" t="str">
        <f>IFERROR(__xludf.DUMMYFUNCTION("""COMPUTED_VALUE"""),"Dì Loan")</f>
        <v>Dì Loan</v>
      </c>
      <c r="C4404" s="119" t="str">
        <f>IFERROR(__xludf.DUMMYFUNCTION("""COMPUTED_VALUE"""),"74a Phạm Thị Liên")</f>
        <v>74a Phạm Thị Liên</v>
      </c>
      <c r="D4404" s="119" t="str">
        <f>IFERROR(__xludf.DUMMYFUNCTION("""COMPUTED_VALUE"""),"Chó")</f>
        <v>Chó</v>
      </c>
      <c r="E4404" s="119" t="str">
        <f>IFERROR(__xludf.DUMMYFUNCTION("""COMPUTED_VALUE"""),"Mập")</f>
        <v>Mập</v>
      </c>
    </row>
    <row r="4405" ht="15.75" customHeight="1">
      <c r="A4405" s="122" t="str">
        <f>IFERROR(__xludf.DUMMYFUNCTION("""COMPUTED_VALUE"""),"0392 610 165")</f>
        <v>0392 610 165</v>
      </c>
      <c r="B4405" s="119" t="str">
        <f>IFERROR(__xludf.DUMMYFUNCTION("""COMPUTED_VALUE"""),"Anh Thành")</f>
        <v>Anh Thành</v>
      </c>
      <c r="C4405" s="119" t="str">
        <f>IFERROR(__xludf.DUMMYFUNCTION("""COMPUTED_VALUE"""),"96/2 Nguyễn Phúc Nguyên")</f>
        <v>96/2 Nguyễn Phúc Nguyên</v>
      </c>
      <c r="D4405" s="119" t="str">
        <f>IFERROR(__xludf.DUMMYFUNCTION("""COMPUTED_VALUE"""),"Chó")</f>
        <v>Chó</v>
      </c>
      <c r="E4405" s="119" t="str">
        <f>IFERROR(__xludf.DUMMYFUNCTION("""COMPUTED_VALUE"""),"Bốp")</f>
        <v>Bốp</v>
      </c>
    </row>
    <row r="4406" ht="15.75" customHeight="1">
      <c r="A4406" s="122" t="str">
        <f>IFERROR(__xludf.DUMMYFUNCTION("""COMPUTED_VALUE"""),"0937 739 998")</f>
        <v>0937 739 998</v>
      </c>
      <c r="B4406" s="119" t="str">
        <f>IFERROR(__xludf.DUMMYFUNCTION("""COMPUTED_VALUE"""),"Thầy Tâm")</f>
        <v>Thầy Tâm</v>
      </c>
      <c r="C4406" s="119"/>
      <c r="D4406" s="119" t="str">
        <f>IFERROR(__xludf.DUMMYFUNCTION("""COMPUTED_VALUE"""),"Chó")</f>
        <v>Chó</v>
      </c>
      <c r="E4406" s="119" t="str">
        <f>IFERROR(__xludf.DUMMYFUNCTION("""COMPUTED_VALUE"""),"Lu")</f>
        <v>Lu</v>
      </c>
    </row>
    <row r="4407" ht="15.75" customHeight="1">
      <c r="A4407" s="122" t="str">
        <f>IFERROR(__xludf.DUMMYFUNCTION("""COMPUTED_VALUE"""),"0394 692 225")</f>
        <v>0394 692 225</v>
      </c>
      <c r="B4407" s="119" t="str">
        <f>IFERROR(__xludf.DUMMYFUNCTION("""COMPUTED_VALUE"""),"Chị Trang")</f>
        <v>Chị Trang</v>
      </c>
      <c r="C4407" s="119" t="str">
        <f>IFERROR(__xludf.DUMMYFUNCTION("""COMPUTED_VALUE"""),"335 Nguyễn Sinh Cung")</f>
        <v>335 Nguyễn Sinh Cung</v>
      </c>
      <c r="D4407" s="119" t="str">
        <f>IFERROR(__xludf.DUMMYFUNCTION("""COMPUTED_VALUE"""),"chó")</f>
        <v>chó</v>
      </c>
      <c r="E4407" s="119" t="str">
        <f>IFERROR(__xludf.DUMMYFUNCTION("""COMPUTED_VALUE"""),"Siro")</f>
        <v>Siro</v>
      </c>
    </row>
    <row r="4408" ht="15.75" customHeight="1">
      <c r="A4408" s="122" t="str">
        <f>IFERROR(__xludf.DUMMYFUNCTION("""COMPUTED_VALUE"""),"0932 245 308")</f>
        <v>0932 245 308</v>
      </c>
      <c r="B4408" s="119" t="str">
        <f>IFERROR(__xludf.DUMMYFUNCTION("""COMPUTED_VALUE"""),"Anh thuần")</f>
        <v>Anh thuần</v>
      </c>
      <c r="C4408" s="119" t="str">
        <f>IFERROR(__xludf.DUMMYFUNCTION("""COMPUTED_VALUE"""),"3 Phạm Triệt")</f>
        <v>3 Phạm Triệt</v>
      </c>
      <c r="D4408" s="119" t="str">
        <f>IFERROR(__xludf.DUMMYFUNCTION("""COMPUTED_VALUE"""),"chó")</f>
        <v>chó</v>
      </c>
      <c r="E4408" s="119" t="str">
        <f>IFERROR(__xludf.DUMMYFUNCTION("""COMPUTED_VALUE"""),"Siro")</f>
        <v>Siro</v>
      </c>
    </row>
    <row r="4409" ht="15.75" customHeight="1">
      <c r="A4409" s="122" t="str">
        <f>IFERROR(__xludf.DUMMYFUNCTION("""COMPUTED_VALUE"""),"0372 823 220")</f>
        <v>0372 823 220</v>
      </c>
      <c r="B4409" s="119" t="str">
        <f>IFERROR(__xludf.DUMMYFUNCTION("""COMPUTED_VALUE"""),"Như Ý")</f>
        <v>Như Ý</v>
      </c>
      <c r="C4409" s="119" t="str">
        <f>IFERROR(__xludf.DUMMYFUNCTION("""COMPUTED_VALUE"""),"lk57 Nguyễn Hoàng")</f>
        <v>lk57 Nguyễn Hoàng</v>
      </c>
      <c r="D4409" s="119" t="str">
        <f>IFERROR(__xludf.DUMMYFUNCTION("""COMPUTED_VALUE"""),"Chó")</f>
        <v>Chó</v>
      </c>
      <c r="E4409" s="119" t="str">
        <f>IFERROR(__xludf.DUMMYFUNCTION("""COMPUTED_VALUE"""),"Ki")</f>
        <v>Ki</v>
      </c>
    </row>
    <row r="4410" ht="15.75" customHeight="1">
      <c r="A4410" s="122" t="str">
        <f>IFERROR(__xludf.DUMMYFUNCTION("""COMPUTED_VALUE"""),"0917 748 869")</f>
        <v>0917 748 869</v>
      </c>
      <c r="B4410" s="119" t="str">
        <f>IFERROR(__xludf.DUMMYFUNCTION("""COMPUTED_VALUE"""),"Em Minh")</f>
        <v>Em Minh</v>
      </c>
      <c r="C4410" s="119" t="str">
        <f>IFERROR(__xludf.DUMMYFUNCTION("""COMPUTED_VALUE"""),"14/17/104 Kim Long")</f>
        <v>14/17/104 Kim Long</v>
      </c>
      <c r="D4410" s="119" t="str">
        <f>IFERROR(__xludf.DUMMYFUNCTION("""COMPUTED_VALUE"""),"mèo")</f>
        <v>mèo</v>
      </c>
      <c r="E4410" s="119" t="str">
        <f>IFERROR(__xludf.DUMMYFUNCTION("""COMPUTED_VALUE"""),"Bôm")</f>
        <v>Bôm</v>
      </c>
    </row>
    <row r="4411" ht="15.75" customHeight="1">
      <c r="A4411" s="122" t="str">
        <f>IFERROR(__xludf.DUMMYFUNCTION("""COMPUTED_VALUE"""),"0848 059 323")</f>
        <v>0848 059 323</v>
      </c>
      <c r="B4411" s="119" t="str">
        <f>IFERROR(__xludf.DUMMYFUNCTION("""COMPUTED_VALUE"""),"Nguyễn Sáu")</f>
        <v>Nguyễn Sáu</v>
      </c>
      <c r="C4411" s="119" t="str">
        <f>IFERROR(__xludf.DUMMYFUNCTION("""COMPUTED_VALUE"""),"Long Hồ, Hương hồ")</f>
        <v>Long Hồ, Hương hồ</v>
      </c>
      <c r="D4411" s="119" t="str">
        <f>IFERROR(__xludf.DUMMYFUNCTION("""COMPUTED_VALUE"""),"chó")</f>
        <v>chó</v>
      </c>
      <c r="E4411" s="119" t="str">
        <f>IFERROR(__xludf.DUMMYFUNCTION("""COMPUTED_VALUE"""),"Bớp")</f>
        <v>Bớp</v>
      </c>
    </row>
    <row r="4412" ht="15.75" customHeight="1">
      <c r="A4412" s="122" t="str">
        <f>IFERROR(__xludf.DUMMYFUNCTION("""COMPUTED_VALUE"""),"0373 899 444")</f>
        <v>0373 899 444</v>
      </c>
      <c r="B4412" s="119" t="str">
        <f>IFERROR(__xludf.DUMMYFUNCTION("""COMPUTED_VALUE"""),"Anh Toàn")</f>
        <v>Anh Toàn</v>
      </c>
      <c r="C4412" s="119" t="str">
        <f>IFERROR(__xludf.DUMMYFUNCTION("""COMPUTED_VALUE"""),"k69 lê Ngô Cát")</f>
        <v>k69 lê Ngô Cát</v>
      </c>
      <c r="D4412" s="119" t="str">
        <f>IFERROR(__xludf.DUMMYFUNCTION("""COMPUTED_VALUE"""),"Chó")</f>
        <v>Chó</v>
      </c>
      <c r="E4412" s="119"/>
    </row>
    <row r="4413" ht="15.75" customHeight="1">
      <c r="A4413" s="122" t="str">
        <f>IFERROR(__xludf.DUMMYFUNCTION("""COMPUTED_VALUE"""),"0382 434 122")</f>
        <v>0382 434 122</v>
      </c>
      <c r="B4413" s="119" t="str">
        <f>IFERROR(__xludf.DUMMYFUNCTION("""COMPUTED_VALUE"""),"Bác Lợi")</f>
        <v>Bác Lợi</v>
      </c>
      <c r="C4413" s="119" t="str">
        <f>IFERROR(__xludf.DUMMYFUNCTION("""COMPUTED_VALUE"""),"122 Lý Nam Đế")</f>
        <v>122 Lý Nam Đế</v>
      </c>
      <c r="D4413" s="119" t="str">
        <f>IFERROR(__xludf.DUMMYFUNCTION("""COMPUTED_VALUE"""),"Chó")</f>
        <v>Chó</v>
      </c>
      <c r="E4413" s="119" t="str">
        <f>IFERROR(__xludf.DUMMYFUNCTION("""COMPUTED_VALUE"""),"Bô")</f>
        <v>Bô</v>
      </c>
    </row>
    <row r="4414" ht="15.75" customHeight="1">
      <c r="A4414" s="122" t="str">
        <f>IFERROR(__xludf.DUMMYFUNCTION("""COMPUTED_VALUE"""),"0702 598 730")</f>
        <v>0702 598 730</v>
      </c>
      <c r="B4414" s="119" t="str">
        <f>IFERROR(__xludf.DUMMYFUNCTION("""COMPUTED_VALUE"""),"Bích Nhi")</f>
        <v>Bích Nhi</v>
      </c>
      <c r="C4414" s="119" t="str">
        <f>IFERROR(__xludf.DUMMYFUNCTION("""COMPUTED_VALUE"""),"2/2/23 Nhật Lệ")</f>
        <v>2/2/23 Nhật Lệ</v>
      </c>
      <c r="D4414" s="119" t="str">
        <f>IFERROR(__xludf.DUMMYFUNCTION("""COMPUTED_VALUE"""),"chó")</f>
        <v>chó</v>
      </c>
      <c r="E4414" s="119" t="str">
        <f>IFERROR(__xludf.DUMMYFUNCTION("""COMPUTED_VALUE"""),"Subin")</f>
        <v>Subin</v>
      </c>
    </row>
    <row r="4415" ht="15.75" customHeight="1">
      <c r="A4415" s="122" t="str">
        <f>IFERROR(__xludf.DUMMYFUNCTION("""COMPUTED_VALUE"""),"0792 292 130")</f>
        <v>0792 292 130</v>
      </c>
      <c r="B4415" s="119" t="str">
        <f>IFERROR(__xludf.DUMMYFUNCTION("""COMPUTED_VALUE"""),"Chị Nhung")</f>
        <v>Chị Nhung</v>
      </c>
      <c r="C4415" s="119" t="str">
        <f>IFERROR(__xludf.DUMMYFUNCTION("""COMPUTED_VALUE"""),"49/246 Hung Vương")</f>
        <v>49/246 Hung Vương</v>
      </c>
      <c r="D4415" s="119" t="str">
        <f>IFERROR(__xludf.DUMMYFUNCTION("""COMPUTED_VALUE"""),"chó")</f>
        <v>chó</v>
      </c>
      <c r="E4415" s="119" t="str">
        <f>IFERROR(__xludf.DUMMYFUNCTION("""COMPUTED_VALUE""")," Nâu")</f>
        <v> Nâu</v>
      </c>
    </row>
    <row r="4416" ht="15.75" customHeight="1">
      <c r="A4416" s="122" t="str">
        <f>IFERROR(__xludf.DUMMYFUNCTION("""COMPUTED_VALUE"""),"0935 935 126")</f>
        <v>0935 935 126</v>
      </c>
      <c r="B4416" s="119" t="str">
        <f>IFERROR(__xludf.DUMMYFUNCTION("""COMPUTED_VALUE"""),"Chú Thạch")</f>
        <v>Chú Thạch</v>
      </c>
      <c r="C4416" s="119" t="str">
        <f>IFERROR(__xludf.DUMMYFUNCTION("""COMPUTED_VALUE"""),"110/33/7 Kim Long")</f>
        <v>110/33/7 Kim Long</v>
      </c>
      <c r="D4416" s="119" t="str">
        <f>IFERROR(__xludf.DUMMYFUNCTION("""COMPUTED_VALUE"""),"chó")</f>
        <v>chó</v>
      </c>
      <c r="E4416" s="119" t="str">
        <f>IFERROR(__xludf.DUMMYFUNCTION("""COMPUTED_VALUE"""),"Vàng")</f>
        <v>Vàng</v>
      </c>
    </row>
    <row r="4417" ht="15.75" customHeight="1">
      <c r="A4417" s="122" t="str">
        <f>IFERROR(__xludf.DUMMYFUNCTION("""COMPUTED_VALUE"""),"0915 150 452")</f>
        <v>0915 150 452</v>
      </c>
      <c r="B4417" s="119" t="str">
        <f>IFERROR(__xludf.DUMMYFUNCTION("""COMPUTED_VALUE"""),"Chị Tiên")</f>
        <v>Chị Tiên</v>
      </c>
      <c r="C4417" s="119" t="str">
        <f>IFERROR(__xludf.DUMMYFUNCTION("""COMPUTED_VALUE"""),"177 Lê Duẩn")</f>
        <v>177 Lê Duẩn</v>
      </c>
      <c r="D4417" s="119" t="str">
        <f>IFERROR(__xludf.DUMMYFUNCTION("""COMPUTED_VALUE"""),"chó")</f>
        <v>chó</v>
      </c>
      <c r="E4417" s="119" t="str">
        <f>IFERROR(__xludf.DUMMYFUNCTION("""COMPUTED_VALUE"""),"Bít")</f>
        <v>Bít</v>
      </c>
    </row>
    <row r="4418" ht="15.75" customHeight="1">
      <c r="A4418" s="122" t="str">
        <f>IFERROR(__xludf.DUMMYFUNCTION("""COMPUTED_VALUE"""),"0834 445 094")</f>
        <v>0834 445 094</v>
      </c>
      <c r="B4418" s="119" t="str">
        <f>IFERROR(__xludf.DUMMYFUNCTION("""COMPUTED_VALUE"""),"Chị Phương")</f>
        <v>Chị Phương</v>
      </c>
      <c r="C4418" s="119" t="str">
        <f>IFERROR(__xludf.DUMMYFUNCTION("""COMPUTED_VALUE"""),"30k 85 An Dương Vương")</f>
        <v>30k 85 An Dương Vương</v>
      </c>
      <c r="D4418" s="119" t="str">
        <f>IFERROR(__xludf.DUMMYFUNCTION("""COMPUTED_VALUE"""),"Chó")</f>
        <v>Chó</v>
      </c>
      <c r="E4418" s="119" t="str">
        <f>IFERROR(__xludf.DUMMYFUNCTION("""COMPUTED_VALUE"""),"Gấu")</f>
        <v>Gấu</v>
      </c>
    </row>
    <row r="4419" ht="15.75" customHeight="1">
      <c r="A4419" s="122" t="str">
        <f>IFERROR(__xludf.DUMMYFUNCTION("""COMPUTED_VALUE"""),"0963 092 375")</f>
        <v>0963 092 375</v>
      </c>
      <c r="B4419" s="119" t="str">
        <f>IFERROR(__xludf.DUMMYFUNCTION("""COMPUTED_VALUE"""),"Chị Linh")</f>
        <v>Chị Linh</v>
      </c>
      <c r="C4419" s="119" t="str">
        <f>IFERROR(__xludf.DUMMYFUNCTION("""COMPUTED_VALUE"""),"2B Văn Cao")</f>
        <v>2B Văn Cao</v>
      </c>
      <c r="D4419" s="119" t="str">
        <f>IFERROR(__xludf.DUMMYFUNCTION("""COMPUTED_VALUE"""),"chó")</f>
        <v>chó</v>
      </c>
      <c r="E4419" s="119" t="str">
        <f>IFERROR(__xludf.DUMMYFUNCTION("""COMPUTED_VALUE"""),"mIU")</f>
        <v>mIU</v>
      </c>
    </row>
    <row r="4420" ht="15.75" customHeight="1">
      <c r="A4420" s="122" t="str">
        <f>IFERROR(__xludf.DUMMYFUNCTION("""COMPUTED_VALUE"""),"0365 588 000")</f>
        <v>0365 588 000</v>
      </c>
      <c r="B4420" s="119" t="str">
        <f>IFERROR(__xludf.DUMMYFUNCTION("""COMPUTED_VALUE"""),"Anh Hào")</f>
        <v>Anh Hào</v>
      </c>
      <c r="C4420" s="119" t="str">
        <f>IFERROR(__xludf.DUMMYFUNCTION("""COMPUTED_VALUE"""),"117/5 Trần Phú")</f>
        <v>117/5 Trần Phú</v>
      </c>
      <c r="D4420" s="119" t="str">
        <f>IFERROR(__xludf.DUMMYFUNCTION("""COMPUTED_VALUE"""),"Chó")</f>
        <v>Chó</v>
      </c>
      <c r="E4420" s="119" t="str">
        <f>IFERROR(__xludf.DUMMYFUNCTION("""COMPUTED_VALUE"""),"Milo")</f>
        <v>Milo</v>
      </c>
    </row>
    <row r="4421" ht="15.75" customHeight="1">
      <c r="A4421" s="122" t="str">
        <f>IFERROR(__xludf.DUMMYFUNCTION("""COMPUTED_VALUE"""),"0935 705 566")</f>
        <v>0935 705 566</v>
      </c>
      <c r="B4421" s="119" t="str">
        <f>IFERROR(__xludf.DUMMYFUNCTION("""COMPUTED_VALUE"""),"Nhã Uyên")</f>
        <v>Nhã Uyên</v>
      </c>
      <c r="C4421" s="119" t="str">
        <f>IFERROR(__xludf.DUMMYFUNCTION("""COMPUTED_VALUE"""),"162 Điện Biên Phủ")</f>
        <v>162 Điện Biên Phủ</v>
      </c>
      <c r="D4421" s="119" t="str">
        <f>IFERROR(__xludf.DUMMYFUNCTION("""COMPUTED_VALUE"""),"Chó")</f>
        <v>Chó</v>
      </c>
      <c r="E4421" s="119" t="str">
        <f>IFERROR(__xludf.DUMMYFUNCTION("""COMPUTED_VALUE"""),"Vàng")</f>
        <v>Vàng</v>
      </c>
    </row>
    <row r="4422" ht="15.75" customHeight="1">
      <c r="A4422" s="122" t="str">
        <f>IFERROR(__xludf.DUMMYFUNCTION("""COMPUTED_VALUE"""),"0789 434 882")</f>
        <v>0789 434 882</v>
      </c>
      <c r="B4422" s="119" t="str">
        <f>IFERROR(__xludf.DUMMYFUNCTION("""COMPUTED_VALUE"""),"Chị Tiên")</f>
        <v>Chị Tiên</v>
      </c>
      <c r="C4422" s="119"/>
      <c r="D4422" s="119" t="str">
        <f>IFERROR(__xludf.DUMMYFUNCTION("""COMPUTED_VALUE"""),"chó")</f>
        <v>chó</v>
      </c>
      <c r="E4422" s="119" t="str">
        <f>IFERROR(__xludf.DUMMYFUNCTION("""COMPUTED_VALUE"""),"Bi")</f>
        <v>Bi</v>
      </c>
    </row>
    <row r="4423" ht="15.75" customHeight="1">
      <c r="A4423" s="122" t="str">
        <f>IFERROR(__xludf.DUMMYFUNCTION("""COMPUTED_VALUE"""),"0826 557 035")</f>
        <v>0826 557 035</v>
      </c>
      <c r="B4423" s="119" t="str">
        <f>IFERROR(__xludf.DUMMYFUNCTION("""COMPUTED_VALUE"""),"Thiên Ân")</f>
        <v>Thiên Ân</v>
      </c>
      <c r="C4423" s="119" t="str">
        <f>IFERROR(__xludf.DUMMYFUNCTION("""COMPUTED_VALUE"""),"37/57 Hai bà trưng")</f>
        <v>37/57 Hai bà trưng</v>
      </c>
      <c r="D4423" s="119" t="str">
        <f>IFERROR(__xludf.DUMMYFUNCTION("""COMPUTED_VALUE"""),"chó ")</f>
        <v>chó </v>
      </c>
      <c r="E4423" s="119" t="str">
        <f>IFERROR(__xludf.DUMMYFUNCTION("""COMPUTED_VALUE"""),"Bọt")</f>
        <v>Bọt</v>
      </c>
    </row>
    <row r="4424" ht="15.75" customHeight="1">
      <c r="A4424" s="122" t="str">
        <f>IFERROR(__xludf.DUMMYFUNCTION("""COMPUTED_VALUE"""),"0917 251 560")</f>
        <v>0917 251 560</v>
      </c>
      <c r="B4424" s="119" t="str">
        <f>IFERROR(__xludf.DUMMYFUNCTION("""COMPUTED_VALUE"""),"Em Kiệt")</f>
        <v>Em Kiệt</v>
      </c>
      <c r="C4424" s="119" t="str">
        <f>IFERROR(__xludf.DUMMYFUNCTION("""COMPUTED_VALUE"""),"17/94 Dương Văn An")</f>
        <v>17/94 Dương Văn An</v>
      </c>
      <c r="D4424" s="119" t="str">
        <f>IFERROR(__xludf.DUMMYFUNCTION("""COMPUTED_VALUE"""),"mèo")</f>
        <v>mèo</v>
      </c>
      <c r="E4424" s="119" t="str">
        <f>IFERROR(__xludf.DUMMYFUNCTION("""COMPUTED_VALUE""")," Moon")</f>
        <v> Moon</v>
      </c>
    </row>
    <row r="4425" ht="15.75" customHeight="1">
      <c r="A4425" s="122" t="str">
        <f>IFERROR(__xludf.DUMMYFUNCTION("""COMPUTED_VALUE"""),"0393 530 565")</f>
        <v>0393 530 565</v>
      </c>
      <c r="B4425" s="119" t="str">
        <f>IFERROR(__xludf.DUMMYFUNCTION("""COMPUTED_VALUE"""),"Em Khánh Thủy")</f>
        <v>Em Khánh Thủy</v>
      </c>
      <c r="C4425" s="119" t="str">
        <f>IFERROR(__xludf.DUMMYFUNCTION("""COMPUTED_VALUE"""),"9/2/2 Long Thọ")</f>
        <v>9/2/2 Long Thọ</v>
      </c>
      <c r="D4425" s="119" t="str">
        <f>IFERROR(__xludf.DUMMYFUNCTION("""COMPUTED_VALUE"""),"mèo")</f>
        <v>mèo</v>
      </c>
      <c r="E4425" s="119" t="str">
        <f>IFERROR(__xludf.DUMMYFUNCTION("""COMPUTED_VALUE""")," Mỹ Diệu")</f>
        <v> Mỹ Diệu</v>
      </c>
    </row>
    <row r="4426" ht="15.75" customHeight="1">
      <c r="A4426" s="122" t="str">
        <f>IFERROR(__xludf.DUMMYFUNCTION("""COMPUTED_VALUE"""),"0799 112 779")</f>
        <v>0799 112 779</v>
      </c>
      <c r="B4426" s="119" t="str">
        <f>IFERROR(__xludf.DUMMYFUNCTION("""COMPUTED_VALUE"""),"Anh Chiến")</f>
        <v>Anh Chiến</v>
      </c>
      <c r="C4426" s="119" t="str">
        <f>IFERROR(__xludf.DUMMYFUNCTION("""COMPUTED_VALUE"""),"114 Nguyễn Huệ")</f>
        <v>114 Nguyễn Huệ</v>
      </c>
      <c r="D4426" s="119" t="str">
        <f>IFERROR(__xludf.DUMMYFUNCTION("""COMPUTED_VALUE"""),"chó")</f>
        <v>chó</v>
      </c>
      <c r="E4426" s="119" t="str">
        <f>IFERROR(__xludf.DUMMYFUNCTION("""COMPUTED_VALUE""")," Sim")</f>
        <v> Sim</v>
      </c>
    </row>
    <row r="4427" ht="15.75" customHeight="1">
      <c r="A4427" s="122" t="str">
        <f>IFERROR(__xludf.DUMMYFUNCTION("""COMPUTED_VALUE"""),"0857 141 516")</f>
        <v>0857 141 516</v>
      </c>
      <c r="B4427" s="119" t="str">
        <f>IFERROR(__xludf.DUMMYFUNCTION("""COMPUTED_VALUE"""),"Khách tại nhà")</f>
        <v>Khách tại nhà</v>
      </c>
      <c r="C4427" s="119" t="str">
        <f>IFERROR(__xludf.DUMMYFUNCTION("""COMPUTED_VALUE"""),"126 Nhật Lệ")</f>
        <v>126 Nhật Lệ</v>
      </c>
      <c r="D4427" s="119" t="str">
        <f>IFERROR(__xludf.DUMMYFUNCTION("""COMPUTED_VALUE"""),"chó")</f>
        <v>chó</v>
      </c>
      <c r="E4427" s="119" t="str">
        <f>IFERROR(__xludf.DUMMYFUNCTION("""COMPUTED_VALUE"""),"ko tên")</f>
        <v>ko tên</v>
      </c>
    </row>
    <row r="4428" ht="15.75" customHeight="1">
      <c r="A4428" s="122" t="str">
        <f>IFERROR(__xludf.DUMMYFUNCTION("""COMPUTED_VALUE"""),"0369 043 635")</f>
        <v>0369 043 635</v>
      </c>
      <c r="B4428" s="119" t="str">
        <f>IFERROR(__xludf.DUMMYFUNCTION("""COMPUTED_VALUE"""),"Lý Thanh Quý")</f>
        <v>Lý Thanh Quý</v>
      </c>
      <c r="C4428" s="119" t="str">
        <f>IFERROR(__xludf.DUMMYFUNCTION("""COMPUTED_VALUE"""),"Đà Nẵng")</f>
        <v>Đà Nẵng</v>
      </c>
      <c r="D4428" s="119" t="str">
        <f>IFERROR(__xludf.DUMMYFUNCTION("""COMPUTED_VALUE"""),"chó")</f>
        <v>chó</v>
      </c>
      <c r="E4428" s="119" t="str">
        <f>IFERROR(__xludf.DUMMYFUNCTION("""COMPUTED_VALUE"""),"ko tên")</f>
        <v>ko tên</v>
      </c>
    </row>
    <row r="4429" ht="15.75" customHeight="1">
      <c r="A4429" s="122" t="str">
        <f>IFERROR(__xludf.DUMMYFUNCTION("""COMPUTED_VALUE"""),"0938 644 582")</f>
        <v>0938 644 582</v>
      </c>
      <c r="B4429" s="119" t="str">
        <f>IFERROR(__xludf.DUMMYFUNCTION("""COMPUTED_VALUE"""),"Chị Uyên")</f>
        <v>Chị Uyên</v>
      </c>
      <c r="C4429" s="119" t="str">
        <f>IFERROR(__xludf.DUMMYFUNCTION("""COMPUTED_VALUE"""),"Bùi Thị xuân")</f>
        <v>Bùi Thị xuân</v>
      </c>
      <c r="D4429" s="119" t="str">
        <f>IFERROR(__xludf.DUMMYFUNCTION("""COMPUTED_VALUE"""),"Chó")</f>
        <v>Chó</v>
      </c>
      <c r="E4429" s="119" t="str">
        <f>IFERROR(__xludf.DUMMYFUNCTION("""COMPUTED_VALUE"""),"Tom")</f>
        <v>Tom</v>
      </c>
    </row>
    <row r="4430" ht="15.75" customHeight="1">
      <c r="A4430" s="122" t="str">
        <f>IFERROR(__xludf.DUMMYFUNCTION("""COMPUTED_VALUE"""),"0918 987 822")</f>
        <v>0918 987 822</v>
      </c>
      <c r="B4430" s="119"/>
      <c r="C4430" s="119" t="str">
        <f>IFERROR(__xludf.DUMMYFUNCTION("""COMPUTED_VALUE"""),"Phan Bội Châu")</f>
        <v>Phan Bội Châu</v>
      </c>
      <c r="D4430" s="119" t="str">
        <f>IFERROR(__xludf.DUMMYFUNCTION("""COMPUTED_VALUE"""),"Chó")</f>
        <v>Chó</v>
      </c>
      <c r="E4430" s="119" t="str">
        <f>IFERROR(__xludf.DUMMYFUNCTION("""COMPUTED_VALUE"""),"Ko Tên")</f>
        <v>Ko Tên</v>
      </c>
    </row>
    <row r="4431" ht="15.75" customHeight="1">
      <c r="A4431" s="122" t="str">
        <f>IFERROR(__xludf.DUMMYFUNCTION("""COMPUTED_VALUE"""),"0989 883 747")</f>
        <v>0989 883 747</v>
      </c>
      <c r="B4431" s="119" t="str">
        <f>IFERROR(__xludf.DUMMYFUNCTION("""COMPUTED_VALUE"""),"Chị Ngọc")</f>
        <v>Chị Ngọc</v>
      </c>
      <c r="C4431" s="119" t="str">
        <f>IFERROR(__xludf.DUMMYFUNCTION("""COMPUTED_VALUE"""),"8/31/88 Nguyễn Khoa Chiêm")</f>
        <v>8/31/88 Nguyễn Khoa Chiêm</v>
      </c>
      <c r="D4431" s="119" t="str">
        <f>IFERROR(__xludf.DUMMYFUNCTION("""COMPUTED_VALUE"""),"Chó")</f>
        <v>Chó</v>
      </c>
      <c r="E4431" s="119" t="str">
        <f>IFERROR(__xludf.DUMMYFUNCTION("""COMPUTED_VALUE"""),"Nu")</f>
        <v>Nu</v>
      </c>
    </row>
    <row r="4432" ht="15.75" customHeight="1">
      <c r="A4432" s="122" t="str">
        <f>IFERROR(__xludf.DUMMYFUNCTION("""COMPUTED_VALUE"""),"0935 030 796")</f>
        <v>0935 030 796</v>
      </c>
      <c r="B4432" s="119" t="str">
        <f>IFERROR(__xludf.DUMMYFUNCTION("""COMPUTED_VALUE"""),"Chị Huyền")</f>
        <v>Chị Huyền</v>
      </c>
      <c r="C4432" s="119" t="str">
        <f>IFERROR(__xludf.DUMMYFUNCTION("""COMPUTED_VALUE"""),"Đặng Văn Ngữ")</f>
        <v>Đặng Văn Ngữ</v>
      </c>
      <c r="D4432" s="119" t="str">
        <f>IFERROR(__xludf.DUMMYFUNCTION("""COMPUTED_VALUE"""),"chó")</f>
        <v>chó</v>
      </c>
      <c r="E4432" s="119" t="str">
        <f>IFERROR(__xludf.DUMMYFUNCTION("""COMPUTED_VALUE"""),"Bông")</f>
        <v>Bông</v>
      </c>
    </row>
    <row r="4433" ht="15.75" customHeight="1">
      <c r="A4433" s="122" t="str">
        <f>IFERROR(__xludf.DUMMYFUNCTION("""COMPUTED_VALUE"""),"0327 534 325")</f>
        <v>0327 534 325</v>
      </c>
      <c r="B4433" s="119" t="str">
        <f>IFERROR(__xludf.DUMMYFUNCTION("""COMPUTED_VALUE"""),"Anh Lê Quốc Bảo")</f>
        <v>Anh Lê Quốc Bảo</v>
      </c>
      <c r="C4433" s="119" t="str">
        <f>IFERROR(__xludf.DUMMYFUNCTION("""COMPUTED_VALUE"""),"Thủy Bằng")</f>
        <v>Thủy Bằng</v>
      </c>
      <c r="D4433" s="119" t="str">
        <f>IFERROR(__xludf.DUMMYFUNCTION("""COMPUTED_VALUE"""),"chó")</f>
        <v>chó</v>
      </c>
      <c r="E4433" s="119" t="str">
        <f>IFERROR(__xludf.DUMMYFUNCTION("""COMPUTED_VALUE"""),"Beo")</f>
        <v>Beo</v>
      </c>
    </row>
    <row r="4434" ht="15.75" customHeight="1">
      <c r="A4434" s="122" t="str">
        <f>IFERROR(__xludf.DUMMYFUNCTION("""COMPUTED_VALUE"""),"0362 933 644")</f>
        <v>0362 933 644</v>
      </c>
      <c r="B4434" s="119" t="str">
        <f>IFERROR(__xludf.DUMMYFUNCTION("""COMPUTED_VALUE"""),"Quỳnh Thị Mỹ Hảo")</f>
        <v>Quỳnh Thị Mỹ Hảo</v>
      </c>
      <c r="C4434" s="119" t="str">
        <f>IFERROR(__xludf.DUMMYFUNCTION("""COMPUTED_VALUE"""),"109 Minh Mạng")</f>
        <v>109 Minh Mạng</v>
      </c>
      <c r="D4434" s="119" t="str">
        <f>IFERROR(__xludf.DUMMYFUNCTION("""COMPUTED_VALUE"""),"Chó")</f>
        <v>Chó</v>
      </c>
      <c r="E4434" s="119" t="str">
        <f>IFERROR(__xludf.DUMMYFUNCTION("""COMPUTED_VALUE"""),"Lu")</f>
        <v>Lu</v>
      </c>
    </row>
    <row r="4435" ht="15.75" customHeight="1">
      <c r="A4435" s="122" t="str">
        <f>IFERROR(__xludf.DUMMYFUNCTION("""COMPUTED_VALUE"""),"0397 415 999")</f>
        <v>0397 415 999</v>
      </c>
      <c r="B4435" s="119" t="str">
        <f>IFERROR(__xludf.DUMMYFUNCTION("""COMPUTED_VALUE"""),"Oanh")</f>
        <v>Oanh</v>
      </c>
      <c r="C4435" s="119" t="str">
        <f>IFERROR(__xludf.DUMMYFUNCTION("""COMPUTED_VALUE"""),"Chung cư Trường An")</f>
        <v>Chung cư Trường An</v>
      </c>
      <c r="D4435" s="119" t="str">
        <f>IFERROR(__xludf.DUMMYFUNCTION("""COMPUTED_VALUE"""),"Mèo")</f>
        <v>Mèo</v>
      </c>
      <c r="E4435" s="119" t="str">
        <f>IFERROR(__xludf.DUMMYFUNCTION("""COMPUTED_VALUE"""),"vàng/ vàng trắng")</f>
        <v>vàng/ vàng trắng</v>
      </c>
    </row>
    <row r="4436" ht="15.75" customHeight="1">
      <c r="A4436" s="122" t="str">
        <f>IFERROR(__xludf.DUMMYFUNCTION("""COMPUTED_VALUE"""),"0907 688 267")</f>
        <v>0907 688 267</v>
      </c>
      <c r="B4436" s="119" t="str">
        <f>IFERROR(__xludf.DUMMYFUNCTION("""COMPUTED_VALUE"""),"Dì Kim")</f>
        <v>Dì Kim</v>
      </c>
      <c r="C4436" s="119" t="str">
        <f>IFERROR(__xludf.DUMMYFUNCTION("""COMPUTED_VALUE"""),"17/15 Đống Đa")</f>
        <v>17/15 Đống Đa</v>
      </c>
      <c r="D4436" s="119" t="str">
        <f>IFERROR(__xludf.DUMMYFUNCTION("""COMPUTED_VALUE"""),"Chó")</f>
        <v>Chó</v>
      </c>
      <c r="E4436" s="119" t="str">
        <f>IFERROR(__xludf.DUMMYFUNCTION("""COMPUTED_VALUE"""),"Nâu")</f>
        <v>Nâu</v>
      </c>
    </row>
    <row r="4437" ht="15.75" customHeight="1">
      <c r="A4437" s="122" t="str">
        <f>IFERROR(__xludf.DUMMYFUNCTION("""COMPUTED_VALUE"""),"0935 785 139")</f>
        <v>0935 785 139</v>
      </c>
      <c r="B4437" s="119" t="str">
        <f>IFERROR(__xludf.DUMMYFUNCTION("""COMPUTED_VALUE"""),"Anh sơn")</f>
        <v>Anh sơn</v>
      </c>
      <c r="C4437" s="119" t="str">
        <f>IFERROR(__xludf.DUMMYFUNCTION("""COMPUTED_VALUE"""),"44 Xuân thủy")</f>
        <v>44 Xuân thủy</v>
      </c>
      <c r="D4437" s="119" t="str">
        <f>IFERROR(__xludf.DUMMYFUNCTION("""COMPUTED_VALUE"""),"Chó")</f>
        <v>Chó</v>
      </c>
      <c r="E4437" s="119" t="str">
        <f>IFERROR(__xludf.DUMMYFUNCTION("""COMPUTED_VALUE"""),"Nâu")</f>
        <v>Nâu</v>
      </c>
    </row>
    <row r="4438" ht="15.75" customHeight="1">
      <c r="A4438" s="122" t="str">
        <f>IFERROR(__xludf.DUMMYFUNCTION("""COMPUTED_VALUE"""),"0399 905 989")</f>
        <v>0399 905 989</v>
      </c>
      <c r="B4438" s="119" t="str">
        <f>IFERROR(__xludf.DUMMYFUNCTION("""COMPUTED_VALUE"""),"Kim Chi")</f>
        <v>Kim Chi</v>
      </c>
      <c r="C4438" s="119" t="str">
        <f>IFERROR(__xludf.DUMMYFUNCTION("""COMPUTED_VALUE"""),"87 Nguyễn Huệ")</f>
        <v>87 Nguyễn Huệ</v>
      </c>
      <c r="D4438" s="119" t="str">
        <f>IFERROR(__xludf.DUMMYFUNCTION("""COMPUTED_VALUE"""),"Mèo")</f>
        <v>Mèo</v>
      </c>
      <c r="E4438" s="119" t="str">
        <f>IFERROR(__xludf.DUMMYFUNCTION("""COMPUTED_VALUE"""),"Bi")</f>
        <v>Bi</v>
      </c>
    </row>
    <row r="4439" ht="15.75" customHeight="1">
      <c r="A4439" s="122" t="str">
        <f>IFERROR(__xludf.DUMMYFUNCTION("""COMPUTED_VALUE"""),"0386 101 736")</f>
        <v>0386 101 736</v>
      </c>
      <c r="B4439" s="119" t="str">
        <f>IFERROR(__xludf.DUMMYFUNCTION("""COMPUTED_VALUE"""),"Mỹ Anh")</f>
        <v>Mỹ Anh</v>
      </c>
      <c r="C4439" s="119" t="str">
        <f>IFERROR(__xludf.DUMMYFUNCTION("""COMPUTED_VALUE"""),"2/85 Nguyễn Huệ")</f>
        <v>2/85 Nguyễn Huệ</v>
      </c>
      <c r="D4439" s="119" t="str">
        <f>IFERROR(__xludf.DUMMYFUNCTION("""COMPUTED_VALUE"""),"Mèo")</f>
        <v>Mèo</v>
      </c>
      <c r="E4439" s="119"/>
    </row>
    <row r="4440" ht="15.75" customHeight="1">
      <c r="A4440" s="122" t="str">
        <f>IFERROR(__xludf.DUMMYFUNCTION("""COMPUTED_VALUE"""),"0967 913 860")</f>
        <v>0967 913 860</v>
      </c>
      <c r="B4440" s="119" t="str">
        <f>IFERROR(__xludf.DUMMYFUNCTION("""COMPUTED_VALUE"""),"Chị tép")</f>
        <v>Chị tép</v>
      </c>
      <c r="C4440" s="119" t="str">
        <f>IFERROR(__xludf.DUMMYFUNCTION("""COMPUTED_VALUE"""),"19 Nguyễn Thái Học")</f>
        <v>19 Nguyễn Thái Học</v>
      </c>
      <c r="D4440" s="119" t="str">
        <f>IFERROR(__xludf.DUMMYFUNCTION("""COMPUTED_VALUE"""),"mèo")</f>
        <v>mèo</v>
      </c>
      <c r="E4440" s="119" t="str">
        <f>IFERROR(__xludf.DUMMYFUNCTION("""COMPUTED_VALUE"""),"Mon")</f>
        <v>Mon</v>
      </c>
    </row>
    <row r="4441" ht="15.75" customHeight="1">
      <c r="A4441" s="122" t="str">
        <f>IFERROR(__xludf.DUMMYFUNCTION("""COMPUTED_VALUE"""),"0796 612 126")</f>
        <v>0796 612 126</v>
      </c>
      <c r="B4441" s="119" t="str">
        <f>IFERROR(__xludf.DUMMYFUNCTION("""COMPUTED_VALUE"""),"Anh Triệu")</f>
        <v>Anh Triệu</v>
      </c>
      <c r="C4441" s="119" t="str">
        <f>IFERROR(__xludf.DUMMYFUNCTION("""COMPUTED_VALUE"""),"Xã Tắc")</f>
        <v>Xã Tắc</v>
      </c>
      <c r="D4441" s="119" t="str">
        <f>IFERROR(__xludf.DUMMYFUNCTION("""COMPUTED_VALUE"""),"Chó")</f>
        <v>Chó</v>
      </c>
      <c r="E4441" s="119" t="str">
        <f>IFERROR(__xludf.DUMMYFUNCTION("""COMPUTED_VALUE"""),"Sữa")</f>
        <v>Sữa</v>
      </c>
    </row>
    <row r="4442" ht="15.75" customHeight="1">
      <c r="A4442" s="122" t="str">
        <f>IFERROR(__xludf.DUMMYFUNCTION("""COMPUTED_VALUE"""),"0903 513 430")</f>
        <v>0903 513 430</v>
      </c>
      <c r="B4442" s="119" t="str">
        <f>IFERROR(__xludf.DUMMYFUNCTION("""COMPUTED_VALUE"""),"cô Quý")</f>
        <v>cô Quý</v>
      </c>
      <c r="C4442" s="119" t="str">
        <f>IFERROR(__xludf.DUMMYFUNCTION("""COMPUTED_VALUE"""),"Chùa Hương Sơ")</f>
        <v>Chùa Hương Sơ</v>
      </c>
      <c r="D4442" s="119" t="str">
        <f>IFERROR(__xludf.DUMMYFUNCTION("""COMPUTED_VALUE"""),"mèo")</f>
        <v>mèo</v>
      </c>
      <c r="E4442" s="119" t="str">
        <f>IFERROR(__xludf.DUMMYFUNCTION("""COMPUTED_VALUE"""),"ko tên")</f>
        <v>ko tên</v>
      </c>
    </row>
    <row r="4443" ht="15.75" customHeight="1">
      <c r="A4443" s="122" t="str">
        <f>IFERROR(__xludf.DUMMYFUNCTION("""COMPUTED_VALUE"""),"0762 715 636")</f>
        <v>0762 715 636</v>
      </c>
      <c r="B4443" s="119" t="str">
        <f>IFERROR(__xludf.DUMMYFUNCTION("""COMPUTED_VALUE"""),"Anh Dương")</f>
        <v>Anh Dương</v>
      </c>
      <c r="C4443" s="119" t="str">
        <f>IFERROR(__xludf.DUMMYFUNCTION("""COMPUTED_VALUE"""),"4/24 Nguyễn Phúc Nguyên")</f>
        <v>4/24 Nguyễn Phúc Nguyên</v>
      </c>
      <c r="D4443" s="119" t="str">
        <f>IFERROR(__xludf.DUMMYFUNCTION("""COMPUTED_VALUE"""),"Chó")</f>
        <v>Chó</v>
      </c>
      <c r="E4443" s="119" t="str">
        <f>IFERROR(__xludf.DUMMYFUNCTION("""COMPUTED_VALUE"""),"Bi")</f>
        <v>Bi</v>
      </c>
    </row>
    <row r="4444" ht="15.75" customHeight="1">
      <c r="A4444" s="122" t="str">
        <f>IFERROR(__xludf.DUMMYFUNCTION("""COMPUTED_VALUE"""),"0844 973 370")</f>
        <v>0844 973 370</v>
      </c>
      <c r="B4444" s="119" t="str">
        <f>IFERROR(__xludf.DUMMYFUNCTION("""COMPUTED_VALUE"""),"Em Khuê")</f>
        <v>Em Khuê</v>
      </c>
      <c r="C4444" s="119" t="str">
        <f>IFERROR(__xludf.DUMMYFUNCTION("""COMPUTED_VALUE"""),"Phan Bội Châu")</f>
        <v>Phan Bội Châu</v>
      </c>
      <c r="D4444" s="119" t="str">
        <f>IFERROR(__xludf.DUMMYFUNCTION("""COMPUTED_VALUE"""),"mèo")</f>
        <v>mèo</v>
      </c>
      <c r="E4444" s="119" t="str">
        <f>IFERROR(__xludf.DUMMYFUNCTION("""COMPUTED_VALUE""")," Ken")</f>
        <v> Ken</v>
      </c>
    </row>
    <row r="4445" ht="15.75" customHeight="1">
      <c r="A4445" s="122" t="str">
        <f>IFERROR(__xludf.DUMMYFUNCTION("""COMPUTED_VALUE"""),"0914 042 401")</f>
        <v>0914 042 401</v>
      </c>
      <c r="B4445" s="119" t="str">
        <f>IFERROR(__xludf.DUMMYFUNCTION("""COMPUTED_VALUE"""),"Chị Mai")</f>
        <v>Chị Mai</v>
      </c>
      <c r="C4445" s="119" t="str">
        <f>IFERROR(__xludf.DUMMYFUNCTION("""COMPUTED_VALUE"""),"20/77 Trần Nhân Tông")</f>
        <v>20/77 Trần Nhân Tông</v>
      </c>
      <c r="D4445" s="119" t="str">
        <f>IFERROR(__xludf.DUMMYFUNCTION("""COMPUTED_VALUE"""),"chó")</f>
        <v>chó</v>
      </c>
      <c r="E4445" s="119" t="str">
        <f>IFERROR(__xludf.DUMMYFUNCTION("""COMPUTED_VALUE""")," Nem")</f>
        <v> Nem</v>
      </c>
    </row>
    <row r="4446" ht="15.75" customHeight="1">
      <c r="A4446" s="122" t="str">
        <f>IFERROR(__xludf.DUMMYFUNCTION("""COMPUTED_VALUE"""),"0905 744 955")</f>
        <v>0905 744 955</v>
      </c>
      <c r="B4446" s="119" t="str">
        <f>IFERROR(__xludf.DUMMYFUNCTION("""COMPUTED_VALUE"""),"Chị Hà")</f>
        <v>Chị Hà</v>
      </c>
      <c r="C4446" s="119" t="str">
        <f>IFERROR(__xludf.DUMMYFUNCTION("""COMPUTED_VALUE"""),"8/8/10 Hồ Đắc Di")</f>
        <v>8/8/10 Hồ Đắc Di</v>
      </c>
      <c r="D4446" s="119" t="str">
        <f>IFERROR(__xludf.DUMMYFUNCTION("""COMPUTED_VALUE"""),"Chó")</f>
        <v>Chó</v>
      </c>
      <c r="E4446" s="119" t="str">
        <f>IFERROR(__xludf.DUMMYFUNCTION("""COMPUTED_VALUE"""),"Đô")</f>
        <v>Đô</v>
      </c>
    </row>
    <row r="4447" ht="15.75" customHeight="1">
      <c r="A4447" s="122" t="str">
        <f>IFERROR(__xludf.DUMMYFUNCTION("""COMPUTED_VALUE"""),"0935 171 054")</f>
        <v>0935 171 054</v>
      </c>
      <c r="B4447" s="119" t="str">
        <f>IFERROR(__xludf.DUMMYFUNCTION("""COMPUTED_VALUE"""),"Anh Duy")</f>
        <v>Anh Duy</v>
      </c>
      <c r="C4447" s="119" t="str">
        <f>IFERROR(__xludf.DUMMYFUNCTION("""COMPUTED_VALUE"""),"chợ Trường An")</f>
        <v>chợ Trường An</v>
      </c>
      <c r="D4447" s="119" t="str">
        <f>IFERROR(__xludf.DUMMYFUNCTION("""COMPUTED_VALUE"""),"mèo")</f>
        <v>mèo</v>
      </c>
      <c r="E4447" s="119" t="str">
        <f>IFERROR(__xludf.DUMMYFUNCTION("""COMPUTED_VALUE"""),"Miu")</f>
        <v>Miu</v>
      </c>
    </row>
    <row r="4448" ht="15.75" customHeight="1">
      <c r="A4448" s="122" t="str">
        <f>IFERROR(__xludf.DUMMYFUNCTION("""COMPUTED_VALUE"""),"0373 772 152")</f>
        <v>0373 772 152</v>
      </c>
      <c r="B4448" s="119" t="str">
        <f>IFERROR(__xludf.DUMMYFUNCTION("""COMPUTED_VALUE"""),"Huỳnh Quang Sơn")</f>
        <v>Huỳnh Quang Sơn</v>
      </c>
      <c r="C4448" s="119" t="str">
        <f>IFERROR(__xludf.DUMMYFUNCTION("""COMPUTED_VALUE"""),"187 Nguyễn Sinh Cung")</f>
        <v>187 Nguyễn Sinh Cung</v>
      </c>
      <c r="D4448" s="119" t="str">
        <f>IFERROR(__xludf.DUMMYFUNCTION("""COMPUTED_VALUE"""),"mèo")</f>
        <v>mèo</v>
      </c>
      <c r="E4448" s="119"/>
    </row>
    <row r="4449" ht="15.75" customHeight="1">
      <c r="A4449" s="122" t="str">
        <f>IFERROR(__xludf.DUMMYFUNCTION("""COMPUTED_VALUE"""),"0853 023 484")</f>
        <v>0853 023 484</v>
      </c>
      <c r="B4449" s="119" t="str">
        <f>IFERROR(__xludf.DUMMYFUNCTION("""COMPUTED_VALUE"""),"Em Thy")</f>
        <v>Em Thy</v>
      </c>
      <c r="C4449" s="119" t="str">
        <f>IFERROR(__xludf.DUMMYFUNCTION("""COMPUTED_VALUE"""),"53/1 Phạm Thị Liên")</f>
        <v>53/1 Phạm Thị Liên</v>
      </c>
      <c r="D4449" s="119" t="str">
        <f>IFERROR(__xludf.DUMMYFUNCTION("""COMPUTED_VALUE"""),"Chó")</f>
        <v>Chó</v>
      </c>
      <c r="E4449" s="119" t="str">
        <f>IFERROR(__xludf.DUMMYFUNCTION("""COMPUTED_VALUE"""),"Tiger")</f>
        <v>Tiger</v>
      </c>
    </row>
    <row r="4450" ht="15.75" customHeight="1">
      <c r="A4450" s="122" t="str">
        <f>IFERROR(__xludf.DUMMYFUNCTION("""COMPUTED_VALUE"""),"0896 207 431")</f>
        <v>0896 207 431</v>
      </c>
      <c r="B4450" s="119" t="str">
        <f>IFERROR(__xludf.DUMMYFUNCTION("""COMPUTED_VALUE"""),"Em Thành")</f>
        <v>Em Thành</v>
      </c>
      <c r="C4450" s="119" t="str">
        <f>IFERROR(__xludf.DUMMYFUNCTION("""COMPUTED_VALUE"""),"117 Văn Thánh")</f>
        <v>117 Văn Thánh</v>
      </c>
      <c r="D4450" s="119" t="str">
        <f>IFERROR(__xludf.DUMMYFUNCTION("""COMPUTED_VALUE"""),"Mèo")</f>
        <v>Mèo</v>
      </c>
      <c r="E4450" s="119"/>
    </row>
    <row r="4451" ht="15.75" customHeight="1">
      <c r="A4451" s="122" t="str">
        <f>IFERROR(__xludf.DUMMYFUNCTION("""COMPUTED_VALUE"""),"0796 682 554")</f>
        <v>0796 682 554</v>
      </c>
      <c r="B4451" s="119" t="str">
        <f>IFERROR(__xludf.DUMMYFUNCTION("""COMPUTED_VALUE"""),"Dì Tuyến")</f>
        <v>Dì Tuyến</v>
      </c>
      <c r="C4451" s="119" t="str">
        <f>IFERROR(__xludf.DUMMYFUNCTION("""COMPUTED_VALUE"""),"11 Nguyễn Phúc Thái")</f>
        <v>11 Nguyễn Phúc Thái</v>
      </c>
      <c r="D4451" s="119" t="str">
        <f>IFERROR(__xludf.DUMMYFUNCTION("""COMPUTED_VALUE"""),"Chó")</f>
        <v>Chó</v>
      </c>
      <c r="E4451" s="119" t="str">
        <f>IFERROR(__xludf.DUMMYFUNCTION("""COMPUTED_VALUE"""),"Nem")</f>
        <v>Nem</v>
      </c>
    </row>
    <row r="4452" ht="15.75" customHeight="1">
      <c r="A4452" s="122" t="str">
        <f>IFERROR(__xludf.DUMMYFUNCTION("""COMPUTED_VALUE"""),"0386 538 311")</f>
        <v>0386 538 311</v>
      </c>
      <c r="B4452" s="119" t="str">
        <f>IFERROR(__xludf.DUMMYFUNCTION("""COMPUTED_VALUE"""),"Cô Như Hạnh")</f>
        <v>Cô Như Hạnh</v>
      </c>
      <c r="C4452" s="119" t="str">
        <f>IFERROR(__xludf.DUMMYFUNCTION("""COMPUTED_VALUE"""),"Chùa huyền Không sơn Thượng")</f>
        <v>Chùa huyền Không sơn Thượng</v>
      </c>
      <c r="D4452" s="119" t="str">
        <f>IFERROR(__xludf.DUMMYFUNCTION("""COMPUTED_VALUE"""),"Chó")</f>
        <v>Chó</v>
      </c>
      <c r="E4452" s="119" t="str">
        <f>IFERROR(__xludf.DUMMYFUNCTION("""COMPUTED_VALUE"""),"Lina")</f>
        <v>Lina</v>
      </c>
    </row>
    <row r="4453" ht="15.75" customHeight="1">
      <c r="A4453" s="122" t="str">
        <f>IFERROR(__xludf.DUMMYFUNCTION("""COMPUTED_VALUE"""),"0363 869 593")</f>
        <v>0363 869 593</v>
      </c>
      <c r="B4453" s="119" t="str">
        <f>IFERROR(__xludf.DUMMYFUNCTION("""COMPUTED_VALUE"""),"Ngọc Hân")</f>
        <v>Ngọc Hân</v>
      </c>
      <c r="C4453" s="119" t="str">
        <f>IFERROR(__xludf.DUMMYFUNCTION("""COMPUTED_VALUE"""),"7 Lê Văn An- Tứ Hạ")</f>
        <v>7 Lê Văn An- Tứ Hạ</v>
      </c>
      <c r="D4453" s="119" t="str">
        <f>IFERROR(__xludf.DUMMYFUNCTION("""COMPUTED_VALUE"""),"Mèo")</f>
        <v>Mèo</v>
      </c>
      <c r="E4453" s="119" t="str">
        <f>IFERROR(__xludf.DUMMYFUNCTION("""COMPUTED_VALUE"""),"Sam")</f>
        <v>Sam</v>
      </c>
    </row>
    <row r="4454" ht="15.75" customHeight="1">
      <c r="A4454" s="122" t="str">
        <f>IFERROR(__xludf.DUMMYFUNCTION("""COMPUTED_VALUE"""),"0837 664 852")</f>
        <v>0837 664 852</v>
      </c>
      <c r="B4454" s="119" t="str">
        <f>IFERROR(__xludf.DUMMYFUNCTION("""COMPUTED_VALUE"""),"Chị Ngọc")</f>
        <v>Chị Ngọc</v>
      </c>
      <c r="C4454" s="119" t="str">
        <f>IFERROR(__xludf.DUMMYFUNCTION("""COMPUTED_VALUE"""),"36/15 Kim Long")</f>
        <v>36/15 Kim Long</v>
      </c>
      <c r="D4454" s="119" t="str">
        <f>IFERROR(__xludf.DUMMYFUNCTION("""COMPUTED_VALUE"""),"Chó")</f>
        <v>Chó</v>
      </c>
      <c r="E4454" s="119" t="str">
        <f>IFERROR(__xludf.DUMMYFUNCTION("""COMPUTED_VALUE"""),"Bom")</f>
        <v>Bom</v>
      </c>
    </row>
    <row r="4455" ht="15.75" customHeight="1">
      <c r="A4455" s="122" t="str">
        <f>IFERROR(__xludf.DUMMYFUNCTION("""COMPUTED_VALUE"""),"0832 322 469")</f>
        <v>0832 322 469</v>
      </c>
      <c r="B4455" s="119" t="str">
        <f>IFERROR(__xludf.DUMMYFUNCTION("""COMPUTED_VALUE"""),"Nguyễn Ngọc Lân")</f>
        <v>Nguyễn Ngọc Lân</v>
      </c>
      <c r="C4455" s="119" t="str">
        <f>IFERROR(__xludf.DUMMYFUNCTION("""COMPUTED_VALUE"""),"74 Phạm Thị Liên")</f>
        <v>74 Phạm Thị Liên</v>
      </c>
      <c r="D4455" s="119" t="str">
        <f>IFERROR(__xludf.DUMMYFUNCTION("""COMPUTED_VALUE"""),"Chó")</f>
        <v>Chó</v>
      </c>
      <c r="E4455" s="119" t="str">
        <f>IFERROR(__xludf.DUMMYFUNCTION("""COMPUTED_VALUE"""),"Mun")</f>
        <v>Mun</v>
      </c>
    </row>
    <row r="4456" ht="15.75" customHeight="1">
      <c r="A4456" s="122" t="str">
        <f>IFERROR(__xludf.DUMMYFUNCTION("""COMPUTED_VALUE"""),"0935 553 600")</f>
        <v>0935 553 600</v>
      </c>
      <c r="B4456" s="119" t="str">
        <f>IFERROR(__xludf.DUMMYFUNCTION("""COMPUTED_VALUE"""),"Dì Lài")</f>
        <v>Dì Lài</v>
      </c>
      <c r="C4456" s="119" t="str">
        <f>IFERROR(__xludf.DUMMYFUNCTION("""COMPUTED_VALUE"""),"4/78 Nguyễn sinh cung")</f>
        <v>4/78 Nguyễn sinh cung</v>
      </c>
      <c r="D4456" s="119" t="str">
        <f>IFERROR(__xludf.DUMMYFUNCTION("""COMPUTED_VALUE"""),"Chó")</f>
        <v>Chó</v>
      </c>
      <c r="E4456" s="119"/>
    </row>
    <row r="4457" ht="15.75" customHeight="1">
      <c r="A4457" s="122" t="str">
        <f>IFERROR(__xludf.DUMMYFUNCTION("""COMPUTED_VALUE"""),"0344 144 208")</f>
        <v>0344 144 208</v>
      </c>
      <c r="B4457" s="119" t="str">
        <f>IFERROR(__xludf.DUMMYFUNCTION("""COMPUTED_VALUE"""),"Em My")</f>
        <v>Em My</v>
      </c>
      <c r="C4457" s="119" t="str">
        <f>IFERROR(__xludf.DUMMYFUNCTION("""COMPUTED_VALUE"""),"42B hàn Mặc Tử")</f>
        <v>42B hàn Mặc Tử</v>
      </c>
      <c r="D4457" s="119" t="str">
        <f>IFERROR(__xludf.DUMMYFUNCTION("""COMPUTED_VALUE"""),"chó")</f>
        <v>chó</v>
      </c>
      <c r="E4457" s="119" t="str">
        <f>IFERROR(__xludf.DUMMYFUNCTION("""COMPUTED_VALUE"""),"Milu")</f>
        <v>Milu</v>
      </c>
    </row>
    <row r="4458" ht="15.75" customHeight="1">
      <c r="A4458" s="122" t="str">
        <f>IFERROR(__xludf.DUMMYFUNCTION("""COMPUTED_VALUE"""),"0839 977 660")</f>
        <v>0839 977 660</v>
      </c>
      <c r="B4458" s="119" t="str">
        <f>IFERROR(__xludf.DUMMYFUNCTION("""COMPUTED_VALUE"""),"Chị Ái Hạnh")</f>
        <v>Chị Ái Hạnh</v>
      </c>
      <c r="C4458" s="119" t="str">
        <f>IFERROR(__xludf.DUMMYFUNCTION("""COMPUTED_VALUE"""),"127 Hàn Mặc Tử")</f>
        <v>127 Hàn Mặc Tử</v>
      </c>
      <c r="D4458" s="119" t="str">
        <f>IFERROR(__xludf.DUMMYFUNCTION("""COMPUTED_VALUE"""),"mèo")</f>
        <v>mèo</v>
      </c>
      <c r="E4458" s="119" t="str">
        <f>IFERROR(__xludf.DUMMYFUNCTION("""COMPUTED_VALUE"""),"Vằn")</f>
        <v>Vằn</v>
      </c>
    </row>
    <row r="4459" ht="15.75" customHeight="1">
      <c r="A4459" s="122" t="str">
        <f>IFERROR(__xludf.DUMMYFUNCTION("""COMPUTED_VALUE"""),"0765 988 084")</f>
        <v>0765 988 084</v>
      </c>
      <c r="B4459" s="119" t="str">
        <f>IFERROR(__xludf.DUMMYFUNCTION("""COMPUTED_VALUE"""),"Dì Hương")</f>
        <v>Dì Hương</v>
      </c>
      <c r="C4459" s="119" t="str">
        <f>IFERROR(__xludf.DUMMYFUNCTION("""COMPUTED_VALUE"""),"Phú An")</f>
        <v>Phú An</v>
      </c>
      <c r="D4459" s="119" t="str">
        <f>IFERROR(__xludf.DUMMYFUNCTION("""COMPUTED_VALUE"""),"Chó")</f>
        <v>Chó</v>
      </c>
      <c r="E4459" s="119" t="str">
        <f>IFERROR(__xludf.DUMMYFUNCTION("""COMPUTED_VALUE"""),"Lu")</f>
        <v>Lu</v>
      </c>
    </row>
    <row r="4460" ht="15.75" customHeight="1">
      <c r="A4460" s="122" t="str">
        <f>IFERROR(__xludf.DUMMYFUNCTION("""COMPUTED_VALUE"""),"0942 465 846")</f>
        <v>0942 465 846</v>
      </c>
      <c r="B4460" s="119" t="str">
        <f>IFERROR(__xludf.DUMMYFUNCTION("""COMPUTED_VALUE"""),"Băng Uyên")</f>
        <v>Băng Uyên</v>
      </c>
      <c r="C4460" s="119" t="str">
        <f>IFERROR(__xludf.DUMMYFUNCTION("""COMPUTED_VALUE"""),"1 Mang Cá Nhỏ")</f>
        <v>1 Mang Cá Nhỏ</v>
      </c>
      <c r="D4460" s="119" t="str">
        <f>IFERROR(__xludf.DUMMYFUNCTION("""COMPUTED_VALUE"""),"Chó")</f>
        <v>Chó</v>
      </c>
      <c r="E4460" s="119" t="str">
        <f>IFERROR(__xludf.DUMMYFUNCTION("""COMPUTED_VALUE"""),"Heo")</f>
        <v>Heo</v>
      </c>
    </row>
    <row r="4461" ht="15.75" customHeight="1">
      <c r="A4461" s="122" t="str">
        <f>IFERROR(__xludf.DUMMYFUNCTION("""COMPUTED_VALUE"""),"0933 335 330")</f>
        <v>0933 335 330</v>
      </c>
      <c r="B4461" s="119" t="str">
        <f>IFERROR(__xludf.DUMMYFUNCTION("""COMPUTED_VALUE"""),"Bác Hà Tiên")</f>
        <v>Bác Hà Tiên</v>
      </c>
      <c r="C4461" s="119" t="str">
        <f>IFERROR(__xludf.DUMMYFUNCTION("""COMPUTED_VALUE"""),"1/4/26 Lý Nam Đế")</f>
        <v>1/4/26 Lý Nam Đế</v>
      </c>
      <c r="D4461" s="119" t="str">
        <f>IFERROR(__xludf.DUMMYFUNCTION("""COMPUTED_VALUE"""),"chó")</f>
        <v>chó</v>
      </c>
      <c r="E4461" s="119"/>
    </row>
    <row r="4462" ht="15.75" customHeight="1">
      <c r="A4462" s="122" t="str">
        <f>IFERROR(__xludf.DUMMYFUNCTION("""COMPUTED_VALUE"""),"0935 267 167")</f>
        <v>0935 267 167</v>
      </c>
      <c r="B4462" s="119" t="str">
        <f>IFERROR(__xludf.DUMMYFUNCTION("""COMPUTED_VALUE"""),"Lê Thu Hiền")</f>
        <v>Lê Thu Hiền</v>
      </c>
      <c r="C4462" s="119" t="str">
        <f>IFERROR(__xludf.DUMMYFUNCTION("""COMPUTED_VALUE"""),"Bàu Vá")</f>
        <v>Bàu Vá</v>
      </c>
      <c r="D4462" s="119" t="str">
        <f>IFERROR(__xludf.DUMMYFUNCTION("""COMPUTED_VALUE"""),"mèo")</f>
        <v>mèo</v>
      </c>
      <c r="E4462" s="119" t="str">
        <f>IFERROR(__xludf.DUMMYFUNCTION("""COMPUTED_VALUE"""),"Moi")</f>
        <v>Moi</v>
      </c>
    </row>
    <row r="4463" ht="15.75" customHeight="1">
      <c r="A4463" s="122" t="str">
        <f>IFERROR(__xludf.DUMMYFUNCTION("""COMPUTED_VALUE"""),"0342 445 333")</f>
        <v>0342 445 333</v>
      </c>
      <c r="B4463" s="119" t="str">
        <f>IFERROR(__xludf.DUMMYFUNCTION("""COMPUTED_VALUE"""),"Chị Tâm")</f>
        <v>Chị Tâm</v>
      </c>
      <c r="C4463" s="119" t="str">
        <f>IFERROR(__xludf.DUMMYFUNCTION("""COMPUTED_VALUE"""),"2/27/162 Ngự Bình")</f>
        <v>2/27/162 Ngự Bình</v>
      </c>
      <c r="D4463" s="119" t="str">
        <f>IFERROR(__xludf.DUMMYFUNCTION("""COMPUTED_VALUE"""),"Chó")</f>
        <v>Chó</v>
      </c>
      <c r="E4463" s="119" t="str">
        <f>IFERROR(__xludf.DUMMYFUNCTION("""COMPUTED_VALUE"""),"Ki")</f>
        <v>Ki</v>
      </c>
    </row>
    <row r="4464" ht="15.75" customHeight="1">
      <c r="A4464" s="122" t="str">
        <f>IFERROR(__xludf.DUMMYFUNCTION("""COMPUTED_VALUE"""),"0364 862 571")</f>
        <v>0364 862 571</v>
      </c>
      <c r="B4464" s="119" t="str">
        <f>IFERROR(__xludf.DUMMYFUNCTION("""COMPUTED_VALUE"""),"Anh Tài")</f>
        <v>Anh Tài</v>
      </c>
      <c r="C4464" s="119" t="str">
        <f>IFERROR(__xludf.DUMMYFUNCTION("""COMPUTED_VALUE"""),"Phú Lộc")</f>
        <v>Phú Lộc</v>
      </c>
      <c r="D4464" s="119" t="str">
        <f>IFERROR(__xludf.DUMMYFUNCTION("""COMPUTED_VALUE"""),"chó")</f>
        <v>chó</v>
      </c>
      <c r="E4464" s="119" t="str">
        <f>IFERROR(__xludf.DUMMYFUNCTION("""COMPUTED_VALUE"""),"Sam")</f>
        <v>Sam</v>
      </c>
    </row>
    <row r="4465" ht="15.75" customHeight="1">
      <c r="A4465" s="122" t="str">
        <f>IFERROR(__xludf.DUMMYFUNCTION("""COMPUTED_VALUE"""),"0834 303 040")</f>
        <v>0834 303 040</v>
      </c>
      <c r="B4465" s="119" t="str">
        <f>IFERROR(__xludf.DUMMYFUNCTION("""COMPUTED_VALUE"""),"Chị Hồng Yến")</f>
        <v>Chị Hồng Yến</v>
      </c>
      <c r="C4465" s="119" t="str">
        <f>IFERROR(__xludf.DUMMYFUNCTION("""COMPUTED_VALUE"""),"6a Hồng Khiết")</f>
        <v>6a Hồng Khiết</v>
      </c>
      <c r="D4465" s="119" t="str">
        <f>IFERROR(__xludf.DUMMYFUNCTION("""COMPUTED_VALUE"""),"CHó")</f>
        <v>CHó</v>
      </c>
      <c r="E4465" s="119" t="str">
        <f>IFERROR(__xludf.DUMMYFUNCTION("""COMPUTED_VALUE"""),"Bun")</f>
        <v>Bun</v>
      </c>
    </row>
    <row r="4466" ht="15.75" customHeight="1">
      <c r="A4466" s="122" t="str">
        <f>IFERROR(__xludf.DUMMYFUNCTION("""COMPUTED_VALUE"""),"0978 595 750")</f>
        <v>0978 595 750</v>
      </c>
      <c r="B4466" s="119" t="str">
        <f>IFERROR(__xludf.DUMMYFUNCTION("""COMPUTED_VALUE"""),"Chị Phương Linh")</f>
        <v>Chị Phương Linh</v>
      </c>
      <c r="C4466" s="119" t="str">
        <f>IFERROR(__xludf.DUMMYFUNCTION("""COMPUTED_VALUE"""),"Thuận An")</f>
        <v>Thuận An</v>
      </c>
      <c r="D4466" s="119" t="str">
        <f>IFERROR(__xludf.DUMMYFUNCTION("""COMPUTED_VALUE"""),"Chó")</f>
        <v>Chó</v>
      </c>
      <c r="E4466" s="119" t="str">
        <f>IFERROR(__xludf.DUMMYFUNCTION("""COMPUTED_VALUE"""),"Gin")</f>
        <v>Gin</v>
      </c>
    </row>
    <row r="4467" ht="15.75" customHeight="1">
      <c r="A4467" s="122" t="str">
        <f>IFERROR(__xludf.DUMMYFUNCTION("""COMPUTED_VALUE"""),"0967 644 393")</f>
        <v>0967 644 393</v>
      </c>
      <c r="B4467" s="119" t="str">
        <f>IFERROR(__xludf.DUMMYFUNCTION("""COMPUTED_VALUE"""),"Anh Điển")</f>
        <v>Anh Điển</v>
      </c>
      <c r="C4467" s="119" t="str">
        <f>IFERROR(__xludf.DUMMYFUNCTION("""COMPUTED_VALUE"""),"Phú Đa ")</f>
        <v>Phú Đa </v>
      </c>
      <c r="D4467" s="119" t="str">
        <f>IFERROR(__xludf.DUMMYFUNCTION("""COMPUTED_VALUE"""),"Chó")</f>
        <v>Chó</v>
      </c>
      <c r="E4467" s="119" t="str">
        <f>IFERROR(__xludf.DUMMYFUNCTION("""COMPUTED_VALUE"""),"mưa")</f>
        <v>mưa</v>
      </c>
    </row>
    <row r="4468" ht="15.75" customHeight="1">
      <c r="A4468" s="122" t="str">
        <f>IFERROR(__xludf.DUMMYFUNCTION("""COMPUTED_VALUE"""),"0792 775 176")</f>
        <v>0792 775 176</v>
      </c>
      <c r="B4468" s="119" t="str">
        <f>IFERROR(__xludf.DUMMYFUNCTION("""COMPUTED_VALUE"""),"Trần Minh Quốc")</f>
        <v>Trần Minh Quốc</v>
      </c>
      <c r="C4468" s="119" t="str">
        <f>IFERROR(__xludf.DUMMYFUNCTION("""COMPUTED_VALUE"""),"04 Ngô Quyền")</f>
        <v>04 Ngô Quyền</v>
      </c>
      <c r="D4468" s="119" t="str">
        <f>IFERROR(__xludf.DUMMYFUNCTION("""COMPUTED_VALUE"""),"mèo")</f>
        <v>mèo</v>
      </c>
      <c r="E4468" s="119" t="str">
        <f>IFERROR(__xludf.DUMMYFUNCTION("""COMPUTED_VALUE"""),"mèo")</f>
        <v>mèo</v>
      </c>
    </row>
    <row r="4469" ht="15.75" customHeight="1">
      <c r="A4469" s="122" t="str">
        <f>IFERROR(__xludf.DUMMYFUNCTION("""COMPUTED_VALUE"""),"0944 401 780")</f>
        <v>0944 401 780</v>
      </c>
      <c r="B4469" s="119" t="str">
        <f>IFERROR(__xludf.DUMMYFUNCTION("""COMPUTED_VALUE"""),"Hoàng Văn Dũng/quỳnh")</f>
        <v>Hoàng Văn Dũng/quỳnh</v>
      </c>
      <c r="C4469" s="119" t="str">
        <f>IFERROR(__xludf.DUMMYFUNCTION("""COMPUTED_VALUE"""),"37/131 trần Phú")</f>
        <v>37/131 trần Phú</v>
      </c>
      <c r="D4469" s="119" t="str">
        <f>IFERROR(__xludf.DUMMYFUNCTION("""COMPUTED_VALUE"""),"chó")</f>
        <v>chó</v>
      </c>
      <c r="E4469" s="119"/>
    </row>
    <row r="4470" ht="15.75" customHeight="1">
      <c r="A4470" s="122" t="str">
        <f>IFERROR(__xludf.DUMMYFUNCTION("""COMPUTED_VALUE"""),"0948 764 099")</f>
        <v>0948 764 099</v>
      </c>
      <c r="B4470" s="119" t="str">
        <f>IFERROR(__xludf.DUMMYFUNCTION("""COMPUTED_VALUE"""),"Chị Dương")</f>
        <v>Chị Dương</v>
      </c>
      <c r="C4470" s="119" t="str">
        <f>IFERROR(__xludf.DUMMYFUNCTION("""COMPUTED_VALUE"""),"16/16 Đoàn Hữu Trưng")</f>
        <v>16/16 Đoàn Hữu Trưng</v>
      </c>
      <c r="D4470" s="119" t="str">
        <f>IFERROR(__xludf.DUMMYFUNCTION("""COMPUTED_VALUE"""),"chó")</f>
        <v>chó</v>
      </c>
      <c r="E4470" s="119" t="str">
        <f>IFERROR(__xludf.DUMMYFUNCTION("""COMPUTED_VALUE"""),"Lu")</f>
        <v>Lu</v>
      </c>
    </row>
    <row r="4471" ht="15.75" customHeight="1">
      <c r="A4471" s="122" t="str">
        <f>IFERROR(__xludf.DUMMYFUNCTION("""COMPUTED_VALUE"""),"0835 271 817")</f>
        <v>0835 271 817</v>
      </c>
      <c r="B4471" s="119" t="str">
        <f>IFERROR(__xludf.DUMMYFUNCTION("""COMPUTED_VALUE"""),"Em Nhi")</f>
        <v>Em Nhi</v>
      </c>
      <c r="C4471" s="119" t="str">
        <f>IFERROR(__xludf.DUMMYFUNCTION("""COMPUTED_VALUE"""),"19 Lịch Đợi")</f>
        <v>19 Lịch Đợi</v>
      </c>
      <c r="D4471" s="119" t="str">
        <f>IFERROR(__xludf.DUMMYFUNCTION("""COMPUTED_VALUE"""),"chó")</f>
        <v>chó</v>
      </c>
      <c r="E4471" s="119" t="str">
        <f>IFERROR(__xludf.DUMMYFUNCTION("""COMPUTED_VALUE"""),"Cá")</f>
        <v>Cá</v>
      </c>
    </row>
    <row r="4472" ht="15.75" customHeight="1">
      <c r="A4472" s="122" t="str">
        <f>IFERROR(__xludf.DUMMYFUNCTION("""COMPUTED_VALUE"""),"0899 228 727")</f>
        <v>0899 228 727</v>
      </c>
      <c r="B4472" s="119" t="str">
        <f>IFERROR(__xludf.DUMMYFUNCTION("""COMPUTED_VALUE"""),"Thầy Niệm Căn")</f>
        <v>Thầy Niệm Căn</v>
      </c>
      <c r="C4472" s="119" t="str">
        <f>IFERROR(__xludf.DUMMYFUNCTION("""COMPUTED_VALUE"""),"Chùa huyền Không sơn Thượng")</f>
        <v>Chùa huyền Không sơn Thượng</v>
      </c>
      <c r="D4472" s="119" t="str">
        <f>IFERROR(__xludf.DUMMYFUNCTION("""COMPUTED_VALUE"""),"Mèo")</f>
        <v>Mèo</v>
      </c>
      <c r="E4472" s="119" t="str">
        <f>IFERROR(__xludf.DUMMYFUNCTION("""COMPUTED_VALUE"""),"Visakha")</f>
        <v>Visakha</v>
      </c>
    </row>
    <row r="4473" ht="15.75" customHeight="1">
      <c r="A4473" s="122" t="str">
        <f>IFERROR(__xludf.DUMMYFUNCTION("""COMPUTED_VALUE"""),"0752 797 503")</f>
        <v>0752 797 503</v>
      </c>
      <c r="B4473" s="119" t="str">
        <f>IFERROR(__xludf.DUMMYFUNCTION("""COMPUTED_VALUE"""),"anh Linh")</f>
        <v>anh Linh</v>
      </c>
      <c r="C4473" s="119" t="str">
        <f>IFERROR(__xludf.DUMMYFUNCTION("""COMPUTED_VALUE"""),"32 Lý Nam Đế")</f>
        <v>32 Lý Nam Đế</v>
      </c>
      <c r="D4473" s="119" t="str">
        <f>IFERROR(__xludf.DUMMYFUNCTION("""COMPUTED_VALUE"""),"Chó")</f>
        <v>Chó</v>
      </c>
      <c r="E4473" s="119" t="str">
        <f>IFERROR(__xludf.DUMMYFUNCTION("""COMPUTED_VALUE"""),"Lúa")</f>
        <v>Lúa</v>
      </c>
    </row>
    <row r="4474" ht="15.75" customHeight="1">
      <c r="A4474" s="122" t="str">
        <f>IFERROR(__xludf.DUMMYFUNCTION("""COMPUTED_VALUE"""),"0905 812 840")</f>
        <v>0905 812 840</v>
      </c>
      <c r="B4474" s="119" t="str">
        <f>IFERROR(__xludf.DUMMYFUNCTION("""COMPUTED_VALUE"""),"Anh Lân")</f>
        <v>Anh Lân</v>
      </c>
      <c r="C4474" s="119" t="str">
        <f>IFERROR(__xludf.DUMMYFUNCTION("""COMPUTED_VALUE"""),"61/93 Đặng Huy Trứ")</f>
        <v>61/93 Đặng Huy Trứ</v>
      </c>
      <c r="D4474" s="119" t="str">
        <f>IFERROR(__xludf.DUMMYFUNCTION("""COMPUTED_VALUE"""),"chó")</f>
        <v>chó</v>
      </c>
      <c r="E4474" s="119" t="str">
        <f>IFERROR(__xludf.DUMMYFUNCTION("""COMPUTED_VALUE"""),"Luýt")</f>
        <v>Luýt</v>
      </c>
    </row>
    <row r="4475" ht="15.75" customHeight="1">
      <c r="A4475" s="122" t="str">
        <f>IFERROR(__xludf.DUMMYFUNCTION("""COMPUTED_VALUE"""),"0905 686 918")</f>
        <v>0905 686 918</v>
      </c>
      <c r="B4475" s="119" t="str">
        <f>IFERROR(__xludf.DUMMYFUNCTION("""COMPUTED_VALUE"""),"Nguyễn Thị Kim Liên")</f>
        <v>Nguyễn Thị Kim Liên</v>
      </c>
      <c r="C4475" s="119" t="str">
        <f>IFERROR(__xludf.DUMMYFUNCTION("""COMPUTED_VALUE"""),"51 Điện Biên Phủ")</f>
        <v>51 Điện Biên Phủ</v>
      </c>
      <c r="D4475" s="119" t="str">
        <f>IFERROR(__xludf.DUMMYFUNCTION("""COMPUTED_VALUE"""),"Chó")</f>
        <v>Chó</v>
      </c>
      <c r="E4475" s="119" t="str">
        <f>IFERROR(__xludf.DUMMYFUNCTION("""COMPUTED_VALUE"""),"Nai")</f>
        <v>Nai</v>
      </c>
    </row>
    <row r="4476" ht="15.75" customHeight="1">
      <c r="A4476" s="122" t="str">
        <f>IFERROR(__xludf.DUMMYFUNCTION("""COMPUTED_VALUE"""),"0916 864 006")</f>
        <v>0916 864 006</v>
      </c>
      <c r="B4476" s="119" t="str">
        <f>IFERROR(__xludf.DUMMYFUNCTION("""COMPUTED_VALUE"""),"Minh Cường")</f>
        <v>Minh Cường</v>
      </c>
      <c r="C4476" s="119" t="str">
        <f>IFERROR(__xludf.DUMMYFUNCTION("""COMPUTED_VALUE"""),"226 Lê Duẫn")</f>
        <v>226 Lê Duẫn</v>
      </c>
      <c r="D4476" s="119" t="str">
        <f>IFERROR(__xludf.DUMMYFUNCTION("""COMPUTED_VALUE"""),"Chó")</f>
        <v>Chó</v>
      </c>
      <c r="E4476" s="119" t="str">
        <f>IFERROR(__xludf.DUMMYFUNCTION("""COMPUTED_VALUE"""),"Fami")</f>
        <v>Fami</v>
      </c>
    </row>
    <row r="4477" ht="15.75" customHeight="1">
      <c r="A4477" s="122" t="str">
        <f>IFERROR(__xludf.DUMMYFUNCTION("""COMPUTED_VALUE"""),"0915 260 211")</f>
        <v>0915 260 211</v>
      </c>
      <c r="B4477" s="119" t="str">
        <f>IFERROR(__xludf.DUMMYFUNCTION("""COMPUTED_VALUE"""),"Chị vân Anh")</f>
        <v>Chị vân Anh</v>
      </c>
      <c r="C4477" s="119" t="str">
        <f>IFERROR(__xludf.DUMMYFUNCTION("""COMPUTED_VALUE"""),"7/10 La Sơn Phu Tử")</f>
        <v>7/10 La Sơn Phu Tử</v>
      </c>
      <c r="D4477" s="119" t="str">
        <f>IFERROR(__xludf.DUMMYFUNCTION("""COMPUTED_VALUE"""),"Chó")</f>
        <v>Chó</v>
      </c>
      <c r="E4477" s="119" t="str">
        <f>IFERROR(__xludf.DUMMYFUNCTION("""COMPUTED_VALUE"""),"Gạo")</f>
        <v>Gạo</v>
      </c>
    </row>
    <row r="4478" ht="15.75" customHeight="1">
      <c r="A4478" s="122" t="str">
        <f>IFERROR(__xludf.DUMMYFUNCTION("""COMPUTED_VALUE"""),"0903 293 550")</f>
        <v>0903 293 550</v>
      </c>
      <c r="B4478" s="119" t="str">
        <f>IFERROR(__xludf.DUMMYFUNCTION("""COMPUTED_VALUE"""),"Chị Phụng")</f>
        <v>Chị Phụng</v>
      </c>
      <c r="C4478" s="119" t="str">
        <f>IFERROR(__xludf.DUMMYFUNCTION("""COMPUTED_VALUE"""),"Phú Lộc")</f>
        <v>Phú Lộc</v>
      </c>
      <c r="D4478" s="119" t="str">
        <f>IFERROR(__xludf.DUMMYFUNCTION("""COMPUTED_VALUE"""),"Chó")</f>
        <v>Chó</v>
      </c>
      <c r="E4478" s="119" t="str">
        <f>IFERROR(__xludf.DUMMYFUNCTION("""COMPUTED_VALUE"""),"Na")</f>
        <v>Na</v>
      </c>
    </row>
    <row r="4479" ht="15.75" customHeight="1">
      <c r="A4479" s="122" t="str">
        <f>IFERROR(__xludf.DUMMYFUNCTION("""COMPUTED_VALUE"""),"0934 835 263")</f>
        <v>0934 835 263</v>
      </c>
      <c r="B4479" s="119" t="str">
        <f>IFERROR(__xludf.DUMMYFUNCTION("""COMPUTED_VALUE"""),"Anh Nu")</f>
        <v>Anh Nu</v>
      </c>
      <c r="C4479" s="119" t="str">
        <f>IFERROR(__xludf.DUMMYFUNCTION("""COMPUTED_VALUE"""),"121 Nguyễn Huệ")</f>
        <v>121 Nguyễn Huệ</v>
      </c>
      <c r="D4479" s="119" t="str">
        <f>IFERROR(__xludf.DUMMYFUNCTION("""COMPUTED_VALUE"""),"Chó")</f>
        <v>Chó</v>
      </c>
      <c r="E4479" s="119" t="str">
        <f>IFERROR(__xludf.DUMMYFUNCTION("""COMPUTED_VALUE"""),"Red")</f>
        <v>Red</v>
      </c>
    </row>
    <row r="4480" ht="15.75" customHeight="1">
      <c r="A4480" s="122" t="str">
        <f>IFERROR(__xludf.DUMMYFUNCTION("""COMPUTED_VALUE"""),"0353 707 814")</f>
        <v>0353 707 814</v>
      </c>
      <c r="B4480" s="119" t="str">
        <f>IFERROR(__xludf.DUMMYFUNCTION("""COMPUTED_VALUE"""),"Huỳnh Văn Châu")</f>
        <v>Huỳnh Văn Châu</v>
      </c>
      <c r="C4480" s="119" t="str">
        <f>IFERROR(__xludf.DUMMYFUNCTION("""COMPUTED_VALUE"""),"3/166 Điện Biên Phủ")</f>
        <v>3/166 Điện Biên Phủ</v>
      </c>
      <c r="D4480" s="119" t="str">
        <f>IFERROR(__xludf.DUMMYFUNCTION("""COMPUTED_VALUE"""),"Chó")</f>
        <v>Chó</v>
      </c>
      <c r="E4480" s="119" t="str">
        <f>IFERROR(__xludf.DUMMYFUNCTION("""COMPUTED_VALUE"""),"Nấm")</f>
        <v>Nấm</v>
      </c>
    </row>
    <row r="4481" ht="15.75" customHeight="1">
      <c r="A4481" s="122" t="str">
        <f>IFERROR(__xludf.DUMMYFUNCTION("""COMPUTED_VALUE"""),"0369 906 108")</f>
        <v>0369 906 108</v>
      </c>
      <c r="B4481" s="119" t="str">
        <f>IFERROR(__xludf.DUMMYFUNCTION("""COMPUTED_VALUE"""),"Em Hoài Linh")</f>
        <v>Em Hoài Linh</v>
      </c>
      <c r="C4481" s="119" t="str">
        <f>IFERROR(__xludf.DUMMYFUNCTION("""COMPUTED_VALUE"""),"85 tăng bạt Hổ")</f>
        <v>85 tăng bạt Hổ</v>
      </c>
      <c r="D4481" s="119" t="str">
        <f>IFERROR(__xludf.DUMMYFUNCTION("""COMPUTED_VALUE"""),"chó")</f>
        <v>chó</v>
      </c>
      <c r="E4481" s="119" t="str">
        <f>IFERROR(__xludf.DUMMYFUNCTION("""COMPUTED_VALUE"""),"Gâu")</f>
        <v>Gâu</v>
      </c>
    </row>
    <row r="4482" ht="15.75" customHeight="1">
      <c r="A4482" s="122" t="str">
        <f>IFERROR(__xludf.DUMMYFUNCTION("""COMPUTED_VALUE"""),"0905 112 939")</f>
        <v>0905 112 939</v>
      </c>
      <c r="B4482" s="119" t="str">
        <f>IFERROR(__xludf.DUMMYFUNCTION("""COMPUTED_VALUE"""),"Nguyễn văn Nguyên")</f>
        <v>Nguyễn văn Nguyên</v>
      </c>
      <c r="C4482" s="119" t="str">
        <f>IFERROR(__xludf.DUMMYFUNCTION("""COMPUTED_VALUE"""),"11c/ 17 Lý Nam Đế")</f>
        <v>11c/ 17 Lý Nam Đế</v>
      </c>
      <c r="D4482" s="119" t="str">
        <f>IFERROR(__xludf.DUMMYFUNCTION("""COMPUTED_VALUE"""),"Chó")</f>
        <v>Chó</v>
      </c>
      <c r="E4482" s="119" t="str">
        <f>IFERROR(__xludf.DUMMYFUNCTION("""COMPUTED_VALUE"""),"Tôm")</f>
        <v>Tôm</v>
      </c>
    </row>
    <row r="4483" ht="15.75" customHeight="1">
      <c r="A4483" s="122" t="str">
        <f>IFERROR(__xludf.DUMMYFUNCTION("""COMPUTED_VALUE"""),"0708 072 756")</f>
        <v>0708 072 756</v>
      </c>
      <c r="B4483" s="119" t="str">
        <f>IFERROR(__xludf.DUMMYFUNCTION("""COMPUTED_VALUE"""),"Hoàng Thị Hay")</f>
        <v>Hoàng Thị Hay</v>
      </c>
      <c r="C4483" s="119" t="str">
        <f>IFERROR(__xludf.DUMMYFUNCTION("""COMPUTED_VALUE"""),"Hương Hồ")</f>
        <v>Hương Hồ</v>
      </c>
      <c r="D4483" s="119" t="str">
        <f>IFERROR(__xludf.DUMMYFUNCTION("""COMPUTED_VALUE"""),"Chó")</f>
        <v>Chó</v>
      </c>
      <c r="E4483" s="119" t="str">
        <f>IFERROR(__xludf.DUMMYFUNCTION("""COMPUTED_VALUE"""),"Lu")</f>
        <v>Lu</v>
      </c>
    </row>
    <row r="4484" ht="15.75" customHeight="1">
      <c r="A4484" s="122" t="str">
        <f>IFERROR(__xludf.DUMMYFUNCTION("""COMPUTED_VALUE"""),"0395 868 548")</f>
        <v>0395 868 548</v>
      </c>
      <c r="B4484" s="119" t="str">
        <f>IFERROR(__xludf.DUMMYFUNCTION("""COMPUTED_VALUE"""),"Sarah Cathcart")</f>
        <v>Sarah Cathcart</v>
      </c>
      <c r="C4484" s="119" t="str">
        <f>IFERROR(__xludf.DUMMYFUNCTION("""COMPUTED_VALUE"""),"12k 85 Nguyễn Huệ")</f>
        <v>12k 85 Nguyễn Huệ</v>
      </c>
      <c r="D4484" s="119" t="str">
        <f>IFERROR(__xludf.DUMMYFUNCTION("""COMPUTED_VALUE"""),"Chó")</f>
        <v>Chó</v>
      </c>
      <c r="E4484" s="119" t="str">
        <f>IFERROR(__xludf.DUMMYFUNCTION("""COMPUTED_VALUE"""),"Lucy")</f>
        <v>Lucy</v>
      </c>
    </row>
    <row r="4485" ht="15.75" customHeight="1">
      <c r="A4485" s="122" t="str">
        <f>IFERROR(__xludf.DUMMYFUNCTION("""COMPUTED_VALUE"""),"0778 896 298")</f>
        <v>0778 896 298</v>
      </c>
      <c r="B4485" s="119" t="str">
        <f>IFERROR(__xludf.DUMMYFUNCTION("""COMPUTED_VALUE"""),"anh Thông")</f>
        <v>anh Thông</v>
      </c>
      <c r="C4485" s="119" t="str">
        <f>IFERROR(__xludf.DUMMYFUNCTION("""COMPUTED_VALUE"""),"Chợ Mai")</f>
        <v>Chợ Mai</v>
      </c>
      <c r="D4485" s="119" t="str">
        <f>IFERROR(__xludf.DUMMYFUNCTION("""COMPUTED_VALUE"""),"Chó")</f>
        <v>Chó</v>
      </c>
      <c r="E4485" s="119" t="str">
        <f>IFERROR(__xludf.DUMMYFUNCTION("""COMPUTED_VALUE"""),"Su")</f>
        <v>Su</v>
      </c>
    </row>
    <row r="4486" ht="15.75" customHeight="1">
      <c r="A4486" s="122" t="str">
        <f>IFERROR(__xludf.DUMMYFUNCTION("""COMPUTED_VALUE"""),"0707 653 885")</f>
        <v>0707 653 885</v>
      </c>
      <c r="B4486" s="119" t="str">
        <f>IFERROR(__xludf.DUMMYFUNCTION("""COMPUTED_VALUE"""),"Anh Tuấn ")</f>
        <v>Anh Tuấn </v>
      </c>
      <c r="C4486" s="119" t="str">
        <f>IFERROR(__xludf.DUMMYFUNCTION("""COMPUTED_VALUE"""),"271 Lê Duẫn")</f>
        <v>271 Lê Duẫn</v>
      </c>
      <c r="D4486" s="119" t="str">
        <f>IFERROR(__xludf.DUMMYFUNCTION("""COMPUTED_VALUE"""),"Chó")</f>
        <v>Chó</v>
      </c>
      <c r="E4486" s="119" t="str">
        <f>IFERROR(__xludf.DUMMYFUNCTION("""COMPUTED_VALUE"""),"Red")</f>
        <v>Red</v>
      </c>
    </row>
    <row r="4487" ht="15.75" customHeight="1">
      <c r="A4487" s="122" t="str">
        <f>IFERROR(__xludf.DUMMYFUNCTION("""COMPUTED_VALUE"""),"0825 525 552")</f>
        <v>0825 525 552</v>
      </c>
      <c r="B4487" s="119" t="str">
        <f>IFERROR(__xludf.DUMMYFUNCTION("""COMPUTED_VALUE"""),"Hoàng Hà hải")</f>
        <v>Hoàng Hà hải</v>
      </c>
      <c r="C4487" s="119" t="str">
        <f>IFERROR(__xludf.DUMMYFUNCTION("""COMPUTED_VALUE"""),"17/15 Thạch Hãn")</f>
        <v>17/15 Thạch Hãn</v>
      </c>
      <c r="D4487" s="119" t="str">
        <f>IFERROR(__xludf.DUMMYFUNCTION("""COMPUTED_VALUE"""),"chó")</f>
        <v>chó</v>
      </c>
      <c r="E4487" s="119" t="str">
        <f>IFERROR(__xludf.DUMMYFUNCTION("""COMPUTED_VALUE"""),"Rau")</f>
        <v>Rau</v>
      </c>
    </row>
    <row r="4488" ht="15.75" customHeight="1">
      <c r="A4488" s="122" t="str">
        <f>IFERROR(__xludf.DUMMYFUNCTION("""COMPUTED_VALUE"""),"0905 183 299")</f>
        <v>0905 183 299</v>
      </c>
      <c r="B4488" s="119" t="str">
        <f>IFERROR(__xludf.DUMMYFUNCTION("""COMPUTED_VALUE"""),"chị Ngọc Thủy")</f>
        <v>chị Ngọc Thủy</v>
      </c>
      <c r="C4488" s="119" t="str">
        <f>IFERROR(__xludf.DUMMYFUNCTION("""COMPUTED_VALUE"""),"21A Hồ Tùng Mậu")</f>
        <v>21A Hồ Tùng Mậu</v>
      </c>
      <c r="D4488" s="119" t="str">
        <f>IFERROR(__xludf.DUMMYFUNCTION("""COMPUTED_VALUE"""),"mèo")</f>
        <v>mèo</v>
      </c>
      <c r="E4488" s="119" t="str">
        <f>IFERROR(__xludf.DUMMYFUNCTION("""COMPUTED_VALUE"""),"xám")</f>
        <v>xám</v>
      </c>
    </row>
    <row r="4489" ht="15.75" customHeight="1">
      <c r="A4489" s="122" t="str">
        <f>IFERROR(__xludf.DUMMYFUNCTION("""COMPUTED_VALUE"""),"0563 159 360")</f>
        <v>0563 159 360</v>
      </c>
      <c r="B4489" s="119" t="str">
        <f>IFERROR(__xludf.DUMMYFUNCTION("""COMPUTED_VALUE"""),"Bảo Ngân")</f>
        <v>Bảo Ngân</v>
      </c>
      <c r="C4489" s="119" t="str">
        <f>IFERROR(__xludf.DUMMYFUNCTION("""COMPUTED_VALUE"""),"39 k 187 Phan Đinh Phùng")</f>
        <v>39 k 187 Phan Đinh Phùng</v>
      </c>
      <c r="D4489" s="119" t="str">
        <f>IFERROR(__xludf.DUMMYFUNCTION("""COMPUTED_VALUE"""),"mèo")</f>
        <v>mèo</v>
      </c>
      <c r="E4489" s="119" t="str">
        <f>IFERROR(__xludf.DUMMYFUNCTION("""COMPUTED_VALUE"""),"Bơ")</f>
        <v>Bơ</v>
      </c>
    </row>
    <row r="4490" ht="15.75" customHeight="1">
      <c r="A4490" s="122" t="str">
        <f>IFERROR(__xludf.DUMMYFUNCTION("""COMPUTED_VALUE"""),"0946 929 223")</f>
        <v>0946 929 223</v>
      </c>
      <c r="B4490" s="119" t="str">
        <f>IFERROR(__xludf.DUMMYFUNCTION("""COMPUTED_VALUE"""),"Dì Hằng")</f>
        <v>Dì Hằng</v>
      </c>
      <c r="C4490" s="119" t="str">
        <f>IFERROR(__xludf.DUMMYFUNCTION("""COMPUTED_VALUE"""),"194A Chi Lăng")</f>
        <v>194A Chi Lăng</v>
      </c>
      <c r="D4490" s="119" t="str">
        <f>IFERROR(__xludf.DUMMYFUNCTION("""COMPUTED_VALUE"""),"Chó")</f>
        <v>Chó</v>
      </c>
      <c r="E4490" s="119" t="str">
        <f>IFERROR(__xludf.DUMMYFUNCTION("""COMPUTED_VALUE"""),"ToTo")</f>
        <v>ToTo</v>
      </c>
    </row>
    <row r="4491" ht="15.75" customHeight="1">
      <c r="A4491" s="122" t="str">
        <f>IFERROR(__xludf.DUMMYFUNCTION("""COMPUTED_VALUE"""),"0358 586 587")</f>
        <v>0358 586 587</v>
      </c>
      <c r="B4491" s="119" t="str">
        <f>IFERROR(__xludf.DUMMYFUNCTION("""COMPUTED_VALUE"""),"nguyễn văn thế")</f>
        <v>nguyễn văn thế</v>
      </c>
      <c r="C4491" s="119" t="str">
        <f>IFERROR(__xludf.DUMMYFUNCTION("""COMPUTED_VALUE"""),"115 Trần Thái Tông")</f>
        <v>115 Trần Thái Tông</v>
      </c>
      <c r="D4491" s="119" t="str">
        <f>IFERROR(__xludf.DUMMYFUNCTION("""COMPUTED_VALUE"""),"chó")</f>
        <v>chó</v>
      </c>
      <c r="E4491" s="119"/>
    </row>
    <row r="4492" ht="15.75" customHeight="1">
      <c r="A4492" s="122" t="str">
        <f>IFERROR(__xludf.DUMMYFUNCTION("""COMPUTED_VALUE"""),"0905 431 689")</f>
        <v>0905 431 689</v>
      </c>
      <c r="B4492" s="119" t="str">
        <f>IFERROR(__xludf.DUMMYFUNCTION("""COMPUTED_VALUE"""),"Dì Trinh")</f>
        <v>Dì Trinh</v>
      </c>
      <c r="C4492" s="119" t="str">
        <f>IFERROR(__xludf.DUMMYFUNCTION("""COMPUTED_VALUE"""),"Cầu hai, phú lộc")</f>
        <v>Cầu hai, phú lộc</v>
      </c>
      <c r="D4492" s="119" t="str">
        <f>IFERROR(__xludf.DUMMYFUNCTION("""COMPUTED_VALUE"""),"Chó")</f>
        <v>Chó</v>
      </c>
      <c r="E4492" s="119" t="str">
        <f>IFERROR(__xludf.DUMMYFUNCTION("""COMPUTED_VALUE"""),"Đốm")</f>
        <v>Đốm</v>
      </c>
    </row>
    <row r="4493" ht="15.75" customHeight="1">
      <c r="A4493" s="122" t="str">
        <f>IFERROR(__xludf.DUMMYFUNCTION("""COMPUTED_VALUE"""),"0708 722 543")</f>
        <v>0708 722 543</v>
      </c>
      <c r="B4493" s="119" t="str">
        <f>IFERROR(__xludf.DUMMYFUNCTION("""COMPUTED_VALUE"""),"Chị Hằng")</f>
        <v>Chị Hằng</v>
      </c>
      <c r="C4493" s="119" t="str">
        <f>IFERROR(__xludf.DUMMYFUNCTION("""COMPUTED_VALUE"""),"Ngự Bình")</f>
        <v>Ngự Bình</v>
      </c>
      <c r="D4493" s="119" t="str">
        <f>IFERROR(__xludf.DUMMYFUNCTION("""COMPUTED_VALUE"""),"Chó")</f>
        <v>Chó</v>
      </c>
      <c r="E4493" s="119"/>
    </row>
    <row r="4494" ht="15.75" customHeight="1">
      <c r="A4494" s="122" t="str">
        <f>IFERROR(__xludf.DUMMYFUNCTION("""COMPUTED_VALUE"""),"0911 356 072")</f>
        <v>0911 356 072</v>
      </c>
      <c r="B4494" s="119" t="str">
        <f>IFERROR(__xludf.DUMMYFUNCTION("""COMPUTED_VALUE"""),"Em Quỳnh")</f>
        <v>Em Quỳnh</v>
      </c>
      <c r="C4494" s="119" t="str">
        <f>IFERROR(__xludf.DUMMYFUNCTION("""COMPUTED_VALUE"""),"30/50 Dương Thiệu Tước")</f>
        <v>30/50 Dương Thiệu Tước</v>
      </c>
      <c r="D4494" s="119" t="str">
        <f>IFERROR(__xludf.DUMMYFUNCTION("""COMPUTED_VALUE"""),"mèo")</f>
        <v>mèo</v>
      </c>
      <c r="E4494" s="119" t="str">
        <f>IFERROR(__xludf.DUMMYFUNCTION("""COMPUTED_VALUE"""),"Leo")</f>
        <v>Leo</v>
      </c>
    </row>
    <row r="4495" ht="15.75" customHeight="1">
      <c r="A4495" s="122" t="str">
        <f>IFERROR(__xludf.DUMMYFUNCTION("""COMPUTED_VALUE"""),"0823 672 305")</f>
        <v>0823 672 305</v>
      </c>
      <c r="B4495" s="119" t="str">
        <f>IFERROR(__xludf.DUMMYFUNCTION("""COMPUTED_VALUE"""),"Mi An")</f>
        <v>Mi An</v>
      </c>
      <c r="C4495" s="119" t="str">
        <f>IFERROR(__xludf.DUMMYFUNCTION("""COMPUTED_VALUE"""),"Chung Cư Xuân Phú")</f>
        <v>Chung Cư Xuân Phú</v>
      </c>
      <c r="D4495" s="119" t="str">
        <f>IFERROR(__xludf.DUMMYFUNCTION("""COMPUTED_VALUE"""),"mèo")</f>
        <v>mèo</v>
      </c>
      <c r="E4495" s="119" t="str">
        <f>IFERROR(__xludf.DUMMYFUNCTION("""COMPUTED_VALUE""")," Mít")</f>
        <v> Mít</v>
      </c>
    </row>
    <row r="4496" ht="15.75" customHeight="1">
      <c r="A4496" s="122" t="str">
        <f>IFERROR(__xludf.DUMMYFUNCTION("""COMPUTED_VALUE"""),"0911 343 545")</f>
        <v>0911 343 545</v>
      </c>
      <c r="B4496" s="119" t="str">
        <f>IFERROR(__xludf.DUMMYFUNCTION("""COMPUTED_VALUE"""),"Em Uyên")</f>
        <v>Em Uyên</v>
      </c>
      <c r="C4496" s="119" t="str">
        <f>IFERROR(__xludf.DUMMYFUNCTION("""COMPUTED_VALUE"""),"238 Bùi Thị Xuân")</f>
        <v>238 Bùi Thị Xuân</v>
      </c>
      <c r="D4496" s="119" t="str">
        <f>IFERROR(__xludf.DUMMYFUNCTION("""COMPUTED_VALUE"""),"mèo")</f>
        <v>mèo</v>
      </c>
      <c r="E4496" s="119" t="str">
        <f>IFERROR(__xludf.DUMMYFUNCTION("""COMPUTED_VALUE"""),"toyce")</f>
        <v>toyce</v>
      </c>
    </row>
    <row r="4497" ht="15.75" customHeight="1">
      <c r="A4497" s="122" t="str">
        <f>IFERROR(__xludf.DUMMYFUNCTION("""COMPUTED_VALUE"""),"0989 712 451")</f>
        <v>0989 712 451</v>
      </c>
      <c r="B4497" s="119" t="str">
        <f>IFERROR(__xludf.DUMMYFUNCTION("""COMPUTED_VALUE"""),"Em Ngọc")</f>
        <v>Em Ngọc</v>
      </c>
      <c r="C4497" s="119" t="str">
        <f>IFERROR(__xludf.DUMMYFUNCTION("""COMPUTED_VALUE"""),"276 Lý Nam Đế")</f>
        <v>276 Lý Nam Đế</v>
      </c>
      <c r="D4497" s="119" t="str">
        <f>IFERROR(__xludf.DUMMYFUNCTION("""COMPUTED_VALUE"""),"Chó")</f>
        <v>Chó</v>
      </c>
      <c r="E4497" s="119" t="str">
        <f>IFERROR(__xludf.DUMMYFUNCTION("""COMPUTED_VALUE"""),"Mèo")</f>
        <v>Mèo</v>
      </c>
    </row>
    <row r="4498" ht="15.75" customHeight="1">
      <c r="A4498" s="122" t="str">
        <f>IFERROR(__xludf.DUMMYFUNCTION("""COMPUTED_VALUE"""),"0397 373 719")</f>
        <v>0397 373 719</v>
      </c>
      <c r="B4498" s="119" t="str">
        <f>IFERROR(__xludf.DUMMYFUNCTION("""COMPUTED_VALUE"""),"Chị Bé")</f>
        <v>Chị Bé</v>
      </c>
      <c r="C4498" s="119" t="str">
        <f>IFERROR(__xludf.DUMMYFUNCTION("""COMPUTED_VALUE"""),"Xóm 8, Hương An")</f>
        <v>Xóm 8, Hương An</v>
      </c>
      <c r="D4498" s="119" t="str">
        <f>IFERROR(__xludf.DUMMYFUNCTION("""COMPUTED_VALUE"""),"Chó")</f>
        <v>Chó</v>
      </c>
      <c r="E4498" s="119" t="str">
        <f>IFERROR(__xludf.DUMMYFUNCTION("""COMPUTED_VALUE"""),"Lu")</f>
        <v>Lu</v>
      </c>
    </row>
    <row r="4499" ht="15.75" customHeight="1">
      <c r="A4499" s="122" t="str">
        <f>IFERROR(__xludf.DUMMYFUNCTION("""COMPUTED_VALUE"""),"0889 221 156")</f>
        <v>0889 221 156</v>
      </c>
      <c r="B4499" s="119" t="str">
        <f>IFERROR(__xludf.DUMMYFUNCTION("""COMPUTED_VALUE"""),"Minh Dũng")</f>
        <v>Minh Dũng</v>
      </c>
      <c r="C4499" s="119" t="str">
        <f>IFERROR(__xludf.DUMMYFUNCTION("""COMPUTED_VALUE"""),"8 Trần Thanh Mại")</f>
        <v>8 Trần Thanh Mại</v>
      </c>
      <c r="D4499" s="119" t="str">
        <f>IFERROR(__xludf.DUMMYFUNCTION("""COMPUTED_VALUE"""),"chó")</f>
        <v>chó</v>
      </c>
      <c r="E4499" s="119" t="str">
        <f>IFERROR(__xludf.DUMMYFUNCTION("""COMPUTED_VALUE"""),"mimi")</f>
        <v>mimi</v>
      </c>
    </row>
    <row r="4500" ht="15.75" customHeight="1">
      <c r="A4500" s="122" t="str">
        <f>IFERROR(__xludf.DUMMYFUNCTION("""COMPUTED_VALUE"""),"0899 876 971")</f>
        <v>0899 876 971</v>
      </c>
      <c r="B4500" s="119" t="str">
        <f>IFERROR(__xludf.DUMMYFUNCTION("""COMPUTED_VALUE"""),"Em Khánh Nhi")</f>
        <v>Em Khánh Nhi</v>
      </c>
      <c r="C4500" s="119" t="str">
        <f>IFERROR(__xludf.DUMMYFUNCTION("""COMPUTED_VALUE"""),"Phong Điền")</f>
        <v>Phong Điền</v>
      </c>
      <c r="D4500" s="119" t="str">
        <f>IFERROR(__xludf.DUMMYFUNCTION("""COMPUTED_VALUE"""),"mèo")</f>
        <v>mèo</v>
      </c>
      <c r="E4500" s="119" t="str">
        <f>IFERROR(__xludf.DUMMYFUNCTION("""COMPUTED_VALUE"""),"mimi")</f>
        <v>mimi</v>
      </c>
    </row>
    <row r="4501" ht="15.75" customHeight="1">
      <c r="A4501" s="122" t="str">
        <f>IFERROR(__xludf.DUMMYFUNCTION("""COMPUTED_VALUE"""),"0365 092 645")</f>
        <v>0365 092 645</v>
      </c>
      <c r="B4501" s="119" t="str">
        <f>IFERROR(__xludf.DUMMYFUNCTION("""COMPUTED_VALUE"""),"Nhung")</f>
        <v>Nhung</v>
      </c>
      <c r="C4501" s="119" t="str">
        <f>IFERROR(__xludf.DUMMYFUNCTION("""COMPUTED_VALUE"""),"Okada")</f>
        <v>Okada</v>
      </c>
      <c r="D4501" s="119" t="str">
        <f>IFERROR(__xludf.DUMMYFUNCTION("""COMPUTED_VALUE""")," chó")</f>
        <v> chó</v>
      </c>
      <c r="E4501" s="119"/>
    </row>
    <row r="4502" ht="15.75" customHeight="1">
      <c r="A4502" s="122" t="str">
        <f>IFERROR(__xludf.DUMMYFUNCTION("""COMPUTED_VALUE"""),"0899 212 899")</f>
        <v>0899 212 899</v>
      </c>
      <c r="B4502" s="119" t="str">
        <f>IFERROR(__xludf.DUMMYFUNCTION("""COMPUTED_VALUE"""),"Chị Ngọc")</f>
        <v>Chị Ngọc</v>
      </c>
      <c r="C4502" s="119" t="str">
        <f>IFERROR(__xludf.DUMMYFUNCTION("""COMPUTED_VALUE"""),"Ngự Bình")</f>
        <v>Ngự Bình</v>
      </c>
      <c r="D4502" s="119" t="str">
        <f>IFERROR(__xludf.DUMMYFUNCTION("""COMPUTED_VALUE"""),"chó")</f>
        <v>chó</v>
      </c>
      <c r="E4502" s="119" t="str">
        <f>IFERROR(__xludf.DUMMYFUNCTION("""COMPUTED_VALUE"""),"Nấm")</f>
        <v>Nấm</v>
      </c>
    </row>
    <row r="4503" ht="15.75" customHeight="1">
      <c r="A4503" s="122" t="str">
        <f>IFERROR(__xludf.DUMMYFUNCTION("""COMPUTED_VALUE"""),"0388 801 130")</f>
        <v>0388 801 130</v>
      </c>
      <c r="B4503" s="119" t="str">
        <f>IFERROR(__xludf.DUMMYFUNCTION("""COMPUTED_VALUE"""),"Chị Tiên")</f>
        <v>Chị Tiên</v>
      </c>
      <c r="C4503" s="119" t="str">
        <f>IFERROR(__xludf.DUMMYFUNCTION("""COMPUTED_VALUE"""),"Thiên Thai")</f>
        <v>Thiên Thai</v>
      </c>
      <c r="D4503" s="119" t="str">
        <f>IFERROR(__xludf.DUMMYFUNCTION("""COMPUTED_VALUE"""),"mèo")</f>
        <v>mèo</v>
      </c>
      <c r="E4503" s="119" t="str">
        <f>IFERROR(__xludf.DUMMYFUNCTION("""COMPUTED_VALUE"""),"Min")</f>
        <v>Min</v>
      </c>
    </row>
    <row r="4504" ht="15.75" customHeight="1">
      <c r="A4504" s="122" t="str">
        <f>IFERROR(__xludf.DUMMYFUNCTION("""COMPUTED_VALUE"""),"0901 989 311")</f>
        <v>0901 989 311</v>
      </c>
      <c r="B4504" s="119" t="str">
        <f>IFERROR(__xludf.DUMMYFUNCTION("""COMPUTED_VALUE"""),"Chị Quỳnh  ")</f>
        <v>Chị Quỳnh  </v>
      </c>
      <c r="C4504" s="119" t="str">
        <f>IFERROR(__xludf.DUMMYFUNCTION("""COMPUTED_VALUE"""),"Vicoland")</f>
        <v>Vicoland</v>
      </c>
      <c r="D4504" s="119" t="str">
        <f>IFERROR(__xludf.DUMMYFUNCTION("""COMPUTED_VALUE"""),"chó")</f>
        <v>chó</v>
      </c>
      <c r="E4504" s="119" t="str">
        <f>IFERROR(__xludf.DUMMYFUNCTION("""COMPUTED_VALUE""")," Milu")</f>
        <v> Milu</v>
      </c>
    </row>
    <row r="4505" ht="15.75" customHeight="1">
      <c r="A4505" s="122" t="str">
        <f>IFERROR(__xludf.DUMMYFUNCTION("""COMPUTED_VALUE"""),"0917 139 877")</f>
        <v>0917 139 877</v>
      </c>
      <c r="B4505" s="119" t="str">
        <f>IFERROR(__xludf.DUMMYFUNCTION("""COMPUTED_VALUE"""),"Anh Thành")</f>
        <v>Anh Thành</v>
      </c>
      <c r="C4505" s="119" t="str">
        <f>IFERROR(__xludf.DUMMYFUNCTION("""COMPUTED_VALUE"""),"23/66 Xuân Diệu")</f>
        <v>23/66 Xuân Diệu</v>
      </c>
      <c r="D4505" s="119" t="str">
        <f>IFERROR(__xludf.DUMMYFUNCTION("""COMPUTED_VALUE"""),"mèo")</f>
        <v>mèo</v>
      </c>
      <c r="E4505" s="119" t="str">
        <f>IFERROR(__xludf.DUMMYFUNCTION("""COMPUTED_VALUE"""),"Miu")</f>
        <v>Miu</v>
      </c>
    </row>
    <row r="4506" ht="15.75" customHeight="1">
      <c r="A4506" s="122" t="str">
        <f>IFERROR(__xludf.DUMMYFUNCTION("""COMPUTED_VALUE"""),"0905 344 271")</f>
        <v>0905 344 271</v>
      </c>
      <c r="B4506" s="119" t="str">
        <f>IFERROR(__xludf.DUMMYFUNCTION("""COMPUTED_VALUE"""),"Anh Trần Ngũ trai")</f>
        <v>Anh Trần Ngũ trai</v>
      </c>
      <c r="C4506" s="119" t="str">
        <f>IFERROR(__xludf.DUMMYFUNCTION("""COMPUTED_VALUE"""),"3/44 Hoàng Thị Loan")</f>
        <v>3/44 Hoàng Thị Loan</v>
      </c>
      <c r="D4506" s="119" t="str">
        <f>IFERROR(__xludf.DUMMYFUNCTION("""COMPUTED_VALUE"""),"chó")</f>
        <v>chó</v>
      </c>
      <c r="E4506" s="119" t="str">
        <f>IFERROR(__xludf.DUMMYFUNCTION("""COMPUTED_VALUE""")," Lạc")</f>
        <v> Lạc</v>
      </c>
    </row>
    <row r="4507" ht="15.75" customHeight="1">
      <c r="A4507" s="122" t="str">
        <f>IFERROR(__xludf.DUMMYFUNCTION("""COMPUTED_VALUE"""),"0942 148 895")</f>
        <v>0942 148 895</v>
      </c>
      <c r="B4507" s="119" t="str">
        <f>IFERROR(__xludf.DUMMYFUNCTION("""COMPUTED_VALUE"""),"Dì Thanh")</f>
        <v>Dì Thanh</v>
      </c>
      <c r="C4507" s="119" t="str">
        <f>IFERROR(__xludf.DUMMYFUNCTION("""COMPUTED_VALUE"""),"Thiên An")</f>
        <v>Thiên An</v>
      </c>
      <c r="D4507" s="119" t="str">
        <f>IFERROR(__xludf.DUMMYFUNCTION("""COMPUTED_VALUE"""),"Chó")</f>
        <v>Chó</v>
      </c>
      <c r="E4507" s="119" t="str">
        <f>IFERROR(__xludf.DUMMYFUNCTION("""COMPUTED_VALUE"""),"Vip")</f>
        <v>Vip</v>
      </c>
    </row>
    <row r="4508" ht="15.75" customHeight="1">
      <c r="A4508" s="122" t="str">
        <f>IFERROR(__xludf.DUMMYFUNCTION("""COMPUTED_VALUE"""),"0862 032 763")</f>
        <v>0862 032 763</v>
      </c>
      <c r="B4508" s="119" t="str">
        <f>IFERROR(__xludf.DUMMYFUNCTION("""COMPUTED_VALUE"""),"Lê Đức Triết Giang")</f>
        <v>Lê Đức Triết Giang</v>
      </c>
      <c r="C4508" s="119" t="str">
        <f>IFERROR(__xludf.DUMMYFUNCTION("""COMPUTED_VALUE"""),"K 138 Phạm Thị Liên")</f>
        <v>K 138 Phạm Thị Liên</v>
      </c>
      <c r="D4508" s="119" t="str">
        <f>IFERROR(__xludf.DUMMYFUNCTION("""COMPUTED_VALUE"""),"Chó")</f>
        <v>Chó</v>
      </c>
      <c r="E4508" s="119" t="str">
        <f>IFERROR(__xludf.DUMMYFUNCTION("""COMPUTED_VALUE"""),"Moon")</f>
        <v>Moon</v>
      </c>
    </row>
    <row r="4509" ht="15.75" customHeight="1">
      <c r="A4509" s="122" t="str">
        <f>IFERROR(__xludf.DUMMYFUNCTION("""COMPUTED_VALUE"""),"0388 169 743")</f>
        <v>0388 169 743</v>
      </c>
      <c r="B4509" s="119" t="str">
        <f>IFERROR(__xludf.DUMMYFUNCTION("""COMPUTED_VALUE"""),"chị My")</f>
        <v>chị My</v>
      </c>
      <c r="C4509" s="119" t="str">
        <f>IFERROR(__xludf.DUMMYFUNCTION("""COMPUTED_VALUE"""),"An Lỗ")</f>
        <v>An Lỗ</v>
      </c>
      <c r="D4509" s="119" t="str">
        <f>IFERROR(__xludf.DUMMYFUNCTION("""COMPUTED_VALUE"""),"Chó")</f>
        <v>Chó</v>
      </c>
      <c r="E4509" s="119" t="str">
        <f>IFERROR(__xludf.DUMMYFUNCTION("""COMPUTED_VALUE"""),"Bưởi")</f>
        <v>Bưởi</v>
      </c>
    </row>
    <row r="4510" ht="15.75" customHeight="1">
      <c r="A4510" s="122" t="str">
        <f>IFERROR(__xludf.DUMMYFUNCTION("""COMPUTED_VALUE"""),"0935 020 243")</f>
        <v>0935 020 243</v>
      </c>
      <c r="B4510" s="119" t="str">
        <f>IFERROR(__xludf.DUMMYFUNCTION("""COMPUTED_VALUE"""),"Dì HÀ")</f>
        <v>Dì HÀ</v>
      </c>
      <c r="C4510" s="119" t="str">
        <f>IFERROR(__xludf.DUMMYFUNCTION("""COMPUTED_VALUE"""),"81 Thái Phiên")</f>
        <v>81 Thái Phiên</v>
      </c>
      <c r="D4510" s="119" t="str">
        <f>IFERROR(__xludf.DUMMYFUNCTION("""COMPUTED_VALUE"""),"Chó")</f>
        <v>Chó</v>
      </c>
      <c r="E4510" s="119" t="str">
        <f>IFERROR(__xludf.DUMMYFUNCTION("""COMPUTED_VALUE"""),"Lucky")</f>
        <v>Lucky</v>
      </c>
    </row>
    <row r="4511" ht="15.75" customHeight="1">
      <c r="A4511" s="122" t="str">
        <f>IFERROR(__xludf.DUMMYFUNCTION("""COMPUTED_VALUE"""),"0762 599 389")</f>
        <v>0762 599 389</v>
      </c>
      <c r="B4511" s="119" t="str">
        <f>IFERROR(__xludf.DUMMYFUNCTION("""COMPUTED_VALUE"""),"Anh Nghĩa")</f>
        <v>Anh Nghĩa</v>
      </c>
      <c r="C4511" s="119" t="str">
        <f>IFERROR(__xludf.DUMMYFUNCTION("""COMPUTED_VALUE"""),"15D/121/40 Lịch Đợi")</f>
        <v>15D/121/40 Lịch Đợi</v>
      </c>
      <c r="D4511" s="119" t="str">
        <f>IFERROR(__xludf.DUMMYFUNCTION("""COMPUTED_VALUE"""),"Mèo")</f>
        <v>Mèo</v>
      </c>
      <c r="E4511" s="119" t="str">
        <f>IFERROR(__xludf.DUMMYFUNCTION("""COMPUTED_VALUE"""),"chuột")</f>
        <v>chuột</v>
      </c>
    </row>
    <row r="4512" ht="15.75" customHeight="1">
      <c r="A4512" s="122" t="str">
        <f>IFERROR(__xludf.DUMMYFUNCTION("""COMPUTED_VALUE"""),"0773 498 471")</f>
        <v>0773 498 471</v>
      </c>
      <c r="B4512" s="119" t="str">
        <f>IFERROR(__xludf.DUMMYFUNCTION("""COMPUTED_VALUE"""),"Huỳnh Phước Hải")</f>
        <v>Huỳnh Phước Hải</v>
      </c>
      <c r="C4512" s="119" t="str">
        <f>IFERROR(__xludf.DUMMYFUNCTION("""COMPUTED_VALUE"""),"Chùa Huyền Không Sơn Thượng")</f>
        <v>Chùa Huyền Không Sơn Thượng</v>
      </c>
      <c r="D4512" s="119" t="str">
        <f>IFERROR(__xludf.DUMMYFUNCTION("""COMPUTED_VALUE"""),"Chó")</f>
        <v>Chó</v>
      </c>
      <c r="E4512" s="119" t="str">
        <f>IFERROR(__xludf.DUMMYFUNCTION("""COMPUTED_VALUE"""),"Kaka")</f>
        <v>Kaka</v>
      </c>
    </row>
    <row r="4513" ht="15.75" customHeight="1">
      <c r="A4513" s="122" t="str">
        <f>IFERROR(__xludf.DUMMYFUNCTION("""COMPUTED_VALUE"""),"0795 567 789")</f>
        <v>0795 567 789</v>
      </c>
      <c r="B4513" s="119" t="str">
        <f>IFERROR(__xludf.DUMMYFUNCTION("""COMPUTED_VALUE"""),"Anh Quang")</f>
        <v>Anh Quang</v>
      </c>
      <c r="C4513" s="119" t="str">
        <f>IFERROR(__xludf.DUMMYFUNCTION("""COMPUTED_VALUE"""),"26/272 Điện Biên Phủ")</f>
        <v>26/272 Điện Biên Phủ</v>
      </c>
      <c r="D4513" s="119" t="str">
        <f>IFERROR(__xludf.DUMMYFUNCTION("""COMPUTED_VALUE"""),"chó")</f>
        <v>chó</v>
      </c>
      <c r="E4513" s="119" t="str">
        <f>IFERROR(__xludf.DUMMYFUNCTION("""COMPUTED_VALUE"""),"lucky")</f>
        <v>lucky</v>
      </c>
    </row>
    <row r="4514" ht="15.75" customHeight="1">
      <c r="A4514" s="122" t="str">
        <f>IFERROR(__xludf.DUMMYFUNCTION("""COMPUTED_VALUE"""),"0973 304 580")</f>
        <v>0973 304 580</v>
      </c>
      <c r="B4514" s="119" t="str">
        <f>IFERROR(__xludf.DUMMYFUNCTION("""COMPUTED_VALUE"""),"Lê Thị Tú Anh")</f>
        <v>Lê Thị Tú Anh</v>
      </c>
      <c r="C4514" s="119" t="str">
        <f>IFERROR(__xludf.DUMMYFUNCTION("""COMPUTED_VALUE"""),"Nguyễn Phúc Chu")</f>
        <v>Nguyễn Phúc Chu</v>
      </c>
      <c r="D4514" s="119" t="str">
        <f>IFERROR(__xludf.DUMMYFUNCTION("""COMPUTED_VALUE"""),"Mèo")</f>
        <v>Mèo</v>
      </c>
      <c r="E4514" s="119" t="str">
        <f>IFERROR(__xludf.DUMMYFUNCTION("""COMPUTED_VALUE"""),"Mi")</f>
        <v>Mi</v>
      </c>
    </row>
    <row r="4515" ht="15.75" customHeight="1">
      <c r="A4515" s="122" t="str">
        <f>IFERROR(__xludf.DUMMYFUNCTION("""COMPUTED_VALUE"""),"0343 293 075")</f>
        <v>0343 293 075</v>
      </c>
      <c r="B4515" s="119" t="str">
        <f>IFERROR(__xludf.DUMMYFUNCTION("""COMPUTED_VALUE"""),"Anh Thành")</f>
        <v>Anh Thành</v>
      </c>
      <c r="C4515" s="119" t="str">
        <f>IFERROR(__xludf.DUMMYFUNCTION("""COMPUTED_VALUE"""),"53 Hồ Đắc Di")</f>
        <v>53 Hồ Đắc Di</v>
      </c>
      <c r="D4515" s="119" t="str">
        <f>IFERROR(__xludf.DUMMYFUNCTION("""COMPUTED_VALUE"""),"Chó")</f>
        <v>Chó</v>
      </c>
      <c r="E4515" s="119"/>
    </row>
    <row r="4516" ht="15.75" customHeight="1">
      <c r="A4516" s="122" t="str">
        <f>IFERROR(__xludf.DUMMYFUNCTION("""COMPUTED_VALUE"""),"0384 863 320")</f>
        <v>0384 863 320</v>
      </c>
      <c r="B4516" s="119" t="str">
        <f>IFERROR(__xludf.DUMMYFUNCTION("""COMPUTED_VALUE"""),"Thầy Chùa")</f>
        <v>Thầy Chùa</v>
      </c>
      <c r="C4516" s="119" t="str">
        <f>IFERROR(__xludf.DUMMYFUNCTION("""COMPUTED_VALUE"""),"Chùa Bảo Quốc")</f>
        <v>Chùa Bảo Quốc</v>
      </c>
      <c r="D4516" s="119" t="str">
        <f>IFERROR(__xludf.DUMMYFUNCTION("""COMPUTED_VALUE"""),"Chó")</f>
        <v>Chó</v>
      </c>
      <c r="E4516" s="119" t="str">
        <f>IFERROR(__xludf.DUMMYFUNCTION("""COMPUTED_VALUE"""),"Trum")</f>
        <v>Trum</v>
      </c>
    </row>
    <row r="4517" ht="15.75" customHeight="1">
      <c r="A4517" s="122" t="str">
        <f>IFERROR(__xludf.DUMMYFUNCTION("""COMPUTED_VALUE"""),"0583 999 989")</f>
        <v>0583 999 989</v>
      </c>
      <c r="B4517" s="119" t="str">
        <f>IFERROR(__xludf.DUMMYFUNCTION("""COMPUTED_VALUE"""),"Anh Tuấn Anh")</f>
        <v>Anh Tuấn Anh</v>
      </c>
      <c r="C4517" s="119" t="str">
        <f>IFERROR(__xludf.DUMMYFUNCTION("""COMPUTED_VALUE"""),"Phú Lộc")</f>
        <v>Phú Lộc</v>
      </c>
      <c r="D4517" s="119" t="str">
        <f>IFERROR(__xludf.DUMMYFUNCTION("""COMPUTED_VALUE"""),"Chó")</f>
        <v>Chó</v>
      </c>
      <c r="E4517" s="119" t="str">
        <f>IFERROR(__xludf.DUMMYFUNCTION("""COMPUTED_VALUE"""),"LuBi")</f>
        <v>LuBi</v>
      </c>
    </row>
    <row r="4518" ht="15.75" customHeight="1">
      <c r="A4518" s="122" t="str">
        <f>IFERROR(__xludf.DUMMYFUNCTION("""COMPUTED_VALUE"""),"0793 577 663")</f>
        <v>0793 577 663</v>
      </c>
      <c r="B4518" s="119" t="str">
        <f>IFERROR(__xludf.DUMMYFUNCTION("""COMPUTED_VALUE"""),"Chị Ngọc")</f>
        <v>Chị Ngọc</v>
      </c>
      <c r="C4518" s="119" t="str">
        <f>IFERROR(__xludf.DUMMYFUNCTION("""COMPUTED_VALUE"""),"5 Tố Hữu")</f>
        <v>5 Tố Hữu</v>
      </c>
      <c r="D4518" s="119" t="str">
        <f>IFERROR(__xludf.DUMMYFUNCTION("""COMPUTED_VALUE"""),"Mèo")</f>
        <v>Mèo</v>
      </c>
      <c r="E4518" s="119"/>
    </row>
    <row r="4519" ht="15.75" customHeight="1">
      <c r="A4519" s="122" t="str">
        <f>IFERROR(__xludf.DUMMYFUNCTION("""COMPUTED_VALUE"""),"0935 293 680")</f>
        <v>0935 293 680</v>
      </c>
      <c r="B4519" s="119" t="str">
        <f>IFERROR(__xludf.DUMMYFUNCTION("""COMPUTED_VALUE"""),"Chị Quỳnh Châu")</f>
        <v>Chị Quỳnh Châu</v>
      </c>
      <c r="C4519" s="119" t="str">
        <f>IFERROR(__xludf.DUMMYFUNCTION("""COMPUTED_VALUE"""),"8/23 Hàn Mặc Tử")</f>
        <v>8/23 Hàn Mặc Tử</v>
      </c>
      <c r="D4519" s="119" t="str">
        <f>IFERROR(__xludf.DUMMYFUNCTION("""COMPUTED_VALUE"""),"chó")</f>
        <v>chó</v>
      </c>
      <c r="E4519" s="119" t="str">
        <f>IFERROR(__xludf.DUMMYFUNCTION("""COMPUTED_VALUE"""),"Pony")</f>
        <v>Pony</v>
      </c>
    </row>
    <row r="4520" ht="15.75" customHeight="1">
      <c r="A4520" s="122" t="str">
        <f>IFERROR(__xludf.DUMMYFUNCTION("""COMPUTED_VALUE"""),"0976 882 618")</f>
        <v>0976 882 618</v>
      </c>
      <c r="B4520" s="119" t="str">
        <f>IFERROR(__xludf.DUMMYFUNCTION("""COMPUTED_VALUE"""),"Em Hùng")</f>
        <v>Em Hùng</v>
      </c>
      <c r="C4520" s="119" t="str">
        <f>IFERROR(__xludf.DUMMYFUNCTION("""COMPUTED_VALUE"""),"Điện Biên Phủ")</f>
        <v>Điện Biên Phủ</v>
      </c>
      <c r="D4520" s="119" t="str">
        <f>IFERROR(__xludf.DUMMYFUNCTION("""COMPUTED_VALUE"""),"Mèo")</f>
        <v>Mèo</v>
      </c>
      <c r="E4520" s="119"/>
    </row>
    <row r="4521" ht="15.75" customHeight="1">
      <c r="A4521" s="122" t="str">
        <f>IFERROR(__xludf.DUMMYFUNCTION("""COMPUTED_VALUE"""),"0906 555 900")</f>
        <v>0906 555 900</v>
      </c>
      <c r="B4521" s="119" t="str">
        <f>IFERROR(__xludf.DUMMYFUNCTION("""COMPUTED_VALUE"""),"Anh Quang")</f>
        <v>Anh Quang</v>
      </c>
      <c r="C4521" s="119" t="str">
        <f>IFERROR(__xludf.DUMMYFUNCTION("""COMPUTED_VALUE"""),"Phú Thượng")</f>
        <v>Phú Thượng</v>
      </c>
      <c r="D4521" s="119" t="str">
        <f>IFERROR(__xludf.DUMMYFUNCTION("""COMPUTED_VALUE"""),"Chó")</f>
        <v>Chó</v>
      </c>
      <c r="E4521" s="119" t="str">
        <f>IFERROR(__xludf.DUMMYFUNCTION("""COMPUTED_VALUE"""),"Vàng")</f>
        <v>Vàng</v>
      </c>
    </row>
    <row r="4522" ht="15.75" customHeight="1">
      <c r="A4522" s="122" t="str">
        <f>IFERROR(__xludf.DUMMYFUNCTION("""COMPUTED_VALUE"""),"0905 156 291")</f>
        <v>0905 156 291</v>
      </c>
      <c r="B4522" s="119" t="str">
        <f>IFERROR(__xludf.DUMMYFUNCTION("""COMPUTED_VALUE"""),"Cô Quý")</f>
        <v>Cô Quý</v>
      </c>
      <c r="C4522" s="119" t="str">
        <f>IFERROR(__xludf.DUMMYFUNCTION("""COMPUTED_VALUE"""),"131 Nguyễn Trãi")</f>
        <v>131 Nguyễn Trãi</v>
      </c>
      <c r="D4522" s="119" t="str">
        <f>IFERROR(__xludf.DUMMYFUNCTION("""COMPUTED_VALUE"""),"chó")</f>
        <v>chó</v>
      </c>
      <c r="E4522" s="119" t="str">
        <f>IFERROR(__xludf.DUMMYFUNCTION("""COMPUTED_VALUE"""),"nio")</f>
        <v>nio</v>
      </c>
    </row>
    <row r="4523" ht="15.75" customHeight="1">
      <c r="A4523" s="122" t="str">
        <f>IFERROR(__xludf.DUMMYFUNCTION("""COMPUTED_VALUE"""),"0766 628 298")</f>
        <v>0766 628 298</v>
      </c>
      <c r="B4523" s="119" t="str">
        <f>IFERROR(__xludf.DUMMYFUNCTION("""COMPUTED_VALUE"""),"Anh Nhân")</f>
        <v>Anh Nhân</v>
      </c>
      <c r="C4523" s="119" t="str">
        <f>IFERROR(__xludf.DUMMYFUNCTION("""COMPUTED_VALUE"""),"17 Ưng Trí")</f>
        <v>17 Ưng Trí</v>
      </c>
      <c r="D4523" s="119" t="str">
        <f>IFERROR(__xludf.DUMMYFUNCTION("""COMPUTED_VALUE"""),"chó")</f>
        <v>chó</v>
      </c>
      <c r="E4523" s="119" t="str">
        <f>IFERROR(__xludf.DUMMYFUNCTION("""COMPUTED_VALUE"""),"Bonert")</f>
        <v>Bonert</v>
      </c>
    </row>
    <row r="4524" ht="15.75" customHeight="1">
      <c r="A4524" s="122" t="str">
        <f>IFERROR(__xludf.DUMMYFUNCTION("""COMPUTED_VALUE"""),"0905 605 666")</f>
        <v>0905 605 666</v>
      </c>
      <c r="B4524" s="119" t="str">
        <f>IFERROR(__xludf.DUMMYFUNCTION("""COMPUTED_VALUE"""),"Bác Hưng")</f>
        <v>Bác Hưng</v>
      </c>
      <c r="C4524" s="119" t="str">
        <f>IFERROR(__xludf.DUMMYFUNCTION("""COMPUTED_VALUE"""),"206 Hùng Vương")</f>
        <v>206 Hùng Vương</v>
      </c>
      <c r="D4524" s="119" t="str">
        <f>IFERROR(__xludf.DUMMYFUNCTION("""COMPUTED_VALUE"""),"Chó")</f>
        <v>Chó</v>
      </c>
      <c r="E4524" s="119" t="str">
        <f>IFERROR(__xludf.DUMMYFUNCTION("""COMPUTED_VALUE"""),"Nâu EM")</f>
        <v>Nâu EM</v>
      </c>
    </row>
    <row r="4525" ht="15.75" customHeight="1">
      <c r="A4525" s="122" t="str">
        <f>IFERROR(__xludf.DUMMYFUNCTION("""COMPUTED_VALUE"""),"0869 123 057")</f>
        <v>0869 123 057</v>
      </c>
      <c r="B4525" s="119" t="str">
        <f>IFERROR(__xludf.DUMMYFUNCTION("""COMPUTED_VALUE"""),"Anh Hiếu")</f>
        <v>Anh Hiếu</v>
      </c>
      <c r="C4525" s="119" t="str">
        <f>IFERROR(__xludf.DUMMYFUNCTION("""COMPUTED_VALUE"""),"Phú Bài")</f>
        <v>Phú Bài</v>
      </c>
      <c r="D4525" s="119" t="str">
        <f>IFERROR(__xludf.DUMMYFUNCTION("""COMPUTED_VALUE"""),"chó")</f>
        <v>chó</v>
      </c>
      <c r="E4525" s="119" t="str">
        <f>IFERROR(__xludf.DUMMYFUNCTION("""COMPUTED_VALUE"""),"Heo")</f>
        <v>Heo</v>
      </c>
    </row>
    <row r="4526" ht="15.75" customHeight="1">
      <c r="A4526" s="122" t="str">
        <f>IFERROR(__xludf.DUMMYFUNCTION("""COMPUTED_VALUE"""),"0914 615 928")</f>
        <v>0914 615 928</v>
      </c>
      <c r="B4526" s="119" t="str">
        <f>IFERROR(__xludf.DUMMYFUNCTION("""COMPUTED_VALUE"""),"Nguyễn Văn Huê")</f>
        <v>Nguyễn Văn Huê</v>
      </c>
      <c r="C4526" s="119" t="str">
        <f>IFERROR(__xludf.DUMMYFUNCTION("""COMPUTED_VALUE"""),"A2 KQH Hương Long")</f>
        <v>A2 KQH Hương Long</v>
      </c>
      <c r="D4526" s="119" t="str">
        <f>IFERROR(__xludf.DUMMYFUNCTION("""COMPUTED_VALUE"""),"Chó")</f>
        <v>Chó</v>
      </c>
      <c r="E4526" s="119" t="str">
        <f>IFERROR(__xludf.DUMMYFUNCTION("""COMPUTED_VALUE"""),"Bi")</f>
        <v>Bi</v>
      </c>
    </row>
    <row r="4527" ht="15.75" customHeight="1">
      <c r="A4527" s="122" t="str">
        <f>IFERROR(__xludf.DUMMYFUNCTION("""COMPUTED_VALUE"""),"0708 191 336")</f>
        <v>0708 191 336</v>
      </c>
      <c r="B4527" s="119" t="str">
        <f>IFERROR(__xludf.DUMMYFUNCTION("""COMPUTED_VALUE"""),"Chị Thiện")</f>
        <v>Chị Thiện</v>
      </c>
      <c r="C4527" s="119" t="str">
        <f>IFERROR(__xludf.DUMMYFUNCTION("""COMPUTED_VALUE"""),"97 Văn Thánh")</f>
        <v>97 Văn Thánh</v>
      </c>
      <c r="D4527" s="119" t="str">
        <f>IFERROR(__xludf.DUMMYFUNCTION("""COMPUTED_VALUE"""),"Chó")</f>
        <v>Chó</v>
      </c>
      <c r="E4527" s="119" t="str">
        <f>IFERROR(__xludf.DUMMYFUNCTION("""COMPUTED_VALUE"""),"Mít")</f>
        <v>Mít</v>
      </c>
    </row>
    <row r="4528" ht="15.75" customHeight="1">
      <c r="A4528" s="122" t="str">
        <f>IFERROR(__xludf.DUMMYFUNCTION("""COMPUTED_VALUE"""),"0395 066 617")</f>
        <v>0395 066 617</v>
      </c>
      <c r="B4528" s="119" t="str">
        <f>IFERROR(__xludf.DUMMYFUNCTION("""COMPUTED_VALUE"""),"anh Trực")</f>
        <v>anh Trực</v>
      </c>
      <c r="C4528" s="119" t="str">
        <f>IFERROR(__xludf.DUMMYFUNCTION("""COMPUTED_VALUE"""),"77 Lựu Bảo")</f>
        <v>77 Lựu Bảo</v>
      </c>
      <c r="D4528" s="119" t="str">
        <f>IFERROR(__xludf.DUMMYFUNCTION("""COMPUTED_VALUE"""),"Chó")</f>
        <v>Chó</v>
      </c>
      <c r="E4528" s="119"/>
    </row>
    <row r="4529" ht="15.75" customHeight="1">
      <c r="A4529" s="122" t="str">
        <f>IFERROR(__xludf.DUMMYFUNCTION("""COMPUTED_VALUE"""),"0932 532 424")</f>
        <v>0932 532 424</v>
      </c>
      <c r="B4529" s="119" t="str">
        <f>IFERROR(__xludf.DUMMYFUNCTION("""COMPUTED_VALUE"""),"bé My")</f>
        <v>bé My</v>
      </c>
      <c r="C4529" s="119" t="str">
        <f>IFERROR(__xludf.DUMMYFUNCTION("""COMPUTED_VALUE"""),"15 lại thế 1")</f>
        <v>15 lại thế 1</v>
      </c>
      <c r="D4529" s="119" t="str">
        <f>IFERROR(__xludf.DUMMYFUNCTION("""COMPUTED_VALUE"""),"mèo")</f>
        <v>mèo</v>
      </c>
      <c r="E4529" s="119" t="str">
        <f>IFERROR(__xludf.DUMMYFUNCTION("""COMPUTED_VALUE"""),"Bư- Hoa Hậu")</f>
        <v>Bư- Hoa Hậu</v>
      </c>
    </row>
    <row r="4530" ht="15.75" customHeight="1">
      <c r="A4530" s="122" t="str">
        <f>IFERROR(__xludf.DUMMYFUNCTION("""COMPUTED_VALUE"""),"0914 066 146")</f>
        <v>0914 066 146</v>
      </c>
      <c r="B4530" s="119" t="str">
        <f>IFERROR(__xludf.DUMMYFUNCTION("""COMPUTED_VALUE"""),"Hồ Thanh Quang")</f>
        <v>Hồ Thanh Quang</v>
      </c>
      <c r="C4530" s="119" t="str">
        <f>IFERROR(__xludf.DUMMYFUNCTION("""COMPUTED_VALUE"""),"69 /19 Phạm Thị Liên")</f>
        <v>69 /19 Phạm Thị Liên</v>
      </c>
      <c r="D4530" s="119" t="str">
        <f>IFERROR(__xludf.DUMMYFUNCTION("""COMPUTED_VALUE"""),"Chó")</f>
        <v>Chó</v>
      </c>
      <c r="E4530" s="119" t="str">
        <f>IFERROR(__xludf.DUMMYFUNCTION("""COMPUTED_VALUE"""),"Vằn")</f>
        <v>Vằn</v>
      </c>
    </row>
    <row r="4531" ht="15.75" customHeight="1">
      <c r="A4531" s="122" t="str">
        <f>IFERROR(__xludf.DUMMYFUNCTION("""COMPUTED_VALUE"""),"0772 264 740")</f>
        <v>0772 264 740</v>
      </c>
      <c r="B4531" s="119" t="str">
        <f>IFERROR(__xludf.DUMMYFUNCTION("""COMPUTED_VALUE"""),"Anh Vinh")</f>
        <v>Anh Vinh</v>
      </c>
      <c r="C4531" s="119" t="str">
        <f>IFERROR(__xludf.DUMMYFUNCTION("""COMPUTED_VALUE"""),"200/22 Lý Nam Đế")</f>
        <v>200/22 Lý Nam Đế</v>
      </c>
      <c r="D4531" s="119" t="str">
        <f>IFERROR(__xludf.DUMMYFUNCTION("""COMPUTED_VALUE"""),"Chó")</f>
        <v>Chó</v>
      </c>
      <c r="E4531" s="119" t="str">
        <f>IFERROR(__xludf.DUMMYFUNCTION("""COMPUTED_VALUE"""),"Chuột")</f>
        <v>Chuột</v>
      </c>
    </row>
    <row r="4532" ht="15.75" customHeight="1">
      <c r="A4532" s="122" t="str">
        <f>IFERROR(__xludf.DUMMYFUNCTION("""COMPUTED_VALUE"""),"0932 510 470")</f>
        <v>0932 510 470</v>
      </c>
      <c r="B4532" s="119" t="str">
        <f>IFERROR(__xludf.DUMMYFUNCTION("""COMPUTED_VALUE"""),"Anh Phú")</f>
        <v>Anh Phú</v>
      </c>
      <c r="C4532" s="119" t="str">
        <f>IFERROR(__xludf.DUMMYFUNCTION("""COMPUTED_VALUE"""),"Phú Thượng")</f>
        <v>Phú Thượng</v>
      </c>
      <c r="D4532" s="119" t="str">
        <f>IFERROR(__xludf.DUMMYFUNCTION("""COMPUTED_VALUE"""),"Chó")</f>
        <v>Chó</v>
      </c>
      <c r="E4532" s="119" t="str">
        <f>IFERROR(__xludf.DUMMYFUNCTION("""COMPUTED_VALUE"""),"Bông")</f>
        <v>Bông</v>
      </c>
    </row>
    <row r="4533" ht="15.75" customHeight="1">
      <c r="A4533" s="122" t="str">
        <f>IFERROR(__xludf.DUMMYFUNCTION("""COMPUTED_VALUE"""),"0934 776 175")</f>
        <v>0934 776 175</v>
      </c>
      <c r="B4533" s="119" t="str">
        <f>IFERROR(__xludf.DUMMYFUNCTION("""COMPUTED_VALUE"""),"Dì Hà")</f>
        <v>Dì Hà</v>
      </c>
      <c r="C4533" s="119" t="str">
        <f>IFERROR(__xludf.DUMMYFUNCTION("""COMPUTED_VALUE"""),"106 Minh Mạng")</f>
        <v>106 Minh Mạng</v>
      </c>
      <c r="D4533" s="119" t="str">
        <f>IFERROR(__xludf.DUMMYFUNCTION("""COMPUTED_VALUE"""),"mèo")</f>
        <v>mèo</v>
      </c>
      <c r="E4533" s="119" t="str">
        <f>IFERROR(__xludf.DUMMYFUNCTION("""COMPUTED_VALUE"""),"sam")</f>
        <v>sam</v>
      </c>
    </row>
    <row r="4534" ht="15.75" customHeight="1">
      <c r="A4534" s="122" t="str">
        <f>IFERROR(__xludf.DUMMYFUNCTION("""COMPUTED_VALUE"""),"0793 541 996")</f>
        <v>0793 541 996</v>
      </c>
      <c r="B4534" s="119" t="str">
        <f>IFERROR(__xludf.DUMMYFUNCTION("""COMPUTED_VALUE"""),"Anh Thuận ")</f>
        <v>Anh Thuận </v>
      </c>
      <c r="C4534" s="119" t="str">
        <f>IFERROR(__xludf.DUMMYFUNCTION("""COMPUTED_VALUE"""),"6/30/16 Duy Tân")</f>
        <v>6/30/16 Duy Tân</v>
      </c>
      <c r="D4534" s="119" t="str">
        <f>IFERROR(__xludf.DUMMYFUNCTION("""COMPUTED_VALUE"""),"mèo")</f>
        <v>mèo</v>
      </c>
      <c r="E4534" s="119"/>
    </row>
    <row r="4535" ht="15.75" customHeight="1">
      <c r="A4535" s="122" t="str">
        <f>IFERROR(__xludf.DUMMYFUNCTION("""COMPUTED_VALUE"""),"0385 330 461")</f>
        <v>0385 330 461</v>
      </c>
      <c r="B4535" s="119" t="str">
        <f>IFERROR(__xludf.DUMMYFUNCTION("""COMPUTED_VALUE"""),"Em Phương Dương")</f>
        <v>Em Phương Dương</v>
      </c>
      <c r="C4535" s="119" t="str">
        <f>IFERROR(__xludf.DUMMYFUNCTION("""COMPUTED_VALUE"""),"130 Trường chinh")</f>
        <v>130 Trường chinh</v>
      </c>
      <c r="D4535" s="119" t="str">
        <f>IFERROR(__xludf.DUMMYFUNCTION("""COMPUTED_VALUE"""),"mèo")</f>
        <v>mèo</v>
      </c>
      <c r="E4535" s="119" t="str">
        <f>IFERROR(__xludf.DUMMYFUNCTION("""COMPUTED_VALUE"""),"tom")</f>
        <v>tom</v>
      </c>
    </row>
    <row r="4536" ht="15.75" customHeight="1">
      <c r="A4536" s="122" t="str">
        <f>IFERROR(__xludf.DUMMYFUNCTION("""COMPUTED_VALUE"""),"0962 794 552")</f>
        <v>0962 794 552</v>
      </c>
      <c r="B4536" s="119" t="str">
        <f>IFERROR(__xludf.DUMMYFUNCTION("""COMPUTED_VALUE"""),"Chị Thùy Trâm")</f>
        <v>Chị Thùy Trâm</v>
      </c>
      <c r="C4536" s="119" t="str">
        <f>IFERROR(__xludf.DUMMYFUNCTION("""COMPUTED_VALUE"""),"hẻm 69 K131 Trần Phú")</f>
        <v>hẻm 69 K131 Trần Phú</v>
      </c>
      <c r="D4536" s="119" t="str">
        <f>IFERROR(__xludf.DUMMYFUNCTION("""COMPUTED_VALUE"""),"Chó")</f>
        <v>Chó</v>
      </c>
      <c r="E4536" s="119" t="str">
        <f>IFERROR(__xludf.DUMMYFUNCTION("""COMPUTED_VALUE"""),"rét")</f>
        <v>rét</v>
      </c>
    </row>
    <row r="4537" ht="15.75" customHeight="1">
      <c r="A4537" s="122" t="str">
        <f>IFERROR(__xludf.DUMMYFUNCTION("""COMPUTED_VALUE"""),"0935 509 810")</f>
        <v>0935 509 810</v>
      </c>
      <c r="B4537" s="119" t="str">
        <f>IFERROR(__xludf.DUMMYFUNCTION("""COMPUTED_VALUE"""),"Em Hiệp")</f>
        <v>Em Hiệp</v>
      </c>
      <c r="C4537" s="119" t="str">
        <f>IFERROR(__xludf.DUMMYFUNCTION("""COMPUTED_VALUE"""),"47/16 Duy Tân")</f>
        <v>47/16 Duy Tân</v>
      </c>
      <c r="D4537" s="119" t="str">
        <f>IFERROR(__xludf.DUMMYFUNCTION("""COMPUTED_VALUE"""),"mèo")</f>
        <v>mèo</v>
      </c>
      <c r="E4537" s="119" t="str">
        <f>IFERROR(__xludf.DUMMYFUNCTION("""COMPUTED_VALUE"""),"Tèo")</f>
        <v>Tèo</v>
      </c>
    </row>
    <row r="4538" ht="15.75" customHeight="1">
      <c r="A4538" s="122" t="str">
        <f>IFERROR(__xludf.DUMMYFUNCTION("""COMPUTED_VALUE"""),"0776 461 208")</f>
        <v>0776 461 208</v>
      </c>
      <c r="B4538" s="119" t="str">
        <f>IFERROR(__xludf.DUMMYFUNCTION("""COMPUTED_VALUE"""),"chú Hồ Mại")</f>
        <v>chú Hồ Mại</v>
      </c>
      <c r="C4538" s="119" t="str">
        <f>IFERROR(__xludf.DUMMYFUNCTION("""COMPUTED_VALUE"""),"K 131 Trần Phú")</f>
        <v>K 131 Trần Phú</v>
      </c>
      <c r="D4538" s="119" t="str">
        <f>IFERROR(__xludf.DUMMYFUNCTION("""COMPUTED_VALUE"""),"Chó")</f>
        <v>Chó</v>
      </c>
      <c r="E4538" s="119" t="str">
        <f>IFERROR(__xludf.DUMMYFUNCTION("""COMPUTED_VALUE"""),"kin")</f>
        <v>kin</v>
      </c>
    </row>
    <row r="4539" ht="15.75" customHeight="1">
      <c r="A4539" s="122" t="str">
        <f>IFERROR(__xludf.DUMMYFUNCTION("""COMPUTED_VALUE"""),"0946 998 244")</f>
        <v>0946 998 244</v>
      </c>
      <c r="B4539" s="119" t="str">
        <f>IFERROR(__xludf.DUMMYFUNCTION("""COMPUTED_VALUE"""),"Em Nhi")</f>
        <v>Em Nhi</v>
      </c>
      <c r="C4539" s="119" t="str">
        <f>IFERROR(__xludf.DUMMYFUNCTION("""COMPUTED_VALUE"""),"Đại Học Luật")</f>
        <v>Đại Học Luật</v>
      </c>
      <c r="D4539" s="119" t="str">
        <f>IFERROR(__xludf.DUMMYFUNCTION("""COMPUTED_VALUE"""),"Chó")</f>
        <v>Chó</v>
      </c>
      <c r="E4539" s="119"/>
    </row>
    <row r="4540" ht="15.75" customHeight="1">
      <c r="A4540" s="122" t="str">
        <f>IFERROR(__xludf.DUMMYFUNCTION("""COMPUTED_VALUE"""),"0948 199 906")</f>
        <v>0948 199 906</v>
      </c>
      <c r="B4540" s="119" t="str">
        <f>IFERROR(__xludf.DUMMYFUNCTION("""COMPUTED_VALUE"""),"Chị Hiền")</f>
        <v>Chị Hiền</v>
      </c>
      <c r="C4540" s="119" t="str">
        <f>IFERROR(__xludf.DUMMYFUNCTION("""COMPUTED_VALUE"""),"52 Thiên Thai")</f>
        <v>52 Thiên Thai</v>
      </c>
      <c r="D4540" s="119" t="str">
        <f>IFERROR(__xludf.DUMMYFUNCTION("""COMPUTED_VALUE"""),"chó")</f>
        <v>chó</v>
      </c>
      <c r="E4540" s="119" t="str">
        <f>IFERROR(__xludf.DUMMYFUNCTION("""COMPUTED_VALUE"""),"ken")</f>
        <v>ken</v>
      </c>
    </row>
    <row r="4541" ht="15.75" customHeight="1">
      <c r="A4541" s="122" t="str">
        <f>IFERROR(__xludf.DUMMYFUNCTION("""COMPUTED_VALUE"""),"0705 911 308")</f>
        <v>0705 911 308</v>
      </c>
      <c r="B4541" s="119" t="str">
        <f>IFERROR(__xludf.DUMMYFUNCTION("""COMPUTED_VALUE"""),"Ngô Thị Yến")</f>
        <v>Ngô Thị Yến</v>
      </c>
      <c r="C4541" s="119" t="str">
        <f>IFERROR(__xludf.DUMMYFUNCTION("""COMPUTED_VALUE"""),"28/35 Điện Biên Phủ")</f>
        <v>28/35 Điện Biên Phủ</v>
      </c>
      <c r="D4541" s="119" t="str">
        <f>IFERROR(__xludf.DUMMYFUNCTION("""COMPUTED_VALUE"""),"chó")</f>
        <v>chó</v>
      </c>
      <c r="E4541" s="119"/>
    </row>
    <row r="4542" ht="15.75" customHeight="1">
      <c r="A4542" s="122" t="str">
        <f>IFERROR(__xludf.DUMMYFUNCTION("""COMPUTED_VALUE"""),"0935 575 414")</f>
        <v>0935 575 414</v>
      </c>
      <c r="B4542" s="119" t="str">
        <f>IFERROR(__xludf.DUMMYFUNCTION("""COMPUTED_VALUE"""),"Dì Mai")</f>
        <v>Dì Mai</v>
      </c>
      <c r="C4542" s="119" t="str">
        <f>IFERROR(__xludf.DUMMYFUNCTION("""COMPUTED_VALUE"""),"2/14k62 thanh hải")</f>
        <v>2/14k62 thanh hải</v>
      </c>
      <c r="D4542" s="119" t="str">
        <f>IFERROR(__xludf.DUMMYFUNCTION("""COMPUTED_VALUE"""),"Chó")</f>
        <v>Chó</v>
      </c>
      <c r="E4542" s="119" t="str">
        <f>IFERROR(__xludf.DUMMYFUNCTION("""COMPUTED_VALUE"""),"Sữa")</f>
        <v>Sữa</v>
      </c>
    </row>
    <row r="4543" ht="15.75" customHeight="1">
      <c r="A4543" s="122" t="str">
        <f>IFERROR(__xludf.DUMMYFUNCTION("""COMPUTED_VALUE"""),"0935 635 191")</f>
        <v>0935 635 191</v>
      </c>
      <c r="B4543" s="119" t="str">
        <f>IFERROR(__xludf.DUMMYFUNCTION("""COMPUTED_VALUE"""),"chị Hạnh")</f>
        <v>chị Hạnh</v>
      </c>
      <c r="C4543" s="119" t="str">
        <f>IFERROR(__xludf.DUMMYFUNCTION("""COMPUTED_VALUE"""),"Phú Lộc")</f>
        <v>Phú Lộc</v>
      </c>
      <c r="D4543" s="119" t="str">
        <f>IFERROR(__xludf.DUMMYFUNCTION("""COMPUTED_VALUE"""),"Chó")</f>
        <v>Chó</v>
      </c>
      <c r="E4543" s="119" t="str">
        <f>IFERROR(__xludf.DUMMYFUNCTION("""COMPUTED_VALUE"""),"Tetdy")</f>
        <v>Tetdy</v>
      </c>
    </row>
    <row r="4544" ht="15.75" customHeight="1">
      <c r="A4544" s="122" t="str">
        <f>IFERROR(__xludf.DUMMYFUNCTION("""COMPUTED_VALUE"""),"0971 869 012")</f>
        <v>0971 869 012</v>
      </c>
      <c r="B4544" s="119" t="str">
        <f>IFERROR(__xludf.DUMMYFUNCTION("""COMPUTED_VALUE"""),"Chị Thư")</f>
        <v>Chị Thư</v>
      </c>
      <c r="C4544" s="119" t="str">
        <f>IFERROR(__xludf.DUMMYFUNCTION("""COMPUTED_VALUE"""),"97 Nguyễn Khoa Chiêm")</f>
        <v>97 Nguyễn Khoa Chiêm</v>
      </c>
      <c r="D4544" s="119" t="str">
        <f>IFERROR(__xludf.DUMMYFUNCTION("""COMPUTED_VALUE"""),"Chó")</f>
        <v>Chó</v>
      </c>
      <c r="E4544" s="119" t="str">
        <f>IFERROR(__xludf.DUMMYFUNCTION("""COMPUTED_VALUE"""),"Su")</f>
        <v>Su</v>
      </c>
    </row>
    <row r="4545" ht="15.75" customHeight="1">
      <c r="A4545" s="122" t="str">
        <f>IFERROR(__xludf.DUMMYFUNCTION("""COMPUTED_VALUE"""),"0914 019 139")</f>
        <v>0914 019 139</v>
      </c>
      <c r="B4545" s="119" t="str">
        <f>IFERROR(__xludf.DUMMYFUNCTION("""COMPUTED_VALUE"""),"Anh Thanh")</f>
        <v>Anh Thanh</v>
      </c>
      <c r="C4545" s="119" t="str">
        <f>IFERROR(__xludf.DUMMYFUNCTION("""COMPUTED_VALUE"""),"128 Phạm Thị Liên")</f>
        <v>128 Phạm Thị Liên</v>
      </c>
      <c r="D4545" s="119" t="str">
        <f>IFERROR(__xludf.DUMMYFUNCTION("""COMPUTED_VALUE"""),"Chó")</f>
        <v>Chó</v>
      </c>
      <c r="E4545" s="119" t="str">
        <f>IFERROR(__xludf.DUMMYFUNCTION("""COMPUTED_VALUE"""),"Soái")</f>
        <v>Soái</v>
      </c>
    </row>
    <row r="4546" ht="15.75" customHeight="1">
      <c r="A4546" s="122" t="str">
        <f>IFERROR(__xludf.DUMMYFUNCTION("""COMPUTED_VALUE"""),"0986 691 153")</f>
        <v>0986 691 153</v>
      </c>
      <c r="B4546" s="119" t="str">
        <f>IFERROR(__xludf.DUMMYFUNCTION("""COMPUTED_VALUE"""),"Thầy Thái Hưng")</f>
        <v>Thầy Thái Hưng</v>
      </c>
      <c r="C4546" s="119" t="str">
        <f>IFERROR(__xludf.DUMMYFUNCTION("""COMPUTED_VALUE""")," Chùa Phúc Hưng- 126 Nguyễn Phúc Nguyên")</f>
        <v> Chùa Phúc Hưng- 126 Nguyễn Phúc Nguyên</v>
      </c>
      <c r="D4546" s="119" t="str">
        <f>IFERROR(__xludf.DUMMYFUNCTION("""COMPUTED_VALUE"""),"Chó")</f>
        <v>Chó</v>
      </c>
      <c r="E4546" s="119" t="str">
        <f>IFERROR(__xludf.DUMMYFUNCTION("""COMPUTED_VALUE"""),"Cu Em")</f>
        <v>Cu Em</v>
      </c>
    </row>
    <row r="4547" ht="15.75" customHeight="1">
      <c r="A4547" s="122" t="str">
        <f>IFERROR(__xludf.DUMMYFUNCTION("""COMPUTED_VALUE"""),"0932 850 797")</f>
        <v>0932 850 797</v>
      </c>
      <c r="B4547" s="119" t="str">
        <f>IFERROR(__xludf.DUMMYFUNCTION("""COMPUTED_VALUE"""),"Trần Vũ")</f>
        <v>Trần Vũ</v>
      </c>
      <c r="C4547" s="119" t="str">
        <f>IFERROR(__xludf.DUMMYFUNCTION("""COMPUTED_VALUE"""),"Phú Vang")</f>
        <v>Phú Vang</v>
      </c>
      <c r="D4547" s="119" t="str">
        <f>IFERROR(__xludf.DUMMYFUNCTION("""COMPUTED_VALUE"""),"mèo")</f>
        <v>mèo</v>
      </c>
      <c r="E4547" s="119" t="str">
        <f>IFERROR(__xludf.DUMMYFUNCTION("""COMPUTED_VALUE"""),"Chảnh")</f>
        <v>Chảnh</v>
      </c>
    </row>
    <row r="4548" ht="15.75" customHeight="1">
      <c r="A4548" s="122" t="str">
        <f>IFERROR(__xludf.DUMMYFUNCTION("""COMPUTED_VALUE"""),"0353 117 153")</f>
        <v>0353 117 153</v>
      </c>
      <c r="B4548" s="119" t="str">
        <f>IFERROR(__xludf.DUMMYFUNCTION("""COMPUTED_VALUE"""),"Nhung")</f>
        <v>Nhung</v>
      </c>
      <c r="C4548" s="119" t="str">
        <f>IFERROR(__xludf.DUMMYFUNCTION("""COMPUTED_VALUE"""),"Hương Toàn")</f>
        <v>Hương Toàn</v>
      </c>
      <c r="D4548" s="119" t="str">
        <f>IFERROR(__xludf.DUMMYFUNCTION("""COMPUTED_VALUE"""),"chó")</f>
        <v>chó</v>
      </c>
      <c r="E4548" s="119" t="str">
        <f>IFERROR(__xludf.DUMMYFUNCTION("""COMPUTED_VALUE"""),"Mập")</f>
        <v>Mập</v>
      </c>
    </row>
    <row r="4549" ht="15.75" customHeight="1">
      <c r="A4549" s="122" t="str">
        <f>IFERROR(__xludf.DUMMYFUNCTION("""COMPUTED_VALUE"""),"0982 771 872")</f>
        <v>0982 771 872</v>
      </c>
      <c r="B4549" s="119" t="str">
        <f>IFERROR(__xludf.DUMMYFUNCTION("""COMPUTED_VALUE"""),"Chị Thảo Nguyên")</f>
        <v>Chị Thảo Nguyên</v>
      </c>
      <c r="C4549" s="119" t="str">
        <f>IFERROR(__xludf.DUMMYFUNCTION("""COMPUTED_VALUE"""),"Lộc Bổn - Phú Lộc")</f>
        <v>Lộc Bổn - Phú Lộc</v>
      </c>
      <c r="D4549" s="119" t="str">
        <f>IFERROR(__xludf.DUMMYFUNCTION("""COMPUTED_VALUE"""),"chó")</f>
        <v>chó</v>
      </c>
      <c r="E4549" s="119" t="str">
        <f>IFERROR(__xludf.DUMMYFUNCTION("""COMPUTED_VALUE"""),"chó")</f>
        <v>chó</v>
      </c>
    </row>
    <row r="4550" ht="15.75" customHeight="1">
      <c r="A4550" s="122" t="str">
        <f>IFERROR(__xludf.DUMMYFUNCTION("""COMPUTED_VALUE"""),"0948 100 075")</f>
        <v>0948 100 075</v>
      </c>
      <c r="B4550" s="119" t="str">
        <f>IFERROR(__xludf.DUMMYFUNCTION("""COMPUTED_VALUE"""),"em Thanh")</f>
        <v>em Thanh</v>
      </c>
      <c r="C4550" s="119" t="str">
        <f>IFERROR(__xludf.DUMMYFUNCTION("""COMPUTED_VALUE"""),"Phú Gia Phú Vang")</f>
        <v>Phú Gia Phú Vang</v>
      </c>
      <c r="D4550" s="119" t="str">
        <f>IFERROR(__xludf.DUMMYFUNCTION("""COMPUTED_VALUE"""),"mèo")</f>
        <v>mèo</v>
      </c>
      <c r="E4550" s="119"/>
    </row>
    <row r="4551" ht="15.75" customHeight="1">
      <c r="A4551" s="122" t="str">
        <f>IFERROR(__xludf.DUMMYFUNCTION("""COMPUTED_VALUE"""),"0914 002 427")</f>
        <v>0914 002 427</v>
      </c>
      <c r="B4551" s="119" t="str">
        <f>IFERROR(__xludf.DUMMYFUNCTION("""COMPUTED_VALUE"""),"Anh Hà Thanh")</f>
        <v>Anh Hà Thanh</v>
      </c>
      <c r="C4551" s="119" t="str">
        <f>IFERROR(__xludf.DUMMYFUNCTION("""COMPUTED_VALUE"""),"20 kiệt 77 Trần Thái Tông")</f>
        <v>20 kiệt 77 Trần Thái Tông</v>
      </c>
      <c r="D4551" s="119" t="str">
        <f>IFERROR(__xludf.DUMMYFUNCTION("""COMPUTED_VALUE"""),"Chó")</f>
        <v>Chó</v>
      </c>
      <c r="E4551" s="119" t="str">
        <f>IFERROR(__xludf.DUMMYFUNCTION("""COMPUTED_VALUE"""),"Nem")</f>
        <v>Nem</v>
      </c>
    </row>
    <row r="4552" ht="15.75" customHeight="1">
      <c r="A4552" s="122" t="str">
        <f>IFERROR(__xludf.DUMMYFUNCTION("""COMPUTED_VALUE"""),"0915 573 359")</f>
        <v>0915 573 359</v>
      </c>
      <c r="B4552" s="119" t="str">
        <f>IFERROR(__xludf.DUMMYFUNCTION("""COMPUTED_VALUE"""),"Chị Yến")</f>
        <v>Chị Yến</v>
      </c>
      <c r="C4552" s="119" t="str">
        <f>IFERROR(__xludf.DUMMYFUNCTION("""COMPUTED_VALUE"""),"44 hai Bà Trưng")</f>
        <v>44 hai Bà Trưng</v>
      </c>
      <c r="D4552" s="119" t="str">
        <f>IFERROR(__xludf.DUMMYFUNCTION("""COMPUTED_VALUE"""),"mèo")</f>
        <v>mèo</v>
      </c>
      <c r="E4552" s="119" t="str">
        <f>IFERROR(__xludf.DUMMYFUNCTION("""COMPUTED_VALUE"""),"Mun")</f>
        <v>Mun</v>
      </c>
    </row>
    <row r="4553" ht="15.75" customHeight="1">
      <c r="A4553" s="122" t="str">
        <f>IFERROR(__xludf.DUMMYFUNCTION("""COMPUTED_VALUE"""),"0774 666 864")</f>
        <v>0774 666 864</v>
      </c>
      <c r="B4553" s="119" t="str">
        <f>IFERROR(__xludf.DUMMYFUNCTION("""COMPUTED_VALUE"""),"Chị Hằng")</f>
        <v>Chị Hằng</v>
      </c>
      <c r="C4553" s="119" t="str">
        <f>IFERROR(__xludf.DUMMYFUNCTION("""COMPUTED_VALUE"""),"31 Nguyễn Thái Học")</f>
        <v>31 Nguyễn Thái Học</v>
      </c>
      <c r="D4553" s="119" t="str">
        <f>IFERROR(__xludf.DUMMYFUNCTION("""COMPUTED_VALUE"""),"Chó")</f>
        <v>Chó</v>
      </c>
      <c r="E4553" s="119" t="str">
        <f>IFERROR(__xludf.DUMMYFUNCTION("""COMPUTED_VALUE"""),"Boss")</f>
        <v>Boss</v>
      </c>
    </row>
    <row r="4554" ht="15.75" customHeight="1">
      <c r="A4554" s="122" t="str">
        <f>IFERROR(__xludf.DUMMYFUNCTION("""COMPUTED_VALUE"""),"0387 390 464")</f>
        <v>0387 390 464</v>
      </c>
      <c r="B4554" s="119" t="str">
        <f>IFERROR(__xludf.DUMMYFUNCTION("""COMPUTED_VALUE"""),"Em Quỳnh")</f>
        <v>Em Quỳnh</v>
      </c>
      <c r="C4554" s="119" t="str">
        <f>IFERROR(__xludf.DUMMYFUNCTION("""COMPUTED_VALUE"""),"Triều Sơn Đông")</f>
        <v>Triều Sơn Đông</v>
      </c>
      <c r="D4554" s="119" t="str">
        <f>IFERROR(__xludf.DUMMYFUNCTION("""COMPUTED_VALUE"""),"chó")</f>
        <v>chó</v>
      </c>
      <c r="E4554" s="119" t="str">
        <f>IFERROR(__xludf.DUMMYFUNCTION("""COMPUTED_VALUE"""),"Tuyết")</f>
        <v>Tuyết</v>
      </c>
    </row>
    <row r="4555" ht="15.75" customHeight="1">
      <c r="A4555" s="122" t="str">
        <f>IFERROR(__xludf.DUMMYFUNCTION("""COMPUTED_VALUE"""),"0914 061 436")</f>
        <v>0914 061 436</v>
      </c>
      <c r="B4555" s="119" t="str">
        <f>IFERROR(__xludf.DUMMYFUNCTION("""COMPUTED_VALUE"""),"Dì Thái Uyên")</f>
        <v>Dì Thái Uyên</v>
      </c>
      <c r="C4555" s="119" t="str">
        <f>IFERROR(__xludf.DUMMYFUNCTION("""COMPUTED_VALUE"""),"13/66 Xuân Diệu")</f>
        <v>13/66 Xuân Diệu</v>
      </c>
      <c r="D4555" s="119" t="str">
        <f>IFERROR(__xludf.DUMMYFUNCTION("""COMPUTED_VALUE"""),"mèo")</f>
        <v>mèo</v>
      </c>
      <c r="E4555" s="119" t="str">
        <f>IFERROR(__xludf.DUMMYFUNCTION("""COMPUTED_VALUE""")," Bông")</f>
        <v> Bông</v>
      </c>
    </row>
    <row r="4556" ht="15.75" customHeight="1">
      <c r="A4556" s="122" t="str">
        <f>IFERROR(__xludf.DUMMYFUNCTION("""COMPUTED_VALUE"""),"0901 435 559")</f>
        <v>0901 435 559</v>
      </c>
      <c r="B4556" s="119" t="str">
        <f>IFERROR(__xludf.DUMMYFUNCTION("""COMPUTED_VALUE"""),"Anh Bình")</f>
        <v>Anh Bình</v>
      </c>
      <c r="C4556" s="119" t="str">
        <f>IFERROR(__xludf.DUMMYFUNCTION("""COMPUTED_VALUE"""),"24 A/16 Duy Tân")</f>
        <v>24 A/16 Duy Tân</v>
      </c>
      <c r="D4556" s="119" t="str">
        <f>IFERROR(__xludf.DUMMYFUNCTION("""COMPUTED_VALUE"""),"chó")</f>
        <v>chó</v>
      </c>
      <c r="E4556" s="119" t="str">
        <f>IFERROR(__xludf.DUMMYFUNCTION("""COMPUTED_VALUE"""),"Sim")</f>
        <v>Sim</v>
      </c>
    </row>
    <row r="4557" ht="15.75" customHeight="1">
      <c r="A4557" s="122" t="str">
        <f>IFERROR(__xludf.DUMMYFUNCTION("""COMPUTED_VALUE"""),"0385 389 989")</f>
        <v>0385 389 989</v>
      </c>
      <c r="B4557" s="119" t="str">
        <f>IFERROR(__xludf.DUMMYFUNCTION("""COMPUTED_VALUE"""),"Anh Thành")</f>
        <v>Anh Thành</v>
      </c>
      <c r="C4557" s="119" t="str">
        <f>IFERROR(__xludf.DUMMYFUNCTION("""COMPUTED_VALUE"""),"60 Tam Thai")</f>
        <v>60 Tam Thai</v>
      </c>
      <c r="D4557" s="119" t="str">
        <f>IFERROR(__xludf.DUMMYFUNCTION("""COMPUTED_VALUE"""),"mèo")</f>
        <v>mèo</v>
      </c>
      <c r="E4557" s="119" t="str">
        <f>IFERROR(__xludf.DUMMYFUNCTION("""COMPUTED_VALUE""")," Meo")</f>
        <v> Meo</v>
      </c>
    </row>
    <row r="4558" ht="15.75" customHeight="1">
      <c r="A4558" s="122" t="str">
        <f>IFERROR(__xludf.DUMMYFUNCTION("""COMPUTED_VALUE"""),"0961 337 094")</f>
        <v>0961 337 094</v>
      </c>
      <c r="B4558" s="119" t="str">
        <f>IFERROR(__xludf.DUMMYFUNCTION("""COMPUTED_VALUE"""),"Chị Thi")</f>
        <v>Chị Thi</v>
      </c>
      <c r="C4558" s="119" t="str">
        <f>IFERROR(__xludf.DUMMYFUNCTION("""COMPUTED_VALUE"""),"CD15 Nguyễn Hữu Cảnh")</f>
        <v>CD15 Nguyễn Hữu Cảnh</v>
      </c>
      <c r="D4558" s="119" t="str">
        <f>IFERROR(__xludf.DUMMYFUNCTION("""COMPUTED_VALUE"""),"chó")</f>
        <v>chó</v>
      </c>
      <c r="E4558" s="119" t="str">
        <f>IFERROR(__xludf.DUMMYFUNCTION("""COMPUTED_VALUE""")," Bò")</f>
        <v> Bò</v>
      </c>
    </row>
    <row r="4559" ht="15.75" customHeight="1">
      <c r="A4559" s="122" t="str">
        <f>IFERROR(__xludf.DUMMYFUNCTION("""COMPUTED_VALUE"""),"0382 157 162")</f>
        <v>0382 157 162</v>
      </c>
      <c r="B4559" s="119" t="str">
        <f>IFERROR(__xludf.DUMMYFUNCTION("""COMPUTED_VALUE"""),"Chị Hiền")</f>
        <v>Chị Hiền</v>
      </c>
      <c r="C4559" s="119" t="str">
        <f>IFERROR(__xludf.DUMMYFUNCTION("""COMPUTED_VALUE"""),"246 Hùng Vương")</f>
        <v>246 Hùng Vương</v>
      </c>
      <c r="D4559" s="119" t="str">
        <f>IFERROR(__xludf.DUMMYFUNCTION("""COMPUTED_VALUE"""),"chó")</f>
        <v>chó</v>
      </c>
      <c r="E4559" s="119" t="str">
        <f>IFERROR(__xludf.DUMMYFUNCTION("""COMPUTED_VALUE"""),"Nâu")</f>
        <v>Nâu</v>
      </c>
    </row>
    <row r="4560" ht="15.75" customHeight="1">
      <c r="A4560" s="122" t="str">
        <f>IFERROR(__xludf.DUMMYFUNCTION("""COMPUTED_VALUE"""),"0342 753 225")</f>
        <v>0342 753 225</v>
      </c>
      <c r="B4560" s="119" t="str">
        <f>IFERROR(__xludf.DUMMYFUNCTION("""COMPUTED_VALUE"""),"Em Nghĩa")</f>
        <v>Em Nghĩa</v>
      </c>
      <c r="C4560" s="119" t="str">
        <f>IFERROR(__xludf.DUMMYFUNCTION("""COMPUTED_VALUE"""),"134 Nguyễn lộ Trạch")</f>
        <v>134 Nguyễn lộ Trạch</v>
      </c>
      <c r="D4560" s="119" t="str">
        <f>IFERROR(__xludf.DUMMYFUNCTION("""COMPUTED_VALUE"""),"chó")</f>
        <v>chó</v>
      </c>
      <c r="E4560" s="119" t="str">
        <f>IFERROR(__xludf.DUMMYFUNCTION("""COMPUTED_VALUE"""),"Lu")</f>
        <v>Lu</v>
      </c>
    </row>
    <row r="4561" ht="15.75" customHeight="1">
      <c r="A4561" s="122" t="str">
        <f>IFERROR(__xludf.DUMMYFUNCTION("""COMPUTED_VALUE"""),"0356 648 333")</f>
        <v>0356 648 333</v>
      </c>
      <c r="B4561" s="119" t="str">
        <f>IFERROR(__xludf.DUMMYFUNCTION("""COMPUTED_VALUE"""),"Chú Đông")</f>
        <v>Chú Đông</v>
      </c>
      <c r="C4561" s="119" t="str">
        <f>IFERROR(__xludf.DUMMYFUNCTION("""COMPUTED_VALUE"""),"25 Lưu Hữu Phước")</f>
        <v>25 Lưu Hữu Phước</v>
      </c>
      <c r="D4561" s="119" t="str">
        <f>IFERROR(__xludf.DUMMYFUNCTION("""COMPUTED_VALUE"""),"chó")</f>
        <v>chó</v>
      </c>
      <c r="E4561" s="119" t="str">
        <f>IFERROR(__xludf.DUMMYFUNCTION("""COMPUTED_VALUE"""),"Sữa")</f>
        <v>Sữa</v>
      </c>
    </row>
    <row r="4562" ht="15.75" customHeight="1">
      <c r="A4562" s="122" t="str">
        <f>IFERROR(__xludf.DUMMYFUNCTION("""COMPUTED_VALUE"""),"0387 066 504")</f>
        <v>0387 066 504</v>
      </c>
      <c r="B4562" s="119" t="str">
        <f>IFERROR(__xludf.DUMMYFUNCTION("""COMPUTED_VALUE"""),"Anh Bình")</f>
        <v>Anh Bình</v>
      </c>
      <c r="C4562" s="119" t="str">
        <f>IFERROR(__xludf.DUMMYFUNCTION("""COMPUTED_VALUE"""),"30/50 Dương Thiệu Tước")</f>
        <v>30/50 Dương Thiệu Tước</v>
      </c>
      <c r="D4562" s="119" t="str">
        <f>IFERROR(__xludf.DUMMYFUNCTION("""COMPUTED_VALUE"""),"mèo")</f>
        <v>mèo</v>
      </c>
      <c r="E4562" s="119" t="str">
        <f>IFERROR(__xludf.DUMMYFUNCTION("""COMPUTED_VALUE"""),"Lyna")</f>
        <v>Lyna</v>
      </c>
    </row>
    <row r="4563" ht="15.75" customHeight="1">
      <c r="A4563" s="122" t="str">
        <f>IFERROR(__xludf.DUMMYFUNCTION("""COMPUTED_VALUE"""),"0886 797 575")</f>
        <v>0886 797 575</v>
      </c>
      <c r="B4563" s="119" t="str">
        <f>IFERROR(__xludf.DUMMYFUNCTION("""COMPUTED_VALUE"""),"Anh Hùng")</f>
        <v>Anh Hùng</v>
      </c>
      <c r="C4563" s="119" t="str">
        <f>IFERROR(__xludf.DUMMYFUNCTION("""COMPUTED_VALUE"""),"19/94 dương Văn An")</f>
        <v>19/94 dương Văn An</v>
      </c>
      <c r="D4563" s="119" t="str">
        <f>IFERROR(__xludf.DUMMYFUNCTION("""COMPUTED_VALUE"""),"Chó")</f>
        <v>Chó</v>
      </c>
      <c r="E4563" s="119" t="str">
        <f>IFERROR(__xludf.DUMMYFUNCTION("""COMPUTED_VALUE"""),"Hugo")</f>
        <v>Hugo</v>
      </c>
    </row>
    <row r="4564" ht="15.75" customHeight="1">
      <c r="A4564" s="122" t="str">
        <f>IFERROR(__xludf.DUMMYFUNCTION("""COMPUTED_VALUE"""),"0935 847 619")</f>
        <v>0935 847 619</v>
      </c>
      <c r="B4564" s="119" t="str">
        <f>IFERROR(__xludf.DUMMYFUNCTION("""COMPUTED_VALUE"""),"Lê Công Nam Anh")</f>
        <v>Lê Công Nam Anh</v>
      </c>
      <c r="C4564" s="119" t="str">
        <f>IFERROR(__xludf.DUMMYFUNCTION("""COMPUTED_VALUE"""),"146 Kim Long")</f>
        <v>146 Kim Long</v>
      </c>
      <c r="D4564" s="119" t="str">
        <f>IFERROR(__xludf.DUMMYFUNCTION("""COMPUTED_VALUE"""),"Chó")</f>
        <v>Chó</v>
      </c>
      <c r="E4564" s="119" t="str">
        <f>IFERROR(__xludf.DUMMYFUNCTION("""COMPUTED_VALUE"""),"Chó")</f>
        <v>Chó</v>
      </c>
    </row>
    <row r="4565" ht="15.75" customHeight="1">
      <c r="A4565" s="122" t="str">
        <f>IFERROR(__xludf.DUMMYFUNCTION("""COMPUTED_VALUE"""),"0905 336 053")</f>
        <v>0905 336 053</v>
      </c>
      <c r="B4565" s="119" t="str">
        <f>IFERROR(__xludf.DUMMYFUNCTION("""COMPUTED_VALUE"""),"Anh Nguyên Anh")</f>
        <v>Anh Nguyên Anh</v>
      </c>
      <c r="C4565" s="119" t="str">
        <f>IFERROR(__xludf.DUMMYFUNCTION("""COMPUTED_VALUE"""),"29/131 Trần Phú")</f>
        <v>29/131 Trần Phú</v>
      </c>
      <c r="D4565" s="119" t="str">
        <f>IFERROR(__xludf.DUMMYFUNCTION("""COMPUTED_VALUE"""),"chó")</f>
        <v>chó</v>
      </c>
      <c r="E4565" s="119" t="str">
        <f>IFERROR(__xludf.DUMMYFUNCTION("""COMPUTED_VALUE"""),"Bơ")</f>
        <v>Bơ</v>
      </c>
    </row>
    <row r="4566" ht="15.75" customHeight="1">
      <c r="A4566" s="122" t="str">
        <f>IFERROR(__xludf.DUMMYFUNCTION("""COMPUTED_VALUE"""),"0762 676 456")</f>
        <v>0762 676 456</v>
      </c>
      <c r="B4566" s="119" t="str">
        <f>IFERROR(__xludf.DUMMYFUNCTION("""COMPUTED_VALUE"""),"Em Duy Phước")</f>
        <v>Em Duy Phước</v>
      </c>
      <c r="C4566" s="119" t="str">
        <f>IFERROR(__xludf.DUMMYFUNCTION("""COMPUTED_VALUE"""),"Lô D65 Bầu Vá 3")</f>
        <v>Lô D65 Bầu Vá 3</v>
      </c>
      <c r="D4566" s="119" t="str">
        <f>IFERROR(__xludf.DUMMYFUNCTION("""COMPUTED_VALUE"""),"chó")</f>
        <v>chó</v>
      </c>
      <c r="E4566" s="119" t="str">
        <f>IFERROR(__xludf.DUMMYFUNCTION("""COMPUTED_VALUE""")," Mun")</f>
        <v> Mun</v>
      </c>
    </row>
    <row r="4567" ht="15.75" customHeight="1">
      <c r="A4567" s="122" t="str">
        <f>IFERROR(__xludf.DUMMYFUNCTION("""COMPUTED_VALUE"""),"0917 886 642")</f>
        <v>0917 886 642</v>
      </c>
      <c r="B4567" s="119" t="str">
        <f>IFERROR(__xludf.DUMMYFUNCTION("""COMPUTED_VALUE"""),"Em Bích Phương")</f>
        <v>Em Bích Phương</v>
      </c>
      <c r="C4567" s="119" t="str">
        <f>IFERROR(__xludf.DUMMYFUNCTION("""COMPUTED_VALUE"""),"37/5/6 Xuân Diệu")</f>
        <v>37/5/6 Xuân Diệu</v>
      </c>
      <c r="D4567" s="119" t="str">
        <f>IFERROR(__xludf.DUMMYFUNCTION("""COMPUTED_VALUE"""),"mèo")</f>
        <v>mèo</v>
      </c>
      <c r="E4567" s="119" t="str">
        <f>IFERROR(__xludf.DUMMYFUNCTION("""COMPUTED_VALUE""")," Miu Miu")</f>
        <v> Miu Miu</v>
      </c>
    </row>
    <row r="4568" ht="15.75" customHeight="1">
      <c r="A4568" s="122" t="str">
        <f>IFERROR(__xludf.DUMMYFUNCTION("""COMPUTED_VALUE"""),"0979 658 925")</f>
        <v>0979 658 925</v>
      </c>
      <c r="B4568" s="119"/>
      <c r="C4568" s="119" t="str">
        <f>IFERROR(__xludf.DUMMYFUNCTION("""COMPUTED_VALUE"""),"Chùa huyền Không sơn Thượng")</f>
        <v>Chùa huyền Không sơn Thượng</v>
      </c>
      <c r="D4568" s="119" t="str">
        <f>IFERROR(__xludf.DUMMYFUNCTION("""COMPUTED_VALUE"""),"Chó")</f>
        <v>Chó</v>
      </c>
      <c r="E4568" s="119"/>
    </row>
    <row r="4569" ht="15.75" customHeight="1">
      <c r="A4569" s="122" t="str">
        <f>IFERROR(__xludf.DUMMYFUNCTION("""COMPUTED_VALUE"""),"0388 227 371")</f>
        <v>0388 227 371</v>
      </c>
      <c r="B4569" s="119" t="str">
        <f>IFERROR(__xludf.DUMMYFUNCTION("""COMPUTED_VALUE"""),"Duyên")</f>
        <v>Duyên</v>
      </c>
      <c r="C4569" s="119" t="str">
        <f>IFERROR(__xludf.DUMMYFUNCTION("""COMPUTED_VALUE"""),"4 Nhật Lệ")</f>
        <v>4 Nhật Lệ</v>
      </c>
      <c r="D4569" s="119" t="str">
        <f>IFERROR(__xludf.DUMMYFUNCTION("""COMPUTED_VALUE"""),"Chó")</f>
        <v>Chó</v>
      </c>
      <c r="E4569" s="119" t="str">
        <f>IFERROR(__xludf.DUMMYFUNCTION("""COMPUTED_VALUE"""),"Boy")</f>
        <v>Boy</v>
      </c>
    </row>
    <row r="4570" ht="15.75" customHeight="1">
      <c r="A4570" s="122" t="str">
        <f>IFERROR(__xludf.DUMMYFUNCTION("""COMPUTED_VALUE"""),"0376 864 405")</f>
        <v>0376 864 405</v>
      </c>
      <c r="B4570" s="119" t="str">
        <f>IFERROR(__xludf.DUMMYFUNCTION("""COMPUTED_VALUE"""),"Chị Dung")</f>
        <v>Chị Dung</v>
      </c>
      <c r="C4570" s="119" t="str">
        <f>IFERROR(__xludf.DUMMYFUNCTION("""COMPUTED_VALUE"""),"33/1 Nguyễn Hoàng")</f>
        <v>33/1 Nguyễn Hoàng</v>
      </c>
      <c r="D4570" s="119" t="str">
        <f>IFERROR(__xludf.DUMMYFUNCTION("""COMPUTED_VALUE"""),"Mèo")</f>
        <v>Mèo</v>
      </c>
      <c r="E4570" s="119" t="str">
        <f>IFERROR(__xludf.DUMMYFUNCTION("""COMPUTED_VALUE"""),"Châu")</f>
        <v>Châu</v>
      </c>
    </row>
    <row r="4571" ht="15.75" customHeight="1">
      <c r="A4571" s="122" t="str">
        <f>IFERROR(__xludf.DUMMYFUNCTION("""COMPUTED_VALUE"""),"0965 376 708")</f>
        <v>0965 376 708</v>
      </c>
      <c r="B4571" s="119" t="str">
        <f>IFERROR(__xludf.DUMMYFUNCTION("""COMPUTED_VALUE"""),"Hằng")</f>
        <v>Hằng</v>
      </c>
      <c r="C4571" s="119" t="str">
        <f>IFERROR(__xludf.DUMMYFUNCTION("""COMPUTED_VALUE"""),"12/30/3 Vạn Xuân")</f>
        <v>12/30/3 Vạn Xuân</v>
      </c>
      <c r="D4571" s="119" t="str">
        <f>IFERROR(__xludf.DUMMYFUNCTION("""COMPUTED_VALUE"""),"Mèo")</f>
        <v>Mèo</v>
      </c>
      <c r="E4571" s="119"/>
    </row>
    <row r="4572" ht="15.75" customHeight="1">
      <c r="A4572" s="122" t="str">
        <f>IFERROR(__xludf.DUMMYFUNCTION("""COMPUTED_VALUE"""),"0905 564 344")</f>
        <v>0905 564 344</v>
      </c>
      <c r="B4572" s="119" t="str">
        <f>IFERROR(__xludf.DUMMYFUNCTION("""COMPUTED_VALUE"""),"Chị Ánh")</f>
        <v>Chị Ánh</v>
      </c>
      <c r="C4572" s="119" t="str">
        <f>IFERROR(__xludf.DUMMYFUNCTION("""COMPUTED_VALUE"""),"15h/15 Hoàng Quốc Việt")</f>
        <v>15h/15 Hoàng Quốc Việt</v>
      </c>
      <c r="D4572" s="119" t="str">
        <f>IFERROR(__xludf.DUMMYFUNCTION("""COMPUTED_VALUE"""),"Chó")</f>
        <v>Chó</v>
      </c>
      <c r="E4572" s="119"/>
    </row>
    <row r="4573" ht="15.75" customHeight="1">
      <c r="A4573" s="122" t="str">
        <f>IFERROR(__xludf.DUMMYFUNCTION("""COMPUTED_VALUE"""),"0932 222 852")</f>
        <v>0932 222 852</v>
      </c>
      <c r="B4573" s="119" t="str">
        <f>IFERROR(__xludf.DUMMYFUNCTION("""COMPUTED_VALUE"""),"Chị Thủy")</f>
        <v>Chị Thủy</v>
      </c>
      <c r="C4573" s="119" t="str">
        <f>IFERROR(__xludf.DUMMYFUNCTION("""COMPUTED_VALUE"""),"153 Phan Bội Châu")</f>
        <v>153 Phan Bội Châu</v>
      </c>
      <c r="D4573" s="119" t="str">
        <f>IFERROR(__xludf.DUMMYFUNCTION("""COMPUTED_VALUE"""),"Chó")</f>
        <v>Chó</v>
      </c>
      <c r="E4573" s="119" t="str">
        <f>IFERROR(__xludf.DUMMYFUNCTION("""COMPUTED_VALUE"""),"Sam sam")</f>
        <v>Sam sam</v>
      </c>
    </row>
    <row r="4574" ht="15.75" customHeight="1">
      <c r="A4574" s="122" t="str">
        <f>IFERROR(__xludf.DUMMYFUNCTION("""COMPUTED_VALUE"""),"0932 427 363")</f>
        <v>0932 427 363</v>
      </c>
      <c r="B4574" s="119" t="str">
        <f>IFERROR(__xludf.DUMMYFUNCTION("""COMPUTED_VALUE"""),"Thầy Pháp Ngự")</f>
        <v>Thầy Pháp Ngự</v>
      </c>
      <c r="C4574" s="119" t="str">
        <f>IFERROR(__xludf.DUMMYFUNCTION("""COMPUTED_VALUE"""),"chùa Từ Hiếu")</f>
        <v>chùa Từ Hiếu</v>
      </c>
      <c r="D4574" s="119" t="str">
        <f>IFERROR(__xludf.DUMMYFUNCTION("""COMPUTED_VALUE"""),"chó")</f>
        <v>chó</v>
      </c>
      <c r="E4574" s="119"/>
    </row>
    <row r="4575" ht="15.75" customHeight="1">
      <c r="A4575" s="122" t="str">
        <f>IFERROR(__xludf.DUMMYFUNCTION("""COMPUTED_VALUE"""),"0935 153 438")</f>
        <v>0935 153 438</v>
      </c>
      <c r="B4575" s="119" t="str">
        <f>IFERROR(__xludf.DUMMYFUNCTION("""COMPUTED_VALUE"""),"Anh Điệp")</f>
        <v>Anh Điệp</v>
      </c>
      <c r="C4575" s="119" t="str">
        <f>IFERROR(__xludf.DUMMYFUNCTION("""COMPUTED_VALUE"""),"2/50 Nguyễn Cư Trinh")</f>
        <v>2/50 Nguyễn Cư Trinh</v>
      </c>
      <c r="D4575" s="119" t="str">
        <f>IFERROR(__xludf.DUMMYFUNCTION("""COMPUTED_VALUE"""),"mèo")</f>
        <v>mèo</v>
      </c>
      <c r="E4575" s="119" t="str">
        <f>IFERROR(__xludf.DUMMYFUNCTION("""COMPUTED_VALUE"""),"Mập")</f>
        <v>Mập</v>
      </c>
    </row>
    <row r="4576" ht="15.75" customHeight="1">
      <c r="A4576" s="122" t="str">
        <f>IFERROR(__xludf.DUMMYFUNCTION("""COMPUTED_VALUE"""),"0777 432 657")</f>
        <v>0777 432 657</v>
      </c>
      <c r="B4576" s="119" t="str">
        <f>IFERROR(__xludf.DUMMYFUNCTION("""COMPUTED_VALUE"""),"Anh phong")</f>
        <v>Anh phong</v>
      </c>
      <c r="C4576" s="119" t="str">
        <f>IFERROR(__xludf.DUMMYFUNCTION("""COMPUTED_VALUE"""),"09/130 Trần Phú")</f>
        <v>09/130 Trần Phú</v>
      </c>
      <c r="D4576" s="119" t="str">
        <f>IFERROR(__xludf.DUMMYFUNCTION("""COMPUTED_VALUE"""),"mèo")</f>
        <v>mèo</v>
      </c>
      <c r="E4576" s="119" t="str">
        <f>IFERROR(__xludf.DUMMYFUNCTION("""COMPUTED_VALUE"""),"lạc")</f>
        <v>lạc</v>
      </c>
    </row>
    <row r="4577" ht="15.75" customHeight="1">
      <c r="A4577" s="122" t="str">
        <f>IFERROR(__xludf.DUMMYFUNCTION("""COMPUTED_VALUE"""),"0783 308 051")</f>
        <v>0783 308 051</v>
      </c>
      <c r="B4577" s="119" t="str">
        <f>IFERROR(__xludf.DUMMYFUNCTION("""COMPUTED_VALUE"""),"Võ Đình mẫn")</f>
        <v>Võ Đình mẫn</v>
      </c>
      <c r="C4577" s="119" t="str">
        <f>IFERROR(__xludf.DUMMYFUNCTION("""COMPUTED_VALUE"""),"32/6/103 Thiên Thai")</f>
        <v>32/6/103 Thiên Thai</v>
      </c>
      <c r="D4577" s="119" t="str">
        <f>IFERROR(__xludf.DUMMYFUNCTION("""COMPUTED_VALUE"""),"Chó")</f>
        <v>Chó</v>
      </c>
      <c r="E4577" s="119" t="str">
        <f>IFERROR(__xludf.DUMMYFUNCTION("""COMPUTED_VALUE"""),"Xù")</f>
        <v>Xù</v>
      </c>
    </row>
    <row r="4578" ht="15.75" customHeight="1">
      <c r="A4578" s="122" t="str">
        <f>IFERROR(__xludf.DUMMYFUNCTION("""COMPUTED_VALUE"""),"0936 473 627")</f>
        <v>0936 473 627</v>
      </c>
      <c r="B4578" s="119" t="str">
        <f>IFERROR(__xludf.DUMMYFUNCTION("""COMPUTED_VALUE"""),"Chị nhi")</f>
        <v>Chị nhi</v>
      </c>
      <c r="C4578" s="119" t="str">
        <f>IFERROR(__xludf.DUMMYFUNCTION("""COMPUTED_VALUE"""),"22/38 Lê Thánh Tôn")</f>
        <v>22/38 Lê Thánh Tôn</v>
      </c>
      <c r="D4578" s="119" t="str">
        <f>IFERROR(__xludf.DUMMYFUNCTION("""COMPUTED_VALUE"""),"Mèo")</f>
        <v>Mèo</v>
      </c>
      <c r="E4578" s="119"/>
    </row>
    <row r="4579" ht="15.75" customHeight="1">
      <c r="A4579" s="122" t="str">
        <f>IFERROR(__xludf.DUMMYFUNCTION("""COMPUTED_VALUE"""),"0903 349 146")</f>
        <v>0903 349 146</v>
      </c>
      <c r="B4579" s="119" t="str">
        <f>IFERROR(__xludf.DUMMYFUNCTION("""COMPUTED_VALUE"""),"Huỳnh Công hòa")</f>
        <v>Huỳnh Công hòa</v>
      </c>
      <c r="C4579" s="119" t="str">
        <f>IFERROR(__xludf.DUMMYFUNCTION("""COMPUTED_VALUE"""),"Thủy Xuân")</f>
        <v>Thủy Xuân</v>
      </c>
      <c r="D4579" s="119" t="str">
        <f>IFERROR(__xludf.DUMMYFUNCTION("""COMPUTED_VALUE"""),"Chó")</f>
        <v>Chó</v>
      </c>
      <c r="E4579" s="119" t="str">
        <f>IFERROR(__xludf.DUMMYFUNCTION("""COMPUTED_VALUE"""),"Nick")</f>
        <v>Nick</v>
      </c>
    </row>
    <row r="4580" ht="15.75" customHeight="1">
      <c r="A4580" s="122" t="str">
        <f>IFERROR(__xludf.DUMMYFUNCTION("""COMPUTED_VALUE"""),"0905 831 999")</f>
        <v>0905 831 999</v>
      </c>
      <c r="B4580" s="119" t="str">
        <f>IFERROR(__xludf.DUMMYFUNCTION("""COMPUTED_VALUE"""),"Ngọc")</f>
        <v>Ngọc</v>
      </c>
      <c r="C4580" s="119" t="str">
        <f>IFERROR(__xludf.DUMMYFUNCTION("""COMPUTED_VALUE"""),"36 Ngô Gia Tự")</f>
        <v>36 Ngô Gia Tự</v>
      </c>
      <c r="D4580" s="119" t="str">
        <f>IFERROR(__xludf.DUMMYFUNCTION("""COMPUTED_VALUE"""),"Mèo")</f>
        <v>Mèo</v>
      </c>
      <c r="E4580" s="119" t="str">
        <f>IFERROR(__xludf.DUMMYFUNCTION("""COMPUTED_VALUE"""),"Vàng")</f>
        <v>Vàng</v>
      </c>
    </row>
    <row r="4581" ht="15.75" customHeight="1">
      <c r="A4581" s="122" t="str">
        <f>IFERROR(__xludf.DUMMYFUNCTION("""COMPUTED_VALUE"""),"0932 546 420")</f>
        <v>0932 546 420</v>
      </c>
      <c r="B4581" s="119" t="str">
        <f>IFERROR(__xludf.DUMMYFUNCTION("""COMPUTED_VALUE"""),"Thiên Long")</f>
        <v>Thiên Long</v>
      </c>
      <c r="C4581" s="119" t="str">
        <f>IFERROR(__xludf.DUMMYFUNCTION("""COMPUTED_VALUE"""),"31 Phạm Thị Liên")</f>
        <v>31 Phạm Thị Liên</v>
      </c>
      <c r="D4581" s="119" t="str">
        <f>IFERROR(__xludf.DUMMYFUNCTION("""COMPUTED_VALUE"""),"Chó")</f>
        <v>Chó</v>
      </c>
      <c r="E4581" s="119"/>
    </row>
    <row r="4582" ht="15.75" customHeight="1">
      <c r="A4582" s="122" t="str">
        <f>IFERROR(__xludf.DUMMYFUNCTION("""COMPUTED_VALUE"""),"0906 498 110")</f>
        <v>0906 498 110</v>
      </c>
      <c r="B4582" s="119" t="str">
        <f>IFERROR(__xludf.DUMMYFUNCTION("""COMPUTED_VALUE"""),"Chị Thư")</f>
        <v>Chị Thư</v>
      </c>
      <c r="C4582" s="119" t="str">
        <f>IFERROR(__xludf.DUMMYFUNCTION("""COMPUTED_VALUE"""),"Hương Long")</f>
        <v>Hương Long</v>
      </c>
      <c r="D4582" s="119" t="str">
        <f>IFERROR(__xludf.DUMMYFUNCTION("""COMPUTED_VALUE"""),"Chó")</f>
        <v>Chó</v>
      </c>
      <c r="E4582" s="119" t="str">
        <f>IFERROR(__xludf.DUMMYFUNCTION("""COMPUTED_VALUE"""),"BƠ")</f>
        <v>BƠ</v>
      </c>
    </row>
    <row r="4583" ht="15.75" customHeight="1">
      <c r="A4583" s="122" t="str">
        <f>IFERROR(__xludf.DUMMYFUNCTION("""COMPUTED_VALUE"""),"0912 515 215")</f>
        <v>0912 515 215</v>
      </c>
      <c r="B4583" s="119" t="str">
        <f>IFERROR(__xludf.DUMMYFUNCTION("""COMPUTED_VALUE"""),"Anh Khôi")</f>
        <v>Anh Khôi</v>
      </c>
      <c r="C4583" s="119" t="str">
        <f>IFERROR(__xludf.DUMMYFUNCTION("""COMPUTED_VALUE"""),"14 Sư vạn Hạnh")</f>
        <v>14 Sư vạn Hạnh</v>
      </c>
      <c r="D4583" s="119" t="str">
        <f>IFERROR(__xludf.DUMMYFUNCTION("""COMPUTED_VALUE"""),"chó")</f>
        <v>chó</v>
      </c>
      <c r="E4583" s="119" t="str">
        <f>IFERROR(__xludf.DUMMYFUNCTION("""COMPUTED_VALUE"""),"bin")</f>
        <v>bin</v>
      </c>
    </row>
    <row r="4584" ht="15.75" customHeight="1">
      <c r="A4584" s="122" t="str">
        <f>IFERROR(__xludf.DUMMYFUNCTION("""COMPUTED_VALUE"""),"0949 463 256")</f>
        <v>0949 463 256</v>
      </c>
      <c r="B4584" s="119" t="str">
        <f>IFERROR(__xludf.DUMMYFUNCTION("""COMPUTED_VALUE"""),"Tôn Nữ Hoàng Giang")</f>
        <v>Tôn Nữ Hoàng Giang</v>
      </c>
      <c r="C4584" s="119" t="str">
        <f>IFERROR(__xludf.DUMMYFUNCTION("""COMPUTED_VALUE"""),"50A Duy Tân")</f>
        <v>50A Duy Tân</v>
      </c>
      <c r="D4584" s="119" t="str">
        <f>IFERROR(__xludf.DUMMYFUNCTION("""COMPUTED_VALUE"""),"mèo")</f>
        <v>mèo</v>
      </c>
      <c r="E4584" s="119" t="str">
        <f>IFERROR(__xludf.DUMMYFUNCTION("""COMPUTED_VALUE"""),"Bơ")</f>
        <v>Bơ</v>
      </c>
    </row>
    <row r="4585" ht="15.75" customHeight="1">
      <c r="A4585" s="122" t="str">
        <f>IFERROR(__xludf.DUMMYFUNCTION("""COMPUTED_VALUE"""),"0762 756 669")</f>
        <v>0762 756 669</v>
      </c>
      <c r="B4585" s="119" t="str">
        <f>IFERROR(__xludf.DUMMYFUNCTION("""COMPUTED_VALUE"""),"Dì Kim ")</f>
        <v>Dì Kim </v>
      </c>
      <c r="C4585" s="119" t="str">
        <f>IFERROR(__xludf.DUMMYFUNCTION("""COMPUTED_VALUE"""),"17/15 Đống Đa")</f>
        <v>17/15 Đống Đa</v>
      </c>
      <c r="D4585" s="119" t="str">
        <f>IFERROR(__xludf.DUMMYFUNCTION("""COMPUTED_VALUE"""),"Chó")</f>
        <v>Chó</v>
      </c>
      <c r="E4585" s="119" t="str">
        <f>IFERROR(__xludf.DUMMYFUNCTION("""COMPUTED_VALUE"""),"Nâu")</f>
        <v>Nâu</v>
      </c>
    </row>
    <row r="4586" ht="15.75" customHeight="1">
      <c r="A4586" s="122" t="str">
        <f>IFERROR(__xludf.DUMMYFUNCTION("""COMPUTED_VALUE"""),"0971 747 327")</f>
        <v>0971 747 327</v>
      </c>
      <c r="B4586" s="119" t="str">
        <f>IFERROR(__xludf.DUMMYFUNCTION("""COMPUTED_VALUE"""),"Thảo Sương")</f>
        <v>Thảo Sương</v>
      </c>
      <c r="C4586" s="119" t="str">
        <f>IFERROR(__xludf.DUMMYFUNCTION("""COMPUTED_VALUE"""),"Thủy Bằng")</f>
        <v>Thủy Bằng</v>
      </c>
      <c r="D4586" s="119" t="str">
        <f>IFERROR(__xludf.DUMMYFUNCTION("""COMPUTED_VALUE"""),"Chó")</f>
        <v>Chó</v>
      </c>
      <c r="E4586" s="119"/>
    </row>
    <row r="4587" ht="15.75" customHeight="1">
      <c r="A4587" s="122" t="str">
        <f>IFERROR(__xludf.DUMMYFUNCTION("""COMPUTED_VALUE"""),"0935 503 570")</f>
        <v>0935 503 570</v>
      </c>
      <c r="B4587" s="119" t="str">
        <f>IFERROR(__xludf.DUMMYFUNCTION("""COMPUTED_VALUE"""),"Chị Tuyền")</f>
        <v>Chị Tuyền</v>
      </c>
      <c r="C4587" s="119" t="str">
        <f>IFERROR(__xludf.DUMMYFUNCTION("""COMPUTED_VALUE"""),"Vương Dương- Thủy Vân")</f>
        <v>Vương Dương- Thủy Vân</v>
      </c>
      <c r="D4587" s="119" t="str">
        <f>IFERROR(__xludf.DUMMYFUNCTION("""COMPUTED_VALUE"""),"Chó")</f>
        <v>Chó</v>
      </c>
      <c r="E4587" s="119" t="str">
        <f>IFERROR(__xludf.DUMMYFUNCTION("""COMPUTED_VALUE"""),"Đốm")</f>
        <v>Đốm</v>
      </c>
    </row>
    <row r="4588" ht="15.75" customHeight="1">
      <c r="A4588" s="122" t="str">
        <f>IFERROR(__xludf.DUMMYFUNCTION("""COMPUTED_VALUE"""),"0702 236 632")</f>
        <v>0702 236 632</v>
      </c>
      <c r="B4588" s="119" t="str">
        <f>IFERROR(__xludf.DUMMYFUNCTION("""COMPUTED_VALUE"""),"Chị Hằng")</f>
        <v>Chị Hằng</v>
      </c>
      <c r="C4588" s="119" t="str">
        <f>IFERROR(__xludf.DUMMYFUNCTION("""COMPUTED_VALUE"""),"8/2/17 Vạn Xuân")</f>
        <v>8/2/17 Vạn Xuân</v>
      </c>
      <c r="D4588" s="119" t="str">
        <f>IFERROR(__xludf.DUMMYFUNCTION("""COMPUTED_VALUE"""),"Chó")</f>
        <v>Chó</v>
      </c>
      <c r="E4588" s="119" t="str">
        <f>IFERROR(__xludf.DUMMYFUNCTION("""COMPUTED_VALUE"""),"Tốt")</f>
        <v>Tốt</v>
      </c>
    </row>
    <row r="4589" ht="15.75" customHeight="1">
      <c r="A4589" s="122" t="str">
        <f>IFERROR(__xludf.DUMMYFUNCTION("""COMPUTED_VALUE"""),"0987 327 723")</f>
        <v>0987 327 723</v>
      </c>
      <c r="B4589" s="119" t="str">
        <f>IFERROR(__xludf.DUMMYFUNCTION("""COMPUTED_VALUE"""),"anh Tuân")</f>
        <v>anh Tuân</v>
      </c>
      <c r="C4589" s="119" t="str">
        <f>IFERROR(__xludf.DUMMYFUNCTION("""COMPUTED_VALUE"""),"An Hoà")</f>
        <v>An Hoà</v>
      </c>
      <c r="D4589" s="119" t="str">
        <f>IFERROR(__xludf.DUMMYFUNCTION("""COMPUTED_VALUE"""),"Chó")</f>
        <v>Chó</v>
      </c>
      <c r="E4589" s="119" t="str">
        <f>IFERROR(__xludf.DUMMYFUNCTION("""COMPUTED_VALUE"""),"Lu")</f>
        <v>Lu</v>
      </c>
    </row>
    <row r="4590" ht="15.75" customHeight="1">
      <c r="A4590" s="122" t="str">
        <f>IFERROR(__xludf.DUMMYFUNCTION("""COMPUTED_VALUE"""),"0395 877 881")</f>
        <v>0395 877 881</v>
      </c>
      <c r="B4590" s="119" t="str">
        <f>IFERROR(__xludf.DUMMYFUNCTION("""COMPUTED_VALUE"""),"Anh Bảy")</f>
        <v>Anh Bảy</v>
      </c>
      <c r="C4590" s="119" t="str">
        <f>IFERROR(__xludf.DUMMYFUNCTION("""COMPUTED_VALUE"""),"8/4/5 Nguyễn Phúc Lan")</f>
        <v>8/4/5 Nguyễn Phúc Lan</v>
      </c>
      <c r="D4590" s="119" t="str">
        <f>IFERROR(__xludf.DUMMYFUNCTION("""COMPUTED_VALUE"""),"Chó")</f>
        <v>Chó</v>
      </c>
      <c r="E4590" s="119"/>
    </row>
    <row r="4591" ht="15.75" customHeight="1">
      <c r="A4591" s="122" t="str">
        <f>IFERROR(__xludf.DUMMYFUNCTION("""COMPUTED_VALUE"""),"0774 434 690")</f>
        <v>0774 434 690</v>
      </c>
      <c r="B4591" s="119" t="str">
        <f>IFERROR(__xludf.DUMMYFUNCTION("""COMPUTED_VALUE"""),"Minh Anh")</f>
        <v>Minh Anh</v>
      </c>
      <c r="C4591" s="119" t="str">
        <f>IFERROR(__xludf.DUMMYFUNCTION("""COMPUTED_VALUE"""),"37/79 Phạm Thị Liên")</f>
        <v>37/79 Phạm Thị Liên</v>
      </c>
      <c r="D4591" s="119" t="str">
        <f>IFERROR(__xludf.DUMMYFUNCTION("""COMPUTED_VALUE"""),"Chó")</f>
        <v>Chó</v>
      </c>
      <c r="E4591" s="119" t="str">
        <f>IFERROR(__xludf.DUMMYFUNCTION("""COMPUTED_VALUE"""),"Đen")</f>
        <v>Đen</v>
      </c>
    </row>
    <row r="4592" ht="15.75" customHeight="1">
      <c r="A4592" s="122" t="str">
        <f>IFERROR(__xludf.DUMMYFUNCTION("""COMPUTED_VALUE"""),"0584 157 223")</f>
        <v>0584 157 223</v>
      </c>
      <c r="B4592" s="119" t="str">
        <f>IFERROR(__xludf.DUMMYFUNCTION("""COMPUTED_VALUE"""),"Anh Kiệt")</f>
        <v>Anh Kiệt</v>
      </c>
      <c r="C4592" s="119" t="str">
        <f>IFERROR(__xludf.DUMMYFUNCTION("""COMPUTED_VALUE"""),"38 Trần Cao Vân")</f>
        <v>38 Trần Cao Vân</v>
      </c>
      <c r="D4592" s="119" t="str">
        <f>IFERROR(__xludf.DUMMYFUNCTION("""COMPUTED_VALUE"""),"Mèo")</f>
        <v>Mèo</v>
      </c>
      <c r="E4592" s="119" t="str">
        <f>IFERROR(__xludf.DUMMYFUNCTION("""COMPUTED_VALUE"""),"Bông")</f>
        <v>Bông</v>
      </c>
    </row>
    <row r="4593" ht="15.75" customHeight="1">
      <c r="A4593" s="122" t="str">
        <f>IFERROR(__xludf.DUMMYFUNCTION("""COMPUTED_VALUE"""),"0833 001 357")</f>
        <v>0833 001 357</v>
      </c>
      <c r="B4593" s="119" t="str">
        <f>IFERROR(__xludf.DUMMYFUNCTION("""COMPUTED_VALUE"""),"Anh Tuấn")</f>
        <v>Anh Tuấn</v>
      </c>
      <c r="C4593" s="119" t="str">
        <f>IFERROR(__xludf.DUMMYFUNCTION("""COMPUTED_VALUE"""),"162 Ngự Bình")</f>
        <v>162 Ngự Bình</v>
      </c>
      <c r="D4593" s="119" t="str">
        <f>IFERROR(__xludf.DUMMYFUNCTION("""COMPUTED_VALUE"""),"mèo")</f>
        <v>mèo</v>
      </c>
      <c r="E4593" s="119" t="str">
        <f>IFERROR(__xludf.DUMMYFUNCTION("""COMPUTED_VALUE"""),"Misa")</f>
        <v>Misa</v>
      </c>
    </row>
    <row r="4594" ht="15.75" customHeight="1">
      <c r="A4594" s="122" t="str">
        <f>IFERROR(__xludf.DUMMYFUNCTION("""COMPUTED_VALUE"""),"0772 423 756")</f>
        <v>0772 423 756</v>
      </c>
      <c r="B4594" s="119" t="str">
        <f>IFERROR(__xludf.DUMMYFUNCTION("""COMPUTED_VALUE"""),"Chị My")</f>
        <v>Chị My</v>
      </c>
      <c r="C4594" s="119" t="str">
        <f>IFERROR(__xludf.DUMMYFUNCTION("""COMPUTED_VALUE"""),"251 Chi Lăng")</f>
        <v>251 Chi Lăng</v>
      </c>
      <c r="D4594" s="119" t="str">
        <f>IFERROR(__xludf.DUMMYFUNCTION("""COMPUTED_VALUE"""),"Chó")</f>
        <v>Chó</v>
      </c>
      <c r="E4594" s="119" t="str">
        <f>IFERROR(__xludf.DUMMYFUNCTION("""COMPUTED_VALUE"""),"Salem")</f>
        <v>Salem</v>
      </c>
    </row>
    <row r="4595" ht="15.75" customHeight="1">
      <c r="A4595" s="122" t="str">
        <f>IFERROR(__xludf.DUMMYFUNCTION("""COMPUTED_VALUE"""),"0327 696 278")</f>
        <v>0327 696 278</v>
      </c>
      <c r="B4595" s="119" t="str">
        <f>IFERROR(__xludf.DUMMYFUNCTION("""COMPUTED_VALUE"""),"Mỹ Linh")</f>
        <v>Mỹ Linh</v>
      </c>
      <c r="C4595" s="119" t="str">
        <f>IFERROR(__xludf.DUMMYFUNCTION("""COMPUTED_VALUE"""),"4/37 Phạm Ngọc Thạch")</f>
        <v>4/37 Phạm Ngọc Thạch</v>
      </c>
      <c r="D4595" s="119" t="str">
        <f>IFERROR(__xludf.DUMMYFUNCTION("""COMPUTED_VALUE"""),"chó")</f>
        <v>chó</v>
      </c>
      <c r="E4595" s="119" t="str">
        <f>IFERROR(__xludf.DUMMYFUNCTION("""COMPUTED_VALUE"""),"gấu")</f>
        <v>gấu</v>
      </c>
    </row>
    <row r="4596" ht="15.75" customHeight="1">
      <c r="A4596" s="122" t="str">
        <f>IFERROR(__xludf.DUMMYFUNCTION("""COMPUTED_VALUE"""),"0903 500 700")</f>
        <v>0903 500 700</v>
      </c>
      <c r="B4596" s="119" t="str">
        <f>IFERROR(__xludf.DUMMYFUNCTION("""COMPUTED_VALUE"""),"Anh Tri")</f>
        <v>Anh Tri</v>
      </c>
      <c r="C4596" s="119" t="str">
        <f>IFERROR(__xludf.DUMMYFUNCTION("""COMPUTED_VALUE"""),"10/2 Dương Triệu Tướng")</f>
        <v>10/2 Dương Triệu Tướng</v>
      </c>
      <c r="D4596" s="119" t="str">
        <f>IFERROR(__xludf.DUMMYFUNCTION("""COMPUTED_VALUE"""),"Chó")</f>
        <v>Chó</v>
      </c>
      <c r="E4596" s="119" t="str">
        <f>IFERROR(__xludf.DUMMYFUNCTION("""COMPUTED_VALUE"""),"Bấc")</f>
        <v>Bấc</v>
      </c>
    </row>
    <row r="4597" ht="15.75" customHeight="1">
      <c r="A4597" s="122" t="str">
        <f>IFERROR(__xludf.DUMMYFUNCTION("""COMPUTED_VALUE"""),"0904 733 871")</f>
        <v>0904 733 871</v>
      </c>
      <c r="B4597" s="119" t="str">
        <f>IFERROR(__xludf.DUMMYFUNCTION("""COMPUTED_VALUE"""),"Phan Trung Thành")</f>
        <v>Phan Trung Thành</v>
      </c>
      <c r="C4597" s="119" t="str">
        <f>IFERROR(__xludf.DUMMYFUNCTION("""COMPUTED_VALUE"""),"3/121 Bùi Thị xuân")</f>
        <v>3/121 Bùi Thị xuân</v>
      </c>
      <c r="D4597" s="119" t="str">
        <f>IFERROR(__xludf.DUMMYFUNCTION("""COMPUTED_VALUE"""),"Mèo")</f>
        <v>Mèo</v>
      </c>
      <c r="E4597" s="119" t="str">
        <f>IFERROR(__xludf.DUMMYFUNCTION("""COMPUTED_VALUE"""),"Rít")</f>
        <v>Rít</v>
      </c>
    </row>
    <row r="4598" ht="15.75" customHeight="1">
      <c r="A4598" s="122" t="str">
        <f>IFERROR(__xludf.DUMMYFUNCTION("""COMPUTED_VALUE"""),"0975 727 827")</f>
        <v>0975 727 827</v>
      </c>
      <c r="B4598" s="119" t="str">
        <f>IFERROR(__xludf.DUMMYFUNCTION("""COMPUTED_VALUE"""),"Nguyễn Anh Tuấn")</f>
        <v>Nguyễn Anh Tuấn</v>
      </c>
      <c r="C4598" s="119" t="str">
        <f>IFERROR(__xludf.DUMMYFUNCTION("""COMPUTED_VALUE"""),"Hương An")</f>
        <v>Hương An</v>
      </c>
      <c r="D4598" s="119" t="str">
        <f>IFERROR(__xludf.DUMMYFUNCTION("""COMPUTED_VALUE"""),"Chó")</f>
        <v>Chó</v>
      </c>
      <c r="E4598" s="119" t="str">
        <f>IFERROR(__xludf.DUMMYFUNCTION("""COMPUTED_VALUE"""),"Mèo")</f>
        <v>Mèo</v>
      </c>
    </row>
    <row r="4599" ht="15.75" customHeight="1">
      <c r="A4599" s="122" t="str">
        <f>IFERROR(__xludf.DUMMYFUNCTION("""COMPUTED_VALUE"""),"0387 571 687")</f>
        <v>0387 571 687</v>
      </c>
      <c r="B4599" s="119" t="str">
        <f>IFERROR(__xludf.DUMMYFUNCTION("""COMPUTED_VALUE"""),"Đào Thị Huyền")</f>
        <v>Đào Thị Huyền</v>
      </c>
      <c r="C4599" s="119" t="str">
        <f>IFERROR(__xludf.DUMMYFUNCTION("""COMPUTED_VALUE"""),"Hương  Hồ")</f>
        <v>Hương  Hồ</v>
      </c>
      <c r="D4599" s="119" t="str">
        <f>IFERROR(__xludf.DUMMYFUNCTION("""COMPUTED_VALUE"""),"Chó")</f>
        <v>Chó</v>
      </c>
      <c r="E4599" s="119" t="str">
        <f>IFERROR(__xludf.DUMMYFUNCTION("""COMPUTED_VALUE"""),"lucki")</f>
        <v>lucki</v>
      </c>
    </row>
    <row r="4600" ht="15.75" customHeight="1">
      <c r="A4600" s="122" t="str">
        <f>IFERROR(__xludf.DUMMYFUNCTION("""COMPUTED_VALUE"""),"0356 969 926")</f>
        <v>0356 969 926</v>
      </c>
      <c r="B4600" s="119" t="str">
        <f>IFERROR(__xludf.DUMMYFUNCTION("""COMPUTED_VALUE"""),"Hồ Văn Nhật")</f>
        <v>Hồ Văn Nhật</v>
      </c>
      <c r="C4600" s="119" t="str">
        <f>IFERROR(__xludf.DUMMYFUNCTION("""COMPUTED_VALUE"""),"Lê Quang Quyền")</f>
        <v>Lê Quang Quyền</v>
      </c>
      <c r="D4600" s="119" t="str">
        <f>IFERROR(__xludf.DUMMYFUNCTION("""COMPUTED_VALUE"""),"Chó")</f>
        <v>Chó</v>
      </c>
      <c r="E4600" s="119"/>
    </row>
    <row r="4601" ht="15.75" customHeight="1">
      <c r="A4601" s="122" t="str">
        <f>IFERROR(__xludf.DUMMYFUNCTION("""COMPUTED_VALUE"""),"0888 540 896")</f>
        <v>0888 540 896</v>
      </c>
      <c r="B4601" s="119" t="str">
        <f>IFERROR(__xludf.DUMMYFUNCTION("""COMPUTED_VALUE"""),"Chị Nhi")</f>
        <v>Chị Nhi</v>
      </c>
      <c r="C4601" s="119" t="str">
        <f>IFERROR(__xludf.DUMMYFUNCTION("""COMPUTED_VALUE"""),"24/115 Hàn Mặc Tử")</f>
        <v>24/115 Hàn Mặc Tử</v>
      </c>
      <c r="D4601" s="119" t="str">
        <f>IFERROR(__xludf.DUMMYFUNCTION("""COMPUTED_VALUE"""),"Chó")</f>
        <v>Chó</v>
      </c>
      <c r="E4601" s="119" t="str">
        <f>IFERROR(__xludf.DUMMYFUNCTION("""COMPUTED_VALUE"""),"Bông")</f>
        <v>Bông</v>
      </c>
    </row>
    <row r="4602" ht="15.75" customHeight="1">
      <c r="A4602" s="122" t="str">
        <f>IFERROR(__xludf.DUMMYFUNCTION("""COMPUTED_VALUE"""),"0789 408 699")</f>
        <v>0789 408 699</v>
      </c>
      <c r="B4602" s="119" t="str">
        <f>IFERROR(__xludf.DUMMYFUNCTION("""COMPUTED_VALUE"""),"Chị Ly")</f>
        <v>Chị Ly</v>
      </c>
      <c r="C4602" s="119" t="str">
        <f>IFERROR(__xludf.DUMMYFUNCTION("""COMPUTED_VALUE"""),"30 Chi Lăng")</f>
        <v>30 Chi Lăng</v>
      </c>
      <c r="D4602" s="119" t="str">
        <f>IFERROR(__xludf.DUMMYFUNCTION("""COMPUTED_VALUE"""),"Chó")</f>
        <v>Chó</v>
      </c>
      <c r="E4602" s="119" t="str">
        <f>IFERROR(__xludf.DUMMYFUNCTION("""COMPUTED_VALUE"""),"Ken")</f>
        <v>Ken</v>
      </c>
    </row>
    <row r="4603" ht="15.75" customHeight="1">
      <c r="A4603" s="122" t="str">
        <f>IFERROR(__xludf.DUMMYFUNCTION("""COMPUTED_VALUE"""),"0777 556 660")</f>
        <v>0777 556 660</v>
      </c>
      <c r="B4603" s="119" t="str">
        <f>IFERROR(__xludf.DUMMYFUNCTION("""COMPUTED_VALUE"""),"Anh Quý")</f>
        <v>Anh Quý</v>
      </c>
      <c r="C4603" s="119" t="str">
        <f>IFERROR(__xludf.DUMMYFUNCTION("""COMPUTED_VALUE"""),"03 Đặng Trần Côn")</f>
        <v>03 Đặng Trần Côn</v>
      </c>
      <c r="D4603" s="119" t="str">
        <f>IFERROR(__xludf.DUMMYFUNCTION("""COMPUTED_VALUE"""),"Chó")</f>
        <v>Chó</v>
      </c>
      <c r="E4603" s="119" t="str">
        <f>IFERROR(__xludf.DUMMYFUNCTION("""COMPUTED_VALUE"""),"Mộc")</f>
        <v>Mộc</v>
      </c>
    </row>
    <row r="4604" ht="15.75" customHeight="1">
      <c r="A4604" s="122" t="str">
        <f>IFERROR(__xludf.DUMMYFUNCTION("""COMPUTED_VALUE"""),"0919 350 157")</f>
        <v>0919 350 157</v>
      </c>
      <c r="B4604" s="119" t="str">
        <f>IFERROR(__xludf.DUMMYFUNCTION("""COMPUTED_VALUE"""),"Thảo Trang")</f>
        <v>Thảo Trang</v>
      </c>
      <c r="C4604" s="119" t="str">
        <f>IFERROR(__xludf.DUMMYFUNCTION("""COMPUTED_VALUE"""),"62 Tố Hữu")</f>
        <v>62 Tố Hữu</v>
      </c>
      <c r="D4604" s="119" t="str">
        <f>IFERROR(__xludf.DUMMYFUNCTION("""COMPUTED_VALUE"""),"Chó")</f>
        <v>Chó</v>
      </c>
      <c r="E4604" s="119" t="str">
        <f>IFERROR(__xludf.DUMMYFUNCTION("""COMPUTED_VALUE"""),"kiki")</f>
        <v>kiki</v>
      </c>
    </row>
    <row r="4605" ht="15.75" customHeight="1">
      <c r="A4605" s="122" t="str">
        <f>IFERROR(__xludf.DUMMYFUNCTION("""COMPUTED_VALUE"""),"0389 589 064")</f>
        <v>0389 589 064</v>
      </c>
      <c r="B4605" s="119" t="str">
        <f>IFERROR(__xludf.DUMMYFUNCTION("""COMPUTED_VALUE"""),"Chị Thao")</f>
        <v>Chị Thao</v>
      </c>
      <c r="C4605" s="119" t="str">
        <f>IFERROR(__xludf.DUMMYFUNCTION("""COMPUTED_VALUE"""),"200/17C Lý Nam Đế")</f>
        <v>200/17C Lý Nam Đế</v>
      </c>
      <c r="D4605" s="119" t="str">
        <f>IFERROR(__xludf.DUMMYFUNCTION("""COMPUTED_VALUE"""),"Chó")</f>
        <v>Chó</v>
      </c>
      <c r="E4605" s="119" t="str">
        <f>IFERROR(__xludf.DUMMYFUNCTION("""COMPUTED_VALUE"""),"Thơm")</f>
        <v>Thơm</v>
      </c>
    </row>
    <row r="4606" ht="15.75" customHeight="1">
      <c r="A4606" s="122" t="str">
        <f>IFERROR(__xludf.DUMMYFUNCTION("""COMPUTED_VALUE"""),"0898 317 603")</f>
        <v>0898 317 603</v>
      </c>
      <c r="B4606" s="119" t="str">
        <f>IFERROR(__xludf.DUMMYFUNCTION("""COMPUTED_VALUE"""),"Võ Thị Thúy Liễu")</f>
        <v>Võ Thị Thúy Liễu</v>
      </c>
      <c r="C4606" s="119" t="str">
        <f>IFERROR(__xludf.DUMMYFUNCTION("""COMPUTED_VALUE"""),"427 Nguyễn Tất Thành")</f>
        <v>427 Nguyễn Tất Thành</v>
      </c>
      <c r="D4606" s="119" t="str">
        <f>IFERROR(__xludf.DUMMYFUNCTION("""COMPUTED_VALUE"""),"Chó")</f>
        <v>Chó</v>
      </c>
      <c r="E4606" s="119" t="str">
        <f>IFERROR(__xludf.DUMMYFUNCTION("""COMPUTED_VALUE"""),"Lu")</f>
        <v>Lu</v>
      </c>
    </row>
    <row r="4607" ht="15.75" customHeight="1">
      <c r="A4607" s="122" t="str">
        <f>IFERROR(__xludf.DUMMYFUNCTION("""COMPUTED_VALUE"""),"0396 138 022")</f>
        <v>0396 138 022</v>
      </c>
      <c r="B4607" s="119" t="str">
        <f>IFERROR(__xludf.DUMMYFUNCTION("""COMPUTED_VALUE"""),"Yến Nhi")</f>
        <v>Yến Nhi</v>
      </c>
      <c r="C4607" s="119" t="str">
        <f>IFERROR(__xludf.DUMMYFUNCTION("""COMPUTED_VALUE"""),"427 Nguyễn Tất Thành")</f>
        <v>427 Nguyễn Tất Thành</v>
      </c>
      <c r="D4607" s="119" t="str">
        <f>IFERROR(__xludf.DUMMYFUNCTION("""COMPUTED_VALUE"""),"Chó")</f>
        <v>Chó</v>
      </c>
      <c r="E4607" s="119" t="str">
        <f>IFERROR(__xludf.DUMMYFUNCTION("""COMPUTED_VALUE"""),"Lu")</f>
        <v>Lu</v>
      </c>
    </row>
    <row r="4608" ht="15.75" customHeight="1">
      <c r="A4608" s="122" t="str">
        <f>IFERROR(__xludf.DUMMYFUNCTION("""COMPUTED_VALUE"""),"0935 966 171")</f>
        <v>0935 966 171</v>
      </c>
      <c r="B4608" s="119" t="str">
        <f>IFERROR(__xludf.DUMMYFUNCTION("""COMPUTED_VALUE"""),"Bích Phương")</f>
        <v>Bích Phương</v>
      </c>
      <c r="C4608" s="119" t="str">
        <f>IFERROR(__xludf.DUMMYFUNCTION("""COMPUTED_VALUE"""),"27 Chế Lan Viên")</f>
        <v>27 Chế Lan Viên</v>
      </c>
      <c r="D4608" s="119" t="str">
        <f>IFERROR(__xludf.DUMMYFUNCTION("""COMPUTED_VALUE"""),"Chó")</f>
        <v>Chó</v>
      </c>
      <c r="E4608" s="119" t="str">
        <f>IFERROR(__xludf.DUMMYFUNCTION("""COMPUTED_VALUE"""),"Pepsi")</f>
        <v>Pepsi</v>
      </c>
    </row>
    <row r="4609" ht="15.75" customHeight="1">
      <c r="A4609" s="122" t="str">
        <f>IFERROR(__xludf.DUMMYFUNCTION("""COMPUTED_VALUE"""),"0913 479 199")</f>
        <v>0913 479 199</v>
      </c>
      <c r="B4609" s="119" t="str">
        <f>IFERROR(__xludf.DUMMYFUNCTION("""COMPUTED_VALUE"""),"Dì Vân")</f>
        <v>Dì Vân</v>
      </c>
      <c r="C4609" s="119" t="str">
        <f>IFERROR(__xludf.DUMMYFUNCTION("""COMPUTED_VALUE"""),"K43 Thuận Hoá - Phú Bài")</f>
        <v>K43 Thuận Hoá - Phú Bài</v>
      </c>
      <c r="D4609" s="119" t="str">
        <f>IFERROR(__xludf.DUMMYFUNCTION("""COMPUTED_VALUE"""),"Chó")</f>
        <v>Chó</v>
      </c>
      <c r="E4609" s="119" t="str">
        <f>IFERROR(__xludf.DUMMYFUNCTION("""COMPUTED_VALUE"""),"KÍt")</f>
        <v>KÍt</v>
      </c>
    </row>
    <row r="4610" ht="15.75" customHeight="1">
      <c r="A4610" s="122" t="str">
        <f>IFERROR(__xludf.DUMMYFUNCTION("""COMPUTED_VALUE"""),"0947 899 299")</f>
        <v>0947 899 299</v>
      </c>
      <c r="B4610" s="119" t="str">
        <f>IFERROR(__xludf.DUMMYFUNCTION("""COMPUTED_VALUE"""),"Nguyễn Hồng Kỳ")</f>
        <v>Nguyễn Hồng Kỳ</v>
      </c>
      <c r="C4610" s="119" t="str">
        <f>IFERROR(__xludf.DUMMYFUNCTION("""COMPUTED_VALUE"""),"15 Phan Trọng Tinh")</f>
        <v>15 Phan Trọng Tinh</v>
      </c>
      <c r="D4610" s="119" t="str">
        <f>IFERROR(__xludf.DUMMYFUNCTION("""COMPUTED_VALUE"""),"Chó")</f>
        <v>Chó</v>
      </c>
      <c r="E4610" s="119" t="str">
        <f>IFERROR(__xludf.DUMMYFUNCTION("""COMPUTED_VALUE"""),"Ki")</f>
        <v>Ki</v>
      </c>
    </row>
    <row r="4611" ht="15.75" customHeight="1">
      <c r="A4611" s="122" t="str">
        <f>IFERROR(__xludf.DUMMYFUNCTION("""COMPUTED_VALUE"""),"0794 512 530")</f>
        <v>0794 512 530</v>
      </c>
      <c r="B4611" s="119" t="str">
        <f>IFERROR(__xludf.DUMMYFUNCTION("""COMPUTED_VALUE"""),"Chị Dương")</f>
        <v>Chị Dương</v>
      </c>
      <c r="C4611" s="119" t="str">
        <f>IFERROR(__xludf.DUMMYFUNCTION("""COMPUTED_VALUE"""),"Đội 2 Thạch Cao, Phú Dương")</f>
        <v>Đội 2 Thạch Cao, Phú Dương</v>
      </c>
      <c r="D4611" s="119" t="str">
        <f>IFERROR(__xludf.DUMMYFUNCTION("""COMPUTED_VALUE"""),"Chó")</f>
        <v>Chó</v>
      </c>
      <c r="E4611" s="119" t="str">
        <f>IFERROR(__xludf.DUMMYFUNCTION("""COMPUTED_VALUE"""),"Baso")</f>
        <v>Baso</v>
      </c>
    </row>
    <row r="4612" ht="15.75" customHeight="1">
      <c r="A4612" s="122" t="str">
        <f>IFERROR(__xludf.DUMMYFUNCTION("""COMPUTED_VALUE"""),"0937 902 316")</f>
        <v>0937 902 316</v>
      </c>
      <c r="B4612" s="119" t="str">
        <f>IFERROR(__xludf.DUMMYFUNCTION("""COMPUTED_VALUE"""),"Chị Lê")</f>
        <v>Chị Lê</v>
      </c>
      <c r="C4612" s="119" t="str">
        <f>IFERROR(__xludf.DUMMYFUNCTION("""COMPUTED_VALUE"""),"54 Tôn Thất cảnh")</f>
        <v>54 Tôn Thất cảnh</v>
      </c>
      <c r="D4612" s="119" t="str">
        <f>IFERROR(__xludf.DUMMYFUNCTION("""COMPUTED_VALUE"""),"chó")</f>
        <v>chó</v>
      </c>
      <c r="E4612" s="119" t="str">
        <f>IFERROR(__xludf.DUMMYFUNCTION("""COMPUTED_VALUE"""),"Ruby")</f>
        <v>Ruby</v>
      </c>
    </row>
    <row r="4613" ht="15.75" customHeight="1">
      <c r="A4613" s="122" t="str">
        <f>IFERROR(__xludf.DUMMYFUNCTION("""COMPUTED_VALUE"""),"0703 057 927")</f>
        <v>0703 057 927</v>
      </c>
      <c r="B4613" s="119" t="str">
        <f>IFERROR(__xludf.DUMMYFUNCTION("""COMPUTED_VALUE"""),"Anh Phi")</f>
        <v>Anh Phi</v>
      </c>
      <c r="C4613" s="119" t="str">
        <f>IFERROR(__xludf.DUMMYFUNCTION("""COMPUTED_VALUE"""),"11/240 Nguyễn Trãi")</f>
        <v>11/240 Nguyễn Trãi</v>
      </c>
      <c r="D4613" s="119" t="str">
        <f>IFERROR(__xludf.DUMMYFUNCTION("""COMPUTED_VALUE"""),"chó")</f>
        <v>chó</v>
      </c>
      <c r="E4613" s="119"/>
    </row>
    <row r="4614" ht="15.75" customHeight="1">
      <c r="A4614" s="122" t="str">
        <f>IFERROR(__xludf.DUMMYFUNCTION("""COMPUTED_VALUE"""),"0901 995 952")</f>
        <v>0901 995 952</v>
      </c>
      <c r="B4614" s="119" t="str">
        <f>IFERROR(__xludf.DUMMYFUNCTION("""COMPUTED_VALUE"""),"Chị Nhi")</f>
        <v>Chị Nhi</v>
      </c>
      <c r="C4614" s="119" t="str">
        <f>IFERROR(__xludf.DUMMYFUNCTION("""COMPUTED_VALUE"""),"4/9/k19 Đặng Văn Ngữ")</f>
        <v>4/9/k19 Đặng Văn Ngữ</v>
      </c>
      <c r="D4614" s="119" t="str">
        <f>IFERROR(__xludf.DUMMYFUNCTION("""COMPUTED_VALUE"""),"Chó")</f>
        <v>Chó</v>
      </c>
      <c r="E4614" s="119"/>
    </row>
    <row r="4615" ht="15.75" customHeight="1">
      <c r="A4615" s="122" t="str">
        <f>IFERROR(__xludf.DUMMYFUNCTION("""COMPUTED_VALUE"""),"0387 416 061")</f>
        <v>0387 416 061</v>
      </c>
      <c r="B4615" s="119" t="str">
        <f>IFERROR(__xludf.DUMMYFUNCTION("""COMPUTED_VALUE"""),"Chị Hồng Đào")</f>
        <v>Chị Hồng Đào</v>
      </c>
      <c r="C4615" s="119" t="str">
        <f>IFERROR(__xludf.DUMMYFUNCTION("""COMPUTED_VALUE"""),"7 Thích Nữ Diệu Không")</f>
        <v>7 Thích Nữ Diệu Không</v>
      </c>
      <c r="D4615" s="119" t="str">
        <f>IFERROR(__xludf.DUMMYFUNCTION("""COMPUTED_VALUE"""),"chó")</f>
        <v>chó</v>
      </c>
      <c r="E4615" s="119" t="str">
        <f>IFERROR(__xludf.DUMMYFUNCTION("""COMPUTED_VALUE"""),"Bơ sữa")</f>
        <v>Bơ sữa</v>
      </c>
    </row>
    <row r="4616" ht="15.75" customHeight="1">
      <c r="A4616" s="122" t="str">
        <f>IFERROR(__xludf.DUMMYFUNCTION("""COMPUTED_VALUE"""),"0707 100 694")</f>
        <v>0707 100 694</v>
      </c>
      <c r="B4616" s="119" t="str">
        <f>IFERROR(__xludf.DUMMYFUNCTION("""COMPUTED_VALUE"""),"Chị Vân ")</f>
        <v>Chị Vân </v>
      </c>
      <c r="C4616" s="119" t="str">
        <f>IFERROR(__xludf.DUMMYFUNCTION("""COMPUTED_VALUE"""),"Tỉnh lộ 10")</f>
        <v>Tỉnh lộ 10</v>
      </c>
      <c r="D4616" s="119" t="str">
        <f>IFERROR(__xludf.DUMMYFUNCTION("""COMPUTED_VALUE"""),"chó")</f>
        <v>chó</v>
      </c>
      <c r="E4616" s="119" t="str">
        <f>IFERROR(__xludf.DUMMYFUNCTION("""COMPUTED_VALUE"""),"Pipi")</f>
        <v>Pipi</v>
      </c>
    </row>
    <row r="4617" ht="15.75" customHeight="1">
      <c r="A4617" s="122" t="str">
        <f>IFERROR(__xludf.DUMMYFUNCTION("""COMPUTED_VALUE"""),"0935 297 816")</f>
        <v>0935 297 816</v>
      </c>
      <c r="B4617" s="119" t="str">
        <f>IFERROR(__xludf.DUMMYFUNCTION("""COMPUTED_VALUE"""),"Chị Minh Châu")</f>
        <v>Chị Minh Châu</v>
      </c>
      <c r="C4617" s="119" t="str">
        <f>IFERROR(__xludf.DUMMYFUNCTION("""COMPUTED_VALUE"""),"123 Nguyễn Chí Thanh")</f>
        <v>123 Nguyễn Chí Thanh</v>
      </c>
      <c r="D4617" s="119" t="str">
        <f>IFERROR(__xludf.DUMMYFUNCTION("""COMPUTED_VALUE"""),"mèo")</f>
        <v>mèo</v>
      </c>
      <c r="E4617" s="119" t="str">
        <f>IFERROR(__xludf.DUMMYFUNCTION("""COMPUTED_VALUE"""),"Bông")</f>
        <v>Bông</v>
      </c>
    </row>
    <row r="4618" ht="15.75" customHeight="1">
      <c r="A4618" s="122" t="str">
        <f>IFERROR(__xludf.DUMMYFUNCTION("""COMPUTED_VALUE"""),"0948 765 193")</f>
        <v>0948 765 193</v>
      </c>
      <c r="B4618" s="119" t="str">
        <f>IFERROR(__xludf.DUMMYFUNCTION("""COMPUTED_VALUE"""),"Chú Phúc")</f>
        <v>Chú Phúc</v>
      </c>
      <c r="C4618" s="119" t="str">
        <f>IFERROR(__xludf.DUMMYFUNCTION("""COMPUTED_VALUE"""),"30/17 PHạm Thị Liên")</f>
        <v>30/17 PHạm Thị Liên</v>
      </c>
      <c r="D4618" s="119" t="str">
        <f>IFERROR(__xludf.DUMMYFUNCTION("""COMPUTED_VALUE"""),"chó")</f>
        <v>chó</v>
      </c>
      <c r="E4618" s="119" t="str">
        <f>IFERROR(__xludf.DUMMYFUNCTION("""COMPUTED_VALUE"""),"tỏi")</f>
        <v>tỏi</v>
      </c>
    </row>
    <row r="4619" ht="15.75" customHeight="1">
      <c r="A4619" s="122" t="str">
        <f>IFERROR(__xludf.DUMMYFUNCTION("""COMPUTED_VALUE"""),"0932 452 106")</f>
        <v>0932 452 106</v>
      </c>
      <c r="B4619" s="119" t="str">
        <f>IFERROR(__xludf.DUMMYFUNCTION("""COMPUTED_VALUE"""),"Chị Ngân")</f>
        <v>Chị Ngân</v>
      </c>
      <c r="C4619" s="119" t="str">
        <f>IFERROR(__xludf.DUMMYFUNCTION("""COMPUTED_VALUE"""),"23/79 Phạm Thị Liên")</f>
        <v>23/79 Phạm Thị Liên</v>
      </c>
      <c r="D4619" s="119" t="str">
        <f>IFERROR(__xludf.DUMMYFUNCTION("""COMPUTED_VALUE"""),"Chó")</f>
        <v>Chó</v>
      </c>
      <c r="E4619" s="119"/>
    </row>
    <row r="4620" ht="15.75" customHeight="1">
      <c r="A4620" s="122" t="str">
        <f>IFERROR(__xludf.DUMMYFUNCTION("""COMPUTED_VALUE"""),"0344 203 214")</f>
        <v>0344 203 214</v>
      </c>
      <c r="B4620" s="119" t="str">
        <f>IFERROR(__xludf.DUMMYFUNCTION("""COMPUTED_VALUE"""),"Chị Uyên")</f>
        <v>Chị Uyên</v>
      </c>
      <c r="C4620" s="119" t="str">
        <f>IFERROR(__xludf.DUMMYFUNCTION("""COMPUTED_VALUE"""),"18/281 Chi Lăng")</f>
        <v>18/281 Chi Lăng</v>
      </c>
      <c r="D4620" s="119" t="str">
        <f>IFERROR(__xludf.DUMMYFUNCTION("""COMPUTED_VALUE"""),"Mèo")</f>
        <v>Mèo</v>
      </c>
      <c r="E4620" s="119" t="str">
        <f>IFERROR(__xludf.DUMMYFUNCTION("""COMPUTED_VALUE"""),"Teng")</f>
        <v>Teng</v>
      </c>
    </row>
    <row r="4621" ht="15.75" customHeight="1">
      <c r="A4621" s="122" t="str">
        <f>IFERROR(__xludf.DUMMYFUNCTION("""COMPUTED_VALUE"""),"0775 566 124")</f>
        <v>0775 566 124</v>
      </c>
      <c r="B4621" s="119" t="str">
        <f>IFERROR(__xludf.DUMMYFUNCTION("""COMPUTED_VALUE"""),"Anh tây")</f>
        <v>Anh tây</v>
      </c>
      <c r="C4621" s="119" t="str">
        <f>IFERROR(__xludf.DUMMYFUNCTION("""COMPUTED_VALUE"""),"Thuận An")</f>
        <v>Thuận An</v>
      </c>
      <c r="D4621" s="119" t="str">
        <f>IFERROR(__xludf.DUMMYFUNCTION("""COMPUTED_VALUE"""),"Chó")</f>
        <v>Chó</v>
      </c>
      <c r="E4621" s="119" t="str">
        <f>IFERROR(__xludf.DUMMYFUNCTION("""COMPUTED_VALUE"""),"Sam")</f>
        <v>Sam</v>
      </c>
    </row>
    <row r="4622" ht="15.75" customHeight="1">
      <c r="A4622" s="122" t="str">
        <f>IFERROR(__xludf.DUMMYFUNCTION("""COMPUTED_VALUE"""),"0366 306 083")</f>
        <v>0366 306 083</v>
      </c>
      <c r="B4622" s="119" t="str">
        <f>IFERROR(__xludf.DUMMYFUNCTION("""COMPUTED_VALUE""")," Em Ly")</f>
        <v> Em Ly</v>
      </c>
      <c r="C4622" s="119" t="str">
        <f>IFERROR(__xludf.DUMMYFUNCTION("""COMPUTED_VALUE"""),"31/56 Duy Tân")</f>
        <v>31/56 Duy Tân</v>
      </c>
      <c r="D4622" s="119" t="str">
        <f>IFERROR(__xludf.DUMMYFUNCTION("""COMPUTED_VALUE"""),"Chó")</f>
        <v>Chó</v>
      </c>
      <c r="E4622" s="119" t="str">
        <f>IFERROR(__xludf.DUMMYFUNCTION("""COMPUTED_VALUE"""),"mun")</f>
        <v>mun</v>
      </c>
    </row>
    <row r="4623" ht="15.75" customHeight="1">
      <c r="A4623" s="122" t="str">
        <f>IFERROR(__xludf.DUMMYFUNCTION("""COMPUTED_VALUE"""),"0814 597 877")</f>
        <v>0814 597 877</v>
      </c>
      <c r="B4623" s="119" t="str">
        <f>IFERROR(__xludf.DUMMYFUNCTION("""COMPUTED_VALUE"""),"Chị Trang")</f>
        <v>Chị Trang</v>
      </c>
      <c r="C4623" s="119" t="str">
        <f>IFERROR(__xludf.DUMMYFUNCTION("""COMPUTED_VALUE"""),"1/4/74 Bà Triệu")</f>
        <v>1/4/74 Bà Triệu</v>
      </c>
      <c r="D4623" s="119" t="str">
        <f>IFERROR(__xludf.DUMMYFUNCTION("""COMPUTED_VALUE"""),"Mèo")</f>
        <v>Mèo</v>
      </c>
      <c r="E4623" s="119" t="str">
        <f>IFERROR(__xludf.DUMMYFUNCTION("""COMPUTED_VALUE"""),"Noel")</f>
        <v>Noel</v>
      </c>
    </row>
    <row r="4624" ht="15.75" customHeight="1">
      <c r="A4624" s="122" t="str">
        <f>IFERROR(__xludf.DUMMYFUNCTION("""COMPUTED_VALUE"""),"0705 234 951")</f>
        <v>0705 234 951</v>
      </c>
      <c r="B4624" s="119" t="str">
        <f>IFERROR(__xludf.DUMMYFUNCTION("""COMPUTED_VALUE"""),"Lê Minh Phươeng")</f>
        <v>Lê Minh Phươeng</v>
      </c>
      <c r="C4624" s="119" t="str">
        <f>IFERROR(__xludf.DUMMYFUNCTION("""COMPUTED_VALUE"""),"26 Trần Cao Vân")</f>
        <v>26 Trần Cao Vân</v>
      </c>
      <c r="D4624" s="119" t="str">
        <f>IFERROR(__xludf.DUMMYFUNCTION("""COMPUTED_VALUE"""),"mèo")</f>
        <v>mèo</v>
      </c>
      <c r="E4624" s="119"/>
    </row>
    <row r="4625" ht="15.75" customHeight="1">
      <c r="A4625" s="122" t="str">
        <f>IFERROR(__xludf.DUMMYFUNCTION("""COMPUTED_VALUE"""),"0905 678 603")</f>
        <v>0905 678 603</v>
      </c>
      <c r="B4625" s="119" t="str">
        <f>IFERROR(__xludf.DUMMYFUNCTION("""COMPUTED_VALUE"""),"Chị Kay")</f>
        <v>Chị Kay</v>
      </c>
      <c r="C4625" s="119" t="str">
        <f>IFERROR(__xludf.DUMMYFUNCTION("""COMPUTED_VALUE"""),"23 Lê Hồng Phong")</f>
        <v>23 Lê Hồng Phong</v>
      </c>
      <c r="D4625" s="119" t="str">
        <f>IFERROR(__xludf.DUMMYFUNCTION("""COMPUTED_VALUE"""),"Chó")</f>
        <v>Chó</v>
      </c>
      <c r="E4625" s="119" t="str">
        <f>IFERROR(__xludf.DUMMYFUNCTION("""COMPUTED_VALUE"""),"Bingo")</f>
        <v>Bingo</v>
      </c>
    </row>
    <row r="4626" ht="15.75" customHeight="1">
      <c r="A4626" s="122" t="str">
        <f>IFERROR(__xludf.DUMMYFUNCTION("""COMPUTED_VALUE"""),"0911 343 685")</f>
        <v>0911 343 685</v>
      </c>
      <c r="B4626" s="119" t="str">
        <f>IFERROR(__xludf.DUMMYFUNCTION("""COMPUTED_VALUE"""),"Dì Kim ")</f>
        <v>Dì Kim </v>
      </c>
      <c r="C4626" s="119" t="str">
        <f>IFERROR(__xludf.DUMMYFUNCTION("""COMPUTED_VALUE"""),"17/15 Đống Đa")</f>
        <v>17/15 Đống Đa</v>
      </c>
      <c r="D4626" s="119" t="str">
        <f>IFERROR(__xludf.DUMMYFUNCTION("""COMPUTED_VALUE"""),"Chó")</f>
        <v>Chó</v>
      </c>
      <c r="E4626" s="119" t="str">
        <f>IFERROR(__xludf.DUMMYFUNCTION("""COMPUTED_VALUE"""),"Jully")</f>
        <v>Jully</v>
      </c>
    </row>
    <row r="4627" ht="15.75" customHeight="1">
      <c r="A4627" s="122" t="str">
        <f>IFERROR(__xludf.DUMMYFUNCTION("""COMPUTED_VALUE"""),"0829 432 225")</f>
        <v>0829 432 225</v>
      </c>
      <c r="B4627" s="119" t="str">
        <f>IFERROR(__xludf.DUMMYFUNCTION("""COMPUTED_VALUE"""),"Thư")</f>
        <v>Thư</v>
      </c>
      <c r="C4627" s="119" t="str">
        <f>IFERROR(__xludf.DUMMYFUNCTION("""COMPUTED_VALUE"""),"7/216 Tam Thai")</f>
        <v>7/216 Tam Thai</v>
      </c>
      <c r="D4627" s="119" t="str">
        <f>IFERROR(__xludf.DUMMYFUNCTION("""COMPUTED_VALUE"""),"Chó")</f>
        <v>Chó</v>
      </c>
      <c r="E4627" s="119" t="str">
        <f>IFERROR(__xludf.DUMMYFUNCTION("""COMPUTED_VALUE"""),"Mun")</f>
        <v>Mun</v>
      </c>
    </row>
    <row r="4628" ht="15.75" customHeight="1">
      <c r="A4628" s="122" t="str">
        <f>IFERROR(__xludf.DUMMYFUNCTION("""COMPUTED_VALUE"""),"0946 898 609")</f>
        <v>0946 898 609</v>
      </c>
      <c r="B4628" s="119" t="str">
        <f>IFERROR(__xludf.DUMMYFUNCTION("""COMPUTED_VALUE"""),"Chị Phương Thanh")</f>
        <v>Chị Phương Thanh</v>
      </c>
      <c r="C4628" s="119" t="str">
        <f>IFERROR(__xludf.DUMMYFUNCTION("""COMPUTED_VALUE"""),"7/216 Tam Thai")</f>
        <v>7/216 Tam Thai</v>
      </c>
      <c r="D4628" s="119" t="str">
        <f>IFERROR(__xludf.DUMMYFUNCTION("""COMPUTED_VALUE"""),"Chó")</f>
        <v>Chó</v>
      </c>
      <c r="E4628" s="119" t="str">
        <f>IFERROR(__xludf.DUMMYFUNCTION("""COMPUTED_VALUE"""),"Kim Chi")</f>
        <v>Kim Chi</v>
      </c>
    </row>
    <row r="4629" ht="15.75" customHeight="1">
      <c r="A4629" s="122" t="str">
        <f>IFERROR(__xludf.DUMMYFUNCTION("""COMPUTED_VALUE"""),"0397 025 450")</f>
        <v>0397 025 450</v>
      </c>
      <c r="B4629" s="119" t="str">
        <f>IFERROR(__xludf.DUMMYFUNCTION("""COMPUTED_VALUE"""),"Phan Thị Thanh Huyền")</f>
        <v>Phan Thị Thanh Huyền</v>
      </c>
      <c r="C4629" s="119" t="str">
        <f>IFERROR(__xludf.DUMMYFUNCTION("""COMPUTED_VALUE"""),"25/5/66 Xuân Diệu")</f>
        <v>25/5/66 Xuân Diệu</v>
      </c>
      <c r="D4629" s="119" t="str">
        <f>IFERROR(__xludf.DUMMYFUNCTION("""COMPUTED_VALUE"""),"Mèo")</f>
        <v>Mèo</v>
      </c>
      <c r="E4629" s="119" t="str">
        <f>IFERROR(__xludf.DUMMYFUNCTION("""COMPUTED_VALUE"""),"Sâu")</f>
        <v>Sâu</v>
      </c>
    </row>
    <row r="4630" ht="15.75" customHeight="1">
      <c r="A4630" s="122" t="str">
        <f>IFERROR(__xludf.DUMMYFUNCTION("""COMPUTED_VALUE"""),"0385 330 461")</f>
        <v>0385 330 461</v>
      </c>
      <c r="B4630" s="119" t="str">
        <f>IFERROR(__xludf.DUMMYFUNCTION("""COMPUTED_VALUE"""),"Chị Thương")</f>
        <v>Chị Thương</v>
      </c>
      <c r="C4630" s="119" t="str">
        <f>IFERROR(__xludf.DUMMYFUNCTION("""COMPUTED_VALUE"""),"131/8 Phan Bội Châu")</f>
        <v>131/8 Phan Bội Châu</v>
      </c>
      <c r="D4630" s="119" t="str">
        <f>IFERROR(__xludf.DUMMYFUNCTION("""COMPUTED_VALUE"""),"mèo")</f>
        <v>mèo</v>
      </c>
      <c r="E4630" s="119" t="str">
        <f>IFERROR(__xludf.DUMMYFUNCTION("""COMPUTED_VALUE"""),"Bơ")</f>
        <v>Bơ</v>
      </c>
    </row>
    <row r="4631" ht="15.75" customHeight="1">
      <c r="A4631" s="122" t="str">
        <f>IFERROR(__xludf.DUMMYFUNCTION("""COMPUTED_VALUE"""),"0905 966 111")</f>
        <v>0905 966 111</v>
      </c>
      <c r="B4631" s="119" t="str">
        <f>IFERROR(__xludf.DUMMYFUNCTION("""COMPUTED_VALUE"""),"Chị Thanh Thúy")</f>
        <v>Chị Thanh Thúy</v>
      </c>
      <c r="C4631" s="119" t="str">
        <f>IFERROR(__xludf.DUMMYFUNCTION("""COMPUTED_VALUE"""),"15/50 Thiên Thai")</f>
        <v>15/50 Thiên Thai</v>
      </c>
      <c r="D4631" s="119" t="str">
        <f>IFERROR(__xludf.DUMMYFUNCTION("""COMPUTED_VALUE"""),"mèo")</f>
        <v>mèo</v>
      </c>
      <c r="E4631" s="119" t="str">
        <f>IFERROR(__xludf.DUMMYFUNCTION("""COMPUTED_VALUE"""),"Mun")</f>
        <v>Mun</v>
      </c>
    </row>
    <row r="4632" ht="15.75" customHeight="1">
      <c r="A4632" s="122" t="str">
        <f>IFERROR(__xludf.DUMMYFUNCTION("""COMPUTED_VALUE"""),"0972 677 291")</f>
        <v>0972 677 291</v>
      </c>
      <c r="B4632" s="119" t="str">
        <f>IFERROR(__xludf.DUMMYFUNCTION("""COMPUTED_VALUE"""),"Anh Huy")</f>
        <v>Anh Huy</v>
      </c>
      <c r="C4632" s="119" t="str">
        <f>IFERROR(__xludf.DUMMYFUNCTION("""COMPUTED_VALUE"""),"Cư Chánh 2 Thủy Bằng")</f>
        <v>Cư Chánh 2 Thủy Bằng</v>
      </c>
      <c r="D4632" s="119" t="str">
        <f>IFERROR(__xludf.DUMMYFUNCTION("""COMPUTED_VALUE"""),"Chó")</f>
        <v>Chó</v>
      </c>
      <c r="E4632" s="119" t="str">
        <f>IFERROR(__xludf.DUMMYFUNCTION("""COMPUTED_VALUE"""),"Su Su")</f>
        <v>Su Su</v>
      </c>
    </row>
    <row r="4633" ht="15.75" customHeight="1">
      <c r="A4633" s="122" t="str">
        <f>IFERROR(__xludf.DUMMYFUNCTION("""COMPUTED_VALUE"""),"0789 484 558")</f>
        <v>0789 484 558</v>
      </c>
      <c r="B4633" s="119" t="str">
        <f>IFERROR(__xludf.DUMMYFUNCTION("""COMPUTED_VALUE"""),"Anh Sơn")</f>
        <v>Anh Sơn</v>
      </c>
      <c r="C4633" s="119" t="str">
        <f>IFERROR(__xludf.DUMMYFUNCTION("""COMPUTED_VALUE"""),"97 Điện Biên Phủ")</f>
        <v>97 Điện Biên Phủ</v>
      </c>
      <c r="D4633" s="119" t="str">
        <f>IFERROR(__xludf.DUMMYFUNCTION("""COMPUTED_VALUE"""),"Chó")</f>
        <v>Chó</v>
      </c>
      <c r="E4633" s="119" t="str">
        <f>IFERROR(__xludf.DUMMYFUNCTION("""COMPUTED_VALUE"""),"Su")</f>
        <v>Su</v>
      </c>
    </row>
    <row r="4634" ht="15.75" customHeight="1">
      <c r="A4634" s="122" t="str">
        <f>IFERROR(__xludf.DUMMYFUNCTION("""COMPUTED_VALUE"""),"0378 958 281")</f>
        <v>0378 958 281</v>
      </c>
      <c r="B4634" s="119" t="str">
        <f>IFERROR(__xludf.DUMMYFUNCTION("""COMPUTED_VALUE"""),"Anh Tùng")</f>
        <v>Anh Tùng</v>
      </c>
      <c r="C4634" s="119" t="str">
        <f>IFERROR(__xludf.DUMMYFUNCTION("""COMPUTED_VALUE"""),"sn 13 xóm 5 lại thế")</f>
        <v>sn 13 xóm 5 lại thế</v>
      </c>
      <c r="D4634" s="119" t="str">
        <f>IFERROR(__xludf.DUMMYFUNCTION("""COMPUTED_VALUE"""),"chó")</f>
        <v>chó</v>
      </c>
      <c r="E4634" s="119" t="str">
        <f>IFERROR(__xludf.DUMMYFUNCTION("""COMPUTED_VALUE"""),"milu")</f>
        <v>milu</v>
      </c>
    </row>
    <row r="4635" ht="15.75" customHeight="1">
      <c r="A4635" s="122" t="str">
        <f>IFERROR(__xludf.DUMMYFUNCTION("""COMPUTED_VALUE"""),"0914 553 828")</f>
        <v>0914 553 828</v>
      </c>
      <c r="B4635" s="119" t="str">
        <f>IFERROR(__xludf.DUMMYFUNCTION("""COMPUTED_VALUE"""),"Chị San")</f>
        <v>Chị San</v>
      </c>
      <c r="C4635" s="119" t="str">
        <f>IFERROR(__xludf.DUMMYFUNCTION("""COMPUTED_VALUE"""),"9/9 Nam Giao")</f>
        <v>9/9 Nam Giao</v>
      </c>
      <c r="D4635" s="119" t="str">
        <f>IFERROR(__xludf.DUMMYFUNCTION("""COMPUTED_VALUE"""),"Chó")</f>
        <v>Chó</v>
      </c>
      <c r="E4635" s="119" t="str">
        <f>IFERROR(__xludf.DUMMYFUNCTION("""COMPUTED_VALUE"""),"Elsa")</f>
        <v>Elsa</v>
      </c>
    </row>
    <row r="4636" ht="15.75" customHeight="1">
      <c r="A4636" s="122" t="str">
        <f>IFERROR(__xludf.DUMMYFUNCTION("""COMPUTED_VALUE"""),"0905 192 929")</f>
        <v>0905 192 929</v>
      </c>
      <c r="B4636" s="119" t="str">
        <f>IFERROR(__xludf.DUMMYFUNCTION("""COMPUTED_VALUE"""),"Dì Nhi")</f>
        <v>Dì Nhi</v>
      </c>
      <c r="C4636" s="119" t="str">
        <f>IFERROR(__xludf.DUMMYFUNCTION("""COMPUTED_VALUE"""),"28-29 Diễn Phái Vỹ Dạ")</f>
        <v>28-29 Diễn Phái Vỹ Dạ</v>
      </c>
      <c r="D4636" s="119" t="str">
        <f>IFERROR(__xludf.DUMMYFUNCTION("""COMPUTED_VALUE"""),"Chó")</f>
        <v>Chó</v>
      </c>
      <c r="E4636" s="119" t="str">
        <f>IFERROR(__xludf.DUMMYFUNCTION("""COMPUTED_VALUE"""),"Tiger")</f>
        <v>Tiger</v>
      </c>
    </row>
    <row r="4637" ht="15.75" customHeight="1">
      <c r="A4637" s="122" t="str">
        <f>IFERROR(__xludf.DUMMYFUNCTION("""COMPUTED_VALUE"""),"0347 408 690")</f>
        <v>0347 408 690</v>
      </c>
      <c r="B4637" s="119" t="str">
        <f>IFERROR(__xludf.DUMMYFUNCTION("""COMPUTED_VALUE"""),"Em Phương")</f>
        <v>Em Phương</v>
      </c>
      <c r="C4637" s="119" t="str">
        <f>IFERROR(__xludf.DUMMYFUNCTION("""COMPUTED_VALUE"""),"Phú Thanh")</f>
        <v>Phú Thanh</v>
      </c>
      <c r="D4637" s="119" t="str">
        <f>IFERROR(__xludf.DUMMYFUNCTION("""COMPUTED_VALUE"""),"Rùa")</f>
        <v>Rùa</v>
      </c>
      <c r="E4637" s="119"/>
    </row>
    <row r="4638" ht="15.75" customHeight="1">
      <c r="A4638" s="122" t="str">
        <f>IFERROR(__xludf.DUMMYFUNCTION("""COMPUTED_VALUE"""),"0788 224 449")</f>
        <v>0788 224 449</v>
      </c>
      <c r="B4638" s="119" t="str">
        <f>IFERROR(__xludf.DUMMYFUNCTION("""COMPUTED_VALUE"""),"Anh Quý")</f>
        <v>Anh Quý</v>
      </c>
      <c r="C4638" s="119" t="str">
        <f>IFERROR(__xludf.DUMMYFUNCTION("""COMPUTED_VALUE"""),"106 Lê Ngô Cát")</f>
        <v>106 Lê Ngô Cát</v>
      </c>
      <c r="D4638" s="119" t="str">
        <f>IFERROR(__xludf.DUMMYFUNCTION("""COMPUTED_VALUE"""),"chó")</f>
        <v>chó</v>
      </c>
      <c r="E4638" s="119" t="str">
        <f>IFERROR(__xludf.DUMMYFUNCTION("""COMPUTED_VALUE""")," boy ")</f>
        <v> boy </v>
      </c>
    </row>
    <row r="4639" ht="15.75" customHeight="1">
      <c r="A4639" s="122" t="str">
        <f>IFERROR(__xludf.DUMMYFUNCTION("""COMPUTED_VALUE"""),"0932 447 054")</f>
        <v>0932 447 054</v>
      </c>
      <c r="B4639" s="119" t="str">
        <f>IFERROR(__xludf.DUMMYFUNCTION("""COMPUTED_VALUE"""),"Chị Tiên")</f>
        <v>Chị Tiên</v>
      </c>
      <c r="C4639" s="119" t="str">
        <f>IFERROR(__xludf.DUMMYFUNCTION("""COMPUTED_VALUE"""),"Thuỷ Phú")</f>
        <v>Thuỷ Phú</v>
      </c>
      <c r="D4639" s="119" t="str">
        <f>IFERROR(__xludf.DUMMYFUNCTION("""COMPUTED_VALUE"""),"chó")</f>
        <v>chó</v>
      </c>
      <c r="E4639" s="119" t="str">
        <f>IFERROR(__xludf.DUMMYFUNCTION("""COMPUTED_VALUE"""),"Fox")</f>
        <v>Fox</v>
      </c>
    </row>
    <row r="4640" ht="15.75" customHeight="1">
      <c r="A4640" s="122" t="str">
        <f>IFERROR(__xludf.DUMMYFUNCTION("""COMPUTED_VALUE"""),"0366 242 084")</f>
        <v>0366 242 084</v>
      </c>
      <c r="B4640" s="119" t="str">
        <f>IFERROR(__xludf.DUMMYFUNCTION("""COMPUTED_VALUE"""),"Chị Như Ý")</f>
        <v>Chị Như Ý</v>
      </c>
      <c r="C4640" s="119" t="str">
        <f>IFERROR(__xludf.DUMMYFUNCTION("""COMPUTED_VALUE"""),"Lô D3  kV KQH Tản Đà")</f>
        <v>Lô D3  kV KQH Tản Đà</v>
      </c>
      <c r="D4640" s="119" t="str">
        <f>IFERROR(__xludf.DUMMYFUNCTION("""COMPUTED_VALUE"""),"chó")</f>
        <v>chó</v>
      </c>
      <c r="E4640" s="119" t="str">
        <f>IFERROR(__xludf.DUMMYFUNCTION("""COMPUTED_VALUE""")," CoCa")</f>
        <v> CoCa</v>
      </c>
    </row>
    <row r="4641" ht="15.75" customHeight="1">
      <c r="A4641" s="122" t="str">
        <f>IFERROR(__xludf.DUMMYFUNCTION("""COMPUTED_VALUE"""),"0935 030 518")</f>
        <v>0935 030 518</v>
      </c>
      <c r="B4641" s="119" t="str">
        <f>IFERROR(__xludf.DUMMYFUNCTION("""COMPUTED_VALUE"""),"Chị Nguyễn Thị Sương")</f>
        <v>Chị Nguyễn Thị Sương</v>
      </c>
      <c r="C4641" s="119" t="str">
        <f>IFERROR(__xludf.DUMMYFUNCTION("""COMPUTED_VALUE"""),"240/43 Lý Nma Đế")</f>
        <v>240/43 Lý Nma Đế</v>
      </c>
      <c r="D4641" s="119" t="str">
        <f>IFERROR(__xludf.DUMMYFUNCTION("""COMPUTED_VALUE"""),"Chó")</f>
        <v>Chó</v>
      </c>
      <c r="E4641" s="119" t="str">
        <f>IFERROR(__xludf.DUMMYFUNCTION("""COMPUTED_VALUE""")," Ko Tên")</f>
        <v> Ko Tên</v>
      </c>
    </row>
    <row r="4642" ht="15.75" customHeight="1">
      <c r="A4642" s="122" t="str">
        <f>IFERROR(__xludf.DUMMYFUNCTION("""COMPUTED_VALUE"""),"0945 895 013")</f>
        <v>0945 895 013</v>
      </c>
      <c r="B4642" s="119" t="str">
        <f>IFERROR(__xludf.DUMMYFUNCTION("""COMPUTED_VALUE"""),"Châu Anh")</f>
        <v>Châu Anh</v>
      </c>
      <c r="C4642" s="119" t="str">
        <f>IFERROR(__xludf.DUMMYFUNCTION("""COMPUTED_VALUE"""),"C2 90 KQH Phú Mỹ Thượng")</f>
        <v>C2 90 KQH Phú Mỹ Thượng</v>
      </c>
      <c r="D4642" s="119" t="str">
        <f>IFERROR(__xludf.DUMMYFUNCTION("""COMPUTED_VALUE"""),"mèo ")</f>
        <v>mèo </v>
      </c>
      <c r="E4642" s="119" t="str">
        <f>IFERROR(__xludf.DUMMYFUNCTION("""COMPUTED_VALUE"""),"Chó")</f>
        <v>Chó</v>
      </c>
    </row>
    <row r="4643" ht="15.75" customHeight="1">
      <c r="A4643" s="122" t="str">
        <f>IFERROR(__xludf.DUMMYFUNCTION("""COMPUTED_VALUE"""),"0327 666 780")</f>
        <v>0327 666 780</v>
      </c>
      <c r="B4643" s="119" t="str">
        <f>IFERROR(__xludf.DUMMYFUNCTION("""COMPUTED_VALUE"""),"Chị Thảo")</f>
        <v>Chị Thảo</v>
      </c>
      <c r="C4643" s="119" t="str">
        <f>IFERROR(__xludf.DUMMYFUNCTION("""COMPUTED_VALUE"""),"74 Phạm Thị Liên")</f>
        <v>74 Phạm Thị Liên</v>
      </c>
      <c r="D4643" s="119" t="str">
        <f>IFERROR(__xludf.DUMMYFUNCTION("""COMPUTED_VALUE"""),"mèo")</f>
        <v>mèo</v>
      </c>
      <c r="E4643" s="119" t="str">
        <f>IFERROR(__xludf.DUMMYFUNCTION("""COMPUTED_VALUE"""),"Tan")</f>
        <v>Tan</v>
      </c>
    </row>
    <row r="4644" ht="15.75" customHeight="1">
      <c r="A4644" s="122" t="str">
        <f>IFERROR(__xludf.DUMMYFUNCTION("""COMPUTED_VALUE"""),"0398 743 568")</f>
        <v>0398 743 568</v>
      </c>
      <c r="B4644" s="119" t="str">
        <f>IFERROR(__xludf.DUMMYFUNCTION("""COMPUTED_VALUE"""),"Em Cẩm Tú")</f>
        <v>Em Cẩm Tú</v>
      </c>
      <c r="C4644" s="119" t="str">
        <f>IFERROR(__xludf.DUMMYFUNCTION("""COMPUTED_VALUE"""),"51 Minh Mạng")</f>
        <v>51 Minh Mạng</v>
      </c>
      <c r="D4644" s="119" t="str">
        <f>IFERROR(__xludf.DUMMYFUNCTION("""COMPUTED_VALUE"""),"Chó")</f>
        <v>Chó</v>
      </c>
      <c r="E4644" s="119" t="str">
        <f>IFERROR(__xludf.DUMMYFUNCTION("""COMPUTED_VALUE"""),"Win")</f>
        <v>Win</v>
      </c>
    </row>
    <row r="4645" ht="15.75" customHeight="1">
      <c r="A4645" s="122" t="str">
        <f>IFERROR(__xludf.DUMMYFUNCTION("""COMPUTED_VALUE"""),"0931 976 312")</f>
        <v>0931 976 312</v>
      </c>
      <c r="B4645" s="119" t="str">
        <f>IFERROR(__xludf.DUMMYFUNCTION("""COMPUTED_VALUE"""),"Dì Thúy")</f>
        <v>Dì Thúy</v>
      </c>
      <c r="C4645" s="119" t="str">
        <f>IFERROR(__xludf.DUMMYFUNCTION("""COMPUTED_VALUE"""),"1/93 Đặng Văn Ngữ")</f>
        <v>1/93 Đặng Văn Ngữ</v>
      </c>
      <c r="D4645" s="119" t="str">
        <f>IFERROR(__xludf.DUMMYFUNCTION("""COMPUTED_VALUE"""),"Chó")</f>
        <v>Chó</v>
      </c>
      <c r="E4645" s="119" t="str">
        <f>IFERROR(__xludf.DUMMYFUNCTION("""COMPUTED_VALUE"""),"Mây")</f>
        <v>Mây</v>
      </c>
    </row>
    <row r="4646" ht="15.75" customHeight="1">
      <c r="A4646" s="122" t="str">
        <f>IFERROR(__xludf.DUMMYFUNCTION("""COMPUTED_VALUE"""),"0932 564 416")</f>
        <v>0932 564 416</v>
      </c>
      <c r="B4646" s="119" t="str">
        <f>IFERROR(__xludf.DUMMYFUNCTION("""COMPUTED_VALUE"""),"Chị Nhi")</f>
        <v>Chị Nhi</v>
      </c>
      <c r="C4646" s="119" t="str">
        <f>IFERROR(__xludf.DUMMYFUNCTION("""COMPUTED_VALUE"""),"32 Đào Tấn")</f>
        <v>32 Đào Tấn</v>
      </c>
      <c r="D4646" s="119" t="str">
        <f>IFERROR(__xludf.DUMMYFUNCTION("""COMPUTED_VALUE"""),"Chó")</f>
        <v>Chó</v>
      </c>
      <c r="E4646" s="119" t="str">
        <f>IFERROR(__xludf.DUMMYFUNCTION("""COMPUTED_VALUE"""),"Miu")</f>
        <v>Miu</v>
      </c>
    </row>
    <row r="4647" ht="15.75" customHeight="1">
      <c r="A4647" s="122" t="str">
        <f>IFERROR(__xludf.DUMMYFUNCTION("""COMPUTED_VALUE"""),"0898 225 022")</f>
        <v>0898 225 022</v>
      </c>
      <c r="B4647" s="119" t="str">
        <f>IFERROR(__xludf.DUMMYFUNCTION("""COMPUTED_VALUE"""),"Chị Ánh Châu")</f>
        <v>Chị Ánh Châu</v>
      </c>
      <c r="C4647" s="119" t="str">
        <f>IFERROR(__xludf.DUMMYFUNCTION("""COMPUTED_VALUE"""),"4 kiệt 31 Lịch Đợi")</f>
        <v>4 kiệt 31 Lịch Đợi</v>
      </c>
      <c r="D4647" s="119" t="str">
        <f>IFERROR(__xludf.DUMMYFUNCTION("""COMPUTED_VALUE"""),"chó")</f>
        <v>chó</v>
      </c>
      <c r="E4647" s="119"/>
    </row>
    <row r="4648" ht="15.75" customHeight="1">
      <c r="A4648" s="122" t="str">
        <f>IFERROR(__xludf.DUMMYFUNCTION("""COMPUTED_VALUE"""),"0377 661 766")</f>
        <v>0377 661 766</v>
      </c>
      <c r="B4648" s="119" t="str">
        <f>IFERROR(__xludf.DUMMYFUNCTION("""COMPUTED_VALUE"""),"Anh Bi")</f>
        <v>Anh Bi</v>
      </c>
      <c r="C4648" s="119" t="str">
        <f>IFERROR(__xludf.DUMMYFUNCTION("""COMPUTED_VALUE"""),"Đặng Huy Trứ")</f>
        <v>Đặng Huy Trứ</v>
      </c>
      <c r="D4648" s="119" t="str">
        <f>IFERROR(__xludf.DUMMYFUNCTION("""COMPUTED_VALUE"""),"Chó")</f>
        <v>Chó</v>
      </c>
      <c r="E4648" s="119" t="str">
        <f>IFERROR(__xludf.DUMMYFUNCTION("""COMPUTED_VALUE"""),"Windy")</f>
        <v>Windy</v>
      </c>
    </row>
    <row r="4649" ht="15.75" customHeight="1">
      <c r="A4649" s="122" t="str">
        <f>IFERROR(__xludf.DUMMYFUNCTION("""COMPUTED_VALUE"""),"0969 430 953")</f>
        <v>0969 430 953</v>
      </c>
      <c r="B4649" s="119" t="str">
        <f>IFERROR(__xludf.DUMMYFUNCTION("""COMPUTED_VALUE"""),"Em Thương")</f>
        <v>Em Thương</v>
      </c>
      <c r="C4649" s="119" t="str">
        <f>IFERROR(__xludf.DUMMYFUNCTION("""COMPUTED_VALUE"""),"87 Nguyễn huệ")</f>
        <v>87 Nguyễn huệ</v>
      </c>
      <c r="D4649" s="119" t="str">
        <f>IFERROR(__xludf.DUMMYFUNCTION("""COMPUTED_VALUE"""),"Mèo")</f>
        <v>Mèo</v>
      </c>
      <c r="E4649" s="119" t="str">
        <f>IFERROR(__xludf.DUMMYFUNCTION("""COMPUTED_VALUE"""),"Đường")</f>
        <v>Đường</v>
      </c>
    </row>
    <row r="4650" ht="15.75" customHeight="1">
      <c r="A4650" s="122" t="str">
        <f>IFERROR(__xludf.DUMMYFUNCTION("""COMPUTED_VALUE"""),"0905 216 999")</f>
        <v>0905 216 999</v>
      </c>
      <c r="B4650" s="119" t="str">
        <f>IFERROR(__xludf.DUMMYFUNCTION("""COMPUTED_VALUE"""),"Chị Thu")</f>
        <v>Chị Thu</v>
      </c>
      <c r="C4650" s="119" t="str">
        <f>IFERROR(__xludf.DUMMYFUNCTION("""COMPUTED_VALUE"""),"Đông Hà - Quãng Trị ")</f>
        <v>Đông Hà - Quãng Trị </v>
      </c>
      <c r="D4650" s="119" t="str">
        <f>IFERROR(__xludf.DUMMYFUNCTION("""COMPUTED_VALUE"""),"Chó")</f>
        <v>Chó</v>
      </c>
      <c r="E4650" s="119" t="str">
        <f>IFERROR(__xludf.DUMMYFUNCTION("""COMPUTED_VALUE"""),"Sam")</f>
        <v>Sam</v>
      </c>
    </row>
    <row r="4651" ht="15.75" customHeight="1">
      <c r="A4651" s="122" t="str">
        <f>IFERROR(__xludf.DUMMYFUNCTION("""COMPUTED_VALUE"""),"0935 109 987")</f>
        <v>0935 109 987</v>
      </c>
      <c r="B4651" s="119" t="str">
        <f>IFERROR(__xludf.DUMMYFUNCTION("""COMPUTED_VALUE"""),"Chị Ly")</f>
        <v>Chị Ly</v>
      </c>
      <c r="C4651" s="119" t="str">
        <f>IFERROR(__xludf.DUMMYFUNCTION("""COMPUTED_VALUE"""),"Hương Thọ - Hương Hồ")</f>
        <v>Hương Thọ - Hương Hồ</v>
      </c>
      <c r="D4651" s="119" t="str">
        <f>IFERROR(__xludf.DUMMYFUNCTION("""COMPUTED_VALUE"""),"Chó")</f>
        <v>Chó</v>
      </c>
      <c r="E4651" s="119" t="str">
        <f>IFERROR(__xludf.DUMMYFUNCTION("""COMPUTED_VALUE"""),"Chun")</f>
        <v>Chun</v>
      </c>
    </row>
    <row r="4652" ht="15.75" customHeight="1">
      <c r="A4652" s="122" t="str">
        <f>IFERROR(__xludf.DUMMYFUNCTION("""COMPUTED_VALUE"""),"0964 335 373")</f>
        <v>0964 335 373</v>
      </c>
      <c r="B4652" s="119" t="str">
        <f>IFERROR(__xludf.DUMMYFUNCTION("""COMPUTED_VALUE"""),"Chị Vân ")</f>
        <v>Chị Vân </v>
      </c>
      <c r="C4652" s="119" t="str">
        <f>IFERROR(__xludf.DUMMYFUNCTION("""COMPUTED_VALUE"""),"19/60 Khúc Thừa Dụ")</f>
        <v>19/60 Khúc Thừa Dụ</v>
      </c>
      <c r="D4652" s="119" t="str">
        <f>IFERROR(__xludf.DUMMYFUNCTION("""COMPUTED_VALUE"""),"mèo")</f>
        <v>mèo</v>
      </c>
      <c r="E4652" s="119" t="str">
        <f>IFERROR(__xludf.DUMMYFUNCTION("""COMPUTED_VALUE"""),"Khoai Lang")</f>
        <v>Khoai Lang</v>
      </c>
    </row>
    <row r="4653" ht="15.75" customHeight="1">
      <c r="A4653" s="122" t="str">
        <f>IFERROR(__xludf.DUMMYFUNCTION("""COMPUTED_VALUE"""),"0905 960 130")</f>
        <v>0905 960 130</v>
      </c>
      <c r="B4653" s="119" t="str">
        <f>IFERROR(__xludf.DUMMYFUNCTION("""COMPUTED_VALUE"""),"Em Thắng")</f>
        <v>Em Thắng</v>
      </c>
      <c r="C4653" s="119" t="str">
        <f>IFERROR(__xludf.DUMMYFUNCTION("""COMPUTED_VALUE"""),"18/36 Đông Đa")</f>
        <v>18/36 Đông Đa</v>
      </c>
      <c r="D4653" s="119" t="str">
        <f>IFERROR(__xludf.DUMMYFUNCTION("""COMPUTED_VALUE"""),"chó")</f>
        <v>chó</v>
      </c>
      <c r="E4653" s="119" t="str">
        <f>IFERROR(__xludf.DUMMYFUNCTION("""COMPUTED_VALUE"""),"Shin")</f>
        <v>Shin</v>
      </c>
    </row>
    <row r="4654" ht="15.75" customHeight="1">
      <c r="A4654" s="122" t="str">
        <f>IFERROR(__xludf.DUMMYFUNCTION("""COMPUTED_VALUE"""),"0974 198 246")</f>
        <v>0974 198 246</v>
      </c>
      <c r="B4654" s="119" t="str">
        <f>IFERROR(__xludf.DUMMYFUNCTION("""COMPUTED_VALUE"""),"Anh Lê Tường Thắng")</f>
        <v>Anh Lê Tường Thắng</v>
      </c>
      <c r="C4654" s="119" t="str">
        <f>IFERROR(__xludf.DUMMYFUNCTION("""COMPUTED_VALUE"""),"Lô A9 Khu Quy Hoạch Đại Học Huế")</f>
        <v>Lô A9 Khu Quy Hoạch Đại Học Huế</v>
      </c>
      <c r="D4654" s="119" t="str">
        <f>IFERROR(__xludf.DUMMYFUNCTION("""COMPUTED_VALUE"""),"CHÓ ")</f>
        <v>CHÓ </v>
      </c>
      <c r="E4654" s="119" t="str">
        <f>IFERROR(__xludf.DUMMYFUNCTION("""COMPUTED_VALUE"""),"Lu")</f>
        <v>Lu</v>
      </c>
    </row>
    <row r="4655" ht="15.75" customHeight="1">
      <c r="A4655" s="122" t="str">
        <f>IFERROR(__xludf.DUMMYFUNCTION("""COMPUTED_VALUE"""),"0909 285 789")</f>
        <v>0909 285 789</v>
      </c>
      <c r="B4655" s="119" t="str">
        <f>IFERROR(__xludf.DUMMYFUNCTION("""COMPUTED_VALUE"""),"Chị Châu")</f>
        <v>Chị Châu</v>
      </c>
      <c r="C4655" s="119" t="str">
        <f>IFERROR(__xludf.DUMMYFUNCTION("""COMPUTED_VALUE"""),"19 Đặng Thái Thân")</f>
        <v>19 Đặng Thái Thân</v>
      </c>
      <c r="D4655" s="119" t="str">
        <f>IFERROR(__xludf.DUMMYFUNCTION("""COMPUTED_VALUE"""),"Chó")</f>
        <v>Chó</v>
      </c>
      <c r="E4655" s="119" t="str">
        <f>IFERROR(__xludf.DUMMYFUNCTION("""COMPUTED_VALUE"""),"Bông")</f>
        <v>Bông</v>
      </c>
    </row>
    <row r="4656" ht="15.75" customHeight="1">
      <c r="A4656" s="122" t="str">
        <f>IFERROR(__xludf.DUMMYFUNCTION("""COMPUTED_VALUE"""),"0383 401 738")</f>
        <v>0383 401 738</v>
      </c>
      <c r="B4656" s="119" t="str">
        <f>IFERROR(__xludf.DUMMYFUNCTION("""COMPUTED_VALUE"""),"Chị Uyên")</f>
        <v>Chị Uyên</v>
      </c>
      <c r="C4656" s="119" t="str">
        <f>IFERROR(__xludf.DUMMYFUNCTION("""COMPUTED_VALUE"""),"Mỹ Thượng")</f>
        <v>Mỹ Thượng</v>
      </c>
      <c r="D4656" s="119" t="str">
        <f>IFERROR(__xludf.DUMMYFUNCTION("""COMPUTED_VALUE"""),"Chó")</f>
        <v>Chó</v>
      </c>
      <c r="E4656" s="119" t="str">
        <f>IFERROR(__xludf.DUMMYFUNCTION("""COMPUTED_VALUE"""),"Lùn")</f>
        <v>Lùn</v>
      </c>
    </row>
    <row r="4657" ht="15.75" customHeight="1">
      <c r="A4657" s="122" t="str">
        <f>IFERROR(__xludf.DUMMYFUNCTION("""COMPUTED_VALUE"""),"0905 969 372")</f>
        <v>0905 969 372</v>
      </c>
      <c r="B4657" s="119" t="str">
        <f>IFERROR(__xludf.DUMMYFUNCTION("""COMPUTED_VALUE"""),"Anh Văn")</f>
        <v>Anh Văn</v>
      </c>
      <c r="C4657" s="119" t="str">
        <f>IFERROR(__xludf.DUMMYFUNCTION("""COMPUTED_VALUE"""),"Hùng Vương")</f>
        <v>Hùng Vương</v>
      </c>
      <c r="D4657" s="119" t="str">
        <f>IFERROR(__xludf.DUMMYFUNCTION("""COMPUTED_VALUE"""),"Chó")</f>
        <v>Chó</v>
      </c>
      <c r="E4657" s="119" t="str">
        <f>IFERROR(__xludf.DUMMYFUNCTION("""COMPUTED_VALUE"""),"Lu")</f>
        <v>Lu</v>
      </c>
    </row>
    <row r="4658" ht="15.75" customHeight="1">
      <c r="A4658" s="122" t="str">
        <f>IFERROR(__xludf.DUMMYFUNCTION("""COMPUTED_VALUE"""),"0523 659 817")</f>
        <v>0523 659 817</v>
      </c>
      <c r="B4658" s="119" t="str">
        <f>IFERROR(__xludf.DUMMYFUNCTION("""COMPUTED_VALUE"""),"Khánh Hà")</f>
        <v>Khánh Hà</v>
      </c>
      <c r="C4658" s="119"/>
      <c r="D4658" s="119"/>
      <c r="E4658" s="119"/>
    </row>
    <row r="4659" ht="15.75" customHeight="1">
      <c r="A4659" s="122" t="str">
        <f>IFERROR(__xludf.DUMMYFUNCTION("""COMPUTED_VALUE"""),"0934 932 292")</f>
        <v>0934 932 292</v>
      </c>
      <c r="B4659" s="119" t="str">
        <f>IFERROR(__xludf.DUMMYFUNCTION("""COMPUTED_VALUE"""),"anh Thịnh")</f>
        <v>anh Thịnh</v>
      </c>
      <c r="C4659" s="119" t="str">
        <f>IFERROR(__xludf.DUMMYFUNCTION("""COMPUTED_VALUE"""),"71 An Dương Vương")</f>
        <v>71 An Dương Vương</v>
      </c>
      <c r="D4659" s="119" t="str">
        <f>IFERROR(__xludf.DUMMYFUNCTION("""COMPUTED_VALUE"""),"Chó")</f>
        <v>Chó</v>
      </c>
      <c r="E4659" s="119" t="str">
        <f>IFERROR(__xludf.DUMMYFUNCTION("""COMPUTED_VALUE"""),"Mi")</f>
        <v>Mi</v>
      </c>
    </row>
    <row r="4660" ht="15.75" customHeight="1">
      <c r="A4660" s="122" t="str">
        <f>IFERROR(__xludf.DUMMYFUNCTION("""COMPUTED_VALUE"""),"0899 878 970")</f>
        <v>0899 878 970</v>
      </c>
      <c r="B4660" s="119" t="str">
        <f>IFERROR(__xludf.DUMMYFUNCTION("""COMPUTED_VALUE"""),"Thầy Khánh Chơn")</f>
        <v>Thầy Khánh Chơn</v>
      </c>
      <c r="C4660" s="119" t="str">
        <f>IFERROR(__xludf.DUMMYFUNCTION("""COMPUTED_VALUE"""),"Chùa Thiên Mụ")</f>
        <v>Chùa Thiên Mụ</v>
      </c>
      <c r="D4660" s="119" t="str">
        <f>IFERROR(__xludf.DUMMYFUNCTION("""COMPUTED_VALUE"""),"mèo")</f>
        <v>mèo</v>
      </c>
      <c r="E4660" s="119" t="str">
        <f>IFERROR(__xludf.DUMMYFUNCTION("""COMPUTED_VALUE"""),"Méo")</f>
        <v>Méo</v>
      </c>
    </row>
    <row r="4661" ht="15.75" customHeight="1">
      <c r="A4661" s="122" t="str">
        <f>IFERROR(__xludf.DUMMYFUNCTION("""COMPUTED_VALUE"""),"0915 488 534")</f>
        <v>0915 488 534</v>
      </c>
      <c r="B4661" s="119" t="str">
        <f>IFERROR(__xludf.DUMMYFUNCTION("""COMPUTED_VALUE"""),"Dì Lê Thị Lê")</f>
        <v>Dì Lê Thị Lê</v>
      </c>
      <c r="C4661" s="119" t="str">
        <f>IFERROR(__xludf.DUMMYFUNCTION("""COMPUTED_VALUE"""),"Dạ Lê")</f>
        <v>Dạ Lê</v>
      </c>
      <c r="D4661" s="119" t="str">
        <f>IFERROR(__xludf.DUMMYFUNCTION("""COMPUTED_VALUE"""),"Chó")</f>
        <v>Chó</v>
      </c>
      <c r="E4661" s="119" t="str">
        <f>IFERROR(__xludf.DUMMYFUNCTION("""COMPUTED_VALUE"""),"Susu")</f>
        <v>Susu</v>
      </c>
    </row>
    <row r="4662" ht="15.75" customHeight="1">
      <c r="A4662" s="122" t="str">
        <f>IFERROR(__xludf.DUMMYFUNCTION("""COMPUTED_VALUE"""),"0366 454 815")</f>
        <v>0366 454 815</v>
      </c>
      <c r="B4662" s="119" t="str">
        <f>IFERROR(__xludf.DUMMYFUNCTION("""COMPUTED_VALUE"""),"Dì Như")</f>
        <v>Dì Như</v>
      </c>
      <c r="C4662" s="119" t="str">
        <f>IFERROR(__xludf.DUMMYFUNCTION("""COMPUTED_VALUE"""),"5/9 Nam Giao")</f>
        <v>5/9 Nam Giao</v>
      </c>
      <c r="D4662" s="119" t="str">
        <f>IFERROR(__xludf.DUMMYFUNCTION("""COMPUTED_VALUE"""),"Chó")</f>
        <v>Chó</v>
      </c>
      <c r="E4662" s="119" t="str">
        <f>IFERROR(__xludf.DUMMYFUNCTION("""COMPUTED_VALUE"""),"Gòn")</f>
        <v>Gòn</v>
      </c>
    </row>
    <row r="4663" ht="15.75" customHeight="1">
      <c r="A4663" s="122" t="str">
        <f>IFERROR(__xludf.DUMMYFUNCTION("""COMPUTED_VALUE"""),"0825 886 361")</f>
        <v>0825 886 361</v>
      </c>
      <c r="B4663" s="119" t="str">
        <f>IFERROR(__xludf.DUMMYFUNCTION("""COMPUTED_VALUE"""),"Chị Châu")</f>
        <v>Chị Châu</v>
      </c>
      <c r="C4663" s="119" t="str">
        <f>IFERROR(__xludf.DUMMYFUNCTION("""COMPUTED_VALUE"""),"Phạm Thị Liên")</f>
        <v>Phạm Thị Liên</v>
      </c>
      <c r="D4663" s="119" t="str">
        <f>IFERROR(__xludf.DUMMYFUNCTION("""COMPUTED_VALUE"""),"Mèo")</f>
        <v>Mèo</v>
      </c>
      <c r="E4663" s="119" t="str">
        <f>IFERROR(__xludf.DUMMYFUNCTION("""COMPUTED_VALUE"""),"La")</f>
        <v>La</v>
      </c>
    </row>
    <row r="4664" ht="15.75" customHeight="1">
      <c r="A4664" s="122" t="str">
        <f>IFERROR(__xludf.DUMMYFUNCTION("""COMPUTED_VALUE"""),"0907 347 454")</f>
        <v>0907 347 454</v>
      </c>
      <c r="B4664" s="119" t="str">
        <f>IFERROR(__xludf.DUMMYFUNCTION("""COMPUTED_VALUE"""),"Dì Hoá")</f>
        <v>Dì Hoá</v>
      </c>
      <c r="C4664" s="119" t="str">
        <f>IFERROR(__xludf.DUMMYFUNCTION("""COMPUTED_VALUE"""),"Hương Hồ")</f>
        <v>Hương Hồ</v>
      </c>
      <c r="D4664" s="119" t="str">
        <f>IFERROR(__xludf.DUMMYFUNCTION("""COMPUTED_VALUE"""),"Chó")</f>
        <v>Chó</v>
      </c>
      <c r="E4664" s="119" t="str">
        <f>IFERROR(__xludf.DUMMYFUNCTION("""COMPUTED_VALUE"""),"Rốt")</f>
        <v>Rốt</v>
      </c>
    </row>
    <row r="4665" ht="15.75" customHeight="1">
      <c r="A4665" s="122" t="str">
        <f>IFERROR(__xludf.DUMMYFUNCTION("""COMPUTED_VALUE"""),"0344 043 684")</f>
        <v>0344 043 684</v>
      </c>
      <c r="B4665" s="119" t="str">
        <f>IFERROR(__xludf.DUMMYFUNCTION("""COMPUTED_VALUE"""),"Hồng Minh")</f>
        <v>Hồng Minh</v>
      </c>
      <c r="C4665" s="119" t="str">
        <f>IFERROR(__xludf.DUMMYFUNCTION("""COMPUTED_VALUE"""),"212 Bùi Thị Xuân")</f>
        <v>212 Bùi Thị Xuân</v>
      </c>
      <c r="D4665" s="119" t="str">
        <f>IFERROR(__xludf.DUMMYFUNCTION("""COMPUTED_VALUE"""),"Mèo")</f>
        <v>Mèo</v>
      </c>
      <c r="E4665" s="119" t="str">
        <f>IFERROR(__xludf.DUMMYFUNCTION("""COMPUTED_VALUE"""),"Tấm")</f>
        <v>Tấm</v>
      </c>
    </row>
    <row r="4666" ht="15.75" customHeight="1">
      <c r="A4666" s="122" t="str">
        <f>IFERROR(__xludf.DUMMYFUNCTION("""COMPUTED_VALUE"""),"0905 833 595")</f>
        <v>0905 833 595</v>
      </c>
      <c r="B4666" s="119" t="str">
        <f>IFERROR(__xludf.DUMMYFUNCTION("""COMPUTED_VALUE"""),"Lê Hữu Hiền")</f>
        <v>Lê Hữu Hiền</v>
      </c>
      <c r="C4666" s="119" t="str">
        <f>IFERROR(__xludf.DUMMYFUNCTION("""COMPUTED_VALUE"""),"152 Bùi Thị Xuân")</f>
        <v>152 Bùi Thị Xuân</v>
      </c>
      <c r="D4666" s="119" t="str">
        <f>IFERROR(__xludf.DUMMYFUNCTION("""COMPUTED_VALUE"""),"Chó")</f>
        <v>Chó</v>
      </c>
      <c r="E4666" s="119" t="str">
        <f>IFERROR(__xludf.DUMMYFUNCTION("""COMPUTED_VALUE"""),"Trắng")</f>
        <v>Trắng</v>
      </c>
    </row>
    <row r="4667" ht="15.75" customHeight="1">
      <c r="A4667" s="122" t="str">
        <f>IFERROR(__xludf.DUMMYFUNCTION("""COMPUTED_VALUE"""),"0772 422 007")</f>
        <v>0772 422 007</v>
      </c>
      <c r="B4667" s="119" t="str">
        <f>IFERROR(__xludf.DUMMYFUNCTION("""COMPUTED_VALUE"""),"Chị Thuỳ Trâm")</f>
        <v>Chị Thuỳ Trâm</v>
      </c>
      <c r="C4667" s="119"/>
      <c r="D4667" s="119" t="str">
        <f>IFERROR(__xludf.DUMMYFUNCTION("""COMPUTED_VALUE"""),"chó")</f>
        <v>chó</v>
      </c>
      <c r="E4667" s="119" t="str">
        <f>IFERROR(__xludf.DUMMYFUNCTION("""COMPUTED_VALUE"""),"Gấu")</f>
        <v>Gấu</v>
      </c>
    </row>
    <row r="4668" ht="15.75" customHeight="1">
      <c r="A4668" s="122" t="str">
        <f>IFERROR(__xludf.DUMMYFUNCTION("""COMPUTED_VALUE"""),"0988 723 851")</f>
        <v>0988 723 851</v>
      </c>
      <c r="B4668" s="119" t="str">
        <f>IFERROR(__xludf.DUMMYFUNCTION("""COMPUTED_VALUE"""),"Nguyễn Đăng Vinh")</f>
        <v>Nguyễn Đăng Vinh</v>
      </c>
      <c r="C4668" s="119" t="str">
        <f>IFERROR(__xludf.DUMMYFUNCTION("""COMPUTED_VALUE"""),"67/1 Nguyễn Hoàng")</f>
        <v>67/1 Nguyễn Hoàng</v>
      </c>
      <c r="D4668" s="119" t="str">
        <f>IFERROR(__xludf.DUMMYFUNCTION("""COMPUTED_VALUE"""),"Mèo")</f>
        <v>Mèo</v>
      </c>
      <c r="E4668" s="119" t="str">
        <f>IFERROR(__xludf.DUMMYFUNCTION("""COMPUTED_VALUE"""),"Meo")</f>
        <v>Meo</v>
      </c>
    </row>
    <row r="4669" ht="15.75" customHeight="1">
      <c r="A4669" s="122" t="str">
        <f>IFERROR(__xludf.DUMMYFUNCTION("""COMPUTED_VALUE"""),"0385 102 734")</f>
        <v>0385 102 734</v>
      </c>
      <c r="B4669" s="119" t="str">
        <f>IFERROR(__xludf.DUMMYFUNCTION("""COMPUTED_VALUE"""),"Đặng Văn Bảo")</f>
        <v>Đặng Văn Bảo</v>
      </c>
      <c r="C4669" s="119" t="str">
        <f>IFERROR(__xludf.DUMMYFUNCTION("""COMPUTED_VALUE"""),"304 Văn Thánh")</f>
        <v>304 Văn Thánh</v>
      </c>
      <c r="D4669" s="119" t="str">
        <f>IFERROR(__xludf.DUMMYFUNCTION("""COMPUTED_VALUE"""),"vẹt")</f>
        <v>vẹt</v>
      </c>
      <c r="E4669" s="119" t="str">
        <f>IFERROR(__xludf.DUMMYFUNCTION("""COMPUTED_VALUE"""),"Em")</f>
        <v>Em</v>
      </c>
    </row>
    <row r="4670" ht="15.75" customHeight="1">
      <c r="A4670" s="122" t="str">
        <f>IFERROR(__xludf.DUMMYFUNCTION("""COMPUTED_VALUE"""),"0968 420 532")</f>
        <v>0968 420 532</v>
      </c>
      <c r="B4670" s="119" t="str">
        <f>IFERROR(__xludf.DUMMYFUNCTION("""COMPUTED_VALUE"""),"Anh Toàn")</f>
        <v>Anh Toàn</v>
      </c>
      <c r="C4670" s="119" t="str">
        <f>IFERROR(__xludf.DUMMYFUNCTION("""COMPUTED_VALUE"""),"14/310 Lý Nam Đế")</f>
        <v>14/310 Lý Nam Đế</v>
      </c>
      <c r="D4670" s="119" t="str">
        <f>IFERROR(__xludf.DUMMYFUNCTION("""COMPUTED_VALUE"""),"mèo")</f>
        <v>mèo</v>
      </c>
      <c r="E4670" s="119" t="str">
        <f>IFERROR(__xludf.DUMMYFUNCTION("""COMPUTED_VALUE"""),"Xám")</f>
        <v>Xám</v>
      </c>
    </row>
    <row r="4671" ht="15.75" customHeight="1">
      <c r="A4671" s="122" t="str">
        <f>IFERROR(__xludf.DUMMYFUNCTION("""COMPUTED_VALUE"""),"0905 077 576")</f>
        <v>0905 077 576</v>
      </c>
      <c r="B4671" s="119" t="str">
        <f>IFERROR(__xludf.DUMMYFUNCTION("""COMPUTED_VALUE"""),"Anh Khoa")</f>
        <v>Anh Khoa</v>
      </c>
      <c r="C4671" s="119" t="str">
        <f>IFERROR(__xludf.DUMMYFUNCTION("""COMPUTED_VALUE"""),"14 Lựu Bảo")</f>
        <v>14 Lựu Bảo</v>
      </c>
      <c r="D4671" s="119" t="str">
        <f>IFERROR(__xludf.DUMMYFUNCTION("""COMPUTED_VALUE"""),"Chó")</f>
        <v>Chó</v>
      </c>
      <c r="E4671" s="119"/>
    </row>
    <row r="4672" ht="15.75" customHeight="1">
      <c r="A4672" s="122" t="str">
        <f>IFERROR(__xludf.DUMMYFUNCTION("""COMPUTED_VALUE"""),"0983 052 945")</f>
        <v>0983 052 945</v>
      </c>
      <c r="B4672" s="119" t="str">
        <f>IFERROR(__xludf.DUMMYFUNCTION("""COMPUTED_VALUE"""),"Chị Hằng")</f>
        <v>Chị Hằng</v>
      </c>
      <c r="C4672" s="119" t="str">
        <f>IFERROR(__xludf.DUMMYFUNCTION("""COMPUTED_VALUE"""),"5/1/Phạm Tu")</f>
        <v>5/1/Phạm Tu</v>
      </c>
      <c r="D4672" s="119" t="str">
        <f>IFERROR(__xludf.DUMMYFUNCTION("""COMPUTED_VALUE"""),"Chó")</f>
        <v>Chó</v>
      </c>
      <c r="E4672" s="119" t="str">
        <f>IFERROR(__xludf.DUMMYFUNCTION("""COMPUTED_VALUE"""),"Ta")</f>
        <v>Ta</v>
      </c>
    </row>
    <row r="4673" ht="15.75" customHeight="1">
      <c r="A4673" s="122" t="str">
        <f>IFERROR(__xludf.DUMMYFUNCTION("""COMPUTED_VALUE"""),"0971 968 340")</f>
        <v>0971 968 340</v>
      </c>
      <c r="B4673" s="119" t="str">
        <f>IFERROR(__xludf.DUMMYFUNCTION("""COMPUTED_VALUE"""),"Em Trung")</f>
        <v>Em Trung</v>
      </c>
      <c r="C4673" s="119" t="str">
        <f>IFERROR(__xludf.DUMMYFUNCTION("""COMPUTED_VALUE"""),"3/62A Hoàng Thị Loan")</f>
        <v>3/62A Hoàng Thị Loan</v>
      </c>
      <c r="D4673" s="119" t="str">
        <f>IFERROR(__xludf.DUMMYFUNCTION("""COMPUTED_VALUE"""),"chó")</f>
        <v>chó</v>
      </c>
      <c r="E4673" s="119" t="str">
        <f>IFERROR(__xludf.DUMMYFUNCTION("""COMPUTED_VALUE"""),"Lu")</f>
        <v>Lu</v>
      </c>
    </row>
    <row r="4674" ht="15.75" customHeight="1">
      <c r="A4674" s="122" t="str">
        <f>IFERROR(__xludf.DUMMYFUNCTION("""COMPUTED_VALUE"""),"0901 061 495")</f>
        <v>0901 061 495</v>
      </c>
      <c r="B4674" s="119" t="str">
        <f>IFERROR(__xludf.DUMMYFUNCTION("""COMPUTED_VALUE"""),"Chị Hoàng Anh")</f>
        <v>Chị Hoàng Anh</v>
      </c>
      <c r="C4674" s="119" t="str">
        <f>IFERROR(__xludf.DUMMYFUNCTION("""COMPUTED_VALUE"""),"27/36 Trần Quang Khải")</f>
        <v>27/36 Trần Quang Khải</v>
      </c>
      <c r="D4674" s="119" t="str">
        <f>IFERROR(__xludf.DUMMYFUNCTION("""COMPUTED_VALUE"""),"mèo")</f>
        <v>mèo</v>
      </c>
      <c r="E4674" s="119" t="str">
        <f>IFERROR(__xludf.DUMMYFUNCTION("""COMPUTED_VALUE"""),"Cá")</f>
        <v>Cá</v>
      </c>
    </row>
    <row r="4675" ht="15.75" customHeight="1">
      <c r="A4675" s="122" t="str">
        <f>IFERROR(__xludf.DUMMYFUNCTION("""COMPUTED_VALUE"""),"0932 533 911")</f>
        <v>0932 533 911</v>
      </c>
      <c r="B4675" s="119" t="str">
        <f>IFERROR(__xludf.DUMMYFUNCTION("""COMPUTED_VALUE"""),"Anh Đức")</f>
        <v>Anh Đức</v>
      </c>
      <c r="C4675" s="119"/>
      <c r="D4675" s="119" t="str">
        <f>IFERROR(__xludf.DUMMYFUNCTION("""COMPUTED_VALUE"""),"Chó")</f>
        <v>Chó</v>
      </c>
      <c r="E4675" s="119"/>
    </row>
    <row r="4676" ht="15.75" customHeight="1">
      <c r="A4676" s="122" t="str">
        <f>IFERROR(__xludf.DUMMYFUNCTION("""COMPUTED_VALUE"""),"0935 211 223")</f>
        <v>0935 211 223</v>
      </c>
      <c r="B4676" s="119" t="str">
        <f>IFERROR(__xludf.DUMMYFUNCTION("""COMPUTED_VALUE"""),"Anh Cường")</f>
        <v>Anh Cường</v>
      </c>
      <c r="C4676" s="119" t="str">
        <f>IFERROR(__xludf.DUMMYFUNCTION("""COMPUTED_VALUE"""),"52 Trần Cao Vân")</f>
        <v>52 Trần Cao Vân</v>
      </c>
      <c r="D4676" s="119" t="str">
        <f>IFERROR(__xludf.DUMMYFUNCTION("""COMPUTED_VALUE"""),"chó")</f>
        <v>chó</v>
      </c>
      <c r="E4676" s="119" t="str">
        <f>IFERROR(__xludf.DUMMYFUNCTION("""COMPUTED_VALUE"""),"Sunny")</f>
        <v>Sunny</v>
      </c>
    </row>
    <row r="4677" ht="15.75" customHeight="1">
      <c r="A4677" s="122" t="str">
        <f>IFERROR(__xludf.DUMMYFUNCTION("""COMPUTED_VALUE"""),"0917 107 502")</f>
        <v>0917 107 502</v>
      </c>
      <c r="B4677" s="119" t="str">
        <f>IFERROR(__xludf.DUMMYFUNCTION("""COMPUTED_VALUE"""),"Anh Phong")</f>
        <v>Anh Phong</v>
      </c>
      <c r="C4677" s="119" t="str">
        <f>IFERROR(__xludf.DUMMYFUNCTION("""COMPUTED_VALUE"""),"185/2 Lý Nam Đế")</f>
        <v>185/2 Lý Nam Đế</v>
      </c>
      <c r="D4677" s="119" t="str">
        <f>IFERROR(__xludf.DUMMYFUNCTION("""COMPUTED_VALUE"""),"chó")</f>
        <v>chó</v>
      </c>
      <c r="E4677" s="119" t="str">
        <f>IFERROR(__xludf.DUMMYFUNCTION("""COMPUTED_VALUE"""),"Cafe")</f>
        <v>Cafe</v>
      </c>
    </row>
    <row r="4678" ht="15.75" customHeight="1">
      <c r="A4678" s="122" t="str">
        <f>IFERROR(__xludf.DUMMYFUNCTION("""COMPUTED_VALUE"""),"0762 797 542")</f>
        <v>0762 797 542</v>
      </c>
      <c r="B4678" s="119" t="str">
        <f>IFERROR(__xludf.DUMMYFUNCTION("""COMPUTED_VALUE"""),"anh Tài")</f>
        <v>anh Tài</v>
      </c>
      <c r="C4678" s="119" t="str">
        <f>IFERROR(__xludf.DUMMYFUNCTION("""COMPUTED_VALUE"""),"188/19 lý nam đế")</f>
        <v>188/19 lý nam đế</v>
      </c>
      <c r="D4678" s="119" t="str">
        <f>IFERROR(__xludf.DUMMYFUNCTION("""COMPUTED_VALUE"""),"Chó")</f>
        <v>Chó</v>
      </c>
      <c r="E4678" s="119" t="str">
        <f>IFERROR(__xludf.DUMMYFUNCTION("""COMPUTED_VALUE"""),"Rốt")</f>
        <v>Rốt</v>
      </c>
    </row>
    <row r="4679" ht="15.75" customHeight="1">
      <c r="A4679" s="122" t="str">
        <f>IFERROR(__xludf.DUMMYFUNCTION("""COMPUTED_VALUE"""),"0903 062 621")</f>
        <v>0903 062 621</v>
      </c>
      <c r="B4679" s="119" t="str">
        <f>IFERROR(__xludf.DUMMYFUNCTION("""COMPUTED_VALUE"""),"anh Lân")</f>
        <v>anh Lân</v>
      </c>
      <c r="C4679" s="119" t="str">
        <f>IFERROR(__xludf.DUMMYFUNCTION("""COMPUTED_VALUE"""),"thủy xuân")</f>
        <v>thủy xuân</v>
      </c>
      <c r="D4679" s="119" t="str">
        <f>IFERROR(__xludf.DUMMYFUNCTION("""COMPUTED_VALUE"""),"Chó")</f>
        <v>Chó</v>
      </c>
      <c r="E4679" s="119" t="str">
        <f>IFERROR(__xludf.DUMMYFUNCTION("""COMPUTED_VALUE"""),"spring")</f>
        <v>spring</v>
      </c>
    </row>
    <row r="4680" ht="15.75" customHeight="1">
      <c r="A4680" s="122" t="str">
        <f>IFERROR(__xludf.DUMMYFUNCTION("""COMPUTED_VALUE"""),"0703 057 065")</f>
        <v>0703 057 065</v>
      </c>
      <c r="B4680" s="119" t="str">
        <f>IFERROR(__xludf.DUMMYFUNCTION("""COMPUTED_VALUE"""),"chị Thảo Nguyên")</f>
        <v>chị Thảo Nguyên</v>
      </c>
      <c r="C4680" s="119" t="str">
        <f>IFERROR(__xludf.DUMMYFUNCTION("""COMPUTED_VALUE"""),"349 lê duẫn")</f>
        <v>349 lê duẫn</v>
      </c>
      <c r="D4680" s="119" t="str">
        <f>IFERROR(__xludf.DUMMYFUNCTION("""COMPUTED_VALUE"""),"Chó")</f>
        <v>Chó</v>
      </c>
      <c r="E4680" s="119" t="str">
        <f>IFERROR(__xludf.DUMMYFUNCTION("""COMPUTED_VALUE"""),"sun")</f>
        <v>sun</v>
      </c>
    </row>
    <row r="4681" ht="15.75" customHeight="1">
      <c r="A4681" s="122" t="str">
        <f>IFERROR(__xludf.DUMMYFUNCTION("""COMPUTED_VALUE"""),"0366 089 457")</f>
        <v>0366 089 457</v>
      </c>
      <c r="B4681" s="119" t="str">
        <f>IFERROR(__xludf.DUMMYFUNCTION("""COMPUTED_VALUE"""),"dì Thuận")</f>
        <v>dì Thuận</v>
      </c>
      <c r="C4681" s="119" t="str">
        <f>IFERROR(__xludf.DUMMYFUNCTION("""COMPUTED_VALUE"""),"quảng thành")</f>
        <v>quảng thành</v>
      </c>
      <c r="D4681" s="119" t="str">
        <f>IFERROR(__xludf.DUMMYFUNCTION("""COMPUTED_VALUE"""),"Chó")</f>
        <v>Chó</v>
      </c>
      <c r="E4681" s="119" t="str">
        <f>IFERROR(__xludf.DUMMYFUNCTION("""COMPUTED_VALUE"""),"suki")</f>
        <v>suki</v>
      </c>
    </row>
    <row r="4682" ht="15.75" customHeight="1">
      <c r="A4682" s="122" t="str">
        <f>IFERROR(__xludf.DUMMYFUNCTION("""COMPUTED_VALUE"""),"0905 555 278")</f>
        <v>0905 555 278</v>
      </c>
      <c r="B4682" s="119" t="str">
        <f>IFERROR(__xludf.DUMMYFUNCTION("""COMPUTED_VALUE"""),"Anh Hưng")</f>
        <v>Anh Hưng</v>
      </c>
      <c r="C4682" s="119" t="str">
        <f>IFERROR(__xludf.DUMMYFUNCTION("""COMPUTED_VALUE"""),"52 Kim Long")</f>
        <v>52 Kim Long</v>
      </c>
      <c r="D4682" s="119" t="str">
        <f>IFERROR(__xludf.DUMMYFUNCTION("""COMPUTED_VALUE"""),"Chó")</f>
        <v>Chó</v>
      </c>
      <c r="E4682" s="119" t="str">
        <f>IFERROR(__xludf.DUMMYFUNCTION("""COMPUTED_VALUE"""),"Ky")</f>
        <v>Ky</v>
      </c>
    </row>
    <row r="4683" ht="15.75" customHeight="1">
      <c r="A4683" s="122" t="str">
        <f>IFERROR(__xludf.DUMMYFUNCTION("""COMPUTED_VALUE"""),"0395 954 551")</f>
        <v>0395 954 551</v>
      </c>
      <c r="B4683" s="119" t="str">
        <f>IFERROR(__xludf.DUMMYFUNCTION("""COMPUTED_VALUE"""),"Anh Huy")</f>
        <v>Anh Huy</v>
      </c>
      <c r="C4683" s="119" t="str">
        <f>IFERROR(__xludf.DUMMYFUNCTION("""COMPUTED_VALUE"""),"1/12 Đặng Huy Trứ")</f>
        <v>1/12 Đặng Huy Trứ</v>
      </c>
      <c r="D4683" s="119" t="str">
        <f>IFERROR(__xludf.DUMMYFUNCTION("""COMPUTED_VALUE"""),"mèo")</f>
        <v>mèo</v>
      </c>
      <c r="E4683" s="119" t="str">
        <f>IFERROR(__xludf.DUMMYFUNCTION("""COMPUTED_VALUE"""),"Bún")</f>
        <v>Bún</v>
      </c>
    </row>
    <row r="4684" ht="15.75" customHeight="1">
      <c r="A4684" s="122" t="str">
        <f>IFERROR(__xludf.DUMMYFUNCTION("""COMPUTED_VALUE"""),"0973 876 825")</f>
        <v>0973 876 825</v>
      </c>
      <c r="B4684" s="119" t="str">
        <f>IFERROR(__xludf.DUMMYFUNCTION("""COMPUTED_VALUE"""),"Anh Vinh")</f>
        <v>Anh Vinh</v>
      </c>
      <c r="C4684" s="119" t="str">
        <f>IFERROR(__xludf.DUMMYFUNCTION("""COMPUTED_VALUE"""),"10/120 Lý Nam Đế")</f>
        <v>10/120 Lý Nam Đế</v>
      </c>
      <c r="D4684" s="119" t="str">
        <f>IFERROR(__xludf.DUMMYFUNCTION("""COMPUTED_VALUE"""),"Chó")</f>
        <v>Chó</v>
      </c>
      <c r="E4684" s="119"/>
    </row>
    <row r="4685" ht="15.75" customHeight="1">
      <c r="A4685" s="122" t="str">
        <f>IFERROR(__xludf.DUMMYFUNCTION("""COMPUTED_VALUE"""),"0899 155 146")</f>
        <v>0899 155 146</v>
      </c>
      <c r="B4685" s="119" t="str">
        <f>IFERROR(__xludf.DUMMYFUNCTION("""COMPUTED_VALUE"""),"chị Minh Tú")</f>
        <v>chị Minh Tú</v>
      </c>
      <c r="C4685" s="119" t="str">
        <f>IFERROR(__xludf.DUMMYFUNCTION("""COMPUTED_VALUE"""),"E25 KQH hương Long")</f>
        <v>E25 KQH hương Long</v>
      </c>
      <c r="D4685" s="119" t="str">
        <f>IFERROR(__xludf.DUMMYFUNCTION("""COMPUTED_VALUE"""),"Chó")</f>
        <v>Chó</v>
      </c>
      <c r="E4685" s="119" t="str">
        <f>IFERROR(__xludf.DUMMYFUNCTION("""COMPUTED_VALUE"""),"Boss")</f>
        <v>Boss</v>
      </c>
    </row>
    <row r="4686" ht="15.75" customHeight="1">
      <c r="A4686" s="122" t="str">
        <f>IFERROR(__xludf.DUMMYFUNCTION("""COMPUTED_VALUE"""),"0961 844 567")</f>
        <v>0961 844 567</v>
      </c>
      <c r="B4686" s="119" t="str">
        <f>IFERROR(__xludf.DUMMYFUNCTION("""COMPUTED_VALUE"""),"Anh Trung")</f>
        <v>Anh Trung</v>
      </c>
      <c r="C4686" s="119" t="str">
        <f>IFERROR(__xludf.DUMMYFUNCTION("""COMPUTED_VALUE"""),"Số 9 Minh Mạng")</f>
        <v>Số 9 Minh Mạng</v>
      </c>
      <c r="D4686" s="119" t="str">
        <f>IFERROR(__xludf.DUMMYFUNCTION("""COMPUTED_VALUE"""),"Chó")</f>
        <v>Chó</v>
      </c>
      <c r="E4686" s="119" t="str">
        <f>IFERROR(__xludf.DUMMYFUNCTION("""COMPUTED_VALUE"""),"Lốp")</f>
        <v>Lốp</v>
      </c>
    </row>
    <row r="4687" ht="15.75" customHeight="1">
      <c r="A4687" s="122" t="str">
        <f>IFERROR(__xludf.DUMMYFUNCTION("""COMPUTED_VALUE"""),"0905 707 001")</f>
        <v>0905 707 001</v>
      </c>
      <c r="B4687" s="119" t="str">
        <f>IFERROR(__xludf.DUMMYFUNCTION("""COMPUTED_VALUE"""),"Anh Mỹ")</f>
        <v>Anh Mỹ</v>
      </c>
      <c r="C4687" s="119" t="str">
        <f>IFERROR(__xludf.DUMMYFUNCTION("""COMPUTED_VALUE"""),"2/24 Nguyễn Phúc Nguyên")</f>
        <v>2/24 Nguyễn Phúc Nguyên</v>
      </c>
      <c r="D4687" s="119" t="str">
        <f>IFERROR(__xludf.DUMMYFUNCTION("""COMPUTED_VALUE"""),"Chó")</f>
        <v>Chó</v>
      </c>
      <c r="E4687" s="119" t="str">
        <f>IFERROR(__xludf.DUMMYFUNCTION("""COMPUTED_VALUE"""),"Bốp")</f>
        <v>Bốp</v>
      </c>
    </row>
    <row r="4688" ht="15.75" customHeight="1">
      <c r="A4688" s="122" t="str">
        <f>IFERROR(__xludf.DUMMYFUNCTION("""COMPUTED_VALUE"""),"0916 381 071")</f>
        <v>0916 381 071</v>
      </c>
      <c r="B4688" s="119" t="str">
        <f>IFERROR(__xludf.DUMMYFUNCTION("""COMPUTED_VALUE"""),"Anh Đạt")</f>
        <v>Anh Đạt</v>
      </c>
      <c r="C4688" s="119" t="str">
        <f>IFERROR(__xludf.DUMMYFUNCTION("""COMPUTED_VALUE"""),"Minh Mạng")</f>
        <v>Minh Mạng</v>
      </c>
      <c r="D4688" s="119" t="str">
        <f>IFERROR(__xludf.DUMMYFUNCTION("""COMPUTED_VALUE"""),"Mèo")</f>
        <v>Mèo</v>
      </c>
      <c r="E4688" s="119" t="str">
        <f>IFERROR(__xludf.DUMMYFUNCTION("""COMPUTED_VALUE"""),"Tom")</f>
        <v>Tom</v>
      </c>
    </row>
    <row r="4689" ht="15.75" customHeight="1">
      <c r="A4689" s="122" t="str">
        <f>IFERROR(__xludf.DUMMYFUNCTION("""COMPUTED_VALUE"""),"0914 351 888")</f>
        <v>0914 351 888</v>
      </c>
      <c r="B4689" s="119" t="str">
        <f>IFERROR(__xludf.DUMMYFUNCTION("""COMPUTED_VALUE"""),"Thuý Nga")</f>
        <v>Thuý Nga</v>
      </c>
      <c r="C4689" s="119" t="str">
        <f>IFERROR(__xludf.DUMMYFUNCTION("""COMPUTED_VALUE"""),"4 Võ Liêm Sơn")</f>
        <v>4 Võ Liêm Sơn</v>
      </c>
      <c r="D4689" s="119" t="str">
        <f>IFERROR(__xludf.DUMMYFUNCTION("""COMPUTED_VALUE"""),"Chó")</f>
        <v>Chó</v>
      </c>
      <c r="E4689" s="119" t="str">
        <f>IFERROR(__xludf.DUMMYFUNCTION("""COMPUTED_VALUE"""),"kiki")</f>
        <v>kiki</v>
      </c>
    </row>
    <row r="4690" ht="15.75" customHeight="1">
      <c r="A4690" s="122" t="str">
        <f>IFERROR(__xludf.DUMMYFUNCTION("""COMPUTED_VALUE"""),"0914 351 888")</f>
        <v>0914 351 888</v>
      </c>
      <c r="B4690" s="119" t="str">
        <f>IFERROR(__xludf.DUMMYFUNCTION("""COMPUTED_VALUE"""),"Chị Thu Hiến")</f>
        <v>Chị Thu Hiến</v>
      </c>
      <c r="C4690" s="119" t="str">
        <f>IFERROR(__xludf.DUMMYFUNCTION("""COMPUTED_VALUE"""),"40 Chế Lan Viên")</f>
        <v>40 Chế Lan Viên</v>
      </c>
      <c r="D4690" s="119" t="str">
        <f>IFERROR(__xludf.DUMMYFUNCTION("""COMPUTED_VALUE"""),"Mèo")</f>
        <v>Mèo</v>
      </c>
      <c r="E4690" s="119" t="str">
        <f>IFERROR(__xludf.DUMMYFUNCTION("""COMPUTED_VALUE"""),"Mao")</f>
        <v>Mao</v>
      </c>
    </row>
    <row r="4691" ht="15.75" customHeight="1">
      <c r="A4691" s="122" t="str">
        <f>IFERROR(__xludf.DUMMYFUNCTION("""COMPUTED_VALUE"""),"0855 051 563")</f>
        <v>0855 051 563</v>
      </c>
      <c r="B4691" s="119" t="str">
        <f>IFERROR(__xludf.DUMMYFUNCTION("""COMPUTED_VALUE"""),"Chú Hải")</f>
        <v>Chú Hải</v>
      </c>
      <c r="C4691" s="119" t="str">
        <f>IFERROR(__xludf.DUMMYFUNCTION("""COMPUTED_VALUE"""),"Hàn Mặc Tử")</f>
        <v>Hàn Mặc Tử</v>
      </c>
      <c r="D4691" s="119" t="str">
        <f>IFERROR(__xludf.DUMMYFUNCTION("""COMPUTED_VALUE"""),"Chó")</f>
        <v>Chó</v>
      </c>
      <c r="E4691" s="119" t="str">
        <f>IFERROR(__xludf.DUMMYFUNCTION("""COMPUTED_VALUE"""),"Ky")</f>
        <v>Ky</v>
      </c>
    </row>
    <row r="4692" ht="15.75" customHeight="1">
      <c r="A4692" s="122" t="str">
        <f>IFERROR(__xludf.DUMMYFUNCTION("""COMPUTED_VALUE"""),"0908 627 783")</f>
        <v>0908 627 783</v>
      </c>
      <c r="B4692" s="119" t="str">
        <f>IFERROR(__xludf.DUMMYFUNCTION("""COMPUTED_VALUE"""),"Hồ Phi")</f>
        <v>Hồ Phi</v>
      </c>
      <c r="C4692" s="119" t="str">
        <f>IFERROR(__xludf.DUMMYFUNCTION("""COMPUTED_VALUE"""),"11/36 Nguyễn Thiện Thuật")</f>
        <v>11/36 Nguyễn Thiện Thuật</v>
      </c>
      <c r="D4692" s="119" t="str">
        <f>IFERROR(__xludf.DUMMYFUNCTION("""COMPUTED_VALUE"""),"Chó")</f>
        <v>Chó</v>
      </c>
      <c r="E4692" s="119" t="str">
        <f>IFERROR(__xludf.DUMMYFUNCTION("""COMPUTED_VALUE"""),"Nu")</f>
        <v>Nu</v>
      </c>
    </row>
    <row r="4693" ht="15.75" customHeight="1">
      <c r="A4693" s="122" t="str">
        <f>IFERROR(__xludf.DUMMYFUNCTION("""COMPUTED_VALUE"""),"0901 148 861")</f>
        <v>0901 148 861</v>
      </c>
      <c r="B4693" s="119" t="str">
        <f>IFERROR(__xludf.DUMMYFUNCTION("""COMPUTED_VALUE"""),"Chị Linh")</f>
        <v>Chị Linh</v>
      </c>
      <c r="C4693" s="119" t="str">
        <f>IFERROR(__xludf.DUMMYFUNCTION("""COMPUTED_VALUE"""),"Nguyễn Phúc Chu")</f>
        <v>Nguyễn Phúc Chu</v>
      </c>
      <c r="D4693" s="119" t="str">
        <f>IFERROR(__xludf.DUMMYFUNCTION("""COMPUTED_VALUE"""),"Chó")</f>
        <v>Chó</v>
      </c>
      <c r="E4693" s="119" t="str">
        <f>IFERROR(__xludf.DUMMYFUNCTION("""COMPUTED_VALUE"""),"Su")</f>
        <v>Su</v>
      </c>
    </row>
    <row r="4694" ht="15.75" customHeight="1">
      <c r="A4694" s="122" t="str">
        <f>IFERROR(__xludf.DUMMYFUNCTION("""COMPUTED_VALUE"""),"0389 365 354")</f>
        <v>0389 365 354</v>
      </c>
      <c r="B4694" s="119" t="str">
        <f>IFERROR(__xludf.DUMMYFUNCTION("""COMPUTED_VALUE"""),"Chị Ngọc Diệp")</f>
        <v>Chị Ngọc Diệp</v>
      </c>
      <c r="C4694" s="119" t="str">
        <f>IFERROR(__xludf.DUMMYFUNCTION("""COMPUTED_VALUE"""),"57A Nguyễn Hoàng")</f>
        <v>57A Nguyễn Hoàng</v>
      </c>
      <c r="D4694" s="119" t="str">
        <f>IFERROR(__xludf.DUMMYFUNCTION("""COMPUTED_VALUE"""),"Chó")</f>
        <v>Chó</v>
      </c>
      <c r="E4694" s="119" t="str">
        <f>IFERROR(__xludf.DUMMYFUNCTION("""COMPUTED_VALUE"""),"Dâu Tây")</f>
        <v>Dâu Tây</v>
      </c>
    </row>
    <row r="4695" ht="15.75" customHeight="1">
      <c r="A4695" s="122" t="str">
        <f>IFERROR(__xludf.DUMMYFUNCTION("""COMPUTED_VALUE"""),"0857 255 154")</f>
        <v>0857 255 154</v>
      </c>
      <c r="B4695" s="119" t="str">
        <f>IFERROR(__xludf.DUMMYFUNCTION("""COMPUTED_VALUE"""),"Chị Trâm")</f>
        <v>Chị Trâm</v>
      </c>
      <c r="C4695" s="119" t="str">
        <f>IFERROR(__xludf.DUMMYFUNCTION("""COMPUTED_VALUE"""),"Phạm Thị Liên")</f>
        <v>Phạm Thị Liên</v>
      </c>
      <c r="D4695" s="119" t="str">
        <f>IFERROR(__xludf.DUMMYFUNCTION("""COMPUTED_VALUE"""),"Chó")</f>
        <v>Chó</v>
      </c>
      <c r="E4695" s="119" t="str">
        <f>IFERROR(__xludf.DUMMYFUNCTION("""COMPUTED_VALUE"""),"Sam")</f>
        <v>Sam</v>
      </c>
    </row>
    <row r="4696" ht="15.75" customHeight="1">
      <c r="A4696" s="122" t="str">
        <f>IFERROR(__xludf.DUMMYFUNCTION("""COMPUTED_VALUE"""),"0905 625 112")</f>
        <v>0905 625 112</v>
      </c>
      <c r="B4696" s="119" t="str">
        <f>IFERROR(__xludf.DUMMYFUNCTION("""COMPUTED_VALUE"""),"Dì Ái")</f>
        <v>Dì Ái</v>
      </c>
      <c r="C4696" s="119" t="str">
        <f>IFERROR(__xludf.DUMMYFUNCTION("""COMPUTED_VALUE"""),"Nguyễn Khuyến")</f>
        <v>Nguyễn Khuyến</v>
      </c>
      <c r="D4696" s="119" t="str">
        <f>IFERROR(__xludf.DUMMYFUNCTION("""COMPUTED_VALUE"""),"Chó")</f>
        <v>Chó</v>
      </c>
      <c r="E4696" s="119" t="str">
        <f>IFERROR(__xludf.DUMMYFUNCTION("""COMPUTED_VALUE"""),"Gấu")</f>
        <v>Gấu</v>
      </c>
    </row>
    <row r="4697" ht="15.75" customHeight="1">
      <c r="A4697" s="122" t="str">
        <f>IFERROR(__xludf.DUMMYFUNCTION("""COMPUTED_VALUE"""),"0395 787 040")</f>
        <v>0395 787 040</v>
      </c>
      <c r="B4697" s="119" t="str">
        <f>IFERROR(__xludf.DUMMYFUNCTION("""COMPUTED_VALUE"""),"Lê Văn Hải")</f>
        <v>Lê Văn Hải</v>
      </c>
      <c r="C4697" s="119" t="str">
        <f>IFERROR(__xludf.DUMMYFUNCTION("""COMPUTED_VALUE"""),"Chùa Thiên Mụ")</f>
        <v>Chùa Thiên Mụ</v>
      </c>
      <c r="D4697" s="119" t="str">
        <f>IFERROR(__xludf.DUMMYFUNCTION("""COMPUTED_VALUE"""),"Chó")</f>
        <v>Chó</v>
      </c>
      <c r="E4697" s="119" t="str">
        <f>IFERROR(__xludf.DUMMYFUNCTION("""COMPUTED_VALUE"""),"Ky")</f>
        <v>Ky</v>
      </c>
    </row>
    <row r="4698" ht="15.75" customHeight="1">
      <c r="A4698" s="122" t="str">
        <f>IFERROR(__xludf.DUMMYFUNCTION("""COMPUTED_VALUE"""),"0901 138 595")</f>
        <v>0901 138 595</v>
      </c>
      <c r="B4698" s="119" t="str">
        <f>IFERROR(__xludf.DUMMYFUNCTION("""COMPUTED_VALUE"""),"Chị Bảo Nghi")</f>
        <v>Chị Bảo Nghi</v>
      </c>
      <c r="C4698" s="119" t="str">
        <f>IFERROR(__xludf.DUMMYFUNCTION("""COMPUTED_VALUE"""),"Đặng Tất")</f>
        <v>Đặng Tất</v>
      </c>
      <c r="D4698" s="119" t="str">
        <f>IFERROR(__xludf.DUMMYFUNCTION("""COMPUTED_VALUE"""),"Chó")</f>
        <v>Chó</v>
      </c>
      <c r="E4698" s="119" t="str">
        <f>IFERROR(__xludf.DUMMYFUNCTION("""COMPUTED_VALUE"""),"Cam")</f>
        <v>Cam</v>
      </c>
    </row>
    <row r="4699" ht="15.75" customHeight="1">
      <c r="A4699" s="122" t="str">
        <f>IFERROR(__xludf.DUMMYFUNCTION("""COMPUTED_VALUE"""),"0775 454 543")</f>
        <v>0775 454 543</v>
      </c>
      <c r="B4699" s="119" t="str">
        <f>IFERROR(__xludf.DUMMYFUNCTION("""COMPUTED_VALUE"""),"Anh Cường")</f>
        <v>Anh Cường</v>
      </c>
      <c r="C4699" s="119" t="str">
        <f>IFERROR(__xludf.DUMMYFUNCTION("""COMPUTED_VALUE"""),"41/34 Đặng Tất")</f>
        <v>41/34 Đặng Tất</v>
      </c>
      <c r="D4699" s="119" t="str">
        <f>IFERROR(__xludf.DUMMYFUNCTION("""COMPUTED_VALUE"""),"Chó")</f>
        <v>Chó</v>
      </c>
      <c r="E4699" s="119" t="str">
        <f>IFERROR(__xludf.DUMMYFUNCTION("""COMPUTED_VALUE"""),"Sa")</f>
        <v>Sa</v>
      </c>
    </row>
    <row r="4700" ht="15.75" customHeight="1">
      <c r="A4700" s="122" t="str">
        <f>IFERROR(__xludf.DUMMYFUNCTION("""COMPUTED_VALUE"""),"0935 573 113")</f>
        <v>0935 573 113</v>
      </c>
      <c r="B4700" s="119" t="str">
        <f>IFERROR(__xludf.DUMMYFUNCTION("""COMPUTED_VALUE"""),"Anh Thảo")</f>
        <v>Anh Thảo</v>
      </c>
      <c r="C4700" s="119" t="str">
        <f>IFERROR(__xludf.DUMMYFUNCTION("""COMPUTED_VALUE"""),"Tăng Bạt Hổ")</f>
        <v>Tăng Bạt Hổ</v>
      </c>
      <c r="D4700" s="119" t="str">
        <f>IFERROR(__xludf.DUMMYFUNCTION("""COMPUTED_VALUE"""),"Chó")</f>
        <v>Chó</v>
      </c>
      <c r="E4700" s="119" t="str">
        <f>IFERROR(__xludf.DUMMYFUNCTION("""COMPUTED_VALUE"""),"Nâu")</f>
        <v>Nâu</v>
      </c>
    </row>
    <row r="4701" ht="15.75" customHeight="1">
      <c r="A4701" s="122" t="str">
        <f>IFERROR(__xludf.DUMMYFUNCTION("""COMPUTED_VALUE"""),"0368 466 799")</f>
        <v>0368 466 799</v>
      </c>
      <c r="B4701" s="119" t="str">
        <f>IFERROR(__xludf.DUMMYFUNCTION("""COMPUTED_VALUE"""),"Chú Lộc")</f>
        <v>Chú Lộc</v>
      </c>
      <c r="C4701" s="119" t="str">
        <f>IFERROR(__xludf.DUMMYFUNCTION("""COMPUTED_VALUE"""),"Lê Đức Toàn")</f>
        <v>Lê Đức Toàn</v>
      </c>
      <c r="D4701" s="119" t="str">
        <f>IFERROR(__xludf.DUMMYFUNCTION("""COMPUTED_VALUE"""),"Chó")</f>
        <v>Chó</v>
      </c>
      <c r="E4701" s="119" t="str">
        <f>IFERROR(__xludf.DUMMYFUNCTION("""COMPUTED_VALUE"""),"Bốp")</f>
        <v>Bốp</v>
      </c>
    </row>
    <row r="4702" ht="15.75" customHeight="1">
      <c r="A4702" s="122" t="str">
        <f>IFERROR(__xludf.DUMMYFUNCTION("""COMPUTED_VALUE"""),"0905 578 717")</f>
        <v>0905 578 717</v>
      </c>
      <c r="B4702" s="119" t="str">
        <f>IFERROR(__xludf.DUMMYFUNCTION("""COMPUTED_VALUE"""),"Lê Xuân Cường")</f>
        <v>Lê Xuân Cường</v>
      </c>
      <c r="C4702" s="119" t="str">
        <f>IFERROR(__xludf.DUMMYFUNCTION("""COMPUTED_VALUE"""),"139 Bùi Thị Xuân")</f>
        <v>139 Bùi Thị Xuân</v>
      </c>
      <c r="D4702" s="119" t="str">
        <f>IFERROR(__xludf.DUMMYFUNCTION("""COMPUTED_VALUE"""),"Chó")</f>
        <v>Chó</v>
      </c>
      <c r="E4702" s="119" t="str">
        <f>IFERROR(__xludf.DUMMYFUNCTION("""COMPUTED_VALUE"""),"Loka")</f>
        <v>Loka</v>
      </c>
    </row>
    <row r="4703" ht="15.75" customHeight="1">
      <c r="A4703" s="122" t="str">
        <f>IFERROR(__xludf.DUMMYFUNCTION("""COMPUTED_VALUE"""),"0787 663 157")</f>
        <v>0787 663 157</v>
      </c>
      <c r="B4703" s="119" t="str">
        <f>IFERROR(__xludf.DUMMYFUNCTION("""COMPUTED_VALUE"""),"Chị Ly")</f>
        <v>Chị Ly</v>
      </c>
      <c r="C4703" s="119" t="str">
        <f>IFERROR(__xludf.DUMMYFUNCTION("""COMPUTED_VALUE"""),"40/5 Nguyễn Phúc Nguyên")</f>
        <v>40/5 Nguyễn Phúc Nguyên</v>
      </c>
      <c r="D4703" s="119" t="str">
        <f>IFERROR(__xludf.DUMMYFUNCTION("""COMPUTED_VALUE"""),"Chó")</f>
        <v>Chó</v>
      </c>
      <c r="E4703" s="119" t="str">
        <f>IFERROR(__xludf.DUMMYFUNCTION("""COMPUTED_VALUE"""),"Coka")</f>
        <v>Coka</v>
      </c>
    </row>
    <row r="4704" ht="15.75" customHeight="1">
      <c r="A4704" s="122" t="str">
        <f>IFERROR(__xludf.DUMMYFUNCTION("""COMPUTED_VALUE"""),"0986 546 738")</f>
        <v>0986 546 738</v>
      </c>
      <c r="B4704" s="119" t="str">
        <f>IFERROR(__xludf.DUMMYFUNCTION("""COMPUTED_VALUE"""),"Anh Sơn")</f>
        <v>Anh Sơn</v>
      </c>
      <c r="C4704" s="119" t="str">
        <f>IFERROR(__xludf.DUMMYFUNCTION("""COMPUTED_VALUE"""),"Nguyễn Phúc Lan")</f>
        <v>Nguyễn Phúc Lan</v>
      </c>
      <c r="D4704" s="119" t="str">
        <f>IFERROR(__xludf.DUMMYFUNCTION("""COMPUTED_VALUE"""),"Chó")</f>
        <v>Chó</v>
      </c>
      <c r="E4704" s="119"/>
    </row>
    <row r="4705" ht="15.75" customHeight="1">
      <c r="A4705" s="122" t="str">
        <f>IFERROR(__xludf.DUMMYFUNCTION("""COMPUTED_VALUE"""),"0704 058 325")</f>
        <v>0704 058 325</v>
      </c>
      <c r="B4705" s="119" t="str">
        <f>IFERROR(__xludf.DUMMYFUNCTION("""COMPUTED_VALUE"""),"Chị Như")</f>
        <v>Chị Như</v>
      </c>
      <c r="C4705" s="119" t="str">
        <f>IFERROR(__xludf.DUMMYFUNCTION("""COMPUTED_VALUE"""),"110 Kim Long")</f>
        <v>110 Kim Long</v>
      </c>
      <c r="D4705" s="119" t="str">
        <f>IFERROR(__xludf.DUMMYFUNCTION("""COMPUTED_VALUE"""),"Chó")</f>
        <v>Chó</v>
      </c>
      <c r="E4705" s="119" t="str">
        <f>IFERROR(__xludf.DUMMYFUNCTION("""COMPUTED_VALUE"""),"ki")</f>
        <v>ki</v>
      </c>
    </row>
    <row r="4706" ht="15.75" customHeight="1">
      <c r="A4706" s="122" t="str">
        <f>IFERROR(__xludf.DUMMYFUNCTION("""COMPUTED_VALUE"""),"0794 513 264")</f>
        <v>0794 513 264</v>
      </c>
      <c r="B4706" s="119" t="str">
        <f>IFERROR(__xludf.DUMMYFUNCTION("""COMPUTED_VALUE"""),"Chị Trâm")</f>
        <v>Chị Trâm</v>
      </c>
      <c r="C4706" s="119" t="str">
        <f>IFERROR(__xludf.DUMMYFUNCTION("""COMPUTED_VALUE"""),"401 Chi Lăng")</f>
        <v>401 Chi Lăng</v>
      </c>
      <c r="D4706" s="119" t="str">
        <f>IFERROR(__xludf.DUMMYFUNCTION("""COMPUTED_VALUE"""),"Chó")</f>
        <v>Chó</v>
      </c>
      <c r="E4706" s="119" t="str">
        <f>IFERROR(__xludf.DUMMYFUNCTION("""COMPUTED_VALUE"""),"Tiger")</f>
        <v>Tiger</v>
      </c>
    </row>
    <row r="4707" ht="15.75" customHeight="1">
      <c r="A4707" s="122" t="str">
        <f>IFERROR(__xludf.DUMMYFUNCTION("""COMPUTED_VALUE"""),"0905 070 586")</f>
        <v>0905 070 586</v>
      </c>
      <c r="B4707" s="119" t="str">
        <f>IFERROR(__xludf.DUMMYFUNCTION("""COMPUTED_VALUE"""),"Chị Phương")</f>
        <v>Chị Phương</v>
      </c>
      <c r="C4707" s="119" t="str">
        <f>IFERROR(__xludf.DUMMYFUNCTION("""COMPUTED_VALUE"""),"63/12 Vạn Xuân")</f>
        <v>63/12 Vạn Xuân</v>
      </c>
      <c r="D4707" s="119" t="str">
        <f>IFERROR(__xludf.DUMMYFUNCTION("""COMPUTED_VALUE"""),"Chó")</f>
        <v>Chó</v>
      </c>
      <c r="E4707" s="119" t="str">
        <f>IFERROR(__xludf.DUMMYFUNCTION("""COMPUTED_VALUE"""),"Lucky")</f>
        <v>Lucky</v>
      </c>
    </row>
    <row r="4708" ht="15.75" customHeight="1">
      <c r="A4708" s="122" t="str">
        <f>IFERROR(__xludf.DUMMYFUNCTION("""COMPUTED_VALUE"""),"0375 642 693")</f>
        <v>0375 642 693</v>
      </c>
      <c r="B4708" s="119" t="str">
        <f>IFERROR(__xludf.DUMMYFUNCTION("""COMPUTED_VALUE"""),"Chú Sắt")</f>
        <v>Chú Sắt</v>
      </c>
      <c r="C4708" s="119" t="str">
        <f>IFERROR(__xludf.DUMMYFUNCTION("""COMPUTED_VALUE"""),"198 Lý Nam Đế")</f>
        <v>198 Lý Nam Đế</v>
      </c>
      <c r="D4708" s="119" t="str">
        <f>IFERROR(__xludf.DUMMYFUNCTION("""COMPUTED_VALUE"""),"Chó")</f>
        <v>Chó</v>
      </c>
      <c r="E4708" s="119" t="str">
        <f>IFERROR(__xludf.DUMMYFUNCTION("""COMPUTED_VALUE"""),"Vá")</f>
        <v>Vá</v>
      </c>
    </row>
    <row r="4709" ht="15.75" customHeight="1">
      <c r="A4709" s="122" t="str">
        <f>IFERROR(__xludf.DUMMYFUNCTION("""COMPUTED_VALUE"""),"0867 443 834")</f>
        <v>0867 443 834</v>
      </c>
      <c r="B4709" s="119" t="str">
        <f>IFERROR(__xludf.DUMMYFUNCTION("""COMPUTED_VALUE"""),"Em Minh Ngọc")</f>
        <v>Em Minh Ngọc</v>
      </c>
      <c r="C4709" s="119" t="str">
        <f>IFERROR(__xludf.DUMMYFUNCTION("""COMPUTED_VALUE"""),"246/152 Lý Nam Đế")</f>
        <v>246/152 Lý Nam Đế</v>
      </c>
      <c r="D4709" s="119" t="str">
        <f>IFERROR(__xludf.DUMMYFUNCTION("""COMPUTED_VALUE"""),"Chó")</f>
        <v>Chó</v>
      </c>
      <c r="E4709" s="119" t="str">
        <f>IFERROR(__xludf.DUMMYFUNCTION("""COMPUTED_VALUE"""),"Mun")</f>
        <v>Mun</v>
      </c>
    </row>
    <row r="4710" ht="15.75" customHeight="1">
      <c r="A4710" s="122" t="str">
        <f>IFERROR(__xludf.DUMMYFUNCTION("""COMPUTED_VALUE"""),"0766 704 803")</f>
        <v>0766 704 803</v>
      </c>
      <c r="B4710" s="119" t="str">
        <f>IFERROR(__xludf.DUMMYFUNCTION("""COMPUTED_VALUE"""),"Anh Sáu")</f>
        <v>Anh Sáu</v>
      </c>
      <c r="C4710" s="119" t="str">
        <f>IFERROR(__xludf.DUMMYFUNCTION("""COMPUTED_VALUE"""),"1/78 Nguyễn Phúc Thái")</f>
        <v>1/78 Nguyễn Phúc Thái</v>
      </c>
      <c r="D4710" s="119" t="str">
        <f>IFERROR(__xludf.DUMMYFUNCTION("""COMPUTED_VALUE"""),"Chó")</f>
        <v>Chó</v>
      </c>
      <c r="E4710" s="119" t="str">
        <f>IFERROR(__xludf.DUMMYFUNCTION("""COMPUTED_VALUE"""),"Đốm")</f>
        <v>Đốm</v>
      </c>
    </row>
    <row r="4711" ht="15.75" customHeight="1">
      <c r="A4711" s="122" t="str">
        <f>IFERROR(__xludf.DUMMYFUNCTION("""COMPUTED_VALUE"""),"0935 918 147")</f>
        <v>0935 918 147</v>
      </c>
      <c r="B4711" s="119" t="str">
        <f>IFERROR(__xludf.DUMMYFUNCTION("""COMPUTED_VALUE"""),"Chị Lợi")</f>
        <v>Chị Lợi</v>
      </c>
      <c r="C4711" s="119" t="str">
        <f>IFERROR(__xludf.DUMMYFUNCTION("""COMPUTED_VALUE"""),"53 Nguyễn Huệ")</f>
        <v>53 Nguyễn Huệ</v>
      </c>
      <c r="D4711" s="119" t="str">
        <f>IFERROR(__xludf.DUMMYFUNCTION("""COMPUTED_VALUE"""),"Chó")</f>
        <v>Chó</v>
      </c>
      <c r="E4711" s="119" t="str">
        <f>IFERROR(__xludf.DUMMYFUNCTION("""COMPUTED_VALUE"""),"Vid")</f>
        <v>Vid</v>
      </c>
    </row>
    <row r="4712" ht="15.75" customHeight="1">
      <c r="A4712" s="122" t="str">
        <f>IFERROR(__xludf.DUMMYFUNCTION("""COMPUTED_VALUE"""),"0935 848 615")</f>
        <v>0935 848 615</v>
      </c>
      <c r="B4712" s="119" t="str">
        <f>IFERROR(__xludf.DUMMYFUNCTION("""COMPUTED_VALUE"""),"Em Như")</f>
        <v>Em Như</v>
      </c>
      <c r="C4712" s="119" t="str">
        <f>IFERROR(__xludf.DUMMYFUNCTION("""COMPUTED_VALUE"""),"91 Nguyễn Chí Thanh")</f>
        <v>91 Nguyễn Chí Thanh</v>
      </c>
      <c r="D4712" s="119" t="str">
        <f>IFERROR(__xludf.DUMMYFUNCTION("""COMPUTED_VALUE"""),"Chó")</f>
        <v>Chó</v>
      </c>
      <c r="E4712" s="119" t="str">
        <f>IFERROR(__xludf.DUMMYFUNCTION("""COMPUTED_VALUE"""),"Bốp")</f>
        <v>Bốp</v>
      </c>
    </row>
    <row r="4713" ht="15.75" customHeight="1">
      <c r="A4713" s="122" t="str">
        <f>IFERROR(__xludf.DUMMYFUNCTION("""COMPUTED_VALUE"""),"0964 105 061")</f>
        <v>0964 105 061</v>
      </c>
      <c r="B4713" s="119" t="str">
        <f>IFERROR(__xludf.DUMMYFUNCTION("""COMPUTED_VALUE"""),"Chị Hương")</f>
        <v>Chị Hương</v>
      </c>
      <c r="C4713" s="119" t="str">
        <f>IFERROR(__xludf.DUMMYFUNCTION("""COMPUTED_VALUE"""),"Hương Thủy")</f>
        <v>Hương Thủy</v>
      </c>
      <c r="D4713" s="119" t="str">
        <f>IFERROR(__xludf.DUMMYFUNCTION("""COMPUTED_VALUE"""),"Chó")</f>
        <v>Chó</v>
      </c>
      <c r="E4713" s="119" t="str">
        <f>IFERROR(__xludf.DUMMYFUNCTION("""COMPUTED_VALUE"""),"Xù")</f>
        <v>Xù</v>
      </c>
    </row>
    <row r="4714" ht="15.75" customHeight="1">
      <c r="A4714" s="122" t="str">
        <f>IFERROR(__xludf.DUMMYFUNCTION("""COMPUTED_VALUE"""),"0796 761 211")</f>
        <v>0796 761 211</v>
      </c>
      <c r="B4714" s="119" t="str">
        <f>IFERROR(__xludf.DUMMYFUNCTION("""COMPUTED_VALUE"""),"Anh Sơn")</f>
        <v>Anh Sơn</v>
      </c>
      <c r="C4714" s="119" t="str">
        <f>IFERROR(__xludf.DUMMYFUNCTION("""COMPUTED_VALUE"""),"36 Kim Long")</f>
        <v>36 Kim Long</v>
      </c>
      <c r="D4714" s="119" t="str">
        <f>IFERROR(__xludf.DUMMYFUNCTION("""COMPUTED_VALUE"""),"Chó")</f>
        <v>Chó</v>
      </c>
      <c r="E4714" s="119" t="str">
        <f>IFERROR(__xludf.DUMMYFUNCTION("""COMPUTED_VALUE"""),"Micky")</f>
        <v>Micky</v>
      </c>
    </row>
    <row r="4715" ht="15.75" customHeight="1">
      <c r="A4715" s="122" t="str">
        <f>IFERROR(__xludf.DUMMYFUNCTION("""COMPUTED_VALUE"""),"0827 003 452")</f>
        <v>0827 003 452</v>
      </c>
      <c r="B4715" s="119" t="str">
        <f>IFERROR(__xludf.DUMMYFUNCTION("""COMPUTED_VALUE"""),"Chú Ân")</f>
        <v>Chú Ân</v>
      </c>
      <c r="C4715" s="119" t="str">
        <f>IFERROR(__xludf.DUMMYFUNCTION("""COMPUTED_VALUE"""),"9 Nguyễn Hoàng")</f>
        <v>9 Nguyễn Hoàng</v>
      </c>
      <c r="D4715" s="119" t="str">
        <f>IFERROR(__xludf.DUMMYFUNCTION("""COMPUTED_VALUE"""),"Chó")</f>
        <v>Chó</v>
      </c>
      <c r="E4715" s="119" t="str">
        <f>IFERROR(__xludf.DUMMYFUNCTION("""COMPUTED_VALUE"""),"Rốt")</f>
        <v>Rốt</v>
      </c>
    </row>
    <row r="4716" ht="15.75" customHeight="1">
      <c r="A4716" s="122" t="str">
        <f>IFERROR(__xludf.DUMMYFUNCTION("""COMPUTED_VALUE"""),"0935 282 811")</f>
        <v>0935 282 811</v>
      </c>
      <c r="B4716" s="119" t="str">
        <f>IFERROR(__xludf.DUMMYFUNCTION("""COMPUTED_VALUE"""),"Anh Ring")</f>
        <v>Anh Ring</v>
      </c>
      <c r="C4716" s="119" t="str">
        <f>IFERROR(__xludf.DUMMYFUNCTION("""COMPUTED_VALUE"""),"66 An Ninh")</f>
        <v>66 An Ninh</v>
      </c>
      <c r="D4716" s="119" t="str">
        <f>IFERROR(__xludf.DUMMYFUNCTION("""COMPUTED_VALUE"""),"Chó")</f>
        <v>Chó</v>
      </c>
      <c r="E4716" s="119" t="str">
        <f>IFERROR(__xludf.DUMMYFUNCTION("""COMPUTED_VALUE"""),"Ngáo")</f>
        <v>Ngáo</v>
      </c>
    </row>
    <row r="4717" ht="15.75" customHeight="1">
      <c r="A4717" s="122" t="str">
        <f>IFERROR(__xludf.DUMMYFUNCTION("""COMPUTED_VALUE"""),"0384 346 259")</f>
        <v>0384 346 259</v>
      </c>
      <c r="B4717" s="119" t="str">
        <f>IFERROR(__xludf.DUMMYFUNCTION("""COMPUTED_VALUE"""),"Yến Nhi")</f>
        <v>Yến Nhi</v>
      </c>
      <c r="C4717" s="119" t="str">
        <f>IFERROR(__xludf.DUMMYFUNCTION("""COMPUTED_VALUE"""),"Phú Lộc")</f>
        <v>Phú Lộc</v>
      </c>
      <c r="D4717" s="119" t="str">
        <f>IFERROR(__xludf.DUMMYFUNCTION("""COMPUTED_VALUE"""),"Chó")</f>
        <v>Chó</v>
      </c>
      <c r="E4717" s="119" t="str">
        <f>IFERROR(__xludf.DUMMYFUNCTION("""COMPUTED_VALUE"""),"Bắp")</f>
        <v>Bắp</v>
      </c>
    </row>
    <row r="4718" ht="15.75" customHeight="1">
      <c r="A4718" s="122" t="str">
        <f>IFERROR(__xludf.DUMMYFUNCTION("""COMPUTED_VALUE"""),"0914 270 639")</f>
        <v>0914 270 639</v>
      </c>
      <c r="B4718" s="119" t="str">
        <f>IFERROR(__xludf.DUMMYFUNCTION("""COMPUTED_VALUE"""),"Chú Minh")</f>
        <v>Chú Minh</v>
      </c>
      <c r="C4718" s="119" t="str">
        <f>IFERROR(__xludf.DUMMYFUNCTION("""COMPUTED_VALUE"""),"lô H5 Âu Lạc- khu An Đông")</f>
        <v>lô H5 Âu Lạc- khu An Đông</v>
      </c>
      <c r="D4718" s="119" t="str">
        <f>IFERROR(__xludf.DUMMYFUNCTION("""COMPUTED_VALUE"""),"Chó")</f>
        <v>Chó</v>
      </c>
      <c r="E4718" s="119" t="str">
        <f>IFERROR(__xludf.DUMMYFUNCTION("""COMPUTED_VALUE"""),"Mít")</f>
        <v>Mít</v>
      </c>
    </row>
    <row r="4719" ht="15.75" customHeight="1">
      <c r="A4719" s="122" t="str">
        <f>IFERROR(__xludf.DUMMYFUNCTION("""COMPUTED_VALUE"""),"0366 340 609")</f>
        <v>0366 340 609</v>
      </c>
      <c r="B4719" s="119" t="str">
        <f>IFERROR(__xludf.DUMMYFUNCTION("""COMPUTED_VALUE"""),"Anh Trung")</f>
        <v>Anh Trung</v>
      </c>
      <c r="C4719" s="119" t="str">
        <f>IFERROR(__xludf.DUMMYFUNCTION("""COMPUTED_VALUE"""),"Tứ Hạ")</f>
        <v>Tứ Hạ</v>
      </c>
      <c r="D4719" s="119" t="str">
        <f>IFERROR(__xludf.DUMMYFUNCTION("""COMPUTED_VALUE"""),"Chó")</f>
        <v>Chó</v>
      </c>
      <c r="E4719" s="119" t="str">
        <f>IFERROR(__xludf.DUMMYFUNCTION("""COMPUTED_VALUE"""),"Wave")</f>
        <v>Wave</v>
      </c>
    </row>
    <row r="4720" ht="15.75" customHeight="1">
      <c r="A4720" s="122" t="str">
        <f>IFERROR(__xludf.DUMMYFUNCTION("""COMPUTED_VALUE"""),"0965 339 414")</f>
        <v>0965 339 414</v>
      </c>
      <c r="B4720" s="119" t="str">
        <f>IFERROR(__xludf.DUMMYFUNCTION("""COMPUTED_VALUE"""),"Lê Thị Xuân Hoa")</f>
        <v>Lê Thị Xuân Hoa</v>
      </c>
      <c r="C4720" s="119" t="str">
        <f>IFERROR(__xludf.DUMMYFUNCTION("""COMPUTED_VALUE"""),"3C/79 Phạm Thị Liên")</f>
        <v>3C/79 Phạm Thị Liên</v>
      </c>
      <c r="D4720" s="119" t="str">
        <f>IFERROR(__xludf.DUMMYFUNCTION("""COMPUTED_VALUE"""),"Chó")</f>
        <v>Chó</v>
      </c>
      <c r="E4720" s="119" t="str">
        <f>IFERROR(__xludf.DUMMYFUNCTION("""COMPUTED_VALUE"""),"Ỉn")</f>
        <v>Ỉn</v>
      </c>
    </row>
    <row r="4721" ht="15.75" customHeight="1">
      <c r="A4721" s="122" t="str">
        <f>IFERROR(__xludf.DUMMYFUNCTION("""COMPUTED_VALUE"""),"0935 596 319")</f>
        <v>0935 596 319</v>
      </c>
      <c r="B4721" s="119" t="str">
        <f>IFERROR(__xludf.DUMMYFUNCTION("""COMPUTED_VALUE"""),"Chị Trâm")</f>
        <v>Chị Trâm</v>
      </c>
      <c r="C4721" s="119" t="str">
        <f>IFERROR(__xludf.DUMMYFUNCTION("""COMPUTED_VALUE"""),"15c nguyễn phúc chu")</f>
        <v>15c nguyễn phúc chu</v>
      </c>
      <c r="D4721" s="119" t="str">
        <f>IFERROR(__xludf.DUMMYFUNCTION("""COMPUTED_VALUE"""),"Chó")</f>
        <v>Chó</v>
      </c>
      <c r="E4721" s="119" t="str">
        <f>IFERROR(__xludf.DUMMYFUNCTION("""COMPUTED_VALUE"""),"Mỡ")</f>
        <v>Mỡ</v>
      </c>
    </row>
    <row r="4722" ht="15.75" customHeight="1">
      <c r="A4722" s="122" t="str">
        <f>IFERROR(__xludf.DUMMYFUNCTION("""COMPUTED_VALUE"""),"0374 057 335")</f>
        <v>0374 057 335</v>
      </c>
      <c r="B4722" s="119" t="str">
        <f>IFERROR(__xludf.DUMMYFUNCTION("""COMPUTED_VALUE"""),"Nhật Linh")</f>
        <v>Nhật Linh</v>
      </c>
      <c r="C4722" s="119" t="str">
        <f>IFERROR(__xludf.DUMMYFUNCTION("""COMPUTED_VALUE"""),"27 Phạm Thị Liên")</f>
        <v>27 Phạm Thị Liên</v>
      </c>
      <c r="D4722" s="119" t="str">
        <f>IFERROR(__xludf.DUMMYFUNCTION("""COMPUTED_VALUE"""),"Chó")</f>
        <v>Chó</v>
      </c>
      <c r="E4722" s="119"/>
    </row>
    <row r="4723" ht="15.75" customHeight="1">
      <c r="A4723" s="122" t="str">
        <f>IFERROR(__xludf.DUMMYFUNCTION("""COMPUTED_VALUE"""),"0984 290 183")</f>
        <v>0984 290 183</v>
      </c>
      <c r="B4723" s="119" t="str">
        <f>IFERROR(__xludf.DUMMYFUNCTION("""COMPUTED_VALUE"""),"Chú Hoàng")</f>
        <v>Chú Hoàng</v>
      </c>
      <c r="C4723" s="119" t="str">
        <f>IFERROR(__xludf.DUMMYFUNCTION("""COMPUTED_VALUE"""),"9/500 Bùi Thị Xuân")</f>
        <v>9/500 Bùi Thị Xuân</v>
      </c>
      <c r="D4723" s="119" t="str">
        <f>IFERROR(__xludf.DUMMYFUNCTION("""COMPUTED_VALUE"""),"Chó")</f>
        <v>Chó</v>
      </c>
      <c r="E4723" s="119" t="str">
        <f>IFERROR(__xludf.DUMMYFUNCTION("""COMPUTED_VALUE"""),"sóc")</f>
        <v>sóc</v>
      </c>
    </row>
    <row r="4724" ht="15.75" customHeight="1">
      <c r="A4724" s="122" t="str">
        <f>IFERROR(__xludf.DUMMYFUNCTION("""COMPUTED_VALUE"""),"0901 953 489")</f>
        <v>0901 953 489</v>
      </c>
      <c r="B4724" s="119" t="str">
        <f>IFERROR(__xludf.DUMMYFUNCTION("""COMPUTED_VALUE"""),"Anh Tuấn Anh")</f>
        <v>Anh Tuấn Anh</v>
      </c>
      <c r="C4724" s="119" t="str">
        <f>IFERROR(__xludf.DUMMYFUNCTION("""COMPUTED_VALUE"""),"3/79 Phạm Thị Liên")</f>
        <v>3/79 Phạm Thị Liên</v>
      </c>
      <c r="D4724" s="119" t="str">
        <f>IFERROR(__xludf.DUMMYFUNCTION("""COMPUTED_VALUE"""),"Chó")</f>
        <v>Chó</v>
      </c>
      <c r="E4724" s="119" t="str">
        <f>IFERROR(__xludf.DUMMYFUNCTION("""COMPUTED_VALUE"""),"Muối")</f>
        <v>Muối</v>
      </c>
    </row>
    <row r="4725" ht="15.75" customHeight="1">
      <c r="A4725" s="122" t="str">
        <f>IFERROR(__xludf.DUMMYFUNCTION("""COMPUTED_VALUE"""),"0384 044 205")</f>
        <v>0384 044 205</v>
      </c>
      <c r="B4725" s="119" t="str">
        <f>IFERROR(__xludf.DUMMYFUNCTION("""COMPUTED_VALUE"""),"Em Thắng")</f>
        <v>Em Thắng</v>
      </c>
      <c r="C4725" s="119" t="str">
        <f>IFERROR(__xludf.DUMMYFUNCTION("""COMPUTED_VALUE"""),"Xóm 11 Thủ Lệ 2, Quảng Điền")</f>
        <v>Xóm 11 Thủ Lệ 2, Quảng Điền</v>
      </c>
      <c r="D4725" s="119" t="str">
        <f>IFERROR(__xludf.DUMMYFUNCTION("""COMPUTED_VALUE"""),"Mèo")</f>
        <v>Mèo</v>
      </c>
      <c r="E4725" s="119" t="str">
        <f>IFERROR(__xludf.DUMMYFUNCTION("""COMPUTED_VALUE"""),"Mun")</f>
        <v>Mun</v>
      </c>
    </row>
    <row r="4726" ht="15.75" customHeight="1">
      <c r="A4726" s="122" t="str">
        <f>IFERROR(__xludf.DUMMYFUNCTION("""COMPUTED_VALUE"""),"0392 600 628")</f>
        <v>0392 600 628</v>
      </c>
      <c r="B4726" s="119" t="str">
        <f>IFERROR(__xludf.DUMMYFUNCTION("""COMPUTED_VALUE"""),"Như Ý")</f>
        <v>Như Ý</v>
      </c>
      <c r="C4726" s="119" t="str">
        <f>IFERROR(__xludf.DUMMYFUNCTION("""COMPUTED_VALUE"""),"95 Nguyễn Trãi")</f>
        <v>95 Nguyễn Trãi</v>
      </c>
      <c r="D4726" s="119" t="str">
        <f>IFERROR(__xludf.DUMMYFUNCTION("""COMPUTED_VALUE"""),"Mèo")</f>
        <v>Mèo</v>
      </c>
      <c r="E4726" s="119" t="str">
        <f>IFERROR(__xludf.DUMMYFUNCTION("""COMPUTED_VALUE"""),"Đại Ca")</f>
        <v>Đại Ca</v>
      </c>
    </row>
    <row r="4727" ht="15.75" customHeight="1">
      <c r="A4727" s="122" t="str">
        <f>IFERROR(__xludf.DUMMYFUNCTION("""COMPUTED_VALUE"""),"0899 327 545")</f>
        <v>0899 327 545</v>
      </c>
      <c r="B4727" s="119" t="str">
        <f>IFERROR(__xludf.DUMMYFUNCTION("""COMPUTED_VALUE"""),"Hồ Thị Nhật Hà")</f>
        <v>Hồ Thị Nhật Hà</v>
      </c>
      <c r="C4727" s="119" t="str">
        <f>IFERROR(__xludf.DUMMYFUNCTION("""COMPUTED_VALUE"""),"Hương Thủy")</f>
        <v>Hương Thủy</v>
      </c>
      <c r="D4727" s="119" t="str">
        <f>IFERROR(__xludf.DUMMYFUNCTION("""COMPUTED_VALUE"""),"Chó")</f>
        <v>Chó</v>
      </c>
      <c r="E4727" s="119" t="str">
        <f>IFERROR(__xludf.DUMMYFUNCTION("""COMPUTED_VALUE"""),"Bống")</f>
        <v>Bống</v>
      </c>
    </row>
    <row r="4728" ht="15.75" customHeight="1">
      <c r="A4728" s="122" t="str">
        <f>IFERROR(__xludf.DUMMYFUNCTION("""COMPUTED_VALUE"""),"0932 222 568")</f>
        <v>0932 222 568</v>
      </c>
      <c r="B4728" s="119" t="str">
        <f>IFERROR(__xludf.DUMMYFUNCTION("""COMPUTED_VALUE"""),"Chị Loan")</f>
        <v>Chị Loan</v>
      </c>
      <c r="C4728" s="119" t="str">
        <f>IFERROR(__xludf.DUMMYFUNCTION("""COMPUTED_VALUE"""),"60/131 Trần Phú")</f>
        <v>60/131 Trần Phú</v>
      </c>
      <c r="D4728" s="119" t="str">
        <f>IFERROR(__xludf.DUMMYFUNCTION("""COMPUTED_VALUE"""),"Mèo")</f>
        <v>Mèo</v>
      </c>
      <c r="E4728" s="119" t="str">
        <f>IFERROR(__xludf.DUMMYFUNCTION("""COMPUTED_VALUE"""),"Tây")</f>
        <v>Tây</v>
      </c>
    </row>
    <row r="4729" ht="15.75" customHeight="1">
      <c r="A4729" s="122" t="str">
        <f>IFERROR(__xludf.DUMMYFUNCTION("""COMPUTED_VALUE"""),"0905 564 011")</f>
        <v>0905 564 011</v>
      </c>
      <c r="B4729" s="119" t="str">
        <f>IFERROR(__xludf.DUMMYFUNCTION("""COMPUTED_VALUE"""),"Chị Phương Anh")</f>
        <v>Chị Phương Anh</v>
      </c>
      <c r="C4729" s="119" t="str">
        <f>IFERROR(__xludf.DUMMYFUNCTION("""COMPUTED_VALUE"""),"288 Lý Thái Tổ")</f>
        <v>288 Lý Thái Tổ</v>
      </c>
      <c r="D4729" s="119" t="str">
        <f>IFERROR(__xludf.DUMMYFUNCTION("""COMPUTED_VALUE"""),"Chó")</f>
        <v>Chó</v>
      </c>
      <c r="E4729" s="119" t="str">
        <f>IFERROR(__xludf.DUMMYFUNCTION("""COMPUTED_VALUE"""),"Lid")</f>
        <v>Lid</v>
      </c>
    </row>
    <row r="4730" ht="15.75" customHeight="1">
      <c r="A4730" s="122" t="str">
        <f>IFERROR(__xludf.DUMMYFUNCTION("""COMPUTED_VALUE"""),"0398 159 428")</f>
        <v>0398 159 428</v>
      </c>
      <c r="B4730" s="119" t="str">
        <f>IFERROR(__xludf.DUMMYFUNCTION("""COMPUTED_VALUE"""),"Anh Tình")</f>
        <v>Anh Tình</v>
      </c>
      <c r="C4730" s="119" t="str">
        <f>IFERROR(__xludf.DUMMYFUNCTION("""COMPUTED_VALUE"""),"Hương Hồ")</f>
        <v>Hương Hồ</v>
      </c>
      <c r="D4730" s="119" t="str">
        <f>IFERROR(__xludf.DUMMYFUNCTION("""COMPUTED_VALUE"""),"Chó")</f>
        <v>Chó</v>
      </c>
      <c r="E4730" s="119"/>
    </row>
    <row r="4731" ht="15.75" customHeight="1">
      <c r="A4731" s="122" t="str">
        <f>IFERROR(__xludf.DUMMYFUNCTION("""COMPUTED_VALUE"""),"0903 555 910")</f>
        <v>0903 555 910</v>
      </c>
      <c r="B4731" s="119" t="str">
        <f>IFERROR(__xludf.DUMMYFUNCTION("""COMPUTED_VALUE"""),"Dì Hương")</f>
        <v>Dì Hương</v>
      </c>
      <c r="C4731" s="119" t="str">
        <f>IFERROR(__xludf.DUMMYFUNCTION("""COMPUTED_VALUE"""),"214 lê Duẩn")</f>
        <v>214 lê Duẩn</v>
      </c>
      <c r="D4731" s="119" t="str">
        <f>IFERROR(__xludf.DUMMYFUNCTION("""COMPUTED_VALUE"""),"Chó")</f>
        <v>Chó</v>
      </c>
      <c r="E4731" s="119" t="str">
        <f>IFERROR(__xludf.DUMMYFUNCTION("""COMPUTED_VALUE"""),"Fa")</f>
        <v>Fa</v>
      </c>
    </row>
    <row r="4732" ht="15.75" customHeight="1">
      <c r="A4732" s="122" t="str">
        <f>IFERROR(__xludf.DUMMYFUNCTION("""COMPUTED_VALUE"""),"0888 246 123")</f>
        <v>0888 246 123</v>
      </c>
      <c r="B4732" s="119" t="str">
        <f>IFERROR(__xludf.DUMMYFUNCTION("""COMPUTED_VALUE"""),"Anh Phúc")</f>
        <v>Anh Phúc</v>
      </c>
      <c r="C4732" s="119" t="str">
        <f>IFERROR(__xludf.DUMMYFUNCTION("""COMPUTED_VALUE"""),"874 Điện Biên Phủ")</f>
        <v>874 Điện Biên Phủ</v>
      </c>
      <c r="D4732" s="119" t="str">
        <f>IFERROR(__xludf.DUMMYFUNCTION("""COMPUTED_VALUE"""),"chó")</f>
        <v>chó</v>
      </c>
      <c r="E4732" s="119" t="str">
        <f>IFERROR(__xludf.DUMMYFUNCTION("""COMPUTED_VALUE"""),"Nộ")</f>
        <v>Nộ</v>
      </c>
    </row>
    <row r="4733" ht="15.75" customHeight="1">
      <c r="A4733" s="122" t="str">
        <f>IFERROR(__xludf.DUMMYFUNCTION("""COMPUTED_VALUE"""),"0914 620 310")</f>
        <v>0914 620 310</v>
      </c>
      <c r="B4733" s="119" t="str">
        <f>IFERROR(__xludf.DUMMYFUNCTION("""COMPUTED_VALUE"""),"Chị Thúy Nhi")</f>
        <v>Chị Thúy Nhi</v>
      </c>
      <c r="C4733" s="119" t="str">
        <f>IFERROR(__xludf.DUMMYFUNCTION("""COMPUTED_VALUE"""),"13/88 Nguyễn Khoa Chiêm")</f>
        <v>13/88 Nguyễn Khoa Chiêm</v>
      </c>
      <c r="D4733" s="119" t="str">
        <f>IFERROR(__xludf.DUMMYFUNCTION("""COMPUTED_VALUE"""),"Chó")</f>
        <v>Chó</v>
      </c>
      <c r="E4733" s="119" t="str">
        <f>IFERROR(__xludf.DUMMYFUNCTION("""COMPUTED_VALUE"""),"Nhỏ")</f>
        <v>Nhỏ</v>
      </c>
    </row>
    <row r="4734" ht="15.75" customHeight="1">
      <c r="A4734" s="122" t="str">
        <f>IFERROR(__xludf.DUMMYFUNCTION("""COMPUTED_VALUE"""),"0913 508 408")</f>
        <v>0913 508 408</v>
      </c>
      <c r="B4734" s="119" t="str">
        <f>IFERROR(__xludf.DUMMYFUNCTION("""COMPUTED_VALUE"""),"Lê Thị Mỹ Hạnh")</f>
        <v>Lê Thị Mỹ Hạnh</v>
      </c>
      <c r="C4734" s="119" t="str">
        <f>IFERROR(__xludf.DUMMYFUNCTION("""COMPUTED_VALUE"""),"Quảng Trị")</f>
        <v>Quảng Trị</v>
      </c>
      <c r="D4734" s="119" t="str">
        <f>IFERROR(__xludf.DUMMYFUNCTION("""COMPUTED_VALUE"""),"Chó")</f>
        <v>Chó</v>
      </c>
      <c r="E4734" s="119" t="str">
        <f>IFERROR(__xludf.DUMMYFUNCTION("""COMPUTED_VALUE"""),"Nâu")</f>
        <v>Nâu</v>
      </c>
    </row>
    <row r="4735" ht="15.75" customHeight="1">
      <c r="A4735" s="122" t="str">
        <f>IFERROR(__xludf.DUMMYFUNCTION("""COMPUTED_VALUE"""),"0914 310 126")</f>
        <v>0914 310 126</v>
      </c>
      <c r="B4735" s="119" t="str">
        <f>IFERROR(__xludf.DUMMYFUNCTION("""COMPUTED_VALUE"""),"Chị Thủy")</f>
        <v>Chị Thủy</v>
      </c>
      <c r="C4735" s="119" t="str">
        <f>IFERROR(__xludf.DUMMYFUNCTION("""COMPUTED_VALUE"""),"Hương Trà")</f>
        <v>Hương Trà</v>
      </c>
      <c r="D4735" s="119" t="str">
        <f>IFERROR(__xludf.DUMMYFUNCTION("""COMPUTED_VALUE"""),"Chó")</f>
        <v>Chó</v>
      </c>
      <c r="E4735" s="119"/>
    </row>
    <row r="4736" ht="15.75" customHeight="1">
      <c r="A4736" s="122" t="str">
        <f>IFERROR(__xludf.DUMMYFUNCTION("""COMPUTED_VALUE"""),"0971 533 335")</f>
        <v>0971 533 335</v>
      </c>
      <c r="B4736" s="119" t="str">
        <f>IFERROR(__xludf.DUMMYFUNCTION("""COMPUTED_VALUE"""),"Anh Nguyên")</f>
        <v>Anh Nguyên</v>
      </c>
      <c r="C4736" s="119" t="str">
        <f>IFERROR(__xludf.DUMMYFUNCTION("""COMPUTED_VALUE"""),"29 Phùng chí kiên")</f>
        <v>29 Phùng chí kiên</v>
      </c>
      <c r="D4736" s="119" t="str">
        <f>IFERROR(__xludf.DUMMYFUNCTION("""COMPUTED_VALUE"""),"Chó")</f>
        <v>Chó</v>
      </c>
      <c r="E4736" s="119" t="str">
        <f>IFERROR(__xludf.DUMMYFUNCTION("""COMPUTED_VALUE"""),"Vện")</f>
        <v>Vện</v>
      </c>
    </row>
    <row r="4737" ht="15.75" customHeight="1">
      <c r="A4737" s="122" t="str">
        <f>IFERROR(__xludf.DUMMYFUNCTION("""COMPUTED_VALUE"""),"0913 427 196")</f>
        <v>0913 427 196</v>
      </c>
      <c r="B4737" s="119" t="str">
        <f>IFERROR(__xludf.DUMMYFUNCTION("""COMPUTED_VALUE"""),"BS Thuận")</f>
        <v>BS Thuận</v>
      </c>
      <c r="C4737" s="119" t="str">
        <f>IFERROR(__xludf.DUMMYFUNCTION("""COMPUTED_VALUE"""),"8 Nguyễn Thiện Thuật")</f>
        <v>8 Nguyễn Thiện Thuật</v>
      </c>
      <c r="D4737" s="119" t="str">
        <f>IFERROR(__xludf.DUMMYFUNCTION("""COMPUTED_VALUE"""),"Chó")</f>
        <v>Chó</v>
      </c>
      <c r="E4737" s="119" t="str">
        <f>IFERROR(__xludf.DUMMYFUNCTION("""COMPUTED_VALUE"""),"Bu")</f>
        <v>Bu</v>
      </c>
    </row>
    <row r="4738" ht="15.75" customHeight="1">
      <c r="A4738" s="122" t="str">
        <f>IFERROR(__xludf.DUMMYFUNCTION("""COMPUTED_VALUE"""),"0935 400 976")</f>
        <v>0935 400 976</v>
      </c>
      <c r="B4738" s="119" t="str">
        <f>IFERROR(__xludf.DUMMYFUNCTION("""COMPUTED_VALUE"""),"Dì Thương")</f>
        <v>Dì Thương</v>
      </c>
      <c r="C4738" s="119" t="str">
        <f>IFERROR(__xludf.DUMMYFUNCTION("""COMPUTED_VALUE"""),"An Ninh")</f>
        <v>An Ninh</v>
      </c>
      <c r="D4738" s="119" t="str">
        <f>IFERROR(__xludf.DUMMYFUNCTION("""COMPUTED_VALUE"""),"Chó")</f>
        <v>Chó</v>
      </c>
      <c r="E4738" s="119" t="str">
        <f>IFERROR(__xludf.DUMMYFUNCTION("""COMPUTED_VALUE"""),"Milo")</f>
        <v>Milo</v>
      </c>
    </row>
    <row r="4739" ht="15.75" customHeight="1">
      <c r="A4739" s="122" t="str">
        <f>IFERROR(__xludf.DUMMYFUNCTION("""COMPUTED_VALUE"""),"0937 275 732")</f>
        <v>0937 275 732</v>
      </c>
      <c r="B4739" s="119" t="str">
        <f>IFERROR(__xludf.DUMMYFUNCTION("""COMPUTED_VALUE"""),"Chị Yến")</f>
        <v>Chị Yến</v>
      </c>
      <c r="C4739" s="119" t="str">
        <f>IFERROR(__xludf.DUMMYFUNCTION("""COMPUTED_VALUE"""),"Phú Mộng")</f>
        <v>Phú Mộng</v>
      </c>
      <c r="D4739" s="119" t="str">
        <f>IFERROR(__xludf.DUMMYFUNCTION("""COMPUTED_VALUE"""),"Chó")</f>
        <v>Chó</v>
      </c>
      <c r="E4739" s="119" t="str">
        <f>IFERROR(__xludf.DUMMYFUNCTION("""COMPUTED_VALUE"""),"Bia")</f>
        <v>Bia</v>
      </c>
    </row>
    <row r="4740" ht="15.75" customHeight="1">
      <c r="A4740" s="122" t="str">
        <f>IFERROR(__xludf.DUMMYFUNCTION("""COMPUTED_VALUE"""),"0935 239 060")</f>
        <v>0935 239 060</v>
      </c>
      <c r="B4740" s="119" t="str">
        <f>IFERROR(__xludf.DUMMYFUNCTION("""COMPUTED_VALUE"""),"Hạnh Nhân")</f>
        <v>Hạnh Nhân</v>
      </c>
      <c r="C4740" s="119" t="str">
        <f>IFERROR(__xludf.DUMMYFUNCTION("""COMPUTED_VALUE"""),"120 lê duẫn")</f>
        <v>120 lê duẫn</v>
      </c>
      <c r="D4740" s="119" t="str">
        <f>IFERROR(__xludf.DUMMYFUNCTION("""COMPUTED_VALUE"""),"Chó")</f>
        <v>Chó</v>
      </c>
      <c r="E4740" s="119" t="str">
        <f>IFERROR(__xludf.DUMMYFUNCTION("""COMPUTED_VALUE"""),"si")</f>
        <v>si</v>
      </c>
    </row>
    <row r="4741" ht="15.75" customHeight="1">
      <c r="A4741" s="122" t="str">
        <f>IFERROR(__xludf.DUMMYFUNCTION("""COMPUTED_VALUE"""),"0935 668 146")</f>
        <v>0935 668 146</v>
      </c>
      <c r="B4741" s="119" t="str">
        <f>IFERROR(__xludf.DUMMYFUNCTION("""COMPUTED_VALUE"""),"dì Yến")</f>
        <v>dì Yến</v>
      </c>
      <c r="C4741" s="119" t="str">
        <f>IFERROR(__xludf.DUMMYFUNCTION("""COMPUTED_VALUE"""),"1/30 minh mạng")</f>
        <v>1/30 minh mạng</v>
      </c>
      <c r="D4741" s="119" t="str">
        <f>IFERROR(__xludf.DUMMYFUNCTION("""COMPUTED_VALUE"""),"Chó")</f>
        <v>Chó</v>
      </c>
      <c r="E4741" s="119" t="str">
        <f>IFERROR(__xludf.DUMMYFUNCTION("""COMPUTED_VALUE"""),"vàng")</f>
        <v>vàng</v>
      </c>
    </row>
    <row r="4742" ht="15.75" customHeight="1">
      <c r="A4742" s="122" t="str">
        <f>IFERROR(__xludf.DUMMYFUNCTION("""COMPUTED_VALUE"""),"0935 625 113")</f>
        <v>0935 625 113</v>
      </c>
      <c r="B4742" s="119" t="str">
        <f>IFERROR(__xludf.DUMMYFUNCTION("""COMPUTED_VALUE"""),"chị Nhi")</f>
        <v>chị Nhi</v>
      </c>
      <c r="C4742" s="119" t="str">
        <f>IFERROR(__xludf.DUMMYFUNCTION("""COMPUTED_VALUE"""),"24 phạm thị liên")</f>
        <v>24 phạm thị liên</v>
      </c>
      <c r="D4742" s="119" t="str">
        <f>IFERROR(__xludf.DUMMYFUNCTION("""COMPUTED_VALUE"""),"Chó")</f>
        <v>Chó</v>
      </c>
      <c r="E4742" s="119" t="str">
        <f>IFERROR(__xludf.DUMMYFUNCTION("""COMPUTED_VALUE"""),"kem")</f>
        <v>kem</v>
      </c>
    </row>
    <row r="4743" ht="15.75" customHeight="1">
      <c r="A4743" s="122" t="str">
        <f>IFERROR(__xludf.DUMMYFUNCTION("""COMPUTED_VALUE"""),"0774 487 146")</f>
        <v>0774 487 146</v>
      </c>
      <c r="B4743" s="119" t="str">
        <f>IFERROR(__xludf.DUMMYFUNCTION("""COMPUTED_VALUE"""),"anh Nguyên")</f>
        <v>anh Nguyên</v>
      </c>
      <c r="C4743" s="119" t="str">
        <f>IFERROR(__xludf.DUMMYFUNCTION("""COMPUTED_VALUE"""),"116/18 kim long")</f>
        <v>116/18 kim long</v>
      </c>
      <c r="D4743" s="119" t="str">
        <f>IFERROR(__xludf.DUMMYFUNCTION("""COMPUTED_VALUE"""),"Chó")</f>
        <v>Chó</v>
      </c>
      <c r="E4743" s="119" t="str">
        <f>IFERROR(__xludf.DUMMYFUNCTION("""COMPUTED_VALUE"""),"way")</f>
        <v>way</v>
      </c>
    </row>
    <row r="4744" ht="15.75" customHeight="1">
      <c r="A4744" s="122" t="str">
        <f>IFERROR(__xludf.DUMMYFUNCTION("""COMPUTED_VALUE"""),"0934 713 025")</f>
        <v>0934 713 025</v>
      </c>
      <c r="B4744" s="119" t="str">
        <f>IFERROR(__xludf.DUMMYFUNCTION("""COMPUTED_VALUE"""),"Hoàng Thị Hiền")</f>
        <v>Hoàng Thị Hiền</v>
      </c>
      <c r="C4744" s="119" t="str">
        <f>IFERROR(__xludf.DUMMYFUNCTION("""COMPUTED_VALUE"""),"53/2 phạm thị liên")</f>
        <v>53/2 phạm thị liên</v>
      </c>
      <c r="D4744" s="119" t="str">
        <f>IFERROR(__xludf.DUMMYFUNCTION("""COMPUTED_VALUE"""),"Chó")</f>
        <v>Chó</v>
      </c>
      <c r="E4744" s="119" t="str">
        <f>IFERROR(__xludf.DUMMYFUNCTION("""COMPUTED_VALUE"""),"rony")</f>
        <v>rony</v>
      </c>
    </row>
    <row r="4745" ht="15.75" customHeight="1">
      <c r="A4745" s="122" t="str">
        <f>IFERROR(__xludf.DUMMYFUNCTION("""COMPUTED_VALUE"""),"0868 560 660")</f>
        <v>0868 560 660</v>
      </c>
      <c r="B4745" s="119" t="str">
        <f>IFERROR(__xludf.DUMMYFUNCTION("""COMPUTED_VALUE"""),"Lê Hữu Trung")</f>
        <v>Lê Hữu Trung</v>
      </c>
      <c r="C4745" s="119" t="str">
        <f>IFERROR(__xludf.DUMMYFUNCTION("""COMPUTED_VALUE"""),"81 trần đại nghĩa")</f>
        <v>81 trần đại nghĩa</v>
      </c>
      <c r="D4745" s="119" t="str">
        <f>IFERROR(__xludf.DUMMYFUNCTION("""COMPUTED_VALUE"""),"Chó")</f>
        <v>Chó</v>
      </c>
      <c r="E4745" s="119"/>
    </row>
    <row r="4746" ht="15.75" customHeight="1">
      <c r="A4746" s="122" t="str">
        <f>IFERROR(__xludf.DUMMYFUNCTION("""COMPUTED_VALUE"""),"0903 588 899")</f>
        <v>0903 588 899</v>
      </c>
      <c r="B4746" s="119" t="str">
        <f>IFERROR(__xludf.DUMMYFUNCTION("""COMPUTED_VALUE"""),"bác Lê Thành")</f>
        <v>bác Lê Thành</v>
      </c>
      <c r="C4746" s="119" t="str">
        <f>IFERROR(__xludf.DUMMYFUNCTION("""COMPUTED_VALUE"""),"vinh an")</f>
        <v>vinh an</v>
      </c>
      <c r="D4746" s="119" t="str">
        <f>IFERROR(__xludf.DUMMYFUNCTION("""COMPUTED_VALUE"""),"Chó")</f>
        <v>Chó</v>
      </c>
      <c r="E4746" s="119" t="str">
        <f>IFERROR(__xludf.DUMMYFUNCTION("""COMPUTED_VALUE"""),"nicko")</f>
        <v>nicko</v>
      </c>
    </row>
    <row r="4747" ht="15.75" customHeight="1">
      <c r="A4747" s="122" t="str">
        <f>IFERROR(__xludf.DUMMYFUNCTION("""COMPUTED_VALUE"""),"0343 062 548")</f>
        <v>0343 062 548</v>
      </c>
      <c r="B4747" s="119" t="str">
        <f>IFERROR(__xludf.DUMMYFUNCTION("""COMPUTED_VALUE"""),"chú Hòa")</f>
        <v>chú Hòa</v>
      </c>
      <c r="C4747" s="119" t="str">
        <f>IFERROR(__xludf.DUMMYFUNCTION("""COMPUTED_VALUE"""),"30 kim long")</f>
        <v>30 kim long</v>
      </c>
      <c r="D4747" s="119" t="str">
        <f>IFERROR(__xludf.DUMMYFUNCTION("""COMPUTED_VALUE"""),"Chó")</f>
        <v>Chó</v>
      </c>
      <c r="E4747" s="119" t="str">
        <f>IFERROR(__xludf.DUMMYFUNCTION("""COMPUTED_VALUE"""),"lucky")</f>
        <v>lucky</v>
      </c>
    </row>
    <row r="4748" ht="15.75" customHeight="1">
      <c r="A4748" s="122" t="str">
        <f>IFERROR(__xludf.DUMMYFUNCTION("""COMPUTED_VALUE"""),"0708 090 162")</f>
        <v>0708 090 162</v>
      </c>
      <c r="B4748" s="119" t="str">
        <f>IFERROR(__xludf.DUMMYFUNCTION("""COMPUTED_VALUE"""),"anh Phúc")</f>
        <v>anh Phúc</v>
      </c>
      <c r="C4748" s="119" t="str">
        <f>IFERROR(__xludf.DUMMYFUNCTION("""COMPUTED_VALUE"""),"111 lê trung đình")</f>
        <v>111 lê trung đình</v>
      </c>
      <c r="D4748" s="119" t="str">
        <f>IFERROR(__xludf.DUMMYFUNCTION("""COMPUTED_VALUE"""),"Chó")</f>
        <v>Chó</v>
      </c>
      <c r="E4748" s="119" t="str">
        <f>IFERROR(__xludf.DUMMYFUNCTION("""COMPUTED_VALUE"""),"lion")</f>
        <v>lion</v>
      </c>
    </row>
    <row r="4749" ht="15.75" customHeight="1">
      <c r="A4749" s="122" t="str">
        <f>IFERROR(__xludf.DUMMYFUNCTION("""COMPUTED_VALUE"""),"0935 518 006")</f>
        <v>0935 518 006</v>
      </c>
      <c r="B4749" s="119" t="str">
        <f>IFERROR(__xludf.DUMMYFUNCTION("""COMPUTED_VALUE"""),"anh Phong")</f>
        <v>anh Phong</v>
      </c>
      <c r="C4749" s="119" t="str">
        <f>IFERROR(__xludf.DUMMYFUNCTION("""COMPUTED_VALUE"""),"tứ hạ")</f>
        <v>tứ hạ</v>
      </c>
      <c r="D4749" s="119" t="str">
        <f>IFERROR(__xludf.DUMMYFUNCTION("""COMPUTED_VALUE"""),"Chó")</f>
        <v>Chó</v>
      </c>
      <c r="E4749" s="119" t="str">
        <f>IFERROR(__xludf.DUMMYFUNCTION("""COMPUTED_VALUE"""),"muối")</f>
        <v>muối</v>
      </c>
    </row>
    <row r="4750" ht="15.75" customHeight="1">
      <c r="A4750" s="122" t="str">
        <f>IFERROR(__xludf.DUMMYFUNCTION("""COMPUTED_VALUE"""),"0706 204 607")</f>
        <v>0706 204 607</v>
      </c>
      <c r="B4750" s="119" t="str">
        <f>IFERROR(__xludf.DUMMYFUNCTION("""COMPUTED_VALUE"""),"chị Nga")</f>
        <v>chị Nga</v>
      </c>
      <c r="C4750" s="119" t="str">
        <f>IFERROR(__xludf.DUMMYFUNCTION("""COMPUTED_VALUE"""),"17 nguyễn khoa chiêm")</f>
        <v>17 nguyễn khoa chiêm</v>
      </c>
      <c r="D4750" s="119" t="str">
        <f>IFERROR(__xludf.DUMMYFUNCTION("""COMPUTED_VALUE"""),"Chó")</f>
        <v>Chó</v>
      </c>
      <c r="E4750" s="119" t="str">
        <f>IFERROR(__xludf.DUMMYFUNCTION("""COMPUTED_VALUE"""),"ren")</f>
        <v>ren</v>
      </c>
    </row>
    <row r="4751" ht="15.75" customHeight="1">
      <c r="A4751" s="122" t="str">
        <f>IFERROR(__xludf.DUMMYFUNCTION("""COMPUTED_VALUE"""),"0774 807 197")</f>
        <v>0774 807 197</v>
      </c>
      <c r="B4751" s="119" t="str">
        <f>IFERROR(__xludf.DUMMYFUNCTION("""COMPUTED_VALUE"""),"anh Long")</f>
        <v>anh Long</v>
      </c>
      <c r="C4751" s="119" t="str">
        <f>IFERROR(__xludf.DUMMYFUNCTION("""COMPUTED_VALUE"""),"bạch đằng")</f>
        <v>bạch đằng</v>
      </c>
      <c r="D4751" s="119" t="str">
        <f>IFERROR(__xludf.DUMMYFUNCTION("""COMPUTED_VALUE"""),"Chó")</f>
        <v>Chó</v>
      </c>
      <c r="E4751" s="119" t="str">
        <f>IFERROR(__xludf.DUMMYFUNCTION("""COMPUTED_VALUE"""),"bông")</f>
        <v>bông</v>
      </c>
    </row>
    <row r="4752" ht="15.75" customHeight="1">
      <c r="A4752" s="122" t="str">
        <f>IFERROR(__xludf.DUMMYFUNCTION("""COMPUTED_VALUE"""),"0905 997 145")</f>
        <v>0905 997 145</v>
      </c>
      <c r="B4752" s="119" t="str">
        <f>IFERROR(__xludf.DUMMYFUNCTION("""COMPUTED_VALUE"""),"anh Tuấn")</f>
        <v>anh Tuấn</v>
      </c>
      <c r="C4752" s="119" t="str">
        <f>IFERROR(__xludf.DUMMYFUNCTION("""COMPUTED_VALUE"""),"33/1 nguyễn hoàng")</f>
        <v>33/1 nguyễn hoàng</v>
      </c>
      <c r="D4752" s="119" t="str">
        <f>IFERROR(__xludf.DUMMYFUNCTION("""COMPUTED_VALUE"""),"Chó")</f>
        <v>Chó</v>
      </c>
      <c r="E4752" s="119" t="str">
        <f>IFERROR(__xludf.DUMMYFUNCTION("""COMPUTED_VALUE"""),"kaki")</f>
        <v>kaki</v>
      </c>
    </row>
    <row r="4753" ht="15.75" customHeight="1">
      <c r="A4753" s="122" t="str">
        <f>IFERROR(__xludf.DUMMYFUNCTION("""COMPUTED_VALUE"""),"0973 301 926")</f>
        <v>0973 301 926</v>
      </c>
      <c r="B4753" s="119" t="str">
        <f>IFERROR(__xludf.DUMMYFUNCTION("""COMPUTED_VALUE"""),"chú Chánh")</f>
        <v>chú Chánh</v>
      </c>
      <c r="C4753" s="119" t="str">
        <f>IFERROR(__xludf.DUMMYFUNCTION("""COMPUTED_VALUE"""),"4/14 chi lăng")</f>
        <v>4/14 chi lăng</v>
      </c>
      <c r="D4753" s="119" t="str">
        <f>IFERROR(__xludf.DUMMYFUNCTION("""COMPUTED_VALUE"""),"Chó")</f>
        <v>Chó</v>
      </c>
      <c r="E4753" s="119" t="str">
        <f>IFERROR(__xludf.DUMMYFUNCTION("""COMPUTED_VALUE"""),"tốp")</f>
        <v>tốp</v>
      </c>
    </row>
    <row r="4754" ht="15.75" customHeight="1">
      <c r="A4754" s="122" t="str">
        <f>IFERROR(__xludf.DUMMYFUNCTION("""COMPUTED_VALUE"""),"0914 172 581")</f>
        <v>0914 172 581</v>
      </c>
      <c r="B4754" s="119" t="str">
        <f>IFERROR(__xludf.DUMMYFUNCTION("""COMPUTED_VALUE"""),"dì Nga")</f>
        <v>dì Nga</v>
      </c>
      <c r="C4754" s="119" t="str">
        <f>IFERROR(__xludf.DUMMYFUNCTION("""COMPUTED_VALUE"""),"hương hồ")</f>
        <v>hương hồ</v>
      </c>
      <c r="D4754" s="119" t="str">
        <f>IFERROR(__xludf.DUMMYFUNCTION("""COMPUTED_VALUE"""),"Chó")</f>
        <v>Chó</v>
      </c>
      <c r="E4754" s="119" t="str">
        <f>IFERROR(__xludf.DUMMYFUNCTION("""COMPUTED_VALUE"""),"nhỏ")</f>
        <v>nhỏ</v>
      </c>
    </row>
    <row r="4755" ht="15.75" customHeight="1">
      <c r="A4755" s="122" t="str">
        <f>IFERROR(__xludf.DUMMYFUNCTION("""COMPUTED_VALUE"""),"0911 110 272")</f>
        <v>0911 110 272</v>
      </c>
      <c r="B4755" s="119" t="str">
        <f>IFERROR(__xludf.DUMMYFUNCTION("""COMPUTED_VALUE"""),"Quốc Toản")</f>
        <v>Quốc Toản</v>
      </c>
      <c r="C4755" s="119"/>
      <c r="D4755" s="119" t="str">
        <f>IFERROR(__xludf.DUMMYFUNCTION("""COMPUTED_VALUE"""),"Chó")</f>
        <v>Chó</v>
      </c>
      <c r="E4755" s="119" t="str">
        <f>IFERROR(__xludf.DUMMYFUNCTION("""COMPUTED_VALUE"""),"tủn")</f>
        <v>tủn</v>
      </c>
    </row>
    <row r="4756" ht="15.75" customHeight="1">
      <c r="A4756" s="122" t="str">
        <f>IFERROR(__xludf.DUMMYFUNCTION("""COMPUTED_VALUE"""),"0836 033 352")</f>
        <v>0836 033 352</v>
      </c>
      <c r="B4756" s="119" t="str">
        <f>IFERROR(__xludf.DUMMYFUNCTION("""COMPUTED_VALUE"""),"chị Phương")</f>
        <v>chị Phương</v>
      </c>
      <c r="C4756" s="119" t="str">
        <f>IFERROR(__xludf.DUMMYFUNCTION("""COMPUTED_VALUE"""),"tôn thất tùng")</f>
        <v>tôn thất tùng</v>
      </c>
      <c r="D4756" s="119" t="str">
        <f>IFERROR(__xludf.DUMMYFUNCTION("""COMPUTED_VALUE"""),"Chó")</f>
        <v>Chó</v>
      </c>
      <c r="E4756" s="119" t="str">
        <f>IFERROR(__xludf.DUMMYFUNCTION("""COMPUTED_VALUE"""),"nấm")</f>
        <v>nấm</v>
      </c>
    </row>
    <row r="4757" ht="15.75" customHeight="1">
      <c r="A4757" s="122" t="str">
        <f>IFERROR(__xludf.DUMMYFUNCTION("""COMPUTED_VALUE"""),"0982 024 255")</f>
        <v>0982 024 255</v>
      </c>
      <c r="B4757" s="119" t="str">
        <f>IFERROR(__xludf.DUMMYFUNCTION("""COMPUTED_VALUE"""),"Hồ Ngọc Huy")</f>
        <v>Hồ Ngọc Huy</v>
      </c>
      <c r="C4757" s="119" t="str">
        <f>IFERROR(__xludf.DUMMYFUNCTION("""COMPUTED_VALUE"""),"1 Lê Tự Nhiên")</f>
        <v>1 Lê Tự Nhiên</v>
      </c>
      <c r="D4757" s="119" t="str">
        <f>IFERROR(__xludf.DUMMYFUNCTION("""COMPUTED_VALUE"""),"Chó")</f>
        <v>Chó</v>
      </c>
      <c r="E4757" s="119" t="str">
        <f>IFERROR(__xludf.DUMMYFUNCTION("""COMPUTED_VALUE"""),"Gold")</f>
        <v>Gold</v>
      </c>
    </row>
    <row r="4758" ht="15.75" customHeight="1">
      <c r="A4758" s="122" t="str">
        <f>IFERROR(__xludf.DUMMYFUNCTION("""COMPUTED_VALUE"""),"0378 164 724")</f>
        <v>0378 164 724</v>
      </c>
      <c r="B4758" s="119" t="str">
        <f>IFERROR(__xludf.DUMMYFUNCTION("""COMPUTED_VALUE"""),"Ngô Thị Xuân Hoàng")</f>
        <v>Ngô Thị Xuân Hoàng</v>
      </c>
      <c r="C4758" s="119" t="str">
        <f>IFERROR(__xludf.DUMMYFUNCTION("""COMPUTED_VALUE"""),"164 Điện Biên Phủ")</f>
        <v>164 Điện Biên Phủ</v>
      </c>
      <c r="D4758" s="119" t="str">
        <f>IFERROR(__xludf.DUMMYFUNCTION("""COMPUTED_VALUE"""),"Chó")</f>
        <v>Chó</v>
      </c>
      <c r="E4758" s="119" t="str">
        <f>IFERROR(__xludf.DUMMYFUNCTION("""COMPUTED_VALUE"""),"Milo")</f>
        <v>Milo</v>
      </c>
    </row>
    <row r="4759" ht="15.75" customHeight="1">
      <c r="A4759" s="122" t="str">
        <f>IFERROR(__xludf.DUMMYFUNCTION("""COMPUTED_VALUE"""),"0367 691 050")</f>
        <v>0367 691 050</v>
      </c>
      <c r="B4759" s="119" t="str">
        <f>IFERROR(__xludf.DUMMYFUNCTION("""COMPUTED_VALUE"""),"Nguyễn Văn Huy")</f>
        <v>Nguyễn Văn Huy</v>
      </c>
      <c r="C4759" s="119" t="str">
        <f>IFERROR(__xludf.DUMMYFUNCTION("""COMPUTED_VALUE"""),"Phong Điền")</f>
        <v>Phong Điền</v>
      </c>
      <c r="D4759" s="119" t="str">
        <f>IFERROR(__xludf.DUMMYFUNCTION("""COMPUTED_VALUE"""),"Chó")</f>
        <v>Chó</v>
      </c>
      <c r="E4759" s="119"/>
    </row>
    <row r="4760" ht="15.75" customHeight="1">
      <c r="A4760" s="122" t="str">
        <f>IFERROR(__xludf.DUMMYFUNCTION("""COMPUTED_VALUE"""),"0702 676 869")</f>
        <v>0702 676 869</v>
      </c>
      <c r="B4760" s="119" t="str">
        <f>IFERROR(__xludf.DUMMYFUNCTION("""COMPUTED_VALUE"""),"Anh Mỹ")</f>
        <v>Anh Mỹ</v>
      </c>
      <c r="C4760" s="119" t="str">
        <f>IFERROR(__xludf.DUMMYFUNCTION("""COMPUTED_VALUE"""),"48 Nguyễn Huệ")</f>
        <v>48 Nguyễn Huệ</v>
      </c>
      <c r="D4760" s="119" t="str">
        <f>IFERROR(__xludf.DUMMYFUNCTION("""COMPUTED_VALUE"""),"Chó")</f>
        <v>Chó</v>
      </c>
      <c r="E4760" s="119" t="str">
        <f>IFERROR(__xludf.DUMMYFUNCTION("""COMPUTED_VALUE"""),"Mudita")</f>
        <v>Mudita</v>
      </c>
    </row>
    <row r="4761" ht="15.75" customHeight="1">
      <c r="A4761" s="122" t="str">
        <f>IFERROR(__xludf.DUMMYFUNCTION("""COMPUTED_VALUE"""),"0935 573 153")</f>
        <v>0935 573 153</v>
      </c>
      <c r="B4761" s="119" t="str">
        <f>IFERROR(__xludf.DUMMYFUNCTION("""COMPUTED_VALUE"""),"Anh Khánh")</f>
        <v>Anh Khánh</v>
      </c>
      <c r="C4761" s="119" t="str">
        <f>IFERROR(__xludf.DUMMYFUNCTION("""COMPUTED_VALUE"""),"Thủy An")</f>
        <v>Thủy An</v>
      </c>
      <c r="D4761" s="119" t="str">
        <f>IFERROR(__xludf.DUMMYFUNCTION("""COMPUTED_VALUE"""),"Chó")</f>
        <v>Chó</v>
      </c>
      <c r="E4761" s="119" t="str">
        <f>IFERROR(__xludf.DUMMYFUNCTION("""COMPUTED_VALUE"""),"Nâu")</f>
        <v>Nâu</v>
      </c>
    </row>
    <row r="4762" ht="15.75" customHeight="1">
      <c r="A4762" s="122" t="str">
        <f>IFERROR(__xludf.DUMMYFUNCTION("""COMPUTED_VALUE"""),"0354 342 828")</f>
        <v>0354 342 828</v>
      </c>
      <c r="B4762" s="119" t="str">
        <f>IFERROR(__xludf.DUMMYFUNCTION("""COMPUTED_VALUE"""),"Anh Phong")</f>
        <v>Anh Phong</v>
      </c>
      <c r="C4762" s="119" t="str">
        <f>IFERROR(__xludf.DUMMYFUNCTION("""COMPUTED_VALUE"""),"Chung Cư Xuân Phú")</f>
        <v>Chung Cư Xuân Phú</v>
      </c>
      <c r="D4762" s="119" t="str">
        <f>IFERROR(__xludf.DUMMYFUNCTION("""COMPUTED_VALUE"""),"Chó")</f>
        <v>Chó</v>
      </c>
      <c r="E4762" s="119" t="str">
        <f>IFERROR(__xludf.DUMMYFUNCTION("""COMPUTED_VALUE"""),"Nư")</f>
        <v>Nư</v>
      </c>
    </row>
    <row r="4763" ht="15.75" customHeight="1">
      <c r="A4763" s="122" t="str">
        <f>IFERROR(__xludf.DUMMYFUNCTION("""COMPUTED_VALUE"""),"0768 510 601")</f>
        <v>0768 510 601</v>
      </c>
      <c r="B4763" s="119" t="str">
        <f>IFERROR(__xludf.DUMMYFUNCTION("""COMPUTED_VALUE"""),"Anh Hoài")</f>
        <v>Anh Hoài</v>
      </c>
      <c r="C4763" s="119" t="str">
        <f>IFERROR(__xludf.DUMMYFUNCTION("""COMPUTED_VALUE"""),"4/289 Bùi Thị Xuân")</f>
        <v>4/289 Bùi Thị Xuân</v>
      </c>
      <c r="D4763" s="119" t="str">
        <f>IFERROR(__xludf.DUMMYFUNCTION("""COMPUTED_VALUE"""),"chó")</f>
        <v>chó</v>
      </c>
      <c r="E4763" s="119" t="str">
        <f>IFERROR(__xludf.DUMMYFUNCTION("""COMPUTED_VALUE""")," ")</f>
        <v> </v>
      </c>
    </row>
    <row r="4764" ht="15.75" customHeight="1">
      <c r="A4764" s="122" t="str">
        <f>IFERROR(__xludf.DUMMYFUNCTION("""COMPUTED_VALUE"""),"0389 151 505")</f>
        <v>0389 151 505</v>
      </c>
      <c r="B4764" s="119" t="str">
        <f>IFERROR(__xludf.DUMMYFUNCTION("""COMPUTED_VALUE"""),"Chị Nhi")</f>
        <v>Chị Nhi</v>
      </c>
      <c r="C4764" s="119" t="str">
        <f>IFERROR(__xludf.DUMMYFUNCTION("""COMPUTED_VALUE"""),"Phong Điền")</f>
        <v>Phong Điền</v>
      </c>
      <c r="D4764" s="119" t="str">
        <f>IFERROR(__xludf.DUMMYFUNCTION("""COMPUTED_VALUE"""),"Chó")</f>
        <v>Chó</v>
      </c>
      <c r="E4764" s="119" t="str">
        <f>IFERROR(__xludf.DUMMYFUNCTION("""COMPUTED_VALUE"""),"Zet")</f>
        <v>Zet</v>
      </c>
    </row>
    <row r="4765" ht="15.75" customHeight="1">
      <c r="A4765" s="122" t="str">
        <f>IFERROR(__xludf.DUMMYFUNCTION("""COMPUTED_VALUE"""),"0398 191 234")</f>
        <v>0398 191 234</v>
      </c>
      <c r="B4765" s="119" t="str">
        <f>IFERROR(__xludf.DUMMYFUNCTION("""COMPUTED_VALUE"""),"Chị Hằng")</f>
        <v>Chị Hằng</v>
      </c>
      <c r="C4765" s="119" t="str">
        <f>IFERROR(__xludf.DUMMYFUNCTION("""COMPUTED_VALUE"""),"Điện Biên Phủ")</f>
        <v>Điện Biên Phủ</v>
      </c>
      <c r="D4765" s="119" t="str">
        <f>IFERROR(__xludf.DUMMYFUNCTION("""COMPUTED_VALUE"""),"Chó")</f>
        <v>Chó</v>
      </c>
      <c r="E4765" s="119" t="str">
        <f>IFERROR(__xludf.DUMMYFUNCTION("""COMPUTED_VALUE"""),"Dolla")</f>
        <v>Dolla</v>
      </c>
    </row>
    <row r="4766" ht="15.75" customHeight="1">
      <c r="A4766" s="122" t="str">
        <f>IFERROR(__xludf.DUMMYFUNCTION("""COMPUTED_VALUE"""),"0942 602 156")</f>
        <v>0942 602 156</v>
      </c>
      <c r="B4766" s="119" t="str">
        <f>IFERROR(__xludf.DUMMYFUNCTION("""COMPUTED_VALUE"""),"Chị Phụng")</f>
        <v>Chị Phụng</v>
      </c>
      <c r="C4766" s="119" t="str">
        <f>IFERROR(__xludf.DUMMYFUNCTION("""COMPUTED_VALUE"""),"22/2/6 Phú Mộng")</f>
        <v>22/2/6 Phú Mộng</v>
      </c>
      <c r="D4766" s="119" t="str">
        <f>IFERROR(__xludf.DUMMYFUNCTION("""COMPUTED_VALUE"""),"Chó")</f>
        <v>Chó</v>
      </c>
      <c r="E4766" s="119" t="str">
        <f>IFERROR(__xludf.DUMMYFUNCTION("""COMPUTED_VALUE"""),"Fox")</f>
        <v>Fox</v>
      </c>
    </row>
    <row r="4767" ht="15.75" customHeight="1">
      <c r="A4767" s="122" t="str">
        <f>IFERROR(__xludf.DUMMYFUNCTION("""COMPUTED_VALUE"""),"0931 958 282")</f>
        <v>0931 958 282</v>
      </c>
      <c r="B4767" s="119" t="str">
        <f>IFERROR(__xludf.DUMMYFUNCTION("""COMPUTED_VALUE"""),"Anh Quý")</f>
        <v>Anh Quý</v>
      </c>
      <c r="C4767" s="119" t="str">
        <f>IFERROR(__xludf.DUMMYFUNCTION("""COMPUTED_VALUE"""),"Tỉnh lộ 10")</f>
        <v>Tỉnh lộ 10</v>
      </c>
      <c r="D4767" s="119" t="str">
        <f>IFERROR(__xludf.DUMMYFUNCTION("""COMPUTED_VALUE"""),"Chó")</f>
        <v>Chó</v>
      </c>
      <c r="E4767" s="119"/>
    </row>
    <row r="4768" ht="15.75" customHeight="1">
      <c r="A4768" s="122" t="str">
        <f>IFERROR(__xludf.DUMMYFUNCTION("""COMPUTED_VALUE"""),"0911 427 245")</f>
        <v>0911 427 245</v>
      </c>
      <c r="B4768" s="119" t="str">
        <f>IFERROR(__xludf.DUMMYFUNCTION("""COMPUTED_VALUE"""),"Nguyễn Thị Lạc")</f>
        <v>Nguyễn Thị Lạc</v>
      </c>
      <c r="C4768" s="119" t="str">
        <f>IFERROR(__xludf.DUMMYFUNCTION("""COMPUTED_VALUE"""),"448 Bùi Thị Xuân")</f>
        <v>448 Bùi Thị Xuân</v>
      </c>
      <c r="D4768" s="119" t="str">
        <f>IFERROR(__xludf.DUMMYFUNCTION("""COMPUTED_VALUE"""),"Chó")</f>
        <v>Chó</v>
      </c>
      <c r="E4768" s="119" t="str">
        <f>IFERROR(__xludf.DUMMYFUNCTION("""COMPUTED_VALUE"""),"Mực")</f>
        <v>Mực</v>
      </c>
    </row>
    <row r="4769" ht="15.75" customHeight="1">
      <c r="A4769" s="122" t="str">
        <f>IFERROR(__xludf.DUMMYFUNCTION("""COMPUTED_VALUE"""),"0905 657 357")</f>
        <v>0905 657 357</v>
      </c>
      <c r="B4769" s="119" t="str">
        <f>IFERROR(__xludf.DUMMYFUNCTION("""COMPUTED_VALUE"""),"Chị Trang")</f>
        <v>Chị Trang</v>
      </c>
      <c r="C4769" s="119" t="str">
        <f>IFERROR(__xludf.DUMMYFUNCTION("""COMPUTED_VALUE"""),"15/15/80 Nguyễn Hoàng")</f>
        <v>15/15/80 Nguyễn Hoàng</v>
      </c>
      <c r="D4769" s="119" t="str">
        <f>IFERROR(__xludf.DUMMYFUNCTION("""COMPUTED_VALUE"""),"Chó")</f>
        <v>Chó</v>
      </c>
      <c r="E4769" s="119" t="str">
        <f>IFERROR(__xludf.DUMMYFUNCTION("""COMPUTED_VALUE"""),"Bông")</f>
        <v>Bông</v>
      </c>
    </row>
    <row r="4770" ht="15.75" customHeight="1">
      <c r="A4770" s="122" t="str">
        <f>IFERROR(__xludf.DUMMYFUNCTION("""COMPUTED_VALUE"""),"0764 031 169")</f>
        <v>0764 031 169</v>
      </c>
      <c r="B4770" s="119" t="str">
        <f>IFERROR(__xludf.DUMMYFUNCTION("""COMPUTED_VALUE"""),"Chị Diễm")</f>
        <v>Chị Diễm</v>
      </c>
      <c r="C4770" s="119" t="str">
        <f>IFERROR(__xludf.DUMMYFUNCTION("""COMPUTED_VALUE"""),"35 Phạm Thị Liên")</f>
        <v>35 Phạm Thị Liên</v>
      </c>
      <c r="D4770" s="119" t="str">
        <f>IFERROR(__xludf.DUMMYFUNCTION("""COMPUTED_VALUE"""),"Chó")</f>
        <v>Chó</v>
      </c>
      <c r="E4770" s="119" t="str">
        <f>IFERROR(__xludf.DUMMYFUNCTION("""COMPUTED_VALUE"""),"Xù")</f>
        <v>Xù</v>
      </c>
    </row>
    <row r="4771" ht="15.75" customHeight="1">
      <c r="A4771" s="122" t="str">
        <f>IFERROR(__xludf.DUMMYFUNCTION("""COMPUTED_VALUE"""),"0914 075 371")</f>
        <v>0914 075 371</v>
      </c>
      <c r="B4771" s="119" t="str">
        <f>IFERROR(__xludf.DUMMYFUNCTION("""COMPUTED_VALUE"""),"Chú Sơn")</f>
        <v>Chú Sơn</v>
      </c>
      <c r="C4771" s="119" t="str">
        <f>IFERROR(__xludf.DUMMYFUNCTION("""COMPUTED_VALUE"""),"62 Nguyễn Hoàng")</f>
        <v>62 Nguyễn Hoàng</v>
      </c>
      <c r="D4771" s="119" t="str">
        <f>IFERROR(__xludf.DUMMYFUNCTION("""COMPUTED_VALUE"""),"Chó")</f>
        <v>Chó</v>
      </c>
      <c r="E4771" s="119" t="str">
        <f>IFERROR(__xludf.DUMMYFUNCTION("""COMPUTED_VALUE"""),"Bin")</f>
        <v>Bin</v>
      </c>
    </row>
    <row r="4772" ht="15.75" customHeight="1">
      <c r="A4772" s="122" t="str">
        <f>IFERROR(__xludf.DUMMYFUNCTION("""COMPUTED_VALUE"""),"0906 491 917")</f>
        <v>0906 491 917</v>
      </c>
      <c r="B4772" s="119" t="str">
        <f>IFERROR(__xludf.DUMMYFUNCTION("""COMPUTED_VALUE"""),"Nguyễn Thị Ngọc Đài")</f>
        <v>Nguyễn Thị Ngọc Đài</v>
      </c>
      <c r="C4772" s="119" t="str">
        <f>IFERROR(__xludf.DUMMYFUNCTION("""COMPUTED_VALUE"""),"695 Nguyễn Tất Thành")</f>
        <v>695 Nguyễn Tất Thành</v>
      </c>
      <c r="D4772" s="119" t="str">
        <f>IFERROR(__xludf.DUMMYFUNCTION("""COMPUTED_VALUE"""),"Chó")</f>
        <v>Chó</v>
      </c>
      <c r="E4772" s="119" t="str">
        <f>IFERROR(__xludf.DUMMYFUNCTION("""COMPUTED_VALUE"""),"Bo")</f>
        <v>Bo</v>
      </c>
    </row>
    <row r="4773" ht="15.75" customHeight="1">
      <c r="A4773" s="122" t="str">
        <f>IFERROR(__xludf.DUMMYFUNCTION("""COMPUTED_VALUE"""),"0905 128 266")</f>
        <v>0905 128 266</v>
      </c>
      <c r="B4773" s="119" t="str">
        <f>IFERROR(__xludf.DUMMYFUNCTION("""COMPUTED_VALUE"""),"Anh Dũng")</f>
        <v>Anh Dũng</v>
      </c>
      <c r="C4773" s="119" t="str">
        <f>IFERROR(__xludf.DUMMYFUNCTION("""COMPUTED_VALUE"""),"19/44 An Ninh")</f>
        <v>19/44 An Ninh</v>
      </c>
      <c r="D4773" s="119" t="str">
        <f>IFERROR(__xludf.DUMMYFUNCTION("""COMPUTED_VALUE"""),"Chó")</f>
        <v>Chó</v>
      </c>
      <c r="E4773" s="119"/>
    </row>
    <row r="4774" ht="15.75" customHeight="1">
      <c r="A4774" s="122" t="str">
        <f>IFERROR(__xludf.DUMMYFUNCTION("""COMPUTED_VALUE"""),"0905 178 080")</f>
        <v>0905 178 080</v>
      </c>
      <c r="B4774" s="119" t="str">
        <f>IFERROR(__xludf.DUMMYFUNCTION("""COMPUTED_VALUE"""),"Nguyên Biên Cương")</f>
        <v>Nguyên Biên Cương</v>
      </c>
      <c r="C4774" s="119" t="str">
        <f>IFERROR(__xludf.DUMMYFUNCTION("""COMPUTED_VALUE"""),"40 Phan Chu Trinh")</f>
        <v>40 Phan Chu Trinh</v>
      </c>
      <c r="D4774" s="119" t="str">
        <f>IFERROR(__xludf.DUMMYFUNCTION("""COMPUTED_VALUE"""),"Chó")</f>
        <v>Chó</v>
      </c>
      <c r="E4774" s="119" t="str">
        <f>IFERROR(__xludf.DUMMYFUNCTION("""COMPUTED_VALUE"""),"Misa")</f>
        <v>Misa</v>
      </c>
    </row>
    <row r="4775" ht="15.75" customHeight="1">
      <c r="A4775" s="122" t="str">
        <f>IFERROR(__xludf.DUMMYFUNCTION("""COMPUTED_VALUE"""),"0988 533 030")</f>
        <v>0988 533 030</v>
      </c>
      <c r="B4775" s="119" t="str">
        <f>IFERROR(__xludf.DUMMYFUNCTION("""COMPUTED_VALUE"""),"Chị Hải")</f>
        <v>Chị Hải</v>
      </c>
      <c r="C4775" s="119" t="str">
        <f>IFERROR(__xludf.DUMMYFUNCTION("""COMPUTED_VALUE"""),"Trần Nguyên Hãn")</f>
        <v>Trần Nguyên Hãn</v>
      </c>
      <c r="D4775" s="119" t="str">
        <f>IFERROR(__xludf.DUMMYFUNCTION("""COMPUTED_VALUE"""),"Chó")</f>
        <v>Chó</v>
      </c>
      <c r="E4775" s="119" t="str">
        <f>IFERROR(__xludf.DUMMYFUNCTION("""COMPUTED_VALUE"""),"Bim")</f>
        <v>Bim</v>
      </c>
    </row>
    <row r="4776" ht="15.75" customHeight="1">
      <c r="A4776" s="122" t="str">
        <f>IFERROR(__xludf.DUMMYFUNCTION("""COMPUTED_VALUE"""),"0812 220 027")</f>
        <v>0812 220 027</v>
      </c>
      <c r="B4776" s="119" t="str">
        <f>IFERROR(__xludf.DUMMYFUNCTION("""COMPUTED_VALUE"""),"Anh Lâm")</f>
        <v>Anh Lâm</v>
      </c>
      <c r="C4776" s="119" t="str">
        <f>IFERROR(__xludf.DUMMYFUNCTION("""COMPUTED_VALUE"""),"Thủy Xuân")</f>
        <v>Thủy Xuân</v>
      </c>
      <c r="D4776" s="119" t="str">
        <f>IFERROR(__xludf.DUMMYFUNCTION("""COMPUTED_VALUE"""),"Chó")</f>
        <v>Chó</v>
      </c>
      <c r="E4776" s="119" t="str">
        <f>IFERROR(__xludf.DUMMYFUNCTION("""COMPUTED_VALUE"""),"Ki")</f>
        <v>Ki</v>
      </c>
    </row>
    <row r="4777" ht="15.75" customHeight="1">
      <c r="A4777" s="122" t="str">
        <f>IFERROR(__xludf.DUMMYFUNCTION("""COMPUTED_VALUE"""),"0914 876 002")</f>
        <v>0914 876 002</v>
      </c>
      <c r="B4777" s="119" t="str">
        <f>IFERROR(__xludf.DUMMYFUNCTION("""COMPUTED_VALUE"""),"Lê Võ Vĩnh Khải")</f>
        <v>Lê Võ Vĩnh Khải</v>
      </c>
      <c r="C4777" s="119" t="str">
        <f>IFERROR(__xludf.DUMMYFUNCTION("""COMPUTED_VALUE"""),"78 Thạch Hãm")</f>
        <v>78 Thạch Hãm</v>
      </c>
      <c r="D4777" s="119" t="str">
        <f>IFERROR(__xludf.DUMMYFUNCTION("""COMPUTED_VALUE"""),"Chó")</f>
        <v>Chó</v>
      </c>
      <c r="E4777" s="119" t="str">
        <f>IFERROR(__xludf.DUMMYFUNCTION("""COMPUTED_VALUE"""),"Nâu")</f>
        <v>Nâu</v>
      </c>
    </row>
    <row r="4778" ht="15.75" customHeight="1">
      <c r="A4778" s="122" t="str">
        <f>IFERROR(__xludf.DUMMYFUNCTION("""COMPUTED_VALUE"""),"0935 573 810")</f>
        <v>0935 573 810</v>
      </c>
      <c r="B4778" s="119" t="str">
        <f>IFERROR(__xludf.DUMMYFUNCTION("""COMPUTED_VALUE"""),"chị Khả Di")</f>
        <v>chị Khả Di</v>
      </c>
      <c r="C4778" s="119" t="str">
        <f>IFERROR(__xludf.DUMMYFUNCTION("""COMPUTED_VALUE"""),"53b Nguyễn Phúc Chu")</f>
        <v>53b Nguyễn Phúc Chu</v>
      </c>
      <c r="D4778" s="119" t="str">
        <f>IFERROR(__xludf.DUMMYFUNCTION("""COMPUTED_VALUE"""),"Chó")</f>
        <v>Chó</v>
      </c>
      <c r="E4778" s="119" t="str">
        <f>IFERROR(__xludf.DUMMYFUNCTION("""COMPUTED_VALUE"""),"ki")</f>
        <v>ki</v>
      </c>
    </row>
    <row r="4779" ht="15.75" customHeight="1">
      <c r="A4779" s="122" t="str">
        <f>IFERROR(__xludf.DUMMYFUNCTION("""COMPUTED_VALUE"""),"0707 317 713")</f>
        <v>0707 317 713</v>
      </c>
      <c r="B4779" s="119" t="str">
        <f>IFERROR(__xludf.DUMMYFUNCTION("""COMPUTED_VALUE"""),"Anh Sâm")</f>
        <v>Anh Sâm</v>
      </c>
      <c r="C4779" s="119" t="str">
        <f>IFERROR(__xludf.DUMMYFUNCTION("""COMPUTED_VALUE"""),"Võ Văn Kiệt")</f>
        <v>Võ Văn Kiệt</v>
      </c>
      <c r="D4779" s="119" t="str">
        <f>IFERROR(__xludf.DUMMYFUNCTION("""COMPUTED_VALUE"""),"Chó")</f>
        <v>Chó</v>
      </c>
      <c r="E4779" s="119" t="str">
        <f>IFERROR(__xludf.DUMMYFUNCTION("""COMPUTED_VALUE"""),"lion")</f>
        <v>lion</v>
      </c>
    </row>
    <row r="4780" ht="15.75" customHeight="1">
      <c r="A4780" s="122" t="str">
        <f>IFERROR(__xludf.DUMMYFUNCTION("""COMPUTED_VALUE"""),"0903 159 904")</f>
        <v>0903 159 904</v>
      </c>
      <c r="B4780" s="119" t="str">
        <f>IFERROR(__xludf.DUMMYFUNCTION("""COMPUTED_VALUE"""),"Nguyễn Thị Minh Châu")</f>
        <v>Nguyễn Thị Minh Châu</v>
      </c>
      <c r="C4780" s="119" t="str">
        <f>IFERROR(__xludf.DUMMYFUNCTION("""COMPUTED_VALUE"""),"20/1 Lịch Đợi")</f>
        <v>20/1 Lịch Đợi</v>
      </c>
      <c r="D4780" s="119" t="str">
        <f>IFERROR(__xludf.DUMMYFUNCTION("""COMPUTED_VALUE"""),"Chó")</f>
        <v>Chó</v>
      </c>
      <c r="E4780" s="119" t="str">
        <f>IFERROR(__xludf.DUMMYFUNCTION("""COMPUTED_VALUE"""),"Subi")</f>
        <v>Subi</v>
      </c>
    </row>
    <row r="4781" ht="15.75" customHeight="1">
      <c r="A4781" s="122" t="str">
        <f>IFERROR(__xludf.DUMMYFUNCTION("""COMPUTED_VALUE"""),"0972 718 527")</f>
        <v>0972 718 527</v>
      </c>
      <c r="B4781" s="119" t="str">
        <f>IFERROR(__xludf.DUMMYFUNCTION("""COMPUTED_VALUE"""),"Hà Thị Minh")</f>
        <v>Hà Thị Minh</v>
      </c>
      <c r="C4781" s="119" t="str">
        <f>IFERROR(__xludf.DUMMYFUNCTION("""COMPUTED_VALUE"""),"Quảng Trị")</f>
        <v>Quảng Trị</v>
      </c>
      <c r="D4781" s="119" t="str">
        <f>IFERROR(__xludf.DUMMYFUNCTION("""COMPUTED_VALUE"""),"Chó")</f>
        <v>Chó</v>
      </c>
      <c r="E4781" s="119" t="str">
        <f>IFERROR(__xludf.DUMMYFUNCTION("""COMPUTED_VALUE"""),"Mít")</f>
        <v>Mít</v>
      </c>
    </row>
    <row r="4782" ht="15.75" customHeight="1">
      <c r="A4782" s="122" t="str">
        <f>IFERROR(__xludf.DUMMYFUNCTION("""COMPUTED_VALUE"""),"0914 042 323")</f>
        <v>0914 042 323</v>
      </c>
      <c r="B4782" s="119" t="str">
        <f>IFERROR(__xludf.DUMMYFUNCTION("""COMPUTED_VALUE"""),"Chú Bảo")</f>
        <v>Chú Bảo</v>
      </c>
      <c r="C4782" s="119" t="str">
        <f>IFERROR(__xludf.DUMMYFUNCTION("""COMPUTED_VALUE"""),"104 Kim Long")</f>
        <v>104 Kim Long</v>
      </c>
      <c r="D4782" s="119" t="str">
        <f>IFERROR(__xludf.DUMMYFUNCTION("""COMPUTED_VALUE"""),"Chó")</f>
        <v>Chó</v>
      </c>
      <c r="E4782" s="119" t="str">
        <f>IFERROR(__xludf.DUMMYFUNCTION("""COMPUTED_VALUE"""),"Kay")</f>
        <v>Kay</v>
      </c>
    </row>
    <row r="4783" ht="15.75" customHeight="1">
      <c r="A4783" s="122" t="str">
        <f>IFERROR(__xludf.DUMMYFUNCTION("""COMPUTED_VALUE"""),"0978 936 056")</f>
        <v>0978 936 056</v>
      </c>
      <c r="B4783" s="119" t="str">
        <f>IFERROR(__xludf.DUMMYFUNCTION("""COMPUTED_VALUE"""),"Dì Thủy")</f>
        <v>Dì Thủy</v>
      </c>
      <c r="C4783" s="119" t="str">
        <f>IFERROR(__xludf.DUMMYFUNCTION("""COMPUTED_VALUE"""),"Hương Hồ")</f>
        <v>Hương Hồ</v>
      </c>
      <c r="D4783" s="119" t="str">
        <f>IFERROR(__xludf.DUMMYFUNCTION("""COMPUTED_VALUE"""),"Chó")</f>
        <v>Chó</v>
      </c>
      <c r="E4783" s="119" t="str">
        <f>IFERROR(__xludf.DUMMYFUNCTION("""COMPUTED_VALUE"""),"Bốp")</f>
        <v>Bốp</v>
      </c>
    </row>
    <row r="4784" ht="15.75" customHeight="1">
      <c r="A4784" s="122" t="str">
        <f>IFERROR(__xludf.DUMMYFUNCTION("""COMPUTED_VALUE"""),"0772 476 506")</f>
        <v>0772 476 506</v>
      </c>
      <c r="B4784" s="119" t="str">
        <f>IFERROR(__xludf.DUMMYFUNCTION("""COMPUTED_VALUE"""),"Chị Hồng")</f>
        <v>Chị Hồng</v>
      </c>
      <c r="C4784" s="119" t="str">
        <f>IFERROR(__xludf.DUMMYFUNCTION("""COMPUTED_VALUE"""),"Thuận An")</f>
        <v>Thuận An</v>
      </c>
      <c r="D4784" s="119" t="str">
        <f>IFERROR(__xludf.DUMMYFUNCTION("""COMPUTED_VALUE"""),"Chó")</f>
        <v>Chó</v>
      </c>
      <c r="E4784" s="119" t="str">
        <f>IFERROR(__xludf.DUMMYFUNCTION("""COMPUTED_VALUE"""),"Gấu")</f>
        <v>Gấu</v>
      </c>
    </row>
    <row r="4785" ht="15.75" customHeight="1">
      <c r="A4785" s="122" t="str">
        <f>IFERROR(__xludf.DUMMYFUNCTION("""COMPUTED_VALUE"""),"0336 982 771")</f>
        <v>0336 982 771</v>
      </c>
      <c r="B4785" s="119" t="str">
        <f>IFERROR(__xludf.DUMMYFUNCTION("""COMPUTED_VALUE"""),"chị Tuệ")</f>
        <v>chị Tuệ</v>
      </c>
      <c r="C4785" s="119" t="str">
        <f>IFERROR(__xludf.DUMMYFUNCTION("""COMPUTED_VALUE"""),"11A Mang Cá")</f>
        <v>11A Mang Cá</v>
      </c>
      <c r="D4785" s="119" t="str">
        <f>IFERROR(__xludf.DUMMYFUNCTION("""COMPUTED_VALUE"""),"Chó")</f>
        <v>Chó</v>
      </c>
      <c r="E4785" s="119" t="str">
        <f>IFERROR(__xludf.DUMMYFUNCTION("""COMPUTED_VALUE"""),"Đậu Đỏ")</f>
        <v>Đậu Đỏ</v>
      </c>
    </row>
    <row r="4786" ht="15.75" customHeight="1">
      <c r="A4786" s="122" t="str">
        <f>IFERROR(__xludf.DUMMYFUNCTION("""COMPUTED_VALUE"""),"0837 545 504")</f>
        <v>0837 545 504</v>
      </c>
      <c r="B4786" s="119" t="str">
        <f>IFERROR(__xludf.DUMMYFUNCTION("""COMPUTED_VALUE"""),"Chị Oanh")</f>
        <v>Chị Oanh</v>
      </c>
      <c r="C4786" s="119" t="str">
        <f>IFERROR(__xludf.DUMMYFUNCTION("""COMPUTED_VALUE"""),"99 Vạn Xuân")</f>
        <v>99 Vạn Xuân</v>
      </c>
      <c r="D4786" s="119" t="str">
        <f>IFERROR(__xludf.DUMMYFUNCTION("""COMPUTED_VALUE"""),"Chó")</f>
        <v>Chó</v>
      </c>
      <c r="E4786" s="119" t="str">
        <f>IFERROR(__xludf.DUMMYFUNCTION("""COMPUTED_VALUE"""),"Bò")</f>
        <v>Bò</v>
      </c>
    </row>
    <row r="4787" ht="15.75" customHeight="1">
      <c r="A4787" s="122" t="str">
        <f>IFERROR(__xludf.DUMMYFUNCTION("""COMPUTED_VALUE"""),"0766 527 748")</f>
        <v>0766 527 748</v>
      </c>
      <c r="B4787" s="119" t="str">
        <f>IFERROR(__xludf.DUMMYFUNCTION("""COMPUTED_VALUE"""),"Chị Xuân Lộc")</f>
        <v>Chị Xuân Lộc</v>
      </c>
      <c r="C4787" s="119" t="str">
        <f>IFERROR(__xludf.DUMMYFUNCTION("""COMPUTED_VALUE"""),"56 Nguyễn Hoàng")</f>
        <v>56 Nguyễn Hoàng</v>
      </c>
      <c r="D4787" s="119" t="str">
        <f>IFERROR(__xludf.DUMMYFUNCTION("""COMPUTED_VALUE"""),"Chó")</f>
        <v>Chó</v>
      </c>
      <c r="E4787" s="119" t="str">
        <f>IFERROR(__xludf.DUMMYFUNCTION("""COMPUTED_VALUE"""),"Vá")</f>
        <v>Vá</v>
      </c>
    </row>
    <row r="4788" ht="15.75" customHeight="1">
      <c r="A4788" s="122" t="str">
        <f>IFERROR(__xludf.DUMMYFUNCTION("""COMPUTED_VALUE"""),"0902 401 008")</f>
        <v>0902 401 008</v>
      </c>
      <c r="B4788" s="119" t="str">
        <f>IFERROR(__xludf.DUMMYFUNCTION("""COMPUTED_VALUE"""),"Chị Diệp")</f>
        <v>Chị Diệp</v>
      </c>
      <c r="C4788" s="119" t="str">
        <f>IFERROR(__xludf.DUMMYFUNCTION("""COMPUTED_VALUE"""),"206 Hùng Vương")</f>
        <v>206 Hùng Vương</v>
      </c>
      <c r="D4788" s="119" t="str">
        <f>IFERROR(__xludf.DUMMYFUNCTION("""COMPUTED_VALUE"""),"Chó")</f>
        <v>Chó</v>
      </c>
      <c r="E4788" s="119" t="str">
        <f>IFERROR(__xludf.DUMMYFUNCTION("""COMPUTED_VALUE"""),"Nem")</f>
        <v>Nem</v>
      </c>
    </row>
    <row r="4789" ht="15.75" customHeight="1">
      <c r="A4789" s="122" t="str">
        <f>IFERROR(__xludf.DUMMYFUNCTION("""COMPUTED_VALUE"""),"0943 120 102")</f>
        <v>0943 120 102</v>
      </c>
      <c r="B4789" s="119" t="str">
        <f>IFERROR(__xludf.DUMMYFUNCTION("""COMPUTED_VALUE"""),"Chị Hiền")</f>
        <v>Chị Hiền</v>
      </c>
      <c r="C4789" s="119" t="str">
        <f>IFERROR(__xludf.DUMMYFUNCTION("""COMPUTED_VALUE"""),"136 Kim Long")</f>
        <v>136 Kim Long</v>
      </c>
      <c r="D4789" s="119" t="str">
        <f>IFERROR(__xludf.DUMMYFUNCTION("""COMPUTED_VALUE"""),"Chó")</f>
        <v>Chó</v>
      </c>
      <c r="E4789" s="119"/>
    </row>
    <row r="4790" ht="15.75" customHeight="1">
      <c r="A4790" s="122" t="str">
        <f>IFERROR(__xludf.DUMMYFUNCTION("""COMPUTED_VALUE"""),"0918 553 760")</f>
        <v>0918 553 760</v>
      </c>
      <c r="B4790" s="119" t="str">
        <f>IFERROR(__xludf.DUMMYFUNCTION("""COMPUTED_VALUE"""),"Dì Huệ")</f>
        <v>Dì Huệ</v>
      </c>
      <c r="C4790" s="119" t="str">
        <f>IFERROR(__xludf.DUMMYFUNCTION("""COMPUTED_VALUE"""),"Hàn Măc Tử")</f>
        <v>Hàn Măc Tử</v>
      </c>
      <c r="D4790" s="119" t="str">
        <f>IFERROR(__xludf.DUMMYFUNCTION("""COMPUTED_VALUE"""),"Chó")</f>
        <v>Chó</v>
      </c>
      <c r="E4790" s="119" t="str">
        <f>IFERROR(__xludf.DUMMYFUNCTION("""COMPUTED_VALUE"""),"Ki")</f>
        <v>Ki</v>
      </c>
    </row>
    <row r="4791" ht="15.75" customHeight="1">
      <c r="A4791" s="122" t="str">
        <f>IFERROR(__xludf.DUMMYFUNCTION("""COMPUTED_VALUE"""),"0325 273 324")</f>
        <v>0325 273 324</v>
      </c>
      <c r="B4791" s="119" t="str">
        <f>IFERROR(__xludf.DUMMYFUNCTION("""COMPUTED_VALUE"""),"Chú Cường")</f>
        <v>Chú Cường</v>
      </c>
      <c r="C4791" s="119" t="str">
        <f>IFERROR(__xludf.DUMMYFUNCTION("""COMPUTED_VALUE"""),"33/46 Nguyễn Hoàng")</f>
        <v>33/46 Nguyễn Hoàng</v>
      </c>
      <c r="D4791" s="119" t="str">
        <f>IFERROR(__xludf.DUMMYFUNCTION("""COMPUTED_VALUE"""),"Chó")</f>
        <v>Chó</v>
      </c>
      <c r="E4791" s="119"/>
    </row>
    <row r="4792" ht="15.75" customHeight="1">
      <c r="A4792" s="122" t="str">
        <f>IFERROR(__xludf.DUMMYFUNCTION("""COMPUTED_VALUE"""),"0946 306 315")</f>
        <v>0946 306 315</v>
      </c>
      <c r="B4792" s="119" t="str">
        <f>IFERROR(__xludf.DUMMYFUNCTION("""COMPUTED_VALUE"""),"Cô Thúy")</f>
        <v>Cô Thúy</v>
      </c>
      <c r="C4792" s="119" t="str">
        <f>IFERROR(__xludf.DUMMYFUNCTION("""COMPUTED_VALUE"""),"1/26/245 Bùi Thị Xuân")</f>
        <v>1/26/245 Bùi Thị Xuân</v>
      </c>
      <c r="D4792" s="119" t="str">
        <f>IFERROR(__xludf.DUMMYFUNCTION("""COMPUTED_VALUE"""),"Chó")</f>
        <v>Chó</v>
      </c>
      <c r="E4792" s="119" t="str">
        <f>IFERROR(__xludf.DUMMYFUNCTION("""COMPUTED_VALUE"""),"Sen")</f>
        <v>Sen</v>
      </c>
    </row>
    <row r="4793" ht="15.75" customHeight="1">
      <c r="A4793" s="122" t="str">
        <f>IFERROR(__xludf.DUMMYFUNCTION("""COMPUTED_VALUE"""),"0948 775 985")</f>
        <v>0948 775 985</v>
      </c>
      <c r="B4793" s="119" t="str">
        <f>IFERROR(__xludf.DUMMYFUNCTION("""COMPUTED_VALUE"""),"Chị Thư")</f>
        <v>Chị Thư</v>
      </c>
      <c r="C4793" s="119" t="str">
        <f>IFERROR(__xludf.DUMMYFUNCTION("""COMPUTED_VALUE"""),"Bùi Thị Xuân")</f>
        <v>Bùi Thị Xuân</v>
      </c>
      <c r="D4793" s="119" t="str">
        <f>IFERROR(__xludf.DUMMYFUNCTION("""COMPUTED_VALUE"""),"Chó")</f>
        <v>Chó</v>
      </c>
      <c r="E4793" s="119" t="str">
        <f>IFERROR(__xludf.DUMMYFUNCTION("""COMPUTED_VALUE"""),"Trắng")</f>
        <v>Trắng</v>
      </c>
    </row>
    <row r="4794" ht="15.75" customHeight="1">
      <c r="A4794" s="122" t="str">
        <f>IFERROR(__xludf.DUMMYFUNCTION("""COMPUTED_VALUE"""),"0931 995 570")</f>
        <v>0931 995 570</v>
      </c>
      <c r="B4794" s="119" t="str">
        <f>IFERROR(__xludf.DUMMYFUNCTION("""COMPUTED_VALUE"""),"Xuân Đài")</f>
        <v>Xuân Đài</v>
      </c>
      <c r="C4794" s="119" t="str">
        <f>IFERROR(__xludf.DUMMYFUNCTION("""COMPUTED_VALUE"""),"Hương Hồ")</f>
        <v>Hương Hồ</v>
      </c>
      <c r="D4794" s="119" t="str">
        <f>IFERROR(__xludf.DUMMYFUNCTION("""COMPUTED_VALUE"""),"Chó")</f>
        <v>Chó</v>
      </c>
      <c r="E4794" s="119" t="str">
        <f>IFERROR(__xludf.DUMMYFUNCTION("""COMPUTED_VALUE"""),"Bông")</f>
        <v>Bông</v>
      </c>
    </row>
    <row r="4795" ht="15.75" customHeight="1">
      <c r="A4795" s="122" t="str">
        <f>IFERROR(__xludf.DUMMYFUNCTION("""COMPUTED_VALUE"""),"0971 638 520")</f>
        <v>0971 638 520</v>
      </c>
      <c r="B4795" s="119" t="str">
        <f>IFERROR(__xludf.DUMMYFUNCTION("""COMPUTED_VALUE"""),"Anh Long")</f>
        <v>Anh Long</v>
      </c>
      <c r="C4795" s="119" t="str">
        <f>IFERROR(__xludf.DUMMYFUNCTION("""COMPUTED_VALUE"""),"Hương Chữ")</f>
        <v>Hương Chữ</v>
      </c>
      <c r="D4795" s="119" t="str">
        <f>IFERROR(__xludf.DUMMYFUNCTION("""COMPUTED_VALUE"""),"Chó")</f>
        <v>Chó</v>
      </c>
      <c r="E4795" s="119" t="str">
        <f>IFERROR(__xludf.DUMMYFUNCTION("""COMPUTED_VALUE"""),"Mimi")</f>
        <v>Mimi</v>
      </c>
    </row>
    <row r="4796" ht="15.75" customHeight="1">
      <c r="A4796" s="122" t="str">
        <f>IFERROR(__xludf.DUMMYFUNCTION("""COMPUTED_VALUE"""),"0934 999 173")</f>
        <v>0934 999 173</v>
      </c>
      <c r="B4796" s="119" t="str">
        <f>IFERROR(__xludf.DUMMYFUNCTION("""COMPUTED_VALUE"""),"Dì Thủy")</f>
        <v>Dì Thủy</v>
      </c>
      <c r="C4796" s="119" t="str">
        <f>IFERROR(__xludf.DUMMYFUNCTION("""COMPUTED_VALUE"""),"242 Lý Nam Đế")</f>
        <v>242 Lý Nam Đế</v>
      </c>
      <c r="D4796" s="119" t="str">
        <f>IFERROR(__xludf.DUMMYFUNCTION("""COMPUTED_VALUE"""),"Chó")</f>
        <v>Chó</v>
      </c>
      <c r="E4796" s="119" t="str">
        <f>IFERROR(__xludf.DUMMYFUNCTION("""COMPUTED_VALUE"""),"Lùn")</f>
        <v>Lùn</v>
      </c>
    </row>
    <row r="4797" ht="15.75" customHeight="1">
      <c r="A4797" s="122" t="str">
        <f>IFERROR(__xludf.DUMMYFUNCTION("""COMPUTED_VALUE"""),"0332 978 140")</f>
        <v>0332 978 140</v>
      </c>
      <c r="B4797" s="119" t="str">
        <f>IFERROR(__xludf.DUMMYFUNCTION("""COMPUTED_VALUE"""),"Anh Huy")</f>
        <v>Anh Huy</v>
      </c>
      <c r="C4797" s="119" t="str">
        <f>IFERROR(__xludf.DUMMYFUNCTION("""COMPUTED_VALUE"""),"Hương Hồ")</f>
        <v>Hương Hồ</v>
      </c>
      <c r="D4797" s="119" t="str">
        <f>IFERROR(__xludf.DUMMYFUNCTION("""COMPUTED_VALUE"""),"Chó")</f>
        <v>Chó</v>
      </c>
      <c r="E4797" s="119" t="str">
        <f>IFERROR(__xludf.DUMMYFUNCTION("""COMPUTED_VALUE"""),"Mứt")</f>
        <v>Mứt</v>
      </c>
    </row>
    <row r="4798" ht="15.75" customHeight="1">
      <c r="A4798" s="122" t="str">
        <f>IFERROR(__xludf.DUMMYFUNCTION("""COMPUTED_VALUE"""),"0913 125 414")</f>
        <v>0913 125 414</v>
      </c>
      <c r="B4798" s="119" t="str">
        <f>IFERROR(__xludf.DUMMYFUNCTION("""COMPUTED_VALUE"""),"Anh Trực")</f>
        <v>Anh Trực</v>
      </c>
      <c r="C4798" s="119" t="str">
        <f>IFERROR(__xludf.DUMMYFUNCTION("""COMPUTED_VALUE"""),"Phú Vang")</f>
        <v>Phú Vang</v>
      </c>
      <c r="D4798" s="119" t="str">
        <f>IFERROR(__xludf.DUMMYFUNCTION("""COMPUTED_VALUE"""),"Chó")</f>
        <v>Chó</v>
      </c>
      <c r="E4798" s="119" t="str">
        <f>IFERROR(__xludf.DUMMYFUNCTION("""COMPUTED_VALUE"""),"Lốc")</f>
        <v>Lốc</v>
      </c>
    </row>
    <row r="4799" ht="15.75" customHeight="1">
      <c r="A4799" s="122" t="str">
        <f>IFERROR(__xludf.DUMMYFUNCTION("""COMPUTED_VALUE"""),"0914 249 681")</f>
        <v>0914 249 681</v>
      </c>
      <c r="B4799" s="119" t="str">
        <f>IFERROR(__xludf.DUMMYFUNCTION("""COMPUTED_VALUE"""),"Anh Huy")</f>
        <v>Anh Huy</v>
      </c>
      <c r="C4799" s="119" t="str">
        <f>IFERROR(__xludf.DUMMYFUNCTION("""COMPUTED_VALUE"""),"69 Phạm Thị Liên")</f>
        <v>69 Phạm Thị Liên</v>
      </c>
      <c r="D4799" s="119" t="str">
        <f>IFERROR(__xludf.DUMMYFUNCTION("""COMPUTED_VALUE"""),"Chó")</f>
        <v>Chó</v>
      </c>
      <c r="E4799" s="119" t="str">
        <f>IFERROR(__xludf.DUMMYFUNCTION("""COMPUTED_VALUE"""),"Micky")</f>
        <v>Micky</v>
      </c>
    </row>
    <row r="4800" ht="15.75" customHeight="1">
      <c r="A4800" s="122" t="str">
        <f>IFERROR(__xludf.DUMMYFUNCTION("""COMPUTED_VALUE"""),"0935 690 054")</f>
        <v>0935 690 054</v>
      </c>
      <c r="B4800" s="119" t="str">
        <f>IFERROR(__xludf.DUMMYFUNCTION("""COMPUTED_VALUE"""),"Em Minh")</f>
        <v>Em Minh</v>
      </c>
      <c r="C4800" s="119" t="str">
        <f>IFERROR(__xludf.DUMMYFUNCTION("""COMPUTED_VALUE"""),"81 Thái Phiên")</f>
        <v>81 Thái Phiên</v>
      </c>
      <c r="D4800" s="119" t="str">
        <f>IFERROR(__xludf.DUMMYFUNCTION("""COMPUTED_VALUE"""),"Chó")</f>
        <v>Chó</v>
      </c>
      <c r="E4800" s="119" t="str">
        <f>IFERROR(__xludf.DUMMYFUNCTION("""COMPUTED_VALUE"""),"Xù")</f>
        <v>Xù</v>
      </c>
    </row>
    <row r="4801" ht="15.75" customHeight="1">
      <c r="A4801" s="122" t="str">
        <f>IFERROR(__xludf.DUMMYFUNCTION("""COMPUTED_VALUE"""),"0949 051 444")</f>
        <v>0949 051 444</v>
      </c>
      <c r="B4801" s="119" t="str">
        <f>IFERROR(__xludf.DUMMYFUNCTION("""COMPUTED_VALUE"""),"Dì Bình")</f>
        <v>Dì Bình</v>
      </c>
      <c r="C4801" s="119" t="str">
        <f>IFERROR(__xludf.DUMMYFUNCTION("""COMPUTED_VALUE"""),"Quảng Trị")</f>
        <v>Quảng Trị</v>
      </c>
      <c r="D4801" s="119" t="str">
        <f>IFERROR(__xludf.DUMMYFUNCTION("""COMPUTED_VALUE"""),"Chó")</f>
        <v>Chó</v>
      </c>
      <c r="E4801" s="119" t="str">
        <f>IFERROR(__xludf.DUMMYFUNCTION("""COMPUTED_VALUE"""),"Cún")</f>
        <v>Cún</v>
      </c>
    </row>
    <row r="4802" ht="15.75" customHeight="1">
      <c r="A4802" s="122" t="str">
        <f>IFERROR(__xludf.DUMMYFUNCTION("""COMPUTED_VALUE"""),"0977 219 481")</f>
        <v>0977 219 481</v>
      </c>
      <c r="B4802" s="119" t="str">
        <f>IFERROR(__xludf.DUMMYFUNCTION("""COMPUTED_VALUE"""),"Thùy Linh")</f>
        <v>Thùy Linh</v>
      </c>
      <c r="C4802" s="119" t="str">
        <f>IFERROR(__xludf.DUMMYFUNCTION("""COMPUTED_VALUE"""),"Hương An")</f>
        <v>Hương An</v>
      </c>
      <c r="D4802" s="119" t="str">
        <f>IFERROR(__xludf.DUMMYFUNCTION("""COMPUTED_VALUE"""),"Chó")</f>
        <v>Chó</v>
      </c>
      <c r="E4802" s="119" t="str">
        <f>IFERROR(__xludf.DUMMYFUNCTION("""COMPUTED_VALUE"""),"Củ Cải")</f>
        <v>Củ Cải</v>
      </c>
    </row>
    <row r="4803" ht="15.75" customHeight="1">
      <c r="A4803" s="122" t="str">
        <f>IFERROR(__xludf.DUMMYFUNCTION("""COMPUTED_VALUE"""),"0983 965 605")</f>
        <v>0983 965 605</v>
      </c>
      <c r="B4803" s="119" t="str">
        <f>IFERROR(__xludf.DUMMYFUNCTION("""COMPUTED_VALUE"""),"Lệ Thu")</f>
        <v>Lệ Thu</v>
      </c>
      <c r="C4803" s="119" t="str">
        <f>IFERROR(__xludf.DUMMYFUNCTION("""COMPUTED_VALUE"""),"Phong Điền")</f>
        <v>Phong Điền</v>
      </c>
      <c r="D4803" s="119" t="str">
        <f>IFERROR(__xludf.DUMMYFUNCTION("""COMPUTED_VALUE"""),"Chó")</f>
        <v>Chó</v>
      </c>
      <c r="E4803" s="119" t="str">
        <f>IFERROR(__xludf.DUMMYFUNCTION("""COMPUTED_VALUE"""),"Bin")</f>
        <v>Bin</v>
      </c>
    </row>
    <row r="4804" ht="15.75" customHeight="1">
      <c r="A4804" s="122" t="str">
        <f>IFERROR(__xludf.DUMMYFUNCTION("""COMPUTED_VALUE"""),"0914 242 862")</f>
        <v>0914 242 862</v>
      </c>
      <c r="B4804" s="119" t="str">
        <f>IFERROR(__xludf.DUMMYFUNCTION("""COMPUTED_VALUE"""),"Anh Vinh")</f>
        <v>Anh Vinh</v>
      </c>
      <c r="C4804" s="119" t="str">
        <f>IFERROR(__xludf.DUMMYFUNCTION("""COMPUTED_VALUE"""),"24 Mai Khắc Đôn")</f>
        <v>24 Mai Khắc Đôn</v>
      </c>
      <c r="D4804" s="119" t="str">
        <f>IFERROR(__xludf.DUMMYFUNCTION("""COMPUTED_VALUE"""),"Chó")</f>
        <v>Chó</v>
      </c>
      <c r="E4804" s="119" t="str">
        <f>IFERROR(__xludf.DUMMYFUNCTION("""COMPUTED_VALUE"""),"Đen")</f>
        <v>Đen</v>
      </c>
    </row>
    <row r="4805" ht="15.75" customHeight="1">
      <c r="A4805" s="122" t="str">
        <f>IFERROR(__xludf.DUMMYFUNCTION("""COMPUTED_VALUE"""),"0968 108 015")</f>
        <v>0968 108 015</v>
      </c>
      <c r="B4805" s="119" t="str">
        <f>IFERROR(__xludf.DUMMYFUNCTION("""COMPUTED_VALUE"""),"Chị Khánh Linh")</f>
        <v>Chị Khánh Linh</v>
      </c>
      <c r="C4805" s="119" t="str">
        <f>IFERROR(__xludf.DUMMYFUNCTION("""COMPUTED_VALUE"""),"78/12 Phạm thị Liên")</f>
        <v>78/12 Phạm thị Liên</v>
      </c>
      <c r="D4805" s="119" t="str">
        <f>IFERROR(__xludf.DUMMYFUNCTION("""COMPUTED_VALUE"""),"Chó")</f>
        <v>Chó</v>
      </c>
      <c r="E4805" s="119"/>
    </row>
    <row r="4806" ht="15.75" customHeight="1">
      <c r="A4806" s="122" t="str">
        <f>IFERROR(__xludf.DUMMYFUNCTION("""COMPUTED_VALUE"""),"0369 525 076")</f>
        <v>0369 525 076</v>
      </c>
      <c r="B4806" s="119" t="str">
        <f>IFERROR(__xludf.DUMMYFUNCTION("""COMPUTED_VALUE"""),"Chị Hằng")</f>
        <v>Chị Hằng</v>
      </c>
      <c r="C4806" s="119" t="str">
        <f>IFERROR(__xludf.DUMMYFUNCTION("""COMPUTED_VALUE"""),"Thủy Xuân")</f>
        <v>Thủy Xuân</v>
      </c>
      <c r="D4806" s="119" t="str">
        <f>IFERROR(__xludf.DUMMYFUNCTION("""COMPUTED_VALUE"""),"Chó")</f>
        <v>Chó</v>
      </c>
      <c r="E4806" s="119" t="str">
        <f>IFERROR(__xludf.DUMMYFUNCTION("""COMPUTED_VALUE"""),"Fa")</f>
        <v>Fa</v>
      </c>
    </row>
    <row r="4807" ht="15.75" customHeight="1">
      <c r="A4807" s="122" t="str">
        <f>IFERROR(__xludf.DUMMYFUNCTION("""COMPUTED_VALUE"""),"0964 280 870")</f>
        <v>0964 280 870</v>
      </c>
      <c r="B4807" s="119" t="str">
        <f>IFERROR(__xludf.DUMMYFUNCTION("""COMPUTED_VALUE"""),"Quang Hiếu")</f>
        <v>Quang Hiếu</v>
      </c>
      <c r="C4807" s="119" t="str">
        <f>IFERROR(__xludf.DUMMYFUNCTION("""COMPUTED_VALUE"""),"36/210 Phan Chu Trinh")</f>
        <v>36/210 Phan Chu Trinh</v>
      </c>
      <c r="D4807" s="119" t="str">
        <f>IFERROR(__xludf.DUMMYFUNCTION("""COMPUTED_VALUE"""),"Chó")</f>
        <v>Chó</v>
      </c>
      <c r="E4807" s="119" t="str">
        <f>IFERROR(__xludf.DUMMYFUNCTION("""COMPUTED_VALUE"""),"Boss")</f>
        <v>Boss</v>
      </c>
    </row>
    <row r="4808" ht="15.75" customHeight="1">
      <c r="A4808" s="122" t="str">
        <f>IFERROR(__xludf.DUMMYFUNCTION("""COMPUTED_VALUE"""),"0768 585 195")</f>
        <v>0768 585 195</v>
      </c>
      <c r="B4808" s="119" t="str">
        <f>IFERROR(__xludf.DUMMYFUNCTION("""COMPUTED_VALUE"""),"Khánh Trình")</f>
        <v>Khánh Trình</v>
      </c>
      <c r="C4808" s="119" t="str">
        <f>IFERROR(__xludf.DUMMYFUNCTION("""COMPUTED_VALUE"""),"90/2/27 Ngự Bình")</f>
        <v>90/2/27 Ngự Bình</v>
      </c>
      <c r="D4808" s="119" t="str">
        <f>IFERROR(__xludf.DUMMYFUNCTION("""COMPUTED_VALUE"""),"Chó")</f>
        <v>Chó</v>
      </c>
      <c r="E4808" s="119" t="str">
        <f>IFERROR(__xludf.DUMMYFUNCTION("""COMPUTED_VALUE"""),"Đốm")</f>
        <v>Đốm</v>
      </c>
    </row>
    <row r="4809" ht="15.75" customHeight="1">
      <c r="A4809" s="122" t="str">
        <f>IFERROR(__xludf.DUMMYFUNCTION("""COMPUTED_VALUE"""),"0764 564 401")</f>
        <v>0764 564 401</v>
      </c>
      <c r="B4809" s="119" t="str">
        <f>IFERROR(__xludf.DUMMYFUNCTION("""COMPUTED_VALUE"""),"Anh Nhân")</f>
        <v>Anh Nhân</v>
      </c>
      <c r="C4809" s="119" t="str">
        <f>IFERROR(__xludf.DUMMYFUNCTION("""COMPUTED_VALUE"""),"38 Nguyễn Phúc Chu")</f>
        <v>38 Nguyễn Phúc Chu</v>
      </c>
      <c r="D4809" s="119" t="str">
        <f>IFERROR(__xludf.DUMMYFUNCTION("""COMPUTED_VALUE"""),"Chó")</f>
        <v>Chó</v>
      </c>
      <c r="E4809" s="119" t="str">
        <f>IFERROR(__xludf.DUMMYFUNCTION("""COMPUTED_VALUE"""),"Gấm")</f>
        <v>Gấm</v>
      </c>
    </row>
    <row r="4810" ht="15.75" customHeight="1">
      <c r="A4810" s="122" t="str">
        <f>IFERROR(__xludf.DUMMYFUNCTION("""COMPUTED_VALUE"""),"0905 010 400")</f>
        <v>0905 010 400</v>
      </c>
      <c r="B4810" s="119" t="str">
        <f>IFERROR(__xludf.DUMMYFUNCTION("""COMPUTED_VALUE"""),"Anh Tá")</f>
        <v>Anh Tá</v>
      </c>
      <c r="C4810" s="119" t="str">
        <f>IFERROR(__xludf.DUMMYFUNCTION("""COMPUTED_VALUE"""),"150/4 Kim Long")</f>
        <v>150/4 Kim Long</v>
      </c>
      <c r="D4810" s="119" t="str">
        <f>IFERROR(__xludf.DUMMYFUNCTION("""COMPUTED_VALUE"""),"Chó")</f>
        <v>Chó</v>
      </c>
      <c r="E4810" s="119" t="str">
        <f>IFERROR(__xludf.DUMMYFUNCTION("""COMPUTED_VALUE"""),"Lu")</f>
        <v>Lu</v>
      </c>
    </row>
    <row r="4811" ht="15.75" customHeight="1">
      <c r="A4811" s="122" t="str">
        <f>IFERROR(__xludf.DUMMYFUNCTION("""COMPUTED_VALUE"""),"0935 144 283")</f>
        <v>0935 144 283</v>
      </c>
      <c r="B4811" s="119" t="str">
        <f>IFERROR(__xludf.DUMMYFUNCTION("""COMPUTED_VALUE"""),"Chị Nga")</f>
        <v>Chị Nga</v>
      </c>
      <c r="C4811" s="119" t="str">
        <f>IFERROR(__xludf.DUMMYFUNCTION("""COMPUTED_VALUE"""),"Thủy Xuân")</f>
        <v>Thủy Xuân</v>
      </c>
      <c r="D4811" s="119" t="str">
        <f>IFERROR(__xludf.DUMMYFUNCTION("""COMPUTED_VALUE"""),"Chó")</f>
        <v>Chó</v>
      </c>
      <c r="E4811" s="119" t="str">
        <f>IFERROR(__xludf.DUMMYFUNCTION("""COMPUTED_VALUE"""),"Nâu")</f>
        <v>Nâu</v>
      </c>
    </row>
    <row r="4812" ht="15.75" customHeight="1">
      <c r="A4812" s="122" t="str">
        <f>IFERROR(__xludf.DUMMYFUNCTION("""COMPUTED_VALUE"""),"0914 418 980")</f>
        <v>0914 418 980</v>
      </c>
      <c r="B4812" s="119" t="str">
        <f>IFERROR(__xludf.DUMMYFUNCTION("""COMPUTED_VALUE"""),"Chị Thảo")</f>
        <v>Chị Thảo</v>
      </c>
      <c r="C4812" s="119" t="str">
        <f>IFERROR(__xludf.DUMMYFUNCTION("""COMPUTED_VALUE"""),"12/2 Nguyễn Đình Chi")</f>
        <v>12/2 Nguyễn Đình Chi</v>
      </c>
      <c r="D4812" s="119" t="str">
        <f>IFERROR(__xludf.DUMMYFUNCTION("""COMPUTED_VALUE"""),"Chó")</f>
        <v>Chó</v>
      </c>
      <c r="E4812" s="119" t="str">
        <f>IFERROR(__xludf.DUMMYFUNCTION("""COMPUTED_VALUE"""),"Mắm")</f>
        <v>Mắm</v>
      </c>
    </row>
    <row r="4813" ht="15.75" customHeight="1">
      <c r="A4813" s="122" t="str">
        <f>IFERROR(__xludf.DUMMYFUNCTION("""COMPUTED_VALUE"""),"0835 293 296")</f>
        <v>0835 293 296</v>
      </c>
      <c r="B4813" s="119" t="str">
        <f>IFERROR(__xludf.DUMMYFUNCTION("""COMPUTED_VALUE"""),"Chị Quyên")</f>
        <v>Chị Quyên</v>
      </c>
      <c r="C4813" s="119" t="str">
        <f>IFERROR(__xludf.DUMMYFUNCTION("""COMPUTED_VALUE"""),"22/53 Phạm Thị Liên")</f>
        <v>22/53 Phạm Thị Liên</v>
      </c>
      <c r="D4813" s="119" t="str">
        <f>IFERROR(__xludf.DUMMYFUNCTION("""COMPUTED_VALUE"""),"Chó")</f>
        <v>Chó</v>
      </c>
      <c r="E4813" s="119" t="str">
        <f>IFERROR(__xludf.DUMMYFUNCTION("""COMPUTED_VALUE"""),"Miu")</f>
        <v>Miu</v>
      </c>
    </row>
    <row r="4814" ht="15.75" customHeight="1">
      <c r="A4814" s="122" t="str">
        <f>IFERROR(__xludf.DUMMYFUNCTION("""COMPUTED_VALUE"""),"0901 994 877")</f>
        <v>0901 994 877</v>
      </c>
      <c r="B4814" s="119" t="str">
        <f>IFERROR(__xludf.DUMMYFUNCTION("""COMPUTED_VALUE"""),"Anh Duy")</f>
        <v>Anh Duy</v>
      </c>
      <c r="C4814" s="119" t="str">
        <f>IFERROR(__xludf.DUMMYFUNCTION("""COMPUTED_VALUE"""),"49 Lê Thánh Tôn")</f>
        <v>49 Lê Thánh Tôn</v>
      </c>
      <c r="D4814" s="119" t="str">
        <f>IFERROR(__xludf.DUMMYFUNCTION("""COMPUTED_VALUE"""),"Chó")</f>
        <v>Chó</v>
      </c>
      <c r="E4814" s="119" t="str">
        <f>IFERROR(__xludf.DUMMYFUNCTION("""COMPUTED_VALUE"""),"Bò")</f>
        <v>Bò</v>
      </c>
    </row>
    <row r="4815" ht="15.75" customHeight="1">
      <c r="A4815" s="122" t="str">
        <f>IFERROR(__xludf.DUMMYFUNCTION("""COMPUTED_VALUE"""),"0707 511 743")</f>
        <v>0707 511 743</v>
      </c>
      <c r="B4815" s="119" t="str">
        <f>IFERROR(__xludf.DUMMYFUNCTION("""COMPUTED_VALUE"""),"Chị Phương")</f>
        <v>Chị Phương</v>
      </c>
      <c r="C4815" s="119" t="str">
        <f>IFERROR(__xludf.DUMMYFUNCTION("""COMPUTED_VALUE"""),"4/50 Phạm Thị Liên")</f>
        <v>4/50 Phạm Thị Liên</v>
      </c>
      <c r="D4815" s="119" t="str">
        <f>IFERROR(__xludf.DUMMYFUNCTION("""COMPUTED_VALUE"""),"Chó")</f>
        <v>Chó</v>
      </c>
      <c r="E4815" s="119" t="str">
        <f>IFERROR(__xludf.DUMMYFUNCTION("""COMPUTED_VALUE"""),"Bơ")</f>
        <v>Bơ</v>
      </c>
    </row>
    <row r="4816" ht="15.75" customHeight="1">
      <c r="A4816" s="122" t="str">
        <f>IFERROR(__xludf.DUMMYFUNCTION("""COMPUTED_VALUE"""),"0914 062 709")</f>
        <v>0914 062 709</v>
      </c>
      <c r="B4816" s="119" t="str">
        <f>IFERROR(__xludf.DUMMYFUNCTION("""COMPUTED_VALUE"""),"Dì Tám")</f>
        <v>Dì Tám</v>
      </c>
      <c r="C4816" s="119" t="str">
        <f>IFERROR(__xludf.DUMMYFUNCTION("""COMPUTED_VALUE"""),"Thủy Vân")</f>
        <v>Thủy Vân</v>
      </c>
      <c r="D4816" s="119" t="str">
        <f>IFERROR(__xludf.DUMMYFUNCTION("""COMPUTED_VALUE"""),"Chó")</f>
        <v>Chó</v>
      </c>
      <c r="E4816" s="119" t="str">
        <f>IFERROR(__xludf.DUMMYFUNCTION("""COMPUTED_VALUE"""),"Rứa")</f>
        <v>Rứa</v>
      </c>
    </row>
    <row r="4817" ht="15.75" customHeight="1">
      <c r="A4817" s="122" t="str">
        <f>IFERROR(__xludf.DUMMYFUNCTION("""COMPUTED_VALUE"""),"0385 235 849")</f>
        <v>0385 235 849</v>
      </c>
      <c r="B4817" s="119" t="str">
        <f>IFERROR(__xludf.DUMMYFUNCTION("""COMPUTED_VALUE"""),"Phúc Hưng")</f>
        <v>Phúc Hưng</v>
      </c>
      <c r="C4817" s="119" t="str">
        <f>IFERROR(__xludf.DUMMYFUNCTION("""COMPUTED_VALUE"""),"245 Bùi Thị Xuân")</f>
        <v>245 Bùi Thị Xuân</v>
      </c>
      <c r="D4817" s="119" t="str">
        <f>IFERROR(__xludf.DUMMYFUNCTION("""COMPUTED_VALUE"""),"Mèo")</f>
        <v>Mèo</v>
      </c>
      <c r="E4817" s="119" t="str">
        <f>IFERROR(__xludf.DUMMYFUNCTION("""COMPUTED_VALUE"""),"Boo")</f>
        <v>Boo</v>
      </c>
    </row>
    <row r="4818" ht="15.75" customHeight="1">
      <c r="A4818" s="122" t="str">
        <f>IFERROR(__xludf.DUMMYFUNCTION("""COMPUTED_VALUE"""),"0347 207 116")</f>
        <v>0347 207 116</v>
      </c>
      <c r="B4818" s="119" t="str">
        <f>IFERROR(__xludf.DUMMYFUNCTION("""COMPUTED_VALUE"""),"Nguyễn Hữu Thao")</f>
        <v>Nguyễn Hữu Thao</v>
      </c>
      <c r="C4818" s="119" t="str">
        <f>IFERROR(__xludf.DUMMYFUNCTION("""COMPUTED_VALUE"""),"Hương Hồ")</f>
        <v>Hương Hồ</v>
      </c>
      <c r="D4818" s="119" t="str">
        <f>IFERROR(__xludf.DUMMYFUNCTION("""COMPUTED_VALUE"""),"Chó")</f>
        <v>Chó</v>
      </c>
      <c r="E4818" s="119" t="str">
        <f>IFERROR(__xludf.DUMMYFUNCTION("""COMPUTED_VALUE"""),"Trắng")</f>
        <v>Trắng</v>
      </c>
    </row>
    <row r="4819" ht="15.75" customHeight="1">
      <c r="A4819" s="122" t="str">
        <f>IFERROR(__xludf.DUMMYFUNCTION("""COMPUTED_VALUE"""),"0393 862 709")</f>
        <v>0393 862 709</v>
      </c>
      <c r="B4819" s="119" t="str">
        <f>IFERROR(__xludf.DUMMYFUNCTION("""COMPUTED_VALUE"""),"Quỳnh Hương")</f>
        <v>Quỳnh Hương</v>
      </c>
      <c r="C4819" s="119" t="str">
        <f>IFERROR(__xludf.DUMMYFUNCTION("""COMPUTED_VALUE"""),"3/125 Võ Duy Ninh")</f>
        <v>3/125 Võ Duy Ninh</v>
      </c>
      <c r="D4819" s="119" t="str">
        <f>IFERROR(__xludf.DUMMYFUNCTION("""COMPUTED_VALUE"""),"Mèo")</f>
        <v>Mèo</v>
      </c>
      <c r="E4819" s="119" t="str">
        <f>IFERROR(__xludf.DUMMYFUNCTION("""COMPUTED_VALUE"""),"Vàng")</f>
        <v>Vàng</v>
      </c>
    </row>
    <row r="4820" ht="15.75" customHeight="1">
      <c r="A4820" s="122" t="str">
        <f>IFERROR(__xludf.DUMMYFUNCTION("""COMPUTED_VALUE"""),"0914 352 848")</f>
        <v>0914 352 848</v>
      </c>
      <c r="B4820" s="119" t="str">
        <f>IFERROR(__xludf.DUMMYFUNCTION("""COMPUTED_VALUE"""),"Chị Thi")</f>
        <v>Chị Thi</v>
      </c>
      <c r="C4820" s="119" t="str">
        <f>IFERROR(__xludf.DUMMYFUNCTION("""COMPUTED_VALUE"""),"83 Phạm Thị Liên")</f>
        <v>83 Phạm Thị Liên</v>
      </c>
      <c r="D4820" s="119" t="str">
        <f>IFERROR(__xludf.DUMMYFUNCTION("""COMPUTED_VALUE"""),"Mèo")</f>
        <v>Mèo</v>
      </c>
      <c r="E4820" s="119"/>
    </row>
    <row r="4821" ht="15.75" customHeight="1">
      <c r="A4821" s="122" t="str">
        <f>IFERROR(__xludf.DUMMYFUNCTION("""COMPUTED_VALUE"""),"0368 434 430")</f>
        <v>0368 434 430</v>
      </c>
      <c r="B4821" s="119" t="str">
        <f>IFERROR(__xludf.DUMMYFUNCTION("""COMPUTED_VALUE"""),"e Tấn Long")</f>
        <v>e Tấn Long</v>
      </c>
      <c r="C4821" s="119" t="str">
        <f>IFERROR(__xludf.DUMMYFUNCTION("""COMPUTED_VALUE"""),"538 Bùi Thị Xuân")</f>
        <v>538 Bùi Thị Xuân</v>
      </c>
      <c r="D4821" s="119" t="str">
        <f>IFERROR(__xludf.DUMMYFUNCTION("""COMPUTED_VALUE"""),"Mèo")</f>
        <v>Mèo</v>
      </c>
      <c r="E4821" s="119" t="str">
        <f>IFERROR(__xludf.DUMMYFUNCTION("""COMPUTED_VALUE"""),"Min")</f>
        <v>Min</v>
      </c>
    </row>
    <row r="4822" ht="15.75" customHeight="1">
      <c r="A4822" s="122" t="str">
        <f>IFERROR(__xludf.DUMMYFUNCTION("""COMPUTED_VALUE"""),"0796 716 579")</f>
        <v>0796 716 579</v>
      </c>
      <c r="B4822" s="119" t="str">
        <f>IFERROR(__xludf.DUMMYFUNCTION("""COMPUTED_VALUE"""),"Anh Hùng")</f>
        <v>Anh Hùng</v>
      </c>
      <c r="C4822" s="119" t="str">
        <f>IFERROR(__xludf.DUMMYFUNCTION("""COMPUTED_VALUE"""),"6/26 Lý Nam Đế")</f>
        <v>6/26 Lý Nam Đế</v>
      </c>
      <c r="D4822" s="119" t="str">
        <f>IFERROR(__xludf.DUMMYFUNCTION("""COMPUTED_VALUE"""),"Mèo")</f>
        <v>Mèo</v>
      </c>
      <c r="E4822" s="119" t="str">
        <f>IFERROR(__xludf.DUMMYFUNCTION("""COMPUTED_VALUE"""),"Nạm")</f>
        <v>Nạm</v>
      </c>
    </row>
    <row r="4823" ht="15.75" customHeight="1">
      <c r="A4823" s="122" t="str">
        <f>IFERROR(__xludf.DUMMYFUNCTION("""COMPUTED_VALUE"""),"0898 237 271")</f>
        <v>0898 237 271</v>
      </c>
      <c r="B4823" s="119" t="str">
        <f>IFERROR(__xludf.DUMMYFUNCTION("""COMPUTED_VALUE"""),"Anh Ân")</f>
        <v>Anh Ân</v>
      </c>
      <c r="C4823" s="119" t="str">
        <f>IFERROR(__xludf.DUMMYFUNCTION("""COMPUTED_VALUE"""),"14/147 Phan Đình Phùng")</f>
        <v>14/147 Phan Đình Phùng</v>
      </c>
      <c r="D4823" s="119" t="str">
        <f>IFERROR(__xludf.DUMMYFUNCTION("""COMPUTED_VALUE"""),"Chó")</f>
        <v>Chó</v>
      </c>
      <c r="E4823" s="119" t="str">
        <f>IFERROR(__xludf.DUMMYFUNCTION("""COMPUTED_VALUE"""),"Tin")</f>
        <v>Tin</v>
      </c>
    </row>
    <row r="4824" ht="15.75" customHeight="1">
      <c r="A4824" s="122" t="str">
        <f>IFERROR(__xludf.DUMMYFUNCTION("""COMPUTED_VALUE"""),"0981 949 559")</f>
        <v>0981 949 559</v>
      </c>
      <c r="B4824" s="119" t="str">
        <f>IFERROR(__xludf.DUMMYFUNCTION("""COMPUTED_VALUE"""),"Chị Loan")</f>
        <v>Chị Loan</v>
      </c>
      <c r="C4824" s="119" t="str">
        <f>IFERROR(__xludf.DUMMYFUNCTION("""COMPUTED_VALUE"""),"3/62 Lịch Đợi")</f>
        <v>3/62 Lịch Đợi</v>
      </c>
      <c r="D4824" s="119" t="str">
        <f>IFERROR(__xludf.DUMMYFUNCTION("""COMPUTED_VALUE"""),"Mèo")</f>
        <v>Mèo</v>
      </c>
      <c r="E4824" s="119"/>
    </row>
    <row r="4825" ht="15.75" customHeight="1">
      <c r="A4825" s="122" t="str">
        <f>IFERROR(__xludf.DUMMYFUNCTION("""COMPUTED_VALUE"""),"0932 427 833")</f>
        <v>0932 427 833</v>
      </c>
      <c r="B4825" s="119" t="str">
        <f>IFERROR(__xludf.DUMMYFUNCTION("""COMPUTED_VALUE"""),"nguyễn ngọc ánh")</f>
        <v>nguyễn ngọc ánh</v>
      </c>
      <c r="C4825" s="119" t="str">
        <f>IFERROR(__xludf.DUMMYFUNCTION("""COMPUTED_VALUE"""),"hàn mặc tử")</f>
        <v>hàn mặc tử</v>
      </c>
      <c r="D4825" s="119" t="str">
        <f>IFERROR(__xludf.DUMMYFUNCTION("""COMPUTED_VALUE"""),"Chó")</f>
        <v>Chó</v>
      </c>
      <c r="E4825" s="119" t="str">
        <f>IFERROR(__xludf.DUMMYFUNCTION("""COMPUTED_VALUE"""),"na")</f>
        <v>na</v>
      </c>
    </row>
    <row r="4826" ht="15.75" customHeight="1">
      <c r="A4826" s="122" t="str">
        <f>IFERROR(__xludf.DUMMYFUNCTION("""COMPUTED_VALUE"""),"0934 898 076")</f>
        <v>0934 898 076</v>
      </c>
      <c r="B4826" s="119" t="str">
        <f>IFERROR(__xludf.DUMMYFUNCTION("""COMPUTED_VALUE"""),"phi")</f>
        <v>phi</v>
      </c>
      <c r="C4826" s="119" t="str">
        <f>IFERROR(__xludf.DUMMYFUNCTION("""COMPUTED_VALUE"""),"3/37 hàn mặc tử")</f>
        <v>3/37 hàn mặc tử</v>
      </c>
      <c r="D4826" s="119" t="str">
        <f>IFERROR(__xludf.DUMMYFUNCTION("""COMPUTED_VALUE"""),"Mèo")</f>
        <v>Mèo</v>
      </c>
      <c r="E4826" s="119" t="str">
        <f>IFERROR(__xludf.DUMMYFUNCTION("""COMPUTED_VALUE"""),"ka")</f>
        <v>ka</v>
      </c>
    </row>
    <row r="4827" ht="15.75" customHeight="1">
      <c r="A4827" s="122" t="str">
        <f>IFERROR(__xludf.DUMMYFUNCTION("""COMPUTED_VALUE"""),"0971 005 220")</f>
        <v>0971 005 220</v>
      </c>
      <c r="B4827" s="119" t="str">
        <f>IFERROR(__xludf.DUMMYFUNCTION("""COMPUTED_VALUE"""),"dì vinh")</f>
        <v>dì vinh</v>
      </c>
      <c r="C4827" s="119" t="str">
        <f>IFERROR(__xludf.DUMMYFUNCTION("""COMPUTED_VALUE"""),"chùa huyền không")</f>
        <v>chùa huyền không</v>
      </c>
      <c r="D4827" s="119" t="str">
        <f>IFERROR(__xludf.DUMMYFUNCTION("""COMPUTED_VALUE"""),"Chó")</f>
        <v>Chó</v>
      </c>
      <c r="E4827" s="119" t="str">
        <f>IFERROR(__xludf.DUMMYFUNCTION("""COMPUTED_VALUE"""),"gấu")</f>
        <v>gấu</v>
      </c>
    </row>
    <row r="4828" ht="15.75" customHeight="1">
      <c r="A4828" s="122" t="str">
        <f>IFERROR(__xludf.DUMMYFUNCTION("""COMPUTED_VALUE"""),"0963 063 363")</f>
        <v>0963 063 363</v>
      </c>
      <c r="B4828" s="119" t="str">
        <f>IFERROR(__xludf.DUMMYFUNCTION("""COMPUTED_VALUE"""),"anh phú")</f>
        <v>anh phú</v>
      </c>
      <c r="C4828" s="119" t="str">
        <f>IFERROR(__xludf.DUMMYFUNCTION("""COMPUTED_VALUE"""),"lý nam đế")</f>
        <v>lý nam đế</v>
      </c>
      <c r="D4828" s="119" t="str">
        <f>IFERROR(__xludf.DUMMYFUNCTION("""COMPUTED_VALUE"""),"Chó")</f>
        <v>Chó</v>
      </c>
      <c r="E4828" s="119" t="str">
        <f>IFERROR(__xludf.DUMMYFUNCTION("""COMPUTED_VALUE"""),"sin")</f>
        <v>sin</v>
      </c>
    </row>
    <row r="4829" ht="15.75" customHeight="1">
      <c r="A4829" s="122" t="str">
        <f>IFERROR(__xludf.DUMMYFUNCTION("""COMPUTED_VALUE"""),"0376 747 882")</f>
        <v>0376 747 882</v>
      </c>
      <c r="B4829" s="119" t="str">
        <f>IFERROR(__xludf.DUMMYFUNCTION("""COMPUTED_VALUE"""),"dì thúy")</f>
        <v>dì thúy</v>
      </c>
      <c r="C4829" s="119" t="str">
        <f>IFERROR(__xludf.DUMMYFUNCTION("""COMPUTED_VALUE"""),"1/26/245 btx")</f>
        <v>1/26/245 btx</v>
      </c>
      <c r="D4829" s="119" t="str">
        <f>IFERROR(__xludf.DUMMYFUNCTION("""COMPUTED_VALUE"""),"Chó")</f>
        <v>Chó</v>
      </c>
      <c r="E4829" s="119" t="str">
        <f>IFERROR(__xludf.DUMMYFUNCTION("""COMPUTED_VALUE"""),"mực")</f>
        <v>mực</v>
      </c>
    </row>
    <row r="4830" ht="15.75" customHeight="1">
      <c r="A4830" s="122" t="str">
        <f>IFERROR(__xludf.DUMMYFUNCTION("""COMPUTED_VALUE"""),"0911 186 088")</f>
        <v>0911 186 088</v>
      </c>
      <c r="B4830" s="119" t="str">
        <f>IFERROR(__xludf.DUMMYFUNCTION("""COMPUTED_VALUE"""),"chị hiền")</f>
        <v>chị hiền</v>
      </c>
      <c r="C4830" s="119" t="str">
        <f>IFERROR(__xludf.DUMMYFUNCTION("""COMPUTED_VALUE"""),"203 bùi thị xuân")</f>
        <v>203 bùi thị xuân</v>
      </c>
      <c r="D4830" s="119" t="str">
        <f>IFERROR(__xludf.DUMMYFUNCTION("""COMPUTED_VALUE"""),"Chó")</f>
        <v>Chó</v>
      </c>
      <c r="E4830" s="119" t="str">
        <f>IFERROR(__xludf.DUMMYFUNCTION("""COMPUTED_VALUE"""),"mỡ")</f>
        <v>mỡ</v>
      </c>
    </row>
    <row r="4831" ht="15.75" customHeight="1">
      <c r="A4831" s="122" t="str">
        <f>IFERROR(__xludf.DUMMYFUNCTION("""COMPUTED_VALUE"""),"0886 696 654")</f>
        <v>0886 696 654</v>
      </c>
      <c r="B4831" s="119" t="str">
        <f>IFERROR(__xludf.DUMMYFUNCTION("""COMPUTED_VALUE"""),"chị dung")</f>
        <v>chị dung</v>
      </c>
      <c r="C4831" s="119" t="str">
        <f>IFERROR(__xludf.DUMMYFUNCTION("""COMPUTED_VALUE"""),"17/50 phạm thị liên")</f>
        <v>17/50 phạm thị liên</v>
      </c>
      <c r="D4831" s="119" t="str">
        <f>IFERROR(__xludf.DUMMYFUNCTION("""COMPUTED_VALUE"""),"Mèo")</f>
        <v>Mèo</v>
      </c>
      <c r="E4831" s="119" t="str">
        <f>IFERROR(__xludf.DUMMYFUNCTION("""COMPUTED_VALUE"""),"khoa la")</f>
        <v>khoa la</v>
      </c>
    </row>
    <row r="4832" ht="15.75" customHeight="1">
      <c r="A4832" s="122" t="str">
        <f>IFERROR(__xludf.DUMMYFUNCTION("""COMPUTED_VALUE"""),"0763 604 144")</f>
        <v>0763 604 144</v>
      </c>
      <c r="B4832" s="119" t="str">
        <f>IFERROR(__xludf.DUMMYFUNCTION("""COMPUTED_VALUE"""),"anh quang")</f>
        <v>anh quang</v>
      </c>
      <c r="C4832" s="119" t="str">
        <f>IFERROR(__xludf.DUMMYFUNCTION("""COMPUTED_VALUE"""),"nguyễn phúc thái")</f>
        <v>nguyễn phúc thái</v>
      </c>
      <c r="D4832" s="119" t="str">
        <f>IFERROR(__xludf.DUMMYFUNCTION("""COMPUTED_VALUE"""),"Chó")</f>
        <v>Chó</v>
      </c>
      <c r="E4832" s="119"/>
    </row>
    <row r="4833" ht="15.75" customHeight="1">
      <c r="A4833" s="122" t="str">
        <f>IFERROR(__xludf.DUMMYFUNCTION("""COMPUTED_VALUE"""),"0523 058 066")</f>
        <v>0523 058 066</v>
      </c>
      <c r="B4833" s="119" t="str">
        <f>IFERROR(__xludf.DUMMYFUNCTION("""COMPUTED_VALUE"""),"em trung")</f>
        <v>em trung</v>
      </c>
      <c r="C4833" s="119" t="str">
        <f>IFERROR(__xludf.DUMMYFUNCTION("""COMPUTED_VALUE"""),"22 bến nghé")</f>
        <v>22 bến nghé</v>
      </c>
      <c r="D4833" s="119" t="str">
        <f>IFERROR(__xludf.DUMMYFUNCTION("""COMPUTED_VALUE"""),"Mèo")</f>
        <v>Mèo</v>
      </c>
      <c r="E4833" s="119" t="str">
        <f>IFERROR(__xludf.DUMMYFUNCTION("""COMPUTED_VALUE"""),"sam")</f>
        <v>sam</v>
      </c>
    </row>
    <row r="4834" ht="15.75" customHeight="1">
      <c r="A4834" s="122" t="str">
        <f>IFERROR(__xludf.DUMMYFUNCTION("""COMPUTED_VALUE"""),"0865 459 636")</f>
        <v>0865 459 636</v>
      </c>
      <c r="B4834" s="119" t="str">
        <f>IFERROR(__xludf.DUMMYFUNCTION("""COMPUTED_VALUE"""),"Đại Nghĩa")</f>
        <v>Đại Nghĩa</v>
      </c>
      <c r="C4834" s="119" t="str">
        <f>IFERROR(__xludf.DUMMYFUNCTION("""COMPUTED_VALUE"""),"43/2/2 long thọ")</f>
        <v>43/2/2 long thọ</v>
      </c>
      <c r="D4834" s="119" t="str">
        <f>IFERROR(__xludf.DUMMYFUNCTION("""COMPUTED_VALUE"""),"Chó")</f>
        <v>Chó</v>
      </c>
      <c r="E4834" s="119" t="str">
        <f>IFERROR(__xludf.DUMMYFUNCTION("""COMPUTED_VALUE"""),"lu")</f>
        <v>lu</v>
      </c>
    </row>
    <row r="4835" ht="15.75" customHeight="1">
      <c r="A4835" s="122" t="str">
        <f>IFERROR(__xludf.DUMMYFUNCTION("""COMPUTED_VALUE"""),"0818 989 815")</f>
        <v>0818 989 815</v>
      </c>
      <c r="B4835" s="119" t="str">
        <f>IFERROR(__xludf.DUMMYFUNCTION("""COMPUTED_VALUE"""),"minh quang")</f>
        <v>minh quang</v>
      </c>
      <c r="C4835" s="119" t="str">
        <f>IFERROR(__xludf.DUMMYFUNCTION("""COMPUTED_VALUE"""),"50/4 phạm thị liên")</f>
        <v>50/4 phạm thị liên</v>
      </c>
      <c r="D4835" s="119" t="str">
        <f>IFERROR(__xludf.DUMMYFUNCTION("""COMPUTED_VALUE"""),"Mèo")</f>
        <v>Mèo</v>
      </c>
      <c r="E4835" s="119" t="str">
        <f>IFERROR(__xludf.DUMMYFUNCTION("""COMPUTED_VALUE"""),"miu")</f>
        <v>miu</v>
      </c>
    </row>
    <row r="4836" ht="15.75" customHeight="1">
      <c r="A4836" s="122" t="str">
        <f>IFERROR(__xludf.DUMMYFUNCTION("""COMPUTED_VALUE"""),"0901 161 068")</f>
        <v>0901 161 068</v>
      </c>
      <c r="B4836" s="119" t="str">
        <f>IFERROR(__xludf.DUMMYFUNCTION("""COMPUTED_VALUE"""),"anh bình")</f>
        <v>anh bình</v>
      </c>
      <c r="C4836" s="119" t="str">
        <f>IFERROR(__xludf.DUMMYFUNCTION("""COMPUTED_VALUE"""),"hương trà")</f>
        <v>hương trà</v>
      </c>
      <c r="D4836" s="119" t="str">
        <f>IFERROR(__xludf.DUMMYFUNCTION("""COMPUTED_VALUE"""),"Chó")</f>
        <v>Chó</v>
      </c>
      <c r="E4836" s="119" t="str">
        <f>IFERROR(__xludf.DUMMYFUNCTION("""COMPUTED_VALUE"""),"dori")</f>
        <v>dori</v>
      </c>
    </row>
    <row r="4837" ht="15.75" customHeight="1">
      <c r="A4837" s="122" t="str">
        <f>IFERROR(__xludf.DUMMYFUNCTION("""COMPUTED_VALUE"""),"0782 277 787")</f>
        <v>0782 277 787</v>
      </c>
      <c r="B4837" s="119" t="str">
        <f>IFERROR(__xludf.DUMMYFUNCTION("""COMPUTED_VALUE"""),"anh thuần")</f>
        <v>anh thuần</v>
      </c>
      <c r="C4837" s="119" t="str">
        <f>IFERROR(__xludf.DUMMYFUNCTION("""COMPUTED_VALUE"""),"192 lý nam đế")</f>
        <v>192 lý nam đế</v>
      </c>
      <c r="D4837" s="119" t="str">
        <f>IFERROR(__xludf.DUMMYFUNCTION("""COMPUTED_VALUE"""),"Chó")</f>
        <v>Chó</v>
      </c>
      <c r="E4837" s="119" t="str">
        <f>IFERROR(__xludf.DUMMYFUNCTION("""COMPUTED_VALUE"""),"bánh bao")</f>
        <v>bánh bao</v>
      </c>
    </row>
    <row r="4838" ht="15.75" customHeight="1">
      <c r="A4838" s="122" t="str">
        <f>IFERROR(__xludf.DUMMYFUNCTION("""COMPUTED_VALUE"""),"0773 521 337")</f>
        <v>0773 521 337</v>
      </c>
      <c r="B4838" s="119" t="str">
        <f>IFERROR(__xludf.DUMMYFUNCTION("""COMPUTED_VALUE"""),"nghi")</f>
        <v>nghi</v>
      </c>
      <c r="C4838" s="119" t="str">
        <f>IFERROR(__xludf.DUMMYFUNCTION("""COMPUTED_VALUE"""),"điện biên phủ")</f>
        <v>điện biên phủ</v>
      </c>
      <c r="D4838" s="119" t="str">
        <f>IFERROR(__xludf.DUMMYFUNCTION("""COMPUTED_VALUE"""),"Chó")</f>
        <v>Chó</v>
      </c>
      <c r="E4838" s="119" t="str">
        <f>IFERROR(__xludf.DUMMYFUNCTION("""COMPUTED_VALUE"""),"cho cô")</f>
        <v>cho cô</v>
      </c>
    </row>
    <row r="4839" ht="15.75" customHeight="1">
      <c r="A4839" s="122" t="str">
        <f>IFERROR(__xludf.DUMMYFUNCTION("""COMPUTED_VALUE"""),"0943 499 555")</f>
        <v>0943 499 555</v>
      </c>
      <c r="B4839" s="119" t="str">
        <f>IFERROR(__xludf.DUMMYFUNCTION("""COMPUTED_VALUE"""),"chú quốc")</f>
        <v>chú quốc</v>
      </c>
      <c r="C4839" s="119" t="str">
        <f>IFERROR(__xludf.DUMMYFUNCTION("""COMPUTED_VALUE"""),"k50 phạm thị liên")</f>
        <v>k50 phạm thị liên</v>
      </c>
      <c r="D4839" s="119" t="str">
        <f>IFERROR(__xludf.DUMMYFUNCTION("""COMPUTED_VALUE"""),"Chó")</f>
        <v>Chó</v>
      </c>
      <c r="E4839" s="119" t="str">
        <f>IFERROR(__xludf.DUMMYFUNCTION("""COMPUTED_VALUE"""),"bơ")</f>
        <v>bơ</v>
      </c>
    </row>
    <row r="4840" ht="15.75" customHeight="1">
      <c r="A4840" s="122" t="str">
        <f>IFERROR(__xludf.DUMMYFUNCTION("""COMPUTED_VALUE"""),"0706 136 448")</f>
        <v>0706 136 448</v>
      </c>
      <c r="B4840" s="119" t="str">
        <f>IFERROR(__xludf.DUMMYFUNCTION("""COMPUTED_VALUE"""),"chị phương")</f>
        <v>chị phương</v>
      </c>
      <c r="C4840" s="119" t="str">
        <f>IFERROR(__xludf.DUMMYFUNCTION("""COMPUTED_VALUE"""),"phạm thị liên")</f>
        <v>phạm thị liên</v>
      </c>
      <c r="D4840" s="119" t="str">
        <f>IFERROR(__xludf.DUMMYFUNCTION("""COMPUTED_VALUE"""),"Chó")</f>
        <v>Chó</v>
      </c>
      <c r="E4840" s="119" t="str">
        <f>IFERROR(__xludf.DUMMYFUNCTION("""COMPUTED_VALUE"""),"bo")</f>
        <v>bo</v>
      </c>
    </row>
    <row r="4841" ht="15.75" customHeight="1">
      <c r="A4841" s="122" t="str">
        <f>IFERROR(__xludf.DUMMYFUNCTION("""COMPUTED_VALUE"""),"0766 704 886")</f>
        <v>0766 704 886</v>
      </c>
      <c r="B4841" s="119" t="str">
        <f>IFERROR(__xludf.DUMMYFUNCTION("""COMPUTED_VALUE"""),"anh sáu")</f>
        <v>anh sáu</v>
      </c>
      <c r="C4841" s="119" t="str">
        <f>IFERROR(__xludf.DUMMYFUNCTION("""COMPUTED_VALUE"""),"1/78 nguyễn phúc thái")</f>
        <v>1/78 nguyễn phúc thái</v>
      </c>
      <c r="D4841" s="119" t="str">
        <f>IFERROR(__xludf.DUMMYFUNCTION("""COMPUTED_VALUE"""),"Chó")</f>
        <v>Chó</v>
      </c>
      <c r="E4841" s="119" t="str">
        <f>IFERROR(__xludf.DUMMYFUNCTION("""COMPUTED_VALUE"""),"mực")</f>
        <v>mực</v>
      </c>
    </row>
    <row r="4842" ht="15.75" customHeight="1">
      <c r="A4842" s="122" t="str">
        <f>IFERROR(__xludf.DUMMYFUNCTION("""COMPUTED_VALUE"""),"0935 546 262")</f>
        <v>0935 546 262</v>
      </c>
      <c r="B4842" s="119" t="str">
        <f>IFERROR(__xludf.DUMMYFUNCTION("""COMPUTED_VALUE"""),"chị bông")</f>
        <v>chị bông</v>
      </c>
      <c r="C4842" s="119" t="str">
        <f>IFERROR(__xludf.DUMMYFUNCTION("""COMPUTED_VALUE"""),"tứ hạ")</f>
        <v>tứ hạ</v>
      </c>
      <c r="D4842" s="119" t="str">
        <f>IFERROR(__xludf.DUMMYFUNCTION("""COMPUTED_VALUE"""),"Chó")</f>
        <v>Chó</v>
      </c>
      <c r="E4842" s="119" t="str">
        <f>IFERROR(__xludf.DUMMYFUNCTION("""COMPUTED_VALUE"""),"pha")</f>
        <v>pha</v>
      </c>
    </row>
    <row r="4843" ht="15.75" customHeight="1">
      <c r="A4843" s="122" t="str">
        <f>IFERROR(__xludf.DUMMYFUNCTION("""COMPUTED_VALUE"""),"milk")</f>
        <v>milk</v>
      </c>
      <c r="B4843" s="119" t="str">
        <f>IFERROR(__xludf.DUMMYFUNCTION("""COMPUTED_VALUE"""),"dì sương")</f>
        <v>dì sương</v>
      </c>
      <c r="C4843" s="119" t="str">
        <f>IFERROR(__xludf.DUMMYFUNCTION("""COMPUTED_VALUE"""),"43/2/2 long thọ")</f>
        <v>43/2/2 long thọ</v>
      </c>
      <c r="D4843" s="119" t="str">
        <f>IFERROR(__xludf.DUMMYFUNCTION("""COMPUTED_VALUE"""),"Chó")</f>
        <v>Chó</v>
      </c>
      <c r="E4843" s="119" t="str">
        <f>IFERROR(__xludf.DUMMYFUNCTION("""COMPUTED_VALUE"""),"lốp")</f>
        <v>lốp</v>
      </c>
    </row>
    <row r="4844" ht="15.75" customHeight="1">
      <c r="A4844" s="122" t="str">
        <f>IFERROR(__xludf.DUMMYFUNCTION("""COMPUTED_VALUE"""),"0905 871 286")</f>
        <v>0905 871 286</v>
      </c>
      <c r="B4844" s="119" t="str">
        <f>IFERROR(__xludf.DUMMYFUNCTION("""COMPUTED_VALUE"""),"chị giang")</f>
        <v>chị giang</v>
      </c>
      <c r="C4844" s="119" t="str">
        <f>IFERROR(__xludf.DUMMYFUNCTION("""COMPUTED_VALUE"""),"106 minh mạng")</f>
        <v>106 minh mạng</v>
      </c>
      <c r="D4844" s="119" t="str">
        <f>IFERROR(__xludf.DUMMYFUNCTION("""COMPUTED_VALUE"""),"Chó")</f>
        <v>Chó</v>
      </c>
      <c r="E4844" s="119" t="str">
        <f>IFERROR(__xludf.DUMMYFUNCTION("""COMPUTED_VALUE"""),"bão")</f>
        <v>bão</v>
      </c>
    </row>
    <row r="4845" ht="15.75" customHeight="1">
      <c r="A4845" s="122" t="str">
        <f>IFERROR(__xludf.DUMMYFUNCTION("""COMPUTED_VALUE"""),"0976 275 553")</f>
        <v>0976 275 553</v>
      </c>
      <c r="B4845" s="119" t="str">
        <f>IFERROR(__xludf.DUMMYFUNCTION("""COMPUTED_VALUE"""),"Chị Hồng Lợi")</f>
        <v>Chị Hồng Lợi</v>
      </c>
      <c r="C4845" s="119" t="str">
        <f>IFERROR(__xludf.DUMMYFUNCTION("""COMPUTED_VALUE"""),"35 Nguyễn Phúc Lan")</f>
        <v>35 Nguyễn Phúc Lan</v>
      </c>
      <c r="D4845" s="119" t="str">
        <f>IFERROR(__xludf.DUMMYFUNCTION("""COMPUTED_VALUE"""),"chó")</f>
        <v>chó</v>
      </c>
      <c r="E4845" s="119"/>
    </row>
    <row r="4846" ht="15.75" customHeight="1">
      <c r="A4846" s="122" t="str">
        <f>IFERROR(__xludf.DUMMYFUNCTION("""COMPUTED_VALUE"""),"0986 695 742")</f>
        <v>0986 695 742</v>
      </c>
      <c r="B4846" s="119" t="str">
        <f>IFERROR(__xludf.DUMMYFUNCTION("""COMPUTED_VALUE"""),"chị dương")</f>
        <v>chị dương</v>
      </c>
      <c r="C4846" s="119" t="str">
        <f>IFERROR(__xludf.DUMMYFUNCTION("""COMPUTED_VALUE"""),"phú vang")</f>
        <v>phú vang</v>
      </c>
      <c r="D4846" s="119" t="str">
        <f>IFERROR(__xludf.DUMMYFUNCTION("""COMPUTED_VALUE"""),"Chó")</f>
        <v>Chó</v>
      </c>
      <c r="E4846" s="119" t="str">
        <f>IFERROR(__xludf.DUMMYFUNCTION("""COMPUTED_VALUE"""),"suri")</f>
        <v>suri</v>
      </c>
    </row>
    <row r="4847" ht="15.75" customHeight="1">
      <c r="A4847" s="122" t="str">
        <f>IFERROR(__xludf.DUMMYFUNCTION("""COMPUTED_VALUE"""),"0352 651 993")</f>
        <v>0352 651 993</v>
      </c>
      <c r="B4847" s="119" t="str">
        <f>IFERROR(__xludf.DUMMYFUNCTION("""COMPUTED_VALUE"""),"chị hoài linh")</f>
        <v>chị hoài linh</v>
      </c>
      <c r="C4847" s="119" t="str">
        <f>IFERROR(__xludf.DUMMYFUNCTION("""COMPUTED_VALUE"""),"2/53 mang cá")</f>
        <v>2/53 mang cá</v>
      </c>
      <c r="D4847" s="119" t="str">
        <f>IFERROR(__xludf.DUMMYFUNCTION("""COMPUTED_VALUE"""),"Chó")</f>
        <v>Chó</v>
      </c>
      <c r="E4847" s="119" t="str">
        <f>IFERROR(__xludf.DUMMYFUNCTION("""COMPUTED_VALUE"""),"nâu")</f>
        <v>nâu</v>
      </c>
    </row>
    <row r="4848" ht="15.75" customHeight="1">
      <c r="A4848" s="122" t="str">
        <f>IFERROR(__xludf.DUMMYFUNCTION("""COMPUTED_VALUE"""),"0702 771 504")</f>
        <v>0702 771 504</v>
      </c>
      <c r="B4848" s="119" t="str">
        <f>IFERROR(__xludf.DUMMYFUNCTION("""COMPUTED_VALUE"""),"dì ngoan")</f>
        <v>dì ngoan</v>
      </c>
      <c r="C4848" s="119" t="str">
        <f>IFERROR(__xludf.DUMMYFUNCTION("""COMPUTED_VALUE"""),"17 nguyễn trường tộ")</f>
        <v>17 nguyễn trường tộ</v>
      </c>
      <c r="D4848" s="119" t="str">
        <f>IFERROR(__xludf.DUMMYFUNCTION("""COMPUTED_VALUE"""),"Chó")</f>
        <v>Chó</v>
      </c>
      <c r="E4848" s="119" t="str">
        <f>IFERROR(__xludf.DUMMYFUNCTION("""COMPUTED_VALUE"""),"ly")</f>
        <v>ly</v>
      </c>
    </row>
    <row r="4849" ht="15.75" customHeight="1">
      <c r="A4849" s="122" t="str">
        <f>IFERROR(__xludf.DUMMYFUNCTION("""COMPUTED_VALUE"""),"0914 114 310")</f>
        <v>0914 114 310</v>
      </c>
      <c r="B4849" s="119" t="str">
        <f>IFERROR(__xludf.DUMMYFUNCTION("""COMPUTED_VALUE"""),"chú nguyên")</f>
        <v>chú nguyên</v>
      </c>
      <c r="C4849" s="119" t="str">
        <f>IFERROR(__xludf.DUMMYFUNCTION("""COMPUTED_VALUE"""),"13 nam giao")</f>
        <v>13 nam giao</v>
      </c>
      <c r="D4849" s="119" t="str">
        <f>IFERROR(__xludf.DUMMYFUNCTION("""COMPUTED_VALUE"""),"Chó")</f>
        <v>Chó</v>
      </c>
      <c r="E4849" s="119"/>
    </row>
    <row r="4850" ht="15.75" customHeight="1">
      <c r="A4850" s="122" t="str">
        <f>IFERROR(__xludf.DUMMYFUNCTION("""COMPUTED_VALUE"""),"0917 331 174")</f>
        <v>0917 331 174</v>
      </c>
      <c r="B4850" s="119" t="str">
        <f>IFERROR(__xludf.DUMMYFUNCTION("""COMPUTED_VALUE"""),"anh hải ninh")</f>
        <v>anh hải ninh</v>
      </c>
      <c r="C4850" s="119" t="str">
        <f>IFERROR(__xludf.DUMMYFUNCTION("""COMPUTED_VALUE"""),"22/9 nam giao")</f>
        <v>22/9 nam giao</v>
      </c>
      <c r="D4850" s="119" t="str">
        <f>IFERROR(__xludf.DUMMYFUNCTION("""COMPUTED_VALUE"""),"Chó")</f>
        <v>Chó</v>
      </c>
      <c r="E4850" s="119" t="str">
        <f>IFERROR(__xludf.DUMMYFUNCTION("""COMPUTED_VALUE"""),"sữa")</f>
        <v>sữa</v>
      </c>
    </row>
    <row r="4851" ht="15.75" customHeight="1">
      <c r="A4851" s="122" t="str">
        <f>IFERROR(__xludf.DUMMYFUNCTION("""COMPUTED_VALUE"""),"0961 121 398")</f>
        <v>0961 121 398</v>
      </c>
      <c r="B4851" s="119" t="str">
        <f>IFERROR(__xludf.DUMMYFUNCTION("""COMPUTED_VALUE"""),"chị siêu")</f>
        <v>chị siêu</v>
      </c>
      <c r="C4851" s="119" t="str">
        <f>IFERROR(__xludf.DUMMYFUNCTION("""COMPUTED_VALUE"""),"a lưới")</f>
        <v>a lưới</v>
      </c>
      <c r="D4851" s="119" t="str">
        <f>IFERROR(__xludf.DUMMYFUNCTION("""COMPUTED_VALUE"""),"Chó")</f>
        <v>Chó</v>
      </c>
      <c r="E4851" s="119" t="str">
        <f>IFERROR(__xludf.DUMMYFUNCTION("""COMPUTED_VALUE"""),"niel")</f>
        <v>niel</v>
      </c>
    </row>
    <row r="4852" ht="15.75" customHeight="1">
      <c r="A4852" s="122" t="str">
        <f>IFERROR(__xludf.DUMMYFUNCTION("""COMPUTED_VALUE"""),"0919 522 246")</f>
        <v>0919 522 246</v>
      </c>
      <c r="B4852" s="119" t="str">
        <f>IFERROR(__xludf.DUMMYFUNCTION("""COMPUTED_VALUE"""),"cô tiên")</f>
        <v>cô tiên</v>
      </c>
      <c r="C4852" s="119" t="str">
        <f>IFERROR(__xludf.DUMMYFUNCTION("""COMPUTED_VALUE"""),"175 long hồ")</f>
        <v>175 long hồ</v>
      </c>
      <c r="D4852" s="119" t="str">
        <f>IFERROR(__xludf.DUMMYFUNCTION("""COMPUTED_VALUE"""),"Chó")</f>
        <v>Chó</v>
      </c>
      <c r="E4852" s="119" t="str">
        <f>IFERROR(__xludf.DUMMYFUNCTION("""COMPUTED_VALUE"""),"four")</f>
        <v>four</v>
      </c>
    </row>
    <row r="4853" ht="15.75" customHeight="1">
      <c r="A4853" s="122" t="str">
        <f>IFERROR(__xludf.DUMMYFUNCTION("""COMPUTED_VALUE"""),"0849 188 918")</f>
        <v>0849 188 918</v>
      </c>
      <c r="B4853" s="119" t="str">
        <f>IFERROR(__xludf.DUMMYFUNCTION("""COMPUTED_VALUE"""),"anh lộc")</f>
        <v>anh lộc</v>
      </c>
      <c r="C4853" s="119" t="str">
        <f>IFERROR(__xludf.DUMMYFUNCTION("""COMPUTED_VALUE"""),"20 lê quý đôn")</f>
        <v>20 lê quý đôn</v>
      </c>
      <c r="D4853" s="119" t="str">
        <f>IFERROR(__xludf.DUMMYFUNCTION("""COMPUTED_VALUE"""),"Chó")</f>
        <v>Chó</v>
      </c>
      <c r="E4853" s="119" t="str">
        <f>IFERROR(__xludf.DUMMYFUNCTION("""COMPUTED_VALUE"""),"boy")</f>
        <v>boy</v>
      </c>
    </row>
    <row r="4854" ht="15.75" customHeight="1">
      <c r="A4854" s="122" t="str">
        <f>IFERROR(__xludf.DUMMYFUNCTION("""COMPUTED_VALUE"""),"0787 714 490")</f>
        <v>0787 714 490</v>
      </c>
      <c r="B4854" s="119" t="str">
        <f>IFERROR(__xludf.DUMMYFUNCTION("""COMPUTED_VALUE"""),"diệu")</f>
        <v>diệu</v>
      </c>
      <c r="C4854" s="119" t="str">
        <f>IFERROR(__xludf.DUMMYFUNCTION("""COMPUTED_VALUE"""),"bầu vá")</f>
        <v>bầu vá</v>
      </c>
      <c r="D4854" s="119" t="str">
        <f>IFERROR(__xludf.DUMMYFUNCTION("""COMPUTED_VALUE"""),"Chó")</f>
        <v>Chó</v>
      </c>
      <c r="E4854" s="119" t="str">
        <f>IFERROR(__xludf.DUMMYFUNCTION("""COMPUTED_VALUE"""),"gấu")</f>
        <v>gấu</v>
      </c>
    </row>
    <row r="4855" ht="15.75" customHeight="1">
      <c r="A4855" s="122" t="str">
        <f>IFERROR(__xludf.DUMMYFUNCTION("""COMPUTED_VALUE"""),"0909 714 585")</f>
        <v>0909 714 585</v>
      </c>
      <c r="B4855" s="119" t="str">
        <f>IFERROR(__xludf.DUMMYFUNCTION("""COMPUTED_VALUE"""),"chị vân")</f>
        <v>chị vân</v>
      </c>
      <c r="C4855" s="119" t="str">
        <f>IFERROR(__xludf.DUMMYFUNCTION("""COMPUTED_VALUE"""),"7/47 minh mạng")</f>
        <v>7/47 minh mạng</v>
      </c>
      <c r="D4855" s="119" t="str">
        <f>IFERROR(__xludf.DUMMYFUNCTION("""COMPUTED_VALUE"""),"Chó")</f>
        <v>Chó</v>
      </c>
      <c r="E4855" s="119" t="str">
        <f>IFERROR(__xludf.DUMMYFUNCTION("""COMPUTED_VALUE"""),"sen")</f>
        <v>sen</v>
      </c>
    </row>
    <row r="4856" ht="15.75" customHeight="1">
      <c r="A4856" s="122" t="str">
        <f>IFERROR(__xludf.DUMMYFUNCTION("""COMPUTED_VALUE"""),"0773 558 269")</f>
        <v>0773 558 269</v>
      </c>
      <c r="B4856" s="119" t="str">
        <f>IFERROR(__xludf.DUMMYFUNCTION("""COMPUTED_VALUE"""),"gia linh")</f>
        <v>gia linh</v>
      </c>
      <c r="C4856" s="119" t="str">
        <f>IFERROR(__xludf.DUMMYFUNCTION("""COMPUTED_VALUE"""),"300 điện biên phủ")</f>
        <v>300 điện biên phủ</v>
      </c>
      <c r="D4856" s="119" t="str">
        <f>IFERROR(__xludf.DUMMYFUNCTION("""COMPUTED_VALUE"""),"Mèo")</f>
        <v>Mèo</v>
      </c>
      <c r="E4856" s="119"/>
    </row>
    <row r="4857" ht="15.75" customHeight="1">
      <c r="A4857" s="122" t="str">
        <f>IFERROR(__xludf.DUMMYFUNCTION("""COMPUTED_VALUE"""),"0905 723 393")</f>
        <v>0905 723 393</v>
      </c>
      <c r="B4857" s="119" t="str">
        <f>IFERROR(__xludf.DUMMYFUNCTION("""COMPUTED_VALUE"""),"anh duy")</f>
        <v>anh duy</v>
      </c>
      <c r="C4857" s="119" t="str">
        <f>IFERROR(__xludf.DUMMYFUNCTION("""COMPUTED_VALUE"""),"thủy bằng")</f>
        <v>thủy bằng</v>
      </c>
      <c r="D4857" s="119" t="str">
        <f>IFERROR(__xludf.DUMMYFUNCTION("""COMPUTED_VALUE"""),"Mèo")</f>
        <v>Mèo</v>
      </c>
      <c r="E4857" s="119" t="str">
        <f>IFERROR(__xludf.DUMMYFUNCTION("""COMPUTED_VALUE"""),"tủn chị")</f>
        <v>tủn chị</v>
      </c>
    </row>
    <row r="4858" ht="15.75" customHeight="1">
      <c r="A4858" s="122" t="str">
        <f>IFERROR(__xludf.DUMMYFUNCTION("""COMPUTED_VALUE"""),"0389 699 607")</f>
        <v>0389 699 607</v>
      </c>
      <c r="B4858" s="119" t="str">
        <f>IFERROR(__xludf.DUMMYFUNCTION("""COMPUTED_VALUE"""),"ngọc trâm")</f>
        <v>ngọc trâm</v>
      </c>
      <c r="C4858" s="119" t="str">
        <f>IFERROR(__xludf.DUMMYFUNCTION("""COMPUTED_VALUE"""),"3/51/69/131 TP")</f>
        <v>3/51/69/131 TP</v>
      </c>
      <c r="D4858" s="119" t="str">
        <f>IFERROR(__xludf.DUMMYFUNCTION("""COMPUTED_VALUE"""),"Mèo")</f>
        <v>Mèo</v>
      </c>
      <c r="E4858" s="119"/>
    </row>
    <row r="4859" ht="15.75" customHeight="1">
      <c r="A4859" s="122" t="str">
        <f>IFERROR(__xludf.DUMMYFUNCTION("""COMPUTED_VALUE"""),"0352 651 193")</f>
        <v>0352 651 193</v>
      </c>
      <c r="B4859" s="119" t="str">
        <f>IFERROR(__xludf.DUMMYFUNCTION("""COMPUTED_VALUE"""),"dì sơn")</f>
        <v>dì sơn</v>
      </c>
      <c r="C4859" s="119" t="str">
        <f>IFERROR(__xludf.DUMMYFUNCTION("""COMPUTED_VALUE"""),"minh mạng")</f>
        <v>minh mạng</v>
      </c>
      <c r="D4859" s="119" t="str">
        <f>IFERROR(__xludf.DUMMYFUNCTION("""COMPUTED_VALUE"""),"Chó")</f>
        <v>Chó</v>
      </c>
      <c r="E4859" s="119" t="str">
        <f>IFERROR(__xludf.DUMMYFUNCTION("""COMPUTED_VALUE"""),"bích quy")</f>
        <v>bích quy</v>
      </c>
    </row>
    <row r="4860" ht="15.75" customHeight="1">
      <c r="A4860" s="122" t="str">
        <f>IFERROR(__xludf.DUMMYFUNCTION("""COMPUTED_VALUE"""),"0365 397 382")</f>
        <v>0365 397 382</v>
      </c>
      <c r="B4860" s="119" t="str">
        <f>IFERROR(__xludf.DUMMYFUNCTION("""COMPUTED_VALUE"""),"em tôn")</f>
        <v>em tôn</v>
      </c>
      <c r="C4860" s="119" t="str">
        <f>IFERROR(__xludf.DUMMYFUNCTION("""COMPUTED_VALUE"""),"3/162 phan bội châu")</f>
        <v>3/162 phan bội châu</v>
      </c>
      <c r="D4860" s="119" t="str">
        <f>IFERROR(__xludf.DUMMYFUNCTION("""COMPUTED_VALUE"""),"Chó")</f>
        <v>Chó</v>
      </c>
      <c r="E4860" s="119" t="str">
        <f>IFERROR(__xludf.DUMMYFUNCTION("""COMPUTED_VALUE"""),"mưa")</f>
        <v>mưa</v>
      </c>
    </row>
    <row r="4861" ht="15.75" customHeight="1">
      <c r="A4861" s="122" t="str">
        <f>IFERROR(__xludf.DUMMYFUNCTION("""COMPUTED_VALUE"""),"0985 969 046")</f>
        <v>0985 969 046</v>
      </c>
      <c r="B4861" s="119" t="str">
        <f>IFERROR(__xludf.DUMMYFUNCTION("""COMPUTED_VALUE"""),"chú dũng")</f>
        <v>chú dũng</v>
      </c>
      <c r="C4861" s="119" t="str">
        <f>IFERROR(__xludf.DUMMYFUNCTION("""COMPUTED_VALUE"""),"bầu vá")</f>
        <v>bầu vá</v>
      </c>
      <c r="D4861" s="119" t="str">
        <f>IFERROR(__xludf.DUMMYFUNCTION("""COMPUTED_VALUE"""),"Chó")</f>
        <v>Chó</v>
      </c>
      <c r="E4861" s="119" t="str">
        <f>IFERROR(__xludf.DUMMYFUNCTION("""COMPUTED_VALUE"""),"Nâu")</f>
        <v>Nâu</v>
      </c>
    </row>
    <row r="4862" ht="15.75" customHeight="1">
      <c r="A4862" s="122" t="str">
        <f>IFERROR(__xludf.DUMMYFUNCTION("""COMPUTED_VALUE"""),"0986 259 153")</f>
        <v>0986 259 153</v>
      </c>
      <c r="B4862" s="119" t="str">
        <f>IFERROR(__xludf.DUMMYFUNCTION("""COMPUTED_VALUE"""),"dì loan")</f>
        <v>dì loan</v>
      </c>
      <c r="C4862" s="119" t="str">
        <f>IFERROR(__xludf.DUMMYFUNCTION("""COMPUTED_VALUE"""),"k500 bùi thị xuân")</f>
        <v>k500 bùi thị xuân</v>
      </c>
      <c r="D4862" s="119" t="str">
        <f>IFERROR(__xludf.DUMMYFUNCTION("""COMPUTED_VALUE"""),"Chó")</f>
        <v>Chó</v>
      </c>
      <c r="E4862" s="119" t="str">
        <f>IFERROR(__xludf.DUMMYFUNCTION("""COMPUTED_VALUE"""),"sóc")</f>
        <v>sóc</v>
      </c>
    </row>
    <row r="4863" ht="15.75" customHeight="1">
      <c r="A4863" s="122" t="str">
        <f>IFERROR(__xludf.DUMMYFUNCTION("""COMPUTED_VALUE"""),"0768 646 752")</f>
        <v>0768 646 752</v>
      </c>
      <c r="B4863" s="119" t="str">
        <f>IFERROR(__xludf.DUMMYFUNCTION("""COMPUTED_VALUE"""),"chị ngân")</f>
        <v>chị ngân</v>
      </c>
      <c r="C4863" s="119" t="str">
        <f>IFERROR(__xludf.DUMMYFUNCTION("""COMPUTED_VALUE"""),"6/31 nguyễn thiện thuật")</f>
        <v>6/31 nguyễn thiện thuật</v>
      </c>
      <c r="D4863" s="119" t="str">
        <f>IFERROR(__xludf.DUMMYFUNCTION("""COMPUTED_VALUE"""),"Mèo")</f>
        <v>Mèo</v>
      </c>
      <c r="E4863" s="119" t="str">
        <f>IFERROR(__xludf.DUMMYFUNCTION("""COMPUTED_VALUE"""),"cam")</f>
        <v>cam</v>
      </c>
    </row>
    <row r="4864" ht="15.75" customHeight="1">
      <c r="A4864" s="122" t="str">
        <f>IFERROR(__xludf.DUMMYFUNCTION("""COMPUTED_VALUE"""),"0782 577 787")</f>
        <v>0782 577 787</v>
      </c>
      <c r="B4864" s="119" t="str">
        <f>IFERROR(__xludf.DUMMYFUNCTION("""COMPUTED_VALUE"""),"anh thuận")</f>
        <v>anh thuận</v>
      </c>
      <c r="C4864" s="119" t="str">
        <f>IFERROR(__xludf.DUMMYFUNCTION("""COMPUTED_VALUE"""),"192 lý nam đế")</f>
        <v>192 lý nam đế</v>
      </c>
      <c r="D4864" s="119" t="str">
        <f>IFERROR(__xludf.DUMMYFUNCTION("""COMPUTED_VALUE"""),"Chó")</f>
        <v>Chó</v>
      </c>
      <c r="E4864" s="119" t="str">
        <f>IFERROR(__xludf.DUMMYFUNCTION("""COMPUTED_VALUE"""),"bánh bao")</f>
        <v>bánh bao</v>
      </c>
    </row>
    <row r="4865" ht="15.75" customHeight="1">
      <c r="A4865" s="122" t="str">
        <f>IFERROR(__xludf.DUMMYFUNCTION("""COMPUTED_VALUE"""),"0778 576 606")</f>
        <v>0778 576 606</v>
      </c>
      <c r="B4865" s="119" t="str">
        <f>IFERROR(__xludf.DUMMYFUNCTION("""COMPUTED_VALUE"""),"vân")</f>
        <v>vân</v>
      </c>
      <c r="C4865" s="119" t="str">
        <f>IFERROR(__xludf.DUMMYFUNCTION("""COMPUTED_VALUE"""),"400 lê duẫn")</f>
        <v>400 lê duẫn</v>
      </c>
      <c r="D4865" s="119" t="str">
        <f>IFERROR(__xludf.DUMMYFUNCTION("""COMPUTED_VALUE"""),"Mèo")</f>
        <v>Mèo</v>
      </c>
      <c r="E4865" s="119" t="str">
        <f>IFERROR(__xludf.DUMMYFUNCTION("""COMPUTED_VALUE"""),"bo")</f>
        <v>bo</v>
      </c>
    </row>
    <row r="4866" ht="15.75" customHeight="1">
      <c r="A4866" s="122" t="str">
        <f>IFERROR(__xludf.DUMMYFUNCTION("""COMPUTED_VALUE"""),"0935 428 825")</f>
        <v>0935 428 825</v>
      </c>
      <c r="B4866" s="119" t="str">
        <f>IFERROR(__xludf.DUMMYFUNCTION("""COMPUTED_VALUE"""),"chị ánh")</f>
        <v>chị ánh</v>
      </c>
      <c r="C4866" s="119" t="str">
        <f>IFERROR(__xludf.DUMMYFUNCTION("""COMPUTED_VALUE"""),"15/33 Nguyễn Lộ Trạch")</f>
        <v>15/33 Nguyễn Lộ Trạch</v>
      </c>
      <c r="D4866" s="119" t="str">
        <f>IFERROR(__xludf.DUMMYFUNCTION("""COMPUTED_VALUE"""),"mèo")</f>
        <v>mèo</v>
      </c>
      <c r="E4866" s="119" t="str">
        <f>IFERROR(__xludf.DUMMYFUNCTION("""COMPUTED_VALUE"""),"Nâu")</f>
        <v>Nâu</v>
      </c>
    </row>
    <row r="4867" ht="15.75" customHeight="1">
      <c r="A4867" s="122" t="str">
        <f>IFERROR(__xludf.DUMMYFUNCTION("""COMPUTED_VALUE"""),"0866 710 050")</f>
        <v>0866 710 050</v>
      </c>
      <c r="B4867" s="119" t="str">
        <f>IFERROR(__xludf.DUMMYFUNCTION("""COMPUTED_VALUE"""),"anh lực")</f>
        <v>anh lực</v>
      </c>
      <c r="C4867" s="119" t="str">
        <f>IFERROR(__xludf.DUMMYFUNCTION("""COMPUTED_VALUE"""),"quảng trị")</f>
        <v>quảng trị</v>
      </c>
      <c r="D4867" s="119" t="str">
        <f>IFERROR(__xludf.DUMMYFUNCTION("""COMPUTED_VALUE"""),"Chó")</f>
        <v>Chó</v>
      </c>
      <c r="E4867" s="119" t="str">
        <f>IFERROR(__xludf.DUMMYFUNCTION("""COMPUTED_VALUE"""),"dola")</f>
        <v>dola</v>
      </c>
    </row>
    <row r="4868" ht="15.75" customHeight="1">
      <c r="A4868" s="122" t="str">
        <f>IFERROR(__xludf.DUMMYFUNCTION("""COMPUTED_VALUE"""),"0898 427 418")</f>
        <v>0898 427 418</v>
      </c>
      <c r="B4868" s="119" t="str">
        <f>IFERROR(__xludf.DUMMYFUNCTION("""COMPUTED_VALUE"""),"anh vũ")</f>
        <v>anh vũ</v>
      </c>
      <c r="C4868" s="119" t="str">
        <f>IFERROR(__xludf.DUMMYFUNCTION("""COMPUTED_VALUE"""),"hương long")</f>
        <v>hương long</v>
      </c>
      <c r="D4868" s="119" t="str">
        <f>IFERROR(__xludf.DUMMYFUNCTION("""COMPUTED_VALUE"""),"Chó")</f>
        <v>Chó</v>
      </c>
      <c r="E4868" s="119" t="str">
        <f>IFERROR(__xludf.DUMMYFUNCTION("""COMPUTED_VALUE"""),"vàng")</f>
        <v>vàng</v>
      </c>
    </row>
    <row r="4869" ht="15.75" customHeight="1">
      <c r="A4869" s="122" t="str">
        <f>IFERROR(__xludf.DUMMYFUNCTION("""COMPUTED_VALUE"""),"0795 526 606")</f>
        <v>0795 526 606</v>
      </c>
      <c r="B4869" s="119" t="str">
        <f>IFERROR(__xludf.DUMMYFUNCTION("""COMPUTED_VALUE"""),"thầy thuận")</f>
        <v>thầy thuận</v>
      </c>
      <c r="C4869" s="119" t="str">
        <f>IFERROR(__xludf.DUMMYFUNCTION("""COMPUTED_VALUE"""),"151 hương long")</f>
        <v>151 hương long</v>
      </c>
      <c r="D4869" s="119" t="str">
        <f>IFERROR(__xludf.DUMMYFUNCTION("""COMPUTED_VALUE"""),"Chó")</f>
        <v>Chó</v>
      </c>
      <c r="E4869" s="119" t="str">
        <f>IFERROR(__xludf.DUMMYFUNCTION("""COMPUTED_VALUE"""),"nâu")</f>
        <v>nâu</v>
      </c>
    </row>
    <row r="4870" ht="15.75" customHeight="1">
      <c r="A4870" s="122" t="str">
        <f>IFERROR(__xludf.DUMMYFUNCTION("""COMPUTED_VALUE"""),"0905 979 775")</f>
        <v>0905 979 775</v>
      </c>
      <c r="B4870" s="119" t="str">
        <f>IFERROR(__xludf.DUMMYFUNCTION("""COMPUTED_VALUE"""),"chị Kim Hoàng")</f>
        <v>chị Kim Hoàng</v>
      </c>
      <c r="C4870" s="119" t="str">
        <f>IFERROR(__xludf.DUMMYFUNCTION("""COMPUTED_VALUE"""),"25/10 Hải Triều")</f>
        <v>25/10 Hải Triều</v>
      </c>
      <c r="D4870" s="119" t="str">
        <f>IFERROR(__xludf.DUMMYFUNCTION("""COMPUTED_VALUE"""),"Mèo")</f>
        <v>Mèo</v>
      </c>
      <c r="E4870" s="119" t="str">
        <f>IFERROR(__xludf.DUMMYFUNCTION("""COMPUTED_VALUE"""),"Hana")</f>
        <v>Hana</v>
      </c>
    </row>
    <row r="4871" ht="15.75" customHeight="1">
      <c r="A4871" s="122" t="str">
        <f>IFERROR(__xludf.DUMMYFUNCTION("""COMPUTED_VALUE"""),"0393 579 929")</f>
        <v>0393 579 929</v>
      </c>
      <c r="B4871" s="119" t="str">
        <f>IFERROR(__xludf.DUMMYFUNCTION("""COMPUTED_VALUE"""),"Thầy Huy")</f>
        <v>Thầy Huy</v>
      </c>
      <c r="C4871" s="119" t="str">
        <f>IFERROR(__xludf.DUMMYFUNCTION("""COMPUTED_VALUE"""),"chùa Phước Duyên")</f>
        <v>chùa Phước Duyên</v>
      </c>
      <c r="D4871" s="119" t="str">
        <f>IFERROR(__xludf.DUMMYFUNCTION("""COMPUTED_VALUE"""),"Chó")</f>
        <v>Chó</v>
      </c>
      <c r="E4871" s="119" t="str">
        <f>IFERROR(__xludf.DUMMYFUNCTION("""COMPUTED_VALUE"""),"Tí")</f>
        <v>Tí</v>
      </c>
    </row>
    <row r="4872" ht="15.75" customHeight="1">
      <c r="A4872" s="122" t="str">
        <f>IFERROR(__xludf.DUMMYFUNCTION("""COMPUTED_VALUE"""),"0833 451 565")</f>
        <v>0833 451 565</v>
      </c>
      <c r="B4872" s="119" t="str">
        <f>IFERROR(__xludf.DUMMYFUNCTION("""COMPUTED_VALUE"""),"Đoàn Vĩnh Minh")</f>
        <v>Đoàn Vĩnh Minh</v>
      </c>
      <c r="C4872" s="119" t="str">
        <f>IFERROR(__xludf.DUMMYFUNCTION("""COMPUTED_VALUE"""),"66 Quảng Tế")</f>
        <v>66 Quảng Tế</v>
      </c>
      <c r="D4872" s="119" t="str">
        <f>IFERROR(__xludf.DUMMYFUNCTION("""COMPUTED_VALUE"""),"Mèo")</f>
        <v>Mèo</v>
      </c>
      <c r="E4872" s="119" t="str">
        <f>IFERROR(__xludf.DUMMYFUNCTION("""COMPUTED_VALUE"""),"Mai")</f>
        <v>Mai</v>
      </c>
    </row>
    <row r="4873" ht="15.75" customHeight="1">
      <c r="A4873" s="122" t="str">
        <f>IFERROR(__xludf.DUMMYFUNCTION("""COMPUTED_VALUE"""),"0905 652 112")</f>
        <v>0905 652 112</v>
      </c>
      <c r="B4873" s="119" t="str">
        <f>IFERROR(__xludf.DUMMYFUNCTION("""COMPUTED_VALUE"""),"Chị Hoài Ái")</f>
        <v>Chị Hoài Ái</v>
      </c>
      <c r="C4873" s="119" t="str">
        <f>IFERROR(__xludf.DUMMYFUNCTION("""COMPUTED_VALUE"""),"Nguyễn Khuyến")</f>
        <v>Nguyễn Khuyến</v>
      </c>
      <c r="D4873" s="119" t="str">
        <f>IFERROR(__xludf.DUMMYFUNCTION("""COMPUTED_VALUE"""),"Chó")</f>
        <v>Chó</v>
      </c>
      <c r="E4873" s="119" t="str">
        <f>IFERROR(__xludf.DUMMYFUNCTION("""COMPUTED_VALUE"""),"Chuột")</f>
        <v>Chuột</v>
      </c>
    </row>
    <row r="4874" ht="15.75" customHeight="1">
      <c r="A4874" s="122" t="str">
        <f>IFERROR(__xludf.DUMMYFUNCTION("""COMPUTED_VALUE"""),"0913 098 156")</f>
        <v>0913 098 156</v>
      </c>
      <c r="B4874" s="119" t="str">
        <f>IFERROR(__xludf.DUMMYFUNCTION("""COMPUTED_VALUE"""),"Doing Radke")</f>
        <v>Doing Radke</v>
      </c>
      <c r="C4874" s="119" t="str">
        <f>IFERROR(__xludf.DUMMYFUNCTION("""COMPUTED_VALUE"""),"Cảnh Dương")</f>
        <v>Cảnh Dương</v>
      </c>
      <c r="D4874" s="119" t="str">
        <f>IFERROR(__xludf.DUMMYFUNCTION("""COMPUTED_VALUE"""),"Chó")</f>
        <v>Chó</v>
      </c>
      <c r="E4874" s="119" t="str">
        <f>IFERROR(__xludf.DUMMYFUNCTION("""COMPUTED_VALUE"""),"Hoppy")</f>
        <v>Hoppy</v>
      </c>
    </row>
    <row r="4875" ht="15.75" customHeight="1">
      <c r="A4875" s="122" t="str">
        <f>IFERROR(__xludf.DUMMYFUNCTION("""COMPUTED_VALUE"""),"0335 143 142")</f>
        <v>0335 143 142</v>
      </c>
      <c r="B4875" s="119" t="str">
        <f>IFERROR(__xludf.DUMMYFUNCTION("""COMPUTED_VALUE"""),"Anh Phú")</f>
        <v>Anh Phú</v>
      </c>
      <c r="C4875" s="119" t="str">
        <f>IFERROR(__xludf.DUMMYFUNCTION("""COMPUTED_VALUE"""),"Vạn Xuân")</f>
        <v>Vạn Xuân</v>
      </c>
      <c r="D4875" s="119" t="str">
        <f>IFERROR(__xludf.DUMMYFUNCTION("""COMPUTED_VALUE"""),"Chó")</f>
        <v>Chó</v>
      </c>
      <c r="E4875" s="119" t="str">
        <f>IFERROR(__xludf.DUMMYFUNCTION("""COMPUTED_VALUE"""),"Lucky")</f>
        <v>Lucky</v>
      </c>
    </row>
    <row r="4876" ht="15.75" customHeight="1">
      <c r="A4876" s="122" t="str">
        <f>IFERROR(__xludf.DUMMYFUNCTION("""COMPUTED_VALUE"""),"0835 239 060")</f>
        <v>0835 239 060</v>
      </c>
      <c r="B4876" s="119" t="str">
        <f>IFERROR(__xludf.DUMMYFUNCTION("""COMPUTED_VALUE"""),"Dì Tảng")</f>
        <v>Dì Tảng</v>
      </c>
      <c r="C4876" s="119"/>
      <c r="D4876" s="119" t="str">
        <f>IFERROR(__xludf.DUMMYFUNCTION("""COMPUTED_VALUE"""),"Chó")</f>
        <v>Chó</v>
      </c>
      <c r="E4876" s="119" t="str">
        <f>IFERROR(__xludf.DUMMYFUNCTION("""COMPUTED_VALUE"""),"Lạc")</f>
        <v>Lạc</v>
      </c>
    </row>
    <row r="4877" ht="15.75" customHeight="1">
      <c r="A4877" s="122" t="str">
        <f>IFERROR(__xludf.DUMMYFUNCTION("""COMPUTED_VALUE"""),"0968 951 760")</f>
        <v>0968 951 760</v>
      </c>
      <c r="B4877" s="119" t="str">
        <f>IFERROR(__xludf.DUMMYFUNCTION("""COMPUTED_VALUE"""),"Tiên")</f>
        <v>Tiên</v>
      </c>
      <c r="C4877" s="119" t="str">
        <f>IFERROR(__xludf.DUMMYFUNCTION("""COMPUTED_VALUE"""),"Lý Nhân Tông")</f>
        <v>Lý Nhân Tông</v>
      </c>
      <c r="D4877" s="119" t="str">
        <f>IFERROR(__xludf.DUMMYFUNCTION("""COMPUTED_VALUE"""),"Mèo")</f>
        <v>Mèo</v>
      </c>
      <c r="E4877" s="119" t="str">
        <f>IFERROR(__xludf.DUMMYFUNCTION("""COMPUTED_VALUE"""),"Suka")</f>
        <v>Suka</v>
      </c>
    </row>
    <row r="4878" ht="15.75" customHeight="1">
      <c r="A4878" s="122" t="str">
        <f>IFERROR(__xludf.DUMMYFUNCTION("""COMPUTED_VALUE"""),"0935 495 438")</f>
        <v>0935 495 438</v>
      </c>
      <c r="B4878" s="119" t="str">
        <f>IFERROR(__xludf.DUMMYFUNCTION("""COMPUTED_VALUE"""),"Dì Giang")</f>
        <v>Dì Giang</v>
      </c>
      <c r="C4878" s="119" t="str">
        <f>IFERROR(__xludf.DUMMYFUNCTION("""COMPUTED_VALUE"""),"62 Nguyễn Hoàng")</f>
        <v>62 Nguyễn Hoàng</v>
      </c>
      <c r="D4878" s="119" t="str">
        <f>IFERROR(__xludf.DUMMYFUNCTION("""COMPUTED_VALUE"""),"Chó")</f>
        <v>Chó</v>
      </c>
      <c r="E4878" s="119" t="str">
        <f>IFERROR(__xludf.DUMMYFUNCTION("""COMPUTED_VALUE"""),"Bin")</f>
        <v>Bin</v>
      </c>
    </row>
    <row r="4879" ht="15.75" customHeight="1">
      <c r="A4879" s="122" t="str">
        <f>IFERROR(__xludf.DUMMYFUNCTION("""COMPUTED_VALUE"""),"0932 340 528")</f>
        <v>0932 340 528</v>
      </c>
      <c r="B4879" s="119" t="str">
        <f>IFERROR(__xludf.DUMMYFUNCTION("""COMPUTED_VALUE"""),"Chị Nga")</f>
        <v>Chị Nga</v>
      </c>
      <c r="C4879" s="119" t="str">
        <f>IFERROR(__xludf.DUMMYFUNCTION("""COMPUTED_VALUE"""),"264 Đặng Tất")</f>
        <v>264 Đặng Tất</v>
      </c>
      <c r="D4879" s="119" t="str">
        <f>IFERROR(__xludf.DUMMYFUNCTION("""COMPUTED_VALUE"""),"Chó")</f>
        <v>Chó</v>
      </c>
      <c r="E4879" s="119" t="str">
        <f>IFERROR(__xludf.DUMMYFUNCTION("""COMPUTED_VALUE"""),"Coca")</f>
        <v>Coca</v>
      </c>
    </row>
    <row r="4880" ht="15.75" customHeight="1">
      <c r="A4880" s="122" t="str">
        <f>IFERROR(__xludf.DUMMYFUNCTION("""COMPUTED_VALUE"""),"0932 715 011")</f>
        <v>0932 715 011</v>
      </c>
      <c r="B4880" s="119" t="str">
        <f>IFERROR(__xludf.DUMMYFUNCTION("""COMPUTED_VALUE"""),"Chị Đài Trang")</f>
        <v>Chị Đài Trang</v>
      </c>
      <c r="C4880" s="119" t="str">
        <f>IFERROR(__xludf.DUMMYFUNCTION("""COMPUTED_VALUE"""),"37 Phạm Thị Liên")</f>
        <v>37 Phạm Thị Liên</v>
      </c>
      <c r="D4880" s="119" t="str">
        <f>IFERROR(__xludf.DUMMYFUNCTION("""COMPUTED_VALUE"""),"Chó")</f>
        <v>Chó</v>
      </c>
      <c r="E4880" s="119" t="str">
        <f>IFERROR(__xludf.DUMMYFUNCTION("""COMPUTED_VALUE"""),"Bông")</f>
        <v>Bông</v>
      </c>
    </row>
    <row r="4881" ht="15.75" customHeight="1">
      <c r="A4881" s="122" t="str">
        <f>IFERROR(__xludf.DUMMYFUNCTION("""COMPUTED_VALUE"""),"0983 839 490")</f>
        <v>0983 839 490</v>
      </c>
      <c r="B4881" s="119" t="str">
        <f>IFERROR(__xludf.DUMMYFUNCTION("""COMPUTED_VALUE"""),"Dì Hạnh")</f>
        <v>Dì Hạnh</v>
      </c>
      <c r="C4881" s="119" t="str">
        <f>IFERROR(__xludf.DUMMYFUNCTION("""COMPUTED_VALUE"""),"33/52 Nguyễn Hoàng")</f>
        <v>33/52 Nguyễn Hoàng</v>
      </c>
      <c r="D4881" s="119" t="str">
        <f>IFERROR(__xludf.DUMMYFUNCTION("""COMPUTED_VALUE"""),"Mèo")</f>
        <v>Mèo</v>
      </c>
      <c r="E4881" s="119"/>
    </row>
    <row r="4882" ht="15.75" customHeight="1">
      <c r="A4882" s="122" t="str">
        <f>IFERROR(__xludf.DUMMYFUNCTION("""COMPUTED_VALUE"""),"0899 228 727")</f>
        <v>0899 228 727</v>
      </c>
      <c r="B4882" s="119" t="str">
        <f>IFERROR(__xludf.DUMMYFUNCTION("""COMPUTED_VALUE"""),"Thầy Niệm Căn")</f>
        <v>Thầy Niệm Căn</v>
      </c>
      <c r="C4882" s="119" t="str">
        <f>IFERROR(__xludf.DUMMYFUNCTION("""COMPUTED_VALUE"""),"chùa huyền không sơn thượng")</f>
        <v>chùa huyền không sơn thượng</v>
      </c>
      <c r="D4882" s="119" t="str">
        <f>IFERROR(__xludf.DUMMYFUNCTION("""COMPUTED_VALUE"""),"Mèo")</f>
        <v>Mèo</v>
      </c>
      <c r="E4882" s="119" t="str">
        <f>IFERROR(__xludf.DUMMYFUNCTION("""COMPUTED_VALUE"""),"visa khà")</f>
        <v>visa khà</v>
      </c>
    </row>
    <row r="4883" ht="15.75" customHeight="1">
      <c r="A4883" s="122" t="str">
        <f>IFERROR(__xludf.DUMMYFUNCTION("""COMPUTED_VALUE"""),"0374 678 293")</f>
        <v>0374 678 293</v>
      </c>
      <c r="B4883" s="119" t="str">
        <f>IFERROR(__xludf.DUMMYFUNCTION("""COMPUTED_VALUE"""),"Chị Trang")</f>
        <v>Chị Trang</v>
      </c>
      <c r="C4883" s="119" t="str">
        <f>IFERROR(__xludf.DUMMYFUNCTION("""COMPUTED_VALUE"""),"41 Nguyễn Khoa Chiên")</f>
        <v>41 Nguyễn Khoa Chiên</v>
      </c>
      <c r="D4883" s="119" t="str">
        <f>IFERROR(__xludf.DUMMYFUNCTION("""COMPUTED_VALUE"""),"Mèo")</f>
        <v>Mèo</v>
      </c>
      <c r="E4883" s="119" t="str">
        <f>IFERROR(__xludf.DUMMYFUNCTION("""COMPUTED_VALUE"""),"Twin")</f>
        <v>Twin</v>
      </c>
    </row>
    <row r="4884" ht="15.75" customHeight="1">
      <c r="A4884" s="122" t="str">
        <f>IFERROR(__xludf.DUMMYFUNCTION("""COMPUTED_VALUE"""),"0396 941 995")</f>
        <v>0396 941 995</v>
      </c>
      <c r="B4884" s="119" t="str">
        <f>IFERROR(__xludf.DUMMYFUNCTION("""COMPUTED_VALUE"""),"Chị Nhanh")</f>
        <v>Chị Nhanh</v>
      </c>
      <c r="C4884" s="119" t="str">
        <f>IFERROR(__xludf.DUMMYFUNCTION("""COMPUTED_VALUE"""),"Hương Hồ")</f>
        <v>Hương Hồ</v>
      </c>
      <c r="D4884" s="119" t="str">
        <f>IFERROR(__xludf.DUMMYFUNCTION("""COMPUTED_VALUE"""),"Mèo")</f>
        <v>Mèo</v>
      </c>
      <c r="E4884" s="119" t="str">
        <f>IFERROR(__xludf.DUMMYFUNCTION("""COMPUTED_VALUE"""),"Báo")</f>
        <v>Báo</v>
      </c>
    </row>
    <row r="4885" ht="15.75" customHeight="1">
      <c r="A4885" s="122" t="str">
        <f>IFERROR(__xludf.DUMMYFUNCTION("""COMPUTED_VALUE"""),"0965 610 656")</f>
        <v>0965 610 656</v>
      </c>
      <c r="B4885" s="119" t="str">
        <f>IFERROR(__xludf.DUMMYFUNCTION("""COMPUTED_VALUE"""),"Anh Hiếu")</f>
        <v>Anh Hiếu</v>
      </c>
      <c r="C4885" s="119" t="str">
        <f>IFERROR(__xludf.DUMMYFUNCTION("""COMPUTED_VALUE"""),"12 Hồng Chương")</f>
        <v>12 Hồng Chương</v>
      </c>
      <c r="D4885" s="119" t="str">
        <f>IFERROR(__xludf.DUMMYFUNCTION("""COMPUTED_VALUE"""),"Chó")</f>
        <v>Chó</v>
      </c>
      <c r="E4885" s="119" t="str">
        <f>IFERROR(__xludf.DUMMYFUNCTION("""COMPUTED_VALUE"""),"Ken")</f>
        <v>Ken</v>
      </c>
    </row>
    <row r="4886" ht="15.75" customHeight="1">
      <c r="A4886" s="122" t="str">
        <f>IFERROR(__xludf.DUMMYFUNCTION("""COMPUTED_VALUE"""),"0338 135 130")</f>
        <v>0338 135 130</v>
      </c>
      <c r="B4886" s="119" t="str">
        <f>IFERROR(__xludf.DUMMYFUNCTION("""COMPUTED_VALUE"""),"Em uyên")</f>
        <v>Em uyên</v>
      </c>
      <c r="C4886" s="119" t="str">
        <f>IFERROR(__xludf.DUMMYFUNCTION("""COMPUTED_VALUE"""),"118 Phạm Thị Liên")</f>
        <v>118 Phạm Thị Liên</v>
      </c>
      <c r="D4886" s="119" t="str">
        <f>IFERROR(__xludf.DUMMYFUNCTION("""COMPUTED_VALUE"""),"Mèo")</f>
        <v>Mèo</v>
      </c>
      <c r="E4886" s="119" t="str">
        <f>IFERROR(__xludf.DUMMYFUNCTION("""COMPUTED_VALUE"""),"Miu")</f>
        <v>Miu</v>
      </c>
    </row>
    <row r="4887" ht="15.75" customHeight="1">
      <c r="A4887" s="122" t="str">
        <f>IFERROR(__xludf.DUMMYFUNCTION("""COMPUTED_VALUE"""),"0775 404 606")</f>
        <v>0775 404 606</v>
      </c>
      <c r="B4887" s="119" t="str">
        <f>IFERROR(__xludf.DUMMYFUNCTION("""COMPUTED_VALUE"""),"Chị Trang")</f>
        <v>Chị Trang</v>
      </c>
      <c r="C4887" s="119" t="str">
        <f>IFERROR(__xludf.DUMMYFUNCTION("""COMPUTED_VALUE"""),"46 Nguyễn Hữu Dật")</f>
        <v>46 Nguyễn Hữu Dật</v>
      </c>
      <c r="D4887" s="119" t="str">
        <f>IFERROR(__xludf.DUMMYFUNCTION("""COMPUTED_VALUE"""),"Chó")</f>
        <v>Chó</v>
      </c>
      <c r="E4887" s="119"/>
    </row>
    <row r="4888" ht="15.75" customHeight="1">
      <c r="A4888" s="122" t="str">
        <f>IFERROR(__xludf.DUMMYFUNCTION("""COMPUTED_VALUE"""),"0905 484 553")</f>
        <v>0905 484 553</v>
      </c>
      <c r="B4888" s="119" t="str">
        <f>IFERROR(__xludf.DUMMYFUNCTION("""COMPUTED_VALUE"""),"Chị Nga")</f>
        <v>Chị Nga</v>
      </c>
      <c r="C4888" s="119" t="str">
        <f>IFERROR(__xludf.DUMMYFUNCTION("""COMPUTED_VALUE"""),"63/33 Phạm Thị Liên")</f>
        <v>63/33 Phạm Thị Liên</v>
      </c>
      <c r="D4888" s="119" t="str">
        <f>IFERROR(__xludf.DUMMYFUNCTION("""COMPUTED_VALUE"""),"Chó")</f>
        <v>Chó</v>
      </c>
      <c r="E4888" s="119" t="str">
        <f>IFERROR(__xludf.DUMMYFUNCTION("""COMPUTED_VALUE"""),"Mít")</f>
        <v>Mít</v>
      </c>
    </row>
    <row r="4889" ht="15.75" customHeight="1">
      <c r="A4889" s="122" t="str">
        <f>IFERROR(__xludf.DUMMYFUNCTION("""COMPUTED_VALUE"""),"0865 108 898")</f>
        <v>0865 108 898</v>
      </c>
      <c r="B4889" s="119" t="str">
        <f>IFERROR(__xludf.DUMMYFUNCTION("""COMPUTED_VALUE"""),"Anh Hoàng")</f>
        <v>Anh Hoàng</v>
      </c>
      <c r="C4889" s="119" t="str">
        <f>IFERROR(__xludf.DUMMYFUNCTION("""COMPUTED_VALUE"""),"Kiệt 61 Lê Minh")</f>
        <v>Kiệt 61 Lê Minh</v>
      </c>
      <c r="D4889" s="119" t="str">
        <f>IFERROR(__xludf.DUMMYFUNCTION("""COMPUTED_VALUE"""),"Mèo")</f>
        <v>Mèo</v>
      </c>
      <c r="E4889" s="119" t="str">
        <f>IFERROR(__xludf.DUMMYFUNCTION("""COMPUTED_VALUE"""),"Fin")</f>
        <v>Fin</v>
      </c>
    </row>
    <row r="4890" ht="15.75" customHeight="1">
      <c r="A4890" s="122" t="str">
        <f>IFERROR(__xludf.DUMMYFUNCTION("""COMPUTED_VALUE"""),"0935 428 855")</f>
        <v>0935 428 855</v>
      </c>
      <c r="B4890" s="119" t="str">
        <f>IFERROR(__xludf.DUMMYFUNCTION("""COMPUTED_VALUE"""),"anh linh")</f>
        <v>anh linh</v>
      </c>
      <c r="C4890" s="119" t="str">
        <f>IFERROR(__xludf.DUMMYFUNCTION("""COMPUTED_VALUE"""),"hương toàn")</f>
        <v>hương toàn</v>
      </c>
      <c r="D4890" s="119" t="str">
        <f>IFERROR(__xludf.DUMMYFUNCTION("""COMPUTED_VALUE"""),"Chó")</f>
        <v>Chó</v>
      </c>
      <c r="E4890" s="119" t="str">
        <f>IFERROR(__xludf.DUMMYFUNCTION("""COMPUTED_VALUE"""),"red")</f>
        <v>red</v>
      </c>
    </row>
    <row r="4891" ht="15.75" customHeight="1">
      <c r="A4891" s="122" t="str">
        <f>IFERROR(__xludf.DUMMYFUNCTION("""COMPUTED_VALUE"""),"0822 823 515")</f>
        <v>0822 823 515</v>
      </c>
      <c r="B4891" s="119" t="str">
        <f>IFERROR(__xludf.DUMMYFUNCTION("""COMPUTED_VALUE"""),"chị uyên")</f>
        <v>chị uyên</v>
      </c>
      <c r="C4891" s="119" t="str">
        <f>IFERROR(__xludf.DUMMYFUNCTION("""COMPUTED_VALUE"""),"3/20/5 vạn xuân")</f>
        <v>3/20/5 vạn xuân</v>
      </c>
      <c r="D4891" s="119" t="str">
        <f>IFERROR(__xludf.DUMMYFUNCTION("""COMPUTED_VALUE"""),"Chó")</f>
        <v>Chó</v>
      </c>
      <c r="E4891" s="119"/>
    </row>
    <row r="4892" ht="15.75" customHeight="1">
      <c r="A4892" s="122" t="str">
        <f>IFERROR(__xludf.DUMMYFUNCTION("""COMPUTED_VALUE"""),"0946 962 201")</f>
        <v>0946 962 201</v>
      </c>
      <c r="B4892" s="119" t="str">
        <f>IFERROR(__xludf.DUMMYFUNCTION("""COMPUTED_VALUE"""),"chị thanh")</f>
        <v>chị thanh</v>
      </c>
      <c r="C4892" s="119" t="str">
        <f>IFERROR(__xludf.DUMMYFUNCTION("""COMPUTED_VALUE"""),"209 trần phú")</f>
        <v>209 trần phú</v>
      </c>
      <c r="D4892" s="119" t="str">
        <f>IFERROR(__xludf.DUMMYFUNCTION("""COMPUTED_VALUE"""),"Chó")</f>
        <v>Chó</v>
      </c>
      <c r="E4892" s="119" t="str">
        <f>IFERROR(__xludf.DUMMYFUNCTION("""COMPUTED_VALUE"""),"muội")</f>
        <v>muội</v>
      </c>
    </row>
    <row r="4893" ht="15.75" customHeight="1">
      <c r="A4893" s="122" t="str">
        <f>IFERROR(__xludf.DUMMYFUNCTION("""COMPUTED_VALUE"""),"0389 576 716")</f>
        <v>0389 576 716</v>
      </c>
      <c r="B4893" s="119" t="str">
        <f>IFERROR(__xludf.DUMMYFUNCTION("""COMPUTED_VALUE"""),"nguyễn thanh nghĩa")</f>
        <v>nguyễn thanh nghĩa</v>
      </c>
      <c r="C4893" s="119" t="str">
        <f>IFERROR(__xludf.DUMMYFUNCTION("""COMPUTED_VALUE"""),"thuỷ dương")</f>
        <v>thuỷ dương</v>
      </c>
      <c r="D4893" s="119" t="str">
        <f>IFERROR(__xludf.DUMMYFUNCTION("""COMPUTED_VALUE"""),"Chó")</f>
        <v>Chó</v>
      </c>
      <c r="E4893" s="119" t="str">
        <f>IFERROR(__xludf.DUMMYFUNCTION("""COMPUTED_VALUE"""),"lucky")</f>
        <v>lucky</v>
      </c>
    </row>
    <row r="4894" ht="15.75" customHeight="1">
      <c r="A4894" s="122" t="str">
        <f>IFERROR(__xludf.DUMMYFUNCTION("""COMPUTED_VALUE"""),"0913 437 239")</f>
        <v>0913 437 239</v>
      </c>
      <c r="B4894" s="119" t="str">
        <f>IFERROR(__xludf.DUMMYFUNCTION("""COMPUTED_VALUE"""),"anh long")</f>
        <v>anh long</v>
      </c>
      <c r="C4894" s="119" t="str">
        <f>IFERROR(__xludf.DUMMYFUNCTION("""COMPUTED_VALUE"""),"7/15 nguyễn phúc thái")</f>
        <v>7/15 nguyễn phúc thái</v>
      </c>
      <c r="D4894" s="119" t="str">
        <f>IFERROR(__xludf.DUMMYFUNCTION("""COMPUTED_VALUE"""),"Chó")</f>
        <v>Chó</v>
      </c>
      <c r="E4894" s="119" t="str">
        <f>IFERROR(__xludf.DUMMYFUNCTION("""COMPUTED_VALUE"""),"trắng")</f>
        <v>trắng</v>
      </c>
    </row>
    <row r="4895" ht="15.75" customHeight="1">
      <c r="A4895" s="122" t="str">
        <f>IFERROR(__xludf.DUMMYFUNCTION("""COMPUTED_VALUE"""),"0945 689 272")</f>
        <v>0945 689 272</v>
      </c>
      <c r="B4895" s="119" t="str">
        <f>IFERROR(__xludf.DUMMYFUNCTION("""COMPUTED_VALUE"""),"cô châu")</f>
        <v>cô châu</v>
      </c>
      <c r="C4895" s="119" t="str">
        <f>IFERROR(__xludf.DUMMYFUNCTION("""COMPUTED_VALUE"""),"24/115 hàn mặc tử")</f>
        <v>24/115 hàn mặc tử</v>
      </c>
      <c r="D4895" s="119" t="str">
        <f>IFERROR(__xludf.DUMMYFUNCTION("""COMPUTED_VALUE"""),"Chó")</f>
        <v>Chó</v>
      </c>
      <c r="E4895" s="119" t="str">
        <f>IFERROR(__xludf.DUMMYFUNCTION("""COMPUTED_VALUE"""),"bông")</f>
        <v>bông</v>
      </c>
    </row>
    <row r="4896" ht="15.75" customHeight="1">
      <c r="A4896" s="122" t="str">
        <f>IFERROR(__xludf.DUMMYFUNCTION("""COMPUTED_VALUE"""),"0916 491 691")</f>
        <v>0916 491 691</v>
      </c>
      <c r="B4896" s="119" t="str">
        <f>IFERROR(__xludf.DUMMYFUNCTION("""COMPUTED_VALUE"""),"dì tất thắng")</f>
        <v>dì tất thắng</v>
      </c>
      <c r="C4896" s="119" t="str">
        <f>IFERROR(__xludf.DUMMYFUNCTION("""COMPUTED_VALUE"""),"14A dương hoà")</f>
        <v>14A dương hoà</v>
      </c>
      <c r="D4896" s="119" t="str">
        <f>IFERROR(__xludf.DUMMYFUNCTION("""COMPUTED_VALUE"""),"Chó")</f>
        <v>Chó</v>
      </c>
      <c r="E4896" s="119" t="str">
        <f>IFERROR(__xludf.DUMMYFUNCTION("""COMPUTED_VALUE"""),"nâu")</f>
        <v>nâu</v>
      </c>
    </row>
    <row r="4897" ht="15.75" customHeight="1">
      <c r="A4897" s="122" t="str">
        <f>IFERROR(__xludf.DUMMYFUNCTION("""COMPUTED_VALUE"""),"0914 678 896")</f>
        <v>0914 678 896</v>
      </c>
      <c r="B4897" s="119" t="str">
        <f>IFERROR(__xludf.DUMMYFUNCTION("""COMPUTED_VALUE"""),"chị vân")</f>
        <v>chị vân</v>
      </c>
      <c r="C4897" s="119" t="str">
        <f>IFERROR(__xludf.DUMMYFUNCTION("""COMPUTED_VALUE"""),"47 minh mạng")</f>
        <v>47 minh mạng</v>
      </c>
      <c r="D4897" s="119" t="str">
        <f>IFERROR(__xludf.DUMMYFUNCTION("""COMPUTED_VALUE"""),"Chó")</f>
        <v>Chó</v>
      </c>
      <c r="E4897" s="119" t="str">
        <f>IFERROR(__xludf.DUMMYFUNCTION("""COMPUTED_VALUE"""),"nô en")</f>
        <v>nô en</v>
      </c>
    </row>
    <row r="4898" ht="15.75" customHeight="1">
      <c r="A4898" s="122" t="str">
        <f>IFERROR(__xludf.DUMMYFUNCTION("""COMPUTED_VALUE"""),"0799 358 409")</f>
        <v>0799 358 409</v>
      </c>
      <c r="B4898" s="119" t="str">
        <f>IFERROR(__xludf.DUMMYFUNCTION("""COMPUTED_VALUE"""),"chị như ngọc")</f>
        <v>chị như ngọc</v>
      </c>
      <c r="C4898" s="119" t="str">
        <f>IFERROR(__xludf.DUMMYFUNCTION("""COMPUTED_VALUE"""),"hương hồ")</f>
        <v>hương hồ</v>
      </c>
      <c r="D4898" s="119" t="str">
        <f>IFERROR(__xludf.DUMMYFUNCTION("""COMPUTED_VALUE"""),"Chó")</f>
        <v>Chó</v>
      </c>
      <c r="E4898" s="119" t="str">
        <f>IFERROR(__xludf.DUMMYFUNCTION("""COMPUTED_VALUE"""),"lùn")</f>
        <v>lùn</v>
      </c>
    </row>
    <row r="4899" ht="15.75" customHeight="1">
      <c r="A4899" s="122" t="str">
        <f>IFERROR(__xludf.DUMMYFUNCTION("""COMPUTED_VALUE"""),"0913 751 453")</f>
        <v>0913 751 453</v>
      </c>
      <c r="B4899" s="119" t="str">
        <f>IFERROR(__xludf.DUMMYFUNCTION("""COMPUTED_VALUE"""),"chị thanh")</f>
        <v>chị thanh</v>
      </c>
      <c r="C4899" s="119" t="str">
        <f>IFERROR(__xludf.DUMMYFUNCTION("""COMPUTED_VALUE"""),"104 thái phiên")</f>
        <v>104 thái phiên</v>
      </c>
      <c r="D4899" s="119" t="str">
        <f>IFERROR(__xludf.DUMMYFUNCTION("""COMPUTED_VALUE"""),"Chó")</f>
        <v>Chó</v>
      </c>
      <c r="E4899" s="119"/>
    </row>
    <row r="4900" ht="15.75" customHeight="1">
      <c r="A4900" s="122" t="str">
        <f>IFERROR(__xludf.DUMMYFUNCTION("""COMPUTED_VALUE"""),"0977 477 463")</f>
        <v>0977 477 463</v>
      </c>
      <c r="B4900" s="119" t="str">
        <f>IFERROR(__xludf.DUMMYFUNCTION("""COMPUTED_VALUE"""),"dì hồng")</f>
        <v>dì hồng</v>
      </c>
      <c r="C4900" s="119" t="str">
        <f>IFERROR(__xludf.DUMMYFUNCTION("""COMPUTED_VALUE"""),"42/3 phú mộng")</f>
        <v>42/3 phú mộng</v>
      </c>
      <c r="D4900" s="119" t="str">
        <f>IFERROR(__xludf.DUMMYFUNCTION("""COMPUTED_VALUE"""),"Chó")</f>
        <v>Chó</v>
      </c>
      <c r="E4900" s="119" t="str">
        <f>IFERROR(__xludf.DUMMYFUNCTION("""COMPUTED_VALUE"""),"bơ")</f>
        <v>bơ</v>
      </c>
    </row>
    <row r="4901" ht="15.75" customHeight="1">
      <c r="A4901" s="122" t="str">
        <f>IFERROR(__xludf.DUMMYFUNCTION("""COMPUTED_VALUE"""),"0905 963 568")</f>
        <v>0905 963 568</v>
      </c>
      <c r="B4901" s="119" t="str">
        <f>IFERROR(__xludf.DUMMYFUNCTION("""COMPUTED_VALUE"""),"Chị Phê")</f>
        <v>Chị Phê</v>
      </c>
      <c r="C4901" s="119" t="str">
        <f>IFERROR(__xludf.DUMMYFUNCTION("""COMPUTED_VALUE"""),"6/2 Mai Khắc Đôn")</f>
        <v>6/2 Mai Khắc Đôn</v>
      </c>
      <c r="D4901" s="119" t="str">
        <f>IFERROR(__xludf.DUMMYFUNCTION("""COMPUTED_VALUE"""),"Mèo")</f>
        <v>Mèo</v>
      </c>
      <c r="E4901" s="119" t="str">
        <f>IFERROR(__xludf.DUMMYFUNCTION("""COMPUTED_VALUE"""),"Miu")</f>
        <v>Miu</v>
      </c>
    </row>
    <row r="4902" ht="15.75" customHeight="1">
      <c r="A4902" s="122" t="str">
        <f>IFERROR(__xludf.DUMMYFUNCTION("""COMPUTED_VALUE"""),"0363 928 994")</f>
        <v>0363 928 994</v>
      </c>
      <c r="B4902" s="119" t="str">
        <f>IFERROR(__xludf.DUMMYFUNCTION("""COMPUTED_VALUE"""),"dì nguyệt")</f>
        <v>dì nguyệt</v>
      </c>
      <c r="C4902" s="119" t="str">
        <f>IFERROR(__xludf.DUMMYFUNCTION("""COMPUTED_VALUE"""),"lựu bảo")</f>
        <v>lựu bảo</v>
      </c>
      <c r="D4902" s="119" t="str">
        <f>IFERROR(__xludf.DUMMYFUNCTION("""COMPUTED_VALUE"""),"Chó")</f>
        <v>Chó</v>
      </c>
      <c r="E4902" s="119" t="str">
        <f>IFERROR(__xludf.DUMMYFUNCTION("""COMPUTED_VALUE"""),"gấu")</f>
        <v>gấu</v>
      </c>
    </row>
    <row r="4903" ht="15.75" customHeight="1">
      <c r="A4903" s="122" t="str">
        <f>IFERROR(__xludf.DUMMYFUNCTION("""COMPUTED_VALUE"""),"0368 267 625")</f>
        <v>0368 267 625</v>
      </c>
      <c r="B4903" s="119" t="str">
        <f>IFERROR(__xludf.DUMMYFUNCTION("""COMPUTED_VALUE"""),"A nguyên")</f>
        <v>A nguyên</v>
      </c>
      <c r="C4903" s="119" t="str">
        <f>IFERROR(__xludf.DUMMYFUNCTION("""COMPUTED_VALUE"""),"15/2 Phạm Thị Liên")</f>
        <v>15/2 Phạm Thị Liên</v>
      </c>
      <c r="D4903" s="119" t="str">
        <f>IFERROR(__xludf.DUMMYFUNCTION("""COMPUTED_VALUE"""),"Mèo")</f>
        <v>Mèo</v>
      </c>
      <c r="E4903" s="119" t="str">
        <f>IFERROR(__xludf.DUMMYFUNCTION("""COMPUTED_VALUE"""),"Miu")</f>
        <v>Miu</v>
      </c>
    </row>
    <row r="4904" ht="15.75" customHeight="1">
      <c r="A4904" s="122" t="str">
        <f>IFERROR(__xludf.DUMMYFUNCTION("""COMPUTED_VALUE"""),"0383 083 069")</f>
        <v>0383 083 069</v>
      </c>
      <c r="B4904" s="119" t="str">
        <f>IFERROR(__xludf.DUMMYFUNCTION("""COMPUTED_VALUE"""),"thầy thông")</f>
        <v>thầy thông</v>
      </c>
      <c r="C4904" s="119" t="str">
        <f>IFERROR(__xludf.DUMMYFUNCTION("""COMPUTED_VALUE"""),"long hồ")</f>
        <v>long hồ</v>
      </c>
      <c r="D4904" s="119" t="str">
        <f>IFERROR(__xludf.DUMMYFUNCTION("""COMPUTED_VALUE"""),"Chó")</f>
        <v>Chó</v>
      </c>
      <c r="E4904" s="119" t="str">
        <f>IFERROR(__xludf.DUMMYFUNCTION("""COMPUTED_VALUE"""),"tom")</f>
        <v>tom</v>
      </c>
    </row>
    <row r="4905" ht="15.75" customHeight="1">
      <c r="A4905" s="122" t="str">
        <f>IFERROR(__xludf.DUMMYFUNCTION("""COMPUTED_VALUE"""),"0785 353 351")</f>
        <v>0785 353 351</v>
      </c>
      <c r="B4905" s="119" t="str">
        <f>IFERROR(__xludf.DUMMYFUNCTION("""COMPUTED_VALUE"""),"bảo quỳnh")</f>
        <v>bảo quỳnh</v>
      </c>
      <c r="C4905" s="119" t="str">
        <f>IFERROR(__xludf.DUMMYFUNCTION("""COMPUTED_VALUE"""),"18/113 đào duy anh")</f>
        <v>18/113 đào duy anh</v>
      </c>
      <c r="D4905" s="119" t="str">
        <f>IFERROR(__xludf.DUMMYFUNCTION("""COMPUTED_VALUE"""),"Mèo")</f>
        <v>Mèo</v>
      </c>
      <c r="E4905" s="119" t="str">
        <f>IFERROR(__xludf.DUMMYFUNCTION("""COMPUTED_VALUE"""),"sâu")</f>
        <v>sâu</v>
      </c>
    </row>
    <row r="4906" ht="15.75" customHeight="1">
      <c r="A4906" s="122" t="str">
        <f>IFERROR(__xludf.DUMMYFUNCTION("""COMPUTED_VALUE"""),"0702 375 333")</f>
        <v>0702 375 333</v>
      </c>
      <c r="B4906" s="119" t="str">
        <f>IFERROR(__xludf.DUMMYFUNCTION("""COMPUTED_VALUE"""),"Anh Quân")</f>
        <v>Anh Quân</v>
      </c>
      <c r="C4906" s="119" t="str">
        <f>IFERROR(__xludf.DUMMYFUNCTION("""COMPUTED_VALUE"""),"4/22 Nguyễn Phúc Lan")</f>
        <v>4/22 Nguyễn Phúc Lan</v>
      </c>
      <c r="D4906" s="119" t="str">
        <f>IFERROR(__xludf.DUMMYFUNCTION("""COMPUTED_VALUE"""),"Chó")</f>
        <v>Chó</v>
      </c>
      <c r="E4906" s="119" t="str">
        <f>IFERROR(__xludf.DUMMYFUNCTION("""COMPUTED_VALUE"""),"Bông")</f>
        <v>Bông</v>
      </c>
    </row>
    <row r="4907" ht="15.75" customHeight="1">
      <c r="A4907" s="122" t="str">
        <f>IFERROR(__xludf.DUMMYFUNCTION("""COMPUTED_VALUE"""),"0903 204 531")</f>
        <v>0903 204 531</v>
      </c>
      <c r="B4907" s="119" t="str">
        <f>IFERROR(__xludf.DUMMYFUNCTION("""COMPUTED_VALUE"""),"cô tường dung")</f>
        <v>cô tường dung</v>
      </c>
      <c r="C4907" s="119" t="str">
        <f>IFERROR(__xludf.DUMMYFUNCTION("""COMPUTED_VALUE"""),"chùa tô đà")</f>
        <v>chùa tô đà</v>
      </c>
      <c r="D4907" s="119" t="str">
        <f>IFERROR(__xludf.DUMMYFUNCTION("""COMPUTED_VALUE"""),"Chó")</f>
        <v>Chó</v>
      </c>
      <c r="E4907" s="119" t="str">
        <f>IFERROR(__xludf.DUMMYFUNCTION("""COMPUTED_VALUE"""),"đa")</f>
        <v>đa</v>
      </c>
    </row>
    <row r="4908" ht="15.75" customHeight="1">
      <c r="A4908" s="122" t="str">
        <f>IFERROR(__xludf.DUMMYFUNCTION("""COMPUTED_VALUE"""),"0762 587 945")</f>
        <v>0762 587 945</v>
      </c>
      <c r="B4908" s="119" t="str">
        <f>IFERROR(__xludf.DUMMYFUNCTION("""COMPUTED_VALUE"""),"Anh Tân")</f>
        <v>Anh Tân</v>
      </c>
      <c r="C4908" s="119" t="str">
        <f>IFERROR(__xludf.DUMMYFUNCTION("""COMPUTED_VALUE"""),"8 Nguyễn Trọng Nhân")</f>
        <v>8 Nguyễn Trọng Nhân</v>
      </c>
      <c r="D4908" s="119" t="str">
        <f>IFERROR(__xludf.DUMMYFUNCTION("""COMPUTED_VALUE"""),"Chó")</f>
        <v>Chó</v>
      </c>
      <c r="E4908" s="119" t="str">
        <f>IFERROR(__xludf.DUMMYFUNCTION("""COMPUTED_VALUE"""),"Xù")</f>
        <v>Xù</v>
      </c>
    </row>
    <row r="4909" ht="15.75" customHeight="1">
      <c r="A4909" s="122" t="str">
        <f>IFERROR(__xludf.DUMMYFUNCTION("""COMPUTED_VALUE"""),"0901 994 815")</f>
        <v>0901 994 815</v>
      </c>
      <c r="B4909" s="119" t="str">
        <f>IFERROR(__xludf.DUMMYFUNCTION("""COMPUTED_VALUE"""),"chị nhi")</f>
        <v>chị nhi</v>
      </c>
      <c r="C4909" s="119" t="str">
        <f>IFERROR(__xludf.DUMMYFUNCTION("""COMPUTED_VALUE"""),"419 bùi thị xuân")</f>
        <v>419 bùi thị xuân</v>
      </c>
      <c r="D4909" s="119" t="str">
        <f>IFERROR(__xludf.DUMMYFUNCTION("""COMPUTED_VALUE"""),"Chó")</f>
        <v>Chó</v>
      </c>
      <c r="E4909" s="119" t="str">
        <f>IFERROR(__xludf.DUMMYFUNCTION("""COMPUTED_VALUE"""),"tom")</f>
        <v>tom</v>
      </c>
    </row>
    <row r="4910" ht="15.75" customHeight="1">
      <c r="A4910" s="122" t="str">
        <f>IFERROR(__xludf.DUMMYFUNCTION("""COMPUTED_VALUE"""),"0369 909 081")</f>
        <v>0369 909 081</v>
      </c>
      <c r="B4910" s="119" t="str">
        <f>IFERROR(__xludf.DUMMYFUNCTION("""COMPUTED_VALUE"""),"anh nhật")</f>
        <v>anh nhật</v>
      </c>
      <c r="C4910" s="119" t="str">
        <f>IFERROR(__xludf.DUMMYFUNCTION("""COMPUTED_VALUE"""),"bao vinh")</f>
        <v>bao vinh</v>
      </c>
      <c r="D4910" s="119" t="str">
        <f>IFERROR(__xludf.DUMMYFUNCTION("""COMPUTED_VALUE"""),"Chó")</f>
        <v>Chó</v>
      </c>
      <c r="E4910" s="119" t="str">
        <f>IFERROR(__xludf.DUMMYFUNCTION("""COMPUTED_VALUE"""),"la")</f>
        <v>la</v>
      </c>
    </row>
    <row r="4911" ht="15.75" customHeight="1">
      <c r="A4911" s="122" t="str">
        <f>IFERROR(__xludf.DUMMYFUNCTION("""COMPUTED_VALUE"""),"0899 881 046")</f>
        <v>0899 881 046</v>
      </c>
      <c r="B4911" s="119" t="str">
        <f>IFERROR(__xludf.DUMMYFUNCTION("""COMPUTED_VALUE"""),"Anh Huy")</f>
        <v>Anh Huy</v>
      </c>
      <c r="C4911" s="119" t="str">
        <f>IFERROR(__xludf.DUMMYFUNCTION("""COMPUTED_VALUE"""),"121 Long Hồ")</f>
        <v>121 Long Hồ</v>
      </c>
      <c r="D4911" s="119" t="str">
        <f>IFERROR(__xludf.DUMMYFUNCTION("""COMPUTED_VALUE"""),"Chó ")</f>
        <v>Chó </v>
      </c>
      <c r="E4911" s="119" t="str">
        <f>IFERROR(__xludf.DUMMYFUNCTION("""COMPUTED_VALUE"""),"Gấu")</f>
        <v>Gấu</v>
      </c>
    </row>
    <row r="4912" ht="15.75" customHeight="1">
      <c r="A4912" s="122" t="str">
        <f>IFERROR(__xludf.DUMMYFUNCTION("""COMPUTED_VALUE"""),"0961 181 037")</f>
        <v>0961 181 037</v>
      </c>
      <c r="B4912" s="119" t="str">
        <f>IFERROR(__xludf.DUMMYFUNCTION("""COMPUTED_VALUE"""),"chị nhã trân")</f>
        <v>chị nhã trân</v>
      </c>
      <c r="C4912" s="119" t="str">
        <f>IFERROR(__xludf.DUMMYFUNCTION("""COMPUTED_VALUE"""),"hương hồ")</f>
        <v>hương hồ</v>
      </c>
      <c r="D4912" s="119" t="str">
        <f>IFERROR(__xludf.DUMMYFUNCTION("""COMPUTED_VALUE"""),"Chó")</f>
        <v>Chó</v>
      </c>
      <c r="E4912" s="119" t="str">
        <f>IFERROR(__xludf.DUMMYFUNCTION("""COMPUTED_VALUE"""),"ruby")</f>
        <v>ruby</v>
      </c>
    </row>
    <row r="4913" ht="15.75" customHeight="1">
      <c r="A4913" s="122" t="str">
        <f>IFERROR(__xludf.DUMMYFUNCTION("""COMPUTED_VALUE"""),"0357 282 207")</f>
        <v>0357 282 207</v>
      </c>
      <c r="B4913" s="119" t="str">
        <f>IFERROR(__xludf.DUMMYFUNCTION("""COMPUTED_VALUE"""),"Chị Trinh")</f>
        <v>Chị Trinh</v>
      </c>
      <c r="C4913" s="119" t="str">
        <f>IFERROR(__xludf.DUMMYFUNCTION("""COMPUTED_VALUE"""),"11 Nguyễn Hữu Dật")</f>
        <v>11 Nguyễn Hữu Dật</v>
      </c>
      <c r="D4913" s="119" t="str">
        <f>IFERROR(__xludf.DUMMYFUNCTION("""COMPUTED_VALUE"""),"Chó")</f>
        <v>Chó</v>
      </c>
      <c r="E4913" s="119" t="str">
        <f>IFERROR(__xludf.DUMMYFUNCTION("""COMPUTED_VALUE"""),"Bun")</f>
        <v>Bun</v>
      </c>
    </row>
    <row r="4914" ht="15.75" customHeight="1">
      <c r="A4914" s="122" t="str">
        <f>IFERROR(__xludf.DUMMYFUNCTION("""COMPUTED_VALUE"""),"0988 033 229")</f>
        <v>0988 033 229</v>
      </c>
      <c r="B4914" s="119" t="str">
        <f>IFERROR(__xludf.DUMMYFUNCTION("""COMPUTED_VALUE"""),"lê trung đức")</f>
        <v>lê trung đức</v>
      </c>
      <c r="C4914" s="119" t="str">
        <f>IFERROR(__xludf.DUMMYFUNCTION("""COMPUTED_VALUE"""),"thuỷ xuân")</f>
        <v>thuỷ xuân</v>
      </c>
      <c r="D4914" s="119" t="str">
        <f>IFERROR(__xludf.DUMMYFUNCTION("""COMPUTED_VALUE"""),"Mèo")</f>
        <v>Mèo</v>
      </c>
      <c r="E4914" s="119" t="str">
        <f>IFERROR(__xludf.DUMMYFUNCTION("""COMPUTED_VALUE"""),"mun")</f>
        <v>mun</v>
      </c>
    </row>
    <row r="4915" ht="15.75" customHeight="1">
      <c r="A4915" s="122" t="str">
        <f>IFERROR(__xludf.DUMMYFUNCTION("""COMPUTED_VALUE"""),"0787 724 689")</f>
        <v>0787 724 689</v>
      </c>
      <c r="B4915" s="119" t="str">
        <f>IFERROR(__xludf.DUMMYFUNCTION("""COMPUTED_VALUE"""),"anh phú")</f>
        <v>anh phú</v>
      </c>
      <c r="C4915" s="119" t="str">
        <f>IFERROR(__xludf.DUMMYFUNCTION("""COMPUTED_VALUE"""),"2/38 lương văn can")</f>
        <v>2/38 lương văn can</v>
      </c>
      <c r="D4915" s="119" t="str">
        <f>IFERROR(__xludf.DUMMYFUNCTION("""COMPUTED_VALUE"""),"Chó")</f>
        <v>Chó</v>
      </c>
      <c r="E4915" s="119" t="str">
        <f>IFERROR(__xludf.DUMMYFUNCTION("""COMPUTED_VALUE"""),"tô")</f>
        <v>tô</v>
      </c>
    </row>
    <row r="4916" ht="15.75" customHeight="1">
      <c r="A4916" s="122" t="str">
        <f>IFERROR(__xludf.DUMMYFUNCTION("""COMPUTED_VALUE"""),"0769 462 854")</f>
        <v>0769 462 854</v>
      </c>
      <c r="B4916" s="119" t="str">
        <f>IFERROR(__xludf.DUMMYFUNCTION("""COMPUTED_VALUE"""),"Chị Ngọc My")</f>
        <v>Chị Ngọc My</v>
      </c>
      <c r="C4916" s="119" t="str">
        <f>IFERROR(__xludf.DUMMYFUNCTION("""COMPUTED_VALUE"""),"27 Nguyễn Đức Cảnh")</f>
        <v>27 Nguyễn Đức Cảnh</v>
      </c>
      <c r="D4916" s="119" t="str">
        <f>IFERROR(__xludf.DUMMYFUNCTION("""COMPUTED_VALUE"""),"Mèo")</f>
        <v>Mèo</v>
      </c>
      <c r="E4916" s="119" t="str">
        <f>IFERROR(__xludf.DUMMYFUNCTION("""COMPUTED_VALUE"""),"Chip")</f>
        <v>Chip</v>
      </c>
    </row>
    <row r="4917" ht="15.75" customHeight="1">
      <c r="A4917" s="122" t="str">
        <f>IFERROR(__xludf.DUMMYFUNCTION("""COMPUTED_VALUE"""),"0378 470 404")</f>
        <v>0378 470 404</v>
      </c>
      <c r="B4917" s="119" t="str">
        <f>IFERROR(__xludf.DUMMYFUNCTION("""COMPUTED_VALUE"""),"chị châu")</f>
        <v>chị châu</v>
      </c>
      <c r="C4917" s="119" t="str">
        <f>IFERROR(__xludf.DUMMYFUNCTION("""COMPUTED_VALUE"""),"116 nguyễn hữu dật")</f>
        <v>116 nguyễn hữu dật</v>
      </c>
      <c r="D4917" s="119" t="str">
        <f>IFERROR(__xludf.DUMMYFUNCTION("""COMPUTED_VALUE"""),"Chó")</f>
        <v>Chó</v>
      </c>
      <c r="E4917" s="119" t="str">
        <f>IFERROR(__xludf.DUMMYFUNCTION("""COMPUTED_VALUE"""),"ken")</f>
        <v>ken</v>
      </c>
    </row>
    <row r="4918" ht="15.75" customHeight="1">
      <c r="A4918" s="122" t="str">
        <f>IFERROR(__xludf.DUMMYFUNCTION("""COMPUTED_VALUE"""),"0973 910 481")</f>
        <v>0973 910 481</v>
      </c>
      <c r="B4918" s="119" t="str">
        <f>IFERROR(__xludf.DUMMYFUNCTION("""COMPUTED_VALUE"""),"anh nhã")</f>
        <v>anh nhã</v>
      </c>
      <c r="C4918" s="119" t="str">
        <f>IFERROR(__xludf.DUMMYFUNCTION("""COMPUTED_VALUE"""),"an ninh")</f>
        <v>an ninh</v>
      </c>
      <c r="D4918" s="119" t="str">
        <f>IFERROR(__xludf.DUMMYFUNCTION("""COMPUTED_VALUE"""),"Chó")</f>
        <v>Chó</v>
      </c>
      <c r="E4918" s="119" t="str">
        <f>IFERROR(__xludf.DUMMYFUNCTION("""COMPUTED_VALUE"""),"bingo")</f>
        <v>bingo</v>
      </c>
    </row>
    <row r="4919" ht="15.75" customHeight="1">
      <c r="A4919" s="122"/>
      <c r="B4919" s="119"/>
      <c r="C4919" s="119"/>
      <c r="D4919" s="119"/>
      <c r="E4919" s="119"/>
    </row>
    <row r="4920" ht="15.75" customHeight="1">
      <c r="A4920" s="122" t="str">
        <f>IFERROR(__xludf.DUMMYFUNCTION("""COMPUTED_VALUE"""),"0932 725 668")</f>
        <v>0932 725 668</v>
      </c>
      <c r="B4920" s="119" t="str">
        <f>IFERROR(__xludf.DUMMYFUNCTION("""COMPUTED_VALUE"""),"chị châu")</f>
        <v>chị châu</v>
      </c>
      <c r="C4920" s="119" t="str">
        <f>IFERROR(__xludf.DUMMYFUNCTION("""COMPUTED_VALUE"""),"34 nguyễn phúc nguyên")</f>
        <v>34 nguyễn phúc nguyên</v>
      </c>
      <c r="D4920" s="119" t="str">
        <f>IFERROR(__xludf.DUMMYFUNCTION("""COMPUTED_VALUE"""),"Chó")</f>
        <v>Chó</v>
      </c>
      <c r="E4920" s="119" t="str">
        <f>IFERROR(__xludf.DUMMYFUNCTION("""COMPUTED_VALUE"""),"marley")</f>
        <v>marley</v>
      </c>
    </row>
    <row r="4921" ht="15.75" customHeight="1">
      <c r="A4921" s="122" t="str">
        <f>IFERROR(__xludf.DUMMYFUNCTION("""COMPUTED_VALUE"""),"0935 686 289")</f>
        <v>0935 686 289</v>
      </c>
      <c r="B4921" s="119" t="str">
        <f>IFERROR(__xludf.DUMMYFUNCTION("""COMPUTED_VALUE"""),"phương liên")</f>
        <v>phương liên</v>
      </c>
      <c r="C4921" s="119" t="str">
        <f>IFERROR(__xludf.DUMMYFUNCTION("""COMPUTED_VALUE"""),"5/51 thái phiên")</f>
        <v>5/51 thái phiên</v>
      </c>
      <c r="D4921" s="119" t="str">
        <f>IFERROR(__xludf.DUMMYFUNCTION("""COMPUTED_VALUE"""),"Chó")</f>
        <v>Chó</v>
      </c>
      <c r="E4921" s="119" t="str">
        <f>IFERROR(__xludf.DUMMYFUNCTION("""COMPUTED_VALUE"""),"Min")</f>
        <v>Min</v>
      </c>
    </row>
    <row r="4922" ht="15.75" customHeight="1">
      <c r="A4922" s="122" t="str">
        <f>IFERROR(__xludf.DUMMYFUNCTION("""COMPUTED_VALUE"""),"0799 394 115")</f>
        <v>0799 394 115</v>
      </c>
      <c r="B4922" s="119" t="str">
        <f>IFERROR(__xludf.DUMMYFUNCTION("""COMPUTED_VALUE"""),"chị thảo")</f>
        <v>chị thảo</v>
      </c>
      <c r="C4922" s="119" t="str">
        <f>IFERROR(__xludf.DUMMYFUNCTION("""COMPUTED_VALUE"""),"Phú hiệp")</f>
        <v>Phú hiệp</v>
      </c>
      <c r="D4922" s="119" t="str">
        <f>IFERROR(__xludf.DUMMYFUNCTION("""COMPUTED_VALUE"""),"Chó")</f>
        <v>Chó</v>
      </c>
      <c r="E4922" s="119" t="str">
        <f>IFERROR(__xludf.DUMMYFUNCTION("""COMPUTED_VALUE"""),"gấu")</f>
        <v>gấu</v>
      </c>
    </row>
    <row r="4923" ht="15.75" customHeight="1">
      <c r="A4923" s="122" t="str">
        <f>IFERROR(__xludf.DUMMYFUNCTION("""COMPUTED_VALUE"""),"0562 141 322")</f>
        <v>0562 141 322</v>
      </c>
      <c r="B4923" s="119" t="str">
        <f>IFERROR(__xludf.DUMMYFUNCTION("""COMPUTED_VALUE"""),"kim ngân")</f>
        <v>kim ngân</v>
      </c>
      <c r="C4923" s="119" t="str">
        <f>IFERROR(__xludf.DUMMYFUNCTION("""COMPUTED_VALUE"""),"15/54 nguyễn phúc nguyên")</f>
        <v>15/54 nguyễn phúc nguyên</v>
      </c>
      <c r="D4923" s="119" t="str">
        <f>IFERROR(__xludf.DUMMYFUNCTION("""COMPUTED_VALUE"""),"Mèo")</f>
        <v>Mèo</v>
      </c>
      <c r="E4923" s="119" t="str">
        <f>IFERROR(__xludf.DUMMYFUNCTION("""COMPUTED_VALUE"""),"mân")</f>
        <v>mân</v>
      </c>
    </row>
    <row r="4924" ht="15.75" customHeight="1">
      <c r="A4924" s="122" t="str">
        <f>IFERROR(__xludf.DUMMYFUNCTION("""COMPUTED_VALUE"""),"0935 033 899")</f>
        <v>0935 033 899</v>
      </c>
      <c r="B4924" s="119" t="str">
        <f>IFERROR(__xludf.DUMMYFUNCTION("""COMPUTED_VALUE"""),"anh thanh")</f>
        <v>anh thanh</v>
      </c>
      <c r="C4924" s="119" t="str">
        <f>IFERROR(__xludf.DUMMYFUNCTION("""COMPUTED_VALUE"""),"nam đông")</f>
        <v>nam đông</v>
      </c>
      <c r="D4924" s="119" t="str">
        <f>IFERROR(__xludf.DUMMYFUNCTION("""COMPUTED_VALUE"""),"Chó")</f>
        <v>Chó</v>
      </c>
      <c r="E4924" s="119" t="str">
        <f>IFERROR(__xludf.DUMMYFUNCTION("""COMPUTED_VALUE"""),"ruby")</f>
        <v>ruby</v>
      </c>
    </row>
    <row r="4925" ht="15.75" customHeight="1">
      <c r="A4925" s="122" t="str">
        <f>IFERROR(__xludf.DUMMYFUNCTION("""COMPUTED_VALUE"""),"0989 769 655")</f>
        <v>0989 769 655</v>
      </c>
      <c r="B4925" s="119" t="str">
        <f>IFERROR(__xludf.DUMMYFUNCTION("""COMPUTED_VALUE"""),"bác dũng")</f>
        <v>bác dũng</v>
      </c>
      <c r="C4925" s="119" t="str">
        <f>IFERROR(__xludf.DUMMYFUNCTION("""COMPUTED_VALUE"""),"12a/200 lý nam đế")</f>
        <v>12a/200 lý nam đế</v>
      </c>
      <c r="D4925" s="119" t="str">
        <f>IFERROR(__xludf.DUMMYFUNCTION("""COMPUTED_VALUE"""),"Chó")</f>
        <v>Chó</v>
      </c>
      <c r="E4925" s="119" t="str">
        <f>IFERROR(__xludf.DUMMYFUNCTION("""COMPUTED_VALUE"""),"lucky")</f>
        <v>lucky</v>
      </c>
    </row>
    <row r="4926" ht="15.75" customHeight="1">
      <c r="A4926" s="122" t="str">
        <f>IFERROR(__xludf.DUMMYFUNCTION("""COMPUTED_VALUE"""),"0378 801 082")</f>
        <v>0378 801 082</v>
      </c>
      <c r="B4926" s="119" t="str">
        <f>IFERROR(__xludf.DUMMYFUNCTION("""COMPUTED_VALUE"""),"lan trinh")</f>
        <v>lan trinh</v>
      </c>
      <c r="C4926" s="119" t="str">
        <f>IFERROR(__xludf.DUMMYFUNCTION("""COMPUTED_VALUE"""),"kim long")</f>
        <v>kim long</v>
      </c>
      <c r="D4926" s="119" t="str">
        <f>IFERROR(__xludf.DUMMYFUNCTION("""COMPUTED_VALUE"""),"Mèo")</f>
        <v>Mèo</v>
      </c>
      <c r="E4926" s="119" t="str">
        <f>IFERROR(__xludf.DUMMYFUNCTION("""COMPUTED_VALUE"""),"king")</f>
        <v>king</v>
      </c>
    </row>
    <row r="4927" ht="15.75" customHeight="1">
      <c r="A4927" s="122" t="str">
        <f>IFERROR(__xludf.DUMMYFUNCTION("""COMPUTED_VALUE"""),"0914 019 145")</f>
        <v>0914 019 145</v>
      </c>
      <c r="B4927" s="119" t="str">
        <f>IFERROR(__xludf.DUMMYFUNCTION("""COMPUTED_VALUE"""),"dì vân anh")</f>
        <v>dì vân anh</v>
      </c>
      <c r="C4927" s="119" t="str">
        <f>IFERROR(__xludf.DUMMYFUNCTION("""COMPUTED_VALUE"""),"40 tây sơn")</f>
        <v>40 tây sơn</v>
      </c>
      <c r="D4927" s="119" t="str">
        <f>IFERROR(__xludf.DUMMYFUNCTION("""COMPUTED_VALUE"""),"Mèo")</f>
        <v>Mèo</v>
      </c>
      <c r="E4927" s="119" t="str">
        <f>IFERROR(__xludf.DUMMYFUNCTION("""COMPUTED_VALUE"""),"tiêu")</f>
        <v>tiêu</v>
      </c>
    </row>
    <row r="4928" ht="15.75" customHeight="1">
      <c r="A4928" s="122" t="str">
        <f>IFERROR(__xludf.DUMMYFUNCTION("""COMPUTED_VALUE"""),"0336 942 126")</f>
        <v>0336 942 126</v>
      </c>
      <c r="B4928" s="119" t="str">
        <f>IFERROR(__xludf.DUMMYFUNCTION("""COMPUTED_VALUE"""),"chú giàu")</f>
        <v>chú giàu</v>
      </c>
      <c r="C4928" s="119" t="str">
        <f>IFERROR(__xludf.DUMMYFUNCTION("""COMPUTED_VALUE"""),"an truyền")</f>
        <v>an truyền</v>
      </c>
      <c r="D4928" s="119" t="str">
        <f>IFERROR(__xludf.DUMMYFUNCTION("""COMPUTED_VALUE"""),"Chó")</f>
        <v>Chó</v>
      </c>
      <c r="E4928" s="119" t="str">
        <f>IFERROR(__xludf.DUMMYFUNCTION("""COMPUTED_VALUE"""),"bơ")</f>
        <v>bơ</v>
      </c>
    </row>
    <row r="4929" ht="15.75" customHeight="1">
      <c r="A4929" s="122" t="str">
        <f>IFERROR(__xludf.DUMMYFUNCTION("""COMPUTED_VALUE"""),"0779 523 128")</f>
        <v>0779 523 128</v>
      </c>
      <c r="B4929" s="119" t="str">
        <f>IFERROR(__xludf.DUMMYFUNCTION("""COMPUTED_VALUE"""),"anh tuấn")</f>
        <v>anh tuấn</v>
      </c>
      <c r="C4929" s="119" t="str">
        <f>IFERROR(__xludf.DUMMYFUNCTION("""COMPUTED_VALUE"""),"thuận an")</f>
        <v>thuận an</v>
      </c>
      <c r="D4929" s="119" t="str">
        <f>IFERROR(__xludf.DUMMYFUNCTION("""COMPUTED_VALUE"""),"Chó")</f>
        <v>Chó</v>
      </c>
      <c r="E4929" s="119" t="str">
        <f>IFERROR(__xludf.DUMMYFUNCTION("""COMPUTED_VALUE"""),"vàng")</f>
        <v>vàng</v>
      </c>
    </row>
    <row r="4930" ht="15.75" customHeight="1">
      <c r="A4930" s="122" t="str">
        <f>IFERROR(__xludf.DUMMYFUNCTION("""COMPUTED_VALUE"""),"0844 807 575")</f>
        <v>0844 807 575</v>
      </c>
      <c r="B4930" s="119" t="str">
        <f>IFERROR(__xludf.DUMMYFUNCTION("""COMPUTED_VALUE"""),"chị tem")</f>
        <v>chị tem</v>
      </c>
      <c r="C4930" s="119" t="str">
        <f>IFERROR(__xludf.DUMMYFUNCTION("""COMPUTED_VALUE"""),"63/24 phạm thị liên")</f>
        <v>63/24 phạm thị liên</v>
      </c>
      <c r="D4930" s="119" t="str">
        <f>IFERROR(__xludf.DUMMYFUNCTION("""COMPUTED_VALUE"""),"Chó")</f>
        <v>Chó</v>
      </c>
      <c r="E4930" s="119" t="str">
        <f>IFERROR(__xludf.DUMMYFUNCTION("""COMPUTED_VALUE"""),"bắp")</f>
        <v>bắp</v>
      </c>
    </row>
    <row r="4931" ht="15.75" customHeight="1">
      <c r="A4931" s="122" t="str">
        <f>IFERROR(__xludf.DUMMYFUNCTION("""COMPUTED_VALUE"""),"0898 228 681")</f>
        <v>0898 228 681</v>
      </c>
      <c r="B4931" s="119" t="str">
        <f>IFERROR(__xludf.DUMMYFUNCTION("""COMPUTED_VALUE"""),"anh hưng")</f>
        <v>anh hưng</v>
      </c>
      <c r="C4931" s="119" t="str">
        <f>IFERROR(__xludf.DUMMYFUNCTION("""COMPUTED_VALUE"""),"197 chi lăng")</f>
        <v>197 chi lăng</v>
      </c>
      <c r="D4931" s="119" t="str">
        <f>IFERROR(__xludf.DUMMYFUNCTION("""COMPUTED_VALUE"""),"Chó")</f>
        <v>Chó</v>
      </c>
      <c r="E4931" s="119" t="str">
        <f>IFERROR(__xludf.DUMMYFUNCTION("""COMPUTED_VALUE"""),"cưng")</f>
        <v>cưng</v>
      </c>
    </row>
    <row r="4932" ht="15.75" customHeight="1">
      <c r="A4932" s="122" t="str">
        <f>IFERROR(__xludf.DUMMYFUNCTION("""COMPUTED_VALUE"""),"0932 522 600")</f>
        <v>0932 522 600</v>
      </c>
      <c r="B4932" s="119" t="str">
        <f>IFERROR(__xludf.DUMMYFUNCTION("""COMPUTED_VALUE"""),"Dì cương")</f>
        <v>Dì cương</v>
      </c>
      <c r="C4932" s="119" t="str">
        <f>IFERROR(__xludf.DUMMYFUNCTION("""COMPUTED_VALUE"""),"5/39 Nguyễn Hữu Dật")</f>
        <v>5/39 Nguyễn Hữu Dật</v>
      </c>
      <c r="D4932" s="119" t="str">
        <f>IFERROR(__xludf.DUMMYFUNCTION("""COMPUTED_VALUE"""),"Mèo")</f>
        <v>Mèo</v>
      </c>
      <c r="E4932" s="119"/>
    </row>
    <row r="4933" ht="15.75" customHeight="1">
      <c r="A4933" s="122" t="str">
        <f>IFERROR(__xludf.DUMMYFUNCTION("""COMPUTED_VALUE"""),"0935 589 184")</f>
        <v>0935 589 184</v>
      </c>
      <c r="B4933" s="119" t="str">
        <f>IFERROR(__xludf.DUMMYFUNCTION("""COMPUTED_VALUE"""),"Chị Quế")</f>
        <v>Chị Quế</v>
      </c>
      <c r="C4933" s="119" t="str">
        <f>IFERROR(__xludf.DUMMYFUNCTION("""COMPUTED_VALUE"""),"547 Bùi Thị Xuân")</f>
        <v>547 Bùi Thị Xuân</v>
      </c>
      <c r="D4933" s="119" t="str">
        <f>IFERROR(__xludf.DUMMYFUNCTION("""COMPUTED_VALUE"""),"Chó")</f>
        <v>Chó</v>
      </c>
      <c r="E4933" s="119" t="str">
        <f>IFERROR(__xludf.DUMMYFUNCTION("""COMPUTED_VALUE"""),"Gừng")</f>
        <v>Gừng</v>
      </c>
    </row>
    <row r="4934" ht="15.75" customHeight="1">
      <c r="A4934" s="122" t="str">
        <f>IFERROR(__xludf.DUMMYFUNCTION("""COMPUTED_VALUE"""),"0914 498 890")</f>
        <v>0914 498 890</v>
      </c>
      <c r="B4934" s="119" t="str">
        <f>IFERROR(__xludf.DUMMYFUNCTION("""COMPUTED_VALUE"""),"Anh Minh")</f>
        <v>Anh Minh</v>
      </c>
      <c r="C4934" s="119" t="str">
        <f>IFERROR(__xludf.DUMMYFUNCTION("""COMPUTED_VALUE"""),"110 An Dương Vương")</f>
        <v>110 An Dương Vương</v>
      </c>
      <c r="D4934" s="119" t="str">
        <f>IFERROR(__xludf.DUMMYFUNCTION("""COMPUTED_VALUE"""),"Chó")</f>
        <v>Chó</v>
      </c>
      <c r="E4934" s="119" t="str">
        <f>IFERROR(__xludf.DUMMYFUNCTION("""COMPUTED_VALUE"""),"Mít")</f>
        <v>Mít</v>
      </c>
    </row>
    <row r="4935" ht="15.75" customHeight="1">
      <c r="A4935" s="122" t="str">
        <f>IFERROR(__xludf.DUMMYFUNCTION("""COMPUTED_VALUE"""),"0708 048 088")</f>
        <v>0708 048 088</v>
      </c>
      <c r="B4935" s="119" t="str">
        <f>IFERROR(__xludf.DUMMYFUNCTION("""COMPUTED_VALUE"""),"chị trinh")</f>
        <v>chị trinh</v>
      </c>
      <c r="C4935" s="119" t="str">
        <f>IFERROR(__xludf.DUMMYFUNCTION("""COMPUTED_VALUE"""),"332 bạch đằng")</f>
        <v>332 bạch đằng</v>
      </c>
      <c r="D4935" s="119" t="str">
        <f>IFERROR(__xludf.DUMMYFUNCTION("""COMPUTED_VALUE"""),"Chó")</f>
        <v>Chó</v>
      </c>
      <c r="E4935" s="119" t="str">
        <f>IFERROR(__xludf.DUMMYFUNCTION("""COMPUTED_VALUE"""),"mực")</f>
        <v>mực</v>
      </c>
    </row>
    <row r="4936" ht="15.75" customHeight="1">
      <c r="A4936" s="122" t="str">
        <f>IFERROR(__xludf.DUMMYFUNCTION("""COMPUTED_VALUE"""),"0981 021 413")</f>
        <v>0981 021 413</v>
      </c>
      <c r="B4936" s="119" t="str">
        <f>IFERROR(__xludf.DUMMYFUNCTION("""COMPUTED_VALUE"""),"dì hường")</f>
        <v>dì hường</v>
      </c>
      <c r="C4936" s="119" t="str">
        <f>IFERROR(__xludf.DUMMYFUNCTION("""COMPUTED_VALUE"""),"3/33 phạm thị liên")</f>
        <v>3/33 phạm thị liên</v>
      </c>
      <c r="D4936" s="119" t="str">
        <f>IFERROR(__xludf.DUMMYFUNCTION("""COMPUTED_VALUE"""),"Chó")</f>
        <v>Chó</v>
      </c>
      <c r="E4936" s="119" t="str">
        <f>IFERROR(__xludf.DUMMYFUNCTION("""COMPUTED_VALUE"""),"bốp")</f>
        <v>bốp</v>
      </c>
    </row>
    <row r="4937" ht="15.75" customHeight="1">
      <c r="A4937" s="122" t="str">
        <f>IFERROR(__xludf.DUMMYFUNCTION("""COMPUTED_VALUE"""),"0936 280 570")</f>
        <v>0936 280 570</v>
      </c>
      <c r="B4937" s="119" t="str">
        <f>IFERROR(__xludf.DUMMYFUNCTION("""COMPUTED_VALUE"""),"tôn thất bảo hân")</f>
        <v>tôn thất bảo hân</v>
      </c>
      <c r="C4937" s="119" t="str">
        <f>IFERROR(__xludf.DUMMYFUNCTION("""COMPUTED_VALUE"""),"a32 bầu vá")</f>
        <v>a32 bầu vá</v>
      </c>
      <c r="D4937" s="119" t="str">
        <f>IFERROR(__xludf.DUMMYFUNCTION("""COMPUTED_VALUE"""),"Chó")</f>
        <v>Chó</v>
      </c>
      <c r="E4937" s="119" t="str">
        <f>IFERROR(__xludf.DUMMYFUNCTION("""COMPUTED_VALUE"""),"nhan")</f>
        <v>nhan</v>
      </c>
    </row>
    <row r="4938" ht="15.75" customHeight="1">
      <c r="A4938" s="122" t="str">
        <f>IFERROR(__xludf.DUMMYFUNCTION("""COMPUTED_VALUE"""),"0368 102 954")</f>
        <v>0368 102 954</v>
      </c>
      <c r="B4938" s="119" t="str">
        <f>IFERROR(__xludf.DUMMYFUNCTION("""COMPUTED_VALUE"""),"phương anh")</f>
        <v>phương anh</v>
      </c>
      <c r="C4938" s="119" t="str">
        <f>IFERROR(__xludf.DUMMYFUNCTION("""COMPUTED_VALUE"""),"phong điền")</f>
        <v>phong điền</v>
      </c>
      <c r="D4938" s="119" t="str">
        <f>IFERROR(__xludf.DUMMYFUNCTION("""COMPUTED_VALUE"""),"Mèo")</f>
        <v>Mèo</v>
      </c>
      <c r="E4938" s="119" t="str">
        <f>IFERROR(__xludf.DUMMYFUNCTION("""COMPUTED_VALUE"""),"chíp")</f>
        <v>chíp</v>
      </c>
    </row>
    <row r="4939" ht="15.75" customHeight="1">
      <c r="A4939" s="122" t="str">
        <f>IFERROR(__xludf.DUMMYFUNCTION("""COMPUTED_VALUE"""),"0937 679 717")</f>
        <v>0937 679 717</v>
      </c>
      <c r="B4939" s="119" t="str">
        <f>IFERROR(__xludf.DUMMYFUNCTION("""COMPUTED_VALUE"""),"anh dũng")</f>
        <v>anh dũng</v>
      </c>
      <c r="C4939" s="119" t="str">
        <f>IFERROR(__xludf.DUMMYFUNCTION("""COMPUTED_VALUE"""),"lịch đợi")</f>
        <v>lịch đợi</v>
      </c>
      <c r="D4939" s="119" t="str">
        <f>IFERROR(__xludf.DUMMYFUNCTION("""COMPUTED_VALUE"""),"Chó")</f>
        <v>Chó</v>
      </c>
      <c r="E4939" s="119" t="str">
        <f>IFERROR(__xludf.DUMMYFUNCTION("""COMPUTED_VALUE"""),"ki")</f>
        <v>ki</v>
      </c>
    </row>
    <row r="4940" ht="15.75" customHeight="1">
      <c r="A4940" s="122" t="str">
        <f>IFERROR(__xludf.DUMMYFUNCTION("""COMPUTED_VALUE"""),"0364 216 895")</f>
        <v>0364 216 895</v>
      </c>
      <c r="B4940" s="119" t="str">
        <f>IFERROR(__xludf.DUMMYFUNCTION("""COMPUTED_VALUE"""),"hồ ngọc sơn")</f>
        <v>hồ ngọc sơn</v>
      </c>
      <c r="C4940" s="119" t="str">
        <f>IFERROR(__xludf.DUMMYFUNCTION("""COMPUTED_VALUE"""),"thị trấn sịa")</f>
        <v>thị trấn sịa</v>
      </c>
      <c r="D4940" s="119" t="str">
        <f>IFERROR(__xludf.DUMMYFUNCTION("""COMPUTED_VALUE"""),"Chó")</f>
        <v>Chó</v>
      </c>
      <c r="E4940" s="119" t="str">
        <f>IFERROR(__xludf.DUMMYFUNCTION("""COMPUTED_VALUE"""),"kid")</f>
        <v>kid</v>
      </c>
    </row>
    <row r="4941" ht="15.75" customHeight="1">
      <c r="A4941" s="122" t="str">
        <f>IFERROR(__xludf.DUMMYFUNCTION("""COMPUTED_VALUE"""),"0917 806 444")</f>
        <v>0917 806 444</v>
      </c>
      <c r="B4941" s="119" t="str">
        <f>IFERROR(__xludf.DUMMYFUNCTION("""COMPUTED_VALUE"""),"chị nga")</f>
        <v>chị nga</v>
      </c>
      <c r="C4941" s="119" t="str">
        <f>IFERROR(__xludf.DUMMYFUNCTION("""COMPUTED_VALUE"""),"quảng bình")</f>
        <v>quảng bình</v>
      </c>
      <c r="D4941" s="119" t="str">
        <f>IFERROR(__xludf.DUMMYFUNCTION("""COMPUTED_VALUE"""),"Chó")</f>
        <v>Chó</v>
      </c>
      <c r="E4941" s="119" t="str">
        <f>IFERROR(__xludf.DUMMYFUNCTION("""COMPUTED_VALUE"""),"măng")</f>
        <v>măng</v>
      </c>
    </row>
    <row r="4942" ht="15.75" customHeight="1">
      <c r="A4942" s="122" t="str">
        <f>IFERROR(__xludf.DUMMYFUNCTION("""COMPUTED_VALUE"""),"0948 199 981")</f>
        <v>0948 199 981</v>
      </c>
      <c r="B4942" s="119" t="str">
        <f>IFERROR(__xludf.DUMMYFUNCTION("""COMPUTED_VALUE"""),"minh anh")</f>
        <v>minh anh</v>
      </c>
      <c r="C4942" s="119" t="str">
        <f>IFERROR(__xludf.DUMMYFUNCTION("""COMPUTED_VALUE"""),"27 nguyễn lương bằng")</f>
        <v>27 nguyễn lương bằng</v>
      </c>
      <c r="D4942" s="119" t="str">
        <f>IFERROR(__xludf.DUMMYFUNCTION("""COMPUTED_VALUE"""),"Chó")</f>
        <v>Chó</v>
      </c>
      <c r="E4942" s="119" t="str">
        <f>IFERROR(__xludf.DUMMYFUNCTION("""COMPUTED_VALUE"""),"nâu")</f>
        <v>nâu</v>
      </c>
    </row>
    <row r="4943" ht="15.75" customHeight="1">
      <c r="A4943" s="122" t="str">
        <f>IFERROR(__xludf.DUMMYFUNCTION("""COMPUTED_VALUE"""),"0935 987 888")</f>
        <v>0935 987 888</v>
      </c>
      <c r="B4943" s="119" t="str">
        <f>IFERROR(__xludf.DUMMYFUNCTION("""COMPUTED_VALUE"""),"chị lan")</f>
        <v>chị lan</v>
      </c>
      <c r="C4943" s="119" t="str">
        <f>IFERROR(__xludf.DUMMYFUNCTION("""COMPUTED_VALUE"""),"kqh bàu vá")</f>
        <v>kqh bàu vá</v>
      </c>
      <c r="D4943" s="119" t="str">
        <f>IFERROR(__xludf.DUMMYFUNCTION("""COMPUTED_VALUE"""),"Mèo")</f>
        <v>Mèo</v>
      </c>
      <c r="E4943" s="119"/>
    </row>
    <row r="4944" ht="15.75" customHeight="1">
      <c r="A4944" s="122" t="str">
        <f>IFERROR(__xludf.DUMMYFUNCTION("""COMPUTED_VALUE"""),"0973 067 065")</f>
        <v>0973 067 065</v>
      </c>
      <c r="B4944" s="119" t="str">
        <f>IFERROR(__xludf.DUMMYFUNCTION("""COMPUTED_VALUE"""),"anh Nam")</f>
        <v>anh Nam</v>
      </c>
      <c r="C4944" s="119" t="str">
        <f>IFERROR(__xludf.DUMMYFUNCTION("""COMPUTED_VALUE"""),"18 Nguyễn Hữu Dật")</f>
        <v>18 Nguyễn Hữu Dật</v>
      </c>
      <c r="D4944" s="119" t="str">
        <f>IFERROR(__xludf.DUMMYFUNCTION("""COMPUTED_VALUE"""),"Chó")</f>
        <v>Chó</v>
      </c>
      <c r="E4944" s="119" t="str">
        <f>IFERROR(__xludf.DUMMYFUNCTION("""COMPUTED_VALUE"""),"nâu")</f>
        <v>nâu</v>
      </c>
    </row>
    <row r="4945" ht="15.75" customHeight="1">
      <c r="A4945" s="122" t="str">
        <f>IFERROR(__xludf.DUMMYFUNCTION("""COMPUTED_VALUE"""),"0962 155 371")</f>
        <v>0962 155 371</v>
      </c>
      <c r="B4945" s="119" t="str">
        <f>IFERROR(__xludf.DUMMYFUNCTION("""COMPUTED_VALUE"""),"anh long")</f>
        <v>anh long</v>
      </c>
      <c r="C4945" s="119" t="str">
        <f>IFERROR(__xludf.DUMMYFUNCTION("""COMPUTED_VALUE"""),"phú vang")</f>
        <v>phú vang</v>
      </c>
      <c r="D4945" s="119" t="str">
        <f>IFERROR(__xludf.DUMMYFUNCTION("""COMPUTED_VALUE"""),"Chó")</f>
        <v>Chó</v>
      </c>
      <c r="E4945" s="119" t="str">
        <f>IFERROR(__xludf.DUMMYFUNCTION("""COMPUTED_VALUE"""),"ba")</f>
        <v>ba</v>
      </c>
    </row>
    <row r="4946" ht="15.75" customHeight="1">
      <c r="A4946" s="122" t="str">
        <f>IFERROR(__xludf.DUMMYFUNCTION("""COMPUTED_VALUE"""),"0338 033 381")</f>
        <v>0338 033 381</v>
      </c>
      <c r="B4946" s="119" t="str">
        <f>IFERROR(__xludf.DUMMYFUNCTION("""COMPUTED_VALUE"""),"thomas")</f>
        <v>thomas</v>
      </c>
      <c r="C4946" s="119" t="str">
        <f>IFERROR(__xludf.DUMMYFUNCTION("""COMPUTED_VALUE"""),"1c la sơn phu tử")</f>
        <v>1c la sơn phu tử</v>
      </c>
      <c r="D4946" s="119" t="str">
        <f>IFERROR(__xludf.DUMMYFUNCTION("""COMPUTED_VALUE"""),"Mèo")</f>
        <v>Mèo</v>
      </c>
      <c r="E4946" s="119"/>
    </row>
    <row r="4947" ht="15.75" customHeight="1">
      <c r="A4947" s="122" t="str">
        <f>IFERROR(__xludf.DUMMYFUNCTION("""COMPUTED_VALUE"""),"0817 219 073")</f>
        <v>0817 219 073</v>
      </c>
      <c r="B4947" s="119" t="str">
        <f>IFERROR(__xludf.DUMMYFUNCTION("""COMPUTED_VALUE"""),"dì thể")</f>
        <v>dì thể</v>
      </c>
      <c r="C4947" s="119" t="str">
        <f>IFERROR(__xludf.DUMMYFUNCTION("""COMPUTED_VALUE"""),"an hoà")</f>
        <v>an hoà</v>
      </c>
      <c r="D4947" s="119" t="str">
        <f>IFERROR(__xludf.DUMMYFUNCTION("""COMPUTED_VALUE"""),"Chó")</f>
        <v>Chó</v>
      </c>
      <c r="E4947" s="119"/>
    </row>
    <row r="4948" ht="15.75" customHeight="1">
      <c r="A4948" s="122" t="str">
        <f>IFERROR(__xludf.DUMMYFUNCTION("""COMPUTED_VALUE"""),"0974 409 412")</f>
        <v>0974 409 412</v>
      </c>
      <c r="B4948" s="119" t="str">
        <f>IFERROR(__xludf.DUMMYFUNCTION("""COMPUTED_VALUE"""),"chị nhật vy")</f>
        <v>chị nhật vy</v>
      </c>
      <c r="C4948" s="119" t="str">
        <f>IFERROR(__xludf.DUMMYFUNCTION("""COMPUTED_VALUE"""),"130 tôn thật thuyết")</f>
        <v>130 tôn thật thuyết</v>
      </c>
      <c r="D4948" s="119" t="str">
        <f>IFERROR(__xludf.DUMMYFUNCTION("""COMPUTED_VALUE"""),"Mèo")</f>
        <v>Mèo</v>
      </c>
      <c r="E4948" s="119" t="str">
        <f>IFERROR(__xludf.DUMMYFUNCTION("""COMPUTED_VALUE"""),"siro")</f>
        <v>siro</v>
      </c>
    </row>
    <row r="4949" ht="15.75" customHeight="1">
      <c r="A4949" s="122" t="str">
        <f>IFERROR(__xludf.DUMMYFUNCTION("""COMPUTED_VALUE"""),"0972 215 566")</f>
        <v>0972 215 566</v>
      </c>
      <c r="B4949" s="119" t="str">
        <f>IFERROR(__xludf.DUMMYFUNCTION("""COMPUTED_VALUE"""),"bác bình")</f>
        <v>bác bình</v>
      </c>
      <c r="C4949" s="119" t="str">
        <f>IFERROR(__xludf.DUMMYFUNCTION("""COMPUTED_VALUE"""),"125 trần thái tông")</f>
        <v>125 trần thái tông</v>
      </c>
      <c r="D4949" s="119" t="str">
        <f>IFERROR(__xludf.DUMMYFUNCTION("""COMPUTED_VALUE"""),"Chó")</f>
        <v>Chó</v>
      </c>
      <c r="E4949" s="119" t="str">
        <f>IFERROR(__xludf.DUMMYFUNCTION("""COMPUTED_VALUE"""),"misa")</f>
        <v>misa</v>
      </c>
    </row>
    <row r="4950" ht="15.75" customHeight="1">
      <c r="A4950" s="122" t="str">
        <f>IFERROR(__xludf.DUMMYFUNCTION("""COMPUTED_VALUE"""),"0702 794 729")</f>
        <v>0702 794 729</v>
      </c>
      <c r="B4950" s="119" t="str">
        <f>IFERROR(__xludf.DUMMYFUNCTION("""COMPUTED_VALUE"""),"lê thị hiền")</f>
        <v>lê thị hiền</v>
      </c>
      <c r="C4950" s="119" t="str">
        <f>IFERROR(__xludf.DUMMYFUNCTION("""COMPUTED_VALUE"""),"12 tam thai")</f>
        <v>12 tam thai</v>
      </c>
      <c r="D4950" s="119" t="str">
        <f>IFERROR(__xludf.DUMMYFUNCTION("""COMPUTED_VALUE"""),"Chó")</f>
        <v>Chó</v>
      </c>
      <c r="E4950" s="119" t="str">
        <f>IFERROR(__xludf.DUMMYFUNCTION("""COMPUTED_VALUE"""),"nâu")</f>
        <v>nâu</v>
      </c>
    </row>
    <row r="4951" ht="15.75" customHeight="1">
      <c r="A4951" s="122" t="str">
        <f>IFERROR(__xludf.DUMMYFUNCTION("""COMPUTED_VALUE"""),"0985 346 355")</f>
        <v>0985 346 355</v>
      </c>
      <c r="B4951" s="119" t="str">
        <f>IFERROR(__xludf.DUMMYFUNCTION("""COMPUTED_VALUE"""),"chú quang mười")</f>
        <v>chú quang mười</v>
      </c>
      <c r="C4951" s="119" t="str">
        <f>IFERROR(__xludf.DUMMYFUNCTION("""COMPUTED_VALUE"""),"khu định cư kim long")</f>
        <v>khu định cư kim long</v>
      </c>
      <c r="D4951" s="119" t="str">
        <f>IFERROR(__xludf.DUMMYFUNCTION("""COMPUTED_VALUE"""),"Mèo")</f>
        <v>Mèo</v>
      </c>
      <c r="E4951" s="119" t="str">
        <f>IFERROR(__xludf.DUMMYFUNCTION("""COMPUTED_VALUE"""),"mèo")</f>
        <v>mèo</v>
      </c>
    </row>
    <row r="4952" ht="15.75" customHeight="1">
      <c r="A4952" s="122" t="str">
        <f>IFERROR(__xludf.DUMMYFUNCTION("""COMPUTED_VALUE"""),"0794 549 469")</f>
        <v>0794 549 469</v>
      </c>
      <c r="B4952" s="119" t="str">
        <f>IFERROR(__xludf.DUMMYFUNCTION("""COMPUTED_VALUE"""),"dì hạnh")</f>
        <v>dì hạnh</v>
      </c>
      <c r="C4952" s="119" t="str">
        <f>IFERROR(__xludf.DUMMYFUNCTION("""COMPUTED_VALUE"""),"hương thuỷ")</f>
        <v>hương thuỷ</v>
      </c>
      <c r="D4952" s="119" t="str">
        <f>IFERROR(__xludf.DUMMYFUNCTION("""COMPUTED_VALUE"""),"Chó")</f>
        <v>Chó</v>
      </c>
      <c r="E4952" s="119" t="str">
        <f>IFERROR(__xludf.DUMMYFUNCTION("""COMPUTED_VALUE"""),"gấu")</f>
        <v>gấu</v>
      </c>
    </row>
    <row r="4953" ht="15.75" customHeight="1">
      <c r="A4953" s="122" t="str">
        <f>IFERROR(__xludf.DUMMYFUNCTION("""COMPUTED_VALUE"""),"0935 529 613")</f>
        <v>0935 529 613</v>
      </c>
      <c r="B4953" s="119" t="str">
        <f>IFERROR(__xludf.DUMMYFUNCTION("""COMPUTED_VALUE"""),"chị thanh vân")</f>
        <v>chị thanh vân</v>
      </c>
      <c r="C4953" s="119" t="str">
        <f>IFERROR(__xludf.DUMMYFUNCTION("""COMPUTED_VALUE"""),"13/140 lý nam đế")</f>
        <v>13/140 lý nam đế</v>
      </c>
      <c r="D4953" s="119" t="str">
        <f>IFERROR(__xludf.DUMMYFUNCTION("""COMPUTED_VALUE"""),"Mèo")</f>
        <v>Mèo</v>
      </c>
      <c r="E4953" s="119" t="str">
        <f>IFERROR(__xludf.DUMMYFUNCTION("""COMPUTED_VALUE"""),"meo")</f>
        <v>meo</v>
      </c>
    </row>
    <row r="4954" ht="15.75" customHeight="1">
      <c r="A4954" s="122" t="str">
        <f>IFERROR(__xludf.DUMMYFUNCTION("""COMPUTED_VALUE"""),"0859 861 999")</f>
        <v>0859 861 999</v>
      </c>
      <c r="B4954" s="119" t="str">
        <f>IFERROR(__xludf.DUMMYFUNCTION("""COMPUTED_VALUE"""),"mai anh")</f>
        <v>mai anh</v>
      </c>
      <c r="C4954" s="119" t="str">
        <f>IFERROR(__xludf.DUMMYFUNCTION("""COMPUTED_VALUE"""),"32 lưu trọng lư")</f>
        <v>32 lưu trọng lư</v>
      </c>
      <c r="D4954" s="119" t="str">
        <f>IFERROR(__xludf.DUMMYFUNCTION("""COMPUTED_VALUE"""),"Mèo")</f>
        <v>Mèo</v>
      </c>
      <c r="E4954" s="119" t="str">
        <f>IFERROR(__xludf.DUMMYFUNCTION("""COMPUTED_VALUE"""),"sa")</f>
        <v>sa</v>
      </c>
    </row>
    <row r="4955" ht="15.75" customHeight="1">
      <c r="A4955" s="122" t="str">
        <f>IFERROR(__xludf.DUMMYFUNCTION("""COMPUTED_VALUE"""),"0762 222 975")</f>
        <v>0762 222 975</v>
      </c>
      <c r="B4955" s="119" t="str">
        <f>IFERROR(__xludf.DUMMYFUNCTION("""COMPUTED_VALUE"""),"chị tâm")</f>
        <v>chị tâm</v>
      </c>
      <c r="C4955" s="119" t="str">
        <f>IFERROR(__xludf.DUMMYFUNCTION("""COMPUTED_VALUE"""),"k4 nguyễn phúc nguyên")</f>
        <v>k4 nguyễn phúc nguyên</v>
      </c>
      <c r="D4955" s="119" t="str">
        <f>IFERROR(__xludf.DUMMYFUNCTION("""COMPUTED_VALUE"""),"Chó")</f>
        <v>Chó</v>
      </c>
      <c r="E4955" s="119" t="str">
        <f>IFERROR(__xludf.DUMMYFUNCTION("""COMPUTED_VALUE"""),"ngáo")</f>
        <v>ngáo</v>
      </c>
    </row>
    <row r="4956" ht="15.75" customHeight="1">
      <c r="A4956" s="122" t="str">
        <f>IFERROR(__xludf.DUMMYFUNCTION("""COMPUTED_VALUE"""),"0385 607 959")</f>
        <v>0385 607 959</v>
      </c>
      <c r="B4956" s="119" t="str">
        <f>IFERROR(__xludf.DUMMYFUNCTION("""COMPUTED_VALUE"""),"chị mỹ kiều")</f>
        <v>chị mỹ kiều</v>
      </c>
      <c r="C4956" s="119" t="str">
        <f>IFERROR(__xludf.DUMMYFUNCTION("""COMPUTED_VALUE"""),"36/3/320 bạch đằng")</f>
        <v>36/3/320 bạch đằng</v>
      </c>
      <c r="D4956" s="119" t="str">
        <f>IFERROR(__xludf.DUMMYFUNCTION("""COMPUTED_VALUE"""),"Chó")</f>
        <v>Chó</v>
      </c>
      <c r="E4956" s="119" t="str">
        <f>IFERROR(__xludf.DUMMYFUNCTION("""COMPUTED_VALUE"""),"zet")</f>
        <v>zet</v>
      </c>
    </row>
    <row r="4957" ht="15.75" customHeight="1">
      <c r="A4957" s="122" t="str">
        <f>IFERROR(__xludf.DUMMYFUNCTION("""COMPUTED_VALUE"""),"0914 034 547")</f>
        <v>0914 034 547</v>
      </c>
      <c r="B4957" s="119" t="str">
        <f>IFERROR(__xludf.DUMMYFUNCTION("""COMPUTED_VALUE"""),"anh thanh")</f>
        <v>anh thanh</v>
      </c>
      <c r="C4957" s="119" t="str">
        <f>IFERROR(__xludf.DUMMYFUNCTION("""COMPUTED_VALUE"""),"20 dương xuân")</f>
        <v>20 dương xuân</v>
      </c>
      <c r="D4957" s="119" t="str">
        <f>IFERROR(__xludf.DUMMYFUNCTION("""COMPUTED_VALUE"""),"Chó")</f>
        <v>Chó</v>
      </c>
      <c r="E4957" s="119" t="str">
        <f>IFERROR(__xludf.DUMMYFUNCTION("""COMPUTED_VALUE"""),"cún")</f>
        <v>cún</v>
      </c>
    </row>
    <row r="4958" ht="15.75" customHeight="1">
      <c r="A4958" s="122" t="str">
        <f>IFERROR(__xludf.DUMMYFUNCTION("""COMPUTED_VALUE"""),"0839 182 412")</f>
        <v>0839 182 412</v>
      </c>
      <c r="B4958" s="119" t="str">
        <f>IFERROR(__xludf.DUMMYFUNCTION("""COMPUTED_VALUE"""),"cô dệ")</f>
        <v>cô dệ</v>
      </c>
      <c r="C4958" s="119" t="str">
        <f>IFERROR(__xludf.DUMMYFUNCTION("""COMPUTED_VALUE"""),"hương hồ")</f>
        <v>hương hồ</v>
      </c>
      <c r="D4958" s="119" t="str">
        <f>IFERROR(__xludf.DUMMYFUNCTION("""COMPUTED_VALUE"""),"Mèo")</f>
        <v>Mèo</v>
      </c>
      <c r="E4958" s="119" t="str">
        <f>IFERROR(__xludf.DUMMYFUNCTION("""COMPUTED_VALUE"""),"yori")</f>
        <v>yori</v>
      </c>
    </row>
    <row r="4959" ht="15.75" customHeight="1">
      <c r="A4959" s="122" t="str">
        <f>IFERROR(__xludf.DUMMYFUNCTION("""COMPUTED_VALUE"""),"0975 777 393")</f>
        <v>0975 777 393</v>
      </c>
      <c r="B4959" s="119" t="str">
        <f>IFERROR(__xludf.DUMMYFUNCTION("""COMPUTED_VALUE"""),"đỗ quyên")</f>
        <v>đỗ quyên</v>
      </c>
      <c r="C4959" s="119" t="str">
        <f>IFERROR(__xludf.DUMMYFUNCTION("""COMPUTED_VALUE"""),"50a hùng vương")</f>
        <v>50a hùng vương</v>
      </c>
      <c r="D4959" s="119" t="str">
        <f>IFERROR(__xludf.DUMMYFUNCTION("""COMPUTED_VALUE"""),"Mèo")</f>
        <v>Mèo</v>
      </c>
      <c r="E4959" s="119" t="str">
        <f>IFERROR(__xludf.DUMMYFUNCTION("""COMPUTED_VALUE"""),"lucky")</f>
        <v>lucky</v>
      </c>
    </row>
    <row r="4960" ht="15.75" customHeight="1">
      <c r="A4960" s="122" t="str">
        <f>IFERROR(__xludf.DUMMYFUNCTION("""COMPUTED_VALUE"""),"0773 464 424")</f>
        <v>0773 464 424</v>
      </c>
      <c r="B4960" s="119" t="str">
        <f>IFERROR(__xludf.DUMMYFUNCTION("""COMPUTED_VALUE"""),"cô Nơ")</f>
        <v>cô Nơ</v>
      </c>
      <c r="C4960" s="119" t="str">
        <f>IFERROR(__xludf.DUMMYFUNCTION("""COMPUTED_VALUE"""),"68 Nguyễn Phúc Chu")</f>
        <v>68 Nguyễn Phúc Chu</v>
      </c>
      <c r="D4960" s="119" t="str">
        <f>IFERROR(__xludf.DUMMYFUNCTION("""COMPUTED_VALUE"""),"Chó")</f>
        <v>Chó</v>
      </c>
      <c r="E4960" s="119" t="str">
        <f>IFERROR(__xludf.DUMMYFUNCTION("""COMPUTED_VALUE"""),"bông")</f>
        <v>bông</v>
      </c>
    </row>
    <row r="4961" ht="15.75" customHeight="1">
      <c r="A4961" s="122" t="str">
        <f>IFERROR(__xludf.DUMMYFUNCTION("""COMPUTED_VALUE"""),"0346 340 672")</f>
        <v>0346 340 672</v>
      </c>
      <c r="B4961" s="119" t="str">
        <f>IFERROR(__xludf.DUMMYFUNCTION("""COMPUTED_VALUE"""),"chị oanh")</f>
        <v>chị oanh</v>
      </c>
      <c r="C4961" s="119" t="str">
        <f>IFERROR(__xludf.DUMMYFUNCTION("""COMPUTED_VALUE"""),"7/62 trần nguyên hãn")</f>
        <v>7/62 trần nguyên hãn</v>
      </c>
      <c r="D4961" s="119" t="str">
        <f>IFERROR(__xludf.DUMMYFUNCTION("""COMPUTED_VALUE"""),"Mèo")</f>
        <v>Mèo</v>
      </c>
      <c r="E4961" s="119" t="str">
        <f>IFERROR(__xludf.DUMMYFUNCTION("""COMPUTED_VALUE"""),"june")</f>
        <v>june</v>
      </c>
    </row>
    <row r="4962" ht="15.75" customHeight="1">
      <c r="A4962" s="122" t="str">
        <f>IFERROR(__xludf.DUMMYFUNCTION("""COMPUTED_VALUE"""),"0941 348 485")</f>
        <v>0941 348 485</v>
      </c>
      <c r="B4962" s="119" t="str">
        <f>IFERROR(__xludf.DUMMYFUNCTION("""COMPUTED_VALUE"""),"diễm quỳnh")</f>
        <v>diễm quỳnh</v>
      </c>
      <c r="C4962" s="119" t="str">
        <f>IFERROR(__xludf.DUMMYFUNCTION("""COMPUTED_VALUE"""),"hương hồ")</f>
        <v>hương hồ</v>
      </c>
      <c r="D4962" s="119" t="str">
        <f>IFERROR(__xludf.DUMMYFUNCTION("""COMPUTED_VALUE"""),"Chó")</f>
        <v>Chó</v>
      </c>
      <c r="E4962" s="119" t="str">
        <f>IFERROR(__xludf.DUMMYFUNCTION("""COMPUTED_VALUE"""),"nayeon")</f>
        <v>nayeon</v>
      </c>
    </row>
    <row r="4963" ht="15.75" customHeight="1">
      <c r="A4963" s="122" t="str">
        <f>IFERROR(__xludf.DUMMYFUNCTION("""COMPUTED_VALUE"""),"0964 758 625")</f>
        <v>0964 758 625</v>
      </c>
      <c r="B4963" s="119" t="str">
        <f>IFERROR(__xludf.DUMMYFUNCTION("""COMPUTED_VALUE"""),"anh trí")</f>
        <v>anh trí</v>
      </c>
      <c r="C4963" s="119" t="str">
        <f>IFERROR(__xludf.DUMMYFUNCTION("""COMPUTED_VALUE"""),"22/7/8 phú mộng")</f>
        <v>22/7/8 phú mộng</v>
      </c>
      <c r="D4963" s="119" t="str">
        <f>IFERROR(__xludf.DUMMYFUNCTION("""COMPUTED_VALUE"""),"Chó")</f>
        <v>Chó</v>
      </c>
      <c r="E4963" s="119" t="str">
        <f>IFERROR(__xludf.DUMMYFUNCTION("""COMPUTED_VALUE"""),"ki")</f>
        <v>ki</v>
      </c>
    </row>
    <row r="4964" ht="15.75" customHeight="1">
      <c r="A4964" s="122" t="str">
        <f>IFERROR(__xludf.DUMMYFUNCTION("""COMPUTED_VALUE"""),"0852 327 858")</f>
        <v>0852 327 858</v>
      </c>
      <c r="B4964" s="119" t="str">
        <f>IFERROR(__xludf.DUMMYFUNCTION("""COMPUTED_VALUE"""),"chị quỳnh")</f>
        <v>chị quỳnh</v>
      </c>
      <c r="C4964" s="119" t="str">
        <f>IFERROR(__xludf.DUMMYFUNCTION("""COMPUTED_VALUE"""),"phong điền")</f>
        <v>phong điền</v>
      </c>
      <c r="D4964" s="119" t="str">
        <f>IFERROR(__xludf.DUMMYFUNCTION("""COMPUTED_VALUE"""),"Chó")</f>
        <v>Chó</v>
      </c>
      <c r="E4964" s="119" t="str">
        <f>IFERROR(__xludf.DUMMYFUNCTION("""COMPUTED_VALUE"""),"bông")</f>
        <v>bông</v>
      </c>
    </row>
    <row r="4965" ht="15.75" customHeight="1">
      <c r="A4965" s="122" t="str">
        <f>IFERROR(__xludf.DUMMYFUNCTION("""COMPUTED_VALUE"""),"0984 556 925")</f>
        <v>0984 556 925</v>
      </c>
      <c r="B4965" s="119" t="str">
        <f>IFERROR(__xludf.DUMMYFUNCTION("""COMPUTED_VALUE"""),"nguyễn văn dực")</f>
        <v>nguyễn văn dực</v>
      </c>
      <c r="C4965" s="119" t="str">
        <f>IFERROR(__xludf.DUMMYFUNCTION("""COMPUTED_VALUE"""),"89 phạm thị liên")</f>
        <v>89 phạm thị liên</v>
      </c>
      <c r="D4965" s="119" t="str">
        <f>IFERROR(__xludf.DUMMYFUNCTION("""COMPUTED_VALUE"""),"Chó")</f>
        <v>Chó</v>
      </c>
      <c r="E4965" s="119" t="str">
        <f>IFERROR(__xludf.DUMMYFUNCTION("""COMPUTED_VALUE"""),"vàng")</f>
        <v>vàng</v>
      </c>
    </row>
    <row r="4966" ht="15.75" customHeight="1">
      <c r="A4966" s="122" t="str">
        <f>IFERROR(__xludf.DUMMYFUNCTION("""COMPUTED_VALUE"""),"0772 259 610")</f>
        <v>0772 259 610</v>
      </c>
      <c r="B4966" s="119" t="str">
        <f>IFERROR(__xludf.DUMMYFUNCTION("""COMPUTED_VALUE"""),"em tiên")</f>
        <v>em tiên</v>
      </c>
      <c r="C4966" s="119" t="str">
        <f>IFERROR(__xludf.DUMMYFUNCTION("""COMPUTED_VALUE"""),"15 tuệ tĩnh")</f>
        <v>15 tuệ tĩnh</v>
      </c>
      <c r="D4966" s="119" t="str">
        <f>IFERROR(__xludf.DUMMYFUNCTION("""COMPUTED_VALUE"""),"Mèo")</f>
        <v>Mèo</v>
      </c>
      <c r="E4966" s="119" t="str">
        <f>IFERROR(__xludf.DUMMYFUNCTION("""COMPUTED_VALUE"""),"cún")</f>
        <v>cún</v>
      </c>
    </row>
    <row r="4967" ht="15.75" customHeight="1">
      <c r="A4967" s="122" t="str">
        <f>IFERROR(__xludf.DUMMYFUNCTION("""COMPUTED_VALUE"""),"0934 965 628")</f>
        <v>0934 965 628</v>
      </c>
      <c r="B4967" s="119" t="str">
        <f>IFERROR(__xludf.DUMMYFUNCTION("""COMPUTED_VALUE"""),"dì thanh trà")</f>
        <v>dì thanh trà</v>
      </c>
      <c r="C4967" s="119" t="str">
        <f>IFERROR(__xludf.DUMMYFUNCTION("""COMPUTED_VALUE"""),"35 văn thánh")</f>
        <v>35 văn thánh</v>
      </c>
      <c r="D4967" s="119" t="str">
        <f>IFERROR(__xludf.DUMMYFUNCTION("""COMPUTED_VALUE"""),"Chó")</f>
        <v>Chó</v>
      </c>
      <c r="E4967" s="119" t="str">
        <f>IFERROR(__xludf.DUMMYFUNCTION("""COMPUTED_VALUE"""),"rốt")</f>
        <v>rốt</v>
      </c>
    </row>
    <row r="4968" ht="15.75" customHeight="1">
      <c r="A4968" s="122" t="str">
        <f>IFERROR(__xludf.DUMMYFUNCTION("""COMPUTED_VALUE"""),"0777 521 518")</f>
        <v>0777 521 518</v>
      </c>
      <c r="B4968" s="119" t="str">
        <f>IFERROR(__xludf.DUMMYFUNCTION("""COMPUTED_VALUE"""),"chú ngọc")</f>
        <v>chú ngọc</v>
      </c>
      <c r="C4968" s="119" t="str">
        <f>IFERROR(__xludf.DUMMYFUNCTION("""COMPUTED_VALUE"""),"42 phạm thị liên")</f>
        <v>42 phạm thị liên</v>
      </c>
      <c r="D4968" s="119" t="str">
        <f>IFERROR(__xludf.DUMMYFUNCTION("""COMPUTED_VALUE"""),"Chó")</f>
        <v>Chó</v>
      </c>
      <c r="E4968" s="119"/>
    </row>
    <row r="4969" ht="15.75" customHeight="1">
      <c r="A4969" s="122" t="str">
        <f>IFERROR(__xludf.DUMMYFUNCTION("""COMPUTED_VALUE"""),"0837 335 080")</f>
        <v>0837 335 080</v>
      </c>
      <c r="B4969" s="119" t="str">
        <f>IFERROR(__xludf.DUMMYFUNCTION("""COMPUTED_VALUE"""),"chị quỳnh trang")</f>
        <v>chị quỳnh trang</v>
      </c>
      <c r="C4969" s="119" t="str">
        <f>IFERROR(__xludf.DUMMYFUNCTION("""COMPUTED_VALUE"""),"58 phùng hưng")</f>
        <v>58 phùng hưng</v>
      </c>
      <c r="D4969" s="119" t="str">
        <f>IFERROR(__xludf.DUMMYFUNCTION("""COMPUTED_VALUE"""),"Mèo")</f>
        <v>Mèo</v>
      </c>
      <c r="E4969" s="119"/>
    </row>
    <row r="4970" ht="15.75" customHeight="1">
      <c r="A4970" s="122" t="str">
        <f>IFERROR(__xludf.DUMMYFUNCTION("""COMPUTED_VALUE"""),"0969 629 354")</f>
        <v>0969 629 354</v>
      </c>
      <c r="B4970" s="119" t="str">
        <f>IFERROR(__xludf.DUMMYFUNCTION("""COMPUTED_VALUE"""),"dì cao thị mai")</f>
        <v>dì cao thị mai</v>
      </c>
      <c r="C4970" s="119" t="str">
        <f>IFERROR(__xludf.DUMMYFUNCTION("""COMPUTED_VALUE"""),"k22 nguyễn phúc lan")</f>
        <v>k22 nguyễn phúc lan</v>
      </c>
      <c r="D4970" s="119" t="str">
        <f>IFERROR(__xludf.DUMMYFUNCTION("""COMPUTED_VALUE"""),"Chó")</f>
        <v>Chó</v>
      </c>
      <c r="E4970" s="119" t="str">
        <f>IFERROR(__xludf.DUMMYFUNCTION("""COMPUTED_VALUE"""),"bông")</f>
        <v>bông</v>
      </c>
    </row>
    <row r="4971" ht="15.75" customHeight="1">
      <c r="A4971" s="122" t="str">
        <f>IFERROR(__xludf.DUMMYFUNCTION("""COMPUTED_VALUE"""),"0898 427 448")</f>
        <v>0898 427 448</v>
      </c>
      <c r="B4971" s="119" t="str">
        <f>IFERROR(__xludf.DUMMYFUNCTION("""COMPUTED_VALUE"""),"anh vũ")</f>
        <v>anh vũ</v>
      </c>
      <c r="C4971" s="119" t="str">
        <f>IFERROR(__xludf.DUMMYFUNCTION("""COMPUTED_VALUE"""),"hương long")</f>
        <v>hương long</v>
      </c>
      <c r="D4971" s="119" t="str">
        <f>IFERROR(__xludf.DUMMYFUNCTION("""COMPUTED_VALUE"""),"Chó")</f>
        <v>Chó</v>
      </c>
      <c r="E4971" s="119" t="str">
        <f>IFERROR(__xludf.DUMMYFUNCTION("""COMPUTED_VALUE"""),"vàng")</f>
        <v>vàng</v>
      </c>
    </row>
    <row r="4972" ht="15.75" customHeight="1">
      <c r="A4972" s="122" t="str">
        <f>IFERROR(__xludf.DUMMYFUNCTION("""COMPUTED_VALUE"""),"0931 919 228")</f>
        <v>0931 919 228</v>
      </c>
      <c r="B4972" s="119" t="str">
        <f>IFERROR(__xludf.DUMMYFUNCTION("""COMPUTED_VALUE"""),"nguyễn thị thu sương")</f>
        <v>nguyễn thị thu sương</v>
      </c>
      <c r="C4972" s="119" t="str">
        <f>IFERROR(__xludf.DUMMYFUNCTION("""COMPUTED_VALUE"""),"l45 chợ mới kim long")</f>
        <v>l45 chợ mới kim long</v>
      </c>
      <c r="D4972" s="119" t="str">
        <f>IFERROR(__xludf.DUMMYFUNCTION("""COMPUTED_VALUE"""),"Chó")</f>
        <v>Chó</v>
      </c>
      <c r="E4972" s="119" t="str">
        <f>IFERROR(__xludf.DUMMYFUNCTION("""COMPUTED_VALUE"""),"xồm")</f>
        <v>xồm</v>
      </c>
    </row>
    <row r="4973" ht="15.75" customHeight="1">
      <c r="A4973" s="122" t="str">
        <f>IFERROR(__xludf.DUMMYFUNCTION("""COMPUTED_VALUE"""),"0383 577 165")</f>
        <v>0383 577 165</v>
      </c>
      <c r="B4973" s="119" t="str">
        <f>IFERROR(__xludf.DUMMYFUNCTION("""COMPUTED_VALUE"""),"dì lành")</f>
        <v>dì lành</v>
      </c>
      <c r="C4973" s="119" t="str">
        <f>IFERROR(__xludf.DUMMYFUNCTION("""COMPUTED_VALUE"""),"hương hồ")</f>
        <v>hương hồ</v>
      </c>
      <c r="D4973" s="119" t="str">
        <f>IFERROR(__xludf.DUMMYFUNCTION("""COMPUTED_VALUE"""),"Chó")</f>
        <v>Chó</v>
      </c>
      <c r="E4973" s="119" t="str">
        <f>IFERROR(__xludf.DUMMYFUNCTION("""COMPUTED_VALUE"""),"milu")</f>
        <v>milu</v>
      </c>
    </row>
    <row r="4974" ht="15.75" customHeight="1">
      <c r="A4974" s="122" t="str">
        <f>IFERROR(__xludf.DUMMYFUNCTION("""COMPUTED_VALUE"""),"0364 143 487")</f>
        <v>0364 143 487</v>
      </c>
      <c r="B4974" s="119" t="str">
        <f>IFERROR(__xludf.DUMMYFUNCTION("""COMPUTED_VALUE"""),"cô vân đài")</f>
        <v>cô vân đài</v>
      </c>
      <c r="C4974" s="119" t="str">
        <f>IFERROR(__xludf.DUMMYFUNCTION("""COMPUTED_VALUE"""),"63/46 phạm thị liên")</f>
        <v>63/46 phạm thị liên</v>
      </c>
      <c r="D4974" s="119" t="str">
        <f>IFERROR(__xludf.DUMMYFUNCTION("""COMPUTED_VALUE"""),"Chó")</f>
        <v>Chó</v>
      </c>
      <c r="E4974" s="119" t="str">
        <f>IFERROR(__xludf.DUMMYFUNCTION("""COMPUTED_VALUE"""),"lạc")</f>
        <v>lạc</v>
      </c>
    </row>
    <row r="4975" ht="15.75" customHeight="1">
      <c r="A4975" s="122" t="str">
        <f>IFERROR(__xludf.DUMMYFUNCTION("""COMPUTED_VALUE"""),"0935 240 534")</f>
        <v>0935 240 534</v>
      </c>
      <c r="B4975" s="119" t="str">
        <f>IFERROR(__xludf.DUMMYFUNCTION("""COMPUTED_VALUE"""),"em giang")</f>
        <v>em giang</v>
      </c>
      <c r="C4975" s="119" t="str">
        <f>IFERROR(__xludf.DUMMYFUNCTION("""COMPUTED_VALUE"""),"thuỷ bằng")</f>
        <v>thuỷ bằng</v>
      </c>
      <c r="D4975" s="119" t="str">
        <f>IFERROR(__xludf.DUMMYFUNCTION("""COMPUTED_VALUE"""),"Chó")</f>
        <v>Chó</v>
      </c>
      <c r="E4975" s="119" t="str">
        <f>IFERROR(__xludf.DUMMYFUNCTION("""COMPUTED_VALUE"""),"sữa")</f>
        <v>sữa</v>
      </c>
    </row>
    <row r="4976" ht="15.75" customHeight="1">
      <c r="A4976" s="122" t="str">
        <f>IFERROR(__xludf.DUMMYFUNCTION("""COMPUTED_VALUE"""),"0898 475 902")</f>
        <v>0898 475 902</v>
      </c>
      <c r="B4976" s="119" t="str">
        <f>IFERROR(__xludf.DUMMYFUNCTION("""COMPUTED_VALUE"""),"peter")</f>
        <v>peter</v>
      </c>
      <c r="C4976" s="119"/>
      <c r="D4976" s="119" t="str">
        <f>IFERROR(__xludf.DUMMYFUNCTION("""COMPUTED_VALUE"""),"Chó")</f>
        <v>Chó</v>
      </c>
      <c r="E4976" s="119" t="str">
        <f>IFERROR(__xludf.DUMMYFUNCTION("""COMPUTED_VALUE"""),"buddy")</f>
        <v>buddy</v>
      </c>
    </row>
    <row r="4977" ht="15.75" customHeight="1">
      <c r="A4977" s="122" t="str">
        <f>IFERROR(__xludf.DUMMYFUNCTION("""COMPUTED_VALUE"""),"0384 391 605")</f>
        <v>0384 391 605</v>
      </c>
      <c r="B4977" s="119" t="str">
        <f>IFERROR(__xludf.DUMMYFUNCTION("""COMPUTED_VALUE"""),"chị phúc")</f>
        <v>chị phúc</v>
      </c>
      <c r="C4977" s="119" t="str">
        <f>IFERROR(__xludf.DUMMYFUNCTION("""COMPUTED_VALUE"""),"hương long")</f>
        <v>hương long</v>
      </c>
      <c r="D4977" s="119" t="str">
        <f>IFERROR(__xludf.DUMMYFUNCTION("""COMPUTED_VALUE"""),"Chó")</f>
        <v>Chó</v>
      </c>
      <c r="E4977" s="119" t="str">
        <f>IFERROR(__xludf.DUMMYFUNCTION("""COMPUTED_VALUE"""),"tiểu nhị")</f>
        <v>tiểu nhị</v>
      </c>
    </row>
    <row r="4978" ht="15.75" customHeight="1">
      <c r="A4978" s="122" t="str">
        <f>IFERROR(__xludf.DUMMYFUNCTION("""COMPUTED_VALUE"""),"0357 796 772")</f>
        <v>0357 796 772</v>
      </c>
      <c r="B4978" s="119" t="str">
        <f>IFERROR(__xludf.DUMMYFUNCTION("""COMPUTED_VALUE"""),"chị cẩm thạch")</f>
        <v>chị cẩm thạch</v>
      </c>
      <c r="C4978" s="119" t="str">
        <f>IFERROR(__xludf.DUMMYFUNCTION("""COMPUTED_VALUE"""),"hương an")</f>
        <v>hương an</v>
      </c>
      <c r="D4978" s="119" t="str">
        <f>IFERROR(__xludf.DUMMYFUNCTION("""COMPUTED_VALUE"""),"Chó")</f>
        <v>Chó</v>
      </c>
      <c r="E4978" s="119" t="str">
        <f>IFERROR(__xludf.DUMMYFUNCTION("""COMPUTED_VALUE"""),"xôm")</f>
        <v>xôm</v>
      </c>
    </row>
    <row r="4979" ht="15.75" customHeight="1">
      <c r="A4979" s="122" t="str">
        <f>IFERROR(__xludf.DUMMYFUNCTION("""COMPUTED_VALUE"""),"0854 155 523")</f>
        <v>0854 155 523</v>
      </c>
      <c r="B4979" s="119" t="str">
        <f>IFERROR(__xludf.DUMMYFUNCTION("""COMPUTED_VALUE"""),"minh anh")</f>
        <v>minh anh</v>
      </c>
      <c r="C4979" s="119" t="str">
        <f>IFERROR(__xludf.DUMMYFUNCTION("""COMPUTED_VALUE"""),"155 nguyễn chí thanh")</f>
        <v>155 nguyễn chí thanh</v>
      </c>
      <c r="D4979" s="119" t="str">
        <f>IFERROR(__xludf.DUMMYFUNCTION("""COMPUTED_VALUE"""),"Chó")</f>
        <v>Chó</v>
      </c>
      <c r="E4979" s="119" t="str">
        <f>IFERROR(__xludf.DUMMYFUNCTION("""COMPUTED_VALUE"""),"nhím")</f>
        <v>nhím</v>
      </c>
    </row>
    <row r="4980" ht="15.75" customHeight="1">
      <c r="A4980" s="122" t="str">
        <f>IFERROR(__xludf.DUMMYFUNCTION("""COMPUTED_VALUE"""),"0984 321 717")</f>
        <v>0984 321 717</v>
      </c>
      <c r="B4980" s="119" t="str">
        <f>IFERROR(__xludf.DUMMYFUNCTION("""COMPUTED_VALUE"""),"Anh Tuấn")</f>
        <v>Anh Tuấn</v>
      </c>
      <c r="C4980" s="119" t="str">
        <f>IFERROR(__xludf.DUMMYFUNCTION("""COMPUTED_VALUE"""),"26A Nguyễn Phúc Thụ")</f>
        <v>26A Nguyễn Phúc Thụ</v>
      </c>
      <c r="D4980" s="119" t="str">
        <f>IFERROR(__xludf.DUMMYFUNCTION("""COMPUTED_VALUE"""),"Chó")</f>
        <v>Chó</v>
      </c>
      <c r="E4980" s="119" t="str">
        <f>IFERROR(__xludf.DUMMYFUNCTION("""COMPUTED_VALUE"""),"Red")</f>
        <v>Red</v>
      </c>
    </row>
    <row r="4981" ht="15.75" customHeight="1">
      <c r="A4981" s="122" t="str">
        <f>IFERROR(__xludf.DUMMYFUNCTION("""COMPUTED_VALUE"""),"0762 670 005")</f>
        <v>0762 670 005</v>
      </c>
      <c r="B4981" s="119" t="str">
        <f>IFERROR(__xludf.DUMMYFUNCTION("""COMPUTED_VALUE"""),"Anh Thư")</f>
        <v>Anh Thư</v>
      </c>
      <c r="C4981" s="119" t="str">
        <f>IFERROR(__xludf.DUMMYFUNCTION("""COMPUTED_VALUE"""),"5/194 Lê Duẩn")</f>
        <v>5/194 Lê Duẩn</v>
      </c>
      <c r="D4981" s="119" t="str">
        <f>IFERROR(__xludf.DUMMYFUNCTION("""COMPUTED_VALUE"""),"Chó")</f>
        <v>Chó</v>
      </c>
      <c r="E4981" s="119" t="str">
        <f>IFERROR(__xludf.DUMMYFUNCTION("""COMPUTED_VALUE"""),"Bơ")</f>
        <v>Bơ</v>
      </c>
    </row>
    <row r="4982" ht="15.75" customHeight="1">
      <c r="A4982" s="122" t="str">
        <f>IFERROR(__xludf.DUMMYFUNCTION("""COMPUTED_VALUE"""),"0906 402 515")</f>
        <v>0906 402 515</v>
      </c>
      <c r="B4982" s="119" t="str">
        <f>IFERROR(__xludf.DUMMYFUNCTION("""COMPUTED_VALUE"""),"Trần Hữu Long")</f>
        <v>Trần Hữu Long</v>
      </c>
      <c r="C4982" s="119" t="str">
        <f>IFERROR(__xludf.DUMMYFUNCTION("""COMPUTED_VALUE"""),"23 Lý Nam Đế")</f>
        <v>23 Lý Nam Đế</v>
      </c>
      <c r="D4982" s="119" t="str">
        <f>IFERROR(__xludf.DUMMYFUNCTION("""COMPUTED_VALUE"""),"Mèo")</f>
        <v>Mèo</v>
      </c>
      <c r="E4982" s="119"/>
    </row>
    <row r="4983" ht="15.75" customHeight="1">
      <c r="A4983" s="122" t="str">
        <f>IFERROR(__xludf.DUMMYFUNCTION("""COMPUTED_VALUE"""),"0795 603 858")</f>
        <v>0795 603 858</v>
      </c>
      <c r="B4983" s="119" t="str">
        <f>IFERROR(__xludf.DUMMYFUNCTION("""COMPUTED_VALUE"""),"Thanh Nhi")</f>
        <v>Thanh Nhi</v>
      </c>
      <c r="C4983" s="119" t="str">
        <f>IFERROR(__xludf.DUMMYFUNCTION("""COMPUTED_VALUE"""),"4/34 Thanh Hải")</f>
        <v>4/34 Thanh Hải</v>
      </c>
      <c r="D4983" s="119" t="str">
        <f>IFERROR(__xludf.DUMMYFUNCTION("""COMPUTED_VALUE"""),"Chó")</f>
        <v>Chó</v>
      </c>
      <c r="E4983" s="119" t="str">
        <f>IFERROR(__xludf.DUMMYFUNCTION("""COMPUTED_VALUE"""),"Ki")</f>
        <v>Ki</v>
      </c>
    </row>
    <row r="4984" ht="15.75" customHeight="1">
      <c r="A4984" s="122" t="str">
        <f>IFERROR(__xludf.DUMMYFUNCTION("""COMPUTED_VALUE"""),"0782 797 503")</f>
        <v>0782 797 503</v>
      </c>
      <c r="B4984" s="119" t="str">
        <f>IFERROR(__xludf.DUMMYFUNCTION("""COMPUTED_VALUE"""),"Anh Linh")</f>
        <v>Anh Linh</v>
      </c>
      <c r="C4984" s="119" t="str">
        <f>IFERROR(__xludf.DUMMYFUNCTION("""COMPUTED_VALUE"""),"59/32 Lý Nam Đế")</f>
        <v>59/32 Lý Nam Đế</v>
      </c>
      <c r="D4984" s="119" t="str">
        <f>IFERROR(__xludf.DUMMYFUNCTION("""COMPUTED_VALUE"""),"Chó")</f>
        <v>Chó</v>
      </c>
      <c r="E4984" s="119" t="str">
        <f>IFERROR(__xludf.DUMMYFUNCTION("""COMPUTED_VALUE"""),"Ki")</f>
        <v>Ki</v>
      </c>
    </row>
    <row r="4985" ht="15.75" customHeight="1">
      <c r="A4985" s="122" t="str">
        <f>IFERROR(__xludf.DUMMYFUNCTION("""COMPUTED_VALUE"""),"0905 653 235")</f>
        <v>0905 653 235</v>
      </c>
      <c r="B4985" s="119" t="str">
        <f>IFERROR(__xludf.DUMMYFUNCTION("""COMPUTED_VALUE"""),"Anh Rem")</f>
        <v>Anh Rem</v>
      </c>
      <c r="C4985" s="119" t="str">
        <f>IFERROR(__xludf.DUMMYFUNCTION("""COMPUTED_VALUE"""),"Phú Hậu")</f>
        <v>Phú Hậu</v>
      </c>
      <c r="D4985" s="119" t="str">
        <f>IFERROR(__xludf.DUMMYFUNCTION("""COMPUTED_VALUE"""),"Chó")</f>
        <v>Chó</v>
      </c>
      <c r="E4985" s="119" t="str">
        <f>IFERROR(__xludf.DUMMYFUNCTION("""COMPUTED_VALUE"""),"Lu")</f>
        <v>Lu</v>
      </c>
    </row>
    <row r="4986" ht="15.75" customHeight="1">
      <c r="A4986" s="122" t="str">
        <f>IFERROR(__xludf.DUMMYFUNCTION("""COMPUTED_VALUE"""),"0706 153 458")</f>
        <v>0706 153 458</v>
      </c>
      <c r="B4986" s="119" t="str">
        <f>IFERROR(__xludf.DUMMYFUNCTION("""COMPUTED_VALUE"""),"Chị Như Ý")</f>
        <v>Chị Như Ý</v>
      </c>
      <c r="C4986" s="119" t="str">
        <f>IFERROR(__xludf.DUMMYFUNCTION("""COMPUTED_VALUE"""),"Hương Sơ")</f>
        <v>Hương Sơ</v>
      </c>
      <c r="D4986" s="119" t="str">
        <f>IFERROR(__xludf.DUMMYFUNCTION("""COMPUTED_VALUE"""),"Mèo")</f>
        <v>Mèo</v>
      </c>
      <c r="E4986" s="119" t="str">
        <f>IFERROR(__xludf.DUMMYFUNCTION("""COMPUTED_VALUE"""),"Sisi")</f>
        <v>Sisi</v>
      </c>
    </row>
    <row r="4987" ht="15.75" customHeight="1">
      <c r="A4987" s="122" t="str">
        <f>IFERROR(__xludf.DUMMYFUNCTION("""COMPUTED_VALUE"""),"0354 258 525")</f>
        <v>0354 258 525</v>
      </c>
      <c r="B4987" s="119" t="str">
        <f>IFERROR(__xludf.DUMMYFUNCTION("""COMPUTED_VALUE"""),"Nguyễn Kim Long")</f>
        <v>Nguyễn Kim Long</v>
      </c>
      <c r="C4987" s="119" t="str">
        <f>IFERROR(__xludf.DUMMYFUNCTION("""COMPUTED_VALUE"""),"52 Nguyễn Phúc Thái")</f>
        <v>52 Nguyễn Phúc Thái</v>
      </c>
      <c r="D4987" s="119" t="str">
        <f>IFERROR(__xludf.DUMMYFUNCTION("""COMPUTED_VALUE"""),"Chó")</f>
        <v>Chó</v>
      </c>
      <c r="E4987" s="119" t="str">
        <f>IFERROR(__xludf.DUMMYFUNCTION("""COMPUTED_VALUE"""),"Đô")</f>
        <v>Đô</v>
      </c>
    </row>
    <row r="4988" ht="15.75" customHeight="1">
      <c r="A4988" s="122" t="str">
        <f>IFERROR(__xludf.DUMMYFUNCTION("""COMPUTED_VALUE"""),"0984 177 804")</f>
        <v>0984 177 804</v>
      </c>
      <c r="B4988" s="119" t="str">
        <f>IFERROR(__xludf.DUMMYFUNCTION("""COMPUTED_VALUE"""),"Chị Giang")</f>
        <v>Chị Giang</v>
      </c>
      <c r="C4988" s="119" t="str">
        <f>IFERROR(__xludf.DUMMYFUNCTION("""COMPUTED_VALUE"""),"51 Tân Trào-Hương Thuỷ")</f>
        <v>51 Tân Trào-Hương Thuỷ</v>
      </c>
      <c r="D4988" s="119" t="str">
        <f>IFERROR(__xludf.DUMMYFUNCTION("""COMPUTED_VALUE"""),"Chó")</f>
        <v>Chó</v>
      </c>
      <c r="E4988" s="119" t="str">
        <f>IFERROR(__xludf.DUMMYFUNCTION("""COMPUTED_VALUE"""),"Bông")</f>
        <v>Bông</v>
      </c>
    </row>
    <row r="4989" ht="15.75" customHeight="1">
      <c r="A4989" s="122" t="str">
        <f>IFERROR(__xludf.DUMMYFUNCTION("""COMPUTED_VALUE"""),"0989 905 557")</f>
        <v>0989 905 557</v>
      </c>
      <c r="B4989" s="119" t="str">
        <f>IFERROR(__xludf.DUMMYFUNCTION("""COMPUTED_VALUE"""),"Tường Vy")</f>
        <v>Tường Vy</v>
      </c>
      <c r="C4989" s="119" t="str">
        <f>IFERROR(__xludf.DUMMYFUNCTION("""COMPUTED_VALUE"""),"39 Trần Nhật Duật")</f>
        <v>39 Trần Nhật Duật</v>
      </c>
      <c r="D4989" s="119" t="str">
        <f>IFERROR(__xludf.DUMMYFUNCTION("""COMPUTED_VALUE"""),"Chó")</f>
        <v>Chó</v>
      </c>
      <c r="E4989" s="119" t="str">
        <f>IFERROR(__xludf.DUMMYFUNCTION("""COMPUTED_VALUE"""),"Micky")</f>
        <v>Micky</v>
      </c>
    </row>
    <row r="4990" ht="15.75" customHeight="1">
      <c r="A4990" s="122" t="str">
        <f>IFERROR(__xludf.DUMMYFUNCTION("""COMPUTED_VALUE"""),"0815 157 575")</f>
        <v>0815 157 575</v>
      </c>
      <c r="B4990" s="119" t="str">
        <f>IFERROR(__xludf.DUMMYFUNCTION("""COMPUTED_VALUE"""),"Chị Phương")</f>
        <v>Chị Phương</v>
      </c>
      <c r="C4990" s="119" t="str">
        <f>IFERROR(__xludf.DUMMYFUNCTION("""COMPUTED_VALUE"""),"k30 Hoàng Thị Loan")</f>
        <v>k30 Hoàng Thị Loan</v>
      </c>
      <c r="D4990" s="119" t="str">
        <f>IFERROR(__xludf.DUMMYFUNCTION("""COMPUTED_VALUE"""),"Chó")</f>
        <v>Chó</v>
      </c>
      <c r="E4990" s="119" t="str">
        <f>IFERROR(__xludf.DUMMYFUNCTION("""COMPUTED_VALUE"""),"Mập")</f>
        <v>Mập</v>
      </c>
    </row>
    <row r="4991" ht="15.75" customHeight="1">
      <c r="A4991" s="122" t="str">
        <f>IFERROR(__xludf.DUMMYFUNCTION("""COMPUTED_VALUE"""),"0889 250 091")</f>
        <v>0889 250 091</v>
      </c>
      <c r="B4991" s="119" t="str">
        <f>IFERROR(__xludf.DUMMYFUNCTION("""COMPUTED_VALUE"""),"Dì Xuân Ngọc")</f>
        <v>Dì Xuân Ngọc</v>
      </c>
      <c r="C4991" s="119" t="str">
        <f>IFERROR(__xludf.DUMMYFUNCTION("""COMPUTED_VALUE"""),"150/2 Kim Long")</f>
        <v>150/2 Kim Long</v>
      </c>
      <c r="D4991" s="119" t="str">
        <f>IFERROR(__xludf.DUMMYFUNCTION("""COMPUTED_VALUE"""),"Chó")</f>
        <v>Chó</v>
      </c>
      <c r="E4991" s="119" t="str">
        <f>IFERROR(__xludf.DUMMYFUNCTION("""COMPUTED_VALUE"""),"Trắng")</f>
        <v>Trắng</v>
      </c>
    </row>
    <row r="4992" ht="15.75" customHeight="1">
      <c r="A4992" s="122" t="str">
        <f>IFERROR(__xludf.DUMMYFUNCTION("""COMPUTED_VALUE"""),"0799 010 350")</f>
        <v>0799 010 350</v>
      </c>
      <c r="B4992" s="119" t="str">
        <f>IFERROR(__xludf.DUMMYFUNCTION("""COMPUTED_VALUE"""),"Chị Thuỷ Tiên")</f>
        <v>Chị Thuỷ Tiên</v>
      </c>
      <c r="C4992" s="119" t="str">
        <f>IFERROR(__xludf.DUMMYFUNCTION("""COMPUTED_VALUE"""),"32/42 Nguyễn Phúc Tần")</f>
        <v>32/42 Nguyễn Phúc Tần</v>
      </c>
      <c r="D4992" s="119" t="str">
        <f>IFERROR(__xludf.DUMMYFUNCTION("""COMPUTED_VALUE"""),"Chó")</f>
        <v>Chó</v>
      </c>
      <c r="E4992" s="119" t="str">
        <f>IFERROR(__xludf.DUMMYFUNCTION("""COMPUTED_VALUE"""),"Múp")</f>
        <v>Múp</v>
      </c>
    </row>
    <row r="4993" ht="15.75" customHeight="1">
      <c r="A4993" s="122" t="str">
        <f>IFERROR(__xludf.DUMMYFUNCTION("""COMPUTED_VALUE"""),"0775 407 015")</f>
        <v>0775 407 015</v>
      </c>
      <c r="B4993" s="119" t="str">
        <f>IFERROR(__xludf.DUMMYFUNCTION("""COMPUTED_VALUE"""),"Chị Quỳnh")</f>
        <v>Chị Quỳnh</v>
      </c>
      <c r="C4993" s="119" t="str">
        <f>IFERROR(__xludf.DUMMYFUNCTION("""COMPUTED_VALUE"""),"3/12/28 Vạn Xuân")</f>
        <v>3/12/28 Vạn Xuân</v>
      </c>
      <c r="D4993" s="119" t="str">
        <f>IFERROR(__xludf.DUMMYFUNCTION("""COMPUTED_VALUE"""),"Chó")</f>
        <v>Chó</v>
      </c>
      <c r="E4993" s="119" t="str">
        <f>IFERROR(__xludf.DUMMYFUNCTION("""COMPUTED_VALUE"""),"Út")</f>
        <v>Út</v>
      </c>
    </row>
    <row r="4994" ht="15.75" customHeight="1">
      <c r="A4994" s="122" t="str">
        <f>IFERROR(__xludf.DUMMYFUNCTION("""COMPUTED_VALUE"""),"0708 077 381")</f>
        <v>0708 077 381</v>
      </c>
      <c r="B4994" s="119" t="str">
        <f>IFERROR(__xludf.DUMMYFUNCTION("""COMPUTED_VALUE"""),"Chị Ngọc")</f>
        <v>Chị Ngọc</v>
      </c>
      <c r="C4994" s="119" t="str">
        <f>IFERROR(__xludf.DUMMYFUNCTION("""COMPUTED_VALUE"""),"64 Nguyễn Hoàng")</f>
        <v>64 Nguyễn Hoàng</v>
      </c>
      <c r="D4994" s="119" t="str">
        <f>IFERROR(__xludf.DUMMYFUNCTION("""COMPUTED_VALUE"""),"Chó")</f>
        <v>Chó</v>
      </c>
      <c r="E4994" s="119" t="str">
        <f>IFERROR(__xludf.DUMMYFUNCTION("""COMPUTED_VALUE"""),"Bộp")</f>
        <v>Bộp</v>
      </c>
    </row>
    <row r="4995" ht="15.75" customHeight="1">
      <c r="A4995" s="122" t="str">
        <f>IFERROR(__xludf.DUMMYFUNCTION("""COMPUTED_VALUE"""),"0387 174 001")</f>
        <v>0387 174 001</v>
      </c>
      <c r="B4995" s="119" t="str">
        <f>IFERROR(__xludf.DUMMYFUNCTION("""COMPUTED_VALUE"""),"Anh Hiền")</f>
        <v>Anh Hiền</v>
      </c>
      <c r="C4995" s="119" t="str">
        <f>IFERROR(__xludf.DUMMYFUNCTION("""COMPUTED_VALUE"""),"116 Nguyễn Hữu Dật")</f>
        <v>116 Nguyễn Hữu Dật</v>
      </c>
      <c r="D4995" s="119" t="str">
        <f>IFERROR(__xludf.DUMMYFUNCTION("""COMPUTED_VALUE"""),"Chó")</f>
        <v>Chó</v>
      </c>
      <c r="E4995" s="119" t="str">
        <f>IFERROR(__xludf.DUMMYFUNCTION("""COMPUTED_VALUE"""),"Rôn")</f>
        <v>Rôn</v>
      </c>
    </row>
    <row r="4996" ht="15.75" customHeight="1">
      <c r="A4996" s="122" t="str">
        <f>IFERROR(__xludf.DUMMYFUNCTION("""COMPUTED_VALUE"""),"0944 621 106")</f>
        <v>0944 621 106</v>
      </c>
      <c r="B4996" s="119" t="str">
        <f>IFERROR(__xludf.DUMMYFUNCTION("""COMPUTED_VALUE"""),"Bảo Lâm")</f>
        <v>Bảo Lâm</v>
      </c>
      <c r="C4996" s="119" t="str">
        <f>IFERROR(__xludf.DUMMYFUNCTION("""COMPUTED_VALUE"""),"3/11 Ngô Thì Nhậm")</f>
        <v>3/11 Ngô Thì Nhậm</v>
      </c>
      <c r="D4996" s="119" t="str">
        <f>IFERROR(__xludf.DUMMYFUNCTION("""COMPUTED_VALUE"""),"Mèo")</f>
        <v>Mèo</v>
      </c>
      <c r="E4996" s="119" t="str">
        <f>IFERROR(__xludf.DUMMYFUNCTION("""COMPUTED_VALUE"""),"Mèo")</f>
        <v>Mèo</v>
      </c>
    </row>
    <row r="4997" ht="15.75" customHeight="1">
      <c r="A4997" s="122" t="str">
        <f>IFERROR(__xludf.DUMMYFUNCTION("""COMPUTED_VALUE"""),"0899 324 123")</f>
        <v>0899 324 123</v>
      </c>
      <c r="B4997" s="119" t="str">
        <f>IFERROR(__xludf.DUMMYFUNCTION("""COMPUTED_VALUE"""),"Chị Ngọc Hà")</f>
        <v>Chị Ngọc Hà</v>
      </c>
      <c r="C4997" s="119" t="str">
        <f>IFERROR(__xludf.DUMMYFUNCTION("""COMPUTED_VALUE"""),"6 Tôn Thất Thiệp")</f>
        <v>6 Tôn Thất Thiệp</v>
      </c>
      <c r="D4997" s="119" t="str">
        <f>IFERROR(__xludf.DUMMYFUNCTION("""COMPUTED_VALUE"""),"Mèo")</f>
        <v>Mèo</v>
      </c>
      <c r="E4997" s="119" t="str">
        <f>IFERROR(__xludf.DUMMYFUNCTION("""COMPUTED_VALUE"""),"Mít")</f>
        <v>Mít</v>
      </c>
    </row>
    <row r="4998" ht="15.75" customHeight="1">
      <c r="A4998" s="122" t="str">
        <f>IFERROR(__xludf.DUMMYFUNCTION("""COMPUTED_VALUE"""),"0932 544 223")</f>
        <v>0932 544 223</v>
      </c>
      <c r="B4998" s="119" t="str">
        <f>IFERROR(__xludf.DUMMYFUNCTION("""COMPUTED_VALUE"""),"Anh Thành")</f>
        <v>Anh Thành</v>
      </c>
      <c r="C4998" s="119" t="str">
        <f>IFERROR(__xludf.DUMMYFUNCTION("""COMPUTED_VALUE"""),"Hương Hồ")</f>
        <v>Hương Hồ</v>
      </c>
      <c r="D4998" s="119" t="str">
        <f>IFERROR(__xludf.DUMMYFUNCTION("""COMPUTED_VALUE"""),"Chó")</f>
        <v>Chó</v>
      </c>
      <c r="E4998" s="119" t="str">
        <f>IFERROR(__xludf.DUMMYFUNCTION("""COMPUTED_VALUE"""),"Luýt")</f>
        <v>Luýt</v>
      </c>
    </row>
    <row r="4999" ht="15.75" customHeight="1">
      <c r="A4999" s="122" t="str">
        <f>IFERROR(__xludf.DUMMYFUNCTION("""COMPUTED_VALUE"""),"0901 162 090")</f>
        <v>0901 162 090</v>
      </c>
      <c r="B4999" s="119" t="str">
        <f>IFERROR(__xludf.DUMMYFUNCTION("""COMPUTED_VALUE"""),"Anh Huy")</f>
        <v>Anh Huy</v>
      </c>
      <c r="C4999" s="119" t="str">
        <f>IFERROR(__xludf.DUMMYFUNCTION("""COMPUTED_VALUE"""),"3 Nguyễn Hoàng")</f>
        <v>3 Nguyễn Hoàng</v>
      </c>
      <c r="D4999" s="119" t="str">
        <f>IFERROR(__xludf.DUMMYFUNCTION("""COMPUTED_VALUE"""),"Chó")</f>
        <v>Chó</v>
      </c>
      <c r="E4999" s="119"/>
    </row>
    <row r="5000" ht="15.75" customHeight="1">
      <c r="A5000" s="122" t="str">
        <f>IFERROR(__xludf.DUMMYFUNCTION("""COMPUTED_VALUE"""),"0934 940 163")</f>
        <v>0934 940 163</v>
      </c>
      <c r="B5000" s="119" t="str">
        <f>IFERROR(__xludf.DUMMYFUNCTION("""COMPUTED_VALUE"""),"Dì Tý")</f>
        <v>Dì Tý</v>
      </c>
      <c r="C5000" s="119" t="str">
        <f>IFERROR(__xludf.DUMMYFUNCTION("""COMPUTED_VALUE"""),"2/14/11 Nguyễn Phúc Lan")</f>
        <v>2/14/11 Nguyễn Phúc Lan</v>
      </c>
      <c r="D5000" s="119" t="str">
        <f>IFERROR(__xludf.DUMMYFUNCTION("""COMPUTED_VALUE"""),"Chó")</f>
        <v>Chó</v>
      </c>
      <c r="E5000" s="119" t="str">
        <f>IFERROR(__xludf.DUMMYFUNCTION("""COMPUTED_VALUE"""),"Milo")</f>
        <v>Milo</v>
      </c>
    </row>
    <row r="5001" ht="15.75" customHeight="1">
      <c r="A5001" s="122" t="str">
        <f>IFERROR(__xludf.DUMMYFUNCTION("""COMPUTED_VALUE"""),"0389 070 979")</f>
        <v>0389 070 979</v>
      </c>
      <c r="B5001" s="119" t="str">
        <f>IFERROR(__xludf.DUMMYFUNCTION("""COMPUTED_VALUE"""),"Chị Thuý")</f>
        <v>Chị Thuý</v>
      </c>
      <c r="C5001" s="119" t="str">
        <f>IFERROR(__xludf.DUMMYFUNCTION("""COMPUTED_VALUE"""),"7/316 Nguyễn Sinh Cung")</f>
        <v>7/316 Nguyễn Sinh Cung</v>
      </c>
      <c r="D5001" s="119" t="str">
        <f>IFERROR(__xludf.DUMMYFUNCTION("""COMPUTED_VALUE"""),"Mèo")</f>
        <v>Mèo</v>
      </c>
      <c r="E5001" s="119" t="str">
        <f>IFERROR(__xludf.DUMMYFUNCTION("""COMPUTED_VALUE"""),"Pull")</f>
        <v>Pull</v>
      </c>
    </row>
    <row r="5002" ht="15.75" customHeight="1">
      <c r="A5002" s="122" t="str">
        <f>IFERROR(__xludf.DUMMYFUNCTION("""COMPUTED_VALUE"""),"0793 455 565")</f>
        <v>0793 455 565</v>
      </c>
      <c r="B5002" s="119" t="str">
        <f>IFERROR(__xludf.DUMMYFUNCTION("""COMPUTED_VALUE"""),"Anh Trí")</f>
        <v>Anh Trí</v>
      </c>
      <c r="C5002" s="119" t="str">
        <f>IFERROR(__xludf.DUMMYFUNCTION("""COMPUTED_VALUE"""),"73 Hoang Diệu")</f>
        <v>73 Hoang Diệu</v>
      </c>
      <c r="D5002" s="119" t="str">
        <f>IFERROR(__xludf.DUMMYFUNCTION("""COMPUTED_VALUE"""),"Chó")</f>
        <v>Chó</v>
      </c>
      <c r="E5002" s="119" t="str">
        <f>IFERROR(__xludf.DUMMYFUNCTION("""COMPUTED_VALUE"""),"Ngáo")</f>
        <v>Ngáo</v>
      </c>
    </row>
    <row r="5003" ht="15.75" customHeight="1">
      <c r="A5003" s="122" t="str">
        <f>IFERROR(__xludf.DUMMYFUNCTION("""COMPUTED_VALUE"""),"0398 340 800")</f>
        <v>0398 340 800</v>
      </c>
      <c r="B5003" s="119" t="str">
        <f>IFERROR(__xludf.DUMMYFUNCTION("""COMPUTED_VALUE"""),"Chú Hải")</f>
        <v>Chú Hải</v>
      </c>
      <c r="C5003" s="119" t="str">
        <f>IFERROR(__xludf.DUMMYFUNCTION("""COMPUTED_VALUE"""),"34 Phú Mộng")</f>
        <v>34 Phú Mộng</v>
      </c>
      <c r="D5003" s="119" t="str">
        <f>IFERROR(__xludf.DUMMYFUNCTION("""COMPUTED_VALUE"""),"Chó")</f>
        <v>Chó</v>
      </c>
      <c r="E5003" s="119" t="str">
        <f>IFERROR(__xludf.DUMMYFUNCTION("""COMPUTED_VALUE"""),"Kem")</f>
        <v>Kem</v>
      </c>
    </row>
    <row r="5004" ht="15.75" customHeight="1">
      <c r="A5004" s="122" t="str">
        <f>IFERROR(__xludf.DUMMYFUNCTION("""COMPUTED_VALUE"""),"0778 976 606")</f>
        <v>0778 976 606</v>
      </c>
      <c r="B5004" s="119" t="str">
        <f>IFERROR(__xludf.DUMMYFUNCTION("""COMPUTED_VALUE"""),"Chị Vân")</f>
        <v>Chị Vân</v>
      </c>
      <c r="C5004" s="119" t="str">
        <f>IFERROR(__xludf.DUMMYFUNCTION("""COMPUTED_VALUE"""),"400 Lê Duẫn")</f>
        <v>400 Lê Duẫn</v>
      </c>
      <c r="D5004" s="119" t="str">
        <f>IFERROR(__xludf.DUMMYFUNCTION("""COMPUTED_VALUE"""),"Mèo")</f>
        <v>Mèo</v>
      </c>
      <c r="E5004" s="119" t="str">
        <f>IFERROR(__xludf.DUMMYFUNCTION("""COMPUTED_VALUE"""),"Bo")</f>
        <v>Bo</v>
      </c>
    </row>
    <row r="5005" ht="15.75" customHeight="1">
      <c r="A5005" s="122" t="str">
        <f>IFERROR(__xludf.DUMMYFUNCTION("""COMPUTED_VALUE"""),"0372 810 693")</f>
        <v>0372 810 693</v>
      </c>
      <c r="B5005" s="119" t="str">
        <f>IFERROR(__xludf.DUMMYFUNCTION("""COMPUTED_VALUE"""),"Anh Hưng")</f>
        <v>Anh Hưng</v>
      </c>
      <c r="C5005" s="119" t="str">
        <f>IFERROR(__xludf.DUMMYFUNCTION("""COMPUTED_VALUE"""),"41 Phan Trọng Tịnh")</f>
        <v>41 Phan Trọng Tịnh</v>
      </c>
      <c r="D5005" s="119" t="str">
        <f>IFERROR(__xludf.DUMMYFUNCTION("""COMPUTED_VALUE"""),"Chó")</f>
        <v>Chó</v>
      </c>
      <c r="E5005" s="119" t="str">
        <f>IFERROR(__xludf.DUMMYFUNCTION("""COMPUTED_VALUE"""),"Rich")</f>
        <v>Rich</v>
      </c>
    </row>
    <row r="5006" ht="15.75" customHeight="1">
      <c r="A5006" s="122" t="str">
        <f>IFERROR(__xludf.DUMMYFUNCTION("""COMPUTED_VALUE"""),"0935 190 127")</f>
        <v>0935 190 127</v>
      </c>
      <c r="B5006" s="119" t="str">
        <f>IFERROR(__xludf.DUMMYFUNCTION("""COMPUTED_VALUE"""),"Chị Hiền")</f>
        <v>Chị Hiền</v>
      </c>
      <c r="C5006" s="119" t="str">
        <f>IFERROR(__xludf.DUMMYFUNCTION("""COMPUTED_VALUE"""),"Tổ 8 kv2 Hương Long")</f>
        <v>Tổ 8 kv2 Hương Long</v>
      </c>
      <c r="D5006" s="119" t="str">
        <f>IFERROR(__xludf.DUMMYFUNCTION("""COMPUTED_VALUE"""),"Chó")</f>
        <v>Chó</v>
      </c>
      <c r="E5006" s="119" t="str">
        <f>IFERROR(__xludf.DUMMYFUNCTION("""COMPUTED_VALUE"""),"KiKi")</f>
        <v>KiKi</v>
      </c>
    </row>
    <row r="5007" ht="15.75" customHeight="1">
      <c r="A5007" s="122" t="str">
        <f>IFERROR(__xludf.DUMMYFUNCTION("""COMPUTED_VALUE"""),"0368 468 662")</f>
        <v>0368 468 662</v>
      </c>
      <c r="B5007" s="119" t="str">
        <f>IFERROR(__xludf.DUMMYFUNCTION("""COMPUTED_VALUE"""),"Anh Việt")</f>
        <v>Anh Việt</v>
      </c>
      <c r="C5007" s="119" t="str">
        <f>IFERROR(__xludf.DUMMYFUNCTION("""COMPUTED_VALUE"""),"212 Lý Nam Đế")</f>
        <v>212 Lý Nam Đế</v>
      </c>
      <c r="D5007" s="119" t="str">
        <f>IFERROR(__xludf.DUMMYFUNCTION("""COMPUTED_VALUE"""),"Chó")</f>
        <v>Chó</v>
      </c>
      <c r="E5007" s="119"/>
    </row>
    <row r="5008" ht="15.75" customHeight="1">
      <c r="A5008" s="122" t="str">
        <f>IFERROR(__xludf.DUMMYFUNCTION("""COMPUTED_VALUE"""),"0898 150 222")</f>
        <v>0898 150 222</v>
      </c>
      <c r="B5008" s="119" t="str">
        <f>IFERROR(__xludf.DUMMYFUNCTION("""COMPUTED_VALUE"""),"Anh Quang")</f>
        <v>Anh Quang</v>
      </c>
      <c r="C5008" s="119" t="str">
        <f>IFERROR(__xludf.DUMMYFUNCTION("""COMPUTED_VALUE"""),"280 Văn Thánh")</f>
        <v>280 Văn Thánh</v>
      </c>
      <c r="D5008" s="119" t="str">
        <f>IFERROR(__xludf.DUMMYFUNCTION("""COMPUTED_VALUE"""),"Chó")</f>
        <v>Chó</v>
      </c>
      <c r="E5008" s="119" t="str">
        <f>IFERROR(__xludf.DUMMYFUNCTION("""COMPUTED_VALUE"""),"Ken")</f>
        <v>Ken</v>
      </c>
    </row>
    <row r="5009" ht="15.75" customHeight="1">
      <c r="A5009" s="122" t="str">
        <f>IFERROR(__xludf.DUMMYFUNCTION("""COMPUTED_VALUE"""),"0905 127 264")</f>
        <v>0905 127 264</v>
      </c>
      <c r="B5009" s="119" t="str">
        <f>IFERROR(__xludf.DUMMYFUNCTION("""COMPUTED_VALUE"""),"Dì Thuỷ")</f>
        <v>Dì Thuỷ</v>
      </c>
      <c r="C5009" s="119" t="str">
        <f>IFERROR(__xludf.DUMMYFUNCTION("""COMPUTED_VALUE"""),"19 Vạn Xuân")</f>
        <v>19 Vạn Xuân</v>
      </c>
      <c r="D5009" s="119" t="str">
        <f>IFERROR(__xludf.DUMMYFUNCTION("""COMPUTED_VALUE"""),"Chó")</f>
        <v>Chó</v>
      </c>
      <c r="E5009" s="119" t="str">
        <f>IFERROR(__xludf.DUMMYFUNCTION("""COMPUTED_VALUE"""),"Xệ")</f>
        <v>Xệ</v>
      </c>
    </row>
    <row r="5010" ht="15.75" customHeight="1">
      <c r="A5010" s="122" t="str">
        <f>IFERROR(__xludf.DUMMYFUNCTION("""COMPUTED_VALUE"""),"0914 696 995")</f>
        <v>0914 696 995</v>
      </c>
      <c r="B5010" s="119" t="str">
        <f>IFERROR(__xludf.DUMMYFUNCTION("""COMPUTED_VALUE"""),"Anh Thành")</f>
        <v>Anh Thành</v>
      </c>
      <c r="C5010" s="119" t="str">
        <f>IFERROR(__xludf.DUMMYFUNCTION("""COMPUTED_VALUE"""),"278 Bùi Thị Xuân")</f>
        <v>278 Bùi Thị Xuân</v>
      </c>
      <c r="D5010" s="119" t="str">
        <f>IFERROR(__xludf.DUMMYFUNCTION("""COMPUTED_VALUE"""),"chó")</f>
        <v>chó</v>
      </c>
      <c r="E5010" s="119" t="str">
        <f>IFERROR(__xludf.DUMMYFUNCTION("""COMPUTED_VALUE"""),"Khoai")</f>
        <v>Khoai</v>
      </c>
    </row>
    <row r="5011" ht="15.75" customHeight="1">
      <c r="A5011" s="122" t="str">
        <f>IFERROR(__xludf.DUMMYFUNCTION("""COMPUTED_VALUE"""),"0796 680 069")</f>
        <v>0796 680 069</v>
      </c>
      <c r="B5011" s="119" t="str">
        <f>IFERROR(__xludf.DUMMYFUNCTION("""COMPUTED_VALUE"""),"Đinh Thị Dạ Lý")</f>
        <v>Đinh Thị Dạ Lý</v>
      </c>
      <c r="C5011" s="119" t="str">
        <f>IFERROR(__xludf.DUMMYFUNCTION("""COMPUTED_VALUE"""),"03 Bùi Thị Xuân")</f>
        <v>03 Bùi Thị Xuân</v>
      </c>
      <c r="D5011" s="119" t="str">
        <f>IFERROR(__xludf.DUMMYFUNCTION("""COMPUTED_VALUE"""),"Chó")</f>
        <v>Chó</v>
      </c>
      <c r="E5011" s="119" t="str">
        <f>IFERROR(__xludf.DUMMYFUNCTION("""COMPUTED_VALUE"""),"Ka")</f>
        <v>Ka</v>
      </c>
    </row>
    <row r="5012" ht="15.75" customHeight="1">
      <c r="A5012" s="122" t="str">
        <f>IFERROR(__xludf.DUMMYFUNCTION("""COMPUTED_VALUE"""),"0914 550 259")</f>
        <v>0914 550 259</v>
      </c>
      <c r="B5012" s="119" t="str">
        <f>IFERROR(__xludf.DUMMYFUNCTION("""COMPUTED_VALUE"""),"Chị Lài")</f>
        <v>Chị Lài</v>
      </c>
      <c r="C5012" s="119" t="str">
        <f>IFERROR(__xludf.DUMMYFUNCTION("""COMPUTED_VALUE"""),"An Lỗ")</f>
        <v>An Lỗ</v>
      </c>
      <c r="D5012" s="119" t="str">
        <f>IFERROR(__xludf.DUMMYFUNCTION("""COMPUTED_VALUE"""),"Mèo")</f>
        <v>Mèo</v>
      </c>
      <c r="E5012" s="119" t="str">
        <f>IFERROR(__xludf.DUMMYFUNCTION("""COMPUTED_VALUE"""),"Tôm")</f>
        <v>Tôm</v>
      </c>
    </row>
    <row r="5013" ht="15.75" customHeight="1">
      <c r="A5013" s="122" t="str">
        <f>IFERROR(__xludf.DUMMYFUNCTION("""COMPUTED_VALUE"""),"0326 504 151")</f>
        <v>0326 504 151</v>
      </c>
      <c r="B5013" s="119" t="str">
        <f>IFERROR(__xludf.DUMMYFUNCTION("""COMPUTED_VALUE"""),"Anh Nhật")</f>
        <v>Anh Nhật</v>
      </c>
      <c r="C5013" s="119" t="str">
        <f>IFERROR(__xludf.DUMMYFUNCTION("""COMPUTED_VALUE"""),"52 Lê Quang Quyền")</f>
        <v>52 Lê Quang Quyền</v>
      </c>
      <c r="D5013" s="119" t="str">
        <f>IFERROR(__xludf.DUMMYFUNCTION("""COMPUTED_VALUE"""),"Chó")</f>
        <v>Chó</v>
      </c>
      <c r="E5013" s="119" t="str">
        <f>IFERROR(__xludf.DUMMYFUNCTION("""COMPUTED_VALUE"""),"Gấu")</f>
        <v>Gấu</v>
      </c>
    </row>
    <row r="5014" ht="15.75" customHeight="1">
      <c r="A5014" s="122" t="str">
        <f>IFERROR(__xludf.DUMMYFUNCTION("""COMPUTED_VALUE"""),"0988 208 052")</f>
        <v>0988 208 052</v>
      </c>
      <c r="B5014" s="119" t="str">
        <f>IFERROR(__xludf.DUMMYFUNCTION("""COMPUTED_VALUE"""),"Bác Ngọc Quang")</f>
        <v>Bác Ngọc Quang</v>
      </c>
      <c r="C5014" s="119" t="str">
        <f>IFERROR(__xludf.DUMMYFUNCTION("""COMPUTED_VALUE"""),"8/68 Nguyễn Phúc Chu")</f>
        <v>8/68 Nguyễn Phúc Chu</v>
      </c>
      <c r="D5014" s="119" t="str">
        <f>IFERROR(__xludf.DUMMYFUNCTION("""COMPUTED_VALUE"""),"Chó")</f>
        <v>Chó</v>
      </c>
      <c r="E5014" s="119" t="str">
        <f>IFERROR(__xludf.DUMMYFUNCTION("""COMPUTED_VALUE"""),"Pins")</f>
        <v>Pins</v>
      </c>
    </row>
    <row r="5015" ht="15.75" customHeight="1">
      <c r="A5015" s="122" t="str">
        <f>IFERROR(__xludf.DUMMYFUNCTION("""COMPUTED_VALUE"""),"0899 919 405")</f>
        <v>0899 919 405</v>
      </c>
      <c r="B5015" s="119" t="str">
        <f>IFERROR(__xludf.DUMMYFUNCTION("""COMPUTED_VALUE"""),"Chị Hằng")</f>
        <v>Chị Hằng</v>
      </c>
      <c r="C5015" s="119" t="str">
        <f>IFERROR(__xludf.DUMMYFUNCTION("""COMPUTED_VALUE"""),"Kiệt 185 Nguyễn Lộ Trạch")</f>
        <v>Kiệt 185 Nguyễn Lộ Trạch</v>
      </c>
      <c r="D5015" s="119" t="str">
        <f>IFERROR(__xludf.DUMMYFUNCTION("""COMPUTED_VALUE"""),"Chó")</f>
        <v>Chó</v>
      </c>
      <c r="E5015" s="119" t="str">
        <f>IFERROR(__xludf.DUMMYFUNCTION("""COMPUTED_VALUE"""),"Bi")</f>
        <v>Bi</v>
      </c>
    </row>
    <row r="5016" ht="15.75" customHeight="1">
      <c r="A5016" s="122" t="str">
        <f>IFERROR(__xludf.DUMMYFUNCTION("""COMPUTED_VALUE"""),"0373 164 724")</f>
        <v>0373 164 724</v>
      </c>
      <c r="B5016" s="119" t="str">
        <f>IFERROR(__xludf.DUMMYFUNCTION("""COMPUTED_VALUE"""),"Dì Hoàng")</f>
        <v>Dì Hoàng</v>
      </c>
      <c r="C5016" s="119" t="str">
        <f>IFERROR(__xludf.DUMMYFUNCTION("""COMPUTED_VALUE"""),"164 Điện Biên Phủ")</f>
        <v>164 Điện Biên Phủ</v>
      </c>
      <c r="D5016" s="119" t="str">
        <f>IFERROR(__xludf.DUMMYFUNCTION("""COMPUTED_VALUE"""),"Chó")</f>
        <v>Chó</v>
      </c>
      <c r="E5016" s="119" t="str">
        <f>IFERROR(__xludf.DUMMYFUNCTION("""COMPUTED_VALUE"""),"Xù")</f>
        <v>Xù</v>
      </c>
    </row>
    <row r="5017" ht="15.75" customHeight="1">
      <c r="A5017" s="122" t="str">
        <f>IFERROR(__xludf.DUMMYFUNCTION("""COMPUTED_VALUE"""),"0853 196 211")</f>
        <v>0853 196 211</v>
      </c>
      <c r="B5017" s="119" t="str">
        <f>IFERROR(__xludf.DUMMYFUNCTION("""COMPUTED_VALUE"""),"Em Thanh Phong")</f>
        <v>Em Thanh Phong</v>
      </c>
      <c r="C5017" s="119" t="str">
        <f>IFERROR(__xludf.DUMMYFUNCTION("""COMPUTED_VALUE"""),"20/3/5 Vạn xuân")</f>
        <v>20/3/5 Vạn xuân</v>
      </c>
      <c r="D5017" s="119" t="str">
        <f>IFERROR(__xludf.DUMMYFUNCTION("""COMPUTED_VALUE"""),"Mèo")</f>
        <v>Mèo</v>
      </c>
      <c r="E5017" s="119" t="str">
        <f>IFERROR(__xludf.DUMMYFUNCTION("""COMPUTED_VALUE"""),"Mận")</f>
        <v>Mận</v>
      </c>
    </row>
    <row r="5018" ht="15.75" customHeight="1">
      <c r="A5018" s="122" t="str">
        <f>IFERROR(__xludf.DUMMYFUNCTION("""COMPUTED_VALUE"""),"0775 553 331")</f>
        <v>0775 553 331</v>
      </c>
      <c r="B5018" s="119" t="str">
        <f>IFERROR(__xludf.DUMMYFUNCTION("""COMPUTED_VALUE"""),"Chị Ái Thi")</f>
        <v>Chị Ái Thi</v>
      </c>
      <c r="C5018" s="119" t="str">
        <f>IFERROR(__xludf.DUMMYFUNCTION("""COMPUTED_VALUE"""),"2/15 kiệt Ưng Bình")</f>
        <v>2/15 kiệt Ưng Bình</v>
      </c>
      <c r="D5018" s="119" t="str">
        <f>IFERROR(__xludf.DUMMYFUNCTION("""COMPUTED_VALUE"""),"Chó")</f>
        <v>Chó</v>
      </c>
      <c r="E5018" s="119" t="str">
        <f>IFERROR(__xludf.DUMMYFUNCTION("""COMPUTED_VALUE"""),"Lô")</f>
        <v>Lô</v>
      </c>
    </row>
    <row r="5019" ht="15.75" customHeight="1">
      <c r="A5019" s="122" t="str">
        <f>IFERROR(__xludf.DUMMYFUNCTION("""COMPUTED_VALUE"""),"0775 402 307")</f>
        <v>0775 402 307</v>
      </c>
      <c r="B5019" s="119" t="str">
        <f>IFERROR(__xludf.DUMMYFUNCTION("""COMPUTED_VALUE"""),"Trần Phương Uyên")</f>
        <v>Trần Phương Uyên</v>
      </c>
      <c r="C5019" s="119" t="str">
        <f>IFERROR(__xludf.DUMMYFUNCTION("""COMPUTED_VALUE"""),"11a Mang cá")</f>
        <v>11a Mang cá</v>
      </c>
      <c r="D5019" s="119" t="str">
        <f>IFERROR(__xludf.DUMMYFUNCTION("""COMPUTED_VALUE"""),"Chó")</f>
        <v>Chó</v>
      </c>
      <c r="E5019" s="119" t="str">
        <f>IFERROR(__xludf.DUMMYFUNCTION("""COMPUTED_VALUE"""),"Đậu Hủ")</f>
        <v>Đậu Hủ</v>
      </c>
    </row>
    <row r="5020" ht="15.75" customHeight="1">
      <c r="A5020" s="122" t="str">
        <f>IFERROR(__xludf.DUMMYFUNCTION("""COMPUTED_VALUE"""),"0905 137 906")</f>
        <v>0905 137 906</v>
      </c>
      <c r="B5020" s="119" t="str">
        <f>IFERROR(__xludf.DUMMYFUNCTION("""COMPUTED_VALUE"""),"Thảo Quyên")</f>
        <v>Thảo Quyên</v>
      </c>
      <c r="C5020" s="119" t="str">
        <f>IFERROR(__xludf.DUMMYFUNCTION("""COMPUTED_VALUE"""),"10 kiệt 175 Phan Bội Châu")</f>
        <v>10 kiệt 175 Phan Bội Châu</v>
      </c>
      <c r="D5020" s="119" t="str">
        <f>IFERROR(__xludf.DUMMYFUNCTION("""COMPUTED_VALUE"""),"Mèo")</f>
        <v>Mèo</v>
      </c>
      <c r="E5020" s="119" t="str">
        <f>IFERROR(__xludf.DUMMYFUNCTION("""COMPUTED_VALUE"""),"Bau")</f>
        <v>Bau</v>
      </c>
    </row>
    <row r="5021" ht="15.75" customHeight="1">
      <c r="A5021" s="122" t="str">
        <f>IFERROR(__xludf.DUMMYFUNCTION("""COMPUTED_VALUE"""),"0969 692 487")</f>
        <v>0969 692 487</v>
      </c>
      <c r="B5021" s="119" t="str">
        <f>IFERROR(__xludf.DUMMYFUNCTION("""COMPUTED_VALUE"""),"Trần Anh Tuấn")</f>
        <v>Trần Anh Tuấn</v>
      </c>
      <c r="C5021" s="119" t="str">
        <f>IFERROR(__xludf.DUMMYFUNCTION("""COMPUTED_VALUE"""),"03 Đặng Trần Côn")</f>
        <v>03 Đặng Trần Côn</v>
      </c>
      <c r="D5021" s="119" t="str">
        <f>IFERROR(__xludf.DUMMYFUNCTION("""COMPUTED_VALUE"""),"Chó")</f>
        <v>Chó</v>
      </c>
      <c r="E5021" s="119" t="str">
        <f>IFERROR(__xludf.DUMMYFUNCTION("""COMPUTED_VALUE"""),"Mật")</f>
        <v>Mật</v>
      </c>
    </row>
    <row r="5022" ht="15.75" customHeight="1">
      <c r="A5022" s="122" t="str">
        <f>IFERROR(__xludf.DUMMYFUNCTION("""COMPUTED_VALUE"""),"0909 586 005")</f>
        <v>0909 586 005</v>
      </c>
      <c r="B5022" s="119" t="str">
        <f>IFERROR(__xludf.DUMMYFUNCTION("""COMPUTED_VALUE"""),"Dì Nhung")</f>
        <v>Dì Nhung</v>
      </c>
      <c r="C5022" s="119" t="str">
        <f>IFERROR(__xludf.DUMMYFUNCTION("""COMPUTED_VALUE"""),"1/175 Trần Phú")</f>
        <v>1/175 Trần Phú</v>
      </c>
      <c r="D5022" s="119" t="str">
        <f>IFERROR(__xludf.DUMMYFUNCTION("""COMPUTED_VALUE"""),"mèo")</f>
        <v>mèo</v>
      </c>
      <c r="E5022" s="119" t="str">
        <f>IFERROR(__xludf.DUMMYFUNCTION("""COMPUTED_VALUE"""),"Miu")</f>
        <v>Miu</v>
      </c>
    </row>
    <row r="5023" ht="15.75" customHeight="1">
      <c r="A5023" s="122" t="str">
        <f>IFERROR(__xludf.DUMMYFUNCTION("""COMPUTED_VALUE"""),"0932 524 961")</f>
        <v>0932 524 961</v>
      </c>
      <c r="B5023" s="119" t="str">
        <f>IFERROR(__xludf.DUMMYFUNCTION("""COMPUTED_VALUE"""),"Chị Hương")</f>
        <v>Chị Hương</v>
      </c>
      <c r="C5023" s="119" t="str">
        <f>IFERROR(__xludf.DUMMYFUNCTION("""COMPUTED_VALUE"""),"197 Điện Biên Phủ")</f>
        <v>197 Điện Biên Phủ</v>
      </c>
      <c r="D5023" s="119" t="str">
        <f>IFERROR(__xludf.DUMMYFUNCTION("""COMPUTED_VALUE"""),"Mèo")</f>
        <v>Mèo</v>
      </c>
      <c r="E5023" s="119" t="str">
        <f>IFERROR(__xludf.DUMMYFUNCTION("""COMPUTED_VALUE"""),"sec")</f>
        <v>sec</v>
      </c>
    </row>
    <row r="5024" ht="15.75" customHeight="1">
      <c r="A5024" s="122" t="str">
        <f>IFERROR(__xludf.DUMMYFUNCTION("""COMPUTED_VALUE"""),"0905 137 855")</f>
        <v>0905 137 855</v>
      </c>
      <c r="B5024" s="119" t="str">
        <f>IFERROR(__xludf.DUMMYFUNCTION("""COMPUTED_VALUE"""),"Dì Hương")</f>
        <v>Dì Hương</v>
      </c>
      <c r="C5024" s="119" t="str">
        <f>IFERROR(__xludf.DUMMYFUNCTION("""COMPUTED_VALUE"""),"65/18 Đặng Huy Trứ")</f>
        <v>65/18 Đặng Huy Trứ</v>
      </c>
      <c r="D5024" s="119" t="str">
        <f>IFERROR(__xludf.DUMMYFUNCTION("""COMPUTED_VALUE"""),"chó")</f>
        <v>chó</v>
      </c>
      <c r="E5024" s="119"/>
    </row>
    <row r="5025" ht="15.75" customHeight="1">
      <c r="A5025" s="122" t="str">
        <f>IFERROR(__xludf.DUMMYFUNCTION("""COMPUTED_VALUE"""),"0796 605 560")</f>
        <v>0796 605 560</v>
      </c>
      <c r="B5025" s="119" t="str">
        <f>IFERROR(__xludf.DUMMYFUNCTION("""COMPUTED_VALUE"""),"Nguyễn Văn Quang")</f>
        <v>Nguyễn Văn Quang</v>
      </c>
      <c r="C5025" s="119" t="str">
        <f>IFERROR(__xludf.DUMMYFUNCTION("""COMPUTED_VALUE"""),"18 Lê Thánh Tôn")</f>
        <v>18 Lê Thánh Tôn</v>
      </c>
      <c r="D5025" s="119" t="str">
        <f>IFERROR(__xludf.DUMMYFUNCTION("""COMPUTED_VALUE"""),"Mèo")</f>
        <v>Mèo</v>
      </c>
      <c r="E5025" s="119" t="str">
        <f>IFERROR(__xludf.DUMMYFUNCTION("""COMPUTED_VALUE"""),"Bo")</f>
        <v>Bo</v>
      </c>
    </row>
    <row r="5026" ht="15.75" customHeight="1">
      <c r="A5026" s="122" t="str">
        <f>IFERROR(__xludf.DUMMYFUNCTION("""COMPUTED_VALUE"""),"0345 342 828")</f>
        <v>0345 342 828</v>
      </c>
      <c r="B5026" s="119" t="str">
        <f>IFERROR(__xludf.DUMMYFUNCTION("""COMPUTED_VALUE"""),"Nguyễn Thanh Phong")</f>
        <v>Nguyễn Thanh Phong</v>
      </c>
      <c r="C5026" s="119" t="str">
        <f>IFERROR(__xludf.DUMMYFUNCTION("""COMPUTED_VALUE"""),"308 Phan Chu Trinh")</f>
        <v>308 Phan Chu Trinh</v>
      </c>
      <c r="D5026" s="119" t="str">
        <f>IFERROR(__xludf.DUMMYFUNCTION("""COMPUTED_VALUE"""),"Mèo")</f>
        <v>Mèo</v>
      </c>
      <c r="E5026" s="119" t="str">
        <f>IFERROR(__xludf.DUMMYFUNCTION("""COMPUTED_VALUE"""),"Cam")</f>
        <v>Cam</v>
      </c>
    </row>
    <row r="5027" ht="15.75" customHeight="1">
      <c r="A5027" s="122" t="str">
        <f>IFERROR(__xludf.DUMMYFUNCTION("""COMPUTED_VALUE"""),"0813 472 456")</f>
        <v>0813 472 456</v>
      </c>
      <c r="B5027" s="119" t="str">
        <f>IFERROR(__xludf.DUMMYFUNCTION("""COMPUTED_VALUE"""),"Em Vy")</f>
        <v>Em Vy</v>
      </c>
      <c r="C5027" s="119" t="str">
        <f>IFERROR(__xludf.DUMMYFUNCTION("""COMPUTED_VALUE"""),"26/69/131 Trần Phú")</f>
        <v>26/69/131 Trần Phú</v>
      </c>
      <c r="D5027" s="119" t="str">
        <f>IFERROR(__xludf.DUMMYFUNCTION("""COMPUTED_VALUE"""),"chó")</f>
        <v>chó</v>
      </c>
      <c r="E5027" s="119" t="str">
        <f>IFERROR(__xludf.DUMMYFUNCTION("""COMPUTED_VALUE"""),"Lu ")</f>
        <v>Lu </v>
      </c>
    </row>
    <row r="5028" ht="15.75" customHeight="1">
      <c r="A5028" s="122" t="str">
        <f>IFERROR(__xludf.DUMMYFUNCTION("""COMPUTED_VALUE"""),"0353 947 313")</f>
        <v>0353 947 313</v>
      </c>
      <c r="B5028" s="119" t="str">
        <f>IFERROR(__xludf.DUMMYFUNCTION("""COMPUTED_VALUE"""),"Anh Quang")</f>
        <v>Anh Quang</v>
      </c>
      <c r="C5028" s="119" t="str">
        <f>IFERROR(__xludf.DUMMYFUNCTION("""COMPUTED_VALUE"""),"29/131 Trần Phú")</f>
        <v>29/131 Trần Phú</v>
      </c>
      <c r="D5028" s="119" t="str">
        <f>IFERROR(__xludf.DUMMYFUNCTION("""COMPUTED_VALUE"""),"chó")</f>
        <v>chó</v>
      </c>
      <c r="E5028" s="119" t="str">
        <f>IFERROR(__xludf.DUMMYFUNCTION("""COMPUTED_VALUE"""),"Sóc")</f>
        <v>Sóc</v>
      </c>
    </row>
    <row r="5029" ht="15.75" customHeight="1">
      <c r="A5029" s="122" t="str">
        <f>IFERROR(__xludf.DUMMYFUNCTION("""COMPUTED_VALUE"""),"0931 811 031")</f>
        <v>0931 811 031</v>
      </c>
      <c r="B5029" s="119" t="str">
        <f>IFERROR(__xludf.DUMMYFUNCTION("""COMPUTED_VALUE"""),"Chị Hằng")</f>
        <v>Chị Hằng</v>
      </c>
      <c r="C5029" s="119" t="str">
        <f>IFERROR(__xludf.DUMMYFUNCTION("""COMPUTED_VALUE"""),"Tp Hồ Chí Minh")</f>
        <v>Tp Hồ Chí Minh</v>
      </c>
      <c r="D5029" s="119" t="str">
        <f>IFERROR(__xludf.DUMMYFUNCTION("""COMPUTED_VALUE"""),"Chó")</f>
        <v>Chó</v>
      </c>
      <c r="E5029" s="119" t="str">
        <f>IFERROR(__xludf.DUMMYFUNCTION("""COMPUTED_VALUE"""),"Cookie")</f>
        <v>Cookie</v>
      </c>
    </row>
    <row r="5030" ht="15.75" customHeight="1">
      <c r="A5030" s="122" t="str">
        <f>IFERROR(__xludf.DUMMYFUNCTION("""COMPUTED_VALUE"""),"0789 588 857")</f>
        <v>0789 588 857</v>
      </c>
      <c r="B5030" s="119" t="str">
        <f>IFERROR(__xludf.DUMMYFUNCTION("""COMPUTED_VALUE"""),"Thầy Bảo Hoà")</f>
        <v>Thầy Bảo Hoà</v>
      </c>
      <c r="C5030" s="119" t="str">
        <f>IFERROR(__xludf.DUMMYFUNCTION("""COMPUTED_VALUE"""),"Huyền Không Sơn Thượng")</f>
        <v>Huyền Không Sơn Thượng</v>
      </c>
      <c r="D5030" s="119" t="str">
        <f>IFERROR(__xludf.DUMMYFUNCTION("""COMPUTED_VALUE"""),"Chó")</f>
        <v>Chó</v>
      </c>
      <c r="E5030" s="119" t="str">
        <f>IFERROR(__xludf.DUMMYFUNCTION("""COMPUTED_VALUE"""),"Kaka")</f>
        <v>Kaka</v>
      </c>
    </row>
    <row r="5031" ht="15.75" customHeight="1">
      <c r="A5031" s="122" t="str">
        <f>IFERROR(__xludf.DUMMYFUNCTION("""COMPUTED_VALUE"""),"0947 734 201")</f>
        <v>0947 734 201</v>
      </c>
      <c r="B5031" s="119" t="str">
        <f>IFERROR(__xludf.DUMMYFUNCTION("""COMPUTED_VALUE"""),"Em Khiêm")</f>
        <v>Em Khiêm</v>
      </c>
      <c r="C5031" s="119" t="str">
        <f>IFERROR(__xludf.DUMMYFUNCTION("""COMPUTED_VALUE"""),"72 Điện Biên Phủ")</f>
        <v>72 Điện Biên Phủ</v>
      </c>
      <c r="D5031" s="119" t="str">
        <f>IFERROR(__xludf.DUMMYFUNCTION("""COMPUTED_VALUE"""),"Chó")</f>
        <v>Chó</v>
      </c>
      <c r="E5031" s="119" t="str">
        <f>IFERROR(__xludf.DUMMYFUNCTION("""COMPUTED_VALUE"""),"Lé")</f>
        <v>Lé</v>
      </c>
    </row>
    <row r="5032" ht="15.75" customHeight="1">
      <c r="A5032" s="122" t="str">
        <f>IFERROR(__xludf.DUMMYFUNCTION("""COMPUTED_VALUE"""),"0916 322 104")</f>
        <v>0916 322 104</v>
      </c>
      <c r="B5032" s="119" t="str">
        <f>IFERROR(__xludf.DUMMYFUNCTION("""COMPUTED_VALUE"""),"Chị Trang")</f>
        <v>Chị Trang</v>
      </c>
      <c r="C5032" s="119" t="str">
        <f>IFERROR(__xludf.DUMMYFUNCTION("""COMPUTED_VALUE"""),"23/63 Phạm Thị Liên")</f>
        <v>23/63 Phạm Thị Liên</v>
      </c>
      <c r="D5032" s="119" t="str">
        <f>IFERROR(__xludf.DUMMYFUNCTION("""COMPUTED_VALUE"""),"Chó")</f>
        <v>Chó</v>
      </c>
      <c r="E5032" s="119" t="str">
        <f>IFERROR(__xludf.DUMMYFUNCTION("""COMPUTED_VALUE"""),"Bông")</f>
        <v>Bông</v>
      </c>
    </row>
    <row r="5033" ht="15.75" customHeight="1">
      <c r="A5033" s="122" t="str">
        <f>IFERROR(__xludf.DUMMYFUNCTION("""COMPUTED_VALUE"""),"0931 929 810")</f>
        <v>0931 929 810</v>
      </c>
      <c r="B5033" s="119" t="str">
        <f>IFERROR(__xludf.DUMMYFUNCTION("""COMPUTED_VALUE"""),"Nguyễn Thanh Dương")</f>
        <v>Nguyễn Thanh Dương</v>
      </c>
      <c r="C5033" s="119" t="str">
        <f>IFERROR(__xludf.DUMMYFUNCTION("""COMPUTED_VALUE"""),"16 Nguyễn Hoàng")</f>
        <v>16 Nguyễn Hoàng</v>
      </c>
      <c r="D5033" s="119" t="str">
        <f>IFERROR(__xludf.DUMMYFUNCTION("""COMPUTED_VALUE"""),"Chó")</f>
        <v>Chó</v>
      </c>
      <c r="E5033" s="119" t="str">
        <f>IFERROR(__xludf.DUMMYFUNCTION("""COMPUTED_VALUE"""),"Nâu")</f>
        <v>Nâu</v>
      </c>
    </row>
    <row r="5034" ht="15.75" customHeight="1">
      <c r="A5034" s="122" t="str">
        <f>IFERROR(__xludf.DUMMYFUNCTION("""COMPUTED_VALUE"""),"0377 197 886")</f>
        <v>0377 197 886</v>
      </c>
      <c r="B5034" s="119" t="str">
        <f>IFERROR(__xludf.DUMMYFUNCTION("""COMPUTED_VALUE"""),"Chị Trang")</f>
        <v>Chị Trang</v>
      </c>
      <c r="C5034" s="119" t="str">
        <f>IFERROR(__xludf.DUMMYFUNCTION("""COMPUTED_VALUE"""),"16/92 Đặng Huy Trứ")</f>
        <v>16/92 Đặng Huy Trứ</v>
      </c>
      <c r="D5034" s="119" t="str">
        <f>IFERROR(__xludf.DUMMYFUNCTION("""COMPUTED_VALUE"""),"Mèo")</f>
        <v>Mèo</v>
      </c>
      <c r="E5034" s="119" t="str">
        <f>IFERROR(__xludf.DUMMYFUNCTION("""COMPUTED_VALUE"""),"Lucky")</f>
        <v>Lucky</v>
      </c>
    </row>
    <row r="5035" ht="15.75" customHeight="1">
      <c r="A5035" s="122" t="str">
        <f>IFERROR(__xludf.DUMMYFUNCTION("""COMPUTED_VALUE"""),"0392 956 506")</f>
        <v>0392 956 506</v>
      </c>
      <c r="B5035" s="119" t="str">
        <f>IFERROR(__xludf.DUMMYFUNCTION("""COMPUTED_VALUE"""),"Chị Ánh Quỳnh")</f>
        <v>Chị Ánh Quỳnh</v>
      </c>
      <c r="C5035" s="119" t="str">
        <f>IFERROR(__xludf.DUMMYFUNCTION("""COMPUTED_VALUE"""),"02 Long Hồ")</f>
        <v>02 Long Hồ</v>
      </c>
      <c r="D5035" s="119" t="str">
        <f>IFERROR(__xludf.DUMMYFUNCTION("""COMPUTED_VALUE"""),"Chó")</f>
        <v>Chó</v>
      </c>
      <c r="E5035" s="119" t="str">
        <f>IFERROR(__xludf.DUMMYFUNCTION("""COMPUTED_VALUE"""),"Vid")</f>
        <v>Vid</v>
      </c>
    </row>
    <row r="5036" ht="15.75" customHeight="1">
      <c r="A5036" s="122" t="str">
        <f>IFERROR(__xludf.DUMMYFUNCTION("""COMPUTED_VALUE"""),"0772 690 640")</f>
        <v>0772 690 640</v>
      </c>
      <c r="B5036" s="119" t="str">
        <f>IFERROR(__xludf.DUMMYFUNCTION("""COMPUTED_VALUE"""),"Chị Ngọc Minh")</f>
        <v>Chị Ngọc Minh</v>
      </c>
      <c r="C5036" s="119" t="str">
        <f>IFERROR(__xludf.DUMMYFUNCTION("""COMPUTED_VALUE"""),"3/21 Nguyễn Phúc Chu")</f>
        <v>3/21 Nguyễn Phúc Chu</v>
      </c>
      <c r="D5036" s="119" t="str">
        <f>IFERROR(__xludf.DUMMYFUNCTION("""COMPUTED_VALUE"""),"Chó")</f>
        <v>Chó</v>
      </c>
      <c r="E5036" s="119" t="str">
        <f>IFERROR(__xludf.DUMMYFUNCTION("""COMPUTED_VALUE"""),"Noname")</f>
        <v>Noname</v>
      </c>
    </row>
    <row r="5037" ht="15.75" customHeight="1">
      <c r="A5037" s="122" t="str">
        <f>IFERROR(__xludf.DUMMYFUNCTION("""COMPUTED_VALUE"""),"0916 526 256")</f>
        <v>0916 526 256</v>
      </c>
      <c r="B5037" s="119" t="str">
        <f>IFERROR(__xludf.DUMMYFUNCTION("""COMPUTED_VALUE"""),"Chị Hoàng Anh")</f>
        <v>Chị Hoàng Anh</v>
      </c>
      <c r="C5037" s="119" t="str">
        <f>IFERROR(__xludf.DUMMYFUNCTION("""COMPUTED_VALUE"""),"30 Thạch Hãm")</f>
        <v>30 Thạch Hãm</v>
      </c>
      <c r="D5037" s="119" t="str">
        <f>IFERROR(__xludf.DUMMYFUNCTION("""COMPUTED_VALUE"""),"Mèo")</f>
        <v>Mèo</v>
      </c>
      <c r="E5037" s="119"/>
    </row>
    <row r="5038" ht="15.75" customHeight="1">
      <c r="A5038" s="122" t="str">
        <f>IFERROR(__xludf.DUMMYFUNCTION("""COMPUTED_VALUE"""),"0935 151 899")</f>
        <v>0935 151 899</v>
      </c>
      <c r="B5038" s="119" t="str">
        <f>IFERROR(__xludf.DUMMYFUNCTION("""COMPUTED_VALUE"""),"BS Thuận")</f>
        <v>BS Thuận</v>
      </c>
      <c r="C5038" s="119" t="str">
        <f>IFERROR(__xludf.DUMMYFUNCTION("""COMPUTED_VALUE"""),"08 Nguyễn Thiện Thuật")</f>
        <v>08 Nguyễn Thiện Thuật</v>
      </c>
      <c r="D5038" s="119" t="str">
        <f>IFERROR(__xludf.DUMMYFUNCTION("""COMPUTED_VALUE"""),"Chó")</f>
        <v>Chó</v>
      </c>
      <c r="E5038" s="119" t="str">
        <f>IFERROR(__xludf.DUMMYFUNCTION("""COMPUTED_VALUE"""),"Gold")</f>
        <v>Gold</v>
      </c>
    </row>
    <row r="5039" ht="15.75" customHeight="1">
      <c r="A5039" s="122" t="str">
        <f>IFERROR(__xludf.DUMMYFUNCTION("""COMPUTED_VALUE"""),"0898 215 418")</f>
        <v>0898 215 418</v>
      </c>
      <c r="B5039" s="119" t="str">
        <f>IFERROR(__xludf.DUMMYFUNCTION("""COMPUTED_VALUE"""),"Anh Tuấn Anh")</f>
        <v>Anh Tuấn Anh</v>
      </c>
      <c r="C5039" s="119" t="str">
        <f>IFERROR(__xludf.DUMMYFUNCTION("""COMPUTED_VALUE"""),"Hương Văn")</f>
        <v>Hương Văn</v>
      </c>
      <c r="D5039" s="119" t="str">
        <f>IFERROR(__xludf.DUMMYFUNCTION("""COMPUTED_VALUE"""),"Mèo")</f>
        <v>Mèo</v>
      </c>
      <c r="E5039" s="119" t="str">
        <f>IFERROR(__xludf.DUMMYFUNCTION("""COMPUTED_VALUE"""),"Rô")</f>
        <v>Rô</v>
      </c>
    </row>
    <row r="5040" ht="15.75" customHeight="1">
      <c r="A5040" s="122" t="str">
        <f>IFERROR(__xludf.DUMMYFUNCTION("""COMPUTED_VALUE"""),"0905 184 492")</f>
        <v>0905 184 492</v>
      </c>
      <c r="B5040" s="119" t="str">
        <f>IFERROR(__xludf.DUMMYFUNCTION("""COMPUTED_VALUE"""),"Nguyễn Văn Hay")</f>
        <v>Nguyễn Văn Hay</v>
      </c>
      <c r="C5040" s="119" t="str">
        <f>IFERROR(__xludf.DUMMYFUNCTION("""COMPUTED_VALUE"""),"Đông Hà")</f>
        <v>Đông Hà</v>
      </c>
      <c r="D5040" s="119" t="str">
        <f>IFERROR(__xludf.DUMMYFUNCTION("""COMPUTED_VALUE"""),"Chó")</f>
        <v>Chó</v>
      </c>
      <c r="E5040" s="119" t="str">
        <f>IFERROR(__xludf.DUMMYFUNCTION("""COMPUTED_VALUE"""),"Heo")</f>
        <v>Heo</v>
      </c>
    </row>
    <row r="5041" ht="15.75" customHeight="1">
      <c r="A5041" s="122" t="str">
        <f>IFERROR(__xludf.DUMMYFUNCTION("""COMPUTED_VALUE"""),"0395 863 040")</f>
        <v>0395 863 040</v>
      </c>
      <c r="B5041" s="119" t="str">
        <f>IFERROR(__xludf.DUMMYFUNCTION("""COMPUTED_VALUE"""),"Nguyễn Thị Khánh Uyên")</f>
        <v>Nguyễn Thị Khánh Uyên</v>
      </c>
      <c r="C5041" s="119" t="str">
        <f>IFERROR(__xludf.DUMMYFUNCTION("""COMPUTED_VALUE"""),"23 Ngô Hà")</f>
        <v>23 Ngô Hà</v>
      </c>
      <c r="D5041" s="119" t="str">
        <f>IFERROR(__xludf.DUMMYFUNCTION("""COMPUTED_VALUE"""),"Chó")</f>
        <v>Chó</v>
      </c>
      <c r="E5041" s="119" t="str">
        <f>IFERROR(__xludf.DUMMYFUNCTION("""COMPUTED_VALUE"""),"Bell")</f>
        <v>Bell</v>
      </c>
    </row>
    <row r="5042" ht="15.75" customHeight="1">
      <c r="A5042" s="122" t="str">
        <f>IFERROR(__xludf.DUMMYFUNCTION("""COMPUTED_VALUE"""),"0362 729 952")</f>
        <v>0362 729 952</v>
      </c>
      <c r="B5042" s="119" t="str">
        <f>IFERROR(__xludf.DUMMYFUNCTION("""COMPUTED_VALUE"""),"Chú Thịnh")</f>
        <v>Chú Thịnh</v>
      </c>
      <c r="C5042" s="119" t="str">
        <f>IFERROR(__xludf.DUMMYFUNCTION("""COMPUTED_VALUE"""),"1168 Nguyễn Phúc Chu")</f>
        <v>1168 Nguyễn Phúc Chu</v>
      </c>
      <c r="D5042" s="119" t="str">
        <f>IFERROR(__xludf.DUMMYFUNCTION("""COMPUTED_VALUE"""),"Mèo")</f>
        <v>Mèo</v>
      </c>
      <c r="E5042" s="119" t="str">
        <f>IFERROR(__xludf.DUMMYFUNCTION("""COMPUTED_VALUE"""),"Vàng")</f>
        <v>Vàng</v>
      </c>
    </row>
    <row r="5043" ht="15.75" customHeight="1">
      <c r="A5043" s="122" t="str">
        <f>IFERROR(__xludf.DUMMYFUNCTION("""COMPUTED_VALUE"""),"0383 172 540")</f>
        <v>0383 172 540</v>
      </c>
      <c r="B5043" s="119" t="str">
        <f>IFERROR(__xludf.DUMMYFUNCTION("""COMPUTED_VALUE"""),"BecKy")</f>
        <v>BecKy</v>
      </c>
      <c r="C5043" s="119"/>
      <c r="D5043" s="119" t="str">
        <f>IFERROR(__xludf.DUMMYFUNCTION("""COMPUTED_VALUE"""),"Chó")</f>
        <v>Chó</v>
      </c>
      <c r="E5043" s="119"/>
    </row>
    <row r="5044" ht="15.75" customHeight="1">
      <c r="A5044" s="122" t="str">
        <f>IFERROR(__xludf.DUMMYFUNCTION("""COMPUTED_VALUE"""),"0707 271 429")</f>
        <v>0707 271 429</v>
      </c>
      <c r="B5044" s="119" t="str">
        <f>IFERROR(__xludf.DUMMYFUNCTION("""COMPUTED_VALUE"""),"Chị Cẩm Nhung")</f>
        <v>Chị Cẩm Nhung</v>
      </c>
      <c r="C5044" s="119" t="str">
        <f>IFERROR(__xludf.DUMMYFUNCTION("""COMPUTED_VALUE"""),"Thuận An")</f>
        <v>Thuận An</v>
      </c>
      <c r="D5044" s="119" t="str">
        <f>IFERROR(__xludf.DUMMYFUNCTION("""COMPUTED_VALUE"""),"Chó")</f>
        <v>Chó</v>
      </c>
      <c r="E5044" s="119" t="str">
        <f>IFERROR(__xludf.DUMMYFUNCTION("""COMPUTED_VALUE"""),"Mít")</f>
        <v>Mít</v>
      </c>
    </row>
    <row r="5045" ht="15.75" customHeight="1">
      <c r="A5045" s="122" t="str">
        <f>IFERROR(__xludf.DUMMYFUNCTION("""COMPUTED_VALUE"""),"0812 607 584")</f>
        <v>0812 607 584</v>
      </c>
      <c r="B5045" s="119" t="str">
        <f>IFERROR(__xludf.DUMMYFUNCTION("""COMPUTED_VALUE"""),"Chị Nga")</f>
        <v>Chị Nga</v>
      </c>
      <c r="C5045" s="119" t="str">
        <f>IFERROR(__xludf.DUMMYFUNCTION("""COMPUTED_VALUE"""),"Chung cư Aranya")</f>
        <v>Chung cư Aranya</v>
      </c>
      <c r="D5045" s="119" t="str">
        <f>IFERROR(__xludf.DUMMYFUNCTION("""COMPUTED_VALUE"""),"Mèo")</f>
        <v>Mèo</v>
      </c>
      <c r="E5045" s="119" t="str">
        <f>IFERROR(__xludf.DUMMYFUNCTION("""COMPUTED_VALUE"""),"Moon")</f>
        <v>Moon</v>
      </c>
    </row>
    <row r="5046" ht="15.75" customHeight="1">
      <c r="A5046" s="122" t="str">
        <f>IFERROR(__xludf.DUMMYFUNCTION("""COMPUTED_VALUE"""),"0947 733 458")</f>
        <v>0947 733 458</v>
      </c>
      <c r="B5046" s="119" t="str">
        <f>IFERROR(__xludf.DUMMYFUNCTION("""COMPUTED_VALUE"""),"Chú Thành")</f>
        <v>Chú Thành</v>
      </c>
      <c r="C5046" s="119" t="str">
        <f>IFERROR(__xludf.DUMMYFUNCTION("""COMPUTED_VALUE"""),"13/42 Triệu Quang Phục")</f>
        <v>13/42 Triệu Quang Phục</v>
      </c>
      <c r="D5046" s="119" t="str">
        <f>IFERROR(__xludf.DUMMYFUNCTION("""COMPUTED_VALUE"""),"Chó")</f>
        <v>Chó</v>
      </c>
      <c r="E5046" s="119" t="str">
        <f>IFERROR(__xludf.DUMMYFUNCTION("""COMPUTED_VALUE"""),"Vàng")</f>
        <v>Vàng</v>
      </c>
    </row>
    <row r="5047" ht="15.75" customHeight="1">
      <c r="A5047" s="122" t="str">
        <f>IFERROR(__xludf.DUMMYFUNCTION("""COMPUTED_VALUE"""),"0919 435 647")</f>
        <v>0919 435 647</v>
      </c>
      <c r="B5047" s="119" t="str">
        <f>IFERROR(__xludf.DUMMYFUNCTION("""COMPUTED_VALUE"""),"Anh Lộc")</f>
        <v>Anh Lộc</v>
      </c>
      <c r="C5047" s="119" t="str">
        <f>IFERROR(__xludf.DUMMYFUNCTION("""COMPUTED_VALUE"""),"12 kiệt 17 Vạn Xuân")</f>
        <v>12 kiệt 17 Vạn Xuân</v>
      </c>
      <c r="D5047" s="119" t="str">
        <f>IFERROR(__xludf.DUMMYFUNCTION("""COMPUTED_VALUE"""),"Chó")</f>
        <v>Chó</v>
      </c>
      <c r="E5047" s="119" t="str">
        <f>IFERROR(__xludf.DUMMYFUNCTION("""COMPUTED_VALUE"""),"Gấu")</f>
        <v>Gấu</v>
      </c>
    </row>
    <row r="5048" ht="15.75" customHeight="1">
      <c r="A5048" s="122" t="str">
        <f>IFERROR(__xludf.DUMMYFUNCTION("""COMPUTED_VALUE"""),"0364 091 589")</f>
        <v>0364 091 589</v>
      </c>
      <c r="B5048" s="119" t="str">
        <f>IFERROR(__xludf.DUMMYFUNCTION("""COMPUTED_VALUE"""),"Chị Hà")</f>
        <v>Chị Hà</v>
      </c>
      <c r="C5048" s="119" t="str">
        <f>IFERROR(__xludf.DUMMYFUNCTION("""COMPUTED_VALUE"""),"Phạm Thị Liên")</f>
        <v>Phạm Thị Liên</v>
      </c>
      <c r="D5048" s="119" t="str">
        <f>IFERROR(__xludf.DUMMYFUNCTION("""COMPUTED_VALUE"""),"Chó")</f>
        <v>Chó</v>
      </c>
      <c r="E5048" s="119" t="str">
        <f>IFERROR(__xludf.DUMMYFUNCTION("""COMPUTED_VALUE"""),"Lu")</f>
        <v>Lu</v>
      </c>
    </row>
    <row r="5049" ht="15.75" customHeight="1">
      <c r="A5049" s="122" t="str">
        <f>IFERROR(__xludf.DUMMYFUNCTION("""COMPUTED_VALUE"""),"0772 419 256")</f>
        <v>0772 419 256</v>
      </c>
      <c r="B5049" s="119" t="str">
        <f>IFERROR(__xludf.DUMMYFUNCTION("""COMPUTED_VALUE"""),"Chị Ngọc")</f>
        <v>Chị Ngọc</v>
      </c>
      <c r="C5049" s="119" t="str">
        <f>IFERROR(__xludf.DUMMYFUNCTION("""COMPUTED_VALUE"""),"130/4 Kim Long")</f>
        <v>130/4 Kim Long</v>
      </c>
      <c r="D5049" s="119" t="str">
        <f>IFERROR(__xludf.DUMMYFUNCTION("""COMPUTED_VALUE"""),"Chó")</f>
        <v>Chó</v>
      </c>
      <c r="E5049" s="119" t="str">
        <f>IFERROR(__xludf.DUMMYFUNCTION("""COMPUTED_VALUE"""),"Gấu")</f>
        <v>Gấu</v>
      </c>
    </row>
    <row r="5050" ht="15.75" customHeight="1">
      <c r="A5050" s="122" t="str">
        <f>IFERROR(__xludf.DUMMYFUNCTION("""COMPUTED_VALUE"""),"0905 295 005")</f>
        <v>0905 295 005</v>
      </c>
      <c r="B5050" s="119" t="str">
        <f>IFERROR(__xludf.DUMMYFUNCTION("""COMPUTED_VALUE"""),"Hoài Nguyên")</f>
        <v>Hoài Nguyên</v>
      </c>
      <c r="C5050" s="119" t="str">
        <f>IFERROR(__xludf.DUMMYFUNCTION("""COMPUTED_VALUE"""),"17A/ 18 kiệt 104 Kim Long")</f>
        <v>17A/ 18 kiệt 104 Kim Long</v>
      </c>
      <c r="D5050" s="119" t="str">
        <f>IFERROR(__xludf.DUMMYFUNCTION("""COMPUTED_VALUE"""),"Chó")</f>
        <v>Chó</v>
      </c>
      <c r="E5050" s="119" t="str">
        <f>IFERROR(__xludf.DUMMYFUNCTION("""COMPUTED_VALUE"""),"Bông")</f>
        <v>Bông</v>
      </c>
    </row>
    <row r="5051" ht="15.75" customHeight="1">
      <c r="A5051" s="122" t="str">
        <f>IFERROR(__xludf.DUMMYFUNCTION("""COMPUTED_VALUE"""),"0931 928 470")</f>
        <v>0931 928 470</v>
      </c>
      <c r="B5051" s="119" t="str">
        <f>IFERROR(__xludf.DUMMYFUNCTION("""COMPUTED_VALUE"""),"Dì Ngoan")</f>
        <v>Dì Ngoan</v>
      </c>
      <c r="C5051" s="119" t="str">
        <f>IFERROR(__xludf.DUMMYFUNCTION("""COMPUTED_VALUE"""),"17 Nguyễn Trường Tộ")</f>
        <v>17 Nguyễn Trường Tộ</v>
      </c>
      <c r="D5051" s="119" t="str">
        <f>IFERROR(__xludf.DUMMYFUNCTION("""COMPUTED_VALUE"""),"Chó")</f>
        <v>Chó</v>
      </c>
      <c r="E5051" s="119" t="str">
        <f>IFERROR(__xludf.DUMMYFUNCTION("""COMPUTED_VALUE"""),"Gấu")</f>
        <v>Gấu</v>
      </c>
    </row>
    <row r="5052" ht="15.75" customHeight="1">
      <c r="A5052" s="122" t="str">
        <f>IFERROR(__xludf.DUMMYFUNCTION("""COMPUTED_VALUE"""),"0973 552 891")</f>
        <v>0973 552 891</v>
      </c>
      <c r="B5052" s="119" t="str">
        <f>IFERROR(__xludf.DUMMYFUNCTION("""COMPUTED_VALUE"""),"Đức")</f>
        <v>Đức</v>
      </c>
      <c r="C5052" s="119" t="str">
        <f>IFERROR(__xludf.DUMMYFUNCTION("""COMPUTED_VALUE"""),"Phú Bài")</f>
        <v>Phú Bài</v>
      </c>
      <c r="D5052" s="119" t="str">
        <f>IFERROR(__xludf.DUMMYFUNCTION("""COMPUTED_VALUE"""),"Mèo")</f>
        <v>Mèo</v>
      </c>
      <c r="E5052" s="119" t="str">
        <f>IFERROR(__xludf.DUMMYFUNCTION("""COMPUTED_VALUE"""),"Đen")</f>
        <v>Đen</v>
      </c>
    </row>
    <row r="5053" ht="15.75" customHeight="1">
      <c r="A5053" s="122" t="str">
        <f>IFERROR(__xludf.DUMMYFUNCTION("""COMPUTED_VALUE"""),"0963 065 363")</f>
        <v>0963 065 363</v>
      </c>
      <c r="B5053" s="119" t="str">
        <f>IFERROR(__xludf.DUMMYFUNCTION("""COMPUTED_VALUE"""),"Nguyễn Phú")</f>
        <v>Nguyễn Phú</v>
      </c>
      <c r="C5053" s="119" t="str">
        <f>IFERROR(__xludf.DUMMYFUNCTION("""COMPUTED_VALUE"""),"2/40 Lý Nam Đế")</f>
        <v>2/40 Lý Nam Đế</v>
      </c>
      <c r="D5053" s="119" t="str">
        <f>IFERROR(__xludf.DUMMYFUNCTION("""COMPUTED_VALUE"""),"Chó")</f>
        <v>Chó</v>
      </c>
      <c r="E5053" s="119" t="str">
        <f>IFERROR(__xludf.DUMMYFUNCTION("""COMPUTED_VALUE"""),"Mít")</f>
        <v>Mít</v>
      </c>
    </row>
    <row r="5054" ht="15.75" customHeight="1">
      <c r="A5054" s="122" t="str">
        <f>IFERROR(__xludf.DUMMYFUNCTION("""COMPUTED_VALUE"""),"0947 675 676")</f>
        <v>0947 675 676</v>
      </c>
      <c r="B5054" s="119" t="str">
        <f>IFERROR(__xludf.DUMMYFUNCTION("""COMPUTED_VALUE"""),"Nguyễn Ngọc Thọ")</f>
        <v>Nguyễn Ngọc Thọ</v>
      </c>
      <c r="C5054" s="119" t="str">
        <f>IFERROR(__xludf.DUMMYFUNCTION("""COMPUTED_VALUE"""),"k168 Lý Nam Đế")</f>
        <v>k168 Lý Nam Đế</v>
      </c>
      <c r="D5054" s="119" t="str">
        <f>IFERROR(__xludf.DUMMYFUNCTION("""COMPUTED_VALUE"""),"Chó")</f>
        <v>Chó</v>
      </c>
      <c r="E5054" s="119" t="str">
        <f>IFERROR(__xludf.DUMMYFUNCTION("""COMPUTED_VALUE"""),"Heo")</f>
        <v>Heo</v>
      </c>
    </row>
    <row r="5055" ht="15.75" customHeight="1">
      <c r="A5055" s="122" t="str">
        <f>IFERROR(__xludf.DUMMYFUNCTION("""COMPUTED_VALUE"""),"0935 813 863")</f>
        <v>0935 813 863</v>
      </c>
      <c r="B5055" s="119" t="str">
        <f>IFERROR(__xludf.DUMMYFUNCTION("""COMPUTED_VALUE"""),"Thầy Kiệt")</f>
        <v>Thầy Kiệt</v>
      </c>
      <c r="C5055" s="119" t="str">
        <f>IFERROR(__xludf.DUMMYFUNCTION("""COMPUTED_VALUE"""),"03 Bửu Đình")</f>
        <v>03 Bửu Đình</v>
      </c>
      <c r="D5055" s="119" t="str">
        <f>IFERROR(__xludf.DUMMYFUNCTION("""COMPUTED_VALUE"""),"Chó")</f>
        <v>Chó</v>
      </c>
      <c r="E5055" s="119" t="str">
        <f>IFERROR(__xludf.DUMMYFUNCTION("""COMPUTED_VALUE"""),"Nâu")</f>
        <v>Nâu</v>
      </c>
    </row>
    <row r="5056" ht="15.75" customHeight="1">
      <c r="A5056" s="122" t="str">
        <f>IFERROR(__xludf.DUMMYFUNCTION("""COMPUTED_VALUE"""),"0905 551 935")</f>
        <v>0905 551 935</v>
      </c>
      <c r="B5056" s="119" t="str">
        <f>IFERROR(__xludf.DUMMYFUNCTION("""COMPUTED_VALUE"""),"Chị Huyền")</f>
        <v>Chị Huyền</v>
      </c>
      <c r="C5056" s="119" t="str">
        <f>IFERROR(__xludf.DUMMYFUNCTION("""COMPUTED_VALUE"""),"03 Phan Anh")</f>
        <v>03 Phan Anh</v>
      </c>
      <c r="D5056" s="119" t="str">
        <f>IFERROR(__xludf.DUMMYFUNCTION("""COMPUTED_VALUE"""),"Chó")</f>
        <v>Chó</v>
      </c>
      <c r="E5056" s="119" t="str">
        <f>IFERROR(__xludf.DUMMYFUNCTION("""COMPUTED_VALUE"""),"Heo")</f>
        <v>Heo</v>
      </c>
    </row>
    <row r="5057" ht="15.75" customHeight="1">
      <c r="A5057" s="122" t="str">
        <f>IFERROR(__xludf.DUMMYFUNCTION("""COMPUTED_VALUE"""),"0934 965 625")</f>
        <v>0934 965 625</v>
      </c>
      <c r="B5057" s="119" t="str">
        <f>IFERROR(__xludf.DUMMYFUNCTION("""COMPUTED_VALUE"""),"Dì Thanh Trà")</f>
        <v>Dì Thanh Trà</v>
      </c>
      <c r="C5057" s="119" t="str">
        <f>IFERROR(__xludf.DUMMYFUNCTION("""COMPUTED_VALUE"""),"35 Văn Thánh")</f>
        <v>35 Văn Thánh</v>
      </c>
      <c r="D5057" s="119" t="str">
        <f>IFERROR(__xludf.DUMMYFUNCTION("""COMPUTED_VALUE"""),"Chó")</f>
        <v>Chó</v>
      </c>
      <c r="E5057" s="119" t="str">
        <f>IFERROR(__xludf.DUMMYFUNCTION("""COMPUTED_VALUE"""),"Rốt")</f>
        <v>Rốt</v>
      </c>
    </row>
    <row r="5058" ht="15.75" customHeight="1">
      <c r="A5058" s="122" t="str">
        <f>IFERROR(__xludf.DUMMYFUNCTION("""COMPUTED_VALUE"""),"0336 613 685")</f>
        <v>0336 613 685</v>
      </c>
      <c r="B5058" s="119" t="str">
        <f>IFERROR(__xludf.DUMMYFUNCTION("""COMPUTED_VALUE"""),"Nguyễn Thanh Nghĩa")</f>
        <v>Nguyễn Thanh Nghĩa</v>
      </c>
      <c r="C5058" s="119" t="str">
        <f>IFERROR(__xludf.DUMMYFUNCTION("""COMPUTED_VALUE"""),"Thuỷ Dương")</f>
        <v>Thuỷ Dương</v>
      </c>
      <c r="D5058" s="119" t="str">
        <f>IFERROR(__xludf.DUMMYFUNCTION("""COMPUTED_VALUE"""),"Chó")</f>
        <v>Chó</v>
      </c>
      <c r="E5058" s="119" t="str">
        <f>IFERROR(__xludf.DUMMYFUNCTION("""COMPUTED_VALUE"""),"Ki")</f>
        <v>Ki</v>
      </c>
    </row>
    <row r="5059" ht="15.75" customHeight="1">
      <c r="A5059" s="122" t="str">
        <f>IFERROR(__xludf.DUMMYFUNCTION("""COMPUTED_VALUE"""),"0354 213 780")</f>
        <v>0354 213 780</v>
      </c>
      <c r="B5059" s="119" t="str">
        <f>IFERROR(__xludf.DUMMYFUNCTION("""COMPUTED_VALUE"""),"Chị Linh")</f>
        <v>Chị Linh</v>
      </c>
      <c r="C5059" s="119" t="str">
        <f>IFERROR(__xludf.DUMMYFUNCTION("""COMPUTED_VALUE"""),"1/100 Nguyễn Phúc Thái")</f>
        <v>1/100 Nguyễn Phúc Thái</v>
      </c>
      <c r="D5059" s="119" t="str">
        <f>IFERROR(__xludf.DUMMYFUNCTION("""COMPUTED_VALUE"""),"Chó")</f>
        <v>Chó</v>
      </c>
      <c r="E5059" s="119" t="str">
        <f>IFERROR(__xludf.DUMMYFUNCTION("""COMPUTED_VALUE"""),"Mực")</f>
        <v>Mực</v>
      </c>
    </row>
    <row r="5060" ht="15.75" customHeight="1">
      <c r="A5060" s="122" t="str">
        <f>IFERROR(__xludf.DUMMYFUNCTION("""COMPUTED_VALUE"""),"0844 844 354")</f>
        <v>0844 844 354</v>
      </c>
      <c r="B5060" s="119" t="str">
        <f>IFERROR(__xludf.DUMMYFUNCTION("""COMPUTED_VALUE"""),"Chị Minh")</f>
        <v>Chị Minh</v>
      </c>
      <c r="C5060" s="119" t="str">
        <f>IFERROR(__xludf.DUMMYFUNCTION("""COMPUTED_VALUE"""),"30 Đặng Thái Thân")</f>
        <v>30 Đặng Thái Thân</v>
      </c>
      <c r="D5060" s="119" t="str">
        <f>IFERROR(__xludf.DUMMYFUNCTION("""COMPUTED_VALUE"""),"Chó")</f>
        <v>Chó</v>
      </c>
      <c r="E5060" s="119" t="str">
        <f>IFERROR(__xludf.DUMMYFUNCTION("""COMPUTED_VALUE"""),"Ti To")</f>
        <v>Ti To</v>
      </c>
    </row>
    <row r="5061" ht="15.75" customHeight="1">
      <c r="A5061" s="122" t="str">
        <f>IFERROR(__xludf.DUMMYFUNCTION("""COMPUTED_VALUE"""),"0935 640 546")</f>
        <v>0935 640 546</v>
      </c>
      <c r="B5061" s="119" t="str">
        <f>IFERROR(__xludf.DUMMYFUNCTION("""COMPUTED_VALUE"""),"Chị Hiền")</f>
        <v>Chị Hiền</v>
      </c>
      <c r="C5061" s="119" t="str">
        <f>IFERROR(__xludf.DUMMYFUNCTION("""COMPUTED_VALUE"""),"k44 Lê Ngô Cát")</f>
        <v>k44 Lê Ngô Cát</v>
      </c>
      <c r="D5061" s="119" t="str">
        <f>IFERROR(__xludf.DUMMYFUNCTION("""COMPUTED_VALUE"""),"Chó")</f>
        <v>Chó</v>
      </c>
      <c r="E5061" s="119" t="str">
        <f>IFERROR(__xludf.DUMMYFUNCTION("""COMPUTED_VALUE"""),"Moon")</f>
        <v>Moon</v>
      </c>
    </row>
    <row r="5062" ht="15.75" customHeight="1">
      <c r="A5062" s="122" t="str">
        <f>IFERROR(__xludf.DUMMYFUNCTION("""COMPUTED_VALUE"""),"0962 919 514")</f>
        <v>0962 919 514</v>
      </c>
      <c r="B5062" s="119" t="str">
        <f>IFERROR(__xludf.DUMMYFUNCTION("""COMPUTED_VALUE"""),"Anh công")</f>
        <v>Anh công</v>
      </c>
      <c r="C5062" s="119" t="str">
        <f>IFERROR(__xludf.DUMMYFUNCTION("""COMPUTED_VALUE"""),"Hương Hồ")</f>
        <v>Hương Hồ</v>
      </c>
      <c r="D5062" s="119" t="str">
        <f>IFERROR(__xludf.DUMMYFUNCTION("""COMPUTED_VALUE"""),"Chó")</f>
        <v>Chó</v>
      </c>
      <c r="E5062" s="119" t="str">
        <f>IFERROR(__xludf.DUMMYFUNCTION("""COMPUTED_VALUE"""),"Hom")</f>
        <v>Hom</v>
      </c>
    </row>
    <row r="5063" ht="15.75" customHeight="1">
      <c r="A5063" s="122" t="str">
        <f>IFERROR(__xludf.DUMMYFUNCTION("""COMPUTED_VALUE"""),"0837 255 369")</f>
        <v>0837 255 369</v>
      </c>
      <c r="B5063" s="119" t="str">
        <f>IFERROR(__xludf.DUMMYFUNCTION("""COMPUTED_VALUE"""),"Anh Đạt")</f>
        <v>Anh Đạt</v>
      </c>
      <c r="C5063" s="119" t="str">
        <f>IFERROR(__xludf.DUMMYFUNCTION("""COMPUTED_VALUE"""),"18/9 Hàn Mặc Tử")</f>
        <v>18/9 Hàn Mặc Tử</v>
      </c>
      <c r="D5063" s="119" t="str">
        <f>IFERROR(__xludf.DUMMYFUNCTION("""COMPUTED_VALUE"""),"Chó")</f>
        <v>Chó</v>
      </c>
      <c r="E5063" s="119" t="str">
        <f>IFERROR(__xludf.DUMMYFUNCTION("""COMPUTED_VALUE"""),"Kin")</f>
        <v>Kin</v>
      </c>
    </row>
    <row r="5064" ht="15.75" customHeight="1">
      <c r="A5064" s="122" t="str">
        <f>IFERROR(__xludf.DUMMYFUNCTION("""COMPUTED_VALUE"""),"0762 606 724")</f>
        <v>0762 606 724</v>
      </c>
      <c r="B5064" s="119" t="str">
        <f>IFERROR(__xludf.DUMMYFUNCTION("""COMPUTED_VALUE"""),"Bảo Linh")</f>
        <v>Bảo Linh</v>
      </c>
      <c r="C5064" s="119" t="str">
        <f>IFERROR(__xludf.DUMMYFUNCTION("""COMPUTED_VALUE"""),"kiệt 134 Bà Triệu")</f>
        <v>kiệt 134 Bà Triệu</v>
      </c>
      <c r="D5064" s="119" t="str">
        <f>IFERROR(__xludf.DUMMYFUNCTION("""COMPUTED_VALUE"""),"Chó")</f>
        <v>Chó</v>
      </c>
      <c r="E5064" s="119" t="str">
        <f>IFERROR(__xludf.DUMMYFUNCTION("""COMPUTED_VALUE"""),"Tom")</f>
        <v>Tom</v>
      </c>
    </row>
    <row r="5065" ht="15.75" customHeight="1">
      <c r="A5065" s="122" t="str">
        <f>IFERROR(__xludf.DUMMYFUNCTION("""COMPUTED_VALUE"""),"0935 619 719")</f>
        <v>0935 619 719</v>
      </c>
      <c r="B5065" s="119" t="str">
        <f>IFERROR(__xludf.DUMMYFUNCTION("""COMPUTED_VALUE"""),"Tôn Nữ Bích Đào")</f>
        <v>Tôn Nữ Bích Đào</v>
      </c>
      <c r="C5065" s="119" t="str">
        <f>IFERROR(__xludf.DUMMYFUNCTION("""COMPUTED_VALUE"""),"19/333 Phạm Văn Đồng")</f>
        <v>19/333 Phạm Văn Đồng</v>
      </c>
      <c r="D5065" s="119" t="str">
        <f>IFERROR(__xludf.DUMMYFUNCTION("""COMPUTED_VALUE"""),"Chó")</f>
        <v>Chó</v>
      </c>
      <c r="E5065" s="119" t="str">
        <f>IFERROR(__xludf.DUMMYFUNCTION("""COMPUTED_VALUE"""),"Herrik")</f>
        <v>Herrik</v>
      </c>
    </row>
    <row r="5066" ht="15.75" customHeight="1">
      <c r="A5066" s="122" t="str">
        <f>IFERROR(__xludf.DUMMYFUNCTION("""COMPUTED_VALUE"""),"0947 177 716")</f>
        <v>0947 177 716</v>
      </c>
      <c r="B5066" s="119" t="str">
        <f>IFERROR(__xludf.DUMMYFUNCTION("""COMPUTED_VALUE"""),"Dì Hưng")</f>
        <v>Dì Hưng</v>
      </c>
      <c r="C5066" s="119" t="str">
        <f>IFERROR(__xludf.DUMMYFUNCTION("""COMPUTED_VALUE"""),"8/5 Phú Mộng")</f>
        <v>8/5 Phú Mộng</v>
      </c>
      <c r="D5066" s="119" t="str">
        <f>IFERROR(__xludf.DUMMYFUNCTION("""COMPUTED_VALUE"""),"chó")</f>
        <v>chó</v>
      </c>
      <c r="E5066" s="119" t="str">
        <f>IFERROR(__xludf.DUMMYFUNCTION("""COMPUTED_VALUE"""),"Bu")</f>
        <v>Bu</v>
      </c>
    </row>
    <row r="5067" ht="15.75" customHeight="1">
      <c r="A5067" s="122" t="str">
        <f>IFERROR(__xludf.DUMMYFUNCTION("""COMPUTED_VALUE"""),"0935 434 102")</f>
        <v>0935 434 102</v>
      </c>
      <c r="B5067" s="119" t="str">
        <f>IFERROR(__xludf.DUMMYFUNCTION("""COMPUTED_VALUE"""),"Chị Hiền")</f>
        <v>Chị Hiền</v>
      </c>
      <c r="C5067" s="119" t="str">
        <f>IFERROR(__xludf.DUMMYFUNCTION("""COMPUTED_VALUE"""),"85 Long Hồ")</f>
        <v>85 Long Hồ</v>
      </c>
      <c r="D5067" s="119" t="str">
        <f>IFERROR(__xludf.DUMMYFUNCTION("""COMPUTED_VALUE"""),"chó")</f>
        <v>chó</v>
      </c>
      <c r="E5067" s="119" t="str">
        <f>IFERROR(__xludf.DUMMYFUNCTION("""COMPUTED_VALUE"""),"Kun")</f>
        <v>Kun</v>
      </c>
    </row>
    <row r="5068" ht="15.75" customHeight="1">
      <c r="A5068" s="122" t="str">
        <f>IFERROR(__xludf.DUMMYFUNCTION("""COMPUTED_VALUE"""),"0784 634 674")</f>
        <v>0784 634 674</v>
      </c>
      <c r="B5068" s="119" t="str">
        <f>IFERROR(__xludf.DUMMYFUNCTION("""COMPUTED_VALUE"""),"Chị Thuý")</f>
        <v>Chị Thuý</v>
      </c>
      <c r="C5068" s="119" t="str">
        <f>IFERROR(__xludf.DUMMYFUNCTION("""COMPUTED_VALUE"""),"63 NGuyễn Hoàng")</f>
        <v>63 NGuyễn Hoàng</v>
      </c>
      <c r="D5068" s="119" t="str">
        <f>IFERROR(__xludf.DUMMYFUNCTION("""COMPUTED_VALUE"""),"Mèo")</f>
        <v>Mèo</v>
      </c>
      <c r="E5068" s="119" t="str">
        <f>IFERROR(__xludf.DUMMYFUNCTION("""COMPUTED_VALUE"""),"Rot")</f>
        <v>Rot</v>
      </c>
    </row>
    <row r="5069" ht="15.75" customHeight="1">
      <c r="A5069" s="122" t="str">
        <f>IFERROR(__xludf.DUMMYFUNCTION("""COMPUTED_VALUE"""),"0905 231 027")</f>
        <v>0905 231 027</v>
      </c>
      <c r="B5069" s="119" t="str">
        <f>IFERROR(__xludf.DUMMYFUNCTION("""COMPUTED_VALUE"""),"Chị Thanh")</f>
        <v>Chị Thanh</v>
      </c>
      <c r="C5069" s="119" t="str">
        <f>IFERROR(__xludf.DUMMYFUNCTION("""COMPUTED_VALUE"""),"176A Phan Chu Trinh")</f>
        <v>176A Phan Chu Trinh</v>
      </c>
      <c r="D5069" s="119" t="str">
        <f>IFERROR(__xludf.DUMMYFUNCTION("""COMPUTED_VALUE"""),"chó ")</f>
        <v>chó </v>
      </c>
      <c r="E5069" s="119" t="str">
        <f>IFERROR(__xludf.DUMMYFUNCTION("""COMPUTED_VALUE"""),"Nô")</f>
        <v>Nô</v>
      </c>
    </row>
    <row r="5070" ht="15.75" customHeight="1">
      <c r="A5070" s="122" t="str">
        <f>IFERROR(__xludf.DUMMYFUNCTION("""COMPUTED_VALUE"""),"0374 044 913")</f>
        <v>0374 044 913</v>
      </c>
      <c r="B5070" s="119" t="str">
        <f>IFERROR(__xludf.DUMMYFUNCTION("""COMPUTED_VALUE"""),"Dì Nhung")</f>
        <v>Dì Nhung</v>
      </c>
      <c r="C5070" s="119" t="str">
        <f>IFERROR(__xludf.DUMMYFUNCTION("""COMPUTED_VALUE"""),"139 Lý Nam Đế")</f>
        <v>139 Lý Nam Đế</v>
      </c>
      <c r="D5070" s="119" t="str">
        <f>IFERROR(__xludf.DUMMYFUNCTION("""COMPUTED_VALUE"""),"Chó")</f>
        <v>Chó</v>
      </c>
      <c r="E5070" s="119" t="str">
        <f>IFERROR(__xludf.DUMMYFUNCTION("""COMPUTED_VALUE"""),"Bun")</f>
        <v>Bun</v>
      </c>
    </row>
    <row r="5071" ht="15.75" customHeight="1">
      <c r="A5071" s="122" t="str">
        <f>IFERROR(__xludf.DUMMYFUNCTION("""COMPUTED_VALUE"""),"0812 570 732")</f>
        <v>0812 570 732</v>
      </c>
      <c r="B5071" s="119" t="str">
        <f>IFERROR(__xludf.DUMMYFUNCTION("""COMPUTED_VALUE"""),"Bác Tá")</f>
        <v>Bác Tá</v>
      </c>
      <c r="C5071" s="119" t="str">
        <f>IFERROR(__xludf.DUMMYFUNCTION("""COMPUTED_VALUE"""),"65A Phạm Thị Liên")</f>
        <v>65A Phạm Thị Liên</v>
      </c>
      <c r="D5071" s="119" t="str">
        <f>IFERROR(__xludf.DUMMYFUNCTION("""COMPUTED_VALUE"""),"Chó")</f>
        <v>Chó</v>
      </c>
      <c r="E5071" s="119" t="str">
        <f>IFERROR(__xludf.DUMMYFUNCTION("""COMPUTED_VALUE"""),"Ruby")</f>
        <v>Ruby</v>
      </c>
    </row>
    <row r="5072" ht="15.75" customHeight="1">
      <c r="A5072" s="122" t="str">
        <f>IFERROR(__xludf.DUMMYFUNCTION("""COMPUTED_VALUE"""),"0914 555 321")</f>
        <v>0914 555 321</v>
      </c>
      <c r="B5072" s="119" t="str">
        <f>IFERROR(__xludf.DUMMYFUNCTION("""COMPUTED_VALUE"""),"Anh Nguyên")</f>
        <v>Anh Nguyên</v>
      </c>
      <c r="C5072" s="119" t="str">
        <f>IFERROR(__xludf.DUMMYFUNCTION("""COMPUTED_VALUE"""),"Hương Long")</f>
        <v>Hương Long</v>
      </c>
      <c r="D5072" s="119" t="str">
        <f>IFERROR(__xludf.DUMMYFUNCTION("""COMPUTED_VALUE"""),"chó")</f>
        <v>chó</v>
      </c>
      <c r="E5072" s="119" t="str">
        <f>IFERROR(__xludf.DUMMYFUNCTION("""COMPUTED_VALUE"""),"Gấu")</f>
        <v>Gấu</v>
      </c>
    </row>
    <row r="5073" ht="15.75" customHeight="1">
      <c r="A5073" s="122" t="str">
        <f>IFERROR(__xludf.DUMMYFUNCTION("""COMPUTED_VALUE"""),"0357 280 499")</f>
        <v>0357 280 499</v>
      </c>
      <c r="B5073" s="119" t="str">
        <f>IFERROR(__xludf.DUMMYFUNCTION("""COMPUTED_VALUE"""),"Chị An")</f>
        <v>Chị An</v>
      </c>
      <c r="C5073" s="119" t="str">
        <f>IFERROR(__xludf.DUMMYFUNCTION("""COMPUTED_VALUE"""),"266 Bùi Thị Xuân")</f>
        <v>266 Bùi Thị Xuân</v>
      </c>
      <c r="D5073" s="119" t="str">
        <f>IFERROR(__xludf.DUMMYFUNCTION("""COMPUTED_VALUE"""),"mèo")</f>
        <v>mèo</v>
      </c>
      <c r="E5073" s="119" t="str">
        <f>IFERROR(__xludf.DUMMYFUNCTION("""COMPUTED_VALUE"""),"Cá")</f>
        <v>Cá</v>
      </c>
    </row>
    <row r="5074" ht="15.75" customHeight="1">
      <c r="A5074" s="122" t="str">
        <f>IFERROR(__xludf.DUMMYFUNCTION("""COMPUTED_VALUE"""),"0914 156 635")</f>
        <v>0914 156 635</v>
      </c>
      <c r="B5074" s="119" t="str">
        <f>IFERROR(__xludf.DUMMYFUNCTION("""COMPUTED_VALUE"""),"Phạm Văn Đức")</f>
        <v>Phạm Văn Đức</v>
      </c>
      <c r="C5074" s="119" t="str">
        <f>IFERROR(__xludf.DUMMYFUNCTION("""COMPUTED_VALUE"""),"16/588 Bùi Thị Xuân")</f>
        <v>16/588 Bùi Thị Xuân</v>
      </c>
      <c r="D5074" s="119" t="str">
        <f>IFERROR(__xludf.DUMMYFUNCTION("""COMPUTED_VALUE"""),"Chó")</f>
        <v>Chó</v>
      </c>
      <c r="E5074" s="119" t="str">
        <f>IFERROR(__xludf.DUMMYFUNCTION("""COMPUTED_VALUE"""),"Babu")</f>
        <v>Babu</v>
      </c>
    </row>
    <row r="5075" ht="15.75" customHeight="1">
      <c r="A5075" s="122" t="str">
        <f>IFERROR(__xludf.DUMMYFUNCTION("""COMPUTED_VALUE"""),"0335 915 551")</f>
        <v>0335 915 551</v>
      </c>
      <c r="B5075" s="119" t="str">
        <f>IFERROR(__xludf.DUMMYFUNCTION("""COMPUTED_VALUE"""),"Thu Trang")</f>
        <v>Thu Trang</v>
      </c>
      <c r="C5075" s="119" t="str">
        <f>IFERROR(__xludf.DUMMYFUNCTION("""COMPUTED_VALUE"""),"Hương Hồ")</f>
        <v>Hương Hồ</v>
      </c>
      <c r="D5075" s="119" t="str">
        <f>IFERROR(__xludf.DUMMYFUNCTION("""COMPUTED_VALUE"""),"Chó")</f>
        <v>Chó</v>
      </c>
      <c r="E5075" s="119" t="str">
        <f>IFERROR(__xludf.DUMMYFUNCTION("""COMPUTED_VALUE"""),"Bờm")</f>
        <v>Bờm</v>
      </c>
    </row>
    <row r="5076" ht="15.75" customHeight="1">
      <c r="A5076" s="122" t="str">
        <f>IFERROR(__xludf.DUMMYFUNCTION("""COMPUTED_VALUE"""),"0935 936 041")</f>
        <v>0935 936 041</v>
      </c>
      <c r="B5076" s="119" t="str">
        <f>IFERROR(__xludf.DUMMYFUNCTION("""COMPUTED_VALUE"""),"Chú Đạt")</f>
        <v>Chú Đạt</v>
      </c>
      <c r="C5076" s="119" t="str">
        <f>IFERROR(__xludf.DUMMYFUNCTION("""COMPUTED_VALUE"""),"265 Văn Thánh")</f>
        <v>265 Văn Thánh</v>
      </c>
      <c r="D5076" s="119" t="str">
        <f>IFERROR(__xludf.DUMMYFUNCTION("""COMPUTED_VALUE"""),"Chó")</f>
        <v>Chó</v>
      </c>
      <c r="E5076" s="119" t="str">
        <f>IFERROR(__xludf.DUMMYFUNCTION("""COMPUTED_VALUE"""),"Đẹt")</f>
        <v>Đẹt</v>
      </c>
    </row>
    <row r="5077" ht="15.75" customHeight="1">
      <c r="A5077" s="122" t="str">
        <f>IFERROR(__xludf.DUMMYFUNCTION("""COMPUTED_VALUE"""),"0766 795 584")</f>
        <v>0766 795 584</v>
      </c>
      <c r="B5077" s="119" t="str">
        <f>IFERROR(__xludf.DUMMYFUNCTION("""COMPUTED_VALUE"""),"Chị Trang")</f>
        <v>Chị Trang</v>
      </c>
      <c r="C5077" s="119" t="str">
        <f>IFERROR(__xludf.DUMMYFUNCTION("""COMPUTED_VALUE"""),"36 Hoàng Thị Loan")</f>
        <v>36 Hoàng Thị Loan</v>
      </c>
      <c r="D5077" s="119" t="str">
        <f>IFERROR(__xludf.DUMMYFUNCTION("""COMPUTED_VALUE"""),"mèo")</f>
        <v>mèo</v>
      </c>
      <c r="E5077" s="119" t="str">
        <f>IFERROR(__xludf.DUMMYFUNCTION("""COMPUTED_VALUE"""),"Xôi")</f>
        <v>Xôi</v>
      </c>
    </row>
    <row r="5078" ht="15.75" customHeight="1">
      <c r="A5078" s="122" t="str">
        <f>IFERROR(__xludf.DUMMYFUNCTION("""COMPUTED_VALUE"""),"0963 202 098")</f>
        <v>0963 202 098</v>
      </c>
      <c r="B5078" s="119" t="str">
        <f>IFERROR(__xludf.DUMMYFUNCTION("""COMPUTED_VALUE"""),"Nguyễn Thắng Trai")</f>
        <v>Nguyễn Thắng Trai</v>
      </c>
      <c r="C5078" s="119" t="str">
        <f>IFERROR(__xludf.DUMMYFUNCTION("""COMPUTED_VALUE"""),"5/59 Lý nam Đế")</f>
        <v>5/59 Lý nam Đế</v>
      </c>
      <c r="D5078" s="119" t="str">
        <f>IFERROR(__xludf.DUMMYFUNCTION("""COMPUTED_VALUE"""),"chó")</f>
        <v>chó</v>
      </c>
      <c r="E5078" s="119" t="str">
        <f>IFERROR(__xludf.DUMMYFUNCTION("""COMPUTED_VALUE"""),"Vàng")</f>
        <v>Vàng</v>
      </c>
    </row>
    <row r="5079" ht="15.75" customHeight="1">
      <c r="A5079" s="122" t="str">
        <f>IFERROR(__xludf.DUMMYFUNCTION("""COMPUTED_VALUE"""),"0379 875 058")</f>
        <v>0379 875 058</v>
      </c>
      <c r="B5079" s="119" t="str">
        <f>IFERROR(__xludf.DUMMYFUNCTION("""COMPUTED_VALUE"""),"Chị Phương")</f>
        <v>Chị Phương</v>
      </c>
      <c r="C5079" s="119" t="str">
        <f>IFERROR(__xludf.DUMMYFUNCTION("""COMPUTED_VALUE"""),"59/40 Lý Nam Đế")</f>
        <v>59/40 Lý Nam Đế</v>
      </c>
      <c r="D5079" s="119" t="str">
        <f>IFERROR(__xludf.DUMMYFUNCTION("""COMPUTED_VALUE"""),"mèo")</f>
        <v>mèo</v>
      </c>
      <c r="E5079" s="119" t="str">
        <f>IFERROR(__xludf.DUMMYFUNCTION("""COMPUTED_VALUE"""),"Vàng")</f>
        <v>Vàng</v>
      </c>
    </row>
    <row r="5080" ht="15.75" customHeight="1">
      <c r="A5080" s="122" t="str">
        <f>IFERROR(__xludf.DUMMYFUNCTION("""COMPUTED_VALUE"""),"0961 554 426")</f>
        <v>0961 554 426</v>
      </c>
      <c r="B5080" s="119" t="str">
        <f>IFERROR(__xludf.DUMMYFUNCTION("""COMPUTED_VALUE"""),"Chị Ngọc")</f>
        <v>Chị Ngọc</v>
      </c>
      <c r="C5080" s="119" t="str">
        <f>IFERROR(__xludf.DUMMYFUNCTION("""COMPUTED_VALUE"""),"19 Đoàn Văn Sách")</f>
        <v>19 Đoàn Văn Sách</v>
      </c>
      <c r="D5080" s="119" t="str">
        <f>IFERROR(__xludf.DUMMYFUNCTION("""COMPUTED_VALUE"""),"chó ")</f>
        <v>chó </v>
      </c>
      <c r="E5080" s="119" t="str">
        <f>IFERROR(__xludf.DUMMYFUNCTION("""COMPUTED_VALUE"""),"Sam")</f>
        <v>Sam</v>
      </c>
    </row>
    <row r="5081" ht="15.75" customHeight="1">
      <c r="A5081" s="122" t="str">
        <f>IFERROR(__xludf.DUMMYFUNCTION("""COMPUTED_VALUE"""),"0914 529 790")</f>
        <v>0914 529 790</v>
      </c>
      <c r="B5081" s="119" t="str">
        <f>IFERROR(__xludf.DUMMYFUNCTION("""COMPUTED_VALUE"""),"Anh Tuấn")</f>
        <v>Anh Tuấn</v>
      </c>
      <c r="C5081" s="119" t="str">
        <f>IFERROR(__xludf.DUMMYFUNCTION("""COMPUTED_VALUE"""),"8A/33 Nguyễn Hoàng")</f>
        <v>8A/33 Nguyễn Hoàng</v>
      </c>
      <c r="D5081" s="119" t="str">
        <f>IFERROR(__xludf.DUMMYFUNCTION("""COMPUTED_VALUE"""),"chó")</f>
        <v>chó</v>
      </c>
      <c r="E5081" s="119" t="str">
        <f>IFERROR(__xludf.DUMMYFUNCTION("""COMPUTED_VALUE"""),"Mơ")</f>
        <v>Mơ</v>
      </c>
    </row>
    <row r="5082" ht="15.75" customHeight="1">
      <c r="A5082" s="122" t="str">
        <f>IFERROR(__xludf.DUMMYFUNCTION("""COMPUTED_VALUE"""),"0909 283 562")</f>
        <v>0909 283 562</v>
      </c>
      <c r="B5082" s="119" t="str">
        <f>IFERROR(__xludf.DUMMYFUNCTION("""COMPUTED_VALUE"""),"Chị Trâm")</f>
        <v>Chị Trâm</v>
      </c>
      <c r="C5082" s="119" t="str">
        <f>IFERROR(__xludf.DUMMYFUNCTION("""COMPUTED_VALUE"""),"An Hòa")</f>
        <v>An Hòa</v>
      </c>
      <c r="D5082" s="119" t="str">
        <f>IFERROR(__xludf.DUMMYFUNCTION("""COMPUTED_VALUE"""),"chó ")</f>
        <v>chó </v>
      </c>
      <c r="E5082" s="119" t="str">
        <f>IFERROR(__xludf.DUMMYFUNCTION("""COMPUTED_VALUE"""),"Vàng")</f>
        <v>Vàng</v>
      </c>
    </row>
    <row r="5083" ht="15.75" customHeight="1">
      <c r="A5083" s="122" t="str">
        <f>IFERROR(__xludf.DUMMYFUNCTION("""COMPUTED_VALUE"""),"0949 064 466")</f>
        <v>0949 064 466</v>
      </c>
      <c r="B5083" s="119" t="str">
        <f>IFERROR(__xludf.DUMMYFUNCTION("""COMPUTED_VALUE"""),"Chị Hương")</f>
        <v>Chị Hương</v>
      </c>
      <c r="C5083" s="119" t="str">
        <f>IFERROR(__xludf.DUMMYFUNCTION("""COMPUTED_VALUE"""),"269 Văn Thánh")</f>
        <v>269 Văn Thánh</v>
      </c>
      <c r="D5083" s="119" t="str">
        <f>IFERROR(__xludf.DUMMYFUNCTION("""COMPUTED_VALUE"""),"Chó")</f>
        <v>Chó</v>
      </c>
      <c r="E5083" s="119" t="str">
        <f>IFERROR(__xludf.DUMMYFUNCTION("""COMPUTED_VALUE"""),"ki")</f>
        <v>ki</v>
      </c>
    </row>
    <row r="5084" ht="15.75" customHeight="1">
      <c r="A5084" s="122" t="str">
        <f>IFERROR(__xludf.DUMMYFUNCTION("""COMPUTED_VALUE"""),"0935 011 085")</f>
        <v>0935 011 085</v>
      </c>
      <c r="B5084" s="119" t="str">
        <f>IFERROR(__xludf.DUMMYFUNCTION("""COMPUTED_VALUE"""),"Chị Duyên")</f>
        <v>Chị Duyên</v>
      </c>
      <c r="C5084" s="119" t="str">
        <f>IFERROR(__xludf.DUMMYFUNCTION("""COMPUTED_VALUE"""),"Hương chữ")</f>
        <v>Hương chữ</v>
      </c>
      <c r="D5084" s="119" t="str">
        <f>IFERROR(__xludf.DUMMYFUNCTION("""COMPUTED_VALUE"""),"Chó")</f>
        <v>Chó</v>
      </c>
      <c r="E5084" s="119" t="str">
        <f>IFERROR(__xludf.DUMMYFUNCTION("""COMPUTED_VALUE"""),"sóc")</f>
        <v>sóc</v>
      </c>
    </row>
    <row r="5085" ht="15.75" customHeight="1">
      <c r="A5085" s="122" t="str">
        <f>IFERROR(__xludf.DUMMYFUNCTION("""COMPUTED_VALUE"""),"0372 981 193")</f>
        <v>0372 981 193</v>
      </c>
      <c r="B5085" s="119" t="str">
        <f>IFERROR(__xludf.DUMMYFUNCTION("""COMPUTED_VALUE"""),"Anh Tú")</f>
        <v>Anh Tú</v>
      </c>
      <c r="C5085" s="119" t="str">
        <f>IFERROR(__xludf.DUMMYFUNCTION("""COMPUTED_VALUE"""),"6/230 TRưng Nữ Vương")</f>
        <v>6/230 TRưng Nữ Vương</v>
      </c>
      <c r="D5085" s="119" t="str">
        <f>IFERROR(__xludf.DUMMYFUNCTION("""COMPUTED_VALUE"""),"Chó")</f>
        <v>Chó</v>
      </c>
      <c r="E5085" s="119" t="str">
        <f>IFERROR(__xludf.DUMMYFUNCTION("""COMPUTED_VALUE"""),"Vàng")</f>
        <v>Vàng</v>
      </c>
    </row>
    <row r="5086" ht="15.75" customHeight="1">
      <c r="A5086" s="122" t="str">
        <f>IFERROR(__xludf.DUMMYFUNCTION("""COMPUTED_VALUE"""),"0961 693 456")</f>
        <v>0961 693 456</v>
      </c>
      <c r="B5086" s="119" t="str">
        <f>IFERROR(__xludf.DUMMYFUNCTION("""COMPUTED_VALUE"""),"Anh Chương")</f>
        <v>Anh Chương</v>
      </c>
      <c r="C5086" s="119" t="str">
        <f>IFERROR(__xludf.DUMMYFUNCTION("""COMPUTED_VALUE"""),"64/k53 Thân Văn Nhiếp")</f>
        <v>64/k53 Thân Văn Nhiếp</v>
      </c>
      <c r="D5086" s="119" t="str">
        <f>IFERROR(__xludf.DUMMYFUNCTION("""COMPUTED_VALUE"""),"Chó")</f>
        <v>Chó</v>
      </c>
      <c r="E5086" s="119" t="str">
        <f>IFERROR(__xludf.DUMMYFUNCTION("""COMPUTED_VALUE"""),"Pi")</f>
        <v>Pi</v>
      </c>
    </row>
    <row r="5087" ht="15.75" customHeight="1">
      <c r="A5087" s="122" t="str">
        <f>IFERROR(__xludf.DUMMYFUNCTION("""COMPUTED_VALUE"""),"0965 571 180")</f>
        <v>0965 571 180</v>
      </c>
      <c r="B5087" s="119" t="str">
        <f>IFERROR(__xludf.DUMMYFUNCTION("""COMPUTED_VALUE"""),"Chị Hồng Diễm")</f>
        <v>Chị Hồng Diễm</v>
      </c>
      <c r="C5087" s="119"/>
      <c r="D5087" s="119" t="str">
        <f>IFERROR(__xludf.DUMMYFUNCTION("""COMPUTED_VALUE"""),"Chó")</f>
        <v>Chó</v>
      </c>
      <c r="E5087" s="119" t="str">
        <f>IFERROR(__xludf.DUMMYFUNCTION("""COMPUTED_VALUE"""),"Pooky")</f>
        <v>Pooky</v>
      </c>
    </row>
    <row r="5088" ht="15.75" customHeight="1">
      <c r="A5088" s="122" t="str">
        <f>IFERROR(__xludf.DUMMYFUNCTION("""COMPUTED_VALUE"""),"0913 427 156")</f>
        <v>0913 427 156</v>
      </c>
      <c r="B5088" s="119" t="str">
        <f>IFERROR(__xludf.DUMMYFUNCTION("""COMPUTED_VALUE"""),"Bs Thuận")</f>
        <v>Bs Thuận</v>
      </c>
      <c r="C5088" s="119" t="str">
        <f>IFERROR(__xludf.DUMMYFUNCTION("""COMPUTED_VALUE"""),"8A Nguyễn Thiện Thục")</f>
        <v>8A Nguyễn Thiện Thục</v>
      </c>
      <c r="D5088" s="119" t="str">
        <f>IFERROR(__xludf.DUMMYFUNCTION("""COMPUTED_VALUE"""),"Chó")</f>
        <v>Chó</v>
      </c>
      <c r="E5088" s="119" t="str">
        <f>IFERROR(__xludf.DUMMYFUNCTION("""COMPUTED_VALUE"""),"Bu")</f>
        <v>Bu</v>
      </c>
    </row>
    <row r="5089" ht="15.75" customHeight="1">
      <c r="A5089" s="122" t="str">
        <f>IFERROR(__xludf.DUMMYFUNCTION("""COMPUTED_VALUE"""),"0764 235 165")</f>
        <v>0764 235 165</v>
      </c>
      <c r="B5089" s="119" t="str">
        <f>IFERROR(__xludf.DUMMYFUNCTION("""COMPUTED_VALUE"""),"Chị Trâm")</f>
        <v>Chị Trâm</v>
      </c>
      <c r="C5089" s="119" t="str">
        <f>IFERROR(__xludf.DUMMYFUNCTION("""COMPUTED_VALUE"""),"60B Tôn Thất Thiệp")</f>
        <v>60B Tôn Thất Thiệp</v>
      </c>
      <c r="D5089" s="119" t="str">
        <f>IFERROR(__xludf.DUMMYFUNCTION("""COMPUTED_VALUE"""),"Chó")</f>
        <v>Chó</v>
      </c>
      <c r="E5089" s="119" t="str">
        <f>IFERROR(__xludf.DUMMYFUNCTION("""COMPUTED_VALUE"""),"Lu")</f>
        <v>Lu</v>
      </c>
    </row>
    <row r="5090" ht="15.75" customHeight="1">
      <c r="A5090" s="122" t="str">
        <f>IFERROR(__xludf.DUMMYFUNCTION("""COMPUTED_VALUE"""),"0859 731 909")</f>
        <v>0859 731 909</v>
      </c>
      <c r="B5090" s="119" t="str">
        <f>IFERROR(__xludf.DUMMYFUNCTION("""COMPUTED_VALUE"""),"Anh Đức")</f>
        <v>Anh Đức</v>
      </c>
      <c r="C5090" s="119" t="str">
        <f>IFERROR(__xludf.DUMMYFUNCTION("""COMPUTED_VALUE"""),"99 Vạn Xuân")</f>
        <v>99 Vạn Xuân</v>
      </c>
      <c r="D5090" s="119" t="str">
        <f>IFERROR(__xludf.DUMMYFUNCTION("""COMPUTED_VALUE"""),"Chó")</f>
        <v>Chó</v>
      </c>
      <c r="E5090" s="119" t="str">
        <f>IFERROR(__xludf.DUMMYFUNCTION("""COMPUTED_VALUE"""),"Bông")</f>
        <v>Bông</v>
      </c>
    </row>
    <row r="5091" ht="15.75" customHeight="1">
      <c r="A5091" s="122" t="str">
        <f>IFERROR(__xludf.DUMMYFUNCTION("""COMPUTED_VALUE"""),"0901 148 400")</f>
        <v>0901 148 400</v>
      </c>
      <c r="B5091" s="119" t="str">
        <f>IFERROR(__xludf.DUMMYFUNCTION("""COMPUTED_VALUE"""),"Chị Vy")</f>
        <v>Chị Vy</v>
      </c>
      <c r="C5091" s="119" t="str">
        <f>IFERROR(__xludf.DUMMYFUNCTION("""COMPUTED_VALUE"""),"246 vạn Xuân")</f>
        <v>246 vạn Xuân</v>
      </c>
      <c r="D5091" s="119" t="str">
        <f>IFERROR(__xludf.DUMMYFUNCTION("""COMPUTED_VALUE"""),"Mèo")</f>
        <v>Mèo</v>
      </c>
      <c r="E5091" s="119" t="str">
        <f>IFERROR(__xludf.DUMMYFUNCTION("""COMPUTED_VALUE"""),"Quýt")</f>
        <v>Quýt</v>
      </c>
    </row>
    <row r="5092" ht="15.75" customHeight="1">
      <c r="A5092" s="122" t="str">
        <f>IFERROR(__xludf.DUMMYFUNCTION("""COMPUTED_VALUE"""),"0376 747 097")</f>
        <v>0376 747 097</v>
      </c>
      <c r="B5092" s="119" t="str">
        <f>IFERROR(__xludf.DUMMYFUNCTION("""COMPUTED_VALUE"""),"Nguyễn Thị Nhung")</f>
        <v>Nguyễn Thị Nhung</v>
      </c>
      <c r="C5092" s="119" t="str">
        <f>IFERROR(__xludf.DUMMYFUNCTION("""COMPUTED_VALUE"""),"Hương Thuỷ")</f>
        <v>Hương Thuỷ</v>
      </c>
      <c r="D5092" s="119" t="str">
        <f>IFERROR(__xludf.DUMMYFUNCTION("""COMPUTED_VALUE"""),"Chó")</f>
        <v>Chó</v>
      </c>
      <c r="E5092" s="119" t="str">
        <f>IFERROR(__xludf.DUMMYFUNCTION("""COMPUTED_VALUE"""),"Ki")</f>
        <v>Ki</v>
      </c>
    </row>
    <row r="5093" ht="15.75" customHeight="1">
      <c r="A5093" s="122" t="str">
        <f>IFERROR(__xludf.DUMMYFUNCTION("""COMPUTED_VALUE"""),"0794 520 715")</f>
        <v>0794 520 715</v>
      </c>
      <c r="B5093" s="119" t="str">
        <f>IFERROR(__xludf.DUMMYFUNCTION("""COMPUTED_VALUE"""),"Chị Thiên Lộc")</f>
        <v>Chị Thiên Lộc</v>
      </c>
      <c r="C5093" s="119" t="str">
        <f>IFERROR(__xludf.DUMMYFUNCTION("""COMPUTED_VALUE"""),"Bùi Thị Xuân")</f>
        <v>Bùi Thị Xuân</v>
      </c>
      <c r="D5093" s="119" t="str">
        <f>IFERROR(__xludf.DUMMYFUNCTION("""COMPUTED_VALUE"""),"Chó")</f>
        <v>Chó</v>
      </c>
      <c r="E5093" s="119" t="str">
        <f>IFERROR(__xludf.DUMMYFUNCTION("""COMPUTED_VALUE"""),"Gấu")</f>
        <v>Gấu</v>
      </c>
    </row>
    <row r="5094" ht="15.75" customHeight="1">
      <c r="A5094" s="122" t="str">
        <f>IFERROR(__xludf.DUMMYFUNCTION("""COMPUTED_VALUE"""),"0796 571 231")</f>
        <v>0796 571 231</v>
      </c>
      <c r="B5094" s="119" t="str">
        <f>IFERROR(__xludf.DUMMYFUNCTION("""COMPUTED_VALUE"""),"Chú Linh")</f>
        <v>Chú Linh</v>
      </c>
      <c r="C5094" s="119" t="str">
        <f>IFERROR(__xludf.DUMMYFUNCTION("""COMPUTED_VALUE"""),"3/5 Vạn Xuân")</f>
        <v>3/5 Vạn Xuân</v>
      </c>
      <c r="D5094" s="119" t="str">
        <f>IFERROR(__xludf.DUMMYFUNCTION("""COMPUTED_VALUE"""),"Chó")</f>
        <v>Chó</v>
      </c>
      <c r="E5094" s="119" t="str">
        <f>IFERROR(__xludf.DUMMYFUNCTION("""COMPUTED_VALUE"""),"Win")</f>
        <v>Win</v>
      </c>
    </row>
    <row r="5095" ht="15.75" customHeight="1">
      <c r="A5095" s="122" t="str">
        <f>IFERROR(__xludf.DUMMYFUNCTION("""COMPUTED_VALUE"""),"0905 519 799")</f>
        <v>0905 519 799</v>
      </c>
      <c r="B5095" s="119" t="str">
        <f>IFERROR(__xludf.DUMMYFUNCTION("""COMPUTED_VALUE"""),"Chị Phương")</f>
        <v>Chị Phương</v>
      </c>
      <c r="C5095" s="119" t="str">
        <f>IFERROR(__xludf.DUMMYFUNCTION("""COMPUTED_VALUE"""),"89 Lý Nam Đế")</f>
        <v>89 Lý Nam Đế</v>
      </c>
      <c r="D5095" s="119" t="str">
        <f>IFERROR(__xludf.DUMMYFUNCTION("""COMPUTED_VALUE"""),"Chó")</f>
        <v>Chó</v>
      </c>
      <c r="E5095" s="119" t="str">
        <f>IFERROR(__xludf.DUMMYFUNCTION("""COMPUTED_VALUE"""),"Nơ")</f>
        <v>Nơ</v>
      </c>
    </row>
    <row r="5096" ht="15.75" customHeight="1">
      <c r="A5096" s="122" t="str">
        <f>IFERROR(__xludf.DUMMYFUNCTION("""COMPUTED_VALUE"""),"0782 848 824")</f>
        <v>0782 848 824</v>
      </c>
      <c r="B5096" s="119" t="str">
        <f>IFERROR(__xludf.DUMMYFUNCTION("""COMPUTED_VALUE"""),"Nguyễn Thị Xí")</f>
        <v>Nguyễn Thị Xí</v>
      </c>
      <c r="C5096" s="119" t="str">
        <f>IFERROR(__xludf.DUMMYFUNCTION("""COMPUTED_VALUE"""),"100 Nguyễn Phúc Thái")</f>
        <v>100 Nguyễn Phúc Thái</v>
      </c>
      <c r="D5096" s="119" t="str">
        <f>IFERROR(__xludf.DUMMYFUNCTION("""COMPUTED_VALUE"""),"Chó")</f>
        <v>Chó</v>
      </c>
      <c r="E5096" s="119" t="str">
        <f>IFERROR(__xludf.DUMMYFUNCTION("""COMPUTED_VALUE"""),"Xù")</f>
        <v>Xù</v>
      </c>
    </row>
    <row r="5097" ht="15.75" customHeight="1">
      <c r="A5097" s="122" t="str">
        <f>IFERROR(__xludf.DUMMYFUNCTION("""COMPUTED_VALUE"""),"0914 025 665")</f>
        <v>0914 025 665</v>
      </c>
      <c r="B5097" s="119" t="str">
        <f>IFERROR(__xludf.DUMMYFUNCTION("""COMPUTED_VALUE"""),"Dì Nhi")</f>
        <v>Dì Nhi</v>
      </c>
      <c r="C5097" s="119" t="str">
        <f>IFERROR(__xludf.DUMMYFUNCTION("""COMPUTED_VALUE"""),"39 Trần Nhật Duật")</f>
        <v>39 Trần Nhật Duật</v>
      </c>
      <c r="D5097" s="119" t="str">
        <f>IFERROR(__xludf.DUMMYFUNCTION("""COMPUTED_VALUE"""),"Thỏ")</f>
        <v>Thỏ</v>
      </c>
      <c r="E5097" s="119" t="str">
        <f>IFERROR(__xludf.DUMMYFUNCTION("""COMPUTED_VALUE"""),"Big c")</f>
        <v>Big c</v>
      </c>
    </row>
    <row r="5098" ht="15.75" customHeight="1">
      <c r="A5098" s="122" t="str">
        <f>IFERROR(__xludf.DUMMYFUNCTION("""COMPUTED_VALUE"""),"0918 879 510")</f>
        <v>0918 879 510</v>
      </c>
      <c r="B5098" s="119" t="str">
        <f>IFERROR(__xludf.DUMMYFUNCTION("""COMPUTED_VALUE"""),"Chị Minh Anh")</f>
        <v>Chị Minh Anh</v>
      </c>
      <c r="C5098" s="119" t="str">
        <f>IFERROR(__xludf.DUMMYFUNCTION("""COMPUTED_VALUE"""),"1/152 Lê Duẩn")</f>
        <v>1/152 Lê Duẩn</v>
      </c>
      <c r="D5098" s="119" t="str">
        <f>IFERROR(__xludf.DUMMYFUNCTION("""COMPUTED_VALUE"""),"Chó")</f>
        <v>Chó</v>
      </c>
      <c r="E5098" s="119" t="str">
        <f>IFERROR(__xludf.DUMMYFUNCTION("""COMPUTED_VALUE"""),"Pet")</f>
        <v>Pet</v>
      </c>
    </row>
    <row r="5099" ht="15.75" customHeight="1">
      <c r="A5099" s="122" t="str">
        <f>IFERROR(__xludf.DUMMYFUNCTION("""COMPUTED_VALUE"""),"0823 519 029")</f>
        <v>0823 519 029</v>
      </c>
      <c r="B5099" s="119" t="str">
        <f>IFERROR(__xludf.DUMMYFUNCTION("""COMPUTED_VALUE"""),"Chị Loan")</f>
        <v>Chị Loan</v>
      </c>
      <c r="C5099" s="119" t="str">
        <f>IFERROR(__xludf.DUMMYFUNCTION("""COMPUTED_VALUE"""),"79 Hoàng Thăng")</f>
        <v>79 Hoàng Thăng</v>
      </c>
      <c r="D5099" s="119" t="str">
        <f>IFERROR(__xludf.DUMMYFUNCTION("""COMPUTED_VALUE"""),"Mèo")</f>
        <v>Mèo</v>
      </c>
      <c r="E5099" s="119" t="str">
        <f>IFERROR(__xludf.DUMMYFUNCTION("""COMPUTED_VALUE"""),"Mèo")</f>
        <v>Mèo</v>
      </c>
    </row>
    <row r="5100" ht="15.75" customHeight="1">
      <c r="A5100" s="122" t="str">
        <f>IFERROR(__xludf.DUMMYFUNCTION("""COMPUTED_VALUE"""),"0987 415 900")</f>
        <v>0987 415 900</v>
      </c>
      <c r="B5100" s="119" t="str">
        <f>IFERROR(__xludf.DUMMYFUNCTION("""COMPUTED_VALUE"""),"Chị Tuyền")</f>
        <v>Chị Tuyền</v>
      </c>
      <c r="C5100" s="119" t="str">
        <f>IFERROR(__xludf.DUMMYFUNCTION("""COMPUTED_VALUE"""),"17/56 Lý Nam Đế")</f>
        <v>17/56 Lý Nam Đế</v>
      </c>
      <c r="D5100" s="119" t="str">
        <f>IFERROR(__xludf.DUMMYFUNCTION("""COMPUTED_VALUE"""),"Chó")</f>
        <v>Chó</v>
      </c>
      <c r="E5100" s="119" t="str">
        <f>IFERROR(__xludf.DUMMYFUNCTION("""COMPUTED_VALUE"""),"Sói")</f>
        <v>Sói</v>
      </c>
    </row>
    <row r="5101" ht="15.75" customHeight="1">
      <c r="A5101" s="122" t="str">
        <f>IFERROR(__xludf.DUMMYFUNCTION("""COMPUTED_VALUE"""),"0388 888 175")</f>
        <v>0388 888 175</v>
      </c>
      <c r="B5101" s="119" t="str">
        <f>IFERROR(__xludf.DUMMYFUNCTION("""COMPUTED_VALUE"""),"Anh Huỳnh")</f>
        <v>Anh Huỳnh</v>
      </c>
      <c r="C5101" s="119" t="str">
        <f>IFERROR(__xludf.DUMMYFUNCTION("""COMPUTED_VALUE"""),"1/104/17/14 Kim Long")</f>
        <v>1/104/17/14 Kim Long</v>
      </c>
      <c r="D5101" s="119" t="str">
        <f>IFERROR(__xludf.DUMMYFUNCTION("""COMPUTED_VALUE"""),"Chó")</f>
        <v>Chó</v>
      </c>
      <c r="E5101" s="119"/>
    </row>
    <row r="5102" ht="15.75" customHeight="1">
      <c r="A5102" s="122" t="str">
        <f>IFERROR(__xludf.DUMMYFUNCTION("""COMPUTED_VALUE"""),"0869 019 107")</f>
        <v>0869 019 107</v>
      </c>
      <c r="B5102" s="119" t="str">
        <f>IFERROR(__xludf.DUMMYFUNCTION("""COMPUTED_VALUE"""),"Anh Rin")</f>
        <v>Anh Rin</v>
      </c>
      <c r="C5102" s="119"/>
      <c r="D5102" s="119" t="str">
        <f>IFERROR(__xludf.DUMMYFUNCTION("""COMPUTED_VALUE"""),"Chó")</f>
        <v>Chó</v>
      </c>
      <c r="E5102" s="119" t="str">
        <f>IFERROR(__xludf.DUMMYFUNCTION("""COMPUTED_VALUE"""),"Lu")</f>
        <v>Lu</v>
      </c>
    </row>
    <row r="5103" ht="15.75" customHeight="1">
      <c r="A5103" s="122" t="str">
        <f>IFERROR(__xludf.DUMMYFUNCTION("""COMPUTED_VALUE"""),"0965 887 233")</f>
        <v>0965 887 233</v>
      </c>
      <c r="B5103" s="119" t="str">
        <f>IFERROR(__xludf.DUMMYFUNCTION("""COMPUTED_VALUE"""),"Em Chi")</f>
        <v>Em Chi</v>
      </c>
      <c r="C5103" s="119" t="str">
        <f>IFERROR(__xludf.DUMMYFUNCTION("""COMPUTED_VALUE"""),"85 Thích Tịnh Khiết")</f>
        <v>85 Thích Tịnh Khiết</v>
      </c>
      <c r="D5103" s="119"/>
      <c r="E5103" s="119"/>
    </row>
    <row r="5104" ht="15.75" customHeight="1">
      <c r="A5104" s="122" t="str">
        <f>IFERROR(__xludf.DUMMYFUNCTION("""COMPUTED_VALUE"""),"0775 421 672")</f>
        <v>0775 421 672</v>
      </c>
      <c r="B5104" s="119" t="str">
        <f>IFERROR(__xludf.DUMMYFUNCTION("""COMPUTED_VALUE"""),"Em Linh")</f>
        <v>Em Linh</v>
      </c>
      <c r="C5104" s="119" t="str">
        <f>IFERROR(__xludf.DUMMYFUNCTION("""COMPUTED_VALUE"""),"Hương Thủy")</f>
        <v>Hương Thủy</v>
      </c>
      <c r="D5104" s="119" t="str">
        <f>IFERROR(__xludf.DUMMYFUNCTION("""COMPUTED_VALUE"""),"Mèo")</f>
        <v>Mèo</v>
      </c>
      <c r="E5104" s="119" t="str">
        <f>IFERROR(__xludf.DUMMYFUNCTION("""COMPUTED_VALUE"""),"Ủn")</f>
        <v>Ủn</v>
      </c>
    </row>
    <row r="5105" ht="15.75" customHeight="1">
      <c r="A5105" s="122" t="str">
        <f>IFERROR(__xludf.DUMMYFUNCTION("""COMPUTED_VALUE"""),"0372 073 898")</f>
        <v>0372 073 898</v>
      </c>
      <c r="B5105" s="119" t="str">
        <f>IFERROR(__xludf.DUMMYFUNCTION("""COMPUTED_VALUE"""),"Chị Mộng")</f>
        <v>Chị Mộng</v>
      </c>
      <c r="C5105" s="119" t="str">
        <f>IFERROR(__xludf.DUMMYFUNCTION("""COMPUTED_VALUE"""),"Vinh Hương")</f>
        <v>Vinh Hương</v>
      </c>
      <c r="D5105" s="119" t="str">
        <f>IFERROR(__xludf.DUMMYFUNCTION("""COMPUTED_VALUE"""),"Chó")</f>
        <v>Chó</v>
      </c>
      <c r="E5105" s="119" t="str">
        <f>IFERROR(__xludf.DUMMYFUNCTION("""COMPUTED_VALUE"""),"Xu")</f>
        <v>Xu</v>
      </c>
    </row>
    <row r="5106" ht="15.75" customHeight="1">
      <c r="A5106" s="122" t="str">
        <f>IFERROR(__xludf.DUMMYFUNCTION("""COMPUTED_VALUE"""),"0389 885 607")</f>
        <v>0389 885 607</v>
      </c>
      <c r="B5106" s="119" t="str">
        <f>IFERROR(__xludf.DUMMYFUNCTION("""COMPUTED_VALUE"""),"Chị Trà")</f>
        <v>Chị Trà</v>
      </c>
      <c r="C5106" s="119"/>
      <c r="D5106" s="119" t="str">
        <f>IFERROR(__xludf.DUMMYFUNCTION("""COMPUTED_VALUE"""),"Mèo")</f>
        <v>Mèo</v>
      </c>
      <c r="E5106" s="119"/>
    </row>
    <row r="5107" ht="15.75" customHeight="1">
      <c r="A5107" s="122" t="str">
        <f>IFERROR(__xludf.DUMMYFUNCTION("""COMPUTED_VALUE"""),"0362 282 198")</f>
        <v>0362 282 198</v>
      </c>
      <c r="B5107" s="119" t="str">
        <f>IFERROR(__xludf.DUMMYFUNCTION("""COMPUTED_VALUE"""),"Bảo Trân")</f>
        <v>Bảo Trân</v>
      </c>
      <c r="C5107" s="119" t="str">
        <f>IFERROR(__xludf.DUMMYFUNCTION("""COMPUTED_VALUE"""),"Hưng Long")</f>
        <v>Hưng Long</v>
      </c>
      <c r="D5107" s="119" t="str">
        <f>IFERROR(__xludf.DUMMYFUNCTION("""COMPUTED_VALUE"""),"Chó")</f>
        <v>Chó</v>
      </c>
      <c r="E5107" s="119"/>
    </row>
    <row r="5108" ht="15.75" customHeight="1">
      <c r="A5108" s="122" t="str">
        <f>IFERROR(__xludf.DUMMYFUNCTION("""COMPUTED_VALUE"""),"0971 008 346")</f>
        <v>0971 008 346</v>
      </c>
      <c r="B5108" s="119" t="str">
        <f>IFERROR(__xludf.DUMMYFUNCTION("""COMPUTED_VALUE"""),"BSTY Trà")</f>
        <v>BSTY Trà</v>
      </c>
      <c r="C5108" s="119"/>
      <c r="D5108" s="119"/>
      <c r="E5108" s="119"/>
    </row>
    <row r="5109" ht="15.75" customHeight="1">
      <c r="A5109" s="122" t="str">
        <f>IFERROR(__xludf.DUMMYFUNCTION("""COMPUTED_VALUE"""),"0793 649 379")</f>
        <v>0793 649 379</v>
      </c>
      <c r="B5109" s="119" t="str">
        <f>IFERROR(__xludf.DUMMYFUNCTION("""COMPUTED_VALUE"""),"Phương")</f>
        <v>Phương</v>
      </c>
      <c r="C5109" s="119" t="str">
        <f>IFERROR(__xludf.DUMMYFUNCTION("""COMPUTED_VALUE"""),"120 Kim Long")</f>
        <v>120 Kim Long</v>
      </c>
      <c r="D5109" s="119" t="str">
        <f>IFERROR(__xludf.DUMMYFUNCTION("""COMPUTED_VALUE"""),"Chó")</f>
        <v>Chó</v>
      </c>
      <c r="E5109" s="119" t="str">
        <f>IFERROR(__xludf.DUMMYFUNCTION("""COMPUTED_VALUE"""),"Mèo")</f>
        <v>Mèo</v>
      </c>
    </row>
    <row r="5110" ht="15.75" customHeight="1">
      <c r="A5110" s="122" t="str">
        <f>IFERROR(__xludf.DUMMYFUNCTION("""COMPUTED_VALUE"""),"0944 208 167")</f>
        <v>0944 208 167</v>
      </c>
      <c r="B5110" s="119" t="str">
        <f>IFERROR(__xludf.DUMMYFUNCTION("""COMPUTED_VALUE"""),"Em Duy")</f>
        <v>Em Duy</v>
      </c>
      <c r="C5110" s="119"/>
      <c r="D5110" s="119" t="str">
        <f>IFERROR(__xludf.DUMMYFUNCTION("""COMPUTED_VALUE"""),"Chó")</f>
        <v>Chó</v>
      </c>
      <c r="E5110" s="119" t="str">
        <f>IFERROR(__xludf.DUMMYFUNCTION("""COMPUTED_VALUE"""),"Quýt")</f>
        <v>Quýt</v>
      </c>
    </row>
    <row r="5111" ht="15.75" customHeight="1">
      <c r="A5111" s="122" t="str">
        <f>IFERROR(__xludf.DUMMYFUNCTION("""COMPUTED_VALUE"""),"0911 347 275")</f>
        <v>0911 347 275</v>
      </c>
      <c r="B5111" s="119" t="str">
        <f>IFERROR(__xludf.DUMMYFUNCTION("""COMPUTED_VALUE"""),"Hoàng Linh Đan")</f>
        <v>Hoàng Linh Đan</v>
      </c>
      <c r="C5111" s="119" t="str">
        <f>IFERROR(__xludf.DUMMYFUNCTION("""COMPUTED_VALUE"""),"16A/1 Quảng Tế")</f>
        <v>16A/1 Quảng Tế</v>
      </c>
      <c r="D5111" s="119" t="str">
        <f>IFERROR(__xludf.DUMMYFUNCTION("""COMPUTED_VALUE"""),"Chó")</f>
        <v>Chó</v>
      </c>
      <c r="E5111" s="119" t="str">
        <f>IFERROR(__xludf.DUMMYFUNCTION("""COMPUTED_VALUE"""),"Boom")</f>
        <v>Boom</v>
      </c>
    </row>
    <row r="5112" ht="15.75" customHeight="1">
      <c r="A5112" s="122" t="str">
        <f>IFERROR(__xludf.DUMMYFUNCTION("""COMPUTED_VALUE"""),"0888 671 489")</f>
        <v>0888 671 489</v>
      </c>
      <c r="B5112" s="119"/>
      <c r="C5112" s="119"/>
      <c r="D5112" s="119"/>
      <c r="E5112" s="119"/>
    </row>
    <row r="5113" ht="15.75" customHeight="1">
      <c r="A5113" s="122" t="str">
        <f>IFERROR(__xludf.DUMMYFUNCTION("""COMPUTED_VALUE"""),"0934 769 696")</f>
        <v>0934 769 696</v>
      </c>
      <c r="B5113" s="119" t="str">
        <f>IFERROR(__xludf.DUMMYFUNCTION("""COMPUTED_VALUE"""),"Anh Vũ")</f>
        <v>Anh Vũ</v>
      </c>
      <c r="C5113" s="119" t="str">
        <f>IFERROR(__xludf.DUMMYFUNCTION("""COMPUTED_VALUE"""),"25 Lương Quán")</f>
        <v>25 Lương Quán</v>
      </c>
      <c r="D5113" s="119" t="str">
        <f>IFERROR(__xludf.DUMMYFUNCTION("""COMPUTED_VALUE"""),"Chó")</f>
        <v>Chó</v>
      </c>
      <c r="E5113" s="119" t="str">
        <f>IFERROR(__xludf.DUMMYFUNCTION("""COMPUTED_VALUE"""),"Đen")</f>
        <v>Đen</v>
      </c>
    </row>
    <row r="5114" ht="15.75" customHeight="1">
      <c r="A5114" s="122" t="str">
        <f>IFERROR(__xludf.DUMMYFUNCTION("""COMPUTED_VALUE"""),"0915 927 512")</f>
        <v>0915 927 512</v>
      </c>
      <c r="B5114" s="119" t="str">
        <f>IFERROR(__xludf.DUMMYFUNCTION("""COMPUTED_VALUE"""),"Em Uyên")</f>
        <v>Em Uyên</v>
      </c>
      <c r="C5114" s="119" t="str">
        <f>IFERROR(__xludf.DUMMYFUNCTION("""COMPUTED_VALUE"""),"6/104 Phạm Thị Liên")</f>
        <v>6/104 Phạm Thị Liên</v>
      </c>
      <c r="D5114" s="119" t="str">
        <f>IFERROR(__xludf.DUMMYFUNCTION("""COMPUTED_VALUE"""),"Chó")</f>
        <v>Chó</v>
      </c>
      <c r="E5114" s="119" t="str">
        <f>IFERROR(__xludf.DUMMYFUNCTION("""COMPUTED_VALUE"""),"Lucky")</f>
        <v>Lucky</v>
      </c>
    </row>
    <row r="5115" ht="15.75" customHeight="1">
      <c r="A5115" s="122" t="str">
        <f>IFERROR(__xludf.DUMMYFUNCTION("""COMPUTED_VALUE"""),"0903 584 535")</f>
        <v>0903 584 535</v>
      </c>
      <c r="B5115" s="119" t="str">
        <f>IFERROR(__xludf.DUMMYFUNCTION("""COMPUTED_VALUE"""),"Chị Ánh Nguyệt")</f>
        <v>Chị Ánh Nguyệt</v>
      </c>
      <c r="C5115" s="119" t="str">
        <f>IFERROR(__xludf.DUMMYFUNCTION("""COMPUTED_VALUE"""),"40 Lý Thái Tổ")</f>
        <v>40 Lý Thái Tổ</v>
      </c>
      <c r="D5115" s="119" t="str">
        <f>IFERROR(__xludf.DUMMYFUNCTION("""COMPUTED_VALUE"""),"Mèo")</f>
        <v>Mèo</v>
      </c>
      <c r="E5115" s="119" t="str">
        <f>IFERROR(__xludf.DUMMYFUNCTION("""COMPUTED_VALUE"""),"Sumo")</f>
        <v>Sumo</v>
      </c>
    </row>
    <row r="5116" ht="15.75" customHeight="1">
      <c r="A5116" s="122" t="str">
        <f>IFERROR(__xludf.DUMMYFUNCTION("""COMPUTED_VALUE"""),"0934 888 758")</f>
        <v>0934 888 758</v>
      </c>
      <c r="B5116" s="119" t="str">
        <f>IFERROR(__xludf.DUMMYFUNCTION("""COMPUTED_VALUE"""),"Anh Tuấn")</f>
        <v>Anh Tuấn</v>
      </c>
      <c r="C5116" s="119" t="str">
        <f>IFERROR(__xludf.DUMMYFUNCTION("""COMPUTED_VALUE"""),"24/2 Vạn Xuân")</f>
        <v>24/2 Vạn Xuân</v>
      </c>
      <c r="D5116" s="119" t="str">
        <f>IFERROR(__xludf.DUMMYFUNCTION("""COMPUTED_VALUE"""),"Chó")</f>
        <v>Chó</v>
      </c>
      <c r="E5116" s="119" t="str">
        <f>IFERROR(__xludf.DUMMYFUNCTION("""COMPUTED_VALUE"""),"Su")</f>
        <v>Su</v>
      </c>
    </row>
    <row r="5117" ht="15.75" customHeight="1">
      <c r="A5117" s="122" t="str">
        <f>IFERROR(__xludf.DUMMYFUNCTION("""COMPUTED_VALUE"""),"0905 731 941")</f>
        <v>0905 731 941</v>
      </c>
      <c r="B5117" s="119" t="str">
        <f>IFERROR(__xludf.DUMMYFUNCTION("""COMPUTED_VALUE"""),"Bác Dưỡng")</f>
        <v>Bác Dưỡng</v>
      </c>
      <c r="C5117" s="119" t="str">
        <f>IFERROR(__xludf.DUMMYFUNCTION("""COMPUTED_VALUE"""),"52 Phạm Thị Liên")</f>
        <v>52 Phạm Thị Liên</v>
      </c>
      <c r="D5117" s="119" t="str">
        <f>IFERROR(__xludf.DUMMYFUNCTION("""COMPUTED_VALUE"""),"Chó")</f>
        <v>Chó</v>
      </c>
      <c r="E5117" s="119" t="str">
        <f>IFERROR(__xludf.DUMMYFUNCTION("""COMPUTED_VALUE"""),"Red")</f>
        <v>Red</v>
      </c>
    </row>
    <row r="5118" ht="15.75" customHeight="1">
      <c r="A5118" s="122" t="str">
        <f>IFERROR(__xludf.DUMMYFUNCTION("""COMPUTED_VALUE"""),"0363 707 027")</f>
        <v>0363 707 027</v>
      </c>
      <c r="B5118" s="119" t="str">
        <f>IFERROR(__xludf.DUMMYFUNCTION("""COMPUTED_VALUE"""),"Anh Quang")</f>
        <v>Anh Quang</v>
      </c>
      <c r="C5118" s="119" t="str">
        <f>IFERROR(__xludf.DUMMYFUNCTION("""COMPUTED_VALUE"""),"91 Lựu Bảo")</f>
        <v>91 Lựu Bảo</v>
      </c>
      <c r="D5118" s="119" t="str">
        <f>IFERROR(__xludf.DUMMYFUNCTION("""COMPUTED_VALUE"""),"Chó")</f>
        <v>Chó</v>
      </c>
      <c r="E5118" s="119"/>
    </row>
    <row r="5119" ht="15.75" customHeight="1">
      <c r="A5119" s="122" t="str">
        <f>IFERROR(__xludf.DUMMYFUNCTION("""COMPUTED_VALUE"""),"0862 558 144")</f>
        <v>0862 558 144</v>
      </c>
      <c r="B5119" s="119" t="str">
        <f>IFERROR(__xludf.DUMMYFUNCTION("""COMPUTED_VALUE"""),"Anh Nguyên")</f>
        <v>Anh Nguyên</v>
      </c>
      <c r="C5119" s="119"/>
      <c r="D5119" s="119" t="str">
        <f>IFERROR(__xludf.DUMMYFUNCTION("""COMPUTED_VALUE"""),"Chó")</f>
        <v>Chó</v>
      </c>
      <c r="E5119" s="119" t="str">
        <f>IFERROR(__xludf.DUMMYFUNCTION("""COMPUTED_VALUE"""),"Cún")</f>
        <v>Cún</v>
      </c>
    </row>
    <row r="5120" ht="15.75" customHeight="1">
      <c r="A5120" s="122" t="str">
        <f>IFERROR(__xludf.DUMMYFUNCTION("""COMPUTED_VALUE"""),"0978 010 341")</f>
        <v>0978 010 341</v>
      </c>
      <c r="B5120" s="119" t="str">
        <f>IFERROR(__xludf.DUMMYFUNCTION("""COMPUTED_VALUE"""),"Anh Thắng")</f>
        <v>Anh Thắng</v>
      </c>
      <c r="C5120" s="119" t="str">
        <f>IFERROR(__xludf.DUMMYFUNCTION("""COMPUTED_VALUE"""),"k143 Vạn Xuân")</f>
        <v>k143 Vạn Xuân</v>
      </c>
      <c r="D5120" s="119" t="str">
        <f>IFERROR(__xludf.DUMMYFUNCTION("""COMPUTED_VALUE"""),"Chó")</f>
        <v>Chó</v>
      </c>
      <c r="E5120" s="119" t="str">
        <f>IFERROR(__xludf.DUMMYFUNCTION("""COMPUTED_VALUE"""),"Boy")</f>
        <v>Boy</v>
      </c>
    </row>
    <row r="5121" ht="15.75" customHeight="1">
      <c r="A5121" s="122" t="str">
        <f>IFERROR(__xludf.DUMMYFUNCTION("""COMPUTED_VALUE"""),"0345 367 093")</f>
        <v>0345 367 093</v>
      </c>
      <c r="B5121" s="119" t="str">
        <f>IFERROR(__xludf.DUMMYFUNCTION("""COMPUTED_VALUE"""),"Thảo Nhi")</f>
        <v>Thảo Nhi</v>
      </c>
      <c r="C5121" s="119" t="str">
        <f>IFERROR(__xludf.DUMMYFUNCTION("""COMPUTED_VALUE"""),"7/66 Thạch Hãn")</f>
        <v>7/66 Thạch Hãn</v>
      </c>
      <c r="D5121" s="119" t="str">
        <f>IFERROR(__xludf.DUMMYFUNCTION("""COMPUTED_VALUE"""),"Chó")</f>
        <v>Chó</v>
      </c>
      <c r="E5121" s="119" t="str">
        <f>IFERROR(__xludf.DUMMYFUNCTION("""COMPUTED_VALUE"""),"Xoài")</f>
        <v>Xoài</v>
      </c>
    </row>
    <row r="5122" ht="15.75" customHeight="1">
      <c r="A5122" s="122" t="str">
        <f>IFERROR(__xludf.DUMMYFUNCTION("""COMPUTED_VALUE"""),"0935 514 909")</f>
        <v>0935 514 909</v>
      </c>
      <c r="B5122" s="119" t="str">
        <f>IFERROR(__xludf.DUMMYFUNCTION("""COMPUTED_VALUE"""),"Chị Tiên")</f>
        <v>Chị Tiên</v>
      </c>
      <c r="C5122" s="119" t="str">
        <f>IFERROR(__xludf.DUMMYFUNCTION("""COMPUTED_VALUE"""),"40/33 Nguyễn Hoàng")</f>
        <v>40/33 Nguyễn Hoàng</v>
      </c>
      <c r="D5122" s="119" t="str">
        <f>IFERROR(__xludf.DUMMYFUNCTION("""COMPUTED_VALUE"""),"Chó")</f>
        <v>Chó</v>
      </c>
      <c r="E5122" s="119" t="str">
        <f>IFERROR(__xludf.DUMMYFUNCTION("""COMPUTED_VALUE"""),"Nora")</f>
        <v>Nora</v>
      </c>
    </row>
    <row r="5123" ht="15.75" customHeight="1">
      <c r="A5123" s="122" t="str">
        <f>IFERROR(__xludf.DUMMYFUNCTION("""COMPUTED_VALUE"""),"0397 225 310")</f>
        <v>0397 225 310</v>
      </c>
      <c r="B5123" s="119" t="str">
        <f>IFERROR(__xludf.DUMMYFUNCTION("""COMPUTED_VALUE"""),"Thanh Hiền")</f>
        <v>Thanh Hiền</v>
      </c>
      <c r="C5123" s="119" t="str">
        <f>IFERROR(__xludf.DUMMYFUNCTION("""COMPUTED_VALUE"""),"Phong Điền")</f>
        <v>Phong Điền</v>
      </c>
      <c r="D5123" s="119" t="str">
        <f>IFERROR(__xludf.DUMMYFUNCTION("""COMPUTED_VALUE"""),"Chó")</f>
        <v>Chó</v>
      </c>
      <c r="E5123" s="119" t="str">
        <f>IFERROR(__xludf.DUMMYFUNCTION("""COMPUTED_VALUE"""),"Đôla")</f>
        <v>Đôla</v>
      </c>
    </row>
    <row r="5124" ht="15.75" customHeight="1">
      <c r="A5124" s="122" t="str">
        <f>IFERROR(__xludf.DUMMYFUNCTION("""COMPUTED_VALUE"""),"0915 514 341")</f>
        <v>0915 514 341</v>
      </c>
      <c r="B5124" s="119" t="str">
        <f>IFERROR(__xludf.DUMMYFUNCTION("""COMPUTED_VALUE"""),"Chị Kha")</f>
        <v>Chị Kha</v>
      </c>
      <c r="C5124" s="119" t="str">
        <f>IFERROR(__xludf.DUMMYFUNCTION("""COMPUTED_VALUE"""),"Lê Duẩn")</f>
        <v>Lê Duẩn</v>
      </c>
      <c r="D5124" s="119" t="str">
        <f>IFERROR(__xludf.DUMMYFUNCTION("""COMPUTED_VALUE"""),"Chó")</f>
        <v>Chó</v>
      </c>
      <c r="E5124" s="119" t="str">
        <f>IFERROR(__xludf.DUMMYFUNCTION("""COMPUTED_VALUE"""),"Fa")</f>
        <v>Fa</v>
      </c>
    </row>
    <row r="5125" ht="15.75" customHeight="1">
      <c r="A5125" s="122" t="str">
        <f>IFERROR(__xludf.DUMMYFUNCTION("""COMPUTED_VALUE"""),"0986 012 128")</f>
        <v>0986 012 128</v>
      </c>
      <c r="B5125" s="119" t="str">
        <f>IFERROR(__xludf.DUMMYFUNCTION("""COMPUTED_VALUE"""),"Chị Huyền")</f>
        <v>Chị Huyền</v>
      </c>
      <c r="C5125" s="119" t="str">
        <f>IFERROR(__xludf.DUMMYFUNCTION("""COMPUTED_VALUE"""),"4/32 An Dương Vương")</f>
        <v>4/32 An Dương Vương</v>
      </c>
      <c r="D5125" s="119" t="str">
        <f>IFERROR(__xludf.DUMMYFUNCTION("""COMPUTED_VALUE"""),"Chó")</f>
        <v>Chó</v>
      </c>
      <c r="E5125" s="119" t="str">
        <f>IFERROR(__xludf.DUMMYFUNCTION("""COMPUTED_VALUE"""),"Lu")</f>
        <v>Lu</v>
      </c>
    </row>
    <row r="5126" ht="15.75" customHeight="1">
      <c r="A5126" s="122" t="str">
        <f>IFERROR(__xludf.DUMMYFUNCTION("""COMPUTED_VALUE"""),"0905 773 854")</f>
        <v>0905 773 854</v>
      </c>
      <c r="B5126" s="119" t="str">
        <f>IFERROR(__xludf.DUMMYFUNCTION("""COMPUTED_VALUE"""),"Anh Trung")</f>
        <v>Anh Trung</v>
      </c>
      <c r="C5126" s="119" t="str">
        <f>IFERROR(__xludf.DUMMYFUNCTION("""COMPUTED_VALUE"""),"12 Phạm Thị Liên")</f>
        <v>12 Phạm Thị Liên</v>
      </c>
      <c r="D5126" s="119" t="str">
        <f>IFERROR(__xludf.DUMMYFUNCTION("""COMPUTED_VALUE"""),"Mèo")</f>
        <v>Mèo</v>
      </c>
      <c r="E5126" s="119" t="str">
        <f>IFERROR(__xludf.DUMMYFUNCTION("""COMPUTED_VALUE"""),"Sấm")</f>
        <v>Sấm</v>
      </c>
    </row>
    <row r="5127" ht="15.75" customHeight="1">
      <c r="A5127" s="122" t="str">
        <f>IFERROR(__xludf.DUMMYFUNCTION("""COMPUTED_VALUE"""),"0333 190 897")</f>
        <v>0333 190 897</v>
      </c>
      <c r="B5127" s="119" t="str">
        <f>IFERROR(__xludf.DUMMYFUNCTION("""COMPUTED_VALUE"""),"Chị Phương")</f>
        <v>Chị Phương</v>
      </c>
      <c r="C5127" s="119" t="str">
        <f>IFERROR(__xludf.DUMMYFUNCTION("""COMPUTED_VALUE"""),"Hương Trà")</f>
        <v>Hương Trà</v>
      </c>
      <c r="D5127" s="119" t="str">
        <f>IFERROR(__xludf.DUMMYFUNCTION("""COMPUTED_VALUE"""),"Chó")</f>
        <v>Chó</v>
      </c>
      <c r="E5127" s="119" t="str">
        <f>IFERROR(__xludf.DUMMYFUNCTION("""COMPUTED_VALUE"""),"Milo")</f>
        <v>Milo</v>
      </c>
    </row>
    <row r="5128" ht="15.75" customHeight="1">
      <c r="A5128" s="122" t="str">
        <f>IFERROR(__xludf.DUMMYFUNCTION("""COMPUTED_VALUE"""),"0764 076 552")</f>
        <v>0764 076 552</v>
      </c>
      <c r="B5128" s="119" t="str">
        <f>IFERROR(__xludf.DUMMYFUNCTION("""COMPUTED_VALUE"""),"Chị Hiền")</f>
        <v>Chị Hiền</v>
      </c>
      <c r="C5128" s="119" t="str">
        <f>IFERROR(__xludf.DUMMYFUNCTION("""COMPUTED_VALUE"""),"44 Nguyễn Phúc Lan")</f>
        <v>44 Nguyễn Phúc Lan</v>
      </c>
      <c r="D5128" s="119" t="str">
        <f>IFERROR(__xludf.DUMMYFUNCTION("""COMPUTED_VALUE"""),"Chó")</f>
        <v>Chó</v>
      </c>
      <c r="E5128" s="119" t="str">
        <f>IFERROR(__xludf.DUMMYFUNCTION("""COMPUTED_VALUE"""),"Đôla")</f>
        <v>Đôla</v>
      </c>
    </row>
    <row r="5129" ht="15.75" customHeight="1">
      <c r="A5129" s="122" t="str">
        <f>IFERROR(__xludf.DUMMYFUNCTION("""COMPUTED_VALUE"""),"0913 079 293")</f>
        <v>0913 079 293</v>
      </c>
      <c r="B5129" s="119" t="str">
        <f>IFERROR(__xludf.DUMMYFUNCTION("""COMPUTED_VALUE"""),"Chị Lệ Thu")</f>
        <v>Chị Lệ Thu</v>
      </c>
      <c r="C5129" s="119" t="str">
        <f>IFERROR(__xludf.DUMMYFUNCTION("""COMPUTED_VALUE"""),"Đội 5 Nông Lâm, Phong Điền")</f>
        <v>Đội 5 Nông Lâm, Phong Điền</v>
      </c>
      <c r="D5129" s="119" t="str">
        <f>IFERROR(__xludf.DUMMYFUNCTION("""COMPUTED_VALUE"""),"Chó")</f>
        <v>Chó</v>
      </c>
      <c r="E5129" s="119" t="str">
        <f>IFERROR(__xludf.DUMMYFUNCTION("""COMPUTED_VALUE"""),"Lucky")</f>
        <v>Lucky</v>
      </c>
    </row>
    <row r="5130" ht="15.75" customHeight="1">
      <c r="A5130" s="122" t="str">
        <f>IFERROR(__xludf.DUMMYFUNCTION("""COMPUTED_VALUE"""),"0972 341 178")</f>
        <v>0972 341 178</v>
      </c>
      <c r="B5130" s="119" t="str">
        <f>IFERROR(__xludf.DUMMYFUNCTION("""COMPUTED_VALUE"""),"Chị Nguyền Thị Vân")</f>
        <v>Chị Nguyền Thị Vân</v>
      </c>
      <c r="C5130" s="119" t="str">
        <f>IFERROR(__xludf.DUMMYFUNCTION("""COMPUTED_VALUE"""),"Hương Hồ")</f>
        <v>Hương Hồ</v>
      </c>
      <c r="D5130" s="119" t="str">
        <f>IFERROR(__xludf.DUMMYFUNCTION("""COMPUTED_VALUE"""),"Chó")</f>
        <v>Chó</v>
      </c>
      <c r="E5130" s="119" t="str">
        <f>IFERROR(__xludf.DUMMYFUNCTION("""COMPUTED_VALUE"""),"Cún")</f>
        <v>Cún</v>
      </c>
    </row>
    <row r="5131" ht="15.75" customHeight="1">
      <c r="A5131" s="122" t="str">
        <f>IFERROR(__xludf.DUMMYFUNCTION("""COMPUTED_VALUE"""),"0327 745 030")</f>
        <v>0327 745 030</v>
      </c>
      <c r="B5131" s="119" t="str">
        <f>IFERROR(__xludf.DUMMYFUNCTION("""COMPUTED_VALUE"""),"Chị Hương Giang (Na)")</f>
        <v>Chị Hương Giang (Na)</v>
      </c>
      <c r="C5131" s="119" t="str">
        <f>IFERROR(__xludf.DUMMYFUNCTION("""COMPUTED_VALUE"""),"Nguyễn Phúc Chu")</f>
        <v>Nguyễn Phúc Chu</v>
      </c>
      <c r="D5131" s="119" t="str">
        <f>IFERROR(__xludf.DUMMYFUNCTION("""COMPUTED_VALUE"""),"Mèo")</f>
        <v>Mèo</v>
      </c>
      <c r="E5131" s="119" t="str">
        <f>IFERROR(__xludf.DUMMYFUNCTION("""COMPUTED_VALUE"""),"Vàng")</f>
        <v>Vàng</v>
      </c>
    </row>
    <row r="5132" ht="15.75" customHeight="1">
      <c r="A5132" s="122" t="str">
        <f>IFERROR(__xludf.DUMMYFUNCTION("""COMPUTED_VALUE"""),"0981 033 229")</f>
        <v>0981 033 229</v>
      </c>
      <c r="B5132" s="119" t="str">
        <f>IFERROR(__xludf.DUMMYFUNCTION("""COMPUTED_VALUE"""),"Lê Trung Đức")</f>
        <v>Lê Trung Đức</v>
      </c>
      <c r="C5132" s="119" t="str">
        <f>IFERROR(__xludf.DUMMYFUNCTION("""COMPUTED_VALUE"""),"Thuỷ Xuân")</f>
        <v>Thuỷ Xuân</v>
      </c>
      <c r="D5132" s="119" t="str">
        <f>IFERROR(__xludf.DUMMYFUNCTION("""COMPUTED_VALUE"""),"Mèo")</f>
        <v>Mèo</v>
      </c>
      <c r="E5132" s="119" t="str">
        <f>IFERROR(__xludf.DUMMYFUNCTION("""COMPUTED_VALUE"""),"Moon")</f>
        <v>Moon</v>
      </c>
    </row>
    <row r="5133" ht="15.75" customHeight="1">
      <c r="A5133" s="122" t="str">
        <f>IFERROR(__xludf.DUMMYFUNCTION("""COMPUTED_VALUE"""),"0935 646 633")</f>
        <v>0935 646 633</v>
      </c>
      <c r="B5133" s="119" t="str">
        <f>IFERROR(__xludf.DUMMYFUNCTION("""COMPUTED_VALUE"""),"Anh Long")</f>
        <v>Anh Long</v>
      </c>
      <c r="C5133" s="119" t="str">
        <f>IFERROR(__xludf.DUMMYFUNCTION("""COMPUTED_VALUE"""),"31 Chế Lan Viên")</f>
        <v>31 Chế Lan Viên</v>
      </c>
      <c r="D5133" s="119" t="str">
        <f>IFERROR(__xludf.DUMMYFUNCTION("""COMPUTED_VALUE"""),"Chó")</f>
        <v>Chó</v>
      </c>
      <c r="E5133" s="119" t="str">
        <f>IFERROR(__xludf.DUMMYFUNCTION("""COMPUTED_VALUE"""),"Ka")</f>
        <v>Ka</v>
      </c>
    </row>
    <row r="5134" ht="15.75" customHeight="1">
      <c r="A5134" s="122" t="str">
        <f>IFERROR(__xludf.DUMMYFUNCTION("""COMPUTED_VALUE"""),"0906 416 415")</f>
        <v>0906 416 415</v>
      </c>
      <c r="B5134" s="119" t="str">
        <f>IFERROR(__xludf.DUMMYFUNCTION("""COMPUTED_VALUE"""),"Chị Hiền")</f>
        <v>Chị Hiền</v>
      </c>
      <c r="C5134" s="119" t="str">
        <f>IFERROR(__xludf.DUMMYFUNCTION("""COMPUTED_VALUE"""),"93 Minh Mạng")</f>
        <v>93 Minh Mạng</v>
      </c>
      <c r="D5134" s="119" t="str">
        <f>IFERROR(__xludf.DUMMYFUNCTION("""COMPUTED_VALUE"""),"Chó")</f>
        <v>Chó</v>
      </c>
      <c r="E5134" s="119" t="str">
        <f>IFERROR(__xludf.DUMMYFUNCTION("""COMPUTED_VALUE"""),"Mít")</f>
        <v>Mít</v>
      </c>
    </row>
    <row r="5135" ht="15.75" customHeight="1">
      <c r="A5135" s="122" t="str">
        <f>IFERROR(__xludf.DUMMYFUNCTION("""COMPUTED_VALUE"""),"0911 382 108")</f>
        <v>0911 382 108</v>
      </c>
      <c r="B5135" s="119" t="str">
        <f>IFERROR(__xludf.DUMMYFUNCTION("""COMPUTED_VALUE"""),"Chị Hằng")</f>
        <v>Chị Hằng</v>
      </c>
      <c r="C5135" s="119" t="str">
        <f>IFERROR(__xludf.DUMMYFUNCTION("""COMPUTED_VALUE"""),"Hùng Vương")</f>
        <v>Hùng Vương</v>
      </c>
      <c r="D5135" s="119" t="str">
        <f>IFERROR(__xludf.DUMMYFUNCTION("""COMPUTED_VALUE"""),"Chó")</f>
        <v>Chó</v>
      </c>
      <c r="E5135" s="119" t="str">
        <f>IFERROR(__xludf.DUMMYFUNCTION("""COMPUTED_VALUE"""),"Đô")</f>
        <v>Đô</v>
      </c>
    </row>
    <row r="5136" ht="15.75" customHeight="1">
      <c r="A5136" s="122" t="str">
        <f>IFERROR(__xludf.DUMMYFUNCTION("""COMPUTED_VALUE"""),"0911 344 428")</f>
        <v>0911 344 428</v>
      </c>
      <c r="B5136" s="119" t="str">
        <f>IFERROR(__xludf.DUMMYFUNCTION("""COMPUTED_VALUE"""),"Anh Minh")</f>
        <v>Anh Minh</v>
      </c>
      <c r="C5136" s="119" t="str">
        <f>IFERROR(__xludf.DUMMYFUNCTION("""COMPUTED_VALUE"""),"D266 KDT Phú Mỹ Thượng")</f>
        <v>D266 KDT Phú Mỹ Thượng</v>
      </c>
      <c r="D5136" s="119" t="str">
        <f>IFERROR(__xludf.DUMMYFUNCTION("""COMPUTED_VALUE"""),"Chó")</f>
        <v>Chó</v>
      </c>
      <c r="E5136" s="119" t="str">
        <f>IFERROR(__xludf.DUMMYFUNCTION("""COMPUTED_VALUE"""),"Hela")</f>
        <v>Hela</v>
      </c>
    </row>
    <row r="5137" ht="15.75" customHeight="1">
      <c r="A5137" s="122" t="str">
        <f>IFERROR(__xludf.DUMMYFUNCTION("""COMPUTED_VALUE"""),"0794 526 977")</f>
        <v>0794 526 977</v>
      </c>
      <c r="B5137" s="119" t="str">
        <f>IFERROR(__xludf.DUMMYFUNCTION("""COMPUTED_VALUE"""),"Chị Hằng")</f>
        <v>Chị Hằng</v>
      </c>
      <c r="C5137" s="119" t="str">
        <f>IFERROR(__xludf.DUMMYFUNCTION("""COMPUTED_VALUE"""),"166 Hương Sơ")</f>
        <v>166 Hương Sơ</v>
      </c>
      <c r="D5137" s="119" t="str">
        <f>IFERROR(__xludf.DUMMYFUNCTION("""COMPUTED_VALUE"""),"Mèo")</f>
        <v>Mèo</v>
      </c>
      <c r="E5137" s="119" t="str">
        <f>IFERROR(__xludf.DUMMYFUNCTION("""COMPUTED_VALUE"""),"Money")</f>
        <v>Money</v>
      </c>
    </row>
    <row r="5138" ht="15.75" customHeight="1">
      <c r="A5138" s="122" t="str">
        <f>IFERROR(__xludf.DUMMYFUNCTION("""COMPUTED_VALUE"""),"0905 835 787")</f>
        <v>0905 835 787</v>
      </c>
      <c r="B5138" s="119" t="str">
        <f>IFERROR(__xludf.DUMMYFUNCTION("""COMPUTED_VALUE"""),"Chị Thanh Thảo")</f>
        <v>Chị Thanh Thảo</v>
      </c>
      <c r="C5138" s="119" t="str">
        <f>IFERROR(__xludf.DUMMYFUNCTION("""COMPUTED_VALUE"""),"19 kiệt 3 Lịch Đợi")</f>
        <v>19 kiệt 3 Lịch Đợi</v>
      </c>
      <c r="D5138" s="119" t="str">
        <f>IFERROR(__xludf.DUMMYFUNCTION("""COMPUTED_VALUE"""),"Chó")</f>
        <v>Chó</v>
      </c>
      <c r="E5138" s="119" t="str">
        <f>IFERROR(__xludf.DUMMYFUNCTION("""COMPUTED_VALUE"""),"Bun")</f>
        <v>Bun</v>
      </c>
    </row>
    <row r="5139" ht="15.75" customHeight="1">
      <c r="A5139" s="122" t="str">
        <f>IFERROR(__xludf.DUMMYFUNCTION("""COMPUTED_VALUE"""),"0782 840 824")</f>
        <v>0782 840 824</v>
      </c>
      <c r="B5139" s="119" t="str">
        <f>IFERROR(__xludf.DUMMYFUNCTION("""COMPUTED_VALUE"""),"Chị Xí")</f>
        <v>Chị Xí</v>
      </c>
      <c r="C5139" s="119" t="str">
        <f>IFERROR(__xludf.DUMMYFUNCTION("""COMPUTED_VALUE"""),"100 Nguyễn Phúc Thái")</f>
        <v>100 Nguyễn Phúc Thái</v>
      </c>
      <c r="D5139" s="119" t="str">
        <f>IFERROR(__xludf.DUMMYFUNCTION("""COMPUTED_VALUE"""),"Chó")</f>
        <v>Chó</v>
      </c>
      <c r="E5139" s="119" t="str">
        <f>IFERROR(__xludf.DUMMYFUNCTION("""COMPUTED_VALUE"""),"Xù")</f>
        <v>Xù</v>
      </c>
    </row>
    <row r="5140" ht="15.75" customHeight="1">
      <c r="A5140" s="122" t="str">
        <f>IFERROR(__xludf.DUMMYFUNCTION("""COMPUTED_VALUE"""),"0961 134 743")</f>
        <v>0961 134 743</v>
      </c>
      <c r="B5140" s="119" t="str">
        <f>IFERROR(__xludf.DUMMYFUNCTION("""COMPUTED_VALUE"""),"Chị Vy")</f>
        <v>Chị Vy</v>
      </c>
      <c r="C5140" s="119" t="str">
        <f>IFERROR(__xludf.DUMMYFUNCTION("""COMPUTED_VALUE"""),"50/6 Tôn thất Tùng")</f>
        <v>50/6 Tôn thất Tùng</v>
      </c>
      <c r="D5140" s="119" t="str">
        <f>IFERROR(__xludf.DUMMYFUNCTION("""COMPUTED_VALUE"""),"Chó")</f>
        <v>Chó</v>
      </c>
      <c r="E5140" s="119" t="str">
        <f>IFERROR(__xludf.DUMMYFUNCTION("""COMPUTED_VALUE"""),"Sóc")</f>
        <v>Sóc</v>
      </c>
    </row>
    <row r="5141" ht="15.75" customHeight="1">
      <c r="A5141" s="122" t="str">
        <f>IFERROR(__xludf.DUMMYFUNCTION("""COMPUTED_VALUE"""),"0963 873 682")</f>
        <v>0963 873 682</v>
      </c>
      <c r="B5141" s="119" t="str">
        <f>IFERROR(__xludf.DUMMYFUNCTION("""COMPUTED_VALUE"""),"Chị Bông")</f>
        <v>Chị Bông</v>
      </c>
      <c r="C5141" s="119" t="str">
        <f>IFERROR(__xludf.DUMMYFUNCTION("""COMPUTED_VALUE"""),"Phong Điền")</f>
        <v>Phong Điền</v>
      </c>
      <c r="D5141" s="119" t="str">
        <f>IFERROR(__xludf.DUMMYFUNCTION("""COMPUTED_VALUE"""),"Chó")</f>
        <v>Chó</v>
      </c>
      <c r="E5141" s="119"/>
    </row>
    <row r="5142" ht="15.75" customHeight="1">
      <c r="A5142" s="122" t="str">
        <f>IFERROR(__xludf.DUMMYFUNCTION("""COMPUTED_VALUE"""),"0905 381 083")</f>
        <v>0905 381 083</v>
      </c>
      <c r="B5142" s="119" t="str">
        <f>IFERROR(__xludf.DUMMYFUNCTION("""COMPUTED_VALUE"""),"Anh Trí")</f>
        <v>Anh Trí</v>
      </c>
      <c r="C5142" s="119" t="str">
        <f>IFERROR(__xludf.DUMMYFUNCTION("""COMPUTED_VALUE"""),"12 Mai Khắc Đôn")</f>
        <v>12 Mai Khắc Đôn</v>
      </c>
      <c r="D5142" s="119" t="str">
        <f>IFERROR(__xludf.DUMMYFUNCTION("""COMPUTED_VALUE"""),"Chó")</f>
        <v>Chó</v>
      </c>
      <c r="E5142" s="119" t="str">
        <f>IFERROR(__xludf.DUMMYFUNCTION("""COMPUTED_VALUE"""),"Cà Phê")</f>
        <v>Cà Phê</v>
      </c>
    </row>
    <row r="5143" ht="15.75" customHeight="1">
      <c r="A5143" s="122" t="str">
        <f>IFERROR(__xludf.DUMMYFUNCTION("""COMPUTED_VALUE"""),"0935 090 288")</f>
        <v>0935 090 288</v>
      </c>
      <c r="B5143" s="119" t="str">
        <f>IFERROR(__xludf.DUMMYFUNCTION("""COMPUTED_VALUE"""),"Anh Hoàn")</f>
        <v>Anh Hoàn</v>
      </c>
      <c r="C5143" s="119" t="str">
        <f>IFERROR(__xludf.DUMMYFUNCTION("""COMPUTED_VALUE"""),"1A/170 Lý Nam Đế")</f>
        <v>1A/170 Lý Nam Đế</v>
      </c>
      <c r="D5143" s="119" t="str">
        <f>IFERROR(__xludf.DUMMYFUNCTION("""COMPUTED_VALUE"""),"Chó")</f>
        <v>Chó</v>
      </c>
      <c r="E5143" s="119" t="str">
        <f>IFERROR(__xludf.DUMMYFUNCTION("""COMPUTED_VALUE"""),"Barchen")</f>
        <v>Barchen</v>
      </c>
    </row>
    <row r="5144" ht="15.75" customHeight="1">
      <c r="A5144" s="122" t="str">
        <f>IFERROR(__xludf.DUMMYFUNCTION("""COMPUTED_VALUE"""),"0934 747 838")</f>
        <v>0934 747 838</v>
      </c>
      <c r="B5144" s="119" t="str">
        <f>IFERROR(__xludf.DUMMYFUNCTION("""COMPUTED_VALUE"""),"Chị Châm")</f>
        <v>Chị Châm</v>
      </c>
      <c r="C5144" s="119" t="str">
        <f>IFERROR(__xludf.DUMMYFUNCTION("""COMPUTED_VALUE"""),"22 Duy Tân")</f>
        <v>22 Duy Tân</v>
      </c>
      <c r="D5144" s="119" t="str">
        <f>IFERROR(__xludf.DUMMYFUNCTION("""COMPUTED_VALUE"""),"Mèo")</f>
        <v>Mèo</v>
      </c>
      <c r="E5144" s="119" t="str">
        <f>IFERROR(__xludf.DUMMYFUNCTION("""COMPUTED_VALUE"""),"chó")</f>
        <v>chó</v>
      </c>
    </row>
    <row r="5145" ht="15.75" customHeight="1">
      <c r="A5145" s="122" t="str">
        <f>IFERROR(__xludf.DUMMYFUNCTION("""COMPUTED_VALUE"""),"0354 519 214")</f>
        <v>0354 519 214</v>
      </c>
      <c r="B5145" s="119" t="str">
        <f>IFERROR(__xludf.DUMMYFUNCTION("""COMPUTED_VALUE"""),"Dì Thu")</f>
        <v>Dì Thu</v>
      </c>
      <c r="C5145" s="119" t="str">
        <f>IFERROR(__xludf.DUMMYFUNCTION("""COMPUTED_VALUE"""),"Phong Điền")</f>
        <v>Phong Điền</v>
      </c>
      <c r="D5145" s="119" t="str">
        <f>IFERROR(__xludf.DUMMYFUNCTION("""COMPUTED_VALUE"""),"Chó")</f>
        <v>Chó</v>
      </c>
      <c r="E5145" s="119" t="str">
        <f>IFERROR(__xludf.DUMMYFUNCTION("""COMPUTED_VALUE"""),"Sun")</f>
        <v>Sun</v>
      </c>
    </row>
    <row r="5146" ht="15.75" customHeight="1">
      <c r="A5146" s="122" t="str">
        <f>IFERROR(__xludf.DUMMYFUNCTION("""COMPUTED_VALUE"""),"0905 583 864")</f>
        <v>0905 583 864</v>
      </c>
      <c r="B5146" s="119" t="str">
        <f>IFERROR(__xludf.DUMMYFUNCTION("""COMPUTED_VALUE"""),"nguyễn Thanh Phương")</f>
        <v>nguyễn Thanh Phương</v>
      </c>
      <c r="C5146" s="119" t="str">
        <f>IFERROR(__xludf.DUMMYFUNCTION("""COMPUTED_VALUE"""),"16 Nguyễn Hoàng")</f>
        <v>16 Nguyễn Hoàng</v>
      </c>
      <c r="D5146" s="119" t="str">
        <f>IFERROR(__xludf.DUMMYFUNCTION("""COMPUTED_VALUE"""),"Chó")</f>
        <v>Chó</v>
      </c>
      <c r="E5146" s="119" t="str">
        <f>IFERROR(__xludf.DUMMYFUNCTION("""COMPUTED_VALUE"""),"Nâu")</f>
        <v>Nâu</v>
      </c>
    </row>
    <row r="5147" ht="15.75" customHeight="1">
      <c r="A5147" s="122" t="str">
        <f>IFERROR(__xludf.DUMMYFUNCTION("""COMPUTED_VALUE"""),"0706 212 621")</f>
        <v>0706 212 621</v>
      </c>
      <c r="B5147" s="119" t="str">
        <f>IFERROR(__xludf.DUMMYFUNCTION("""COMPUTED_VALUE"""),"Anh Hưng")</f>
        <v>Anh Hưng</v>
      </c>
      <c r="C5147" s="119" t="str">
        <f>IFERROR(__xludf.DUMMYFUNCTION("""COMPUTED_VALUE"""),"Phú Mỹ An")</f>
        <v>Phú Mỹ An</v>
      </c>
      <c r="D5147" s="119" t="str">
        <f>IFERROR(__xludf.DUMMYFUNCTION("""COMPUTED_VALUE"""),"Mèo")</f>
        <v>Mèo</v>
      </c>
      <c r="E5147" s="119" t="str">
        <f>IFERROR(__xludf.DUMMYFUNCTION("""COMPUTED_VALUE"""),"Sa")</f>
        <v>Sa</v>
      </c>
    </row>
    <row r="5148" ht="15.75" customHeight="1">
      <c r="A5148" s="122" t="str">
        <f>IFERROR(__xludf.DUMMYFUNCTION("""COMPUTED_VALUE"""),"0949 229 430")</f>
        <v>0949 229 430</v>
      </c>
      <c r="B5148" s="119" t="str">
        <f>IFERROR(__xludf.DUMMYFUNCTION("""COMPUTED_VALUE"""),"Thanh Huyền")</f>
        <v>Thanh Huyền</v>
      </c>
      <c r="C5148" s="119" t="str">
        <f>IFERROR(__xludf.DUMMYFUNCTION("""COMPUTED_VALUE"""),"K126 Văn Thánh")</f>
        <v>K126 Văn Thánh</v>
      </c>
      <c r="D5148" s="119" t="str">
        <f>IFERROR(__xludf.DUMMYFUNCTION("""COMPUTED_VALUE"""),"Chó")</f>
        <v>Chó</v>
      </c>
      <c r="E5148" s="119" t="str">
        <f>IFERROR(__xludf.DUMMYFUNCTION("""COMPUTED_VALUE"""),"Đen")</f>
        <v>Đen</v>
      </c>
    </row>
    <row r="5149" ht="15.75" customHeight="1">
      <c r="A5149" s="122" t="str">
        <f>IFERROR(__xludf.DUMMYFUNCTION("""COMPUTED_VALUE"""),"0393 902 354")</f>
        <v>0393 902 354</v>
      </c>
      <c r="B5149" s="119" t="str">
        <f>IFERROR(__xludf.DUMMYFUNCTION("""COMPUTED_VALUE"""),"Em LyLy")</f>
        <v>Em LyLy</v>
      </c>
      <c r="C5149" s="119" t="str">
        <f>IFERROR(__xludf.DUMMYFUNCTION("""COMPUTED_VALUE"""),"Hương Trà")</f>
        <v>Hương Trà</v>
      </c>
      <c r="D5149" s="119" t="str">
        <f>IFERROR(__xludf.DUMMYFUNCTION("""COMPUTED_VALUE"""),"Mèo")</f>
        <v>Mèo</v>
      </c>
      <c r="E5149" s="119"/>
    </row>
    <row r="5150" ht="15.75" customHeight="1">
      <c r="A5150" s="122" t="str">
        <f>IFERROR(__xludf.DUMMYFUNCTION("""COMPUTED_VALUE"""),"0905 858 485")</f>
        <v>0905 858 485</v>
      </c>
      <c r="B5150" s="119" t="str">
        <f>IFERROR(__xludf.DUMMYFUNCTION("""COMPUTED_VALUE"""),"Anh Tài")</f>
        <v>Anh Tài</v>
      </c>
      <c r="C5150" s="119" t="str">
        <f>IFERROR(__xludf.DUMMYFUNCTION("""COMPUTED_VALUE"""),"82 Nguyễn Hoàng")</f>
        <v>82 Nguyễn Hoàng</v>
      </c>
      <c r="D5150" s="119" t="str">
        <f>IFERROR(__xludf.DUMMYFUNCTION("""COMPUTED_VALUE"""),"Mèo")</f>
        <v>Mèo</v>
      </c>
      <c r="E5150" s="119" t="str">
        <f>IFERROR(__xludf.DUMMYFUNCTION("""COMPUTED_VALUE"""),"kem")</f>
        <v>kem</v>
      </c>
    </row>
    <row r="5151" ht="15.75" customHeight="1">
      <c r="A5151" s="122" t="str">
        <f>IFERROR(__xludf.DUMMYFUNCTION("""COMPUTED_VALUE"""),"0977 306 208")</f>
        <v>0977 306 208</v>
      </c>
      <c r="B5151" s="119" t="str">
        <f>IFERROR(__xludf.DUMMYFUNCTION("""COMPUTED_VALUE"""),"Chị trang")</f>
        <v>Chị trang</v>
      </c>
      <c r="C5151" s="119" t="str">
        <f>IFERROR(__xludf.DUMMYFUNCTION("""COMPUTED_VALUE"""),"16 Văn Cao")</f>
        <v>16 Văn Cao</v>
      </c>
      <c r="D5151" s="119" t="str">
        <f>IFERROR(__xludf.DUMMYFUNCTION("""COMPUTED_VALUE"""),"Chó")</f>
        <v>Chó</v>
      </c>
      <c r="E5151" s="119" t="str">
        <f>IFERROR(__xludf.DUMMYFUNCTION("""COMPUTED_VALUE"""),"bino")</f>
        <v>bino</v>
      </c>
    </row>
    <row r="5152" ht="15.75" customHeight="1">
      <c r="A5152" s="122" t="str">
        <f>IFERROR(__xludf.DUMMYFUNCTION("""COMPUTED_VALUE"""),"0899 879 519")</f>
        <v>0899 879 519</v>
      </c>
      <c r="B5152" s="119" t="str">
        <f>IFERROR(__xludf.DUMMYFUNCTION("""COMPUTED_VALUE"""),"Chị Châu")</f>
        <v>Chị Châu</v>
      </c>
      <c r="C5152" s="119" t="str">
        <f>IFERROR(__xludf.DUMMYFUNCTION("""COMPUTED_VALUE"""),"5/146 Phan Chu Trinh")</f>
        <v>5/146 Phan Chu Trinh</v>
      </c>
      <c r="D5152" s="119" t="str">
        <f>IFERROR(__xludf.DUMMYFUNCTION("""COMPUTED_VALUE"""),"Chó")</f>
        <v>Chó</v>
      </c>
      <c r="E5152" s="119" t="str">
        <f>IFERROR(__xludf.DUMMYFUNCTION("""COMPUTED_VALUE"""),"Cháo")</f>
        <v>Cháo</v>
      </c>
    </row>
    <row r="5153" ht="15.75" customHeight="1">
      <c r="A5153" s="122" t="str">
        <f>IFERROR(__xludf.DUMMYFUNCTION("""COMPUTED_VALUE"""),"0339 977 682")</f>
        <v>0339 977 682</v>
      </c>
      <c r="B5153" s="119" t="str">
        <f>IFERROR(__xludf.DUMMYFUNCTION("""COMPUTED_VALUE"""),"Anh Danh")</f>
        <v>Anh Danh</v>
      </c>
      <c r="C5153" s="119" t="str">
        <f>IFERROR(__xludf.DUMMYFUNCTION("""COMPUTED_VALUE"""),"14/15 An Ninh")</f>
        <v>14/15 An Ninh</v>
      </c>
      <c r="D5153" s="119" t="str">
        <f>IFERROR(__xludf.DUMMYFUNCTION("""COMPUTED_VALUE"""),"Chó")</f>
        <v>Chó</v>
      </c>
      <c r="E5153" s="119" t="str">
        <f>IFERROR(__xludf.DUMMYFUNCTION("""COMPUTED_VALUE"""),"Gấu")</f>
        <v>Gấu</v>
      </c>
    </row>
    <row r="5154" ht="15.75" customHeight="1">
      <c r="A5154" s="122" t="str">
        <f>IFERROR(__xludf.DUMMYFUNCTION("""COMPUTED_VALUE"""),"0823 450 111")</f>
        <v>0823 450 111</v>
      </c>
      <c r="B5154" s="119" t="str">
        <f>IFERROR(__xludf.DUMMYFUNCTION("""COMPUTED_VALUE"""),"Chị Ti")</f>
        <v>Chị Ti</v>
      </c>
      <c r="C5154" s="119" t="str">
        <f>IFERROR(__xludf.DUMMYFUNCTION("""COMPUTED_VALUE"""),"6/97 Phan Trọng Tịnh")</f>
        <v>6/97 Phan Trọng Tịnh</v>
      </c>
      <c r="D5154" s="119" t="str">
        <f>IFERROR(__xludf.DUMMYFUNCTION("""COMPUTED_VALUE"""),"chó")</f>
        <v>chó</v>
      </c>
      <c r="E5154" s="119" t="str">
        <f>IFERROR(__xludf.DUMMYFUNCTION("""COMPUTED_VALUE"""),"Nâu")</f>
        <v>Nâu</v>
      </c>
    </row>
    <row r="5155" ht="15.75" customHeight="1">
      <c r="A5155" s="122" t="str">
        <f>IFERROR(__xludf.DUMMYFUNCTION("""COMPUTED_VALUE"""),"0905 809 019")</f>
        <v>0905 809 019</v>
      </c>
      <c r="B5155" s="119" t="str">
        <f>IFERROR(__xludf.DUMMYFUNCTION("""COMPUTED_VALUE"""),"Chú Long")</f>
        <v>Chú Long</v>
      </c>
      <c r="C5155" s="119" t="str">
        <f>IFERROR(__xludf.DUMMYFUNCTION("""COMPUTED_VALUE"""),"33 nguyễn Hoàng")</f>
        <v>33 nguyễn Hoàng</v>
      </c>
      <c r="D5155" s="119" t="str">
        <f>IFERROR(__xludf.DUMMYFUNCTION("""COMPUTED_VALUE"""),"Chó")</f>
        <v>Chó</v>
      </c>
      <c r="E5155" s="119" t="str">
        <f>IFERROR(__xludf.DUMMYFUNCTION("""COMPUTED_VALUE"""),"Ki")</f>
        <v>Ki</v>
      </c>
    </row>
    <row r="5156" ht="15.75" customHeight="1">
      <c r="A5156" s="122" t="str">
        <f>IFERROR(__xludf.DUMMYFUNCTION("""COMPUTED_VALUE"""),"0935 261 050")</f>
        <v>0935 261 050</v>
      </c>
      <c r="B5156" s="119" t="str">
        <f>IFERROR(__xludf.DUMMYFUNCTION("""COMPUTED_VALUE"""),"Chị Mai")</f>
        <v>Chị Mai</v>
      </c>
      <c r="C5156" s="119" t="str">
        <f>IFERROR(__xludf.DUMMYFUNCTION("""COMPUTED_VALUE"""),"108 phạm thị Liên")</f>
        <v>108 phạm thị Liên</v>
      </c>
      <c r="D5156" s="119" t="str">
        <f>IFERROR(__xludf.DUMMYFUNCTION("""COMPUTED_VALUE"""),"Mèo")</f>
        <v>Mèo</v>
      </c>
      <c r="E5156" s="119" t="str">
        <f>IFERROR(__xludf.DUMMYFUNCTION("""COMPUTED_VALUE"""),"Mắm")</f>
        <v>Mắm</v>
      </c>
    </row>
    <row r="5157" ht="15.75" customHeight="1">
      <c r="A5157" s="122" t="str">
        <f>IFERROR(__xludf.DUMMYFUNCTION("""COMPUTED_VALUE"""),"0948 195 692")</f>
        <v>0948 195 692</v>
      </c>
      <c r="B5157" s="119" t="str">
        <f>IFERROR(__xludf.DUMMYFUNCTION("""COMPUTED_VALUE"""),"Lê thành Đạt")</f>
        <v>Lê thành Đạt</v>
      </c>
      <c r="C5157" s="119"/>
      <c r="D5157" s="119" t="str">
        <f>IFERROR(__xludf.DUMMYFUNCTION("""COMPUTED_VALUE"""),"Chó")</f>
        <v>Chó</v>
      </c>
      <c r="E5157" s="119" t="str">
        <f>IFERROR(__xludf.DUMMYFUNCTION("""COMPUTED_VALUE"""),"Đô")</f>
        <v>Đô</v>
      </c>
    </row>
    <row r="5158" ht="15.75" customHeight="1">
      <c r="A5158" s="122" t="str">
        <f>IFERROR(__xludf.DUMMYFUNCTION("""COMPUTED_VALUE"""),"0327 092 197")</f>
        <v>0327 092 197</v>
      </c>
      <c r="B5158" s="119" t="str">
        <f>IFERROR(__xludf.DUMMYFUNCTION("""COMPUTED_VALUE"""),"Anh Đạt")</f>
        <v>Anh Đạt</v>
      </c>
      <c r="C5158" s="119" t="str">
        <f>IFERROR(__xludf.DUMMYFUNCTION("""COMPUTED_VALUE"""),"K208/11 Lý Nam Đế")</f>
        <v>K208/11 Lý Nam Đế</v>
      </c>
      <c r="D5158" s="119" t="str">
        <f>IFERROR(__xludf.DUMMYFUNCTION("""COMPUTED_VALUE"""),"Chó")</f>
        <v>Chó</v>
      </c>
      <c r="E5158" s="119" t="str">
        <f>IFERROR(__xludf.DUMMYFUNCTION("""COMPUTED_VALUE"""),"Bi")</f>
        <v>Bi</v>
      </c>
    </row>
    <row r="5159" ht="15.75" customHeight="1">
      <c r="A5159" s="122" t="str">
        <f>IFERROR(__xludf.DUMMYFUNCTION("""COMPUTED_VALUE"""),"0934 987 369")</f>
        <v>0934 987 369</v>
      </c>
      <c r="B5159" s="119" t="str">
        <f>IFERROR(__xludf.DUMMYFUNCTION("""COMPUTED_VALUE"""),"Anh Hiệp")</f>
        <v>Anh Hiệp</v>
      </c>
      <c r="C5159" s="119" t="str">
        <f>IFERROR(__xludf.DUMMYFUNCTION("""COMPUTED_VALUE"""),"Vỹ Dạ")</f>
        <v>Vỹ Dạ</v>
      </c>
      <c r="D5159" s="119" t="str">
        <f>IFERROR(__xludf.DUMMYFUNCTION("""COMPUTED_VALUE"""),"Chó")</f>
        <v>Chó</v>
      </c>
      <c r="E5159" s="119" t="str">
        <f>IFERROR(__xludf.DUMMYFUNCTION("""COMPUTED_VALUE"""),"Mập")</f>
        <v>Mập</v>
      </c>
    </row>
    <row r="5160" ht="15.75" customHeight="1">
      <c r="A5160" s="122" t="str">
        <f>IFERROR(__xludf.DUMMYFUNCTION("""COMPUTED_VALUE"""),"0935 425 717")</f>
        <v>0935 425 717</v>
      </c>
      <c r="B5160" s="119" t="str">
        <f>IFERROR(__xludf.DUMMYFUNCTION("""COMPUTED_VALUE"""),"Lê thanh Lịch")</f>
        <v>Lê thanh Lịch</v>
      </c>
      <c r="C5160" s="119" t="str">
        <f>IFERROR(__xludf.DUMMYFUNCTION("""COMPUTED_VALUE"""),"Lăng Cô phú lộc")</f>
        <v>Lăng Cô phú lộc</v>
      </c>
      <c r="D5160" s="119" t="str">
        <f>IFERROR(__xludf.DUMMYFUNCTION("""COMPUTED_VALUE"""),"Chó")</f>
        <v>Chó</v>
      </c>
      <c r="E5160" s="119" t="str">
        <f>IFERROR(__xludf.DUMMYFUNCTION("""COMPUTED_VALUE"""),"tiger")</f>
        <v>tiger</v>
      </c>
    </row>
    <row r="5161" ht="15.75" customHeight="1">
      <c r="A5161" s="122" t="str">
        <f>IFERROR(__xludf.DUMMYFUNCTION("""COMPUTED_VALUE"""),"0935 282 366")</f>
        <v>0935 282 366</v>
      </c>
      <c r="B5161" s="119" t="str">
        <f>IFERROR(__xludf.DUMMYFUNCTION("""COMPUTED_VALUE"""),"Anh Nam")</f>
        <v>Anh Nam</v>
      </c>
      <c r="C5161" s="119" t="str">
        <f>IFERROR(__xludf.DUMMYFUNCTION("""COMPUTED_VALUE"""),"Phú Vang")</f>
        <v>Phú Vang</v>
      </c>
      <c r="D5161" s="119" t="str">
        <f>IFERROR(__xludf.DUMMYFUNCTION("""COMPUTED_VALUE"""),"Chó")</f>
        <v>Chó</v>
      </c>
      <c r="E5161" s="119" t="str">
        <f>IFERROR(__xludf.DUMMYFUNCTION("""COMPUTED_VALUE"""),"Mực")</f>
        <v>Mực</v>
      </c>
    </row>
    <row r="5162" ht="15.75" customHeight="1">
      <c r="A5162" s="122" t="str">
        <f>IFERROR(__xludf.DUMMYFUNCTION("""COMPUTED_VALUE"""),"0868 009 612")</f>
        <v>0868 009 612</v>
      </c>
      <c r="B5162" s="119" t="str">
        <f>IFERROR(__xludf.DUMMYFUNCTION("""COMPUTED_VALUE"""),"Chị Minh Ngọc")</f>
        <v>Chị Minh Ngọc</v>
      </c>
      <c r="C5162" s="119" t="str">
        <f>IFERROR(__xludf.DUMMYFUNCTION("""COMPUTED_VALUE"""),"38b Tùng Thiện Vương")</f>
        <v>38b Tùng Thiện Vương</v>
      </c>
      <c r="D5162" s="119" t="str">
        <f>IFERROR(__xludf.DUMMYFUNCTION("""COMPUTED_VALUE"""),"Mèo")</f>
        <v>Mèo</v>
      </c>
      <c r="E5162" s="119" t="str">
        <f>IFERROR(__xludf.DUMMYFUNCTION("""COMPUTED_VALUE"""),"Sub")</f>
        <v>Sub</v>
      </c>
    </row>
    <row r="5163" ht="15.75" customHeight="1">
      <c r="A5163" s="122" t="str">
        <f>IFERROR(__xludf.DUMMYFUNCTION("""COMPUTED_VALUE"""),"0386 306 402")</f>
        <v>0386 306 402</v>
      </c>
      <c r="B5163" s="119" t="str">
        <f>IFERROR(__xludf.DUMMYFUNCTION("""COMPUTED_VALUE"""),"Chị Trang")</f>
        <v>Chị Trang</v>
      </c>
      <c r="C5163" s="119" t="str">
        <f>IFERROR(__xludf.DUMMYFUNCTION("""COMPUTED_VALUE"""),"Phong An Phong Điền")</f>
        <v>Phong An Phong Điền</v>
      </c>
      <c r="D5163" s="119" t="str">
        <f>IFERROR(__xludf.DUMMYFUNCTION("""COMPUTED_VALUE"""),"Chó")</f>
        <v>Chó</v>
      </c>
      <c r="E5163" s="119" t="str">
        <f>IFERROR(__xludf.DUMMYFUNCTION("""COMPUTED_VALUE"""),"Mơ")</f>
        <v>Mơ</v>
      </c>
    </row>
    <row r="5164" ht="15.75" customHeight="1">
      <c r="A5164" s="122" t="str">
        <f>IFERROR(__xludf.DUMMYFUNCTION("""COMPUTED_VALUE"""),"0369 338 894")</f>
        <v>0369 338 894</v>
      </c>
      <c r="B5164" s="119" t="str">
        <f>IFERROR(__xludf.DUMMYFUNCTION("""COMPUTED_VALUE"""),"Em Hưng SVTY 50")</f>
        <v>Em Hưng SVTY 50</v>
      </c>
      <c r="C5164" s="119"/>
      <c r="D5164" s="119" t="str">
        <f>IFERROR(__xludf.DUMMYFUNCTION("""COMPUTED_VALUE"""),"Chó")</f>
        <v>Chó</v>
      </c>
      <c r="E5164" s="119" t="str">
        <f>IFERROR(__xludf.DUMMYFUNCTION("""COMPUTED_VALUE"""),"Mi")</f>
        <v>Mi</v>
      </c>
    </row>
    <row r="5165" ht="15.75" customHeight="1">
      <c r="A5165" s="122" t="str">
        <f>IFERROR(__xludf.DUMMYFUNCTION("""COMPUTED_VALUE"""),"0859 775 699")</f>
        <v>0859 775 699</v>
      </c>
      <c r="B5165" s="119" t="str">
        <f>IFERROR(__xludf.DUMMYFUNCTION("""COMPUTED_VALUE"""),"Chị Duyên")</f>
        <v>Chị Duyên</v>
      </c>
      <c r="C5165" s="119" t="str">
        <f>IFERROR(__xludf.DUMMYFUNCTION("""COMPUTED_VALUE"""),"91 Phan Bội Châu")</f>
        <v>91 Phan Bội Châu</v>
      </c>
      <c r="D5165" s="119" t="str">
        <f>IFERROR(__xludf.DUMMYFUNCTION("""COMPUTED_VALUE"""),"Chó")</f>
        <v>Chó</v>
      </c>
      <c r="E5165" s="119" t="str">
        <f>IFERROR(__xludf.DUMMYFUNCTION("""COMPUTED_VALUE"""),"Nâu")</f>
        <v>Nâu</v>
      </c>
    </row>
    <row r="5166" ht="15.75" customHeight="1">
      <c r="A5166" s="122" t="str">
        <f>IFERROR(__xludf.DUMMYFUNCTION("""COMPUTED_VALUE"""),"0363 992 047")</f>
        <v>0363 992 047</v>
      </c>
      <c r="B5166" s="119" t="str">
        <f>IFERROR(__xludf.DUMMYFUNCTION("""COMPUTED_VALUE"""),"Anh Hà")</f>
        <v>Anh Hà</v>
      </c>
      <c r="C5166" s="119" t="str">
        <f>IFERROR(__xludf.DUMMYFUNCTION("""COMPUTED_VALUE"""),"Hương thuỷ")</f>
        <v>Hương thuỷ</v>
      </c>
      <c r="D5166" s="119" t="str">
        <f>IFERROR(__xludf.DUMMYFUNCTION("""COMPUTED_VALUE"""),"Chó")</f>
        <v>Chó</v>
      </c>
      <c r="E5166" s="119" t="str">
        <f>IFERROR(__xludf.DUMMYFUNCTION("""COMPUTED_VALUE"""),"Coka")</f>
        <v>Coka</v>
      </c>
    </row>
    <row r="5167" ht="15.75" customHeight="1">
      <c r="A5167" s="122" t="str">
        <f>IFERROR(__xludf.DUMMYFUNCTION("""COMPUTED_VALUE"""),"0962 077 295")</f>
        <v>0962 077 295</v>
      </c>
      <c r="B5167" s="119" t="str">
        <f>IFERROR(__xludf.DUMMYFUNCTION("""COMPUTED_VALUE"""),"Chị Hạnh")</f>
        <v>Chị Hạnh</v>
      </c>
      <c r="C5167" s="150" t="str">
        <f>IFERROR(__xludf.DUMMYFUNCTION("""COMPUTED_VALUE"""),"Tứ Hạ Hương Trà")</f>
        <v>Tứ Hạ Hương Trà</v>
      </c>
      <c r="D5167" s="119" t="str">
        <f>IFERROR(__xludf.DUMMYFUNCTION("""COMPUTED_VALUE"""),"Chó")</f>
        <v>Chó</v>
      </c>
      <c r="E5167" s="119" t="str">
        <f>IFERROR(__xludf.DUMMYFUNCTION("""COMPUTED_VALUE"""),"Vá")</f>
        <v>Vá</v>
      </c>
    </row>
    <row r="5168" ht="15.75" customHeight="1">
      <c r="A5168" s="122" t="str">
        <f>IFERROR(__xludf.DUMMYFUNCTION("""COMPUTED_VALUE"""),"0.09 254 885")</f>
        <v>0.09 254 885</v>
      </c>
      <c r="B5168" s="119" t="str">
        <f>IFERROR(__xludf.DUMMYFUNCTION("""COMPUTED_VALUE"""),"Chị Yến Nhi")</f>
        <v>Chị Yến Nhi</v>
      </c>
      <c r="C5168" s="119" t="str">
        <f>IFERROR(__xludf.DUMMYFUNCTION("""COMPUTED_VALUE"""),"216 Thích Tịnh Khiết")</f>
        <v>216 Thích Tịnh Khiết</v>
      </c>
      <c r="D5168" s="119" t="str">
        <f>IFERROR(__xludf.DUMMYFUNCTION("""COMPUTED_VALUE"""),"Mèo")</f>
        <v>Mèo</v>
      </c>
      <c r="E5168" s="119" t="str">
        <f>IFERROR(__xludf.DUMMYFUNCTION("""COMPUTED_VALUE"""),"Tèo")</f>
        <v>Tèo</v>
      </c>
    </row>
    <row r="5169" ht="15.75" customHeight="1">
      <c r="A5169" s="122" t="str">
        <f>IFERROR(__xludf.DUMMYFUNCTION("""COMPUTED_VALUE"""),"0337 649 370")</f>
        <v>0337 649 370</v>
      </c>
      <c r="B5169" s="119" t="str">
        <f>IFERROR(__xludf.DUMMYFUNCTION("""COMPUTED_VALUE"""),"Chị Ngọc Ánh")</f>
        <v>Chị Ngọc Ánh</v>
      </c>
      <c r="C5169" s="119" t="str">
        <f>IFERROR(__xludf.DUMMYFUNCTION("""COMPUTED_VALUE"""),"6 Nguyễn Phúc Thụ")</f>
        <v>6 Nguyễn Phúc Thụ</v>
      </c>
      <c r="D5169" s="119" t="str">
        <f>IFERROR(__xludf.DUMMYFUNCTION("""COMPUTED_VALUE"""),"Chó")</f>
        <v>Chó</v>
      </c>
      <c r="E5169" s="119" t="str">
        <f>IFERROR(__xludf.DUMMYFUNCTION("""COMPUTED_VALUE"""),"Kem")</f>
        <v>Kem</v>
      </c>
    </row>
    <row r="5170" ht="15.75" customHeight="1">
      <c r="A5170" s="122" t="str">
        <f>IFERROR(__xludf.DUMMYFUNCTION("""COMPUTED_VALUE"""),"0913 261 969")</f>
        <v>0913 261 969</v>
      </c>
      <c r="B5170" s="119" t="str">
        <f>IFERROR(__xludf.DUMMYFUNCTION("""COMPUTED_VALUE"""),"Anh Đạt")</f>
        <v>Anh Đạt</v>
      </c>
      <c r="C5170" s="119" t="str">
        <f>IFERROR(__xludf.DUMMYFUNCTION("""COMPUTED_VALUE"""),"57 lê Thánh Tôn")</f>
        <v>57 lê Thánh Tôn</v>
      </c>
      <c r="D5170" s="119" t="str">
        <f>IFERROR(__xludf.DUMMYFUNCTION("""COMPUTED_VALUE"""),"Chó")</f>
        <v>Chó</v>
      </c>
      <c r="E5170" s="119" t="str">
        <f>IFERROR(__xludf.DUMMYFUNCTION("""COMPUTED_VALUE"""),"Đất")</f>
        <v>Đất</v>
      </c>
    </row>
    <row r="5171" ht="15.75" customHeight="1">
      <c r="A5171" s="122" t="str">
        <f>IFERROR(__xludf.DUMMYFUNCTION("""COMPUTED_VALUE"""),"0974 526 877")</f>
        <v>0974 526 877</v>
      </c>
      <c r="B5171" s="119" t="str">
        <f>IFERROR(__xludf.DUMMYFUNCTION("""COMPUTED_VALUE"""),"Chị Hằng")</f>
        <v>Chị Hằng</v>
      </c>
      <c r="C5171" s="119" t="str">
        <f>IFERROR(__xludf.DUMMYFUNCTION("""COMPUTED_VALUE"""),"Hương Sơ")</f>
        <v>Hương Sơ</v>
      </c>
      <c r="D5171" s="119" t="str">
        <f>IFERROR(__xludf.DUMMYFUNCTION("""COMPUTED_VALUE"""),"Mèo")</f>
        <v>Mèo</v>
      </c>
      <c r="E5171" s="119" t="str">
        <f>IFERROR(__xludf.DUMMYFUNCTION("""COMPUTED_VALUE"""),"Happy")</f>
        <v>Happy</v>
      </c>
    </row>
    <row r="5172" ht="15.75" customHeight="1">
      <c r="A5172" s="122" t="str">
        <f>IFERROR(__xludf.DUMMYFUNCTION("""COMPUTED_VALUE"""),"0909 020 407")</f>
        <v>0909 020 407</v>
      </c>
      <c r="B5172" s="119" t="str">
        <f>IFERROR(__xludf.DUMMYFUNCTION("""COMPUTED_VALUE"""),"em Ken")</f>
        <v>em Ken</v>
      </c>
      <c r="C5172" s="119" t="str">
        <f>IFERROR(__xludf.DUMMYFUNCTION("""COMPUTED_VALUE"""),"23 Nguyễn Phúc Thái")</f>
        <v>23 Nguyễn Phúc Thái</v>
      </c>
      <c r="D5172" s="119" t="str">
        <f>IFERROR(__xludf.DUMMYFUNCTION("""COMPUTED_VALUE"""),"Chó")</f>
        <v>Chó</v>
      </c>
      <c r="E5172" s="119" t="str">
        <f>IFERROR(__xludf.DUMMYFUNCTION("""COMPUTED_VALUE"""),"Lucky")</f>
        <v>Lucky</v>
      </c>
    </row>
    <row r="5173" ht="15.75" customHeight="1">
      <c r="A5173" s="122" t="str">
        <f>IFERROR(__xludf.DUMMYFUNCTION("""COMPUTED_VALUE"""),"0935 939 095")</f>
        <v>0935 939 095</v>
      </c>
      <c r="B5173" s="119" t="str">
        <f>IFERROR(__xludf.DUMMYFUNCTION("""COMPUTED_VALUE"""),"Dì Hiền")</f>
        <v>Dì Hiền</v>
      </c>
      <c r="C5173" s="119" t="str">
        <f>IFERROR(__xludf.DUMMYFUNCTION("""COMPUTED_VALUE"""),"Nguyễn Hoàng")</f>
        <v>Nguyễn Hoàng</v>
      </c>
      <c r="D5173" s="119" t="str">
        <f>IFERROR(__xludf.DUMMYFUNCTION("""COMPUTED_VALUE"""),"Chó")</f>
        <v>Chó</v>
      </c>
      <c r="E5173" s="119"/>
    </row>
    <row r="5174" ht="15.75" customHeight="1">
      <c r="A5174" s="122" t="str">
        <f>IFERROR(__xludf.DUMMYFUNCTION("""COMPUTED_VALUE"""),"0942 613 431")</f>
        <v>0942 613 431</v>
      </c>
      <c r="B5174" s="119" t="str">
        <f>IFERROR(__xludf.DUMMYFUNCTION("""COMPUTED_VALUE"""),"Bác Hải")</f>
        <v>Bác Hải</v>
      </c>
      <c r="C5174" s="119" t="str">
        <f>IFERROR(__xludf.DUMMYFUNCTION("""COMPUTED_VALUE"""),"20 Huyền Trân Công Chúa")</f>
        <v>20 Huyền Trân Công Chúa</v>
      </c>
      <c r="D5174" s="119" t="str">
        <f>IFERROR(__xludf.DUMMYFUNCTION("""COMPUTED_VALUE"""),"Chó")</f>
        <v>Chó</v>
      </c>
      <c r="E5174" s="119" t="str">
        <f>IFERROR(__xludf.DUMMYFUNCTION("""COMPUTED_VALUE"""),"Rô")</f>
        <v>Rô</v>
      </c>
    </row>
    <row r="5175" ht="15.75" customHeight="1">
      <c r="A5175" s="122" t="str">
        <f>IFERROR(__xludf.DUMMYFUNCTION("""COMPUTED_VALUE"""),"0776 677 088")</f>
        <v>0776 677 088</v>
      </c>
      <c r="B5175" s="119" t="str">
        <f>IFERROR(__xludf.DUMMYFUNCTION("""COMPUTED_VALUE"""),"Anh Thạnh")</f>
        <v>Anh Thạnh</v>
      </c>
      <c r="C5175" s="119" t="str">
        <f>IFERROR(__xludf.DUMMYFUNCTION("""COMPUTED_VALUE"""),"Phú Mộng")</f>
        <v>Phú Mộng</v>
      </c>
      <c r="D5175" s="119" t="str">
        <f>IFERROR(__xludf.DUMMYFUNCTION("""COMPUTED_VALUE"""),"Chó")</f>
        <v>Chó</v>
      </c>
      <c r="E5175" s="119"/>
    </row>
    <row r="5176" ht="15.75" customHeight="1">
      <c r="A5176" s="122" t="str">
        <f>IFERROR(__xludf.DUMMYFUNCTION("""COMPUTED_VALUE"""),"0902 330 836")</f>
        <v>0902 330 836</v>
      </c>
      <c r="B5176" s="119" t="str">
        <f>IFERROR(__xludf.DUMMYFUNCTION("""COMPUTED_VALUE"""),"chị Sang")</f>
        <v>chị Sang</v>
      </c>
      <c r="C5176" s="119" t="str">
        <f>IFERROR(__xludf.DUMMYFUNCTION("""COMPUTED_VALUE"""),"8 Lê Quang Quyền")</f>
        <v>8 Lê Quang Quyền</v>
      </c>
      <c r="D5176" s="119" t="str">
        <f>IFERROR(__xludf.DUMMYFUNCTION("""COMPUTED_VALUE"""),"Chó")</f>
        <v>Chó</v>
      </c>
      <c r="E5176" s="119" t="str">
        <f>IFERROR(__xludf.DUMMYFUNCTION("""COMPUTED_VALUE"""),"Milu")</f>
        <v>Milu</v>
      </c>
    </row>
    <row r="5177" ht="15.75" customHeight="1">
      <c r="A5177" s="122" t="str">
        <f>IFERROR(__xludf.DUMMYFUNCTION("""COMPUTED_VALUE"""),"0906 919 928")</f>
        <v>0906 919 928</v>
      </c>
      <c r="B5177" s="119" t="str">
        <f>IFERROR(__xludf.DUMMYFUNCTION("""COMPUTED_VALUE"""),"Chị Nguyệt")</f>
        <v>Chị Nguyệt</v>
      </c>
      <c r="C5177" s="119" t="str">
        <f>IFERROR(__xludf.DUMMYFUNCTION("""COMPUTED_VALUE"""),"10/149 Hùng Vương")</f>
        <v>10/149 Hùng Vương</v>
      </c>
      <c r="D5177" s="119" t="str">
        <f>IFERROR(__xludf.DUMMYFUNCTION("""COMPUTED_VALUE"""),"Chó")</f>
        <v>Chó</v>
      </c>
      <c r="E5177" s="119" t="str">
        <f>IFERROR(__xludf.DUMMYFUNCTION("""COMPUTED_VALUE"""),"Đen")</f>
        <v>Đen</v>
      </c>
    </row>
    <row r="5178" ht="15.75" customHeight="1">
      <c r="A5178" s="122" t="str">
        <f>IFERROR(__xludf.DUMMYFUNCTION("""COMPUTED_VALUE"""),"0764 644 401")</f>
        <v>0764 644 401</v>
      </c>
      <c r="B5178" s="119" t="str">
        <f>IFERROR(__xludf.DUMMYFUNCTION("""COMPUTED_VALUE"""),"Anh Nhân")</f>
        <v>Anh Nhân</v>
      </c>
      <c r="C5178" s="119" t="str">
        <f>IFERROR(__xludf.DUMMYFUNCTION("""COMPUTED_VALUE"""),"Long hồ hương hồ")</f>
        <v>Long hồ hương hồ</v>
      </c>
      <c r="D5178" s="119" t="str">
        <f>IFERROR(__xludf.DUMMYFUNCTION("""COMPUTED_VALUE"""),"Chó")</f>
        <v>Chó</v>
      </c>
      <c r="E5178" s="119" t="str">
        <f>IFERROR(__xludf.DUMMYFUNCTION("""COMPUTED_VALUE"""),"Gấu")</f>
        <v>Gấu</v>
      </c>
    </row>
    <row r="5179" ht="15.75" customHeight="1">
      <c r="A5179" s="122" t="str">
        <f>IFERROR(__xludf.DUMMYFUNCTION("""COMPUTED_VALUE"""),"0348 108 008")</f>
        <v>0348 108 008</v>
      </c>
      <c r="B5179" s="119" t="str">
        <f>IFERROR(__xludf.DUMMYFUNCTION("""COMPUTED_VALUE"""),"Anh Vinh")</f>
        <v>Anh Vinh</v>
      </c>
      <c r="C5179" s="119" t="str">
        <f>IFERROR(__xludf.DUMMYFUNCTION("""COMPUTED_VALUE"""),"208/13 Lý Nam Đế")</f>
        <v>208/13 Lý Nam Đế</v>
      </c>
      <c r="D5179" s="119" t="str">
        <f>IFERROR(__xludf.DUMMYFUNCTION("""COMPUTED_VALUE"""),"Chó")</f>
        <v>Chó</v>
      </c>
      <c r="E5179" s="119" t="str">
        <f>IFERROR(__xludf.DUMMYFUNCTION("""COMPUTED_VALUE"""),"Tom")</f>
        <v>Tom</v>
      </c>
    </row>
    <row r="5180" ht="15.75" customHeight="1">
      <c r="A5180" s="122" t="str">
        <f>IFERROR(__xludf.DUMMYFUNCTION("""COMPUTED_VALUE"""),"0906 402 513")</f>
        <v>0906 402 513</v>
      </c>
      <c r="B5180" s="119" t="str">
        <f>IFERROR(__xludf.DUMMYFUNCTION("""COMPUTED_VALUE"""),"Anh Long")</f>
        <v>Anh Long</v>
      </c>
      <c r="C5180" s="119" t="str">
        <f>IFERROR(__xludf.DUMMYFUNCTION("""COMPUTED_VALUE"""),"23 Lý Nam Đế")</f>
        <v>23 Lý Nam Đế</v>
      </c>
      <c r="D5180" s="119" t="str">
        <f>IFERROR(__xludf.DUMMYFUNCTION("""COMPUTED_VALUE"""),"Mèo")</f>
        <v>Mèo</v>
      </c>
      <c r="E5180" s="119"/>
    </row>
    <row r="5181" ht="15.75" customHeight="1">
      <c r="A5181" s="122" t="str">
        <f>IFERROR(__xludf.DUMMYFUNCTION("""COMPUTED_VALUE"""),"0935 245 175")</f>
        <v>0935 245 175</v>
      </c>
      <c r="B5181" s="119" t="str">
        <f>IFERROR(__xludf.DUMMYFUNCTION("""COMPUTED_VALUE"""),"Anh Kim")</f>
        <v>Anh Kim</v>
      </c>
      <c r="C5181" s="119" t="str">
        <f>IFERROR(__xludf.DUMMYFUNCTION("""COMPUTED_VALUE"""),"62 Nguyễn Phúc Nguyên")</f>
        <v>62 Nguyễn Phúc Nguyên</v>
      </c>
      <c r="D5181" s="119" t="str">
        <f>IFERROR(__xludf.DUMMYFUNCTION("""COMPUTED_VALUE"""),"Chó")</f>
        <v>Chó</v>
      </c>
      <c r="E5181" s="119" t="str">
        <f>IFERROR(__xludf.DUMMYFUNCTION("""COMPUTED_VALUE"""),"Lucky")</f>
        <v>Lucky</v>
      </c>
    </row>
    <row r="5182" ht="15.75" customHeight="1">
      <c r="A5182" s="122" t="str">
        <f>IFERROR(__xludf.DUMMYFUNCTION("""COMPUTED_VALUE"""),"0796 236 653")</f>
        <v>0796 236 653</v>
      </c>
      <c r="B5182" s="119" t="str">
        <f>IFERROR(__xludf.DUMMYFUNCTION("""COMPUTED_VALUE"""),"Anh Tiến")</f>
        <v>Anh Tiến</v>
      </c>
      <c r="C5182" s="119" t="str">
        <f>IFERROR(__xludf.DUMMYFUNCTION("""COMPUTED_VALUE"""),"An Hoà")</f>
        <v>An Hoà</v>
      </c>
      <c r="D5182" s="119" t="str">
        <f>IFERROR(__xludf.DUMMYFUNCTION("""COMPUTED_VALUE"""),"Mèo")</f>
        <v>Mèo</v>
      </c>
      <c r="E5182" s="119"/>
    </row>
    <row r="5183" ht="15.75" customHeight="1">
      <c r="A5183" s="122" t="str">
        <f>IFERROR(__xludf.DUMMYFUNCTION("""COMPUTED_VALUE"""),"0899 072 797")</f>
        <v>0899 072 797</v>
      </c>
      <c r="B5183" s="119" t="str">
        <f>IFERROR(__xludf.DUMMYFUNCTION("""COMPUTED_VALUE"""),"Chị Ngân")</f>
        <v>Chị Ngân</v>
      </c>
      <c r="C5183" s="119" t="str">
        <f>IFERROR(__xludf.DUMMYFUNCTION("""COMPUTED_VALUE"""),"60/5 Phạm Thị liên")</f>
        <v>60/5 Phạm Thị liên</v>
      </c>
      <c r="D5183" s="119" t="str">
        <f>IFERROR(__xludf.DUMMYFUNCTION("""COMPUTED_VALUE"""),"Chó")</f>
        <v>Chó</v>
      </c>
      <c r="E5183" s="119"/>
    </row>
    <row r="5184" ht="15.75" customHeight="1">
      <c r="A5184" s="122" t="str">
        <f>IFERROR(__xludf.DUMMYFUNCTION("""COMPUTED_VALUE"""),"0383 921 785")</f>
        <v>0383 921 785</v>
      </c>
      <c r="B5184" s="119" t="str">
        <f>IFERROR(__xludf.DUMMYFUNCTION("""COMPUTED_VALUE"""),"Anh Thuận")</f>
        <v>Anh Thuận</v>
      </c>
      <c r="C5184" s="119" t="str">
        <f>IFERROR(__xludf.DUMMYFUNCTION("""COMPUTED_VALUE"""),"Phú Bài")</f>
        <v>Phú Bài</v>
      </c>
      <c r="D5184" s="119" t="str">
        <f>IFERROR(__xludf.DUMMYFUNCTION("""COMPUTED_VALUE"""),"Chó")</f>
        <v>Chó</v>
      </c>
      <c r="E5184" s="119" t="str">
        <f>IFERROR(__xludf.DUMMYFUNCTION("""COMPUTED_VALUE"""),"Mít")</f>
        <v>Mít</v>
      </c>
    </row>
    <row r="5185" ht="15.75" customHeight="1">
      <c r="A5185" s="122" t="str">
        <f>IFERROR(__xludf.DUMMYFUNCTION("""COMPUTED_VALUE"""),"0346 561 498")</f>
        <v>0346 561 498</v>
      </c>
      <c r="B5185" s="119" t="str">
        <f>IFERROR(__xludf.DUMMYFUNCTION("""COMPUTED_VALUE"""),"Chị Tâm")</f>
        <v>Chị Tâm</v>
      </c>
      <c r="C5185" s="119" t="str">
        <f>IFERROR(__xludf.DUMMYFUNCTION("""COMPUTED_VALUE"""),"Phú Vang")</f>
        <v>Phú Vang</v>
      </c>
      <c r="D5185" s="119" t="str">
        <f>IFERROR(__xludf.DUMMYFUNCTION("""COMPUTED_VALUE"""),"Chó")</f>
        <v>Chó</v>
      </c>
      <c r="E5185" s="119" t="str">
        <f>IFERROR(__xludf.DUMMYFUNCTION("""COMPUTED_VALUE"""),"Nơ")</f>
        <v>Nơ</v>
      </c>
    </row>
    <row r="5186" ht="15.75" customHeight="1">
      <c r="A5186" s="122" t="str">
        <f>IFERROR(__xludf.DUMMYFUNCTION("""COMPUTED_VALUE"""),"0905 357 099")</f>
        <v>0905 357 099</v>
      </c>
      <c r="B5186" s="119" t="str">
        <f>IFERROR(__xludf.DUMMYFUNCTION("""COMPUTED_VALUE"""),"Anh Nguyễn Phú Nhật")</f>
        <v>Anh Nguyễn Phú Nhật</v>
      </c>
      <c r="C5186" s="119" t="str">
        <f>IFERROR(__xludf.DUMMYFUNCTION("""COMPUTED_VALUE"""),"Công Lương - Thuỷ Vân")</f>
        <v>Công Lương - Thuỷ Vân</v>
      </c>
      <c r="D5186" s="119" t="str">
        <f>IFERROR(__xludf.DUMMYFUNCTION("""COMPUTED_VALUE"""),"Chó")</f>
        <v>Chó</v>
      </c>
      <c r="E5186" s="119" t="str">
        <f>IFERROR(__xludf.DUMMYFUNCTION("""COMPUTED_VALUE"""),"Đốm")</f>
        <v>Đốm</v>
      </c>
    </row>
    <row r="5187" ht="15.75" customHeight="1">
      <c r="A5187" s="122" t="str">
        <f>IFERROR(__xludf.DUMMYFUNCTION("""COMPUTED_VALUE"""),"0903 565 648")</f>
        <v>0903 565 648</v>
      </c>
      <c r="B5187" s="119" t="str">
        <f>IFERROR(__xludf.DUMMYFUNCTION("""COMPUTED_VALUE"""),"Sư Cô Thanh Nhã")</f>
        <v>Sư Cô Thanh Nhã</v>
      </c>
      <c r="C5187" s="119" t="str">
        <f>IFERROR(__xludf.DUMMYFUNCTION("""COMPUTED_VALUE"""),"Quảng Trị")</f>
        <v>Quảng Trị</v>
      </c>
      <c r="D5187" s="119" t="str">
        <f>IFERROR(__xludf.DUMMYFUNCTION("""COMPUTED_VALUE"""),"Chó")</f>
        <v>Chó</v>
      </c>
      <c r="E5187" s="119" t="str">
        <f>IFERROR(__xludf.DUMMYFUNCTION("""COMPUTED_VALUE"""),"Bin")</f>
        <v>Bin</v>
      </c>
    </row>
    <row r="5188" ht="15.75" customHeight="1">
      <c r="A5188" s="122" t="str">
        <f>IFERROR(__xludf.DUMMYFUNCTION("""COMPUTED_VALUE"""),"0795 163 203")</f>
        <v>0795 163 203</v>
      </c>
      <c r="B5188" s="119" t="str">
        <f>IFERROR(__xludf.DUMMYFUNCTION("""COMPUTED_VALUE"""),"Thu Thảo")</f>
        <v>Thu Thảo</v>
      </c>
      <c r="C5188" s="119" t="str">
        <f>IFERROR(__xludf.DUMMYFUNCTION("""COMPUTED_VALUE"""),"Phú Dương")</f>
        <v>Phú Dương</v>
      </c>
      <c r="D5188" s="119" t="str">
        <f>IFERROR(__xludf.DUMMYFUNCTION("""COMPUTED_VALUE"""),"Chó")</f>
        <v>Chó</v>
      </c>
      <c r="E5188" s="119" t="str">
        <f>IFERROR(__xludf.DUMMYFUNCTION("""COMPUTED_VALUE"""),"Bi")</f>
        <v>Bi</v>
      </c>
    </row>
    <row r="5189" ht="15.75" customHeight="1">
      <c r="A5189" s="122" t="str">
        <f>IFERROR(__xludf.DUMMYFUNCTION("""COMPUTED_VALUE"""),"0971 083 034")</f>
        <v>0971 083 034</v>
      </c>
      <c r="B5189" s="119" t="str">
        <f>IFERROR(__xludf.DUMMYFUNCTION("""COMPUTED_VALUE"""),"Anh Huân")</f>
        <v>Anh Huân</v>
      </c>
      <c r="C5189" s="119" t="str">
        <f>IFERROR(__xludf.DUMMYFUNCTION("""COMPUTED_VALUE"""),"Lý Nam Đế")</f>
        <v>Lý Nam Đế</v>
      </c>
      <c r="D5189" s="119" t="str">
        <f>IFERROR(__xludf.DUMMYFUNCTION("""COMPUTED_VALUE"""),"Chó")</f>
        <v>Chó</v>
      </c>
      <c r="E5189" s="119" t="str">
        <f>IFERROR(__xludf.DUMMYFUNCTION("""COMPUTED_VALUE"""),"bull")</f>
        <v>bull</v>
      </c>
    </row>
    <row r="5190" ht="15.75" customHeight="1">
      <c r="A5190" s="122" t="str">
        <f>IFERROR(__xludf.DUMMYFUNCTION("""COMPUTED_VALUE"""),"0234 510 651")</f>
        <v>0234 510 651</v>
      </c>
      <c r="B5190" s="119" t="str">
        <f>IFERROR(__xludf.DUMMYFUNCTION("""COMPUTED_VALUE"""),"Hồ Văn Lê")</f>
        <v>Hồ Văn Lê</v>
      </c>
      <c r="C5190" s="119" t="str">
        <f>IFERROR(__xludf.DUMMYFUNCTION("""COMPUTED_VALUE"""),"104/17/9 Kim Long")</f>
        <v>104/17/9 Kim Long</v>
      </c>
      <c r="D5190" s="119" t="str">
        <f>IFERROR(__xludf.DUMMYFUNCTION("""COMPUTED_VALUE"""),"Chó")</f>
        <v>Chó</v>
      </c>
      <c r="E5190" s="119"/>
    </row>
    <row r="5191" ht="15.75" customHeight="1">
      <c r="A5191" s="122" t="str">
        <f>IFERROR(__xludf.DUMMYFUNCTION("""COMPUTED_VALUE"""),"0366 223 494")</f>
        <v>0366 223 494</v>
      </c>
      <c r="B5191" s="119" t="str">
        <f>IFERROR(__xludf.DUMMYFUNCTION("""COMPUTED_VALUE"""),"Chị Linh")</f>
        <v>Chị Linh</v>
      </c>
      <c r="C5191" s="119" t="str">
        <f>IFERROR(__xludf.DUMMYFUNCTION("""COMPUTED_VALUE"""),"107 Thạch Hãn")</f>
        <v>107 Thạch Hãn</v>
      </c>
      <c r="D5191" s="119" t="str">
        <f>IFERROR(__xludf.DUMMYFUNCTION("""COMPUTED_VALUE"""),"Chó")</f>
        <v>Chó</v>
      </c>
      <c r="E5191" s="119" t="str">
        <f>IFERROR(__xludf.DUMMYFUNCTION("""COMPUTED_VALUE"""),"Kim")</f>
        <v>Kim</v>
      </c>
    </row>
    <row r="5192" ht="15.75" customHeight="1">
      <c r="A5192" s="122" t="str">
        <f>IFERROR(__xludf.DUMMYFUNCTION("""COMPUTED_VALUE"""),"0372 809 484")</f>
        <v>0372 809 484</v>
      </c>
      <c r="B5192" s="119" t="str">
        <f>IFERROR(__xludf.DUMMYFUNCTION("""COMPUTED_VALUE"""),"chị Thúy")</f>
        <v>chị Thúy</v>
      </c>
      <c r="C5192" s="119" t="str">
        <f>IFERROR(__xludf.DUMMYFUNCTION("""COMPUTED_VALUE"""),"6/107 duy tân")</f>
        <v>6/107 duy tân</v>
      </c>
      <c r="D5192" s="119" t="str">
        <f>IFERROR(__xludf.DUMMYFUNCTION("""COMPUTED_VALUE"""),"chó")</f>
        <v>chó</v>
      </c>
      <c r="E5192" s="119" t="str">
        <f>IFERROR(__xludf.DUMMYFUNCTION("""COMPUTED_VALUE"""),"Bin")</f>
        <v>Bin</v>
      </c>
    </row>
    <row r="5193" ht="15.75" customHeight="1">
      <c r="A5193" s="122" t="str">
        <f>IFERROR(__xludf.DUMMYFUNCTION("""COMPUTED_VALUE"""),"0772 506 459")</f>
        <v>0772 506 459</v>
      </c>
      <c r="B5193" s="119" t="str">
        <f>IFERROR(__xludf.DUMMYFUNCTION("""COMPUTED_VALUE"""),"Chú Quý")</f>
        <v>Chú Quý</v>
      </c>
      <c r="C5193" s="119" t="str">
        <f>IFERROR(__xludf.DUMMYFUNCTION("""COMPUTED_VALUE"""),"100 Phạm Thị Liên")</f>
        <v>100 Phạm Thị Liên</v>
      </c>
      <c r="D5193" s="119" t="str">
        <f>IFERROR(__xludf.DUMMYFUNCTION("""COMPUTED_VALUE"""),"Chó")</f>
        <v>Chó</v>
      </c>
      <c r="E5193" s="119" t="str">
        <f>IFERROR(__xludf.DUMMYFUNCTION("""COMPUTED_VALUE"""),"Bom")</f>
        <v>Bom</v>
      </c>
    </row>
    <row r="5194" ht="15.75" customHeight="1">
      <c r="A5194" s="122" t="str">
        <f>IFERROR(__xludf.DUMMYFUNCTION("""COMPUTED_VALUE"""),"0348 649 327")</f>
        <v>0348 649 327</v>
      </c>
      <c r="B5194" s="119" t="str">
        <f>IFERROR(__xludf.DUMMYFUNCTION("""COMPUTED_VALUE"""),"chị Nguyễn Thị Lan")</f>
        <v>chị Nguyễn Thị Lan</v>
      </c>
      <c r="C5194" s="119" t="str">
        <f>IFERROR(__xludf.DUMMYFUNCTION("""COMPUTED_VALUE"""),"22/17/9 Phú Mộng")</f>
        <v>22/17/9 Phú Mộng</v>
      </c>
      <c r="D5194" s="119" t="str">
        <f>IFERROR(__xludf.DUMMYFUNCTION("""COMPUTED_VALUE"""),"Chó")</f>
        <v>Chó</v>
      </c>
      <c r="E5194" s="119" t="str">
        <f>IFERROR(__xludf.DUMMYFUNCTION("""COMPUTED_VALUE"""),"Kuma")</f>
        <v>Kuma</v>
      </c>
    </row>
    <row r="5195" ht="15.75" customHeight="1">
      <c r="A5195" s="122" t="str">
        <f>IFERROR(__xludf.DUMMYFUNCTION("""COMPUTED_VALUE"""),"0899 321 897")</f>
        <v>0899 321 897</v>
      </c>
      <c r="B5195" s="119" t="str">
        <f>IFERROR(__xludf.DUMMYFUNCTION("""COMPUTED_VALUE"""),"Anh Phước")</f>
        <v>Anh Phước</v>
      </c>
      <c r="C5195" s="119" t="str">
        <f>IFERROR(__xludf.DUMMYFUNCTION("""COMPUTED_VALUE"""),"110/23 Kim Long")</f>
        <v>110/23 Kim Long</v>
      </c>
      <c r="D5195" s="119" t="str">
        <f>IFERROR(__xludf.DUMMYFUNCTION("""COMPUTED_VALUE"""),"Mèo")</f>
        <v>Mèo</v>
      </c>
      <c r="E5195" s="119" t="str">
        <f>IFERROR(__xludf.DUMMYFUNCTION("""COMPUTED_VALUE"""),"Bi")</f>
        <v>Bi</v>
      </c>
    </row>
    <row r="5196" ht="15.75" customHeight="1">
      <c r="A5196" s="122" t="str">
        <f>IFERROR(__xludf.DUMMYFUNCTION("""COMPUTED_VALUE"""),"0367 705 956")</f>
        <v>0367 705 956</v>
      </c>
      <c r="B5196" s="119" t="str">
        <f>IFERROR(__xludf.DUMMYFUNCTION("""COMPUTED_VALUE"""),"Em Kiệt")</f>
        <v>Em Kiệt</v>
      </c>
      <c r="C5196" s="119" t="str">
        <f>IFERROR(__xludf.DUMMYFUNCTION("""COMPUTED_VALUE"""),"35/6 Phạm Thị Liên")</f>
        <v>35/6 Phạm Thị Liên</v>
      </c>
      <c r="D5196" s="119" t="str">
        <f>IFERROR(__xludf.DUMMYFUNCTION("""COMPUTED_VALUE"""),"Chó")</f>
        <v>Chó</v>
      </c>
      <c r="E5196" s="119" t="str">
        <f>IFERROR(__xludf.DUMMYFUNCTION("""COMPUTED_VALUE"""),"Cóc")</f>
        <v>Cóc</v>
      </c>
    </row>
    <row r="5197" ht="15.75" customHeight="1">
      <c r="A5197" s="122" t="str">
        <f>IFERROR(__xludf.DUMMYFUNCTION("""COMPUTED_VALUE"""),"0886 570 865")</f>
        <v>0886 570 865</v>
      </c>
      <c r="B5197" s="119" t="str">
        <f>IFERROR(__xludf.DUMMYFUNCTION("""COMPUTED_VALUE"""),"Dì Hằng")</f>
        <v>Dì Hằng</v>
      </c>
      <c r="C5197" s="119" t="str">
        <f>IFERROR(__xludf.DUMMYFUNCTION("""COMPUTED_VALUE"""),"Phú Mộng")</f>
        <v>Phú Mộng</v>
      </c>
      <c r="D5197" s="119" t="str">
        <f>IFERROR(__xludf.DUMMYFUNCTION("""COMPUTED_VALUE"""),"Chó")</f>
        <v>Chó</v>
      </c>
      <c r="E5197" s="119" t="str">
        <f>IFERROR(__xludf.DUMMYFUNCTION("""COMPUTED_VALUE"""),"Mực")</f>
        <v>Mực</v>
      </c>
    </row>
    <row r="5198" ht="15.75" customHeight="1">
      <c r="A5198" s="122" t="str">
        <f>IFERROR(__xludf.DUMMYFUNCTION("""COMPUTED_VALUE"""),"0888 717 357")</f>
        <v>0888 717 357</v>
      </c>
      <c r="B5198" s="119" t="str">
        <f>IFERROR(__xludf.DUMMYFUNCTION("""COMPUTED_VALUE"""),"Anh Đạt")</f>
        <v>Anh Đạt</v>
      </c>
      <c r="C5198" s="119" t="str">
        <f>IFERROR(__xludf.DUMMYFUNCTION("""COMPUTED_VALUE"""),"10/114 Điện Biên Phủ")</f>
        <v>10/114 Điện Biên Phủ</v>
      </c>
      <c r="D5198" s="119" t="str">
        <f>IFERROR(__xludf.DUMMYFUNCTION("""COMPUTED_VALUE"""),"Chó")</f>
        <v>Chó</v>
      </c>
      <c r="E5198" s="119" t="str">
        <f>IFERROR(__xludf.DUMMYFUNCTION("""COMPUTED_VALUE"""),"Mun")</f>
        <v>Mun</v>
      </c>
    </row>
    <row r="5199" ht="15.75" customHeight="1">
      <c r="A5199" s="122" t="str">
        <f>IFERROR(__xludf.DUMMYFUNCTION("""COMPUTED_VALUE"""),"0986 192 186")</f>
        <v>0986 192 186</v>
      </c>
      <c r="B5199" s="119" t="str">
        <f>IFERROR(__xludf.DUMMYFUNCTION("""COMPUTED_VALUE"""),"Thầy Thông Như")</f>
        <v>Thầy Thông Như</v>
      </c>
      <c r="C5199" s="119" t="str">
        <f>IFERROR(__xludf.DUMMYFUNCTION("""COMPUTED_VALUE"""),"Chùa Kim Đài ")</f>
        <v>Chùa Kim Đài </v>
      </c>
      <c r="D5199" s="119" t="str">
        <f>IFERROR(__xludf.DUMMYFUNCTION("""COMPUTED_VALUE"""),"chó ")</f>
        <v>chó </v>
      </c>
      <c r="E5199" s="119" t="str">
        <f>IFERROR(__xludf.DUMMYFUNCTION("""COMPUTED_VALUE"""),"vàng")</f>
        <v>vàng</v>
      </c>
    </row>
    <row r="5200" ht="15.75" customHeight="1">
      <c r="A5200" s="122" t="str">
        <f>IFERROR(__xludf.DUMMYFUNCTION("""COMPUTED_VALUE"""),"0906 514 755")</f>
        <v>0906 514 755</v>
      </c>
      <c r="B5200" s="119" t="str">
        <f>IFERROR(__xludf.DUMMYFUNCTION("""COMPUTED_VALUE"""),"Mệ Lộc")</f>
        <v>Mệ Lộc</v>
      </c>
      <c r="C5200" s="119" t="str">
        <f>IFERROR(__xludf.DUMMYFUNCTION("""COMPUTED_VALUE"""),"Xuân Hòa, Thủy Vân")</f>
        <v>Xuân Hòa, Thủy Vân</v>
      </c>
      <c r="D5200" s="119" t="str">
        <f>IFERROR(__xludf.DUMMYFUNCTION("""COMPUTED_VALUE"""),"chó")</f>
        <v>chó</v>
      </c>
      <c r="E5200" s="119" t="str">
        <f>IFERROR(__xludf.DUMMYFUNCTION("""COMPUTED_VALUE"""),"Lu")</f>
        <v>Lu</v>
      </c>
    </row>
    <row r="5201" ht="15.75" customHeight="1">
      <c r="A5201" s="122" t="str">
        <f>IFERROR(__xludf.DUMMYFUNCTION("""COMPUTED_VALUE"""),"0938 583 185")</f>
        <v>0938 583 185</v>
      </c>
      <c r="B5201" s="119" t="str">
        <f>IFERROR(__xludf.DUMMYFUNCTION("""COMPUTED_VALUE"""),"Anh Huy")</f>
        <v>Anh Huy</v>
      </c>
      <c r="C5201" s="119" t="str">
        <f>IFERROR(__xludf.DUMMYFUNCTION("""COMPUTED_VALUE"""),"70 Nguyễn Hữu Dật")</f>
        <v>70 Nguyễn Hữu Dật</v>
      </c>
      <c r="D5201" s="119" t="str">
        <f>IFERROR(__xludf.DUMMYFUNCTION("""COMPUTED_VALUE"""),"Chó")</f>
        <v>Chó</v>
      </c>
      <c r="E5201" s="119" t="str">
        <f>IFERROR(__xludf.DUMMYFUNCTION("""COMPUTED_VALUE"""),"Bơ")</f>
        <v>Bơ</v>
      </c>
    </row>
    <row r="5202" ht="15.75" customHeight="1">
      <c r="A5202" s="122" t="str">
        <f>IFERROR(__xludf.DUMMYFUNCTION("""COMPUTED_VALUE"""),"0931 125 357")</f>
        <v>0931 125 357</v>
      </c>
      <c r="B5202" s="119" t="str">
        <f>IFERROR(__xludf.DUMMYFUNCTION("""COMPUTED_VALUE"""),"Em Thanh Hằng")</f>
        <v>Em Thanh Hằng</v>
      </c>
      <c r="C5202" s="119" t="str">
        <f>IFERROR(__xludf.DUMMYFUNCTION("""COMPUTED_VALUE"""),"KQH Lịch Đợi")</f>
        <v>KQH Lịch Đợi</v>
      </c>
      <c r="D5202" s="119" t="str">
        <f>IFERROR(__xludf.DUMMYFUNCTION("""COMPUTED_VALUE"""),"Chó")</f>
        <v>Chó</v>
      </c>
      <c r="E5202" s="119" t="str">
        <f>IFERROR(__xludf.DUMMYFUNCTION("""COMPUTED_VALUE"""),"Đen")</f>
        <v>Đen</v>
      </c>
    </row>
    <row r="5203" ht="15.75" customHeight="1">
      <c r="A5203" s="122" t="str">
        <f>IFERROR(__xludf.DUMMYFUNCTION("""COMPUTED_VALUE"""),"0773 520 558")</f>
        <v>0773 520 558</v>
      </c>
      <c r="B5203" s="119" t="str">
        <f>IFERROR(__xludf.DUMMYFUNCTION("""COMPUTED_VALUE"""),"Tôn Thất Cường")</f>
        <v>Tôn Thất Cường</v>
      </c>
      <c r="C5203" s="119" t="str">
        <f>IFERROR(__xludf.DUMMYFUNCTION("""COMPUTED_VALUE"""),"17/169 Phạm Thị Liên")</f>
        <v>17/169 Phạm Thị Liên</v>
      </c>
      <c r="D5203" s="119" t="str">
        <f>IFERROR(__xludf.DUMMYFUNCTION("""COMPUTED_VALUE"""),"Chó")</f>
        <v>Chó</v>
      </c>
      <c r="E5203" s="119" t="str">
        <f>IFERROR(__xludf.DUMMYFUNCTION("""COMPUTED_VALUE"""),"carot")</f>
        <v>carot</v>
      </c>
    </row>
    <row r="5204" ht="15.75" customHeight="1">
      <c r="A5204" s="122" t="str">
        <f>IFERROR(__xludf.DUMMYFUNCTION("""COMPUTED_VALUE"""),"0931 913 366")</f>
        <v>0931 913 366</v>
      </c>
      <c r="B5204" s="119" t="str">
        <f>IFERROR(__xludf.DUMMYFUNCTION("""COMPUTED_VALUE"""),"Chị Minh")</f>
        <v>Chị Minh</v>
      </c>
      <c r="C5204" s="119" t="str">
        <f>IFERROR(__xludf.DUMMYFUNCTION("""COMPUTED_VALUE"""),"02 Bùi Viện")</f>
        <v>02 Bùi Viện</v>
      </c>
      <c r="D5204" s="119" t="str">
        <f>IFERROR(__xludf.DUMMYFUNCTION("""COMPUTED_VALUE"""),"Chó")</f>
        <v>Chó</v>
      </c>
      <c r="E5204" s="119" t="str">
        <f>IFERROR(__xludf.DUMMYFUNCTION("""COMPUTED_VALUE"""),"Lisa")</f>
        <v>Lisa</v>
      </c>
    </row>
    <row r="5205" ht="15.75" customHeight="1">
      <c r="A5205" s="122" t="str">
        <f>IFERROR(__xludf.DUMMYFUNCTION("""COMPUTED_VALUE"""),"0359 863 347")</f>
        <v>0359 863 347</v>
      </c>
      <c r="B5205" s="119" t="str">
        <f>IFERROR(__xludf.DUMMYFUNCTION("""COMPUTED_VALUE"""),"Chị Trinh")</f>
        <v>Chị Trinh</v>
      </c>
      <c r="C5205" s="119" t="str">
        <f>IFERROR(__xludf.DUMMYFUNCTION("""COMPUTED_VALUE"""),"179 văn thánh")</f>
        <v>179 văn thánh</v>
      </c>
      <c r="D5205" s="119" t="str">
        <f>IFERROR(__xludf.DUMMYFUNCTION("""COMPUTED_VALUE"""),"Mèo")</f>
        <v>Mèo</v>
      </c>
      <c r="E5205" s="119"/>
    </row>
    <row r="5206" ht="15.75" customHeight="1">
      <c r="A5206" s="122" t="str">
        <f>IFERROR(__xludf.DUMMYFUNCTION("""COMPUTED_VALUE"""),"0379 693 339")</f>
        <v>0379 693 339</v>
      </c>
      <c r="B5206" s="119" t="str">
        <f>IFERROR(__xludf.DUMMYFUNCTION("""COMPUTED_VALUE"""),"Anh Đạt")</f>
        <v>Anh Đạt</v>
      </c>
      <c r="C5206" s="119" t="str">
        <f>IFERROR(__xludf.DUMMYFUNCTION("""COMPUTED_VALUE"""),"hương Chữ")</f>
        <v>hương Chữ</v>
      </c>
      <c r="D5206" s="119" t="str">
        <f>IFERROR(__xludf.DUMMYFUNCTION("""COMPUTED_VALUE"""),"Mèo")</f>
        <v>Mèo</v>
      </c>
      <c r="E5206" s="119"/>
    </row>
    <row r="5207" ht="15.75" customHeight="1">
      <c r="A5207" s="122" t="str">
        <f>IFERROR(__xludf.DUMMYFUNCTION("""COMPUTED_VALUE"""),"0971 993 514")</f>
        <v>0971 993 514</v>
      </c>
      <c r="B5207" s="119" t="str">
        <f>IFERROR(__xludf.DUMMYFUNCTION("""COMPUTED_VALUE"""),"Anh Niên")</f>
        <v>Anh Niên</v>
      </c>
      <c r="C5207" s="119" t="str">
        <f>IFERROR(__xludf.DUMMYFUNCTION("""COMPUTED_VALUE"""),"Phú Thanh")</f>
        <v>Phú Thanh</v>
      </c>
      <c r="D5207" s="119" t="str">
        <f>IFERROR(__xludf.DUMMYFUNCTION("""COMPUTED_VALUE"""),"Chó")</f>
        <v>Chó</v>
      </c>
      <c r="E5207" s="119" t="str">
        <f>IFERROR(__xludf.DUMMYFUNCTION("""COMPUTED_VALUE"""),"Cafe")</f>
        <v>Cafe</v>
      </c>
    </row>
    <row r="5208" ht="15.75" customHeight="1">
      <c r="A5208" s="122" t="str">
        <f>IFERROR(__xludf.DUMMYFUNCTION("""COMPUTED_VALUE"""),"0772 400 958")</f>
        <v>0772 400 958</v>
      </c>
      <c r="B5208" s="119" t="str">
        <f>IFERROR(__xludf.DUMMYFUNCTION("""COMPUTED_VALUE"""),"Anh Kim Lân")</f>
        <v>Anh Kim Lân</v>
      </c>
      <c r="C5208" s="119" t="str">
        <f>IFERROR(__xludf.DUMMYFUNCTION("""COMPUTED_VALUE"""),"77 Long Hồ")</f>
        <v>77 Long Hồ</v>
      </c>
      <c r="D5208" s="119" t="str">
        <f>IFERROR(__xludf.DUMMYFUNCTION("""COMPUTED_VALUE"""),"Chó")</f>
        <v>Chó</v>
      </c>
      <c r="E5208" s="119" t="str">
        <f>IFERROR(__xludf.DUMMYFUNCTION("""COMPUTED_VALUE"""),"Vàng")</f>
        <v>Vàng</v>
      </c>
    </row>
    <row r="5209" ht="15.75" customHeight="1">
      <c r="A5209" s="122" t="str">
        <f>IFERROR(__xludf.DUMMYFUNCTION("""COMPUTED_VALUE"""),"0935 138 382")</f>
        <v>0935 138 382</v>
      </c>
      <c r="B5209" s="119" t="str">
        <f>IFERROR(__xludf.DUMMYFUNCTION("""COMPUTED_VALUE"""),"Anh Long")</f>
        <v>Anh Long</v>
      </c>
      <c r="C5209" s="119" t="str">
        <f>IFERROR(__xludf.DUMMYFUNCTION("""COMPUTED_VALUE"""),"Phong Điền")</f>
        <v>Phong Điền</v>
      </c>
      <c r="D5209" s="119" t="str">
        <f>IFERROR(__xludf.DUMMYFUNCTION("""COMPUTED_VALUE"""),"Chó")</f>
        <v>Chó</v>
      </c>
      <c r="E5209" s="119" t="str">
        <f>IFERROR(__xludf.DUMMYFUNCTION("""COMPUTED_VALUE"""),"lola")</f>
        <v>lola</v>
      </c>
    </row>
    <row r="5210" ht="15.75" customHeight="1">
      <c r="A5210" s="122" t="str">
        <f>IFERROR(__xludf.DUMMYFUNCTION("""COMPUTED_VALUE"""),"0389 429 422")</f>
        <v>0389 429 422</v>
      </c>
      <c r="B5210" s="119" t="str">
        <f>IFERROR(__xludf.DUMMYFUNCTION("""COMPUTED_VALUE"""),"Nguyễn Thị Tâm")</f>
        <v>Nguyễn Thị Tâm</v>
      </c>
      <c r="C5210" s="119" t="str">
        <f>IFERROR(__xludf.DUMMYFUNCTION("""COMPUTED_VALUE"""),"Nguyễn trọng Nhân")</f>
        <v>Nguyễn trọng Nhân</v>
      </c>
      <c r="D5210" s="119" t="str">
        <f>IFERROR(__xludf.DUMMYFUNCTION("""COMPUTED_VALUE"""),"Chó")</f>
        <v>Chó</v>
      </c>
      <c r="E5210" s="119" t="str">
        <f>IFERROR(__xludf.DUMMYFUNCTION("""COMPUTED_VALUE"""),"misa")</f>
        <v>misa</v>
      </c>
    </row>
    <row r="5211" ht="15.75" customHeight="1">
      <c r="A5211" s="122" t="str">
        <f>IFERROR(__xludf.DUMMYFUNCTION("""COMPUTED_VALUE"""),"0914 339 471")</f>
        <v>0914 339 471</v>
      </c>
      <c r="B5211" s="119" t="str">
        <f>IFERROR(__xludf.DUMMYFUNCTION("""COMPUTED_VALUE"""),"Chị Tăng")</f>
        <v>Chị Tăng</v>
      </c>
      <c r="C5211" s="119" t="str">
        <f>IFERROR(__xludf.DUMMYFUNCTION("""COMPUTED_VALUE"""),"120 Lê Duẩn")</f>
        <v>120 Lê Duẩn</v>
      </c>
      <c r="D5211" s="119" t="str">
        <f>IFERROR(__xludf.DUMMYFUNCTION("""COMPUTED_VALUE"""),"Chó")</f>
        <v>Chó</v>
      </c>
      <c r="E5211" s="119" t="str">
        <f>IFERROR(__xludf.DUMMYFUNCTION("""COMPUTED_VALUE"""),"Lạc lạc")</f>
        <v>Lạc lạc</v>
      </c>
    </row>
    <row r="5212" ht="15.75" customHeight="1">
      <c r="A5212" s="122" t="str">
        <f>IFERROR(__xludf.DUMMYFUNCTION("""COMPUTED_VALUE"""),"0768 587 464")</f>
        <v>0768 587 464</v>
      </c>
      <c r="B5212" s="119" t="str">
        <f>IFERROR(__xludf.DUMMYFUNCTION("""COMPUTED_VALUE"""),"Chú Quang")</f>
        <v>Chú Quang</v>
      </c>
      <c r="C5212" s="119" t="str">
        <f>IFERROR(__xludf.DUMMYFUNCTION("""COMPUTED_VALUE"""),"22/3 Phú mộng")</f>
        <v>22/3 Phú mộng</v>
      </c>
      <c r="D5212" s="119" t="str">
        <f>IFERROR(__xludf.DUMMYFUNCTION("""COMPUTED_VALUE"""),"Chó")</f>
        <v>Chó</v>
      </c>
      <c r="E5212" s="119" t="str">
        <f>IFERROR(__xludf.DUMMYFUNCTION("""COMPUTED_VALUE"""),"Mập")</f>
        <v>Mập</v>
      </c>
    </row>
    <row r="5213" ht="15.75" customHeight="1">
      <c r="A5213" s="122" t="str">
        <f>IFERROR(__xludf.DUMMYFUNCTION("""COMPUTED_VALUE"""),"0826 855 384")</f>
        <v>0826 855 384</v>
      </c>
      <c r="B5213" s="119" t="str">
        <f>IFERROR(__xludf.DUMMYFUNCTION("""COMPUTED_VALUE"""),"Chị Thuỷ")</f>
        <v>Chị Thuỷ</v>
      </c>
      <c r="C5213" s="119" t="str">
        <f>IFERROR(__xludf.DUMMYFUNCTION("""COMPUTED_VALUE"""),"Phú Thượng")</f>
        <v>Phú Thượng</v>
      </c>
      <c r="D5213" s="119" t="str">
        <f>IFERROR(__xludf.DUMMYFUNCTION("""COMPUTED_VALUE"""),"Chó")</f>
        <v>Chó</v>
      </c>
      <c r="E5213" s="119" t="str">
        <f>IFERROR(__xludf.DUMMYFUNCTION("""COMPUTED_VALUE"""),"Muối")</f>
        <v>Muối</v>
      </c>
    </row>
    <row r="5214" ht="15.75" customHeight="1">
      <c r="A5214" s="122" t="str">
        <f>IFERROR(__xludf.DUMMYFUNCTION("""COMPUTED_VALUE"""),"0905 926 414")</f>
        <v>0905 926 414</v>
      </c>
      <c r="B5214" s="119" t="str">
        <f>IFERROR(__xludf.DUMMYFUNCTION("""COMPUTED_VALUE"""),"Chị Phương")</f>
        <v>Chị Phương</v>
      </c>
      <c r="C5214" s="119" t="str">
        <f>IFERROR(__xludf.DUMMYFUNCTION("""COMPUTED_VALUE"""),"KQH Bầu Vá")</f>
        <v>KQH Bầu Vá</v>
      </c>
      <c r="D5214" s="119" t="str">
        <f>IFERROR(__xludf.DUMMYFUNCTION("""COMPUTED_VALUE"""),"Mèo")</f>
        <v>Mèo</v>
      </c>
      <c r="E5214" s="119" t="str">
        <f>IFERROR(__xludf.DUMMYFUNCTION("""COMPUTED_VALUE"""),"Đen")</f>
        <v>Đen</v>
      </c>
    </row>
    <row r="5215" ht="15.75" customHeight="1">
      <c r="A5215" s="122" t="str">
        <f>IFERROR(__xludf.DUMMYFUNCTION("""COMPUTED_VALUE"""),"0793 149 796")</f>
        <v>0793 149 796</v>
      </c>
      <c r="B5215" s="119" t="str">
        <f>IFERROR(__xludf.DUMMYFUNCTION("""COMPUTED_VALUE"""),"Chị Nguyễn Anh")</f>
        <v>Chị Nguyễn Anh</v>
      </c>
      <c r="C5215" s="119" t="str">
        <f>IFERROR(__xludf.DUMMYFUNCTION("""COMPUTED_VALUE"""),"43 Thanh Lam Bồ")</f>
        <v>43 Thanh Lam Bồ</v>
      </c>
      <c r="D5215" s="119" t="str">
        <f>IFERROR(__xludf.DUMMYFUNCTION("""COMPUTED_VALUE"""),"Mèo")</f>
        <v>Mèo</v>
      </c>
      <c r="E5215" s="119" t="str">
        <f>IFERROR(__xludf.DUMMYFUNCTION("""COMPUTED_VALUE"""),"Mỡ")</f>
        <v>Mỡ</v>
      </c>
    </row>
    <row r="5216" ht="15.75" customHeight="1">
      <c r="A5216" s="122" t="str">
        <f>IFERROR(__xludf.DUMMYFUNCTION("""COMPUTED_VALUE"""),"0986 804 889")</f>
        <v>0986 804 889</v>
      </c>
      <c r="B5216" s="119" t="str">
        <f>IFERROR(__xludf.DUMMYFUNCTION("""COMPUTED_VALUE"""),"Chị Tuyết Linh")</f>
        <v>Chị Tuyết Linh</v>
      </c>
      <c r="C5216" s="119" t="str">
        <f>IFERROR(__xludf.DUMMYFUNCTION("""COMPUTED_VALUE"""),"4/55 Đặng Văn Ngữ")</f>
        <v>4/55 Đặng Văn Ngữ</v>
      </c>
      <c r="D5216" s="119" t="str">
        <f>IFERROR(__xludf.DUMMYFUNCTION("""COMPUTED_VALUE"""),"Mèo")</f>
        <v>Mèo</v>
      </c>
      <c r="E5216" s="119" t="str">
        <f>IFERROR(__xludf.DUMMYFUNCTION("""COMPUTED_VALUE"""),"Supprice")</f>
        <v>Supprice</v>
      </c>
    </row>
    <row r="5217" ht="15.75" customHeight="1">
      <c r="A5217" s="122" t="str">
        <f>IFERROR(__xludf.DUMMYFUNCTION("""COMPUTED_VALUE"""),"0358 803 083")</f>
        <v>0358 803 083</v>
      </c>
      <c r="B5217" s="119" t="str">
        <f>IFERROR(__xludf.DUMMYFUNCTION("""COMPUTED_VALUE"""),"Dì Huế")</f>
        <v>Dì Huế</v>
      </c>
      <c r="C5217" s="119" t="str">
        <f>IFERROR(__xludf.DUMMYFUNCTION("""COMPUTED_VALUE"""),"63/16 Phạm Thị Liên")</f>
        <v>63/16 Phạm Thị Liên</v>
      </c>
      <c r="D5217" s="119" t="str">
        <f>IFERROR(__xludf.DUMMYFUNCTION("""COMPUTED_VALUE"""),"Chó")</f>
        <v>Chó</v>
      </c>
      <c r="E5217" s="119" t="str">
        <f>IFERROR(__xludf.DUMMYFUNCTION("""COMPUTED_VALUE"""),"Kiki")</f>
        <v>Kiki</v>
      </c>
    </row>
    <row r="5218" ht="15.75" customHeight="1">
      <c r="A5218" s="122" t="str">
        <f>IFERROR(__xludf.DUMMYFUNCTION("""COMPUTED_VALUE"""),"0944 451 944")</f>
        <v>0944 451 944</v>
      </c>
      <c r="B5218" s="119" t="str">
        <f>IFERROR(__xludf.DUMMYFUNCTION("""COMPUTED_VALUE"""),"Chị Hương")</f>
        <v>Chị Hương</v>
      </c>
      <c r="C5218" s="119" t="str">
        <f>IFERROR(__xludf.DUMMYFUNCTION("""COMPUTED_VALUE"""),"282 Ngự Bình")</f>
        <v>282 Ngự Bình</v>
      </c>
      <c r="D5218" s="119" t="str">
        <f>IFERROR(__xludf.DUMMYFUNCTION("""COMPUTED_VALUE"""),"Chó")</f>
        <v>Chó</v>
      </c>
      <c r="E5218" s="119" t="str">
        <f>IFERROR(__xludf.DUMMYFUNCTION("""COMPUTED_VALUE"""),"Ken")</f>
        <v>Ken</v>
      </c>
    </row>
    <row r="5219" ht="15.75" customHeight="1">
      <c r="A5219" s="122" t="str">
        <f>IFERROR(__xludf.DUMMYFUNCTION("""COMPUTED_VALUE"""),"0913 229 762")</f>
        <v>0913 229 762</v>
      </c>
      <c r="B5219" s="119" t="str">
        <f>IFERROR(__xludf.DUMMYFUNCTION("""COMPUTED_VALUE"""),"Bác Quang")</f>
        <v>Bác Quang</v>
      </c>
      <c r="C5219" s="119" t="str">
        <f>IFERROR(__xludf.DUMMYFUNCTION("""COMPUTED_VALUE"""),"Nguyễn Phúc Chu")</f>
        <v>Nguyễn Phúc Chu</v>
      </c>
      <c r="D5219" s="119" t="str">
        <f>IFERROR(__xludf.DUMMYFUNCTION("""COMPUTED_VALUE"""),"Chó")</f>
        <v>Chó</v>
      </c>
      <c r="E5219" s="119" t="str">
        <f>IFERROR(__xludf.DUMMYFUNCTION("""COMPUTED_VALUE"""),"Dinn")</f>
        <v>Dinn</v>
      </c>
    </row>
    <row r="5220" ht="15.75" customHeight="1">
      <c r="A5220" s="122" t="str">
        <f>IFERROR(__xludf.DUMMYFUNCTION("""COMPUTED_VALUE"""),"0981 377 422")</f>
        <v>0981 377 422</v>
      </c>
      <c r="B5220" s="119" t="str">
        <f>IFERROR(__xludf.DUMMYFUNCTION("""COMPUTED_VALUE"""),"Anh Vinh")</f>
        <v>Anh Vinh</v>
      </c>
      <c r="C5220" s="119" t="str">
        <f>IFERROR(__xludf.DUMMYFUNCTION("""COMPUTED_VALUE"""),"13 Nguyễn Như Chương")</f>
        <v>13 Nguyễn Như Chương</v>
      </c>
      <c r="D5220" s="119" t="str">
        <f>IFERROR(__xludf.DUMMYFUNCTION("""COMPUTED_VALUE"""),"Chó")</f>
        <v>Chó</v>
      </c>
      <c r="E5220" s="119" t="str">
        <f>IFERROR(__xludf.DUMMYFUNCTION("""COMPUTED_VALUE"""),"Beo")</f>
        <v>Beo</v>
      </c>
    </row>
    <row r="5221" ht="15.75" customHeight="1">
      <c r="A5221" s="122" t="str">
        <f>IFERROR(__xludf.DUMMYFUNCTION("""COMPUTED_VALUE"""),"0796 779 062")</f>
        <v>0796 779 062</v>
      </c>
      <c r="B5221" s="119" t="str">
        <f>IFERROR(__xludf.DUMMYFUNCTION("""COMPUTED_VALUE"""),"Anh Nguyên phúc")</f>
        <v>Anh Nguyên phúc</v>
      </c>
      <c r="C5221" s="119" t="str">
        <f>IFERROR(__xludf.DUMMYFUNCTION("""COMPUTED_VALUE"""),"23 Cao Bá Quát")</f>
        <v>23 Cao Bá Quát</v>
      </c>
      <c r="D5221" s="119" t="str">
        <f>IFERROR(__xludf.DUMMYFUNCTION("""COMPUTED_VALUE"""),"Chó")</f>
        <v>Chó</v>
      </c>
      <c r="E5221" s="119" t="str">
        <f>IFERROR(__xludf.DUMMYFUNCTION("""COMPUTED_VALUE"""),"Chu")</f>
        <v>Chu</v>
      </c>
    </row>
    <row r="5222" ht="15.75" customHeight="1">
      <c r="A5222" s="122" t="str">
        <f>IFERROR(__xludf.DUMMYFUNCTION("""COMPUTED_VALUE"""),"0772 400 957")</f>
        <v>0772 400 957</v>
      </c>
      <c r="B5222" s="119" t="str">
        <f>IFERROR(__xludf.DUMMYFUNCTION("""COMPUTED_VALUE"""),"Anh Kim Lân")</f>
        <v>Anh Kim Lân</v>
      </c>
      <c r="C5222" s="119" t="str">
        <f>IFERROR(__xludf.DUMMYFUNCTION("""COMPUTED_VALUE"""),"77 Long Hồ")</f>
        <v>77 Long Hồ</v>
      </c>
      <c r="D5222" s="119" t="str">
        <f>IFERROR(__xludf.DUMMYFUNCTION("""COMPUTED_VALUE"""),"Chó")</f>
        <v>Chó</v>
      </c>
      <c r="E5222" s="119" t="str">
        <f>IFERROR(__xludf.DUMMYFUNCTION("""COMPUTED_VALUE"""),"Đen")</f>
        <v>Đen</v>
      </c>
    </row>
    <row r="5223" ht="15.75" customHeight="1">
      <c r="A5223" s="122" t="str">
        <f>IFERROR(__xludf.DUMMYFUNCTION("""COMPUTED_VALUE"""),"0985 538 378")</f>
        <v>0985 538 378</v>
      </c>
      <c r="B5223" s="119" t="str">
        <f>IFERROR(__xludf.DUMMYFUNCTION("""COMPUTED_VALUE"""),"Trương Thị Hoàn")</f>
        <v>Trương Thị Hoàn</v>
      </c>
      <c r="C5223" s="119" t="str">
        <f>IFERROR(__xludf.DUMMYFUNCTION("""COMPUTED_VALUE"""),"3/5/1 Phạm Thị Liên")</f>
        <v>3/5/1 Phạm Thị Liên</v>
      </c>
      <c r="D5223" s="119" t="str">
        <f>IFERROR(__xludf.DUMMYFUNCTION("""COMPUTED_VALUE"""),"Mèo")</f>
        <v>Mèo</v>
      </c>
      <c r="E5223" s="119" t="str">
        <f>IFERROR(__xludf.DUMMYFUNCTION("""COMPUTED_VALUE"""),"Mưa")</f>
        <v>Mưa</v>
      </c>
    </row>
    <row r="5224" ht="15.75" customHeight="1">
      <c r="A5224" s="122" t="str">
        <f>IFERROR(__xludf.DUMMYFUNCTION("""COMPUTED_VALUE"""),"0966 587 934")</f>
        <v>0966 587 934</v>
      </c>
      <c r="B5224" s="119" t="str">
        <f>IFERROR(__xludf.DUMMYFUNCTION("""COMPUTED_VALUE"""),"chị Thuý")</f>
        <v>chị Thuý</v>
      </c>
      <c r="C5224" s="119" t="str">
        <f>IFERROR(__xludf.DUMMYFUNCTION("""COMPUTED_VALUE"""),"Tứ hạ")</f>
        <v>Tứ hạ</v>
      </c>
      <c r="D5224" s="119" t="str">
        <f>IFERROR(__xludf.DUMMYFUNCTION("""COMPUTED_VALUE"""),"Mèo")</f>
        <v>Mèo</v>
      </c>
      <c r="E5224" s="119" t="str">
        <f>IFERROR(__xludf.DUMMYFUNCTION("""COMPUTED_VALUE"""),"Na")</f>
        <v>Na</v>
      </c>
    </row>
    <row r="5225" ht="15.75" customHeight="1">
      <c r="A5225" s="122" t="str">
        <f>IFERROR(__xludf.DUMMYFUNCTION("""COMPUTED_VALUE"""),"0796 551 275")</f>
        <v>0796 551 275</v>
      </c>
      <c r="B5225" s="119" t="str">
        <f>IFERROR(__xludf.DUMMYFUNCTION("""COMPUTED_VALUE"""),"Chị Hoa")</f>
        <v>Chị Hoa</v>
      </c>
      <c r="C5225" s="119" t="str">
        <f>IFERROR(__xludf.DUMMYFUNCTION("""COMPUTED_VALUE"""),"150/6 Kim long")</f>
        <v>150/6 Kim long</v>
      </c>
      <c r="D5225" s="119" t="str">
        <f>IFERROR(__xludf.DUMMYFUNCTION("""COMPUTED_VALUE"""),"Chó")</f>
        <v>Chó</v>
      </c>
      <c r="E5225" s="119" t="str">
        <f>IFERROR(__xludf.DUMMYFUNCTION("""COMPUTED_VALUE"""),"mimi")</f>
        <v>mimi</v>
      </c>
    </row>
    <row r="5226" ht="15.75" customHeight="1">
      <c r="A5226" s="122" t="str">
        <f>IFERROR(__xludf.DUMMYFUNCTION("""COMPUTED_VALUE"""),"0355 155 213")</f>
        <v>0355 155 213</v>
      </c>
      <c r="B5226" s="119" t="str">
        <f>IFERROR(__xludf.DUMMYFUNCTION("""COMPUTED_VALUE"""),"Anh Bình")</f>
        <v>Anh Bình</v>
      </c>
      <c r="C5226" s="119" t="str">
        <f>IFERROR(__xludf.DUMMYFUNCTION("""COMPUTED_VALUE"""),"Hương Hồ")</f>
        <v>Hương Hồ</v>
      </c>
      <c r="D5226" s="119" t="str">
        <f>IFERROR(__xludf.DUMMYFUNCTION("""COMPUTED_VALUE"""),"Chó")</f>
        <v>Chó</v>
      </c>
      <c r="E5226" s="119"/>
    </row>
    <row r="5227" ht="15.75" customHeight="1">
      <c r="A5227" s="122" t="str">
        <f>IFERROR(__xludf.DUMMYFUNCTION("""COMPUTED_VALUE"""),"0345 515 526")</f>
        <v>0345 515 526</v>
      </c>
      <c r="B5227" s="119" t="str">
        <f>IFERROR(__xludf.DUMMYFUNCTION("""COMPUTED_VALUE"""),"Anh Châu Thắng")</f>
        <v>Anh Châu Thắng</v>
      </c>
      <c r="C5227" s="119" t="str">
        <f>IFERROR(__xludf.DUMMYFUNCTION("""COMPUTED_VALUE"""),"15 Nguyễn Đăng Thạch")</f>
        <v>15 Nguyễn Đăng Thạch</v>
      </c>
      <c r="D5227" s="119" t="str">
        <f>IFERROR(__xludf.DUMMYFUNCTION("""COMPUTED_VALUE"""),"Chó")</f>
        <v>Chó</v>
      </c>
      <c r="E5227" s="119"/>
    </row>
    <row r="5228" ht="15.75" customHeight="1">
      <c r="A5228" s="122" t="str">
        <f>IFERROR(__xludf.DUMMYFUNCTION("""COMPUTED_VALUE"""),"0357 566 338")</f>
        <v>0357 566 338</v>
      </c>
      <c r="B5228" s="119" t="str">
        <f>IFERROR(__xludf.DUMMYFUNCTION("""COMPUTED_VALUE"""),"Chị Liên")</f>
        <v>Chị Liên</v>
      </c>
      <c r="C5228" s="119" t="str">
        <f>IFERROR(__xludf.DUMMYFUNCTION("""COMPUTED_VALUE"""),"15/68 Nguyễn Phúc Chu")</f>
        <v>15/68 Nguyễn Phúc Chu</v>
      </c>
      <c r="D5228" s="119" t="str">
        <f>IFERROR(__xludf.DUMMYFUNCTION("""COMPUTED_VALUE"""),"Chó")</f>
        <v>Chó</v>
      </c>
      <c r="E5228" s="119" t="str">
        <f>IFERROR(__xludf.DUMMYFUNCTION("""COMPUTED_VALUE"""),"Nâu")</f>
        <v>Nâu</v>
      </c>
    </row>
    <row r="5229" ht="15.75" customHeight="1">
      <c r="A5229" s="122" t="str">
        <f>IFERROR(__xludf.DUMMYFUNCTION("""COMPUTED_VALUE"""),"0935 356 153")</f>
        <v>0935 356 153</v>
      </c>
      <c r="B5229" s="119" t="str">
        <f>IFERROR(__xludf.DUMMYFUNCTION("""COMPUTED_VALUE"""),"Anh Phi")</f>
        <v>Anh Phi</v>
      </c>
      <c r="C5229" s="119" t="str">
        <f>IFERROR(__xludf.DUMMYFUNCTION("""COMPUTED_VALUE"""),"chợ thông")</f>
        <v>chợ thông</v>
      </c>
      <c r="D5229" s="119" t="str">
        <f>IFERROR(__xludf.DUMMYFUNCTION("""COMPUTED_VALUE"""),"Chó")</f>
        <v>Chó</v>
      </c>
      <c r="E5229" s="119"/>
    </row>
    <row r="5230" ht="15.75" customHeight="1">
      <c r="A5230" s="122" t="str">
        <f>IFERROR(__xludf.DUMMYFUNCTION("""COMPUTED_VALUE"""),"0772 281 483")</f>
        <v>0772 281 483</v>
      </c>
      <c r="B5230" s="119" t="str">
        <f>IFERROR(__xludf.DUMMYFUNCTION("""COMPUTED_VALUE"""),"Chị Thư")</f>
        <v>Chị Thư</v>
      </c>
      <c r="C5230" s="119" t="str">
        <f>IFERROR(__xludf.DUMMYFUNCTION("""COMPUTED_VALUE"""),"56 Duy Tân")</f>
        <v>56 Duy Tân</v>
      </c>
      <c r="D5230" s="119" t="str">
        <f>IFERROR(__xludf.DUMMYFUNCTION("""COMPUTED_VALUE"""),"Mèo")</f>
        <v>Mèo</v>
      </c>
      <c r="E5230" s="119" t="str">
        <f>IFERROR(__xludf.DUMMYFUNCTION("""COMPUTED_VALUE"""),"Khế")</f>
        <v>Khế</v>
      </c>
    </row>
    <row r="5231" ht="15.75" customHeight="1">
      <c r="A5231" s="122" t="str">
        <f>IFERROR(__xludf.DUMMYFUNCTION("""COMPUTED_VALUE"""),"0772 497 132")</f>
        <v>0772 497 132</v>
      </c>
      <c r="B5231" s="119" t="str">
        <f>IFERROR(__xludf.DUMMYFUNCTION("""COMPUTED_VALUE"""),"Chị Diệu Hiền")</f>
        <v>Chị Diệu Hiền</v>
      </c>
      <c r="C5231" s="119" t="str">
        <f>IFERROR(__xludf.DUMMYFUNCTION("""COMPUTED_VALUE"""),"7/14 Nguyễn phúc lan")</f>
        <v>7/14 Nguyễn phúc lan</v>
      </c>
      <c r="D5231" s="119" t="str">
        <f>IFERROR(__xludf.DUMMYFUNCTION("""COMPUTED_VALUE"""),"Chó")</f>
        <v>Chó</v>
      </c>
      <c r="E5231" s="119" t="str">
        <f>IFERROR(__xludf.DUMMYFUNCTION("""COMPUTED_VALUE"""),"Mây")</f>
        <v>Mây</v>
      </c>
    </row>
    <row r="5232" ht="15.75" customHeight="1">
      <c r="A5232" s="122" t="str">
        <f>IFERROR(__xludf.DUMMYFUNCTION("""COMPUTED_VALUE"""),"0973 333 994")</f>
        <v>0973 333 994</v>
      </c>
      <c r="B5232" s="119" t="str">
        <f>IFERROR(__xludf.DUMMYFUNCTION("""COMPUTED_VALUE"""),"Anh dũng")</f>
        <v>Anh dũng</v>
      </c>
      <c r="C5232" s="119" t="str">
        <f>IFERROR(__xludf.DUMMYFUNCTION("""COMPUTED_VALUE"""),"Phong Điền")</f>
        <v>Phong Điền</v>
      </c>
      <c r="D5232" s="119" t="str">
        <f>IFERROR(__xludf.DUMMYFUNCTION("""COMPUTED_VALUE"""),"Chó")</f>
        <v>Chó</v>
      </c>
      <c r="E5232" s="119" t="str">
        <f>IFERROR(__xludf.DUMMYFUNCTION("""COMPUTED_VALUE"""),"Sói")</f>
        <v>Sói</v>
      </c>
    </row>
    <row r="5233" ht="15.75" customHeight="1">
      <c r="A5233" s="122" t="str">
        <f>IFERROR(__xludf.DUMMYFUNCTION("""COMPUTED_VALUE"""),"0384 838 767")</f>
        <v>0384 838 767</v>
      </c>
      <c r="B5233" s="119" t="str">
        <f>IFERROR(__xludf.DUMMYFUNCTION("""COMPUTED_VALUE"""),"Em Huyền")</f>
        <v>Em Huyền</v>
      </c>
      <c r="C5233" s="119" t="str">
        <f>IFERROR(__xludf.DUMMYFUNCTION("""COMPUTED_VALUE"""),"Phú Mộng")</f>
        <v>Phú Mộng</v>
      </c>
      <c r="D5233" s="119" t="str">
        <f>IFERROR(__xludf.DUMMYFUNCTION("""COMPUTED_VALUE"""),"Chó")</f>
        <v>Chó</v>
      </c>
      <c r="E5233" s="119" t="str">
        <f>IFERROR(__xludf.DUMMYFUNCTION("""COMPUTED_VALUE"""),"Heo")</f>
        <v>Heo</v>
      </c>
    </row>
    <row r="5234" ht="15.75" customHeight="1">
      <c r="A5234" s="122" t="str">
        <f>IFERROR(__xludf.DUMMYFUNCTION("""COMPUTED_VALUE"""),"0935 047 733")</f>
        <v>0935 047 733</v>
      </c>
      <c r="B5234" s="119" t="str">
        <f>IFERROR(__xludf.DUMMYFUNCTION("""COMPUTED_VALUE"""),"Chị Quỳnh Anh")</f>
        <v>Chị Quỳnh Anh</v>
      </c>
      <c r="C5234" s="119" t="str">
        <f>IFERROR(__xludf.DUMMYFUNCTION("""COMPUTED_VALUE"""),"Bửu Đình")</f>
        <v>Bửu Đình</v>
      </c>
      <c r="D5234" s="119" t="str">
        <f>IFERROR(__xludf.DUMMYFUNCTION("""COMPUTED_VALUE"""),"Chó")</f>
        <v>Chó</v>
      </c>
      <c r="E5234" s="119" t="str">
        <f>IFERROR(__xludf.DUMMYFUNCTION("""COMPUTED_VALUE"""),"Bông")</f>
        <v>Bông</v>
      </c>
    </row>
    <row r="5235" ht="15.75" customHeight="1">
      <c r="A5235" s="122" t="str">
        <f>IFERROR(__xludf.DUMMYFUNCTION("""COMPUTED_VALUE"""),"0866 031 556")</f>
        <v>0866 031 556</v>
      </c>
      <c r="B5235" s="119" t="str">
        <f>IFERROR(__xludf.DUMMYFUNCTION("""COMPUTED_VALUE"""),"Chị Hoà")</f>
        <v>Chị Hoà</v>
      </c>
      <c r="C5235" s="119" t="str">
        <f>IFERROR(__xludf.DUMMYFUNCTION("""COMPUTED_VALUE"""),"54 Bửu Đình")</f>
        <v>54 Bửu Đình</v>
      </c>
      <c r="D5235" s="119" t="str">
        <f>IFERROR(__xludf.DUMMYFUNCTION("""COMPUTED_VALUE"""),"Chó")</f>
        <v>Chó</v>
      </c>
      <c r="E5235" s="119" t="str">
        <f>IFERROR(__xludf.DUMMYFUNCTION("""COMPUTED_VALUE"""),"xù")</f>
        <v>xù</v>
      </c>
    </row>
    <row r="5236" ht="15.75" customHeight="1">
      <c r="A5236" s="122" t="str">
        <f>IFERROR(__xludf.DUMMYFUNCTION("""COMPUTED_VALUE"""),"0369 922 202")</f>
        <v>0369 922 202</v>
      </c>
      <c r="B5236" s="119" t="str">
        <f>IFERROR(__xludf.DUMMYFUNCTION("""COMPUTED_VALUE"""),"chị Triều")</f>
        <v>chị Triều</v>
      </c>
      <c r="C5236" s="119" t="str">
        <f>IFERROR(__xludf.DUMMYFUNCTION("""COMPUTED_VALUE"""),"189 Văn Thánh")</f>
        <v>189 Văn Thánh</v>
      </c>
      <c r="D5236" s="119" t="str">
        <f>IFERROR(__xludf.DUMMYFUNCTION("""COMPUTED_VALUE"""),"Chó")</f>
        <v>Chó</v>
      </c>
      <c r="E5236" s="119" t="str">
        <f>IFERROR(__xludf.DUMMYFUNCTION("""COMPUTED_VALUE"""),"lucky")</f>
        <v>lucky</v>
      </c>
    </row>
    <row r="5237" ht="15.75" customHeight="1">
      <c r="A5237" s="122" t="str">
        <f>IFERROR(__xludf.DUMMYFUNCTION("""COMPUTED_VALUE"""),"0914 424 862")</f>
        <v>0914 424 862</v>
      </c>
      <c r="B5237" s="119" t="str">
        <f>IFERROR(__xludf.DUMMYFUNCTION("""COMPUTED_VALUE"""),"Anh Vinh")</f>
        <v>Anh Vinh</v>
      </c>
      <c r="C5237" s="119" t="str">
        <f>IFERROR(__xludf.DUMMYFUNCTION("""COMPUTED_VALUE"""),"24 Mai Khắc Đôn")</f>
        <v>24 Mai Khắc Đôn</v>
      </c>
      <c r="D5237" s="119" t="str">
        <f>IFERROR(__xludf.DUMMYFUNCTION("""COMPUTED_VALUE"""),"Chó")</f>
        <v>Chó</v>
      </c>
      <c r="E5237" s="119" t="str">
        <f>IFERROR(__xludf.DUMMYFUNCTION("""COMPUTED_VALUE"""),"Vện")</f>
        <v>Vện</v>
      </c>
    </row>
    <row r="5238" ht="15.75" customHeight="1">
      <c r="A5238" s="122" t="str">
        <f>IFERROR(__xludf.DUMMYFUNCTION("""COMPUTED_VALUE"""),"0778 846 605")</f>
        <v>0778 846 605</v>
      </c>
      <c r="B5238" s="119" t="str">
        <f>IFERROR(__xludf.DUMMYFUNCTION("""COMPUTED_VALUE"""),"Chị Nhi")</f>
        <v>Chị Nhi</v>
      </c>
      <c r="C5238" s="119" t="str">
        <f>IFERROR(__xludf.DUMMYFUNCTION("""COMPUTED_VALUE"""),"39 Hồ Văn Hiển")</f>
        <v>39 Hồ Văn Hiển</v>
      </c>
      <c r="D5238" s="119" t="str">
        <f>IFERROR(__xludf.DUMMYFUNCTION("""COMPUTED_VALUE"""),"Chó")</f>
        <v>Chó</v>
      </c>
      <c r="E5238" s="119" t="str">
        <f>IFERROR(__xludf.DUMMYFUNCTION("""COMPUTED_VALUE"""),"Súp")</f>
        <v>Súp</v>
      </c>
    </row>
    <row r="5239" ht="15.75" customHeight="1">
      <c r="A5239" s="122" t="str">
        <f>IFERROR(__xludf.DUMMYFUNCTION("""COMPUTED_VALUE"""),"0392 328 953")</f>
        <v>0392 328 953</v>
      </c>
      <c r="B5239" s="119" t="str">
        <f>IFERROR(__xludf.DUMMYFUNCTION("""COMPUTED_VALUE"""),"Em Phương")</f>
        <v>Em Phương</v>
      </c>
      <c r="C5239" s="119" t="str">
        <f>IFERROR(__xludf.DUMMYFUNCTION("""COMPUTED_VALUE"""),"nguyễn Hoàng")</f>
        <v>nguyễn Hoàng</v>
      </c>
      <c r="D5239" s="119" t="str">
        <f>IFERROR(__xludf.DUMMYFUNCTION("""COMPUTED_VALUE"""),"Chó")</f>
        <v>Chó</v>
      </c>
      <c r="E5239" s="119" t="str">
        <f>IFERROR(__xludf.DUMMYFUNCTION("""COMPUTED_VALUE"""),"Vá")</f>
        <v>Vá</v>
      </c>
    </row>
    <row r="5240" ht="15.75" customHeight="1">
      <c r="A5240" s="122" t="str">
        <f>IFERROR(__xludf.DUMMYFUNCTION("""COMPUTED_VALUE"""),"0947 969 759")</f>
        <v>0947 969 759</v>
      </c>
      <c r="B5240" s="119" t="str">
        <f>IFERROR(__xludf.DUMMYFUNCTION("""COMPUTED_VALUE"""),"Chị Nhiên")</f>
        <v>Chị Nhiên</v>
      </c>
      <c r="C5240" s="119" t="str">
        <f>IFERROR(__xludf.DUMMYFUNCTION("""COMPUTED_VALUE"""),"ông ích Khiêm")</f>
        <v>ông ích Khiêm</v>
      </c>
      <c r="D5240" s="119" t="str">
        <f>IFERROR(__xludf.DUMMYFUNCTION("""COMPUTED_VALUE"""),"Mèo")</f>
        <v>Mèo</v>
      </c>
      <c r="E5240" s="119"/>
    </row>
    <row r="5241" ht="15.75" customHeight="1">
      <c r="A5241" s="122" t="str">
        <f>IFERROR(__xludf.DUMMYFUNCTION("""COMPUTED_VALUE"""),"0773 905 155")</f>
        <v>0773 905 155</v>
      </c>
      <c r="B5241" s="119" t="str">
        <f>IFERROR(__xludf.DUMMYFUNCTION("""COMPUTED_VALUE"""),"Em Minh")</f>
        <v>Em Minh</v>
      </c>
      <c r="C5241" s="119" t="str">
        <f>IFERROR(__xludf.DUMMYFUNCTION("""COMPUTED_VALUE"""),"203 chi lăng")</f>
        <v>203 chi lăng</v>
      </c>
      <c r="D5241" s="119" t="str">
        <f>IFERROR(__xludf.DUMMYFUNCTION("""COMPUTED_VALUE"""),"Mèo")</f>
        <v>Mèo</v>
      </c>
      <c r="E5241" s="119"/>
    </row>
    <row r="5242" ht="15.75" customHeight="1">
      <c r="A5242" s="122" t="str">
        <f>IFERROR(__xludf.DUMMYFUNCTION("""COMPUTED_VALUE"""),"0339 123 341")</f>
        <v>0339 123 341</v>
      </c>
      <c r="B5242" s="119" t="str">
        <f>IFERROR(__xludf.DUMMYFUNCTION("""COMPUTED_VALUE"""),"Như Ngọc")</f>
        <v>Như Ngọc</v>
      </c>
      <c r="C5242" s="119" t="str">
        <f>IFERROR(__xludf.DUMMYFUNCTION("""COMPUTED_VALUE"""),"74/1 Lịch Đợi")</f>
        <v>74/1 Lịch Đợi</v>
      </c>
      <c r="D5242" s="119" t="str">
        <f>IFERROR(__xludf.DUMMYFUNCTION("""COMPUTED_VALUE"""),"Chó")</f>
        <v>Chó</v>
      </c>
      <c r="E5242" s="119" t="str">
        <f>IFERROR(__xludf.DUMMYFUNCTION("""COMPUTED_VALUE"""),"Cà Chua")</f>
        <v>Cà Chua</v>
      </c>
    </row>
    <row r="5243" ht="15.75" customHeight="1">
      <c r="A5243" s="122" t="str">
        <f>IFERROR(__xludf.DUMMYFUNCTION("""COMPUTED_VALUE"""),"0817 782 773")</f>
        <v>0817 782 773</v>
      </c>
      <c r="B5243" s="119" t="str">
        <f>IFERROR(__xludf.DUMMYFUNCTION("""COMPUTED_VALUE"""),"Em Hải")</f>
        <v>Em Hải</v>
      </c>
      <c r="C5243" s="119" t="str">
        <f>IFERROR(__xludf.DUMMYFUNCTION("""COMPUTED_VALUE"""),"58/1 Nguyễn hoàng")</f>
        <v>58/1 Nguyễn hoàng</v>
      </c>
      <c r="D5243" s="119" t="str">
        <f>IFERROR(__xludf.DUMMYFUNCTION("""COMPUTED_VALUE"""),"Mèo")</f>
        <v>Mèo</v>
      </c>
      <c r="E5243" s="119"/>
    </row>
    <row r="5244" ht="15.75" customHeight="1">
      <c r="A5244" s="122" t="str">
        <f>IFERROR(__xludf.DUMMYFUNCTION("""COMPUTED_VALUE"""),"0933 621 357")</f>
        <v>0933 621 357</v>
      </c>
      <c r="B5244" s="119" t="str">
        <f>IFERROR(__xludf.DUMMYFUNCTION("""COMPUTED_VALUE"""),"Chị Tiên")</f>
        <v>Chị Tiên</v>
      </c>
      <c r="C5244" s="119" t="str">
        <f>IFERROR(__xludf.DUMMYFUNCTION("""COMPUTED_VALUE"""),"3/130 Đặng Thái Thân")</f>
        <v>3/130 Đặng Thái Thân</v>
      </c>
      <c r="D5244" s="119" t="str">
        <f>IFERROR(__xludf.DUMMYFUNCTION("""COMPUTED_VALUE"""),"Chó")</f>
        <v>Chó</v>
      </c>
      <c r="E5244" s="119">
        <f>IFERROR(__xludf.DUMMYFUNCTION("""COMPUTED_VALUE"""),8.0)</f>
        <v>8</v>
      </c>
    </row>
    <row r="5245" ht="15.75" customHeight="1">
      <c r="A5245" s="122" t="str">
        <f>IFERROR(__xludf.DUMMYFUNCTION("""COMPUTED_VALUE"""),"0344 159 718")</f>
        <v>0344 159 718</v>
      </c>
      <c r="B5245" s="119" t="str">
        <f>IFERROR(__xludf.DUMMYFUNCTION("""COMPUTED_VALUE"""),"Chị Thảo")</f>
        <v>Chị Thảo</v>
      </c>
      <c r="C5245" s="119" t="str">
        <f>IFERROR(__xludf.DUMMYFUNCTION("""COMPUTED_VALUE"""),"11 Ngô Thời Nhuậm")</f>
        <v>11 Ngô Thời Nhuậm</v>
      </c>
      <c r="D5245" s="119" t="str">
        <f>IFERROR(__xludf.DUMMYFUNCTION("""COMPUTED_VALUE"""),"Chó")</f>
        <v>Chó</v>
      </c>
      <c r="E5245" s="119" t="str">
        <f>IFERROR(__xludf.DUMMYFUNCTION("""COMPUTED_VALUE"""),"xù")</f>
        <v>xù</v>
      </c>
    </row>
    <row r="5246" ht="15.75" customHeight="1">
      <c r="A5246" s="122" t="str">
        <f>IFERROR(__xludf.DUMMYFUNCTION("""COMPUTED_VALUE"""),"0904 873 125")</f>
        <v>0904 873 125</v>
      </c>
      <c r="B5246" s="119" t="str">
        <f>IFERROR(__xludf.DUMMYFUNCTION("""COMPUTED_VALUE"""),"Anh Khôi")</f>
        <v>Anh Khôi</v>
      </c>
      <c r="C5246" s="119" t="str">
        <f>IFERROR(__xludf.DUMMYFUNCTION("""COMPUTED_VALUE"""),"14 Sư Vạn Hạnh")</f>
        <v>14 Sư Vạn Hạnh</v>
      </c>
      <c r="D5246" s="119" t="str">
        <f>IFERROR(__xludf.DUMMYFUNCTION("""COMPUTED_VALUE"""),"Chó")</f>
        <v>Chó</v>
      </c>
      <c r="E5246" s="119" t="str">
        <f>IFERROR(__xludf.DUMMYFUNCTION("""COMPUTED_VALUE"""),"Xíu Xíu")</f>
        <v>Xíu Xíu</v>
      </c>
    </row>
    <row r="5247" ht="15.75" customHeight="1">
      <c r="A5247" s="122" t="str">
        <f>IFERROR(__xludf.DUMMYFUNCTION("""COMPUTED_VALUE"""),"0853 542 371")</f>
        <v>0853 542 371</v>
      </c>
      <c r="B5247" s="119" t="str">
        <f>IFERROR(__xludf.DUMMYFUNCTION("""COMPUTED_VALUE"""),"Chị trang")</f>
        <v>Chị trang</v>
      </c>
      <c r="C5247" s="119" t="str">
        <f>IFERROR(__xludf.DUMMYFUNCTION("""COMPUTED_VALUE"""),"k104 kim Long")</f>
        <v>k104 kim Long</v>
      </c>
      <c r="D5247" s="119" t="str">
        <f>IFERROR(__xludf.DUMMYFUNCTION("""COMPUTED_VALUE"""),"Mèo")</f>
        <v>Mèo</v>
      </c>
      <c r="E5247" s="119"/>
    </row>
    <row r="5248" ht="15.75" customHeight="1">
      <c r="A5248" s="122" t="str">
        <f>IFERROR(__xludf.DUMMYFUNCTION("""COMPUTED_VALUE"""),"0339 876 796")</f>
        <v>0339 876 796</v>
      </c>
      <c r="B5248" s="119" t="str">
        <f>IFERROR(__xludf.DUMMYFUNCTION("""COMPUTED_VALUE"""),"Anh Hải")</f>
        <v>Anh Hải</v>
      </c>
      <c r="C5248" s="119" t="str">
        <f>IFERROR(__xludf.DUMMYFUNCTION("""COMPUTED_VALUE"""),"Điền Lộc Phong Điền")</f>
        <v>Điền Lộc Phong Điền</v>
      </c>
      <c r="D5248" s="119" t="str">
        <f>IFERROR(__xludf.DUMMYFUNCTION("""COMPUTED_VALUE"""),"chó")</f>
        <v>chó</v>
      </c>
      <c r="E5248" s="119" t="str">
        <f>IFERROR(__xludf.DUMMYFUNCTION("""COMPUTED_VALUE"""),"Lu")</f>
        <v>Lu</v>
      </c>
    </row>
    <row r="5249" ht="15.75" customHeight="1">
      <c r="A5249" s="122" t="str">
        <f>IFERROR(__xludf.DUMMYFUNCTION("""COMPUTED_VALUE"""),"0935 569 699")</f>
        <v>0935 569 699</v>
      </c>
      <c r="B5249" s="119" t="str">
        <f>IFERROR(__xludf.DUMMYFUNCTION("""COMPUTED_VALUE"""),"Chị Thuỷ")</f>
        <v>Chị Thuỷ</v>
      </c>
      <c r="C5249" s="119" t="str">
        <f>IFERROR(__xludf.DUMMYFUNCTION("""COMPUTED_VALUE"""),"39 Lịch đợi")</f>
        <v>39 Lịch đợi</v>
      </c>
      <c r="D5249" s="119" t="str">
        <f>IFERROR(__xludf.DUMMYFUNCTION("""COMPUTED_VALUE"""),"Chó")</f>
        <v>Chó</v>
      </c>
      <c r="E5249" s="119"/>
    </row>
    <row r="5250" ht="15.75" customHeight="1">
      <c r="A5250" s="122" t="str">
        <f>IFERROR(__xludf.DUMMYFUNCTION("""COMPUTED_VALUE"""),"0905 588 342")</f>
        <v>0905 588 342</v>
      </c>
      <c r="B5250" s="119" t="str">
        <f>IFERROR(__xludf.DUMMYFUNCTION("""COMPUTED_VALUE"""),"Anh Sang")</f>
        <v>Anh Sang</v>
      </c>
      <c r="C5250" s="119" t="str">
        <f>IFERROR(__xludf.DUMMYFUNCTION("""COMPUTED_VALUE"""),"11/25 Mai Khắc đôn")</f>
        <v>11/25 Mai Khắc đôn</v>
      </c>
      <c r="D5250" s="119" t="str">
        <f>IFERROR(__xludf.DUMMYFUNCTION("""COMPUTED_VALUE"""),"Chó")</f>
        <v>Chó</v>
      </c>
      <c r="E5250" s="119" t="str">
        <f>IFERROR(__xludf.DUMMYFUNCTION("""COMPUTED_VALUE"""),"Nâu")</f>
        <v>Nâu</v>
      </c>
    </row>
    <row r="5251" ht="15.75" customHeight="1">
      <c r="A5251" s="122" t="str">
        <f>IFERROR(__xludf.DUMMYFUNCTION("""COMPUTED_VALUE"""),"0345 875 873")</f>
        <v>0345 875 873</v>
      </c>
      <c r="B5251" s="119" t="str">
        <f>IFERROR(__xludf.DUMMYFUNCTION("""COMPUTED_VALUE"""),"Chị Hương")</f>
        <v>Chị Hương</v>
      </c>
      <c r="C5251" s="119" t="str">
        <f>IFERROR(__xludf.DUMMYFUNCTION("""COMPUTED_VALUE"""),"Phú Hồ- Phú Vang")</f>
        <v>Phú Hồ- Phú Vang</v>
      </c>
      <c r="D5251" s="119" t="str">
        <f>IFERROR(__xludf.DUMMYFUNCTION("""COMPUTED_VALUE"""),"Chó")</f>
        <v>Chó</v>
      </c>
      <c r="E5251" s="119" t="str">
        <f>IFERROR(__xludf.DUMMYFUNCTION("""COMPUTED_VALUE"""),"vàng")</f>
        <v>vàng</v>
      </c>
    </row>
    <row r="5252" ht="15.75" customHeight="1">
      <c r="A5252" s="122" t="str">
        <f>IFERROR(__xludf.DUMMYFUNCTION("""COMPUTED_VALUE"""),"0909 594 643")</f>
        <v>0909 594 643</v>
      </c>
      <c r="B5252" s="119" t="str">
        <f>IFERROR(__xludf.DUMMYFUNCTION("""COMPUTED_VALUE"""),"Nhã Uyên")</f>
        <v>Nhã Uyên</v>
      </c>
      <c r="C5252" s="119" t="str">
        <f>IFERROR(__xludf.DUMMYFUNCTION("""COMPUTED_VALUE"""),"2 Phạm Thị Liên")</f>
        <v>2 Phạm Thị Liên</v>
      </c>
      <c r="D5252" s="119" t="str">
        <f>IFERROR(__xludf.DUMMYFUNCTION("""COMPUTED_VALUE"""),"Mèo")</f>
        <v>Mèo</v>
      </c>
      <c r="E5252" s="119"/>
    </row>
    <row r="5253" ht="15.75" customHeight="1">
      <c r="A5253" s="122" t="str">
        <f>IFERROR(__xludf.DUMMYFUNCTION("""COMPUTED_VALUE"""),"0355 115 231")</f>
        <v>0355 115 231</v>
      </c>
      <c r="B5253" s="119" t="str">
        <f>IFERROR(__xludf.DUMMYFUNCTION("""COMPUTED_VALUE"""),"Anh Bình")</f>
        <v>Anh Bình</v>
      </c>
      <c r="C5253" s="119" t="str">
        <f>IFERROR(__xludf.DUMMYFUNCTION("""COMPUTED_VALUE"""),"Hương Hồ Hương Trà")</f>
        <v>Hương Hồ Hương Trà</v>
      </c>
      <c r="D5253" s="119" t="str">
        <f>IFERROR(__xludf.DUMMYFUNCTION("""COMPUTED_VALUE"""),"Chó")</f>
        <v>Chó</v>
      </c>
      <c r="E5253" s="119" t="str">
        <f>IFERROR(__xludf.DUMMYFUNCTION("""COMPUTED_VALUE"""),"Bốp")</f>
        <v>Bốp</v>
      </c>
    </row>
    <row r="5254" ht="15.75" customHeight="1">
      <c r="A5254" s="122" t="str">
        <f>IFERROR(__xludf.DUMMYFUNCTION("""COMPUTED_VALUE"""),"0787 733 550")</f>
        <v>0787 733 550</v>
      </c>
      <c r="B5254" s="119" t="str">
        <f>IFERROR(__xludf.DUMMYFUNCTION("""COMPUTED_VALUE"""),"Anh Pha")</f>
        <v>Anh Pha</v>
      </c>
      <c r="C5254" s="119" t="str">
        <f>IFERROR(__xludf.DUMMYFUNCTION("""COMPUTED_VALUE"""),"1/80 Nguyễn hoàng")</f>
        <v>1/80 Nguyễn hoàng</v>
      </c>
      <c r="D5254" s="119" t="str">
        <f>IFERROR(__xludf.DUMMYFUNCTION("""COMPUTED_VALUE"""),"Chó")</f>
        <v>Chó</v>
      </c>
      <c r="E5254" s="119" t="str">
        <f>IFERROR(__xludf.DUMMYFUNCTION("""COMPUTED_VALUE"""),"lucky")</f>
        <v>lucky</v>
      </c>
    </row>
    <row r="5255" ht="15.75" customHeight="1">
      <c r="A5255" s="122" t="str">
        <f>IFERROR(__xludf.DUMMYFUNCTION("""COMPUTED_VALUE"""),"0866 173 429")</f>
        <v>0866 173 429</v>
      </c>
      <c r="B5255" s="119" t="str">
        <f>IFERROR(__xludf.DUMMYFUNCTION("""COMPUTED_VALUE"""),"Em Hà")</f>
        <v>Em Hà</v>
      </c>
      <c r="C5255" s="119" t="str">
        <f>IFERROR(__xludf.DUMMYFUNCTION("""COMPUTED_VALUE"""),"140/1 Hoàng Quốc Việt")</f>
        <v>140/1 Hoàng Quốc Việt</v>
      </c>
      <c r="D5255" s="119" t="str">
        <f>IFERROR(__xludf.DUMMYFUNCTION("""COMPUTED_VALUE"""),"Mèo")</f>
        <v>Mèo</v>
      </c>
      <c r="E5255" s="119" t="str">
        <f>IFERROR(__xludf.DUMMYFUNCTION("""COMPUTED_VALUE"""),"tiêu")</f>
        <v>tiêu</v>
      </c>
    </row>
    <row r="5256" ht="15.75" customHeight="1">
      <c r="A5256" s="122" t="str">
        <f>IFERROR(__xludf.DUMMYFUNCTION("""COMPUTED_VALUE"""),"0986 691 151")</f>
        <v>0986 691 151</v>
      </c>
      <c r="B5256" s="119" t="str">
        <f>IFERROR(__xludf.DUMMYFUNCTION("""COMPUTED_VALUE"""),"Cô Kim Cườm")</f>
        <v>Cô Kim Cườm</v>
      </c>
      <c r="C5256" s="119" t="str">
        <f>IFERROR(__xludf.DUMMYFUNCTION("""COMPUTED_VALUE"""),"65 Phạm Thị Liên")</f>
        <v>65 Phạm Thị Liên</v>
      </c>
      <c r="D5256" s="119" t="str">
        <f>IFERROR(__xludf.DUMMYFUNCTION("""COMPUTED_VALUE"""),"Chó")</f>
        <v>Chó</v>
      </c>
      <c r="E5256" s="119" t="str">
        <f>IFERROR(__xludf.DUMMYFUNCTION("""COMPUTED_VALUE"""),"momo")</f>
        <v>momo</v>
      </c>
    </row>
    <row r="5257" ht="15.75" customHeight="1">
      <c r="A5257" s="122" t="str">
        <f>IFERROR(__xludf.DUMMYFUNCTION("""COMPUTED_VALUE"""),"0914 546 128")</f>
        <v>0914 546 128</v>
      </c>
      <c r="B5257" s="119" t="str">
        <f>IFERROR(__xludf.DUMMYFUNCTION("""COMPUTED_VALUE"""),"chị trang")</f>
        <v>chị trang</v>
      </c>
      <c r="C5257" s="119" t="str">
        <f>IFERROR(__xludf.DUMMYFUNCTION("""COMPUTED_VALUE"""),"2 Văn Cao")</f>
        <v>2 Văn Cao</v>
      </c>
      <c r="D5257" s="119" t="str">
        <f>IFERROR(__xludf.DUMMYFUNCTION("""COMPUTED_VALUE"""),"Chó")</f>
        <v>Chó</v>
      </c>
      <c r="E5257" s="119" t="str">
        <f>IFERROR(__xludf.DUMMYFUNCTION("""COMPUTED_VALUE"""),"Bin")</f>
        <v>Bin</v>
      </c>
    </row>
    <row r="5258" ht="15.75" customHeight="1">
      <c r="A5258" s="122" t="str">
        <f>IFERROR(__xludf.DUMMYFUNCTION("""COMPUTED_VALUE"""),"0793 664 455")</f>
        <v>0793 664 455</v>
      </c>
      <c r="B5258" s="119" t="str">
        <f>IFERROR(__xludf.DUMMYFUNCTION("""COMPUTED_VALUE"""),"Anh Kỳ")</f>
        <v>Anh Kỳ</v>
      </c>
      <c r="C5258" s="119" t="str">
        <f>IFERROR(__xludf.DUMMYFUNCTION("""COMPUTED_VALUE"""),"7 Nguyễn Phúc Chu")</f>
        <v>7 Nguyễn Phúc Chu</v>
      </c>
      <c r="D5258" s="119" t="str">
        <f>IFERROR(__xludf.DUMMYFUNCTION("""COMPUTED_VALUE"""),"Chó")</f>
        <v>Chó</v>
      </c>
      <c r="E5258" s="119" t="str">
        <f>IFERROR(__xludf.DUMMYFUNCTION("""COMPUTED_VALUE"""),"Su")</f>
        <v>Su</v>
      </c>
    </row>
    <row r="5259" ht="15.75" customHeight="1">
      <c r="A5259" s="122" t="str">
        <f>IFERROR(__xludf.DUMMYFUNCTION("""COMPUTED_VALUE"""),"0935 414 413")</f>
        <v>0935 414 413</v>
      </c>
      <c r="B5259" s="119" t="str">
        <f>IFERROR(__xludf.DUMMYFUNCTION("""COMPUTED_VALUE"""),"Anh Vũ")</f>
        <v>Anh Vũ</v>
      </c>
      <c r="C5259" s="119" t="str">
        <f>IFERROR(__xludf.DUMMYFUNCTION("""COMPUTED_VALUE"""),"11/10 Nhật Lệ")</f>
        <v>11/10 Nhật Lệ</v>
      </c>
      <c r="D5259" s="119" t="str">
        <f>IFERROR(__xludf.DUMMYFUNCTION("""COMPUTED_VALUE"""),"Chó")</f>
        <v>Chó</v>
      </c>
      <c r="E5259" s="119" t="str">
        <f>IFERROR(__xludf.DUMMYFUNCTION("""COMPUTED_VALUE"""),"Rosi")</f>
        <v>Rosi</v>
      </c>
    </row>
    <row r="5260" ht="15.75" customHeight="1">
      <c r="A5260" s="122" t="str">
        <f>IFERROR(__xludf.DUMMYFUNCTION("""COMPUTED_VALUE"""),"0708 042 900")</f>
        <v>0708 042 900</v>
      </c>
      <c r="B5260" s="119" t="str">
        <f>IFERROR(__xludf.DUMMYFUNCTION("""COMPUTED_VALUE"""),"Chị Nhi")</f>
        <v>Chị Nhi</v>
      </c>
      <c r="C5260" s="119" t="str">
        <f>IFERROR(__xludf.DUMMYFUNCTION("""COMPUTED_VALUE"""),"1/3 Nguyễn Phúc Lan")</f>
        <v>1/3 Nguyễn Phúc Lan</v>
      </c>
      <c r="D5260" s="119" t="str">
        <f>IFERROR(__xludf.DUMMYFUNCTION("""COMPUTED_VALUE"""),"Chó")</f>
        <v>Chó</v>
      </c>
      <c r="E5260" s="119" t="str">
        <f>IFERROR(__xludf.DUMMYFUNCTION("""COMPUTED_VALUE"""),"Su")</f>
        <v>Su</v>
      </c>
    </row>
    <row r="5261" ht="15.75" customHeight="1">
      <c r="A5261" s="122" t="str">
        <f>IFERROR(__xludf.DUMMYFUNCTION("""COMPUTED_VALUE"""),"0868 678 697")</f>
        <v>0868 678 697</v>
      </c>
      <c r="B5261" s="119" t="str">
        <f>IFERROR(__xludf.DUMMYFUNCTION("""COMPUTED_VALUE"""),"Anh Long")</f>
        <v>Anh Long</v>
      </c>
      <c r="C5261" s="119" t="str">
        <f>IFERROR(__xludf.DUMMYFUNCTION("""COMPUTED_VALUE"""),"Phong Điền")</f>
        <v>Phong Điền</v>
      </c>
      <c r="D5261" s="119" t="str">
        <f>IFERROR(__xludf.DUMMYFUNCTION("""COMPUTED_VALUE"""),"Chó")</f>
        <v>Chó</v>
      </c>
      <c r="E5261" s="119"/>
    </row>
    <row r="5262" ht="15.75" customHeight="1">
      <c r="A5262" s="122" t="str">
        <f>IFERROR(__xludf.DUMMYFUNCTION("""COMPUTED_VALUE"""),"0704 443 195")</f>
        <v>0704 443 195</v>
      </c>
      <c r="B5262" s="119" t="str">
        <f>IFERROR(__xludf.DUMMYFUNCTION("""COMPUTED_VALUE"""),"Anh Hưng")</f>
        <v>Anh Hưng</v>
      </c>
      <c r="C5262" s="119"/>
      <c r="D5262" s="119" t="str">
        <f>IFERROR(__xludf.DUMMYFUNCTION("""COMPUTED_VALUE"""),"Mèo")</f>
        <v>Mèo</v>
      </c>
      <c r="E5262" s="119" t="str">
        <f>IFERROR(__xludf.DUMMYFUNCTION("""COMPUTED_VALUE"""),"Suri")</f>
        <v>Suri</v>
      </c>
    </row>
    <row r="5263" ht="15.75" customHeight="1">
      <c r="A5263" s="122" t="str">
        <f>IFERROR(__xludf.DUMMYFUNCTION("""COMPUTED_VALUE"""),"0397 922 018")</f>
        <v>0397 922 018</v>
      </c>
      <c r="B5263" s="119" t="str">
        <f>IFERROR(__xludf.DUMMYFUNCTION("""COMPUTED_VALUE"""),"Chị Thanh")</f>
        <v>Chị Thanh</v>
      </c>
      <c r="C5263" s="119" t="str">
        <f>IFERROR(__xludf.DUMMYFUNCTION("""COMPUTED_VALUE"""),"24/6 Phạm Thị Liên")</f>
        <v>24/6 Phạm Thị Liên</v>
      </c>
      <c r="D5263" s="119" t="str">
        <f>IFERROR(__xludf.DUMMYFUNCTION("""COMPUTED_VALUE"""),"Mèo")</f>
        <v>Mèo</v>
      </c>
      <c r="E5263" s="119" t="str">
        <f>IFERROR(__xludf.DUMMYFUNCTION("""COMPUTED_VALUE"""),"Oreo")</f>
        <v>Oreo</v>
      </c>
    </row>
    <row r="5264" ht="15.75" customHeight="1">
      <c r="A5264" s="122" t="str">
        <f>IFERROR(__xludf.DUMMYFUNCTION("""COMPUTED_VALUE"""),"0935 051 618")</f>
        <v>0935 051 618</v>
      </c>
      <c r="B5264" s="119" t="str">
        <f>IFERROR(__xludf.DUMMYFUNCTION("""COMPUTED_VALUE"""),"Em Dương")</f>
        <v>Em Dương</v>
      </c>
      <c r="C5264" s="119" t="str">
        <f>IFERROR(__xludf.DUMMYFUNCTION("""COMPUTED_VALUE"""),"16/3 Vạn Xuân")</f>
        <v>16/3 Vạn Xuân</v>
      </c>
      <c r="D5264" s="119" t="str">
        <f>IFERROR(__xludf.DUMMYFUNCTION("""COMPUTED_VALUE"""),"chó")</f>
        <v>chó</v>
      </c>
      <c r="E5264" s="119" t="str">
        <f>IFERROR(__xludf.DUMMYFUNCTION("""COMPUTED_VALUE"""),"Bun")</f>
        <v>Bun</v>
      </c>
    </row>
    <row r="5265" ht="15.75" customHeight="1">
      <c r="A5265" s="122" t="str">
        <f>IFERROR(__xludf.DUMMYFUNCTION("""COMPUTED_VALUE"""),"0989 872 172")</f>
        <v>0989 872 172</v>
      </c>
      <c r="B5265" s="119" t="str">
        <f>IFERROR(__xludf.DUMMYFUNCTION("""COMPUTED_VALUE"""),"Chị yến")</f>
        <v>Chị yến</v>
      </c>
      <c r="C5265" s="119" t="str">
        <f>IFERROR(__xludf.DUMMYFUNCTION("""COMPUTED_VALUE"""),"43 Trần Thúc Nhẫn")</f>
        <v>43 Trần Thúc Nhẫn</v>
      </c>
      <c r="D5265" s="119" t="str">
        <f>IFERROR(__xludf.DUMMYFUNCTION("""COMPUTED_VALUE"""),"Chó")</f>
        <v>Chó</v>
      </c>
      <c r="E5265" s="119" t="str">
        <f>IFERROR(__xludf.DUMMYFUNCTION("""COMPUTED_VALUE"""),"Liu")</f>
        <v>Liu</v>
      </c>
    </row>
    <row r="5266" ht="15.75" customHeight="1">
      <c r="A5266" s="122" t="str">
        <f>IFERROR(__xludf.DUMMYFUNCTION("""COMPUTED_VALUE"""),"0918 382 214")</f>
        <v>0918 382 214</v>
      </c>
      <c r="B5266" s="119" t="str">
        <f>IFERROR(__xludf.DUMMYFUNCTION("""COMPUTED_VALUE"""),"Chị Tú Linh")</f>
        <v>Chị Tú Linh</v>
      </c>
      <c r="C5266" s="119" t="str">
        <f>IFERROR(__xludf.DUMMYFUNCTION("""COMPUTED_VALUE"""),"58 Phùng Hưng")</f>
        <v>58 Phùng Hưng</v>
      </c>
      <c r="D5266" s="119" t="str">
        <f>IFERROR(__xludf.DUMMYFUNCTION("""COMPUTED_VALUE"""),"Mèo")</f>
        <v>Mèo</v>
      </c>
      <c r="E5266" s="119" t="str">
        <f>IFERROR(__xludf.DUMMYFUNCTION("""COMPUTED_VALUE"""),"Simba")</f>
        <v>Simba</v>
      </c>
    </row>
    <row r="5267" ht="15.75" customHeight="1">
      <c r="A5267" s="122" t="str">
        <f>IFERROR(__xludf.DUMMYFUNCTION("""COMPUTED_VALUE"""),"0901 128 808")</f>
        <v>0901 128 808</v>
      </c>
      <c r="B5267" s="119" t="str">
        <f>IFERROR(__xludf.DUMMYFUNCTION("""COMPUTED_VALUE"""),"Chị tiên")</f>
        <v>Chị tiên</v>
      </c>
      <c r="C5267" s="119" t="str">
        <f>IFERROR(__xludf.DUMMYFUNCTION("""COMPUTED_VALUE"""),"210 Lý Nam Đế")</f>
        <v>210 Lý Nam Đế</v>
      </c>
      <c r="D5267" s="119" t="str">
        <f>IFERROR(__xludf.DUMMYFUNCTION("""COMPUTED_VALUE"""),"Chó")</f>
        <v>Chó</v>
      </c>
      <c r="E5267" s="119" t="str">
        <f>IFERROR(__xludf.DUMMYFUNCTION("""COMPUTED_VALUE"""),"Vid")</f>
        <v>Vid</v>
      </c>
    </row>
    <row r="5268" ht="15.75" customHeight="1">
      <c r="A5268" s="122" t="str">
        <f>IFERROR(__xludf.DUMMYFUNCTION("""COMPUTED_VALUE"""),"0833 965 443")</f>
        <v>0833 965 443</v>
      </c>
      <c r="B5268" s="119" t="str">
        <f>IFERROR(__xludf.DUMMYFUNCTION("""COMPUTED_VALUE"""),"Chị Tiên")</f>
        <v>Chị Tiên</v>
      </c>
      <c r="C5268" s="119" t="str">
        <f>IFERROR(__xludf.DUMMYFUNCTION("""COMPUTED_VALUE"""),"13/15 Nguyễn Hữu Dật")</f>
        <v>13/15 Nguyễn Hữu Dật</v>
      </c>
      <c r="D5268" s="119" t="str">
        <f>IFERROR(__xludf.DUMMYFUNCTION("""COMPUTED_VALUE"""),"Chó")</f>
        <v>Chó</v>
      </c>
      <c r="E5268" s="119" t="str">
        <f>IFERROR(__xludf.DUMMYFUNCTION("""COMPUTED_VALUE"""),"Coca")</f>
        <v>Coca</v>
      </c>
    </row>
    <row r="5269" ht="15.75" customHeight="1">
      <c r="A5269" s="122" t="str">
        <f>IFERROR(__xludf.DUMMYFUNCTION("""COMPUTED_VALUE"""),"0376 003 241")</f>
        <v>0376 003 241</v>
      </c>
      <c r="B5269" s="119" t="str">
        <f>IFERROR(__xludf.DUMMYFUNCTION("""COMPUTED_VALUE"""),"Em Duyên")</f>
        <v>Em Duyên</v>
      </c>
      <c r="C5269" s="119" t="str">
        <f>IFERROR(__xludf.DUMMYFUNCTION("""COMPUTED_VALUE"""),"7/132 Nguyễn Hữu Dật")</f>
        <v>7/132 Nguyễn Hữu Dật</v>
      </c>
      <c r="D5269" s="119" t="str">
        <f>IFERROR(__xludf.DUMMYFUNCTION("""COMPUTED_VALUE"""),"Chó")</f>
        <v>Chó</v>
      </c>
      <c r="E5269" s="119" t="str">
        <f>IFERROR(__xludf.DUMMYFUNCTION("""COMPUTED_VALUE"""),"Vàng")</f>
        <v>Vàng</v>
      </c>
    </row>
    <row r="5270" ht="15.75" customHeight="1">
      <c r="A5270" s="122" t="str">
        <f>IFERROR(__xludf.DUMMYFUNCTION("""COMPUTED_VALUE"""),"0913 453 919")</f>
        <v>0913 453 919</v>
      </c>
      <c r="B5270" s="119" t="str">
        <f>IFERROR(__xludf.DUMMYFUNCTION("""COMPUTED_VALUE"""),"Dì Hạnh/Chị Nguyên")</f>
        <v>Dì Hạnh/Chị Nguyên</v>
      </c>
      <c r="C5270" s="119" t="str">
        <f>IFERROR(__xludf.DUMMYFUNCTION("""COMPUTED_VALUE"""),"2/118B Tôn Thất Thiệp")</f>
        <v>2/118B Tôn Thất Thiệp</v>
      </c>
      <c r="D5270" s="119" t="str">
        <f>IFERROR(__xludf.DUMMYFUNCTION("""COMPUTED_VALUE"""),"Chó")</f>
        <v>Chó</v>
      </c>
      <c r="E5270" s="119" t="str">
        <f>IFERROR(__xludf.DUMMYFUNCTION("""COMPUTED_VALUE"""),"Ky")</f>
        <v>Ky</v>
      </c>
    </row>
    <row r="5271" ht="15.75" customHeight="1">
      <c r="A5271" s="122" t="str">
        <f>IFERROR(__xludf.DUMMYFUNCTION("""COMPUTED_VALUE"""),"0914 488 868")</f>
        <v>0914 488 868</v>
      </c>
      <c r="B5271" s="119" t="str">
        <f>IFERROR(__xludf.DUMMYFUNCTION("""COMPUTED_VALUE"""),"Anh Bảo Thọ")</f>
        <v>Anh Bảo Thọ</v>
      </c>
      <c r="C5271" s="119" t="str">
        <f>IFERROR(__xludf.DUMMYFUNCTION("""COMPUTED_VALUE"""),"42 Mạc Đỉnh Chi")</f>
        <v>42 Mạc Đỉnh Chi</v>
      </c>
      <c r="D5271" s="119" t="str">
        <f>IFERROR(__xludf.DUMMYFUNCTION("""COMPUTED_VALUE"""),"Chó")</f>
        <v>Chó</v>
      </c>
      <c r="E5271" s="119" t="str">
        <f>IFERROR(__xludf.DUMMYFUNCTION("""COMPUTED_VALUE"""),"Lucky")</f>
        <v>Lucky</v>
      </c>
    </row>
    <row r="5272" ht="15.75" customHeight="1">
      <c r="A5272" s="122" t="str">
        <f>IFERROR(__xludf.DUMMYFUNCTION("""COMPUTED_VALUE"""),"0935 125 251")</f>
        <v>0935 125 251</v>
      </c>
      <c r="B5272" s="119" t="str">
        <f>IFERROR(__xludf.DUMMYFUNCTION("""COMPUTED_VALUE"""),"Anh Quang")</f>
        <v>Anh Quang</v>
      </c>
      <c r="C5272" s="119" t="str">
        <f>IFERROR(__xludf.DUMMYFUNCTION("""COMPUTED_VALUE"""),"Kiệt 12 Duy Tân")</f>
        <v>Kiệt 12 Duy Tân</v>
      </c>
      <c r="D5272" s="119" t="str">
        <f>IFERROR(__xludf.DUMMYFUNCTION("""COMPUTED_VALUE"""),"chó")</f>
        <v>chó</v>
      </c>
      <c r="E5272" s="119" t="str">
        <f>IFERROR(__xludf.DUMMYFUNCTION("""COMPUTED_VALUE"""),"Bo")</f>
        <v>Bo</v>
      </c>
    </row>
    <row r="5273" ht="15.75" customHeight="1">
      <c r="A5273" s="122" t="str">
        <f>IFERROR(__xludf.DUMMYFUNCTION("""COMPUTED_VALUE"""),"0799 322 969")</f>
        <v>0799 322 969</v>
      </c>
      <c r="B5273" s="119" t="str">
        <f>IFERROR(__xludf.DUMMYFUNCTION("""COMPUTED_VALUE"""),"Chị Giang")</f>
        <v>Chị Giang</v>
      </c>
      <c r="C5273" s="119" t="str">
        <f>IFERROR(__xludf.DUMMYFUNCTION("""COMPUTED_VALUE"""),"3 Nguyễn Phúc Tần")</f>
        <v>3 Nguyễn Phúc Tần</v>
      </c>
      <c r="D5273" s="119" t="str">
        <f>IFERROR(__xludf.DUMMYFUNCTION("""COMPUTED_VALUE"""),"Mèo")</f>
        <v>Mèo</v>
      </c>
      <c r="E5273" s="119"/>
    </row>
    <row r="5274" ht="15.75" customHeight="1">
      <c r="A5274" s="122" t="str">
        <f>IFERROR(__xludf.DUMMYFUNCTION("""COMPUTED_VALUE"""),"0935 936 113")</f>
        <v>0935 936 113</v>
      </c>
      <c r="B5274" s="119" t="str">
        <f>IFERROR(__xludf.DUMMYFUNCTION("""COMPUTED_VALUE"""),"Chị Linh")</f>
        <v>Chị Linh</v>
      </c>
      <c r="C5274" s="119" t="str">
        <f>IFERROR(__xludf.DUMMYFUNCTION("""COMPUTED_VALUE"""),"16/8/2 Nguyễn Hữu Dật")</f>
        <v>16/8/2 Nguyễn Hữu Dật</v>
      </c>
      <c r="D5274" s="119" t="str">
        <f>IFERROR(__xludf.DUMMYFUNCTION("""COMPUTED_VALUE"""),"Chó")</f>
        <v>Chó</v>
      </c>
      <c r="E5274" s="119" t="str">
        <f>IFERROR(__xludf.DUMMYFUNCTION("""COMPUTED_VALUE"""),"Bơ")</f>
        <v>Bơ</v>
      </c>
    </row>
    <row r="5275" ht="15.75" customHeight="1">
      <c r="A5275" s="122" t="str">
        <f>IFERROR(__xludf.DUMMYFUNCTION("""COMPUTED_VALUE"""),"0392 414 511")</f>
        <v>0392 414 511</v>
      </c>
      <c r="B5275" s="119" t="str">
        <f>IFERROR(__xludf.DUMMYFUNCTION("""COMPUTED_VALUE"""),"Phan Như Phú")</f>
        <v>Phan Như Phú</v>
      </c>
      <c r="C5275" s="119" t="str">
        <f>IFERROR(__xludf.DUMMYFUNCTION("""COMPUTED_VALUE"""),"k57 Vạn Xuân")</f>
        <v>k57 Vạn Xuân</v>
      </c>
      <c r="D5275" s="119" t="str">
        <f>IFERROR(__xludf.DUMMYFUNCTION("""COMPUTED_VALUE"""),"Chó")</f>
        <v>Chó</v>
      </c>
      <c r="E5275" s="119" t="str">
        <f>IFERROR(__xludf.DUMMYFUNCTION("""COMPUTED_VALUE"""),"Su")</f>
        <v>Su</v>
      </c>
    </row>
    <row r="5276" ht="15.75" customHeight="1">
      <c r="A5276" s="122" t="str">
        <f>IFERROR(__xludf.DUMMYFUNCTION("""COMPUTED_VALUE"""),"0763 527 969")</f>
        <v>0763 527 969</v>
      </c>
      <c r="B5276" s="119" t="str">
        <f>IFERROR(__xludf.DUMMYFUNCTION("""COMPUTED_VALUE"""),"Em Công Thiện")</f>
        <v>Em Công Thiện</v>
      </c>
      <c r="C5276" s="119" t="str">
        <f>IFERROR(__xludf.DUMMYFUNCTION("""COMPUTED_VALUE"""),"150/2 Kim Long")</f>
        <v>150/2 Kim Long</v>
      </c>
      <c r="D5276" s="119" t="str">
        <f>IFERROR(__xludf.DUMMYFUNCTION("""COMPUTED_VALUE"""),"Chó")</f>
        <v>Chó</v>
      </c>
      <c r="E5276" s="119" t="str">
        <f>IFERROR(__xludf.DUMMYFUNCTION("""COMPUTED_VALUE"""),"Vid")</f>
        <v>Vid</v>
      </c>
    </row>
    <row r="5277" ht="15.75" customHeight="1">
      <c r="A5277" s="122" t="str">
        <f>IFERROR(__xludf.DUMMYFUNCTION("""COMPUTED_VALUE"""),"0368 941 367")</f>
        <v>0368 941 367</v>
      </c>
      <c r="B5277" s="119" t="str">
        <f>IFERROR(__xludf.DUMMYFUNCTION("""COMPUTED_VALUE"""),"Anh Trung")</f>
        <v>Anh Trung</v>
      </c>
      <c r="C5277" s="119" t="str">
        <f>IFERROR(__xludf.DUMMYFUNCTION("""COMPUTED_VALUE"""),"234 Văn Thánh")</f>
        <v>234 Văn Thánh</v>
      </c>
      <c r="D5277" s="119" t="str">
        <f>IFERROR(__xludf.DUMMYFUNCTION("""COMPUTED_VALUE"""),"Chó")</f>
        <v>Chó</v>
      </c>
      <c r="E5277" s="119" t="str">
        <f>IFERROR(__xludf.DUMMYFUNCTION("""COMPUTED_VALUE"""),"Pig")</f>
        <v>Pig</v>
      </c>
    </row>
    <row r="5278" ht="15.75" customHeight="1">
      <c r="A5278" s="122" t="str">
        <f>IFERROR(__xludf.DUMMYFUNCTION("""COMPUTED_VALUE"""),"0333 747 899")</f>
        <v>0333 747 899</v>
      </c>
      <c r="B5278" s="119" t="str">
        <f>IFERROR(__xludf.DUMMYFUNCTION("""COMPUTED_VALUE"""),"Chị Thảo")</f>
        <v>Chị Thảo</v>
      </c>
      <c r="C5278" s="119" t="str">
        <f>IFERROR(__xludf.DUMMYFUNCTION("""COMPUTED_VALUE"""),"157 Điện Biên Phủ")</f>
        <v>157 Điện Biên Phủ</v>
      </c>
      <c r="D5278" s="119" t="str">
        <f>IFERROR(__xludf.DUMMYFUNCTION("""COMPUTED_VALUE"""),"Mèo")</f>
        <v>Mèo</v>
      </c>
      <c r="E5278" s="119" t="str">
        <f>IFERROR(__xludf.DUMMYFUNCTION("""COMPUTED_VALUE"""),"Lem")</f>
        <v>Lem</v>
      </c>
    </row>
    <row r="5279" ht="15.75" customHeight="1">
      <c r="A5279" s="122" t="str">
        <f>IFERROR(__xludf.DUMMYFUNCTION("""COMPUTED_VALUE"""),"0358 255 810")</f>
        <v>0358 255 810</v>
      </c>
      <c r="B5279" s="119" t="str">
        <f>IFERROR(__xludf.DUMMYFUNCTION("""COMPUTED_VALUE"""),"Chị Hương")</f>
        <v>Chị Hương</v>
      </c>
      <c r="C5279" s="119" t="str">
        <f>IFERROR(__xludf.DUMMYFUNCTION("""COMPUTED_VALUE"""),"3 Tản Đà")</f>
        <v>3 Tản Đà</v>
      </c>
      <c r="D5279" s="119" t="str">
        <f>IFERROR(__xludf.DUMMYFUNCTION("""COMPUTED_VALUE"""),"Chó")</f>
        <v>Chó</v>
      </c>
      <c r="E5279" s="119" t="str">
        <f>IFERROR(__xludf.DUMMYFUNCTION("""COMPUTED_VALUE"""),"Dola")</f>
        <v>Dola</v>
      </c>
    </row>
    <row r="5280" ht="15.75" customHeight="1">
      <c r="A5280" s="122" t="str">
        <f>IFERROR(__xludf.DUMMYFUNCTION("""COMPUTED_VALUE"""),"0914 080 147")</f>
        <v>0914 080 147</v>
      </c>
      <c r="B5280" s="119" t="str">
        <f>IFERROR(__xludf.DUMMYFUNCTION("""COMPUTED_VALUE"""),"Em Nhật Minh")</f>
        <v>Em Nhật Minh</v>
      </c>
      <c r="C5280" s="119" t="str">
        <f>IFERROR(__xludf.DUMMYFUNCTION("""COMPUTED_VALUE"""),"1/65 Nguyễn Hứu Dật")</f>
        <v>1/65 Nguyễn Hứu Dật</v>
      </c>
      <c r="D5280" s="119" t="str">
        <f>IFERROR(__xludf.DUMMYFUNCTION("""COMPUTED_VALUE"""),"Chó")</f>
        <v>Chó</v>
      </c>
      <c r="E5280" s="119" t="str">
        <f>IFERROR(__xludf.DUMMYFUNCTION("""COMPUTED_VALUE"""),"Mía")</f>
        <v>Mía</v>
      </c>
    </row>
    <row r="5281" ht="15.75" customHeight="1">
      <c r="A5281" s="122" t="str">
        <f>IFERROR(__xludf.DUMMYFUNCTION("""COMPUTED_VALUE"""),"0816 250 201")</f>
        <v>0816 250 201</v>
      </c>
      <c r="B5281" s="119" t="str">
        <f>IFERROR(__xludf.DUMMYFUNCTION("""COMPUTED_VALUE"""),"Dì Thu")</f>
        <v>Dì Thu</v>
      </c>
      <c r="C5281" s="119" t="str">
        <f>IFERROR(__xludf.DUMMYFUNCTION("""COMPUTED_VALUE"""),"Hương Hồ")</f>
        <v>Hương Hồ</v>
      </c>
      <c r="D5281" s="119" t="str">
        <f>IFERROR(__xludf.DUMMYFUNCTION("""COMPUTED_VALUE"""),"Chó")</f>
        <v>Chó</v>
      </c>
      <c r="E5281" s="119"/>
    </row>
    <row r="5282" ht="15.75" customHeight="1">
      <c r="A5282" s="122" t="str">
        <f>IFERROR(__xludf.DUMMYFUNCTION("""COMPUTED_VALUE"""),"0395 840 357")</f>
        <v>0395 840 357</v>
      </c>
      <c r="B5282" s="119" t="str">
        <f>IFERROR(__xludf.DUMMYFUNCTION("""COMPUTED_VALUE"""),"Chị Vân Anh")</f>
        <v>Chị Vân Anh</v>
      </c>
      <c r="C5282" s="119" t="str">
        <f>IFERROR(__xludf.DUMMYFUNCTION("""COMPUTED_VALUE"""),"63/46 Phạm Thị Liên")</f>
        <v>63/46 Phạm Thị Liên</v>
      </c>
      <c r="D5282" s="119" t="str">
        <f>IFERROR(__xludf.DUMMYFUNCTION("""COMPUTED_VALUE"""),"Mèo")</f>
        <v>Mèo</v>
      </c>
      <c r="E5282" s="119"/>
    </row>
    <row r="5283" ht="15.75" customHeight="1">
      <c r="A5283" s="122" t="str">
        <f>IFERROR(__xludf.DUMMYFUNCTION("""COMPUTED_VALUE"""),"0977 302 321")</f>
        <v>0977 302 321</v>
      </c>
      <c r="B5283" s="119" t="str">
        <f>IFERROR(__xludf.DUMMYFUNCTION("""COMPUTED_VALUE"""),"Anh Nguyên Thế")</f>
        <v>Anh Nguyên Thế</v>
      </c>
      <c r="C5283" s="119" t="str">
        <f>IFERROR(__xludf.DUMMYFUNCTION("""COMPUTED_VALUE"""),"Phú Lộc")</f>
        <v>Phú Lộc</v>
      </c>
      <c r="D5283" s="119" t="str">
        <f>IFERROR(__xludf.DUMMYFUNCTION("""COMPUTED_VALUE"""),"Chó")</f>
        <v>Chó</v>
      </c>
      <c r="E5283" s="119" t="str">
        <f>IFERROR(__xludf.DUMMYFUNCTION("""COMPUTED_VALUE"""),"Súp Lơ")</f>
        <v>Súp Lơ</v>
      </c>
    </row>
    <row r="5284" ht="15.75" customHeight="1">
      <c r="A5284" s="122" t="str">
        <f>IFERROR(__xludf.DUMMYFUNCTION("""COMPUTED_VALUE"""),"0794 551 988")</f>
        <v>0794 551 988</v>
      </c>
      <c r="B5284" s="119" t="str">
        <f>IFERROR(__xludf.DUMMYFUNCTION("""COMPUTED_VALUE"""),"Chị Ngọc")</f>
        <v>Chị Ngọc</v>
      </c>
      <c r="C5284" s="119" t="str">
        <f>IFERROR(__xludf.DUMMYFUNCTION("""COMPUTED_VALUE"""),"Lê Quang Quyền")</f>
        <v>Lê Quang Quyền</v>
      </c>
      <c r="D5284" s="119" t="str">
        <f>IFERROR(__xludf.DUMMYFUNCTION("""COMPUTED_VALUE"""),"Chó")</f>
        <v>Chó</v>
      </c>
      <c r="E5284" s="119" t="str">
        <f>IFERROR(__xludf.DUMMYFUNCTION("""COMPUTED_VALUE"""),"Bát Giới")</f>
        <v>Bát Giới</v>
      </c>
    </row>
    <row r="5285" ht="15.75" customHeight="1">
      <c r="A5285" s="122" t="str">
        <f>IFERROR(__xludf.DUMMYFUNCTION("""COMPUTED_VALUE"""),"0328 611 917")</f>
        <v>0328 611 917</v>
      </c>
      <c r="B5285" s="119" t="str">
        <f>IFERROR(__xludf.DUMMYFUNCTION("""COMPUTED_VALUE"""),"Nhật Minh")</f>
        <v>Nhật Minh</v>
      </c>
      <c r="C5285" s="119" t="str">
        <f>IFERROR(__xludf.DUMMYFUNCTION("""COMPUTED_VALUE"""),"152 kim Long")</f>
        <v>152 kim Long</v>
      </c>
      <c r="D5285" s="119" t="str">
        <f>IFERROR(__xludf.DUMMYFUNCTION("""COMPUTED_VALUE"""),"Chó")</f>
        <v>Chó</v>
      </c>
      <c r="E5285" s="119" t="str">
        <f>IFERROR(__xludf.DUMMYFUNCTION("""COMPUTED_VALUE"""),"Ve")</f>
        <v>Ve</v>
      </c>
    </row>
    <row r="5286" ht="15.75" customHeight="1">
      <c r="A5286" s="122" t="str">
        <f>IFERROR(__xludf.DUMMYFUNCTION("""COMPUTED_VALUE"""),"0903 988 383")</f>
        <v>0903 988 383</v>
      </c>
      <c r="B5286" s="119" t="str">
        <f>IFERROR(__xludf.DUMMYFUNCTION("""COMPUTED_VALUE"""),"Chị Khánh Chi")</f>
        <v>Chị Khánh Chi</v>
      </c>
      <c r="C5286" s="119" t="str">
        <f>IFERROR(__xludf.DUMMYFUNCTION("""COMPUTED_VALUE"""),"3/101 Lê Đại Hành")</f>
        <v>3/101 Lê Đại Hành</v>
      </c>
      <c r="D5286" s="119" t="str">
        <f>IFERROR(__xludf.DUMMYFUNCTION("""COMPUTED_VALUE"""),"Chó")</f>
        <v>Chó</v>
      </c>
      <c r="E5286" s="119" t="str">
        <f>IFERROR(__xludf.DUMMYFUNCTION("""COMPUTED_VALUE"""),"Bo")</f>
        <v>Bo</v>
      </c>
    </row>
    <row r="5287" ht="15.75" customHeight="1">
      <c r="A5287" s="122" t="str">
        <f>IFERROR(__xludf.DUMMYFUNCTION("""COMPUTED_VALUE"""),"0796 669 062")</f>
        <v>0796 669 062</v>
      </c>
      <c r="B5287" s="119" t="str">
        <f>IFERROR(__xludf.DUMMYFUNCTION("""COMPUTED_VALUE"""),"Nguyên Phúc")</f>
        <v>Nguyên Phúc</v>
      </c>
      <c r="C5287" s="119" t="str">
        <f>IFERROR(__xludf.DUMMYFUNCTION("""COMPUTED_VALUE"""),"23 Cao Bá Quát")</f>
        <v>23 Cao Bá Quát</v>
      </c>
      <c r="D5287" s="119" t="str">
        <f>IFERROR(__xludf.DUMMYFUNCTION("""COMPUTED_VALUE"""),"Chó")</f>
        <v>Chó</v>
      </c>
      <c r="E5287" s="119" t="str">
        <f>IFERROR(__xludf.DUMMYFUNCTION("""COMPUTED_VALUE"""),"Chu")</f>
        <v>Chu</v>
      </c>
    </row>
    <row r="5288" ht="15.75" customHeight="1">
      <c r="A5288" s="122" t="str">
        <f>IFERROR(__xludf.DUMMYFUNCTION("""COMPUTED_VALUE"""),"0935 130 047")</f>
        <v>0935 130 047</v>
      </c>
      <c r="B5288" s="119" t="str">
        <f>IFERROR(__xludf.DUMMYFUNCTION("""COMPUTED_VALUE"""),"Dì Nhung")</f>
        <v>Dì Nhung</v>
      </c>
      <c r="C5288" s="119" t="str">
        <f>IFERROR(__xludf.DUMMYFUNCTION("""COMPUTED_VALUE"""),"29 Phò Trạch")</f>
        <v>29 Phò Trạch</v>
      </c>
      <c r="D5288" s="119" t="str">
        <f>IFERROR(__xludf.DUMMYFUNCTION("""COMPUTED_VALUE"""),"Chó")</f>
        <v>Chó</v>
      </c>
      <c r="E5288" s="119" t="str">
        <f>IFERROR(__xludf.DUMMYFUNCTION("""COMPUTED_VALUE"""),"Min")</f>
        <v>Min</v>
      </c>
    </row>
    <row r="5289" ht="15.75" customHeight="1">
      <c r="A5289" s="122" t="str">
        <f>IFERROR(__xludf.DUMMYFUNCTION("""COMPUTED_VALUE"""),"0853 203 059")</f>
        <v>0853 203 059</v>
      </c>
      <c r="B5289" s="119" t="str">
        <f>IFERROR(__xludf.DUMMYFUNCTION("""COMPUTED_VALUE"""),"Chu Hiểu Đạt")</f>
        <v>Chu Hiểu Đạt</v>
      </c>
      <c r="C5289" s="119" t="str">
        <f>IFERROR(__xludf.DUMMYFUNCTION("""COMPUTED_VALUE"""),"38 Chế Lan Viên")</f>
        <v>38 Chế Lan Viên</v>
      </c>
      <c r="D5289" s="119" t="str">
        <f>IFERROR(__xludf.DUMMYFUNCTION("""COMPUTED_VALUE"""),"Chó")</f>
        <v>Chó</v>
      </c>
      <c r="E5289" s="119" t="str">
        <f>IFERROR(__xludf.DUMMYFUNCTION("""COMPUTED_VALUE"""),"Tiêu")</f>
        <v>Tiêu</v>
      </c>
    </row>
    <row r="5290" ht="15.75" customHeight="1">
      <c r="A5290" s="122" t="str">
        <f>IFERROR(__xludf.DUMMYFUNCTION("""COMPUTED_VALUE"""),"0914 202 252")</f>
        <v>0914 202 252</v>
      </c>
      <c r="B5290" s="119" t="str">
        <f>IFERROR(__xludf.DUMMYFUNCTION("""COMPUTED_VALUE"""),"Dì Thu")</f>
        <v>Dì Thu</v>
      </c>
      <c r="C5290" s="119" t="str">
        <f>IFERROR(__xludf.DUMMYFUNCTION("""COMPUTED_VALUE"""),"42 Nguyễn Huệ")</f>
        <v>42 Nguyễn Huệ</v>
      </c>
      <c r="D5290" s="119" t="str">
        <f>IFERROR(__xludf.DUMMYFUNCTION("""COMPUTED_VALUE"""),"Chó")</f>
        <v>Chó</v>
      </c>
      <c r="E5290" s="119" t="str">
        <f>IFERROR(__xludf.DUMMYFUNCTION("""COMPUTED_VALUE"""),"Lucky")</f>
        <v>Lucky</v>
      </c>
    </row>
    <row r="5291" ht="15.75" customHeight="1">
      <c r="A5291" s="122" t="str">
        <f>IFERROR(__xludf.DUMMYFUNCTION("""COMPUTED_VALUE"""),"0385 182 511")</f>
        <v>0385 182 511</v>
      </c>
      <c r="B5291" s="119" t="str">
        <f>IFERROR(__xludf.DUMMYFUNCTION("""COMPUTED_VALUE"""),"Minh Anh")</f>
        <v>Minh Anh</v>
      </c>
      <c r="C5291" s="119" t="str">
        <f>IFERROR(__xludf.DUMMYFUNCTION("""COMPUTED_VALUE"""),"6 Nguyễn Hữu Đính")</f>
        <v>6 Nguyễn Hữu Đính</v>
      </c>
      <c r="D5291" s="119" t="str">
        <f>IFERROR(__xludf.DUMMYFUNCTION("""COMPUTED_VALUE"""),"Mèo")</f>
        <v>Mèo</v>
      </c>
      <c r="E5291" s="119" t="str">
        <f>IFERROR(__xludf.DUMMYFUNCTION("""COMPUTED_VALUE"""),"Kiwi")</f>
        <v>Kiwi</v>
      </c>
    </row>
    <row r="5292" ht="15.75" customHeight="1">
      <c r="A5292" s="122" t="str">
        <f>IFERROR(__xludf.DUMMYFUNCTION("""COMPUTED_VALUE"""),"0921 212 525")</f>
        <v>0921 212 525</v>
      </c>
      <c r="B5292" s="119" t="str">
        <f>IFERROR(__xludf.DUMMYFUNCTION("""COMPUTED_VALUE"""),"Anh Hiếu")</f>
        <v>Anh Hiếu</v>
      </c>
      <c r="C5292" s="119" t="str">
        <f>IFERROR(__xludf.DUMMYFUNCTION("""COMPUTED_VALUE"""),"26/34 An Ninh")</f>
        <v>26/34 An Ninh</v>
      </c>
      <c r="D5292" s="119" t="str">
        <f>IFERROR(__xludf.DUMMYFUNCTION("""COMPUTED_VALUE"""),"Chó")</f>
        <v>Chó</v>
      </c>
      <c r="E5292" s="119" t="str">
        <f>IFERROR(__xludf.DUMMYFUNCTION("""COMPUTED_VALUE"""),"Tô")</f>
        <v>Tô</v>
      </c>
    </row>
    <row r="5293" ht="15.75" customHeight="1">
      <c r="A5293" s="122" t="str">
        <f>IFERROR(__xludf.DUMMYFUNCTION("""COMPUTED_VALUE"""),"0971 201 235")</f>
        <v>0971 201 235</v>
      </c>
      <c r="B5293" s="119" t="str">
        <f>IFERROR(__xludf.DUMMYFUNCTION("""COMPUTED_VALUE"""),"Anh Bình")</f>
        <v>Anh Bình</v>
      </c>
      <c r="C5293" s="119" t="str">
        <f>IFERROR(__xludf.DUMMYFUNCTION("""COMPUTED_VALUE"""),"49 Lý Đạo Thành")</f>
        <v>49 Lý Đạo Thành</v>
      </c>
      <c r="D5293" s="119" t="str">
        <f>IFERROR(__xludf.DUMMYFUNCTION("""COMPUTED_VALUE"""),"Chó")</f>
        <v>Chó</v>
      </c>
      <c r="E5293" s="119" t="str">
        <f>IFERROR(__xludf.DUMMYFUNCTION("""COMPUTED_VALUE"""),"Bơ")</f>
        <v>Bơ</v>
      </c>
    </row>
    <row r="5294" ht="15.75" customHeight="1">
      <c r="A5294" s="122" t="str">
        <f>IFERROR(__xludf.DUMMYFUNCTION("""COMPUTED_VALUE"""),"0703 392 455")</f>
        <v>0703 392 455</v>
      </c>
      <c r="B5294" s="119" t="str">
        <f>IFERROR(__xludf.DUMMYFUNCTION("""COMPUTED_VALUE"""),"Chị Bảo Anh")</f>
        <v>Chị Bảo Anh</v>
      </c>
      <c r="C5294" s="119" t="str">
        <f>IFERROR(__xludf.DUMMYFUNCTION("""COMPUTED_VALUE"""),"60 Phạm Thế Hiệp")</f>
        <v>60 Phạm Thế Hiệp</v>
      </c>
      <c r="D5294" s="119" t="str">
        <f>IFERROR(__xludf.DUMMYFUNCTION("""COMPUTED_VALUE"""),"Chó")</f>
        <v>Chó</v>
      </c>
      <c r="E5294" s="119" t="str">
        <f>IFERROR(__xludf.DUMMYFUNCTION("""COMPUTED_VALUE"""),"Milo")</f>
        <v>Milo</v>
      </c>
    </row>
    <row r="5295" ht="15.75" customHeight="1">
      <c r="A5295" s="122" t="str">
        <f>IFERROR(__xludf.DUMMYFUNCTION("""COMPUTED_VALUE"""),"0948 422 068")</f>
        <v>0948 422 068</v>
      </c>
      <c r="B5295" s="119" t="str">
        <f>IFERROR(__xludf.DUMMYFUNCTION("""COMPUTED_VALUE"""),"Chị Xuân Hải")</f>
        <v>Chị Xuân Hải</v>
      </c>
      <c r="C5295" s="119" t="str">
        <f>IFERROR(__xludf.DUMMYFUNCTION("""COMPUTED_VALUE"""),"Hải Lăng Quảng Trị")</f>
        <v>Hải Lăng Quảng Trị</v>
      </c>
      <c r="D5295" s="119" t="str">
        <f>IFERROR(__xludf.DUMMYFUNCTION("""COMPUTED_VALUE"""),"Chó")</f>
        <v>Chó</v>
      </c>
      <c r="E5295" s="119" t="str">
        <f>IFERROR(__xludf.DUMMYFUNCTION("""COMPUTED_VALUE"""),"Rech")</f>
        <v>Rech</v>
      </c>
    </row>
    <row r="5296" ht="15.75" customHeight="1">
      <c r="A5296" s="122" t="str">
        <f>IFERROR(__xludf.DUMMYFUNCTION("""COMPUTED_VALUE"""),"0932 449 054")</f>
        <v>0932 449 054</v>
      </c>
      <c r="B5296" s="119" t="str">
        <f>IFERROR(__xludf.DUMMYFUNCTION("""COMPUTED_VALUE"""),"Chị Tiên")</f>
        <v>Chị Tiên</v>
      </c>
      <c r="C5296" s="119" t="str">
        <f>IFERROR(__xludf.DUMMYFUNCTION("""COMPUTED_VALUE"""),"Thuỷ Phù")</f>
        <v>Thuỷ Phù</v>
      </c>
      <c r="D5296" s="119" t="str">
        <f>IFERROR(__xludf.DUMMYFUNCTION("""COMPUTED_VALUE"""),"Chó")</f>
        <v>Chó</v>
      </c>
      <c r="E5296" s="119" t="str">
        <f>IFERROR(__xludf.DUMMYFUNCTION("""COMPUTED_VALUE"""),"Bi")</f>
        <v>Bi</v>
      </c>
    </row>
    <row r="5297" ht="15.75" customHeight="1">
      <c r="A5297" s="122" t="str">
        <f>IFERROR(__xludf.DUMMYFUNCTION("""COMPUTED_VALUE"""),"0888 552 864")</f>
        <v>0888 552 864</v>
      </c>
      <c r="B5297" s="119" t="str">
        <f>IFERROR(__xludf.DUMMYFUNCTION("""COMPUTED_VALUE"""),"Chị Hoàng")</f>
        <v>Chị Hoàng</v>
      </c>
      <c r="C5297" s="119" t="str">
        <f>IFERROR(__xludf.DUMMYFUNCTION("""COMPUTED_VALUE"""),"196 Lê Duẩn")</f>
        <v>196 Lê Duẩn</v>
      </c>
      <c r="D5297" s="119" t="str">
        <f>IFERROR(__xludf.DUMMYFUNCTION("""COMPUTED_VALUE"""),"Chó")</f>
        <v>Chó</v>
      </c>
      <c r="E5297" s="119" t="str">
        <f>IFERROR(__xludf.DUMMYFUNCTION("""COMPUTED_VALUE"""),"Mực")</f>
        <v>Mực</v>
      </c>
    </row>
    <row r="5298" ht="15.75" customHeight="1">
      <c r="A5298" s="122" t="str">
        <f>IFERROR(__xludf.DUMMYFUNCTION("""COMPUTED_VALUE"""),"0935 008 009")</f>
        <v>0935 008 009</v>
      </c>
      <c r="B5298" s="119" t="str">
        <f>IFERROR(__xludf.DUMMYFUNCTION("""COMPUTED_VALUE"""),"Anh Vinh")</f>
        <v>Anh Vinh</v>
      </c>
      <c r="C5298" s="119" t="str">
        <f>IFERROR(__xludf.DUMMYFUNCTION("""COMPUTED_VALUE"""),"20/5 Nguyễn hoàng")</f>
        <v>20/5 Nguyễn hoàng</v>
      </c>
      <c r="D5298" s="119" t="str">
        <f>IFERROR(__xludf.DUMMYFUNCTION("""COMPUTED_VALUE"""),"Chó")</f>
        <v>Chó</v>
      </c>
      <c r="E5298" s="119" t="str">
        <f>IFERROR(__xludf.DUMMYFUNCTION("""COMPUTED_VALUE"""),"Mập")</f>
        <v>Mập</v>
      </c>
    </row>
    <row r="5299" ht="15.75" customHeight="1">
      <c r="A5299" s="122" t="str">
        <f>IFERROR(__xludf.DUMMYFUNCTION("""COMPUTED_VALUE"""),"0343 415 145")</f>
        <v>0343 415 145</v>
      </c>
      <c r="B5299" s="119" t="str">
        <f>IFERROR(__xludf.DUMMYFUNCTION("""COMPUTED_VALUE"""),"Trần Tuấn Hoàng")</f>
        <v>Trần Tuấn Hoàng</v>
      </c>
      <c r="C5299" s="119" t="str">
        <f>IFERROR(__xludf.DUMMYFUNCTION("""COMPUTED_VALUE"""),"AN Lỗ")</f>
        <v>AN Lỗ</v>
      </c>
      <c r="D5299" s="119" t="str">
        <f>IFERROR(__xludf.DUMMYFUNCTION("""COMPUTED_VALUE"""),"Chó")</f>
        <v>Chó</v>
      </c>
      <c r="E5299" s="119" t="str">
        <f>IFERROR(__xludf.DUMMYFUNCTION("""COMPUTED_VALUE"""),"Luca")</f>
        <v>Luca</v>
      </c>
    </row>
    <row r="5300" ht="15.75" customHeight="1">
      <c r="A5300" s="122" t="str">
        <f>IFERROR(__xludf.DUMMYFUNCTION("""COMPUTED_VALUE"""),"0766 784 418")</f>
        <v>0766 784 418</v>
      </c>
      <c r="B5300" s="119" t="str">
        <f>IFERROR(__xludf.DUMMYFUNCTION("""COMPUTED_VALUE"""),"Anh Duy")</f>
        <v>Anh Duy</v>
      </c>
      <c r="C5300" s="119" t="str">
        <f>IFERROR(__xludf.DUMMYFUNCTION("""COMPUTED_VALUE"""),"176 Phan Đăng Lưu")</f>
        <v>176 Phan Đăng Lưu</v>
      </c>
      <c r="D5300" s="119" t="str">
        <f>IFERROR(__xludf.DUMMYFUNCTION("""COMPUTED_VALUE"""),"Chó")</f>
        <v>Chó</v>
      </c>
      <c r="E5300" s="119" t="str">
        <f>IFERROR(__xludf.DUMMYFUNCTION("""COMPUTED_VALUE"""),"Mỡ")</f>
        <v>Mỡ</v>
      </c>
    </row>
    <row r="5301" ht="15.75" customHeight="1">
      <c r="A5301" s="122" t="str">
        <f>IFERROR(__xludf.DUMMYFUNCTION("""COMPUTED_VALUE"""),"0854 233 449")</f>
        <v>0854 233 449</v>
      </c>
      <c r="B5301" s="119" t="str">
        <f>IFERROR(__xludf.DUMMYFUNCTION("""COMPUTED_VALUE"""),"Chị Chít")</f>
        <v>Chị Chít</v>
      </c>
      <c r="C5301" s="119" t="str">
        <f>IFERROR(__xludf.DUMMYFUNCTION("""COMPUTED_VALUE"""),"Phú Bài")</f>
        <v>Phú Bài</v>
      </c>
      <c r="D5301" s="119" t="str">
        <f>IFERROR(__xludf.DUMMYFUNCTION("""COMPUTED_VALUE"""),"Chó")</f>
        <v>Chó</v>
      </c>
      <c r="E5301" s="119" t="str">
        <f>IFERROR(__xludf.DUMMYFUNCTION("""COMPUTED_VALUE"""),"Chút")</f>
        <v>Chút</v>
      </c>
    </row>
    <row r="5302" ht="15.75" customHeight="1">
      <c r="A5302" s="122" t="str">
        <f>IFERROR(__xludf.DUMMYFUNCTION("""COMPUTED_VALUE"""),"0774 747 469")</f>
        <v>0774 747 469</v>
      </c>
      <c r="B5302" s="119" t="str">
        <f>IFERROR(__xludf.DUMMYFUNCTION("""COMPUTED_VALUE"""),"Anh Bảo")</f>
        <v>Anh Bảo</v>
      </c>
      <c r="C5302" s="119" t="str">
        <f>IFERROR(__xludf.DUMMYFUNCTION("""COMPUTED_VALUE"""),"a26 KQH Hương Long")</f>
        <v>a26 KQH Hương Long</v>
      </c>
      <c r="D5302" s="119" t="str">
        <f>IFERROR(__xludf.DUMMYFUNCTION("""COMPUTED_VALUE"""),"Chó")</f>
        <v>Chó</v>
      </c>
      <c r="E5302" s="119"/>
    </row>
    <row r="5303" ht="15.75" customHeight="1">
      <c r="A5303" s="122" t="str">
        <f>IFERROR(__xludf.DUMMYFUNCTION("""COMPUTED_VALUE"""),"0386 802 952")</f>
        <v>0386 802 952</v>
      </c>
      <c r="B5303" s="119" t="str">
        <f>IFERROR(__xludf.DUMMYFUNCTION("""COMPUTED_VALUE"""),"Dì Kim")</f>
        <v>Dì Kim</v>
      </c>
      <c r="C5303" s="119" t="str">
        <f>IFERROR(__xludf.DUMMYFUNCTION("""COMPUTED_VALUE"""),"Hương Hồ")</f>
        <v>Hương Hồ</v>
      </c>
      <c r="D5303" s="119" t="str">
        <f>IFERROR(__xludf.DUMMYFUNCTION("""COMPUTED_VALUE"""),"Chó")</f>
        <v>Chó</v>
      </c>
      <c r="E5303" s="119" t="str">
        <f>IFERROR(__xludf.DUMMYFUNCTION("""COMPUTED_VALUE"""),"Cút")</f>
        <v>Cút</v>
      </c>
    </row>
    <row r="5304" ht="15.75" customHeight="1">
      <c r="A5304" s="122" t="str">
        <f>IFERROR(__xludf.DUMMYFUNCTION("""COMPUTED_VALUE"""),"0347 402 342")</f>
        <v>0347 402 342</v>
      </c>
      <c r="B5304" s="119" t="str">
        <f>IFERROR(__xludf.DUMMYFUNCTION("""COMPUTED_VALUE"""),"Chị Nhung")</f>
        <v>Chị Nhung</v>
      </c>
      <c r="C5304" s="119" t="str">
        <f>IFERROR(__xludf.DUMMYFUNCTION("""COMPUTED_VALUE"""),"Nhâm Biều")</f>
        <v>Nhâm Biều</v>
      </c>
      <c r="D5304" s="119" t="str">
        <f>IFERROR(__xludf.DUMMYFUNCTION("""COMPUTED_VALUE"""),"Chó")</f>
        <v>Chó</v>
      </c>
      <c r="E5304" s="119" t="str">
        <f>IFERROR(__xludf.DUMMYFUNCTION("""COMPUTED_VALUE"""),"Bull")</f>
        <v>Bull</v>
      </c>
    </row>
    <row r="5305" ht="15.75" customHeight="1">
      <c r="A5305" s="122" t="str">
        <f>IFERROR(__xludf.DUMMYFUNCTION("""COMPUTED_VALUE"""),"0836 351 916")</f>
        <v>0836 351 916</v>
      </c>
      <c r="B5305" s="119" t="str">
        <f>IFERROR(__xludf.DUMMYFUNCTION("""COMPUTED_VALUE"""),"Em Kiều Anh")</f>
        <v>Em Kiều Anh</v>
      </c>
      <c r="C5305" s="119" t="str">
        <f>IFERROR(__xludf.DUMMYFUNCTION("""COMPUTED_VALUE"""),"266 Lý Thái Tổ")</f>
        <v>266 Lý Thái Tổ</v>
      </c>
      <c r="D5305" s="119" t="str">
        <f>IFERROR(__xludf.DUMMYFUNCTION("""COMPUTED_VALUE"""),"Mèo")</f>
        <v>Mèo</v>
      </c>
      <c r="E5305" s="119" t="str">
        <f>IFERROR(__xludf.DUMMYFUNCTION("""COMPUTED_VALUE"""),"Lavie")</f>
        <v>Lavie</v>
      </c>
    </row>
    <row r="5306" ht="15.75" customHeight="1">
      <c r="A5306" s="122" t="str">
        <f>IFERROR(__xludf.DUMMYFUNCTION("""COMPUTED_VALUE"""),"0889 521 373")</f>
        <v>0889 521 373</v>
      </c>
      <c r="B5306" s="119" t="str">
        <f>IFERROR(__xludf.DUMMYFUNCTION("""COMPUTED_VALUE"""),"Chị ngọc Quy")</f>
        <v>Chị ngọc Quy</v>
      </c>
      <c r="C5306" s="119" t="str">
        <f>IFERROR(__xludf.DUMMYFUNCTION("""COMPUTED_VALUE"""),"k37 Phạm Thị Liên")</f>
        <v>k37 Phạm Thị Liên</v>
      </c>
      <c r="D5306" s="119" t="str">
        <f>IFERROR(__xludf.DUMMYFUNCTION("""COMPUTED_VALUE"""),"Chó")</f>
        <v>Chó</v>
      </c>
      <c r="E5306" s="119" t="str">
        <f>IFERROR(__xludf.DUMMYFUNCTION("""COMPUTED_VALUE"""),"Gấu")</f>
        <v>Gấu</v>
      </c>
    </row>
    <row r="5307" ht="15.75" customHeight="1">
      <c r="A5307" s="122" t="str">
        <f>IFERROR(__xludf.DUMMYFUNCTION("""COMPUTED_VALUE"""),"0393 700 055")</f>
        <v>0393 700 055</v>
      </c>
      <c r="B5307" s="119" t="str">
        <f>IFERROR(__xludf.DUMMYFUNCTION("""COMPUTED_VALUE"""),"Chú Đặng Vy")</f>
        <v>Chú Đặng Vy</v>
      </c>
      <c r="C5307" s="119" t="str">
        <f>IFERROR(__xludf.DUMMYFUNCTION("""COMPUTED_VALUE"""),"714 k4 Ưng Bình")</f>
        <v>714 k4 Ưng Bình</v>
      </c>
      <c r="D5307" s="119" t="str">
        <f>IFERROR(__xludf.DUMMYFUNCTION("""COMPUTED_VALUE"""),"Chó")</f>
        <v>Chó</v>
      </c>
      <c r="E5307" s="119" t="str">
        <f>IFERROR(__xludf.DUMMYFUNCTION("""COMPUTED_VALUE"""),"Zet")</f>
        <v>Zet</v>
      </c>
    </row>
    <row r="5308" ht="15.75" customHeight="1">
      <c r="A5308" s="122" t="str">
        <f>IFERROR(__xludf.DUMMYFUNCTION("""COMPUTED_VALUE"""),"0353 624 370")</f>
        <v>0353 624 370</v>
      </c>
      <c r="B5308" s="119" t="str">
        <f>IFERROR(__xludf.DUMMYFUNCTION("""COMPUTED_VALUE"""),"Em Vy")</f>
        <v>Em Vy</v>
      </c>
      <c r="C5308" s="119" t="str">
        <f>IFERROR(__xludf.DUMMYFUNCTION("""COMPUTED_VALUE"""),"Thôn Tây Hải, Quảng Ngạn")</f>
        <v>Thôn Tây Hải, Quảng Ngạn</v>
      </c>
      <c r="D5308" s="119" t="str">
        <f>IFERROR(__xludf.DUMMYFUNCTION("""COMPUTED_VALUE"""),"Chó")</f>
        <v>Chó</v>
      </c>
      <c r="E5308" s="119" t="str">
        <f>IFERROR(__xludf.DUMMYFUNCTION("""COMPUTED_VALUE"""),"Bunny")</f>
        <v>Bunny</v>
      </c>
    </row>
    <row r="5309" ht="15.75" customHeight="1">
      <c r="A5309" s="122" t="str">
        <f>IFERROR(__xludf.DUMMYFUNCTION("""COMPUTED_VALUE"""),"0362 923 041")</f>
        <v>0362 923 041</v>
      </c>
      <c r="B5309" s="119" t="str">
        <f>IFERROR(__xludf.DUMMYFUNCTION("""COMPUTED_VALUE"""),"Bác Phú")</f>
        <v>Bác Phú</v>
      </c>
      <c r="C5309" s="119" t="str">
        <f>IFERROR(__xludf.DUMMYFUNCTION("""COMPUTED_VALUE"""),"10/8 Nguyễn Phúc Chu")</f>
        <v>10/8 Nguyễn Phúc Chu</v>
      </c>
      <c r="D5309" s="119" t="str">
        <f>IFERROR(__xludf.DUMMYFUNCTION("""COMPUTED_VALUE"""),"Chó")</f>
        <v>Chó</v>
      </c>
      <c r="E5309" s="119" t="str">
        <f>IFERROR(__xludf.DUMMYFUNCTION("""COMPUTED_VALUE"""),"Nô")</f>
        <v>Nô</v>
      </c>
    </row>
    <row r="5310" ht="15.75" customHeight="1">
      <c r="A5310" s="122" t="str">
        <f>IFERROR(__xludf.DUMMYFUNCTION("""COMPUTED_VALUE"""),"0358 886 514")</f>
        <v>0358 886 514</v>
      </c>
      <c r="B5310" s="119" t="str">
        <f>IFERROR(__xludf.DUMMYFUNCTION("""COMPUTED_VALUE"""),"Chị Hằng Nga")</f>
        <v>Chị Hằng Nga</v>
      </c>
      <c r="C5310" s="119" t="str">
        <f>IFERROR(__xludf.DUMMYFUNCTION("""COMPUTED_VALUE"""),"26 Mai Lão Bạng- An Hoà")</f>
        <v>26 Mai Lão Bạng- An Hoà</v>
      </c>
      <c r="D5310" s="119" t="str">
        <f>IFERROR(__xludf.DUMMYFUNCTION("""COMPUTED_VALUE"""),"Chó")</f>
        <v>Chó</v>
      </c>
      <c r="E5310" s="119" t="str">
        <f>IFERROR(__xludf.DUMMYFUNCTION("""COMPUTED_VALUE"""),"Hari")</f>
        <v>Hari</v>
      </c>
    </row>
    <row r="5311" ht="15.75" customHeight="1">
      <c r="A5311" s="122" t="str">
        <f>IFERROR(__xludf.DUMMYFUNCTION("""COMPUTED_VALUE"""),"0919 452 887")</f>
        <v>0919 452 887</v>
      </c>
      <c r="B5311" s="119" t="str">
        <f>IFERROR(__xludf.DUMMYFUNCTION("""COMPUTED_VALUE"""),"Chị Tú")</f>
        <v>Chị Tú</v>
      </c>
      <c r="C5311" s="119" t="str">
        <f>IFERROR(__xludf.DUMMYFUNCTION("""COMPUTED_VALUE"""),"30/85 An Dương Vương")</f>
        <v>30/85 An Dương Vương</v>
      </c>
      <c r="D5311" s="119" t="str">
        <f>IFERROR(__xludf.DUMMYFUNCTION("""COMPUTED_VALUE"""),"Mèo")</f>
        <v>Mèo</v>
      </c>
      <c r="E5311" s="119" t="str">
        <f>IFERROR(__xludf.DUMMYFUNCTION("""COMPUTED_VALUE"""),"Bum")</f>
        <v>Bum</v>
      </c>
    </row>
    <row r="5312" ht="15.75" customHeight="1">
      <c r="A5312" s="122" t="str">
        <f>IFERROR(__xludf.DUMMYFUNCTION("""COMPUTED_VALUE"""),"0914 114 578")</f>
        <v>0914 114 578</v>
      </c>
      <c r="B5312" s="119" t="str">
        <f>IFERROR(__xludf.DUMMYFUNCTION("""COMPUTED_VALUE"""),"Chú Phước Báu")</f>
        <v>Chú Phước Báu</v>
      </c>
      <c r="C5312" s="119" t="str">
        <f>IFERROR(__xludf.DUMMYFUNCTION("""COMPUTED_VALUE"""),"11/143 Phan Bội Châu")</f>
        <v>11/143 Phan Bội Châu</v>
      </c>
      <c r="D5312" s="119" t="str">
        <f>IFERROR(__xludf.DUMMYFUNCTION("""COMPUTED_VALUE"""),"Chó")</f>
        <v>Chó</v>
      </c>
      <c r="E5312" s="119" t="str">
        <f>IFERROR(__xludf.DUMMYFUNCTION("""COMPUTED_VALUE"""),"Lợi")</f>
        <v>Lợi</v>
      </c>
    </row>
    <row r="5313" ht="15.75" customHeight="1">
      <c r="A5313" s="122" t="str">
        <f>IFERROR(__xludf.DUMMYFUNCTION("""COMPUTED_VALUE"""),"0989 872 172")</f>
        <v>0989 872 172</v>
      </c>
      <c r="B5313" s="119" t="str">
        <f>IFERROR(__xludf.DUMMYFUNCTION("""COMPUTED_VALUE"""),"Chị yến")</f>
        <v>Chị yến</v>
      </c>
      <c r="C5313" s="119" t="str">
        <f>IFERROR(__xludf.DUMMYFUNCTION("""COMPUTED_VALUE"""),"43 Trần Thúc Nhẫn")</f>
        <v>43 Trần Thúc Nhẫn</v>
      </c>
      <c r="D5313" s="119" t="str">
        <f>IFERROR(__xludf.DUMMYFUNCTION("""COMPUTED_VALUE"""),"Chó")</f>
        <v>Chó</v>
      </c>
      <c r="E5313" s="119" t="str">
        <f>IFERROR(__xludf.DUMMYFUNCTION("""COMPUTED_VALUE"""),"bu")</f>
        <v>bu</v>
      </c>
    </row>
    <row r="5314" ht="15.75" customHeight="1">
      <c r="A5314" s="122" t="str">
        <f>IFERROR(__xludf.DUMMYFUNCTION("""COMPUTED_VALUE"""),"0968 594 125")</f>
        <v>0968 594 125</v>
      </c>
      <c r="B5314" s="119" t="str">
        <f>IFERROR(__xludf.DUMMYFUNCTION("""COMPUTED_VALUE"""),"Chị Phượng")</f>
        <v>Chị Phượng</v>
      </c>
      <c r="C5314" s="119" t="str">
        <f>IFERROR(__xludf.DUMMYFUNCTION("""COMPUTED_VALUE"""),"Thủy Bằng")</f>
        <v>Thủy Bằng</v>
      </c>
      <c r="D5314" s="119" t="str">
        <f>IFERROR(__xludf.DUMMYFUNCTION("""COMPUTED_VALUE"""),"Chó")</f>
        <v>Chó</v>
      </c>
      <c r="E5314" s="119" t="str">
        <f>IFERROR(__xludf.DUMMYFUNCTION("""COMPUTED_VALUE"""),"Lu")</f>
        <v>Lu</v>
      </c>
    </row>
    <row r="5315" ht="15.75" customHeight="1">
      <c r="A5315" s="122" t="str">
        <f>IFERROR(__xludf.DUMMYFUNCTION("""COMPUTED_VALUE"""),"0337 958 401")</f>
        <v>0337 958 401</v>
      </c>
      <c r="B5315" s="119" t="str">
        <f>IFERROR(__xludf.DUMMYFUNCTION("""COMPUTED_VALUE"""),"Em Hữu")</f>
        <v>Em Hữu</v>
      </c>
      <c r="C5315" s="119" t="str">
        <f>IFERROR(__xludf.DUMMYFUNCTION("""COMPUTED_VALUE"""),"Hồ Đắc Di")</f>
        <v>Hồ Đắc Di</v>
      </c>
      <c r="D5315" s="119" t="str">
        <f>IFERROR(__xludf.DUMMYFUNCTION("""COMPUTED_VALUE"""),"Chó")</f>
        <v>Chó</v>
      </c>
      <c r="E5315" s="119" t="str">
        <f>IFERROR(__xludf.DUMMYFUNCTION("""COMPUTED_VALUE"""),"Juli")</f>
        <v>Juli</v>
      </c>
    </row>
    <row r="5316" ht="15.75" customHeight="1">
      <c r="A5316" s="122" t="str">
        <f>IFERROR(__xludf.DUMMYFUNCTION("""COMPUTED_VALUE"""),"0898 196 969")</f>
        <v>0898 196 969</v>
      </c>
      <c r="B5316" s="119" t="str">
        <f>IFERROR(__xludf.DUMMYFUNCTION("""COMPUTED_VALUE"""),"Chị Ngọc Anh")</f>
        <v>Chị Ngọc Anh</v>
      </c>
      <c r="C5316" s="119" t="str">
        <f>IFERROR(__xludf.DUMMYFUNCTION("""COMPUTED_VALUE"""),"13/56 Duy Tân")</f>
        <v>13/56 Duy Tân</v>
      </c>
      <c r="D5316" s="119" t="str">
        <f>IFERROR(__xludf.DUMMYFUNCTION("""COMPUTED_VALUE"""),"Mèo")</f>
        <v>Mèo</v>
      </c>
      <c r="E5316" s="119" t="str">
        <f>IFERROR(__xludf.DUMMYFUNCTION("""COMPUTED_VALUE"""),"Kem")</f>
        <v>Kem</v>
      </c>
    </row>
    <row r="5317" ht="15.75" customHeight="1">
      <c r="A5317" s="122" t="str">
        <f>IFERROR(__xludf.DUMMYFUNCTION("""COMPUTED_VALUE"""),"0392 772 375")</f>
        <v>0392 772 375</v>
      </c>
      <c r="B5317" s="119" t="str">
        <f>IFERROR(__xludf.DUMMYFUNCTION("""COMPUTED_VALUE"""),"Em Đức")</f>
        <v>Em Đức</v>
      </c>
      <c r="C5317" s="119" t="str">
        <f>IFERROR(__xludf.DUMMYFUNCTION("""COMPUTED_VALUE"""),"2/68 Nguyễn Phúc Chu")</f>
        <v>2/68 Nguyễn Phúc Chu</v>
      </c>
      <c r="D5317" s="119" t="str">
        <f>IFERROR(__xludf.DUMMYFUNCTION("""COMPUTED_VALUE"""),"Chó")</f>
        <v>Chó</v>
      </c>
      <c r="E5317" s="119" t="str">
        <f>IFERROR(__xludf.DUMMYFUNCTION("""COMPUTED_VALUE"""),"Tony")</f>
        <v>Tony</v>
      </c>
    </row>
    <row r="5318" ht="15.75" customHeight="1">
      <c r="A5318" s="122" t="str">
        <f>IFERROR(__xludf.DUMMYFUNCTION("""COMPUTED_VALUE"""),"0814 191 484")</f>
        <v>0814 191 484</v>
      </c>
      <c r="B5318" s="119" t="str">
        <f>IFERROR(__xludf.DUMMYFUNCTION("""COMPUTED_VALUE"""),"Tường Vy")</f>
        <v>Tường Vy</v>
      </c>
      <c r="C5318" s="119" t="str">
        <f>IFERROR(__xludf.DUMMYFUNCTION("""COMPUTED_VALUE"""),"k138 Phạm Thị Liên")</f>
        <v>k138 Phạm Thị Liên</v>
      </c>
      <c r="D5318" s="119" t="str">
        <f>IFERROR(__xludf.DUMMYFUNCTION("""COMPUTED_VALUE"""),"Mèo")</f>
        <v>Mèo</v>
      </c>
      <c r="E5318" s="119" t="str">
        <f>IFERROR(__xludf.DUMMYFUNCTION("""COMPUTED_VALUE"""),"miu")</f>
        <v>miu</v>
      </c>
    </row>
    <row r="5319" ht="15.75" customHeight="1">
      <c r="A5319" s="122" t="str">
        <f>IFERROR(__xludf.DUMMYFUNCTION("""COMPUTED_VALUE"""),"0973 166 853")</f>
        <v>0973 166 853</v>
      </c>
      <c r="B5319" s="119" t="str">
        <f>IFERROR(__xludf.DUMMYFUNCTION("""COMPUTED_VALUE"""),"Dì Lê Thị Mơ")</f>
        <v>Dì Lê Thị Mơ</v>
      </c>
      <c r="C5319" s="119" t="str">
        <f>IFERROR(__xludf.DUMMYFUNCTION("""COMPUTED_VALUE"""),"302 Lý Nam Đế")</f>
        <v>302 Lý Nam Đế</v>
      </c>
      <c r="D5319" s="119" t="str">
        <f>IFERROR(__xludf.DUMMYFUNCTION("""COMPUTED_VALUE"""),"Chó")</f>
        <v>Chó</v>
      </c>
      <c r="E5319" s="119" t="str">
        <f>IFERROR(__xludf.DUMMYFUNCTION("""COMPUTED_VALUE"""),"Xu")</f>
        <v>Xu</v>
      </c>
    </row>
    <row r="5320" ht="15.75" customHeight="1">
      <c r="A5320" s="122" t="str">
        <f>IFERROR(__xludf.DUMMYFUNCTION("""COMPUTED_VALUE"""),"0867 340 152")</f>
        <v>0867 340 152</v>
      </c>
      <c r="B5320" s="119" t="str">
        <f>IFERROR(__xludf.DUMMYFUNCTION("""COMPUTED_VALUE"""),"Anh Quang")</f>
        <v>Anh Quang</v>
      </c>
      <c r="C5320" s="119" t="str">
        <f>IFERROR(__xludf.DUMMYFUNCTION("""COMPUTED_VALUE"""),"kiệt 54/12 số 10C Phú Bốn")</f>
        <v>kiệt 54/12 số 10C Phú Bốn</v>
      </c>
      <c r="D5320" s="119" t="str">
        <f>IFERROR(__xludf.DUMMYFUNCTION("""COMPUTED_VALUE"""),"Chó")</f>
        <v>Chó</v>
      </c>
      <c r="E5320" s="119" t="str">
        <f>IFERROR(__xludf.DUMMYFUNCTION("""COMPUTED_VALUE"""),"Xuka")</f>
        <v>Xuka</v>
      </c>
    </row>
    <row r="5321" ht="15.75" customHeight="1">
      <c r="A5321" s="122" t="str">
        <f>IFERROR(__xludf.DUMMYFUNCTION("""COMPUTED_VALUE"""),"0379 922 018")</f>
        <v>0379 922 018</v>
      </c>
      <c r="B5321" s="119" t="str">
        <f>IFERROR(__xludf.DUMMYFUNCTION("""COMPUTED_VALUE"""),"Em Thanh")</f>
        <v>Em Thanh</v>
      </c>
      <c r="C5321" s="119" t="str">
        <f>IFERROR(__xludf.DUMMYFUNCTION("""COMPUTED_VALUE"""),"24/6 Phạm Thị Liên")</f>
        <v>24/6 Phạm Thị Liên</v>
      </c>
      <c r="D5321" s="119" t="str">
        <f>IFERROR(__xludf.DUMMYFUNCTION("""COMPUTED_VALUE"""),"Chó")</f>
        <v>Chó</v>
      </c>
      <c r="E5321" s="119" t="str">
        <f>IFERROR(__xludf.DUMMYFUNCTION("""COMPUTED_VALUE"""),"gigi")</f>
        <v>gigi</v>
      </c>
    </row>
    <row r="5322" ht="15.75" customHeight="1">
      <c r="A5322" s="122" t="str">
        <f>IFERROR(__xludf.DUMMYFUNCTION("""COMPUTED_VALUE"""),"0383 091 191")</f>
        <v>0383 091 191</v>
      </c>
      <c r="B5322" s="119" t="str">
        <f>IFERROR(__xludf.DUMMYFUNCTION("""COMPUTED_VALUE"""),"Em Ánh Tuyết")</f>
        <v>Em Ánh Tuyết</v>
      </c>
      <c r="C5322" s="119" t="str">
        <f>IFERROR(__xludf.DUMMYFUNCTION("""COMPUTED_VALUE"""),"15 Lâm Hoằng")</f>
        <v>15 Lâm Hoằng</v>
      </c>
      <c r="D5322" s="119" t="str">
        <f>IFERROR(__xludf.DUMMYFUNCTION("""COMPUTED_VALUE"""),"Mèo")</f>
        <v>Mèo</v>
      </c>
      <c r="E5322" s="119" t="str">
        <f>IFERROR(__xludf.DUMMYFUNCTION("""COMPUTED_VALUE"""),"Quýt")</f>
        <v>Quýt</v>
      </c>
    </row>
    <row r="5323" ht="15.75" customHeight="1">
      <c r="A5323" s="122" t="str">
        <f>IFERROR(__xludf.DUMMYFUNCTION("""COMPUTED_VALUE"""),"0393 402 427")</f>
        <v>0393 402 427</v>
      </c>
      <c r="B5323" s="119" t="str">
        <f>IFERROR(__xludf.DUMMYFUNCTION("""COMPUTED_VALUE"""),"Chị Thanh Nhàn")</f>
        <v>Chị Thanh Nhàn</v>
      </c>
      <c r="C5323" s="119" t="str">
        <f>IFERROR(__xludf.DUMMYFUNCTION("""COMPUTED_VALUE"""),"113 Văn Thánh")</f>
        <v>113 Văn Thánh</v>
      </c>
      <c r="D5323" s="119" t="str">
        <f>IFERROR(__xludf.DUMMYFUNCTION("""COMPUTED_VALUE"""),"Chó")</f>
        <v>Chó</v>
      </c>
      <c r="E5323" s="119"/>
    </row>
    <row r="5324" ht="15.75" customHeight="1">
      <c r="A5324" s="122" t="str">
        <f>IFERROR(__xludf.DUMMYFUNCTION("""COMPUTED_VALUE"""),"0374 569 493")</f>
        <v>0374 569 493</v>
      </c>
      <c r="B5324" s="119" t="str">
        <f>IFERROR(__xludf.DUMMYFUNCTION("""COMPUTED_VALUE"""),"Chị vy")</f>
        <v>Chị vy</v>
      </c>
      <c r="C5324" s="119" t="str">
        <f>IFERROR(__xludf.DUMMYFUNCTION("""COMPUTED_VALUE"""),"30/33 Nguyễn Hoàng")</f>
        <v>30/33 Nguyễn Hoàng</v>
      </c>
      <c r="D5324" s="119" t="str">
        <f>IFERROR(__xludf.DUMMYFUNCTION("""COMPUTED_VALUE"""),"Chó")</f>
        <v>Chó</v>
      </c>
      <c r="E5324" s="119" t="str">
        <f>IFERROR(__xludf.DUMMYFUNCTION("""COMPUTED_VALUE"""),"Đốm")</f>
        <v>Đốm</v>
      </c>
    </row>
    <row r="5325" ht="15.75" customHeight="1">
      <c r="A5325" s="122" t="str">
        <f>IFERROR(__xludf.DUMMYFUNCTION("""COMPUTED_VALUE"""),"0932 502 620")</f>
        <v>0932 502 620</v>
      </c>
      <c r="B5325" s="119" t="str">
        <f>IFERROR(__xludf.DUMMYFUNCTION("""COMPUTED_VALUE"""),"Thầy Tài")</f>
        <v>Thầy Tài</v>
      </c>
      <c r="C5325" s="119" t="str">
        <f>IFERROR(__xludf.DUMMYFUNCTION("""COMPUTED_VALUE"""),"Chùa Trúc Lâm")</f>
        <v>Chùa Trúc Lâm</v>
      </c>
      <c r="D5325" s="119" t="str">
        <f>IFERROR(__xludf.DUMMYFUNCTION("""COMPUTED_VALUE"""),"Chó")</f>
        <v>Chó</v>
      </c>
      <c r="E5325" s="119" t="str">
        <f>IFERROR(__xludf.DUMMYFUNCTION("""COMPUTED_VALUE"""),"Vện")</f>
        <v>Vện</v>
      </c>
    </row>
    <row r="5326" ht="15.75" customHeight="1">
      <c r="A5326" s="122" t="str">
        <f>IFERROR(__xludf.DUMMYFUNCTION("""COMPUTED_VALUE"""),"0775 295 647")</f>
        <v>0775 295 647</v>
      </c>
      <c r="B5326" s="119" t="str">
        <f>IFERROR(__xludf.DUMMYFUNCTION("""COMPUTED_VALUE"""),"Đoàn Trung Phong")</f>
        <v>Đoàn Trung Phong</v>
      </c>
      <c r="C5326" s="119" t="str">
        <f>IFERROR(__xludf.DUMMYFUNCTION("""COMPUTED_VALUE"""),"79 Minh Mạng")</f>
        <v>79 Minh Mạng</v>
      </c>
      <c r="D5326" s="119" t="str">
        <f>IFERROR(__xludf.DUMMYFUNCTION("""COMPUTED_VALUE"""),"Mèo")</f>
        <v>Mèo</v>
      </c>
      <c r="E5326" s="119" t="str">
        <f>IFERROR(__xludf.DUMMYFUNCTION("""COMPUTED_VALUE"""),"Bơ")</f>
        <v>Bơ</v>
      </c>
    </row>
    <row r="5327" ht="15.75" customHeight="1">
      <c r="A5327" s="122" t="str">
        <f>IFERROR(__xludf.DUMMYFUNCTION("""COMPUTED_VALUE"""),"0327 451 844")</f>
        <v>0327 451 844</v>
      </c>
      <c r="B5327" s="119" t="str">
        <f>IFERROR(__xludf.DUMMYFUNCTION("""COMPUTED_VALUE"""),"Chị Huyền Chi ")</f>
        <v>Chị Huyền Chi </v>
      </c>
      <c r="C5327" s="119" t="str">
        <f>IFERROR(__xludf.DUMMYFUNCTION("""COMPUTED_VALUE"""),"12 Lê Đình Thám")</f>
        <v>12 Lê Đình Thám</v>
      </c>
      <c r="D5327" s="119" t="str">
        <f>IFERROR(__xludf.DUMMYFUNCTION("""COMPUTED_VALUE"""),"Mèo")</f>
        <v>Mèo</v>
      </c>
      <c r="E5327" s="119" t="str">
        <f>IFERROR(__xludf.DUMMYFUNCTION("""COMPUTED_VALUE"""),"Cá")</f>
        <v>Cá</v>
      </c>
    </row>
    <row r="5328" ht="15.75" customHeight="1">
      <c r="A5328" s="122" t="str">
        <f>IFERROR(__xludf.DUMMYFUNCTION("""COMPUTED_VALUE"""),"0948 678 293")</f>
        <v>0948 678 293</v>
      </c>
      <c r="B5328" s="119" t="str">
        <f>IFERROR(__xludf.DUMMYFUNCTION("""COMPUTED_VALUE"""),"Chị Khanh")</f>
        <v>Chị Khanh</v>
      </c>
      <c r="C5328" s="119" t="str">
        <f>IFERROR(__xludf.DUMMYFUNCTION("""COMPUTED_VALUE"""),"61 Vạn Xuân")</f>
        <v>61 Vạn Xuân</v>
      </c>
      <c r="D5328" s="119" t="str">
        <f>IFERROR(__xludf.DUMMYFUNCTION("""COMPUTED_VALUE"""),"Mèo")</f>
        <v>Mèo</v>
      </c>
      <c r="E5328" s="119" t="str">
        <f>IFERROR(__xludf.DUMMYFUNCTION("""COMPUTED_VALUE"""),"Lim")</f>
        <v>Lim</v>
      </c>
    </row>
    <row r="5329" ht="15.75" customHeight="1">
      <c r="A5329" s="122" t="str">
        <f>IFERROR(__xludf.DUMMYFUNCTION("""COMPUTED_VALUE"""),"0702 563 188")</f>
        <v>0702 563 188</v>
      </c>
      <c r="B5329" s="119" t="str">
        <f>IFERROR(__xludf.DUMMYFUNCTION("""COMPUTED_VALUE"""),"Nguyễn Tất Phú")</f>
        <v>Nguyễn Tất Phú</v>
      </c>
      <c r="C5329" s="119" t="str">
        <f>IFERROR(__xludf.DUMMYFUNCTION("""COMPUTED_VALUE"""),"65 Dương Hoà")</f>
        <v>65 Dương Hoà</v>
      </c>
      <c r="D5329" s="119" t="str">
        <f>IFERROR(__xludf.DUMMYFUNCTION("""COMPUTED_VALUE"""),"Mèo")</f>
        <v>Mèo</v>
      </c>
      <c r="E5329" s="119" t="str">
        <f>IFERROR(__xludf.DUMMYFUNCTION("""COMPUTED_VALUE"""),"Bu")</f>
        <v>Bu</v>
      </c>
    </row>
    <row r="5330" ht="15.75" customHeight="1">
      <c r="A5330" s="122" t="str">
        <f>IFERROR(__xludf.DUMMYFUNCTION("""COMPUTED_VALUE"""),"0935 051 052")</f>
        <v>0935 051 052</v>
      </c>
      <c r="B5330" s="119" t="str">
        <f>IFERROR(__xludf.DUMMYFUNCTION("""COMPUTED_VALUE"""),"Anh Cường")</f>
        <v>Anh Cường</v>
      </c>
      <c r="C5330" s="119" t="str">
        <f>IFERROR(__xludf.DUMMYFUNCTION("""COMPUTED_VALUE"""),"1/36 Nguyễn Hoàng")</f>
        <v>1/36 Nguyễn Hoàng</v>
      </c>
      <c r="D5330" s="119" t="str">
        <f>IFERROR(__xludf.DUMMYFUNCTION("""COMPUTED_VALUE"""),"Chó")</f>
        <v>Chó</v>
      </c>
      <c r="E5330" s="119" t="str">
        <f>IFERROR(__xludf.DUMMYFUNCTION("""COMPUTED_VALUE"""),"Quệt")</f>
        <v>Quệt</v>
      </c>
    </row>
    <row r="5331" ht="15.75" customHeight="1">
      <c r="A5331" s="122" t="str">
        <f>IFERROR(__xludf.DUMMYFUNCTION("""COMPUTED_VALUE"""),"0903 997 756")</f>
        <v>0903 997 756</v>
      </c>
      <c r="B5331" s="119" t="str">
        <f>IFERROR(__xludf.DUMMYFUNCTION("""COMPUTED_VALUE"""),"Cô Thuỷ")</f>
        <v>Cô Thuỷ</v>
      </c>
      <c r="C5331" s="119" t="str">
        <f>IFERROR(__xludf.DUMMYFUNCTION("""COMPUTED_VALUE"""),"30 Nguyễn Hoàng")</f>
        <v>30 Nguyễn Hoàng</v>
      </c>
      <c r="D5331" s="119" t="str">
        <f>IFERROR(__xludf.DUMMYFUNCTION("""COMPUTED_VALUE"""),"Mèo")</f>
        <v>Mèo</v>
      </c>
      <c r="E5331" s="119" t="str">
        <f>IFERROR(__xludf.DUMMYFUNCTION("""COMPUTED_VALUE"""),"Herro")</f>
        <v>Herro</v>
      </c>
    </row>
    <row r="5332" ht="15.75" customHeight="1">
      <c r="A5332" s="122" t="str">
        <f>IFERROR(__xludf.DUMMYFUNCTION("""COMPUTED_VALUE"""),"0792 119 585")</f>
        <v>0792 119 585</v>
      </c>
      <c r="B5332" s="119" t="str">
        <f>IFERROR(__xludf.DUMMYFUNCTION("""COMPUTED_VALUE"""),"Chị Vân")</f>
        <v>Chị Vân</v>
      </c>
      <c r="C5332" s="119" t="str">
        <f>IFERROR(__xludf.DUMMYFUNCTION("""COMPUTED_VALUE"""),"Minh Mạng")</f>
        <v>Minh Mạng</v>
      </c>
      <c r="D5332" s="119" t="str">
        <f>IFERROR(__xludf.DUMMYFUNCTION("""COMPUTED_VALUE"""),"Chó")</f>
        <v>Chó</v>
      </c>
      <c r="E5332" s="119" t="str">
        <f>IFERROR(__xludf.DUMMYFUNCTION("""COMPUTED_VALUE"""),"Sen")</f>
        <v>Sen</v>
      </c>
    </row>
    <row r="5333" ht="15.75" customHeight="1">
      <c r="A5333" s="122" t="str">
        <f>IFERROR(__xludf.DUMMYFUNCTION("""COMPUTED_VALUE"""),"0342 398 505")</f>
        <v>0342 398 505</v>
      </c>
      <c r="B5333" s="119" t="str">
        <f>IFERROR(__xludf.DUMMYFUNCTION("""COMPUTED_VALUE"""),"Phước Sang")</f>
        <v>Phước Sang</v>
      </c>
      <c r="C5333" s="119" t="str">
        <f>IFERROR(__xludf.DUMMYFUNCTION("""COMPUTED_VALUE"""),"Hương Chữ")</f>
        <v>Hương Chữ</v>
      </c>
      <c r="D5333" s="119" t="str">
        <f>IFERROR(__xludf.DUMMYFUNCTION("""COMPUTED_VALUE"""),"Chó")</f>
        <v>Chó</v>
      </c>
      <c r="E5333" s="119" t="str">
        <f>IFERROR(__xludf.DUMMYFUNCTION("""COMPUTED_VALUE"""),"Ka")</f>
        <v>Ka</v>
      </c>
    </row>
    <row r="5334" ht="15.75" customHeight="1">
      <c r="A5334" s="122" t="str">
        <f>IFERROR(__xludf.DUMMYFUNCTION("""COMPUTED_VALUE"""),"0935 375 503")</f>
        <v>0935 375 503</v>
      </c>
      <c r="B5334" s="119" t="str">
        <f>IFERROR(__xludf.DUMMYFUNCTION("""COMPUTED_VALUE"""),"Thảo Uyên")</f>
        <v>Thảo Uyên</v>
      </c>
      <c r="C5334" s="119" t="str">
        <f>IFERROR(__xludf.DUMMYFUNCTION("""COMPUTED_VALUE"""),"15 Tuệ Tĩnh")</f>
        <v>15 Tuệ Tĩnh</v>
      </c>
      <c r="D5334" s="119" t="str">
        <f>IFERROR(__xludf.DUMMYFUNCTION("""COMPUTED_VALUE"""),"Mèo")</f>
        <v>Mèo</v>
      </c>
      <c r="E5334" s="119" t="str">
        <f>IFERROR(__xludf.DUMMYFUNCTION("""COMPUTED_VALUE"""),"Cún")</f>
        <v>Cún</v>
      </c>
    </row>
    <row r="5335" ht="15.75" customHeight="1">
      <c r="A5335" s="122" t="str">
        <f>IFERROR(__xludf.DUMMYFUNCTION("""COMPUTED_VALUE"""),"0935 807 778")</f>
        <v>0935 807 778</v>
      </c>
      <c r="B5335" s="119" t="str">
        <f>IFERROR(__xludf.DUMMYFUNCTION("""COMPUTED_VALUE"""),"Bác Thuận/dì Sen")</f>
        <v>Bác Thuận/dì Sen</v>
      </c>
      <c r="C5335" s="119" t="str">
        <f>IFERROR(__xludf.DUMMYFUNCTION("""COMPUTED_VALUE"""),"12A/93 Đặng Huy Trứ")</f>
        <v>12A/93 Đặng Huy Trứ</v>
      </c>
      <c r="D5335" s="119" t="str">
        <f>IFERROR(__xludf.DUMMYFUNCTION("""COMPUTED_VALUE"""),"Chó")</f>
        <v>Chó</v>
      </c>
      <c r="E5335" s="119" t="str">
        <f>IFERROR(__xludf.DUMMYFUNCTION("""COMPUTED_VALUE"""),"Sún")</f>
        <v>Sún</v>
      </c>
    </row>
    <row r="5336" ht="15.75" customHeight="1">
      <c r="A5336" s="122" t="str">
        <f>IFERROR(__xludf.DUMMYFUNCTION("""COMPUTED_VALUE"""),"0949 602 302")</f>
        <v>0949 602 302</v>
      </c>
      <c r="B5336" s="119" t="str">
        <f>IFERROR(__xludf.DUMMYFUNCTION("""COMPUTED_VALUE"""),"Bùi Kim Ngân")</f>
        <v>Bùi Kim Ngân</v>
      </c>
      <c r="C5336" s="119" t="str">
        <f>IFERROR(__xludf.DUMMYFUNCTION("""COMPUTED_VALUE"""),"Thuỷ Xuân")</f>
        <v>Thuỷ Xuân</v>
      </c>
      <c r="D5336" s="119" t="str">
        <f>IFERROR(__xludf.DUMMYFUNCTION("""COMPUTED_VALUE"""),"Mèo")</f>
        <v>Mèo</v>
      </c>
      <c r="E5336" s="119" t="str">
        <f>IFERROR(__xludf.DUMMYFUNCTION("""COMPUTED_VALUE"""),"Gạo")</f>
        <v>Gạo</v>
      </c>
    </row>
    <row r="5337" ht="15.75" customHeight="1">
      <c r="A5337" s="122" t="str">
        <f>IFERROR(__xludf.DUMMYFUNCTION("""COMPUTED_VALUE"""),"0983 510 016")</f>
        <v>0983 510 016</v>
      </c>
      <c r="B5337" s="119" t="str">
        <f>IFERROR(__xludf.DUMMYFUNCTION("""COMPUTED_VALUE"""),"Phạm Văn Hải")</f>
        <v>Phạm Văn Hải</v>
      </c>
      <c r="C5337" s="119" t="str">
        <f>IFERROR(__xludf.DUMMYFUNCTION("""COMPUTED_VALUE"""),"20 Lê Quang Quận")</f>
        <v>20 Lê Quang Quận</v>
      </c>
      <c r="D5337" s="119" t="str">
        <f>IFERROR(__xludf.DUMMYFUNCTION("""COMPUTED_VALUE"""),"Chó")</f>
        <v>Chó</v>
      </c>
      <c r="E5337" s="119" t="str">
        <f>IFERROR(__xludf.DUMMYFUNCTION("""COMPUTED_VALUE"""),"Sam")</f>
        <v>Sam</v>
      </c>
    </row>
    <row r="5338" ht="15.75" customHeight="1">
      <c r="A5338" s="122" t="str">
        <f>IFERROR(__xludf.DUMMYFUNCTION("""COMPUTED_VALUE"""),"0905 826 414")</f>
        <v>0905 826 414</v>
      </c>
      <c r="B5338" s="119" t="str">
        <f>IFERROR(__xludf.DUMMYFUNCTION("""COMPUTED_VALUE"""),"Em Phương")</f>
        <v>Em Phương</v>
      </c>
      <c r="C5338" s="119" t="str">
        <f>IFERROR(__xludf.DUMMYFUNCTION("""COMPUTED_VALUE"""),"Bàu Vá")</f>
        <v>Bàu Vá</v>
      </c>
      <c r="D5338" s="119" t="str">
        <f>IFERROR(__xludf.DUMMYFUNCTION("""COMPUTED_VALUE"""),"Mèo")</f>
        <v>Mèo</v>
      </c>
      <c r="E5338" s="119" t="str">
        <f>IFERROR(__xludf.DUMMYFUNCTION("""COMPUTED_VALUE"""),"Đen")</f>
        <v>Đen</v>
      </c>
    </row>
    <row r="5339" ht="15.75" customHeight="1">
      <c r="A5339" s="122" t="str">
        <f>IFERROR(__xludf.DUMMYFUNCTION("""COMPUTED_VALUE"""),"0364 161 206")</f>
        <v>0364 161 206</v>
      </c>
      <c r="B5339" s="119" t="str">
        <f>IFERROR(__xludf.DUMMYFUNCTION("""COMPUTED_VALUE"""),"Nhi Phương")</f>
        <v>Nhi Phương</v>
      </c>
      <c r="C5339" s="119" t="str">
        <f>IFERROR(__xludf.DUMMYFUNCTION("""COMPUTED_VALUE"""),"28 Lê Quang Nhật")</f>
        <v>28 Lê Quang Nhật</v>
      </c>
      <c r="D5339" s="119" t="str">
        <f>IFERROR(__xludf.DUMMYFUNCTION("""COMPUTED_VALUE"""),"Chó")</f>
        <v>Chó</v>
      </c>
      <c r="E5339" s="119" t="str">
        <f>IFERROR(__xludf.DUMMYFUNCTION("""COMPUTED_VALUE"""),"Phin")</f>
        <v>Phin</v>
      </c>
    </row>
    <row r="5340" ht="15.75" customHeight="1">
      <c r="A5340" s="122" t="str">
        <f>IFERROR(__xludf.DUMMYFUNCTION("""COMPUTED_VALUE"""),"0905 551 594")</f>
        <v>0905 551 594</v>
      </c>
      <c r="B5340" s="119" t="str">
        <f>IFERROR(__xludf.DUMMYFUNCTION("""COMPUTED_VALUE"""),"Anh Nhật")</f>
        <v>Anh Nhật</v>
      </c>
      <c r="C5340" s="119" t="str">
        <f>IFERROR(__xludf.DUMMYFUNCTION("""COMPUTED_VALUE"""),"Phong Điên")</f>
        <v>Phong Điên</v>
      </c>
      <c r="D5340" s="119" t="str">
        <f>IFERROR(__xludf.DUMMYFUNCTION("""COMPUTED_VALUE"""),"Chó")</f>
        <v>Chó</v>
      </c>
      <c r="E5340" s="119" t="str">
        <f>IFERROR(__xludf.DUMMYFUNCTION("""COMPUTED_VALUE"""),"Lem")</f>
        <v>Lem</v>
      </c>
    </row>
    <row r="5341" ht="15.75" customHeight="1">
      <c r="A5341" s="122" t="str">
        <f>IFERROR(__xludf.DUMMYFUNCTION("""COMPUTED_VALUE"""),"0916 934 480")</f>
        <v>0916 934 480</v>
      </c>
      <c r="B5341" s="119" t="str">
        <f>IFERROR(__xludf.DUMMYFUNCTION("""COMPUTED_VALUE"""),"Dì Hương")</f>
        <v>Dì Hương</v>
      </c>
      <c r="C5341" s="119" t="str">
        <f>IFERROR(__xludf.DUMMYFUNCTION("""COMPUTED_VALUE"""),"Hương Hồ")</f>
        <v>Hương Hồ</v>
      </c>
      <c r="D5341" s="119" t="str">
        <f>IFERROR(__xludf.DUMMYFUNCTION("""COMPUTED_VALUE"""),"Chó")</f>
        <v>Chó</v>
      </c>
      <c r="E5341" s="119" t="str">
        <f>IFERROR(__xludf.DUMMYFUNCTION("""COMPUTED_VALUE"""),"Gấu")</f>
        <v>Gấu</v>
      </c>
    </row>
    <row r="5342" ht="15.75" customHeight="1">
      <c r="A5342" s="122" t="str">
        <f>IFERROR(__xludf.DUMMYFUNCTION("""COMPUTED_VALUE"""),"0946 967 932")</f>
        <v>0946 967 932</v>
      </c>
      <c r="B5342" s="119" t="str">
        <f>IFERROR(__xludf.DUMMYFUNCTION("""COMPUTED_VALUE"""),"Chị Nghĩa")</f>
        <v>Chị Nghĩa</v>
      </c>
      <c r="C5342" s="119" t="str">
        <f>IFERROR(__xludf.DUMMYFUNCTION("""COMPUTED_VALUE"""),"14/28 Phạm Thị Liên")</f>
        <v>14/28 Phạm Thị Liên</v>
      </c>
      <c r="D5342" s="119" t="str">
        <f>IFERROR(__xludf.DUMMYFUNCTION("""COMPUTED_VALUE"""),"Chó")</f>
        <v>Chó</v>
      </c>
      <c r="E5342" s="119" t="str">
        <f>IFERROR(__xludf.DUMMYFUNCTION("""COMPUTED_VALUE"""),"Mực")</f>
        <v>Mực</v>
      </c>
    </row>
    <row r="5343" ht="15.75" customHeight="1">
      <c r="A5343" s="122" t="str">
        <f>IFERROR(__xludf.DUMMYFUNCTION("""COMPUTED_VALUE"""),"0886 163 441")</f>
        <v>0886 163 441</v>
      </c>
      <c r="B5343" s="119" t="str">
        <f>IFERROR(__xludf.DUMMYFUNCTION("""COMPUTED_VALUE"""),"Dì Văn Hoà")</f>
        <v>Dì Văn Hoà</v>
      </c>
      <c r="C5343" s="119" t="str">
        <f>IFERROR(__xludf.DUMMYFUNCTION("""COMPUTED_VALUE"""),"5/14 An Ninh")</f>
        <v>5/14 An Ninh</v>
      </c>
      <c r="D5343" s="119" t="str">
        <f>IFERROR(__xludf.DUMMYFUNCTION("""COMPUTED_VALUE"""),"Chó")</f>
        <v>Chó</v>
      </c>
      <c r="E5343" s="119" t="str">
        <f>IFERROR(__xludf.DUMMYFUNCTION("""COMPUTED_VALUE"""),"Lu")</f>
        <v>Lu</v>
      </c>
    </row>
    <row r="5344" ht="15.75" customHeight="1">
      <c r="A5344" s="122" t="str">
        <f>IFERROR(__xludf.DUMMYFUNCTION("""COMPUTED_VALUE"""),"0706 107 456")</f>
        <v>0706 107 456</v>
      </c>
      <c r="B5344" s="119" t="str">
        <f>IFERROR(__xludf.DUMMYFUNCTION("""COMPUTED_VALUE"""),"Nhật Hạ")</f>
        <v>Nhật Hạ</v>
      </c>
      <c r="C5344" s="119" t="str">
        <f>IFERROR(__xludf.DUMMYFUNCTION("""COMPUTED_VALUE"""),"5 Lê Tự nhiên")</f>
        <v>5 Lê Tự nhiên</v>
      </c>
      <c r="D5344" s="119" t="str">
        <f>IFERROR(__xludf.DUMMYFUNCTION("""COMPUTED_VALUE"""),"Mèo")</f>
        <v>Mèo</v>
      </c>
      <c r="E5344" s="119"/>
    </row>
    <row r="5345" ht="15.75" customHeight="1">
      <c r="A5345" s="122" t="str">
        <f>IFERROR(__xludf.DUMMYFUNCTION("""COMPUTED_VALUE"""),"0789 187 851")</f>
        <v>0789 187 851</v>
      </c>
      <c r="B5345" s="119" t="str">
        <f>IFERROR(__xludf.DUMMYFUNCTION("""COMPUTED_VALUE"""),"Anh Ken")</f>
        <v>Anh Ken</v>
      </c>
      <c r="C5345" s="119" t="str">
        <f>IFERROR(__xludf.DUMMYFUNCTION("""COMPUTED_VALUE"""),"138 Phạm Thị Liên")</f>
        <v>138 Phạm Thị Liên</v>
      </c>
      <c r="D5345" s="119" t="str">
        <f>IFERROR(__xludf.DUMMYFUNCTION("""COMPUTED_VALUE"""),"Chó")</f>
        <v>Chó</v>
      </c>
      <c r="E5345" s="119" t="str">
        <f>IFERROR(__xludf.DUMMYFUNCTION("""COMPUTED_VALUE"""),"Nâu")</f>
        <v>Nâu</v>
      </c>
    </row>
    <row r="5346" ht="15.75" customHeight="1">
      <c r="A5346" s="122" t="str">
        <f>IFERROR(__xludf.DUMMYFUNCTION("""COMPUTED_VALUE"""),"0395 344 344")</f>
        <v>0395 344 344</v>
      </c>
      <c r="B5346" s="119" t="str">
        <f>IFERROR(__xludf.DUMMYFUNCTION("""COMPUTED_VALUE"""),"Chị Huyền")</f>
        <v>Chị Huyền</v>
      </c>
      <c r="C5346" s="119" t="str">
        <f>IFERROR(__xludf.DUMMYFUNCTION("""COMPUTED_VALUE"""),"81 Thái Phiên")</f>
        <v>81 Thái Phiên</v>
      </c>
      <c r="D5346" s="119" t="str">
        <f>IFERROR(__xludf.DUMMYFUNCTION("""COMPUTED_VALUE"""),"Chó")</f>
        <v>Chó</v>
      </c>
      <c r="E5346" s="119" t="str">
        <f>IFERROR(__xludf.DUMMYFUNCTION("""COMPUTED_VALUE"""),"Gấu")</f>
        <v>Gấu</v>
      </c>
    </row>
    <row r="5347" ht="15.75" customHeight="1">
      <c r="A5347" s="122" t="str">
        <f>IFERROR(__xludf.DUMMYFUNCTION("""COMPUTED_VALUE"""),"0905 453 994")</f>
        <v>0905 453 994</v>
      </c>
      <c r="B5347" s="119" t="str">
        <f>IFERROR(__xludf.DUMMYFUNCTION("""COMPUTED_VALUE"""),"Nguyễn Trọng Quý")</f>
        <v>Nguyễn Trọng Quý</v>
      </c>
      <c r="C5347" s="119" t="str">
        <f>IFERROR(__xludf.DUMMYFUNCTION("""COMPUTED_VALUE"""),"40 Lê Quang Quyền")</f>
        <v>40 Lê Quang Quyền</v>
      </c>
      <c r="D5347" s="119" t="str">
        <f>IFERROR(__xludf.DUMMYFUNCTION("""COMPUTED_VALUE"""),"Chó")</f>
        <v>Chó</v>
      </c>
      <c r="E5347" s="119" t="str">
        <f>IFERROR(__xludf.DUMMYFUNCTION("""COMPUTED_VALUE"""),"Lu")</f>
        <v>Lu</v>
      </c>
    </row>
    <row r="5348" ht="15.75" customHeight="1">
      <c r="A5348" s="122" t="str">
        <f>IFERROR(__xludf.DUMMYFUNCTION("""COMPUTED_VALUE"""),"0365 257 748")</f>
        <v>0365 257 748</v>
      </c>
      <c r="B5348" s="119" t="str">
        <f>IFERROR(__xludf.DUMMYFUNCTION("""COMPUTED_VALUE"""),"Thanh Thuỷ")</f>
        <v>Thanh Thuỷ</v>
      </c>
      <c r="C5348" s="119" t="str">
        <f>IFERROR(__xludf.DUMMYFUNCTION("""COMPUTED_VALUE"""),"3/12 Vạn Xuân")</f>
        <v>3/12 Vạn Xuân</v>
      </c>
      <c r="D5348" s="119" t="str">
        <f>IFERROR(__xludf.DUMMYFUNCTION("""COMPUTED_VALUE"""),"Chó")</f>
        <v>Chó</v>
      </c>
      <c r="E5348" s="119" t="str">
        <f>IFERROR(__xludf.DUMMYFUNCTION("""COMPUTED_VALUE"""),"Gấu")</f>
        <v>Gấu</v>
      </c>
    </row>
    <row r="5349" ht="15.75" customHeight="1">
      <c r="A5349" s="122" t="str">
        <f>IFERROR(__xludf.DUMMYFUNCTION("""COMPUTED_VALUE"""),"0934 705 585")</f>
        <v>0934 705 585</v>
      </c>
      <c r="B5349" s="119" t="str">
        <f>IFERROR(__xludf.DUMMYFUNCTION("""COMPUTED_VALUE"""),"Chị Thy")</f>
        <v>Chị Thy</v>
      </c>
      <c r="C5349" s="119" t="str">
        <f>IFERROR(__xludf.DUMMYFUNCTION("""COMPUTED_VALUE"""),"Xóm 4 Lai Thế")</f>
        <v>Xóm 4 Lai Thế</v>
      </c>
      <c r="D5349" s="119" t="str">
        <f>IFERROR(__xludf.DUMMYFUNCTION("""COMPUTED_VALUE"""),"Mèo")</f>
        <v>Mèo</v>
      </c>
      <c r="E5349" s="119"/>
    </row>
    <row r="5350" ht="15.75" customHeight="1">
      <c r="A5350" s="122" t="str">
        <f>IFERROR(__xludf.DUMMYFUNCTION("""COMPUTED_VALUE"""),"0905 658 677")</f>
        <v>0905 658 677</v>
      </c>
      <c r="B5350" s="119" t="str">
        <f>IFERROR(__xludf.DUMMYFUNCTION("""COMPUTED_VALUE"""),"Chị Hà")</f>
        <v>Chị Hà</v>
      </c>
      <c r="C5350" s="119" t="str">
        <f>IFERROR(__xludf.DUMMYFUNCTION("""COMPUTED_VALUE"""),"50/4 Phạm Thị liên")</f>
        <v>50/4 Phạm Thị liên</v>
      </c>
      <c r="D5350" s="119" t="str">
        <f>IFERROR(__xludf.DUMMYFUNCTION("""COMPUTED_VALUE"""),"Mèo")</f>
        <v>Mèo</v>
      </c>
      <c r="E5350" s="119" t="str">
        <f>IFERROR(__xludf.DUMMYFUNCTION("""COMPUTED_VALUE"""),"Chipi")</f>
        <v>Chipi</v>
      </c>
    </row>
    <row r="5351" ht="15.75" customHeight="1">
      <c r="A5351" s="122" t="str">
        <f>IFERROR(__xludf.DUMMYFUNCTION("""COMPUTED_VALUE"""),"0935 055 363")</f>
        <v>0935 055 363</v>
      </c>
      <c r="B5351" s="119" t="str">
        <f>IFERROR(__xludf.DUMMYFUNCTION("""COMPUTED_VALUE"""),"Chị Hoàng")</f>
        <v>Chị Hoàng</v>
      </c>
      <c r="C5351" s="119" t="str">
        <f>IFERROR(__xludf.DUMMYFUNCTION("""COMPUTED_VALUE"""),"8/11 Nguyễn Phúc Thái")</f>
        <v>8/11 Nguyễn Phúc Thái</v>
      </c>
      <c r="D5351" s="119" t="str">
        <f>IFERROR(__xludf.DUMMYFUNCTION("""COMPUTED_VALUE"""),"Chó")</f>
        <v>Chó</v>
      </c>
      <c r="E5351" s="119" t="str">
        <f>IFERROR(__xludf.DUMMYFUNCTION("""COMPUTED_VALUE"""),"Sữa")</f>
        <v>Sữa</v>
      </c>
    </row>
    <row r="5352" ht="15.75" customHeight="1">
      <c r="A5352" s="122" t="str">
        <f>IFERROR(__xludf.DUMMYFUNCTION("""COMPUTED_VALUE"""),"0935 138 282")</f>
        <v>0935 138 282</v>
      </c>
      <c r="B5352" s="119" t="str">
        <f>IFERROR(__xludf.DUMMYFUNCTION("""COMPUTED_VALUE"""),"Anh Long")</f>
        <v>Anh Long</v>
      </c>
      <c r="C5352" s="119" t="str">
        <f>IFERROR(__xludf.DUMMYFUNCTION("""COMPUTED_VALUE"""),"Phong Điền")</f>
        <v>Phong Điền</v>
      </c>
      <c r="D5352" s="119" t="str">
        <f>IFERROR(__xludf.DUMMYFUNCTION("""COMPUTED_VALUE"""),"Chó")</f>
        <v>Chó</v>
      </c>
      <c r="E5352" s="119" t="str">
        <f>IFERROR(__xludf.DUMMYFUNCTION("""COMPUTED_VALUE"""),"Đô")</f>
        <v>Đô</v>
      </c>
    </row>
    <row r="5353" ht="15.75" customHeight="1">
      <c r="A5353" s="122" t="str">
        <f>IFERROR(__xludf.DUMMYFUNCTION("""COMPUTED_VALUE"""),"0906 573 519")</f>
        <v>0906 573 519</v>
      </c>
      <c r="B5353" s="119" t="str">
        <f>IFERROR(__xludf.DUMMYFUNCTION("""COMPUTED_VALUE"""),"Chị Lan")</f>
        <v>Chị Lan</v>
      </c>
      <c r="C5353" s="119" t="str">
        <f>IFERROR(__xludf.DUMMYFUNCTION("""COMPUTED_VALUE"""),"202 Lê Duẩn")</f>
        <v>202 Lê Duẩn</v>
      </c>
      <c r="D5353" s="119" t="str">
        <f>IFERROR(__xludf.DUMMYFUNCTION("""COMPUTED_VALUE"""),"Chó")</f>
        <v>Chó</v>
      </c>
      <c r="E5353" s="119" t="str">
        <f>IFERROR(__xludf.DUMMYFUNCTION("""COMPUTED_VALUE"""),"Mây")</f>
        <v>Mây</v>
      </c>
    </row>
    <row r="5354" ht="15.75" customHeight="1">
      <c r="A5354" s="122" t="str">
        <f>IFERROR(__xludf.DUMMYFUNCTION("""COMPUTED_VALUE"""),"0392 583 958")</f>
        <v>0392 583 958</v>
      </c>
      <c r="B5354" s="119" t="str">
        <f>IFERROR(__xludf.DUMMYFUNCTION("""COMPUTED_VALUE"""),"chị Hồng")</f>
        <v>chị Hồng</v>
      </c>
      <c r="C5354" s="119" t="str">
        <f>IFERROR(__xludf.DUMMYFUNCTION("""COMPUTED_VALUE"""),"34/6 Tôn Thất Tùng")</f>
        <v>34/6 Tôn Thất Tùng</v>
      </c>
      <c r="D5354" s="119" t="str">
        <f>IFERROR(__xludf.DUMMYFUNCTION("""COMPUTED_VALUE"""),"Mèo")</f>
        <v>Mèo</v>
      </c>
      <c r="E5354" s="119"/>
    </row>
    <row r="5355" ht="15.75" customHeight="1">
      <c r="A5355" s="122" t="str">
        <f>IFERROR(__xludf.DUMMYFUNCTION("""COMPUTED_VALUE"""),"0944 969 327")</f>
        <v>0944 969 327</v>
      </c>
      <c r="B5355" s="119" t="str">
        <f>IFERROR(__xludf.DUMMYFUNCTION("""COMPUTED_VALUE"""),"Dì Hoàn")</f>
        <v>Dì Hoàn</v>
      </c>
      <c r="C5355" s="119" t="str">
        <f>IFERROR(__xludf.DUMMYFUNCTION("""COMPUTED_VALUE"""),"3/5/1/39 Phạm Thị Liên")</f>
        <v>3/5/1/39 Phạm Thị Liên</v>
      </c>
      <c r="D5355" s="119" t="str">
        <f>IFERROR(__xludf.DUMMYFUNCTION("""COMPUTED_VALUE"""),"Mèo")</f>
        <v>Mèo</v>
      </c>
      <c r="E5355" s="119"/>
    </row>
    <row r="5356" ht="15.75" customHeight="1">
      <c r="A5356" s="122" t="str">
        <f>IFERROR(__xludf.DUMMYFUNCTION("""COMPUTED_VALUE"""),"0901 998 872")</f>
        <v>0901 998 872</v>
      </c>
      <c r="B5356" s="119" t="str">
        <f>IFERROR(__xludf.DUMMYFUNCTION("""COMPUTED_VALUE"""),"Chị Tú")</f>
        <v>Chị Tú</v>
      </c>
      <c r="C5356" s="119" t="str">
        <f>IFERROR(__xludf.DUMMYFUNCTION("""COMPUTED_VALUE"""),"34 Phú Mộng")</f>
        <v>34 Phú Mộng</v>
      </c>
      <c r="D5356" s="119" t="str">
        <f>IFERROR(__xludf.DUMMYFUNCTION("""COMPUTED_VALUE"""),"Chó")</f>
        <v>Chó</v>
      </c>
      <c r="E5356" s="119" t="str">
        <f>IFERROR(__xludf.DUMMYFUNCTION("""COMPUTED_VALUE"""),"Xù")</f>
        <v>Xù</v>
      </c>
    </row>
    <row r="5357" ht="15.75" customHeight="1">
      <c r="A5357" s="122" t="str">
        <f>IFERROR(__xludf.DUMMYFUNCTION("""COMPUTED_VALUE"""),"0914 064 325")</f>
        <v>0914 064 325</v>
      </c>
      <c r="B5357" s="119" t="str">
        <f>IFERROR(__xludf.DUMMYFUNCTION("""COMPUTED_VALUE"""),"Chị Vân")</f>
        <v>Chị Vân</v>
      </c>
      <c r="C5357" s="119" t="str">
        <f>IFERROR(__xludf.DUMMYFUNCTION("""COMPUTED_VALUE"""),"9/11 Trần Thúc Nhẫn")</f>
        <v>9/11 Trần Thúc Nhẫn</v>
      </c>
      <c r="D5357" s="119" t="str">
        <f>IFERROR(__xludf.DUMMYFUNCTION("""COMPUTED_VALUE"""),"Chó")</f>
        <v>Chó</v>
      </c>
      <c r="E5357" s="119" t="str">
        <f>IFERROR(__xludf.DUMMYFUNCTION("""COMPUTED_VALUE"""),"Na")</f>
        <v>Na</v>
      </c>
    </row>
    <row r="5358" ht="15.75" customHeight="1">
      <c r="A5358" s="122" t="str">
        <f>IFERROR(__xludf.DUMMYFUNCTION("""COMPUTED_VALUE"""),"0333 194 195")</f>
        <v>0333 194 195</v>
      </c>
      <c r="B5358" s="119" t="str">
        <f>IFERROR(__xludf.DUMMYFUNCTION("""COMPUTED_VALUE"""),"Hồ Văn Hữu")</f>
        <v>Hồ Văn Hữu</v>
      </c>
      <c r="C5358" s="119" t="str">
        <f>IFERROR(__xludf.DUMMYFUNCTION("""COMPUTED_VALUE"""),"Tứ Hạ")</f>
        <v>Tứ Hạ</v>
      </c>
      <c r="D5358" s="119" t="str">
        <f>IFERROR(__xludf.DUMMYFUNCTION("""COMPUTED_VALUE"""),"Chó")</f>
        <v>Chó</v>
      </c>
      <c r="E5358" s="119" t="str">
        <f>IFERROR(__xludf.DUMMYFUNCTION("""COMPUTED_VALUE"""),"Girl")</f>
        <v>Girl</v>
      </c>
    </row>
    <row r="5359" ht="15.75" customHeight="1">
      <c r="A5359" s="122" t="str">
        <f>IFERROR(__xludf.DUMMYFUNCTION("""COMPUTED_VALUE"""),"0788 588 043")</f>
        <v>0788 588 043</v>
      </c>
      <c r="B5359" s="119" t="str">
        <f>IFERROR(__xludf.DUMMYFUNCTION("""COMPUTED_VALUE"""),"Chị Nhi")</f>
        <v>Chị Nhi</v>
      </c>
      <c r="C5359" s="119" t="str">
        <f>IFERROR(__xludf.DUMMYFUNCTION("""COMPUTED_VALUE"""),"8/43/143 Phan Bội Châu")</f>
        <v>8/43/143 Phan Bội Châu</v>
      </c>
      <c r="D5359" s="119" t="str">
        <f>IFERROR(__xludf.DUMMYFUNCTION("""COMPUTED_VALUE"""),"Mèo")</f>
        <v>Mèo</v>
      </c>
      <c r="E5359" s="119" t="str">
        <f>IFERROR(__xludf.DUMMYFUNCTION("""COMPUTED_VALUE"""),"Bông")</f>
        <v>Bông</v>
      </c>
    </row>
    <row r="5360" ht="15.75" customHeight="1">
      <c r="A5360" s="122" t="str">
        <f>IFERROR(__xludf.DUMMYFUNCTION("""COMPUTED_VALUE"""),"0935 445 116")</f>
        <v>0935 445 116</v>
      </c>
      <c r="B5360" s="119" t="str">
        <f>IFERROR(__xludf.DUMMYFUNCTION("""COMPUTED_VALUE"""),"Anh Tâm")</f>
        <v>Anh Tâm</v>
      </c>
      <c r="C5360" s="119" t="str">
        <f>IFERROR(__xludf.DUMMYFUNCTION("""COMPUTED_VALUE"""),"22/7/8/ Phú Mộng")</f>
        <v>22/7/8/ Phú Mộng</v>
      </c>
      <c r="D5360" s="119" t="str">
        <f>IFERROR(__xludf.DUMMYFUNCTION("""COMPUTED_VALUE"""),"Chó")</f>
        <v>Chó</v>
      </c>
      <c r="E5360" s="119" t="str">
        <f>IFERROR(__xludf.DUMMYFUNCTION("""COMPUTED_VALUE"""),"Bối")</f>
        <v>Bối</v>
      </c>
    </row>
    <row r="5361" ht="15.75" customHeight="1">
      <c r="A5361" s="122" t="str">
        <f>IFERROR(__xludf.DUMMYFUNCTION("""COMPUTED_VALUE"""),"0905 581 928")</f>
        <v>0905 581 928</v>
      </c>
      <c r="B5361" s="119" t="str">
        <f>IFERROR(__xludf.DUMMYFUNCTION("""COMPUTED_VALUE"""),"Anh Sơn")</f>
        <v>Anh Sơn</v>
      </c>
      <c r="C5361" s="119" t="str">
        <f>IFERROR(__xludf.DUMMYFUNCTION("""COMPUTED_VALUE"""),"6/171 Bùi Thị Xuân")</f>
        <v>6/171 Bùi Thị Xuân</v>
      </c>
      <c r="D5361" s="119" t="str">
        <f>IFERROR(__xludf.DUMMYFUNCTION("""COMPUTED_VALUE"""),"Chó")</f>
        <v>Chó</v>
      </c>
      <c r="E5361" s="119" t="str">
        <f>IFERROR(__xludf.DUMMYFUNCTION("""COMPUTED_VALUE"""),"Đen")</f>
        <v>Đen</v>
      </c>
    </row>
    <row r="5362" ht="15.75" customHeight="1">
      <c r="A5362" s="122" t="str">
        <f>IFERROR(__xludf.DUMMYFUNCTION("""COMPUTED_VALUE"""),"0796 789 246")</f>
        <v>0796 789 246</v>
      </c>
      <c r="B5362" s="119" t="str">
        <f>IFERROR(__xludf.DUMMYFUNCTION("""COMPUTED_VALUE"""),"Anh Dũng")</f>
        <v>Anh Dũng</v>
      </c>
      <c r="C5362" s="119" t="str">
        <f>IFERROR(__xludf.DUMMYFUNCTION("""COMPUTED_VALUE"""),"7 Trần Quốc Tuấn, Tứ HẠ")</f>
        <v>7 Trần Quốc Tuấn, Tứ HẠ</v>
      </c>
      <c r="D5362" s="119" t="str">
        <f>IFERROR(__xludf.DUMMYFUNCTION("""COMPUTED_VALUE"""),"Chó")</f>
        <v>Chó</v>
      </c>
      <c r="E5362" s="119" t="str">
        <f>IFERROR(__xludf.DUMMYFUNCTION("""COMPUTED_VALUE"""),"Vá")</f>
        <v>Vá</v>
      </c>
    </row>
    <row r="5363" ht="15.75" customHeight="1">
      <c r="A5363" s="122" t="str">
        <f>IFERROR(__xludf.DUMMYFUNCTION("""COMPUTED_VALUE"""),"0704 076 739")</f>
        <v>0704 076 739</v>
      </c>
      <c r="B5363" s="119" t="str">
        <f>IFERROR(__xludf.DUMMYFUNCTION("""COMPUTED_VALUE"""),"Chị Nguyệt")</f>
        <v>Chị Nguyệt</v>
      </c>
      <c r="C5363" s="119" t="str">
        <f>IFERROR(__xludf.DUMMYFUNCTION("""COMPUTED_VALUE"""),"23 Vũ Ngọc Phan")</f>
        <v>23 Vũ Ngọc Phan</v>
      </c>
      <c r="D5363" s="119" t="str">
        <f>IFERROR(__xludf.DUMMYFUNCTION("""COMPUTED_VALUE"""),"Chó")</f>
        <v>Chó</v>
      </c>
      <c r="E5363" s="119" t="str">
        <f>IFERROR(__xludf.DUMMYFUNCTION("""COMPUTED_VALUE"""),"Siro")</f>
        <v>Siro</v>
      </c>
    </row>
    <row r="5364" ht="15.75" customHeight="1">
      <c r="A5364" s="122" t="str">
        <f>IFERROR(__xludf.DUMMYFUNCTION("""COMPUTED_VALUE"""),"0389 101 079")</f>
        <v>0389 101 079</v>
      </c>
      <c r="B5364" s="119" t="str">
        <f>IFERROR(__xludf.DUMMYFUNCTION("""COMPUTED_VALUE"""),"Anh Thanh")</f>
        <v>Anh Thanh</v>
      </c>
      <c r="C5364" s="119" t="str">
        <f>IFERROR(__xludf.DUMMYFUNCTION("""COMPUTED_VALUE"""),"104/12 Kim Long")</f>
        <v>104/12 Kim Long</v>
      </c>
      <c r="D5364" s="119" t="str">
        <f>IFERROR(__xludf.DUMMYFUNCTION("""COMPUTED_VALUE"""),"Chó")</f>
        <v>Chó</v>
      </c>
      <c r="E5364" s="119" t="str">
        <f>IFERROR(__xludf.DUMMYFUNCTION("""COMPUTED_VALUE"""),"Ben")</f>
        <v>Ben</v>
      </c>
    </row>
    <row r="5365" ht="15.75" customHeight="1">
      <c r="A5365" s="122" t="str">
        <f>IFERROR(__xludf.DUMMYFUNCTION("""COMPUTED_VALUE"""),"0774 140 123")</f>
        <v>0774 140 123</v>
      </c>
      <c r="B5365" s="119" t="str">
        <f>IFERROR(__xludf.DUMMYFUNCTION("""COMPUTED_VALUE"""),"Chị Lem/lan Anh")</f>
        <v>Chị Lem/lan Anh</v>
      </c>
      <c r="C5365" s="119" t="str">
        <f>IFERROR(__xludf.DUMMYFUNCTION("""COMPUTED_VALUE"""),"3/314 Lý Nam Đế")</f>
        <v>3/314 Lý Nam Đế</v>
      </c>
      <c r="D5365" s="119" t="str">
        <f>IFERROR(__xludf.DUMMYFUNCTION("""COMPUTED_VALUE"""),"Chó")</f>
        <v>Chó</v>
      </c>
      <c r="E5365" s="119" t="str">
        <f>IFERROR(__xludf.DUMMYFUNCTION("""COMPUTED_VALUE"""),"mít")</f>
        <v>mít</v>
      </c>
    </row>
    <row r="5366" ht="15.75" customHeight="1">
      <c r="A5366" s="122" t="str">
        <f>IFERROR(__xludf.DUMMYFUNCTION("""COMPUTED_VALUE"""),"0935 750 050")</f>
        <v>0935 750 050</v>
      </c>
      <c r="B5366" s="119" t="str">
        <f>IFERROR(__xludf.DUMMYFUNCTION("""COMPUTED_VALUE"""),"Anh Cầu")</f>
        <v>Anh Cầu</v>
      </c>
      <c r="C5366" s="119" t="str">
        <f>IFERROR(__xludf.DUMMYFUNCTION("""COMPUTED_VALUE"""),"11/465 Bùi Thị Xuân")</f>
        <v>11/465 Bùi Thị Xuân</v>
      </c>
      <c r="D5366" s="119" t="str">
        <f>IFERROR(__xludf.DUMMYFUNCTION("""COMPUTED_VALUE"""),"Chó")</f>
        <v>Chó</v>
      </c>
      <c r="E5366" s="119" t="str">
        <f>IFERROR(__xludf.DUMMYFUNCTION("""COMPUTED_VALUE"""),"Bun")</f>
        <v>Bun</v>
      </c>
    </row>
    <row r="5367" ht="15.75" customHeight="1">
      <c r="A5367" s="122" t="str">
        <f>IFERROR(__xludf.DUMMYFUNCTION("""COMPUTED_VALUE"""),"0766 704 883")</f>
        <v>0766 704 883</v>
      </c>
      <c r="B5367" s="119" t="str">
        <f>IFERROR(__xludf.DUMMYFUNCTION("""COMPUTED_VALUE"""),"Anh Sáu")</f>
        <v>Anh Sáu</v>
      </c>
      <c r="C5367" s="119" t="str">
        <f>IFERROR(__xludf.DUMMYFUNCTION("""COMPUTED_VALUE"""),"1/78 Nguyễn Phúc Thái")</f>
        <v>1/78 Nguyễn Phúc Thái</v>
      </c>
      <c r="D5367" s="119" t="str">
        <f>IFERROR(__xludf.DUMMYFUNCTION("""COMPUTED_VALUE"""),"Chó")</f>
        <v>Chó</v>
      </c>
      <c r="E5367" s="119" t="str">
        <f>IFERROR(__xludf.DUMMYFUNCTION("""COMPUTED_VALUE"""),"Đốm")</f>
        <v>Đốm</v>
      </c>
    </row>
    <row r="5368" ht="15.75" customHeight="1">
      <c r="A5368" s="122" t="str">
        <f>IFERROR(__xludf.DUMMYFUNCTION("""COMPUTED_VALUE"""),"0705 018 661")</f>
        <v>0705 018 661</v>
      </c>
      <c r="B5368" s="119" t="str">
        <f>IFERROR(__xludf.DUMMYFUNCTION("""COMPUTED_VALUE"""),"Em Huyền")</f>
        <v>Em Huyền</v>
      </c>
      <c r="C5368" s="119" t="str">
        <f>IFERROR(__xludf.DUMMYFUNCTION("""COMPUTED_VALUE"""),"2/1 Nguyễn Phúc Thiện")</f>
        <v>2/1 Nguyễn Phúc Thiện</v>
      </c>
      <c r="D5368" s="119" t="str">
        <f>IFERROR(__xludf.DUMMYFUNCTION("""COMPUTED_VALUE"""),"Chó")</f>
        <v>Chó</v>
      </c>
      <c r="E5368" s="119" t="str">
        <f>IFERROR(__xludf.DUMMYFUNCTION("""COMPUTED_VALUE"""),"Đen")</f>
        <v>Đen</v>
      </c>
    </row>
    <row r="5369" ht="15.75" customHeight="1">
      <c r="A5369" s="122" t="str">
        <f>IFERROR(__xludf.DUMMYFUNCTION("""COMPUTED_VALUE"""),"0374 998 536")</f>
        <v>0374 998 536</v>
      </c>
      <c r="B5369" s="119" t="str">
        <f>IFERROR(__xludf.DUMMYFUNCTION("""COMPUTED_VALUE"""),"Em Phương Thao")</f>
        <v>Em Phương Thao</v>
      </c>
      <c r="C5369" s="119" t="str">
        <f>IFERROR(__xludf.DUMMYFUNCTION("""COMPUTED_VALUE"""),"161 Bùi Điền")</f>
        <v>161 Bùi Điền</v>
      </c>
      <c r="D5369" s="119" t="str">
        <f>IFERROR(__xludf.DUMMYFUNCTION("""COMPUTED_VALUE"""),"Chó")</f>
        <v>Chó</v>
      </c>
      <c r="E5369" s="119" t="str">
        <f>IFERROR(__xludf.DUMMYFUNCTION("""COMPUTED_VALUE"""),"Bingo")</f>
        <v>Bingo</v>
      </c>
    </row>
    <row r="5370" ht="15.75" customHeight="1">
      <c r="A5370" s="122" t="str">
        <f>IFERROR(__xludf.DUMMYFUNCTION("""COMPUTED_VALUE"""),"0914 604 325")</f>
        <v>0914 604 325</v>
      </c>
      <c r="B5370" s="119" t="str">
        <f>IFERROR(__xludf.DUMMYFUNCTION("""COMPUTED_VALUE"""),"Chú Vân")</f>
        <v>Chú Vân</v>
      </c>
      <c r="C5370" s="119" t="str">
        <f>IFERROR(__xludf.DUMMYFUNCTION("""COMPUTED_VALUE"""),"9/11 Trần Thúc Nhẫn")</f>
        <v>9/11 Trần Thúc Nhẫn</v>
      </c>
      <c r="D5370" s="119" t="str">
        <f>IFERROR(__xludf.DUMMYFUNCTION("""COMPUTED_VALUE"""),"Chó")</f>
        <v>Chó</v>
      </c>
      <c r="E5370" s="119"/>
    </row>
    <row r="5371" ht="15.75" customHeight="1">
      <c r="A5371" s="122" t="str">
        <f>IFERROR(__xludf.DUMMYFUNCTION("""COMPUTED_VALUE"""),"0978 892 318")</f>
        <v>0978 892 318</v>
      </c>
      <c r="B5371" s="119" t="str">
        <f>IFERROR(__xludf.DUMMYFUNCTION("""COMPUTED_VALUE"""),"Anh Tuấn")</f>
        <v>Anh Tuấn</v>
      </c>
      <c r="C5371" s="119" t="str">
        <f>IFERROR(__xludf.DUMMYFUNCTION("""COMPUTED_VALUE"""),"30/32 Lê Quang Quyền")</f>
        <v>30/32 Lê Quang Quyền</v>
      </c>
      <c r="D5371" s="119" t="str">
        <f>IFERROR(__xludf.DUMMYFUNCTION("""COMPUTED_VALUE"""),"Chó")</f>
        <v>Chó</v>
      </c>
      <c r="E5371" s="119"/>
    </row>
    <row r="5372" ht="15.75" customHeight="1">
      <c r="A5372" s="122" t="str">
        <f>IFERROR(__xludf.DUMMYFUNCTION("""COMPUTED_VALUE"""),"0968 697 695")</f>
        <v>0968 697 695</v>
      </c>
      <c r="B5372" s="119" t="str">
        <f>IFERROR(__xludf.DUMMYFUNCTION("""COMPUTED_VALUE"""),"Chị Hiền")</f>
        <v>Chị Hiền</v>
      </c>
      <c r="C5372" s="119" t="str">
        <f>IFERROR(__xludf.DUMMYFUNCTION("""COMPUTED_VALUE"""),"408 Lê Duẩn")</f>
        <v>408 Lê Duẩn</v>
      </c>
      <c r="D5372" s="119" t="str">
        <f>IFERROR(__xludf.DUMMYFUNCTION("""COMPUTED_VALUE"""),"Mèo")</f>
        <v>Mèo</v>
      </c>
      <c r="E5372" s="119" t="str">
        <f>IFERROR(__xludf.DUMMYFUNCTION("""COMPUTED_VALUE"""),"kun")</f>
        <v>kun</v>
      </c>
    </row>
    <row r="5373" ht="15.75" customHeight="1">
      <c r="A5373" s="122" t="str">
        <f>IFERROR(__xludf.DUMMYFUNCTION("""COMPUTED_VALUE"""),"0354 857 947")</f>
        <v>0354 857 947</v>
      </c>
      <c r="B5373" s="119" t="str">
        <f>IFERROR(__xludf.DUMMYFUNCTION("""COMPUTED_VALUE"""),"Như Ý")</f>
        <v>Như Ý</v>
      </c>
      <c r="C5373" s="119" t="str">
        <f>IFERROR(__xludf.DUMMYFUNCTION("""COMPUTED_VALUE"""),"Hương Hồ")</f>
        <v>Hương Hồ</v>
      </c>
      <c r="D5373" s="119" t="str">
        <f>IFERROR(__xludf.DUMMYFUNCTION("""COMPUTED_VALUE"""),"Chó")</f>
        <v>Chó</v>
      </c>
      <c r="E5373" s="119" t="str">
        <f>IFERROR(__xludf.DUMMYFUNCTION("""COMPUTED_VALUE"""),"Hom")</f>
        <v>Hom</v>
      </c>
    </row>
    <row r="5374" ht="15.75" customHeight="1">
      <c r="A5374" s="122" t="str">
        <f>IFERROR(__xludf.DUMMYFUNCTION("""COMPUTED_VALUE"""),"0934 869 933")</f>
        <v>0934 869 933</v>
      </c>
      <c r="B5374" s="119" t="str">
        <f>IFERROR(__xludf.DUMMYFUNCTION("""COMPUTED_VALUE"""),"Chú Việt")</f>
        <v>Chú Việt</v>
      </c>
      <c r="C5374" s="119" t="str">
        <f>IFERROR(__xludf.DUMMYFUNCTION("""COMPUTED_VALUE"""),"Trường An")</f>
        <v>Trường An</v>
      </c>
      <c r="D5374" s="119" t="str">
        <f>IFERROR(__xludf.DUMMYFUNCTION("""COMPUTED_VALUE"""),"Chó")</f>
        <v>Chó</v>
      </c>
      <c r="E5374" s="119"/>
    </row>
    <row r="5375" ht="15.75" customHeight="1">
      <c r="A5375" s="122" t="str">
        <f>IFERROR(__xludf.DUMMYFUNCTION("""COMPUTED_VALUE"""),"0839 181 412")</f>
        <v>0839 181 412</v>
      </c>
      <c r="B5375" s="119" t="str">
        <f>IFERROR(__xludf.DUMMYFUNCTION("""COMPUTED_VALUE"""),"Dì Dễ")</f>
        <v>Dì Dễ</v>
      </c>
      <c r="C5375" s="119" t="str">
        <f>IFERROR(__xludf.DUMMYFUNCTION("""COMPUTED_VALUE"""),"Hương Hồ")</f>
        <v>Hương Hồ</v>
      </c>
      <c r="D5375" s="119" t="str">
        <f>IFERROR(__xludf.DUMMYFUNCTION("""COMPUTED_VALUE"""),"Chó")</f>
        <v>Chó</v>
      </c>
      <c r="E5375" s="119" t="str">
        <f>IFERROR(__xludf.DUMMYFUNCTION("""COMPUTED_VALUE"""),"King")</f>
        <v>King</v>
      </c>
    </row>
    <row r="5376" ht="15.75" customHeight="1">
      <c r="A5376" s="122" t="str">
        <f>IFERROR(__xludf.DUMMYFUNCTION("""COMPUTED_VALUE"""),"0379 309 597")</f>
        <v>0379 309 597</v>
      </c>
      <c r="B5376" s="119" t="str">
        <f>IFERROR(__xludf.DUMMYFUNCTION("""COMPUTED_VALUE"""),"Chị Lan")</f>
        <v>Chị Lan</v>
      </c>
      <c r="C5376" s="119" t="str">
        <f>IFERROR(__xludf.DUMMYFUNCTION("""COMPUTED_VALUE"""),"47 Lê Quang Quyền")</f>
        <v>47 Lê Quang Quyền</v>
      </c>
      <c r="D5376" s="119" t="str">
        <f>IFERROR(__xludf.DUMMYFUNCTION("""COMPUTED_VALUE"""),"Chó")</f>
        <v>Chó</v>
      </c>
      <c r="E5376" s="119" t="str">
        <f>IFERROR(__xludf.DUMMYFUNCTION("""COMPUTED_VALUE"""),"Mít")</f>
        <v>Mít</v>
      </c>
    </row>
    <row r="5377" ht="15.75" customHeight="1">
      <c r="A5377" s="122" t="str">
        <f>IFERROR(__xludf.DUMMYFUNCTION("""COMPUTED_VALUE"""),"0707 768 240")</f>
        <v>0707 768 240</v>
      </c>
      <c r="B5377" s="119" t="str">
        <f>IFERROR(__xludf.DUMMYFUNCTION("""COMPUTED_VALUE"""),"Quỳnh Nhi")</f>
        <v>Quỳnh Nhi</v>
      </c>
      <c r="C5377" s="119" t="str">
        <f>IFERROR(__xludf.DUMMYFUNCTION("""COMPUTED_VALUE"""),"167 Nguyễn Lộ Trạch")</f>
        <v>167 Nguyễn Lộ Trạch</v>
      </c>
      <c r="D5377" s="119" t="str">
        <f>IFERROR(__xludf.DUMMYFUNCTION("""COMPUTED_VALUE"""),"Chó")</f>
        <v>Chó</v>
      </c>
      <c r="E5377" s="119" t="str">
        <f>IFERROR(__xludf.DUMMYFUNCTION("""COMPUTED_VALUE"""),"Bo")</f>
        <v>Bo</v>
      </c>
    </row>
    <row r="5378" ht="15.75" customHeight="1">
      <c r="A5378" s="122" t="str">
        <f>IFERROR(__xludf.DUMMYFUNCTION("""COMPUTED_VALUE"""),"0935 551 055")</f>
        <v>0935 551 055</v>
      </c>
      <c r="B5378" s="119" t="str">
        <f>IFERROR(__xludf.DUMMYFUNCTION("""COMPUTED_VALUE"""),"Chị Châu")</f>
        <v>Chị Châu</v>
      </c>
      <c r="C5378" s="119" t="str">
        <f>IFERROR(__xludf.DUMMYFUNCTION("""COMPUTED_VALUE"""),"67 Nguyễn hoàng")</f>
        <v>67 Nguyễn hoàng</v>
      </c>
      <c r="D5378" s="119" t="str">
        <f>IFERROR(__xludf.DUMMYFUNCTION("""COMPUTED_VALUE"""),"Mèo")</f>
        <v>Mèo</v>
      </c>
      <c r="E5378" s="119" t="str">
        <f>IFERROR(__xludf.DUMMYFUNCTION("""COMPUTED_VALUE"""),"Min")</f>
        <v>Min</v>
      </c>
    </row>
    <row r="5379" ht="15.75" customHeight="1">
      <c r="A5379" s="122" t="str">
        <f>IFERROR(__xludf.DUMMYFUNCTION("""COMPUTED_VALUE"""),"0867 552 563")</f>
        <v>0867 552 563</v>
      </c>
      <c r="B5379" s="119" t="str">
        <f>IFERROR(__xludf.DUMMYFUNCTION("""COMPUTED_VALUE"""),"Anh Tuấn Anh")</f>
        <v>Anh Tuấn Anh</v>
      </c>
      <c r="C5379" s="119" t="str">
        <f>IFERROR(__xludf.DUMMYFUNCTION("""COMPUTED_VALUE"""),"22 Hoàng Diệu")</f>
        <v>22 Hoàng Diệu</v>
      </c>
      <c r="D5379" s="119" t="str">
        <f>IFERROR(__xludf.DUMMYFUNCTION("""COMPUTED_VALUE"""),"Chó")</f>
        <v>Chó</v>
      </c>
      <c r="E5379" s="119" t="str">
        <f>IFERROR(__xludf.DUMMYFUNCTION("""COMPUTED_VALUE"""),"Heo")</f>
        <v>Heo</v>
      </c>
    </row>
    <row r="5380" ht="15.75" customHeight="1">
      <c r="A5380" s="122" t="str">
        <f>IFERROR(__xludf.DUMMYFUNCTION("""COMPUTED_VALUE"""),"0902 805 992")</f>
        <v>0902 805 992</v>
      </c>
      <c r="B5380" s="119" t="str">
        <f>IFERROR(__xludf.DUMMYFUNCTION("""COMPUTED_VALUE"""),"Thầy Nguyễn Chinh")</f>
        <v>Thầy Nguyễn Chinh</v>
      </c>
      <c r="C5380" s="119" t="str">
        <f>IFERROR(__xludf.DUMMYFUNCTION("""COMPUTED_VALUE"""),"Chùa Huyền Không Sơn Thượng")</f>
        <v>Chùa Huyền Không Sơn Thượng</v>
      </c>
      <c r="D5380" s="119" t="str">
        <f>IFERROR(__xludf.DUMMYFUNCTION("""COMPUTED_VALUE"""),"Mèo")</f>
        <v>Mèo</v>
      </c>
      <c r="E5380" s="119"/>
    </row>
    <row r="5381" ht="15.75" customHeight="1">
      <c r="A5381" s="122" t="str">
        <f>IFERROR(__xludf.DUMMYFUNCTION("""COMPUTED_VALUE"""),"0903 552 845")</f>
        <v>0903 552 845</v>
      </c>
      <c r="B5381" s="119" t="str">
        <f>IFERROR(__xludf.DUMMYFUNCTION("""COMPUTED_VALUE"""),"Anh Đức Bảy")</f>
        <v>Anh Đức Bảy</v>
      </c>
      <c r="C5381" s="119" t="str">
        <f>IFERROR(__xludf.DUMMYFUNCTION("""COMPUTED_VALUE"""),"lô E9 KQH Hương Long")</f>
        <v>lô E9 KQH Hương Long</v>
      </c>
      <c r="D5381" s="119" t="str">
        <f>IFERROR(__xludf.DUMMYFUNCTION("""COMPUTED_VALUE"""),"Chó")</f>
        <v>Chó</v>
      </c>
      <c r="E5381" s="119" t="str">
        <f>IFERROR(__xludf.DUMMYFUNCTION("""COMPUTED_VALUE"""),"Phóc")</f>
        <v>Phóc</v>
      </c>
    </row>
    <row r="5382" ht="15.75" customHeight="1">
      <c r="A5382" s="122" t="str">
        <f>IFERROR(__xludf.DUMMYFUNCTION("""COMPUTED_VALUE"""),"0826 136 724")</f>
        <v>0826 136 724</v>
      </c>
      <c r="B5382" s="119" t="str">
        <f>IFERROR(__xludf.DUMMYFUNCTION("""COMPUTED_VALUE"""),"Chị Chi")</f>
        <v>Chị Chi</v>
      </c>
      <c r="C5382" s="119" t="str">
        <f>IFERROR(__xludf.DUMMYFUNCTION("""COMPUTED_VALUE"""),"2/28 Lê Quang Quyền")</f>
        <v>2/28 Lê Quang Quyền</v>
      </c>
      <c r="D5382" s="119" t="str">
        <f>IFERROR(__xludf.DUMMYFUNCTION("""COMPUTED_VALUE"""),"Chó")</f>
        <v>Chó</v>
      </c>
      <c r="E5382" s="119" t="str">
        <f>IFERROR(__xludf.DUMMYFUNCTION("""COMPUTED_VALUE"""),"Cam")</f>
        <v>Cam</v>
      </c>
    </row>
    <row r="5383" ht="15.75" customHeight="1">
      <c r="A5383" s="122" t="str">
        <f>IFERROR(__xludf.DUMMYFUNCTION("""COMPUTED_VALUE"""),"0901 994 312")</f>
        <v>0901 994 312</v>
      </c>
      <c r="B5383" s="119" t="str">
        <f>IFERROR(__xludf.DUMMYFUNCTION("""COMPUTED_VALUE"""),"Chị Mỹ Hạnh")</f>
        <v>Chị Mỹ Hạnh</v>
      </c>
      <c r="C5383" s="119" t="str">
        <f>IFERROR(__xludf.DUMMYFUNCTION("""COMPUTED_VALUE"""),"14 An Ninh")</f>
        <v>14 An Ninh</v>
      </c>
      <c r="D5383" s="119" t="str">
        <f>IFERROR(__xludf.DUMMYFUNCTION("""COMPUTED_VALUE"""),"Chó")</f>
        <v>Chó</v>
      </c>
      <c r="E5383" s="119" t="str">
        <f>IFERROR(__xludf.DUMMYFUNCTION("""COMPUTED_VALUE"""),"Heo")</f>
        <v>Heo</v>
      </c>
    </row>
    <row r="5384" ht="15.75" customHeight="1">
      <c r="A5384" s="122" t="str">
        <f>IFERROR(__xludf.DUMMYFUNCTION("""COMPUTED_VALUE"""),"0389 593 133")</f>
        <v>0389 593 133</v>
      </c>
      <c r="B5384" s="119" t="str">
        <f>IFERROR(__xludf.DUMMYFUNCTION("""COMPUTED_VALUE"""),"Anh Long")</f>
        <v>Anh Long</v>
      </c>
      <c r="C5384" s="119" t="str">
        <f>IFERROR(__xludf.DUMMYFUNCTION("""COMPUTED_VALUE"""),"15 Nguyễn Đăng Thịnh")</f>
        <v>15 Nguyễn Đăng Thịnh</v>
      </c>
      <c r="D5384" s="119" t="str">
        <f>IFERROR(__xludf.DUMMYFUNCTION("""COMPUTED_VALUE"""),"Chó")</f>
        <v>Chó</v>
      </c>
      <c r="E5384" s="119" t="str">
        <f>IFERROR(__xludf.DUMMYFUNCTION("""COMPUTED_VALUE"""),"Ricky")</f>
        <v>Ricky</v>
      </c>
    </row>
    <row r="5385" ht="15.75" customHeight="1">
      <c r="A5385" s="122" t="str">
        <f>IFERROR(__xludf.DUMMYFUNCTION("""COMPUTED_VALUE"""),"0763 626 111")</f>
        <v>0763 626 111</v>
      </c>
      <c r="B5385" s="119" t="str">
        <f>IFERROR(__xludf.DUMMYFUNCTION("""COMPUTED_VALUE"""),"Anh Duy")</f>
        <v>Anh Duy</v>
      </c>
      <c r="C5385" s="119" t="str">
        <f>IFERROR(__xludf.DUMMYFUNCTION("""COMPUTED_VALUE"""),"1/128 Nguyễn Tất Thành")</f>
        <v>1/128 Nguyễn Tất Thành</v>
      </c>
      <c r="D5385" s="119" t="str">
        <f>IFERROR(__xludf.DUMMYFUNCTION("""COMPUTED_VALUE"""),"Chó")</f>
        <v>Chó</v>
      </c>
      <c r="E5385" s="119" t="str">
        <f>IFERROR(__xludf.DUMMYFUNCTION("""COMPUTED_VALUE"""),"Ru")</f>
        <v>Ru</v>
      </c>
    </row>
    <row r="5386" ht="15.75" customHeight="1">
      <c r="A5386" s="122" t="str">
        <f>IFERROR(__xludf.DUMMYFUNCTION("""COMPUTED_VALUE"""),"0935 369 955")</f>
        <v>0935 369 955</v>
      </c>
      <c r="B5386" s="119" t="str">
        <f>IFERROR(__xludf.DUMMYFUNCTION("""COMPUTED_VALUE"""),"Anh Nhật")</f>
        <v>Anh Nhật</v>
      </c>
      <c r="C5386" s="119" t="str">
        <f>IFERROR(__xludf.DUMMYFUNCTION("""COMPUTED_VALUE"""),"249 Nguyễn Sinh Cung")</f>
        <v>249 Nguyễn Sinh Cung</v>
      </c>
      <c r="D5386" s="119" t="str">
        <f>IFERROR(__xludf.DUMMYFUNCTION("""COMPUTED_VALUE"""),"Chó")</f>
        <v>Chó</v>
      </c>
      <c r="E5386" s="119" t="str">
        <f>IFERROR(__xludf.DUMMYFUNCTION("""COMPUTED_VALUE"""),"Bun")</f>
        <v>Bun</v>
      </c>
    </row>
    <row r="5387" ht="15.75" customHeight="1">
      <c r="A5387" s="122" t="str">
        <f>IFERROR(__xludf.DUMMYFUNCTION("""COMPUTED_VALUE"""),"0777 535 918")</f>
        <v>0777 535 918</v>
      </c>
      <c r="B5387" s="119" t="str">
        <f>IFERROR(__xludf.DUMMYFUNCTION("""COMPUTED_VALUE"""),"Chị Thảo")</f>
        <v>Chị Thảo</v>
      </c>
      <c r="C5387" s="119" t="str">
        <f>IFERROR(__xludf.DUMMYFUNCTION("""COMPUTED_VALUE"""),"80 Bửu Đình")</f>
        <v>80 Bửu Đình</v>
      </c>
      <c r="D5387" s="119" t="str">
        <f>IFERROR(__xludf.DUMMYFUNCTION("""COMPUTED_VALUE"""),"Chó")</f>
        <v>Chó</v>
      </c>
      <c r="E5387" s="119" t="str">
        <f>IFERROR(__xludf.DUMMYFUNCTION("""COMPUTED_VALUE"""),"Thỏ")</f>
        <v>Thỏ</v>
      </c>
    </row>
    <row r="5388" ht="15.75" customHeight="1">
      <c r="A5388" s="122" t="str">
        <f>IFERROR(__xludf.DUMMYFUNCTION("""COMPUTED_VALUE"""),"0766 710 125")</f>
        <v>0766 710 125</v>
      </c>
      <c r="B5388" s="119" t="str">
        <f>IFERROR(__xludf.DUMMYFUNCTION("""COMPUTED_VALUE"""),"Thuỳ Nhung")</f>
        <v>Thuỳ Nhung</v>
      </c>
      <c r="C5388" s="119" t="str">
        <f>IFERROR(__xludf.DUMMYFUNCTION("""COMPUTED_VALUE"""),"8/5 Lý Nam Đế")</f>
        <v>8/5 Lý Nam Đế</v>
      </c>
      <c r="D5388" s="119" t="str">
        <f>IFERROR(__xludf.DUMMYFUNCTION("""COMPUTED_VALUE"""),"Chó")</f>
        <v>Chó</v>
      </c>
      <c r="E5388" s="119" t="str">
        <f>IFERROR(__xludf.DUMMYFUNCTION("""COMPUTED_VALUE"""),"Bông")</f>
        <v>Bông</v>
      </c>
    </row>
    <row r="5389" ht="15.75" customHeight="1">
      <c r="A5389" s="122" t="str">
        <f>IFERROR(__xludf.DUMMYFUNCTION("""COMPUTED_VALUE"""),"0388 618 006")</f>
        <v>0388 618 006</v>
      </c>
      <c r="B5389" s="119" t="str">
        <f>IFERROR(__xludf.DUMMYFUNCTION("""COMPUTED_VALUE"""),"Hoàng Thanh Phong")</f>
        <v>Hoàng Thanh Phong</v>
      </c>
      <c r="C5389" s="119" t="str">
        <f>IFERROR(__xludf.DUMMYFUNCTION("""COMPUTED_VALUE"""),"Tứ HẠ")</f>
        <v>Tứ HẠ</v>
      </c>
      <c r="D5389" s="119" t="str">
        <f>IFERROR(__xludf.DUMMYFUNCTION("""COMPUTED_VALUE"""),"Chó")</f>
        <v>Chó</v>
      </c>
      <c r="E5389" s="119" t="str">
        <f>IFERROR(__xludf.DUMMYFUNCTION("""COMPUTED_VALUE"""),"Muối")</f>
        <v>Muối</v>
      </c>
    </row>
    <row r="5390" ht="15.75" customHeight="1">
      <c r="A5390" s="122" t="str">
        <f>IFERROR(__xludf.DUMMYFUNCTION("""COMPUTED_VALUE"""),"0913 052 613")</f>
        <v>0913 052 613</v>
      </c>
      <c r="B5390" s="119" t="str">
        <f>IFERROR(__xludf.DUMMYFUNCTION("""COMPUTED_VALUE"""),"Chú Phi")</f>
        <v>Chú Phi</v>
      </c>
      <c r="C5390" s="119" t="str">
        <f>IFERROR(__xludf.DUMMYFUNCTION("""COMPUTED_VALUE"""),"3/500 Bùi Thị Xuân")</f>
        <v>3/500 Bùi Thị Xuân</v>
      </c>
      <c r="D5390" s="119" t="str">
        <f>IFERROR(__xludf.DUMMYFUNCTION("""COMPUTED_VALUE"""),"Mèo")</f>
        <v>Mèo</v>
      </c>
      <c r="E5390" s="119"/>
    </row>
    <row r="5391" ht="15.75" customHeight="1">
      <c r="A5391" s="122" t="str">
        <f>IFERROR(__xludf.DUMMYFUNCTION("""COMPUTED_VALUE"""),"0332 574 888")</f>
        <v>0332 574 888</v>
      </c>
      <c r="B5391" s="119" t="str">
        <f>IFERROR(__xludf.DUMMYFUNCTION("""COMPUTED_VALUE"""),"Anh Long")</f>
        <v>Anh Long</v>
      </c>
      <c r="C5391" s="119" t="str">
        <f>IFERROR(__xludf.DUMMYFUNCTION("""COMPUTED_VALUE"""),"Phú Lộc")</f>
        <v>Phú Lộc</v>
      </c>
      <c r="D5391" s="119" t="str">
        <f>IFERROR(__xludf.DUMMYFUNCTION("""COMPUTED_VALUE"""),"Chó")</f>
        <v>Chó</v>
      </c>
      <c r="E5391" s="119" t="str">
        <f>IFERROR(__xludf.DUMMYFUNCTION("""COMPUTED_VALUE"""),"Sam")</f>
        <v>Sam</v>
      </c>
    </row>
    <row r="5392" ht="15.75" customHeight="1">
      <c r="A5392" s="122" t="str">
        <f>IFERROR(__xludf.DUMMYFUNCTION("""COMPUTED_VALUE"""),"0907 431 940")</f>
        <v>0907 431 940</v>
      </c>
      <c r="B5392" s="119" t="str">
        <f>IFERROR(__xludf.DUMMYFUNCTION("""COMPUTED_VALUE"""),"Em Na")</f>
        <v>Em Na</v>
      </c>
      <c r="C5392" s="119" t="str">
        <f>IFERROR(__xludf.DUMMYFUNCTION("""COMPUTED_VALUE"""),"KTX SV Lào")</f>
        <v>KTX SV Lào</v>
      </c>
      <c r="D5392" s="119" t="str">
        <f>IFERROR(__xludf.DUMMYFUNCTION("""COMPUTED_VALUE"""),"Mèo")</f>
        <v>Mèo</v>
      </c>
      <c r="E5392" s="119" t="str">
        <f>IFERROR(__xludf.DUMMYFUNCTION("""COMPUTED_VALUE"""),"Lukas")</f>
        <v>Lukas</v>
      </c>
    </row>
    <row r="5393" ht="15.75" customHeight="1">
      <c r="A5393" s="122" t="str">
        <f>IFERROR(__xludf.DUMMYFUNCTION("""COMPUTED_VALUE"""),"0812 553 820")</f>
        <v>0812 553 820</v>
      </c>
      <c r="B5393" s="119" t="str">
        <f>IFERROR(__xludf.DUMMYFUNCTION("""COMPUTED_VALUE"""),"Anh Vinh")</f>
        <v>Anh Vinh</v>
      </c>
      <c r="C5393" s="119" t="str">
        <f>IFERROR(__xludf.DUMMYFUNCTION("""COMPUTED_VALUE"""),"Hương Hồ")</f>
        <v>Hương Hồ</v>
      </c>
      <c r="D5393" s="119" t="str">
        <f>IFERROR(__xludf.DUMMYFUNCTION("""COMPUTED_VALUE"""),"Chó")</f>
        <v>Chó</v>
      </c>
      <c r="E5393" s="119" t="str">
        <f>IFERROR(__xludf.DUMMYFUNCTION("""COMPUTED_VALUE"""),"Nâu")</f>
        <v>Nâu</v>
      </c>
    </row>
    <row r="5394" ht="15.75" customHeight="1">
      <c r="A5394" s="122" t="str">
        <f>IFERROR(__xludf.DUMMYFUNCTION("""COMPUTED_VALUE"""),"0903 988 383")</f>
        <v>0903 988 383</v>
      </c>
      <c r="B5394" s="119" t="str">
        <f>IFERROR(__xludf.DUMMYFUNCTION("""COMPUTED_VALUE"""),"Chị khánh Chi")</f>
        <v>Chị khánh Chi</v>
      </c>
      <c r="C5394" s="119"/>
      <c r="D5394" s="119" t="str">
        <f>IFERROR(__xludf.DUMMYFUNCTION("""COMPUTED_VALUE"""),"Chó")</f>
        <v>Chó</v>
      </c>
      <c r="E5394" s="119" t="str">
        <f>IFERROR(__xludf.DUMMYFUNCTION("""COMPUTED_VALUE"""),"Bo")</f>
        <v>Bo</v>
      </c>
    </row>
    <row r="5395" ht="15.75" customHeight="1">
      <c r="A5395" s="122" t="str">
        <f>IFERROR(__xludf.DUMMYFUNCTION("""COMPUTED_VALUE"""),"0815 555 345")</f>
        <v>0815 555 345</v>
      </c>
      <c r="B5395" s="119" t="str">
        <f>IFERROR(__xludf.DUMMYFUNCTION("""COMPUTED_VALUE"""),"Anh Hoàng")</f>
        <v>Anh Hoàng</v>
      </c>
      <c r="C5395" s="119" t="str">
        <f>IFERROR(__xludf.DUMMYFUNCTION("""COMPUTED_VALUE"""),"15/314 Lý NAm Đế")</f>
        <v>15/314 Lý NAm Đế</v>
      </c>
      <c r="D5395" s="119" t="str">
        <f>IFERROR(__xludf.DUMMYFUNCTION("""COMPUTED_VALUE"""),"Chó")</f>
        <v>Chó</v>
      </c>
      <c r="E5395" s="119" t="str">
        <f>IFERROR(__xludf.DUMMYFUNCTION("""COMPUTED_VALUE"""),"Mít")</f>
        <v>Mít</v>
      </c>
    </row>
    <row r="5396" ht="15.75" customHeight="1">
      <c r="A5396" s="122" t="str">
        <f>IFERROR(__xludf.DUMMYFUNCTION("""COMPUTED_VALUE"""),"0829 425 154")</f>
        <v>0829 425 154</v>
      </c>
      <c r="B5396" s="119" t="str">
        <f>IFERROR(__xludf.DUMMYFUNCTION("""COMPUTED_VALUE"""),"Em Hoàng")</f>
        <v>Em Hoàng</v>
      </c>
      <c r="C5396" s="119" t="str">
        <f>IFERROR(__xludf.DUMMYFUNCTION("""COMPUTED_VALUE"""),"k33 Nguyễn Hoàng")</f>
        <v>k33 Nguyễn Hoàng</v>
      </c>
      <c r="D5396" s="119" t="str">
        <f>IFERROR(__xludf.DUMMYFUNCTION("""COMPUTED_VALUE"""),"Mèo")</f>
        <v>Mèo</v>
      </c>
      <c r="E5396" s="119" t="str">
        <f>IFERROR(__xludf.DUMMYFUNCTION("""COMPUTED_VALUE"""),"Meo")</f>
        <v>Meo</v>
      </c>
    </row>
    <row r="5397" ht="15.75" customHeight="1">
      <c r="A5397" s="122" t="str">
        <f>IFERROR(__xludf.DUMMYFUNCTION("""COMPUTED_VALUE"""),"0914 151 350")</f>
        <v>0914 151 350</v>
      </c>
      <c r="B5397" s="119" t="str">
        <f>IFERROR(__xludf.DUMMYFUNCTION("""COMPUTED_VALUE"""),"Trương Thị Hiệp")</f>
        <v>Trương Thị Hiệp</v>
      </c>
      <c r="C5397" s="119" t="str">
        <f>IFERROR(__xludf.DUMMYFUNCTION("""COMPUTED_VALUE"""),"5/56 Duy Tân")</f>
        <v>5/56 Duy Tân</v>
      </c>
      <c r="D5397" s="119" t="str">
        <f>IFERROR(__xludf.DUMMYFUNCTION("""COMPUTED_VALUE"""),"Chó")</f>
        <v>Chó</v>
      </c>
      <c r="E5397" s="119" t="str">
        <f>IFERROR(__xludf.DUMMYFUNCTION("""COMPUTED_VALUE"""),"Tôm")</f>
        <v>Tôm</v>
      </c>
    </row>
    <row r="5398" ht="15.75" customHeight="1">
      <c r="A5398" s="122" t="str">
        <f>IFERROR(__xludf.DUMMYFUNCTION("""COMPUTED_VALUE"""),"0766 527 760")</f>
        <v>0766 527 760</v>
      </c>
      <c r="B5398" s="119" t="str">
        <f>IFERROR(__xludf.DUMMYFUNCTION("""COMPUTED_VALUE"""),"Anh Tuấn")</f>
        <v>Anh Tuấn</v>
      </c>
      <c r="C5398" s="119" t="str">
        <f>IFERROR(__xludf.DUMMYFUNCTION("""COMPUTED_VALUE"""),"Hương Toàn")</f>
        <v>Hương Toàn</v>
      </c>
      <c r="D5398" s="119" t="str">
        <f>IFERROR(__xludf.DUMMYFUNCTION("""COMPUTED_VALUE"""),"Chó")</f>
        <v>Chó</v>
      </c>
      <c r="E5398" s="119" t="str">
        <f>IFERROR(__xludf.DUMMYFUNCTION("""COMPUTED_VALUE"""),"La")</f>
        <v>La</v>
      </c>
    </row>
    <row r="5399" ht="15.75" customHeight="1">
      <c r="A5399" s="122" t="str">
        <f>IFERROR(__xludf.DUMMYFUNCTION("""COMPUTED_VALUE"""),"0794 660 289")</f>
        <v>0794 660 289</v>
      </c>
      <c r="B5399" s="119" t="str">
        <f>IFERROR(__xludf.DUMMYFUNCTION("""COMPUTED_VALUE"""),"Dì Hoà")</f>
        <v>Dì Hoà</v>
      </c>
      <c r="C5399" s="119" t="str">
        <f>IFERROR(__xludf.DUMMYFUNCTION("""COMPUTED_VALUE"""),"23 Lý Nam Đế")</f>
        <v>23 Lý Nam Đế</v>
      </c>
      <c r="D5399" s="119" t="str">
        <f>IFERROR(__xludf.DUMMYFUNCTION("""COMPUTED_VALUE"""),"Mèo")</f>
        <v>Mèo</v>
      </c>
      <c r="E5399" s="119" t="str">
        <f>IFERROR(__xludf.DUMMYFUNCTION("""COMPUTED_VALUE"""),"Meo")</f>
        <v>Meo</v>
      </c>
    </row>
    <row r="5400" ht="15.75" customHeight="1">
      <c r="A5400" s="122" t="str">
        <f>IFERROR(__xludf.DUMMYFUNCTION("""COMPUTED_VALUE"""),"0395 435 772")</f>
        <v>0395 435 772</v>
      </c>
      <c r="B5400" s="119" t="str">
        <f>IFERROR(__xludf.DUMMYFUNCTION("""COMPUTED_VALUE"""),"Nguyễn Thị Thuỳ Linh")</f>
        <v>Nguyễn Thị Thuỳ Linh</v>
      </c>
      <c r="C5400" s="119" t="str">
        <f>IFERROR(__xludf.DUMMYFUNCTION("""COMPUTED_VALUE"""),"16/15 Nguyễn Hữu Dật")</f>
        <v>16/15 Nguyễn Hữu Dật</v>
      </c>
      <c r="D5400" s="119" t="str">
        <f>IFERROR(__xludf.DUMMYFUNCTION("""COMPUTED_VALUE"""),"Chó")</f>
        <v>Chó</v>
      </c>
      <c r="E5400" s="119" t="str">
        <f>IFERROR(__xludf.DUMMYFUNCTION("""COMPUTED_VALUE"""),"Thúi")</f>
        <v>Thúi</v>
      </c>
    </row>
    <row r="5401" ht="15.75" customHeight="1">
      <c r="A5401" s="122" t="str">
        <f>IFERROR(__xludf.DUMMYFUNCTION("""COMPUTED_VALUE"""),"0787 091 856")</f>
        <v>0787 091 856</v>
      </c>
      <c r="B5401" s="119" t="str">
        <f>IFERROR(__xludf.DUMMYFUNCTION("""COMPUTED_VALUE"""),"Anh Lộc")</f>
        <v>Anh Lộc</v>
      </c>
      <c r="C5401" s="119" t="str">
        <f>IFERROR(__xludf.DUMMYFUNCTION("""COMPUTED_VALUE"""),"8/83 Vạn Xuân")</f>
        <v>8/83 Vạn Xuân</v>
      </c>
      <c r="D5401" s="119" t="str">
        <f>IFERROR(__xludf.DUMMYFUNCTION("""COMPUTED_VALUE"""),"Chó")</f>
        <v>Chó</v>
      </c>
      <c r="E5401" s="119" t="str">
        <f>IFERROR(__xludf.DUMMYFUNCTION("""COMPUTED_VALUE"""),"Bia")</f>
        <v>Bia</v>
      </c>
    </row>
    <row r="5402" ht="15.75" customHeight="1">
      <c r="A5402" s="122" t="str">
        <f>IFERROR(__xludf.DUMMYFUNCTION("""COMPUTED_VALUE"""),"0398 212 987")</f>
        <v>0398 212 987</v>
      </c>
      <c r="B5402" s="119" t="str">
        <f>IFERROR(__xludf.DUMMYFUNCTION("""COMPUTED_VALUE"""),"Em Cẩm Như")</f>
        <v>Em Cẩm Như</v>
      </c>
      <c r="C5402" s="119" t="str">
        <f>IFERROR(__xludf.DUMMYFUNCTION("""COMPUTED_VALUE"""),"1/16 Nguyễn Hữu Dật")</f>
        <v>1/16 Nguyễn Hữu Dật</v>
      </c>
      <c r="D5402" s="119" t="str">
        <f>IFERROR(__xludf.DUMMYFUNCTION("""COMPUTED_VALUE"""),"Thỏ")</f>
        <v>Thỏ</v>
      </c>
      <c r="E5402" s="119" t="str">
        <f>IFERROR(__xludf.DUMMYFUNCTION("""COMPUTED_VALUE"""),"Thỏ")</f>
        <v>Thỏ</v>
      </c>
    </row>
    <row r="5403" ht="15.75" customHeight="1">
      <c r="A5403" s="122" t="str">
        <f>IFERROR(__xludf.DUMMYFUNCTION("""COMPUTED_VALUE"""),"0795 555 968")</f>
        <v>0795 555 968</v>
      </c>
      <c r="B5403" s="119" t="str">
        <f>IFERROR(__xludf.DUMMYFUNCTION("""COMPUTED_VALUE"""),"Nguyễn Minh Hoàng")</f>
        <v>Nguyễn Minh Hoàng</v>
      </c>
      <c r="C5403" s="119" t="str">
        <f>IFERROR(__xludf.DUMMYFUNCTION("""COMPUTED_VALUE"""),"5/709 Nguyễn Tất Thành")</f>
        <v>5/709 Nguyễn Tất Thành</v>
      </c>
      <c r="D5403" s="119" t="str">
        <f>IFERROR(__xludf.DUMMYFUNCTION("""COMPUTED_VALUE"""),"Chó")</f>
        <v>Chó</v>
      </c>
      <c r="E5403" s="119" t="str">
        <f>IFERROR(__xludf.DUMMYFUNCTION("""COMPUTED_VALUE"""),"Ken")</f>
        <v>Ken</v>
      </c>
    </row>
    <row r="5404" ht="15.75" customHeight="1">
      <c r="A5404" s="122" t="str">
        <f>IFERROR(__xludf.DUMMYFUNCTION("""COMPUTED_VALUE"""),"0935 362 884")</f>
        <v>0935 362 884</v>
      </c>
      <c r="B5404" s="119" t="str">
        <f>IFERROR(__xludf.DUMMYFUNCTION("""COMPUTED_VALUE"""),"Chị Thư")</f>
        <v>Chị Thư</v>
      </c>
      <c r="C5404" s="119" t="str">
        <f>IFERROR(__xludf.DUMMYFUNCTION("""COMPUTED_VALUE"""),"17B Yết Kiêu")</f>
        <v>17B Yết Kiêu</v>
      </c>
      <c r="D5404" s="119" t="str">
        <f>IFERROR(__xludf.DUMMYFUNCTION("""COMPUTED_VALUE"""),"Chó")</f>
        <v>Chó</v>
      </c>
      <c r="E5404" s="119" t="str">
        <f>IFERROR(__xludf.DUMMYFUNCTION("""COMPUTED_VALUE"""),"Lu")</f>
        <v>Lu</v>
      </c>
    </row>
    <row r="5405" ht="15.75" customHeight="1">
      <c r="A5405" s="122" t="str">
        <f>IFERROR(__xludf.DUMMYFUNCTION("""COMPUTED_VALUE"""),"0935 353 005")</f>
        <v>0935 353 005</v>
      </c>
      <c r="B5405" s="119" t="str">
        <f>IFERROR(__xludf.DUMMYFUNCTION("""COMPUTED_VALUE"""),"Anh Tiến")</f>
        <v>Anh Tiến</v>
      </c>
      <c r="C5405" s="119" t="str">
        <f>IFERROR(__xludf.DUMMYFUNCTION("""COMPUTED_VALUE"""),"38 Phú Mộng")</f>
        <v>38 Phú Mộng</v>
      </c>
      <c r="D5405" s="119" t="str">
        <f>IFERROR(__xludf.DUMMYFUNCTION("""COMPUTED_VALUE"""),"Chó")</f>
        <v>Chó</v>
      </c>
      <c r="E5405" s="119" t="str">
        <f>IFERROR(__xludf.DUMMYFUNCTION("""COMPUTED_VALUE"""),"Lisa")</f>
        <v>Lisa</v>
      </c>
    </row>
    <row r="5406" ht="15.75" customHeight="1">
      <c r="A5406" s="122" t="str">
        <f>IFERROR(__xludf.DUMMYFUNCTION("""COMPUTED_VALUE"""),"0905 335 861")</f>
        <v>0905 335 861</v>
      </c>
      <c r="B5406" s="119" t="str">
        <f>IFERROR(__xludf.DUMMYFUNCTION("""COMPUTED_VALUE"""),"Hoàng Trọng Hưng")</f>
        <v>Hoàng Trọng Hưng</v>
      </c>
      <c r="C5406" s="119" t="str">
        <f>IFERROR(__xludf.DUMMYFUNCTION("""COMPUTED_VALUE"""),"k14 Võ Văn Kiệt")</f>
        <v>k14 Võ Văn Kiệt</v>
      </c>
      <c r="D5406" s="119" t="str">
        <f>IFERROR(__xludf.DUMMYFUNCTION("""COMPUTED_VALUE"""),"Chó")</f>
        <v>Chó</v>
      </c>
      <c r="E5406" s="119" t="str">
        <f>IFERROR(__xludf.DUMMYFUNCTION("""COMPUTED_VALUE"""),"baby")</f>
        <v>baby</v>
      </c>
    </row>
    <row r="5407" ht="15.75" customHeight="1">
      <c r="A5407" s="122" t="str">
        <f>IFERROR(__xludf.DUMMYFUNCTION("""COMPUTED_VALUE"""),"0373 845 380")</f>
        <v>0373 845 380</v>
      </c>
      <c r="B5407" s="119" t="str">
        <f>IFERROR(__xludf.DUMMYFUNCTION("""COMPUTED_VALUE"""),"Thầy Nhật Chánh")</f>
        <v>Thầy Nhật Chánh</v>
      </c>
      <c r="C5407" s="119" t="str">
        <f>IFERROR(__xludf.DUMMYFUNCTION("""COMPUTED_VALUE"""),"Học Viện Phật Giáo")</f>
        <v>Học Viện Phật Giáo</v>
      </c>
      <c r="D5407" s="119" t="str">
        <f>IFERROR(__xludf.DUMMYFUNCTION("""COMPUTED_VALUE"""),"Chó")</f>
        <v>Chó</v>
      </c>
      <c r="E5407" s="119" t="str">
        <f>IFERROR(__xludf.DUMMYFUNCTION("""COMPUTED_VALUE"""),"ShiHa")</f>
        <v>ShiHa</v>
      </c>
    </row>
    <row r="5408" ht="15.75" customHeight="1">
      <c r="A5408" s="122" t="str">
        <f>IFERROR(__xludf.DUMMYFUNCTION("""COMPUTED_VALUE"""),"0796 688 441")</f>
        <v>0796 688 441</v>
      </c>
      <c r="B5408" s="119" t="str">
        <f>IFERROR(__xludf.DUMMYFUNCTION("""COMPUTED_VALUE"""),"Chị thanh")</f>
        <v>Chị thanh</v>
      </c>
      <c r="C5408" s="119" t="str">
        <f>IFERROR(__xludf.DUMMYFUNCTION("""COMPUTED_VALUE"""),"61 Lê Duẩn")</f>
        <v>61 Lê Duẩn</v>
      </c>
      <c r="D5408" s="119" t="str">
        <f>IFERROR(__xludf.DUMMYFUNCTION("""COMPUTED_VALUE"""),"Chó")</f>
        <v>Chó</v>
      </c>
      <c r="E5408" s="119" t="str">
        <f>IFERROR(__xludf.DUMMYFUNCTION("""COMPUTED_VALUE"""),"Xu")</f>
        <v>Xu</v>
      </c>
    </row>
    <row r="5409" ht="15.75" customHeight="1">
      <c r="A5409" s="122" t="str">
        <f>IFERROR(__xludf.DUMMYFUNCTION("""COMPUTED_VALUE"""),"0365 747 963")</f>
        <v>0365 747 963</v>
      </c>
      <c r="B5409" s="119" t="str">
        <f>IFERROR(__xludf.DUMMYFUNCTION("""COMPUTED_VALUE"""),"Em Linh")</f>
        <v>Em Linh</v>
      </c>
      <c r="C5409" s="119" t="str">
        <f>IFERROR(__xludf.DUMMYFUNCTION("""COMPUTED_VALUE"""),"4 Huỳnh Đình Túc")</f>
        <v>4 Huỳnh Đình Túc</v>
      </c>
      <c r="D5409" s="119" t="str">
        <f>IFERROR(__xludf.DUMMYFUNCTION("""COMPUTED_VALUE"""),"Chó")</f>
        <v>Chó</v>
      </c>
      <c r="E5409" s="119" t="str">
        <f>IFERROR(__xludf.DUMMYFUNCTION("""COMPUTED_VALUE"""),"Sa")</f>
        <v>Sa</v>
      </c>
    </row>
    <row r="5410" ht="15.75" customHeight="1">
      <c r="A5410" s="122" t="str">
        <f>IFERROR(__xludf.DUMMYFUNCTION("""COMPUTED_VALUE"""),"0799 322 938")</f>
        <v>0799 322 938</v>
      </c>
      <c r="B5410" s="119" t="str">
        <f>IFERROR(__xludf.DUMMYFUNCTION("""COMPUTED_VALUE"""),"Dì Lan")</f>
        <v>Dì Lan</v>
      </c>
      <c r="C5410" s="119" t="str">
        <f>IFERROR(__xludf.DUMMYFUNCTION("""COMPUTED_VALUE"""),"62 Mai Khắc Đôn")</f>
        <v>62 Mai Khắc Đôn</v>
      </c>
      <c r="D5410" s="119" t="str">
        <f>IFERROR(__xludf.DUMMYFUNCTION("""COMPUTED_VALUE"""),"Chó")</f>
        <v>Chó</v>
      </c>
      <c r="E5410" s="119" t="str">
        <f>IFERROR(__xludf.DUMMYFUNCTION("""COMPUTED_VALUE"""),"Ki")</f>
        <v>Ki</v>
      </c>
    </row>
    <row r="5411" ht="15.75" customHeight="1">
      <c r="A5411" s="122" t="str">
        <f>IFERROR(__xludf.DUMMYFUNCTION("""COMPUTED_VALUE"""),"0867 620 025")</f>
        <v>0867 620 025</v>
      </c>
      <c r="B5411" s="119" t="str">
        <f>IFERROR(__xludf.DUMMYFUNCTION("""COMPUTED_VALUE"""),"Cô Thuỳ Dung")</f>
        <v>Cô Thuỳ Dung</v>
      </c>
      <c r="C5411" s="119" t="str">
        <f>IFERROR(__xludf.DUMMYFUNCTION("""COMPUTED_VALUE"""),"Chùa Huyền Trang")</f>
        <v>Chùa Huyền Trang</v>
      </c>
      <c r="D5411" s="119" t="str">
        <f>IFERROR(__xludf.DUMMYFUNCTION("""COMPUTED_VALUE"""),"Chó")</f>
        <v>Chó</v>
      </c>
      <c r="E5411" s="119" t="str">
        <f>IFERROR(__xludf.DUMMYFUNCTION("""COMPUTED_VALUE"""),"Xù")</f>
        <v>Xù</v>
      </c>
    </row>
    <row r="5412" ht="15.75" customHeight="1">
      <c r="A5412" s="122" t="str">
        <f>IFERROR(__xludf.DUMMYFUNCTION("""COMPUTED_VALUE"""),"0395 035 876")</f>
        <v>0395 035 876</v>
      </c>
      <c r="B5412" s="119" t="str">
        <f>IFERROR(__xludf.DUMMYFUNCTION("""COMPUTED_VALUE"""),"Anh Bùi Viết Quý")</f>
        <v>Anh Bùi Viết Quý</v>
      </c>
      <c r="C5412" s="119" t="str">
        <f>IFERROR(__xludf.DUMMYFUNCTION("""COMPUTED_VALUE"""),"68 Kế Ngô- Phong Điền")</f>
        <v>68 Kế Ngô- Phong Điền</v>
      </c>
      <c r="D5412" s="119" t="str">
        <f>IFERROR(__xludf.DUMMYFUNCTION("""COMPUTED_VALUE"""),"Mèo")</f>
        <v>Mèo</v>
      </c>
      <c r="E5412" s="119" t="str">
        <f>IFERROR(__xludf.DUMMYFUNCTION("""COMPUTED_VALUE"""),"Bông")</f>
        <v>Bông</v>
      </c>
    </row>
    <row r="5413" ht="15.75" customHeight="1">
      <c r="A5413" s="122" t="str">
        <f>IFERROR(__xludf.DUMMYFUNCTION("""COMPUTED_VALUE"""),"0935 025 566")</f>
        <v>0935 025 566</v>
      </c>
      <c r="B5413" s="119" t="str">
        <f>IFERROR(__xludf.DUMMYFUNCTION("""COMPUTED_VALUE"""),"Dì Cẩm")</f>
        <v>Dì Cẩm</v>
      </c>
      <c r="C5413" s="119" t="str">
        <f>IFERROR(__xludf.DUMMYFUNCTION("""COMPUTED_VALUE"""),"Bàu Vá")</f>
        <v>Bàu Vá</v>
      </c>
      <c r="D5413" s="119" t="str">
        <f>IFERROR(__xludf.DUMMYFUNCTION("""COMPUTED_VALUE"""),"Mèo")</f>
        <v>Mèo</v>
      </c>
      <c r="E5413" s="119" t="str">
        <f>IFERROR(__xludf.DUMMYFUNCTION("""COMPUTED_VALUE"""),"Happy Dưa")</f>
        <v>Happy Dưa</v>
      </c>
    </row>
    <row r="5414" ht="15.75" customHeight="1">
      <c r="A5414" s="122" t="str">
        <f>IFERROR(__xludf.DUMMYFUNCTION("""COMPUTED_VALUE"""),"0905 935 685")</f>
        <v>0905 935 685</v>
      </c>
      <c r="B5414" s="119" t="str">
        <f>IFERROR(__xludf.DUMMYFUNCTION("""COMPUTED_VALUE"""),"Anh Đỗ Hữu Đức")</f>
        <v>Anh Đỗ Hữu Đức</v>
      </c>
      <c r="C5414" s="119" t="str">
        <f>IFERROR(__xludf.DUMMYFUNCTION("""COMPUTED_VALUE"""),"60 Nguyễn Hoàng")</f>
        <v>60 Nguyễn Hoàng</v>
      </c>
      <c r="D5414" s="119" t="str">
        <f>IFERROR(__xludf.DUMMYFUNCTION("""COMPUTED_VALUE"""),"Chó")</f>
        <v>Chó</v>
      </c>
      <c r="E5414" s="119" t="str">
        <f>IFERROR(__xludf.DUMMYFUNCTION("""COMPUTED_VALUE"""),"Lu")</f>
        <v>Lu</v>
      </c>
    </row>
    <row r="5415" ht="15.75" customHeight="1">
      <c r="A5415" s="122" t="str">
        <f>IFERROR(__xludf.DUMMYFUNCTION("""COMPUTED_VALUE"""),"0932 571 932")</f>
        <v>0932 571 932</v>
      </c>
      <c r="B5415" s="119" t="str">
        <f>IFERROR(__xludf.DUMMYFUNCTION("""COMPUTED_VALUE"""),"dÌ Kim Phượng")</f>
        <v>dÌ Kim Phượng</v>
      </c>
      <c r="C5415" s="119" t="str">
        <f>IFERROR(__xludf.DUMMYFUNCTION("""COMPUTED_VALUE"""),"78/4 Phạm Thị Liên")</f>
        <v>78/4 Phạm Thị Liên</v>
      </c>
      <c r="D5415" s="119" t="str">
        <f>IFERROR(__xludf.DUMMYFUNCTION("""COMPUTED_VALUE"""),"Mèo")</f>
        <v>Mèo</v>
      </c>
      <c r="E5415" s="119" t="str">
        <f>IFERROR(__xludf.DUMMYFUNCTION("""COMPUTED_VALUE"""),"Đen")</f>
        <v>Đen</v>
      </c>
    </row>
    <row r="5416" ht="15.75" customHeight="1">
      <c r="A5416" s="122" t="str">
        <f>IFERROR(__xludf.DUMMYFUNCTION("""COMPUTED_VALUE"""),"0382 561 500")</f>
        <v>0382 561 500</v>
      </c>
      <c r="B5416" s="119" t="str">
        <f>IFERROR(__xludf.DUMMYFUNCTION("""COMPUTED_VALUE"""),"Trần Nguyễn Kim Ngân")</f>
        <v>Trần Nguyễn Kim Ngân</v>
      </c>
      <c r="C5416" s="119" t="str">
        <f>IFERROR(__xludf.DUMMYFUNCTION("""COMPUTED_VALUE"""),"15/54 Nguyễn Phúc Nguyên")</f>
        <v>15/54 Nguyễn Phúc Nguyên</v>
      </c>
      <c r="D5416" s="119" t="str">
        <f>IFERROR(__xludf.DUMMYFUNCTION("""COMPUTED_VALUE"""),"mèo")</f>
        <v>mèo</v>
      </c>
      <c r="E5416" s="119" t="str">
        <f>IFERROR(__xludf.DUMMYFUNCTION("""COMPUTED_VALUE"""),"Min")</f>
        <v>Min</v>
      </c>
    </row>
    <row r="5417" ht="15.75" customHeight="1">
      <c r="A5417" s="122" t="str">
        <f>IFERROR(__xludf.DUMMYFUNCTION("""COMPUTED_VALUE"""),"0932 511 611")</f>
        <v>0932 511 611</v>
      </c>
      <c r="B5417" s="119" t="str">
        <f>IFERROR(__xludf.DUMMYFUNCTION("""COMPUTED_VALUE"""),"Anh Thành")</f>
        <v>Anh Thành</v>
      </c>
      <c r="C5417" s="119" t="str">
        <f>IFERROR(__xludf.DUMMYFUNCTION("""COMPUTED_VALUE"""),"182 Tôn Thất Thiệp")</f>
        <v>182 Tôn Thất Thiệp</v>
      </c>
      <c r="D5417" s="119" t="str">
        <f>IFERROR(__xludf.DUMMYFUNCTION("""COMPUTED_VALUE"""),"Chó")</f>
        <v>Chó</v>
      </c>
      <c r="E5417" s="119" t="str">
        <f>IFERROR(__xludf.DUMMYFUNCTION("""COMPUTED_VALUE"""),"Vàng")</f>
        <v>Vàng</v>
      </c>
    </row>
    <row r="5418" ht="15.75" customHeight="1">
      <c r="A5418" s="122" t="str">
        <f>IFERROR(__xludf.DUMMYFUNCTION("""COMPUTED_VALUE"""),"0345 875 877")</f>
        <v>0345 875 877</v>
      </c>
      <c r="B5418" s="119" t="str">
        <f>IFERROR(__xludf.DUMMYFUNCTION("""COMPUTED_VALUE"""),"Chị Quỳnh Hương")</f>
        <v>Chị Quỳnh Hương</v>
      </c>
      <c r="C5418" s="119" t="str">
        <f>IFERROR(__xludf.DUMMYFUNCTION("""COMPUTED_VALUE"""),"Phú Hồ- Phú VAng")</f>
        <v>Phú Hồ- Phú VAng</v>
      </c>
      <c r="D5418" s="119" t="str">
        <f>IFERROR(__xludf.DUMMYFUNCTION("""COMPUTED_VALUE"""),"Chó")</f>
        <v>Chó</v>
      </c>
      <c r="E5418" s="119" t="str">
        <f>IFERROR(__xludf.DUMMYFUNCTION("""COMPUTED_VALUE"""),"Đen")</f>
        <v>Đen</v>
      </c>
    </row>
    <row r="5419" ht="15.75" customHeight="1">
      <c r="A5419" s="122" t="str">
        <f>IFERROR(__xludf.DUMMYFUNCTION("""COMPUTED_VALUE"""),"0914 355 177")</f>
        <v>0914 355 177</v>
      </c>
      <c r="B5419" s="119" t="str">
        <f>IFERROR(__xludf.DUMMYFUNCTION("""COMPUTED_VALUE"""),"Sư Cô Thanh Nhã")</f>
        <v>Sư Cô Thanh Nhã</v>
      </c>
      <c r="C5419" s="119" t="str">
        <f>IFERROR(__xludf.DUMMYFUNCTION("""COMPUTED_VALUE"""),"Quảng Trị")</f>
        <v>Quảng Trị</v>
      </c>
      <c r="D5419" s="119" t="str">
        <f>IFERROR(__xludf.DUMMYFUNCTION("""COMPUTED_VALUE"""),"Chó")</f>
        <v>Chó</v>
      </c>
      <c r="E5419" s="119" t="str">
        <f>IFERROR(__xludf.DUMMYFUNCTION("""COMPUTED_VALUE"""),"Xù")</f>
        <v>Xù</v>
      </c>
    </row>
    <row r="5420" ht="15.75" customHeight="1">
      <c r="A5420" s="122" t="str">
        <f>IFERROR(__xludf.DUMMYFUNCTION("""COMPUTED_VALUE"""),"0795 714 204")</f>
        <v>0795 714 204</v>
      </c>
      <c r="B5420" s="119" t="str">
        <f>IFERROR(__xludf.DUMMYFUNCTION("""COMPUTED_VALUE"""),"Anh Tuấn")</f>
        <v>Anh Tuấn</v>
      </c>
      <c r="C5420" s="119"/>
      <c r="D5420" s="119" t="str">
        <f>IFERROR(__xludf.DUMMYFUNCTION("""COMPUTED_VALUE"""),"Chó")</f>
        <v>Chó</v>
      </c>
      <c r="E5420" s="119" t="str">
        <f>IFERROR(__xludf.DUMMYFUNCTION("""COMPUTED_VALUE"""),"La")</f>
        <v>La</v>
      </c>
    </row>
    <row r="5421" ht="15.75" customHeight="1">
      <c r="A5421" s="122" t="str">
        <f>IFERROR(__xludf.DUMMYFUNCTION("""COMPUTED_VALUE"""),"0706 059 159")</f>
        <v>0706 059 159</v>
      </c>
      <c r="B5421" s="119" t="str">
        <f>IFERROR(__xludf.DUMMYFUNCTION("""COMPUTED_VALUE"""),"Dì Huyền")</f>
        <v>Dì Huyền</v>
      </c>
      <c r="C5421" s="119" t="str">
        <f>IFERROR(__xludf.DUMMYFUNCTION("""COMPUTED_VALUE"""),"Hương Đồng")</f>
        <v>Hương Đồng</v>
      </c>
      <c r="D5421" s="119" t="str">
        <f>IFERROR(__xludf.DUMMYFUNCTION("""COMPUTED_VALUE"""),"Chó")</f>
        <v>Chó</v>
      </c>
      <c r="E5421" s="119" t="str">
        <f>IFERROR(__xludf.DUMMYFUNCTION("""COMPUTED_VALUE"""),"Cuội")</f>
        <v>Cuội</v>
      </c>
    </row>
    <row r="5422" ht="15.75" customHeight="1">
      <c r="A5422" s="122" t="str">
        <f>IFERROR(__xludf.DUMMYFUNCTION("""COMPUTED_VALUE"""),"0915 468 660")</f>
        <v>0915 468 660</v>
      </c>
      <c r="B5422" s="119" t="str">
        <f>IFERROR(__xludf.DUMMYFUNCTION("""COMPUTED_VALUE"""),"Chị Hiệp")</f>
        <v>Chị Hiệp</v>
      </c>
      <c r="C5422" s="119" t="str">
        <f>IFERROR(__xludf.DUMMYFUNCTION("""COMPUTED_VALUE"""),"214 Lý NAm Đế")</f>
        <v>214 Lý NAm Đế</v>
      </c>
      <c r="D5422" s="119" t="str">
        <f>IFERROR(__xludf.DUMMYFUNCTION("""COMPUTED_VALUE"""),"Chó")</f>
        <v>Chó</v>
      </c>
      <c r="E5422" s="119" t="str">
        <f>IFERROR(__xludf.DUMMYFUNCTION("""COMPUTED_VALUE"""),"Choắt")</f>
        <v>Choắt</v>
      </c>
    </row>
    <row r="5423" ht="15.75" customHeight="1">
      <c r="A5423" s="122" t="str">
        <f>IFERROR(__xludf.DUMMYFUNCTION("""COMPUTED_VALUE"""),"0399 014 915")</f>
        <v>0399 014 915</v>
      </c>
      <c r="B5423" s="119" t="str">
        <f>IFERROR(__xludf.DUMMYFUNCTION("""COMPUTED_VALUE"""),"Mỹ Sv")</f>
        <v>Mỹ Sv</v>
      </c>
      <c r="C5423" s="119" t="str">
        <f>IFERROR(__xludf.DUMMYFUNCTION("""COMPUTED_VALUE"""),"10A/195 Nguyễn Trãi")</f>
        <v>10A/195 Nguyễn Trãi</v>
      </c>
      <c r="D5423" s="119" t="str">
        <f>IFERROR(__xludf.DUMMYFUNCTION("""COMPUTED_VALUE"""),"Mèo")</f>
        <v>Mèo</v>
      </c>
      <c r="E5423" s="119" t="str">
        <f>IFERROR(__xludf.DUMMYFUNCTION("""COMPUTED_VALUE"""),"Chôc")</f>
        <v>Chôc</v>
      </c>
    </row>
    <row r="5424" ht="15.75" customHeight="1">
      <c r="A5424" s="122" t="str">
        <f>IFERROR(__xludf.DUMMYFUNCTION("""COMPUTED_VALUE"""),"0587 211 111")</f>
        <v>0587 211 111</v>
      </c>
      <c r="B5424" s="119" t="str">
        <f>IFERROR(__xludf.DUMMYFUNCTION("""COMPUTED_VALUE"""),"Anh Trung")</f>
        <v>Anh Trung</v>
      </c>
      <c r="C5424" s="119" t="str">
        <f>IFERROR(__xludf.DUMMYFUNCTION("""COMPUTED_VALUE"""),"5 Nguyễn Phúc Thái")</f>
        <v>5 Nguyễn Phúc Thái</v>
      </c>
      <c r="D5424" s="119" t="str">
        <f>IFERROR(__xludf.DUMMYFUNCTION("""COMPUTED_VALUE"""),"Chó")</f>
        <v>Chó</v>
      </c>
      <c r="E5424" s="119" t="str">
        <f>IFERROR(__xludf.DUMMYFUNCTION("""COMPUTED_VALUE"""),"Vện")</f>
        <v>Vện</v>
      </c>
    </row>
    <row r="5425" ht="15.75" customHeight="1">
      <c r="A5425" s="122" t="str">
        <f>IFERROR(__xludf.DUMMYFUNCTION("""COMPUTED_VALUE"""),"0902 412 221")</f>
        <v>0902 412 221</v>
      </c>
      <c r="B5425" s="119" t="str">
        <f>IFERROR(__xludf.DUMMYFUNCTION("""COMPUTED_VALUE"""),"Thầy Tâm An")</f>
        <v>Thầy Tâm An</v>
      </c>
      <c r="C5425" s="119" t="str">
        <f>IFERROR(__xludf.DUMMYFUNCTION("""COMPUTED_VALUE"""),"chùa Thiên Lâm")</f>
        <v>chùa Thiên Lâm</v>
      </c>
      <c r="D5425" s="119" t="str">
        <f>IFERROR(__xludf.DUMMYFUNCTION("""COMPUTED_VALUE"""),"Chó")</f>
        <v>Chó</v>
      </c>
      <c r="E5425" s="119" t="str">
        <f>IFERROR(__xludf.DUMMYFUNCTION("""COMPUTED_VALUE"""),"Mutti")</f>
        <v>Mutti</v>
      </c>
    </row>
    <row r="5426" ht="15.75" customHeight="1">
      <c r="A5426" s="122" t="str">
        <f>IFERROR(__xludf.DUMMYFUNCTION("""COMPUTED_VALUE"""),"0384 884 026")</f>
        <v>0384 884 026</v>
      </c>
      <c r="B5426" s="119" t="str">
        <f>IFERROR(__xludf.DUMMYFUNCTION("""COMPUTED_VALUE"""),"Anh Thanh Hoá")</f>
        <v>Anh Thanh Hoá</v>
      </c>
      <c r="C5426" s="119" t="str">
        <f>IFERROR(__xludf.DUMMYFUNCTION("""COMPUTED_VALUE"""),"Tứ Hạ")</f>
        <v>Tứ Hạ</v>
      </c>
      <c r="D5426" s="119" t="str">
        <f>IFERROR(__xludf.DUMMYFUNCTION("""COMPUTED_VALUE"""),"Chó")</f>
        <v>Chó</v>
      </c>
      <c r="E5426" s="119" t="str">
        <f>IFERROR(__xludf.DUMMYFUNCTION("""COMPUTED_VALUE"""),"Sứ")</f>
        <v>Sứ</v>
      </c>
    </row>
    <row r="5427" ht="15.75" customHeight="1">
      <c r="A5427" s="122" t="str">
        <f>IFERROR(__xludf.DUMMYFUNCTION("""COMPUTED_VALUE"""),"0935 813 977")</f>
        <v>0935 813 977</v>
      </c>
      <c r="B5427" s="119" t="str">
        <f>IFERROR(__xludf.DUMMYFUNCTION("""COMPUTED_VALUE"""),"Chú Phước")</f>
        <v>Chú Phước</v>
      </c>
      <c r="C5427" s="119" t="str">
        <f>IFERROR(__xludf.DUMMYFUNCTION("""COMPUTED_VALUE"""),"Bùi Thị Xuân")</f>
        <v>Bùi Thị Xuân</v>
      </c>
      <c r="D5427" s="119" t="str">
        <f>IFERROR(__xludf.DUMMYFUNCTION("""COMPUTED_VALUE"""),"Mèo")</f>
        <v>Mèo</v>
      </c>
      <c r="E5427" s="119" t="str">
        <f>IFERROR(__xludf.DUMMYFUNCTION("""COMPUTED_VALUE"""),"Min")</f>
        <v>Min</v>
      </c>
    </row>
    <row r="5428" ht="15.75" customHeight="1">
      <c r="A5428" s="122" t="str">
        <f>IFERROR(__xludf.DUMMYFUNCTION("""COMPUTED_VALUE"""),"0935 330 952")</f>
        <v>0935 330 952</v>
      </c>
      <c r="B5428" s="119" t="str">
        <f>IFERROR(__xludf.DUMMYFUNCTION("""COMPUTED_VALUE"""),"Chị An")</f>
        <v>Chị An</v>
      </c>
      <c r="C5428" s="119" t="str">
        <f>IFERROR(__xludf.DUMMYFUNCTION("""COMPUTED_VALUE"""),"8/15 Thạch Hãn")</f>
        <v>8/15 Thạch Hãn</v>
      </c>
      <c r="D5428" s="119" t="str">
        <f>IFERROR(__xludf.DUMMYFUNCTION("""COMPUTED_VALUE"""),"Chó")</f>
        <v>Chó</v>
      </c>
      <c r="E5428" s="119" t="str">
        <f>IFERROR(__xludf.DUMMYFUNCTION("""COMPUTED_VALUE"""),"Na")</f>
        <v>Na</v>
      </c>
    </row>
    <row r="5429" ht="15.75" customHeight="1">
      <c r="A5429" s="122" t="str">
        <f>IFERROR(__xludf.DUMMYFUNCTION("""COMPUTED_VALUE"""),"0914 063 914")</f>
        <v>0914 063 914</v>
      </c>
      <c r="B5429" s="119" t="str">
        <f>IFERROR(__xludf.DUMMYFUNCTION("""COMPUTED_VALUE"""),"Chú Nguyện")</f>
        <v>Chú Nguyện</v>
      </c>
      <c r="C5429" s="119" t="str">
        <f>IFERROR(__xludf.DUMMYFUNCTION("""COMPUTED_VALUE"""),"Thuận An")</f>
        <v>Thuận An</v>
      </c>
      <c r="D5429" s="119" t="str">
        <f>IFERROR(__xludf.DUMMYFUNCTION("""COMPUTED_VALUE"""),"Chó")</f>
        <v>Chó</v>
      </c>
      <c r="E5429" s="119" t="str">
        <f>IFERROR(__xludf.DUMMYFUNCTION("""COMPUTED_VALUE"""),"Tin Tin")</f>
        <v>Tin Tin</v>
      </c>
    </row>
    <row r="5430" ht="15.75" customHeight="1">
      <c r="A5430" s="122" t="str">
        <f>IFERROR(__xludf.DUMMYFUNCTION("""COMPUTED_VALUE"""),"0946 629 317")</f>
        <v>0946 629 317</v>
      </c>
      <c r="B5430" s="119" t="str">
        <f>IFERROR(__xludf.DUMMYFUNCTION("""COMPUTED_VALUE"""),"Em Nghi Dung")</f>
        <v>Em Nghi Dung</v>
      </c>
      <c r="C5430" s="119" t="str">
        <f>IFERROR(__xludf.DUMMYFUNCTION("""COMPUTED_VALUE"""),"63/3 Trần Nguyên Đán")</f>
        <v>63/3 Trần Nguyên Đán</v>
      </c>
      <c r="D5430" s="119" t="str">
        <f>IFERROR(__xludf.DUMMYFUNCTION("""COMPUTED_VALUE"""),"Mèo")</f>
        <v>Mèo</v>
      </c>
      <c r="E5430" s="119" t="str">
        <f>IFERROR(__xludf.DUMMYFUNCTION("""COMPUTED_VALUE"""),"Đen")</f>
        <v>Đen</v>
      </c>
    </row>
    <row r="5431" ht="15.75" customHeight="1">
      <c r="A5431" s="122" t="str">
        <f>IFERROR(__xludf.DUMMYFUNCTION("""COMPUTED_VALUE"""),"0929 072 089")</f>
        <v>0929 072 089</v>
      </c>
      <c r="B5431" s="119" t="str">
        <f>IFERROR(__xludf.DUMMYFUNCTION("""COMPUTED_VALUE"""),"Chị Ly")</f>
        <v>Chị Ly</v>
      </c>
      <c r="C5431" s="119" t="str">
        <f>IFERROR(__xludf.DUMMYFUNCTION("""COMPUTED_VALUE"""),"Kim Long")</f>
        <v>Kim Long</v>
      </c>
      <c r="D5431" s="119" t="str">
        <f>IFERROR(__xludf.DUMMYFUNCTION("""COMPUTED_VALUE"""),"Chó")</f>
        <v>Chó</v>
      </c>
      <c r="E5431" s="119" t="str">
        <f>IFERROR(__xludf.DUMMYFUNCTION("""COMPUTED_VALUE"""),"Trắng")</f>
        <v>Trắng</v>
      </c>
    </row>
    <row r="5432" ht="15.75" customHeight="1">
      <c r="A5432" s="122" t="str">
        <f>IFERROR(__xludf.DUMMYFUNCTION("""COMPUTED_VALUE"""),"0947 097 156")</f>
        <v>0947 097 156</v>
      </c>
      <c r="B5432" s="119" t="str">
        <f>IFERROR(__xludf.DUMMYFUNCTION("""COMPUTED_VALUE"""),"Nguyễn Đình Tuấn kiệt")</f>
        <v>Nguyễn Đình Tuấn kiệt</v>
      </c>
      <c r="C5432" s="119" t="str">
        <f>IFERROR(__xludf.DUMMYFUNCTION("""COMPUTED_VALUE"""),"15 Văn Thánh")</f>
        <v>15 Văn Thánh</v>
      </c>
      <c r="D5432" s="119" t="str">
        <f>IFERROR(__xludf.DUMMYFUNCTION("""COMPUTED_VALUE"""),"Mèo")</f>
        <v>Mèo</v>
      </c>
      <c r="E5432" s="119" t="str">
        <f>IFERROR(__xludf.DUMMYFUNCTION("""COMPUTED_VALUE"""),"Đen")</f>
        <v>Đen</v>
      </c>
    </row>
    <row r="5433" ht="15.75" customHeight="1">
      <c r="A5433" s="122" t="str">
        <f>IFERROR(__xludf.DUMMYFUNCTION("""COMPUTED_VALUE"""),"0967 085 678")</f>
        <v>0967 085 678</v>
      </c>
      <c r="B5433" s="119" t="str">
        <f>IFERROR(__xludf.DUMMYFUNCTION("""COMPUTED_VALUE"""),"Chị Vân")</f>
        <v>Chị Vân</v>
      </c>
      <c r="C5433" s="119" t="str">
        <f>IFERROR(__xludf.DUMMYFUNCTION("""COMPUTED_VALUE"""),"2/40 Lý Nam Đé")</f>
        <v>2/40 Lý Nam Đé</v>
      </c>
      <c r="D5433" s="119" t="str">
        <f>IFERROR(__xludf.DUMMYFUNCTION("""COMPUTED_VALUE"""),"Chó")</f>
        <v>Chó</v>
      </c>
      <c r="E5433" s="119" t="str">
        <f>IFERROR(__xludf.DUMMYFUNCTION("""COMPUTED_VALUE"""),"Mít")</f>
        <v>Mít</v>
      </c>
    </row>
    <row r="5434" ht="15.75" customHeight="1">
      <c r="A5434" s="122" t="str">
        <f>IFERROR(__xludf.DUMMYFUNCTION("""COMPUTED_VALUE"""),"0941 769 559")</f>
        <v>0941 769 559</v>
      </c>
      <c r="B5434" s="119" t="str">
        <f>IFERROR(__xludf.DUMMYFUNCTION("""COMPUTED_VALUE"""),"Chị Lan Anh")</f>
        <v>Chị Lan Anh</v>
      </c>
      <c r="C5434" s="119" t="str">
        <f>IFERROR(__xludf.DUMMYFUNCTION("""COMPUTED_VALUE"""),"8 Bùi Viện")</f>
        <v>8 Bùi Viện</v>
      </c>
      <c r="D5434" s="119" t="str">
        <f>IFERROR(__xludf.DUMMYFUNCTION("""COMPUTED_VALUE"""),"Mèo")</f>
        <v>Mèo</v>
      </c>
      <c r="E5434" s="119" t="str">
        <f>IFERROR(__xludf.DUMMYFUNCTION("""COMPUTED_VALUE"""),"La")</f>
        <v>La</v>
      </c>
    </row>
    <row r="5435" ht="15.75" customHeight="1">
      <c r="A5435" s="122" t="str">
        <f>IFERROR(__xludf.DUMMYFUNCTION("""COMPUTED_VALUE"""),"0774 494 819")</f>
        <v>0774 494 819</v>
      </c>
      <c r="B5435" s="119" t="str">
        <f>IFERROR(__xludf.DUMMYFUNCTION("""COMPUTED_VALUE"""),"Chị Ly")</f>
        <v>Chị Ly</v>
      </c>
      <c r="C5435" s="119" t="str">
        <f>IFERROR(__xludf.DUMMYFUNCTION("""COMPUTED_VALUE"""),"133 Vạn Xuân")</f>
        <v>133 Vạn Xuân</v>
      </c>
      <c r="D5435" s="119" t="str">
        <f>IFERROR(__xludf.DUMMYFUNCTION("""COMPUTED_VALUE"""),"Chó")</f>
        <v>Chó</v>
      </c>
      <c r="E5435" s="119" t="str">
        <f>IFERROR(__xludf.DUMMYFUNCTION("""COMPUTED_VALUE"""),"Soda")</f>
        <v>Soda</v>
      </c>
    </row>
    <row r="5436" ht="15.75" customHeight="1">
      <c r="A5436" s="122" t="str">
        <f>IFERROR(__xludf.DUMMYFUNCTION("""COMPUTED_VALUE"""),"0945 569 045")</f>
        <v>0945 569 045</v>
      </c>
      <c r="B5436" s="119" t="str">
        <f>IFERROR(__xludf.DUMMYFUNCTION("""COMPUTED_VALUE"""),"Sư Cô Yến")</f>
        <v>Sư Cô Yến</v>
      </c>
      <c r="C5436" s="119" t="str">
        <f>IFERROR(__xludf.DUMMYFUNCTION("""COMPUTED_VALUE"""),"120 Điện Biên Phủ")</f>
        <v>120 Điện Biên Phủ</v>
      </c>
      <c r="D5436" s="119" t="str">
        <f>IFERROR(__xludf.DUMMYFUNCTION("""COMPUTED_VALUE"""),"Chó")</f>
        <v>Chó</v>
      </c>
      <c r="E5436" s="119" t="str">
        <f>IFERROR(__xludf.DUMMYFUNCTION("""COMPUTED_VALUE"""),"Mun")</f>
        <v>Mun</v>
      </c>
    </row>
    <row r="5437" ht="15.75" customHeight="1">
      <c r="A5437" s="122" t="str">
        <f>IFERROR(__xludf.DUMMYFUNCTION("""COMPUTED_VALUE"""),"0913 490 131")</f>
        <v>0913 490 131</v>
      </c>
      <c r="B5437" s="119" t="str">
        <f>IFERROR(__xludf.DUMMYFUNCTION("""COMPUTED_VALUE"""),"Anh Tuyến")</f>
        <v>Anh Tuyến</v>
      </c>
      <c r="C5437" s="119" t="str">
        <f>IFERROR(__xludf.DUMMYFUNCTION("""COMPUTED_VALUE"""),"11/268 A Điện Biên Phủ")</f>
        <v>11/268 A Điện Biên Phủ</v>
      </c>
      <c r="D5437" s="119" t="str">
        <f>IFERROR(__xludf.DUMMYFUNCTION("""COMPUTED_VALUE"""),"Chó")</f>
        <v>Chó</v>
      </c>
      <c r="E5437" s="119" t="str">
        <f>IFERROR(__xludf.DUMMYFUNCTION("""COMPUTED_VALUE"""),"Lu")</f>
        <v>Lu</v>
      </c>
    </row>
    <row r="5438" ht="15.75" customHeight="1">
      <c r="A5438" s="122" t="str">
        <f>IFERROR(__xludf.DUMMYFUNCTION("""COMPUTED_VALUE"""),"0905 202 093")</f>
        <v>0905 202 093</v>
      </c>
      <c r="B5438" s="119" t="str">
        <f>IFERROR(__xludf.DUMMYFUNCTION("""COMPUTED_VALUE"""),"Chị Hằng")</f>
        <v>Chị Hằng</v>
      </c>
      <c r="C5438" s="119" t="str">
        <f>IFERROR(__xludf.DUMMYFUNCTION("""COMPUTED_VALUE"""),"43 Nguyễn Công Trứ")</f>
        <v>43 Nguyễn Công Trứ</v>
      </c>
      <c r="D5438" s="119" t="str">
        <f>IFERROR(__xludf.DUMMYFUNCTION("""COMPUTED_VALUE"""),"Chó")</f>
        <v>Chó</v>
      </c>
      <c r="E5438" s="119" t="str">
        <f>IFERROR(__xludf.DUMMYFUNCTION("""COMPUTED_VALUE"""),"TIX")</f>
        <v>TIX</v>
      </c>
    </row>
    <row r="5439" ht="15.75" customHeight="1">
      <c r="A5439" s="122" t="str">
        <f>IFERROR(__xludf.DUMMYFUNCTION("""COMPUTED_VALUE"""),"0793 273 237")</f>
        <v>0793 273 237</v>
      </c>
      <c r="B5439" s="119" t="str">
        <f>IFERROR(__xludf.DUMMYFUNCTION("""COMPUTED_VALUE"""),"Anh Thành")</f>
        <v>Anh Thành</v>
      </c>
      <c r="C5439" s="119" t="str">
        <f>IFERROR(__xludf.DUMMYFUNCTION("""COMPUTED_VALUE"""),"04 Nguyễn Phúc Nguyên")</f>
        <v>04 Nguyễn Phúc Nguyên</v>
      </c>
      <c r="D5439" s="119" t="str">
        <f>IFERROR(__xludf.DUMMYFUNCTION("""COMPUTED_VALUE"""),"Chó")</f>
        <v>Chó</v>
      </c>
      <c r="E5439" s="119"/>
    </row>
    <row r="5440" ht="15.75" customHeight="1">
      <c r="A5440" s="122" t="str">
        <f>IFERROR(__xludf.DUMMYFUNCTION("""COMPUTED_VALUE"""),"0359 496 779")</f>
        <v>0359 496 779</v>
      </c>
      <c r="B5440" s="119" t="str">
        <f>IFERROR(__xludf.DUMMYFUNCTION("""COMPUTED_VALUE"""),"Chị An")</f>
        <v>Chị An</v>
      </c>
      <c r="C5440" s="119" t="str">
        <f>IFERROR(__xludf.DUMMYFUNCTION("""COMPUTED_VALUE"""),"81/3 Phạm Thị Liên")</f>
        <v>81/3 Phạm Thị Liên</v>
      </c>
      <c r="D5440" s="119" t="str">
        <f>IFERROR(__xludf.DUMMYFUNCTION("""COMPUTED_VALUE"""),"Chó")</f>
        <v>Chó</v>
      </c>
      <c r="E5440" s="119" t="str">
        <f>IFERROR(__xludf.DUMMYFUNCTION("""COMPUTED_VALUE"""),"Đô")</f>
        <v>Đô</v>
      </c>
    </row>
    <row r="5441" ht="15.75" customHeight="1">
      <c r="A5441" s="122" t="str">
        <f>IFERROR(__xludf.DUMMYFUNCTION("""COMPUTED_VALUE"""),"0914 181 689")</f>
        <v>0914 181 689</v>
      </c>
      <c r="B5441" s="119" t="str">
        <f>IFERROR(__xludf.DUMMYFUNCTION("""COMPUTED_VALUE"""),"Dì Ái Hoa")</f>
        <v>Dì Ái Hoa</v>
      </c>
      <c r="C5441" s="119" t="str">
        <f>IFERROR(__xludf.DUMMYFUNCTION("""COMPUTED_VALUE"""),"53/11 Nguyễn Huệ")</f>
        <v>53/11 Nguyễn Huệ</v>
      </c>
      <c r="D5441" s="119" t="str">
        <f>IFERROR(__xludf.DUMMYFUNCTION("""COMPUTED_VALUE"""),"Chó")</f>
        <v>Chó</v>
      </c>
      <c r="E5441" s="119" t="str">
        <f>IFERROR(__xludf.DUMMYFUNCTION("""COMPUTED_VALUE"""),"Bu")</f>
        <v>Bu</v>
      </c>
    </row>
    <row r="5442" ht="15.75" customHeight="1">
      <c r="A5442" s="122" t="str">
        <f>IFERROR(__xludf.DUMMYFUNCTION("""COMPUTED_VALUE"""),"0914 700 798")</f>
        <v>0914 700 798</v>
      </c>
      <c r="B5442" s="119" t="str">
        <f>IFERROR(__xludf.DUMMYFUNCTION("""COMPUTED_VALUE"""),"Phương Quỳnh")</f>
        <v>Phương Quỳnh</v>
      </c>
      <c r="C5442" s="119" t="str">
        <f>IFERROR(__xludf.DUMMYFUNCTION("""COMPUTED_VALUE"""),"240/43 Lý Nam Đế")</f>
        <v>240/43 Lý Nam Đế</v>
      </c>
      <c r="D5442" s="119" t="str">
        <f>IFERROR(__xludf.DUMMYFUNCTION("""COMPUTED_VALUE"""),"Chó")</f>
        <v>Chó</v>
      </c>
      <c r="E5442" s="119" t="str">
        <f>IFERROR(__xludf.DUMMYFUNCTION("""COMPUTED_VALUE"""),"Si")</f>
        <v>Si</v>
      </c>
    </row>
    <row r="5443" ht="15.75" customHeight="1">
      <c r="A5443" s="122" t="str">
        <f>IFERROR(__xludf.DUMMYFUNCTION("""COMPUTED_VALUE"""),"0905 203 778")</f>
        <v>0905 203 778</v>
      </c>
      <c r="B5443" s="119" t="str">
        <f>IFERROR(__xludf.DUMMYFUNCTION("""COMPUTED_VALUE"""),"Lê Thị Anh")</f>
        <v>Lê Thị Anh</v>
      </c>
      <c r="C5443" s="119" t="str">
        <f>IFERROR(__xludf.DUMMYFUNCTION("""COMPUTED_VALUE"""),"43 Ông Ích Khiêm")</f>
        <v>43 Ông Ích Khiêm</v>
      </c>
      <c r="D5443" s="119" t="str">
        <f>IFERROR(__xludf.DUMMYFUNCTION("""COMPUTED_VALUE"""),"Chó")</f>
        <v>Chó</v>
      </c>
      <c r="E5443" s="119" t="str">
        <f>IFERROR(__xludf.DUMMYFUNCTION("""COMPUTED_VALUE"""),"Gấu")</f>
        <v>Gấu</v>
      </c>
    </row>
    <row r="5444" ht="15.75" customHeight="1">
      <c r="A5444" s="122" t="str">
        <f>IFERROR(__xludf.DUMMYFUNCTION("""COMPUTED_VALUE"""),"0988 119 447")</f>
        <v>0988 119 447</v>
      </c>
      <c r="B5444" s="119" t="str">
        <f>IFERROR(__xludf.DUMMYFUNCTION("""COMPUTED_VALUE"""),"Dì Hoa")</f>
        <v>Dì Hoa</v>
      </c>
      <c r="C5444" s="119" t="str">
        <f>IFERROR(__xludf.DUMMYFUNCTION("""COMPUTED_VALUE"""),"Hương Hồ")</f>
        <v>Hương Hồ</v>
      </c>
      <c r="D5444" s="119" t="str">
        <f>IFERROR(__xludf.DUMMYFUNCTION("""COMPUTED_VALUE"""),"Chó")</f>
        <v>Chó</v>
      </c>
      <c r="E5444" s="119"/>
    </row>
    <row r="5445" ht="15.75" customHeight="1">
      <c r="A5445" s="122" t="str">
        <f>IFERROR(__xludf.DUMMYFUNCTION("""COMPUTED_VALUE"""),"0359 697 996")</f>
        <v>0359 697 996</v>
      </c>
      <c r="B5445" s="119" t="str">
        <f>IFERROR(__xludf.DUMMYFUNCTION("""COMPUTED_VALUE"""),"ANh Toàn")</f>
        <v>ANh Toàn</v>
      </c>
      <c r="C5445" s="119" t="str">
        <f>IFERROR(__xludf.DUMMYFUNCTION("""COMPUTED_VALUE"""),"156 Phan Chu Trinh")</f>
        <v>156 Phan Chu Trinh</v>
      </c>
      <c r="D5445" s="119" t="str">
        <f>IFERROR(__xludf.DUMMYFUNCTION("""COMPUTED_VALUE"""),"Mèo")</f>
        <v>Mèo</v>
      </c>
      <c r="E5445" s="119" t="str">
        <f>IFERROR(__xludf.DUMMYFUNCTION("""COMPUTED_VALUE"""),"Yên")</f>
        <v>Yên</v>
      </c>
    </row>
    <row r="5446" ht="15.75" customHeight="1">
      <c r="A5446" s="122" t="str">
        <f>IFERROR(__xludf.DUMMYFUNCTION("""COMPUTED_VALUE"""),"0339 140 626")</f>
        <v>0339 140 626</v>
      </c>
      <c r="B5446" s="119" t="str">
        <f>IFERROR(__xludf.DUMMYFUNCTION("""COMPUTED_VALUE"""),"Dì Bích Hà")</f>
        <v>Dì Bích Hà</v>
      </c>
      <c r="C5446" s="119" t="str">
        <f>IFERROR(__xludf.DUMMYFUNCTION("""COMPUTED_VALUE"""),"31 Nguyễn Phúc Lan")</f>
        <v>31 Nguyễn Phúc Lan</v>
      </c>
      <c r="D5446" s="119" t="str">
        <f>IFERROR(__xludf.DUMMYFUNCTION("""COMPUTED_VALUE"""),"Chó")</f>
        <v>Chó</v>
      </c>
      <c r="E5446" s="119" t="str">
        <f>IFERROR(__xludf.DUMMYFUNCTION("""COMPUTED_VALUE"""),"Dâu Tây")</f>
        <v>Dâu Tây</v>
      </c>
    </row>
    <row r="5447" ht="15.75" customHeight="1">
      <c r="A5447" s="122" t="str">
        <f>IFERROR(__xludf.DUMMYFUNCTION("""COMPUTED_VALUE"""),"0942 427 705")</f>
        <v>0942 427 705</v>
      </c>
      <c r="B5447" s="119" t="str">
        <f>IFERROR(__xludf.DUMMYFUNCTION("""COMPUTED_VALUE"""),"Dì Trang")</f>
        <v>Dì Trang</v>
      </c>
      <c r="C5447" s="119" t="str">
        <f>IFERROR(__xludf.DUMMYFUNCTION("""COMPUTED_VALUE"""),"187 Phan đình Phùng")</f>
        <v>187 Phan đình Phùng</v>
      </c>
      <c r="D5447" s="119" t="str">
        <f>IFERROR(__xludf.DUMMYFUNCTION("""COMPUTED_VALUE"""),"Chó")</f>
        <v>Chó</v>
      </c>
      <c r="E5447" s="119" t="str">
        <f>IFERROR(__xludf.DUMMYFUNCTION("""COMPUTED_VALUE"""),"Bắp")</f>
        <v>Bắp</v>
      </c>
    </row>
    <row r="5448" ht="15.75" customHeight="1">
      <c r="A5448" s="122" t="str">
        <f>IFERROR(__xludf.DUMMYFUNCTION("""COMPUTED_VALUE"""),"0946 373 136")</f>
        <v>0946 373 136</v>
      </c>
      <c r="B5448" s="119" t="str">
        <f>IFERROR(__xludf.DUMMYFUNCTION("""COMPUTED_VALUE"""),"Chị Tân Hương")</f>
        <v>Chị Tân Hương</v>
      </c>
      <c r="C5448" s="119" t="str">
        <f>IFERROR(__xludf.DUMMYFUNCTION("""COMPUTED_VALUE"""),"2/14 Nguyễn Phúc ALn")</f>
        <v>2/14 Nguyễn Phúc ALn</v>
      </c>
      <c r="D5448" s="119" t="str">
        <f>IFERROR(__xludf.DUMMYFUNCTION("""COMPUTED_VALUE"""),"Chó")</f>
        <v>Chó</v>
      </c>
      <c r="E5448" s="119" t="str">
        <f>IFERROR(__xludf.DUMMYFUNCTION("""COMPUTED_VALUE"""),"Chuối")</f>
        <v>Chuối</v>
      </c>
    </row>
    <row r="5449" ht="15.75" customHeight="1">
      <c r="A5449" s="122" t="str">
        <f>IFERROR(__xludf.DUMMYFUNCTION("""COMPUTED_VALUE"""),"0777 400 145")</f>
        <v>0777 400 145</v>
      </c>
      <c r="B5449" s="119" t="str">
        <f>IFERROR(__xludf.DUMMYFUNCTION("""COMPUTED_VALUE"""),"Chị Phương Chi")</f>
        <v>Chị Phương Chi</v>
      </c>
      <c r="C5449" s="119" t="str">
        <f>IFERROR(__xludf.DUMMYFUNCTION("""COMPUTED_VALUE"""),"6/8/11 Nguyễn PHúc Lan")</f>
        <v>6/8/11 Nguyễn PHúc Lan</v>
      </c>
      <c r="D5449" s="119" t="str">
        <f>IFERROR(__xludf.DUMMYFUNCTION("""COMPUTED_VALUE"""),"Chó")</f>
        <v>Chó</v>
      </c>
      <c r="E5449" s="119" t="str">
        <f>IFERROR(__xludf.DUMMYFUNCTION("""COMPUTED_VALUE"""),"Đen")</f>
        <v>Đen</v>
      </c>
    </row>
    <row r="5450" ht="15.75" customHeight="1">
      <c r="A5450" s="122" t="str">
        <f>IFERROR(__xludf.DUMMYFUNCTION("""COMPUTED_VALUE"""),"0774 538 682")</f>
        <v>0774 538 682</v>
      </c>
      <c r="B5450" s="119" t="str">
        <f>IFERROR(__xludf.DUMMYFUNCTION("""COMPUTED_VALUE"""),"Đạt sv")</f>
        <v>Đạt sv</v>
      </c>
      <c r="C5450" s="119" t="str">
        <f>IFERROR(__xludf.DUMMYFUNCTION("""COMPUTED_VALUE"""),"68 Đào Duy Anh")</f>
        <v>68 Đào Duy Anh</v>
      </c>
      <c r="D5450" s="119" t="str">
        <f>IFERROR(__xludf.DUMMYFUNCTION("""COMPUTED_VALUE"""),"Chó")</f>
        <v>Chó</v>
      </c>
      <c r="E5450" s="119" t="str">
        <f>IFERROR(__xludf.DUMMYFUNCTION("""COMPUTED_VALUE"""),"Ky")</f>
        <v>Ky</v>
      </c>
    </row>
    <row r="5451" ht="15.75" customHeight="1">
      <c r="A5451" s="122" t="str">
        <f>IFERROR(__xludf.DUMMYFUNCTION("""COMPUTED_VALUE"""),"0932 591 647")</f>
        <v>0932 591 647</v>
      </c>
      <c r="B5451" s="119" t="str">
        <f>IFERROR(__xludf.DUMMYFUNCTION("""COMPUTED_VALUE"""),"Em Thảo Huy")</f>
        <v>Em Thảo Huy</v>
      </c>
      <c r="C5451" s="119" t="str">
        <f>IFERROR(__xludf.DUMMYFUNCTION("""COMPUTED_VALUE"""),"17/72 Đào Tấn")</f>
        <v>17/72 Đào Tấn</v>
      </c>
      <c r="D5451" s="119" t="str">
        <f>IFERROR(__xludf.DUMMYFUNCTION("""COMPUTED_VALUE"""),"Chó")</f>
        <v>Chó</v>
      </c>
      <c r="E5451" s="119" t="str">
        <f>IFERROR(__xludf.DUMMYFUNCTION("""COMPUTED_VALUE"""),"Mun")</f>
        <v>Mun</v>
      </c>
    </row>
    <row r="5452" ht="15.75" customHeight="1">
      <c r="A5452" s="122" t="str">
        <f>IFERROR(__xludf.DUMMYFUNCTION("""COMPUTED_VALUE"""),"0989 914 969")</f>
        <v>0989 914 969</v>
      </c>
      <c r="B5452" s="119" t="str">
        <f>IFERROR(__xludf.DUMMYFUNCTION("""COMPUTED_VALUE"""),"Chị Trâm")</f>
        <v>Chị Trâm</v>
      </c>
      <c r="C5452" s="119" t="str">
        <f>IFERROR(__xludf.DUMMYFUNCTION("""COMPUTED_VALUE"""),"Phan Chu Trinh")</f>
        <v>Phan Chu Trinh</v>
      </c>
      <c r="D5452" s="119" t="str">
        <f>IFERROR(__xludf.DUMMYFUNCTION("""COMPUTED_VALUE"""),"Chó")</f>
        <v>Chó</v>
      </c>
      <c r="E5452" s="119" t="str">
        <f>IFERROR(__xludf.DUMMYFUNCTION("""COMPUTED_VALUE"""),"Ruby")</f>
        <v>Ruby</v>
      </c>
    </row>
    <row r="5453" ht="15.75" customHeight="1">
      <c r="A5453" s="122" t="str">
        <f>IFERROR(__xludf.DUMMYFUNCTION("""COMPUTED_VALUE"""),"0706 457 668")</f>
        <v>0706 457 668</v>
      </c>
      <c r="B5453" s="119" t="str">
        <f>IFERROR(__xludf.DUMMYFUNCTION("""COMPUTED_VALUE"""),"Em Kim Ngân")</f>
        <v>Em Kim Ngân</v>
      </c>
      <c r="C5453" s="119" t="str">
        <f>IFERROR(__xludf.DUMMYFUNCTION("""COMPUTED_VALUE"""),"24/21 Nguyễn Phúc Nguyên")</f>
        <v>24/21 Nguyễn Phúc Nguyên</v>
      </c>
      <c r="D5453" s="119" t="str">
        <f>IFERROR(__xludf.DUMMYFUNCTION("""COMPUTED_VALUE"""),"Chó")</f>
        <v>Chó</v>
      </c>
      <c r="E5453" s="119" t="str">
        <f>IFERROR(__xludf.DUMMYFUNCTION("""COMPUTED_VALUE"""),"Milo")</f>
        <v>Milo</v>
      </c>
    </row>
    <row r="5454" ht="15.75" customHeight="1">
      <c r="A5454" s="122" t="str">
        <f>IFERROR(__xludf.DUMMYFUNCTION("""COMPUTED_VALUE"""),"0903 665 046")</f>
        <v>0903 665 046</v>
      </c>
      <c r="B5454" s="119" t="str">
        <f>IFERROR(__xludf.DUMMYFUNCTION("""COMPUTED_VALUE"""),"ANh Tuấn Đạt")</f>
        <v>ANh Tuấn Đạt</v>
      </c>
      <c r="C5454" s="119" t="str">
        <f>IFERROR(__xludf.DUMMYFUNCTION("""COMPUTED_VALUE"""),"An Hoà")</f>
        <v>An Hoà</v>
      </c>
      <c r="D5454" s="119" t="str">
        <f>IFERROR(__xludf.DUMMYFUNCTION("""COMPUTED_VALUE"""),"Chó")</f>
        <v>Chó</v>
      </c>
      <c r="E5454" s="119" t="str">
        <f>IFERROR(__xludf.DUMMYFUNCTION("""COMPUTED_VALUE"""),"Bốt")</f>
        <v>Bốt</v>
      </c>
    </row>
    <row r="5455" ht="15.75" customHeight="1">
      <c r="A5455" s="122" t="str">
        <f>IFERROR(__xludf.DUMMYFUNCTION("""COMPUTED_VALUE"""),"0382 520 476")</f>
        <v>0382 520 476</v>
      </c>
      <c r="B5455" s="119" t="str">
        <f>IFERROR(__xludf.DUMMYFUNCTION("""COMPUTED_VALUE"""),"Nguyễn Phước Quyết")</f>
        <v>Nguyễn Phước Quyết</v>
      </c>
      <c r="C5455" s="119" t="str">
        <f>IFERROR(__xludf.DUMMYFUNCTION("""COMPUTED_VALUE"""),"Hương Hồ")</f>
        <v>Hương Hồ</v>
      </c>
      <c r="D5455" s="119" t="str">
        <f>IFERROR(__xludf.DUMMYFUNCTION("""COMPUTED_VALUE"""),"Chó")</f>
        <v>Chó</v>
      </c>
      <c r="E5455" s="119" t="str">
        <f>IFERROR(__xludf.DUMMYFUNCTION("""COMPUTED_VALUE"""),"Mun")</f>
        <v>Mun</v>
      </c>
    </row>
    <row r="5456" ht="15.75" customHeight="1">
      <c r="A5456" s="122" t="str">
        <f>IFERROR(__xludf.DUMMYFUNCTION("""COMPUTED_VALUE"""),"0898 174 944")</f>
        <v>0898 174 944</v>
      </c>
      <c r="B5456" s="119" t="str">
        <f>IFERROR(__xludf.DUMMYFUNCTION("""COMPUTED_VALUE"""),"Chị Ngọc")</f>
        <v>Chị Ngọc</v>
      </c>
      <c r="C5456" s="119" t="str">
        <f>IFERROR(__xludf.DUMMYFUNCTION("""COMPUTED_VALUE"""),"243 Trần Huy Liệu")</f>
        <v>243 Trần Huy Liệu</v>
      </c>
      <c r="D5456" s="119" t="str">
        <f>IFERROR(__xludf.DUMMYFUNCTION("""COMPUTED_VALUE"""),"Mèo")</f>
        <v>Mèo</v>
      </c>
      <c r="E5456" s="119"/>
    </row>
    <row r="5457" ht="15.75" customHeight="1">
      <c r="A5457" s="122" t="str">
        <f>IFERROR(__xludf.DUMMYFUNCTION("""COMPUTED_VALUE"""),"0945 669 730")</f>
        <v>0945 669 730</v>
      </c>
      <c r="B5457" s="119" t="str">
        <f>IFERROR(__xludf.DUMMYFUNCTION("""COMPUTED_VALUE"""),"Dì Tâm")</f>
        <v>Dì Tâm</v>
      </c>
      <c r="C5457" s="119" t="str">
        <f>IFERROR(__xludf.DUMMYFUNCTION("""COMPUTED_VALUE"""),"106 Hoàng Quốc Việt")</f>
        <v>106 Hoàng Quốc Việt</v>
      </c>
      <c r="D5457" s="119" t="str">
        <f>IFERROR(__xludf.DUMMYFUNCTION("""COMPUTED_VALUE"""),"Chó")</f>
        <v>Chó</v>
      </c>
      <c r="E5457" s="119" t="str">
        <f>IFERROR(__xludf.DUMMYFUNCTION("""COMPUTED_VALUE"""),"Ken")</f>
        <v>Ken</v>
      </c>
    </row>
    <row r="5458" ht="15.75" customHeight="1">
      <c r="A5458" s="122" t="str">
        <f>IFERROR(__xludf.DUMMYFUNCTION("""COMPUTED_VALUE"""),"0974 084 629")</f>
        <v>0974 084 629</v>
      </c>
      <c r="B5458" s="119" t="str">
        <f>IFERROR(__xludf.DUMMYFUNCTION("""COMPUTED_VALUE"""),"Em Châu")</f>
        <v>Em Châu</v>
      </c>
      <c r="C5458" s="119" t="str">
        <f>IFERROR(__xludf.DUMMYFUNCTION("""COMPUTED_VALUE"""),"104 Phạm Thị Liên")</f>
        <v>104 Phạm Thị Liên</v>
      </c>
      <c r="D5458" s="119" t="str">
        <f>IFERROR(__xludf.DUMMYFUNCTION("""COMPUTED_VALUE"""),"Mèo")</f>
        <v>Mèo</v>
      </c>
      <c r="E5458" s="119" t="str">
        <f>IFERROR(__xludf.DUMMYFUNCTION("""COMPUTED_VALUE"""),"Méo")</f>
        <v>Méo</v>
      </c>
    </row>
    <row r="5459" ht="15.75" customHeight="1">
      <c r="A5459" s="122" t="str">
        <f>IFERROR(__xludf.DUMMYFUNCTION("""COMPUTED_VALUE"""),"0336 905 062")</f>
        <v>0336 905 062</v>
      </c>
      <c r="B5459" s="119" t="str">
        <f>IFERROR(__xludf.DUMMYFUNCTION("""COMPUTED_VALUE"""),"Casey")</f>
        <v>Casey</v>
      </c>
      <c r="C5459" s="119" t="str">
        <f>IFERROR(__xludf.DUMMYFUNCTION("""COMPUTED_VALUE"""),"Nguyễn Khoa Chiêm")</f>
        <v>Nguyễn Khoa Chiêm</v>
      </c>
      <c r="D5459" s="119" t="str">
        <f>IFERROR(__xludf.DUMMYFUNCTION("""COMPUTED_VALUE"""),"Chó")</f>
        <v>Chó</v>
      </c>
      <c r="E5459" s="119" t="str">
        <f>IFERROR(__xludf.DUMMYFUNCTION("""COMPUTED_VALUE"""),"Gizmo")</f>
        <v>Gizmo</v>
      </c>
    </row>
    <row r="5460" ht="15.75" customHeight="1">
      <c r="A5460" s="122" t="str">
        <f>IFERROR(__xludf.DUMMYFUNCTION("""COMPUTED_VALUE"""),"0777 503 033")</f>
        <v>0777 503 033</v>
      </c>
      <c r="B5460" s="119" t="str">
        <f>IFERROR(__xludf.DUMMYFUNCTION("""COMPUTED_VALUE"""),"Em Cẩm Nhi")</f>
        <v>Em Cẩm Nhi</v>
      </c>
      <c r="C5460" s="119" t="str">
        <f>IFERROR(__xludf.DUMMYFUNCTION("""COMPUTED_VALUE"""),"4 Trần Nhân Tông")</f>
        <v>4 Trần Nhân Tông</v>
      </c>
      <c r="D5460" s="119" t="str">
        <f>IFERROR(__xludf.DUMMYFUNCTION("""COMPUTED_VALUE"""),"Mèo")</f>
        <v>Mèo</v>
      </c>
      <c r="E5460" s="119"/>
    </row>
    <row r="5461" ht="15.75" customHeight="1">
      <c r="A5461" s="122" t="str">
        <f>IFERROR(__xludf.DUMMYFUNCTION("""COMPUTED_VALUE"""),"0794 660 289")</f>
        <v>0794 660 289</v>
      </c>
      <c r="B5461" s="119" t="str">
        <f>IFERROR(__xludf.DUMMYFUNCTION("""COMPUTED_VALUE"""),"Dì Hoà")</f>
        <v>Dì Hoà</v>
      </c>
      <c r="C5461" s="119" t="str">
        <f>IFERROR(__xludf.DUMMYFUNCTION("""COMPUTED_VALUE"""),"23 Lý NAm Đế")</f>
        <v>23 Lý NAm Đế</v>
      </c>
      <c r="D5461" s="119" t="str">
        <f>IFERROR(__xludf.DUMMYFUNCTION("""COMPUTED_VALUE"""),"Chó")</f>
        <v>Chó</v>
      </c>
      <c r="E5461" s="119" t="str">
        <f>IFERROR(__xludf.DUMMYFUNCTION("""COMPUTED_VALUE"""),"Nô")</f>
        <v>Nô</v>
      </c>
    </row>
    <row r="5462" ht="15.75" customHeight="1">
      <c r="A5462" s="122" t="str">
        <f>IFERROR(__xludf.DUMMYFUNCTION("""COMPUTED_VALUE"""),"0793 423 333")</f>
        <v>0793 423 333</v>
      </c>
      <c r="B5462" s="119" t="str">
        <f>IFERROR(__xludf.DUMMYFUNCTION("""COMPUTED_VALUE"""),"Anh Huy")</f>
        <v>Anh Huy</v>
      </c>
      <c r="C5462" s="119" t="str">
        <f>IFERROR(__xludf.DUMMYFUNCTION("""COMPUTED_VALUE"""),"7 Nguyễn Cung An")</f>
        <v>7 Nguyễn Cung An</v>
      </c>
      <c r="D5462" s="119" t="str">
        <f>IFERROR(__xludf.DUMMYFUNCTION("""COMPUTED_VALUE"""),"Mèo")</f>
        <v>Mèo</v>
      </c>
      <c r="E5462" s="119" t="str">
        <f>IFERROR(__xludf.DUMMYFUNCTION("""COMPUTED_VALUE"""),"Vịt")</f>
        <v>Vịt</v>
      </c>
    </row>
    <row r="5463" ht="15.75" customHeight="1">
      <c r="A5463" s="122" t="str">
        <f>IFERROR(__xludf.DUMMYFUNCTION("""COMPUTED_VALUE"""),"0932 028 281")</f>
        <v>0932 028 281</v>
      </c>
      <c r="B5463" s="119" t="str">
        <f>IFERROR(__xludf.DUMMYFUNCTION("""COMPUTED_VALUE"""),"sư cô Tịnh Tín")</f>
        <v>sư cô Tịnh Tín</v>
      </c>
      <c r="C5463" s="119" t="str">
        <f>IFERROR(__xludf.DUMMYFUNCTION("""COMPUTED_VALUE"""),"Chùa Huyền Không Sơn Thượng")</f>
        <v>Chùa Huyền Không Sơn Thượng</v>
      </c>
      <c r="D5463" s="119" t="str">
        <f>IFERROR(__xludf.DUMMYFUNCTION("""COMPUTED_VALUE"""),"Mèo")</f>
        <v>Mèo</v>
      </c>
      <c r="E5463" s="119"/>
    </row>
    <row r="5464" ht="15.75" customHeight="1">
      <c r="A5464" s="122" t="str">
        <f>IFERROR(__xludf.DUMMYFUNCTION("""COMPUTED_VALUE"""),"0898 189 924")</f>
        <v>0898 189 924</v>
      </c>
      <c r="B5464" s="119" t="str">
        <f>IFERROR(__xludf.DUMMYFUNCTION("""COMPUTED_VALUE"""),"Chị Phương Oanh")</f>
        <v>Chị Phương Oanh</v>
      </c>
      <c r="C5464" s="119" t="str">
        <f>IFERROR(__xludf.DUMMYFUNCTION("""COMPUTED_VALUE"""),"k22/ngõ 3/13 Phú Mộng")</f>
        <v>k22/ngõ 3/13 Phú Mộng</v>
      </c>
      <c r="D5464" s="119" t="str">
        <f>IFERROR(__xludf.DUMMYFUNCTION("""COMPUTED_VALUE"""),"Chó")</f>
        <v>Chó</v>
      </c>
      <c r="E5464" s="119" t="str">
        <f>IFERROR(__xludf.DUMMYFUNCTION("""COMPUTED_VALUE"""),"Phóc")</f>
        <v>Phóc</v>
      </c>
    </row>
    <row r="5465" ht="15.75" customHeight="1">
      <c r="A5465" s="122" t="str">
        <f>IFERROR(__xludf.DUMMYFUNCTION("""COMPUTED_VALUE"""),"0375 672 923")</f>
        <v>0375 672 923</v>
      </c>
      <c r="B5465" s="119" t="str">
        <f>IFERROR(__xludf.DUMMYFUNCTION("""COMPUTED_VALUE"""),"Chị Ngọc")</f>
        <v>Chị Ngọc</v>
      </c>
      <c r="C5465" s="119" t="str">
        <f>IFERROR(__xludf.DUMMYFUNCTION("""COMPUTED_VALUE"""),"Quảng Vinh Quảng Điền")</f>
        <v>Quảng Vinh Quảng Điền</v>
      </c>
      <c r="D5465" s="119" t="str">
        <f>IFERROR(__xludf.DUMMYFUNCTION("""COMPUTED_VALUE"""),"Chó")</f>
        <v>Chó</v>
      </c>
      <c r="E5465" s="119" t="str">
        <f>IFERROR(__xludf.DUMMYFUNCTION("""COMPUTED_VALUE"""),"Mật")</f>
        <v>Mật</v>
      </c>
    </row>
    <row r="5466" ht="15.75" customHeight="1">
      <c r="A5466" s="122" t="str">
        <f>IFERROR(__xludf.DUMMYFUNCTION("""COMPUTED_VALUE"""),"0768 584 223")</f>
        <v>0768 584 223</v>
      </c>
      <c r="B5466" s="119" t="str">
        <f>IFERROR(__xludf.DUMMYFUNCTION("""COMPUTED_VALUE"""),"Anh Đức")</f>
        <v>Anh Đức</v>
      </c>
      <c r="C5466" s="119" t="str">
        <f>IFERROR(__xludf.DUMMYFUNCTION("""COMPUTED_VALUE"""),"Hương Hồ")</f>
        <v>Hương Hồ</v>
      </c>
      <c r="D5466" s="119" t="str">
        <f>IFERROR(__xludf.DUMMYFUNCTION("""COMPUTED_VALUE"""),"Chó")</f>
        <v>Chó</v>
      </c>
      <c r="E5466" s="119" t="str">
        <f>IFERROR(__xludf.DUMMYFUNCTION("""COMPUTED_VALUE"""),"Trương Long")</f>
        <v>Trương Long</v>
      </c>
    </row>
    <row r="5467" ht="15.75" customHeight="1">
      <c r="A5467" s="122" t="str">
        <f>IFERROR(__xludf.DUMMYFUNCTION("""COMPUTED_VALUE"""),"0795 513 923")</f>
        <v>0795 513 923</v>
      </c>
      <c r="B5467" s="119" t="str">
        <f>IFERROR(__xludf.DUMMYFUNCTION("""COMPUTED_VALUE"""),"Anh Trí")</f>
        <v>Anh Trí</v>
      </c>
      <c r="C5467" s="119" t="str">
        <f>IFERROR(__xludf.DUMMYFUNCTION("""COMPUTED_VALUE"""),"187 A Thái Phiên")</f>
        <v>187 A Thái Phiên</v>
      </c>
      <c r="D5467" s="119" t="str">
        <f>IFERROR(__xludf.DUMMYFUNCTION("""COMPUTED_VALUE"""),"Mèo")</f>
        <v>Mèo</v>
      </c>
      <c r="E5467" s="119"/>
    </row>
    <row r="5468" ht="15.75" customHeight="1">
      <c r="A5468" s="122" t="str">
        <f>IFERROR(__xludf.DUMMYFUNCTION("""COMPUTED_VALUE"""),"0766 566 507")</f>
        <v>0766 566 507</v>
      </c>
      <c r="B5468" s="119" t="str">
        <f>IFERROR(__xludf.DUMMYFUNCTION("""COMPUTED_VALUE"""),"Anh Ngô Quốc Vũ")</f>
        <v>Anh Ngô Quốc Vũ</v>
      </c>
      <c r="C5468" s="119" t="str">
        <f>IFERROR(__xludf.DUMMYFUNCTION("""COMPUTED_VALUE"""),"51 Lê Trung Đình")</f>
        <v>51 Lê Trung Đình</v>
      </c>
      <c r="D5468" s="119" t="str">
        <f>IFERROR(__xludf.DUMMYFUNCTION("""COMPUTED_VALUE"""),"Chó")</f>
        <v>Chó</v>
      </c>
      <c r="E5468" s="119" t="str">
        <f>IFERROR(__xludf.DUMMYFUNCTION("""COMPUTED_VALUE"""),"Bom")</f>
        <v>Bom</v>
      </c>
    </row>
    <row r="5469" ht="15.75" customHeight="1">
      <c r="A5469" s="122" t="str">
        <f>IFERROR(__xludf.DUMMYFUNCTION("""COMPUTED_VALUE"""),"0906 505 091")</f>
        <v>0906 505 091</v>
      </c>
      <c r="B5469" s="119" t="str">
        <f>IFERROR(__xludf.DUMMYFUNCTION("""COMPUTED_VALUE"""),"Chị Hương")</f>
        <v>Chị Hương</v>
      </c>
      <c r="C5469" s="119" t="str">
        <f>IFERROR(__xludf.DUMMYFUNCTION("""COMPUTED_VALUE"""),"A19 Bầu Vá")</f>
        <v>A19 Bầu Vá</v>
      </c>
      <c r="D5469" s="119" t="str">
        <f>IFERROR(__xludf.DUMMYFUNCTION("""COMPUTED_VALUE"""),"Chó")</f>
        <v>Chó</v>
      </c>
      <c r="E5469" s="119" t="str">
        <f>IFERROR(__xludf.DUMMYFUNCTION("""COMPUTED_VALUE"""),"Pom")</f>
        <v>Pom</v>
      </c>
    </row>
    <row r="5470" ht="15.75" customHeight="1">
      <c r="A5470" s="122" t="str">
        <f>IFERROR(__xludf.DUMMYFUNCTION("""COMPUTED_VALUE"""),"0946 889 455")</f>
        <v>0946 889 455</v>
      </c>
      <c r="B5470" s="119" t="str">
        <f>IFERROR(__xludf.DUMMYFUNCTION("""COMPUTED_VALUE"""),"Trần Thị Liên")</f>
        <v>Trần Thị Liên</v>
      </c>
      <c r="C5470" s="119" t="str">
        <f>IFERROR(__xludf.DUMMYFUNCTION("""COMPUTED_VALUE"""),"79 Đào Duy Từ")</f>
        <v>79 Đào Duy Từ</v>
      </c>
      <c r="D5470" s="119" t="str">
        <f>IFERROR(__xludf.DUMMYFUNCTION("""COMPUTED_VALUE"""),"Mèo")</f>
        <v>Mèo</v>
      </c>
      <c r="E5470" s="119"/>
    </row>
    <row r="5471" ht="15.75" customHeight="1">
      <c r="A5471" s="122" t="str">
        <f>IFERROR(__xludf.DUMMYFUNCTION("""COMPUTED_VALUE"""),"0382 519 203")</f>
        <v>0382 519 203</v>
      </c>
      <c r="B5471" s="119" t="str">
        <f>IFERROR(__xludf.DUMMYFUNCTION("""COMPUTED_VALUE"""),"Dì Hoa")</f>
        <v>Dì Hoa</v>
      </c>
      <c r="C5471" s="119" t="str">
        <f>IFERROR(__xludf.DUMMYFUNCTION("""COMPUTED_VALUE"""),"Vân Quốc Thượng- Hương Phong")</f>
        <v>Vân Quốc Thượng- Hương Phong</v>
      </c>
      <c r="D5471" s="119" t="str">
        <f>IFERROR(__xludf.DUMMYFUNCTION("""COMPUTED_VALUE"""),"Chó")</f>
        <v>Chó</v>
      </c>
      <c r="E5471" s="119" t="str">
        <f>IFERROR(__xludf.DUMMYFUNCTION("""COMPUTED_VALUE"""),"Coca")</f>
        <v>Coca</v>
      </c>
    </row>
    <row r="5472" ht="15.75" customHeight="1">
      <c r="A5472" s="122" t="str">
        <f>IFERROR(__xludf.DUMMYFUNCTION("""COMPUTED_VALUE"""),"0905 715 886")</f>
        <v>0905 715 886</v>
      </c>
      <c r="B5472" s="119" t="str">
        <f>IFERROR(__xludf.DUMMYFUNCTION("""COMPUTED_VALUE"""),"chú Thái")</f>
        <v>chú Thái</v>
      </c>
      <c r="C5472" s="119" t="str">
        <f>IFERROR(__xludf.DUMMYFUNCTION("""COMPUTED_VALUE"""),"Quảng Trị")</f>
        <v>Quảng Trị</v>
      </c>
      <c r="D5472" s="119" t="str">
        <f>IFERROR(__xludf.DUMMYFUNCTION("""COMPUTED_VALUE"""),"Chó")</f>
        <v>Chó</v>
      </c>
      <c r="E5472" s="119" t="str">
        <f>IFERROR(__xludf.DUMMYFUNCTION("""COMPUTED_VALUE"""),"Si")</f>
        <v>Si</v>
      </c>
    </row>
    <row r="5473" ht="15.75" customHeight="1">
      <c r="A5473" s="122" t="str">
        <f>IFERROR(__xludf.DUMMYFUNCTION("""COMPUTED_VALUE"""),"0946 373 163")</f>
        <v>0946 373 163</v>
      </c>
      <c r="B5473" s="119" t="str">
        <f>IFERROR(__xludf.DUMMYFUNCTION("""COMPUTED_VALUE"""),"dì Hương")</f>
        <v>dì Hương</v>
      </c>
      <c r="C5473" s="119" t="str">
        <f>IFERROR(__xludf.DUMMYFUNCTION("""COMPUTED_VALUE"""),"Kim Long")</f>
        <v>Kim Long</v>
      </c>
      <c r="D5473" s="119" t="str">
        <f>IFERROR(__xludf.DUMMYFUNCTION("""COMPUTED_VALUE"""),"Chó")</f>
        <v>Chó</v>
      </c>
      <c r="E5473" s="119" t="str">
        <f>IFERROR(__xludf.DUMMYFUNCTION("""COMPUTED_VALUE"""),"Chuối")</f>
        <v>Chuối</v>
      </c>
    </row>
    <row r="5474" ht="15.75" customHeight="1">
      <c r="A5474" s="122" t="str">
        <f>IFERROR(__xludf.DUMMYFUNCTION("""COMPUTED_VALUE"""),"0783 720 748")</f>
        <v>0783 720 748</v>
      </c>
      <c r="B5474" s="119" t="str">
        <f>IFERROR(__xludf.DUMMYFUNCTION("""COMPUTED_VALUE"""),"Nguyễn Thành Nhân")</f>
        <v>Nguyễn Thành Nhân</v>
      </c>
      <c r="C5474" s="119" t="str">
        <f>IFERROR(__xludf.DUMMYFUNCTION("""COMPUTED_VALUE"""),"59 Đặng Huy Trứ")</f>
        <v>59 Đặng Huy Trứ</v>
      </c>
      <c r="D5474" s="119" t="str">
        <f>IFERROR(__xludf.DUMMYFUNCTION("""COMPUTED_VALUE"""),"Mèo")</f>
        <v>Mèo</v>
      </c>
      <c r="E5474" s="119" t="str">
        <f>IFERROR(__xludf.DUMMYFUNCTION("""COMPUTED_VALUE"""),"Mít")</f>
        <v>Mít</v>
      </c>
    </row>
    <row r="5475" ht="15.75" customHeight="1">
      <c r="A5475" s="122" t="str">
        <f>IFERROR(__xludf.DUMMYFUNCTION("""COMPUTED_VALUE"""),"0988 615 564")</f>
        <v>0988 615 564</v>
      </c>
      <c r="B5475" s="119" t="str">
        <f>IFERROR(__xludf.DUMMYFUNCTION("""COMPUTED_VALUE"""),"Chị Yến")</f>
        <v>Chị Yến</v>
      </c>
      <c r="C5475" s="119" t="str">
        <f>IFERROR(__xludf.DUMMYFUNCTION("""COMPUTED_VALUE"""),"18/44 Trần Phú")</f>
        <v>18/44 Trần Phú</v>
      </c>
      <c r="D5475" s="119" t="str">
        <f>IFERROR(__xludf.DUMMYFUNCTION("""COMPUTED_VALUE"""),"Mèo")</f>
        <v>Mèo</v>
      </c>
      <c r="E5475" s="119" t="str">
        <f>IFERROR(__xludf.DUMMYFUNCTION("""COMPUTED_VALUE"""),"Lụt")</f>
        <v>Lụt</v>
      </c>
    </row>
    <row r="5476" ht="15.75" customHeight="1">
      <c r="A5476" s="122" t="str">
        <f>IFERROR(__xludf.DUMMYFUNCTION("""COMPUTED_VALUE"""),"0934 998 090")</f>
        <v>0934 998 090</v>
      </c>
      <c r="B5476" s="119" t="str">
        <f>IFERROR(__xludf.DUMMYFUNCTION("""COMPUTED_VALUE"""),"Anh Vương")</f>
        <v>Anh Vương</v>
      </c>
      <c r="C5476" s="119" t="str">
        <f>IFERROR(__xludf.DUMMYFUNCTION("""COMPUTED_VALUE"""),"Hương Hồ")</f>
        <v>Hương Hồ</v>
      </c>
      <c r="D5476" s="119" t="str">
        <f>IFERROR(__xludf.DUMMYFUNCTION("""COMPUTED_VALUE"""),"Chó")</f>
        <v>Chó</v>
      </c>
      <c r="E5476" s="119" t="str">
        <f>IFERROR(__xludf.DUMMYFUNCTION("""COMPUTED_VALUE"""),"Bu")</f>
        <v>Bu</v>
      </c>
    </row>
    <row r="5477" ht="15.75" customHeight="1">
      <c r="A5477" s="122" t="str">
        <f>IFERROR(__xludf.DUMMYFUNCTION("""COMPUTED_VALUE"""),"0774 389 277")</f>
        <v>0774 389 277</v>
      </c>
      <c r="B5477" s="119" t="str">
        <f>IFERROR(__xludf.DUMMYFUNCTION("""COMPUTED_VALUE"""),"Chị Tâm")</f>
        <v>Chị Tâm</v>
      </c>
      <c r="C5477" s="119" t="str">
        <f>IFERROR(__xludf.DUMMYFUNCTION("""COMPUTED_VALUE"""),"Lịch Đợi")</f>
        <v>Lịch Đợi</v>
      </c>
      <c r="D5477" s="119" t="str">
        <f>IFERROR(__xludf.DUMMYFUNCTION("""COMPUTED_VALUE"""),"Mèo")</f>
        <v>Mèo</v>
      </c>
      <c r="E5477" s="119" t="str">
        <f>IFERROR(__xludf.DUMMYFUNCTION("""COMPUTED_VALUE"""),"Mèo")</f>
        <v>Mèo</v>
      </c>
    </row>
    <row r="5478" ht="15.75" customHeight="1">
      <c r="A5478" s="122" t="str">
        <f>IFERROR(__xludf.DUMMYFUNCTION("""COMPUTED_VALUE"""),"0932 518 699")</f>
        <v>0932 518 699</v>
      </c>
      <c r="B5478" s="119" t="str">
        <f>IFERROR(__xludf.DUMMYFUNCTION("""COMPUTED_VALUE"""),"Chị Vân Anh")</f>
        <v>Chị Vân Anh</v>
      </c>
      <c r="C5478" s="119" t="str">
        <f>IFERROR(__xludf.DUMMYFUNCTION("""COMPUTED_VALUE"""),"28 Thân Văn Nhiếp")</f>
        <v>28 Thân Văn Nhiếp</v>
      </c>
      <c r="D5478" s="119" t="str">
        <f>IFERROR(__xludf.DUMMYFUNCTION("""COMPUTED_VALUE"""),"Chó")</f>
        <v>Chó</v>
      </c>
      <c r="E5478" s="119" t="str">
        <f>IFERROR(__xludf.DUMMYFUNCTION("""COMPUTED_VALUE"""),"Mon")</f>
        <v>Mon</v>
      </c>
    </row>
    <row r="5479" ht="15.75" customHeight="1">
      <c r="A5479" s="122" t="str">
        <f>IFERROR(__xludf.DUMMYFUNCTION("""COMPUTED_VALUE"""),"0788 560 449")</f>
        <v>0788 560 449</v>
      </c>
      <c r="B5479" s="119" t="str">
        <f>IFERROR(__xludf.DUMMYFUNCTION("""COMPUTED_VALUE"""),"Anh Tiến")</f>
        <v>Anh Tiến</v>
      </c>
      <c r="C5479" s="119" t="str">
        <f>IFERROR(__xludf.DUMMYFUNCTION("""COMPUTED_VALUE"""),"78A Yết Kiêu")</f>
        <v>78A Yết Kiêu</v>
      </c>
      <c r="D5479" s="119" t="str">
        <f>IFERROR(__xludf.DUMMYFUNCTION("""COMPUTED_VALUE"""),"Chó")</f>
        <v>Chó</v>
      </c>
      <c r="E5479" s="119" t="str">
        <f>IFERROR(__xludf.DUMMYFUNCTION("""COMPUTED_VALUE"""),"Lu")</f>
        <v>Lu</v>
      </c>
    </row>
    <row r="5480" ht="15.75" customHeight="1">
      <c r="A5480" s="122" t="str">
        <f>IFERROR(__xludf.DUMMYFUNCTION("""COMPUTED_VALUE"""),"0798 070 896")</f>
        <v>0798 070 896</v>
      </c>
      <c r="B5480" s="119" t="str">
        <f>IFERROR(__xludf.DUMMYFUNCTION("""COMPUTED_VALUE"""),"Anh Dinh")</f>
        <v>Anh Dinh</v>
      </c>
      <c r="C5480" s="119" t="str">
        <f>IFERROR(__xludf.DUMMYFUNCTION("""COMPUTED_VALUE"""),"8/28 Lê Quang Quyền")</f>
        <v>8/28 Lê Quang Quyền</v>
      </c>
      <c r="D5480" s="119"/>
      <c r="E5480" s="119" t="str">
        <f>IFERROR(__xludf.DUMMYFUNCTION("""COMPUTED_VALUE"""),"Chồn Hương")</f>
        <v>Chồn Hương</v>
      </c>
    </row>
    <row r="5481" ht="15.75" customHeight="1">
      <c r="A5481" s="122" t="str">
        <f>IFERROR(__xludf.DUMMYFUNCTION("""COMPUTED_VALUE"""),"0934 846 634")</f>
        <v>0934 846 634</v>
      </c>
      <c r="B5481" s="119" t="str">
        <f>IFERROR(__xludf.DUMMYFUNCTION("""COMPUTED_VALUE"""),"Cô Hải")</f>
        <v>Cô Hải</v>
      </c>
      <c r="C5481" s="119" t="str">
        <f>IFERROR(__xludf.DUMMYFUNCTION("""COMPUTED_VALUE"""),"k138 Phạm Thị Liên")</f>
        <v>k138 Phạm Thị Liên</v>
      </c>
      <c r="D5481" s="119" t="str">
        <f>IFERROR(__xludf.DUMMYFUNCTION("""COMPUTED_VALUE"""),"Chó")</f>
        <v>Chó</v>
      </c>
      <c r="E5481" s="119" t="str">
        <f>IFERROR(__xludf.DUMMYFUNCTION("""COMPUTED_VALUE"""),"Lu")</f>
        <v>Lu</v>
      </c>
    </row>
    <row r="5482" ht="15.75" customHeight="1">
      <c r="A5482" s="122" t="str">
        <f>IFERROR(__xludf.DUMMYFUNCTION("""COMPUTED_VALUE"""),"0902 315 536")</f>
        <v>0902 315 536</v>
      </c>
      <c r="B5482" s="119" t="str">
        <f>IFERROR(__xludf.DUMMYFUNCTION("""COMPUTED_VALUE"""),"Nguyễn Thị Bé")</f>
        <v>Nguyễn Thị Bé</v>
      </c>
      <c r="C5482" s="119" t="str">
        <f>IFERROR(__xludf.DUMMYFUNCTION("""COMPUTED_VALUE"""),"138 Lý Nam Đế")</f>
        <v>138 Lý Nam Đế</v>
      </c>
      <c r="D5482" s="119" t="str">
        <f>IFERROR(__xludf.DUMMYFUNCTION("""COMPUTED_VALUE"""),"Chó")</f>
        <v>Chó</v>
      </c>
      <c r="E5482" s="119" t="str">
        <f>IFERROR(__xludf.DUMMYFUNCTION("""COMPUTED_VALUE"""),"Lu")</f>
        <v>Lu</v>
      </c>
    </row>
    <row r="5483" ht="15.75" customHeight="1">
      <c r="A5483" s="122" t="str">
        <f>IFERROR(__xludf.DUMMYFUNCTION("""COMPUTED_VALUE"""),"0373 042 601")</f>
        <v>0373 042 601</v>
      </c>
      <c r="B5483" s="119" t="str">
        <f>IFERROR(__xludf.DUMMYFUNCTION("""COMPUTED_VALUE"""),"Lan Anh")</f>
        <v>Lan Anh</v>
      </c>
      <c r="C5483" s="119" t="str">
        <f>IFERROR(__xludf.DUMMYFUNCTION("""COMPUTED_VALUE"""),"45A/26 Lương Văn Can")</f>
        <v>45A/26 Lương Văn Can</v>
      </c>
      <c r="D5483" s="119" t="str">
        <f>IFERROR(__xludf.DUMMYFUNCTION("""COMPUTED_VALUE"""),"Mèo")</f>
        <v>Mèo</v>
      </c>
      <c r="E5483" s="119" t="str">
        <f>IFERROR(__xludf.DUMMYFUNCTION("""COMPUTED_VALUE"""),"Zoro")</f>
        <v>Zoro</v>
      </c>
    </row>
    <row r="5484" ht="15.75" customHeight="1">
      <c r="A5484" s="122" t="str">
        <f>IFERROR(__xludf.DUMMYFUNCTION("""COMPUTED_VALUE"""),"0342 641 639")</f>
        <v>0342 641 639</v>
      </c>
      <c r="B5484" s="119" t="str">
        <f>IFERROR(__xludf.DUMMYFUNCTION("""COMPUTED_VALUE"""),"Anh Dũng")</f>
        <v>Anh Dũng</v>
      </c>
      <c r="C5484" s="119" t="str">
        <f>IFERROR(__xludf.DUMMYFUNCTION("""COMPUTED_VALUE"""),"23 Mai Lãng Bnajg")</f>
        <v>23 Mai Lãng Bnajg</v>
      </c>
      <c r="D5484" s="119" t="str">
        <f>IFERROR(__xludf.DUMMYFUNCTION("""COMPUTED_VALUE"""),"Chó")</f>
        <v>Chó</v>
      </c>
      <c r="E5484" s="119" t="str">
        <f>IFERROR(__xludf.DUMMYFUNCTION("""COMPUTED_VALUE"""),"Na")</f>
        <v>Na</v>
      </c>
    </row>
    <row r="5485" ht="15.75" customHeight="1">
      <c r="A5485" s="122" t="str">
        <f>IFERROR(__xludf.DUMMYFUNCTION("""COMPUTED_VALUE"""),"0793 636 389")</f>
        <v>0793 636 389</v>
      </c>
      <c r="B5485" s="119" t="str">
        <f>IFERROR(__xludf.DUMMYFUNCTION("""COMPUTED_VALUE"""),"Chị Hạnh")</f>
        <v>Chị Hạnh</v>
      </c>
      <c r="C5485" s="119" t="str">
        <f>IFERROR(__xludf.DUMMYFUNCTION("""COMPUTED_VALUE"""),"10/8 Nguyễn Phúc Thụ")</f>
        <v>10/8 Nguyễn Phúc Thụ</v>
      </c>
      <c r="D5485" s="119" t="str">
        <f>IFERROR(__xludf.DUMMYFUNCTION("""COMPUTED_VALUE"""),"Chó")</f>
        <v>Chó</v>
      </c>
      <c r="E5485" s="119" t="str">
        <f>IFERROR(__xludf.DUMMYFUNCTION("""COMPUTED_VALUE"""),"Vâu")</f>
        <v>Vâu</v>
      </c>
    </row>
    <row r="5486" ht="15.75" customHeight="1">
      <c r="A5486" s="122" t="str">
        <f>IFERROR(__xludf.DUMMYFUNCTION("""COMPUTED_VALUE"""),"0799 318 902")</f>
        <v>0799 318 902</v>
      </c>
      <c r="B5486" s="119" t="str">
        <f>IFERROR(__xludf.DUMMYFUNCTION("""COMPUTED_VALUE"""),"Chị Thanh Ngọc")</f>
        <v>Chị Thanh Ngọc</v>
      </c>
      <c r="C5486" s="119" t="str">
        <f>IFERROR(__xludf.DUMMYFUNCTION("""COMPUTED_VALUE"""),"125 Thích Tịnh Khiết")</f>
        <v>125 Thích Tịnh Khiết</v>
      </c>
      <c r="D5486" s="119" t="str">
        <f>IFERROR(__xludf.DUMMYFUNCTION("""COMPUTED_VALUE"""),"Mèo")</f>
        <v>Mèo</v>
      </c>
      <c r="E5486" s="119" t="str">
        <f>IFERROR(__xludf.DUMMYFUNCTION("""COMPUTED_VALUE"""),"Mây")</f>
        <v>Mây</v>
      </c>
    </row>
    <row r="5487" ht="15.75" customHeight="1">
      <c r="A5487" s="122" t="str">
        <f>IFERROR(__xludf.DUMMYFUNCTION("""COMPUTED_VALUE"""),"0964 090 229")</f>
        <v>0964 090 229</v>
      </c>
      <c r="B5487" s="119" t="str">
        <f>IFERROR(__xludf.DUMMYFUNCTION("""COMPUTED_VALUE"""),"Tiểu Ngọc")</f>
        <v>Tiểu Ngọc</v>
      </c>
      <c r="C5487" s="119" t="str">
        <f>IFERROR(__xludf.DUMMYFUNCTION("""COMPUTED_VALUE"""),"6/68 Đặng Huy Trứ")</f>
        <v>6/68 Đặng Huy Trứ</v>
      </c>
      <c r="D5487" s="119" t="str">
        <f>IFERROR(__xludf.DUMMYFUNCTION("""COMPUTED_VALUE"""),"Mèo")</f>
        <v>Mèo</v>
      </c>
      <c r="E5487" s="119" t="str">
        <f>IFERROR(__xludf.DUMMYFUNCTION("""COMPUTED_VALUE"""),"Sâu")</f>
        <v>Sâu</v>
      </c>
    </row>
    <row r="5488" ht="15.75" customHeight="1">
      <c r="A5488" s="122" t="str">
        <f>IFERROR(__xludf.DUMMYFUNCTION("""COMPUTED_VALUE"""),"0334 090 943")</f>
        <v>0334 090 943</v>
      </c>
      <c r="B5488" s="119" t="str">
        <f>IFERROR(__xludf.DUMMYFUNCTION("""COMPUTED_VALUE"""),"Chị Nhi")</f>
        <v>Chị Nhi</v>
      </c>
      <c r="C5488" s="119" t="str">
        <f>IFERROR(__xludf.DUMMYFUNCTION("""COMPUTED_VALUE"""),"20/68 Điện Biên PHủ")</f>
        <v>20/68 Điện Biên PHủ</v>
      </c>
      <c r="D5488" s="119" t="str">
        <f>IFERROR(__xludf.DUMMYFUNCTION("""COMPUTED_VALUE"""),"Chó")</f>
        <v>Chó</v>
      </c>
      <c r="E5488" s="119" t="str">
        <f>IFERROR(__xludf.DUMMYFUNCTION("""COMPUTED_VALUE"""),"Ken")</f>
        <v>Ken</v>
      </c>
    </row>
    <row r="5489" ht="15.75" customHeight="1">
      <c r="A5489" s="122" t="str">
        <f>IFERROR(__xludf.DUMMYFUNCTION("""COMPUTED_VALUE"""),"0976 369 769")</f>
        <v>0976 369 769</v>
      </c>
      <c r="B5489" s="119" t="str">
        <f>IFERROR(__xludf.DUMMYFUNCTION("""COMPUTED_VALUE"""),"Chị Nhung")</f>
        <v>Chị Nhung</v>
      </c>
      <c r="C5489" s="119" t="str">
        <f>IFERROR(__xludf.DUMMYFUNCTION("""COMPUTED_VALUE"""),"240 Lý Nam Đế")</f>
        <v>240 Lý Nam Đế</v>
      </c>
      <c r="D5489" s="119" t="str">
        <f>IFERROR(__xludf.DUMMYFUNCTION("""COMPUTED_VALUE"""),"Chó")</f>
        <v>Chó</v>
      </c>
      <c r="E5489" s="119" t="str">
        <f>IFERROR(__xludf.DUMMYFUNCTION("""COMPUTED_VALUE"""),"Bao")</f>
        <v>Bao</v>
      </c>
    </row>
    <row r="5490" ht="15.75" customHeight="1">
      <c r="A5490" s="122" t="str">
        <f>IFERROR(__xludf.DUMMYFUNCTION("""COMPUTED_VALUE"""),"0982 289 357")</f>
        <v>0982 289 357</v>
      </c>
      <c r="B5490" s="119" t="str">
        <f>IFERROR(__xludf.DUMMYFUNCTION("""COMPUTED_VALUE"""),"ANh Khánh")</f>
        <v>ANh Khánh</v>
      </c>
      <c r="C5490" s="119" t="str">
        <f>IFERROR(__xludf.DUMMYFUNCTION("""COMPUTED_VALUE"""),"91 Bùi Thị Xuân")</f>
        <v>91 Bùi Thị Xuân</v>
      </c>
      <c r="D5490" s="119" t="str">
        <f>IFERROR(__xludf.DUMMYFUNCTION("""COMPUTED_VALUE"""),"Chó")</f>
        <v>Chó</v>
      </c>
      <c r="E5490" s="119"/>
    </row>
    <row r="5491" ht="15.75" customHeight="1">
      <c r="A5491" s="122" t="str">
        <f>IFERROR(__xludf.DUMMYFUNCTION("""COMPUTED_VALUE"""),"0905 845 469")</f>
        <v>0905 845 469</v>
      </c>
      <c r="B5491" s="119" t="str">
        <f>IFERROR(__xludf.DUMMYFUNCTION("""COMPUTED_VALUE"""),"Chú Tý")</f>
        <v>Chú Tý</v>
      </c>
      <c r="C5491" s="119" t="str">
        <f>IFERROR(__xludf.DUMMYFUNCTION("""COMPUTED_VALUE"""),"8 Bà Triệu")</f>
        <v>8 Bà Triệu</v>
      </c>
      <c r="D5491" s="119" t="str">
        <f>IFERROR(__xludf.DUMMYFUNCTION("""COMPUTED_VALUE"""),"Mèo")</f>
        <v>Mèo</v>
      </c>
      <c r="E5491" s="119" t="str">
        <f>IFERROR(__xludf.DUMMYFUNCTION("""COMPUTED_VALUE"""),"Cà Rem")</f>
        <v>Cà Rem</v>
      </c>
    </row>
    <row r="5492" ht="15.75" customHeight="1">
      <c r="A5492" s="122" t="str">
        <f>IFERROR(__xludf.DUMMYFUNCTION("""COMPUTED_VALUE"""),"0961 416 435")</f>
        <v>0961 416 435</v>
      </c>
      <c r="B5492" s="119" t="str">
        <f>IFERROR(__xludf.DUMMYFUNCTION("""COMPUTED_VALUE"""),"ANh Đào")</f>
        <v>ANh Đào</v>
      </c>
      <c r="C5492" s="119"/>
      <c r="D5492" s="119" t="str">
        <f>IFERROR(__xludf.DUMMYFUNCTION("""COMPUTED_VALUE"""),"Mèo")</f>
        <v>Mèo</v>
      </c>
      <c r="E5492" s="119" t="str">
        <f>IFERROR(__xludf.DUMMYFUNCTION("""COMPUTED_VALUE"""),"Bông")</f>
        <v>Bông</v>
      </c>
    </row>
    <row r="5493" ht="15.75" customHeight="1">
      <c r="A5493" s="122" t="str">
        <f>IFERROR(__xludf.DUMMYFUNCTION("""COMPUTED_VALUE"""),"0935 119 169")</f>
        <v>0935 119 169</v>
      </c>
      <c r="B5493" s="119" t="str">
        <f>IFERROR(__xludf.DUMMYFUNCTION("""COMPUTED_VALUE"""),"ANh Trung")</f>
        <v>ANh Trung</v>
      </c>
      <c r="C5493" s="119" t="str">
        <f>IFERROR(__xludf.DUMMYFUNCTION("""COMPUTED_VALUE"""),"Nguyễn Trãi")</f>
        <v>Nguyễn Trãi</v>
      </c>
      <c r="D5493" s="119" t="str">
        <f>IFERROR(__xludf.DUMMYFUNCTION("""COMPUTED_VALUE"""),"Chó")</f>
        <v>Chó</v>
      </c>
      <c r="E5493" s="119" t="str">
        <f>IFERROR(__xludf.DUMMYFUNCTION("""COMPUTED_VALUE"""),"Bom")</f>
        <v>Bom</v>
      </c>
    </row>
    <row r="5494" ht="15.75" customHeight="1">
      <c r="A5494" s="122" t="str">
        <f>IFERROR(__xludf.DUMMYFUNCTION("""COMPUTED_VALUE"""),"0905 809 988")</f>
        <v>0905 809 988</v>
      </c>
      <c r="B5494" s="119" t="str">
        <f>IFERROR(__xludf.DUMMYFUNCTION("""COMPUTED_VALUE"""),"Chị Anh")</f>
        <v>Chị Anh</v>
      </c>
      <c r="C5494" s="119" t="str">
        <f>IFERROR(__xludf.DUMMYFUNCTION("""COMPUTED_VALUE"""),"68 Kim Long")</f>
        <v>68 Kim Long</v>
      </c>
      <c r="D5494" s="119" t="str">
        <f>IFERROR(__xludf.DUMMYFUNCTION("""COMPUTED_VALUE"""),"Chó")</f>
        <v>Chó</v>
      </c>
      <c r="E5494" s="119" t="str">
        <f>IFERROR(__xludf.DUMMYFUNCTION("""COMPUTED_VALUE"""),"Milu")</f>
        <v>Milu</v>
      </c>
    </row>
    <row r="5495" ht="15.75" customHeight="1">
      <c r="A5495" s="122" t="str">
        <f>IFERROR(__xludf.DUMMYFUNCTION("""COMPUTED_VALUE"""),"0396 309 108")</f>
        <v>0396 309 108</v>
      </c>
      <c r="B5495" s="119" t="str">
        <f>IFERROR(__xludf.DUMMYFUNCTION("""COMPUTED_VALUE"""),"Chị Phương Thanh")</f>
        <v>Chị Phương Thanh</v>
      </c>
      <c r="C5495" s="119" t="str">
        <f>IFERROR(__xludf.DUMMYFUNCTION("""COMPUTED_VALUE"""),"24A Đặng Dung")</f>
        <v>24A Đặng Dung</v>
      </c>
      <c r="D5495" s="119" t="str">
        <f>IFERROR(__xludf.DUMMYFUNCTION("""COMPUTED_VALUE"""),"Chó")</f>
        <v>Chó</v>
      </c>
      <c r="E5495" s="119" t="str">
        <f>IFERROR(__xludf.DUMMYFUNCTION("""COMPUTED_VALUE"""),"Birdy")</f>
        <v>Birdy</v>
      </c>
    </row>
    <row r="5496" ht="15.75" customHeight="1">
      <c r="A5496" s="122" t="str">
        <f>IFERROR(__xludf.DUMMYFUNCTION("""COMPUTED_VALUE"""),"0914 172 227")</f>
        <v>0914 172 227</v>
      </c>
      <c r="B5496" s="119" t="str">
        <f>IFERROR(__xludf.DUMMYFUNCTION("""COMPUTED_VALUE"""),"Điền")</f>
        <v>Điền</v>
      </c>
      <c r="C5496" s="119" t="str">
        <f>IFERROR(__xludf.DUMMYFUNCTION("""COMPUTED_VALUE"""),"24 Lê Công Hành")</f>
        <v>24 Lê Công Hành</v>
      </c>
      <c r="D5496" s="119" t="str">
        <f>IFERROR(__xludf.DUMMYFUNCTION("""COMPUTED_VALUE"""),"Mèo")</f>
        <v>Mèo</v>
      </c>
      <c r="E5496" s="119" t="str">
        <f>IFERROR(__xludf.DUMMYFUNCTION("""COMPUTED_VALUE"""),"Nhím")</f>
        <v>Nhím</v>
      </c>
    </row>
    <row r="5497" ht="15.75" customHeight="1">
      <c r="A5497" s="122" t="str">
        <f>IFERROR(__xludf.DUMMYFUNCTION("""COMPUTED_VALUE"""),"0586 863 512")</f>
        <v>0586 863 512</v>
      </c>
      <c r="B5497" s="119" t="str">
        <f>IFERROR(__xludf.DUMMYFUNCTION("""COMPUTED_VALUE"""),"Lê Xoan")</f>
        <v>Lê Xoan</v>
      </c>
      <c r="C5497" s="119" t="str">
        <f>IFERROR(__xludf.DUMMYFUNCTION("""COMPUTED_VALUE"""),"148 Nguyễn Phức Vunh")</f>
        <v>148 Nguyễn Phức Vunh</v>
      </c>
      <c r="D5497" s="119" t="str">
        <f>IFERROR(__xludf.DUMMYFUNCTION("""COMPUTED_VALUE"""),"Chó")</f>
        <v>Chó</v>
      </c>
      <c r="E5497" s="119" t="str">
        <f>IFERROR(__xludf.DUMMYFUNCTION("""COMPUTED_VALUE"""),"Bo")</f>
        <v>Bo</v>
      </c>
    </row>
    <row r="5498" ht="15.75" customHeight="1">
      <c r="A5498" s="122" t="str">
        <f>IFERROR(__xludf.DUMMYFUNCTION("""COMPUTED_VALUE"""),"0773 431 462")</f>
        <v>0773 431 462</v>
      </c>
      <c r="B5498" s="119" t="str">
        <f>IFERROR(__xludf.DUMMYFUNCTION("""COMPUTED_VALUE"""),"Trần Viết Thử")</f>
        <v>Trần Viết Thử</v>
      </c>
      <c r="C5498" s="119" t="str">
        <f>IFERROR(__xludf.DUMMYFUNCTION("""COMPUTED_VALUE"""),"Hương Long")</f>
        <v>Hương Long</v>
      </c>
      <c r="D5498" s="119" t="str">
        <f>IFERROR(__xludf.DUMMYFUNCTION("""COMPUTED_VALUE"""),"Chó")</f>
        <v>Chó</v>
      </c>
      <c r="E5498" s="119" t="str">
        <f>IFERROR(__xludf.DUMMYFUNCTION("""COMPUTED_VALUE"""),"Gấu")</f>
        <v>Gấu</v>
      </c>
    </row>
    <row r="5499" ht="15.75" customHeight="1">
      <c r="A5499" s="122" t="str">
        <f>IFERROR(__xludf.DUMMYFUNCTION("""COMPUTED_VALUE"""),"0702 358 018")</f>
        <v>0702 358 018</v>
      </c>
      <c r="B5499" s="119" t="str">
        <f>IFERROR(__xludf.DUMMYFUNCTION("""COMPUTED_VALUE"""),"Chị Xuân Anh")</f>
        <v>Chị Xuân Anh</v>
      </c>
      <c r="C5499" s="119" t="str">
        <f>IFERROR(__xludf.DUMMYFUNCTION("""COMPUTED_VALUE"""),"24 Trần Nhật Duật")</f>
        <v>24 Trần Nhật Duật</v>
      </c>
      <c r="D5499" s="119" t="str">
        <f>IFERROR(__xludf.DUMMYFUNCTION("""COMPUTED_VALUE"""),"Mèo")</f>
        <v>Mèo</v>
      </c>
      <c r="E5499" s="119" t="str">
        <f>IFERROR(__xludf.DUMMYFUNCTION("""COMPUTED_VALUE"""),"Mây")</f>
        <v>Mây</v>
      </c>
    </row>
    <row r="5500" ht="15.75" customHeight="1">
      <c r="A5500" s="122" t="str">
        <f>IFERROR(__xludf.DUMMYFUNCTION("""COMPUTED_VALUE"""),"0868 400 365")</f>
        <v>0868 400 365</v>
      </c>
      <c r="B5500" s="119" t="str">
        <f>IFERROR(__xludf.DUMMYFUNCTION("""COMPUTED_VALUE"""),"Chị Hải Thanh")</f>
        <v>Chị Hải Thanh</v>
      </c>
      <c r="C5500" s="119" t="str">
        <f>IFERROR(__xludf.DUMMYFUNCTION("""COMPUTED_VALUE"""),"34/39 Nguyễn Hữu Duật")</f>
        <v>34/39 Nguyễn Hữu Duật</v>
      </c>
      <c r="D5500" s="119" t="str">
        <f>IFERROR(__xludf.DUMMYFUNCTION("""COMPUTED_VALUE"""),"chó")</f>
        <v>chó</v>
      </c>
      <c r="E5500" s="119" t="str">
        <f>IFERROR(__xludf.DUMMYFUNCTION("""COMPUTED_VALUE"""),"sữa")</f>
        <v>sữa</v>
      </c>
    </row>
    <row r="5501" ht="15.75" customHeight="1">
      <c r="A5501" s="122" t="str">
        <f>IFERROR(__xludf.DUMMYFUNCTION("""COMPUTED_VALUE"""),"0343 868 036")</f>
        <v>0343 868 036</v>
      </c>
      <c r="B5501" s="119" t="str">
        <f>IFERROR(__xludf.DUMMYFUNCTION("""COMPUTED_VALUE"""),"Anh Huy")</f>
        <v>Anh Huy</v>
      </c>
      <c r="C5501" s="119" t="str">
        <f>IFERROR(__xludf.DUMMYFUNCTION("""COMPUTED_VALUE"""),"Suny Pet")</f>
        <v>Suny Pet</v>
      </c>
      <c r="D5501" s="119"/>
      <c r="E5501" s="119"/>
    </row>
    <row r="5502" ht="15.75" customHeight="1">
      <c r="A5502" s="122" t="str">
        <f>IFERROR(__xludf.DUMMYFUNCTION("""COMPUTED_VALUE"""),"0394 358 610")</f>
        <v>0394 358 610</v>
      </c>
      <c r="B5502" s="119" t="str">
        <f>IFERROR(__xludf.DUMMYFUNCTION("""COMPUTED_VALUE"""),"Phan Thị Thanh Ly")</f>
        <v>Phan Thị Thanh Ly</v>
      </c>
      <c r="C5502" s="119" t="str">
        <f>IFERROR(__xludf.DUMMYFUNCTION("""COMPUTED_VALUE"""),"Quảng Thọ Quảng Điền")</f>
        <v>Quảng Thọ Quảng Điền</v>
      </c>
      <c r="D5502" s="119" t="str">
        <f>IFERROR(__xludf.DUMMYFUNCTION("""COMPUTED_VALUE"""),"Chó")</f>
        <v>Chó</v>
      </c>
      <c r="E5502" s="119" t="str">
        <f>IFERROR(__xludf.DUMMYFUNCTION("""COMPUTED_VALUE"""),"Pu")</f>
        <v>Pu</v>
      </c>
    </row>
    <row r="5503" ht="15.75" customHeight="1">
      <c r="A5503" s="122" t="str">
        <f>IFERROR(__xludf.DUMMYFUNCTION("""COMPUTED_VALUE"""),"0949 133 107")</f>
        <v>0949 133 107</v>
      </c>
      <c r="B5503" s="119" t="str">
        <f>IFERROR(__xludf.DUMMYFUNCTION("""COMPUTED_VALUE"""),"Nguyễn Vũ Hà Vi")</f>
        <v>Nguyễn Vũ Hà Vi</v>
      </c>
      <c r="C5503" s="119" t="str">
        <f>IFERROR(__xludf.DUMMYFUNCTION("""COMPUTED_VALUE"""),"10 Thích Tịnh Khiết")</f>
        <v>10 Thích Tịnh Khiết</v>
      </c>
      <c r="D5503" s="119" t="str">
        <f>IFERROR(__xludf.DUMMYFUNCTION("""COMPUTED_VALUE"""),"Mèo")</f>
        <v>Mèo</v>
      </c>
      <c r="E5503" s="119" t="str">
        <f>IFERROR(__xludf.DUMMYFUNCTION("""COMPUTED_VALUE"""),"Pi")</f>
        <v>Pi</v>
      </c>
    </row>
    <row r="5504" ht="15.75" customHeight="1">
      <c r="A5504" s="122" t="str">
        <f>IFERROR(__xludf.DUMMYFUNCTION("""COMPUTED_VALUE"""),"0365 463 852")</f>
        <v>0365 463 852</v>
      </c>
      <c r="B5504" s="119" t="str">
        <f>IFERROR(__xludf.DUMMYFUNCTION("""COMPUTED_VALUE"""),"Chị Thảo")</f>
        <v>Chị Thảo</v>
      </c>
      <c r="C5504" s="119" t="str">
        <f>IFERROR(__xludf.DUMMYFUNCTION("""COMPUTED_VALUE"""),"Hương HỒ")</f>
        <v>Hương HỒ</v>
      </c>
      <c r="D5504" s="119" t="str">
        <f>IFERROR(__xludf.DUMMYFUNCTION("""COMPUTED_VALUE"""),"Chó")</f>
        <v>Chó</v>
      </c>
      <c r="E5504" s="119" t="str">
        <f>IFERROR(__xludf.DUMMYFUNCTION("""COMPUTED_VALUE"""),"Nâu")</f>
        <v>Nâu</v>
      </c>
    </row>
    <row r="5505" ht="15.75" customHeight="1">
      <c r="A5505" s="122" t="str">
        <f>IFERROR(__xludf.DUMMYFUNCTION("""COMPUTED_VALUE"""),"0935 529 561")</f>
        <v>0935 529 561</v>
      </c>
      <c r="B5505" s="119" t="str">
        <f>IFERROR(__xludf.DUMMYFUNCTION("""COMPUTED_VALUE"""),"Chị Quỳnh")</f>
        <v>Chị Quỳnh</v>
      </c>
      <c r="C5505" s="119" t="str">
        <f>IFERROR(__xludf.DUMMYFUNCTION("""COMPUTED_VALUE"""),"Bầu Vá")</f>
        <v>Bầu Vá</v>
      </c>
      <c r="D5505" s="119" t="str">
        <f>IFERROR(__xludf.DUMMYFUNCTION("""COMPUTED_VALUE"""),"Mèo")</f>
        <v>Mèo</v>
      </c>
      <c r="E5505" s="119" t="str">
        <f>IFERROR(__xludf.DUMMYFUNCTION("""COMPUTED_VALUE"""),"Rin")</f>
        <v>Rin</v>
      </c>
    </row>
    <row r="5506" ht="15.75" customHeight="1">
      <c r="A5506" s="122" t="str">
        <f>IFERROR(__xludf.DUMMYFUNCTION("""COMPUTED_VALUE"""),"0903 511 675")</f>
        <v>0903 511 675</v>
      </c>
      <c r="B5506" s="119" t="str">
        <f>IFERROR(__xludf.DUMMYFUNCTION("""COMPUTED_VALUE"""),"Chú Tiến")</f>
        <v>Chú Tiến</v>
      </c>
      <c r="C5506" s="119" t="str">
        <f>IFERROR(__xludf.DUMMYFUNCTION("""COMPUTED_VALUE"""),"8/ 79 Phạm thị Liên")</f>
        <v>8/ 79 Phạm thị Liên</v>
      </c>
      <c r="D5506" s="119" t="str">
        <f>IFERROR(__xludf.DUMMYFUNCTION("""COMPUTED_VALUE"""),"Chó")</f>
        <v>Chó</v>
      </c>
      <c r="E5506" s="119" t="str">
        <f>IFERROR(__xludf.DUMMYFUNCTION("""COMPUTED_VALUE"""),"Ki")</f>
        <v>Ki</v>
      </c>
    </row>
    <row r="5507" ht="15.75" customHeight="1">
      <c r="A5507" s="122" t="str">
        <f>IFERROR(__xludf.DUMMYFUNCTION("""COMPUTED_VALUE"""),"0769 692 245")</f>
        <v>0769 692 245</v>
      </c>
      <c r="B5507" s="119" t="str">
        <f>IFERROR(__xludf.DUMMYFUNCTION("""COMPUTED_VALUE"""),"Anh Hòang")</f>
        <v>Anh Hòang</v>
      </c>
      <c r="C5507" s="119" t="str">
        <f>IFERROR(__xludf.DUMMYFUNCTION("""COMPUTED_VALUE"""),"Tứ Hạ")</f>
        <v>Tứ Hạ</v>
      </c>
      <c r="D5507" s="119" t="str">
        <f>IFERROR(__xludf.DUMMYFUNCTION("""COMPUTED_VALUE"""),"Mèo")</f>
        <v>Mèo</v>
      </c>
      <c r="E5507" s="119" t="str">
        <f>IFERROR(__xludf.DUMMYFUNCTION("""COMPUTED_VALUE"""),"Sữa")</f>
        <v>Sữa</v>
      </c>
    </row>
    <row r="5508" ht="15.75" customHeight="1">
      <c r="A5508" s="122" t="str">
        <f>IFERROR(__xludf.DUMMYFUNCTION("""COMPUTED_VALUE"""),"0931 909 917")</f>
        <v>0931 909 917</v>
      </c>
      <c r="B5508" s="119" t="str">
        <f>IFERROR(__xludf.DUMMYFUNCTION("""COMPUTED_VALUE"""),"Lương Trần Vinh Nguyên")</f>
        <v>Lương Trần Vinh Nguyên</v>
      </c>
      <c r="C5508" s="119" t="str">
        <f>IFERROR(__xludf.DUMMYFUNCTION("""COMPUTED_VALUE"""),"21 Thanh Hương")</f>
        <v>21 Thanh Hương</v>
      </c>
      <c r="D5508" s="119" t="str">
        <f>IFERROR(__xludf.DUMMYFUNCTION("""COMPUTED_VALUE"""),"Chó")</f>
        <v>Chó</v>
      </c>
      <c r="E5508" s="119" t="str">
        <f>IFERROR(__xludf.DUMMYFUNCTION("""COMPUTED_VALUE"""),"Ri")</f>
        <v>Ri</v>
      </c>
    </row>
    <row r="5509" ht="15.75" customHeight="1">
      <c r="A5509" s="122" t="str">
        <f>IFERROR(__xludf.DUMMYFUNCTION("""COMPUTED_VALUE"""),"0839 525 704")</f>
        <v>0839 525 704</v>
      </c>
      <c r="B5509" s="119" t="str">
        <f>IFERROR(__xludf.DUMMYFUNCTION("""COMPUTED_VALUE"""),"Chị Khánh Hà")</f>
        <v>Chị Khánh Hà</v>
      </c>
      <c r="C5509" s="119" t="str">
        <f>IFERROR(__xludf.DUMMYFUNCTION("""COMPUTED_VALUE"""),"260 Nguyễn Trãi")</f>
        <v>260 Nguyễn Trãi</v>
      </c>
      <c r="D5509" s="119" t="str">
        <f>IFERROR(__xludf.DUMMYFUNCTION("""COMPUTED_VALUE"""),"Mèo")</f>
        <v>Mèo</v>
      </c>
      <c r="E5509" s="119" t="str">
        <f>IFERROR(__xludf.DUMMYFUNCTION("""COMPUTED_VALUE"""),"Bông")</f>
        <v>Bông</v>
      </c>
    </row>
    <row r="5510" ht="15.75" customHeight="1">
      <c r="A5510" s="122" t="str">
        <f>IFERROR(__xludf.DUMMYFUNCTION("""COMPUTED_VALUE"""),"0931 937 409")</f>
        <v>0931 937 409</v>
      </c>
      <c r="B5510" s="119" t="str">
        <f>IFERROR(__xludf.DUMMYFUNCTION("""COMPUTED_VALUE"""),"Nguyễn Xuân Di")</f>
        <v>Nguyễn Xuân Di</v>
      </c>
      <c r="C5510" s="119" t="str">
        <f>IFERROR(__xludf.DUMMYFUNCTION("""COMPUTED_VALUE"""),"02 Ngô Gia Tự")</f>
        <v>02 Ngô Gia Tự</v>
      </c>
      <c r="D5510" s="119" t="str">
        <f>IFERROR(__xludf.DUMMYFUNCTION("""COMPUTED_VALUE"""),"Chó")</f>
        <v>Chó</v>
      </c>
      <c r="E5510" s="119" t="str">
        <f>IFERROR(__xludf.DUMMYFUNCTION("""COMPUTED_VALUE"""),"Mớm")</f>
        <v>Mớm</v>
      </c>
    </row>
    <row r="5511" ht="15.75" customHeight="1">
      <c r="A5511" s="122" t="str">
        <f>IFERROR(__xludf.DUMMYFUNCTION("""COMPUTED_VALUE"""),"0905 599 626")</f>
        <v>0905 599 626</v>
      </c>
      <c r="B5511" s="119" t="str">
        <f>IFERROR(__xludf.DUMMYFUNCTION("""COMPUTED_VALUE"""),"Dì Tôn Nữ Thanh")</f>
        <v>Dì Tôn Nữ Thanh</v>
      </c>
      <c r="C5511" s="119" t="str">
        <f>IFERROR(__xludf.DUMMYFUNCTION("""COMPUTED_VALUE"""),"69/25 Phạm Thị Liên")</f>
        <v>69/25 Phạm Thị Liên</v>
      </c>
      <c r="D5511" s="119" t="str">
        <f>IFERROR(__xludf.DUMMYFUNCTION("""COMPUTED_VALUE"""),"Chó")</f>
        <v>Chó</v>
      </c>
      <c r="E5511" s="119" t="str">
        <f>IFERROR(__xludf.DUMMYFUNCTION("""COMPUTED_VALUE"""),"Mực")</f>
        <v>Mực</v>
      </c>
    </row>
    <row r="5512" ht="15.75" customHeight="1">
      <c r="A5512" s="122" t="str">
        <f>IFERROR(__xludf.DUMMYFUNCTION("""COMPUTED_VALUE"""),"0946 127 574")</f>
        <v>0946 127 574</v>
      </c>
      <c r="B5512" s="119" t="str">
        <f>IFERROR(__xludf.DUMMYFUNCTION("""COMPUTED_VALUE"""),"Chị Như Xuân")</f>
        <v>Chị Như Xuân</v>
      </c>
      <c r="C5512" s="119" t="str">
        <f>IFERROR(__xludf.DUMMYFUNCTION("""COMPUTED_VALUE"""),"161 Đặng Văn Ngữ")</f>
        <v>161 Đặng Văn Ngữ</v>
      </c>
      <c r="D5512" s="119" t="str">
        <f>IFERROR(__xludf.DUMMYFUNCTION("""COMPUTED_VALUE"""),"Mèo")</f>
        <v>Mèo</v>
      </c>
      <c r="E5512" s="119" t="str">
        <f>IFERROR(__xludf.DUMMYFUNCTION("""COMPUTED_VALUE"""),"Sữa")</f>
        <v>Sữa</v>
      </c>
    </row>
    <row r="5513" ht="15.75" customHeight="1">
      <c r="A5513" s="122" t="str">
        <f>IFERROR(__xludf.DUMMYFUNCTION("""COMPUTED_VALUE"""),"0989 077 068")</f>
        <v>0989 077 068</v>
      </c>
      <c r="B5513" s="119" t="str">
        <f>IFERROR(__xludf.DUMMYFUNCTION("""COMPUTED_VALUE"""),"Chú Hiển")</f>
        <v>Chú Hiển</v>
      </c>
      <c r="C5513" s="119" t="str">
        <f>IFERROR(__xludf.DUMMYFUNCTION("""COMPUTED_VALUE"""),"lý thái tổ")</f>
        <v>lý thái tổ</v>
      </c>
      <c r="D5513" s="119" t="str">
        <f>IFERROR(__xludf.DUMMYFUNCTION("""COMPUTED_VALUE"""),"Chó")</f>
        <v>Chó</v>
      </c>
      <c r="E5513" s="119" t="str">
        <f>IFERROR(__xludf.DUMMYFUNCTION("""COMPUTED_VALUE"""),"Milo")</f>
        <v>Milo</v>
      </c>
    </row>
    <row r="5514" ht="15.75" customHeight="1">
      <c r="A5514" s="122" t="str">
        <f>IFERROR(__xludf.DUMMYFUNCTION("""COMPUTED_VALUE"""),"0787 723 714")</f>
        <v>0787 723 714</v>
      </c>
      <c r="B5514" s="119" t="str">
        <f>IFERROR(__xludf.DUMMYFUNCTION("""COMPUTED_VALUE"""),"em Cường")</f>
        <v>em Cường</v>
      </c>
      <c r="C5514" s="119" t="str">
        <f>IFERROR(__xludf.DUMMYFUNCTION("""COMPUTED_VALUE"""),"Lys nam đế")</f>
        <v>Lys nam đế</v>
      </c>
      <c r="D5514" s="119" t="str">
        <f>IFERROR(__xludf.DUMMYFUNCTION("""COMPUTED_VALUE"""),"Mèo")</f>
        <v>Mèo</v>
      </c>
      <c r="E5514" s="119" t="str">
        <f>IFERROR(__xludf.DUMMYFUNCTION("""COMPUTED_VALUE"""),"lối")</f>
        <v>lối</v>
      </c>
    </row>
    <row r="5515" ht="15.75" customHeight="1">
      <c r="A5515" s="122" t="str">
        <f>IFERROR(__xludf.DUMMYFUNCTION("""COMPUTED_VALUE"""),"0945 656 284")</f>
        <v>0945 656 284</v>
      </c>
      <c r="B5515" s="119" t="str">
        <f>IFERROR(__xludf.DUMMYFUNCTION("""COMPUTED_VALUE"""),"Quang")</f>
        <v>Quang</v>
      </c>
      <c r="C5515" s="119" t="str">
        <f>IFERROR(__xludf.DUMMYFUNCTION("""COMPUTED_VALUE"""),"35 Văn Thánh")</f>
        <v>35 Văn Thánh</v>
      </c>
      <c r="D5515" s="119" t="str">
        <f>IFERROR(__xludf.DUMMYFUNCTION("""COMPUTED_VALUE"""),"Mèo")</f>
        <v>Mèo</v>
      </c>
      <c r="E5515" s="119" t="str">
        <f>IFERROR(__xludf.DUMMYFUNCTION("""COMPUTED_VALUE"""),"Mập")</f>
        <v>Mập</v>
      </c>
    </row>
    <row r="5516" ht="15.75" customHeight="1">
      <c r="A5516" s="122" t="str">
        <f>IFERROR(__xludf.DUMMYFUNCTION("""COMPUTED_VALUE"""),"0777 596 595")</f>
        <v>0777 596 595</v>
      </c>
      <c r="B5516" s="119" t="str">
        <f>IFERROR(__xludf.DUMMYFUNCTION("""COMPUTED_VALUE"""),"Chú út")</f>
        <v>Chú út</v>
      </c>
      <c r="C5516" s="119" t="str">
        <f>IFERROR(__xludf.DUMMYFUNCTION("""COMPUTED_VALUE"""),"30/19 phạm thị liên")</f>
        <v>30/19 phạm thị liên</v>
      </c>
      <c r="D5516" s="119" t="str">
        <f>IFERROR(__xludf.DUMMYFUNCTION("""COMPUTED_VALUE"""),"Chó")</f>
        <v>Chó</v>
      </c>
      <c r="E5516" s="119" t="str">
        <f>IFERROR(__xludf.DUMMYFUNCTION("""COMPUTED_VALUE"""),"đen")</f>
        <v>đen</v>
      </c>
    </row>
    <row r="5517" ht="15.75" customHeight="1">
      <c r="A5517" s="122" t="str">
        <f>IFERROR(__xludf.DUMMYFUNCTION("""COMPUTED_VALUE"""),"0964 577 424")</f>
        <v>0964 577 424</v>
      </c>
      <c r="B5517" s="119" t="str">
        <f>IFERROR(__xludf.DUMMYFUNCTION("""COMPUTED_VALUE"""),"Em Gia Bảo")</f>
        <v>Em Gia Bảo</v>
      </c>
      <c r="C5517" s="119" t="str">
        <f>IFERROR(__xludf.DUMMYFUNCTION("""COMPUTED_VALUE"""),"7/44 Duy Tân")</f>
        <v>7/44 Duy Tân</v>
      </c>
      <c r="D5517" s="119" t="str">
        <f>IFERROR(__xludf.DUMMYFUNCTION("""COMPUTED_VALUE"""),"Mèo")</f>
        <v>Mèo</v>
      </c>
      <c r="E5517" s="119" t="str">
        <f>IFERROR(__xludf.DUMMYFUNCTION("""COMPUTED_VALUE"""),"Bánh Bao")</f>
        <v>Bánh Bao</v>
      </c>
    </row>
    <row r="5518" ht="15.75" customHeight="1">
      <c r="A5518" s="122" t="str">
        <f>IFERROR(__xludf.DUMMYFUNCTION("""COMPUTED_VALUE"""),"0763 773 399")</f>
        <v>0763 773 399</v>
      </c>
      <c r="B5518" s="119" t="str">
        <f>IFERROR(__xludf.DUMMYFUNCTION("""COMPUTED_VALUE"""),"Anh Châu")</f>
        <v>Anh Châu</v>
      </c>
      <c r="C5518" s="119" t="str">
        <f>IFERROR(__xludf.DUMMYFUNCTION("""COMPUTED_VALUE"""),"3 lê Hữu Trác")</f>
        <v>3 lê Hữu Trác</v>
      </c>
      <c r="D5518" s="119" t="str">
        <f>IFERROR(__xludf.DUMMYFUNCTION("""COMPUTED_VALUE"""),"Mèo")</f>
        <v>Mèo</v>
      </c>
      <c r="E5518" s="119"/>
    </row>
    <row r="5519" ht="15.75" customHeight="1">
      <c r="A5519" s="122" t="str">
        <f>IFERROR(__xludf.DUMMYFUNCTION("""COMPUTED_VALUE"""),"0325 008 879")</f>
        <v>0325 008 879</v>
      </c>
      <c r="B5519" s="119" t="str">
        <f>IFERROR(__xludf.DUMMYFUNCTION("""COMPUTED_VALUE"""),"Chị Hồng")</f>
        <v>Chị Hồng</v>
      </c>
      <c r="C5519" s="119" t="str">
        <f>IFERROR(__xludf.DUMMYFUNCTION("""COMPUTED_VALUE"""),"Vinh Am - An Bằng - Phú Vang")</f>
        <v>Vinh Am - An Bằng - Phú Vang</v>
      </c>
      <c r="D5519" s="119" t="str">
        <f>IFERROR(__xludf.DUMMYFUNCTION("""COMPUTED_VALUE"""),"chó")</f>
        <v>chó</v>
      </c>
      <c r="E5519" s="119" t="str">
        <f>IFERROR(__xludf.DUMMYFUNCTION("""COMPUTED_VALUE"""),"Chip")</f>
        <v>Chip</v>
      </c>
    </row>
    <row r="5520" ht="15.75" customHeight="1">
      <c r="A5520" s="122" t="str">
        <f>IFERROR(__xludf.DUMMYFUNCTION("""COMPUTED_VALUE"""),"0366 621 902")</f>
        <v>0366 621 902</v>
      </c>
      <c r="B5520" s="119" t="str">
        <f>IFERROR(__xludf.DUMMYFUNCTION("""COMPUTED_VALUE"""),"Anh Thắng")</f>
        <v>Anh Thắng</v>
      </c>
      <c r="C5520" s="119" t="str">
        <f>IFERROR(__xludf.DUMMYFUNCTION("""COMPUTED_VALUE"""),"12/69 Đặng Huy Trứ")</f>
        <v>12/69 Đặng Huy Trứ</v>
      </c>
      <c r="D5520" s="119" t="str">
        <f>IFERROR(__xludf.DUMMYFUNCTION("""COMPUTED_VALUE"""),"chó")</f>
        <v>chó</v>
      </c>
      <c r="E5520" s="119" t="str">
        <f>IFERROR(__xludf.DUMMYFUNCTION("""COMPUTED_VALUE"""),"Sambi")</f>
        <v>Sambi</v>
      </c>
    </row>
    <row r="5521" ht="15.75" customHeight="1">
      <c r="A5521" s="122" t="str">
        <f>IFERROR(__xludf.DUMMYFUNCTION("""COMPUTED_VALUE"""),"0398 435 795")</f>
        <v>0398 435 795</v>
      </c>
      <c r="B5521" s="119" t="str">
        <f>IFERROR(__xludf.DUMMYFUNCTION("""COMPUTED_VALUE"""),"Anh Phương")</f>
        <v>Anh Phương</v>
      </c>
      <c r="C5521" s="119" t="str">
        <f>IFERROR(__xludf.DUMMYFUNCTION("""COMPUTED_VALUE"""),"Kiệt 121 Hiền Sĩ, Phong Điền")</f>
        <v>Kiệt 121 Hiền Sĩ, Phong Điền</v>
      </c>
      <c r="D5521" s="119" t="str">
        <f>IFERROR(__xludf.DUMMYFUNCTION("""COMPUTED_VALUE"""),"chó")</f>
        <v>chó</v>
      </c>
      <c r="E5521" s="119" t="str">
        <f>IFERROR(__xludf.DUMMYFUNCTION("""COMPUTED_VALUE"""),"Bớp")</f>
        <v>Bớp</v>
      </c>
    </row>
    <row r="5522" ht="15.75" customHeight="1">
      <c r="A5522" s="122" t="str">
        <f>IFERROR(__xludf.DUMMYFUNCTION("""COMPUTED_VALUE"""),"0706 896 827")</f>
        <v>0706 896 827</v>
      </c>
      <c r="B5522" s="119" t="str">
        <f>IFERROR(__xludf.DUMMYFUNCTION("""COMPUTED_VALUE"""),"Em Ngân Tâm")</f>
        <v>Em Ngân Tâm</v>
      </c>
      <c r="C5522" s="119" t="str">
        <f>IFERROR(__xludf.DUMMYFUNCTION("""COMPUTED_VALUE"""),"2 Diệu Đế")</f>
        <v>2 Diệu Đế</v>
      </c>
      <c r="D5522" s="119" t="str">
        <f>IFERROR(__xludf.DUMMYFUNCTION("""COMPUTED_VALUE"""),"chó")</f>
        <v>chó</v>
      </c>
      <c r="E5522" s="119" t="str">
        <f>IFERROR(__xludf.DUMMYFUNCTION("""COMPUTED_VALUE"""),"Lu")</f>
        <v>Lu</v>
      </c>
    </row>
    <row r="5523" ht="15.75" customHeight="1">
      <c r="A5523" s="122" t="str">
        <f>IFERROR(__xludf.DUMMYFUNCTION("""COMPUTED_VALUE"""),"0986 616 294")</f>
        <v>0986 616 294</v>
      </c>
      <c r="B5523" s="119" t="str">
        <f>IFERROR(__xludf.DUMMYFUNCTION("""COMPUTED_VALUE"""),"chị Phương")</f>
        <v>chị Phương</v>
      </c>
      <c r="C5523" s="119" t="str">
        <f>IFERROR(__xludf.DUMMYFUNCTION("""COMPUTED_VALUE"""),"hương thuỷ")</f>
        <v>hương thuỷ</v>
      </c>
      <c r="D5523" s="119" t="str">
        <f>IFERROR(__xludf.DUMMYFUNCTION("""COMPUTED_VALUE"""),"Chó")</f>
        <v>Chó</v>
      </c>
      <c r="E5523" s="119" t="str">
        <f>IFERROR(__xludf.DUMMYFUNCTION("""COMPUTED_VALUE"""),"vện")</f>
        <v>vện</v>
      </c>
    </row>
    <row r="5524" ht="15.75" customHeight="1">
      <c r="A5524" s="122" t="str">
        <f>IFERROR(__xludf.DUMMYFUNCTION("""COMPUTED_VALUE"""),"0795 730 311")</f>
        <v>0795 730 311</v>
      </c>
      <c r="B5524" s="119" t="str">
        <f>IFERROR(__xludf.DUMMYFUNCTION("""COMPUTED_VALUE"""),"Anh Cẩm")</f>
        <v>Anh Cẩm</v>
      </c>
      <c r="C5524" s="119" t="str">
        <f>IFERROR(__xludf.DUMMYFUNCTION("""COMPUTED_VALUE"""),"31/78 nguyễn hữu dật")</f>
        <v>31/78 nguyễn hữu dật</v>
      </c>
      <c r="D5524" s="119" t="str">
        <f>IFERROR(__xludf.DUMMYFUNCTION("""COMPUTED_VALUE"""),"Chó")</f>
        <v>Chó</v>
      </c>
      <c r="E5524" s="119" t="str">
        <f>IFERROR(__xludf.DUMMYFUNCTION("""COMPUTED_VALUE"""),"vàng")</f>
        <v>vàng</v>
      </c>
    </row>
    <row r="5525" ht="15.75" customHeight="1">
      <c r="A5525" s="122" t="str">
        <f>IFERROR(__xludf.DUMMYFUNCTION("""COMPUTED_VALUE"""),"0360 697 996")</f>
        <v>0360 697 996</v>
      </c>
      <c r="B5525" s="119" t="str">
        <f>IFERROR(__xludf.DUMMYFUNCTION("""COMPUTED_VALUE"""),"Anh Toàn")</f>
        <v>Anh Toàn</v>
      </c>
      <c r="C5525" s="119" t="str">
        <f>IFERROR(__xludf.DUMMYFUNCTION("""COMPUTED_VALUE"""),"3/56 Phan Chu Trinh")</f>
        <v>3/56 Phan Chu Trinh</v>
      </c>
      <c r="D5525" s="119" t="str">
        <f>IFERROR(__xludf.DUMMYFUNCTION("""COMPUTED_VALUE"""),"Mèo")</f>
        <v>Mèo</v>
      </c>
      <c r="E5525" s="119" t="str">
        <f>IFERROR(__xludf.DUMMYFUNCTION("""COMPUTED_VALUE"""),"won")</f>
        <v>won</v>
      </c>
    </row>
    <row r="5526" ht="15.75" customHeight="1">
      <c r="A5526" s="122" t="str">
        <f>IFERROR(__xludf.DUMMYFUNCTION("""COMPUTED_VALUE"""),"0961 160 540")</f>
        <v>0961 160 540</v>
      </c>
      <c r="B5526" s="119" t="str">
        <f>IFERROR(__xludf.DUMMYFUNCTION("""COMPUTED_VALUE"""),"Anh Duy")</f>
        <v>Anh Duy</v>
      </c>
      <c r="C5526" s="119" t="str">
        <f>IFERROR(__xludf.DUMMYFUNCTION("""COMPUTED_VALUE"""),"44 Nguyễn Phúc Lan")</f>
        <v>44 Nguyễn Phúc Lan</v>
      </c>
      <c r="D5526" s="119" t="str">
        <f>IFERROR(__xludf.DUMMYFUNCTION("""COMPUTED_VALUE"""),"Chó")</f>
        <v>Chó</v>
      </c>
      <c r="E5526" s="119"/>
    </row>
    <row r="5527" ht="15.75" customHeight="1">
      <c r="A5527" s="122" t="str">
        <f>IFERROR(__xludf.DUMMYFUNCTION("""COMPUTED_VALUE"""),"0776 372 948")</f>
        <v>0776 372 948</v>
      </c>
      <c r="B5527" s="119" t="str">
        <f>IFERROR(__xludf.DUMMYFUNCTION("""COMPUTED_VALUE"""),"Anh Đức")</f>
        <v>Anh Đức</v>
      </c>
      <c r="C5527" s="119" t="str">
        <f>IFERROR(__xludf.DUMMYFUNCTION("""COMPUTED_VALUE"""),"21/14 Nguyễn Phúc Lan")</f>
        <v>21/14 Nguyễn Phúc Lan</v>
      </c>
      <c r="D5527" s="119" t="str">
        <f>IFERROR(__xludf.DUMMYFUNCTION("""COMPUTED_VALUE"""),"Mèo")</f>
        <v>Mèo</v>
      </c>
      <c r="E5527" s="119"/>
    </row>
    <row r="5528" ht="15.75" customHeight="1">
      <c r="A5528" s="122" t="str">
        <f>IFERROR(__xludf.DUMMYFUNCTION("""COMPUTED_VALUE"""),"0903 218 504")</f>
        <v>0903 218 504</v>
      </c>
      <c r="B5528" s="119" t="str">
        <f>IFERROR(__xludf.DUMMYFUNCTION("""COMPUTED_VALUE"""),"chị trinh")</f>
        <v>chị trinh</v>
      </c>
      <c r="C5528" s="119" t="str">
        <f>IFERROR(__xludf.DUMMYFUNCTION("""COMPUTED_VALUE"""),"9/139 An Dương Vương")</f>
        <v>9/139 An Dương Vương</v>
      </c>
      <c r="D5528" s="119" t="str">
        <f>IFERROR(__xludf.DUMMYFUNCTION("""COMPUTED_VALUE"""),"Chó")</f>
        <v>Chó</v>
      </c>
      <c r="E5528" s="119" t="str">
        <f>IFERROR(__xludf.DUMMYFUNCTION("""COMPUTED_VALUE"""),"Mon")</f>
        <v>Mon</v>
      </c>
    </row>
    <row r="5529" ht="15.75" customHeight="1">
      <c r="A5529" s="122" t="str">
        <f>IFERROR(__xludf.DUMMYFUNCTION("""COMPUTED_VALUE"""),"0932 421 895")</f>
        <v>0932 421 895</v>
      </c>
      <c r="B5529" s="119" t="str">
        <f>IFERROR(__xludf.DUMMYFUNCTION("""COMPUTED_VALUE"""),"khách")</f>
        <v>khách</v>
      </c>
      <c r="C5529" s="119" t="str">
        <f>IFERROR(__xludf.DUMMYFUNCTION("""COMPUTED_VALUE"""),"20 Sư Vạn Hạnh")</f>
        <v>20 Sư Vạn Hạnh</v>
      </c>
      <c r="D5529" s="119" t="str">
        <f>IFERROR(__xludf.DUMMYFUNCTION("""COMPUTED_VALUE"""),"Chó")</f>
        <v>Chó</v>
      </c>
      <c r="E5529" s="119"/>
    </row>
    <row r="5530" ht="15.75" customHeight="1">
      <c r="A5530" s="122" t="str">
        <f>IFERROR(__xludf.DUMMYFUNCTION("""COMPUTED_VALUE"""),"0914 423 825")</f>
        <v>0914 423 825</v>
      </c>
      <c r="B5530" s="119" t="str">
        <f>IFERROR(__xludf.DUMMYFUNCTION("""COMPUTED_VALUE"""),"Bác Thiên")</f>
        <v>Bác Thiên</v>
      </c>
      <c r="C5530" s="119" t="str">
        <f>IFERROR(__xludf.DUMMYFUNCTION("""COMPUTED_VALUE"""),"64 An Ninh")</f>
        <v>64 An Ninh</v>
      </c>
      <c r="D5530" s="119" t="str">
        <f>IFERROR(__xludf.DUMMYFUNCTION("""COMPUTED_VALUE"""),"Chó")</f>
        <v>Chó</v>
      </c>
      <c r="E5530" s="119"/>
    </row>
    <row r="5531" ht="15.75" customHeight="1">
      <c r="A5531" s="122" t="str">
        <f>IFERROR(__xludf.DUMMYFUNCTION("""COMPUTED_VALUE"""),"0906 809 255")</f>
        <v>0906 809 255</v>
      </c>
      <c r="B5531" s="119" t="str">
        <f>IFERROR(__xludf.DUMMYFUNCTION("""COMPUTED_VALUE"""),"Anh Xuân Lộc")</f>
        <v>Anh Xuân Lộc</v>
      </c>
      <c r="C5531" s="119" t="str">
        <f>IFERROR(__xludf.DUMMYFUNCTION("""COMPUTED_VALUE"""),"Nguyễn Hoàng")</f>
        <v>Nguyễn Hoàng</v>
      </c>
      <c r="D5531" s="119" t="str">
        <f>IFERROR(__xludf.DUMMYFUNCTION("""COMPUTED_VALUE"""),"Chó")</f>
        <v>Chó</v>
      </c>
      <c r="E5531" s="119" t="str">
        <f>IFERROR(__xludf.DUMMYFUNCTION("""COMPUTED_VALUE"""),"lu")</f>
        <v>lu</v>
      </c>
    </row>
    <row r="5532" ht="15.75" customHeight="1">
      <c r="A5532" s="122" t="str">
        <f>IFERROR(__xludf.DUMMYFUNCTION("""COMPUTED_VALUE"""),"0936 286 658")</f>
        <v>0936 286 658</v>
      </c>
      <c r="B5532" s="119" t="str">
        <f>IFERROR(__xludf.DUMMYFUNCTION("""COMPUTED_VALUE"""),"Chị Hà  (chung)")</f>
        <v>Chị Hà  (chung)</v>
      </c>
      <c r="C5532" s="119" t="str">
        <f>IFERROR(__xludf.DUMMYFUNCTION("""COMPUTED_VALUE"""),"25/250 Phan Bội Châu")</f>
        <v>25/250 Phan Bội Châu</v>
      </c>
      <c r="D5532" s="119" t="str">
        <f>IFERROR(__xludf.DUMMYFUNCTION("""COMPUTED_VALUE"""),"Chó")</f>
        <v>Chó</v>
      </c>
      <c r="E5532" s="119" t="str">
        <f>IFERROR(__xludf.DUMMYFUNCTION("""COMPUTED_VALUE"""),"Bi/chuột/mèo")</f>
        <v>Bi/chuột/mèo</v>
      </c>
    </row>
    <row r="5533" ht="15.75" customHeight="1">
      <c r="A5533" s="122"/>
      <c r="B5533" s="119" t="str">
        <f>IFERROR(__xludf.DUMMYFUNCTION("""COMPUTED_VALUE"""),"Chị Ny")</f>
        <v>Chị Ny</v>
      </c>
      <c r="C5533" s="119" t="str">
        <f>IFERROR(__xludf.DUMMYFUNCTION("""COMPUTED_VALUE"""),"Phong điền")</f>
        <v>Phong điền</v>
      </c>
      <c r="D5533" s="119" t="str">
        <f>IFERROR(__xludf.DUMMYFUNCTION("""COMPUTED_VALUE"""),"Mèo")</f>
        <v>Mèo</v>
      </c>
      <c r="E5533" s="119" t="str">
        <f>IFERROR(__xludf.DUMMYFUNCTION("""COMPUTED_VALUE"""),"Ten")</f>
        <v>Ten</v>
      </c>
    </row>
    <row r="5534" ht="15.75" customHeight="1">
      <c r="A5534" s="122" t="str">
        <f>IFERROR(__xludf.DUMMYFUNCTION("""COMPUTED_VALUE"""),"0777 504 812")</f>
        <v>0777 504 812</v>
      </c>
      <c r="B5534" s="119" t="str">
        <f>IFERROR(__xludf.DUMMYFUNCTION("""COMPUTED_VALUE"""),"Bác Nguyễn Vui")</f>
        <v>Bác Nguyễn Vui</v>
      </c>
      <c r="C5534" s="119" t="str">
        <f>IFERROR(__xludf.DUMMYFUNCTION("""COMPUTED_VALUE"""),"35 Nguyễn Sinh Cung")</f>
        <v>35 Nguyễn Sinh Cung</v>
      </c>
      <c r="D5534" s="119" t="str">
        <f>IFERROR(__xludf.DUMMYFUNCTION("""COMPUTED_VALUE"""),"Chó")</f>
        <v>Chó</v>
      </c>
      <c r="E5534" s="119" t="str">
        <f>IFERROR(__xludf.DUMMYFUNCTION("""COMPUTED_VALUE"""),"lucky")</f>
        <v>lucky</v>
      </c>
    </row>
    <row r="5535" ht="15.75" customHeight="1">
      <c r="A5535" s="122" t="str">
        <f>IFERROR(__xludf.DUMMYFUNCTION("""COMPUTED_VALUE"""),"0394 402 598")</f>
        <v>0394 402 598</v>
      </c>
      <c r="B5535" s="119" t="str">
        <f>IFERROR(__xludf.DUMMYFUNCTION("""COMPUTED_VALUE"""),"Chú Hoà")</f>
        <v>Chú Hoà</v>
      </c>
      <c r="C5535" s="119" t="str">
        <f>IFERROR(__xludf.DUMMYFUNCTION("""COMPUTED_VALUE"""),"88 Bao Vinh")</f>
        <v>88 Bao Vinh</v>
      </c>
      <c r="D5535" s="119" t="str">
        <f>IFERROR(__xludf.DUMMYFUNCTION("""COMPUTED_VALUE"""),"Chó")</f>
        <v>Chó</v>
      </c>
      <c r="E5535" s="119" t="str">
        <f>IFERROR(__xludf.DUMMYFUNCTION("""COMPUTED_VALUE"""),"lu")</f>
        <v>lu</v>
      </c>
    </row>
    <row r="5536" ht="15.75" customHeight="1">
      <c r="A5536" s="122" t="str">
        <f>IFERROR(__xludf.DUMMYFUNCTION("""COMPUTED_VALUE"""),"0707 298 139")</f>
        <v>0707 298 139</v>
      </c>
      <c r="B5536" s="119" t="str">
        <f>IFERROR(__xludf.DUMMYFUNCTION("""COMPUTED_VALUE"""),"Phúc")</f>
        <v>Phúc</v>
      </c>
      <c r="C5536" s="119" t="str">
        <f>IFERROR(__xludf.DUMMYFUNCTION("""COMPUTED_VALUE"""),"95 Nguyễn Huệ")</f>
        <v>95 Nguyễn Huệ</v>
      </c>
      <c r="D5536" s="119" t="str">
        <f>IFERROR(__xludf.DUMMYFUNCTION("""COMPUTED_VALUE"""),"Chó")</f>
        <v>Chó</v>
      </c>
      <c r="E5536" s="119" t="str">
        <f>IFERROR(__xludf.DUMMYFUNCTION("""COMPUTED_VALUE"""),"Đậu")</f>
        <v>Đậu</v>
      </c>
    </row>
    <row r="5537" ht="15.75" customHeight="1">
      <c r="A5537" s="122" t="str">
        <f>IFERROR(__xludf.DUMMYFUNCTION("""COMPUTED_VALUE"""),"0948 417 418")</f>
        <v>0948 417 418</v>
      </c>
      <c r="B5537" s="119" t="str">
        <f>IFERROR(__xludf.DUMMYFUNCTION("""COMPUTED_VALUE"""),"Anh Quý")</f>
        <v>Anh Quý</v>
      </c>
      <c r="C5537" s="119" t="str">
        <f>IFERROR(__xludf.DUMMYFUNCTION("""COMPUTED_VALUE"""),"99 Vạn Xuân")</f>
        <v>99 Vạn Xuân</v>
      </c>
      <c r="D5537" s="119" t="str">
        <f>IFERROR(__xludf.DUMMYFUNCTION("""COMPUTED_VALUE"""),"Chó")</f>
        <v>Chó</v>
      </c>
      <c r="E5537" s="119" t="str">
        <f>IFERROR(__xludf.DUMMYFUNCTION("""COMPUTED_VALUE"""),"bò")</f>
        <v>bò</v>
      </c>
    </row>
    <row r="5538" ht="15.75" customHeight="1">
      <c r="A5538" s="122" t="str">
        <f>IFERROR(__xludf.DUMMYFUNCTION("""COMPUTED_VALUE"""),"0869 645 042")</f>
        <v>0869 645 042</v>
      </c>
      <c r="B5538" s="119" t="str">
        <f>IFERROR(__xludf.DUMMYFUNCTION("""COMPUTED_VALUE"""),"Chị Ti")</f>
        <v>Chị Ti</v>
      </c>
      <c r="C5538" s="119" t="str">
        <f>IFERROR(__xludf.DUMMYFUNCTION("""COMPUTED_VALUE"""),"34 Xuân Diệu")</f>
        <v>34 Xuân Diệu</v>
      </c>
      <c r="D5538" s="119" t="str">
        <f>IFERROR(__xludf.DUMMYFUNCTION("""COMPUTED_VALUE"""),"Chó")</f>
        <v>Chó</v>
      </c>
      <c r="E5538" s="119" t="str">
        <f>IFERROR(__xludf.DUMMYFUNCTION("""COMPUTED_VALUE"""),"út")</f>
        <v>út</v>
      </c>
    </row>
    <row r="5539" ht="15.75" customHeight="1">
      <c r="A5539" s="122" t="str">
        <f>IFERROR(__xludf.DUMMYFUNCTION("""COMPUTED_VALUE"""),"0906 472 052")</f>
        <v>0906 472 052</v>
      </c>
      <c r="B5539" s="119" t="str">
        <f>IFERROR(__xludf.DUMMYFUNCTION("""COMPUTED_VALUE"""),"chị trần thị thanh thuý")</f>
        <v>chị trần thị thanh thuý</v>
      </c>
      <c r="C5539" s="119" t="str">
        <f>IFERROR(__xludf.DUMMYFUNCTION("""COMPUTED_VALUE"""),"86/240 lý nam đế")</f>
        <v>86/240 lý nam đế</v>
      </c>
      <c r="D5539" s="119" t="str">
        <f>IFERROR(__xludf.DUMMYFUNCTION("""COMPUTED_VALUE"""),"Mèo")</f>
        <v>Mèo</v>
      </c>
      <c r="E5539" s="119" t="str">
        <f>IFERROR(__xludf.DUMMYFUNCTION("""COMPUTED_VALUE"""),"bông")</f>
        <v>bông</v>
      </c>
    </row>
    <row r="5540" ht="15.75" customHeight="1">
      <c r="A5540" s="122" t="str">
        <f>IFERROR(__xludf.DUMMYFUNCTION("""COMPUTED_VALUE"""),"0824 101 094")</f>
        <v>0824 101 094</v>
      </c>
      <c r="B5540" s="119" t="str">
        <f>IFERROR(__xludf.DUMMYFUNCTION("""COMPUTED_VALUE"""),"Chị Hạnh")</f>
        <v>Chị Hạnh</v>
      </c>
      <c r="C5540" s="119" t="str">
        <f>IFERROR(__xludf.DUMMYFUNCTION("""COMPUTED_VALUE"""),"2 Nguyễn Đỗ Cung")</f>
        <v>2 Nguyễn Đỗ Cung</v>
      </c>
      <c r="D5540" s="119" t="str">
        <f>IFERROR(__xludf.DUMMYFUNCTION("""COMPUTED_VALUE"""),"Chó")</f>
        <v>Chó</v>
      </c>
      <c r="E5540" s="119" t="str">
        <f>IFERROR(__xludf.DUMMYFUNCTION("""COMPUTED_VALUE"""),"lợn")</f>
        <v>lợn</v>
      </c>
    </row>
    <row r="5541" ht="15.75" customHeight="1">
      <c r="A5541" s="122" t="str">
        <f>IFERROR(__xludf.DUMMYFUNCTION("""COMPUTED_VALUE"""),"0935 417 438")</f>
        <v>0935 417 438</v>
      </c>
      <c r="B5541" s="119" t="str">
        <f>IFERROR(__xludf.DUMMYFUNCTION("""COMPUTED_VALUE"""),"Anh Quang")</f>
        <v>Anh Quang</v>
      </c>
      <c r="C5541" s="119" t="str">
        <f>IFERROR(__xludf.DUMMYFUNCTION("""COMPUTED_VALUE"""),"15/87 Nguyễn Huệ")</f>
        <v>15/87 Nguyễn Huệ</v>
      </c>
      <c r="D5541" s="119" t="str">
        <f>IFERROR(__xludf.DUMMYFUNCTION("""COMPUTED_VALUE"""),"Chó")</f>
        <v>Chó</v>
      </c>
      <c r="E5541" s="119" t="str">
        <f>IFERROR(__xludf.DUMMYFUNCTION("""COMPUTED_VALUE"""),"Trúc")</f>
        <v>Trúc</v>
      </c>
    </row>
    <row r="5542" ht="15.75" customHeight="1">
      <c r="A5542" s="122" t="str">
        <f>IFERROR(__xludf.DUMMYFUNCTION("""COMPUTED_VALUE"""),"0935 532 601")</f>
        <v>0935 532 601</v>
      </c>
      <c r="B5542" s="119" t="str">
        <f>IFERROR(__xludf.DUMMYFUNCTION("""COMPUTED_VALUE"""),"Chị An")</f>
        <v>Chị An</v>
      </c>
      <c r="C5542" s="119" t="str">
        <f>IFERROR(__xludf.DUMMYFUNCTION("""COMPUTED_VALUE"""),"310 lý nam đế")</f>
        <v>310 lý nam đế</v>
      </c>
      <c r="D5542" s="119" t="str">
        <f>IFERROR(__xludf.DUMMYFUNCTION("""COMPUTED_VALUE"""),"Mèo")</f>
        <v>Mèo</v>
      </c>
      <c r="E5542" s="119" t="str">
        <f>IFERROR(__xludf.DUMMYFUNCTION("""COMPUTED_VALUE"""),"lạc")</f>
        <v>lạc</v>
      </c>
    </row>
    <row r="5543" ht="15.75" customHeight="1">
      <c r="A5543" s="122" t="str">
        <f>IFERROR(__xludf.DUMMYFUNCTION("""COMPUTED_VALUE"""),"0902 501 989")</f>
        <v>0902 501 989</v>
      </c>
      <c r="B5543" s="119" t="str">
        <f>IFERROR(__xludf.DUMMYFUNCTION("""COMPUTED_VALUE"""),"Anh Việt")</f>
        <v>Anh Việt</v>
      </c>
      <c r="C5543" s="119" t="str">
        <f>IFERROR(__xludf.DUMMYFUNCTION("""COMPUTED_VALUE"""),"Thuỷ Vân Hương Thuỷ")</f>
        <v>Thuỷ Vân Hương Thuỷ</v>
      </c>
      <c r="D5543" s="119" t="str">
        <f>IFERROR(__xludf.DUMMYFUNCTION("""COMPUTED_VALUE"""),"Chó")</f>
        <v>Chó</v>
      </c>
      <c r="E5543" s="119" t="str">
        <f>IFERROR(__xludf.DUMMYFUNCTION("""COMPUTED_VALUE"""),"bi")</f>
        <v>bi</v>
      </c>
    </row>
    <row r="5544" ht="15.75" customHeight="1">
      <c r="A5544" s="122" t="str">
        <f>IFERROR(__xludf.DUMMYFUNCTION("""COMPUTED_VALUE"""),"0762 573 433")</f>
        <v>0762 573 433</v>
      </c>
      <c r="B5544" s="119" t="str">
        <f>IFERROR(__xludf.DUMMYFUNCTION("""COMPUTED_VALUE"""),"em Phương Anh")</f>
        <v>em Phương Anh</v>
      </c>
      <c r="C5544" s="119" t="str">
        <f>IFERROR(__xludf.DUMMYFUNCTION("""COMPUTED_VALUE"""),"120 Phạm Thị Liên")</f>
        <v>120 Phạm Thị Liên</v>
      </c>
      <c r="D5544" s="119" t="str">
        <f>IFERROR(__xludf.DUMMYFUNCTION("""COMPUTED_VALUE"""),"Mèo")</f>
        <v>Mèo</v>
      </c>
      <c r="E5544" s="119" t="str">
        <f>IFERROR(__xludf.DUMMYFUNCTION("""COMPUTED_VALUE"""),"bột")</f>
        <v>bột</v>
      </c>
    </row>
    <row r="5545" ht="15.75" customHeight="1">
      <c r="A5545" s="122" t="str">
        <f>IFERROR(__xludf.DUMMYFUNCTION("""COMPUTED_VALUE"""),"0905 010 795")</f>
        <v>0905 010 795</v>
      </c>
      <c r="B5545" s="119" t="str">
        <f>IFERROR(__xludf.DUMMYFUNCTION("""COMPUTED_VALUE"""),"Chị Anh Thư")</f>
        <v>Chị Anh Thư</v>
      </c>
      <c r="C5545" s="119" t="str">
        <f>IFERROR(__xludf.DUMMYFUNCTION("""COMPUTED_VALUE"""),"11 Ưng Bình")</f>
        <v>11 Ưng Bình</v>
      </c>
      <c r="D5545" s="119" t="str">
        <f>IFERROR(__xludf.DUMMYFUNCTION("""COMPUTED_VALUE"""),"Chó")</f>
        <v>Chó</v>
      </c>
      <c r="E5545" s="119" t="str">
        <f>IFERROR(__xludf.DUMMYFUNCTION("""COMPUTED_VALUE"""),"zet")</f>
        <v>zet</v>
      </c>
    </row>
    <row r="5546" ht="15.75" customHeight="1">
      <c r="A5546" s="122" t="str">
        <f>IFERROR(__xludf.DUMMYFUNCTION("""COMPUTED_VALUE"""),"0352 074 102")</f>
        <v>0352 074 102</v>
      </c>
      <c r="B5546" s="119" t="str">
        <f>IFERROR(__xludf.DUMMYFUNCTION("""COMPUTED_VALUE"""),"Chị Nhung")</f>
        <v>Chị Nhung</v>
      </c>
      <c r="C5546" s="119" t="str">
        <f>IFERROR(__xludf.DUMMYFUNCTION("""COMPUTED_VALUE"""),"3/162 Phan Bội Châu")</f>
        <v>3/162 Phan Bội Châu</v>
      </c>
      <c r="D5546" s="119" t="str">
        <f>IFERROR(__xludf.DUMMYFUNCTION("""COMPUTED_VALUE"""),"Mèo")</f>
        <v>Mèo</v>
      </c>
      <c r="E5546" s="119" t="str">
        <f>IFERROR(__xludf.DUMMYFUNCTION("""COMPUTED_VALUE"""),"Quắn")</f>
        <v>Quắn</v>
      </c>
    </row>
    <row r="5547" ht="15.75" customHeight="1">
      <c r="A5547" s="122" t="str">
        <f>IFERROR(__xludf.DUMMYFUNCTION("""COMPUTED_VALUE"""),"0797 110 535")</f>
        <v>0797 110 535</v>
      </c>
      <c r="B5547" s="119" t="str">
        <f>IFERROR(__xludf.DUMMYFUNCTION("""COMPUTED_VALUE"""),"EM Mi")</f>
        <v>EM Mi</v>
      </c>
      <c r="C5547" s="119" t="str">
        <f>IFERROR(__xludf.DUMMYFUNCTION("""COMPUTED_VALUE"""),"Hương Hồ")</f>
        <v>Hương Hồ</v>
      </c>
      <c r="D5547" s="119" t="str">
        <f>IFERROR(__xludf.DUMMYFUNCTION("""COMPUTED_VALUE"""),"Mèo")</f>
        <v>Mèo</v>
      </c>
      <c r="E5547" s="119" t="str">
        <f>IFERROR(__xludf.DUMMYFUNCTION("""COMPUTED_VALUE"""),"Shin")</f>
        <v>Shin</v>
      </c>
    </row>
    <row r="5548" ht="15.75" customHeight="1">
      <c r="A5548" s="122" t="str">
        <f>IFERROR(__xludf.DUMMYFUNCTION("""COMPUTED_VALUE"""),"0935 563 385")</f>
        <v>0935 563 385</v>
      </c>
      <c r="B5548" s="119" t="str">
        <f>IFERROR(__xludf.DUMMYFUNCTION("""COMPUTED_VALUE"""),"Em My")</f>
        <v>Em My</v>
      </c>
      <c r="C5548" s="119" t="str">
        <f>IFERROR(__xludf.DUMMYFUNCTION("""COMPUTED_VALUE"""),"254/11 Bùi thị Xuân")</f>
        <v>254/11 Bùi thị Xuân</v>
      </c>
      <c r="D5548" s="119" t="str">
        <f>IFERROR(__xludf.DUMMYFUNCTION("""COMPUTED_VALUE"""),"Chó")</f>
        <v>Chó</v>
      </c>
      <c r="E5548" s="119" t="str">
        <f>IFERROR(__xludf.DUMMYFUNCTION("""COMPUTED_VALUE"""),"Sushi")</f>
        <v>Sushi</v>
      </c>
    </row>
    <row r="5549" ht="15.75" customHeight="1">
      <c r="A5549" s="122" t="str">
        <f>IFERROR(__xludf.DUMMYFUNCTION("""COMPUTED_VALUE"""),"0794 519 367")</f>
        <v>0794 519 367</v>
      </c>
      <c r="B5549" s="119" t="str">
        <f>IFERROR(__xludf.DUMMYFUNCTION("""COMPUTED_VALUE"""),"Chị Hải Vân")</f>
        <v>Chị Hải Vân</v>
      </c>
      <c r="C5549" s="119" t="str">
        <f>IFERROR(__xludf.DUMMYFUNCTION("""COMPUTED_VALUE"""),"103F Đặng Huy Trứ")</f>
        <v>103F Đặng Huy Trứ</v>
      </c>
      <c r="D5549" s="119" t="str">
        <f>IFERROR(__xludf.DUMMYFUNCTION("""COMPUTED_VALUE"""),"Mèo")</f>
        <v>Mèo</v>
      </c>
      <c r="E5549" s="119" t="str">
        <f>IFERROR(__xludf.DUMMYFUNCTION("""COMPUTED_VALUE"""),"Vân")</f>
        <v>Vân</v>
      </c>
    </row>
    <row r="5550" ht="15.75" customHeight="1">
      <c r="A5550" s="122" t="str">
        <f>IFERROR(__xludf.DUMMYFUNCTION("""COMPUTED_VALUE"""),"0354 140 401")</f>
        <v>0354 140 401</v>
      </c>
      <c r="B5550" s="119" t="str">
        <f>IFERROR(__xludf.DUMMYFUNCTION("""COMPUTED_VALUE"""),"Đạt sv/ Lợi")</f>
        <v>Đạt sv/ Lợi</v>
      </c>
      <c r="C5550" s="119" t="str">
        <f>IFERROR(__xludf.DUMMYFUNCTION("""COMPUTED_VALUE"""),"Tỉnh Lộ 10")</f>
        <v>Tỉnh Lộ 10</v>
      </c>
      <c r="D5550" s="119" t="str">
        <f>IFERROR(__xludf.DUMMYFUNCTION("""COMPUTED_VALUE"""),"Mèo")</f>
        <v>Mèo</v>
      </c>
      <c r="E5550" s="119"/>
    </row>
    <row r="5551" ht="15.75" customHeight="1">
      <c r="A5551" s="122" t="str">
        <f>IFERROR(__xludf.DUMMYFUNCTION("""COMPUTED_VALUE"""),"0911 344 537")</f>
        <v>0911 344 537</v>
      </c>
      <c r="B5551" s="119" t="str">
        <f>IFERROR(__xludf.DUMMYFUNCTION("""COMPUTED_VALUE"""),"Anh Tùng")</f>
        <v>Anh Tùng</v>
      </c>
      <c r="C5551" s="119" t="str">
        <f>IFERROR(__xludf.DUMMYFUNCTION("""COMPUTED_VALUE"""),"KQH Xuân PHú")</f>
        <v>KQH Xuân PHú</v>
      </c>
      <c r="D5551" s="119" t="str">
        <f>IFERROR(__xludf.DUMMYFUNCTION("""COMPUTED_VALUE"""),"Chó")</f>
        <v>Chó</v>
      </c>
      <c r="E5551" s="119" t="str">
        <f>IFERROR(__xludf.DUMMYFUNCTION("""COMPUTED_VALUE"""),"Susu")</f>
        <v>Susu</v>
      </c>
    </row>
    <row r="5552" ht="15.75" customHeight="1">
      <c r="A5552" s="122" t="str">
        <f>IFERROR(__xludf.DUMMYFUNCTION("""COMPUTED_VALUE"""),"0935 393 407")</f>
        <v>0935 393 407</v>
      </c>
      <c r="B5552" s="119" t="str">
        <f>IFERROR(__xludf.DUMMYFUNCTION("""COMPUTED_VALUE"""),"Chị Thư")</f>
        <v>Chị Thư</v>
      </c>
      <c r="C5552" s="119" t="str">
        <f>IFERROR(__xludf.DUMMYFUNCTION("""COMPUTED_VALUE"""),"3/263 Bà Triệu")</f>
        <v>3/263 Bà Triệu</v>
      </c>
      <c r="D5552" s="119" t="str">
        <f>IFERROR(__xludf.DUMMYFUNCTION("""COMPUTED_VALUE"""),"Mèo")</f>
        <v>Mèo</v>
      </c>
      <c r="E5552" s="119" t="str">
        <f>IFERROR(__xludf.DUMMYFUNCTION("""COMPUTED_VALUE"""),"Thỏ")</f>
        <v>Thỏ</v>
      </c>
    </row>
    <row r="5553" ht="15.75" customHeight="1">
      <c r="A5553" s="122" t="str">
        <f>IFERROR(__xludf.DUMMYFUNCTION("""COMPUTED_VALUE"""),"0945 222 024")</f>
        <v>0945 222 024</v>
      </c>
      <c r="B5553" s="119" t="str">
        <f>IFERROR(__xludf.DUMMYFUNCTION("""COMPUTED_VALUE"""),"Chị Phương")</f>
        <v>Chị Phương</v>
      </c>
      <c r="C5553" s="119" t="str">
        <f>IFERROR(__xludf.DUMMYFUNCTION("""COMPUTED_VALUE"""),"58/1 Nguyễn Hoàng")</f>
        <v>58/1 Nguyễn Hoàng</v>
      </c>
      <c r="D5553" s="119" t="str">
        <f>IFERROR(__xludf.DUMMYFUNCTION("""COMPUTED_VALUE"""),"Mèo")</f>
        <v>Mèo</v>
      </c>
      <c r="E5553" s="119" t="str">
        <f>IFERROR(__xludf.DUMMYFUNCTION("""COMPUTED_VALUE"""),"Bưởi")</f>
        <v>Bưởi</v>
      </c>
    </row>
    <row r="5554" ht="15.75" customHeight="1">
      <c r="A5554" s="122" t="str">
        <f>IFERROR(__xludf.DUMMYFUNCTION("""COMPUTED_VALUE"""),"0916 027 196")</f>
        <v>0916 027 196</v>
      </c>
      <c r="B5554" s="119" t="str">
        <f>IFERROR(__xludf.DUMMYFUNCTION("""COMPUTED_VALUE"""),"Chị Thu")</f>
        <v>Chị Thu</v>
      </c>
      <c r="C5554" s="119" t="str">
        <f>IFERROR(__xludf.DUMMYFUNCTION("""COMPUTED_VALUE"""),"k103 Thiên Thai")</f>
        <v>k103 Thiên Thai</v>
      </c>
      <c r="D5554" s="119" t="str">
        <f>IFERROR(__xludf.DUMMYFUNCTION("""COMPUTED_VALUE"""),"Mèo")</f>
        <v>Mèo</v>
      </c>
      <c r="E5554" s="119" t="str">
        <f>IFERROR(__xludf.DUMMYFUNCTION("""COMPUTED_VALUE"""),"Tiger")</f>
        <v>Tiger</v>
      </c>
    </row>
    <row r="5555" ht="15.75" customHeight="1">
      <c r="A5555" s="122" t="str">
        <f>IFERROR(__xludf.DUMMYFUNCTION("""COMPUTED_VALUE"""),"0934 566 902")</f>
        <v>0934 566 902</v>
      </c>
      <c r="B5555" s="119" t="str">
        <f>IFERROR(__xludf.DUMMYFUNCTION("""COMPUTED_VALUE"""),"Chị Bảo Thoa")</f>
        <v>Chị Bảo Thoa</v>
      </c>
      <c r="C5555" s="119" t="str">
        <f>IFERROR(__xludf.DUMMYFUNCTION("""COMPUTED_VALUE"""),"Thuỷ Châu")</f>
        <v>Thuỷ Châu</v>
      </c>
      <c r="D5555" s="119" t="str">
        <f>IFERROR(__xludf.DUMMYFUNCTION("""COMPUTED_VALUE"""),"Chó")</f>
        <v>Chó</v>
      </c>
      <c r="E5555" s="119" t="str">
        <f>IFERROR(__xludf.DUMMYFUNCTION("""COMPUTED_VALUE"""),"Rott")</f>
        <v>Rott</v>
      </c>
    </row>
    <row r="5556" ht="15.75" customHeight="1">
      <c r="A5556" s="122" t="str">
        <f>IFERROR(__xludf.DUMMYFUNCTION("""COMPUTED_VALUE"""),"0901 120 232")</f>
        <v>0901 120 232</v>
      </c>
      <c r="B5556" s="119" t="str">
        <f>IFERROR(__xludf.DUMMYFUNCTION("""COMPUTED_VALUE"""),"Anh Hưng")</f>
        <v>Anh Hưng</v>
      </c>
      <c r="C5556" s="119" t="str">
        <f>IFERROR(__xludf.DUMMYFUNCTION("""COMPUTED_VALUE"""),"1/44 Hoàng Thị Loan")</f>
        <v>1/44 Hoàng Thị Loan</v>
      </c>
      <c r="D5556" s="119" t="str">
        <f>IFERROR(__xludf.DUMMYFUNCTION("""COMPUTED_VALUE"""),"Chó")</f>
        <v>Chó</v>
      </c>
      <c r="E5556" s="119" t="str">
        <f>IFERROR(__xludf.DUMMYFUNCTION("""COMPUTED_VALUE"""),"Bông")</f>
        <v>Bông</v>
      </c>
    </row>
    <row r="5557" ht="15.75" customHeight="1">
      <c r="A5557" s="122" t="str">
        <f>IFERROR(__xludf.DUMMYFUNCTION("""COMPUTED_VALUE"""),"0396 129 660")</f>
        <v>0396 129 660</v>
      </c>
      <c r="B5557" s="119" t="str">
        <f>IFERROR(__xludf.DUMMYFUNCTION("""COMPUTED_VALUE"""),"Chị Thi")</f>
        <v>Chị Thi</v>
      </c>
      <c r="C5557" s="119" t="str">
        <f>IFERROR(__xludf.DUMMYFUNCTION("""COMPUTED_VALUE"""),"8/175 phan Bội Châu")</f>
        <v>8/175 phan Bội Châu</v>
      </c>
      <c r="D5557" s="119" t="str">
        <f>IFERROR(__xludf.DUMMYFUNCTION("""COMPUTED_VALUE"""),"Mèo")</f>
        <v>Mèo</v>
      </c>
      <c r="E5557" s="119"/>
    </row>
    <row r="5558" ht="15.75" customHeight="1">
      <c r="A5558" s="122" t="str">
        <f>IFERROR(__xludf.DUMMYFUNCTION("""COMPUTED_VALUE"""),"0332 321 003")</f>
        <v>0332 321 003</v>
      </c>
      <c r="B5558" s="119" t="str">
        <f>IFERROR(__xludf.DUMMYFUNCTION("""COMPUTED_VALUE"""),"Chị Liên")</f>
        <v>Chị Liên</v>
      </c>
      <c r="C5558" s="119" t="str">
        <f>IFERROR(__xludf.DUMMYFUNCTION("""COMPUTED_VALUE"""),"61/2 Vạn Xuân")</f>
        <v>61/2 Vạn Xuân</v>
      </c>
      <c r="D5558" s="119" t="str">
        <f>IFERROR(__xludf.DUMMYFUNCTION("""COMPUTED_VALUE"""),"Mèo")</f>
        <v>Mèo</v>
      </c>
      <c r="E5558" s="119" t="str">
        <f>IFERROR(__xludf.DUMMYFUNCTION("""COMPUTED_VALUE"""),"Lim")</f>
        <v>Lim</v>
      </c>
    </row>
    <row r="5559" ht="15.75" customHeight="1">
      <c r="A5559" s="122" t="str">
        <f>IFERROR(__xludf.DUMMYFUNCTION("""COMPUTED_VALUE"""),"0933 154 534")</f>
        <v>0933 154 534</v>
      </c>
      <c r="B5559" s="119" t="str">
        <f>IFERROR(__xludf.DUMMYFUNCTION("""COMPUTED_VALUE"""),"Anh Hồ Quang")</f>
        <v>Anh Hồ Quang</v>
      </c>
      <c r="C5559" s="119" t="str">
        <f>IFERROR(__xludf.DUMMYFUNCTION("""COMPUTED_VALUE"""),"An Ninh")</f>
        <v>An Ninh</v>
      </c>
      <c r="D5559" s="119" t="str">
        <f>IFERROR(__xludf.DUMMYFUNCTION("""COMPUTED_VALUE"""),"Chó")</f>
        <v>Chó</v>
      </c>
      <c r="E5559" s="119" t="str">
        <f>IFERROR(__xludf.DUMMYFUNCTION("""COMPUTED_VALUE"""),"Lu")</f>
        <v>Lu</v>
      </c>
    </row>
    <row r="5560" ht="15.75" customHeight="1">
      <c r="A5560" s="122" t="str">
        <f>IFERROR(__xludf.DUMMYFUNCTION("""COMPUTED_VALUE"""),"0366 489 407")</f>
        <v>0366 489 407</v>
      </c>
      <c r="B5560" s="119" t="str">
        <f>IFERROR(__xludf.DUMMYFUNCTION("""COMPUTED_VALUE"""),"Chị Định")</f>
        <v>Chị Định</v>
      </c>
      <c r="C5560" s="119" t="str">
        <f>IFERROR(__xludf.DUMMYFUNCTION("""COMPUTED_VALUE"""),"Nguyễn Phúc Nguyên")</f>
        <v>Nguyễn Phúc Nguyên</v>
      </c>
      <c r="D5560" s="119" t="str">
        <f>IFERROR(__xludf.DUMMYFUNCTION("""COMPUTED_VALUE"""),"Mèo")</f>
        <v>Mèo</v>
      </c>
      <c r="E5560" s="119" t="str">
        <f>IFERROR(__xludf.DUMMYFUNCTION("""COMPUTED_VALUE"""),"Sofa")</f>
        <v>Sofa</v>
      </c>
    </row>
    <row r="5561" ht="15.75" customHeight="1">
      <c r="A5561" s="122" t="str">
        <f>IFERROR(__xludf.DUMMYFUNCTION("""COMPUTED_VALUE"""),"0349 349 696")</f>
        <v>0349 349 696</v>
      </c>
      <c r="B5561" s="119" t="str">
        <f>IFERROR(__xludf.DUMMYFUNCTION("""COMPUTED_VALUE"""),"Chị Thuỳ Dương")</f>
        <v>Chị Thuỳ Dương</v>
      </c>
      <c r="C5561" s="119" t="str">
        <f>IFERROR(__xludf.DUMMYFUNCTION("""COMPUTED_VALUE"""),"205 Lý Thành Tông")</f>
        <v>205 Lý Thành Tông</v>
      </c>
      <c r="D5561" s="119" t="str">
        <f>IFERROR(__xludf.DUMMYFUNCTION("""COMPUTED_VALUE"""),"Mèo")</f>
        <v>Mèo</v>
      </c>
      <c r="E5561" s="119" t="str">
        <f>IFERROR(__xludf.DUMMYFUNCTION("""COMPUTED_VALUE"""),"Mun")</f>
        <v>Mun</v>
      </c>
    </row>
    <row r="5562" ht="15.75" customHeight="1">
      <c r="A5562" s="122" t="str">
        <f>IFERROR(__xludf.DUMMYFUNCTION("""COMPUTED_VALUE"""),"0903 552 202")</f>
        <v>0903 552 202</v>
      </c>
      <c r="B5562" s="119" t="str">
        <f>IFERROR(__xludf.DUMMYFUNCTION("""COMPUTED_VALUE"""),"Chú Huy")</f>
        <v>Chú Huy</v>
      </c>
      <c r="C5562" s="119" t="str">
        <f>IFERROR(__xludf.DUMMYFUNCTION("""COMPUTED_VALUE"""),"1/15/14 An Ninh")</f>
        <v>1/15/14 An Ninh</v>
      </c>
      <c r="D5562" s="119" t="str">
        <f>IFERROR(__xludf.DUMMYFUNCTION("""COMPUTED_VALUE"""),"Chó")</f>
        <v>Chó</v>
      </c>
      <c r="E5562" s="119" t="str">
        <f>IFERROR(__xludf.DUMMYFUNCTION("""COMPUTED_VALUE"""),"Dola")</f>
        <v>Dola</v>
      </c>
    </row>
    <row r="5563" ht="15.75" customHeight="1">
      <c r="A5563" s="122" t="str">
        <f>IFERROR(__xludf.DUMMYFUNCTION("""COMPUTED_VALUE"""),"0775 462 659")</f>
        <v>0775 462 659</v>
      </c>
      <c r="B5563" s="119" t="str">
        <f>IFERROR(__xludf.DUMMYFUNCTION("""COMPUTED_VALUE"""),"Chị Bảo An")</f>
        <v>Chị Bảo An</v>
      </c>
      <c r="C5563" s="119" t="str">
        <f>IFERROR(__xludf.DUMMYFUNCTION("""COMPUTED_VALUE"""),"Bạch Đăng")</f>
        <v>Bạch Đăng</v>
      </c>
      <c r="D5563" s="119" t="str">
        <f>IFERROR(__xludf.DUMMYFUNCTION("""COMPUTED_VALUE"""),"Mèo")</f>
        <v>Mèo</v>
      </c>
      <c r="E5563" s="119" t="str">
        <f>IFERROR(__xludf.DUMMYFUNCTION("""COMPUTED_VALUE"""),"Min")</f>
        <v>Min</v>
      </c>
    </row>
    <row r="5564" ht="15.75" customHeight="1">
      <c r="A5564" s="122" t="str">
        <f>IFERROR(__xludf.DUMMYFUNCTION("""COMPUTED_VALUE"""),"0931 952 227")</f>
        <v>0931 952 227</v>
      </c>
      <c r="B5564" s="119" t="str">
        <f>IFERROR(__xludf.DUMMYFUNCTION("""COMPUTED_VALUE"""),"Lê Thị Thu Ba")</f>
        <v>Lê Thị Thu Ba</v>
      </c>
      <c r="C5564" s="119" t="str">
        <f>IFERROR(__xludf.DUMMYFUNCTION("""COMPUTED_VALUE"""),"26 Mai Khắc Đôn")</f>
        <v>26 Mai Khắc Đôn</v>
      </c>
      <c r="D5564" s="119" t="str">
        <f>IFERROR(__xludf.DUMMYFUNCTION("""COMPUTED_VALUE"""),"Chó")</f>
        <v>Chó</v>
      </c>
      <c r="E5564" s="119" t="str">
        <f>IFERROR(__xludf.DUMMYFUNCTION("""COMPUTED_VALUE"""),"Sữa")</f>
        <v>Sữa</v>
      </c>
    </row>
    <row r="5565" ht="15.75" customHeight="1">
      <c r="A5565" s="122" t="str">
        <f>IFERROR(__xludf.DUMMYFUNCTION("""COMPUTED_VALUE"""),"0983 959 918")</f>
        <v>0983 959 918</v>
      </c>
      <c r="B5565" s="119" t="str">
        <f>IFERROR(__xludf.DUMMYFUNCTION("""COMPUTED_VALUE"""),"Chị Ánh")</f>
        <v>Chị Ánh</v>
      </c>
      <c r="C5565" s="119" t="str">
        <f>IFERROR(__xludf.DUMMYFUNCTION("""COMPUTED_VALUE"""),"51 Phạm Thị Liên")</f>
        <v>51 Phạm Thị Liên</v>
      </c>
      <c r="D5565" s="119" t="str">
        <f>IFERROR(__xludf.DUMMYFUNCTION("""COMPUTED_VALUE"""),"Mèo")</f>
        <v>Mèo</v>
      </c>
      <c r="E5565" s="119" t="str">
        <f>IFERROR(__xludf.DUMMYFUNCTION("""COMPUTED_VALUE"""),"Mi")</f>
        <v>Mi</v>
      </c>
    </row>
    <row r="5566" ht="15.75" customHeight="1">
      <c r="A5566" s="122" t="str">
        <f>IFERROR(__xludf.DUMMYFUNCTION("""COMPUTED_VALUE"""),"0772 425 060")</f>
        <v>0772 425 060</v>
      </c>
      <c r="B5566" s="119" t="str">
        <f>IFERROR(__xludf.DUMMYFUNCTION("""COMPUTED_VALUE"""),"Chị Trâm")</f>
        <v>Chị Trâm</v>
      </c>
      <c r="C5566" s="119" t="str">
        <f>IFERROR(__xludf.DUMMYFUNCTION("""COMPUTED_VALUE"""),"4/11 Nguyễn Khuyến")</f>
        <v>4/11 Nguyễn Khuyến</v>
      </c>
      <c r="D5566" s="119" t="str">
        <f>IFERROR(__xludf.DUMMYFUNCTION("""COMPUTED_VALUE"""),"Mèo")</f>
        <v>Mèo</v>
      </c>
      <c r="E5566" s="119" t="str">
        <f>IFERROR(__xludf.DUMMYFUNCTION("""COMPUTED_VALUE"""),"sữa")</f>
        <v>sữa</v>
      </c>
    </row>
    <row r="5567" ht="15.75" customHeight="1">
      <c r="A5567" s="122" t="str">
        <f>IFERROR(__xludf.DUMMYFUNCTION("""COMPUTED_VALUE"""),"0962 007 295")</f>
        <v>0962 007 295</v>
      </c>
      <c r="B5567" s="119" t="str">
        <f>IFERROR(__xludf.DUMMYFUNCTION("""COMPUTED_VALUE"""),"Chị Hạnh")</f>
        <v>Chị Hạnh</v>
      </c>
      <c r="C5567" s="119"/>
      <c r="D5567" s="119" t="str">
        <f>IFERROR(__xludf.DUMMYFUNCTION("""COMPUTED_VALUE"""),"Chó")</f>
        <v>Chó</v>
      </c>
      <c r="E5567" s="119"/>
    </row>
    <row r="5568" ht="15.75" customHeight="1">
      <c r="A5568" s="122" t="str">
        <f>IFERROR(__xludf.DUMMYFUNCTION("""COMPUTED_VALUE"""),"0914 861 878")</f>
        <v>0914 861 878</v>
      </c>
      <c r="B5568" s="119" t="str">
        <f>IFERROR(__xludf.DUMMYFUNCTION("""COMPUTED_VALUE"""),"Anh Nghĩa")</f>
        <v>Anh Nghĩa</v>
      </c>
      <c r="C5568" s="119" t="str">
        <f>IFERROR(__xludf.DUMMYFUNCTION("""COMPUTED_VALUE"""),"Hương Trà")</f>
        <v>Hương Trà</v>
      </c>
      <c r="D5568" s="119" t="str">
        <f>IFERROR(__xludf.DUMMYFUNCTION("""COMPUTED_VALUE"""),"Chó")</f>
        <v>Chó</v>
      </c>
      <c r="E5568" s="119" t="str">
        <f>IFERROR(__xludf.DUMMYFUNCTION("""COMPUTED_VALUE"""),"Bông")</f>
        <v>Bông</v>
      </c>
    </row>
    <row r="5569" ht="15.75" customHeight="1">
      <c r="A5569" s="122" t="str">
        <f>IFERROR(__xludf.DUMMYFUNCTION("""COMPUTED_VALUE"""),"0708 088 535")</f>
        <v>0708 088 535</v>
      </c>
      <c r="B5569" s="119" t="str">
        <f>IFERROR(__xludf.DUMMYFUNCTION("""COMPUTED_VALUE"""),"chị Hảo")</f>
        <v>chị Hảo</v>
      </c>
      <c r="C5569" s="119" t="str">
        <f>IFERROR(__xludf.DUMMYFUNCTION("""COMPUTED_VALUE"""),"Tứ Hạ hương trà")</f>
        <v>Tứ Hạ hương trà</v>
      </c>
      <c r="D5569" s="119" t="str">
        <f>IFERROR(__xludf.DUMMYFUNCTION("""COMPUTED_VALUE"""),"Chó")</f>
        <v>Chó</v>
      </c>
      <c r="E5569" s="119" t="str">
        <f>IFERROR(__xludf.DUMMYFUNCTION("""COMPUTED_VALUE"""),"Đen")</f>
        <v>Đen</v>
      </c>
    </row>
    <row r="5570" ht="15.75" customHeight="1">
      <c r="A5570" s="122" t="str">
        <f>IFERROR(__xludf.DUMMYFUNCTION("""COMPUTED_VALUE"""),"0935 216 982")</f>
        <v>0935 216 982</v>
      </c>
      <c r="B5570" s="119" t="str">
        <f>IFERROR(__xludf.DUMMYFUNCTION("""COMPUTED_VALUE"""),"Anh Tú")</f>
        <v>Anh Tú</v>
      </c>
      <c r="C5570" s="119" t="str">
        <f>IFERROR(__xludf.DUMMYFUNCTION("""COMPUTED_VALUE"""),"46 Đặng Thuỳ Trâm")</f>
        <v>46 Đặng Thuỳ Trâm</v>
      </c>
      <c r="D5570" s="119" t="str">
        <f>IFERROR(__xludf.DUMMYFUNCTION("""COMPUTED_VALUE"""),"Chó")</f>
        <v>Chó</v>
      </c>
      <c r="E5570" s="119"/>
    </row>
    <row r="5571" ht="15.75" customHeight="1">
      <c r="A5571" s="122" t="str">
        <f>IFERROR(__xludf.DUMMYFUNCTION("""COMPUTED_VALUE"""),"0386 512 877")</f>
        <v>0386 512 877</v>
      </c>
      <c r="B5571" s="119" t="str">
        <f>IFERROR(__xludf.DUMMYFUNCTION("""COMPUTED_VALUE"""),"Em Khoa")</f>
        <v>Em Khoa</v>
      </c>
      <c r="C5571" s="119" t="str">
        <f>IFERROR(__xludf.DUMMYFUNCTION("""COMPUTED_VALUE"""),"236 Văn Thanh")</f>
        <v>236 Văn Thanh</v>
      </c>
      <c r="D5571" s="119" t="str">
        <f>IFERROR(__xludf.DUMMYFUNCTION("""COMPUTED_VALUE"""),"Chó")</f>
        <v>Chó</v>
      </c>
      <c r="E5571" s="119" t="str">
        <f>IFERROR(__xludf.DUMMYFUNCTION("""COMPUTED_VALUE"""),"Bi")</f>
        <v>Bi</v>
      </c>
    </row>
    <row r="5572" ht="15.75" customHeight="1">
      <c r="A5572" s="122" t="str">
        <f>IFERROR(__xludf.DUMMYFUNCTION("""COMPUTED_VALUE"""),"0932 599 265")</f>
        <v>0932 599 265</v>
      </c>
      <c r="B5572" s="119" t="str">
        <f>IFERROR(__xludf.DUMMYFUNCTION("""COMPUTED_VALUE"""),"Chị Hiền")</f>
        <v>Chị Hiền</v>
      </c>
      <c r="C5572" s="119" t="str">
        <f>IFERROR(__xludf.DUMMYFUNCTION("""COMPUTED_VALUE"""),"6 An Ninh")</f>
        <v>6 An Ninh</v>
      </c>
      <c r="D5572" s="119" t="str">
        <f>IFERROR(__xludf.DUMMYFUNCTION("""COMPUTED_VALUE"""),"Chó")</f>
        <v>Chó</v>
      </c>
      <c r="E5572" s="119" t="str">
        <f>IFERROR(__xludf.DUMMYFUNCTION("""COMPUTED_VALUE"""),"way")</f>
        <v>way</v>
      </c>
    </row>
    <row r="5573" ht="15.75" customHeight="1">
      <c r="A5573" s="122" t="str">
        <f>IFERROR(__xludf.DUMMYFUNCTION("""COMPUTED_VALUE"""),"0985 853 309")</f>
        <v>0985 853 309</v>
      </c>
      <c r="B5573" s="119" t="str">
        <f>IFERROR(__xludf.DUMMYFUNCTION("""COMPUTED_VALUE"""),"Chị Lan")</f>
        <v>Chị Lan</v>
      </c>
      <c r="C5573" s="119" t="str">
        <f>IFERROR(__xludf.DUMMYFUNCTION("""COMPUTED_VALUE"""),"23/44 An Ninh")</f>
        <v>23/44 An Ninh</v>
      </c>
      <c r="D5573" s="119" t="str">
        <f>IFERROR(__xludf.DUMMYFUNCTION("""COMPUTED_VALUE"""),"Mèo")</f>
        <v>Mèo</v>
      </c>
      <c r="E5573" s="119" t="str">
        <f>IFERROR(__xludf.DUMMYFUNCTION("""COMPUTED_VALUE"""),"Mee")</f>
        <v>Mee</v>
      </c>
    </row>
    <row r="5574" ht="15.75" customHeight="1">
      <c r="A5574" s="122" t="str">
        <f>IFERROR(__xludf.DUMMYFUNCTION("""COMPUTED_VALUE"""),"0985 538 378")</f>
        <v>0985 538 378</v>
      </c>
      <c r="B5574" s="119" t="str">
        <f>IFERROR(__xludf.DUMMYFUNCTION("""COMPUTED_VALUE"""),"Dì Yến")</f>
        <v>Dì Yến</v>
      </c>
      <c r="C5574" s="119" t="str">
        <f>IFERROR(__xludf.DUMMYFUNCTION("""COMPUTED_VALUE"""),"36 Phạm Thị Liên")</f>
        <v>36 Phạm Thị Liên</v>
      </c>
      <c r="D5574" s="119" t="str">
        <f>IFERROR(__xludf.DUMMYFUNCTION("""COMPUTED_VALUE"""),"Chó")</f>
        <v>Chó</v>
      </c>
      <c r="E5574" s="119"/>
    </row>
    <row r="5575" ht="15.75" customHeight="1">
      <c r="A5575" s="122" t="str">
        <f>IFERROR(__xludf.DUMMYFUNCTION("""COMPUTED_VALUE"""),"0976 219 022")</f>
        <v>0976 219 022</v>
      </c>
      <c r="B5575" s="119" t="str">
        <f>IFERROR(__xludf.DUMMYFUNCTION("""COMPUTED_VALUE"""),"Chị Giang")</f>
        <v>Chị Giang</v>
      </c>
      <c r="C5575" s="119" t="str">
        <f>IFERROR(__xludf.DUMMYFUNCTION("""COMPUTED_VALUE"""),"79/17/1 Phạm Thị Liên")</f>
        <v>79/17/1 Phạm Thị Liên</v>
      </c>
      <c r="D5575" s="119" t="str">
        <f>IFERROR(__xludf.DUMMYFUNCTION("""COMPUTED_VALUE"""),"Chó")</f>
        <v>Chó</v>
      </c>
      <c r="E5575" s="119" t="str">
        <f>IFERROR(__xludf.DUMMYFUNCTION("""COMPUTED_VALUE"""),"Bia")</f>
        <v>Bia</v>
      </c>
    </row>
    <row r="5576" ht="15.75" customHeight="1">
      <c r="A5576" s="122" t="str">
        <f>IFERROR(__xludf.DUMMYFUNCTION("""COMPUTED_VALUE"""),"0346 346 672")</f>
        <v>0346 346 672</v>
      </c>
      <c r="B5576" s="119" t="str">
        <f>IFERROR(__xludf.DUMMYFUNCTION("""COMPUTED_VALUE"""),"Chị Oanh")</f>
        <v>Chị Oanh</v>
      </c>
      <c r="C5576" s="119" t="str">
        <f>IFERROR(__xludf.DUMMYFUNCTION("""COMPUTED_VALUE"""),"7/62 Trần Nguyên Hãn")</f>
        <v>7/62 Trần Nguyên Hãn</v>
      </c>
      <c r="D5576" s="119" t="str">
        <f>IFERROR(__xludf.DUMMYFUNCTION("""COMPUTED_VALUE"""),"Mèo")</f>
        <v>Mèo</v>
      </c>
      <c r="E5576" s="119" t="str">
        <f>IFERROR(__xludf.DUMMYFUNCTION("""COMPUTED_VALUE"""),"Miu")</f>
        <v>Miu</v>
      </c>
    </row>
    <row r="5577" ht="15.75" customHeight="1">
      <c r="A5577" s="122" t="str">
        <f>IFERROR(__xludf.DUMMYFUNCTION("""COMPUTED_VALUE"""),"0823 238 997")</f>
        <v>0823 238 997</v>
      </c>
      <c r="B5577" s="119" t="str">
        <f>IFERROR(__xludf.DUMMYFUNCTION("""COMPUTED_VALUE"""),"Cao Thị Từ Bi")</f>
        <v>Cao Thị Từ Bi</v>
      </c>
      <c r="C5577" s="119" t="str">
        <f>IFERROR(__xludf.DUMMYFUNCTION("""COMPUTED_VALUE"""),"175 Long Hồ")</f>
        <v>175 Long Hồ</v>
      </c>
      <c r="D5577" s="119" t="str">
        <f>IFERROR(__xludf.DUMMYFUNCTION("""COMPUTED_VALUE"""),"Chó")</f>
        <v>Chó</v>
      </c>
      <c r="E5577" s="119" t="str">
        <f>IFERROR(__xludf.DUMMYFUNCTION("""COMPUTED_VALUE"""),"Nâu")</f>
        <v>Nâu</v>
      </c>
    </row>
    <row r="5578" ht="15.75" customHeight="1">
      <c r="A5578" s="122" t="str">
        <f>IFERROR(__xludf.DUMMYFUNCTION("""COMPUTED_VALUE"""),"0899 878 725")</f>
        <v>0899 878 725</v>
      </c>
      <c r="B5578" s="119" t="str">
        <f>IFERROR(__xludf.DUMMYFUNCTION("""COMPUTED_VALUE"""),"Trần Thị Ngọc Huyền")</f>
        <v>Trần Thị Ngọc Huyền</v>
      </c>
      <c r="C5578" s="119" t="str">
        <f>IFERROR(__xludf.DUMMYFUNCTION("""COMPUTED_VALUE"""),"Sịa - Tp Huế")</f>
        <v>Sịa - Tp Huế</v>
      </c>
      <c r="D5578" s="119" t="str">
        <f>IFERROR(__xludf.DUMMYFUNCTION("""COMPUTED_VALUE"""),"Chó")</f>
        <v>Chó</v>
      </c>
      <c r="E5578" s="119" t="str">
        <f>IFERROR(__xludf.DUMMYFUNCTION("""COMPUTED_VALUE"""),"bÔNG")</f>
        <v>bÔNG</v>
      </c>
    </row>
    <row r="5579" ht="15.75" customHeight="1">
      <c r="A5579" s="122" t="str">
        <f>IFERROR(__xludf.DUMMYFUNCTION("""COMPUTED_VALUE"""),"0708 091 103")</f>
        <v>0708 091 103</v>
      </c>
      <c r="B5579" s="119" t="str">
        <f>IFERROR(__xludf.DUMMYFUNCTION("""COMPUTED_VALUE"""),"Chị Phương")</f>
        <v>Chị Phương</v>
      </c>
      <c r="C5579" s="119" t="str">
        <f>IFERROR(__xludf.DUMMYFUNCTION("""COMPUTED_VALUE"""),"k36 Phạm Thị Liên")</f>
        <v>k36 Phạm Thị Liên</v>
      </c>
      <c r="D5579" s="119" t="str">
        <f>IFERROR(__xludf.DUMMYFUNCTION("""COMPUTED_VALUE"""),"Mèo")</f>
        <v>Mèo</v>
      </c>
      <c r="E5579" s="119" t="str">
        <f>IFERROR(__xludf.DUMMYFUNCTION("""COMPUTED_VALUE"""),"rích")</f>
        <v>rích</v>
      </c>
    </row>
    <row r="5580" ht="15.75" customHeight="1">
      <c r="A5580" s="122" t="str">
        <f>IFERROR(__xludf.DUMMYFUNCTION("""COMPUTED_VALUE"""),"0911 593 878")</f>
        <v>0911 593 878</v>
      </c>
      <c r="B5580" s="119" t="str">
        <f>IFERROR(__xludf.DUMMYFUNCTION("""COMPUTED_VALUE"""),"Chị Dung")</f>
        <v>Chị Dung</v>
      </c>
      <c r="C5580" s="119" t="str">
        <f>IFERROR(__xludf.DUMMYFUNCTION("""COMPUTED_VALUE"""),"k33 Nguyễn Hoàng")</f>
        <v>k33 Nguyễn Hoàng</v>
      </c>
      <c r="D5580" s="119" t="str">
        <f>IFERROR(__xludf.DUMMYFUNCTION("""COMPUTED_VALUE"""),"Mèo")</f>
        <v>Mèo</v>
      </c>
      <c r="E5580" s="119" t="str">
        <f>IFERROR(__xludf.DUMMYFUNCTION("""COMPUTED_VALUE"""),"meo meo")</f>
        <v>meo meo</v>
      </c>
    </row>
    <row r="5581" ht="15.75" customHeight="1">
      <c r="A5581" s="122" t="str">
        <f>IFERROR(__xludf.DUMMYFUNCTION("""COMPUTED_VALUE"""),"0905 831 890")</f>
        <v>0905 831 890</v>
      </c>
      <c r="B5581" s="119" t="str">
        <f>IFERROR(__xludf.DUMMYFUNCTION("""COMPUTED_VALUE"""),"Chị Loan")</f>
        <v>Chị Loan</v>
      </c>
      <c r="C5581" s="119" t="str">
        <f>IFERROR(__xludf.DUMMYFUNCTION("""COMPUTED_VALUE"""),"Lý Nam Đế")</f>
        <v>Lý Nam Đế</v>
      </c>
      <c r="D5581" s="119" t="str">
        <f>IFERROR(__xludf.DUMMYFUNCTION("""COMPUTED_VALUE"""),"Chó")</f>
        <v>Chó</v>
      </c>
      <c r="E5581" s="119"/>
    </row>
    <row r="5582" ht="15.75" customHeight="1">
      <c r="A5582" s="122" t="str">
        <f>IFERROR(__xludf.DUMMYFUNCTION("""COMPUTED_VALUE"""),"0839 913 600")</f>
        <v>0839 913 600</v>
      </c>
      <c r="B5582" s="119" t="str">
        <f>IFERROR(__xludf.DUMMYFUNCTION("""COMPUTED_VALUE"""),"Chú Dương Văn Tuấn")</f>
        <v>Chú Dương Văn Tuấn</v>
      </c>
      <c r="C5582" s="119" t="str">
        <f>IFERROR(__xludf.DUMMYFUNCTION("""COMPUTED_VALUE"""),"50 Nguyễn Phúc Thái")</f>
        <v>50 Nguyễn Phúc Thái</v>
      </c>
      <c r="D5582" s="119" t="str">
        <f>IFERROR(__xludf.DUMMYFUNCTION("""COMPUTED_VALUE"""),"Chó")</f>
        <v>Chó</v>
      </c>
      <c r="E5582" s="119" t="str">
        <f>IFERROR(__xludf.DUMMYFUNCTION("""COMPUTED_VALUE"""),"Lu")</f>
        <v>Lu</v>
      </c>
    </row>
    <row r="5583" ht="15.75" customHeight="1">
      <c r="A5583" s="122" t="str">
        <f>IFERROR(__xludf.DUMMYFUNCTION("""COMPUTED_VALUE"""),"0796 656 123")</f>
        <v>0796 656 123</v>
      </c>
      <c r="B5583" s="119" t="str">
        <f>IFERROR(__xludf.DUMMYFUNCTION("""COMPUTED_VALUE"""),"Anh Tin")</f>
        <v>Anh Tin</v>
      </c>
      <c r="C5583" s="119" t="str">
        <f>IFERROR(__xludf.DUMMYFUNCTION("""COMPUTED_VALUE""")," Phan Bội Châu")</f>
        <v> Phan Bội Châu</v>
      </c>
      <c r="D5583" s="119" t="str">
        <f>IFERROR(__xludf.DUMMYFUNCTION("""COMPUTED_VALUE"""),"chó ")</f>
        <v>chó </v>
      </c>
      <c r="E5583" s="119" t="str">
        <f>IFERROR(__xludf.DUMMYFUNCTION("""COMPUTED_VALUE"""),"Vàng")</f>
        <v>Vàng</v>
      </c>
    </row>
    <row r="5584" ht="15.75" customHeight="1">
      <c r="A5584" s="122" t="str">
        <f>IFERROR(__xludf.DUMMYFUNCTION("""COMPUTED_VALUE"""),"0939 508 217")</f>
        <v>0939 508 217</v>
      </c>
      <c r="B5584" s="119" t="str">
        <f>IFERROR(__xludf.DUMMYFUNCTION("""COMPUTED_VALUE"""),"em Tuệ")</f>
        <v>em Tuệ</v>
      </c>
      <c r="C5584" s="119" t="str">
        <f>IFERROR(__xludf.DUMMYFUNCTION("""COMPUTED_VALUE"""),"1/16/266 Phan Chu Trinh")</f>
        <v>1/16/266 Phan Chu Trinh</v>
      </c>
      <c r="D5584" s="119" t="str">
        <f>IFERROR(__xludf.DUMMYFUNCTION("""COMPUTED_VALUE"""),"Mèo")</f>
        <v>Mèo</v>
      </c>
      <c r="E5584" s="119" t="str">
        <f>IFERROR(__xludf.DUMMYFUNCTION("""COMPUTED_VALUE"""),"mIMi")</f>
        <v>mIMi</v>
      </c>
    </row>
    <row r="5585" ht="15.75" customHeight="1">
      <c r="A5585" s="122" t="str">
        <f>IFERROR(__xludf.DUMMYFUNCTION("""COMPUTED_VALUE"""),"0937 088 995")</f>
        <v>0937 088 995</v>
      </c>
      <c r="B5585" s="119" t="str">
        <f>IFERROR(__xludf.DUMMYFUNCTION("""COMPUTED_VALUE"""),"Minh Phương")</f>
        <v>Minh Phương</v>
      </c>
      <c r="C5585" s="119" t="str">
        <f>IFERROR(__xludf.DUMMYFUNCTION("""COMPUTED_VALUE"""),"8/77 Thiên thai")</f>
        <v>8/77 Thiên thai</v>
      </c>
      <c r="D5585" s="119" t="str">
        <f>IFERROR(__xludf.DUMMYFUNCTION("""COMPUTED_VALUE"""),"chó ")</f>
        <v>chó </v>
      </c>
      <c r="E5585" s="119" t="str">
        <f>IFERROR(__xludf.DUMMYFUNCTION("""COMPUTED_VALUE"""),"Bigo")</f>
        <v>Bigo</v>
      </c>
    </row>
    <row r="5586" ht="15.75" customHeight="1">
      <c r="A5586" s="122" t="str">
        <f>IFERROR(__xludf.DUMMYFUNCTION("""COMPUTED_VALUE"""),"0899 242 375")</f>
        <v>0899 242 375</v>
      </c>
      <c r="B5586" s="119" t="str">
        <f>IFERROR(__xludf.DUMMYFUNCTION("""COMPUTED_VALUE"""),"Anh Phước")</f>
        <v>Anh Phước</v>
      </c>
      <c r="C5586" s="119" t="str">
        <f>IFERROR(__xludf.DUMMYFUNCTION("""COMPUTED_VALUE"""),"Trần Phú")</f>
        <v>Trần Phú</v>
      </c>
      <c r="D5586" s="119" t="str">
        <f>IFERROR(__xludf.DUMMYFUNCTION("""COMPUTED_VALUE""")," chó")</f>
        <v> chó</v>
      </c>
      <c r="E5586" s="119" t="str">
        <f>IFERROR(__xludf.DUMMYFUNCTION("""COMPUTED_VALUE""")," Poodle")</f>
        <v> Poodle</v>
      </c>
    </row>
    <row r="5587" ht="15.75" customHeight="1">
      <c r="A5587" s="122" t="str">
        <f>IFERROR(__xludf.DUMMYFUNCTION("""COMPUTED_VALUE"""),"0396 941 775")</f>
        <v>0396 941 775</v>
      </c>
      <c r="B5587" s="119" t="str">
        <f>IFERROR(__xludf.DUMMYFUNCTION("""COMPUTED_VALUE"""),"Thuần")</f>
        <v>Thuần</v>
      </c>
      <c r="C5587" s="119" t="str">
        <f>IFERROR(__xludf.DUMMYFUNCTION("""COMPUTED_VALUE""")," Kiệt 131 Phan Bội Châu")</f>
        <v> Kiệt 131 Phan Bội Châu</v>
      </c>
      <c r="D5587" s="119" t="str">
        <f>IFERROR(__xludf.DUMMYFUNCTION("""COMPUTED_VALUE"""),"mèo")</f>
        <v>mèo</v>
      </c>
      <c r="E5587" s="119" t="str">
        <f>IFERROR(__xludf.DUMMYFUNCTION("""COMPUTED_VALUE""")," moon")</f>
        <v> moon</v>
      </c>
    </row>
    <row r="5588" ht="15.75" customHeight="1">
      <c r="A5588" s="122" t="str">
        <f>IFERROR(__xludf.DUMMYFUNCTION("""COMPUTED_VALUE"""),"0397 350 413")</f>
        <v>0397 350 413</v>
      </c>
      <c r="B5588" s="119" t="str">
        <f>IFERROR(__xludf.DUMMYFUNCTION("""COMPUTED_VALUE"""),"Chị Kiều My")</f>
        <v>Chị Kiều My</v>
      </c>
      <c r="C5588" s="119" t="str">
        <f>IFERROR(__xludf.DUMMYFUNCTION("""COMPUTED_VALUE"""),"31/8 Nguyên Hữu Dật")</f>
        <v>31/8 Nguyên Hữu Dật</v>
      </c>
      <c r="D5588" s="119" t="str">
        <f>IFERROR(__xludf.DUMMYFUNCTION("""COMPUTED_VALUE"""),"Mèo")</f>
        <v>Mèo</v>
      </c>
      <c r="E5588" s="119"/>
    </row>
    <row r="5589" ht="15.75" customHeight="1">
      <c r="A5589" s="122" t="str">
        <f>IFERROR(__xludf.DUMMYFUNCTION("""COMPUTED_VALUE"""),"0364 197 347")</f>
        <v>0364 197 347</v>
      </c>
      <c r="B5589" s="119" t="str">
        <f>IFERROR(__xludf.DUMMYFUNCTION("""COMPUTED_VALUE"""),"Hà thị Kim Chi")</f>
        <v>Hà thị Kim Chi</v>
      </c>
      <c r="C5589" s="119" t="str">
        <f>IFERROR(__xludf.DUMMYFUNCTION("""COMPUTED_VALUE"""),"Hùng Vương")</f>
        <v>Hùng Vương</v>
      </c>
      <c r="D5589" s="119" t="str">
        <f>IFERROR(__xludf.DUMMYFUNCTION("""COMPUTED_VALUE"""),"mèo ")</f>
        <v>mèo </v>
      </c>
      <c r="E5589" s="119" t="str">
        <f>IFERROR(__xludf.DUMMYFUNCTION("""COMPUTED_VALUE""")," Bắp")</f>
        <v> Bắp</v>
      </c>
    </row>
    <row r="5590" ht="15.75" customHeight="1">
      <c r="A5590" s="122" t="str">
        <f>IFERROR(__xludf.DUMMYFUNCTION("""COMPUTED_VALUE"""),"0346 730 581")</f>
        <v>0346 730 581</v>
      </c>
      <c r="B5590" s="119" t="str">
        <f>IFERROR(__xludf.DUMMYFUNCTION("""COMPUTED_VALUE"""),"Anh Quốc Hưng")</f>
        <v>Anh Quốc Hưng</v>
      </c>
      <c r="C5590" s="119" t="str">
        <f>IFERROR(__xludf.DUMMYFUNCTION("""COMPUTED_VALUE"""),"68 Nguyễn Hữu Dật")</f>
        <v>68 Nguyễn Hữu Dật</v>
      </c>
      <c r="D5590" s="119" t="str">
        <f>IFERROR(__xludf.DUMMYFUNCTION("""COMPUTED_VALUE"""),"Mèo")</f>
        <v>Mèo</v>
      </c>
      <c r="E5590" s="119"/>
    </row>
    <row r="5591" ht="15.75" customHeight="1">
      <c r="A5591" s="122" t="str">
        <f>IFERROR(__xludf.DUMMYFUNCTION("""COMPUTED_VALUE"""),"0397 119 998")</f>
        <v>0397 119 998</v>
      </c>
      <c r="B5591" s="119" t="str">
        <f>IFERROR(__xludf.DUMMYFUNCTION("""COMPUTED_VALUE"""),"Anh Bảo")</f>
        <v>Anh Bảo</v>
      </c>
      <c r="C5591" s="119" t="str">
        <f>IFERROR(__xludf.DUMMYFUNCTION("""COMPUTED_VALUE"""),"3/11 Võ Thị Sáu")</f>
        <v>3/11 Võ Thị Sáu</v>
      </c>
      <c r="D5591" s="119" t="str">
        <f>IFERROR(__xludf.DUMMYFUNCTION("""COMPUTED_VALUE"""),"Chó")</f>
        <v>Chó</v>
      </c>
      <c r="E5591" s="119" t="str">
        <f>IFERROR(__xludf.DUMMYFUNCTION("""COMPUTED_VALUE"""),"Bí")</f>
        <v>Bí</v>
      </c>
    </row>
    <row r="5592" ht="15.75" customHeight="1">
      <c r="A5592" s="122" t="str">
        <f>IFERROR(__xludf.DUMMYFUNCTION("""COMPUTED_VALUE"""),"0365 503 545")</f>
        <v>0365 503 545</v>
      </c>
      <c r="B5592" s="119" t="str">
        <f>IFERROR(__xludf.DUMMYFUNCTION("""COMPUTED_VALUE"""),"ANh Bình")</f>
        <v>ANh Bình</v>
      </c>
      <c r="C5592" s="119" t="str">
        <f>IFERROR(__xludf.DUMMYFUNCTION("""COMPUTED_VALUE"""),"40 Văn Thánh")</f>
        <v>40 Văn Thánh</v>
      </c>
      <c r="D5592" s="119" t="str">
        <f>IFERROR(__xludf.DUMMYFUNCTION("""COMPUTED_VALUE"""),"Chó")</f>
        <v>Chó</v>
      </c>
      <c r="E5592" s="119" t="str">
        <f>IFERROR(__xludf.DUMMYFUNCTION("""COMPUTED_VALUE"""),"Vàng")</f>
        <v>Vàng</v>
      </c>
    </row>
    <row r="5593" ht="15.75" customHeight="1">
      <c r="A5593" s="122" t="str">
        <f>IFERROR(__xludf.DUMMYFUNCTION("""COMPUTED_VALUE"""),"0356 992 748")</f>
        <v>0356 992 748</v>
      </c>
      <c r="B5593" s="119" t="str">
        <f>IFERROR(__xludf.DUMMYFUNCTION("""COMPUTED_VALUE"""),"Dì Trang")</f>
        <v>Dì Trang</v>
      </c>
      <c r="C5593" s="119" t="str">
        <f>IFERROR(__xludf.DUMMYFUNCTION("""COMPUTED_VALUE"""),"82A Phạm Thị Liên")</f>
        <v>82A Phạm Thị Liên</v>
      </c>
      <c r="D5593" s="119" t="str">
        <f>IFERROR(__xludf.DUMMYFUNCTION("""COMPUTED_VALUE"""),"Chó")</f>
        <v>Chó</v>
      </c>
      <c r="E5593" s="119" t="str">
        <f>IFERROR(__xludf.DUMMYFUNCTION("""COMPUTED_VALUE"""),"Ổi")</f>
        <v>Ổi</v>
      </c>
    </row>
    <row r="5594" ht="15.75" customHeight="1">
      <c r="A5594" s="122" t="str">
        <f>IFERROR(__xludf.DUMMYFUNCTION("""COMPUTED_VALUE"""),"0914 207 484")</f>
        <v>0914 207 484</v>
      </c>
      <c r="B5594" s="119" t="str">
        <f>IFERROR(__xludf.DUMMYFUNCTION("""COMPUTED_VALUE"""),"Anh Việt")</f>
        <v>Anh Việt</v>
      </c>
      <c r="C5594" s="119" t="str">
        <f>IFERROR(__xludf.DUMMYFUNCTION("""COMPUTED_VALUE"""),"1/2 Xuân 68")</f>
        <v>1/2 Xuân 68</v>
      </c>
      <c r="D5594" s="119" t="str">
        <f>IFERROR(__xludf.DUMMYFUNCTION("""COMPUTED_VALUE"""),"Chó")</f>
        <v>Chó</v>
      </c>
      <c r="E5594" s="119" t="str">
        <f>IFERROR(__xludf.DUMMYFUNCTION("""COMPUTED_VALUE"""),"Bia")</f>
        <v>Bia</v>
      </c>
    </row>
    <row r="5595" ht="15.75" customHeight="1">
      <c r="A5595" s="122" t="str">
        <f>IFERROR(__xludf.DUMMYFUNCTION("""COMPUTED_VALUE"""),"0905 868 519")</f>
        <v>0905 868 519</v>
      </c>
      <c r="B5595" s="119" t="str">
        <f>IFERROR(__xludf.DUMMYFUNCTION("""COMPUTED_VALUE"""),"Chú Châu")</f>
        <v>Chú Châu</v>
      </c>
      <c r="C5595" s="119" t="str">
        <f>IFERROR(__xludf.DUMMYFUNCTION("""COMPUTED_VALUE"""),"7/35 Nguyễn Phúc Lan")</f>
        <v>7/35 Nguyễn Phúc Lan</v>
      </c>
      <c r="D5595" s="119" t="str">
        <f>IFERROR(__xludf.DUMMYFUNCTION("""COMPUTED_VALUE"""),"Mèo")</f>
        <v>Mèo</v>
      </c>
      <c r="E5595" s="119" t="str">
        <f>IFERROR(__xludf.DUMMYFUNCTION("""COMPUTED_VALUE"""),"Meo")</f>
        <v>Meo</v>
      </c>
    </row>
    <row r="5596" ht="15.75" customHeight="1">
      <c r="A5596" s="122" t="str">
        <f>IFERROR(__xludf.DUMMYFUNCTION("""COMPUTED_VALUE"""),"0935 006 609")</f>
        <v>0935 006 609</v>
      </c>
      <c r="B5596" s="119" t="str">
        <f>IFERROR(__xludf.DUMMYFUNCTION("""COMPUTED_VALUE"""),"Cô Bạch Thị Mỹ")</f>
        <v>Cô Bạch Thị Mỹ</v>
      </c>
      <c r="C5596" s="119" t="str">
        <f>IFERROR(__xludf.DUMMYFUNCTION("""COMPUTED_VALUE"""),"Lộc Bổ- Phú Lộc")</f>
        <v>Lộc Bổ- Phú Lộc</v>
      </c>
      <c r="D5596" s="119" t="str">
        <f>IFERROR(__xludf.DUMMYFUNCTION("""COMPUTED_VALUE"""),"Chó")</f>
        <v>Chó</v>
      </c>
      <c r="E5596" s="119" t="str">
        <f>IFERROR(__xludf.DUMMYFUNCTION("""COMPUTED_VALUE"""),"Facebook")</f>
        <v>Facebook</v>
      </c>
    </row>
    <row r="5597" ht="15.75" customHeight="1">
      <c r="A5597" s="122" t="str">
        <f>IFERROR(__xludf.DUMMYFUNCTION("""COMPUTED_VALUE"""),"0382 484 759")</f>
        <v>0382 484 759</v>
      </c>
      <c r="B5597" s="119" t="str">
        <f>IFERROR(__xludf.DUMMYFUNCTION("""COMPUTED_VALUE"""),"Trần Thị Ánh Nguyệt")</f>
        <v>Trần Thị Ánh Nguyệt</v>
      </c>
      <c r="C5597" s="119" t="str">
        <f>IFERROR(__xludf.DUMMYFUNCTION("""COMPUTED_VALUE"""),"8/4/269 Bùi Thị Xuân")</f>
        <v>8/4/269 Bùi Thị Xuân</v>
      </c>
      <c r="D5597" s="119" t="str">
        <f>IFERROR(__xludf.DUMMYFUNCTION("""COMPUTED_VALUE"""),"Chó")</f>
        <v>Chó</v>
      </c>
      <c r="E5597" s="119" t="str">
        <f>IFERROR(__xludf.DUMMYFUNCTION("""COMPUTED_VALUE"""),"Sữa")</f>
        <v>Sữa</v>
      </c>
    </row>
    <row r="5598" ht="15.75" customHeight="1">
      <c r="A5598" s="122" t="str">
        <f>IFERROR(__xludf.DUMMYFUNCTION("""COMPUTED_VALUE"""),"0914 094 444")</f>
        <v>0914 094 444</v>
      </c>
      <c r="B5598" s="119" t="str">
        <f>IFERROR(__xludf.DUMMYFUNCTION("""COMPUTED_VALUE"""),"Chú Đức Phúc")</f>
        <v>Chú Đức Phúc</v>
      </c>
      <c r="C5598" s="119"/>
      <c r="D5598" s="119" t="str">
        <f>IFERROR(__xludf.DUMMYFUNCTION("""COMPUTED_VALUE"""),"Chó")</f>
        <v>Chó</v>
      </c>
      <c r="E5598" s="119" t="str">
        <f>IFERROR(__xludf.DUMMYFUNCTION("""COMPUTED_VALUE"""),"Minu")</f>
        <v>Minu</v>
      </c>
    </row>
    <row r="5599" ht="15.75" customHeight="1">
      <c r="A5599" s="122" t="str">
        <f>IFERROR(__xludf.DUMMYFUNCTION("""COMPUTED_VALUE"""),"0905 282 105")</f>
        <v>0905 282 105</v>
      </c>
      <c r="B5599" s="119" t="str">
        <f>IFERROR(__xludf.DUMMYFUNCTION("""COMPUTED_VALUE"""),"Chú Hùng")</f>
        <v>Chú Hùng</v>
      </c>
      <c r="C5599" s="119" t="str">
        <f>IFERROR(__xludf.DUMMYFUNCTION("""COMPUTED_VALUE"""),"Quảng Trị")</f>
        <v>Quảng Trị</v>
      </c>
      <c r="D5599" s="119" t="str">
        <f>IFERROR(__xludf.DUMMYFUNCTION("""COMPUTED_VALUE"""),"Chó")</f>
        <v>Chó</v>
      </c>
      <c r="E5599" s="119" t="str">
        <f>IFERROR(__xludf.DUMMYFUNCTION("""COMPUTED_VALUE"""),"nâu")</f>
        <v>nâu</v>
      </c>
    </row>
    <row r="5600" ht="15.75" customHeight="1">
      <c r="A5600" s="122" t="str">
        <f>IFERROR(__xludf.DUMMYFUNCTION("""COMPUTED_VALUE"""),"0913 496 859")</f>
        <v>0913 496 859</v>
      </c>
      <c r="B5600" s="119" t="str">
        <f>IFERROR(__xludf.DUMMYFUNCTION("""COMPUTED_VALUE"""),"Anh Hiếu")</f>
        <v>Anh Hiếu</v>
      </c>
      <c r="C5600" s="119" t="str">
        <f>IFERROR(__xludf.DUMMYFUNCTION("""COMPUTED_VALUE"""),"2/1/4210 Phan Chu Trinh")</f>
        <v>2/1/4210 Phan Chu Trinh</v>
      </c>
      <c r="D5600" s="119" t="str">
        <f>IFERROR(__xludf.DUMMYFUNCTION("""COMPUTED_VALUE"""),"Mèo")</f>
        <v>Mèo</v>
      </c>
      <c r="E5600" s="119" t="str">
        <f>IFERROR(__xludf.DUMMYFUNCTION("""COMPUTED_VALUE"""),"Min")</f>
        <v>Min</v>
      </c>
    </row>
    <row r="5601" ht="15.75" customHeight="1">
      <c r="A5601" s="122" t="str">
        <f>IFERROR(__xludf.DUMMYFUNCTION("""COMPUTED_VALUE"""),"0399 201 823")</f>
        <v>0399 201 823</v>
      </c>
      <c r="B5601" s="119" t="str">
        <f>IFERROR(__xludf.DUMMYFUNCTION("""COMPUTED_VALUE"""),"Trần Văn Hoàng")</f>
        <v>Trần Văn Hoàng</v>
      </c>
      <c r="C5601" s="119" t="str">
        <f>IFERROR(__xludf.DUMMYFUNCTION("""COMPUTED_VALUE"""),"46 Nguyễn phúc Tần")</f>
        <v>46 Nguyễn phúc Tần</v>
      </c>
      <c r="D5601" s="119" t="str">
        <f>IFERROR(__xludf.DUMMYFUNCTION("""COMPUTED_VALUE"""),"Chó")</f>
        <v>Chó</v>
      </c>
      <c r="E5601" s="119" t="str">
        <f>IFERROR(__xludf.DUMMYFUNCTION("""COMPUTED_VALUE"""),"Su")</f>
        <v>Su</v>
      </c>
    </row>
    <row r="5602" ht="15.75" customHeight="1">
      <c r="A5602" s="122" t="str">
        <f>IFERROR(__xludf.DUMMYFUNCTION("""COMPUTED_VALUE"""),"0971 623 056")</f>
        <v>0971 623 056</v>
      </c>
      <c r="B5602" s="119" t="str">
        <f>IFERROR(__xludf.DUMMYFUNCTION("""COMPUTED_VALUE"""),"Anh Đăng")</f>
        <v>Anh Đăng</v>
      </c>
      <c r="C5602" s="119" t="str">
        <f>IFERROR(__xludf.DUMMYFUNCTION("""COMPUTED_VALUE"""),"23/40 Lịch Đợi")</f>
        <v>23/40 Lịch Đợi</v>
      </c>
      <c r="D5602" s="119" t="str">
        <f>IFERROR(__xludf.DUMMYFUNCTION("""COMPUTED_VALUE"""),"Mèo")</f>
        <v>Mèo</v>
      </c>
      <c r="E5602" s="119" t="str">
        <f>IFERROR(__xludf.DUMMYFUNCTION("""COMPUTED_VALUE"""),"Tô")</f>
        <v>Tô</v>
      </c>
    </row>
    <row r="5603" ht="15.75" customHeight="1">
      <c r="A5603" s="122" t="str">
        <f>IFERROR(__xludf.DUMMYFUNCTION("""COMPUTED_VALUE"""),"0812 372 458")</f>
        <v>0812 372 458</v>
      </c>
      <c r="B5603" s="119" t="str">
        <f>IFERROR(__xludf.DUMMYFUNCTION("""COMPUTED_VALUE"""),"ANh Đạt")</f>
        <v>ANh Đạt</v>
      </c>
      <c r="C5603" s="119" t="str">
        <f>IFERROR(__xludf.DUMMYFUNCTION("""COMPUTED_VALUE"""),"82 Nguyễn Hoàng")</f>
        <v>82 Nguyễn Hoàng</v>
      </c>
      <c r="D5603" s="119" t="str">
        <f>IFERROR(__xludf.DUMMYFUNCTION("""COMPUTED_VALUE"""),"Chó")</f>
        <v>Chó</v>
      </c>
      <c r="E5603" s="119" t="str">
        <f>IFERROR(__xludf.DUMMYFUNCTION("""COMPUTED_VALUE"""),"Bi")</f>
        <v>Bi</v>
      </c>
    </row>
    <row r="5604" ht="15.75" customHeight="1">
      <c r="A5604" s="122" t="str">
        <f>IFERROR(__xludf.DUMMYFUNCTION("""COMPUTED_VALUE"""),"0836 677 586")</f>
        <v>0836 677 586</v>
      </c>
      <c r="B5604" s="119" t="str">
        <f>IFERROR(__xludf.DUMMYFUNCTION("""COMPUTED_VALUE"""),"Em Lan")</f>
        <v>Em Lan</v>
      </c>
      <c r="C5604" s="119" t="str">
        <f>IFERROR(__xludf.DUMMYFUNCTION("""COMPUTED_VALUE"""),"14/21 Thạch Hãn")</f>
        <v>14/21 Thạch Hãn</v>
      </c>
      <c r="D5604" s="119" t="str">
        <f>IFERROR(__xludf.DUMMYFUNCTION("""COMPUTED_VALUE"""),"Chó")</f>
        <v>Chó</v>
      </c>
      <c r="E5604" s="119" t="str">
        <f>IFERROR(__xludf.DUMMYFUNCTION("""COMPUTED_VALUE"""),"Đen")</f>
        <v>Đen</v>
      </c>
    </row>
    <row r="5605" ht="15.75" customHeight="1">
      <c r="A5605" s="122" t="str">
        <f>IFERROR(__xludf.DUMMYFUNCTION("""COMPUTED_VALUE"""),"0762 979 452")</f>
        <v>0762 979 452</v>
      </c>
      <c r="B5605" s="119" t="str">
        <f>IFERROR(__xludf.DUMMYFUNCTION("""COMPUTED_VALUE"""),"Anh Tài")</f>
        <v>Anh Tài</v>
      </c>
      <c r="C5605" s="119" t="str">
        <f>IFERROR(__xludf.DUMMYFUNCTION("""COMPUTED_VALUE"""),"Lý Nam Đế")</f>
        <v>Lý Nam Đế</v>
      </c>
      <c r="D5605" s="119" t="str">
        <f>IFERROR(__xludf.DUMMYFUNCTION("""COMPUTED_VALUE"""),"Chó")</f>
        <v>Chó</v>
      </c>
      <c r="E5605" s="119"/>
    </row>
    <row r="5606" ht="15.75" customHeight="1">
      <c r="A5606" s="122" t="str">
        <f>IFERROR(__xludf.DUMMYFUNCTION("""COMPUTED_VALUE"""),"0931 932 371")</f>
        <v>0931 932 371</v>
      </c>
      <c r="B5606" s="119" t="str">
        <f>IFERROR(__xludf.DUMMYFUNCTION("""COMPUTED_VALUE"""),"Dì Hậu")</f>
        <v>Dì Hậu</v>
      </c>
      <c r="C5606" s="119" t="str">
        <f>IFERROR(__xludf.DUMMYFUNCTION("""COMPUTED_VALUE"""),"36/8 Phạm Thị Liên")</f>
        <v>36/8 Phạm Thị Liên</v>
      </c>
      <c r="D5606" s="119" t="str">
        <f>IFERROR(__xludf.DUMMYFUNCTION("""COMPUTED_VALUE"""),"Chó")</f>
        <v>Chó</v>
      </c>
      <c r="E5606" s="119"/>
    </row>
    <row r="5607" ht="15.75" customHeight="1">
      <c r="A5607" s="122" t="str">
        <f>IFERROR(__xludf.DUMMYFUNCTION("""COMPUTED_VALUE"""),"0795 712 646")</f>
        <v>0795 712 646</v>
      </c>
      <c r="B5607" s="119" t="str">
        <f>IFERROR(__xludf.DUMMYFUNCTION("""COMPUTED_VALUE"""),"Anh Long")</f>
        <v>Anh Long</v>
      </c>
      <c r="C5607" s="119" t="str">
        <f>IFERROR(__xludf.DUMMYFUNCTION("""COMPUTED_VALUE"""),"15/314 Lý Nam Đế")</f>
        <v>15/314 Lý Nam Đế</v>
      </c>
      <c r="D5607" s="119" t="str">
        <f>IFERROR(__xludf.DUMMYFUNCTION("""COMPUTED_VALUE"""),"Chó")</f>
        <v>Chó</v>
      </c>
      <c r="E5607" s="119" t="str">
        <f>IFERROR(__xludf.DUMMYFUNCTION("""COMPUTED_VALUE"""),"Ti")</f>
        <v>Ti</v>
      </c>
    </row>
    <row r="5608" ht="15.75" customHeight="1">
      <c r="A5608" s="122" t="str">
        <f>IFERROR(__xludf.DUMMYFUNCTION("""COMPUTED_VALUE"""),"0905 151 554")</f>
        <v>0905 151 554</v>
      </c>
      <c r="B5608" s="119" t="str">
        <f>IFERROR(__xludf.DUMMYFUNCTION("""COMPUTED_VALUE"""),"Chị Khánh")</f>
        <v>Chị Khánh</v>
      </c>
      <c r="C5608" s="119" t="str">
        <f>IFERROR(__xludf.DUMMYFUNCTION("""COMPUTED_VALUE"""),"6/280 Nguyễn Sinh Cung")</f>
        <v>6/280 Nguyễn Sinh Cung</v>
      </c>
      <c r="D5608" s="119" t="str">
        <f>IFERROR(__xludf.DUMMYFUNCTION("""COMPUTED_VALUE"""),"Mèo")</f>
        <v>Mèo</v>
      </c>
      <c r="E5608" s="119" t="str">
        <f>IFERROR(__xludf.DUMMYFUNCTION("""COMPUTED_VALUE"""),"bắp")</f>
        <v>bắp</v>
      </c>
    </row>
    <row r="5609" ht="15.75" customHeight="1">
      <c r="A5609" s="122" t="str">
        <f>IFERROR(__xludf.DUMMYFUNCTION("""COMPUTED_VALUE"""),"0378 344 869")</f>
        <v>0378 344 869</v>
      </c>
      <c r="B5609" s="119" t="str">
        <f>IFERROR(__xludf.DUMMYFUNCTION("""COMPUTED_VALUE"""),"chị Trang")</f>
        <v>chị Trang</v>
      </c>
      <c r="C5609" s="119" t="str">
        <f>IFERROR(__xludf.DUMMYFUNCTION("""COMPUTED_VALUE"""),"198 Lý Nam Đế")</f>
        <v>198 Lý Nam Đế</v>
      </c>
      <c r="D5609" s="119" t="str">
        <f>IFERROR(__xludf.DUMMYFUNCTION("""COMPUTED_VALUE"""),"Chó")</f>
        <v>Chó</v>
      </c>
      <c r="E5609" s="119"/>
    </row>
    <row r="5610" ht="15.75" customHeight="1">
      <c r="A5610" s="122" t="str">
        <f>IFERROR(__xludf.DUMMYFUNCTION("""COMPUTED_VALUE"""),"0827 878 027")</f>
        <v>0827 878 027</v>
      </c>
      <c r="B5610" s="119" t="str">
        <f>IFERROR(__xludf.DUMMYFUNCTION("""COMPUTED_VALUE"""),"Chị Thanh Bình")</f>
        <v>Chị Thanh Bình</v>
      </c>
      <c r="C5610" s="119" t="str">
        <f>IFERROR(__xludf.DUMMYFUNCTION("""COMPUTED_VALUE"""),"123 Lương Nhữ Hộc")</f>
        <v>123 Lương Nhữ Hộc</v>
      </c>
      <c r="D5610" s="119" t="str">
        <f>IFERROR(__xludf.DUMMYFUNCTION("""COMPUTED_VALUE"""),"Chó")</f>
        <v>Chó</v>
      </c>
      <c r="E5610" s="119" t="str">
        <f>IFERROR(__xludf.DUMMYFUNCTION("""COMPUTED_VALUE"""),"Tina")</f>
        <v>Tina</v>
      </c>
    </row>
    <row r="5611" ht="15.75" customHeight="1">
      <c r="A5611" s="122" t="str">
        <f>IFERROR(__xludf.DUMMYFUNCTION("""COMPUTED_VALUE"""),"0905 488 685")</f>
        <v>0905 488 685</v>
      </c>
      <c r="B5611" s="119" t="str">
        <f>IFERROR(__xludf.DUMMYFUNCTION("""COMPUTED_VALUE"""),"Anh Lâm")</f>
        <v>Anh Lâm</v>
      </c>
      <c r="C5611" s="119" t="str">
        <f>IFERROR(__xludf.DUMMYFUNCTION("""COMPUTED_VALUE"""),"4b/69 k 131 Trần Phú")</f>
        <v>4b/69 k 131 Trần Phú</v>
      </c>
      <c r="D5611" s="119" t="str">
        <f>IFERROR(__xludf.DUMMYFUNCTION("""COMPUTED_VALUE"""),"Chó")</f>
        <v>Chó</v>
      </c>
      <c r="E5611" s="119" t="str">
        <f>IFERROR(__xludf.DUMMYFUNCTION("""COMPUTED_VALUE"""),"Ki")</f>
        <v>Ki</v>
      </c>
    </row>
    <row r="5612" ht="15.75" customHeight="1">
      <c r="A5612" s="122" t="str">
        <f>IFERROR(__xludf.DUMMYFUNCTION("""COMPUTED_VALUE"""),"0799 014 292")</f>
        <v>0799 014 292</v>
      </c>
      <c r="B5612" s="119" t="str">
        <f>IFERROR(__xludf.DUMMYFUNCTION("""COMPUTED_VALUE"""),"Bảo Trân")</f>
        <v>Bảo Trân</v>
      </c>
      <c r="C5612" s="119" t="str">
        <f>IFERROR(__xludf.DUMMYFUNCTION("""COMPUTED_VALUE"""),"49 Hàn mặc tử")</f>
        <v>49 Hàn mặc tử</v>
      </c>
      <c r="D5612" s="119" t="str">
        <f>IFERROR(__xludf.DUMMYFUNCTION("""COMPUTED_VALUE"""),"Mèo")</f>
        <v>Mèo</v>
      </c>
      <c r="E5612" s="119" t="str">
        <f>IFERROR(__xludf.DUMMYFUNCTION("""COMPUTED_VALUE"""),"Bi")</f>
        <v>Bi</v>
      </c>
    </row>
    <row r="5613" ht="15.75" customHeight="1">
      <c r="A5613" s="122" t="str">
        <f>IFERROR(__xludf.DUMMYFUNCTION("""COMPUTED_VALUE"""),"0983 802 162")</f>
        <v>0983 802 162</v>
      </c>
      <c r="B5613" s="119" t="str">
        <f>IFERROR(__xludf.DUMMYFUNCTION("""COMPUTED_VALUE"""),"anh Đức")</f>
        <v>anh Đức</v>
      </c>
      <c r="C5613" s="119" t="str">
        <f>IFERROR(__xludf.DUMMYFUNCTION("""COMPUTED_VALUE"""),"30/17 Phạm Thị Liên")</f>
        <v>30/17 Phạm Thị Liên</v>
      </c>
      <c r="D5613" s="119" t="str">
        <f>IFERROR(__xludf.DUMMYFUNCTION("""COMPUTED_VALUE"""),"Chó")</f>
        <v>Chó</v>
      </c>
      <c r="E5613" s="119" t="str">
        <f>IFERROR(__xludf.DUMMYFUNCTION("""COMPUTED_VALUE"""),"Nâu")</f>
        <v>Nâu</v>
      </c>
    </row>
    <row r="5614" ht="15.75" customHeight="1">
      <c r="A5614" s="122" t="str">
        <f>IFERROR(__xludf.DUMMYFUNCTION("""COMPUTED_VALUE"""),"0773 554 340")</f>
        <v>0773 554 340</v>
      </c>
      <c r="B5614" s="119" t="str">
        <f>IFERROR(__xludf.DUMMYFUNCTION("""COMPUTED_VALUE"""),"chị Thuỳ Trang")</f>
        <v>chị Thuỳ Trang</v>
      </c>
      <c r="C5614" s="119" t="str">
        <f>IFERROR(__xludf.DUMMYFUNCTION("""COMPUTED_VALUE"""),"Phú Lộc")</f>
        <v>Phú Lộc</v>
      </c>
      <c r="D5614" s="119" t="str">
        <f>IFERROR(__xludf.DUMMYFUNCTION("""COMPUTED_VALUE"""),"Mèo")</f>
        <v>Mèo</v>
      </c>
      <c r="E5614" s="119"/>
    </row>
    <row r="5615" ht="15.75" customHeight="1">
      <c r="A5615" s="122" t="str">
        <f>IFERROR(__xludf.DUMMYFUNCTION("""COMPUTED_VALUE"""),"0815 016 224")</f>
        <v>0815 016 224</v>
      </c>
      <c r="B5615" s="119" t="str">
        <f>IFERROR(__xludf.DUMMYFUNCTION("""COMPUTED_VALUE"""),"Thầy Minh Trí")</f>
        <v>Thầy Minh Trí</v>
      </c>
      <c r="C5615" s="119" t="str">
        <f>IFERROR(__xludf.DUMMYFUNCTION("""COMPUTED_VALUE"""),"Chùa Quy Thiện")</f>
        <v>Chùa Quy Thiện</v>
      </c>
      <c r="D5615" s="119" t="str">
        <f>IFERROR(__xludf.DUMMYFUNCTION("""COMPUTED_VALUE"""),"Mèo")</f>
        <v>Mèo</v>
      </c>
      <c r="E5615" s="119" t="str">
        <f>IFERROR(__xludf.DUMMYFUNCTION("""COMPUTED_VALUE"""),"Na")</f>
        <v>Na</v>
      </c>
    </row>
    <row r="5616" ht="15.75" customHeight="1">
      <c r="A5616" s="122" t="str">
        <f>IFERROR(__xludf.DUMMYFUNCTION("""COMPUTED_VALUE"""),"0795 923 340")</f>
        <v>0795 923 340</v>
      </c>
      <c r="B5616" s="119" t="str">
        <f>IFERROR(__xludf.DUMMYFUNCTION("""COMPUTED_VALUE"""),"Chị Phương")</f>
        <v>Chị Phương</v>
      </c>
      <c r="C5616" s="119" t="str">
        <f>IFERROR(__xludf.DUMMYFUNCTION("""COMPUTED_VALUE"""),"267 Nguyễn Sinh Cung")</f>
        <v>267 Nguyễn Sinh Cung</v>
      </c>
      <c r="D5616" s="119" t="str">
        <f>IFERROR(__xludf.DUMMYFUNCTION("""COMPUTED_VALUE"""),"Chó")</f>
        <v>Chó</v>
      </c>
      <c r="E5616" s="119" t="str">
        <f>IFERROR(__xludf.DUMMYFUNCTION("""COMPUTED_VALUE"""),"kem")</f>
        <v>kem</v>
      </c>
    </row>
    <row r="5617" ht="15.75" customHeight="1">
      <c r="A5617" s="122" t="str">
        <f>IFERROR(__xludf.DUMMYFUNCTION("""COMPUTED_VALUE"""),"0961 726 292")</f>
        <v>0961 726 292</v>
      </c>
      <c r="B5617" s="119" t="str">
        <f>IFERROR(__xludf.DUMMYFUNCTION("""COMPUTED_VALUE"""),"Anh Cường")</f>
        <v>Anh Cường</v>
      </c>
      <c r="C5617" s="119" t="str">
        <f>IFERROR(__xludf.DUMMYFUNCTION("""COMPUTED_VALUE"""),"Hương Chữ Hương Trà")</f>
        <v>Hương Chữ Hương Trà</v>
      </c>
      <c r="D5617" s="119" t="str">
        <f>IFERROR(__xludf.DUMMYFUNCTION("""COMPUTED_VALUE"""),"Chó")</f>
        <v>Chó</v>
      </c>
      <c r="E5617" s="119" t="str">
        <f>IFERROR(__xludf.DUMMYFUNCTION("""COMPUTED_VALUE"""),"Lucky")</f>
        <v>Lucky</v>
      </c>
    </row>
    <row r="5618" ht="15.75" customHeight="1">
      <c r="A5618" s="122" t="str">
        <f>IFERROR(__xludf.DUMMYFUNCTION("""COMPUTED_VALUE"""),"0961 795 795")</f>
        <v>0961 795 795</v>
      </c>
      <c r="B5618" s="119" t="str">
        <f>IFERROR(__xludf.DUMMYFUNCTION("""COMPUTED_VALUE"""),"Anh Cường")</f>
        <v>Anh Cường</v>
      </c>
      <c r="C5618" s="119" t="str">
        <f>IFERROR(__xludf.DUMMYFUNCTION("""COMPUTED_VALUE"""),"176 Nguyễn Trãi")</f>
        <v>176 Nguyễn Trãi</v>
      </c>
      <c r="D5618" s="119" t="str">
        <f>IFERROR(__xludf.DUMMYFUNCTION("""COMPUTED_VALUE"""),"Chó")</f>
        <v>Chó</v>
      </c>
      <c r="E5618" s="119" t="str">
        <f>IFERROR(__xludf.DUMMYFUNCTION("""COMPUTED_VALUE"""),"Mũn")</f>
        <v>Mũn</v>
      </c>
    </row>
    <row r="5619" ht="15.75" customHeight="1">
      <c r="A5619" s="122" t="str">
        <f>IFERROR(__xludf.DUMMYFUNCTION("""COMPUTED_VALUE"""),"0888 571 701")</f>
        <v>0888 571 701</v>
      </c>
      <c r="B5619" s="119" t="str">
        <f>IFERROR(__xludf.DUMMYFUNCTION("""COMPUTED_VALUE"""),"Anh Thanh Hùng")</f>
        <v>Anh Thanh Hùng</v>
      </c>
      <c r="C5619" s="119" t="str">
        <f>IFERROR(__xludf.DUMMYFUNCTION("""COMPUTED_VALUE"""),"72 Nguyễn Phúc Nguyên")</f>
        <v>72 Nguyễn Phúc Nguyên</v>
      </c>
      <c r="D5619" s="119" t="str">
        <f>IFERROR(__xludf.DUMMYFUNCTION("""COMPUTED_VALUE"""),"Chó")</f>
        <v>Chó</v>
      </c>
      <c r="E5619" s="119" t="str">
        <f>IFERROR(__xludf.DUMMYFUNCTION("""COMPUTED_VALUE"""),"Vàng")</f>
        <v>Vàng</v>
      </c>
    </row>
    <row r="5620" ht="15.75" customHeight="1">
      <c r="A5620" s="122" t="str">
        <f>IFERROR(__xludf.DUMMYFUNCTION("""COMPUTED_VALUE"""),"0905 851 599")</f>
        <v>0905 851 599</v>
      </c>
      <c r="B5620" s="119" t="str">
        <f>IFERROR(__xludf.DUMMYFUNCTION("""COMPUTED_VALUE"""),"Em trân")</f>
        <v>Em trân</v>
      </c>
      <c r="C5620" s="119" t="str">
        <f>IFERROR(__xludf.DUMMYFUNCTION("""COMPUTED_VALUE"""),"Chung cư vincland")</f>
        <v>Chung cư vincland</v>
      </c>
      <c r="D5620" s="119" t="str">
        <f>IFERROR(__xludf.DUMMYFUNCTION("""COMPUTED_VALUE"""),"Mèo")</f>
        <v>Mèo</v>
      </c>
      <c r="E5620" s="119" t="str">
        <f>IFERROR(__xludf.DUMMYFUNCTION("""COMPUTED_VALUE"""),"Táo")</f>
        <v>Táo</v>
      </c>
    </row>
    <row r="5621" ht="15.75" customHeight="1">
      <c r="A5621" s="122" t="str">
        <f>IFERROR(__xludf.DUMMYFUNCTION("""COMPUTED_VALUE"""),"0766 525 560")</f>
        <v>0766 525 560</v>
      </c>
      <c r="B5621" s="119" t="str">
        <f>IFERROR(__xludf.DUMMYFUNCTION("""COMPUTED_VALUE"""),"Chị Dung")</f>
        <v>Chị Dung</v>
      </c>
      <c r="C5621" s="119" t="str">
        <f>IFERROR(__xludf.DUMMYFUNCTION("""COMPUTED_VALUE"""),"Phú Mỹ Phú Vang")</f>
        <v>Phú Mỹ Phú Vang</v>
      </c>
      <c r="D5621" s="119" t="str">
        <f>IFERROR(__xludf.DUMMYFUNCTION("""COMPUTED_VALUE"""),"Chó")</f>
        <v>Chó</v>
      </c>
      <c r="E5621" s="119" t="str">
        <f>IFERROR(__xludf.DUMMYFUNCTION("""COMPUTED_VALUE"""),"Sam")</f>
        <v>Sam</v>
      </c>
    </row>
    <row r="5622" ht="15.75" customHeight="1">
      <c r="A5622" s="122" t="str">
        <f>IFERROR(__xludf.DUMMYFUNCTION("""COMPUTED_VALUE"""),"0359 728 150")</f>
        <v>0359 728 150</v>
      </c>
      <c r="B5622" s="119" t="str">
        <f>IFERROR(__xludf.DUMMYFUNCTION("""COMPUTED_VALUE"""),"Dì Nguyễn Thị Nhàn")</f>
        <v>Dì Nguyễn Thị Nhàn</v>
      </c>
      <c r="C5622" s="119" t="str">
        <f>IFERROR(__xludf.DUMMYFUNCTION("""COMPUTED_VALUE"""),"21/288 Lý Nam Đế")</f>
        <v>21/288 Lý Nam Đế</v>
      </c>
      <c r="D5622" s="119" t="str">
        <f>IFERROR(__xludf.DUMMYFUNCTION("""COMPUTED_VALUE"""),"Chó")</f>
        <v>Chó</v>
      </c>
      <c r="E5622" s="119" t="str">
        <f>IFERROR(__xludf.DUMMYFUNCTION("""COMPUTED_VALUE"""),"Bun")</f>
        <v>Bun</v>
      </c>
    </row>
    <row r="5623" ht="15.75" customHeight="1">
      <c r="A5623" s="122" t="str">
        <f>IFERROR(__xludf.DUMMYFUNCTION("""COMPUTED_VALUE"""),"0932 582 956")</f>
        <v>0932 582 956</v>
      </c>
      <c r="B5623" s="119" t="str">
        <f>IFERROR(__xludf.DUMMYFUNCTION("""COMPUTED_VALUE"""),"Chị Hiền")</f>
        <v>Chị Hiền</v>
      </c>
      <c r="C5623" s="119" t="str">
        <f>IFERROR(__xludf.DUMMYFUNCTION("""COMPUTED_VALUE"""),"6/35 Nguyễn Phúc Lan")</f>
        <v>6/35 Nguyễn Phúc Lan</v>
      </c>
      <c r="D5623" s="119" t="str">
        <f>IFERROR(__xludf.DUMMYFUNCTION("""COMPUTED_VALUE"""),"Chó")</f>
        <v>Chó</v>
      </c>
      <c r="E5623" s="119" t="str">
        <f>IFERROR(__xludf.DUMMYFUNCTION("""COMPUTED_VALUE"""),"Sóc")</f>
        <v>Sóc</v>
      </c>
    </row>
    <row r="5624" ht="15.75" customHeight="1">
      <c r="A5624" s="122" t="str">
        <f>IFERROR(__xludf.DUMMYFUNCTION("""COMPUTED_VALUE"""),"0898 232 925")</f>
        <v>0898 232 925</v>
      </c>
      <c r="B5624" s="119" t="str">
        <f>IFERROR(__xludf.DUMMYFUNCTION("""COMPUTED_VALUE"""),"Em Huyền")</f>
        <v>Em Huyền</v>
      </c>
      <c r="C5624" s="119" t="str">
        <f>IFERROR(__xludf.DUMMYFUNCTION("""COMPUTED_VALUE"""),"203 Nguyễn Trường Tộ")</f>
        <v>203 Nguyễn Trường Tộ</v>
      </c>
      <c r="D5624" s="119" t="str">
        <f>IFERROR(__xludf.DUMMYFUNCTION("""COMPUTED_VALUE"""),"mèo")</f>
        <v>mèo</v>
      </c>
      <c r="E5624" s="119" t="str">
        <f>IFERROR(__xludf.DUMMYFUNCTION("""COMPUTED_VALUE"""),"Trắng")</f>
        <v>Trắng</v>
      </c>
    </row>
    <row r="5625" ht="15.75" customHeight="1">
      <c r="A5625" s="122" t="str">
        <f>IFERROR(__xludf.DUMMYFUNCTION("""COMPUTED_VALUE"""),"0926 226 659")</f>
        <v>0926 226 659</v>
      </c>
      <c r="B5625" s="119" t="str">
        <f>IFERROR(__xludf.DUMMYFUNCTION("""COMPUTED_VALUE"""),"Chị Thuỷ")</f>
        <v>Chị Thuỷ</v>
      </c>
      <c r="C5625" s="119" t="str">
        <f>IFERROR(__xludf.DUMMYFUNCTION("""COMPUTED_VALUE"""),"HCung cư Vincoland")</f>
        <v>HCung cư Vincoland</v>
      </c>
      <c r="D5625" s="119" t="str">
        <f>IFERROR(__xludf.DUMMYFUNCTION("""COMPUTED_VALUE"""),"Chó")</f>
        <v>Chó</v>
      </c>
      <c r="E5625" s="119" t="str">
        <f>IFERROR(__xludf.DUMMYFUNCTION("""COMPUTED_VALUE"""),"Ken")</f>
        <v>Ken</v>
      </c>
    </row>
    <row r="5626" ht="15.75" customHeight="1">
      <c r="A5626" s="122" t="str">
        <f>IFERROR(__xludf.DUMMYFUNCTION("""COMPUTED_VALUE"""),"0383 379 370")</f>
        <v>0383 379 370</v>
      </c>
      <c r="B5626" s="119" t="str">
        <f>IFERROR(__xludf.DUMMYFUNCTION("""COMPUTED_VALUE"""),"Anh Công")</f>
        <v>Anh Công</v>
      </c>
      <c r="C5626" s="119" t="str">
        <f>IFERROR(__xludf.DUMMYFUNCTION("""COMPUTED_VALUE"""),"13/24 Phạm Thị Liên")</f>
        <v>13/24 Phạm Thị Liên</v>
      </c>
      <c r="D5626" s="119" t="str">
        <f>IFERROR(__xludf.DUMMYFUNCTION("""COMPUTED_VALUE"""),"Mèo")</f>
        <v>Mèo</v>
      </c>
      <c r="E5626" s="119" t="str">
        <f>IFERROR(__xludf.DUMMYFUNCTION("""COMPUTED_VALUE"""),"Bông")</f>
        <v>Bông</v>
      </c>
    </row>
    <row r="5627" ht="15.75" customHeight="1">
      <c r="A5627" s="122" t="str">
        <f>IFERROR(__xludf.DUMMYFUNCTION("""COMPUTED_VALUE"""),"0396 491 111")</f>
        <v>0396 491 111</v>
      </c>
      <c r="B5627" s="119" t="str">
        <f>IFERROR(__xludf.DUMMYFUNCTION("""COMPUTED_VALUE"""),"Chị Phương")</f>
        <v>Chị Phương</v>
      </c>
      <c r="C5627" s="119" t="str">
        <f>IFERROR(__xludf.DUMMYFUNCTION("""COMPUTED_VALUE"""),"59 Nguyễn Hoàng")</f>
        <v>59 Nguyễn Hoàng</v>
      </c>
      <c r="D5627" s="119" t="str">
        <f>IFERROR(__xludf.DUMMYFUNCTION("""COMPUTED_VALUE"""),"Mèo")</f>
        <v>Mèo</v>
      </c>
      <c r="E5627" s="119"/>
    </row>
    <row r="5628" ht="15.75" customHeight="1">
      <c r="A5628" s="122" t="str">
        <f>IFERROR(__xludf.DUMMYFUNCTION("""COMPUTED_VALUE"""),"0906 451 795")</f>
        <v>0906 451 795</v>
      </c>
      <c r="B5628" s="119" t="str">
        <f>IFERROR(__xludf.DUMMYFUNCTION("""COMPUTED_VALUE"""),"Anh Tuấn")</f>
        <v>Anh Tuấn</v>
      </c>
      <c r="C5628" s="119" t="str">
        <f>IFERROR(__xludf.DUMMYFUNCTION("""COMPUTED_VALUE"""),"35 ngự Bình")</f>
        <v>35 ngự Bình</v>
      </c>
      <c r="D5628" s="119" t="str">
        <f>IFERROR(__xludf.DUMMYFUNCTION("""COMPUTED_VALUE"""),"Chó")</f>
        <v>Chó</v>
      </c>
      <c r="E5628" s="119" t="str">
        <f>IFERROR(__xludf.DUMMYFUNCTION("""COMPUTED_VALUE"""),"Moon")</f>
        <v>Moon</v>
      </c>
    </row>
    <row r="5629" ht="15.75" customHeight="1">
      <c r="A5629" s="122" t="str">
        <f>IFERROR(__xludf.DUMMYFUNCTION("""COMPUTED_VALUE"""),"0939 275 969")</f>
        <v>0939 275 969</v>
      </c>
      <c r="B5629" s="119" t="str">
        <f>IFERROR(__xludf.DUMMYFUNCTION("""COMPUTED_VALUE"""),"Chị Ny")</f>
        <v>Chị Ny</v>
      </c>
      <c r="C5629" s="119" t="str">
        <f>IFERROR(__xludf.DUMMYFUNCTION("""COMPUTED_VALUE"""),"Phú Mậu")</f>
        <v>Phú Mậu</v>
      </c>
      <c r="D5629" s="119" t="str">
        <f>IFERROR(__xludf.DUMMYFUNCTION("""COMPUTED_VALUE"""),"Chó")</f>
        <v>Chó</v>
      </c>
      <c r="E5629" s="119" t="str">
        <f>IFERROR(__xludf.DUMMYFUNCTION("""COMPUTED_VALUE"""),"Mực")</f>
        <v>Mực</v>
      </c>
    </row>
    <row r="5630" ht="15.75" customHeight="1">
      <c r="A5630" s="122" t="str">
        <f>IFERROR(__xludf.DUMMYFUNCTION("""COMPUTED_VALUE"""),"0968 782 468")</f>
        <v>0968 782 468</v>
      </c>
      <c r="B5630" s="119" t="str">
        <f>IFERROR(__xludf.DUMMYFUNCTION("""COMPUTED_VALUE"""),"CHị Phương")</f>
        <v>CHị Phương</v>
      </c>
      <c r="C5630" s="119" t="str">
        <f>IFERROR(__xludf.DUMMYFUNCTION("""COMPUTED_VALUE"""),"2/27 Hoàng Quốc Việt")</f>
        <v>2/27 Hoàng Quốc Việt</v>
      </c>
      <c r="D5630" s="119" t="str">
        <f>IFERROR(__xludf.DUMMYFUNCTION("""COMPUTED_VALUE"""),"Chó")</f>
        <v>Chó</v>
      </c>
      <c r="E5630" s="119" t="str">
        <f>IFERROR(__xludf.DUMMYFUNCTION("""COMPUTED_VALUE"""),"Tây")</f>
        <v>Tây</v>
      </c>
    </row>
    <row r="5631" ht="15.75" customHeight="1">
      <c r="A5631" s="122" t="str">
        <f>IFERROR(__xludf.DUMMYFUNCTION("""COMPUTED_VALUE"""),"0337 934 166")</f>
        <v>0337 934 166</v>
      </c>
      <c r="B5631" s="119" t="str">
        <f>IFERROR(__xludf.DUMMYFUNCTION("""COMPUTED_VALUE"""),"Lê son")</f>
        <v>Lê son</v>
      </c>
      <c r="C5631" s="119" t="str">
        <f>IFERROR(__xludf.DUMMYFUNCTION("""COMPUTED_VALUE"""),"148 Nguyễn Phúc Nguyên")</f>
        <v>148 Nguyễn Phúc Nguyên</v>
      </c>
      <c r="D5631" s="119" t="str">
        <f>IFERROR(__xludf.DUMMYFUNCTION("""COMPUTED_VALUE"""),"Mèo")</f>
        <v>Mèo</v>
      </c>
      <c r="E5631" s="119" t="str">
        <f>IFERROR(__xludf.DUMMYFUNCTION("""COMPUTED_VALUE"""),"Ken")</f>
        <v>Ken</v>
      </c>
    </row>
    <row r="5632" ht="15.75" customHeight="1">
      <c r="A5632" s="122" t="str">
        <f>IFERROR(__xludf.DUMMYFUNCTION("""COMPUTED_VALUE"""),"0767 939 495")</f>
        <v>0767 939 495</v>
      </c>
      <c r="B5632" s="119" t="str">
        <f>IFERROR(__xludf.DUMMYFUNCTION("""COMPUTED_VALUE"""),"Anh Ninh")</f>
        <v>Anh Ninh</v>
      </c>
      <c r="C5632" s="119" t="str">
        <f>IFERROR(__xludf.DUMMYFUNCTION("""COMPUTED_VALUE"""),"23 Nguyễn trãi")</f>
        <v>23 Nguyễn trãi</v>
      </c>
      <c r="D5632" s="119" t="str">
        <f>IFERROR(__xludf.DUMMYFUNCTION("""COMPUTED_VALUE"""),"Mèo")</f>
        <v>Mèo</v>
      </c>
      <c r="E5632" s="119" t="str">
        <f>IFERROR(__xludf.DUMMYFUNCTION("""COMPUTED_VALUE"""),"Xù")</f>
        <v>Xù</v>
      </c>
    </row>
    <row r="5633" ht="15.75" customHeight="1">
      <c r="A5633" s="122" t="str">
        <f>IFERROR(__xludf.DUMMYFUNCTION("""COMPUTED_VALUE"""),"0782 773 636")</f>
        <v>0782 773 636</v>
      </c>
      <c r="B5633" s="119" t="str">
        <f>IFERROR(__xludf.DUMMYFUNCTION("""COMPUTED_VALUE"""),"Chị Ân")</f>
        <v>Chị Ân</v>
      </c>
      <c r="C5633" s="119" t="str">
        <f>IFERROR(__xludf.DUMMYFUNCTION("""COMPUTED_VALUE"""),"1/145 Phan Đình Phùng")</f>
        <v>1/145 Phan Đình Phùng</v>
      </c>
      <c r="D5633" s="119" t="str">
        <f>IFERROR(__xludf.DUMMYFUNCTION("""COMPUTED_VALUE"""),"Chó")</f>
        <v>Chó</v>
      </c>
      <c r="E5633" s="119" t="str">
        <f>IFERROR(__xludf.DUMMYFUNCTION("""COMPUTED_VALUE"""),"Lơ")</f>
        <v>Lơ</v>
      </c>
    </row>
    <row r="5634" ht="15.75" customHeight="1">
      <c r="A5634" s="122" t="str">
        <f>IFERROR(__xludf.DUMMYFUNCTION("""COMPUTED_VALUE"""),"0903 930 584")</f>
        <v>0903 930 584</v>
      </c>
      <c r="B5634" s="119" t="str">
        <f>IFERROR(__xludf.DUMMYFUNCTION("""COMPUTED_VALUE"""),"CHị Thuỷ")</f>
        <v>CHị Thuỷ</v>
      </c>
      <c r="C5634" s="119" t="str">
        <f>IFERROR(__xludf.DUMMYFUNCTION("""COMPUTED_VALUE"""),"40 kiệt 14 Nguyễn Phúc Nguyên")</f>
        <v>40 kiệt 14 Nguyễn Phúc Nguyên</v>
      </c>
      <c r="D5634" s="119" t="str">
        <f>IFERROR(__xludf.DUMMYFUNCTION("""COMPUTED_VALUE"""),"Chó")</f>
        <v>Chó</v>
      </c>
      <c r="E5634" s="119"/>
    </row>
    <row r="5635" ht="15.75" customHeight="1">
      <c r="A5635" s="122" t="str">
        <f>IFERROR(__xludf.DUMMYFUNCTION("""COMPUTED_VALUE"""),"0795 835 355")</f>
        <v>0795 835 355</v>
      </c>
      <c r="B5635" s="119" t="str">
        <f>IFERROR(__xludf.DUMMYFUNCTION("""COMPUTED_VALUE"""),"Chị Tâm Anh")</f>
        <v>Chị Tâm Anh</v>
      </c>
      <c r="C5635" s="119" t="str">
        <f>IFERROR(__xludf.DUMMYFUNCTION("""COMPUTED_VALUE"""),"16/1 Nguyệt Biều")</f>
        <v>16/1 Nguyệt Biều</v>
      </c>
      <c r="D5635" s="119" t="str">
        <f>IFERROR(__xludf.DUMMYFUNCTION("""COMPUTED_VALUE"""),"Chó")</f>
        <v>Chó</v>
      </c>
      <c r="E5635" s="119" t="str">
        <f>IFERROR(__xludf.DUMMYFUNCTION("""COMPUTED_VALUE"""),"tô")</f>
        <v>tô</v>
      </c>
    </row>
    <row r="5636" ht="15.75" customHeight="1">
      <c r="A5636" s="122" t="str">
        <f>IFERROR(__xludf.DUMMYFUNCTION("""COMPUTED_VALUE"""),"0905 680 488")</f>
        <v>0905 680 488</v>
      </c>
      <c r="B5636" s="119" t="str">
        <f>IFERROR(__xludf.DUMMYFUNCTION("""COMPUTED_VALUE"""),"Trí Tâm")</f>
        <v>Trí Tâm</v>
      </c>
      <c r="C5636" s="119" t="str">
        <f>IFERROR(__xludf.DUMMYFUNCTION("""COMPUTED_VALUE"""),"208 Phò Trạch Phong Điền")</f>
        <v>208 Phò Trạch Phong Điền</v>
      </c>
      <c r="D5636" s="119" t="str">
        <f>IFERROR(__xludf.DUMMYFUNCTION("""COMPUTED_VALUE"""),"Mèo")</f>
        <v>Mèo</v>
      </c>
      <c r="E5636" s="119" t="str">
        <f>IFERROR(__xludf.DUMMYFUNCTION("""COMPUTED_VALUE"""),"Bánh")</f>
        <v>Bánh</v>
      </c>
    </row>
    <row r="5637" ht="15.75" customHeight="1">
      <c r="A5637" s="122" t="str">
        <f>IFERROR(__xludf.DUMMYFUNCTION("""COMPUTED_VALUE"""),"0708 111 632")</f>
        <v>0708 111 632</v>
      </c>
      <c r="B5637" s="119" t="str">
        <f>IFERROR(__xludf.DUMMYFUNCTION("""COMPUTED_VALUE"""),"Anh tuấn")</f>
        <v>Anh tuấn</v>
      </c>
      <c r="C5637" s="119" t="str">
        <f>IFERROR(__xludf.DUMMYFUNCTION("""COMPUTED_VALUE"""),"Thuỷ Xuân")</f>
        <v>Thuỷ Xuân</v>
      </c>
      <c r="D5637" s="119" t="str">
        <f>IFERROR(__xludf.DUMMYFUNCTION("""COMPUTED_VALUE"""),"Chó")</f>
        <v>Chó</v>
      </c>
      <c r="E5637" s="119" t="str">
        <f>IFERROR(__xludf.DUMMYFUNCTION("""COMPUTED_VALUE"""),"Mít")</f>
        <v>Mít</v>
      </c>
    </row>
    <row r="5638" ht="15.75" customHeight="1">
      <c r="A5638" s="122" t="str">
        <f>IFERROR(__xludf.DUMMYFUNCTION("""COMPUTED_VALUE"""),"0763 650 947")</f>
        <v>0763 650 947</v>
      </c>
      <c r="B5638" s="119" t="str">
        <f>IFERROR(__xludf.DUMMYFUNCTION("""COMPUTED_VALUE"""),"Em Hà My")</f>
        <v>Em Hà My</v>
      </c>
      <c r="C5638" s="119" t="str">
        <f>IFERROR(__xludf.DUMMYFUNCTION("""COMPUTED_VALUE"""),"Lại An Phú Mậu")</f>
        <v>Lại An Phú Mậu</v>
      </c>
      <c r="D5638" s="119"/>
      <c r="E5638" s="119" t="str">
        <f>IFERROR(__xludf.DUMMYFUNCTION("""COMPUTED_VALUE"""),"xù")</f>
        <v>xù</v>
      </c>
    </row>
    <row r="5639" ht="15.75" customHeight="1">
      <c r="A5639" s="122" t="str">
        <f>IFERROR(__xludf.DUMMYFUNCTION("""COMPUTED_VALUE"""),"0563 345 562")</f>
        <v>0563 345 562</v>
      </c>
      <c r="B5639" s="119" t="str">
        <f>IFERROR(__xludf.DUMMYFUNCTION("""COMPUTED_VALUE"""),"Isabell")</f>
        <v>Isabell</v>
      </c>
      <c r="C5639" s="119" t="str">
        <f>IFERROR(__xludf.DUMMYFUNCTION("""COMPUTED_VALUE"""),"chung cư xuân Phú")</f>
        <v>chung cư xuân Phú</v>
      </c>
      <c r="D5639" s="119" t="str">
        <f>IFERROR(__xludf.DUMMYFUNCTION("""COMPUTED_VALUE"""),"Mèo")</f>
        <v>Mèo</v>
      </c>
      <c r="E5639" s="119" t="str">
        <f>IFERROR(__xludf.DUMMYFUNCTION("""COMPUTED_VALUE"""),"jeri")</f>
        <v>jeri</v>
      </c>
    </row>
    <row r="5640" ht="15.75" customHeight="1">
      <c r="A5640" s="122" t="str">
        <f>IFERROR(__xludf.DUMMYFUNCTION("""COMPUTED_VALUE"""),"0868 884 448")</f>
        <v>0868 884 448</v>
      </c>
      <c r="B5640" s="119" t="str">
        <f>IFERROR(__xludf.DUMMYFUNCTION("""COMPUTED_VALUE"""),"Anh thiện")</f>
        <v>Anh thiện</v>
      </c>
      <c r="C5640" s="119" t="str">
        <f>IFERROR(__xludf.DUMMYFUNCTION("""COMPUTED_VALUE"""),"7 Nguyễn Hoàng")</f>
        <v>7 Nguyễn Hoàng</v>
      </c>
      <c r="D5640" s="119" t="str">
        <f>IFERROR(__xludf.DUMMYFUNCTION("""COMPUTED_VALUE"""),"Chó")</f>
        <v>Chó</v>
      </c>
      <c r="E5640" s="119" t="str">
        <f>IFERROR(__xludf.DUMMYFUNCTION("""COMPUTED_VALUE"""),"bốp")</f>
        <v>bốp</v>
      </c>
    </row>
    <row r="5641" ht="15.75" customHeight="1">
      <c r="A5641" s="122" t="str">
        <f>IFERROR(__xludf.DUMMYFUNCTION("""COMPUTED_VALUE"""),"0968 177 528")</f>
        <v>0968 177 528</v>
      </c>
      <c r="B5641" s="119" t="str">
        <f>IFERROR(__xludf.DUMMYFUNCTION("""COMPUTED_VALUE"""),"Chú Lộc")</f>
        <v>Chú Lộc</v>
      </c>
      <c r="C5641" s="119" t="str">
        <f>IFERROR(__xludf.DUMMYFUNCTION("""COMPUTED_VALUE"""),"Phường Đúc")</f>
        <v>Phường Đúc</v>
      </c>
      <c r="D5641" s="119" t="str">
        <f>IFERROR(__xludf.DUMMYFUNCTION("""COMPUTED_VALUE"""),"chó")</f>
        <v>chó</v>
      </c>
      <c r="E5641" s="119" t="str">
        <f>IFERROR(__xludf.DUMMYFUNCTION("""COMPUTED_VALUE"""),"Vàng")</f>
        <v>Vàng</v>
      </c>
    </row>
    <row r="5642" ht="15.75" customHeight="1">
      <c r="A5642" s="122" t="str">
        <f>IFERROR(__xludf.DUMMYFUNCTION("""COMPUTED_VALUE"""),"0905 336 470")</f>
        <v>0905 336 470</v>
      </c>
      <c r="B5642" s="119" t="str">
        <f>IFERROR(__xludf.DUMMYFUNCTION("""COMPUTED_VALUE"""),"Cô Hường")</f>
        <v>Cô Hường</v>
      </c>
      <c r="C5642" s="119" t="str">
        <f>IFERROR(__xludf.DUMMYFUNCTION("""COMPUTED_VALUE"""),"152 Phạm Văn Đồng")</f>
        <v>152 Phạm Văn Đồng</v>
      </c>
      <c r="D5642" s="119" t="str">
        <f>IFERROR(__xludf.DUMMYFUNCTION("""COMPUTED_VALUE"""),"chó")</f>
        <v>chó</v>
      </c>
      <c r="E5642" s="119"/>
    </row>
    <row r="5643" ht="15.75" customHeight="1">
      <c r="A5643" s="122" t="str">
        <f>IFERROR(__xludf.DUMMYFUNCTION("""COMPUTED_VALUE"""),"0373 499 122")</f>
        <v>0373 499 122</v>
      </c>
      <c r="B5643" s="119" t="str">
        <f>IFERROR(__xludf.DUMMYFUNCTION("""COMPUTED_VALUE"""),"em Dung")</f>
        <v>em Dung</v>
      </c>
      <c r="C5643" s="119" t="str">
        <f>IFERROR(__xludf.DUMMYFUNCTION("""COMPUTED_VALUE"""),"k99 Lựu Bảo")</f>
        <v>k99 Lựu Bảo</v>
      </c>
      <c r="D5643" s="119" t="str">
        <f>IFERROR(__xludf.DUMMYFUNCTION("""COMPUTED_VALUE"""),"Chó")</f>
        <v>Chó</v>
      </c>
      <c r="E5643" s="119" t="str">
        <f>IFERROR(__xludf.DUMMYFUNCTION("""COMPUTED_VALUE"""),"Bi")</f>
        <v>Bi</v>
      </c>
    </row>
    <row r="5644" ht="15.75" customHeight="1">
      <c r="A5644" s="122" t="str">
        <f>IFERROR(__xludf.DUMMYFUNCTION("""COMPUTED_VALUE"""),"0384 718 796")</f>
        <v>0384 718 796</v>
      </c>
      <c r="B5644" s="119" t="str">
        <f>IFERROR(__xludf.DUMMYFUNCTION("""COMPUTED_VALUE"""),"En Minh")</f>
        <v>En Minh</v>
      </c>
      <c r="C5644" s="119"/>
      <c r="D5644" s="119"/>
      <c r="E5644" s="119"/>
    </row>
    <row r="5645" ht="15.75" customHeight="1">
      <c r="A5645" s="122" t="str">
        <f>IFERROR(__xludf.DUMMYFUNCTION("""COMPUTED_VALUE"""),"0334 823 009")</f>
        <v>0334 823 009</v>
      </c>
      <c r="B5645" s="119" t="str">
        <f>IFERROR(__xludf.DUMMYFUNCTION("""COMPUTED_VALUE"""),"Chị Liên")</f>
        <v>Chị Liên</v>
      </c>
      <c r="C5645" s="119" t="str">
        <f>IFERROR(__xludf.DUMMYFUNCTION("""COMPUTED_VALUE"""),"Xóm Thanh Tịnh")</f>
        <v>Xóm Thanh Tịnh</v>
      </c>
      <c r="D5645" s="119" t="str">
        <f>IFERROR(__xludf.DUMMYFUNCTION("""COMPUTED_VALUE"""),"Chó ")</f>
        <v>Chó </v>
      </c>
      <c r="E5645" s="119" t="str">
        <f>IFERROR(__xludf.DUMMYFUNCTION("""COMPUTED_VALUE"""),"Mưa")</f>
        <v>Mưa</v>
      </c>
    </row>
    <row r="5646" ht="15.75" customHeight="1">
      <c r="A5646" s="122" t="str">
        <f>IFERROR(__xludf.DUMMYFUNCTION("""COMPUTED_VALUE"""),"0978 283 720")</f>
        <v>0978 283 720</v>
      </c>
      <c r="B5646" s="119" t="str">
        <f>IFERROR(__xludf.DUMMYFUNCTION("""COMPUTED_VALUE"""),"Chị Nguyễn Thị Ty")</f>
        <v>Chị Nguyễn Thị Ty</v>
      </c>
      <c r="C5646" s="119" t="str">
        <f>IFERROR(__xludf.DUMMYFUNCTION("""COMPUTED_VALUE"""),"Thuỷ Xuân")</f>
        <v>Thuỷ Xuân</v>
      </c>
      <c r="D5646" s="119" t="str">
        <f>IFERROR(__xludf.DUMMYFUNCTION("""COMPUTED_VALUE"""),"Chó")</f>
        <v>Chó</v>
      </c>
      <c r="E5646" s="119" t="str">
        <f>IFERROR(__xludf.DUMMYFUNCTION("""COMPUTED_VALUE"""),"Sữa")</f>
        <v>Sữa</v>
      </c>
    </row>
    <row r="5647" ht="15.75" customHeight="1">
      <c r="A5647" s="122" t="str">
        <f>IFERROR(__xludf.DUMMYFUNCTION("""COMPUTED_VALUE"""),"0838 882 552")</f>
        <v>0838 882 552</v>
      </c>
      <c r="B5647" s="119" t="str">
        <f>IFERROR(__xludf.DUMMYFUNCTION("""COMPUTED_VALUE"""),"Anh Hoà")</f>
        <v>Anh Hoà</v>
      </c>
      <c r="C5647" s="119" t="str">
        <f>IFERROR(__xludf.DUMMYFUNCTION("""COMPUTED_VALUE"""),"12 An Ninh")</f>
        <v>12 An Ninh</v>
      </c>
      <c r="D5647" s="119" t="str">
        <f>IFERROR(__xludf.DUMMYFUNCTION("""COMPUTED_VALUE"""),"Chó")</f>
        <v>Chó</v>
      </c>
      <c r="E5647" s="119" t="str">
        <f>IFERROR(__xludf.DUMMYFUNCTION("""COMPUTED_VALUE"""),"Đốm")</f>
        <v>Đốm</v>
      </c>
    </row>
    <row r="5648" ht="15.75" customHeight="1">
      <c r="A5648" s="122" t="str">
        <f>IFERROR(__xludf.DUMMYFUNCTION("""COMPUTED_VALUE"""),"0901 754 903")</f>
        <v>0901 754 903</v>
      </c>
      <c r="B5648" s="119" t="str">
        <f>IFERROR(__xludf.DUMMYFUNCTION("""COMPUTED_VALUE"""),"Em Như")</f>
        <v>Em Như</v>
      </c>
      <c r="C5648" s="119"/>
      <c r="D5648" s="119" t="str">
        <f>IFERROR(__xludf.DUMMYFUNCTION("""COMPUTED_VALUE"""),"Chó")</f>
        <v>Chó</v>
      </c>
      <c r="E5648" s="119" t="str">
        <f>IFERROR(__xludf.DUMMYFUNCTION("""COMPUTED_VALUE"""),"Moly")</f>
        <v>Moly</v>
      </c>
    </row>
    <row r="5649" ht="15.75" customHeight="1">
      <c r="A5649" s="122" t="str">
        <f>IFERROR(__xludf.DUMMYFUNCTION("""COMPUTED_VALUE"""),"0987 769 655")</f>
        <v>0987 769 655</v>
      </c>
      <c r="B5649" s="119" t="str">
        <f>IFERROR(__xludf.DUMMYFUNCTION("""COMPUTED_VALUE"""),"Bác Dũng")</f>
        <v>Bác Dũng</v>
      </c>
      <c r="C5649" s="119" t="str">
        <f>IFERROR(__xludf.DUMMYFUNCTION("""COMPUTED_VALUE"""),"12A/200 Lý Nam Đế")</f>
        <v>12A/200 Lý Nam Đế</v>
      </c>
      <c r="D5649" s="119" t="str">
        <f>IFERROR(__xludf.DUMMYFUNCTION("""COMPUTED_VALUE"""),"Chó")</f>
        <v>Chó</v>
      </c>
      <c r="E5649" s="119" t="str">
        <f>IFERROR(__xludf.DUMMYFUNCTION("""COMPUTED_VALUE"""),"Lucky")</f>
        <v>Lucky</v>
      </c>
    </row>
    <row r="5650" ht="15.75" customHeight="1">
      <c r="A5650" s="122" t="str">
        <f>IFERROR(__xludf.DUMMYFUNCTION("""COMPUTED_VALUE"""),"0935 418 193")</f>
        <v>0935 418 193</v>
      </c>
      <c r="B5650" s="119" t="str">
        <f>IFERROR(__xludf.DUMMYFUNCTION("""COMPUTED_VALUE"""),"ChỊ Thanh")</f>
        <v>ChỊ Thanh</v>
      </c>
      <c r="C5650" s="119" t="str">
        <f>IFERROR(__xludf.DUMMYFUNCTION("""COMPUTED_VALUE"""),"148 Phạm Thị Liên")</f>
        <v>148 Phạm Thị Liên</v>
      </c>
      <c r="D5650" s="119" t="str">
        <f>IFERROR(__xludf.DUMMYFUNCTION("""COMPUTED_VALUE"""),"mèo")</f>
        <v>mèo</v>
      </c>
      <c r="E5650" s="119" t="str">
        <f>IFERROR(__xludf.DUMMYFUNCTION("""COMPUTED_VALUE"""),"rôti")</f>
        <v>rôti</v>
      </c>
    </row>
    <row r="5651" ht="15.75" customHeight="1">
      <c r="A5651" s="122" t="str">
        <f>IFERROR(__xludf.DUMMYFUNCTION("""COMPUTED_VALUE"""),"0931 987 244")</f>
        <v>0931 987 244</v>
      </c>
      <c r="B5651" s="119" t="str">
        <f>IFERROR(__xludf.DUMMYFUNCTION("""COMPUTED_VALUE"""),"Hương")</f>
        <v>Hương</v>
      </c>
      <c r="C5651" s="119" t="str">
        <f>IFERROR(__xludf.DUMMYFUNCTION("""COMPUTED_VALUE"""),"Trạm bơm xã Thuỷ Vân")</f>
        <v>Trạm bơm xã Thuỷ Vân</v>
      </c>
      <c r="D5651" s="119" t="str">
        <f>IFERROR(__xludf.DUMMYFUNCTION("""COMPUTED_VALUE"""),"Mèo")</f>
        <v>Mèo</v>
      </c>
      <c r="E5651" s="119" t="str">
        <f>IFERROR(__xludf.DUMMYFUNCTION("""COMPUTED_VALUE"""),"Sam")</f>
        <v>Sam</v>
      </c>
    </row>
    <row r="5652" ht="15.75" customHeight="1">
      <c r="A5652" s="122" t="str">
        <f>IFERROR(__xludf.DUMMYFUNCTION("""COMPUTED_VALUE"""),"0854 197 604")</f>
        <v>0854 197 604</v>
      </c>
      <c r="B5652" s="119" t="str">
        <f>IFERROR(__xludf.DUMMYFUNCTION("""COMPUTED_VALUE"""),"Em Khánh Linh")</f>
        <v>Em Khánh Linh</v>
      </c>
      <c r="C5652" s="119" t="str">
        <f>IFERROR(__xludf.DUMMYFUNCTION("""COMPUTED_VALUE"""),"98/14 Nguyễn Phúc Nguyên")</f>
        <v>98/14 Nguyễn Phúc Nguyên</v>
      </c>
      <c r="D5652" s="119" t="str">
        <f>IFERROR(__xludf.DUMMYFUNCTION("""COMPUTED_VALUE"""),"Mèo")</f>
        <v>Mèo</v>
      </c>
      <c r="E5652" s="119" t="str">
        <f>IFERROR(__xludf.DUMMYFUNCTION("""COMPUTED_VALUE"""),"Dừa")</f>
        <v>Dừa</v>
      </c>
    </row>
    <row r="5653" ht="15.75" customHeight="1">
      <c r="A5653" s="122" t="str">
        <f>IFERROR(__xludf.DUMMYFUNCTION("""COMPUTED_VALUE"""),"0914 584 433")</f>
        <v>0914 584 433</v>
      </c>
      <c r="B5653" s="119" t="str">
        <f>IFERROR(__xludf.DUMMYFUNCTION("""COMPUTED_VALUE"""),"Em Việt ")</f>
        <v>Em Việt </v>
      </c>
      <c r="C5653" s="119" t="str">
        <f>IFERROR(__xludf.DUMMYFUNCTION("""COMPUTED_VALUE"""),"58 Phú Mộng")</f>
        <v>58 Phú Mộng</v>
      </c>
      <c r="D5653" s="119" t="str">
        <f>IFERROR(__xludf.DUMMYFUNCTION("""COMPUTED_VALUE"""),"Chó")</f>
        <v>Chó</v>
      </c>
      <c r="E5653" s="119"/>
    </row>
    <row r="5654" ht="15.75" customHeight="1">
      <c r="A5654" s="122" t="str">
        <f>IFERROR(__xludf.DUMMYFUNCTION("""COMPUTED_VALUE"""),"0378 801 789")</f>
        <v>0378 801 789</v>
      </c>
      <c r="B5654" s="119" t="str">
        <f>IFERROR(__xludf.DUMMYFUNCTION("""COMPUTED_VALUE"""),"Chú Mừng")</f>
        <v>Chú Mừng</v>
      </c>
      <c r="C5654" s="119" t="str">
        <f>IFERROR(__xludf.DUMMYFUNCTION("""COMPUTED_VALUE"""),"15 Phạm Tu")</f>
        <v>15 Phạm Tu</v>
      </c>
      <c r="D5654" s="119" t="str">
        <f>IFERROR(__xludf.DUMMYFUNCTION("""COMPUTED_VALUE"""),"Chó")</f>
        <v>Chó</v>
      </c>
      <c r="E5654" s="119"/>
    </row>
    <row r="5655" ht="15.75" customHeight="1">
      <c r="A5655" s="122" t="str">
        <f>IFERROR(__xludf.DUMMYFUNCTION("""COMPUTED_VALUE"""),"0934 842 543")</f>
        <v>0934 842 543</v>
      </c>
      <c r="B5655" s="119" t="str">
        <f>IFERROR(__xludf.DUMMYFUNCTION("""COMPUTED_VALUE"""),"Chị Phương")</f>
        <v>Chị Phương</v>
      </c>
      <c r="C5655" s="119" t="str">
        <f>IFERROR(__xludf.DUMMYFUNCTION("""COMPUTED_VALUE"""),"8 An Ninh")</f>
        <v>8 An Ninh</v>
      </c>
      <c r="D5655" s="119" t="str">
        <f>IFERROR(__xludf.DUMMYFUNCTION("""COMPUTED_VALUE"""),"Chó")</f>
        <v>Chó</v>
      </c>
      <c r="E5655" s="119" t="str">
        <f>IFERROR(__xludf.DUMMYFUNCTION("""COMPUTED_VALUE"""),"Nâu")</f>
        <v>Nâu</v>
      </c>
    </row>
    <row r="5656" ht="15.75" customHeight="1">
      <c r="A5656" s="122" t="str">
        <f>IFERROR(__xludf.DUMMYFUNCTION("""COMPUTED_VALUE"""),"0337 394 166")</f>
        <v>0337 394 166</v>
      </c>
      <c r="B5656" s="119" t="str">
        <f>IFERROR(__xludf.DUMMYFUNCTION("""COMPUTED_VALUE"""),"Lê Son")</f>
        <v>Lê Son</v>
      </c>
      <c r="C5656" s="119" t="str">
        <f>IFERROR(__xludf.DUMMYFUNCTION("""COMPUTED_VALUE"""),"148 Nguyễn Phúc Nguyên")</f>
        <v>148 Nguyễn Phúc Nguyên</v>
      </c>
      <c r="D5656" s="119" t="str">
        <f>IFERROR(__xludf.DUMMYFUNCTION("""COMPUTED_VALUE"""),"Mèo")</f>
        <v>Mèo</v>
      </c>
      <c r="E5656" s="119" t="str">
        <f>IFERROR(__xludf.DUMMYFUNCTION("""COMPUTED_VALUE"""),"Méo")</f>
        <v>Méo</v>
      </c>
    </row>
    <row r="5657" ht="15.75" customHeight="1">
      <c r="A5657" s="122" t="str">
        <f>IFERROR(__xludf.DUMMYFUNCTION("""COMPUTED_VALUE"""),"0369 464 169")</f>
        <v>0369 464 169</v>
      </c>
      <c r="B5657" s="119" t="str">
        <f>IFERROR(__xludf.DUMMYFUNCTION("""COMPUTED_VALUE"""),"CHị Huyền")</f>
        <v>CHị Huyền</v>
      </c>
      <c r="C5657" s="119" t="str">
        <f>IFERROR(__xludf.DUMMYFUNCTION("""COMPUTED_VALUE"""),"Quảng Điền")</f>
        <v>Quảng Điền</v>
      </c>
      <c r="D5657" s="119" t="str">
        <f>IFERROR(__xludf.DUMMYFUNCTION("""COMPUTED_VALUE"""),"Mèo")</f>
        <v>Mèo</v>
      </c>
      <c r="E5657" s="119" t="str">
        <f>IFERROR(__xludf.DUMMYFUNCTION("""COMPUTED_VALUE"""),"Tra")</f>
        <v>Tra</v>
      </c>
    </row>
    <row r="5658" ht="15.75" customHeight="1">
      <c r="A5658" s="122" t="str">
        <f>IFERROR(__xludf.DUMMYFUNCTION("""COMPUTED_VALUE"""),"0768 987 464")</f>
        <v>0768 987 464</v>
      </c>
      <c r="B5658" s="119" t="str">
        <f>IFERROR(__xludf.DUMMYFUNCTION("""COMPUTED_VALUE"""),"Bác Quang")</f>
        <v>Bác Quang</v>
      </c>
      <c r="C5658" s="119" t="str">
        <f>IFERROR(__xludf.DUMMYFUNCTION("""COMPUTED_VALUE"""),"22/3 Phú Mộng")</f>
        <v>22/3 Phú Mộng</v>
      </c>
      <c r="D5658" s="119" t="str">
        <f>IFERROR(__xludf.DUMMYFUNCTION("""COMPUTED_VALUE"""),"Chó")</f>
        <v>Chó</v>
      </c>
      <c r="E5658" s="119" t="str">
        <f>IFERROR(__xludf.DUMMYFUNCTION("""COMPUTED_VALUE"""),"Mập")</f>
        <v>Mập</v>
      </c>
    </row>
    <row r="5659" ht="15.75" customHeight="1">
      <c r="A5659" s="122" t="str">
        <f>IFERROR(__xludf.DUMMYFUNCTION("""COMPUTED_VALUE"""),"0935 507 389")</f>
        <v>0935 507 389</v>
      </c>
      <c r="B5659" s="119" t="str">
        <f>IFERROR(__xludf.DUMMYFUNCTION("""COMPUTED_VALUE"""),"Chị Uyên")</f>
        <v>Chị Uyên</v>
      </c>
      <c r="C5659" s="119" t="str">
        <f>IFERROR(__xludf.DUMMYFUNCTION("""COMPUTED_VALUE"""),"206 Văn Thánh")</f>
        <v>206 Văn Thánh</v>
      </c>
      <c r="D5659" s="119" t="str">
        <f>IFERROR(__xludf.DUMMYFUNCTION("""COMPUTED_VALUE"""),"Chó")</f>
        <v>Chó</v>
      </c>
      <c r="E5659" s="119" t="str">
        <f>IFERROR(__xludf.DUMMYFUNCTION("""COMPUTED_VALUE"""),"Rốt")</f>
        <v>Rốt</v>
      </c>
    </row>
    <row r="5660" ht="15.75" customHeight="1">
      <c r="A5660" s="122" t="str">
        <f>IFERROR(__xludf.DUMMYFUNCTION("""COMPUTED_VALUE"""),"0827 775 831")</f>
        <v>0827 775 831</v>
      </c>
      <c r="B5660" s="119" t="str">
        <f>IFERROR(__xludf.DUMMYFUNCTION("""COMPUTED_VALUE"""),"Anh Hưng")</f>
        <v>Anh Hưng</v>
      </c>
      <c r="C5660" s="119" t="str">
        <f>IFERROR(__xludf.DUMMYFUNCTION("""COMPUTED_VALUE"""),"tổ 9 Thuỷ Xuân")</f>
        <v>tổ 9 Thuỷ Xuân</v>
      </c>
      <c r="D5660" s="119" t="str">
        <f>IFERROR(__xludf.DUMMYFUNCTION("""COMPUTED_VALUE"""),"Chó")</f>
        <v>Chó</v>
      </c>
      <c r="E5660" s="119"/>
    </row>
    <row r="5661" ht="15.75" customHeight="1">
      <c r="A5661" s="122" t="str">
        <f>IFERROR(__xludf.DUMMYFUNCTION("""COMPUTED_VALUE"""),"0794 673 637")</f>
        <v>0794 673 637</v>
      </c>
      <c r="B5661" s="119" t="str">
        <f>IFERROR(__xludf.DUMMYFUNCTION("""COMPUTED_VALUE"""),"Anh Minh")</f>
        <v>Anh Minh</v>
      </c>
      <c r="C5661" s="119"/>
      <c r="D5661" s="119" t="str">
        <f>IFERROR(__xludf.DUMMYFUNCTION("""COMPUTED_VALUE"""),"Mèo")</f>
        <v>Mèo</v>
      </c>
      <c r="E5661" s="119" t="str">
        <f>IFERROR(__xludf.DUMMYFUNCTION("""COMPUTED_VALUE"""),"Thỏ")</f>
        <v>Thỏ</v>
      </c>
    </row>
    <row r="5662" ht="15.75" customHeight="1">
      <c r="A5662" s="122" t="str">
        <f>IFERROR(__xludf.DUMMYFUNCTION("""COMPUTED_VALUE"""),"0905 822 460")</f>
        <v>0905 822 460</v>
      </c>
      <c r="B5662" s="119" t="str">
        <f>IFERROR(__xludf.DUMMYFUNCTION("""COMPUTED_VALUE"""),"ANh Quốc")</f>
        <v>ANh Quốc</v>
      </c>
      <c r="C5662" s="119" t="str">
        <f>IFERROR(__xludf.DUMMYFUNCTION("""COMPUTED_VALUE"""),"Lý Nam Đế")</f>
        <v>Lý Nam Đế</v>
      </c>
      <c r="D5662" s="119" t="str">
        <f>IFERROR(__xludf.DUMMYFUNCTION("""COMPUTED_VALUE"""),"Chó")</f>
        <v>Chó</v>
      </c>
      <c r="E5662" s="119" t="str">
        <f>IFERROR(__xludf.DUMMYFUNCTION("""COMPUTED_VALUE"""),"vàng")</f>
        <v>vàng</v>
      </c>
    </row>
    <row r="5663" ht="15.75" customHeight="1">
      <c r="A5663" s="122" t="str">
        <f>IFERROR(__xludf.DUMMYFUNCTION("""COMPUTED_VALUE"""),"0969 512 739")</f>
        <v>0969 512 739</v>
      </c>
      <c r="B5663" s="119" t="str">
        <f>IFERROR(__xludf.DUMMYFUNCTION("""COMPUTED_VALUE"""),"Anh Thái")</f>
        <v>Anh Thái</v>
      </c>
      <c r="C5663" s="119" t="str">
        <f>IFERROR(__xludf.DUMMYFUNCTION("""COMPUTED_VALUE"""),"Phú Đa- Phú Vang")</f>
        <v>Phú Đa- Phú Vang</v>
      </c>
      <c r="D5663" s="119" t="str">
        <f>IFERROR(__xludf.DUMMYFUNCTION("""COMPUTED_VALUE"""),"Chó")</f>
        <v>Chó</v>
      </c>
      <c r="E5663" s="119" t="str">
        <f>IFERROR(__xludf.DUMMYFUNCTION("""COMPUTED_VALUE"""),"Bun")</f>
        <v>Bun</v>
      </c>
    </row>
    <row r="5664" ht="15.75" customHeight="1">
      <c r="A5664" s="122" t="str">
        <f>IFERROR(__xludf.DUMMYFUNCTION("""COMPUTED_VALUE"""),"0903 502 511")</f>
        <v>0903 502 511</v>
      </c>
      <c r="B5664" s="119" t="str">
        <f>IFERROR(__xludf.DUMMYFUNCTION("""COMPUTED_VALUE"""),"Dì Hương")</f>
        <v>Dì Hương</v>
      </c>
      <c r="C5664" s="119" t="str">
        <f>IFERROR(__xludf.DUMMYFUNCTION("""COMPUTED_VALUE"""),"18 Đặng Thái Thân")</f>
        <v>18 Đặng Thái Thân</v>
      </c>
      <c r="D5664" s="119" t="str">
        <f>IFERROR(__xludf.DUMMYFUNCTION("""COMPUTED_VALUE"""),"Chó")</f>
        <v>Chó</v>
      </c>
      <c r="E5664" s="119" t="str">
        <f>IFERROR(__xludf.DUMMYFUNCTION("""COMPUTED_VALUE"""),"Bông")</f>
        <v>Bông</v>
      </c>
    </row>
    <row r="5665" ht="15.75" customHeight="1">
      <c r="A5665" s="122" t="str">
        <f>IFERROR(__xludf.DUMMYFUNCTION("""COMPUTED_VALUE"""),"0384 214 024")</f>
        <v>0384 214 024</v>
      </c>
      <c r="B5665" s="119" t="str">
        <f>IFERROR(__xludf.DUMMYFUNCTION("""COMPUTED_VALUE"""),"Chị Uyên")</f>
        <v>Chị Uyên</v>
      </c>
      <c r="C5665" s="119" t="str">
        <f>IFERROR(__xludf.DUMMYFUNCTION("""COMPUTED_VALUE"""),"6/254 Bùi Thị Xuân")</f>
        <v>6/254 Bùi Thị Xuân</v>
      </c>
      <c r="D5665" s="119" t="str">
        <f>IFERROR(__xludf.DUMMYFUNCTION("""COMPUTED_VALUE"""),"Chó")</f>
        <v>Chó</v>
      </c>
      <c r="E5665" s="119"/>
    </row>
    <row r="5666" ht="15.75" customHeight="1">
      <c r="A5666" s="122" t="str">
        <f>IFERROR(__xludf.DUMMYFUNCTION("""COMPUTED_VALUE"""),"0886 887 090")</f>
        <v>0886 887 090</v>
      </c>
      <c r="B5666" s="119" t="str">
        <f>IFERROR(__xludf.DUMMYFUNCTION("""COMPUTED_VALUE"""),"Chị Trang")</f>
        <v>Chị Trang</v>
      </c>
      <c r="C5666" s="119" t="str">
        <f>IFERROR(__xludf.DUMMYFUNCTION("""COMPUTED_VALUE"""),"62 Nguyễn Hoàng")</f>
        <v>62 Nguyễn Hoàng</v>
      </c>
      <c r="D5666" s="119" t="str">
        <f>IFERROR(__xludf.DUMMYFUNCTION("""COMPUTED_VALUE"""),"Mèo")</f>
        <v>Mèo</v>
      </c>
      <c r="E5666" s="119" t="str">
        <f>IFERROR(__xludf.DUMMYFUNCTION("""COMPUTED_VALUE"""),"Bơ")</f>
        <v>Bơ</v>
      </c>
    </row>
    <row r="5667" ht="15.75" customHeight="1">
      <c r="A5667" s="122" t="str">
        <f>IFERROR(__xludf.DUMMYFUNCTION("""COMPUTED_VALUE"""),"0989 101 118")</f>
        <v>0989 101 118</v>
      </c>
      <c r="B5667" s="119" t="str">
        <f>IFERROR(__xludf.DUMMYFUNCTION("""COMPUTED_VALUE"""),"Anh Dũng")</f>
        <v>Anh Dũng</v>
      </c>
      <c r="C5667" s="119" t="str">
        <f>IFERROR(__xludf.DUMMYFUNCTION("""COMPUTED_VALUE"""),"Phú Lộc")</f>
        <v>Phú Lộc</v>
      </c>
      <c r="D5667" s="119" t="str">
        <f>IFERROR(__xludf.DUMMYFUNCTION("""COMPUTED_VALUE"""),"Chó")</f>
        <v>Chó</v>
      </c>
      <c r="E5667" s="119" t="str">
        <f>IFERROR(__xludf.DUMMYFUNCTION("""COMPUTED_VALUE"""),"Tom")</f>
        <v>Tom</v>
      </c>
    </row>
    <row r="5668" ht="15.75" customHeight="1">
      <c r="A5668" s="122" t="str">
        <f>IFERROR(__xludf.DUMMYFUNCTION("""COMPUTED_VALUE"""),"0787 677 960")</f>
        <v>0787 677 960</v>
      </c>
      <c r="B5668" s="119" t="str">
        <f>IFERROR(__xludf.DUMMYFUNCTION("""COMPUTED_VALUE"""),"Em Nguyên")</f>
        <v>Em Nguyên</v>
      </c>
      <c r="C5668" s="119" t="str">
        <f>IFERROR(__xludf.DUMMYFUNCTION("""COMPUTED_VALUE"""),"47 Hoà Mỹ")</f>
        <v>47 Hoà Mỹ</v>
      </c>
      <c r="D5668" s="119" t="str">
        <f>IFERROR(__xludf.DUMMYFUNCTION("""COMPUTED_VALUE"""),"chó")</f>
        <v>chó</v>
      </c>
      <c r="E5668" s="119" t="str">
        <f>IFERROR(__xludf.DUMMYFUNCTION("""COMPUTED_VALUE"""),"Nâu")</f>
        <v>Nâu</v>
      </c>
    </row>
    <row r="5669" ht="15.75" customHeight="1">
      <c r="A5669" s="122" t="str">
        <f>IFERROR(__xludf.DUMMYFUNCTION("""COMPUTED_VALUE"""),"0901 128 983")</f>
        <v>0901 128 983</v>
      </c>
      <c r="B5669" s="119" t="str">
        <f>IFERROR(__xludf.DUMMYFUNCTION("""COMPUTED_VALUE"""),"Chị Nhi")</f>
        <v>Chị Nhi</v>
      </c>
      <c r="C5669" s="119" t="str">
        <f>IFERROR(__xludf.DUMMYFUNCTION("""COMPUTED_VALUE"""),"76 Thanh Hải")</f>
        <v>76 Thanh Hải</v>
      </c>
      <c r="D5669" s="119" t="str">
        <f>IFERROR(__xludf.DUMMYFUNCTION("""COMPUTED_VALUE"""),"Thỏ")</f>
        <v>Thỏ</v>
      </c>
      <c r="E5669" s="119" t="str">
        <f>IFERROR(__xludf.DUMMYFUNCTION("""COMPUTED_VALUE"""),"Mèo")</f>
        <v>Mèo</v>
      </c>
    </row>
    <row r="5670" ht="15.75" customHeight="1">
      <c r="A5670" s="122" t="str">
        <f>IFERROR(__xludf.DUMMYFUNCTION("""COMPUTED_VALUE"""),"0329 289 089")</f>
        <v>0329 289 089</v>
      </c>
      <c r="B5670" s="119" t="str">
        <f>IFERROR(__xludf.DUMMYFUNCTION("""COMPUTED_VALUE"""),"Chi Ny")</f>
        <v>Chi Ny</v>
      </c>
      <c r="C5670" s="119" t="str">
        <f>IFERROR(__xludf.DUMMYFUNCTION("""COMPUTED_VALUE"""),"Tứ Hạ")</f>
        <v>Tứ Hạ</v>
      </c>
      <c r="D5670" s="119" t="str">
        <f>IFERROR(__xludf.DUMMYFUNCTION("""COMPUTED_VALUE"""),"Mèo")</f>
        <v>Mèo</v>
      </c>
      <c r="E5670" s="119"/>
    </row>
    <row r="5671" ht="15.75" customHeight="1">
      <c r="A5671" s="122" t="str">
        <f>IFERROR(__xludf.DUMMYFUNCTION("""COMPUTED_VALUE"""),"0363 738 930")</f>
        <v>0363 738 930</v>
      </c>
      <c r="B5671" s="119" t="str">
        <f>IFERROR(__xludf.DUMMYFUNCTION("""COMPUTED_VALUE"""),"Anh cường")</f>
        <v>Anh cường</v>
      </c>
      <c r="C5671" s="119" t="str">
        <f>IFERROR(__xludf.DUMMYFUNCTION("""COMPUTED_VALUE"""),"Quảng Điền")</f>
        <v>Quảng Điền</v>
      </c>
      <c r="D5671" s="119" t="str">
        <f>IFERROR(__xludf.DUMMYFUNCTION("""COMPUTED_VALUE"""),"Chó")</f>
        <v>Chó</v>
      </c>
      <c r="E5671" s="119" t="str">
        <f>IFERROR(__xludf.DUMMYFUNCTION("""COMPUTED_VALUE"""),"Bắp")</f>
        <v>Bắp</v>
      </c>
    </row>
    <row r="5672" ht="15.75" customHeight="1">
      <c r="A5672" s="122" t="str">
        <f>IFERROR(__xludf.DUMMYFUNCTION("""COMPUTED_VALUE"""),"0397 808 611")</f>
        <v>0397 808 611</v>
      </c>
      <c r="B5672" s="119" t="str">
        <f>IFERROR(__xludf.DUMMYFUNCTION("""COMPUTED_VALUE"""),"Chị Trinh")</f>
        <v>Chị Trinh</v>
      </c>
      <c r="C5672" s="119" t="str">
        <f>IFERROR(__xludf.DUMMYFUNCTION("""COMPUTED_VALUE"""),"Quảng Thanh Quảng Điền")</f>
        <v>Quảng Thanh Quảng Điền</v>
      </c>
      <c r="D5672" s="119" t="str">
        <f>IFERROR(__xludf.DUMMYFUNCTION("""COMPUTED_VALUE"""),"Chó")</f>
        <v>Chó</v>
      </c>
      <c r="E5672" s="119" t="str">
        <f>IFERROR(__xludf.DUMMYFUNCTION("""COMPUTED_VALUE"""),"Vàng")</f>
        <v>Vàng</v>
      </c>
    </row>
    <row r="5673" ht="15.75" customHeight="1">
      <c r="A5673" s="122" t="str">
        <f>IFERROR(__xludf.DUMMYFUNCTION("""COMPUTED_VALUE"""),"0383 158 111")</f>
        <v>0383 158 111</v>
      </c>
      <c r="B5673" s="119" t="str">
        <f>IFERROR(__xludf.DUMMYFUNCTION("""COMPUTED_VALUE"""),"Vĩnh Chánh")</f>
        <v>Vĩnh Chánh</v>
      </c>
      <c r="C5673" s="119" t="str">
        <f>IFERROR(__xludf.DUMMYFUNCTION("""COMPUTED_VALUE"""),"Hương Thuỷ")</f>
        <v>Hương Thuỷ</v>
      </c>
      <c r="D5673" s="119" t="str">
        <f>IFERROR(__xludf.DUMMYFUNCTION("""COMPUTED_VALUE"""),"Chó")</f>
        <v>Chó</v>
      </c>
      <c r="E5673" s="119" t="str">
        <f>IFERROR(__xludf.DUMMYFUNCTION("""COMPUTED_VALUE"""),"Bo")</f>
        <v>Bo</v>
      </c>
    </row>
    <row r="5674" ht="15.75" customHeight="1">
      <c r="A5674" s="122" t="str">
        <f>IFERROR(__xludf.DUMMYFUNCTION("""COMPUTED_VALUE"""),"0705 052 905")</f>
        <v>0705 052 905</v>
      </c>
      <c r="B5674" s="119" t="str">
        <f>IFERROR(__xludf.DUMMYFUNCTION("""COMPUTED_VALUE"""),"Em Đạt")</f>
        <v>Em Đạt</v>
      </c>
      <c r="C5674" s="119" t="str">
        <f>IFERROR(__xludf.DUMMYFUNCTION("""COMPUTED_VALUE"""),"242 Lý Nam Đế")</f>
        <v>242 Lý Nam Đế</v>
      </c>
      <c r="D5674" s="119" t="str">
        <f>IFERROR(__xludf.DUMMYFUNCTION("""COMPUTED_VALUE"""),"Chó")</f>
        <v>Chó</v>
      </c>
      <c r="E5674" s="119"/>
    </row>
    <row r="5675" ht="15.75" customHeight="1">
      <c r="A5675" s="122" t="str">
        <f>IFERROR(__xludf.DUMMYFUNCTION("""COMPUTED_VALUE"""),"0935 160 077")</f>
        <v>0935 160 077</v>
      </c>
      <c r="B5675" s="119" t="str">
        <f>IFERROR(__xludf.DUMMYFUNCTION("""COMPUTED_VALUE"""),"Anh Phê")</f>
        <v>Anh Phê</v>
      </c>
      <c r="C5675" s="119" t="str">
        <f>IFERROR(__xludf.DUMMYFUNCTION("""COMPUTED_VALUE"""),"14e2 đường 2 Phú mỹ An")</f>
        <v>14e2 đường 2 Phú mỹ An</v>
      </c>
      <c r="D5675" s="119" t="str">
        <f>IFERROR(__xludf.DUMMYFUNCTION("""COMPUTED_VALUE"""),"Chó")</f>
        <v>Chó</v>
      </c>
      <c r="E5675" s="119" t="str">
        <f>IFERROR(__xludf.DUMMYFUNCTION("""COMPUTED_VALUE"""),"Ki")</f>
        <v>Ki</v>
      </c>
    </row>
    <row r="5676" ht="15.75" customHeight="1">
      <c r="A5676" s="122" t="str">
        <f>IFERROR(__xludf.DUMMYFUNCTION("""COMPUTED_VALUE"""),"0932 522 639")</f>
        <v>0932 522 639</v>
      </c>
      <c r="B5676" s="119" t="str">
        <f>IFERROR(__xludf.DUMMYFUNCTION("""COMPUTED_VALUE"""),"Anh Trần Văn Phước")</f>
        <v>Anh Trần Văn Phước</v>
      </c>
      <c r="C5676" s="119" t="str">
        <f>IFERROR(__xludf.DUMMYFUNCTION("""COMPUTED_VALUE"""),"479 Quốc lộ 49 B")</f>
        <v>479 Quốc lộ 49 B</v>
      </c>
      <c r="D5676" s="119" t="str">
        <f>IFERROR(__xludf.DUMMYFUNCTION("""COMPUTED_VALUE"""),"Chó")</f>
        <v>Chó</v>
      </c>
      <c r="E5676" s="119"/>
    </row>
    <row r="5677" ht="15.75" customHeight="1">
      <c r="A5677" s="122" t="str">
        <f>IFERROR(__xludf.DUMMYFUNCTION("""COMPUTED_VALUE"""),"0813 201 111")</f>
        <v>0813 201 111</v>
      </c>
      <c r="B5677" s="119" t="str">
        <f>IFERROR(__xludf.DUMMYFUNCTION("""COMPUTED_VALUE"""),"Chị Tiên")</f>
        <v>Chị Tiên</v>
      </c>
      <c r="C5677" s="119" t="str">
        <f>IFERROR(__xludf.DUMMYFUNCTION("""COMPUTED_VALUE"""),"23/5 Quảng Tế")</f>
        <v>23/5 Quảng Tế</v>
      </c>
      <c r="D5677" s="119" t="str">
        <f>IFERROR(__xludf.DUMMYFUNCTION("""COMPUTED_VALUE"""),"Chó")</f>
        <v>Chó</v>
      </c>
      <c r="E5677" s="119" t="str">
        <f>IFERROR(__xludf.DUMMYFUNCTION("""COMPUTED_VALUE"""),"Socola")</f>
        <v>Socola</v>
      </c>
    </row>
    <row r="5678" ht="15.75" customHeight="1">
      <c r="A5678" s="122" t="str">
        <f>IFERROR(__xludf.DUMMYFUNCTION("""COMPUTED_VALUE"""),"0935 343 429")</f>
        <v>0935 343 429</v>
      </c>
      <c r="B5678" s="119" t="str">
        <f>IFERROR(__xludf.DUMMYFUNCTION("""COMPUTED_VALUE"""),"Anh tân")</f>
        <v>Anh tân</v>
      </c>
      <c r="C5678" s="119" t="str">
        <f>IFERROR(__xludf.DUMMYFUNCTION("""COMPUTED_VALUE"""),"26/1 Phạm Tu")</f>
        <v>26/1 Phạm Tu</v>
      </c>
      <c r="D5678" s="119" t="str">
        <f>IFERROR(__xludf.DUMMYFUNCTION("""COMPUTED_VALUE"""),"Chó")</f>
        <v>Chó</v>
      </c>
      <c r="E5678" s="119" t="str">
        <f>IFERROR(__xludf.DUMMYFUNCTION("""COMPUTED_VALUE"""),"Boy")</f>
        <v>Boy</v>
      </c>
    </row>
    <row r="5679" ht="15.75" customHeight="1">
      <c r="A5679" s="122" t="str">
        <f>IFERROR(__xludf.DUMMYFUNCTION("""COMPUTED_VALUE"""),"0934 848 228")</f>
        <v>0934 848 228</v>
      </c>
      <c r="B5679" s="119" t="str">
        <f>IFERROR(__xludf.DUMMYFUNCTION("""COMPUTED_VALUE"""),"Chị Ái")</f>
        <v>Chị Ái</v>
      </c>
      <c r="C5679" s="119" t="str">
        <f>IFERROR(__xludf.DUMMYFUNCTION("""COMPUTED_VALUE"""),"11/52 Kim Long")</f>
        <v>11/52 Kim Long</v>
      </c>
      <c r="D5679" s="119" t="str">
        <f>IFERROR(__xludf.DUMMYFUNCTION("""COMPUTED_VALUE"""),"Mèo")</f>
        <v>Mèo</v>
      </c>
      <c r="E5679" s="119" t="str">
        <f>IFERROR(__xludf.DUMMYFUNCTION("""COMPUTED_VALUE"""),"Cafe")</f>
        <v>Cafe</v>
      </c>
    </row>
    <row r="5680" ht="15.75" customHeight="1">
      <c r="A5680" s="122" t="str">
        <f>IFERROR(__xludf.DUMMYFUNCTION("""COMPUTED_VALUE"""),"0964 080 753")</f>
        <v>0964 080 753</v>
      </c>
      <c r="B5680" s="119" t="str">
        <f>IFERROR(__xludf.DUMMYFUNCTION("""COMPUTED_VALUE"""),"Chị Thảo")</f>
        <v>Chị Thảo</v>
      </c>
      <c r="C5680" s="119" t="str">
        <f>IFERROR(__xludf.DUMMYFUNCTION("""COMPUTED_VALUE"""),"6 Nguyễn Phúc Chu")</f>
        <v>6 Nguyễn Phúc Chu</v>
      </c>
      <c r="D5680" s="119" t="str">
        <f>IFERROR(__xludf.DUMMYFUNCTION("""COMPUTED_VALUE"""),"Chó")</f>
        <v>Chó</v>
      </c>
      <c r="E5680" s="119" t="str">
        <f>IFERROR(__xludf.DUMMYFUNCTION("""COMPUTED_VALUE"""),"Phóc")</f>
        <v>Phóc</v>
      </c>
    </row>
    <row r="5681" ht="15.75" customHeight="1">
      <c r="A5681" s="122" t="str">
        <f>IFERROR(__xludf.DUMMYFUNCTION("""COMPUTED_VALUE"""),"0969 493 731")</f>
        <v>0969 493 731</v>
      </c>
      <c r="B5681" s="119" t="str">
        <f>IFERROR(__xludf.DUMMYFUNCTION("""COMPUTED_VALUE"""),"Em Quỳnh Dương")</f>
        <v>Em Quỳnh Dương</v>
      </c>
      <c r="C5681" s="119" t="str">
        <f>IFERROR(__xludf.DUMMYFUNCTION("""COMPUTED_VALUE"""),"Hương Thuỷ")</f>
        <v>Hương Thuỷ</v>
      </c>
      <c r="D5681" s="119" t="str">
        <f>IFERROR(__xludf.DUMMYFUNCTION("""COMPUTED_VALUE"""),"Mèo")</f>
        <v>Mèo</v>
      </c>
      <c r="E5681" s="119" t="str">
        <f>IFERROR(__xludf.DUMMYFUNCTION("""COMPUTED_VALUE"""),"Bông")</f>
        <v>Bông</v>
      </c>
    </row>
    <row r="5682" ht="15.75" customHeight="1">
      <c r="A5682" s="122" t="str">
        <f>IFERROR(__xludf.DUMMYFUNCTION("""COMPUTED_VALUE"""),"0905 039 458")</f>
        <v>0905 039 458</v>
      </c>
      <c r="B5682" s="119" t="str">
        <f>IFERROR(__xludf.DUMMYFUNCTION("""COMPUTED_VALUE"""),"Anh Bình")</f>
        <v>Anh Bình</v>
      </c>
      <c r="C5682" s="119" t="str">
        <f>IFERROR(__xludf.DUMMYFUNCTION("""COMPUTED_VALUE"""),"20/34 An Ninh")</f>
        <v>20/34 An Ninh</v>
      </c>
      <c r="D5682" s="119" t="str">
        <f>IFERROR(__xludf.DUMMYFUNCTION("""COMPUTED_VALUE"""),"Chó")</f>
        <v>Chó</v>
      </c>
      <c r="E5682" s="119" t="str">
        <f>IFERROR(__xludf.DUMMYFUNCTION("""COMPUTED_VALUE"""),"Trắng")</f>
        <v>Trắng</v>
      </c>
    </row>
    <row r="5683" ht="15.75" customHeight="1">
      <c r="A5683" s="122" t="str">
        <f>IFERROR(__xludf.DUMMYFUNCTION("""COMPUTED_VALUE"""),"0949 553 382")</f>
        <v>0949 553 382</v>
      </c>
      <c r="B5683" s="119" t="str">
        <f>IFERROR(__xludf.DUMMYFUNCTION("""COMPUTED_VALUE"""),"Chị Quỳnh")</f>
        <v>Chị Quỳnh</v>
      </c>
      <c r="C5683" s="119" t="str">
        <f>IFERROR(__xludf.DUMMYFUNCTION("""COMPUTED_VALUE"""),"29/135 Đặng Văn Ngữ")</f>
        <v>29/135 Đặng Văn Ngữ</v>
      </c>
      <c r="D5683" s="119" t="str">
        <f>IFERROR(__xludf.DUMMYFUNCTION("""COMPUTED_VALUE"""),"Mèo")</f>
        <v>Mèo</v>
      </c>
      <c r="E5683" s="119" t="str">
        <f>IFERROR(__xludf.DUMMYFUNCTION("""COMPUTED_VALUE"""),"Măng")</f>
        <v>Măng</v>
      </c>
    </row>
    <row r="5684" ht="15.75" customHeight="1">
      <c r="A5684" s="122" t="str">
        <f>IFERROR(__xludf.DUMMYFUNCTION("""COMPUTED_VALUE"""),"0914 002 202")</f>
        <v>0914 002 202</v>
      </c>
      <c r="B5684" s="119" t="str">
        <f>IFERROR(__xludf.DUMMYFUNCTION("""COMPUTED_VALUE"""),"Anh Hưng")</f>
        <v>Anh Hưng</v>
      </c>
      <c r="C5684" s="119" t="str">
        <f>IFERROR(__xludf.DUMMYFUNCTION("""COMPUTED_VALUE"""),"Nguyễn Phúc Chu")</f>
        <v>Nguyễn Phúc Chu</v>
      </c>
      <c r="D5684" s="119" t="str">
        <f>IFERROR(__xludf.DUMMYFUNCTION("""COMPUTED_VALUE"""),"Chó")</f>
        <v>Chó</v>
      </c>
      <c r="E5684" s="119"/>
    </row>
    <row r="5685" ht="15.75" customHeight="1">
      <c r="A5685" s="122" t="str">
        <f>IFERROR(__xludf.DUMMYFUNCTION("""COMPUTED_VALUE"""),"0905 842 008")</f>
        <v>0905 842 008</v>
      </c>
      <c r="B5685" s="119" t="str">
        <f>IFERROR(__xludf.DUMMYFUNCTION("""COMPUTED_VALUE"""),"Em Nam")</f>
        <v>Em Nam</v>
      </c>
      <c r="C5685" s="119" t="str">
        <f>IFERROR(__xludf.DUMMYFUNCTION("""COMPUTED_VALUE"""),"36 Nguyễn Phcus Nguyên")</f>
        <v>36 Nguyễn Phcus Nguyên</v>
      </c>
      <c r="D5685" s="119" t="str">
        <f>IFERROR(__xludf.DUMMYFUNCTION("""COMPUTED_VALUE"""),"Mèo")</f>
        <v>Mèo</v>
      </c>
      <c r="E5685" s="119"/>
    </row>
    <row r="5686" ht="15.75" customHeight="1">
      <c r="A5686" s="122" t="str">
        <f>IFERROR(__xludf.DUMMYFUNCTION("""COMPUTED_VALUE"""),"0905 441 977")</f>
        <v>0905 441 977</v>
      </c>
      <c r="B5686" s="119" t="str">
        <f>IFERROR(__xludf.DUMMYFUNCTION("""COMPUTED_VALUE"""),"Chú Hoà")</f>
        <v>Chú Hoà</v>
      </c>
      <c r="C5686" s="119" t="str">
        <f>IFERROR(__xludf.DUMMYFUNCTION("""COMPUTED_VALUE"""),"62 Tố Hữu")</f>
        <v>62 Tố Hữu</v>
      </c>
      <c r="D5686" s="119" t="str">
        <f>IFERROR(__xludf.DUMMYFUNCTION("""COMPUTED_VALUE"""),"Chó")</f>
        <v>Chó</v>
      </c>
      <c r="E5686" s="119" t="str">
        <f>IFERROR(__xludf.DUMMYFUNCTION("""COMPUTED_VALUE"""),"Bom")</f>
        <v>Bom</v>
      </c>
    </row>
    <row r="5687" ht="15.75" customHeight="1">
      <c r="A5687" s="122" t="str">
        <f>IFERROR(__xludf.DUMMYFUNCTION("""COMPUTED_VALUE"""),"0906 555 255")</f>
        <v>0906 555 255</v>
      </c>
      <c r="B5687" s="119" t="str">
        <f>IFERROR(__xludf.DUMMYFUNCTION("""COMPUTED_VALUE"""),"Chị Tuyền")</f>
        <v>Chị Tuyền</v>
      </c>
      <c r="C5687" s="119" t="str">
        <f>IFERROR(__xludf.DUMMYFUNCTION("""COMPUTED_VALUE"""),"4/50/131 Trần Phú")</f>
        <v>4/50/131 Trần Phú</v>
      </c>
      <c r="D5687" s="119" t="str">
        <f>IFERROR(__xludf.DUMMYFUNCTION("""COMPUTED_VALUE"""),"Chó")</f>
        <v>Chó</v>
      </c>
      <c r="E5687" s="119"/>
    </row>
    <row r="5688" ht="15.75" customHeight="1">
      <c r="A5688" s="122" t="str">
        <f>IFERROR(__xludf.DUMMYFUNCTION("""COMPUTED_VALUE"""),"0979 379 002")</f>
        <v>0979 379 002</v>
      </c>
      <c r="B5688" s="119" t="str">
        <f>IFERROR(__xludf.DUMMYFUNCTION("""COMPUTED_VALUE"""),"ANh Tin")</f>
        <v>ANh Tin</v>
      </c>
      <c r="C5688" s="119" t="str">
        <f>IFERROR(__xludf.DUMMYFUNCTION("""COMPUTED_VALUE"""),"Phú Mỹ, Phú Vang")</f>
        <v>Phú Mỹ, Phú Vang</v>
      </c>
      <c r="D5688" s="119" t="str">
        <f>IFERROR(__xludf.DUMMYFUNCTION("""COMPUTED_VALUE"""),"Chó")</f>
        <v>Chó</v>
      </c>
      <c r="E5688" s="119" t="str">
        <f>IFERROR(__xludf.DUMMYFUNCTION("""COMPUTED_VALUE"""),"Gum")</f>
        <v>Gum</v>
      </c>
    </row>
    <row r="5689" ht="15.75" customHeight="1">
      <c r="A5689" s="122" t="str">
        <f>IFERROR(__xludf.DUMMYFUNCTION("""COMPUTED_VALUE"""),"0792 044 602")</f>
        <v>0792 044 602</v>
      </c>
      <c r="B5689" s="119" t="str">
        <f>IFERROR(__xludf.DUMMYFUNCTION("""COMPUTED_VALUE"""),"Chú Giáng")</f>
        <v>Chú Giáng</v>
      </c>
      <c r="C5689" s="119" t="str">
        <f>IFERROR(__xludf.DUMMYFUNCTION("""COMPUTED_VALUE"""),"Thuận An")</f>
        <v>Thuận An</v>
      </c>
      <c r="D5689" s="119" t="str">
        <f>IFERROR(__xludf.DUMMYFUNCTION("""COMPUTED_VALUE"""),"Chó")</f>
        <v>Chó</v>
      </c>
      <c r="E5689" s="119" t="str">
        <f>IFERROR(__xludf.DUMMYFUNCTION("""COMPUTED_VALUE"""),"Xù")</f>
        <v>Xù</v>
      </c>
    </row>
    <row r="5690" ht="15.75" customHeight="1">
      <c r="A5690" s="122" t="str">
        <f>IFERROR(__xludf.DUMMYFUNCTION("""COMPUTED_VALUE"""),"0968 666 926")</f>
        <v>0968 666 926</v>
      </c>
      <c r="B5690" s="119" t="str">
        <f>IFERROR(__xludf.DUMMYFUNCTION("""COMPUTED_VALUE"""),"Chị Mai")</f>
        <v>Chị Mai</v>
      </c>
      <c r="C5690" s="119" t="str">
        <f>IFERROR(__xludf.DUMMYFUNCTION("""COMPUTED_VALUE"""),"k136 Nguyễn chí Thanh")</f>
        <v>k136 Nguyễn chí Thanh</v>
      </c>
      <c r="D5690" s="119" t="str">
        <f>IFERROR(__xludf.DUMMYFUNCTION("""COMPUTED_VALUE"""),"Chuột")</f>
        <v>Chuột</v>
      </c>
      <c r="E5690" s="119"/>
    </row>
    <row r="5691" ht="15.75" customHeight="1">
      <c r="A5691" s="122" t="str">
        <f>IFERROR(__xludf.DUMMYFUNCTION("""COMPUTED_VALUE"""),"0347 189 905")</f>
        <v>0347 189 905</v>
      </c>
      <c r="B5691" s="119" t="str">
        <f>IFERROR(__xludf.DUMMYFUNCTION("""COMPUTED_VALUE"""),"Yến Nhi")</f>
        <v>Yến Nhi</v>
      </c>
      <c r="C5691" s="119" t="str">
        <f>IFERROR(__xludf.DUMMYFUNCTION("""COMPUTED_VALUE"""),"Phú Lộc")</f>
        <v>Phú Lộc</v>
      </c>
      <c r="D5691" s="119" t="str">
        <f>IFERROR(__xludf.DUMMYFUNCTION("""COMPUTED_VALUE"""),"Mèo")</f>
        <v>Mèo</v>
      </c>
      <c r="E5691" s="119" t="str">
        <f>IFERROR(__xludf.DUMMYFUNCTION("""COMPUTED_VALUE"""),"Miu")</f>
        <v>Miu</v>
      </c>
    </row>
    <row r="5692" ht="15.75" customHeight="1">
      <c r="A5692" s="122" t="str">
        <f>IFERROR(__xludf.DUMMYFUNCTION("""COMPUTED_VALUE"""),"0382 847 602")</f>
        <v>0382 847 602</v>
      </c>
      <c r="B5692" s="119" t="str">
        <f>IFERROR(__xludf.DUMMYFUNCTION("""COMPUTED_VALUE"""),"Anh Minh")</f>
        <v>Anh Minh</v>
      </c>
      <c r="C5692" s="119" t="str">
        <f>IFERROR(__xludf.DUMMYFUNCTION("""COMPUTED_VALUE"""),"30 Đoàn Hữu Trưng")</f>
        <v>30 Đoàn Hữu Trưng</v>
      </c>
      <c r="D5692" s="119" t="str">
        <f>IFERROR(__xludf.DUMMYFUNCTION("""COMPUTED_VALUE"""),"Mèo")</f>
        <v>Mèo</v>
      </c>
      <c r="E5692" s="119" t="str">
        <f>IFERROR(__xludf.DUMMYFUNCTION("""COMPUTED_VALUE"""),"Mèo")</f>
        <v>Mèo</v>
      </c>
    </row>
    <row r="5693" ht="15.75" customHeight="1">
      <c r="A5693" s="122" t="str">
        <f>IFERROR(__xludf.DUMMYFUNCTION("""COMPUTED_VALUE"""),"0906 586 129")</f>
        <v>0906 586 129</v>
      </c>
      <c r="B5693" s="119" t="str">
        <f>IFERROR(__xludf.DUMMYFUNCTION("""COMPUTED_VALUE"""),"Chị Hiền")</f>
        <v>Chị Hiền</v>
      </c>
      <c r="C5693" s="119" t="str">
        <f>IFERROR(__xludf.DUMMYFUNCTION("""COMPUTED_VALUE"""),"28/6 Tôn Thất Tùng")</f>
        <v>28/6 Tôn Thất Tùng</v>
      </c>
      <c r="D5693" s="119" t="str">
        <f>IFERROR(__xludf.DUMMYFUNCTION("""COMPUTED_VALUE"""),"Mèo")</f>
        <v>Mèo</v>
      </c>
      <c r="E5693" s="119" t="str">
        <f>IFERROR(__xludf.DUMMYFUNCTION("""COMPUTED_VALUE"""),"Mập")</f>
        <v>Mập</v>
      </c>
    </row>
    <row r="5694" ht="15.75" customHeight="1">
      <c r="A5694" s="122" t="str">
        <f>IFERROR(__xludf.DUMMYFUNCTION("""COMPUTED_VALUE"""),"0905 832 834")</f>
        <v>0905 832 834</v>
      </c>
      <c r="B5694" s="119" t="str">
        <f>IFERROR(__xludf.DUMMYFUNCTION("""COMPUTED_VALUE"""),"Chú Thọ")</f>
        <v>Chú Thọ</v>
      </c>
      <c r="C5694" s="119" t="str">
        <f>IFERROR(__xludf.DUMMYFUNCTION("""COMPUTED_VALUE"""),"3/144 Nguyễn SInh Cung")</f>
        <v>3/144 Nguyễn SInh Cung</v>
      </c>
      <c r="D5694" s="119" t="str">
        <f>IFERROR(__xludf.DUMMYFUNCTION("""COMPUTED_VALUE"""),"Chó")</f>
        <v>Chó</v>
      </c>
      <c r="E5694" s="119" t="str">
        <f>IFERROR(__xludf.DUMMYFUNCTION("""COMPUTED_VALUE"""),"Heo")</f>
        <v>Heo</v>
      </c>
    </row>
    <row r="5695" ht="15.75" customHeight="1">
      <c r="A5695" s="122" t="str">
        <f>IFERROR(__xludf.DUMMYFUNCTION("""COMPUTED_VALUE"""),"0383 484 759")</f>
        <v>0383 484 759</v>
      </c>
      <c r="B5695" s="119" t="str">
        <f>IFERROR(__xludf.DUMMYFUNCTION("""COMPUTED_VALUE"""),"ÁNh Nguyệt")</f>
        <v>ÁNh Nguyệt</v>
      </c>
      <c r="C5695" s="119" t="str">
        <f>IFERROR(__xludf.DUMMYFUNCTION("""COMPUTED_VALUE"""),"8/4/269 Bùi Thị Xuân")</f>
        <v>8/4/269 Bùi Thị Xuân</v>
      </c>
      <c r="D5695" s="119" t="str">
        <f>IFERROR(__xludf.DUMMYFUNCTION("""COMPUTED_VALUE"""),"Chó")</f>
        <v>Chó</v>
      </c>
      <c r="E5695" s="119" t="str">
        <f>IFERROR(__xludf.DUMMYFUNCTION("""COMPUTED_VALUE"""),"Sữa")</f>
        <v>Sữa</v>
      </c>
    </row>
    <row r="5696" ht="15.75" customHeight="1">
      <c r="A5696" s="122" t="str">
        <f>IFERROR(__xludf.DUMMYFUNCTION("""COMPUTED_VALUE"""),"0869 316 641")</f>
        <v>0869 316 641</v>
      </c>
      <c r="B5696" s="119" t="str">
        <f>IFERROR(__xludf.DUMMYFUNCTION("""COMPUTED_VALUE"""),"Chị Thuỷ")</f>
        <v>Chị Thuỷ</v>
      </c>
      <c r="C5696" s="119" t="str">
        <f>IFERROR(__xludf.DUMMYFUNCTION("""COMPUTED_VALUE"""),"155 Ngự Bình")</f>
        <v>155 Ngự Bình</v>
      </c>
      <c r="D5696" s="119" t="str">
        <f>IFERROR(__xludf.DUMMYFUNCTION("""COMPUTED_VALUE"""),"Chó")</f>
        <v>Chó</v>
      </c>
      <c r="E5696" s="119" t="str">
        <f>IFERROR(__xludf.DUMMYFUNCTION("""COMPUTED_VALUE"""),"Bin")</f>
        <v>Bin</v>
      </c>
    </row>
    <row r="5697" ht="15.75" customHeight="1">
      <c r="A5697" s="122" t="str">
        <f>IFERROR(__xludf.DUMMYFUNCTION("""COMPUTED_VALUE"""),"0398 755 654")</f>
        <v>0398 755 654</v>
      </c>
      <c r="B5697" s="119" t="str">
        <f>IFERROR(__xludf.DUMMYFUNCTION("""COMPUTED_VALUE"""),"Nguyễn Thị Lan")</f>
        <v>Nguyễn Thị Lan</v>
      </c>
      <c r="C5697" s="119" t="str">
        <f>IFERROR(__xludf.DUMMYFUNCTION("""COMPUTED_VALUE"""),"72 Nguyễn Phúc Nguyên")</f>
        <v>72 Nguyễn Phúc Nguyên</v>
      </c>
      <c r="D5697" s="119" t="str">
        <f>IFERROR(__xludf.DUMMYFUNCTION("""COMPUTED_VALUE"""),"Chó")</f>
        <v>Chó</v>
      </c>
      <c r="E5697" s="119"/>
    </row>
    <row r="5698" ht="15.75" customHeight="1">
      <c r="A5698" s="122" t="str">
        <f>IFERROR(__xludf.DUMMYFUNCTION("""COMPUTED_VALUE"""),"0935 694 314")</f>
        <v>0935 694 314</v>
      </c>
      <c r="B5698" s="119" t="str">
        <f>IFERROR(__xludf.DUMMYFUNCTION("""COMPUTED_VALUE"""),"Anh Trung")</f>
        <v>Anh Trung</v>
      </c>
      <c r="C5698" s="119" t="str">
        <f>IFERROR(__xludf.DUMMYFUNCTION("""COMPUTED_VALUE"""),"4/79 Lịch Đợi")</f>
        <v>4/79 Lịch Đợi</v>
      </c>
      <c r="D5698" s="119" t="str">
        <f>IFERROR(__xludf.DUMMYFUNCTION("""COMPUTED_VALUE"""),"Mèo")</f>
        <v>Mèo</v>
      </c>
      <c r="E5698" s="119" t="str">
        <f>IFERROR(__xludf.DUMMYFUNCTION("""COMPUTED_VALUE"""),"Happy")</f>
        <v>Happy</v>
      </c>
    </row>
    <row r="5699" ht="15.75" customHeight="1">
      <c r="A5699" s="122" t="str">
        <f>IFERROR(__xludf.DUMMYFUNCTION("""COMPUTED_VALUE"""),"0932 480 175")</f>
        <v>0932 480 175</v>
      </c>
      <c r="B5699" s="119" t="str">
        <f>IFERROR(__xludf.DUMMYFUNCTION("""COMPUTED_VALUE"""),"Gia Bảo")</f>
        <v>Gia Bảo</v>
      </c>
      <c r="C5699" s="119" t="str">
        <f>IFERROR(__xludf.DUMMYFUNCTION("""COMPUTED_VALUE"""),"8a Nguyễn Thiện Thuật")</f>
        <v>8a Nguyễn Thiện Thuật</v>
      </c>
      <c r="D5699" s="119" t="str">
        <f>IFERROR(__xludf.DUMMYFUNCTION("""COMPUTED_VALUE"""),"Chó")</f>
        <v>Chó</v>
      </c>
      <c r="E5699" s="119" t="str">
        <f>IFERROR(__xludf.DUMMYFUNCTION("""COMPUTED_VALUE"""),"Boo")</f>
        <v>Boo</v>
      </c>
    </row>
    <row r="5700" ht="15.75" customHeight="1">
      <c r="A5700" s="122" t="str">
        <f>IFERROR(__xludf.DUMMYFUNCTION("""COMPUTED_VALUE"""),"0393 357 362")</f>
        <v>0393 357 362</v>
      </c>
      <c r="B5700" s="119" t="str">
        <f>IFERROR(__xludf.DUMMYFUNCTION("""COMPUTED_VALUE"""),"Em Thanh Hường")</f>
        <v>Em Thanh Hường</v>
      </c>
      <c r="C5700" s="119" t="str">
        <f>IFERROR(__xludf.DUMMYFUNCTION("""COMPUTED_VALUE"""),"Hương Sơ")</f>
        <v>Hương Sơ</v>
      </c>
      <c r="D5700" s="119" t="str">
        <f>IFERROR(__xludf.DUMMYFUNCTION("""COMPUTED_VALUE"""),"Mèo")</f>
        <v>Mèo</v>
      </c>
      <c r="E5700" s="119" t="str">
        <f>IFERROR(__xludf.DUMMYFUNCTION("""COMPUTED_VALUE"""),"chuột")</f>
        <v>chuột</v>
      </c>
    </row>
    <row r="5701" ht="15.75" customHeight="1">
      <c r="A5701" s="122" t="str">
        <f>IFERROR(__xludf.DUMMYFUNCTION("""COMPUTED_VALUE"""),"0388 479 954")</f>
        <v>0388 479 954</v>
      </c>
      <c r="B5701" s="119" t="str">
        <f>IFERROR(__xludf.DUMMYFUNCTION("""COMPUTED_VALUE"""),"DÌ Lệ")</f>
        <v>DÌ Lệ</v>
      </c>
      <c r="C5701" s="119" t="str">
        <f>IFERROR(__xludf.DUMMYFUNCTION("""COMPUTED_VALUE"""),"1/14 An Ninh")</f>
        <v>1/14 An Ninh</v>
      </c>
      <c r="D5701" s="119" t="str">
        <f>IFERROR(__xludf.DUMMYFUNCTION("""COMPUTED_VALUE"""),"Chó")</f>
        <v>Chó</v>
      </c>
      <c r="E5701" s="119" t="str">
        <f>IFERROR(__xludf.DUMMYFUNCTION("""COMPUTED_VALUE"""),"Xù")</f>
        <v>Xù</v>
      </c>
    </row>
    <row r="5702" ht="15.75" customHeight="1">
      <c r="A5702" s="122" t="str">
        <f>IFERROR(__xludf.DUMMYFUNCTION("""COMPUTED_VALUE"""),"0399 284 289")</f>
        <v>0399 284 289</v>
      </c>
      <c r="B5702" s="119" t="str">
        <f>IFERROR(__xludf.DUMMYFUNCTION("""COMPUTED_VALUE"""),"Chị Diệp")</f>
        <v>Chị Diệp</v>
      </c>
      <c r="C5702" s="119" t="str">
        <f>IFERROR(__xludf.DUMMYFUNCTION("""COMPUTED_VALUE"""),"23 Thanh Tịnh")</f>
        <v>23 Thanh Tịnh</v>
      </c>
      <c r="D5702" s="119" t="str">
        <f>IFERROR(__xludf.DUMMYFUNCTION("""COMPUTED_VALUE"""),"Chó")</f>
        <v>Chó</v>
      </c>
      <c r="E5702" s="119" t="str">
        <f>IFERROR(__xludf.DUMMYFUNCTION("""COMPUTED_VALUE"""),"Fo")</f>
        <v>Fo</v>
      </c>
    </row>
    <row r="5703" ht="15.75" customHeight="1">
      <c r="A5703" s="122" t="str">
        <f>IFERROR(__xludf.DUMMYFUNCTION("""COMPUTED_VALUE"""),"0933 338 815")</f>
        <v>0933 338 815</v>
      </c>
      <c r="B5703" s="119" t="str">
        <f>IFERROR(__xludf.DUMMYFUNCTION("""COMPUTED_VALUE"""),"chị trang")</f>
        <v>chị trang</v>
      </c>
      <c r="C5703" s="119" t="str">
        <f>IFERROR(__xludf.DUMMYFUNCTION("""COMPUTED_VALUE"""),"7/130 Thích Tịnh Khiết")</f>
        <v>7/130 Thích Tịnh Khiết</v>
      </c>
      <c r="D5703" s="119" t="str">
        <f>IFERROR(__xludf.DUMMYFUNCTION("""COMPUTED_VALUE"""),"Chó")</f>
        <v>Chó</v>
      </c>
      <c r="E5703" s="119" t="str">
        <f>IFERROR(__xludf.DUMMYFUNCTION("""COMPUTED_VALUE"""),"rốt")</f>
        <v>rốt</v>
      </c>
    </row>
    <row r="5704" ht="15.75" customHeight="1">
      <c r="A5704" s="122" t="str">
        <f>IFERROR(__xludf.DUMMYFUNCTION("""COMPUTED_VALUE"""),"0824 231 059")</f>
        <v>0824 231 059</v>
      </c>
      <c r="B5704" s="119" t="str">
        <f>IFERROR(__xludf.DUMMYFUNCTION("""COMPUTED_VALUE"""),"Anh Tú")</f>
        <v>Anh Tú</v>
      </c>
      <c r="C5704" s="119" t="str">
        <f>IFERROR(__xludf.DUMMYFUNCTION("""COMPUTED_VALUE"""),"Văn Thánh")</f>
        <v>Văn Thánh</v>
      </c>
      <c r="D5704" s="119" t="str">
        <f>IFERROR(__xludf.DUMMYFUNCTION("""COMPUTED_VALUE"""),"Chó")</f>
        <v>Chó</v>
      </c>
      <c r="E5704" s="119" t="str">
        <f>IFERROR(__xludf.DUMMYFUNCTION("""COMPUTED_VALUE"""),"Sure")</f>
        <v>Sure</v>
      </c>
    </row>
    <row r="5705" ht="15.75" customHeight="1">
      <c r="A5705" s="122" t="str">
        <f>IFERROR(__xludf.DUMMYFUNCTION("""COMPUTED_VALUE"""),"0917 540 074")</f>
        <v>0917 540 074</v>
      </c>
      <c r="B5705" s="119" t="str">
        <f>IFERROR(__xludf.DUMMYFUNCTION("""COMPUTED_VALUE"""),"EM Thu Hường")</f>
        <v>EM Thu Hường</v>
      </c>
      <c r="C5705" s="119" t="str">
        <f>IFERROR(__xludf.DUMMYFUNCTION("""COMPUTED_VALUE"""),"29 Đặng Huy Trứ")</f>
        <v>29 Đặng Huy Trứ</v>
      </c>
      <c r="D5705" s="119" t="str">
        <f>IFERROR(__xludf.DUMMYFUNCTION("""COMPUTED_VALUE"""),"Mèo")</f>
        <v>Mèo</v>
      </c>
      <c r="E5705" s="119" t="str">
        <f>IFERROR(__xludf.DUMMYFUNCTION("""COMPUTED_VALUE"""),"Gạo")</f>
        <v>Gạo</v>
      </c>
    </row>
    <row r="5706" ht="15.75" customHeight="1">
      <c r="A5706" s="122" t="str">
        <f>IFERROR(__xludf.DUMMYFUNCTION("""COMPUTED_VALUE"""),"0903 512 840")</f>
        <v>0903 512 840</v>
      </c>
      <c r="B5706" s="119" t="str">
        <f>IFERROR(__xludf.DUMMYFUNCTION("""COMPUTED_VALUE"""),"Anh Lâng")</f>
        <v>Anh Lâng</v>
      </c>
      <c r="C5706" s="119" t="str">
        <f>IFERROR(__xludf.DUMMYFUNCTION("""COMPUTED_VALUE"""),"k93 Đặng Huy Trứ")</f>
        <v>k93 Đặng Huy Trứ</v>
      </c>
      <c r="D5706" s="119" t="str">
        <f>IFERROR(__xludf.DUMMYFUNCTION("""COMPUTED_VALUE"""),"Chó")</f>
        <v>Chó</v>
      </c>
      <c r="E5706" s="119"/>
    </row>
    <row r="5707" ht="15.75" customHeight="1">
      <c r="A5707" s="122" t="str">
        <f>IFERROR(__xludf.DUMMYFUNCTION("""COMPUTED_VALUE"""),"0862 361 369")</f>
        <v>0862 361 369</v>
      </c>
      <c r="B5707" s="119" t="str">
        <f>IFERROR(__xludf.DUMMYFUNCTION("""COMPUTED_VALUE"""),"Chị Giang")</f>
        <v>Chị Giang</v>
      </c>
      <c r="C5707" s="119" t="str">
        <f>IFERROR(__xludf.DUMMYFUNCTION("""COMPUTED_VALUE"""),"17 Sư Vạn Hạnh")</f>
        <v>17 Sư Vạn Hạnh</v>
      </c>
      <c r="D5707" s="119" t="str">
        <f>IFERROR(__xludf.DUMMYFUNCTION("""COMPUTED_VALUE"""),"Mèo")</f>
        <v>Mèo</v>
      </c>
      <c r="E5707" s="119"/>
    </row>
    <row r="5708" ht="15.75" customHeight="1">
      <c r="A5708" s="122" t="str">
        <f>IFERROR(__xludf.DUMMYFUNCTION("""COMPUTED_VALUE"""),"0359 722 150")</f>
        <v>0359 722 150</v>
      </c>
      <c r="B5708" s="119" t="str">
        <f>IFERROR(__xludf.DUMMYFUNCTION("""COMPUTED_VALUE"""),"Dì Nhàn")</f>
        <v>Dì Nhàn</v>
      </c>
      <c r="C5708" s="119" t="str">
        <f>IFERROR(__xludf.DUMMYFUNCTION("""COMPUTED_VALUE"""),"Hương Long")</f>
        <v>Hương Long</v>
      </c>
      <c r="D5708" s="119" t="str">
        <f>IFERROR(__xludf.DUMMYFUNCTION("""COMPUTED_VALUE"""),"Chó")</f>
        <v>Chó</v>
      </c>
      <c r="E5708" s="119" t="str">
        <f>IFERROR(__xludf.DUMMYFUNCTION("""COMPUTED_VALUE"""),"Bun")</f>
        <v>Bun</v>
      </c>
    </row>
    <row r="5709" ht="15.75" customHeight="1">
      <c r="A5709" s="122" t="str">
        <f>IFERROR(__xludf.DUMMYFUNCTION("""COMPUTED_VALUE"""),"0935 343 429")</f>
        <v>0935 343 429</v>
      </c>
      <c r="B5709" s="119" t="str">
        <f>IFERROR(__xludf.DUMMYFUNCTION("""COMPUTED_VALUE"""),"Anh tân")</f>
        <v>Anh tân</v>
      </c>
      <c r="C5709" s="119" t="str">
        <f>IFERROR(__xludf.DUMMYFUNCTION("""COMPUTED_VALUE"""),"FF")</f>
        <v>FF</v>
      </c>
      <c r="D5709" s="119" t="str">
        <f>IFERROR(__xludf.DUMMYFUNCTION("""COMPUTED_VALUE"""),"Chó")</f>
        <v>Chó</v>
      </c>
      <c r="E5709" s="119" t="str">
        <f>IFERROR(__xludf.DUMMYFUNCTION("""COMPUTED_VALUE"""),"Boy")</f>
        <v>Boy</v>
      </c>
    </row>
    <row r="5710" ht="15.75" customHeight="1">
      <c r="A5710" s="122" t="str">
        <f>IFERROR(__xludf.DUMMYFUNCTION("""COMPUTED_VALUE"""),"0396 006 231")</f>
        <v>0396 006 231</v>
      </c>
      <c r="B5710" s="119" t="str">
        <f>IFERROR(__xludf.DUMMYFUNCTION("""COMPUTED_VALUE"""),"Chị Phương")</f>
        <v>Chị Phương</v>
      </c>
      <c r="C5710" s="119" t="str">
        <f>IFERROR(__xludf.DUMMYFUNCTION("""COMPUTED_VALUE"""),"24/69 Phạm Thị Liên")</f>
        <v>24/69 Phạm Thị Liên</v>
      </c>
      <c r="D5710" s="119" t="str">
        <f>IFERROR(__xludf.DUMMYFUNCTION("""COMPUTED_VALUE"""),"Chó")</f>
        <v>Chó</v>
      </c>
      <c r="E5710" s="119" t="str">
        <f>IFERROR(__xludf.DUMMYFUNCTION("""COMPUTED_VALUE"""),"Lùn")</f>
        <v>Lùn</v>
      </c>
    </row>
    <row r="5711" ht="15.75" customHeight="1">
      <c r="A5711" s="122" t="str">
        <f>IFERROR(__xludf.DUMMYFUNCTION("""COMPUTED_VALUE"""),"0777 577 326")</f>
        <v>0777 577 326</v>
      </c>
      <c r="B5711" s="119" t="str">
        <f>IFERROR(__xludf.DUMMYFUNCTION("""COMPUTED_VALUE"""),"Em Bích Ngân")</f>
        <v>Em Bích Ngân</v>
      </c>
      <c r="C5711" s="119" t="str">
        <f>IFERROR(__xludf.DUMMYFUNCTION("""COMPUTED_VALUE"""),"28 Trần Nguyên Hãn")</f>
        <v>28 Trần Nguyên Hãn</v>
      </c>
      <c r="D5711" s="119" t="str">
        <f>IFERROR(__xludf.DUMMYFUNCTION("""COMPUTED_VALUE"""),"Chó")</f>
        <v>Chó</v>
      </c>
      <c r="E5711" s="119" t="str">
        <f>IFERROR(__xludf.DUMMYFUNCTION("""COMPUTED_VALUE"""),"Lucky")</f>
        <v>Lucky</v>
      </c>
    </row>
    <row r="5712" ht="15.75" customHeight="1">
      <c r="A5712" s="122" t="str">
        <f>IFERROR(__xludf.DUMMYFUNCTION("""COMPUTED_VALUE"""),"0896 405 943")</f>
        <v>0896 405 943</v>
      </c>
      <c r="B5712" s="119" t="str">
        <f>IFERROR(__xludf.DUMMYFUNCTION("""COMPUTED_VALUE"""),"ANh Văn Khánh")</f>
        <v>ANh Văn Khánh</v>
      </c>
      <c r="C5712" s="119" t="str">
        <f>IFERROR(__xludf.DUMMYFUNCTION("""COMPUTED_VALUE"""),"35/4/8 Nguyễn Phúc Lan")</f>
        <v>35/4/8 Nguyễn Phúc Lan</v>
      </c>
      <c r="D5712" s="119" t="str">
        <f>IFERROR(__xludf.DUMMYFUNCTION("""COMPUTED_VALUE"""),"Chó")</f>
        <v>Chó</v>
      </c>
      <c r="E5712" s="119" t="str">
        <f>IFERROR(__xludf.DUMMYFUNCTION("""COMPUTED_VALUE"""),"Lít")</f>
        <v>Lít</v>
      </c>
    </row>
    <row r="5713" ht="15.75" customHeight="1">
      <c r="A5713" s="122" t="str">
        <f>IFERROR(__xludf.DUMMYFUNCTION("""COMPUTED_VALUE"""),"0935 482 813")</f>
        <v>0935 482 813</v>
      </c>
      <c r="B5713" s="119" t="str">
        <f>IFERROR(__xludf.DUMMYFUNCTION("""COMPUTED_VALUE"""),"Chị Lợi")</f>
        <v>Chị Lợi</v>
      </c>
      <c r="C5713" s="119" t="str">
        <f>IFERROR(__xludf.DUMMYFUNCTION("""COMPUTED_VALUE"""),"48/93 Đặng Huy Trứ")</f>
        <v>48/93 Đặng Huy Trứ</v>
      </c>
      <c r="D5713" s="119" t="str">
        <f>IFERROR(__xludf.DUMMYFUNCTION("""COMPUTED_VALUE"""),"Chó")</f>
        <v>Chó</v>
      </c>
      <c r="E5713" s="119"/>
    </row>
    <row r="5714" ht="15.75" customHeight="1">
      <c r="A5714" s="122" t="str">
        <f>IFERROR(__xludf.DUMMYFUNCTION("""COMPUTED_VALUE"""),"0795 133 105")</f>
        <v>0795 133 105</v>
      </c>
      <c r="B5714" s="119" t="str">
        <f>IFERROR(__xludf.DUMMYFUNCTION("""COMPUTED_VALUE"""),"Chị Phương Chi")</f>
        <v>Chị Phương Chi</v>
      </c>
      <c r="C5714" s="119" t="str">
        <f>IFERROR(__xludf.DUMMYFUNCTION("""COMPUTED_VALUE"""),"52/16 Lương Y")</f>
        <v>52/16 Lương Y</v>
      </c>
      <c r="D5714" s="119" t="str">
        <f>IFERROR(__xludf.DUMMYFUNCTION("""COMPUTED_VALUE"""),"Chó")</f>
        <v>Chó</v>
      </c>
      <c r="E5714" s="119" t="str">
        <f>IFERROR(__xludf.DUMMYFUNCTION("""COMPUTED_VALUE"""),"Chua")</f>
        <v>Chua</v>
      </c>
    </row>
    <row r="5715" ht="15.75" customHeight="1">
      <c r="A5715" s="122" t="str">
        <f>IFERROR(__xludf.DUMMYFUNCTION("""COMPUTED_VALUE"""),"0962 429 346")</f>
        <v>0962 429 346</v>
      </c>
      <c r="B5715" s="119" t="str">
        <f>IFERROR(__xludf.DUMMYFUNCTION("""COMPUTED_VALUE"""),"Em Mỹ Linh")</f>
        <v>Em Mỹ Linh</v>
      </c>
      <c r="C5715" s="119" t="str">
        <f>IFERROR(__xludf.DUMMYFUNCTION("""COMPUTED_VALUE"""),"kim Trà- Tứ Hạ")</f>
        <v>kim Trà- Tứ Hạ</v>
      </c>
      <c r="D5715" s="119" t="str">
        <f>IFERROR(__xludf.DUMMYFUNCTION("""COMPUTED_VALUE"""),"Mèo")</f>
        <v>Mèo</v>
      </c>
      <c r="E5715" s="119"/>
    </row>
    <row r="5716" ht="15.75" customHeight="1">
      <c r="A5716" s="122" t="str">
        <f>IFERROR(__xludf.DUMMYFUNCTION("""COMPUTED_VALUE"""),"0935 022 768")</f>
        <v>0935 022 768</v>
      </c>
      <c r="B5716" s="119" t="str">
        <f>IFERROR(__xludf.DUMMYFUNCTION("""COMPUTED_VALUE"""),"ANh Hiệp")</f>
        <v>ANh Hiệp</v>
      </c>
      <c r="C5716" s="119" t="str">
        <f>IFERROR(__xludf.DUMMYFUNCTION("""COMPUTED_VALUE"""),"k119 Hùng Vương")</f>
        <v>k119 Hùng Vương</v>
      </c>
      <c r="D5716" s="119" t="str">
        <f>IFERROR(__xludf.DUMMYFUNCTION("""COMPUTED_VALUE"""),"Chó")</f>
        <v>Chó</v>
      </c>
      <c r="E5716" s="119" t="str">
        <f>IFERROR(__xludf.DUMMYFUNCTION("""COMPUTED_VALUE"""),"Bông")</f>
        <v>Bông</v>
      </c>
    </row>
    <row r="5717" ht="15.75" customHeight="1">
      <c r="A5717" s="122" t="str">
        <f>IFERROR(__xludf.DUMMYFUNCTION("""COMPUTED_VALUE"""),"0783 200 427")</f>
        <v>0783 200 427</v>
      </c>
      <c r="B5717" s="119" t="str">
        <f>IFERROR(__xludf.DUMMYFUNCTION("""COMPUTED_VALUE"""),"EM Thảo Tiên")</f>
        <v>EM Thảo Tiên</v>
      </c>
      <c r="C5717" s="119" t="str">
        <f>IFERROR(__xludf.DUMMYFUNCTION("""COMPUTED_VALUE"""),"79/1 Hoàng Quốc Việt")</f>
        <v>79/1 Hoàng Quốc Việt</v>
      </c>
      <c r="D5717" s="119" t="str">
        <f>IFERROR(__xludf.DUMMYFUNCTION("""COMPUTED_VALUE"""),"Chó")</f>
        <v>Chó</v>
      </c>
      <c r="E5717" s="119" t="str">
        <f>IFERROR(__xludf.DUMMYFUNCTION("""COMPUTED_VALUE"""),"Mino")</f>
        <v>Mino</v>
      </c>
    </row>
    <row r="5718" ht="15.75" customHeight="1">
      <c r="A5718" s="122" t="str">
        <f>IFERROR(__xludf.DUMMYFUNCTION("""COMPUTED_VALUE"""),"0905 070 900")</f>
        <v>0905 070 900</v>
      </c>
      <c r="B5718" s="119" t="str">
        <f>IFERROR(__xludf.DUMMYFUNCTION("""COMPUTED_VALUE"""),"Chị Ly")</f>
        <v>Chị Ly</v>
      </c>
      <c r="C5718" s="119" t="str">
        <f>IFERROR(__xludf.DUMMYFUNCTION("""COMPUTED_VALUE"""),"69/82 Quảng Tế")</f>
        <v>69/82 Quảng Tế</v>
      </c>
      <c r="D5718" s="119" t="str">
        <f>IFERROR(__xludf.DUMMYFUNCTION("""COMPUTED_VALUE"""),"Mèo")</f>
        <v>Mèo</v>
      </c>
      <c r="E5718" s="119" t="str">
        <f>IFERROR(__xludf.DUMMYFUNCTION("""COMPUTED_VALUE"""),"Ve")</f>
        <v>Ve</v>
      </c>
    </row>
    <row r="5719" ht="15.75" customHeight="1">
      <c r="A5719" s="122" t="str">
        <f>IFERROR(__xludf.DUMMYFUNCTION("""COMPUTED_VALUE"""),"0978 187 880")</f>
        <v>0978 187 880</v>
      </c>
      <c r="B5719" s="119" t="str">
        <f>IFERROR(__xludf.DUMMYFUNCTION("""COMPUTED_VALUE"""),"Khách tại nhà")</f>
        <v>Khách tại nhà</v>
      </c>
      <c r="C5719" s="119" t="str">
        <f>IFERROR(__xludf.DUMMYFUNCTION("""COMPUTED_VALUE"""),"296 Văn Thánh")</f>
        <v>296 Văn Thánh</v>
      </c>
      <c r="D5719" s="119" t="str">
        <f>IFERROR(__xludf.DUMMYFUNCTION("""COMPUTED_VALUE"""),"Chó")</f>
        <v>Chó</v>
      </c>
      <c r="E5719" s="119">
        <f>IFERROR(__xludf.DUMMYFUNCTION("""COMPUTED_VALUE"""),6.0)</f>
        <v>6</v>
      </c>
    </row>
    <row r="5720" ht="15.75" customHeight="1">
      <c r="A5720" s="122" t="str">
        <f>IFERROR(__xludf.DUMMYFUNCTION("""COMPUTED_VALUE"""),"0867 712 175")</f>
        <v>0867 712 175</v>
      </c>
      <c r="B5720" s="119" t="str">
        <f>IFERROR(__xludf.DUMMYFUNCTION("""COMPUTED_VALUE"""),"Chị Mỹ Phương")</f>
        <v>Chị Mỹ Phương</v>
      </c>
      <c r="C5720" s="119" t="str">
        <f>IFERROR(__xludf.DUMMYFUNCTION("""COMPUTED_VALUE"""),"Quảng Thành,Quảng Điền")</f>
        <v>Quảng Thành,Quảng Điền</v>
      </c>
      <c r="D5720" s="119" t="str">
        <f>IFERROR(__xludf.DUMMYFUNCTION("""COMPUTED_VALUE"""),"Chó")</f>
        <v>Chó</v>
      </c>
      <c r="E5720" s="119" t="str">
        <f>IFERROR(__xludf.DUMMYFUNCTION("""COMPUTED_VALUE"""),"Gấu")</f>
        <v>Gấu</v>
      </c>
    </row>
    <row r="5721" ht="15.75" customHeight="1">
      <c r="A5721" s="122" t="str">
        <f>IFERROR(__xludf.DUMMYFUNCTION("""COMPUTED_VALUE"""),"0837 370 858")</f>
        <v>0837 370 858</v>
      </c>
      <c r="B5721" s="119" t="str">
        <f>IFERROR(__xludf.DUMMYFUNCTION("""COMPUTED_VALUE"""),"Anh Khoa")</f>
        <v>Anh Khoa</v>
      </c>
      <c r="C5721" s="119" t="str">
        <f>IFERROR(__xludf.DUMMYFUNCTION("""COMPUTED_VALUE"""),"236 Đặng Tất")</f>
        <v>236 Đặng Tất</v>
      </c>
      <c r="D5721" s="119" t="str">
        <f>IFERROR(__xludf.DUMMYFUNCTION("""COMPUTED_VALUE"""),"Chó")</f>
        <v>Chó</v>
      </c>
      <c r="E5721" s="119" t="str">
        <f>IFERROR(__xludf.DUMMYFUNCTION("""COMPUTED_VALUE"""),"Sóc")</f>
        <v>Sóc</v>
      </c>
    </row>
    <row r="5722" ht="15.75" customHeight="1">
      <c r="A5722" s="122" t="str">
        <f>IFERROR(__xludf.DUMMYFUNCTION("""COMPUTED_VALUE"""),"0398 675 819")</f>
        <v>0398 675 819</v>
      </c>
      <c r="B5722" s="119" t="str">
        <f>IFERROR(__xludf.DUMMYFUNCTION("""COMPUTED_VALUE"""),"Chị Kim Chi")</f>
        <v>Chị Kim Chi</v>
      </c>
      <c r="C5722" s="119" t="str">
        <f>IFERROR(__xludf.DUMMYFUNCTION("""COMPUTED_VALUE"""),"Thuỷ Xuân")</f>
        <v>Thuỷ Xuân</v>
      </c>
      <c r="D5722" s="119" t="str">
        <f>IFERROR(__xludf.DUMMYFUNCTION("""COMPUTED_VALUE"""),"Chó")</f>
        <v>Chó</v>
      </c>
      <c r="E5722" s="119" t="str">
        <f>IFERROR(__xludf.DUMMYFUNCTION("""COMPUTED_VALUE"""),"Su")</f>
        <v>Su</v>
      </c>
    </row>
    <row r="5723" ht="15.75" customHeight="1">
      <c r="A5723" s="122" t="str">
        <f>IFERROR(__xludf.DUMMYFUNCTION("""COMPUTED_VALUE"""),"0966 644 349")</f>
        <v>0966 644 349</v>
      </c>
      <c r="B5723" s="119" t="str">
        <f>IFERROR(__xludf.DUMMYFUNCTION("""COMPUTED_VALUE"""),"Anh Huy")</f>
        <v>Anh Huy</v>
      </c>
      <c r="C5723" s="119" t="str">
        <f>IFERROR(__xludf.DUMMYFUNCTION("""COMPUTED_VALUE"""),"Phú Lộc")</f>
        <v>Phú Lộc</v>
      </c>
      <c r="D5723" s="119" t="str">
        <f>IFERROR(__xludf.DUMMYFUNCTION("""COMPUTED_VALUE"""),"Chó")</f>
        <v>Chó</v>
      </c>
      <c r="E5723" s="119" t="str">
        <f>IFERROR(__xludf.DUMMYFUNCTION("""COMPUTED_VALUE"""),"Simon")</f>
        <v>Simon</v>
      </c>
    </row>
    <row r="5724" ht="15.75" customHeight="1">
      <c r="A5724" s="122" t="str">
        <f>IFERROR(__xludf.DUMMYFUNCTION("""COMPUTED_VALUE"""),"0934 929 380")</f>
        <v>0934 929 380</v>
      </c>
      <c r="B5724" s="119" t="str">
        <f>IFERROR(__xludf.DUMMYFUNCTION("""COMPUTED_VALUE"""),"Chị Trúc")</f>
        <v>Chị Trúc</v>
      </c>
      <c r="C5724" s="119" t="str">
        <f>IFERROR(__xludf.DUMMYFUNCTION("""COMPUTED_VALUE"""),"39 Trần Nhật Duật")</f>
        <v>39 Trần Nhật Duật</v>
      </c>
      <c r="D5724" s="119" t="str">
        <f>IFERROR(__xludf.DUMMYFUNCTION("""COMPUTED_VALUE"""),"Chó")</f>
        <v>Chó</v>
      </c>
      <c r="E5724" s="119" t="str">
        <f>IFERROR(__xludf.DUMMYFUNCTION("""COMPUTED_VALUE"""),"Bull")</f>
        <v>Bull</v>
      </c>
    </row>
    <row r="5725" ht="15.75" customHeight="1">
      <c r="A5725" s="122" t="str">
        <f>IFERROR(__xludf.DUMMYFUNCTION("""COMPUTED_VALUE"""),"0386 873 903")</f>
        <v>0386 873 903</v>
      </c>
      <c r="B5725" s="119" t="str">
        <f>IFERROR(__xludf.DUMMYFUNCTION("""COMPUTED_VALUE"""),"Thầy Khánh An")</f>
        <v>Thầy Khánh An</v>
      </c>
      <c r="C5725" s="119" t="str">
        <f>IFERROR(__xludf.DUMMYFUNCTION("""COMPUTED_VALUE"""),"Chùa Thiên Mụ")</f>
        <v>Chùa Thiên Mụ</v>
      </c>
      <c r="D5725" s="119" t="str">
        <f>IFERROR(__xludf.DUMMYFUNCTION("""COMPUTED_VALUE"""),"Mèo")</f>
        <v>Mèo</v>
      </c>
      <c r="E5725" s="119" t="str">
        <f>IFERROR(__xludf.DUMMYFUNCTION("""COMPUTED_VALUE"""),"Méo")</f>
        <v>Méo</v>
      </c>
    </row>
    <row r="5726" ht="15.75" customHeight="1">
      <c r="A5726" s="122" t="str">
        <f>IFERROR(__xludf.DUMMYFUNCTION("""COMPUTED_VALUE"""),"0374 506 619")</f>
        <v>0374 506 619</v>
      </c>
      <c r="B5726" s="119" t="str">
        <f>IFERROR(__xludf.DUMMYFUNCTION("""COMPUTED_VALUE"""),"Chị Vy")</f>
        <v>Chị Vy</v>
      </c>
      <c r="C5726" s="119" t="str">
        <f>IFERROR(__xludf.DUMMYFUNCTION("""COMPUTED_VALUE"""),"Lộc Trì- Phú Lộc")</f>
        <v>Lộc Trì- Phú Lộc</v>
      </c>
      <c r="D5726" s="119" t="str">
        <f>IFERROR(__xludf.DUMMYFUNCTION("""COMPUTED_VALUE"""),"Chó")</f>
        <v>Chó</v>
      </c>
      <c r="E5726" s="119" t="str">
        <f>IFERROR(__xludf.DUMMYFUNCTION("""COMPUTED_VALUE"""),"Nâu")</f>
        <v>Nâu</v>
      </c>
    </row>
    <row r="5727" ht="15.75" customHeight="1">
      <c r="A5727" s="122" t="str">
        <f>IFERROR(__xludf.DUMMYFUNCTION("""COMPUTED_VALUE"""),"0935 399 033")</f>
        <v>0935 399 033</v>
      </c>
      <c r="B5727" s="119" t="str">
        <f>IFERROR(__xludf.DUMMYFUNCTION("""COMPUTED_VALUE"""),"Chú Trình")</f>
        <v>Chú Trình</v>
      </c>
      <c r="C5727" s="119" t="str">
        <f>IFERROR(__xludf.DUMMYFUNCTION("""COMPUTED_VALUE"""),"Kim Long")</f>
        <v>Kim Long</v>
      </c>
      <c r="D5727" s="119" t="str">
        <f>IFERROR(__xludf.DUMMYFUNCTION("""COMPUTED_VALUE"""),"Chó")</f>
        <v>Chó</v>
      </c>
      <c r="E5727" s="119"/>
    </row>
    <row r="5728" ht="15.75" customHeight="1">
      <c r="A5728" s="122" t="str">
        <f>IFERROR(__xludf.DUMMYFUNCTION("""COMPUTED_VALUE"""),"0988 482 418")</f>
        <v>0988 482 418</v>
      </c>
      <c r="B5728" s="119" t="str">
        <f>IFERROR(__xludf.DUMMYFUNCTION("""COMPUTED_VALUE"""),"Chị Chi")</f>
        <v>Chị Chi</v>
      </c>
      <c r="C5728" s="119" t="str">
        <f>IFERROR(__xludf.DUMMYFUNCTION("""COMPUTED_VALUE"""),"43 Đạm Phương")</f>
        <v>43 Đạm Phương</v>
      </c>
      <c r="D5728" s="119" t="str">
        <f>IFERROR(__xludf.DUMMYFUNCTION("""COMPUTED_VALUE"""),"Mèo")</f>
        <v>Mèo</v>
      </c>
      <c r="E5728" s="119"/>
    </row>
    <row r="5729" ht="15.75" customHeight="1">
      <c r="A5729" s="122" t="str">
        <f>IFERROR(__xludf.DUMMYFUNCTION("""COMPUTED_VALUE"""),"0702 029 499")</f>
        <v>0702 029 499</v>
      </c>
      <c r="B5729" s="119" t="str">
        <f>IFERROR(__xludf.DUMMYFUNCTION("""COMPUTED_VALUE"""),"Anh Châu Tuấn")</f>
        <v>Anh Châu Tuấn</v>
      </c>
      <c r="C5729" s="119" t="str">
        <f>IFERROR(__xludf.DUMMYFUNCTION("""COMPUTED_VALUE"""),"9/12/69 Lê Ngô Cát")</f>
        <v>9/12/69 Lê Ngô Cát</v>
      </c>
      <c r="D5729" s="119" t="str">
        <f>IFERROR(__xludf.DUMMYFUNCTION("""COMPUTED_VALUE"""),"Chó")</f>
        <v>Chó</v>
      </c>
      <c r="E5729" s="119" t="str">
        <f>IFERROR(__xludf.DUMMYFUNCTION("""COMPUTED_VALUE"""),"Mỡ")</f>
        <v>Mỡ</v>
      </c>
    </row>
    <row r="5730" ht="15.75" customHeight="1">
      <c r="A5730" s="122" t="str">
        <f>IFERROR(__xludf.DUMMYFUNCTION("""COMPUTED_VALUE"""),"0914 047 444")</f>
        <v>0914 047 444</v>
      </c>
      <c r="B5730" s="119" t="str">
        <f>IFERROR(__xludf.DUMMYFUNCTION("""COMPUTED_VALUE"""),"Chị Huyền")</f>
        <v>Chị Huyền</v>
      </c>
      <c r="C5730" s="119" t="str">
        <f>IFERROR(__xludf.DUMMYFUNCTION("""COMPUTED_VALUE"""),"Vỹ Dạ")</f>
        <v>Vỹ Dạ</v>
      </c>
      <c r="D5730" s="119" t="str">
        <f>IFERROR(__xludf.DUMMYFUNCTION("""COMPUTED_VALUE"""),"Chó")</f>
        <v>Chó</v>
      </c>
      <c r="E5730" s="119" t="str">
        <f>IFERROR(__xludf.DUMMYFUNCTION("""COMPUTED_VALUE"""),"Kun")</f>
        <v>Kun</v>
      </c>
    </row>
    <row r="5731" ht="15.75" customHeight="1">
      <c r="A5731" s="122" t="str">
        <f>IFERROR(__xludf.DUMMYFUNCTION("""COMPUTED_VALUE"""),"0935 414 600")</f>
        <v>0935 414 600</v>
      </c>
      <c r="B5731" s="119" t="str">
        <f>IFERROR(__xludf.DUMMYFUNCTION("""COMPUTED_VALUE"""),"Anh Đức")</f>
        <v>Anh Đức</v>
      </c>
      <c r="C5731" s="119" t="str">
        <f>IFERROR(__xludf.DUMMYFUNCTION("""COMPUTED_VALUE"""),"30/17 Phạm Thị Liên")</f>
        <v>30/17 Phạm Thị Liên</v>
      </c>
      <c r="D5731" s="119" t="str">
        <f>IFERROR(__xludf.DUMMYFUNCTION("""COMPUTED_VALUE"""),"Chó")</f>
        <v>Chó</v>
      </c>
      <c r="E5731" s="119" t="str">
        <f>IFERROR(__xludf.DUMMYFUNCTION("""COMPUTED_VALUE"""),"Nâu")</f>
        <v>Nâu</v>
      </c>
    </row>
    <row r="5732" ht="15.75" customHeight="1">
      <c r="A5732" s="122" t="str">
        <f>IFERROR(__xludf.DUMMYFUNCTION("""COMPUTED_VALUE"""),"0912 396 563")</f>
        <v>0912 396 563</v>
      </c>
      <c r="B5732" s="119" t="str">
        <f>IFERROR(__xludf.DUMMYFUNCTION("""COMPUTED_VALUE"""),"Dì Hương")</f>
        <v>Dì Hương</v>
      </c>
      <c r="C5732" s="119" t="str">
        <f>IFERROR(__xludf.DUMMYFUNCTION("""COMPUTED_VALUE"""),"3/7/122 Bạch Đằng")</f>
        <v>3/7/122 Bạch Đằng</v>
      </c>
      <c r="D5732" s="119" t="str">
        <f>IFERROR(__xludf.DUMMYFUNCTION("""COMPUTED_VALUE"""),"Chó")</f>
        <v>Chó</v>
      </c>
      <c r="E5732" s="119" t="str">
        <f>IFERROR(__xludf.DUMMYFUNCTION("""COMPUTED_VALUE"""),"Misa")</f>
        <v>Misa</v>
      </c>
    </row>
    <row r="5733" ht="15.75" customHeight="1">
      <c r="A5733" s="122" t="str">
        <f>IFERROR(__xludf.DUMMYFUNCTION("""COMPUTED_VALUE"""),"0981 329 589")</f>
        <v>0981 329 589</v>
      </c>
      <c r="B5733" s="119" t="str">
        <f>IFERROR(__xludf.DUMMYFUNCTION("""COMPUTED_VALUE"""),"Anh Thuỷ")</f>
        <v>Anh Thuỷ</v>
      </c>
      <c r="C5733" s="119" t="str">
        <f>IFERROR(__xludf.DUMMYFUNCTION("""COMPUTED_VALUE"""),"Phong Xuân, Phong Điền")</f>
        <v>Phong Xuân, Phong Điền</v>
      </c>
      <c r="D5733" s="119" t="str">
        <f>IFERROR(__xludf.DUMMYFUNCTION("""COMPUTED_VALUE"""),"Chó")</f>
        <v>Chó</v>
      </c>
      <c r="E5733" s="119" t="str">
        <f>IFERROR(__xludf.DUMMYFUNCTION("""COMPUTED_VALUE"""),"Sâu")</f>
        <v>Sâu</v>
      </c>
    </row>
    <row r="5734" ht="15.75" customHeight="1">
      <c r="A5734" s="122" t="str">
        <f>IFERROR(__xludf.DUMMYFUNCTION("""COMPUTED_VALUE"""),"0382 883 106")</f>
        <v>0382 883 106</v>
      </c>
      <c r="B5734" s="119" t="str">
        <f>IFERROR(__xludf.DUMMYFUNCTION("""COMPUTED_VALUE"""),"Dì Diệp")</f>
        <v>Dì Diệp</v>
      </c>
      <c r="C5734" s="119" t="str">
        <f>IFERROR(__xludf.DUMMYFUNCTION("""COMPUTED_VALUE"""),"24/12 Nguyễn Phúc Nguyên")</f>
        <v>24/12 Nguyễn Phúc Nguyên</v>
      </c>
      <c r="D5734" s="119" t="str">
        <f>IFERROR(__xludf.DUMMYFUNCTION("""COMPUTED_VALUE"""),"Chó")</f>
        <v>Chó</v>
      </c>
      <c r="E5734" s="119" t="str">
        <f>IFERROR(__xludf.DUMMYFUNCTION("""COMPUTED_VALUE"""),"Milu")</f>
        <v>Milu</v>
      </c>
    </row>
    <row r="5735" ht="15.75" customHeight="1">
      <c r="A5735" s="122" t="str">
        <f>IFERROR(__xludf.DUMMYFUNCTION("""COMPUTED_VALUE"""),"0774 466 094")</f>
        <v>0774 466 094</v>
      </c>
      <c r="B5735" s="119" t="str">
        <f>IFERROR(__xludf.DUMMYFUNCTION("""COMPUTED_VALUE"""),"Dì Ngọc")</f>
        <v>Dì Ngọc</v>
      </c>
      <c r="C5735" s="119" t="str">
        <f>IFERROR(__xludf.DUMMYFUNCTION("""COMPUTED_VALUE"""),"18/34 Nguyễn Hoàng")</f>
        <v>18/34 Nguyễn Hoàng</v>
      </c>
      <c r="D5735" s="119" t="str">
        <f>IFERROR(__xludf.DUMMYFUNCTION("""COMPUTED_VALUE"""),"Chó")</f>
        <v>Chó</v>
      </c>
      <c r="E5735" s="119" t="str">
        <f>IFERROR(__xludf.DUMMYFUNCTION("""COMPUTED_VALUE"""),"Xu")</f>
        <v>Xu</v>
      </c>
    </row>
    <row r="5736" ht="15.75" customHeight="1">
      <c r="A5736" s="122" t="str">
        <f>IFERROR(__xludf.DUMMYFUNCTION("""COMPUTED_VALUE"""),"0352 582 092")</f>
        <v>0352 582 092</v>
      </c>
      <c r="B5736" s="119" t="str">
        <f>IFERROR(__xludf.DUMMYFUNCTION("""COMPUTED_VALUE"""),"Em Thịnh")</f>
        <v>Em Thịnh</v>
      </c>
      <c r="C5736" s="119" t="str">
        <f>IFERROR(__xludf.DUMMYFUNCTION("""COMPUTED_VALUE"""),"19 La Sơn Phu Tử")</f>
        <v>19 La Sơn Phu Tử</v>
      </c>
      <c r="D5736" s="119" t="str">
        <f>IFERROR(__xludf.DUMMYFUNCTION("""COMPUTED_VALUE"""),"Chó")</f>
        <v>Chó</v>
      </c>
      <c r="E5736" s="119" t="str">
        <f>IFERROR(__xludf.DUMMYFUNCTION("""COMPUTED_VALUE"""),"Lu")</f>
        <v>Lu</v>
      </c>
    </row>
    <row r="5737" ht="15.75" customHeight="1">
      <c r="A5737" s="122" t="str">
        <f>IFERROR(__xludf.DUMMYFUNCTION("""COMPUTED_VALUE"""),"0366 453 540")</f>
        <v>0366 453 540</v>
      </c>
      <c r="B5737" s="119" t="str">
        <f>IFERROR(__xludf.DUMMYFUNCTION("""COMPUTED_VALUE"""),"Anh Toán")</f>
        <v>Anh Toán</v>
      </c>
      <c r="C5737" s="119" t="str">
        <f>IFERROR(__xludf.DUMMYFUNCTION("""COMPUTED_VALUE"""),"202 Lý Nam Đế")</f>
        <v>202 Lý Nam Đế</v>
      </c>
      <c r="D5737" s="119" t="str">
        <f>IFERROR(__xludf.DUMMYFUNCTION("""COMPUTED_VALUE"""),"Chó")</f>
        <v>Chó</v>
      </c>
      <c r="E5737" s="119"/>
    </row>
    <row r="5738" ht="15.75" customHeight="1">
      <c r="A5738" s="122" t="str">
        <f>IFERROR(__xludf.DUMMYFUNCTION("""COMPUTED_VALUE"""),"0935 987 962")</f>
        <v>0935 987 962</v>
      </c>
      <c r="B5738" s="119" t="str">
        <f>IFERROR(__xludf.DUMMYFUNCTION("""COMPUTED_VALUE"""),"DÌ Vân")</f>
        <v>DÌ Vân</v>
      </c>
      <c r="C5738" s="119" t="str">
        <f>IFERROR(__xludf.DUMMYFUNCTION("""COMPUTED_VALUE"""),"10/390 Bùi Thị Xuân")</f>
        <v>10/390 Bùi Thị Xuân</v>
      </c>
      <c r="D5738" s="119" t="str">
        <f>IFERROR(__xludf.DUMMYFUNCTION("""COMPUTED_VALUE"""),"Chó")</f>
        <v>Chó</v>
      </c>
      <c r="E5738" s="119" t="str">
        <f>IFERROR(__xludf.DUMMYFUNCTION("""COMPUTED_VALUE"""),"Ka")</f>
        <v>Ka</v>
      </c>
    </row>
    <row r="5739" ht="15.75" customHeight="1">
      <c r="A5739" s="122" t="str">
        <f>IFERROR(__xludf.DUMMYFUNCTION("""COMPUTED_VALUE"""),"0942 453 993")</f>
        <v>0942 453 993</v>
      </c>
      <c r="B5739" s="119" t="str">
        <f>IFERROR(__xludf.DUMMYFUNCTION("""COMPUTED_VALUE"""),"Chú Khương")</f>
        <v>Chú Khương</v>
      </c>
      <c r="C5739" s="119" t="str">
        <f>IFERROR(__xludf.DUMMYFUNCTION("""COMPUTED_VALUE"""),"5/30 Đống Đa")</f>
        <v>5/30 Đống Đa</v>
      </c>
      <c r="D5739" s="119" t="str">
        <f>IFERROR(__xludf.DUMMYFUNCTION("""COMPUTED_VALUE"""),"Chó")</f>
        <v>Chó</v>
      </c>
      <c r="E5739" s="119" t="str">
        <f>IFERROR(__xludf.DUMMYFUNCTION("""COMPUTED_VALUE"""),"To")</f>
        <v>To</v>
      </c>
    </row>
    <row r="5740" ht="15.75" customHeight="1">
      <c r="A5740" s="122" t="str">
        <f>IFERROR(__xludf.DUMMYFUNCTION("""COMPUTED_VALUE"""),"0935 324 357")</f>
        <v>0935 324 357</v>
      </c>
      <c r="B5740" s="119" t="str">
        <f>IFERROR(__xludf.DUMMYFUNCTION("""COMPUTED_VALUE"""),"Chú Mừng")</f>
        <v>Chú Mừng</v>
      </c>
      <c r="C5740" s="119" t="str">
        <f>IFERROR(__xludf.DUMMYFUNCTION("""COMPUTED_VALUE"""),"18 Nguyễn Hữu Dật")</f>
        <v>18 Nguyễn Hữu Dật</v>
      </c>
      <c r="D5740" s="119" t="str">
        <f>IFERROR(__xludf.DUMMYFUNCTION("""COMPUTED_VALUE"""),"Chó")</f>
        <v>Chó</v>
      </c>
      <c r="E5740" s="119"/>
    </row>
    <row r="5741" ht="15.75" customHeight="1">
      <c r="A5741" s="122" t="str">
        <f>IFERROR(__xludf.DUMMYFUNCTION("""COMPUTED_VALUE"""),"0762 676 841")</f>
        <v>0762 676 841</v>
      </c>
      <c r="B5741" s="119" t="str">
        <f>IFERROR(__xludf.DUMMYFUNCTION("""COMPUTED_VALUE"""),"Dì Giang")</f>
        <v>Dì Giang</v>
      </c>
      <c r="C5741" s="119" t="str">
        <f>IFERROR(__xludf.DUMMYFUNCTION("""COMPUTED_VALUE"""),"77 Nguyễn Hoàng")</f>
        <v>77 Nguyễn Hoàng</v>
      </c>
      <c r="D5741" s="119" t="str">
        <f>IFERROR(__xludf.DUMMYFUNCTION("""COMPUTED_VALUE"""),"Chó")</f>
        <v>Chó</v>
      </c>
      <c r="E5741" s="119"/>
    </row>
    <row r="5742" ht="15.75" customHeight="1">
      <c r="A5742" s="122" t="str">
        <f>IFERROR(__xludf.DUMMYFUNCTION("""COMPUTED_VALUE"""),"0782 103 371")</f>
        <v>0782 103 371</v>
      </c>
      <c r="B5742" s="119" t="str">
        <f>IFERROR(__xludf.DUMMYFUNCTION("""COMPUTED_VALUE"""),"Chị Nhi")</f>
        <v>Chị Nhi</v>
      </c>
      <c r="C5742" s="119" t="str">
        <f>IFERROR(__xludf.DUMMYFUNCTION("""COMPUTED_VALUE"""),"110 Kim Long")</f>
        <v>110 Kim Long</v>
      </c>
      <c r="D5742" s="119" t="str">
        <f>IFERROR(__xludf.DUMMYFUNCTION("""COMPUTED_VALUE"""),"Chó")</f>
        <v>Chó</v>
      </c>
      <c r="E5742" s="119" t="str">
        <f>IFERROR(__xludf.DUMMYFUNCTION("""COMPUTED_VALUE"""),"Ki")</f>
        <v>Ki</v>
      </c>
    </row>
    <row r="5743" ht="15.75" customHeight="1">
      <c r="A5743" s="122" t="str">
        <f>IFERROR(__xludf.DUMMYFUNCTION("""COMPUTED_VALUE"""),"0917 989 315")</f>
        <v>0917 989 315</v>
      </c>
      <c r="B5743" s="119" t="str">
        <f>IFERROR(__xludf.DUMMYFUNCTION("""COMPUTED_VALUE"""),"Dì Hà")</f>
        <v>Dì Hà</v>
      </c>
      <c r="C5743" s="119" t="str">
        <f>IFERROR(__xludf.DUMMYFUNCTION("""COMPUTED_VALUE"""),"104/17/8 Kim Long")</f>
        <v>104/17/8 Kim Long</v>
      </c>
      <c r="D5743" s="119" t="str">
        <f>IFERROR(__xludf.DUMMYFUNCTION("""COMPUTED_VALUE"""),"Chó")</f>
        <v>Chó</v>
      </c>
      <c r="E5743" s="119" t="str">
        <f>IFERROR(__xludf.DUMMYFUNCTION("""COMPUTED_VALUE"""),"Lulu")</f>
        <v>Lulu</v>
      </c>
    </row>
    <row r="5744" ht="15.75" customHeight="1">
      <c r="A5744" s="122" t="str">
        <f>IFERROR(__xludf.DUMMYFUNCTION("""COMPUTED_VALUE"""),"0914 230 909")</f>
        <v>0914 230 909</v>
      </c>
      <c r="B5744" s="119" t="str">
        <f>IFERROR(__xludf.DUMMYFUNCTION("""COMPUTED_VALUE"""),"Bác Lương")</f>
        <v>Bác Lương</v>
      </c>
      <c r="C5744" s="119" t="str">
        <f>IFERROR(__xludf.DUMMYFUNCTION("""COMPUTED_VALUE"""),"60/5 Phạm Thị Liên")</f>
        <v>60/5 Phạm Thị Liên</v>
      </c>
      <c r="D5744" s="119" t="str">
        <f>IFERROR(__xludf.DUMMYFUNCTION("""COMPUTED_VALUE"""),"Chó")</f>
        <v>Chó</v>
      </c>
      <c r="E5744" s="119" t="str">
        <f>IFERROR(__xludf.DUMMYFUNCTION("""COMPUTED_VALUE"""),"Mun")</f>
        <v>Mun</v>
      </c>
    </row>
    <row r="5745" ht="15.75" customHeight="1">
      <c r="A5745" s="122" t="str">
        <f>IFERROR(__xludf.DUMMYFUNCTION("""COMPUTED_VALUE"""),"0837 657 506")</f>
        <v>0837 657 506</v>
      </c>
      <c r="B5745" s="119" t="str">
        <f>IFERROR(__xludf.DUMMYFUNCTION("""COMPUTED_VALUE"""),"Chị Thư")</f>
        <v>Chị Thư</v>
      </c>
      <c r="C5745" s="119" t="str">
        <f>IFERROR(__xludf.DUMMYFUNCTION("""COMPUTED_VALUE"""),"3/254 Phan Chu Trinh")</f>
        <v>3/254 Phan Chu Trinh</v>
      </c>
      <c r="D5745" s="119" t="str">
        <f>IFERROR(__xludf.DUMMYFUNCTION("""COMPUTED_VALUE"""),"Mèo")</f>
        <v>Mèo</v>
      </c>
      <c r="E5745" s="119" t="str">
        <f>IFERROR(__xludf.DUMMYFUNCTION("""COMPUTED_VALUE"""),"Po")</f>
        <v>Po</v>
      </c>
    </row>
    <row r="5746" ht="15.75" customHeight="1">
      <c r="A5746" s="122" t="str">
        <f>IFERROR(__xludf.DUMMYFUNCTION("""COMPUTED_VALUE"""),"0859 196 211")</f>
        <v>0859 196 211</v>
      </c>
      <c r="B5746" s="119" t="str">
        <f>IFERROR(__xludf.DUMMYFUNCTION("""COMPUTED_VALUE"""),"Em Thanh Phong")</f>
        <v>Em Thanh Phong</v>
      </c>
      <c r="C5746" s="119" t="str">
        <f>IFERROR(__xludf.DUMMYFUNCTION("""COMPUTED_VALUE"""),"20/3/5 Vạn Xuân")</f>
        <v>20/3/5 Vạn Xuân</v>
      </c>
      <c r="D5746" s="119" t="str">
        <f>IFERROR(__xludf.DUMMYFUNCTION("""COMPUTED_VALUE"""),"Chó")</f>
        <v>Chó</v>
      </c>
      <c r="E5746" s="119" t="str">
        <f>IFERROR(__xludf.DUMMYFUNCTION("""COMPUTED_VALUE"""),"Baby")</f>
        <v>Baby</v>
      </c>
    </row>
    <row r="5747" ht="15.75" customHeight="1">
      <c r="A5747" s="122" t="str">
        <f>IFERROR(__xludf.DUMMYFUNCTION("""COMPUTED_VALUE"""),"0903 588 699")</f>
        <v>0903 588 699</v>
      </c>
      <c r="B5747" s="119" t="str">
        <f>IFERROR(__xludf.DUMMYFUNCTION("""COMPUTED_VALUE"""),"Bác Thành Lê")</f>
        <v>Bác Thành Lê</v>
      </c>
      <c r="C5747" s="119" t="str">
        <f>IFERROR(__xludf.DUMMYFUNCTION("""COMPUTED_VALUE"""),"Vĩnh An -Phú Vang")</f>
        <v>Vĩnh An -Phú Vang</v>
      </c>
      <c r="D5747" s="119" t="str">
        <f>IFERROR(__xludf.DUMMYFUNCTION("""COMPUTED_VALUE"""),"Chó")</f>
        <v>Chó</v>
      </c>
      <c r="E5747" s="119" t="str">
        <f>IFERROR(__xludf.DUMMYFUNCTION("""COMPUTED_VALUE"""),"Niko")</f>
        <v>Niko</v>
      </c>
    </row>
    <row r="5748" ht="15.75" customHeight="1">
      <c r="A5748" s="122" t="str">
        <f>IFERROR(__xludf.DUMMYFUNCTION("""COMPUTED_VALUE"""),"0329 473 218")</f>
        <v>0329 473 218</v>
      </c>
      <c r="B5748" s="119" t="str">
        <f>IFERROR(__xludf.DUMMYFUNCTION("""COMPUTED_VALUE"""),"Darren")</f>
        <v>Darren</v>
      </c>
      <c r="C5748" s="119" t="str">
        <f>IFERROR(__xludf.DUMMYFUNCTION("""COMPUTED_VALUE"""),"21 An Dương Vương")</f>
        <v>21 An Dương Vương</v>
      </c>
      <c r="D5748" s="119" t="str">
        <f>IFERROR(__xludf.DUMMYFUNCTION("""COMPUTED_VALUE"""),"Mèo")</f>
        <v>Mèo</v>
      </c>
      <c r="E5748" s="119" t="str">
        <f>IFERROR(__xludf.DUMMYFUNCTION("""COMPUTED_VALUE"""),"Rex")</f>
        <v>Rex</v>
      </c>
    </row>
    <row r="5749" ht="15.75" customHeight="1">
      <c r="A5749" s="122" t="str">
        <f>IFERROR(__xludf.DUMMYFUNCTION("""COMPUTED_VALUE"""),"0983 529 095")</f>
        <v>0983 529 095</v>
      </c>
      <c r="B5749" s="119" t="str">
        <f>IFERROR(__xludf.DUMMYFUNCTION("""COMPUTED_VALUE"""),"Anh Thành")</f>
        <v>Anh Thành</v>
      </c>
      <c r="C5749" s="119" t="str">
        <f>IFERROR(__xludf.DUMMYFUNCTION("""COMPUTED_VALUE"""),"22/12 Phú Mộng")</f>
        <v>22/12 Phú Mộng</v>
      </c>
      <c r="D5749" s="119" t="str">
        <f>IFERROR(__xludf.DUMMYFUNCTION("""COMPUTED_VALUE"""),"Chó")</f>
        <v>Chó</v>
      </c>
      <c r="E5749" s="119" t="str">
        <f>IFERROR(__xludf.DUMMYFUNCTION("""COMPUTED_VALUE"""),"Milu")</f>
        <v>Milu</v>
      </c>
    </row>
    <row r="5750" ht="15.75" customHeight="1">
      <c r="A5750" s="122" t="str">
        <f>IFERROR(__xludf.DUMMYFUNCTION("""COMPUTED_VALUE"""),"0793 514 882")</f>
        <v>0793 514 882</v>
      </c>
      <c r="B5750" s="119" t="str">
        <f>IFERROR(__xludf.DUMMYFUNCTION("""COMPUTED_VALUE"""),"Chị Cẩm Tú")</f>
        <v>Chị Cẩm Tú</v>
      </c>
      <c r="C5750" s="119" t="str">
        <f>IFERROR(__xludf.DUMMYFUNCTION("""COMPUTED_VALUE"""),"Bạch Đằng")</f>
        <v>Bạch Đằng</v>
      </c>
      <c r="D5750" s="119" t="str">
        <f>IFERROR(__xludf.DUMMYFUNCTION("""COMPUTED_VALUE"""),"Chó")</f>
        <v>Chó</v>
      </c>
      <c r="E5750" s="119" t="str">
        <f>IFERROR(__xludf.DUMMYFUNCTION("""COMPUTED_VALUE"""),"heo")</f>
        <v>heo</v>
      </c>
    </row>
    <row r="5751" ht="15.75" customHeight="1">
      <c r="A5751" s="122" t="str">
        <f>IFERROR(__xludf.DUMMYFUNCTION("""COMPUTED_VALUE"""),"0368 466 837")</f>
        <v>0368 466 837</v>
      </c>
      <c r="B5751" s="119" t="str">
        <f>IFERROR(__xludf.DUMMYFUNCTION("""COMPUTED_VALUE"""),"Chú Đỡ")</f>
        <v>Chú Đỡ</v>
      </c>
      <c r="C5751" s="119" t="str">
        <f>IFERROR(__xludf.DUMMYFUNCTION("""COMPUTED_VALUE"""),"18 Lê Quang Quyền")</f>
        <v>18 Lê Quang Quyền</v>
      </c>
      <c r="D5751" s="119" t="str">
        <f>IFERROR(__xludf.DUMMYFUNCTION("""COMPUTED_VALUE"""),"Chó")</f>
        <v>Chó</v>
      </c>
      <c r="E5751" s="119" t="str">
        <f>IFERROR(__xludf.DUMMYFUNCTION("""COMPUTED_VALUE"""),"micky")</f>
        <v>micky</v>
      </c>
    </row>
    <row r="5752" ht="15.75" customHeight="1">
      <c r="A5752" s="122" t="str">
        <f>IFERROR(__xludf.DUMMYFUNCTION("""COMPUTED_VALUE"""),"0903 591 646")</f>
        <v>0903 591 646</v>
      </c>
      <c r="B5752" s="119" t="str">
        <f>IFERROR(__xludf.DUMMYFUNCTION("""COMPUTED_VALUE"""),"Chị Vân")</f>
        <v>Chị Vân</v>
      </c>
      <c r="C5752" s="119" t="str">
        <f>IFERROR(__xludf.DUMMYFUNCTION("""COMPUTED_VALUE"""),"k17 Xã Tắc")</f>
        <v>k17 Xã Tắc</v>
      </c>
      <c r="D5752" s="119" t="str">
        <f>IFERROR(__xludf.DUMMYFUNCTION("""COMPUTED_VALUE"""),"Chó")</f>
        <v>Chó</v>
      </c>
      <c r="E5752" s="119" t="str">
        <f>IFERROR(__xludf.DUMMYFUNCTION("""COMPUTED_VALUE"""),"Vid")</f>
        <v>Vid</v>
      </c>
    </row>
    <row r="5753" ht="15.75" customHeight="1">
      <c r="A5753" s="122" t="str">
        <f>IFERROR(__xludf.DUMMYFUNCTION("""COMPUTED_VALUE"""),"0772 463 311")</f>
        <v>0772 463 311</v>
      </c>
      <c r="B5753" s="119" t="str">
        <f>IFERROR(__xludf.DUMMYFUNCTION("""COMPUTED_VALUE"""),"Anh Bảo Thạnh")</f>
        <v>Anh Bảo Thạnh</v>
      </c>
      <c r="C5753" s="119" t="str">
        <f>IFERROR(__xludf.DUMMYFUNCTION("""COMPUTED_VALUE"""),"128 Nguyễn Sinh Cung")</f>
        <v>128 Nguyễn Sinh Cung</v>
      </c>
      <c r="D5753" s="119" t="str">
        <f>IFERROR(__xludf.DUMMYFUNCTION("""COMPUTED_VALUE"""),"Chó")</f>
        <v>Chó</v>
      </c>
      <c r="E5753" s="119" t="str">
        <f>IFERROR(__xludf.DUMMYFUNCTION("""COMPUTED_VALUE"""),"Lix")</f>
        <v>Lix</v>
      </c>
    </row>
    <row r="5754" ht="15.75" customHeight="1">
      <c r="A5754" s="122" t="str">
        <f>IFERROR(__xludf.DUMMYFUNCTION("""COMPUTED_VALUE"""),"0981 287 895")</f>
        <v>0981 287 895</v>
      </c>
      <c r="B5754" s="119" t="str">
        <f>IFERROR(__xludf.DUMMYFUNCTION("""COMPUTED_VALUE"""),"chị Hoài Anh")</f>
        <v>chị Hoài Anh</v>
      </c>
      <c r="C5754" s="119" t="str">
        <f>IFERROR(__xludf.DUMMYFUNCTION("""COMPUTED_VALUE"""),"Lê Ngô Cát")</f>
        <v>Lê Ngô Cát</v>
      </c>
      <c r="D5754" s="119" t="str">
        <f>IFERROR(__xludf.DUMMYFUNCTION("""COMPUTED_VALUE"""),"Chó")</f>
        <v>Chó</v>
      </c>
      <c r="E5754" s="119" t="str">
        <f>IFERROR(__xludf.DUMMYFUNCTION("""COMPUTED_VALUE"""),"Mỡ")</f>
        <v>Mỡ</v>
      </c>
    </row>
    <row r="5755" ht="15.75" customHeight="1">
      <c r="A5755" s="122" t="str">
        <f>IFERROR(__xludf.DUMMYFUNCTION("""COMPUTED_VALUE"""),"0795 522 384")</f>
        <v>0795 522 384</v>
      </c>
      <c r="B5755" s="119" t="str">
        <f>IFERROR(__xludf.DUMMYFUNCTION("""COMPUTED_VALUE"""),"Em Dũng")</f>
        <v>Em Dũng</v>
      </c>
      <c r="C5755" s="119" t="str">
        <f>IFERROR(__xludf.DUMMYFUNCTION("""COMPUTED_VALUE"""),"3 Nguyễn Phúc lan")</f>
        <v>3 Nguyễn Phúc lan</v>
      </c>
      <c r="D5755" s="119" t="str">
        <f>IFERROR(__xludf.DUMMYFUNCTION("""COMPUTED_VALUE"""),"Chó")</f>
        <v>Chó</v>
      </c>
      <c r="E5755" s="119"/>
    </row>
    <row r="5756" ht="15.75" customHeight="1">
      <c r="A5756" s="122" t="str">
        <f>IFERROR(__xludf.DUMMYFUNCTION("""COMPUTED_VALUE"""),"0889 227 072")</f>
        <v>0889 227 072</v>
      </c>
      <c r="B5756" s="119" t="str">
        <f>IFERROR(__xludf.DUMMYFUNCTION("""COMPUTED_VALUE"""),"Chị Thảo")</f>
        <v>Chị Thảo</v>
      </c>
      <c r="C5756" s="119" t="str">
        <f>IFERROR(__xludf.DUMMYFUNCTION("""COMPUTED_VALUE"""),"79 Nguyễn Hoàng")</f>
        <v>79 Nguyễn Hoàng</v>
      </c>
      <c r="D5756" s="119" t="str">
        <f>IFERROR(__xludf.DUMMYFUNCTION("""COMPUTED_VALUE"""),"Chó")</f>
        <v>Chó</v>
      </c>
      <c r="E5756" s="119" t="str">
        <f>IFERROR(__xludf.DUMMYFUNCTION("""COMPUTED_VALUE"""),"Sữa")</f>
        <v>Sữa</v>
      </c>
    </row>
    <row r="5757" ht="15.75" customHeight="1">
      <c r="A5757" s="122" t="str">
        <f>IFERROR(__xludf.DUMMYFUNCTION("""COMPUTED_VALUE"""),"0326 137 743")</f>
        <v>0326 137 743</v>
      </c>
      <c r="B5757" s="119" t="str">
        <f>IFERROR(__xludf.DUMMYFUNCTION("""COMPUTED_VALUE"""),"Chị Hậu")</f>
        <v>Chị Hậu</v>
      </c>
      <c r="C5757" s="119" t="str">
        <f>IFERROR(__xludf.DUMMYFUNCTION("""COMPUTED_VALUE"""),"29/240 Lý Nam Đế")</f>
        <v>29/240 Lý Nam Đế</v>
      </c>
      <c r="D5757" s="119" t="str">
        <f>IFERROR(__xludf.DUMMYFUNCTION("""COMPUTED_VALUE"""),"Chó")</f>
        <v>Chó</v>
      </c>
      <c r="E5757" s="119" t="str">
        <f>IFERROR(__xludf.DUMMYFUNCTION("""COMPUTED_VALUE"""),"mun")</f>
        <v>mun</v>
      </c>
    </row>
    <row r="5758" ht="15.75" customHeight="1">
      <c r="A5758" s="122" t="str">
        <f>IFERROR(__xludf.DUMMYFUNCTION("""COMPUTED_VALUE"""),"0376 642 118")</f>
        <v>0376 642 118</v>
      </c>
      <c r="B5758" s="119" t="str">
        <f>IFERROR(__xludf.DUMMYFUNCTION("""COMPUTED_VALUE"""),"Chị Mai Hoa")</f>
        <v>Chị Mai Hoa</v>
      </c>
      <c r="C5758" s="119" t="str">
        <f>IFERROR(__xludf.DUMMYFUNCTION("""COMPUTED_VALUE"""),"Thuỷ Dương")</f>
        <v>Thuỷ Dương</v>
      </c>
      <c r="D5758" s="119" t="str">
        <f>IFERROR(__xludf.DUMMYFUNCTION("""COMPUTED_VALUE"""),"Mèo")</f>
        <v>Mèo</v>
      </c>
      <c r="E5758" s="119"/>
    </row>
    <row r="5759" ht="15.75" customHeight="1">
      <c r="A5759" s="122" t="str">
        <f>IFERROR(__xludf.DUMMYFUNCTION("""COMPUTED_VALUE"""),"0794 521 276")</f>
        <v>0794 521 276</v>
      </c>
      <c r="B5759" s="119" t="str">
        <f>IFERROR(__xludf.DUMMYFUNCTION("""COMPUTED_VALUE"""),"Anh Trung")</f>
        <v>Anh Trung</v>
      </c>
      <c r="C5759" s="119" t="str">
        <f>IFERROR(__xludf.DUMMYFUNCTION("""COMPUTED_VALUE"""),"3/12/20 Vạn Xuân")</f>
        <v>3/12/20 Vạn Xuân</v>
      </c>
      <c r="D5759" s="119" t="str">
        <f>IFERROR(__xludf.DUMMYFUNCTION("""COMPUTED_VALUE"""),"Chó")</f>
        <v>Chó</v>
      </c>
      <c r="E5759" s="119"/>
    </row>
    <row r="5760" ht="15.75" customHeight="1">
      <c r="A5760" s="122" t="str">
        <f>IFERROR(__xludf.DUMMYFUNCTION("""COMPUTED_VALUE"""),"0935 205 686")</f>
        <v>0935 205 686</v>
      </c>
      <c r="B5760" s="119" t="str">
        <f>IFERROR(__xludf.DUMMYFUNCTION("""COMPUTED_VALUE"""),"Anh Rôn")</f>
        <v>Anh Rôn</v>
      </c>
      <c r="C5760" s="119" t="str">
        <f>IFERROR(__xludf.DUMMYFUNCTION("""COMPUTED_VALUE"""),"220 Nguyễn Sinh Cung")</f>
        <v>220 Nguyễn Sinh Cung</v>
      </c>
      <c r="D5760" s="119" t="str">
        <f>IFERROR(__xludf.DUMMYFUNCTION("""COMPUTED_VALUE"""),"Mèo")</f>
        <v>Mèo</v>
      </c>
      <c r="E5760" s="119" t="str">
        <f>IFERROR(__xludf.DUMMYFUNCTION("""COMPUTED_VALUE"""),"Sobin")</f>
        <v>Sobin</v>
      </c>
    </row>
    <row r="5761" ht="15.75" customHeight="1">
      <c r="A5761" s="122" t="str">
        <f>IFERROR(__xludf.DUMMYFUNCTION("""COMPUTED_VALUE"""),"0797 754 567")</f>
        <v>0797 754 567</v>
      </c>
      <c r="B5761" s="119" t="str">
        <f>IFERROR(__xludf.DUMMYFUNCTION("""COMPUTED_VALUE"""),"Anh Huy")</f>
        <v>Anh Huy</v>
      </c>
      <c r="C5761" s="119" t="str">
        <f>IFERROR(__xludf.DUMMYFUNCTION("""COMPUTED_VALUE"""),"k80 Nguyễn Hoàng")</f>
        <v>k80 Nguyễn Hoàng</v>
      </c>
      <c r="D5761" s="119" t="str">
        <f>IFERROR(__xludf.DUMMYFUNCTION("""COMPUTED_VALUE"""),"Chó")</f>
        <v>Chó</v>
      </c>
      <c r="E5761" s="119"/>
    </row>
    <row r="5762" ht="15.75" customHeight="1">
      <c r="A5762" s="122" t="str">
        <f>IFERROR(__xludf.DUMMYFUNCTION("""COMPUTED_VALUE"""),"0346 396 260")</f>
        <v>0346 396 260</v>
      </c>
      <c r="B5762" s="119" t="str">
        <f>IFERROR(__xludf.DUMMYFUNCTION("""COMPUTED_VALUE"""),"chị Nhi")</f>
        <v>chị Nhi</v>
      </c>
      <c r="C5762" s="119" t="str">
        <f>IFERROR(__xludf.DUMMYFUNCTION("""COMPUTED_VALUE"""),"22/333 Nguyễn tất thành")</f>
        <v>22/333 Nguyễn tất thành</v>
      </c>
      <c r="D5762" s="119" t="str">
        <f>IFERROR(__xludf.DUMMYFUNCTION("""COMPUTED_VALUE"""),"Chó")</f>
        <v>Chó</v>
      </c>
      <c r="E5762" s="119" t="str">
        <f>IFERROR(__xludf.DUMMYFUNCTION("""COMPUTED_VALUE"""),"bia")</f>
        <v>bia</v>
      </c>
    </row>
    <row r="5763" ht="15.75" customHeight="1">
      <c r="A5763" s="122" t="str">
        <f>IFERROR(__xludf.DUMMYFUNCTION("""COMPUTED_VALUE"""),"0919 654 390")</f>
        <v>0919 654 390</v>
      </c>
      <c r="B5763" s="119" t="str">
        <f>IFERROR(__xludf.DUMMYFUNCTION("""COMPUTED_VALUE"""),"Bác Bách")</f>
        <v>Bác Bách</v>
      </c>
      <c r="C5763" s="119" t="str">
        <f>IFERROR(__xludf.DUMMYFUNCTION("""COMPUTED_VALUE"""),"27 Lê Quang Quyền")</f>
        <v>27 Lê Quang Quyền</v>
      </c>
      <c r="D5763" s="119" t="str">
        <f>IFERROR(__xludf.DUMMYFUNCTION("""COMPUTED_VALUE"""),"Chó")</f>
        <v>Chó</v>
      </c>
      <c r="E5763" s="119" t="str">
        <f>IFERROR(__xludf.DUMMYFUNCTION("""COMPUTED_VALUE"""),"lu")</f>
        <v>lu</v>
      </c>
    </row>
    <row r="5764" ht="15.75" customHeight="1">
      <c r="A5764" s="122" t="str">
        <f>IFERROR(__xludf.DUMMYFUNCTION("""COMPUTED_VALUE"""),"0766 703 266")</f>
        <v>0766 703 266</v>
      </c>
      <c r="B5764" s="119" t="str">
        <f>IFERROR(__xludf.DUMMYFUNCTION("""COMPUTED_VALUE"""),"Chị Trâm")</f>
        <v>Chị Trâm</v>
      </c>
      <c r="C5764" s="119" t="str">
        <f>IFERROR(__xludf.DUMMYFUNCTION("""COMPUTED_VALUE"""),"28 Đáo Duy Anh")</f>
        <v>28 Đáo Duy Anh</v>
      </c>
      <c r="D5764" s="119" t="str">
        <f>IFERROR(__xludf.DUMMYFUNCTION("""COMPUTED_VALUE"""),"Mèo")</f>
        <v>Mèo</v>
      </c>
      <c r="E5764" s="119" t="str">
        <f>IFERROR(__xludf.DUMMYFUNCTION("""COMPUTED_VALUE"""),"Đen")</f>
        <v>Đen</v>
      </c>
    </row>
    <row r="5765" ht="15.75" customHeight="1">
      <c r="A5765" s="122" t="str">
        <f>IFERROR(__xludf.DUMMYFUNCTION("""COMPUTED_VALUE"""),"0773 546 266")</f>
        <v>0773 546 266</v>
      </c>
      <c r="B5765" s="119" t="str">
        <f>IFERROR(__xludf.DUMMYFUNCTION("""COMPUTED_VALUE"""),"Chị Thoa")</f>
        <v>Chị Thoa</v>
      </c>
      <c r="C5765" s="119" t="str">
        <f>IFERROR(__xludf.DUMMYFUNCTION("""COMPUTED_VALUE"""),"85 Lựu Bảo")</f>
        <v>85 Lựu Bảo</v>
      </c>
      <c r="D5765" s="119" t="str">
        <f>IFERROR(__xludf.DUMMYFUNCTION("""COMPUTED_VALUE"""),"Chó")</f>
        <v>Chó</v>
      </c>
      <c r="E5765" s="119" t="str">
        <f>IFERROR(__xludf.DUMMYFUNCTION("""COMPUTED_VALUE"""),"ủn")</f>
        <v>ủn</v>
      </c>
    </row>
    <row r="5766" ht="15.75" customHeight="1">
      <c r="A5766" s="122" t="str">
        <f>IFERROR(__xludf.DUMMYFUNCTION("""COMPUTED_VALUE"""),"0914 016 204")</f>
        <v>0914 016 204</v>
      </c>
      <c r="B5766" s="119" t="str">
        <f>IFERROR(__xludf.DUMMYFUNCTION("""COMPUTED_VALUE"""),"Anh Bảo Liên")</f>
        <v>Anh Bảo Liên</v>
      </c>
      <c r="C5766" s="119" t="str">
        <f>IFERROR(__xludf.DUMMYFUNCTION("""COMPUTED_VALUE"""),"1 Nguyễn Hoàng")</f>
        <v>1 Nguyễn Hoàng</v>
      </c>
      <c r="D5766" s="119" t="str">
        <f>IFERROR(__xludf.DUMMYFUNCTION("""COMPUTED_VALUE"""),"Chó")</f>
        <v>Chó</v>
      </c>
      <c r="E5766" s="119" t="str">
        <f>IFERROR(__xludf.DUMMYFUNCTION("""COMPUTED_VALUE"""),"lu")</f>
        <v>lu</v>
      </c>
    </row>
    <row r="5767" ht="15.75" customHeight="1">
      <c r="A5767" s="122" t="str">
        <f>IFERROR(__xludf.DUMMYFUNCTION("""COMPUTED_VALUE"""),"0903 916 648")</f>
        <v>0903 916 648</v>
      </c>
      <c r="B5767" s="119" t="str">
        <f>IFERROR(__xludf.DUMMYFUNCTION("""COMPUTED_VALUE"""),"Chị Vân")</f>
        <v>Chị Vân</v>
      </c>
      <c r="C5767" s="119" t="str">
        <f>IFERROR(__xludf.DUMMYFUNCTION("""COMPUTED_VALUE"""),"k17 Xã Tắc")</f>
        <v>k17 Xã Tắc</v>
      </c>
      <c r="D5767" s="119" t="str">
        <f>IFERROR(__xludf.DUMMYFUNCTION("""COMPUTED_VALUE"""),"Chó")</f>
        <v>Chó</v>
      </c>
      <c r="E5767" s="119" t="str">
        <f>IFERROR(__xludf.DUMMYFUNCTION("""COMPUTED_VALUE"""),"vid")</f>
        <v>vid</v>
      </c>
    </row>
    <row r="5768" ht="15.75" customHeight="1">
      <c r="A5768" s="122" t="str">
        <f>IFERROR(__xludf.DUMMYFUNCTION("""COMPUTED_VALUE"""),"0374 281 456")</f>
        <v>0374 281 456</v>
      </c>
      <c r="B5768" s="119" t="str">
        <f>IFERROR(__xludf.DUMMYFUNCTION("""COMPUTED_VALUE"""),"O Huế")</f>
        <v>O Huế</v>
      </c>
      <c r="C5768" s="119" t="str">
        <f>IFERROR(__xludf.DUMMYFUNCTION("""COMPUTED_VALUE"""),"An Hoà")</f>
        <v>An Hoà</v>
      </c>
      <c r="D5768" s="119" t="str">
        <f>IFERROR(__xludf.DUMMYFUNCTION("""COMPUTED_VALUE"""),"Chó")</f>
        <v>Chó</v>
      </c>
      <c r="E5768" s="119"/>
    </row>
    <row r="5769" ht="15.75" customHeight="1">
      <c r="A5769" s="122" t="str">
        <f>IFERROR(__xludf.DUMMYFUNCTION("""COMPUTED_VALUE"""),"0914 042 124")</f>
        <v>0914 042 124</v>
      </c>
      <c r="B5769" s="119" t="str">
        <f>IFERROR(__xludf.DUMMYFUNCTION("""COMPUTED_VALUE"""),"Dì Vân Anh")</f>
        <v>Dì Vân Anh</v>
      </c>
      <c r="C5769" s="119" t="str">
        <f>IFERROR(__xludf.DUMMYFUNCTION("""COMPUTED_VALUE"""),"97 Bao Vinh")</f>
        <v>97 Bao Vinh</v>
      </c>
      <c r="D5769" s="119" t="str">
        <f>IFERROR(__xludf.DUMMYFUNCTION("""COMPUTED_VALUE"""),"Mèo")</f>
        <v>Mèo</v>
      </c>
      <c r="E5769" s="119" t="str">
        <f>IFERROR(__xludf.DUMMYFUNCTION("""COMPUTED_VALUE"""),"Muối Tiêu")</f>
        <v>Muối Tiêu</v>
      </c>
    </row>
    <row r="5770" ht="15.75" customHeight="1">
      <c r="A5770" s="122" t="str">
        <f>IFERROR(__xludf.DUMMYFUNCTION("""COMPUTED_VALUE"""),"0777 575 195")</f>
        <v>0777 575 195</v>
      </c>
      <c r="B5770" s="119" t="str">
        <f>IFERROR(__xludf.DUMMYFUNCTION("""COMPUTED_VALUE"""),"Anh Nhật")</f>
        <v>Anh Nhật</v>
      </c>
      <c r="C5770" s="119" t="str">
        <f>IFERROR(__xludf.DUMMYFUNCTION("""COMPUTED_VALUE"""),"k35 Nguyễn Phúc lan")</f>
        <v>k35 Nguyễn Phúc lan</v>
      </c>
      <c r="D5770" s="119" t="str">
        <f>IFERROR(__xludf.DUMMYFUNCTION("""COMPUTED_VALUE"""),"Chó")</f>
        <v>Chó</v>
      </c>
      <c r="E5770" s="119"/>
    </row>
    <row r="5771" ht="15.75" customHeight="1">
      <c r="A5771" s="122" t="str">
        <f>IFERROR(__xludf.DUMMYFUNCTION("""COMPUTED_VALUE"""),"0935 396 693")</f>
        <v>0935 396 693</v>
      </c>
      <c r="B5771" s="119" t="str">
        <f>IFERROR(__xludf.DUMMYFUNCTION("""COMPUTED_VALUE"""),"Bác Thiện")</f>
        <v>Bác Thiện</v>
      </c>
      <c r="C5771" s="119" t="str">
        <f>IFERROR(__xludf.DUMMYFUNCTION("""COMPUTED_VALUE"""),"20 Nguyễn Hữu Đính")</f>
        <v>20 Nguyễn Hữu Đính</v>
      </c>
      <c r="D5771" s="119" t="str">
        <f>IFERROR(__xludf.DUMMYFUNCTION("""COMPUTED_VALUE"""),"Mèo")</f>
        <v>Mèo</v>
      </c>
      <c r="E5771" s="119" t="str">
        <f>IFERROR(__xludf.DUMMYFUNCTION("""COMPUTED_VALUE"""),"miu")</f>
        <v>miu</v>
      </c>
    </row>
    <row r="5772" ht="15.75" customHeight="1">
      <c r="A5772" s="122" t="str">
        <f>IFERROR(__xludf.DUMMYFUNCTION("""COMPUTED_VALUE"""),"0793 984 944")</f>
        <v>0793 984 944</v>
      </c>
      <c r="B5772" s="119" t="str">
        <f>IFERROR(__xludf.DUMMYFUNCTION("""COMPUTED_VALUE"""),"Em Nhã Uyên")</f>
        <v>Em Nhã Uyên</v>
      </c>
      <c r="C5772" s="119" t="str">
        <f>IFERROR(__xludf.DUMMYFUNCTION("""COMPUTED_VALUE"""),"281 Đặng Tất")</f>
        <v>281 Đặng Tất</v>
      </c>
      <c r="D5772" s="119" t="str">
        <f>IFERROR(__xludf.DUMMYFUNCTION("""COMPUTED_VALUE"""),"Mèo")</f>
        <v>Mèo</v>
      </c>
      <c r="E5772" s="119" t="str">
        <f>IFERROR(__xludf.DUMMYFUNCTION("""COMPUTED_VALUE"""),"gà")</f>
        <v>gà</v>
      </c>
    </row>
    <row r="5773" ht="15.75" customHeight="1">
      <c r="A5773" s="122" t="str">
        <f>IFERROR(__xludf.DUMMYFUNCTION("""COMPUTED_VALUE"""),"0768 404 527")</f>
        <v>0768 404 527</v>
      </c>
      <c r="B5773" s="119" t="str">
        <f>IFERROR(__xludf.DUMMYFUNCTION("""COMPUTED_VALUE"""),"Chị Nhật Hạ")</f>
        <v>Chị Nhật Hạ</v>
      </c>
      <c r="C5773" s="119" t="str">
        <f>IFERROR(__xludf.DUMMYFUNCTION("""COMPUTED_VALUE"""),"05 Lê Tự nhiên")</f>
        <v>05 Lê Tự nhiên</v>
      </c>
      <c r="D5773" s="119" t="str">
        <f>IFERROR(__xludf.DUMMYFUNCTION("""COMPUTED_VALUE"""),"Mèo")</f>
        <v>Mèo</v>
      </c>
      <c r="E5773" s="119" t="str">
        <f>IFERROR(__xludf.DUMMYFUNCTION("""COMPUTED_VALUE"""),"bún")</f>
        <v>bún</v>
      </c>
    </row>
    <row r="5774" ht="15.75" customHeight="1">
      <c r="A5774" s="122" t="str">
        <f>IFERROR(__xludf.DUMMYFUNCTION("""COMPUTED_VALUE"""),"0792 319 024")</f>
        <v>0792 319 024</v>
      </c>
      <c r="B5774" s="119" t="str">
        <f>IFERROR(__xludf.DUMMYFUNCTION("""COMPUTED_VALUE"""),"Chị Hà")</f>
        <v>Chị Hà</v>
      </c>
      <c r="C5774" s="119" t="str">
        <f>IFERROR(__xludf.DUMMYFUNCTION("""COMPUTED_VALUE"""),"3/78 Nguyễn Hữu Nhật")</f>
        <v>3/78 Nguyễn Hữu Nhật</v>
      </c>
      <c r="D5774" s="119" t="str">
        <f>IFERROR(__xludf.DUMMYFUNCTION("""COMPUTED_VALUE"""),"Chó")</f>
        <v>Chó</v>
      </c>
      <c r="E5774" s="119" t="str">
        <f>IFERROR(__xludf.DUMMYFUNCTION("""COMPUTED_VALUE"""),"vàng")</f>
        <v>vàng</v>
      </c>
    </row>
    <row r="5775" ht="15.75" customHeight="1">
      <c r="A5775" s="122" t="str">
        <f>IFERROR(__xludf.DUMMYFUNCTION("""COMPUTED_VALUE"""),"0382 661 632")</f>
        <v>0382 661 632</v>
      </c>
      <c r="B5775" s="119" t="str">
        <f>IFERROR(__xludf.DUMMYFUNCTION("""COMPUTED_VALUE"""),"Anh Phan Tuấn")</f>
        <v>Anh Phan Tuấn</v>
      </c>
      <c r="C5775" s="119" t="str">
        <f>IFERROR(__xludf.DUMMYFUNCTION("""COMPUTED_VALUE"""),"Hương Hồ")</f>
        <v>Hương Hồ</v>
      </c>
      <c r="D5775" s="119" t="str">
        <f>IFERROR(__xludf.DUMMYFUNCTION("""COMPUTED_VALUE"""),"Chó")</f>
        <v>Chó</v>
      </c>
      <c r="E5775" s="119" t="str">
        <f>IFERROR(__xludf.DUMMYFUNCTION("""COMPUTED_VALUE"""),"bông")</f>
        <v>bông</v>
      </c>
    </row>
    <row r="5776" ht="15.75" customHeight="1">
      <c r="A5776" s="122" t="str">
        <f>IFERROR(__xludf.DUMMYFUNCTION("""COMPUTED_VALUE"""),"0932 522 699")</f>
        <v>0932 522 699</v>
      </c>
      <c r="B5776" s="119" t="str">
        <f>IFERROR(__xludf.DUMMYFUNCTION("""COMPUTED_VALUE"""),"em phước")</f>
        <v>em phước</v>
      </c>
      <c r="C5776" s="119"/>
      <c r="D5776" s="119" t="str">
        <f>IFERROR(__xludf.DUMMYFUNCTION("""COMPUTED_VALUE"""),"Chó")</f>
        <v>Chó</v>
      </c>
      <c r="E5776" s="119" t="str">
        <f>IFERROR(__xludf.DUMMYFUNCTION("""COMPUTED_VALUE"""),"koin")</f>
        <v>koin</v>
      </c>
    </row>
    <row r="5777" ht="15.75" customHeight="1">
      <c r="A5777" s="122" t="str">
        <f>IFERROR(__xludf.DUMMYFUNCTION("""COMPUTED_VALUE"""),"0563 678 673")</f>
        <v>0563 678 673</v>
      </c>
      <c r="B5777" s="119" t="str">
        <f>IFERROR(__xludf.DUMMYFUNCTION("""COMPUTED_VALUE"""),"Ngô Ngọc Khải")</f>
        <v>Ngô Ngọc Khải</v>
      </c>
      <c r="C5777" s="119" t="str">
        <f>IFERROR(__xludf.DUMMYFUNCTION("""COMPUTED_VALUE"""),"9/221 nguyễn Trãi")</f>
        <v>9/221 nguyễn Trãi</v>
      </c>
      <c r="D5777" s="119" t="str">
        <f>IFERROR(__xludf.DUMMYFUNCTION("""COMPUTED_VALUE"""),"Chó")</f>
        <v>Chó</v>
      </c>
      <c r="E5777" s="119" t="str">
        <f>IFERROR(__xludf.DUMMYFUNCTION("""COMPUTED_VALUE"""),"Vện")</f>
        <v>Vện</v>
      </c>
    </row>
    <row r="5778" ht="15.75" customHeight="1">
      <c r="A5778" s="122" t="str">
        <f>IFERROR(__xludf.DUMMYFUNCTION("""COMPUTED_VALUE"""),"0916 946 007")</f>
        <v>0916 946 007</v>
      </c>
      <c r="B5778" s="119" t="str">
        <f>IFERROR(__xludf.DUMMYFUNCTION("""COMPUTED_VALUE"""),"Chị thuỷ tiên")</f>
        <v>Chị thuỷ tiên</v>
      </c>
      <c r="C5778" s="119" t="str">
        <f>IFERROR(__xludf.DUMMYFUNCTION("""COMPUTED_VALUE"""),"11/9 Trần Thúc Nhẫn")</f>
        <v>11/9 Trần Thúc Nhẫn</v>
      </c>
      <c r="D5778" s="119" t="str">
        <f>IFERROR(__xludf.DUMMYFUNCTION("""COMPUTED_VALUE"""),"Chó")</f>
        <v>Chó</v>
      </c>
      <c r="E5778" s="119" t="str">
        <f>IFERROR(__xludf.DUMMYFUNCTION("""COMPUTED_VALUE"""),"Hana")</f>
        <v>Hana</v>
      </c>
    </row>
    <row r="5779" ht="15.75" customHeight="1">
      <c r="A5779" s="122" t="str">
        <f>IFERROR(__xludf.DUMMYFUNCTION("""COMPUTED_VALUE"""),"0366 506 371")</f>
        <v>0366 506 371</v>
      </c>
      <c r="B5779" s="119" t="str">
        <f>IFERROR(__xludf.DUMMYFUNCTION("""COMPUTED_VALUE"""),"Chị Nguyễn Thị Lan Hương")</f>
        <v>Chị Nguyễn Thị Lan Hương</v>
      </c>
      <c r="C5779" s="119" t="str">
        <f>IFERROR(__xludf.DUMMYFUNCTION("""COMPUTED_VALUE"""),"Lộc Bổn, Phú Lộc")</f>
        <v>Lộc Bổn, Phú Lộc</v>
      </c>
      <c r="D5779" s="119" t="str">
        <f>IFERROR(__xludf.DUMMYFUNCTION("""COMPUTED_VALUE"""),"Chó")</f>
        <v>Chó</v>
      </c>
      <c r="E5779" s="119" t="str">
        <f>IFERROR(__xludf.DUMMYFUNCTION("""COMPUTED_VALUE"""),"Mun")</f>
        <v>Mun</v>
      </c>
    </row>
    <row r="5780" ht="15.75" customHeight="1">
      <c r="A5780" s="122" t="str">
        <f>IFERROR(__xludf.DUMMYFUNCTION("""COMPUTED_VALUE"""),"0794 520 175")</f>
        <v>0794 520 175</v>
      </c>
      <c r="B5780" s="119" t="str">
        <f>IFERROR(__xludf.DUMMYFUNCTION("""COMPUTED_VALUE"""),"Chị Thuận Lộc")</f>
        <v>Chị Thuận Lộc</v>
      </c>
      <c r="C5780" s="119" t="str">
        <f>IFERROR(__xludf.DUMMYFUNCTION("""COMPUTED_VALUE"""),"Bùi Thị Xuân")</f>
        <v>Bùi Thị Xuân</v>
      </c>
      <c r="D5780" s="119" t="str">
        <f>IFERROR(__xludf.DUMMYFUNCTION("""COMPUTED_VALUE"""),"chó")</f>
        <v>chó</v>
      </c>
      <c r="E5780" s="119" t="str">
        <f>IFERROR(__xludf.DUMMYFUNCTION("""COMPUTED_VALUE"""),"Gấu")</f>
        <v>Gấu</v>
      </c>
    </row>
    <row r="5781" ht="15.75" customHeight="1">
      <c r="A5781" s="122" t="str">
        <f>IFERROR(__xludf.DUMMYFUNCTION("""COMPUTED_VALUE"""),"0901 991 959")</f>
        <v>0901 991 959</v>
      </c>
      <c r="B5781" s="119" t="str">
        <f>IFERROR(__xludf.DUMMYFUNCTION("""COMPUTED_VALUE"""),"CHị Phan Nhật An")</f>
        <v>CHị Phan Nhật An</v>
      </c>
      <c r="C5781" s="119" t="str">
        <f>IFERROR(__xludf.DUMMYFUNCTION("""COMPUTED_VALUE"""),"2B/1 KĐT Phú Mỹ An")</f>
        <v>2B/1 KĐT Phú Mỹ An</v>
      </c>
      <c r="D5781" s="119" t="str">
        <f>IFERROR(__xludf.DUMMYFUNCTION("""COMPUTED_VALUE"""),"Chó")</f>
        <v>Chó</v>
      </c>
      <c r="E5781" s="119" t="str">
        <f>IFERROR(__xludf.DUMMYFUNCTION("""COMPUTED_VALUE"""),"Barley")</f>
        <v>Barley</v>
      </c>
    </row>
    <row r="5782" ht="15.75" customHeight="1">
      <c r="A5782" s="122" t="str">
        <f>IFERROR(__xludf.DUMMYFUNCTION("""COMPUTED_VALUE"""),"0914 037 573")</f>
        <v>0914 037 573</v>
      </c>
      <c r="B5782" s="119" t="str">
        <f>IFERROR(__xludf.DUMMYFUNCTION("""COMPUTED_VALUE"""),"Chú Nghiêm")</f>
        <v>Chú Nghiêm</v>
      </c>
      <c r="C5782" s="119" t="str">
        <f>IFERROR(__xludf.DUMMYFUNCTION("""COMPUTED_VALUE"""),"Tử Hạ")</f>
        <v>Tử Hạ</v>
      </c>
      <c r="D5782" s="119" t="str">
        <f>IFERROR(__xludf.DUMMYFUNCTION("""COMPUTED_VALUE"""),"Chó ")</f>
        <v>Chó </v>
      </c>
      <c r="E5782" s="119" t="str">
        <f>IFERROR(__xludf.DUMMYFUNCTION("""COMPUTED_VALUE"""),"Milo")</f>
        <v>Milo</v>
      </c>
    </row>
    <row r="5783" ht="15.75" customHeight="1">
      <c r="A5783" s="122" t="str">
        <f>IFERROR(__xludf.DUMMYFUNCTION("""COMPUTED_VALUE"""),"0914 680 681")</f>
        <v>0914 680 681</v>
      </c>
      <c r="B5783" s="119" t="str">
        <f>IFERROR(__xludf.DUMMYFUNCTION("""COMPUTED_VALUE"""),"Anh Khánh")</f>
        <v>Anh Khánh</v>
      </c>
      <c r="C5783" s="119" t="str">
        <f>IFERROR(__xludf.DUMMYFUNCTION("""COMPUTED_VALUE"""),"Phường An Cựu")</f>
        <v>Phường An Cựu</v>
      </c>
      <c r="D5783" s="119" t="str">
        <f>IFERROR(__xludf.DUMMYFUNCTION("""COMPUTED_VALUE"""),"Chó")</f>
        <v>Chó</v>
      </c>
      <c r="E5783" s="119" t="str">
        <f>IFERROR(__xludf.DUMMYFUNCTION("""COMPUTED_VALUE"""),"Lucky")</f>
        <v>Lucky</v>
      </c>
    </row>
    <row r="5784" ht="15.75" customHeight="1">
      <c r="A5784" s="122" t="str">
        <f>IFERROR(__xludf.DUMMYFUNCTION("""COMPUTED_VALUE"""),"0332 272 204")</f>
        <v>0332 272 204</v>
      </c>
      <c r="B5784" s="119" t="str">
        <f>IFERROR(__xludf.DUMMYFUNCTION("""COMPUTED_VALUE"""),"Nguyễn Thị Ngọc Dung")</f>
        <v>Nguyễn Thị Ngọc Dung</v>
      </c>
      <c r="C5784" s="119" t="str">
        <f>IFERROR(__xludf.DUMMYFUNCTION("""COMPUTED_VALUE"""),"10/44 An Ninh")</f>
        <v>10/44 An Ninh</v>
      </c>
      <c r="D5784" s="119" t="str">
        <f>IFERROR(__xludf.DUMMYFUNCTION("""COMPUTED_VALUE"""),"Chó")</f>
        <v>Chó</v>
      </c>
      <c r="E5784" s="119" t="str">
        <f>IFERROR(__xludf.DUMMYFUNCTION("""COMPUTED_VALUE"""),"Lisa")</f>
        <v>Lisa</v>
      </c>
    </row>
    <row r="5785" ht="15.75" customHeight="1">
      <c r="A5785" s="122" t="str">
        <f>IFERROR(__xludf.DUMMYFUNCTION("""COMPUTED_VALUE"""),"0966 576 075")</f>
        <v>0966 576 075</v>
      </c>
      <c r="B5785" s="119" t="str">
        <f>IFERROR(__xludf.DUMMYFUNCTION("""COMPUTED_VALUE"""),"Anh Phan Văn Kỳ")</f>
        <v>Anh Phan Văn Kỳ</v>
      </c>
      <c r="C5785" s="119" t="str">
        <f>IFERROR(__xludf.DUMMYFUNCTION("""COMPUTED_VALUE"""),"Phong Điền")</f>
        <v>Phong Điền</v>
      </c>
      <c r="D5785" s="119" t="str">
        <f>IFERROR(__xludf.DUMMYFUNCTION("""COMPUTED_VALUE"""),"Chó")</f>
        <v>Chó</v>
      </c>
      <c r="E5785" s="119" t="str">
        <f>IFERROR(__xludf.DUMMYFUNCTION("""COMPUTED_VALUE"""),"Đốm")</f>
        <v>Đốm</v>
      </c>
    </row>
    <row r="5786" ht="15.75" customHeight="1">
      <c r="A5786" s="122" t="str">
        <f>IFERROR(__xludf.DUMMYFUNCTION("""COMPUTED_VALUE"""),"0931 913 309")</f>
        <v>0931 913 309</v>
      </c>
      <c r="B5786" s="119" t="str">
        <f>IFERROR(__xludf.DUMMYFUNCTION("""COMPUTED_VALUE"""),"Thảo Nguyên")</f>
        <v>Thảo Nguyên</v>
      </c>
      <c r="C5786" s="119" t="str">
        <f>IFERROR(__xludf.DUMMYFUNCTION("""COMPUTED_VALUE"""),"14/1 Bảo Quốc")</f>
        <v>14/1 Bảo Quốc</v>
      </c>
      <c r="D5786" s="119" t="str">
        <f>IFERROR(__xludf.DUMMYFUNCTION("""COMPUTED_VALUE"""),"Mèo")</f>
        <v>Mèo</v>
      </c>
      <c r="E5786" s="119" t="str">
        <f>IFERROR(__xludf.DUMMYFUNCTION("""COMPUTED_VALUE"""),"Mao")</f>
        <v>Mao</v>
      </c>
    </row>
    <row r="5787" ht="15.75" customHeight="1">
      <c r="A5787" s="122" t="str">
        <f>IFERROR(__xludf.DUMMYFUNCTION("""COMPUTED_VALUE"""),"0903 545 575")</f>
        <v>0903 545 575</v>
      </c>
      <c r="B5787" s="119" t="str">
        <f>IFERROR(__xludf.DUMMYFUNCTION("""COMPUTED_VALUE"""),"Chị Thuỷ")</f>
        <v>Chị Thuỷ</v>
      </c>
      <c r="C5787" s="119" t="str">
        <f>IFERROR(__xludf.DUMMYFUNCTION("""COMPUTED_VALUE"""),"Hương Trà")</f>
        <v>Hương Trà</v>
      </c>
      <c r="D5787" s="119" t="str">
        <f>IFERROR(__xludf.DUMMYFUNCTION("""COMPUTED_VALUE"""),"Mèo")</f>
        <v>Mèo</v>
      </c>
      <c r="E5787" s="119" t="str">
        <f>IFERROR(__xludf.DUMMYFUNCTION("""COMPUTED_VALUE"""),"Rô")</f>
        <v>Rô</v>
      </c>
    </row>
    <row r="5788" ht="15.75" customHeight="1">
      <c r="A5788" s="122" t="str">
        <f>IFERROR(__xludf.DUMMYFUNCTION("""COMPUTED_VALUE"""),"0388 303 428")</f>
        <v>0388 303 428</v>
      </c>
      <c r="B5788" s="119" t="str">
        <f>IFERROR(__xludf.DUMMYFUNCTION("""COMPUTED_VALUE"""),"Chị Quỳnh Như")</f>
        <v>Chị Quỳnh Như</v>
      </c>
      <c r="C5788" s="119" t="str">
        <f>IFERROR(__xludf.DUMMYFUNCTION("""COMPUTED_VALUE"""),"180 Văn Thánh")</f>
        <v>180 Văn Thánh</v>
      </c>
      <c r="D5788" s="119" t="str">
        <f>IFERROR(__xludf.DUMMYFUNCTION("""COMPUTED_VALUE"""),"Chó")</f>
        <v>Chó</v>
      </c>
      <c r="E5788" s="119"/>
    </row>
    <row r="5789" ht="15.75" customHeight="1">
      <c r="A5789" s="122" t="str">
        <f>IFERROR(__xludf.DUMMYFUNCTION("""COMPUTED_VALUE"""),"0905 523 776")</f>
        <v>0905 523 776</v>
      </c>
      <c r="B5789" s="119" t="str">
        <f>IFERROR(__xludf.DUMMYFUNCTION("""COMPUTED_VALUE"""),"Anh Thành")</f>
        <v>Anh Thành</v>
      </c>
      <c r="C5789" s="119" t="str">
        <f>IFERROR(__xludf.DUMMYFUNCTION("""COMPUTED_VALUE"""),"k89 Nguyễn Phúc Nguyên")</f>
        <v>k89 Nguyễn Phúc Nguyên</v>
      </c>
      <c r="D5789" s="119" t="str">
        <f>IFERROR(__xludf.DUMMYFUNCTION("""COMPUTED_VALUE"""),"Chó")</f>
        <v>Chó</v>
      </c>
      <c r="E5789" s="119"/>
    </row>
    <row r="5790" ht="15.75" customHeight="1">
      <c r="A5790" s="122" t="str">
        <f>IFERROR(__xludf.DUMMYFUNCTION("""COMPUTED_VALUE"""),"0921 906 322")</f>
        <v>0921 906 322</v>
      </c>
      <c r="B5790" s="119" t="str">
        <f>IFERROR(__xludf.DUMMYFUNCTION("""COMPUTED_VALUE"""),"Chị Thục Linh")</f>
        <v>Chị Thục Linh</v>
      </c>
      <c r="C5790" s="119" t="str">
        <f>IFERROR(__xludf.DUMMYFUNCTION("""COMPUTED_VALUE"""),"tỉnh lộ 10")</f>
        <v>tỉnh lộ 10</v>
      </c>
      <c r="D5790" s="119" t="str">
        <f>IFERROR(__xludf.DUMMYFUNCTION("""COMPUTED_VALUE"""),"Chó")</f>
        <v>Chó</v>
      </c>
      <c r="E5790" s="119" t="str">
        <f>IFERROR(__xludf.DUMMYFUNCTION("""COMPUTED_VALUE"""),"Miu")</f>
        <v>Miu</v>
      </c>
    </row>
    <row r="5791" ht="15.75" customHeight="1">
      <c r="A5791" s="122" t="str">
        <f>IFERROR(__xludf.DUMMYFUNCTION("""COMPUTED_VALUE"""),"0898 673 809")</f>
        <v>0898 673 809</v>
      </c>
      <c r="B5791" s="119" t="str">
        <f>IFERROR(__xludf.DUMMYFUNCTION("""COMPUTED_VALUE"""),"Anh Lê Viết Nhi")</f>
        <v>Anh Lê Viết Nhi</v>
      </c>
      <c r="C5791" s="119" t="str">
        <f>IFERROR(__xludf.DUMMYFUNCTION("""COMPUTED_VALUE"""),"Thuỷ Xuân")</f>
        <v>Thuỷ Xuân</v>
      </c>
      <c r="D5791" s="119" t="str">
        <f>IFERROR(__xludf.DUMMYFUNCTION("""COMPUTED_VALUE"""),"Chó")</f>
        <v>Chó</v>
      </c>
      <c r="E5791" s="119" t="str">
        <f>IFERROR(__xludf.DUMMYFUNCTION("""COMPUTED_VALUE"""),"Xù")</f>
        <v>Xù</v>
      </c>
    </row>
    <row r="5792" ht="15.75" customHeight="1">
      <c r="A5792" s="122" t="str">
        <f>IFERROR(__xludf.DUMMYFUNCTION("""COMPUTED_VALUE"""),"0796 696 178")</f>
        <v>0796 696 178</v>
      </c>
      <c r="B5792" s="119" t="str">
        <f>IFERROR(__xludf.DUMMYFUNCTION("""COMPUTED_VALUE"""),"Anh Linh")</f>
        <v>Anh Linh</v>
      </c>
      <c r="C5792" s="119" t="str">
        <f>IFERROR(__xludf.DUMMYFUNCTION("""COMPUTED_VALUE"""),"1/67 Nguyễn Hoàng")</f>
        <v>1/67 Nguyễn Hoàng</v>
      </c>
      <c r="D5792" s="119" t="str">
        <f>IFERROR(__xludf.DUMMYFUNCTION("""COMPUTED_VALUE"""),"Mèo")</f>
        <v>Mèo</v>
      </c>
      <c r="E5792" s="119" t="str">
        <f>IFERROR(__xludf.DUMMYFUNCTION("""COMPUTED_VALUE"""),"Mèo")</f>
        <v>Mèo</v>
      </c>
    </row>
    <row r="5793" ht="15.75" customHeight="1">
      <c r="A5793" s="122" t="str">
        <f>IFERROR(__xludf.DUMMYFUNCTION("""COMPUTED_VALUE"""),"0794 099 164")</f>
        <v>0794 099 164</v>
      </c>
      <c r="B5793" s="119" t="str">
        <f>IFERROR(__xludf.DUMMYFUNCTION("""COMPUTED_VALUE"""),"Chị Bích Nhi")</f>
        <v>Chị Bích Nhi</v>
      </c>
      <c r="C5793" s="119" t="str">
        <f>IFERROR(__xludf.DUMMYFUNCTION("""COMPUTED_VALUE"""),"2/2/23 Nhật Lê")</f>
        <v>2/2/23 Nhật Lê</v>
      </c>
      <c r="D5793" s="119" t="str">
        <f>IFERROR(__xludf.DUMMYFUNCTION("""COMPUTED_VALUE"""),"Chó")</f>
        <v>Chó</v>
      </c>
      <c r="E5793" s="119" t="str">
        <f>IFERROR(__xludf.DUMMYFUNCTION("""COMPUTED_VALUE"""),"Subin")</f>
        <v>Subin</v>
      </c>
    </row>
    <row r="5794" ht="15.75" customHeight="1">
      <c r="A5794" s="122" t="str">
        <f>IFERROR(__xludf.DUMMYFUNCTION("""COMPUTED_VALUE"""),"0842 044 626")</f>
        <v>0842 044 626</v>
      </c>
      <c r="B5794" s="119" t="str">
        <f>IFERROR(__xludf.DUMMYFUNCTION("""COMPUTED_VALUE"""),"Em Duy Anh")</f>
        <v>Em Duy Anh</v>
      </c>
      <c r="C5794" s="119" t="str">
        <f>IFERROR(__xludf.DUMMYFUNCTION("""COMPUTED_VALUE"""),"4/11/69 Lê Ngô Cát")</f>
        <v>4/11/69 Lê Ngô Cát</v>
      </c>
      <c r="D5794" s="119" t="str">
        <f>IFERROR(__xludf.DUMMYFUNCTION("""COMPUTED_VALUE"""),"Chó")</f>
        <v>Chó</v>
      </c>
      <c r="E5794" s="119" t="str">
        <f>IFERROR(__xludf.DUMMYFUNCTION("""COMPUTED_VALUE"""),"Ngáo")</f>
        <v>Ngáo</v>
      </c>
    </row>
    <row r="5795" ht="15.75" customHeight="1">
      <c r="A5795" s="122" t="str">
        <f>IFERROR(__xludf.DUMMYFUNCTION("""COMPUTED_VALUE"""),"0355 445 797")</f>
        <v>0355 445 797</v>
      </c>
      <c r="B5795" s="119" t="str">
        <f>IFERROR(__xludf.DUMMYFUNCTION("""COMPUTED_VALUE"""),"Anh Pho")</f>
        <v>Anh Pho</v>
      </c>
      <c r="C5795" s="119" t="str">
        <f>IFERROR(__xludf.DUMMYFUNCTION("""COMPUTED_VALUE"""),"Hương Hồ")</f>
        <v>Hương Hồ</v>
      </c>
      <c r="D5795" s="119" t="str">
        <f>IFERROR(__xludf.DUMMYFUNCTION("""COMPUTED_VALUE"""),"Chó")</f>
        <v>Chó</v>
      </c>
      <c r="E5795" s="119" t="str">
        <f>IFERROR(__xludf.DUMMYFUNCTION("""COMPUTED_VALUE"""),"Bia")</f>
        <v>Bia</v>
      </c>
    </row>
    <row r="5796" ht="15.75" customHeight="1">
      <c r="A5796" s="122" t="str">
        <f>IFERROR(__xludf.DUMMYFUNCTION("""COMPUTED_VALUE"""),"0934 895 569")</f>
        <v>0934 895 569</v>
      </c>
      <c r="B5796" s="119" t="str">
        <f>IFERROR(__xludf.DUMMYFUNCTION("""COMPUTED_VALUE"""),"Anh Mười")</f>
        <v>Anh Mười</v>
      </c>
      <c r="C5796" s="119" t="str">
        <f>IFERROR(__xludf.DUMMYFUNCTION("""COMPUTED_VALUE"""),"2 Long Hồ")</f>
        <v>2 Long Hồ</v>
      </c>
      <c r="D5796" s="119" t="str">
        <f>IFERROR(__xludf.DUMMYFUNCTION("""COMPUTED_VALUE"""),"Chó")</f>
        <v>Chó</v>
      </c>
      <c r="E5796" s="119" t="str">
        <f>IFERROR(__xludf.DUMMYFUNCTION("""COMPUTED_VALUE"""),"Nộng")</f>
        <v>Nộng</v>
      </c>
    </row>
    <row r="5797" ht="15.75" customHeight="1">
      <c r="A5797" s="122" t="str">
        <f>IFERROR(__xludf.DUMMYFUNCTION("""COMPUTED_VALUE"""),"0903 541 452")</f>
        <v>0903 541 452</v>
      </c>
      <c r="B5797" s="119" t="str">
        <f>IFERROR(__xludf.DUMMYFUNCTION("""COMPUTED_VALUE"""),"Chị Hồng")</f>
        <v>Chị Hồng</v>
      </c>
      <c r="C5797" s="119" t="str">
        <f>IFERROR(__xludf.DUMMYFUNCTION("""COMPUTED_VALUE"""),"22/15 Phú Mộng")</f>
        <v>22/15 Phú Mộng</v>
      </c>
      <c r="D5797" s="119" t="str">
        <f>IFERROR(__xludf.DUMMYFUNCTION("""COMPUTED_VALUE"""),"Chó")</f>
        <v>Chó</v>
      </c>
      <c r="E5797" s="119" t="str">
        <f>IFERROR(__xludf.DUMMYFUNCTION("""COMPUTED_VALUE"""),"Lucky")</f>
        <v>Lucky</v>
      </c>
    </row>
    <row r="5798" ht="15.75" customHeight="1">
      <c r="A5798" s="122" t="str">
        <f>IFERROR(__xludf.DUMMYFUNCTION("""COMPUTED_VALUE"""),"0905 891 473")</f>
        <v>0905 891 473</v>
      </c>
      <c r="B5798" s="119" t="str">
        <f>IFERROR(__xludf.DUMMYFUNCTION("""COMPUTED_VALUE"""),"Chị Phương")</f>
        <v>Chị Phương</v>
      </c>
      <c r="C5798" s="119" t="str">
        <f>IFERROR(__xludf.DUMMYFUNCTION("""COMPUTED_VALUE"""),"60 Phan Bội Châu")</f>
        <v>60 Phan Bội Châu</v>
      </c>
      <c r="D5798" s="119" t="str">
        <f>IFERROR(__xludf.DUMMYFUNCTION("""COMPUTED_VALUE"""),"Chó")</f>
        <v>Chó</v>
      </c>
      <c r="E5798" s="119"/>
    </row>
    <row r="5799" ht="15.75" customHeight="1">
      <c r="A5799" s="122" t="str">
        <f>IFERROR(__xludf.DUMMYFUNCTION("""COMPUTED_VALUE"""),"0787 736 212")</f>
        <v>0787 736 212</v>
      </c>
      <c r="B5799" s="119" t="str">
        <f>IFERROR(__xludf.DUMMYFUNCTION("""COMPUTED_VALUE"""),"CHị thư")</f>
        <v>CHị thư</v>
      </c>
      <c r="C5799" s="119" t="str">
        <f>IFERROR(__xludf.DUMMYFUNCTION("""COMPUTED_VALUE"""),"42/10 Phạm Thị Liên")</f>
        <v>42/10 Phạm Thị Liên</v>
      </c>
      <c r="D5799" s="119" t="str">
        <f>IFERROR(__xludf.DUMMYFUNCTION("""COMPUTED_VALUE"""),"Chó")</f>
        <v>Chó</v>
      </c>
      <c r="E5799" s="119"/>
    </row>
    <row r="5800" ht="15.75" customHeight="1">
      <c r="A5800" s="122" t="str">
        <f>IFERROR(__xludf.DUMMYFUNCTION("""COMPUTED_VALUE"""),"0766 599 297")</f>
        <v>0766 599 297</v>
      </c>
      <c r="B5800" s="119" t="str">
        <f>IFERROR(__xludf.DUMMYFUNCTION("""COMPUTED_VALUE"""),"Chị Uyên")</f>
        <v>Chị Uyên</v>
      </c>
      <c r="C5800" s="119" t="str">
        <f>IFERROR(__xludf.DUMMYFUNCTION("""COMPUTED_VALUE"""),"6/31 Lịch Đợi")</f>
        <v>6/31 Lịch Đợi</v>
      </c>
      <c r="D5800" s="119" t="str">
        <f>IFERROR(__xludf.DUMMYFUNCTION("""COMPUTED_VALUE"""),"Chó")</f>
        <v>Chó</v>
      </c>
      <c r="E5800" s="119" t="str">
        <f>IFERROR(__xludf.DUMMYFUNCTION("""COMPUTED_VALUE"""),"Muối")</f>
        <v>Muối</v>
      </c>
    </row>
    <row r="5801" ht="15.75" customHeight="1">
      <c r="A5801" s="122" t="str">
        <f>IFERROR(__xludf.DUMMYFUNCTION("""COMPUTED_VALUE"""),"0768 562 039")</f>
        <v>0768 562 039</v>
      </c>
      <c r="B5801" s="119" t="str">
        <f>IFERROR(__xludf.DUMMYFUNCTION("""COMPUTED_VALUE"""),"Chị Thu Thảo")</f>
        <v>Chị Thu Thảo</v>
      </c>
      <c r="C5801" s="119" t="str">
        <f>IFERROR(__xludf.DUMMYFUNCTION("""COMPUTED_VALUE"""),"8a An Ninh")</f>
        <v>8a An Ninh</v>
      </c>
      <c r="D5801" s="119" t="str">
        <f>IFERROR(__xludf.DUMMYFUNCTION("""COMPUTED_VALUE"""),"Chó")</f>
        <v>Chó</v>
      </c>
      <c r="E5801" s="119" t="str">
        <f>IFERROR(__xludf.DUMMYFUNCTION("""COMPUTED_VALUE"""),"Nâu")</f>
        <v>Nâu</v>
      </c>
    </row>
    <row r="5802" ht="15.75" customHeight="1">
      <c r="A5802" s="122" t="str">
        <f>IFERROR(__xludf.DUMMYFUNCTION("""COMPUTED_VALUE"""),"0346 733 799")</f>
        <v>0346 733 799</v>
      </c>
      <c r="B5802" s="119" t="str">
        <f>IFERROR(__xludf.DUMMYFUNCTION("""COMPUTED_VALUE"""),"O Thiên Anh")</f>
        <v>O Thiên Anh</v>
      </c>
      <c r="C5802" s="119" t="str">
        <f>IFERROR(__xludf.DUMMYFUNCTION("""COMPUTED_VALUE"""),"17 Đặng Dung")</f>
        <v>17 Đặng Dung</v>
      </c>
      <c r="D5802" s="119" t="str">
        <f>IFERROR(__xludf.DUMMYFUNCTION("""COMPUTED_VALUE"""),"Chó")</f>
        <v>Chó</v>
      </c>
      <c r="E5802" s="119" t="str">
        <f>IFERROR(__xludf.DUMMYFUNCTION("""COMPUTED_VALUE"""),"Bơ")</f>
        <v>Bơ</v>
      </c>
    </row>
    <row r="5803" ht="15.75" customHeight="1">
      <c r="A5803" s="122" t="str">
        <f>IFERROR(__xludf.DUMMYFUNCTION("""COMPUTED_VALUE"""),"0795 583 086")</f>
        <v>0795 583 086</v>
      </c>
      <c r="B5803" s="119" t="str">
        <f>IFERROR(__xludf.DUMMYFUNCTION("""COMPUTED_VALUE"""),"Trần Thị Diễm Quỳnh")</f>
        <v>Trần Thị Diễm Quỳnh</v>
      </c>
      <c r="C5803" s="119" t="str">
        <f>IFERROR(__xludf.DUMMYFUNCTION("""COMPUTED_VALUE"""),"Phú Thượng")</f>
        <v>Phú Thượng</v>
      </c>
      <c r="D5803" s="119" t="str">
        <f>IFERROR(__xludf.DUMMYFUNCTION("""COMPUTED_VALUE"""),"Mèo")</f>
        <v>Mèo</v>
      </c>
      <c r="E5803" s="119" t="str">
        <f>IFERROR(__xludf.DUMMYFUNCTION("""COMPUTED_VALUE"""),"Sâu")</f>
        <v>Sâu</v>
      </c>
    </row>
    <row r="5804" ht="15.75" customHeight="1">
      <c r="A5804" s="122" t="str">
        <f>IFERROR(__xludf.DUMMYFUNCTION("""COMPUTED_VALUE"""),"0905 085 742")</f>
        <v>0905 085 742</v>
      </c>
      <c r="B5804" s="119" t="str">
        <f>IFERROR(__xludf.DUMMYFUNCTION("""COMPUTED_VALUE"""),"chị chi")</f>
        <v>chị chi</v>
      </c>
      <c r="C5804" s="119" t="str">
        <f>IFERROR(__xludf.DUMMYFUNCTION("""COMPUTED_VALUE"""),"k119 Hùng Vương")</f>
        <v>k119 Hùng Vương</v>
      </c>
      <c r="D5804" s="119" t="str">
        <f>IFERROR(__xludf.DUMMYFUNCTION("""COMPUTED_VALUE"""),"Chó")</f>
        <v>Chó</v>
      </c>
      <c r="E5804" s="119" t="str">
        <f>IFERROR(__xludf.DUMMYFUNCTION("""COMPUTED_VALUE"""),"Bông")</f>
        <v>Bông</v>
      </c>
    </row>
    <row r="5805" ht="15.75" customHeight="1">
      <c r="A5805" s="122" t="str">
        <f>IFERROR(__xludf.DUMMYFUNCTION("""COMPUTED_VALUE"""),"0935 551 246")</f>
        <v>0935 551 246</v>
      </c>
      <c r="B5805" s="119" t="str">
        <f>IFERROR(__xludf.DUMMYFUNCTION("""COMPUTED_VALUE"""),"Anh Long")</f>
        <v>Anh Long</v>
      </c>
      <c r="C5805" s="119" t="str">
        <f>IFERROR(__xludf.DUMMYFUNCTION("""COMPUTED_VALUE"""),"Nuyễn Công Trứ")</f>
        <v>Nuyễn Công Trứ</v>
      </c>
      <c r="D5805" s="119" t="str">
        <f>IFERROR(__xludf.DUMMYFUNCTION("""COMPUTED_VALUE"""),"Chó")</f>
        <v>Chó</v>
      </c>
      <c r="E5805" s="119" t="str">
        <f>IFERROR(__xludf.DUMMYFUNCTION("""COMPUTED_VALUE"""),"phê")</f>
        <v>phê</v>
      </c>
    </row>
    <row r="5806" ht="15.75" customHeight="1">
      <c r="A5806" s="122" t="str">
        <f>IFERROR(__xludf.DUMMYFUNCTION("""COMPUTED_VALUE"""),"0779 414 930")</f>
        <v>0779 414 930</v>
      </c>
      <c r="B5806" s="119" t="str">
        <f>IFERROR(__xludf.DUMMYFUNCTION("""COMPUTED_VALUE"""),"Anh Quang")</f>
        <v>Anh Quang</v>
      </c>
      <c r="C5806" s="119" t="str">
        <f>IFERROR(__xludf.DUMMYFUNCTION("""COMPUTED_VALUE"""),"58 Hàn Mặc Tử")</f>
        <v>58 Hàn Mặc Tử</v>
      </c>
      <c r="D5806" s="119" t="str">
        <f>IFERROR(__xludf.DUMMYFUNCTION("""COMPUTED_VALUE"""),"Chó")</f>
        <v>Chó</v>
      </c>
      <c r="E5806" s="119" t="str">
        <f>IFERROR(__xludf.DUMMYFUNCTION("""COMPUTED_VALUE"""),"bun")</f>
        <v>bun</v>
      </c>
    </row>
    <row r="5807" ht="15.75" customHeight="1">
      <c r="A5807" s="122" t="str">
        <f>IFERROR(__xludf.DUMMYFUNCTION("""COMPUTED_VALUE"""),"0377 422 081")</f>
        <v>0377 422 081</v>
      </c>
      <c r="B5807" s="119" t="str">
        <f>IFERROR(__xludf.DUMMYFUNCTION("""COMPUTED_VALUE"""),"Em Thảo")</f>
        <v>Em Thảo</v>
      </c>
      <c r="C5807" s="119" t="str">
        <f>IFERROR(__xludf.DUMMYFUNCTION("""COMPUTED_VALUE"""),"17/65 Lê Ngô Cát")</f>
        <v>17/65 Lê Ngô Cát</v>
      </c>
      <c r="D5807" s="119" t="str">
        <f>IFERROR(__xludf.DUMMYFUNCTION("""COMPUTED_VALUE"""),"chó")</f>
        <v>chó</v>
      </c>
      <c r="E5807" s="119" t="str">
        <f>IFERROR(__xludf.DUMMYFUNCTION("""COMPUTED_VALUE"""),"Gạo")</f>
        <v>Gạo</v>
      </c>
    </row>
    <row r="5808" ht="15.75" customHeight="1">
      <c r="A5808" s="122" t="str">
        <f>IFERROR(__xludf.DUMMYFUNCTION("""COMPUTED_VALUE"""),"0764 784 119")</f>
        <v>0764 784 119</v>
      </c>
      <c r="B5808" s="119" t="str">
        <f>IFERROR(__xludf.DUMMYFUNCTION("""COMPUTED_VALUE"""),"Ánh Linh")</f>
        <v>Ánh Linh</v>
      </c>
      <c r="C5808" s="119" t="str">
        <f>IFERROR(__xludf.DUMMYFUNCTION("""COMPUTED_VALUE"""),"Bùi Thị Xuân")</f>
        <v>Bùi Thị Xuân</v>
      </c>
      <c r="D5808" s="119" t="str">
        <f>IFERROR(__xludf.DUMMYFUNCTION("""COMPUTED_VALUE"""),"mèo")</f>
        <v>mèo</v>
      </c>
      <c r="E5808" s="119" t="str">
        <f>IFERROR(__xludf.DUMMYFUNCTION("""COMPUTED_VALUE"""),"Mon")</f>
        <v>Mon</v>
      </c>
    </row>
    <row r="5809" ht="15.75" customHeight="1">
      <c r="A5809" s="122" t="str">
        <f>IFERROR(__xludf.DUMMYFUNCTION("""COMPUTED_VALUE"""),"0787 314 227")</f>
        <v>0787 314 227</v>
      </c>
      <c r="B5809" s="119" t="str">
        <f>IFERROR(__xludf.DUMMYFUNCTION("""COMPUTED_VALUE"""),"Em Oanh")</f>
        <v>Em Oanh</v>
      </c>
      <c r="C5809" s="119" t="str">
        <f>IFERROR(__xludf.DUMMYFUNCTION("""COMPUTED_VALUE"""),"Phú Thuận Phú Vang")</f>
        <v>Phú Thuận Phú Vang</v>
      </c>
      <c r="D5809" s="119" t="str">
        <f>IFERROR(__xludf.DUMMYFUNCTION("""COMPUTED_VALUE"""),"Mèo")</f>
        <v>Mèo</v>
      </c>
      <c r="E5809" s="119" t="str">
        <f>IFERROR(__xludf.DUMMYFUNCTION("""COMPUTED_VALUE"""),"sam")</f>
        <v>sam</v>
      </c>
    </row>
    <row r="5810" ht="15.75" customHeight="1">
      <c r="A5810" s="122" t="str">
        <f>IFERROR(__xludf.DUMMYFUNCTION("""COMPUTED_VALUE"""),"0974 587 669")</f>
        <v>0974 587 669</v>
      </c>
      <c r="B5810" s="119" t="str">
        <f>IFERROR(__xludf.DUMMYFUNCTION("""COMPUTED_VALUE"""),"Chú võ tiến")</f>
        <v>Chú võ tiến</v>
      </c>
      <c r="C5810" s="119" t="str">
        <f>IFERROR(__xludf.DUMMYFUNCTION("""COMPUTED_VALUE"""),"4/188 Lý Nam Đé")</f>
        <v>4/188 Lý Nam Đé</v>
      </c>
      <c r="D5810" s="119" t="str">
        <f>IFERROR(__xludf.DUMMYFUNCTION("""COMPUTED_VALUE"""),"Chó")</f>
        <v>Chó</v>
      </c>
      <c r="E5810" s="119" t="str">
        <f>IFERROR(__xludf.DUMMYFUNCTION("""COMPUTED_VALUE"""),"lucky")</f>
        <v>lucky</v>
      </c>
    </row>
    <row r="5811" ht="15.75" customHeight="1">
      <c r="A5811" s="122" t="str">
        <f>IFERROR(__xludf.DUMMYFUNCTION("""COMPUTED_VALUE"""),"0905 106 789")</f>
        <v>0905 106 789</v>
      </c>
      <c r="B5811" s="119" t="str">
        <f>IFERROR(__xludf.DUMMYFUNCTION("""COMPUTED_VALUE"""),"Anh Hà")</f>
        <v>Anh Hà</v>
      </c>
      <c r="C5811" s="119" t="str">
        <f>IFERROR(__xludf.DUMMYFUNCTION("""COMPUTED_VALUE"""),"19/48 Trần Quang khải")</f>
        <v>19/48 Trần Quang khải</v>
      </c>
      <c r="D5811" s="119" t="str">
        <f>IFERROR(__xludf.DUMMYFUNCTION("""COMPUTED_VALUE"""),"Chó")</f>
        <v>Chó</v>
      </c>
      <c r="E5811" s="119" t="str">
        <f>IFERROR(__xludf.DUMMYFUNCTION("""COMPUTED_VALUE"""),"Lu")</f>
        <v>Lu</v>
      </c>
    </row>
    <row r="5812" ht="15.75" customHeight="1">
      <c r="A5812" s="122" t="str">
        <f>IFERROR(__xludf.DUMMYFUNCTION("""COMPUTED_VALUE"""),"0858 482 106")</f>
        <v>0858 482 106</v>
      </c>
      <c r="B5812" s="119" t="str">
        <f>IFERROR(__xludf.DUMMYFUNCTION("""COMPUTED_VALUE"""),"Trần Đức Ngũ Măng")</f>
        <v>Trần Đức Ngũ Măng</v>
      </c>
      <c r="C5812" s="119" t="str">
        <f>IFERROR(__xludf.DUMMYFUNCTION("""COMPUTED_VALUE"""),"An Bình")</f>
        <v>An Bình</v>
      </c>
      <c r="D5812" s="119" t="str">
        <f>IFERROR(__xludf.DUMMYFUNCTION("""COMPUTED_VALUE"""),"Chó")</f>
        <v>Chó</v>
      </c>
      <c r="E5812" s="119" t="str">
        <f>IFERROR(__xludf.DUMMYFUNCTION("""COMPUTED_VALUE"""),"đen")</f>
        <v>đen</v>
      </c>
    </row>
    <row r="5813" ht="15.75" customHeight="1">
      <c r="A5813" s="122" t="str">
        <f>IFERROR(__xludf.DUMMYFUNCTION("""COMPUTED_VALUE"""),"0766 577 254")</f>
        <v>0766 577 254</v>
      </c>
      <c r="B5813" s="119" t="str">
        <f>IFERROR(__xludf.DUMMYFUNCTION("""COMPUTED_VALUE"""),"Anh Bình")</f>
        <v>Anh Bình</v>
      </c>
      <c r="C5813" s="119" t="str">
        <f>IFERROR(__xludf.DUMMYFUNCTION("""COMPUTED_VALUE"""),"604 Bùi Thjij Xuân")</f>
        <v>604 Bùi Thjij Xuân</v>
      </c>
      <c r="D5813" s="119" t="str">
        <f>IFERROR(__xludf.DUMMYFUNCTION("""COMPUTED_VALUE"""),"Chó")</f>
        <v>Chó</v>
      </c>
      <c r="E5813" s="119" t="str">
        <f>IFERROR(__xludf.DUMMYFUNCTION("""COMPUTED_VALUE"""),"Đen")</f>
        <v>Đen</v>
      </c>
    </row>
    <row r="5814" ht="15.75" customHeight="1">
      <c r="A5814" s="122" t="str">
        <f>IFERROR(__xludf.DUMMYFUNCTION("""COMPUTED_VALUE"""),"0395 066 205")</f>
        <v>0395 066 205</v>
      </c>
      <c r="B5814" s="119" t="str">
        <f>IFERROR(__xludf.DUMMYFUNCTION("""COMPUTED_VALUE"""),"Chị Phương NHi")</f>
        <v>Chị Phương NHi</v>
      </c>
      <c r="C5814" s="119" t="str">
        <f>IFERROR(__xludf.DUMMYFUNCTION("""COMPUTED_VALUE"""),"Thuận An")</f>
        <v>Thuận An</v>
      </c>
      <c r="D5814" s="119" t="str">
        <f>IFERROR(__xludf.DUMMYFUNCTION("""COMPUTED_VALUE"""),"Chó")</f>
        <v>Chó</v>
      </c>
      <c r="E5814" s="119" t="str">
        <f>IFERROR(__xludf.DUMMYFUNCTION("""COMPUTED_VALUE"""),"Mít")</f>
        <v>Mít</v>
      </c>
    </row>
    <row r="5815" ht="15.75" customHeight="1">
      <c r="A5815" s="122" t="str">
        <f>IFERROR(__xludf.DUMMYFUNCTION("""COMPUTED_VALUE"""),"0359 095 368")</f>
        <v>0359 095 368</v>
      </c>
      <c r="B5815" s="119" t="str">
        <f>IFERROR(__xludf.DUMMYFUNCTION("""COMPUTED_VALUE"""),"chị Gái")</f>
        <v>chị Gái</v>
      </c>
      <c r="C5815" s="119" t="str">
        <f>IFERROR(__xludf.DUMMYFUNCTION("""COMPUTED_VALUE"""),"Phú Lễ, Quảng Điền")</f>
        <v>Phú Lễ, Quảng Điền</v>
      </c>
      <c r="D5815" s="119" t="str">
        <f>IFERROR(__xludf.DUMMYFUNCTION("""COMPUTED_VALUE"""),"Chó")</f>
        <v>Chó</v>
      </c>
      <c r="E5815" s="119" t="str">
        <f>IFERROR(__xludf.DUMMYFUNCTION("""COMPUTED_VALUE"""),"Na")</f>
        <v>Na</v>
      </c>
    </row>
    <row r="5816" ht="15.75" customHeight="1">
      <c r="A5816" s="122" t="str">
        <f>IFERROR(__xludf.DUMMYFUNCTION("""COMPUTED_VALUE"""),"0383 057 853")</f>
        <v>0383 057 853</v>
      </c>
      <c r="B5816" s="119" t="str">
        <f>IFERROR(__xludf.DUMMYFUNCTION("""COMPUTED_VALUE"""),"Em Sương")</f>
        <v>Em Sương</v>
      </c>
      <c r="C5816" s="119" t="str">
        <f>IFERROR(__xludf.DUMMYFUNCTION("""COMPUTED_VALUE"""),"31h1 khu TDC Hương Sơ")</f>
        <v>31h1 khu TDC Hương Sơ</v>
      </c>
      <c r="D5816" s="119" t="str">
        <f>IFERROR(__xludf.DUMMYFUNCTION("""COMPUTED_VALUE"""),"Chó")</f>
        <v>Chó</v>
      </c>
      <c r="E5816" s="119" t="str">
        <f>IFERROR(__xludf.DUMMYFUNCTION("""COMPUTED_VALUE"""),"Sam")</f>
        <v>Sam</v>
      </c>
    </row>
    <row r="5817" ht="15.75" customHeight="1">
      <c r="A5817" s="122" t="str">
        <f>IFERROR(__xludf.DUMMYFUNCTION("""COMPUTED_VALUE"""),"0795 057 575")</f>
        <v>0795 057 575</v>
      </c>
      <c r="B5817" s="119" t="str">
        <f>IFERROR(__xludf.DUMMYFUNCTION("""COMPUTED_VALUE"""),"Anh tấn")</f>
        <v>Anh tấn</v>
      </c>
      <c r="C5817" s="119" t="str">
        <f>IFERROR(__xludf.DUMMYFUNCTION("""COMPUTED_VALUE"""),"56a An Ninh")</f>
        <v>56a An Ninh</v>
      </c>
      <c r="D5817" s="119" t="str">
        <f>IFERROR(__xludf.DUMMYFUNCTION("""COMPUTED_VALUE"""),"Chó")</f>
        <v>Chó</v>
      </c>
      <c r="E5817" s="119" t="str">
        <f>IFERROR(__xludf.DUMMYFUNCTION("""COMPUTED_VALUE"""),"Xám")</f>
        <v>Xám</v>
      </c>
    </row>
    <row r="5818" ht="15.75" customHeight="1">
      <c r="A5818" s="122" t="str">
        <f>IFERROR(__xludf.DUMMYFUNCTION("""COMPUTED_VALUE"""),"0971 507 474")</f>
        <v>0971 507 474</v>
      </c>
      <c r="B5818" s="119" t="str">
        <f>IFERROR(__xludf.DUMMYFUNCTION("""COMPUTED_VALUE"""),"Anh Quốc")</f>
        <v>Anh Quốc</v>
      </c>
      <c r="C5818" s="119" t="str">
        <f>IFERROR(__xludf.DUMMYFUNCTION("""COMPUTED_VALUE"""),"Quảng Điền")</f>
        <v>Quảng Điền</v>
      </c>
      <c r="D5818" s="119" t="str">
        <f>IFERROR(__xludf.DUMMYFUNCTION("""COMPUTED_VALUE"""),"Gà")</f>
        <v>Gà</v>
      </c>
      <c r="E5818" s="119" t="str">
        <f>IFERROR(__xludf.DUMMYFUNCTION("""COMPUTED_VALUE"""),"Ken")</f>
        <v>Ken</v>
      </c>
    </row>
    <row r="5819" ht="15.75" customHeight="1">
      <c r="A5819" s="122" t="str">
        <f>IFERROR(__xludf.DUMMYFUNCTION("""COMPUTED_VALUE"""),"0931 979 737")</f>
        <v>0931 979 737</v>
      </c>
      <c r="B5819" s="119" t="str">
        <f>IFERROR(__xludf.DUMMYFUNCTION("""COMPUTED_VALUE"""),"chị Hảo")</f>
        <v>chị Hảo</v>
      </c>
      <c r="C5819" s="119" t="str">
        <f>IFERROR(__xludf.DUMMYFUNCTION("""COMPUTED_VALUE"""),"Nhà đối diện")</f>
        <v>Nhà đối diện</v>
      </c>
      <c r="D5819" s="119" t="str">
        <f>IFERROR(__xludf.DUMMYFUNCTION("""COMPUTED_VALUE"""),"Mèo")</f>
        <v>Mèo</v>
      </c>
      <c r="E5819" s="119" t="str">
        <f>IFERROR(__xludf.DUMMYFUNCTION("""COMPUTED_VALUE"""),"Moon")</f>
        <v>Moon</v>
      </c>
    </row>
    <row r="5820" ht="15.75" customHeight="1">
      <c r="A5820" s="122" t="str">
        <f>IFERROR(__xludf.DUMMYFUNCTION("""COMPUTED_VALUE"""),"0944 240 777")</f>
        <v>0944 240 777</v>
      </c>
      <c r="B5820" s="119" t="str">
        <f>IFERROR(__xludf.DUMMYFUNCTION("""COMPUTED_VALUE"""),"dì Hương")</f>
        <v>dì Hương</v>
      </c>
      <c r="C5820" s="119" t="str">
        <f>IFERROR(__xludf.DUMMYFUNCTION("""COMPUTED_VALUE"""),"92 Trần Nguyên Đán")</f>
        <v>92 Trần Nguyên Đán</v>
      </c>
      <c r="D5820" s="119" t="str">
        <f>IFERROR(__xludf.DUMMYFUNCTION("""COMPUTED_VALUE"""),"Mèo")</f>
        <v>Mèo</v>
      </c>
      <c r="E5820" s="119" t="str">
        <f>IFERROR(__xludf.DUMMYFUNCTION("""COMPUTED_VALUE"""),"Sói")</f>
        <v>Sói</v>
      </c>
    </row>
    <row r="5821" ht="15.75" customHeight="1">
      <c r="A5821" s="122" t="str">
        <f>IFERROR(__xludf.DUMMYFUNCTION("""COMPUTED_VALUE"""),"0915 567 674")</f>
        <v>0915 567 674</v>
      </c>
      <c r="B5821" s="119" t="str">
        <f>IFERROR(__xludf.DUMMYFUNCTION("""COMPUTED_VALUE"""),"Dì Tâm")</f>
        <v>Dì Tâm</v>
      </c>
      <c r="C5821" s="119" t="str">
        <f>IFERROR(__xludf.DUMMYFUNCTION("""COMPUTED_VALUE"""),"8/2/17 Vạn Xuân")</f>
        <v>8/2/17 Vạn Xuân</v>
      </c>
      <c r="D5821" s="119" t="str">
        <f>IFERROR(__xludf.DUMMYFUNCTION("""COMPUTED_VALUE"""),"Chó")</f>
        <v>Chó</v>
      </c>
      <c r="E5821" s="119" t="str">
        <f>IFERROR(__xludf.DUMMYFUNCTION("""COMPUTED_VALUE"""),"Top")</f>
        <v>Top</v>
      </c>
    </row>
    <row r="5822" ht="15.75" customHeight="1">
      <c r="A5822" s="122" t="str">
        <f>IFERROR(__xludf.DUMMYFUNCTION("""COMPUTED_VALUE"""),"0763 537 935")</f>
        <v>0763 537 935</v>
      </c>
      <c r="B5822" s="119" t="str">
        <f>IFERROR(__xludf.DUMMYFUNCTION("""COMPUTED_VALUE"""),"Em Khánh Như")</f>
        <v>Em Khánh Như</v>
      </c>
      <c r="C5822" s="119" t="str">
        <f>IFERROR(__xludf.DUMMYFUNCTION("""COMPUTED_VALUE"""),"22/4 Phú Mộng")</f>
        <v>22/4 Phú Mộng</v>
      </c>
      <c r="D5822" s="119" t="str">
        <f>IFERROR(__xludf.DUMMYFUNCTION("""COMPUTED_VALUE"""),"Chó")</f>
        <v>Chó</v>
      </c>
      <c r="E5822" s="119" t="str">
        <f>IFERROR(__xludf.DUMMYFUNCTION("""COMPUTED_VALUE"""),"Sữa")</f>
        <v>Sữa</v>
      </c>
    </row>
    <row r="5823" ht="15.75" customHeight="1">
      <c r="A5823" s="122" t="str">
        <f>IFERROR(__xludf.DUMMYFUNCTION("""COMPUTED_VALUE"""),"0702 779 123")</f>
        <v>0702 779 123</v>
      </c>
      <c r="B5823" s="119" t="str">
        <f>IFERROR(__xludf.DUMMYFUNCTION("""COMPUTED_VALUE"""),"Bác Hoá")</f>
        <v>Bác Hoá</v>
      </c>
      <c r="C5823" s="119" t="str">
        <f>IFERROR(__xludf.DUMMYFUNCTION("""COMPUTED_VALUE"""),"25/56 Duy Tân")</f>
        <v>25/56 Duy Tân</v>
      </c>
      <c r="D5823" s="119" t="str">
        <f>IFERROR(__xludf.DUMMYFUNCTION("""COMPUTED_VALUE"""),"Mèo")</f>
        <v>Mèo</v>
      </c>
      <c r="E5823" s="119"/>
    </row>
    <row r="5824" ht="15.75" customHeight="1">
      <c r="A5824" s="122" t="str">
        <f>IFERROR(__xludf.DUMMYFUNCTION("""COMPUTED_VALUE"""),"0914 125 892")</f>
        <v>0914 125 892</v>
      </c>
      <c r="B5824" s="119" t="str">
        <f>IFERROR(__xludf.DUMMYFUNCTION("""COMPUTED_VALUE"""),"Anh Khánh")</f>
        <v>Anh Khánh</v>
      </c>
      <c r="C5824" s="119" t="str">
        <f>IFERROR(__xludf.DUMMYFUNCTION("""COMPUTED_VALUE"""),"44/200 Lý Nam Đế")</f>
        <v>44/200 Lý Nam Đế</v>
      </c>
      <c r="D5824" s="119" t="str">
        <f>IFERROR(__xludf.DUMMYFUNCTION("""COMPUTED_VALUE"""),"Chó")</f>
        <v>Chó</v>
      </c>
      <c r="E5824" s="119" t="str">
        <f>IFERROR(__xludf.DUMMYFUNCTION("""COMPUTED_VALUE"""),"Bơ")</f>
        <v>Bơ</v>
      </c>
    </row>
    <row r="5825" ht="15.75" customHeight="1">
      <c r="A5825" s="122" t="str">
        <f>IFERROR(__xludf.DUMMYFUNCTION("""COMPUTED_VALUE"""),"0763 631 929")</f>
        <v>0763 631 929</v>
      </c>
      <c r="B5825" s="119" t="str">
        <f>IFERROR(__xludf.DUMMYFUNCTION("""COMPUTED_VALUE"""),"Võ Hồng Đức")</f>
        <v>Võ Hồng Đức</v>
      </c>
      <c r="C5825" s="119" t="str">
        <f>IFERROR(__xludf.DUMMYFUNCTION("""COMPUTED_VALUE"""),"695 Nguyễn Tất Thánh")</f>
        <v>695 Nguyễn Tất Thánh</v>
      </c>
      <c r="D5825" s="119" t="str">
        <f>IFERROR(__xludf.DUMMYFUNCTION("""COMPUTED_VALUE"""),"Chó")</f>
        <v>Chó</v>
      </c>
      <c r="E5825" s="119" t="str">
        <f>IFERROR(__xludf.DUMMYFUNCTION("""COMPUTED_VALUE"""),"Nâu")</f>
        <v>Nâu</v>
      </c>
    </row>
    <row r="5826" ht="15.75" customHeight="1">
      <c r="A5826" s="122" t="str">
        <f>IFERROR(__xludf.DUMMYFUNCTION("""COMPUTED_VALUE"""),"0901 151 946")</f>
        <v>0901 151 946</v>
      </c>
      <c r="B5826" s="119" t="str">
        <f>IFERROR(__xludf.DUMMYFUNCTION("""COMPUTED_VALUE"""),"anh Bách")</f>
        <v>anh Bách</v>
      </c>
      <c r="C5826" s="119" t="str">
        <f>IFERROR(__xludf.DUMMYFUNCTION("""COMPUTED_VALUE"""),"Đặng văn Ngữ")</f>
        <v>Đặng văn Ngữ</v>
      </c>
      <c r="D5826" s="119" t="str">
        <f>IFERROR(__xludf.DUMMYFUNCTION("""COMPUTED_VALUE"""),"Chó")</f>
        <v>Chó</v>
      </c>
      <c r="E5826" s="119" t="str">
        <f>IFERROR(__xludf.DUMMYFUNCTION("""COMPUTED_VALUE"""),"cogir")</f>
        <v>cogir</v>
      </c>
    </row>
    <row r="5827" ht="15.75" customHeight="1">
      <c r="A5827" s="122" t="str">
        <f>IFERROR(__xludf.DUMMYFUNCTION("""COMPUTED_VALUE"""),"0915 711 420")</f>
        <v>0915 711 420</v>
      </c>
      <c r="B5827" s="119" t="str">
        <f>IFERROR(__xludf.DUMMYFUNCTION("""COMPUTED_VALUE"""),"Anh cường")</f>
        <v>Anh cường</v>
      </c>
      <c r="C5827" s="119" t="str">
        <f>IFERROR(__xludf.DUMMYFUNCTION("""COMPUTED_VALUE"""),"98/82 Quảng Tế")</f>
        <v>98/82 Quảng Tế</v>
      </c>
      <c r="D5827" s="119" t="str">
        <f>IFERROR(__xludf.DUMMYFUNCTION("""COMPUTED_VALUE"""),"Chó")</f>
        <v>Chó</v>
      </c>
      <c r="E5827" s="119" t="str">
        <f>IFERROR(__xludf.DUMMYFUNCTION("""COMPUTED_VALUE"""),"Tiger")</f>
        <v>Tiger</v>
      </c>
    </row>
    <row r="5828" ht="15.75" customHeight="1">
      <c r="A5828" s="122" t="str">
        <f>IFERROR(__xludf.DUMMYFUNCTION("""COMPUTED_VALUE"""),"0355 529 075")</f>
        <v>0355 529 075</v>
      </c>
      <c r="B5828" s="119" t="str">
        <f>IFERROR(__xludf.DUMMYFUNCTION("""COMPUTED_VALUE"""),"Anh Tình")</f>
        <v>Anh Tình</v>
      </c>
      <c r="C5828" s="119" t="str">
        <f>IFERROR(__xludf.DUMMYFUNCTION("""COMPUTED_VALUE"""),"238 Văn Thánh")</f>
        <v>238 Văn Thánh</v>
      </c>
      <c r="D5828" s="119" t="str">
        <f>IFERROR(__xludf.DUMMYFUNCTION("""COMPUTED_VALUE"""),"Chó")</f>
        <v>Chó</v>
      </c>
      <c r="E5828" s="119" t="str">
        <f>IFERROR(__xludf.DUMMYFUNCTION("""COMPUTED_VALUE"""),"pep")</f>
        <v>pep</v>
      </c>
    </row>
    <row r="5829" ht="15.75" customHeight="1">
      <c r="A5829" s="122" t="str">
        <f>IFERROR(__xludf.DUMMYFUNCTION("""COMPUTED_VALUE"""),"0795 719 434")</f>
        <v>0795 719 434</v>
      </c>
      <c r="B5829" s="119" t="str">
        <f>IFERROR(__xludf.DUMMYFUNCTION("""COMPUTED_VALUE"""),"Anh Hiếu")</f>
        <v>Anh Hiếu</v>
      </c>
      <c r="C5829" s="119" t="str">
        <f>IFERROR(__xludf.DUMMYFUNCTION("""COMPUTED_VALUE"""),"4/7/14 Ưng bình Vỹ dạ")</f>
        <v>4/7/14 Ưng bình Vỹ dạ</v>
      </c>
      <c r="D5829" s="119" t="str">
        <f>IFERROR(__xludf.DUMMYFUNCTION("""COMPUTED_VALUE"""),"Chó")</f>
        <v>Chó</v>
      </c>
      <c r="E5829" s="119" t="str">
        <f>IFERROR(__xludf.DUMMYFUNCTION("""COMPUTED_VALUE"""),"zet")</f>
        <v>zet</v>
      </c>
    </row>
    <row r="5830" ht="15.75" customHeight="1">
      <c r="A5830" s="122" t="str">
        <f>IFERROR(__xludf.DUMMYFUNCTION("""COMPUTED_VALUE"""),"0824 168 445")</f>
        <v>0824 168 445</v>
      </c>
      <c r="B5830" s="119" t="str">
        <f>IFERROR(__xludf.DUMMYFUNCTION("""COMPUTED_VALUE"""),"Chị Hương")</f>
        <v>Chị Hương</v>
      </c>
      <c r="C5830" s="119" t="str">
        <f>IFERROR(__xludf.DUMMYFUNCTION("""COMPUTED_VALUE"""),"k 53 Phạm Thị Liên")</f>
        <v>k 53 Phạm Thị Liên</v>
      </c>
      <c r="D5830" s="119" t="str">
        <f>IFERROR(__xludf.DUMMYFUNCTION("""COMPUTED_VALUE"""),"Chó")</f>
        <v>Chó</v>
      </c>
      <c r="E5830" s="119" t="str">
        <f>IFERROR(__xludf.DUMMYFUNCTION("""COMPUTED_VALUE"""),"Bông")</f>
        <v>Bông</v>
      </c>
    </row>
    <row r="5831" ht="15.75" customHeight="1">
      <c r="A5831" s="122" t="str">
        <f>IFERROR(__xludf.DUMMYFUNCTION("""COMPUTED_VALUE"""),"0398 314 214")</f>
        <v>0398 314 214</v>
      </c>
      <c r="B5831" s="119" t="str">
        <f>IFERROR(__xludf.DUMMYFUNCTION("""COMPUTED_VALUE"""),"Anh Hiệp")</f>
        <v>Anh Hiệp</v>
      </c>
      <c r="C5831" s="119" t="str">
        <f>IFERROR(__xludf.DUMMYFUNCTION("""COMPUTED_VALUE"""),"4/289 Bùi Thị Xuân")</f>
        <v>4/289 Bùi Thị Xuân</v>
      </c>
      <c r="D5831" s="119" t="str">
        <f>IFERROR(__xludf.DUMMYFUNCTION("""COMPUTED_VALUE"""),"Chó")</f>
        <v>Chó</v>
      </c>
      <c r="E5831" s="119" t="str">
        <f>IFERROR(__xludf.DUMMYFUNCTION("""COMPUTED_VALUE"""),"Min")</f>
        <v>Min</v>
      </c>
    </row>
    <row r="5832" ht="15.75" customHeight="1">
      <c r="A5832" s="122" t="str">
        <f>IFERROR(__xludf.DUMMYFUNCTION("""COMPUTED_VALUE"""),"0934 861 022")</f>
        <v>0934 861 022</v>
      </c>
      <c r="B5832" s="119" t="str">
        <f>IFERROR(__xludf.DUMMYFUNCTION("""COMPUTED_VALUE"""),"Phan Thị Kim Oanh")</f>
        <v>Phan Thị Kim Oanh</v>
      </c>
      <c r="C5832" s="119" t="str">
        <f>IFERROR(__xludf.DUMMYFUNCTION("""COMPUTED_VALUE"""),"113 Văn Thánh")</f>
        <v>113 Văn Thánh</v>
      </c>
      <c r="D5832" s="119" t="str">
        <f>IFERROR(__xludf.DUMMYFUNCTION("""COMPUTED_VALUE"""),"Chó")</f>
        <v>Chó</v>
      </c>
      <c r="E5832" s="119"/>
    </row>
    <row r="5833" ht="15.75" customHeight="1">
      <c r="A5833" s="122" t="str">
        <f>IFERROR(__xludf.DUMMYFUNCTION("""COMPUTED_VALUE"""),"0896 216 447")</f>
        <v>0896 216 447</v>
      </c>
      <c r="B5833" s="119" t="str">
        <f>IFERROR(__xludf.DUMMYFUNCTION("""COMPUTED_VALUE"""),"Chị Ái Ty")</f>
        <v>Chị Ái Ty</v>
      </c>
      <c r="C5833" s="119" t="str">
        <f>IFERROR(__xludf.DUMMYFUNCTION("""COMPUTED_VALUE"""),"Lộc Thuỷ, Phú Lộc")</f>
        <v>Lộc Thuỷ, Phú Lộc</v>
      </c>
      <c r="D5833" s="119" t="str">
        <f>IFERROR(__xludf.DUMMYFUNCTION("""COMPUTED_VALUE"""),"Chó")</f>
        <v>Chó</v>
      </c>
      <c r="E5833" s="119" t="str">
        <f>IFERROR(__xludf.DUMMYFUNCTION("""COMPUTED_VALUE"""),"Mun")</f>
        <v>Mun</v>
      </c>
    </row>
    <row r="5834" ht="15.75" customHeight="1">
      <c r="A5834" s="122" t="str">
        <f>IFERROR(__xludf.DUMMYFUNCTION("""COMPUTED_VALUE"""),"0903 513 430")</f>
        <v>0903 513 430</v>
      </c>
      <c r="B5834" s="119" t="str">
        <f>IFERROR(__xludf.DUMMYFUNCTION("""COMPUTED_VALUE"""),"Cô Liên Quý")</f>
        <v>Cô Liên Quý</v>
      </c>
      <c r="C5834" s="119" t="str">
        <f>IFERROR(__xludf.DUMMYFUNCTION("""COMPUTED_VALUE"""),"Chùa Đức Sơn")</f>
        <v>Chùa Đức Sơn</v>
      </c>
      <c r="D5834" s="119" t="str">
        <f>IFERROR(__xludf.DUMMYFUNCTION("""COMPUTED_VALUE"""),"Mèo")</f>
        <v>Mèo</v>
      </c>
      <c r="E5834" s="119" t="str">
        <f>IFERROR(__xludf.DUMMYFUNCTION("""COMPUTED_VALUE"""),"Nhỏ")</f>
        <v>Nhỏ</v>
      </c>
    </row>
    <row r="5835" ht="15.75" customHeight="1">
      <c r="A5835" s="122" t="str">
        <f>IFERROR(__xludf.DUMMYFUNCTION("""COMPUTED_VALUE"""),"0789 402 433")</f>
        <v>0789 402 433</v>
      </c>
      <c r="B5835" s="119" t="str">
        <f>IFERROR(__xludf.DUMMYFUNCTION("""COMPUTED_VALUE"""),"Anh Lợi")</f>
        <v>Anh Lợi</v>
      </c>
      <c r="C5835" s="119" t="str">
        <f>IFERROR(__xludf.DUMMYFUNCTION("""COMPUTED_VALUE"""),"83 Phạm Thị Liên")</f>
        <v>83 Phạm Thị Liên</v>
      </c>
      <c r="D5835" s="119" t="str">
        <f>IFERROR(__xludf.DUMMYFUNCTION("""COMPUTED_VALUE"""),"Chó")</f>
        <v>Chó</v>
      </c>
      <c r="E5835" s="119"/>
    </row>
    <row r="5836" ht="15.75" customHeight="1">
      <c r="A5836" s="122" t="str">
        <f>IFERROR(__xludf.DUMMYFUNCTION("""COMPUTED_VALUE"""),"0938 953 356")</f>
        <v>0938 953 356</v>
      </c>
      <c r="B5836" s="119" t="str">
        <f>IFERROR(__xludf.DUMMYFUNCTION("""COMPUTED_VALUE"""),"Chú Tùng")</f>
        <v>Chú Tùng</v>
      </c>
      <c r="C5836" s="119" t="str">
        <f>IFERROR(__xludf.DUMMYFUNCTION("""COMPUTED_VALUE"""),"140 Nguyễn Huệ")</f>
        <v>140 Nguyễn Huệ</v>
      </c>
      <c r="D5836" s="119" t="str">
        <f>IFERROR(__xludf.DUMMYFUNCTION("""COMPUTED_VALUE"""),"Chó")</f>
        <v>Chó</v>
      </c>
      <c r="E5836" s="119" t="str">
        <f>IFERROR(__xludf.DUMMYFUNCTION("""COMPUTED_VALUE"""),"Vàng")</f>
        <v>Vàng</v>
      </c>
    </row>
    <row r="5837" ht="15.75" customHeight="1">
      <c r="A5837" s="122" t="str">
        <f>IFERROR(__xludf.DUMMYFUNCTION("""COMPUTED_VALUE"""),"0914 230 909")</f>
        <v>0914 230 909</v>
      </c>
      <c r="B5837" s="119" t="str">
        <f>IFERROR(__xludf.DUMMYFUNCTION("""COMPUTED_VALUE"""),"Bác Lương")</f>
        <v>Bác Lương</v>
      </c>
      <c r="C5837" s="119" t="str">
        <f>IFERROR(__xludf.DUMMYFUNCTION("""COMPUTED_VALUE"""),"60/6 Phạm Thị Liên")</f>
        <v>60/6 Phạm Thị Liên</v>
      </c>
      <c r="D5837" s="119" t="str">
        <f>IFERROR(__xludf.DUMMYFUNCTION("""COMPUTED_VALUE"""),"Chó")</f>
        <v>Chó</v>
      </c>
      <c r="E5837" s="119" t="str">
        <f>IFERROR(__xludf.DUMMYFUNCTION("""COMPUTED_VALUE"""),"Mun")</f>
        <v>Mun</v>
      </c>
    </row>
    <row r="5838" ht="15.75" customHeight="1">
      <c r="A5838" s="122" t="str">
        <f>IFERROR(__xludf.DUMMYFUNCTION("""COMPUTED_VALUE"""),"0907 829 080")</f>
        <v>0907 829 080</v>
      </c>
      <c r="B5838" s="119" t="str">
        <f>IFERROR(__xludf.DUMMYFUNCTION("""COMPUTED_VALUE"""),"Anh Phương")</f>
        <v>Anh Phương</v>
      </c>
      <c r="C5838" s="119" t="str">
        <f>IFERROR(__xludf.DUMMYFUNCTION("""COMPUTED_VALUE"""),"36/56 Nguyễn Công Trứ")</f>
        <v>36/56 Nguyễn Công Trứ</v>
      </c>
      <c r="D5838" s="119" t="str">
        <f>IFERROR(__xludf.DUMMYFUNCTION("""COMPUTED_VALUE"""),"Chó")</f>
        <v>Chó</v>
      </c>
      <c r="E5838" s="119"/>
    </row>
    <row r="5839" ht="15.75" customHeight="1">
      <c r="A5839" s="122" t="str">
        <f>IFERROR(__xludf.DUMMYFUNCTION("""COMPUTED_VALUE"""),"0914 126 812")</f>
        <v>0914 126 812</v>
      </c>
      <c r="B5839" s="119" t="str">
        <f>IFERROR(__xludf.DUMMYFUNCTION("""COMPUTED_VALUE"""),"ANh Tý")</f>
        <v>ANh Tý</v>
      </c>
      <c r="C5839" s="119" t="str">
        <f>IFERROR(__xludf.DUMMYFUNCTION("""COMPUTED_VALUE"""),"24 Nguyễn Hữu Thọ")</f>
        <v>24 Nguyễn Hữu Thọ</v>
      </c>
      <c r="D5839" s="119" t="str">
        <f>IFERROR(__xludf.DUMMYFUNCTION("""COMPUTED_VALUE"""),"chó")</f>
        <v>chó</v>
      </c>
      <c r="E5839" s="119" t="str">
        <f>IFERROR(__xludf.DUMMYFUNCTION("""COMPUTED_VALUE"""),"Ken")</f>
        <v>Ken</v>
      </c>
    </row>
    <row r="5840" ht="15.75" customHeight="1">
      <c r="A5840" s="122" t="str">
        <f>IFERROR(__xludf.DUMMYFUNCTION("""COMPUTED_VALUE"""),"0333 077 005")</f>
        <v>0333 077 005</v>
      </c>
      <c r="B5840" s="119" t="str">
        <f>IFERROR(__xludf.DUMMYFUNCTION("""COMPUTED_VALUE"""),"CHị Linh")</f>
        <v>CHị Linh</v>
      </c>
      <c r="C5840" s="119" t="str">
        <f>IFERROR(__xludf.DUMMYFUNCTION("""COMPUTED_VALUE"""),"Bình Điền")</f>
        <v>Bình Điền</v>
      </c>
      <c r="D5840" s="119" t="str">
        <f>IFERROR(__xludf.DUMMYFUNCTION("""COMPUTED_VALUE"""),"chó")</f>
        <v>chó</v>
      </c>
      <c r="E5840" s="119" t="str">
        <f>IFERROR(__xludf.DUMMYFUNCTION("""COMPUTED_VALUE"""),"Mèo")</f>
        <v>Mèo</v>
      </c>
    </row>
    <row r="5841" ht="15.75" customHeight="1">
      <c r="A5841" s="122" t="str">
        <f>IFERROR(__xludf.DUMMYFUNCTION("""COMPUTED_VALUE"""),"0376 102 423")</f>
        <v>0376 102 423</v>
      </c>
      <c r="B5841" s="119" t="str">
        <f>IFERROR(__xludf.DUMMYFUNCTION("""COMPUTED_VALUE"""),"Chị Diệu Trinh")</f>
        <v>Chị Diệu Trinh</v>
      </c>
      <c r="C5841" s="119" t="str">
        <f>IFERROR(__xludf.DUMMYFUNCTION("""COMPUTED_VALUE"""),"38 Nguyễn Hoàng")</f>
        <v>38 Nguyễn Hoàng</v>
      </c>
      <c r="D5841" s="119" t="str">
        <f>IFERROR(__xludf.DUMMYFUNCTION("""COMPUTED_VALUE"""),"Mèo")</f>
        <v>Mèo</v>
      </c>
      <c r="E5841" s="119" t="str">
        <f>IFERROR(__xludf.DUMMYFUNCTION("""COMPUTED_VALUE"""),"Béo")</f>
        <v>Béo</v>
      </c>
    </row>
    <row r="5842" ht="15.75" customHeight="1">
      <c r="A5842" s="122" t="str">
        <f>IFERROR(__xludf.DUMMYFUNCTION("""COMPUTED_VALUE"""),"0985 888 006")</f>
        <v>0985 888 006</v>
      </c>
      <c r="B5842" s="119" t="str">
        <f>IFERROR(__xludf.DUMMYFUNCTION("""COMPUTED_VALUE"""),"Thầy Quang Dũng")</f>
        <v>Thầy Quang Dũng</v>
      </c>
      <c r="C5842" s="119" t="str">
        <f>IFERROR(__xludf.DUMMYFUNCTION("""COMPUTED_VALUE"""),"tdp Lim- Trầm")</f>
        <v>tdp Lim- Trầm</v>
      </c>
      <c r="D5842" s="119" t="str">
        <f>IFERROR(__xludf.DUMMYFUNCTION("""COMPUTED_VALUE"""),"chó")</f>
        <v>chó</v>
      </c>
      <c r="E5842" s="119"/>
    </row>
    <row r="5843" ht="15.75" customHeight="1">
      <c r="A5843" s="122" t="str">
        <f>IFERROR(__xludf.DUMMYFUNCTION("""COMPUTED_VALUE"""),"0935 621 114")</f>
        <v>0935 621 114</v>
      </c>
      <c r="B5843" s="119" t="str">
        <f>IFERROR(__xludf.DUMMYFUNCTION("""COMPUTED_VALUE"""),"DÌ Cương")</f>
        <v>DÌ Cương</v>
      </c>
      <c r="C5843" s="119" t="str">
        <f>IFERROR(__xludf.DUMMYFUNCTION("""COMPUTED_VALUE"""),"31 Lê Duẩn")</f>
        <v>31 Lê Duẩn</v>
      </c>
      <c r="D5843" s="119" t="str">
        <f>IFERROR(__xludf.DUMMYFUNCTION("""COMPUTED_VALUE"""),"chó")</f>
        <v>chó</v>
      </c>
      <c r="E5843" s="119" t="str">
        <f>IFERROR(__xludf.DUMMYFUNCTION("""COMPUTED_VALUE"""),"Tô")</f>
        <v>Tô</v>
      </c>
    </row>
    <row r="5844" ht="15.75" customHeight="1">
      <c r="A5844" s="122" t="str">
        <f>IFERROR(__xludf.DUMMYFUNCTION("""COMPUTED_VALUE"""),"0935 297 882")</f>
        <v>0935 297 882</v>
      </c>
      <c r="B5844" s="119" t="str">
        <f>IFERROR(__xludf.DUMMYFUNCTION("""COMPUTED_VALUE"""),"Mai Văn Bình")</f>
        <v>Mai Văn Bình</v>
      </c>
      <c r="C5844" s="119" t="str">
        <f>IFERROR(__xludf.DUMMYFUNCTION("""COMPUTED_VALUE"""),"276 Lý Nam Đế")</f>
        <v>276 Lý Nam Đế</v>
      </c>
      <c r="D5844" s="119" t="str">
        <f>IFERROR(__xludf.DUMMYFUNCTION("""COMPUTED_VALUE"""),"chó")</f>
        <v>chó</v>
      </c>
      <c r="E5844" s="119" t="str">
        <f>IFERROR(__xludf.DUMMYFUNCTION("""COMPUTED_VALUE"""),"Bin")</f>
        <v>Bin</v>
      </c>
    </row>
    <row r="5845" ht="15.75" customHeight="1">
      <c r="A5845" s="122" t="str">
        <f>IFERROR(__xludf.DUMMYFUNCTION("""COMPUTED_VALUE"""),"0378 084 961")</f>
        <v>0378 084 961</v>
      </c>
      <c r="B5845" s="119" t="str">
        <f>IFERROR(__xludf.DUMMYFUNCTION("""COMPUTED_VALUE"""),"Chị Thảo")</f>
        <v>Chị Thảo</v>
      </c>
      <c r="C5845" s="119" t="str">
        <f>IFERROR(__xludf.DUMMYFUNCTION("""COMPUTED_VALUE"""),"1/52 Ngô Hà Thuỷ Bìu")</f>
        <v>1/52 Ngô Hà Thuỷ Bìu</v>
      </c>
      <c r="D5845" s="119" t="str">
        <f>IFERROR(__xludf.DUMMYFUNCTION("""COMPUTED_VALUE"""),"Mèo")</f>
        <v>Mèo</v>
      </c>
      <c r="E5845" s="119" t="str">
        <f>IFERROR(__xludf.DUMMYFUNCTION("""COMPUTED_VALUE"""),"cafe")</f>
        <v>cafe</v>
      </c>
    </row>
    <row r="5846" ht="15.75" customHeight="1">
      <c r="A5846" s="122" t="str">
        <f>IFERROR(__xludf.DUMMYFUNCTION("""COMPUTED_VALUE"""),"0355 136 261")</f>
        <v>0355 136 261</v>
      </c>
      <c r="B5846" s="119" t="str">
        <f>IFERROR(__xludf.DUMMYFUNCTION("""COMPUTED_VALUE"""),"Thầy Quang Thiện")</f>
        <v>Thầy Quang Thiện</v>
      </c>
      <c r="C5846" s="119" t="str">
        <f>IFERROR(__xludf.DUMMYFUNCTION("""COMPUTED_VALUE"""),"Chùa hkst")</f>
        <v>Chùa hkst</v>
      </c>
      <c r="D5846" s="119" t="str">
        <f>IFERROR(__xludf.DUMMYFUNCTION("""COMPUTED_VALUE"""),"chó")</f>
        <v>chó</v>
      </c>
      <c r="E5846" s="119" t="str">
        <f>IFERROR(__xludf.DUMMYFUNCTION("""COMPUTED_VALUE"""),"Maka")</f>
        <v>Maka</v>
      </c>
    </row>
    <row r="5847" ht="15.75" customHeight="1">
      <c r="A5847" s="122" t="str">
        <f>IFERROR(__xludf.DUMMYFUNCTION("""COMPUTED_VALUE"""),"0777 843 014")</f>
        <v>0777 843 014</v>
      </c>
      <c r="B5847" s="119" t="str">
        <f>IFERROR(__xludf.DUMMYFUNCTION("""COMPUTED_VALUE"""),"Em Ngọc Trâm")</f>
        <v>Em Ngọc Trâm</v>
      </c>
      <c r="C5847" s="119" t="str">
        <f>IFERROR(__xludf.DUMMYFUNCTION("""COMPUTED_VALUE"""),"13 Hàn Mạc Tử")</f>
        <v>13 Hàn Mạc Tử</v>
      </c>
      <c r="D5847" s="119" t="str">
        <f>IFERROR(__xludf.DUMMYFUNCTION("""COMPUTED_VALUE"""),"Chó")</f>
        <v>Chó</v>
      </c>
      <c r="E5847" s="119" t="str">
        <f>IFERROR(__xludf.DUMMYFUNCTION("""COMPUTED_VALUE"""),"Tưng")</f>
        <v>Tưng</v>
      </c>
    </row>
    <row r="5848" ht="15.75" customHeight="1">
      <c r="A5848" s="122" t="str">
        <f>IFERROR(__xludf.DUMMYFUNCTION("""COMPUTED_VALUE"""),"0978 224 403")</f>
        <v>0978 224 403</v>
      </c>
      <c r="B5848" s="119" t="str">
        <f>IFERROR(__xludf.DUMMYFUNCTION("""COMPUTED_VALUE"""),"Anh Hoàng")</f>
        <v>Anh Hoàng</v>
      </c>
      <c r="C5848" s="119" t="str">
        <f>IFERROR(__xludf.DUMMYFUNCTION("""COMPUTED_VALUE"""),"3/66 Thạch Hãn")</f>
        <v>3/66 Thạch Hãn</v>
      </c>
      <c r="D5848" s="119" t="str">
        <f>IFERROR(__xludf.DUMMYFUNCTION("""COMPUTED_VALUE"""),"Chó")</f>
        <v>Chó</v>
      </c>
      <c r="E5848" s="119" t="str">
        <f>IFERROR(__xludf.DUMMYFUNCTION("""COMPUTED_VALUE"""),"Ki")</f>
        <v>Ki</v>
      </c>
    </row>
    <row r="5849" ht="15.75" customHeight="1">
      <c r="A5849" s="122" t="str">
        <f>IFERROR(__xludf.DUMMYFUNCTION("""COMPUTED_VALUE"""),"0913 425 970")</f>
        <v>0913 425 970</v>
      </c>
      <c r="B5849" s="119" t="str">
        <f>IFERROR(__xludf.DUMMYFUNCTION("""COMPUTED_VALUE"""),"Chú Quý")</f>
        <v>Chú Quý</v>
      </c>
      <c r="C5849" s="119" t="str">
        <f>IFERROR(__xludf.DUMMYFUNCTION("""COMPUTED_VALUE"""),"5/104 Phạm Thị Liên")</f>
        <v>5/104 Phạm Thị Liên</v>
      </c>
      <c r="D5849" s="119" t="str">
        <f>IFERROR(__xludf.DUMMYFUNCTION("""COMPUTED_VALUE"""),"Chó")</f>
        <v>Chó</v>
      </c>
      <c r="E5849" s="119" t="str">
        <f>IFERROR(__xludf.DUMMYFUNCTION("""COMPUTED_VALUE"""),"Vàng")</f>
        <v>Vàng</v>
      </c>
    </row>
    <row r="5850" ht="15.75" customHeight="1">
      <c r="A5850" s="122" t="str">
        <f>IFERROR(__xludf.DUMMYFUNCTION("""COMPUTED_VALUE"""),"0345 729 611")</f>
        <v>0345 729 611</v>
      </c>
      <c r="B5850" s="119" t="str">
        <f>IFERROR(__xludf.DUMMYFUNCTION("""COMPUTED_VALUE"""),"Em Thảo")</f>
        <v>Em Thảo</v>
      </c>
      <c r="C5850" s="119" t="str">
        <f>IFERROR(__xludf.DUMMYFUNCTION("""COMPUTED_VALUE"""),"269 Điện Biên Phủ")</f>
        <v>269 Điện Biên Phủ</v>
      </c>
      <c r="D5850" s="119" t="str">
        <f>IFERROR(__xludf.DUMMYFUNCTION("""COMPUTED_VALUE"""),"Mèo")</f>
        <v>Mèo</v>
      </c>
      <c r="E5850" s="119" t="str">
        <f>IFERROR(__xludf.DUMMYFUNCTION("""COMPUTED_VALUE"""),"Sâu")</f>
        <v>Sâu</v>
      </c>
    </row>
    <row r="5851" ht="15.75" customHeight="1">
      <c r="A5851" s="122" t="str">
        <f>IFERROR(__xludf.DUMMYFUNCTION("""COMPUTED_VALUE"""),"0898 236 345")</f>
        <v>0898 236 345</v>
      </c>
      <c r="B5851" s="119" t="str">
        <f>IFERROR(__xludf.DUMMYFUNCTION("""COMPUTED_VALUE"""),"Em Đạt")</f>
        <v>Em Đạt</v>
      </c>
      <c r="C5851" s="119" t="str">
        <f>IFERROR(__xludf.DUMMYFUNCTION("""COMPUTED_VALUE"""),"116 Đào Duy Anh")</f>
        <v>116 Đào Duy Anh</v>
      </c>
      <c r="D5851" s="119" t="str">
        <f>IFERROR(__xludf.DUMMYFUNCTION("""COMPUTED_VALUE"""),"Chó")</f>
        <v>Chó</v>
      </c>
      <c r="E5851" s="119" t="str">
        <f>IFERROR(__xludf.DUMMYFUNCTION("""COMPUTED_VALUE"""),"Xù")</f>
        <v>Xù</v>
      </c>
    </row>
    <row r="5852" ht="15.75" customHeight="1">
      <c r="A5852" s="122" t="str">
        <f>IFERROR(__xludf.DUMMYFUNCTION("""COMPUTED_VALUE"""),"0986 964 688")</f>
        <v>0986 964 688</v>
      </c>
      <c r="B5852" s="119" t="str">
        <f>IFERROR(__xludf.DUMMYFUNCTION("""COMPUTED_VALUE"""),"Anh Chương")</f>
        <v>Anh Chương</v>
      </c>
      <c r="C5852" s="119" t="str">
        <f>IFERROR(__xludf.DUMMYFUNCTION("""COMPUTED_VALUE"""),"Hương Long")</f>
        <v>Hương Long</v>
      </c>
      <c r="D5852" s="119" t="str">
        <f>IFERROR(__xludf.DUMMYFUNCTION("""COMPUTED_VALUE"""),"Chó")</f>
        <v>Chó</v>
      </c>
      <c r="E5852" s="119" t="str">
        <f>IFERROR(__xludf.DUMMYFUNCTION("""COMPUTED_VALUE"""),"Su")</f>
        <v>Su</v>
      </c>
    </row>
    <row r="5853" ht="15.75" customHeight="1">
      <c r="A5853" s="122" t="str">
        <f>IFERROR(__xludf.DUMMYFUNCTION("""COMPUTED_VALUE"""),"0903354172")</f>
        <v>0903354172</v>
      </c>
      <c r="B5853" s="119" t="str">
        <f>IFERROR(__xludf.DUMMYFUNCTION("""COMPUTED_VALUE"""),"cô TỊnh Duyên")</f>
        <v>cô TỊnh Duyên</v>
      </c>
      <c r="C5853" s="119" t="str">
        <f>IFERROR(__xludf.DUMMYFUNCTION("""COMPUTED_VALUE"""),"Chùa HkSt")</f>
        <v>Chùa HkSt</v>
      </c>
      <c r="D5853" s="119" t="str">
        <f>IFERROR(__xludf.DUMMYFUNCTION("""COMPUTED_VALUE"""),"Chó")</f>
        <v>Chó</v>
      </c>
      <c r="E5853" s="119" t="str">
        <f>IFERROR(__xludf.DUMMYFUNCTION("""COMPUTED_VALUE"""),"BÀ Lã")</f>
        <v>BÀ Lã</v>
      </c>
    </row>
    <row r="5854" ht="15.75" customHeight="1">
      <c r="A5854" s="122" t="str">
        <f>IFERROR(__xludf.DUMMYFUNCTION("""COMPUTED_VALUE"""),"0708 040 589")</f>
        <v>0708 040 589</v>
      </c>
      <c r="B5854" s="119" t="str">
        <f>IFERROR(__xludf.DUMMYFUNCTION("""COMPUTED_VALUE"""),"Chị Ly")</f>
        <v>Chị Ly</v>
      </c>
      <c r="C5854" s="119" t="str">
        <f>IFERROR(__xludf.DUMMYFUNCTION("""COMPUTED_VALUE"""),"26 Bưu Đình")</f>
        <v>26 Bưu Đình</v>
      </c>
      <c r="D5854" s="119" t="str">
        <f>IFERROR(__xludf.DUMMYFUNCTION("""COMPUTED_VALUE"""),"Mèo")</f>
        <v>Mèo</v>
      </c>
      <c r="E5854" s="119" t="str">
        <f>IFERROR(__xludf.DUMMYFUNCTION("""COMPUTED_VALUE"""),"Béo")</f>
        <v>Béo</v>
      </c>
    </row>
    <row r="5855" ht="15.75" customHeight="1">
      <c r="A5855" s="122" t="str">
        <f>IFERROR(__xludf.DUMMYFUNCTION("""COMPUTED_VALUE"""),"0942 012 705")</f>
        <v>0942 012 705</v>
      </c>
      <c r="B5855" s="119" t="str">
        <f>IFERROR(__xludf.DUMMYFUNCTION("""COMPUTED_VALUE"""),"Chị Đài")</f>
        <v>Chị Đài</v>
      </c>
      <c r="C5855" s="119" t="str">
        <f>IFERROR(__xludf.DUMMYFUNCTION("""COMPUTED_VALUE"""),"63/46 Phạm Thị Liên")</f>
        <v>63/46 Phạm Thị Liên</v>
      </c>
      <c r="D5855" s="119" t="str">
        <f>IFERROR(__xludf.DUMMYFUNCTION("""COMPUTED_VALUE"""),"Mèo")</f>
        <v>Mèo</v>
      </c>
      <c r="E5855" s="119"/>
    </row>
    <row r="5856" ht="15.75" customHeight="1">
      <c r="A5856" s="122" t="str">
        <f>IFERROR(__xludf.DUMMYFUNCTION("""COMPUTED_VALUE"""),"0824 261 189")</f>
        <v>0824 261 189</v>
      </c>
      <c r="B5856" s="119" t="str">
        <f>IFERROR(__xludf.DUMMYFUNCTION("""COMPUTED_VALUE"""),"Hoàng Công Lộc")</f>
        <v>Hoàng Công Lộc</v>
      </c>
      <c r="C5856" s="119" t="str">
        <f>IFERROR(__xludf.DUMMYFUNCTION("""COMPUTED_VALUE"""),"Chợ Hương Hồ")</f>
        <v>Chợ Hương Hồ</v>
      </c>
      <c r="D5856" s="119" t="str">
        <f>IFERROR(__xludf.DUMMYFUNCTION("""COMPUTED_VALUE"""),"Chó")</f>
        <v>Chó</v>
      </c>
      <c r="E5856" s="119" t="str">
        <f>IFERROR(__xludf.DUMMYFUNCTION("""COMPUTED_VALUE"""),"Lu")</f>
        <v>Lu</v>
      </c>
    </row>
    <row r="5857" ht="15.75" customHeight="1">
      <c r="A5857" s="122" t="str">
        <f>IFERROR(__xludf.DUMMYFUNCTION("""COMPUTED_VALUE"""),"0988 177 710")</f>
        <v>0988 177 710</v>
      </c>
      <c r="B5857" s="119" t="str">
        <f>IFERROR(__xludf.DUMMYFUNCTION("""COMPUTED_VALUE"""),"Anh Thông")</f>
        <v>Anh Thông</v>
      </c>
      <c r="C5857" s="119" t="str">
        <f>IFERROR(__xludf.DUMMYFUNCTION("""COMPUTED_VALUE"""),"4/113 Lê Huân")</f>
        <v>4/113 Lê Huân</v>
      </c>
      <c r="D5857" s="119" t="str">
        <f>IFERROR(__xludf.DUMMYFUNCTION("""COMPUTED_VALUE"""),"Chó")</f>
        <v>Chó</v>
      </c>
      <c r="E5857" s="119" t="str">
        <f>IFERROR(__xludf.DUMMYFUNCTION("""COMPUTED_VALUE"""),"Bo")</f>
        <v>Bo</v>
      </c>
    </row>
    <row r="5858" ht="15.75" customHeight="1">
      <c r="A5858" s="122" t="str">
        <f>IFERROR(__xludf.DUMMYFUNCTION("""COMPUTED_VALUE"""),"0938 447 737")</f>
        <v>0938 447 737</v>
      </c>
      <c r="B5858" s="119" t="str">
        <f>IFERROR(__xludf.DUMMYFUNCTION("""COMPUTED_VALUE"""),"Anh Lộc")</f>
        <v>Anh Lộc</v>
      </c>
      <c r="C5858" s="119" t="str">
        <f>IFERROR(__xludf.DUMMYFUNCTION("""COMPUTED_VALUE"""),"150/1Kim Long")</f>
        <v>150/1Kim Long</v>
      </c>
      <c r="D5858" s="119" t="str">
        <f>IFERROR(__xludf.DUMMYFUNCTION("""COMPUTED_VALUE"""),"Chó")</f>
        <v>Chó</v>
      </c>
      <c r="E5858" s="119" t="str">
        <f>IFERROR(__xludf.DUMMYFUNCTION("""COMPUTED_VALUE"""),"Ki")</f>
        <v>Ki</v>
      </c>
    </row>
    <row r="5859" ht="15.75" customHeight="1">
      <c r="A5859" s="122" t="str">
        <f>IFERROR(__xludf.DUMMYFUNCTION("""COMPUTED_VALUE"""),"0326 698 603")</f>
        <v>0326 698 603</v>
      </c>
      <c r="B5859" s="119" t="str">
        <f>IFERROR(__xludf.DUMMYFUNCTION("""COMPUTED_VALUE"""),"Em Hân")</f>
        <v>Em Hân</v>
      </c>
      <c r="C5859" s="119" t="str">
        <f>IFERROR(__xludf.DUMMYFUNCTION("""COMPUTED_VALUE"""),"Chùa Huyền không Sơn thượng")</f>
        <v>Chùa Huyền không Sơn thượng</v>
      </c>
      <c r="D5859" s="119" t="str">
        <f>IFERROR(__xludf.DUMMYFUNCTION("""COMPUTED_VALUE"""),"Chó")</f>
        <v>Chó</v>
      </c>
      <c r="E5859" s="119" t="str">
        <f>IFERROR(__xludf.DUMMYFUNCTION("""COMPUTED_VALUE"""),"KaKa")</f>
        <v>KaKa</v>
      </c>
    </row>
    <row r="5860" ht="15.75" customHeight="1">
      <c r="A5860" s="122" t="str">
        <f>IFERROR(__xludf.DUMMYFUNCTION("""COMPUTED_VALUE"""),"0983 538 939")</f>
        <v>0983 538 939</v>
      </c>
      <c r="B5860" s="119" t="str">
        <f>IFERROR(__xludf.DUMMYFUNCTION("""COMPUTED_VALUE"""),"Thầy Toản")</f>
        <v>Thầy Toản</v>
      </c>
      <c r="C5860" s="119" t="str">
        <f>IFERROR(__xludf.DUMMYFUNCTION("""COMPUTED_VALUE"""),"Chùa Phú Hưng")</f>
        <v>Chùa Phú Hưng</v>
      </c>
      <c r="D5860" s="119" t="str">
        <f>IFERROR(__xludf.DUMMYFUNCTION("""COMPUTED_VALUE"""),"Chó")</f>
        <v>Chó</v>
      </c>
      <c r="E5860" s="119"/>
    </row>
    <row r="5861" ht="15.75" customHeight="1">
      <c r="A5861" s="122" t="str">
        <f>IFERROR(__xludf.DUMMYFUNCTION("""COMPUTED_VALUE"""),"0773 558 347")</f>
        <v>0773 558 347</v>
      </c>
      <c r="B5861" s="119" t="str">
        <f>IFERROR(__xludf.DUMMYFUNCTION("""COMPUTED_VALUE"""),"Chị Vy")</f>
        <v>Chị Vy</v>
      </c>
      <c r="C5861" s="119" t="str">
        <f>IFERROR(__xludf.DUMMYFUNCTION("""COMPUTED_VALUE"""),"192/7 Lý Nam Đế")</f>
        <v>192/7 Lý Nam Đế</v>
      </c>
      <c r="D5861" s="119" t="str">
        <f>IFERROR(__xludf.DUMMYFUNCTION("""COMPUTED_VALUE"""),"Chó")</f>
        <v>Chó</v>
      </c>
      <c r="E5861" s="119"/>
    </row>
    <row r="5862" ht="15.75" customHeight="1">
      <c r="A5862" s="122" t="str">
        <f>IFERROR(__xludf.DUMMYFUNCTION("""COMPUTED_VALUE"""),"0774 998 502")</f>
        <v>0774 998 502</v>
      </c>
      <c r="B5862" s="119" t="str">
        <f>IFERROR(__xludf.DUMMYFUNCTION("""COMPUTED_VALUE"""),"Chú Thân")</f>
        <v>Chú Thân</v>
      </c>
      <c r="C5862" s="119" t="str">
        <f>IFERROR(__xludf.DUMMYFUNCTION("""COMPUTED_VALUE"""),"140/1 Hoàng Quốc Việt")</f>
        <v>140/1 Hoàng Quốc Việt</v>
      </c>
      <c r="D5862" s="119" t="str">
        <f>IFERROR(__xludf.DUMMYFUNCTION("""COMPUTED_VALUE"""),"Mèo")</f>
        <v>Mèo</v>
      </c>
      <c r="E5862" s="119" t="str">
        <f>IFERROR(__xludf.DUMMYFUNCTION("""COMPUTED_VALUE"""),"Tiêu")</f>
        <v>Tiêu</v>
      </c>
    </row>
    <row r="5863" ht="15.75" customHeight="1">
      <c r="A5863" s="122" t="str">
        <f>IFERROR(__xludf.DUMMYFUNCTION("""COMPUTED_VALUE"""),"0935 047 477")</f>
        <v>0935 047 477</v>
      </c>
      <c r="B5863" s="119" t="str">
        <f>IFERROR(__xludf.DUMMYFUNCTION("""COMPUTED_VALUE"""),"Anh Cường")</f>
        <v>Anh Cường</v>
      </c>
      <c r="C5863" s="119" t="str">
        <f>IFERROR(__xludf.DUMMYFUNCTION("""COMPUTED_VALUE"""),"314 Lý Nam Đế")</f>
        <v>314 Lý Nam Đế</v>
      </c>
      <c r="D5863" s="119" t="str">
        <f>IFERROR(__xludf.DUMMYFUNCTION("""COMPUTED_VALUE"""),"Chó")</f>
        <v>Chó</v>
      </c>
      <c r="E5863" s="119" t="str">
        <f>IFERROR(__xludf.DUMMYFUNCTION("""COMPUTED_VALUE"""),"Noen")</f>
        <v>Noen</v>
      </c>
    </row>
    <row r="5864" ht="15.75" customHeight="1">
      <c r="A5864" s="122" t="str">
        <f>IFERROR(__xludf.DUMMYFUNCTION("""COMPUTED_VALUE"""),"0915 729 726")</f>
        <v>0915 729 726</v>
      </c>
      <c r="B5864" s="119" t="str">
        <f>IFERROR(__xludf.DUMMYFUNCTION("""COMPUTED_VALUE"""),"Phan Lê Gia Phúc")</f>
        <v>Phan Lê Gia Phúc</v>
      </c>
      <c r="C5864" s="119" t="str">
        <f>IFERROR(__xludf.DUMMYFUNCTION("""COMPUTED_VALUE"""),"53/1 Phạm Thị Liên")</f>
        <v>53/1 Phạm Thị Liên</v>
      </c>
      <c r="D5864" s="119" t="str">
        <f>IFERROR(__xludf.DUMMYFUNCTION("""COMPUTED_VALUE"""),"Mèo")</f>
        <v>Mèo</v>
      </c>
      <c r="E5864" s="119" t="str">
        <f>IFERROR(__xludf.DUMMYFUNCTION("""COMPUTED_VALUE"""),"Beo")</f>
        <v>Beo</v>
      </c>
    </row>
    <row r="5865" ht="15.75" customHeight="1">
      <c r="A5865" s="122" t="str">
        <f>IFERROR(__xludf.DUMMYFUNCTION("""COMPUTED_VALUE"""),"0799 472 231")</f>
        <v>0799 472 231</v>
      </c>
      <c r="B5865" s="119" t="str">
        <f>IFERROR(__xludf.DUMMYFUNCTION("""COMPUTED_VALUE"""),"Chioj Hảo")</f>
        <v>Chioj Hảo</v>
      </c>
      <c r="C5865" s="119" t="str">
        <f>IFERROR(__xludf.DUMMYFUNCTION("""COMPUTED_VALUE"""),"Quảng Điền")</f>
        <v>Quảng Điền</v>
      </c>
      <c r="D5865" s="119" t="str">
        <f>IFERROR(__xludf.DUMMYFUNCTION("""COMPUTED_VALUE"""),"Mèo")</f>
        <v>Mèo</v>
      </c>
      <c r="E5865" s="119" t="str">
        <f>IFERROR(__xludf.DUMMYFUNCTION("""COMPUTED_VALUE"""),"sirro")</f>
        <v>sirro</v>
      </c>
    </row>
    <row r="5866" ht="15.75" customHeight="1">
      <c r="A5866" s="122" t="str">
        <f>IFERROR(__xludf.DUMMYFUNCTION("""COMPUTED_VALUE"""),"0855 705 152")</f>
        <v>0855 705 152</v>
      </c>
      <c r="B5866" s="119" t="str">
        <f>IFERROR(__xludf.DUMMYFUNCTION("""COMPUTED_VALUE"""),"Võ Thị Minh Tâm")</f>
        <v>Võ Thị Minh Tâm</v>
      </c>
      <c r="C5866" s="119" t="str">
        <f>IFERROR(__xludf.DUMMYFUNCTION("""COMPUTED_VALUE"""),"5/44 An Ninh")</f>
        <v>5/44 An Ninh</v>
      </c>
      <c r="D5866" s="119" t="str">
        <f>IFERROR(__xludf.DUMMYFUNCTION("""COMPUTED_VALUE"""),"Chó")</f>
        <v>Chó</v>
      </c>
      <c r="E5866" s="119"/>
    </row>
    <row r="5867" ht="15.75" customHeight="1">
      <c r="A5867" s="122" t="str">
        <f>IFERROR(__xludf.DUMMYFUNCTION("""COMPUTED_VALUE"""),"0388 601 288")</f>
        <v>0388 601 288</v>
      </c>
      <c r="B5867" s="119" t="str">
        <f>IFERROR(__xludf.DUMMYFUNCTION("""COMPUTED_VALUE"""),"Chị Huệ")</f>
        <v>Chị Huệ</v>
      </c>
      <c r="C5867" s="119" t="str">
        <f>IFERROR(__xludf.DUMMYFUNCTION("""COMPUTED_VALUE"""),"Nguyễn Hoàng")</f>
        <v>Nguyễn Hoàng</v>
      </c>
      <c r="D5867" s="119" t="str">
        <f>IFERROR(__xludf.DUMMYFUNCTION("""COMPUTED_VALUE"""),"Chó")</f>
        <v>Chó</v>
      </c>
      <c r="E5867" s="119" t="str">
        <f>IFERROR(__xludf.DUMMYFUNCTION("""COMPUTED_VALUE"""),"Sam")</f>
        <v>Sam</v>
      </c>
    </row>
    <row r="5868" ht="15.75" customHeight="1">
      <c r="A5868" s="122" t="str">
        <f>IFERROR(__xludf.DUMMYFUNCTION("""COMPUTED_VALUE"""),"0705 518 661")</f>
        <v>0705 518 661</v>
      </c>
      <c r="B5868" s="119" t="str">
        <f>IFERROR(__xludf.DUMMYFUNCTION("""COMPUTED_VALUE"""),"Chị Huyền")</f>
        <v>Chị Huyền</v>
      </c>
      <c r="C5868" s="119" t="str">
        <f>IFERROR(__xludf.DUMMYFUNCTION("""COMPUTED_VALUE"""),"57 Lý Nam Đế")</f>
        <v>57 Lý Nam Đế</v>
      </c>
      <c r="D5868" s="119" t="str">
        <f>IFERROR(__xludf.DUMMYFUNCTION("""COMPUTED_VALUE"""),"Chó")</f>
        <v>Chó</v>
      </c>
      <c r="E5868" s="119" t="str">
        <f>IFERROR(__xludf.DUMMYFUNCTION("""COMPUTED_VALUE"""),"Đen")</f>
        <v>Đen</v>
      </c>
    </row>
    <row r="5869" ht="15.75" customHeight="1">
      <c r="A5869" s="122" t="str">
        <f>IFERROR(__xludf.DUMMYFUNCTION("""COMPUTED_VALUE"""),"0905 809 805")</f>
        <v>0905 809 805</v>
      </c>
      <c r="B5869" s="119" t="str">
        <f>IFERROR(__xludf.DUMMYFUNCTION("""COMPUTED_VALUE"""),"Chị Bảo Chi")</f>
        <v>Chị Bảo Chi</v>
      </c>
      <c r="C5869" s="119" t="str">
        <f>IFERROR(__xludf.DUMMYFUNCTION("""COMPUTED_VALUE"""),"142 Tăng Bạt Hổ")</f>
        <v>142 Tăng Bạt Hổ</v>
      </c>
      <c r="D5869" s="119" t="str">
        <f>IFERROR(__xludf.DUMMYFUNCTION("""COMPUTED_VALUE"""),"CHó")</f>
        <v>CHó</v>
      </c>
      <c r="E5869" s="119" t="str">
        <f>IFERROR(__xludf.DUMMYFUNCTION("""COMPUTED_VALUE"""),"Bí bo")</f>
        <v>Bí bo</v>
      </c>
    </row>
    <row r="5870" ht="15.75" customHeight="1">
      <c r="A5870" s="122" t="str">
        <f>IFERROR(__xludf.DUMMYFUNCTION("""COMPUTED_VALUE"""),"0853 406 171")</f>
        <v>0853 406 171</v>
      </c>
      <c r="B5870" s="119" t="str">
        <f>IFERROR(__xludf.DUMMYFUNCTION("""COMPUTED_VALUE"""),"Chị Huế")</f>
        <v>Chị Huế</v>
      </c>
      <c r="C5870" s="119" t="str">
        <f>IFERROR(__xludf.DUMMYFUNCTION("""COMPUTED_VALUE"""),"30 Phạm Tu")</f>
        <v>30 Phạm Tu</v>
      </c>
      <c r="D5870" s="119" t="str">
        <f>IFERROR(__xludf.DUMMYFUNCTION("""COMPUTED_VALUE"""),"Chó")</f>
        <v>Chó</v>
      </c>
      <c r="E5870" s="119" t="str">
        <f>IFERROR(__xludf.DUMMYFUNCTION("""COMPUTED_VALUE"""),"Xoăn")</f>
        <v>Xoăn</v>
      </c>
    </row>
    <row r="5871" ht="15.75" customHeight="1">
      <c r="A5871" s="122" t="str">
        <f>IFERROR(__xludf.DUMMYFUNCTION("""COMPUTED_VALUE"""),"0935 552 304")</f>
        <v>0935 552 304</v>
      </c>
      <c r="B5871" s="119" t="str">
        <f>IFERROR(__xludf.DUMMYFUNCTION("""COMPUTED_VALUE"""),"Anh Trọng")</f>
        <v>Anh Trọng</v>
      </c>
      <c r="C5871" s="119" t="str">
        <f>IFERROR(__xludf.DUMMYFUNCTION("""COMPUTED_VALUE"""),"18/80 Điện Biên Phủ")</f>
        <v>18/80 Điện Biên Phủ</v>
      </c>
      <c r="D5871" s="119" t="str">
        <f>IFERROR(__xludf.DUMMYFUNCTION("""COMPUTED_VALUE"""),"Chó")</f>
        <v>Chó</v>
      </c>
      <c r="E5871" s="119" t="str">
        <f>IFERROR(__xludf.DUMMYFUNCTION("""COMPUTED_VALUE"""),"chuột")</f>
        <v>chuột</v>
      </c>
    </row>
    <row r="5872" ht="15.75" customHeight="1">
      <c r="A5872" s="122" t="str">
        <f>IFERROR(__xludf.DUMMYFUNCTION("""COMPUTED_VALUE"""),"0382 187 648")</f>
        <v>0382 187 648</v>
      </c>
      <c r="B5872" s="119" t="str">
        <f>IFERROR(__xludf.DUMMYFUNCTION("""COMPUTED_VALUE"""),"Chị Quế")</f>
        <v>Chị Quế</v>
      </c>
      <c r="C5872" s="119" t="str">
        <f>IFERROR(__xludf.DUMMYFUNCTION("""COMPUTED_VALUE"""),"5/2/47 Lương Văn Can")</f>
        <v>5/2/47 Lương Văn Can</v>
      </c>
      <c r="D5872" s="119" t="str">
        <f>IFERROR(__xludf.DUMMYFUNCTION("""COMPUTED_VALUE"""),"chó ")</f>
        <v>chó </v>
      </c>
      <c r="E5872" s="119" t="str">
        <f>IFERROR(__xludf.DUMMYFUNCTION("""COMPUTED_VALUE"""),"Mun")</f>
        <v>Mun</v>
      </c>
    </row>
    <row r="5873" ht="15.75" customHeight="1">
      <c r="A5873" s="122" t="str">
        <f>IFERROR(__xludf.DUMMYFUNCTION("""COMPUTED_VALUE"""),"0338 284 611")</f>
        <v>0338 284 611</v>
      </c>
      <c r="B5873" s="119" t="str">
        <f>IFERROR(__xludf.DUMMYFUNCTION("""COMPUTED_VALUE"""),"chị Nhàn")</f>
        <v>chị Nhàn</v>
      </c>
      <c r="C5873" s="119" t="str">
        <f>IFERROR(__xludf.DUMMYFUNCTION("""COMPUTED_VALUE"""),"12/69 Lê Ngô Cát")</f>
        <v>12/69 Lê Ngô Cát</v>
      </c>
      <c r="D5873" s="119" t="str">
        <f>IFERROR(__xludf.DUMMYFUNCTION("""COMPUTED_VALUE"""),"Chó")</f>
        <v>Chó</v>
      </c>
      <c r="E5873" s="119"/>
    </row>
    <row r="5874" ht="15.75" customHeight="1">
      <c r="A5874" s="122" t="str">
        <f>IFERROR(__xludf.DUMMYFUNCTION("""COMPUTED_VALUE"""),"0935 038 511")</f>
        <v>0935 038 511</v>
      </c>
      <c r="B5874" s="119" t="str">
        <f>IFERROR(__xludf.DUMMYFUNCTION("""COMPUTED_VALUE"""),"Anh Vũ")</f>
        <v>Anh Vũ</v>
      </c>
      <c r="C5874" s="119" t="str">
        <f>IFERROR(__xludf.DUMMYFUNCTION("""COMPUTED_VALUE"""),"26 Hồ Văn Thiển")</f>
        <v>26 Hồ Văn Thiển</v>
      </c>
      <c r="D5874" s="119" t="str">
        <f>IFERROR(__xludf.DUMMYFUNCTION("""COMPUTED_VALUE"""),"Thỏ")</f>
        <v>Thỏ</v>
      </c>
      <c r="E5874" s="119" t="str">
        <f>IFERROR(__xludf.DUMMYFUNCTION("""COMPUTED_VALUE"""),"Mực")</f>
        <v>Mực</v>
      </c>
    </row>
    <row r="5875" ht="15.75" customHeight="1">
      <c r="A5875" s="122" t="str">
        <f>IFERROR(__xludf.DUMMYFUNCTION("""COMPUTED_VALUE"""),"0702 676 869")</f>
        <v>0702 676 869</v>
      </c>
      <c r="B5875" s="119" t="str">
        <f>IFERROR(__xludf.DUMMYFUNCTION("""COMPUTED_VALUE"""),"Anh Mỹ")</f>
        <v>Anh Mỹ</v>
      </c>
      <c r="C5875" s="119" t="str">
        <f>IFERROR(__xludf.DUMMYFUNCTION("""COMPUTED_VALUE"""),"48 Nguyễn Huệ")</f>
        <v>48 Nguyễn Huệ</v>
      </c>
      <c r="D5875" s="119" t="str">
        <f>IFERROR(__xludf.DUMMYFUNCTION("""COMPUTED_VALUE"""),"Chó")</f>
        <v>Chó</v>
      </c>
      <c r="E5875" s="119" t="str">
        <f>IFERROR(__xludf.DUMMYFUNCTION("""COMPUTED_VALUE"""),"Mulvita")</f>
        <v>Mulvita</v>
      </c>
    </row>
    <row r="5876" ht="15.75" customHeight="1">
      <c r="A5876" s="122" t="str">
        <f>IFERROR(__xludf.DUMMYFUNCTION("""COMPUTED_VALUE"""),"0774 531 211")</f>
        <v>0774 531 211</v>
      </c>
      <c r="B5876" s="119" t="str">
        <f>IFERROR(__xludf.DUMMYFUNCTION("""COMPUTED_VALUE"""),"CHị  Như")</f>
        <v>CHị  Như</v>
      </c>
      <c r="C5876" s="119" t="str">
        <f>IFERROR(__xludf.DUMMYFUNCTION("""COMPUTED_VALUE"""),"K86 Lê Ngô Cát")</f>
        <v>K86 Lê Ngô Cát</v>
      </c>
      <c r="D5876" s="119" t="str">
        <f>IFERROR(__xludf.DUMMYFUNCTION("""COMPUTED_VALUE"""),"mèo")</f>
        <v>mèo</v>
      </c>
      <c r="E5876" s="119"/>
    </row>
    <row r="5877" ht="15.75" customHeight="1">
      <c r="A5877" s="122" t="str">
        <f>IFERROR(__xludf.DUMMYFUNCTION("""COMPUTED_VALUE"""),"0905 902 828")</f>
        <v>0905 902 828</v>
      </c>
      <c r="B5877" s="119" t="str">
        <f>IFERROR(__xludf.DUMMYFUNCTION("""COMPUTED_VALUE"""),"Anh Sáu")</f>
        <v>Anh Sáu</v>
      </c>
      <c r="C5877" s="119" t="str">
        <f>IFERROR(__xludf.DUMMYFUNCTION("""COMPUTED_VALUE"""),"Lý Nam Đế")</f>
        <v>Lý Nam Đế</v>
      </c>
      <c r="D5877" s="119" t="str">
        <f>IFERROR(__xludf.DUMMYFUNCTION("""COMPUTED_VALUE"""),"Chó")</f>
        <v>Chó</v>
      </c>
      <c r="E5877" s="119" t="str">
        <f>IFERROR(__xludf.DUMMYFUNCTION("""COMPUTED_VALUE"""),"Gâu")</f>
        <v>Gâu</v>
      </c>
    </row>
    <row r="5878" ht="15.75" customHeight="1">
      <c r="A5878" s="122" t="str">
        <f>IFERROR(__xludf.DUMMYFUNCTION("""COMPUTED_VALUE"""),"0949 923 059")</f>
        <v>0949 923 059</v>
      </c>
      <c r="B5878" s="119" t="str">
        <f>IFERROR(__xludf.DUMMYFUNCTION("""COMPUTED_VALUE"""),"Chị Châu")</f>
        <v>Chị Châu</v>
      </c>
      <c r="C5878" s="119" t="str">
        <f>IFERROR(__xludf.DUMMYFUNCTION("""COMPUTED_VALUE"""),"Chung cư vincoland")</f>
        <v>Chung cư vincoland</v>
      </c>
      <c r="D5878" s="119" t="str">
        <f>IFERROR(__xludf.DUMMYFUNCTION("""COMPUTED_VALUE"""),"Mèo")</f>
        <v>Mèo</v>
      </c>
      <c r="E5878" s="119" t="str">
        <f>IFERROR(__xludf.DUMMYFUNCTION("""COMPUTED_VALUE"""),"Sữa")</f>
        <v>Sữa</v>
      </c>
    </row>
    <row r="5879" ht="15.75" customHeight="1">
      <c r="A5879" s="122" t="str">
        <f>IFERROR(__xludf.DUMMYFUNCTION("""COMPUTED_VALUE"""),"0905 820 004")</f>
        <v>0905 820 004</v>
      </c>
      <c r="B5879" s="119" t="str">
        <f>IFERROR(__xludf.DUMMYFUNCTION("""COMPUTED_VALUE"""),"Chú Thắng")</f>
        <v>Chú Thắng</v>
      </c>
      <c r="C5879" s="119" t="str">
        <f>IFERROR(__xludf.DUMMYFUNCTION("""COMPUTED_VALUE"""),"12/85 Nguyễn Huệ")</f>
        <v>12/85 Nguyễn Huệ</v>
      </c>
      <c r="D5879" s="119" t="str">
        <f>IFERROR(__xludf.DUMMYFUNCTION("""COMPUTED_VALUE"""),"Chó")</f>
        <v>Chó</v>
      </c>
      <c r="E5879" s="119" t="str">
        <f>IFERROR(__xludf.DUMMYFUNCTION("""COMPUTED_VALUE"""),"Tô")</f>
        <v>Tô</v>
      </c>
    </row>
    <row r="5880" ht="15.75" customHeight="1">
      <c r="A5880" s="122" t="str">
        <f>IFERROR(__xludf.DUMMYFUNCTION("""COMPUTED_VALUE"""),"0935 357 485")</f>
        <v>0935 357 485</v>
      </c>
      <c r="B5880" s="119" t="str">
        <f>IFERROR(__xludf.DUMMYFUNCTION("""COMPUTED_VALUE"""),"chú Thiện")</f>
        <v>chú Thiện</v>
      </c>
      <c r="C5880" s="119" t="str">
        <f>IFERROR(__xludf.DUMMYFUNCTION("""COMPUTED_VALUE"""),"Chùa Hương Sơ")</f>
        <v>Chùa Hương Sơ</v>
      </c>
      <c r="D5880" s="119" t="str">
        <f>IFERROR(__xludf.DUMMYFUNCTION("""COMPUTED_VALUE"""),"Mèo")</f>
        <v>Mèo</v>
      </c>
      <c r="E5880" s="119" t="str">
        <f>IFERROR(__xludf.DUMMYFUNCTION("""COMPUTED_VALUE"""),"Vàng")</f>
        <v>Vàng</v>
      </c>
    </row>
    <row r="5881" ht="15.75" customHeight="1">
      <c r="A5881" s="122" t="str">
        <f>IFERROR(__xludf.DUMMYFUNCTION("""COMPUTED_VALUE"""),"0932 543 816")</f>
        <v>0932 543 816</v>
      </c>
      <c r="B5881" s="119" t="str">
        <f>IFERROR(__xludf.DUMMYFUNCTION("""COMPUTED_VALUE"""),"Em Minh Nguyệt")</f>
        <v>Em Minh Nguyệt</v>
      </c>
      <c r="C5881" s="119" t="str">
        <f>IFERROR(__xludf.DUMMYFUNCTION("""COMPUTED_VALUE"""),"2/27/69 Lê Ngô Cát")</f>
        <v>2/27/69 Lê Ngô Cát</v>
      </c>
      <c r="D5881" s="119" t="str">
        <f>IFERROR(__xludf.DUMMYFUNCTION("""COMPUTED_VALUE"""),"mèo")</f>
        <v>mèo</v>
      </c>
      <c r="E5881" s="119" t="str">
        <f>IFERROR(__xludf.DUMMYFUNCTION("""COMPUTED_VALUE"""),"Mít")</f>
        <v>Mít</v>
      </c>
    </row>
    <row r="5882" ht="15.75" customHeight="1">
      <c r="A5882" s="122" t="str">
        <f>IFERROR(__xludf.DUMMYFUNCTION("""COMPUTED_VALUE"""),"0935 555 729")</f>
        <v>0935 555 729</v>
      </c>
      <c r="B5882" s="119" t="str">
        <f>IFERROR(__xludf.DUMMYFUNCTION("""COMPUTED_VALUE"""),"Anh Hùng")</f>
        <v>Anh Hùng</v>
      </c>
      <c r="C5882" s="119" t="str">
        <f>IFERROR(__xludf.DUMMYFUNCTION("""COMPUTED_VALUE"""),"64 Bửu Đình")</f>
        <v>64 Bửu Đình</v>
      </c>
      <c r="D5882" s="119" t="str">
        <f>IFERROR(__xludf.DUMMYFUNCTION("""COMPUTED_VALUE"""),"Chó")</f>
        <v>Chó</v>
      </c>
      <c r="E5882" s="119"/>
    </row>
    <row r="5883" ht="15.75" customHeight="1">
      <c r="A5883" s="122" t="str">
        <f>IFERROR(__xludf.DUMMYFUNCTION("""COMPUTED_VALUE"""),"0365 652 140")</f>
        <v>0365 652 140</v>
      </c>
      <c r="B5883" s="119" t="str">
        <f>IFERROR(__xludf.DUMMYFUNCTION("""COMPUTED_VALUE"""),"Anh Sang")</f>
        <v>Anh Sang</v>
      </c>
      <c r="C5883" s="119" t="str">
        <f>IFERROR(__xludf.DUMMYFUNCTION("""COMPUTED_VALUE"""),"180/10 Lý Nam Đế")</f>
        <v>180/10 Lý Nam Đế</v>
      </c>
      <c r="D5883" s="119" t="str">
        <f>IFERROR(__xludf.DUMMYFUNCTION("""COMPUTED_VALUE"""),"Chó")</f>
        <v>Chó</v>
      </c>
      <c r="E5883" s="119" t="str">
        <f>IFERROR(__xludf.DUMMYFUNCTION("""COMPUTED_VALUE"""),"Vàng")</f>
        <v>Vàng</v>
      </c>
    </row>
    <row r="5884" ht="15.75" customHeight="1">
      <c r="A5884" s="122" t="str">
        <f>IFERROR(__xludf.DUMMYFUNCTION("""COMPUTED_VALUE"""),"0787 569 894")</f>
        <v>0787 569 894</v>
      </c>
      <c r="B5884" s="119" t="str">
        <f>IFERROR(__xludf.DUMMYFUNCTION("""COMPUTED_VALUE"""),"Em Minh Châu")</f>
        <v>Em Minh Châu</v>
      </c>
      <c r="C5884" s="119" t="str">
        <f>IFERROR(__xludf.DUMMYFUNCTION("""COMPUTED_VALUE"""),"1/58 nGuyễn Hoàng")</f>
        <v>1/58 nGuyễn Hoàng</v>
      </c>
      <c r="D5884" s="119" t="str">
        <f>IFERROR(__xludf.DUMMYFUNCTION("""COMPUTED_VALUE"""),"Mèo")</f>
        <v>Mèo</v>
      </c>
      <c r="E5884" s="119" t="str">
        <f>IFERROR(__xludf.DUMMYFUNCTION("""COMPUTED_VALUE"""),"Bưởi")</f>
        <v>Bưởi</v>
      </c>
    </row>
    <row r="5885" ht="15.75" customHeight="1">
      <c r="A5885" s="122" t="str">
        <f>IFERROR(__xludf.DUMMYFUNCTION("""COMPUTED_VALUE"""),"0905 317 412")</f>
        <v>0905 317 412</v>
      </c>
      <c r="B5885" s="119" t="str">
        <f>IFERROR(__xludf.DUMMYFUNCTION("""COMPUTED_VALUE"""),"Chị thảo")</f>
        <v>Chị thảo</v>
      </c>
      <c r="C5885" s="119" t="str">
        <f>IFERROR(__xludf.DUMMYFUNCTION("""COMPUTED_VALUE"""),"116/3 Kim Long")</f>
        <v>116/3 Kim Long</v>
      </c>
      <c r="D5885" s="119" t="str">
        <f>IFERROR(__xludf.DUMMYFUNCTION("""COMPUTED_VALUE"""),"Chó")</f>
        <v>Chó</v>
      </c>
      <c r="E5885" s="119" t="str">
        <f>IFERROR(__xludf.DUMMYFUNCTION("""COMPUTED_VALUE"""),"Xù")</f>
        <v>Xù</v>
      </c>
    </row>
    <row r="5886" ht="15.75" customHeight="1">
      <c r="A5886" s="122" t="str">
        <f>IFERROR(__xludf.DUMMYFUNCTION("""COMPUTED_VALUE"""),"0935 043 473")</f>
        <v>0935 043 473</v>
      </c>
      <c r="B5886" s="119" t="str">
        <f>IFERROR(__xludf.DUMMYFUNCTION("""COMPUTED_VALUE"""),"Anh Nho")</f>
        <v>Anh Nho</v>
      </c>
      <c r="C5886" s="119" t="str">
        <f>IFERROR(__xludf.DUMMYFUNCTION("""COMPUTED_VALUE"""),"167 Long Hồ")</f>
        <v>167 Long Hồ</v>
      </c>
      <c r="D5886" s="119" t="str">
        <f>IFERROR(__xludf.DUMMYFUNCTION("""COMPUTED_VALUE"""),"Chó")</f>
        <v>Chó</v>
      </c>
      <c r="E5886" s="119" t="str">
        <f>IFERROR(__xludf.DUMMYFUNCTION("""COMPUTED_VALUE"""),"Bo")</f>
        <v>Bo</v>
      </c>
    </row>
    <row r="5887" ht="15.75" customHeight="1">
      <c r="A5887" s="122" t="str">
        <f>IFERROR(__xludf.DUMMYFUNCTION("""COMPUTED_VALUE"""),"0868 175 275")</f>
        <v>0868 175 275</v>
      </c>
      <c r="B5887" s="119" t="str">
        <f>IFERROR(__xludf.DUMMYFUNCTION("""COMPUTED_VALUE"""),"ANh Lâm")</f>
        <v>ANh Lâm</v>
      </c>
      <c r="C5887" s="119" t="str">
        <f>IFERROR(__xludf.DUMMYFUNCTION("""COMPUTED_VALUE"""),"1/100 Nguyễn Hữu Dật")</f>
        <v>1/100 Nguyễn Hữu Dật</v>
      </c>
      <c r="D5887" s="119" t="str">
        <f>IFERROR(__xludf.DUMMYFUNCTION("""COMPUTED_VALUE"""),"Chó")</f>
        <v>Chó</v>
      </c>
      <c r="E5887" s="119" t="str">
        <f>IFERROR(__xludf.DUMMYFUNCTION("""COMPUTED_VALUE"""),"Ben")</f>
        <v>Ben</v>
      </c>
    </row>
    <row r="5888" ht="15.75" customHeight="1">
      <c r="A5888" s="122" t="str">
        <f>IFERROR(__xludf.DUMMYFUNCTION("""COMPUTED_VALUE"""),"0898 697 611")</f>
        <v>0898 697 611</v>
      </c>
      <c r="B5888" s="119" t="str">
        <f>IFERROR(__xludf.DUMMYFUNCTION("""COMPUTED_VALUE"""),"Thầy Định Pháp")</f>
        <v>Thầy Định Pháp</v>
      </c>
      <c r="C5888" s="119" t="str">
        <f>IFERROR(__xludf.DUMMYFUNCTION("""COMPUTED_VALUE"""),"ChùA Huyền Không SƠn Thượng")</f>
        <v>ChùA Huyền Không SƠn Thượng</v>
      </c>
      <c r="D5888" s="119" t="str">
        <f>IFERROR(__xludf.DUMMYFUNCTION("""COMPUTED_VALUE"""),"Chó")</f>
        <v>Chó</v>
      </c>
      <c r="E5888" s="119" t="str">
        <f>IFERROR(__xludf.DUMMYFUNCTION("""COMPUTED_VALUE"""),"Quýt")</f>
        <v>Quýt</v>
      </c>
    </row>
    <row r="5889" ht="15.75" customHeight="1">
      <c r="A5889" s="122" t="str">
        <f>IFERROR(__xludf.DUMMYFUNCTION("""COMPUTED_VALUE"""),"0935 671 404")</f>
        <v>0935 671 404</v>
      </c>
      <c r="B5889" s="119" t="str">
        <f>IFERROR(__xludf.DUMMYFUNCTION("""COMPUTED_VALUE"""),"Anh Tùng")</f>
        <v>Anh Tùng</v>
      </c>
      <c r="C5889" s="119" t="str">
        <f>IFERROR(__xludf.DUMMYFUNCTION("""COMPUTED_VALUE"""),"7/12/95 Vạn Xuân")</f>
        <v>7/12/95 Vạn Xuân</v>
      </c>
      <c r="D5889" s="119" t="str">
        <f>IFERROR(__xludf.DUMMYFUNCTION("""COMPUTED_VALUE"""),"Mèo")</f>
        <v>Mèo</v>
      </c>
      <c r="E5889" s="119" t="str">
        <f>IFERROR(__xludf.DUMMYFUNCTION("""COMPUTED_VALUE"""),"Meo")</f>
        <v>Meo</v>
      </c>
    </row>
    <row r="5890" ht="15.75" customHeight="1">
      <c r="A5890" s="122" t="str">
        <f>IFERROR(__xludf.DUMMYFUNCTION("""COMPUTED_VALUE"""),"0898 227 555")</f>
        <v>0898 227 555</v>
      </c>
      <c r="B5890" s="119" t="str">
        <f>IFERROR(__xludf.DUMMYFUNCTION("""COMPUTED_VALUE"""),"Anh Hội")</f>
        <v>Anh Hội</v>
      </c>
      <c r="C5890" s="119" t="str">
        <f>IFERROR(__xludf.DUMMYFUNCTION("""COMPUTED_VALUE"""),"22/27 Ngự Bình")</f>
        <v>22/27 Ngự Bình</v>
      </c>
      <c r="D5890" s="119" t="str">
        <f>IFERROR(__xludf.DUMMYFUNCTION("""COMPUTED_VALUE"""),"Chó")</f>
        <v>Chó</v>
      </c>
      <c r="E5890" s="119" t="str">
        <f>IFERROR(__xludf.DUMMYFUNCTION("""COMPUTED_VALUE"""),"Nâu")</f>
        <v>Nâu</v>
      </c>
    </row>
    <row r="5891" ht="15.75" customHeight="1">
      <c r="A5891" s="122" t="str">
        <f>IFERROR(__xludf.DUMMYFUNCTION("""COMPUTED_VALUE"""),"0903 591 692")</f>
        <v>0903 591 692</v>
      </c>
      <c r="B5891" s="119" t="str">
        <f>IFERROR(__xludf.DUMMYFUNCTION("""COMPUTED_VALUE"""),"ANh Dũng")</f>
        <v>ANh Dũng</v>
      </c>
      <c r="C5891" s="119" t="str">
        <f>IFERROR(__xludf.DUMMYFUNCTION("""COMPUTED_VALUE"""),"6a/40 Nguyễn Phúc Nguyên")</f>
        <v>6a/40 Nguyễn Phúc Nguyên</v>
      </c>
      <c r="D5891" s="119" t="str">
        <f>IFERROR(__xludf.DUMMYFUNCTION("""COMPUTED_VALUE"""),"Chó")</f>
        <v>Chó</v>
      </c>
      <c r="E5891" s="119"/>
    </row>
    <row r="5892" ht="15.75" customHeight="1">
      <c r="A5892" s="122" t="str">
        <f>IFERROR(__xludf.DUMMYFUNCTION("""COMPUTED_VALUE"""),"0919 607 839")</f>
        <v>0919 607 839</v>
      </c>
      <c r="B5892" s="119" t="str">
        <f>IFERROR(__xludf.DUMMYFUNCTION("""COMPUTED_VALUE"""),"Chị Giao")</f>
        <v>Chị Giao</v>
      </c>
      <c r="C5892" s="119" t="str">
        <f>IFERROR(__xludf.DUMMYFUNCTION("""COMPUTED_VALUE"""),"596 Bùi Thị Xuân")</f>
        <v>596 Bùi Thị Xuân</v>
      </c>
      <c r="D5892" s="119" t="str">
        <f>IFERROR(__xludf.DUMMYFUNCTION("""COMPUTED_VALUE"""),"Mèo")</f>
        <v>Mèo</v>
      </c>
      <c r="E5892" s="119" t="str">
        <f>IFERROR(__xludf.DUMMYFUNCTION("""COMPUTED_VALUE"""),"Miuly")</f>
        <v>Miuly</v>
      </c>
    </row>
    <row r="5893" ht="15.75" customHeight="1">
      <c r="A5893" s="122" t="str">
        <f>IFERROR(__xludf.DUMMYFUNCTION("""COMPUTED_VALUE"""),"0901 167 495")</f>
        <v>0901 167 495</v>
      </c>
      <c r="B5893" s="119" t="str">
        <f>IFERROR(__xludf.DUMMYFUNCTION("""COMPUTED_VALUE"""),"Anh Tiến")</f>
        <v>Anh Tiến</v>
      </c>
      <c r="C5893" s="119" t="str">
        <f>IFERROR(__xludf.DUMMYFUNCTION("""COMPUTED_VALUE"""),"56a Phạm Văn Thanh")</f>
        <v>56a Phạm Văn Thanh</v>
      </c>
      <c r="D5893" s="119" t="str">
        <f>IFERROR(__xludf.DUMMYFUNCTION("""COMPUTED_VALUE"""),"Mèo")</f>
        <v>Mèo</v>
      </c>
      <c r="E5893" s="119" t="str">
        <f>IFERROR(__xludf.DUMMYFUNCTION("""COMPUTED_VALUE"""),"Đen")</f>
        <v>Đen</v>
      </c>
    </row>
    <row r="5894" ht="15.75" customHeight="1">
      <c r="A5894" s="122" t="str">
        <f>IFERROR(__xludf.DUMMYFUNCTION("""COMPUTED_VALUE"""),"0796 928 956")</f>
        <v>0796 928 956</v>
      </c>
      <c r="B5894" s="119" t="str">
        <f>IFERROR(__xludf.DUMMYFUNCTION("""COMPUTED_VALUE"""),"Chú Lít")</f>
        <v>Chú Lít</v>
      </c>
      <c r="C5894" s="119" t="str">
        <f>IFERROR(__xludf.DUMMYFUNCTION("""COMPUTED_VALUE"""),"40/85 An Dương Vương")</f>
        <v>40/85 An Dương Vương</v>
      </c>
      <c r="D5894" s="119" t="str">
        <f>IFERROR(__xludf.DUMMYFUNCTION("""COMPUTED_VALUE"""),"Mèo")</f>
        <v>Mèo</v>
      </c>
      <c r="E5894" s="119" t="str">
        <f>IFERROR(__xludf.DUMMYFUNCTION("""COMPUTED_VALUE"""),"Felix")</f>
        <v>Felix</v>
      </c>
    </row>
    <row r="5895" ht="15.75" customHeight="1">
      <c r="A5895" s="122" t="str">
        <f>IFERROR(__xludf.DUMMYFUNCTION("""COMPUTED_VALUE"""),"0763 027 092")</f>
        <v>0763 027 092</v>
      </c>
      <c r="B5895" s="119" t="str">
        <f>IFERROR(__xludf.DUMMYFUNCTION("""COMPUTED_VALUE"""),"dì huệ")</f>
        <v>dì huệ</v>
      </c>
      <c r="C5895" s="119" t="str">
        <f>IFERROR(__xludf.DUMMYFUNCTION("""COMPUTED_VALUE"""),"hương chữ")</f>
        <v>hương chữ</v>
      </c>
      <c r="D5895" s="119" t="str">
        <f>IFERROR(__xludf.DUMMYFUNCTION("""COMPUTED_VALUE"""),"Mèo")</f>
        <v>Mèo</v>
      </c>
      <c r="E5895" s="119"/>
    </row>
    <row r="5896" ht="15.75" customHeight="1">
      <c r="A5896" s="122" t="str">
        <f>IFERROR(__xludf.DUMMYFUNCTION("""COMPUTED_VALUE"""),"0399 484 671")</f>
        <v>0399 484 671</v>
      </c>
      <c r="B5896" s="119" t="str">
        <f>IFERROR(__xludf.DUMMYFUNCTION("""COMPUTED_VALUE"""),"dì thêm")</f>
        <v>dì thêm</v>
      </c>
      <c r="C5896" s="119" t="str">
        <f>IFERROR(__xludf.DUMMYFUNCTION("""COMPUTED_VALUE"""),"3/16/4 vạn xuân")</f>
        <v>3/16/4 vạn xuân</v>
      </c>
      <c r="D5896" s="119" t="str">
        <f>IFERROR(__xludf.DUMMYFUNCTION("""COMPUTED_VALUE"""),"Chó")</f>
        <v>Chó</v>
      </c>
      <c r="E5896" s="119"/>
    </row>
    <row r="5897" ht="15.75" customHeight="1">
      <c r="A5897" s="122" t="str">
        <f>IFERROR(__xludf.DUMMYFUNCTION("""COMPUTED_VALUE"""),"0981 904 885")</f>
        <v>0981 904 885</v>
      </c>
      <c r="B5897" s="119" t="str">
        <f>IFERROR(__xludf.DUMMYFUNCTION("""COMPUTED_VALUE"""),"a quốc")</f>
        <v>a quốc</v>
      </c>
      <c r="C5897" s="119" t="str">
        <f>IFERROR(__xludf.DUMMYFUNCTION("""COMPUTED_VALUE"""),"5/39 ng hữu dật")</f>
        <v>5/39 ng hữu dật</v>
      </c>
      <c r="D5897" s="119" t="str">
        <f>IFERROR(__xludf.DUMMYFUNCTION("""COMPUTED_VALUE"""),"Chó")</f>
        <v>Chó</v>
      </c>
      <c r="E5897" s="119"/>
    </row>
    <row r="5898" ht="15.75" customHeight="1">
      <c r="A5898" s="122" t="str">
        <f>IFERROR(__xludf.DUMMYFUNCTION("""COMPUTED_VALUE"""),"0394 621 392")</f>
        <v>0394 621 392</v>
      </c>
      <c r="B5898" s="119" t="str">
        <f>IFERROR(__xludf.DUMMYFUNCTION("""COMPUTED_VALUE"""),"em thảo")</f>
        <v>em thảo</v>
      </c>
      <c r="C5898" s="119" t="str">
        <f>IFERROR(__xludf.DUMMYFUNCTION("""COMPUTED_VALUE"""),"201 trần phú")</f>
        <v>201 trần phú</v>
      </c>
      <c r="D5898" s="119" t="str">
        <f>IFERROR(__xludf.DUMMYFUNCTION("""COMPUTED_VALUE"""),"Mèo")</f>
        <v>Mèo</v>
      </c>
      <c r="E5898" s="119" t="str">
        <f>IFERROR(__xludf.DUMMYFUNCTION("""COMPUTED_VALUE"""),"tazan")</f>
        <v>tazan</v>
      </c>
    </row>
    <row r="5899" ht="15.75" customHeight="1">
      <c r="A5899" s="122" t="str">
        <f>IFERROR(__xludf.DUMMYFUNCTION("""COMPUTED_VALUE"""),"0935 339 662")</f>
        <v>0935 339 662</v>
      </c>
      <c r="B5899" s="119" t="str">
        <f>IFERROR(__xludf.DUMMYFUNCTION("""COMPUTED_VALUE"""),"a tuấn anh")</f>
        <v>a tuấn anh</v>
      </c>
      <c r="C5899" s="119" t="str">
        <f>IFERROR(__xludf.DUMMYFUNCTION("""COMPUTED_VALUE"""),"103 vạn xuân")</f>
        <v>103 vạn xuân</v>
      </c>
      <c r="D5899" s="119" t="str">
        <f>IFERROR(__xludf.DUMMYFUNCTION("""COMPUTED_VALUE"""),"Chó")</f>
        <v>Chó</v>
      </c>
      <c r="E5899" s="119"/>
    </row>
    <row r="5900" ht="15.75" customHeight="1">
      <c r="A5900" s="122" t="str">
        <f>IFERROR(__xludf.DUMMYFUNCTION("""COMPUTED_VALUE"""),"0935 470 563")</f>
        <v>0935 470 563</v>
      </c>
      <c r="B5900" s="119" t="str">
        <f>IFERROR(__xludf.DUMMYFUNCTION("""COMPUTED_VALUE"""),"chị hoa")</f>
        <v>chị hoa</v>
      </c>
      <c r="C5900" s="119" t="str">
        <f>IFERROR(__xludf.DUMMYFUNCTION("""COMPUTED_VALUE"""),"150/6 kim long")</f>
        <v>150/6 kim long</v>
      </c>
      <c r="D5900" s="119" t="str">
        <f>IFERROR(__xludf.DUMMYFUNCTION("""COMPUTED_VALUE"""),"Mèo")</f>
        <v>Mèo</v>
      </c>
      <c r="E5900" s="119" t="str">
        <f>IFERROR(__xludf.DUMMYFUNCTION("""COMPUTED_VALUE"""),"vàng")</f>
        <v>vàng</v>
      </c>
    </row>
    <row r="5901" ht="15.75" customHeight="1">
      <c r="A5901" s="122" t="str">
        <f>IFERROR(__xludf.DUMMYFUNCTION("""COMPUTED_VALUE"""),"0903 229 741")</f>
        <v>0903 229 741</v>
      </c>
      <c r="B5901" s="119" t="str">
        <f>IFERROR(__xludf.DUMMYFUNCTION("""COMPUTED_VALUE"""),"Chị Ny")</f>
        <v>Chị Ny</v>
      </c>
      <c r="C5901" s="119" t="str">
        <f>IFERROR(__xludf.DUMMYFUNCTION("""COMPUTED_VALUE"""),"Phú Lộc")</f>
        <v>Phú Lộc</v>
      </c>
      <c r="D5901" s="119" t="str">
        <f>IFERROR(__xludf.DUMMYFUNCTION("""COMPUTED_VALUE"""),"Mèo")</f>
        <v>Mèo</v>
      </c>
      <c r="E5901" s="119" t="str">
        <f>IFERROR(__xludf.DUMMYFUNCTION("""COMPUTED_VALUE"""),"Beo")</f>
        <v>Beo</v>
      </c>
    </row>
    <row r="5902" ht="15.75" customHeight="1">
      <c r="A5902" s="122" t="str">
        <f>IFERROR(__xludf.DUMMYFUNCTION("""COMPUTED_VALUE"""),"0935 200 327")</f>
        <v>0935 200 327</v>
      </c>
      <c r="B5902" s="119" t="str">
        <f>IFERROR(__xludf.DUMMYFUNCTION("""COMPUTED_VALUE"""),"Chị Ngọc")</f>
        <v>Chị Ngọc</v>
      </c>
      <c r="C5902" s="119" t="str">
        <f>IFERROR(__xludf.DUMMYFUNCTION("""COMPUTED_VALUE"""),"314 Lê Duẩn")</f>
        <v>314 Lê Duẩn</v>
      </c>
      <c r="D5902" s="119" t="str">
        <f>IFERROR(__xludf.DUMMYFUNCTION("""COMPUTED_VALUE"""),"Chó")</f>
        <v>Chó</v>
      </c>
      <c r="E5902" s="119" t="str">
        <f>IFERROR(__xludf.DUMMYFUNCTION("""COMPUTED_VALUE"""),"Đen")</f>
        <v>Đen</v>
      </c>
    </row>
    <row r="5903" ht="15.75" customHeight="1">
      <c r="A5903" s="122" t="str">
        <f>IFERROR(__xludf.DUMMYFUNCTION("""COMPUTED_VALUE"""),"0395 066 603")</f>
        <v>0395 066 603</v>
      </c>
      <c r="B5903" s="119" t="str">
        <f>IFERROR(__xludf.DUMMYFUNCTION("""COMPUTED_VALUE"""),"anh dũng")</f>
        <v>anh dũng</v>
      </c>
      <c r="C5903" s="119" t="str">
        <f>IFERROR(__xludf.DUMMYFUNCTION("""COMPUTED_VALUE"""),"22/30 phú mộng")</f>
        <v>22/30 phú mộng</v>
      </c>
      <c r="D5903" s="119" t="str">
        <f>IFERROR(__xludf.DUMMYFUNCTION("""COMPUTED_VALUE"""),"Chó")</f>
        <v>Chó</v>
      </c>
      <c r="E5903" s="119" t="str">
        <f>IFERROR(__xludf.DUMMYFUNCTION("""COMPUTED_VALUE"""),"luýt")</f>
        <v>luýt</v>
      </c>
    </row>
    <row r="5904" ht="15.75" customHeight="1">
      <c r="A5904" s="122" t="str">
        <f>IFERROR(__xludf.DUMMYFUNCTION("""COMPUTED_VALUE"""),"0915 752 111")</f>
        <v>0915 752 111</v>
      </c>
      <c r="B5904" s="119" t="str">
        <f>IFERROR(__xludf.DUMMYFUNCTION("""COMPUTED_VALUE"""),"Anh Cường")</f>
        <v>Anh Cường</v>
      </c>
      <c r="C5904" s="119" t="str">
        <f>IFERROR(__xludf.DUMMYFUNCTION("""COMPUTED_VALUE"""),"CC Hải Quan cửa khẩu La Lay, Q TRị")</f>
        <v>CC Hải Quan cửa khẩu La Lay, Q TRị</v>
      </c>
      <c r="D5904" s="119" t="str">
        <f>IFERROR(__xludf.DUMMYFUNCTION("""COMPUTED_VALUE"""),"Chó ")</f>
        <v>Chó </v>
      </c>
      <c r="E5904" s="119" t="str">
        <f>IFERROR(__xludf.DUMMYFUNCTION("""COMPUTED_VALUE"""),"Nick")</f>
        <v>Nick</v>
      </c>
    </row>
    <row r="5905" ht="15.75" customHeight="1">
      <c r="A5905" s="122" t="str">
        <f>IFERROR(__xludf.DUMMYFUNCTION("""COMPUTED_VALUE"""),"0978 955 770")</f>
        <v>0978 955 770</v>
      </c>
      <c r="B5905" s="119" t="str">
        <f>IFERROR(__xludf.DUMMYFUNCTION("""COMPUTED_VALUE"""),"anh hiếu")</f>
        <v>anh hiếu</v>
      </c>
      <c r="C5905" s="119" t="str">
        <f>IFERROR(__xludf.DUMMYFUNCTION("""COMPUTED_VALUE"""),"xóm 2 dương mông")</f>
        <v>xóm 2 dương mông</v>
      </c>
      <c r="D5905" s="119" t="str">
        <f>IFERROR(__xludf.DUMMYFUNCTION("""COMPUTED_VALUE"""),"Chó")</f>
        <v>Chó</v>
      </c>
      <c r="E5905" s="119" t="str">
        <f>IFERROR(__xludf.DUMMYFUNCTION("""COMPUTED_VALUE"""),"sa")</f>
        <v>sa</v>
      </c>
    </row>
    <row r="5906" ht="15.75" customHeight="1">
      <c r="A5906" s="122" t="str">
        <f>IFERROR(__xludf.DUMMYFUNCTION("""COMPUTED_VALUE"""),"0978 964 586")</f>
        <v>0978 964 586</v>
      </c>
      <c r="B5906" s="119" t="str">
        <f>IFERROR(__xludf.DUMMYFUNCTION("""COMPUTED_VALUE"""),"a khiên")</f>
        <v>a khiên</v>
      </c>
      <c r="C5906" s="119" t="str">
        <f>IFERROR(__xludf.DUMMYFUNCTION("""COMPUTED_VALUE"""),"phong hải")</f>
        <v>phong hải</v>
      </c>
      <c r="D5906" s="119" t="str">
        <f>IFERROR(__xludf.DUMMYFUNCTION("""COMPUTED_VALUE"""),"Chó")</f>
        <v>Chó</v>
      </c>
      <c r="E5906" s="119" t="str">
        <f>IFERROR(__xludf.DUMMYFUNCTION("""COMPUTED_VALUE"""),"kun")</f>
        <v>kun</v>
      </c>
    </row>
    <row r="5907" ht="15.75" customHeight="1">
      <c r="A5907" s="122" t="str">
        <f>IFERROR(__xludf.DUMMYFUNCTION("""COMPUTED_VALUE"""),"0773 560 541")</f>
        <v>0773 560 541</v>
      </c>
      <c r="B5907" s="119" t="str">
        <f>IFERROR(__xludf.DUMMYFUNCTION("""COMPUTED_VALUE"""),"dì hương")</f>
        <v>dì hương</v>
      </c>
      <c r="C5907" s="119" t="str">
        <f>IFERROR(__xludf.DUMMYFUNCTION("""COMPUTED_VALUE"""),"nhật lệ")</f>
        <v>nhật lệ</v>
      </c>
      <c r="D5907" s="119" t="str">
        <f>IFERROR(__xludf.DUMMYFUNCTION("""COMPUTED_VALUE"""),"Chó")</f>
        <v>Chó</v>
      </c>
      <c r="E5907" s="119" t="str">
        <f>IFERROR(__xludf.DUMMYFUNCTION("""COMPUTED_VALUE"""),"sam")</f>
        <v>sam</v>
      </c>
    </row>
    <row r="5908" ht="15.75" customHeight="1">
      <c r="A5908" s="122" t="str">
        <f>IFERROR(__xludf.DUMMYFUNCTION("""COMPUTED_VALUE"""),"0935 458 254")</f>
        <v>0935 458 254</v>
      </c>
      <c r="B5908" s="119" t="str">
        <f>IFERROR(__xludf.DUMMYFUNCTION("""COMPUTED_VALUE"""),"em mai")</f>
        <v>em mai</v>
      </c>
      <c r="C5908" s="119" t="str">
        <f>IFERROR(__xludf.DUMMYFUNCTION("""COMPUTED_VALUE"""),"240/19 lý nam đế")</f>
        <v>240/19 lý nam đế</v>
      </c>
      <c r="D5908" s="119" t="str">
        <f>IFERROR(__xludf.DUMMYFUNCTION("""COMPUTED_VALUE"""),"Chó")</f>
        <v>Chó</v>
      </c>
      <c r="E5908" s="119" t="str">
        <f>IFERROR(__xludf.DUMMYFUNCTION("""COMPUTED_VALUE"""),"milu")</f>
        <v>milu</v>
      </c>
    </row>
    <row r="5909" ht="15.75" customHeight="1">
      <c r="A5909" s="122" t="str">
        <f>IFERROR(__xludf.DUMMYFUNCTION("""COMPUTED_VALUE"""),"0905 930 550")</f>
        <v>0905 930 550</v>
      </c>
      <c r="B5909" s="119" t="str">
        <f>IFERROR(__xludf.DUMMYFUNCTION("""COMPUTED_VALUE"""),"Anh Quang Hiếu")</f>
        <v>Anh Quang Hiếu</v>
      </c>
      <c r="C5909" s="119" t="str">
        <f>IFERROR(__xludf.DUMMYFUNCTION("""COMPUTED_VALUE"""),"45 Vũ Ngọc Phan")</f>
        <v>45 Vũ Ngọc Phan</v>
      </c>
      <c r="D5909" s="119" t="str">
        <f>IFERROR(__xludf.DUMMYFUNCTION("""COMPUTED_VALUE"""),"Mèo")</f>
        <v>Mèo</v>
      </c>
      <c r="E5909" s="119" t="str">
        <f>IFERROR(__xludf.DUMMYFUNCTION("""COMPUTED_VALUE"""),"Sun")</f>
        <v>Sun</v>
      </c>
    </row>
    <row r="5910" ht="15.75" customHeight="1">
      <c r="A5910" s="122" t="str">
        <f>IFERROR(__xludf.DUMMYFUNCTION("""COMPUTED_VALUE"""),"0333 880 259")</f>
        <v>0333 880 259</v>
      </c>
      <c r="B5910" s="119" t="str">
        <f>IFERROR(__xludf.DUMMYFUNCTION("""COMPUTED_VALUE"""),"Chị Ngà")</f>
        <v>Chị Ngà</v>
      </c>
      <c r="C5910" s="119" t="str">
        <f>IFERROR(__xludf.DUMMYFUNCTION("""COMPUTED_VALUE"""),"240 Lý Nam Đế")</f>
        <v>240 Lý Nam Đế</v>
      </c>
      <c r="D5910" s="119" t="str">
        <f>IFERROR(__xludf.DUMMYFUNCTION("""COMPUTED_VALUE"""),"Chó")</f>
        <v>Chó</v>
      </c>
      <c r="E5910" s="119" t="str">
        <f>IFERROR(__xludf.DUMMYFUNCTION("""COMPUTED_VALUE"""),"Lắc")</f>
        <v>Lắc</v>
      </c>
    </row>
    <row r="5911" ht="15.75" customHeight="1">
      <c r="A5911" s="122" t="str">
        <f>IFERROR(__xludf.DUMMYFUNCTION("""COMPUTED_VALUE"""),"0393 238 039")</f>
        <v>0393 238 039</v>
      </c>
      <c r="B5911" s="119" t="str">
        <f>IFERROR(__xludf.DUMMYFUNCTION("""COMPUTED_VALUE"""),"Anh Lâm")</f>
        <v>Anh Lâm</v>
      </c>
      <c r="C5911" s="119" t="str">
        <f>IFERROR(__xludf.DUMMYFUNCTION("""COMPUTED_VALUE"""),"Chung cư vin coland")</f>
        <v>Chung cư vin coland</v>
      </c>
      <c r="D5911" s="119" t="str">
        <f>IFERROR(__xludf.DUMMYFUNCTION("""COMPUTED_VALUE"""),"Mèo")</f>
        <v>Mèo</v>
      </c>
      <c r="E5911" s="119" t="str">
        <f>IFERROR(__xludf.DUMMYFUNCTION("""COMPUTED_VALUE"""),"Sen")</f>
        <v>Sen</v>
      </c>
    </row>
    <row r="5912" ht="15.75" customHeight="1">
      <c r="A5912" s="122" t="str">
        <f>IFERROR(__xludf.DUMMYFUNCTION("""COMPUTED_VALUE"""),"0392 245 853")</f>
        <v>0392 245 853</v>
      </c>
      <c r="B5912" s="119" t="str">
        <f>IFERROR(__xludf.DUMMYFUNCTION("""COMPUTED_VALUE"""),"Chị Thuỷ")</f>
        <v>Chị Thuỷ</v>
      </c>
      <c r="C5912" s="119" t="str">
        <f>IFERROR(__xludf.DUMMYFUNCTION("""COMPUTED_VALUE"""),"Bùi Thị Xuân")</f>
        <v>Bùi Thị Xuân</v>
      </c>
      <c r="D5912" s="119" t="str">
        <f>IFERROR(__xludf.DUMMYFUNCTION("""COMPUTED_VALUE"""),"Chó")</f>
        <v>Chó</v>
      </c>
      <c r="E5912" s="119"/>
    </row>
    <row r="5913" ht="15.75" customHeight="1">
      <c r="A5913" s="122" t="str">
        <f>IFERROR(__xludf.DUMMYFUNCTION("""COMPUTED_VALUE"""),"0392 792 714")</f>
        <v>0392 792 714</v>
      </c>
      <c r="B5913" s="119" t="str">
        <f>IFERROR(__xludf.DUMMYFUNCTION("""COMPUTED_VALUE"""),"Chị Châu")</f>
        <v>Chị Châu</v>
      </c>
      <c r="C5913" s="119" t="str">
        <f>IFERROR(__xludf.DUMMYFUNCTION("""COMPUTED_VALUE"""),"34 Nguyễn Phúc Nguyên")</f>
        <v>34 Nguyễn Phúc Nguyên</v>
      </c>
      <c r="D5913" s="119" t="str">
        <f>IFERROR(__xludf.DUMMYFUNCTION("""COMPUTED_VALUE"""),"Chó")</f>
        <v>Chó</v>
      </c>
      <c r="E5913" s="119" t="str">
        <f>IFERROR(__xludf.DUMMYFUNCTION("""COMPUTED_VALUE"""),"Sammy")</f>
        <v>Sammy</v>
      </c>
    </row>
    <row r="5914" ht="15.75" customHeight="1">
      <c r="A5914" s="122" t="str">
        <f>IFERROR(__xludf.DUMMYFUNCTION("""COMPUTED_VALUE"""),"0354 313 554")</f>
        <v>0354 313 554</v>
      </c>
      <c r="B5914" s="119" t="str">
        <f>IFERROR(__xludf.DUMMYFUNCTION("""COMPUTED_VALUE"""),"Chị Nga")</f>
        <v>Chị Nga</v>
      </c>
      <c r="C5914" s="119" t="str">
        <f>IFERROR(__xludf.DUMMYFUNCTION("""COMPUTED_VALUE"""),"Hương Long")</f>
        <v>Hương Long</v>
      </c>
      <c r="D5914" s="119" t="str">
        <f>IFERROR(__xludf.DUMMYFUNCTION("""COMPUTED_VALUE"""),"Chó")</f>
        <v>Chó</v>
      </c>
      <c r="E5914" s="119" t="str">
        <f>IFERROR(__xludf.DUMMYFUNCTION("""COMPUTED_VALUE"""),"Nu")</f>
        <v>Nu</v>
      </c>
    </row>
    <row r="5915" ht="15.75" customHeight="1">
      <c r="A5915" s="122" t="str">
        <f>IFERROR(__xludf.DUMMYFUNCTION("""COMPUTED_VALUE"""),"0379 922 018")</f>
        <v>0379 922 018</v>
      </c>
      <c r="B5915" s="119" t="str">
        <f>IFERROR(__xludf.DUMMYFUNCTION("""COMPUTED_VALUE"""),"Em Thanh")</f>
        <v>Em Thanh</v>
      </c>
      <c r="C5915" s="119" t="str">
        <f>IFERROR(__xludf.DUMMYFUNCTION("""COMPUTED_VALUE"""),"24/6 Phạm Thị Liên")</f>
        <v>24/6 Phạm Thị Liên</v>
      </c>
      <c r="D5915" s="119" t="str">
        <f>IFERROR(__xludf.DUMMYFUNCTION("""COMPUTED_VALUE"""),"Mèo")</f>
        <v>Mèo</v>
      </c>
      <c r="E5915" s="119" t="str">
        <f>IFERROR(__xludf.DUMMYFUNCTION("""COMPUTED_VALUE"""),"orio")</f>
        <v>orio</v>
      </c>
    </row>
    <row r="5916" ht="15.75" customHeight="1">
      <c r="A5916" s="122" t="str">
        <f>IFERROR(__xludf.DUMMYFUNCTION("""COMPUTED_VALUE"""),"0914 172 845")</f>
        <v>0914 172 845</v>
      </c>
      <c r="B5916" s="119" t="str">
        <f>IFERROR(__xludf.DUMMYFUNCTION("""COMPUTED_VALUE"""),"Chị Nhiên")</f>
        <v>Chị Nhiên</v>
      </c>
      <c r="C5916" s="119" t="str">
        <f>IFERROR(__xludf.DUMMYFUNCTION("""COMPUTED_VALUE"""),"101 Ông Ích Khiêm")</f>
        <v>101 Ông Ích Khiêm</v>
      </c>
      <c r="D5916" s="119" t="str">
        <f>IFERROR(__xludf.DUMMYFUNCTION("""COMPUTED_VALUE"""),"Mèo")</f>
        <v>Mèo</v>
      </c>
      <c r="E5916" s="119" t="str">
        <f>IFERROR(__xludf.DUMMYFUNCTION("""COMPUTED_VALUE"""),"Vàng")</f>
        <v>Vàng</v>
      </c>
    </row>
    <row r="5917" ht="15.75" customHeight="1">
      <c r="A5917" s="122" t="str">
        <f>IFERROR(__xludf.DUMMYFUNCTION("""COMPUTED_VALUE"""),"0765 363 205")</f>
        <v>0765 363 205</v>
      </c>
      <c r="B5917" s="119" t="str">
        <f>IFERROR(__xludf.DUMMYFUNCTION("""COMPUTED_VALUE"""),"Chị Nghi")</f>
        <v>Chị Nghi</v>
      </c>
      <c r="C5917" s="119" t="str">
        <f>IFERROR(__xludf.DUMMYFUNCTION("""COMPUTED_VALUE"""),"7 Ông Ich Khiêm")</f>
        <v>7 Ông Ich Khiêm</v>
      </c>
      <c r="D5917" s="119" t="str">
        <f>IFERROR(__xludf.DUMMYFUNCTION("""COMPUTED_VALUE"""),"Chó")</f>
        <v>Chó</v>
      </c>
      <c r="E5917" s="119" t="str">
        <f>IFERROR(__xludf.DUMMYFUNCTION("""COMPUTED_VALUE"""),"Bull")</f>
        <v>Bull</v>
      </c>
    </row>
    <row r="5918" ht="15.75" customHeight="1">
      <c r="A5918" s="122" t="str">
        <f>IFERROR(__xludf.DUMMYFUNCTION("""COMPUTED_VALUE"""),"0919 825 353")</f>
        <v>0919 825 353</v>
      </c>
      <c r="B5918" s="119" t="str">
        <f>IFERROR(__xludf.DUMMYFUNCTION("""COMPUTED_VALUE"""),"Anh Lộc")</f>
        <v>Anh Lộc</v>
      </c>
      <c r="C5918" s="119" t="str">
        <f>IFERROR(__xludf.DUMMYFUNCTION("""COMPUTED_VALUE"""),"257 chi Lăng")</f>
        <v>257 chi Lăng</v>
      </c>
      <c r="D5918" s="119" t="str">
        <f>IFERROR(__xludf.DUMMYFUNCTION("""COMPUTED_VALUE"""),"Chó")</f>
        <v>Chó</v>
      </c>
      <c r="E5918" s="119" t="str">
        <f>IFERROR(__xludf.DUMMYFUNCTION("""COMPUTED_VALUE"""),"Vàng")</f>
        <v>Vàng</v>
      </c>
    </row>
    <row r="5919" ht="15.75" customHeight="1">
      <c r="A5919" s="122" t="str">
        <f>IFERROR(__xludf.DUMMYFUNCTION("""COMPUTED_VALUE"""),"0903 591 692")</f>
        <v>0903 591 692</v>
      </c>
      <c r="B5919" s="119" t="str">
        <f>IFERROR(__xludf.DUMMYFUNCTION("""COMPUTED_VALUE"""),"Anh Dũng")</f>
        <v>Anh Dũng</v>
      </c>
      <c r="C5919" s="119" t="str">
        <f>IFERROR(__xludf.DUMMYFUNCTION("""COMPUTED_VALUE"""),"6A/40 Nguyễn Phúc Nguyên")</f>
        <v>6A/40 Nguyễn Phúc Nguyên</v>
      </c>
      <c r="D5919" s="119" t="str">
        <f>IFERROR(__xludf.DUMMYFUNCTION("""COMPUTED_VALUE"""),"Chó")</f>
        <v>Chó</v>
      </c>
      <c r="E5919" s="119" t="str">
        <f>IFERROR(__xludf.DUMMYFUNCTION("""COMPUTED_VALUE"""),"Vàng")</f>
        <v>Vàng</v>
      </c>
    </row>
    <row r="5920" ht="15.75" customHeight="1">
      <c r="A5920" s="122" t="str">
        <f>IFERROR(__xludf.DUMMYFUNCTION("""COMPUTED_VALUE"""),"0913 603 815")</f>
        <v>0913 603 815</v>
      </c>
      <c r="B5920" s="119" t="str">
        <f>IFERROR(__xludf.DUMMYFUNCTION("""COMPUTED_VALUE"""),"Tamara")</f>
        <v>Tamara</v>
      </c>
      <c r="C5920" s="119"/>
      <c r="D5920" s="119" t="str">
        <f>IFERROR(__xludf.DUMMYFUNCTION("""COMPUTED_VALUE"""),"mèo")</f>
        <v>mèo</v>
      </c>
      <c r="E5920" s="119" t="str">
        <f>IFERROR(__xludf.DUMMYFUNCTION("""COMPUTED_VALUE"""),"baby")</f>
        <v>baby</v>
      </c>
    </row>
    <row r="5921" ht="15.75" customHeight="1">
      <c r="A5921" s="122" t="str">
        <f>IFERROR(__xludf.DUMMYFUNCTION("""COMPUTED_VALUE"""),"0392 782 714")</f>
        <v>0392 782 714</v>
      </c>
      <c r="B5921" s="119" t="str">
        <f>IFERROR(__xludf.DUMMYFUNCTION("""COMPUTED_VALUE"""),"Chị Châu")</f>
        <v>Chị Châu</v>
      </c>
      <c r="C5921" s="119" t="str">
        <f>IFERROR(__xludf.DUMMYFUNCTION("""COMPUTED_VALUE"""),"34 Nguyễn Phúc Nguyên")</f>
        <v>34 Nguyễn Phúc Nguyên</v>
      </c>
      <c r="D5921" s="119" t="str">
        <f>IFERROR(__xludf.DUMMYFUNCTION("""COMPUTED_VALUE"""),"Chó")</f>
        <v>Chó</v>
      </c>
      <c r="E5921" s="119" t="str">
        <f>IFERROR(__xludf.DUMMYFUNCTION("""COMPUTED_VALUE"""),"maxic")</f>
        <v>maxic</v>
      </c>
    </row>
    <row r="5922" ht="15.75" customHeight="1">
      <c r="A5922" s="122" t="str">
        <f>IFERROR(__xludf.DUMMYFUNCTION("""COMPUTED_VALUE"""),"0945 278 446")</f>
        <v>0945 278 446</v>
      </c>
      <c r="B5922" s="119" t="str">
        <f>IFERROR(__xludf.DUMMYFUNCTION("""COMPUTED_VALUE"""),"Chị Tường")</f>
        <v>Chị Tường</v>
      </c>
      <c r="C5922" s="119" t="str">
        <f>IFERROR(__xludf.DUMMYFUNCTION("""COMPUTED_VALUE"""),"40 Nguyễn Phúc Nguyên")</f>
        <v>40 Nguyễn Phúc Nguyên</v>
      </c>
      <c r="D5922" s="119" t="str">
        <f>IFERROR(__xludf.DUMMYFUNCTION("""COMPUTED_VALUE"""),"Chó")</f>
        <v>Chó</v>
      </c>
      <c r="E5922" s="119" t="str">
        <f>IFERROR(__xludf.DUMMYFUNCTION("""COMPUTED_VALUE"""),"bút")</f>
        <v>bút</v>
      </c>
    </row>
    <row r="5923" ht="15.75" customHeight="1">
      <c r="A5923" s="122" t="str">
        <f>IFERROR(__xludf.DUMMYFUNCTION("""COMPUTED_VALUE"""),"0368 395 342")</f>
        <v>0368 395 342</v>
      </c>
      <c r="B5923" s="119" t="str">
        <f>IFERROR(__xludf.DUMMYFUNCTION("""COMPUTED_VALUE"""),"Thuỷ Tiên")</f>
        <v>Thuỷ Tiên</v>
      </c>
      <c r="C5923" s="119" t="str">
        <f>IFERROR(__xludf.DUMMYFUNCTION("""COMPUTED_VALUE"""),"77/1 Hoàng Quốc Việt")</f>
        <v>77/1 Hoàng Quốc Việt</v>
      </c>
      <c r="D5923" s="119" t="str">
        <f>IFERROR(__xludf.DUMMYFUNCTION("""COMPUTED_VALUE"""),"Chó")</f>
        <v>Chó</v>
      </c>
      <c r="E5923" s="119" t="str">
        <f>IFERROR(__xludf.DUMMYFUNCTION("""COMPUTED_VALUE"""),"mino")</f>
        <v>mino</v>
      </c>
    </row>
    <row r="5924" ht="15.75" customHeight="1">
      <c r="A5924" s="122" t="str">
        <f>IFERROR(__xludf.DUMMYFUNCTION("""COMPUTED_VALUE"""),"0929 759 975")</f>
        <v>0929 759 975</v>
      </c>
      <c r="B5924" s="119" t="str">
        <f>IFERROR(__xludf.DUMMYFUNCTION("""COMPUTED_VALUE"""),"Anh Hoàng Ngọc Hải")</f>
        <v>Anh Hoàng Ngọc Hải</v>
      </c>
      <c r="C5924" s="119" t="str">
        <f>IFERROR(__xludf.DUMMYFUNCTION("""COMPUTED_VALUE"""),"245 Bùi Thị Xuân")</f>
        <v>245 Bùi Thị Xuân</v>
      </c>
      <c r="D5924" s="119" t="str">
        <f>IFERROR(__xludf.DUMMYFUNCTION("""COMPUTED_VALUE"""),"Chó")</f>
        <v>Chó</v>
      </c>
      <c r="E5924" s="119" t="str">
        <f>IFERROR(__xludf.DUMMYFUNCTION("""COMPUTED_VALUE"""),"lucky")</f>
        <v>lucky</v>
      </c>
    </row>
    <row r="5925" ht="15.75" customHeight="1">
      <c r="A5925" s="122" t="str">
        <f>IFERROR(__xludf.DUMMYFUNCTION("""COMPUTED_VALUE"""),"0814 825 630")</f>
        <v>0814 825 630</v>
      </c>
      <c r="B5925" s="119" t="str">
        <f>IFERROR(__xludf.DUMMYFUNCTION("""COMPUTED_VALUE"""),"Em Thành")</f>
        <v>Em Thành</v>
      </c>
      <c r="C5925" s="119" t="str">
        <f>IFERROR(__xludf.DUMMYFUNCTION("""COMPUTED_VALUE"""),"138 Nguyễn sinh Cung")</f>
        <v>138 Nguyễn sinh Cung</v>
      </c>
      <c r="D5925" s="119" t="str">
        <f>IFERROR(__xludf.DUMMYFUNCTION("""COMPUTED_VALUE"""),"mèo ")</f>
        <v>mèo </v>
      </c>
      <c r="E5925" s="119" t="str">
        <f>IFERROR(__xludf.DUMMYFUNCTION("""COMPUTED_VALUE"""),"nhặt")</f>
        <v>nhặt</v>
      </c>
    </row>
    <row r="5926" ht="15.75" customHeight="1">
      <c r="A5926" s="122" t="str">
        <f>IFERROR(__xludf.DUMMYFUNCTION("""COMPUTED_VALUE"""),"0906 415 720")</f>
        <v>0906 415 720</v>
      </c>
      <c r="B5926" s="119" t="str">
        <f>IFERROR(__xludf.DUMMYFUNCTION("""COMPUTED_VALUE"""),"Chị An Nhiên")</f>
        <v>Chị An Nhiên</v>
      </c>
      <c r="C5926" s="119" t="str">
        <f>IFERROR(__xludf.DUMMYFUNCTION("""COMPUTED_VALUE"""),"Bùi Thị Xuân")</f>
        <v>Bùi Thị Xuân</v>
      </c>
      <c r="D5926" s="119" t="str">
        <f>IFERROR(__xludf.DUMMYFUNCTION("""COMPUTED_VALUE"""),"Mèo")</f>
        <v>Mèo</v>
      </c>
      <c r="E5926" s="119"/>
    </row>
    <row r="5927" ht="15.75" customHeight="1">
      <c r="A5927" s="122" t="str">
        <f>IFERROR(__xludf.DUMMYFUNCTION("""COMPUTED_VALUE"""),"0981 292 476")</f>
        <v>0981 292 476</v>
      </c>
      <c r="B5927" s="119" t="str">
        <f>IFERROR(__xludf.DUMMYFUNCTION("""COMPUTED_VALUE"""),"Chị Sâm")</f>
        <v>Chị Sâm</v>
      </c>
      <c r="C5927" s="119" t="str">
        <f>IFERROR(__xludf.DUMMYFUNCTION("""COMPUTED_VALUE"""),"Hương Hồ")</f>
        <v>Hương Hồ</v>
      </c>
      <c r="D5927" s="119" t="str">
        <f>IFERROR(__xludf.DUMMYFUNCTION("""COMPUTED_VALUE"""),"Chó")</f>
        <v>Chó</v>
      </c>
      <c r="E5927" s="119" t="str">
        <f>IFERROR(__xludf.DUMMYFUNCTION("""COMPUTED_VALUE"""),"mập")</f>
        <v>mập</v>
      </c>
    </row>
    <row r="5928" ht="15.75" customHeight="1">
      <c r="A5928" s="122" t="str">
        <f>IFERROR(__xludf.DUMMYFUNCTION("""COMPUTED_VALUE"""),"0772 283 833")</f>
        <v>0772 283 833</v>
      </c>
      <c r="B5928" s="119" t="str">
        <f>IFERROR(__xludf.DUMMYFUNCTION("""COMPUTED_VALUE"""),"Thầy Huy")</f>
        <v>Thầy Huy</v>
      </c>
      <c r="C5928" s="119" t="str">
        <f>IFERROR(__xludf.DUMMYFUNCTION("""COMPUTED_VALUE"""),"học viện Phật Giáo An Tây")</f>
        <v>học viện Phật Giáo An Tây</v>
      </c>
      <c r="D5928" s="119" t="str">
        <f>IFERROR(__xludf.DUMMYFUNCTION("""COMPUTED_VALUE"""),"Mèo")</f>
        <v>Mèo</v>
      </c>
      <c r="E5928" s="119" t="str">
        <f>IFERROR(__xludf.DUMMYFUNCTION("""COMPUTED_VALUE"""),"sen")</f>
        <v>sen</v>
      </c>
    </row>
    <row r="5929" ht="15.75" customHeight="1">
      <c r="A5929" s="122" t="str">
        <f>IFERROR(__xludf.DUMMYFUNCTION("""COMPUTED_VALUE"""),"0935 525 192")</f>
        <v>0935 525 192</v>
      </c>
      <c r="B5929" s="119" t="str">
        <f>IFERROR(__xludf.DUMMYFUNCTION("""COMPUTED_VALUE"""),"Chị Nga")</f>
        <v>Chị Nga</v>
      </c>
      <c r="C5929" s="119" t="str">
        <f>IFERROR(__xludf.DUMMYFUNCTION("""COMPUTED_VALUE"""),"2A/18 Thánh Gióng")</f>
        <v>2A/18 Thánh Gióng</v>
      </c>
      <c r="D5929" s="119" t="str">
        <f>IFERROR(__xludf.DUMMYFUNCTION("""COMPUTED_VALUE"""),"Chó")</f>
        <v>Chó</v>
      </c>
      <c r="E5929" s="119" t="str">
        <f>IFERROR(__xludf.DUMMYFUNCTION("""COMPUTED_VALUE"""),"vàng")</f>
        <v>vàng</v>
      </c>
    </row>
    <row r="5930" ht="15.75" customHeight="1">
      <c r="A5930" s="122" t="str">
        <f>IFERROR(__xludf.DUMMYFUNCTION("""COMPUTED_VALUE"""),"0949 552 229")</f>
        <v>0949 552 229</v>
      </c>
      <c r="B5930" s="119" t="str">
        <f>IFERROR(__xludf.DUMMYFUNCTION("""COMPUTED_VALUE"""),"Trần Ngọc Trúc")</f>
        <v>Trần Ngọc Trúc</v>
      </c>
      <c r="C5930" s="119" t="str">
        <f>IFERROR(__xludf.DUMMYFUNCTION("""COMPUTED_VALUE"""),"57 Phạm Đình Hổ")</f>
        <v>57 Phạm Đình Hổ</v>
      </c>
      <c r="D5930" s="119" t="str">
        <f>IFERROR(__xludf.DUMMYFUNCTION("""COMPUTED_VALUE"""),"Chó")</f>
        <v>Chó</v>
      </c>
      <c r="E5930" s="119"/>
    </row>
    <row r="5931" ht="15.75" customHeight="1">
      <c r="A5931" s="122" t="str">
        <f>IFERROR(__xludf.DUMMYFUNCTION("""COMPUTED_VALUE"""),"0762 736 810")</f>
        <v>0762 736 810</v>
      </c>
      <c r="B5931" s="119" t="str">
        <f>IFERROR(__xludf.DUMMYFUNCTION("""COMPUTED_VALUE"""),"Thảo Trang")</f>
        <v>Thảo Trang</v>
      </c>
      <c r="C5931" s="119" t="str">
        <f>IFERROR(__xludf.DUMMYFUNCTION("""COMPUTED_VALUE"""),"15/5/104 Kim Long")</f>
        <v>15/5/104 Kim Long</v>
      </c>
      <c r="D5931" s="119" t="str">
        <f>IFERROR(__xludf.DUMMYFUNCTION("""COMPUTED_VALUE"""),"Mèo")</f>
        <v>Mèo</v>
      </c>
      <c r="E5931" s="119" t="str">
        <f>IFERROR(__xludf.DUMMYFUNCTION("""COMPUTED_VALUE"""),"muối")</f>
        <v>muối</v>
      </c>
    </row>
    <row r="5932" ht="15.75" customHeight="1">
      <c r="A5932" s="122" t="str">
        <f>IFERROR(__xludf.DUMMYFUNCTION("""COMPUTED_VALUE"""),"0981 292 497")</f>
        <v>0981 292 497</v>
      </c>
      <c r="B5932" s="119" t="str">
        <f>IFERROR(__xludf.DUMMYFUNCTION("""COMPUTED_VALUE"""),"Chị Sâm")</f>
        <v>Chị Sâm</v>
      </c>
      <c r="C5932" s="119" t="str">
        <f>IFERROR(__xludf.DUMMYFUNCTION("""COMPUTED_VALUE"""),"Hương Hồ")</f>
        <v>Hương Hồ</v>
      </c>
      <c r="D5932" s="119" t="str">
        <f>IFERROR(__xludf.DUMMYFUNCTION("""COMPUTED_VALUE"""),"Chó")</f>
        <v>Chó</v>
      </c>
      <c r="E5932" s="119" t="str">
        <f>IFERROR(__xludf.DUMMYFUNCTION("""COMPUTED_VALUE"""),"mập")</f>
        <v>mập</v>
      </c>
    </row>
    <row r="5933" ht="15.75" customHeight="1">
      <c r="A5933" s="122" t="str">
        <f>IFERROR(__xludf.DUMMYFUNCTION("""COMPUTED_VALUE"""),"0396 033 115")</f>
        <v>0396 033 115</v>
      </c>
      <c r="B5933" s="119" t="str">
        <f>IFERROR(__xludf.DUMMYFUNCTION("""COMPUTED_VALUE"""),"Không biết tên")</f>
        <v>Không biết tên</v>
      </c>
      <c r="C5933" s="119" t="str">
        <f>IFERROR(__xludf.DUMMYFUNCTION("""COMPUTED_VALUE"""),"78 Vạn Xuân")</f>
        <v>78 Vạn Xuân</v>
      </c>
      <c r="D5933" s="119" t="str">
        <f>IFERROR(__xludf.DUMMYFUNCTION("""COMPUTED_VALUE"""),"Chó")</f>
        <v>Chó</v>
      </c>
      <c r="E5933" s="119" t="str">
        <f>IFERROR(__xludf.DUMMYFUNCTION("""COMPUTED_VALUE"""),"Trắng")</f>
        <v>Trắng</v>
      </c>
    </row>
    <row r="5934" ht="15.75" customHeight="1">
      <c r="A5934" s="122" t="str">
        <f>IFERROR(__xludf.DUMMYFUNCTION("""COMPUTED_VALUE"""),"0702 544 877")</f>
        <v>0702 544 877</v>
      </c>
      <c r="B5934" s="119" t="str">
        <f>IFERROR(__xludf.DUMMYFUNCTION("""COMPUTED_VALUE"""),"Anh Toàn")</f>
        <v>Anh Toàn</v>
      </c>
      <c r="C5934" s="119" t="str">
        <f>IFERROR(__xludf.DUMMYFUNCTION("""COMPUTED_VALUE"""),"Hương Hồ")</f>
        <v>Hương Hồ</v>
      </c>
      <c r="D5934" s="119" t="str">
        <f>IFERROR(__xludf.DUMMYFUNCTION("""COMPUTED_VALUE"""),"Chó")</f>
        <v>Chó</v>
      </c>
      <c r="E5934" s="119" t="str">
        <f>IFERROR(__xludf.DUMMYFUNCTION("""COMPUTED_VALUE"""),"su")</f>
        <v>su</v>
      </c>
    </row>
    <row r="5935" ht="15.75" customHeight="1">
      <c r="A5935" s="122" t="str">
        <f>IFERROR(__xludf.DUMMYFUNCTION("""COMPUTED_VALUE"""),"0944 401 567")</f>
        <v>0944 401 567</v>
      </c>
      <c r="B5935" s="119" t="str">
        <f>IFERROR(__xludf.DUMMYFUNCTION("""COMPUTED_VALUE"""),"Dì Thuyết")</f>
        <v>Dì Thuyết</v>
      </c>
      <c r="C5935" s="119" t="str">
        <f>IFERROR(__xludf.DUMMYFUNCTION("""COMPUTED_VALUE"""),"19/184 Phan Chu Trinh")</f>
        <v>19/184 Phan Chu Trinh</v>
      </c>
      <c r="D5935" s="119" t="str">
        <f>IFERROR(__xludf.DUMMYFUNCTION("""COMPUTED_VALUE"""),"Chó")</f>
        <v>Chó</v>
      </c>
      <c r="E5935" s="119" t="str">
        <f>IFERROR(__xludf.DUMMYFUNCTION("""COMPUTED_VALUE"""),"noo")</f>
        <v>noo</v>
      </c>
    </row>
    <row r="5936" ht="15.75" customHeight="1">
      <c r="A5936" s="122" t="str">
        <f>IFERROR(__xludf.DUMMYFUNCTION("""COMPUTED_VALUE"""),"0905 557 975")</f>
        <v>0905 557 975</v>
      </c>
      <c r="B5936" s="119" t="str">
        <f>IFERROR(__xludf.DUMMYFUNCTION("""COMPUTED_VALUE"""),"Hồ Thị Thuỷ Tiên")</f>
        <v>Hồ Thị Thuỷ Tiên</v>
      </c>
      <c r="C5936" s="119"/>
      <c r="D5936" s="119" t="str">
        <f>IFERROR(__xludf.DUMMYFUNCTION("""COMPUTED_VALUE"""),"Mèo")</f>
        <v>Mèo</v>
      </c>
      <c r="E5936" s="119"/>
    </row>
    <row r="5937" ht="15.75" customHeight="1">
      <c r="A5937" s="122" t="str">
        <f>IFERROR(__xludf.DUMMYFUNCTION("""COMPUTED_VALUE"""),"0855 557 436")</f>
        <v>0855 557 436</v>
      </c>
      <c r="B5937" s="119" t="str">
        <f>IFERROR(__xludf.DUMMYFUNCTION("""COMPUTED_VALUE"""),"Chú Trần Văn Phương")</f>
        <v>Chú Trần Văn Phương</v>
      </c>
      <c r="C5937" s="119" t="str">
        <f>IFERROR(__xludf.DUMMYFUNCTION("""COMPUTED_VALUE"""),"Thuỷ Bằng")</f>
        <v>Thuỷ Bằng</v>
      </c>
      <c r="D5937" s="119" t="str">
        <f>IFERROR(__xludf.DUMMYFUNCTION("""COMPUTED_VALUE"""),"Chó")</f>
        <v>Chó</v>
      </c>
      <c r="E5937" s="119" t="str">
        <f>IFERROR(__xludf.DUMMYFUNCTION("""COMPUTED_VALUE"""),"Poca")</f>
        <v>Poca</v>
      </c>
    </row>
    <row r="5938" ht="15.75" customHeight="1">
      <c r="A5938" s="122" t="str">
        <f>IFERROR(__xludf.DUMMYFUNCTION("""COMPUTED_VALUE"""),"0762 727 735")</f>
        <v>0762 727 735</v>
      </c>
      <c r="B5938" s="119" t="str">
        <f>IFERROR(__xludf.DUMMYFUNCTION("""COMPUTED_VALUE"""),"Dì Thảo")</f>
        <v>Dì Thảo</v>
      </c>
      <c r="C5938" s="119" t="str">
        <f>IFERROR(__xludf.DUMMYFUNCTION("""COMPUTED_VALUE"""),"29 Nguyễn Phúc Chu")</f>
        <v>29 Nguyễn Phúc Chu</v>
      </c>
      <c r="D5938" s="119" t="str">
        <f>IFERROR(__xludf.DUMMYFUNCTION("""COMPUTED_VALUE"""),"Chó")</f>
        <v>Chó</v>
      </c>
      <c r="E5938" s="119" t="str">
        <f>IFERROR(__xludf.DUMMYFUNCTION("""COMPUTED_VALUE"""),"Gạo")</f>
        <v>Gạo</v>
      </c>
    </row>
    <row r="5939" ht="15.75" customHeight="1">
      <c r="A5939" s="122" t="str">
        <f>IFERROR(__xludf.DUMMYFUNCTION("""COMPUTED_VALUE"""),"0898 212 433")</f>
        <v>0898 212 433</v>
      </c>
      <c r="B5939" s="119" t="str">
        <f>IFERROR(__xludf.DUMMYFUNCTION("""COMPUTED_VALUE"""),"TRương Ngọc Nhất Sang")</f>
        <v>TRương Ngọc Nhất Sang</v>
      </c>
      <c r="C5939" s="119" t="str">
        <f>IFERROR(__xludf.DUMMYFUNCTION("""COMPUTED_VALUE"""),"132 Hoàng Ngọc Loan")</f>
        <v>132 Hoàng Ngọc Loan</v>
      </c>
      <c r="D5939" s="119" t="str">
        <f>IFERROR(__xludf.DUMMYFUNCTION("""COMPUTED_VALUE"""),"Chó")</f>
        <v>Chó</v>
      </c>
      <c r="E5939" s="119" t="str">
        <f>IFERROR(__xludf.DUMMYFUNCTION("""COMPUTED_VALUE"""),"Red")</f>
        <v>Red</v>
      </c>
    </row>
    <row r="5940" ht="15.75" customHeight="1">
      <c r="A5940" s="122" t="str">
        <f>IFERROR(__xludf.DUMMYFUNCTION("""COMPUTED_VALUE"""),"0935 421 411")</f>
        <v>0935 421 411</v>
      </c>
      <c r="B5940" s="119" t="str">
        <f>IFERROR(__xludf.DUMMYFUNCTION("""COMPUTED_VALUE"""),"Anh Tuấn")</f>
        <v>Anh Tuấn</v>
      </c>
      <c r="C5940" s="119" t="str">
        <f>IFERROR(__xludf.DUMMYFUNCTION("""COMPUTED_VALUE"""),"83 Lý Nam Đế")</f>
        <v>83 Lý Nam Đế</v>
      </c>
      <c r="D5940" s="119" t="str">
        <f>IFERROR(__xludf.DUMMYFUNCTION("""COMPUTED_VALUE"""),"Chó")</f>
        <v>Chó</v>
      </c>
      <c r="E5940" s="119" t="str">
        <f>IFERROR(__xludf.DUMMYFUNCTION("""COMPUTED_VALUE"""),"suti")</f>
        <v>suti</v>
      </c>
    </row>
    <row r="5941" ht="15.75" customHeight="1">
      <c r="A5941" s="122" t="str">
        <f>IFERROR(__xludf.DUMMYFUNCTION("""COMPUTED_VALUE"""),"0787 775 775")</f>
        <v>0787 775 775</v>
      </c>
      <c r="B5941" s="119" t="str">
        <f>IFERROR(__xludf.DUMMYFUNCTION("""COMPUTED_VALUE"""),"Chị Hiền")</f>
        <v>Chị Hiền</v>
      </c>
      <c r="C5941" s="119" t="str">
        <f>IFERROR(__xludf.DUMMYFUNCTION("""COMPUTED_VALUE"""),"13/56 Duy Tân")</f>
        <v>13/56 Duy Tân</v>
      </c>
      <c r="D5941" s="119" t="str">
        <f>IFERROR(__xludf.DUMMYFUNCTION("""COMPUTED_VALUE"""),"mèo")</f>
        <v>mèo</v>
      </c>
      <c r="E5941" s="119" t="str">
        <f>IFERROR(__xludf.DUMMYFUNCTION("""COMPUTED_VALUE"""),"Mướp")</f>
        <v>Mướp</v>
      </c>
    </row>
    <row r="5942" ht="15.75" customHeight="1">
      <c r="A5942" s="122" t="str">
        <f>IFERROR(__xludf.DUMMYFUNCTION("""COMPUTED_VALUE"""),"0935 496 296")</f>
        <v>0935 496 296</v>
      </c>
      <c r="B5942" s="119" t="str">
        <f>IFERROR(__xludf.DUMMYFUNCTION("""COMPUTED_VALUE"""),"Trần Võ Ty Na")</f>
        <v>Trần Võ Ty Na</v>
      </c>
      <c r="C5942" s="119" t="str">
        <f>IFERROR(__xludf.DUMMYFUNCTION("""COMPUTED_VALUE"""),"Kèm 9 kiệt 14 nhà số 4 Đường An Ninh")</f>
        <v>Kèm 9 kiệt 14 nhà số 4 Đường An Ninh</v>
      </c>
      <c r="D5942" s="119" t="str">
        <f>IFERROR(__xludf.DUMMYFUNCTION("""COMPUTED_VALUE"""),"chó")</f>
        <v>chó</v>
      </c>
      <c r="E5942" s="119"/>
    </row>
    <row r="5943" ht="15.75" customHeight="1">
      <c r="A5943" s="122" t="str">
        <f>IFERROR(__xludf.DUMMYFUNCTION("""COMPUTED_VALUE"""),"0393 405 098")</f>
        <v>0393 405 098</v>
      </c>
      <c r="B5943" s="119" t="str">
        <f>IFERROR(__xludf.DUMMYFUNCTION("""COMPUTED_VALUE"""),"Anh Huỳnh Đình Tâm")</f>
        <v>Anh Huỳnh Đình Tâm</v>
      </c>
      <c r="C5943" s="119" t="str">
        <f>IFERROR(__xludf.DUMMYFUNCTION("""COMPUTED_VALUE"""),"Hương Hồ")</f>
        <v>Hương Hồ</v>
      </c>
      <c r="D5943" s="119" t="str">
        <f>IFERROR(__xludf.DUMMYFUNCTION("""COMPUTED_VALUE"""),"Chó")</f>
        <v>Chó</v>
      </c>
      <c r="E5943" s="119" t="str">
        <f>IFERROR(__xludf.DUMMYFUNCTION("""COMPUTED_VALUE"""),"Bi")</f>
        <v>Bi</v>
      </c>
    </row>
    <row r="5944" ht="15.75" customHeight="1">
      <c r="A5944" s="122" t="str">
        <f>IFERROR(__xludf.DUMMYFUNCTION("""COMPUTED_VALUE"""),"0394 691 665")</f>
        <v>0394 691 665</v>
      </c>
      <c r="B5944" s="119" t="str">
        <f>IFERROR(__xludf.DUMMYFUNCTION("""COMPUTED_VALUE"""),"Anh Đê")</f>
        <v>Anh Đê</v>
      </c>
      <c r="C5944" s="119" t="str">
        <f>IFERROR(__xludf.DUMMYFUNCTION("""COMPUTED_VALUE"""),"Hải Dương")</f>
        <v>Hải Dương</v>
      </c>
      <c r="D5944" s="119" t="str">
        <f>IFERROR(__xludf.DUMMYFUNCTION("""COMPUTED_VALUE"""),"Chó")</f>
        <v>Chó</v>
      </c>
      <c r="E5944" s="119"/>
    </row>
    <row r="5945" ht="15.75" customHeight="1">
      <c r="A5945" s="122" t="str">
        <f>IFERROR(__xludf.DUMMYFUNCTION("""COMPUTED_VALUE"""),"0954 070 273")</f>
        <v>0954 070 273</v>
      </c>
      <c r="B5945" s="119" t="str">
        <f>IFERROR(__xludf.DUMMYFUNCTION("""COMPUTED_VALUE"""),"Anh Nhật")</f>
        <v>Anh Nhật</v>
      </c>
      <c r="C5945" s="119" t="str">
        <f>IFERROR(__xludf.DUMMYFUNCTION("""COMPUTED_VALUE"""),"9/8/11 Nguyễn Phúc Lan")</f>
        <v>9/8/11 Nguyễn Phúc Lan</v>
      </c>
      <c r="D5945" s="119" t="str">
        <f>IFERROR(__xludf.DUMMYFUNCTION("""COMPUTED_VALUE"""),"Chó")</f>
        <v>Chó</v>
      </c>
      <c r="E5945" s="119"/>
    </row>
    <row r="5946" ht="15.75" customHeight="1">
      <c r="A5946" s="122" t="str">
        <f>IFERROR(__xludf.DUMMYFUNCTION("""COMPUTED_VALUE"""),"0345 771 691")</f>
        <v>0345 771 691</v>
      </c>
      <c r="B5946" s="119" t="str">
        <f>IFERROR(__xludf.DUMMYFUNCTION("""COMPUTED_VALUE"""),"Chị Trâm")</f>
        <v>Chị Trâm</v>
      </c>
      <c r="C5946" s="119" t="str">
        <f>IFERROR(__xludf.DUMMYFUNCTION("""COMPUTED_VALUE"""),"Hải Thế Hải Phong Phong Điền")</f>
        <v>Hải Thế Hải Phong Phong Điền</v>
      </c>
      <c r="D5946" s="119" t="str">
        <f>IFERROR(__xludf.DUMMYFUNCTION("""COMPUTED_VALUE"""),"Chó")</f>
        <v>Chó</v>
      </c>
      <c r="E5946" s="119" t="str">
        <f>IFERROR(__xludf.DUMMYFUNCTION("""COMPUTED_VALUE"""),"Sóc")</f>
        <v>Sóc</v>
      </c>
    </row>
    <row r="5947" ht="15.75" customHeight="1">
      <c r="A5947" s="122" t="str">
        <f>IFERROR(__xludf.DUMMYFUNCTION("""COMPUTED_VALUE"""),"0888 878 668")</f>
        <v>0888 878 668</v>
      </c>
      <c r="B5947" s="119" t="str">
        <f>IFERROR(__xludf.DUMMYFUNCTION("""COMPUTED_VALUE"""),"Thầy Thái Tâm")</f>
        <v>Thầy Thái Tâm</v>
      </c>
      <c r="C5947" s="119" t="str">
        <f>IFERROR(__xludf.DUMMYFUNCTION("""COMPUTED_VALUE"""),"53 Long Hồ")</f>
        <v>53 Long Hồ</v>
      </c>
      <c r="D5947" s="119" t="str">
        <f>IFERROR(__xludf.DUMMYFUNCTION("""COMPUTED_VALUE"""),"Chó")</f>
        <v>Chó</v>
      </c>
      <c r="E5947" s="119" t="str">
        <f>IFERROR(__xludf.DUMMYFUNCTION("""COMPUTED_VALUE"""),"Bun")</f>
        <v>Bun</v>
      </c>
    </row>
    <row r="5948" ht="15.75" customHeight="1">
      <c r="A5948" s="122" t="str">
        <f>IFERROR(__xludf.DUMMYFUNCTION("""COMPUTED_VALUE"""),"0968 259 103")</f>
        <v>0968 259 103</v>
      </c>
      <c r="B5948" s="119" t="str">
        <f>IFERROR(__xludf.DUMMYFUNCTION("""COMPUTED_VALUE"""),"Nguyễn Thị Lan")</f>
        <v>Nguyễn Thị Lan</v>
      </c>
      <c r="C5948" s="119" t="str">
        <f>IFERROR(__xludf.DUMMYFUNCTION("""COMPUTED_VALUE"""),"Thuỷ Bùi")</f>
        <v>Thuỷ Bùi</v>
      </c>
      <c r="D5948" s="119" t="str">
        <f>IFERROR(__xludf.DUMMYFUNCTION("""COMPUTED_VALUE"""),"Chó")</f>
        <v>Chó</v>
      </c>
      <c r="E5948" s="119" t="str">
        <f>IFERROR(__xludf.DUMMYFUNCTION("""COMPUTED_VALUE"""),"Sóc")</f>
        <v>Sóc</v>
      </c>
    </row>
    <row r="5949" ht="15.75" customHeight="1">
      <c r="A5949" s="122" t="str">
        <f>IFERROR(__xludf.DUMMYFUNCTION("""COMPUTED_VALUE"""),"0355 256 789")</f>
        <v>0355 256 789</v>
      </c>
      <c r="B5949" s="119" t="str">
        <f>IFERROR(__xludf.DUMMYFUNCTION("""COMPUTED_VALUE"""),"Chị Hà")</f>
        <v>Chị Hà</v>
      </c>
      <c r="C5949" s="119" t="str">
        <f>IFERROR(__xludf.DUMMYFUNCTION("""COMPUTED_VALUE"""),"KQH Vịnh Mộc")</f>
        <v>KQH Vịnh Mộc</v>
      </c>
      <c r="D5949" s="119" t="str">
        <f>IFERROR(__xludf.DUMMYFUNCTION("""COMPUTED_VALUE"""),"Chó")</f>
        <v>Chó</v>
      </c>
      <c r="E5949" s="119" t="str">
        <f>IFERROR(__xludf.DUMMYFUNCTION("""COMPUTED_VALUE"""),"Bơ")</f>
        <v>Bơ</v>
      </c>
    </row>
    <row r="5950" ht="15.75" customHeight="1">
      <c r="A5950" s="122" t="str">
        <f>IFERROR(__xludf.DUMMYFUNCTION("""COMPUTED_VALUE"""),"0368 467 750")</f>
        <v>0368 467 750</v>
      </c>
      <c r="B5950" s="119" t="str">
        <f>IFERROR(__xludf.DUMMYFUNCTION("""COMPUTED_VALUE"""),"Tôn NữThị Thơm")</f>
        <v>Tôn NữThị Thơm</v>
      </c>
      <c r="C5950" s="119" t="str">
        <f>IFERROR(__xludf.DUMMYFUNCTION("""COMPUTED_VALUE"""),"Tổ 1 Hương hồ")</f>
        <v>Tổ 1 Hương hồ</v>
      </c>
      <c r="D5950" s="119" t="str">
        <f>IFERROR(__xludf.DUMMYFUNCTION("""COMPUTED_VALUE"""),"Chó")</f>
        <v>Chó</v>
      </c>
      <c r="E5950" s="119" t="str">
        <f>IFERROR(__xludf.DUMMYFUNCTION("""COMPUTED_VALUE"""),"Đen")</f>
        <v>Đen</v>
      </c>
    </row>
    <row r="5951" ht="15.75" customHeight="1">
      <c r="A5951" s="122" t="str">
        <f>IFERROR(__xludf.DUMMYFUNCTION("""COMPUTED_VALUE"""),"0917 178 352")</f>
        <v>0917 178 352</v>
      </c>
      <c r="B5951" s="119" t="str">
        <f>IFERROR(__xludf.DUMMYFUNCTION("""COMPUTED_VALUE"""),"Anh An")</f>
        <v>Anh An</v>
      </c>
      <c r="C5951" s="119" t="str">
        <f>IFERROR(__xludf.DUMMYFUNCTION("""COMPUTED_VALUE"""),"190 Trần Phú")</f>
        <v>190 Trần Phú</v>
      </c>
      <c r="D5951" s="119" t="str">
        <f>IFERROR(__xludf.DUMMYFUNCTION("""COMPUTED_VALUE"""),"Chó")</f>
        <v>Chó</v>
      </c>
      <c r="E5951" s="119" t="str">
        <f>IFERROR(__xludf.DUMMYFUNCTION("""COMPUTED_VALUE"""),"Rốt")</f>
        <v>Rốt</v>
      </c>
    </row>
    <row r="5952" ht="15.75" customHeight="1">
      <c r="A5952" s="122" t="str">
        <f>IFERROR(__xludf.DUMMYFUNCTION("""COMPUTED_VALUE"""),"0969 446 862")</f>
        <v>0969 446 862</v>
      </c>
      <c r="B5952" s="119" t="str">
        <f>IFERROR(__xludf.DUMMYFUNCTION("""COMPUTED_VALUE"""),"Chị My")</f>
        <v>Chị My</v>
      </c>
      <c r="C5952" s="119" t="str">
        <f>IFERROR(__xludf.DUMMYFUNCTION("""COMPUTED_VALUE"""),"An Hoà")</f>
        <v>An Hoà</v>
      </c>
      <c r="D5952" s="119" t="str">
        <f>IFERROR(__xludf.DUMMYFUNCTION("""COMPUTED_VALUE"""),"Chó")</f>
        <v>Chó</v>
      </c>
      <c r="E5952" s="119" t="str">
        <f>IFERROR(__xludf.DUMMYFUNCTION("""COMPUTED_VALUE"""),"Bắp")</f>
        <v>Bắp</v>
      </c>
    </row>
    <row r="5953" ht="15.75" customHeight="1">
      <c r="A5953" s="122" t="str">
        <f>IFERROR(__xludf.DUMMYFUNCTION("""COMPUTED_VALUE"""),"0932 497 649")</f>
        <v>0932 497 649</v>
      </c>
      <c r="B5953" s="119" t="str">
        <f>IFERROR(__xludf.DUMMYFUNCTION("""COMPUTED_VALUE"""),"Chị Liên")</f>
        <v>Chị Liên</v>
      </c>
      <c r="C5953" s="119" t="str">
        <f>IFERROR(__xludf.DUMMYFUNCTION("""COMPUTED_VALUE"""),"Mang Cá Nhỏ")</f>
        <v>Mang Cá Nhỏ</v>
      </c>
      <c r="D5953" s="119" t="str">
        <f>IFERROR(__xludf.DUMMYFUNCTION("""COMPUTED_VALUE"""),"Chó")</f>
        <v>Chó</v>
      </c>
      <c r="E5953" s="119" t="str">
        <f>IFERROR(__xludf.DUMMYFUNCTION("""COMPUTED_VALUE"""),"Chó con")</f>
        <v>Chó con</v>
      </c>
    </row>
    <row r="5954" ht="15.75" customHeight="1">
      <c r="A5954" s="122" t="str">
        <f>IFERROR(__xludf.DUMMYFUNCTION("""COMPUTED_VALUE"""),"0825 082 595")</f>
        <v>0825 082 595</v>
      </c>
      <c r="B5954" s="119" t="str">
        <f>IFERROR(__xludf.DUMMYFUNCTION("""COMPUTED_VALUE"""),"Anh Nhân")</f>
        <v>Anh Nhân</v>
      </c>
      <c r="C5954" s="119" t="str">
        <f>IFERROR(__xludf.DUMMYFUNCTION("""COMPUTED_VALUE"""),"101 Thái Phiên")</f>
        <v>101 Thái Phiên</v>
      </c>
      <c r="D5954" s="119" t="str">
        <f>IFERROR(__xludf.DUMMYFUNCTION("""COMPUTED_VALUE"""),"Chó")</f>
        <v>Chó</v>
      </c>
      <c r="E5954" s="119" t="str">
        <f>IFERROR(__xludf.DUMMYFUNCTION("""COMPUTED_VALUE"""),"Sam")</f>
        <v>Sam</v>
      </c>
    </row>
    <row r="5955" ht="15.75" customHeight="1">
      <c r="A5955" s="122" t="str">
        <f>IFERROR(__xludf.DUMMYFUNCTION("""COMPUTED_VALUE"""),"0818 792 319")</f>
        <v>0818 792 319</v>
      </c>
      <c r="B5955" s="119" t="str">
        <f>IFERROR(__xludf.DUMMYFUNCTION("""COMPUTED_VALUE"""),"Lê Thị Hạnh")</f>
        <v>Lê Thị Hạnh</v>
      </c>
      <c r="C5955" s="119" t="str">
        <f>IFERROR(__xludf.DUMMYFUNCTION("""COMPUTED_VALUE"""),"240/67 Lý Nam Đế")</f>
        <v>240/67 Lý Nam Đế</v>
      </c>
      <c r="D5955" s="119" t="str">
        <f>IFERROR(__xludf.DUMMYFUNCTION("""COMPUTED_VALUE"""),"Mèo")</f>
        <v>Mèo</v>
      </c>
      <c r="E5955" s="119" t="str">
        <f>IFERROR(__xludf.DUMMYFUNCTION("""COMPUTED_VALUE"""),"Bét")</f>
        <v>Bét</v>
      </c>
    </row>
    <row r="5956" ht="15.75" customHeight="1">
      <c r="A5956" s="122" t="str">
        <f>IFERROR(__xludf.DUMMYFUNCTION("""COMPUTED_VALUE"""),"0914 019 169")</f>
        <v>0914 019 169</v>
      </c>
      <c r="B5956" s="119" t="str">
        <f>IFERROR(__xludf.DUMMYFUNCTION("""COMPUTED_VALUE"""),"Anh Thanh")</f>
        <v>Anh Thanh</v>
      </c>
      <c r="C5956" s="119" t="str">
        <f>IFERROR(__xludf.DUMMYFUNCTION("""COMPUTED_VALUE"""),"128 Phạm Thị Liên")</f>
        <v>128 Phạm Thị Liên</v>
      </c>
      <c r="D5956" s="119" t="str">
        <f>IFERROR(__xludf.DUMMYFUNCTION("""COMPUTED_VALUE"""),"Chó")</f>
        <v>Chó</v>
      </c>
      <c r="E5956" s="119" t="str">
        <f>IFERROR(__xludf.DUMMYFUNCTION("""COMPUTED_VALUE"""),"Soái")</f>
        <v>Soái</v>
      </c>
    </row>
    <row r="5957" ht="15.75" customHeight="1">
      <c r="A5957" s="122" t="str">
        <f>IFERROR(__xludf.DUMMYFUNCTION("""COMPUTED_VALUE"""),"0912 063 318")</f>
        <v>0912 063 318</v>
      </c>
      <c r="B5957" s="119" t="str">
        <f>IFERROR(__xludf.DUMMYFUNCTION("""COMPUTED_VALUE"""),"chú Tuyến")</f>
        <v>chú Tuyến</v>
      </c>
      <c r="C5957" s="119" t="str">
        <f>IFERROR(__xludf.DUMMYFUNCTION("""COMPUTED_VALUE"""),"49 Phạm Tu")</f>
        <v>49 Phạm Tu</v>
      </c>
      <c r="D5957" s="119" t="str">
        <f>IFERROR(__xludf.DUMMYFUNCTION("""COMPUTED_VALUE"""),"Chó")</f>
        <v>Chó</v>
      </c>
      <c r="E5957" s="119" t="str">
        <f>IFERROR(__xludf.DUMMYFUNCTION("""COMPUTED_VALUE"""),"Lulu")</f>
        <v>Lulu</v>
      </c>
    </row>
    <row r="5958" ht="15.75" customHeight="1">
      <c r="A5958" s="122" t="str">
        <f>IFERROR(__xludf.DUMMYFUNCTION("""COMPUTED_VALUE"""),"0935 657 702")</f>
        <v>0935 657 702</v>
      </c>
      <c r="B5958" s="119" t="str">
        <f>IFERROR(__xludf.DUMMYFUNCTION("""COMPUTED_VALUE"""),"Thanh Hằng")</f>
        <v>Thanh Hằng</v>
      </c>
      <c r="C5958" s="119" t="str">
        <f>IFERROR(__xludf.DUMMYFUNCTION("""COMPUTED_VALUE"""),"30/17 Phạm Thị Liên")</f>
        <v>30/17 Phạm Thị Liên</v>
      </c>
      <c r="D5958" s="119" t="str">
        <f>IFERROR(__xludf.DUMMYFUNCTION("""COMPUTED_VALUE"""),"Chó")</f>
        <v>Chó</v>
      </c>
      <c r="E5958" s="119" t="str">
        <f>IFERROR(__xludf.DUMMYFUNCTION("""COMPUTED_VALUE"""),"Tỏi")</f>
        <v>Tỏi</v>
      </c>
    </row>
    <row r="5959" ht="15.75" customHeight="1">
      <c r="A5959" s="122" t="str">
        <f>IFERROR(__xludf.DUMMYFUNCTION("""COMPUTED_VALUE"""),"0935 448 958")</f>
        <v>0935 448 958</v>
      </c>
      <c r="B5959" s="119" t="str">
        <f>IFERROR(__xludf.DUMMYFUNCTION("""COMPUTED_VALUE"""),"anh Quãng")</f>
        <v>anh Quãng</v>
      </c>
      <c r="C5959" s="119" t="str">
        <f>IFERROR(__xludf.DUMMYFUNCTION("""COMPUTED_VALUE"""),"tổ 10 p thuỷ Xuân")</f>
        <v>tổ 10 p thuỷ Xuân</v>
      </c>
      <c r="D5959" s="119" t="str">
        <f>IFERROR(__xludf.DUMMYFUNCTION("""COMPUTED_VALUE"""),"Chó")</f>
        <v>Chó</v>
      </c>
      <c r="E5959" s="119" t="str">
        <f>IFERROR(__xludf.DUMMYFUNCTION("""COMPUTED_VALUE"""),"Lu")</f>
        <v>Lu</v>
      </c>
    </row>
    <row r="5960" ht="15.75" customHeight="1">
      <c r="A5960" s="122" t="str">
        <f>IFERROR(__xludf.DUMMYFUNCTION("""COMPUTED_VALUE"""),"0866 119 692")</f>
        <v>0866 119 692</v>
      </c>
      <c r="B5960" s="119" t="str">
        <f>IFERROR(__xludf.DUMMYFUNCTION("""COMPUTED_VALUE"""),"Em Khánh Linh")</f>
        <v>Em Khánh Linh</v>
      </c>
      <c r="C5960" s="119" t="str">
        <f>IFERROR(__xludf.DUMMYFUNCTION("""COMPUTED_VALUE"""),"2/32 Nguyễn Phúc Chu")</f>
        <v>2/32 Nguyễn Phúc Chu</v>
      </c>
      <c r="D5960" s="119" t="str">
        <f>IFERROR(__xludf.DUMMYFUNCTION("""COMPUTED_VALUE"""),"Mèo")</f>
        <v>Mèo</v>
      </c>
      <c r="E5960" s="119" t="str">
        <f>IFERROR(__xludf.DUMMYFUNCTION("""COMPUTED_VALUE"""),"Cá")</f>
        <v>Cá</v>
      </c>
    </row>
    <row r="5961" ht="15.75" customHeight="1">
      <c r="A5961" s="122" t="str">
        <f>IFERROR(__xludf.DUMMYFUNCTION("""COMPUTED_VALUE"""),"0986 527 420")</f>
        <v>0986 527 420</v>
      </c>
      <c r="B5961" s="119" t="str">
        <f>IFERROR(__xludf.DUMMYFUNCTION("""COMPUTED_VALUE"""),"Dì Hương")</f>
        <v>Dì Hương</v>
      </c>
      <c r="C5961" s="119" t="str">
        <f>IFERROR(__xludf.DUMMYFUNCTION("""COMPUTED_VALUE"""),"Nhật Lệ")</f>
        <v>Nhật Lệ</v>
      </c>
      <c r="D5961" s="119" t="str">
        <f>IFERROR(__xludf.DUMMYFUNCTION("""COMPUTED_VALUE"""),"chó")</f>
        <v>chó</v>
      </c>
      <c r="E5961" s="119" t="str">
        <f>IFERROR(__xludf.DUMMYFUNCTION("""COMPUTED_VALUE"""),"Sam")</f>
        <v>Sam</v>
      </c>
    </row>
    <row r="5962" ht="15.75" customHeight="1">
      <c r="A5962" s="122" t="str">
        <f>IFERROR(__xludf.DUMMYFUNCTION("""COMPUTED_VALUE"""),"0935 434 473")</f>
        <v>0935 434 473</v>
      </c>
      <c r="B5962" s="119" t="str">
        <f>IFERROR(__xludf.DUMMYFUNCTION("""COMPUTED_VALUE"""),"Anh Nho")</f>
        <v>Anh Nho</v>
      </c>
      <c r="C5962" s="119"/>
      <c r="D5962" s="119" t="str">
        <f>IFERROR(__xludf.DUMMYFUNCTION("""COMPUTED_VALUE"""),"Chó")</f>
        <v>Chó</v>
      </c>
      <c r="E5962" s="119" t="str">
        <f>IFERROR(__xludf.DUMMYFUNCTION("""COMPUTED_VALUE"""),"Bi")</f>
        <v>Bi</v>
      </c>
    </row>
    <row r="5963" ht="15.75" customHeight="1">
      <c r="A5963" s="122" t="str">
        <f>IFERROR(__xludf.DUMMYFUNCTION("""COMPUTED_VALUE"""),"0898 231 303")</f>
        <v>0898 231 303</v>
      </c>
      <c r="B5963" s="119" t="str">
        <f>IFERROR(__xludf.DUMMYFUNCTION("""COMPUTED_VALUE"""),"Chị Dung")</f>
        <v>Chị Dung</v>
      </c>
      <c r="C5963" s="119" t="str">
        <f>IFERROR(__xludf.DUMMYFUNCTION("""COMPUTED_VALUE"""),"104/37 Kim Long")</f>
        <v>104/37 Kim Long</v>
      </c>
      <c r="D5963" s="119" t="str">
        <f>IFERROR(__xludf.DUMMYFUNCTION("""COMPUTED_VALUE"""),"Chó")</f>
        <v>Chó</v>
      </c>
      <c r="E5963" s="119" t="str">
        <f>IFERROR(__xludf.DUMMYFUNCTION("""COMPUTED_VALUE"""),"Bun")</f>
        <v>Bun</v>
      </c>
    </row>
    <row r="5964" ht="15.75" customHeight="1">
      <c r="A5964" s="122" t="str">
        <f>IFERROR(__xludf.DUMMYFUNCTION("""COMPUTED_VALUE"""),"0914 415 890")</f>
        <v>0914 415 890</v>
      </c>
      <c r="B5964" s="119" t="str">
        <f>IFERROR(__xludf.DUMMYFUNCTION("""COMPUTED_VALUE"""),"Dì Tú")</f>
        <v>Dì Tú</v>
      </c>
      <c r="C5964" s="119" t="str">
        <f>IFERROR(__xludf.DUMMYFUNCTION("""COMPUTED_VALUE"""),"12/12 Nguyễn Phúc Nguyên")</f>
        <v>12/12 Nguyễn Phúc Nguyên</v>
      </c>
      <c r="D5964" s="119" t="str">
        <f>IFERROR(__xludf.DUMMYFUNCTION("""COMPUTED_VALUE"""),"Chó")</f>
        <v>Chó</v>
      </c>
      <c r="E5964" s="119" t="str">
        <f>IFERROR(__xludf.DUMMYFUNCTION("""COMPUTED_VALUE"""),"Vịt")</f>
        <v>Vịt</v>
      </c>
    </row>
    <row r="5965" ht="15.75" customHeight="1">
      <c r="A5965" s="122" t="str">
        <f>IFERROR(__xludf.DUMMYFUNCTION("""COMPUTED_VALUE"""),"0936 050 223")</f>
        <v>0936 050 223</v>
      </c>
      <c r="B5965" s="119" t="str">
        <f>IFERROR(__xludf.DUMMYFUNCTION("""COMPUTED_VALUE"""),"Anh Quân")</f>
        <v>Anh Quân</v>
      </c>
      <c r="C5965" s="119" t="str">
        <f>IFERROR(__xludf.DUMMYFUNCTION("""COMPUTED_VALUE"""),"125 Long Hồ")</f>
        <v>125 Long Hồ</v>
      </c>
      <c r="D5965" s="119" t="str">
        <f>IFERROR(__xludf.DUMMYFUNCTION("""COMPUTED_VALUE"""),"Chó")</f>
        <v>Chó</v>
      </c>
      <c r="E5965" s="119" t="str">
        <f>IFERROR(__xludf.DUMMYFUNCTION("""COMPUTED_VALUE"""),"Sam")</f>
        <v>Sam</v>
      </c>
    </row>
    <row r="5966" ht="15.75" customHeight="1">
      <c r="A5966" s="122" t="str">
        <f>IFERROR(__xludf.DUMMYFUNCTION("""COMPUTED_VALUE"""),"0794 970 168")</f>
        <v>0794 970 168</v>
      </c>
      <c r="B5966" s="119" t="str">
        <f>IFERROR(__xludf.DUMMYFUNCTION("""COMPUTED_VALUE"""),"Chị Thanh Lam")</f>
        <v>Chị Thanh Lam</v>
      </c>
      <c r="C5966" s="119" t="str">
        <f>IFERROR(__xludf.DUMMYFUNCTION("""COMPUTED_VALUE"""),"171 Bùi Thị Xuân")</f>
        <v>171 Bùi Thị Xuân</v>
      </c>
      <c r="D5966" s="119" t="str">
        <f>IFERROR(__xludf.DUMMYFUNCTION("""COMPUTED_VALUE"""),"Chó")</f>
        <v>Chó</v>
      </c>
      <c r="E5966" s="119" t="str">
        <f>IFERROR(__xludf.DUMMYFUNCTION("""COMPUTED_VALUE"""),"Mít")</f>
        <v>Mít</v>
      </c>
    </row>
    <row r="5967" ht="15.75" customHeight="1">
      <c r="A5967" s="122" t="str">
        <f>IFERROR(__xludf.DUMMYFUNCTION("""COMPUTED_VALUE"""),"0364 842 738")</f>
        <v>0364 842 738</v>
      </c>
      <c r="B5967" s="119" t="str">
        <f>IFERROR(__xludf.DUMMYFUNCTION("""COMPUTED_VALUE"""),"Đoàn Thị Ngọc")</f>
        <v>Đoàn Thị Ngọc</v>
      </c>
      <c r="C5967" s="119" t="str">
        <f>IFERROR(__xludf.DUMMYFUNCTION("""COMPUTED_VALUE"""),"Lô C 67 Sư Vạn Hạnh")</f>
        <v>Lô C 67 Sư Vạn Hạnh</v>
      </c>
      <c r="D5967" s="119" t="str">
        <f>IFERROR(__xludf.DUMMYFUNCTION("""COMPUTED_VALUE"""),"Mèo")</f>
        <v>Mèo</v>
      </c>
      <c r="E5967" s="119" t="str">
        <f>IFERROR(__xludf.DUMMYFUNCTION("""COMPUTED_VALUE"""),"Mèo")</f>
        <v>Mèo</v>
      </c>
    </row>
    <row r="5968" ht="15.75" customHeight="1">
      <c r="A5968" s="122" t="str">
        <f>IFERROR(__xludf.DUMMYFUNCTION("""COMPUTED_VALUE"""),"0961 003 512")</f>
        <v>0961 003 512</v>
      </c>
      <c r="B5968" s="119" t="str">
        <f>IFERROR(__xludf.DUMMYFUNCTION("""COMPUTED_VALUE"""),"Anh Tín")</f>
        <v>Anh Tín</v>
      </c>
      <c r="C5968" s="119" t="str">
        <f>IFERROR(__xludf.DUMMYFUNCTION("""COMPUTED_VALUE"""),"100 Nguyễn Hữu Dực")</f>
        <v>100 Nguyễn Hữu Dực</v>
      </c>
      <c r="D5968" s="119" t="str">
        <f>IFERROR(__xludf.DUMMYFUNCTION("""COMPUTED_VALUE"""),"Chó")</f>
        <v>Chó</v>
      </c>
      <c r="E5968" s="119" t="str">
        <f>IFERROR(__xludf.DUMMYFUNCTION("""COMPUTED_VALUE"""),"Gấu")</f>
        <v>Gấu</v>
      </c>
    </row>
    <row r="5969" ht="15.75" customHeight="1">
      <c r="A5969" s="122" t="str">
        <f>IFERROR(__xludf.DUMMYFUNCTION("""COMPUTED_VALUE"""),"0772 919 339")</f>
        <v>0772 919 339</v>
      </c>
      <c r="B5969" s="119" t="str">
        <f>IFERROR(__xludf.DUMMYFUNCTION("""COMPUTED_VALUE"""),"Anh Quang")</f>
        <v>Anh Quang</v>
      </c>
      <c r="C5969" s="119" t="str">
        <f>IFERROR(__xludf.DUMMYFUNCTION("""COMPUTED_VALUE"""),"Bao Vinh")</f>
        <v>Bao Vinh</v>
      </c>
      <c r="D5969" s="119" t="str">
        <f>IFERROR(__xludf.DUMMYFUNCTION("""COMPUTED_VALUE"""),"Chó")</f>
        <v>Chó</v>
      </c>
      <c r="E5969" s="119" t="str">
        <f>IFERROR(__xludf.DUMMYFUNCTION("""COMPUTED_VALUE"""),"Bắp")</f>
        <v>Bắp</v>
      </c>
    </row>
    <row r="5970" ht="15.75" customHeight="1">
      <c r="A5970" s="122" t="str">
        <f>IFERROR(__xludf.DUMMYFUNCTION("""COMPUTED_VALUE"""),"0913 426 135")</f>
        <v>0913 426 135</v>
      </c>
      <c r="B5970" s="119" t="str">
        <f>IFERROR(__xludf.DUMMYFUNCTION("""COMPUTED_VALUE"""),"Chị Thanh")</f>
        <v>Chị Thanh</v>
      </c>
      <c r="C5970" s="119" t="str">
        <f>IFERROR(__xludf.DUMMYFUNCTION("""COMPUTED_VALUE"""),"161 Bùi Thị Xuân")</f>
        <v>161 Bùi Thị Xuân</v>
      </c>
      <c r="D5970" s="119" t="str">
        <f>IFERROR(__xludf.DUMMYFUNCTION("""COMPUTED_VALUE"""),"Mèo")</f>
        <v>Mèo</v>
      </c>
      <c r="E5970" s="119" t="str">
        <f>IFERROR(__xludf.DUMMYFUNCTION("""COMPUTED_VALUE"""),"May")</f>
        <v>May</v>
      </c>
    </row>
    <row r="5971" ht="15.75" customHeight="1">
      <c r="A5971" s="122" t="str">
        <f>IFERROR(__xludf.DUMMYFUNCTION("""COMPUTED_VALUE"""),"0965 880 093")</f>
        <v>0965 880 093</v>
      </c>
      <c r="B5971" s="119" t="str">
        <f>IFERROR(__xludf.DUMMYFUNCTION("""COMPUTED_VALUE"""),"Nguyễn Văn Vũ")</f>
        <v>Nguyễn Văn Vũ</v>
      </c>
      <c r="C5971" s="119" t="str">
        <f>IFERROR(__xludf.DUMMYFUNCTION("""COMPUTED_VALUE"""),"3 Nguyễn Phúc Thụ")</f>
        <v>3 Nguyễn Phúc Thụ</v>
      </c>
      <c r="D5971" s="119" t="str">
        <f>IFERROR(__xludf.DUMMYFUNCTION("""COMPUTED_VALUE"""),"Chó")</f>
        <v>Chó</v>
      </c>
      <c r="E5971" s="119" t="str">
        <f>IFERROR(__xludf.DUMMYFUNCTION("""COMPUTED_VALUE"""),"Lắc")</f>
        <v>Lắc</v>
      </c>
    </row>
    <row r="5972" ht="15.75" customHeight="1">
      <c r="A5972" s="122" t="str">
        <f>IFERROR(__xludf.DUMMYFUNCTION("""COMPUTED_VALUE"""),"0948 513 095")</f>
        <v>0948 513 095</v>
      </c>
      <c r="B5972" s="119" t="str">
        <f>IFERROR(__xludf.DUMMYFUNCTION("""COMPUTED_VALUE"""),"Anh Sỹ")</f>
        <v>Anh Sỹ</v>
      </c>
      <c r="C5972" s="119" t="str">
        <f>IFERROR(__xludf.DUMMYFUNCTION("""COMPUTED_VALUE"""),"4/42 Nguyễn Công Trứ")</f>
        <v>4/42 Nguyễn Công Trứ</v>
      </c>
      <c r="D5972" s="119" t="str">
        <f>IFERROR(__xludf.DUMMYFUNCTION("""COMPUTED_VALUE"""),"Chó")</f>
        <v>Chó</v>
      </c>
      <c r="E5972" s="119" t="str">
        <f>IFERROR(__xludf.DUMMYFUNCTION("""COMPUTED_VALUE"""),"Sang")</f>
        <v>Sang</v>
      </c>
    </row>
    <row r="5973" ht="15.75" customHeight="1">
      <c r="A5973" s="122" t="str">
        <f>IFERROR(__xludf.DUMMYFUNCTION("""COMPUTED_VALUE"""),"0934 758 432")</f>
        <v>0934 758 432</v>
      </c>
      <c r="B5973" s="119" t="str">
        <f>IFERROR(__xludf.DUMMYFUNCTION("""COMPUTED_VALUE"""),"Lê Quang Hào")</f>
        <v>Lê Quang Hào</v>
      </c>
      <c r="C5973" s="119" t="str">
        <f>IFERROR(__xludf.DUMMYFUNCTION("""COMPUTED_VALUE"""),"3/10 Lý Nam Đế")</f>
        <v>3/10 Lý Nam Đế</v>
      </c>
      <c r="D5973" s="119" t="str">
        <f>IFERROR(__xludf.DUMMYFUNCTION("""COMPUTED_VALUE"""),"Chó")</f>
        <v>Chó</v>
      </c>
      <c r="E5973" s="119" t="str">
        <f>IFERROR(__xludf.DUMMYFUNCTION("""COMPUTED_VALUE"""),"Lẫn")</f>
        <v>Lẫn</v>
      </c>
    </row>
    <row r="5974" ht="15.75" customHeight="1">
      <c r="A5974" s="122" t="str">
        <f>IFERROR(__xludf.DUMMYFUNCTION("""COMPUTED_VALUE"""),"0935 000 121")</f>
        <v>0935 000 121</v>
      </c>
      <c r="B5974" s="119" t="str">
        <f>IFERROR(__xludf.DUMMYFUNCTION("""COMPUTED_VALUE"""),"Chị Nhật Minh")</f>
        <v>Chị Nhật Minh</v>
      </c>
      <c r="C5974" s="119" t="str">
        <f>IFERROR(__xludf.DUMMYFUNCTION("""COMPUTED_VALUE"""),"64/14 Thánh Gióng")</f>
        <v>64/14 Thánh Gióng</v>
      </c>
      <c r="D5974" s="119" t="str">
        <f>IFERROR(__xludf.DUMMYFUNCTION("""COMPUTED_VALUE"""),"Chuột")</f>
        <v>Chuột</v>
      </c>
      <c r="E5974" s="119" t="str">
        <f>IFERROR(__xludf.DUMMYFUNCTION("""COMPUTED_VALUE"""),"Lam")</f>
        <v>Lam</v>
      </c>
    </row>
    <row r="5975" ht="15.75" customHeight="1">
      <c r="A5975" s="122" t="str">
        <f>IFERROR(__xludf.DUMMYFUNCTION("""COMPUTED_VALUE"""),"0901 959 216")</f>
        <v>0901 959 216</v>
      </c>
      <c r="B5975" s="119" t="str">
        <f>IFERROR(__xludf.DUMMYFUNCTION("""COMPUTED_VALUE"""),"Nguyễn Văn Công Toàn")</f>
        <v>Nguyễn Văn Công Toàn</v>
      </c>
      <c r="C5975" s="119" t="str">
        <f>IFERROR(__xludf.DUMMYFUNCTION("""COMPUTED_VALUE"""),"224 Hương Hồ")</f>
        <v>224 Hương Hồ</v>
      </c>
      <c r="D5975" s="119" t="str">
        <f>IFERROR(__xludf.DUMMYFUNCTION("""COMPUTED_VALUE"""),"Chó")</f>
        <v>Chó</v>
      </c>
      <c r="E5975" s="119" t="str">
        <f>IFERROR(__xludf.DUMMYFUNCTION("""COMPUTED_VALUE"""),"Mộc")</f>
        <v>Mộc</v>
      </c>
    </row>
    <row r="5976" ht="15.75" customHeight="1">
      <c r="A5976" s="122" t="str">
        <f>IFERROR(__xludf.DUMMYFUNCTION("""COMPUTED_VALUE"""),"0932 512 024")</f>
        <v>0932 512 024</v>
      </c>
      <c r="B5976" s="119" t="str">
        <f>IFERROR(__xludf.DUMMYFUNCTION("""COMPUTED_VALUE"""),"Thầy Nguyễn Xuân Đô")</f>
        <v>Thầy Nguyễn Xuân Đô</v>
      </c>
      <c r="C5976" s="119" t="str">
        <f>IFERROR(__xludf.DUMMYFUNCTION("""COMPUTED_VALUE"""),"Chùa Huyền không sơn Thượng")</f>
        <v>Chùa Huyền không sơn Thượng</v>
      </c>
      <c r="D5976" s="119" t="str">
        <f>IFERROR(__xludf.DUMMYFUNCTION("""COMPUTED_VALUE"""),"Chó")</f>
        <v>Chó</v>
      </c>
      <c r="E5976" s="119" t="str">
        <f>IFERROR(__xludf.DUMMYFUNCTION("""COMPUTED_VALUE"""),"Kaka")</f>
        <v>Kaka</v>
      </c>
    </row>
    <row r="5977" ht="15.75" customHeight="1">
      <c r="A5977" s="122" t="str">
        <f>IFERROR(__xludf.DUMMYFUNCTION("""COMPUTED_VALUE"""),"0906 422 391")</f>
        <v>0906 422 391</v>
      </c>
      <c r="B5977" s="119" t="str">
        <f>IFERROR(__xludf.DUMMYFUNCTION("""COMPUTED_VALUE"""),"Chị Ngọc Hân")</f>
        <v>Chị Ngọc Hân</v>
      </c>
      <c r="C5977" s="119" t="str">
        <f>IFERROR(__xludf.DUMMYFUNCTION("""COMPUTED_VALUE"""),"120 Lê Duẫn")</f>
        <v>120 Lê Duẫn</v>
      </c>
      <c r="D5977" s="119" t="str">
        <f>IFERROR(__xludf.DUMMYFUNCTION("""COMPUTED_VALUE"""),"Chó")</f>
        <v>Chó</v>
      </c>
      <c r="E5977" s="119" t="str">
        <f>IFERROR(__xludf.DUMMYFUNCTION("""COMPUTED_VALUE"""),"Lạc")</f>
        <v>Lạc</v>
      </c>
    </row>
    <row r="5978" ht="15.75" customHeight="1">
      <c r="A5978" s="122" t="str">
        <f>IFERROR(__xludf.DUMMYFUNCTION("""COMPUTED_VALUE"""),"0343 062 518")</f>
        <v>0343 062 518</v>
      </c>
      <c r="B5978" s="119" t="str">
        <f>IFERROR(__xludf.DUMMYFUNCTION("""COMPUTED_VALUE"""),"Bác Lê Văn Hoà")</f>
        <v>Bác Lê Văn Hoà</v>
      </c>
      <c r="C5978" s="119" t="str">
        <f>IFERROR(__xludf.DUMMYFUNCTION("""COMPUTED_VALUE"""),"30 Kim Long")</f>
        <v>30 Kim Long</v>
      </c>
      <c r="D5978" s="119" t="str">
        <f>IFERROR(__xludf.DUMMYFUNCTION("""COMPUTED_VALUE"""),"Chó")</f>
        <v>Chó</v>
      </c>
      <c r="E5978" s="119" t="str">
        <f>IFERROR(__xludf.DUMMYFUNCTION("""COMPUTED_VALUE"""),"Đen")</f>
        <v>Đen</v>
      </c>
    </row>
    <row r="5979" ht="15.75" customHeight="1">
      <c r="A5979" s="122" t="str">
        <f>IFERROR(__xludf.DUMMYFUNCTION("""COMPUTED_VALUE"""),"0947 744 134")</f>
        <v>0947 744 134</v>
      </c>
      <c r="B5979" s="119" t="str">
        <f>IFERROR(__xludf.DUMMYFUNCTION("""COMPUTED_VALUE"""),"Diì Ngọc Uyên")</f>
        <v>Diì Ngọc Uyên</v>
      </c>
      <c r="C5979" s="119"/>
      <c r="D5979" s="119" t="str">
        <f>IFERROR(__xludf.DUMMYFUNCTION("""COMPUTED_VALUE"""),"Chó")</f>
        <v>Chó</v>
      </c>
      <c r="E5979" s="119" t="str">
        <f>IFERROR(__xludf.DUMMYFUNCTION("""COMPUTED_VALUE"""),"Hen")</f>
        <v>Hen</v>
      </c>
    </row>
    <row r="5980" ht="15.75" customHeight="1">
      <c r="A5980" s="122" t="str">
        <f>IFERROR(__xludf.DUMMYFUNCTION("""COMPUTED_VALUE"""),"0702 437 773")</f>
        <v>0702 437 773</v>
      </c>
      <c r="B5980" s="119" t="str">
        <f>IFERROR(__xludf.DUMMYFUNCTION("""COMPUTED_VALUE"""),"Chị Ngọc Anh")</f>
        <v>Chị Ngọc Anh</v>
      </c>
      <c r="C5980" s="119" t="str">
        <f>IFERROR(__xludf.DUMMYFUNCTION("""COMPUTED_VALUE"""),"5/6/191 Điện Biên Phủ")</f>
        <v>5/6/191 Điện Biên Phủ</v>
      </c>
      <c r="D5980" s="119" t="str">
        <f>IFERROR(__xludf.DUMMYFUNCTION("""COMPUTED_VALUE"""),"Chó")</f>
        <v>Chó</v>
      </c>
      <c r="E5980" s="119"/>
    </row>
    <row r="5981" ht="15.75" customHeight="1">
      <c r="A5981" s="122" t="str">
        <f>IFERROR(__xludf.DUMMYFUNCTION("""COMPUTED_VALUE"""),"0914 172 679")</f>
        <v>0914 172 679</v>
      </c>
      <c r="B5981" s="119" t="str">
        <f>IFERROR(__xludf.DUMMYFUNCTION("""COMPUTED_VALUE"""),"chú  Tài")</f>
        <v>chú  Tài</v>
      </c>
      <c r="C5981" s="119" t="str">
        <f>IFERROR(__xludf.DUMMYFUNCTION("""COMPUTED_VALUE"""),"95C Nguyệt Biều")</f>
        <v>95C Nguyệt Biều</v>
      </c>
      <c r="D5981" s="119" t="str">
        <f>IFERROR(__xludf.DUMMYFUNCTION("""COMPUTED_VALUE"""),"chó")</f>
        <v>chó</v>
      </c>
      <c r="E5981" s="119" t="str">
        <f>IFERROR(__xludf.DUMMYFUNCTION("""COMPUTED_VALUE"""),"Bin")</f>
        <v>Bin</v>
      </c>
    </row>
    <row r="5982" ht="15.75" customHeight="1">
      <c r="A5982" s="122" t="str">
        <f>IFERROR(__xludf.DUMMYFUNCTION("""COMPUTED_VALUE"""),"0932 549 789")</f>
        <v>0932 549 789</v>
      </c>
      <c r="B5982" s="119" t="str">
        <f>IFERROR(__xludf.DUMMYFUNCTION("""COMPUTED_VALUE"""),"Anh Sơn")</f>
        <v>Anh Sơn</v>
      </c>
      <c r="C5982" s="119" t="str">
        <f>IFERROR(__xludf.DUMMYFUNCTION("""COMPUTED_VALUE"""),"42 Phạm Ngũ Lão")</f>
        <v>42 Phạm Ngũ Lão</v>
      </c>
      <c r="D5982" s="119" t="str">
        <f>IFERROR(__xludf.DUMMYFUNCTION("""COMPUTED_VALUE"""),"Chó")</f>
        <v>Chó</v>
      </c>
      <c r="E5982" s="119" t="str">
        <f>IFERROR(__xludf.DUMMYFUNCTION("""COMPUTED_VALUE"""),"Milu")</f>
        <v>Milu</v>
      </c>
    </row>
    <row r="5983" ht="15.75" customHeight="1">
      <c r="A5983" s="122" t="str">
        <f>IFERROR(__xludf.DUMMYFUNCTION("""COMPUTED_VALUE"""),"0824 200 709")</f>
        <v>0824 200 709</v>
      </c>
      <c r="B5983" s="119" t="str">
        <f>IFERROR(__xludf.DUMMYFUNCTION("""COMPUTED_VALUE"""),"Em Ngọc Châm")</f>
        <v>Em Ngọc Châm</v>
      </c>
      <c r="C5983" s="119" t="str">
        <f>IFERROR(__xludf.DUMMYFUNCTION("""COMPUTED_VALUE"""),"1/149 Trần Phú")</f>
        <v>1/149 Trần Phú</v>
      </c>
      <c r="D5983" s="119" t="str">
        <f>IFERROR(__xludf.DUMMYFUNCTION("""COMPUTED_VALUE"""),"Mèo")</f>
        <v>Mèo</v>
      </c>
      <c r="E5983" s="119" t="str">
        <f>IFERROR(__xludf.DUMMYFUNCTION("""COMPUTED_VALUE"""),"Béo")</f>
        <v>Béo</v>
      </c>
    </row>
    <row r="5984" ht="15.75" customHeight="1">
      <c r="A5984" s="122" t="str">
        <f>IFERROR(__xludf.DUMMYFUNCTION("""COMPUTED_VALUE"""),"0916 319 858")</f>
        <v>0916 319 858</v>
      </c>
      <c r="B5984" s="119" t="str">
        <f>IFERROR(__xludf.DUMMYFUNCTION("""COMPUTED_VALUE"""),"Thích Nữ Tường Dung")</f>
        <v>Thích Nữ Tường Dung</v>
      </c>
      <c r="C5984" s="119" t="str">
        <f>IFERROR(__xludf.DUMMYFUNCTION("""COMPUTED_VALUE"""),"Chua Tô Đà")</f>
        <v>Chua Tô Đà</v>
      </c>
      <c r="D5984" s="119" t="str">
        <f>IFERROR(__xludf.DUMMYFUNCTION("""COMPUTED_VALUE"""),"Chó")</f>
        <v>Chó</v>
      </c>
      <c r="E5984" s="119" t="str">
        <f>IFERROR(__xludf.DUMMYFUNCTION("""COMPUTED_VALUE"""),"red")</f>
        <v>red</v>
      </c>
    </row>
    <row r="5985" ht="15.75" customHeight="1">
      <c r="A5985" s="122" t="str">
        <f>IFERROR(__xludf.DUMMYFUNCTION("""COMPUTED_VALUE"""),"0905 587 683")</f>
        <v>0905 587 683</v>
      </c>
      <c r="B5985" s="119" t="str">
        <f>IFERROR(__xludf.DUMMYFUNCTION("""COMPUTED_VALUE"""),"Huỳnh Kim Chi")</f>
        <v>Huỳnh Kim Chi</v>
      </c>
      <c r="C5985" s="119" t="str">
        <f>IFERROR(__xludf.DUMMYFUNCTION("""COMPUTED_VALUE"""),"Vân An- Hương Vân")</f>
        <v>Vân An- Hương Vân</v>
      </c>
      <c r="D5985" s="119" t="str">
        <f>IFERROR(__xludf.DUMMYFUNCTION("""COMPUTED_VALUE"""),"Chó")</f>
        <v>Chó</v>
      </c>
      <c r="E5985" s="119" t="str">
        <f>IFERROR(__xludf.DUMMYFUNCTION("""COMPUTED_VALUE"""),"Mickey")</f>
        <v>Mickey</v>
      </c>
    </row>
    <row r="5986" ht="15.75" customHeight="1">
      <c r="A5986" s="122" t="str">
        <f>IFERROR(__xludf.DUMMYFUNCTION("""COMPUTED_VALUE"""),"0789 488 575")</f>
        <v>0789 488 575</v>
      </c>
      <c r="B5986" s="119" t="str">
        <f>IFERROR(__xludf.DUMMYFUNCTION("""COMPUTED_VALUE"""),"Dì Mai")</f>
        <v>Dì Mai</v>
      </c>
      <c r="C5986" s="119" t="str">
        <f>IFERROR(__xludf.DUMMYFUNCTION("""COMPUTED_VALUE"""),"Vạn xuân")</f>
        <v>Vạn xuân</v>
      </c>
      <c r="D5986" s="119" t="str">
        <f>IFERROR(__xludf.DUMMYFUNCTION("""COMPUTED_VALUE"""),"Chó")</f>
        <v>Chó</v>
      </c>
      <c r="E5986" s="119" t="str">
        <f>IFERROR(__xludf.DUMMYFUNCTION("""COMPUTED_VALUE"""),"Tô")</f>
        <v>Tô</v>
      </c>
    </row>
    <row r="5987" ht="15.75" customHeight="1">
      <c r="A5987" s="122" t="str">
        <f>IFERROR(__xludf.DUMMYFUNCTION("""COMPUTED_VALUE"""),"0939 579 929")</f>
        <v>0939 579 929</v>
      </c>
      <c r="B5987" s="119" t="str">
        <f>IFERROR(__xludf.DUMMYFUNCTION("""COMPUTED_VALUE"""),"thầy Nhật Huy")</f>
        <v>thầy Nhật Huy</v>
      </c>
      <c r="C5987" s="119" t="str">
        <f>IFERROR(__xludf.DUMMYFUNCTION("""COMPUTED_VALUE"""),"Chùa Phước Duyên")</f>
        <v>Chùa Phước Duyên</v>
      </c>
      <c r="D5987" s="119" t="str">
        <f>IFERROR(__xludf.DUMMYFUNCTION("""COMPUTED_VALUE"""),"Chó")</f>
        <v>Chó</v>
      </c>
      <c r="E5987" s="119" t="str">
        <f>IFERROR(__xludf.DUMMYFUNCTION("""COMPUTED_VALUE"""),"Bôn")</f>
        <v>Bôn</v>
      </c>
    </row>
    <row r="5988" ht="15.75" customHeight="1">
      <c r="A5988" s="122" t="str">
        <f>IFERROR(__xludf.DUMMYFUNCTION("""COMPUTED_VALUE"""),"0352 940 924")</f>
        <v>0352 940 924</v>
      </c>
      <c r="B5988" s="119" t="str">
        <f>IFERROR(__xludf.DUMMYFUNCTION("""COMPUTED_VALUE"""),"Nguyễn Thị Cao Thiên")</f>
        <v>Nguyễn Thị Cao Thiên</v>
      </c>
      <c r="C5988" s="119" t="str">
        <f>IFERROR(__xludf.DUMMYFUNCTION("""COMPUTED_VALUE"""),"161/1 Đoàn Hữu Trưng")</f>
        <v>161/1 Đoàn Hữu Trưng</v>
      </c>
      <c r="D5988" s="119" t="str">
        <f>IFERROR(__xludf.DUMMYFUNCTION("""COMPUTED_VALUE"""),"Mèo")</f>
        <v>Mèo</v>
      </c>
      <c r="E5988" s="119" t="str">
        <f>IFERROR(__xludf.DUMMYFUNCTION("""COMPUTED_VALUE"""),"Sushi")</f>
        <v>Sushi</v>
      </c>
    </row>
    <row r="5989" ht="15.75" customHeight="1">
      <c r="A5989" s="122" t="str">
        <f>IFERROR(__xludf.DUMMYFUNCTION("""COMPUTED_VALUE"""),"0931 900 736")</f>
        <v>0931 900 736</v>
      </c>
      <c r="B5989" s="119" t="str">
        <f>IFERROR(__xludf.DUMMYFUNCTION("""COMPUTED_VALUE"""),"Minh Quân")</f>
        <v>Minh Quân</v>
      </c>
      <c r="C5989" s="119" t="str">
        <f>IFERROR(__xludf.DUMMYFUNCTION("""COMPUTED_VALUE"""),"10/5/187 Phan Đình Phùng")</f>
        <v>10/5/187 Phan Đình Phùng</v>
      </c>
      <c r="D5989" s="119" t="str">
        <f>IFERROR(__xludf.DUMMYFUNCTION("""COMPUTED_VALUE"""),"Chó")</f>
        <v>Chó</v>
      </c>
      <c r="E5989" s="119" t="str">
        <f>IFERROR(__xludf.DUMMYFUNCTION("""COMPUTED_VALUE"""),"Su")</f>
        <v>Su</v>
      </c>
    </row>
    <row r="5990" ht="15.75" customHeight="1">
      <c r="A5990" s="122" t="str">
        <f>IFERROR(__xludf.DUMMYFUNCTION("""COMPUTED_VALUE"""),"0395 436 077")</f>
        <v>0395 436 077</v>
      </c>
      <c r="B5990" s="119" t="str">
        <f>IFERROR(__xludf.DUMMYFUNCTION("""COMPUTED_VALUE"""),"Anh Hậu")</f>
        <v>Anh Hậu</v>
      </c>
      <c r="C5990" s="119" t="str">
        <f>IFERROR(__xludf.DUMMYFUNCTION("""COMPUTED_VALUE"""),"Đường Âu Lạc")</f>
        <v>Đường Âu Lạc</v>
      </c>
      <c r="D5990" s="119" t="str">
        <f>IFERROR(__xludf.DUMMYFUNCTION("""COMPUTED_VALUE"""),"Mèo")</f>
        <v>Mèo</v>
      </c>
      <c r="E5990" s="119" t="str">
        <f>IFERROR(__xludf.DUMMYFUNCTION("""COMPUTED_VALUE"""),"Si")</f>
        <v>Si</v>
      </c>
    </row>
    <row r="5991" ht="15.75" customHeight="1">
      <c r="A5991" s="122" t="str">
        <f>IFERROR(__xludf.DUMMYFUNCTION("""COMPUTED_VALUE"""),"0799 048 975")</f>
        <v>0799 048 975</v>
      </c>
      <c r="B5991" s="119" t="str">
        <f>IFERROR(__xludf.DUMMYFUNCTION("""COMPUTED_VALUE"""),"Chú Đắc")</f>
        <v>Chú Đắc</v>
      </c>
      <c r="C5991" s="119" t="str">
        <f>IFERROR(__xludf.DUMMYFUNCTION("""COMPUTED_VALUE"""),"24 Huỳnh Tấn Phát")</f>
        <v>24 Huỳnh Tấn Phát</v>
      </c>
      <c r="D5991" s="119" t="str">
        <f>IFERROR(__xludf.DUMMYFUNCTION("""COMPUTED_VALUE"""),"Mèo")</f>
        <v>Mèo</v>
      </c>
      <c r="E5991" s="119" t="str">
        <f>IFERROR(__xludf.DUMMYFUNCTION("""COMPUTED_VALUE"""),"Lắc")</f>
        <v>Lắc</v>
      </c>
    </row>
    <row r="5992" ht="15.75" customHeight="1">
      <c r="A5992" s="122" t="str">
        <f>IFERROR(__xludf.DUMMYFUNCTION("""COMPUTED_VALUE"""),"0934 844 665")</f>
        <v>0934 844 665</v>
      </c>
      <c r="B5992" s="119" t="str">
        <f>IFERROR(__xludf.DUMMYFUNCTION("""COMPUTED_VALUE"""),"Chị Loan")</f>
        <v>Chị Loan</v>
      </c>
      <c r="C5992" s="119" t="str">
        <f>IFERROR(__xludf.DUMMYFUNCTION("""COMPUTED_VALUE"""),"7/35 Đặng Huy Trứ")</f>
        <v>7/35 Đặng Huy Trứ</v>
      </c>
      <c r="D5992" s="119" t="str">
        <f>IFERROR(__xludf.DUMMYFUNCTION("""COMPUTED_VALUE"""),"Mèo")</f>
        <v>Mèo</v>
      </c>
      <c r="E5992" s="119" t="str">
        <f>IFERROR(__xludf.DUMMYFUNCTION("""COMPUTED_VALUE"""),"Sữa")</f>
        <v>Sữa</v>
      </c>
    </row>
    <row r="5993" ht="15.75" customHeight="1">
      <c r="A5993" s="122" t="str">
        <f>IFERROR(__xludf.DUMMYFUNCTION("""COMPUTED_VALUE"""),"0935 514 866")</f>
        <v>0935 514 866</v>
      </c>
      <c r="B5993" s="119" t="str">
        <f>IFERROR(__xludf.DUMMYFUNCTION("""COMPUTED_VALUE"""),"Anh Gia Bảo")</f>
        <v>Anh Gia Bảo</v>
      </c>
      <c r="C5993" s="119" t="str">
        <f>IFERROR(__xludf.DUMMYFUNCTION("""COMPUTED_VALUE"""),"Minh Mạng")</f>
        <v>Minh Mạng</v>
      </c>
      <c r="D5993" s="119" t="str">
        <f>IFERROR(__xludf.DUMMYFUNCTION("""COMPUTED_VALUE"""),"Chó")</f>
        <v>Chó</v>
      </c>
      <c r="E5993" s="119" t="str">
        <f>IFERROR(__xludf.DUMMYFUNCTION("""COMPUTED_VALUE"""),"Tồ")</f>
        <v>Tồ</v>
      </c>
    </row>
    <row r="5994" ht="15.75" customHeight="1">
      <c r="A5994" s="122" t="str">
        <f>IFERROR(__xludf.DUMMYFUNCTION("""COMPUTED_VALUE"""),"0917 708 804")</f>
        <v>0917 708 804</v>
      </c>
      <c r="B5994" s="119" t="str">
        <f>IFERROR(__xludf.DUMMYFUNCTION("""COMPUTED_VALUE"""),"Chị Kim Ngân")</f>
        <v>Chị Kim Ngân</v>
      </c>
      <c r="C5994" s="119" t="str">
        <f>IFERROR(__xludf.DUMMYFUNCTION("""COMPUTED_VALUE"""),"31/2/44 Lê Ngô Cát")</f>
        <v>31/2/44 Lê Ngô Cát</v>
      </c>
      <c r="D5994" s="119" t="str">
        <f>IFERROR(__xludf.DUMMYFUNCTION("""COMPUTED_VALUE"""),"Chó")</f>
        <v>Chó</v>
      </c>
      <c r="E5994" s="119" t="str">
        <f>IFERROR(__xludf.DUMMYFUNCTION("""COMPUTED_VALUE"""),"Bốp")</f>
        <v>Bốp</v>
      </c>
    </row>
    <row r="5995" ht="15.75" customHeight="1">
      <c r="A5995" s="122" t="str">
        <f>IFERROR(__xludf.DUMMYFUNCTION("""COMPUTED_VALUE"""),"0773 464 194")</f>
        <v>0773 464 194</v>
      </c>
      <c r="B5995" s="119" t="str">
        <f>IFERROR(__xludf.DUMMYFUNCTION("""COMPUTED_VALUE"""),"Anh Trung")</f>
        <v>Anh Trung</v>
      </c>
      <c r="C5995" s="119" t="str">
        <f>IFERROR(__xludf.DUMMYFUNCTION("""COMPUTED_VALUE"""),"94 Phan Bội Châu")</f>
        <v>94 Phan Bội Châu</v>
      </c>
      <c r="D5995" s="119" t="str">
        <f>IFERROR(__xludf.DUMMYFUNCTION("""COMPUTED_VALUE"""),"Chó")</f>
        <v>Chó</v>
      </c>
      <c r="E5995" s="119" t="str">
        <f>IFERROR(__xludf.DUMMYFUNCTION("""COMPUTED_VALUE"""),"Pan")</f>
        <v>Pan</v>
      </c>
    </row>
    <row r="5996" ht="15.75" customHeight="1">
      <c r="A5996" s="122" t="str">
        <f>IFERROR(__xludf.DUMMYFUNCTION("""COMPUTED_VALUE"""),"0906 591 376")</f>
        <v>0906 591 376</v>
      </c>
      <c r="B5996" s="119" t="str">
        <f>IFERROR(__xludf.DUMMYFUNCTION("""COMPUTED_VALUE"""),"Chị Huyền")</f>
        <v>Chị Huyền</v>
      </c>
      <c r="C5996" s="119" t="str">
        <f>IFERROR(__xludf.DUMMYFUNCTION("""COMPUTED_VALUE"""),"18/57 Đào Tấn")</f>
        <v>18/57 Đào Tấn</v>
      </c>
      <c r="D5996" s="119" t="str">
        <f>IFERROR(__xludf.DUMMYFUNCTION("""COMPUTED_VALUE"""),"Chó")</f>
        <v>Chó</v>
      </c>
      <c r="E5996" s="119" t="str">
        <f>IFERROR(__xludf.DUMMYFUNCTION("""COMPUTED_VALUE"""),"Chồn")</f>
        <v>Chồn</v>
      </c>
    </row>
    <row r="5997" ht="15.75" customHeight="1">
      <c r="A5997" s="122" t="str">
        <f>IFERROR(__xludf.DUMMYFUNCTION("""COMPUTED_VALUE"""),"0981 650 444")</f>
        <v>0981 650 444</v>
      </c>
      <c r="B5997" s="119" t="str">
        <f>IFERROR(__xludf.DUMMYFUNCTION("""COMPUTED_VALUE"""),"Võ Văn Thân")</f>
        <v>Võ Văn Thân</v>
      </c>
      <c r="C5997" s="119" t="str">
        <f>IFERROR(__xludf.DUMMYFUNCTION("""COMPUTED_VALUE"""),"117 Ngự Bình")</f>
        <v>117 Ngự Bình</v>
      </c>
      <c r="D5997" s="119" t="str">
        <f>IFERROR(__xludf.DUMMYFUNCTION("""COMPUTED_VALUE"""),"Chó")</f>
        <v>Chó</v>
      </c>
      <c r="E5997" s="119" t="str">
        <f>IFERROR(__xludf.DUMMYFUNCTION("""COMPUTED_VALUE"""),"Tụt")</f>
        <v>Tụt</v>
      </c>
    </row>
    <row r="5998" ht="15.75" customHeight="1">
      <c r="A5998" s="122" t="str">
        <f>IFERROR(__xludf.DUMMYFUNCTION("""COMPUTED_VALUE"""),"0339 590 494")</f>
        <v>0339 590 494</v>
      </c>
      <c r="B5998" s="119" t="str">
        <f>IFERROR(__xludf.DUMMYFUNCTION("""COMPUTED_VALUE"""),"Chị Như")</f>
        <v>Chị Như</v>
      </c>
      <c r="C5998" s="119" t="str">
        <f>IFERROR(__xludf.DUMMYFUNCTION("""COMPUTED_VALUE"""),"1/10/317 Bùi Thị Xuân")</f>
        <v>1/10/317 Bùi Thị Xuân</v>
      </c>
      <c r="D5998" s="119" t="str">
        <f>IFERROR(__xludf.DUMMYFUNCTION("""COMPUTED_VALUE"""),"Chó")</f>
        <v>Chó</v>
      </c>
      <c r="E5998" s="119" t="str">
        <f>IFERROR(__xludf.DUMMYFUNCTION("""COMPUTED_VALUE"""),"Bull")</f>
        <v>Bull</v>
      </c>
    </row>
    <row r="5999" ht="15.75" customHeight="1">
      <c r="A5999" s="122" t="str">
        <f>IFERROR(__xludf.DUMMYFUNCTION("""COMPUTED_VALUE"""),"0795 660 770")</f>
        <v>0795 660 770</v>
      </c>
      <c r="B5999" s="119" t="str">
        <f>IFERROR(__xludf.DUMMYFUNCTION("""COMPUTED_VALUE"""),"Anh Lộc")</f>
        <v>Anh Lộc</v>
      </c>
      <c r="C5999" s="119" t="str">
        <f>IFERROR(__xludf.DUMMYFUNCTION("""COMPUTED_VALUE"""),"55 Vũ Ngọc Phan")</f>
        <v>55 Vũ Ngọc Phan</v>
      </c>
      <c r="D5999" s="119" t="str">
        <f>IFERROR(__xludf.DUMMYFUNCTION("""COMPUTED_VALUE"""),"Chó")</f>
        <v>Chó</v>
      </c>
      <c r="E5999" s="119" t="str">
        <f>IFERROR(__xludf.DUMMYFUNCTION("""COMPUTED_VALUE"""),"Xẹo")</f>
        <v>Xẹo</v>
      </c>
    </row>
    <row r="6000" ht="15.75" customHeight="1">
      <c r="A6000" s="122" t="str">
        <f>IFERROR(__xludf.DUMMYFUNCTION("""COMPUTED_VALUE"""),"0399 080 770")</f>
        <v>0399 080 770</v>
      </c>
      <c r="B6000" s="119" t="str">
        <f>IFERROR(__xludf.DUMMYFUNCTION("""COMPUTED_VALUE"""),"Cô Thúy")</f>
        <v>Cô Thúy</v>
      </c>
      <c r="C6000" s="119" t="str">
        <f>IFERROR(__xludf.DUMMYFUNCTION("""COMPUTED_VALUE"""),"Xuân Diệu")</f>
        <v>Xuân Diệu</v>
      </c>
      <c r="D6000" s="119" t="str">
        <f>IFERROR(__xludf.DUMMYFUNCTION("""COMPUTED_VALUE"""),"Chó")</f>
        <v>Chó</v>
      </c>
      <c r="E6000" s="119" t="str">
        <f>IFERROR(__xludf.DUMMYFUNCTION("""COMPUTED_VALUE"""),"Ka")</f>
        <v>Ka</v>
      </c>
    </row>
    <row r="6001" ht="15.75" customHeight="1">
      <c r="A6001" s="122" t="str">
        <f>IFERROR(__xludf.DUMMYFUNCTION("""COMPUTED_VALUE"""),"0795 546 590")</f>
        <v>0795 546 590</v>
      </c>
      <c r="B6001" s="119" t="str">
        <f>IFERROR(__xludf.DUMMYFUNCTION("""COMPUTED_VALUE"""),"Nguyễn Tấn Phát")</f>
        <v>Nguyễn Tấn Phát</v>
      </c>
      <c r="C6001" s="119" t="str">
        <f>IFERROR(__xludf.DUMMYFUNCTION("""COMPUTED_VALUE"""),"55 Huyền Trân Công Chúa")</f>
        <v>55 Huyền Trân Công Chúa</v>
      </c>
      <c r="D6001" s="119" t="str">
        <f>IFERROR(__xludf.DUMMYFUNCTION("""COMPUTED_VALUE"""),"Chó")</f>
        <v>Chó</v>
      </c>
      <c r="E6001" s="119" t="str">
        <f>IFERROR(__xludf.DUMMYFUNCTION("""COMPUTED_VALUE"""),"Rốt")</f>
        <v>Rốt</v>
      </c>
    </row>
    <row r="6002" ht="15.75" customHeight="1">
      <c r="A6002" s="122" t="str">
        <f>IFERROR(__xludf.DUMMYFUNCTION("""COMPUTED_VALUE"""),"0845 530 069")</f>
        <v>0845 530 069</v>
      </c>
      <c r="B6002" s="119" t="str">
        <f>IFERROR(__xludf.DUMMYFUNCTION("""COMPUTED_VALUE"""),"Bảo Châu")</f>
        <v>Bảo Châu</v>
      </c>
      <c r="C6002" s="119" t="str">
        <f>IFERROR(__xludf.DUMMYFUNCTION("""COMPUTED_VALUE"""),"Hương Thọ-Hương Trà")</f>
        <v>Hương Thọ-Hương Trà</v>
      </c>
      <c r="D6002" s="119" t="str">
        <f>IFERROR(__xludf.DUMMYFUNCTION("""COMPUTED_VALUE"""),"Chó")</f>
        <v>Chó</v>
      </c>
      <c r="E6002" s="119" t="str">
        <f>IFERROR(__xludf.DUMMYFUNCTION("""COMPUTED_VALUE"""),"Henry")</f>
        <v>Henry</v>
      </c>
    </row>
    <row r="6003" ht="15.75" customHeight="1">
      <c r="A6003" s="122" t="str">
        <f>IFERROR(__xludf.DUMMYFUNCTION("""COMPUTED_VALUE"""),"0836 000 988")</f>
        <v>0836 000 988</v>
      </c>
      <c r="B6003" s="119" t="str">
        <f>IFERROR(__xludf.DUMMYFUNCTION("""COMPUTED_VALUE"""),"Chị Ngọc Anh")</f>
        <v>Chị Ngọc Anh</v>
      </c>
      <c r="C6003" s="119" t="str">
        <f>IFERROR(__xludf.DUMMYFUNCTION("""COMPUTED_VALUE"""),"3/149 Trần Phú")</f>
        <v>3/149 Trần Phú</v>
      </c>
      <c r="D6003" s="119" t="str">
        <f>IFERROR(__xludf.DUMMYFUNCTION("""COMPUTED_VALUE"""),"Chó")</f>
        <v>Chó</v>
      </c>
      <c r="E6003" s="119" t="str">
        <f>IFERROR(__xludf.DUMMYFUNCTION("""COMPUTED_VALUE"""),"Min")</f>
        <v>Min</v>
      </c>
    </row>
    <row r="6004" ht="15.75" customHeight="1">
      <c r="A6004" s="122" t="str">
        <f>IFERROR(__xludf.DUMMYFUNCTION("""COMPUTED_VALUE"""),"0702 660 008")</f>
        <v>0702 660 008</v>
      </c>
      <c r="B6004" s="119" t="str">
        <f>IFERROR(__xludf.DUMMYFUNCTION("""COMPUTED_VALUE"""),"Chị Ngọc Ri")</f>
        <v>Chị Ngọc Ri</v>
      </c>
      <c r="C6004" s="119" t="str">
        <f>IFERROR(__xludf.DUMMYFUNCTION("""COMPUTED_VALUE"""),"k93 Đặng Huy Trứ")</f>
        <v>k93 Đặng Huy Trứ</v>
      </c>
      <c r="D6004" s="119" t="str">
        <f>IFERROR(__xludf.DUMMYFUNCTION("""COMPUTED_VALUE"""),"Chó")</f>
        <v>Chó</v>
      </c>
      <c r="E6004" s="119" t="str">
        <f>IFERROR(__xludf.DUMMYFUNCTION("""COMPUTED_VALUE"""),"Su")</f>
        <v>Su</v>
      </c>
    </row>
    <row r="6005" ht="15.75" customHeight="1">
      <c r="A6005" s="122" t="str">
        <f>IFERROR(__xludf.DUMMYFUNCTION("""COMPUTED_VALUE"""),"0362 531 275")</f>
        <v>0362 531 275</v>
      </c>
      <c r="B6005" s="119" t="str">
        <f>IFERROR(__xludf.DUMMYFUNCTION("""COMPUTED_VALUE"""),"Chị Tú")</f>
        <v>Chị Tú</v>
      </c>
      <c r="C6005" s="119" t="str">
        <f>IFERROR(__xludf.DUMMYFUNCTION("""COMPUTED_VALUE"""),"Chung cư Ẩnya")</f>
        <v>Chung cư Ẩnya</v>
      </c>
      <c r="D6005" s="119" t="str">
        <f>IFERROR(__xludf.DUMMYFUNCTION("""COMPUTED_VALUE"""),"Chó")</f>
        <v>Chó</v>
      </c>
      <c r="E6005" s="119" t="str">
        <f>IFERROR(__xludf.DUMMYFUNCTION("""COMPUTED_VALUE"""),"Bi a")</f>
        <v>Bi a</v>
      </c>
    </row>
    <row r="6006" ht="15.75" customHeight="1">
      <c r="A6006" s="122" t="str">
        <f>IFERROR(__xludf.DUMMYFUNCTION("""COMPUTED_VALUE"""),"0783 293 559")</f>
        <v>0783 293 559</v>
      </c>
      <c r="B6006" s="119" t="str">
        <f>IFERROR(__xludf.DUMMYFUNCTION("""COMPUTED_VALUE"""),"Hoàng Anh")</f>
        <v>Hoàng Anh</v>
      </c>
      <c r="C6006" s="119" t="str">
        <f>IFERROR(__xludf.DUMMYFUNCTION("""COMPUTED_VALUE"""),"Bầu Vá")</f>
        <v>Bầu Vá</v>
      </c>
      <c r="D6006" s="119" t="str">
        <f>IFERROR(__xludf.DUMMYFUNCTION("""COMPUTED_VALUE"""),"Mèo")</f>
        <v>Mèo</v>
      </c>
      <c r="E6006" s="119" t="str">
        <f>IFERROR(__xludf.DUMMYFUNCTION("""COMPUTED_VALUE"""),"Bánh Mỳ")</f>
        <v>Bánh Mỳ</v>
      </c>
    </row>
    <row r="6007" ht="15.75" customHeight="1">
      <c r="A6007" s="122" t="str">
        <f>IFERROR(__xludf.DUMMYFUNCTION("""COMPUTED_VALUE"""),"0947 744 982")</f>
        <v>0947 744 982</v>
      </c>
      <c r="B6007" s="119" t="str">
        <f>IFERROR(__xludf.DUMMYFUNCTION("""COMPUTED_VALUE"""),"Chú Hùng")</f>
        <v>Chú Hùng</v>
      </c>
      <c r="C6007" s="119" t="str">
        <f>IFERROR(__xludf.DUMMYFUNCTION("""COMPUTED_VALUE"""),"40 Nguyễn Khoa Chiêm")</f>
        <v>40 Nguyễn Khoa Chiêm</v>
      </c>
      <c r="D6007" s="119" t="str">
        <f>IFERROR(__xludf.DUMMYFUNCTION("""COMPUTED_VALUE"""),"Chó")</f>
        <v>Chó</v>
      </c>
      <c r="E6007" s="119" t="str">
        <f>IFERROR(__xludf.DUMMYFUNCTION("""COMPUTED_VALUE"""),"Bun")</f>
        <v>Bun</v>
      </c>
    </row>
    <row r="6008" ht="15.75" customHeight="1">
      <c r="A6008" s="122" t="str">
        <f>IFERROR(__xludf.DUMMYFUNCTION("""COMPUTED_VALUE"""),"0708 020 313")</f>
        <v>0708 020 313</v>
      </c>
      <c r="B6008" s="119" t="str">
        <f>IFERROR(__xludf.DUMMYFUNCTION("""COMPUTED_VALUE"""),"Ngọc Anh")</f>
        <v>Ngọc Anh</v>
      </c>
      <c r="C6008" s="119" t="str">
        <f>IFERROR(__xludf.DUMMYFUNCTION("""COMPUTED_VALUE"""),"215 Trần Phú")</f>
        <v>215 Trần Phú</v>
      </c>
      <c r="D6008" s="119" t="str">
        <f>IFERROR(__xludf.DUMMYFUNCTION("""COMPUTED_VALUE"""),"Mèo")</f>
        <v>Mèo</v>
      </c>
      <c r="E6008" s="119" t="str">
        <f>IFERROR(__xludf.DUMMYFUNCTION("""COMPUTED_VALUE"""),"Bơ")</f>
        <v>Bơ</v>
      </c>
    </row>
    <row r="6009" ht="15.75" customHeight="1">
      <c r="A6009" s="122" t="str">
        <f>IFERROR(__xludf.DUMMYFUNCTION("""COMPUTED_VALUE"""),"0935 649 711")</f>
        <v>0935 649 711</v>
      </c>
      <c r="B6009" s="119" t="str">
        <f>IFERROR(__xludf.DUMMYFUNCTION("""COMPUTED_VALUE"""),"Anh Trình")</f>
        <v>Anh Trình</v>
      </c>
      <c r="C6009" s="119" t="str">
        <f>IFERROR(__xludf.DUMMYFUNCTION("""COMPUTED_VALUE"""),"17 Thanh Hải")</f>
        <v>17 Thanh Hải</v>
      </c>
      <c r="D6009" s="119" t="str">
        <f>IFERROR(__xludf.DUMMYFUNCTION("""COMPUTED_VALUE"""),"chó")</f>
        <v>chó</v>
      </c>
      <c r="E6009" s="119" t="str">
        <f>IFERROR(__xludf.DUMMYFUNCTION("""COMPUTED_VALUE"""),"Mực")</f>
        <v>Mực</v>
      </c>
    </row>
    <row r="6010" ht="15.75" customHeight="1">
      <c r="A6010" s="122" t="str">
        <f>IFERROR(__xludf.DUMMYFUNCTION("""COMPUTED_VALUE"""),"0961 018 197")</f>
        <v>0961 018 197</v>
      </c>
      <c r="B6010" s="119" t="str">
        <f>IFERROR(__xludf.DUMMYFUNCTION("""COMPUTED_VALUE"""),"Ân")</f>
        <v>Ân</v>
      </c>
      <c r="C6010" s="119" t="str">
        <f>IFERROR(__xludf.DUMMYFUNCTION("""COMPUTED_VALUE"""),"L19 Lịch Đợi")</f>
        <v>L19 Lịch Đợi</v>
      </c>
      <c r="D6010" s="119" t="str">
        <f>IFERROR(__xludf.DUMMYFUNCTION("""COMPUTED_VALUE"""),"chó")</f>
        <v>chó</v>
      </c>
      <c r="E6010" s="119" t="str">
        <f>IFERROR(__xludf.DUMMYFUNCTION("""COMPUTED_VALUE"""),"Đô la")</f>
        <v>Đô la</v>
      </c>
    </row>
    <row r="6011" ht="15.75" customHeight="1">
      <c r="A6011" s="122" t="str">
        <f>IFERROR(__xludf.DUMMYFUNCTION("""COMPUTED_VALUE"""),"0978 141 821")</f>
        <v>0978 141 821</v>
      </c>
      <c r="B6011" s="119" t="str">
        <f>IFERROR(__xludf.DUMMYFUNCTION("""COMPUTED_VALUE"""),"Anh Nguyên")</f>
        <v>Anh Nguyên</v>
      </c>
      <c r="C6011" s="119" t="str">
        <f>IFERROR(__xludf.DUMMYFUNCTION("""COMPUTED_VALUE"""),"414 Chi Lăng")</f>
        <v>414 Chi Lăng</v>
      </c>
      <c r="D6011" s="119" t="str">
        <f>IFERROR(__xludf.DUMMYFUNCTION("""COMPUTED_VALUE"""),"chó")</f>
        <v>chó</v>
      </c>
      <c r="E6011" s="119" t="str">
        <f>IFERROR(__xludf.DUMMYFUNCTION("""COMPUTED_VALUE"""),"Xoài")</f>
        <v>Xoài</v>
      </c>
    </row>
    <row r="6012" ht="15.75" customHeight="1">
      <c r="A6012" s="122" t="str">
        <f>IFERROR(__xludf.DUMMYFUNCTION("""COMPUTED_VALUE"""),"0976 644 907")</f>
        <v>0976 644 907</v>
      </c>
      <c r="B6012" s="119" t="str">
        <f>IFERROR(__xludf.DUMMYFUNCTION("""COMPUTED_VALUE"""),"Chị Su")</f>
        <v>Chị Su</v>
      </c>
      <c r="C6012" s="119" t="str">
        <f>IFERROR(__xludf.DUMMYFUNCTION("""COMPUTED_VALUE"""),"Phú Thượng")</f>
        <v>Phú Thượng</v>
      </c>
      <c r="D6012" s="119" t="str">
        <f>IFERROR(__xludf.DUMMYFUNCTION("""COMPUTED_VALUE"""),"Chó")</f>
        <v>Chó</v>
      </c>
      <c r="E6012" s="119" t="str">
        <f>IFERROR(__xludf.DUMMYFUNCTION("""COMPUTED_VALUE"""),"Chun")</f>
        <v>Chun</v>
      </c>
    </row>
    <row r="6013" ht="15.75" customHeight="1">
      <c r="A6013" s="122" t="str">
        <f>IFERROR(__xludf.DUMMYFUNCTION("""COMPUTED_VALUE"""),"0935 713 658")</f>
        <v>0935 713 658</v>
      </c>
      <c r="B6013" s="119" t="str">
        <f>IFERROR(__xludf.DUMMYFUNCTION("""COMPUTED_VALUE"""),"Anh Toàn")</f>
        <v>Anh Toàn</v>
      </c>
      <c r="C6013" s="119" t="str">
        <f>IFERROR(__xludf.DUMMYFUNCTION("""COMPUTED_VALUE"""),"2/4 Lương Quán")</f>
        <v>2/4 Lương Quán</v>
      </c>
      <c r="D6013" s="119" t="str">
        <f>IFERROR(__xludf.DUMMYFUNCTION("""COMPUTED_VALUE"""),"Chó")</f>
        <v>Chó</v>
      </c>
      <c r="E6013" s="119" t="str">
        <f>IFERROR(__xludf.DUMMYFUNCTION("""COMPUTED_VALUE"""),"Mêly")</f>
        <v>Mêly</v>
      </c>
    </row>
    <row r="6014" ht="15.75" customHeight="1">
      <c r="A6014" s="122" t="str">
        <f>IFERROR(__xludf.DUMMYFUNCTION("""COMPUTED_VALUE"""),"0393 344 344")</f>
        <v>0393 344 344</v>
      </c>
      <c r="B6014" s="119" t="str">
        <f>IFERROR(__xludf.DUMMYFUNCTION("""COMPUTED_VALUE"""),"Chị Huyền")</f>
        <v>Chị Huyền</v>
      </c>
      <c r="C6014" s="119" t="str">
        <f>IFERROR(__xludf.DUMMYFUNCTION("""COMPUTED_VALUE"""),"91 Hồ Đắc Di")</f>
        <v>91 Hồ Đắc Di</v>
      </c>
      <c r="D6014" s="119" t="str">
        <f>IFERROR(__xludf.DUMMYFUNCTION("""COMPUTED_VALUE"""),"Chó")</f>
        <v>Chó</v>
      </c>
      <c r="E6014" s="119" t="str">
        <f>IFERROR(__xludf.DUMMYFUNCTION("""COMPUTED_VALUE"""),"Mun")</f>
        <v>Mun</v>
      </c>
    </row>
    <row r="6015" ht="15.75" customHeight="1">
      <c r="A6015" s="122" t="str">
        <f>IFERROR(__xludf.DUMMYFUNCTION("""COMPUTED_VALUE"""),"0909 279 262")</f>
        <v>0909 279 262</v>
      </c>
      <c r="B6015" s="119" t="str">
        <f>IFERROR(__xludf.DUMMYFUNCTION("""COMPUTED_VALUE"""),"Anh Hiếu")</f>
        <v>Anh Hiếu</v>
      </c>
      <c r="C6015" s="119" t="str">
        <f>IFERROR(__xludf.DUMMYFUNCTION("""COMPUTED_VALUE"""),"Thủy Thanh")</f>
        <v>Thủy Thanh</v>
      </c>
      <c r="D6015" s="119" t="str">
        <f>IFERROR(__xludf.DUMMYFUNCTION("""COMPUTED_VALUE"""),"Chó")</f>
        <v>Chó</v>
      </c>
      <c r="E6015" s="119" t="str">
        <f>IFERROR(__xludf.DUMMYFUNCTION("""COMPUTED_VALUE"""),"Suri")</f>
        <v>Suri</v>
      </c>
    </row>
    <row r="6016" ht="15.75" customHeight="1">
      <c r="A6016" s="122" t="str">
        <f>IFERROR(__xludf.DUMMYFUNCTION("""COMPUTED_VALUE"""),"0935 525 063")</f>
        <v>0935 525 063</v>
      </c>
      <c r="B6016" s="119" t="str">
        <f>IFERROR(__xludf.DUMMYFUNCTION("""COMPUTED_VALUE"""),"Thầy Bảo")</f>
        <v>Thầy Bảo</v>
      </c>
      <c r="C6016" s="119" t="str">
        <f>IFERROR(__xludf.DUMMYFUNCTION("""COMPUTED_VALUE"""),"Chùa Kim Đài")</f>
        <v>Chùa Kim Đài</v>
      </c>
      <c r="D6016" s="119" t="str">
        <f>IFERROR(__xludf.DUMMYFUNCTION("""COMPUTED_VALUE"""),"Chó")</f>
        <v>Chó</v>
      </c>
      <c r="E6016" s="119" t="str">
        <f>IFERROR(__xludf.DUMMYFUNCTION("""COMPUTED_VALUE"""),"Vô Thường")</f>
        <v>Vô Thường</v>
      </c>
    </row>
    <row r="6017" ht="15.75" customHeight="1">
      <c r="A6017" s="122" t="str">
        <f>IFERROR(__xludf.DUMMYFUNCTION("""COMPUTED_VALUE"""),"0935 746 109")</f>
        <v>0935 746 109</v>
      </c>
      <c r="B6017" s="119" t="str">
        <f>IFERROR(__xludf.DUMMYFUNCTION("""COMPUTED_VALUE"""),"Lê Quang Thảo")</f>
        <v>Lê Quang Thảo</v>
      </c>
      <c r="C6017" s="119" t="str">
        <f>IFERROR(__xludf.DUMMYFUNCTION("""COMPUTED_VALUE"""),"86 Phùng Lưu")</f>
        <v>86 Phùng Lưu</v>
      </c>
      <c r="D6017" s="119" t="str">
        <f>IFERROR(__xludf.DUMMYFUNCTION("""COMPUTED_VALUE"""),"Chó")</f>
        <v>Chó</v>
      </c>
      <c r="E6017" s="119" t="str">
        <f>IFERROR(__xludf.DUMMYFUNCTION("""COMPUTED_VALUE"""),"Lỳ")</f>
        <v>Lỳ</v>
      </c>
    </row>
    <row r="6018" ht="15.75" customHeight="1">
      <c r="A6018" s="122" t="str">
        <f>IFERROR(__xludf.DUMMYFUNCTION("""COMPUTED_VALUE"""),"0935 824 588")</f>
        <v>0935 824 588</v>
      </c>
      <c r="B6018" s="119" t="str">
        <f>IFERROR(__xludf.DUMMYFUNCTION("""COMPUTED_VALUE"""),"Anh Tân")</f>
        <v>Anh Tân</v>
      </c>
      <c r="C6018" s="119" t="str">
        <f>IFERROR(__xludf.DUMMYFUNCTION("""COMPUTED_VALUE"""),"3 Phạm Ngũ Lão")</f>
        <v>3 Phạm Ngũ Lão</v>
      </c>
      <c r="D6018" s="119" t="str">
        <f>IFERROR(__xludf.DUMMYFUNCTION("""COMPUTED_VALUE"""),"Chó")</f>
        <v>Chó</v>
      </c>
      <c r="E6018" s="119" t="str">
        <f>IFERROR(__xludf.DUMMYFUNCTION("""COMPUTED_VALUE"""),"Cải")</f>
        <v>Cải</v>
      </c>
    </row>
    <row r="6019" ht="15.75" customHeight="1">
      <c r="A6019" s="122" t="str">
        <f>IFERROR(__xludf.DUMMYFUNCTION("""COMPUTED_VALUE"""),"0822 022 351")</f>
        <v>0822 022 351</v>
      </c>
      <c r="B6019" s="119" t="str">
        <f>IFERROR(__xludf.DUMMYFUNCTION("""COMPUTED_VALUE"""),"Trần Thị Hiền")</f>
        <v>Trần Thị Hiền</v>
      </c>
      <c r="C6019" s="119" t="str">
        <f>IFERROR(__xludf.DUMMYFUNCTION("""COMPUTED_VALUE"""),"6/198 Phan Chu Trinh")</f>
        <v>6/198 Phan Chu Trinh</v>
      </c>
      <c r="D6019" s="119" t="str">
        <f>IFERROR(__xludf.DUMMYFUNCTION("""COMPUTED_VALUE"""),"Mèo")</f>
        <v>Mèo</v>
      </c>
      <c r="E6019" s="119" t="str">
        <f>IFERROR(__xludf.DUMMYFUNCTION("""COMPUTED_VALUE"""),"Bông")</f>
        <v>Bông</v>
      </c>
    </row>
    <row r="6020" ht="15.75" customHeight="1">
      <c r="A6020" s="122" t="str">
        <f>IFERROR(__xludf.DUMMYFUNCTION("""COMPUTED_VALUE"""),"0948 185 200")</f>
        <v>0948 185 200</v>
      </c>
      <c r="B6020" s="119" t="str">
        <f>IFERROR(__xludf.DUMMYFUNCTION("""COMPUTED_VALUE"""),"Chị Phương")</f>
        <v>Chị Phương</v>
      </c>
      <c r="C6020" s="119" t="str">
        <f>IFERROR(__xludf.DUMMYFUNCTION("""COMPUTED_VALUE"""),"x11 Lại Thế")</f>
        <v>x11 Lại Thế</v>
      </c>
      <c r="D6020" s="119" t="str">
        <f>IFERROR(__xludf.DUMMYFUNCTION("""COMPUTED_VALUE"""),"Chó")</f>
        <v>Chó</v>
      </c>
      <c r="E6020" s="119" t="str">
        <f>IFERROR(__xludf.DUMMYFUNCTION("""COMPUTED_VALUE"""),"Mực")</f>
        <v>Mực</v>
      </c>
    </row>
    <row r="6021" ht="15.75" customHeight="1">
      <c r="A6021" s="122" t="str">
        <f>IFERROR(__xludf.DUMMYFUNCTION("""COMPUTED_VALUE"""),"0938 352 686")</f>
        <v>0938 352 686</v>
      </c>
      <c r="B6021" s="119" t="str">
        <f>IFERROR(__xludf.DUMMYFUNCTION("""COMPUTED_VALUE"""),"Anh Quảng")</f>
        <v>Anh Quảng</v>
      </c>
      <c r="C6021" s="119" t="str">
        <f>IFERROR(__xludf.DUMMYFUNCTION("""COMPUTED_VALUE"""),"183 Phan Bội Châu")</f>
        <v>183 Phan Bội Châu</v>
      </c>
      <c r="D6021" s="119" t="str">
        <f>IFERROR(__xludf.DUMMYFUNCTION("""COMPUTED_VALUE"""),"Chó")</f>
        <v>Chó</v>
      </c>
      <c r="E6021" s="119" t="str">
        <f>IFERROR(__xludf.DUMMYFUNCTION("""COMPUTED_VALUE"""),"Em")</f>
        <v>Em</v>
      </c>
    </row>
    <row r="6022" ht="15.75" customHeight="1">
      <c r="A6022" s="122" t="str">
        <f>IFERROR(__xludf.DUMMYFUNCTION("""COMPUTED_VALUE"""),"0879 935 820")</f>
        <v>0879 935 820</v>
      </c>
      <c r="B6022" s="119" t="str">
        <f>IFERROR(__xludf.DUMMYFUNCTION("""COMPUTED_VALUE"""),"Nguyễn Chánh Hòa")</f>
        <v>Nguyễn Chánh Hòa</v>
      </c>
      <c r="C6022" s="119" t="str">
        <f>IFERROR(__xludf.DUMMYFUNCTION("""COMPUTED_VALUE"""),"22 Trần Thái Tông")</f>
        <v>22 Trần Thái Tông</v>
      </c>
      <c r="D6022" s="119" t="str">
        <f>IFERROR(__xludf.DUMMYFUNCTION("""COMPUTED_VALUE"""),"Mèo")</f>
        <v>Mèo</v>
      </c>
      <c r="E6022" s="119" t="str">
        <f>IFERROR(__xludf.DUMMYFUNCTION("""COMPUTED_VALUE"""),"Miu")</f>
        <v>Miu</v>
      </c>
    </row>
    <row r="6023" ht="15.75" customHeight="1">
      <c r="A6023" s="122" t="str">
        <f>IFERROR(__xludf.DUMMYFUNCTION("""COMPUTED_VALUE"""),"0945 712 243")</f>
        <v>0945 712 243</v>
      </c>
      <c r="B6023" s="119" t="str">
        <f>IFERROR(__xludf.DUMMYFUNCTION("""COMPUTED_VALUE"""),"chú Nguyễn Quang Tân")</f>
        <v>chú Nguyễn Quang Tân</v>
      </c>
      <c r="C6023" s="119" t="str">
        <f>IFERROR(__xludf.DUMMYFUNCTION("""COMPUTED_VALUE"""),"Tổ 8 KV 4 phường An Tây")</f>
        <v>Tổ 8 KV 4 phường An Tây</v>
      </c>
      <c r="D6023" s="119" t="str">
        <f>IFERROR(__xludf.DUMMYFUNCTION("""COMPUTED_VALUE"""),"Chó")</f>
        <v>Chó</v>
      </c>
      <c r="E6023" s="119" t="str">
        <f>IFERROR(__xludf.DUMMYFUNCTION("""COMPUTED_VALUE"""),"Sóc")</f>
        <v>Sóc</v>
      </c>
    </row>
    <row r="6024" ht="15.75" customHeight="1">
      <c r="A6024" s="122" t="str">
        <f>IFERROR(__xludf.DUMMYFUNCTION("""COMPUTED_VALUE"""),"0705 957 379")</f>
        <v>0705 957 379</v>
      </c>
      <c r="B6024" s="119" t="str">
        <f>IFERROR(__xludf.DUMMYFUNCTION("""COMPUTED_VALUE"""),"Chú Lê Trọng Kiên")</f>
        <v>Chú Lê Trọng Kiên</v>
      </c>
      <c r="C6024" s="119" t="str">
        <f>IFERROR(__xludf.DUMMYFUNCTION("""COMPUTED_VALUE"""),"Thủy Dương")</f>
        <v>Thủy Dương</v>
      </c>
      <c r="D6024" s="119" t="str">
        <f>IFERROR(__xludf.DUMMYFUNCTION("""COMPUTED_VALUE"""),"Mèo")</f>
        <v>Mèo</v>
      </c>
      <c r="E6024" s="119" t="str">
        <f>IFERROR(__xludf.DUMMYFUNCTION("""COMPUTED_VALUE"""),"Mun")</f>
        <v>Mun</v>
      </c>
    </row>
    <row r="6025" ht="15.75" customHeight="1">
      <c r="A6025" s="122" t="str">
        <f>IFERROR(__xludf.DUMMYFUNCTION("""COMPUTED_VALUE"""),"0912 628 536")</f>
        <v>0912 628 536</v>
      </c>
      <c r="B6025" s="119" t="str">
        <f>IFERROR(__xludf.DUMMYFUNCTION("""COMPUTED_VALUE"""),"Chị Dung")</f>
        <v>Chị Dung</v>
      </c>
      <c r="C6025" s="119" t="str">
        <f>IFERROR(__xludf.DUMMYFUNCTION("""COMPUTED_VALUE"""),"103 Trần Phú")</f>
        <v>103 Trần Phú</v>
      </c>
      <c r="D6025" s="119" t="str">
        <f>IFERROR(__xludf.DUMMYFUNCTION("""COMPUTED_VALUE"""),"Mèo")</f>
        <v>Mèo</v>
      </c>
      <c r="E6025" s="119" t="str">
        <f>IFERROR(__xludf.DUMMYFUNCTION("""COMPUTED_VALUE"""),"Tây")</f>
        <v>Tây</v>
      </c>
    </row>
    <row r="6026" ht="15.75" customHeight="1">
      <c r="A6026" s="122" t="str">
        <f>IFERROR(__xludf.DUMMYFUNCTION("""COMPUTED_VALUE"""),"0383 013 697")</f>
        <v>0383 013 697</v>
      </c>
      <c r="B6026" s="119" t="str">
        <f>IFERROR(__xludf.DUMMYFUNCTION("""COMPUTED_VALUE"""),"dì Nguyễn Thị Thắm")</f>
        <v>dì Nguyễn Thị Thắm</v>
      </c>
      <c r="C6026" s="119" t="str">
        <f>IFERROR(__xludf.DUMMYFUNCTION("""COMPUTED_VALUE"""),"Phú Lộc")</f>
        <v>Phú Lộc</v>
      </c>
      <c r="D6026" s="119" t="str">
        <f>IFERROR(__xludf.DUMMYFUNCTION("""COMPUTED_VALUE"""),"Mèo")</f>
        <v>Mèo</v>
      </c>
      <c r="E6026" s="119" t="str">
        <f>IFERROR(__xludf.DUMMYFUNCTION("""COMPUTED_VALUE"""),"Meo")</f>
        <v>Meo</v>
      </c>
    </row>
    <row r="6027" ht="15.75" customHeight="1">
      <c r="A6027" s="122" t="str">
        <f>IFERROR(__xludf.DUMMYFUNCTION("""COMPUTED_VALUE"""),"0337 389 216")</f>
        <v>0337 389 216</v>
      </c>
      <c r="B6027" s="119" t="str">
        <f>IFERROR(__xludf.DUMMYFUNCTION("""COMPUTED_VALUE"""),"Anh Dương")</f>
        <v>Anh Dương</v>
      </c>
      <c r="C6027" s="119" t="str">
        <f>IFERROR(__xludf.DUMMYFUNCTION("""COMPUTED_VALUE"""),"3/1 Dương Văn An")</f>
        <v>3/1 Dương Văn An</v>
      </c>
      <c r="D6027" s="119" t="str">
        <f>IFERROR(__xludf.DUMMYFUNCTION("""COMPUTED_VALUE"""),"mèo")</f>
        <v>mèo</v>
      </c>
      <c r="E6027" s="119" t="str">
        <f>IFERROR(__xludf.DUMMYFUNCTION("""COMPUTED_VALUE"""),"Sin")</f>
        <v>Sin</v>
      </c>
    </row>
    <row r="6028" ht="15.75" customHeight="1">
      <c r="A6028" s="122" t="str">
        <f>IFERROR(__xludf.DUMMYFUNCTION("""COMPUTED_VALUE"""),"0931 962 226")</f>
        <v>0931 962 226</v>
      </c>
      <c r="B6028" s="119" t="str">
        <f>IFERROR(__xludf.DUMMYFUNCTION("""COMPUTED_VALUE"""),"Chị Nữ")</f>
        <v>Chị Nữ</v>
      </c>
      <c r="C6028" s="119" t="str">
        <f>IFERROR(__xludf.DUMMYFUNCTION("""COMPUTED_VALUE"""),"2/7/54 Lê Ngô Cát")</f>
        <v>2/7/54 Lê Ngô Cát</v>
      </c>
      <c r="D6028" s="119" t="str">
        <f>IFERROR(__xludf.DUMMYFUNCTION("""COMPUTED_VALUE"""),"Chó")</f>
        <v>Chó</v>
      </c>
      <c r="E6028" s="119" t="str">
        <f>IFERROR(__xludf.DUMMYFUNCTION("""COMPUTED_VALUE"""),"Xù")</f>
        <v>Xù</v>
      </c>
    </row>
    <row r="6029" ht="15.75" customHeight="1">
      <c r="A6029" s="122" t="str">
        <f>IFERROR(__xludf.DUMMYFUNCTION("""COMPUTED_VALUE"""),"0941 666 227")</f>
        <v>0941 666 227</v>
      </c>
      <c r="B6029" s="119" t="str">
        <f>IFERROR(__xludf.DUMMYFUNCTION("""COMPUTED_VALUE"""),"Chị Mỹ Duyên")</f>
        <v>Chị Mỹ Duyên</v>
      </c>
      <c r="C6029" s="119" t="str">
        <f>IFERROR(__xludf.DUMMYFUNCTION("""COMPUTED_VALUE"""),"29/134 Nguyễn Huệ")</f>
        <v>29/134 Nguyễn Huệ</v>
      </c>
      <c r="D6029" s="119" t="str">
        <f>IFERROR(__xludf.DUMMYFUNCTION("""COMPUTED_VALUE"""),"Mèo")</f>
        <v>Mèo</v>
      </c>
      <c r="E6029" s="119" t="str">
        <f>IFERROR(__xludf.DUMMYFUNCTION("""COMPUTED_VALUE"""),"Kiki")</f>
        <v>Kiki</v>
      </c>
    </row>
    <row r="6030" ht="15.75" customHeight="1">
      <c r="A6030" s="122" t="str">
        <f>IFERROR(__xludf.DUMMYFUNCTION("""COMPUTED_VALUE"""),"0942 846 891")</f>
        <v>0942 846 891</v>
      </c>
      <c r="B6030" s="119" t="str">
        <f>IFERROR(__xludf.DUMMYFUNCTION("""COMPUTED_VALUE"""),"Mai Hoàng")</f>
        <v>Mai Hoàng</v>
      </c>
      <c r="C6030" s="119" t="str">
        <f>IFERROR(__xludf.DUMMYFUNCTION("""COMPUTED_VALUE"""),"4/7 Chế Lan Viên")</f>
        <v>4/7 Chế Lan Viên</v>
      </c>
      <c r="D6030" s="119" t="str">
        <f>IFERROR(__xludf.DUMMYFUNCTION("""COMPUTED_VALUE"""),"mèo")</f>
        <v>mèo</v>
      </c>
      <c r="E6030" s="119" t="str">
        <f>IFERROR(__xludf.DUMMYFUNCTION("""COMPUTED_VALUE"""),"Ri")</f>
        <v>Ri</v>
      </c>
    </row>
    <row r="6031" ht="15.75" customHeight="1">
      <c r="A6031" s="122" t="str">
        <f>IFERROR(__xludf.DUMMYFUNCTION("""COMPUTED_VALUE"""),"0914 399 513")</f>
        <v>0914 399 513</v>
      </c>
      <c r="B6031" s="119" t="str">
        <f>IFERROR(__xludf.DUMMYFUNCTION("""COMPUTED_VALUE"""),"Hà Xuân Như Ý")</f>
        <v>Hà Xuân Như Ý</v>
      </c>
      <c r="C6031" s="119" t="str">
        <f>IFERROR(__xludf.DUMMYFUNCTION("""COMPUTED_VALUE"""),"6/13 Đặng Huy Trứ")</f>
        <v>6/13 Đặng Huy Trứ</v>
      </c>
      <c r="D6031" s="119" t="str">
        <f>IFERROR(__xludf.DUMMYFUNCTION("""COMPUTED_VALUE"""),"chó")</f>
        <v>chó</v>
      </c>
      <c r="E6031" s="119" t="str">
        <f>IFERROR(__xludf.DUMMYFUNCTION("""COMPUTED_VALUE"""),"Xù")</f>
        <v>Xù</v>
      </c>
    </row>
    <row r="6032" ht="15.75" customHeight="1">
      <c r="A6032" s="122" t="str">
        <f>IFERROR(__xludf.DUMMYFUNCTION("""COMPUTED_VALUE"""),"0838 171 819")</f>
        <v>0838 171 819</v>
      </c>
      <c r="B6032" s="119" t="str">
        <f>IFERROR(__xludf.DUMMYFUNCTION("""COMPUTED_VALUE"""),"Anh Thế Anh")</f>
        <v>Anh Thế Anh</v>
      </c>
      <c r="C6032" s="119" t="str">
        <f>IFERROR(__xludf.DUMMYFUNCTION("""COMPUTED_VALUE"""),"k56 Duy Tân")</f>
        <v>k56 Duy Tân</v>
      </c>
      <c r="D6032" s="119" t="str">
        <f>IFERROR(__xludf.DUMMYFUNCTION("""COMPUTED_VALUE"""),"mèo")</f>
        <v>mèo</v>
      </c>
      <c r="E6032" s="119" t="str">
        <f>IFERROR(__xludf.DUMMYFUNCTION("""COMPUTED_VALUE"""),"Sam")</f>
        <v>Sam</v>
      </c>
    </row>
    <row r="6033" ht="15.75" customHeight="1">
      <c r="A6033" s="122" t="str">
        <f>IFERROR(__xludf.DUMMYFUNCTION("""COMPUTED_VALUE"""),"0935 076 696")</f>
        <v>0935 076 696</v>
      </c>
      <c r="B6033" s="119" t="str">
        <f>IFERROR(__xludf.DUMMYFUNCTION("""COMPUTED_VALUE"""),"Chị Thu")</f>
        <v>Chị Thu</v>
      </c>
      <c r="C6033" s="119" t="str">
        <f>IFERROR(__xludf.DUMMYFUNCTION("""COMPUTED_VALUE"""),"22 Phạm Thế Hiển-Hương Thủy")</f>
        <v>22 Phạm Thế Hiển-Hương Thủy</v>
      </c>
      <c r="D6033" s="119" t="str">
        <f>IFERROR(__xludf.DUMMYFUNCTION("""COMPUTED_VALUE"""),"chó")</f>
        <v>chó</v>
      </c>
      <c r="E6033" s="119" t="str">
        <f>IFERROR(__xludf.DUMMYFUNCTION("""COMPUTED_VALUE"""),"Bốp")</f>
        <v>Bốp</v>
      </c>
    </row>
    <row r="6034" ht="15.75" customHeight="1">
      <c r="A6034" s="122" t="str">
        <f>IFERROR(__xludf.DUMMYFUNCTION("""COMPUTED_VALUE"""),"0889 072 593")</f>
        <v>0889 072 593</v>
      </c>
      <c r="B6034" s="119" t="str">
        <f>IFERROR(__xludf.DUMMYFUNCTION("""COMPUTED_VALUE"""),"Diệu Linh")</f>
        <v>Diệu Linh</v>
      </c>
      <c r="C6034" s="119" t="str">
        <f>IFERROR(__xludf.DUMMYFUNCTION("""COMPUTED_VALUE"""),"1B Phan Đình Phùng")</f>
        <v>1B Phan Đình Phùng</v>
      </c>
      <c r="D6034" s="119" t="str">
        <f>IFERROR(__xludf.DUMMYFUNCTION("""COMPUTED_VALUE"""),"Mèo")</f>
        <v>Mèo</v>
      </c>
      <c r="E6034" s="119" t="str">
        <f>IFERROR(__xludf.DUMMYFUNCTION("""COMPUTED_VALUE"""),"Đỗ")</f>
        <v>Đỗ</v>
      </c>
    </row>
    <row r="6035" ht="15.75" customHeight="1">
      <c r="A6035" s="122" t="str">
        <f>IFERROR(__xludf.DUMMYFUNCTION("""COMPUTED_VALUE"""),"0975 645 095")</f>
        <v>0975 645 095</v>
      </c>
      <c r="B6035" s="119" t="str">
        <f>IFERROR(__xludf.DUMMYFUNCTION("""COMPUTED_VALUE"""),"Anh Bảo")</f>
        <v>Anh Bảo</v>
      </c>
      <c r="C6035" s="119" t="str">
        <f>IFERROR(__xludf.DUMMYFUNCTION("""COMPUTED_VALUE"""),"289 Điện Biên Phủ")</f>
        <v>289 Điện Biên Phủ</v>
      </c>
      <c r="D6035" s="119" t="str">
        <f>IFERROR(__xludf.DUMMYFUNCTION("""COMPUTED_VALUE"""),"Chó")</f>
        <v>Chó</v>
      </c>
      <c r="E6035" s="119" t="str">
        <f>IFERROR(__xludf.DUMMYFUNCTION("""COMPUTED_VALUE"""),"Shi")</f>
        <v>Shi</v>
      </c>
    </row>
    <row r="6036" ht="15.75" customHeight="1">
      <c r="A6036" s="122" t="str">
        <f>IFERROR(__xludf.DUMMYFUNCTION("""COMPUTED_VALUE"""),"0326 924 461")</f>
        <v>0326 924 461</v>
      </c>
      <c r="B6036" s="119" t="str">
        <f>IFERROR(__xludf.DUMMYFUNCTION("""COMPUTED_VALUE"""),"Em Yến")</f>
        <v>Em Yến</v>
      </c>
      <c r="C6036" s="119" t="str">
        <f>IFERROR(__xludf.DUMMYFUNCTION("""COMPUTED_VALUE"""),"12/83 Phan Bội Châu")</f>
        <v>12/83 Phan Bội Châu</v>
      </c>
      <c r="D6036" s="119" t="str">
        <f>IFERROR(__xludf.DUMMYFUNCTION("""COMPUTED_VALUE"""),"chó")</f>
        <v>chó</v>
      </c>
      <c r="E6036" s="119" t="str">
        <f>IFERROR(__xludf.DUMMYFUNCTION("""COMPUTED_VALUE"""),"Mon")</f>
        <v>Mon</v>
      </c>
    </row>
    <row r="6037" ht="15.75" customHeight="1">
      <c r="A6037" s="122" t="str">
        <f>IFERROR(__xludf.DUMMYFUNCTION("""COMPUTED_VALUE"""),"0914 553 655")</f>
        <v>0914 553 655</v>
      </c>
      <c r="B6037" s="119" t="str">
        <f>IFERROR(__xludf.DUMMYFUNCTION("""COMPUTED_VALUE"""),"Chị Hiền")</f>
        <v>Chị Hiền</v>
      </c>
      <c r="C6037" s="119" t="str">
        <f>IFERROR(__xludf.DUMMYFUNCTION("""COMPUTED_VALUE"""),"Đặng Huy Trứ")</f>
        <v>Đặng Huy Trứ</v>
      </c>
      <c r="D6037" s="119" t="str">
        <f>IFERROR(__xludf.DUMMYFUNCTION("""COMPUTED_VALUE"""),"Chó")</f>
        <v>Chó</v>
      </c>
      <c r="E6037" s="119" t="str">
        <f>IFERROR(__xludf.DUMMYFUNCTION("""COMPUTED_VALUE"""),"Mực")</f>
        <v>Mực</v>
      </c>
    </row>
    <row r="6038" ht="15.75" customHeight="1">
      <c r="A6038" s="122" t="str">
        <f>IFERROR(__xludf.DUMMYFUNCTION("""COMPUTED_VALUE"""),"0787 778 112")</f>
        <v>0787 778 112</v>
      </c>
      <c r="B6038" s="119" t="str">
        <f>IFERROR(__xludf.DUMMYFUNCTION("""COMPUTED_VALUE"""),"Cát Tường")</f>
        <v>Cát Tường</v>
      </c>
      <c r="C6038" s="119" t="str">
        <f>IFERROR(__xludf.DUMMYFUNCTION("""COMPUTED_VALUE"""),"Phú Bài")</f>
        <v>Phú Bài</v>
      </c>
      <c r="D6038" s="119" t="str">
        <f>IFERROR(__xludf.DUMMYFUNCTION("""COMPUTED_VALUE"""),"chó")</f>
        <v>chó</v>
      </c>
      <c r="E6038" s="119" t="str">
        <f>IFERROR(__xludf.DUMMYFUNCTION("""COMPUTED_VALUE"""),"Ret")</f>
        <v>Ret</v>
      </c>
    </row>
    <row r="6039" ht="15.75" customHeight="1">
      <c r="A6039" s="122" t="str">
        <f>IFERROR(__xludf.DUMMYFUNCTION("""COMPUTED_VALUE"""),"0856 522 468")</f>
        <v>0856 522 468</v>
      </c>
      <c r="B6039" s="119" t="str">
        <f>IFERROR(__xludf.DUMMYFUNCTION("""COMPUTED_VALUE"""),"Nguyễn Nữ Tiểu Hạnh")</f>
        <v>Nguyễn Nữ Tiểu Hạnh</v>
      </c>
      <c r="C6039" s="119" t="str">
        <f>IFERROR(__xludf.DUMMYFUNCTION("""COMPUTED_VALUE"""),"14/396 Đinh Tiên Hoàng")</f>
        <v>14/396 Đinh Tiên Hoàng</v>
      </c>
      <c r="D6039" s="119" t="str">
        <f>IFERROR(__xludf.DUMMYFUNCTION("""COMPUTED_VALUE"""),"Chó")</f>
        <v>Chó</v>
      </c>
      <c r="E6039" s="119" t="str">
        <f>IFERROR(__xludf.DUMMYFUNCTION("""COMPUTED_VALUE"""),"gào")</f>
        <v>gào</v>
      </c>
    </row>
    <row r="6040" ht="15.75" customHeight="1">
      <c r="A6040" s="122" t="str">
        <f>IFERROR(__xludf.DUMMYFUNCTION("""COMPUTED_VALUE"""),"0934 359 136")</f>
        <v>0934 359 136</v>
      </c>
      <c r="B6040" s="119" t="str">
        <f>IFERROR(__xludf.DUMMYFUNCTION("""COMPUTED_VALUE"""),"Anh Đình Lâm")</f>
        <v>Anh Đình Lâm</v>
      </c>
      <c r="C6040" s="119" t="str">
        <f>IFERROR(__xludf.DUMMYFUNCTION("""COMPUTED_VALUE"""),"244 Điện Biên Phủ")</f>
        <v>244 Điện Biên Phủ</v>
      </c>
      <c r="D6040" s="119" t="str">
        <f>IFERROR(__xludf.DUMMYFUNCTION("""COMPUTED_VALUE"""),"Mèo")</f>
        <v>Mèo</v>
      </c>
      <c r="E6040" s="119" t="str">
        <f>IFERROR(__xludf.DUMMYFUNCTION("""COMPUTED_VALUE"""),"Ngơ")</f>
        <v>Ngơ</v>
      </c>
    </row>
    <row r="6041" ht="15.75" customHeight="1">
      <c r="A6041" s="122" t="str">
        <f>IFERROR(__xludf.DUMMYFUNCTION("""COMPUTED_VALUE"""),"0935 350 488")</f>
        <v>0935 350 488</v>
      </c>
      <c r="B6041" s="119" t="str">
        <f>IFERROR(__xludf.DUMMYFUNCTION("""COMPUTED_VALUE"""),"Chị Hoa")</f>
        <v>Chị Hoa</v>
      </c>
      <c r="C6041" s="119" t="str">
        <f>IFERROR(__xludf.DUMMYFUNCTION("""COMPUTED_VALUE"""),"18/39 Trần Phú")</f>
        <v>18/39 Trần Phú</v>
      </c>
      <c r="D6041" s="119" t="str">
        <f>IFERROR(__xludf.DUMMYFUNCTION("""COMPUTED_VALUE"""),"Chó")</f>
        <v>Chó</v>
      </c>
      <c r="E6041" s="119" t="str">
        <f>IFERROR(__xludf.DUMMYFUNCTION("""COMPUTED_VALUE"""),"Rốt")</f>
        <v>Rốt</v>
      </c>
    </row>
    <row r="6042" ht="15.75" customHeight="1">
      <c r="A6042" s="122" t="str">
        <f>IFERROR(__xludf.DUMMYFUNCTION("""COMPUTED_VALUE"""),"0901 179 410")</f>
        <v>0901 179 410</v>
      </c>
      <c r="B6042" s="119" t="str">
        <f>IFERROR(__xludf.DUMMYFUNCTION("""COMPUTED_VALUE"""),"Trần Đông")</f>
        <v>Trần Đông</v>
      </c>
      <c r="C6042" s="119" t="str">
        <f>IFERROR(__xludf.DUMMYFUNCTION("""COMPUTED_VALUE"""),"9c/91/131 Trần Phú")</f>
        <v>9c/91/131 Trần Phú</v>
      </c>
      <c r="D6042" s="119" t="str">
        <f>IFERROR(__xludf.DUMMYFUNCTION("""COMPUTED_VALUE"""),"Chó")</f>
        <v>Chó</v>
      </c>
      <c r="E6042" s="119" t="str">
        <f>IFERROR(__xludf.DUMMYFUNCTION("""COMPUTED_VALUE"""),"Gấu")</f>
        <v>Gấu</v>
      </c>
    </row>
    <row r="6043" ht="15.75" customHeight="1">
      <c r="A6043" s="122" t="str">
        <f>IFERROR(__xludf.DUMMYFUNCTION("""COMPUTED_VALUE"""),"0328 751 088")</f>
        <v>0328 751 088</v>
      </c>
      <c r="B6043" s="119" t="str">
        <f>IFERROR(__xludf.DUMMYFUNCTION("""COMPUTED_VALUE"""),"Anh Bảo Phước")</f>
        <v>Anh Bảo Phước</v>
      </c>
      <c r="C6043" s="119" t="str">
        <f>IFERROR(__xludf.DUMMYFUNCTION("""COMPUTED_VALUE"""),"KQH Bầu Vá")</f>
        <v>KQH Bầu Vá</v>
      </c>
      <c r="D6043" s="119" t="str">
        <f>IFERROR(__xludf.DUMMYFUNCTION("""COMPUTED_VALUE"""),"Mèo")</f>
        <v>Mèo</v>
      </c>
      <c r="E6043" s="119" t="str">
        <f>IFERROR(__xludf.DUMMYFUNCTION("""COMPUTED_VALUE"""),"Mee")</f>
        <v>Mee</v>
      </c>
    </row>
    <row r="6044" ht="15.75" customHeight="1">
      <c r="A6044" s="122" t="str">
        <f>IFERROR(__xludf.DUMMYFUNCTION("""COMPUTED_VALUE"""),"0364 254 625")</f>
        <v>0364 254 625</v>
      </c>
      <c r="B6044" s="119" t="str">
        <f>IFERROR(__xludf.DUMMYFUNCTION("""COMPUTED_VALUE"""),"Thầy Quảng Vinh")</f>
        <v>Thầy Quảng Vinh</v>
      </c>
      <c r="C6044" s="119" t="str">
        <f>IFERROR(__xludf.DUMMYFUNCTION("""COMPUTED_VALUE"""),"Chùa Long Sơn")</f>
        <v>Chùa Long Sơn</v>
      </c>
      <c r="D6044" s="119" t="str">
        <f>IFERROR(__xludf.DUMMYFUNCTION("""COMPUTED_VALUE"""),"Chó")</f>
        <v>Chó</v>
      </c>
      <c r="E6044" s="119" t="str">
        <f>IFERROR(__xludf.DUMMYFUNCTION("""COMPUTED_VALUE"""),"Nếp")</f>
        <v>Nếp</v>
      </c>
    </row>
    <row r="6045" ht="15.75" customHeight="1">
      <c r="A6045" s="122" t="str">
        <f>IFERROR(__xludf.DUMMYFUNCTION("""COMPUTED_VALUE"""),"0909 241 819")</f>
        <v>0909 241 819</v>
      </c>
      <c r="B6045" s="119" t="str">
        <f>IFERROR(__xludf.DUMMYFUNCTION("""COMPUTED_VALUE"""),"Chị Ty")</f>
        <v>Chị Ty</v>
      </c>
      <c r="C6045" s="119" t="str">
        <f>IFERROR(__xludf.DUMMYFUNCTION("""COMPUTED_VALUE"""),"76 Bà Triệu")</f>
        <v>76 Bà Triệu</v>
      </c>
      <c r="D6045" s="119" t="str">
        <f>IFERROR(__xludf.DUMMYFUNCTION("""COMPUTED_VALUE"""),"Chó")</f>
        <v>Chó</v>
      </c>
      <c r="E6045" s="119" t="str">
        <f>IFERROR(__xludf.DUMMYFUNCTION("""COMPUTED_VALUE"""),"Snow")</f>
        <v>Snow</v>
      </c>
    </row>
    <row r="6046" ht="15.75" customHeight="1">
      <c r="A6046" s="122" t="str">
        <f>IFERROR(__xludf.DUMMYFUNCTION("""COMPUTED_VALUE"""),"0975 646 320")</f>
        <v>0975 646 320</v>
      </c>
      <c r="B6046" s="119" t="str">
        <f>IFERROR(__xludf.DUMMYFUNCTION("""COMPUTED_VALUE"""),"Chị Hoa")</f>
        <v>Chị Hoa</v>
      </c>
      <c r="C6046" s="119" t="str">
        <f>IFERROR(__xludf.DUMMYFUNCTION("""COMPUTED_VALUE"""),"9/73 E Nguyễn Hữu Cảnh")</f>
        <v>9/73 E Nguyễn Hữu Cảnh</v>
      </c>
      <c r="D6046" s="119" t="str">
        <f>IFERROR(__xludf.DUMMYFUNCTION("""COMPUTED_VALUE"""),"Chó")</f>
        <v>Chó</v>
      </c>
      <c r="E6046" s="119" t="str">
        <f>IFERROR(__xludf.DUMMYFUNCTION("""COMPUTED_VALUE"""),"Su")</f>
        <v>Su</v>
      </c>
    </row>
    <row r="6047" ht="15.75" customHeight="1">
      <c r="A6047" s="122" t="str">
        <f>IFERROR(__xludf.DUMMYFUNCTION("""COMPUTED_VALUE"""),"0978 689 932")</f>
        <v>0978 689 932</v>
      </c>
      <c r="B6047" s="119" t="str">
        <f>IFERROR(__xludf.DUMMYFUNCTION("""COMPUTED_VALUE"""),"Anh Thạch")</f>
        <v>Anh Thạch</v>
      </c>
      <c r="C6047" s="119" t="str">
        <f>IFERROR(__xludf.DUMMYFUNCTION("""COMPUTED_VALUE"""),"Trường Chinh")</f>
        <v>Trường Chinh</v>
      </c>
      <c r="D6047" s="119" t="str">
        <f>IFERROR(__xludf.DUMMYFUNCTION("""COMPUTED_VALUE"""),"Mèo")</f>
        <v>Mèo</v>
      </c>
      <c r="E6047" s="119" t="str">
        <f>IFERROR(__xludf.DUMMYFUNCTION("""COMPUTED_VALUE"""),"nu")</f>
        <v>nu</v>
      </c>
    </row>
    <row r="6048" ht="15.75" customHeight="1">
      <c r="A6048" s="122" t="str">
        <f>IFERROR(__xludf.DUMMYFUNCTION("""COMPUTED_VALUE"""),"0363 663 360")</f>
        <v>0363 663 360</v>
      </c>
      <c r="B6048" s="119" t="str">
        <f>IFERROR(__xludf.DUMMYFUNCTION("""COMPUTED_VALUE"""),"Lê Duy Nam")</f>
        <v>Lê Duy Nam</v>
      </c>
      <c r="C6048" s="119" t="str">
        <f>IFERROR(__xludf.DUMMYFUNCTION("""COMPUTED_VALUE"""),"118 Nguyễn Hữu Cảnh")</f>
        <v>118 Nguyễn Hữu Cảnh</v>
      </c>
      <c r="D6048" s="119" t="str">
        <f>IFERROR(__xludf.DUMMYFUNCTION("""COMPUTED_VALUE"""),"Mèo")</f>
        <v>Mèo</v>
      </c>
      <c r="E6048" s="119" t="str">
        <f>IFERROR(__xludf.DUMMYFUNCTION("""COMPUTED_VALUE"""),"Méo")</f>
        <v>Méo</v>
      </c>
    </row>
    <row r="6049" ht="15.75" customHeight="1">
      <c r="A6049" s="122" t="str">
        <f>IFERROR(__xludf.DUMMYFUNCTION("""COMPUTED_VALUE"""),"0795 516 999")</f>
        <v>0795 516 999</v>
      </c>
      <c r="B6049" s="119" t="str">
        <f>IFERROR(__xludf.DUMMYFUNCTION("""COMPUTED_VALUE"""),"Chị Trang")</f>
        <v>Chị Trang</v>
      </c>
      <c r="C6049" s="119" t="str">
        <f>IFERROR(__xludf.DUMMYFUNCTION("""COMPUTED_VALUE"""),"19/35 Ngự Bình")</f>
        <v>19/35 Ngự Bình</v>
      </c>
      <c r="D6049" s="119" t="str">
        <f>IFERROR(__xludf.DUMMYFUNCTION("""COMPUTED_VALUE"""),"Chó")</f>
        <v>Chó</v>
      </c>
      <c r="E6049" s="119" t="str">
        <f>IFERROR(__xludf.DUMMYFUNCTION("""COMPUTED_VALUE"""),"Lucky")</f>
        <v>Lucky</v>
      </c>
    </row>
    <row r="6050" ht="15.75" customHeight="1">
      <c r="A6050" s="122" t="str">
        <f>IFERROR(__xludf.DUMMYFUNCTION("""COMPUTED_VALUE"""),"0947 613 496")</f>
        <v>0947 613 496</v>
      </c>
      <c r="B6050" s="119" t="str">
        <f>IFERROR(__xludf.DUMMYFUNCTION("""COMPUTED_VALUE"""),"Quỳnh Trâm")</f>
        <v>Quỳnh Trâm</v>
      </c>
      <c r="C6050" s="119" t="str">
        <f>IFERROR(__xludf.DUMMYFUNCTION("""COMPUTED_VALUE"""),"10/4/16 Đoàn Hữu Trưng")</f>
        <v>10/4/16 Đoàn Hữu Trưng</v>
      </c>
      <c r="D6050" s="119" t="str">
        <f>IFERROR(__xludf.DUMMYFUNCTION("""COMPUTED_VALUE"""),"Chó")</f>
        <v>Chó</v>
      </c>
      <c r="E6050" s="119" t="str">
        <f>IFERROR(__xludf.DUMMYFUNCTION("""COMPUTED_VALUE"""),"Phệ")</f>
        <v>Phệ</v>
      </c>
    </row>
    <row r="6051" ht="15.75" customHeight="1">
      <c r="A6051" s="122" t="str">
        <f>IFERROR(__xludf.DUMMYFUNCTION("""COMPUTED_VALUE"""),"0762 601 606")</f>
        <v>0762 601 606</v>
      </c>
      <c r="B6051" s="119" t="str">
        <f>IFERROR(__xludf.DUMMYFUNCTION("""COMPUTED_VALUE"""),"Trều Hưng")</f>
        <v>Trều Hưng</v>
      </c>
      <c r="C6051" s="119" t="str">
        <f>IFERROR(__xludf.DUMMYFUNCTION("""COMPUTED_VALUE"""),"Phú Thượng-Phú Vang")</f>
        <v>Phú Thượng-Phú Vang</v>
      </c>
      <c r="D6051" s="119" t="str">
        <f>IFERROR(__xludf.DUMMYFUNCTION("""COMPUTED_VALUE"""),"Chó")</f>
        <v>Chó</v>
      </c>
      <c r="E6051" s="119" t="str">
        <f>IFERROR(__xludf.DUMMYFUNCTION("""COMPUTED_VALUE"""),"Xoài")</f>
        <v>Xoài</v>
      </c>
    </row>
    <row r="6052" ht="15.75" customHeight="1">
      <c r="A6052" s="122" t="str">
        <f>IFERROR(__xludf.DUMMYFUNCTION("""COMPUTED_VALUE"""),"0388 158 833")</f>
        <v>0388 158 833</v>
      </c>
      <c r="B6052" s="119" t="str">
        <f>IFERROR(__xludf.DUMMYFUNCTION("""COMPUTED_VALUE"""),"Anh Nam")</f>
        <v>Anh Nam</v>
      </c>
      <c r="C6052" s="119" t="str">
        <f>IFERROR(__xludf.DUMMYFUNCTION("""COMPUTED_VALUE"""),"02 Tam Thai")</f>
        <v>02 Tam Thai</v>
      </c>
      <c r="D6052" s="119" t="str">
        <f>IFERROR(__xludf.DUMMYFUNCTION("""COMPUTED_VALUE"""),"Chó")</f>
        <v>Chó</v>
      </c>
      <c r="E6052" s="119" t="str">
        <f>IFERROR(__xludf.DUMMYFUNCTION("""COMPUTED_VALUE"""),"Đen")</f>
        <v>Đen</v>
      </c>
    </row>
    <row r="6053" ht="15.75" customHeight="1">
      <c r="A6053" s="122" t="str">
        <f>IFERROR(__xludf.DUMMYFUNCTION("""COMPUTED_VALUE"""),"0797 066 655")</f>
        <v>0797 066 655</v>
      </c>
      <c r="B6053" s="119" t="str">
        <f>IFERROR(__xludf.DUMMYFUNCTION("""COMPUTED_VALUE"""),"Chị Ni")</f>
        <v>Chị Ni</v>
      </c>
      <c r="C6053" s="119" t="str">
        <f>IFERROR(__xludf.DUMMYFUNCTION("""COMPUTED_VALUE"""),"109 Nguyễn Tất Thành")</f>
        <v>109 Nguyễn Tất Thành</v>
      </c>
      <c r="D6053" s="119" t="str">
        <f>IFERROR(__xludf.DUMMYFUNCTION("""COMPUTED_VALUE"""),"Mèo")</f>
        <v>Mèo</v>
      </c>
      <c r="E6053" s="119" t="str">
        <f>IFERROR(__xludf.DUMMYFUNCTION("""COMPUTED_VALUE"""),"Xoài")</f>
        <v>Xoài</v>
      </c>
    </row>
    <row r="6054" ht="15.75" customHeight="1">
      <c r="A6054" s="122" t="str">
        <f>IFERROR(__xludf.DUMMYFUNCTION("""COMPUTED_VALUE"""),"0337 985 945")</f>
        <v>0337 985 945</v>
      </c>
      <c r="B6054" s="119" t="str">
        <f>IFERROR(__xludf.DUMMYFUNCTION("""COMPUTED_VALUE"""),"Chị Ngân")</f>
        <v>Chị Ngân</v>
      </c>
      <c r="C6054" s="119" t="str">
        <f>IFERROR(__xludf.DUMMYFUNCTION("""COMPUTED_VALUE"""),"19/6/42 Đào Tấn")</f>
        <v>19/6/42 Đào Tấn</v>
      </c>
      <c r="D6054" s="119" t="str">
        <f>IFERROR(__xludf.DUMMYFUNCTION("""COMPUTED_VALUE"""),"Chó")</f>
        <v>Chó</v>
      </c>
      <c r="E6054" s="119" t="str">
        <f>IFERROR(__xludf.DUMMYFUNCTION("""COMPUTED_VALUE"""),"Bông")</f>
        <v>Bông</v>
      </c>
    </row>
    <row r="6055" ht="15.75" customHeight="1">
      <c r="A6055" s="122" t="str">
        <f>IFERROR(__xludf.DUMMYFUNCTION("""COMPUTED_VALUE"""),"0934 853 842")</f>
        <v>0934 853 842</v>
      </c>
      <c r="B6055" s="119" t="str">
        <f>IFERROR(__xludf.DUMMYFUNCTION("""COMPUTED_VALUE"""),"Nguyễn Thị Đình Ý")</f>
        <v>Nguyễn Thị Đình Ý</v>
      </c>
      <c r="C6055" s="119" t="str">
        <f>IFERROR(__xludf.DUMMYFUNCTION("""COMPUTED_VALUE"""),"Phú Lộc")</f>
        <v>Phú Lộc</v>
      </c>
      <c r="D6055" s="119" t="str">
        <f>IFERROR(__xludf.DUMMYFUNCTION("""COMPUTED_VALUE"""),"Chó")</f>
        <v>Chó</v>
      </c>
      <c r="E6055" s="119" t="str">
        <f>IFERROR(__xludf.DUMMYFUNCTION("""COMPUTED_VALUE"""),"Lu")</f>
        <v>Lu</v>
      </c>
    </row>
    <row r="6056" ht="15.75" customHeight="1">
      <c r="A6056" s="122" t="str">
        <f>IFERROR(__xludf.DUMMYFUNCTION("""COMPUTED_VALUE"""),"0903 555 572")</f>
        <v>0903 555 572</v>
      </c>
      <c r="B6056" s="119" t="str">
        <f>IFERROR(__xludf.DUMMYFUNCTION("""COMPUTED_VALUE"""),"Anh Toản")</f>
        <v>Anh Toản</v>
      </c>
      <c r="C6056" s="119" t="str">
        <f>IFERROR(__xludf.DUMMYFUNCTION("""COMPUTED_VALUE"""),"100 Điện Biên Phủ")</f>
        <v>100 Điện Biên Phủ</v>
      </c>
      <c r="D6056" s="119" t="str">
        <f>IFERROR(__xludf.DUMMYFUNCTION("""COMPUTED_VALUE"""),"Chó")</f>
        <v>Chó</v>
      </c>
      <c r="E6056" s="119" t="str">
        <f>IFERROR(__xludf.DUMMYFUNCTION("""COMPUTED_VALUE"""),"Gấu")</f>
        <v>Gấu</v>
      </c>
    </row>
    <row r="6057" ht="15.75" customHeight="1">
      <c r="A6057" s="122" t="str">
        <f>IFERROR(__xludf.DUMMYFUNCTION("""COMPUTED_VALUE"""),"0702 444 456")</f>
        <v>0702 444 456</v>
      </c>
      <c r="B6057" s="119" t="str">
        <f>IFERROR(__xludf.DUMMYFUNCTION("""COMPUTED_VALUE"""),"Trần Văn Quốc Toản")</f>
        <v>Trần Văn Quốc Toản</v>
      </c>
      <c r="C6057" s="119" t="str">
        <f>IFERROR(__xludf.DUMMYFUNCTION("""COMPUTED_VALUE"""),"50/93 Đặng Huy Trứ")</f>
        <v>50/93 Đặng Huy Trứ</v>
      </c>
      <c r="D6057" s="119" t="str">
        <f>IFERROR(__xludf.DUMMYFUNCTION("""COMPUTED_VALUE"""),"Chó")</f>
        <v>Chó</v>
      </c>
      <c r="E6057" s="119" t="str">
        <f>IFERROR(__xludf.DUMMYFUNCTION("""COMPUTED_VALUE"""),"Tủn")</f>
        <v>Tủn</v>
      </c>
    </row>
    <row r="6058" ht="15.75" customHeight="1">
      <c r="A6058" s="122" t="str">
        <f>IFERROR(__xludf.DUMMYFUNCTION("""COMPUTED_VALUE"""),"0766 636 704")</f>
        <v>0766 636 704</v>
      </c>
      <c r="B6058" s="119" t="str">
        <f>IFERROR(__xludf.DUMMYFUNCTION("""COMPUTED_VALUE"""),"Chị Hồng")</f>
        <v>Chị Hồng</v>
      </c>
      <c r="C6058" s="119" t="str">
        <f>IFERROR(__xludf.DUMMYFUNCTION("""COMPUTED_VALUE"""),"Phú Vang")</f>
        <v>Phú Vang</v>
      </c>
      <c r="D6058" s="119" t="str">
        <f>IFERROR(__xludf.DUMMYFUNCTION("""COMPUTED_VALUE"""),"Mèo")</f>
        <v>Mèo</v>
      </c>
      <c r="E6058" s="119" t="str">
        <f>IFERROR(__xludf.DUMMYFUNCTION("""COMPUTED_VALUE"""),"Ngáo")</f>
        <v>Ngáo</v>
      </c>
    </row>
    <row r="6059" ht="15.75" customHeight="1">
      <c r="A6059" s="122" t="str">
        <f>IFERROR(__xludf.DUMMYFUNCTION("""COMPUTED_VALUE"""),"0932 506 682")</f>
        <v>0932 506 682</v>
      </c>
      <c r="B6059" s="119" t="str">
        <f>IFERROR(__xludf.DUMMYFUNCTION("""COMPUTED_VALUE"""),"Chị Ánh")</f>
        <v>Chị Ánh</v>
      </c>
      <c r="C6059" s="119" t="str">
        <f>IFERROR(__xludf.DUMMYFUNCTION("""COMPUTED_VALUE"""),"17/85 Nguyễn Huệ")</f>
        <v>17/85 Nguyễn Huệ</v>
      </c>
      <c r="D6059" s="119" t="str">
        <f>IFERROR(__xludf.DUMMYFUNCTION("""COMPUTED_VALUE"""),"Chó")</f>
        <v>Chó</v>
      </c>
      <c r="E6059" s="119" t="str">
        <f>IFERROR(__xludf.DUMMYFUNCTION("""COMPUTED_VALUE"""),"Tôm")</f>
        <v>Tôm</v>
      </c>
    </row>
    <row r="6060" ht="15.75" customHeight="1">
      <c r="A6060" s="122" t="str">
        <f>IFERROR(__xludf.DUMMYFUNCTION("""COMPUTED_VALUE"""),"0987 385 117")</f>
        <v>0987 385 117</v>
      </c>
      <c r="B6060" s="119" t="str">
        <f>IFERROR(__xludf.DUMMYFUNCTION("""COMPUTED_VALUE"""),"Phạm Thị Duyên")</f>
        <v>Phạm Thị Duyên</v>
      </c>
      <c r="C6060" s="119" t="str">
        <f>IFERROR(__xludf.DUMMYFUNCTION("""COMPUTED_VALUE"""),"11/54/131 Trần Phú")</f>
        <v>11/54/131 Trần Phú</v>
      </c>
      <c r="D6060" s="119" t="str">
        <f>IFERROR(__xludf.DUMMYFUNCTION("""COMPUTED_VALUE"""),"Chó")</f>
        <v>Chó</v>
      </c>
      <c r="E6060" s="119" t="str">
        <f>IFERROR(__xludf.DUMMYFUNCTION("""COMPUTED_VALUE"""),"lu")</f>
        <v>lu</v>
      </c>
    </row>
    <row r="6061" ht="15.75" customHeight="1">
      <c r="A6061" s="122" t="str">
        <f>IFERROR(__xludf.DUMMYFUNCTION("""COMPUTED_VALUE"""),"0855 510 211")</f>
        <v>0855 510 211</v>
      </c>
      <c r="B6061" s="119" t="str">
        <f>IFERROR(__xludf.DUMMYFUNCTION("""COMPUTED_VALUE"""),"Chị Linh")</f>
        <v>Chị Linh</v>
      </c>
      <c r="C6061" s="119" t="str">
        <f>IFERROR(__xludf.DUMMYFUNCTION("""COMPUTED_VALUE"""),"7/91/131 Trần Phú")</f>
        <v>7/91/131 Trần Phú</v>
      </c>
      <c r="D6061" s="119" t="str">
        <f>IFERROR(__xludf.DUMMYFUNCTION("""COMPUTED_VALUE"""),"Chó")</f>
        <v>Chó</v>
      </c>
      <c r="E6061" s="119" t="str">
        <f>IFERROR(__xludf.DUMMYFUNCTION("""COMPUTED_VALUE"""),"Đen")</f>
        <v>Đen</v>
      </c>
    </row>
    <row r="6062" ht="15.75" customHeight="1">
      <c r="A6062" s="122" t="str">
        <f>IFERROR(__xludf.DUMMYFUNCTION("""COMPUTED_VALUE"""),"0934 890 105")</f>
        <v>0934 890 105</v>
      </c>
      <c r="B6062" s="119" t="str">
        <f>IFERROR(__xludf.DUMMYFUNCTION("""COMPUTED_VALUE"""),"Anh Qúy")</f>
        <v>Anh Qúy</v>
      </c>
      <c r="C6062" s="119" t="str">
        <f>IFERROR(__xludf.DUMMYFUNCTION("""COMPUTED_VALUE"""),"7/209 Điện Biên Phủ")</f>
        <v>7/209 Điện Biên Phủ</v>
      </c>
      <c r="D6062" s="119" t="str">
        <f>IFERROR(__xludf.DUMMYFUNCTION("""COMPUTED_VALUE"""),"Chó")</f>
        <v>Chó</v>
      </c>
      <c r="E6062" s="119" t="str">
        <f>IFERROR(__xludf.DUMMYFUNCTION("""COMPUTED_VALUE"""),"Mun")</f>
        <v>Mun</v>
      </c>
    </row>
    <row r="6063" ht="15.75" customHeight="1">
      <c r="A6063" s="122" t="str">
        <f>IFERROR(__xludf.DUMMYFUNCTION("""COMPUTED_VALUE"""),"0917 346 983")</f>
        <v>0917 346 983</v>
      </c>
      <c r="B6063" s="119" t="str">
        <f>IFERROR(__xludf.DUMMYFUNCTION("""COMPUTED_VALUE"""),"Hằng")</f>
        <v>Hằng</v>
      </c>
      <c r="C6063" s="119" t="str">
        <f>IFERROR(__xludf.DUMMYFUNCTION("""COMPUTED_VALUE"""),"17H/51/131 Trần Phú")</f>
        <v>17H/51/131 Trần Phú</v>
      </c>
      <c r="D6063" s="119" t="str">
        <f>IFERROR(__xludf.DUMMYFUNCTION("""COMPUTED_VALUE"""),"Chó")</f>
        <v>Chó</v>
      </c>
      <c r="E6063" s="119" t="str">
        <f>IFERROR(__xludf.DUMMYFUNCTION("""COMPUTED_VALUE"""),"Miu")</f>
        <v>Miu</v>
      </c>
    </row>
    <row r="6064" ht="15.75" customHeight="1">
      <c r="A6064" s="122" t="str">
        <f>IFERROR(__xludf.DUMMYFUNCTION("""COMPUTED_VALUE"""),"0327 695 900")</f>
        <v>0327 695 900</v>
      </c>
      <c r="B6064" s="119" t="str">
        <f>IFERROR(__xludf.DUMMYFUNCTION("""COMPUTED_VALUE"""),"Xuân Thy")</f>
        <v>Xuân Thy</v>
      </c>
      <c r="C6064" s="119" t="str">
        <f>IFERROR(__xludf.DUMMYFUNCTION("""COMPUTED_VALUE"""),"10/1 Quảng Tế")</f>
        <v>10/1 Quảng Tế</v>
      </c>
      <c r="D6064" s="119" t="str">
        <f>IFERROR(__xludf.DUMMYFUNCTION("""COMPUTED_VALUE"""),"Mèo")</f>
        <v>Mèo</v>
      </c>
      <c r="E6064" s="119" t="str">
        <f>IFERROR(__xludf.DUMMYFUNCTION("""COMPUTED_VALUE"""),"Gà")</f>
        <v>Gà</v>
      </c>
    </row>
    <row r="6065" ht="15.75" customHeight="1">
      <c r="A6065" s="122" t="str">
        <f>IFERROR(__xludf.DUMMYFUNCTION("""COMPUTED_VALUE"""),"0964 431 162")</f>
        <v>0964 431 162</v>
      </c>
      <c r="B6065" s="119" t="str">
        <f>IFERROR(__xludf.DUMMYFUNCTION("""COMPUTED_VALUE"""),"Chị Minh Huy")</f>
        <v>Chị Minh Huy</v>
      </c>
      <c r="C6065" s="119" t="str">
        <f>IFERROR(__xludf.DUMMYFUNCTION("""COMPUTED_VALUE"""),"10 Thích Tịnh Khiết")</f>
        <v>10 Thích Tịnh Khiết</v>
      </c>
      <c r="D6065" s="119" t="str">
        <f>IFERROR(__xludf.DUMMYFUNCTION("""COMPUTED_VALUE"""),"Mèo")</f>
        <v>Mèo</v>
      </c>
      <c r="E6065" s="119" t="str">
        <f>IFERROR(__xludf.DUMMYFUNCTION("""COMPUTED_VALUE"""),"Tèo")</f>
        <v>Tèo</v>
      </c>
    </row>
    <row r="6066" ht="15.75" customHeight="1">
      <c r="A6066" s="122" t="str">
        <f>IFERROR(__xludf.DUMMYFUNCTION("""COMPUTED_VALUE"""),"0905 517 401")</f>
        <v>0905 517 401</v>
      </c>
      <c r="B6066" s="119" t="str">
        <f>IFERROR(__xludf.DUMMYFUNCTION("""COMPUTED_VALUE"""),"Chị Phương Anh")</f>
        <v>Chị Phương Anh</v>
      </c>
      <c r="C6066" s="119" t="str">
        <f>IFERROR(__xludf.DUMMYFUNCTION("""COMPUTED_VALUE"""),"94 Bà Triệu")</f>
        <v>94 Bà Triệu</v>
      </c>
      <c r="D6066" s="119" t="str">
        <f>IFERROR(__xludf.DUMMYFUNCTION("""COMPUTED_VALUE"""),"Chó")</f>
        <v>Chó</v>
      </c>
      <c r="E6066" s="119" t="str">
        <f>IFERROR(__xludf.DUMMYFUNCTION("""COMPUTED_VALUE"""),"Kem")</f>
        <v>Kem</v>
      </c>
    </row>
    <row r="6067" ht="15.75" customHeight="1">
      <c r="A6067" s="122" t="str">
        <f>IFERROR(__xludf.DUMMYFUNCTION("""COMPUTED_VALUE"""),"0795 757 375")</f>
        <v>0795 757 375</v>
      </c>
      <c r="B6067" s="119" t="str">
        <f>IFERROR(__xludf.DUMMYFUNCTION("""COMPUTED_VALUE"""),"Anh Nam")</f>
        <v>Anh Nam</v>
      </c>
      <c r="C6067" s="119" t="str">
        <f>IFERROR(__xludf.DUMMYFUNCTION("""COMPUTED_VALUE"""),"44 Hoàng Thị Loan")</f>
        <v>44 Hoàng Thị Loan</v>
      </c>
      <c r="D6067" s="119" t="str">
        <f>IFERROR(__xludf.DUMMYFUNCTION("""COMPUTED_VALUE"""),"Chó")</f>
        <v>Chó</v>
      </c>
      <c r="E6067" s="119" t="str">
        <f>IFERROR(__xludf.DUMMYFUNCTION("""COMPUTED_VALUE"""),"Mon")</f>
        <v>Mon</v>
      </c>
    </row>
    <row r="6068" ht="15.75" customHeight="1">
      <c r="A6068" s="122" t="str">
        <f>IFERROR(__xludf.DUMMYFUNCTION("""COMPUTED_VALUE"""),"0372 500 722")</f>
        <v>0372 500 722</v>
      </c>
      <c r="B6068" s="119" t="str">
        <f>IFERROR(__xludf.DUMMYFUNCTION("""COMPUTED_VALUE"""),"Thầy Minh Giới")</f>
        <v>Thầy Minh Giới</v>
      </c>
      <c r="C6068" s="119" t="str">
        <f>IFERROR(__xludf.DUMMYFUNCTION("""COMPUTED_VALUE"""),"Chùa Kim Đài")</f>
        <v>Chùa Kim Đài</v>
      </c>
      <c r="D6068" s="119" t="str">
        <f>IFERROR(__xludf.DUMMYFUNCTION("""COMPUTED_VALUE"""),"Chó")</f>
        <v>Chó</v>
      </c>
      <c r="E6068" s="119" t="str">
        <f>IFERROR(__xludf.DUMMYFUNCTION("""COMPUTED_VALUE"""),"Kin")</f>
        <v>Kin</v>
      </c>
    </row>
    <row r="6069" ht="15.75" customHeight="1">
      <c r="A6069" s="122" t="str">
        <f>IFERROR(__xludf.DUMMYFUNCTION("""COMPUTED_VALUE"""),"0766 633 332")</f>
        <v>0766 633 332</v>
      </c>
      <c r="B6069" s="119" t="str">
        <f>IFERROR(__xludf.DUMMYFUNCTION("""COMPUTED_VALUE"""),"Em Huy Phong")</f>
        <v>Em Huy Phong</v>
      </c>
      <c r="C6069" s="119" t="str">
        <f>IFERROR(__xludf.DUMMYFUNCTION("""COMPUTED_VALUE"""),"47 Nguyễn Lộ Trạch")</f>
        <v>47 Nguyễn Lộ Trạch</v>
      </c>
      <c r="D6069" s="119" t="str">
        <f>IFERROR(__xludf.DUMMYFUNCTION("""COMPUTED_VALUE"""),"Mèo")</f>
        <v>Mèo</v>
      </c>
      <c r="E6069" s="119" t="str">
        <f>IFERROR(__xludf.DUMMYFUNCTION("""COMPUTED_VALUE"""),"ME O")</f>
        <v>ME O</v>
      </c>
    </row>
    <row r="6070" ht="15.75" customHeight="1">
      <c r="A6070" s="122" t="str">
        <f>IFERROR(__xludf.DUMMYFUNCTION("""COMPUTED_VALUE"""),"0905 495 152")</f>
        <v>0905 495 152</v>
      </c>
      <c r="B6070" s="119" t="str">
        <f>IFERROR(__xludf.DUMMYFUNCTION("""COMPUTED_VALUE"""),"Anh Hoàng")</f>
        <v>Anh Hoàng</v>
      </c>
      <c r="C6070" s="119" t="str">
        <f>IFERROR(__xludf.DUMMYFUNCTION("""COMPUTED_VALUE"""),"33 Điện Biên Phủ")</f>
        <v>33 Điện Biên Phủ</v>
      </c>
      <c r="D6070" s="119" t="str">
        <f>IFERROR(__xludf.DUMMYFUNCTION("""COMPUTED_VALUE"""),"Mèo")</f>
        <v>Mèo</v>
      </c>
      <c r="E6070" s="119" t="str">
        <f>IFERROR(__xludf.DUMMYFUNCTION("""COMPUTED_VALUE"""),"Miu")</f>
        <v>Miu</v>
      </c>
    </row>
    <row r="6071" ht="15.75" customHeight="1">
      <c r="A6071" s="122" t="str">
        <f>IFERROR(__xludf.DUMMYFUNCTION("""COMPUTED_VALUE"""),"0909 864 933")</f>
        <v>0909 864 933</v>
      </c>
      <c r="B6071" s="119" t="str">
        <f>IFERROR(__xludf.DUMMYFUNCTION("""COMPUTED_VALUE"""),"Lê Hoàng Phương Vỹ")</f>
        <v>Lê Hoàng Phương Vỹ</v>
      </c>
      <c r="C6071" s="119" t="str">
        <f>IFERROR(__xludf.DUMMYFUNCTION("""COMPUTED_VALUE"""),"Lê Ngô Cát")</f>
        <v>Lê Ngô Cát</v>
      </c>
      <c r="D6071" s="119" t="str">
        <f>IFERROR(__xludf.DUMMYFUNCTION("""COMPUTED_VALUE"""),"Chó")</f>
        <v>Chó</v>
      </c>
      <c r="E6071" s="119" t="str">
        <f>IFERROR(__xludf.DUMMYFUNCTION("""COMPUTED_VALUE"""),"Đậu Hủ")</f>
        <v>Đậu Hủ</v>
      </c>
    </row>
    <row r="6072" ht="15.75" customHeight="1">
      <c r="A6072" s="122" t="str">
        <f>IFERROR(__xludf.DUMMYFUNCTION("""COMPUTED_VALUE"""),"0766 782 710")</f>
        <v>0766 782 710</v>
      </c>
      <c r="B6072" s="119" t="str">
        <f>IFERROR(__xludf.DUMMYFUNCTION("""COMPUTED_VALUE"""),"Chị Phương Anh")</f>
        <v>Chị Phương Anh</v>
      </c>
      <c r="C6072" s="119" t="str">
        <f>IFERROR(__xludf.DUMMYFUNCTION("""COMPUTED_VALUE"""),"139 Phan Bội Châu")</f>
        <v>139 Phan Bội Châu</v>
      </c>
      <c r="D6072" s="119" t="str">
        <f>IFERROR(__xludf.DUMMYFUNCTION("""COMPUTED_VALUE"""),"Chó")</f>
        <v>Chó</v>
      </c>
      <c r="E6072" s="119" t="str">
        <f>IFERROR(__xludf.DUMMYFUNCTION("""COMPUTED_VALUE"""),"Đậu")</f>
        <v>Đậu</v>
      </c>
    </row>
    <row r="6073" ht="15.75" customHeight="1">
      <c r="A6073" s="122" t="str">
        <f>IFERROR(__xludf.DUMMYFUNCTION("""COMPUTED_VALUE"""),"0935 002 209")</f>
        <v>0935 002 209</v>
      </c>
      <c r="B6073" s="119" t="str">
        <f>IFERROR(__xludf.DUMMYFUNCTION("""COMPUTED_VALUE"""),"Chị Linh")</f>
        <v>Chị Linh</v>
      </c>
      <c r="C6073" s="119" t="str">
        <f>IFERROR(__xludf.DUMMYFUNCTION("""COMPUTED_VALUE"""),"6 Phan Cảnh Kế")</f>
        <v>6 Phan Cảnh Kế</v>
      </c>
      <c r="D6073" s="119" t="str">
        <f>IFERROR(__xludf.DUMMYFUNCTION("""COMPUTED_VALUE"""),"Chó")</f>
        <v>Chó</v>
      </c>
      <c r="E6073" s="119" t="str">
        <f>IFERROR(__xludf.DUMMYFUNCTION("""COMPUTED_VALUE"""),"Bơ")</f>
        <v>Bơ</v>
      </c>
    </row>
    <row r="6074" ht="15.75" customHeight="1">
      <c r="A6074" s="122" t="str">
        <f>IFERROR(__xludf.DUMMYFUNCTION("""COMPUTED_VALUE"""),"0827 488 648")</f>
        <v>0827 488 648</v>
      </c>
      <c r="B6074" s="119" t="str">
        <f>IFERROR(__xludf.DUMMYFUNCTION("""COMPUTED_VALUE"""),"Anh Ngọc Thuận")</f>
        <v>Anh Ngọc Thuận</v>
      </c>
      <c r="C6074" s="119" t="str">
        <f>IFERROR(__xludf.DUMMYFUNCTION("""COMPUTED_VALUE"""),"87 Lê Ngô Cát")</f>
        <v>87 Lê Ngô Cát</v>
      </c>
      <c r="D6074" s="119" t="str">
        <f>IFERROR(__xludf.DUMMYFUNCTION("""COMPUTED_VALUE"""),"Chó")</f>
        <v>Chó</v>
      </c>
      <c r="E6074" s="119" t="str">
        <f>IFERROR(__xludf.DUMMYFUNCTION("""COMPUTED_VALUE"""),"Ngố")</f>
        <v>Ngố</v>
      </c>
    </row>
    <row r="6075" ht="15.75" customHeight="1">
      <c r="A6075" s="122" t="str">
        <f>IFERROR(__xludf.DUMMYFUNCTION("""COMPUTED_VALUE"""),"0968 622 084")</f>
        <v>0968 622 084</v>
      </c>
      <c r="B6075" s="119" t="str">
        <f>IFERROR(__xludf.DUMMYFUNCTION("""COMPUTED_VALUE"""),"Nguyễn Thị Kim Tuyến")</f>
        <v>Nguyễn Thị Kim Tuyến</v>
      </c>
      <c r="C6075" s="119" t="str">
        <f>IFERROR(__xludf.DUMMYFUNCTION("""COMPUTED_VALUE"""),"10/22 Hàm Nghi")</f>
        <v>10/22 Hàm Nghi</v>
      </c>
      <c r="D6075" s="119" t="str">
        <f>IFERROR(__xludf.DUMMYFUNCTION("""COMPUTED_VALUE"""),"Mèo")</f>
        <v>Mèo</v>
      </c>
      <c r="E6075" s="119" t="str">
        <f>IFERROR(__xludf.DUMMYFUNCTION("""COMPUTED_VALUE"""),"Sữa")</f>
        <v>Sữa</v>
      </c>
    </row>
    <row r="6076" ht="15.75" customHeight="1">
      <c r="A6076" s="122" t="str">
        <f>IFERROR(__xludf.DUMMYFUNCTION("""COMPUTED_VALUE"""),"0939 876 461")</f>
        <v>0939 876 461</v>
      </c>
      <c r="B6076" s="119" t="str">
        <f>IFERROR(__xludf.DUMMYFUNCTION("""COMPUTED_VALUE"""),"Chị Phương Nhung")</f>
        <v>Chị Phương Nhung</v>
      </c>
      <c r="C6076" s="119" t="str">
        <f>IFERROR(__xludf.DUMMYFUNCTION("""COMPUTED_VALUE"""),"08 Văn Cao")</f>
        <v>08 Văn Cao</v>
      </c>
      <c r="D6076" s="119" t="str">
        <f>IFERROR(__xludf.DUMMYFUNCTION("""COMPUTED_VALUE"""),"Mèo")</f>
        <v>Mèo</v>
      </c>
      <c r="E6076" s="119" t="str">
        <f>IFERROR(__xludf.DUMMYFUNCTION("""COMPUTED_VALUE"""),"Mai thúy")</f>
        <v>Mai thúy</v>
      </c>
    </row>
    <row r="6077" ht="15.75" customHeight="1">
      <c r="A6077" s="122" t="str">
        <f>IFERROR(__xludf.DUMMYFUNCTION("""COMPUTED_VALUE"""),"0823 994 613")</f>
        <v>0823 994 613</v>
      </c>
      <c r="B6077" s="119" t="str">
        <f>IFERROR(__xludf.DUMMYFUNCTION("""COMPUTED_VALUE"""),"anh Tín")</f>
        <v>anh Tín</v>
      </c>
      <c r="C6077" s="119" t="str">
        <f>IFERROR(__xludf.DUMMYFUNCTION("""COMPUTED_VALUE"""),"6/15/69/131 Trần Phú")</f>
        <v>6/15/69/131 Trần Phú</v>
      </c>
      <c r="D6077" s="119" t="str">
        <f>IFERROR(__xludf.DUMMYFUNCTION("""COMPUTED_VALUE"""),"Mèo")</f>
        <v>Mèo</v>
      </c>
      <c r="E6077" s="119" t="str">
        <f>IFERROR(__xludf.DUMMYFUNCTION("""COMPUTED_VALUE"""),"Cam")</f>
        <v>Cam</v>
      </c>
    </row>
    <row r="6078" ht="15.75" customHeight="1">
      <c r="A6078" s="122" t="str">
        <f>IFERROR(__xludf.DUMMYFUNCTION("""COMPUTED_VALUE"""),"0984 888 148")</f>
        <v>0984 888 148</v>
      </c>
      <c r="B6078" s="119" t="str">
        <f>IFERROR(__xludf.DUMMYFUNCTION("""COMPUTED_VALUE"""),"Nguyễn Hoàng Anh")</f>
        <v>Nguyễn Hoàng Anh</v>
      </c>
      <c r="C6078" s="119" t="str">
        <f>IFERROR(__xludf.DUMMYFUNCTION("""COMPUTED_VALUE"""),"85/131 Trần Phú")</f>
        <v>85/131 Trần Phú</v>
      </c>
      <c r="D6078" s="119" t="str">
        <f>IFERROR(__xludf.DUMMYFUNCTION("""COMPUTED_VALUE"""),"Mèo")</f>
        <v>Mèo</v>
      </c>
      <c r="E6078" s="119" t="str">
        <f>IFERROR(__xludf.DUMMYFUNCTION("""COMPUTED_VALUE"""),"Tồ")</f>
        <v>Tồ</v>
      </c>
    </row>
    <row r="6079" ht="15.75" customHeight="1">
      <c r="A6079" s="122" t="str">
        <f>IFERROR(__xludf.DUMMYFUNCTION("""COMPUTED_VALUE"""),"0387 163 517")</f>
        <v>0387 163 517</v>
      </c>
      <c r="B6079" s="119" t="str">
        <f>IFERROR(__xludf.DUMMYFUNCTION("""COMPUTED_VALUE"""),"Em Quang")</f>
        <v>Em Quang</v>
      </c>
      <c r="C6079" s="119" t="str">
        <f>IFERROR(__xludf.DUMMYFUNCTION("""COMPUTED_VALUE"""),"2/48 Trần Thúc Nhẫn")</f>
        <v>2/48 Trần Thúc Nhẫn</v>
      </c>
      <c r="D6079" s="119" t="str">
        <f>IFERROR(__xludf.DUMMYFUNCTION("""COMPUTED_VALUE"""),"Chó")</f>
        <v>Chó</v>
      </c>
      <c r="E6079" s="119" t="str">
        <f>IFERROR(__xludf.DUMMYFUNCTION("""COMPUTED_VALUE"""),"Đen")</f>
        <v>Đen</v>
      </c>
    </row>
    <row r="6080" ht="15.75" customHeight="1">
      <c r="A6080" s="122" t="str">
        <f>IFERROR(__xludf.DUMMYFUNCTION("""COMPUTED_VALUE"""),"0766 927 967")</f>
        <v>0766 927 967</v>
      </c>
      <c r="B6080" s="119" t="str">
        <f>IFERROR(__xludf.DUMMYFUNCTION("""COMPUTED_VALUE"""),"Chị Na")</f>
        <v>Chị Na</v>
      </c>
      <c r="C6080" s="119" t="str">
        <f>IFERROR(__xludf.DUMMYFUNCTION("""COMPUTED_VALUE"""),"39/89 Duy Tân")</f>
        <v>39/89 Duy Tân</v>
      </c>
      <c r="D6080" s="119" t="str">
        <f>IFERROR(__xludf.DUMMYFUNCTION("""COMPUTED_VALUE"""),"Chó")</f>
        <v>Chó</v>
      </c>
      <c r="E6080" s="119" t="str">
        <f>IFERROR(__xludf.DUMMYFUNCTION("""COMPUTED_VALUE"""),"Cheng")</f>
        <v>Cheng</v>
      </c>
    </row>
    <row r="6081" ht="15.75" customHeight="1">
      <c r="A6081" s="122" t="str">
        <f>IFERROR(__xludf.DUMMYFUNCTION("""COMPUTED_VALUE"""),"0913 808 337")</f>
        <v>0913 808 337</v>
      </c>
      <c r="B6081" s="119" t="str">
        <f>IFERROR(__xludf.DUMMYFUNCTION("""COMPUTED_VALUE"""),"Chị Lệ An")</f>
        <v>Chị Lệ An</v>
      </c>
      <c r="C6081" s="119" t="str">
        <f>IFERROR(__xludf.DUMMYFUNCTION("""COMPUTED_VALUE"""),"2/27 Chế Lan Viên")</f>
        <v>2/27 Chế Lan Viên</v>
      </c>
      <c r="D6081" s="119" t="str">
        <f>IFERROR(__xludf.DUMMYFUNCTION("""COMPUTED_VALUE"""),"Mèo")</f>
        <v>Mèo</v>
      </c>
      <c r="E6081" s="119" t="str">
        <f>IFERROR(__xludf.DUMMYFUNCTION("""COMPUTED_VALUE"""),"Rich")</f>
        <v>Rich</v>
      </c>
    </row>
    <row r="6082" ht="15.75" customHeight="1">
      <c r="A6082" s="122" t="str">
        <f>IFERROR(__xludf.DUMMYFUNCTION("""COMPUTED_VALUE"""),"0967 214 283")</f>
        <v>0967 214 283</v>
      </c>
      <c r="B6082" s="119" t="str">
        <f>IFERROR(__xludf.DUMMYFUNCTION("""COMPUTED_VALUE"""),"Chị Nhung")</f>
        <v>Chị Nhung</v>
      </c>
      <c r="C6082" s="119" t="str">
        <f>IFERROR(__xludf.DUMMYFUNCTION("""COMPUTED_VALUE"""),"17/129 An Dương Vương")</f>
        <v>17/129 An Dương Vương</v>
      </c>
      <c r="D6082" s="119" t="str">
        <f>IFERROR(__xludf.DUMMYFUNCTION("""COMPUTED_VALUE"""),"Mèo")</f>
        <v>Mèo</v>
      </c>
      <c r="E6082" s="119" t="str">
        <f>IFERROR(__xludf.DUMMYFUNCTION("""COMPUTED_VALUE"""),"xì")</f>
        <v>xì</v>
      </c>
    </row>
    <row r="6083" ht="15.75" customHeight="1">
      <c r="A6083" s="122" t="str">
        <f>IFERROR(__xludf.DUMMYFUNCTION("""COMPUTED_VALUE"""),"0397 530 600")</f>
        <v>0397 530 600</v>
      </c>
      <c r="B6083" s="119" t="str">
        <f>IFERROR(__xludf.DUMMYFUNCTION("""COMPUTED_VALUE"""),"cô Oanh")</f>
        <v>cô Oanh</v>
      </c>
      <c r="C6083" s="119" t="str">
        <f>IFERROR(__xludf.DUMMYFUNCTION("""COMPUTED_VALUE"""),"1/10/210 Phan Chu Trinh")</f>
        <v>1/10/210 Phan Chu Trinh</v>
      </c>
      <c r="D6083" s="119" t="str">
        <f>IFERROR(__xludf.DUMMYFUNCTION("""COMPUTED_VALUE"""),"Chó")</f>
        <v>Chó</v>
      </c>
      <c r="E6083" s="119" t="str">
        <f>IFERROR(__xludf.DUMMYFUNCTION("""COMPUTED_VALUE"""),"Noir")</f>
        <v>Noir</v>
      </c>
    </row>
    <row r="6084" ht="15.75" customHeight="1">
      <c r="A6084" s="122" t="str">
        <f>IFERROR(__xludf.DUMMYFUNCTION("""COMPUTED_VALUE"""),"0977 282 716")</f>
        <v>0977 282 716</v>
      </c>
      <c r="B6084" s="119" t="str">
        <f>IFERROR(__xludf.DUMMYFUNCTION("""COMPUTED_VALUE"""),"Chị Tuyết Minh")</f>
        <v>Chị Tuyết Minh</v>
      </c>
      <c r="C6084" s="119" t="str">
        <f>IFERROR(__xludf.DUMMYFUNCTION("""COMPUTED_VALUE"""),"k55 Vũ Ngọc Phan")</f>
        <v>k55 Vũ Ngọc Phan</v>
      </c>
      <c r="D6084" s="119" t="str">
        <f>IFERROR(__xludf.DUMMYFUNCTION("""COMPUTED_VALUE"""),"Chó")</f>
        <v>Chó</v>
      </c>
      <c r="E6084" s="119" t="str">
        <f>IFERROR(__xludf.DUMMYFUNCTION("""COMPUTED_VALUE"""),"Ben")</f>
        <v>Ben</v>
      </c>
    </row>
    <row r="6085" ht="15.75" customHeight="1">
      <c r="A6085" s="122" t="str">
        <f>IFERROR(__xludf.DUMMYFUNCTION("""COMPUTED_VALUE"""),"0762 530 434")</f>
        <v>0762 530 434</v>
      </c>
      <c r="B6085" s="119" t="str">
        <f>IFERROR(__xludf.DUMMYFUNCTION("""COMPUTED_VALUE"""),"Chị Trang")</f>
        <v>Chị Trang</v>
      </c>
      <c r="C6085" s="119" t="str">
        <f>IFERROR(__xludf.DUMMYFUNCTION("""COMPUTED_VALUE"""),"150 Nguyễn Hữu Cảnh")</f>
        <v>150 Nguyễn Hữu Cảnh</v>
      </c>
      <c r="D6085" s="119" t="str">
        <f>IFERROR(__xludf.DUMMYFUNCTION("""COMPUTED_VALUE"""),"Chó")</f>
        <v>Chó</v>
      </c>
      <c r="E6085" s="119" t="str">
        <f>IFERROR(__xludf.DUMMYFUNCTION("""COMPUTED_VALUE"""),"Cóc")</f>
        <v>Cóc</v>
      </c>
    </row>
    <row r="6086" ht="15.75" customHeight="1">
      <c r="A6086" s="122" t="str">
        <f>IFERROR(__xludf.DUMMYFUNCTION("""COMPUTED_VALUE"""),"0932 525 100")</f>
        <v>0932 525 100</v>
      </c>
      <c r="B6086" s="119" t="str">
        <f>IFERROR(__xludf.DUMMYFUNCTION("""COMPUTED_VALUE"""),"Anh Ty")</f>
        <v>Anh Ty</v>
      </c>
      <c r="C6086" s="119" t="str">
        <f>IFERROR(__xludf.DUMMYFUNCTION("""COMPUTED_VALUE"""),"7/86 Thiên Thai")</f>
        <v>7/86 Thiên Thai</v>
      </c>
      <c r="D6086" s="119" t="str">
        <f>IFERROR(__xludf.DUMMYFUNCTION("""COMPUTED_VALUE"""),"Chó")</f>
        <v>Chó</v>
      </c>
      <c r="E6086" s="119" t="str">
        <f>IFERROR(__xludf.DUMMYFUNCTION("""COMPUTED_VALUE"""),"Nâu")</f>
        <v>Nâu</v>
      </c>
    </row>
    <row r="6087" ht="15.75" customHeight="1">
      <c r="A6087" s="122" t="str">
        <f>IFERROR(__xludf.DUMMYFUNCTION("""COMPUTED_VALUE"""),"0901 994 037")</f>
        <v>0901 994 037</v>
      </c>
      <c r="B6087" s="119" t="str">
        <f>IFERROR(__xludf.DUMMYFUNCTION("""COMPUTED_VALUE"""),"Anh Quân")</f>
        <v>Anh Quân</v>
      </c>
      <c r="C6087" s="119" t="str">
        <f>IFERROR(__xludf.DUMMYFUNCTION("""COMPUTED_VALUE"""),"Vincoland")</f>
        <v>Vincoland</v>
      </c>
      <c r="D6087" s="119" t="str">
        <f>IFERROR(__xludf.DUMMYFUNCTION("""COMPUTED_VALUE"""),"Mèo")</f>
        <v>Mèo</v>
      </c>
      <c r="E6087" s="119" t="str">
        <f>IFERROR(__xludf.DUMMYFUNCTION("""COMPUTED_VALUE"""),"Moon")</f>
        <v>Moon</v>
      </c>
    </row>
    <row r="6088" ht="15.75" customHeight="1">
      <c r="A6088" s="122" t="str">
        <f>IFERROR(__xludf.DUMMYFUNCTION("""COMPUTED_VALUE"""),"0386 854 659")</f>
        <v>0386 854 659</v>
      </c>
      <c r="B6088" s="119" t="str">
        <f>IFERROR(__xludf.DUMMYFUNCTION("""COMPUTED_VALUE"""),"Nguyễn thị Trúc Quỳnh")</f>
        <v>Nguyễn thị Trúc Quỳnh</v>
      </c>
      <c r="C6088" s="119" t="str">
        <f>IFERROR(__xludf.DUMMYFUNCTION("""COMPUTED_VALUE"""),"118 Nguyễn Hữu Cảnh")</f>
        <v>118 Nguyễn Hữu Cảnh</v>
      </c>
      <c r="D6088" s="119" t="str">
        <f>IFERROR(__xludf.DUMMYFUNCTION("""COMPUTED_VALUE"""),"Mèo")</f>
        <v>Mèo</v>
      </c>
      <c r="E6088" s="119" t="str">
        <f>IFERROR(__xludf.DUMMYFUNCTION("""COMPUTED_VALUE"""),"Gâu")</f>
        <v>Gâu</v>
      </c>
    </row>
    <row r="6089" ht="15.75" customHeight="1">
      <c r="A6089" s="122" t="str">
        <f>IFERROR(__xludf.DUMMYFUNCTION("""COMPUTED_VALUE"""),"0983 971 572")</f>
        <v>0983 971 572</v>
      </c>
      <c r="B6089" s="119" t="str">
        <f>IFERROR(__xludf.DUMMYFUNCTION("""COMPUTED_VALUE"""),"Chị Linh")</f>
        <v>Chị Linh</v>
      </c>
      <c r="C6089" s="119" t="str">
        <f>IFERROR(__xludf.DUMMYFUNCTION("""COMPUTED_VALUE"""),"Phú Bài")</f>
        <v>Phú Bài</v>
      </c>
      <c r="D6089" s="119" t="str">
        <f>IFERROR(__xludf.DUMMYFUNCTION("""COMPUTED_VALUE"""),"Mèo")</f>
        <v>Mèo</v>
      </c>
      <c r="E6089" s="119" t="str">
        <f>IFERROR(__xludf.DUMMYFUNCTION("""COMPUTED_VALUE"""),"Mimi")</f>
        <v>Mimi</v>
      </c>
    </row>
    <row r="6090" ht="15.75" customHeight="1">
      <c r="A6090" s="122" t="str">
        <f>IFERROR(__xludf.DUMMYFUNCTION("""COMPUTED_VALUE"""),"0888 350 304")</f>
        <v>0888 350 304</v>
      </c>
      <c r="B6090" s="119" t="str">
        <f>IFERROR(__xludf.DUMMYFUNCTION("""COMPUTED_VALUE"""),"Chị Ý Lan")</f>
        <v>Chị Ý Lan</v>
      </c>
      <c r="C6090" s="119" t="str">
        <f>IFERROR(__xludf.DUMMYFUNCTION("""COMPUTED_VALUE"""),"Đặng Huy Trứ")</f>
        <v>Đặng Huy Trứ</v>
      </c>
      <c r="D6090" s="119" t="str">
        <f>IFERROR(__xludf.DUMMYFUNCTION("""COMPUTED_VALUE"""),"Chó")</f>
        <v>Chó</v>
      </c>
      <c r="E6090" s="119" t="str">
        <f>IFERROR(__xludf.DUMMYFUNCTION("""COMPUTED_VALUE"""),"Lucy")</f>
        <v>Lucy</v>
      </c>
    </row>
    <row r="6091" ht="15.75" customHeight="1">
      <c r="A6091" s="122" t="str">
        <f>IFERROR(__xludf.DUMMYFUNCTION("""COMPUTED_VALUE"""),"0936 028 793")</f>
        <v>0936 028 793</v>
      </c>
      <c r="B6091" s="119" t="str">
        <f>IFERROR(__xludf.DUMMYFUNCTION("""COMPUTED_VALUE"""),"Cô Nữ Quảng Thiện")</f>
        <v>Cô Nữ Quảng Thiện</v>
      </c>
      <c r="C6091" s="119" t="str">
        <f>IFERROR(__xludf.DUMMYFUNCTION("""COMPUTED_VALUE"""),"Hương Thọ")</f>
        <v>Hương Thọ</v>
      </c>
      <c r="D6091" s="119" t="str">
        <f>IFERROR(__xludf.DUMMYFUNCTION("""COMPUTED_VALUE"""),"Chó")</f>
        <v>Chó</v>
      </c>
      <c r="E6091" s="119" t="str">
        <f>IFERROR(__xludf.DUMMYFUNCTION("""COMPUTED_VALUE"""),"Kay")</f>
        <v>Kay</v>
      </c>
    </row>
    <row r="6092" ht="15.75" customHeight="1">
      <c r="A6092" s="122" t="str">
        <f>IFERROR(__xludf.DUMMYFUNCTION("""COMPUTED_VALUE"""),"0935 262 149")</f>
        <v>0935 262 149</v>
      </c>
      <c r="B6092" s="119" t="str">
        <f>IFERROR(__xludf.DUMMYFUNCTION("""COMPUTED_VALUE"""),"Chị Bach Huệ")</f>
        <v>Chị Bach Huệ</v>
      </c>
      <c r="C6092" s="119" t="str">
        <f>IFERROR(__xludf.DUMMYFUNCTION("""COMPUTED_VALUE"""),"59 Đặng Huy Trứ")</f>
        <v>59 Đặng Huy Trứ</v>
      </c>
      <c r="D6092" s="119" t="str">
        <f>IFERROR(__xludf.DUMMYFUNCTION("""COMPUTED_VALUE"""),"Mèo")</f>
        <v>Mèo</v>
      </c>
      <c r="E6092" s="119" t="str">
        <f>IFERROR(__xludf.DUMMYFUNCTION("""COMPUTED_VALUE"""),"Mít")</f>
        <v>Mít</v>
      </c>
    </row>
    <row r="6093" ht="15.75" customHeight="1">
      <c r="A6093" s="122" t="str">
        <f>IFERROR(__xludf.DUMMYFUNCTION("""COMPUTED_VALUE"""),"0326 926 461")</f>
        <v>0326 926 461</v>
      </c>
      <c r="B6093" s="119" t="str">
        <f>IFERROR(__xludf.DUMMYFUNCTION("""COMPUTED_VALUE"""),"Em Yến")</f>
        <v>Em Yến</v>
      </c>
      <c r="C6093" s="119" t="str">
        <f>IFERROR(__xludf.DUMMYFUNCTION("""COMPUTED_VALUE"""),"183 Phan Bội Châu")</f>
        <v>183 Phan Bội Châu</v>
      </c>
      <c r="D6093" s="119" t="str">
        <f>IFERROR(__xludf.DUMMYFUNCTION("""COMPUTED_VALUE"""),"Chó")</f>
        <v>Chó</v>
      </c>
      <c r="E6093" s="119" t="str">
        <f>IFERROR(__xludf.DUMMYFUNCTION("""COMPUTED_VALUE"""),"Mon")</f>
        <v>Mon</v>
      </c>
    </row>
    <row r="6094" ht="15.75" customHeight="1">
      <c r="A6094" s="122" t="str">
        <f>IFERROR(__xludf.DUMMYFUNCTION("""COMPUTED_VALUE"""),"0905 884 889")</f>
        <v>0905 884 889</v>
      </c>
      <c r="B6094" s="119" t="str">
        <f>IFERROR(__xludf.DUMMYFUNCTION("""COMPUTED_VALUE"""),"Cô Hằng")</f>
        <v>Cô Hằng</v>
      </c>
      <c r="C6094" s="119" t="str">
        <f>IFERROR(__xludf.DUMMYFUNCTION("""COMPUTED_VALUE"""),"k49 Đào Tấn")</f>
        <v>k49 Đào Tấn</v>
      </c>
      <c r="D6094" s="119" t="str">
        <f>IFERROR(__xludf.DUMMYFUNCTION("""COMPUTED_VALUE"""),"Chó")</f>
        <v>Chó</v>
      </c>
      <c r="E6094" s="119" t="str">
        <f>IFERROR(__xludf.DUMMYFUNCTION("""COMPUTED_VALUE"""),"Mập")</f>
        <v>Mập</v>
      </c>
    </row>
    <row r="6095" ht="15.75" customHeight="1">
      <c r="A6095" s="122" t="str">
        <f>IFERROR(__xludf.DUMMYFUNCTION("""COMPUTED_VALUE"""),"0901 537 575")</f>
        <v>0901 537 575</v>
      </c>
      <c r="B6095" s="119" t="str">
        <f>IFERROR(__xludf.DUMMYFUNCTION("""COMPUTED_VALUE"""),"Anh Hùng")</f>
        <v>Anh Hùng</v>
      </c>
      <c r="C6095" s="119" t="str">
        <f>IFERROR(__xludf.DUMMYFUNCTION("""COMPUTED_VALUE"""),"Phú vang")</f>
        <v>Phú vang</v>
      </c>
      <c r="D6095" s="119" t="str">
        <f>IFERROR(__xludf.DUMMYFUNCTION("""COMPUTED_VALUE"""),"Chó")</f>
        <v>Chó</v>
      </c>
      <c r="E6095" s="119" t="str">
        <f>IFERROR(__xludf.DUMMYFUNCTION("""COMPUTED_VALUE"""),"Đen")</f>
        <v>Đen</v>
      </c>
    </row>
    <row r="6096" ht="15.75" customHeight="1">
      <c r="A6096" s="122" t="str">
        <f>IFERROR(__xludf.DUMMYFUNCTION("""COMPUTED_VALUE"""),"0935 258 828")</f>
        <v>0935 258 828</v>
      </c>
      <c r="B6096" s="119" t="str">
        <f>IFERROR(__xludf.DUMMYFUNCTION("""COMPUTED_VALUE"""),"Ngọc Anh")</f>
        <v>Ngọc Anh</v>
      </c>
      <c r="C6096" s="119" t="str">
        <f>IFERROR(__xludf.DUMMYFUNCTION("""COMPUTED_VALUE"""),"215 Trần Phú")</f>
        <v>215 Trần Phú</v>
      </c>
      <c r="D6096" s="119" t="str">
        <f>IFERROR(__xludf.DUMMYFUNCTION("""COMPUTED_VALUE"""),"Mèo")</f>
        <v>Mèo</v>
      </c>
      <c r="E6096" s="119" t="str">
        <f>IFERROR(__xludf.DUMMYFUNCTION("""COMPUTED_VALUE"""),"Tít")</f>
        <v>Tít</v>
      </c>
    </row>
    <row r="6097" ht="15.75" customHeight="1">
      <c r="A6097" s="122" t="str">
        <f>IFERROR(__xludf.DUMMYFUNCTION("""COMPUTED_VALUE"""),"0772 241 242")</f>
        <v>0772 241 242</v>
      </c>
      <c r="B6097" s="119" t="str">
        <f>IFERROR(__xludf.DUMMYFUNCTION("""COMPUTED_VALUE"""),"Chị Nhỏ")</f>
        <v>Chị Nhỏ</v>
      </c>
      <c r="C6097" s="119" t="str">
        <f>IFERROR(__xludf.DUMMYFUNCTION("""COMPUTED_VALUE"""),"01 Lịch Đợi")</f>
        <v>01 Lịch Đợi</v>
      </c>
      <c r="D6097" s="119" t="str">
        <f>IFERROR(__xludf.DUMMYFUNCTION("""COMPUTED_VALUE"""),"Chó")</f>
        <v>Chó</v>
      </c>
      <c r="E6097" s="119" t="str">
        <f>IFERROR(__xludf.DUMMYFUNCTION("""COMPUTED_VALUE"""),"Ngáo")</f>
        <v>Ngáo</v>
      </c>
    </row>
    <row r="6098" ht="15.75" customHeight="1">
      <c r="A6098" s="122" t="str">
        <f>IFERROR(__xludf.DUMMYFUNCTION("""COMPUTED_VALUE"""),"0905 141 200")</f>
        <v>0905 141 200</v>
      </c>
      <c r="B6098" s="119" t="str">
        <f>IFERROR(__xludf.DUMMYFUNCTION("""COMPUTED_VALUE"""),"Chị Hằng")</f>
        <v>Chị Hằng</v>
      </c>
      <c r="C6098" s="119" t="str">
        <f>IFERROR(__xludf.DUMMYFUNCTION("""COMPUTED_VALUE"""),"57 Hùng Vương")</f>
        <v>57 Hùng Vương</v>
      </c>
      <c r="D6098" s="119" t="str">
        <f>IFERROR(__xludf.DUMMYFUNCTION("""COMPUTED_VALUE"""),"Chó")</f>
        <v>Chó</v>
      </c>
      <c r="E6098" s="119" t="str">
        <f>IFERROR(__xludf.DUMMYFUNCTION("""COMPUTED_VALUE"""),"Misen")</f>
        <v>Misen</v>
      </c>
    </row>
    <row r="6099" ht="15.75" customHeight="1">
      <c r="A6099" s="122" t="str">
        <f>IFERROR(__xludf.DUMMYFUNCTION("""COMPUTED_VALUE"""),"0702 341 090")</f>
        <v>0702 341 090</v>
      </c>
      <c r="B6099" s="119" t="str">
        <f>IFERROR(__xludf.DUMMYFUNCTION("""COMPUTED_VALUE"""),"Anh Phú Cường")</f>
        <v>Anh Phú Cường</v>
      </c>
      <c r="C6099" s="119" t="str">
        <f>IFERROR(__xludf.DUMMYFUNCTION("""COMPUTED_VALUE"""),"31 Tây Sơn")</f>
        <v>31 Tây Sơn</v>
      </c>
      <c r="D6099" s="119" t="str">
        <f>IFERROR(__xludf.DUMMYFUNCTION("""COMPUTED_VALUE"""),"Chó")</f>
        <v>Chó</v>
      </c>
      <c r="E6099" s="119" t="str">
        <f>IFERROR(__xludf.DUMMYFUNCTION("""COMPUTED_VALUE"""),"Fox")</f>
        <v>Fox</v>
      </c>
    </row>
    <row r="6100" ht="15.75" customHeight="1">
      <c r="A6100" s="122" t="str">
        <f>IFERROR(__xludf.DUMMYFUNCTION("""COMPUTED_VALUE"""),"0702 628 302")</f>
        <v>0702 628 302</v>
      </c>
      <c r="B6100" s="119" t="str">
        <f>IFERROR(__xludf.DUMMYFUNCTION("""COMPUTED_VALUE"""),"Chị Ngọc")</f>
        <v>Chị Ngọc</v>
      </c>
      <c r="C6100" s="119" t="str">
        <f>IFERROR(__xludf.DUMMYFUNCTION("""COMPUTED_VALUE"""),"33 Nguyễn Biểu")</f>
        <v>33 Nguyễn Biểu</v>
      </c>
      <c r="D6100" s="119" t="str">
        <f>IFERROR(__xludf.DUMMYFUNCTION("""COMPUTED_VALUE"""),"Mèo")</f>
        <v>Mèo</v>
      </c>
      <c r="E6100" s="119" t="str">
        <f>IFERROR(__xludf.DUMMYFUNCTION("""COMPUTED_VALUE"""),"Bông")</f>
        <v>Bông</v>
      </c>
    </row>
    <row r="6101" ht="15.75" customHeight="1">
      <c r="A6101" s="122" t="str">
        <f>IFERROR(__xludf.DUMMYFUNCTION("""COMPUTED_VALUE"""),"0787 778 111")</f>
        <v>0787 778 111</v>
      </c>
      <c r="B6101" s="119" t="str">
        <f>IFERROR(__xludf.DUMMYFUNCTION("""COMPUTED_VALUE"""),"Anh Việt Cường")</f>
        <v>Anh Việt Cường</v>
      </c>
      <c r="C6101" s="119" t="str">
        <f>IFERROR(__xludf.DUMMYFUNCTION("""COMPUTED_VALUE"""),"Phú Bài")</f>
        <v>Phú Bài</v>
      </c>
      <c r="D6101" s="119" t="str">
        <f>IFERROR(__xludf.DUMMYFUNCTION("""COMPUTED_VALUE"""),"Chó")</f>
        <v>Chó</v>
      </c>
      <c r="E6101" s="119" t="str">
        <f>IFERROR(__xludf.DUMMYFUNCTION("""COMPUTED_VALUE"""),"ruby")</f>
        <v>ruby</v>
      </c>
    </row>
    <row r="6102" ht="15.75" customHeight="1">
      <c r="A6102" s="122" t="str">
        <f>IFERROR(__xludf.DUMMYFUNCTION("""COMPUTED_VALUE"""),"0935 023 246")</f>
        <v>0935 023 246</v>
      </c>
      <c r="B6102" s="119" t="str">
        <f>IFERROR(__xludf.DUMMYFUNCTION("""COMPUTED_VALUE"""),"Anh Toàn")</f>
        <v>Anh Toàn</v>
      </c>
      <c r="C6102" s="119" t="str">
        <f>IFERROR(__xludf.DUMMYFUNCTION("""COMPUTED_VALUE"""),"126 Nguyễn Lộ Trạch")</f>
        <v>126 Nguyễn Lộ Trạch</v>
      </c>
      <c r="D6102" s="119" t="str">
        <f>IFERROR(__xludf.DUMMYFUNCTION("""COMPUTED_VALUE"""),"Mèo")</f>
        <v>Mèo</v>
      </c>
      <c r="E6102" s="119" t="str">
        <f>IFERROR(__xludf.DUMMYFUNCTION("""COMPUTED_VALUE"""),"Na")</f>
        <v>Na</v>
      </c>
    </row>
    <row r="6103" ht="15.75" customHeight="1">
      <c r="A6103" s="122" t="str">
        <f>IFERROR(__xludf.DUMMYFUNCTION("""COMPUTED_VALUE"""),"0899 089 733")</f>
        <v>0899 089 733</v>
      </c>
      <c r="B6103" s="119" t="str">
        <f>IFERROR(__xludf.DUMMYFUNCTION("""COMPUTED_VALUE"""),"Anh Tiến")</f>
        <v>Anh Tiến</v>
      </c>
      <c r="C6103" s="119" t="str">
        <f>IFERROR(__xludf.DUMMYFUNCTION("""COMPUTED_VALUE"""),"116 Mimh Mạng")</f>
        <v>116 Mimh Mạng</v>
      </c>
      <c r="D6103" s="119" t="str">
        <f>IFERROR(__xludf.DUMMYFUNCTION("""COMPUTED_VALUE"""),"Chó")</f>
        <v>Chó</v>
      </c>
      <c r="E6103" s="119" t="str">
        <f>IFERROR(__xludf.DUMMYFUNCTION("""COMPUTED_VALUE"""),"Kem")</f>
        <v>Kem</v>
      </c>
    </row>
    <row r="6104" ht="15.75" customHeight="1">
      <c r="A6104" s="122" t="str">
        <f>IFERROR(__xludf.DUMMYFUNCTION("""COMPUTED_VALUE"""),"0338 165 130")</f>
        <v>0338 165 130</v>
      </c>
      <c r="B6104" s="119" t="str">
        <f>IFERROR(__xludf.DUMMYFUNCTION("""COMPUTED_VALUE"""),"Em Uyên")</f>
        <v>Em Uyên</v>
      </c>
      <c r="C6104" s="119" t="str">
        <f>IFERROR(__xludf.DUMMYFUNCTION("""COMPUTED_VALUE"""),"76 Hoàng Thị Loan")</f>
        <v>76 Hoàng Thị Loan</v>
      </c>
      <c r="D6104" s="119" t="str">
        <f>IFERROR(__xludf.DUMMYFUNCTION("""COMPUTED_VALUE"""),"Mèo")</f>
        <v>Mèo</v>
      </c>
      <c r="E6104" s="119" t="str">
        <f>IFERROR(__xludf.DUMMYFUNCTION("""COMPUTED_VALUE"""),"Mướp")</f>
        <v>Mướp</v>
      </c>
    </row>
    <row r="6105" ht="15.75" customHeight="1">
      <c r="A6105" s="122" t="str">
        <f>IFERROR(__xludf.DUMMYFUNCTION("""COMPUTED_VALUE"""),"0918 080 159")</f>
        <v>0918 080 159</v>
      </c>
      <c r="B6105" s="119" t="str">
        <f>IFERROR(__xludf.DUMMYFUNCTION("""COMPUTED_VALUE"""),"Chú Quang Anh")</f>
        <v>Chú Quang Anh</v>
      </c>
      <c r="C6105" s="119" t="str">
        <f>IFERROR(__xludf.DUMMYFUNCTION("""COMPUTED_VALUE"""),"ngõ 69 k131 Trần Phú")</f>
        <v>ngõ 69 k131 Trần Phú</v>
      </c>
      <c r="D6105" s="119" t="str">
        <f>IFERROR(__xludf.DUMMYFUNCTION("""COMPUTED_VALUE"""),"Chó")</f>
        <v>Chó</v>
      </c>
      <c r="E6105" s="119"/>
    </row>
    <row r="6106" ht="15.75" customHeight="1">
      <c r="A6106" s="122" t="str">
        <f>IFERROR(__xludf.DUMMYFUNCTION("""COMPUTED_VALUE"""),"0935 664 883")</f>
        <v>0935 664 883</v>
      </c>
      <c r="B6106" s="119" t="str">
        <f>IFERROR(__xludf.DUMMYFUNCTION("""COMPUTED_VALUE"""),"Anh Nam")</f>
        <v>Anh Nam</v>
      </c>
      <c r="C6106" s="119" t="str">
        <f>IFERROR(__xludf.DUMMYFUNCTION("""COMPUTED_VALUE"""),"148 Hải Triều")</f>
        <v>148 Hải Triều</v>
      </c>
      <c r="D6106" s="119" t="str">
        <f>IFERROR(__xludf.DUMMYFUNCTION("""COMPUTED_VALUE"""),"Mèo")</f>
        <v>Mèo</v>
      </c>
      <c r="E6106" s="119" t="str">
        <f>IFERROR(__xludf.DUMMYFUNCTION("""COMPUTED_VALUE"""),"Miu")</f>
        <v>Miu</v>
      </c>
    </row>
    <row r="6107" ht="15.75" customHeight="1">
      <c r="A6107" s="122" t="str">
        <f>IFERROR(__xludf.DUMMYFUNCTION("""COMPUTED_VALUE"""),"0905 449 835")</f>
        <v>0905 449 835</v>
      </c>
      <c r="B6107" s="119" t="str">
        <f>IFERROR(__xludf.DUMMYFUNCTION("""COMPUTED_VALUE"""),"Anh Tú")</f>
        <v>Anh Tú</v>
      </c>
      <c r="C6107" s="119" t="str">
        <f>IFERROR(__xludf.DUMMYFUNCTION("""COMPUTED_VALUE"""),"Thủy Bằng")</f>
        <v>Thủy Bằng</v>
      </c>
      <c r="D6107" s="119" t="str">
        <f>IFERROR(__xludf.DUMMYFUNCTION("""COMPUTED_VALUE"""),"chó")</f>
        <v>chó</v>
      </c>
      <c r="E6107" s="119" t="str">
        <f>IFERROR(__xludf.DUMMYFUNCTION("""COMPUTED_VALUE"""),"chíp")</f>
        <v>chíp</v>
      </c>
    </row>
    <row r="6108" ht="15.75" customHeight="1">
      <c r="A6108" s="122" t="str">
        <f>IFERROR(__xludf.DUMMYFUNCTION("""COMPUTED_VALUE"""),"0912 492 729")</f>
        <v>0912 492 729</v>
      </c>
      <c r="B6108" s="119" t="str">
        <f>IFERROR(__xludf.DUMMYFUNCTION("""COMPUTED_VALUE"""),"Chú Dũng")</f>
        <v>Chú Dũng</v>
      </c>
      <c r="C6108" s="119" t="str">
        <f>IFERROR(__xludf.DUMMYFUNCTION("""COMPUTED_VALUE"""),"52 Đào Tấn")</f>
        <v>52 Đào Tấn</v>
      </c>
      <c r="D6108" s="119" t="str">
        <f>IFERROR(__xludf.DUMMYFUNCTION("""COMPUTED_VALUE"""),"Mèo")</f>
        <v>Mèo</v>
      </c>
      <c r="E6108" s="119" t="str">
        <f>IFERROR(__xludf.DUMMYFUNCTION("""COMPUTED_VALUE"""),"Vàng")</f>
        <v>Vàng</v>
      </c>
    </row>
    <row r="6109" ht="15.75" customHeight="1">
      <c r="A6109" s="122" t="str">
        <f>IFERROR(__xludf.DUMMYFUNCTION("""COMPUTED_VALUE"""),"0788 612 418")</f>
        <v>0788 612 418</v>
      </c>
      <c r="B6109" s="119" t="str">
        <f>IFERROR(__xludf.DUMMYFUNCTION("""COMPUTED_VALUE"""),"Em Trân")</f>
        <v>Em Trân</v>
      </c>
      <c r="C6109" s="119" t="str">
        <f>IFERROR(__xludf.DUMMYFUNCTION("""COMPUTED_VALUE"""),"13/6/12 Tam Thai")</f>
        <v>13/6/12 Tam Thai</v>
      </c>
      <c r="D6109" s="119" t="str">
        <f>IFERROR(__xludf.DUMMYFUNCTION("""COMPUTED_VALUE"""),"Mèo")</f>
        <v>Mèo</v>
      </c>
      <c r="E6109" s="119" t="str">
        <f>IFERROR(__xludf.DUMMYFUNCTION("""COMPUTED_VALUE"""),"Tôm")</f>
        <v>Tôm</v>
      </c>
    </row>
    <row r="6110" ht="15.75" customHeight="1">
      <c r="A6110" s="122" t="str">
        <f>IFERROR(__xludf.DUMMYFUNCTION("""COMPUTED_VALUE"""),"0335 212 717")</f>
        <v>0335 212 717</v>
      </c>
      <c r="B6110" s="119" t="str">
        <f>IFERROR(__xludf.DUMMYFUNCTION("""COMPUTED_VALUE"""),"Khánh Thư")</f>
        <v>Khánh Thư</v>
      </c>
      <c r="C6110" s="119" t="str">
        <f>IFERROR(__xludf.DUMMYFUNCTION("""COMPUTED_VALUE"""),"Lô B32 Khu QHSH P. An Tây")</f>
        <v>Lô B32 Khu QHSH P. An Tây</v>
      </c>
      <c r="D6110" s="119" t="str">
        <f>IFERROR(__xludf.DUMMYFUNCTION("""COMPUTED_VALUE"""),"Mèo")</f>
        <v>Mèo</v>
      </c>
      <c r="E6110" s="119" t="str">
        <f>IFERROR(__xludf.DUMMYFUNCTION("""COMPUTED_VALUE"""),"TeeMee")</f>
        <v>TeeMee</v>
      </c>
    </row>
    <row r="6111" ht="15.75" customHeight="1">
      <c r="A6111" s="122" t="str">
        <f>IFERROR(__xludf.DUMMYFUNCTION("""COMPUTED_VALUE"""),"0768 524 807")</f>
        <v>0768 524 807</v>
      </c>
      <c r="B6111" s="119" t="str">
        <f>IFERROR(__xludf.DUMMYFUNCTION("""COMPUTED_VALUE"""),"Anh Nhật")</f>
        <v>Anh Nhật</v>
      </c>
      <c r="C6111" s="119" t="str">
        <f>IFERROR(__xludf.DUMMYFUNCTION("""COMPUTED_VALUE"""),"Thủy Dương")</f>
        <v>Thủy Dương</v>
      </c>
      <c r="D6111" s="119" t="str">
        <f>IFERROR(__xludf.DUMMYFUNCTION("""COMPUTED_VALUE"""),"Mèo")</f>
        <v>Mèo</v>
      </c>
      <c r="E6111" s="119" t="str">
        <f>IFERROR(__xludf.DUMMYFUNCTION("""COMPUTED_VALUE"""),"Báo")</f>
        <v>Báo</v>
      </c>
    </row>
    <row r="6112" ht="15.75" customHeight="1">
      <c r="A6112" s="122" t="str">
        <f>IFERROR(__xludf.DUMMYFUNCTION("""COMPUTED_VALUE"""),"0934 334 017")</f>
        <v>0934 334 017</v>
      </c>
      <c r="B6112" s="119" t="str">
        <f>IFERROR(__xludf.DUMMYFUNCTION("""COMPUTED_VALUE"""),"Chị Quỳnh")</f>
        <v>Chị Quỳnh</v>
      </c>
      <c r="C6112" s="119" t="str">
        <f>IFERROR(__xludf.DUMMYFUNCTION("""COMPUTED_VALUE"""),"20 Hùng Vương")</f>
        <v>20 Hùng Vương</v>
      </c>
      <c r="D6112" s="119" t="str">
        <f>IFERROR(__xludf.DUMMYFUNCTION("""COMPUTED_VALUE"""),"Mèo")</f>
        <v>Mèo</v>
      </c>
      <c r="E6112" s="119" t="str">
        <f>IFERROR(__xludf.DUMMYFUNCTION("""COMPUTED_VALUE"""),"Phe")</f>
        <v>Phe</v>
      </c>
    </row>
    <row r="6113" ht="15.75" customHeight="1">
      <c r="A6113" s="122" t="str">
        <f>IFERROR(__xludf.DUMMYFUNCTION("""COMPUTED_VALUE"""),"0794 022 645")</f>
        <v>0794 022 645</v>
      </c>
      <c r="B6113" s="119" t="str">
        <f>IFERROR(__xludf.DUMMYFUNCTION("""COMPUTED_VALUE"""),"Chị Diệu Hiền")</f>
        <v>Chị Diệu Hiền</v>
      </c>
      <c r="C6113" s="119" t="str">
        <f>IFERROR(__xludf.DUMMYFUNCTION("""COMPUTED_VALUE"""),"155 An Dương Vương")</f>
        <v>155 An Dương Vương</v>
      </c>
      <c r="D6113" s="119" t="str">
        <f>IFERROR(__xludf.DUMMYFUNCTION("""COMPUTED_VALUE"""),"Mèo")</f>
        <v>Mèo</v>
      </c>
      <c r="E6113" s="119" t="str">
        <f>IFERROR(__xludf.DUMMYFUNCTION("""COMPUTED_VALUE"""),"Min")</f>
        <v>Min</v>
      </c>
    </row>
    <row r="6114" ht="15.75" customHeight="1">
      <c r="A6114" s="122" t="str">
        <f>IFERROR(__xludf.DUMMYFUNCTION("""COMPUTED_VALUE"""),"0905 834 474")</f>
        <v>0905 834 474</v>
      </c>
      <c r="B6114" s="119" t="str">
        <f>IFERROR(__xludf.DUMMYFUNCTION("""COMPUTED_VALUE"""),"Anh Tâm")</f>
        <v>Anh Tâm</v>
      </c>
      <c r="C6114" s="119" t="str">
        <f>IFERROR(__xludf.DUMMYFUNCTION("""COMPUTED_VALUE"""),"77/131 Trần Phú")</f>
        <v>77/131 Trần Phú</v>
      </c>
      <c r="D6114" s="119" t="str">
        <f>IFERROR(__xludf.DUMMYFUNCTION("""COMPUTED_VALUE"""),"Chó")</f>
        <v>Chó</v>
      </c>
      <c r="E6114" s="119" t="str">
        <f>IFERROR(__xludf.DUMMYFUNCTION("""COMPUTED_VALUE"""),"mực")</f>
        <v>mực</v>
      </c>
    </row>
    <row r="6115" ht="15.75" customHeight="1">
      <c r="A6115" s="122" t="str">
        <f>IFERROR(__xludf.DUMMYFUNCTION("""COMPUTED_VALUE"""),"0327 377 156")</f>
        <v>0327 377 156</v>
      </c>
      <c r="B6115" s="119" t="str">
        <f>IFERROR(__xludf.DUMMYFUNCTION("""COMPUTED_VALUE"""),"Anh Đạt")</f>
        <v>Anh Đạt</v>
      </c>
      <c r="C6115" s="119" t="str">
        <f>IFERROR(__xludf.DUMMYFUNCTION("""COMPUTED_VALUE"""),"467 Lê Duẩn")</f>
        <v>467 Lê Duẩn</v>
      </c>
      <c r="D6115" s="119" t="str">
        <f>IFERROR(__xludf.DUMMYFUNCTION("""COMPUTED_VALUE"""),"Mèo")</f>
        <v>Mèo</v>
      </c>
      <c r="E6115" s="119" t="str">
        <f>IFERROR(__xludf.DUMMYFUNCTION("""COMPUTED_VALUE"""),"Sữa/Đậu")</f>
        <v>Sữa/Đậu</v>
      </c>
    </row>
    <row r="6116" ht="15.75" customHeight="1">
      <c r="A6116" s="122" t="str">
        <f>IFERROR(__xludf.DUMMYFUNCTION("""COMPUTED_VALUE"""),"0963 281 890")</f>
        <v>0963 281 890</v>
      </c>
      <c r="B6116" s="119" t="str">
        <f>IFERROR(__xludf.DUMMYFUNCTION("""COMPUTED_VALUE"""),"Chị Hoàng")</f>
        <v>Chị Hoàng</v>
      </c>
      <c r="C6116" s="119" t="str">
        <f>IFERROR(__xludf.DUMMYFUNCTION("""COMPUTED_VALUE"""),"Phú Bài")</f>
        <v>Phú Bài</v>
      </c>
      <c r="D6116" s="119" t="str">
        <f>IFERROR(__xludf.DUMMYFUNCTION("""COMPUTED_VALUE"""),"Mèo")</f>
        <v>Mèo</v>
      </c>
      <c r="E6116" s="119" t="str">
        <f>IFERROR(__xludf.DUMMYFUNCTION("""COMPUTED_VALUE"""),"bắp")</f>
        <v>bắp</v>
      </c>
    </row>
    <row r="6117" ht="15.75" customHeight="1">
      <c r="A6117" s="122" t="str">
        <f>IFERROR(__xludf.DUMMYFUNCTION("""COMPUTED_VALUE"""),"0971 612 150")</f>
        <v>0971 612 150</v>
      </c>
      <c r="B6117" s="119" t="str">
        <f>IFERROR(__xludf.DUMMYFUNCTION("""COMPUTED_VALUE"""),"Chú Sinh")</f>
        <v>Chú Sinh</v>
      </c>
      <c r="C6117" s="119" t="str">
        <f>IFERROR(__xludf.DUMMYFUNCTION("""COMPUTED_VALUE"""),"138/131 Trần Phú")</f>
        <v>138/131 Trần Phú</v>
      </c>
      <c r="D6117" s="119" t="str">
        <f>IFERROR(__xludf.DUMMYFUNCTION("""COMPUTED_VALUE"""),"Chó")</f>
        <v>Chó</v>
      </c>
      <c r="E6117" s="119" t="str">
        <f>IFERROR(__xludf.DUMMYFUNCTION("""COMPUTED_VALUE"""),"Lỳ")</f>
        <v>Lỳ</v>
      </c>
    </row>
    <row r="6118" ht="15.75" customHeight="1">
      <c r="A6118" s="122" t="str">
        <f>IFERROR(__xludf.DUMMYFUNCTION("""COMPUTED_VALUE"""),"0935 319 939")</f>
        <v>0935 319 939</v>
      </c>
      <c r="B6118" s="119" t="str">
        <f>IFERROR(__xludf.DUMMYFUNCTION("""COMPUTED_VALUE"""),"Chị Như Quỳnh")</f>
        <v>Chị Như Quỳnh</v>
      </c>
      <c r="C6118" s="119" t="str">
        <f>IFERROR(__xludf.DUMMYFUNCTION("""COMPUTED_VALUE"""),"Điện Biên Phủ")</f>
        <v>Điện Biên Phủ</v>
      </c>
      <c r="D6118" s="119" t="str">
        <f>IFERROR(__xludf.DUMMYFUNCTION("""COMPUTED_VALUE"""),"Chó")</f>
        <v>Chó</v>
      </c>
      <c r="E6118" s="119" t="str">
        <f>IFERROR(__xludf.DUMMYFUNCTION("""COMPUTED_VALUE"""),"Lu")</f>
        <v>Lu</v>
      </c>
    </row>
    <row r="6119" ht="15.75" customHeight="1">
      <c r="A6119" s="122" t="str">
        <f>IFERROR(__xludf.DUMMYFUNCTION("""COMPUTED_VALUE"""),"0814 270 639")</f>
        <v>0814 270 639</v>
      </c>
      <c r="B6119" s="119" t="str">
        <f>IFERROR(__xludf.DUMMYFUNCTION("""COMPUTED_VALUE"""),"Chú Minh")</f>
        <v>Chú Minh</v>
      </c>
      <c r="C6119" s="119" t="str">
        <f>IFERROR(__xludf.DUMMYFUNCTION("""COMPUTED_VALUE"""),"An Đông")</f>
        <v>An Đông</v>
      </c>
      <c r="D6119" s="119" t="str">
        <f>IFERROR(__xludf.DUMMYFUNCTION("""COMPUTED_VALUE"""),"Chó")</f>
        <v>Chó</v>
      </c>
      <c r="E6119" s="119" t="str">
        <f>IFERROR(__xludf.DUMMYFUNCTION("""COMPUTED_VALUE"""),"Mít")</f>
        <v>Mít</v>
      </c>
    </row>
    <row r="6120" ht="15.75" customHeight="1">
      <c r="A6120" s="122" t="str">
        <f>IFERROR(__xludf.DUMMYFUNCTION("""COMPUTED_VALUE"""),"0915 056 068")</f>
        <v>0915 056 068</v>
      </c>
      <c r="B6120" s="119" t="str">
        <f>IFERROR(__xludf.DUMMYFUNCTION("""COMPUTED_VALUE"""),"Chị Lan")</f>
        <v>Chị Lan</v>
      </c>
      <c r="C6120" s="119" t="str">
        <f>IFERROR(__xludf.DUMMYFUNCTION("""COMPUTED_VALUE"""),"22 An Dương Vương")</f>
        <v>22 An Dương Vương</v>
      </c>
      <c r="D6120" s="119" t="str">
        <f>IFERROR(__xludf.DUMMYFUNCTION("""COMPUTED_VALUE"""),"Chó")</f>
        <v>Chó</v>
      </c>
      <c r="E6120" s="119" t="str">
        <f>IFERROR(__xludf.DUMMYFUNCTION("""COMPUTED_VALUE"""),"Tony")</f>
        <v>Tony</v>
      </c>
    </row>
    <row r="6121" ht="15.75" customHeight="1">
      <c r="A6121" s="122" t="str">
        <f>IFERROR(__xludf.DUMMYFUNCTION("""COMPUTED_VALUE"""),"0914 097 629")</f>
        <v>0914 097 629</v>
      </c>
      <c r="B6121" s="119" t="str">
        <f>IFERROR(__xludf.DUMMYFUNCTION("""COMPUTED_VALUE"""),"Anh Cửu")</f>
        <v>Anh Cửu</v>
      </c>
      <c r="C6121" s="119" t="str">
        <f>IFERROR(__xludf.DUMMYFUNCTION("""COMPUTED_VALUE"""),"217/8 Điện Biên Phủ")</f>
        <v>217/8 Điện Biên Phủ</v>
      </c>
      <c r="D6121" s="119" t="str">
        <f>IFERROR(__xludf.DUMMYFUNCTION("""COMPUTED_VALUE"""),"Chó")</f>
        <v>Chó</v>
      </c>
      <c r="E6121" s="119" t="str">
        <f>IFERROR(__xludf.DUMMYFUNCTION("""COMPUTED_VALUE"""),"Poo")</f>
        <v>Poo</v>
      </c>
    </row>
    <row r="6122" ht="15.75" customHeight="1">
      <c r="A6122" s="122" t="str">
        <f>IFERROR(__xludf.DUMMYFUNCTION("""COMPUTED_VALUE"""),"0356 565 654")</f>
        <v>0356 565 654</v>
      </c>
      <c r="B6122" s="119" t="str">
        <f>IFERROR(__xludf.DUMMYFUNCTION("""COMPUTED_VALUE"""),"Anh Huy")</f>
        <v>Anh Huy</v>
      </c>
      <c r="C6122" s="119" t="str">
        <f>IFERROR(__xludf.DUMMYFUNCTION("""COMPUTED_VALUE"""),"vincoland")</f>
        <v>vincoland</v>
      </c>
      <c r="D6122" s="119" t="str">
        <f>IFERROR(__xludf.DUMMYFUNCTION("""COMPUTED_VALUE"""),"Mèo")</f>
        <v>Mèo</v>
      </c>
      <c r="E6122" s="119" t="str">
        <f>IFERROR(__xludf.DUMMYFUNCTION("""COMPUTED_VALUE"""),"Momo")</f>
        <v>Momo</v>
      </c>
    </row>
    <row r="6123" ht="15.75" customHeight="1">
      <c r="A6123" s="122" t="str">
        <f>IFERROR(__xludf.DUMMYFUNCTION("""COMPUTED_VALUE"""),"0907 470 666")</f>
        <v>0907 470 666</v>
      </c>
      <c r="B6123" s="119" t="str">
        <f>IFERROR(__xludf.DUMMYFUNCTION("""COMPUTED_VALUE"""),"Chú Tuấn Kiệt")</f>
        <v>Chú Tuấn Kiệt</v>
      </c>
      <c r="C6123" s="119" t="str">
        <f>IFERROR(__xludf.DUMMYFUNCTION("""COMPUTED_VALUE"""),"24/64 Nguyễn Công Trứ")</f>
        <v>24/64 Nguyễn Công Trứ</v>
      </c>
      <c r="D6123" s="119" t="str">
        <f>IFERROR(__xludf.DUMMYFUNCTION("""COMPUTED_VALUE"""),"Chó")</f>
        <v>Chó</v>
      </c>
      <c r="E6123" s="119" t="str">
        <f>IFERROR(__xludf.DUMMYFUNCTION("""COMPUTED_VALUE"""),"Harley")</f>
        <v>Harley</v>
      </c>
    </row>
    <row r="6124" ht="15.75" customHeight="1">
      <c r="A6124" s="122" t="str">
        <f>IFERROR(__xludf.DUMMYFUNCTION("""COMPUTED_VALUE"""),"0934 003 524")</f>
        <v>0934 003 524</v>
      </c>
      <c r="B6124" s="119" t="str">
        <f>IFERROR(__xludf.DUMMYFUNCTION("""COMPUTED_VALUE"""),"Anh Tâm")</f>
        <v>Anh Tâm</v>
      </c>
      <c r="C6124" s="119" t="str">
        <f>IFERROR(__xludf.DUMMYFUNCTION("""COMPUTED_VALUE"""),"1/51 Trần Phú")</f>
        <v>1/51 Trần Phú</v>
      </c>
      <c r="D6124" s="119" t="str">
        <f>IFERROR(__xludf.DUMMYFUNCTION("""COMPUTED_VALUE"""),"Chó")</f>
        <v>Chó</v>
      </c>
      <c r="E6124" s="119" t="str">
        <f>IFERROR(__xludf.DUMMYFUNCTION("""COMPUTED_VALUE"""),"Biu")</f>
        <v>Biu</v>
      </c>
    </row>
    <row r="6125" ht="15.75" customHeight="1">
      <c r="A6125" s="122" t="str">
        <f>IFERROR(__xludf.DUMMYFUNCTION("""COMPUTED_VALUE"""),"0899 239 104")</f>
        <v>0899 239 104</v>
      </c>
      <c r="B6125" s="119" t="str">
        <f>IFERROR(__xludf.DUMMYFUNCTION("""COMPUTED_VALUE"""),"Chị Kim Anh")</f>
        <v>Chị Kim Anh</v>
      </c>
      <c r="C6125" s="119" t="str">
        <f>IFERROR(__xludf.DUMMYFUNCTION("""COMPUTED_VALUE"""),"3 Lê Ngô Cát")</f>
        <v>3 Lê Ngô Cát</v>
      </c>
      <c r="D6125" s="119" t="str">
        <f>IFERROR(__xludf.DUMMYFUNCTION("""COMPUTED_VALUE"""),"Chó")</f>
        <v>Chó</v>
      </c>
      <c r="E6125" s="119" t="str">
        <f>IFERROR(__xludf.DUMMYFUNCTION("""COMPUTED_VALUE"""),"Mun")</f>
        <v>Mun</v>
      </c>
    </row>
    <row r="6126" ht="15.75" customHeight="1">
      <c r="A6126" s="122" t="str">
        <f>IFERROR(__xludf.DUMMYFUNCTION("""COMPUTED_VALUE"""),"0914 126 790")</f>
        <v>0914 126 790</v>
      </c>
      <c r="B6126" s="119" t="str">
        <f>IFERROR(__xludf.DUMMYFUNCTION("""COMPUTED_VALUE"""),"Mai Duy Bình")</f>
        <v>Mai Duy Bình</v>
      </c>
      <c r="C6126" s="119" t="str">
        <f>IFERROR(__xludf.DUMMYFUNCTION("""COMPUTED_VALUE"""),"22 Nguyễn Biểu")</f>
        <v>22 Nguyễn Biểu</v>
      </c>
      <c r="D6126" s="119" t="str">
        <f>IFERROR(__xludf.DUMMYFUNCTION("""COMPUTED_VALUE"""),"Chó")</f>
        <v>Chó</v>
      </c>
      <c r="E6126" s="119" t="str">
        <f>IFERROR(__xludf.DUMMYFUNCTION("""COMPUTED_VALUE"""),"Lucky")</f>
        <v>Lucky</v>
      </c>
    </row>
    <row r="6127" ht="15.75" customHeight="1">
      <c r="A6127" s="122" t="str">
        <f>IFERROR(__xludf.DUMMYFUNCTION("""COMPUTED_VALUE"""),"0905 556 144")</f>
        <v>0905 556 144</v>
      </c>
      <c r="B6127" s="119" t="str">
        <f>IFERROR(__xludf.DUMMYFUNCTION("""COMPUTED_VALUE"""),"Chị Thúy Trinh")</f>
        <v>Chị Thúy Trinh</v>
      </c>
      <c r="C6127" s="119" t="str">
        <f>IFERROR(__xludf.DUMMYFUNCTION("""COMPUTED_VALUE"""),"Xuân Diệu")</f>
        <v>Xuân Diệu</v>
      </c>
      <c r="D6127" s="119" t="str">
        <f>IFERROR(__xludf.DUMMYFUNCTION("""COMPUTED_VALUE"""),"Chó")</f>
        <v>Chó</v>
      </c>
      <c r="E6127" s="119" t="str">
        <f>IFERROR(__xludf.DUMMYFUNCTION("""COMPUTED_VALUE"""),"Sun")</f>
        <v>Sun</v>
      </c>
    </row>
    <row r="6128" ht="15.75" customHeight="1">
      <c r="A6128" s="122" t="str">
        <f>IFERROR(__xludf.DUMMYFUNCTION("""COMPUTED_VALUE"""),"0867 705 908")</f>
        <v>0867 705 908</v>
      </c>
      <c r="B6128" s="119" t="str">
        <f>IFERROR(__xludf.DUMMYFUNCTION("""COMPUTED_VALUE"""),"Em Quỳnh")</f>
        <v>Em Quỳnh</v>
      </c>
      <c r="C6128" s="119" t="str">
        <f>IFERROR(__xludf.DUMMYFUNCTION("""COMPUTED_VALUE"""),"Triều Sơn Tây")</f>
        <v>Triều Sơn Tây</v>
      </c>
      <c r="D6128" s="119" t="str">
        <f>IFERROR(__xludf.DUMMYFUNCTION("""COMPUTED_VALUE"""),"Chó")</f>
        <v>Chó</v>
      </c>
      <c r="E6128" s="119" t="str">
        <f>IFERROR(__xludf.DUMMYFUNCTION("""COMPUTED_VALUE"""),"Gấu")</f>
        <v>Gấu</v>
      </c>
    </row>
    <row r="6129" ht="15.75" customHeight="1">
      <c r="A6129" s="122" t="str">
        <f>IFERROR(__xludf.DUMMYFUNCTION("""COMPUTED_VALUE"""),"0779 595 522")</f>
        <v>0779 595 522</v>
      </c>
      <c r="B6129" s="119" t="str">
        <f>IFERROR(__xludf.DUMMYFUNCTION("""COMPUTED_VALUE"""),"Anh Bảo Anh")</f>
        <v>Anh Bảo Anh</v>
      </c>
      <c r="C6129" s="119" t="str">
        <f>IFERROR(__xludf.DUMMYFUNCTION("""COMPUTED_VALUE"""),"16 Nguyễn Thiện Kế")</f>
        <v>16 Nguyễn Thiện Kế</v>
      </c>
      <c r="D6129" s="119" t="str">
        <f>IFERROR(__xludf.DUMMYFUNCTION("""COMPUTED_VALUE"""),"Mèo")</f>
        <v>Mèo</v>
      </c>
      <c r="E6129" s="119" t="str">
        <f>IFERROR(__xludf.DUMMYFUNCTION("""COMPUTED_VALUE"""),"Luxi")</f>
        <v>Luxi</v>
      </c>
    </row>
    <row r="6130" ht="15.75" customHeight="1">
      <c r="A6130" s="122" t="str">
        <f>IFERROR(__xludf.DUMMYFUNCTION("""COMPUTED_VALUE"""),"0706 152 616")</f>
        <v>0706 152 616</v>
      </c>
      <c r="B6130" s="119" t="str">
        <f>IFERROR(__xludf.DUMMYFUNCTION("""COMPUTED_VALUE"""),"Anh Lâm")</f>
        <v>Anh Lâm</v>
      </c>
      <c r="C6130" s="119" t="str">
        <f>IFERROR(__xludf.DUMMYFUNCTION("""COMPUTED_VALUE"""),"Thiên Thai")</f>
        <v>Thiên Thai</v>
      </c>
      <c r="D6130" s="119" t="str">
        <f>IFERROR(__xludf.DUMMYFUNCTION("""COMPUTED_VALUE"""),"Chó")</f>
        <v>Chó</v>
      </c>
      <c r="E6130" s="119" t="str">
        <f>IFERROR(__xludf.DUMMYFUNCTION("""COMPUTED_VALUE"""),"Misa")</f>
        <v>Misa</v>
      </c>
    </row>
    <row r="6131" ht="15.75" customHeight="1">
      <c r="A6131" s="122" t="str">
        <f>IFERROR(__xludf.DUMMYFUNCTION("""COMPUTED_VALUE"""),"0704 413 381")</f>
        <v>0704 413 381</v>
      </c>
      <c r="B6131" s="119" t="str">
        <f>IFERROR(__xludf.DUMMYFUNCTION("""COMPUTED_VALUE"""),"Anh Hùng")</f>
        <v>Anh Hùng</v>
      </c>
      <c r="C6131" s="119" t="str">
        <f>IFERROR(__xludf.DUMMYFUNCTION("""COMPUTED_VALUE"""),"8/35 Lương Văn Can")</f>
        <v>8/35 Lương Văn Can</v>
      </c>
      <c r="D6131" s="119" t="str">
        <f>IFERROR(__xludf.DUMMYFUNCTION("""COMPUTED_VALUE"""),"Mèo")</f>
        <v>Mèo</v>
      </c>
      <c r="E6131" s="119" t="str">
        <f>IFERROR(__xludf.DUMMYFUNCTION("""COMPUTED_VALUE"""),"Min")</f>
        <v>Min</v>
      </c>
    </row>
    <row r="6132" ht="15.75" customHeight="1">
      <c r="A6132" s="122" t="str">
        <f>IFERROR(__xludf.DUMMYFUNCTION("""COMPUTED_VALUE"""),"0935 575 111")</f>
        <v>0935 575 111</v>
      </c>
      <c r="B6132" s="119" t="str">
        <f>IFERROR(__xludf.DUMMYFUNCTION("""COMPUTED_VALUE"""),"Chị Tường")</f>
        <v>Chị Tường</v>
      </c>
      <c r="C6132" s="119" t="str">
        <f>IFERROR(__xludf.DUMMYFUNCTION("""COMPUTED_VALUE"""),"10 Quảng Tế")</f>
        <v>10 Quảng Tế</v>
      </c>
      <c r="D6132" s="119" t="str">
        <f>IFERROR(__xludf.DUMMYFUNCTION("""COMPUTED_VALUE"""),"Mèo")</f>
        <v>Mèo</v>
      </c>
      <c r="E6132" s="119" t="str">
        <f>IFERROR(__xludf.DUMMYFUNCTION("""COMPUTED_VALUE"""),"chó")</f>
        <v>chó</v>
      </c>
    </row>
    <row r="6133" ht="15.75" customHeight="1">
      <c r="A6133" s="122" t="str">
        <f>IFERROR(__xludf.DUMMYFUNCTION("""COMPUTED_VALUE"""),"0811 834 789")</f>
        <v>0811 834 789</v>
      </c>
      <c r="B6133" s="119" t="str">
        <f>IFERROR(__xludf.DUMMYFUNCTION("""COMPUTED_VALUE"""),"Anh Hoàng")</f>
        <v>Anh Hoàng</v>
      </c>
      <c r="C6133" s="119" t="str">
        <f>IFERROR(__xludf.DUMMYFUNCTION("""COMPUTED_VALUE"""),"68 Hàm Nghi")</f>
        <v>68 Hàm Nghi</v>
      </c>
      <c r="D6133" s="119" t="str">
        <f>IFERROR(__xludf.DUMMYFUNCTION("""COMPUTED_VALUE"""),"Chó")</f>
        <v>Chó</v>
      </c>
      <c r="E6133" s="119" t="str">
        <f>IFERROR(__xludf.DUMMYFUNCTION("""COMPUTED_VALUE"""),"Na")</f>
        <v>Na</v>
      </c>
    </row>
    <row r="6134" ht="15.75" customHeight="1">
      <c r="A6134" s="122" t="str">
        <f>IFERROR(__xludf.DUMMYFUNCTION("""COMPUTED_VALUE"""),"0388 088 126")</f>
        <v>0388 088 126</v>
      </c>
      <c r="B6134" s="119" t="str">
        <f>IFERROR(__xludf.DUMMYFUNCTION("""COMPUTED_VALUE"""),"Nguyễn Nguyễn Anh Thư")</f>
        <v>Nguyễn Nguyễn Anh Thư</v>
      </c>
      <c r="C6134" s="119" t="str">
        <f>IFERROR(__xludf.DUMMYFUNCTION("""COMPUTED_VALUE"""),"105 Lê Ngô Cát")</f>
        <v>105 Lê Ngô Cát</v>
      </c>
      <c r="D6134" s="119" t="str">
        <f>IFERROR(__xludf.DUMMYFUNCTION("""COMPUTED_VALUE"""),"Mèo")</f>
        <v>Mèo</v>
      </c>
      <c r="E6134" s="119" t="str">
        <f>IFERROR(__xludf.DUMMYFUNCTION("""COMPUTED_VALUE"""),"Gừng")</f>
        <v>Gừng</v>
      </c>
    </row>
    <row r="6135" ht="15.75" customHeight="1">
      <c r="A6135" s="122" t="str">
        <f>IFERROR(__xludf.DUMMYFUNCTION("""COMPUTED_VALUE"""),"0932 592 094")</f>
        <v>0932 592 094</v>
      </c>
      <c r="B6135" s="119" t="str">
        <f>IFERROR(__xludf.DUMMYFUNCTION("""COMPUTED_VALUE"""),"Chị Thảo")</f>
        <v>Chị Thảo</v>
      </c>
      <c r="C6135" s="119" t="str">
        <f>IFERROR(__xludf.DUMMYFUNCTION("""COMPUTED_VALUE"""),"k131 Trần Phú")</f>
        <v>k131 Trần Phú</v>
      </c>
      <c r="D6135" s="119" t="str">
        <f>IFERROR(__xludf.DUMMYFUNCTION("""COMPUTED_VALUE"""),"Chó")</f>
        <v>Chó</v>
      </c>
      <c r="E6135" s="119" t="str">
        <f>IFERROR(__xludf.DUMMYFUNCTION("""COMPUTED_VALUE"""),"Ret")</f>
        <v>Ret</v>
      </c>
    </row>
    <row r="6136" ht="15.75" customHeight="1">
      <c r="A6136" s="122" t="str">
        <f>IFERROR(__xludf.DUMMYFUNCTION("""COMPUTED_VALUE"""),"0702 410 090")</f>
        <v>0702 410 090</v>
      </c>
      <c r="B6136" s="119" t="str">
        <f>IFERROR(__xludf.DUMMYFUNCTION("""COMPUTED_VALUE"""),"Lê Phú Cường")</f>
        <v>Lê Phú Cường</v>
      </c>
      <c r="C6136" s="119" t="str">
        <f>IFERROR(__xludf.DUMMYFUNCTION("""COMPUTED_VALUE"""),"31 Tây Sơn")</f>
        <v>31 Tây Sơn</v>
      </c>
      <c r="D6136" s="119" t="str">
        <f>IFERROR(__xludf.DUMMYFUNCTION("""COMPUTED_VALUE"""),"Chó")</f>
        <v>Chó</v>
      </c>
      <c r="E6136" s="119" t="str">
        <f>IFERROR(__xludf.DUMMYFUNCTION("""COMPUTED_VALUE"""),"Fox")</f>
        <v>Fox</v>
      </c>
    </row>
    <row r="6137" ht="15.75" customHeight="1">
      <c r="A6137" s="122" t="str">
        <f>IFERROR(__xludf.DUMMYFUNCTION("""COMPUTED_VALUE"""),"0966 292 929")</f>
        <v>0966 292 929</v>
      </c>
      <c r="B6137" s="119" t="str">
        <f>IFERROR(__xludf.DUMMYFUNCTION("""COMPUTED_VALUE"""),"Em Luân")</f>
        <v>Em Luân</v>
      </c>
      <c r="C6137" s="119" t="str">
        <f>IFERROR(__xludf.DUMMYFUNCTION("""COMPUTED_VALUE"""),"33 Ngự Bình")</f>
        <v>33 Ngự Bình</v>
      </c>
      <c r="D6137" s="119" t="str">
        <f>IFERROR(__xludf.DUMMYFUNCTION("""COMPUTED_VALUE"""),"Mèo")</f>
        <v>Mèo</v>
      </c>
      <c r="E6137" s="119" t="str">
        <f>IFERROR(__xludf.DUMMYFUNCTION("""COMPUTED_VALUE"""),"Fin")</f>
        <v>Fin</v>
      </c>
    </row>
    <row r="6138" ht="15.75" customHeight="1">
      <c r="A6138" s="122" t="str">
        <f>IFERROR(__xludf.DUMMYFUNCTION("""COMPUTED_VALUE"""),"0399 973 295")</f>
        <v>0399 973 295</v>
      </c>
      <c r="B6138" s="119" t="str">
        <f>IFERROR(__xludf.DUMMYFUNCTION("""COMPUTED_VALUE"""),"Nguyễn THị Xuân Hương")</f>
        <v>Nguyễn THị Xuân Hương</v>
      </c>
      <c r="C6138" s="119" t="str">
        <f>IFERROR(__xludf.DUMMYFUNCTION("""COMPUTED_VALUE"""),"294 Phan Bội Châu")</f>
        <v>294 Phan Bội Châu</v>
      </c>
      <c r="D6138" s="119" t="str">
        <f>IFERROR(__xludf.DUMMYFUNCTION("""COMPUTED_VALUE"""),"Mèo")</f>
        <v>Mèo</v>
      </c>
      <c r="E6138" s="119" t="str">
        <f>IFERROR(__xludf.DUMMYFUNCTION("""COMPUTED_VALUE"""),"Sữa")</f>
        <v>Sữa</v>
      </c>
    </row>
    <row r="6139" ht="15.75" customHeight="1">
      <c r="A6139" s="122" t="str">
        <f>IFERROR(__xludf.DUMMYFUNCTION("""COMPUTED_VALUE"""),"0384 233 022")</f>
        <v>0384 233 022</v>
      </c>
      <c r="B6139" s="119" t="str">
        <f>IFERROR(__xludf.DUMMYFUNCTION("""COMPUTED_VALUE"""),"Chị Hồng Ny")</f>
        <v>Chị Hồng Ny</v>
      </c>
      <c r="C6139" s="119" t="str">
        <f>IFERROR(__xludf.DUMMYFUNCTION("""COMPUTED_VALUE"""),"37/10 huyền Không công chúa")</f>
        <v>37/10 huyền Không công chúa</v>
      </c>
      <c r="D6139" s="119" t="str">
        <f>IFERROR(__xludf.DUMMYFUNCTION("""COMPUTED_VALUE"""),"Chó")</f>
        <v>Chó</v>
      </c>
      <c r="E6139" s="119" t="str">
        <f>IFERROR(__xludf.DUMMYFUNCTION("""COMPUTED_VALUE"""),"bột")</f>
        <v>bột</v>
      </c>
    </row>
    <row r="6140" ht="15.75" customHeight="1">
      <c r="A6140" s="122" t="str">
        <f>IFERROR(__xludf.DUMMYFUNCTION("""COMPUTED_VALUE"""),"0772 484 839")</f>
        <v>0772 484 839</v>
      </c>
      <c r="B6140" s="119" t="str">
        <f>IFERROR(__xludf.DUMMYFUNCTION("""COMPUTED_VALUE"""),"Dì Minh Nguyệt")</f>
        <v>Dì Minh Nguyệt</v>
      </c>
      <c r="C6140" s="119" t="str">
        <f>IFERROR(__xludf.DUMMYFUNCTION("""COMPUTED_VALUE"""),"61/93 Đặng Huy Trứ")</f>
        <v>61/93 Đặng Huy Trứ</v>
      </c>
      <c r="D6140" s="119" t="str">
        <f>IFERROR(__xludf.DUMMYFUNCTION("""COMPUTED_VALUE"""),"Chó")</f>
        <v>Chó</v>
      </c>
      <c r="E6140" s="119" t="str">
        <f>IFERROR(__xludf.DUMMYFUNCTION("""COMPUTED_VALUE"""),"Rít")</f>
        <v>Rít</v>
      </c>
    </row>
    <row r="6141" ht="15.75" customHeight="1">
      <c r="A6141" s="122" t="str">
        <f>IFERROR(__xludf.DUMMYFUNCTION("""COMPUTED_VALUE"""),"0979 042 368")</f>
        <v>0979 042 368</v>
      </c>
      <c r="B6141" s="119" t="str">
        <f>IFERROR(__xludf.DUMMYFUNCTION("""COMPUTED_VALUE"""),"Chị Ny")</f>
        <v>Chị Ny</v>
      </c>
      <c r="C6141" s="119" t="str">
        <f>IFERROR(__xludf.DUMMYFUNCTION("""COMPUTED_VALUE"""),"k65 Phan Bội Châu")</f>
        <v>k65 Phan Bội Châu</v>
      </c>
      <c r="D6141" s="119" t="str">
        <f>IFERROR(__xludf.DUMMYFUNCTION("""COMPUTED_VALUE"""),"mèo")</f>
        <v>mèo</v>
      </c>
      <c r="E6141" s="119" t="str">
        <f>IFERROR(__xludf.DUMMYFUNCTION("""COMPUTED_VALUE"""),"Min")</f>
        <v>Min</v>
      </c>
    </row>
    <row r="6142" ht="15.75" customHeight="1">
      <c r="A6142" s="122" t="str">
        <f>IFERROR(__xludf.DUMMYFUNCTION("""COMPUTED_VALUE"""),"0905 191 516")</f>
        <v>0905 191 516</v>
      </c>
      <c r="B6142" s="119" t="str">
        <f>IFERROR(__xludf.DUMMYFUNCTION("""COMPUTED_VALUE"""),"Chị Liên")</f>
        <v>Chị Liên</v>
      </c>
      <c r="C6142" s="119" t="str">
        <f>IFERROR(__xludf.DUMMYFUNCTION("""COMPUTED_VALUE"""),"16/26 Lương Văn Can")</f>
        <v>16/26 Lương Văn Can</v>
      </c>
      <c r="D6142" s="119" t="str">
        <f>IFERROR(__xludf.DUMMYFUNCTION("""COMPUTED_VALUE"""),"Chó")</f>
        <v>Chó</v>
      </c>
      <c r="E6142" s="119" t="str">
        <f>IFERROR(__xludf.DUMMYFUNCTION("""COMPUTED_VALUE"""),"Rốt")</f>
        <v>Rốt</v>
      </c>
    </row>
    <row r="6143" ht="15.75" customHeight="1">
      <c r="A6143" s="122" t="str">
        <f>IFERROR(__xludf.DUMMYFUNCTION("""COMPUTED_VALUE"""),"0896 202 689")</f>
        <v>0896 202 689</v>
      </c>
      <c r="B6143" s="119" t="str">
        <f>IFERROR(__xludf.DUMMYFUNCTION("""COMPUTED_VALUE"""),"Chị Thảo")</f>
        <v>Chị Thảo</v>
      </c>
      <c r="C6143" s="119" t="str">
        <f>IFERROR(__xludf.DUMMYFUNCTION("""COMPUTED_VALUE"""),"Đặng Huy Trứ")</f>
        <v>Đặng Huy Trứ</v>
      </c>
      <c r="D6143" s="119" t="str">
        <f>IFERROR(__xludf.DUMMYFUNCTION("""COMPUTED_VALUE"""),"Chó")</f>
        <v>Chó</v>
      </c>
      <c r="E6143" s="119" t="str">
        <f>IFERROR(__xludf.DUMMYFUNCTION("""COMPUTED_VALUE"""),"Sky")</f>
        <v>Sky</v>
      </c>
    </row>
    <row r="6144" ht="15.75" customHeight="1">
      <c r="A6144" s="122" t="str">
        <f>IFERROR(__xludf.DUMMYFUNCTION("""COMPUTED_VALUE"""),"0961 196 730")</f>
        <v>0961 196 730</v>
      </c>
      <c r="B6144" s="119" t="str">
        <f>IFERROR(__xludf.DUMMYFUNCTION("""COMPUTED_VALUE"""),"Chị Ánh")</f>
        <v>Chị Ánh</v>
      </c>
      <c r="C6144" s="119" t="str">
        <f>IFERROR(__xludf.DUMMYFUNCTION("""COMPUTED_VALUE"""),"K131 Trần Phú")</f>
        <v>K131 Trần Phú</v>
      </c>
      <c r="D6144" s="119" t="str">
        <f>IFERROR(__xludf.DUMMYFUNCTION("""COMPUTED_VALUE"""),"Chó")</f>
        <v>Chó</v>
      </c>
      <c r="E6144" s="119" t="str">
        <f>IFERROR(__xludf.DUMMYFUNCTION("""COMPUTED_VALUE"""),"Gấu")</f>
        <v>Gấu</v>
      </c>
    </row>
    <row r="6145" ht="15.75" customHeight="1">
      <c r="A6145" s="122" t="str">
        <f>IFERROR(__xludf.DUMMYFUNCTION("""COMPUTED_VALUE"""),"0762 502 562")</f>
        <v>0762 502 562</v>
      </c>
      <c r="B6145" s="119" t="str">
        <f>IFERROR(__xludf.DUMMYFUNCTION("""COMPUTED_VALUE"""),"Chị Sương")</f>
        <v>Chị Sương</v>
      </c>
      <c r="C6145" s="119" t="str">
        <f>IFERROR(__xludf.DUMMYFUNCTION("""COMPUTED_VALUE"""),"K44 Hoàng Thị Loan")</f>
        <v>K44 Hoàng Thị Loan</v>
      </c>
      <c r="D6145" s="119" t="str">
        <f>IFERROR(__xludf.DUMMYFUNCTION("""COMPUTED_VALUE"""),"Chó")</f>
        <v>Chó</v>
      </c>
      <c r="E6145" s="119" t="str">
        <f>IFERROR(__xludf.DUMMYFUNCTION("""COMPUTED_VALUE"""),"Rốt")</f>
        <v>Rốt</v>
      </c>
    </row>
    <row r="6146" ht="15.75" customHeight="1">
      <c r="A6146" s="122" t="str">
        <f>IFERROR(__xludf.DUMMYFUNCTION("""COMPUTED_VALUE"""),"0906 421 006")</f>
        <v>0906 421 006</v>
      </c>
      <c r="B6146" s="119" t="str">
        <f>IFERROR(__xludf.DUMMYFUNCTION("""COMPUTED_VALUE"""),"Anh Tuấn")</f>
        <v>Anh Tuấn</v>
      </c>
      <c r="C6146" s="119" t="str">
        <f>IFERROR(__xludf.DUMMYFUNCTION("""COMPUTED_VALUE"""),"99 Duy Tân")</f>
        <v>99 Duy Tân</v>
      </c>
      <c r="D6146" s="119" t="str">
        <f>IFERROR(__xludf.DUMMYFUNCTION("""COMPUTED_VALUE"""),"Mèo")</f>
        <v>Mèo</v>
      </c>
      <c r="E6146" s="119" t="str">
        <f>IFERROR(__xludf.DUMMYFUNCTION("""COMPUTED_VALUE"""),"Méo")</f>
        <v>Méo</v>
      </c>
    </row>
    <row r="6147" ht="15.75" customHeight="1">
      <c r="A6147" s="122" t="str">
        <f>IFERROR(__xludf.DUMMYFUNCTION("""COMPUTED_VALUE"""),"0982 500 526")</f>
        <v>0982 500 526</v>
      </c>
      <c r="B6147" s="119" t="str">
        <f>IFERROR(__xludf.DUMMYFUNCTION("""COMPUTED_VALUE"""),"Chị Huế")</f>
        <v>Chị Huế</v>
      </c>
      <c r="C6147" s="119" t="str">
        <f>IFERROR(__xludf.DUMMYFUNCTION("""COMPUTED_VALUE"""),"K131 Trần Phú")</f>
        <v>K131 Trần Phú</v>
      </c>
      <c r="D6147" s="119" t="str">
        <f>IFERROR(__xludf.DUMMYFUNCTION("""COMPUTED_VALUE"""),"Chó")</f>
        <v>Chó</v>
      </c>
      <c r="E6147" s="119" t="str">
        <f>IFERROR(__xludf.DUMMYFUNCTION("""COMPUTED_VALUE"""),"Xoài")</f>
        <v>Xoài</v>
      </c>
    </row>
    <row r="6148" ht="15.75" customHeight="1">
      <c r="A6148" s="122" t="str">
        <f>IFERROR(__xludf.DUMMYFUNCTION("""COMPUTED_VALUE"""),"0348 456 313")</f>
        <v>0348 456 313</v>
      </c>
      <c r="B6148" s="119" t="str">
        <f>IFERROR(__xludf.DUMMYFUNCTION("""COMPUTED_VALUE"""),"Dì Liên")</f>
        <v>Dì Liên</v>
      </c>
      <c r="C6148" s="119" t="str">
        <f>IFERROR(__xludf.DUMMYFUNCTION("""COMPUTED_VALUE"""),"K100 Ngự Bình")</f>
        <v>K100 Ngự Bình</v>
      </c>
      <c r="D6148" s="119" t="str">
        <f>IFERROR(__xludf.DUMMYFUNCTION("""COMPUTED_VALUE"""),"Chó")</f>
        <v>Chó</v>
      </c>
      <c r="E6148" s="119" t="str">
        <f>IFERROR(__xludf.DUMMYFUNCTION("""COMPUTED_VALUE"""),"Trắng")</f>
        <v>Trắng</v>
      </c>
    </row>
    <row r="6149" ht="15.75" customHeight="1">
      <c r="A6149" s="122" t="str">
        <f>IFERROR(__xludf.DUMMYFUNCTION("""COMPUTED_VALUE"""),"0342 426 839")</f>
        <v>0342 426 839</v>
      </c>
      <c r="B6149" s="119" t="str">
        <f>IFERROR(__xludf.DUMMYFUNCTION("""COMPUTED_VALUE"""),"Dì Nguyễn Thị Quý")</f>
        <v>Dì Nguyễn Thị Quý</v>
      </c>
      <c r="C6149" s="119" t="str">
        <f>IFERROR(__xludf.DUMMYFUNCTION("""COMPUTED_VALUE"""),"K131 Trần Phú")</f>
        <v>K131 Trần Phú</v>
      </c>
      <c r="D6149" s="119" t="str">
        <f>IFERROR(__xludf.DUMMYFUNCTION("""COMPUTED_VALUE"""),"Chó")</f>
        <v>Chó</v>
      </c>
      <c r="E6149" s="119" t="str">
        <f>IFERROR(__xludf.DUMMYFUNCTION("""COMPUTED_VALUE"""),"Mino")</f>
        <v>Mino</v>
      </c>
    </row>
    <row r="6150" ht="15.75" customHeight="1">
      <c r="A6150" s="122" t="str">
        <f>IFERROR(__xludf.DUMMYFUNCTION("""COMPUTED_VALUE"""),"0914 097 269")</f>
        <v>0914 097 269</v>
      </c>
      <c r="B6150" s="119" t="str">
        <f>IFERROR(__xludf.DUMMYFUNCTION("""COMPUTED_VALUE"""),"Anh Cửu")</f>
        <v>Anh Cửu</v>
      </c>
      <c r="C6150" s="119" t="str">
        <f>IFERROR(__xludf.DUMMYFUNCTION("""COMPUTED_VALUE"""),"217/8 Điện Biên Phủ")</f>
        <v>217/8 Điện Biên Phủ</v>
      </c>
      <c r="D6150" s="119" t="str">
        <f>IFERROR(__xludf.DUMMYFUNCTION("""COMPUTED_VALUE"""),"Chó")</f>
        <v>Chó</v>
      </c>
      <c r="E6150" s="119" t="str">
        <f>IFERROR(__xludf.DUMMYFUNCTION("""COMPUTED_VALUE"""),"Poo")</f>
        <v>Poo</v>
      </c>
    </row>
    <row r="6151" ht="15.75" customHeight="1">
      <c r="A6151" s="122" t="str">
        <f>IFERROR(__xludf.DUMMYFUNCTION("""COMPUTED_VALUE"""),"0704 199 081")</f>
        <v>0704 199 081</v>
      </c>
      <c r="B6151" s="119" t="str">
        <f>IFERROR(__xludf.DUMMYFUNCTION("""COMPUTED_VALUE"""),"Chị Nhung")</f>
        <v>Chị Nhung</v>
      </c>
      <c r="C6151" s="119" t="str">
        <f>IFERROR(__xludf.DUMMYFUNCTION("""COMPUTED_VALUE"""),"5/31 Lịch Đợi")</f>
        <v>5/31 Lịch Đợi</v>
      </c>
      <c r="D6151" s="119" t="str">
        <f>IFERROR(__xludf.DUMMYFUNCTION("""COMPUTED_VALUE"""),"Chó")</f>
        <v>Chó</v>
      </c>
      <c r="E6151" s="119" t="str">
        <f>IFERROR(__xludf.DUMMYFUNCTION("""COMPUTED_VALUE"""),"Rot")</f>
        <v>Rot</v>
      </c>
    </row>
    <row r="6152" ht="15.75" customHeight="1">
      <c r="A6152" s="122" t="str">
        <f>IFERROR(__xludf.DUMMYFUNCTION("""COMPUTED_VALUE"""),"0932 143 034")</f>
        <v>0932 143 034</v>
      </c>
      <c r="B6152" s="119" t="str">
        <f>IFERROR(__xludf.DUMMYFUNCTION("""COMPUTED_VALUE"""),"Cô Hạnh Pháp")</f>
        <v>Cô Hạnh Pháp</v>
      </c>
      <c r="C6152" s="119" t="str">
        <f>IFERROR(__xludf.DUMMYFUNCTION("""COMPUTED_VALUE"""),"Chùa Thiện Lâm")</f>
        <v>Chùa Thiện Lâm</v>
      </c>
      <c r="D6152" s="119" t="str">
        <f>IFERROR(__xludf.DUMMYFUNCTION("""COMPUTED_VALUE"""),"Chó")</f>
        <v>Chó</v>
      </c>
      <c r="E6152" s="119" t="str">
        <f>IFERROR(__xludf.DUMMYFUNCTION("""COMPUTED_VALUE"""),"Đen")</f>
        <v>Đen</v>
      </c>
    </row>
    <row r="6153" ht="15.75" customHeight="1">
      <c r="A6153" s="122" t="str">
        <f>IFERROR(__xludf.DUMMYFUNCTION("""COMPUTED_VALUE"""),"0987 742 107")</f>
        <v>0987 742 107</v>
      </c>
      <c r="B6153" s="119" t="str">
        <f>IFERROR(__xludf.DUMMYFUNCTION("""COMPUTED_VALUE"""),"Dì Hải")</f>
        <v>Dì Hải</v>
      </c>
      <c r="C6153" s="119" t="str">
        <f>IFERROR(__xludf.DUMMYFUNCTION("""COMPUTED_VALUE"""),"6/7/54 Lê Ngô Cát")</f>
        <v>6/7/54 Lê Ngô Cát</v>
      </c>
      <c r="D6153" s="119" t="str">
        <f>IFERROR(__xludf.DUMMYFUNCTION("""COMPUTED_VALUE"""),"Chó")</f>
        <v>Chó</v>
      </c>
      <c r="E6153" s="119" t="str">
        <f>IFERROR(__xludf.DUMMYFUNCTION("""COMPUTED_VALUE"""),"Gấu")</f>
        <v>Gấu</v>
      </c>
    </row>
    <row r="6154" ht="15.75" customHeight="1">
      <c r="A6154" s="122" t="str">
        <f>IFERROR(__xludf.DUMMYFUNCTION("""COMPUTED_VALUE"""),"0357 444 772")</f>
        <v>0357 444 772</v>
      </c>
      <c r="B6154" s="119" t="str">
        <f>IFERROR(__xludf.DUMMYFUNCTION("""COMPUTED_VALUE"""),"Anh Đăng")</f>
        <v>Anh Đăng</v>
      </c>
      <c r="C6154" s="119" t="str">
        <f>IFERROR(__xludf.DUMMYFUNCTION("""COMPUTED_VALUE"""),"18 Tố Hữu")</f>
        <v>18 Tố Hữu</v>
      </c>
      <c r="D6154" s="119" t="str">
        <f>IFERROR(__xludf.DUMMYFUNCTION("""COMPUTED_VALUE"""),"Mèo")</f>
        <v>Mèo</v>
      </c>
      <c r="E6154" s="119" t="str">
        <f>IFERROR(__xludf.DUMMYFUNCTION("""COMPUTED_VALUE"""),"củi")</f>
        <v>củi</v>
      </c>
    </row>
    <row r="6155" ht="15.75" customHeight="1">
      <c r="A6155" s="122" t="str">
        <f>IFERROR(__xludf.DUMMYFUNCTION("""COMPUTED_VALUE"""),"0906 060 127")</f>
        <v>0906 060 127</v>
      </c>
      <c r="B6155" s="119" t="str">
        <f>IFERROR(__xludf.DUMMYFUNCTION("""COMPUTED_VALUE"""),"Nguyễn Thị Ngọc Diễm")</f>
        <v>Nguyễn Thị Ngọc Diễm</v>
      </c>
      <c r="C6155" s="119" t="str">
        <f>IFERROR(__xludf.DUMMYFUNCTION("""COMPUTED_VALUE"""),"8a/23/33/131 Trần Phú")</f>
        <v>8a/23/33/131 Trần Phú</v>
      </c>
      <c r="D6155" s="119" t="str">
        <f>IFERROR(__xludf.DUMMYFUNCTION("""COMPUTED_VALUE"""),"Chó")</f>
        <v>Chó</v>
      </c>
      <c r="E6155" s="119" t="str">
        <f>IFERROR(__xludf.DUMMYFUNCTION("""COMPUTED_VALUE"""),"Vàng")</f>
        <v>Vàng</v>
      </c>
    </row>
    <row r="6156" ht="15.75" customHeight="1">
      <c r="A6156" s="122" t="str">
        <f>IFERROR(__xludf.DUMMYFUNCTION("""COMPUTED_VALUE"""),"0796 644 907")</f>
        <v>0796 644 907</v>
      </c>
      <c r="B6156" s="119" t="str">
        <f>IFERROR(__xludf.DUMMYFUNCTION("""COMPUTED_VALUE"""),"Chị Nhân")</f>
        <v>Chị Nhân</v>
      </c>
      <c r="C6156" s="119" t="str">
        <f>IFERROR(__xludf.DUMMYFUNCTION("""COMPUTED_VALUE"""),"Phú Thiện")</f>
        <v>Phú Thiện</v>
      </c>
      <c r="D6156" s="119" t="str">
        <f>IFERROR(__xludf.DUMMYFUNCTION("""COMPUTED_VALUE"""),"Chó")</f>
        <v>Chó</v>
      </c>
      <c r="E6156" s="119" t="str">
        <f>IFERROR(__xludf.DUMMYFUNCTION("""COMPUTED_VALUE"""),"coka")</f>
        <v>coka</v>
      </c>
    </row>
    <row r="6157" ht="15.75" customHeight="1">
      <c r="A6157" s="122" t="str">
        <f>IFERROR(__xludf.DUMMYFUNCTION("""COMPUTED_VALUE"""),"0373 829 298")</f>
        <v>0373 829 298</v>
      </c>
      <c r="B6157" s="119" t="str">
        <f>IFERROR(__xludf.DUMMYFUNCTION("""COMPUTED_VALUE"""),"Anh Ty")</f>
        <v>Anh Ty</v>
      </c>
      <c r="C6157" s="119" t="str">
        <f>IFERROR(__xludf.DUMMYFUNCTION("""COMPUTED_VALUE"""),"7/86 Thiên Thai")</f>
        <v>7/86 Thiên Thai</v>
      </c>
      <c r="D6157" s="119" t="str">
        <f>IFERROR(__xludf.DUMMYFUNCTION("""COMPUTED_VALUE"""),"Chó")</f>
        <v>Chó</v>
      </c>
      <c r="E6157" s="119" t="str">
        <f>IFERROR(__xludf.DUMMYFUNCTION("""COMPUTED_VALUE"""),"nâu")</f>
        <v>nâu</v>
      </c>
    </row>
    <row r="6158" ht="15.75" customHeight="1">
      <c r="A6158" s="122" t="str">
        <f>IFERROR(__xludf.DUMMYFUNCTION("""COMPUTED_VALUE"""),"0934 987 755")</f>
        <v>0934 987 755</v>
      </c>
      <c r="B6158" s="119" t="str">
        <f>IFERROR(__xludf.DUMMYFUNCTION("""COMPUTED_VALUE"""),"Chị Chi")</f>
        <v>Chị Chi</v>
      </c>
      <c r="C6158" s="119" t="str">
        <f>IFERROR(__xludf.DUMMYFUNCTION("""COMPUTED_VALUE"""),"28 Võ liêm Sơn")</f>
        <v>28 Võ liêm Sơn</v>
      </c>
      <c r="D6158" s="119" t="str">
        <f>IFERROR(__xludf.DUMMYFUNCTION("""COMPUTED_VALUE"""),"Chó")</f>
        <v>Chó</v>
      </c>
      <c r="E6158" s="119" t="str">
        <f>IFERROR(__xludf.DUMMYFUNCTION("""COMPUTED_VALUE"""),"Vện anh")</f>
        <v>Vện anh</v>
      </c>
    </row>
    <row r="6159" ht="15.75" customHeight="1">
      <c r="A6159" s="122" t="str">
        <f>IFERROR(__xludf.DUMMYFUNCTION("""COMPUTED_VALUE"""),"0931 914 246")</f>
        <v>0931 914 246</v>
      </c>
      <c r="B6159" s="119" t="str">
        <f>IFERROR(__xludf.DUMMYFUNCTION("""COMPUTED_VALUE"""),"Chị Giao")</f>
        <v>Chị Giao</v>
      </c>
      <c r="C6159" s="119" t="str">
        <f>IFERROR(__xludf.DUMMYFUNCTION("""COMPUTED_VALUE"""),"80 Thanh Hải")</f>
        <v>80 Thanh Hải</v>
      </c>
      <c r="D6159" s="119" t="str">
        <f>IFERROR(__xludf.DUMMYFUNCTION("""COMPUTED_VALUE"""),"Chó")</f>
        <v>Chó</v>
      </c>
      <c r="E6159" s="119" t="str">
        <f>IFERROR(__xludf.DUMMYFUNCTION("""COMPUTED_VALUE"""),"bơ")</f>
        <v>bơ</v>
      </c>
    </row>
    <row r="6160" ht="15.75" customHeight="1">
      <c r="A6160" s="122" t="str">
        <f>IFERROR(__xludf.DUMMYFUNCTION("""COMPUTED_VALUE"""),"0702 601 606")</f>
        <v>0702 601 606</v>
      </c>
      <c r="B6160" s="119" t="str">
        <f>IFERROR(__xludf.DUMMYFUNCTION("""COMPUTED_VALUE"""),"Anh Hưng")</f>
        <v>Anh Hưng</v>
      </c>
      <c r="C6160" s="119" t="str">
        <f>IFERROR(__xludf.DUMMYFUNCTION("""COMPUTED_VALUE"""),"Phú Thượng")</f>
        <v>Phú Thượng</v>
      </c>
      <c r="D6160" s="119" t="str">
        <f>IFERROR(__xludf.DUMMYFUNCTION("""COMPUTED_VALUE"""),"Chó")</f>
        <v>Chó</v>
      </c>
      <c r="E6160" s="119" t="str">
        <f>IFERROR(__xludf.DUMMYFUNCTION("""COMPUTED_VALUE"""),"Mít")</f>
        <v>Mít</v>
      </c>
    </row>
    <row r="6161" ht="15.75" customHeight="1">
      <c r="A6161" s="122" t="str">
        <f>IFERROR(__xludf.DUMMYFUNCTION("""COMPUTED_VALUE"""),"0702 956 136")</f>
        <v>0702 956 136</v>
      </c>
      <c r="B6161" s="119" t="str">
        <f>IFERROR(__xludf.DUMMYFUNCTION("""COMPUTED_VALUE"""),"Chị Lan")</f>
        <v>Chị Lan</v>
      </c>
      <c r="C6161" s="119" t="str">
        <f>IFERROR(__xludf.DUMMYFUNCTION("""COMPUTED_VALUE"""),"K131 Trần Phú")</f>
        <v>K131 Trần Phú</v>
      </c>
      <c r="D6161" s="119" t="str">
        <f>IFERROR(__xludf.DUMMYFUNCTION("""COMPUTED_VALUE"""),"Chó")</f>
        <v>Chó</v>
      </c>
      <c r="E6161" s="119" t="str">
        <f>IFERROR(__xludf.DUMMYFUNCTION("""COMPUTED_VALUE"""),"Đốm")</f>
        <v>Đốm</v>
      </c>
    </row>
    <row r="6162" ht="15.75" customHeight="1">
      <c r="A6162" s="122" t="str">
        <f>IFERROR(__xludf.DUMMYFUNCTION("""COMPUTED_VALUE"""),"0934 860 505")</f>
        <v>0934 860 505</v>
      </c>
      <c r="B6162" s="119" t="str">
        <f>IFERROR(__xludf.DUMMYFUNCTION("""COMPUTED_VALUE"""),"Anh Minh")</f>
        <v>Anh Minh</v>
      </c>
      <c r="C6162" s="119" t="str">
        <f>IFERROR(__xludf.DUMMYFUNCTION("""COMPUTED_VALUE"""),"10/54/69/131 trần Phú")</f>
        <v>10/54/69/131 trần Phú</v>
      </c>
      <c r="D6162" s="119" t="str">
        <f>IFERROR(__xludf.DUMMYFUNCTION("""COMPUTED_VALUE"""),"Chó")</f>
        <v>Chó</v>
      </c>
      <c r="E6162" s="119" t="str">
        <f>IFERROR(__xludf.DUMMYFUNCTION("""COMPUTED_VALUE"""),"xù")</f>
        <v>xù</v>
      </c>
    </row>
    <row r="6163" ht="15.75" customHeight="1">
      <c r="A6163" s="122" t="str">
        <f>IFERROR(__xludf.DUMMYFUNCTION("""COMPUTED_VALUE"""),"0905 860 583")</f>
        <v>0905 860 583</v>
      </c>
      <c r="B6163" s="119" t="str">
        <f>IFERROR(__xludf.DUMMYFUNCTION("""COMPUTED_VALUE"""),"Trương Thị Thu Thảo")</f>
        <v>Trương Thị Thu Thảo</v>
      </c>
      <c r="C6163" s="119" t="str">
        <f>IFERROR(__xludf.DUMMYFUNCTION("""COMPUTED_VALUE"""),"3/102 nguyễn duy cung")</f>
        <v>3/102 nguyễn duy cung</v>
      </c>
      <c r="D6163" s="119" t="str">
        <f>IFERROR(__xludf.DUMMYFUNCTION("""COMPUTED_VALUE"""),"Mèo")</f>
        <v>Mèo</v>
      </c>
      <c r="E6163" s="119" t="str">
        <f>IFERROR(__xludf.DUMMYFUNCTION("""COMPUTED_VALUE"""),"méo")</f>
        <v>méo</v>
      </c>
    </row>
    <row r="6164" ht="15.75" customHeight="1">
      <c r="A6164" s="122" t="str">
        <f>IFERROR(__xludf.DUMMYFUNCTION("""COMPUTED_VALUE"""),"0706 242 902")</f>
        <v>0706 242 902</v>
      </c>
      <c r="B6164" s="119" t="str">
        <f>IFERROR(__xludf.DUMMYFUNCTION("""COMPUTED_VALUE"""),"Chị Nhật Vy")</f>
        <v>Chị Nhật Vy</v>
      </c>
      <c r="C6164" s="119" t="str">
        <f>IFERROR(__xludf.DUMMYFUNCTION("""COMPUTED_VALUE"""),"Phú Hiệp")</f>
        <v>Phú Hiệp</v>
      </c>
      <c r="D6164" s="119" t="str">
        <f>IFERROR(__xludf.DUMMYFUNCTION("""COMPUTED_VALUE"""),"Mèo")</f>
        <v>Mèo</v>
      </c>
      <c r="E6164" s="119" t="str">
        <f>IFERROR(__xludf.DUMMYFUNCTION("""COMPUTED_VALUE"""),"Cà")</f>
        <v>Cà</v>
      </c>
    </row>
    <row r="6165" ht="15.75" customHeight="1">
      <c r="A6165" s="122" t="str">
        <f>IFERROR(__xludf.DUMMYFUNCTION("""COMPUTED_VALUE"""),"0965 808 863")</f>
        <v>0965 808 863</v>
      </c>
      <c r="B6165" s="119" t="str">
        <f>IFERROR(__xludf.DUMMYFUNCTION("""COMPUTED_VALUE"""),"Minh Chi")</f>
        <v>Minh Chi</v>
      </c>
      <c r="C6165" s="119" t="str">
        <f>IFERROR(__xludf.DUMMYFUNCTION("""COMPUTED_VALUE"""),"3/68 Đặng Huy Trứ")</f>
        <v>3/68 Đặng Huy Trứ</v>
      </c>
      <c r="D6165" s="119" t="str">
        <f>IFERROR(__xludf.DUMMYFUNCTION("""COMPUTED_VALUE"""),"Chó")</f>
        <v>Chó</v>
      </c>
      <c r="E6165" s="119" t="str">
        <f>IFERROR(__xludf.DUMMYFUNCTION("""COMPUTED_VALUE""")," Gin")</f>
        <v> Gin</v>
      </c>
    </row>
    <row r="6166" ht="15.75" customHeight="1">
      <c r="A6166" s="122" t="str">
        <f>IFERROR(__xludf.DUMMYFUNCTION("""COMPUTED_VALUE"""),"0906 581 926")</f>
        <v>0906 581 926</v>
      </c>
      <c r="B6166" s="119" t="str">
        <f>IFERROR(__xludf.DUMMYFUNCTION("""COMPUTED_VALUE"""),"Chị Thu Thảo")</f>
        <v>Chị Thu Thảo</v>
      </c>
      <c r="C6166" s="119" t="str">
        <f>IFERROR(__xludf.DUMMYFUNCTION("""COMPUTED_VALUE"""),"334 Bùi Thị Xuân")</f>
        <v>334 Bùi Thị Xuân</v>
      </c>
      <c r="D6166" s="119" t="str">
        <f>IFERROR(__xludf.DUMMYFUNCTION("""COMPUTED_VALUE"""),"Mèo")</f>
        <v>Mèo</v>
      </c>
      <c r="E6166" s="119" t="str">
        <f>IFERROR(__xludf.DUMMYFUNCTION("""COMPUTED_VALUE"""),"Ka")</f>
        <v>Ka</v>
      </c>
    </row>
    <row r="6167" ht="15.75" customHeight="1">
      <c r="A6167" s="122" t="str">
        <f>IFERROR(__xludf.DUMMYFUNCTION("""COMPUTED_VALUE"""),"0981 496 436")</f>
        <v>0981 496 436</v>
      </c>
      <c r="B6167" s="119" t="str">
        <f>IFERROR(__xludf.DUMMYFUNCTION("""COMPUTED_VALUE"""),"Anh Phong")</f>
        <v>Anh Phong</v>
      </c>
      <c r="C6167" s="119" t="str">
        <f>IFERROR(__xludf.DUMMYFUNCTION("""COMPUTED_VALUE"""),"Lê Ngô Cát")</f>
        <v>Lê Ngô Cát</v>
      </c>
      <c r="D6167" s="119" t="str">
        <f>IFERROR(__xludf.DUMMYFUNCTION("""COMPUTED_VALUE"""),"Mèo")</f>
        <v>Mèo</v>
      </c>
      <c r="E6167" s="119" t="str">
        <f>IFERROR(__xludf.DUMMYFUNCTION("""COMPUTED_VALUE"""),"Mè")</f>
        <v>Mè</v>
      </c>
    </row>
    <row r="6168" ht="15.75" customHeight="1">
      <c r="A6168" s="122" t="str">
        <f>IFERROR(__xludf.DUMMYFUNCTION("""COMPUTED_VALUE"""),"0784 288 668")</f>
        <v>0784 288 668</v>
      </c>
      <c r="B6168" s="119" t="str">
        <f>IFERROR(__xludf.DUMMYFUNCTION("""COMPUTED_VALUE"""),"Anh Thanh Sơn")</f>
        <v>Anh Thanh Sơn</v>
      </c>
      <c r="C6168" s="119" t="str">
        <f>IFERROR(__xludf.DUMMYFUNCTION("""COMPUTED_VALUE"""),"16/99 Đặng Huy Trứ")</f>
        <v>16/99 Đặng Huy Trứ</v>
      </c>
      <c r="D6168" s="119" t="str">
        <f>IFERROR(__xludf.DUMMYFUNCTION("""COMPUTED_VALUE"""),"Mèo")</f>
        <v>Mèo</v>
      </c>
      <c r="E6168" s="119" t="str">
        <f>IFERROR(__xludf.DUMMYFUNCTION("""COMPUTED_VALUE"""),"Hổ")</f>
        <v>Hổ</v>
      </c>
    </row>
    <row r="6169" ht="15.75" customHeight="1">
      <c r="A6169" s="122" t="str">
        <f>IFERROR(__xludf.DUMMYFUNCTION("""COMPUTED_VALUE"""),"0905 713 377")</f>
        <v>0905 713 377</v>
      </c>
      <c r="B6169" s="119" t="str">
        <f>IFERROR(__xludf.DUMMYFUNCTION("""COMPUTED_VALUE"""),"Chị Y Bình")</f>
        <v>Chị Y Bình</v>
      </c>
      <c r="C6169" s="119" t="str">
        <f>IFERROR(__xludf.DUMMYFUNCTION("""COMPUTED_VALUE"""),"Chế lan Viên")</f>
        <v>Chế lan Viên</v>
      </c>
      <c r="D6169" s="119" t="str">
        <f>IFERROR(__xludf.DUMMYFUNCTION("""COMPUTED_VALUE"""),"Chó")</f>
        <v>Chó</v>
      </c>
      <c r="E6169" s="119" t="str">
        <f>IFERROR(__xludf.DUMMYFUNCTION("""COMPUTED_VALUE"""),"Mon")</f>
        <v>Mon</v>
      </c>
    </row>
    <row r="6170" ht="15.75" customHeight="1">
      <c r="A6170" s="122" t="str">
        <f>IFERROR(__xludf.DUMMYFUNCTION("""COMPUTED_VALUE"""),"0932 265 354")</f>
        <v>0932 265 354</v>
      </c>
      <c r="B6170" s="119" t="str">
        <f>IFERROR(__xludf.DUMMYFUNCTION("""COMPUTED_VALUE"""),"Anh Tài")</f>
        <v>Anh Tài</v>
      </c>
      <c r="C6170" s="119" t="str">
        <f>IFERROR(__xludf.DUMMYFUNCTION("""COMPUTED_VALUE"""),"vỹ Dạ")</f>
        <v>vỹ Dạ</v>
      </c>
      <c r="D6170" s="119" t="str">
        <f>IFERROR(__xludf.DUMMYFUNCTION("""COMPUTED_VALUE"""),"Mèo")</f>
        <v>Mèo</v>
      </c>
      <c r="E6170" s="119" t="str">
        <f>IFERROR(__xludf.DUMMYFUNCTION("""COMPUTED_VALUE"""),"momo")</f>
        <v>momo</v>
      </c>
    </row>
    <row r="6171" ht="15.75" customHeight="1">
      <c r="A6171" s="122" t="str">
        <f>IFERROR(__xludf.DUMMYFUNCTION("""COMPUTED_VALUE"""),"0348 133 535")</f>
        <v>0348 133 535</v>
      </c>
      <c r="B6171" s="119" t="str">
        <f>IFERROR(__xludf.DUMMYFUNCTION("""COMPUTED_VALUE"""),"Chị Huyền")</f>
        <v>Chị Huyền</v>
      </c>
      <c r="C6171" s="119" t="str">
        <f>IFERROR(__xludf.DUMMYFUNCTION("""COMPUTED_VALUE"""),"Hương Thủy")</f>
        <v>Hương Thủy</v>
      </c>
      <c r="D6171" s="119" t="str">
        <f>IFERROR(__xludf.DUMMYFUNCTION("""COMPUTED_VALUE"""),"Chó")</f>
        <v>Chó</v>
      </c>
      <c r="E6171" s="119" t="str">
        <f>IFERROR(__xludf.DUMMYFUNCTION("""COMPUTED_VALUE"""),"lạp Xưởng")</f>
        <v>lạp Xưởng</v>
      </c>
    </row>
    <row r="6172" ht="15.75" customHeight="1">
      <c r="A6172" s="122" t="str">
        <f>IFERROR(__xludf.DUMMYFUNCTION("""COMPUTED_VALUE"""),"0818 914 273")</f>
        <v>0818 914 273</v>
      </c>
      <c r="B6172" s="119" t="str">
        <f>IFERROR(__xludf.DUMMYFUNCTION("""COMPUTED_VALUE"""),"Ngô Thị Thu Hồng")</f>
        <v>Ngô Thị Thu Hồng</v>
      </c>
      <c r="C6172" s="119" t="str">
        <f>IFERROR(__xludf.DUMMYFUNCTION("""COMPUTED_VALUE"""),"1 Đặng Huy Trứ")</f>
        <v>1 Đặng Huy Trứ</v>
      </c>
      <c r="D6172" s="119" t="str">
        <f>IFERROR(__xludf.DUMMYFUNCTION("""COMPUTED_VALUE"""),"Chó")</f>
        <v>Chó</v>
      </c>
      <c r="E6172" s="119" t="str">
        <f>IFERROR(__xludf.DUMMYFUNCTION("""COMPUTED_VALUE"""),"Puppi")</f>
        <v>Puppi</v>
      </c>
    </row>
    <row r="6173" ht="15.75" customHeight="1">
      <c r="A6173" s="122" t="str">
        <f>IFERROR(__xludf.DUMMYFUNCTION("""COMPUTED_VALUE"""),"0905 675 097")</f>
        <v>0905 675 097</v>
      </c>
      <c r="B6173" s="119" t="str">
        <f>IFERROR(__xludf.DUMMYFUNCTION("""COMPUTED_VALUE"""),"Lê Thị Lệ")</f>
        <v>Lê Thị Lệ</v>
      </c>
      <c r="C6173" s="119" t="str">
        <f>IFERROR(__xludf.DUMMYFUNCTION("""COMPUTED_VALUE"""),"1/17/6 Tam Thai")</f>
        <v>1/17/6 Tam Thai</v>
      </c>
      <c r="D6173" s="119" t="str">
        <f>IFERROR(__xludf.DUMMYFUNCTION("""COMPUTED_VALUE"""),"Chó")</f>
        <v>Chó</v>
      </c>
      <c r="E6173" s="119" t="str">
        <f>IFERROR(__xludf.DUMMYFUNCTION("""COMPUTED_VALUE"""),"Gông cha")</f>
        <v>Gông cha</v>
      </c>
    </row>
    <row r="6174" ht="15.75" customHeight="1">
      <c r="A6174" s="122" t="str">
        <f>IFERROR(__xludf.DUMMYFUNCTION("""COMPUTED_VALUE"""),"0816 582 551")</f>
        <v>0816 582 551</v>
      </c>
      <c r="B6174" s="119" t="str">
        <f>IFERROR(__xludf.DUMMYFUNCTION("""COMPUTED_VALUE"""),"Thầy Bùi Đức Long")</f>
        <v>Thầy Bùi Đức Long</v>
      </c>
      <c r="C6174" s="119" t="str">
        <f>IFERROR(__xludf.DUMMYFUNCTION("""COMPUTED_VALUE"""),"29/77 Thiên Thai")</f>
        <v>29/77 Thiên Thai</v>
      </c>
      <c r="D6174" s="119" t="str">
        <f>IFERROR(__xludf.DUMMYFUNCTION("""COMPUTED_VALUE"""),"Chó")</f>
        <v>Chó</v>
      </c>
      <c r="E6174" s="119" t="str">
        <f>IFERROR(__xludf.DUMMYFUNCTION("""COMPUTED_VALUE"""),"Ken")</f>
        <v>Ken</v>
      </c>
    </row>
    <row r="6175" ht="15.75" customHeight="1">
      <c r="A6175" s="122" t="str">
        <f>IFERROR(__xludf.DUMMYFUNCTION("""COMPUTED_VALUE"""),"0787 759 857")</f>
        <v>0787 759 857</v>
      </c>
      <c r="B6175" s="119" t="str">
        <f>IFERROR(__xludf.DUMMYFUNCTION("""COMPUTED_VALUE"""),"Anh Hoàng")</f>
        <v>Anh Hoàng</v>
      </c>
      <c r="C6175" s="119" t="str">
        <f>IFERROR(__xludf.DUMMYFUNCTION("""COMPUTED_VALUE"""),"50 Hải Triều")</f>
        <v>50 Hải Triều</v>
      </c>
      <c r="D6175" s="119" t="str">
        <f>IFERROR(__xludf.DUMMYFUNCTION("""COMPUTED_VALUE"""),"Mèo")</f>
        <v>Mèo</v>
      </c>
      <c r="E6175" s="119" t="str">
        <f>IFERROR(__xludf.DUMMYFUNCTION("""COMPUTED_VALUE"""),"Yumi")</f>
        <v>Yumi</v>
      </c>
    </row>
    <row r="6176" ht="15.75" customHeight="1">
      <c r="A6176" s="122" t="str">
        <f>IFERROR(__xludf.DUMMYFUNCTION("""COMPUTED_VALUE"""),"0904 004 945")</f>
        <v>0904 004 945</v>
      </c>
      <c r="B6176" s="119" t="str">
        <f>IFERROR(__xludf.DUMMYFUNCTION("""COMPUTED_VALUE"""),"Chị Tường Vân")</f>
        <v>Chị Tường Vân</v>
      </c>
      <c r="C6176" s="119" t="str">
        <f>IFERROR(__xludf.DUMMYFUNCTION("""COMPUTED_VALUE"""),"78 Thanh Hải")</f>
        <v>78 Thanh Hải</v>
      </c>
      <c r="D6176" s="119" t="str">
        <f>IFERROR(__xludf.DUMMYFUNCTION("""COMPUTED_VALUE"""),"Chó")</f>
        <v>Chó</v>
      </c>
      <c r="E6176" s="119" t="str">
        <f>IFERROR(__xludf.DUMMYFUNCTION("""COMPUTED_VALUE"""),"Moon")</f>
        <v>Moon</v>
      </c>
    </row>
    <row r="6177" ht="15.75" customHeight="1">
      <c r="A6177" s="122" t="str">
        <f>IFERROR(__xludf.DUMMYFUNCTION("""COMPUTED_VALUE"""),"0857 570 359")</f>
        <v>0857 570 359</v>
      </c>
      <c r="B6177" s="119" t="str">
        <f>IFERROR(__xludf.DUMMYFUNCTION("""COMPUTED_VALUE"""),"em Hà Duyên")</f>
        <v>em Hà Duyên</v>
      </c>
      <c r="C6177" s="119" t="str">
        <f>IFERROR(__xludf.DUMMYFUNCTION("""COMPUTED_VALUE"""),"3/149 Trần Phú")</f>
        <v>3/149 Trần Phú</v>
      </c>
      <c r="D6177" s="119" t="str">
        <f>IFERROR(__xludf.DUMMYFUNCTION("""COMPUTED_VALUE"""),"Chó")</f>
        <v>Chó</v>
      </c>
      <c r="E6177" s="119" t="str">
        <f>IFERROR(__xludf.DUMMYFUNCTION("""COMPUTED_VALUE"""),"Na")</f>
        <v>Na</v>
      </c>
    </row>
    <row r="6178" ht="15.75" customHeight="1">
      <c r="A6178" s="122" t="str">
        <f>IFERROR(__xludf.DUMMYFUNCTION("""COMPUTED_VALUE"""),"0905 767 199")</f>
        <v>0905 767 199</v>
      </c>
      <c r="B6178" s="119" t="str">
        <f>IFERROR(__xludf.DUMMYFUNCTION("""COMPUTED_VALUE"""),"Anh Thành")</f>
        <v>Anh Thành</v>
      </c>
      <c r="C6178" s="119" t="str">
        <f>IFERROR(__xludf.DUMMYFUNCTION("""COMPUTED_VALUE"""),"10/55 Phan Đình Phùng")</f>
        <v>10/55 Phan Đình Phùng</v>
      </c>
      <c r="D6178" s="119" t="str">
        <f>IFERROR(__xludf.DUMMYFUNCTION("""COMPUTED_VALUE"""),"Chó")</f>
        <v>Chó</v>
      </c>
      <c r="E6178" s="119" t="str">
        <f>IFERROR(__xludf.DUMMYFUNCTION("""COMPUTED_VALUE"""),"Bi")</f>
        <v>Bi</v>
      </c>
    </row>
    <row r="6179" ht="15.75" customHeight="1">
      <c r="A6179" s="122" t="str">
        <f>IFERROR(__xludf.DUMMYFUNCTION("""COMPUTED_VALUE"""),"0777 595 138")</f>
        <v>0777 595 138</v>
      </c>
      <c r="B6179" s="119" t="str">
        <f>IFERROR(__xludf.DUMMYFUNCTION("""COMPUTED_VALUE"""),"Chị Nhi")</f>
        <v>Chị Nhi</v>
      </c>
      <c r="C6179" s="119" t="str">
        <f>IFERROR(__xludf.DUMMYFUNCTION("""COMPUTED_VALUE"""),"Chợ Nọ")</f>
        <v>Chợ Nọ</v>
      </c>
      <c r="D6179" s="119" t="str">
        <f>IFERROR(__xludf.DUMMYFUNCTION("""COMPUTED_VALUE"""),"Chó")</f>
        <v>Chó</v>
      </c>
      <c r="E6179" s="119" t="str">
        <f>IFERROR(__xludf.DUMMYFUNCTION("""COMPUTED_VALUE"""),"Heo")</f>
        <v>Heo</v>
      </c>
    </row>
    <row r="6180" ht="15.75" customHeight="1">
      <c r="A6180" s="122" t="str">
        <f>IFERROR(__xludf.DUMMYFUNCTION("""COMPUTED_VALUE"""),"0914 621 050")</f>
        <v>0914 621 050</v>
      </c>
      <c r="B6180" s="119" t="str">
        <f>IFERROR(__xludf.DUMMYFUNCTION("""COMPUTED_VALUE"""),"Hoàng Thị Kim Chi")</f>
        <v>Hoàng Thị Kim Chi</v>
      </c>
      <c r="C6180" s="119" t="str">
        <f>IFERROR(__xludf.DUMMYFUNCTION("""COMPUTED_VALUE"""),"14/63 Điện Biên Phủ")</f>
        <v>14/63 Điện Biên Phủ</v>
      </c>
      <c r="D6180" s="119" t="str">
        <f>IFERROR(__xludf.DUMMYFUNCTION("""COMPUTED_VALUE"""),"Mèo")</f>
        <v>Mèo</v>
      </c>
      <c r="E6180" s="119" t="str">
        <f>IFERROR(__xludf.DUMMYFUNCTION("""COMPUTED_VALUE"""),"mỡ")</f>
        <v>mỡ</v>
      </c>
    </row>
    <row r="6181" ht="15.75" customHeight="1">
      <c r="A6181" s="122" t="str">
        <f>IFERROR(__xludf.DUMMYFUNCTION("""COMPUTED_VALUE"""),"0979 072 267")</f>
        <v>0979 072 267</v>
      </c>
      <c r="B6181" s="119" t="str">
        <f>IFERROR(__xludf.DUMMYFUNCTION("""COMPUTED_VALUE"""),"Cô Quy")</f>
        <v>Cô Quy</v>
      </c>
      <c r="C6181" s="119" t="str">
        <f>IFERROR(__xludf.DUMMYFUNCTION("""COMPUTED_VALUE"""),"Phong Điền")</f>
        <v>Phong Điền</v>
      </c>
      <c r="D6181" s="119" t="str">
        <f>IFERROR(__xludf.DUMMYFUNCTION("""COMPUTED_VALUE"""),"Chó")</f>
        <v>Chó</v>
      </c>
      <c r="E6181" s="119" t="str">
        <f>IFERROR(__xludf.DUMMYFUNCTION("""COMPUTED_VALUE"""),"Ki")</f>
        <v>Ki</v>
      </c>
    </row>
    <row r="6182" ht="15.75" customHeight="1">
      <c r="A6182" s="122" t="str">
        <f>IFERROR(__xludf.DUMMYFUNCTION("""COMPUTED_VALUE"""),"0372 659 891")</f>
        <v>0372 659 891</v>
      </c>
      <c r="B6182" s="119" t="str">
        <f>IFERROR(__xludf.DUMMYFUNCTION("""COMPUTED_VALUE"""),"Chị Nhung")</f>
        <v>Chị Nhung</v>
      </c>
      <c r="C6182" s="119" t="str">
        <f>IFERROR(__xludf.DUMMYFUNCTION("""COMPUTED_VALUE"""),"Minh Mạng")</f>
        <v>Minh Mạng</v>
      </c>
      <c r="D6182" s="119" t="str">
        <f>IFERROR(__xludf.DUMMYFUNCTION("""COMPUTED_VALUE"""),"Mèo")</f>
        <v>Mèo</v>
      </c>
      <c r="E6182" s="119" t="str">
        <f>IFERROR(__xludf.DUMMYFUNCTION("""COMPUTED_VALUE"""),"Mun")</f>
        <v>Mun</v>
      </c>
    </row>
    <row r="6183" ht="15.75" customHeight="1">
      <c r="A6183" s="122" t="str">
        <f>IFERROR(__xludf.DUMMYFUNCTION("""COMPUTED_VALUE"""),"0949 550 841")</f>
        <v>0949 550 841</v>
      </c>
      <c r="B6183" s="119" t="str">
        <f>IFERROR(__xludf.DUMMYFUNCTION("""COMPUTED_VALUE"""),"Cô Như Trang")</f>
        <v>Cô Như Trang</v>
      </c>
      <c r="C6183" s="119" t="str">
        <f>IFERROR(__xludf.DUMMYFUNCTION("""COMPUTED_VALUE"""),"k 50 Thiên Thai")</f>
        <v>k 50 Thiên Thai</v>
      </c>
      <c r="D6183" s="119" t="str">
        <f>IFERROR(__xludf.DUMMYFUNCTION("""COMPUTED_VALUE"""),"Chó")</f>
        <v>Chó</v>
      </c>
      <c r="E6183" s="119" t="str">
        <f>IFERROR(__xludf.DUMMYFUNCTION("""COMPUTED_VALUE"""),"Po")</f>
        <v>Po</v>
      </c>
    </row>
    <row r="6184" ht="15.75" customHeight="1">
      <c r="A6184" s="122" t="str">
        <f>IFERROR(__xludf.DUMMYFUNCTION("""COMPUTED_VALUE"""),"0335 999 531")</f>
        <v>0335 999 531</v>
      </c>
      <c r="B6184" s="119" t="str">
        <f>IFERROR(__xludf.DUMMYFUNCTION("""COMPUTED_VALUE"""),"Hiến OKada")</f>
        <v>Hiến OKada</v>
      </c>
      <c r="C6184" s="119" t="str">
        <f>IFERROR(__xludf.DUMMYFUNCTION("""COMPUTED_VALUE"""),"Trần phú")</f>
        <v>Trần phú</v>
      </c>
      <c r="D6184" s="119" t="str">
        <f>IFERROR(__xludf.DUMMYFUNCTION("""COMPUTED_VALUE"""),"Chó")</f>
        <v>Chó</v>
      </c>
      <c r="E6184" s="119" t="str">
        <f>IFERROR(__xludf.DUMMYFUNCTION("""COMPUTED_VALUE"""),"Nấm")</f>
        <v>Nấm</v>
      </c>
    </row>
    <row r="6185" ht="15.75" customHeight="1">
      <c r="A6185" s="122" t="str">
        <f>IFERROR(__xludf.DUMMYFUNCTION("""COMPUTED_VALUE"""),"0935 241 022")</f>
        <v>0935 241 022</v>
      </c>
      <c r="B6185" s="119" t="str">
        <f>IFERROR(__xludf.DUMMYFUNCTION("""COMPUTED_VALUE"""),"Phan Chí Hòa")</f>
        <v>Phan Chí Hòa</v>
      </c>
      <c r="C6185" s="119" t="str">
        <f>IFERROR(__xludf.DUMMYFUNCTION("""COMPUTED_VALUE"""),"4/23/131 Trần phú")</f>
        <v>4/23/131 Trần phú</v>
      </c>
      <c r="D6185" s="119" t="str">
        <f>IFERROR(__xludf.DUMMYFUNCTION("""COMPUTED_VALUE"""),"Mèo")</f>
        <v>Mèo</v>
      </c>
      <c r="E6185" s="119" t="str">
        <f>IFERROR(__xludf.DUMMYFUNCTION("""COMPUTED_VALUE"""),"Tom")</f>
        <v>Tom</v>
      </c>
    </row>
    <row r="6186" ht="15.75" customHeight="1">
      <c r="A6186" s="122" t="str">
        <f>IFERROR(__xludf.DUMMYFUNCTION("""COMPUTED_VALUE"""),"0389 632 653")</f>
        <v>0389 632 653</v>
      </c>
      <c r="B6186" s="119" t="str">
        <f>IFERROR(__xludf.DUMMYFUNCTION("""COMPUTED_VALUE"""),"Chị Châu")</f>
        <v>Chị Châu</v>
      </c>
      <c r="C6186" s="119" t="str">
        <f>IFERROR(__xludf.DUMMYFUNCTION("""COMPUTED_VALUE"""),"kiệt 131 Trần Phú")</f>
        <v>kiệt 131 Trần Phú</v>
      </c>
      <c r="D6186" s="119" t="str">
        <f>IFERROR(__xludf.DUMMYFUNCTION("""COMPUTED_VALUE"""),"Chó")</f>
        <v>Chó</v>
      </c>
      <c r="E6186" s="119" t="str">
        <f>IFERROR(__xludf.DUMMYFUNCTION("""COMPUTED_VALUE"""),"Mỡ")</f>
        <v>Mỡ</v>
      </c>
    </row>
    <row r="6187" ht="15.75" customHeight="1">
      <c r="A6187" s="122" t="str">
        <f>IFERROR(__xludf.DUMMYFUNCTION("""COMPUTED_VALUE"""),"0941 001 984")</f>
        <v>0941 001 984</v>
      </c>
      <c r="B6187" s="119" t="str">
        <f>IFERROR(__xludf.DUMMYFUNCTION("""COMPUTED_VALUE"""),"Chị Trúc")</f>
        <v>Chị Trúc</v>
      </c>
      <c r="C6187" s="119"/>
      <c r="D6187" s="119" t="str">
        <f>IFERROR(__xludf.DUMMYFUNCTION("""COMPUTED_VALUE"""),"Mèo")</f>
        <v>Mèo</v>
      </c>
      <c r="E6187" s="119" t="str">
        <f>IFERROR(__xludf.DUMMYFUNCTION("""COMPUTED_VALUE"""),"Doremi")</f>
        <v>Doremi</v>
      </c>
    </row>
    <row r="6188" ht="15.75" customHeight="1">
      <c r="A6188" s="122" t="str">
        <f>IFERROR(__xludf.DUMMYFUNCTION("""COMPUTED_VALUE"""),"0832 392 090")</f>
        <v>0832 392 090</v>
      </c>
      <c r="B6188" s="119" t="str">
        <f>IFERROR(__xludf.DUMMYFUNCTION("""COMPUTED_VALUE"""),"Em Quỳnh Hương")</f>
        <v>Em Quỳnh Hương</v>
      </c>
      <c r="C6188" s="119" t="str">
        <f>IFERROR(__xludf.DUMMYFUNCTION("""COMPUTED_VALUE"""),"DuyTân")</f>
        <v>DuyTân</v>
      </c>
      <c r="D6188" s="119" t="str">
        <f>IFERROR(__xludf.DUMMYFUNCTION("""COMPUTED_VALUE"""),"Mèo")</f>
        <v>Mèo</v>
      </c>
      <c r="E6188" s="119" t="str">
        <f>IFERROR(__xludf.DUMMYFUNCTION("""COMPUTED_VALUE"""),"kem")</f>
        <v>kem</v>
      </c>
    </row>
    <row r="6189" ht="15.75" customHeight="1">
      <c r="A6189" s="122" t="str">
        <f>IFERROR(__xludf.DUMMYFUNCTION("""COMPUTED_VALUE"""),"0905 271 092")</f>
        <v>0905 271 092</v>
      </c>
      <c r="B6189" s="119" t="str">
        <f>IFERROR(__xludf.DUMMYFUNCTION("""COMPUTED_VALUE"""),"Chị Tâm Khánh")</f>
        <v>Chị Tâm Khánh</v>
      </c>
      <c r="C6189" s="119" t="str">
        <f>IFERROR(__xludf.DUMMYFUNCTION("""COMPUTED_VALUE"""),"13/11 Nguyễn Khuyến")</f>
        <v>13/11 Nguyễn Khuyến</v>
      </c>
      <c r="D6189" s="119" t="str">
        <f>IFERROR(__xludf.DUMMYFUNCTION("""COMPUTED_VALUE"""),"Chó")</f>
        <v>Chó</v>
      </c>
      <c r="E6189" s="119" t="str">
        <f>IFERROR(__xludf.DUMMYFUNCTION("""COMPUTED_VALUE"""),"Hạ Vi")</f>
        <v>Hạ Vi</v>
      </c>
    </row>
    <row r="6190" ht="15.75" customHeight="1">
      <c r="A6190" s="122" t="str">
        <f>IFERROR(__xludf.DUMMYFUNCTION("""COMPUTED_VALUE"""),"0362 023 427")</f>
        <v>0362 023 427</v>
      </c>
      <c r="B6190" s="119" t="str">
        <f>IFERROR(__xludf.DUMMYFUNCTION("""COMPUTED_VALUE"""),"Hoàng Thị Bích Hồng")</f>
        <v>Hoàng Thị Bích Hồng</v>
      </c>
      <c r="C6190" s="119" t="str">
        <f>IFERROR(__xludf.DUMMYFUNCTION("""COMPUTED_VALUE"""),"2/131 Phan Bội Châu")</f>
        <v>2/131 Phan Bội Châu</v>
      </c>
      <c r="D6190" s="119" t="str">
        <f>IFERROR(__xludf.DUMMYFUNCTION("""COMPUTED_VALUE"""),"chó ")</f>
        <v>chó </v>
      </c>
      <c r="E6190" s="119" t="str">
        <f>IFERROR(__xludf.DUMMYFUNCTION("""COMPUTED_VALUE"""),"Nô")</f>
        <v>Nô</v>
      </c>
    </row>
    <row r="6191" ht="15.75" customHeight="1">
      <c r="A6191" s="122" t="str">
        <f>IFERROR(__xludf.DUMMYFUNCTION("""COMPUTED_VALUE"""),"0934 903 630")</f>
        <v>0934 903 630</v>
      </c>
      <c r="B6191" s="119" t="str">
        <f>IFERROR(__xludf.DUMMYFUNCTION("""COMPUTED_VALUE"""),"Võ Quốc Hưng")</f>
        <v>Võ Quốc Hưng</v>
      </c>
      <c r="C6191" s="119" t="str">
        <f>IFERROR(__xludf.DUMMYFUNCTION("""COMPUTED_VALUE"""),"Phúvang")</f>
        <v>Phúvang</v>
      </c>
      <c r="D6191" s="119" t="str">
        <f>IFERROR(__xludf.DUMMYFUNCTION("""COMPUTED_VALUE"""),"Mèo")</f>
        <v>Mèo</v>
      </c>
      <c r="E6191" s="119" t="str">
        <f>IFERROR(__xludf.DUMMYFUNCTION("""COMPUTED_VALUE"""),"white")</f>
        <v>white</v>
      </c>
    </row>
    <row r="6192" ht="15.75" customHeight="1">
      <c r="A6192" s="122" t="str">
        <f>IFERROR(__xludf.DUMMYFUNCTION("""COMPUTED_VALUE"""),"0762 775 176")</f>
        <v>0762 775 176</v>
      </c>
      <c r="B6192" s="119" t="str">
        <f>IFERROR(__xludf.DUMMYFUNCTION("""COMPUTED_VALUE"""),"Em Quốc")</f>
        <v>Em Quốc</v>
      </c>
      <c r="C6192" s="119" t="str">
        <f>IFERROR(__xludf.DUMMYFUNCTION("""COMPUTED_VALUE"""),"15/14/29 Hàm Nghi")</f>
        <v>15/14/29 Hàm Nghi</v>
      </c>
      <c r="D6192" s="119" t="str">
        <f>IFERROR(__xludf.DUMMYFUNCTION("""COMPUTED_VALUE"""),"mèo")</f>
        <v>mèo</v>
      </c>
      <c r="E6192" s="119"/>
    </row>
    <row r="6193" ht="15.75" customHeight="1">
      <c r="A6193" s="122" t="str">
        <f>IFERROR(__xludf.DUMMYFUNCTION("""COMPUTED_VALUE"""),"0855 510 211")</f>
        <v>0855 510 211</v>
      </c>
      <c r="B6193" s="119" t="str">
        <f>IFERROR(__xludf.DUMMYFUNCTION("""COMPUTED_VALUE"""),"Chị Linh")</f>
        <v>Chị Linh</v>
      </c>
      <c r="C6193" s="119" t="str">
        <f>IFERROR(__xludf.DUMMYFUNCTION("""COMPUTED_VALUE"""),"Kiệt131Trầnphú")</f>
        <v>Kiệt131Trầnphú</v>
      </c>
      <c r="D6193" s="119" t="str">
        <f>IFERROR(__xludf.DUMMYFUNCTION("""COMPUTED_VALUE"""),"Chó")</f>
        <v>Chó</v>
      </c>
      <c r="E6193" s="119" t="str">
        <f>IFERROR(__xludf.DUMMYFUNCTION("""COMPUTED_VALUE"""),"Đen")</f>
        <v>Đen</v>
      </c>
    </row>
    <row r="6194" ht="15.75" customHeight="1">
      <c r="A6194" s="122" t="str">
        <f>IFERROR(__xludf.DUMMYFUNCTION("""COMPUTED_VALUE"""),"0378 115 547")</f>
        <v>0378 115 547</v>
      </c>
      <c r="B6194" s="119" t="str">
        <f>IFERROR(__xludf.DUMMYFUNCTION("""COMPUTED_VALUE"""),"em Thảo")</f>
        <v>em Thảo</v>
      </c>
      <c r="C6194" s="119" t="str">
        <f>IFERROR(__xludf.DUMMYFUNCTION("""COMPUTED_VALUE"""),"Phú Lộc")</f>
        <v>Phú Lộc</v>
      </c>
      <c r="D6194" s="119" t="str">
        <f>IFERROR(__xludf.DUMMYFUNCTION("""COMPUTED_VALUE"""),"Mèo")</f>
        <v>Mèo</v>
      </c>
      <c r="E6194" s="119" t="str">
        <f>IFERROR(__xludf.DUMMYFUNCTION("""COMPUTED_VALUE"""),"Luna")</f>
        <v>Luna</v>
      </c>
    </row>
    <row r="6195" ht="15.75" customHeight="1">
      <c r="A6195" s="122" t="str">
        <f>IFERROR(__xludf.DUMMYFUNCTION("""COMPUTED_VALUE"""),"0799 354 115")</f>
        <v>0799 354 115</v>
      </c>
      <c r="B6195" s="119" t="str">
        <f>IFERROR(__xludf.DUMMYFUNCTION("""COMPUTED_VALUE"""),"em Thảo")</f>
        <v>em Thảo</v>
      </c>
      <c r="C6195" s="119" t="str">
        <f>IFERROR(__xludf.DUMMYFUNCTION("""COMPUTED_VALUE"""),"KTĐC phú hiệp")</f>
        <v>KTĐC phú hiệp</v>
      </c>
      <c r="D6195" s="119" t="str">
        <f>IFERROR(__xludf.DUMMYFUNCTION("""COMPUTED_VALUE"""),"mèo")</f>
        <v>mèo</v>
      </c>
      <c r="E6195" s="119" t="str">
        <f>IFERROR(__xludf.DUMMYFUNCTION("""COMPUTED_VALUE"""),"Chanh")</f>
        <v>Chanh</v>
      </c>
    </row>
    <row r="6196" ht="15.75" customHeight="1">
      <c r="A6196" s="122" t="str">
        <f>IFERROR(__xludf.DUMMYFUNCTION("""COMPUTED_VALUE"""),"0374 741 808")</f>
        <v>0374 741 808</v>
      </c>
      <c r="B6196" s="119" t="str">
        <f>IFERROR(__xludf.DUMMYFUNCTION("""COMPUTED_VALUE"""),"Em Đan")</f>
        <v>Em Đan</v>
      </c>
      <c r="C6196" s="119" t="str">
        <f>IFERROR(__xludf.DUMMYFUNCTION("""COMPUTED_VALUE"""),"109 Trần Thái Tông")</f>
        <v>109 Trần Thái Tông</v>
      </c>
      <c r="D6196" s="119" t="str">
        <f>IFERROR(__xludf.DUMMYFUNCTION("""COMPUTED_VALUE"""),"mèo")</f>
        <v>mèo</v>
      </c>
      <c r="E6196" s="119" t="str">
        <f>IFERROR(__xludf.DUMMYFUNCTION("""COMPUTED_VALUE"""),"Không tên")</f>
        <v>Không tên</v>
      </c>
    </row>
    <row r="6197" ht="15.75" customHeight="1">
      <c r="A6197" s="122" t="str">
        <f>IFERROR(__xludf.DUMMYFUNCTION("""COMPUTED_VALUE"""),"0702 771 540")</f>
        <v>0702 771 540</v>
      </c>
      <c r="B6197" s="119" t="str">
        <f>IFERROR(__xludf.DUMMYFUNCTION("""COMPUTED_VALUE"""),"Anh Sơn")</f>
        <v>Anh Sơn</v>
      </c>
      <c r="C6197" s="119" t="str">
        <f>IFERROR(__xludf.DUMMYFUNCTION("""COMPUTED_VALUE"""),"Phùng Hưng")</f>
        <v>Phùng Hưng</v>
      </c>
      <c r="D6197" s="119" t="str">
        <f>IFERROR(__xludf.DUMMYFUNCTION("""COMPUTED_VALUE"""),"Chó")</f>
        <v>Chó</v>
      </c>
      <c r="E6197" s="119" t="str">
        <f>IFERROR(__xludf.DUMMYFUNCTION("""COMPUTED_VALUE"""),"Mỡ")</f>
        <v>Mỡ</v>
      </c>
    </row>
    <row r="6198" ht="15.75" customHeight="1">
      <c r="A6198" s="122" t="str">
        <f>IFERROR(__xludf.DUMMYFUNCTION("""COMPUTED_VALUE"""),"0935 036 533")</f>
        <v>0935 036 533</v>
      </c>
      <c r="B6198" s="119" t="str">
        <f>IFERROR(__xludf.DUMMYFUNCTION("""COMPUTED_VALUE"""),"Nguyễn Mậu Ánh Ngân")</f>
        <v>Nguyễn Mậu Ánh Ngân</v>
      </c>
      <c r="C6198" s="119" t="str">
        <f>IFERROR(__xludf.DUMMYFUNCTION("""COMPUTED_VALUE"""),"105 Phan Bội Châu")</f>
        <v>105 Phan Bội Châu</v>
      </c>
      <c r="D6198" s="119" t="str">
        <f>IFERROR(__xludf.DUMMYFUNCTION("""COMPUTED_VALUE"""),"Mèo")</f>
        <v>Mèo</v>
      </c>
      <c r="E6198" s="119" t="str">
        <f>IFERROR(__xludf.DUMMYFUNCTION("""COMPUTED_VALUE"""),"Pig")</f>
        <v>Pig</v>
      </c>
    </row>
    <row r="6199" ht="15.75" customHeight="1">
      <c r="A6199" s="122" t="str">
        <f>IFERROR(__xludf.DUMMYFUNCTION("""COMPUTED_VALUE"""),"0961 553 612")</f>
        <v>0961 553 612</v>
      </c>
      <c r="B6199" s="119" t="str">
        <f>IFERROR(__xludf.DUMMYFUNCTION("""COMPUTED_VALUE"""),"Nguyễn Bảo Trân")</f>
        <v>Nguyễn Bảo Trân</v>
      </c>
      <c r="C6199" s="119" t="str">
        <f>IFERROR(__xludf.DUMMYFUNCTION("""COMPUTED_VALUE"""),"Lộc Bổn-Phú Lộc")</f>
        <v>Lộc Bổn-Phú Lộc</v>
      </c>
      <c r="D6199" s="119" t="str">
        <f>IFERROR(__xludf.DUMMYFUNCTION("""COMPUTED_VALUE"""),"Mèo")</f>
        <v>Mèo</v>
      </c>
      <c r="E6199" s="119" t="str">
        <f>IFERROR(__xludf.DUMMYFUNCTION("""COMPUTED_VALUE"""),"Kem")</f>
        <v>Kem</v>
      </c>
    </row>
    <row r="6200" ht="15.75" customHeight="1">
      <c r="A6200" s="122" t="str">
        <f>IFERROR(__xludf.DUMMYFUNCTION("""COMPUTED_VALUE"""),"0762 041 194")</f>
        <v>0762 041 194</v>
      </c>
      <c r="B6200" s="119" t="str">
        <f>IFERROR(__xludf.DUMMYFUNCTION("""COMPUTED_VALUE"""),"Anh Tân")</f>
        <v>Anh Tân</v>
      </c>
      <c r="C6200" s="119" t="str">
        <f>IFERROR(__xludf.DUMMYFUNCTION("""COMPUTED_VALUE"""),"52 Duy Tân")</f>
        <v>52 Duy Tân</v>
      </c>
      <c r="D6200" s="119" t="str">
        <f>IFERROR(__xludf.DUMMYFUNCTION("""COMPUTED_VALUE"""),"Chó")</f>
        <v>Chó</v>
      </c>
      <c r="E6200" s="119" t="str">
        <f>IFERROR(__xludf.DUMMYFUNCTION("""COMPUTED_VALUE"""),"Vằn")</f>
        <v>Vằn</v>
      </c>
    </row>
    <row r="6201" ht="15.75" customHeight="1">
      <c r="A6201" s="122" t="str">
        <f>IFERROR(__xludf.DUMMYFUNCTION("""COMPUTED_VALUE"""),"0906 572 892")</f>
        <v>0906 572 892</v>
      </c>
      <c r="B6201" s="119" t="str">
        <f>IFERROR(__xludf.DUMMYFUNCTION("""COMPUTED_VALUE"""),"Phan Bửu")</f>
        <v>Phan Bửu</v>
      </c>
      <c r="C6201" s="119" t="str">
        <f>IFERROR(__xludf.DUMMYFUNCTION("""COMPUTED_VALUE"""),"57 Nguyễn Thiện Kế")</f>
        <v>57 Nguyễn Thiện Kế</v>
      </c>
      <c r="D6201" s="119" t="str">
        <f>IFERROR(__xludf.DUMMYFUNCTION("""COMPUTED_VALUE"""),"Chó")</f>
        <v>Chó</v>
      </c>
      <c r="E6201" s="119" t="str">
        <f>IFERROR(__xludf.DUMMYFUNCTION("""COMPUTED_VALUE"""),"Bull")</f>
        <v>Bull</v>
      </c>
    </row>
    <row r="6202" ht="15.75" customHeight="1">
      <c r="A6202" s="122" t="str">
        <f>IFERROR(__xludf.DUMMYFUNCTION("""COMPUTED_VALUE"""),"0702 961 128")</f>
        <v>0702 961 128</v>
      </c>
      <c r="B6202" s="119" t="str">
        <f>IFERROR(__xludf.DUMMYFUNCTION("""COMPUTED_VALUE"""),"Cô Thúy Hồng")</f>
        <v>Cô Thúy Hồng</v>
      </c>
      <c r="C6202" s="119" t="str">
        <f>IFERROR(__xludf.DUMMYFUNCTION("""COMPUTED_VALUE"""),"Phú vang")</f>
        <v>Phú vang</v>
      </c>
      <c r="D6202" s="119" t="str">
        <f>IFERROR(__xludf.DUMMYFUNCTION("""COMPUTED_VALUE"""),"Chó")</f>
        <v>Chó</v>
      </c>
      <c r="E6202" s="119" t="str">
        <f>IFERROR(__xludf.DUMMYFUNCTION("""COMPUTED_VALUE"""),"Củ Cải")</f>
        <v>Củ Cải</v>
      </c>
    </row>
    <row r="6203" ht="15.75" customHeight="1">
      <c r="A6203" s="122" t="str">
        <f>IFERROR(__xludf.DUMMYFUNCTION("""COMPUTED_VALUE"""),"0975 916 412")</f>
        <v>0975 916 412</v>
      </c>
      <c r="B6203" s="119" t="str">
        <f>IFERROR(__xludf.DUMMYFUNCTION("""COMPUTED_VALUE"""),"Anh Thạch")</f>
        <v>Anh Thạch</v>
      </c>
      <c r="C6203" s="119" t="str">
        <f>IFERROR(__xludf.DUMMYFUNCTION("""COMPUTED_VALUE"""),"67 huyền không công chúa")</f>
        <v>67 huyền không công chúa</v>
      </c>
      <c r="D6203" s="119" t="str">
        <f>IFERROR(__xludf.DUMMYFUNCTION("""COMPUTED_VALUE"""),"Chó")</f>
        <v>Chó</v>
      </c>
      <c r="E6203" s="119" t="str">
        <f>IFERROR(__xludf.DUMMYFUNCTION("""COMPUTED_VALUE"""),"Mực")</f>
        <v>Mực</v>
      </c>
    </row>
    <row r="6204" ht="15.75" customHeight="1">
      <c r="A6204" s="122" t="str">
        <f>IFERROR(__xludf.DUMMYFUNCTION("""COMPUTED_VALUE"""),"0935 523 491")</f>
        <v>0935 523 491</v>
      </c>
      <c r="B6204" s="119" t="str">
        <f>IFERROR(__xludf.DUMMYFUNCTION("""COMPUTED_VALUE"""),"Em Hùng")</f>
        <v>Em Hùng</v>
      </c>
      <c r="C6204" s="119" t="str">
        <f>IFERROR(__xludf.DUMMYFUNCTION("""COMPUTED_VALUE"""),"69/1 Đặng Huy Trứ")</f>
        <v>69/1 Đặng Huy Trứ</v>
      </c>
      <c r="D6204" s="119" t="str">
        <f>IFERROR(__xludf.DUMMYFUNCTION("""COMPUTED_VALUE"""),"Mèo")</f>
        <v>Mèo</v>
      </c>
      <c r="E6204" s="119" t="str">
        <f>IFERROR(__xludf.DUMMYFUNCTION("""COMPUTED_VALUE"""),"mèo")</f>
        <v>mèo</v>
      </c>
    </row>
    <row r="6205" ht="15.75" customHeight="1">
      <c r="A6205" s="122" t="str">
        <f>IFERROR(__xludf.DUMMYFUNCTION("""COMPUTED_VALUE"""),"0399 358 552")</f>
        <v>0399 358 552</v>
      </c>
      <c r="B6205" s="119" t="str">
        <f>IFERROR(__xludf.DUMMYFUNCTION("""COMPUTED_VALUE"""),"em Bảo Trân")</f>
        <v>em Bảo Trân</v>
      </c>
      <c r="C6205" s="119" t="str">
        <f>IFERROR(__xludf.DUMMYFUNCTION("""COMPUTED_VALUE"""),"125 Trần Thái Tông")</f>
        <v>125 Trần Thái Tông</v>
      </c>
      <c r="D6205" s="119" t="str">
        <f>IFERROR(__xludf.DUMMYFUNCTION("""COMPUTED_VALUE"""),"Chó")</f>
        <v>Chó</v>
      </c>
      <c r="E6205" s="119" t="str">
        <f>IFERROR(__xludf.DUMMYFUNCTION("""COMPUTED_VALUE"""),"Misa")</f>
        <v>Misa</v>
      </c>
    </row>
    <row r="6206" ht="15.75" customHeight="1">
      <c r="A6206" s="122" t="str">
        <f>IFERROR(__xludf.DUMMYFUNCTION("""COMPUTED_VALUE"""),"0934 989 408")</f>
        <v>0934 989 408</v>
      </c>
      <c r="B6206" s="119" t="str">
        <f>IFERROR(__xludf.DUMMYFUNCTION("""COMPUTED_VALUE"""),"Chị Linh")</f>
        <v>Chị Linh</v>
      </c>
      <c r="C6206" s="119" t="str">
        <f>IFERROR(__xludf.DUMMYFUNCTION("""COMPUTED_VALUE"""),"11/131 Phan Bội Châu")</f>
        <v>11/131 Phan Bội Châu</v>
      </c>
      <c r="D6206" s="119" t="str">
        <f>IFERROR(__xludf.DUMMYFUNCTION("""COMPUTED_VALUE"""),"Mèo")</f>
        <v>Mèo</v>
      </c>
      <c r="E6206" s="119" t="str">
        <f>IFERROR(__xludf.DUMMYFUNCTION("""COMPUTED_VALUE"""),"sil")</f>
        <v>sil</v>
      </c>
    </row>
    <row r="6207" ht="15.75" customHeight="1">
      <c r="A6207" s="122" t="str">
        <f>IFERROR(__xludf.DUMMYFUNCTION("""COMPUTED_VALUE"""),"0944 255 290")</f>
        <v>0944 255 290</v>
      </c>
      <c r="B6207" s="119" t="str">
        <f>IFERROR(__xludf.DUMMYFUNCTION("""COMPUTED_VALUE"""),"Nguyễn Thị Hoài Ny")</f>
        <v>Nguyễn Thị Hoài Ny</v>
      </c>
      <c r="C6207" s="119" t="str">
        <f>IFERROR(__xludf.DUMMYFUNCTION("""COMPUTED_VALUE"""),"81 Xuân Diệu")</f>
        <v>81 Xuân Diệu</v>
      </c>
      <c r="D6207" s="119" t="str">
        <f>IFERROR(__xludf.DUMMYFUNCTION("""COMPUTED_VALUE"""),"Mèo")</f>
        <v>Mèo</v>
      </c>
      <c r="E6207" s="119" t="str">
        <f>IFERROR(__xludf.DUMMYFUNCTION("""COMPUTED_VALUE"""),"Mun")</f>
        <v>Mun</v>
      </c>
    </row>
    <row r="6208" ht="15.75" customHeight="1">
      <c r="A6208" s="122" t="str">
        <f>IFERROR(__xludf.DUMMYFUNCTION("""COMPUTED_VALUE"""),"0835 338 369")</f>
        <v>0835 338 369</v>
      </c>
      <c r="B6208" s="119" t="str">
        <f>IFERROR(__xludf.DUMMYFUNCTION("""COMPUTED_VALUE"""),"Chị Hương")</f>
        <v>Chị Hương</v>
      </c>
      <c r="C6208" s="119" t="str">
        <f>IFERROR(__xludf.DUMMYFUNCTION("""COMPUTED_VALUE"""),"Phú vang")</f>
        <v>Phú vang</v>
      </c>
      <c r="D6208" s="119" t="str">
        <f>IFERROR(__xludf.DUMMYFUNCTION("""COMPUTED_VALUE"""),"Chó")</f>
        <v>Chó</v>
      </c>
      <c r="E6208" s="119" t="str">
        <f>IFERROR(__xludf.DUMMYFUNCTION("""COMPUTED_VALUE"""),"rich")</f>
        <v>rich</v>
      </c>
    </row>
    <row r="6209" ht="15.75" customHeight="1">
      <c r="A6209" s="122" t="str">
        <f>IFERROR(__xludf.DUMMYFUNCTION("""COMPUTED_VALUE"""),"0794 648 334")</f>
        <v>0794 648 334</v>
      </c>
      <c r="B6209" s="119" t="str">
        <f>IFERROR(__xludf.DUMMYFUNCTION("""COMPUTED_VALUE"""),"Thảo Nhi")</f>
        <v>Thảo Nhi</v>
      </c>
      <c r="C6209" s="119" t="str">
        <f>IFERROR(__xludf.DUMMYFUNCTION("""COMPUTED_VALUE"""),"lê Ngô Cát")</f>
        <v>lê Ngô Cát</v>
      </c>
      <c r="D6209" s="119" t="str">
        <f>IFERROR(__xludf.DUMMYFUNCTION("""COMPUTED_VALUE"""),"Mèo")</f>
        <v>Mèo</v>
      </c>
      <c r="E6209" s="119" t="str">
        <f>IFERROR(__xludf.DUMMYFUNCTION("""COMPUTED_VALUE"""),"Noa")</f>
        <v>Noa</v>
      </c>
    </row>
    <row r="6210" ht="15.75" customHeight="1">
      <c r="A6210" s="122" t="str">
        <f>IFERROR(__xludf.DUMMYFUNCTION("""COMPUTED_VALUE"""),"0702 503 996")</f>
        <v>0702 503 996</v>
      </c>
      <c r="B6210" s="119" t="str">
        <f>IFERROR(__xludf.DUMMYFUNCTION("""COMPUTED_VALUE"""),"Chị Mập")</f>
        <v>Chị Mập</v>
      </c>
      <c r="C6210" s="119" t="str">
        <f>IFERROR(__xludf.DUMMYFUNCTION("""COMPUTED_VALUE"""),"4/18/53 Đào Tấn")</f>
        <v>4/18/53 Đào Tấn</v>
      </c>
      <c r="D6210" s="119" t="str">
        <f>IFERROR(__xludf.DUMMYFUNCTION("""COMPUTED_VALUE"""),"Chó")</f>
        <v>Chó</v>
      </c>
      <c r="E6210" s="119" t="str">
        <f>IFERROR(__xludf.DUMMYFUNCTION("""COMPUTED_VALUE"""),"chồn")</f>
        <v>chồn</v>
      </c>
    </row>
    <row r="6211" ht="15.75" customHeight="1">
      <c r="A6211" s="122" t="str">
        <f>IFERROR(__xludf.DUMMYFUNCTION("""COMPUTED_VALUE"""),"0814 834 789")</f>
        <v>0814 834 789</v>
      </c>
      <c r="B6211" s="119" t="str">
        <f>IFERROR(__xludf.DUMMYFUNCTION("""COMPUTED_VALUE"""),"Anh Hoàng")</f>
        <v>Anh Hoàng</v>
      </c>
      <c r="C6211" s="119" t="str">
        <f>IFERROR(__xludf.DUMMYFUNCTION("""COMPUTED_VALUE"""),"22 Trường Chinh")</f>
        <v>22 Trường Chinh</v>
      </c>
      <c r="D6211" s="119" t="str">
        <f>IFERROR(__xludf.DUMMYFUNCTION("""COMPUTED_VALUE"""),"Chó")</f>
        <v>Chó</v>
      </c>
      <c r="E6211" s="119" t="str">
        <f>IFERROR(__xludf.DUMMYFUNCTION("""COMPUTED_VALUE"""),"Na")</f>
        <v>Na</v>
      </c>
    </row>
    <row r="6212" ht="15.75" customHeight="1">
      <c r="A6212" s="122" t="str">
        <f>IFERROR(__xludf.DUMMYFUNCTION("""COMPUTED_VALUE"""),"0798 001 589")</f>
        <v>0798 001 589</v>
      </c>
      <c r="B6212" s="119" t="str">
        <f>IFERROR(__xludf.DUMMYFUNCTION("""COMPUTED_VALUE"""),"Anh Hoàng Đinh Bảo Tú")</f>
        <v>Anh Hoàng Đinh Bảo Tú</v>
      </c>
      <c r="C6212" s="119" t="str">
        <f>IFERROR(__xludf.DUMMYFUNCTION("""COMPUTED_VALUE"""),"k86 Lê Ngô Cát")</f>
        <v>k86 Lê Ngô Cát</v>
      </c>
      <c r="D6212" s="119" t="str">
        <f>IFERROR(__xludf.DUMMYFUNCTION("""COMPUTED_VALUE"""),"Chó")</f>
        <v>Chó</v>
      </c>
      <c r="E6212" s="119" t="str">
        <f>IFERROR(__xludf.DUMMYFUNCTION("""COMPUTED_VALUE"""),"Mon")</f>
        <v>Mon</v>
      </c>
    </row>
    <row r="6213" ht="15.75" customHeight="1">
      <c r="A6213" s="122" t="str">
        <f>IFERROR(__xludf.DUMMYFUNCTION("""COMPUTED_VALUE"""),"0935 050 566")</f>
        <v>0935 050 566</v>
      </c>
      <c r="B6213" s="119" t="str">
        <f>IFERROR(__xludf.DUMMYFUNCTION("""COMPUTED_VALUE"""),"Hồ Thành Tạo")</f>
        <v>Hồ Thành Tạo</v>
      </c>
      <c r="C6213" s="119" t="str">
        <f>IFERROR(__xludf.DUMMYFUNCTION("""COMPUTED_VALUE"""),"160 Ngự Bình")</f>
        <v>160 Ngự Bình</v>
      </c>
      <c r="D6213" s="119" t="str">
        <f>IFERROR(__xludf.DUMMYFUNCTION("""COMPUTED_VALUE"""),"Chó")</f>
        <v>Chó</v>
      </c>
      <c r="E6213" s="119" t="str">
        <f>IFERROR(__xludf.DUMMYFUNCTION("""COMPUTED_VALUE"""),"Bi")</f>
        <v>Bi</v>
      </c>
    </row>
    <row r="6214" ht="15.75" customHeight="1">
      <c r="A6214" s="122" t="str">
        <f>IFERROR(__xludf.DUMMYFUNCTION("""COMPUTED_VALUE"""),"0919 006 347")</f>
        <v>0919 006 347</v>
      </c>
      <c r="B6214" s="119" t="str">
        <f>IFERROR(__xludf.DUMMYFUNCTION("""COMPUTED_VALUE"""),"Anh Hoàng")</f>
        <v>Anh Hoàng</v>
      </c>
      <c r="C6214" s="119" t="str">
        <f>IFERROR(__xludf.DUMMYFUNCTION("""COMPUTED_VALUE"""),"248 Phan Chu Trinh")</f>
        <v>248 Phan Chu Trinh</v>
      </c>
      <c r="D6214" s="119" t="str">
        <f>IFERROR(__xludf.DUMMYFUNCTION("""COMPUTED_VALUE"""),"Chó")</f>
        <v>Chó</v>
      </c>
      <c r="E6214" s="119" t="str">
        <f>IFERROR(__xludf.DUMMYFUNCTION("""COMPUTED_VALUE"""),"Tô")</f>
        <v>Tô</v>
      </c>
    </row>
    <row r="6215" ht="15.75" customHeight="1">
      <c r="A6215" s="122" t="str">
        <f>IFERROR(__xludf.DUMMYFUNCTION("""COMPUTED_VALUE"""),"0337 045 170")</f>
        <v>0337 045 170</v>
      </c>
      <c r="B6215" s="119" t="str">
        <f>IFERROR(__xludf.DUMMYFUNCTION("""COMPUTED_VALUE"""),"Chị Quỳnh Hương")</f>
        <v>Chị Quỳnh Hương</v>
      </c>
      <c r="C6215" s="119" t="str">
        <f>IFERROR(__xludf.DUMMYFUNCTION("""COMPUTED_VALUE"""),"Phú Lộc")</f>
        <v>Phú Lộc</v>
      </c>
      <c r="D6215" s="119" t="str">
        <f>IFERROR(__xludf.DUMMYFUNCTION("""COMPUTED_VALUE"""),"Chó")</f>
        <v>Chó</v>
      </c>
      <c r="E6215" s="119" t="str">
        <f>IFERROR(__xludf.DUMMYFUNCTION("""COMPUTED_VALUE"""),"Sâu")</f>
        <v>Sâu</v>
      </c>
    </row>
    <row r="6216" ht="15.75" customHeight="1">
      <c r="A6216" s="122" t="str">
        <f>IFERROR(__xludf.DUMMYFUNCTION("""COMPUTED_VALUE"""),"0352 913 583")</f>
        <v>0352 913 583</v>
      </c>
      <c r="B6216" s="119" t="str">
        <f>IFERROR(__xludf.DUMMYFUNCTION("""COMPUTED_VALUE"""),"dì Nga")</f>
        <v>dì Nga</v>
      </c>
      <c r="C6216" s="119" t="str">
        <f>IFERROR(__xludf.DUMMYFUNCTION("""COMPUTED_VALUE"""),"94 Phan Bội Châu")</f>
        <v>94 Phan Bội Châu</v>
      </c>
      <c r="D6216" s="119" t="str">
        <f>IFERROR(__xludf.DUMMYFUNCTION("""COMPUTED_VALUE"""),"Chó")</f>
        <v>Chó</v>
      </c>
      <c r="E6216" s="119" t="str">
        <f>IFERROR(__xludf.DUMMYFUNCTION("""COMPUTED_VALUE"""),"Tan")</f>
        <v>Tan</v>
      </c>
    </row>
    <row r="6217" ht="15.75" customHeight="1">
      <c r="A6217" s="122" t="str">
        <f>IFERROR(__xludf.DUMMYFUNCTION("""COMPUTED_VALUE"""),"0935 567 322")</f>
        <v>0935 567 322</v>
      </c>
      <c r="B6217" s="119" t="str">
        <f>IFERROR(__xludf.DUMMYFUNCTION("""COMPUTED_VALUE"""),"chị Lê Thị Hà")</f>
        <v>chị Lê Thị Hà</v>
      </c>
      <c r="C6217" s="119" t="str">
        <f>IFERROR(__xludf.DUMMYFUNCTION("""COMPUTED_VALUE"""),"Thủy Xuân")</f>
        <v>Thủy Xuân</v>
      </c>
      <c r="D6217" s="119" t="str">
        <f>IFERROR(__xludf.DUMMYFUNCTION("""COMPUTED_VALUE"""),"Chó")</f>
        <v>Chó</v>
      </c>
      <c r="E6217" s="119" t="str">
        <f>IFERROR(__xludf.DUMMYFUNCTION("""COMPUTED_VALUE"""),"Milu")</f>
        <v>Milu</v>
      </c>
    </row>
    <row r="6218" ht="15.75" customHeight="1">
      <c r="A6218" s="122" t="str">
        <f>IFERROR(__xludf.DUMMYFUNCTION("""COMPUTED_VALUE"""),"0931 946 060")</f>
        <v>0931 946 060</v>
      </c>
      <c r="B6218" s="119" t="str">
        <f>IFERROR(__xludf.DUMMYFUNCTION("""COMPUTED_VALUE"""),"Anh Phúc")</f>
        <v>Anh Phúc</v>
      </c>
      <c r="C6218" s="119" t="str">
        <f>IFERROR(__xludf.DUMMYFUNCTION("""COMPUTED_VALUE"""),"Nguyễn Biểu")</f>
        <v>Nguyễn Biểu</v>
      </c>
      <c r="D6218" s="119" t="str">
        <f>IFERROR(__xludf.DUMMYFUNCTION("""COMPUTED_VALUE"""),"Chó")</f>
        <v>Chó</v>
      </c>
      <c r="E6218" s="119" t="str">
        <f>IFERROR(__xludf.DUMMYFUNCTION("""COMPUTED_VALUE"""),"Heo")</f>
        <v>Heo</v>
      </c>
    </row>
    <row r="6219" ht="15.75" customHeight="1">
      <c r="A6219" s="122" t="str">
        <f>IFERROR(__xludf.DUMMYFUNCTION("""COMPUTED_VALUE"""),"0707 551 203")</f>
        <v>0707 551 203</v>
      </c>
      <c r="B6219" s="119" t="str">
        <f>IFERROR(__xludf.DUMMYFUNCTION("""COMPUTED_VALUE"""),"Anh Phúc")</f>
        <v>Anh Phúc</v>
      </c>
      <c r="C6219" s="119" t="str">
        <f>IFERROR(__xludf.DUMMYFUNCTION("""COMPUTED_VALUE"""),"Bầu Vá bùi thị xuân")</f>
        <v>Bầu Vá bùi thị xuân</v>
      </c>
      <c r="D6219" s="119" t="str">
        <f>IFERROR(__xludf.DUMMYFUNCTION("""COMPUTED_VALUE"""),"Chó")</f>
        <v>Chó</v>
      </c>
      <c r="E6219" s="119" t="str">
        <f>IFERROR(__xludf.DUMMYFUNCTION("""COMPUTED_VALUE"""),"Bun")</f>
        <v>Bun</v>
      </c>
    </row>
    <row r="6220" ht="15.75" customHeight="1">
      <c r="A6220" s="122" t="str">
        <f>IFERROR(__xludf.DUMMYFUNCTION("""COMPUTED_VALUE"""),"0975 916 421")</f>
        <v>0975 916 421</v>
      </c>
      <c r="B6220" s="119" t="str">
        <f>IFERROR(__xludf.DUMMYFUNCTION("""COMPUTED_VALUE"""),"Anh Thạch")</f>
        <v>Anh Thạch</v>
      </c>
      <c r="C6220" s="119" t="str">
        <f>IFERROR(__xludf.DUMMYFUNCTION("""COMPUTED_VALUE"""),"67 Huyền Trân Công Chúa")</f>
        <v>67 Huyền Trân Công Chúa</v>
      </c>
      <c r="D6220" s="119" t="str">
        <f>IFERROR(__xludf.DUMMYFUNCTION("""COMPUTED_VALUE"""),"Mèo")</f>
        <v>Mèo</v>
      </c>
      <c r="E6220" s="119" t="str">
        <f>IFERROR(__xludf.DUMMYFUNCTION("""COMPUTED_VALUE"""),"My")</f>
        <v>My</v>
      </c>
    </row>
    <row r="6221" ht="15.75" customHeight="1">
      <c r="A6221" s="122" t="str">
        <f>IFERROR(__xludf.DUMMYFUNCTION("""COMPUTED_VALUE"""),"0339 701 369")</f>
        <v>0339 701 369</v>
      </c>
      <c r="B6221" s="119" t="str">
        <f>IFERROR(__xludf.DUMMYFUNCTION("""COMPUTED_VALUE"""),"Dì Thanh Châu")</f>
        <v>Dì Thanh Châu</v>
      </c>
      <c r="C6221" s="119" t="str">
        <f>IFERROR(__xludf.DUMMYFUNCTION("""COMPUTED_VALUE"""),"k131 Trần Phú")</f>
        <v>k131 Trần Phú</v>
      </c>
      <c r="D6221" s="119" t="str">
        <f>IFERROR(__xludf.DUMMYFUNCTION("""COMPUTED_VALUE"""),"Chó")</f>
        <v>Chó</v>
      </c>
      <c r="E6221" s="119" t="str">
        <f>IFERROR(__xludf.DUMMYFUNCTION("""COMPUTED_VALUE"""),"Sam")</f>
        <v>Sam</v>
      </c>
    </row>
    <row r="6222" ht="15.75" customHeight="1">
      <c r="A6222" s="122" t="str">
        <f>IFERROR(__xludf.DUMMYFUNCTION("""COMPUTED_VALUE"""),"0814 091 357")</f>
        <v>0814 091 357</v>
      </c>
      <c r="B6222" s="119" t="str">
        <f>IFERROR(__xludf.DUMMYFUNCTION("""COMPUTED_VALUE"""),"Em Thảo Ngọc")</f>
        <v>Em Thảo Ngọc</v>
      </c>
      <c r="C6222" s="119" t="str">
        <f>IFERROR(__xludf.DUMMYFUNCTION("""COMPUTED_VALUE"""),"45 hoàng thị loan")</f>
        <v>45 hoàng thị loan</v>
      </c>
      <c r="D6222" s="119" t="str">
        <f>IFERROR(__xludf.DUMMYFUNCTION("""COMPUTED_VALUE"""),"Chó")</f>
        <v>Chó</v>
      </c>
      <c r="E6222" s="119" t="str">
        <f>IFERROR(__xludf.DUMMYFUNCTION("""COMPUTED_VALUE"""),"Moon")</f>
        <v>Moon</v>
      </c>
    </row>
    <row r="6223" ht="15.75" customHeight="1">
      <c r="A6223" s="122" t="str">
        <f>IFERROR(__xludf.DUMMYFUNCTION("""COMPUTED_VALUE"""),"0934 982 363")</f>
        <v>0934 982 363</v>
      </c>
      <c r="B6223" s="119" t="str">
        <f>IFERROR(__xludf.DUMMYFUNCTION("""COMPUTED_VALUE"""),"Chị Hạ Vy")</f>
        <v>Chị Hạ Vy</v>
      </c>
      <c r="C6223" s="119" t="str">
        <f>IFERROR(__xludf.DUMMYFUNCTION("""COMPUTED_VALUE"""),"k131 trần phú")</f>
        <v>k131 trần phú</v>
      </c>
      <c r="D6223" s="119" t="str">
        <f>IFERROR(__xludf.DUMMYFUNCTION("""COMPUTED_VALUE"""),"Chó")</f>
        <v>Chó</v>
      </c>
      <c r="E6223" s="119" t="str">
        <f>IFERROR(__xludf.DUMMYFUNCTION("""COMPUTED_VALUE"""),"pi")</f>
        <v>pi</v>
      </c>
    </row>
    <row r="6224" ht="15.75" customHeight="1">
      <c r="A6224" s="122" t="str">
        <f>IFERROR(__xludf.DUMMYFUNCTION("""COMPUTED_VALUE"""),"0934 757 448")</f>
        <v>0934 757 448</v>
      </c>
      <c r="B6224" s="119" t="str">
        <f>IFERROR(__xludf.DUMMYFUNCTION("""COMPUTED_VALUE"""),"Chú Đông")</f>
        <v>Chú Đông</v>
      </c>
      <c r="C6224" s="119" t="str">
        <f>IFERROR(__xludf.DUMMYFUNCTION("""COMPUTED_VALUE"""),"Thiên Thai")</f>
        <v>Thiên Thai</v>
      </c>
      <c r="D6224" s="119" t="str">
        <f>IFERROR(__xludf.DUMMYFUNCTION("""COMPUTED_VALUE"""),"Chó")</f>
        <v>Chó</v>
      </c>
      <c r="E6224" s="119" t="str">
        <f>IFERROR(__xludf.DUMMYFUNCTION("""COMPUTED_VALUE"""),"bốp")</f>
        <v>bốp</v>
      </c>
    </row>
    <row r="6225" ht="15.75" customHeight="1">
      <c r="A6225" s="122" t="str">
        <f>IFERROR(__xludf.DUMMYFUNCTION("""COMPUTED_VALUE"""),"0357 422 791")</f>
        <v>0357 422 791</v>
      </c>
      <c r="B6225" s="119" t="str">
        <f>IFERROR(__xludf.DUMMYFUNCTION("""COMPUTED_VALUE"""),"chị nguyên")</f>
        <v>chị nguyên</v>
      </c>
      <c r="C6225" s="119" t="str">
        <f>IFERROR(__xludf.DUMMYFUNCTION("""COMPUTED_VALUE"""),"3/17/9/131 trần phú")</f>
        <v>3/17/9/131 trần phú</v>
      </c>
      <c r="D6225" s="119" t="str">
        <f>IFERROR(__xludf.DUMMYFUNCTION("""COMPUTED_VALUE"""),"chó")</f>
        <v>chó</v>
      </c>
      <c r="E6225" s="119" t="str">
        <f>IFERROR(__xludf.DUMMYFUNCTION("""COMPUTED_VALUE"""),"mít")</f>
        <v>mít</v>
      </c>
    </row>
    <row r="6226" ht="15.75" customHeight="1">
      <c r="A6226" s="122" t="str">
        <f>IFERROR(__xludf.DUMMYFUNCTION("""COMPUTED_VALUE"""),"0385 614 070")</f>
        <v>0385 614 070</v>
      </c>
      <c r="B6226" s="119" t="str">
        <f>IFERROR(__xludf.DUMMYFUNCTION("""COMPUTED_VALUE"""),"Chị Hồng Phấn")</f>
        <v>Chị Hồng Phấn</v>
      </c>
      <c r="C6226" s="119" t="str">
        <f>IFERROR(__xludf.DUMMYFUNCTION("""COMPUTED_VALUE"""),"19/111 Trần Thái Tông")</f>
        <v>19/111 Trần Thái Tông</v>
      </c>
      <c r="D6226" s="119" t="str">
        <f>IFERROR(__xludf.DUMMYFUNCTION("""COMPUTED_VALUE"""),"Chó")</f>
        <v>Chó</v>
      </c>
      <c r="E6226" s="119" t="str">
        <f>IFERROR(__xludf.DUMMYFUNCTION("""COMPUTED_VALUE"""),"Cá Trê")</f>
        <v>Cá Trê</v>
      </c>
    </row>
    <row r="6227" ht="15.75" customHeight="1">
      <c r="A6227" s="122" t="str">
        <f>IFERROR(__xludf.DUMMYFUNCTION("""COMPUTED_VALUE"""),"0945 717 279")</f>
        <v>0945 717 279</v>
      </c>
      <c r="B6227" s="119" t="str">
        <f>IFERROR(__xludf.DUMMYFUNCTION("""COMPUTED_VALUE"""),"Chị Thùy Linh")</f>
        <v>Chị Thùy Linh</v>
      </c>
      <c r="C6227" s="119" t="str">
        <f>IFERROR(__xludf.DUMMYFUNCTION("""COMPUTED_VALUE"""),"8/99 Nguyễn Huệ")</f>
        <v>8/99 Nguyễn Huệ</v>
      </c>
      <c r="D6227" s="119" t="str">
        <f>IFERROR(__xludf.DUMMYFUNCTION("""COMPUTED_VALUE"""),"Chó")</f>
        <v>Chó</v>
      </c>
      <c r="E6227" s="119" t="str">
        <f>IFERROR(__xludf.DUMMYFUNCTION("""COMPUTED_VALUE"""),"Bom")</f>
        <v>Bom</v>
      </c>
    </row>
    <row r="6228" ht="15.75" customHeight="1">
      <c r="A6228" s="122" t="str">
        <f>IFERROR(__xludf.DUMMYFUNCTION("""COMPUTED_VALUE"""),"0375 333 000")</f>
        <v>0375 333 000</v>
      </c>
      <c r="B6228" s="119" t="str">
        <f>IFERROR(__xludf.DUMMYFUNCTION("""COMPUTED_VALUE"""),"Chị Lê Thị Thắm")</f>
        <v>Chị Lê Thị Thắm</v>
      </c>
      <c r="C6228" s="119" t="str">
        <f>IFERROR(__xludf.DUMMYFUNCTION("""COMPUTED_VALUE"""),"phong Điền")</f>
        <v>phong Điền</v>
      </c>
      <c r="D6228" s="119" t="str">
        <f>IFERROR(__xludf.DUMMYFUNCTION("""COMPUTED_VALUE"""),"Chó")</f>
        <v>Chó</v>
      </c>
      <c r="E6228" s="119" t="str">
        <f>IFERROR(__xludf.DUMMYFUNCTION("""COMPUTED_VALUE"""),"Bắp")</f>
        <v>Bắp</v>
      </c>
    </row>
    <row r="6229" ht="15.75" customHeight="1">
      <c r="A6229" s="122" t="str">
        <f>IFERROR(__xludf.DUMMYFUNCTION("""COMPUTED_VALUE"""),"0857 596 640")</f>
        <v>0857 596 640</v>
      </c>
      <c r="B6229" s="119" t="str">
        <f>IFERROR(__xludf.DUMMYFUNCTION("""COMPUTED_VALUE"""),"chị hoa")</f>
        <v>chị hoa</v>
      </c>
      <c r="C6229" s="119" t="str">
        <f>IFERROR(__xludf.DUMMYFUNCTION("""COMPUTED_VALUE"""),"199 phan bội châu")</f>
        <v>199 phan bội châu</v>
      </c>
      <c r="D6229" s="119" t="str">
        <f>IFERROR(__xludf.DUMMYFUNCTION("""COMPUTED_VALUE"""),"chó")</f>
        <v>chó</v>
      </c>
      <c r="E6229" s="119" t="str">
        <f>IFERROR(__xludf.DUMMYFUNCTION("""COMPUTED_VALUE"""),"đen,vàng,gấu")</f>
        <v>đen,vàng,gấu</v>
      </c>
    </row>
    <row r="6230" ht="15.75" customHeight="1">
      <c r="A6230" s="122" t="str">
        <f>IFERROR(__xludf.DUMMYFUNCTION("""COMPUTED_VALUE"""),"0901 982 167")</f>
        <v>0901 982 167</v>
      </c>
      <c r="B6230" s="119" t="str">
        <f>IFERROR(__xludf.DUMMYFUNCTION("""COMPUTED_VALUE"""),"chị Hảo")</f>
        <v>chị Hảo</v>
      </c>
      <c r="C6230" s="119" t="str">
        <f>IFERROR(__xludf.DUMMYFUNCTION("""COMPUTED_VALUE"""),"35/73 Đặng Văn Ngự")</f>
        <v>35/73 Đặng Văn Ngự</v>
      </c>
      <c r="D6230" s="119" t="str">
        <f>IFERROR(__xludf.DUMMYFUNCTION("""COMPUTED_VALUE"""),"Chó")</f>
        <v>Chó</v>
      </c>
      <c r="E6230" s="119" t="str">
        <f>IFERROR(__xludf.DUMMYFUNCTION("""COMPUTED_VALUE"""),"Đậu Đậu")</f>
        <v>Đậu Đậu</v>
      </c>
    </row>
    <row r="6231" ht="15.75" customHeight="1">
      <c r="A6231" s="122" t="str">
        <f>IFERROR(__xludf.DUMMYFUNCTION("""COMPUTED_VALUE"""),"0355 083 270")</f>
        <v>0355 083 270</v>
      </c>
      <c r="B6231" s="119" t="str">
        <f>IFERROR(__xludf.DUMMYFUNCTION("""COMPUTED_VALUE"""),"Chị Thùy Linh")</f>
        <v>Chị Thùy Linh</v>
      </c>
      <c r="C6231" s="119" t="str">
        <f>IFERROR(__xludf.DUMMYFUNCTION("""COMPUTED_VALUE"""),"An Tây TP Huế")</f>
        <v>An Tây TP Huế</v>
      </c>
      <c r="D6231" s="119" t="str">
        <f>IFERROR(__xludf.DUMMYFUNCTION("""COMPUTED_VALUE"""),"Chó")</f>
        <v>Chó</v>
      </c>
      <c r="E6231" s="119" t="str">
        <f>IFERROR(__xludf.DUMMYFUNCTION("""COMPUTED_VALUE"""),"Bom")</f>
        <v>Bom</v>
      </c>
    </row>
    <row r="6232" ht="15.75" customHeight="1">
      <c r="A6232" s="122" t="str">
        <f>IFERROR(__xludf.DUMMYFUNCTION("""COMPUTED_VALUE"""),"0935 987 399")</f>
        <v>0935 987 399</v>
      </c>
      <c r="B6232" s="119" t="str">
        <f>IFERROR(__xludf.DUMMYFUNCTION("""COMPUTED_VALUE"""),"Chị Huyền")</f>
        <v>Chị Huyền</v>
      </c>
      <c r="C6232" s="119" t="str">
        <f>IFERROR(__xludf.DUMMYFUNCTION("""COMPUTED_VALUE"""),"02 Trần Lư")</f>
        <v>02 Trần Lư</v>
      </c>
      <c r="D6232" s="119" t="str">
        <f>IFERROR(__xludf.DUMMYFUNCTION("""COMPUTED_VALUE"""),"Chó")</f>
        <v>Chó</v>
      </c>
      <c r="E6232" s="119"/>
    </row>
    <row r="6233" ht="15.75" customHeight="1">
      <c r="A6233" s="122" t="str">
        <f>IFERROR(__xludf.DUMMYFUNCTION("""COMPUTED_VALUE"""),"0906 462 017")</f>
        <v>0906 462 017</v>
      </c>
      <c r="B6233" s="119"/>
      <c r="C6233" s="119" t="str">
        <f>IFERROR(__xludf.DUMMYFUNCTION("""COMPUTED_VALUE"""),"244 Điện Biên Phủ")</f>
        <v>244 Điện Biên Phủ</v>
      </c>
      <c r="D6233" s="119" t="str">
        <f>IFERROR(__xludf.DUMMYFUNCTION("""COMPUTED_VALUE"""),"Chó")</f>
        <v>Chó</v>
      </c>
      <c r="E6233" s="119"/>
    </row>
    <row r="6234" ht="15.75" customHeight="1">
      <c r="A6234" s="122" t="str">
        <f>IFERROR(__xludf.DUMMYFUNCTION("""COMPUTED_VALUE"""),"0905 822 536")</f>
        <v>0905 822 536</v>
      </c>
      <c r="B6234" s="119" t="str">
        <f>IFERROR(__xludf.DUMMYFUNCTION("""COMPUTED_VALUE"""),"Cô Hương/Chú Hòa")</f>
        <v>Cô Hương/Chú Hòa</v>
      </c>
      <c r="C6234" s="119" t="str">
        <f>IFERROR(__xludf.DUMMYFUNCTION("""COMPUTED_VALUE"""),"1 Duy Tân")</f>
        <v>1 Duy Tân</v>
      </c>
      <c r="D6234" s="119" t="str">
        <f>IFERROR(__xludf.DUMMYFUNCTION("""COMPUTED_VALUE"""),"Chó")</f>
        <v>Chó</v>
      </c>
      <c r="E6234" s="119"/>
    </row>
    <row r="6235" ht="15.75" customHeight="1">
      <c r="A6235" s="122" t="str">
        <f>IFERROR(__xludf.DUMMYFUNCTION("""COMPUTED_VALUE"""),"0386 908 206")</f>
        <v>0386 908 206</v>
      </c>
      <c r="B6235" s="119" t="str">
        <f>IFERROR(__xludf.DUMMYFUNCTION("""COMPUTED_VALUE"""),"Anh Bảo")</f>
        <v>Anh Bảo</v>
      </c>
      <c r="C6235" s="119" t="str">
        <f>IFERROR(__xludf.DUMMYFUNCTION("""COMPUTED_VALUE"""),"5/350 Phan Chu Trinh")</f>
        <v>5/350 Phan Chu Trinh</v>
      </c>
      <c r="D6235" s="119" t="str">
        <f>IFERROR(__xludf.DUMMYFUNCTION("""COMPUTED_VALUE"""),"Mèo")</f>
        <v>Mèo</v>
      </c>
      <c r="E6235" s="119" t="str">
        <f>IFERROR(__xludf.DUMMYFUNCTION("""COMPUTED_VALUE"""),"Bơ")</f>
        <v>Bơ</v>
      </c>
    </row>
    <row r="6236" ht="15.75" customHeight="1">
      <c r="A6236" s="122" t="str">
        <f>IFERROR(__xludf.DUMMYFUNCTION("""COMPUTED_VALUE"""),"0905 209 264")</f>
        <v>0905 209 264</v>
      </c>
      <c r="B6236" s="119" t="str">
        <f>IFERROR(__xludf.DUMMYFUNCTION("""COMPUTED_VALUE"""),"Dì Phạm Thị Yến Nhi")</f>
        <v>Dì Phạm Thị Yến Nhi</v>
      </c>
      <c r="C6236" s="119" t="str">
        <f>IFERROR(__xludf.DUMMYFUNCTION("""COMPUTED_VALUE"""),"1/51 Trần Phú")</f>
        <v>1/51 Trần Phú</v>
      </c>
      <c r="D6236" s="119" t="str">
        <f>IFERROR(__xludf.DUMMYFUNCTION("""COMPUTED_VALUE"""),"Mèo")</f>
        <v>Mèo</v>
      </c>
      <c r="E6236" s="119" t="str">
        <f>IFERROR(__xludf.DUMMYFUNCTION("""COMPUTED_VALUE"""),"ToCo")</f>
        <v>ToCo</v>
      </c>
    </row>
    <row r="6237" ht="15.75" customHeight="1">
      <c r="A6237" s="122" t="str">
        <f>IFERROR(__xludf.DUMMYFUNCTION("""COMPUTED_VALUE"""),"0963 419 248")</f>
        <v>0963 419 248</v>
      </c>
      <c r="B6237" s="119" t="str">
        <f>IFERROR(__xludf.DUMMYFUNCTION("""COMPUTED_VALUE"""),"Chị My")</f>
        <v>Chị My</v>
      </c>
      <c r="C6237" s="119" t="str">
        <f>IFERROR(__xludf.DUMMYFUNCTION("""COMPUTED_VALUE"""),"Quảng Điền")</f>
        <v>Quảng Điền</v>
      </c>
      <c r="D6237" s="119" t="str">
        <f>IFERROR(__xludf.DUMMYFUNCTION("""COMPUTED_VALUE"""),"Mèo")</f>
        <v>Mèo</v>
      </c>
      <c r="E6237" s="119"/>
    </row>
    <row r="6238" ht="15.75" customHeight="1">
      <c r="A6238" s="122" t="str">
        <f>IFERROR(__xludf.DUMMYFUNCTION("""COMPUTED_VALUE"""),"0938 128 736")</f>
        <v>0938 128 736</v>
      </c>
      <c r="B6238" s="119" t="str">
        <f>IFERROR(__xludf.DUMMYFUNCTION("""COMPUTED_VALUE"""),"Chị Minh")</f>
        <v>Chị Minh</v>
      </c>
      <c r="C6238" s="119" t="str">
        <f>IFERROR(__xludf.DUMMYFUNCTION("""COMPUTED_VALUE"""),"80 Minh Mạng")</f>
        <v>80 Minh Mạng</v>
      </c>
      <c r="D6238" s="119" t="str">
        <f>IFERROR(__xludf.DUMMYFUNCTION("""COMPUTED_VALUE"""),"Chó")</f>
        <v>Chó</v>
      </c>
      <c r="E6238" s="119" t="str">
        <f>IFERROR(__xludf.DUMMYFUNCTION("""COMPUTED_VALUE"""),"Lu")</f>
        <v>Lu</v>
      </c>
    </row>
    <row r="6239" ht="15.75" customHeight="1">
      <c r="A6239" s="122" t="str">
        <f>IFERROR(__xludf.DUMMYFUNCTION("""COMPUTED_VALUE"""),"0886 398 868")</f>
        <v>0886 398 868</v>
      </c>
      <c r="B6239" s="119" t="str">
        <f>IFERROR(__xludf.DUMMYFUNCTION("""COMPUTED_VALUE"""),"Anh Thảo")</f>
        <v>Anh Thảo</v>
      </c>
      <c r="C6239" s="119" t="str">
        <f>IFERROR(__xludf.DUMMYFUNCTION("""COMPUTED_VALUE"""),"55 Khải Định")</f>
        <v>55 Khải Định</v>
      </c>
      <c r="D6239" s="119" t="str">
        <f>IFERROR(__xludf.DUMMYFUNCTION("""COMPUTED_VALUE"""),"Chó")</f>
        <v>Chó</v>
      </c>
      <c r="E6239" s="119" t="str">
        <f>IFERROR(__xludf.DUMMYFUNCTION("""COMPUTED_VALUE"""),"Lắc")</f>
        <v>Lắc</v>
      </c>
    </row>
    <row r="6240" ht="15.75" customHeight="1">
      <c r="A6240" s="122" t="str">
        <f>IFERROR(__xludf.DUMMYFUNCTION("""COMPUTED_VALUE"""),"0868 796 459")</f>
        <v>0868 796 459</v>
      </c>
      <c r="B6240" s="119" t="str">
        <f>IFERROR(__xludf.DUMMYFUNCTION("""COMPUTED_VALUE"""),"Chị lê Nguyễn Kều Nhi")</f>
        <v>Chị lê Nguyễn Kều Nhi</v>
      </c>
      <c r="C6240" s="119" t="str">
        <f>IFERROR(__xludf.DUMMYFUNCTION("""COMPUTED_VALUE"""),"Trần Phú")</f>
        <v>Trần Phú</v>
      </c>
      <c r="D6240" s="119" t="str">
        <f>IFERROR(__xludf.DUMMYFUNCTION("""COMPUTED_VALUE"""),"Mèo")</f>
        <v>Mèo</v>
      </c>
      <c r="E6240" s="119" t="str">
        <f>IFERROR(__xludf.DUMMYFUNCTION("""COMPUTED_VALUE"""),"Louis")</f>
        <v>Louis</v>
      </c>
    </row>
    <row r="6241" ht="15.75" customHeight="1">
      <c r="A6241" s="122" t="str">
        <f>IFERROR(__xludf.DUMMYFUNCTION("""COMPUTED_VALUE"""),"0962 759 775")</f>
        <v>0962 759 775</v>
      </c>
      <c r="B6241" s="119" t="str">
        <f>IFERROR(__xludf.DUMMYFUNCTION("""COMPUTED_VALUE"""),"Chị Thuý")</f>
        <v>Chị Thuý</v>
      </c>
      <c r="C6241" s="119" t="str">
        <f>IFERROR(__xludf.DUMMYFUNCTION("""COMPUTED_VALUE"""),"29A/33 Lê Quý Đôn")</f>
        <v>29A/33 Lê Quý Đôn</v>
      </c>
      <c r="D6241" s="119" t="str">
        <f>IFERROR(__xludf.DUMMYFUNCTION("""COMPUTED_VALUE"""),"Chó")</f>
        <v>Chó</v>
      </c>
      <c r="E6241" s="119" t="str">
        <f>IFERROR(__xludf.DUMMYFUNCTION("""COMPUTED_VALUE"""),"Nâu")</f>
        <v>Nâu</v>
      </c>
    </row>
    <row r="6242" ht="15.75" customHeight="1">
      <c r="A6242" s="122" t="str">
        <f>IFERROR(__xludf.DUMMYFUNCTION("""COMPUTED_VALUE"""),"0348 430 624")</f>
        <v>0348 430 624</v>
      </c>
      <c r="B6242" s="119" t="str">
        <f>IFERROR(__xludf.DUMMYFUNCTION("""COMPUTED_VALUE"""),"Thây Nguyên Đức")</f>
        <v>Thây Nguyên Đức</v>
      </c>
      <c r="C6242" s="119" t="str">
        <f>IFERROR(__xludf.DUMMYFUNCTION("""COMPUTED_VALUE"""),"18 Duy Tân")</f>
        <v>18 Duy Tân</v>
      </c>
      <c r="D6242" s="119" t="str">
        <f>IFERROR(__xludf.DUMMYFUNCTION("""COMPUTED_VALUE"""),"Chó")</f>
        <v>Chó</v>
      </c>
      <c r="E6242" s="119"/>
    </row>
    <row r="6243" ht="15.75" customHeight="1">
      <c r="A6243" s="122" t="str">
        <f>IFERROR(__xludf.DUMMYFUNCTION("""COMPUTED_VALUE"""),"0961 962 997")</f>
        <v>0961 962 997</v>
      </c>
      <c r="B6243" s="119" t="str">
        <f>IFERROR(__xludf.DUMMYFUNCTION("""COMPUTED_VALUE"""),"Hoàng Mỹ Linh")</f>
        <v>Hoàng Mỹ Linh</v>
      </c>
      <c r="C6243" s="119" t="str">
        <f>IFERROR(__xludf.DUMMYFUNCTION("""COMPUTED_VALUE"""),"11 Nguyễn Văn Cừ")</f>
        <v>11 Nguyễn Văn Cừ</v>
      </c>
      <c r="D6243" s="119" t="str">
        <f>IFERROR(__xludf.DUMMYFUNCTION("""COMPUTED_VALUE"""),"Mèo")</f>
        <v>Mèo</v>
      </c>
      <c r="E6243" s="119" t="str">
        <f>IFERROR(__xludf.DUMMYFUNCTION("""COMPUTED_VALUE"""),"Ben")</f>
        <v>Ben</v>
      </c>
    </row>
    <row r="6244" ht="15.75" customHeight="1">
      <c r="A6244" s="122" t="str">
        <f>IFERROR(__xludf.DUMMYFUNCTION("""COMPUTED_VALUE"""),"0932 965 354")</f>
        <v>0932 965 354</v>
      </c>
      <c r="B6244" s="119" t="str">
        <f>IFERROR(__xludf.DUMMYFUNCTION("""COMPUTED_VALUE"""),"Anh Tài")</f>
        <v>Anh Tài</v>
      </c>
      <c r="C6244" s="119" t="str">
        <f>IFERROR(__xludf.DUMMYFUNCTION("""COMPUTED_VALUE"""),"Vỹ dạ")</f>
        <v>Vỹ dạ</v>
      </c>
      <c r="D6244" s="119" t="str">
        <f>IFERROR(__xludf.DUMMYFUNCTION("""COMPUTED_VALUE"""),"Mèo")</f>
        <v>Mèo</v>
      </c>
      <c r="E6244" s="119" t="str">
        <f>IFERROR(__xludf.DUMMYFUNCTION("""COMPUTED_VALUE"""),"MoMo")</f>
        <v>MoMo</v>
      </c>
    </row>
    <row r="6245" ht="15.75" customHeight="1">
      <c r="A6245" s="122" t="str">
        <f>IFERROR(__xludf.DUMMYFUNCTION("""COMPUTED_VALUE"""),"0365 321 949")</f>
        <v>0365 321 949</v>
      </c>
      <c r="B6245" s="119" t="str">
        <f>IFERROR(__xludf.DUMMYFUNCTION("""COMPUTED_VALUE"""),"Em NoK")</f>
        <v>Em NoK</v>
      </c>
      <c r="C6245" s="119" t="str">
        <f>IFERROR(__xludf.DUMMYFUNCTION("""COMPUTED_VALUE"""),"Vỹ Dạ")</f>
        <v>Vỹ Dạ</v>
      </c>
      <c r="D6245" s="119" t="str">
        <f>IFERROR(__xludf.DUMMYFUNCTION("""COMPUTED_VALUE"""),"Mèo")</f>
        <v>Mèo</v>
      </c>
      <c r="E6245" s="119" t="str">
        <f>IFERROR(__xludf.DUMMYFUNCTION("""COMPUTED_VALUE"""),"Maly")</f>
        <v>Maly</v>
      </c>
    </row>
    <row r="6246" ht="15.75" customHeight="1">
      <c r="A6246" s="122" t="str">
        <f>IFERROR(__xludf.DUMMYFUNCTION("""COMPUTED_VALUE"""),"0905 723 377")</f>
        <v>0905 723 377</v>
      </c>
      <c r="B6246" s="119" t="str">
        <f>IFERROR(__xludf.DUMMYFUNCTION("""COMPUTED_VALUE"""),"Chj Y Bình")</f>
        <v>Chj Y Bình</v>
      </c>
      <c r="C6246" s="119" t="str">
        <f>IFERROR(__xludf.DUMMYFUNCTION("""COMPUTED_VALUE"""),"Chế Lan Viên")</f>
        <v>Chế Lan Viên</v>
      </c>
      <c r="D6246" s="119" t="str">
        <f>IFERROR(__xludf.DUMMYFUNCTION("""COMPUTED_VALUE"""),"Chó")</f>
        <v>Chó</v>
      </c>
      <c r="E6246" s="119" t="str">
        <f>IFERROR(__xludf.DUMMYFUNCTION("""COMPUTED_VALUE"""),"Mon")</f>
        <v>Mon</v>
      </c>
    </row>
    <row r="6247" ht="15.75" customHeight="1">
      <c r="A6247" s="122" t="str">
        <f>IFERROR(__xludf.DUMMYFUNCTION("""COMPUTED_VALUE"""),"0924 444 842")</f>
        <v>0924 444 842</v>
      </c>
      <c r="B6247" s="119" t="str">
        <f>IFERROR(__xludf.DUMMYFUNCTION("""COMPUTED_VALUE"""),"Anh Tùng")</f>
        <v>Anh Tùng</v>
      </c>
      <c r="C6247" s="119" t="str">
        <f>IFERROR(__xludf.DUMMYFUNCTION("""COMPUTED_VALUE"""),"131 Trần Phú")</f>
        <v>131 Trần Phú</v>
      </c>
      <c r="D6247" s="119" t="str">
        <f>IFERROR(__xludf.DUMMYFUNCTION("""COMPUTED_VALUE"""),"Chó")</f>
        <v>Chó</v>
      </c>
      <c r="E6247" s="119"/>
    </row>
    <row r="6248" ht="15.75" customHeight="1">
      <c r="A6248" s="122" t="str">
        <f>IFERROR(__xludf.DUMMYFUNCTION("""COMPUTED_VALUE"""),"0772 467 476")</f>
        <v>0772 467 476</v>
      </c>
      <c r="B6248" s="119" t="str">
        <f>IFERROR(__xludf.DUMMYFUNCTION("""COMPUTED_VALUE"""),"Anh Phi")</f>
        <v>Anh Phi</v>
      </c>
      <c r="C6248" s="119" t="str">
        <f>IFERROR(__xludf.DUMMYFUNCTION("""COMPUTED_VALUE"""),"131 Trần Phú")</f>
        <v>131 Trần Phú</v>
      </c>
      <c r="D6248" s="119" t="str">
        <f>IFERROR(__xludf.DUMMYFUNCTION("""COMPUTED_VALUE"""),"Chó")</f>
        <v>Chó</v>
      </c>
      <c r="E6248" s="119" t="str">
        <f>IFERROR(__xludf.DUMMYFUNCTION("""COMPUTED_VALUE"""),"Đô")</f>
        <v>Đô</v>
      </c>
    </row>
    <row r="6249" ht="15.75" customHeight="1">
      <c r="A6249" s="122" t="str">
        <f>IFERROR(__xludf.DUMMYFUNCTION("""COMPUTED_VALUE"""),"0898 824 157")</f>
        <v>0898 824 157</v>
      </c>
      <c r="B6249" s="119" t="str">
        <f>IFERROR(__xludf.DUMMYFUNCTION("""COMPUTED_VALUE"""),"Chị Như")</f>
        <v>Chị Như</v>
      </c>
      <c r="C6249" s="119" t="str">
        <f>IFERROR(__xludf.DUMMYFUNCTION("""COMPUTED_VALUE"""),"18 Lương Như Ngọc")</f>
        <v>18 Lương Như Ngọc</v>
      </c>
      <c r="D6249" s="119" t="str">
        <f>IFERROR(__xludf.DUMMYFUNCTION("""COMPUTED_VALUE"""),"Chó")</f>
        <v>Chó</v>
      </c>
      <c r="E6249" s="119" t="str">
        <f>IFERROR(__xludf.DUMMYFUNCTION("""COMPUTED_VALUE"""),"An An")</f>
        <v>An An</v>
      </c>
    </row>
    <row r="6250" ht="15.75" customHeight="1">
      <c r="A6250" s="122" t="str">
        <f>IFERROR(__xludf.DUMMYFUNCTION("""COMPUTED_VALUE"""),"0914 444 842")</f>
        <v>0914 444 842</v>
      </c>
      <c r="B6250" s="119" t="str">
        <f>IFERROR(__xludf.DUMMYFUNCTION("""COMPUTED_VALUE"""),"Nguyễn Thanh Tùng")</f>
        <v>Nguyễn Thanh Tùng</v>
      </c>
      <c r="C6250" s="119" t="str">
        <f>IFERROR(__xludf.DUMMYFUNCTION("""COMPUTED_VALUE"""),"Kiệt 131 Trân Phú")</f>
        <v>Kiệt 131 Trân Phú</v>
      </c>
      <c r="D6250" s="119" t="str">
        <f>IFERROR(__xludf.DUMMYFUNCTION("""COMPUTED_VALUE"""),"Chó")</f>
        <v>Chó</v>
      </c>
      <c r="E6250" s="119" t="str">
        <f>IFERROR(__xludf.DUMMYFUNCTION("""COMPUTED_VALUE"""),"Ty")</f>
        <v>Ty</v>
      </c>
    </row>
    <row r="6251" ht="15.75" customHeight="1">
      <c r="A6251" s="122" t="str">
        <f>IFERROR(__xludf.DUMMYFUNCTION("""COMPUTED_VALUE"""),"0905 477 122")</f>
        <v>0905 477 122</v>
      </c>
      <c r="B6251" s="119" t="str">
        <f>IFERROR(__xludf.DUMMYFUNCTION("""COMPUTED_VALUE"""),"Ahh Tý")</f>
        <v>Ahh Tý</v>
      </c>
      <c r="C6251" s="119" t="str">
        <f>IFERROR(__xludf.DUMMYFUNCTION("""COMPUTED_VALUE"""),"Thuận An")</f>
        <v>Thuận An</v>
      </c>
      <c r="D6251" s="119" t="str">
        <f>IFERROR(__xludf.DUMMYFUNCTION("""COMPUTED_VALUE"""),"Chó")</f>
        <v>Chó</v>
      </c>
      <c r="E6251" s="119" t="str">
        <f>IFERROR(__xludf.DUMMYFUNCTION("""COMPUTED_VALUE"""),"Lucky")</f>
        <v>Lucky</v>
      </c>
    </row>
    <row r="6252" ht="15.75" customHeight="1">
      <c r="A6252" s="122" t="str">
        <f>IFERROR(__xludf.DUMMYFUNCTION("""COMPUTED_VALUE"""),"0967 927 203")</f>
        <v>0967 927 203</v>
      </c>
      <c r="B6252" s="119" t="str">
        <f>IFERROR(__xludf.DUMMYFUNCTION("""COMPUTED_VALUE"""),"Chị Phương Linh")</f>
        <v>Chị Phương Linh</v>
      </c>
      <c r="C6252" s="119" t="str">
        <f>IFERROR(__xludf.DUMMYFUNCTION("""COMPUTED_VALUE"""),"20/87 Bùi Thị Xuân")</f>
        <v>20/87 Bùi Thị Xuân</v>
      </c>
      <c r="D6252" s="119" t="str">
        <f>IFERROR(__xludf.DUMMYFUNCTION("""COMPUTED_VALUE"""),"Mèo")</f>
        <v>Mèo</v>
      </c>
      <c r="E6252" s="119" t="str">
        <f>IFERROR(__xludf.DUMMYFUNCTION("""COMPUTED_VALUE"""),"cún")</f>
        <v>cún</v>
      </c>
    </row>
    <row r="6253" ht="15.75" customHeight="1">
      <c r="A6253" s="122" t="str">
        <f>IFERROR(__xludf.DUMMYFUNCTION("""COMPUTED_VALUE"""),"0904 336 827")</f>
        <v>0904 336 827</v>
      </c>
      <c r="B6253" s="119" t="str">
        <f>IFERROR(__xludf.DUMMYFUNCTION("""COMPUTED_VALUE"""),"Em Quốc")</f>
        <v>Em Quốc</v>
      </c>
      <c r="C6253" s="119" t="str">
        <f>IFERROR(__xludf.DUMMYFUNCTION("""COMPUTED_VALUE"""),"Ga Huế")</f>
        <v>Ga Huế</v>
      </c>
      <c r="D6253" s="119" t="str">
        <f>IFERROR(__xludf.DUMMYFUNCTION("""COMPUTED_VALUE"""),"Chó")</f>
        <v>Chó</v>
      </c>
      <c r="E6253" s="119" t="str">
        <f>IFERROR(__xludf.DUMMYFUNCTION("""COMPUTED_VALUE"""),"Mon")</f>
        <v>Mon</v>
      </c>
    </row>
    <row r="6254" ht="15.75" customHeight="1">
      <c r="A6254" s="122" t="str">
        <f>IFERROR(__xludf.DUMMYFUNCTION("""COMPUTED_VALUE"""),"0934 903 630")</f>
        <v>0934 903 630</v>
      </c>
      <c r="B6254" s="119" t="str">
        <f>IFERROR(__xludf.DUMMYFUNCTION("""COMPUTED_VALUE"""),"Võ Quốc Hưng")</f>
        <v>Võ Quốc Hưng</v>
      </c>
      <c r="C6254" s="119" t="str">
        <f>IFERROR(__xludf.DUMMYFUNCTION("""COMPUTED_VALUE"""),"Phú Vang")</f>
        <v>Phú Vang</v>
      </c>
      <c r="D6254" s="119" t="str">
        <f>IFERROR(__xludf.DUMMYFUNCTION("""COMPUTED_VALUE"""),"Mèo")</f>
        <v>Mèo</v>
      </c>
      <c r="E6254" s="119" t="str">
        <f>IFERROR(__xludf.DUMMYFUNCTION("""COMPUTED_VALUE"""),"white")</f>
        <v>white</v>
      </c>
    </row>
    <row r="6255" ht="15.75" customHeight="1">
      <c r="A6255" s="122" t="str">
        <f>IFERROR(__xludf.DUMMYFUNCTION("""COMPUTED_VALUE"""),"0832 392 090")</f>
        <v>0832 392 090</v>
      </c>
      <c r="B6255" s="119" t="str">
        <f>IFERROR(__xludf.DUMMYFUNCTION("""COMPUTED_VALUE"""),"Chị Quỳnh Hương")</f>
        <v>Chị Quỳnh Hương</v>
      </c>
      <c r="C6255" s="119" t="str">
        <f>IFERROR(__xludf.DUMMYFUNCTION("""COMPUTED_VALUE"""),"Duy Tân")</f>
        <v>Duy Tân</v>
      </c>
      <c r="D6255" s="119" t="str">
        <f>IFERROR(__xludf.DUMMYFUNCTION("""COMPUTED_VALUE"""),"Mèo")</f>
        <v>Mèo</v>
      </c>
      <c r="E6255" s="119" t="str">
        <f>IFERROR(__xludf.DUMMYFUNCTION("""COMPUTED_VALUE"""),"Kem")</f>
        <v>Kem</v>
      </c>
    </row>
    <row r="6256" ht="15.75" customHeight="1">
      <c r="A6256" s="122" t="str">
        <f>IFERROR(__xludf.DUMMYFUNCTION("""COMPUTED_VALUE"""),"0333 078 454")</f>
        <v>0333 078 454</v>
      </c>
      <c r="B6256" s="119" t="str">
        <f>IFERROR(__xludf.DUMMYFUNCTION("""COMPUTED_VALUE"""),"Đặng Thị Thùy Thanh")</f>
        <v>Đặng Thị Thùy Thanh</v>
      </c>
      <c r="C6256" s="119" t="str">
        <f>IFERROR(__xludf.DUMMYFUNCTION("""COMPUTED_VALUE"""),"47/131 Trần Phú")</f>
        <v>47/131 Trần Phú</v>
      </c>
      <c r="D6256" s="119" t="str">
        <f>IFERROR(__xludf.DUMMYFUNCTION("""COMPUTED_VALUE"""),"Mèo")</f>
        <v>Mèo</v>
      </c>
      <c r="E6256" s="119" t="str">
        <f>IFERROR(__xludf.DUMMYFUNCTION("""COMPUTED_VALUE"""),"Leo")</f>
        <v>Leo</v>
      </c>
    </row>
    <row r="6257" ht="15.75" customHeight="1">
      <c r="A6257" s="122" t="str">
        <f>IFERROR(__xludf.DUMMYFUNCTION("""COMPUTED_VALUE"""),"0369 590 630")</f>
        <v>0369 590 630</v>
      </c>
      <c r="B6257" s="119" t="str">
        <f>IFERROR(__xludf.DUMMYFUNCTION("""COMPUTED_VALUE"""),"Em Thành")</f>
        <v>Em Thành</v>
      </c>
      <c r="C6257" s="119" t="str">
        <f>IFERROR(__xludf.DUMMYFUNCTION("""COMPUTED_VALUE"""),"Chợ Nọ")</f>
        <v>Chợ Nọ</v>
      </c>
      <c r="D6257" s="119" t="str">
        <f>IFERROR(__xludf.DUMMYFUNCTION("""COMPUTED_VALUE"""),"Chó")</f>
        <v>Chó</v>
      </c>
      <c r="E6257" s="119" t="str">
        <f>IFERROR(__xludf.DUMMYFUNCTION("""COMPUTED_VALUE"""),"Trắng")</f>
        <v>Trắng</v>
      </c>
    </row>
    <row r="6258" ht="15.75" customHeight="1">
      <c r="A6258" s="122" t="str">
        <f>IFERROR(__xludf.DUMMYFUNCTION("""COMPUTED_VALUE"""),"0327 353 419")</f>
        <v>0327 353 419</v>
      </c>
      <c r="B6258" s="119" t="str">
        <f>IFERROR(__xludf.DUMMYFUNCTION("""COMPUTED_VALUE"""),"Em Võ Thị Thanh")</f>
        <v>Em Võ Thị Thanh</v>
      </c>
      <c r="C6258" s="119" t="str">
        <f>IFERROR(__xludf.DUMMYFUNCTION("""COMPUTED_VALUE"""),"Hương Chữ - Hương Trà")</f>
        <v>Hương Chữ - Hương Trà</v>
      </c>
      <c r="D6258" s="119" t="str">
        <f>IFERROR(__xludf.DUMMYFUNCTION("""COMPUTED_VALUE"""),"Chó")</f>
        <v>Chó</v>
      </c>
      <c r="E6258" s="119" t="str">
        <f>IFERROR(__xludf.DUMMYFUNCTION("""COMPUTED_VALUE"""),"Lạc")</f>
        <v>Lạc</v>
      </c>
    </row>
    <row r="6259" ht="15.75" customHeight="1">
      <c r="A6259" s="122" t="str">
        <f>IFERROR(__xludf.DUMMYFUNCTION("""COMPUTED_VALUE"""),"0818 716 665")</f>
        <v>0818 716 665</v>
      </c>
      <c r="B6259" s="119" t="str">
        <f>IFERROR(__xludf.DUMMYFUNCTION("""COMPUTED_VALUE"""),"Chị Hiền")</f>
        <v>Chị Hiền</v>
      </c>
      <c r="C6259" s="119" t="str">
        <f>IFERROR(__xludf.DUMMYFUNCTION("""COMPUTED_VALUE"""),"131 Trân Phú")</f>
        <v>131 Trân Phú</v>
      </c>
      <c r="D6259" s="119" t="str">
        <f>IFERROR(__xludf.DUMMYFUNCTION("""COMPUTED_VALUE"""),"Chó")</f>
        <v>Chó</v>
      </c>
      <c r="E6259" s="119" t="str">
        <f>IFERROR(__xludf.DUMMYFUNCTION("""COMPUTED_VALUE"""),"Happy")</f>
        <v>Happy</v>
      </c>
    </row>
    <row r="6260" ht="15.75" customHeight="1">
      <c r="A6260" s="122" t="str">
        <f>IFERROR(__xludf.DUMMYFUNCTION("""COMPUTED_VALUE"""),"0375 767 778")</f>
        <v>0375 767 778</v>
      </c>
      <c r="B6260" s="119" t="str">
        <f>IFERROR(__xludf.DUMMYFUNCTION("""COMPUTED_VALUE"""),"Chị Lê Thị Thắm")</f>
        <v>Chị Lê Thị Thắm</v>
      </c>
      <c r="C6260" s="119" t="str">
        <f>IFERROR(__xludf.DUMMYFUNCTION("""COMPUTED_VALUE"""),"Phong Điền")</f>
        <v>Phong Điền</v>
      </c>
      <c r="D6260" s="119" t="str">
        <f>IFERROR(__xludf.DUMMYFUNCTION("""COMPUTED_VALUE"""),"Chó")</f>
        <v>Chó</v>
      </c>
      <c r="E6260" s="119" t="str">
        <f>IFERROR(__xludf.DUMMYFUNCTION("""COMPUTED_VALUE"""),"Bắp")</f>
        <v>Bắp</v>
      </c>
    </row>
    <row r="6261" ht="15.75" customHeight="1">
      <c r="A6261" s="122" t="str">
        <f>IFERROR(__xludf.DUMMYFUNCTION("""COMPUTED_VALUE"""),"0944 983 822")</f>
        <v>0944 983 822</v>
      </c>
      <c r="B6261" s="119" t="str">
        <f>IFERROR(__xludf.DUMMYFUNCTION("""COMPUTED_VALUE"""),"Anh Bình")</f>
        <v>Anh Bình</v>
      </c>
      <c r="C6261" s="119" t="str">
        <f>IFERROR(__xludf.DUMMYFUNCTION("""COMPUTED_VALUE"""),"10/15/69/131 Trần Phú")</f>
        <v>10/15/69/131 Trần Phú</v>
      </c>
      <c r="D6261" s="119" t="str">
        <f>IFERROR(__xludf.DUMMYFUNCTION("""COMPUTED_VALUE"""),"Chó")</f>
        <v>Chó</v>
      </c>
      <c r="E6261" s="119"/>
    </row>
    <row r="6262" ht="15.75" customHeight="1">
      <c r="A6262" s="122" t="str">
        <f>IFERROR(__xludf.DUMMYFUNCTION("""COMPUTED_VALUE"""),"0944 466 444")</f>
        <v>0944 466 444</v>
      </c>
      <c r="B6262" s="119" t="str">
        <f>IFERROR(__xludf.DUMMYFUNCTION("""COMPUTED_VALUE"""),"Hoàng Thị ngọc Minh")</f>
        <v>Hoàng Thị ngọc Minh</v>
      </c>
      <c r="C6262" s="119" t="str">
        <f>IFERROR(__xludf.DUMMYFUNCTION("""COMPUTED_VALUE"""),"K37 Trần Phú")</f>
        <v>K37 Trần Phú</v>
      </c>
      <c r="D6262" s="119" t="str">
        <f>IFERROR(__xludf.DUMMYFUNCTION("""COMPUTED_VALUE"""),"Chó")</f>
        <v>Chó</v>
      </c>
      <c r="E6262" s="119" t="str">
        <f>IFERROR(__xludf.DUMMYFUNCTION("""COMPUTED_VALUE"""),"Lu")</f>
        <v>Lu</v>
      </c>
    </row>
    <row r="6263" ht="15.75" customHeight="1">
      <c r="A6263" s="122" t="str">
        <f>IFERROR(__xludf.DUMMYFUNCTION("""COMPUTED_VALUE"""),"0779 434 245")</f>
        <v>0779 434 245</v>
      </c>
      <c r="B6263" s="119" t="str">
        <f>IFERROR(__xludf.DUMMYFUNCTION("""COMPUTED_VALUE"""),"Chị Hương")</f>
        <v>Chị Hương</v>
      </c>
      <c r="C6263" s="119" t="str">
        <f>IFERROR(__xludf.DUMMYFUNCTION("""COMPUTED_VALUE"""),"Kiệt 131 Trần Phú")</f>
        <v>Kiệt 131 Trần Phú</v>
      </c>
      <c r="D6263" s="119" t="str">
        <f>IFERROR(__xludf.DUMMYFUNCTION("""COMPUTED_VALUE"""),"Chó")</f>
        <v>Chó</v>
      </c>
      <c r="E6263" s="119" t="str">
        <f>IFERROR(__xludf.DUMMYFUNCTION("""COMPUTED_VALUE"""),"Vàng")</f>
        <v>Vàng</v>
      </c>
    </row>
    <row r="6264" ht="15.75" customHeight="1">
      <c r="A6264" s="122" t="str">
        <f>IFERROR(__xludf.DUMMYFUNCTION("""COMPUTED_VALUE"""),"0905 588 159")</f>
        <v>0905 588 159</v>
      </c>
      <c r="B6264" s="119" t="str">
        <f>IFERROR(__xludf.DUMMYFUNCTION("""COMPUTED_VALUE"""),"Lê Nhật Thảo")</f>
        <v>Lê Nhật Thảo</v>
      </c>
      <c r="C6264" s="119" t="str">
        <f>IFERROR(__xludf.DUMMYFUNCTION("""COMPUTED_VALUE"""),"403 Xuân Diệu")</f>
        <v>403 Xuân Diệu</v>
      </c>
      <c r="D6264" s="119" t="str">
        <f>IFERROR(__xludf.DUMMYFUNCTION("""COMPUTED_VALUE"""),"Chó")</f>
        <v>Chó</v>
      </c>
      <c r="E6264" s="119" t="str">
        <f>IFERROR(__xludf.DUMMYFUNCTION("""COMPUTED_VALUE"""),"Ka")</f>
        <v>Ka</v>
      </c>
    </row>
    <row r="6265" ht="15.75" customHeight="1">
      <c r="A6265" s="122" t="str">
        <f>IFERROR(__xludf.DUMMYFUNCTION("""COMPUTED_VALUE"""),"0357 221 718")</f>
        <v>0357 221 718</v>
      </c>
      <c r="B6265" s="119" t="str">
        <f>IFERROR(__xludf.DUMMYFUNCTION("""COMPUTED_VALUE"""),"Anh Quyền")</f>
        <v>Anh Quyền</v>
      </c>
      <c r="C6265" s="119" t="str">
        <f>IFERROR(__xludf.DUMMYFUNCTION("""COMPUTED_VALUE"""),"Cầu Tuần")</f>
        <v>Cầu Tuần</v>
      </c>
      <c r="D6265" s="119" t="str">
        <f>IFERROR(__xludf.DUMMYFUNCTION("""COMPUTED_VALUE"""),"Chó")</f>
        <v>Chó</v>
      </c>
      <c r="E6265" s="119" t="str">
        <f>IFERROR(__xludf.DUMMYFUNCTION("""COMPUTED_VALUE"""),"mực")</f>
        <v>mực</v>
      </c>
    </row>
    <row r="6266" ht="15.75" customHeight="1">
      <c r="A6266" s="122" t="str">
        <f>IFERROR(__xludf.DUMMYFUNCTION("""COMPUTED_VALUE"""),"0772 257 705")</f>
        <v>0772 257 705</v>
      </c>
      <c r="B6266" s="119" t="str">
        <f>IFERROR(__xludf.DUMMYFUNCTION("""COMPUTED_VALUE"""),"lê Thị Diệu Huyền")</f>
        <v>lê Thị Diệu Huyền</v>
      </c>
      <c r="C6266" s="119" t="str">
        <f>IFERROR(__xludf.DUMMYFUNCTION("""COMPUTED_VALUE"""),"13/77 Thiên Thai")</f>
        <v>13/77 Thiên Thai</v>
      </c>
      <c r="D6266" s="119" t="str">
        <f>IFERROR(__xludf.DUMMYFUNCTION("""COMPUTED_VALUE"""),"Chó")</f>
        <v>Chó</v>
      </c>
      <c r="E6266" s="119" t="str">
        <f>IFERROR(__xludf.DUMMYFUNCTION("""COMPUTED_VALUE"""),"Lisa")</f>
        <v>Lisa</v>
      </c>
    </row>
    <row r="6267" ht="15.75" customHeight="1">
      <c r="A6267" s="122" t="str">
        <f>IFERROR(__xludf.DUMMYFUNCTION("""COMPUTED_VALUE"""),"0899 879 625")</f>
        <v>0899 879 625</v>
      </c>
      <c r="B6267" s="119" t="str">
        <f>IFERROR(__xludf.DUMMYFUNCTION("""COMPUTED_VALUE"""),"Em Ngọc Uyển")</f>
        <v>Em Ngọc Uyển</v>
      </c>
      <c r="C6267" s="119" t="str">
        <f>IFERROR(__xludf.DUMMYFUNCTION("""COMPUTED_VALUE"""),"Đặng huy trứ")</f>
        <v>Đặng huy trứ</v>
      </c>
      <c r="D6267" s="119" t="str">
        <f>IFERROR(__xludf.DUMMYFUNCTION("""COMPUTED_VALUE"""),"Mèo")</f>
        <v>Mèo</v>
      </c>
      <c r="E6267" s="119" t="str">
        <f>IFERROR(__xludf.DUMMYFUNCTION("""COMPUTED_VALUE"""),"Bò")</f>
        <v>Bò</v>
      </c>
    </row>
    <row r="6268" ht="15.75" customHeight="1">
      <c r="A6268" s="122" t="str">
        <f>IFERROR(__xludf.DUMMYFUNCTION("""COMPUTED_VALUE"""),"0905 579 393")</f>
        <v>0905 579 393</v>
      </c>
      <c r="B6268" s="119" t="str">
        <f>IFERROR(__xludf.DUMMYFUNCTION("""COMPUTED_VALUE"""),"Anh Đức")</f>
        <v>Anh Đức</v>
      </c>
      <c r="C6268" s="119" t="str">
        <f>IFERROR(__xludf.DUMMYFUNCTION("""COMPUTED_VALUE"""),"19/30 Đoàn Hữu Trưng")</f>
        <v>19/30 Đoàn Hữu Trưng</v>
      </c>
      <c r="D6268" s="119" t="str">
        <f>IFERROR(__xludf.DUMMYFUNCTION("""COMPUTED_VALUE"""),"Chó")</f>
        <v>Chó</v>
      </c>
      <c r="E6268" s="119" t="str">
        <f>IFERROR(__xludf.DUMMYFUNCTION("""COMPUTED_VALUE"""),"Bông")</f>
        <v>Bông</v>
      </c>
    </row>
    <row r="6269" ht="15.75" customHeight="1">
      <c r="A6269" s="122" t="str">
        <f>IFERROR(__xludf.DUMMYFUNCTION("""COMPUTED_VALUE"""),"0984 568 020")</f>
        <v>0984 568 020</v>
      </c>
      <c r="B6269" s="119" t="str">
        <f>IFERROR(__xludf.DUMMYFUNCTION("""COMPUTED_VALUE"""),"Anh Tài")</f>
        <v>Anh Tài</v>
      </c>
      <c r="C6269" s="119" t="str">
        <f>IFERROR(__xludf.DUMMYFUNCTION("""COMPUTED_VALUE"""),"Lộc bổn -Phú Lộc")</f>
        <v>Lộc bổn -Phú Lộc</v>
      </c>
      <c r="D6269" s="119" t="str">
        <f>IFERROR(__xludf.DUMMYFUNCTION("""COMPUTED_VALUE"""),"Mèo")</f>
        <v>Mèo</v>
      </c>
      <c r="E6269" s="119"/>
    </row>
    <row r="6270" ht="15.75" customHeight="1">
      <c r="A6270" s="122" t="str">
        <f>IFERROR(__xludf.DUMMYFUNCTION("""COMPUTED_VALUE"""),"0762 557 164")</f>
        <v>0762 557 164</v>
      </c>
      <c r="B6270" s="119" t="str">
        <f>IFERROR(__xludf.DUMMYFUNCTION("""COMPUTED_VALUE"""),"Anh Phú")</f>
        <v>Anh Phú</v>
      </c>
      <c r="C6270" s="119" t="str">
        <f>IFERROR(__xludf.DUMMYFUNCTION("""COMPUTED_VALUE"""),"210 phan Chu Trinh")</f>
        <v>210 phan Chu Trinh</v>
      </c>
      <c r="D6270" s="119" t="str">
        <f>IFERROR(__xludf.DUMMYFUNCTION("""COMPUTED_VALUE"""),"Mèo")</f>
        <v>Mèo</v>
      </c>
      <c r="E6270" s="119" t="str">
        <f>IFERROR(__xludf.DUMMYFUNCTION("""COMPUTED_VALUE"""),"Max")</f>
        <v>Max</v>
      </c>
    </row>
    <row r="6271" ht="15.75" customHeight="1">
      <c r="A6271" s="122" t="str">
        <f>IFERROR(__xludf.DUMMYFUNCTION("""COMPUTED_VALUE"""),"0942 434 903")</f>
        <v>0942 434 903</v>
      </c>
      <c r="B6271" s="119" t="str">
        <f>IFERROR(__xludf.DUMMYFUNCTION("""COMPUTED_VALUE"""),"Anh Vũ")</f>
        <v>Anh Vũ</v>
      </c>
      <c r="C6271" s="119" t="str">
        <f>IFERROR(__xludf.DUMMYFUNCTION("""COMPUTED_VALUE"""),"167/15 Nguyễn Lộ Trạch")</f>
        <v>167/15 Nguyễn Lộ Trạch</v>
      </c>
      <c r="D6271" s="119" t="str">
        <f>IFERROR(__xludf.DUMMYFUNCTION("""COMPUTED_VALUE"""),"Chó")</f>
        <v>Chó</v>
      </c>
      <c r="E6271" s="119" t="str">
        <f>IFERROR(__xludf.DUMMYFUNCTION("""COMPUTED_VALUE"""),"Sala")</f>
        <v>Sala</v>
      </c>
    </row>
    <row r="6272" ht="15.75" customHeight="1">
      <c r="A6272" s="122" t="str">
        <f>IFERROR(__xludf.DUMMYFUNCTION("""COMPUTED_VALUE"""),"0799 442 314")</f>
        <v>0799 442 314</v>
      </c>
      <c r="B6272" s="119" t="str">
        <f>IFERROR(__xludf.DUMMYFUNCTION("""COMPUTED_VALUE"""),"anh Hiếu")</f>
        <v>anh Hiếu</v>
      </c>
      <c r="C6272" s="119"/>
      <c r="D6272" s="119" t="str">
        <f>IFERROR(__xludf.DUMMYFUNCTION("""COMPUTED_VALUE"""),"Chó")</f>
        <v>Chó</v>
      </c>
      <c r="E6272" s="119"/>
    </row>
    <row r="6273" ht="15.75" customHeight="1">
      <c r="A6273" s="122" t="str">
        <f>IFERROR(__xludf.DUMMYFUNCTION("""COMPUTED_VALUE"""),"0832 569 125")</f>
        <v>0832 569 125</v>
      </c>
      <c r="B6273" s="119" t="str">
        <f>IFERROR(__xludf.DUMMYFUNCTION("""COMPUTED_VALUE"""),"Chị Quế linh")</f>
        <v>Chị Quế linh</v>
      </c>
      <c r="C6273" s="119" t="str">
        <f>IFERROR(__xludf.DUMMYFUNCTION("""COMPUTED_VALUE"""),"5/12 Đặng huy Trứ")</f>
        <v>5/12 Đặng huy Trứ</v>
      </c>
      <c r="D6273" s="119" t="str">
        <f>IFERROR(__xludf.DUMMYFUNCTION("""COMPUTED_VALUE"""),"Mèo")</f>
        <v>Mèo</v>
      </c>
      <c r="E6273" s="119" t="str">
        <f>IFERROR(__xludf.DUMMYFUNCTION("""COMPUTED_VALUE"""),"min")</f>
        <v>min</v>
      </c>
    </row>
    <row r="6274" ht="15.75" customHeight="1">
      <c r="A6274" s="122" t="str">
        <f>IFERROR(__xludf.DUMMYFUNCTION("""COMPUTED_VALUE"""),"0986 398 839")</f>
        <v>0986 398 839</v>
      </c>
      <c r="B6274" s="119" t="str">
        <f>IFERROR(__xludf.DUMMYFUNCTION("""COMPUTED_VALUE"""),"Lê thị Hoài Thu")</f>
        <v>Lê thị Hoài Thu</v>
      </c>
      <c r="C6274" s="119" t="str">
        <f>IFERROR(__xludf.DUMMYFUNCTION("""COMPUTED_VALUE"""),"234 Phan Chu Trinh")</f>
        <v>234 Phan Chu Trinh</v>
      </c>
      <c r="D6274" s="119" t="str">
        <f>IFERROR(__xludf.DUMMYFUNCTION("""COMPUTED_VALUE"""),"Mèo")</f>
        <v>Mèo</v>
      </c>
      <c r="E6274" s="119" t="str">
        <f>IFERROR(__xludf.DUMMYFUNCTION("""COMPUTED_VALUE"""),"Jerry")</f>
        <v>Jerry</v>
      </c>
    </row>
    <row r="6275" ht="15.75" customHeight="1">
      <c r="A6275" s="122" t="str">
        <f>IFERROR(__xludf.DUMMYFUNCTION("""COMPUTED_VALUE"""),"0899 879 932")</f>
        <v>0899 879 932</v>
      </c>
      <c r="B6275" s="119" t="str">
        <f>IFERROR(__xludf.DUMMYFUNCTION("""COMPUTED_VALUE"""),"Anh Nghĩa")</f>
        <v>Anh Nghĩa</v>
      </c>
      <c r="C6275" s="119" t="str">
        <f>IFERROR(__xludf.DUMMYFUNCTION("""COMPUTED_VALUE"""),"Duy Tân")</f>
        <v>Duy Tân</v>
      </c>
      <c r="D6275" s="119" t="str">
        <f>IFERROR(__xludf.DUMMYFUNCTION("""COMPUTED_VALUE"""),"Chó")</f>
        <v>Chó</v>
      </c>
      <c r="E6275" s="119" t="str">
        <f>IFERROR(__xludf.DUMMYFUNCTION("""COMPUTED_VALUE"""),"Midu")</f>
        <v>Midu</v>
      </c>
    </row>
    <row r="6276" ht="15.75" customHeight="1">
      <c r="A6276" s="122" t="str">
        <f>IFERROR(__xludf.DUMMYFUNCTION("""COMPUTED_VALUE"""),"0935 441 717")</f>
        <v>0935 441 717</v>
      </c>
      <c r="B6276" s="119" t="str">
        <f>IFERROR(__xludf.DUMMYFUNCTION("""COMPUTED_VALUE"""),"Chị Trinh")</f>
        <v>Chị Trinh</v>
      </c>
      <c r="C6276" s="119" t="str">
        <f>IFERROR(__xludf.DUMMYFUNCTION("""COMPUTED_VALUE"""),"35/165 Trần Phú")</f>
        <v>35/165 Trần Phú</v>
      </c>
      <c r="D6276" s="119" t="str">
        <f>IFERROR(__xludf.DUMMYFUNCTION("""COMPUTED_VALUE"""),"Chó")</f>
        <v>Chó</v>
      </c>
      <c r="E6276" s="119" t="str">
        <f>IFERROR(__xludf.DUMMYFUNCTION("""COMPUTED_VALUE"""),"Mon")</f>
        <v>Mon</v>
      </c>
    </row>
    <row r="6277" ht="15.75" customHeight="1">
      <c r="A6277" s="122" t="str">
        <f>IFERROR(__xludf.DUMMYFUNCTION("""COMPUTED_VALUE"""),"0355 867 190")</f>
        <v>0355 867 190</v>
      </c>
      <c r="B6277" s="119" t="str">
        <f>IFERROR(__xludf.DUMMYFUNCTION("""COMPUTED_VALUE"""),"anh Kiên")</f>
        <v>anh Kiên</v>
      </c>
      <c r="C6277" s="119" t="str">
        <f>IFERROR(__xludf.DUMMYFUNCTION("""COMPUTED_VALUE"""),"Trần Phú")</f>
        <v>Trần Phú</v>
      </c>
      <c r="D6277" s="119" t="str">
        <f>IFERROR(__xludf.DUMMYFUNCTION("""COMPUTED_VALUE"""),"Mèo")</f>
        <v>Mèo</v>
      </c>
      <c r="E6277" s="119" t="str">
        <f>IFERROR(__xludf.DUMMYFUNCTION("""COMPUTED_VALUE"""),"Bun")</f>
        <v>Bun</v>
      </c>
    </row>
    <row r="6278" ht="15.75" customHeight="1">
      <c r="A6278" s="122" t="str">
        <f>IFERROR(__xludf.DUMMYFUNCTION("""COMPUTED_VALUE"""),"0963 566 451")</f>
        <v>0963 566 451</v>
      </c>
      <c r="B6278" s="119" t="str">
        <f>IFERROR(__xludf.DUMMYFUNCTION("""COMPUTED_VALUE"""),"Em Thu Trang")</f>
        <v>Em Thu Trang</v>
      </c>
      <c r="C6278" s="119" t="str">
        <f>IFERROR(__xludf.DUMMYFUNCTION("""COMPUTED_VALUE"""),"k149 trần phú")</f>
        <v>k149 trần phú</v>
      </c>
      <c r="D6278" s="119" t="str">
        <f>IFERROR(__xludf.DUMMYFUNCTION("""COMPUTED_VALUE"""),"Mèo")</f>
        <v>Mèo</v>
      </c>
      <c r="E6278" s="119" t="str">
        <f>IFERROR(__xludf.DUMMYFUNCTION("""COMPUTED_VALUE"""),"jully")</f>
        <v>jully</v>
      </c>
    </row>
    <row r="6279" ht="15.75" customHeight="1">
      <c r="A6279" s="122" t="str">
        <f>IFERROR(__xludf.DUMMYFUNCTION("""COMPUTED_VALUE"""),"0914 172 036")</f>
        <v>0914 172 036</v>
      </c>
      <c r="B6279" s="119" t="str">
        <f>IFERROR(__xludf.DUMMYFUNCTION("""COMPUTED_VALUE"""),"Chú Lương Công Bổn")</f>
        <v>Chú Lương Công Bổn</v>
      </c>
      <c r="C6279" s="119" t="str">
        <f>IFERROR(__xludf.DUMMYFUNCTION("""COMPUTED_VALUE"""),"24/149 Trần Phú")</f>
        <v>24/149 Trần Phú</v>
      </c>
      <c r="D6279" s="119" t="str">
        <f>IFERROR(__xludf.DUMMYFUNCTION("""COMPUTED_VALUE"""),"Chó")</f>
        <v>Chó</v>
      </c>
      <c r="E6279" s="119" t="str">
        <f>IFERROR(__xludf.DUMMYFUNCTION("""COMPUTED_VALUE"""),"Lắc")</f>
        <v>Lắc</v>
      </c>
    </row>
    <row r="6280" ht="15.75" customHeight="1">
      <c r="A6280" s="122" t="str">
        <f>IFERROR(__xludf.DUMMYFUNCTION("""COMPUTED_VALUE"""),"0977 657 273")</f>
        <v>0977 657 273</v>
      </c>
      <c r="B6280" s="119" t="str">
        <f>IFERROR(__xludf.DUMMYFUNCTION("""COMPUTED_VALUE"""),"Anh Hải")</f>
        <v>Anh Hải</v>
      </c>
      <c r="C6280" s="119" t="str">
        <f>IFERROR(__xludf.DUMMYFUNCTION("""COMPUTED_VALUE"""),"22/22 Hàm Nghi")</f>
        <v>22/22 Hàm Nghi</v>
      </c>
      <c r="D6280" s="119" t="str">
        <f>IFERROR(__xludf.DUMMYFUNCTION("""COMPUTED_VALUE"""),"Chó")</f>
        <v>Chó</v>
      </c>
      <c r="E6280" s="119" t="str">
        <f>IFERROR(__xludf.DUMMYFUNCTION("""COMPUTED_VALUE"""),"Mực")</f>
        <v>Mực</v>
      </c>
    </row>
    <row r="6281" ht="15.75" customHeight="1">
      <c r="A6281" s="122" t="str">
        <f>IFERROR(__xludf.DUMMYFUNCTION("""COMPUTED_VALUE"""),"0984 821 115")</f>
        <v>0984 821 115</v>
      </c>
      <c r="B6281" s="119" t="str">
        <f>IFERROR(__xludf.DUMMYFUNCTION("""COMPUTED_VALUE"""),"chị Phương")</f>
        <v>chị Phương</v>
      </c>
      <c r="C6281" s="119" t="str">
        <f>IFERROR(__xludf.DUMMYFUNCTION("""COMPUTED_VALUE"""),"Phú Vang")</f>
        <v>Phú Vang</v>
      </c>
      <c r="D6281" s="119" t="str">
        <f>IFERROR(__xludf.DUMMYFUNCTION("""COMPUTED_VALUE"""),"Chó")</f>
        <v>Chó</v>
      </c>
      <c r="E6281" s="119" t="str">
        <f>IFERROR(__xludf.DUMMYFUNCTION("""COMPUTED_VALUE"""),"Bo")</f>
        <v>Bo</v>
      </c>
    </row>
    <row r="6282" ht="15.75" customHeight="1">
      <c r="A6282" s="122" t="str">
        <f>IFERROR(__xludf.DUMMYFUNCTION("""COMPUTED_VALUE"""),"0935 662 546")</f>
        <v>0935 662 546</v>
      </c>
      <c r="B6282" s="119" t="str">
        <f>IFERROR(__xludf.DUMMYFUNCTION("""COMPUTED_VALUE"""),"chị Hạnh")</f>
        <v>chị Hạnh</v>
      </c>
      <c r="C6282" s="119" t="str">
        <f>IFERROR(__xludf.DUMMYFUNCTION("""COMPUTED_VALUE"""),"105 Trần Phú")</f>
        <v>105 Trần Phú</v>
      </c>
      <c r="D6282" s="119" t="str">
        <f>IFERROR(__xludf.DUMMYFUNCTION("""COMPUTED_VALUE"""),"Chó")</f>
        <v>Chó</v>
      </c>
      <c r="E6282" s="119" t="str">
        <f>IFERROR(__xludf.DUMMYFUNCTION("""COMPUTED_VALUE"""),"Huda")</f>
        <v>Huda</v>
      </c>
    </row>
    <row r="6283" ht="15.75" customHeight="1">
      <c r="A6283" s="122" t="str">
        <f>IFERROR(__xludf.DUMMYFUNCTION("""COMPUTED_VALUE"""),"0931 930 896")</f>
        <v>0931 930 896</v>
      </c>
      <c r="B6283" s="119" t="str">
        <f>IFERROR(__xludf.DUMMYFUNCTION("""COMPUTED_VALUE"""),"Anh Thành")</f>
        <v>Anh Thành</v>
      </c>
      <c r="C6283" s="119" t="str">
        <f>IFERROR(__xludf.DUMMYFUNCTION("""COMPUTED_VALUE"""),"5/9 Nam Giao")</f>
        <v>5/9 Nam Giao</v>
      </c>
      <c r="D6283" s="119" t="str">
        <f>IFERROR(__xludf.DUMMYFUNCTION("""COMPUTED_VALUE"""),"Chó")</f>
        <v>Chó</v>
      </c>
      <c r="E6283" s="119"/>
    </row>
    <row r="6284" ht="15.75" customHeight="1">
      <c r="A6284" s="122" t="str">
        <f>IFERROR(__xludf.DUMMYFUNCTION("""COMPUTED_VALUE"""),"0794 226 648")</f>
        <v>0794 226 648</v>
      </c>
      <c r="B6284" s="119" t="str">
        <f>IFERROR(__xludf.DUMMYFUNCTION("""COMPUTED_VALUE"""),"Nguyễn Khoa Diệu Hiền")</f>
        <v>Nguyễn Khoa Diệu Hiền</v>
      </c>
      <c r="C6284" s="119" t="str">
        <f>IFERROR(__xludf.DUMMYFUNCTION("""COMPUTED_VALUE"""),"115a An Dương Vương")</f>
        <v>115a An Dương Vương</v>
      </c>
      <c r="D6284" s="119" t="str">
        <f>IFERROR(__xludf.DUMMYFUNCTION("""COMPUTED_VALUE"""),"Mèo")</f>
        <v>Mèo</v>
      </c>
      <c r="E6284" s="119" t="str">
        <f>IFERROR(__xludf.DUMMYFUNCTION("""COMPUTED_VALUE"""),"Min")</f>
        <v>Min</v>
      </c>
    </row>
    <row r="6285" ht="15.75" customHeight="1">
      <c r="A6285" s="122" t="str">
        <f>IFERROR(__xludf.DUMMYFUNCTION("""COMPUTED_VALUE"""),"0935 620 257")</f>
        <v>0935 620 257</v>
      </c>
      <c r="B6285" s="119" t="str">
        <f>IFERROR(__xludf.DUMMYFUNCTION("""COMPUTED_VALUE"""),"Chị Trung")</f>
        <v>Chị Trung</v>
      </c>
      <c r="C6285" s="119" t="str">
        <f>IFERROR(__xludf.DUMMYFUNCTION("""COMPUTED_VALUE"""),"98/82 Quảng Tế")</f>
        <v>98/82 Quảng Tế</v>
      </c>
      <c r="D6285" s="119" t="str">
        <f>IFERROR(__xludf.DUMMYFUNCTION("""COMPUTED_VALUE"""),"mèo")</f>
        <v>mèo</v>
      </c>
      <c r="E6285" s="119" t="str">
        <f>IFERROR(__xludf.DUMMYFUNCTION("""COMPUTED_VALUE"""),"Bắp")</f>
        <v>Bắp</v>
      </c>
    </row>
    <row r="6286" ht="15.75" customHeight="1">
      <c r="A6286" s="122" t="str">
        <f>IFERROR(__xludf.DUMMYFUNCTION("""COMPUTED_VALUE"""),"0833 486 203")</f>
        <v>0833 486 203</v>
      </c>
      <c r="B6286" s="119" t="str">
        <f>IFERROR(__xludf.DUMMYFUNCTION("""COMPUTED_VALUE"""),"Hiếu Ly")</f>
        <v>Hiếu Ly</v>
      </c>
      <c r="C6286" s="119" t="str">
        <f>IFERROR(__xludf.DUMMYFUNCTION("""COMPUTED_VALUE"""),"Kim Sơn")</f>
        <v>Kim Sơn</v>
      </c>
      <c r="D6286" s="119" t="str">
        <f>IFERROR(__xludf.DUMMYFUNCTION("""COMPUTED_VALUE"""),"Chó")</f>
        <v>Chó</v>
      </c>
      <c r="E6286" s="119" t="str">
        <f>IFERROR(__xludf.DUMMYFUNCTION("""COMPUTED_VALUE"""),"Vịt")</f>
        <v>Vịt</v>
      </c>
    </row>
    <row r="6287" ht="15.75" customHeight="1">
      <c r="A6287" s="122" t="str">
        <f>IFERROR(__xludf.DUMMYFUNCTION("""COMPUTED_VALUE"""),"0934 717 032")</f>
        <v>0934 717 032</v>
      </c>
      <c r="B6287" s="119" t="str">
        <f>IFERROR(__xludf.DUMMYFUNCTION("""COMPUTED_VALUE"""),"Chị Bùi Thị Ngọc Lan")</f>
        <v>Chị Bùi Thị Ngọc Lan</v>
      </c>
      <c r="C6287" s="119" t="str">
        <f>IFERROR(__xludf.DUMMYFUNCTION("""COMPUTED_VALUE"""),"Tổ 2 109 Minh Mạn")</f>
        <v>Tổ 2 109 Minh Mạn</v>
      </c>
      <c r="D6287" s="119" t="str">
        <f>IFERROR(__xludf.DUMMYFUNCTION("""COMPUTED_VALUE"""),"Chó")</f>
        <v>Chó</v>
      </c>
      <c r="E6287" s="119" t="str">
        <f>IFERROR(__xludf.DUMMYFUNCTION("""COMPUTED_VALUE"""),"Cua")</f>
        <v>Cua</v>
      </c>
    </row>
    <row r="6288" ht="15.75" customHeight="1">
      <c r="A6288" s="122" t="str">
        <f>IFERROR(__xludf.DUMMYFUNCTION("""COMPUTED_VALUE"""),"0796 723 996")</f>
        <v>0796 723 996</v>
      </c>
      <c r="B6288" s="119" t="str">
        <f>IFERROR(__xludf.DUMMYFUNCTION("""COMPUTED_VALUE"""),"Anh Sơn")</f>
        <v>Anh Sơn</v>
      </c>
      <c r="C6288" s="119" t="str">
        <f>IFERROR(__xludf.DUMMYFUNCTION("""COMPUTED_VALUE"""),"Kiệt 53 Nguyễn Huệ")</f>
        <v>Kiệt 53 Nguyễn Huệ</v>
      </c>
      <c r="D6288" s="119" t="str">
        <f>IFERROR(__xludf.DUMMYFUNCTION("""COMPUTED_VALUE"""),"Chó")</f>
        <v>Chó</v>
      </c>
      <c r="E6288" s="119"/>
    </row>
    <row r="6289" ht="15.75" customHeight="1">
      <c r="A6289" s="122" t="str">
        <f>IFERROR(__xludf.DUMMYFUNCTION("""COMPUTED_VALUE"""),"0935 757 111")</f>
        <v>0935 757 111</v>
      </c>
      <c r="B6289" s="119" t="str">
        <f>IFERROR(__xludf.DUMMYFUNCTION("""COMPUTED_VALUE"""),"Chị Tường")</f>
        <v>Chị Tường</v>
      </c>
      <c r="C6289" s="119" t="str">
        <f>IFERROR(__xludf.DUMMYFUNCTION("""COMPUTED_VALUE"""),"10 Quảng Tế")</f>
        <v>10 Quảng Tế</v>
      </c>
      <c r="D6289" s="119" t="str">
        <f>IFERROR(__xludf.DUMMYFUNCTION("""COMPUTED_VALUE"""),"Mèo")</f>
        <v>Mèo</v>
      </c>
      <c r="E6289" s="119" t="str">
        <f>IFERROR(__xludf.DUMMYFUNCTION("""COMPUTED_VALUE"""),"chó")</f>
        <v>chó</v>
      </c>
    </row>
    <row r="6290" ht="15.75" customHeight="1">
      <c r="A6290" s="122" t="str">
        <f>IFERROR(__xludf.DUMMYFUNCTION("""COMPUTED_VALUE"""),"0935 342 228")</f>
        <v>0935 342 228</v>
      </c>
      <c r="B6290" s="119" t="str">
        <f>IFERROR(__xludf.DUMMYFUNCTION("""COMPUTED_VALUE"""),"Chị Linh")</f>
        <v>Chị Linh</v>
      </c>
      <c r="C6290" s="119" t="str">
        <f>IFERROR(__xludf.DUMMYFUNCTION("""COMPUTED_VALUE"""),"2/27 Trần Phú")</f>
        <v>2/27 Trần Phú</v>
      </c>
      <c r="D6290" s="119" t="str">
        <f>IFERROR(__xludf.DUMMYFUNCTION("""COMPUTED_VALUE"""),"Mèo")</f>
        <v>Mèo</v>
      </c>
      <c r="E6290" s="119" t="str">
        <f>IFERROR(__xludf.DUMMYFUNCTION("""COMPUTED_VALUE"""),"vàng")</f>
        <v>vàng</v>
      </c>
    </row>
    <row r="6291" ht="15.75" customHeight="1">
      <c r="A6291" s="122" t="str">
        <f>IFERROR(__xludf.DUMMYFUNCTION("""COMPUTED_VALUE"""),"0948 547 267")</f>
        <v>0948 547 267</v>
      </c>
      <c r="B6291" s="119" t="str">
        <f>IFERROR(__xludf.DUMMYFUNCTION("""COMPUTED_VALUE"""),"Dì Hường")</f>
        <v>Dì Hường</v>
      </c>
      <c r="C6291" s="119" t="str">
        <f>IFERROR(__xludf.DUMMYFUNCTION("""COMPUTED_VALUE"""),"153 Trần Phú")</f>
        <v>153 Trần Phú</v>
      </c>
      <c r="D6291" s="119" t="str">
        <f>IFERROR(__xludf.DUMMYFUNCTION("""COMPUTED_VALUE"""),"Chó")</f>
        <v>Chó</v>
      </c>
      <c r="E6291" s="119" t="str">
        <f>IFERROR(__xludf.DUMMYFUNCTION("""COMPUTED_VALUE"""),"Mun")</f>
        <v>Mun</v>
      </c>
    </row>
    <row r="6292" ht="15.75" customHeight="1">
      <c r="A6292" s="122" t="str">
        <f>IFERROR(__xludf.DUMMYFUNCTION("""COMPUTED_VALUE"""),"0835 910 001")</f>
        <v>0835 910 001</v>
      </c>
      <c r="B6292" s="119" t="str">
        <f>IFERROR(__xludf.DUMMYFUNCTION("""COMPUTED_VALUE"""),"Đặng Thị Thanh Thúy")</f>
        <v>Đặng Thị Thanh Thúy</v>
      </c>
      <c r="C6292" s="119" t="str">
        <f>IFERROR(__xludf.DUMMYFUNCTION("""COMPUTED_VALUE"""),"Quảng Tế")</f>
        <v>Quảng Tế</v>
      </c>
      <c r="D6292" s="119" t="str">
        <f>IFERROR(__xludf.DUMMYFUNCTION("""COMPUTED_VALUE"""),"Chó")</f>
        <v>Chó</v>
      </c>
      <c r="E6292" s="119" t="str">
        <f>IFERROR(__xludf.DUMMYFUNCTION("""COMPUTED_VALUE"""),"Bom")</f>
        <v>Bom</v>
      </c>
    </row>
    <row r="6293" ht="15.75" customHeight="1">
      <c r="A6293" s="122" t="str">
        <f>IFERROR(__xludf.DUMMYFUNCTION("""COMPUTED_VALUE"""),"0935 660 777")</f>
        <v>0935 660 777</v>
      </c>
      <c r="B6293" s="119" t="str">
        <f>IFERROR(__xludf.DUMMYFUNCTION("""COMPUTED_VALUE"""),"Chị Thanh Tâm")</f>
        <v>Chị Thanh Tâm</v>
      </c>
      <c r="C6293" s="119" t="str">
        <f>IFERROR(__xludf.DUMMYFUNCTION("""COMPUTED_VALUE"""),"k131 Trần Phú")</f>
        <v>k131 Trần Phú</v>
      </c>
      <c r="D6293" s="119" t="str">
        <f>IFERROR(__xludf.DUMMYFUNCTION("""COMPUTED_VALUE"""),"Chó")</f>
        <v>Chó</v>
      </c>
      <c r="E6293" s="119" t="str">
        <f>IFERROR(__xludf.DUMMYFUNCTION("""COMPUTED_VALUE"""),"trắng")</f>
        <v>trắng</v>
      </c>
    </row>
    <row r="6294" ht="15.75" customHeight="1">
      <c r="A6294" s="122" t="str">
        <f>IFERROR(__xludf.DUMMYFUNCTION("""COMPUTED_VALUE"""),"0914 399 513")</f>
        <v>0914 399 513</v>
      </c>
      <c r="B6294" s="119" t="str">
        <f>IFERROR(__xludf.DUMMYFUNCTION("""COMPUTED_VALUE"""),"Hà Xuân Như Ý")</f>
        <v>Hà Xuân Như Ý</v>
      </c>
      <c r="C6294" s="119" t="str">
        <f>IFERROR(__xludf.DUMMYFUNCTION("""COMPUTED_VALUE"""),"6/13 Đặng Huy Trứ")</f>
        <v>6/13 Đặng Huy Trứ</v>
      </c>
      <c r="D6294" s="119" t="str">
        <f>IFERROR(__xludf.DUMMYFUNCTION("""COMPUTED_VALUE"""),"Chó")</f>
        <v>Chó</v>
      </c>
      <c r="E6294" s="119" t="str">
        <f>IFERROR(__xludf.DUMMYFUNCTION("""COMPUTED_VALUE"""),"Xù")</f>
        <v>Xù</v>
      </c>
    </row>
    <row r="6295" ht="15.75" customHeight="1">
      <c r="A6295" s="122" t="str">
        <f>IFERROR(__xludf.DUMMYFUNCTION("""COMPUTED_VALUE"""),"0981 494 298")</f>
        <v>0981 494 298</v>
      </c>
      <c r="B6295" s="119" t="str">
        <f>IFERROR(__xludf.DUMMYFUNCTION("""COMPUTED_VALUE"""),"Chị Duyên")</f>
        <v>Chị Duyên</v>
      </c>
      <c r="C6295" s="119" t="str">
        <f>IFERROR(__xludf.DUMMYFUNCTION("""COMPUTED_VALUE"""),"Phong Điền- Thừa Thiên Huế")</f>
        <v>Phong Điền- Thừa Thiên Huế</v>
      </c>
      <c r="D6295" s="119" t="str">
        <f>IFERROR(__xludf.DUMMYFUNCTION("""COMPUTED_VALUE"""),"Mèo")</f>
        <v>Mèo</v>
      </c>
      <c r="E6295" s="119" t="str">
        <f>IFERROR(__xludf.DUMMYFUNCTION("""COMPUTED_VALUE"""),"Cam")</f>
        <v>Cam</v>
      </c>
    </row>
    <row r="6296" ht="15.75" customHeight="1">
      <c r="A6296" s="122" t="str">
        <f>IFERROR(__xludf.DUMMYFUNCTION("""COMPUTED_VALUE"""),"0909 552 621")</f>
        <v>0909 552 621</v>
      </c>
      <c r="B6296" s="119" t="str">
        <f>IFERROR(__xludf.DUMMYFUNCTION("""COMPUTED_VALUE"""),"Chị Hà")</f>
        <v>Chị Hà</v>
      </c>
      <c r="C6296" s="119" t="str">
        <f>IFERROR(__xludf.DUMMYFUNCTION("""COMPUTED_VALUE"""),"Phú Hiệp")</f>
        <v>Phú Hiệp</v>
      </c>
      <c r="D6296" s="119" t="str">
        <f>IFERROR(__xludf.DUMMYFUNCTION("""COMPUTED_VALUE"""),"Chó")</f>
        <v>Chó</v>
      </c>
      <c r="E6296" s="119" t="str">
        <f>IFERROR(__xludf.DUMMYFUNCTION("""COMPUTED_VALUE"""),"Coca")</f>
        <v>Coca</v>
      </c>
    </row>
    <row r="6297" ht="15.75" customHeight="1">
      <c r="A6297" s="122" t="str">
        <f>IFERROR(__xludf.DUMMYFUNCTION("""COMPUTED_VALUE"""),"0935 801 155")</f>
        <v>0935 801 155</v>
      </c>
      <c r="B6297" s="119" t="str">
        <f>IFERROR(__xludf.DUMMYFUNCTION("""COMPUTED_VALUE"""),"Chị Thúy Liễu")</f>
        <v>Chị Thúy Liễu</v>
      </c>
      <c r="C6297" s="119" t="str">
        <f>IFERROR(__xludf.DUMMYFUNCTION("""COMPUTED_VALUE"""),"13/20 Trần Quang Khải")</f>
        <v>13/20 Trần Quang Khải</v>
      </c>
      <c r="D6297" s="119" t="str">
        <f>IFERROR(__xludf.DUMMYFUNCTION("""COMPUTED_VALUE"""),"Chó")</f>
        <v>Chó</v>
      </c>
      <c r="E6297" s="119" t="str">
        <f>IFERROR(__xludf.DUMMYFUNCTION("""COMPUTED_VALUE"""),"Bánh Gạo")</f>
        <v>Bánh Gạo</v>
      </c>
    </row>
    <row r="6298" ht="15.75" customHeight="1">
      <c r="A6298" s="122" t="str">
        <f>IFERROR(__xludf.DUMMYFUNCTION("""COMPUTED_VALUE"""),"0935 156 305")</f>
        <v>0935 156 305</v>
      </c>
      <c r="B6298" s="119" t="str">
        <f>IFERROR(__xludf.DUMMYFUNCTION("""COMPUTED_VALUE"""),"Anh Lê Nam")</f>
        <v>Anh Lê Nam</v>
      </c>
      <c r="C6298" s="119" t="str">
        <f>IFERROR(__xludf.DUMMYFUNCTION("""COMPUTED_VALUE"""),"Phường Thuye Xuân")</f>
        <v>Phường Thuye Xuân</v>
      </c>
      <c r="D6298" s="119" t="str">
        <f>IFERROR(__xludf.DUMMYFUNCTION("""COMPUTED_VALUE"""),"Chó")</f>
        <v>Chó</v>
      </c>
      <c r="E6298" s="119" t="str">
        <f>IFERROR(__xludf.DUMMYFUNCTION("""COMPUTED_VALUE"""),"Tây")</f>
        <v>Tây</v>
      </c>
    </row>
    <row r="6299" ht="15.75" customHeight="1">
      <c r="A6299" s="122" t="str">
        <f>IFERROR(__xludf.DUMMYFUNCTION("""COMPUTED_VALUE"""),"0911 350 213")</f>
        <v>0911 350 213</v>
      </c>
      <c r="B6299" s="119" t="str">
        <f>IFERROR(__xludf.DUMMYFUNCTION("""COMPUTED_VALUE"""),"Dì Trần Thị Thu Minh")</f>
        <v>Dì Trần Thị Thu Minh</v>
      </c>
      <c r="C6299" s="119" t="str">
        <f>IFERROR(__xludf.DUMMYFUNCTION("""COMPUTED_VALUE"""),"52A Dương Thiệu Tước")</f>
        <v>52A Dương Thiệu Tước</v>
      </c>
      <c r="D6299" s="119" t="str">
        <f>IFERROR(__xludf.DUMMYFUNCTION("""COMPUTED_VALUE"""),"Chó")</f>
        <v>Chó</v>
      </c>
      <c r="E6299" s="119" t="str">
        <f>IFERROR(__xludf.DUMMYFUNCTION("""COMPUTED_VALUE"""),"Gạo")</f>
        <v>Gạo</v>
      </c>
    </row>
    <row r="6300" ht="15.75" customHeight="1">
      <c r="A6300" s="122" t="str">
        <f>IFERROR(__xludf.DUMMYFUNCTION("""COMPUTED_VALUE"""),"0702 553 549")</f>
        <v>0702 553 549</v>
      </c>
      <c r="B6300" s="119" t="str">
        <f>IFERROR(__xludf.DUMMYFUNCTION("""COMPUTED_VALUE"""),"Chị Dung")</f>
        <v>Chị Dung</v>
      </c>
      <c r="C6300" s="119" t="str">
        <f>IFERROR(__xludf.DUMMYFUNCTION("""COMPUTED_VALUE"""),"1/4/53 Đào Tấn")</f>
        <v>1/4/53 Đào Tấn</v>
      </c>
      <c r="D6300" s="119" t="str">
        <f>IFERROR(__xludf.DUMMYFUNCTION("""COMPUTED_VALUE"""),"Chó")</f>
        <v>Chó</v>
      </c>
      <c r="E6300" s="119" t="str">
        <f>IFERROR(__xludf.DUMMYFUNCTION("""COMPUTED_VALUE"""),"Mun")</f>
        <v>Mun</v>
      </c>
    </row>
    <row r="6301" ht="15.75" customHeight="1">
      <c r="A6301" s="122" t="str">
        <f>IFERROR(__xludf.DUMMYFUNCTION("""COMPUTED_VALUE"""),"0359 766 389")</f>
        <v>0359 766 389</v>
      </c>
      <c r="B6301" s="119" t="str">
        <f>IFERROR(__xludf.DUMMYFUNCTION("""COMPUTED_VALUE"""),"Em Diệu")</f>
        <v>Em Diệu</v>
      </c>
      <c r="C6301" s="119" t="str">
        <f>IFERROR(__xludf.DUMMYFUNCTION("""COMPUTED_VALUE"""),"5/6 Hàm Nghi")</f>
        <v>5/6 Hàm Nghi</v>
      </c>
      <c r="D6301" s="119" t="str">
        <f>IFERROR(__xludf.DUMMYFUNCTION("""COMPUTED_VALUE"""),"Chuột")</f>
        <v>Chuột</v>
      </c>
      <c r="E6301" s="119"/>
    </row>
    <row r="6302" ht="15.75" customHeight="1">
      <c r="A6302" s="122" t="str">
        <f>IFERROR(__xludf.DUMMYFUNCTION("""COMPUTED_VALUE"""),"0773 506 404")</f>
        <v>0773 506 404</v>
      </c>
      <c r="B6302" s="119" t="str">
        <f>IFERROR(__xludf.DUMMYFUNCTION("""COMPUTED_VALUE"""),"Anh Tý")</f>
        <v>Anh Tý</v>
      </c>
      <c r="C6302" s="119" t="str">
        <f>IFERROR(__xludf.DUMMYFUNCTION("""COMPUTED_VALUE"""),"8/4/53 Đào Tấn")</f>
        <v>8/4/53 Đào Tấn</v>
      </c>
      <c r="D6302" s="119" t="str">
        <f>IFERROR(__xludf.DUMMYFUNCTION("""COMPUTED_VALUE"""),"Chó")</f>
        <v>Chó</v>
      </c>
      <c r="E6302" s="119" t="str">
        <f>IFERROR(__xludf.DUMMYFUNCTION("""COMPUTED_VALUE"""),"Bi")</f>
        <v>Bi</v>
      </c>
    </row>
    <row r="6303" ht="15.75" customHeight="1">
      <c r="A6303" s="122" t="str">
        <f>IFERROR(__xludf.DUMMYFUNCTION("""COMPUTED_VALUE"""),"0946 393 808")</f>
        <v>0946 393 808</v>
      </c>
      <c r="B6303" s="119" t="str">
        <f>IFERROR(__xludf.DUMMYFUNCTION("""COMPUTED_VALUE"""),"Anh Tuấn Anh")</f>
        <v>Anh Tuấn Anh</v>
      </c>
      <c r="C6303" s="119" t="str">
        <f>IFERROR(__xludf.DUMMYFUNCTION("""COMPUTED_VALUE"""),"22 Chế Lan Viên")</f>
        <v>22 Chế Lan Viên</v>
      </c>
      <c r="D6303" s="119" t="str">
        <f>IFERROR(__xludf.DUMMYFUNCTION("""COMPUTED_VALUE"""),"Chó")</f>
        <v>Chó</v>
      </c>
      <c r="E6303" s="119" t="str">
        <f>IFERROR(__xludf.DUMMYFUNCTION("""COMPUTED_VALUE"""),"Nâu")</f>
        <v>Nâu</v>
      </c>
    </row>
    <row r="6304" ht="15.75" customHeight="1">
      <c r="A6304" s="122" t="str">
        <f>IFERROR(__xludf.DUMMYFUNCTION("""COMPUTED_VALUE"""),"0764 757 575")</f>
        <v>0764 757 575</v>
      </c>
      <c r="B6304" s="119" t="str">
        <f>IFERROR(__xludf.DUMMYFUNCTION("""COMPUTED_VALUE"""),"Mai Hoài Thu")</f>
        <v>Mai Hoài Thu</v>
      </c>
      <c r="C6304" s="119" t="str">
        <f>IFERROR(__xludf.DUMMYFUNCTION("""COMPUTED_VALUE"""),"62 Tố Hữu")</f>
        <v>62 Tố Hữu</v>
      </c>
      <c r="D6304" s="119" t="str">
        <f>IFERROR(__xludf.DUMMYFUNCTION("""COMPUTED_VALUE"""),"Mèo")</f>
        <v>Mèo</v>
      </c>
      <c r="E6304" s="119" t="str">
        <f>IFERROR(__xludf.DUMMYFUNCTION("""COMPUTED_VALUE"""),"Xám")</f>
        <v>Xám</v>
      </c>
    </row>
    <row r="6305" ht="15.75" customHeight="1">
      <c r="A6305" s="122" t="str">
        <f>IFERROR(__xludf.DUMMYFUNCTION("""COMPUTED_VALUE"""),"0777 474 088")</f>
        <v>0777 474 088</v>
      </c>
      <c r="B6305" s="119" t="str">
        <f>IFERROR(__xludf.DUMMYFUNCTION("""COMPUTED_VALUE"""),"Anh Tá")</f>
        <v>Anh Tá</v>
      </c>
      <c r="C6305" s="119" t="str">
        <f>IFERROR(__xludf.DUMMYFUNCTION("""COMPUTED_VALUE"""),"24 Lương Văn Can")</f>
        <v>24 Lương Văn Can</v>
      </c>
      <c r="D6305" s="119" t="str">
        <f>IFERROR(__xludf.DUMMYFUNCTION("""COMPUTED_VALUE"""),"Chó")</f>
        <v>Chó</v>
      </c>
      <c r="E6305" s="119" t="str">
        <f>IFERROR(__xludf.DUMMYFUNCTION("""COMPUTED_VALUE"""),"Vàng")</f>
        <v>Vàng</v>
      </c>
    </row>
    <row r="6306" ht="15.75" customHeight="1">
      <c r="A6306" s="122" t="str">
        <f>IFERROR(__xludf.DUMMYFUNCTION("""COMPUTED_VALUE"""),"0911 350 060")</f>
        <v>0911 350 060</v>
      </c>
      <c r="B6306" s="119" t="str">
        <f>IFERROR(__xludf.DUMMYFUNCTION("""COMPUTED_VALUE"""),"Anh tý")</f>
        <v>Anh tý</v>
      </c>
      <c r="C6306" s="119" t="str">
        <f>IFERROR(__xludf.DUMMYFUNCTION("""COMPUTED_VALUE"""),"Đào Tấn")</f>
        <v>Đào Tấn</v>
      </c>
      <c r="D6306" s="119" t="str">
        <f>IFERROR(__xludf.DUMMYFUNCTION("""COMPUTED_VALUE"""),"Mèo")</f>
        <v>Mèo</v>
      </c>
      <c r="E6306" s="119" t="str">
        <f>IFERROR(__xludf.DUMMYFUNCTION("""COMPUTED_VALUE"""),"Sam")</f>
        <v>Sam</v>
      </c>
    </row>
    <row r="6307" ht="15.75" customHeight="1">
      <c r="A6307" s="122" t="str">
        <f>IFERROR(__xludf.DUMMYFUNCTION("""COMPUTED_VALUE"""),"0914 145 164")</f>
        <v>0914 145 164</v>
      </c>
      <c r="B6307" s="119" t="str">
        <f>IFERROR(__xludf.DUMMYFUNCTION("""COMPUTED_VALUE"""),"Chú Trần Đình Hùng")</f>
        <v>Chú Trần Đình Hùng</v>
      </c>
      <c r="C6307" s="119" t="str">
        <f>IFERROR(__xludf.DUMMYFUNCTION("""COMPUTED_VALUE"""),"26/6 Tôn Thất Tùng")</f>
        <v>26/6 Tôn Thất Tùng</v>
      </c>
      <c r="D6307" s="119" t="str">
        <f>IFERROR(__xludf.DUMMYFUNCTION("""COMPUTED_VALUE"""),"Chó")</f>
        <v>Chó</v>
      </c>
      <c r="E6307" s="119"/>
    </row>
    <row r="6308" ht="15.75" customHeight="1">
      <c r="A6308" s="122" t="str">
        <f>IFERROR(__xludf.DUMMYFUNCTION("""COMPUTED_VALUE"""),"0905 654 303")</f>
        <v>0905 654 303</v>
      </c>
      <c r="B6308" s="119" t="str">
        <f>IFERROR(__xludf.DUMMYFUNCTION("""COMPUTED_VALUE"""),"Em Nhi")</f>
        <v>Em Nhi</v>
      </c>
      <c r="C6308" s="119" t="str">
        <f>IFERROR(__xludf.DUMMYFUNCTION("""COMPUTED_VALUE"""),"51 Minh Mạng")</f>
        <v>51 Minh Mạng</v>
      </c>
      <c r="D6308" s="119" t="str">
        <f>IFERROR(__xludf.DUMMYFUNCTION("""COMPUTED_VALUE"""),"mèo")</f>
        <v>mèo</v>
      </c>
      <c r="E6308" s="119" t="str">
        <f>IFERROR(__xludf.DUMMYFUNCTION("""COMPUTED_VALUE"""),"Bin")</f>
        <v>Bin</v>
      </c>
    </row>
    <row r="6309" ht="15.75" customHeight="1">
      <c r="A6309" s="122" t="str">
        <f>IFERROR(__xludf.DUMMYFUNCTION("""COMPUTED_VALUE"""),"0918 100 046")</f>
        <v>0918 100 046</v>
      </c>
      <c r="B6309" s="119" t="str">
        <f>IFERROR(__xludf.DUMMYFUNCTION("""COMPUTED_VALUE"""),"Chị Anh")</f>
        <v>Chị Anh</v>
      </c>
      <c r="C6309" s="119" t="str">
        <f>IFERROR(__xludf.DUMMYFUNCTION("""COMPUTED_VALUE"""),"85 A kiệt 131 Trần Phú")</f>
        <v>85 A kiệt 131 Trần Phú</v>
      </c>
      <c r="D6309" s="119" t="str">
        <f>IFERROR(__xludf.DUMMYFUNCTION("""COMPUTED_VALUE"""),"Mèo")</f>
        <v>Mèo</v>
      </c>
      <c r="E6309" s="119"/>
    </row>
    <row r="6310" ht="15.75" customHeight="1">
      <c r="A6310" s="122" t="str">
        <f>IFERROR(__xludf.DUMMYFUNCTION("""COMPUTED_VALUE"""),"0905 661 318")</f>
        <v>0905 661 318</v>
      </c>
      <c r="B6310" s="119" t="str">
        <f>IFERROR(__xludf.DUMMYFUNCTION("""COMPUTED_VALUE"""),"Anh Quý")</f>
        <v>Anh Quý</v>
      </c>
      <c r="C6310" s="119" t="str">
        <f>IFERROR(__xludf.DUMMYFUNCTION("""COMPUTED_VALUE"""),"16 Nguyễn Khoa Vy")</f>
        <v>16 Nguyễn Khoa Vy</v>
      </c>
      <c r="D6310" s="119" t="str">
        <f>IFERROR(__xludf.DUMMYFUNCTION("""COMPUTED_VALUE"""),"Chó")</f>
        <v>Chó</v>
      </c>
      <c r="E6310" s="119" t="str">
        <f>IFERROR(__xludf.DUMMYFUNCTION("""COMPUTED_VALUE"""),"Bun")</f>
        <v>Bun</v>
      </c>
    </row>
    <row r="6311" ht="15.75" customHeight="1">
      <c r="A6311" s="122" t="str">
        <f>IFERROR(__xludf.DUMMYFUNCTION("""COMPUTED_VALUE"""),"0763 642 870")</f>
        <v>0763 642 870</v>
      </c>
      <c r="B6311" s="119" t="str">
        <f>IFERROR(__xludf.DUMMYFUNCTION("""COMPUTED_VALUE"""),"em Thanh Thảo")</f>
        <v>em Thanh Thảo</v>
      </c>
      <c r="C6311" s="119" t="str">
        <f>IFERROR(__xludf.DUMMYFUNCTION("""COMPUTED_VALUE"""),"57a Hoàng thị Loan")</f>
        <v>57a Hoàng thị Loan</v>
      </c>
      <c r="D6311" s="119" t="str">
        <f>IFERROR(__xludf.DUMMYFUNCTION("""COMPUTED_VALUE"""),"Chó")</f>
        <v>Chó</v>
      </c>
      <c r="E6311" s="119" t="str">
        <f>IFERROR(__xludf.DUMMYFUNCTION("""COMPUTED_VALUE"""),"BÔNG")</f>
        <v>BÔNG</v>
      </c>
    </row>
    <row r="6312" ht="15.75" customHeight="1">
      <c r="A6312" s="122" t="str">
        <f>IFERROR(__xludf.DUMMYFUNCTION("""COMPUTED_VALUE"""),"0926 082 860")</f>
        <v>0926 082 860</v>
      </c>
      <c r="B6312" s="119" t="str">
        <f>IFERROR(__xludf.DUMMYFUNCTION("""COMPUTED_VALUE"""),"Chị Mai")</f>
        <v>Chị Mai</v>
      </c>
      <c r="C6312" s="119" t="str">
        <f>IFERROR(__xludf.DUMMYFUNCTION("""COMPUTED_VALUE"""),"131 Trần Phú")</f>
        <v>131 Trần Phú</v>
      </c>
      <c r="D6312" s="119" t="str">
        <f>IFERROR(__xludf.DUMMYFUNCTION("""COMPUTED_VALUE"""),"Chó")</f>
        <v>Chó</v>
      </c>
      <c r="E6312" s="119" t="str">
        <f>IFERROR(__xludf.DUMMYFUNCTION("""COMPUTED_VALUE"""),"Bơ")</f>
        <v>Bơ</v>
      </c>
    </row>
    <row r="6313" ht="15.75" customHeight="1">
      <c r="A6313" s="122" t="str">
        <f>IFERROR(__xludf.DUMMYFUNCTION("""COMPUTED_VALUE"""),"0914 114 451")</f>
        <v>0914 114 451</v>
      </c>
      <c r="B6313" s="119" t="str">
        <f>IFERROR(__xludf.DUMMYFUNCTION("""COMPUTED_VALUE"""),"Chú Sang")</f>
        <v>Chú Sang</v>
      </c>
      <c r="C6313" s="119" t="str">
        <f>IFERROR(__xludf.DUMMYFUNCTION("""COMPUTED_VALUE"""),"244 Phan Bội Châu")</f>
        <v>244 Phan Bội Châu</v>
      </c>
      <c r="D6313" s="119" t="str">
        <f>IFERROR(__xludf.DUMMYFUNCTION("""COMPUTED_VALUE"""),"Mèo")</f>
        <v>Mèo</v>
      </c>
      <c r="E6313" s="119"/>
    </row>
    <row r="6314" ht="15.75" customHeight="1">
      <c r="A6314" s="122" t="str">
        <f>IFERROR(__xludf.DUMMYFUNCTION("""COMPUTED_VALUE"""),"0762 030 367")</f>
        <v>0762 030 367</v>
      </c>
      <c r="B6314" s="119" t="str">
        <f>IFERROR(__xludf.DUMMYFUNCTION("""COMPUTED_VALUE"""),"Chị Thảo")</f>
        <v>Chị Thảo</v>
      </c>
      <c r="C6314" s="119" t="str">
        <f>IFERROR(__xludf.DUMMYFUNCTION("""COMPUTED_VALUE"""),"5/2/18 Đào Tấn")</f>
        <v>5/2/18 Đào Tấn</v>
      </c>
      <c r="D6314" s="119" t="str">
        <f>IFERROR(__xludf.DUMMYFUNCTION("""COMPUTED_VALUE"""),"Chó")</f>
        <v>Chó</v>
      </c>
      <c r="E6314" s="119" t="str">
        <f>IFERROR(__xludf.DUMMYFUNCTION("""COMPUTED_VALUE"""),"Nai")</f>
        <v>Nai</v>
      </c>
    </row>
    <row r="6315" ht="15.75" customHeight="1">
      <c r="A6315" s="122" t="str">
        <f>IFERROR(__xludf.DUMMYFUNCTION("""COMPUTED_VALUE"""),"0855 305 455")</f>
        <v>0855 305 455</v>
      </c>
      <c r="B6315" s="119" t="str">
        <f>IFERROR(__xludf.DUMMYFUNCTION("""COMPUTED_VALUE"""),"Chú Công Bổn")</f>
        <v>Chú Công Bổn</v>
      </c>
      <c r="C6315" s="119"/>
      <c r="D6315" s="119" t="str">
        <f>IFERROR(__xludf.DUMMYFUNCTION("""COMPUTED_VALUE"""),"Chó")</f>
        <v>Chó</v>
      </c>
      <c r="E6315" s="119"/>
    </row>
    <row r="6316" ht="15.75" customHeight="1">
      <c r="A6316" s="122" t="str">
        <f>IFERROR(__xludf.DUMMYFUNCTION("""COMPUTED_VALUE"""),"0901 100 009")</f>
        <v>0901 100 009</v>
      </c>
      <c r="B6316" s="119" t="str">
        <f>IFERROR(__xludf.DUMMYFUNCTION("""COMPUTED_VALUE"""),"Anh An")</f>
        <v>Anh An</v>
      </c>
      <c r="C6316" s="119" t="str">
        <f>IFERROR(__xludf.DUMMYFUNCTION("""COMPUTED_VALUE"""),"17/15 Đống Đa")</f>
        <v>17/15 Đống Đa</v>
      </c>
      <c r="D6316" s="119" t="str">
        <f>IFERROR(__xludf.DUMMYFUNCTION("""COMPUTED_VALUE"""),"Chó")</f>
        <v>Chó</v>
      </c>
      <c r="E6316" s="119" t="str">
        <f>IFERROR(__xludf.DUMMYFUNCTION("""COMPUTED_VALUE"""),"Đen")</f>
        <v>Đen</v>
      </c>
    </row>
    <row r="6317" ht="15.75" customHeight="1">
      <c r="A6317" s="122" t="str">
        <f>IFERROR(__xludf.DUMMYFUNCTION("""COMPUTED_VALUE"""),"0915 771 420")</f>
        <v>0915 771 420</v>
      </c>
      <c r="B6317" s="119" t="str">
        <f>IFERROR(__xludf.DUMMYFUNCTION("""COMPUTED_VALUE"""),"Em Tường")</f>
        <v>Em Tường</v>
      </c>
      <c r="C6317" s="119" t="str">
        <f>IFERROR(__xludf.DUMMYFUNCTION("""COMPUTED_VALUE"""),"Thủy Xuân")</f>
        <v>Thủy Xuân</v>
      </c>
      <c r="D6317" s="119" t="str">
        <f>IFERROR(__xludf.DUMMYFUNCTION("""COMPUTED_VALUE"""),"Chó")</f>
        <v>Chó</v>
      </c>
      <c r="E6317" s="119" t="str">
        <f>IFERROR(__xludf.DUMMYFUNCTION("""COMPUTED_VALUE"""),"Laru")</f>
        <v>Laru</v>
      </c>
    </row>
    <row r="6318" ht="15.75" customHeight="1">
      <c r="A6318" s="122" t="str">
        <f>IFERROR(__xludf.DUMMYFUNCTION("""COMPUTED_VALUE"""),"0964 436 233")</f>
        <v>0964 436 233</v>
      </c>
      <c r="B6318" s="119" t="str">
        <f>IFERROR(__xludf.DUMMYFUNCTION("""COMPUTED_VALUE"""),"Huỳnh Thị Minh Phú")</f>
        <v>Huỳnh Thị Minh Phú</v>
      </c>
      <c r="C6318" s="119" t="str">
        <f>IFERROR(__xludf.DUMMYFUNCTION("""COMPUTED_VALUE"""),"Phan Chu Trinh")</f>
        <v>Phan Chu Trinh</v>
      </c>
      <c r="D6318" s="119" t="str">
        <f>IFERROR(__xludf.DUMMYFUNCTION("""COMPUTED_VALUE"""),"Mèo")</f>
        <v>Mèo</v>
      </c>
      <c r="E6318" s="119"/>
    </row>
    <row r="6319" ht="15.75" customHeight="1">
      <c r="A6319" s="122" t="str">
        <f>IFERROR(__xludf.DUMMYFUNCTION("""COMPUTED_VALUE"""),"0522 660 084")</f>
        <v>0522 660 084</v>
      </c>
      <c r="B6319" s="119" t="str">
        <f>IFERROR(__xludf.DUMMYFUNCTION("""COMPUTED_VALUE"""),"Mỹ Ngọc")</f>
        <v>Mỹ Ngọc</v>
      </c>
      <c r="C6319" s="119" t="str">
        <f>IFERROR(__xludf.DUMMYFUNCTION("""COMPUTED_VALUE"""),"2/214 Ngự Bình")</f>
        <v>2/214 Ngự Bình</v>
      </c>
      <c r="D6319" s="119" t="str">
        <f>IFERROR(__xludf.DUMMYFUNCTION("""COMPUTED_VALUE"""),"Chó")</f>
        <v>Chó</v>
      </c>
      <c r="E6319" s="119" t="str">
        <f>IFERROR(__xludf.DUMMYFUNCTION("""COMPUTED_VALUE"""),"Bắp")</f>
        <v>Bắp</v>
      </c>
    </row>
    <row r="6320" ht="15.75" customHeight="1">
      <c r="A6320" s="122" t="str">
        <f>IFERROR(__xludf.DUMMYFUNCTION("""COMPUTED_VALUE"""),"0935 064 764")</f>
        <v>0935 064 764</v>
      </c>
      <c r="B6320" s="119" t="str">
        <f>IFERROR(__xludf.DUMMYFUNCTION("""COMPUTED_VALUE"""),"Trần Đức Duy")</f>
        <v>Trần Đức Duy</v>
      </c>
      <c r="C6320" s="119" t="str">
        <f>IFERROR(__xludf.DUMMYFUNCTION("""COMPUTED_VALUE"""),"9/179 Trần Phú")</f>
        <v>9/179 Trần Phú</v>
      </c>
      <c r="D6320" s="119" t="str">
        <f>IFERROR(__xludf.DUMMYFUNCTION("""COMPUTED_VALUE"""),"Chó")</f>
        <v>Chó</v>
      </c>
      <c r="E6320" s="119" t="str">
        <f>IFERROR(__xludf.DUMMYFUNCTION("""COMPUTED_VALUE"""),"Lucky")</f>
        <v>Lucky</v>
      </c>
    </row>
    <row r="6321" ht="15.75" customHeight="1">
      <c r="A6321" s="122" t="str">
        <f>IFERROR(__xludf.DUMMYFUNCTION("""COMPUTED_VALUE"""),"0134 426 511")</f>
        <v>0134 426 511</v>
      </c>
      <c r="B6321" s="119" t="str">
        <f>IFERROR(__xludf.DUMMYFUNCTION("""COMPUTED_VALUE"""),"Mèo Đặng Huy Trứ")</f>
        <v>Mèo Đặng Huy Trứ</v>
      </c>
      <c r="C6321" s="119" t="str">
        <f>IFERROR(__xludf.DUMMYFUNCTION("""COMPUTED_VALUE"""),"1/69 Đặng Huy Trứ")</f>
        <v>1/69 Đặng Huy Trứ</v>
      </c>
      <c r="D6321" s="119" t="str">
        <f>IFERROR(__xludf.DUMMYFUNCTION("""COMPUTED_VALUE"""),"Mèo")</f>
        <v>Mèo</v>
      </c>
      <c r="E6321" s="119" t="str">
        <f>IFERROR(__xludf.DUMMYFUNCTION("""COMPUTED_VALUE"""),"Vàng")</f>
        <v>Vàng</v>
      </c>
    </row>
    <row r="6322" ht="15.75" customHeight="1">
      <c r="A6322" s="122" t="str">
        <f>IFERROR(__xludf.DUMMYFUNCTION("""COMPUTED_VALUE"""),"0932 437 369")</f>
        <v>0932 437 369</v>
      </c>
      <c r="B6322" s="119" t="str">
        <f>IFERROR(__xludf.DUMMYFUNCTION("""COMPUTED_VALUE"""),"Chị Mỹ Trúc")</f>
        <v>Chị Mỹ Trúc</v>
      </c>
      <c r="C6322" s="119" t="str">
        <f>IFERROR(__xludf.DUMMYFUNCTION("""COMPUTED_VALUE"""),"42 Hoài Thanh")</f>
        <v>42 Hoài Thanh</v>
      </c>
      <c r="D6322" s="119" t="str">
        <f>IFERROR(__xludf.DUMMYFUNCTION("""COMPUTED_VALUE"""),"Chó")</f>
        <v>Chó</v>
      </c>
      <c r="E6322" s="119" t="str">
        <f>IFERROR(__xludf.DUMMYFUNCTION("""COMPUTED_VALUE"""),"Milu")</f>
        <v>Milu</v>
      </c>
    </row>
    <row r="6323" ht="15.75" customHeight="1">
      <c r="A6323" s="122" t="str">
        <f>IFERROR(__xludf.DUMMYFUNCTION("""COMPUTED_VALUE"""),"0914 327 327")</f>
        <v>0914 327 327</v>
      </c>
      <c r="B6323" s="119" t="str">
        <f>IFERROR(__xludf.DUMMYFUNCTION("""COMPUTED_VALUE"""),"chị hương")</f>
        <v>chị hương</v>
      </c>
      <c r="C6323" s="119" t="str">
        <f>IFERROR(__xludf.DUMMYFUNCTION("""COMPUTED_VALUE"""),"18 Chế Lan Viên")</f>
        <v>18 Chế Lan Viên</v>
      </c>
      <c r="D6323" s="119" t="str">
        <f>IFERROR(__xludf.DUMMYFUNCTION("""COMPUTED_VALUE"""),"Chó")</f>
        <v>Chó</v>
      </c>
      <c r="E6323" s="119" t="str">
        <f>IFERROR(__xludf.DUMMYFUNCTION("""COMPUTED_VALUE"""),"ky")</f>
        <v>ky</v>
      </c>
    </row>
    <row r="6324" ht="15.75" customHeight="1">
      <c r="A6324" s="122" t="str">
        <f>IFERROR(__xludf.DUMMYFUNCTION("""COMPUTED_VALUE"""),"0914 538 325")</f>
        <v>0914 538 325</v>
      </c>
      <c r="B6324" s="119" t="str">
        <f>IFERROR(__xludf.DUMMYFUNCTION("""COMPUTED_VALUE"""),"Thầy Thanh")</f>
        <v>Thầy Thanh</v>
      </c>
      <c r="C6324" s="119" t="str">
        <f>IFERROR(__xludf.DUMMYFUNCTION("""COMPUTED_VALUE"""),"20/77 Thiên Thai")</f>
        <v>20/77 Thiên Thai</v>
      </c>
      <c r="D6324" s="119" t="str">
        <f>IFERROR(__xludf.DUMMYFUNCTION("""COMPUTED_VALUE"""),"Chó")</f>
        <v>Chó</v>
      </c>
      <c r="E6324" s="119"/>
    </row>
    <row r="6325" ht="15.75" customHeight="1">
      <c r="A6325" s="122" t="str">
        <f>IFERROR(__xludf.DUMMYFUNCTION("""COMPUTED_VALUE"""),"0358 691 525")</f>
        <v>0358 691 525</v>
      </c>
      <c r="B6325" s="119" t="str">
        <f>IFERROR(__xludf.DUMMYFUNCTION("""COMPUTED_VALUE"""),"Em Đức An")</f>
        <v>Em Đức An</v>
      </c>
      <c r="C6325" s="119" t="str">
        <f>IFERROR(__xludf.DUMMYFUNCTION("""COMPUTED_VALUE"""),"128/131 trần Phú")</f>
        <v>128/131 trần Phú</v>
      </c>
      <c r="D6325" s="119" t="str">
        <f>IFERROR(__xludf.DUMMYFUNCTION("""COMPUTED_VALUE"""),"Mèo")</f>
        <v>Mèo</v>
      </c>
      <c r="E6325" s="119" t="str">
        <f>IFERROR(__xludf.DUMMYFUNCTION("""COMPUTED_VALUE"""),"Mít")</f>
        <v>Mít</v>
      </c>
    </row>
    <row r="6326" ht="15.75" customHeight="1">
      <c r="A6326" s="122" t="str">
        <f>IFERROR(__xludf.DUMMYFUNCTION("""COMPUTED_VALUE"""),"0338 498 445")</f>
        <v>0338 498 445</v>
      </c>
      <c r="B6326" s="119" t="str">
        <f>IFERROR(__xludf.DUMMYFUNCTION("""COMPUTED_VALUE"""),"Thu Trang")</f>
        <v>Thu Trang</v>
      </c>
      <c r="C6326" s="119" t="str">
        <f>IFERROR(__xludf.DUMMYFUNCTION("""COMPUTED_VALUE"""),"27/250 phan bội châu")</f>
        <v>27/250 phan bội châu</v>
      </c>
      <c r="D6326" s="119" t="str">
        <f>IFERROR(__xludf.DUMMYFUNCTION("""COMPUTED_VALUE"""),"Chó")</f>
        <v>Chó</v>
      </c>
      <c r="E6326" s="119" t="str">
        <f>IFERROR(__xludf.DUMMYFUNCTION("""COMPUTED_VALUE"""),"milo")</f>
        <v>milo</v>
      </c>
    </row>
    <row r="6327" ht="15.75" customHeight="1">
      <c r="A6327" s="122" t="str">
        <f>IFERROR(__xludf.DUMMYFUNCTION("""COMPUTED_VALUE"""),"0919 149 391")</f>
        <v>0919 149 391</v>
      </c>
      <c r="B6327" s="119" t="str">
        <f>IFERROR(__xludf.DUMMYFUNCTION("""COMPUTED_VALUE"""),"Chị Hạnh")</f>
        <v>Chị Hạnh</v>
      </c>
      <c r="C6327" s="119" t="str">
        <f>IFERROR(__xludf.DUMMYFUNCTION("""COMPUTED_VALUE"""),"163 Phan Chu Trinh")</f>
        <v>163 Phan Chu Trinh</v>
      </c>
      <c r="D6327" s="119" t="str">
        <f>IFERROR(__xludf.DUMMYFUNCTION("""COMPUTED_VALUE"""),"Chó")</f>
        <v>Chó</v>
      </c>
      <c r="E6327" s="119"/>
    </row>
    <row r="6328" ht="15.75" customHeight="1">
      <c r="A6328" s="122" t="str">
        <f>IFERROR(__xludf.DUMMYFUNCTION("""COMPUTED_VALUE"""),"0937 707 909")</f>
        <v>0937 707 909</v>
      </c>
      <c r="B6328" s="119" t="str">
        <f>IFERROR(__xludf.DUMMYFUNCTION("""COMPUTED_VALUE"""),"Anh Trí")</f>
        <v>Anh Trí</v>
      </c>
      <c r="C6328" s="119" t="str">
        <f>IFERROR(__xludf.DUMMYFUNCTION("""COMPUTED_VALUE"""),"111 Đặng Huy Trứ")</f>
        <v>111 Đặng Huy Trứ</v>
      </c>
      <c r="D6328" s="119" t="str">
        <f>IFERROR(__xludf.DUMMYFUNCTION("""COMPUTED_VALUE"""),"Chó")</f>
        <v>Chó</v>
      </c>
      <c r="E6328" s="119"/>
    </row>
    <row r="6329" ht="15.75" customHeight="1">
      <c r="A6329" s="122" t="str">
        <f>IFERROR(__xludf.DUMMYFUNCTION("""COMPUTED_VALUE"""),"0906 554 492")</f>
        <v>0906 554 492</v>
      </c>
      <c r="B6329" s="119" t="str">
        <f>IFERROR(__xludf.DUMMYFUNCTION("""COMPUTED_VALUE"""),"Chú Phương")</f>
        <v>Chú Phương</v>
      </c>
      <c r="C6329" s="119" t="str">
        <f>IFERROR(__xludf.DUMMYFUNCTION("""COMPUTED_VALUE"""),"56 Hoàng Thị Loan")</f>
        <v>56 Hoàng Thị Loan</v>
      </c>
      <c r="D6329" s="119" t="str">
        <f>IFERROR(__xludf.DUMMYFUNCTION("""COMPUTED_VALUE"""),"Chó")</f>
        <v>Chó</v>
      </c>
      <c r="E6329" s="119" t="str">
        <f>IFERROR(__xludf.DUMMYFUNCTION("""COMPUTED_VALUE"""),"Trăng")</f>
        <v>Trăng</v>
      </c>
    </row>
    <row r="6330" ht="15.75" customHeight="1">
      <c r="A6330" s="122" t="str">
        <f>IFERROR(__xludf.DUMMYFUNCTION("""COMPUTED_VALUE"""),"0773 668 869")</f>
        <v>0773 668 869</v>
      </c>
      <c r="B6330" s="119" t="str">
        <f>IFERROR(__xludf.DUMMYFUNCTION("""COMPUTED_VALUE"""),"Anh Việt")</f>
        <v>Anh Việt</v>
      </c>
      <c r="C6330" s="119" t="str">
        <f>IFERROR(__xludf.DUMMYFUNCTION("""COMPUTED_VALUE"""),"40 Nguyễn Khoa Chiêm")</f>
        <v>40 Nguyễn Khoa Chiêm</v>
      </c>
      <c r="D6330" s="119" t="str">
        <f>IFERROR(__xludf.DUMMYFUNCTION("""COMPUTED_VALUE"""),"Mèo")</f>
        <v>Mèo</v>
      </c>
      <c r="E6330" s="119" t="str">
        <f>IFERROR(__xludf.DUMMYFUNCTION("""COMPUTED_VALUE"""),"Kem")</f>
        <v>Kem</v>
      </c>
    </row>
    <row r="6331" ht="15.75" customHeight="1">
      <c r="A6331" s="122" t="str">
        <f>IFERROR(__xludf.DUMMYFUNCTION("""COMPUTED_VALUE"""),"0377 953 669")</f>
        <v>0377 953 669</v>
      </c>
      <c r="B6331" s="119" t="str">
        <f>IFERROR(__xludf.DUMMYFUNCTION("""COMPUTED_VALUE"""),"Chị Ánh")</f>
        <v>Chị Ánh</v>
      </c>
      <c r="C6331" s="119" t="str">
        <f>IFERROR(__xludf.DUMMYFUNCTION("""COMPUTED_VALUE"""),"12 /1 Đặng Huy Trứ")</f>
        <v>12 /1 Đặng Huy Trứ</v>
      </c>
      <c r="D6331" s="119" t="str">
        <f>IFERROR(__xludf.DUMMYFUNCTION("""COMPUTED_VALUE"""),"Mèo")</f>
        <v>Mèo</v>
      </c>
      <c r="E6331" s="119" t="str">
        <f>IFERROR(__xludf.DUMMYFUNCTION("""COMPUTED_VALUE"""),"Mít")</f>
        <v>Mít</v>
      </c>
    </row>
    <row r="6332" ht="15.75" customHeight="1">
      <c r="A6332" s="122" t="str">
        <f>IFERROR(__xludf.DUMMYFUNCTION("""COMPUTED_VALUE"""),"0359 935 544")</f>
        <v>0359 935 544</v>
      </c>
      <c r="B6332" s="119" t="str">
        <f>IFERROR(__xludf.DUMMYFUNCTION("""COMPUTED_VALUE"""),"Anh Thiên Bảo")</f>
        <v>Anh Thiên Bảo</v>
      </c>
      <c r="C6332" s="119" t="str">
        <f>IFERROR(__xludf.DUMMYFUNCTION("""COMPUTED_VALUE"""),"5/350 Phan Bội Châu")</f>
        <v>5/350 Phan Bội Châu</v>
      </c>
      <c r="D6332" s="119" t="str">
        <f>IFERROR(__xludf.DUMMYFUNCTION("""COMPUTED_VALUE"""),"Mèo")</f>
        <v>Mèo</v>
      </c>
      <c r="E6332" s="119" t="str">
        <f>IFERROR(__xludf.DUMMYFUNCTION("""COMPUTED_VALUE"""),"Gấu")</f>
        <v>Gấu</v>
      </c>
    </row>
    <row r="6333" ht="15.75" customHeight="1">
      <c r="A6333" s="122" t="str">
        <f>IFERROR(__xludf.DUMMYFUNCTION("""COMPUTED_VALUE"""),"0384 202 521")</f>
        <v>0384 202 521</v>
      </c>
      <c r="B6333" s="119" t="str">
        <f>IFERROR(__xludf.DUMMYFUNCTION("""COMPUTED_VALUE"""),"Em Thanh Bình")</f>
        <v>Em Thanh Bình</v>
      </c>
      <c r="C6333" s="119" t="str">
        <f>IFERROR(__xludf.DUMMYFUNCTION("""COMPUTED_VALUE"""),"Sịa Quảng Điền")</f>
        <v>Sịa Quảng Điền</v>
      </c>
      <c r="D6333" s="119" t="str">
        <f>IFERROR(__xludf.DUMMYFUNCTION("""COMPUTED_VALUE"""),"Chó")</f>
        <v>Chó</v>
      </c>
      <c r="E6333" s="119" t="str">
        <f>IFERROR(__xludf.DUMMYFUNCTION("""COMPUTED_VALUE"""),"Đậu")</f>
        <v>Đậu</v>
      </c>
    </row>
    <row r="6334" ht="15.75" customHeight="1">
      <c r="A6334" s="122" t="str">
        <f>IFERROR(__xludf.DUMMYFUNCTION("""COMPUTED_VALUE"""),"0977 997 330")</f>
        <v>0977 997 330</v>
      </c>
      <c r="B6334" s="119" t="str">
        <f>IFERROR(__xludf.DUMMYFUNCTION("""COMPUTED_VALUE"""),"Anh Hiếu")</f>
        <v>Anh Hiếu</v>
      </c>
      <c r="C6334" s="119" t="str">
        <f>IFERROR(__xludf.DUMMYFUNCTION("""COMPUTED_VALUE"""),"Phú Vang")</f>
        <v>Phú Vang</v>
      </c>
      <c r="D6334" s="119" t="str">
        <f>IFERROR(__xludf.DUMMYFUNCTION("""COMPUTED_VALUE"""),"Chó")</f>
        <v>Chó</v>
      </c>
      <c r="E6334" s="119" t="str">
        <f>IFERROR(__xludf.DUMMYFUNCTION("""COMPUTED_VALUE"""),"Bơ")</f>
        <v>Bơ</v>
      </c>
    </row>
    <row r="6335" ht="15.75" customHeight="1">
      <c r="A6335" s="122" t="str">
        <f>IFERROR(__xludf.DUMMYFUNCTION("""COMPUTED_VALUE"""),"0375 169 199")</f>
        <v>0375 169 199</v>
      </c>
      <c r="B6335" s="119" t="str">
        <f>IFERROR(__xludf.DUMMYFUNCTION("""COMPUTED_VALUE"""),"Chị Thảo Anh")</f>
        <v>Chị Thảo Anh</v>
      </c>
      <c r="C6335" s="119" t="str">
        <f>IFERROR(__xludf.DUMMYFUNCTION("""COMPUTED_VALUE"""),"12/14/16 Đoàn Hữu Trưng")</f>
        <v>12/14/16 Đoàn Hữu Trưng</v>
      </c>
      <c r="D6335" s="119" t="str">
        <f>IFERROR(__xludf.DUMMYFUNCTION("""COMPUTED_VALUE"""),"Mèo")</f>
        <v>Mèo</v>
      </c>
      <c r="E6335" s="119" t="str">
        <f>IFERROR(__xludf.DUMMYFUNCTION("""COMPUTED_VALUE"""),"RiBo")</f>
        <v>RiBo</v>
      </c>
    </row>
    <row r="6336" ht="15.75" customHeight="1">
      <c r="A6336" s="122" t="str">
        <f>IFERROR(__xludf.DUMMYFUNCTION("""COMPUTED_VALUE"""),"0356 650 992")</f>
        <v>0356 650 992</v>
      </c>
      <c r="B6336" s="119" t="str">
        <f>IFERROR(__xludf.DUMMYFUNCTION("""COMPUTED_VALUE"""),"Chị Thủy Dân")</f>
        <v>Chị Thủy Dân</v>
      </c>
      <c r="C6336" s="119" t="str">
        <f>IFERROR(__xludf.DUMMYFUNCTION("""COMPUTED_VALUE"""),"Hương trà")</f>
        <v>Hương trà</v>
      </c>
      <c r="D6336" s="119" t="str">
        <f>IFERROR(__xludf.DUMMYFUNCTION("""COMPUTED_VALUE"""),"Chó")</f>
        <v>Chó</v>
      </c>
      <c r="E6336" s="119" t="str">
        <f>IFERROR(__xludf.DUMMYFUNCTION("""COMPUTED_VALUE"""),"milk")</f>
        <v>milk</v>
      </c>
    </row>
    <row r="6337" ht="15.75" customHeight="1">
      <c r="A6337" s="122" t="str">
        <f>IFERROR(__xludf.DUMMYFUNCTION("""COMPUTED_VALUE"""),"0934 919 572")</f>
        <v>0934 919 572</v>
      </c>
      <c r="B6337" s="119" t="str">
        <f>IFERROR(__xludf.DUMMYFUNCTION("""COMPUTED_VALUE"""),"Chị Liên")</f>
        <v>Chị Liên</v>
      </c>
      <c r="C6337" s="119" t="str">
        <f>IFERROR(__xludf.DUMMYFUNCTION("""COMPUTED_VALUE"""),"9/179 Trần Phú")</f>
        <v>9/179 Trần Phú</v>
      </c>
      <c r="D6337" s="119" t="str">
        <f>IFERROR(__xludf.DUMMYFUNCTION("""COMPUTED_VALUE"""),"Chó")</f>
        <v>Chó</v>
      </c>
      <c r="E6337" s="119" t="str">
        <f>IFERROR(__xludf.DUMMYFUNCTION("""COMPUTED_VALUE"""),"Lucky")</f>
        <v>Lucky</v>
      </c>
    </row>
    <row r="6338" ht="15.75" customHeight="1">
      <c r="A6338" s="122" t="str">
        <f>IFERROR(__xludf.DUMMYFUNCTION("""COMPUTED_VALUE"""),"0795 727 652")</f>
        <v>0795 727 652</v>
      </c>
      <c r="B6338" s="119" t="str">
        <f>IFERROR(__xludf.DUMMYFUNCTION("""COMPUTED_VALUE"""),"Chị Nhung")</f>
        <v>Chị Nhung</v>
      </c>
      <c r="C6338" s="119" t="str">
        <f>IFERROR(__xludf.DUMMYFUNCTION("""COMPUTED_VALUE"""),"Đặng huy trứ")</f>
        <v>Đặng huy trứ</v>
      </c>
      <c r="D6338" s="119" t="str">
        <f>IFERROR(__xludf.DUMMYFUNCTION("""COMPUTED_VALUE"""),"Mèo")</f>
        <v>Mèo</v>
      </c>
      <c r="E6338" s="119" t="str">
        <f>IFERROR(__xludf.DUMMYFUNCTION("""COMPUTED_VALUE"""),"nhi")</f>
        <v>nhi</v>
      </c>
    </row>
    <row r="6339" ht="15.75" customHeight="1">
      <c r="A6339" s="122" t="str">
        <f>IFERROR(__xludf.DUMMYFUNCTION("""COMPUTED_VALUE"""),"0913 426 511")</f>
        <v>0913 426 511</v>
      </c>
      <c r="B6339" s="119" t="str">
        <f>IFERROR(__xludf.DUMMYFUNCTION("""COMPUTED_VALUE"""),"Mèo Huy trứ")</f>
        <v>Mèo Huy trứ</v>
      </c>
      <c r="C6339" s="119" t="str">
        <f>IFERROR(__xludf.DUMMYFUNCTION("""COMPUTED_VALUE"""),"1/69 đặng huy trứ")</f>
        <v>1/69 đặng huy trứ</v>
      </c>
      <c r="D6339" s="119" t="str">
        <f>IFERROR(__xludf.DUMMYFUNCTION("""COMPUTED_VALUE"""),"Chó")</f>
        <v>Chó</v>
      </c>
      <c r="E6339" s="119" t="str">
        <f>IFERROR(__xludf.DUMMYFUNCTION("""COMPUTED_VALUE"""),"xám")</f>
        <v>xám</v>
      </c>
    </row>
    <row r="6340" ht="15.75" customHeight="1">
      <c r="A6340" s="122" t="str">
        <f>IFERROR(__xludf.DUMMYFUNCTION("""COMPUTED_VALUE"""),"0899 875 063")</f>
        <v>0899 875 063</v>
      </c>
      <c r="B6340" s="119" t="str">
        <f>IFERROR(__xludf.DUMMYFUNCTION("""COMPUTED_VALUE"""),"Chị Trúc")</f>
        <v>Chị Trúc</v>
      </c>
      <c r="C6340" s="119" t="str">
        <f>IFERROR(__xludf.DUMMYFUNCTION("""COMPUTED_VALUE"""),"2/254 Phan Chu Trinh")</f>
        <v>2/254 Phan Chu Trinh</v>
      </c>
      <c r="D6340" s="119" t="str">
        <f>IFERROR(__xludf.DUMMYFUNCTION("""COMPUTED_VALUE"""),"Chó")</f>
        <v>Chó</v>
      </c>
      <c r="E6340" s="119" t="str">
        <f>IFERROR(__xludf.DUMMYFUNCTION("""COMPUTED_VALUE"""),"Gấu")</f>
        <v>Gấu</v>
      </c>
    </row>
    <row r="6341" ht="15.75" customHeight="1">
      <c r="A6341" s="122" t="str">
        <f>IFERROR(__xludf.DUMMYFUNCTION("""COMPUTED_VALUE"""),"0914 538 328")</f>
        <v>0914 538 328</v>
      </c>
      <c r="B6341" s="119" t="str">
        <f>IFERROR(__xludf.DUMMYFUNCTION("""COMPUTED_VALUE"""),"Thầy Thanh")</f>
        <v>Thầy Thanh</v>
      </c>
      <c r="C6341" s="119" t="str">
        <f>IFERROR(__xludf.DUMMYFUNCTION("""COMPUTED_VALUE"""),"20/77 Thiên Thai")</f>
        <v>20/77 Thiên Thai</v>
      </c>
      <c r="D6341" s="119" t="str">
        <f>IFERROR(__xludf.DUMMYFUNCTION("""COMPUTED_VALUE"""),"Chó")</f>
        <v>Chó</v>
      </c>
      <c r="E6341" s="119" t="str">
        <f>IFERROR(__xludf.DUMMYFUNCTION("""COMPUTED_VALUE"""),"Su")</f>
        <v>Su</v>
      </c>
    </row>
    <row r="6342" ht="15.75" customHeight="1">
      <c r="A6342" s="122" t="str">
        <f>IFERROR(__xludf.DUMMYFUNCTION("""COMPUTED_VALUE"""),"0934 721 025")</f>
        <v>0934 721 025</v>
      </c>
      <c r="B6342" s="119" t="str">
        <f>IFERROR(__xludf.DUMMYFUNCTION("""COMPUTED_VALUE"""),"Anh Khánh")</f>
        <v>Anh Khánh</v>
      </c>
      <c r="C6342" s="119" t="str">
        <f>IFERROR(__xludf.DUMMYFUNCTION("""COMPUTED_VALUE"""),"159/6 Trần Phú")</f>
        <v>159/6 Trần Phú</v>
      </c>
      <c r="D6342" s="119" t="str">
        <f>IFERROR(__xludf.DUMMYFUNCTION("""COMPUTED_VALUE"""),"Mèo")</f>
        <v>Mèo</v>
      </c>
      <c r="E6342" s="119" t="str">
        <f>IFERROR(__xludf.DUMMYFUNCTION("""COMPUTED_VALUE"""),"Sam")</f>
        <v>Sam</v>
      </c>
    </row>
    <row r="6343" ht="15.75" customHeight="1">
      <c r="A6343" s="122" t="str">
        <f>IFERROR(__xludf.DUMMYFUNCTION("""COMPUTED_VALUE"""),"0948 552 020")</f>
        <v>0948 552 020</v>
      </c>
      <c r="B6343" s="119" t="str">
        <f>IFERROR(__xludf.DUMMYFUNCTION("""COMPUTED_VALUE"""),"Anh Thọ")</f>
        <v>Anh Thọ</v>
      </c>
      <c r="C6343" s="119" t="str">
        <f>IFERROR(__xludf.DUMMYFUNCTION("""COMPUTED_VALUE"""),"112 Lê Thánh Tôn")</f>
        <v>112 Lê Thánh Tôn</v>
      </c>
      <c r="D6343" s="119" t="str">
        <f>IFERROR(__xludf.DUMMYFUNCTION("""COMPUTED_VALUE"""),"Chó")</f>
        <v>Chó</v>
      </c>
      <c r="E6343" s="119" t="str">
        <f>IFERROR(__xludf.DUMMYFUNCTION("""COMPUTED_VALUE"""),"Mickey")</f>
        <v>Mickey</v>
      </c>
    </row>
    <row r="6344" ht="15.75" customHeight="1">
      <c r="A6344" s="122" t="str">
        <f>IFERROR(__xludf.DUMMYFUNCTION("""COMPUTED_VALUE"""),"0985 370 491")</f>
        <v>0985 370 491</v>
      </c>
      <c r="B6344" s="119" t="str">
        <f>IFERROR(__xludf.DUMMYFUNCTION("""COMPUTED_VALUE"""),"Thủy Tiên")</f>
        <v>Thủy Tiên</v>
      </c>
      <c r="C6344" s="119" t="str">
        <f>IFERROR(__xludf.DUMMYFUNCTION("""COMPUTED_VALUE"""),"Hồ Đắc Di")</f>
        <v>Hồ Đắc Di</v>
      </c>
      <c r="D6344" s="119" t="str">
        <f>IFERROR(__xludf.DUMMYFUNCTION("""COMPUTED_VALUE"""),"Mèo")</f>
        <v>Mèo</v>
      </c>
      <c r="E6344" s="119" t="str">
        <f>IFERROR(__xludf.DUMMYFUNCTION("""COMPUTED_VALUE"""),"Nheo")</f>
        <v>Nheo</v>
      </c>
    </row>
    <row r="6345" ht="15.75" customHeight="1">
      <c r="A6345" s="122" t="str">
        <f>IFERROR(__xludf.DUMMYFUNCTION("""COMPUTED_VALUE"""),"0914 347 275")</f>
        <v>0914 347 275</v>
      </c>
      <c r="B6345" s="119" t="str">
        <f>IFERROR(__xludf.DUMMYFUNCTION("""COMPUTED_VALUE"""),"Hoàng Linh Đan")</f>
        <v>Hoàng Linh Đan</v>
      </c>
      <c r="C6345" s="119" t="str">
        <f>IFERROR(__xludf.DUMMYFUNCTION("""COMPUTED_VALUE"""),"16A/1 Quảng Tế")</f>
        <v>16A/1 Quảng Tế</v>
      </c>
      <c r="D6345" s="119" t="str">
        <f>IFERROR(__xludf.DUMMYFUNCTION("""COMPUTED_VALUE"""),"Chó")</f>
        <v>Chó</v>
      </c>
      <c r="E6345" s="119" t="str">
        <f>IFERROR(__xludf.DUMMYFUNCTION("""COMPUTED_VALUE"""),"Boom")</f>
        <v>Boom</v>
      </c>
    </row>
    <row r="6346" ht="15.75" customHeight="1">
      <c r="A6346" s="122" t="str">
        <f>IFERROR(__xludf.DUMMYFUNCTION("""COMPUTED_VALUE"""),"0905 122 176")</f>
        <v>0905 122 176</v>
      </c>
      <c r="B6346" s="119" t="str">
        <f>IFERROR(__xludf.DUMMYFUNCTION("""COMPUTED_VALUE"""),"Chị Hằng")</f>
        <v>Chị Hằng</v>
      </c>
      <c r="C6346" s="119" t="str">
        <f>IFERROR(__xludf.DUMMYFUNCTION("""COMPUTED_VALUE"""),"Phú Đa, Phú Vang")</f>
        <v>Phú Đa, Phú Vang</v>
      </c>
      <c r="D6346" s="119" t="str">
        <f>IFERROR(__xludf.DUMMYFUNCTION("""COMPUTED_VALUE"""),"Chó")</f>
        <v>Chó</v>
      </c>
      <c r="E6346" s="119" t="str">
        <f>IFERROR(__xludf.DUMMYFUNCTION("""COMPUTED_VALUE"""),"Nắng")</f>
        <v>Nắng</v>
      </c>
    </row>
    <row r="6347" ht="15.75" customHeight="1">
      <c r="A6347" s="122" t="str">
        <f>IFERROR(__xludf.DUMMYFUNCTION("""COMPUTED_VALUE"""),"0974 247 575")</f>
        <v>0974 247 575</v>
      </c>
      <c r="B6347" s="119" t="str">
        <f>IFERROR(__xludf.DUMMYFUNCTION("""COMPUTED_VALUE"""),"Lê Thị Vy")</f>
        <v>Lê Thị Vy</v>
      </c>
      <c r="C6347" s="119" t="str">
        <f>IFERROR(__xludf.DUMMYFUNCTION("""COMPUTED_VALUE"""),"102/131 Trần Phú")</f>
        <v>102/131 Trần Phú</v>
      </c>
      <c r="D6347" s="119" t="str">
        <f>IFERROR(__xludf.DUMMYFUNCTION("""COMPUTED_VALUE"""),"Chó")</f>
        <v>Chó</v>
      </c>
      <c r="E6347" s="119" t="str">
        <f>IFERROR(__xludf.DUMMYFUNCTION("""COMPUTED_VALUE"""),"Cà Rốt")</f>
        <v>Cà Rốt</v>
      </c>
    </row>
    <row r="6348" ht="15.75" customHeight="1">
      <c r="A6348" s="122" t="str">
        <f>IFERROR(__xludf.DUMMYFUNCTION("""COMPUTED_VALUE"""),"0965 401 729")</f>
        <v>0965 401 729</v>
      </c>
      <c r="B6348" s="119" t="str">
        <f>IFERROR(__xludf.DUMMYFUNCTION("""COMPUTED_VALUE"""),"Minh Thy")</f>
        <v>Minh Thy</v>
      </c>
      <c r="C6348" s="119" t="str">
        <f>IFERROR(__xludf.DUMMYFUNCTION("""COMPUTED_VALUE"""),"205 Ngự Bình")</f>
        <v>205 Ngự Bình</v>
      </c>
      <c r="D6348" s="119" t="str">
        <f>IFERROR(__xludf.DUMMYFUNCTION("""COMPUTED_VALUE"""),"Chó")</f>
        <v>Chó</v>
      </c>
      <c r="E6348" s="119" t="str">
        <f>IFERROR(__xludf.DUMMYFUNCTION("""COMPUTED_VALUE"""),"Luýt")</f>
        <v>Luýt</v>
      </c>
    </row>
    <row r="6349" ht="15.75" customHeight="1">
      <c r="A6349" s="122" t="str">
        <f>IFERROR(__xludf.DUMMYFUNCTION("""COMPUTED_VALUE"""),"0914 553 772")</f>
        <v>0914 553 772</v>
      </c>
      <c r="B6349" s="119" t="str">
        <f>IFERROR(__xludf.DUMMYFUNCTION("""COMPUTED_VALUE"""),"Chú Sáu")</f>
        <v>Chú Sáu</v>
      </c>
      <c r="C6349" s="119" t="str">
        <f>IFERROR(__xludf.DUMMYFUNCTION("""COMPUTED_VALUE"""),"32A/69 Đặng Huy Trứ")</f>
        <v>32A/69 Đặng Huy Trứ</v>
      </c>
      <c r="D6349" s="119" t="str">
        <f>IFERROR(__xludf.DUMMYFUNCTION("""COMPUTED_VALUE"""),"Chó")</f>
        <v>Chó</v>
      </c>
      <c r="E6349" s="119" t="str">
        <f>IFERROR(__xludf.DUMMYFUNCTION("""COMPUTED_VALUE"""),"Windy")</f>
        <v>Windy</v>
      </c>
    </row>
    <row r="6350" ht="15.75" customHeight="1">
      <c r="A6350" s="122" t="str">
        <f>IFERROR(__xludf.DUMMYFUNCTION("""COMPUTED_VALUE"""),"0354 300 986")</f>
        <v>0354 300 986</v>
      </c>
      <c r="B6350" s="119" t="str">
        <f>IFERROR(__xludf.DUMMYFUNCTION("""COMPUTED_VALUE"""),"Anh Tá")</f>
        <v>Anh Tá</v>
      </c>
      <c r="C6350" s="119" t="str">
        <f>IFERROR(__xludf.DUMMYFUNCTION("""COMPUTED_VALUE"""),"45A/26 Lương Văn Can")</f>
        <v>45A/26 Lương Văn Can</v>
      </c>
      <c r="D6350" s="119" t="str">
        <f>IFERROR(__xludf.DUMMYFUNCTION("""COMPUTED_VALUE"""),"Chó")</f>
        <v>Chó</v>
      </c>
      <c r="E6350" s="119" t="str">
        <f>IFERROR(__xludf.DUMMYFUNCTION("""COMPUTED_VALUE"""),"Kim Chol")</f>
        <v>Kim Chol</v>
      </c>
    </row>
    <row r="6351" ht="15.75" customHeight="1">
      <c r="A6351" s="122" t="str">
        <f>IFERROR(__xludf.DUMMYFUNCTION("""COMPUTED_VALUE"""),"0793 666 401")</f>
        <v>0793 666 401</v>
      </c>
      <c r="B6351" s="119" t="str">
        <f>IFERROR(__xludf.DUMMYFUNCTION("""COMPUTED_VALUE"""),"Anh Khôi")</f>
        <v>Anh Khôi</v>
      </c>
      <c r="C6351" s="119" t="str">
        <f>IFERROR(__xludf.DUMMYFUNCTION("""COMPUTED_VALUE"""),"19/29 Lịch Đợi")</f>
        <v>19/29 Lịch Đợi</v>
      </c>
      <c r="D6351" s="119" t="str">
        <f>IFERROR(__xludf.DUMMYFUNCTION("""COMPUTED_VALUE"""),"Chó")</f>
        <v>Chó</v>
      </c>
      <c r="E6351" s="119" t="str">
        <f>IFERROR(__xludf.DUMMYFUNCTION("""COMPUTED_VALUE"""),"Lu")</f>
        <v>Lu</v>
      </c>
    </row>
    <row r="6352" ht="15.75" customHeight="1">
      <c r="A6352" s="122" t="str">
        <f>IFERROR(__xludf.DUMMYFUNCTION("""COMPUTED_VALUE"""),"0969 437 011")</f>
        <v>0969 437 011</v>
      </c>
      <c r="B6352" s="119" t="str">
        <f>IFERROR(__xludf.DUMMYFUNCTION("""COMPUTED_VALUE"""),"Em Minh Phú")</f>
        <v>Em Minh Phú</v>
      </c>
      <c r="C6352" s="119" t="str">
        <f>IFERROR(__xludf.DUMMYFUNCTION("""COMPUTED_VALUE"""),"30/85 An Dương Vương")</f>
        <v>30/85 An Dương Vương</v>
      </c>
      <c r="D6352" s="119" t="str">
        <f>IFERROR(__xludf.DUMMYFUNCTION("""COMPUTED_VALUE"""),"Mèo")</f>
        <v>Mèo</v>
      </c>
      <c r="E6352" s="119" t="str">
        <f>IFERROR(__xludf.DUMMYFUNCTION("""COMPUTED_VALUE"""),"Gấu")</f>
        <v>Gấu</v>
      </c>
    </row>
    <row r="6353" ht="15.75" customHeight="1">
      <c r="A6353" s="122" t="str">
        <f>IFERROR(__xludf.DUMMYFUNCTION("""COMPUTED_VALUE"""),"0903 555 256")</f>
        <v>0903 555 256</v>
      </c>
      <c r="B6353" s="119" t="str">
        <f>IFERROR(__xludf.DUMMYFUNCTION("""COMPUTED_VALUE"""),"Anh Hoàng Anh")</f>
        <v>Anh Hoàng Anh</v>
      </c>
      <c r="C6353" s="119" t="str">
        <f>IFERROR(__xludf.DUMMYFUNCTION("""COMPUTED_VALUE"""),"Phan Chu Trinh")</f>
        <v>Phan Chu Trinh</v>
      </c>
      <c r="D6353" s="119" t="str">
        <f>IFERROR(__xludf.DUMMYFUNCTION("""COMPUTED_VALUE"""),"Chó")</f>
        <v>Chó</v>
      </c>
      <c r="E6353" s="119" t="str">
        <f>IFERROR(__xludf.DUMMYFUNCTION("""COMPUTED_VALUE"""),"Nai")</f>
        <v>Nai</v>
      </c>
    </row>
    <row r="6354" ht="15.75" customHeight="1">
      <c r="A6354" s="122" t="str">
        <f>IFERROR(__xludf.DUMMYFUNCTION("""COMPUTED_VALUE"""),"0905 303 606")</f>
        <v>0905 303 606</v>
      </c>
      <c r="B6354" s="119" t="str">
        <f>IFERROR(__xludf.DUMMYFUNCTION("""COMPUTED_VALUE"""),"Chú Vĩnh")</f>
        <v>Chú Vĩnh</v>
      </c>
      <c r="C6354" s="119" t="str">
        <f>IFERROR(__xludf.DUMMYFUNCTION("""COMPUTED_VALUE"""),"280/2 Nguyễn Sinh Cung")</f>
        <v>280/2 Nguyễn Sinh Cung</v>
      </c>
      <c r="D6354" s="119" t="str">
        <f>IFERROR(__xludf.DUMMYFUNCTION("""COMPUTED_VALUE"""),"Chó")</f>
        <v>Chó</v>
      </c>
      <c r="E6354" s="119" t="str">
        <f>IFERROR(__xludf.DUMMYFUNCTION("""COMPUTED_VALUE"""),"Lucky")</f>
        <v>Lucky</v>
      </c>
    </row>
    <row r="6355" ht="15.75" customHeight="1">
      <c r="A6355" s="122" t="str">
        <f>IFERROR(__xludf.DUMMYFUNCTION("""COMPUTED_VALUE"""),"0337 668 931")</f>
        <v>0337 668 931</v>
      </c>
      <c r="B6355" s="119" t="str">
        <f>IFERROR(__xludf.DUMMYFUNCTION("""COMPUTED_VALUE"""),"Anh Vũ")</f>
        <v>Anh Vũ</v>
      </c>
      <c r="C6355" s="119" t="str">
        <f>IFERROR(__xludf.DUMMYFUNCTION("""COMPUTED_VALUE"""),"k42 Quảng Tế")</f>
        <v>k42 Quảng Tế</v>
      </c>
      <c r="D6355" s="119" t="str">
        <f>IFERROR(__xludf.DUMMYFUNCTION("""COMPUTED_VALUE"""),"Chó")</f>
        <v>Chó</v>
      </c>
      <c r="E6355" s="119" t="str">
        <f>IFERROR(__xludf.DUMMYFUNCTION("""COMPUTED_VALUE"""),"Gạo")</f>
        <v>Gạo</v>
      </c>
    </row>
    <row r="6356" ht="15.75" customHeight="1">
      <c r="A6356" s="122" t="str">
        <f>IFERROR(__xludf.DUMMYFUNCTION("""COMPUTED_VALUE"""),"0358 830 960")</f>
        <v>0358 830 960</v>
      </c>
      <c r="B6356" s="119" t="str">
        <f>IFERROR(__xludf.DUMMYFUNCTION("""COMPUTED_VALUE"""),"Anh Nhật")</f>
        <v>Anh Nhật</v>
      </c>
      <c r="C6356" s="119" t="str">
        <f>IFERROR(__xludf.DUMMYFUNCTION("""COMPUTED_VALUE"""),"26 Tôn Thất Sơn")</f>
        <v>26 Tôn Thất Sơn</v>
      </c>
      <c r="D6356" s="119" t="str">
        <f>IFERROR(__xludf.DUMMYFUNCTION("""COMPUTED_VALUE"""),"Mèo")</f>
        <v>Mèo</v>
      </c>
      <c r="E6356" s="119"/>
    </row>
    <row r="6357" ht="15.75" customHeight="1">
      <c r="A6357" s="122" t="str">
        <f>IFERROR(__xludf.DUMMYFUNCTION("""COMPUTED_VALUE"""),"0326 631 874")</f>
        <v>0326 631 874</v>
      </c>
      <c r="B6357" s="119" t="str">
        <f>IFERROR(__xludf.DUMMYFUNCTION("""COMPUTED_VALUE"""),"Lê Phước Nhật Quang")</f>
        <v>Lê Phước Nhật Quang</v>
      </c>
      <c r="C6357" s="119" t="str">
        <f>IFERROR(__xludf.DUMMYFUNCTION("""COMPUTED_VALUE"""),"16/47 Lương Văn Can")</f>
        <v>16/47 Lương Văn Can</v>
      </c>
      <c r="D6357" s="119" t="str">
        <f>IFERROR(__xludf.DUMMYFUNCTION("""COMPUTED_VALUE"""),"Chó")</f>
        <v>Chó</v>
      </c>
      <c r="E6357" s="119" t="str">
        <f>IFERROR(__xludf.DUMMYFUNCTION("""COMPUTED_VALUE"""),"Kem")</f>
        <v>Kem</v>
      </c>
    </row>
    <row r="6358" ht="15.75" customHeight="1">
      <c r="A6358" s="122" t="str">
        <f>IFERROR(__xludf.DUMMYFUNCTION("""COMPUTED_VALUE"""),"0789 466 925")</f>
        <v>0789 466 925</v>
      </c>
      <c r="B6358" s="119" t="str">
        <f>IFERROR(__xludf.DUMMYFUNCTION("""COMPUTED_VALUE"""),"Em Phương")</f>
        <v>Em Phương</v>
      </c>
      <c r="C6358" s="119" t="str">
        <f>IFERROR(__xludf.DUMMYFUNCTION("""COMPUTED_VALUE"""),"100 Ngự Bình")</f>
        <v>100 Ngự Bình</v>
      </c>
      <c r="D6358" s="119" t="str">
        <f>IFERROR(__xludf.DUMMYFUNCTION("""COMPUTED_VALUE"""),"Mèo")</f>
        <v>Mèo</v>
      </c>
      <c r="E6358" s="119"/>
    </row>
    <row r="6359" ht="15.75" customHeight="1">
      <c r="A6359" s="122" t="str">
        <f>IFERROR(__xludf.DUMMYFUNCTION("""COMPUTED_VALUE"""),"0389 888 152")</f>
        <v>0389 888 152</v>
      </c>
      <c r="B6359" s="119" t="str">
        <f>IFERROR(__xludf.DUMMYFUNCTION("""COMPUTED_VALUE"""),"Anh Nguyễn Sinh")</f>
        <v>Anh Nguyễn Sinh</v>
      </c>
      <c r="C6359" s="119" t="str">
        <f>IFERROR(__xludf.DUMMYFUNCTION("""COMPUTED_VALUE"""),"112 Đặng Huy Trứ")</f>
        <v>112 Đặng Huy Trứ</v>
      </c>
      <c r="D6359" s="119" t="str">
        <f>IFERROR(__xludf.DUMMYFUNCTION("""COMPUTED_VALUE"""),"Chó")</f>
        <v>Chó</v>
      </c>
      <c r="E6359" s="119" t="str">
        <f>IFERROR(__xludf.DUMMYFUNCTION("""COMPUTED_VALUE"""),"Lai")</f>
        <v>Lai</v>
      </c>
    </row>
    <row r="6360" ht="15.75" customHeight="1">
      <c r="A6360" s="122" t="str">
        <f>IFERROR(__xludf.DUMMYFUNCTION("""COMPUTED_VALUE"""),"0935 691 275")</f>
        <v>0935 691 275</v>
      </c>
      <c r="B6360" s="119" t="str">
        <f>IFERROR(__xludf.DUMMYFUNCTION("""COMPUTED_VALUE"""),"Chị Bình")</f>
        <v>Chị Bình</v>
      </c>
      <c r="C6360" s="119" t="str">
        <f>IFERROR(__xludf.DUMMYFUNCTION("""COMPUTED_VALUE"""),"13/2/4 Trần Phú")</f>
        <v>13/2/4 Trần Phú</v>
      </c>
      <c r="D6360" s="119" t="str">
        <f>IFERROR(__xludf.DUMMYFUNCTION("""COMPUTED_VALUE"""),"Mèo")</f>
        <v>Mèo</v>
      </c>
      <c r="E6360" s="119" t="str">
        <f>IFERROR(__xludf.DUMMYFUNCTION("""COMPUTED_VALUE"""),"Hổ")</f>
        <v>Hổ</v>
      </c>
    </row>
    <row r="6361" ht="15.75" customHeight="1">
      <c r="A6361" s="122" t="str">
        <f>IFERROR(__xludf.DUMMYFUNCTION("""COMPUTED_VALUE"""),"0906 565 865")</f>
        <v>0906 565 865</v>
      </c>
      <c r="B6361" s="119" t="str">
        <f>IFERROR(__xludf.DUMMYFUNCTION("""COMPUTED_VALUE"""),"Anh Thành")</f>
        <v>Anh Thành</v>
      </c>
      <c r="C6361" s="119" t="str">
        <f>IFERROR(__xludf.DUMMYFUNCTION("""COMPUTED_VALUE"""),"5/36/9 Nam Giao")</f>
        <v>5/36/9 Nam Giao</v>
      </c>
      <c r="D6361" s="119" t="str">
        <f>IFERROR(__xludf.DUMMYFUNCTION("""COMPUTED_VALUE"""),"Chó")</f>
        <v>Chó</v>
      </c>
      <c r="E6361" s="119" t="str">
        <f>IFERROR(__xludf.DUMMYFUNCTION("""COMPUTED_VALUE"""),"Bi")</f>
        <v>Bi</v>
      </c>
    </row>
    <row r="6362" ht="15.75" customHeight="1">
      <c r="A6362" s="122" t="str">
        <f>IFERROR(__xludf.DUMMYFUNCTION("""COMPUTED_VALUE"""),"0779 540 897")</f>
        <v>0779 540 897</v>
      </c>
      <c r="B6362" s="119" t="str">
        <f>IFERROR(__xludf.DUMMYFUNCTION("""COMPUTED_VALUE"""),"Chị Nhi")</f>
        <v>Chị Nhi</v>
      </c>
      <c r="C6362" s="119" t="str">
        <f>IFERROR(__xludf.DUMMYFUNCTION("""COMPUTED_VALUE"""),"1/14/16 Đoàn Hữu Trưng")</f>
        <v>1/14/16 Đoàn Hữu Trưng</v>
      </c>
      <c r="D6362" s="119" t="str">
        <f>IFERROR(__xludf.DUMMYFUNCTION("""COMPUTED_VALUE"""),"Chó")</f>
        <v>Chó</v>
      </c>
      <c r="E6362" s="119" t="str">
        <f>IFERROR(__xludf.DUMMYFUNCTION("""COMPUTED_VALUE"""),"Phê")</f>
        <v>Phê</v>
      </c>
    </row>
    <row r="6363" ht="15.75" customHeight="1">
      <c r="A6363" s="122" t="str">
        <f>IFERROR(__xludf.DUMMYFUNCTION("""COMPUTED_VALUE"""),"0935 411 928")</f>
        <v>0935 411 928</v>
      </c>
      <c r="B6363" s="119" t="str">
        <f>IFERROR(__xludf.DUMMYFUNCTION("""COMPUTED_VALUE"""),"Đỗ Duy Vũ")</f>
        <v>Đỗ Duy Vũ</v>
      </c>
      <c r="C6363" s="119" t="str">
        <f>IFERROR(__xludf.DUMMYFUNCTION("""COMPUTED_VALUE"""),"24/16 Duy Tân")</f>
        <v>24/16 Duy Tân</v>
      </c>
      <c r="D6363" s="119" t="str">
        <f>IFERROR(__xludf.DUMMYFUNCTION("""COMPUTED_VALUE"""),"Chó")</f>
        <v>Chó</v>
      </c>
      <c r="E6363" s="119" t="str">
        <f>IFERROR(__xludf.DUMMYFUNCTION("""COMPUTED_VALUE"""),"Sam")</f>
        <v>Sam</v>
      </c>
    </row>
    <row r="6364" ht="15.75" customHeight="1">
      <c r="A6364" s="122" t="str">
        <f>IFERROR(__xludf.DUMMYFUNCTION("""COMPUTED_VALUE"""),"0981 702 798")</f>
        <v>0981 702 798</v>
      </c>
      <c r="B6364" s="119" t="str">
        <f>IFERROR(__xludf.DUMMYFUNCTION("""COMPUTED_VALUE"""),"anh Khoa")</f>
        <v>anh Khoa</v>
      </c>
      <c r="C6364" s="119" t="str">
        <f>IFERROR(__xludf.DUMMYFUNCTION("""COMPUTED_VALUE"""),"Địa Linh-Hương Vinh")</f>
        <v>Địa Linh-Hương Vinh</v>
      </c>
      <c r="D6364" s="119" t="str">
        <f>IFERROR(__xludf.DUMMYFUNCTION("""COMPUTED_VALUE"""),"Mèo")</f>
        <v>Mèo</v>
      </c>
      <c r="E6364" s="119" t="str">
        <f>IFERROR(__xludf.DUMMYFUNCTION("""COMPUTED_VALUE"""),"Pepsi")</f>
        <v>Pepsi</v>
      </c>
    </row>
    <row r="6365" ht="15.75" customHeight="1">
      <c r="A6365" s="122" t="str">
        <f>IFERROR(__xludf.DUMMYFUNCTION("""COMPUTED_VALUE"""),"0773 575 759")</f>
        <v>0773 575 759</v>
      </c>
      <c r="B6365" s="119" t="str">
        <f>IFERROR(__xludf.DUMMYFUNCTION("""COMPUTED_VALUE"""),"Chị Nga")</f>
        <v>Chị Nga</v>
      </c>
      <c r="C6365" s="119" t="str">
        <f>IFERROR(__xludf.DUMMYFUNCTION("""COMPUTED_VALUE"""),"16/1 Lê Ngô Cát")</f>
        <v>16/1 Lê Ngô Cát</v>
      </c>
      <c r="D6365" s="119" t="str">
        <f>IFERROR(__xludf.DUMMYFUNCTION("""COMPUTED_VALUE"""),"Chó")</f>
        <v>Chó</v>
      </c>
      <c r="E6365" s="119" t="str">
        <f>IFERROR(__xludf.DUMMYFUNCTION("""COMPUTED_VALUE"""),"Gấu")</f>
        <v>Gấu</v>
      </c>
    </row>
    <row r="6366" ht="15.75" customHeight="1">
      <c r="A6366" s="122" t="str">
        <f>IFERROR(__xludf.DUMMYFUNCTION("""COMPUTED_VALUE"""),"0857 406 222")</f>
        <v>0857 406 222</v>
      </c>
      <c r="B6366" s="119" t="str">
        <f>IFERROR(__xludf.DUMMYFUNCTION("""COMPUTED_VALUE"""),"Anh Tùng")</f>
        <v>Anh Tùng</v>
      </c>
      <c r="C6366" s="119" t="str">
        <f>IFERROR(__xludf.DUMMYFUNCTION("""COMPUTED_VALUE"""),"17/91/131 Trần Phú")</f>
        <v>17/91/131 Trần Phú</v>
      </c>
      <c r="D6366" s="119" t="str">
        <f>IFERROR(__xludf.DUMMYFUNCTION("""COMPUTED_VALUE"""),"Chó")</f>
        <v>Chó</v>
      </c>
      <c r="E6366" s="119" t="str">
        <f>IFERROR(__xludf.DUMMYFUNCTION("""COMPUTED_VALUE"""),"Lucky")</f>
        <v>Lucky</v>
      </c>
    </row>
    <row r="6367" ht="15.75" customHeight="1">
      <c r="A6367" s="122" t="str">
        <f>IFERROR(__xludf.DUMMYFUNCTION("""COMPUTED_VALUE"""),"0901 130 553")</f>
        <v>0901 130 553</v>
      </c>
      <c r="B6367" s="119" t="str">
        <f>IFERROR(__xludf.DUMMYFUNCTION("""COMPUTED_VALUE"""),"Chị Tiếu Vi")</f>
        <v>Chị Tiếu Vi</v>
      </c>
      <c r="C6367" s="119" t="str">
        <f>IFERROR(__xludf.DUMMYFUNCTION("""COMPUTED_VALUE"""),"k131 Trần Phú")</f>
        <v>k131 Trần Phú</v>
      </c>
      <c r="D6367" s="119" t="str">
        <f>IFERROR(__xludf.DUMMYFUNCTION("""COMPUTED_VALUE"""),"Chó")</f>
        <v>Chó</v>
      </c>
      <c r="E6367" s="119" t="str">
        <f>IFERROR(__xludf.DUMMYFUNCTION("""COMPUTED_VALUE"""),"Rocky")</f>
        <v>Rocky</v>
      </c>
    </row>
    <row r="6368" ht="15.75" customHeight="1">
      <c r="A6368" s="122" t="str">
        <f>IFERROR(__xludf.DUMMYFUNCTION("""COMPUTED_VALUE"""),"0914 312 363")</f>
        <v>0914 312 363</v>
      </c>
      <c r="B6368" s="119" t="str">
        <f>IFERROR(__xludf.DUMMYFUNCTION("""COMPUTED_VALUE"""),"Anh Thắng")</f>
        <v>Anh Thắng</v>
      </c>
      <c r="C6368" s="119" t="str">
        <f>IFERROR(__xludf.DUMMYFUNCTION("""COMPUTED_VALUE"""),"k106 Minh Mạng")</f>
        <v>k106 Minh Mạng</v>
      </c>
      <c r="D6368" s="119" t="str">
        <f>IFERROR(__xludf.DUMMYFUNCTION("""COMPUTED_VALUE"""),"Chó")</f>
        <v>Chó</v>
      </c>
      <c r="E6368" s="119"/>
    </row>
    <row r="6369" ht="15.75" customHeight="1">
      <c r="A6369" s="122" t="str">
        <f>IFERROR(__xludf.DUMMYFUNCTION("""COMPUTED_VALUE"""),"0335 983 431")</f>
        <v>0335 983 431</v>
      </c>
      <c r="B6369" s="119" t="str">
        <f>IFERROR(__xludf.DUMMYFUNCTION("""COMPUTED_VALUE"""),"William")</f>
        <v>William</v>
      </c>
      <c r="C6369" s="119" t="str">
        <f>IFERROR(__xludf.DUMMYFUNCTION("""COMPUTED_VALUE"""),"Trường Phượng Hoàng")</f>
        <v>Trường Phượng Hoàng</v>
      </c>
      <c r="D6369" s="119" t="str">
        <f>IFERROR(__xludf.DUMMYFUNCTION("""COMPUTED_VALUE"""),"Chó")</f>
        <v>Chó</v>
      </c>
      <c r="E6369" s="119" t="str">
        <f>IFERROR(__xludf.DUMMYFUNCTION("""COMPUTED_VALUE"""),"Tipet")</f>
        <v>Tipet</v>
      </c>
    </row>
    <row r="6370" ht="15.75" customHeight="1">
      <c r="A6370" s="122" t="str">
        <f>IFERROR(__xludf.DUMMYFUNCTION("""COMPUTED_VALUE"""),"0369 070 803")</f>
        <v>0369 070 803</v>
      </c>
      <c r="B6370" s="119" t="str">
        <f>IFERROR(__xludf.DUMMYFUNCTION("""COMPUTED_VALUE"""),"Hoàng Thị Mỹ Dung")</f>
        <v>Hoàng Thị Mỹ Dung</v>
      </c>
      <c r="C6370" s="119" t="str">
        <f>IFERROR(__xludf.DUMMYFUNCTION("""COMPUTED_VALUE"""),"61/170 Phùng Hưng")</f>
        <v>61/170 Phùng Hưng</v>
      </c>
      <c r="D6370" s="119" t="str">
        <f>IFERROR(__xludf.DUMMYFUNCTION("""COMPUTED_VALUE"""),"Chó")</f>
        <v>Chó</v>
      </c>
      <c r="E6370" s="119" t="str">
        <f>IFERROR(__xludf.DUMMYFUNCTION("""COMPUTED_VALUE"""),"Harry")</f>
        <v>Harry</v>
      </c>
    </row>
    <row r="6371" ht="15.75" customHeight="1">
      <c r="A6371" s="122" t="str">
        <f>IFERROR(__xludf.DUMMYFUNCTION("""COMPUTED_VALUE"""),"0355 906 646")</f>
        <v>0355 906 646</v>
      </c>
      <c r="B6371" s="119" t="str">
        <f>IFERROR(__xludf.DUMMYFUNCTION("""COMPUTED_VALUE"""),"Chị Khánh Linh")</f>
        <v>Chị Khánh Linh</v>
      </c>
      <c r="C6371" s="119" t="str">
        <f>IFERROR(__xludf.DUMMYFUNCTION("""COMPUTED_VALUE"""),"30 Đoàn Hữu Trưng")</f>
        <v>30 Đoàn Hữu Trưng</v>
      </c>
      <c r="D6371" s="119" t="str">
        <f>IFERROR(__xludf.DUMMYFUNCTION("""COMPUTED_VALUE"""),"Mèo")</f>
        <v>Mèo</v>
      </c>
      <c r="E6371" s="119" t="str">
        <f>IFERROR(__xludf.DUMMYFUNCTION("""COMPUTED_VALUE"""),"Mèo")</f>
        <v>Mèo</v>
      </c>
    </row>
    <row r="6372" ht="15.75" customHeight="1">
      <c r="A6372" s="122" t="str">
        <f>IFERROR(__xludf.DUMMYFUNCTION("""COMPUTED_VALUE"""),"0935 623 939")</f>
        <v>0935 623 939</v>
      </c>
      <c r="B6372" s="119" t="str">
        <f>IFERROR(__xludf.DUMMYFUNCTION("""COMPUTED_VALUE"""),"Dì Anh")</f>
        <v>Dì Anh</v>
      </c>
      <c r="C6372" s="119" t="str">
        <f>IFERROR(__xludf.DUMMYFUNCTION("""COMPUTED_VALUE"""),"30/9/131 Trần Phú")</f>
        <v>30/9/131 Trần Phú</v>
      </c>
      <c r="D6372" s="119" t="str">
        <f>IFERROR(__xludf.DUMMYFUNCTION("""COMPUTED_VALUE"""),"Chó")</f>
        <v>Chó</v>
      </c>
      <c r="E6372" s="119" t="str">
        <f>IFERROR(__xludf.DUMMYFUNCTION("""COMPUTED_VALUE"""),"Bi")</f>
        <v>Bi</v>
      </c>
    </row>
    <row r="6373" ht="15.75" customHeight="1">
      <c r="A6373" s="122" t="str">
        <f>IFERROR(__xludf.DUMMYFUNCTION("""COMPUTED_VALUE"""),"0796 563 256")</f>
        <v>0796 563 256</v>
      </c>
      <c r="B6373" s="119" t="str">
        <f>IFERROR(__xludf.DUMMYFUNCTION("""COMPUTED_VALUE"""),"Anh Việt")</f>
        <v>Anh Việt</v>
      </c>
      <c r="C6373" s="119" t="str">
        <f>IFERROR(__xludf.DUMMYFUNCTION("""COMPUTED_VALUE"""),"113/2 Bà Triệu")</f>
        <v>113/2 Bà Triệu</v>
      </c>
      <c r="D6373" s="119" t="str">
        <f>IFERROR(__xludf.DUMMYFUNCTION("""COMPUTED_VALUE"""),"Chó")</f>
        <v>Chó</v>
      </c>
      <c r="E6373" s="119" t="str">
        <f>IFERROR(__xludf.DUMMYFUNCTION("""COMPUTED_VALUE"""),"Mun")</f>
        <v>Mun</v>
      </c>
    </row>
    <row r="6374" ht="15.75" customHeight="1">
      <c r="A6374" s="122" t="str">
        <f>IFERROR(__xludf.DUMMYFUNCTION("""COMPUTED_VALUE"""),"0776 996 486")</f>
        <v>0776 996 486</v>
      </c>
      <c r="B6374" s="119" t="str">
        <f>IFERROR(__xludf.DUMMYFUNCTION("""COMPUTED_VALUE"""),"Chú Tuấn")</f>
        <v>Chú Tuấn</v>
      </c>
      <c r="C6374" s="119" t="str">
        <f>IFERROR(__xludf.DUMMYFUNCTION("""COMPUTED_VALUE"""),"121 Đặng Huy Trứ")</f>
        <v>121 Đặng Huy Trứ</v>
      </c>
      <c r="D6374" s="119" t="str">
        <f>IFERROR(__xludf.DUMMYFUNCTION("""COMPUTED_VALUE"""),"Chó")</f>
        <v>Chó</v>
      </c>
      <c r="E6374" s="119" t="str">
        <f>IFERROR(__xludf.DUMMYFUNCTION("""COMPUTED_VALUE"""),"Xù")</f>
        <v>Xù</v>
      </c>
    </row>
    <row r="6375" ht="15.75" customHeight="1">
      <c r="A6375" s="122" t="str">
        <f>IFERROR(__xludf.DUMMYFUNCTION("""COMPUTED_VALUE"""),"0702 720 264")</f>
        <v>0702 720 264</v>
      </c>
      <c r="B6375" s="119" t="str">
        <f>IFERROR(__xludf.DUMMYFUNCTION("""COMPUTED_VALUE"""),"Chị Nguyệt")</f>
        <v>Chị Nguyệt</v>
      </c>
      <c r="C6375" s="119" t="str">
        <f>IFERROR(__xludf.DUMMYFUNCTION("""COMPUTED_VALUE"""),"96 Thiên Thai")</f>
        <v>96 Thiên Thai</v>
      </c>
      <c r="D6375" s="119" t="str">
        <f>IFERROR(__xludf.DUMMYFUNCTION("""COMPUTED_VALUE"""),"Chó")</f>
        <v>Chó</v>
      </c>
      <c r="E6375" s="119" t="str">
        <f>IFERROR(__xludf.DUMMYFUNCTION("""COMPUTED_VALUE"""),"Mít")</f>
        <v>Mít</v>
      </c>
    </row>
    <row r="6376" ht="15.75" customHeight="1">
      <c r="A6376" s="122" t="str">
        <f>IFERROR(__xludf.DUMMYFUNCTION("""COMPUTED_VALUE"""),"0932 433 851")</f>
        <v>0932 433 851</v>
      </c>
      <c r="B6376" s="119" t="str">
        <f>IFERROR(__xludf.DUMMYFUNCTION("""COMPUTED_VALUE"""),"Anh Tiến")</f>
        <v>Anh Tiến</v>
      </c>
      <c r="C6376" s="119" t="str">
        <f>IFERROR(__xludf.DUMMYFUNCTION("""COMPUTED_VALUE"""),"61 Đặng Văn Ngữ")</f>
        <v>61 Đặng Văn Ngữ</v>
      </c>
      <c r="D6376" s="119" t="str">
        <f>IFERROR(__xludf.DUMMYFUNCTION("""COMPUTED_VALUE"""),"Mèo")</f>
        <v>Mèo</v>
      </c>
      <c r="E6376" s="119" t="str">
        <f>IFERROR(__xludf.DUMMYFUNCTION("""COMPUTED_VALUE"""),"Moon")</f>
        <v>Moon</v>
      </c>
    </row>
    <row r="6377" ht="15.75" customHeight="1">
      <c r="A6377" s="122" t="str">
        <f>IFERROR(__xludf.DUMMYFUNCTION("""COMPUTED_VALUE"""),"0762 357 575")</f>
        <v>0762 357 575</v>
      </c>
      <c r="B6377" s="119" t="str">
        <f>IFERROR(__xludf.DUMMYFUNCTION("""COMPUTED_VALUE"""),"Chị Phương Thanh")</f>
        <v>Chị Phương Thanh</v>
      </c>
      <c r="C6377" s="119" t="str">
        <f>IFERROR(__xludf.DUMMYFUNCTION("""COMPUTED_VALUE"""),"229 Phan Bội Châu")</f>
        <v>229 Phan Bội Châu</v>
      </c>
      <c r="D6377" s="119" t="str">
        <f>IFERROR(__xludf.DUMMYFUNCTION("""COMPUTED_VALUE"""),"Chó")</f>
        <v>Chó</v>
      </c>
      <c r="E6377" s="119" t="str">
        <f>IFERROR(__xludf.DUMMYFUNCTION("""COMPUTED_VALUE"""),"Cafe")</f>
        <v>Cafe</v>
      </c>
    </row>
    <row r="6378" ht="15.75" customHeight="1">
      <c r="A6378" s="122" t="str">
        <f>IFERROR(__xludf.DUMMYFUNCTION("""COMPUTED_VALUE"""),"0916 490 164")</f>
        <v>0916 490 164</v>
      </c>
      <c r="B6378" s="119" t="str">
        <f>IFERROR(__xludf.DUMMYFUNCTION("""COMPUTED_VALUE"""),"Anh Tuấn")</f>
        <v>Anh Tuấn</v>
      </c>
      <c r="C6378" s="119" t="str">
        <f>IFERROR(__xludf.DUMMYFUNCTION("""COMPUTED_VALUE"""),"12/125 Đặng Văn Ngữ")</f>
        <v>12/125 Đặng Văn Ngữ</v>
      </c>
      <c r="D6378" s="119" t="str">
        <f>IFERROR(__xludf.DUMMYFUNCTION("""COMPUTED_VALUE"""),"Chó")</f>
        <v>Chó</v>
      </c>
      <c r="E6378" s="119" t="str">
        <f>IFERROR(__xludf.DUMMYFUNCTION("""COMPUTED_VALUE"""),"Nâu")</f>
        <v>Nâu</v>
      </c>
    </row>
    <row r="6379" ht="15.75" customHeight="1">
      <c r="A6379" s="122" t="str">
        <f>IFERROR(__xludf.DUMMYFUNCTION("""COMPUTED_VALUE"""),"0387 751 430")</f>
        <v>0387 751 430</v>
      </c>
      <c r="B6379" s="119" t="str">
        <f>IFERROR(__xludf.DUMMYFUNCTION("""COMPUTED_VALUE"""),"Chị Nhàn")</f>
        <v>Chị Nhàn</v>
      </c>
      <c r="C6379" s="119" t="str">
        <f>IFERROR(__xludf.DUMMYFUNCTION("""COMPUTED_VALUE"""),"64/131 Trần Phú")</f>
        <v>64/131 Trần Phú</v>
      </c>
      <c r="D6379" s="119" t="str">
        <f>IFERROR(__xludf.DUMMYFUNCTION("""COMPUTED_VALUE"""),"Mèo")</f>
        <v>Mèo</v>
      </c>
      <c r="E6379" s="119" t="str">
        <f>IFERROR(__xludf.DUMMYFUNCTION("""COMPUTED_VALUE"""),"Dần")</f>
        <v>Dần</v>
      </c>
    </row>
    <row r="6380" ht="15.75" customHeight="1">
      <c r="A6380" s="122" t="str">
        <f>IFERROR(__xludf.DUMMYFUNCTION("""COMPUTED_VALUE"""),"0905 894 929")</f>
        <v>0905 894 929</v>
      </c>
      <c r="B6380" s="119" t="str">
        <f>IFERROR(__xludf.DUMMYFUNCTION("""COMPUTED_VALUE"""),"Chị Thái")</f>
        <v>Chị Thái</v>
      </c>
      <c r="C6380" s="119" t="str">
        <f>IFERROR(__xludf.DUMMYFUNCTION("""COMPUTED_VALUE"""),"21/5/31 Lịch Đợi")</f>
        <v>21/5/31 Lịch Đợi</v>
      </c>
      <c r="D6380" s="119" t="str">
        <f>IFERROR(__xludf.DUMMYFUNCTION("""COMPUTED_VALUE"""),"Chó")</f>
        <v>Chó</v>
      </c>
      <c r="E6380" s="119" t="str">
        <f>IFERROR(__xludf.DUMMYFUNCTION("""COMPUTED_VALUE"""),"Mỏ Heo")</f>
        <v>Mỏ Heo</v>
      </c>
    </row>
    <row r="6381" ht="15.75" customHeight="1">
      <c r="A6381" s="122" t="str">
        <f>IFERROR(__xludf.DUMMYFUNCTION("""COMPUTED_VALUE"""),"0387 772 296")</f>
        <v>0387 772 296</v>
      </c>
      <c r="B6381" s="119" t="str">
        <f>IFERROR(__xludf.DUMMYFUNCTION("""COMPUTED_VALUE"""),"Anh Long")</f>
        <v>Anh Long</v>
      </c>
      <c r="C6381" s="119" t="str">
        <f>IFERROR(__xludf.DUMMYFUNCTION("""COMPUTED_VALUE"""),"k54 Lê Ngô Cát")</f>
        <v>k54 Lê Ngô Cát</v>
      </c>
      <c r="D6381" s="119" t="str">
        <f>IFERROR(__xludf.DUMMYFUNCTION("""COMPUTED_VALUE"""),"Mèo")</f>
        <v>Mèo</v>
      </c>
      <c r="E6381" s="119" t="str">
        <f>IFERROR(__xludf.DUMMYFUNCTION("""COMPUTED_VALUE"""),"Miu")</f>
        <v>Miu</v>
      </c>
    </row>
    <row r="6382" ht="15.75" customHeight="1">
      <c r="A6382" s="122" t="str">
        <f>IFERROR(__xludf.DUMMYFUNCTION("""COMPUTED_VALUE"""),"0797 998 300")</f>
        <v>0797 998 300</v>
      </c>
      <c r="B6382" s="119" t="str">
        <f>IFERROR(__xludf.DUMMYFUNCTION("""COMPUTED_VALUE"""),"Nhật Linh")</f>
        <v>Nhật Linh</v>
      </c>
      <c r="C6382" s="119" t="str">
        <f>IFERROR(__xludf.DUMMYFUNCTION("""COMPUTED_VALUE"""),"101B Lê Ngô Cát")</f>
        <v>101B Lê Ngô Cát</v>
      </c>
      <c r="D6382" s="119" t="str">
        <f>IFERROR(__xludf.DUMMYFUNCTION("""COMPUTED_VALUE"""),"Chó")</f>
        <v>Chó</v>
      </c>
      <c r="E6382" s="119"/>
    </row>
    <row r="6383" ht="15.75" customHeight="1">
      <c r="A6383" s="122" t="str">
        <f>IFERROR(__xludf.DUMMYFUNCTION("""COMPUTED_VALUE"""),"0368 468 772")</f>
        <v>0368 468 772</v>
      </c>
      <c r="B6383" s="119" t="str">
        <f>IFERROR(__xludf.DUMMYFUNCTION("""COMPUTED_VALUE"""),"Chị Hiệp")</f>
        <v>Chị Hiệp</v>
      </c>
      <c r="C6383" s="119" t="str">
        <f>IFERROR(__xludf.DUMMYFUNCTION("""COMPUTED_VALUE"""),"37/42 Nguyễn Công Trứ")</f>
        <v>37/42 Nguyễn Công Trứ</v>
      </c>
      <c r="D6383" s="119" t="str">
        <f>IFERROR(__xludf.DUMMYFUNCTION("""COMPUTED_VALUE"""),"Chó")</f>
        <v>Chó</v>
      </c>
      <c r="E6383" s="119" t="str">
        <f>IFERROR(__xludf.DUMMYFUNCTION("""COMPUTED_VALUE"""),"Bơ")</f>
        <v>Bơ</v>
      </c>
    </row>
    <row r="6384" ht="15.75" customHeight="1">
      <c r="A6384" s="122" t="str">
        <f>IFERROR(__xludf.DUMMYFUNCTION("""COMPUTED_VALUE"""),"0915 878 354")</f>
        <v>0915 878 354</v>
      </c>
      <c r="B6384" s="119" t="str">
        <f>IFERROR(__xludf.DUMMYFUNCTION("""COMPUTED_VALUE"""),"Anh Hiếu")</f>
        <v>Anh Hiếu</v>
      </c>
      <c r="C6384" s="119" t="str">
        <f>IFERROR(__xludf.DUMMYFUNCTION("""COMPUTED_VALUE"""),"Thích Tịnh Khiết")</f>
        <v>Thích Tịnh Khiết</v>
      </c>
      <c r="D6384" s="119" t="str">
        <f>IFERROR(__xludf.DUMMYFUNCTION("""COMPUTED_VALUE"""),"Mèo")</f>
        <v>Mèo</v>
      </c>
      <c r="E6384" s="119" t="str">
        <f>IFERROR(__xludf.DUMMYFUNCTION("""COMPUTED_VALUE"""),"Sữa")</f>
        <v>Sữa</v>
      </c>
    </row>
    <row r="6385" ht="15.75" customHeight="1">
      <c r="A6385" s="122" t="str">
        <f>IFERROR(__xludf.DUMMYFUNCTION("""COMPUTED_VALUE"""),"0909 131 152")</f>
        <v>0909 131 152</v>
      </c>
      <c r="B6385" s="119" t="str">
        <f>IFERROR(__xludf.DUMMYFUNCTION("""COMPUTED_VALUE"""),"Mai Phượng Tiên")</f>
        <v>Mai Phượng Tiên</v>
      </c>
      <c r="C6385" s="119" t="str">
        <f>IFERROR(__xludf.DUMMYFUNCTION("""COMPUTED_VALUE"""),"22k6 Tam Thai")</f>
        <v>22k6 Tam Thai</v>
      </c>
      <c r="D6385" s="119" t="str">
        <f>IFERROR(__xludf.DUMMYFUNCTION("""COMPUTED_VALUE"""),"Mèo")</f>
        <v>Mèo</v>
      </c>
      <c r="E6385" s="119" t="str">
        <f>IFERROR(__xludf.DUMMYFUNCTION("""COMPUTED_VALUE"""),"Mướp")</f>
        <v>Mướp</v>
      </c>
    </row>
    <row r="6386" ht="15.75" customHeight="1">
      <c r="A6386" s="122" t="str">
        <f>IFERROR(__xludf.DUMMYFUNCTION("""COMPUTED_VALUE"""),"0917 857 345")</f>
        <v>0917 857 345</v>
      </c>
      <c r="B6386" s="119" t="str">
        <f>IFERROR(__xludf.DUMMYFUNCTION("""COMPUTED_VALUE"""),"E Nhi")</f>
        <v>E Nhi</v>
      </c>
      <c r="C6386" s="119" t="str">
        <f>IFERROR(__xludf.DUMMYFUNCTION("""COMPUTED_VALUE"""),"Thủy Bằng")</f>
        <v>Thủy Bằng</v>
      </c>
      <c r="D6386" s="119" t="str">
        <f>IFERROR(__xludf.DUMMYFUNCTION("""COMPUTED_VALUE"""),"Chó")</f>
        <v>Chó</v>
      </c>
      <c r="E6386" s="119" t="str">
        <f>IFERROR(__xludf.DUMMYFUNCTION("""COMPUTED_VALUE"""),"Đôla")</f>
        <v>Đôla</v>
      </c>
    </row>
    <row r="6387" ht="15.75" customHeight="1">
      <c r="A6387" s="122" t="str">
        <f>IFERROR(__xludf.DUMMYFUNCTION("""COMPUTED_VALUE"""),"0773 553 676")</f>
        <v>0773 553 676</v>
      </c>
      <c r="B6387" s="119" t="str">
        <f>IFERROR(__xludf.DUMMYFUNCTION("""COMPUTED_VALUE"""),"Dì Phương")</f>
        <v>Dì Phương</v>
      </c>
      <c r="C6387" s="119" t="str">
        <f>IFERROR(__xludf.DUMMYFUNCTION("""COMPUTED_VALUE"""),"k131 Trần Phú")</f>
        <v>k131 Trần Phú</v>
      </c>
      <c r="D6387" s="119" t="str">
        <f>IFERROR(__xludf.DUMMYFUNCTION("""COMPUTED_VALUE"""),"Mèo")</f>
        <v>Mèo</v>
      </c>
      <c r="E6387" s="119" t="str">
        <f>IFERROR(__xludf.DUMMYFUNCTION("""COMPUTED_VALUE"""),"Xôi")</f>
        <v>Xôi</v>
      </c>
    </row>
    <row r="6388" ht="15.75" customHeight="1">
      <c r="A6388" s="122" t="str">
        <f>IFERROR(__xludf.DUMMYFUNCTION("""COMPUTED_VALUE"""),"0967 567 125")</f>
        <v>0967 567 125</v>
      </c>
      <c r="B6388" s="119" t="str">
        <f>IFERROR(__xludf.DUMMYFUNCTION("""COMPUTED_VALUE"""),"Anh Phi")</f>
        <v>Anh Phi</v>
      </c>
      <c r="C6388" s="119" t="str">
        <f>IFERROR(__xludf.DUMMYFUNCTION("""COMPUTED_VALUE"""),"14A/44 Duy Tân")</f>
        <v>14A/44 Duy Tân</v>
      </c>
      <c r="D6388" s="119" t="str">
        <f>IFERROR(__xludf.DUMMYFUNCTION("""COMPUTED_VALUE"""),"Chó")</f>
        <v>Chó</v>
      </c>
      <c r="E6388" s="119" t="str">
        <f>IFERROR(__xludf.DUMMYFUNCTION("""COMPUTED_VALUE"""),"Vàng")</f>
        <v>Vàng</v>
      </c>
    </row>
    <row r="6389" ht="15.75" customHeight="1">
      <c r="A6389" s="122" t="str">
        <f>IFERROR(__xludf.DUMMYFUNCTION("""COMPUTED_VALUE"""),"0799 138 383")</f>
        <v>0799 138 383</v>
      </c>
      <c r="B6389" s="119" t="str">
        <f>IFERROR(__xludf.DUMMYFUNCTION("""COMPUTED_VALUE"""),"Trung")</f>
        <v>Trung</v>
      </c>
      <c r="C6389" s="119" t="str">
        <f>IFERROR(__xludf.DUMMYFUNCTION("""COMPUTED_VALUE"""),"32 Bến Nghé")</f>
        <v>32 Bến Nghé</v>
      </c>
      <c r="D6389" s="119" t="str">
        <f>IFERROR(__xludf.DUMMYFUNCTION("""COMPUTED_VALUE"""),"Mèo")</f>
        <v>Mèo</v>
      </c>
      <c r="E6389" s="119" t="str">
        <f>IFERROR(__xludf.DUMMYFUNCTION("""COMPUTED_VALUE"""),"Trắng")</f>
        <v>Trắng</v>
      </c>
    </row>
    <row r="6390" ht="15.75" customHeight="1">
      <c r="A6390" s="122" t="str">
        <f>IFERROR(__xludf.DUMMYFUNCTION("""COMPUTED_VALUE"""),"0934 721 848")</f>
        <v>0934 721 848</v>
      </c>
      <c r="B6390" s="119" t="str">
        <f>IFERROR(__xludf.DUMMYFUNCTION("""COMPUTED_VALUE"""),"Chú Lực")</f>
        <v>Chú Lực</v>
      </c>
      <c r="C6390" s="119" t="str">
        <f>IFERROR(__xludf.DUMMYFUNCTION("""COMPUTED_VALUE"""),"251 Phan Bội Châu")</f>
        <v>251 Phan Bội Châu</v>
      </c>
      <c r="D6390" s="119" t="str">
        <f>IFERROR(__xludf.DUMMYFUNCTION("""COMPUTED_VALUE"""),"Mèo")</f>
        <v>Mèo</v>
      </c>
      <c r="E6390" s="119" t="str">
        <f>IFERROR(__xludf.DUMMYFUNCTION("""COMPUTED_VALUE"""),"Lắc Lắc")</f>
        <v>Lắc Lắc</v>
      </c>
    </row>
    <row r="6391" ht="15.75" customHeight="1">
      <c r="A6391" s="122" t="str">
        <f>IFERROR(__xludf.DUMMYFUNCTION("""COMPUTED_VALUE"""),"0334 002 150")</f>
        <v>0334 002 150</v>
      </c>
      <c r="B6391" s="119" t="str">
        <f>IFERROR(__xludf.DUMMYFUNCTION("""COMPUTED_VALUE"""),"Chị Quỳnh")</f>
        <v>Chị Quỳnh</v>
      </c>
      <c r="C6391" s="119" t="str">
        <f>IFERROR(__xludf.DUMMYFUNCTION("""COMPUTED_VALUE"""),"Quảng Công")</f>
        <v>Quảng Công</v>
      </c>
      <c r="D6391" s="119" t="str">
        <f>IFERROR(__xludf.DUMMYFUNCTION("""COMPUTED_VALUE"""),"Chó")</f>
        <v>Chó</v>
      </c>
      <c r="E6391" s="119" t="str">
        <f>IFERROR(__xludf.DUMMYFUNCTION("""COMPUTED_VALUE"""),"Mèo")</f>
        <v>Mèo</v>
      </c>
    </row>
    <row r="6392" ht="15.75" customHeight="1">
      <c r="A6392" s="122" t="str">
        <f>IFERROR(__xludf.DUMMYFUNCTION("""COMPUTED_VALUE"""),"0906 466 829")</f>
        <v>0906 466 829</v>
      </c>
      <c r="B6392" s="119" t="str">
        <f>IFERROR(__xludf.DUMMYFUNCTION("""COMPUTED_VALUE"""),"Lâm")</f>
        <v>Lâm</v>
      </c>
      <c r="C6392" s="119" t="str">
        <f>IFERROR(__xludf.DUMMYFUNCTION("""COMPUTED_VALUE"""),"Phú Vang")</f>
        <v>Phú Vang</v>
      </c>
      <c r="D6392" s="119" t="str">
        <f>IFERROR(__xludf.DUMMYFUNCTION("""COMPUTED_VALUE"""),"Mèo")</f>
        <v>Mèo</v>
      </c>
      <c r="E6392" s="119"/>
    </row>
    <row r="6393" ht="15.75" customHeight="1">
      <c r="A6393" s="122" t="str">
        <f>IFERROR(__xludf.DUMMYFUNCTION("""COMPUTED_VALUE"""),"0398 616 812")</f>
        <v>0398 616 812</v>
      </c>
      <c r="B6393" s="119" t="str">
        <f>IFERROR(__xludf.DUMMYFUNCTION("""COMPUTED_VALUE"""),"Anh Thắng")</f>
        <v>Anh Thắng</v>
      </c>
      <c r="C6393" s="119" t="str">
        <f>IFERROR(__xludf.DUMMYFUNCTION("""COMPUTED_VALUE"""),"Chung Cư Trường An")</f>
        <v>Chung Cư Trường An</v>
      </c>
      <c r="D6393" s="119" t="str">
        <f>IFERROR(__xludf.DUMMYFUNCTION("""COMPUTED_VALUE"""),"Mèo")</f>
        <v>Mèo</v>
      </c>
      <c r="E6393" s="119" t="str">
        <f>IFERROR(__xludf.DUMMYFUNCTION("""COMPUTED_VALUE"""),"Bông")</f>
        <v>Bông</v>
      </c>
    </row>
    <row r="6394" ht="15.75" customHeight="1">
      <c r="A6394" s="122" t="str">
        <f>IFERROR(__xludf.DUMMYFUNCTION("""COMPUTED_VALUE"""),"0961 575 770")</f>
        <v>0961 575 770</v>
      </c>
      <c r="B6394" s="119" t="str">
        <f>IFERROR(__xludf.DUMMYFUNCTION("""COMPUTED_VALUE"""),"Chị Hiền")</f>
        <v>Chị Hiền</v>
      </c>
      <c r="C6394" s="119" t="str">
        <f>IFERROR(__xludf.DUMMYFUNCTION("""COMPUTED_VALUE"""),"14 Trần Phú")</f>
        <v>14 Trần Phú</v>
      </c>
      <c r="D6394" s="119" t="str">
        <f>IFERROR(__xludf.DUMMYFUNCTION("""COMPUTED_VALUE"""),"Chó")</f>
        <v>Chó</v>
      </c>
      <c r="E6394" s="119" t="str">
        <f>IFERROR(__xludf.DUMMYFUNCTION("""COMPUTED_VALUE"""),"Mon")</f>
        <v>Mon</v>
      </c>
    </row>
    <row r="6395" ht="15.75" customHeight="1">
      <c r="A6395" s="122" t="str">
        <f>IFERROR(__xludf.DUMMYFUNCTION("""COMPUTED_VALUE"""),"0913 718 089")</f>
        <v>0913 718 089</v>
      </c>
      <c r="B6395" s="119" t="str">
        <f>IFERROR(__xludf.DUMMYFUNCTION("""COMPUTED_VALUE"""),"Chị Thanh")</f>
        <v>Chị Thanh</v>
      </c>
      <c r="C6395" s="119" t="str">
        <f>IFERROR(__xludf.DUMMYFUNCTION("""COMPUTED_VALUE"""),"12/51/131 Trần Phú")</f>
        <v>12/51/131 Trần Phú</v>
      </c>
      <c r="D6395" s="119" t="str">
        <f>IFERROR(__xludf.DUMMYFUNCTION("""COMPUTED_VALUE"""),"Mèo")</f>
        <v>Mèo</v>
      </c>
      <c r="E6395" s="119" t="str">
        <f>IFERROR(__xludf.DUMMYFUNCTION("""COMPUTED_VALUE"""),"Mun")</f>
        <v>Mun</v>
      </c>
    </row>
    <row r="6396" ht="15.75" customHeight="1">
      <c r="A6396" s="122" t="str">
        <f>IFERROR(__xludf.DUMMYFUNCTION("""COMPUTED_VALUE"""),"0779 552 498")</f>
        <v>0779 552 498</v>
      </c>
      <c r="B6396" s="119" t="str">
        <f>IFERROR(__xludf.DUMMYFUNCTION("""COMPUTED_VALUE"""),"Em Hằng")</f>
        <v>Em Hằng</v>
      </c>
      <c r="C6396" s="119" t="str">
        <f>IFERROR(__xludf.DUMMYFUNCTION("""COMPUTED_VALUE"""),"Phú Hải")</f>
        <v>Phú Hải</v>
      </c>
      <c r="D6396" s="119" t="str">
        <f>IFERROR(__xludf.DUMMYFUNCTION("""COMPUTED_VALUE"""),"Chó")</f>
        <v>Chó</v>
      </c>
      <c r="E6396" s="119" t="str">
        <f>IFERROR(__xludf.DUMMYFUNCTION("""COMPUTED_VALUE"""),"Pu")</f>
        <v>Pu</v>
      </c>
    </row>
    <row r="6397" ht="15.75" customHeight="1">
      <c r="A6397" s="122" t="str">
        <f>IFERROR(__xludf.DUMMYFUNCTION("""COMPUTED_VALUE"""),"0363 996 796")</f>
        <v>0363 996 796</v>
      </c>
      <c r="B6397" s="119" t="str">
        <f>IFERROR(__xludf.DUMMYFUNCTION("""COMPUTED_VALUE"""),"Chị Liên")</f>
        <v>Chị Liên</v>
      </c>
      <c r="C6397" s="119" t="str">
        <f>IFERROR(__xludf.DUMMYFUNCTION("""COMPUTED_VALUE"""),"Thuận An")</f>
        <v>Thuận An</v>
      </c>
      <c r="D6397" s="119" t="str">
        <f>IFERROR(__xludf.DUMMYFUNCTION("""COMPUTED_VALUE"""),"Chó")</f>
        <v>Chó</v>
      </c>
      <c r="E6397" s="119" t="str">
        <f>IFERROR(__xludf.DUMMYFUNCTION("""COMPUTED_VALUE"""),"Ly")</f>
        <v>Ly</v>
      </c>
    </row>
    <row r="6398" ht="15.75" customHeight="1">
      <c r="A6398" s="122" t="str">
        <f>IFERROR(__xludf.DUMMYFUNCTION("""COMPUTED_VALUE"""),"0332 291 030")</f>
        <v>0332 291 030</v>
      </c>
      <c r="B6398" s="119" t="str">
        <f>IFERROR(__xludf.DUMMYFUNCTION("""COMPUTED_VALUE"""),"Chị Quỳnh")</f>
        <v>Chị Quỳnh</v>
      </c>
      <c r="C6398" s="119" t="str">
        <f>IFERROR(__xludf.DUMMYFUNCTION("""COMPUTED_VALUE"""),"Phú An-Phú Vang")</f>
        <v>Phú An-Phú Vang</v>
      </c>
      <c r="D6398" s="119" t="str">
        <f>IFERROR(__xludf.DUMMYFUNCTION("""COMPUTED_VALUE"""),"Chó")</f>
        <v>Chó</v>
      </c>
      <c r="E6398" s="119" t="str">
        <f>IFERROR(__xludf.DUMMYFUNCTION("""COMPUTED_VALUE"""),"Nấm")</f>
        <v>Nấm</v>
      </c>
    </row>
    <row r="6399" ht="15.75" customHeight="1">
      <c r="A6399" s="122" t="str">
        <f>IFERROR(__xludf.DUMMYFUNCTION("""COMPUTED_VALUE"""),"0917 774 852")</f>
        <v>0917 774 852</v>
      </c>
      <c r="B6399" s="119" t="str">
        <f>IFERROR(__xludf.DUMMYFUNCTION("""COMPUTED_VALUE"""),"Chị Hương/Ngân")</f>
        <v>Chị Hương/Ngân</v>
      </c>
      <c r="C6399" s="119" t="str">
        <f>IFERROR(__xludf.DUMMYFUNCTION("""COMPUTED_VALUE"""),"246 Hùng Vương")</f>
        <v>246 Hùng Vương</v>
      </c>
      <c r="D6399" s="119" t="str">
        <f>IFERROR(__xludf.DUMMYFUNCTION("""COMPUTED_VALUE"""),"Chó")</f>
        <v>Chó</v>
      </c>
      <c r="E6399" s="119" t="str">
        <f>IFERROR(__xludf.DUMMYFUNCTION("""COMPUTED_VALUE"""),"Thiên An")</f>
        <v>Thiên An</v>
      </c>
    </row>
    <row r="6400" ht="15.75" customHeight="1">
      <c r="A6400" s="122" t="str">
        <f>IFERROR(__xludf.DUMMYFUNCTION("""COMPUTED_VALUE"""),"0832 991 111")</f>
        <v>0832 991 111</v>
      </c>
      <c r="B6400" s="119" t="str">
        <f>IFERROR(__xludf.DUMMYFUNCTION("""COMPUTED_VALUE"""),"Anh Đức")</f>
        <v>Anh Đức</v>
      </c>
      <c r="C6400" s="119" t="str">
        <f>IFERROR(__xludf.DUMMYFUNCTION("""COMPUTED_VALUE"""),"45 Nguyễn Thiện Kế")</f>
        <v>45 Nguyễn Thiện Kế</v>
      </c>
      <c r="D6400" s="119" t="str">
        <f>IFERROR(__xludf.DUMMYFUNCTION("""COMPUTED_VALUE"""),"Chó")</f>
        <v>Chó</v>
      </c>
      <c r="E6400" s="119" t="str">
        <f>IFERROR(__xludf.DUMMYFUNCTION("""COMPUTED_VALUE"""),"Mực")</f>
        <v>Mực</v>
      </c>
    </row>
    <row r="6401" ht="15.75" customHeight="1">
      <c r="A6401" s="122" t="str">
        <f>IFERROR(__xludf.DUMMYFUNCTION("""COMPUTED_VALUE"""),"0799 466 575")</f>
        <v>0799 466 575</v>
      </c>
      <c r="B6401" s="119" t="str">
        <f>IFERROR(__xludf.DUMMYFUNCTION("""COMPUTED_VALUE"""),"Trương Trần Bảo Châu")</f>
        <v>Trương Trần Bảo Châu</v>
      </c>
      <c r="C6401" s="119" t="str">
        <f>IFERROR(__xludf.DUMMYFUNCTION("""COMPUTED_VALUE"""),"2/32/65 Phan Bội Châu")</f>
        <v>2/32/65 Phan Bội Châu</v>
      </c>
      <c r="D6401" s="119" t="str">
        <f>IFERROR(__xludf.DUMMYFUNCTION("""COMPUTED_VALUE"""),"Chó")</f>
        <v>Chó</v>
      </c>
      <c r="E6401" s="119" t="str">
        <f>IFERROR(__xludf.DUMMYFUNCTION("""COMPUTED_VALUE"""),"Sói")</f>
        <v>Sói</v>
      </c>
    </row>
    <row r="6402" ht="15.75" customHeight="1">
      <c r="A6402" s="122" t="str">
        <f>IFERROR(__xludf.DUMMYFUNCTION("""COMPUTED_VALUE"""),"0834 463 165")</f>
        <v>0834 463 165</v>
      </c>
      <c r="B6402" s="119" t="str">
        <f>IFERROR(__xludf.DUMMYFUNCTION("""COMPUTED_VALUE"""),"Chú Thọ")</f>
        <v>Chú Thọ</v>
      </c>
      <c r="C6402" s="119" t="str">
        <f>IFERROR(__xludf.DUMMYFUNCTION("""COMPUTED_VALUE"""),"57A Hoàng Thị Loan")</f>
        <v>57A Hoàng Thị Loan</v>
      </c>
      <c r="D6402" s="119" t="str">
        <f>IFERROR(__xludf.DUMMYFUNCTION("""COMPUTED_VALUE"""),"Chó")</f>
        <v>Chó</v>
      </c>
      <c r="E6402" s="119" t="str">
        <f>IFERROR(__xludf.DUMMYFUNCTION("""COMPUTED_VALUE"""),"Bông")</f>
        <v>Bông</v>
      </c>
    </row>
    <row r="6403" ht="15.75" customHeight="1">
      <c r="A6403" s="122" t="str">
        <f>IFERROR(__xludf.DUMMYFUNCTION("""COMPUTED_VALUE"""),"0918 557 295")</f>
        <v>0918 557 295</v>
      </c>
      <c r="B6403" s="119" t="str">
        <f>IFERROR(__xludf.DUMMYFUNCTION("""COMPUTED_VALUE"""),"Chị Ry")</f>
        <v>Chị Ry</v>
      </c>
      <c r="C6403" s="119" t="str">
        <f>IFERROR(__xludf.DUMMYFUNCTION("""COMPUTED_VALUE"""),"K36 Trần Quang Khải")</f>
        <v>K36 Trần Quang Khải</v>
      </c>
      <c r="D6403" s="119" t="str">
        <f>IFERROR(__xludf.DUMMYFUNCTION("""COMPUTED_VALUE"""),"Chó")</f>
        <v>Chó</v>
      </c>
      <c r="E6403" s="119" t="str">
        <f>IFERROR(__xludf.DUMMYFUNCTION("""COMPUTED_VALUE"""),"Bun")</f>
        <v>Bun</v>
      </c>
    </row>
    <row r="6404" ht="15.75" customHeight="1">
      <c r="A6404" s="122" t="str">
        <f>IFERROR(__xludf.DUMMYFUNCTION("""COMPUTED_VALUE"""),"0934 120 392")</f>
        <v>0934 120 392</v>
      </c>
      <c r="B6404" s="119" t="str">
        <f>IFERROR(__xludf.DUMMYFUNCTION("""COMPUTED_VALUE"""),"Chị An Nhiên")</f>
        <v>Chị An Nhiên</v>
      </c>
      <c r="C6404" s="119" t="str">
        <f>IFERROR(__xludf.DUMMYFUNCTION("""COMPUTED_VALUE"""),"147A Điện Biên Phủ")</f>
        <v>147A Điện Biên Phủ</v>
      </c>
      <c r="D6404" s="119" t="str">
        <f>IFERROR(__xludf.DUMMYFUNCTION("""COMPUTED_VALUE"""),"Mèo")</f>
        <v>Mèo</v>
      </c>
      <c r="E6404" s="119" t="str">
        <f>IFERROR(__xludf.DUMMYFUNCTION("""COMPUTED_VALUE"""),"Mập")</f>
        <v>Mập</v>
      </c>
    </row>
    <row r="6405" ht="15.75" customHeight="1">
      <c r="A6405" s="122" t="str">
        <f>IFERROR(__xludf.DUMMYFUNCTION("""COMPUTED_VALUE"""),"0966 974 390")</f>
        <v>0966 974 390</v>
      </c>
      <c r="B6405" s="119" t="str">
        <f>IFERROR(__xludf.DUMMYFUNCTION("""COMPUTED_VALUE"""),"Anh Dương")</f>
        <v>Anh Dương</v>
      </c>
      <c r="C6405" s="119" t="str">
        <f>IFERROR(__xludf.DUMMYFUNCTION("""COMPUTED_VALUE"""),"7/210 Trần Phú")</f>
        <v>7/210 Trần Phú</v>
      </c>
      <c r="D6405" s="119" t="str">
        <f>IFERROR(__xludf.DUMMYFUNCTION("""COMPUTED_VALUE"""),"Chó")</f>
        <v>Chó</v>
      </c>
      <c r="E6405" s="119" t="str">
        <f>IFERROR(__xludf.DUMMYFUNCTION("""COMPUTED_VALUE"""),"Xù")</f>
        <v>Xù</v>
      </c>
    </row>
    <row r="6406" ht="15.75" customHeight="1">
      <c r="A6406" s="122" t="str">
        <f>IFERROR(__xludf.DUMMYFUNCTION("""COMPUTED_VALUE"""),"0935 041 648")</f>
        <v>0935 041 648</v>
      </c>
      <c r="B6406" s="119" t="str">
        <f>IFERROR(__xludf.DUMMYFUNCTION("""COMPUTED_VALUE"""),"Chị Tiên")</f>
        <v>Chị Tiên</v>
      </c>
      <c r="C6406" s="119" t="str">
        <f>IFERROR(__xludf.DUMMYFUNCTION("""COMPUTED_VALUE"""),"13/159 Phan Đình Phùng")</f>
        <v>13/159 Phan Đình Phùng</v>
      </c>
      <c r="D6406" s="119" t="str">
        <f>IFERROR(__xludf.DUMMYFUNCTION("""COMPUTED_VALUE"""),"Chó")</f>
        <v>Chó</v>
      </c>
      <c r="E6406" s="119" t="str">
        <f>IFERROR(__xludf.DUMMYFUNCTION("""COMPUTED_VALUE"""),"Ky")</f>
        <v>Ky</v>
      </c>
    </row>
    <row r="6407" ht="15.75" customHeight="1">
      <c r="A6407" s="122" t="str">
        <f>IFERROR(__xludf.DUMMYFUNCTION("""COMPUTED_VALUE"""),"0888 374 867")</f>
        <v>0888 374 867</v>
      </c>
      <c r="B6407" s="119" t="str">
        <f>IFERROR(__xludf.DUMMYFUNCTION("""COMPUTED_VALUE"""),"Thầy Hoàng Anh")</f>
        <v>Thầy Hoàng Anh</v>
      </c>
      <c r="C6407" s="119" t="str">
        <f>IFERROR(__xludf.DUMMYFUNCTION("""COMPUTED_VALUE"""),"k50 Thiên Thai")</f>
        <v>k50 Thiên Thai</v>
      </c>
      <c r="D6407" s="119" t="str">
        <f>IFERROR(__xludf.DUMMYFUNCTION("""COMPUTED_VALUE"""),"Mèo")</f>
        <v>Mèo</v>
      </c>
      <c r="E6407" s="119" t="str">
        <f>IFERROR(__xludf.DUMMYFUNCTION("""COMPUTED_VALUE"""),"Bell")</f>
        <v>Bell</v>
      </c>
    </row>
    <row r="6408" ht="15.75" customHeight="1">
      <c r="A6408" s="122" t="str">
        <f>IFERROR(__xludf.DUMMYFUNCTION("""COMPUTED_VALUE"""),"0964 890 889")</f>
        <v>0964 890 889</v>
      </c>
      <c r="B6408" s="119" t="str">
        <f>IFERROR(__xludf.DUMMYFUNCTION("""COMPUTED_VALUE"""),"Chị Quỳnh Châu")</f>
        <v>Chị Quỳnh Châu</v>
      </c>
      <c r="C6408" s="119" t="str">
        <f>IFERROR(__xludf.DUMMYFUNCTION("""COMPUTED_VALUE"""),"72 Trần Phú")</f>
        <v>72 Trần Phú</v>
      </c>
      <c r="D6408" s="119" t="str">
        <f>IFERROR(__xludf.DUMMYFUNCTION("""COMPUTED_VALUE"""),"Mèo")</f>
        <v>Mèo</v>
      </c>
      <c r="E6408" s="119" t="str">
        <f>IFERROR(__xludf.DUMMYFUNCTION("""COMPUTED_VALUE"""),"Mèo")</f>
        <v>Mèo</v>
      </c>
    </row>
    <row r="6409" ht="15.75" customHeight="1">
      <c r="A6409" s="122" t="str">
        <f>IFERROR(__xludf.DUMMYFUNCTION("""COMPUTED_VALUE"""),"0972 729 943")</f>
        <v>0972 729 943</v>
      </c>
      <c r="B6409" s="119" t="str">
        <f>IFERROR(__xludf.DUMMYFUNCTION("""COMPUTED_VALUE"""),"Chị Linh")</f>
        <v>Chị Linh</v>
      </c>
      <c r="C6409" s="119" t="str">
        <f>IFERROR(__xludf.DUMMYFUNCTION("""COMPUTED_VALUE"""),"k199 Trần Phú")</f>
        <v>k199 Trần Phú</v>
      </c>
      <c r="D6409" s="119" t="str">
        <f>IFERROR(__xludf.DUMMYFUNCTION("""COMPUTED_VALUE"""),"Chó")</f>
        <v>Chó</v>
      </c>
      <c r="E6409" s="119" t="str">
        <f>IFERROR(__xludf.DUMMYFUNCTION("""COMPUTED_VALUE"""),"Lucky")</f>
        <v>Lucky</v>
      </c>
    </row>
    <row r="6410" ht="15.75" customHeight="1">
      <c r="A6410" s="122" t="str">
        <f>IFERROR(__xludf.DUMMYFUNCTION("""COMPUTED_VALUE"""),"0365 259 620")</f>
        <v>0365 259 620</v>
      </c>
      <c r="B6410" s="119" t="str">
        <f>IFERROR(__xludf.DUMMYFUNCTION("""COMPUTED_VALUE"""),"Nguyễn Võ Khánh Linh")</f>
        <v>Nguyễn Võ Khánh Linh</v>
      </c>
      <c r="C6410" s="119" t="str">
        <f>IFERROR(__xludf.DUMMYFUNCTION("""COMPUTED_VALUE"""),"260 Ngự Bình")</f>
        <v>260 Ngự Bình</v>
      </c>
      <c r="D6410" s="119" t="str">
        <f>IFERROR(__xludf.DUMMYFUNCTION("""COMPUTED_VALUE"""),"Mèo")</f>
        <v>Mèo</v>
      </c>
      <c r="E6410" s="119" t="str">
        <f>IFERROR(__xludf.DUMMYFUNCTION("""COMPUTED_VALUE"""),"Méo")</f>
        <v>Méo</v>
      </c>
    </row>
    <row r="6411" ht="15.75" customHeight="1">
      <c r="A6411" s="122" t="str">
        <f>IFERROR(__xludf.DUMMYFUNCTION("""COMPUTED_VALUE"""),"0373 210 709")</f>
        <v>0373 210 709</v>
      </c>
      <c r="B6411" s="119" t="str">
        <f>IFERROR(__xludf.DUMMYFUNCTION("""COMPUTED_VALUE"""),"Dì Yến")</f>
        <v>Dì Yến</v>
      </c>
      <c r="C6411" s="119" t="str">
        <f>IFERROR(__xludf.DUMMYFUNCTION("""COMPUTED_VALUE"""),"Thủy Biều")</f>
        <v>Thủy Biều</v>
      </c>
      <c r="D6411" s="119" t="str">
        <f>IFERROR(__xludf.DUMMYFUNCTION("""COMPUTED_VALUE"""),"Chó")</f>
        <v>Chó</v>
      </c>
      <c r="E6411" s="119" t="str">
        <f>IFERROR(__xludf.DUMMYFUNCTION("""COMPUTED_VALUE"""),"Gấu")</f>
        <v>Gấu</v>
      </c>
    </row>
    <row r="6412" ht="15.75" customHeight="1">
      <c r="A6412" s="122" t="str">
        <f>IFERROR(__xludf.DUMMYFUNCTION("""COMPUTED_VALUE"""),"0905 106 863")</f>
        <v>0905 106 863</v>
      </c>
      <c r="B6412" s="119" t="str">
        <f>IFERROR(__xludf.DUMMYFUNCTION("""COMPUTED_VALUE"""),"Phan Thế Thành")</f>
        <v>Phan Thế Thành</v>
      </c>
      <c r="C6412" s="119" t="str">
        <f>IFERROR(__xludf.DUMMYFUNCTION("""COMPUTED_VALUE"""),"17/11 Phan Bội Châu")</f>
        <v>17/11 Phan Bội Châu</v>
      </c>
      <c r="D6412" s="119" t="str">
        <f>IFERROR(__xludf.DUMMYFUNCTION("""COMPUTED_VALUE"""),"Chó")</f>
        <v>Chó</v>
      </c>
      <c r="E6412" s="119"/>
    </row>
    <row r="6413" ht="15.75" customHeight="1">
      <c r="A6413" s="122" t="str">
        <f>IFERROR(__xludf.DUMMYFUNCTION("""COMPUTED_VALUE"""),"0354 364 207")</f>
        <v>0354 364 207</v>
      </c>
      <c r="B6413" s="119" t="str">
        <f>IFERROR(__xludf.DUMMYFUNCTION("""COMPUTED_VALUE"""),"Trần Ngọc Hoài An")</f>
        <v>Trần Ngọc Hoài An</v>
      </c>
      <c r="C6413" s="119" t="str">
        <f>IFERROR(__xludf.DUMMYFUNCTION("""COMPUTED_VALUE"""),"45/16 Duy Tân")</f>
        <v>45/16 Duy Tân</v>
      </c>
      <c r="D6413" s="119" t="str">
        <f>IFERROR(__xludf.DUMMYFUNCTION("""COMPUTED_VALUE"""),"Chó")</f>
        <v>Chó</v>
      </c>
      <c r="E6413" s="119" t="str">
        <f>IFERROR(__xludf.DUMMYFUNCTION("""COMPUTED_VALUE"""),"Mèo")</f>
        <v>Mèo</v>
      </c>
    </row>
    <row r="6414" ht="15.75" customHeight="1">
      <c r="A6414" s="122" t="str">
        <f>IFERROR(__xludf.DUMMYFUNCTION("""COMPUTED_VALUE"""),"0763 760 669")</f>
        <v>0763 760 669</v>
      </c>
      <c r="B6414" s="119" t="str">
        <f>IFERROR(__xludf.DUMMYFUNCTION("""COMPUTED_VALUE"""),"Uyển Linh")</f>
        <v>Uyển Linh</v>
      </c>
      <c r="C6414" s="119" t="str">
        <f>IFERROR(__xludf.DUMMYFUNCTION("""COMPUTED_VALUE"""),"103/82 Quảng Tế")</f>
        <v>103/82 Quảng Tế</v>
      </c>
      <c r="D6414" s="119" t="str">
        <f>IFERROR(__xludf.DUMMYFUNCTION("""COMPUTED_VALUE"""),"Chó")</f>
        <v>Chó</v>
      </c>
      <c r="E6414" s="119" t="str">
        <f>IFERROR(__xludf.DUMMYFUNCTION("""COMPUTED_VALUE"""),"Mít")</f>
        <v>Mít</v>
      </c>
    </row>
    <row r="6415" ht="15.75" customHeight="1">
      <c r="A6415" s="122" t="str">
        <f>IFERROR(__xludf.DUMMYFUNCTION("""COMPUTED_VALUE"""),"0346 722 952")</f>
        <v>0346 722 952</v>
      </c>
      <c r="B6415" s="119" t="str">
        <f>IFERROR(__xludf.DUMMYFUNCTION("""COMPUTED_VALUE"""),"Phan Thị Ái Nga")</f>
        <v>Phan Thị Ái Nga</v>
      </c>
      <c r="C6415" s="119" t="str">
        <f>IFERROR(__xludf.DUMMYFUNCTION("""COMPUTED_VALUE"""),"Chùa Thiền Tôn")</f>
        <v>Chùa Thiền Tôn</v>
      </c>
      <c r="D6415" s="119" t="str">
        <f>IFERROR(__xludf.DUMMYFUNCTION("""COMPUTED_VALUE"""),"Chó")</f>
        <v>Chó</v>
      </c>
      <c r="E6415" s="119" t="str">
        <f>IFERROR(__xludf.DUMMYFUNCTION("""COMPUTED_VALUE"""),"Kẹo")</f>
        <v>Kẹo</v>
      </c>
    </row>
    <row r="6416" ht="15.75" customHeight="1">
      <c r="A6416" s="122" t="str">
        <f>IFERROR(__xludf.DUMMYFUNCTION("""COMPUTED_VALUE"""),"0372 506 932")</f>
        <v>0372 506 932</v>
      </c>
      <c r="B6416" s="119" t="str">
        <f>IFERROR(__xludf.DUMMYFUNCTION("""COMPUTED_VALUE"""),"Em Thùy Linh")</f>
        <v>Em Thùy Linh</v>
      </c>
      <c r="C6416" s="119" t="str">
        <f>IFERROR(__xludf.DUMMYFUNCTION("""COMPUTED_VALUE"""),"5/12 Đặng Huy Trứ")</f>
        <v>5/12 Đặng Huy Trứ</v>
      </c>
      <c r="D6416" s="119" t="str">
        <f>IFERROR(__xludf.DUMMYFUNCTION("""COMPUTED_VALUE"""),"Chó")</f>
        <v>Chó</v>
      </c>
      <c r="E6416" s="119" t="str">
        <f>IFERROR(__xludf.DUMMYFUNCTION("""COMPUTED_VALUE"""),"Xí Muội")</f>
        <v>Xí Muội</v>
      </c>
    </row>
    <row r="6417" ht="15.75" customHeight="1">
      <c r="A6417" s="122" t="str">
        <f>IFERROR(__xludf.DUMMYFUNCTION("""COMPUTED_VALUE"""),"0938 843 767")</f>
        <v>0938 843 767</v>
      </c>
      <c r="B6417" s="119" t="str">
        <f>IFERROR(__xludf.DUMMYFUNCTION("""COMPUTED_VALUE"""),"Anh Sơn")</f>
        <v>Anh Sơn</v>
      </c>
      <c r="C6417" s="119" t="str">
        <f>IFERROR(__xludf.DUMMYFUNCTION("""COMPUTED_VALUE"""),"9/263 Bà Triệu")</f>
        <v>9/263 Bà Triệu</v>
      </c>
      <c r="D6417" s="119" t="str">
        <f>IFERROR(__xludf.DUMMYFUNCTION("""COMPUTED_VALUE"""),"Mèo")</f>
        <v>Mèo</v>
      </c>
      <c r="E6417" s="119" t="str">
        <f>IFERROR(__xludf.DUMMYFUNCTION("""COMPUTED_VALUE"""),"Bo")</f>
        <v>Bo</v>
      </c>
    </row>
    <row r="6418" ht="15.75" customHeight="1">
      <c r="A6418" s="122" t="str">
        <f>IFERROR(__xludf.DUMMYFUNCTION("""COMPUTED_VALUE"""),"0932 557 870")</f>
        <v>0932 557 870</v>
      </c>
      <c r="B6418" s="119" t="str">
        <f>IFERROR(__xludf.DUMMYFUNCTION("""COMPUTED_VALUE"""),"Anh Thắng")</f>
        <v>Anh Thắng</v>
      </c>
      <c r="C6418" s="119" t="str">
        <f>IFERROR(__xludf.DUMMYFUNCTION("""COMPUTED_VALUE"""),"Đặng Huy Trứ")</f>
        <v>Đặng Huy Trứ</v>
      </c>
      <c r="D6418" s="119" t="str">
        <f>IFERROR(__xludf.DUMMYFUNCTION("""COMPUTED_VALUE"""),"Chó")</f>
        <v>Chó</v>
      </c>
      <c r="E6418" s="119"/>
    </row>
    <row r="6419" ht="15.75" customHeight="1">
      <c r="A6419" s="122" t="str">
        <f>IFERROR(__xludf.DUMMYFUNCTION("""COMPUTED_VALUE"""),"0852 702 081")</f>
        <v>0852 702 081</v>
      </c>
      <c r="B6419" s="119" t="str">
        <f>IFERROR(__xludf.DUMMYFUNCTION("""COMPUTED_VALUE"""),"Em Ý")</f>
        <v>Em Ý</v>
      </c>
      <c r="C6419" s="119" t="str">
        <f>IFERROR(__xludf.DUMMYFUNCTION("""COMPUTED_VALUE"""),"1/127 Đặng Huy Trứ")</f>
        <v>1/127 Đặng Huy Trứ</v>
      </c>
      <c r="D6419" s="119" t="str">
        <f>IFERROR(__xludf.DUMMYFUNCTION("""COMPUTED_VALUE"""),"Chó")</f>
        <v>Chó</v>
      </c>
      <c r="E6419" s="119" t="str">
        <f>IFERROR(__xludf.DUMMYFUNCTION("""COMPUTED_VALUE"""),"Mây")</f>
        <v>Mây</v>
      </c>
    </row>
    <row r="6420" ht="15.75" customHeight="1">
      <c r="A6420" s="122" t="str">
        <f>IFERROR(__xludf.DUMMYFUNCTION("""COMPUTED_VALUE"""),"0905 335 925")</f>
        <v>0905 335 925</v>
      </c>
      <c r="B6420" s="119" t="str">
        <f>IFERROR(__xludf.DUMMYFUNCTION("""COMPUTED_VALUE"""),"Chị Tuyền")</f>
        <v>Chị Tuyền</v>
      </c>
      <c r="C6420" s="119" t="str">
        <f>IFERROR(__xludf.DUMMYFUNCTION("""COMPUTED_VALUE"""),"205/4/7 Bà Triệu")</f>
        <v>205/4/7 Bà Triệu</v>
      </c>
      <c r="D6420" s="119" t="str">
        <f>IFERROR(__xludf.DUMMYFUNCTION("""COMPUTED_VALUE"""),"Chó")</f>
        <v>Chó</v>
      </c>
      <c r="E6420" s="119" t="str">
        <f>IFERROR(__xludf.DUMMYFUNCTION("""COMPUTED_VALUE"""),"Bin")</f>
        <v>Bin</v>
      </c>
    </row>
    <row r="6421" ht="15.75" customHeight="1">
      <c r="A6421" s="122" t="str">
        <f>IFERROR(__xludf.DUMMYFUNCTION("""COMPUTED_VALUE"""),"0988 985 934")</f>
        <v>0988 985 934</v>
      </c>
      <c r="B6421" s="119" t="str">
        <f>IFERROR(__xludf.DUMMYFUNCTION("""COMPUTED_VALUE"""),"Nguyễn Hữu Quý")</f>
        <v>Nguyễn Hữu Quý</v>
      </c>
      <c r="C6421" s="119" t="str">
        <f>IFERROR(__xludf.DUMMYFUNCTION("""COMPUTED_VALUE"""),"06/60 Nguyệt Biều")</f>
        <v>06/60 Nguyệt Biều</v>
      </c>
      <c r="D6421" s="119" t="str">
        <f>IFERROR(__xludf.DUMMYFUNCTION("""COMPUTED_VALUE"""),"Chó")</f>
        <v>Chó</v>
      </c>
      <c r="E6421" s="119" t="str">
        <f>IFERROR(__xludf.DUMMYFUNCTION("""COMPUTED_VALUE"""),"sữa")</f>
        <v>sữa</v>
      </c>
    </row>
    <row r="6422" ht="15.75" customHeight="1">
      <c r="A6422" s="122" t="str">
        <f>IFERROR(__xludf.DUMMYFUNCTION("""COMPUTED_VALUE"""),"0979 403 855")</f>
        <v>0979 403 855</v>
      </c>
      <c r="B6422" s="119" t="str">
        <f>IFERROR(__xludf.DUMMYFUNCTION("""COMPUTED_VALUE"""),"Hồ Thị Thủy Tiên")</f>
        <v>Hồ Thị Thủy Tiên</v>
      </c>
      <c r="C6422" s="119" t="str">
        <f>IFERROR(__xludf.DUMMYFUNCTION("""COMPUTED_VALUE"""),"119 Trần Thái Tông")</f>
        <v>119 Trần Thái Tông</v>
      </c>
      <c r="D6422" s="119" t="str">
        <f>IFERROR(__xludf.DUMMYFUNCTION("""COMPUTED_VALUE"""),"Mèo")</f>
        <v>Mèo</v>
      </c>
      <c r="E6422" s="119"/>
    </row>
    <row r="6423" ht="15.75" customHeight="1">
      <c r="A6423" s="122" t="str">
        <f>IFERROR(__xludf.DUMMYFUNCTION("""COMPUTED_VALUE"""),"0935 564 005")</f>
        <v>0935 564 005</v>
      </c>
      <c r="B6423" s="119" t="str">
        <f>IFERROR(__xludf.DUMMYFUNCTION("""COMPUTED_VALUE"""),"Em Quang")</f>
        <v>Em Quang</v>
      </c>
      <c r="C6423" s="119" t="str">
        <f>IFERROR(__xludf.DUMMYFUNCTION("""COMPUTED_VALUE"""),"14 Hai Bà Trưng")</f>
        <v>14 Hai Bà Trưng</v>
      </c>
      <c r="D6423" s="119" t="str">
        <f>IFERROR(__xludf.DUMMYFUNCTION("""COMPUTED_VALUE"""),"Mèo")</f>
        <v>Mèo</v>
      </c>
      <c r="E6423" s="119"/>
    </row>
    <row r="6424" ht="15.75" customHeight="1">
      <c r="A6424" s="122" t="str">
        <f>IFERROR(__xludf.DUMMYFUNCTION("""COMPUTED_VALUE"""),"0916 442 359")</f>
        <v>0916 442 359</v>
      </c>
      <c r="B6424" s="119" t="str">
        <f>IFERROR(__xludf.DUMMYFUNCTION("""COMPUTED_VALUE"""),"Chị Phương")</f>
        <v>Chị Phương</v>
      </c>
      <c r="C6424" s="119" t="str">
        <f>IFERROR(__xludf.DUMMYFUNCTION("""COMPUTED_VALUE"""),"K131 Trần Phú")</f>
        <v>K131 Trần Phú</v>
      </c>
      <c r="D6424" s="119" t="str">
        <f>IFERROR(__xludf.DUMMYFUNCTION("""COMPUTED_VALUE"""),"Mèo")</f>
        <v>Mèo</v>
      </c>
      <c r="E6424" s="119" t="str">
        <f>IFERROR(__xludf.DUMMYFUNCTION("""COMPUTED_VALUE"""),"Min")</f>
        <v>Min</v>
      </c>
    </row>
    <row r="6425" ht="15.75" customHeight="1">
      <c r="A6425" s="122" t="str">
        <f>IFERROR(__xludf.DUMMYFUNCTION("""COMPUTED_VALUE"""),"0389 487 834")</f>
        <v>0389 487 834</v>
      </c>
      <c r="B6425" s="119" t="str">
        <f>IFERROR(__xludf.DUMMYFUNCTION("""COMPUTED_VALUE"""),"Em Vương")</f>
        <v>Em Vương</v>
      </c>
      <c r="C6425" s="119" t="str">
        <f>IFERROR(__xludf.DUMMYFUNCTION("""COMPUTED_VALUE"""),"Chị Hương/ngân")</f>
        <v>Chị Hương/ngân</v>
      </c>
      <c r="D6425" s="119" t="str">
        <f>IFERROR(__xludf.DUMMYFUNCTION("""COMPUTED_VALUE"""),"Mèo")</f>
        <v>Mèo</v>
      </c>
      <c r="E6425" s="119" t="str">
        <f>IFERROR(__xludf.DUMMYFUNCTION("""COMPUTED_VALUE"""),"Mèo")</f>
        <v>Mèo</v>
      </c>
    </row>
    <row r="6426" ht="15.75" customHeight="1">
      <c r="A6426" s="122" t="str">
        <f>IFERROR(__xludf.DUMMYFUNCTION("""COMPUTED_VALUE"""),"0784 533 890")</f>
        <v>0784 533 890</v>
      </c>
      <c r="B6426" s="119" t="str">
        <f>IFERROR(__xludf.DUMMYFUNCTION("""COMPUTED_VALUE"""),"Tiry")</f>
        <v>Tiry</v>
      </c>
      <c r="C6426" s="119" t="str">
        <f>IFERROR(__xludf.DUMMYFUNCTION("""COMPUTED_VALUE"""),"65 Lê Ngô Cát")</f>
        <v>65 Lê Ngô Cát</v>
      </c>
      <c r="D6426" s="119" t="str">
        <f>IFERROR(__xludf.DUMMYFUNCTION("""COMPUTED_VALUE"""),"Mèo")</f>
        <v>Mèo</v>
      </c>
      <c r="E6426" s="119" t="str">
        <f>IFERROR(__xludf.DUMMYFUNCTION("""COMPUTED_VALUE"""),"Ten")</f>
        <v>Ten</v>
      </c>
    </row>
    <row r="6427" ht="15.75" customHeight="1">
      <c r="A6427" s="122" t="str">
        <f>IFERROR(__xludf.DUMMYFUNCTION("""COMPUTED_VALUE"""),"0906 554 977 / 0905 225 336")</f>
        <v>0906 554 977 / 0905 225 336</v>
      </c>
      <c r="B6427" s="119" t="str">
        <f>IFERROR(__xludf.DUMMYFUNCTION("""COMPUTED_VALUE"""),"Thầy Huyền Trí")</f>
        <v>Thầy Huyền Trí</v>
      </c>
      <c r="C6427" s="119" t="str">
        <f>IFERROR(__xludf.DUMMYFUNCTION("""COMPUTED_VALUE"""),"chùa Nam Sơn")</f>
        <v>chùa Nam Sơn</v>
      </c>
      <c r="D6427" s="119" t="str">
        <f>IFERROR(__xludf.DUMMYFUNCTION("""COMPUTED_VALUE"""),"Chó")</f>
        <v>Chó</v>
      </c>
      <c r="E6427" s="119" t="str">
        <f>IFERROR(__xludf.DUMMYFUNCTION("""COMPUTED_VALUE"""),"Nâu")</f>
        <v>Nâu</v>
      </c>
    </row>
    <row r="6428" ht="15.75" customHeight="1">
      <c r="A6428" s="122" t="str">
        <f>IFERROR(__xludf.DUMMYFUNCTION("""COMPUTED_VALUE"""),"0944 926 301")</f>
        <v>0944 926 301</v>
      </c>
      <c r="B6428" s="119" t="str">
        <f>IFERROR(__xludf.DUMMYFUNCTION("""COMPUTED_VALUE"""),"Chị Hà")</f>
        <v>Chị Hà</v>
      </c>
      <c r="C6428" s="119" t="str">
        <f>IFERROR(__xludf.DUMMYFUNCTION("""COMPUTED_VALUE"""),"21/54 Lê Ngô Cát")</f>
        <v>21/54 Lê Ngô Cát</v>
      </c>
      <c r="D6428" s="119" t="str">
        <f>IFERROR(__xludf.DUMMYFUNCTION("""COMPUTED_VALUE"""),"Chó")</f>
        <v>Chó</v>
      </c>
      <c r="E6428" s="119" t="str">
        <f>IFERROR(__xludf.DUMMYFUNCTION("""COMPUTED_VALUE"""),"Mưa")</f>
        <v>Mưa</v>
      </c>
    </row>
    <row r="6429" ht="15.75" customHeight="1">
      <c r="A6429" s="122" t="str">
        <f>IFERROR(__xludf.DUMMYFUNCTION("""COMPUTED_VALUE"""),"0886 171 774")</f>
        <v>0886 171 774</v>
      </c>
      <c r="B6429" s="119" t="str">
        <f>IFERROR(__xludf.DUMMYFUNCTION("""COMPUTED_VALUE"""),"Chị Thanh Tâm")</f>
        <v>Chị Thanh Tâm</v>
      </c>
      <c r="C6429" s="119" t="str">
        <f>IFERROR(__xludf.DUMMYFUNCTION("""COMPUTED_VALUE"""),"k47 Hàm Nghi")</f>
        <v>k47 Hàm Nghi</v>
      </c>
      <c r="D6429" s="119" t="str">
        <f>IFERROR(__xludf.DUMMYFUNCTION("""COMPUTED_VALUE"""),"Chó")</f>
        <v>Chó</v>
      </c>
      <c r="E6429" s="119" t="str">
        <f>IFERROR(__xludf.DUMMYFUNCTION("""COMPUTED_VALUE"""),"Milu")</f>
        <v>Milu</v>
      </c>
    </row>
    <row r="6430" ht="15.75" customHeight="1">
      <c r="A6430" s="122" t="str">
        <f>IFERROR(__xludf.DUMMYFUNCTION("""COMPUTED_VALUE"""),"0766 606 996")</f>
        <v>0766 606 996</v>
      </c>
      <c r="B6430" s="119" t="str">
        <f>IFERROR(__xludf.DUMMYFUNCTION("""COMPUTED_VALUE"""),"Em Phụng")</f>
        <v>Em Phụng</v>
      </c>
      <c r="C6430" s="119" t="str">
        <f>IFERROR(__xludf.DUMMYFUNCTION("""COMPUTED_VALUE"""),"11/k8 Hà Nội")</f>
        <v>11/k8 Hà Nội</v>
      </c>
      <c r="D6430" s="119" t="str">
        <f>IFERROR(__xludf.DUMMYFUNCTION("""COMPUTED_VALUE"""),"Mèo")</f>
        <v>Mèo</v>
      </c>
      <c r="E6430" s="119"/>
    </row>
    <row r="6431" ht="15.75" customHeight="1">
      <c r="A6431" s="122" t="str">
        <f>IFERROR(__xludf.DUMMYFUNCTION("""COMPUTED_VALUE"""),"0934 926 617")</f>
        <v>0934 926 617</v>
      </c>
      <c r="B6431" s="119" t="str">
        <f>IFERROR(__xludf.DUMMYFUNCTION("""COMPUTED_VALUE"""),"Chị Hương")</f>
        <v>Chị Hương</v>
      </c>
      <c r="C6431" s="119" t="str">
        <f>IFERROR(__xludf.DUMMYFUNCTION("""COMPUTED_VALUE"""),"Mỹ An-Phú Dương")</f>
        <v>Mỹ An-Phú Dương</v>
      </c>
      <c r="D6431" s="119" t="str">
        <f>IFERROR(__xludf.DUMMYFUNCTION("""COMPUTED_VALUE"""),"Chó")</f>
        <v>Chó</v>
      </c>
      <c r="E6431" s="119" t="str">
        <f>IFERROR(__xludf.DUMMYFUNCTION("""COMPUTED_VALUE"""),"Bi")</f>
        <v>Bi</v>
      </c>
    </row>
    <row r="6432" ht="15.75" customHeight="1">
      <c r="A6432" s="122" t="str">
        <f>IFERROR(__xludf.DUMMYFUNCTION("""COMPUTED_VALUE"""),"0901 151 199")</f>
        <v>0901 151 199</v>
      </c>
      <c r="B6432" s="119" t="str">
        <f>IFERROR(__xludf.DUMMYFUNCTION("""COMPUTED_VALUE"""),"Anh Pháp")</f>
        <v>Anh Pháp</v>
      </c>
      <c r="C6432" s="119" t="str">
        <f>IFERROR(__xludf.DUMMYFUNCTION("""COMPUTED_VALUE"""),"Phú Vang")</f>
        <v>Phú Vang</v>
      </c>
      <c r="D6432" s="119" t="str">
        <f>IFERROR(__xludf.DUMMYFUNCTION("""COMPUTED_VALUE"""),"Chó")</f>
        <v>Chó</v>
      </c>
      <c r="E6432" s="119" t="str">
        <f>IFERROR(__xludf.DUMMYFUNCTION("""COMPUTED_VALUE"""),"Lucky")</f>
        <v>Lucky</v>
      </c>
    </row>
    <row r="6433" ht="15.75" customHeight="1">
      <c r="A6433" s="122" t="str">
        <f>IFERROR(__xludf.DUMMYFUNCTION("""COMPUTED_VALUE"""),"0911 711 420")</f>
        <v>0911 711 420</v>
      </c>
      <c r="B6433" s="119" t="str">
        <f>IFERROR(__xludf.DUMMYFUNCTION("""COMPUTED_VALUE"""),"Anh Tường")</f>
        <v>Anh Tường</v>
      </c>
      <c r="C6433" s="119" t="str">
        <f>IFERROR(__xludf.DUMMYFUNCTION("""COMPUTED_VALUE"""),"Tổ 14, kv5, P.Thủy Xuân")</f>
        <v>Tổ 14, kv5, P.Thủy Xuân</v>
      </c>
      <c r="D6433" s="119" t="str">
        <f>IFERROR(__xludf.DUMMYFUNCTION("""COMPUTED_VALUE"""),"Chó")</f>
        <v>Chó</v>
      </c>
      <c r="E6433" s="119" t="str">
        <f>IFERROR(__xludf.DUMMYFUNCTION("""COMPUTED_VALUE"""),"Tiger")</f>
        <v>Tiger</v>
      </c>
    </row>
    <row r="6434" ht="15.75" customHeight="1">
      <c r="A6434" s="122" t="str">
        <f>IFERROR(__xludf.DUMMYFUNCTION("""COMPUTED_VALUE"""),"0935 588 104")</f>
        <v>0935 588 104</v>
      </c>
      <c r="B6434" s="119" t="str">
        <f>IFERROR(__xludf.DUMMYFUNCTION("""COMPUTED_VALUE"""),"Chị Linh Tâm")</f>
        <v>Chị Linh Tâm</v>
      </c>
      <c r="C6434" s="119" t="str">
        <f>IFERROR(__xludf.DUMMYFUNCTION("""COMPUTED_VALUE"""),"20/65 Lê Ngô Cát")</f>
        <v>20/65 Lê Ngô Cát</v>
      </c>
      <c r="D6434" s="119" t="str">
        <f>IFERROR(__xludf.DUMMYFUNCTION("""COMPUTED_VALUE"""),"Chó")</f>
        <v>Chó</v>
      </c>
      <c r="E6434" s="119" t="str">
        <f>IFERROR(__xludf.DUMMYFUNCTION("""COMPUTED_VALUE"""),"Bông")</f>
        <v>Bông</v>
      </c>
    </row>
    <row r="6435" ht="15.75" customHeight="1">
      <c r="A6435" s="122" t="str">
        <f>IFERROR(__xludf.DUMMYFUNCTION("""COMPUTED_VALUE"""),"0985 846 862")</f>
        <v>0985 846 862</v>
      </c>
      <c r="B6435" s="119" t="str">
        <f>IFERROR(__xludf.DUMMYFUNCTION("""COMPUTED_VALUE"""),"Phan Thị Bích Thủy")</f>
        <v>Phan Thị Bích Thủy</v>
      </c>
      <c r="C6435" s="119" t="str">
        <f>IFERROR(__xludf.DUMMYFUNCTION("""COMPUTED_VALUE"""),"1/119 Lê Ngô Cát")</f>
        <v>1/119 Lê Ngô Cát</v>
      </c>
      <c r="D6435" s="119" t="str">
        <f>IFERROR(__xludf.DUMMYFUNCTION("""COMPUTED_VALUE"""),"Mèo")</f>
        <v>Mèo</v>
      </c>
      <c r="E6435" s="119" t="str">
        <f>IFERROR(__xludf.DUMMYFUNCTION("""COMPUTED_VALUE"""),"Tin")</f>
        <v>Tin</v>
      </c>
    </row>
    <row r="6436" ht="15.75" customHeight="1">
      <c r="A6436" s="122" t="str">
        <f>IFERROR(__xludf.DUMMYFUNCTION("""COMPUTED_VALUE"""),"0825 135 552")</f>
        <v>0825 135 552</v>
      </c>
      <c r="B6436" s="119" t="str">
        <f>IFERROR(__xludf.DUMMYFUNCTION("""COMPUTED_VALUE"""),"Chị My")</f>
        <v>Chị My</v>
      </c>
      <c r="C6436" s="119" t="str">
        <f>IFERROR(__xludf.DUMMYFUNCTION("""COMPUTED_VALUE"""),"1/20 Lê Đình Chinh")</f>
        <v>1/20 Lê Đình Chinh</v>
      </c>
      <c r="D6436" s="119" t="str">
        <f>IFERROR(__xludf.DUMMYFUNCTION("""COMPUTED_VALUE"""),"Chó")</f>
        <v>Chó</v>
      </c>
      <c r="E6436" s="119"/>
    </row>
    <row r="6437" ht="15.75" customHeight="1">
      <c r="A6437" s="122" t="str">
        <f>IFERROR(__xludf.DUMMYFUNCTION("""COMPUTED_VALUE"""),"0942 489 346")</f>
        <v>0942 489 346</v>
      </c>
      <c r="B6437" s="119" t="str">
        <f>IFERROR(__xludf.DUMMYFUNCTION("""COMPUTED_VALUE"""),"Chú Lương")</f>
        <v>Chú Lương</v>
      </c>
      <c r="C6437" s="119" t="str">
        <f>IFERROR(__xludf.DUMMYFUNCTION("""COMPUTED_VALUE"""),"Long Thọ")</f>
        <v>Long Thọ</v>
      </c>
      <c r="D6437" s="119" t="str">
        <f>IFERROR(__xludf.DUMMYFUNCTION("""COMPUTED_VALUE"""),"Mèo")</f>
        <v>Mèo</v>
      </c>
      <c r="E6437" s="119" t="str">
        <f>IFERROR(__xludf.DUMMYFUNCTION("""COMPUTED_VALUE"""),"Meo")</f>
        <v>Meo</v>
      </c>
    </row>
    <row r="6438" ht="15.75" customHeight="1">
      <c r="A6438" s="122" t="str">
        <f>IFERROR(__xludf.DUMMYFUNCTION("""COMPUTED_VALUE"""),"0936 960 357")</f>
        <v>0936 960 357</v>
      </c>
      <c r="B6438" s="119" t="str">
        <f>IFERROR(__xludf.DUMMYFUNCTION("""COMPUTED_VALUE"""),"Chị Minh Hạ")</f>
        <v>Chị Minh Hạ</v>
      </c>
      <c r="C6438" s="119" t="str">
        <f>IFERROR(__xludf.DUMMYFUNCTION("""COMPUTED_VALUE"""),"30/1 Lịch Đợi")</f>
        <v>30/1 Lịch Đợi</v>
      </c>
      <c r="D6438" s="119" t="str">
        <f>IFERROR(__xludf.DUMMYFUNCTION("""COMPUTED_VALUE"""),"Chó")</f>
        <v>Chó</v>
      </c>
      <c r="E6438" s="119" t="str">
        <f>IFERROR(__xludf.DUMMYFUNCTION("""COMPUTED_VALUE"""),"Cốm")</f>
        <v>Cốm</v>
      </c>
    </row>
    <row r="6439" ht="15.75" customHeight="1">
      <c r="A6439" s="122" t="str">
        <f>IFERROR(__xludf.DUMMYFUNCTION("""COMPUTED_VALUE"""),"0395 672 202")</f>
        <v>0395 672 202</v>
      </c>
      <c r="B6439" s="119" t="str">
        <f>IFERROR(__xludf.DUMMYFUNCTION("""COMPUTED_VALUE"""),"Võ Thị Kim Ngân")</f>
        <v>Võ Thị Kim Ngân</v>
      </c>
      <c r="C6439" s="119" t="str">
        <f>IFERROR(__xludf.DUMMYFUNCTION("""COMPUTED_VALUE"""),"1B Phan Đình Phùng")</f>
        <v>1B Phan Đình Phùng</v>
      </c>
      <c r="D6439" s="119" t="str">
        <f>IFERROR(__xludf.DUMMYFUNCTION("""COMPUTED_VALUE"""),"Mèo")</f>
        <v>Mèo</v>
      </c>
      <c r="E6439" s="119" t="str">
        <f>IFERROR(__xludf.DUMMYFUNCTION("""COMPUTED_VALUE"""),"Bơ")</f>
        <v>Bơ</v>
      </c>
    </row>
    <row r="6440" ht="15.75" customHeight="1">
      <c r="A6440" s="122" t="str">
        <f>IFERROR(__xludf.DUMMYFUNCTION("""COMPUTED_VALUE"""),"0388 902 065")</f>
        <v>0388 902 065</v>
      </c>
      <c r="B6440" s="119" t="str">
        <f>IFERROR(__xludf.DUMMYFUNCTION("""COMPUTED_VALUE"""),"Anh Quốc")</f>
        <v>Anh Quốc</v>
      </c>
      <c r="C6440" s="119" t="str">
        <f>IFERROR(__xludf.DUMMYFUNCTION("""COMPUTED_VALUE"""),"19 Nguyễn Công Trứ")</f>
        <v>19 Nguyễn Công Trứ</v>
      </c>
      <c r="D6440" s="119" t="str">
        <f>IFERROR(__xludf.DUMMYFUNCTION("""COMPUTED_VALUE"""),"Mèo")</f>
        <v>Mèo</v>
      </c>
      <c r="E6440" s="119" t="str">
        <f>IFERROR(__xludf.DUMMYFUNCTION("""COMPUTED_VALUE"""),"Shi")</f>
        <v>Shi</v>
      </c>
    </row>
    <row r="6441" ht="15.75" customHeight="1">
      <c r="A6441" s="122" t="str">
        <f>IFERROR(__xludf.DUMMYFUNCTION("""COMPUTED_VALUE"""),"0795 513 699")</f>
        <v>0795 513 699</v>
      </c>
      <c r="B6441" s="119" t="str">
        <f>IFERROR(__xludf.DUMMYFUNCTION("""COMPUTED_VALUE"""),"Anh Cường")</f>
        <v>Anh Cường</v>
      </c>
      <c r="C6441" s="119" t="str">
        <f>IFERROR(__xludf.DUMMYFUNCTION("""COMPUTED_VALUE"""),"46 Trần Thái Tổ")</f>
        <v>46 Trần Thái Tổ</v>
      </c>
      <c r="D6441" s="119" t="str">
        <f>IFERROR(__xludf.DUMMYFUNCTION("""COMPUTED_VALUE"""),"Chó")</f>
        <v>Chó</v>
      </c>
      <c r="E6441" s="119" t="str">
        <f>IFERROR(__xludf.DUMMYFUNCTION("""COMPUTED_VALUE"""),"Rô")</f>
        <v>Rô</v>
      </c>
    </row>
    <row r="6442" ht="15.75" customHeight="1">
      <c r="A6442" s="122" t="str">
        <f>IFERROR(__xludf.DUMMYFUNCTION("""COMPUTED_VALUE"""),"0787 760 231")</f>
        <v>0787 760 231</v>
      </c>
      <c r="B6442" s="119" t="str">
        <f>IFERROR(__xludf.DUMMYFUNCTION("""COMPUTED_VALUE"""),"Sư Thích Nữ Minh Thiện")</f>
        <v>Sư Thích Nữ Minh Thiện</v>
      </c>
      <c r="C6442" s="119" t="str">
        <f>IFERROR(__xludf.DUMMYFUNCTION("""COMPUTED_VALUE"""),"15/54 Lê Ngô Cát")</f>
        <v>15/54 Lê Ngô Cát</v>
      </c>
      <c r="D6442" s="119" t="str">
        <f>IFERROR(__xludf.DUMMYFUNCTION("""COMPUTED_VALUE"""),"Chó")</f>
        <v>Chó</v>
      </c>
      <c r="E6442" s="119"/>
    </row>
    <row r="6443" ht="15.75" customHeight="1">
      <c r="A6443" s="122" t="str">
        <f>IFERROR(__xludf.DUMMYFUNCTION("""COMPUTED_VALUE"""),"0798 490 555")</f>
        <v>0798 490 555</v>
      </c>
      <c r="B6443" s="119" t="str">
        <f>IFERROR(__xludf.DUMMYFUNCTION("""COMPUTED_VALUE"""),"Chú Ánh")</f>
        <v>Chú Ánh</v>
      </c>
      <c r="C6443" s="119" t="str">
        <f>IFERROR(__xludf.DUMMYFUNCTION("""COMPUTED_VALUE"""),"9/165 Trần Phú")</f>
        <v>9/165 Trần Phú</v>
      </c>
      <c r="D6443" s="119" t="str">
        <f>IFERROR(__xludf.DUMMYFUNCTION("""COMPUTED_VALUE"""),"Chó")</f>
        <v>Chó</v>
      </c>
      <c r="E6443" s="119" t="str">
        <f>IFERROR(__xludf.DUMMYFUNCTION("""COMPUTED_VALUE"""),"Mina")</f>
        <v>Mina</v>
      </c>
    </row>
    <row r="6444" ht="15.75" customHeight="1">
      <c r="A6444" s="122" t="str">
        <f>IFERROR(__xludf.DUMMYFUNCTION("""COMPUTED_VALUE"""),"0939 814 392")</f>
        <v>0939 814 392</v>
      </c>
      <c r="B6444" s="119" t="str">
        <f>IFERROR(__xludf.DUMMYFUNCTION("""COMPUTED_VALUE"""),"Anh Giang")</f>
        <v>Anh Giang</v>
      </c>
      <c r="C6444" s="119" t="str">
        <f>IFERROR(__xludf.DUMMYFUNCTION("""COMPUTED_VALUE"""),"8/22/36 Trần Quang Khải")</f>
        <v>8/22/36 Trần Quang Khải</v>
      </c>
      <c r="D6444" s="119" t="str">
        <f>IFERROR(__xludf.DUMMYFUNCTION("""COMPUTED_VALUE"""),"Chó")</f>
        <v>Chó</v>
      </c>
      <c r="E6444" s="119" t="str">
        <f>IFERROR(__xludf.DUMMYFUNCTION("""COMPUTED_VALUE"""),"Bông")</f>
        <v>Bông</v>
      </c>
    </row>
    <row r="6445" ht="15.75" customHeight="1">
      <c r="A6445" s="122" t="str">
        <f>IFERROR(__xludf.DUMMYFUNCTION("""COMPUTED_VALUE"""),"0359 049 470")</f>
        <v>0359 049 470</v>
      </c>
      <c r="B6445" s="119" t="str">
        <f>IFERROR(__xludf.DUMMYFUNCTION("""COMPUTED_VALUE"""),"Phát")</f>
        <v>Phát</v>
      </c>
      <c r="C6445" s="119" t="str">
        <f>IFERROR(__xludf.DUMMYFUNCTION("""COMPUTED_VALUE"""),"11/31 Ngô Gia Tự")</f>
        <v>11/31 Ngô Gia Tự</v>
      </c>
      <c r="D6445" s="119" t="str">
        <f>IFERROR(__xludf.DUMMYFUNCTION("""COMPUTED_VALUE"""),"Thỏ")</f>
        <v>Thỏ</v>
      </c>
      <c r="E6445" s="119"/>
    </row>
    <row r="6446" ht="15.75" customHeight="1">
      <c r="A6446" s="122" t="str">
        <f>IFERROR(__xludf.DUMMYFUNCTION("""COMPUTED_VALUE"""),"0394 844 246")</f>
        <v>0394 844 246</v>
      </c>
      <c r="B6446" s="119" t="str">
        <f>IFERROR(__xludf.DUMMYFUNCTION("""COMPUTED_VALUE"""),"Anh Sơn")</f>
        <v>Anh Sơn</v>
      </c>
      <c r="C6446" s="119" t="str">
        <f>IFERROR(__xludf.DUMMYFUNCTION("""COMPUTED_VALUE"""),"k53 Nguyễn Huệ")</f>
        <v>k53 Nguyễn Huệ</v>
      </c>
      <c r="D6446" s="119" t="str">
        <f>IFERROR(__xludf.DUMMYFUNCTION("""COMPUTED_VALUE"""),"Chó")</f>
        <v>Chó</v>
      </c>
      <c r="E6446" s="119" t="str">
        <f>IFERROR(__xludf.DUMMYFUNCTION("""COMPUTED_VALUE"""),"Trắng")</f>
        <v>Trắng</v>
      </c>
    </row>
    <row r="6447" ht="15.75" customHeight="1">
      <c r="A6447" s="122" t="str">
        <f>IFERROR(__xludf.DUMMYFUNCTION("""COMPUTED_VALUE"""),"0888 690 742")</f>
        <v>0888 690 742</v>
      </c>
      <c r="B6447" s="119" t="str">
        <f>IFERROR(__xludf.DUMMYFUNCTION("""COMPUTED_VALUE"""),"Anh Tài")</f>
        <v>Anh Tài</v>
      </c>
      <c r="C6447" s="119" t="str">
        <f>IFERROR(__xludf.DUMMYFUNCTION("""COMPUTED_VALUE"""),"Dương Văn An")</f>
        <v>Dương Văn An</v>
      </c>
      <c r="D6447" s="119" t="str">
        <f>IFERROR(__xludf.DUMMYFUNCTION("""COMPUTED_VALUE"""),"Chó")</f>
        <v>Chó</v>
      </c>
      <c r="E6447" s="119" t="str">
        <f>IFERROR(__xludf.DUMMYFUNCTION("""COMPUTED_VALUE"""),"Mực")</f>
        <v>Mực</v>
      </c>
    </row>
    <row r="6448" ht="15.75" customHeight="1">
      <c r="A6448" s="122" t="str">
        <f>IFERROR(__xludf.DUMMYFUNCTION("""COMPUTED_VALUE"""),"0357 979 866")</f>
        <v>0357 979 866</v>
      </c>
      <c r="B6448" s="119" t="str">
        <f>IFERROR(__xludf.DUMMYFUNCTION("""COMPUTED_VALUE"""),"Anh Hiền")</f>
        <v>Anh Hiền</v>
      </c>
      <c r="C6448" s="119" t="str">
        <f>IFERROR(__xludf.DUMMYFUNCTION("""COMPUTED_VALUE"""),"Nam Đông")</f>
        <v>Nam Đông</v>
      </c>
      <c r="D6448" s="119" t="str">
        <f>IFERROR(__xludf.DUMMYFUNCTION("""COMPUTED_VALUE"""),"Chó")</f>
        <v>Chó</v>
      </c>
      <c r="E6448" s="119"/>
    </row>
    <row r="6449" ht="15.75" customHeight="1">
      <c r="A6449" s="122" t="str">
        <f>IFERROR(__xludf.DUMMYFUNCTION("""COMPUTED_VALUE"""),"0836 842 957")</f>
        <v>0836 842 957</v>
      </c>
      <c r="B6449" s="119" t="str">
        <f>IFERROR(__xludf.DUMMYFUNCTION("""COMPUTED_VALUE"""),"Anh Thông")</f>
        <v>Anh Thông</v>
      </c>
      <c r="C6449" s="119" t="str">
        <f>IFERROR(__xludf.DUMMYFUNCTION("""COMPUTED_VALUE"""),"47/263 Bà Triệu")</f>
        <v>47/263 Bà Triệu</v>
      </c>
      <c r="D6449" s="119" t="str">
        <f>IFERROR(__xludf.DUMMYFUNCTION("""COMPUTED_VALUE"""),"Mèo")</f>
        <v>Mèo</v>
      </c>
      <c r="E6449" s="119" t="str">
        <f>IFERROR(__xludf.DUMMYFUNCTION("""COMPUTED_VALUE"""),"Thộn")</f>
        <v>Thộn</v>
      </c>
    </row>
    <row r="6450" ht="15.75" customHeight="1">
      <c r="A6450" s="122" t="str">
        <f>IFERROR(__xludf.DUMMYFUNCTION("""COMPUTED_VALUE"""),"0935 079 696")</f>
        <v>0935 079 696</v>
      </c>
      <c r="B6450" s="119" t="str">
        <f>IFERROR(__xludf.DUMMYFUNCTION("""COMPUTED_VALUE"""),"Chị Thu")</f>
        <v>Chị Thu</v>
      </c>
      <c r="C6450" s="119" t="str">
        <f>IFERROR(__xludf.DUMMYFUNCTION("""COMPUTED_VALUE"""),"Thủy Dương")</f>
        <v>Thủy Dương</v>
      </c>
      <c r="D6450" s="119" t="str">
        <f>IFERROR(__xludf.DUMMYFUNCTION("""COMPUTED_VALUE"""),"Mèo")</f>
        <v>Mèo</v>
      </c>
      <c r="E6450" s="119" t="str">
        <f>IFERROR(__xludf.DUMMYFUNCTION("""COMPUTED_VALUE"""),"Bin")</f>
        <v>Bin</v>
      </c>
    </row>
    <row r="6451" ht="15.75" customHeight="1">
      <c r="A6451" s="122" t="str">
        <f>IFERROR(__xludf.DUMMYFUNCTION("""COMPUTED_VALUE"""),"0332 072 224")</f>
        <v>0332 072 224</v>
      </c>
      <c r="B6451" s="119" t="str">
        <f>IFERROR(__xludf.DUMMYFUNCTION("""COMPUTED_VALUE"""),"Chị Huệ")</f>
        <v>Chị Huệ</v>
      </c>
      <c r="C6451" s="119" t="str">
        <f>IFERROR(__xludf.DUMMYFUNCTION("""COMPUTED_VALUE"""),"Bằng Lãng")</f>
        <v>Bằng Lãng</v>
      </c>
      <c r="D6451" s="119" t="str">
        <f>IFERROR(__xludf.DUMMYFUNCTION("""COMPUTED_VALUE"""),"Chó")</f>
        <v>Chó</v>
      </c>
      <c r="E6451" s="119" t="str">
        <f>IFERROR(__xludf.DUMMYFUNCTION("""COMPUTED_VALUE"""),"Bin")</f>
        <v>Bin</v>
      </c>
    </row>
    <row r="6452" ht="15.75" customHeight="1">
      <c r="A6452" s="122" t="str">
        <f>IFERROR(__xludf.DUMMYFUNCTION("""COMPUTED_VALUE"""),"0986 809 890")</f>
        <v>0986 809 890</v>
      </c>
      <c r="B6452" s="119" t="str">
        <f>IFERROR(__xludf.DUMMYFUNCTION("""COMPUTED_VALUE"""),"Chú Phùng")</f>
        <v>Chú Phùng</v>
      </c>
      <c r="C6452" s="119" t="str">
        <f>IFERROR(__xludf.DUMMYFUNCTION("""COMPUTED_VALUE"""),"25 Xóm 1 Ngọc Anh")</f>
        <v>25 Xóm 1 Ngọc Anh</v>
      </c>
      <c r="D6452" s="119" t="str">
        <f>IFERROR(__xludf.DUMMYFUNCTION("""COMPUTED_VALUE"""),"Chó")</f>
        <v>Chó</v>
      </c>
      <c r="E6452" s="119" t="str">
        <f>IFERROR(__xludf.DUMMYFUNCTION("""COMPUTED_VALUE"""),"Ky")</f>
        <v>Ky</v>
      </c>
    </row>
    <row r="6453" ht="15.75" customHeight="1">
      <c r="A6453" s="122" t="str">
        <f>IFERROR(__xludf.DUMMYFUNCTION("""COMPUTED_VALUE"""),"0358 779 837")</f>
        <v>0358 779 837</v>
      </c>
      <c r="B6453" s="119" t="str">
        <f>IFERROR(__xludf.DUMMYFUNCTION("""COMPUTED_VALUE"""),"Anh Châu")</f>
        <v>Anh Châu</v>
      </c>
      <c r="C6453" s="119" t="str">
        <f>IFERROR(__xludf.DUMMYFUNCTION("""COMPUTED_VALUE"""),"2/317 Điện Biên Phủ")</f>
        <v>2/317 Điện Biên Phủ</v>
      </c>
      <c r="D6453" s="119" t="str">
        <f>IFERROR(__xludf.DUMMYFUNCTION("""COMPUTED_VALUE"""),"Mèo")</f>
        <v>Mèo</v>
      </c>
      <c r="E6453" s="119"/>
    </row>
    <row r="6454" ht="15.75" customHeight="1">
      <c r="A6454" s="122" t="str">
        <f>IFERROR(__xludf.DUMMYFUNCTION("""COMPUTED_VALUE"""),"0703 676 885")</f>
        <v>0703 676 885</v>
      </c>
      <c r="B6454" s="119" t="str">
        <f>IFERROR(__xludf.DUMMYFUNCTION("""COMPUTED_VALUE"""),"Chú Hiếu")</f>
        <v>Chú Hiếu</v>
      </c>
      <c r="C6454" s="119" t="str">
        <f>IFERROR(__xludf.DUMMYFUNCTION("""COMPUTED_VALUE"""),"88/131 Trần Phú")</f>
        <v>88/131 Trần Phú</v>
      </c>
      <c r="D6454" s="119" t="str">
        <f>IFERROR(__xludf.DUMMYFUNCTION("""COMPUTED_VALUE"""),"Chó")</f>
        <v>Chó</v>
      </c>
      <c r="E6454" s="119" t="str">
        <f>IFERROR(__xludf.DUMMYFUNCTION("""COMPUTED_VALUE"""),"Xoáy")</f>
        <v>Xoáy</v>
      </c>
    </row>
    <row r="6455" ht="15.75" customHeight="1">
      <c r="A6455" s="122" t="str">
        <f>IFERROR(__xludf.DUMMYFUNCTION("""COMPUTED_VALUE"""),"0799 454 282")</f>
        <v>0799 454 282</v>
      </c>
      <c r="B6455" s="119" t="str">
        <f>IFERROR(__xludf.DUMMYFUNCTION("""COMPUTED_VALUE"""),"Thảo Hiền")</f>
        <v>Thảo Hiền</v>
      </c>
      <c r="C6455" s="119" t="str">
        <f>IFERROR(__xludf.DUMMYFUNCTION("""COMPUTED_VALUE"""),"k44 Lê Ngô Cát")</f>
        <v>k44 Lê Ngô Cát</v>
      </c>
      <c r="D6455" s="119" t="str">
        <f>IFERROR(__xludf.DUMMYFUNCTION("""COMPUTED_VALUE"""),"Mèo")</f>
        <v>Mèo</v>
      </c>
      <c r="E6455" s="119" t="str">
        <f>IFERROR(__xludf.DUMMYFUNCTION("""COMPUTED_VALUE"""),"Mon")</f>
        <v>Mon</v>
      </c>
    </row>
    <row r="6456" ht="15.75" customHeight="1">
      <c r="A6456" s="122" t="str">
        <f>IFERROR(__xludf.DUMMYFUNCTION("""COMPUTED_VALUE"""),"0835 258 552")</f>
        <v>0835 258 552</v>
      </c>
      <c r="B6456" s="119" t="str">
        <f>IFERROR(__xludf.DUMMYFUNCTION("""COMPUTED_VALUE"""),"Em Linh")</f>
        <v>Em Linh</v>
      </c>
      <c r="C6456" s="119" t="str">
        <f>IFERROR(__xludf.DUMMYFUNCTION("""COMPUTED_VALUE"""),"11 k8 Hà Nội")</f>
        <v>11 k8 Hà Nội</v>
      </c>
      <c r="D6456" s="119" t="str">
        <f>IFERROR(__xludf.DUMMYFUNCTION("""COMPUTED_VALUE"""),"Mèo")</f>
        <v>Mèo</v>
      </c>
      <c r="E6456" s="119" t="str">
        <f>IFERROR(__xludf.DUMMYFUNCTION("""COMPUTED_VALUE"""),"Đen/Trắng")</f>
        <v>Đen/Trắng</v>
      </c>
    </row>
    <row r="6457" ht="15.75" customHeight="1">
      <c r="A6457" s="122" t="str">
        <f>IFERROR(__xludf.DUMMYFUNCTION("""COMPUTED_VALUE"""),"0355 517 092")</f>
        <v>0355 517 092</v>
      </c>
      <c r="B6457" s="119" t="str">
        <f>IFERROR(__xludf.DUMMYFUNCTION("""COMPUTED_VALUE"""),"Đoàn Lê Gia BẢo")</f>
        <v>Đoàn Lê Gia BẢo</v>
      </c>
      <c r="C6457" s="119" t="str">
        <f>IFERROR(__xludf.DUMMYFUNCTION("""COMPUTED_VALUE"""),"51A Hàn Mặc Tử")</f>
        <v>51A Hàn Mặc Tử</v>
      </c>
      <c r="D6457" s="119" t="str">
        <f>IFERROR(__xludf.DUMMYFUNCTION("""COMPUTED_VALUE"""),"Chó")</f>
        <v>Chó</v>
      </c>
      <c r="E6457" s="119" t="str">
        <f>IFERROR(__xludf.DUMMYFUNCTION("""COMPUTED_VALUE"""),"Mít")</f>
        <v>Mít</v>
      </c>
    </row>
    <row r="6458" ht="15.75" customHeight="1">
      <c r="A6458" s="122" t="str">
        <f>IFERROR(__xludf.DUMMYFUNCTION("""COMPUTED_VALUE"""),"0795 712 626")</f>
        <v>0795 712 626</v>
      </c>
      <c r="B6458" s="119" t="str">
        <f>IFERROR(__xludf.DUMMYFUNCTION("""COMPUTED_VALUE"""),"Thầy Tuyệt")</f>
        <v>Thầy Tuyệt</v>
      </c>
      <c r="C6458" s="119" t="str">
        <f>IFERROR(__xludf.DUMMYFUNCTION("""COMPUTED_VALUE"""),"143 Phan Bội Châu")</f>
        <v>143 Phan Bội Châu</v>
      </c>
      <c r="D6458" s="119" t="str">
        <f>IFERROR(__xludf.DUMMYFUNCTION("""COMPUTED_VALUE"""),"Chó")</f>
        <v>Chó</v>
      </c>
      <c r="E6458" s="119" t="str">
        <f>IFERROR(__xludf.DUMMYFUNCTION("""COMPUTED_VALUE"""),"Xu")</f>
        <v>Xu</v>
      </c>
    </row>
    <row r="6459" ht="15.75" customHeight="1">
      <c r="A6459" s="122" t="str">
        <f>IFERROR(__xludf.DUMMYFUNCTION("""COMPUTED_VALUE"""),"0374 085 540")</f>
        <v>0374 085 540</v>
      </c>
      <c r="B6459" s="119" t="str">
        <f>IFERROR(__xludf.DUMMYFUNCTION("""COMPUTED_VALUE"""),"Anh Khánh")</f>
        <v>Anh Khánh</v>
      </c>
      <c r="C6459" s="119" t="str">
        <f>IFERROR(__xludf.DUMMYFUNCTION("""COMPUTED_VALUE"""),"Phú Hải")</f>
        <v>Phú Hải</v>
      </c>
      <c r="D6459" s="119" t="str">
        <f>IFERROR(__xludf.DUMMYFUNCTION("""COMPUTED_VALUE"""),"Chó")</f>
        <v>Chó</v>
      </c>
      <c r="E6459" s="119" t="str">
        <f>IFERROR(__xludf.DUMMYFUNCTION("""COMPUTED_VALUE"""),"Ami")</f>
        <v>Ami</v>
      </c>
    </row>
    <row r="6460" ht="15.75" customHeight="1">
      <c r="A6460" s="122" t="str">
        <f>IFERROR(__xludf.DUMMYFUNCTION("""COMPUTED_VALUE"""),"0822 539 249")</f>
        <v>0822 539 249</v>
      </c>
      <c r="B6460" s="119" t="str">
        <f>IFERROR(__xludf.DUMMYFUNCTION("""COMPUTED_VALUE"""),"Anh Rin")</f>
        <v>Anh Rin</v>
      </c>
      <c r="C6460" s="119" t="str">
        <f>IFERROR(__xludf.DUMMYFUNCTION("""COMPUTED_VALUE"""),"Phong Điền")</f>
        <v>Phong Điền</v>
      </c>
      <c r="D6460" s="119" t="str">
        <f>IFERROR(__xludf.DUMMYFUNCTION("""COMPUTED_VALUE"""),"Chó")</f>
        <v>Chó</v>
      </c>
      <c r="E6460" s="119" t="str">
        <f>IFERROR(__xludf.DUMMYFUNCTION("""COMPUTED_VALUE"""),"Lucky")</f>
        <v>Lucky</v>
      </c>
    </row>
    <row r="6461" ht="15.75" customHeight="1">
      <c r="A6461" s="122" t="str">
        <f>IFERROR(__xludf.DUMMYFUNCTION("""COMPUTED_VALUE"""),"0917 843 436")</f>
        <v>0917 843 436</v>
      </c>
      <c r="B6461" s="119" t="str">
        <f>IFERROR(__xludf.DUMMYFUNCTION("""COMPUTED_VALUE"""),"Chị Ngọc")</f>
        <v>Chị Ngọc</v>
      </c>
      <c r="C6461" s="119" t="str">
        <f>IFERROR(__xludf.DUMMYFUNCTION("""COMPUTED_VALUE"""),"7/22 Hà Nội")</f>
        <v>7/22 Hà Nội</v>
      </c>
      <c r="D6461" s="119" t="str">
        <f>IFERROR(__xludf.DUMMYFUNCTION("""COMPUTED_VALUE"""),"Mèo")</f>
        <v>Mèo</v>
      </c>
      <c r="E6461" s="119" t="str">
        <f>IFERROR(__xludf.DUMMYFUNCTION("""COMPUTED_VALUE"""),"Cưng")</f>
        <v>Cưng</v>
      </c>
    </row>
    <row r="6462" ht="15.75" customHeight="1">
      <c r="A6462" s="122" t="str">
        <f>IFERROR(__xludf.DUMMYFUNCTION("""COMPUTED_VALUE"""),"0369 792 818")</f>
        <v>0369 792 818</v>
      </c>
      <c r="B6462" s="119" t="str">
        <f>IFERROR(__xludf.DUMMYFUNCTION("""COMPUTED_VALUE"""),"Em Ngân")</f>
        <v>Em Ngân</v>
      </c>
      <c r="C6462" s="119" t="str">
        <f>IFERROR(__xludf.DUMMYFUNCTION("""COMPUTED_VALUE"""),"2/4/107 Duy Tân")</f>
        <v>2/4/107 Duy Tân</v>
      </c>
      <c r="D6462" s="119" t="str">
        <f>IFERROR(__xludf.DUMMYFUNCTION("""COMPUTED_VALUE"""),"Chó")</f>
        <v>Chó</v>
      </c>
      <c r="E6462" s="119" t="str">
        <f>IFERROR(__xludf.DUMMYFUNCTION("""COMPUTED_VALUE"""),"Ken")</f>
        <v>Ken</v>
      </c>
    </row>
    <row r="6463" ht="15.75" customHeight="1">
      <c r="A6463" s="122" t="str">
        <f>IFERROR(__xludf.DUMMYFUNCTION("""COMPUTED_VALUE"""),"0935 317 448")</f>
        <v>0935 317 448</v>
      </c>
      <c r="B6463" s="119" t="str">
        <f>IFERROR(__xludf.DUMMYFUNCTION("""COMPUTED_VALUE"""),"Dì Loan")</f>
        <v>Dì Loan</v>
      </c>
      <c r="C6463" s="119" t="str">
        <f>IFERROR(__xludf.DUMMYFUNCTION("""COMPUTED_VALUE"""),"6/23 Hàn Mặc Tử")</f>
        <v>6/23 Hàn Mặc Tử</v>
      </c>
      <c r="D6463" s="119" t="str">
        <f>IFERROR(__xludf.DUMMYFUNCTION("""COMPUTED_VALUE"""),"Chó")</f>
        <v>Chó</v>
      </c>
      <c r="E6463" s="119" t="str">
        <f>IFERROR(__xludf.DUMMYFUNCTION("""COMPUTED_VALUE"""),"Cơm")</f>
        <v>Cơm</v>
      </c>
    </row>
    <row r="6464" ht="15.75" customHeight="1">
      <c r="A6464" s="122" t="str">
        <f>IFERROR(__xludf.DUMMYFUNCTION("""COMPUTED_VALUE"""),"0899 889 674")</f>
        <v>0899 889 674</v>
      </c>
      <c r="B6464" s="119" t="str">
        <f>IFERROR(__xludf.DUMMYFUNCTION("""COMPUTED_VALUE"""),"Anh Lê Hồng Giang")</f>
        <v>Anh Lê Hồng Giang</v>
      </c>
      <c r="C6464" s="119" t="str">
        <f>IFERROR(__xludf.DUMMYFUNCTION("""COMPUTED_VALUE"""),"40/89 Duy Tân")</f>
        <v>40/89 Duy Tân</v>
      </c>
      <c r="D6464" s="119" t="str">
        <f>IFERROR(__xludf.DUMMYFUNCTION("""COMPUTED_VALUE"""),"Chó")</f>
        <v>Chó</v>
      </c>
      <c r="E6464" s="119" t="str">
        <f>IFERROR(__xludf.DUMMYFUNCTION("""COMPUTED_VALUE"""),"Phê")</f>
        <v>Phê</v>
      </c>
    </row>
    <row r="6465" ht="15.75" customHeight="1">
      <c r="A6465" s="122" t="str">
        <f>IFERROR(__xludf.DUMMYFUNCTION("""COMPUTED_VALUE"""),"0584 692 473")</f>
        <v>0584 692 473</v>
      </c>
      <c r="B6465" s="119" t="str">
        <f>IFERROR(__xludf.DUMMYFUNCTION("""COMPUTED_VALUE"""),"Anh Huy")</f>
        <v>Anh Huy</v>
      </c>
      <c r="C6465" s="119" t="str">
        <f>IFERROR(__xludf.DUMMYFUNCTION("""COMPUTED_VALUE"""),"Phú Vang")</f>
        <v>Phú Vang</v>
      </c>
      <c r="D6465" s="119" t="str">
        <f>IFERROR(__xludf.DUMMYFUNCTION("""COMPUTED_VALUE"""),"Chó")</f>
        <v>Chó</v>
      </c>
      <c r="E6465" s="119" t="str">
        <f>IFERROR(__xludf.DUMMYFUNCTION("""COMPUTED_VALUE"""),"Bo")</f>
        <v>Bo</v>
      </c>
    </row>
    <row r="6466" ht="15.75" customHeight="1">
      <c r="A6466" s="122" t="str">
        <f>IFERROR(__xludf.DUMMYFUNCTION("""COMPUTED_VALUE"""),"0782 092 546")</f>
        <v>0782 092 546</v>
      </c>
      <c r="B6466" s="119" t="str">
        <f>IFERROR(__xludf.DUMMYFUNCTION("""COMPUTED_VALUE"""),"Chị Tuyết Anh")</f>
        <v>Chị Tuyết Anh</v>
      </c>
      <c r="C6466" s="119" t="str">
        <f>IFERROR(__xludf.DUMMYFUNCTION("""COMPUTED_VALUE"""),"22 Chế Lan Viên")</f>
        <v>22 Chế Lan Viên</v>
      </c>
      <c r="D6466" s="119" t="str">
        <f>IFERROR(__xludf.DUMMYFUNCTION("""COMPUTED_VALUE"""),"Chó")</f>
        <v>Chó</v>
      </c>
      <c r="E6466" s="119" t="str">
        <f>IFERROR(__xludf.DUMMYFUNCTION("""COMPUTED_VALUE"""),"Nâu")</f>
        <v>Nâu</v>
      </c>
    </row>
    <row r="6467" ht="15.75" customHeight="1">
      <c r="A6467" s="122" t="str">
        <f>IFERROR(__xludf.DUMMYFUNCTION("""COMPUTED_VALUE"""),"0346 561 898")</f>
        <v>0346 561 898</v>
      </c>
      <c r="B6467" s="119" t="str">
        <f>IFERROR(__xludf.DUMMYFUNCTION("""COMPUTED_VALUE"""),"Chị Tâm")</f>
        <v>Chị Tâm</v>
      </c>
      <c r="C6467" s="119" t="str">
        <f>IFERROR(__xludf.DUMMYFUNCTION("""COMPUTED_VALUE"""),"Thuận An")</f>
        <v>Thuận An</v>
      </c>
      <c r="D6467" s="119" t="str">
        <f>IFERROR(__xludf.DUMMYFUNCTION("""COMPUTED_VALUE"""),"Chó")</f>
        <v>Chó</v>
      </c>
      <c r="E6467" s="119" t="str">
        <f>IFERROR(__xludf.DUMMYFUNCTION("""COMPUTED_VALUE"""),"Hảo")</f>
        <v>Hảo</v>
      </c>
    </row>
    <row r="6468" ht="15.75" customHeight="1">
      <c r="A6468" s="122" t="str">
        <f>IFERROR(__xludf.DUMMYFUNCTION("""COMPUTED_VALUE"""),"0777 941 024")</f>
        <v>0777 941 024</v>
      </c>
      <c r="B6468" s="119" t="str">
        <f>IFERROR(__xludf.DUMMYFUNCTION("""COMPUTED_VALUE"""),"Chị Trinh")</f>
        <v>Chị Trinh</v>
      </c>
      <c r="C6468" s="119" t="str">
        <f>IFERROR(__xludf.DUMMYFUNCTION("""COMPUTED_VALUE"""),"110 Trần Phú")</f>
        <v>110 Trần Phú</v>
      </c>
      <c r="D6468" s="119" t="str">
        <f>IFERROR(__xludf.DUMMYFUNCTION("""COMPUTED_VALUE"""),"Mèo")</f>
        <v>Mèo</v>
      </c>
      <c r="E6468" s="119" t="str">
        <f>IFERROR(__xludf.DUMMYFUNCTION("""COMPUTED_VALUE"""),"TaTa")</f>
        <v>TaTa</v>
      </c>
    </row>
    <row r="6469" ht="15.75" customHeight="1">
      <c r="A6469" s="122" t="str">
        <f>IFERROR(__xludf.DUMMYFUNCTION("""COMPUTED_VALUE"""),"0838 322 434")</f>
        <v>0838 322 434</v>
      </c>
      <c r="B6469" s="119" t="str">
        <f>IFERROR(__xludf.DUMMYFUNCTION("""COMPUTED_VALUE"""),"Dì Thy")</f>
        <v>Dì Thy</v>
      </c>
      <c r="C6469" s="119" t="str">
        <f>IFERROR(__xludf.DUMMYFUNCTION("""COMPUTED_VALUE"""),"k108 Lê Ngô Cát")</f>
        <v>k108 Lê Ngô Cát</v>
      </c>
      <c r="D6469" s="119" t="str">
        <f>IFERROR(__xludf.DUMMYFUNCTION("""COMPUTED_VALUE"""),"Chó")</f>
        <v>Chó</v>
      </c>
      <c r="E6469" s="119" t="str">
        <f>IFERROR(__xludf.DUMMYFUNCTION("""COMPUTED_VALUE"""),"Nâu")</f>
        <v>Nâu</v>
      </c>
    </row>
    <row r="6470" ht="15.75" customHeight="1">
      <c r="A6470" s="122" t="str">
        <f>IFERROR(__xludf.DUMMYFUNCTION("""COMPUTED_VALUE"""),"0906 586 061")</f>
        <v>0906 586 061</v>
      </c>
      <c r="B6470" s="119" t="str">
        <f>IFERROR(__xludf.DUMMYFUNCTION("""COMPUTED_VALUE"""),"Chị Thy")</f>
        <v>Chị Thy</v>
      </c>
      <c r="C6470" s="119" t="str">
        <f>IFERROR(__xludf.DUMMYFUNCTION("""COMPUTED_VALUE"""),"112/131 Trần Phú")</f>
        <v>112/131 Trần Phú</v>
      </c>
      <c r="D6470" s="119" t="str">
        <f>IFERROR(__xludf.DUMMYFUNCTION("""COMPUTED_VALUE"""),"Chó")</f>
        <v>Chó</v>
      </c>
      <c r="E6470" s="119" t="str">
        <f>IFERROR(__xludf.DUMMYFUNCTION("""COMPUTED_VALUE"""),"Kin")</f>
        <v>Kin</v>
      </c>
    </row>
    <row r="6471" ht="15.75" customHeight="1">
      <c r="A6471" s="122" t="str">
        <f>IFERROR(__xludf.DUMMYFUNCTION("""COMPUTED_VALUE"""),"0779 957 575")</f>
        <v>0779 957 575</v>
      </c>
      <c r="B6471" s="119" t="str">
        <f>IFERROR(__xludf.DUMMYFUNCTION("""COMPUTED_VALUE"""),"Chị My")</f>
        <v>Chị My</v>
      </c>
      <c r="C6471" s="119" t="str">
        <f>IFERROR(__xludf.DUMMYFUNCTION("""COMPUTED_VALUE"""),"8/8 Hồ Đắc Di")</f>
        <v>8/8 Hồ Đắc Di</v>
      </c>
      <c r="D6471" s="119" t="str">
        <f>IFERROR(__xludf.DUMMYFUNCTION("""COMPUTED_VALUE"""),"Chó")</f>
        <v>Chó</v>
      </c>
      <c r="E6471" s="119" t="str">
        <f>IFERROR(__xludf.DUMMYFUNCTION("""COMPUTED_VALUE"""),"Đô")</f>
        <v>Đô</v>
      </c>
    </row>
    <row r="6472" ht="15.75" customHeight="1">
      <c r="A6472" s="122" t="str">
        <f>IFERROR(__xludf.DUMMYFUNCTION("""COMPUTED_VALUE"""),"0934 749 881")</f>
        <v>0934 749 881</v>
      </c>
      <c r="B6472" s="119" t="str">
        <f>IFERROR(__xludf.DUMMYFUNCTION("""COMPUTED_VALUE"""),"Em Thảo Tiên")</f>
        <v>Em Thảo Tiên</v>
      </c>
      <c r="C6472" s="119" t="str">
        <f>IFERROR(__xludf.DUMMYFUNCTION("""COMPUTED_VALUE"""),"Phường Thủy Xuân")</f>
        <v>Phường Thủy Xuân</v>
      </c>
      <c r="D6472" s="119" t="str">
        <f>IFERROR(__xludf.DUMMYFUNCTION("""COMPUTED_VALUE"""),"Mèo")</f>
        <v>Mèo</v>
      </c>
      <c r="E6472" s="119"/>
    </row>
    <row r="6473" ht="15.75" customHeight="1">
      <c r="A6473" s="122" t="str">
        <f>IFERROR(__xludf.DUMMYFUNCTION("""COMPUTED_VALUE"""),"0812 766 566")</f>
        <v>0812 766 566</v>
      </c>
      <c r="B6473" s="119" t="str">
        <f>IFERROR(__xludf.DUMMYFUNCTION("""COMPUTED_VALUE"""),"Dì Hà")</f>
        <v>Dì Hà</v>
      </c>
      <c r="C6473" s="119" t="str">
        <f>IFERROR(__xludf.DUMMYFUNCTION("""COMPUTED_VALUE"""),"33/5/66 Xuân Diệu")</f>
        <v>33/5/66 Xuân Diệu</v>
      </c>
      <c r="D6473" s="119" t="str">
        <f>IFERROR(__xludf.DUMMYFUNCTION("""COMPUTED_VALUE"""),"Mèo")</f>
        <v>Mèo</v>
      </c>
      <c r="E6473" s="119"/>
    </row>
    <row r="6474" ht="15.75" customHeight="1">
      <c r="A6474" s="122" t="str">
        <f>IFERROR(__xludf.DUMMYFUNCTION("""COMPUTED_VALUE"""),"0931 225 336")</f>
        <v>0931 225 336</v>
      </c>
      <c r="B6474" s="119" t="str">
        <f>IFERROR(__xludf.DUMMYFUNCTION("""COMPUTED_VALUE"""),"Thầy Trí")</f>
        <v>Thầy Trí</v>
      </c>
      <c r="C6474" s="119" t="str">
        <f>IFERROR(__xludf.DUMMYFUNCTION("""COMPUTED_VALUE"""),"chùa Nam Sơn")</f>
        <v>chùa Nam Sơn</v>
      </c>
      <c r="D6474" s="119" t="str">
        <f>IFERROR(__xludf.DUMMYFUNCTION("""COMPUTED_VALUE"""),"Chó")</f>
        <v>Chó</v>
      </c>
      <c r="E6474" s="119" t="str">
        <f>IFERROR(__xludf.DUMMYFUNCTION("""COMPUTED_VALUE"""),"Lốc")</f>
        <v>Lốc</v>
      </c>
    </row>
    <row r="6475" ht="15.75" customHeight="1">
      <c r="A6475" s="122" t="str">
        <f>IFERROR(__xludf.DUMMYFUNCTION("""COMPUTED_VALUE"""),"0934 938 292")</f>
        <v>0934 938 292</v>
      </c>
      <c r="B6475" s="119" t="str">
        <f>IFERROR(__xludf.DUMMYFUNCTION("""COMPUTED_VALUE"""),"Anh Tùng")</f>
        <v>Anh Tùng</v>
      </c>
      <c r="C6475" s="119" t="str">
        <f>IFERROR(__xludf.DUMMYFUNCTION("""COMPUTED_VALUE"""),"8/358 Phan Chu Trinh")</f>
        <v>8/358 Phan Chu Trinh</v>
      </c>
      <c r="D6475" s="119" t="str">
        <f>IFERROR(__xludf.DUMMYFUNCTION("""COMPUTED_VALUE"""),"Chó")</f>
        <v>Chó</v>
      </c>
      <c r="E6475" s="119" t="str">
        <f>IFERROR(__xludf.DUMMYFUNCTION("""COMPUTED_VALUE"""),"Nhím")</f>
        <v>Nhím</v>
      </c>
    </row>
    <row r="6476" ht="15.75" customHeight="1">
      <c r="A6476" s="122" t="str">
        <f>IFERROR(__xludf.DUMMYFUNCTION("""COMPUTED_VALUE"""),"0905 477 251")</f>
        <v>0905 477 251</v>
      </c>
      <c r="B6476" s="119" t="str">
        <f>IFERROR(__xludf.DUMMYFUNCTION("""COMPUTED_VALUE"""),"Chị Ngọc")</f>
        <v>Chị Ngọc</v>
      </c>
      <c r="C6476" s="119" t="str">
        <f>IFERROR(__xludf.DUMMYFUNCTION("""COMPUTED_VALUE"""),"3/25 Nguyễn Trường Tộ")</f>
        <v>3/25 Nguyễn Trường Tộ</v>
      </c>
      <c r="D6476" s="119" t="str">
        <f>IFERROR(__xludf.DUMMYFUNCTION("""COMPUTED_VALUE"""),"Mèo")</f>
        <v>Mèo</v>
      </c>
      <c r="E6476" s="119" t="str">
        <f>IFERROR(__xludf.DUMMYFUNCTION("""COMPUTED_VALUE"""),"Ken")</f>
        <v>Ken</v>
      </c>
    </row>
    <row r="6477" ht="15.75" customHeight="1">
      <c r="A6477" s="122" t="str">
        <f>IFERROR(__xludf.DUMMYFUNCTION("""COMPUTED_VALUE"""),"0389 327 136")</f>
        <v>0389 327 136</v>
      </c>
      <c r="B6477" s="119" t="str">
        <f>IFERROR(__xludf.DUMMYFUNCTION("""COMPUTED_VALUE"""),"Anh Quang")</f>
        <v>Anh Quang</v>
      </c>
      <c r="C6477" s="119" t="str">
        <f>IFERROR(__xludf.DUMMYFUNCTION("""COMPUTED_VALUE"""),"108 Lê Ngô Cát")</f>
        <v>108 Lê Ngô Cát</v>
      </c>
      <c r="D6477" s="119" t="str">
        <f>IFERROR(__xludf.DUMMYFUNCTION("""COMPUTED_VALUE"""),"Chó")</f>
        <v>Chó</v>
      </c>
      <c r="E6477" s="119" t="str">
        <f>IFERROR(__xludf.DUMMYFUNCTION("""COMPUTED_VALUE"""),"Nâu")</f>
        <v>Nâu</v>
      </c>
    </row>
    <row r="6478" ht="15.75" customHeight="1">
      <c r="A6478" s="122" t="str">
        <f>IFERROR(__xludf.DUMMYFUNCTION("""COMPUTED_VALUE"""),"0782 092 403")</f>
        <v>0782 092 403</v>
      </c>
      <c r="B6478" s="119" t="str">
        <f>IFERROR(__xludf.DUMMYFUNCTION("""COMPUTED_VALUE"""),"Như Ý")</f>
        <v>Như Ý</v>
      </c>
      <c r="C6478" s="119" t="str">
        <f>IFERROR(__xludf.DUMMYFUNCTION("""COMPUTED_VALUE"""),"đặng Huy Trứ")</f>
        <v>đặng Huy Trứ</v>
      </c>
      <c r="D6478" s="119" t="str">
        <f>IFERROR(__xludf.DUMMYFUNCTION("""COMPUTED_VALUE"""),"Chó")</f>
        <v>Chó</v>
      </c>
      <c r="E6478" s="119" t="str">
        <f>IFERROR(__xludf.DUMMYFUNCTION("""COMPUTED_VALUE"""),"Xù")</f>
        <v>Xù</v>
      </c>
    </row>
    <row r="6479" ht="15.75" customHeight="1">
      <c r="A6479" s="122" t="str">
        <f>IFERROR(__xludf.DUMMYFUNCTION("""COMPUTED_VALUE"""),"0772 841 025")</f>
        <v>0772 841 025</v>
      </c>
      <c r="B6479" s="119" t="str">
        <f>IFERROR(__xludf.DUMMYFUNCTION("""COMPUTED_VALUE"""),"Chị Uyên")</f>
        <v>Chị Uyên</v>
      </c>
      <c r="C6479" s="119" t="str">
        <f>IFERROR(__xludf.DUMMYFUNCTION("""COMPUTED_VALUE"""),"8/4/87 Nguyễn Huệ")</f>
        <v>8/4/87 Nguyễn Huệ</v>
      </c>
      <c r="D6479" s="119" t="str">
        <f>IFERROR(__xludf.DUMMYFUNCTION("""COMPUTED_VALUE"""),"Chó")</f>
        <v>Chó</v>
      </c>
      <c r="E6479" s="119" t="str">
        <f>IFERROR(__xludf.DUMMYFUNCTION("""COMPUTED_VALUE"""),"Mít")</f>
        <v>Mít</v>
      </c>
    </row>
    <row r="6480" ht="15.75" customHeight="1">
      <c r="A6480" s="122" t="str">
        <f>IFERROR(__xludf.DUMMYFUNCTION("""COMPUTED_VALUE"""),"0916 644 239")</f>
        <v>0916 644 239</v>
      </c>
      <c r="B6480" s="119" t="str">
        <f>IFERROR(__xludf.DUMMYFUNCTION("""COMPUTED_VALUE"""),"Chị Phương")</f>
        <v>Chị Phương</v>
      </c>
      <c r="C6480" s="119" t="str">
        <f>IFERROR(__xludf.DUMMYFUNCTION("""COMPUTED_VALUE"""),"Kệt 131 Trần Phú")</f>
        <v>Kệt 131 Trần Phú</v>
      </c>
      <c r="D6480" s="119" t="str">
        <f>IFERROR(__xludf.DUMMYFUNCTION("""COMPUTED_VALUE"""),"Mèo")</f>
        <v>Mèo</v>
      </c>
      <c r="E6480" s="119" t="str">
        <f>IFERROR(__xludf.DUMMYFUNCTION("""COMPUTED_VALUE"""),"Min")</f>
        <v>Min</v>
      </c>
    </row>
    <row r="6481" ht="15.75" customHeight="1">
      <c r="A6481" s="122" t="str">
        <f>IFERROR(__xludf.DUMMYFUNCTION("""COMPUTED_VALUE"""),"0354 976 239")</f>
        <v>0354 976 239</v>
      </c>
      <c r="B6481" s="119" t="str">
        <f>IFERROR(__xludf.DUMMYFUNCTION("""COMPUTED_VALUE"""),"Chị Trâm")</f>
        <v>Chị Trâm</v>
      </c>
      <c r="C6481" s="119" t="str">
        <f>IFERROR(__xludf.DUMMYFUNCTION("""COMPUTED_VALUE"""),"60B Tôn Thất Thiệp")</f>
        <v>60B Tôn Thất Thiệp</v>
      </c>
      <c r="D6481" s="119" t="str">
        <f>IFERROR(__xludf.DUMMYFUNCTION("""COMPUTED_VALUE"""),"Mèo")</f>
        <v>Mèo</v>
      </c>
      <c r="E6481" s="119" t="str">
        <f>IFERROR(__xludf.DUMMYFUNCTION("""COMPUTED_VALUE"""),"Dâu")</f>
        <v>Dâu</v>
      </c>
    </row>
    <row r="6482" ht="15.75" customHeight="1">
      <c r="A6482" s="122" t="str">
        <f>IFERROR(__xludf.DUMMYFUNCTION("""COMPUTED_VALUE"""),"0782 645 967")</f>
        <v>0782 645 967</v>
      </c>
      <c r="B6482" s="119" t="str">
        <f>IFERROR(__xludf.DUMMYFUNCTION("""COMPUTED_VALUE"""),"Chị Nhi")</f>
        <v>Chị Nhi</v>
      </c>
      <c r="C6482" s="119" t="str">
        <f>IFERROR(__xludf.DUMMYFUNCTION("""COMPUTED_VALUE"""),"3/24 Thiên Thai")</f>
        <v>3/24 Thiên Thai</v>
      </c>
      <c r="D6482" s="119" t="str">
        <f>IFERROR(__xludf.DUMMYFUNCTION("""COMPUTED_VALUE"""),"Mèo")</f>
        <v>Mèo</v>
      </c>
      <c r="E6482" s="119" t="str">
        <f>IFERROR(__xludf.DUMMYFUNCTION("""COMPUTED_VALUE"""),"Xuri")</f>
        <v>Xuri</v>
      </c>
    </row>
    <row r="6483" ht="15.75" customHeight="1">
      <c r="A6483" s="122" t="str">
        <f>IFERROR(__xludf.DUMMYFUNCTION("""COMPUTED_VALUE"""),"0795 736 906")</f>
        <v>0795 736 906</v>
      </c>
      <c r="B6483" s="119" t="str">
        <f>IFERROR(__xludf.DUMMYFUNCTION("""COMPUTED_VALUE"""),"Phương Thảo")</f>
        <v>Phương Thảo</v>
      </c>
      <c r="C6483" s="119" t="str">
        <f>IFERROR(__xludf.DUMMYFUNCTION("""COMPUTED_VALUE"""),"176 Ngự Bình")</f>
        <v>176 Ngự Bình</v>
      </c>
      <c r="D6483" s="119" t="str">
        <f>IFERROR(__xludf.DUMMYFUNCTION("""COMPUTED_VALUE"""),"Chó")</f>
        <v>Chó</v>
      </c>
      <c r="E6483" s="119" t="str">
        <f>IFERROR(__xludf.DUMMYFUNCTION("""COMPUTED_VALUE"""),"MiLu")</f>
        <v>MiLu</v>
      </c>
    </row>
    <row r="6484" ht="15.75" customHeight="1">
      <c r="A6484" s="122" t="str">
        <f>IFERROR(__xludf.DUMMYFUNCTION("""COMPUTED_VALUE"""),"0935 508 884")</f>
        <v>0935 508 884</v>
      </c>
      <c r="B6484" s="119" t="str">
        <f>IFERROR(__xludf.DUMMYFUNCTION("""COMPUTED_VALUE"""),"Chị Nga")</f>
        <v>Chị Nga</v>
      </c>
      <c r="C6484" s="119" t="str">
        <f>IFERROR(__xludf.DUMMYFUNCTION("""COMPUTED_VALUE"""),"Đoan Hữu Trưng")</f>
        <v>Đoan Hữu Trưng</v>
      </c>
      <c r="D6484" s="119" t="str">
        <f>IFERROR(__xludf.DUMMYFUNCTION("""COMPUTED_VALUE"""),"Chó")</f>
        <v>Chó</v>
      </c>
      <c r="E6484" s="119" t="str">
        <f>IFERROR(__xludf.DUMMYFUNCTION("""COMPUTED_VALUE"""),"Bông")</f>
        <v>Bông</v>
      </c>
    </row>
    <row r="6485" ht="15.75" customHeight="1">
      <c r="A6485" s="122" t="str">
        <f>IFERROR(__xludf.DUMMYFUNCTION("""COMPUTED_VALUE"""),"0333 997 552")</f>
        <v>0333 997 552</v>
      </c>
      <c r="B6485" s="119" t="str">
        <f>IFERROR(__xludf.DUMMYFUNCTION("""COMPUTED_VALUE"""),"Nguyễn Thành Đạt")</f>
        <v>Nguyễn Thành Đạt</v>
      </c>
      <c r="C6485" s="119" t="str">
        <f>IFERROR(__xludf.DUMMYFUNCTION("""COMPUTED_VALUE"""),"17E/51/131 Trần Phú")</f>
        <v>17E/51/131 Trần Phú</v>
      </c>
      <c r="D6485" s="119" t="str">
        <f>IFERROR(__xludf.DUMMYFUNCTION("""COMPUTED_VALUE"""),"Chó")</f>
        <v>Chó</v>
      </c>
      <c r="E6485" s="119" t="str">
        <f>IFERROR(__xludf.DUMMYFUNCTION("""COMPUTED_VALUE"""),"Su")</f>
        <v>Su</v>
      </c>
    </row>
    <row r="6486" ht="15.75" customHeight="1">
      <c r="A6486" s="122" t="str">
        <f>IFERROR(__xludf.DUMMYFUNCTION("""COMPUTED_VALUE"""),"0931 969 883")</f>
        <v>0931 969 883</v>
      </c>
      <c r="B6486" s="119" t="str">
        <f>IFERROR(__xludf.DUMMYFUNCTION("""COMPUTED_VALUE"""),"Em Minh")</f>
        <v>Em Minh</v>
      </c>
      <c r="C6486" s="119" t="str">
        <f>IFERROR(__xludf.DUMMYFUNCTION("""COMPUTED_VALUE"""),"143 Đặng Văn Ngữ")</f>
        <v>143 Đặng Văn Ngữ</v>
      </c>
      <c r="D6486" s="119" t="str">
        <f>IFERROR(__xludf.DUMMYFUNCTION("""COMPUTED_VALUE"""),"Chó")</f>
        <v>Chó</v>
      </c>
      <c r="E6486" s="119" t="str">
        <f>IFERROR(__xludf.DUMMYFUNCTION("""COMPUTED_VALUE"""),"Gấu")</f>
        <v>Gấu</v>
      </c>
    </row>
    <row r="6487" ht="15.75" customHeight="1">
      <c r="A6487" s="122" t="str">
        <f>IFERROR(__xludf.DUMMYFUNCTION("""COMPUTED_VALUE"""),"0379 150 613")</f>
        <v>0379 150 613</v>
      </c>
      <c r="B6487" s="119" t="str">
        <f>IFERROR(__xludf.DUMMYFUNCTION("""COMPUTED_VALUE"""),"Chị Tuyền")</f>
        <v>Chị Tuyền</v>
      </c>
      <c r="C6487" s="119" t="str">
        <f>IFERROR(__xludf.DUMMYFUNCTION("""COMPUTED_VALUE"""),"213 Bùi Thị Xuân")</f>
        <v>213 Bùi Thị Xuân</v>
      </c>
      <c r="D6487" s="119" t="str">
        <f>IFERROR(__xludf.DUMMYFUNCTION("""COMPUTED_VALUE"""),"Mèo")</f>
        <v>Mèo</v>
      </c>
      <c r="E6487" s="119" t="str">
        <f>IFERROR(__xludf.DUMMYFUNCTION("""COMPUTED_VALUE"""),"Pi")</f>
        <v>Pi</v>
      </c>
    </row>
    <row r="6488" ht="15.75" customHeight="1">
      <c r="A6488" s="122" t="str">
        <f>IFERROR(__xludf.DUMMYFUNCTION("""COMPUTED_VALUE"""),"0795 736 558")</f>
        <v>0795 736 558</v>
      </c>
      <c r="B6488" s="119" t="str">
        <f>IFERROR(__xludf.DUMMYFUNCTION("""COMPUTED_VALUE"""),"Anh Vũ")</f>
        <v>Anh Vũ</v>
      </c>
      <c r="C6488" s="119" t="str">
        <f>IFERROR(__xludf.DUMMYFUNCTION("""COMPUTED_VALUE"""),"33 Nguyễn trường Tộ")</f>
        <v>33 Nguyễn trường Tộ</v>
      </c>
      <c r="D6488" s="119" t="str">
        <f>IFERROR(__xludf.DUMMYFUNCTION("""COMPUTED_VALUE"""),"Mèo")</f>
        <v>Mèo</v>
      </c>
      <c r="E6488" s="119" t="str">
        <f>IFERROR(__xludf.DUMMYFUNCTION("""COMPUTED_VALUE"""),"Miu")</f>
        <v>Miu</v>
      </c>
    </row>
    <row r="6489" ht="15.75" customHeight="1">
      <c r="A6489" s="122" t="str">
        <f>IFERROR(__xludf.DUMMYFUNCTION("""COMPUTED_VALUE"""),"0903 541 441")</f>
        <v>0903 541 441</v>
      </c>
      <c r="B6489" s="119" t="str">
        <f>IFERROR(__xludf.DUMMYFUNCTION("""COMPUTED_VALUE"""),"Anh Nghĩa")</f>
        <v>Anh Nghĩa</v>
      </c>
      <c r="C6489" s="119" t="str">
        <f>IFERROR(__xludf.DUMMYFUNCTION("""COMPUTED_VALUE"""),"Lê Bá Đảng")</f>
        <v>Lê Bá Đảng</v>
      </c>
      <c r="D6489" s="119" t="str">
        <f>IFERROR(__xludf.DUMMYFUNCTION("""COMPUTED_VALUE"""),"Chó")</f>
        <v>Chó</v>
      </c>
      <c r="E6489" s="119" t="str">
        <f>IFERROR(__xludf.DUMMYFUNCTION("""COMPUTED_VALUE"""),"rubi")</f>
        <v>rubi</v>
      </c>
    </row>
    <row r="6490" ht="15.75" customHeight="1">
      <c r="A6490" s="122" t="str">
        <f>IFERROR(__xludf.DUMMYFUNCTION("""COMPUTED_VALUE"""),"0783 464 563")</f>
        <v>0783 464 563</v>
      </c>
      <c r="B6490" s="119" t="str">
        <f>IFERROR(__xludf.DUMMYFUNCTION("""COMPUTED_VALUE"""),"Dì Hương")</f>
        <v>Dì Hương</v>
      </c>
      <c r="C6490" s="119" t="str">
        <f>IFERROR(__xludf.DUMMYFUNCTION("""COMPUTED_VALUE"""),"131 Trần Phú")</f>
        <v>131 Trần Phú</v>
      </c>
      <c r="D6490" s="119" t="str">
        <f>IFERROR(__xludf.DUMMYFUNCTION("""COMPUTED_VALUE"""),"Chó")</f>
        <v>Chó</v>
      </c>
      <c r="E6490" s="119" t="str">
        <f>IFERROR(__xludf.DUMMYFUNCTION("""COMPUTED_VALUE"""),"Gấu")</f>
        <v>Gấu</v>
      </c>
    </row>
    <row r="6491" ht="15.75" customHeight="1">
      <c r="A6491" s="122" t="str">
        <f>IFERROR(__xludf.DUMMYFUNCTION("""COMPUTED_VALUE"""),"0365 957 209")</f>
        <v>0365 957 209</v>
      </c>
      <c r="B6491" s="119" t="str">
        <f>IFERROR(__xludf.DUMMYFUNCTION("""COMPUTED_VALUE"""),"Anh Duyệt")</f>
        <v>Anh Duyệt</v>
      </c>
      <c r="C6491" s="119" t="str">
        <f>IFERROR(__xludf.DUMMYFUNCTION("""COMPUTED_VALUE"""),"4/22 Hàm Nghi")</f>
        <v>4/22 Hàm Nghi</v>
      </c>
      <c r="D6491" s="119" t="str">
        <f>IFERROR(__xludf.DUMMYFUNCTION("""COMPUTED_VALUE"""),"Chó")</f>
        <v>Chó</v>
      </c>
      <c r="E6491" s="119" t="str">
        <f>IFERROR(__xludf.DUMMYFUNCTION("""COMPUTED_VALUE"""),"Ken")</f>
        <v>Ken</v>
      </c>
    </row>
    <row r="6492" ht="15.75" customHeight="1">
      <c r="A6492" s="122" t="str">
        <f>IFERROR(__xludf.DUMMYFUNCTION("""COMPUTED_VALUE"""),"0989 077 600")</f>
        <v>0989 077 600</v>
      </c>
      <c r="B6492" s="119" t="str">
        <f>IFERROR(__xludf.DUMMYFUNCTION("""COMPUTED_VALUE"""),"Tố Nga")</f>
        <v>Tố Nga</v>
      </c>
      <c r="C6492" s="119" t="str">
        <f>IFERROR(__xludf.DUMMYFUNCTION("""COMPUTED_VALUE"""),"6 Lý Thường Kệt")</f>
        <v>6 Lý Thường Kệt</v>
      </c>
      <c r="D6492" s="119" t="str">
        <f>IFERROR(__xludf.DUMMYFUNCTION("""COMPUTED_VALUE"""),"Chó")</f>
        <v>Chó</v>
      </c>
      <c r="E6492" s="119" t="str">
        <f>IFERROR(__xludf.DUMMYFUNCTION("""COMPUTED_VALUE"""),"bò")</f>
        <v>bò</v>
      </c>
    </row>
    <row r="6493" ht="15.75" customHeight="1">
      <c r="A6493" s="122" t="str">
        <f>IFERROR(__xludf.DUMMYFUNCTION("""COMPUTED_VALUE"""),"0905 888 850")</f>
        <v>0905 888 850</v>
      </c>
      <c r="B6493" s="119" t="str">
        <f>IFERROR(__xludf.DUMMYFUNCTION("""COMPUTED_VALUE"""),"Anh Hà")</f>
        <v>Anh Hà</v>
      </c>
      <c r="C6493" s="119" t="str">
        <f>IFERROR(__xludf.DUMMYFUNCTION("""COMPUTED_VALUE"""),"93/5 Đặng Văn Ngữ")</f>
        <v>93/5 Đặng Văn Ngữ</v>
      </c>
      <c r="D6493" s="119" t="str">
        <f>IFERROR(__xludf.DUMMYFUNCTION("""COMPUTED_VALUE"""),"Chó")</f>
        <v>Chó</v>
      </c>
      <c r="E6493" s="119" t="str">
        <f>IFERROR(__xludf.DUMMYFUNCTION("""COMPUTED_VALUE"""),"vàng")</f>
        <v>vàng</v>
      </c>
    </row>
    <row r="6494" ht="15.75" customHeight="1">
      <c r="A6494" s="122" t="str">
        <f>IFERROR(__xludf.DUMMYFUNCTION("""COMPUTED_VALUE"""),"0888 057 055")</f>
        <v>0888 057 055</v>
      </c>
      <c r="B6494" s="119" t="str">
        <f>IFERROR(__xludf.DUMMYFUNCTION("""COMPUTED_VALUE"""),"Anh Quang")</f>
        <v>Anh Quang</v>
      </c>
      <c r="C6494" s="119" t="str">
        <f>IFERROR(__xludf.DUMMYFUNCTION("""COMPUTED_VALUE"""),"09 Nguyễn Công Trứ")</f>
        <v>09 Nguyễn Công Trứ</v>
      </c>
      <c r="D6494" s="119" t="str">
        <f>IFERROR(__xludf.DUMMYFUNCTION("""COMPUTED_VALUE"""),"Mèo")</f>
        <v>Mèo</v>
      </c>
      <c r="E6494" s="119" t="str">
        <f>IFERROR(__xludf.DUMMYFUNCTION("""COMPUTED_VALUE"""),"Nhẫn")</f>
        <v>Nhẫn</v>
      </c>
    </row>
    <row r="6495" ht="15.75" customHeight="1">
      <c r="A6495" s="122" t="str">
        <f>IFERROR(__xludf.DUMMYFUNCTION("""COMPUTED_VALUE"""),"0935 370 664")</f>
        <v>0935 370 664</v>
      </c>
      <c r="B6495" s="119" t="str">
        <f>IFERROR(__xludf.DUMMYFUNCTION("""COMPUTED_VALUE"""),"Anh Bôn")</f>
        <v>Anh Bôn</v>
      </c>
      <c r="C6495" s="119" t="str">
        <f>IFERROR(__xludf.DUMMYFUNCTION("""COMPUTED_VALUE"""),"131 Trần Phú")</f>
        <v>131 Trần Phú</v>
      </c>
      <c r="D6495" s="119" t="str">
        <f>IFERROR(__xludf.DUMMYFUNCTION("""COMPUTED_VALUE"""),"Chó")</f>
        <v>Chó</v>
      </c>
      <c r="E6495" s="119" t="str">
        <f>IFERROR(__xludf.DUMMYFUNCTION("""COMPUTED_VALUE"""),"film")</f>
        <v>film</v>
      </c>
    </row>
    <row r="6496" ht="15.75" customHeight="1">
      <c r="A6496" s="122" t="str">
        <f>IFERROR(__xludf.DUMMYFUNCTION("""COMPUTED_VALUE"""),"0932 508 365")</f>
        <v>0932 508 365</v>
      </c>
      <c r="B6496" s="119" t="str">
        <f>IFERROR(__xludf.DUMMYFUNCTION("""COMPUTED_VALUE"""),"Anh Linh")</f>
        <v>Anh Linh</v>
      </c>
      <c r="C6496" s="119" t="str">
        <f>IFERROR(__xludf.DUMMYFUNCTION("""COMPUTED_VALUE"""),"34/173 Phan Đình Phùng")</f>
        <v>34/173 Phan Đình Phùng</v>
      </c>
      <c r="D6496" s="119" t="str">
        <f>IFERROR(__xludf.DUMMYFUNCTION("""COMPUTED_VALUE"""),"Mèo")</f>
        <v>Mèo</v>
      </c>
      <c r="E6496" s="119" t="str">
        <f>IFERROR(__xludf.DUMMYFUNCTION("""COMPUTED_VALUE"""),"miu")</f>
        <v>miu</v>
      </c>
    </row>
    <row r="6497" ht="15.75" customHeight="1">
      <c r="A6497" s="122" t="str">
        <f>IFERROR(__xludf.DUMMYFUNCTION("""COMPUTED_VALUE"""),"0787 551 863")</f>
        <v>0787 551 863</v>
      </c>
      <c r="B6497" s="119" t="str">
        <f>IFERROR(__xludf.DUMMYFUNCTION("""COMPUTED_VALUE"""),"Em Lộc")</f>
        <v>Em Lộc</v>
      </c>
      <c r="C6497" s="119" t="str">
        <f>IFERROR(__xludf.DUMMYFUNCTION("""COMPUTED_VALUE"""),"88 Nguyễn Khoa Chiêm")</f>
        <v>88 Nguyễn Khoa Chiêm</v>
      </c>
      <c r="D6497" s="119" t="str">
        <f>IFERROR(__xludf.DUMMYFUNCTION("""COMPUTED_VALUE"""),"Chó")</f>
        <v>Chó</v>
      </c>
      <c r="E6497" s="119" t="str">
        <f>IFERROR(__xludf.DUMMYFUNCTION("""COMPUTED_VALUE"""),"Su")</f>
        <v>Su</v>
      </c>
    </row>
    <row r="6498" ht="15.75" customHeight="1">
      <c r="A6498" s="122" t="str">
        <f>IFERROR(__xludf.DUMMYFUNCTION("""COMPUTED_VALUE"""),"0797 267 979")</f>
        <v>0797 267 979</v>
      </c>
      <c r="B6498" s="119" t="str">
        <f>IFERROR(__xludf.DUMMYFUNCTION("""COMPUTED_VALUE"""),"Em Hà")</f>
        <v>Em Hà</v>
      </c>
      <c r="C6498" s="119" t="str">
        <f>IFERROR(__xludf.DUMMYFUNCTION("""COMPUTED_VALUE"""),"Đặng Huy Trứ")</f>
        <v>Đặng Huy Trứ</v>
      </c>
      <c r="D6498" s="119" t="str">
        <f>IFERROR(__xludf.DUMMYFUNCTION("""COMPUTED_VALUE"""),"Chó")</f>
        <v>Chó</v>
      </c>
      <c r="E6498" s="119" t="str">
        <f>IFERROR(__xludf.DUMMYFUNCTION("""COMPUTED_VALUE"""),"Bull")</f>
        <v>Bull</v>
      </c>
    </row>
    <row r="6499" ht="15.75" customHeight="1">
      <c r="A6499" s="122" t="str">
        <f>IFERROR(__xludf.DUMMYFUNCTION("""COMPUTED_VALUE"""),"0702 481 447")</f>
        <v>0702 481 447</v>
      </c>
      <c r="B6499" s="119" t="str">
        <f>IFERROR(__xludf.DUMMYFUNCTION("""COMPUTED_VALUE"""),"Thùy Dương")</f>
        <v>Thùy Dương</v>
      </c>
      <c r="C6499" s="119" t="str">
        <f>IFERROR(__xludf.DUMMYFUNCTION("""COMPUTED_VALUE"""),"74/4 Dương Văn An")</f>
        <v>74/4 Dương Văn An</v>
      </c>
      <c r="D6499" s="119" t="str">
        <f>IFERROR(__xludf.DUMMYFUNCTION("""COMPUTED_VALUE"""),"Chó")</f>
        <v>Chó</v>
      </c>
      <c r="E6499" s="119" t="str">
        <f>IFERROR(__xludf.DUMMYFUNCTION("""COMPUTED_VALUE"""),"Nâu")</f>
        <v>Nâu</v>
      </c>
    </row>
    <row r="6500" ht="15.75" customHeight="1">
      <c r="A6500" s="122" t="str">
        <f>IFERROR(__xludf.DUMMYFUNCTION("""COMPUTED_VALUE"""),"0338 391 563")</f>
        <v>0338 391 563</v>
      </c>
      <c r="B6500" s="119" t="str">
        <f>IFERROR(__xludf.DUMMYFUNCTION("""COMPUTED_VALUE"""),"Em Quỳnh Hương")</f>
        <v>Em Quỳnh Hương</v>
      </c>
      <c r="C6500" s="119" t="str">
        <f>IFERROR(__xludf.DUMMYFUNCTION("""COMPUTED_VALUE"""),"17/68 Điện Biên Phủ")</f>
        <v>17/68 Điện Biên Phủ</v>
      </c>
      <c r="D6500" s="119" t="str">
        <f>IFERROR(__xludf.DUMMYFUNCTION("""COMPUTED_VALUE"""),"Mèo")</f>
        <v>Mèo</v>
      </c>
      <c r="E6500" s="119" t="str">
        <f>IFERROR(__xludf.DUMMYFUNCTION("""COMPUTED_VALUE"""),"Tom")</f>
        <v>Tom</v>
      </c>
    </row>
    <row r="6501" ht="15.75" customHeight="1">
      <c r="A6501" s="122" t="str">
        <f>IFERROR(__xludf.DUMMYFUNCTION("""COMPUTED_VALUE"""),"0914 997 117")</f>
        <v>0914 997 117</v>
      </c>
      <c r="B6501" s="119" t="str">
        <f>IFERROR(__xludf.DUMMYFUNCTION("""COMPUTED_VALUE"""),"Dì Hằng")</f>
        <v>Dì Hằng</v>
      </c>
      <c r="C6501" s="119" t="str">
        <f>IFERROR(__xludf.DUMMYFUNCTION("""COMPUTED_VALUE"""),"108/131 Trần Phú")</f>
        <v>108/131 Trần Phú</v>
      </c>
      <c r="D6501" s="119" t="str">
        <f>IFERROR(__xludf.DUMMYFUNCTION("""COMPUTED_VALUE"""),"Chó")</f>
        <v>Chó</v>
      </c>
      <c r="E6501" s="119" t="str">
        <f>IFERROR(__xludf.DUMMYFUNCTION("""COMPUTED_VALUE"""),"Mun")</f>
        <v>Mun</v>
      </c>
    </row>
    <row r="6502" ht="15.75" customHeight="1">
      <c r="A6502" s="122" t="str">
        <f>IFERROR(__xludf.DUMMYFUNCTION("""COMPUTED_VALUE"""),"0914 540 543")</f>
        <v>0914 540 543</v>
      </c>
      <c r="B6502" s="119" t="str">
        <f>IFERROR(__xludf.DUMMYFUNCTION("""COMPUTED_VALUE"""),"Chị Trang")</f>
        <v>Chị Trang</v>
      </c>
      <c r="C6502" s="119" t="str">
        <f>IFERROR(__xludf.DUMMYFUNCTION("""COMPUTED_VALUE"""),"8/87 Lịch Đợi")</f>
        <v>8/87 Lịch Đợi</v>
      </c>
      <c r="D6502" s="119" t="str">
        <f>IFERROR(__xludf.DUMMYFUNCTION("""COMPUTED_VALUE"""),"Chó")</f>
        <v>Chó</v>
      </c>
      <c r="E6502" s="119" t="str">
        <f>IFERROR(__xludf.DUMMYFUNCTION("""COMPUTED_VALUE"""),"Soup")</f>
        <v>Soup</v>
      </c>
    </row>
    <row r="6503" ht="15.75" customHeight="1">
      <c r="A6503" s="122" t="str">
        <f>IFERROR(__xludf.DUMMYFUNCTION("""COMPUTED_VALUE"""),"0702 698 091")</f>
        <v>0702 698 091</v>
      </c>
      <c r="B6503" s="119" t="str">
        <f>IFERROR(__xludf.DUMMYFUNCTION("""COMPUTED_VALUE"""),"Chú Hải")</f>
        <v>Chú Hải</v>
      </c>
      <c r="C6503" s="119" t="str">
        <f>IFERROR(__xludf.DUMMYFUNCTION("""COMPUTED_VALUE"""),"4 Nguyễn Văn Đào")</f>
        <v>4 Nguyễn Văn Đào</v>
      </c>
      <c r="D6503" s="119" t="str">
        <f>IFERROR(__xludf.DUMMYFUNCTION("""COMPUTED_VALUE"""),"Chó")</f>
        <v>Chó</v>
      </c>
      <c r="E6503" s="119" t="str">
        <f>IFERROR(__xludf.DUMMYFUNCTION("""COMPUTED_VALUE"""),"Đốm")</f>
        <v>Đốm</v>
      </c>
    </row>
    <row r="6504" ht="15.75" customHeight="1">
      <c r="A6504" s="122" t="str">
        <f>IFERROR(__xludf.DUMMYFUNCTION("""COMPUTED_VALUE"""),"0908 406 043")</f>
        <v>0908 406 043</v>
      </c>
      <c r="B6504" s="119" t="str">
        <f>IFERROR(__xludf.DUMMYFUNCTION("""COMPUTED_VALUE"""),"Chị Hằng")</f>
        <v>Chị Hằng</v>
      </c>
      <c r="C6504" s="119" t="str">
        <f>IFERROR(__xludf.DUMMYFUNCTION("""COMPUTED_VALUE"""),"Phong Điền")</f>
        <v>Phong Điền</v>
      </c>
      <c r="D6504" s="119" t="str">
        <f>IFERROR(__xludf.DUMMYFUNCTION("""COMPUTED_VALUE"""),"Chó")</f>
        <v>Chó</v>
      </c>
      <c r="E6504" s="119" t="str">
        <f>IFERROR(__xludf.DUMMYFUNCTION("""COMPUTED_VALUE"""),"Mony")</f>
        <v>Mony</v>
      </c>
    </row>
    <row r="6505" ht="15.75" customHeight="1">
      <c r="A6505" s="122" t="str">
        <f>IFERROR(__xludf.DUMMYFUNCTION("""COMPUTED_VALUE"""),"0973 649 945")</f>
        <v>0973 649 945</v>
      </c>
      <c r="B6505" s="119" t="str">
        <f>IFERROR(__xludf.DUMMYFUNCTION("""COMPUTED_VALUE"""),"Anh Nhân")</f>
        <v>Anh Nhân</v>
      </c>
      <c r="C6505" s="119" t="str">
        <f>IFERROR(__xludf.DUMMYFUNCTION("""COMPUTED_VALUE"""),"Phú Thượng")</f>
        <v>Phú Thượng</v>
      </c>
      <c r="D6505" s="119" t="str">
        <f>IFERROR(__xludf.DUMMYFUNCTION("""COMPUTED_VALUE"""),"Chó")</f>
        <v>Chó</v>
      </c>
      <c r="E6505" s="119" t="str">
        <f>IFERROR(__xludf.DUMMYFUNCTION("""COMPUTED_VALUE"""),"Mun")</f>
        <v>Mun</v>
      </c>
    </row>
    <row r="6506" ht="15.75" customHeight="1">
      <c r="A6506" s="122" t="str">
        <f>IFERROR(__xludf.DUMMYFUNCTION("""COMPUTED_VALUE"""),"0934 925 305")</f>
        <v>0934 925 305</v>
      </c>
      <c r="B6506" s="119" t="str">
        <f>IFERROR(__xludf.DUMMYFUNCTION("""COMPUTED_VALUE"""),"Dì Thanh")</f>
        <v>Dì Thanh</v>
      </c>
      <c r="C6506" s="119" t="str">
        <f>IFERROR(__xludf.DUMMYFUNCTION("""COMPUTED_VALUE"""),"806 Nguyễn Tất thành")</f>
        <v>806 Nguyễn Tất thành</v>
      </c>
      <c r="D6506" s="119" t="str">
        <f>IFERROR(__xludf.DUMMYFUNCTION("""COMPUTED_VALUE"""),"Chó")</f>
        <v>Chó</v>
      </c>
      <c r="E6506" s="119" t="str">
        <f>IFERROR(__xludf.DUMMYFUNCTION("""COMPUTED_VALUE"""),"Chu Chu")</f>
        <v>Chu Chu</v>
      </c>
    </row>
    <row r="6507" ht="15.75" customHeight="1">
      <c r="A6507" s="122" t="str">
        <f>IFERROR(__xludf.DUMMYFUNCTION("""COMPUTED_VALUE"""),"0868 796 559")</f>
        <v>0868 796 559</v>
      </c>
      <c r="B6507" s="119" t="str">
        <f>IFERROR(__xludf.DUMMYFUNCTION("""COMPUTED_VALUE"""),"Lê nguyễn Kiều Nhi")</f>
        <v>Lê nguyễn Kiều Nhi</v>
      </c>
      <c r="C6507" s="119" t="str">
        <f>IFERROR(__xludf.DUMMYFUNCTION("""COMPUTED_VALUE"""),"Trần Phú")</f>
        <v>Trần Phú</v>
      </c>
      <c r="D6507" s="119" t="str">
        <f>IFERROR(__xludf.DUMMYFUNCTION("""COMPUTED_VALUE"""),"Mèo")</f>
        <v>Mèo</v>
      </c>
      <c r="E6507" s="119" t="str">
        <f>IFERROR(__xludf.DUMMYFUNCTION("""COMPUTED_VALUE"""),"Lousi")</f>
        <v>Lousi</v>
      </c>
    </row>
    <row r="6508" ht="15.75" customHeight="1">
      <c r="A6508" s="122" t="str">
        <f>IFERROR(__xludf.DUMMYFUNCTION("""COMPUTED_VALUE"""),"0706 060 206")</f>
        <v>0706 060 206</v>
      </c>
      <c r="B6508" s="119" t="str">
        <f>IFERROR(__xludf.DUMMYFUNCTION("""COMPUTED_VALUE"""),"Thầy Thanh Quang")</f>
        <v>Thầy Thanh Quang</v>
      </c>
      <c r="C6508" s="119" t="str">
        <f>IFERROR(__xludf.DUMMYFUNCTION("""COMPUTED_VALUE"""),"Chùa Thiên Tôn-An Tây")</f>
        <v>Chùa Thiên Tôn-An Tây</v>
      </c>
      <c r="D6508" s="119" t="str">
        <f>IFERROR(__xludf.DUMMYFUNCTION("""COMPUTED_VALUE"""),"Chó")</f>
        <v>Chó</v>
      </c>
      <c r="E6508" s="119" t="str">
        <f>IFERROR(__xludf.DUMMYFUNCTION("""COMPUTED_VALUE"""),"Bo")</f>
        <v>Bo</v>
      </c>
    </row>
    <row r="6509" ht="15.75" customHeight="1">
      <c r="A6509" s="122" t="str">
        <f>IFERROR(__xludf.DUMMYFUNCTION("""COMPUTED_VALUE"""),"0913 425 508")</f>
        <v>0913 425 508</v>
      </c>
      <c r="B6509" s="119" t="str">
        <f>IFERROR(__xludf.DUMMYFUNCTION("""COMPUTED_VALUE"""),"Chú Dương")</f>
        <v>Chú Dương</v>
      </c>
      <c r="C6509" s="119" t="str">
        <f>IFERROR(__xludf.DUMMYFUNCTION("""COMPUTED_VALUE"""),"346 Nguyễn Sinh Cung")</f>
        <v>346 Nguyễn Sinh Cung</v>
      </c>
      <c r="D6509" s="119" t="str">
        <f>IFERROR(__xludf.DUMMYFUNCTION("""COMPUTED_VALUE"""),"Chó")</f>
        <v>Chó</v>
      </c>
      <c r="E6509" s="119" t="str">
        <f>IFERROR(__xludf.DUMMYFUNCTION("""COMPUTED_VALUE"""),"Đen")</f>
        <v>Đen</v>
      </c>
    </row>
    <row r="6510" ht="15.75" customHeight="1">
      <c r="A6510" s="122" t="str">
        <f>IFERROR(__xludf.DUMMYFUNCTION("""COMPUTED_VALUE"""),"0368 795 091")</f>
        <v>0368 795 091</v>
      </c>
      <c r="B6510" s="119" t="str">
        <f>IFERROR(__xludf.DUMMYFUNCTION("""COMPUTED_VALUE"""),"Chị Thư")</f>
        <v>Chị Thư</v>
      </c>
      <c r="C6510" s="119" t="str">
        <f>IFERROR(__xludf.DUMMYFUNCTION("""COMPUTED_VALUE"""),"100 Nguyễn Khoa Chiêm")</f>
        <v>100 Nguyễn Khoa Chiêm</v>
      </c>
      <c r="D6510" s="119" t="str">
        <f>IFERROR(__xludf.DUMMYFUNCTION("""COMPUTED_VALUE"""),"Chó")</f>
        <v>Chó</v>
      </c>
      <c r="E6510" s="119" t="str">
        <f>IFERROR(__xludf.DUMMYFUNCTION("""COMPUTED_VALUE"""),"Su")</f>
        <v>Su</v>
      </c>
    </row>
    <row r="6511" ht="15.75" customHeight="1">
      <c r="A6511" s="122" t="str">
        <f>IFERROR(__xludf.DUMMYFUNCTION("""COMPUTED_VALUE"""),"0986 884 889")</f>
        <v>0986 884 889</v>
      </c>
      <c r="B6511" s="119" t="str">
        <f>IFERROR(__xludf.DUMMYFUNCTION("""COMPUTED_VALUE"""),"Chị Tuyết Linh")</f>
        <v>Chị Tuyết Linh</v>
      </c>
      <c r="C6511" s="119" t="str">
        <f>IFERROR(__xludf.DUMMYFUNCTION("""COMPUTED_VALUE"""),"4/55 Đặng Văn Ngữ")</f>
        <v>4/55 Đặng Văn Ngữ</v>
      </c>
      <c r="D6511" s="119" t="str">
        <f>IFERROR(__xludf.DUMMYFUNCTION("""COMPUTED_VALUE"""),"Mèo")</f>
        <v>Mèo</v>
      </c>
      <c r="E6511" s="119" t="str">
        <f>IFERROR(__xludf.DUMMYFUNCTION("""COMPUTED_VALUE"""),"supprice")</f>
        <v>supprice</v>
      </c>
    </row>
    <row r="6512" ht="15.75" customHeight="1">
      <c r="A6512" s="122" t="str">
        <f>IFERROR(__xludf.DUMMYFUNCTION("""COMPUTED_VALUE"""),"0986 999 004")</f>
        <v>0986 999 004</v>
      </c>
      <c r="B6512" s="119" t="str">
        <f>IFERROR(__xludf.DUMMYFUNCTION("""COMPUTED_VALUE"""),"Dì Gái")</f>
        <v>Dì Gái</v>
      </c>
      <c r="C6512" s="119" t="str">
        <f>IFERROR(__xludf.DUMMYFUNCTION("""COMPUTED_VALUE"""),"Tỉnh lộ 10")</f>
        <v>Tỉnh lộ 10</v>
      </c>
      <c r="D6512" s="119" t="str">
        <f>IFERROR(__xludf.DUMMYFUNCTION("""COMPUTED_VALUE"""),"Chó")</f>
        <v>Chó</v>
      </c>
      <c r="E6512" s="119" t="str">
        <f>IFERROR(__xludf.DUMMYFUNCTION("""COMPUTED_VALUE"""),"Su")</f>
        <v>Su</v>
      </c>
    </row>
    <row r="6513" ht="15.75" customHeight="1">
      <c r="A6513" s="122" t="str">
        <f>IFERROR(__xludf.DUMMYFUNCTION("""COMPUTED_VALUE"""),"0832 566 539")</f>
        <v>0832 566 539</v>
      </c>
      <c r="B6513" s="119" t="str">
        <f>IFERROR(__xludf.DUMMYFUNCTION("""COMPUTED_VALUE"""),"Anh Trình")</f>
        <v>Anh Trình</v>
      </c>
      <c r="C6513" s="119" t="str">
        <f>IFERROR(__xludf.DUMMYFUNCTION("""COMPUTED_VALUE"""),"Hoàng Quốc Việt")</f>
        <v>Hoàng Quốc Việt</v>
      </c>
      <c r="D6513" s="119" t="str">
        <f>IFERROR(__xludf.DUMMYFUNCTION("""COMPUTED_VALUE"""),"Chó")</f>
        <v>Chó</v>
      </c>
      <c r="E6513" s="119" t="str">
        <f>IFERROR(__xludf.DUMMYFUNCTION("""COMPUTED_VALUE"""),"Mon")</f>
        <v>Mon</v>
      </c>
    </row>
    <row r="6514" ht="15.75" customHeight="1">
      <c r="A6514" s="122" t="str">
        <f>IFERROR(__xludf.DUMMYFUNCTION("""COMPUTED_VALUE"""),"0971 517 747")</f>
        <v>0971 517 747</v>
      </c>
      <c r="B6514" s="119" t="str">
        <f>IFERROR(__xludf.DUMMYFUNCTION("""COMPUTED_VALUE"""),"ANh Nguyên")</f>
        <v>ANh Nguyên</v>
      </c>
      <c r="C6514" s="119" t="str">
        <f>IFERROR(__xludf.DUMMYFUNCTION("""COMPUTED_VALUE"""),"4/133 Bùi Thị Xuân")</f>
        <v>4/133 Bùi Thị Xuân</v>
      </c>
      <c r="D6514" s="119" t="str">
        <f>IFERROR(__xludf.DUMMYFUNCTION("""COMPUTED_VALUE"""),"Chó")</f>
        <v>Chó</v>
      </c>
      <c r="E6514" s="119" t="str">
        <f>IFERROR(__xludf.DUMMYFUNCTION("""COMPUTED_VALUE"""),"gold")</f>
        <v>gold</v>
      </c>
    </row>
    <row r="6515" ht="15.75" customHeight="1">
      <c r="A6515" s="122" t="str">
        <f>IFERROR(__xludf.DUMMYFUNCTION("""COMPUTED_VALUE"""),"0766 639 965")</f>
        <v>0766 639 965</v>
      </c>
      <c r="B6515" s="119" t="str">
        <f>IFERROR(__xludf.DUMMYFUNCTION("""COMPUTED_VALUE"""),"Chị Thi")</f>
        <v>Chị Thi</v>
      </c>
      <c r="C6515" s="119" t="str">
        <f>IFERROR(__xludf.DUMMYFUNCTION("""COMPUTED_VALUE"""),"5/8 Hà Nội")</f>
        <v>5/8 Hà Nội</v>
      </c>
      <c r="D6515" s="119" t="str">
        <f>IFERROR(__xludf.DUMMYFUNCTION("""COMPUTED_VALUE"""),"Mèo")</f>
        <v>Mèo</v>
      </c>
      <c r="E6515" s="119" t="str">
        <f>IFERROR(__xludf.DUMMYFUNCTION("""COMPUTED_VALUE"""),"Sâu")</f>
        <v>Sâu</v>
      </c>
    </row>
    <row r="6516" ht="15.75" customHeight="1">
      <c r="A6516" s="122" t="str">
        <f>IFERROR(__xludf.DUMMYFUNCTION("""COMPUTED_VALUE"""),"0964 573 037")</f>
        <v>0964 573 037</v>
      </c>
      <c r="B6516" s="119" t="str">
        <f>IFERROR(__xludf.DUMMYFUNCTION("""COMPUTED_VALUE"""),"Chị Ngọc")</f>
        <v>Chị Ngọc</v>
      </c>
      <c r="C6516" s="119" t="str">
        <f>IFERROR(__xludf.DUMMYFUNCTION("""COMPUTED_VALUE"""),"Phan Kế Bính")</f>
        <v>Phan Kế Bính</v>
      </c>
      <c r="D6516" s="119" t="str">
        <f>IFERROR(__xludf.DUMMYFUNCTION("""COMPUTED_VALUE"""),"Mèo")</f>
        <v>Mèo</v>
      </c>
      <c r="E6516" s="119"/>
    </row>
    <row r="6517" ht="15.75" customHeight="1">
      <c r="A6517" s="122" t="str">
        <f>IFERROR(__xludf.DUMMYFUNCTION("""COMPUTED_VALUE"""),"0782 328 859")</f>
        <v>0782 328 859</v>
      </c>
      <c r="B6517" s="119" t="str">
        <f>IFERROR(__xludf.DUMMYFUNCTION("""COMPUTED_VALUE"""),"Anh Tuấn")</f>
        <v>Anh Tuấn</v>
      </c>
      <c r="C6517" s="119" t="str">
        <f>IFERROR(__xludf.DUMMYFUNCTION("""COMPUTED_VALUE"""),"6/50 Xuân Diệu")</f>
        <v>6/50 Xuân Diệu</v>
      </c>
      <c r="D6517" s="119" t="str">
        <f>IFERROR(__xludf.DUMMYFUNCTION("""COMPUTED_VALUE"""),"Chó")</f>
        <v>Chó</v>
      </c>
      <c r="E6517" s="119" t="str">
        <f>IFERROR(__xludf.DUMMYFUNCTION("""COMPUTED_VALUE"""),"Ki")</f>
        <v>Ki</v>
      </c>
    </row>
    <row r="6518" ht="15.75" customHeight="1">
      <c r="A6518" s="122" t="str">
        <f>IFERROR(__xludf.DUMMYFUNCTION("""COMPUTED_VALUE"""),"0946 891 775")</f>
        <v>0946 891 775</v>
      </c>
      <c r="B6518" s="119" t="str">
        <f>IFERROR(__xludf.DUMMYFUNCTION("""COMPUTED_VALUE"""),"Dì Lan")</f>
        <v>Dì Lan</v>
      </c>
      <c r="C6518" s="119" t="str">
        <f>IFERROR(__xludf.DUMMYFUNCTION("""COMPUTED_VALUE"""),"Chợ Trường An")</f>
        <v>Chợ Trường An</v>
      </c>
      <c r="D6518" s="119" t="str">
        <f>IFERROR(__xludf.DUMMYFUNCTION("""COMPUTED_VALUE"""),"Chó")</f>
        <v>Chó</v>
      </c>
      <c r="E6518" s="119" t="str">
        <f>IFERROR(__xludf.DUMMYFUNCTION("""COMPUTED_VALUE"""),"bon")</f>
        <v>bon</v>
      </c>
    </row>
    <row r="6519" ht="15.75" customHeight="1">
      <c r="A6519" s="122" t="str">
        <f>IFERROR(__xludf.DUMMYFUNCTION("""COMPUTED_VALUE"""),"0935 376 931")</f>
        <v>0935 376 931</v>
      </c>
      <c r="B6519" s="119" t="str">
        <f>IFERROR(__xludf.DUMMYFUNCTION("""COMPUTED_VALUE"""),"Anh Nhật Bảo")</f>
        <v>Anh Nhật Bảo</v>
      </c>
      <c r="C6519" s="119" t="str">
        <f>IFERROR(__xludf.DUMMYFUNCTION("""COMPUTED_VALUE"""),"6/138 Trần Phú")</f>
        <v>6/138 Trần Phú</v>
      </c>
      <c r="D6519" s="119" t="str">
        <f>IFERROR(__xludf.DUMMYFUNCTION("""COMPUTED_VALUE"""),"Mèo")</f>
        <v>Mèo</v>
      </c>
      <c r="E6519" s="119" t="str">
        <f>IFERROR(__xludf.DUMMYFUNCTION("""COMPUTED_VALUE"""),"MiLo")</f>
        <v>MiLo</v>
      </c>
    </row>
    <row r="6520" ht="15.75" customHeight="1">
      <c r="A6520" s="122" t="str">
        <f>IFERROR(__xludf.DUMMYFUNCTION("""COMPUTED_VALUE"""),"0931 910 986")</f>
        <v>0931 910 986</v>
      </c>
      <c r="B6520" s="119" t="str">
        <f>IFERROR(__xludf.DUMMYFUNCTION("""COMPUTED_VALUE"""),"Thầy Cường")</f>
        <v>Thầy Cường</v>
      </c>
      <c r="C6520" s="119" t="str">
        <f>IFERROR(__xludf.DUMMYFUNCTION("""COMPUTED_VALUE"""),"An Tây")</f>
        <v>An Tây</v>
      </c>
      <c r="D6520" s="119" t="str">
        <f>IFERROR(__xludf.DUMMYFUNCTION("""COMPUTED_VALUE"""),"Chó")</f>
        <v>Chó</v>
      </c>
      <c r="E6520" s="119" t="str">
        <f>IFERROR(__xludf.DUMMYFUNCTION("""COMPUTED_VALUE"""),"Shiha")</f>
        <v>Shiha</v>
      </c>
    </row>
    <row r="6521" ht="15.75" customHeight="1">
      <c r="A6521" s="122" t="str">
        <f>IFERROR(__xludf.DUMMYFUNCTION("""COMPUTED_VALUE"""),"0395 393 800")</f>
        <v>0395 393 800</v>
      </c>
      <c r="B6521" s="119" t="str">
        <f>IFERROR(__xludf.DUMMYFUNCTION("""COMPUTED_VALUE"""),"Em Nhỏ")</f>
        <v>Em Nhỏ</v>
      </c>
      <c r="C6521" s="119" t="str">
        <f>IFERROR(__xludf.DUMMYFUNCTION("""COMPUTED_VALUE"""),"43 Nguyễn Trường Tộ")</f>
        <v>43 Nguyễn Trường Tộ</v>
      </c>
      <c r="D6521" s="119" t="str">
        <f>IFERROR(__xludf.DUMMYFUNCTION("""COMPUTED_VALUE"""),"Mèo")</f>
        <v>Mèo</v>
      </c>
      <c r="E6521" s="119" t="str">
        <f>IFERROR(__xludf.DUMMYFUNCTION("""COMPUTED_VALUE"""),"Siro")</f>
        <v>Siro</v>
      </c>
    </row>
    <row r="6522" ht="15.75" customHeight="1">
      <c r="A6522" s="122" t="str">
        <f>IFERROR(__xludf.DUMMYFUNCTION("""COMPUTED_VALUE"""),"0987 633 043")</f>
        <v>0987 633 043</v>
      </c>
      <c r="B6522" s="119" t="str">
        <f>IFERROR(__xludf.DUMMYFUNCTION("""COMPUTED_VALUE"""),"Tố Uyên")</f>
        <v>Tố Uyên</v>
      </c>
      <c r="C6522" s="119" t="str">
        <f>IFERROR(__xludf.DUMMYFUNCTION("""COMPUTED_VALUE"""),"19/333 Phạm Văn Đồng")</f>
        <v>19/333 Phạm Văn Đồng</v>
      </c>
      <c r="D6522" s="119" t="str">
        <f>IFERROR(__xludf.DUMMYFUNCTION("""COMPUTED_VALUE"""),"Chó")</f>
        <v>Chó</v>
      </c>
      <c r="E6522" s="119" t="str">
        <f>IFERROR(__xludf.DUMMYFUNCTION("""COMPUTED_VALUE"""),"Sushi")</f>
        <v>Sushi</v>
      </c>
    </row>
    <row r="6523" ht="15.75" customHeight="1">
      <c r="A6523" s="122" t="str">
        <f>IFERROR(__xludf.DUMMYFUNCTION("""COMPUTED_VALUE"""),"0982 648 959")</f>
        <v>0982 648 959</v>
      </c>
      <c r="B6523" s="119" t="str">
        <f>IFERROR(__xludf.DUMMYFUNCTION("""COMPUTED_VALUE"""),"Anh Quốc")</f>
        <v>Anh Quốc</v>
      </c>
      <c r="C6523" s="119" t="str">
        <f>IFERROR(__xludf.DUMMYFUNCTION("""COMPUTED_VALUE"""),"2 Tố Hữu")</f>
        <v>2 Tố Hữu</v>
      </c>
      <c r="D6523" s="119" t="str">
        <f>IFERROR(__xludf.DUMMYFUNCTION("""COMPUTED_VALUE"""),"Mèo")</f>
        <v>Mèo</v>
      </c>
      <c r="E6523" s="119" t="str">
        <f>IFERROR(__xludf.DUMMYFUNCTION("""COMPUTED_VALUE"""),"Bơ")</f>
        <v>Bơ</v>
      </c>
    </row>
    <row r="6524" ht="15.75" customHeight="1">
      <c r="A6524" s="122" t="str">
        <f>IFERROR(__xludf.DUMMYFUNCTION("""COMPUTED_VALUE"""),"0372 252 846")</f>
        <v>0372 252 846</v>
      </c>
      <c r="B6524" s="119" t="str">
        <f>IFERROR(__xludf.DUMMYFUNCTION("""COMPUTED_VALUE"""),"Anh Hoàng")</f>
        <v>Anh Hoàng</v>
      </c>
      <c r="C6524" s="119" t="str">
        <f>IFERROR(__xludf.DUMMYFUNCTION("""COMPUTED_VALUE"""),"Kiệt 106 Lê Ngô Cát")</f>
        <v>Kiệt 106 Lê Ngô Cát</v>
      </c>
      <c r="D6524" s="119" t="str">
        <f>IFERROR(__xludf.DUMMYFUNCTION("""COMPUTED_VALUE"""),"Chó")</f>
        <v>Chó</v>
      </c>
      <c r="E6524" s="119" t="str">
        <f>IFERROR(__xludf.DUMMYFUNCTION("""COMPUTED_VALUE"""),"Nâu")</f>
        <v>Nâu</v>
      </c>
    </row>
    <row r="6525" ht="15.75" customHeight="1">
      <c r="A6525" s="122" t="str">
        <f>IFERROR(__xludf.DUMMYFUNCTION("""COMPUTED_VALUE"""),"0975 525 652")</f>
        <v>0975 525 652</v>
      </c>
      <c r="B6525" s="119" t="str">
        <f>IFERROR(__xludf.DUMMYFUNCTION("""COMPUTED_VALUE"""),"Chị Duyên")</f>
        <v>Chị Duyên</v>
      </c>
      <c r="C6525" s="119" t="str">
        <f>IFERROR(__xludf.DUMMYFUNCTION("""COMPUTED_VALUE"""),"36 Trần Quang Khải")</f>
        <v>36 Trần Quang Khải</v>
      </c>
      <c r="D6525" s="119" t="str">
        <f>IFERROR(__xludf.DUMMYFUNCTION("""COMPUTED_VALUE"""),"Mèo")</f>
        <v>Mèo</v>
      </c>
      <c r="E6525" s="119" t="str">
        <f>IFERROR(__xludf.DUMMYFUNCTION("""COMPUTED_VALUE"""),"Tom")</f>
        <v>Tom</v>
      </c>
    </row>
    <row r="6526" ht="15.75" customHeight="1">
      <c r="A6526" s="122" t="str">
        <f>IFERROR(__xludf.DUMMYFUNCTION("""COMPUTED_VALUE"""),"0774 442 170")</f>
        <v>0774 442 170</v>
      </c>
      <c r="B6526" s="119" t="str">
        <f>IFERROR(__xludf.DUMMYFUNCTION("""COMPUTED_VALUE"""),"Em Thông")</f>
        <v>Em Thông</v>
      </c>
      <c r="C6526" s="119" t="str">
        <f>IFERROR(__xludf.DUMMYFUNCTION("""COMPUTED_VALUE"""),"4/30 Đoàn Hữu Trưng")</f>
        <v>4/30 Đoàn Hữu Trưng</v>
      </c>
      <c r="D6526" s="119" t="str">
        <f>IFERROR(__xludf.DUMMYFUNCTION("""COMPUTED_VALUE"""),"Chó")</f>
        <v>Chó</v>
      </c>
      <c r="E6526" s="119" t="str">
        <f>IFERROR(__xludf.DUMMYFUNCTION("""COMPUTED_VALUE"""),"Bờm")</f>
        <v>Bờm</v>
      </c>
    </row>
    <row r="6527" ht="15.75" customHeight="1">
      <c r="A6527" s="122" t="str">
        <f>IFERROR(__xludf.DUMMYFUNCTION("""COMPUTED_VALUE"""),"0985 994 475")</f>
        <v>0985 994 475</v>
      </c>
      <c r="B6527" s="119" t="str">
        <f>IFERROR(__xludf.DUMMYFUNCTION("""COMPUTED_VALUE"""),"Chị Nhi")</f>
        <v>Chị Nhi</v>
      </c>
      <c r="C6527" s="119" t="str">
        <f>IFERROR(__xludf.DUMMYFUNCTION("""COMPUTED_VALUE"""),"Quảng Điền")</f>
        <v>Quảng Điền</v>
      </c>
      <c r="D6527" s="119" t="str">
        <f>IFERROR(__xludf.DUMMYFUNCTION("""COMPUTED_VALUE"""),"Mèo")</f>
        <v>Mèo</v>
      </c>
      <c r="E6527" s="119" t="str">
        <f>IFERROR(__xludf.DUMMYFUNCTION("""COMPUTED_VALUE"""),"Thỏ")</f>
        <v>Thỏ</v>
      </c>
    </row>
    <row r="6528" ht="15.75" customHeight="1">
      <c r="A6528" s="122" t="str">
        <f>IFERROR(__xludf.DUMMYFUNCTION("""COMPUTED_VALUE"""),"0987 601 118")</f>
        <v>0987 601 118</v>
      </c>
      <c r="B6528" s="119" t="str">
        <f>IFERROR(__xludf.DUMMYFUNCTION("""COMPUTED_VALUE"""),"Nguyễn Đức Tân")</f>
        <v>Nguyễn Đức Tân</v>
      </c>
      <c r="C6528" s="119" t="str">
        <f>IFERROR(__xludf.DUMMYFUNCTION("""COMPUTED_VALUE"""),"05/36 Hồ Dắc Di")</f>
        <v>05/36 Hồ Dắc Di</v>
      </c>
      <c r="D6528" s="119" t="str">
        <f>IFERROR(__xludf.DUMMYFUNCTION("""COMPUTED_VALUE"""),"Chó")</f>
        <v>Chó</v>
      </c>
      <c r="E6528" s="119" t="str">
        <f>IFERROR(__xludf.DUMMYFUNCTION("""COMPUTED_VALUE"""),"Chuột")</f>
        <v>Chuột</v>
      </c>
    </row>
    <row r="6529" ht="15.75" customHeight="1">
      <c r="A6529" s="122" t="str">
        <f>IFERROR(__xludf.DUMMYFUNCTION("""COMPUTED_VALUE"""),"0971 495 598")</f>
        <v>0971 495 598</v>
      </c>
      <c r="B6529" s="119" t="str">
        <f>IFERROR(__xludf.DUMMYFUNCTION("""COMPUTED_VALUE"""),"Anh Trung")</f>
        <v>Anh Trung</v>
      </c>
      <c r="C6529" s="119" t="str">
        <f>IFERROR(__xludf.DUMMYFUNCTION("""COMPUTED_VALUE"""),"3/3 Đinh Tiên Hoàng")</f>
        <v>3/3 Đinh Tiên Hoàng</v>
      </c>
      <c r="D6529" s="119" t="str">
        <f>IFERROR(__xludf.DUMMYFUNCTION("""COMPUTED_VALUE"""),"Chó")</f>
        <v>Chó</v>
      </c>
      <c r="E6529" s="119" t="str">
        <f>IFERROR(__xludf.DUMMYFUNCTION("""COMPUTED_VALUE"""),"Lùn")</f>
        <v>Lùn</v>
      </c>
    </row>
    <row r="6530" ht="15.75" customHeight="1">
      <c r="A6530" s="122" t="str">
        <f>IFERROR(__xludf.DUMMYFUNCTION("""COMPUTED_VALUE"""),"0983 124 312")</f>
        <v>0983 124 312</v>
      </c>
      <c r="B6530" s="119" t="str">
        <f>IFERROR(__xludf.DUMMYFUNCTION("""COMPUTED_VALUE"""),"Anh Hiếu")</f>
        <v>Anh Hiếu</v>
      </c>
      <c r="C6530" s="119" t="str">
        <f>IFERROR(__xludf.DUMMYFUNCTION("""COMPUTED_VALUE"""),"210 Phan Chu Trinh")</f>
        <v>210 Phan Chu Trinh</v>
      </c>
      <c r="D6530" s="119" t="str">
        <f>IFERROR(__xludf.DUMMYFUNCTION("""COMPUTED_VALUE"""),"Mèo")</f>
        <v>Mèo</v>
      </c>
      <c r="E6530" s="119" t="str">
        <f>IFERROR(__xludf.DUMMYFUNCTION("""COMPUTED_VALUE"""),"Moon")</f>
        <v>Moon</v>
      </c>
    </row>
    <row r="6531" ht="15.75" customHeight="1">
      <c r="A6531" s="122" t="str">
        <f>IFERROR(__xludf.DUMMYFUNCTION("""COMPUTED_VALUE"""),"0941 350 567")</f>
        <v>0941 350 567</v>
      </c>
      <c r="B6531" s="119" t="str">
        <f>IFERROR(__xludf.DUMMYFUNCTION("""COMPUTED_VALUE"""),"Anh Trung")</f>
        <v>Anh Trung</v>
      </c>
      <c r="C6531" s="119" t="str">
        <f>IFERROR(__xludf.DUMMYFUNCTION("""COMPUTED_VALUE"""),"207 Phan Bội Châu")</f>
        <v>207 Phan Bội Châu</v>
      </c>
      <c r="D6531" s="119" t="str">
        <f>IFERROR(__xludf.DUMMYFUNCTION("""COMPUTED_VALUE"""),"Chó")</f>
        <v>Chó</v>
      </c>
      <c r="E6531" s="119"/>
    </row>
    <row r="6532" ht="15.75" customHeight="1">
      <c r="A6532" s="122" t="str">
        <f>IFERROR(__xludf.DUMMYFUNCTION("""COMPUTED_VALUE"""),"0358 795 137")</f>
        <v>0358 795 137</v>
      </c>
      <c r="B6532" s="119" t="str">
        <f>IFERROR(__xludf.DUMMYFUNCTION("""COMPUTED_VALUE"""),"Trương Văn Sang")</f>
        <v>Trương Văn Sang</v>
      </c>
      <c r="C6532" s="119" t="str">
        <f>IFERROR(__xludf.DUMMYFUNCTION("""COMPUTED_VALUE"""),"8/9/130 Trần Phú")</f>
        <v>8/9/130 Trần Phú</v>
      </c>
      <c r="D6532" s="119" t="str">
        <f>IFERROR(__xludf.DUMMYFUNCTION("""COMPUTED_VALUE"""),"Mèo")</f>
        <v>Mèo</v>
      </c>
      <c r="E6532" s="119" t="str">
        <f>IFERROR(__xludf.DUMMYFUNCTION("""COMPUTED_VALUE"""),"Nấm")</f>
        <v>Nấm</v>
      </c>
    </row>
    <row r="6533" ht="15.75" customHeight="1">
      <c r="A6533" s="122" t="str">
        <f>IFERROR(__xludf.DUMMYFUNCTION("""COMPUTED_VALUE"""),"0365 644 761")</f>
        <v>0365 644 761</v>
      </c>
      <c r="B6533" s="119" t="str">
        <f>IFERROR(__xludf.DUMMYFUNCTION("""COMPUTED_VALUE"""),"Chị Duyên")</f>
        <v>Chị Duyên</v>
      </c>
      <c r="C6533" s="119" t="str">
        <f>IFERROR(__xludf.DUMMYFUNCTION("""COMPUTED_VALUE"""),"4b/69/131 Trần Phú")</f>
        <v>4b/69/131 Trần Phú</v>
      </c>
      <c r="D6533" s="119" t="str">
        <f>IFERROR(__xludf.DUMMYFUNCTION("""COMPUTED_VALUE"""),"Chó")</f>
        <v>Chó</v>
      </c>
      <c r="E6533" s="119" t="str">
        <f>IFERROR(__xludf.DUMMYFUNCTION("""COMPUTED_VALUE"""),"Kem")</f>
        <v>Kem</v>
      </c>
    </row>
    <row r="6534" ht="15.75" customHeight="1">
      <c r="A6534" s="122" t="str">
        <f>IFERROR(__xludf.DUMMYFUNCTION("""COMPUTED_VALUE"""),"0789 455 880")</f>
        <v>0789 455 880</v>
      </c>
      <c r="B6534" s="119" t="str">
        <f>IFERROR(__xludf.DUMMYFUNCTION("""COMPUTED_VALUE"""),"Bảo Trân")</f>
        <v>Bảo Trân</v>
      </c>
      <c r="C6534" s="119" t="str">
        <f>IFERROR(__xludf.DUMMYFUNCTION("""COMPUTED_VALUE"""),"14/24 Chế Lan Viên")</f>
        <v>14/24 Chế Lan Viên</v>
      </c>
      <c r="D6534" s="119" t="str">
        <f>IFERROR(__xludf.DUMMYFUNCTION("""COMPUTED_VALUE"""),"Chó")</f>
        <v>Chó</v>
      </c>
      <c r="E6534" s="119" t="str">
        <f>IFERROR(__xludf.DUMMYFUNCTION("""COMPUTED_VALUE"""),"Lu")</f>
        <v>Lu</v>
      </c>
    </row>
    <row r="6535" ht="15.75" customHeight="1">
      <c r="A6535" s="122" t="str">
        <f>IFERROR(__xludf.DUMMYFUNCTION("""COMPUTED_VALUE"""),"0650 011 555")</f>
        <v>0650 011 555</v>
      </c>
      <c r="B6535" s="119" t="str">
        <f>IFERROR(__xludf.DUMMYFUNCTION("""COMPUTED_VALUE"""),"Chị Thảo")</f>
        <v>Chị Thảo</v>
      </c>
      <c r="C6535" s="119" t="str">
        <f>IFERROR(__xludf.DUMMYFUNCTION("""COMPUTED_VALUE"""),"34a/131 Trần Phú")</f>
        <v>34a/131 Trần Phú</v>
      </c>
      <c r="D6535" s="119" t="str">
        <f>IFERROR(__xludf.DUMMYFUNCTION("""COMPUTED_VALUE"""),"Chó")</f>
        <v>Chó</v>
      </c>
      <c r="E6535" s="119" t="str">
        <f>IFERROR(__xludf.DUMMYFUNCTION("""COMPUTED_VALUE"""),"Ka")</f>
        <v>Ka</v>
      </c>
    </row>
    <row r="6536" ht="15.75" customHeight="1">
      <c r="A6536" s="122" t="str">
        <f>IFERROR(__xludf.DUMMYFUNCTION("""COMPUTED_VALUE"""),"0988 744 858")</f>
        <v>0988 744 858</v>
      </c>
      <c r="B6536" s="119" t="str">
        <f>IFERROR(__xludf.DUMMYFUNCTION("""COMPUTED_VALUE"""),"Anh Đặng Xuân Long")</f>
        <v>Anh Đặng Xuân Long</v>
      </c>
      <c r="C6536" s="119" t="str">
        <f>IFERROR(__xludf.DUMMYFUNCTION("""COMPUTED_VALUE"""),"4/41/128 Nguyễn Khoa Chiêm")</f>
        <v>4/41/128 Nguyễn Khoa Chiêm</v>
      </c>
      <c r="D6536" s="119" t="str">
        <f>IFERROR(__xludf.DUMMYFUNCTION("""COMPUTED_VALUE"""),"Chó")</f>
        <v>Chó</v>
      </c>
      <c r="E6536" s="119" t="str">
        <f>IFERROR(__xludf.DUMMYFUNCTION("""COMPUTED_VALUE"""),"Luýt")</f>
        <v>Luýt</v>
      </c>
    </row>
    <row r="6537" ht="15.75" customHeight="1">
      <c r="A6537" s="122" t="str">
        <f>IFERROR(__xludf.DUMMYFUNCTION("""COMPUTED_VALUE"""),"0773 553 187")</f>
        <v>0773 553 187</v>
      </c>
      <c r="B6537" s="119" t="str">
        <f>IFERROR(__xludf.DUMMYFUNCTION("""COMPUTED_VALUE"""),"Chị Ngọc Lâm")</f>
        <v>Chị Ngọc Lâm</v>
      </c>
      <c r="C6537" s="119" t="str">
        <f>IFERROR(__xludf.DUMMYFUNCTION("""COMPUTED_VALUE"""),"32/119 Hùng Vương")</f>
        <v>32/119 Hùng Vương</v>
      </c>
      <c r="D6537" s="119" t="str">
        <f>IFERROR(__xludf.DUMMYFUNCTION("""COMPUTED_VALUE"""),"Mèo")</f>
        <v>Mèo</v>
      </c>
      <c r="E6537" s="119"/>
    </row>
    <row r="6538" ht="15.75" customHeight="1">
      <c r="A6538" s="122" t="str">
        <f>IFERROR(__xludf.DUMMYFUNCTION("""COMPUTED_VALUE"""),"0964 901 927")</f>
        <v>0964 901 927</v>
      </c>
      <c r="B6538" s="119" t="str">
        <f>IFERROR(__xludf.DUMMYFUNCTION("""COMPUTED_VALUE"""),"Chị Như Ý")</f>
        <v>Chị Như Ý</v>
      </c>
      <c r="C6538" s="119" t="str">
        <f>IFERROR(__xludf.DUMMYFUNCTION("""COMPUTED_VALUE"""),"2 Thích Nữ Diệu Không")</f>
        <v>2 Thích Nữ Diệu Không</v>
      </c>
      <c r="D6538" s="119" t="str">
        <f>IFERROR(__xludf.DUMMYFUNCTION("""COMPUTED_VALUE"""),"Chó")</f>
        <v>Chó</v>
      </c>
      <c r="E6538" s="119" t="str">
        <f>IFERROR(__xludf.DUMMYFUNCTION("""COMPUTED_VALUE"""),"Sóc")</f>
        <v>Sóc</v>
      </c>
    </row>
    <row r="6539" ht="15.75" customHeight="1">
      <c r="A6539" s="122" t="str">
        <f>IFERROR(__xludf.DUMMYFUNCTION("""COMPUTED_VALUE"""),"0899 992 752")</f>
        <v>0899 992 752</v>
      </c>
      <c r="B6539" s="119" t="str">
        <f>IFERROR(__xludf.DUMMYFUNCTION("""COMPUTED_VALUE"""),"Hồ Đăng Khánh")</f>
        <v>Hồ Đăng Khánh</v>
      </c>
      <c r="C6539" s="119" t="str">
        <f>IFERROR(__xludf.DUMMYFUNCTION("""COMPUTED_VALUE"""),"k131 Trần Phú")</f>
        <v>k131 Trần Phú</v>
      </c>
      <c r="D6539" s="119" t="str">
        <f>IFERROR(__xludf.DUMMYFUNCTION("""COMPUTED_VALUE"""),"Chó")</f>
        <v>Chó</v>
      </c>
      <c r="E6539" s="119" t="str">
        <f>IFERROR(__xludf.DUMMYFUNCTION("""COMPUTED_VALUE"""),"đô la")</f>
        <v>đô la</v>
      </c>
    </row>
    <row r="6540" ht="15.75" customHeight="1">
      <c r="A6540" s="122" t="str">
        <f>IFERROR(__xludf.DUMMYFUNCTION("""COMPUTED_VALUE"""),"0398 813 634")</f>
        <v>0398 813 634</v>
      </c>
      <c r="B6540" s="119" t="str">
        <f>IFERROR(__xludf.DUMMYFUNCTION("""COMPUTED_VALUE"""),"Thầy Duy")</f>
        <v>Thầy Duy</v>
      </c>
      <c r="C6540" s="119" t="str">
        <f>IFERROR(__xludf.DUMMYFUNCTION("""COMPUTED_VALUE"""),"143 Phan Bội Châu")</f>
        <v>143 Phan Bội Châu</v>
      </c>
      <c r="D6540" s="119" t="str">
        <f>IFERROR(__xludf.DUMMYFUNCTION("""COMPUTED_VALUE"""),"Chó")</f>
        <v>Chó</v>
      </c>
      <c r="E6540" s="119" t="str">
        <f>IFERROR(__xludf.DUMMYFUNCTION("""COMPUTED_VALUE"""),"Pu")</f>
        <v>Pu</v>
      </c>
    </row>
    <row r="6541" ht="15.75" customHeight="1">
      <c r="A6541" s="122" t="str">
        <f>IFERROR(__xludf.DUMMYFUNCTION("""COMPUTED_VALUE"""),"0334 340 634")</f>
        <v>0334 340 634</v>
      </c>
      <c r="B6541" s="119" t="str">
        <f>IFERROR(__xludf.DUMMYFUNCTION("""COMPUTED_VALUE"""),"Chị Dung")</f>
        <v>Chị Dung</v>
      </c>
      <c r="C6541" s="119" t="str">
        <f>IFERROR(__xludf.DUMMYFUNCTION("""COMPUTED_VALUE"""),"56 Lê công Thành")</f>
        <v>56 Lê công Thành</v>
      </c>
      <c r="D6541" s="119" t="str">
        <f>IFERROR(__xludf.DUMMYFUNCTION("""COMPUTED_VALUE"""),"Mèo")</f>
        <v>Mèo</v>
      </c>
      <c r="E6541" s="119"/>
    </row>
    <row r="6542" ht="15.75" customHeight="1">
      <c r="A6542" s="122" t="str">
        <f>IFERROR(__xludf.DUMMYFUNCTION("""COMPUTED_VALUE"""),"0976 578 481")</f>
        <v>0976 578 481</v>
      </c>
      <c r="B6542" s="119" t="str">
        <f>IFERROR(__xludf.DUMMYFUNCTION("""COMPUTED_VALUE"""),"Dì Xuân")</f>
        <v>Dì Xuân</v>
      </c>
      <c r="C6542" s="119" t="str">
        <f>IFERROR(__xludf.DUMMYFUNCTION("""COMPUTED_VALUE"""),"4/29/9/131 Trần Phú")</f>
        <v>4/29/9/131 Trần Phú</v>
      </c>
      <c r="D6542" s="119" t="str">
        <f>IFERROR(__xludf.DUMMYFUNCTION("""COMPUTED_VALUE"""),"Chó")</f>
        <v>Chó</v>
      </c>
      <c r="E6542" s="119" t="str">
        <f>IFERROR(__xludf.DUMMYFUNCTION("""COMPUTED_VALUE"""),"Bò")</f>
        <v>Bò</v>
      </c>
    </row>
    <row r="6543" ht="15.75" customHeight="1">
      <c r="A6543" s="122" t="str">
        <f>IFERROR(__xludf.DUMMYFUNCTION("""COMPUTED_VALUE"""),"0988 858 083")</f>
        <v>0988 858 083</v>
      </c>
      <c r="B6543" s="119" t="str">
        <f>IFERROR(__xludf.DUMMYFUNCTION("""COMPUTED_VALUE"""),"Chị Thu Ân")</f>
        <v>Chị Thu Ân</v>
      </c>
      <c r="C6543" s="119" t="str">
        <f>IFERROR(__xludf.DUMMYFUNCTION("""COMPUTED_VALUE"""),"254 Phan Chu Trinh")</f>
        <v>254 Phan Chu Trinh</v>
      </c>
      <c r="D6543" s="119" t="str">
        <f>IFERROR(__xludf.DUMMYFUNCTION("""COMPUTED_VALUE"""),"Chó")</f>
        <v>Chó</v>
      </c>
      <c r="E6543" s="119" t="str">
        <f>IFERROR(__xludf.DUMMYFUNCTION("""COMPUTED_VALUE"""),"Bông")</f>
        <v>Bông</v>
      </c>
    </row>
    <row r="6544" ht="15.75" customHeight="1">
      <c r="A6544" s="122" t="str">
        <f>IFERROR(__xludf.DUMMYFUNCTION("""COMPUTED_VALUE"""),"0964 719 851")</f>
        <v>0964 719 851</v>
      </c>
      <c r="B6544" s="119" t="str">
        <f>IFERROR(__xludf.DUMMYFUNCTION("""COMPUTED_VALUE"""),"Em Ái Nhi")</f>
        <v>Em Ái Nhi</v>
      </c>
      <c r="C6544" s="119" t="str">
        <f>IFERROR(__xludf.DUMMYFUNCTION("""COMPUTED_VALUE"""),"29 Sơn Xuyên")</f>
        <v>29 Sơn Xuyên</v>
      </c>
      <c r="D6544" s="119" t="str">
        <f>IFERROR(__xludf.DUMMYFUNCTION("""COMPUTED_VALUE"""),"Chó")</f>
        <v>Chó</v>
      </c>
      <c r="E6544" s="119" t="str">
        <f>IFERROR(__xludf.DUMMYFUNCTION("""COMPUTED_VALUE"""),"Đốm")</f>
        <v>Đốm</v>
      </c>
    </row>
    <row r="6545" ht="15.75" customHeight="1">
      <c r="A6545" s="122" t="str">
        <f>IFERROR(__xludf.DUMMYFUNCTION("""COMPUTED_VALUE"""),"0972 558 176")</f>
        <v>0972 558 176</v>
      </c>
      <c r="B6545" s="119" t="str">
        <f>IFERROR(__xludf.DUMMYFUNCTION("""COMPUTED_VALUE"""),"Anh Minh Anh")</f>
        <v>Anh Minh Anh</v>
      </c>
      <c r="C6545" s="119" t="str">
        <f>IFERROR(__xludf.DUMMYFUNCTION("""COMPUTED_VALUE"""),"57 Bùi Thị Xuân")</f>
        <v>57 Bùi Thị Xuân</v>
      </c>
      <c r="D6545" s="119" t="str">
        <f>IFERROR(__xludf.DUMMYFUNCTION("""COMPUTED_VALUE"""),"Mèo")</f>
        <v>Mèo</v>
      </c>
      <c r="E6545" s="119" t="str">
        <f>IFERROR(__xludf.DUMMYFUNCTION("""COMPUTED_VALUE"""),"Mướp")</f>
        <v>Mướp</v>
      </c>
    </row>
    <row r="6546" ht="15.75" customHeight="1">
      <c r="A6546" s="122" t="str">
        <f>IFERROR(__xludf.DUMMYFUNCTION("""COMPUTED_VALUE"""),"0902 133 347")</f>
        <v>0902 133 347</v>
      </c>
      <c r="B6546" s="119" t="str">
        <f>IFERROR(__xludf.DUMMYFUNCTION("""COMPUTED_VALUE"""),"Anh Huy")</f>
        <v>Anh Huy</v>
      </c>
      <c r="C6546" s="119" t="str">
        <f>IFERROR(__xludf.DUMMYFUNCTION("""COMPUTED_VALUE"""),"xóm 4 Ngọc Anh")</f>
        <v>xóm 4 Ngọc Anh</v>
      </c>
      <c r="D6546" s="119" t="str">
        <f>IFERROR(__xludf.DUMMYFUNCTION("""COMPUTED_VALUE"""),"Mèo")</f>
        <v>Mèo</v>
      </c>
      <c r="E6546" s="119" t="str">
        <f>IFERROR(__xludf.DUMMYFUNCTION("""COMPUTED_VALUE"""),"Min")</f>
        <v>Min</v>
      </c>
    </row>
    <row r="6547" ht="15.75" customHeight="1">
      <c r="A6547" s="122" t="str">
        <f>IFERROR(__xludf.DUMMYFUNCTION("""COMPUTED_VALUE"""),"0935 321 233")</f>
        <v>0935 321 233</v>
      </c>
      <c r="B6547" s="119" t="str">
        <f>IFERROR(__xludf.DUMMYFUNCTION("""COMPUTED_VALUE"""),"Trần Đức Tài")</f>
        <v>Trần Đức Tài</v>
      </c>
      <c r="C6547" s="119" t="str">
        <f>IFERROR(__xludf.DUMMYFUNCTION("""COMPUTED_VALUE"""),"3 Chi Lăng")</f>
        <v>3 Chi Lăng</v>
      </c>
      <c r="D6547" s="119" t="str">
        <f>IFERROR(__xludf.DUMMYFUNCTION("""COMPUTED_VALUE"""),"Chó")</f>
        <v>Chó</v>
      </c>
      <c r="E6547" s="119" t="str">
        <f>IFERROR(__xludf.DUMMYFUNCTION("""COMPUTED_VALUE"""),"Tommy")</f>
        <v>Tommy</v>
      </c>
    </row>
    <row r="6548" ht="15.75" customHeight="1">
      <c r="A6548" s="122" t="str">
        <f>IFERROR(__xludf.DUMMYFUNCTION("""COMPUTED_VALUE"""),"0394 407 771")</f>
        <v>0394 407 771</v>
      </c>
      <c r="B6548" s="119" t="str">
        <f>IFERROR(__xludf.DUMMYFUNCTION("""COMPUTED_VALUE"""),"Anh Tuấn")</f>
        <v>Anh Tuấn</v>
      </c>
      <c r="C6548" s="119" t="str">
        <f>IFERROR(__xludf.DUMMYFUNCTION("""COMPUTED_VALUE"""),"3/14 Ngự Bình")</f>
        <v>3/14 Ngự Bình</v>
      </c>
      <c r="D6548" s="119" t="str">
        <f>IFERROR(__xludf.DUMMYFUNCTION("""COMPUTED_VALUE"""),"Chó")</f>
        <v>Chó</v>
      </c>
      <c r="E6548" s="119" t="str">
        <f>IFERROR(__xludf.DUMMYFUNCTION("""COMPUTED_VALUE"""),"Chó")</f>
        <v>Chó</v>
      </c>
    </row>
    <row r="6549" ht="15.75" customHeight="1">
      <c r="A6549" s="122" t="str">
        <f>IFERROR(__xludf.DUMMYFUNCTION("""COMPUTED_VALUE"""),"0775 550 888")</f>
        <v>0775 550 888</v>
      </c>
      <c r="B6549" s="119" t="str">
        <f>IFERROR(__xludf.DUMMYFUNCTION("""COMPUTED_VALUE"""),"Chị Ngọc")</f>
        <v>Chị Ngọc</v>
      </c>
      <c r="C6549" s="119" t="str">
        <f>IFERROR(__xludf.DUMMYFUNCTION("""COMPUTED_VALUE"""),"196 Phan Đăng Lưu")</f>
        <v>196 Phan Đăng Lưu</v>
      </c>
      <c r="D6549" s="119" t="str">
        <f>IFERROR(__xludf.DUMMYFUNCTION("""COMPUTED_VALUE"""),"Mèo")</f>
        <v>Mèo</v>
      </c>
      <c r="E6549" s="119" t="str">
        <f>IFERROR(__xludf.DUMMYFUNCTION("""COMPUTED_VALUE"""),"Louis")</f>
        <v>Louis</v>
      </c>
    </row>
    <row r="6550" ht="15.75" customHeight="1">
      <c r="A6550" s="122" t="str">
        <f>IFERROR(__xludf.DUMMYFUNCTION("""COMPUTED_VALUE"""),"0917 541 084")</f>
        <v>0917 541 084</v>
      </c>
      <c r="B6550" s="119" t="str">
        <f>IFERROR(__xludf.DUMMYFUNCTION("""COMPUTED_VALUE"""),"Em Thanh")</f>
        <v>Em Thanh</v>
      </c>
      <c r="C6550" s="119" t="str">
        <f>IFERROR(__xludf.DUMMYFUNCTION("""COMPUTED_VALUE"""),"2 Trần Hoành")</f>
        <v>2 Trần Hoành</v>
      </c>
      <c r="D6550" s="119" t="str">
        <f>IFERROR(__xludf.DUMMYFUNCTION("""COMPUTED_VALUE"""),"Chó")</f>
        <v>Chó</v>
      </c>
      <c r="E6550" s="119" t="str">
        <f>IFERROR(__xludf.DUMMYFUNCTION("""COMPUTED_VALUE"""),"Ka")</f>
        <v>Ka</v>
      </c>
    </row>
    <row r="6551" ht="15.75" customHeight="1">
      <c r="A6551" s="122" t="str">
        <f>IFERROR(__xludf.DUMMYFUNCTION("""COMPUTED_VALUE"""),"0856 662 873")</f>
        <v>0856 662 873</v>
      </c>
      <c r="B6551" s="119" t="str">
        <f>IFERROR(__xludf.DUMMYFUNCTION("""COMPUTED_VALUE"""),"Em Duy")</f>
        <v>Em Duy</v>
      </c>
      <c r="C6551" s="119" t="str">
        <f>IFERROR(__xludf.DUMMYFUNCTION("""COMPUTED_VALUE"""),"560 Bùi Thị Xuân")</f>
        <v>560 Bùi Thị Xuân</v>
      </c>
      <c r="D6551" s="119" t="str">
        <f>IFERROR(__xludf.DUMMYFUNCTION("""COMPUTED_VALUE"""),"Chó")</f>
        <v>Chó</v>
      </c>
      <c r="E6551" s="119" t="str">
        <f>IFERROR(__xludf.DUMMYFUNCTION("""COMPUTED_VALUE"""),"Gấu")</f>
        <v>Gấu</v>
      </c>
    </row>
    <row r="6552" ht="15.75" customHeight="1">
      <c r="A6552" s="122" t="str">
        <f>IFERROR(__xludf.DUMMYFUNCTION("""COMPUTED_VALUE"""),"0774 337 855")</f>
        <v>0774 337 855</v>
      </c>
      <c r="B6552" s="119" t="str">
        <f>IFERROR(__xludf.DUMMYFUNCTION("""COMPUTED_VALUE"""),"Em Huyền Anh")</f>
        <v>Em Huyền Anh</v>
      </c>
      <c r="C6552" s="119" t="str">
        <f>IFERROR(__xludf.DUMMYFUNCTION("""COMPUTED_VALUE"""),"24/17 Bảo Quốc")</f>
        <v>24/17 Bảo Quốc</v>
      </c>
      <c r="D6552" s="119" t="str">
        <f>IFERROR(__xludf.DUMMYFUNCTION("""COMPUTED_VALUE"""),"Chó")</f>
        <v>Chó</v>
      </c>
      <c r="E6552" s="119" t="str">
        <f>IFERROR(__xludf.DUMMYFUNCTION("""COMPUTED_VALUE"""),"Xu")</f>
        <v>Xu</v>
      </c>
    </row>
    <row r="6553" ht="15.75" customHeight="1">
      <c r="A6553" s="122" t="str">
        <f>IFERROR(__xludf.DUMMYFUNCTION("""COMPUTED_VALUE"""),"0708 075 395")</f>
        <v>0708 075 395</v>
      </c>
      <c r="B6553" s="119" t="str">
        <f>IFERROR(__xludf.DUMMYFUNCTION("""COMPUTED_VALUE"""),"Chị Thanh")</f>
        <v>Chị Thanh</v>
      </c>
      <c r="C6553" s="119" t="str">
        <f>IFERROR(__xludf.DUMMYFUNCTION("""COMPUTED_VALUE"""),"Thuận An")</f>
        <v>Thuận An</v>
      </c>
      <c r="D6553" s="119" t="str">
        <f>IFERROR(__xludf.DUMMYFUNCTION("""COMPUTED_VALUE"""),"Mèo")</f>
        <v>Mèo</v>
      </c>
      <c r="E6553" s="119"/>
    </row>
    <row r="6554" ht="15.75" customHeight="1">
      <c r="A6554" s="122" t="str">
        <f>IFERROR(__xludf.DUMMYFUNCTION("""COMPUTED_VALUE"""),"0328 477 755")</f>
        <v>0328 477 755</v>
      </c>
      <c r="B6554" s="119" t="str">
        <f>IFERROR(__xludf.DUMMYFUNCTION("""COMPUTED_VALUE"""),"Anh Sỹ")</f>
        <v>Anh Sỹ</v>
      </c>
      <c r="C6554" s="119" t="str">
        <f>IFERROR(__xludf.DUMMYFUNCTION("""COMPUTED_VALUE"""),"12/59 Duy Tân")</f>
        <v>12/59 Duy Tân</v>
      </c>
      <c r="D6554" s="119" t="str">
        <f>IFERROR(__xludf.DUMMYFUNCTION("""COMPUTED_VALUE"""),"Chó")</f>
        <v>Chó</v>
      </c>
      <c r="E6554" s="119" t="str">
        <f>IFERROR(__xludf.DUMMYFUNCTION("""COMPUTED_VALUE"""),"Lai")</f>
        <v>Lai</v>
      </c>
    </row>
    <row r="6555" ht="15.75" customHeight="1">
      <c r="A6555" s="122" t="str">
        <f>IFERROR(__xludf.DUMMYFUNCTION("""COMPUTED_VALUE"""),"0787 761 335")</f>
        <v>0787 761 335</v>
      </c>
      <c r="B6555" s="119" t="str">
        <f>IFERROR(__xludf.DUMMYFUNCTION("""COMPUTED_VALUE"""),"Chị Nhi")</f>
        <v>Chị Nhi</v>
      </c>
      <c r="C6555" s="119" t="str">
        <f>IFERROR(__xludf.DUMMYFUNCTION("""COMPUTED_VALUE"""),"5/87 Nguyễn Huệ")</f>
        <v>5/87 Nguyễn Huệ</v>
      </c>
      <c r="D6555" s="119" t="str">
        <f>IFERROR(__xludf.DUMMYFUNCTION("""COMPUTED_VALUE"""),"Mèo")</f>
        <v>Mèo</v>
      </c>
      <c r="E6555" s="119" t="str">
        <f>IFERROR(__xludf.DUMMYFUNCTION("""COMPUTED_VALUE"""),"Dola")</f>
        <v>Dola</v>
      </c>
    </row>
    <row r="6556" ht="15.75" customHeight="1">
      <c r="A6556" s="122" t="str">
        <f>IFERROR(__xludf.DUMMYFUNCTION("""COMPUTED_VALUE"""),"0934 874 219")</f>
        <v>0934 874 219</v>
      </c>
      <c r="B6556" s="119" t="str">
        <f>IFERROR(__xludf.DUMMYFUNCTION("""COMPUTED_VALUE"""),"Em saly")</f>
        <v>Em saly</v>
      </c>
      <c r="C6556" s="119" t="str">
        <f>IFERROR(__xludf.DUMMYFUNCTION("""COMPUTED_VALUE"""),"154 Kinh Dương Vương")</f>
        <v>154 Kinh Dương Vương</v>
      </c>
      <c r="D6556" s="119" t="str">
        <f>IFERROR(__xludf.DUMMYFUNCTION("""COMPUTED_VALUE"""),"Chó")</f>
        <v>Chó</v>
      </c>
      <c r="E6556" s="119" t="str">
        <f>IFERROR(__xludf.DUMMYFUNCTION("""COMPUTED_VALUE"""),"Sun")</f>
        <v>Sun</v>
      </c>
    </row>
    <row r="6557" ht="15.75" customHeight="1">
      <c r="A6557" s="122" t="str">
        <f>IFERROR(__xludf.DUMMYFUNCTION("""COMPUTED_VALUE"""),"0386 559 411")</f>
        <v>0386 559 411</v>
      </c>
      <c r="B6557" s="119" t="str">
        <f>IFERROR(__xludf.DUMMYFUNCTION("""COMPUTED_VALUE"""),"Dì Trang")</f>
        <v>Dì Trang</v>
      </c>
      <c r="C6557" s="119" t="str">
        <f>IFERROR(__xludf.DUMMYFUNCTION("""COMPUTED_VALUE"""),"49 Tam Thai")</f>
        <v>49 Tam Thai</v>
      </c>
      <c r="D6557" s="119" t="str">
        <f>IFERROR(__xludf.DUMMYFUNCTION("""COMPUTED_VALUE"""),"Chó")</f>
        <v>Chó</v>
      </c>
      <c r="E6557" s="119" t="str">
        <f>IFERROR(__xludf.DUMMYFUNCTION("""COMPUTED_VALUE"""),"Sâu")</f>
        <v>Sâu</v>
      </c>
    </row>
    <row r="6558" ht="15.75" customHeight="1">
      <c r="A6558" s="122" t="str">
        <f>IFERROR(__xludf.DUMMYFUNCTION("""COMPUTED_VALUE"""),"0706 043 158")</f>
        <v>0706 043 158</v>
      </c>
      <c r="B6558" s="119" t="str">
        <f>IFERROR(__xludf.DUMMYFUNCTION("""COMPUTED_VALUE"""),"Em Thùy Linh")</f>
        <v>Em Thùy Linh</v>
      </c>
      <c r="C6558" s="119" t="str">
        <f>IFERROR(__xludf.DUMMYFUNCTION("""COMPUTED_VALUE"""),"100 Điện Biên Phủ")</f>
        <v>100 Điện Biên Phủ</v>
      </c>
      <c r="D6558" s="119" t="str">
        <f>IFERROR(__xludf.DUMMYFUNCTION("""COMPUTED_VALUE"""),"Chó")</f>
        <v>Chó</v>
      </c>
      <c r="E6558" s="119" t="str">
        <f>IFERROR(__xludf.DUMMYFUNCTION("""COMPUTED_VALUE"""),"Gấu")</f>
        <v>Gấu</v>
      </c>
    </row>
    <row r="6559" ht="15.75" customHeight="1">
      <c r="A6559" s="122" t="str">
        <f>IFERROR(__xludf.DUMMYFUNCTION("""COMPUTED_VALUE"""),"0792 894 846")</f>
        <v>0792 894 846</v>
      </c>
      <c r="B6559" s="119" t="str">
        <f>IFERROR(__xludf.DUMMYFUNCTION("""COMPUTED_VALUE"""),"Anh Hoàng")</f>
        <v>Anh Hoàng</v>
      </c>
      <c r="C6559" s="119" t="str">
        <f>IFERROR(__xludf.DUMMYFUNCTION("""COMPUTED_VALUE"""),"71 Phan Bội Châu")</f>
        <v>71 Phan Bội Châu</v>
      </c>
      <c r="D6559" s="119" t="str">
        <f>IFERROR(__xludf.DUMMYFUNCTION("""COMPUTED_VALUE"""),"Chó")</f>
        <v>Chó</v>
      </c>
      <c r="E6559" s="119" t="str">
        <f>IFERROR(__xludf.DUMMYFUNCTION("""COMPUTED_VALUE"""),"Bi")</f>
        <v>Bi</v>
      </c>
    </row>
    <row r="6560" ht="15.75" customHeight="1">
      <c r="A6560" s="122" t="str">
        <f>IFERROR(__xludf.DUMMYFUNCTION("""COMPUTED_VALUE"""),"0935 481 187")</f>
        <v>0935 481 187</v>
      </c>
      <c r="B6560" s="119" t="str">
        <f>IFERROR(__xludf.DUMMYFUNCTION("""COMPUTED_VALUE"""),"Dì Nữ")</f>
        <v>Dì Nữ</v>
      </c>
      <c r="C6560" s="119" t="str">
        <f>IFERROR(__xludf.DUMMYFUNCTION("""COMPUTED_VALUE"""),"32/179 Trần Phú")</f>
        <v>32/179 Trần Phú</v>
      </c>
      <c r="D6560" s="119" t="str">
        <f>IFERROR(__xludf.DUMMYFUNCTION("""COMPUTED_VALUE"""),"Mèo")</f>
        <v>Mèo</v>
      </c>
      <c r="E6560" s="119"/>
    </row>
    <row r="6561" ht="15.75" customHeight="1">
      <c r="A6561" s="122" t="str">
        <f>IFERROR(__xludf.DUMMYFUNCTION("""COMPUTED_VALUE"""),"0905 623 640")</f>
        <v>0905 623 640</v>
      </c>
      <c r="B6561" s="119" t="str">
        <f>IFERROR(__xludf.DUMMYFUNCTION("""COMPUTED_VALUE"""),"Chị Dương")</f>
        <v>Chị Dương</v>
      </c>
      <c r="C6561" s="119" t="str">
        <f>IFERROR(__xludf.DUMMYFUNCTION("""COMPUTED_VALUE"""),"74/7 Dương Văn An")</f>
        <v>74/7 Dương Văn An</v>
      </c>
      <c r="D6561" s="119" t="str">
        <f>IFERROR(__xludf.DUMMYFUNCTION("""COMPUTED_VALUE"""),"Chó")</f>
        <v>Chó</v>
      </c>
      <c r="E6561" s="119" t="str">
        <f>IFERROR(__xludf.DUMMYFUNCTION("""COMPUTED_VALUE"""),"Nâu")</f>
        <v>Nâu</v>
      </c>
    </row>
    <row r="6562" ht="15.75" customHeight="1">
      <c r="A6562" s="122" t="str">
        <f>IFERROR(__xludf.DUMMYFUNCTION("""COMPUTED_VALUE"""),"0905 880 838")</f>
        <v>0905 880 838</v>
      </c>
      <c r="B6562" s="119" t="str">
        <f>IFERROR(__xludf.DUMMYFUNCTION("""COMPUTED_VALUE"""),"Chị Nhung")</f>
        <v>Chị Nhung</v>
      </c>
      <c r="C6562" s="119" t="str">
        <f>IFERROR(__xludf.DUMMYFUNCTION("""COMPUTED_VALUE"""),"38 Trần Lư")</f>
        <v>38 Trần Lư</v>
      </c>
      <c r="D6562" s="119" t="str">
        <f>IFERROR(__xludf.DUMMYFUNCTION("""COMPUTED_VALUE"""),"Chó")</f>
        <v>Chó</v>
      </c>
      <c r="E6562" s="119" t="str">
        <f>IFERROR(__xludf.DUMMYFUNCTION("""COMPUTED_VALUE"""),"Mèo")</f>
        <v>Mèo</v>
      </c>
    </row>
    <row r="6563" ht="15.75" customHeight="1">
      <c r="A6563" s="122" t="str">
        <f>IFERROR(__xludf.DUMMYFUNCTION("""COMPUTED_VALUE"""),"0348 075 075")</f>
        <v>0348 075 075</v>
      </c>
      <c r="B6563" s="119" t="str">
        <f>IFERROR(__xludf.DUMMYFUNCTION("""COMPUTED_VALUE"""),"Em Mai Trinh")</f>
        <v>Em Mai Trinh</v>
      </c>
      <c r="C6563" s="119" t="str">
        <f>IFERROR(__xludf.DUMMYFUNCTION("""COMPUTED_VALUE"""),"38/85 An Dương Vương")</f>
        <v>38/85 An Dương Vương</v>
      </c>
      <c r="D6563" s="119" t="str">
        <f>IFERROR(__xludf.DUMMYFUNCTION("""COMPUTED_VALUE"""),"Mèo")</f>
        <v>Mèo</v>
      </c>
      <c r="E6563" s="119" t="str">
        <f>IFERROR(__xludf.DUMMYFUNCTION("""COMPUTED_VALUE"""),"Kem")</f>
        <v>Kem</v>
      </c>
    </row>
    <row r="6564" ht="15.75" customHeight="1">
      <c r="A6564" s="122" t="str">
        <f>IFERROR(__xludf.DUMMYFUNCTION("""COMPUTED_VALUE"""),"0975 933 466")</f>
        <v>0975 933 466</v>
      </c>
      <c r="B6564" s="119" t="str">
        <f>IFERROR(__xludf.DUMMYFUNCTION("""COMPUTED_VALUE"""),"Chị Trang")</f>
        <v>Chị Trang</v>
      </c>
      <c r="C6564" s="119" t="str">
        <f>IFERROR(__xludf.DUMMYFUNCTION("""COMPUTED_VALUE"""),"12/73D Nguyễn Hữu Cảnh")</f>
        <v>12/73D Nguyễn Hữu Cảnh</v>
      </c>
      <c r="D6564" s="119" t="str">
        <f>IFERROR(__xludf.DUMMYFUNCTION("""COMPUTED_VALUE"""),"Chó")</f>
        <v>Chó</v>
      </c>
      <c r="E6564" s="119" t="str">
        <f>IFERROR(__xludf.DUMMYFUNCTION("""COMPUTED_VALUE"""),"Mina")</f>
        <v>Mina</v>
      </c>
    </row>
    <row r="6565" ht="15.75" customHeight="1">
      <c r="A6565" s="122" t="str">
        <f>IFERROR(__xludf.DUMMYFUNCTION("""COMPUTED_VALUE"""),"0783 524 643")</f>
        <v>0783 524 643</v>
      </c>
      <c r="B6565" s="119" t="str">
        <f>IFERROR(__xludf.DUMMYFUNCTION("""COMPUTED_VALUE"""),"Chị Quỳnh")</f>
        <v>Chị Quỳnh</v>
      </c>
      <c r="C6565" s="119" t="str">
        <f>IFERROR(__xludf.DUMMYFUNCTION("""COMPUTED_VALUE"""),"69/131 Trần Phú")</f>
        <v>69/131 Trần Phú</v>
      </c>
      <c r="D6565" s="119" t="str">
        <f>IFERROR(__xludf.DUMMYFUNCTION("""COMPUTED_VALUE"""),"Chó")</f>
        <v>Chó</v>
      </c>
      <c r="E6565" s="119" t="str">
        <f>IFERROR(__xludf.DUMMYFUNCTION("""COMPUTED_VALUE"""),"Phin")</f>
        <v>Phin</v>
      </c>
    </row>
    <row r="6566" ht="15.75" customHeight="1">
      <c r="A6566" s="122" t="str">
        <f>IFERROR(__xludf.DUMMYFUNCTION("""COMPUTED_VALUE"""),"0903 143 143")</f>
        <v>0903 143 143</v>
      </c>
      <c r="B6566" s="119" t="str">
        <f>IFERROR(__xludf.DUMMYFUNCTION("""COMPUTED_VALUE"""),"Chị Diệu Minh")</f>
        <v>Chị Diệu Minh</v>
      </c>
      <c r="C6566" s="119" t="str">
        <f>IFERROR(__xludf.DUMMYFUNCTION("""COMPUTED_VALUE"""),"8/43/226 Hùng Vương")</f>
        <v>8/43/226 Hùng Vương</v>
      </c>
      <c r="D6566" s="119" t="str">
        <f>IFERROR(__xludf.DUMMYFUNCTION("""COMPUTED_VALUE"""),"Chó")</f>
        <v>Chó</v>
      </c>
      <c r="E6566" s="119" t="str">
        <f>IFERROR(__xludf.DUMMYFUNCTION("""COMPUTED_VALUE"""),"Milo")</f>
        <v>Milo</v>
      </c>
    </row>
    <row r="6567" ht="15.75" customHeight="1">
      <c r="A6567" s="122" t="str">
        <f>IFERROR(__xludf.DUMMYFUNCTION("""COMPUTED_VALUE"""),"0932 594 729")</f>
        <v>0932 594 729</v>
      </c>
      <c r="B6567" s="119" t="str">
        <f>IFERROR(__xludf.DUMMYFUNCTION("""COMPUTED_VALUE"""),"Chị Lài")</f>
        <v>Chị Lài</v>
      </c>
      <c r="C6567" s="119" t="str">
        <f>IFERROR(__xludf.DUMMYFUNCTION("""COMPUTED_VALUE"""),"105 Cao Đình Độ")</f>
        <v>105 Cao Đình Độ</v>
      </c>
      <c r="D6567" s="119" t="str">
        <f>IFERROR(__xludf.DUMMYFUNCTION("""COMPUTED_VALUE"""),"Mèo")</f>
        <v>Mèo</v>
      </c>
      <c r="E6567" s="119" t="str">
        <f>IFERROR(__xludf.DUMMYFUNCTION("""COMPUTED_VALUE"""),"Nem")</f>
        <v>Nem</v>
      </c>
    </row>
    <row r="6568" ht="15.75" customHeight="1">
      <c r="A6568" s="122" t="str">
        <f>IFERROR(__xludf.DUMMYFUNCTION("""COMPUTED_VALUE"""),"0776 612 828")</f>
        <v>0776 612 828</v>
      </c>
      <c r="B6568" s="119" t="str">
        <f>IFERROR(__xludf.DUMMYFUNCTION("""COMPUTED_VALUE"""),"Anh Liêm")</f>
        <v>Anh Liêm</v>
      </c>
      <c r="C6568" s="119" t="str">
        <f>IFERROR(__xludf.DUMMYFUNCTION("""COMPUTED_VALUE"""),"Phú Hậu")</f>
        <v>Phú Hậu</v>
      </c>
      <c r="D6568" s="119" t="str">
        <f>IFERROR(__xludf.DUMMYFUNCTION("""COMPUTED_VALUE"""),"Chó")</f>
        <v>Chó</v>
      </c>
      <c r="E6568" s="119" t="str">
        <f>IFERROR(__xludf.DUMMYFUNCTION("""COMPUTED_VALUE"""),"Vá")</f>
        <v>Vá</v>
      </c>
    </row>
    <row r="6569" ht="15.75" customHeight="1">
      <c r="A6569" s="122" t="str">
        <f>IFERROR(__xludf.DUMMYFUNCTION("""COMPUTED_VALUE"""),"0795 133 405")</f>
        <v>0795 133 405</v>
      </c>
      <c r="B6569" s="119" t="str">
        <f>IFERROR(__xludf.DUMMYFUNCTION("""COMPUTED_VALUE"""),"Phương Chi")</f>
        <v>Phương Chi</v>
      </c>
      <c r="C6569" s="119" t="str">
        <f>IFERROR(__xludf.DUMMYFUNCTION("""COMPUTED_VALUE"""),"52/16 Lương Y")</f>
        <v>52/16 Lương Y</v>
      </c>
      <c r="D6569" s="119" t="str">
        <f>IFERROR(__xludf.DUMMYFUNCTION("""COMPUTED_VALUE"""),"Chó")</f>
        <v>Chó</v>
      </c>
      <c r="E6569" s="119" t="str">
        <f>IFERROR(__xludf.DUMMYFUNCTION("""COMPUTED_VALUE"""),"Chun")</f>
        <v>Chun</v>
      </c>
    </row>
    <row r="6570" ht="15.75" customHeight="1">
      <c r="A6570" s="122" t="str">
        <f>IFERROR(__xludf.DUMMYFUNCTION("""COMPUTED_VALUE"""),"0948 900 160")</f>
        <v>0948 900 160</v>
      </c>
      <c r="B6570" s="119" t="str">
        <f>IFERROR(__xludf.DUMMYFUNCTION("""COMPUTED_VALUE"""),"Okada TP")</f>
        <v>Okada TP</v>
      </c>
      <c r="C6570" s="119"/>
      <c r="D6570" s="119"/>
      <c r="E6570" s="119"/>
    </row>
    <row r="6571" ht="15.75" customHeight="1">
      <c r="A6571" s="122" t="str">
        <f>IFERROR(__xludf.DUMMYFUNCTION("""COMPUTED_VALUE"""),"0346 722 953")</f>
        <v>0346 722 953</v>
      </c>
      <c r="B6571" s="119" t="str">
        <f>IFERROR(__xludf.DUMMYFUNCTION("""COMPUTED_VALUE"""),"Dì Nga")</f>
        <v>Dì Nga</v>
      </c>
      <c r="C6571" s="119" t="str">
        <f>IFERROR(__xludf.DUMMYFUNCTION("""COMPUTED_VALUE"""),"Chùa Thiên Tôn")</f>
        <v>Chùa Thiên Tôn</v>
      </c>
      <c r="D6571" s="119" t="str">
        <f>IFERROR(__xludf.DUMMYFUNCTION("""COMPUTED_VALUE"""),"Chó")</f>
        <v>Chó</v>
      </c>
      <c r="E6571" s="119"/>
    </row>
    <row r="6572" ht="15.75" customHeight="1">
      <c r="A6572" s="122" t="str">
        <f>IFERROR(__xludf.DUMMYFUNCTION("""COMPUTED_VALUE"""),"0349 787 480")</f>
        <v>0349 787 480</v>
      </c>
      <c r="B6572" s="119" t="str">
        <f>IFERROR(__xludf.DUMMYFUNCTION("""COMPUTED_VALUE"""),"Dì Loan")</f>
        <v>Dì Loan</v>
      </c>
      <c r="C6572" s="119" t="str">
        <f>IFERROR(__xludf.DUMMYFUNCTION("""COMPUTED_VALUE"""),"112 Phan chu Trinh")</f>
        <v>112 Phan chu Trinh</v>
      </c>
      <c r="D6572" s="119" t="str">
        <f>IFERROR(__xludf.DUMMYFUNCTION("""COMPUTED_VALUE"""),"Mèo")</f>
        <v>Mèo</v>
      </c>
      <c r="E6572" s="119"/>
    </row>
    <row r="6573" ht="15.75" customHeight="1">
      <c r="A6573" s="122" t="str">
        <f>IFERROR(__xludf.DUMMYFUNCTION("""COMPUTED_VALUE"""),"0911 344 431")</f>
        <v>0911 344 431</v>
      </c>
      <c r="B6573" s="119" t="str">
        <f>IFERROR(__xludf.DUMMYFUNCTION("""COMPUTED_VALUE"""),"Chị Loan")</f>
        <v>Chị Loan</v>
      </c>
      <c r="C6573" s="119" t="str">
        <f>IFERROR(__xludf.DUMMYFUNCTION("""COMPUTED_VALUE"""),"Thuận An")</f>
        <v>Thuận An</v>
      </c>
      <c r="D6573" s="119" t="str">
        <f>IFERROR(__xludf.DUMMYFUNCTION("""COMPUTED_VALUE"""),"Chó ")</f>
        <v>Chó </v>
      </c>
      <c r="E6573" s="119" t="str">
        <f>IFERROR(__xludf.DUMMYFUNCTION("""COMPUTED_VALUE"""),"Xu")</f>
        <v>Xu</v>
      </c>
    </row>
    <row r="6574" ht="15.75" customHeight="1">
      <c r="A6574" s="122" t="str">
        <f>IFERROR(__xludf.DUMMYFUNCTION("""COMPUTED_VALUE"""),"0396 945 418")</f>
        <v>0396 945 418</v>
      </c>
      <c r="B6574" s="119" t="str">
        <f>IFERROR(__xludf.DUMMYFUNCTION("""COMPUTED_VALUE"""),"Anh Ý")</f>
        <v>Anh Ý</v>
      </c>
      <c r="C6574" s="119" t="str">
        <f>IFERROR(__xludf.DUMMYFUNCTION("""COMPUTED_VALUE"""),"1/127 Đặng Huy Trứ")</f>
        <v>1/127 Đặng Huy Trứ</v>
      </c>
      <c r="D6574" s="119" t="str">
        <f>IFERROR(__xludf.DUMMYFUNCTION("""COMPUTED_VALUE"""),"Chó")</f>
        <v>Chó</v>
      </c>
      <c r="E6574" s="119" t="str">
        <f>IFERROR(__xludf.DUMMYFUNCTION("""COMPUTED_VALUE"""),"Kem")</f>
        <v>Kem</v>
      </c>
    </row>
    <row r="6575" ht="15.75" customHeight="1">
      <c r="A6575" s="122" t="str">
        <f>IFERROR(__xludf.DUMMYFUNCTION("""COMPUTED_VALUE"""),"0358 024 472")</f>
        <v>0358 024 472</v>
      </c>
      <c r="B6575" s="119" t="str">
        <f>IFERROR(__xludf.DUMMYFUNCTION("""COMPUTED_VALUE"""),"ANh Nghĩa")</f>
        <v>ANh Nghĩa</v>
      </c>
      <c r="C6575" s="119" t="str">
        <f>IFERROR(__xludf.DUMMYFUNCTION("""COMPUTED_VALUE"""),"6/6 Duy Tân")</f>
        <v>6/6 Duy Tân</v>
      </c>
      <c r="D6575" s="119" t="str">
        <f>IFERROR(__xludf.DUMMYFUNCTION("""COMPUTED_VALUE"""),"Chó")</f>
        <v>Chó</v>
      </c>
      <c r="E6575" s="119" t="str">
        <f>IFERROR(__xludf.DUMMYFUNCTION("""COMPUTED_VALUE"""),"Bư")</f>
        <v>Bư</v>
      </c>
    </row>
    <row r="6576" ht="15.75" customHeight="1">
      <c r="A6576" s="122" t="str">
        <f>IFERROR(__xludf.DUMMYFUNCTION("""COMPUTED_VALUE"""),"0966 009 318")</f>
        <v>0966 009 318</v>
      </c>
      <c r="B6576" s="119" t="str">
        <f>IFERROR(__xludf.DUMMYFUNCTION("""COMPUTED_VALUE"""),"Em Linh")</f>
        <v>Em Linh</v>
      </c>
      <c r="C6576" s="119" t="str">
        <f>IFERROR(__xludf.DUMMYFUNCTION("""COMPUTED_VALUE"""),"Quảng Điền")</f>
        <v>Quảng Điền</v>
      </c>
      <c r="D6576" s="119" t="str">
        <f>IFERROR(__xludf.DUMMYFUNCTION("""COMPUTED_VALUE"""),"Mèo")</f>
        <v>Mèo</v>
      </c>
      <c r="E6576" s="119" t="str">
        <f>IFERROR(__xludf.DUMMYFUNCTION("""COMPUTED_VALUE"""),"Xám")</f>
        <v>Xám</v>
      </c>
    </row>
    <row r="6577" ht="15.75" customHeight="1">
      <c r="A6577" s="122" t="str">
        <f>IFERROR(__xludf.DUMMYFUNCTION("""COMPUTED_VALUE"""),"0826 345 422")</f>
        <v>0826 345 422</v>
      </c>
      <c r="B6577" s="119" t="str">
        <f>IFERROR(__xludf.DUMMYFUNCTION("""COMPUTED_VALUE"""),"Thùy Miên")</f>
        <v>Thùy Miên</v>
      </c>
      <c r="C6577" s="119" t="str">
        <f>IFERROR(__xludf.DUMMYFUNCTION("""COMPUTED_VALUE"""),"2/8/149 Trần Phú")</f>
        <v>2/8/149 Trần Phú</v>
      </c>
      <c r="D6577" s="119" t="str">
        <f>IFERROR(__xludf.DUMMYFUNCTION("""COMPUTED_VALUE"""),"Mèo")</f>
        <v>Mèo</v>
      </c>
      <c r="E6577" s="119" t="str">
        <f>IFERROR(__xludf.DUMMYFUNCTION("""COMPUTED_VALUE"""),"Quýt")</f>
        <v>Quýt</v>
      </c>
    </row>
    <row r="6578" ht="15.75" customHeight="1">
      <c r="A6578" s="122" t="str">
        <f>IFERROR(__xludf.DUMMYFUNCTION("""COMPUTED_VALUE"""),"0835 401 090")</f>
        <v>0835 401 090</v>
      </c>
      <c r="B6578" s="119" t="str">
        <f>IFERROR(__xludf.DUMMYFUNCTION("""COMPUTED_VALUE"""),"Chị Thy")</f>
        <v>Chị Thy</v>
      </c>
      <c r="C6578" s="119" t="str">
        <f>IFERROR(__xludf.DUMMYFUNCTION("""COMPUTED_VALUE"""),"1/6/1 Đoàn Hữu trưng")</f>
        <v>1/6/1 Đoàn Hữu trưng</v>
      </c>
      <c r="D6578" s="119" t="str">
        <f>IFERROR(__xludf.DUMMYFUNCTION("""COMPUTED_VALUE"""),"Chó")</f>
        <v>Chó</v>
      </c>
      <c r="E6578" s="119" t="str">
        <f>IFERROR(__xludf.DUMMYFUNCTION("""COMPUTED_VALUE"""),"Mực")</f>
        <v>Mực</v>
      </c>
    </row>
    <row r="6579" ht="15.75" customHeight="1">
      <c r="A6579" s="122" t="str">
        <f>IFERROR(__xludf.DUMMYFUNCTION("""COMPUTED_VALUE"""),"0902 691 374")</f>
        <v>0902 691 374</v>
      </c>
      <c r="B6579" s="119" t="str">
        <f>IFERROR(__xludf.DUMMYFUNCTION("""COMPUTED_VALUE"""),"Anh Minh")</f>
        <v>Anh Minh</v>
      </c>
      <c r="C6579" s="119" t="str">
        <f>IFERROR(__xludf.DUMMYFUNCTION("""COMPUTED_VALUE"""),"2a/333 Phạm Văn Đồng")</f>
        <v>2a/333 Phạm Văn Đồng</v>
      </c>
      <c r="D6579" s="119" t="str">
        <f>IFERROR(__xludf.DUMMYFUNCTION("""COMPUTED_VALUE"""),"Chó")</f>
        <v>Chó</v>
      </c>
      <c r="E6579" s="119"/>
    </row>
    <row r="6580" ht="15.75" customHeight="1">
      <c r="A6580" s="122" t="str">
        <f>IFERROR(__xludf.DUMMYFUNCTION("""COMPUTED_VALUE"""),"0914 204 058")</f>
        <v>0914 204 058</v>
      </c>
      <c r="B6580" s="119" t="str">
        <f>IFERROR(__xludf.DUMMYFUNCTION("""COMPUTED_VALUE"""),"Chị Đức")</f>
        <v>Chị Đức</v>
      </c>
      <c r="C6580" s="119" t="str">
        <f>IFERROR(__xludf.DUMMYFUNCTION("""COMPUTED_VALUE"""),"1/6 Duy Tân")</f>
        <v>1/6 Duy Tân</v>
      </c>
      <c r="D6580" s="119" t="str">
        <f>IFERROR(__xludf.DUMMYFUNCTION("""COMPUTED_VALUE"""),"Chó")</f>
        <v>Chó</v>
      </c>
      <c r="E6580" s="119" t="str">
        <f>IFERROR(__xludf.DUMMYFUNCTION("""COMPUTED_VALUE"""),"Đen")</f>
        <v>Đen</v>
      </c>
    </row>
    <row r="6581" ht="15.75" customHeight="1">
      <c r="A6581" s="122" t="str">
        <f>IFERROR(__xludf.DUMMYFUNCTION("""COMPUTED_VALUE"""),"0357 252 846")</f>
        <v>0357 252 846</v>
      </c>
      <c r="B6581" s="119" t="str">
        <f>IFERROR(__xludf.DUMMYFUNCTION("""COMPUTED_VALUE"""),"Anh Hoàng")</f>
        <v>Anh Hoàng</v>
      </c>
      <c r="C6581" s="119" t="str">
        <f>IFERROR(__xludf.DUMMYFUNCTION("""COMPUTED_VALUE"""),"k108 Lê Ngô Cát")</f>
        <v>k108 Lê Ngô Cát</v>
      </c>
      <c r="D6581" s="119" t="str">
        <f>IFERROR(__xludf.DUMMYFUNCTION("""COMPUTED_VALUE"""),"Chó")</f>
        <v>Chó</v>
      </c>
      <c r="E6581" s="119" t="str">
        <f>IFERROR(__xludf.DUMMYFUNCTION("""COMPUTED_VALUE"""),"Nâu")</f>
        <v>Nâu</v>
      </c>
    </row>
    <row r="6582" ht="15.75" customHeight="1">
      <c r="A6582" s="122" t="str">
        <f>IFERROR(__xludf.DUMMYFUNCTION("""COMPUTED_VALUE"""),"0762 575 757")</f>
        <v>0762 575 757</v>
      </c>
      <c r="B6582" s="119" t="str">
        <f>IFERROR(__xludf.DUMMYFUNCTION("""COMPUTED_VALUE"""),"Phương Thanh")</f>
        <v>Phương Thanh</v>
      </c>
      <c r="C6582" s="119" t="str">
        <f>IFERROR(__xludf.DUMMYFUNCTION("""COMPUTED_VALUE"""),"229 Phan Bội Châu")</f>
        <v>229 Phan Bội Châu</v>
      </c>
      <c r="D6582" s="119" t="str">
        <f>IFERROR(__xludf.DUMMYFUNCTION("""COMPUTED_VALUE"""),"Chó")</f>
        <v>Chó</v>
      </c>
      <c r="E6582" s="119" t="str">
        <f>IFERROR(__xludf.DUMMYFUNCTION("""COMPUTED_VALUE"""),"Cafe")</f>
        <v>Cafe</v>
      </c>
    </row>
    <row r="6583" ht="15.75" customHeight="1">
      <c r="A6583" s="122" t="str">
        <f>IFERROR(__xludf.DUMMYFUNCTION("""COMPUTED_VALUE"""),"0376 152 816")</f>
        <v>0376 152 816</v>
      </c>
      <c r="B6583" s="119" t="str">
        <f>IFERROR(__xludf.DUMMYFUNCTION("""COMPUTED_VALUE"""),"Hà Ngọc Giang")</f>
        <v>Hà Ngọc Giang</v>
      </c>
      <c r="C6583" s="119" t="str">
        <f>IFERROR(__xludf.DUMMYFUNCTION("""COMPUTED_VALUE"""),"8b/12/16 Đoàn Hữu Trưng")</f>
        <v>8b/12/16 Đoàn Hữu Trưng</v>
      </c>
      <c r="D6583" s="119" t="str">
        <f>IFERROR(__xludf.DUMMYFUNCTION("""COMPUTED_VALUE"""),"Mèo")</f>
        <v>Mèo</v>
      </c>
      <c r="E6583" s="119" t="str">
        <f>IFERROR(__xludf.DUMMYFUNCTION("""COMPUTED_VALUE"""),"Kem")</f>
        <v>Kem</v>
      </c>
    </row>
    <row r="6584" ht="15.75" customHeight="1">
      <c r="A6584" s="122" t="str">
        <f>IFERROR(__xludf.DUMMYFUNCTION("""COMPUTED_VALUE"""),"0928 671 002")</f>
        <v>0928 671 002</v>
      </c>
      <c r="B6584" s="119" t="str">
        <f>IFERROR(__xludf.DUMMYFUNCTION("""COMPUTED_VALUE"""),"em my")</f>
        <v>em my</v>
      </c>
      <c r="C6584" s="119" t="str">
        <f>IFERROR(__xludf.DUMMYFUNCTION("""COMPUTED_VALUE"""),"lại tân")</f>
        <v>lại tân</v>
      </c>
      <c r="D6584" s="119" t="str">
        <f>IFERROR(__xludf.DUMMYFUNCTION("""COMPUTED_VALUE"""),"chó ")</f>
        <v>chó </v>
      </c>
      <c r="E6584" s="119" t="str">
        <f>IFERROR(__xludf.DUMMYFUNCTION("""COMPUTED_VALUE"""),"sữa")</f>
        <v>sữa</v>
      </c>
    </row>
    <row r="6585" ht="15.75" customHeight="1">
      <c r="A6585" s="122" t="str">
        <f>IFERROR(__xludf.DUMMYFUNCTION("""COMPUTED_VALUE"""),"0915 734 761")</f>
        <v>0915 734 761</v>
      </c>
      <c r="B6585" s="119" t="str">
        <f>IFERROR(__xludf.DUMMYFUNCTION("""COMPUTED_VALUE"""),"Anh Bình Long")</f>
        <v>Anh Bình Long</v>
      </c>
      <c r="C6585" s="119" t="str">
        <f>IFERROR(__xludf.DUMMYFUNCTION("""COMPUTED_VALUE"""),"Quảng Điền")</f>
        <v>Quảng Điền</v>
      </c>
      <c r="D6585" s="119" t="str">
        <f>IFERROR(__xludf.DUMMYFUNCTION("""COMPUTED_VALUE"""),"Mèo")</f>
        <v>Mèo</v>
      </c>
      <c r="E6585" s="119" t="str">
        <f>IFERROR(__xludf.DUMMYFUNCTION("""COMPUTED_VALUE"""),"Mun")</f>
        <v>Mun</v>
      </c>
    </row>
    <row r="6586" ht="15.75" customHeight="1">
      <c r="A6586" s="122" t="str">
        <f>IFERROR(__xludf.DUMMYFUNCTION("""COMPUTED_VALUE"""),"0353 685 390")</f>
        <v>0353 685 390</v>
      </c>
      <c r="B6586" s="119" t="str">
        <f>IFERROR(__xludf.DUMMYFUNCTION("""COMPUTED_VALUE"""),"Chị Huế")</f>
        <v>Chị Huế</v>
      </c>
      <c r="C6586" s="119" t="str">
        <f>IFERROR(__xludf.DUMMYFUNCTION("""COMPUTED_VALUE"""),"40/48 Ngô Quyền")</f>
        <v>40/48 Ngô Quyền</v>
      </c>
      <c r="D6586" s="119" t="str">
        <f>IFERROR(__xludf.DUMMYFUNCTION("""COMPUTED_VALUE"""),"Chó")</f>
        <v>Chó</v>
      </c>
      <c r="E6586" s="119" t="str">
        <f>IFERROR(__xludf.DUMMYFUNCTION("""COMPUTED_VALUE"""),"Bánh Bao")</f>
        <v>Bánh Bao</v>
      </c>
    </row>
    <row r="6587" ht="15.75" customHeight="1">
      <c r="A6587" s="122" t="str">
        <f>IFERROR(__xludf.DUMMYFUNCTION("""COMPUTED_VALUE"""),"0812 765 566")</f>
        <v>0812 765 566</v>
      </c>
      <c r="B6587" s="119" t="str">
        <f>IFERROR(__xludf.DUMMYFUNCTION("""COMPUTED_VALUE"""),"Dì Hà")</f>
        <v>Dì Hà</v>
      </c>
      <c r="C6587" s="119" t="str">
        <f>IFERROR(__xludf.DUMMYFUNCTION("""COMPUTED_VALUE"""),"33/55/66 Xuân Diệu")</f>
        <v>33/55/66 Xuân Diệu</v>
      </c>
      <c r="D6587" s="119" t="str">
        <f>IFERROR(__xludf.DUMMYFUNCTION("""COMPUTED_VALUE"""),"Mèo")</f>
        <v>Mèo</v>
      </c>
      <c r="E6587" s="119" t="str">
        <f>IFERROR(__xludf.DUMMYFUNCTION("""COMPUTED_VALUE"""),"Bông")</f>
        <v>Bông</v>
      </c>
    </row>
    <row r="6588" ht="15.75" customHeight="1">
      <c r="A6588" s="122" t="str">
        <f>IFERROR(__xludf.DUMMYFUNCTION("""COMPUTED_VALUE"""),"0858 295 678")</f>
        <v>0858 295 678</v>
      </c>
      <c r="B6588" s="119" t="str">
        <f>IFERROR(__xludf.DUMMYFUNCTION("""COMPUTED_VALUE"""),"Anh Trần Xuân Tùng")</f>
        <v>Anh Trần Xuân Tùng</v>
      </c>
      <c r="C6588" s="119" t="str">
        <f>IFERROR(__xludf.DUMMYFUNCTION("""COMPUTED_VALUE"""),"99 Châu Chư")</f>
        <v>99 Châu Chư</v>
      </c>
      <c r="D6588" s="119" t="str">
        <f>IFERROR(__xludf.DUMMYFUNCTION("""COMPUTED_VALUE"""),"Chó")</f>
        <v>Chó</v>
      </c>
      <c r="E6588" s="119" t="str">
        <f>IFERROR(__xludf.DUMMYFUNCTION("""COMPUTED_VALUE"""),"Micky")</f>
        <v>Micky</v>
      </c>
    </row>
    <row r="6589" ht="15.75" customHeight="1">
      <c r="A6589" s="122" t="str">
        <f>IFERROR(__xludf.DUMMYFUNCTION("""COMPUTED_VALUE"""),"0777 115 934")</f>
        <v>0777 115 934</v>
      </c>
      <c r="B6589" s="119" t="str">
        <f>IFERROR(__xludf.DUMMYFUNCTION("""COMPUTED_VALUE"""),"Em Tiên")</f>
        <v>Em Tiên</v>
      </c>
      <c r="C6589" s="119" t="str">
        <f>IFERROR(__xludf.DUMMYFUNCTION("""COMPUTED_VALUE"""),"Xóm 4 Ngọc Anh")</f>
        <v>Xóm 4 Ngọc Anh</v>
      </c>
      <c r="D6589" s="119" t="str">
        <f>IFERROR(__xludf.DUMMYFUNCTION("""COMPUTED_VALUE"""),"Mèo")</f>
        <v>Mèo</v>
      </c>
      <c r="E6589" s="119"/>
    </row>
    <row r="6590" ht="15.75" customHeight="1">
      <c r="A6590" s="122" t="str">
        <f>IFERROR(__xludf.DUMMYFUNCTION("""COMPUTED_VALUE"""),"0935 621 166")</f>
        <v>0935 621 166</v>
      </c>
      <c r="B6590" s="119" t="str">
        <f>IFERROR(__xludf.DUMMYFUNCTION("""COMPUTED_VALUE"""),"Anh Vinh")</f>
        <v>Anh Vinh</v>
      </c>
      <c r="C6590" s="119" t="str">
        <f>IFERROR(__xludf.DUMMYFUNCTION("""COMPUTED_VALUE"""),"17 Nguyễn Trường Tộ")</f>
        <v>17 Nguyễn Trường Tộ</v>
      </c>
      <c r="D6590" s="119" t="str">
        <f>IFERROR(__xludf.DUMMYFUNCTION("""COMPUTED_VALUE"""),"Chó")</f>
        <v>Chó</v>
      </c>
      <c r="E6590" s="119" t="str">
        <f>IFERROR(__xludf.DUMMYFUNCTION("""COMPUTED_VALUE"""),"Ken")</f>
        <v>Ken</v>
      </c>
    </row>
    <row r="6591" ht="15.75" customHeight="1">
      <c r="A6591" s="122" t="str">
        <f>IFERROR(__xludf.DUMMYFUNCTION("""COMPUTED_VALUE"""),"0935 807 778")</f>
        <v>0935 807 778</v>
      </c>
      <c r="B6591" s="119" t="str">
        <f>IFERROR(__xludf.DUMMYFUNCTION("""COMPUTED_VALUE"""),"Bác Thuận")</f>
        <v>Bác Thuận</v>
      </c>
      <c r="C6591" s="119" t="str">
        <f>IFERROR(__xludf.DUMMYFUNCTION("""COMPUTED_VALUE"""),"12a/93 Đặng Huy Trứ")</f>
        <v>12a/93 Đặng Huy Trứ</v>
      </c>
      <c r="D6591" s="119" t="str">
        <f>IFERROR(__xludf.DUMMYFUNCTION("""COMPUTED_VALUE"""),"Chó")</f>
        <v>Chó</v>
      </c>
      <c r="E6591" s="119" t="str">
        <f>IFERROR(__xludf.DUMMYFUNCTION("""COMPUTED_VALUE"""),"Sún")</f>
        <v>Sún</v>
      </c>
    </row>
    <row r="6592" ht="15.75" customHeight="1">
      <c r="A6592" s="122" t="str">
        <f>IFERROR(__xludf.DUMMYFUNCTION("""COMPUTED_VALUE"""),"0365 397 382")</f>
        <v>0365 397 382</v>
      </c>
      <c r="B6592" s="119" t="str">
        <f>IFERROR(__xludf.DUMMYFUNCTION("""COMPUTED_VALUE"""),"Tôn")</f>
        <v>Tôn</v>
      </c>
      <c r="C6592" s="119" t="str">
        <f>IFERROR(__xludf.DUMMYFUNCTION("""COMPUTED_VALUE"""),"62 Phan Bội Châu")</f>
        <v>62 Phan Bội Châu</v>
      </c>
      <c r="D6592" s="119" t="str">
        <f>IFERROR(__xludf.DUMMYFUNCTION("""COMPUTED_VALUE"""),"Chó")</f>
        <v>Chó</v>
      </c>
      <c r="E6592" s="119"/>
    </row>
    <row r="6593" ht="15.75" customHeight="1">
      <c r="A6593" s="122" t="str">
        <f>IFERROR(__xludf.DUMMYFUNCTION("""COMPUTED_VALUE"""),"0389 067 550")</f>
        <v>0389 067 550</v>
      </c>
      <c r="B6593" s="119" t="str">
        <f>IFERROR(__xludf.DUMMYFUNCTION("""COMPUTED_VALUE"""),"Lệ Thu")</f>
        <v>Lệ Thu</v>
      </c>
      <c r="C6593" s="119" t="str">
        <f>IFERROR(__xludf.DUMMYFUNCTION("""COMPUTED_VALUE"""),"42/5 Nguyễn Lộ Trạch")</f>
        <v>42/5 Nguyễn Lộ Trạch</v>
      </c>
      <c r="D6593" s="119" t="str">
        <f>IFERROR(__xludf.DUMMYFUNCTION("""COMPUTED_VALUE"""),"Mèo")</f>
        <v>Mèo</v>
      </c>
      <c r="E6593" s="119" t="str">
        <f>IFERROR(__xludf.DUMMYFUNCTION("""COMPUTED_VALUE"""),"Mila")</f>
        <v>Mila</v>
      </c>
    </row>
    <row r="6594" ht="15.75" customHeight="1">
      <c r="A6594" s="122" t="str">
        <f>IFERROR(__xludf.DUMMYFUNCTION("""COMPUTED_VALUE"""),"0966 571 853")</f>
        <v>0966 571 853</v>
      </c>
      <c r="B6594" s="119" t="str">
        <f>IFERROR(__xludf.DUMMYFUNCTION("""COMPUTED_VALUE"""),"Thầy Hưng")</f>
        <v>Thầy Hưng</v>
      </c>
      <c r="C6594" s="119" t="str">
        <f>IFERROR(__xludf.DUMMYFUNCTION("""COMPUTED_VALUE"""),"CHùa Từ Hiếu")</f>
        <v>CHùa Từ Hiếu</v>
      </c>
      <c r="D6594" s="119" t="str">
        <f>IFERROR(__xludf.DUMMYFUNCTION("""COMPUTED_VALUE"""),"Chó")</f>
        <v>Chó</v>
      </c>
      <c r="E6594" s="119" t="str">
        <f>IFERROR(__xludf.DUMMYFUNCTION("""COMPUTED_VALUE"""),"Trắng")</f>
        <v>Trắng</v>
      </c>
    </row>
    <row r="6595" ht="15.75" customHeight="1">
      <c r="A6595" s="122" t="str">
        <f>IFERROR(__xludf.DUMMYFUNCTION("""COMPUTED_VALUE"""),"0935 376 913")</f>
        <v>0935 376 913</v>
      </c>
      <c r="B6595" s="119" t="str">
        <f>IFERROR(__xludf.DUMMYFUNCTION("""COMPUTED_VALUE"""),"Nhật Bảo")</f>
        <v>Nhật Bảo</v>
      </c>
      <c r="C6595" s="119" t="str">
        <f>IFERROR(__xludf.DUMMYFUNCTION("""COMPUTED_VALUE"""),"6/138 Trần Phú")</f>
        <v>6/138 Trần Phú</v>
      </c>
      <c r="D6595" s="119" t="str">
        <f>IFERROR(__xludf.DUMMYFUNCTION("""COMPUTED_VALUE"""),"Mèo")</f>
        <v>Mèo</v>
      </c>
      <c r="E6595" s="119" t="str">
        <f>IFERROR(__xludf.DUMMYFUNCTION("""COMPUTED_VALUE"""),"Milo")</f>
        <v>Milo</v>
      </c>
    </row>
    <row r="6596" ht="15.75" customHeight="1">
      <c r="A6596" s="122" t="str">
        <f>IFERROR(__xludf.DUMMYFUNCTION("""COMPUTED_VALUE"""),"0822 023 251")</f>
        <v>0822 023 251</v>
      </c>
      <c r="B6596" s="119" t="str">
        <f>IFERROR(__xludf.DUMMYFUNCTION("""COMPUTED_VALUE"""),"Chị Hiền")</f>
        <v>Chị Hiền</v>
      </c>
      <c r="C6596" s="119" t="str">
        <f>IFERROR(__xludf.DUMMYFUNCTION("""COMPUTED_VALUE"""),"21/50 Thiên Thai")</f>
        <v>21/50 Thiên Thai</v>
      </c>
      <c r="D6596" s="119" t="str">
        <f>IFERROR(__xludf.DUMMYFUNCTION("""COMPUTED_VALUE"""),"Mèo")</f>
        <v>Mèo</v>
      </c>
      <c r="E6596" s="119" t="str">
        <f>IFERROR(__xludf.DUMMYFUNCTION("""COMPUTED_VALUE"""),"Bông")</f>
        <v>Bông</v>
      </c>
    </row>
    <row r="6597" ht="15.75" customHeight="1">
      <c r="A6597" s="122" t="str">
        <f>IFERROR(__xludf.DUMMYFUNCTION("""COMPUTED_VALUE"""),"0796 161 369")</f>
        <v>0796 161 369</v>
      </c>
      <c r="B6597" s="119" t="str">
        <f>IFERROR(__xludf.DUMMYFUNCTION("""COMPUTED_VALUE"""),"Em Đạt")</f>
        <v>Em Đạt</v>
      </c>
      <c r="C6597" s="119" t="str">
        <f>IFERROR(__xludf.DUMMYFUNCTION("""COMPUTED_VALUE"""),"8/9/130 Trần Phú")</f>
        <v>8/9/130 Trần Phú</v>
      </c>
      <c r="D6597" s="119" t="str">
        <f>IFERROR(__xludf.DUMMYFUNCTION("""COMPUTED_VALUE"""),"Mèo")</f>
        <v>Mèo</v>
      </c>
      <c r="E6597" s="119" t="str">
        <f>IFERROR(__xludf.DUMMYFUNCTION("""COMPUTED_VALUE"""),"Bi")</f>
        <v>Bi</v>
      </c>
    </row>
    <row r="6598" ht="15.75" customHeight="1">
      <c r="A6598" s="122" t="str">
        <f>IFERROR(__xludf.DUMMYFUNCTION("""COMPUTED_VALUE"""),"0987 311 519")</f>
        <v>0987 311 519</v>
      </c>
      <c r="B6598" s="119" t="str">
        <f>IFERROR(__xludf.DUMMYFUNCTION("""COMPUTED_VALUE"""),"Hoàng")</f>
        <v>Hoàng</v>
      </c>
      <c r="C6598" s="119" t="str">
        <f>IFERROR(__xludf.DUMMYFUNCTION("""COMPUTED_VALUE"""),"340 Bùi Thị Xuân")</f>
        <v>340 Bùi Thị Xuân</v>
      </c>
      <c r="D6598" s="119" t="str">
        <f>IFERROR(__xludf.DUMMYFUNCTION("""COMPUTED_VALUE"""),"Chó")</f>
        <v>Chó</v>
      </c>
      <c r="E6598" s="119" t="str">
        <f>IFERROR(__xludf.DUMMYFUNCTION("""COMPUTED_VALUE"""),"Bi")</f>
        <v>Bi</v>
      </c>
    </row>
    <row r="6599" ht="15.75" customHeight="1">
      <c r="A6599" s="122" t="str">
        <f>IFERROR(__xludf.DUMMYFUNCTION("""COMPUTED_VALUE"""),"0961 416 735")</f>
        <v>0961 416 735</v>
      </c>
      <c r="B6599" s="119" t="str">
        <f>IFERROR(__xludf.DUMMYFUNCTION("""COMPUTED_VALUE"""),"ANh Đào")</f>
        <v>ANh Đào</v>
      </c>
      <c r="C6599" s="119" t="str">
        <f>IFERROR(__xludf.DUMMYFUNCTION("""COMPUTED_VALUE"""),"17B Nguyễn Thanh Ái")</f>
        <v>17B Nguyễn Thanh Ái</v>
      </c>
      <c r="D6599" s="119" t="str">
        <f>IFERROR(__xludf.DUMMYFUNCTION("""COMPUTED_VALUE"""),"Mèo")</f>
        <v>Mèo</v>
      </c>
      <c r="E6599" s="119" t="str">
        <f>IFERROR(__xludf.DUMMYFUNCTION("""COMPUTED_VALUE"""),"Cam")</f>
        <v>Cam</v>
      </c>
    </row>
    <row r="6600" ht="15.75" customHeight="1">
      <c r="A6600" s="122" t="str">
        <f>IFERROR(__xludf.DUMMYFUNCTION("""COMPUTED_VALUE"""),"0372 759 265")</f>
        <v>0372 759 265</v>
      </c>
      <c r="B6600" s="119" t="str">
        <f>IFERROR(__xludf.DUMMYFUNCTION("""COMPUTED_VALUE"""),"Em Hà")</f>
        <v>Em Hà</v>
      </c>
      <c r="C6600" s="119" t="str">
        <f>IFERROR(__xludf.DUMMYFUNCTION("""COMPUTED_VALUE"""),"k5 Dạ Lê")</f>
        <v>k5 Dạ Lê</v>
      </c>
      <c r="D6600" s="119" t="str">
        <f>IFERROR(__xludf.DUMMYFUNCTION("""COMPUTED_VALUE"""),"Mèo")</f>
        <v>Mèo</v>
      </c>
      <c r="E6600" s="119" t="str">
        <f>IFERROR(__xludf.DUMMYFUNCTION("""COMPUTED_VALUE"""),"Đậu")</f>
        <v>Đậu</v>
      </c>
    </row>
    <row r="6601" ht="15.75" customHeight="1">
      <c r="A6601" s="122" t="str">
        <f>IFERROR(__xludf.DUMMYFUNCTION("""COMPUTED_VALUE"""),"0348 075 175")</f>
        <v>0348 075 175</v>
      </c>
      <c r="B6601" s="119" t="str">
        <f>IFERROR(__xludf.DUMMYFUNCTION("""COMPUTED_VALUE"""),"Em Mai Trinh")</f>
        <v>Em Mai Trinh</v>
      </c>
      <c r="C6601" s="119" t="str">
        <f>IFERROR(__xludf.DUMMYFUNCTION("""COMPUTED_VALUE"""),"38/85 An Dương Vương")</f>
        <v>38/85 An Dương Vương</v>
      </c>
      <c r="D6601" s="119" t="str">
        <f>IFERROR(__xludf.DUMMYFUNCTION("""COMPUTED_VALUE"""),"Mèo")</f>
        <v>Mèo</v>
      </c>
      <c r="E6601" s="119" t="str">
        <f>IFERROR(__xludf.DUMMYFUNCTION("""COMPUTED_VALUE"""),"Kem")</f>
        <v>Kem</v>
      </c>
    </row>
    <row r="6602" ht="15.75" customHeight="1">
      <c r="A6602" s="122" t="str">
        <f>IFERROR(__xludf.DUMMYFUNCTION("""COMPUTED_VALUE"""),"0914 423 534")</f>
        <v>0914 423 534</v>
      </c>
      <c r="B6602" s="119" t="str">
        <f>IFERROR(__xludf.DUMMYFUNCTION("""COMPUTED_VALUE"""),"Bác Toàn")</f>
        <v>Bác Toàn</v>
      </c>
      <c r="C6602" s="119" t="str">
        <f>IFERROR(__xludf.DUMMYFUNCTION("""COMPUTED_VALUE"""),"8/16 Đoàn Hữu Trưng")</f>
        <v>8/16 Đoàn Hữu Trưng</v>
      </c>
      <c r="D6602" s="119" t="str">
        <f>IFERROR(__xludf.DUMMYFUNCTION("""COMPUTED_VALUE"""),"Mèo")</f>
        <v>Mèo</v>
      </c>
      <c r="E6602" s="119" t="str">
        <f>IFERROR(__xludf.DUMMYFUNCTION("""COMPUTED_VALUE"""),"Đùi Gà")</f>
        <v>Đùi Gà</v>
      </c>
    </row>
    <row r="6603" ht="15.75" customHeight="1">
      <c r="A6603" s="122" t="str">
        <f>IFERROR(__xludf.DUMMYFUNCTION("""COMPUTED_VALUE"""),"0816 192 992")</f>
        <v>0816 192 992</v>
      </c>
      <c r="B6603" s="119" t="str">
        <f>IFERROR(__xludf.DUMMYFUNCTION("""COMPUTED_VALUE"""),"Chị Kim Ngân")</f>
        <v>Chị Kim Ngân</v>
      </c>
      <c r="C6603" s="119" t="str">
        <f>IFERROR(__xludf.DUMMYFUNCTION("""COMPUTED_VALUE"""),"15B/257 Bùi Thị Xuân")</f>
        <v>15B/257 Bùi Thị Xuân</v>
      </c>
      <c r="D6603" s="119" t="str">
        <f>IFERROR(__xludf.DUMMYFUNCTION("""COMPUTED_VALUE"""),"Chó")</f>
        <v>Chó</v>
      </c>
      <c r="E6603" s="119" t="str">
        <f>IFERROR(__xludf.DUMMYFUNCTION("""COMPUTED_VALUE"""),"Đen")</f>
        <v>Đen</v>
      </c>
    </row>
    <row r="6604" ht="15.75" customHeight="1">
      <c r="A6604" s="122" t="str">
        <f>IFERROR(__xludf.DUMMYFUNCTION("""COMPUTED_VALUE"""),"0905 450 393")</f>
        <v>0905 450 393</v>
      </c>
      <c r="B6604" s="119" t="str">
        <f>IFERROR(__xludf.DUMMYFUNCTION("""COMPUTED_VALUE"""),"Anh Phương")</f>
        <v>Anh Phương</v>
      </c>
      <c r="C6604" s="119" t="str">
        <f>IFERROR(__xludf.DUMMYFUNCTION("""COMPUTED_VALUE"""),"4/18/68 Đặng Huy Trứ")</f>
        <v>4/18/68 Đặng Huy Trứ</v>
      </c>
      <c r="D6604" s="119" t="str">
        <f>IFERROR(__xludf.DUMMYFUNCTION("""COMPUTED_VALUE"""),"Chó")</f>
        <v>Chó</v>
      </c>
      <c r="E6604" s="119" t="str">
        <f>IFERROR(__xludf.DUMMYFUNCTION("""COMPUTED_VALUE"""),"Nâu")</f>
        <v>Nâu</v>
      </c>
    </row>
    <row r="6605" ht="15.75" customHeight="1">
      <c r="A6605" s="122" t="str">
        <f>IFERROR(__xludf.DUMMYFUNCTION("""COMPUTED_VALUE"""),"0917 999 003")</f>
        <v>0917 999 003</v>
      </c>
      <c r="B6605" s="119" t="str">
        <f>IFERROR(__xludf.DUMMYFUNCTION("""COMPUTED_VALUE"""),"Chị Nhiên")</f>
        <v>Chị Nhiên</v>
      </c>
      <c r="C6605" s="119" t="str">
        <f>IFERROR(__xludf.DUMMYFUNCTION("""COMPUTED_VALUE"""),"38 Trần Thúc nhẫn")</f>
        <v>38 Trần Thúc nhẫn</v>
      </c>
      <c r="D6605" s="119" t="str">
        <f>IFERROR(__xludf.DUMMYFUNCTION("""COMPUTED_VALUE"""),"Mèo")</f>
        <v>Mèo</v>
      </c>
      <c r="E6605" s="119" t="str">
        <f>IFERROR(__xludf.DUMMYFUNCTION("""COMPUTED_VALUE"""),"Mun")</f>
        <v>Mun</v>
      </c>
    </row>
    <row r="6606" ht="15.75" customHeight="1">
      <c r="A6606" s="122" t="str">
        <f>IFERROR(__xludf.DUMMYFUNCTION("""COMPUTED_VALUE"""),"0935 665 944")</f>
        <v>0935 665 944</v>
      </c>
      <c r="B6606" s="119" t="str">
        <f>IFERROR(__xludf.DUMMYFUNCTION("""COMPUTED_VALUE"""),"Chị Cát Tường")</f>
        <v>Chị Cát Tường</v>
      </c>
      <c r="C6606" s="119" t="str">
        <f>IFERROR(__xludf.DUMMYFUNCTION("""COMPUTED_VALUE"""),"170 Nguyễn Chí Thanh")</f>
        <v>170 Nguyễn Chí Thanh</v>
      </c>
      <c r="D6606" s="119" t="str">
        <f>IFERROR(__xludf.DUMMYFUNCTION("""COMPUTED_VALUE"""),"Mèo")</f>
        <v>Mèo</v>
      </c>
      <c r="E6606" s="119" t="str">
        <f>IFERROR(__xludf.DUMMYFUNCTION("""COMPUTED_VALUE"""),"Bịp")</f>
        <v>Bịp</v>
      </c>
    </row>
    <row r="6607" ht="15.75" customHeight="1">
      <c r="A6607" s="122" t="str">
        <f>IFERROR(__xludf.DUMMYFUNCTION("""COMPUTED_VALUE"""),"0934 949 456")</f>
        <v>0934 949 456</v>
      </c>
      <c r="B6607" s="119" t="str">
        <f>IFERROR(__xludf.DUMMYFUNCTION("""COMPUTED_VALUE"""),"Em Huyền")</f>
        <v>Em Huyền</v>
      </c>
      <c r="C6607" s="119" t="str">
        <f>IFERROR(__xludf.DUMMYFUNCTION("""COMPUTED_VALUE"""),"7/15/69/131 Trần Phú")</f>
        <v>7/15/69/131 Trần Phú</v>
      </c>
      <c r="D6607" s="119" t="str">
        <f>IFERROR(__xludf.DUMMYFUNCTION("""COMPUTED_VALUE"""),"Chó")</f>
        <v>Chó</v>
      </c>
      <c r="E6607" s="119" t="str">
        <f>IFERROR(__xludf.DUMMYFUNCTION("""COMPUTED_VALUE"""),"Mây")</f>
        <v>Mây</v>
      </c>
    </row>
    <row r="6608" ht="15.75" customHeight="1">
      <c r="A6608" s="122" t="str">
        <f>IFERROR(__xludf.DUMMYFUNCTION("""COMPUTED_VALUE"""),"0911 344 030")</f>
        <v>0911 344 030</v>
      </c>
      <c r="B6608" s="119" t="str">
        <f>IFERROR(__xludf.DUMMYFUNCTION("""COMPUTED_VALUE"""),"Anh Vũ")</f>
        <v>Anh Vũ</v>
      </c>
      <c r="C6608" s="119" t="str">
        <f>IFERROR(__xludf.DUMMYFUNCTION("""COMPUTED_VALUE"""),"17 Nguyễn Trường Tộ")</f>
        <v>17 Nguyễn Trường Tộ</v>
      </c>
      <c r="D6608" s="119" t="str">
        <f>IFERROR(__xludf.DUMMYFUNCTION("""COMPUTED_VALUE"""),"Chó")</f>
        <v>Chó</v>
      </c>
      <c r="E6608" s="119" t="str">
        <f>IFERROR(__xludf.DUMMYFUNCTION("""COMPUTED_VALUE"""),"Banh")</f>
        <v>Banh</v>
      </c>
    </row>
    <row r="6609" ht="15.75" customHeight="1">
      <c r="A6609" s="122" t="str">
        <f>IFERROR(__xludf.DUMMYFUNCTION("""COMPUTED_VALUE"""),"0932 521 929")</f>
        <v>0932 521 929</v>
      </c>
      <c r="B6609" s="119" t="str">
        <f>IFERROR(__xludf.DUMMYFUNCTION("""COMPUTED_VALUE"""),"Anh Nhật")</f>
        <v>Anh Nhật</v>
      </c>
      <c r="C6609" s="119" t="str">
        <f>IFERROR(__xludf.DUMMYFUNCTION("""COMPUTED_VALUE"""),"Nguyễn Khoa Chiêm")</f>
        <v>Nguyễn Khoa Chiêm</v>
      </c>
      <c r="D6609" s="119" t="str">
        <f>IFERROR(__xludf.DUMMYFUNCTION("""COMPUTED_VALUE"""),"Chó")</f>
        <v>Chó</v>
      </c>
      <c r="E6609" s="119" t="str">
        <f>IFERROR(__xludf.DUMMYFUNCTION("""COMPUTED_VALUE"""),"Mận")</f>
        <v>Mận</v>
      </c>
    </row>
    <row r="6610" ht="15.75" customHeight="1">
      <c r="A6610" s="122" t="str">
        <f>IFERROR(__xludf.DUMMYFUNCTION("""COMPUTED_VALUE"""),"0906 498 271")</f>
        <v>0906 498 271</v>
      </c>
      <c r="B6610" s="119" t="str">
        <f>IFERROR(__xludf.DUMMYFUNCTION("""COMPUTED_VALUE"""),"Anh Quý")</f>
        <v>Anh Quý</v>
      </c>
      <c r="C6610" s="119" t="str">
        <f>IFERROR(__xludf.DUMMYFUNCTION("""COMPUTED_VALUE"""),"3 Đặng Trần Côn")</f>
        <v>3 Đặng Trần Côn</v>
      </c>
      <c r="D6610" s="119" t="str">
        <f>IFERROR(__xludf.DUMMYFUNCTION("""COMPUTED_VALUE"""),"Chó")</f>
        <v>Chó</v>
      </c>
      <c r="E6610" s="119"/>
    </row>
    <row r="6611" ht="15.75" customHeight="1">
      <c r="A6611" s="122" t="str">
        <f>IFERROR(__xludf.DUMMYFUNCTION("""COMPUTED_VALUE"""),"0705 166 068")</f>
        <v>0705 166 068</v>
      </c>
      <c r="B6611" s="119" t="str">
        <f>IFERROR(__xludf.DUMMYFUNCTION("""COMPUTED_VALUE"""),"Anh Tú")</f>
        <v>Anh Tú</v>
      </c>
      <c r="C6611" s="119" t="str">
        <f>IFERROR(__xludf.DUMMYFUNCTION("""COMPUTED_VALUE"""),"97 Thích Tịnh Khiết")</f>
        <v>97 Thích Tịnh Khiết</v>
      </c>
      <c r="D6611" s="119" t="str">
        <f>IFERROR(__xludf.DUMMYFUNCTION("""COMPUTED_VALUE"""),"Chó")</f>
        <v>Chó</v>
      </c>
      <c r="E6611" s="119" t="str">
        <f>IFERROR(__xludf.DUMMYFUNCTION("""COMPUTED_VALUE"""),"Lucky")</f>
        <v>Lucky</v>
      </c>
    </row>
    <row r="6612" ht="15.75" customHeight="1">
      <c r="A6612" s="122" t="str">
        <f>IFERROR(__xludf.DUMMYFUNCTION("""COMPUTED_VALUE"""),"0773 345 208")</f>
        <v>0773 345 208</v>
      </c>
      <c r="B6612" s="119" t="str">
        <f>IFERROR(__xludf.DUMMYFUNCTION("""COMPUTED_VALUE"""),"Em Nhi")</f>
        <v>Em Nhi</v>
      </c>
      <c r="C6612" s="119" t="str">
        <f>IFERROR(__xludf.DUMMYFUNCTION("""COMPUTED_VALUE"""),"10/46 Xã Tắc")</f>
        <v>10/46 Xã Tắc</v>
      </c>
      <c r="D6612" s="119" t="str">
        <f>IFERROR(__xludf.DUMMYFUNCTION("""COMPUTED_VALUE"""),"Chó")</f>
        <v>Chó</v>
      </c>
      <c r="E6612" s="119" t="str">
        <f>IFERROR(__xludf.DUMMYFUNCTION("""COMPUTED_VALUE"""),"Vid")</f>
        <v>Vid</v>
      </c>
    </row>
    <row r="6613" ht="15.75" customHeight="1">
      <c r="A6613" s="122" t="str">
        <f>IFERROR(__xludf.DUMMYFUNCTION("""COMPUTED_VALUE"""),"0935 308 443")</f>
        <v>0935 308 443</v>
      </c>
      <c r="B6613" s="119" t="str">
        <f>IFERROR(__xludf.DUMMYFUNCTION("""COMPUTED_VALUE"""),"Em Nhật Linh")</f>
        <v>Em Nhật Linh</v>
      </c>
      <c r="C6613" s="119" t="str">
        <f>IFERROR(__xludf.DUMMYFUNCTION("""COMPUTED_VALUE"""),"185 Phan Bội Châu")</f>
        <v>185 Phan Bội Châu</v>
      </c>
      <c r="D6613" s="119" t="str">
        <f>IFERROR(__xludf.DUMMYFUNCTION("""COMPUTED_VALUE"""),"Mèo")</f>
        <v>Mèo</v>
      </c>
      <c r="E6613" s="119" t="str">
        <f>IFERROR(__xludf.DUMMYFUNCTION("""COMPUTED_VALUE"""),"Bún")</f>
        <v>Bún</v>
      </c>
    </row>
    <row r="6614" ht="15.75" customHeight="1">
      <c r="A6614" s="122" t="str">
        <f>IFERROR(__xludf.DUMMYFUNCTION("""COMPUTED_VALUE"""),"0938 953 356")</f>
        <v>0938 953 356</v>
      </c>
      <c r="B6614" s="119" t="str">
        <f>IFERROR(__xludf.DUMMYFUNCTION("""COMPUTED_VALUE"""),"chị trâm")</f>
        <v>chị trâm</v>
      </c>
      <c r="C6614" s="119" t="str">
        <f>IFERROR(__xludf.DUMMYFUNCTION("""COMPUTED_VALUE"""),"140 nguyễn huệ")</f>
        <v>140 nguyễn huệ</v>
      </c>
      <c r="D6614" s="119" t="str">
        <f>IFERROR(__xludf.DUMMYFUNCTION("""COMPUTED_VALUE"""),"Chó")</f>
        <v>Chó</v>
      </c>
      <c r="E6614" s="119" t="str">
        <f>IFERROR(__xludf.DUMMYFUNCTION("""COMPUTED_VALUE"""),"vàng")</f>
        <v>vàng</v>
      </c>
    </row>
    <row r="6615" ht="15.75" customHeight="1">
      <c r="A6615" s="122" t="str">
        <f>IFERROR(__xludf.DUMMYFUNCTION("""COMPUTED_VALUE"""),"0352 204 493")</f>
        <v>0352 204 493</v>
      </c>
      <c r="B6615" s="119" t="str">
        <f>IFERROR(__xludf.DUMMYFUNCTION("""COMPUTED_VALUE"""),"chị thy")</f>
        <v>chị thy</v>
      </c>
      <c r="C6615" s="119" t="str">
        <f>IFERROR(__xludf.DUMMYFUNCTION("""COMPUTED_VALUE"""),"64 điện biên phủ")</f>
        <v>64 điện biên phủ</v>
      </c>
      <c r="D6615" s="119" t="str">
        <f>IFERROR(__xludf.DUMMYFUNCTION("""COMPUTED_VALUE"""),"Chó")</f>
        <v>Chó</v>
      </c>
      <c r="E6615" s="119" t="str">
        <f>IFERROR(__xludf.DUMMYFUNCTION("""COMPUTED_VALUE"""),"milo")</f>
        <v>milo</v>
      </c>
    </row>
    <row r="6616" ht="15.75" customHeight="1">
      <c r="A6616" s="122" t="str">
        <f>IFERROR(__xludf.DUMMYFUNCTION("""COMPUTED_VALUE"""),"0774 442 170")</f>
        <v>0774 442 170</v>
      </c>
      <c r="B6616" s="119" t="str">
        <f>IFERROR(__xludf.DUMMYFUNCTION("""COMPUTED_VALUE"""),"Em Thông")</f>
        <v>Em Thông</v>
      </c>
      <c r="C6616" s="119" t="str">
        <f>IFERROR(__xludf.DUMMYFUNCTION("""COMPUTED_VALUE"""),"4/30 Đoàn Hữu Trưng")</f>
        <v>4/30 Đoàn Hữu Trưng</v>
      </c>
      <c r="D6616" s="119" t="str">
        <f>IFERROR(__xludf.DUMMYFUNCTION("""COMPUTED_VALUE"""),"Chó")</f>
        <v>Chó</v>
      </c>
      <c r="E6616" s="119" t="str">
        <f>IFERROR(__xludf.DUMMYFUNCTION("""COMPUTED_VALUE"""),"Bờm")</f>
        <v>Bờm</v>
      </c>
    </row>
    <row r="6617" ht="15.75" customHeight="1">
      <c r="A6617" s="122" t="str">
        <f>IFERROR(__xludf.DUMMYFUNCTION("""COMPUTED_VALUE"""),"0919 428 842")</f>
        <v>0919 428 842</v>
      </c>
      <c r="B6617" s="119" t="str">
        <f>IFERROR(__xludf.DUMMYFUNCTION("""COMPUTED_VALUE"""),"Chị Tâm Khánh")</f>
        <v>Chị Tâm Khánh</v>
      </c>
      <c r="C6617" s="119" t="str">
        <f>IFERROR(__xludf.DUMMYFUNCTION("""COMPUTED_VALUE"""),"26 Nguyễn Khuyến")</f>
        <v>26 Nguyễn Khuyến</v>
      </c>
      <c r="D6617" s="119" t="str">
        <f>IFERROR(__xludf.DUMMYFUNCTION("""COMPUTED_VALUE"""),"Chó")</f>
        <v>Chó</v>
      </c>
      <c r="E6617" s="119" t="str">
        <f>IFERROR(__xludf.DUMMYFUNCTION("""COMPUTED_VALUE"""),"Lé")</f>
        <v>Lé</v>
      </c>
    </row>
    <row r="6618" ht="15.75" customHeight="1">
      <c r="A6618" s="122" t="str">
        <f>IFERROR(__xludf.DUMMYFUNCTION("""COMPUTED_VALUE"""),"0903 591 696")</f>
        <v>0903 591 696</v>
      </c>
      <c r="B6618" s="119" t="str">
        <f>IFERROR(__xludf.DUMMYFUNCTION("""COMPUTED_VALUE"""),"Em Như")</f>
        <v>Em Như</v>
      </c>
      <c r="C6618" s="119" t="str">
        <f>IFERROR(__xludf.DUMMYFUNCTION("""COMPUTED_VALUE"""),"46 Đoàn Hữu Trưng")</f>
        <v>46 Đoàn Hữu Trưng</v>
      </c>
      <c r="D6618" s="119" t="str">
        <f>IFERROR(__xludf.DUMMYFUNCTION("""COMPUTED_VALUE"""),"Chó")</f>
        <v>Chó</v>
      </c>
      <c r="E6618" s="119" t="str">
        <f>IFERROR(__xludf.DUMMYFUNCTION("""COMPUTED_VALUE"""),"Vid")</f>
        <v>Vid</v>
      </c>
    </row>
    <row r="6619" ht="15.75" customHeight="1">
      <c r="A6619" s="122" t="str">
        <f>IFERROR(__xludf.DUMMYFUNCTION("""COMPUTED_VALUE"""),"0355 365 510")</f>
        <v>0355 365 510</v>
      </c>
      <c r="B6619" s="119" t="str">
        <f>IFERROR(__xludf.DUMMYFUNCTION("""COMPUTED_VALUE"""),"em Hảo")</f>
        <v>em Hảo</v>
      </c>
      <c r="C6619" s="119" t="str">
        <f>IFERROR(__xludf.DUMMYFUNCTION("""COMPUTED_VALUE"""),"12 Lương Văn Can")</f>
        <v>12 Lương Văn Can</v>
      </c>
      <c r="D6619" s="119" t="str">
        <f>IFERROR(__xludf.DUMMYFUNCTION("""COMPUTED_VALUE"""),"Mèo")</f>
        <v>Mèo</v>
      </c>
      <c r="E6619" s="119" t="str">
        <f>IFERROR(__xludf.DUMMYFUNCTION("""COMPUTED_VALUE"""),"vani")</f>
        <v>vani</v>
      </c>
    </row>
    <row r="6620" ht="15.75" customHeight="1">
      <c r="A6620" s="122" t="str">
        <f>IFERROR(__xludf.DUMMYFUNCTION("""COMPUTED_VALUE"""),"0702 756 094")</f>
        <v>0702 756 094</v>
      </c>
      <c r="B6620" s="119" t="str">
        <f>IFERROR(__xludf.DUMMYFUNCTION("""COMPUTED_VALUE"""),"Anh Mỳ")</f>
        <v>Anh Mỳ</v>
      </c>
      <c r="C6620" s="119" t="str">
        <f>IFERROR(__xludf.DUMMYFUNCTION("""COMPUTED_VALUE"""),"125 Nguyễn Hữu Cảnh")</f>
        <v>125 Nguyễn Hữu Cảnh</v>
      </c>
      <c r="D6620" s="119" t="str">
        <f>IFERROR(__xludf.DUMMYFUNCTION("""COMPUTED_VALUE"""),"Mèo")</f>
        <v>Mèo</v>
      </c>
      <c r="E6620" s="119" t="str">
        <f>IFERROR(__xludf.DUMMYFUNCTION("""COMPUTED_VALUE"""),"Nếp")</f>
        <v>Nếp</v>
      </c>
    </row>
    <row r="6621" ht="15.75" customHeight="1">
      <c r="A6621" s="122" t="str">
        <f>IFERROR(__xludf.DUMMYFUNCTION("""COMPUTED_VALUE"""),"0931 770 312")</f>
        <v>0931 770 312</v>
      </c>
      <c r="B6621" s="119" t="str">
        <f>IFERROR(__xludf.DUMMYFUNCTION("""COMPUTED_VALUE"""),"Chị Thúy")</f>
        <v>Chị Thúy</v>
      </c>
      <c r="C6621" s="119" t="str">
        <f>IFERROR(__xludf.DUMMYFUNCTION("""COMPUTED_VALUE"""),"1/93 Đặng Văn Ngữ")</f>
        <v>1/93 Đặng Văn Ngữ</v>
      </c>
      <c r="D6621" s="119" t="str">
        <f>IFERROR(__xludf.DUMMYFUNCTION("""COMPUTED_VALUE"""),"Chó")</f>
        <v>Chó</v>
      </c>
      <c r="E6621" s="119" t="str">
        <f>IFERROR(__xludf.DUMMYFUNCTION("""COMPUTED_VALUE"""),"Mây")</f>
        <v>Mây</v>
      </c>
    </row>
    <row r="6622" ht="15.75" customHeight="1">
      <c r="A6622" s="122" t="str">
        <f>IFERROR(__xludf.DUMMYFUNCTION("""COMPUTED_VALUE"""),"0905 552 621")</f>
        <v>0905 552 621</v>
      </c>
      <c r="B6622" s="119" t="str">
        <f>IFERROR(__xludf.DUMMYFUNCTION("""COMPUTED_VALUE"""),"Chị Hà")</f>
        <v>Chị Hà</v>
      </c>
      <c r="C6622" s="119" t="str">
        <f>IFERROR(__xludf.DUMMYFUNCTION("""COMPUTED_VALUE"""),"61/107 Phùng Hưng")</f>
        <v>61/107 Phùng Hưng</v>
      </c>
      <c r="D6622" s="119" t="str">
        <f>IFERROR(__xludf.DUMMYFUNCTION("""COMPUTED_VALUE"""),"Chó")</f>
        <v>Chó</v>
      </c>
      <c r="E6622" s="119" t="str">
        <f>IFERROR(__xludf.DUMMYFUNCTION("""COMPUTED_VALUE"""),"Coca")</f>
        <v>Coca</v>
      </c>
    </row>
    <row r="6623" ht="15.75" customHeight="1">
      <c r="A6623" s="122" t="str">
        <f>IFERROR(__xludf.DUMMYFUNCTION("""COMPUTED_VALUE"""),"0760 601 606")</f>
        <v>0760 601 606</v>
      </c>
      <c r="B6623" s="119" t="str">
        <f>IFERROR(__xludf.DUMMYFUNCTION("""COMPUTED_VALUE"""),"Triều Hưng")</f>
        <v>Triều Hưng</v>
      </c>
      <c r="C6623" s="119" t="str">
        <f>IFERROR(__xludf.DUMMYFUNCTION("""COMPUTED_VALUE"""),"Phú Thượng")</f>
        <v>Phú Thượng</v>
      </c>
      <c r="D6623" s="119" t="str">
        <f>IFERROR(__xludf.DUMMYFUNCTION("""COMPUTED_VALUE"""),"Chó")</f>
        <v>Chó</v>
      </c>
      <c r="E6623" s="119" t="str">
        <f>IFERROR(__xludf.DUMMYFUNCTION("""COMPUTED_VALUE"""),"Xoài")</f>
        <v>Xoài</v>
      </c>
    </row>
    <row r="6624" ht="15.75" customHeight="1">
      <c r="A6624" s="122" t="str">
        <f>IFERROR(__xludf.DUMMYFUNCTION("""COMPUTED_VALUE"""),"0853 586 090")</f>
        <v>0853 586 090</v>
      </c>
      <c r="B6624" s="119" t="str">
        <f>IFERROR(__xludf.DUMMYFUNCTION("""COMPUTED_VALUE"""),"Anh Vũ")</f>
        <v>Anh Vũ</v>
      </c>
      <c r="C6624" s="119" t="str">
        <f>IFERROR(__xludf.DUMMYFUNCTION("""COMPUTED_VALUE"""),"7/2/6 Tam Thai")</f>
        <v>7/2/6 Tam Thai</v>
      </c>
      <c r="D6624" s="119" t="str">
        <f>IFERROR(__xludf.DUMMYFUNCTION("""COMPUTED_VALUE"""),"Mèo")</f>
        <v>Mèo</v>
      </c>
      <c r="E6624" s="119" t="str">
        <f>IFERROR(__xludf.DUMMYFUNCTION("""COMPUTED_VALUE"""),"Simon")</f>
        <v>Simon</v>
      </c>
    </row>
    <row r="6625" ht="15.75" customHeight="1">
      <c r="A6625" s="122" t="str">
        <f>IFERROR(__xludf.DUMMYFUNCTION("""COMPUTED_VALUE"""),"0702 501 097")</f>
        <v>0702 501 097</v>
      </c>
      <c r="B6625" s="119" t="str">
        <f>IFERROR(__xludf.DUMMYFUNCTION("""COMPUTED_VALUE"""),"Chị Mai")</f>
        <v>Chị Mai</v>
      </c>
      <c r="C6625" s="119" t="str">
        <f>IFERROR(__xludf.DUMMYFUNCTION("""COMPUTED_VALUE"""),"194/7 Ưng Bình")</f>
        <v>194/7 Ưng Bình</v>
      </c>
      <c r="D6625" s="119" t="str">
        <f>IFERROR(__xludf.DUMMYFUNCTION("""COMPUTED_VALUE"""),"Chó")</f>
        <v>Chó</v>
      </c>
      <c r="E6625" s="119" t="str">
        <f>IFERROR(__xludf.DUMMYFUNCTION("""COMPUTED_VALUE"""),"Gấu")</f>
        <v>Gấu</v>
      </c>
    </row>
    <row r="6626" ht="15.75" customHeight="1">
      <c r="A6626" s="122" t="str">
        <f>IFERROR(__xludf.DUMMYFUNCTION("""COMPUTED_VALUE"""),"0383 831 057")</f>
        <v>0383 831 057</v>
      </c>
      <c r="B6626" s="119" t="str">
        <f>IFERROR(__xludf.DUMMYFUNCTION("""COMPUTED_VALUE"""),"Anh Đạt")</f>
        <v>Anh Đạt</v>
      </c>
      <c r="C6626" s="119" t="str">
        <f>IFERROR(__xludf.DUMMYFUNCTION("""COMPUTED_VALUE"""),"1/12 Đăng Huy Trứ")</f>
        <v>1/12 Đăng Huy Trứ</v>
      </c>
      <c r="D6626" s="119" t="str">
        <f>IFERROR(__xludf.DUMMYFUNCTION("""COMPUTED_VALUE"""),"Mèo")</f>
        <v>Mèo</v>
      </c>
      <c r="E6626" s="119"/>
    </row>
    <row r="6627" ht="15.75" customHeight="1">
      <c r="A6627" s="122" t="str">
        <f>IFERROR(__xludf.DUMMYFUNCTION("""COMPUTED_VALUE"""),"0372 636 717")</f>
        <v>0372 636 717</v>
      </c>
      <c r="B6627" s="119" t="str">
        <f>IFERROR(__xludf.DUMMYFUNCTION("""COMPUTED_VALUE"""),"a sửu")</f>
        <v>a sửu</v>
      </c>
      <c r="C6627" s="119" t="str">
        <f>IFERROR(__xludf.DUMMYFUNCTION("""COMPUTED_VALUE"""),"thuận an")</f>
        <v>thuận an</v>
      </c>
      <c r="D6627" s="119" t="str">
        <f>IFERROR(__xludf.DUMMYFUNCTION("""COMPUTED_VALUE"""),"Chó")</f>
        <v>Chó</v>
      </c>
      <c r="E6627" s="119" t="str">
        <f>IFERROR(__xludf.DUMMYFUNCTION("""COMPUTED_VALUE"""),"vàng")</f>
        <v>vàng</v>
      </c>
    </row>
    <row r="6628" ht="15.75" customHeight="1">
      <c r="A6628" s="122" t="str">
        <f>IFERROR(__xludf.DUMMYFUNCTION("""COMPUTED_VALUE"""),"0963 590 954")</f>
        <v>0963 590 954</v>
      </c>
      <c r="B6628" s="119" t="str">
        <f>IFERROR(__xludf.DUMMYFUNCTION("""COMPUTED_VALUE"""),"a long")</f>
        <v>a long</v>
      </c>
      <c r="C6628" s="119" t="str">
        <f>IFERROR(__xludf.DUMMYFUNCTION("""COMPUTED_VALUE"""),"14 phạm văn đồng")</f>
        <v>14 phạm văn đồng</v>
      </c>
      <c r="D6628" s="119" t="str">
        <f>IFERROR(__xludf.DUMMYFUNCTION("""COMPUTED_VALUE"""),"Chó")</f>
        <v>Chó</v>
      </c>
      <c r="E6628" s="119" t="str">
        <f>IFERROR(__xludf.DUMMYFUNCTION("""COMPUTED_VALUE"""),"ka")</f>
        <v>ka</v>
      </c>
    </row>
    <row r="6629" ht="15.75" customHeight="1">
      <c r="A6629" s="122" t="str">
        <f>IFERROR(__xludf.DUMMYFUNCTION("""COMPUTED_VALUE"""),"0935 499 229")</f>
        <v>0935 499 229</v>
      </c>
      <c r="B6629" s="119" t="str">
        <f>IFERROR(__xludf.DUMMYFUNCTION("""COMPUTED_VALUE"""),"anh quang")</f>
        <v>anh quang</v>
      </c>
      <c r="C6629" s="119" t="str">
        <f>IFERROR(__xludf.DUMMYFUNCTION("""COMPUTED_VALUE"""),"02 đào tấn")</f>
        <v>02 đào tấn</v>
      </c>
      <c r="D6629" s="119" t="str">
        <f>IFERROR(__xludf.DUMMYFUNCTION("""COMPUTED_VALUE"""),"Mèo")</f>
        <v>Mèo</v>
      </c>
      <c r="E6629" s="119" t="str">
        <f>IFERROR(__xludf.DUMMYFUNCTION("""COMPUTED_VALUE"""),"kera")</f>
        <v>kera</v>
      </c>
    </row>
    <row r="6630" ht="15.75" customHeight="1">
      <c r="A6630" s="122" t="str">
        <f>IFERROR(__xludf.DUMMYFUNCTION("""COMPUTED_VALUE"""),"0853 046 360")</f>
        <v>0853 046 360</v>
      </c>
      <c r="B6630" s="119" t="str">
        <f>IFERROR(__xludf.DUMMYFUNCTION("""COMPUTED_VALUE"""),"chị thi")</f>
        <v>chị thi</v>
      </c>
      <c r="C6630" s="119" t="str">
        <f>IFERROR(__xludf.DUMMYFUNCTION("""COMPUTED_VALUE"""),"7/66 hải triều")</f>
        <v>7/66 hải triều</v>
      </c>
      <c r="D6630" s="119" t="str">
        <f>IFERROR(__xludf.DUMMYFUNCTION("""COMPUTED_VALUE"""),"Chó")</f>
        <v>Chó</v>
      </c>
      <c r="E6630" s="119" t="str">
        <f>IFERROR(__xludf.DUMMYFUNCTION("""COMPUTED_VALUE"""),"heo")</f>
        <v>heo</v>
      </c>
    </row>
    <row r="6631" ht="15.75" customHeight="1">
      <c r="A6631" s="122" t="str">
        <f>IFERROR(__xludf.DUMMYFUNCTION("""COMPUTED_VALUE"""),"0355 822 993")</f>
        <v>0355 822 993</v>
      </c>
      <c r="B6631" s="119" t="str">
        <f>IFERROR(__xludf.DUMMYFUNCTION("""COMPUTED_VALUE"""),"chị linh")</f>
        <v>chị linh</v>
      </c>
      <c r="C6631" s="119" t="str">
        <f>IFERROR(__xludf.DUMMYFUNCTION("""COMPUTED_VALUE"""),"4/183 phan bội châu")</f>
        <v>4/183 phan bội châu</v>
      </c>
      <c r="D6631" s="119" t="str">
        <f>IFERROR(__xludf.DUMMYFUNCTION("""COMPUTED_VALUE"""),"Chó")</f>
        <v>Chó</v>
      </c>
      <c r="E6631" s="119" t="str">
        <f>IFERROR(__xludf.DUMMYFUNCTION("""COMPUTED_VALUE"""),"bông")</f>
        <v>bông</v>
      </c>
    </row>
    <row r="6632" ht="15.75" customHeight="1">
      <c r="A6632" s="122" t="str">
        <f>IFERROR(__xludf.DUMMYFUNCTION("""COMPUTED_VALUE"""),"0858 114 545")</f>
        <v>0858 114 545</v>
      </c>
      <c r="B6632" s="119" t="str">
        <f>IFERROR(__xludf.DUMMYFUNCTION("""COMPUTED_VALUE"""),"chị dung")</f>
        <v>chị dung</v>
      </c>
      <c r="C6632" s="119" t="str">
        <f>IFERROR(__xludf.DUMMYFUNCTION("""COMPUTED_VALUE"""),"22 trường chinh")</f>
        <v>22 trường chinh</v>
      </c>
      <c r="D6632" s="119" t="str">
        <f>IFERROR(__xludf.DUMMYFUNCTION("""COMPUTED_VALUE"""),"Chó")</f>
        <v>Chó</v>
      </c>
      <c r="E6632" s="119" t="str">
        <f>IFERROR(__xludf.DUMMYFUNCTION("""COMPUTED_VALUE"""),"ki")</f>
        <v>ki</v>
      </c>
    </row>
    <row r="6633" ht="15.75" customHeight="1">
      <c r="A6633" s="122" t="str">
        <f>IFERROR(__xludf.DUMMYFUNCTION("""COMPUTED_VALUE"""),"0935 443 549")</f>
        <v>0935 443 549</v>
      </c>
      <c r="B6633" s="119" t="str">
        <f>IFERROR(__xludf.DUMMYFUNCTION("""COMPUTED_VALUE"""),"anh thắng")</f>
        <v>anh thắng</v>
      </c>
      <c r="C6633" s="119" t="str">
        <f>IFERROR(__xludf.DUMMYFUNCTION("""COMPUTED_VALUE"""),"56/242 bùi thị xuân")</f>
        <v>56/242 bùi thị xuân</v>
      </c>
      <c r="D6633" s="119" t="str">
        <f>IFERROR(__xludf.DUMMYFUNCTION("""COMPUTED_VALUE"""),"Mèo")</f>
        <v>Mèo</v>
      </c>
      <c r="E6633" s="119" t="str">
        <f>IFERROR(__xludf.DUMMYFUNCTION("""COMPUTED_VALUE"""),"ruốc")</f>
        <v>ruốc</v>
      </c>
    </row>
    <row r="6634" ht="15.75" customHeight="1">
      <c r="A6634" s="122" t="str">
        <f>IFERROR(__xludf.DUMMYFUNCTION("""COMPUTED_VALUE"""),"0935 058 884")</f>
        <v>0935 058 884</v>
      </c>
      <c r="B6634" s="119" t="str">
        <f>IFERROR(__xludf.DUMMYFUNCTION("""COMPUTED_VALUE"""),"chị nga")</f>
        <v>chị nga</v>
      </c>
      <c r="C6634" s="119" t="str">
        <f>IFERROR(__xludf.DUMMYFUNCTION("""COMPUTED_VALUE"""),"5a/16 đoàn hữu trưng")</f>
        <v>5a/16 đoàn hữu trưng</v>
      </c>
      <c r="D6634" s="119" t="str">
        <f>IFERROR(__xludf.DUMMYFUNCTION("""COMPUTED_VALUE"""),"Chó")</f>
        <v>Chó</v>
      </c>
      <c r="E6634" s="119" t="str">
        <f>IFERROR(__xludf.DUMMYFUNCTION("""COMPUTED_VALUE"""),"bông")</f>
        <v>bông</v>
      </c>
    </row>
    <row r="6635" ht="15.75" customHeight="1">
      <c r="A6635" s="122" t="str">
        <f>IFERROR(__xludf.DUMMYFUNCTION("""COMPUTED_VALUE"""),"0939 327 896")</f>
        <v>0939 327 896</v>
      </c>
      <c r="B6635" s="119" t="str">
        <f>IFERROR(__xludf.DUMMYFUNCTION("""COMPUTED_VALUE"""),"chị trang")</f>
        <v>chị trang</v>
      </c>
      <c r="C6635" s="119" t="str">
        <f>IFERROR(__xludf.DUMMYFUNCTION("""COMPUTED_VALUE"""),"290 phạm văn đồng")</f>
        <v>290 phạm văn đồng</v>
      </c>
      <c r="D6635" s="119" t="str">
        <f>IFERROR(__xludf.DUMMYFUNCTION("""COMPUTED_VALUE"""),"Mèo")</f>
        <v>Mèo</v>
      </c>
      <c r="E6635" s="119" t="str">
        <f>IFERROR(__xludf.DUMMYFUNCTION("""COMPUTED_VALUE"""),"bí")</f>
        <v>bí</v>
      </c>
    </row>
    <row r="6636" ht="15.75" customHeight="1">
      <c r="A6636" s="122" t="str">
        <f>IFERROR(__xludf.DUMMYFUNCTION("""COMPUTED_VALUE"""),"0366 713 495")</f>
        <v>0366 713 495</v>
      </c>
      <c r="B6636" s="119" t="str">
        <f>IFERROR(__xludf.DUMMYFUNCTION("""COMPUTED_VALUE"""),"em điểm")</f>
        <v>em điểm</v>
      </c>
      <c r="C6636" s="119" t="str">
        <f>IFERROR(__xludf.DUMMYFUNCTION("""COMPUTED_VALUE"""),"quảng thái")</f>
        <v>quảng thái</v>
      </c>
      <c r="D6636" s="119" t="str">
        <f>IFERROR(__xludf.DUMMYFUNCTION("""COMPUTED_VALUE"""),"Chó")</f>
        <v>Chó</v>
      </c>
      <c r="E6636" s="119" t="str">
        <f>IFERROR(__xludf.DUMMYFUNCTION("""COMPUTED_VALUE"""),"rô")</f>
        <v>rô</v>
      </c>
    </row>
    <row r="6637" ht="15.75" customHeight="1">
      <c r="A6637" s="122" t="str">
        <f>IFERROR(__xludf.DUMMYFUNCTION("""COMPUTED_VALUE"""),"0932 565 378")</f>
        <v>0932 565 378</v>
      </c>
      <c r="B6637" s="119" t="str">
        <f>IFERROR(__xludf.DUMMYFUNCTION("""COMPUTED_VALUE"""),"a hùng")</f>
        <v>a hùng</v>
      </c>
      <c r="C6637" s="119" t="str">
        <f>IFERROR(__xludf.DUMMYFUNCTION("""COMPUTED_VALUE"""),"12a/93 đặng huy trứ")</f>
        <v>12a/93 đặng huy trứ</v>
      </c>
      <c r="D6637" s="119" t="str">
        <f>IFERROR(__xludf.DUMMYFUNCTION("""COMPUTED_VALUE"""),"chó")</f>
        <v>chó</v>
      </c>
      <c r="E6637" s="119" t="str">
        <f>IFERROR(__xludf.DUMMYFUNCTION("""COMPUTED_VALUE"""),"sún")</f>
        <v>sún</v>
      </c>
    </row>
    <row r="6638" ht="15.75" customHeight="1">
      <c r="A6638" s="122" t="str">
        <f>IFERROR(__xludf.DUMMYFUNCTION("""COMPUTED_VALUE"""),"0935 360 222")</f>
        <v>0935 360 222</v>
      </c>
      <c r="B6638" s="119" t="str">
        <f>IFERROR(__xludf.DUMMYFUNCTION("""COMPUTED_VALUE"""),"chị nga")</f>
        <v>chị nga</v>
      </c>
      <c r="C6638" s="119" t="str">
        <f>IFERROR(__xludf.DUMMYFUNCTION("""COMPUTED_VALUE"""),"294/3 phan bội châu")</f>
        <v>294/3 phan bội châu</v>
      </c>
      <c r="D6638" s="119" t="str">
        <f>IFERROR(__xludf.DUMMYFUNCTION("""COMPUTED_VALUE"""),"Chó")</f>
        <v>Chó</v>
      </c>
      <c r="E6638" s="119" t="str">
        <f>IFERROR(__xludf.DUMMYFUNCTION("""COMPUTED_VALUE"""),"ko")</f>
        <v>ko</v>
      </c>
    </row>
    <row r="6639" ht="15.75" customHeight="1">
      <c r="A6639" s="122" t="str">
        <f>IFERROR(__xludf.DUMMYFUNCTION("""COMPUTED_VALUE"""),"0777 711 375")</f>
        <v>0777 711 375</v>
      </c>
      <c r="B6639" s="119" t="str">
        <f>IFERROR(__xludf.DUMMYFUNCTION("""COMPUTED_VALUE"""),"a lợi")</f>
        <v>a lợi</v>
      </c>
      <c r="C6639" s="119" t="str">
        <f>IFERROR(__xludf.DUMMYFUNCTION("""COMPUTED_VALUE"""),"100 minh mạng")</f>
        <v>100 minh mạng</v>
      </c>
      <c r="D6639" s="119" t="str">
        <f>IFERROR(__xludf.DUMMYFUNCTION("""COMPUTED_VALUE"""),"Chó")</f>
        <v>Chó</v>
      </c>
      <c r="E6639" s="119" t="str">
        <f>IFERROR(__xludf.DUMMYFUNCTION("""COMPUTED_VALUE"""),"mèo")</f>
        <v>mèo</v>
      </c>
    </row>
    <row r="6640" ht="15.75" customHeight="1">
      <c r="A6640" s="122" t="str">
        <f>IFERROR(__xludf.DUMMYFUNCTION("""COMPUTED_VALUE"""),"0932 572 152")</f>
        <v>0932 572 152</v>
      </c>
      <c r="B6640" s="119" t="str">
        <f>IFERROR(__xludf.DUMMYFUNCTION("""COMPUTED_VALUE"""),"Chị Thảo")</f>
        <v>Chị Thảo</v>
      </c>
      <c r="C6640" s="119" t="str">
        <f>IFERROR(__xludf.DUMMYFUNCTION("""COMPUTED_VALUE"""),"44 KQH Chợ Kim Long")</f>
        <v>44 KQH Chợ Kim Long</v>
      </c>
      <c r="D6640" s="119" t="str">
        <f>IFERROR(__xludf.DUMMYFUNCTION("""COMPUTED_VALUE"""),"Mèo")</f>
        <v>Mèo</v>
      </c>
      <c r="E6640" s="119" t="str">
        <f>IFERROR(__xludf.DUMMYFUNCTION("""COMPUTED_VALUE"""),"Sư tử")</f>
        <v>Sư tử</v>
      </c>
    </row>
    <row r="6641" ht="15.75" customHeight="1">
      <c r="A6641" s="122" t="str">
        <f>IFERROR(__xludf.DUMMYFUNCTION("""COMPUTED_VALUE"""),"0820 022 351")</f>
        <v>0820 022 351</v>
      </c>
      <c r="B6641" s="119" t="str">
        <f>IFERROR(__xludf.DUMMYFUNCTION("""COMPUTED_VALUE"""),"chị hiền")</f>
        <v>chị hiền</v>
      </c>
      <c r="C6641" s="119" t="str">
        <f>IFERROR(__xludf.DUMMYFUNCTION("""COMPUTED_VALUE"""),"50/21 thiên thai")</f>
        <v>50/21 thiên thai</v>
      </c>
      <c r="D6641" s="119" t="str">
        <f>IFERROR(__xludf.DUMMYFUNCTION("""COMPUTED_VALUE"""),"Mèo")</f>
        <v>Mèo</v>
      </c>
      <c r="E6641" s="119" t="str">
        <f>IFERROR(__xludf.DUMMYFUNCTION("""COMPUTED_VALUE"""),"sữa")</f>
        <v>sữa</v>
      </c>
    </row>
    <row r="6642" ht="15.75" customHeight="1">
      <c r="A6642" s="122" t="str">
        <f>IFERROR(__xludf.DUMMYFUNCTION("""COMPUTED_VALUE"""),"0919 911 276")</f>
        <v>0919 911 276</v>
      </c>
      <c r="B6642" s="119" t="str">
        <f>IFERROR(__xludf.DUMMYFUNCTION("""COMPUTED_VALUE"""),"anh vinh")</f>
        <v>anh vinh</v>
      </c>
      <c r="C6642" s="119" t="str">
        <f>IFERROR(__xludf.DUMMYFUNCTION("""COMPUTED_VALUE"""),"21 ng lương bằng")</f>
        <v>21 ng lương bằng</v>
      </c>
      <c r="D6642" s="119" t="str">
        <f>IFERROR(__xludf.DUMMYFUNCTION("""COMPUTED_VALUE"""),"Mèo")</f>
        <v>Mèo</v>
      </c>
      <c r="E6642" s="119"/>
    </row>
    <row r="6643" ht="15.75" customHeight="1">
      <c r="A6643" s="122" t="str">
        <f>IFERROR(__xludf.DUMMYFUNCTION("""COMPUTED_VALUE"""),"0962 226 603")</f>
        <v>0962 226 603</v>
      </c>
      <c r="B6643" s="119" t="str">
        <f>IFERROR(__xludf.DUMMYFUNCTION("""COMPUTED_VALUE"""),"a sang")</f>
        <v>a sang</v>
      </c>
      <c r="C6643" s="119" t="str">
        <f>IFERROR(__xludf.DUMMYFUNCTION("""COMPUTED_VALUE"""),"hải dương")</f>
        <v>hải dương</v>
      </c>
      <c r="D6643" s="119" t="str">
        <f>IFERROR(__xludf.DUMMYFUNCTION("""COMPUTED_VALUE"""),"Chó")</f>
        <v>Chó</v>
      </c>
      <c r="E6643" s="119" t="str">
        <f>IFERROR(__xludf.DUMMYFUNCTION("""COMPUTED_VALUE"""),"pubg")</f>
        <v>pubg</v>
      </c>
    </row>
    <row r="6644" ht="15.75" customHeight="1">
      <c r="A6644" s="122" t="str">
        <f>IFERROR(__xludf.DUMMYFUNCTION("""COMPUTED_VALUE"""),"0328 605 128")</f>
        <v>0328 605 128</v>
      </c>
      <c r="B6644" s="119" t="str">
        <f>IFERROR(__xludf.DUMMYFUNCTION("""COMPUTED_VALUE"""),"quỳnh anh")</f>
        <v>quỳnh anh</v>
      </c>
      <c r="C6644" s="119" t="str">
        <f>IFERROR(__xludf.DUMMYFUNCTION("""COMPUTED_VALUE"""),"131 trần phú")</f>
        <v>131 trần phú</v>
      </c>
      <c r="D6644" s="119" t="str">
        <f>IFERROR(__xludf.DUMMYFUNCTION("""COMPUTED_VALUE"""),"Chó")</f>
        <v>Chó</v>
      </c>
      <c r="E6644" s="119" t="str">
        <f>IFERROR(__xludf.DUMMYFUNCTION("""COMPUTED_VALUE"""),"ken")</f>
        <v>ken</v>
      </c>
    </row>
    <row r="6645" ht="15.75" customHeight="1">
      <c r="A6645" s="122" t="str">
        <f>IFERROR(__xludf.DUMMYFUNCTION("""COMPUTED_VALUE"""),"0703 587 720")</f>
        <v>0703 587 720</v>
      </c>
      <c r="B6645" s="119" t="str">
        <f>IFERROR(__xludf.DUMMYFUNCTION("""COMPUTED_VALUE"""),"Chị Hoàng Anh ")</f>
        <v>Chị Hoàng Anh </v>
      </c>
      <c r="C6645" s="119" t="str">
        <f>IFERROR(__xludf.DUMMYFUNCTION("""COMPUTED_VALUE"""),"Hương Hồ")</f>
        <v>Hương Hồ</v>
      </c>
      <c r="D6645" s="119" t="str">
        <f>IFERROR(__xludf.DUMMYFUNCTION("""COMPUTED_VALUE"""),"Chó")</f>
        <v>Chó</v>
      </c>
      <c r="E6645" s="119" t="str">
        <f>IFERROR(__xludf.DUMMYFUNCTION("""COMPUTED_VALUE"""),"Gấu")</f>
        <v>Gấu</v>
      </c>
    </row>
    <row r="6646" ht="15.75" customHeight="1">
      <c r="A6646" s="122" t="str">
        <f>IFERROR(__xludf.DUMMYFUNCTION("""COMPUTED_VALUE"""),"0922 081 245")</f>
        <v>0922 081 245</v>
      </c>
      <c r="B6646" s="119" t="str">
        <f>IFERROR(__xludf.DUMMYFUNCTION("""COMPUTED_VALUE"""),"hồng nhung")</f>
        <v>hồng nhung</v>
      </c>
      <c r="C6646" s="119" t="str">
        <f>IFERROR(__xludf.DUMMYFUNCTION("""COMPUTED_VALUE"""),"17/129 an dương vương")</f>
        <v>17/129 an dương vương</v>
      </c>
      <c r="D6646" s="119" t="str">
        <f>IFERROR(__xludf.DUMMYFUNCTION("""COMPUTED_VALUE"""),"Mèo")</f>
        <v>Mèo</v>
      </c>
      <c r="E6646" s="119" t="str">
        <f>IFERROR(__xludf.DUMMYFUNCTION("""COMPUTED_VALUE"""),"cọp")</f>
        <v>cọp</v>
      </c>
    </row>
    <row r="6647" ht="15.75" customHeight="1">
      <c r="A6647" s="122" t="str">
        <f>IFERROR(__xludf.DUMMYFUNCTION("""COMPUTED_VALUE"""),"0934 610 294")</f>
        <v>0934 610 294</v>
      </c>
      <c r="B6647" s="119" t="str">
        <f>IFERROR(__xludf.DUMMYFUNCTION("""COMPUTED_VALUE"""),"chị linh")</f>
        <v>chị linh</v>
      </c>
      <c r="C6647" s="119" t="str">
        <f>IFERROR(__xludf.DUMMYFUNCTION("""COMPUTED_VALUE"""),"14 phạm văn đồng")</f>
        <v>14 phạm văn đồng</v>
      </c>
      <c r="D6647" s="119" t="str">
        <f>IFERROR(__xludf.DUMMYFUNCTION("""COMPUTED_VALUE"""),"Chó")</f>
        <v>Chó</v>
      </c>
      <c r="E6647" s="119"/>
    </row>
    <row r="6648" ht="15.75" customHeight="1">
      <c r="A6648" s="122" t="str">
        <f>IFERROR(__xludf.DUMMYFUNCTION("""COMPUTED_VALUE"""),"0795 654 787")</f>
        <v>0795 654 787</v>
      </c>
      <c r="B6648" s="119" t="str">
        <f>IFERROR(__xludf.DUMMYFUNCTION("""COMPUTED_VALUE"""),"SV Nghĩa")</f>
        <v>SV Nghĩa</v>
      </c>
      <c r="C6648" s="119" t="str">
        <f>IFERROR(__xludf.DUMMYFUNCTION("""COMPUTED_VALUE"""),"50/131 trần phú")</f>
        <v>50/131 trần phú</v>
      </c>
      <c r="D6648" s="119" t="str">
        <f>IFERROR(__xludf.DUMMYFUNCTION("""COMPUTED_VALUE"""),"Chó")</f>
        <v>Chó</v>
      </c>
      <c r="E6648" s="119" t="str">
        <f>IFERROR(__xludf.DUMMYFUNCTION("""COMPUTED_VALUE"""),"bạc")</f>
        <v>bạc</v>
      </c>
    </row>
    <row r="6649" ht="15.75" customHeight="1">
      <c r="A6649" s="122" t="str">
        <f>IFERROR(__xludf.DUMMYFUNCTION("""COMPUTED_VALUE"""),"0354 329 064")</f>
        <v>0354 329 064</v>
      </c>
      <c r="B6649" s="119" t="str">
        <f>IFERROR(__xludf.DUMMYFUNCTION("""COMPUTED_VALUE"""),"Anh Huy")</f>
        <v>Anh Huy</v>
      </c>
      <c r="C6649" s="119" t="str">
        <f>IFERROR(__xludf.DUMMYFUNCTION("""COMPUTED_VALUE"""),"Bầu Vá")</f>
        <v>Bầu Vá</v>
      </c>
      <c r="D6649" s="119" t="str">
        <f>IFERROR(__xludf.DUMMYFUNCTION("""COMPUTED_VALUE"""),"Chó")</f>
        <v>Chó</v>
      </c>
      <c r="E6649" s="119" t="str">
        <f>IFERROR(__xludf.DUMMYFUNCTION("""COMPUTED_VALUE"""),"Dolla")</f>
        <v>Dolla</v>
      </c>
    </row>
    <row r="6650" ht="15.75" customHeight="1">
      <c r="A6650" s="122" t="str">
        <f>IFERROR(__xludf.DUMMYFUNCTION("""COMPUTED_VALUE"""),"0858 979 898")</f>
        <v>0858 979 898</v>
      </c>
      <c r="B6650" s="119" t="str">
        <f>IFERROR(__xludf.DUMMYFUNCTION("""COMPUTED_VALUE"""),"Linh okada")</f>
        <v>Linh okada</v>
      </c>
      <c r="C6650" s="119" t="str">
        <f>IFERROR(__xludf.DUMMYFUNCTION("""COMPUTED_VALUE"""),"100/131 trần phú")</f>
        <v>100/131 trần phú</v>
      </c>
      <c r="D6650" s="119" t="str">
        <f>IFERROR(__xludf.DUMMYFUNCTION("""COMPUTED_VALUE"""),"Chó")</f>
        <v>Chó</v>
      </c>
      <c r="E6650" s="119"/>
    </row>
    <row r="6651" ht="15.75" customHeight="1">
      <c r="A6651" s="122" t="str">
        <f>IFERROR(__xludf.DUMMYFUNCTION("""COMPUTED_VALUE"""),"0832 091 883")</f>
        <v>0832 091 883</v>
      </c>
      <c r="B6651" s="119" t="str">
        <f>IFERROR(__xludf.DUMMYFUNCTION("""COMPUTED_VALUE"""),"chị ngân giang")</f>
        <v>chị ngân giang</v>
      </c>
      <c r="C6651" s="119" t="str">
        <f>IFERROR(__xludf.DUMMYFUNCTION("""COMPUTED_VALUE"""),"26 phùng chí kiên")</f>
        <v>26 phùng chí kiên</v>
      </c>
      <c r="D6651" s="119" t="str">
        <f>IFERROR(__xludf.DUMMYFUNCTION("""COMPUTED_VALUE"""),"Chó")</f>
        <v>Chó</v>
      </c>
      <c r="E6651" s="119" t="str">
        <f>IFERROR(__xludf.DUMMYFUNCTION("""COMPUTED_VALUE"""),"rô")</f>
        <v>rô</v>
      </c>
    </row>
    <row r="6652" ht="15.75" customHeight="1">
      <c r="A6652" s="122" t="str">
        <f>IFERROR(__xludf.DUMMYFUNCTION("""COMPUTED_VALUE"""),"0933 477 375")</f>
        <v>0933 477 375</v>
      </c>
      <c r="B6652" s="119" t="str">
        <f>IFERROR(__xludf.DUMMYFUNCTION("""COMPUTED_VALUE"""),"kim tuyến")</f>
        <v>kim tuyến</v>
      </c>
      <c r="C6652" s="119" t="str">
        <f>IFERROR(__xludf.DUMMYFUNCTION("""COMPUTED_VALUE"""),"104 hùng vương")</f>
        <v>104 hùng vương</v>
      </c>
      <c r="D6652" s="119" t="str">
        <f>IFERROR(__xludf.DUMMYFUNCTION("""COMPUTED_VALUE"""),"Chó")</f>
        <v>Chó</v>
      </c>
      <c r="E6652" s="119" t="str">
        <f>IFERROR(__xludf.DUMMYFUNCTION("""COMPUTED_VALUE"""),"susu")</f>
        <v>susu</v>
      </c>
    </row>
    <row r="6653" ht="15.75" customHeight="1">
      <c r="A6653" s="122" t="str">
        <f>IFERROR(__xludf.DUMMYFUNCTION("""COMPUTED_VALUE"""),"0396 320 624")</f>
        <v>0396 320 624</v>
      </c>
      <c r="B6653" s="119" t="str">
        <f>IFERROR(__xludf.DUMMYFUNCTION("""COMPUTED_VALUE"""),"Anh Toàn")</f>
        <v>Anh Toàn</v>
      </c>
      <c r="C6653" s="119" t="str">
        <f>IFERROR(__xludf.DUMMYFUNCTION("""COMPUTED_VALUE"""),"22/24 Chế Lan Viên")</f>
        <v>22/24 Chế Lan Viên</v>
      </c>
      <c r="D6653" s="119" t="str">
        <f>IFERROR(__xludf.DUMMYFUNCTION("""COMPUTED_VALUE"""),"Chó")</f>
        <v>Chó</v>
      </c>
      <c r="E6653" s="119"/>
    </row>
    <row r="6654" ht="15.75" customHeight="1">
      <c r="A6654" s="122" t="str">
        <f>IFERROR(__xludf.DUMMYFUNCTION("""COMPUTED_VALUE"""),"0972 113 015")</f>
        <v>0972 113 015</v>
      </c>
      <c r="B6654" s="119" t="str">
        <f>IFERROR(__xludf.DUMMYFUNCTION("""COMPUTED_VALUE"""),"thu phương")</f>
        <v>thu phương</v>
      </c>
      <c r="C6654" s="119" t="str">
        <f>IFERROR(__xludf.DUMMYFUNCTION("""COMPUTED_VALUE"""),"20 bạch đằng")</f>
        <v>20 bạch đằng</v>
      </c>
      <c r="D6654" s="119" t="str">
        <f>IFERROR(__xludf.DUMMYFUNCTION("""COMPUTED_VALUE"""),"Chó")</f>
        <v>Chó</v>
      </c>
      <c r="E6654" s="119" t="str">
        <f>IFERROR(__xludf.DUMMYFUNCTION("""COMPUTED_VALUE"""),"đen")</f>
        <v>đen</v>
      </c>
    </row>
    <row r="6655" ht="15.75" customHeight="1">
      <c r="A6655" s="122" t="str">
        <f>IFERROR(__xludf.DUMMYFUNCTION("""COMPUTED_VALUE"""),"0864 090 229")</f>
        <v>0864 090 229</v>
      </c>
      <c r="B6655" s="119" t="str">
        <f>IFERROR(__xludf.DUMMYFUNCTION("""COMPUTED_VALUE"""),"tiểu ngọc")</f>
        <v>tiểu ngọc</v>
      </c>
      <c r="C6655" s="119" t="str">
        <f>IFERROR(__xludf.DUMMYFUNCTION("""COMPUTED_VALUE"""),"6/68 đặng huy trứ")</f>
        <v>6/68 đặng huy trứ</v>
      </c>
      <c r="D6655" s="119" t="str">
        <f>IFERROR(__xludf.DUMMYFUNCTION("""COMPUTED_VALUE"""),"Mèo")</f>
        <v>Mèo</v>
      </c>
      <c r="E6655" s="119" t="str">
        <f>IFERROR(__xludf.DUMMYFUNCTION("""COMPUTED_VALUE"""),"sâu")</f>
        <v>sâu</v>
      </c>
    </row>
    <row r="6656" ht="15.75" customHeight="1">
      <c r="A6656" s="122" t="str">
        <f>IFERROR(__xludf.DUMMYFUNCTION("""COMPUTED_VALUE"""),"0832 091 883")</f>
        <v>0832 091 883</v>
      </c>
      <c r="B6656" s="119" t="str">
        <f>IFERROR(__xludf.DUMMYFUNCTION("""COMPUTED_VALUE"""),"chị ngân giang")</f>
        <v>chị ngân giang</v>
      </c>
      <c r="C6656" s="119" t="str">
        <f>IFERROR(__xludf.DUMMYFUNCTION("""COMPUTED_VALUE"""),"26 phùng chí kiên")</f>
        <v>26 phùng chí kiên</v>
      </c>
      <c r="D6656" s="119" t="str">
        <f>IFERROR(__xludf.DUMMYFUNCTION("""COMPUTED_VALUE"""),"Chó")</f>
        <v>Chó</v>
      </c>
      <c r="E6656" s="119" t="str">
        <f>IFERROR(__xludf.DUMMYFUNCTION("""COMPUTED_VALUE"""),"bò")</f>
        <v>bò</v>
      </c>
    </row>
    <row r="6657" ht="15.75" customHeight="1">
      <c r="A6657" s="122" t="str">
        <f>IFERROR(__xludf.DUMMYFUNCTION("""COMPUTED_VALUE"""),"0859 090 044")</f>
        <v>0859 090 044</v>
      </c>
      <c r="B6657" s="119" t="str">
        <f>IFERROR(__xludf.DUMMYFUNCTION("""COMPUTED_VALUE"""),"Phan Sỹ")</f>
        <v>Phan Sỹ</v>
      </c>
      <c r="C6657" s="119" t="str">
        <f>IFERROR(__xludf.DUMMYFUNCTION("""COMPUTED_VALUE"""),"18/9/131 Trần Phú")</f>
        <v>18/9/131 Trần Phú</v>
      </c>
      <c r="D6657" s="119" t="str">
        <f>IFERROR(__xludf.DUMMYFUNCTION("""COMPUTED_VALUE"""),"Chó")</f>
        <v>Chó</v>
      </c>
      <c r="E6657" s="119" t="str">
        <f>IFERROR(__xludf.DUMMYFUNCTION("""COMPUTED_VALUE"""),"Bo")</f>
        <v>Bo</v>
      </c>
    </row>
    <row r="6658" ht="15.75" customHeight="1">
      <c r="A6658" s="122" t="str">
        <f>IFERROR(__xludf.DUMMYFUNCTION("""COMPUTED_VALUE"""),"0358 826 056")</f>
        <v>0358 826 056</v>
      </c>
      <c r="B6658" s="119" t="str">
        <f>IFERROR(__xludf.DUMMYFUNCTION("""COMPUTED_VALUE"""),"Cẩm sv")</f>
        <v>Cẩm sv</v>
      </c>
      <c r="C6658" s="119" t="str">
        <f>IFERROR(__xludf.DUMMYFUNCTION("""COMPUTED_VALUE"""),"43A3/98 Triệu Quang Phục")</f>
        <v>43A3/98 Triệu Quang Phục</v>
      </c>
      <c r="D6658" s="119" t="str">
        <f>IFERROR(__xludf.DUMMYFUNCTION("""COMPUTED_VALUE"""),"Mèo")</f>
        <v>Mèo</v>
      </c>
      <c r="E6658" s="119" t="str">
        <f>IFERROR(__xludf.DUMMYFUNCTION("""COMPUTED_VALUE"""),"Kitty")</f>
        <v>Kitty</v>
      </c>
    </row>
    <row r="6659" ht="15.75" customHeight="1">
      <c r="A6659" s="122" t="str">
        <f>IFERROR(__xludf.DUMMYFUNCTION("""COMPUTED_VALUE"""),"0334 392 441")</f>
        <v>0334 392 441</v>
      </c>
      <c r="B6659" s="119" t="str">
        <f>IFERROR(__xludf.DUMMYFUNCTION("""COMPUTED_VALUE"""),"CHị Quỳnh")</f>
        <v>CHị Quỳnh</v>
      </c>
      <c r="C6659" s="119" t="str">
        <f>IFERROR(__xludf.DUMMYFUNCTION("""COMPUTED_VALUE"""),"Nam Thượng")</f>
        <v>Nam Thượng</v>
      </c>
      <c r="D6659" s="119" t="str">
        <f>IFERROR(__xludf.DUMMYFUNCTION("""COMPUTED_VALUE"""),"Chó")</f>
        <v>Chó</v>
      </c>
      <c r="E6659" s="119" t="str">
        <f>IFERROR(__xludf.DUMMYFUNCTION("""COMPUTED_VALUE"""),"Gấu")</f>
        <v>Gấu</v>
      </c>
    </row>
    <row r="6660" ht="15.75" customHeight="1">
      <c r="A6660" s="122" t="str">
        <f>IFERROR(__xludf.DUMMYFUNCTION("""COMPUTED_VALUE"""),"0900 314 099")</f>
        <v>0900 314 099</v>
      </c>
      <c r="B6660" s="119" t="str">
        <f>IFERROR(__xludf.DUMMYFUNCTION("""COMPUTED_VALUE"""),"Dì Kim")</f>
        <v>Dì Kim</v>
      </c>
      <c r="C6660" s="119" t="str">
        <f>IFERROR(__xludf.DUMMYFUNCTION("""COMPUTED_VALUE"""),"79 Điện Biên Phủ")</f>
        <v>79 Điện Biên Phủ</v>
      </c>
      <c r="D6660" s="119" t="str">
        <f>IFERROR(__xludf.DUMMYFUNCTION("""COMPUTED_VALUE"""),"Mèo")</f>
        <v>Mèo</v>
      </c>
      <c r="E6660" s="119" t="str">
        <f>IFERROR(__xludf.DUMMYFUNCTION("""COMPUTED_VALUE"""),"Méo")</f>
        <v>Méo</v>
      </c>
    </row>
    <row r="6661" ht="15.75" customHeight="1">
      <c r="A6661" s="122" t="str">
        <f>IFERROR(__xludf.DUMMYFUNCTION("""COMPUTED_VALUE"""),"0364 598 473")</f>
        <v>0364 598 473</v>
      </c>
      <c r="B6661" s="119" t="str">
        <f>IFERROR(__xludf.DUMMYFUNCTION("""COMPUTED_VALUE"""),"Sv Oanh")</f>
        <v>Sv Oanh</v>
      </c>
      <c r="C6661" s="119" t="str">
        <f>IFERROR(__xludf.DUMMYFUNCTION("""COMPUTED_VALUE"""),"100 trần văn kỷ")</f>
        <v>100 trần văn kỷ</v>
      </c>
      <c r="D6661" s="119" t="str">
        <f>IFERROR(__xludf.DUMMYFUNCTION("""COMPUTED_VALUE"""),"Chó")</f>
        <v>Chó</v>
      </c>
      <c r="E6661" s="119" t="str">
        <f>IFERROR(__xludf.DUMMYFUNCTION("""COMPUTED_VALUE"""),"Bơ")</f>
        <v>Bơ</v>
      </c>
    </row>
    <row r="6662" ht="15.75" customHeight="1">
      <c r="A6662" s="122" t="str">
        <f>IFERROR(__xludf.DUMMYFUNCTION("""COMPUTED_VALUE"""),"0905 846 663")</f>
        <v>0905 846 663</v>
      </c>
      <c r="B6662" s="119" t="str">
        <f>IFERROR(__xludf.DUMMYFUNCTION("""COMPUTED_VALUE"""),"a long")</f>
        <v>a long</v>
      </c>
      <c r="C6662" s="119" t="str">
        <f>IFERROR(__xludf.DUMMYFUNCTION("""COMPUTED_VALUE"""),"5/176 minh mạng")</f>
        <v>5/176 minh mạng</v>
      </c>
      <c r="D6662" s="119" t="str">
        <f>IFERROR(__xludf.DUMMYFUNCTION("""COMPUTED_VALUE"""),"Chó")</f>
        <v>Chó</v>
      </c>
      <c r="E6662" s="119" t="str">
        <f>IFERROR(__xludf.DUMMYFUNCTION("""COMPUTED_VALUE"""),"min")</f>
        <v>min</v>
      </c>
    </row>
    <row r="6663" ht="15.75" customHeight="1">
      <c r="A6663" s="122" t="str">
        <f>IFERROR(__xludf.DUMMYFUNCTION("""COMPUTED_VALUE"""),"0702 762 222")</f>
        <v>0702 762 222</v>
      </c>
      <c r="B6663" s="119" t="str">
        <f>IFERROR(__xludf.DUMMYFUNCTION("""COMPUTED_VALUE"""),"Em Quốc Cường")</f>
        <v>Em Quốc Cường</v>
      </c>
      <c r="C6663" s="119" t="str">
        <f>IFERROR(__xludf.DUMMYFUNCTION("""COMPUTED_VALUE"""),"99 Hùng Vương")</f>
        <v>99 Hùng Vương</v>
      </c>
      <c r="D6663" s="119" t="str">
        <f>IFERROR(__xludf.DUMMYFUNCTION("""COMPUTED_VALUE"""),"Mèo")</f>
        <v>Mèo</v>
      </c>
      <c r="E6663" s="119" t="str">
        <f>IFERROR(__xludf.DUMMYFUNCTION("""COMPUTED_VALUE"""),"Anh")</f>
        <v>Anh</v>
      </c>
    </row>
    <row r="6664" ht="15.75" customHeight="1">
      <c r="A6664" s="122" t="str">
        <f>IFERROR(__xludf.DUMMYFUNCTION("""COMPUTED_VALUE"""),"0911 451 036")</f>
        <v>0911 451 036</v>
      </c>
      <c r="B6664" s="119" t="str">
        <f>IFERROR(__xludf.DUMMYFUNCTION("""COMPUTED_VALUE"""),"Chị Vân")</f>
        <v>Chị Vân</v>
      </c>
      <c r="C6664" s="119" t="str">
        <f>IFERROR(__xludf.DUMMYFUNCTION("""COMPUTED_VALUE"""),"9d/54 Lê Ngô Cát")</f>
        <v>9d/54 Lê Ngô Cát</v>
      </c>
      <c r="D6664" s="119" t="str">
        <f>IFERROR(__xludf.DUMMYFUNCTION("""COMPUTED_VALUE"""),"Chó")</f>
        <v>Chó</v>
      </c>
      <c r="E6664" s="119" t="str">
        <f>IFERROR(__xludf.DUMMYFUNCTION("""COMPUTED_VALUE"""),"Mít")</f>
        <v>Mít</v>
      </c>
    </row>
    <row r="6665" ht="15.75" customHeight="1">
      <c r="A6665" s="122" t="str">
        <f>IFERROR(__xludf.DUMMYFUNCTION("""COMPUTED_VALUE"""),"0777 755 111")</f>
        <v>0777 755 111</v>
      </c>
      <c r="B6665" s="119" t="str">
        <f>IFERROR(__xludf.DUMMYFUNCTION("""COMPUTED_VALUE"""),"Anh Tâm")</f>
        <v>Anh Tâm</v>
      </c>
      <c r="C6665" s="119" t="str">
        <f>IFERROR(__xludf.DUMMYFUNCTION("""COMPUTED_VALUE"""),"338 Phan Bội Châu")</f>
        <v>338 Phan Bội Châu</v>
      </c>
      <c r="D6665" s="119" t="str">
        <f>IFERROR(__xludf.DUMMYFUNCTION("""COMPUTED_VALUE"""),"Chó")</f>
        <v>Chó</v>
      </c>
      <c r="E6665" s="119" t="str">
        <f>IFERROR(__xludf.DUMMYFUNCTION("""COMPUTED_VALUE"""),"Bill")</f>
        <v>Bill</v>
      </c>
    </row>
    <row r="6666" ht="15.75" customHeight="1">
      <c r="A6666" s="122" t="str">
        <f>IFERROR(__xludf.DUMMYFUNCTION("""COMPUTED_VALUE"""),"0813 262 401")</f>
        <v>0813 262 401</v>
      </c>
      <c r="B6666" s="119" t="str">
        <f>IFERROR(__xludf.DUMMYFUNCTION("""COMPUTED_VALUE"""),"Hồng Quý")</f>
        <v>Hồng Quý</v>
      </c>
      <c r="C6666" s="119" t="str">
        <f>IFERROR(__xludf.DUMMYFUNCTION("""COMPUTED_VALUE"""),"Quảng Vinh, Quảng Điền")</f>
        <v>Quảng Vinh, Quảng Điền</v>
      </c>
      <c r="D6666" s="119" t="str">
        <f>IFERROR(__xludf.DUMMYFUNCTION("""COMPUTED_VALUE"""),"Mèo")</f>
        <v>Mèo</v>
      </c>
      <c r="E6666" s="119" t="str">
        <f>IFERROR(__xludf.DUMMYFUNCTION("""COMPUTED_VALUE"""),"Dưa")</f>
        <v>Dưa</v>
      </c>
    </row>
    <row r="6667" ht="15.75" customHeight="1">
      <c r="A6667" s="122" t="str">
        <f>IFERROR(__xludf.DUMMYFUNCTION("""COMPUTED_VALUE"""),"0834 161 786")</f>
        <v>0834 161 786</v>
      </c>
      <c r="B6667" s="119" t="str">
        <f>IFERROR(__xludf.DUMMYFUNCTION("""COMPUTED_VALUE"""),"Anh Hoài")</f>
        <v>Anh Hoài</v>
      </c>
      <c r="C6667" s="119" t="str">
        <f>IFERROR(__xludf.DUMMYFUNCTION("""COMPUTED_VALUE"""),"22/24 Chế Lan Viên")</f>
        <v>22/24 Chế Lan Viên</v>
      </c>
      <c r="D6667" s="119" t="str">
        <f>IFERROR(__xludf.DUMMYFUNCTION("""COMPUTED_VALUE"""),"Chó")</f>
        <v>Chó</v>
      </c>
      <c r="E6667" s="119" t="str">
        <f>IFERROR(__xludf.DUMMYFUNCTION("""COMPUTED_VALUE"""),"Cari")</f>
        <v>Cari</v>
      </c>
    </row>
    <row r="6668" ht="15.75" customHeight="1">
      <c r="A6668" s="122" t="str">
        <f>IFERROR(__xludf.DUMMYFUNCTION("""COMPUTED_VALUE"""),"0911 020 119")</f>
        <v>0911 020 119</v>
      </c>
      <c r="B6668" s="119" t="str">
        <f>IFERROR(__xludf.DUMMYFUNCTION("""COMPUTED_VALUE"""),"Anh Chương")</f>
        <v>Anh Chương</v>
      </c>
      <c r="C6668" s="119" t="str">
        <f>IFERROR(__xludf.DUMMYFUNCTION("""COMPUTED_VALUE"""),"Đào Tấn")</f>
        <v>Đào Tấn</v>
      </c>
      <c r="D6668" s="119" t="str">
        <f>IFERROR(__xludf.DUMMYFUNCTION("""COMPUTED_VALUE"""),"Chó")</f>
        <v>Chó</v>
      </c>
      <c r="E6668" s="119" t="str">
        <f>IFERROR(__xludf.DUMMYFUNCTION("""COMPUTED_VALUE"""),"Mập")</f>
        <v>Mập</v>
      </c>
    </row>
    <row r="6669" ht="15.75" customHeight="1">
      <c r="A6669" s="122" t="str">
        <f>IFERROR(__xludf.DUMMYFUNCTION("""COMPUTED_VALUE"""),"0937 676 271")</f>
        <v>0937 676 271</v>
      </c>
      <c r="B6669" s="119" t="str">
        <f>IFERROR(__xludf.DUMMYFUNCTION("""COMPUTED_VALUE"""),"Anh Trung")</f>
        <v>Anh Trung</v>
      </c>
      <c r="C6669" s="119" t="str">
        <f>IFERROR(__xludf.DUMMYFUNCTION("""COMPUTED_VALUE"""),"11a/51/131 Trần Phú")</f>
        <v>11a/51/131 Trần Phú</v>
      </c>
      <c r="D6669" s="119" t="str">
        <f>IFERROR(__xludf.DUMMYFUNCTION("""COMPUTED_VALUE"""),"Chó")</f>
        <v>Chó</v>
      </c>
      <c r="E6669" s="119" t="str">
        <f>IFERROR(__xludf.DUMMYFUNCTION("""COMPUTED_VALUE"""),"Lu")</f>
        <v>Lu</v>
      </c>
    </row>
    <row r="6670" ht="15.75" customHeight="1">
      <c r="A6670" s="122" t="str">
        <f>IFERROR(__xludf.DUMMYFUNCTION("""COMPUTED_VALUE"""),"0827 997 003")</f>
        <v>0827 997 003</v>
      </c>
      <c r="B6670" s="119" t="str">
        <f>IFERROR(__xludf.DUMMYFUNCTION("""COMPUTED_VALUE"""),"Anh Hiếu")</f>
        <v>Anh Hiếu</v>
      </c>
      <c r="C6670" s="119" t="str">
        <f>IFERROR(__xludf.DUMMYFUNCTION("""COMPUTED_VALUE"""),"phú đa")</f>
        <v>phú đa</v>
      </c>
      <c r="D6670" s="119" t="str">
        <f>IFERROR(__xludf.DUMMYFUNCTION("""COMPUTED_VALUE"""),"Chó")</f>
        <v>Chó</v>
      </c>
      <c r="E6670" s="119" t="str">
        <f>IFERROR(__xludf.DUMMYFUNCTION("""COMPUTED_VALUE"""),"bơ")</f>
        <v>bơ</v>
      </c>
    </row>
    <row r="6671" ht="15.75" customHeight="1">
      <c r="A6671" s="122" t="str">
        <f>IFERROR(__xludf.DUMMYFUNCTION("""COMPUTED_VALUE"""),"0788 541 233")</f>
        <v>0788 541 233</v>
      </c>
      <c r="B6671" s="119" t="str">
        <f>IFERROR(__xludf.DUMMYFUNCTION("""COMPUTED_VALUE"""),"a bảo")</f>
        <v>a bảo</v>
      </c>
      <c r="C6671" s="119" t="str">
        <f>IFERROR(__xludf.DUMMYFUNCTION("""COMPUTED_VALUE"""),"6/2 hà nội")</f>
        <v>6/2 hà nội</v>
      </c>
      <c r="D6671" s="119" t="str">
        <f>IFERROR(__xludf.DUMMYFUNCTION("""COMPUTED_VALUE"""),"Chó")</f>
        <v>Chó</v>
      </c>
      <c r="E6671" s="119" t="str">
        <f>IFERROR(__xludf.DUMMYFUNCTION("""COMPUTED_VALUE"""),"milu")</f>
        <v>milu</v>
      </c>
    </row>
    <row r="6672" ht="15.75" customHeight="1">
      <c r="A6672" s="122" t="str">
        <f>IFERROR(__xludf.DUMMYFUNCTION("""COMPUTED_VALUE"""),"0368 866 161")</f>
        <v>0368 866 161</v>
      </c>
      <c r="B6672" s="119" t="str">
        <f>IFERROR(__xludf.DUMMYFUNCTION("""COMPUTED_VALUE"""),"Chị Nguyên")</f>
        <v>Chị Nguyên</v>
      </c>
      <c r="C6672" s="119" t="str">
        <f>IFERROR(__xludf.DUMMYFUNCTION("""COMPUTED_VALUE"""),"chung cư Trường An")</f>
        <v>chung cư Trường An</v>
      </c>
      <c r="D6672" s="119" t="str">
        <f>IFERROR(__xludf.DUMMYFUNCTION("""COMPUTED_VALUE"""),"Mèo")</f>
        <v>Mèo</v>
      </c>
      <c r="E6672" s="119" t="str">
        <f>IFERROR(__xludf.DUMMYFUNCTION("""COMPUTED_VALUE"""),"Nhí")</f>
        <v>Nhí</v>
      </c>
    </row>
    <row r="6673" ht="15.75" customHeight="1">
      <c r="A6673" s="122" t="str">
        <f>IFERROR(__xludf.DUMMYFUNCTION("""COMPUTED_VALUE"""),"0935 781 123")</f>
        <v>0935 781 123</v>
      </c>
      <c r="B6673" s="119" t="str">
        <f>IFERROR(__xludf.DUMMYFUNCTION("""COMPUTED_VALUE"""),"Anh Hài")</f>
        <v>Anh Hài</v>
      </c>
      <c r="C6673" s="119" t="str">
        <f>IFERROR(__xludf.DUMMYFUNCTION("""COMPUTED_VALUE"""),"32A Hoàng Thị Loan")</f>
        <v>32A Hoàng Thị Loan</v>
      </c>
      <c r="D6673" s="119" t="str">
        <f>IFERROR(__xludf.DUMMYFUNCTION("""COMPUTED_VALUE"""),"Chó")</f>
        <v>Chó</v>
      </c>
      <c r="E6673" s="119" t="str">
        <f>IFERROR(__xludf.DUMMYFUNCTION("""COMPUTED_VALUE"""),"Bun")</f>
        <v>Bun</v>
      </c>
    </row>
    <row r="6674" ht="15.75" customHeight="1">
      <c r="A6674" s="122" t="str">
        <f>IFERROR(__xludf.DUMMYFUNCTION("""COMPUTED_VALUE"""),"0357 572 079")</f>
        <v>0357 572 079</v>
      </c>
      <c r="B6674" s="119" t="str">
        <f>IFERROR(__xludf.DUMMYFUNCTION("""COMPUTED_VALUE"""),"ANh Hoàng Nam")</f>
        <v>ANh Hoàng Nam</v>
      </c>
      <c r="C6674" s="119" t="str">
        <f>IFERROR(__xludf.DUMMYFUNCTION("""COMPUTED_VALUE"""),"15/66 Xuân Diệu")</f>
        <v>15/66 Xuân Diệu</v>
      </c>
      <c r="D6674" s="119" t="str">
        <f>IFERROR(__xludf.DUMMYFUNCTION("""COMPUTED_VALUE"""),"Chó")</f>
        <v>Chó</v>
      </c>
      <c r="E6674" s="119" t="str">
        <f>IFERROR(__xludf.DUMMYFUNCTION("""COMPUTED_VALUE"""),"Milo")</f>
        <v>Milo</v>
      </c>
    </row>
    <row r="6675" ht="15.75" customHeight="1">
      <c r="A6675" s="122" t="str">
        <f>IFERROR(__xludf.DUMMYFUNCTION("""COMPUTED_VALUE"""),"0964 002 948")</f>
        <v>0964 002 948</v>
      </c>
      <c r="B6675" s="119" t="str">
        <f>IFERROR(__xludf.DUMMYFUNCTION("""COMPUTED_VALUE"""),"Em Như Quỳnh")</f>
        <v>Em Như Quỳnh</v>
      </c>
      <c r="C6675" s="119" t="str">
        <f>IFERROR(__xludf.DUMMYFUNCTION("""COMPUTED_VALUE"""),"244 Phan Chu Trinh")</f>
        <v>244 Phan Chu Trinh</v>
      </c>
      <c r="D6675" s="119" t="str">
        <f>IFERROR(__xludf.DUMMYFUNCTION("""COMPUTED_VALUE"""),"Chó")</f>
        <v>Chó</v>
      </c>
      <c r="E6675" s="119" t="str">
        <f>IFERROR(__xludf.DUMMYFUNCTION("""COMPUTED_VALUE"""),"Nô")</f>
        <v>Nô</v>
      </c>
    </row>
    <row r="6676" ht="15.75" customHeight="1">
      <c r="A6676" s="122" t="str">
        <f>IFERROR(__xludf.DUMMYFUNCTION("""COMPUTED_VALUE"""),"0359 313 292")</f>
        <v>0359 313 292</v>
      </c>
      <c r="B6676" s="119" t="str">
        <f>IFERROR(__xludf.DUMMYFUNCTION("""COMPUTED_VALUE"""),"Dì Bé")</f>
        <v>Dì Bé</v>
      </c>
      <c r="C6676" s="119" t="str">
        <f>IFERROR(__xludf.DUMMYFUNCTION("""COMPUTED_VALUE"""),"2/53 Đào Tấn")</f>
        <v>2/53 Đào Tấn</v>
      </c>
      <c r="D6676" s="119" t="str">
        <f>IFERROR(__xludf.DUMMYFUNCTION("""COMPUTED_VALUE"""),"Mèo")</f>
        <v>Mèo</v>
      </c>
      <c r="E6676" s="119" t="str">
        <f>IFERROR(__xludf.DUMMYFUNCTION("""COMPUTED_VALUE"""),"Ghẻ")</f>
        <v>Ghẻ</v>
      </c>
    </row>
    <row r="6677" ht="15.75" customHeight="1">
      <c r="A6677" s="122" t="str">
        <f>IFERROR(__xludf.DUMMYFUNCTION("""COMPUTED_VALUE"""),"0944 656 265")</f>
        <v>0944 656 265</v>
      </c>
      <c r="B6677" s="119" t="str">
        <f>IFERROR(__xludf.DUMMYFUNCTION("""COMPUTED_VALUE"""),"Chị Cẩm Nhung")</f>
        <v>Chị Cẩm Nhung</v>
      </c>
      <c r="C6677" s="119" t="str">
        <f>IFERROR(__xludf.DUMMYFUNCTION("""COMPUTED_VALUE"""),"A28 An Cựu City")</f>
        <v>A28 An Cựu City</v>
      </c>
      <c r="D6677" s="119" t="str">
        <f>IFERROR(__xludf.DUMMYFUNCTION("""COMPUTED_VALUE"""),"Chó")</f>
        <v>Chó</v>
      </c>
      <c r="E6677" s="119" t="str">
        <f>IFERROR(__xludf.DUMMYFUNCTION("""COMPUTED_VALUE"""),"Lắc")</f>
        <v>Lắc</v>
      </c>
    </row>
    <row r="6678" ht="15.75" customHeight="1">
      <c r="A6678" s="122" t="str">
        <f>IFERROR(__xludf.DUMMYFUNCTION("""COMPUTED_VALUE"""),"0987 237 575")</f>
        <v>0987 237 575</v>
      </c>
      <c r="B6678" s="119" t="str">
        <f>IFERROR(__xludf.DUMMYFUNCTION("""COMPUTED_VALUE"""),"Chị Lan")</f>
        <v>Chị Lan</v>
      </c>
      <c r="C6678" s="119"/>
      <c r="D6678" s="119" t="str">
        <f>IFERROR(__xludf.DUMMYFUNCTION("""COMPUTED_VALUE"""),"Chó")</f>
        <v>Chó</v>
      </c>
      <c r="E6678" s="119" t="str">
        <f>IFERROR(__xludf.DUMMYFUNCTION("""COMPUTED_VALUE"""),"Tun")</f>
        <v>Tun</v>
      </c>
    </row>
    <row r="6679" ht="15.75" customHeight="1">
      <c r="A6679" s="122" t="str">
        <f>IFERROR(__xludf.DUMMYFUNCTION("""COMPUTED_VALUE"""),"0702 464 674")</f>
        <v>0702 464 674</v>
      </c>
      <c r="B6679" s="119" t="str">
        <f>IFERROR(__xludf.DUMMYFUNCTION("""COMPUTED_VALUE"""),"Chị Quỳnh")</f>
        <v>Chị Quỳnh</v>
      </c>
      <c r="C6679" s="119" t="str">
        <f>IFERROR(__xludf.DUMMYFUNCTION("""COMPUTED_VALUE"""),"11/130 Trần Phú")</f>
        <v>11/130 Trần Phú</v>
      </c>
      <c r="D6679" s="119" t="str">
        <f>IFERROR(__xludf.DUMMYFUNCTION("""COMPUTED_VALUE"""),"Chó")</f>
        <v>Chó</v>
      </c>
      <c r="E6679" s="119" t="str">
        <f>IFERROR(__xludf.DUMMYFUNCTION("""COMPUTED_VALUE"""),"Lu")</f>
        <v>Lu</v>
      </c>
    </row>
    <row r="6680" ht="15.75" customHeight="1">
      <c r="A6680" s="122" t="str">
        <f>IFERROR(__xludf.DUMMYFUNCTION("""COMPUTED_VALUE"""),"0379 489 709")</f>
        <v>0379 489 709</v>
      </c>
      <c r="B6680" s="119" t="str">
        <f>IFERROR(__xludf.DUMMYFUNCTION("""COMPUTED_VALUE"""),"Chị Thanh")</f>
        <v>Chị Thanh</v>
      </c>
      <c r="C6680" s="119" t="str">
        <f>IFERROR(__xludf.DUMMYFUNCTION("""COMPUTED_VALUE"""),"Lô D11 Hoàng Lanh")</f>
        <v>Lô D11 Hoàng Lanh</v>
      </c>
      <c r="D6680" s="119" t="str">
        <f>IFERROR(__xludf.DUMMYFUNCTION("""COMPUTED_VALUE"""),"Chó")</f>
        <v>Chó</v>
      </c>
      <c r="E6680" s="119" t="str">
        <f>IFERROR(__xludf.DUMMYFUNCTION("""COMPUTED_VALUE"""),"Xu")</f>
        <v>Xu</v>
      </c>
    </row>
    <row r="6681" ht="15.75" customHeight="1">
      <c r="A6681" s="122" t="str">
        <f>IFERROR(__xludf.DUMMYFUNCTION("""COMPUTED_VALUE"""),"0931 918 008")</f>
        <v>0931 918 008</v>
      </c>
      <c r="B6681" s="119" t="str">
        <f>IFERROR(__xludf.DUMMYFUNCTION("""COMPUTED_VALUE"""),"a thạnh")</f>
        <v>a thạnh</v>
      </c>
      <c r="C6681" s="119" t="str">
        <f>IFERROR(__xludf.DUMMYFUNCTION("""COMPUTED_VALUE"""),"29b/2/44 lê ngô cát")</f>
        <v>29b/2/44 lê ngô cát</v>
      </c>
      <c r="D6681" s="119" t="str">
        <f>IFERROR(__xludf.DUMMYFUNCTION("""COMPUTED_VALUE"""),"Chó")</f>
        <v>Chó</v>
      </c>
      <c r="E6681" s="119" t="str">
        <f>IFERROR(__xludf.DUMMYFUNCTION("""COMPUTED_VALUE"""),"mực")</f>
        <v>mực</v>
      </c>
    </row>
    <row r="6682" ht="15.75" customHeight="1">
      <c r="A6682" s="122" t="str">
        <f>IFERROR(__xludf.DUMMYFUNCTION("""COMPUTED_VALUE"""),"0916 986 544")</f>
        <v>0916 986 544</v>
      </c>
      <c r="B6682" s="119" t="str">
        <f>IFERROR(__xludf.DUMMYFUNCTION("""COMPUTED_VALUE"""),"Em Trinh")</f>
        <v>Em Trinh</v>
      </c>
      <c r="C6682" s="119" t="str">
        <f>IFERROR(__xludf.DUMMYFUNCTION("""COMPUTED_VALUE"""),"17/129  An Dương Vương")</f>
        <v>17/129  An Dương Vương</v>
      </c>
      <c r="D6682" s="119" t="str">
        <f>IFERROR(__xludf.DUMMYFUNCTION("""COMPUTED_VALUE"""),"Mèo")</f>
        <v>Mèo</v>
      </c>
      <c r="E6682" s="119" t="str">
        <f>IFERROR(__xludf.DUMMYFUNCTION("""COMPUTED_VALUE"""),"Kem")</f>
        <v>Kem</v>
      </c>
    </row>
    <row r="6683" ht="15.75" customHeight="1">
      <c r="A6683" s="122" t="str">
        <f>IFERROR(__xludf.DUMMYFUNCTION("""COMPUTED_VALUE"""),"0394 758 680")</f>
        <v>0394 758 680</v>
      </c>
      <c r="B6683" s="119" t="str">
        <f>IFERROR(__xludf.DUMMYFUNCTION("""COMPUTED_VALUE"""),"Thầy Hạnh Minh")</f>
        <v>Thầy Hạnh Minh</v>
      </c>
      <c r="C6683" s="119" t="str">
        <f>IFERROR(__xludf.DUMMYFUNCTION("""COMPUTED_VALUE"""),"2/56 Duy Tân, Chùa Giác Lâm")</f>
        <v>2/56 Duy Tân, Chùa Giác Lâm</v>
      </c>
      <c r="D6683" s="119" t="str">
        <f>IFERROR(__xludf.DUMMYFUNCTION("""COMPUTED_VALUE"""),"Chó")</f>
        <v>Chó</v>
      </c>
      <c r="E6683" s="119" t="str">
        <f>IFERROR(__xludf.DUMMYFUNCTION("""COMPUTED_VALUE"""),"Dollar")</f>
        <v>Dollar</v>
      </c>
    </row>
    <row r="6684" ht="15.75" customHeight="1">
      <c r="A6684" s="122" t="str">
        <f>IFERROR(__xludf.DUMMYFUNCTION("""COMPUTED_VALUE"""),"0935 065 124")</f>
        <v>0935 065 124</v>
      </c>
      <c r="B6684" s="119" t="str">
        <f>IFERROR(__xludf.DUMMYFUNCTION("""COMPUTED_VALUE"""),"Em Hoàng Anh")</f>
        <v>Em Hoàng Anh</v>
      </c>
      <c r="C6684" s="119" t="str">
        <f>IFERROR(__xludf.DUMMYFUNCTION("""COMPUTED_VALUE"""),"100 Ngự Bình")</f>
        <v>100 Ngự Bình</v>
      </c>
      <c r="D6684" s="119" t="str">
        <f>IFERROR(__xludf.DUMMYFUNCTION("""COMPUTED_VALUE"""),"Mèo")</f>
        <v>Mèo</v>
      </c>
      <c r="E6684" s="119" t="str">
        <f>IFERROR(__xludf.DUMMYFUNCTION("""COMPUTED_VALUE"""),"Sữa")</f>
        <v>Sữa</v>
      </c>
    </row>
    <row r="6685" ht="15.75" customHeight="1">
      <c r="A6685" s="122" t="str">
        <f>IFERROR(__xludf.DUMMYFUNCTION("""COMPUTED_VALUE"""),"0392 649 085")</f>
        <v>0392 649 085</v>
      </c>
      <c r="B6685" s="119" t="str">
        <f>IFERROR(__xludf.DUMMYFUNCTION("""COMPUTED_VALUE"""),"Dì Quý")</f>
        <v>Dì Quý</v>
      </c>
      <c r="C6685" s="119" t="str">
        <f>IFERROR(__xludf.DUMMYFUNCTION("""COMPUTED_VALUE"""),"1/37/131 Trần Phú")</f>
        <v>1/37/131 Trần Phú</v>
      </c>
      <c r="D6685" s="119" t="str">
        <f>IFERROR(__xludf.DUMMYFUNCTION("""COMPUTED_VALUE"""),"Chó")</f>
        <v>Chó</v>
      </c>
      <c r="E6685" s="119"/>
    </row>
    <row r="6686" ht="15.75" customHeight="1">
      <c r="A6686" s="122" t="str">
        <f>IFERROR(__xludf.DUMMYFUNCTION("""COMPUTED_VALUE"""),"0903 451 644")</f>
        <v>0903 451 644</v>
      </c>
      <c r="B6686" s="119" t="str">
        <f>IFERROR(__xludf.DUMMYFUNCTION("""COMPUTED_VALUE"""),"Chị Linh")</f>
        <v>Chị Linh</v>
      </c>
      <c r="C6686" s="119" t="str">
        <f>IFERROR(__xludf.DUMMYFUNCTION("""COMPUTED_VALUE"""),"67 Hàn Mặc Tử")</f>
        <v>67 Hàn Mặc Tử</v>
      </c>
      <c r="D6686" s="119" t="str">
        <f>IFERROR(__xludf.DUMMYFUNCTION("""COMPUTED_VALUE"""),"Chó")</f>
        <v>Chó</v>
      </c>
      <c r="E6686" s="119" t="str">
        <f>IFERROR(__xludf.DUMMYFUNCTION("""COMPUTED_VALUE"""),"Kitdy")</f>
        <v>Kitdy</v>
      </c>
    </row>
    <row r="6687" ht="15.75" customHeight="1">
      <c r="A6687" s="122" t="str">
        <f>IFERROR(__xludf.DUMMYFUNCTION("""COMPUTED_VALUE"""),"0766 110 766")</f>
        <v>0766 110 766</v>
      </c>
      <c r="B6687" s="119" t="str">
        <f>IFERROR(__xludf.DUMMYFUNCTION("""COMPUTED_VALUE"""),"Thư")</f>
        <v>Thư</v>
      </c>
      <c r="C6687" s="119" t="str">
        <f>IFERROR(__xludf.DUMMYFUNCTION("""COMPUTED_VALUE"""),"Ngõ 1 k16 Duy Tân")</f>
        <v>Ngõ 1 k16 Duy Tân</v>
      </c>
      <c r="D6687" s="119" t="str">
        <f>IFERROR(__xludf.DUMMYFUNCTION("""COMPUTED_VALUE"""),"Chó")</f>
        <v>Chó</v>
      </c>
      <c r="E6687" s="119" t="str">
        <f>IFERROR(__xludf.DUMMYFUNCTION("""COMPUTED_VALUE"""),"Ka")</f>
        <v>Ka</v>
      </c>
    </row>
    <row r="6688" ht="15.75" customHeight="1">
      <c r="A6688" s="122" t="str">
        <f>IFERROR(__xludf.DUMMYFUNCTION("""COMPUTED_VALUE"""),"0343 839 969")</f>
        <v>0343 839 969</v>
      </c>
      <c r="B6688" s="119" t="str">
        <f>IFERROR(__xludf.DUMMYFUNCTION("""COMPUTED_VALUE"""),"Phương Hy")</f>
        <v>Phương Hy</v>
      </c>
      <c r="C6688" s="119" t="str">
        <f>IFERROR(__xludf.DUMMYFUNCTION("""COMPUTED_VALUE"""),"8/87 Nguyễn Huệ")</f>
        <v>8/87 Nguyễn Huệ</v>
      </c>
      <c r="D6688" s="119" t="str">
        <f>IFERROR(__xludf.DUMMYFUNCTION("""COMPUTED_VALUE"""),"Mèo")</f>
        <v>Mèo</v>
      </c>
      <c r="E6688" s="119" t="str">
        <f>IFERROR(__xludf.DUMMYFUNCTION("""COMPUTED_VALUE"""),"Đường")</f>
        <v>Đường</v>
      </c>
    </row>
    <row r="6689" ht="15.75" customHeight="1">
      <c r="A6689" s="122" t="str">
        <f>IFERROR(__xludf.DUMMYFUNCTION("""COMPUTED_VALUE"""),"0986 160 725")</f>
        <v>0986 160 725</v>
      </c>
      <c r="B6689" s="119" t="str">
        <f>IFERROR(__xludf.DUMMYFUNCTION("""COMPUTED_VALUE"""),"chị Liên")</f>
        <v>chị Liên</v>
      </c>
      <c r="C6689" s="119" t="str">
        <f>IFERROR(__xludf.DUMMYFUNCTION("""COMPUTED_VALUE"""),"2/66 Xuân Diệu")</f>
        <v>2/66 Xuân Diệu</v>
      </c>
      <c r="D6689" s="119" t="str">
        <f>IFERROR(__xludf.DUMMYFUNCTION("""COMPUTED_VALUE"""),"Chó")</f>
        <v>Chó</v>
      </c>
      <c r="E6689" s="119" t="str">
        <f>IFERROR(__xludf.DUMMYFUNCTION("""COMPUTED_VALUE"""),"Mập")</f>
        <v>Mập</v>
      </c>
    </row>
    <row r="6690" ht="15.75" customHeight="1">
      <c r="A6690" s="122" t="str">
        <f>IFERROR(__xludf.DUMMYFUNCTION("""COMPUTED_VALUE"""),"0864 090 299")</f>
        <v>0864 090 299</v>
      </c>
      <c r="B6690" s="119" t="str">
        <f>IFERROR(__xludf.DUMMYFUNCTION("""COMPUTED_VALUE"""),"Tiểu Ngọc")</f>
        <v>Tiểu Ngọc</v>
      </c>
      <c r="C6690" s="119" t="str">
        <f>IFERROR(__xludf.DUMMYFUNCTION("""COMPUTED_VALUE"""),"6/68 Đặng Huy Trứ")</f>
        <v>6/68 Đặng Huy Trứ</v>
      </c>
      <c r="D6690" s="119" t="str">
        <f>IFERROR(__xludf.DUMMYFUNCTION("""COMPUTED_VALUE"""),"Mèo")</f>
        <v>Mèo</v>
      </c>
      <c r="E6690" s="119" t="str">
        <f>IFERROR(__xludf.DUMMYFUNCTION("""COMPUTED_VALUE"""),"Sâu")</f>
        <v>Sâu</v>
      </c>
    </row>
    <row r="6691" ht="15.75" customHeight="1">
      <c r="A6691" s="122" t="str">
        <f>IFERROR(__xludf.DUMMYFUNCTION("""COMPUTED_VALUE"""),"0335 417 443")</f>
        <v>0335 417 443</v>
      </c>
      <c r="B6691" s="119" t="str">
        <f>IFERROR(__xludf.DUMMYFUNCTION("""COMPUTED_VALUE"""),"Nguyễn Phước THái Dương")</f>
        <v>Nguyễn Phước THái Dương</v>
      </c>
      <c r="C6691" s="119" t="str">
        <f>IFERROR(__xludf.DUMMYFUNCTION("""COMPUTED_VALUE"""),"Nguyễn khoa CHiêm")</f>
        <v>Nguyễn khoa CHiêm</v>
      </c>
      <c r="D6691" s="119" t="str">
        <f>IFERROR(__xludf.DUMMYFUNCTION("""COMPUTED_VALUE"""),"Chó")</f>
        <v>Chó</v>
      </c>
      <c r="E6691" s="119" t="str">
        <f>IFERROR(__xludf.DUMMYFUNCTION("""COMPUTED_VALUE"""),"Ka")</f>
        <v>Ka</v>
      </c>
    </row>
    <row r="6692" ht="15.75" customHeight="1">
      <c r="A6692" s="122" t="str">
        <f>IFERROR(__xludf.DUMMYFUNCTION("""COMPUTED_VALUE"""),"0335 304 132")</f>
        <v>0335 304 132</v>
      </c>
      <c r="B6692" s="119" t="str">
        <f>IFERROR(__xludf.DUMMYFUNCTION("""COMPUTED_VALUE"""),"Chị Thi")</f>
        <v>Chị Thi</v>
      </c>
      <c r="C6692" s="119" t="str">
        <f>IFERROR(__xludf.DUMMYFUNCTION("""COMPUTED_VALUE"""),"6 Trần Thúc Nhẫn")</f>
        <v>6 Trần Thúc Nhẫn</v>
      </c>
      <c r="D6692" s="119" t="str">
        <f>IFERROR(__xludf.DUMMYFUNCTION("""COMPUTED_VALUE"""),"Chó")</f>
        <v>Chó</v>
      </c>
      <c r="E6692" s="119" t="str">
        <f>IFERROR(__xludf.DUMMYFUNCTION("""COMPUTED_VALUE"""),"Kai")</f>
        <v>Kai</v>
      </c>
    </row>
    <row r="6693" ht="15.75" customHeight="1">
      <c r="A6693" s="122" t="str">
        <f>IFERROR(__xludf.DUMMYFUNCTION("""COMPUTED_VALUE"""),"0859 221 246")</f>
        <v>0859 221 246</v>
      </c>
      <c r="B6693" s="119" t="str">
        <f>IFERROR(__xludf.DUMMYFUNCTION("""COMPUTED_VALUE"""),"Hồng Vân")</f>
        <v>Hồng Vân</v>
      </c>
      <c r="C6693" s="119" t="str">
        <f>IFERROR(__xludf.DUMMYFUNCTION("""COMPUTED_VALUE"""),"12/2 k257 Bùi Thị Xuân")</f>
        <v>12/2 k257 Bùi Thị Xuân</v>
      </c>
      <c r="D6693" s="119" t="str">
        <f>IFERROR(__xludf.DUMMYFUNCTION("""COMPUTED_VALUE"""),"Mèo")</f>
        <v>Mèo</v>
      </c>
      <c r="E6693" s="119" t="str">
        <f>IFERROR(__xludf.DUMMYFUNCTION("""COMPUTED_VALUE"""),"Heo")</f>
        <v>Heo</v>
      </c>
    </row>
    <row r="6694" ht="15.75" customHeight="1">
      <c r="A6694" s="122" t="str">
        <f>IFERROR(__xludf.DUMMYFUNCTION("""COMPUTED_VALUE"""),"0708 031 835")</f>
        <v>0708 031 835</v>
      </c>
      <c r="B6694" s="119" t="str">
        <f>IFERROR(__xludf.DUMMYFUNCTION("""COMPUTED_VALUE"""),"Em Toàn")</f>
        <v>Em Toàn</v>
      </c>
      <c r="C6694" s="119" t="str">
        <f>IFERROR(__xludf.DUMMYFUNCTION("""COMPUTED_VALUE"""),"9/37 Hùng Vương")</f>
        <v>9/37 Hùng Vương</v>
      </c>
      <c r="D6694" s="119" t="str">
        <f>IFERROR(__xludf.DUMMYFUNCTION("""COMPUTED_VALUE"""),"Mèo")</f>
        <v>Mèo</v>
      </c>
      <c r="E6694" s="119" t="str">
        <f>IFERROR(__xludf.DUMMYFUNCTION("""COMPUTED_VALUE"""),"Muối")</f>
        <v>Muối</v>
      </c>
    </row>
    <row r="6695" ht="15.75" customHeight="1">
      <c r="A6695" s="122" t="str">
        <f>IFERROR(__xludf.DUMMYFUNCTION("""COMPUTED_VALUE"""),"0386 530 467")</f>
        <v>0386 530 467</v>
      </c>
      <c r="B6695" s="119" t="str">
        <f>IFERROR(__xludf.DUMMYFUNCTION("""COMPUTED_VALUE"""),"Dì Mạnh")</f>
        <v>Dì Mạnh</v>
      </c>
      <c r="C6695" s="119" t="str">
        <f>IFERROR(__xludf.DUMMYFUNCTION("""COMPUTED_VALUE"""),"52 Hồ Đắc Di")</f>
        <v>52 Hồ Đắc Di</v>
      </c>
      <c r="D6695" s="119" t="str">
        <f>IFERROR(__xludf.DUMMYFUNCTION("""COMPUTED_VALUE"""),"Chó")</f>
        <v>Chó</v>
      </c>
      <c r="E6695" s="119" t="str">
        <f>IFERROR(__xludf.DUMMYFUNCTION("""COMPUTED_VALUE"""),"Ổi")</f>
        <v>Ổi</v>
      </c>
    </row>
    <row r="6696" ht="15.75" customHeight="1">
      <c r="A6696" s="122" t="str">
        <f>IFERROR(__xludf.DUMMYFUNCTION("""COMPUTED_VALUE"""),"0325 678 975")</f>
        <v>0325 678 975</v>
      </c>
      <c r="B6696" s="119" t="str">
        <f>IFERROR(__xludf.DUMMYFUNCTION("""COMPUTED_VALUE"""),"Chị Mỹ")</f>
        <v>Chị Mỹ</v>
      </c>
      <c r="C6696" s="119" t="str">
        <f>IFERROR(__xludf.DUMMYFUNCTION("""COMPUTED_VALUE"""),"2/5 Đội Cung")</f>
        <v>2/5 Đội Cung</v>
      </c>
      <c r="D6696" s="119" t="str">
        <f>IFERROR(__xludf.DUMMYFUNCTION("""COMPUTED_VALUE"""),"Chó")</f>
        <v>Chó</v>
      </c>
      <c r="E6696" s="119" t="str">
        <f>IFERROR(__xludf.DUMMYFUNCTION("""COMPUTED_VALUE"""),"Kẹo")</f>
        <v>Kẹo</v>
      </c>
    </row>
    <row r="6697" ht="15.75" customHeight="1">
      <c r="A6697" s="122" t="str">
        <f>IFERROR(__xludf.DUMMYFUNCTION("""COMPUTED_VALUE"""),"0823 807 919")</f>
        <v>0823 807 919</v>
      </c>
      <c r="B6697" s="119" t="str">
        <f>IFERROR(__xludf.DUMMYFUNCTION("""COMPUTED_VALUE"""),"Anh Đạt")</f>
        <v>Anh Đạt</v>
      </c>
      <c r="C6697" s="119" t="str">
        <f>IFERROR(__xludf.DUMMYFUNCTION("""COMPUTED_VALUE"""),"56 Ngự Bình")</f>
        <v>56 Ngự Bình</v>
      </c>
      <c r="D6697" s="119" t="str">
        <f>IFERROR(__xludf.DUMMYFUNCTION("""COMPUTED_VALUE"""),"Mèo")</f>
        <v>Mèo</v>
      </c>
      <c r="E6697" s="119" t="str">
        <f>IFERROR(__xludf.DUMMYFUNCTION("""COMPUTED_VALUE"""),"Miu")</f>
        <v>Miu</v>
      </c>
    </row>
    <row r="6698" ht="15.75" customHeight="1">
      <c r="A6698" s="122" t="str">
        <f>IFERROR(__xludf.DUMMYFUNCTION("""COMPUTED_VALUE"""),"0906 597 823")</f>
        <v>0906 597 823</v>
      </c>
      <c r="B6698" s="119" t="str">
        <f>IFERROR(__xludf.DUMMYFUNCTION("""COMPUTED_VALUE"""),"phương thanh")</f>
        <v>phương thanh</v>
      </c>
      <c r="C6698" s="119" t="str">
        <f>IFERROR(__xludf.DUMMYFUNCTION("""COMPUTED_VALUE"""),"thủy bằng")</f>
        <v>thủy bằng</v>
      </c>
      <c r="D6698" s="119" t="str">
        <f>IFERROR(__xludf.DUMMYFUNCTION("""COMPUTED_VALUE"""),"Chó")</f>
        <v>Chó</v>
      </c>
      <c r="E6698" s="119" t="str">
        <f>IFERROR(__xludf.DUMMYFUNCTION("""COMPUTED_VALUE"""),"audi")</f>
        <v>audi</v>
      </c>
    </row>
    <row r="6699" ht="15.75" customHeight="1">
      <c r="A6699" s="122" t="str">
        <f>IFERROR(__xludf.DUMMYFUNCTION("""COMPUTED_VALUE"""),"0934 738 870")</f>
        <v>0934 738 870</v>
      </c>
      <c r="B6699" s="119" t="str">
        <f>IFERROR(__xludf.DUMMYFUNCTION("""COMPUTED_VALUE"""),"Chị Thanh Nhàn")</f>
        <v>Chị Thanh Nhàn</v>
      </c>
      <c r="C6699" s="119" t="str">
        <f>IFERROR(__xludf.DUMMYFUNCTION("""COMPUTED_VALUE"""),"Phong Điền")</f>
        <v>Phong Điền</v>
      </c>
      <c r="D6699" s="119" t="str">
        <f>IFERROR(__xludf.DUMMYFUNCTION("""COMPUTED_VALUE"""),"Mèo")</f>
        <v>Mèo</v>
      </c>
      <c r="E6699" s="119" t="str">
        <f>IFERROR(__xludf.DUMMYFUNCTION("""COMPUTED_VALUE"""),"Miumiu")</f>
        <v>Miumiu</v>
      </c>
    </row>
    <row r="6700" ht="15.75" customHeight="1">
      <c r="A6700" s="122" t="str">
        <f>IFERROR(__xludf.DUMMYFUNCTION("""COMPUTED_VALUE"""),"0335 913 581")</f>
        <v>0335 913 581</v>
      </c>
      <c r="B6700" s="119" t="str">
        <f>IFERROR(__xludf.DUMMYFUNCTION("""COMPUTED_VALUE"""),"a phi")</f>
        <v>a phi</v>
      </c>
      <c r="C6700" s="119" t="str">
        <f>IFERROR(__xludf.DUMMYFUNCTION("""COMPUTED_VALUE"""),"hương trà")</f>
        <v>hương trà</v>
      </c>
      <c r="D6700" s="119" t="str">
        <f>IFERROR(__xludf.DUMMYFUNCTION("""COMPUTED_VALUE"""),"Chó")</f>
        <v>Chó</v>
      </c>
      <c r="E6700" s="119" t="str">
        <f>IFERROR(__xludf.DUMMYFUNCTION("""COMPUTED_VALUE"""),"mon")</f>
        <v>mon</v>
      </c>
    </row>
    <row r="6701" ht="15.75" customHeight="1">
      <c r="A6701" s="122" t="str">
        <f>IFERROR(__xludf.DUMMYFUNCTION("""COMPUTED_VALUE"""),"0777 117 497")</f>
        <v>0777 117 497</v>
      </c>
      <c r="B6701" s="119" t="str">
        <f>IFERROR(__xludf.DUMMYFUNCTION("""COMPUTED_VALUE"""),"a đức")</f>
        <v>a đức</v>
      </c>
      <c r="C6701" s="119" t="str">
        <f>IFERROR(__xludf.DUMMYFUNCTION("""COMPUTED_VALUE"""),"1 chế lan viên")</f>
        <v>1 chế lan viên</v>
      </c>
      <c r="D6701" s="119" t="str">
        <f>IFERROR(__xludf.DUMMYFUNCTION("""COMPUTED_VALUE"""),"Mèo")</f>
        <v>Mèo</v>
      </c>
      <c r="E6701" s="119" t="str">
        <f>IFERROR(__xludf.DUMMYFUNCTION("""COMPUTED_VALUE"""),"táo")</f>
        <v>táo</v>
      </c>
    </row>
    <row r="6702" ht="15.75" customHeight="1">
      <c r="A6702" s="122" t="str">
        <f>IFERROR(__xludf.DUMMYFUNCTION("""COMPUTED_VALUE"""),"0934 136 642")</f>
        <v>0934 136 642</v>
      </c>
      <c r="B6702" s="119" t="str">
        <f>IFERROR(__xludf.DUMMYFUNCTION("""COMPUTED_VALUE"""),"chị my")</f>
        <v>chị my</v>
      </c>
      <c r="C6702" s="119" t="str">
        <f>IFERROR(__xludf.DUMMYFUNCTION("""COMPUTED_VALUE"""),"2 nguyễn khuyến")</f>
        <v>2 nguyễn khuyến</v>
      </c>
      <c r="D6702" s="119" t="str">
        <f>IFERROR(__xludf.DUMMYFUNCTION("""COMPUTED_VALUE"""),"chó")</f>
        <v>chó</v>
      </c>
      <c r="E6702" s="119" t="str">
        <f>IFERROR(__xludf.DUMMYFUNCTION("""COMPUTED_VALUE"""),"vàng")</f>
        <v>vàng</v>
      </c>
    </row>
    <row r="6703" ht="15.75" customHeight="1">
      <c r="A6703" s="122" t="str">
        <f>IFERROR(__xludf.DUMMYFUNCTION("""COMPUTED_VALUE"""),"0932 528 598")</f>
        <v>0932 528 598</v>
      </c>
      <c r="B6703" s="119" t="str">
        <f>IFERROR(__xludf.DUMMYFUNCTION("""COMPUTED_VALUE"""),"chị hạ")</f>
        <v>chị hạ</v>
      </c>
      <c r="C6703" s="119" t="str">
        <f>IFERROR(__xludf.DUMMYFUNCTION("""COMPUTED_VALUE"""),"thủy bằng")</f>
        <v>thủy bằng</v>
      </c>
      <c r="D6703" s="119" t="str">
        <f>IFERROR(__xludf.DUMMYFUNCTION("""COMPUTED_VALUE"""),"Mèo")</f>
        <v>Mèo</v>
      </c>
      <c r="E6703" s="119" t="str">
        <f>IFERROR(__xludf.DUMMYFUNCTION("""COMPUTED_VALUE"""),"mật")</f>
        <v>mật</v>
      </c>
    </row>
    <row r="6704" ht="15.75" customHeight="1">
      <c r="A6704" s="122" t="str">
        <f>IFERROR(__xludf.DUMMYFUNCTION("""COMPUTED_VALUE"""),"0905 488 685")</f>
        <v>0905 488 685</v>
      </c>
      <c r="B6704" s="119" t="str">
        <f>IFERROR(__xludf.DUMMYFUNCTION("""COMPUTED_VALUE"""),"ANh Lâm")</f>
        <v>ANh Lâm</v>
      </c>
      <c r="C6704" s="119" t="str">
        <f>IFERROR(__xludf.DUMMYFUNCTION("""COMPUTED_VALUE"""),"k131 Trần Phú")</f>
        <v>k131 Trần Phú</v>
      </c>
      <c r="D6704" s="119" t="str">
        <f>IFERROR(__xludf.DUMMYFUNCTION("""COMPUTED_VALUE"""),"Chó")</f>
        <v>Chó</v>
      </c>
      <c r="E6704" s="119" t="str">
        <f>IFERROR(__xludf.DUMMYFUNCTION("""COMPUTED_VALUE"""),"Bo")</f>
        <v>Bo</v>
      </c>
    </row>
    <row r="6705" ht="15.75" customHeight="1">
      <c r="A6705" s="122" t="str">
        <f>IFERROR(__xludf.DUMMYFUNCTION("""COMPUTED_VALUE"""),"0793 219 392")</f>
        <v>0793 219 392</v>
      </c>
      <c r="B6705" s="119" t="str">
        <f>IFERROR(__xludf.DUMMYFUNCTION("""COMPUTED_VALUE"""),"Anh Long")</f>
        <v>Anh Long</v>
      </c>
      <c r="C6705" s="119" t="str">
        <f>IFERROR(__xludf.DUMMYFUNCTION("""COMPUTED_VALUE"""),"2/111 Trần Thái Tông")</f>
        <v>2/111 Trần Thái Tông</v>
      </c>
      <c r="D6705" s="119" t="str">
        <f>IFERROR(__xludf.DUMMYFUNCTION("""COMPUTED_VALUE"""),"Chó")</f>
        <v>Chó</v>
      </c>
      <c r="E6705" s="119" t="str">
        <f>IFERROR(__xludf.DUMMYFUNCTION("""COMPUTED_VALUE"""),"Lucky")</f>
        <v>Lucky</v>
      </c>
    </row>
    <row r="6706" ht="15.75" customHeight="1">
      <c r="A6706" s="122" t="str">
        <f>IFERROR(__xludf.DUMMYFUNCTION("""COMPUTED_VALUE"""),"0914 490 590")</f>
        <v>0914 490 590</v>
      </c>
      <c r="B6706" s="119" t="str">
        <f>IFERROR(__xludf.DUMMYFUNCTION("""COMPUTED_VALUE"""),"Nguyễn Hoàng Anh")</f>
        <v>Nguyễn Hoàng Anh</v>
      </c>
      <c r="C6706" s="119" t="str">
        <f>IFERROR(__xludf.DUMMYFUNCTION("""COMPUTED_VALUE"""),"28/82 Quảng Tế")</f>
        <v>28/82 Quảng Tế</v>
      </c>
      <c r="D6706" s="119" t="str">
        <f>IFERROR(__xludf.DUMMYFUNCTION("""COMPUTED_VALUE"""),"Chó")</f>
        <v>Chó</v>
      </c>
      <c r="E6706" s="119" t="str">
        <f>IFERROR(__xludf.DUMMYFUNCTION("""COMPUTED_VALUE"""),"Khoai")</f>
        <v>Khoai</v>
      </c>
    </row>
    <row r="6707" ht="15.75" customHeight="1">
      <c r="A6707" s="122" t="str">
        <f>IFERROR(__xludf.DUMMYFUNCTION("""COMPUTED_VALUE"""),"0935 414 540")</f>
        <v>0935 414 540</v>
      </c>
      <c r="B6707" s="119" t="str">
        <f>IFERROR(__xludf.DUMMYFUNCTION("""COMPUTED_VALUE"""),"Chị Quỳnh Giao")</f>
        <v>Chị Quỳnh Giao</v>
      </c>
      <c r="C6707" s="119" t="str">
        <f>IFERROR(__xludf.DUMMYFUNCTION("""COMPUTED_VALUE"""),"7/65/93 Đặng Huy Trứ")</f>
        <v>7/65/93 Đặng Huy Trứ</v>
      </c>
      <c r="D6707" s="119" t="str">
        <f>IFERROR(__xludf.DUMMYFUNCTION("""COMPUTED_VALUE"""),"Chó")</f>
        <v>Chó</v>
      </c>
      <c r="E6707" s="119" t="str">
        <f>IFERROR(__xludf.DUMMYFUNCTION("""COMPUTED_VALUE"""),"Milo")</f>
        <v>Milo</v>
      </c>
    </row>
    <row r="6708" ht="15.75" customHeight="1">
      <c r="A6708" s="122" t="str">
        <f>IFERROR(__xludf.DUMMYFUNCTION("""COMPUTED_VALUE"""),"0965 560 028")</f>
        <v>0965 560 028</v>
      </c>
      <c r="B6708" s="119" t="str">
        <f>IFERROR(__xludf.DUMMYFUNCTION("""COMPUTED_VALUE"""),"a nghĩa")</f>
        <v>a nghĩa</v>
      </c>
      <c r="C6708" s="119" t="str">
        <f>IFERROR(__xludf.DUMMYFUNCTION("""COMPUTED_VALUE"""),"chùa đức sơn")</f>
        <v>chùa đức sơn</v>
      </c>
      <c r="D6708" s="119" t="str">
        <f>IFERROR(__xludf.DUMMYFUNCTION("""COMPUTED_VALUE"""),"Chó")</f>
        <v>Chó</v>
      </c>
      <c r="E6708" s="119" t="str">
        <f>IFERROR(__xludf.DUMMYFUNCTION("""COMPUTED_VALUE"""),"heo")</f>
        <v>heo</v>
      </c>
    </row>
    <row r="6709" ht="15.75" customHeight="1">
      <c r="A6709" s="122" t="str">
        <f>IFERROR(__xludf.DUMMYFUNCTION("""COMPUTED_VALUE"""),"0899 239 089")</f>
        <v>0899 239 089</v>
      </c>
      <c r="B6709" s="119" t="str">
        <f>IFERROR(__xludf.DUMMYFUNCTION("""COMPUTED_VALUE"""),"dì thảo")</f>
        <v>dì thảo</v>
      </c>
      <c r="C6709" s="119" t="str">
        <f>IFERROR(__xludf.DUMMYFUNCTION("""COMPUTED_VALUE"""),"k65 đặng huy trứ")</f>
        <v>k65 đặng huy trứ</v>
      </c>
      <c r="D6709" s="119" t="str">
        <f>IFERROR(__xludf.DUMMYFUNCTION("""COMPUTED_VALUE"""),"Chó")</f>
        <v>Chó</v>
      </c>
      <c r="E6709" s="119" t="str">
        <f>IFERROR(__xludf.DUMMYFUNCTION("""COMPUTED_VALUE"""),"milu")</f>
        <v>milu</v>
      </c>
    </row>
    <row r="6710" ht="15.75" customHeight="1">
      <c r="A6710" s="122" t="str">
        <f>IFERROR(__xludf.DUMMYFUNCTION("""COMPUTED_VALUE"""),"0704 074 503")</f>
        <v>0704 074 503</v>
      </c>
      <c r="B6710" s="119" t="str">
        <f>IFERROR(__xludf.DUMMYFUNCTION("""COMPUTED_VALUE"""),"cô oanh")</f>
        <v>cô oanh</v>
      </c>
      <c r="C6710" s="119" t="str">
        <f>IFERROR(__xludf.DUMMYFUNCTION("""COMPUTED_VALUE"""),"10/16 hai bà trưng")</f>
        <v>10/16 hai bà trưng</v>
      </c>
      <c r="D6710" s="119" t="str">
        <f>IFERROR(__xludf.DUMMYFUNCTION("""COMPUTED_VALUE"""),"Chó")</f>
        <v>Chó</v>
      </c>
      <c r="E6710" s="119" t="str">
        <f>IFERROR(__xludf.DUMMYFUNCTION("""COMPUTED_VALUE"""),"bắp")</f>
        <v>bắp</v>
      </c>
    </row>
    <row r="6711" ht="15.75" customHeight="1">
      <c r="A6711" s="122" t="str">
        <f>IFERROR(__xludf.DUMMYFUNCTION("""COMPUTED_VALUE"""),"0984 939 138")</f>
        <v>0984 939 138</v>
      </c>
      <c r="B6711" s="119" t="str">
        <f>IFERROR(__xludf.DUMMYFUNCTION("""COMPUTED_VALUE"""),"sv thảo my")</f>
        <v>sv thảo my</v>
      </c>
      <c r="C6711" s="119" t="str">
        <f>IFERROR(__xludf.DUMMYFUNCTION("""COMPUTED_VALUE"""),"ktx tây lộc")</f>
        <v>ktx tây lộc</v>
      </c>
      <c r="D6711" s="119" t="str">
        <f>IFERROR(__xludf.DUMMYFUNCTION("""COMPUTED_VALUE"""),"Mèo")</f>
        <v>Mèo</v>
      </c>
      <c r="E6711" s="119" t="str">
        <f>IFERROR(__xludf.DUMMYFUNCTION("""COMPUTED_VALUE"""),"ruốc")</f>
        <v>ruốc</v>
      </c>
    </row>
    <row r="6712" ht="15.75" customHeight="1">
      <c r="A6712" s="122" t="str">
        <f>IFERROR(__xludf.DUMMYFUNCTION("""COMPUTED_VALUE"""),"0905 250 314")</f>
        <v>0905 250 314</v>
      </c>
      <c r="B6712" s="119" t="str">
        <f>IFERROR(__xludf.DUMMYFUNCTION("""COMPUTED_VALUE"""),"a tùng")</f>
        <v>a tùng</v>
      </c>
      <c r="C6712" s="119" t="str">
        <f>IFERROR(__xludf.DUMMYFUNCTION("""COMPUTED_VALUE"""),"11/1 thân trọng phước")</f>
        <v>11/1 thân trọng phước</v>
      </c>
      <c r="D6712" s="119" t="str">
        <f>IFERROR(__xludf.DUMMYFUNCTION("""COMPUTED_VALUE"""),"Chó")</f>
        <v>Chó</v>
      </c>
      <c r="E6712" s="119" t="str">
        <f>IFERROR(__xludf.DUMMYFUNCTION("""COMPUTED_VALUE"""),"vàng")</f>
        <v>vàng</v>
      </c>
    </row>
    <row r="6713" ht="15.75" customHeight="1">
      <c r="A6713" s="122" t="str">
        <f>IFERROR(__xludf.DUMMYFUNCTION("""COMPUTED_VALUE"""),"0343 319 369")</f>
        <v>0343 319 369</v>
      </c>
      <c r="B6713" s="119" t="str">
        <f>IFERROR(__xludf.DUMMYFUNCTION("""COMPUTED_VALUE"""),"a hùng")</f>
        <v>a hùng</v>
      </c>
      <c r="C6713" s="119" t="str">
        <f>IFERROR(__xludf.DUMMYFUNCTION("""COMPUTED_VALUE"""),"7/63 điện biên phủ")</f>
        <v>7/63 điện biên phủ</v>
      </c>
      <c r="D6713" s="119" t="str">
        <f>IFERROR(__xludf.DUMMYFUNCTION("""COMPUTED_VALUE"""),"Mèo")</f>
        <v>Mèo</v>
      </c>
      <c r="E6713" s="119" t="str">
        <f>IFERROR(__xludf.DUMMYFUNCTION("""COMPUTED_VALUE"""),"ngáo")</f>
        <v>ngáo</v>
      </c>
    </row>
    <row r="6714" ht="15.75" customHeight="1">
      <c r="A6714" s="122" t="str">
        <f>IFERROR(__xludf.DUMMYFUNCTION("""COMPUTED_VALUE"""),"0917 274 846")</f>
        <v>0917 274 846</v>
      </c>
      <c r="B6714" s="119" t="str">
        <f>IFERROR(__xludf.DUMMYFUNCTION("""COMPUTED_VALUE"""),"Chị Xíu")</f>
        <v>Chị Xíu</v>
      </c>
      <c r="C6714" s="119" t="str">
        <f>IFERROR(__xludf.DUMMYFUNCTION("""COMPUTED_VALUE"""),"10/39 Trần Phú")</f>
        <v>10/39 Trần Phú</v>
      </c>
      <c r="D6714" s="119" t="str">
        <f>IFERROR(__xludf.DUMMYFUNCTION("""COMPUTED_VALUE"""),"Chó")</f>
        <v>Chó</v>
      </c>
      <c r="E6714" s="119" t="str">
        <f>IFERROR(__xludf.DUMMYFUNCTION("""COMPUTED_VALUE"""),"Sữa")</f>
        <v>Sữa</v>
      </c>
    </row>
    <row r="6715" ht="15.75" customHeight="1">
      <c r="A6715" s="122" t="str">
        <f>IFERROR(__xludf.DUMMYFUNCTION("""COMPUTED_VALUE"""),"0353 918 307")</f>
        <v>0353 918 307</v>
      </c>
      <c r="B6715" s="119" t="str">
        <f>IFERROR(__xludf.DUMMYFUNCTION("""COMPUTED_VALUE"""),"Anh Nguyên")</f>
        <v>Anh Nguyên</v>
      </c>
      <c r="C6715" s="119" t="str">
        <f>IFERROR(__xludf.DUMMYFUNCTION("""COMPUTED_VALUE"""),"196 Kinh Dương Vương")</f>
        <v>196 Kinh Dương Vương</v>
      </c>
      <c r="D6715" s="119" t="str">
        <f>IFERROR(__xludf.DUMMYFUNCTION("""COMPUTED_VALUE"""),"Chó")</f>
        <v>Chó</v>
      </c>
      <c r="E6715" s="119" t="str">
        <f>IFERROR(__xludf.DUMMYFUNCTION("""COMPUTED_VALUE"""),"Tím")</f>
        <v>Tím</v>
      </c>
    </row>
    <row r="6716" ht="15.75" customHeight="1">
      <c r="A6716" s="122" t="str">
        <f>IFERROR(__xludf.DUMMYFUNCTION("""COMPUTED_VALUE"""),"0772 044 481")</f>
        <v>0772 044 481</v>
      </c>
      <c r="B6716" s="119" t="str">
        <f>IFERROR(__xludf.DUMMYFUNCTION("""COMPUTED_VALUE"""),"Anh Hưng")</f>
        <v>Anh Hưng</v>
      </c>
      <c r="C6716" s="119" t="str">
        <f>IFERROR(__xludf.DUMMYFUNCTION("""COMPUTED_VALUE"""),"147 Phan Đình Phùng")</f>
        <v>147 Phan Đình Phùng</v>
      </c>
      <c r="D6716" s="119" t="str">
        <f>IFERROR(__xludf.DUMMYFUNCTION("""COMPUTED_VALUE"""),"Chó")</f>
        <v>Chó</v>
      </c>
      <c r="E6716" s="119" t="str">
        <f>IFERROR(__xludf.DUMMYFUNCTION("""COMPUTED_VALUE"""),"Bery")</f>
        <v>Bery</v>
      </c>
    </row>
    <row r="6717" ht="15.75" customHeight="1">
      <c r="A6717" s="122" t="str">
        <f>IFERROR(__xludf.DUMMYFUNCTION("""COMPUTED_VALUE"""),"0935 757 414")</f>
        <v>0935 757 414</v>
      </c>
      <c r="B6717" s="119" t="str">
        <f>IFERROR(__xludf.DUMMYFUNCTION("""COMPUTED_VALUE"""),"Dì Mai")</f>
        <v>Dì Mai</v>
      </c>
      <c r="C6717" s="119" t="str">
        <f>IFERROR(__xludf.DUMMYFUNCTION("""COMPUTED_VALUE"""),"124 Nguyễn Hữu Cảnh")</f>
        <v>124 Nguyễn Hữu Cảnh</v>
      </c>
      <c r="D6717" s="119" t="str">
        <f>IFERROR(__xludf.DUMMYFUNCTION("""COMPUTED_VALUE"""),"Mèo")</f>
        <v>Mèo</v>
      </c>
      <c r="E6717" s="119" t="str">
        <f>IFERROR(__xludf.DUMMYFUNCTION("""COMPUTED_VALUE"""),"Nếp")</f>
        <v>Nếp</v>
      </c>
    </row>
    <row r="6718" ht="15.75" customHeight="1">
      <c r="A6718" s="122" t="str">
        <f>IFERROR(__xludf.DUMMYFUNCTION("""COMPUTED_VALUE"""),"0898 881 515")</f>
        <v>0898 881 515</v>
      </c>
      <c r="B6718" s="119" t="str">
        <f>IFERROR(__xludf.DUMMYFUNCTION("""COMPUTED_VALUE"""),"Chị My")</f>
        <v>Chị My</v>
      </c>
      <c r="C6718" s="119" t="str">
        <f>IFERROR(__xludf.DUMMYFUNCTION("""COMPUTED_VALUE"""),"Phú Thượng")</f>
        <v>Phú Thượng</v>
      </c>
      <c r="D6718" s="119" t="str">
        <f>IFERROR(__xludf.DUMMYFUNCTION("""COMPUTED_VALUE"""),"Chó")</f>
        <v>Chó</v>
      </c>
      <c r="E6718" s="119" t="str">
        <f>IFERROR(__xludf.DUMMYFUNCTION("""COMPUTED_VALUE"""),"Vàng")</f>
        <v>Vàng</v>
      </c>
    </row>
    <row r="6719" ht="15.75" customHeight="1">
      <c r="A6719" s="122" t="str">
        <f>IFERROR(__xludf.DUMMYFUNCTION("""COMPUTED_VALUE"""),"0852 050 585")</f>
        <v>0852 050 585</v>
      </c>
      <c r="B6719" s="119" t="str">
        <f>IFERROR(__xludf.DUMMYFUNCTION("""COMPUTED_VALUE"""),"ANh Thức")</f>
        <v>ANh Thức</v>
      </c>
      <c r="C6719" s="119" t="str">
        <f>IFERROR(__xludf.DUMMYFUNCTION("""COMPUTED_VALUE"""),"103C3 Chung Cư Trường An")</f>
        <v>103C3 Chung Cư Trường An</v>
      </c>
      <c r="D6719" s="119" t="str">
        <f>IFERROR(__xludf.DUMMYFUNCTION("""COMPUTED_VALUE"""),"Chó")</f>
        <v>Chó</v>
      </c>
      <c r="E6719" s="119" t="str">
        <f>IFERROR(__xludf.DUMMYFUNCTION("""COMPUTED_VALUE"""),"mun")</f>
        <v>mun</v>
      </c>
    </row>
    <row r="6720" ht="15.75" customHeight="1">
      <c r="A6720" s="122" t="str">
        <f>IFERROR(__xludf.DUMMYFUNCTION("""COMPUTED_VALUE"""),"0868 871 834")</f>
        <v>0868 871 834</v>
      </c>
      <c r="B6720" s="119" t="str">
        <f>IFERROR(__xludf.DUMMYFUNCTION("""COMPUTED_VALUE"""),"chị hiền")</f>
        <v>chị hiền</v>
      </c>
      <c r="C6720" s="119" t="str">
        <f>IFERROR(__xludf.DUMMYFUNCTION("""COMPUTED_VALUE"""),"28/246 hùng vương")</f>
        <v>28/246 hùng vương</v>
      </c>
      <c r="D6720" s="119" t="str">
        <f>IFERROR(__xludf.DUMMYFUNCTION("""COMPUTED_VALUE"""),"Mèo")</f>
        <v>Mèo</v>
      </c>
      <c r="E6720" s="119"/>
    </row>
    <row r="6721" ht="15.75" customHeight="1">
      <c r="A6721" s="122" t="str">
        <f>IFERROR(__xludf.DUMMYFUNCTION("""COMPUTED_VALUE"""),"0349 825 899")</f>
        <v>0349 825 899</v>
      </c>
      <c r="B6721" s="119" t="str">
        <f>IFERROR(__xludf.DUMMYFUNCTION("""COMPUTED_VALUE"""),"hoàng thị huế")</f>
        <v>hoàng thị huế</v>
      </c>
      <c r="C6721" s="119" t="str">
        <f>IFERROR(__xludf.DUMMYFUNCTION("""COMPUTED_VALUE"""),"24/68 đặng huy trứ")</f>
        <v>24/68 đặng huy trứ</v>
      </c>
      <c r="D6721" s="119" t="str">
        <f>IFERROR(__xludf.DUMMYFUNCTION("""COMPUTED_VALUE"""),"Mèo")</f>
        <v>Mèo</v>
      </c>
      <c r="E6721" s="119" t="str">
        <f>IFERROR(__xludf.DUMMYFUNCTION("""COMPUTED_VALUE"""),"táo")</f>
        <v>táo</v>
      </c>
    </row>
    <row r="6722" ht="15.75" customHeight="1">
      <c r="A6722" s="122" t="str">
        <f>IFERROR(__xludf.DUMMYFUNCTION("""COMPUTED_VALUE"""),"0328 563 678")</f>
        <v>0328 563 678</v>
      </c>
      <c r="B6722" s="119" t="str">
        <f>IFERROR(__xludf.DUMMYFUNCTION("""COMPUTED_VALUE"""),"chị yến")</f>
        <v>chị yến</v>
      </c>
      <c r="C6722" s="119" t="str">
        <f>IFERROR(__xludf.DUMMYFUNCTION("""COMPUTED_VALUE"""),"h16 thích tịnh khiết")</f>
        <v>h16 thích tịnh khiết</v>
      </c>
      <c r="D6722" s="119" t="str">
        <f>IFERROR(__xludf.DUMMYFUNCTION("""COMPUTED_VALUE"""),"Mèo")</f>
        <v>Mèo</v>
      </c>
      <c r="E6722" s="119" t="str">
        <f>IFERROR(__xludf.DUMMYFUNCTION("""COMPUTED_VALUE"""),"bò")</f>
        <v>bò</v>
      </c>
    </row>
    <row r="6723" ht="15.75" customHeight="1">
      <c r="A6723" s="122" t="str">
        <f>IFERROR(__xludf.DUMMYFUNCTION("""COMPUTED_VALUE"""),"0777 915 605")</f>
        <v>0777 915 605</v>
      </c>
      <c r="B6723" s="119" t="str">
        <f>IFERROR(__xludf.DUMMYFUNCTION("""COMPUTED_VALUE"""),"a thiện")</f>
        <v>a thiện</v>
      </c>
      <c r="C6723" s="119" t="str">
        <f>IFERROR(__xludf.DUMMYFUNCTION("""COMPUTED_VALUE"""),"27/65 đặng huy trứ")</f>
        <v>27/65 đặng huy trứ</v>
      </c>
      <c r="D6723" s="119" t="str">
        <f>IFERROR(__xludf.DUMMYFUNCTION("""COMPUTED_VALUE"""),"Chó")</f>
        <v>Chó</v>
      </c>
      <c r="E6723" s="119" t="str">
        <f>IFERROR(__xludf.DUMMYFUNCTION("""COMPUTED_VALUE"""),"mèo")</f>
        <v>mèo</v>
      </c>
    </row>
    <row r="6724" ht="15.75" customHeight="1">
      <c r="A6724" s="122" t="str">
        <f>IFERROR(__xludf.DUMMYFUNCTION("""COMPUTED_VALUE"""),"0767 891 569")</f>
        <v>0767 891 569</v>
      </c>
      <c r="B6724" s="119" t="str">
        <f>IFERROR(__xludf.DUMMYFUNCTION("""COMPUTED_VALUE"""),"dì thúy")</f>
        <v>dì thúy</v>
      </c>
      <c r="C6724" s="119" t="str">
        <f>IFERROR(__xludf.DUMMYFUNCTION("""COMPUTED_VALUE"""),"2/32/65 phan bội châu")</f>
        <v>2/32/65 phan bội châu</v>
      </c>
      <c r="D6724" s="119" t="str">
        <f>IFERROR(__xludf.DUMMYFUNCTION("""COMPUTED_VALUE"""),"Chó")</f>
        <v>Chó</v>
      </c>
      <c r="E6724" s="119" t="str">
        <f>IFERROR(__xludf.DUMMYFUNCTION("""COMPUTED_VALUE"""),"tiểu hắc")</f>
        <v>tiểu hắc</v>
      </c>
    </row>
    <row r="6725" ht="15.75" customHeight="1">
      <c r="A6725" s="122" t="str">
        <f>IFERROR(__xludf.DUMMYFUNCTION("""COMPUTED_VALUE"""),"0963 250 755")</f>
        <v>0963 250 755</v>
      </c>
      <c r="B6725" s="119" t="str">
        <f>IFERROR(__xludf.DUMMYFUNCTION("""COMPUTED_VALUE"""),"chị thúy")</f>
        <v>chị thúy</v>
      </c>
      <c r="C6725" s="119" t="str">
        <f>IFERROR(__xludf.DUMMYFUNCTION("""COMPUTED_VALUE"""),"46 thanh nghị")</f>
        <v>46 thanh nghị</v>
      </c>
      <c r="D6725" s="119" t="str">
        <f>IFERROR(__xludf.DUMMYFUNCTION("""COMPUTED_VALUE"""),"Mèo")</f>
        <v>Mèo</v>
      </c>
      <c r="E6725" s="119" t="str">
        <f>IFERROR(__xludf.DUMMYFUNCTION("""COMPUTED_VALUE"""),"mimi")</f>
        <v>mimi</v>
      </c>
    </row>
    <row r="6726" ht="15.75" customHeight="1">
      <c r="A6726" s="122" t="str">
        <f>IFERROR(__xludf.DUMMYFUNCTION("""COMPUTED_VALUE"""),"0777 962 009")</f>
        <v>0777 962 009</v>
      </c>
      <c r="B6726" s="119" t="str">
        <f>IFERROR(__xludf.DUMMYFUNCTION("""COMPUTED_VALUE"""),"a quang")</f>
        <v>a quang</v>
      </c>
      <c r="C6726" s="119" t="str">
        <f>IFERROR(__xludf.DUMMYFUNCTION("""COMPUTED_VALUE"""),"164 trần phú")</f>
        <v>164 trần phú</v>
      </c>
      <c r="D6726" s="119" t="str">
        <f>IFERROR(__xludf.DUMMYFUNCTION("""COMPUTED_VALUE"""),"Chó")</f>
        <v>Chó</v>
      </c>
      <c r="E6726" s="119" t="str">
        <f>IFERROR(__xludf.DUMMYFUNCTION("""COMPUTED_VALUE"""),"bus")</f>
        <v>bus</v>
      </c>
    </row>
    <row r="6727" ht="15.75" customHeight="1">
      <c r="A6727" s="122" t="str">
        <f>IFERROR(__xludf.DUMMYFUNCTION("""COMPUTED_VALUE"""),"0866 808 444")</f>
        <v>0866 808 444</v>
      </c>
      <c r="B6727" s="119" t="str">
        <f>IFERROR(__xludf.DUMMYFUNCTION("""COMPUTED_VALUE"""),"chị mỹ linh")</f>
        <v>chị mỹ linh</v>
      </c>
      <c r="C6727" s="119" t="str">
        <f>IFERROR(__xludf.DUMMYFUNCTION("""COMPUTED_VALUE"""),"quảng trị")</f>
        <v>quảng trị</v>
      </c>
      <c r="D6727" s="119" t="str">
        <f>IFERROR(__xludf.DUMMYFUNCTION("""COMPUTED_VALUE"""),"Chó")</f>
        <v>Chó</v>
      </c>
      <c r="E6727" s="119" t="str">
        <f>IFERROR(__xludf.DUMMYFUNCTION("""COMPUTED_VALUE"""),"bông")</f>
        <v>bông</v>
      </c>
    </row>
    <row r="6728" ht="15.75" customHeight="1">
      <c r="A6728" s="122" t="str">
        <f>IFERROR(__xludf.DUMMYFUNCTION("""COMPUTED_VALUE"""),"0337 758 717")</f>
        <v>0337 758 717</v>
      </c>
      <c r="B6728" s="119" t="str">
        <f>IFERROR(__xludf.DUMMYFUNCTION("""COMPUTED_VALUE"""),"thầy thịnh")</f>
        <v>thầy thịnh</v>
      </c>
      <c r="C6728" s="119" t="str">
        <f>IFERROR(__xludf.DUMMYFUNCTION("""COMPUTED_VALUE"""),"chùa kim đài")</f>
        <v>chùa kim đài</v>
      </c>
      <c r="D6728" s="119" t="str">
        <f>IFERROR(__xludf.DUMMYFUNCTION("""COMPUTED_VALUE"""),"Chó")</f>
        <v>Chó</v>
      </c>
      <c r="E6728" s="119" t="str">
        <f>IFERROR(__xludf.DUMMYFUNCTION("""COMPUTED_VALUE"""),"mít")</f>
        <v>mít</v>
      </c>
    </row>
    <row r="6729" ht="15.75" customHeight="1">
      <c r="A6729" s="122" t="str">
        <f>IFERROR(__xludf.DUMMYFUNCTION("""COMPUTED_VALUE"""),"0935 608 938")</f>
        <v>0935 608 938</v>
      </c>
      <c r="B6729" s="119" t="str">
        <f>IFERROR(__xludf.DUMMYFUNCTION("""COMPUTED_VALUE"""),"chú vinh")</f>
        <v>chú vinh</v>
      </c>
      <c r="C6729" s="119" t="str">
        <f>IFERROR(__xludf.DUMMYFUNCTION("""COMPUTED_VALUE"""),"14b/386 phan chu trinh")</f>
        <v>14b/386 phan chu trinh</v>
      </c>
      <c r="D6729" s="119" t="str">
        <f>IFERROR(__xludf.DUMMYFUNCTION("""COMPUTED_VALUE"""),"Chó")</f>
        <v>Chó</v>
      </c>
      <c r="E6729" s="119" t="str">
        <f>IFERROR(__xludf.DUMMYFUNCTION("""COMPUTED_VALUE"""),"bin")</f>
        <v>bin</v>
      </c>
    </row>
    <row r="6730" ht="15.75" customHeight="1">
      <c r="A6730" s="122" t="str">
        <f>IFERROR(__xludf.DUMMYFUNCTION("""COMPUTED_VALUE"""),"0938 851 972")</f>
        <v>0938 851 972</v>
      </c>
      <c r="B6730" s="119" t="str">
        <f>IFERROR(__xludf.DUMMYFUNCTION("""COMPUTED_VALUE"""),"Dì Hồng")</f>
        <v>Dì Hồng</v>
      </c>
      <c r="C6730" s="119" t="str">
        <f>IFERROR(__xludf.DUMMYFUNCTION("""COMPUTED_VALUE"""),"5/217 Điện Biên Phủ")</f>
        <v>5/217 Điện Biên Phủ</v>
      </c>
      <c r="D6730" s="119" t="str">
        <f>IFERROR(__xludf.DUMMYFUNCTION("""COMPUTED_VALUE"""),"chó")</f>
        <v>chó</v>
      </c>
      <c r="E6730" s="119" t="str">
        <f>IFERROR(__xludf.DUMMYFUNCTION("""COMPUTED_VALUE"""),"May")</f>
        <v>May</v>
      </c>
    </row>
    <row r="6731" ht="15.75" customHeight="1">
      <c r="A6731" s="122" t="str">
        <f>IFERROR(__xludf.DUMMYFUNCTION("""COMPUTED_VALUE"""),"0932 536 606")</f>
        <v>0932 536 606</v>
      </c>
      <c r="B6731" s="119" t="str">
        <f>IFERROR(__xludf.DUMMYFUNCTION("""COMPUTED_VALUE"""),"chị hương")</f>
        <v>chị hương</v>
      </c>
      <c r="C6731" s="119" t="str">
        <f>IFERROR(__xludf.DUMMYFUNCTION("""COMPUTED_VALUE"""),"22 trần thái tông")</f>
        <v>22 trần thái tông</v>
      </c>
      <c r="D6731" s="119" t="str">
        <f>IFERROR(__xludf.DUMMYFUNCTION("""COMPUTED_VALUE"""),"Mèo")</f>
        <v>Mèo</v>
      </c>
      <c r="E6731" s="119" t="str">
        <f>IFERROR(__xludf.DUMMYFUNCTION("""COMPUTED_VALUE"""),"xoài")</f>
        <v>xoài</v>
      </c>
    </row>
    <row r="6732" ht="15.75" customHeight="1">
      <c r="A6732" s="122" t="str">
        <f>IFERROR(__xludf.DUMMYFUNCTION("""COMPUTED_VALUE"""),"0899 217 128")</f>
        <v>0899 217 128</v>
      </c>
      <c r="B6732" s="119" t="str">
        <f>IFERROR(__xludf.DUMMYFUNCTION("""COMPUTED_VALUE"""),"chị ý nhi")</f>
        <v>chị ý nhi</v>
      </c>
      <c r="C6732" s="119" t="str">
        <f>IFERROR(__xludf.DUMMYFUNCTION("""COMPUTED_VALUE"""),"k49 nguyễn cư trinh")</f>
        <v>k49 nguyễn cư trinh</v>
      </c>
      <c r="D6732" s="119" t="str">
        <f>IFERROR(__xludf.DUMMYFUNCTION("""COMPUTED_VALUE"""),"Mèo")</f>
        <v>Mèo</v>
      </c>
      <c r="E6732" s="119" t="str">
        <f>IFERROR(__xludf.DUMMYFUNCTION("""COMPUTED_VALUE"""),"mây")</f>
        <v>mây</v>
      </c>
    </row>
    <row r="6733" ht="15.75" customHeight="1">
      <c r="A6733" s="122" t="str">
        <f>IFERROR(__xludf.DUMMYFUNCTION("""COMPUTED_VALUE"""),"0773 436 889")</f>
        <v>0773 436 889</v>
      </c>
      <c r="B6733" s="119" t="str">
        <f>IFERROR(__xludf.DUMMYFUNCTION("""COMPUTED_VALUE"""),"Lê Thanh Nguyên")</f>
        <v>Lê Thanh Nguyên</v>
      </c>
      <c r="C6733" s="119" t="str">
        <f>IFERROR(__xludf.DUMMYFUNCTION("""COMPUTED_VALUE"""),"1A/183 Nguyễn Lộ Trạch")</f>
        <v>1A/183 Nguyễn Lộ Trạch</v>
      </c>
      <c r="D6733" s="119" t="str">
        <f>IFERROR(__xludf.DUMMYFUNCTION("""COMPUTED_VALUE"""),"Chó")</f>
        <v>Chó</v>
      </c>
      <c r="E6733" s="119" t="str">
        <f>IFERROR(__xludf.DUMMYFUNCTION("""COMPUTED_VALUE"""),"Nấm")</f>
        <v>Nấm</v>
      </c>
    </row>
    <row r="6734" ht="15.75" customHeight="1">
      <c r="A6734" s="122" t="str">
        <f>IFERROR(__xludf.DUMMYFUNCTION("""COMPUTED_VALUE"""),"0935 064 406")</f>
        <v>0935 064 406</v>
      </c>
      <c r="B6734" s="119" t="str">
        <f>IFERROR(__xludf.DUMMYFUNCTION("""COMPUTED_VALUE"""),"nguyễn hoàng văn")</f>
        <v>nguyễn hoàng văn</v>
      </c>
      <c r="C6734" s="119" t="str">
        <f>IFERROR(__xludf.DUMMYFUNCTION("""COMPUTED_VALUE"""),"dương nổ")</f>
        <v>dương nổ</v>
      </c>
      <c r="D6734" s="119" t="str">
        <f>IFERROR(__xludf.DUMMYFUNCTION("""COMPUTED_VALUE"""),"Chó")</f>
        <v>Chó</v>
      </c>
      <c r="E6734" s="119" t="str">
        <f>IFERROR(__xludf.DUMMYFUNCTION("""COMPUTED_VALUE"""),"mực")</f>
        <v>mực</v>
      </c>
    </row>
    <row r="6735" ht="15.75" customHeight="1">
      <c r="A6735" s="122" t="str">
        <f>IFERROR(__xludf.DUMMYFUNCTION("""COMPUTED_VALUE"""),"0368 393 438")</f>
        <v>0368 393 438</v>
      </c>
      <c r="B6735" s="119" t="str">
        <f>IFERROR(__xludf.DUMMYFUNCTION("""COMPUTED_VALUE"""),"chị huỳnh tâm")</f>
        <v>chị huỳnh tâm</v>
      </c>
      <c r="C6735" s="119" t="str">
        <f>IFERROR(__xludf.DUMMYFUNCTION("""COMPUTED_VALUE"""),"2 lê quang định")</f>
        <v>2 lê quang định</v>
      </c>
      <c r="D6735" s="119" t="str">
        <f>IFERROR(__xludf.DUMMYFUNCTION("""COMPUTED_VALUE"""),"Chó")</f>
        <v>Chó</v>
      </c>
      <c r="E6735" s="119" t="str">
        <f>IFERROR(__xludf.DUMMYFUNCTION("""COMPUTED_VALUE"""),"nơ")</f>
        <v>nơ</v>
      </c>
    </row>
    <row r="6736" ht="15.75" customHeight="1">
      <c r="A6736" s="122" t="str">
        <f>IFERROR(__xludf.DUMMYFUNCTION("""COMPUTED_VALUE"""),"0932 910 916")</f>
        <v>0932 910 916</v>
      </c>
      <c r="B6736" s="119" t="str">
        <f>IFERROR(__xludf.DUMMYFUNCTION("""COMPUTED_VALUE"""),"anh huy đỗ")</f>
        <v>anh huy đỗ</v>
      </c>
      <c r="C6736" s="119" t="str">
        <f>IFERROR(__xludf.DUMMYFUNCTION("""COMPUTED_VALUE"""),"thủy phương")</f>
        <v>thủy phương</v>
      </c>
      <c r="D6736" s="119" t="str">
        <f>IFERROR(__xludf.DUMMYFUNCTION("""COMPUTED_VALUE"""),"Chó")</f>
        <v>Chó</v>
      </c>
      <c r="E6736" s="119" t="str">
        <f>IFERROR(__xludf.DUMMYFUNCTION("""COMPUTED_VALUE"""),"lu")</f>
        <v>lu</v>
      </c>
    </row>
    <row r="6737" ht="15.75" customHeight="1">
      <c r="A6737" s="122" t="str">
        <f>IFERROR(__xludf.DUMMYFUNCTION("""COMPUTED_VALUE"""),"0384 324 300")</f>
        <v>0384 324 300</v>
      </c>
      <c r="B6737" s="119" t="str">
        <f>IFERROR(__xludf.DUMMYFUNCTION("""COMPUTED_VALUE"""),"Chị Hạnh")</f>
        <v>Chị Hạnh</v>
      </c>
      <c r="C6737" s="119" t="str">
        <f>IFERROR(__xludf.DUMMYFUNCTION("""COMPUTED_VALUE"""),"66/9 Xuân Diệu")</f>
        <v>66/9 Xuân Diệu</v>
      </c>
      <c r="D6737" s="119" t="str">
        <f>IFERROR(__xludf.DUMMYFUNCTION("""COMPUTED_VALUE"""),"Chó")</f>
        <v>Chó</v>
      </c>
      <c r="E6737" s="119" t="str">
        <f>IFERROR(__xludf.DUMMYFUNCTION("""COMPUTED_VALUE"""),"Mít")</f>
        <v>Mít</v>
      </c>
    </row>
    <row r="6738" ht="15.75" customHeight="1">
      <c r="A6738" s="122" t="str">
        <f>IFERROR(__xludf.DUMMYFUNCTION("""COMPUTED_VALUE"""),"0796 691 464")</f>
        <v>0796 691 464</v>
      </c>
      <c r="B6738" s="119" t="str">
        <f>IFERROR(__xludf.DUMMYFUNCTION("""COMPUTED_VALUE"""),"chị kim anh")</f>
        <v>chị kim anh</v>
      </c>
      <c r="C6738" s="119" t="str">
        <f>IFERROR(__xludf.DUMMYFUNCTION("""COMPUTED_VALUE"""),"26/69/131 trần phú")</f>
        <v>26/69/131 trần phú</v>
      </c>
      <c r="D6738" s="119" t="str">
        <f>IFERROR(__xludf.DUMMYFUNCTION("""COMPUTED_VALUE"""),"chó")</f>
        <v>chó</v>
      </c>
      <c r="E6738" s="119" t="str">
        <f>IFERROR(__xludf.DUMMYFUNCTION("""COMPUTED_VALUE"""),"tini")</f>
        <v>tini</v>
      </c>
    </row>
    <row r="6739" ht="15.75" customHeight="1">
      <c r="A6739" s="122" t="str">
        <f>IFERROR(__xludf.DUMMYFUNCTION("""COMPUTED_VALUE"""),"0836 404 667")</f>
        <v>0836 404 667</v>
      </c>
      <c r="B6739" s="119" t="str">
        <f>IFERROR(__xludf.DUMMYFUNCTION("""COMPUTED_VALUE"""),"chị Thanh")</f>
        <v>chị Thanh</v>
      </c>
      <c r="C6739" s="119" t="str">
        <f>IFERROR(__xludf.DUMMYFUNCTION("""COMPUTED_VALUE"""),"290 Phạm Văn Đồng")</f>
        <v>290 Phạm Văn Đồng</v>
      </c>
      <c r="D6739" s="119" t="str">
        <f>IFERROR(__xludf.DUMMYFUNCTION("""COMPUTED_VALUE"""),"Mèo")</f>
        <v>Mèo</v>
      </c>
      <c r="E6739" s="119" t="str">
        <f>IFERROR(__xludf.DUMMYFUNCTION("""COMPUTED_VALUE"""),"Vằn")</f>
        <v>Vằn</v>
      </c>
    </row>
    <row r="6740" ht="15.75" customHeight="1">
      <c r="A6740" s="122" t="str">
        <f>IFERROR(__xludf.DUMMYFUNCTION("""COMPUTED_VALUE"""),"0905 909 802")</f>
        <v>0905 909 802</v>
      </c>
      <c r="B6740" s="119" t="str">
        <f>IFERROR(__xludf.DUMMYFUNCTION("""COMPUTED_VALUE"""),"anh minh")</f>
        <v>anh minh</v>
      </c>
      <c r="C6740" s="119" t="str">
        <f>IFERROR(__xludf.DUMMYFUNCTION("""COMPUTED_VALUE"""),"78 trần phú")</f>
        <v>78 trần phú</v>
      </c>
      <c r="D6740" s="119" t="str">
        <f>IFERROR(__xludf.DUMMYFUNCTION("""COMPUTED_VALUE"""),"Mèo")</f>
        <v>Mèo</v>
      </c>
      <c r="E6740" s="119" t="str">
        <f>IFERROR(__xludf.DUMMYFUNCTION("""COMPUTED_VALUE"""),"bông")</f>
        <v>bông</v>
      </c>
    </row>
    <row r="6741" ht="15.75" customHeight="1">
      <c r="A6741" s="122" t="str">
        <f>IFERROR(__xludf.DUMMYFUNCTION("""COMPUTED_VALUE"""),"0333 121 360")</f>
        <v>0333 121 360</v>
      </c>
      <c r="B6741" s="119" t="str">
        <f>IFERROR(__xludf.DUMMYFUNCTION("""COMPUTED_VALUE"""),"chị phương minh")</f>
        <v>chị phương minh</v>
      </c>
      <c r="C6741" s="119" t="str">
        <f>IFERROR(__xludf.DUMMYFUNCTION("""COMPUTED_VALUE"""),"kim long")</f>
        <v>kim long</v>
      </c>
      <c r="D6741" s="119" t="str">
        <f>IFERROR(__xludf.DUMMYFUNCTION("""COMPUTED_VALUE"""),"Chuột")</f>
        <v>Chuột</v>
      </c>
      <c r="E6741" s="119" t="str">
        <f>IFERROR(__xludf.DUMMYFUNCTION("""COMPUTED_VALUE"""),"khúc bạch")</f>
        <v>khúc bạch</v>
      </c>
    </row>
    <row r="6742" ht="15.75" customHeight="1">
      <c r="A6742" s="122" t="str">
        <f>IFERROR(__xludf.DUMMYFUNCTION("""COMPUTED_VALUE"""),"0903 819 559")</f>
        <v>0903 819 559</v>
      </c>
      <c r="B6742" s="119" t="str">
        <f>IFERROR(__xludf.DUMMYFUNCTION("""COMPUTED_VALUE"""),"bác toàn")</f>
        <v>bác toàn</v>
      </c>
      <c r="C6742" s="119" t="str">
        <f>IFERROR(__xludf.DUMMYFUNCTION("""COMPUTED_VALUE"""),"28/53 trần phú")</f>
        <v>28/53 trần phú</v>
      </c>
      <c r="D6742" s="119" t="str">
        <f>IFERROR(__xludf.DUMMYFUNCTION("""COMPUTED_VALUE"""),"Chó")</f>
        <v>Chó</v>
      </c>
      <c r="E6742" s="119" t="str">
        <f>IFERROR(__xludf.DUMMYFUNCTION("""COMPUTED_VALUE"""),"lucky")</f>
        <v>lucky</v>
      </c>
    </row>
    <row r="6743" ht="15.75" customHeight="1">
      <c r="A6743" s="122" t="str">
        <f>IFERROR(__xludf.DUMMYFUNCTION("""COMPUTED_VALUE"""),"0777 171 191")</f>
        <v>0777 171 191</v>
      </c>
      <c r="B6743" s="119" t="str">
        <f>IFERROR(__xludf.DUMMYFUNCTION("""COMPUTED_VALUE"""),"Sư Cô Diệu Châu")</f>
        <v>Sư Cô Diệu Châu</v>
      </c>
      <c r="C6743" s="119" t="str">
        <f>IFERROR(__xludf.DUMMYFUNCTION("""COMPUTED_VALUE"""),"6/162 Nguyễn Sinh Cung")</f>
        <v>6/162 Nguyễn Sinh Cung</v>
      </c>
      <c r="D6743" s="119" t="str">
        <f>IFERROR(__xludf.DUMMYFUNCTION("""COMPUTED_VALUE"""),"Chó")</f>
        <v>Chó</v>
      </c>
      <c r="E6743" s="119" t="str">
        <f>IFERROR(__xludf.DUMMYFUNCTION("""COMPUTED_VALUE"""),"Tumi")</f>
        <v>Tumi</v>
      </c>
    </row>
    <row r="6744" ht="15.75" customHeight="1">
      <c r="A6744" s="122" t="str">
        <f>IFERROR(__xludf.DUMMYFUNCTION("""COMPUTED_VALUE"""),"0983 032 501")</f>
        <v>0983 032 501</v>
      </c>
      <c r="B6744" s="119" t="str">
        <f>IFERROR(__xludf.DUMMYFUNCTION("""COMPUTED_VALUE"""),"Anh Huy")</f>
        <v>Anh Huy</v>
      </c>
      <c r="C6744" s="119" t="str">
        <f>IFERROR(__xludf.DUMMYFUNCTION("""COMPUTED_VALUE"""),"Nguyễn Lộ Trạch")</f>
        <v>Nguyễn Lộ Trạch</v>
      </c>
      <c r="D6744" s="119" t="str">
        <f>IFERROR(__xludf.DUMMYFUNCTION("""COMPUTED_VALUE"""),"Mèo")</f>
        <v>Mèo</v>
      </c>
      <c r="E6744" s="119" t="str">
        <f>IFERROR(__xludf.DUMMYFUNCTION("""COMPUTED_VALUE"""),"Bông")</f>
        <v>Bông</v>
      </c>
    </row>
    <row r="6745" ht="15.75" customHeight="1">
      <c r="A6745" s="122" t="str">
        <f>IFERROR(__xludf.DUMMYFUNCTION("""COMPUTED_VALUE"""),"0932 589 874")</f>
        <v>0932 589 874</v>
      </c>
      <c r="B6745" s="119" t="str">
        <f>IFERROR(__xludf.DUMMYFUNCTION("""COMPUTED_VALUE"""),"Sư Thầy Quyền")</f>
        <v>Sư Thầy Quyền</v>
      </c>
      <c r="C6745" s="119" t="str">
        <f>IFERROR(__xludf.DUMMYFUNCTION("""COMPUTED_VALUE"""),"chùa Tây Thiên")</f>
        <v>chùa Tây Thiên</v>
      </c>
      <c r="D6745" s="119" t="str">
        <f>IFERROR(__xludf.DUMMYFUNCTION("""COMPUTED_VALUE"""),"Chó")</f>
        <v>Chó</v>
      </c>
      <c r="E6745" s="119"/>
    </row>
    <row r="6746" ht="15.75" customHeight="1">
      <c r="A6746" s="122" t="str">
        <f>IFERROR(__xludf.DUMMYFUNCTION("""COMPUTED_VALUE"""),"0909 552 621")</f>
        <v>0909 552 621</v>
      </c>
      <c r="B6746" s="119" t="str">
        <f>IFERROR(__xludf.DUMMYFUNCTION("""COMPUTED_VALUE"""),"Chị Hà")</f>
        <v>Chị Hà</v>
      </c>
      <c r="C6746" s="119" t="str">
        <f>IFERROR(__xludf.DUMMYFUNCTION("""COMPUTED_VALUE"""),"Chung Cư Aranya Xuân Phú")</f>
        <v>Chung Cư Aranya Xuân Phú</v>
      </c>
      <c r="D6746" s="119" t="str">
        <f>IFERROR(__xludf.DUMMYFUNCTION("""COMPUTED_VALUE"""),"Chó")</f>
        <v>Chó</v>
      </c>
      <c r="E6746" s="119" t="str">
        <f>IFERROR(__xludf.DUMMYFUNCTION("""COMPUTED_VALUE"""),"Coca")</f>
        <v>Coca</v>
      </c>
    </row>
    <row r="6747" ht="15.75" customHeight="1">
      <c r="A6747" s="122" t="str">
        <f>IFERROR(__xludf.DUMMYFUNCTION("""COMPUTED_VALUE"""),"0862 272 247")</f>
        <v>0862 272 247</v>
      </c>
      <c r="B6747" s="119" t="str">
        <f>IFERROR(__xludf.DUMMYFUNCTION("""COMPUTED_VALUE"""),"Trinh")</f>
        <v>Trinh</v>
      </c>
      <c r="C6747" s="119" t="str">
        <f>IFERROR(__xludf.DUMMYFUNCTION("""COMPUTED_VALUE"""),"130A Hải Triều")</f>
        <v>130A Hải Triều</v>
      </c>
      <c r="D6747" s="119" t="str">
        <f>IFERROR(__xludf.DUMMYFUNCTION("""COMPUTED_VALUE"""),"Chó")</f>
        <v>Chó</v>
      </c>
      <c r="E6747" s="119" t="str">
        <f>IFERROR(__xludf.DUMMYFUNCTION("""COMPUTED_VALUE"""),"Bon")</f>
        <v>Bon</v>
      </c>
    </row>
    <row r="6748" ht="15.75" customHeight="1">
      <c r="A6748" s="122" t="str">
        <f>IFERROR(__xludf.DUMMYFUNCTION("""COMPUTED_VALUE"""),"0782 091 492")</f>
        <v>0782 091 492</v>
      </c>
      <c r="B6748" s="119" t="str">
        <f>IFERROR(__xludf.DUMMYFUNCTION("""COMPUTED_VALUE"""),"em Ty(Hà-dì Mai)")</f>
        <v>em Ty(Hà-dì Mai)</v>
      </c>
      <c r="C6748" s="119" t="str">
        <f>IFERROR(__xludf.DUMMYFUNCTION("""COMPUTED_VALUE"""),"62 Thanh Hải")</f>
        <v>62 Thanh Hải</v>
      </c>
      <c r="D6748" s="119" t="str">
        <f>IFERROR(__xludf.DUMMYFUNCTION("""COMPUTED_VALUE"""),"Mèo")</f>
        <v>Mèo</v>
      </c>
      <c r="E6748" s="119" t="str">
        <f>IFERROR(__xludf.DUMMYFUNCTION("""COMPUTED_VALUE"""),"Rê")</f>
        <v>Rê</v>
      </c>
    </row>
    <row r="6749" ht="15.75" customHeight="1">
      <c r="A6749" s="122" t="str">
        <f>IFERROR(__xludf.DUMMYFUNCTION("""COMPUTED_VALUE"""),"0964 092 229")</f>
        <v>0964 092 229</v>
      </c>
      <c r="B6749" s="119" t="str">
        <f>IFERROR(__xludf.DUMMYFUNCTION("""COMPUTED_VALUE"""),"Tiểu Ngọc")</f>
        <v>Tiểu Ngọc</v>
      </c>
      <c r="C6749" s="119" t="str">
        <f>IFERROR(__xludf.DUMMYFUNCTION("""COMPUTED_VALUE"""),"6/68 Đặng Huy Trứ")</f>
        <v>6/68 Đặng Huy Trứ</v>
      </c>
      <c r="D6749" s="119" t="str">
        <f>IFERROR(__xludf.DUMMYFUNCTION("""COMPUTED_VALUE"""),"Mèo")</f>
        <v>Mèo</v>
      </c>
      <c r="E6749" s="119" t="str">
        <f>IFERROR(__xludf.DUMMYFUNCTION("""COMPUTED_VALUE"""),"Sâu")</f>
        <v>Sâu</v>
      </c>
    </row>
    <row r="6750" ht="15.75" customHeight="1">
      <c r="A6750" s="122" t="str">
        <f>IFERROR(__xludf.DUMMYFUNCTION("""COMPUTED_VALUE"""),"0336 996 854")</f>
        <v>0336 996 854</v>
      </c>
      <c r="B6750" s="119" t="str">
        <f>IFERROR(__xludf.DUMMYFUNCTION("""COMPUTED_VALUE"""),"Em Hương")</f>
        <v>Em Hương</v>
      </c>
      <c r="C6750" s="119" t="str">
        <f>IFERROR(__xludf.DUMMYFUNCTION("""COMPUTED_VALUE"""),"Vỹ Dạ")</f>
        <v>Vỹ Dạ</v>
      </c>
      <c r="D6750" s="119" t="str">
        <f>IFERROR(__xludf.DUMMYFUNCTION("""COMPUTED_VALUE"""),"Mèo")</f>
        <v>Mèo</v>
      </c>
      <c r="E6750" s="119" t="str">
        <f>IFERROR(__xludf.DUMMYFUNCTION("""COMPUTED_VALUE"""),"Bông")</f>
        <v>Bông</v>
      </c>
    </row>
    <row r="6751" ht="15.75" customHeight="1">
      <c r="A6751" s="122" t="str">
        <f>IFERROR(__xludf.DUMMYFUNCTION("""COMPUTED_VALUE"""),"0987 346 551")</f>
        <v>0987 346 551</v>
      </c>
      <c r="B6751" s="119" t="str">
        <f>IFERROR(__xludf.DUMMYFUNCTION("""COMPUTED_VALUE"""),"Chú Sơn")</f>
        <v>Chú Sơn</v>
      </c>
      <c r="C6751" s="119" t="str">
        <f>IFERROR(__xludf.DUMMYFUNCTION("""COMPUTED_VALUE"""),"48/79 Hồ Đắc Di")</f>
        <v>48/79 Hồ Đắc Di</v>
      </c>
      <c r="D6751" s="119" t="str">
        <f>IFERROR(__xludf.DUMMYFUNCTION("""COMPUTED_VALUE"""),"Chó")</f>
        <v>Chó</v>
      </c>
      <c r="E6751" s="119" t="str">
        <f>IFERROR(__xludf.DUMMYFUNCTION("""COMPUTED_VALUE"""),"Ben")</f>
        <v>Ben</v>
      </c>
    </row>
    <row r="6752" ht="15.75" customHeight="1">
      <c r="A6752" s="122" t="str">
        <f>IFERROR(__xludf.DUMMYFUNCTION("""COMPUTED_VALUE"""),"0337 896 946")</f>
        <v>0337 896 946</v>
      </c>
      <c r="B6752" s="119" t="str">
        <f>IFERROR(__xludf.DUMMYFUNCTION("""COMPUTED_VALUE"""),"MỸ Duyên")</f>
        <v>MỸ Duyên</v>
      </c>
      <c r="C6752" s="119" t="str">
        <f>IFERROR(__xludf.DUMMYFUNCTION("""COMPUTED_VALUE"""),"12b/15/69/131 Trần Phú")</f>
        <v>12b/15/69/131 Trần Phú</v>
      </c>
      <c r="D6752" s="119" t="str">
        <f>IFERROR(__xludf.DUMMYFUNCTION("""COMPUTED_VALUE"""),"Chó")</f>
        <v>Chó</v>
      </c>
      <c r="E6752" s="119"/>
    </row>
    <row r="6753" ht="15.75" customHeight="1">
      <c r="A6753" s="122" t="str">
        <f>IFERROR(__xludf.DUMMYFUNCTION("""COMPUTED_VALUE"""),"0898 174 978")</f>
        <v>0898 174 978</v>
      </c>
      <c r="B6753" s="119" t="str">
        <f>IFERROR(__xludf.DUMMYFUNCTION("""COMPUTED_VALUE"""),"Dì Hồng")</f>
        <v>Dì Hồng</v>
      </c>
      <c r="C6753" s="119" t="str">
        <f>IFERROR(__xludf.DUMMYFUNCTION("""COMPUTED_VALUE"""),"129 Lương Nhữ Hộc")</f>
        <v>129 Lương Nhữ Hộc</v>
      </c>
      <c r="D6753" s="119" t="str">
        <f>IFERROR(__xludf.DUMMYFUNCTION("""COMPUTED_VALUE"""),"Chó")</f>
        <v>Chó</v>
      </c>
      <c r="E6753" s="119" t="str">
        <f>IFERROR(__xludf.DUMMYFUNCTION("""COMPUTED_VALUE"""),"Tô")</f>
        <v>Tô</v>
      </c>
    </row>
    <row r="6754" ht="15.75" customHeight="1">
      <c r="A6754" s="122" t="str">
        <f>IFERROR(__xludf.DUMMYFUNCTION("""COMPUTED_VALUE"""),"0348 131 932")</f>
        <v>0348 131 932</v>
      </c>
      <c r="B6754" s="119" t="str">
        <f>IFERROR(__xludf.DUMMYFUNCTION("""COMPUTED_VALUE"""),"Nhung")</f>
        <v>Nhung</v>
      </c>
      <c r="C6754" s="119" t="str">
        <f>IFERROR(__xludf.DUMMYFUNCTION("""COMPUTED_VALUE"""),"2/14 Lê Ngô Cát")</f>
        <v>2/14 Lê Ngô Cát</v>
      </c>
      <c r="D6754" s="119" t="str">
        <f>IFERROR(__xludf.DUMMYFUNCTION("""COMPUTED_VALUE"""),"Mèo")</f>
        <v>Mèo</v>
      </c>
      <c r="E6754" s="119"/>
    </row>
    <row r="6755" ht="15.75" customHeight="1">
      <c r="A6755" s="122" t="str">
        <f>IFERROR(__xludf.DUMMYFUNCTION("""COMPUTED_VALUE"""),"0707 387 940")</f>
        <v>0707 387 940</v>
      </c>
      <c r="B6755" s="119" t="str">
        <f>IFERROR(__xludf.DUMMYFUNCTION("""COMPUTED_VALUE"""),"Chị Như Hồng")</f>
        <v>Chị Như Hồng</v>
      </c>
      <c r="C6755" s="119" t="str">
        <f>IFERROR(__xludf.DUMMYFUNCTION("""COMPUTED_VALUE"""),"Hồ Đắc Di")</f>
        <v>Hồ Đắc Di</v>
      </c>
      <c r="D6755" s="119" t="str">
        <f>IFERROR(__xludf.DUMMYFUNCTION("""COMPUTED_VALUE"""),"Chó")</f>
        <v>Chó</v>
      </c>
      <c r="E6755" s="119" t="str">
        <f>IFERROR(__xludf.DUMMYFUNCTION("""COMPUTED_VALUE"""),"Heo")</f>
        <v>Heo</v>
      </c>
    </row>
    <row r="6756" ht="15.75" customHeight="1">
      <c r="A6756" s="122" t="str">
        <f>IFERROR(__xludf.DUMMYFUNCTION("""COMPUTED_VALUE"""),"0933 311 911")</f>
        <v>0933 311 911</v>
      </c>
      <c r="B6756" s="119" t="str">
        <f>IFERROR(__xludf.DUMMYFUNCTION("""COMPUTED_VALUE"""),"Anh Minh")</f>
        <v>Anh Minh</v>
      </c>
      <c r="C6756" s="119" t="str">
        <f>IFERROR(__xludf.DUMMYFUNCTION("""COMPUTED_VALUE"""),"Đông Nam- Thủy An")</f>
        <v>Đông Nam- Thủy An</v>
      </c>
      <c r="D6756" s="119" t="str">
        <f>IFERROR(__xludf.DUMMYFUNCTION("""COMPUTED_VALUE"""),"Chó")</f>
        <v>Chó</v>
      </c>
      <c r="E6756" s="119" t="str">
        <f>IFERROR(__xludf.DUMMYFUNCTION("""COMPUTED_VALUE"""),"Bò")</f>
        <v>Bò</v>
      </c>
    </row>
    <row r="6757" ht="15.75" customHeight="1">
      <c r="A6757" s="122" t="str">
        <f>IFERROR(__xludf.DUMMYFUNCTION("""COMPUTED_VALUE"""),"0385 436 938")</f>
        <v>0385 436 938</v>
      </c>
      <c r="B6757" s="119" t="str">
        <f>IFERROR(__xludf.DUMMYFUNCTION("""COMPUTED_VALUE"""),"Anh Lê Ái")</f>
        <v>Anh Lê Ái</v>
      </c>
      <c r="C6757" s="119" t="str">
        <f>IFERROR(__xludf.DUMMYFUNCTION("""COMPUTED_VALUE"""),"Thủy Bằng")</f>
        <v>Thủy Bằng</v>
      </c>
      <c r="D6757" s="119" t="str">
        <f>IFERROR(__xludf.DUMMYFUNCTION("""COMPUTED_VALUE"""),"Chó")</f>
        <v>Chó</v>
      </c>
      <c r="E6757" s="119" t="str">
        <f>IFERROR(__xludf.DUMMYFUNCTION("""COMPUTED_VALUE"""),"Mập")</f>
        <v>Mập</v>
      </c>
    </row>
    <row r="6758" ht="15.75" customHeight="1">
      <c r="A6758" s="122" t="str">
        <f>IFERROR(__xludf.DUMMYFUNCTION("""COMPUTED_VALUE"""),"0862 150 232")</f>
        <v>0862 150 232</v>
      </c>
      <c r="B6758" s="119" t="str">
        <f>IFERROR(__xludf.DUMMYFUNCTION("""COMPUTED_VALUE"""),"Duy Quân")</f>
        <v>Duy Quân</v>
      </c>
      <c r="C6758" s="119" t="str">
        <f>IFERROR(__xludf.DUMMYFUNCTION("""COMPUTED_VALUE"""),"8C/91/131 Trần Phú")</f>
        <v>8C/91/131 Trần Phú</v>
      </c>
      <c r="D6758" s="119" t="str">
        <f>IFERROR(__xludf.DUMMYFUNCTION("""COMPUTED_VALUE"""),"Chó")</f>
        <v>Chó</v>
      </c>
      <c r="E6758" s="119"/>
    </row>
    <row r="6759" ht="15.75" customHeight="1">
      <c r="A6759" s="122" t="str">
        <f>IFERROR(__xludf.DUMMYFUNCTION("""COMPUTED_VALUE"""),"0795 651 234")</f>
        <v>0795 651 234</v>
      </c>
      <c r="B6759" s="119" t="str">
        <f>IFERROR(__xludf.DUMMYFUNCTION("""COMPUTED_VALUE"""),"Chị Thảo")</f>
        <v>Chị Thảo</v>
      </c>
      <c r="C6759" s="119" t="str">
        <f>IFERROR(__xludf.DUMMYFUNCTION("""COMPUTED_VALUE"""),"x6 Lại Thế")</f>
        <v>x6 Lại Thế</v>
      </c>
      <c r="D6759" s="119" t="str">
        <f>IFERROR(__xludf.DUMMYFUNCTION("""COMPUTED_VALUE"""),"Chó")</f>
        <v>Chó</v>
      </c>
      <c r="E6759" s="119" t="str">
        <f>IFERROR(__xludf.DUMMYFUNCTION("""COMPUTED_VALUE"""),"Kít")</f>
        <v>Kít</v>
      </c>
    </row>
    <row r="6760" ht="15.75" customHeight="1">
      <c r="A6760" s="122" t="str">
        <f>IFERROR(__xludf.DUMMYFUNCTION("""COMPUTED_VALUE"""),"0347 982 914")</f>
        <v>0347 982 914</v>
      </c>
      <c r="B6760" s="119" t="str">
        <f>IFERROR(__xludf.DUMMYFUNCTION("""COMPUTED_VALUE"""),"Đạt")</f>
        <v>Đạt</v>
      </c>
      <c r="C6760" s="119" t="str">
        <f>IFERROR(__xludf.DUMMYFUNCTION("""COMPUTED_VALUE"""),"Hương Toàn Hương Trà")</f>
        <v>Hương Toàn Hương Trà</v>
      </c>
      <c r="D6760" s="119" t="str">
        <f>IFERROR(__xludf.DUMMYFUNCTION("""COMPUTED_VALUE"""),"chó")</f>
        <v>chó</v>
      </c>
      <c r="E6760" s="119" t="str">
        <f>IFERROR(__xludf.DUMMYFUNCTION("""COMPUTED_VALUE""")," Nâu")</f>
        <v> Nâu</v>
      </c>
    </row>
    <row r="6761" ht="15.75" customHeight="1">
      <c r="A6761" s="122" t="str">
        <f>IFERROR(__xludf.DUMMYFUNCTION("""COMPUTED_VALUE"""),"0962 004 383")</f>
        <v>0962 004 383</v>
      </c>
      <c r="B6761" s="119" t="str">
        <f>IFERROR(__xludf.DUMMYFUNCTION("""COMPUTED_VALUE"""),"Anh Thức")</f>
        <v>Anh Thức</v>
      </c>
      <c r="C6761" s="119" t="str">
        <f>IFERROR(__xludf.DUMMYFUNCTION("""COMPUTED_VALUE"""),"146 Đặng Huy Trứ")</f>
        <v>146 Đặng Huy Trứ</v>
      </c>
      <c r="D6761" s="119" t="str">
        <f>IFERROR(__xludf.DUMMYFUNCTION("""COMPUTED_VALUE"""),"chó")</f>
        <v>chó</v>
      </c>
      <c r="E6761" s="119" t="str">
        <f>IFERROR(__xludf.DUMMYFUNCTION("""COMPUTED_VALUE""")," Kuro")</f>
        <v> Kuro</v>
      </c>
    </row>
    <row r="6762" ht="15.75" customHeight="1">
      <c r="A6762" s="122" t="str">
        <f>IFERROR(__xludf.DUMMYFUNCTION("""COMPUTED_VALUE"""),"0909 446 442")</f>
        <v>0909 446 442</v>
      </c>
      <c r="B6762" s="119" t="str">
        <f>IFERROR(__xludf.DUMMYFUNCTION("""COMPUTED_VALUE"""),"Anh Hoàng")</f>
        <v>Anh Hoàng</v>
      </c>
      <c r="C6762" s="119" t="str">
        <f>IFERROR(__xludf.DUMMYFUNCTION("""COMPUTED_VALUE"""),"k111 Trần Thái Tông")</f>
        <v>k111 Trần Thái Tông</v>
      </c>
      <c r="D6762" s="119" t="str">
        <f>IFERROR(__xludf.DUMMYFUNCTION("""COMPUTED_VALUE"""),"Chó")</f>
        <v>Chó</v>
      </c>
      <c r="E6762" s="119" t="str">
        <f>IFERROR(__xludf.DUMMYFUNCTION("""COMPUTED_VALUE"""),"Sữa")</f>
        <v>Sữa</v>
      </c>
    </row>
    <row r="6763" ht="15.75" customHeight="1">
      <c r="A6763" s="122" t="str">
        <f>IFERROR(__xludf.DUMMYFUNCTION("""COMPUTED_VALUE"""),"0855 254 475")</f>
        <v>0855 254 475</v>
      </c>
      <c r="B6763" s="119" t="str">
        <f>IFERROR(__xludf.DUMMYFUNCTION("""COMPUTED_VALUE"""),"Bác Nguyễn THị Minh Tâm")</f>
        <v>Bác Nguyễn THị Minh Tâm</v>
      </c>
      <c r="C6763" s="119" t="str">
        <f>IFERROR(__xludf.DUMMYFUNCTION("""COMPUTED_VALUE"""),"Phong Điền")</f>
        <v>Phong Điền</v>
      </c>
      <c r="D6763" s="119" t="str">
        <f>IFERROR(__xludf.DUMMYFUNCTION("""COMPUTED_VALUE"""),"Chó")</f>
        <v>Chó</v>
      </c>
      <c r="E6763" s="119" t="str">
        <f>IFERROR(__xludf.DUMMYFUNCTION("""COMPUTED_VALUE"""),"Đô")</f>
        <v>Đô</v>
      </c>
    </row>
    <row r="6764" ht="15.75" customHeight="1">
      <c r="A6764" s="122" t="str">
        <f>IFERROR(__xludf.DUMMYFUNCTION("""COMPUTED_VALUE"""),"0981 666 347")</f>
        <v>0981 666 347</v>
      </c>
      <c r="B6764" s="119" t="str">
        <f>IFERROR(__xludf.DUMMYFUNCTION("""COMPUTED_VALUE"""),"Chị Trinh")</f>
        <v>Chị Trinh</v>
      </c>
      <c r="C6764" s="119" t="str">
        <f>IFERROR(__xludf.DUMMYFUNCTION("""COMPUTED_VALUE"""),"Thủy Bằng")</f>
        <v>Thủy Bằng</v>
      </c>
      <c r="D6764" s="119" t="str">
        <f>IFERROR(__xludf.DUMMYFUNCTION("""COMPUTED_VALUE"""),"Mèo")</f>
        <v>Mèo</v>
      </c>
      <c r="E6764" s="119" t="str">
        <f>IFERROR(__xludf.DUMMYFUNCTION("""COMPUTED_VALUE"""),"Lượm")</f>
        <v>Lượm</v>
      </c>
    </row>
    <row r="6765" ht="15.75" customHeight="1">
      <c r="A6765" s="122" t="str">
        <f>IFERROR(__xludf.DUMMYFUNCTION("""COMPUTED_VALUE"""),"0889 296 274")</f>
        <v>0889 296 274</v>
      </c>
      <c r="B6765" s="119" t="str">
        <f>IFERROR(__xludf.DUMMYFUNCTION("""COMPUTED_VALUE"""),"Chị Thảo Nhi")</f>
        <v>Chị Thảo Nhi</v>
      </c>
      <c r="C6765" s="119" t="str">
        <f>IFERROR(__xludf.DUMMYFUNCTION("""COMPUTED_VALUE"""),"4/29/9/131 Trần Phú")</f>
        <v>4/29/9/131 Trần Phú</v>
      </c>
      <c r="D6765" s="119" t="str">
        <f>IFERROR(__xludf.DUMMYFUNCTION("""COMPUTED_VALUE"""),"Chó")</f>
        <v>Chó</v>
      </c>
      <c r="E6765" s="119"/>
    </row>
    <row r="6766" ht="15.75" customHeight="1">
      <c r="A6766" s="122" t="str">
        <f>IFERROR(__xludf.DUMMYFUNCTION("""COMPUTED_VALUE"""),"0946 346 898")</f>
        <v>0946 346 898</v>
      </c>
      <c r="B6766" s="119" t="str">
        <f>IFERROR(__xludf.DUMMYFUNCTION("""COMPUTED_VALUE"""),"Dì Lan Hương")</f>
        <v>Dì Lan Hương</v>
      </c>
      <c r="C6766" s="119" t="str">
        <f>IFERROR(__xludf.DUMMYFUNCTION("""COMPUTED_VALUE"""),"5/1 k119 Hùng Vương")</f>
        <v>5/1 k119 Hùng Vương</v>
      </c>
      <c r="D6766" s="119" t="str">
        <f>IFERROR(__xludf.DUMMYFUNCTION("""COMPUTED_VALUE"""),"Chó")</f>
        <v>Chó</v>
      </c>
      <c r="E6766" s="119"/>
    </row>
    <row r="6767" ht="15.75" customHeight="1">
      <c r="A6767" s="122" t="str">
        <f>IFERROR(__xludf.DUMMYFUNCTION("""COMPUTED_VALUE"""),"0944 477 276")</f>
        <v>0944 477 276</v>
      </c>
      <c r="B6767" s="119" t="str">
        <f>IFERROR(__xludf.DUMMYFUNCTION("""COMPUTED_VALUE"""),"Chú Sơn")</f>
        <v>Chú Sơn</v>
      </c>
      <c r="C6767" s="119" t="str">
        <f>IFERROR(__xludf.DUMMYFUNCTION("""COMPUTED_VALUE"""),"4/29/9/131 Trần Phú")</f>
        <v>4/29/9/131 Trần Phú</v>
      </c>
      <c r="D6767" s="119" t="str">
        <f>IFERROR(__xludf.DUMMYFUNCTION("""COMPUTED_VALUE"""),"Chó")</f>
        <v>Chó</v>
      </c>
      <c r="E6767" s="119" t="str">
        <f>IFERROR(__xludf.DUMMYFUNCTION("""COMPUTED_VALUE"""),"Bò")</f>
        <v>Bò</v>
      </c>
    </row>
    <row r="6768" ht="15.75" customHeight="1">
      <c r="A6768" s="122" t="str">
        <f>IFERROR(__xludf.DUMMYFUNCTION("""COMPUTED_VALUE"""),"0337 785 717")</f>
        <v>0337 785 717</v>
      </c>
      <c r="B6768" s="119" t="str">
        <f>IFERROR(__xludf.DUMMYFUNCTION("""COMPUTED_VALUE"""),"Thầy Thịnh")</f>
        <v>Thầy Thịnh</v>
      </c>
      <c r="C6768" s="119" t="str">
        <f>IFERROR(__xludf.DUMMYFUNCTION("""COMPUTED_VALUE"""),"Chùa Kim Đài")</f>
        <v>Chùa Kim Đài</v>
      </c>
      <c r="D6768" s="119" t="str">
        <f>IFERROR(__xludf.DUMMYFUNCTION("""COMPUTED_VALUE"""),"chó")</f>
        <v>chó</v>
      </c>
      <c r="E6768" s="119" t="str">
        <f>IFERROR(__xludf.DUMMYFUNCTION("""COMPUTED_VALUE"""),"Mít")</f>
        <v>Mít</v>
      </c>
    </row>
    <row r="6769" ht="15.75" customHeight="1">
      <c r="A6769" s="122" t="str">
        <f>IFERROR(__xludf.DUMMYFUNCTION("""COMPUTED_VALUE"""),"0964 146 322")</f>
        <v>0964 146 322</v>
      </c>
      <c r="B6769" s="119" t="str">
        <f>IFERROR(__xludf.DUMMYFUNCTION("""COMPUTED_VALUE"""),"Dì Thu Hiền")</f>
        <v>Dì Thu Hiền</v>
      </c>
      <c r="C6769" s="119" t="str">
        <f>IFERROR(__xludf.DUMMYFUNCTION("""COMPUTED_VALUE"""),"27 Lâm Hoằng")</f>
        <v>27 Lâm Hoằng</v>
      </c>
      <c r="D6769" s="119" t="str">
        <f>IFERROR(__xludf.DUMMYFUNCTION("""COMPUTED_VALUE"""),"Chó")</f>
        <v>Chó</v>
      </c>
      <c r="E6769" s="119" t="str">
        <f>IFERROR(__xludf.DUMMYFUNCTION("""COMPUTED_VALUE"""),"Ky")</f>
        <v>Ky</v>
      </c>
    </row>
    <row r="6770" ht="15.75" customHeight="1">
      <c r="A6770" s="122" t="str">
        <f>IFERROR(__xludf.DUMMYFUNCTION("""COMPUTED_VALUE"""),"0762 515 123")</f>
        <v>0762 515 123</v>
      </c>
      <c r="B6770" s="119" t="str">
        <f>IFERROR(__xludf.DUMMYFUNCTION("""COMPUTED_VALUE"""),"Chị Linh")</f>
        <v>Chị Linh</v>
      </c>
      <c r="C6770" s="119" t="str">
        <f>IFERROR(__xludf.DUMMYFUNCTION("""COMPUTED_VALUE"""),"22/27 Ngự Bình")</f>
        <v>22/27 Ngự Bình</v>
      </c>
      <c r="D6770" s="119" t="str">
        <f>IFERROR(__xludf.DUMMYFUNCTION("""COMPUTED_VALUE"""),"Chó")</f>
        <v>Chó</v>
      </c>
      <c r="E6770" s="119" t="str">
        <f>IFERROR(__xludf.DUMMYFUNCTION("""COMPUTED_VALUE"""),"Nâu")</f>
        <v>Nâu</v>
      </c>
    </row>
    <row r="6771" ht="15.75" customHeight="1">
      <c r="A6771" s="122" t="str">
        <f>IFERROR(__xludf.DUMMYFUNCTION("""COMPUTED_VALUE"""),"0972 711 062")</f>
        <v>0972 711 062</v>
      </c>
      <c r="B6771" s="119" t="str">
        <f>IFERROR(__xludf.DUMMYFUNCTION("""COMPUTED_VALUE"""),"Chị Mai Anh")</f>
        <v>Chị Mai Anh</v>
      </c>
      <c r="C6771" s="119" t="str">
        <f>IFERROR(__xludf.DUMMYFUNCTION("""COMPUTED_VALUE"""),"K280 Phan Bội Châu")</f>
        <v>K280 Phan Bội Châu</v>
      </c>
      <c r="D6771" s="119" t="str">
        <f>IFERROR(__xludf.DUMMYFUNCTION("""COMPUTED_VALUE"""),"mèo")</f>
        <v>mèo</v>
      </c>
      <c r="E6771" s="119" t="str">
        <f>IFERROR(__xludf.DUMMYFUNCTION("""COMPUTED_VALUE"""),"Han")</f>
        <v>Han</v>
      </c>
    </row>
    <row r="6772" ht="15.75" customHeight="1">
      <c r="A6772" s="122" t="str">
        <f>IFERROR(__xludf.DUMMYFUNCTION("""COMPUTED_VALUE"""),"0823 998 622")</f>
        <v>0823 998 622</v>
      </c>
      <c r="B6772" s="119" t="str">
        <f>IFERROR(__xludf.DUMMYFUNCTION("""COMPUTED_VALUE"""),"Hồng Phúc")</f>
        <v>Hồng Phúc</v>
      </c>
      <c r="C6772" s="119" t="str">
        <f>IFERROR(__xludf.DUMMYFUNCTION("""COMPUTED_VALUE"""),"6/4 Thanh Hải")</f>
        <v>6/4 Thanh Hải</v>
      </c>
      <c r="D6772" s="119" t="str">
        <f>IFERROR(__xludf.DUMMYFUNCTION("""COMPUTED_VALUE"""),"Mèo")</f>
        <v>Mèo</v>
      </c>
      <c r="E6772" s="119" t="str">
        <f>IFERROR(__xludf.DUMMYFUNCTION("""COMPUTED_VALUE"""),"Sâu")</f>
        <v>Sâu</v>
      </c>
    </row>
    <row r="6773" ht="15.75" customHeight="1">
      <c r="A6773" s="122" t="str">
        <f>IFERROR(__xludf.DUMMYFUNCTION("""COMPUTED_VALUE"""),"0965 530 313")</f>
        <v>0965 530 313</v>
      </c>
      <c r="B6773" s="119" t="str">
        <f>IFERROR(__xludf.DUMMYFUNCTION("""COMPUTED_VALUE"""),"chị Cẩm Tú")</f>
        <v>chị Cẩm Tú</v>
      </c>
      <c r="C6773" s="119" t="str">
        <f>IFERROR(__xludf.DUMMYFUNCTION("""COMPUTED_VALUE"""),"21/54 Lê Ngô Cát")</f>
        <v>21/54 Lê Ngô Cát</v>
      </c>
      <c r="D6773" s="119" t="str">
        <f>IFERROR(__xludf.DUMMYFUNCTION("""COMPUTED_VALUE"""),"Chó")</f>
        <v>Chó</v>
      </c>
      <c r="E6773" s="119" t="str">
        <f>IFERROR(__xludf.DUMMYFUNCTION("""COMPUTED_VALUE"""),"Sữa")</f>
        <v>Sữa</v>
      </c>
    </row>
    <row r="6774" ht="15.75" customHeight="1">
      <c r="A6774" s="122" t="str">
        <f>IFERROR(__xludf.DUMMYFUNCTION("""COMPUTED_VALUE"""),"0366 899 265")</f>
        <v>0366 899 265</v>
      </c>
      <c r="B6774" s="119" t="str">
        <f>IFERROR(__xludf.DUMMYFUNCTION("""COMPUTED_VALUE"""),"Trần Thị Kim Ánh")</f>
        <v>Trần Thị Kim Ánh</v>
      </c>
      <c r="C6774" s="119" t="str">
        <f>IFERROR(__xludf.DUMMYFUNCTION("""COMPUTED_VALUE"""),"56/25 Duy Tân")</f>
        <v>56/25 Duy Tân</v>
      </c>
      <c r="D6774" s="119" t="str">
        <f>IFERROR(__xludf.DUMMYFUNCTION("""COMPUTED_VALUE"""),"Mèo")</f>
        <v>Mèo</v>
      </c>
      <c r="E6774" s="119" t="str">
        <f>IFERROR(__xludf.DUMMYFUNCTION("""COMPUTED_VALUE"""),"Luýt")</f>
        <v>Luýt</v>
      </c>
    </row>
    <row r="6775" ht="15.75" customHeight="1">
      <c r="A6775" s="122" t="str">
        <f>IFERROR(__xludf.DUMMYFUNCTION("""COMPUTED_VALUE"""),"0898 888 901")</f>
        <v>0898 888 901</v>
      </c>
      <c r="B6775" s="119" t="str">
        <f>IFERROR(__xludf.DUMMYFUNCTION("""COMPUTED_VALUE"""),"Anh Hưng/chị My")</f>
        <v>Anh Hưng/chị My</v>
      </c>
      <c r="C6775" s="119" t="str">
        <f>IFERROR(__xludf.DUMMYFUNCTION("""COMPUTED_VALUE"""),"Kiệt 12 Võ Văn Kiệt")</f>
        <v>Kiệt 12 Võ Văn Kiệt</v>
      </c>
      <c r="D6775" s="119" t="str">
        <f>IFERROR(__xludf.DUMMYFUNCTION("""COMPUTED_VALUE"""),"Chó")</f>
        <v>Chó</v>
      </c>
      <c r="E6775" s="119" t="str">
        <f>IFERROR(__xludf.DUMMYFUNCTION("""COMPUTED_VALUE"""),"Baby")</f>
        <v>Baby</v>
      </c>
    </row>
    <row r="6776" ht="15.75" customHeight="1">
      <c r="A6776" s="122" t="str">
        <f>IFERROR(__xludf.DUMMYFUNCTION("""COMPUTED_VALUE"""),"0384 011 927")</f>
        <v>0384 011 927</v>
      </c>
      <c r="B6776" s="119" t="str">
        <f>IFERROR(__xludf.DUMMYFUNCTION("""COMPUTED_VALUE"""),"Dì Chanh")</f>
        <v>Dì Chanh</v>
      </c>
      <c r="C6776" s="119" t="str">
        <f>IFERROR(__xludf.DUMMYFUNCTION("""COMPUTED_VALUE"""),"501 Bùi Thị Xuân")</f>
        <v>501 Bùi Thị Xuân</v>
      </c>
      <c r="D6776" s="119" t="str">
        <f>IFERROR(__xludf.DUMMYFUNCTION("""COMPUTED_VALUE"""),"Chó")</f>
        <v>Chó</v>
      </c>
      <c r="E6776" s="119" t="str">
        <f>IFERROR(__xludf.DUMMYFUNCTION("""COMPUTED_VALUE"""),"Mun")</f>
        <v>Mun</v>
      </c>
    </row>
    <row r="6777" ht="15.75" customHeight="1">
      <c r="A6777" s="122" t="str">
        <f>IFERROR(__xludf.DUMMYFUNCTION("""COMPUTED_VALUE"""),"0343 898 492")</f>
        <v>0343 898 492</v>
      </c>
      <c r="B6777" s="119" t="str">
        <f>IFERROR(__xludf.DUMMYFUNCTION("""COMPUTED_VALUE"""),"chị như ý")</f>
        <v>chị như ý</v>
      </c>
      <c r="C6777" s="119" t="str">
        <f>IFERROR(__xludf.DUMMYFUNCTION("""COMPUTED_VALUE"""),"4 huyền trân công chúa")</f>
        <v>4 huyền trân công chúa</v>
      </c>
      <c r="D6777" s="119" t="str">
        <f>IFERROR(__xludf.DUMMYFUNCTION("""COMPUTED_VALUE"""),"mèo")</f>
        <v>mèo</v>
      </c>
      <c r="E6777" s="119" t="str">
        <f>IFERROR(__xludf.DUMMYFUNCTION("""COMPUTED_VALUE""")," đậu")</f>
        <v> đậu</v>
      </c>
    </row>
    <row r="6778" ht="15.75" customHeight="1">
      <c r="A6778" s="122" t="str">
        <f>IFERROR(__xludf.DUMMYFUNCTION("""COMPUTED_VALUE"""),"0862 586 375")</f>
        <v>0862 586 375</v>
      </c>
      <c r="B6778" s="119" t="str">
        <f>IFERROR(__xludf.DUMMYFUNCTION("""COMPUTED_VALUE"""),"như quỳnh")</f>
        <v>như quỳnh</v>
      </c>
      <c r="C6778" s="119" t="str">
        <f>IFERROR(__xludf.DUMMYFUNCTION("""COMPUTED_VALUE"""),"9 Chế Lan Viên")</f>
        <v>9 Chế Lan Viên</v>
      </c>
      <c r="D6778" s="119" t="str">
        <f>IFERROR(__xludf.DUMMYFUNCTION("""COMPUTED_VALUE"""),"mèo")</f>
        <v>mèo</v>
      </c>
      <c r="E6778" s="119" t="str">
        <f>IFERROR(__xludf.DUMMYFUNCTION("""COMPUTED_VALUE"""),"gừng")</f>
        <v>gừng</v>
      </c>
    </row>
    <row r="6779" ht="15.75" customHeight="1">
      <c r="A6779" s="122" t="str">
        <f>IFERROR(__xludf.DUMMYFUNCTION("""COMPUTED_VALUE"""),"0903 150 764")</f>
        <v>0903 150 764</v>
      </c>
      <c r="B6779" s="119" t="str">
        <f>IFERROR(__xludf.DUMMYFUNCTION("""COMPUTED_VALUE"""),"em buzz")</f>
        <v>em buzz</v>
      </c>
      <c r="C6779" s="119" t="str">
        <f>IFERROR(__xludf.DUMMYFUNCTION("""COMPUTED_VALUE"""),"8/6 hàm nghi")</f>
        <v>8/6 hàm nghi</v>
      </c>
      <c r="D6779" s="119" t="str">
        <f>IFERROR(__xludf.DUMMYFUNCTION("""COMPUTED_VALUE"""),"mèo ")</f>
        <v>mèo </v>
      </c>
      <c r="E6779" s="119" t="str">
        <f>IFERROR(__xludf.DUMMYFUNCTION("""COMPUTED_VALUE"""),"melvin")</f>
        <v>melvin</v>
      </c>
    </row>
    <row r="6780" ht="15.75" customHeight="1">
      <c r="A6780" s="122" t="str">
        <f>IFERROR(__xludf.DUMMYFUNCTION("""COMPUTED_VALUE"""),"0905 864 242")</f>
        <v>0905 864 242</v>
      </c>
      <c r="B6780" s="119" t="str">
        <f>IFERROR(__xludf.DUMMYFUNCTION("""COMPUTED_VALUE"""),"Chị Hiền Nhi")</f>
        <v>Chị Hiền Nhi</v>
      </c>
      <c r="C6780" s="119" t="str">
        <f>IFERROR(__xludf.DUMMYFUNCTION("""COMPUTED_VALUE"""),"Bầu Vá")</f>
        <v>Bầu Vá</v>
      </c>
      <c r="D6780" s="119" t="str">
        <f>IFERROR(__xludf.DUMMYFUNCTION("""COMPUTED_VALUE"""),"Mèo")</f>
        <v>Mèo</v>
      </c>
      <c r="E6780" s="119" t="str">
        <f>IFERROR(__xludf.DUMMYFUNCTION("""COMPUTED_VALUE"""),"Lượm")</f>
        <v>Lượm</v>
      </c>
    </row>
    <row r="6781" ht="15.75" customHeight="1">
      <c r="A6781" s="122" t="str">
        <f>IFERROR(__xludf.DUMMYFUNCTION("""COMPUTED_VALUE"""),"0944 930 374")</f>
        <v>0944 930 374</v>
      </c>
      <c r="B6781" s="119" t="str">
        <f>IFERROR(__xludf.DUMMYFUNCTION("""COMPUTED_VALUE"""),"chị trang")</f>
        <v>chị trang</v>
      </c>
      <c r="C6781" s="119" t="str">
        <f>IFERROR(__xludf.DUMMYFUNCTION("""COMPUTED_VALUE"""),"49 nguyễn trường tộ")</f>
        <v>49 nguyễn trường tộ</v>
      </c>
      <c r="D6781" s="119" t="str">
        <f>IFERROR(__xludf.DUMMYFUNCTION("""COMPUTED_VALUE"""),"chó")</f>
        <v>chó</v>
      </c>
      <c r="E6781" s="119" t="str">
        <f>IFERROR(__xludf.DUMMYFUNCTION("""COMPUTED_VALUE""")," mít")</f>
        <v> mít</v>
      </c>
    </row>
    <row r="6782" ht="15.75" customHeight="1">
      <c r="A6782" s="122" t="str">
        <f>IFERROR(__xludf.DUMMYFUNCTION("""COMPUTED_VALUE"""),"0787 686 911")</f>
        <v>0787 686 911</v>
      </c>
      <c r="B6782" s="119" t="str">
        <f>IFERROR(__xludf.DUMMYFUNCTION("""COMPUTED_VALUE"""),"Anh Đức")</f>
        <v>Anh Đức</v>
      </c>
      <c r="C6782" s="119" t="str">
        <f>IFERROR(__xludf.DUMMYFUNCTION("""COMPUTED_VALUE"""),"Hương Thọ")</f>
        <v>Hương Thọ</v>
      </c>
      <c r="D6782" s="119" t="str">
        <f>IFERROR(__xludf.DUMMYFUNCTION("""COMPUTED_VALUE"""),"Chó")</f>
        <v>Chó</v>
      </c>
      <c r="E6782" s="119" t="str">
        <f>IFERROR(__xludf.DUMMYFUNCTION("""COMPUTED_VALUE"""),"Mập")</f>
        <v>Mập</v>
      </c>
    </row>
    <row r="6783" ht="15.75" customHeight="1">
      <c r="A6783" s="122" t="str">
        <f>IFERROR(__xludf.DUMMYFUNCTION("""COMPUTED_VALUE"""),"0398 097 500")</f>
        <v>0398 097 500</v>
      </c>
      <c r="B6783" s="119" t="str">
        <f>IFERROR(__xludf.DUMMYFUNCTION("""COMPUTED_VALUE"""),"Anh Thịnh")</f>
        <v>Anh Thịnh</v>
      </c>
      <c r="C6783" s="119" t="str">
        <f>IFERROR(__xludf.DUMMYFUNCTION("""COMPUTED_VALUE"""),"65 Hương Thủy")</f>
        <v>65 Hương Thủy</v>
      </c>
      <c r="D6783" s="119" t="str">
        <f>IFERROR(__xludf.DUMMYFUNCTION("""COMPUTED_VALUE"""),"Chó")</f>
        <v>Chó</v>
      </c>
      <c r="E6783" s="119" t="str">
        <f>IFERROR(__xludf.DUMMYFUNCTION("""COMPUTED_VALUE"""),"Mít")</f>
        <v>Mít</v>
      </c>
    </row>
    <row r="6784" ht="15.75" customHeight="1">
      <c r="A6784" s="122" t="str">
        <f>IFERROR(__xludf.DUMMYFUNCTION("""COMPUTED_VALUE"""),"0762 676 763")</f>
        <v>0762 676 763</v>
      </c>
      <c r="B6784" s="119" t="str">
        <f>IFERROR(__xludf.DUMMYFUNCTION("""COMPUTED_VALUE"""),"Anh Trường")</f>
        <v>Anh Trường</v>
      </c>
      <c r="C6784" s="119" t="str">
        <f>IFERROR(__xludf.DUMMYFUNCTION("""COMPUTED_VALUE"""),"16 Duy Tân")</f>
        <v>16 Duy Tân</v>
      </c>
      <c r="D6784" s="119" t="str">
        <f>IFERROR(__xludf.DUMMYFUNCTION("""COMPUTED_VALUE"""),"Mèo")</f>
        <v>Mèo</v>
      </c>
      <c r="E6784" s="119" t="str">
        <f>IFERROR(__xludf.DUMMYFUNCTION("""COMPUTED_VALUE"""),"Sói")</f>
        <v>Sói</v>
      </c>
    </row>
    <row r="6785" ht="15.75" customHeight="1">
      <c r="A6785" s="122" t="str">
        <f>IFERROR(__xludf.DUMMYFUNCTION("""COMPUTED_VALUE"""),"0985 346 551")</f>
        <v>0985 346 551</v>
      </c>
      <c r="B6785" s="119" t="str">
        <f>IFERROR(__xludf.DUMMYFUNCTION("""COMPUTED_VALUE"""),"Chú Sơn")</f>
        <v>Chú Sơn</v>
      </c>
      <c r="C6785" s="119" t="str">
        <f>IFERROR(__xludf.DUMMYFUNCTION("""COMPUTED_VALUE"""),"48/79 Hồ Đắc Di")</f>
        <v>48/79 Hồ Đắc Di</v>
      </c>
      <c r="D6785" s="119" t="str">
        <f>IFERROR(__xludf.DUMMYFUNCTION("""COMPUTED_VALUE"""),"Mèo")</f>
        <v>Mèo</v>
      </c>
      <c r="E6785" s="119" t="str">
        <f>IFERROR(__xludf.DUMMYFUNCTION("""COMPUTED_VALUE"""),"Ben")</f>
        <v>Ben</v>
      </c>
    </row>
    <row r="6786" ht="15.75" customHeight="1">
      <c r="A6786" s="122" t="str">
        <f>IFERROR(__xludf.DUMMYFUNCTION("""COMPUTED_VALUE"""),"0853 337 575")</f>
        <v>0853 337 575</v>
      </c>
      <c r="B6786" s="119" t="str">
        <f>IFERROR(__xludf.DUMMYFUNCTION("""COMPUTED_VALUE"""),"chị Linh")</f>
        <v>chị Linh</v>
      </c>
      <c r="C6786" s="119" t="str">
        <f>IFERROR(__xludf.DUMMYFUNCTION("""COMPUTED_VALUE"""),"69 Lê Ngô Cát")</f>
        <v>69 Lê Ngô Cát</v>
      </c>
      <c r="D6786" s="119" t="str">
        <f>IFERROR(__xludf.DUMMYFUNCTION("""COMPUTED_VALUE"""),"Chó")</f>
        <v>Chó</v>
      </c>
      <c r="E6786" s="119" t="str">
        <f>IFERROR(__xludf.DUMMYFUNCTION("""COMPUTED_VALUE"""),"vện")</f>
        <v>vện</v>
      </c>
    </row>
    <row r="6787" ht="15.75" customHeight="1">
      <c r="A6787" s="122" t="str">
        <f>IFERROR(__xludf.DUMMYFUNCTION("""COMPUTED_VALUE"""),"0889 228 945")</f>
        <v>0889 228 945</v>
      </c>
      <c r="B6787" s="119" t="str">
        <f>IFERROR(__xludf.DUMMYFUNCTION("""COMPUTED_VALUE"""),"Anh Trần Vũ")</f>
        <v>Anh Trần Vũ</v>
      </c>
      <c r="C6787" s="119" t="str">
        <f>IFERROR(__xludf.DUMMYFUNCTION("""COMPUTED_VALUE"""),"1/111 Đặng Văn Ngữ")</f>
        <v>1/111 Đặng Văn Ngữ</v>
      </c>
      <c r="D6787" s="119" t="str">
        <f>IFERROR(__xludf.DUMMYFUNCTION("""COMPUTED_VALUE"""),"Chó")</f>
        <v>Chó</v>
      </c>
      <c r="E6787" s="119" t="str">
        <f>IFERROR(__xludf.DUMMYFUNCTION("""COMPUTED_VALUE"""),"Mụi")</f>
        <v>Mụi</v>
      </c>
    </row>
    <row r="6788" ht="15.75" customHeight="1">
      <c r="A6788" s="122" t="str">
        <f>IFERROR(__xludf.DUMMYFUNCTION("""COMPUTED_VALUE"""),"0396 924 343")</f>
        <v>0396 924 343</v>
      </c>
      <c r="B6788" s="119" t="str">
        <f>IFERROR(__xludf.DUMMYFUNCTION("""COMPUTED_VALUE"""),"chị Đoàn Thị MỸ Hà")</f>
        <v>chị Đoàn Thị MỸ Hà</v>
      </c>
      <c r="C6788" s="119" t="str">
        <f>IFERROR(__xludf.DUMMYFUNCTION("""COMPUTED_VALUE"""),"Phường Đúc")</f>
        <v>Phường Đúc</v>
      </c>
      <c r="D6788" s="119" t="str">
        <f>IFERROR(__xludf.DUMMYFUNCTION("""COMPUTED_VALUE"""),"Chó")</f>
        <v>Chó</v>
      </c>
      <c r="E6788" s="119" t="str">
        <f>IFERROR(__xludf.DUMMYFUNCTION("""COMPUTED_VALUE"""),"Phúc Long")</f>
        <v>Phúc Long</v>
      </c>
    </row>
    <row r="6789" ht="15.75" customHeight="1">
      <c r="A6789" s="122" t="str">
        <f>IFERROR(__xludf.DUMMYFUNCTION("""COMPUTED_VALUE"""),"0795 612 549")</f>
        <v>0795 612 549</v>
      </c>
      <c r="B6789" s="119" t="str">
        <f>IFERROR(__xludf.DUMMYFUNCTION("""COMPUTED_VALUE"""),"Em ly")</f>
        <v>Em ly</v>
      </c>
      <c r="C6789" s="119" t="str">
        <f>IFERROR(__xludf.DUMMYFUNCTION("""COMPUTED_VALUE"""),"2A Kiệt 65 Đăng Huy Trứ")</f>
        <v>2A Kiệt 65 Đăng Huy Trứ</v>
      </c>
      <c r="D6789" s="119" t="str">
        <f>IFERROR(__xludf.DUMMYFUNCTION("""COMPUTED_VALUE"""),"Mèo")</f>
        <v>Mèo</v>
      </c>
      <c r="E6789" s="119" t="str">
        <f>IFERROR(__xludf.DUMMYFUNCTION("""COMPUTED_VALUE"""),"Sâu")</f>
        <v>Sâu</v>
      </c>
    </row>
    <row r="6790" ht="15.75" customHeight="1">
      <c r="A6790" s="122" t="str">
        <f>IFERROR(__xludf.DUMMYFUNCTION("""COMPUTED_VALUE"""),"0705 172 473")</f>
        <v>0705 172 473</v>
      </c>
      <c r="B6790" s="119" t="str">
        <f>IFERROR(__xludf.DUMMYFUNCTION("""COMPUTED_VALUE"""),"Anh Bảo")</f>
        <v>Anh Bảo</v>
      </c>
      <c r="C6790" s="119" t="str">
        <f>IFERROR(__xludf.DUMMYFUNCTION("""COMPUTED_VALUE"""),"Bạch Đằng")</f>
        <v>Bạch Đằng</v>
      </c>
      <c r="D6790" s="119" t="str">
        <f>IFERROR(__xludf.DUMMYFUNCTION("""COMPUTED_VALUE"""),"Chó")</f>
        <v>Chó</v>
      </c>
      <c r="E6790" s="119"/>
    </row>
    <row r="6791" ht="15.75" customHeight="1">
      <c r="A6791" s="122" t="str">
        <f>IFERROR(__xludf.DUMMYFUNCTION("""COMPUTED_VALUE"""),"0949 552 259")</f>
        <v>0949 552 259</v>
      </c>
      <c r="B6791" s="119" t="str">
        <f>IFERROR(__xludf.DUMMYFUNCTION("""COMPUTED_VALUE"""),"chị Trúc")</f>
        <v>chị Trúc</v>
      </c>
      <c r="C6791" s="119" t="str">
        <f>IFERROR(__xludf.DUMMYFUNCTION("""COMPUTED_VALUE"""),"106 Lê Ngô Cát")</f>
        <v>106 Lê Ngô Cát</v>
      </c>
      <c r="D6791" s="119" t="str">
        <f>IFERROR(__xludf.DUMMYFUNCTION("""COMPUTED_VALUE"""),"Chó")</f>
        <v>Chó</v>
      </c>
      <c r="E6791" s="119" t="str">
        <f>IFERROR(__xludf.DUMMYFUNCTION("""COMPUTED_VALUE"""),"bu")</f>
        <v>bu</v>
      </c>
    </row>
    <row r="6792" ht="15.75" customHeight="1">
      <c r="A6792" s="122" t="str">
        <f>IFERROR(__xludf.DUMMYFUNCTION("""COMPUTED_VALUE"""),"0329 917 109")</f>
        <v>0329 917 109</v>
      </c>
      <c r="B6792" s="119" t="str">
        <f>IFERROR(__xludf.DUMMYFUNCTION("""COMPUTED_VALUE"""),"Ngô Thị Cúc")</f>
        <v>Ngô Thị Cúc</v>
      </c>
      <c r="C6792" s="119" t="str">
        <f>IFERROR(__xludf.DUMMYFUNCTION("""COMPUTED_VALUE"""),"Di Tây Phú Hô phú vang")</f>
        <v>Di Tây Phú Hô phú vang</v>
      </c>
      <c r="D6792" s="119" t="str">
        <f>IFERROR(__xludf.DUMMYFUNCTION("""COMPUTED_VALUE"""),"Chó")</f>
        <v>Chó</v>
      </c>
      <c r="E6792" s="119"/>
    </row>
    <row r="6793" ht="15.75" customHeight="1">
      <c r="A6793" s="122" t="str">
        <f>IFERROR(__xludf.DUMMYFUNCTION("""COMPUTED_VALUE"""),"0706 242 604")</f>
        <v>0706 242 604</v>
      </c>
      <c r="B6793" s="119" t="str">
        <f>IFERROR(__xludf.DUMMYFUNCTION("""COMPUTED_VALUE"""),"Chị Hà")</f>
        <v>Chị Hà</v>
      </c>
      <c r="C6793" s="119" t="str">
        <f>IFERROR(__xludf.DUMMYFUNCTION("""COMPUTED_VALUE"""),"Minh Mạng")</f>
        <v>Minh Mạng</v>
      </c>
      <c r="D6793" s="119" t="str">
        <f>IFERROR(__xludf.DUMMYFUNCTION("""COMPUTED_VALUE"""),"Chó")</f>
        <v>Chó</v>
      </c>
      <c r="E6793" s="119" t="str">
        <f>IFERROR(__xludf.DUMMYFUNCTION("""COMPUTED_VALUE"""),"Bia")</f>
        <v>Bia</v>
      </c>
    </row>
    <row r="6794" ht="15.75" customHeight="1">
      <c r="A6794" s="122" t="str">
        <f>IFERROR(__xludf.DUMMYFUNCTION("""COMPUTED_VALUE"""),"0905 804 580")</f>
        <v>0905 804 580</v>
      </c>
      <c r="B6794" s="119" t="str">
        <f>IFERROR(__xludf.DUMMYFUNCTION("""COMPUTED_VALUE"""),"Chị Cúc")</f>
        <v>Chị Cúc</v>
      </c>
      <c r="C6794" s="119" t="str">
        <f>IFERROR(__xludf.DUMMYFUNCTION("""COMPUTED_VALUE"""),"29 Võ Liêm Sơn")</f>
        <v>29 Võ Liêm Sơn</v>
      </c>
      <c r="D6794" s="119" t="str">
        <f>IFERROR(__xludf.DUMMYFUNCTION("""COMPUTED_VALUE"""),"Chó")</f>
        <v>Chó</v>
      </c>
      <c r="E6794" s="119" t="str">
        <f>IFERROR(__xludf.DUMMYFUNCTION("""COMPUTED_VALUE"""),"rÔ")</f>
        <v>rÔ</v>
      </c>
    </row>
    <row r="6795" ht="15.75" customHeight="1">
      <c r="A6795" s="122" t="str">
        <f>IFERROR(__xludf.DUMMYFUNCTION("""COMPUTED_VALUE"""),"0329 846 946")</f>
        <v>0329 846 946</v>
      </c>
      <c r="B6795" s="119" t="str">
        <f>IFERROR(__xludf.DUMMYFUNCTION("""COMPUTED_VALUE"""),"Dì Hồ Thị Thu Thủy")</f>
        <v>Dì Hồ Thị Thu Thủy</v>
      </c>
      <c r="C6795" s="119" t="str">
        <f>IFERROR(__xludf.DUMMYFUNCTION("""COMPUTED_VALUE"""),"9/58 Hàm Nghi")</f>
        <v>9/58 Hàm Nghi</v>
      </c>
      <c r="D6795" s="119" t="str">
        <f>IFERROR(__xludf.DUMMYFUNCTION("""COMPUTED_VALUE"""),"Chó")</f>
        <v>Chó</v>
      </c>
      <c r="E6795" s="119" t="str">
        <f>IFERROR(__xludf.DUMMYFUNCTION("""COMPUTED_VALUE"""),"Vàng")</f>
        <v>Vàng</v>
      </c>
    </row>
    <row r="6796" ht="15.75" customHeight="1">
      <c r="A6796" s="122" t="str">
        <f>IFERROR(__xludf.DUMMYFUNCTION("""COMPUTED_VALUE"""),"0905 889 172")</f>
        <v>0905 889 172</v>
      </c>
      <c r="B6796" s="119" t="str">
        <f>IFERROR(__xludf.DUMMYFUNCTION("""COMPUTED_VALUE"""),"Anh Cường")</f>
        <v>Anh Cường</v>
      </c>
      <c r="C6796" s="119" t="str">
        <f>IFERROR(__xludf.DUMMYFUNCTION("""COMPUTED_VALUE"""),"47 An Ninh")</f>
        <v>47 An Ninh</v>
      </c>
      <c r="D6796" s="119" t="str">
        <f>IFERROR(__xludf.DUMMYFUNCTION("""COMPUTED_VALUE"""),"Chó")</f>
        <v>Chó</v>
      </c>
      <c r="E6796" s="119" t="str">
        <f>IFERROR(__xludf.DUMMYFUNCTION("""COMPUTED_VALUE"""),"Lu")</f>
        <v>Lu</v>
      </c>
    </row>
    <row r="6797" ht="15.75" customHeight="1">
      <c r="A6797" s="122" t="str">
        <f>IFERROR(__xludf.DUMMYFUNCTION("""COMPUTED_VALUE"""),"0905 119 783")</f>
        <v>0905 119 783</v>
      </c>
      <c r="B6797" s="119" t="str">
        <f>IFERROR(__xludf.DUMMYFUNCTION("""COMPUTED_VALUE"""),"Chị Vân")</f>
        <v>Chị Vân</v>
      </c>
      <c r="C6797" s="119" t="str">
        <f>IFERROR(__xludf.DUMMYFUNCTION("""COMPUTED_VALUE"""),"122/131 Trần Phú")</f>
        <v>122/131 Trần Phú</v>
      </c>
      <c r="D6797" s="119" t="str">
        <f>IFERROR(__xludf.DUMMYFUNCTION("""COMPUTED_VALUE"""),"Mèo")</f>
        <v>Mèo</v>
      </c>
      <c r="E6797" s="119" t="str">
        <f>IFERROR(__xludf.DUMMYFUNCTION("""COMPUTED_VALUE"""),"Mây")</f>
        <v>Mây</v>
      </c>
    </row>
    <row r="6798" ht="15.75" customHeight="1">
      <c r="A6798" s="122" t="str">
        <f>IFERROR(__xludf.DUMMYFUNCTION("""COMPUTED_VALUE"""),"0779 462 879")</f>
        <v>0779 462 879</v>
      </c>
      <c r="B6798" s="119" t="str">
        <f>IFERROR(__xludf.DUMMYFUNCTION("""COMPUTED_VALUE"""),"Chị Loan")</f>
        <v>Chị Loan</v>
      </c>
      <c r="C6798" s="119" t="str">
        <f>IFERROR(__xludf.DUMMYFUNCTION("""COMPUTED_VALUE"""),"18/1 Chế Lan Viên")</f>
        <v>18/1 Chế Lan Viên</v>
      </c>
      <c r="D6798" s="119" t="str">
        <f>IFERROR(__xludf.DUMMYFUNCTION("""COMPUTED_VALUE"""),"Chó")</f>
        <v>Chó</v>
      </c>
      <c r="E6798" s="119" t="str">
        <f>IFERROR(__xludf.DUMMYFUNCTION("""COMPUTED_VALUE"""),"Gấu")</f>
        <v>Gấu</v>
      </c>
    </row>
    <row r="6799" ht="15.75" customHeight="1">
      <c r="A6799" s="122" t="str">
        <f>IFERROR(__xludf.DUMMYFUNCTION("""COMPUTED_VALUE"""),"0906 583 094")</f>
        <v>0906 583 094</v>
      </c>
      <c r="B6799" s="119" t="str">
        <f>IFERROR(__xludf.DUMMYFUNCTION("""COMPUTED_VALUE"""),"Chị Thoa")</f>
        <v>Chị Thoa</v>
      </c>
      <c r="C6799" s="119" t="str">
        <f>IFERROR(__xludf.DUMMYFUNCTION("""COMPUTED_VALUE"""),"Hương Vinh")</f>
        <v>Hương Vinh</v>
      </c>
      <c r="D6799" s="119" t="str">
        <f>IFERROR(__xludf.DUMMYFUNCTION("""COMPUTED_VALUE"""),"Chó")</f>
        <v>Chó</v>
      </c>
      <c r="E6799" s="119" t="str">
        <f>IFERROR(__xludf.DUMMYFUNCTION("""COMPUTED_VALUE"""),"Pi")</f>
        <v>Pi</v>
      </c>
    </row>
    <row r="6800" ht="15.75" customHeight="1">
      <c r="A6800" s="122" t="str">
        <f>IFERROR(__xludf.DUMMYFUNCTION("""COMPUTED_VALUE"""),"0905 104 175")</f>
        <v>0905 104 175</v>
      </c>
      <c r="B6800" s="119" t="str">
        <f>IFERROR(__xludf.DUMMYFUNCTION("""COMPUTED_VALUE"""),"Anh Trung")</f>
        <v>Anh Trung</v>
      </c>
      <c r="C6800" s="119" t="str">
        <f>IFERROR(__xludf.DUMMYFUNCTION("""COMPUTED_VALUE"""),"50 Đặng Tất")</f>
        <v>50 Đặng Tất</v>
      </c>
      <c r="D6800" s="119" t="str">
        <f>IFERROR(__xludf.DUMMYFUNCTION("""COMPUTED_VALUE"""),"chó")</f>
        <v>chó</v>
      </c>
      <c r="E6800" s="119" t="str">
        <f>IFERROR(__xludf.DUMMYFUNCTION("""COMPUTED_VALUE"""),"Nick")</f>
        <v>Nick</v>
      </c>
    </row>
    <row r="6801" ht="15.75" customHeight="1">
      <c r="A6801" s="122" t="str">
        <f>IFERROR(__xludf.DUMMYFUNCTION("""COMPUTED_VALUE"""),"0386 757 934")</f>
        <v>0386 757 934</v>
      </c>
      <c r="B6801" s="119" t="str">
        <f>IFERROR(__xludf.DUMMYFUNCTION("""COMPUTED_VALUE"""),"Chị Vân")</f>
        <v>Chị Vân</v>
      </c>
      <c r="C6801" s="119" t="str">
        <f>IFERROR(__xludf.DUMMYFUNCTION("""COMPUTED_VALUE"""),"47 Minh Mạng")</f>
        <v>47 Minh Mạng</v>
      </c>
      <c r="D6801" s="119" t="str">
        <f>IFERROR(__xludf.DUMMYFUNCTION("""COMPUTED_VALUE"""),"Chó")</f>
        <v>Chó</v>
      </c>
      <c r="E6801" s="119" t="str">
        <f>IFERROR(__xludf.DUMMYFUNCTION("""COMPUTED_VALUE"""),"Neol")</f>
        <v>Neol</v>
      </c>
    </row>
    <row r="6802" ht="15.75" customHeight="1">
      <c r="A6802" s="122" t="str">
        <f>IFERROR(__xludf.DUMMYFUNCTION("""COMPUTED_VALUE"""),"0766 715 325")</f>
        <v>0766 715 325</v>
      </c>
      <c r="B6802" s="119" t="str">
        <f>IFERROR(__xludf.DUMMYFUNCTION("""COMPUTED_VALUE"""),"Anh Mạnh")</f>
        <v>Anh Mạnh</v>
      </c>
      <c r="C6802" s="119" t="str">
        <f>IFERROR(__xludf.DUMMYFUNCTION("""COMPUTED_VALUE"""),"8/14 Ngự Bình")</f>
        <v>8/14 Ngự Bình</v>
      </c>
      <c r="D6802" s="119" t="str">
        <f>IFERROR(__xludf.DUMMYFUNCTION("""COMPUTED_VALUE"""),"Chó")</f>
        <v>Chó</v>
      </c>
      <c r="E6802" s="119"/>
    </row>
    <row r="6803" ht="15.75" customHeight="1">
      <c r="A6803" s="122" t="str">
        <f>IFERROR(__xludf.DUMMYFUNCTION("""COMPUTED_VALUE"""),"0916 773 073")</f>
        <v>0916 773 073</v>
      </c>
      <c r="B6803" s="119" t="str">
        <f>IFERROR(__xludf.DUMMYFUNCTION("""COMPUTED_VALUE"""),"Hùng")</f>
        <v>Hùng</v>
      </c>
      <c r="C6803" s="119" t="str">
        <f>IFERROR(__xludf.DUMMYFUNCTION("""COMPUTED_VALUE"""),"Trại Giam Bình Điền")</f>
        <v>Trại Giam Bình Điền</v>
      </c>
      <c r="D6803" s="119" t="str">
        <f>IFERROR(__xludf.DUMMYFUNCTION("""COMPUTED_VALUE"""),"Chó")</f>
        <v>Chó</v>
      </c>
      <c r="E6803" s="119" t="str">
        <f>IFERROR(__xludf.DUMMYFUNCTION("""COMPUTED_VALUE"""),"Kem")</f>
        <v>Kem</v>
      </c>
    </row>
    <row r="6804" ht="15.75" customHeight="1">
      <c r="A6804" s="122" t="str">
        <f>IFERROR(__xludf.DUMMYFUNCTION("""COMPUTED_VALUE"""),"0932 494 516")</f>
        <v>0932 494 516</v>
      </c>
      <c r="B6804" s="119" t="str">
        <f>IFERROR(__xludf.DUMMYFUNCTION("""COMPUTED_VALUE"""),"Phúc Bảo")</f>
        <v>Phúc Bảo</v>
      </c>
      <c r="C6804" s="119" t="str">
        <f>IFERROR(__xludf.DUMMYFUNCTION("""COMPUTED_VALUE"""),"5/28/33 An Dương Vương")</f>
        <v>5/28/33 An Dương Vương</v>
      </c>
      <c r="D6804" s="119" t="str">
        <f>IFERROR(__xludf.DUMMYFUNCTION("""COMPUTED_VALUE"""),"Mèo")</f>
        <v>Mèo</v>
      </c>
      <c r="E6804" s="119" t="str">
        <f>IFERROR(__xludf.DUMMYFUNCTION("""COMPUTED_VALUE"""),"Đen")</f>
        <v>Đen</v>
      </c>
    </row>
    <row r="6805" ht="15.75" customHeight="1">
      <c r="A6805" s="122" t="str">
        <f>IFERROR(__xludf.DUMMYFUNCTION("""COMPUTED_VALUE"""),"0905 154 000")</f>
        <v>0905 154 000</v>
      </c>
      <c r="B6805" s="119" t="str">
        <f>IFERROR(__xludf.DUMMYFUNCTION("""COMPUTED_VALUE"""),"Anh Thân")</f>
        <v>Anh Thân</v>
      </c>
      <c r="C6805" s="119" t="str">
        <f>IFERROR(__xludf.DUMMYFUNCTION("""COMPUTED_VALUE"""),"69 Lê Ngô Cát")</f>
        <v>69 Lê Ngô Cát</v>
      </c>
      <c r="D6805" s="119" t="str">
        <f>IFERROR(__xludf.DUMMYFUNCTION("""COMPUTED_VALUE"""),"Chó")</f>
        <v>Chó</v>
      </c>
      <c r="E6805" s="119" t="str">
        <f>IFERROR(__xludf.DUMMYFUNCTION("""COMPUTED_VALUE"""),"Lít")</f>
        <v>Lít</v>
      </c>
    </row>
    <row r="6806" ht="15.75" customHeight="1">
      <c r="A6806" s="122" t="str">
        <f>IFERROR(__xludf.DUMMYFUNCTION("""COMPUTED_VALUE"""),"0762 552 345")</f>
        <v>0762 552 345</v>
      </c>
      <c r="B6806" s="119" t="str">
        <f>IFERROR(__xludf.DUMMYFUNCTION("""COMPUTED_VALUE"""),"Chị Hạnh")</f>
        <v>Chị Hạnh</v>
      </c>
      <c r="C6806" s="119" t="str">
        <f>IFERROR(__xludf.DUMMYFUNCTION("""COMPUTED_VALUE"""),"Thiên Thai")</f>
        <v>Thiên Thai</v>
      </c>
      <c r="D6806" s="119" t="str">
        <f>IFERROR(__xludf.DUMMYFUNCTION("""COMPUTED_VALUE"""),"Chó")</f>
        <v>Chó</v>
      </c>
      <c r="E6806" s="119" t="str">
        <f>IFERROR(__xludf.DUMMYFUNCTION("""COMPUTED_VALUE"""),"Lu")</f>
        <v>Lu</v>
      </c>
    </row>
    <row r="6807" ht="15.75" customHeight="1">
      <c r="A6807" s="122" t="str">
        <f>IFERROR(__xludf.DUMMYFUNCTION("""COMPUTED_VALUE"""),"0977 795 935")</f>
        <v>0977 795 935</v>
      </c>
      <c r="B6807" s="119" t="str">
        <f>IFERROR(__xludf.DUMMYFUNCTION("""COMPUTED_VALUE"""),"Bác Sơn")</f>
        <v>Bác Sơn</v>
      </c>
      <c r="C6807" s="119" t="str">
        <f>IFERROR(__xludf.DUMMYFUNCTION("""COMPUTED_VALUE"""),"Điện cơ SDC KCN hương sơ")</f>
        <v>Điện cơ SDC KCN hương sơ</v>
      </c>
      <c r="D6807" s="119" t="str">
        <f>IFERROR(__xludf.DUMMYFUNCTION("""COMPUTED_VALUE"""),"Chó")</f>
        <v>Chó</v>
      </c>
      <c r="E6807" s="119" t="str">
        <f>IFERROR(__xludf.DUMMYFUNCTION("""COMPUTED_VALUE"""),"ky")</f>
        <v>ky</v>
      </c>
    </row>
    <row r="6808" ht="15.75" customHeight="1">
      <c r="A6808" s="122" t="str">
        <f>IFERROR(__xludf.DUMMYFUNCTION("""COMPUTED_VALUE"""),"0936 441 717")</f>
        <v>0936 441 717</v>
      </c>
      <c r="B6808" s="119" t="str">
        <f>IFERROR(__xludf.DUMMYFUNCTION("""COMPUTED_VALUE"""),"Chị Trinh")</f>
        <v>Chị Trinh</v>
      </c>
      <c r="C6808" s="119" t="str">
        <f>IFERROR(__xludf.DUMMYFUNCTION("""COMPUTED_VALUE"""),"35/165 trần Phú")</f>
        <v>35/165 trần Phú</v>
      </c>
      <c r="D6808" s="119" t="str">
        <f>IFERROR(__xludf.DUMMYFUNCTION("""COMPUTED_VALUE"""),"Chó")</f>
        <v>Chó</v>
      </c>
      <c r="E6808" s="119" t="str">
        <f>IFERROR(__xludf.DUMMYFUNCTION("""COMPUTED_VALUE"""),"RuBi")</f>
        <v>RuBi</v>
      </c>
    </row>
    <row r="6809" ht="15.75" customHeight="1">
      <c r="A6809" s="122" t="str">
        <f>IFERROR(__xludf.DUMMYFUNCTION("""COMPUTED_VALUE"""),"0932 557 830")</f>
        <v>0932 557 830</v>
      </c>
      <c r="B6809" s="119" t="str">
        <f>IFERROR(__xludf.DUMMYFUNCTION("""COMPUTED_VALUE"""),"Anh Linh")</f>
        <v>Anh Linh</v>
      </c>
      <c r="C6809" s="119" t="str">
        <f>IFERROR(__xludf.DUMMYFUNCTION("""COMPUTED_VALUE"""),"Lại tân-Phú Mậu")</f>
        <v>Lại tân-Phú Mậu</v>
      </c>
      <c r="D6809" s="119" t="str">
        <f>IFERROR(__xludf.DUMMYFUNCTION("""COMPUTED_VALUE"""),"Chó")</f>
        <v>Chó</v>
      </c>
      <c r="E6809" s="119" t="str">
        <f>IFERROR(__xludf.DUMMYFUNCTION("""COMPUTED_VALUE"""),"trắng")</f>
        <v>trắng</v>
      </c>
    </row>
    <row r="6810" ht="15.75" customHeight="1">
      <c r="A6810" s="122" t="str">
        <f>IFERROR(__xludf.DUMMYFUNCTION("""COMPUTED_VALUE"""),"0905 836 450")</f>
        <v>0905 836 450</v>
      </c>
      <c r="B6810" s="119" t="str">
        <f>IFERROR(__xludf.DUMMYFUNCTION("""COMPUTED_VALUE"""),"Chú Bình")</f>
        <v>Chú Bình</v>
      </c>
      <c r="C6810" s="119" t="str">
        <f>IFERROR(__xludf.DUMMYFUNCTION("""COMPUTED_VALUE"""),"10/39 Trần Phú")</f>
        <v>10/39 Trần Phú</v>
      </c>
      <c r="D6810" s="119" t="str">
        <f>IFERROR(__xludf.DUMMYFUNCTION("""COMPUTED_VALUE"""),"Chó")</f>
        <v>Chó</v>
      </c>
      <c r="E6810" s="119" t="str">
        <f>IFERROR(__xludf.DUMMYFUNCTION("""COMPUTED_VALUE"""),"sữa")</f>
        <v>sữa</v>
      </c>
    </row>
    <row r="6811" ht="15.75" customHeight="1">
      <c r="A6811" s="122" t="str">
        <f>IFERROR(__xludf.DUMMYFUNCTION("""COMPUTED_VALUE"""),"0399 963 104")</f>
        <v>0399 963 104</v>
      </c>
      <c r="B6811" s="119" t="str">
        <f>IFERROR(__xludf.DUMMYFUNCTION("""COMPUTED_VALUE"""),"Em Hồng Hiếu")</f>
        <v>Em Hồng Hiếu</v>
      </c>
      <c r="C6811" s="119" t="str">
        <f>IFERROR(__xludf.DUMMYFUNCTION("""COMPUTED_VALUE"""),"K56 Duy Tân")</f>
        <v>K56 Duy Tân</v>
      </c>
      <c r="D6811" s="119" t="str">
        <f>IFERROR(__xludf.DUMMYFUNCTION("""COMPUTED_VALUE"""),"Chó")</f>
        <v>Chó</v>
      </c>
      <c r="E6811" s="119"/>
    </row>
    <row r="6812" ht="15.75" customHeight="1">
      <c r="A6812" s="122" t="str">
        <f>IFERROR(__xludf.DUMMYFUNCTION("""COMPUTED_VALUE"""),"0896 206 798")</f>
        <v>0896 206 798</v>
      </c>
      <c r="B6812" s="119" t="str">
        <f>IFERROR(__xludf.DUMMYFUNCTION("""COMPUTED_VALUE"""),"Dương Bảo Ngọc")</f>
        <v>Dương Bảo Ngọc</v>
      </c>
      <c r="C6812" s="119" t="str">
        <f>IFERROR(__xludf.DUMMYFUNCTION("""COMPUTED_VALUE"""),"431 lê duẩn")</f>
        <v>431 lê duẩn</v>
      </c>
      <c r="D6812" s="119" t="str">
        <f>IFERROR(__xludf.DUMMYFUNCTION("""COMPUTED_VALUE"""),"Chó")</f>
        <v>Chó</v>
      </c>
      <c r="E6812" s="119" t="str">
        <f>IFERROR(__xludf.DUMMYFUNCTION("""COMPUTED_VALUE"""),"tút")</f>
        <v>tút</v>
      </c>
    </row>
    <row r="6813" ht="15.75" customHeight="1">
      <c r="A6813" s="122" t="str">
        <f>IFERROR(__xludf.DUMMYFUNCTION("""COMPUTED_VALUE"""),"0963 543 671")</f>
        <v>0963 543 671</v>
      </c>
      <c r="B6813" s="119" t="str">
        <f>IFERROR(__xludf.DUMMYFUNCTION("""COMPUTED_VALUE"""),"Anh Đạt")</f>
        <v>Anh Đạt</v>
      </c>
      <c r="C6813" s="119" t="str">
        <f>IFERROR(__xludf.DUMMYFUNCTION("""COMPUTED_VALUE"""),"Minh Mạng")</f>
        <v>Minh Mạng</v>
      </c>
      <c r="D6813" s="119" t="str">
        <f>IFERROR(__xludf.DUMMYFUNCTION("""COMPUTED_VALUE"""),"Chó")</f>
        <v>Chó</v>
      </c>
      <c r="E6813" s="119" t="str">
        <f>IFERROR(__xludf.DUMMYFUNCTION("""COMPUTED_VALUE"""),"mực")</f>
        <v>mực</v>
      </c>
    </row>
    <row r="6814" ht="15.75" customHeight="1">
      <c r="A6814" s="122" t="str">
        <f>IFERROR(__xludf.DUMMYFUNCTION("""COMPUTED_VALUE"""),"0935 209 597")</f>
        <v>0935 209 597</v>
      </c>
      <c r="B6814" s="119" t="str">
        <f>IFERROR(__xludf.DUMMYFUNCTION("""COMPUTED_VALUE"""),"Thanh Tâm")</f>
        <v>Thanh Tâm</v>
      </c>
      <c r="C6814" s="119" t="str">
        <f>IFERROR(__xludf.DUMMYFUNCTION("""COMPUTED_VALUE"""),"1/18 Đào Tấn")</f>
        <v>1/18 Đào Tấn</v>
      </c>
      <c r="D6814" s="119" t="str">
        <f>IFERROR(__xludf.DUMMYFUNCTION("""COMPUTED_VALUE"""),"Chó")</f>
        <v>Chó</v>
      </c>
      <c r="E6814" s="119" t="str">
        <f>IFERROR(__xludf.DUMMYFUNCTION("""COMPUTED_VALUE"""),"Đen")</f>
        <v>Đen</v>
      </c>
    </row>
    <row r="6815" ht="15.75" customHeight="1">
      <c r="A6815" s="122" t="str">
        <f>IFERROR(__xludf.DUMMYFUNCTION("""COMPUTED_VALUE"""),"0768 407 899")</f>
        <v>0768 407 899</v>
      </c>
      <c r="B6815" s="119" t="str">
        <f>IFERROR(__xludf.DUMMYFUNCTION("""COMPUTED_VALUE"""),"Anh Tuấn")</f>
        <v>Anh Tuấn</v>
      </c>
      <c r="C6815" s="119" t="str">
        <f>IFERROR(__xludf.DUMMYFUNCTION("""COMPUTED_VALUE"""),"1/51 minh Mạng")</f>
        <v>1/51 minh Mạng</v>
      </c>
      <c r="D6815" s="119" t="str">
        <f>IFERROR(__xludf.DUMMYFUNCTION("""COMPUTED_VALUE"""),"Chó")</f>
        <v>Chó</v>
      </c>
      <c r="E6815" s="119" t="str">
        <f>IFERROR(__xludf.DUMMYFUNCTION("""COMPUTED_VALUE"""),"mập")</f>
        <v>mập</v>
      </c>
    </row>
    <row r="6816" ht="15.75" customHeight="1">
      <c r="A6816" s="122" t="str">
        <f>IFERROR(__xludf.DUMMYFUNCTION("""COMPUTED_VALUE"""),"0913 938 095")</f>
        <v>0913 938 095</v>
      </c>
      <c r="B6816" s="119" t="str">
        <f>IFERROR(__xludf.DUMMYFUNCTION("""COMPUTED_VALUE"""),"Chú Trang")</f>
        <v>Chú Trang</v>
      </c>
      <c r="C6816" s="119" t="str">
        <f>IFERROR(__xludf.DUMMYFUNCTION("""COMPUTED_VALUE"""),"Phú Hải- Phú Vang")</f>
        <v>Phú Hải- Phú Vang</v>
      </c>
      <c r="D6816" s="119" t="str">
        <f>IFERROR(__xludf.DUMMYFUNCTION("""COMPUTED_VALUE"""),"Chó")</f>
        <v>Chó</v>
      </c>
      <c r="E6816" s="119" t="str">
        <f>IFERROR(__xludf.DUMMYFUNCTION("""COMPUTED_VALUE"""),"Ken")</f>
        <v>Ken</v>
      </c>
    </row>
    <row r="6817" ht="15.75" customHeight="1">
      <c r="A6817" s="122" t="str">
        <f>IFERROR(__xludf.DUMMYFUNCTION("""COMPUTED_VALUE"""),"0903 514 759")</f>
        <v>0903 514 759</v>
      </c>
      <c r="B6817" s="119" t="str">
        <f>IFERROR(__xludf.DUMMYFUNCTION("""COMPUTED_VALUE"""),"Dì Thanh Loan")</f>
        <v>Dì Thanh Loan</v>
      </c>
      <c r="C6817" s="119" t="str">
        <f>IFERROR(__xludf.DUMMYFUNCTION("""COMPUTED_VALUE"""),"6b/30 Huyền Trân Công Chúa")</f>
        <v>6b/30 Huyền Trân Công Chúa</v>
      </c>
      <c r="D6817" s="119" t="str">
        <f>IFERROR(__xludf.DUMMYFUNCTION("""COMPUTED_VALUE"""),"Chó")</f>
        <v>Chó</v>
      </c>
      <c r="E6817" s="119" t="str">
        <f>IFERROR(__xludf.DUMMYFUNCTION("""COMPUTED_VALUE"""),"Bun")</f>
        <v>Bun</v>
      </c>
    </row>
    <row r="6818" ht="15.75" customHeight="1">
      <c r="A6818" s="122" t="str">
        <f>IFERROR(__xludf.DUMMYFUNCTION("""COMPUTED_VALUE"""),"0782 119 712")</f>
        <v>0782 119 712</v>
      </c>
      <c r="B6818" s="119" t="str">
        <f>IFERROR(__xludf.DUMMYFUNCTION("""COMPUTED_VALUE"""),"Em Quang Huy")</f>
        <v>Em Quang Huy</v>
      </c>
      <c r="C6818" s="119" t="str">
        <f>IFERROR(__xludf.DUMMYFUNCTION("""COMPUTED_VALUE"""),"Thủy Bằng")</f>
        <v>Thủy Bằng</v>
      </c>
      <c r="D6818" s="119" t="str">
        <f>IFERROR(__xludf.DUMMYFUNCTION("""COMPUTED_VALUE"""),"Chó")</f>
        <v>Chó</v>
      </c>
      <c r="E6818" s="119"/>
    </row>
    <row r="6819" ht="15.75" customHeight="1">
      <c r="A6819" s="122" t="str">
        <f>IFERROR(__xludf.DUMMYFUNCTION("""COMPUTED_VALUE"""),"0343 678 986")</f>
        <v>0343 678 986</v>
      </c>
      <c r="B6819" s="119" t="str">
        <f>IFERROR(__xludf.DUMMYFUNCTION("""COMPUTED_VALUE"""),"Em Phú")</f>
        <v>Em Phú</v>
      </c>
      <c r="C6819" s="119" t="str">
        <f>IFERROR(__xludf.DUMMYFUNCTION("""COMPUTED_VALUE"""),"26 Thanh Hải")</f>
        <v>26 Thanh Hải</v>
      </c>
      <c r="D6819" s="119" t="str">
        <f>IFERROR(__xludf.DUMMYFUNCTION("""COMPUTED_VALUE"""),"chó")</f>
        <v>chó</v>
      </c>
      <c r="E6819" s="119" t="str">
        <f>IFERROR(__xludf.DUMMYFUNCTION("""COMPUTED_VALUE"""),"Đóm")</f>
        <v>Đóm</v>
      </c>
    </row>
    <row r="6820" ht="15.75" customHeight="1">
      <c r="A6820" s="122" t="str">
        <f>IFERROR(__xludf.DUMMYFUNCTION("""COMPUTED_VALUE"""),"0912 377 445")</f>
        <v>0912 377 445</v>
      </c>
      <c r="B6820" s="119" t="str">
        <f>IFERROR(__xludf.DUMMYFUNCTION("""COMPUTED_VALUE"""),"Em Hiền")</f>
        <v>Em Hiền</v>
      </c>
      <c r="C6820" s="119" t="str">
        <f>IFERROR(__xludf.DUMMYFUNCTION("""COMPUTED_VALUE"""),"131 Trần Phú")</f>
        <v>131 Trần Phú</v>
      </c>
      <c r="D6820" s="119" t="str">
        <f>IFERROR(__xludf.DUMMYFUNCTION("""COMPUTED_VALUE"""),"Chó")</f>
        <v>Chó</v>
      </c>
      <c r="E6820" s="119" t="str">
        <f>IFERROR(__xludf.DUMMYFUNCTION("""COMPUTED_VALUE"""),"Mon")</f>
        <v>Mon</v>
      </c>
    </row>
    <row r="6821" ht="15.75" customHeight="1">
      <c r="A6821" s="122" t="str">
        <f>IFERROR(__xludf.DUMMYFUNCTION("""COMPUTED_VALUE"""),"0915 058 113")</f>
        <v>0915 058 113</v>
      </c>
      <c r="B6821" s="119" t="str">
        <f>IFERROR(__xludf.DUMMYFUNCTION("""COMPUTED_VALUE"""),"Anh Vấn")</f>
        <v>Anh Vấn</v>
      </c>
      <c r="C6821" s="119" t="str">
        <f>IFERROR(__xludf.DUMMYFUNCTION("""COMPUTED_VALUE"""),"Thủy Bằng")</f>
        <v>Thủy Bằng</v>
      </c>
      <c r="D6821" s="119" t="str">
        <f>IFERROR(__xludf.DUMMYFUNCTION("""COMPUTED_VALUE"""),"Chó")</f>
        <v>Chó</v>
      </c>
      <c r="E6821" s="119" t="str">
        <f>IFERROR(__xludf.DUMMYFUNCTION("""COMPUTED_VALUE"""),"Candy")</f>
        <v>Candy</v>
      </c>
    </row>
    <row r="6822" ht="15.75" customHeight="1">
      <c r="A6822" s="122" t="str">
        <f>IFERROR(__xludf.DUMMYFUNCTION("""COMPUTED_VALUE"""),"0935 770 164")</f>
        <v>0935 770 164</v>
      </c>
      <c r="B6822" s="119" t="str">
        <f>IFERROR(__xludf.DUMMYFUNCTION("""COMPUTED_VALUE"""),"Anh Thủy")</f>
        <v>Anh Thủy</v>
      </c>
      <c r="C6822" s="119" t="str">
        <f>IFERROR(__xludf.DUMMYFUNCTION("""COMPUTED_VALUE"""),"Phú Thượng-Phú Vang")</f>
        <v>Phú Thượng-Phú Vang</v>
      </c>
      <c r="D6822" s="119" t="str">
        <f>IFERROR(__xludf.DUMMYFUNCTION("""COMPUTED_VALUE"""),"Chó")</f>
        <v>Chó</v>
      </c>
      <c r="E6822" s="119"/>
    </row>
    <row r="6823" ht="15.75" customHeight="1">
      <c r="A6823" s="122" t="str">
        <f>IFERROR(__xludf.DUMMYFUNCTION("""COMPUTED_VALUE"""),"0935 080 699")</f>
        <v>0935 080 699</v>
      </c>
      <c r="B6823" s="119" t="str">
        <f>IFERROR(__xludf.DUMMYFUNCTION("""COMPUTED_VALUE"""),"Anh Hùng")</f>
        <v>Anh Hùng</v>
      </c>
      <c r="C6823" s="119" t="str">
        <f>IFERROR(__xludf.DUMMYFUNCTION("""COMPUTED_VALUE"""),"7 Chế Lan Viên")</f>
        <v>7 Chế Lan Viên</v>
      </c>
      <c r="D6823" s="119" t="str">
        <f>IFERROR(__xludf.DUMMYFUNCTION("""COMPUTED_VALUE"""),"Chó")</f>
        <v>Chó</v>
      </c>
      <c r="E6823" s="119"/>
    </row>
    <row r="6824" ht="15.75" customHeight="1">
      <c r="A6824" s="122" t="str">
        <f>IFERROR(__xludf.DUMMYFUNCTION("""COMPUTED_VALUE"""),"0899 917 710")</f>
        <v>0899 917 710</v>
      </c>
      <c r="B6824" s="119" t="str">
        <f>IFERROR(__xludf.DUMMYFUNCTION("""COMPUTED_VALUE"""),"Chị Băng")</f>
        <v>Chị Băng</v>
      </c>
      <c r="C6824" s="119" t="str">
        <f>IFERROR(__xludf.DUMMYFUNCTION("""COMPUTED_VALUE"""),"12 Duy Tân")</f>
        <v>12 Duy Tân</v>
      </c>
      <c r="D6824" s="119" t="str">
        <f>IFERROR(__xludf.DUMMYFUNCTION("""COMPUTED_VALUE"""),"Chó")</f>
        <v>Chó</v>
      </c>
      <c r="E6824" s="119" t="str">
        <f>IFERROR(__xludf.DUMMYFUNCTION("""COMPUTED_VALUE"""),"Gấu")</f>
        <v>Gấu</v>
      </c>
    </row>
    <row r="6825" ht="15.75" customHeight="1">
      <c r="A6825" s="122" t="str">
        <f>IFERROR(__xludf.DUMMYFUNCTION("""COMPUTED_VALUE"""),"0357 544 154")</f>
        <v>0357 544 154</v>
      </c>
      <c r="B6825" s="119" t="str">
        <f>IFERROR(__xludf.DUMMYFUNCTION("""COMPUTED_VALUE"""),"Chị Nhi")</f>
        <v>Chị Nhi</v>
      </c>
      <c r="C6825" s="119" t="str">
        <f>IFERROR(__xludf.DUMMYFUNCTION("""COMPUTED_VALUE"""),"Thủy Bằng")</f>
        <v>Thủy Bằng</v>
      </c>
      <c r="D6825" s="119" t="str">
        <f>IFERROR(__xludf.DUMMYFUNCTION("""COMPUTED_VALUE"""),"Chó")</f>
        <v>Chó</v>
      </c>
      <c r="E6825" s="119" t="str">
        <f>IFERROR(__xludf.DUMMYFUNCTION("""COMPUTED_VALUE"""),"Dừa")</f>
        <v>Dừa</v>
      </c>
    </row>
    <row r="6826" ht="15.75" customHeight="1">
      <c r="A6826" s="122" t="str">
        <f>IFERROR(__xludf.DUMMYFUNCTION("""COMPUTED_VALUE"""),"0898 178 333")</f>
        <v>0898 178 333</v>
      </c>
      <c r="B6826" s="119" t="str">
        <f>IFERROR(__xludf.DUMMYFUNCTION("""COMPUTED_VALUE"""),"Em Tường")</f>
        <v>Em Tường</v>
      </c>
      <c r="C6826" s="119" t="str">
        <f>IFERROR(__xludf.DUMMYFUNCTION("""COMPUTED_VALUE"""),"1A/6 Đoàn Hữu Trưng")</f>
        <v>1A/6 Đoàn Hữu Trưng</v>
      </c>
      <c r="D6826" s="119" t="str">
        <f>IFERROR(__xludf.DUMMYFUNCTION("""COMPUTED_VALUE"""),"Chó")</f>
        <v>Chó</v>
      </c>
      <c r="E6826" s="119" t="str">
        <f>IFERROR(__xludf.DUMMYFUNCTION("""COMPUTED_VALUE"""),"Bao")</f>
        <v>Bao</v>
      </c>
    </row>
    <row r="6827" ht="15.75" customHeight="1">
      <c r="A6827" s="122" t="str">
        <f>IFERROR(__xludf.DUMMYFUNCTION("""COMPUTED_VALUE"""),"0905 555 957")</f>
        <v>0905 555 957</v>
      </c>
      <c r="B6827" s="119" t="str">
        <f>IFERROR(__xludf.DUMMYFUNCTION("""COMPUTED_VALUE"""),"Anh Quang Huy")</f>
        <v>Anh Quang Huy</v>
      </c>
      <c r="C6827" s="119" t="str">
        <f>IFERROR(__xludf.DUMMYFUNCTION("""COMPUTED_VALUE"""),"k65 lê Ngô Cát")</f>
        <v>k65 lê Ngô Cát</v>
      </c>
      <c r="D6827" s="119" t="str">
        <f>IFERROR(__xludf.DUMMYFUNCTION("""COMPUTED_VALUE"""),"Chó")</f>
        <v>Chó</v>
      </c>
      <c r="E6827" s="119" t="str">
        <f>IFERROR(__xludf.DUMMYFUNCTION("""COMPUTED_VALUE"""),"Ky")</f>
        <v>Ky</v>
      </c>
    </row>
    <row r="6828" ht="15.75" customHeight="1">
      <c r="A6828" s="122" t="str">
        <f>IFERROR(__xludf.DUMMYFUNCTION("""COMPUTED_VALUE"""),"0346 776 686")</f>
        <v>0346 776 686</v>
      </c>
      <c r="B6828" s="119" t="str">
        <f>IFERROR(__xludf.DUMMYFUNCTION("""COMPUTED_VALUE"""),"Nguyễn Văn Sơn")</f>
        <v>Nguyễn Văn Sơn</v>
      </c>
      <c r="C6828" s="119" t="str">
        <f>IFERROR(__xludf.DUMMYFUNCTION("""COMPUTED_VALUE"""),"trại giam Bình Điền")</f>
        <v>trại giam Bình Điền</v>
      </c>
      <c r="D6828" s="119" t="str">
        <f>IFERROR(__xludf.DUMMYFUNCTION("""COMPUTED_VALUE"""),"Chó")</f>
        <v>Chó</v>
      </c>
      <c r="E6828" s="119"/>
    </row>
    <row r="6829" ht="15.75" customHeight="1">
      <c r="A6829" s="122" t="str">
        <f>IFERROR(__xludf.DUMMYFUNCTION("""COMPUTED_VALUE"""),"0948 193 252")</f>
        <v>0948 193 252</v>
      </c>
      <c r="B6829" s="119" t="str">
        <f>IFERROR(__xludf.DUMMYFUNCTION("""COMPUTED_VALUE"""),"Dì Thuận")</f>
        <v>Dì Thuận</v>
      </c>
      <c r="C6829" s="119" t="str">
        <f>IFERROR(__xludf.DUMMYFUNCTION("""COMPUTED_VALUE"""),"24/46 Trần Phú")</f>
        <v>24/46 Trần Phú</v>
      </c>
      <c r="D6829" s="119" t="str">
        <f>IFERROR(__xludf.DUMMYFUNCTION("""COMPUTED_VALUE"""),"Chuột")</f>
        <v>Chuột</v>
      </c>
      <c r="E6829" s="119" t="str">
        <f>IFERROR(__xludf.DUMMYFUNCTION("""COMPUTED_VALUE"""),"Cafe")</f>
        <v>Cafe</v>
      </c>
    </row>
    <row r="6830" ht="15.75" customHeight="1">
      <c r="A6830" s="122" t="str">
        <f>IFERROR(__xludf.DUMMYFUNCTION("""COMPUTED_VALUE"""),"0905 065 554")</f>
        <v>0905 065 554</v>
      </c>
      <c r="B6830" s="119" t="str">
        <f>IFERROR(__xludf.DUMMYFUNCTION("""COMPUTED_VALUE"""),"Chị Hương")</f>
        <v>Chị Hương</v>
      </c>
      <c r="C6830" s="119" t="str">
        <f>IFERROR(__xludf.DUMMYFUNCTION("""COMPUTED_VALUE"""),"2A/51/131 Trần Phú")</f>
        <v>2A/51/131 Trần Phú</v>
      </c>
      <c r="D6830" s="119" t="str">
        <f>IFERROR(__xludf.DUMMYFUNCTION("""COMPUTED_VALUE"""),"Chó")</f>
        <v>Chó</v>
      </c>
      <c r="E6830" s="119" t="str">
        <f>IFERROR(__xludf.DUMMYFUNCTION("""COMPUTED_VALUE"""),"Mun")</f>
        <v>Mun</v>
      </c>
    </row>
    <row r="6831" ht="15.75" customHeight="1">
      <c r="A6831" s="122" t="str">
        <f>IFERROR(__xludf.DUMMYFUNCTION("""COMPUTED_VALUE"""),"0889 212 108")</f>
        <v>0889 212 108</v>
      </c>
      <c r="B6831" s="119" t="str">
        <f>IFERROR(__xludf.DUMMYFUNCTION("""COMPUTED_VALUE"""),"Như Nguyên")</f>
        <v>Như Nguyên</v>
      </c>
      <c r="C6831" s="119" t="str">
        <f>IFERROR(__xludf.DUMMYFUNCTION("""COMPUTED_VALUE"""),"7/49 Ngự Bình")</f>
        <v>7/49 Ngự Bình</v>
      </c>
      <c r="D6831" s="119" t="str">
        <f>IFERROR(__xludf.DUMMYFUNCTION("""COMPUTED_VALUE"""),"Chó")</f>
        <v>Chó</v>
      </c>
      <c r="E6831" s="119" t="str">
        <f>IFERROR(__xludf.DUMMYFUNCTION("""COMPUTED_VALUE"""),"Mít")</f>
        <v>Mít</v>
      </c>
    </row>
    <row r="6832" ht="15.75" customHeight="1">
      <c r="A6832" s="122" t="str">
        <f>IFERROR(__xludf.DUMMYFUNCTION("""COMPUTED_VALUE"""),"0904 037 894")</f>
        <v>0904 037 894</v>
      </c>
      <c r="B6832" s="119" t="str">
        <f>IFERROR(__xludf.DUMMYFUNCTION("""COMPUTED_VALUE"""),"Chị Nhi")</f>
        <v>Chị Nhi</v>
      </c>
      <c r="C6832" s="119" t="str">
        <f>IFERROR(__xludf.DUMMYFUNCTION("""COMPUTED_VALUE"""),"7/376 Bạch Đằng")</f>
        <v>7/376 Bạch Đằng</v>
      </c>
      <c r="D6832" s="119" t="str">
        <f>IFERROR(__xludf.DUMMYFUNCTION("""COMPUTED_VALUE"""),"Chó")</f>
        <v>Chó</v>
      </c>
      <c r="E6832" s="119" t="str">
        <f>IFERROR(__xludf.DUMMYFUNCTION("""COMPUTED_VALUE"""),"Bông")</f>
        <v>Bông</v>
      </c>
    </row>
    <row r="6833" ht="15.75" customHeight="1">
      <c r="A6833" s="122" t="str">
        <f>IFERROR(__xludf.DUMMYFUNCTION("""COMPUTED_VALUE"""),"0778 811 274")</f>
        <v>0778 811 274</v>
      </c>
      <c r="B6833" s="119" t="str">
        <f>IFERROR(__xludf.DUMMYFUNCTION("""COMPUTED_VALUE"""),"Em My")</f>
        <v>Em My</v>
      </c>
      <c r="C6833" s="119" t="str">
        <f>IFERROR(__xludf.DUMMYFUNCTION("""COMPUTED_VALUE"""),"K85 An Dương Vương")</f>
        <v>K85 An Dương Vương</v>
      </c>
      <c r="D6833" s="119" t="str">
        <f>IFERROR(__xludf.DUMMYFUNCTION("""COMPUTED_VALUE"""),"Chó")</f>
        <v>Chó</v>
      </c>
      <c r="E6833" s="119" t="str">
        <f>IFERROR(__xludf.DUMMYFUNCTION("""COMPUTED_VALUE"""),"Tin")</f>
        <v>Tin</v>
      </c>
    </row>
    <row r="6834" ht="15.75" customHeight="1">
      <c r="A6834" s="122" t="str">
        <f>IFERROR(__xludf.DUMMYFUNCTION("""COMPUTED_VALUE"""),"0835 121 718")</f>
        <v>0835 121 718</v>
      </c>
      <c r="B6834" s="119" t="str">
        <f>IFERROR(__xludf.DUMMYFUNCTION("""COMPUTED_VALUE"""),"chị Lan Hương")</f>
        <v>chị Lan Hương</v>
      </c>
      <c r="C6834" s="119" t="str">
        <f>IFERROR(__xludf.DUMMYFUNCTION("""COMPUTED_VALUE"""),"4/4/k284 Phan Chu Trinh")</f>
        <v>4/4/k284 Phan Chu Trinh</v>
      </c>
      <c r="D6834" s="119" t="str">
        <f>IFERROR(__xludf.DUMMYFUNCTION("""COMPUTED_VALUE"""),"Mèo")</f>
        <v>Mèo</v>
      </c>
      <c r="E6834" s="119" t="str">
        <f>IFERROR(__xludf.DUMMYFUNCTION("""COMPUTED_VALUE"""),"Moca (Mập)")</f>
        <v>Moca (Mập)</v>
      </c>
    </row>
    <row r="6835" ht="15.75" customHeight="1">
      <c r="A6835" s="122" t="str">
        <f>IFERROR(__xludf.DUMMYFUNCTION("""COMPUTED_VALUE"""),"0814 813 668")</f>
        <v>0814 813 668</v>
      </c>
      <c r="B6835" s="119" t="str">
        <f>IFERROR(__xludf.DUMMYFUNCTION("""COMPUTED_VALUE"""),"Thầy Hiền")</f>
        <v>Thầy Hiền</v>
      </c>
      <c r="C6835" s="119" t="str">
        <f>IFERROR(__xludf.DUMMYFUNCTION("""COMPUTED_VALUE"""),"Chùa Bảo Quốc")</f>
        <v>Chùa Bảo Quốc</v>
      </c>
      <c r="D6835" s="119" t="str">
        <f>IFERROR(__xludf.DUMMYFUNCTION("""COMPUTED_VALUE"""),"Chó")</f>
        <v>Chó</v>
      </c>
      <c r="E6835" s="119"/>
    </row>
    <row r="6836" ht="15.75" customHeight="1">
      <c r="A6836" s="122" t="str">
        <f>IFERROR(__xludf.DUMMYFUNCTION("""COMPUTED_VALUE"""),"0378 067 903")</f>
        <v>0378 067 903</v>
      </c>
      <c r="B6836" s="119" t="str">
        <f>IFERROR(__xludf.DUMMYFUNCTION("""COMPUTED_VALUE"""),"Chị Thúy")</f>
        <v>Chị Thúy</v>
      </c>
      <c r="C6836" s="119" t="str">
        <f>IFERROR(__xludf.DUMMYFUNCTION("""COMPUTED_VALUE"""),"Phú Lộc")</f>
        <v>Phú Lộc</v>
      </c>
      <c r="D6836" s="119" t="str">
        <f>IFERROR(__xludf.DUMMYFUNCTION("""COMPUTED_VALUE"""),"Chó")</f>
        <v>Chó</v>
      </c>
      <c r="E6836" s="119" t="str">
        <f>IFERROR(__xludf.DUMMYFUNCTION("""COMPUTED_VALUE"""),"Lạp Xưởng")</f>
        <v>Lạp Xưởng</v>
      </c>
    </row>
    <row r="6837" ht="15.75" customHeight="1">
      <c r="A6837" s="122" t="str">
        <f>IFERROR(__xludf.DUMMYFUNCTION("""COMPUTED_VALUE"""),"0905 755 152")</f>
        <v>0905 755 152</v>
      </c>
      <c r="B6837" s="119" t="str">
        <f>IFERROR(__xludf.DUMMYFUNCTION("""COMPUTED_VALUE"""),"Dì Bê")</f>
        <v>Dì Bê</v>
      </c>
      <c r="C6837" s="119" t="str">
        <f>IFERROR(__xludf.DUMMYFUNCTION("""COMPUTED_VALUE"""),"7/6/19/69 Lê ngô Cát")</f>
        <v>7/6/19/69 Lê ngô Cát</v>
      </c>
      <c r="D6837" s="119" t="str">
        <f>IFERROR(__xludf.DUMMYFUNCTION("""COMPUTED_VALUE"""),"Chó")</f>
        <v>Chó</v>
      </c>
      <c r="E6837" s="119"/>
    </row>
    <row r="6838" ht="15.75" customHeight="1">
      <c r="A6838" s="122" t="str">
        <f>IFERROR(__xludf.DUMMYFUNCTION("""COMPUTED_VALUE"""),"0933 569 067")</f>
        <v>0933 569 067</v>
      </c>
      <c r="B6838" s="119" t="str">
        <f>IFERROR(__xludf.DUMMYFUNCTION("""COMPUTED_VALUE"""),"Dì Ngọt")</f>
        <v>Dì Ngọt</v>
      </c>
      <c r="C6838" s="119" t="str">
        <f>IFERROR(__xludf.DUMMYFUNCTION("""COMPUTED_VALUE"""),"25/131 Trần Phú")</f>
        <v>25/131 Trần Phú</v>
      </c>
      <c r="D6838" s="119" t="str">
        <f>IFERROR(__xludf.DUMMYFUNCTION("""COMPUTED_VALUE"""),"Chó")</f>
        <v>Chó</v>
      </c>
      <c r="E6838" s="119" t="str">
        <f>IFERROR(__xludf.DUMMYFUNCTION("""COMPUTED_VALUE"""),"Milu")</f>
        <v>Milu</v>
      </c>
    </row>
    <row r="6839" ht="15.75" customHeight="1">
      <c r="A6839" s="122" t="str">
        <f>IFERROR(__xludf.DUMMYFUNCTION("""COMPUTED_VALUE"""),"0964 542 046")</f>
        <v>0964 542 046</v>
      </c>
      <c r="B6839" s="119" t="str">
        <f>IFERROR(__xludf.DUMMYFUNCTION("""COMPUTED_VALUE"""),"Hoài Thương")</f>
        <v>Hoài Thương</v>
      </c>
      <c r="C6839" s="119" t="str">
        <f>IFERROR(__xludf.DUMMYFUNCTION("""COMPUTED_VALUE"""),"145B Đặng Huy Trứ")</f>
        <v>145B Đặng Huy Trứ</v>
      </c>
      <c r="D6839" s="119" t="str">
        <f>IFERROR(__xludf.DUMMYFUNCTION("""COMPUTED_VALUE"""),"Chó")</f>
        <v>Chó</v>
      </c>
      <c r="E6839" s="119" t="str">
        <f>IFERROR(__xludf.DUMMYFUNCTION("""COMPUTED_VALUE"""),"Kuro")</f>
        <v>Kuro</v>
      </c>
    </row>
    <row r="6840" ht="15.75" customHeight="1">
      <c r="A6840" s="122" t="str">
        <f>IFERROR(__xludf.DUMMYFUNCTION("""COMPUTED_VALUE"""),"0946 144 443")</f>
        <v>0946 144 443</v>
      </c>
      <c r="B6840" s="119" t="str">
        <f>IFERROR(__xludf.DUMMYFUNCTION("""COMPUTED_VALUE"""),"Huyền")</f>
        <v>Huyền</v>
      </c>
      <c r="C6840" s="119" t="str">
        <f>IFERROR(__xludf.DUMMYFUNCTION("""COMPUTED_VALUE"""),"Phong Điền")</f>
        <v>Phong Điền</v>
      </c>
      <c r="D6840" s="119" t="str">
        <f>IFERROR(__xludf.DUMMYFUNCTION("""COMPUTED_VALUE"""),"Chó")</f>
        <v>Chó</v>
      </c>
      <c r="E6840" s="119" t="str">
        <f>IFERROR(__xludf.DUMMYFUNCTION("""COMPUTED_VALUE"""),"Gấu")</f>
        <v>Gấu</v>
      </c>
    </row>
    <row r="6841" ht="15.75" customHeight="1">
      <c r="A6841" s="122" t="str">
        <f>IFERROR(__xludf.DUMMYFUNCTION("""COMPUTED_VALUE"""),"0898 234 573")</f>
        <v>0898 234 573</v>
      </c>
      <c r="B6841" s="119" t="str">
        <f>IFERROR(__xludf.DUMMYFUNCTION("""COMPUTED_VALUE"""),"Em Trâm")</f>
        <v>Em Trâm</v>
      </c>
      <c r="C6841" s="119" t="str">
        <f>IFERROR(__xludf.DUMMYFUNCTION("""COMPUTED_VALUE"""),"1/10/104 Điện Biên Phủ")</f>
        <v>1/10/104 Điện Biên Phủ</v>
      </c>
      <c r="D6841" s="119" t="str">
        <f>IFERROR(__xludf.DUMMYFUNCTION("""COMPUTED_VALUE"""),"Chó")</f>
        <v>Chó</v>
      </c>
      <c r="E6841" s="119" t="str">
        <f>IFERROR(__xludf.DUMMYFUNCTION("""COMPUTED_VALUE"""),"Bi")</f>
        <v>Bi</v>
      </c>
    </row>
    <row r="6842" ht="15.75" customHeight="1">
      <c r="A6842" s="122" t="str">
        <f>IFERROR(__xludf.DUMMYFUNCTION("""COMPUTED_VALUE"""),"0962 288 505")</f>
        <v>0962 288 505</v>
      </c>
      <c r="B6842" s="119" t="str">
        <f>IFERROR(__xludf.DUMMYFUNCTION("""COMPUTED_VALUE"""),"Lê Thị Lan")</f>
        <v>Lê Thị Lan</v>
      </c>
      <c r="C6842" s="119" t="str">
        <f>IFERROR(__xludf.DUMMYFUNCTION("""COMPUTED_VALUE"""),"1A K9 Bảo Quốc")</f>
        <v>1A K9 Bảo Quốc</v>
      </c>
      <c r="D6842" s="119" t="str">
        <f>IFERROR(__xludf.DUMMYFUNCTION("""COMPUTED_VALUE"""),"Chó")</f>
        <v>Chó</v>
      </c>
      <c r="E6842" s="119" t="str">
        <f>IFERROR(__xludf.DUMMYFUNCTION("""COMPUTED_VALUE"""),"Ky")</f>
        <v>Ky</v>
      </c>
    </row>
    <row r="6843" ht="15.75" customHeight="1">
      <c r="A6843" s="122" t="str">
        <f>IFERROR(__xludf.DUMMYFUNCTION("""COMPUTED_VALUE"""),"0828 086 199")</f>
        <v>0828 086 199</v>
      </c>
      <c r="B6843" s="119" t="str">
        <f>IFERROR(__xludf.DUMMYFUNCTION("""COMPUTED_VALUE"""),"Chị Hồng")</f>
        <v>Chị Hồng</v>
      </c>
      <c r="C6843" s="119" t="str">
        <f>IFERROR(__xludf.DUMMYFUNCTION("""COMPUTED_VALUE"""),"k50 Thiên thai")</f>
        <v>k50 Thiên thai</v>
      </c>
      <c r="D6843" s="119" t="str">
        <f>IFERROR(__xludf.DUMMYFUNCTION("""COMPUTED_VALUE"""),"Chó")</f>
        <v>Chó</v>
      </c>
      <c r="E6843" s="119" t="str">
        <f>IFERROR(__xludf.DUMMYFUNCTION("""COMPUTED_VALUE"""),"Khoai tây")</f>
        <v>Khoai tây</v>
      </c>
    </row>
    <row r="6844" ht="15.75" customHeight="1">
      <c r="A6844" s="122" t="str">
        <f>IFERROR(__xludf.DUMMYFUNCTION("""COMPUTED_VALUE"""),"0772 505 151")</f>
        <v>0772 505 151</v>
      </c>
      <c r="B6844" s="119" t="str">
        <f>IFERROR(__xludf.DUMMYFUNCTION("""COMPUTED_VALUE"""),"Chị linh")</f>
        <v>Chị linh</v>
      </c>
      <c r="C6844" s="119" t="str">
        <f>IFERROR(__xludf.DUMMYFUNCTION("""COMPUTED_VALUE"""),"21 Hồ Đắc Di")</f>
        <v>21 Hồ Đắc Di</v>
      </c>
      <c r="D6844" s="119" t="str">
        <f>IFERROR(__xludf.DUMMYFUNCTION("""COMPUTED_VALUE"""),"Chó")</f>
        <v>Chó</v>
      </c>
      <c r="E6844" s="119" t="str">
        <f>IFERROR(__xludf.DUMMYFUNCTION("""COMPUTED_VALUE"""),"Nô")</f>
        <v>Nô</v>
      </c>
    </row>
    <row r="6845" ht="15.75" customHeight="1">
      <c r="A6845" s="122" t="str">
        <f>IFERROR(__xludf.DUMMYFUNCTION("""COMPUTED_VALUE"""),"0703 115 119")</f>
        <v>0703 115 119</v>
      </c>
      <c r="B6845" s="119" t="str">
        <f>IFERROR(__xludf.DUMMYFUNCTION("""COMPUTED_VALUE"""),"Chị Thanh")</f>
        <v>Chị Thanh</v>
      </c>
      <c r="C6845" s="119" t="str">
        <f>IFERROR(__xludf.DUMMYFUNCTION("""COMPUTED_VALUE"""),"272 Điện Biên Phủ")</f>
        <v>272 Điện Biên Phủ</v>
      </c>
      <c r="D6845" s="119" t="str">
        <f>IFERROR(__xludf.DUMMYFUNCTION("""COMPUTED_VALUE"""),"Chó")</f>
        <v>Chó</v>
      </c>
      <c r="E6845" s="119" t="str">
        <f>IFERROR(__xludf.DUMMYFUNCTION("""COMPUTED_VALUE"""),"Lucky")</f>
        <v>Lucky</v>
      </c>
    </row>
    <row r="6846" ht="15.75" customHeight="1">
      <c r="A6846" s="122" t="str">
        <f>IFERROR(__xludf.DUMMYFUNCTION("""COMPUTED_VALUE"""),"0905 557 566")</f>
        <v>0905 557 566</v>
      </c>
      <c r="B6846" s="119" t="str">
        <f>IFERROR(__xludf.DUMMYFUNCTION("""COMPUTED_VALUE"""),"Anh Lê Quang Lâm")</f>
        <v>Anh Lê Quang Lâm</v>
      </c>
      <c r="C6846" s="119" t="str">
        <f>IFERROR(__xludf.DUMMYFUNCTION("""COMPUTED_VALUE"""),"4/44 Lê Ngô Cát")</f>
        <v>4/44 Lê Ngô Cát</v>
      </c>
      <c r="D6846" s="119" t="str">
        <f>IFERROR(__xludf.DUMMYFUNCTION("""COMPUTED_VALUE"""),"Chó")</f>
        <v>Chó</v>
      </c>
      <c r="E6846" s="119" t="str">
        <f>IFERROR(__xludf.DUMMYFUNCTION("""COMPUTED_VALUE"""),"Ky")</f>
        <v>Ky</v>
      </c>
    </row>
    <row r="6847" ht="15.75" customHeight="1">
      <c r="A6847" s="122" t="str">
        <f>IFERROR(__xludf.DUMMYFUNCTION("""COMPUTED_VALUE"""),"0926 232 552")</f>
        <v>0926 232 552</v>
      </c>
      <c r="B6847" s="119" t="str">
        <f>IFERROR(__xludf.DUMMYFUNCTION("""COMPUTED_VALUE"""),"Trần Xuân Bắc")</f>
        <v>Trần Xuân Bắc</v>
      </c>
      <c r="C6847" s="119" t="str">
        <f>IFERROR(__xludf.DUMMYFUNCTION("""COMPUTED_VALUE"""),"8/54/131 Trần Phú")</f>
        <v>8/54/131 Trần Phú</v>
      </c>
      <c r="D6847" s="119" t="str">
        <f>IFERROR(__xludf.DUMMYFUNCTION("""COMPUTED_VALUE"""),"Chó")</f>
        <v>Chó</v>
      </c>
      <c r="E6847" s="119" t="str">
        <f>IFERROR(__xludf.DUMMYFUNCTION("""COMPUTED_VALUE"""),"gấu")</f>
        <v>gấu</v>
      </c>
    </row>
    <row r="6848" ht="15.75" customHeight="1">
      <c r="A6848" s="122" t="str">
        <f>IFERROR(__xludf.DUMMYFUNCTION("""COMPUTED_VALUE"""),"0338 285 021")</f>
        <v>0338 285 021</v>
      </c>
      <c r="B6848" s="119" t="str">
        <f>IFERROR(__xludf.DUMMYFUNCTION("""COMPUTED_VALUE"""),"Chị Lành")</f>
        <v>Chị Lành</v>
      </c>
      <c r="C6848" s="119" t="str">
        <f>IFERROR(__xludf.DUMMYFUNCTION("""COMPUTED_VALUE"""),"131 Phan Bội Châu")</f>
        <v>131 Phan Bội Châu</v>
      </c>
      <c r="D6848" s="119" t="str">
        <f>IFERROR(__xludf.DUMMYFUNCTION("""COMPUTED_VALUE"""),"Mèo")</f>
        <v>Mèo</v>
      </c>
      <c r="E6848" s="119"/>
    </row>
    <row r="6849" ht="15.75" customHeight="1">
      <c r="A6849" s="122" t="str">
        <f>IFERROR(__xludf.DUMMYFUNCTION("""COMPUTED_VALUE"""),"0934 782 073")</f>
        <v>0934 782 073</v>
      </c>
      <c r="B6849" s="119" t="str">
        <f>IFERROR(__xludf.DUMMYFUNCTION("""COMPUTED_VALUE"""),"Diệp Thị Ngọc Bích")</f>
        <v>Diệp Thị Ngọc Bích</v>
      </c>
      <c r="C6849" s="119" t="str">
        <f>IFERROR(__xludf.DUMMYFUNCTION("""COMPUTED_VALUE"""),"14/68 Điện Biên Phủ")</f>
        <v>14/68 Điện Biên Phủ</v>
      </c>
      <c r="D6849" s="119" t="str">
        <f>IFERROR(__xludf.DUMMYFUNCTION("""COMPUTED_VALUE"""),"Mèo")</f>
        <v>Mèo</v>
      </c>
      <c r="E6849" s="119" t="str">
        <f>IFERROR(__xludf.DUMMYFUNCTION("""COMPUTED_VALUE"""),"tomate")</f>
        <v>tomate</v>
      </c>
    </row>
    <row r="6850" ht="15.75" customHeight="1">
      <c r="A6850" s="122" t="str">
        <f>IFERROR(__xludf.DUMMYFUNCTION("""COMPUTED_VALUE"""),"0854 369 302")</f>
        <v>0854 369 302</v>
      </c>
      <c r="B6850" s="119" t="str">
        <f>IFERROR(__xludf.DUMMYFUNCTION("""COMPUTED_VALUE"""),"Em Xuân Tiền")</f>
        <v>Em Xuân Tiền</v>
      </c>
      <c r="C6850" s="119" t="str">
        <f>IFERROR(__xludf.DUMMYFUNCTION("""COMPUTED_VALUE"""),"167 Lê Ngô Cát")</f>
        <v>167 Lê Ngô Cát</v>
      </c>
      <c r="D6850" s="119" t="str">
        <f>IFERROR(__xludf.DUMMYFUNCTION("""COMPUTED_VALUE"""),"Chó")</f>
        <v>Chó</v>
      </c>
      <c r="E6850" s="119"/>
    </row>
    <row r="6851" ht="15.75" customHeight="1">
      <c r="A6851" s="122" t="str">
        <f>IFERROR(__xludf.DUMMYFUNCTION("""COMPUTED_VALUE"""),"0706 230 012")</f>
        <v>0706 230 012</v>
      </c>
      <c r="B6851" s="119" t="str">
        <f>IFERROR(__xludf.DUMMYFUNCTION("""COMPUTED_VALUE"""),"Dì Lê")</f>
        <v>Dì Lê</v>
      </c>
      <c r="C6851" s="119" t="str">
        <f>IFERROR(__xludf.DUMMYFUNCTION("""COMPUTED_VALUE"""),"59 Phạm Văn Đồng")</f>
        <v>59 Phạm Văn Đồng</v>
      </c>
      <c r="D6851" s="119" t="str">
        <f>IFERROR(__xludf.DUMMYFUNCTION("""COMPUTED_VALUE"""),"Chó")</f>
        <v>Chó</v>
      </c>
      <c r="E6851" s="119" t="str">
        <f>IFERROR(__xludf.DUMMYFUNCTION("""COMPUTED_VALUE"""),"Sữa")</f>
        <v>Sữa</v>
      </c>
    </row>
    <row r="6852" ht="15.75" customHeight="1">
      <c r="A6852" s="122" t="str">
        <f>IFERROR(__xludf.DUMMYFUNCTION("""COMPUTED_VALUE"""),"0763 127 203")</f>
        <v>0763 127 203</v>
      </c>
      <c r="B6852" s="119" t="str">
        <f>IFERROR(__xludf.DUMMYFUNCTION("""COMPUTED_VALUE"""),"Anh Sơn")</f>
        <v>Anh Sơn</v>
      </c>
      <c r="C6852" s="119" t="str">
        <f>IFERROR(__xludf.DUMMYFUNCTION("""COMPUTED_VALUE"""),"32/119 Hùng Vương")</f>
        <v>32/119 Hùng Vương</v>
      </c>
      <c r="D6852" s="119" t="str">
        <f>IFERROR(__xludf.DUMMYFUNCTION("""COMPUTED_VALUE"""),"Mèo")</f>
        <v>Mèo</v>
      </c>
      <c r="E6852" s="119" t="str">
        <f>IFERROR(__xludf.DUMMYFUNCTION("""COMPUTED_VALUE"""),"Mơ")</f>
        <v>Mơ</v>
      </c>
    </row>
    <row r="6853" ht="15.75" customHeight="1">
      <c r="A6853" s="122" t="str">
        <f>IFERROR(__xludf.DUMMYFUNCTION("""COMPUTED_VALUE"""),"0379 717 332")</f>
        <v>0379 717 332</v>
      </c>
      <c r="B6853" s="119" t="str">
        <f>IFERROR(__xludf.DUMMYFUNCTION("""COMPUTED_VALUE"""),"Chị Linh")</f>
        <v>Chị Linh</v>
      </c>
      <c r="C6853" s="119" t="str">
        <f>IFERROR(__xludf.DUMMYFUNCTION("""COMPUTED_VALUE"""),"13/34 Lịch Đợi")</f>
        <v>13/34 Lịch Đợi</v>
      </c>
      <c r="D6853" s="119" t="str">
        <f>IFERROR(__xludf.DUMMYFUNCTION("""COMPUTED_VALUE"""),"Chó")</f>
        <v>Chó</v>
      </c>
      <c r="E6853" s="119" t="str">
        <f>IFERROR(__xludf.DUMMYFUNCTION("""COMPUTED_VALUE"""),"Quỳnh")</f>
        <v>Quỳnh</v>
      </c>
    </row>
    <row r="6854" ht="15.75" customHeight="1">
      <c r="A6854" s="122" t="str">
        <f>IFERROR(__xludf.DUMMYFUNCTION("""COMPUTED_VALUE"""),"0393 951 507")</f>
        <v>0393 951 507</v>
      </c>
      <c r="B6854" s="119" t="str">
        <f>IFERROR(__xludf.DUMMYFUNCTION("""COMPUTED_VALUE"""),"Chị Thu Hà")</f>
        <v>Chị Thu Hà</v>
      </c>
      <c r="C6854" s="119" t="str">
        <f>IFERROR(__xludf.DUMMYFUNCTION("""COMPUTED_VALUE"""),"Chung cư Vicoland")</f>
        <v>Chung cư Vicoland</v>
      </c>
      <c r="D6854" s="119" t="str">
        <f>IFERROR(__xludf.DUMMYFUNCTION("""COMPUTED_VALUE"""),"Chó")</f>
        <v>Chó</v>
      </c>
      <c r="E6854" s="119" t="str">
        <f>IFERROR(__xludf.DUMMYFUNCTION("""COMPUTED_VALUE"""),"Bum")</f>
        <v>Bum</v>
      </c>
    </row>
    <row r="6855" ht="15.75" customHeight="1">
      <c r="A6855" s="122" t="str">
        <f>IFERROR(__xludf.DUMMYFUNCTION("""COMPUTED_VALUE"""),"0762 598 197")</f>
        <v>0762 598 197</v>
      </c>
      <c r="B6855" s="119" t="str">
        <f>IFERROR(__xludf.DUMMYFUNCTION("""COMPUTED_VALUE"""),"Chị My")</f>
        <v>Chị My</v>
      </c>
      <c r="C6855" s="119" t="str">
        <f>IFERROR(__xludf.DUMMYFUNCTION("""COMPUTED_VALUE"""),"25 Lương Văn Can")</f>
        <v>25 Lương Văn Can</v>
      </c>
      <c r="D6855" s="119" t="str">
        <f>IFERROR(__xludf.DUMMYFUNCTION("""COMPUTED_VALUE"""),"Mèo")</f>
        <v>Mèo</v>
      </c>
      <c r="E6855" s="119" t="str">
        <f>IFERROR(__xludf.DUMMYFUNCTION("""COMPUTED_VALUE"""),"Moon")</f>
        <v>Moon</v>
      </c>
    </row>
    <row r="6856" ht="15.75" customHeight="1">
      <c r="A6856" s="122" t="str">
        <f>IFERROR(__xludf.DUMMYFUNCTION("""COMPUTED_VALUE"""),"0269 175 117")</f>
        <v>0269 175 117</v>
      </c>
      <c r="B6856" s="119" t="str">
        <f>IFERROR(__xludf.DUMMYFUNCTION("""COMPUTED_VALUE"""),"Chị Ngọc")</f>
        <v>Chị Ngọc</v>
      </c>
      <c r="C6856" s="119" t="str">
        <f>IFERROR(__xludf.DUMMYFUNCTION("""COMPUTED_VALUE"""),"19 Hà Nội")</f>
        <v>19 Hà Nội</v>
      </c>
      <c r="D6856" s="119" t="str">
        <f>IFERROR(__xludf.DUMMYFUNCTION("""COMPUTED_VALUE"""),"Mèo")</f>
        <v>Mèo</v>
      </c>
      <c r="E6856" s="119" t="str">
        <f>IFERROR(__xludf.DUMMYFUNCTION("""COMPUTED_VALUE"""),"Bơ")</f>
        <v>Bơ</v>
      </c>
    </row>
    <row r="6857" ht="15.75" customHeight="1">
      <c r="A6857" s="122" t="str">
        <f>IFERROR(__xludf.DUMMYFUNCTION("""COMPUTED_VALUE"""),"0931 962 917")</f>
        <v>0931 962 917</v>
      </c>
      <c r="B6857" s="119" t="str">
        <f>IFERROR(__xludf.DUMMYFUNCTION("""COMPUTED_VALUE"""),"Anh Vinh")</f>
        <v>Anh Vinh</v>
      </c>
      <c r="C6857" s="119" t="str">
        <f>IFERROR(__xludf.DUMMYFUNCTION("""COMPUTED_VALUE"""),"35 Cao Xuân Dục")</f>
        <v>35 Cao Xuân Dục</v>
      </c>
      <c r="D6857" s="119" t="str">
        <f>IFERROR(__xludf.DUMMYFUNCTION("""COMPUTED_VALUE"""),"Chó")</f>
        <v>Chó</v>
      </c>
      <c r="E6857" s="119" t="str">
        <f>IFERROR(__xludf.DUMMYFUNCTION("""COMPUTED_VALUE"""),"Red")</f>
        <v>Red</v>
      </c>
    </row>
    <row r="6858" ht="15.75" customHeight="1">
      <c r="A6858" s="122" t="str">
        <f>IFERROR(__xludf.DUMMYFUNCTION("""COMPUTED_VALUE"""),"0392 199 100")</f>
        <v>0392 199 100</v>
      </c>
      <c r="B6858" s="119" t="str">
        <f>IFERROR(__xludf.DUMMYFUNCTION("""COMPUTED_VALUE"""),"ngọc yến")</f>
        <v>ngọc yến</v>
      </c>
      <c r="C6858" s="119" t="str">
        <f>IFERROR(__xludf.DUMMYFUNCTION("""COMPUTED_VALUE"""),"15 tô ngọc vân")</f>
        <v>15 tô ngọc vân</v>
      </c>
      <c r="D6858" s="119" t="str">
        <f>IFERROR(__xludf.DUMMYFUNCTION("""COMPUTED_VALUE"""),"Mèo")</f>
        <v>Mèo</v>
      </c>
      <c r="E6858" s="119" t="str">
        <f>IFERROR(__xludf.DUMMYFUNCTION("""COMPUTED_VALUE"""),"bư")</f>
        <v>bư</v>
      </c>
    </row>
    <row r="6859" ht="15.75" customHeight="1">
      <c r="A6859" s="122" t="str">
        <f>IFERROR(__xludf.DUMMYFUNCTION("""COMPUTED_VALUE"""),"0823 860 177")</f>
        <v>0823 860 177</v>
      </c>
      <c r="B6859" s="119" t="str">
        <f>IFERROR(__xludf.DUMMYFUNCTION("""COMPUTED_VALUE"""),"chú quý")</f>
        <v>chú quý</v>
      </c>
      <c r="C6859" s="119" t="str">
        <f>IFERROR(__xludf.DUMMYFUNCTION("""COMPUTED_VALUE"""),"công lương thủy vân")</f>
        <v>công lương thủy vân</v>
      </c>
      <c r="D6859" s="119" t="str">
        <f>IFERROR(__xludf.DUMMYFUNCTION("""COMPUTED_VALUE"""),"Chó")</f>
        <v>Chó</v>
      </c>
      <c r="E6859" s="119" t="str">
        <f>IFERROR(__xludf.DUMMYFUNCTION("""COMPUTED_VALUE"""),"bull")</f>
        <v>bull</v>
      </c>
    </row>
    <row r="6860" ht="15.75" customHeight="1">
      <c r="A6860" s="122" t="str">
        <f>IFERROR(__xludf.DUMMYFUNCTION("""COMPUTED_VALUE"""),"0905 975 161")</f>
        <v>0905 975 161</v>
      </c>
      <c r="B6860" s="119" t="str">
        <f>IFERROR(__xludf.DUMMYFUNCTION("""COMPUTED_VALUE"""),"thu hà")</f>
        <v>thu hà</v>
      </c>
      <c r="C6860" s="119" t="str">
        <f>IFERROR(__xludf.DUMMYFUNCTION("""COMPUTED_VALUE"""),"19 thanh tịnh")</f>
        <v>19 thanh tịnh</v>
      </c>
      <c r="D6860" s="119" t="str">
        <f>IFERROR(__xludf.DUMMYFUNCTION("""COMPUTED_VALUE"""),"Chó")</f>
        <v>Chó</v>
      </c>
      <c r="E6860" s="119" t="str">
        <f>IFERROR(__xludf.DUMMYFUNCTION("""COMPUTED_VALUE"""),"nâu")</f>
        <v>nâu</v>
      </c>
    </row>
    <row r="6861" ht="15.75" customHeight="1">
      <c r="A6861" s="122" t="str">
        <f>IFERROR(__xludf.DUMMYFUNCTION("""COMPUTED_VALUE"""),"0334 082 032")</f>
        <v>0334 082 032</v>
      </c>
      <c r="B6861" s="119" t="str">
        <f>IFERROR(__xludf.DUMMYFUNCTION("""COMPUTED_VALUE"""),"anh hoàng")</f>
        <v>anh hoàng</v>
      </c>
      <c r="C6861" s="119" t="str">
        <f>IFERROR(__xludf.DUMMYFUNCTION("""COMPUTED_VALUE"""),"34 nguyễn khang chấn")</f>
        <v>34 nguyễn khang chấn</v>
      </c>
      <c r="D6861" s="119" t="str">
        <f>IFERROR(__xludf.DUMMYFUNCTION("""COMPUTED_VALUE"""),"Chó")</f>
        <v>Chó</v>
      </c>
      <c r="E6861" s="119" t="str">
        <f>IFERROR(__xludf.DUMMYFUNCTION("""COMPUTED_VALUE"""),"bò")</f>
        <v>bò</v>
      </c>
    </row>
    <row r="6862" ht="15.75" customHeight="1">
      <c r="A6862" s="122" t="str">
        <f>IFERROR(__xludf.DUMMYFUNCTION("""COMPUTED_VALUE"""),"0704 635 325")</f>
        <v>0704 635 325</v>
      </c>
      <c r="B6862" s="119" t="str">
        <f>IFERROR(__xludf.DUMMYFUNCTION("""COMPUTED_VALUE"""),"lê châu nguyệt")</f>
        <v>lê châu nguyệt</v>
      </c>
      <c r="C6862" s="119" t="str">
        <f>IFERROR(__xludf.DUMMYFUNCTION("""COMPUTED_VALUE"""),"chùa thiền nhã")</f>
        <v>chùa thiền nhã</v>
      </c>
      <c r="D6862" s="119" t="str">
        <f>IFERROR(__xludf.DUMMYFUNCTION("""COMPUTED_VALUE"""),"Chó")</f>
        <v>Chó</v>
      </c>
      <c r="E6862" s="119" t="str">
        <f>IFERROR(__xludf.DUMMYFUNCTION("""COMPUTED_VALUE"""),"heo")</f>
        <v>heo</v>
      </c>
    </row>
    <row r="6863" ht="15.75" customHeight="1">
      <c r="A6863" s="122" t="str">
        <f>IFERROR(__xludf.DUMMYFUNCTION("""COMPUTED_VALUE"""),"0914 366 512")</f>
        <v>0914 366 512</v>
      </c>
      <c r="B6863" s="119" t="str">
        <f>IFERROR(__xludf.DUMMYFUNCTION("""COMPUTED_VALUE"""),"Chú Dương Phúc")</f>
        <v>Chú Dương Phúc</v>
      </c>
      <c r="C6863" s="119" t="str">
        <f>IFERROR(__xludf.DUMMYFUNCTION("""COMPUTED_VALUE"""),"Phú Thượng")</f>
        <v>Phú Thượng</v>
      </c>
      <c r="D6863" s="119" t="str">
        <f>IFERROR(__xludf.DUMMYFUNCTION("""COMPUTED_VALUE"""),"Mèo")</f>
        <v>Mèo</v>
      </c>
      <c r="E6863" s="119" t="str">
        <f>IFERROR(__xludf.DUMMYFUNCTION("""COMPUTED_VALUE"""),"sóc")</f>
        <v>sóc</v>
      </c>
    </row>
    <row r="6864" ht="15.75" customHeight="1">
      <c r="A6864" s="122" t="str">
        <f>IFERROR(__xludf.DUMMYFUNCTION("""COMPUTED_VALUE"""),"0934 882 366")</f>
        <v>0934 882 366</v>
      </c>
      <c r="B6864" s="119" t="str">
        <f>IFERROR(__xludf.DUMMYFUNCTION("""COMPUTED_VALUE"""),"anh dũng")</f>
        <v>anh dũng</v>
      </c>
      <c r="C6864" s="119" t="str">
        <f>IFERROR(__xludf.DUMMYFUNCTION("""COMPUTED_VALUE"""),"10 xuân diệu")</f>
        <v>10 xuân diệu</v>
      </c>
      <c r="D6864" s="119" t="str">
        <f>IFERROR(__xludf.DUMMYFUNCTION("""COMPUTED_VALUE"""),"Chó")</f>
        <v>Chó</v>
      </c>
      <c r="E6864" s="119" t="str">
        <f>IFERROR(__xludf.DUMMYFUNCTION("""COMPUTED_VALUE"""),"boy")</f>
        <v>boy</v>
      </c>
    </row>
    <row r="6865" ht="15.75" customHeight="1">
      <c r="A6865" s="122" t="str">
        <f>IFERROR(__xludf.DUMMYFUNCTION("""COMPUTED_VALUE"""),"0914 007 202")</f>
        <v>0914 007 202</v>
      </c>
      <c r="B6865" s="119" t="str">
        <f>IFERROR(__xludf.DUMMYFUNCTION("""COMPUTED_VALUE"""),"thành nhân")</f>
        <v>thành nhân</v>
      </c>
      <c r="C6865" s="119" t="str">
        <f>IFERROR(__xludf.DUMMYFUNCTION("""COMPUTED_VALUE"""),"24/115 hàn mặc tử")</f>
        <v>24/115 hàn mặc tử</v>
      </c>
      <c r="D6865" s="119" t="str">
        <f>IFERROR(__xludf.DUMMYFUNCTION("""COMPUTED_VALUE"""),"Chó")</f>
        <v>Chó</v>
      </c>
      <c r="E6865" s="119" t="str">
        <f>IFERROR(__xludf.DUMMYFUNCTION("""COMPUTED_VALUE"""),"bông")</f>
        <v>bông</v>
      </c>
    </row>
    <row r="6866" ht="15.75" customHeight="1">
      <c r="A6866" s="122" t="str">
        <f>IFERROR(__xludf.DUMMYFUNCTION("""COMPUTED_VALUE"""),"0969 965 001")</f>
        <v>0969 965 001</v>
      </c>
      <c r="B6866" s="119" t="str">
        <f>IFERROR(__xludf.DUMMYFUNCTION("""COMPUTED_VALUE"""),"Chị Thủy")</f>
        <v>Chị Thủy</v>
      </c>
      <c r="C6866" s="119" t="str">
        <f>IFERROR(__xludf.DUMMYFUNCTION("""COMPUTED_VALUE"""),"14/59 Duy Tân")</f>
        <v>14/59 Duy Tân</v>
      </c>
      <c r="D6866" s="119" t="str">
        <f>IFERROR(__xludf.DUMMYFUNCTION("""COMPUTED_VALUE"""),"Mèo")</f>
        <v>Mèo</v>
      </c>
      <c r="E6866" s="119" t="str">
        <f>IFERROR(__xludf.DUMMYFUNCTION("""COMPUTED_VALUE"""),"Đào")</f>
        <v>Đào</v>
      </c>
    </row>
    <row r="6867" ht="15.75" customHeight="1">
      <c r="A6867" s="122" t="str">
        <f>IFERROR(__xludf.DUMMYFUNCTION("""COMPUTED_VALUE"""),"0774 407 878")</f>
        <v>0774 407 878</v>
      </c>
      <c r="B6867" s="119" t="str">
        <f>IFERROR(__xludf.DUMMYFUNCTION("""COMPUTED_VALUE"""),"Anh Tú")</f>
        <v>Anh Tú</v>
      </c>
      <c r="C6867" s="119" t="str">
        <f>IFERROR(__xludf.DUMMYFUNCTION("""COMPUTED_VALUE"""),"43 Hồng Khẳng")</f>
        <v>43 Hồng Khẳng</v>
      </c>
      <c r="D6867" s="119" t="str">
        <f>IFERROR(__xludf.DUMMYFUNCTION("""COMPUTED_VALUE"""),"Mèo")</f>
        <v>Mèo</v>
      </c>
      <c r="E6867" s="119" t="str">
        <f>IFERROR(__xludf.DUMMYFUNCTION("""COMPUTED_VALUE"""),"Tủn")</f>
        <v>Tủn</v>
      </c>
    </row>
    <row r="6868" ht="15.75" customHeight="1">
      <c r="A6868" s="122" t="str">
        <f>IFERROR(__xludf.DUMMYFUNCTION("""COMPUTED_VALUE"""),"0943 645 079")</f>
        <v>0943 645 079</v>
      </c>
      <c r="B6868" s="119" t="str">
        <f>IFERROR(__xludf.DUMMYFUNCTION("""COMPUTED_VALUE"""),"Chị Xuân Yến")</f>
        <v>Chị Xuân Yến</v>
      </c>
      <c r="C6868" s="119" t="str">
        <f>IFERROR(__xludf.DUMMYFUNCTION("""COMPUTED_VALUE"""),"44 Nguyễn Công Trứ")</f>
        <v>44 Nguyễn Công Trứ</v>
      </c>
      <c r="D6868" s="119" t="str">
        <f>IFERROR(__xludf.DUMMYFUNCTION("""COMPUTED_VALUE"""),"Chó")</f>
        <v>Chó</v>
      </c>
      <c r="E6868" s="119" t="str">
        <f>IFERROR(__xludf.DUMMYFUNCTION("""COMPUTED_VALUE"""),"Hói")</f>
        <v>Hói</v>
      </c>
    </row>
    <row r="6869" ht="15.75" customHeight="1">
      <c r="A6869" s="122" t="str">
        <f>IFERROR(__xludf.DUMMYFUNCTION("""COMPUTED_VALUE"""),"0935 747 222")</f>
        <v>0935 747 222</v>
      </c>
      <c r="B6869" s="119" t="str">
        <f>IFERROR(__xludf.DUMMYFUNCTION("""COMPUTED_VALUE"""),"Chị Trâm")</f>
        <v>Chị Trâm</v>
      </c>
      <c r="C6869" s="119" t="str">
        <f>IFERROR(__xludf.DUMMYFUNCTION("""COMPUTED_VALUE"""),"17B Nguyễn Minh Vỹ")</f>
        <v>17B Nguyễn Minh Vỹ</v>
      </c>
      <c r="D6869" s="119" t="str">
        <f>IFERROR(__xludf.DUMMYFUNCTION("""COMPUTED_VALUE"""),"Chó")</f>
        <v>Chó</v>
      </c>
      <c r="E6869" s="119" t="str">
        <f>IFERROR(__xludf.DUMMYFUNCTION("""COMPUTED_VALUE"""),"Tôm")</f>
        <v>Tôm</v>
      </c>
    </row>
    <row r="6870" ht="15.75" customHeight="1">
      <c r="A6870" s="122" t="str">
        <f>IFERROR(__xludf.DUMMYFUNCTION("""COMPUTED_VALUE"""),"0914 313 158")</f>
        <v>0914 313 158</v>
      </c>
      <c r="B6870" s="119" t="str">
        <f>IFERROR(__xludf.DUMMYFUNCTION("""COMPUTED_VALUE"""),"Chị Tâm Khánh")</f>
        <v>Chị Tâm Khánh</v>
      </c>
      <c r="C6870" s="119" t="str">
        <f>IFERROR(__xludf.DUMMYFUNCTION("""COMPUTED_VALUE"""),"13/11 Nguyễn Khuyến")</f>
        <v>13/11 Nguyễn Khuyến</v>
      </c>
      <c r="D6870" s="119" t="str">
        <f>IFERROR(__xludf.DUMMYFUNCTION("""COMPUTED_VALUE"""),"Chó")</f>
        <v>Chó</v>
      </c>
      <c r="E6870" s="119" t="str">
        <f>IFERROR(__xludf.DUMMYFUNCTION("""COMPUTED_VALUE"""),"Hạ Vi")</f>
        <v>Hạ Vi</v>
      </c>
    </row>
    <row r="6871" ht="15.75" customHeight="1">
      <c r="A6871" s="122" t="str">
        <f>IFERROR(__xludf.DUMMYFUNCTION("""COMPUTED_VALUE"""),"0708 912 287")</f>
        <v>0708 912 287</v>
      </c>
      <c r="B6871" s="119" t="str">
        <f>IFERROR(__xludf.DUMMYFUNCTION("""COMPUTED_VALUE"""),"Chị Nhật")</f>
        <v>Chị Nhật</v>
      </c>
      <c r="C6871" s="119" t="str">
        <f>IFERROR(__xludf.DUMMYFUNCTION("""COMPUTED_VALUE"""),"55/29 Trần Thanh Mại")</f>
        <v>55/29 Trần Thanh Mại</v>
      </c>
      <c r="D6871" s="119" t="str">
        <f>IFERROR(__xludf.DUMMYFUNCTION("""COMPUTED_VALUE"""),"Mèo")</f>
        <v>Mèo</v>
      </c>
      <c r="E6871" s="119" t="str">
        <f>IFERROR(__xludf.DUMMYFUNCTION("""COMPUTED_VALUE"""),"Mập")</f>
        <v>Mập</v>
      </c>
    </row>
    <row r="6872" ht="15.75" customHeight="1">
      <c r="A6872" s="122" t="str">
        <f>IFERROR(__xludf.DUMMYFUNCTION("""COMPUTED_VALUE"""),"0832 575 555")</f>
        <v>0832 575 555</v>
      </c>
      <c r="B6872" s="119" t="str">
        <f>IFERROR(__xludf.DUMMYFUNCTION("""COMPUTED_VALUE"""),"Chị Thảo")</f>
        <v>Chị Thảo</v>
      </c>
      <c r="C6872" s="119" t="str">
        <f>IFERROR(__xludf.DUMMYFUNCTION("""COMPUTED_VALUE"""),"24 Nguyễn Khoa Vi")</f>
        <v>24 Nguyễn Khoa Vi</v>
      </c>
      <c r="D6872" s="119" t="str">
        <f>IFERROR(__xludf.DUMMYFUNCTION("""COMPUTED_VALUE"""),"Mèo")</f>
        <v>Mèo</v>
      </c>
      <c r="E6872" s="119" t="str">
        <f>IFERROR(__xludf.DUMMYFUNCTION("""COMPUTED_VALUE"""),"Bonnie")</f>
        <v>Bonnie</v>
      </c>
    </row>
    <row r="6873" ht="15.75" customHeight="1">
      <c r="A6873" s="122" t="str">
        <f>IFERROR(__xludf.DUMMYFUNCTION("""COMPUTED_VALUE"""),"0901 988 684")</f>
        <v>0901 988 684</v>
      </c>
      <c r="B6873" s="119" t="str">
        <f>IFERROR(__xludf.DUMMYFUNCTION("""COMPUTED_VALUE"""),"Quỳnh Hương")</f>
        <v>Quỳnh Hương</v>
      </c>
      <c r="C6873" s="119" t="str">
        <f>IFERROR(__xludf.DUMMYFUNCTION("""COMPUTED_VALUE"""),"3/125 Võ Duy Ninh")</f>
        <v>3/125 Võ Duy Ninh</v>
      </c>
      <c r="D6873" s="119" t="str">
        <f>IFERROR(__xludf.DUMMYFUNCTION("""COMPUTED_VALUE"""),"Mèo")</f>
        <v>Mèo</v>
      </c>
      <c r="E6873" s="119" t="str">
        <f>IFERROR(__xludf.DUMMYFUNCTION("""COMPUTED_VALUE"""),"Mèo")</f>
        <v>Mèo</v>
      </c>
    </row>
    <row r="6874" ht="15.75" customHeight="1">
      <c r="A6874" s="122" t="str">
        <f>IFERROR(__xludf.DUMMYFUNCTION("""COMPUTED_VALUE"""),"0913 719 729")</f>
        <v>0913 719 729</v>
      </c>
      <c r="B6874" s="119" t="str">
        <f>IFERROR(__xludf.DUMMYFUNCTION("""COMPUTED_VALUE"""),"Anh Trung")</f>
        <v>Anh Trung</v>
      </c>
      <c r="C6874" s="119" t="str">
        <f>IFERROR(__xludf.DUMMYFUNCTION("""COMPUTED_VALUE"""),"Thủy Dương")</f>
        <v>Thủy Dương</v>
      </c>
      <c r="D6874" s="119" t="str">
        <f>IFERROR(__xludf.DUMMYFUNCTION("""COMPUTED_VALUE"""),"Chó")</f>
        <v>Chó</v>
      </c>
      <c r="E6874" s="119" t="str">
        <f>IFERROR(__xludf.DUMMYFUNCTION("""COMPUTED_VALUE"""),"Ki")</f>
        <v>Ki</v>
      </c>
    </row>
    <row r="6875" ht="15.75" customHeight="1">
      <c r="A6875" s="122" t="str">
        <f>IFERROR(__xludf.DUMMYFUNCTION("""COMPUTED_VALUE"""),"0889 185 735")</f>
        <v>0889 185 735</v>
      </c>
      <c r="B6875" s="119" t="str">
        <f>IFERROR(__xludf.DUMMYFUNCTION("""COMPUTED_VALUE"""),"Cát Tường")</f>
        <v>Cát Tường</v>
      </c>
      <c r="C6875" s="119" t="str">
        <f>IFERROR(__xludf.DUMMYFUNCTION("""COMPUTED_VALUE"""),"5 Hoàng Thông")</f>
        <v>5 Hoàng Thông</v>
      </c>
      <c r="D6875" s="119" t="str">
        <f>IFERROR(__xludf.DUMMYFUNCTION("""COMPUTED_VALUE"""),"Mèo")</f>
        <v>Mèo</v>
      </c>
      <c r="E6875" s="119" t="str">
        <f>IFERROR(__xludf.DUMMYFUNCTION("""COMPUTED_VALUE"""),"Mochi")</f>
        <v>Mochi</v>
      </c>
    </row>
    <row r="6876" ht="15.75" customHeight="1">
      <c r="A6876" s="122" t="str">
        <f>IFERROR(__xludf.DUMMYFUNCTION("""COMPUTED_VALUE"""),"0772 475 356")</f>
        <v>0772 475 356</v>
      </c>
      <c r="B6876" s="119" t="str">
        <f>IFERROR(__xludf.DUMMYFUNCTION("""COMPUTED_VALUE"""),"anh hiếu")</f>
        <v>anh hiếu</v>
      </c>
      <c r="C6876" s="119" t="str">
        <f>IFERROR(__xludf.DUMMYFUNCTION("""COMPUTED_VALUE"""),"phú bài")</f>
        <v>phú bài</v>
      </c>
      <c r="D6876" s="119" t="str">
        <f>IFERROR(__xludf.DUMMYFUNCTION("""COMPUTED_VALUE"""),"Chó")</f>
        <v>Chó</v>
      </c>
      <c r="E6876" s="119" t="str">
        <f>IFERROR(__xludf.DUMMYFUNCTION("""COMPUTED_VALUE"""),"bull")</f>
        <v>bull</v>
      </c>
    </row>
    <row r="6877" ht="15.75" customHeight="1">
      <c r="A6877" s="122" t="str">
        <f>IFERROR(__xludf.DUMMYFUNCTION("""COMPUTED_VALUE"""),"0703 497 576")</f>
        <v>0703 497 576</v>
      </c>
      <c r="B6877" s="119" t="str">
        <f>IFERROR(__xludf.DUMMYFUNCTION("""COMPUTED_VALUE"""),"anh lộc")</f>
        <v>anh lộc</v>
      </c>
      <c r="C6877" s="119" t="str">
        <f>IFERROR(__xludf.DUMMYFUNCTION("""COMPUTED_VALUE"""),"phú mỹ")</f>
        <v>phú mỹ</v>
      </c>
      <c r="D6877" s="119" t="str">
        <f>IFERROR(__xludf.DUMMYFUNCTION("""COMPUTED_VALUE"""),"Chó")</f>
        <v>Chó</v>
      </c>
      <c r="E6877" s="119" t="str">
        <f>IFERROR(__xludf.DUMMYFUNCTION("""COMPUTED_VALUE"""),"lucky")</f>
        <v>lucky</v>
      </c>
    </row>
    <row r="6878" ht="15.75" customHeight="1">
      <c r="A6878" s="122" t="str">
        <f>IFERROR(__xludf.DUMMYFUNCTION("""COMPUTED_VALUE"""),"0333 727 646")</f>
        <v>0333 727 646</v>
      </c>
      <c r="B6878" s="119" t="str">
        <f>IFERROR(__xludf.DUMMYFUNCTION("""COMPUTED_VALUE"""),"Dì Hương")</f>
        <v>Dì Hương</v>
      </c>
      <c r="C6878" s="119" t="str">
        <f>IFERROR(__xludf.DUMMYFUNCTION("""COMPUTED_VALUE"""),"Phú Vang")</f>
        <v>Phú Vang</v>
      </c>
      <c r="D6878" s="119" t="str">
        <f>IFERROR(__xludf.DUMMYFUNCTION("""COMPUTED_VALUE"""),"Chó")</f>
        <v>Chó</v>
      </c>
      <c r="E6878" s="119" t="str">
        <f>IFERROR(__xludf.DUMMYFUNCTION("""COMPUTED_VALUE"""),"Mixu")</f>
        <v>Mixu</v>
      </c>
    </row>
    <row r="6879" ht="15.75" customHeight="1">
      <c r="A6879" s="122" t="str">
        <f>IFERROR(__xludf.DUMMYFUNCTION("""COMPUTED_VALUE"""),"0965 886 960")</f>
        <v>0965 886 960</v>
      </c>
      <c r="B6879" s="119" t="str">
        <f>IFERROR(__xludf.DUMMYFUNCTION("""COMPUTED_VALUE"""),"anh sơn")</f>
        <v>anh sơn</v>
      </c>
      <c r="C6879" s="119" t="str">
        <f>IFERROR(__xludf.DUMMYFUNCTION("""COMPUTED_VALUE"""),"an truyền phú an")</f>
        <v>an truyền phú an</v>
      </c>
      <c r="D6879" s="119" t="str">
        <f>IFERROR(__xludf.DUMMYFUNCTION("""COMPUTED_VALUE"""),"Chó")</f>
        <v>Chó</v>
      </c>
      <c r="E6879" s="119" t="str">
        <f>IFERROR(__xludf.DUMMYFUNCTION("""COMPUTED_VALUE"""),"ly")</f>
        <v>ly</v>
      </c>
    </row>
    <row r="6880" ht="15.75" customHeight="1">
      <c r="A6880" s="122" t="str">
        <f>IFERROR(__xludf.DUMMYFUNCTION("""COMPUTED_VALUE"""),"0964 419 364")</f>
        <v>0964 419 364</v>
      </c>
      <c r="B6880" s="119" t="str">
        <f>IFERROR(__xludf.DUMMYFUNCTION("""COMPUTED_VALUE"""),"mỹ hạnh")</f>
        <v>mỹ hạnh</v>
      </c>
      <c r="C6880" s="119" t="str">
        <f>IFERROR(__xludf.DUMMYFUNCTION("""COMPUTED_VALUE"""),"44/35 ngự bình")</f>
        <v>44/35 ngự bình</v>
      </c>
      <c r="D6880" s="119" t="str">
        <f>IFERROR(__xludf.DUMMYFUNCTION("""COMPUTED_VALUE"""),"Chó")</f>
        <v>Chó</v>
      </c>
      <c r="E6880" s="119" t="str">
        <f>IFERROR(__xludf.DUMMYFUNCTION("""COMPUTED_VALUE"""),"lucky")</f>
        <v>lucky</v>
      </c>
    </row>
    <row r="6881" ht="15.75" customHeight="1">
      <c r="A6881" s="122" t="str">
        <f>IFERROR(__xludf.DUMMYFUNCTION("""COMPUTED_VALUE"""),"0367 240 243")</f>
        <v>0367 240 243</v>
      </c>
      <c r="B6881" s="119" t="str">
        <f>IFERROR(__xludf.DUMMYFUNCTION("""COMPUTED_VALUE"""),"anh trọng")</f>
        <v>anh trọng</v>
      </c>
      <c r="C6881" s="119" t="str">
        <f>IFERROR(__xludf.DUMMYFUNCTION("""COMPUTED_VALUE"""),"hương trà")</f>
        <v>hương trà</v>
      </c>
      <c r="D6881" s="119" t="str">
        <f>IFERROR(__xludf.DUMMYFUNCTION("""COMPUTED_VALUE"""),"Chó")</f>
        <v>Chó</v>
      </c>
      <c r="E6881" s="119" t="str">
        <f>IFERROR(__xludf.DUMMYFUNCTION("""COMPUTED_VALUE"""),"luci")</f>
        <v>luci</v>
      </c>
    </row>
    <row r="6882" ht="15.75" customHeight="1">
      <c r="A6882" s="122" t="str">
        <f>IFERROR(__xludf.DUMMYFUNCTION("""COMPUTED_VALUE"""),"0935 305 645")</f>
        <v>0935 305 645</v>
      </c>
      <c r="B6882" s="119" t="str">
        <f>IFERROR(__xludf.DUMMYFUNCTION("""COMPUTED_VALUE"""),"chị ngân")</f>
        <v>chị ngân</v>
      </c>
      <c r="C6882" s="119" t="str">
        <f>IFERROR(__xludf.DUMMYFUNCTION("""COMPUTED_VALUE"""),"19b bùi thị xuân")</f>
        <v>19b bùi thị xuân</v>
      </c>
      <c r="D6882" s="119" t="str">
        <f>IFERROR(__xludf.DUMMYFUNCTION("""COMPUTED_VALUE"""),"Mèo")</f>
        <v>Mèo</v>
      </c>
      <c r="E6882" s="119"/>
    </row>
    <row r="6883" ht="15.75" customHeight="1">
      <c r="A6883" s="122" t="str">
        <f>IFERROR(__xludf.DUMMYFUNCTION("""COMPUTED_VALUE"""),"0935 248 789")</f>
        <v>0935 248 789</v>
      </c>
      <c r="B6883" s="119" t="str">
        <f>IFERROR(__xludf.DUMMYFUNCTION("""COMPUTED_VALUE"""),"chị Nhật Khánh")</f>
        <v>chị Nhật Khánh</v>
      </c>
      <c r="C6883" s="119" t="str">
        <f>IFERROR(__xludf.DUMMYFUNCTION("""COMPUTED_VALUE"""),"1156 Nguyễn Tất Thành")</f>
        <v>1156 Nguyễn Tất Thành</v>
      </c>
      <c r="D6883" s="119" t="str">
        <f>IFERROR(__xludf.DUMMYFUNCTION("""COMPUTED_VALUE"""),"Chó")</f>
        <v>Chó</v>
      </c>
      <c r="E6883" s="119" t="str">
        <f>IFERROR(__xludf.DUMMYFUNCTION("""COMPUTED_VALUE"""),"white")</f>
        <v>white</v>
      </c>
    </row>
    <row r="6884" ht="15.75" customHeight="1">
      <c r="A6884" s="122" t="str">
        <f>IFERROR(__xludf.DUMMYFUNCTION("""COMPUTED_VALUE"""),"0932 435 226")</f>
        <v>0932 435 226</v>
      </c>
      <c r="B6884" s="119" t="str">
        <f>IFERROR(__xludf.DUMMYFUNCTION("""COMPUTED_VALUE"""),"như ý")</f>
        <v>như ý</v>
      </c>
      <c r="C6884" s="119" t="str">
        <f>IFERROR(__xludf.DUMMYFUNCTION("""COMPUTED_VALUE"""),"25 phan văn trường")</f>
        <v>25 phan văn trường</v>
      </c>
      <c r="D6884" s="119" t="str">
        <f>IFERROR(__xludf.DUMMYFUNCTION("""COMPUTED_VALUE"""),"Chó")</f>
        <v>Chó</v>
      </c>
      <c r="E6884" s="119" t="str">
        <f>IFERROR(__xludf.DUMMYFUNCTION("""COMPUTED_VALUE"""),"trắng")</f>
        <v>trắng</v>
      </c>
    </row>
    <row r="6885" ht="15.75" customHeight="1">
      <c r="A6885" s="122" t="str">
        <f>IFERROR(__xludf.DUMMYFUNCTION("""COMPUTED_VALUE"""),"0978 929 444")</f>
        <v>0978 929 444</v>
      </c>
      <c r="B6885" s="119" t="str">
        <f>IFERROR(__xludf.DUMMYFUNCTION("""COMPUTED_VALUE"""),"chị ly")</f>
        <v>chị ly</v>
      </c>
      <c r="C6885" s="119" t="str">
        <f>IFERROR(__xludf.DUMMYFUNCTION("""COMPUTED_VALUE"""),"đông hà")</f>
        <v>đông hà</v>
      </c>
      <c r="D6885" s="119" t="str">
        <f>IFERROR(__xludf.DUMMYFUNCTION("""COMPUTED_VALUE"""),"Chó")</f>
        <v>Chó</v>
      </c>
      <c r="E6885" s="119" t="str">
        <f>IFERROR(__xludf.DUMMYFUNCTION("""COMPUTED_VALUE"""),"bông")</f>
        <v>bông</v>
      </c>
    </row>
    <row r="6886" ht="15.75" customHeight="1">
      <c r="A6886" s="122" t="str">
        <f>IFERROR(__xludf.DUMMYFUNCTION("""COMPUTED_VALUE"""),"0905 741 884")</f>
        <v>0905 741 884</v>
      </c>
      <c r="B6886" s="119" t="str">
        <f>IFERROR(__xludf.DUMMYFUNCTION("""COMPUTED_VALUE"""),"Chị Hiền")</f>
        <v>Chị Hiền</v>
      </c>
      <c r="C6886" s="119" t="str">
        <f>IFERROR(__xludf.DUMMYFUNCTION("""COMPUTED_VALUE"""),"11 Xóm 4 Lại Thế")</f>
        <v>11 Xóm 4 Lại Thế</v>
      </c>
      <c r="D6886" s="119" t="str">
        <f>IFERROR(__xludf.DUMMYFUNCTION("""COMPUTED_VALUE"""),"Chó")</f>
        <v>Chó</v>
      </c>
      <c r="E6886" s="119" t="str">
        <f>IFERROR(__xludf.DUMMYFUNCTION("""COMPUTED_VALUE"""),"Xám")</f>
        <v>Xám</v>
      </c>
    </row>
    <row r="6887" ht="15.75" customHeight="1">
      <c r="A6887" s="122" t="str">
        <f>IFERROR(__xludf.DUMMYFUNCTION("""COMPUTED_VALUE"""),"0933 912 864")</f>
        <v>0933 912 864</v>
      </c>
      <c r="B6887" s="119" t="str">
        <f>IFERROR(__xludf.DUMMYFUNCTION("""COMPUTED_VALUE"""),"Chị Lan")</f>
        <v>Chị Lan</v>
      </c>
      <c r="C6887" s="119" t="str">
        <f>IFERROR(__xludf.DUMMYFUNCTION("""COMPUTED_VALUE"""),"khu đô thị Royal Park")</f>
        <v>khu đô thị Royal Park</v>
      </c>
      <c r="D6887" s="119" t="str">
        <f>IFERROR(__xludf.DUMMYFUNCTION("""COMPUTED_VALUE"""),"Chó")</f>
        <v>Chó</v>
      </c>
      <c r="E6887" s="119" t="str">
        <f>IFERROR(__xludf.DUMMYFUNCTION("""COMPUTED_VALUE"""),"Sóc")</f>
        <v>Sóc</v>
      </c>
    </row>
    <row r="6888" ht="15.75" customHeight="1">
      <c r="A6888" s="122" t="str">
        <f>IFERROR(__xludf.DUMMYFUNCTION("""COMPUTED_VALUE"""),"0905 252 177")</f>
        <v>0905 252 177</v>
      </c>
      <c r="B6888" s="119" t="str">
        <f>IFERROR(__xludf.DUMMYFUNCTION("""COMPUTED_VALUE"""),"chị nga")</f>
        <v>chị nga</v>
      </c>
      <c r="C6888" s="119" t="str">
        <f>IFERROR(__xludf.DUMMYFUNCTION("""COMPUTED_VALUE"""),"tỉnh lộ 10, Phú Vang")</f>
        <v>tỉnh lộ 10, Phú Vang</v>
      </c>
      <c r="D6888" s="119" t="str">
        <f>IFERROR(__xludf.DUMMYFUNCTION("""COMPUTED_VALUE"""),"Chó")</f>
        <v>Chó</v>
      </c>
      <c r="E6888" s="119" t="str">
        <f>IFERROR(__xludf.DUMMYFUNCTION("""COMPUTED_VALUE"""),"Misa")</f>
        <v>Misa</v>
      </c>
    </row>
    <row r="6889" ht="15.75" customHeight="1">
      <c r="A6889" s="122" t="str">
        <f>IFERROR(__xludf.DUMMYFUNCTION("""COMPUTED_VALUE"""),"0914 425 519")</f>
        <v>0914 425 519</v>
      </c>
      <c r="B6889" s="119" t="str">
        <f>IFERROR(__xludf.DUMMYFUNCTION("""COMPUTED_VALUE"""),"Anh Bình")</f>
        <v>Anh Bình</v>
      </c>
      <c r="C6889" s="119" t="str">
        <f>IFERROR(__xludf.DUMMYFUNCTION("""COMPUTED_VALUE"""),"K105 Hàn Mặc Tử")</f>
        <v>K105 Hàn Mặc Tử</v>
      </c>
      <c r="D6889" s="119" t="str">
        <f>IFERROR(__xludf.DUMMYFUNCTION("""COMPUTED_VALUE"""),"Chó")</f>
        <v>Chó</v>
      </c>
      <c r="E6889" s="119" t="str">
        <f>IFERROR(__xludf.DUMMYFUNCTION("""COMPUTED_VALUE"""),"Mít")</f>
        <v>Mít</v>
      </c>
    </row>
    <row r="6890" ht="15.75" customHeight="1">
      <c r="A6890" s="122" t="str">
        <f>IFERROR(__xludf.DUMMYFUNCTION("""COMPUTED_VALUE"""),"0328 744 589")</f>
        <v>0328 744 589</v>
      </c>
      <c r="B6890" s="119" t="str">
        <f>IFERROR(__xludf.DUMMYFUNCTION("""COMPUTED_VALUE"""),"Chị Châu")</f>
        <v>Chị Châu</v>
      </c>
      <c r="C6890" s="119" t="str">
        <f>IFERROR(__xludf.DUMMYFUNCTION("""COMPUTED_VALUE"""),"Vicoland")</f>
        <v>Vicoland</v>
      </c>
      <c r="D6890" s="119" t="str">
        <f>IFERROR(__xludf.DUMMYFUNCTION("""COMPUTED_VALUE"""),"Mèo")</f>
        <v>Mèo</v>
      </c>
      <c r="E6890" s="119" t="str">
        <f>IFERROR(__xludf.DUMMYFUNCTION("""COMPUTED_VALUE"""),"Táo")</f>
        <v>Táo</v>
      </c>
    </row>
    <row r="6891" ht="15.75" customHeight="1">
      <c r="A6891" s="122" t="str">
        <f>IFERROR(__xludf.DUMMYFUNCTION("""COMPUTED_VALUE"""),"0764 313 965")</f>
        <v>0764 313 965</v>
      </c>
      <c r="B6891" s="119" t="str">
        <f>IFERROR(__xludf.DUMMYFUNCTION("""COMPUTED_VALUE"""),"chị liên")</f>
        <v>chị liên</v>
      </c>
      <c r="C6891" s="119" t="str">
        <f>IFERROR(__xludf.DUMMYFUNCTION("""COMPUTED_VALUE"""),"71/33 an dương vương")</f>
        <v>71/33 an dương vương</v>
      </c>
      <c r="D6891" s="119" t="str">
        <f>IFERROR(__xludf.DUMMYFUNCTION("""COMPUTED_VALUE"""),"Chó")</f>
        <v>Chó</v>
      </c>
      <c r="E6891" s="119" t="str">
        <f>IFERROR(__xludf.DUMMYFUNCTION("""COMPUTED_VALUE"""),"bông")</f>
        <v>bông</v>
      </c>
    </row>
    <row r="6892" ht="15.75" customHeight="1">
      <c r="A6892" s="122" t="str">
        <f>IFERROR(__xludf.DUMMYFUNCTION("""COMPUTED_VALUE"""),"0945 689 272")</f>
        <v>0945 689 272</v>
      </c>
      <c r="B6892" s="119" t="str">
        <f>IFERROR(__xludf.DUMMYFUNCTION("""COMPUTED_VALUE"""),"Chị Châu")</f>
        <v>Chị Châu</v>
      </c>
      <c r="C6892" s="119" t="str">
        <f>IFERROR(__xludf.DUMMYFUNCTION("""COMPUTED_VALUE"""),"24/115 Hàn Mặc Tử")</f>
        <v>24/115 Hàn Mặc Tử</v>
      </c>
      <c r="D6892" s="119" t="str">
        <f>IFERROR(__xludf.DUMMYFUNCTION("""COMPUTED_VALUE"""),"Chó")</f>
        <v>Chó</v>
      </c>
      <c r="E6892" s="119" t="str">
        <f>IFERROR(__xludf.DUMMYFUNCTION("""COMPUTED_VALUE"""),"Bông")</f>
        <v>Bông</v>
      </c>
    </row>
    <row r="6893" ht="15.75" customHeight="1">
      <c r="A6893" s="122" t="str">
        <f>IFERROR(__xludf.DUMMYFUNCTION("""COMPUTED_VALUE"""),"0762 577 393")</f>
        <v>0762 577 393</v>
      </c>
      <c r="B6893" s="119" t="str">
        <f>IFERROR(__xludf.DUMMYFUNCTION("""COMPUTED_VALUE"""),"Chị Mỹ Nhung")</f>
        <v>Chị Mỹ Nhung</v>
      </c>
      <c r="C6893" s="119" t="str">
        <f>IFERROR(__xludf.DUMMYFUNCTION("""COMPUTED_VALUE"""),"10/50 Hàm Nghi")</f>
        <v>10/50 Hàm Nghi</v>
      </c>
      <c r="D6893" s="119" t="str">
        <f>IFERROR(__xludf.DUMMYFUNCTION("""COMPUTED_VALUE"""),"Mèo")</f>
        <v>Mèo</v>
      </c>
      <c r="E6893" s="119" t="str">
        <f>IFERROR(__xludf.DUMMYFUNCTION("""COMPUTED_VALUE"""),"Bông")</f>
        <v>Bông</v>
      </c>
    </row>
    <row r="6894" ht="15.75" customHeight="1">
      <c r="A6894" s="122" t="str">
        <f>IFERROR(__xludf.DUMMYFUNCTION("""COMPUTED_VALUE"""),"0988 858 009")</f>
        <v>0988 858 009</v>
      </c>
      <c r="B6894" s="119" t="str">
        <f>IFERROR(__xludf.DUMMYFUNCTION("""COMPUTED_VALUE"""),"Anh Tiến")</f>
        <v>Anh Tiến</v>
      </c>
      <c r="C6894" s="119" t="str">
        <f>IFERROR(__xludf.DUMMYFUNCTION("""COMPUTED_VALUE"""),"55 Lê Đình Thám")</f>
        <v>55 Lê Đình Thám</v>
      </c>
      <c r="D6894" s="119" t="str">
        <f>IFERROR(__xludf.DUMMYFUNCTION("""COMPUTED_VALUE"""),"Chó")</f>
        <v>Chó</v>
      </c>
      <c r="E6894" s="119" t="str">
        <f>IFERROR(__xludf.DUMMYFUNCTION("""COMPUTED_VALUE"""),"Rốt")</f>
        <v>Rốt</v>
      </c>
    </row>
    <row r="6895" ht="15.75" customHeight="1">
      <c r="A6895" s="122" t="str">
        <f>IFERROR(__xludf.DUMMYFUNCTION("""COMPUTED_VALUE"""),"0862 768 512")</f>
        <v>0862 768 512</v>
      </c>
      <c r="B6895" s="119" t="str">
        <f>IFERROR(__xludf.DUMMYFUNCTION("""COMPUTED_VALUE"""),"Chị Như")</f>
        <v>Chị Như</v>
      </c>
      <c r="C6895" s="119" t="str">
        <f>IFERROR(__xludf.DUMMYFUNCTION("""COMPUTED_VALUE"""),"9/70 Mạc Đĩnh Chi")</f>
        <v>9/70 Mạc Đĩnh Chi</v>
      </c>
      <c r="D6895" s="119" t="str">
        <f>IFERROR(__xludf.DUMMYFUNCTION("""COMPUTED_VALUE"""),"Chó")</f>
        <v>Chó</v>
      </c>
      <c r="E6895" s="119" t="str">
        <f>IFERROR(__xludf.DUMMYFUNCTION("""COMPUTED_VALUE"""),"Sami")</f>
        <v>Sami</v>
      </c>
    </row>
    <row r="6896" ht="15.75" customHeight="1">
      <c r="A6896" s="122" t="str">
        <f>IFERROR(__xludf.DUMMYFUNCTION("""COMPUTED_VALUE"""),"0905 539 027")</f>
        <v>0905 539 027</v>
      </c>
      <c r="B6896" s="119" t="str">
        <f>IFERROR(__xludf.DUMMYFUNCTION("""COMPUTED_VALUE"""),"Anh Phanh")</f>
        <v>Anh Phanh</v>
      </c>
      <c r="C6896" s="119" t="str">
        <f>IFERROR(__xludf.DUMMYFUNCTION("""COMPUTED_VALUE"""),"32/45 Nguyễn Công Trứ")</f>
        <v>32/45 Nguyễn Công Trứ</v>
      </c>
      <c r="D6896" s="119" t="str">
        <f>IFERROR(__xludf.DUMMYFUNCTION("""COMPUTED_VALUE"""),"Chó")</f>
        <v>Chó</v>
      </c>
      <c r="E6896" s="119" t="str">
        <f>IFERROR(__xludf.DUMMYFUNCTION("""COMPUTED_VALUE"""),"Xù")</f>
        <v>Xù</v>
      </c>
    </row>
    <row r="6897" ht="15.75" customHeight="1">
      <c r="A6897" s="122" t="str">
        <f>IFERROR(__xludf.DUMMYFUNCTION("""COMPUTED_VALUE"""),"0764 741 215")</f>
        <v>0764 741 215</v>
      </c>
      <c r="B6897" s="119" t="str">
        <f>IFERROR(__xludf.DUMMYFUNCTION("""COMPUTED_VALUE"""),"anh quang")</f>
        <v>anh quang</v>
      </c>
      <c r="C6897" s="119" t="str">
        <f>IFERROR(__xludf.DUMMYFUNCTION("""COMPUTED_VALUE"""),"1/34 bao vinh")</f>
        <v>1/34 bao vinh</v>
      </c>
      <c r="D6897" s="119" t="str">
        <f>IFERROR(__xludf.DUMMYFUNCTION("""COMPUTED_VALUE"""),"Chó")</f>
        <v>Chó</v>
      </c>
      <c r="E6897" s="119" t="str">
        <f>IFERROR(__xludf.DUMMYFUNCTION("""COMPUTED_VALUE"""),"bắp")</f>
        <v>bắp</v>
      </c>
    </row>
    <row r="6898" ht="15.75" customHeight="1">
      <c r="A6898" s="122" t="str">
        <f>IFERROR(__xludf.DUMMYFUNCTION("""COMPUTED_VALUE"""),"0984 818 992")</f>
        <v>0984 818 992</v>
      </c>
      <c r="B6898" s="119" t="str">
        <f>IFERROR(__xludf.DUMMYFUNCTION("""COMPUTED_VALUE"""),"hồ thị mai")</f>
        <v>hồ thị mai</v>
      </c>
      <c r="C6898" s="119" t="str">
        <f>IFERROR(__xludf.DUMMYFUNCTION("""COMPUTED_VALUE"""),"28 phan văn trường")</f>
        <v>28 phan văn trường</v>
      </c>
      <c r="D6898" s="119" t="str">
        <f>IFERROR(__xludf.DUMMYFUNCTION("""COMPUTED_VALUE"""),"Chó")</f>
        <v>Chó</v>
      </c>
      <c r="E6898" s="119" t="str">
        <f>IFERROR(__xludf.DUMMYFUNCTION("""COMPUTED_VALUE"""),"lu")</f>
        <v>lu</v>
      </c>
    </row>
    <row r="6899" ht="15.75" customHeight="1">
      <c r="A6899" s="122" t="str">
        <f>IFERROR(__xludf.DUMMYFUNCTION("""COMPUTED_VALUE"""),"0913 013 704")</f>
        <v>0913 013 704</v>
      </c>
      <c r="B6899" s="119" t="str">
        <f>IFERROR(__xludf.DUMMYFUNCTION("""COMPUTED_VALUE"""),"chị duyên")</f>
        <v>chị duyên</v>
      </c>
      <c r="C6899" s="119" t="str">
        <f>IFERROR(__xludf.DUMMYFUNCTION("""COMPUTED_VALUE"""),"55 võ thị sáu")</f>
        <v>55 võ thị sáu</v>
      </c>
      <c r="D6899" s="119" t="str">
        <f>IFERROR(__xludf.DUMMYFUNCTION("""COMPUTED_VALUE"""),"Chó")</f>
        <v>Chó</v>
      </c>
      <c r="E6899" s="119" t="str">
        <f>IFERROR(__xludf.DUMMYFUNCTION("""COMPUTED_VALUE"""),"tom")</f>
        <v>tom</v>
      </c>
    </row>
    <row r="6900" ht="15.75" customHeight="1">
      <c r="A6900" s="122" t="str">
        <f>IFERROR(__xludf.DUMMYFUNCTION("""COMPUTED_VALUE"""),"0347 181 977")</f>
        <v>0347 181 977</v>
      </c>
      <c r="B6900" s="119" t="str">
        <f>IFERROR(__xludf.DUMMYFUNCTION("""COMPUTED_VALUE"""),"anh thế phúc")</f>
        <v>anh thế phúc</v>
      </c>
      <c r="C6900" s="119" t="str">
        <f>IFERROR(__xludf.DUMMYFUNCTION("""COMPUTED_VALUE"""),"xóm 10 ngọc anh")</f>
        <v>xóm 10 ngọc anh</v>
      </c>
      <c r="D6900" s="119" t="str">
        <f>IFERROR(__xludf.DUMMYFUNCTION("""COMPUTED_VALUE"""),"Chó")</f>
        <v>Chó</v>
      </c>
      <c r="E6900" s="119" t="str">
        <f>IFERROR(__xludf.DUMMYFUNCTION("""COMPUTED_VALUE"""),"gấu")</f>
        <v>gấu</v>
      </c>
    </row>
    <row r="6901" ht="15.75" customHeight="1">
      <c r="A6901" s="122" t="str">
        <f>IFERROR(__xludf.DUMMYFUNCTION("""COMPUTED_VALUE"""),"0935 252 514")</f>
        <v>0935 252 514</v>
      </c>
      <c r="B6901" s="119" t="str">
        <f>IFERROR(__xludf.DUMMYFUNCTION("""COMPUTED_VALUE"""),"chị na")</f>
        <v>chị na</v>
      </c>
      <c r="C6901" s="119" t="str">
        <f>IFERROR(__xludf.DUMMYFUNCTION("""COMPUTED_VALUE"""),"29/56 hải triều")</f>
        <v>29/56 hải triều</v>
      </c>
      <c r="D6901" s="119" t="str">
        <f>IFERROR(__xludf.DUMMYFUNCTION("""COMPUTED_VALUE"""),"Chó")</f>
        <v>Chó</v>
      </c>
      <c r="E6901" s="119" t="str">
        <f>IFERROR(__xludf.DUMMYFUNCTION("""COMPUTED_VALUE"""),"gạo")</f>
        <v>gạo</v>
      </c>
    </row>
    <row r="6902" ht="15.75" customHeight="1">
      <c r="A6902" s="122" t="str">
        <f>IFERROR(__xludf.DUMMYFUNCTION("""COMPUTED_VALUE"""),"0899 781 621")</f>
        <v>0899 781 621</v>
      </c>
      <c r="B6902" s="119" t="str">
        <f>IFERROR(__xludf.DUMMYFUNCTION("""COMPUTED_VALUE"""),"anh sơn")</f>
        <v>anh sơn</v>
      </c>
      <c r="C6902" s="119" t="str">
        <f>IFERROR(__xludf.DUMMYFUNCTION("""COMPUTED_VALUE"""),"66 phạm văn đồng")</f>
        <v>66 phạm văn đồng</v>
      </c>
      <c r="D6902" s="119" t="str">
        <f>IFERROR(__xludf.DUMMYFUNCTION("""COMPUTED_VALUE"""),"Chó")</f>
        <v>Chó</v>
      </c>
      <c r="E6902" s="119" t="str">
        <f>IFERROR(__xludf.DUMMYFUNCTION("""COMPUTED_VALUE"""),"misa")</f>
        <v>misa</v>
      </c>
    </row>
    <row r="6903" ht="15.75" customHeight="1">
      <c r="A6903" s="122" t="str">
        <f>IFERROR(__xludf.DUMMYFUNCTION("""COMPUTED_VALUE"""),"0905 742 357")</f>
        <v>0905 742 357</v>
      </c>
      <c r="B6903" s="119" t="str">
        <f>IFERROR(__xludf.DUMMYFUNCTION("""COMPUTED_VALUE"""),"chị trang")</f>
        <v>chị trang</v>
      </c>
      <c r="C6903" s="119" t="str">
        <f>IFERROR(__xludf.DUMMYFUNCTION("""COMPUTED_VALUE"""),"140 nguyễn huệ")</f>
        <v>140 nguyễn huệ</v>
      </c>
      <c r="D6903" s="119" t="str">
        <f>IFERROR(__xludf.DUMMYFUNCTION("""COMPUTED_VALUE"""),"Chó")</f>
        <v>Chó</v>
      </c>
      <c r="E6903" s="119" t="str">
        <f>IFERROR(__xludf.DUMMYFUNCTION("""COMPUTED_VALUE"""),"nâu")</f>
        <v>nâu</v>
      </c>
    </row>
    <row r="6904" ht="15.75" customHeight="1">
      <c r="A6904" s="122" t="str">
        <f>IFERROR(__xludf.DUMMYFUNCTION("""COMPUTED_VALUE"""),"0363 646 500")</f>
        <v>0363 646 500</v>
      </c>
      <c r="B6904" s="119" t="str">
        <f>IFERROR(__xludf.DUMMYFUNCTION("""COMPUTED_VALUE"""),"Anh Huy")</f>
        <v>Anh Huy</v>
      </c>
      <c r="C6904" s="119" t="str">
        <f>IFERROR(__xludf.DUMMYFUNCTION("""COMPUTED_VALUE"""),"52 Bà Triệu")</f>
        <v>52 Bà Triệu</v>
      </c>
      <c r="D6904" s="119" t="str">
        <f>IFERROR(__xludf.DUMMYFUNCTION("""COMPUTED_VALUE"""),"Chó")</f>
        <v>Chó</v>
      </c>
      <c r="E6904" s="119" t="str">
        <f>IFERROR(__xludf.DUMMYFUNCTION("""COMPUTED_VALUE"""),"Kẹo")</f>
        <v>Kẹo</v>
      </c>
    </row>
    <row r="6905" ht="15.75" customHeight="1">
      <c r="A6905" s="122" t="str">
        <f>IFERROR(__xludf.DUMMYFUNCTION("""COMPUTED_VALUE"""),"0905 477 609")</f>
        <v>0905 477 609</v>
      </c>
      <c r="B6905" s="119" t="str">
        <f>IFERROR(__xludf.DUMMYFUNCTION("""COMPUTED_VALUE"""),"Chị Nga")</f>
        <v>Chị Nga</v>
      </c>
      <c r="C6905" s="119" t="str">
        <f>IFERROR(__xludf.DUMMYFUNCTION("""COMPUTED_VALUE"""),"27/15 Hoàng Quốc Việt")</f>
        <v>27/15 Hoàng Quốc Việt</v>
      </c>
      <c r="D6905" s="119" t="str">
        <f>IFERROR(__xludf.DUMMYFUNCTION("""COMPUTED_VALUE"""),"Chó")</f>
        <v>Chó</v>
      </c>
      <c r="E6905" s="119" t="str">
        <f>IFERROR(__xludf.DUMMYFUNCTION("""COMPUTED_VALUE"""),"LiLi")</f>
        <v>LiLi</v>
      </c>
    </row>
    <row r="6906" ht="15.75" customHeight="1">
      <c r="A6906" s="122" t="str">
        <f>IFERROR(__xludf.DUMMYFUNCTION("""COMPUTED_VALUE"""),"0906 558 765")</f>
        <v>0906 558 765</v>
      </c>
      <c r="B6906" s="119" t="str">
        <f>IFERROR(__xludf.DUMMYFUNCTION("""COMPUTED_VALUE"""),"Chị Nhi")</f>
        <v>Chị Nhi</v>
      </c>
      <c r="C6906" s="119" t="str">
        <f>IFERROR(__xludf.DUMMYFUNCTION("""COMPUTED_VALUE"""),"lô B33 KQH Phú Mỹ Thượng")</f>
        <v>lô B33 KQH Phú Mỹ Thượng</v>
      </c>
      <c r="D6906" s="119" t="str">
        <f>IFERROR(__xludf.DUMMYFUNCTION("""COMPUTED_VALUE"""),"Chó")</f>
        <v>Chó</v>
      </c>
      <c r="E6906" s="119" t="str">
        <f>IFERROR(__xludf.DUMMYFUNCTION("""COMPUTED_VALUE"""),"Nun")</f>
        <v>Nun</v>
      </c>
    </row>
    <row r="6907" ht="15.75" customHeight="1">
      <c r="A6907" s="122" t="str">
        <f>IFERROR(__xludf.DUMMYFUNCTION("""COMPUTED_VALUE"""),"0913 449 405")</f>
        <v>0913 449 405</v>
      </c>
      <c r="B6907" s="119" t="str">
        <f>IFERROR(__xludf.DUMMYFUNCTION("""COMPUTED_VALUE"""),"bác kỳ")</f>
        <v>bác kỳ</v>
      </c>
      <c r="C6907" s="119" t="str">
        <f>IFERROR(__xludf.DUMMYFUNCTION("""COMPUTED_VALUE"""),"2 phạm văn thanh")</f>
        <v>2 phạm văn thanh</v>
      </c>
      <c r="D6907" s="119" t="str">
        <f>IFERROR(__xludf.DUMMYFUNCTION("""COMPUTED_VALUE"""),"Chó")</f>
        <v>Chó</v>
      </c>
      <c r="E6907" s="119" t="str">
        <f>IFERROR(__xludf.DUMMYFUNCTION("""COMPUTED_VALUE"""),"red")</f>
        <v>red</v>
      </c>
    </row>
    <row r="6908" ht="15.75" customHeight="1">
      <c r="A6908" s="122" t="str">
        <f>IFERROR(__xludf.DUMMYFUNCTION("""COMPUTED_VALUE"""),"0335 130 598")</f>
        <v>0335 130 598</v>
      </c>
      <c r="B6908" s="119" t="str">
        <f>IFERROR(__xludf.DUMMYFUNCTION("""COMPUTED_VALUE"""),"chị ngọc")</f>
        <v>chị ngọc</v>
      </c>
      <c r="C6908" s="119" t="str">
        <f>IFERROR(__xludf.DUMMYFUNCTION("""COMPUTED_VALUE"""),"14 phạm văn đồng")</f>
        <v>14 phạm văn đồng</v>
      </c>
      <c r="D6908" s="119" t="str">
        <f>IFERROR(__xludf.DUMMYFUNCTION("""COMPUTED_VALUE"""),"Mèo")</f>
        <v>Mèo</v>
      </c>
      <c r="E6908" s="119" t="str">
        <f>IFERROR(__xludf.DUMMYFUNCTION("""COMPUTED_VALUE"""),"tiền")</f>
        <v>tiền</v>
      </c>
    </row>
    <row r="6909" ht="15.75" customHeight="1">
      <c r="A6909" s="122" t="str">
        <f>IFERROR(__xludf.DUMMYFUNCTION("""COMPUTED_VALUE"""),"0706 256 012")</f>
        <v>0706 256 012</v>
      </c>
      <c r="B6909" s="119" t="str">
        <f>IFERROR(__xludf.DUMMYFUNCTION("""COMPUTED_VALUE"""),"Chị Nhàn")</f>
        <v>Chị Nhàn</v>
      </c>
      <c r="C6909" s="119" t="str">
        <f>IFERROR(__xludf.DUMMYFUNCTION("""COMPUTED_VALUE"""),"21/9 Lê Quý Đôn")</f>
        <v>21/9 Lê Quý Đôn</v>
      </c>
      <c r="D6909" s="119" t="str">
        <f>IFERROR(__xludf.DUMMYFUNCTION("""COMPUTED_VALUE"""),"Chó")</f>
        <v>Chó</v>
      </c>
      <c r="E6909" s="119" t="str">
        <f>IFERROR(__xludf.DUMMYFUNCTION("""COMPUTED_VALUE"""),"Gấu")</f>
        <v>Gấu</v>
      </c>
    </row>
    <row r="6910" ht="15.75" customHeight="1">
      <c r="A6910" s="122" t="str">
        <f>IFERROR(__xludf.DUMMYFUNCTION("""COMPUTED_VALUE"""),"0934 824 041")</f>
        <v>0934 824 041</v>
      </c>
      <c r="B6910" s="119" t="str">
        <f>IFERROR(__xludf.DUMMYFUNCTION("""COMPUTED_VALUE"""),"nguyễn văn lợi")</f>
        <v>nguyễn văn lợi</v>
      </c>
      <c r="C6910" s="119" t="str">
        <f>IFERROR(__xludf.DUMMYFUNCTION("""COMPUTED_VALUE"""),"49 nguyễn thái học")</f>
        <v>49 nguyễn thái học</v>
      </c>
      <c r="D6910" s="119" t="str">
        <f>IFERROR(__xludf.DUMMYFUNCTION("""COMPUTED_VALUE"""),"Chó")</f>
        <v>Chó</v>
      </c>
      <c r="E6910" s="119" t="str">
        <f>IFERROR(__xludf.DUMMYFUNCTION("""COMPUTED_VALUE"""),"mun")</f>
        <v>mun</v>
      </c>
    </row>
    <row r="6911" ht="15.75" customHeight="1">
      <c r="A6911" s="122" t="str">
        <f>IFERROR(__xludf.DUMMYFUNCTION("""COMPUTED_VALUE"""),"0796 595 979")</f>
        <v>0796 595 979</v>
      </c>
      <c r="B6911" s="119" t="str">
        <f>IFERROR(__xludf.DUMMYFUNCTION("""COMPUTED_VALUE"""),"anh công lập")</f>
        <v>anh công lập</v>
      </c>
      <c r="C6911" s="119" t="str">
        <f>IFERROR(__xludf.DUMMYFUNCTION("""COMPUTED_VALUE"""),"thuận an")</f>
        <v>thuận an</v>
      </c>
      <c r="D6911" s="119" t="str">
        <f>IFERROR(__xludf.DUMMYFUNCTION("""COMPUTED_VALUE"""),"Chó")</f>
        <v>Chó</v>
      </c>
      <c r="E6911" s="119" t="str">
        <f>IFERROR(__xludf.DUMMYFUNCTION("""COMPUTED_VALUE"""),"ken")</f>
        <v>ken</v>
      </c>
    </row>
    <row r="6912" ht="15.75" customHeight="1">
      <c r="A6912" s="122" t="str">
        <f>IFERROR(__xludf.DUMMYFUNCTION("""COMPUTED_VALUE"""),"0988 532 346")</f>
        <v>0988 532 346</v>
      </c>
      <c r="B6912" s="119" t="str">
        <f>IFERROR(__xludf.DUMMYFUNCTION("""COMPUTED_VALUE"""),"chị ánh lê")</f>
        <v>chị ánh lê</v>
      </c>
      <c r="C6912" s="119" t="str">
        <f>IFERROR(__xludf.DUMMYFUNCTION("""COMPUTED_VALUE"""),"75 hùng vương")</f>
        <v>75 hùng vương</v>
      </c>
      <c r="D6912" s="119" t="str">
        <f>IFERROR(__xludf.DUMMYFUNCTION("""COMPUTED_VALUE"""),"Chó")</f>
        <v>Chó</v>
      </c>
      <c r="E6912" s="119" t="str">
        <f>IFERROR(__xludf.DUMMYFUNCTION("""COMPUTED_VALUE"""),"bơ")</f>
        <v>bơ</v>
      </c>
    </row>
    <row r="6913" ht="15.75" customHeight="1">
      <c r="A6913" s="122" t="str">
        <f>IFERROR(__xludf.DUMMYFUNCTION("""COMPUTED_VALUE"""),"0387 836 631")</f>
        <v>0387 836 631</v>
      </c>
      <c r="B6913" s="119" t="str">
        <f>IFERROR(__xludf.DUMMYFUNCTION("""COMPUTED_VALUE"""),"hằng")</f>
        <v>hằng</v>
      </c>
      <c r="C6913" s="119" t="str">
        <f>IFERROR(__xludf.DUMMYFUNCTION("""COMPUTED_VALUE"""),"hương thủy")</f>
        <v>hương thủy</v>
      </c>
      <c r="D6913" s="119" t="str">
        <f>IFERROR(__xludf.DUMMYFUNCTION("""COMPUTED_VALUE"""),"Mèo")</f>
        <v>Mèo</v>
      </c>
      <c r="E6913" s="119"/>
    </row>
    <row r="6914" ht="15.75" customHeight="1">
      <c r="A6914" s="122" t="str">
        <f>IFERROR(__xludf.DUMMYFUNCTION("""COMPUTED_VALUE"""),"0838 040 559")</f>
        <v>0838 040 559</v>
      </c>
      <c r="B6914" s="119" t="str">
        <f>IFERROR(__xludf.DUMMYFUNCTION("""COMPUTED_VALUE"""),"minh hiếu")</f>
        <v>minh hiếu</v>
      </c>
      <c r="C6914" s="119" t="str">
        <f>IFERROR(__xludf.DUMMYFUNCTION("""COMPUTED_VALUE"""),"36/246 hùng vương")</f>
        <v>36/246 hùng vương</v>
      </c>
      <c r="D6914" s="119" t="str">
        <f>IFERROR(__xludf.DUMMYFUNCTION("""COMPUTED_VALUE"""),"Chó")</f>
        <v>Chó</v>
      </c>
      <c r="E6914" s="119" t="str">
        <f>IFERROR(__xludf.DUMMYFUNCTION("""COMPUTED_VALUE"""),"heo")</f>
        <v>heo</v>
      </c>
    </row>
    <row r="6915" ht="15.75" customHeight="1">
      <c r="A6915" s="122" t="str">
        <f>IFERROR(__xludf.DUMMYFUNCTION("""COMPUTED_VALUE"""),"0906 589 009")</f>
        <v>0906 589 009</v>
      </c>
      <c r="B6915" s="119" t="str">
        <f>IFERROR(__xludf.DUMMYFUNCTION("""COMPUTED_VALUE"""),"chị Linh")</f>
        <v>chị Linh</v>
      </c>
      <c r="C6915" s="119" t="str">
        <f>IFERROR(__xludf.DUMMYFUNCTION("""COMPUTED_VALUE"""),"thủy dương")</f>
        <v>thủy dương</v>
      </c>
      <c r="D6915" s="119" t="str">
        <f>IFERROR(__xludf.DUMMYFUNCTION("""COMPUTED_VALUE"""),"Mèo")</f>
        <v>Mèo</v>
      </c>
      <c r="E6915" s="119" t="str">
        <f>IFERROR(__xludf.DUMMYFUNCTION("""COMPUTED_VALUE"""),"phở")</f>
        <v>phở</v>
      </c>
    </row>
    <row r="6916" ht="15.75" customHeight="1">
      <c r="A6916" s="122" t="str">
        <f>IFERROR(__xludf.DUMMYFUNCTION("""COMPUTED_VALUE"""),"0764 381 321")</f>
        <v>0764 381 321</v>
      </c>
      <c r="B6916" s="119" t="str">
        <f>IFERROR(__xludf.DUMMYFUNCTION("""COMPUTED_VALUE"""),"hoàng quốc huy")</f>
        <v>hoàng quốc huy</v>
      </c>
      <c r="C6916" s="119" t="str">
        <f>IFERROR(__xludf.DUMMYFUNCTION("""COMPUTED_VALUE"""),"6 tịnh tâm")</f>
        <v>6 tịnh tâm</v>
      </c>
      <c r="D6916" s="119" t="str">
        <f>IFERROR(__xludf.DUMMYFUNCTION("""COMPUTED_VALUE"""),"Chó")</f>
        <v>Chó</v>
      </c>
      <c r="E6916" s="119" t="str">
        <f>IFERROR(__xludf.DUMMYFUNCTION("""COMPUTED_VALUE"""),"rise")</f>
        <v>rise</v>
      </c>
    </row>
    <row r="6917" ht="15.75" customHeight="1">
      <c r="A6917" s="122" t="str">
        <f>IFERROR(__xludf.DUMMYFUNCTION("""COMPUTED_VALUE"""),"0968 279 305")</f>
        <v>0968 279 305</v>
      </c>
      <c r="B6917" s="119" t="str">
        <f>IFERROR(__xludf.DUMMYFUNCTION("""COMPUTED_VALUE"""),"nhi")</f>
        <v>nhi</v>
      </c>
      <c r="C6917" s="119" t="str">
        <f>IFERROR(__xludf.DUMMYFUNCTION("""COMPUTED_VALUE"""),"223 nguyễn sinh cung")</f>
        <v>223 nguyễn sinh cung</v>
      </c>
      <c r="D6917" s="119" t="str">
        <f>IFERROR(__xludf.DUMMYFUNCTION("""COMPUTED_VALUE"""),"Chó")</f>
        <v>Chó</v>
      </c>
      <c r="E6917" s="119" t="str">
        <f>IFERROR(__xludf.DUMMYFUNCTION("""COMPUTED_VALUE"""),"su beo")</f>
        <v>su beo</v>
      </c>
    </row>
    <row r="6918" ht="15.75" customHeight="1">
      <c r="A6918" s="122" t="str">
        <f>IFERROR(__xludf.DUMMYFUNCTION("""COMPUTED_VALUE"""),"0972 516 969")</f>
        <v>0972 516 969</v>
      </c>
      <c r="B6918" s="119" t="str">
        <f>IFERROR(__xludf.DUMMYFUNCTION("""COMPUTED_VALUE"""),"ngọc anh")</f>
        <v>ngọc anh</v>
      </c>
      <c r="C6918" s="119" t="str">
        <f>IFERROR(__xludf.DUMMYFUNCTION("""COMPUTED_VALUE"""),"k2 bùi xuân phái")</f>
        <v>k2 bùi xuân phái</v>
      </c>
      <c r="D6918" s="119" t="str">
        <f>IFERROR(__xludf.DUMMYFUNCTION("""COMPUTED_VALUE"""),"Mèo")</f>
        <v>Mèo</v>
      </c>
      <c r="E6918" s="119" t="str">
        <f>IFERROR(__xludf.DUMMYFUNCTION("""COMPUTED_VALUE"""),"tôm")</f>
        <v>tôm</v>
      </c>
    </row>
    <row r="6919" ht="15.75" customHeight="1">
      <c r="A6919" s="122" t="str">
        <f>IFERROR(__xludf.DUMMYFUNCTION("""COMPUTED_VALUE"""),"0855 846 517")</f>
        <v>0855 846 517</v>
      </c>
      <c r="B6919" s="119" t="str">
        <f>IFERROR(__xludf.DUMMYFUNCTION("""COMPUTED_VALUE"""),"anh đức lợi")</f>
        <v>anh đức lợi</v>
      </c>
      <c r="C6919" s="119" t="str">
        <f>IFERROR(__xludf.DUMMYFUNCTION("""COMPUTED_VALUE"""),"8/106 hải triều")</f>
        <v>8/106 hải triều</v>
      </c>
      <c r="D6919" s="119" t="str">
        <f>IFERROR(__xludf.DUMMYFUNCTION("""COMPUTED_VALUE"""),"Mèo")</f>
        <v>Mèo</v>
      </c>
      <c r="E6919" s="119" t="str">
        <f>IFERROR(__xludf.DUMMYFUNCTION("""COMPUTED_VALUE"""),"lan")</f>
        <v>lan</v>
      </c>
    </row>
    <row r="6920" ht="15.75" customHeight="1">
      <c r="A6920" s="122" t="str">
        <f>IFERROR(__xludf.DUMMYFUNCTION("""COMPUTED_VALUE"""),"0904 411 549")</f>
        <v>0904 411 549</v>
      </c>
      <c r="B6920" s="119" t="str">
        <f>IFERROR(__xludf.DUMMYFUNCTION("""COMPUTED_VALUE"""),"Anh Long")</f>
        <v>Anh Long</v>
      </c>
      <c r="C6920" s="119" t="str">
        <f>IFERROR(__xludf.DUMMYFUNCTION("""COMPUTED_VALUE"""),"59 Phạm Văn Đồng")</f>
        <v>59 Phạm Văn Đồng</v>
      </c>
      <c r="D6920" s="119" t="str">
        <f>IFERROR(__xludf.DUMMYFUNCTION("""COMPUTED_VALUE"""),"Chó")</f>
        <v>Chó</v>
      </c>
      <c r="E6920" s="119" t="str">
        <f>IFERROR(__xludf.DUMMYFUNCTION("""COMPUTED_VALUE"""),"Gấu")</f>
        <v>Gấu</v>
      </c>
    </row>
    <row r="6921" ht="15.75" customHeight="1">
      <c r="A6921" s="122" t="str">
        <f>IFERROR(__xludf.DUMMYFUNCTION("""COMPUTED_VALUE"""),"0905 971 868")</f>
        <v>0905 971 868</v>
      </c>
      <c r="B6921" s="119" t="str">
        <f>IFERROR(__xludf.DUMMYFUNCTION("""COMPUTED_VALUE"""),"Nguyễn Xuân Vũ")</f>
        <v>Nguyễn Xuân Vũ</v>
      </c>
      <c r="C6921" s="119" t="str">
        <f>IFERROR(__xludf.DUMMYFUNCTION("""COMPUTED_VALUE"""),"5 Ngô Gia Tự")</f>
        <v>5 Ngô Gia Tự</v>
      </c>
      <c r="D6921" s="119" t="str">
        <f>IFERROR(__xludf.DUMMYFUNCTION("""COMPUTED_VALUE"""),"Chó")</f>
        <v>Chó</v>
      </c>
      <c r="E6921" s="119" t="str">
        <f>IFERROR(__xludf.DUMMYFUNCTION("""COMPUTED_VALUE"""),"Mớp")</f>
        <v>Mớp</v>
      </c>
    </row>
    <row r="6922" ht="15.75" customHeight="1">
      <c r="A6922" s="122" t="str">
        <f>IFERROR(__xludf.DUMMYFUNCTION("""COMPUTED_VALUE"""),"0934 957 575")</f>
        <v>0934 957 575</v>
      </c>
      <c r="B6922" s="119" t="str">
        <f>IFERROR(__xludf.DUMMYFUNCTION("""COMPUTED_VALUE"""),"Chị Thìn")</f>
        <v>Chị Thìn</v>
      </c>
      <c r="C6922" s="119" t="str">
        <f>IFERROR(__xludf.DUMMYFUNCTION("""COMPUTED_VALUE"""),"14 Dương Văn An")</f>
        <v>14 Dương Văn An</v>
      </c>
      <c r="D6922" s="119" t="str">
        <f>IFERROR(__xludf.DUMMYFUNCTION("""COMPUTED_VALUE"""),"Mèo")</f>
        <v>Mèo</v>
      </c>
      <c r="E6922" s="119" t="str">
        <f>IFERROR(__xludf.DUMMYFUNCTION("""COMPUTED_VALUE"""),"Bông")</f>
        <v>Bông</v>
      </c>
    </row>
    <row r="6923" ht="15.75" customHeight="1">
      <c r="A6923" s="122" t="str">
        <f>IFERROR(__xludf.DUMMYFUNCTION("""COMPUTED_VALUE"""),"0985 500 777")</f>
        <v>0985 500 777</v>
      </c>
      <c r="B6923" s="119" t="str">
        <f>IFERROR(__xludf.DUMMYFUNCTION("""COMPUTED_VALUE"""),"Anh Hùng")</f>
        <v>Anh Hùng</v>
      </c>
      <c r="C6923" s="119" t="str">
        <f>IFERROR(__xludf.DUMMYFUNCTION("""COMPUTED_VALUE"""),"94/23 Dương Văn An")</f>
        <v>94/23 Dương Văn An</v>
      </c>
      <c r="D6923" s="119" t="str">
        <f>IFERROR(__xludf.DUMMYFUNCTION("""COMPUTED_VALUE"""),"Chó")</f>
        <v>Chó</v>
      </c>
      <c r="E6923" s="119" t="str">
        <f>IFERROR(__xludf.DUMMYFUNCTION("""COMPUTED_VALUE"""),"Gấu")</f>
        <v>Gấu</v>
      </c>
    </row>
    <row r="6924" ht="15.75" customHeight="1">
      <c r="A6924" s="122" t="str">
        <f>IFERROR(__xludf.DUMMYFUNCTION("""COMPUTED_VALUE"""),"0702 381 930")</f>
        <v>0702 381 930</v>
      </c>
      <c r="B6924" s="119" t="str">
        <f>IFERROR(__xludf.DUMMYFUNCTION("""COMPUTED_VALUE"""),"Chị Thủy")</f>
        <v>Chị Thủy</v>
      </c>
      <c r="C6924" s="119" t="str">
        <f>IFERROR(__xludf.DUMMYFUNCTION("""COMPUTED_VALUE"""),"2/66/7 Tân Bình")</f>
        <v>2/66/7 Tân Bình</v>
      </c>
      <c r="D6924" s="119" t="str">
        <f>IFERROR(__xludf.DUMMYFUNCTION("""COMPUTED_VALUE"""),"Chó")</f>
        <v>Chó</v>
      </c>
      <c r="E6924" s="119" t="str">
        <f>IFERROR(__xludf.DUMMYFUNCTION("""COMPUTED_VALUE"""),"Sam")</f>
        <v>Sam</v>
      </c>
    </row>
    <row r="6925" ht="15.75" customHeight="1">
      <c r="A6925" s="122" t="str">
        <f>IFERROR(__xludf.DUMMYFUNCTION("""COMPUTED_VALUE"""),"0966 506 366")</f>
        <v>0966 506 366</v>
      </c>
      <c r="B6925" s="119" t="str">
        <f>IFERROR(__xludf.DUMMYFUNCTION("""COMPUTED_VALUE"""),"Chị Nguyệt")</f>
        <v>Chị Nguyệt</v>
      </c>
      <c r="C6925" s="119" t="str">
        <f>IFERROR(__xludf.DUMMYFUNCTION("""COMPUTED_VALUE"""),"Chung cư aryana")</f>
        <v>Chung cư aryana</v>
      </c>
      <c r="D6925" s="119" t="str">
        <f>IFERROR(__xludf.DUMMYFUNCTION("""COMPUTED_VALUE"""),"Mèo")</f>
        <v>Mèo</v>
      </c>
      <c r="E6925" s="119" t="str">
        <f>IFERROR(__xludf.DUMMYFUNCTION("""COMPUTED_VALUE"""),"Táo")</f>
        <v>Táo</v>
      </c>
    </row>
    <row r="6926" ht="15.75" customHeight="1">
      <c r="A6926" s="122" t="str">
        <f>IFERROR(__xludf.DUMMYFUNCTION("""COMPUTED_VALUE"""),"0792 311 567")</f>
        <v>0792 311 567</v>
      </c>
      <c r="B6926" s="119" t="str">
        <f>IFERROR(__xludf.DUMMYFUNCTION("""COMPUTED_VALUE"""),"nguyễn văn phúc")</f>
        <v>nguyễn văn phúc</v>
      </c>
      <c r="C6926" s="119" t="str">
        <f>IFERROR(__xludf.DUMMYFUNCTION("""COMPUTED_VALUE"""),"289 trương dương vương")</f>
        <v>289 trương dương vương</v>
      </c>
      <c r="D6926" s="119" t="str">
        <f>IFERROR(__xludf.DUMMYFUNCTION("""COMPUTED_VALUE"""),"Chó")</f>
        <v>Chó</v>
      </c>
      <c r="E6926" s="119" t="str">
        <f>IFERROR(__xludf.DUMMYFUNCTION("""COMPUTED_VALUE"""),"rốt")</f>
        <v>rốt</v>
      </c>
    </row>
    <row r="6927" ht="15.75" customHeight="1">
      <c r="A6927" s="122" t="str">
        <f>IFERROR(__xludf.DUMMYFUNCTION("""COMPUTED_VALUE"""),"0907 703 939")</f>
        <v>0907 703 939</v>
      </c>
      <c r="B6927" s="119" t="str">
        <f>IFERROR(__xludf.DUMMYFUNCTION("""COMPUTED_VALUE"""),"Anh Phú")</f>
        <v>Anh Phú</v>
      </c>
      <c r="C6927" s="119" t="str">
        <f>IFERROR(__xludf.DUMMYFUNCTION("""COMPUTED_VALUE"""),"215 Bà Triệu")</f>
        <v>215 Bà Triệu</v>
      </c>
      <c r="D6927" s="119" t="str">
        <f>IFERROR(__xludf.DUMMYFUNCTION("""COMPUTED_VALUE"""),"Mèo")</f>
        <v>Mèo</v>
      </c>
      <c r="E6927" s="119"/>
    </row>
    <row r="6928" ht="15.75" customHeight="1">
      <c r="A6928" s="122" t="str">
        <f>IFERROR(__xludf.DUMMYFUNCTION("""COMPUTED_VALUE"""),"0329 022 227")</f>
        <v>0329 022 227</v>
      </c>
      <c r="B6928" s="119" t="str">
        <f>IFERROR(__xludf.DUMMYFUNCTION("""COMPUTED_VALUE"""),"Trương Minh Bảo")</f>
        <v>Trương Minh Bảo</v>
      </c>
      <c r="C6928" s="119" t="str">
        <f>IFERROR(__xludf.DUMMYFUNCTION("""COMPUTED_VALUE"""),"245 Phạm Văn Đồng")</f>
        <v>245 Phạm Văn Đồng</v>
      </c>
      <c r="D6928" s="119" t="str">
        <f>IFERROR(__xludf.DUMMYFUNCTION("""COMPUTED_VALUE"""),"Chó")</f>
        <v>Chó</v>
      </c>
      <c r="E6928" s="119"/>
    </row>
    <row r="6929" ht="15.75" customHeight="1">
      <c r="A6929" s="122" t="str">
        <f>IFERROR(__xludf.DUMMYFUNCTION("""COMPUTED_VALUE"""),"0826 625 416")</f>
        <v>0826 625 416</v>
      </c>
      <c r="B6929" s="119" t="str">
        <f>IFERROR(__xludf.DUMMYFUNCTION("""COMPUTED_VALUE"""),"Em Bảo Trân")</f>
        <v>Em Bảo Trân</v>
      </c>
      <c r="C6929" s="119" t="str">
        <f>IFERROR(__xludf.DUMMYFUNCTION("""COMPUTED_VALUE"""),"16 Nguyễn Sinh Cung")</f>
        <v>16 Nguyễn Sinh Cung</v>
      </c>
      <c r="D6929" s="119" t="str">
        <f>IFERROR(__xludf.DUMMYFUNCTION("""COMPUTED_VALUE"""),"Mèo")</f>
        <v>Mèo</v>
      </c>
      <c r="E6929" s="119" t="str">
        <f>IFERROR(__xludf.DUMMYFUNCTION("""COMPUTED_VALUE"""),"Min")</f>
        <v>Min</v>
      </c>
    </row>
    <row r="6930" ht="15.75" customHeight="1">
      <c r="A6930" s="122" t="str">
        <f>IFERROR(__xludf.DUMMYFUNCTION("""COMPUTED_VALUE"""),"0368 468 755")</f>
        <v>0368 468 755</v>
      </c>
      <c r="B6930" s="119" t="str">
        <f>IFERROR(__xludf.DUMMYFUNCTION("""COMPUTED_VALUE"""),"Dì Xuân")</f>
        <v>Dì Xuân</v>
      </c>
      <c r="C6930" s="119" t="str">
        <f>IFERROR(__xludf.DUMMYFUNCTION("""COMPUTED_VALUE"""),"Chợ Mai")</f>
        <v>Chợ Mai</v>
      </c>
      <c r="D6930" s="119" t="str">
        <f>IFERROR(__xludf.DUMMYFUNCTION("""COMPUTED_VALUE"""),"Chó")</f>
        <v>Chó</v>
      </c>
      <c r="E6930" s="119" t="str">
        <f>IFERROR(__xludf.DUMMYFUNCTION("""COMPUTED_VALUE"""),"Mun")</f>
        <v>Mun</v>
      </c>
    </row>
    <row r="6931" ht="15.75" customHeight="1">
      <c r="A6931" s="122" t="str">
        <f>IFERROR(__xludf.DUMMYFUNCTION("""COMPUTED_VALUE"""),"0832 310 666")</f>
        <v>0832 310 666</v>
      </c>
      <c r="B6931" s="119" t="str">
        <f>IFERROR(__xludf.DUMMYFUNCTION("""COMPUTED_VALUE"""),"Anh Mẫn")</f>
        <v>Anh Mẫn</v>
      </c>
      <c r="C6931" s="119" t="str">
        <f>IFERROR(__xludf.DUMMYFUNCTION("""COMPUTED_VALUE"""),"Lại Thế")</f>
        <v>Lại Thế</v>
      </c>
      <c r="D6931" s="119" t="str">
        <f>IFERROR(__xludf.DUMMYFUNCTION("""COMPUTED_VALUE"""),"Mèo")</f>
        <v>Mèo</v>
      </c>
      <c r="E6931" s="119" t="str">
        <f>IFERROR(__xludf.DUMMYFUNCTION("""COMPUTED_VALUE"""),"Sumiu")</f>
        <v>Sumiu</v>
      </c>
    </row>
    <row r="6932" ht="15.75" customHeight="1">
      <c r="A6932" s="122" t="str">
        <f>IFERROR(__xludf.DUMMYFUNCTION("""COMPUTED_VALUE"""),"0787 534 410")</f>
        <v>0787 534 410</v>
      </c>
      <c r="B6932" s="119" t="str">
        <f>IFERROR(__xludf.DUMMYFUNCTION("""COMPUTED_VALUE"""),"Anh Lê Thái Bảo")</f>
        <v>Anh Lê Thái Bảo</v>
      </c>
      <c r="C6932" s="119" t="str">
        <f>IFERROR(__xludf.DUMMYFUNCTION("""COMPUTED_VALUE"""),"28/87 Nguyễn Huệ")</f>
        <v>28/87 Nguyễn Huệ</v>
      </c>
      <c r="D6932" s="119" t="str">
        <f>IFERROR(__xludf.DUMMYFUNCTION("""COMPUTED_VALUE"""),"Chó")</f>
        <v>Chó</v>
      </c>
      <c r="E6932" s="119" t="str">
        <f>IFERROR(__xludf.DUMMYFUNCTION("""COMPUTED_VALUE"""),"Milu")</f>
        <v>Milu</v>
      </c>
    </row>
    <row r="6933" ht="15.75" customHeight="1">
      <c r="A6933" s="122" t="str">
        <f>IFERROR(__xludf.DUMMYFUNCTION("""COMPUTED_VALUE"""),"0358 308 793")</f>
        <v>0358 308 793</v>
      </c>
      <c r="B6933" s="119" t="str">
        <f>IFERROR(__xludf.DUMMYFUNCTION("""COMPUTED_VALUE"""),"Trần Thị Bảo Nguyên")</f>
        <v>Trần Thị Bảo Nguyên</v>
      </c>
      <c r="C6933" s="119" t="str">
        <f>IFERROR(__xludf.DUMMYFUNCTION("""COMPUTED_VALUE"""),"chung cư vicoland")</f>
        <v>chung cư vicoland</v>
      </c>
      <c r="D6933" s="119" t="str">
        <f>IFERROR(__xludf.DUMMYFUNCTION("""COMPUTED_VALUE"""),"Chó")</f>
        <v>Chó</v>
      </c>
      <c r="E6933" s="119" t="str">
        <f>IFERROR(__xludf.DUMMYFUNCTION("""COMPUTED_VALUE"""),"Dollar")</f>
        <v>Dollar</v>
      </c>
    </row>
    <row r="6934" ht="15.75" customHeight="1">
      <c r="A6934" s="122" t="str">
        <f>IFERROR(__xludf.DUMMYFUNCTION("""COMPUTED_VALUE"""),"0905 863 351")</f>
        <v>0905 863 351</v>
      </c>
      <c r="B6934" s="119" t="str">
        <f>IFERROR(__xludf.DUMMYFUNCTION("""COMPUTED_VALUE"""),"Anh Quý")</f>
        <v>Anh Quý</v>
      </c>
      <c r="C6934" s="119" t="str">
        <f>IFERROR(__xludf.DUMMYFUNCTION("""COMPUTED_VALUE"""),"Hàn Mạc Tử")</f>
        <v>Hàn Mạc Tử</v>
      </c>
      <c r="D6934" s="119" t="str">
        <f>IFERROR(__xludf.DUMMYFUNCTION("""COMPUTED_VALUE"""),"Chó")</f>
        <v>Chó</v>
      </c>
      <c r="E6934" s="119"/>
    </row>
    <row r="6935" ht="15.75" customHeight="1">
      <c r="A6935" s="122" t="str">
        <f>IFERROR(__xludf.DUMMYFUNCTION("""COMPUTED_VALUE"""),"0905 929 227")</f>
        <v>0905 929 227</v>
      </c>
      <c r="B6935" s="119" t="str">
        <f>IFERROR(__xludf.DUMMYFUNCTION("""COMPUTED_VALUE"""),"Em Quyên")</f>
        <v>Em Quyên</v>
      </c>
      <c r="C6935" s="119" t="str">
        <f>IFERROR(__xludf.DUMMYFUNCTION("""COMPUTED_VALUE"""),"386 Chi Lăng")</f>
        <v>386 Chi Lăng</v>
      </c>
      <c r="D6935" s="119" t="str">
        <f>IFERROR(__xludf.DUMMYFUNCTION("""COMPUTED_VALUE"""),"chó")</f>
        <v>chó</v>
      </c>
      <c r="E6935" s="119" t="str">
        <f>IFERROR(__xludf.DUMMYFUNCTION("""COMPUTED_VALUE"""),"Friend")</f>
        <v>Friend</v>
      </c>
    </row>
    <row r="6936" ht="15.75" customHeight="1">
      <c r="A6936" s="122" t="str">
        <f>IFERROR(__xludf.DUMMYFUNCTION("""COMPUTED_VALUE"""),"0905 562 432")</f>
        <v>0905 562 432</v>
      </c>
      <c r="B6936" s="119" t="str">
        <f>IFERROR(__xludf.DUMMYFUNCTION("""COMPUTED_VALUE"""),"Chị Mỹ Ngọc")</f>
        <v>Chị Mỹ Ngọc</v>
      </c>
      <c r="C6936" s="119" t="str">
        <f>IFERROR(__xludf.DUMMYFUNCTION("""COMPUTED_VALUE"""),"Nguyễn Công Trứ")</f>
        <v>Nguyễn Công Trứ</v>
      </c>
      <c r="D6936" s="119" t="str">
        <f>IFERROR(__xludf.DUMMYFUNCTION("""COMPUTED_VALUE"""),"Chó")</f>
        <v>Chó</v>
      </c>
      <c r="E6936" s="119" t="str">
        <f>IFERROR(__xludf.DUMMYFUNCTION("""COMPUTED_VALUE"""),"Bi")</f>
        <v>Bi</v>
      </c>
    </row>
    <row r="6937" ht="15.75" customHeight="1">
      <c r="A6937" s="122" t="str">
        <f>IFERROR(__xludf.DUMMYFUNCTION("""COMPUTED_VALUE"""),"0935 021 714")</f>
        <v>0935 021 714</v>
      </c>
      <c r="B6937" s="119" t="str">
        <f>IFERROR(__xludf.DUMMYFUNCTION("""COMPUTED_VALUE"""),"Anh Tính")</f>
        <v>Anh Tính</v>
      </c>
      <c r="C6937" s="119" t="str">
        <f>IFERROR(__xludf.DUMMYFUNCTION("""COMPUTED_VALUE"""),"Phú Hải")</f>
        <v>Phú Hải</v>
      </c>
      <c r="D6937" s="119" t="str">
        <f>IFERROR(__xludf.DUMMYFUNCTION("""COMPUTED_VALUE"""),"Chó")</f>
        <v>Chó</v>
      </c>
      <c r="E6937" s="119" t="str">
        <f>IFERROR(__xludf.DUMMYFUNCTION("""COMPUTED_VALUE"""),"Đấu")</f>
        <v>Đấu</v>
      </c>
    </row>
    <row r="6938" ht="15.75" customHeight="1">
      <c r="A6938" s="122" t="str">
        <f>IFERROR(__xludf.DUMMYFUNCTION("""COMPUTED_VALUE"""),"0931 951 662")</f>
        <v>0931 951 662</v>
      </c>
      <c r="B6938" s="119" t="str">
        <f>IFERROR(__xludf.DUMMYFUNCTION("""COMPUTED_VALUE"""),"Chị Nhi")</f>
        <v>Chị Nhi</v>
      </c>
      <c r="C6938" s="119" t="str">
        <f>IFERROR(__xludf.DUMMYFUNCTION("""COMPUTED_VALUE"""),"105 Hàn Mạc Tử")</f>
        <v>105 Hàn Mạc Tử</v>
      </c>
      <c r="D6938" s="119" t="str">
        <f>IFERROR(__xludf.DUMMYFUNCTION("""COMPUTED_VALUE"""),"Chó")</f>
        <v>Chó</v>
      </c>
      <c r="E6938" s="119" t="str">
        <f>IFERROR(__xludf.DUMMYFUNCTION("""COMPUTED_VALUE"""),"Mít")</f>
        <v>Mít</v>
      </c>
    </row>
    <row r="6939" ht="15.75" customHeight="1">
      <c r="A6939" s="122" t="str">
        <f>IFERROR(__xludf.DUMMYFUNCTION("""COMPUTED_VALUE"""),"0347 087 294")</f>
        <v>0347 087 294</v>
      </c>
      <c r="B6939" s="119" t="str">
        <f>IFERROR(__xludf.DUMMYFUNCTION("""COMPUTED_VALUE"""),"Chị Mỹ")</f>
        <v>Chị Mỹ</v>
      </c>
      <c r="C6939" s="119" t="str">
        <f>IFERROR(__xludf.DUMMYFUNCTION("""COMPUTED_VALUE"""),"Phú Dương")</f>
        <v>Phú Dương</v>
      </c>
      <c r="D6939" s="119" t="str">
        <f>IFERROR(__xludf.DUMMYFUNCTION("""COMPUTED_VALUE"""),"Mèo")</f>
        <v>Mèo</v>
      </c>
      <c r="E6939" s="119" t="str">
        <f>IFERROR(__xludf.DUMMYFUNCTION("""COMPUTED_VALUE"""),"Mít")</f>
        <v>Mít</v>
      </c>
    </row>
    <row r="6940" ht="15.75" customHeight="1">
      <c r="A6940" s="122" t="str">
        <f>IFERROR(__xludf.DUMMYFUNCTION("""COMPUTED_VALUE"""),"0935 567 240")</f>
        <v>0935 567 240</v>
      </c>
      <c r="B6940" s="119" t="str">
        <f>IFERROR(__xludf.DUMMYFUNCTION("""COMPUTED_VALUE"""),"Dì Nhớ")</f>
        <v>Dì Nhớ</v>
      </c>
      <c r="C6940" s="119" t="str">
        <f>IFERROR(__xludf.DUMMYFUNCTION("""COMPUTED_VALUE"""),"27 Nguyễn Huệ")</f>
        <v>27 Nguyễn Huệ</v>
      </c>
      <c r="D6940" s="119" t="str">
        <f>IFERROR(__xludf.DUMMYFUNCTION("""COMPUTED_VALUE"""),"chó")</f>
        <v>chó</v>
      </c>
      <c r="E6940" s="119" t="str">
        <f>IFERROR(__xludf.DUMMYFUNCTION("""COMPUTED_VALUE"""),"Bông")</f>
        <v>Bông</v>
      </c>
    </row>
    <row r="6941" ht="15.75" customHeight="1">
      <c r="A6941" s="122" t="str">
        <f>IFERROR(__xludf.DUMMYFUNCTION("""COMPUTED_VALUE"""),"0979 072 264")</f>
        <v>0979 072 264</v>
      </c>
      <c r="B6941" s="119" t="str">
        <f>IFERROR(__xludf.DUMMYFUNCTION("""COMPUTED_VALUE"""),"Cô Quy")</f>
        <v>Cô Quy</v>
      </c>
      <c r="C6941" s="119" t="str">
        <f>IFERROR(__xludf.DUMMYFUNCTION("""COMPUTED_VALUE"""),"Phong Điền")</f>
        <v>Phong Điền</v>
      </c>
      <c r="D6941" s="119" t="str">
        <f>IFERROR(__xludf.DUMMYFUNCTION("""COMPUTED_VALUE"""),"Chó")</f>
        <v>Chó</v>
      </c>
      <c r="E6941" s="119" t="str">
        <f>IFERROR(__xludf.DUMMYFUNCTION("""COMPUTED_VALUE"""),"Ki")</f>
        <v>Ki</v>
      </c>
    </row>
    <row r="6942" ht="15.75" customHeight="1">
      <c r="A6942" s="122" t="str">
        <f>IFERROR(__xludf.DUMMYFUNCTION("""COMPUTED_VALUE"""),"0988 883 552")</f>
        <v>0988 883 552</v>
      </c>
      <c r="B6942" s="119" t="str">
        <f>IFERROR(__xludf.DUMMYFUNCTION("""COMPUTED_VALUE"""),"Anh Quyết")</f>
        <v>Anh Quyết</v>
      </c>
      <c r="C6942" s="119" t="str">
        <f>IFERROR(__xludf.DUMMYFUNCTION("""COMPUTED_VALUE"""),"Khu đô thị Royakk - Park")</f>
        <v>Khu đô thị Royakk - Park</v>
      </c>
      <c r="D6942" s="119" t="str">
        <f>IFERROR(__xludf.DUMMYFUNCTION("""COMPUTED_VALUE"""),"Chó")</f>
        <v>Chó</v>
      </c>
      <c r="E6942" s="119" t="str">
        <f>IFERROR(__xludf.DUMMYFUNCTION("""COMPUTED_VALUE"""),"Ti")</f>
        <v>Ti</v>
      </c>
    </row>
    <row r="6943" ht="15.75" customHeight="1">
      <c r="A6943" s="122" t="str">
        <f>IFERROR(__xludf.DUMMYFUNCTION("""COMPUTED_VALUE"""),"0797 925 568")</f>
        <v>0797 925 568</v>
      </c>
      <c r="B6943" s="119" t="str">
        <f>IFERROR(__xludf.DUMMYFUNCTION("""COMPUTED_VALUE"""),"Chị Nhung")</f>
        <v>Chị Nhung</v>
      </c>
      <c r="C6943" s="119" t="str">
        <f>IFERROR(__xludf.DUMMYFUNCTION("""COMPUTED_VALUE"""),"Phú Thuận")</f>
        <v>Phú Thuận</v>
      </c>
      <c r="D6943" s="119" t="str">
        <f>IFERROR(__xludf.DUMMYFUNCTION("""COMPUTED_VALUE"""),"Mèo")</f>
        <v>Mèo</v>
      </c>
      <c r="E6943" s="119" t="str">
        <f>IFERROR(__xludf.DUMMYFUNCTION("""COMPUTED_VALUE"""),"Mây")</f>
        <v>Mây</v>
      </c>
    </row>
    <row r="6944" ht="15.75" customHeight="1">
      <c r="A6944" s="122" t="str">
        <f>IFERROR(__xludf.DUMMYFUNCTION("""COMPUTED_VALUE"""),"0906 901 996")</f>
        <v>0906 901 996</v>
      </c>
      <c r="B6944" s="119" t="str">
        <f>IFERROR(__xludf.DUMMYFUNCTION("""COMPUTED_VALUE"""),"Chị Hoàng Yến")</f>
        <v>Chị Hoàng Yến</v>
      </c>
      <c r="C6944" s="119" t="str">
        <f>IFERROR(__xludf.DUMMYFUNCTION("""COMPUTED_VALUE"""),"15/33 Nguyễn Công Trứ")</f>
        <v>15/33 Nguyễn Công Trứ</v>
      </c>
      <c r="D6944" s="119" t="str">
        <f>IFERROR(__xludf.DUMMYFUNCTION("""COMPUTED_VALUE"""),"Chó")</f>
        <v>Chó</v>
      </c>
      <c r="E6944" s="119" t="str">
        <f>IFERROR(__xludf.DUMMYFUNCTION("""COMPUTED_VALUE"""),"Lu")</f>
        <v>Lu</v>
      </c>
    </row>
    <row r="6945" ht="15.75" customHeight="1">
      <c r="A6945" s="122" t="str">
        <f>IFERROR(__xludf.DUMMYFUNCTION("""COMPUTED_VALUE"""),"0934 867 148")</f>
        <v>0934 867 148</v>
      </c>
      <c r="B6945" s="119" t="str">
        <f>IFERROR(__xludf.DUMMYFUNCTION("""COMPUTED_VALUE"""),"Chị Nguyễn Thị Thảo Vy")</f>
        <v>Chị Nguyễn Thị Thảo Vy</v>
      </c>
      <c r="C6945" s="119" t="str">
        <f>IFERROR(__xludf.DUMMYFUNCTION("""COMPUTED_VALUE"""),"Hải Bình-Tư Vinh-Thuận An")</f>
        <v>Hải Bình-Tư Vinh-Thuận An</v>
      </c>
      <c r="D6945" s="119" t="str">
        <f>IFERROR(__xludf.DUMMYFUNCTION("""COMPUTED_VALUE"""),"Chó")</f>
        <v>Chó</v>
      </c>
      <c r="E6945" s="119" t="str">
        <f>IFERROR(__xludf.DUMMYFUNCTION("""COMPUTED_VALUE"""),"Bun")</f>
        <v>Bun</v>
      </c>
    </row>
    <row r="6946" ht="15.75" customHeight="1">
      <c r="A6946" s="122" t="str">
        <f>IFERROR(__xludf.DUMMYFUNCTION("""COMPUTED_VALUE"""),"0905 971 863")</f>
        <v>0905 971 863</v>
      </c>
      <c r="B6946" s="119" t="str">
        <f>IFERROR(__xludf.DUMMYFUNCTION("""COMPUTED_VALUE"""),"Anh Vũ")</f>
        <v>Anh Vũ</v>
      </c>
      <c r="C6946" s="119" t="str">
        <f>IFERROR(__xludf.DUMMYFUNCTION("""COMPUTED_VALUE"""),"5 Ngô Gia Tự")</f>
        <v>5 Ngô Gia Tự</v>
      </c>
      <c r="D6946" s="119" t="str">
        <f>IFERROR(__xludf.DUMMYFUNCTION("""COMPUTED_VALUE"""),"Chó")</f>
        <v>Chó</v>
      </c>
      <c r="E6946" s="119" t="str">
        <f>IFERROR(__xludf.DUMMYFUNCTION("""COMPUTED_VALUE"""),"Mớp")</f>
        <v>Mớp</v>
      </c>
    </row>
    <row r="6947" ht="15.75" customHeight="1">
      <c r="A6947" s="122" t="str">
        <f>IFERROR(__xludf.DUMMYFUNCTION("""COMPUTED_VALUE"""),"0332 708 475")</f>
        <v>0332 708 475</v>
      </c>
      <c r="B6947" s="119" t="str">
        <f>IFERROR(__xludf.DUMMYFUNCTION("""COMPUTED_VALUE"""),"Anh Nguyễn Thanh Phong")</f>
        <v>Anh Nguyễn Thanh Phong</v>
      </c>
      <c r="C6947" s="119" t="str">
        <f>IFERROR(__xludf.DUMMYFUNCTION("""COMPUTED_VALUE"""),"Phú Bài")</f>
        <v>Phú Bài</v>
      </c>
      <c r="D6947" s="119" t="str">
        <f>IFERROR(__xludf.DUMMYFUNCTION("""COMPUTED_VALUE"""),"Mèo")</f>
        <v>Mèo</v>
      </c>
      <c r="E6947" s="119" t="str">
        <f>IFERROR(__xludf.DUMMYFUNCTION("""COMPUTED_VALUE"""),"Bé Cam")</f>
        <v>Bé Cam</v>
      </c>
    </row>
    <row r="6948" ht="15.75" customHeight="1">
      <c r="A6948" s="122" t="str">
        <f>IFERROR(__xludf.DUMMYFUNCTION("""COMPUTED_VALUE"""),"0909 246 600")</f>
        <v>0909 246 600</v>
      </c>
      <c r="B6948" s="119" t="str">
        <f>IFERROR(__xludf.DUMMYFUNCTION("""COMPUTED_VALUE"""),"Ông Phạm Văn Lê")</f>
        <v>Ông Phạm Văn Lê</v>
      </c>
      <c r="C6948" s="119" t="str">
        <f>IFERROR(__xludf.DUMMYFUNCTION("""COMPUTED_VALUE"""),"61 Xuân Thủy")</f>
        <v>61 Xuân Thủy</v>
      </c>
      <c r="D6948" s="119" t="str">
        <f>IFERROR(__xludf.DUMMYFUNCTION("""COMPUTED_VALUE"""),"Chó")</f>
        <v>Chó</v>
      </c>
      <c r="E6948" s="119" t="str">
        <f>IFERROR(__xludf.DUMMYFUNCTION("""COMPUTED_VALUE"""),"Vàng")</f>
        <v>Vàng</v>
      </c>
    </row>
    <row r="6949" ht="15.75" customHeight="1">
      <c r="A6949" s="122" t="str">
        <f>IFERROR(__xludf.DUMMYFUNCTION("""COMPUTED_VALUE"""),"0396 648 968")</f>
        <v>0396 648 968</v>
      </c>
      <c r="B6949" s="119" t="str">
        <f>IFERROR(__xludf.DUMMYFUNCTION("""COMPUTED_VALUE"""),"Chị Linh")</f>
        <v>Chị Linh</v>
      </c>
      <c r="C6949" s="119" t="str">
        <f>IFERROR(__xludf.DUMMYFUNCTION("""COMPUTED_VALUE"""),"14 Phạm Văn Đồng")</f>
        <v>14 Phạm Văn Đồng</v>
      </c>
      <c r="D6949" s="119" t="str">
        <f>IFERROR(__xludf.DUMMYFUNCTION("""COMPUTED_VALUE"""),"Mèo")</f>
        <v>Mèo</v>
      </c>
      <c r="E6949" s="119" t="str">
        <f>IFERROR(__xludf.DUMMYFUNCTION("""COMPUTED_VALUE"""),"Đốm")</f>
        <v>Đốm</v>
      </c>
    </row>
    <row r="6950" ht="15.75" customHeight="1">
      <c r="A6950" s="122" t="str">
        <f>IFERROR(__xludf.DUMMYFUNCTION("""COMPUTED_VALUE"""),"0357 606 559")</f>
        <v>0357 606 559</v>
      </c>
      <c r="B6950" s="119" t="str">
        <f>IFERROR(__xludf.DUMMYFUNCTION("""COMPUTED_VALUE"""),"Chị Trâm")</f>
        <v>Chị Trâm</v>
      </c>
      <c r="C6950" s="119" t="str">
        <f>IFERROR(__xludf.DUMMYFUNCTION("""COMPUTED_VALUE"""),"40 Tuy Lý Vương")</f>
        <v>40 Tuy Lý Vương</v>
      </c>
      <c r="D6950" s="119" t="str">
        <f>IFERROR(__xludf.DUMMYFUNCTION("""COMPUTED_VALUE"""),"Chó")</f>
        <v>Chó</v>
      </c>
      <c r="E6950" s="119" t="str">
        <f>IFERROR(__xludf.DUMMYFUNCTION("""COMPUTED_VALUE"""),"HaNa")</f>
        <v>HaNa</v>
      </c>
    </row>
    <row r="6951" ht="15.75" customHeight="1">
      <c r="A6951" s="122" t="str">
        <f>IFERROR(__xludf.DUMMYFUNCTION("""COMPUTED_VALUE"""),"0981 243 294")</f>
        <v>0981 243 294</v>
      </c>
      <c r="B6951" s="119" t="str">
        <f>IFERROR(__xludf.DUMMYFUNCTION("""COMPUTED_VALUE"""),"Anh Thuận")</f>
        <v>Anh Thuận</v>
      </c>
      <c r="C6951" s="119" t="str">
        <f>IFERROR(__xludf.DUMMYFUNCTION("""COMPUTED_VALUE"""),"41 Nguyễn Sinh Cung")</f>
        <v>41 Nguyễn Sinh Cung</v>
      </c>
      <c r="D6951" s="119" t="str">
        <f>IFERROR(__xludf.DUMMYFUNCTION("""COMPUTED_VALUE"""),"Mèo")</f>
        <v>Mèo</v>
      </c>
      <c r="E6951" s="119" t="str">
        <f>IFERROR(__xludf.DUMMYFUNCTION("""COMPUTED_VALUE"""),"Mèo")</f>
        <v>Mèo</v>
      </c>
    </row>
    <row r="6952" ht="15.75" customHeight="1">
      <c r="A6952" s="122" t="str">
        <f>IFERROR(__xludf.DUMMYFUNCTION("""COMPUTED_VALUE"""),"0943 199 981")</f>
        <v>0943 199 981</v>
      </c>
      <c r="B6952" s="119" t="str">
        <f>IFERROR(__xludf.DUMMYFUNCTION("""COMPUTED_VALUE"""),"Đặng Hoành Minh Anh")</f>
        <v>Đặng Hoành Minh Anh</v>
      </c>
      <c r="C6952" s="119" t="str">
        <f>IFERROR(__xludf.DUMMYFUNCTION("""COMPUTED_VALUE"""),"3 Nguyễn Lương Bằng")</f>
        <v>3 Nguyễn Lương Bằng</v>
      </c>
      <c r="D6952" s="119" t="str">
        <f>IFERROR(__xludf.DUMMYFUNCTION("""COMPUTED_VALUE"""),"Chó")</f>
        <v>Chó</v>
      </c>
      <c r="E6952" s="119" t="str">
        <f>IFERROR(__xludf.DUMMYFUNCTION("""COMPUTED_VALUE"""),"Nâu")</f>
        <v>Nâu</v>
      </c>
    </row>
    <row r="6953" ht="15.75" customHeight="1">
      <c r="A6953" s="122" t="str">
        <f>IFERROR(__xludf.DUMMYFUNCTION("""COMPUTED_VALUE"""),"0984 199 651")</f>
        <v>0984 199 651</v>
      </c>
      <c r="B6953" s="119" t="str">
        <f>IFERROR(__xludf.DUMMYFUNCTION("""COMPUTED_VALUE"""),"Chị Nhì")</f>
        <v>Chị Nhì</v>
      </c>
      <c r="C6953" s="119" t="str">
        <f>IFERROR(__xludf.DUMMYFUNCTION("""COMPUTED_VALUE"""),"36 Tràn Văn Ơn")</f>
        <v>36 Tràn Văn Ơn</v>
      </c>
      <c r="D6953" s="119" t="str">
        <f>IFERROR(__xludf.DUMMYFUNCTION("""COMPUTED_VALUE"""),"Mèo")</f>
        <v>Mèo</v>
      </c>
      <c r="E6953" s="119" t="str">
        <f>IFERROR(__xludf.DUMMYFUNCTION("""COMPUTED_VALUE"""),"Tưng")</f>
        <v>Tưng</v>
      </c>
    </row>
    <row r="6954" ht="15.75" customHeight="1">
      <c r="A6954" s="122" t="str">
        <f>IFERROR(__xludf.DUMMYFUNCTION("""COMPUTED_VALUE"""),"0931 933 343")</f>
        <v>0931 933 343</v>
      </c>
      <c r="B6954" s="119" t="str">
        <f>IFERROR(__xludf.DUMMYFUNCTION("""COMPUTED_VALUE"""),"Lương Hồng Ngọc")</f>
        <v>Lương Hồng Ngọc</v>
      </c>
      <c r="C6954" s="119" t="str">
        <f>IFERROR(__xludf.DUMMYFUNCTION("""COMPUTED_VALUE"""),"6 Phan Cảnh Kế")</f>
        <v>6 Phan Cảnh Kế</v>
      </c>
      <c r="D6954" s="119" t="str">
        <f>IFERROR(__xludf.DUMMYFUNCTION("""COMPUTED_VALUE"""),"Chó")</f>
        <v>Chó</v>
      </c>
      <c r="E6954" s="119" t="str">
        <f>IFERROR(__xludf.DUMMYFUNCTION("""COMPUTED_VALUE"""),"Bơ")</f>
        <v>Bơ</v>
      </c>
    </row>
    <row r="6955" ht="15.75" customHeight="1">
      <c r="A6955" s="122" t="str">
        <f>IFERROR(__xludf.DUMMYFUNCTION("""COMPUTED_VALUE"""),"0702 644 445")</f>
        <v>0702 644 445</v>
      </c>
      <c r="B6955" s="119" t="str">
        <f>IFERROR(__xludf.DUMMYFUNCTION("""COMPUTED_VALUE"""),"Anh Vũ")</f>
        <v>Anh Vũ</v>
      </c>
      <c r="C6955" s="119" t="str">
        <f>IFERROR(__xludf.DUMMYFUNCTION("""COMPUTED_VALUE"""),"Vicolanl")</f>
        <v>Vicolanl</v>
      </c>
      <c r="D6955" s="119" t="str">
        <f>IFERROR(__xludf.DUMMYFUNCTION("""COMPUTED_VALUE"""),"Chó")</f>
        <v>Chó</v>
      </c>
      <c r="E6955" s="119" t="str">
        <f>IFERROR(__xludf.DUMMYFUNCTION("""COMPUTED_VALUE"""),"Bom")</f>
        <v>Bom</v>
      </c>
    </row>
    <row r="6956" ht="15.75" customHeight="1">
      <c r="A6956" s="122" t="str">
        <f>IFERROR(__xludf.DUMMYFUNCTION("""COMPUTED_VALUE"""),"0934 904 855")</f>
        <v>0934 904 855</v>
      </c>
      <c r="B6956" s="119" t="str">
        <f>IFERROR(__xludf.DUMMYFUNCTION("""COMPUTED_VALUE"""),"Về nhà")</f>
        <v>Về nhà</v>
      </c>
      <c r="C6956" s="119" t="str">
        <f>IFERROR(__xludf.DUMMYFUNCTION("""COMPUTED_VALUE"""),"457 Chi Lăng")</f>
        <v>457 Chi Lăng</v>
      </c>
      <c r="D6956" s="119" t="str">
        <f>IFERROR(__xludf.DUMMYFUNCTION("""COMPUTED_VALUE"""),"Mèo")</f>
        <v>Mèo</v>
      </c>
      <c r="E6956" s="119" t="str">
        <f>IFERROR(__xludf.DUMMYFUNCTION("""COMPUTED_VALUE"""),"Vàng")</f>
        <v>Vàng</v>
      </c>
    </row>
    <row r="6957" ht="15.75" customHeight="1">
      <c r="A6957" s="122" t="str">
        <f>IFERROR(__xludf.DUMMYFUNCTION("""COMPUTED_VALUE"""),"0937 486 235")</f>
        <v>0937 486 235</v>
      </c>
      <c r="B6957" s="119" t="str">
        <f>IFERROR(__xludf.DUMMYFUNCTION("""COMPUTED_VALUE"""),"Anh Đặng Quốc Khánh")</f>
        <v>Anh Đặng Quốc Khánh</v>
      </c>
      <c r="C6957" s="119" t="str">
        <f>IFERROR(__xludf.DUMMYFUNCTION("""COMPUTED_VALUE"""),"Lăng Cô")</f>
        <v>Lăng Cô</v>
      </c>
      <c r="D6957" s="119" t="str">
        <f>IFERROR(__xludf.DUMMYFUNCTION("""COMPUTED_VALUE"""),"Chó")</f>
        <v>Chó</v>
      </c>
      <c r="E6957" s="119" t="str">
        <f>IFERROR(__xludf.DUMMYFUNCTION("""COMPUTED_VALUE"""),"Mèo")</f>
        <v>Mèo</v>
      </c>
    </row>
    <row r="6958" ht="15.75" customHeight="1">
      <c r="A6958" s="122" t="str">
        <f>IFERROR(__xludf.DUMMYFUNCTION("""COMPUTED_VALUE"""),"0705 912 904")</f>
        <v>0705 912 904</v>
      </c>
      <c r="B6958" s="119" t="str">
        <f>IFERROR(__xludf.DUMMYFUNCTION("""COMPUTED_VALUE"""),"Chị Bình Minh")</f>
        <v>Chị Bình Minh</v>
      </c>
      <c r="C6958" s="119" t="str">
        <f>IFERROR(__xludf.DUMMYFUNCTION("""COMPUTED_VALUE"""),"4/24 An Diêm Vương")</f>
        <v>4/24 An Diêm Vương</v>
      </c>
      <c r="D6958" s="119" t="str">
        <f>IFERROR(__xludf.DUMMYFUNCTION("""COMPUTED_VALUE"""),"Chó")</f>
        <v>Chó</v>
      </c>
      <c r="E6958" s="119" t="str">
        <f>IFERROR(__xludf.DUMMYFUNCTION("""COMPUTED_VALUE"""),"Ghi Cái")</f>
        <v>Ghi Cái</v>
      </c>
    </row>
    <row r="6959" ht="15.75" customHeight="1">
      <c r="A6959" s="122" t="str">
        <f>IFERROR(__xludf.DUMMYFUNCTION("""COMPUTED_VALUE"""),"0373 646 281")</f>
        <v>0373 646 281</v>
      </c>
      <c r="B6959" s="119" t="str">
        <f>IFERROR(__xludf.DUMMYFUNCTION("""COMPUTED_VALUE"""),"chú vui")</f>
        <v>chú vui</v>
      </c>
      <c r="C6959" s="119" t="str">
        <f>IFERROR(__xludf.DUMMYFUNCTION("""COMPUTED_VALUE"""),"35/82 nguyễn sinh cung")</f>
        <v>35/82 nguyễn sinh cung</v>
      </c>
      <c r="D6959" s="119" t="str">
        <f>IFERROR(__xludf.DUMMYFUNCTION("""COMPUTED_VALUE"""),"Chó")</f>
        <v>Chó</v>
      </c>
      <c r="E6959" s="119" t="str">
        <f>IFERROR(__xludf.DUMMYFUNCTION("""COMPUTED_VALUE"""),"su su")</f>
        <v>su su</v>
      </c>
    </row>
    <row r="6960" ht="15.75" customHeight="1">
      <c r="A6960" s="122" t="str">
        <f>IFERROR(__xludf.DUMMYFUNCTION("""COMPUTED_VALUE"""),"0942 157 643")</f>
        <v>0942 157 643</v>
      </c>
      <c r="B6960" s="119" t="str">
        <f>IFERROR(__xludf.DUMMYFUNCTION("""COMPUTED_VALUE"""),"nguyễn tuấn anh")</f>
        <v>nguyễn tuấn anh</v>
      </c>
      <c r="C6960" s="119" t="str">
        <f>IFERROR(__xludf.DUMMYFUNCTION("""COMPUTED_VALUE"""),"44 duy tân")</f>
        <v>44 duy tân</v>
      </c>
      <c r="D6960" s="119" t="str">
        <f>IFERROR(__xludf.DUMMYFUNCTION("""COMPUTED_VALUE"""),"Mèo")</f>
        <v>Mèo</v>
      </c>
      <c r="E6960" s="119"/>
    </row>
    <row r="6961" ht="15.75" customHeight="1">
      <c r="A6961" s="122" t="str">
        <f>IFERROR(__xludf.DUMMYFUNCTION("""COMPUTED_VALUE"""),"0869 699 394")</f>
        <v>0869 699 394</v>
      </c>
      <c r="B6961" s="119" t="str">
        <f>IFERROR(__xludf.DUMMYFUNCTION("""COMPUTED_VALUE"""),"anh vinh")</f>
        <v>anh vinh</v>
      </c>
      <c r="C6961" s="119" t="str">
        <f>IFERROR(__xludf.DUMMYFUNCTION("""COMPUTED_VALUE"""),"lô a5 phú hiệp")</f>
        <v>lô a5 phú hiệp</v>
      </c>
      <c r="D6961" s="119" t="str">
        <f>IFERROR(__xludf.DUMMYFUNCTION("""COMPUTED_VALUE"""),"Chó")</f>
        <v>Chó</v>
      </c>
      <c r="E6961" s="119"/>
    </row>
    <row r="6962" ht="15.75" customHeight="1">
      <c r="A6962" s="122" t="str">
        <f>IFERROR(__xludf.DUMMYFUNCTION("""COMPUTED_VALUE"""),"0842 010 000")</f>
        <v>0842 010 000</v>
      </c>
      <c r="B6962" s="119" t="str">
        <f>IFERROR(__xludf.DUMMYFUNCTION("""COMPUTED_VALUE"""),"ngọc thủy")</f>
        <v>ngọc thủy</v>
      </c>
      <c r="C6962" s="119" t="str">
        <f>IFERROR(__xludf.DUMMYFUNCTION("""COMPUTED_VALUE"""),"233 phạm văn đồng")</f>
        <v>233 phạm văn đồng</v>
      </c>
      <c r="D6962" s="119" t="str">
        <f>IFERROR(__xludf.DUMMYFUNCTION("""COMPUTED_VALUE"""),"Mèo")</f>
        <v>Mèo</v>
      </c>
      <c r="E6962" s="119" t="str">
        <f>IFERROR(__xludf.DUMMYFUNCTION("""COMPUTED_VALUE"""),"cam")</f>
        <v>cam</v>
      </c>
    </row>
    <row r="6963" ht="15.75" customHeight="1">
      <c r="A6963" s="122" t="str">
        <f>IFERROR(__xludf.DUMMYFUNCTION("""COMPUTED_VALUE"""),"0974 975 246")</f>
        <v>0974 975 246</v>
      </c>
      <c r="B6963" s="119" t="str">
        <f>IFERROR(__xludf.DUMMYFUNCTION("""COMPUTED_VALUE"""),"anh nhân")</f>
        <v>anh nhân</v>
      </c>
      <c r="C6963" s="119" t="str">
        <f>IFERROR(__xludf.DUMMYFUNCTION("""COMPUTED_VALUE"""),"62 dương văn an")</f>
        <v>62 dương văn an</v>
      </c>
      <c r="D6963" s="119" t="str">
        <f>IFERROR(__xludf.DUMMYFUNCTION("""COMPUTED_VALUE"""),"Chó")</f>
        <v>Chó</v>
      </c>
      <c r="E6963" s="119" t="str">
        <f>IFERROR(__xludf.DUMMYFUNCTION("""COMPUTED_VALUE"""),"bơ")</f>
        <v>bơ</v>
      </c>
    </row>
    <row r="6964" ht="15.75" customHeight="1">
      <c r="A6964" s="122" t="str">
        <f>IFERROR(__xludf.DUMMYFUNCTION("""COMPUTED_VALUE"""),"0905 866 661")</f>
        <v>0905 866 661</v>
      </c>
      <c r="B6964" s="119" t="str">
        <f>IFERROR(__xludf.DUMMYFUNCTION("""COMPUTED_VALUE"""),"chị hằng")</f>
        <v>chị hằng</v>
      </c>
      <c r="C6964" s="119" t="str">
        <f>IFERROR(__xludf.DUMMYFUNCTION("""COMPUTED_VALUE"""),"k191 nguyễn lộ trạch")</f>
        <v>k191 nguyễn lộ trạch</v>
      </c>
      <c r="D6964" s="119" t="str">
        <f>IFERROR(__xludf.DUMMYFUNCTION("""COMPUTED_VALUE"""),"Mèo")</f>
        <v>Mèo</v>
      </c>
      <c r="E6964" s="119" t="str">
        <f>IFERROR(__xludf.DUMMYFUNCTION("""COMPUTED_VALUE"""),"miu")</f>
        <v>miu</v>
      </c>
    </row>
    <row r="6965" ht="15.75" customHeight="1">
      <c r="A6965" s="122" t="str">
        <f>IFERROR(__xludf.DUMMYFUNCTION("""COMPUTED_VALUE"""),"0344 177 002")</f>
        <v>0344 177 002</v>
      </c>
      <c r="B6965" s="119" t="str">
        <f>IFERROR(__xludf.DUMMYFUNCTION("""COMPUTED_VALUE"""),"đăng bi")</f>
        <v>đăng bi</v>
      </c>
      <c r="C6965" s="119" t="str">
        <f>IFERROR(__xludf.DUMMYFUNCTION("""COMPUTED_VALUE"""),"vinh an")</f>
        <v>vinh an</v>
      </c>
      <c r="D6965" s="119" t="str">
        <f>IFERROR(__xludf.DUMMYFUNCTION("""COMPUTED_VALUE"""),"Mèo")</f>
        <v>Mèo</v>
      </c>
      <c r="E6965" s="119" t="str">
        <f>IFERROR(__xludf.DUMMYFUNCTION("""COMPUTED_VALUE"""),"bư")</f>
        <v>bư</v>
      </c>
    </row>
    <row r="6966" ht="15.75" customHeight="1">
      <c r="A6966" s="122" t="str">
        <f>IFERROR(__xludf.DUMMYFUNCTION("""COMPUTED_VALUE"""),"0905 112 555")</f>
        <v>0905 112 555</v>
      </c>
      <c r="B6966" s="119" t="str">
        <f>IFERROR(__xludf.DUMMYFUNCTION("""COMPUTED_VALUE"""),"Chú Bình")</f>
        <v>Chú Bình</v>
      </c>
      <c r="C6966" s="119" t="str">
        <f>IFERROR(__xludf.DUMMYFUNCTION("""COMPUTED_VALUE""")," 58 nguyễn hữu ba")</f>
        <v> 58 nguyễn hữu ba</v>
      </c>
      <c r="D6966" s="119" t="str">
        <f>IFERROR(__xludf.DUMMYFUNCTION("""COMPUTED_VALUE"""),"chó  ")</f>
        <v>chó  </v>
      </c>
      <c r="E6966" s="119" t="str">
        <f>IFERROR(__xludf.DUMMYFUNCTION("""COMPUTED_VALUE"""),"Đen")</f>
        <v>Đen</v>
      </c>
    </row>
    <row r="6967" ht="15.75" customHeight="1">
      <c r="A6967" s="122" t="str">
        <f>IFERROR(__xludf.DUMMYFUNCTION("""COMPUTED_VALUE"""),"0763 160 036")</f>
        <v>0763 160 036</v>
      </c>
      <c r="B6967" s="119" t="str">
        <f>IFERROR(__xludf.DUMMYFUNCTION("""COMPUTED_VALUE"""),"anh dũng")</f>
        <v>anh dũng</v>
      </c>
      <c r="C6967" s="119" t="str">
        <f>IFERROR(__xludf.DUMMYFUNCTION("""COMPUTED_VALUE"""),"3/263 bà triệu")</f>
        <v>3/263 bà triệu</v>
      </c>
      <c r="D6967" s="119" t="str">
        <f>IFERROR(__xludf.DUMMYFUNCTION("""COMPUTED_VALUE"""),"Chó")</f>
        <v>Chó</v>
      </c>
      <c r="E6967" s="119" t="str">
        <f>IFERROR(__xludf.DUMMYFUNCTION("""COMPUTED_VALUE"""),"pin")</f>
        <v>pin</v>
      </c>
    </row>
    <row r="6968" ht="15.75" customHeight="1">
      <c r="A6968" s="122" t="str">
        <f>IFERROR(__xludf.DUMMYFUNCTION("""COMPUTED_VALUE"""),"0343 789 528")</f>
        <v>0343 789 528</v>
      </c>
      <c r="B6968" s="119" t="str">
        <f>IFERROR(__xludf.DUMMYFUNCTION("""COMPUTED_VALUE"""),"cô bích trâm")</f>
        <v>cô bích trâm</v>
      </c>
      <c r="C6968" s="119" t="str">
        <f>IFERROR(__xludf.DUMMYFUNCTION("""COMPUTED_VALUE"""),"quảng điền")</f>
        <v>quảng điền</v>
      </c>
      <c r="D6968" s="119" t="str">
        <f>IFERROR(__xludf.DUMMYFUNCTION("""COMPUTED_VALUE"""),"Mèo")</f>
        <v>Mèo</v>
      </c>
      <c r="E6968" s="119" t="str">
        <f>IFERROR(__xludf.DUMMYFUNCTION("""COMPUTED_VALUE"""),"mimi")</f>
        <v>mimi</v>
      </c>
    </row>
    <row r="6969" ht="15.75" customHeight="1">
      <c r="A6969" s="122" t="str">
        <f>IFERROR(__xludf.DUMMYFUNCTION("""COMPUTED_VALUE"""),"0777 466 153")</f>
        <v>0777 466 153</v>
      </c>
      <c r="B6969" s="119" t="str">
        <f>IFERROR(__xludf.DUMMYFUNCTION("""COMPUTED_VALUE"""),"anh tuấn")</f>
        <v>anh tuấn</v>
      </c>
      <c r="C6969" s="119" t="str">
        <f>IFERROR(__xludf.DUMMYFUNCTION("""COMPUTED_VALUE"""),"nguyễn sinh cung")</f>
        <v>nguyễn sinh cung</v>
      </c>
      <c r="D6969" s="119" t="str">
        <f>IFERROR(__xludf.DUMMYFUNCTION("""COMPUTED_VALUE"""),"Chó")</f>
        <v>Chó</v>
      </c>
      <c r="E6969" s="119"/>
    </row>
    <row r="6970" ht="15.75" customHeight="1">
      <c r="A6970" s="122" t="str">
        <f>IFERROR(__xludf.DUMMYFUNCTION("""COMPUTED_VALUE"""),"0334 887 667")</f>
        <v>0334 887 667</v>
      </c>
      <c r="B6970" s="119" t="str">
        <f>IFERROR(__xludf.DUMMYFUNCTION("""COMPUTED_VALUE"""),"Chị Hà My")</f>
        <v>Chị Hà My</v>
      </c>
      <c r="C6970" s="119" t="str">
        <f>IFERROR(__xludf.DUMMYFUNCTION("""COMPUTED_VALUE"""),"Thủy Phù")</f>
        <v>Thủy Phù</v>
      </c>
      <c r="D6970" s="119" t="str">
        <f>IFERROR(__xludf.DUMMYFUNCTION("""COMPUTED_VALUE"""),"Chó")</f>
        <v>Chó</v>
      </c>
      <c r="E6970" s="119" t="str">
        <f>IFERROR(__xludf.DUMMYFUNCTION("""COMPUTED_VALUE"""),"gấu")</f>
        <v>gấu</v>
      </c>
    </row>
    <row r="6971" ht="15.75" customHeight="1">
      <c r="A6971" s="122" t="str">
        <f>IFERROR(__xludf.DUMMYFUNCTION("""COMPUTED_VALUE"""),"0906 570 141")</f>
        <v>0906 570 141</v>
      </c>
      <c r="B6971" s="119" t="str">
        <f>IFERROR(__xludf.DUMMYFUNCTION("""COMPUTED_VALUE"""),"Anh Tuấn Khanh")</f>
        <v>Anh Tuấn Khanh</v>
      </c>
      <c r="C6971" s="119" t="str">
        <f>IFERROR(__xludf.DUMMYFUNCTION("""COMPUTED_VALUE"""),"59 Nguyễn Tất Thành")</f>
        <v>59 Nguyễn Tất Thành</v>
      </c>
      <c r="D6971" s="119" t="str">
        <f>IFERROR(__xludf.DUMMYFUNCTION("""COMPUTED_VALUE"""),"Chó")</f>
        <v>Chó</v>
      </c>
      <c r="E6971" s="119"/>
    </row>
    <row r="6972" ht="15.75" customHeight="1">
      <c r="A6972" s="122" t="str">
        <f>IFERROR(__xludf.DUMMYFUNCTION("""COMPUTED_VALUE"""),"0932 413 040")</f>
        <v>0932 413 040</v>
      </c>
      <c r="B6972" s="119" t="str">
        <f>IFERROR(__xludf.DUMMYFUNCTION("""COMPUTED_VALUE"""),"anh Hiếu")</f>
        <v>anh Hiếu</v>
      </c>
      <c r="C6972" s="119" t="str">
        <f>IFERROR(__xludf.DUMMYFUNCTION("""COMPUTED_VALUE"""),"28 Trần Nguyên Hãn")</f>
        <v>28 Trần Nguyên Hãn</v>
      </c>
      <c r="D6972" s="119" t="str">
        <f>IFERROR(__xludf.DUMMYFUNCTION("""COMPUTED_VALUE"""),"Chó")</f>
        <v>Chó</v>
      </c>
      <c r="E6972" s="119"/>
    </row>
    <row r="6973" ht="15.75" customHeight="1">
      <c r="A6973" s="122" t="str">
        <f>IFERROR(__xludf.DUMMYFUNCTION("""COMPUTED_VALUE"""),"0767 858 126")</f>
        <v>0767 858 126</v>
      </c>
      <c r="B6973" s="119" t="str">
        <f>IFERROR(__xludf.DUMMYFUNCTION("""COMPUTED_VALUE"""),"Chị Minh Châu")</f>
        <v>Chị Minh Châu</v>
      </c>
      <c r="C6973" s="119" t="str">
        <f>IFERROR(__xludf.DUMMYFUNCTION("""COMPUTED_VALUE"""),"56 Nguyễn Khoa Vy")</f>
        <v>56 Nguyễn Khoa Vy</v>
      </c>
      <c r="D6973" s="119" t="str">
        <f>IFERROR(__xludf.DUMMYFUNCTION("""COMPUTED_VALUE"""),"Mèo")</f>
        <v>Mèo</v>
      </c>
      <c r="E6973" s="119" t="str">
        <f>IFERROR(__xludf.DUMMYFUNCTION("""COMPUTED_VALUE"""),"Đen")</f>
        <v>Đen</v>
      </c>
    </row>
    <row r="6974" ht="15.75" customHeight="1">
      <c r="A6974" s="122" t="str">
        <f>IFERROR(__xludf.DUMMYFUNCTION("""COMPUTED_VALUE"""),"0905 395 775")</f>
        <v>0905 395 775</v>
      </c>
      <c r="B6974" s="119" t="str">
        <f>IFERROR(__xludf.DUMMYFUNCTION("""COMPUTED_VALUE"""),"Chị Ny Ny")</f>
        <v>Chị Ny Ny</v>
      </c>
      <c r="C6974" s="119" t="str">
        <f>IFERROR(__xludf.DUMMYFUNCTION("""COMPUTED_VALUE"""),"13A Hàn Mặc Tử")</f>
        <v>13A Hàn Mặc Tử</v>
      </c>
      <c r="D6974" s="119" t="str">
        <f>IFERROR(__xludf.DUMMYFUNCTION("""COMPUTED_VALUE"""),"Chó")</f>
        <v>Chó</v>
      </c>
      <c r="E6974" s="119" t="str">
        <f>IFERROR(__xludf.DUMMYFUNCTION("""COMPUTED_VALUE"""),"Bông")</f>
        <v>Bông</v>
      </c>
    </row>
    <row r="6975" ht="15.75" customHeight="1">
      <c r="A6975" s="122" t="str">
        <f>IFERROR(__xludf.DUMMYFUNCTION("""COMPUTED_VALUE"""),"0967 452 514")</f>
        <v>0967 452 514</v>
      </c>
      <c r="B6975" s="119" t="str">
        <f>IFERROR(__xludf.DUMMYFUNCTION("""COMPUTED_VALUE"""),"Huỳnh Thế An")</f>
        <v>Huỳnh Thế An</v>
      </c>
      <c r="C6975" s="119" t="str">
        <f>IFERROR(__xludf.DUMMYFUNCTION("""COMPUTED_VALUE"""),"Phú Bài")</f>
        <v>Phú Bài</v>
      </c>
      <c r="D6975" s="119" t="str">
        <f>IFERROR(__xludf.DUMMYFUNCTION("""COMPUTED_VALUE"""),"Chó")</f>
        <v>Chó</v>
      </c>
      <c r="E6975" s="119" t="str">
        <f>IFERROR(__xludf.DUMMYFUNCTION("""COMPUTED_VALUE"""),"Bia")</f>
        <v>Bia</v>
      </c>
    </row>
    <row r="6976" ht="15.75" customHeight="1">
      <c r="A6976" s="122" t="str">
        <f>IFERROR(__xludf.DUMMYFUNCTION("""COMPUTED_VALUE"""),"0777 522 461")</f>
        <v>0777 522 461</v>
      </c>
      <c r="B6976" s="119" t="str">
        <f>IFERROR(__xludf.DUMMYFUNCTION("""COMPUTED_VALUE"""),"lê văn nhật hưng")</f>
        <v>lê văn nhật hưng</v>
      </c>
      <c r="C6976" s="119" t="str">
        <f>IFERROR(__xludf.DUMMYFUNCTION("""COMPUTED_VALUE"""),"27 phan anh")</f>
        <v>27 phan anh</v>
      </c>
      <c r="D6976" s="119" t="str">
        <f>IFERROR(__xludf.DUMMYFUNCTION("""COMPUTED_VALUE"""),"Mèo")</f>
        <v>Mèo</v>
      </c>
      <c r="E6976" s="119"/>
    </row>
    <row r="6977" ht="15.75" customHeight="1">
      <c r="A6977" s="122" t="str">
        <f>IFERROR(__xludf.DUMMYFUNCTION("""COMPUTED_VALUE"""),"0969 740 887")</f>
        <v>0969 740 887</v>
      </c>
      <c r="B6977" s="119" t="str">
        <f>IFERROR(__xludf.DUMMYFUNCTION("""COMPUTED_VALUE"""),"Lê Hạnh Nguyên")</f>
        <v>Lê Hạnh Nguyên</v>
      </c>
      <c r="C6977" s="119" t="str">
        <f>IFERROR(__xludf.DUMMYFUNCTION("""COMPUTED_VALUE"""),"10/3/257 Bùi Thị Xuân")</f>
        <v>10/3/257 Bùi Thị Xuân</v>
      </c>
      <c r="D6977" s="119" t="str">
        <f>IFERROR(__xludf.DUMMYFUNCTION("""COMPUTED_VALUE"""),"Mèo")</f>
        <v>Mèo</v>
      </c>
      <c r="E6977" s="119" t="str">
        <f>IFERROR(__xludf.DUMMYFUNCTION("""COMPUTED_VALUE"""),"Nâu")</f>
        <v>Nâu</v>
      </c>
    </row>
    <row r="6978" ht="15.75" customHeight="1">
      <c r="A6978" s="122" t="str">
        <f>IFERROR(__xludf.DUMMYFUNCTION("""COMPUTED_VALUE"""),"0702 396 128")</f>
        <v>0702 396 128</v>
      </c>
      <c r="B6978" s="119" t="str">
        <f>IFERROR(__xludf.DUMMYFUNCTION("""COMPUTED_VALUE"""),"Cô Thúy Hồng")</f>
        <v>Cô Thúy Hồng</v>
      </c>
      <c r="C6978" s="119" t="str">
        <f>IFERROR(__xludf.DUMMYFUNCTION("""COMPUTED_VALUE"""),"Phú Vang")</f>
        <v>Phú Vang</v>
      </c>
      <c r="D6978" s="119" t="str">
        <f>IFERROR(__xludf.DUMMYFUNCTION("""COMPUTED_VALUE"""),"Chó")</f>
        <v>Chó</v>
      </c>
      <c r="E6978" s="119" t="str">
        <f>IFERROR(__xludf.DUMMYFUNCTION("""COMPUTED_VALUE"""),"Củ cải")</f>
        <v>Củ cải</v>
      </c>
    </row>
    <row r="6979" ht="15.75" customHeight="1">
      <c r="A6979" s="122" t="str">
        <f>IFERROR(__xludf.DUMMYFUNCTION("""COMPUTED_VALUE"""),"0379 634 279")</f>
        <v>0379 634 279</v>
      </c>
      <c r="B6979" s="119" t="str">
        <f>IFERROR(__xludf.DUMMYFUNCTION("""COMPUTED_VALUE"""),"Em Lượng")</f>
        <v>Em Lượng</v>
      </c>
      <c r="C6979" s="119" t="str">
        <f>IFERROR(__xludf.DUMMYFUNCTION("""COMPUTED_VALUE"""),"21 Văn Cao")</f>
        <v>21 Văn Cao</v>
      </c>
      <c r="D6979" s="119" t="str">
        <f>IFERROR(__xludf.DUMMYFUNCTION("""COMPUTED_VALUE"""),"Mèo")</f>
        <v>Mèo</v>
      </c>
      <c r="E6979" s="119" t="str">
        <f>IFERROR(__xludf.DUMMYFUNCTION("""COMPUTED_VALUE"""),"Milk")</f>
        <v>Milk</v>
      </c>
    </row>
    <row r="6980" ht="15.75" customHeight="1">
      <c r="A6980" s="122" t="str">
        <f>IFERROR(__xludf.DUMMYFUNCTION("""COMPUTED_VALUE"""),"0905 106 824")</f>
        <v>0905 106 824</v>
      </c>
      <c r="B6980" s="119" t="str">
        <f>IFERROR(__xludf.DUMMYFUNCTION("""COMPUTED_VALUE"""),"Hoàng Vĩnh Thắng")</f>
        <v>Hoàng Vĩnh Thắng</v>
      </c>
      <c r="C6980" s="119" t="str">
        <f>IFERROR(__xludf.DUMMYFUNCTION("""COMPUTED_VALUE"""),"28 Hùng Vương")</f>
        <v>28 Hùng Vương</v>
      </c>
      <c r="D6980" s="119" t="str">
        <f>IFERROR(__xludf.DUMMYFUNCTION("""COMPUTED_VALUE"""),"Thỏ")</f>
        <v>Thỏ</v>
      </c>
      <c r="E6980" s="119" t="str">
        <f>IFERROR(__xludf.DUMMYFUNCTION("""COMPUTED_VALUE"""),"Bo")</f>
        <v>Bo</v>
      </c>
    </row>
    <row r="6981" ht="15.75" customHeight="1">
      <c r="A6981" s="122" t="str">
        <f>IFERROR(__xludf.DUMMYFUNCTION("""COMPUTED_VALUE"""),"0839 605 363")</f>
        <v>0839 605 363</v>
      </c>
      <c r="B6981" s="119" t="str">
        <f>IFERROR(__xludf.DUMMYFUNCTION("""COMPUTED_VALUE"""),"Chị Nhi")</f>
        <v>Chị Nhi</v>
      </c>
      <c r="C6981" s="119" t="str">
        <f>IFERROR(__xludf.DUMMYFUNCTION("""COMPUTED_VALUE"""),"143 Hàn Mặc Tử")</f>
        <v>143 Hàn Mặc Tử</v>
      </c>
      <c r="D6981" s="119" t="str">
        <f>IFERROR(__xludf.DUMMYFUNCTION("""COMPUTED_VALUE"""),"Chó")</f>
        <v>Chó</v>
      </c>
      <c r="E6981" s="119" t="str">
        <f>IFERROR(__xludf.DUMMYFUNCTION("""COMPUTED_VALUE"""),"Bưởi")</f>
        <v>Bưởi</v>
      </c>
    </row>
    <row r="6982" ht="15.75" customHeight="1">
      <c r="A6982" s="122" t="str">
        <f>IFERROR(__xludf.DUMMYFUNCTION("""COMPUTED_VALUE"""),"0372 539 081")</f>
        <v>0372 539 081</v>
      </c>
      <c r="B6982" s="119" t="str">
        <f>IFERROR(__xludf.DUMMYFUNCTION("""COMPUTED_VALUE"""),"Em Sơn")</f>
        <v>Em Sơn</v>
      </c>
      <c r="C6982" s="119" t="str">
        <f>IFERROR(__xludf.DUMMYFUNCTION("""COMPUTED_VALUE"""),"225 Bà Triệu")</f>
        <v>225 Bà Triệu</v>
      </c>
      <c r="D6982" s="119" t="str">
        <f>IFERROR(__xludf.DUMMYFUNCTION("""COMPUTED_VALUE"""),"Mèo")</f>
        <v>Mèo</v>
      </c>
      <c r="E6982" s="119" t="str">
        <f>IFERROR(__xludf.DUMMYFUNCTION("""COMPUTED_VALUE"""),"Ngố")</f>
        <v>Ngố</v>
      </c>
    </row>
    <row r="6983" ht="15.75" customHeight="1">
      <c r="A6983" s="122" t="str">
        <f>IFERROR(__xludf.DUMMYFUNCTION("""COMPUTED_VALUE"""),"0774 446 789")</f>
        <v>0774 446 789</v>
      </c>
      <c r="B6983" s="119" t="str">
        <f>IFERROR(__xludf.DUMMYFUNCTION("""COMPUTED_VALUE"""),"Anh Thạch")</f>
        <v>Anh Thạch</v>
      </c>
      <c r="C6983" s="119" t="str">
        <f>IFERROR(__xludf.DUMMYFUNCTION("""COMPUTED_VALUE"""),"6 Cao Xuân Dục")</f>
        <v>6 Cao Xuân Dục</v>
      </c>
      <c r="D6983" s="119" t="str">
        <f>IFERROR(__xludf.DUMMYFUNCTION("""COMPUTED_VALUE"""),"Chó")</f>
        <v>Chó</v>
      </c>
      <c r="E6983" s="119" t="str">
        <f>IFERROR(__xludf.DUMMYFUNCTION("""COMPUTED_VALUE"""),"Hương")</f>
        <v>Hương</v>
      </c>
    </row>
    <row r="6984" ht="15.75" customHeight="1">
      <c r="A6984" s="122" t="str">
        <f>IFERROR(__xludf.DUMMYFUNCTION("""COMPUTED_VALUE"""),"0377 700 798")</f>
        <v>0377 700 798</v>
      </c>
      <c r="B6984" s="119" t="str">
        <f>IFERROR(__xludf.DUMMYFUNCTION("""COMPUTED_VALUE"""),"chị lý")</f>
        <v>chị lý</v>
      </c>
      <c r="C6984" s="119" t="str">
        <f>IFERROR(__xludf.DUMMYFUNCTION("""COMPUTED_VALUE"""),"phú đa phú vang")</f>
        <v>phú đa phú vang</v>
      </c>
      <c r="D6984" s="119" t="str">
        <f>IFERROR(__xludf.DUMMYFUNCTION("""COMPUTED_VALUE"""),"Chó")</f>
        <v>Chó</v>
      </c>
      <c r="E6984" s="119"/>
    </row>
    <row r="6985" ht="15.75" customHeight="1">
      <c r="A6985" s="122" t="str">
        <f>IFERROR(__xludf.DUMMYFUNCTION("""COMPUTED_VALUE"""),"0795 671 597")</f>
        <v>0795 671 597</v>
      </c>
      <c r="B6985" s="119" t="str">
        <f>IFERROR(__xludf.DUMMYFUNCTION("""COMPUTED_VALUE"""),"anh quốc anh")</f>
        <v>anh quốc anh</v>
      </c>
      <c r="C6985" s="119" t="str">
        <f>IFERROR(__xludf.DUMMYFUNCTION("""COMPUTED_VALUE"""),"vỹ dạ")</f>
        <v>vỹ dạ</v>
      </c>
      <c r="D6985" s="119" t="str">
        <f>IFERROR(__xludf.DUMMYFUNCTION("""COMPUTED_VALUE"""),"Chó")</f>
        <v>Chó</v>
      </c>
      <c r="E6985" s="119" t="str">
        <f>IFERROR(__xludf.DUMMYFUNCTION("""COMPUTED_VALUE"""),"mít")</f>
        <v>mít</v>
      </c>
    </row>
    <row r="6986" ht="15.75" customHeight="1">
      <c r="A6986" s="122" t="str">
        <f>IFERROR(__xludf.DUMMYFUNCTION("""COMPUTED_VALUE"""),"0945 902 392")</f>
        <v>0945 902 392</v>
      </c>
      <c r="B6986" s="119" t="str">
        <f>IFERROR(__xludf.DUMMYFUNCTION("""COMPUTED_VALUE"""),"em huyền nhi")</f>
        <v>em huyền nhi</v>
      </c>
      <c r="C6986" s="119" t="str">
        <f>IFERROR(__xludf.DUMMYFUNCTION("""COMPUTED_VALUE"""),"67a đống đa")</f>
        <v>67a đống đa</v>
      </c>
      <c r="D6986" s="119" t="str">
        <f>IFERROR(__xludf.DUMMYFUNCTION("""COMPUTED_VALUE"""),"Mèo")</f>
        <v>Mèo</v>
      </c>
      <c r="E6986" s="119" t="str">
        <f>IFERROR(__xludf.DUMMYFUNCTION("""COMPUTED_VALUE"""),"heo")</f>
        <v>heo</v>
      </c>
    </row>
    <row r="6987" ht="15.75" customHeight="1">
      <c r="A6987" s="122" t="str">
        <f>IFERROR(__xludf.DUMMYFUNCTION("""COMPUTED_VALUE"""),"0931 979 610")</f>
        <v>0931 979 610</v>
      </c>
      <c r="B6987" s="119" t="str">
        <f>IFERROR(__xludf.DUMMYFUNCTION("""COMPUTED_VALUE"""),"Em Duy")</f>
        <v>Em Duy</v>
      </c>
      <c r="C6987" s="119" t="str">
        <f>IFERROR(__xludf.DUMMYFUNCTION("""COMPUTED_VALUE"""),"257C Đặng Tất")</f>
        <v>257C Đặng Tất</v>
      </c>
      <c r="D6987" s="119" t="str">
        <f>IFERROR(__xludf.DUMMYFUNCTION("""COMPUTED_VALUE"""),"Mèo")</f>
        <v>Mèo</v>
      </c>
      <c r="E6987" s="119"/>
    </row>
    <row r="6988" ht="15.75" customHeight="1">
      <c r="A6988" s="122" t="str">
        <f>IFERROR(__xludf.DUMMYFUNCTION("""COMPUTED_VALUE"""),"0372 872 605")</f>
        <v>0372 872 605</v>
      </c>
      <c r="B6988" s="119" t="str">
        <f>IFERROR(__xludf.DUMMYFUNCTION("""COMPUTED_VALUE"""),"Chị Hồng Ngọc")</f>
        <v>Chị Hồng Ngọc</v>
      </c>
      <c r="C6988" s="119" t="str">
        <f>IFERROR(__xludf.DUMMYFUNCTION("""COMPUTED_VALUE"""),"Chung cư Xuân Phú")</f>
        <v>Chung cư Xuân Phú</v>
      </c>
      <c r="D6988" s="119" t="str">
        <f>IFERROR(__xludf.DUMMYFUNCTION("""COMPUTED_VALUE"""),"Chó")</f>
        <v>Chó</v>
      </c>
      <c r="E6988" s="119" t="str">
        <f>IFERROR(__xludf.DUMMYFUNCTION("""COMPUTED_VALUE"""),"Lyly")</f>
        <v>Lyly</v>
      </c>
    </row>
    <row r="6989" ht="15.75" customHeight="1">
      <c r="A6989" s="122" t="str">
        <f>IFERROR(__xludf.DUMMYFUNCTION("""COMPUTED_VALUE"""),"0768 513 369")</f>
        <v>0768 513 369</v>
      </c>
      <c r="B6989" s="119" t="str">
        <f>IFERROR(__xludf.DUMMYFUNCTION("""COMPUTED_VALUE"""),"Minh")</f>
        <v>Minh</v>
      </c>
      <c r="C6989" s="119" t="str">
        <f>IFERROR(__xludf.DUMMYFUNCTION("""COMPUTED_VALUE"""),"52 Bà Triệu")</f>
        <v>52 Bà Triệu</v>
      </c>
      <c r="D6989" s="119" t="str">
        <f>IFERROR(__xludf.DUMMYFUNCTION("""COMPUTED_VALUE"""),"Mèo")</f>
        <v>Mèo</v>
      </c>
      <c r="E6989" s="119" t="str">
        <f>IFERROR(__xludf.DUMMYFUNCTION("""COMPUTED_VALUE"""),"Ngáo")</f>
        <v>Ngáo</v>
      </c>
    </row>
    <row r="6990" ht="15.75" customHeight="1">
      <c r="A6990" s="122" t="str">
        <f>IFERROR(__xludf.DUMMYFUNCTION("""COMPUTED_VALUE"""),"0888 757 681")</f>
        <v>0888 757 681</v>
      </c>
      <c r="B6990" s="119" t="str">
        <f>IFERROR(__xludf.DUMMYFUNCTION("""COMPUTED_VALUE"""),"chị vân")</f>
        <v>chị vân</v>
      </c>
      <c r="C6990" s="119" t="str">
        <f>IFERROR(__xludf.DUMMYFUNCTION("""COMPUTED_VALUE"""),"khu TT đống đa")</f>
        <v>khu TT đống đa</v>
      </c>
      <c r="D6990" s="119" t="str">
        <f>IFERROR(__xludf.DUMMYFUNCTION("""COMPUTED_VALUE"""),"Chó")</f>
        <v>Chó</v>
      </c>
      <c r="E6990" s="119" t="str">
        <f>IFERROR(__xludf.DUMMYFUNCTION("""COMPUTED_VALUE"""),"bun")</f>
        <v>bun</v>
      </c>
    </row>
    <row r="6991" ht="15.75" customHeight="1">
      <c r="A6991" s="122" t="str">
        <f>IFERROR(__xludf.DUMMYFUNCTION("""COMPUTED_VALUE"""),"0368 039 312")</f>
        <v>0368 039 312</v>
      </c>
      <c r="B6991" s="119" t="str">
        <f>IFERROR(__xludf.DUMMYFUNCTION("""COMPUTED_VALUE"""),"em uyên")</f>
        <v>em uyên</v>
      </c>
      <c r="C6991" s="119" t="str">
        <f>IFERROR(__xludf.DUMMYFUNCTION("""COMPUTED_VALUE"""),"số 3 đường xuân 68")</f>
        <v>số 3 đường xuân 68</v>
      </c>
      <c r="D6991" s="119" t="str">
        <f>IFERROR(__xludf.DUMMYFUNCTION("""COMPUTED_VALUE"""),"Chó")</f>
        <v>Chó</v>
      </c>
      <c r="E6991" s="119" t="str">
        <f>IFERROR(__xludf.DUMMYFUNCTION("""COMPUTED_VALUE"""),"vani")</f>
        <v>vani</v>
      </c>
    </row>
    <row r="6992" ht="15.75" customHeight="1">
      <c r="A6992" s="122" t="str">
        <f>IFERROR(__xludf.DUMMYFUNCTION("""COMPUTED_VALUE"""),"0768 566 351")</f>
        <v>0768 566 351</v>
      </c>
      <c r="B6992" s="119" t="str">
        <f>IFERROR(__xludf.DUMMYFUNCTION("""COMPUTED_VALUE"""),"anh phong")</f>
        <v>anh phong</v>
      </c>
      <c r="C6992" s="119" t="str">
        <f>IFERROR(__xludf.DUMMYFUNCTION("""COMPUTED_VALUE"""),"0768 566 351")</f>
        <v>0768 566 351</v>
      </c>
      <c r="D6992" s="119" t="str">
        <f>IFERROR(__xludf.DUMMYFUNCTION("""COMPUTED_VALUE"""),"Chó")</f>
        <v>Chó</v>
      </c>
      <c r="E6992" s="119" t="str">
        <f>IFERROR(__xludf.DUMMYFUNCTION("""COMPUTED_VALUE"""),"mực")</f>
        <v>mực</v>
      </c>
    </row>
    <row r="6993" ht="15.75" customHeight="1">
      <c r="A6993" s="122" t="str">
        <f>IFERROR(__xludf.DUMMYFUNCTION("""COMPUTED_VALUE"""),"0373 244 420")</f>
        <v>0373 244 420</v>
      </c>
      <c r="B6993" s="119" t="str">
        <f>IFERROR(__xludf.DUMMYFUNCTION("""COMPUTED_VALUE"""),"Hằng")</f>
        <v>Hằng</v>
      </c>
      <c r="C6993" s="119" t="str">
        <f>IFERROR(__xludf.DUMMYFUNCTION("""COMPUTED_VALUE"""),"292/12 Bàu Vá")</f>
        <v>292/12 Bàu Vá</v>
      </c>
      <c r="D6993" s="119" t="str">
        <f>IFERROR(__xludf.DUMMYFUNCTION("""COMPUTED_VALUE"""),"Chó")</f>
        <v>Chó</v>
      </c>
      <c r="E6993" s="119" t="str">
        <f>IFERROR(__xludf.DUMMYFUNCTION("""COMPUTED_VALUE"""),"Gấu")</f>
        <v>Gấu</v>
      </c>
    </row>
    <row r="6994" ht="15.75" customHeight="1">
      <c r="A6994" s="122" t="str">
        <f>IFERROR(__xludf.DUMMYFUNCTION("""COMPUTED_VALUE"""),"0786 104 318")</f>
        <v>0786 104 318</v>
      </c>
      <c r="B6994" s="119" t="str">
        <f>IFERROR(__xludf.DUMMYFUNCTION("""COMPUTED_VALUE"""),"Anh Khánh")</f>
        <v>Anh Khánh</v>
      </c>
      <c r="C6994" s="119" t="str">
        <f>IFERROR(__xludf.DUMMYFUNCTION("""COMPUTED_VALUE"""),"195 Phan Đình Phùng")</f>
        <v>195 Phan Đình Phùng</v>
      </c>
      <c r="D6994" s="119" t="str">
        <f>IFERROR(__xludf.DUMMYFUNCTION("""COMPUTED_VALUE"""),"Chó")</f>
        <v>Chó</v>
      </c>
      <c r="E6994" s="119" t="str">
        <f>IFERROR(__xludf.DUMMYFUNCTION("""COMPUTED_VALUE"""),"Tép")</f>
        <v>Tép</v>
      </c>
    </row>
    <row r="6995" ht="15.75" customHeight="1">
      <c r="A6995" s="122" t="str">
        <f>IFERROR(__xludf.DUMMYFUNCTION("""COMPUTED_VALUE"""),"0853 414 007")</f>
        <v>0853 414 007</v>
      </c>
      <c r="B6995" s="119" t="str">
        <f>IFERROR(__xludf.DUMMYFUNCTION("""COMPUTED_VALUE"""),"Em Thanh Vân")</f>
        <v>Em Thanh Vân</v>
      </c>
      <c r="C6995" s="119" t="str">
        <f>IFERROR(__xludf.DUMMYFUNCTION("""COMPUTED_VALUE"""),"Quảng Trị")</f>
        <v>Quảng Trị</v>
      </c>
      <c r="D6995" s="119" t="str">
        <f>IFERROR(__xludf.DUMMYFUNCTION("""COMPUTED_VALUE"""),"Chó")</f>
        <v>Chó</v>
      </c>
      <c r="E6995" s="119" t="str">
        <f>IFERROR(__xludf.DUMMYFUNCTION("""COMPUTED_VALUE"""),"Bờm")</f>
        <v>Bờm</v>
      </c>
    </row>
    <row r="6996" ht="15.75" customHeight="1">
      <c r="A6996" s="122" t="str">
        <f>IFERROR(__xludf.DUMMYFUNCTION("""COMPUTED_VALUE"""),"0903 620 374")</f>
        <v>0903 620 374</v>
      </c>
      <c r="B6996" s="119" t="str">
        <f>IFERROR(__xludf.DUMMYFUNCTION("""COMPUTED_VALUE"""),"Anh Kinh")</f>
        <v>Anh Kinh</v>
      </c>
      <c r="C6996" s="119" t="str">
        <f>IFERROR(__xludf.DUMMYFUNCTION("""COMPUTED_VALUE"""),"Hương Chữ")</f>
        <v>Hương Chữ</v>
      </c>
      <c r="D6996" s="119" t="str">
        <f>IFERROR(__xludf.DUMMYFUNCTION("""COMPUTED_VALUE"""),"Chó")</f>
        <v>Chó</v>
      </c>
      <c r="E6996" s="119" t="str">
        <f>IFERROR(__xludf.DUMMYFUNCTION("""COMPUTED_VALUE"""),"Nâu")</f>
        <v>Nâu</v>
      </c>
    </row>
    <row r="6997" ht="15.75" customHeight="1">
      <c r="A6997" s="122" t="str">
        <f>IFERROR(__xludf.DUMMYFUNCTION("""COMPUTED_VALUE"""),"0707 912 904")</f>
        <v>0707 912 904</v>
      </c>
      <c r="B6997" s="119" t="str">
        <f>IFERROR(__xludf.DUMMYFUNCTION("""COMPUTED_VALUE"""),"Chị Bình Minh")</f>
        <v>Chị Bình Minh</v>
      </c>
      <c r="C6997" s="119" t="str">
        <f>IFERROR(__xludf.DUMMYFUNCTION("""COMPUTED_VALUE"""),"4/24 An Dương Vương")</f>
        <v>4/24 An Dương Vương</v>
      </c>
      <c r="D6997" s="119" t="str">
        <f>IFERROR(__xludf.DUMMYFUNCTION("""COMPUTED_VALUE"""),"Chó")</f>
        <v>Chó</v>
      </c>
      <c r="E6997" s="119" t="str">
        <f>IFERROR(__xludf.DUMMYFUNCTION("""COMPUTED_VALUE"""),"Gi")</f>
        <v>Gi</v>
      </c>
    </row>
    <row r="6998" ht="15.75" customHeight="1">
      <c r="A6998" s="122" t="str">
        <f>IFERROR(__xludf.DUMMYFUNCTION("""COMPUTED_VALUE"""),"0966 105 765")</f>
        <v>0966 105 765</v>
      </c>
      <c r="B6998" s="119" t="str">
        <f>IFERROR(__xludf.DUMMYFUNCTION("""COMPUTED_VALUE"""),"Em Thanh Hà")</f>
        <v>Em Thanh Hà</v>
      </c>
      <c r="C6998" s="119" t="str">
        <f>IFERROR(__xludf.DUMMYFUNCTION("""COMPUTED_VALUE"""),"k5 Dạ Lê- Thủy Vân")</f>
        <v>k5 Dạ Lê- Thủy Vân</v>
      </c>
      <c r="D6998" s="119" t="str">
        <f>IFERROR(__xludf.DUMMYFUNCTION("""COMPUTED_VALUE"""),"Mèo")</f>
        <v>Mèo</v>
      </c>
      <c r="E6998" s="119" t="str">
        <f>IFERROR(__xludf.DUMMYFUNCTION("""COMPUTED_VALUE"""),"Cheem")</f>
        <v>Cheem</v>
      </c>
    </row>
    <row r="6999" ht="15.75" customHeight="1">
      <c r="A6999" s="122" t="str">
        <f>IFERROR(__xludf.DUMMYFUNCTION("""COMPUTED_VALUE"""),"0889 857 735")</f>
        <v>0889 857 735</v>
      </c>
      <c r="B6999" s="119" t="str">
        <f>IFERROR(__xludf.DUMMYFUNCTION("""COMPUTED_VALUE"""),"Em Cát Tường")</f>
        <v>Em Cát Tường</v>
      </c>
      <c r="C6999" s="119" t="str">
        <f>IFERROR(__xludf.DUMMYFUNCTION("""COMPUTED_VALUE"""),"5 Hoàng Thông")</f>
        <v>5 Hoàng Thông</v>
      </c>
      <c r="D6999" s="119" t="str">
        <f>IFERROR(__xludf.DUMMYFUNCTION("""COMPUTED_VALUE"""),"Mèo")</f>
        <v>Mèo</v>
      </c>
      <c r="E6999" s="119"/>
    </row>
    <row r="7000" ht="15.75" customHeight="1">
      <c r="A7000" s="122" t="str">
        <f>IFERROR(__xludf.DUMMYFUNCTION("""COMPUTED_VALUE"""),"0396 881 423")</f>
        <v>0396 881 423</v>
      </c>
      <c r="B7000" s="119" t="str">
        <f>IFERROR(__xludf.DUMMYFUNCTION("""COMPUTED_VALUE"""),"Anh Xuân Trường")</f>
        <v>Anh Xuân Trường</v>
      </c>
      <c r="C7000" s="119" t="str">
        <f>IFERROR(__xludf.DUMMYFUNCTION("""COMPUTED_VALUE"""),"3/7 Nguyễn Công Trứ")</f>
        <v>3/7 Nguyễn Công Trứ</v>
      </c>
      <c r="D7000" s="119" t="str">
        <f>IFERROR(__xludf.DUMMYFUNCTION("""COMPUTED_VALUE"""),"Chó")</f>
        <v>Chó</v>
      </c>
      <c r="E7000" s="119" t="str">
        <f>IFERROR(__xludf.DUMMYFUNCTION("""COMPUTED_VALUE"""),"Kem")</f>
        <v>Kem</v>
      </c>
    </row>
    <row r="7001" ht="15.75" customHeight="1">
      <c r="A7001" s="122" t="str">
        <f>IFERROR(__xludf.DUMMYFUNCTION("""COMPUTED_VALUE"""),"0932 566 682")</f>
        <v>0932 566 682</v>
      </c>
      <c r="B7001" s="119" t="str">
        <f>IFERROR(__xludf.DUMMYFUNCTION("""COMPUTED_VALUE"""),"Lê Thị Tuyền")</f>
        <v>Lê Thị Tuyền</v>
      </c>
      <c r="C7001" s="119" t="str">
        <f>IFERROR(__xludf.DUMMYFUNCTION("""COMPUTED_VALUE"""),"Phong Điền")</f>
        <v>Phong Điền</v>
      </c>
      <c r="D7001" s="119" t="str">
        <f>IFERROR(__xludf.DUMMYFUNCTION("""COMPUTED_VALUE"""),"Mèo")</f>
        <v>Mèo</v>
      </c>
      <c r="E7001" s="119" t="str">
        <f>IFERROR(__xludf.DUMMYFUNCTION("""COMPUTED_VALUE"""),"Coca")</f>
        <v>Coca</v>
      </c>
    </row>
    <row r="7002" ht="15.75" customHeight="1">
      <c r="A7002" s="122" t="str">
        <f>IFERROR(__xludf.DUMMYFUNCTION("""COMPUTED_VALUE"""),"0368 271 155")</f>
        <v>0368 271 155</v>
      </c>
      <c r="B7002" s="119" t="str">
        <f>IFERROR(__xludf.DUMMYFUNCTION("""COMPUTED_VALUE"""),"La Bảo Ngọc")</f>
        <v>La Bảo Ngọc</v>
      </c>
      <c r="C7002" s="119" t="str">
        <f>IFERROR(__xludf.DUMMYFUNCTION("""COMPUTED_VALUE"""),"21/85 Nguyễn Huệ")</f>
        <v>21/85 Nguyễn Huệ</v>
      </c>
      <c r="D7002" s="119" t="str">
        <f>IFERROR(__xludf.DUMMYFUNCTION("""COMPUTED_VALUE"""),"Mèo")</f>
        <v>Mèo</v>
      </c>
      <c r="E7002" s="119" t="str">
        <f>IFERROR(__xludf.DUMMYFUNCTION("""COMPUTED_VALUE"""),"Đậu")</f>
        <v>Đậu</v>
      </c>
    </row>
    <row r="7003" ht="15.75" customHeight="1">
      <c r="A7003" s="122" t="str">
        <f>IFERROR(__xludf.DUMMYFUNCTION("""COMPUTED_VALUE"""),"0334 301 259")</f>
        <v>0334 301 259</v>
      </c>
      <c r="B7003" s="119" t="str">
        <f>IFERROR(__xludf.DUMMYFUNCTION("""COMPUTED_VALUE"""),"Hà Thị Ngọc Thúy")</f>
        <v>Hà Thị Ngọc Thúy</v>
      </c>
      <c r="C7003" s="119" t="str">
        <f>IFERROR(__xludf.DUMMYFUNCTION("""COMPUTED_VALUE"""),"Hương Chữ")</f>
        <v>Hương Chữ</v>
      </c>
      <c r="D7003" s="119" t="str">
        <f>IFERROR(__xludf.DUMMYFUNCTION("""COMPUTED_VALUE"""),"Mèo")</f>
        <v>Mèo</v>
      </c>
      <c r="E7003" s="119" t="str">
        <f>IFERROR(__xludf.DUMMYFUNCTION("""COMPUTED_VALUE"""),"Biêu")</f>
        <v>Biêu</v>
      </c>
    </row>
    <row r="7004" ht="15.75" customHeight="1">
      <c r="A7004" s="122" t="str">
        <f>IFERROR(__xludf.DUMMYFUNCTION("""COMPUTED_VALUE"""),"0974 704 679")</f>
        <v>0974 704 679</v>
      </c>
      <c r="B7004" s="119" t="str">
        <f>IFERROR(__xludf.DUMMYFUNCTION("""COMPUTED_VALUE"""),"Lan Vy")</f>
        <v>Lan Vy</v>
      </c>
      <c r="C7004" s="119" t="str">
        <f>IFERROR(__xludf.DUMMYFUNCTION("""COMPUTED_VALUE"""),"k33/8 Nguyễn Khoa Chiêm")</f>
        <v>k33/8 Nguyễn Khoa Chiêm</v>
      </c>
      <c r="D7004" s="119" t="str">
        <f>IFERROR(__xludf.DUMMYFUNCTION("""COMPUTED_VALUE"""),"Chó")</f>
        <v>Chó</v>
      </c>
      <c r="E7004" s="119" t="str">
        <f>IFERROR(__xludf.DUMMYFUNCTION("""COMPUTED_VALUE"""),"Mít")</f>
        <v>Mít</v>
      </c>
    </row>
    <row r="7005" ht="15.75" customHeight="1">
      <c r="A7005" s="122" t="str">
        <f>IFERROR(__xludf.DUMMYFUNCTION("""COMPUTED_VALUE"""),"0702 623 161")</f>
        <v>0702 623 161</v>
      </c>
      <c r="B7005" s="119" t="str">
        <f>IFERROR(__xludf.DUMMYFUNCTION("""COMPUTED_VALUE"""),"Anh Khải")</f>
        <v>Anh Khải</v>
      </c>
      <c r="C7005" s="119" t="str">
        <f>IFERROR(__xludf.DUMMYFUNCTION("""COMPUTED_VALUE"""),"Phú Dương, Phú Vang")</f>
        <v>Phú Dương, Phú Vang</v>
      </c>
      <c r="D7005" s="119" t="str">
        <f>IFERROR(__xludf.DUMMYFUNCTION("""COMPUTED_VALUE"""),"Chó")</f>
        <v>Chó</v>
      </c>
      <c r="E7005" s="119"/>
    </row>
    <row r="7006" ht="15.75" customHeight="1">
      <c r="A7006" s="122" t="str">
        <f>IFERROR(__xludf.DUMMYFUNCTION("""COMPUTED_VALUE"""),"0932 468 962")</f>
        <v>0932 468 962</v>
      </c>
      <c r="B7006" s="119" t="str">
        <f>IFERROR(__xludf.DUMMYFUNCTION("""COMPUTED_VALUE"""),"Chị Xuân")</f>
        <v>Chị Xuân</v>
      </c>
      <c r="C7006" s="119" t="str">
        <f>IFERROR(__xludf.DUMMYFUNCTION("""COMPUTED_VALUE"""),"Thủy Vân")</f>
        <v>Thủy Vân</v>
      </c>
      <c r="D7006" s="119" t="str">
        <f>IFERROR(__xludf.DUMMYFUNCTION("""COMPUTED_VALUE"""),"Chó")</f>
        <v>Chó</v>
      </c>
      <c r="E7006" s="119" t="str">
        <f>IFERROR(__xludf.DUMMYFUNCTION("""COMPUTED_VALUE"""),"Đốm")</f>
        <v>Đốm</v>
      </c>
    </row>
    <row r="7007" ht="15.75" customHeight="1">
      <c r="A7007" s="122" t="str">
        <f>IFERROR(__xludf.DUMMYFUNCTION("""COMPUTED_VALUE"""),"0362 305 118")</f>
        <v>0362 305 118</v>
      </c>
      <c r="B7007" s="119" t="str">
        <f>IFERROR(__xludf.DUMMYFUNCTION("""COMPUTED_VALUE"""),"Anh Thành")</f>
        <v>Anh Thành</v>
      </c>
      <c r="C7007" s="119" t="str">
        <f>IFERROR(__xludf.DUMMYFUNCTION("""COMPUTED_VALUE"""),"77 Bà Triệu")</f>
        <v>77 Bà Triệu</v>
      </c>
      <c r="D7007" s="119" t="str">
        <f>IFERROR(__xludf.DUMMYFUNCTION("""COMPUTED_VALUE"""),"Mèo")</f>
        <v>Mèo</v>
      </c>
      <c r="E7007" s="119" t="str">
        <f>IFERROR(__xludf.DUMMYFUNCTION("""COMPUTED_VALUE"""),"Mon")</f>
        <v>Mon</v>
      </c>
    </row>
    <row r="7008" ht="15.75" customHeight="1">
      <c r="A7008" s="122" t="str">
        <f>IFERROR(__xludf.DUMMYFUNCTION("""COMPUTED_VALUE"""),"0703 626 325")</f>
        <v>0703 626 325</v>
      </c>
      <c r="B7008" s="119" t="str">
        <f>IFERROR(__xludf.DUMMYFUNCTION("""COMPUTED_VALUE"""),"Chị Trang")</f>
        <v>Chị Trang</v>
      </c>
      <c r="C7008" s="119" t="str">
        <f>IFERROR(__xludf.DUMMYFUNCTION("""COMPUTED_VALUE"""),"Phú Lộc")</f>
        <v>Phú Lộc</v>
      </c>
      <c r="D7008" s="119" t="str">
        <f>IFERROR(__xludf.DUMMYFUNCTION("""COMPUTED_VALUE"""),"Chó")</f>
        <v>Chó</v>
      </c>
      <c r="E7008" s="119" t="str">
        <f>IFERROR(__xludf.DUMMYFUNCTION("""COMPUTED_VALUE"""),"Sen")</f>
        <v>Sen</v>
      </c>
    </row>
    <row r="7009" ht="15.75" customHeight="1">
      <c r="A7009" s="122" t="str">
        <f>IFERROR(__xludf.DUMMYFUNCTION("""COMPUTED_VALUE"""),"0335 409 053")</f>
        <v>0335 409 053</v>
      </c>
      <c r="B7009" s="119" t="str">
        <f>IFERROR(__xludf.DUMMYFUNCTION("""COMPUTED_VALUE"""),"Nguyễn Hoài Thương")</f>
        <v>Nguyễn Hoài Thương</v>
      </c>
      <c r="C7009" s="119" t="str">
        <f>IFERROR(__xludf.DUMMYFUNCTION("""COMPUTED_VALUE"""),"Phong Hải- Phong Điền")</f>
        <v>Phong Hải- Phong Điền</v>
      </c>
      <c r="D7009" s="119" t="str">
        <f>IFERROR(__xludf.DUMMYFUNCTION("""COMPUTED_VALUE"""),"Chó")</f>
        <v>Chó</v>
      </c>
      <c r="E7009" s="119" t="str">
        <f>IFERROR(__xludf.DUMMYFUNCTION("""COMPUTED_VALUE"""),"Chà Bông")</f>
        <v>Chà Bông</v>
      </c>
    </row>
    <row r="7010" ht="15.75" customHeight="1">
      <c r="A7010" s="122" t="str">
        <f>IFERROR(__xludf.DUMMYFUNCTION("""COMPUTED_VALUE"""),"0962 625 717")</f>
        <v>0962 625 717</v>
      </c>
      <c r="B7010" s="119" t="str">
        <f>IFERROR(__xludf.DUMMYFUNCTION("""COMPUTED_VALUE"""),"chị Trang")</f>
        <v>chị Trang</v>
      </c>
      <c r="C7010" s="119" t="str">
        <f>IFERROR(__xludf.DUMMYFUNCTION("""COMPUTED_VALUE"""),"hương trà")</f>
        <v>hương trà</v>
      </c>
      <c r="D7010" s="119" t="str">
        <f>IFERROR(__xludf.DUMMYFUNCTION("""COMPUTED_VALUE"""),"Mèo")</f>
        <v>Mèo</v>
      </c>
      <c r="E7010" s="119" t="str">
        <f>IFERROR(__xludf.DUMMYFUNCTION("""COMPUTED_VALUE"""),"Mây")</f>
        <v>Mây</v>
      </c>
    </row>
    <row r="7011" ht="15.75" customHeight="1">
      <c r="A7011" s="122" t="str">
        <f>IFERROR(__xludf.DUMMYFUNCTION("""COMPUTED_VALUE"""),"0918 381 195")</f>
        <v>0918 381 195</v>
      </c>
      <c r="B7011" s="119" t="str">
        <f>IFERROR(__xludf.DUMMYFUNCTION("""COMPUTED_VALUE"""),"dì Liên")</f>
        <v>dì Liên</v>
      </c>
      <c r="C7011" s="119" t="str">
        <f>IFERROR(__xludf.DUMMYFUNCTION("""COMPUTED_VALUE"""),"21 hà nội")</f>
        <v>21 hà nội</v>
      </c>
      <c r="D7011" s="119" t="str">
        <f>IFERROR(__xludf.DUMMYFUNCTION("""COMPUTED_VALUE"""),"Mèo")</f>
        <v>Mèo</v>
      </c>
      <c r="E7011" s="119" t="str">
        <f>IFERROR(__xludf.DUMMYFUNCTION("""COMPUTED_VALUE"""),"Kem")</f>
        <v>Kem</v>
      </c>
    </row>
    <row r="7012" ht="15.75" customHeight="1">
      <c r="A7012" s="122" t="str">
        <f>IFERROR(__xludf.DUMMYFUNCTION("""COMPUTED_VALUE"""),"0798 896 960")</f>
        <v>0798 896 960</v>
      </c>
      <c r="B7012" s="119" t="str">
        <f>IFERROR(__xludf.DUMMYFUNCTION("""COMPUTED_VALUE"""),"anh Quang")</f>
        <v>anh Quang</v>
      </c>
      <c r="C7012" s="119" t="str">
        <f>IFERROR(__xludf.DUMMYFUNCTION("""COMPUTED_VALUE"""),"2/11 nguyen sinh cung")</f>
        <v>2/11 nguyen sinh cung</v>
      </c>
      <c r="D7012" s="119" t="str">
        <f>IFERROR(__xludf.DUMMYFUNCTION("""COMPUTED_VALUE"""),"Mèo")</f>
        <v>Mèo</v>
      </c>
      <c r="E7012" s="119" t="str">
        <f>IFERROR(__xludf.DUMMYFUNCTION("""COMPUTED_VALUE"""),"Rác")</f>
        <v>Rác</v>
      </c>
    </row>
    <row r="7013" ht="15.75" customHeight="1">
      <c r="A7013" s="122" t="str">
        <f>IFERROR(__xludf.DUMMYFUNCTION("""COMPUTED_VALUE"""),"0905 780 320")</f>
        <v>0905 780 320</v>
      </c>
      <c r="B7013" s="119" t="str">
        <f>IFERROR(__xludf.DUMMYFUNCTION("""COMPUTED_VALUE"""),"chị Trinh")</f>
        <v>chị Trinh</v>
      </c>
      <c r="C7013" s="119" t="str">
        <f>IFERROR(__xludf.DUMMYFUNCTION("""COMPUTED_VALUE"""),"35 đường số 4, an cựu city")</f>
        <v>35 đường số 4, an cựu city</v>
      </c>
      <c r="D7013" s="119" t="str">
        <f>IFERROR(__xludf.DUMMYFUNCTION("""COMPUTED_VALUE"""),"Chó")</f>
        <v>Chó</v>
      </c>
      <c r="E7013" s="119" t="str">
        <f>IFERROR(__xludf.DUMMYFUNCTION("""COMPUTED_VALUE"""),"Xù")</f>
        <v>Xù</v>
      </c>
    </row>
    <row r="7014" ht="15.75" customHeight="1">
      <c r="A7014" s="122" t="str">
        <f>IFERROR(__xludf.DUMMYFUNCTION("""COMPUTED_VALUE"""),"0798 896 960")</f>
        <v>0798 896 960</v>
      </c>
      <c r="B7014" s="119" t="str">
        <f>IFERROR(__xludf.DUMMYFUNCTION("""COMPUTED_VALUE"""),"anh Quang")</f>
        <v>anh Quang</v>
      </c>
      <c r="C7014" s="119" t="str">
        <f>IFERROR(__xludf.DUMMYFUNCTION("""COMPUTED_VALUE"""),"2/11 nguyễn sinh cung")</f>
        <v>2/11 nguyễn sinh cung</v>
      </c>
      <c r="D7014" s="119" t="str">
        <f>IFERROR(__xludf.DUMMYFUNCTION("""COMPUTED_VALUE"""),"Mèo")</f>
        <v>Mèo</v>
      </c>
      <c r="E7014" s="119" t="str">
        <f>IFERROR(__xludf.DUMMYFUNCTION("""COMPUTED_VALUE"""),"It")</f>
        <v>It</v>
      </c>
    </row>
    <row r="7015" ht="15.75" customHeight="1">
      <c r="A7015" s="122" t="str">
        <f>IFERROR(__xludf.DUMMYFUNCTION("""COMPUTED_VALUE"""),"0767 858 126")</f>
        <v>0767 858 126</v>
      </c>
      <c r="B7015" s="119" t="str">
        <f>IFERROR(__xludf.DUMMYFUNCTION("""COMPUTED_VALUE"""),"chị Minh Châu")</f>
        <v>chị Minh Châu</v>
      </c>
      <c r="C7015" s="119" t="str">
        <f>IFERROR(__xludf.DUMMYFUNCTION("""COMPUTED_VALUE"""),"56 nguyen khoa vy")</f>
        <v>56 nguyen khoa vy</v>
      </c>
      <c r="D7015" s="119" t="str">
        <f>IFERROR(__xludf.DUMMYFUNCTION("""COMPUTED_VALUE"""),"Mèo")</f>
        <v>Mèo</v>
      </c>
      <c r="E7015" s="119" t="str">
        <f>IFERROR(__xludf.DUMMYFUNCTION("""COMPUTED_VALUE"""),"Đen")</f>
        <v>Đen</v>
      </c>
    </row>
    <row r="7016" ht="15.75" customHeight="1">
      <c r="A7016" s="122" t="str">
        <f>IFERROR(__xludf.DUMMYFUNCTION("""COMPUTED_VALUE"""),"0702 623 161")</f>
        <v>0702 623 161</v>
      </c>
      <c r="B7016" s="119" t="str">
        <f>IFERROR(__xludf.DUMMYFUNCTION("""COMPUTED_VALUE"""),"anh Khải")</f>
        <v>anh Khải</v>
      </c>
      <c r="C7016" s="119" t="str">
        <f>IFERROR(__xludf.DUMMYFUNCTION("""COMPUTED_VALUE"""),"phú vang")</f>
        <v>phú vang</v>
      </c>
      <c r="D7016" s="119" t="str">
        <f>IFERROR(__xludf.DUMMYFUNCTION("""COMPUTED_VALUE"""),"Chó")</f>
        <v>Chó</v>
      </c>
      <c r="E7016" s="119" t="str">
        <f>IFERROR(__xludf.DUMMYFUNCTION("""COMPUTED_VALUE"""),"Ny")</f>
        <v>Ny</v>
      </c>
    </row>
    <row r="7017" ht="15.75" customHeight="1">
      <c r="A7017" s="122" t="str">
        <f>IFERROR(__xludf.DUMMYFUNCTION("""COMPUTED_VALUE"""),"0905 395 775")</f>
        <v>0905 395 775</v>
      </c>
      <c r="B7017" s="119" t="str">
        <f>IFERROR(__xludf.DUMMYFUNCTION("""COMPUTED_VALUE"""),"chị Ny")</f>
        <v>chị Ny</v>
      </c>
      <c r="C7017" s="119" t="str">
        <f>IFERROR(__xludf.DUMMYFUNCTION("""COMPUTED_VALUE"""),"13a hàn mặc tử")</f>
        <v>13a hàn mặc tử</v>
      </c>
      <c r="D7017" s="119" t="str">
        <f>IFERROR(__xludf.DUMMYFUNCTION("""COMPUTED_VALUE"""),"Chó")</f>
        <v>Chó</v>
      </c>
      <c r="E7017" s="119" t="str">
        <f>IFERROR(__xludf.DUMMYFUNCTION("""COMPUTED_VALUE"""),"Bông")</f>
        <v>Bông</v>
      </c>
    </row>
    <row r="7018" ht="15.75" customHeight="1">
      <c r="A7018" s="122" t="str">
        <f>IFERROR(__xludf.DUMMYFUNCTION("""COMPUTED_VALUE"""),"0912 628 536")</f>
        <v>0912 628 536</v>
      </c>
      <c r="B7018" s="119" t="str">
        <f>IFERROR(__xludf.DUMMYFUNCTION("""COMPUTED_VALUE"""),"chị Dung")</f>
        <v>chị Dung</v>
      </c>
      <c r="C7018" s="119" t="str">
        <f>IFERROR(__xludf.DUMMYFUNCTION("""COMPUTED_VALUE"""),"103 trần phú")</f>
        <v>103 trần phú</v>
      </c>
      <c r="D7018" s="119" t="str">
        <f>IFERROR(__xludf.DUMMYFUNCTION("""COMPUTED_VALUE"""),"Mèo")</f>
        <v>Mèo</v>
      </c>
      <c r="E7018" s="119" t="str">
        <f>IFERROR(__xludf.DUMMYFUNCTION("""COMPUTED_VALUE"""),"Ruby")</f>
        <v>Ruby</v>
      </c>
    </row>
    <row r="7019" ht="15.75" customHeight="1">
      <c r="A7019" s="122" t="str">
        <f>IFERROR(__xludf.DUMMYFUNCTION("""COMPUTED_VALUE"""),"0702 606 724")</f>
        <v>0702 606 724</v>
      </c>
      <c r="B7019" s="119" t="str">
        <f>IFERROR(__xludf.DUMMYFUNCTION("""COMPUTED_VALUE"""),"chị Linh")</f>
        <v>chị Linh</v>
      </c>
      <c r="C7019" s="119" t="str">
        <f>IFERROR(__xludf.DUMMYFUNCTION("""COMPUTED_VALUE"""),"134 bà triệu")</f>
        <v>134 bà triệu</v>
      </c>
      <c r="D7019" s="119" t="str">
        <f>IFERROR(__xludf.DUMMYFUNCTION("""COMPUTED_VALUE"""),"Chó")</f>
        <v>Chó</v>
      </c>
      <c r="E7019" s="119" t="str">
        <f>IFERROR(__xludf.DUMMYFUNCTION("""COMPUTED_VALUE"""),"Tom")</f>
        <v>Tom</v>
      </c>
    </row>
    <row r="7020" ht="15.75" customHeight="1">
      <c r="A7020" s="122" t="str">
        <f>IFERROR(__xludf.DUMMYFUNCTION("""COMPUTED_VALUE"""),"0373 646 281")</f>
        <v>0373 646 281</v>
      </c>
      <c r="B7020" s="119" t="str">
        <f>IFERROR(__xludf.DUMMYFUNCTION("""COMPUTED_VALUE"""),"bác Vui")</f>
        <v>bác Vui</v>
      </c>
      <c r="C7020" s="119" t="str">
        <f>IFERROR(__xludf.DUMMYFUNCTION("""COMPUTED_VALUE"""),"35 ng sinh cung")</f>
        <v>35 ng sinh cung</v>
      </c>
      <c r="D7020" s="119" t="str">
        <f>IFERROR(__xludf.DUMMYFUNCTION("""COMPUTED_VALUE"""),"Chó")</f>
        <v>Chó</v>
      </c>
      <c r="E7020" s="119" t="str">
        <f>IFERROR(__xludf.DUMMYFUNCTION("""COMPUTED_VALUE"""),"Lu")</f>
        <v>Lu</v>
      </c>
    </row>
    <row r="7021" ht="15.75" customHeight="1">
      <c r="A7021" s="122" t="str">
        <f>IFERROR(__xludf.DUMMYFUNCTION("""COMPUTED_VALUE"""),"0945 531 313")</f>
        <v>0945 531 313</v>
      </c>
      <c r="B7021" s="119" t="str">
        <f>IFERROR(__xludf.DUMMYFUNCTION("""COMPUTED_VALUE"""),"chị Ngọc Anh")</f>
        <v>chị Ngọc Anh</v>
      </c>
      <c r="C7021" s="119" t="str">
        <f>IFERROR(__xludf.DUMMYFUNCTION("""COMPUTED_VALUE"""),"17/48 trần quang khải")</f>
        <v>17/48 trần quang khải</v>
      </c>
      <c r="D7021" s="119" t="str">
        <f>IFERROR(__xludf.DUMMYFUNCTION("""COMPUTED_VALUE"""),"Mèo")</f>
        <v>Mèo</v>
      </c>
      <c r="E7021" s="119" t="str">
        <f>IFERROR(__xludf.DUMMYFUNCTION("""COMPUTED_VALUE"""),"Stone")</f>
        <v>Stone</v>
      </c>
    </row>
    <row r="7022" ht="15.75" customHeight="1">
      <c r="A7022" s="122" t="str">
        <f>IFERROR(__xludf.DUMMYFUNCTION("""COMPUTED_VALUE"""),"0943 086 948")</f>
        <v>0943 086 948</v>
      </c>
      <c r="B7022" s="119" t="str">
        <f>IFERROR(__xludf.DUMMYFUNCTION("""COMPUTED_VALUE"""),"chị Thanh")</f>
        <v>chị Thanh</v>
      </c>
      <c r="C7022" s="119" t="str">
        <f>IFERROR(__xludf.DUMMYFUNCTION("""COMPUTED_VALUE"""),"53 Nguyễn đức cảnh")</f>
        <v>53 Nguyễn đức cảnh</v>
      </c>
      <c r="D7022" s="119" t="str">
        <f>IFERROR(__xludf.DUMMYFUNCTION("""COMPUTED_VALUE"""),"Chó")</f>
        <v>Chó</v>
      </c>
      <c r="E7022" s="119" t="str">
        <f>IFERROR(__xludf.DUMMYFUNCTION("""COMPUTED_VALUE"""),"Bắp")</f>
        <v>Bắp</v>
      </c>
    </row>
    <row r="7023" ht="15.75" customHeight="1">
      <c r="A7023" s="122" t="str">
        <f>IFERROR(__xludf.DUMMYFUNCTION("""COMPUTED_VALUE"""),"0905 453 889")</f>
        <v>0905 453 889</v>
      </c>
      <c r="B7023" s="119" t="str">
        <f>IFERROR(__xludf.DUMMYFUNCTION("""COMPUTED_VALUE"""),"chị Tuyết")</f>
        <v>chị Tuyết</v>
      </c>
      <c r="C7023" s="119" t="str">
        <f>IFERROR(__xludf.DUMMYFUNCTION("""COMPUTED_VALUE"""),"k105 hàn mặc tử")</f>
        <v>k105 hàn mặc tử</v>
      </c>
      <c r="D7023" s="119" t="str">
        <f>IFERROR(__xludf.DUMMYFUNCTION("""COMPUTED_VALUE"""),"Chó")</f>
        <v>Chó</v>
      </c>
      <c r="E7023" s="119" t="str">
        <f>IFERROR(__xludf.DUMMYFUNCTION("""COMPUTED_VALUE"""),"Cá")</f>
        <v>Cá</v>
      </c>
    </row>
    <row r="7024" ht="15.75" customHeight="1">
      <c r="A7024" s="122" t="str">
        <f>IFERROR(__xludf.DUMMYFUNCTION("""COMPUTED_VALUE"""),"0867 081 099")</f>
        <v>0867 081 099</v>
      </c>
      <c r="B7024" s="119" t="str">
        <f>IFERROR(__xludf.DUMMYFUNCTION("""COMPUTED_VALUE"""),"anh Thành")</f>
        <v>anh Thành</v>
      </c>
      <c r="C7024" s="119" t="str">
        <f>IFERROR(__xludf.DUMMYFUNCTION("""COMPUTED_VALUE"""),"145 hàn mặc tử")</f>
        <v>145 hàn mặc tử</v>
      </c>
      <c r="D7024" s="119" t="str">
        <f>IFERROR(__xludf.DUMMYFUNCTION("""COMPUTED_VALUE"""),"Mèo")</f>
        <v>Mèo</v>
      </c>
      <c r="E7024" s="119" t="str">
        <f>IFERROR(__xludf.DUMMYFUNCTION("""COMPUTED_VALUE"""),"Tèo")</f>
        <v>Tèo</v>
      </c>
    </row>
    <row r="7025" ht="15.75" customHeight="1">
      <c r="A7025" s="122" t="str">
        <f>IFERROR(__xludf.DUMMYFUNCTION("""COMPUTED_VALUE"""),"0903 537 676")</f>
        <v>0903 537 676</v>
      </c>
      <c r="B7025" s="119" t="str">
        <f>IFERROR(__xludf.DUMMYFUNCTION("""COMPUTED_VALUE"""),"Chị Hồng")</f>
        <v>Chị Hồng</v>
      </c>
      <c r="C7025" s="119" t="str">
        <f>IFERROR(__xludf.DUMMYFUNCTION("""COMPUTED_VALUE"""),"32 Bà Triệu")</f>
        <v>32 Bà Triệu</v>
      </c>
      <c r="D7025" s="119" t="str">
        <f>IFERROR(__xludf.DUMMYFUNCTION("""COMPUTED_VALUE"""),"Mèo")</f>
        <v>Mèo</v>
      </c>
      <c r="E7025" s="119" t="str">
        <f>IFERROR(__xludf.DUMMYFUNCTION("""COMPUTED_VALUE"""),"Meo")</f>
        <v>Meo</v>
      </c>
    </row>
    <row r="7026" ht="15.75" customHeight="1">
      <c r="A7026" s="122" t="str">
        <f>IFERROR(__xludf.DUMMYFUNCTION("""COMPUTED_VALUE"""),"0963 693 189")</f>
        <v>0963 693 189</v>
      </c>
      <c r="B7026" s="119" t="str">
        <f>IFERROR(__xludf.DUMMYFUNCTION("""COMPUTED_VALUE"""),"Chị Phương")</f>
        <v>Chị Phương</v>
      </c>
      <c r="C7026" s="119" t="str">
        <f>IFERROR(__xludf.DUMMYFUNCTION("""COMPUTED_VALUE"""),"Phú Vang")</f>
        <v>Phú Vang</v>
      </c>
      <c r="D7026" s="119" t="str">
        <f>IFERROR(__xludf.DUMMYFUNCTION("""COMPUTED_VALUE"""),"Chó")</f>
        <v>Chó</v>
      </c>
      <c r="E7026" s="119" t="str">
        <f>IFERROR(__xludf.DUMMYFUNCTION("""COMPUTED_VALUE"""),"Đá")</f>
        <v>Đá</v>
      </c>
    </row>
    <row r="7027" ht="15.75" customHeight="1">
      <c r="A7027" s="122" t="str">
        <f>IFERROR(__xludf.DUMMYFUNCTION("""COMPUTED_VALUE"""),"0399 844 282")</f>
        <v>0399 844 282</v>
      </c>
      <c r="B7027" s="119" t="str">
        <f>IFERROR(__xludf.DUMMYFUNCTION("""COMPUTED_VALUE"""),"Chị Miu")</f>
        <v>Chị Miu</v>
      </c>
      <c r="C7027" s="119" t="str">
        <f>IFERROR(__xludf.DUMMYFUNCTION("""COMPUTED_VALUE"""),"77 Bà Triệu")</f>
        <v>77 Bà Triệu</v>
      </c>
      <c r="D7027" s="119" t="str">
        <f>IFERROR(__xludf.DUMMYFUNCTION("""COMPUTED_VALUE"""),"Mèo")</f>
        <v>Mèo</v>
      </c>
      <c r="E7027" s="119" t="str">
        <f>IFERROR(__xludf.DUMMYFUNCTION("""COMPUTED_VALUE"""),"Moon")</f>
        <v>Moon</v>
      </c>
    </row>
    <row r="7028" ht="15.75" customHeight="1">
      <c r="A7028" s="122" t="str">
        <f>IFERROR(__xludf.DUMMYFUNCTION("""COMPUTED_VALUE"""),"0347 087 294")</f>
        <v>0347 087 294</v>
      </c>
      <c r="B7028" s="119" t="str">
        <f>IFERROR(__xludf.DUMMYFUNCTION("""COMPUTED_VALUE"""),"Chị Cát Mỹ")</f>
        <v>Chị Cát Mỹ</v>
      </c>
      <c r="C7028" s="119" t="str">
        <f>IFERROR(__xludf.DUMMYFUNCTION("""COMPUTED_VALUE"""),"Phú Dương")</f>
        <v>Phú Dương</v>
      </c>
      <c r="D7028" s="119" t="str">
        <f>IFERROR(__xludf.DUMMYFUNCTION("""COMPUTED_VALUE"""),"Mèo")</f>
        <v>Mèo</v>
      </c>
      <c r="E7028" s="119" t="str">
        <f>IFERROR(__xludf.DUMMYFUNCTION("""COMPUTED_VALUE"""),"Mid")</f>
        <v>Mid</v>
      </c>
    </row>
    <row r="7029" ht="15.75" customHeight="1">
      <c r="A7029" s="122" t="str">
        <f>IFERROR(__xludf.DUMMYFUNCTION("""COMPUTED_VALUE"""),"0782 962 523")</f>
        <v>0782 962 523</v>
      </c>
      <c r="B7029" s="119" t="str">
        <f>IFERROR(__xludf.DUMMYFUNCTION("""COMPUTED_VALUE"""),"Chị Uyên")</f>
        <v>Chị Uyên</v>
      </c>
      <c r="C7029" s="119" t="str">
        <f>IFERROR(__xludf.DUMMYFUNCTION("""COMPUTED_VALUE"""),"Royal Pass")</f>
        <v>Royal Pass</v>
      </c>
      <c r="D7029" s="119" t="str">
        <f>IFERROR(__xludf.DUMMYFUNCTION("""COMPUTED_VALUE"""),"Chó")</f>
        <v>Chó</v>
      </c>
      <c r="E7029" s="119" t="str">
        <f>IFERROR(__xludf.DUMMYFUNCTION("""COMPUTED_VALUE"""),"Win")</f>
        <v>Win</v>
      </c>
    </row>
    <row r="7030" ht="15.75" customHeight="1">
      <c r="A7030" s="122" t="str">
        <f>IFERROR(__xludf.DUMMYFUNCTION("""COMPUTED_VALUE"""),"0839 605 363")</f>
        <v>0839 605 363</v>
      </c>
      <c r="B7030" s="119" t="str">
        <f>IFERROR(__xludf.DUMMYFUNCTION("""COMPUTED_VALUE"""),"Chị Nhi")</f>
        <v>Chị Nhi</v>
      </c>
      <c r="C7030" s="119" t="str">
        <f>IFERROR(__xludf.DUMMYFUNCTION("""COMPUTED_VALUE"""),"143 Hàn Mặc Tử")</f>
        <v>143 Hàn Mặc Tử</v>
      </c>
      <c r="D7030" s="119" t="str">
        <f>IFERROR(__xludf.DUMMYFUNCTION("""COMPUTED_VALUE"""),"Chó")</f>
        <v>Chó</v>
      </c>
      <c r="E7030" s="119" t="str">
        <f>IFERROR(__xludf.DUMMYFUNCTION("""COMPUTED_VALUE"""),"Bưởi")</f>
        <v>Bưởi</v>
      </c>
    </row>
    <row r="7031" ht="15.75" customHeight="1">
      <c r="A7031" s="122" t="str">
        <f>IFERROR(__xludf.DUMMYFUNCTION("""COMPUTED_VALUE"""),"0799 014 292")</f>
        <v>0799 014 292</v>
      </c>
      <c r="B7031" s="119" t="str">
        <f>IFERROR(__xludf.DUMMYFUNCTION("""COMPUTED_VALUE"""),"Chị Trâm")</f>
        <v>Chị Trâm</v>
      </c>
      <c r="C7031" s="119" t="str">
        <f>IFERROR(__xludf.DUMMYFUNCTION("""COMPUTED_VALUE"""),"49 Hàn Mặc Tử")</f>
        <v>49 Hàn Mặc Tử</v>
      </c>
      <c r="D7031" s="119" t="str">
        <f>IFERROR(__xludf.DUMMYFUNCTION("""COMPUTED_VALUE"""),"Mèo")</f>
        <v>Mèo</v>
      </c>
      <c r="E7031" s="119" t="str">
        <f>IFERROR(__xludf.DUMMYFUNCTION("""COMPUTED_VALUE"""),"Bi")</f>
        <v>Bi</v>
      </c>
    </row>
    <row r="7032" ht="15.75" customHeight="1">
      <c r="A7032" s="122" t="str">
        <f>IFERROR(__xludf.DUMMYFUNCTION("""COMPUTED_VALUE"""),"0839 525 704")</f>
        <v>0839 525 704</v>
      </c>
      <c r="B7032" s="119" t="str">
        <f>IFERROR(__xludf.DUMMYFUNCTION("""COMPUTED_VALUE"""),"Chị Khánh Hà")</f>
        <v>Chị Khánh Hà</v>
      </c>
      <c r="C7032" s="119" t="str">
        <f>IFERROR(__xludf.DUMMYFUNCTION("""COMPUTED_VALUE"""),"260 Nguyễn Trãi")</f>
        <v>260 Nguyễn Trãi</v>
      </c>
      <c r="D7032" s="119" t="str">
        <f>IFERROR(__xludf.DUMMYFUNCTION("""COMPUTED_VALUE"""),"Mèo")</f>
        <v>Mèo</v>
      </c>
      <c r="E7032" s="119" t="str">
        <f>IFERROR(__xludf.DUMMYFUNCTION("""COMPUTED_VALUE"""),"Bi")</f>
        <v>Bi</v>
      </c>
    </row>
    <row r="7033" ht="15.75" customHeight="1">
      <c r="A7033" s="122" t="str">
        <f>IFERROR(__xludf.DUMMYFUNCTION("""COMPUTED_VALUE"""),"0935 686 289")</f>
        <v>0935 686 289</v>
      </c>
      <c r="B7033" s="119" t="str">
        <f>IFERROR(__xludf.DUMMYFUNCTION("""COMPUTED_VALUE"""),"Chị Liên")</f>
        <v>Chị Liên</v>
      </c>
      <c r="C7033" s="119" t="str">
        <f>IFERROR(__xludf.DUMMYFUNCTION("""COMPUTED_VALUE"""),"5/51 Thái Phiên")</f>
        <v>5/51 Thái Phiên</v>
      </c>
      <c r="D7033" s="119" t="str">
        <f>IFERROR(__xludf.DUMMYFUNCTION("""COMPUTED_VALUE"""),"Chó")</f>
        <v>Chó</v>
      </c>
      <c r="E7033" s="119" t="str">
        <f>IFERROR(__xludf.DUMMYFUNCTION("""COMPUTED_VALUE"""),"Min")</f>
        <v>Min</v>
      </c>
    </row>
    <row r="7034" ht="15.75" customHeight="1">
      <c r="A7034" s="122" t="str">
        <f>IFERROR(__xludf.DUMMYFUNCTION("""COMPUTED_VALUE"""),"0846 162 007")</f>
        <v>0846 162 007</v>
      </c>
      <c r="B7034" s="119" t="str">
        <f>IFERROR(__xludf.DUMMYFUNCTION("""COMPUTED_VALUE"""),"Em khánh Lam")</f>
        <v>Em khánh Lam</v>
      </c>
      <c r="C7034" s="119" t="str">
        <f>IFERROR(__xludf.DUMMYFUNCTION("""COMPUTED_VALUE"""),"73 Ngyễn Gia Thều")</f>
        <v>73 Ngyễn Gia Thều</v>
      </c>
      <c r="D7034" s="119" t="str">
        <f>IFERROR(__xludf.DUMMYFUNCTION("""COMPUTED_VALUE"""),"Mèo")</f>
        <v>Mèo</v>
      </c>
      <c r="E7034" s="119" t="str">
        <f>IFERROR(__xludf.DUMMYFUNCTION("""COMPUTED_VALUE"""),"Bắp")</f>
        <v>Bắp</v>
      </c>
    </row>
    <row r="7035" ht="15.75" customHeight="1">
      <c r="A7035" s="122" t="str">
        <f>IFERROR(__xludf.DUMMYFUNCTION("""COMPUTED_VALUE"""),"0376 747 097")</f>
        <v>0376 747 097</v>
      </c>
      <c r="B7035" s="119" t="str">
        <f>IFERROR(__xludf.DUMMYFUNCTION("""COMPUTED_VALUE"""),"Dì Nhung")</f>
        <v>Dì Nhung</v>
      </c>
      <c r="C7035" s="119" t="str">
        <f>IFERROR(__xludf.DUMMYFUNCTION("""COMPUTED_VALUE"""),"Hương Thủy")</f>
        <v>Hương Thủy</v>
      </c>
      <c r="D7035" s="119" t="str">
        <f>IFERROR(__xludf.DUMMYFUNCTION("""COMPUTED_VALUE"""),"Chó")</f>
        <v>Chó</v>
      </c>
      <c r="E7035" s="119" t="str">
        <f>IFERROR(__xludf.DUMMYFUNCTION("""COMPUTED_VALUE"""),"Lucky")</f>
        <v>Lucky</v>
      </c>
    </row>
    <row r="7036" ht="15.75" customHeight="1">
      <c r="A7036" s="122" t="str">
        <f>IFERROR(__xludf.DUMMYFUNCTION("""COMPUTED_VALUE"""),"0915 514 341")</f>
        <v>0915 514 341</v>
      </c>
      <c r="B7036" s="119" t="str">
        <f>IFERROR(__xludf.DUMMYFUNCTION("""COMPUTED_VALUE"""),"Kha")</f>
        <v>Kha</v>
      </c>
      <c r="C7036" s="119" t="str">
        <f>IFERROR(__xludf.DUMMYFUNCTION("""COMPUTED_VALUE"""),"214 Lê Duẩn")</f>
        <v>214 Lê Duẩn</v>
      </c>
      <c r="D7036" s="119" t="str">
        <f>IFERROR(__xludf.DUMMYFUNCTION("""COMPUTED_VALUE"""),"Chó")</f>
        <v>Chó</v>
      </c>
      <c r="E7036" s="119" t="str">
        <f>IFERROR(__xludf.DUMMYFUNCTION("""COMPUTED_VALUE"""),"Fa")</f>
        <v>Fa</v>
      </c>
    </row>
    <row r="7037" ht="15.75" customHeight="1">
      <c r="A7037" s="122" t="str">
        <f>IFERROR(__xludf.DUMMYFUNCTION("""COMPUTED_VALUE"""),"0983 594 618")</f>
        <v>0983 594 618</v>
      </c>
      <c r="B7037" s="119" t="str">
        <f>IFERROR(__xludf.DUMMYFUNCTION("""COMPUTED_VALUE"""),"Dì Phương")</f>
        <v>Dì Phương</v>
      </c>
      <c r="C7037" s="119" t="str">
        <f>IFERROR(__xludf.DUMMYFUNCTION("""COMPUTED_VALUE"""),"24/16 Hai Ba Trưng")</f>
        <v>24/16 Hai Ba Trưng</v>
      </c>
      <c r="D7037" s="119" t="str">
        <f>IFERROR(__xludf.DUMMYFUNCTION("""COMPUTED_VALUE"""),"Mèo")</f>
        <v>Mèo</v>
      </c>
      <c r="E7037" s="119" t="str">
        <f>IFERROR(__xludf.DUMMYFUNCTION("""COMPUTED_VALUE"""),"Son")</f>
        <v>Son</v>
      </c>
    </row>
    <row r="7038" ht="15.75" customHeight="1">
      <c r="A7038" s="122" t="str">
        <f>IFERROR(__xludf.DUMMYFUNCTION("""COMPUTED_VALUE"""),"0702 758 150")</f>
        <v>0702 758 150</v>
      </c>
      <c r="B7038" s="119" t="str">
        <f>IFERROR(__xludf.DUMMYFUNCTION("""COMPUTED_VALUE"""),"Anh Hải")</f>
        <v>Anh Hải</v>
      </c>
      <c r="C7038" s="119" t="str">
        <f>IFERROR(__xludf.DUMMYFUNCTION("""COMPUTED_VALUE"""),"118/10/16 Dương Văn An")</f>
        <v>118/10/16 Dương Văn An</v>
      </c>
      <c r="D7038" s="119" t="str">
        <f>IFERROR(__xludf.DUMMYFUNCTION("""COMPUTED_VALUE"""),"Chó")</f>
        <v>Chó</v>
      </c>
      <c r="E7038" s="119" t="str">
        <f>IFERROR(__xludf.DUMMYFUNCTION("""COMPUTED_VALUE"""),"Bông")</f>
        <v>Bông</v>
      </c>
    </row>
    <row r="7039" ht="15.75" customHeight="1">
      <c r="A7039" s="122" t="str">
        <f>IFERROR(__xludf.DUMMYFUNCTION("""COMPUTED_VALUE"""),"0782 962 523")</f>
        <v>0782 962 523</v>
      </c>
      <c r="B7039" s="119" t="str">
        <f>IFERROR(__xludf.DUMMYFUNCTION("""COMPUTED_VALUE"""),"Chị Uyên")</f>
        <v>Chị Uyên</v>
      </c>
      <c r="C7039" s="119" t="str">
        <f>IFERROR(__xludf.DUMMYFUNCTION("""COMPUTED_VALUE"""),"Royal park")</f>
        <v>Royal park</v>
      </c>
      <c r="D7039" s="119" t="str">
        <f>IFERROR(__xludf.DUMMYFUNCTION("""COMPUTED_VALUE"""),"Chó")</f>
        <v>Chó</v>
      </c>
      <c r="E7039" s="119" t="str">
        <f>IFERROR(__xludf.DUMMYFUNCTION("""COMPUTED_VALUE"""),"WIN")</f>
        <v>WIN</v>
      </c>
    </row>
    <row r="7040" ht="15.75" customHeight="1">
      <c r="A7040" s="122" t="str">
        <f>IFERROR(__xludf.DUMMYFUNCTION("""COMPUTED_VALUE"""),"0983 594 619")</f>
        <v>0983 594 619</v>
      </c>
      <c r="B7040" s="119" t="str">
        <f>IFERROR(__xludf.DUMMYFUNCTION("""COMPUTED_VALUE"""),"chị Phương")</f>
        <v>chị Phương</v>
      </c>
      <c r="C7040" s="119" t="str">
        <f>IFERROR(__xludf.DUMMYFUNCTION("""COMPUTED_VALUE"""),"24/16 Hai Bà TRưng")</f>
        <v>24/16 Hai Bà TRưng</v>
      </c>
      <c r="D7040" s="119" t="str">
        <f>IFERROR(__xludf.DUMMYFUNCTION("""COMPUTED_VALUE"""),"Mèo")</f>
        <v>Mèo</v>
      </c>
      <c r="E7040" s="119" t="str">
        <f>IFERROR(__xludf.DUMMYFUNCTION("""COMPUTED_VALUE"""),"Pha")</f>
        <v>Pha</v>
      </c>
    </row>
    <row r="7041" ht="15.75" customHeight="1">
      <c r="A7041" s="122" t="str">
        <f>IFERROR(__xludf.DUMMYFUNCTION("""COMPUTED_VALUE"""),"0795 719 434")</f>
        <v>0795 719 434</v>
      </c>
      <c r="B7041" s="119" t="str">
        <f>IFERROR(__xludf.DUMMYFUNCTION("""COMPUTED_VALUE"""),"Anh Hiếu")</f>
        <v>Anh Hiếu</v>
      </c>
      <c r="C7041" s="119" t="str">
        <f>IFERROR(__xludf.DUMMYFUNCTION("""COMPUTED_VALUE"""),"4/7/4 Ưng Bình")</f>
        <v>4/7/4 Ưng Bình</v>
      </c>
      <c r="D7041" s="119" t="str">
        <f>IFERROR(__xludf.DUMMYFUNCTION("""COMPUTED_VALUE"""),"Chó")</f>
        <v>Chó</v>
      </c>
      <c r="E7041" s="119" t="str">
        <f>IFERROR(__xludf.DUMMYFUNCTION("""COMPUTED_VALUE"""),"Kira")</f>
        <v>Kira</v>
      </c>
    </row>
    <row r="7042" ht="15.75" customHeight="1">
      <c r="A7042" s="122" t="str">
        <f>IFERROR(__xludf.DUMMYFUNCTION("""COMPUTED_VALUE"""),"0969 493 731")</f>
        <v>0969 493 731</v>
      </c>
      <c r="B7042" s="119" t="str">
        <f>IFERROR(__xludf.DUMMYFUNCTION("""COMPUTED_VALUE"""),"Quỳnh Dương")</f>
        <v>Quỳnh Dương</v>
      </c>
      <c r="C7042" s="119" t="str">
        <f>IFERROR(__xludf.DUMMYFUNCTION("""COMPUTED_VALUE"""),"61/98 Phan Chu TRinh")</f>
        <v>61/98 Phan Chu TRinh</v>
      </c>
      <c r="D7042" s="119" t="str">
        <f>IFERROR(__xludf.DUMMYFUNCTION("""COMPUTED_VALUE"""),"Chó")</f>
        <v>Chó</v>
      </c>
      <c r="E7042" s="119" t="str">
        <f>IFERROR(__xludf.DUMMYFUNCTION("""COMPUTED_VALUE"""),"Ọt")</f>
        <v>Ọt</v>
      </c>
    </row>
    <row r="7043" ht="15.75" customHeight="1">
      <c r="A7043" s="122" t="str">
        <f>IFERROR(__xludf.DUMMYFUNCTION("""COMPUTED_VALUE"""),"0905 335 861")</f>
        <v>0905 335 861</v>
      </c>
      <c r="B7043" s="119" t="str">
        <f>IFERROR(__xludf.DUMMYFUNCTION("""COMPUTED_VALUE"""),"Chi Ty")</f>
        <v>Chi Ty</v>
      </c>
      <c r="C7043" s="119" t="str">
        <f>IFERROR(__xludf.DUMMYFUNCTION("""COMPUTED_VALUE"""),"D258 Greencity")</f>
        <v>D258 Greencity</v>
      </c>
      <c r="D7043" s="119" t="str">
        <f>IFERROR(__xludf.DUMMYFUNCTION("""COMPUTED_VALUE"""),"Chó")</f>
        <v>Chó</v>
      </c>
      <c r="E7043" s="119" t="str">
        <f>IFERROR(__xludf.DUMMYFUNCTION("""COMPUTED_VALUE"""),"Baby")</f>
        <v>Baby</v>
      </c>
    </row>
    <row r="7044" ht="15.75" customHeight="1">
      <c r="A7044" s="122" t="str">
        <f>IFERROR(__xludf.DUMMYFUNCTION("""COMPUTED_VALUE"""),"0962 759 775")</f>
        <v>0962 759 775</v>
      </c>
      <c r="B7044" s="119" t="str">
        <f>IFERROR(__xludf.DUMMYFUNCTION("""COMPUTED_VALUE"""),"Chị Thúy")</f>
        <v>Chị Thúy</v>
      </c>
      <c r="C7044" s="119" t="str">
        <f>IFERROR(__xludf.DUMMYFUNCTION("""COMPUTED_VALUE"""),"29a/33 Lê Quý Đôn")</f>
        <v>29a/33 Lê Quý Đôn</v>
      </c>
      <c r="D7044" s="119" t="str">
        <f>IFERROR(__xludf.DUMMYFUNCTION("""COMPUTED_VALUE"""),"Chó")</f>
        <v>Chó</v>
      </c>
      <c r="E7044" s="119" t="str">
        <f>IFERROR(__xludf.DUMMYFUNCTION("""COMPUTED_VALUE"""),"Nâu")</f>
        <v>Nâu</v>
      </c>
    </row>
    <row r="7045" ht="15.75" customHeight="1">
      <c r="A7045" s="122" t="str">
        <f>IFERROR(__xludf.DUMMYFUNCTION("""COMPUTED_VALUE"""),"0935 801 155")</f>
        <v>0935 801 155</v>
      </c>
      <c r="B7045" s="119" t="str">
        <f>IFERROR(__xludf.DUMMYFUNCTION("""COMPUTED_VALUE"""),"Chị Liẽu")</f>
        <v>Chị Liẽu</v>
      </c>
      <c r="C7045" s="119" t="str">
        <f>IFERROR(__xludf.DUMMYFUNCTION("""COMPUTED_VALUE"""),"13/20 TRần Quang Khải")</f>
        <v>13/20 TRần Quang Khải</v>
      </c>
      <c r="D7045" s="119" t="str">
        <f>IFERROR(__xludf.DUMMYFUNCTION("""COMPUTED_VALUE"""),"Chó")</f>
        <v>Chó</v>
      </c>
      <c r="E7045" s="119" t="str">
        <f>IFERROR(__xludf.DUMMYFUNCTION("""COMPUTED_VALUE"""),"Bánh Gạo")</f>
        <v>Bánh Gạo</v>
      </c>
    </row>
    <row r="7046" ht="15.75" customHeight="1">
      <c r="A7046" s="122" t="str">
        <f>IFERROR(__xludf.DUMMYFUNCTION("""COMPUTED_VALUE"""),"0945 531 313")</f>
        <v>0945 531 313</v>
      </c>
      <c r="B7046" s="119" t="str">
        <f>IFERROR(__xludf.DUMMYFUNCTION("""COMPUTED_VALUE"""),"Chị Sáu")</f>
        <v>Chị Sáu</v>
      </c>
      <c r="C7046" s="119" t="str">
        <f>IFERROR(__xludf.DUMMYFUNCTION("""COMPUTED_VALUE"""),"17/48 Trần Quang KHải")</f>
        <v>17/48 Trần Quang KHải</v>
      </c>
      <c r="D7046" s="119" t="str">
        <f>IFERROR(__xludf.DUMMYFUNCTION("""COMPUTED_VALUE"""),"Mèo")</f>
        <v>Mèo</v>
      </c>
      <c r="E7046" s="119" t="str">
        <f>IFERROR(__xludf.DUMMYFUNCTION("""COMPUTED_VALUE"""),"Xù")</f>
        <v>Xù</v>
      </c>
    </row>
    <row r="7047" ht="15.75" customHeight="1">
      <c r="A7047" s="122" t="str">
        <f>IFERROR(__xludf.DUMMYFUNCTION("""COMPUTED_VALUE"""),"0395 744 609")</f>
        <v>0395 744 609</v>
      </c>
      <c r="B7047" s="119" t="str">
        <f>IFERROR(__xludf.DUMMYFUNCTION("""COMPUTED_VALUE"""),"Chị Mỹ Hạnh")</f>
        <v>Chị Mỹ Hạnh</v>
      </c>
      <c r="C7047" s="119" t="str">
        <f>IFERROR(__xludf.DUMMYFUNCTION("""COMPUTED_VALUE"""),"Quy Lai-PHú Thanh- Phú Vang")</f>
        <v>Quy Lai-PHú Thanh- Phú Vang</v>
      </c>
      <c r="D7047" s="119" t="str">
        <f>IFERROR(__xludf.DUMMYFUNCTION("""COMPUTED_VALUE"""),"Chó")</f>
        <v>Chó</v>
      </c>
      <c r="E7047" s="119" t="str">
        <f>IFERROR(__xludf.DUMMYFUNCTION("""COMPUTED_VALUE"""),"rAtI")</f>
        <v>rAtI</v>
      </c>
    </row>
    <row r="7048" ht="15.75" customHeight="1">
      <c r="A7048" s="122" t="str">
        <f>IFERROR(__xludf.DUMMYFUNCTION("""COMPUTED_VALUE"""),"0914 425 785")</f>
        <v>0914 425 785</v>
      </c>
      <c r="B7048" s="119" t="str">
        <f>IFERROR(__xludf.DUMMYFUNCTION("""COMPUTED_VALUE"""),"Anh Bình")</f>
        <v>Anh Bình</v>
      </c>
      <c r="C7048" s="119" t="str">
        <f>IFERROR(__xludf.DUMMYFUNCTION("""COMPUTED_VALUE"""),"Vân Quật Đông-Hương Trà")</f>
        <v>Vân Quật Đông-Hương Trà</v>
      </c>
      <c r="D7048" s="119" t="str">
        <f>IFERROR(__xludf.DUMMYFUNCTION("""COMPUTED_VALUE"""),"Chó")</f>
        <v>Chó</v>
      </c>
      <c r="E7048" s="119" t="str">
        <f>IFERROR(__xludf.DUMMYFUNCTION("""COMPUTED_VALUE"""),"Bull")</f>
        <v>Bull</v>
      </c>
    </row>
    <row r="7049" ht="15.75" customHeight="1">
      <c r="A7049" s="122" t="str">
        <f>IFERROR(__xludf.DUMMYFUNCTION("""COMPUTED_VALUE"""),"0344 446 950")</f>
        <v>0344 446 950</v>
      </c>
      <c r="B7049" s="119" t="str">
        <f>IFERROR(__xludf.DUMMYFUNCTION("""COMPUTED_VALUE"""),"Anh Ngà")</f>
        <v>Anh Ngà</v>
      </c>
      <c r="C7049" s="119" t="str">
        <f>IFERROR(__xludf.DUMMYFUNCTION("""COMPUTED_VALUE"""),"Thuận An")</f>
        <v>Thuận An</v>
      </c>
      <c r="D7049" s="119" t="str">
        <f>IFERROR(__xludf.DUMMYFUNCTION("""COMPUTED_VALUE"""),"Chó")</f>
        <v>Chó</v>
      </c>
      <c r="E7049" s="119" t="str">
        <f>IFERROR(__xludf.DUMMYFUNCTION("""COMPUTED_VALUE"""),"Mun")</f>
        <v>Mun</v>
      </c>
    </row>
    <row r="7050" ht="15.75" customHeight="1">
      <c r="A7050" s="122" t="str">
        <f>IFERROR(__xludf.DUMMYFUNCTION("""COMPUTED_VALUE"""),"0916 073 381")</f>
        <v>0916 073 381</v>
      </c>
      <c r="B7050" s="119" t="str">
        <f>IFERROR(__xludf.DUMMYFUNCTION("""COMPUTED_VALUE"""),"Anh Hoàng Anh")</f>
        <v>Anh Hoàng Anh</v>
      </c>
      <c r="C7050" s="119" t="str">
        <f>IFERROR(__xludf.DUMMYFUNCTION("""COMPUTED_VALUE"""),"10/77 Lê Đại Hành")</f>
        <v>10/77 Lê Đại Hành</v>
      </c>
      <c r="D7050" s="119" t="str">
        <f>IFERROR(__xludf.DUMMYFUNCTION("""COMPUTED_VALUE"""),"Chó")</f>
        <v>Chó</v>
      </c>
      <c r="E7050" s="119" t="str">
        <f>IFERROR(__xludf.DUMMYFUNCTION("""COMPUTED_VALUE"""),"Mun")</f>
        <v>Mun</v>
      </c>
    </row>
    <row r="7051" ht="15.75" customHeight="1">
      <c r="A7051" s="122" t="str">
        <f>IFERROR(__xludf.DUMMYFUNCTION("""COMPUTED_VALUE"""),"0777 545 486")</f>
        <v>0777 545 486</v>
      </c>
      <c r="B7051" s="119" t="str">
        <f>IFERROR(__xludf.DUMMYFUNCTION("""COMPUTED_VALUE"""),"Chị Hoa")</f>
        <v>Chị Hoa</v>
      </c>
      <c r="C7051" s="119" t="str">
        <f>IFERROR(__xludf.DUMMYFUNCTION("""COMPUTED_VALUE"""),"253 Nguyễn Sinh Cung")</f>
        <v>253 Nguyễn Sinh Cung</v>
      </c>
      <c r="D7051" s="119" t="str">
        <f>IFERROR(__xludf.DUMMYFUNCTION("""COMPUTED_VALUE"""),"Mèo")</f>
        <v>Mèo</v>
      </c>
      <c r="E7051" s="119" t="str">
        <f>IFERROR(__xludf.DUMMYFUNCTION("""COMPUTED_VALUE"""),"Saphia")</f>
        <v>Saphia</v>
      </c>
    </row>
    <row r="7052" ht="15.75" customHeight="1">
      <c r="A7052" s="122" t="str">
        <f>IFERROR(__xludf.DUMMYFUNCTION("""COMPUTED_VALUE"""),"0938 287 554")</f>
        <v>0938 287 554</v>
      </c>
      <c r="B7052" s="119" t="str">
        <f>IFERROR(__xludf.DUMMYFUNCTION("""COMPUTED_VALUE"""),"Anh Tâm")</f>
        <v>Anh Tâm</v>
      </c>
      <c r="C7052" s="119" t="str">
        <f>IFERROR(__xludf.DUMMYFUNCTION("""COMPUTED_VALUE"""),"69/7 Ưng Bình")</f>
        <v>69/7 Ưng Bình</v>
      </c>
      <c r="D7052" s="119" t="str">
        <f>IFERROR(__xludf.DUMMYFUNCTION("""COMPUTED_VALUE"""),"Chó")</f>
        <v>Chó</v>
      </c>
      <c r="E7052" s="119" t="str">
        <f>IFERROR(__xludf.DUMMYFUNCTION("""COMPUTED_VALUE"""),"Ki")</f>
        <v>Ki</v>
      </c>
    </row>
    <row r="7053" ht="15.75" customHeight="1">
      <c r="A7053" s="122" t="str">
        <f>IFERROR(__xludf.DUMMYFUNCTION("""COMPUTED_VALUE"""),"0935 216 661")</f>
        <v>0935 216 661</v>
      </c>
      <c r="B7053" s="119" t="str">
        <f>IFERROR(__xludf.DUMMYFUNCTION("""COMPUTED_VALUE"""),"Anh Minh")</f>
        <v>Anh Minh</v>
      </c>
      <c r="C7053" s="119" t="str">
        <f>IFERROR(__xludf.DUMMYFUNCTION("""COMPUTED_VALUE"""),"LKV7-6 Royol Pack")</f>
        <v>LKV7-6 Royol Pack</v>
      </c>
      <c r="D7053" s="119" t="str">
        <f>IFERROR(__xludf.DUMMYFUNCTION("""COMPUTED_VALUE"""),"Chó")</f>
        <v>Chó</v>
      </c>
      <c r="E7053" s="119" t="str">
        <f>IFERROR(__xludf.DUMMYFUNCTION("""COMPUTED_VALUE"""),"Lùn")</f>
        <v>Lùn</v>
      </c>
    </row>
    <row r="7054" ht="15.75" customHeight="1">
      <c r="A7054" s="122" t="str">
        <f>IFERROR(__xludf.DUMMYFUNCTION("""COMPUTED_VALUE"""),"0787 744 914")</f>
        <v>0787 744 914</v>
      </c>
      <c r="B7054" s="119" t="str">
        <f>IFERROR(__xludf.DUMMYFUNCTION("""COMPUTED_VALUE"""),"Em Thanh Huyền")</f>
        <v>Em Thanh Huyền</v>
      </c>
      <c r="C7054" s="119" t="str">
        <f>IFERROR(__xludf.DUMMYFUNCTION("""COMPUTED_VALUE"""),"450 Chi Lăng")</f>
        <v>450 Chi Lăng</v>
      </c>
      <c r="D7054" s="119" t="str">
        <f>IFERROR(__xludf.DUMMYFUNCTION("""COMPUTED_VALUE"""),"Chó")</f>
        <v>Chó</v>
      </c>
      <c r="E7054" s="119" t="str">
        <f>IFERROR(__xludf.DUMMYFUNCTION("""COMPUTED_VALUE"""),"Bông")</f>
        <v>Bông</v>
      </c>
    </row>
    <row r="7055" ht="15.75" customHeight="1">
      <c r="A7055" s="122" t="str">
        <f>IFERROR(__xludf.DUMMYFUNCTION("""COMPUTED_VALUE"""),"0935 801 115")</f>
        <v>0935 801 115</v>
      </c>
      <c r="B7055" s="119" t="str">
        <f>IFERROR(__xludf.DUMMYFUNCTION("""COMPUTED_VALUE"""),"Cô Liễu")</f>
        <v>Cô Liễu</v>
      </c>
      <c r="C7055" s="119"/>
      <c r="D7055" s="119" t="str">
        <f>IFERROR(__xludf.DUMMYFUNCTION("""COMPUTED_VALUE"""),"Chó")</f>
        <v>Chó</v>
      </c>
      <c r="E7055" s="119" t="str">
        <f>IFERROR(__xludf.DUMMYFUNCTION("""COMPUTED_VALUE"""),"Bánh Gạo")</f>
        <v>Bánh Gạo</v>
      </c>
    </row>
    <row r="7056" ht="15.75" customHeight="1">
      <c r="A7056" s="122" t="str">
        <f>IFERROR(__xludf.DUMMYFUNCTION("""COMPUTED_VALUE"""),"0963 969 318")</f>
        <v>0963 969 318</v>
      </c>
      <c r="B7056" s="119" t="str">
        <f>IFERROR(__xludf.DUMMYFUNCTION("""COMPUTED_VALUE"""),"Chi Phương")</f>
        <v>Chi Phương</v>
      </c>
      <c r="C7056" s="119" t="str">
        <f>IFERROR(__xludf.DUMMYFUNCTION("""COMPUTED_VALUE"""),"Phú Vang")</f>
        <v>Phú Vang</v>
      </c>
      <c r="D7056" s="119" t="str">
        <f>IFERROR(__xludf.DUMMYFUNCTION("""COMPUTED_VALUE"""),"Chó")</f>
        <v>Chó</v>
      </c>
      <c r="E7056" s="119" t="str">
        <f>IFERROR(__xludf.DUMMYFUNCTION("""COMPUTED_VALUE"""),"Đất")</f>
        <v>Đất</v>
      </c>
    </row>
    <row r="7057" ht="15.75" customHeight="1">
      <c r="A7057" s="122" t="str">
        <f>IFERROR(__xludf.DUMMYFUNCTION("""COMPUTED_VALUE"""),"0905 864 224")</f>
        <v>0905 864 224</v>
      </c>
      <c r="B7057" s="119" t="str">
        <f>IFERROR(__xludf.DUMMYFUNCTION("""COMPUTED_VALUE"""),"Chị Tâm")</f>
        <v>Chị Tâm</v>
      </c>
      <c r="C7057" s="119" t="str">
        <f>IFERROR(__xludf.DUMMYFUNCTION("""COMPUTED_VALUE"""),"55 Nguyễn Văn Chư")</f>
        <v>55 Nguyễn Văn Chư</v>
      </c>
      <c r="D7057" s="119" t="str">
        <f>IFERROR(__xludf.DUMMYFUNCTION("""COMPUTED_VALUE"""),"Mèo")</f>
        <v>Mèo</v>
      </c>
      <c r="E7057" s="119" t="str">
        <f>IFERROR(__xludf.DUMMYFUNCTION("""COMPUTED_VALUE"""),"Vàng")</f>
        <v>Vàng</v>
      </c>
    </row>
    <row r="7058" ht="15.75" customHeight="1">
      <c r="A7058" s="122" t="str">
        <f>IFERROR(__xludf.DUMMYFUNCTION("""COMPUTED_VALUE"""),"0399 444 913")</f>
        <v>0399 444 913</v>
      </c>
      <c r="B7058" s="119" t="str">
        <f>IFERROR(__xludf.DUMMYFUNCTION("""COMPUTED_VALUE"""),"Anh Tâm")</f>
        <v>Anh Tâm</v>
      </c>
      <c r="C7058" s="119" t="str">
        <f>IFERROR(__xludf.DUMMYFUNCTION("""COMPUTED_VALUE"""),"Điện Hải")</f>
        <v>Điện Hải</v>
      </c>
      <c r="D7058" s="119" t="str">
        <f>IFERROR(__xludf.DUMMYFUNCTION("""COMPUTED_VALUE"""),"Mèo")</f>
        <v>Mèo</v>
      </c>
      <c r="E7058" s="119" t="str">
        <f>IFERROR(__xludf.DUMMYFUNCTION("""COMPUTED_VALUE"""),"Creamy")</f>
        <v>Creamy</v>
      </c>
    </row>
    <row r="7059" ht="15.75" customHeight="1">
      <c r="A7059" s="122" t="str">
        <f>IFERROR(__xludf.DUMMYFUNCTION("""COMPUTED_VALUE"""),"0905 928 890")</f>
        <v>0905 928 890</v>
      </c>
      <c r="B7059" s="119" t="str">
        <f>IFERROR(__xludf.DUMMYFUNCTION("""COMPUTED_VALUE"""),"Anh Hiếu")</f>
        <v>Anh Hiếu</v>
      </c>
      <c r="C7059" s="119" t="str">
        <f>IFERROR(__xludf.DUMMYFUNCTION("""COMPUTED_VALUE"""),"KQH Bầu Vá")</f>
        <v>KQH Bầu Vá</v>
      </c>
      <c r="D7059" s="119" t="str">
        <f>IFERROR(__xludf.DUMMYFUNCTION("""COMPUTED_VALUE"""),"Chó")</f>
        <v>Chó</v>
      </c>
      <c r="E7059" s="119" t="str">
        <f>IFERROR(__xludf.DUMMYFUNCTION("""COMPUTED_VALUE"""),"Boo")</f>
        <v>Boo</v>
      </c>
    </row>
    <row r="7060" ht="15.75" customHeight="1">
      <c r="A7060" s="122" t="str">
        <f>IFERROR(__xludf.DUMMYFUNCTION("""COMPUTED_VALUE"""),"0846 162 007")</f>
        <v>0846 162 007</v>
      </c>
      <c r="B7060" s="119" t="str">
        <f>IFERROR(__xludf.DUMMYFUNCTION("""COMPUTED_VALUE"""),"Khánh Lam")</f>
        <v>Khánh Lam</v>
      </c>
      <c r="C7060" s="119" t="str">
        <f>IFERROR(__xludf.DUMMYFUNCTION("""COMPUTED_VALUE"""),"Chung Cư Xuân Phú")</f>
        <v>Chung Cư Xuân Phú</v>
      </c>
      <c r="D7060" s="119" t="str">
        <f>IFERROR(__xludf.DUMMYFUNCTION("""COMPUTED_VALUE"""),"Mèo")</f>
        <v>Mèo</v>
      </c>
      <c r="E7060" s="119" t="str">
        <f>IFERROR(__xludf.DUMMYFUNCTION("""COMPUTED_VALUE"""),"Mực")</f>
        <v>Mực</v>
      </c>
    </row>
    <row r="7061" ht="15.75" customHeight="1">
      <c r="A7061" s="122" t="str">
        <f>IFERROR(__xludf.DUMMYFUNCTION("""COMPUTED_VALUE"""),"0702 758 150")</f>
        <v>0702 758 150</v>
      </c>
      <c r="B7061" s="119" t="str">
        <f>IFERROR(__xludf.DUMMYFUNCTION("""COMPUTED_VALUE"""),"Anh Hải")</f>
        <v>Anh Hải</v>
      </c>
      <c r="C7061" s="119"/>
      <c r="D7061" s="119" t="str">
        <f>IFERROR(__xludf.DUMMYFUNCTION("""COMPUTED_VALUE"""),"Chó")</f>
        <v>Chó</v>
      </c>
      <c r="E7061" s="119" t="str">
        <f>IFERROR(__xludf.DUMMYFUNCTION("""COMPUTED_VALUE"""),"Bông")</f>
        <v>Bông</v>
      </c>
    </row>
    <row r="7062" ht="15.75" customHeight="1">
      <c r="A7062" s="122" t="str">
        <f>IFERROR(__xludf.DUMMYFUNCTION("""COMPUTED_VALUE"""),"0838 347 693")</f>
        <v>0838 347 693</v>
      </c>
      <c r="B7062" s="119" t="str">
        <f>IFERROR(__xludf.DUMMYFUNCTION("""COMPUTED_VALUE"""),"Chị Hương")</f>
        <v>Chị Hương</v>
      </c>
      <c r="C7062" s="119"/>
      <c r="D7062" s="119" t="str">
        <f>IFERROR(__xludf.DUMMYFUNCTION("""COMPUTED_VALUE"""),"Chó")</f>
        <v>Chó</v>
      </c>
      <c r="E7062" s="119"/>
    </row>
    <row r="7063" ht="15.75" customHeight="1">
      <c r="A7063" s="122" t="str">
        <f>IFERROR(__xludf.DUMMYFUNCTION("""COMPUTED_VALUE"""),"0914 050 095")</f>
        <v>0914 050 095</v>
      </c>
      <c r="B7063" s="119" t="str">
        <f>IFERROR(__xludf.DUMMYFUNCTION("""COMPUTED_VALUE"""),"Trần Tín Nghĩa")</f>
        <v>Trần Tín Nghĩa</v>
      </c>
      <c r="C7063" s="119" t="str">
        <f>IFERROR(__xludf.DUMMYFUNCTION("""COMPUTED_VALUE"""),"10 Dương Văn An")</f>
        <v>10 Dương Văn An</v>
      </c>
      <c r="D7063" s="119" t="str">
        <f>IFERROR(__xludf.DUMMYFUNCTION("""COMPUTED_VALUE"""),"Mèo")</f>
        <v>Mèo</v>
      </c>
      <c r="E7063" s="119" t="str">
        <f>IFERROR(__xludf.DUMMYFUNCTION("""COMPUTED_VALUE"""),"Miu")</f>
        <v>Miu</v>
      </c>
    </row>
    <row r="7064" ht="15.75" customHeight="1">
      <c r="A7064" s="122" t="str">
        <f>IFERROR(__xludf.DUMMYFUNCTION("""COMPUTED_VALUE"""),"0338 141 093")</f>
        <v>0338 141 093</v>
      </c>
      <c r="B7064" s="119" t="str">
        <f>IFERROR(__xludf.DUMMYFUNCTION("""COMPUTED_VALUE"""),"Đỗ Viết Đức")</f>
        <v>Đỗ Viết Đức</v>
      </c>
      <c r="C7064" s="119" t="str">
        <f>IFERROR(__xludf.DUMMYFUNCTION("""COMPUTED_VALUE"""),"Hương thủy")</f>
        <v>Hương thủy</v>
      </c>
      <c r="D7064" s="119" t="str">
        <f>IFERROR(__xludf.DUMMYFUNCTION("""COMPUTED_VALUE"""),"Mèo")</f>
        <v>Mèo</v>
      </c>
      <c r="E7064" s="119" t="str">
        <f>IFERROR(__xludf.DUMMYFUNCTION("""COMPUTED_VALUE"""),"Bống")</f>
        <v>Bống</v>
      </c>
    </row>
    <row r="7065" ht="15.75" customHeight="1">
      <c r="A7065" s="122" t="str">
        <f>IFERROR(__xludf.DUMMYFUNCTION("""COMPUTED_VALUE"""),"0935 552 299")</f>
        <v>0935 552 299</v>
      </c>
      <c r="B7065" s="119" t="str">
        <f>IFERROR(__xludf.DUMMYFUNCTION("""COMPUTED_VALUE"""),"Anh Quang")</f>
        <v>Anh Quang</v>
      </c>
      <c r="C7065" s="119" t="str">
        <f>IFERROR(__xludf.DUMMYFUNCTION("""COMPUTED_VALUE"""),"Thủy Vân")</f>
        <v>Thủy Vân</v>
      </c>
      <c r="D7065" s="119" t="str">
        <f>IFERROR(__xludf.DUMMYFUNCTION("""COMPUTED_VALUE"""),"Chó")</f>
        <v>Chó</v>
      </c>
      <c r="E7065" s="119" t="str">
        <f>IFERROR(__xludf.DUMMYFUNCTION("""COMPUTED_VALUE"""),"Alu")</f>
        <v>Alu</v>
      </c>
    </row>
    <row r="7066" ht="15.75" customHeight="1">
      <c r="A7066" s="122" t="str">
        <f>IFERROR(__xludf.DUMMYFUNCTION("""COMPUTED_VALUE"""),"0903 505 191")</f>
        <v>0903 505 191</v>
      </c>
      <c r="B7066" s="119" t="str">
        <f>IFERROR(__xludf.DUMMYFUNCTION("""COMPUTED_VALUE"""),"chú Bảo Minh")</f>
        <v>chú Bảo Minh</v>
      </c>
      <c r="C7066" s="119" t="str">
        <f>IFERROR(__xludf.DUMMYFUNCTION("""COMPUTED_VALUE"""),"kiệt 135 số 43 Đặng Văn Ngữ")</f>
        <v>kiệt 135 số 43 Đặng Văn Ngữ</v>
      </c>
      <c r="D7066" s="119" t="str">
        <f>IFERROR(__xludf.DUMMYFUNCTION("""COMPUTED_VALUE"""),"Chó")</f>
        <v>Chó</v>
      </c>
      <c r="E7066" s="119" t="str">
        <f>IFERROR(__xludf.DUMMYFUNCTION("""COMPUTED_VALUE"""),"Sữa")</f>
        <v>Sữa</v>
      </c>
    </row>
    <row r="7067" ht="15.75" customHeight="1">
      <c r="A7067" s="122" t="str">
        <f>IFERROR(__xludf.DUMMYFUNCTION("""COMPUTED_VALUE"""),"0904 507 667")</f>
        <v>0904 507 667</v>
      </c>
      <c r="B7067" s="119" t="str">
        <f>IFERROR(__xludf.DUMMYFUNCTION("""COMPUTED_VALUE"""),"Sư cô Diễm Quỳnh")</f>
        <v>Sư cô Diễm Quỳnh</v>
      </c>
      <c r="C7067" s="119" t="str">
        <f>IFERROR(__xludf.DUMMYFUNCTION("""COMPUTED_VALUE"""),"6/162 Nguyễn sinh cung")</f>
        <v>6/162 Nguyễn sinh cung</v>
      </c>
      <c r="D7067" s="119" t="str">
        <f>IFERROR(__xludf.DUMMYFUNCTION("""COMPUTED_VALUE"""),"Chó")</f>
        <v>Chó</v>
      </c>
      <c r="E7067" s="119" t="str">
        <f>IFERROR(__xludf.DUMMYFUNCTION("""COMPUTED_VALUE"""),"BIbi")</f>
        <v>BIbi</v>
      </c>
    </row>
    <row r="7068" ht="15.75" customHeight="1">
      <c r="A7068" s="122" t="str">
        <f>IFERROR(__xludf.DUMMYFUNCTION("""COMPUTED_VALUE"""),"0787 787 731")</f>
        <v>0787 787 731</v>
      </c>
      <c r="B7068" s="119" t="str">
        <f>IFERROR(__xludf.DUMMYFUNCTION("""COMPUTED_VALUE"""),"Chị Ngân")</f>
        <v>Chị Ngân</v>
      </c>
      <c r="C7068" s="119" t="str">
        <f>IFERROR(__xludf.DUMMYFUNCTION("""COMPUTED_VALUE"""),"Hương Thủy")</f>
        <v>Hương Thủy</v>
      </c>
      <c r="D7068" s="119" t="str">
        <f>IFERROR(__xludf.DUMMYFUNCTION("""COMPUTED_VALUE"""),"Chó")</f>
        <v>Chó</v>
      </c>
      <c r="E7068" s="119" t="str">
        <f>IFERROR(__xludf.DUMMYFUNCTION("""COMPUTED_VALUE"""),"Nơ")</f>
        <v>Nơ</v>
      </c>
    </row>
    <row r="7069" ht="15.75" customHeight="1">
      <c r="A7069" s="122" t="str">
        <f>IFERROR(__xludf.DUMMYFUNCTION("""COMPUTED_VALUE"""),"0944 503 483")</f>
        <v>0944 503 483</v>
      </c>
      <c r="B7069" s="119" t="str">
        <f>IFERROR(__xludf.DUMMYFUNCTION("""COMPUTED_VALUE"""),"Lê Ngọc Anh")</f>
        <v>Lê Ngọc Anh</v>
      </c>
      <c r="C7069" s="119" t="str">
        <f>IFERROR(__xludf.DUMMYFUNCTION("""COMPUTED_VALUE"""),"17/48 Trân Quang Khải")</f>
        <v>17/48 Trân Quang Khải</v>
      </c>
      <c r="D7069" s="119" t="str">
        <f>IFERROR(__xludf.DUMMYFUNCTION("""COMPUTED_VALUE"""),"Mèo")</f>
        <v>Mèo</v>
      </c>
      <c r="E7069" s="119" t="str">
        <f>IFERROR(__xludf.DUMMYFUNCTION("""COMPUTED_VALUE"""),"Stone")</f>
        <v>Stone</v>
      </c>
    </row>
    <row r="7070" ht="15.75" customHeight="1">
      <c r="A7070" s="122" t="str">
        <f>IFERROR(__xludf.DUMMYFUNCTION("""COMPUTED_VALUE"""),"0815 115 175")</f>
        <v>0815 115 175</v>
      </c>
      <c r="B7070" s="119" t="str">
        <f>IFERROR(__xludf.DUMMYFUNCTION("""COMPUTED_VALUE"""),"Anh Bình")</f>
        <v>Anh Bình</v>
      </c>
      <c r="C7070" s="119" t="str">
        <f>IFERROR(__xludf.DUMMYFUNCTION("""COMPUTED_VALUE"""),"15/1 An Thường Công chúa")</f>
        <v>15/1 An Thường Công chúa</v>
      </c>
      <c r="D7070" s="119" t="str">
        <f>IFERROR(__xludf.DUMMYFUNCTION("""COMPUTED_VALUE"""),"Chó")</f>
        <v>Chó</v>
      </c>
      <c r="E7070" s="119" t="str">
        <f>IFERROR(__xludf.DUMMYFUNCTION("""COMPUTED_VALUE"""),"Bông")</f>
        <v>Bông</v>
      </c>
    </row>
    <row r="7071" ht="15.75" customHeight="1">
      <c r="A7071" s="122" t="str">
        <f>IFERROR(__xludf.DUMMYFUNCTION("""COMPUTED_VALUE"""),"0944 503 485")</f>
        <v>0944 503 485</v>
      </c>
      <c r="B7071" s="119" t="str">
        <f>IFERROR(__xludf.DUMMYFUNCTION("""COMPUTED_VALUE"""),"Chị Sáu")</f>
        <v>Chị Sáu</v>
      </c>
      <c r="C7071" s="119" t="str">
        <f>IFERROR(__xludf.DUMMYFUNCTION("""COMPUTED_VALUE"""),"17/48 Trần Quang Khải")</f>
        <v>17/48 Trần Quang Khải</v>
      </c>
      <c r="D7071" s="119" t="str">
        <f>IFERROR(__xludf.DUMMYFUNCTION("""COMPUTED_VALUE"""),"Mèo")</f>
        <v>Mèo</v>
      </c>
      <c r="E7071" s="119" t="str">
        <f>IFERROR(__xludf.DUMMYFUNCTION("""COMPUTED_VALUE"""),"Xu")</f>
        <v>Xu</v>
      </c>
    </row>
    <row r="7072" ht="15.75" customHeight="1">
      <c r="A7072" s="122" t="str">
        <f>IFERROR(__xludf.DUMMYFUNCTION("""COMPUTED_VALUE"""),"0914 126 028")</f>
        <v>0914 126 028</v>
      </c>
      <c r="B7072" s="119" t="str">
        <f>IFERROR(__xludf.DUMMYFUNCTION("""COMPUTED_VALUE"""),"Anh Linh")</f>
        <v>Anh Linh</v>
      </c>
      <c r="C7072" s="119" t="str">
        <f>IFERROR(__xludf.DUMMYFUNCTION("""COMPUTED_VALUE"""),"107 Phan Đình Phùng")</f>
        <v>107 Phan Đình Phùng</v>
      </c>
      <c r="D7072" s="119" t="str">
        <f>IFERROR(__xludf.DUMMYFUNCTION("""COMPUTED_VALUE"""),"Chó")</f>
        <v>Chó</v>
      </c>
      <c r="E7072" s="119" t="str">
        <f>IFERROR(__xludf.DUMMYFUNCTION("""COMPUTED_VALUE"""),"Milu")</f>
        <v>Milu</v>
      </c>
    </row>
    <row r="7073" ht="15.75" customHeight="1">
      <c r="A7073" s="122" t="str">
        <f>IFERROR(__xludf.DUMMYFUNCTION("""COMPUTED_VALUE"""),"0385 242 416")</f>
        <v>0385 242 416</v>
      </c>
      <c r="B7073" s="119" t="str">
        <f>IFERROR(__xludf.DUMMYFUNCTION("""COMPUTED_VALUE"""),"Chị Gái")</f>
        <v>Chị Gái</v>
      </c>
      <c r="C7073" s="119" t="str">
        <f>IFERROR(__xludf.DUMMYFUNCTION("""COMPUTED_VALUE"""),"Kiệt 7 Xuân Hòa")</f>
        <v>Kiệt 7 Xuân Hòa</v>
      </c>
      <c r="D7073" s="119" t="str">
        <f>IFERROR(__xludf.DUMMYFUNCTION("""COMPUTED_VALUE"""),"Chó")</f>
        <v>Chó</v>
      </c>
      <c r="E7073" s="119" t="str">
        <f>IFERROR(__xludf.DUMMYFUNCTION("""COMPUTED_VALUE"""),"Mực")</f>
        <v>Mực</v>
      </c>
    </row>
    <row r="7074" ht="15.75" customHeight="1">
      <c r="A7074" s="122" t="str">
        <f>IFERROR(__xludf.DUMMYFUNCTION("""COMPUTED_VALUE"""),"0399 844 282")</f>
        <v>0399 844 282</v>
      </c>
      <c r="B7074" s="119" t="str">
        <f>IFERROR(__xludf.DUMMYFUNCTION("""COMPUTED_VALUE"""),"Chị Miu")</f>
        <v>Chị Miu</v>
      </c>
      <c r="C7074" s="119" t="str">
        <f>IFERROR(__xludf.DUMMYFUNCTION("""COMPUTED_VALUE"""),"77 Bà Triệu")</f>
        <v>77 Bà Triệu</v>
      </c>
      <c r="D7074" s="119" t="str">
        <f>IFERROR(__xludf.DUMMYFUNCTION("""COMPUTED_VALUE"""),"Mèo")</f>
        <v>Mèo</v>
      </c>
      <c r="E7074" s="119" t="str">
        <f>IFERROR(__xludf.DUMMYFUNCTION("""COMPUTED_VALUE"""),"Moon")</f>
        <v>Moon</v>
      </c>
    </row>
    <row r="7075" ht="15.75" customHeight="1">
      <c r="A7075" s="122" t="str">
        <f>IFERROR(__xludf.DUMMYFUNCTION("""COMPUTED_VALUE"""),"0967 005 572")</f>
        <v>0967 005 572</v>
      </c>
      <c r="B7075" s="119" t="str">
        <f>IFERROR(__xludf.DUMMYFUNCTION("""COMPUTED_VALUE"""),"Anh Trường")</f>
        <v>Anh Trường</v>
      </c>
      <c r="C7075" s="119" t="str">
        <f>IFERROR(__xludf.DUMMYFUNCTION("""COMPUTED_VALUE"""),"17/232 Võ Trác")</f>
        <v>17/232 Võ Trác</v>
      </c>
      <c r="D7075" s="119" t="str">
        <f>IFERROR(__xludf.DUMMYFUNCTION("""COMPUTED_VALUE"""),"Mèo")</f>
        <v>Mèo</v>
      </c>
      <c r="E7075" s="119" t="str">
        <f>IFERROR(__xludf.DUMMYFUNCTION("""COMPUTED_VALUE"""),"Tabi")</f>
        <v>Tabi</v>
      </c>
    </row>
    <row r="7076" ht="15.75" customHeight="1">
      <c r="A7076" s="122" t="str">
        <f>IFERROR(__xludf.DUMMYFUNCTION("""COMPUTED_VALUE"""),"0327 899 486")</f>
        <v>0327 899 486</v>
      </c>
      <c r="B7076" s="119" t="str">
        <f>IFERROR(__xludf.DUMMYFUNCTION("""COMPUTED_VALUE"""),"Anh Công")</f>
        <v>Anh Công</v>
      </c>
      <c r="C7076" s="119" t="str">
        <f>IFERROR(__xludf.DUMMYFUNCTION("""COMPUTED_VALUE"""),"số 1 Thanh Tịnh")</f>
        <v>số 1 Thanh Tịnh</v>
      </c>
      <c r="D7076" s="119" t="str">
        <f>IFERROR(__xludf.DUMMYFUNCTION("""COMPUTED_VALUE"""),"Chó")</f>
        <v>Chó</v>
      </c>
      <c r="E7076" s="119" t="str">
        <f>IFERROR(__xludf.DUMMYFUNCTION("""COMPUTED_VALUE"""),"Ri")</f>
        <v>Ri</v>
      </c>
    </row>
    <row r="7077" ht="15.75" customHeight="1">
      <c r="A7077" s="122" t="str">
        <f>IFERROR(__xludf.DUMMYFUNCTION("""COMPUTED_VALUE"""),"0387 064 789")</f>
        <v>0387 064 789</v>
      </c>
      <c r="B7077" s="119" t="str">
        <f>IFERROR(__xludf.DUMMYFUNCTION("""COMPUTED_VALUE"""),"Chị Quỳnh Anh")</f>
        <v>Chị Quỳnh Anh</v>
      </c>
      <c r="C7077" s="119" t="str">
        <f>IFERROR(__xludf.DUMMYFUNCTION("""COMPUTED_VALUE"""),"31 Sơn Xuyên")</f>
        <v>31 Sơn Xuyên</v>
      </c>
      <c r="D7077" s="119" t="str">
        <f>IFERROR(__xludf.DUMMYFUNCTION("""COMPUTED_VALUE"""),"Chó")</f>
        <v>Chó</v>
      </c>
      <c r="E7077" s="119" t="str">
        <f>IFERROR(__xludf.DUMMYFUNCTION("""COMPUTED_VALUE"""),"Lu")</f>
        <v>Lu</v>
      </c>
    </row>
    <row r="7078" ht="15.75" customHeight="1">
      <c r="A7078" s="122" t="str">
        <f>IFERROR(__xludf.DUMMYFUNCTION("""COMPUTED_VALUE"""),"0586 119 544")</f>
        <v>0586 119 544</v>
      </c>
      <c r="B7078" s="119" t="str">
        <f>IFERROR(__xludf.DUMMYFUNCTION("""COMPUTED_VALUE"""),"Chị Thư")</f>
        <v>Chị Thư</v>
      </c>
      <c r="C7078" s="119" t="str">
        <f>IFERROR(__xludf.DUMMYFUNCTION("""COMPUTED_VALUE"""),"37 Trần Nhật Duật")</f>
        <v>37 Trần Nhật Duật</v>
      </c>
      <c r="D7078" s="119" t="str">
        <f>IFERROR(__xludf.DUMMYFUNCTION("""COMPUTED_VALUE"""),"Chó")</f>
        <v>Chó</v>
      </c>
      <c r="E7078" s="119" t="str">
        <f>IFERROR(__xludf.DUMMYFUNCTION("""COMPUTED_VALUE"""),"sóc")</f>
        <v>sóc</v>
      </c>
    </row>
    <row r="7079" ht="15.75" customHeight="1">
      <c r="A7079" s="122" t="str">
        <f>IFERROR(__xludf.DUMMYFUNCTION("""COMPUTED_VALUE"""),"0981 425 785")</f>
        <v>0981 425 785</v>
      </c>
      <c r="B7079" s="119" t="str">
        <f>IFERROR(__xludf.DUMMYFUNCTION("""COMPUTED_VALUE"""),"trần bình")</f>
        <v>trần bình</v>
      </c>
      <c r="C7079" s="119" t="str">
        <f>IFERROR(__xludf.DUMMYFUNCTION("""COMPUTED_VALUE"""),"hương trà")</f>
        <v>hương trà</v>
      </c>
      <c r="D7079" s="119" t="str">
        <f>IFERROR(__xludf.DUMMYFUNCTION("""COMPUTED_VALUE"""),"Chó")</f>
        <v>Chó</v>
      </c>
      <c r="E7079" s="119" t="str">
        <f>IFERROR(__xludf.DUMMYFUNCTION("""COMPUTED_VALUE"""),"bull")</f>
        <v>bull</v>
      </c>
    </row>
    <row r="7080" ht="15.75" customHeight="1">
      <c r="A7080" s="122" t="str">
        <f>IFERROR(__xludf.DUMMYFUNCTION("""COMPUTED_VALUE"""),"0989 565 002")</f>
        <v>0989 565 002</v>
      </c>
      <c r="B7080" s="119" t="str">
        <f>IFERROR(__xludf.DUMMYFUNCTION("""COMPUTED_VALUE"""),"chị giang")</f>
        <v>chị giang</v>
      </c>
      <c r="C7080" s="119" t="str">
        <f>IFERROR(__xludf.DUMMYFUNCTION("""COMPUTED_VALUE"""),"phú mậu")</f>
        <v>phú mậu</v>
      </c>
      <c r="D7080" s="119" t="str">
        <f>IFERROR(__xludf.DUMMYFUNCTION("""COMPUTED_VALUE"""),"Chó")</f>
        <v>Chó</v>
      </c>
      <c r="E7080" s="119" t="str">
        <f>IFERROR(__xludf.DUMMYFUNCTION("""COMPUTED_VALUE"""),"lu")</f>
        <v>lu</v>
      </c>
    </row>
    <row r="7081" ht="15.75" customHeight="1">
      <c r="A7081" s="122" t="str">
        <f>IFERROR(__xludf.DUMMYFUNCTION("""COMPUTED_VALUE"""),"0916 869 649")</f>
        <v>0916 869 649</v>
      </c>
      <c r="B7081" s="119" t="str">
        <f>IFERROR(__xludf.DUMMYFUNCTION("""COMPUTED_VALUE"""),"chị như")</f>
        <v>chị như</v>
      </c>
      <c r="C7081" s="119" t="str">
        <f>IFERROR(__xludf.DUMMYFUNCTION("""COMPUTED_VALUE"""),"nguyễn huệ")</f>
        <v>nguyễn huệ</v>
      </c>
      <c r="D7081" s="119" t="str">
        <f>IFERROR(__xludf.DUMMYFUNCTION("""COMPUTED_VALUE"""),"Mèo")</f>
        <v>Mèo</v>
      </c>
      <c r="E7081" s="119" t="str">
        <f>IFERROR(__xludf.DUMMYFUNCTION("""COMPUTED_VALUE"""),"me-o")</f>
        <v>me-o</v>
      </c>
    </row>
    <row r="7082" ht="15.75" customHeight="1">
      <c r="A7082" s="122" t="str">
        <f>IFERROR(__xludf.DUMMYFUNCTION("""COMPUTED_VALUE"""),"0916 921 621")</f>
        <v>0916 921 621</v>
      </c>
      <c r="B7082" s="119" t="str">
        <f>IFERROR(__xludf.DUMMYFUNCTION("""COMPUTED_VALUE"""),"chị châu")</f>
        <v>chị châu</v>
      </c>
      <c r="C7082" s="119" t="str">
        <f>IFERROR(__xludf.DUMMYFUNCTION("""COMPUTED_VALUE"""),"52/6 kiệt 42 nguyễn công trứ")</f>
        <v>52/6 kiệt 42 nguyễn công trứ</v>
      </c>
      <c r="D7082" s="119" t="str">
        <f>IFERROR(__xludf.DUMMYFUNCTION("""COMPUTED_VALUE"""),"Chó")</f>
        <v>Chó</v>
      </c>
      <c r="E7082" s="119" t="str">
        <f>IFERROR(__xludf.DUMMYFUNCTION("""COMPUTED_VALUE"""),"bun")</f>
        <v>bun</v>
      </c>
    </row>
    <row r="7083" ht="15.75" customHeight="1">
      <c r="A7083" s="122" t="str">
        <f>IFERROR(__xludf.DUMMYFUNCTION("""COMPUTED_VALUE"""),"0934 789 133")</f>
        <v>0934 789 133</v>
      </c>
      <c r="B7083" s="119" t="str">
        <f>IFERROR(__xludf.DUMMYFUNCTION("""COMPUTED_VALUE"""),"anh diệm")</f>
        <v>anh diệm</v>
      </c>
      <c r="C7083" s="119" t="str">
        <f>IFERROR(__xludf.DUMMYFUNCTION("""COMPUTED_VALUE"""),"29 ngọc anh")</f>
        <v>29 ngọc anh</v>
      </c>
      <c r="D7083" s="119" t="str">
        <f>IFERROR(__xludf.DUMMYFUNCTION("""COMPUTED_VALUE"""),"chó")</f>
        <v>chó</v>
      </c>
      <c r="E7083" s="119" t="str">
        <f>IFERROR(__xludf.DUMMYFUNCTION("""COMPUTED_VALUE"""),"bông")</f>
        <v>bông</v>
      </c>
    </row>
    <row r="7084" ht="15.75" customHeight="1">
      <c r="A7084" s="122" t="str">
        <f>IFERROR(__xludf.DUMMYFUNCTION("""COMPUTED_VALUE"""),"0344 009 286")</f>
        <v>0344 009 286</v>
      </c>
      <c r="B7084" s="119" t="str">
        <f>IFERROR(__xludf.DUMMYFUNCTION("""COMPUTED_VALUE"""),"chị long")</f>
        <v>chị long</v>
      </c>
      <c r="C7084" s="119" t="str">
        <f>IFERROR(__xludf.DUMMYFUNCTION("""COMPUTED_VALUE"""),"16/2 kiệt 52 bà triệu")</f>
        <v>16/2 kiệt 52 bà triệu</v>
      </c>
      <c r="D7084" s="119" t="str">
        <f>IFERROR(__xludf.DUMMYFUNCTION("""COMPUTED_VALUE"""),"Chó")</f>
        <v>Chó</v>
      </c>
      <c r="E7084" s="119" t="str">
        <f>IFERROR(__xludf.DUMMYFUNCTION("""COMPUTED_VALUE"""),"tony")</f>
        <v>tony</v>
      </c>
    </row>
    <row r="7085" ht="15.75" customHeight="1">
      <c r="A7085" s="122" t="str">
        <f>IFERROR(__xludf.DUMMYFUNCTION("""COMPUTED_VALUE"""),"0783 322 251")</f>
        <v>0783 322 251</v>
      </c>
      <c r="B7085" s="119" t="str">
        <f>IFERROR(__xludf.DUMMYFUNCTION("""COMPUTED_VALUE"""),"Anh Tùng")</f>
        <v>Anh Tùng</v>
      </c>
      <c r="C7085" s="119" t="str">
        <f>IFERROR(__xludf.DUMMYFUNCTION("""COMPUTED_VALUE"""),"25 Đinh Tiên Hoàng")</f>
        <v>25 Đinh Tiên Hoàng</v>
      </c>
      <c r="D7085" s="119" t="str">
        <f>IFERROR(__xludf.DUMMYFUNCTION("""COMPUTED_VALUE"""),"Chó")</f>
        <v>Chó</v>
      </c>
      <c r="E7085" s="119" t="str">
        <f>IFERROR(__xludf.DUMMYFUNCTION("""COMPUTED_VALUE"""),"Lucci")</f>
        <v>Lucci</v>
      </c>
    </row>
    <row r="7086" ht="15.75" customHeight="1">
      <c r="A7086" s="122" t="str">
        <f>IFERROR(__xludf.DUMMYFUNCTION("""COMPUTED_VALUE"""),"0762 626 242")</f>
        <v>0762 626 242</v>
      </c>
      <c r="B7086" s="119" t="str">
        <f>IFERROR(__xludf.DUMMYFUNCTION("""COMPUTED_VALUE"""),"Anh Hiền")</f>
        <v>Anh Hiền</v>
      </c>
      <c r="C7086" s="119" t="str">
        <f>IFERROR(__xludf.DUMMYFUNCTION("""COMPUTED_VALUE"""),"21/9 Lê Quý Đôn")</f>
        <v>21/9 Lê Quý Đôn</v>
      </c>
      <c r="D7086" s="119" t="str">
        <f>IFERROR(__xludf.DUMMYFUNCTION("""COMPUTED_VALUE"""),"Chó")</f>
        <v>Chó</v>
      </c>
      <c r="E7086" s="119" t="str">
        <f>IFERROR(__xludf.DUMMYFUNCTION("""COMPUTED_VALUE"""),"Gấu")</f>
        <v>Gấu</v>
      </c>
    </row>
    <row r="7087" ht="15.75" customHeight="1">
      <c r="A7087" s="122" t="str">
        <f>IFERROR(__xludf.DUMMYFUNCTION("""COMPUTED_VALUE"""),"0374 446 663")</f>
        <v>0374 446 663</v>
      </c>
      <c r="B7087" s="119" t="str">
        <f>IFERROR(__xludf.DUMMYFUNCTION("""COMPUTED_VALUE"""),"Anh Quang")</f>
        <v>Anh Quang</v>
      </c>
      <c r="C7087" s="119" t="str">
        <f>IFERROR(__xludf.DUMMYFUNCTION("""COMPUTED_VALUE"""),"Trạm thu phí Phú Bài")</f>
        <v>Trạm thu phí Phú Bài</v>
      </c>
      <c r="D7087" s="119" t="str">
        <f>IFERROR(__xludf.DUMMYFUNCTION("""COMPUTED_VALUE"""),"Chó")</f>
        <v>Chó</v>
      </c>
      <c r="E7087" s="119" t="str">
        <f>IFERROR(__xludf.DUMMYFUNCTION("""COMPUTED_VALUE"""),"Rot")</f>
        <v>Rot</v>
      </c>
    </row>
    <row r="7088" ht="15.75" customHeight="1">
      <c r="A7088" s="122" t="str">
        <f>IFERROR(__xludf.DUMMYFUNCTION("""COMPUTED_VALUE"""),"0987 724 666")</f>
        <v>0987 724 666</v>
      </c>
      <c r="B7088" s="119" t="str">
        <f>IFERROR(__xludf.DUMMYFUNCTION("""COMPUTED_VALUE"""),"Lê Anh Đức")</f>
        <v>Lê Anh Đức</v>
      </c>
      <c r="C7088" s="119" t="str">
        <f>IFERROR(__xludf.DUMMYFUNCTION("""COMPUTED_VALUE"""),"Thuận An")</f>
        <v>Thuận An</v>
      </c>
      <c r="D7088" s="119" t="str">
        <f>IFERROR(__xludf.DUMMYFUNCTION("""COMPUTED_VALUE"""),"Chó")</f>
        <v>Chó</v>
      </c>
      <c r="E7088" s="119" t="str">
        <f>IFERROR(__xludf.DUMMYFUNCTION("""COMPUTED_VALUE"""),"ky")</f>
        <v>ky</v>
      </c>
    </row>
    <row r="7089" ht="15.75" customHeight="1">
      <c r="A7089" s="122" t="str">
        <f>IFERROR(__xludf.DUMMYFUNCTION("""COMPUTED_VALUE"""),"0335 933 431")</f>
        <v>0335 933 431</v>
      </c>
      <c r="B7089" s="119" t="str">
        <f>IFERROR(__xludf.DUMMYFUNCTION("""COMPUTED_VALUE"""),"William")</f>
        <v>William</v>
      </c>
      <c r="C7089" s="119" t="str">
        <f>IFERROR(__xludf.DUMMYFUNCTION("""COMPUTED_VALUE"""),"Trương Phượng Hoàng")</f>
        <v>Trương Phượng Hoàng</v>
      </c>
      <c r="D7089" s="119" t="str">
        <f>IFERROR(__xludf.DUMMYFUNCTION("""COMPUTED_VALUE"""),"Chó")</f>
        <v>Chó</v>
      </c>
      <c r="E7089" s="119" t="str">
        <f>IFERROR(__xludf.DUMMYFUNCTION("""COMPUTED_VALUE"""),"Tipet")</f>
        <v>Tipet</v>
      </c>
    </row>
    <row r="7090" ht="15.75" customHeight="1">
      <c r="A7090" s="122" t="str">
        <f>IFERROR(__xludf.DUMMYFUNCTION("""COMPUTED_VALUE"""),"0905 265 698")</f>
        <v>0905 265 698</v>
      </c>
      <c r="B7090" s="119" t="str">
        <f>IFERROR(__xludf.DUMMYFUNCTION("""COMPUTED_VALUE"""),"Chị Bảo Trâm")</f>
        <v>Chị Bảo Trâm</v>
      </c>
      <c r="C7090" s="119" t="str">
        <f>IFERROR(__xludf.DUMMYFUNCTION("""COMPUTED_VALUE"""),"xóm 6 LẠi Thế")</f>
        <v>xóm 6 LẠi Thế</v>
      </c>
      <c r="D7090" s="119" t="str">
        <f>IFERROR(__xludf.DUMMYFUNCTION("""COMPUTED_VALUE"""),"Mèo")</f>
        <v>Mèo</v>
      </c>
      <c r="E7090" s="119" t="str">
        <f>IFERROR(__xludf.DUMMYFUNCTION("""COMPUTED_VALUE"""),"Tồ")</f>
        <v>Tồ</v>
      </c>
    </row>
    <row r="7091" ht="15.75" customHeight="1">
      <c r="A7091" s="122" t="str">
        <f>IFERROR(__xludf.DUMMYFUNCTION("""COMPUTED_VALUE"""),"0905 357 099")</f>
        <v>0905 357 099</v>
      </c>
      <c r="B7091" s="119" t="str">
        <f>IFERROR(__xludf.DUMMYFUNCTION("""COMPUTED_VALUE"""),"Anh NHật")</f>
        <v>Anh NHật</v>
      </c>
      <c r="C7091" s="119" t="str">
        <f>IFERROR(__xludf.DUMMYFUNCTION("""COMPUTED_VALUE"""),"Thuỷ Vân")</f>
        <v>Thuỷ Vân</v>
      </c>
      <c r="D7091" s="119" t="str">
        <f>IFERROR(__xludf.DUMMYFUNCTION("""COMPUTED_VALUE"""),"Chó")</f>
        <v>Chó</v>
      </c>
      <c r="E7091" s="119" t="str">
        <f>IFERROR(__xludf.DUMMYFUNCTION("""COMPUTED_VALUE"""),"Đốm")</f>
        <v>Đốm</v>
      </c>
    </row>
    <row r="7092" ht="15.75" customHeight="1">
      <c r="A7092" s="122" t="str">
        <f>IFERROR(__xludf.DUMMYFUNCTION("""COMPUTED_VALUE"""),"0383 785 688")</f>
        <v>0383 785 688</v>
      </c>
      <c r="B7092" s="119" t="str">
        <f>IFERROR(__xludf.DUMMYFUNCTION("""COMPUTED_VALUE"""),"Dì Khánh")</f>
        <v>Dì Khánh</v>
      </c>
      <c r="C7092" s="119" t="str">
        <f>IFERROR(__xludf.DUMMYFUNCTION("""COMPUTED_VALUE"""),"kiệt 41 Lê Quý Đôn")</f>
        <v>kiệt 41 Lê Quý Đôn</v>
      </c>
      <c r="D7092" s="119" t="str">
        <f>IFERROR(__xludf.DUMMYFUNCTION("""COMPUTED_VALUE"""),"Mèo")</f>
        <v>Mèo</v>
      </c>
      <c r="E7092" s="119" t="str">
        <f>IFERROR(__xludf.DUMMYFUNCTION("""COMPUTED_VALUE"""),"Mi")</f>
        <v>Mi</v>
      </c>
    </row>
    <row r="7093" ht="15.75" customHeight="1">
      <c r="A7093" s="122" t="str">
        <f>IFERROR(__xludf.DUMMYFUNCTION("""COMPUTED_VALUE"""),"0706 066 863")</f>
        <v>0706 066 863</v>
      </c>
      <c r="B7093" s="119" t="str">
        <f>IFERROR(__xludf.DUMMYFUNCTION("""COMPUTED_VALUE"""),"Anh Wyn")</f>
        <v>Anh Wyn</v>
      </c>
      <c r="C7093" s="119" t="str">
        <f>IFERROR(__xludf.DUMMYFUNCTION("""COMPUTED_VALUE"""),"39 Nguyễn Thái Học")</f>
        <v>39 Nguyễn Thái Học</v>
      </c>
      <c r="D7093" s="119" t="str">
        <f>IFERROR(__xludf.DUMMYFUNCTION("""COMPUTED_VALUE"""),"Mèo")</f>
        <v>Mèo</v>
      </c>
      <c r="E7093" s="119"/>
    </row>
    <row r="7094" ht="15.75" customHeight="1">
      <c r="A7094" s="122" t="str">
        <f>IFERROR(__xludf.DUMMYFUNCTION("""COMPUTED_VALUE"""),"0905 945 799")</f>
        <v>0905 945 799</v>
      </c>
      <c r="B7094" s="119" t="str">
        <f>IFERROR(__xludf.DUMMYFUNCTION("""COMPUTED_VALUE"""),"Anh")</f>
        <v>Anh</v>
      </c>
      <c r="C7094" s="119" t="str">
        <f>IFERROR(__xludf.DUMMYFUNCTION("""COMPUTED_VALUE"""),"Hoàng Sa")</f>
        <v>Hoàng Sa</v>
      </c>
      <c r="D7094" s="119" t="str">
        <f>IFERROR(__xludf.DUMMYFUNCTION("""COMPUTED_VALUE"""),"Chó")</f>
        <v>Chó</v>
      </c>
      <c r="E7094" s="119" t="str">
        <f>IFERROR(__xludf.DUMMYFUNCTION("""COMPUTED_VALUE"""),"Mật")</f>
        <v>Mật</v>
      </c>
    </row>
    <row r="7095" ht="15.75" customHeight="1">
      <c r="A7095" s="122" t="str">
        <f>IFERROR(__xludf.DUMMYFUNCTION("""COMPUTED_VALUE"""),"0964 973 404")</f>
        <v>0964 973 404</v>
      </c>
      <c r="B7095" s="119" t="str">
        <f>IFERROR(__xludf.DUMMYFUNCTION("""COMPUTED_VALUE"""),"Anh HUẤn")</f>
        <v>Anh HUẤn</v>
      </c>
      <c r="C7095" s="119" t="str">
        <f>IFERROR(__xludf.DUMMYFUNCTION("""COMPUTED_VALUE"""),"33 An Dương Vương")</f>
        <v>33 An Dương Vương</v>
      </c>
      <c r="D7095" s="119" t="str">
        <f>IFERROR(__xludf.DUMMYFUNCTION("""COMPUTED_VALUE"""),"Chó")</f>
        <v>Chó</v>
      </c>
      <c r="E7095" s="119" t="str">
        <f>IFERROR(__xludf.DUMMYFUNCTION("""COMPUTED_VALUE"""),"mèo")</f>
        <v>mèo</v>
      </c>
    </row>
    <row r="7096" ht="15.75" customHeight="1">
      <c r="A7096" s="122" t="str">
        <f>IFERROR(__xludf.DUMMYFUNCTION("""COMPUTED_VALUE"""),"0982 001 405")</f>
        <v>0982 001 405</v>
      </c>
      <c r="B7096" s="119" t="str">
        <f>IFERROR(__xludf.DUMMYFUNCTION("""COMPUTED_VALUE"""),"Chị Anh")</f>
        <v>Chị Anh</v>
      </c>
      <c r="C7096" s="119" t="str">
        <f>IFERROR(__xludf.DUMMYFUNCTION("""COMPUTED_VALUE"""),"40/35 Nguyễn Thái Học")</f>
        <v>40/35 Nguyễn Thái Học</v>
      </c>
      <c r="D7096" s="119" t="str">
        <f>IFERROR(__xludf.DUMMYFUNCTION("""COMPUTED_VALUE"""),"Chó")</f>
        <v>Chó</v>
      </c>
      <c r="E7096" s="119" t="str">
        <f>IFERROR(__xludf.DUMMYFUNCTION("""COMPUTED_VALUE"""),"Pandora")</f>
        <v>Pandora</v>
      </c>
    </row>
    <row r="7097" ht="15.75" customHeight="1">
      <c r="A7097" s="122" t="str">
        <f>IFERROR(__xludf.DUMMYFUNCTION("""COMPUTED_VALUE"""),"0981 609 753")</f>
        <v>0981 609 753</v>
      </c>
      <c r="B7097" s="119" t="str">
        <f>IFERROR(__xludf.DUMMYFUNCTION("""COMPUTED_VALUE"""),"Chị Điệp")</f>
        <v>Chị Điệp</v>
      </c>
      <c r="C7097" s="119" t="str">
        <f>IFERROR(__xludf.DUMMYFUNCTION("""COMPUTED_VALUE"""),"Phú Vang")</f>
        <v>Phú Vang</v>
      </c>
      <c r="D7097" s="119" t="str">
        <f>IFERROR(__xludf.DUMMYFUNCTION("""COMPUTED_VALUE"""),"Mèo")</f>
        <v>Mèo</v>
      </c>
      <c r="E7097" s="119" t="str">
        <f>IFERROR(__xludf.DUMMYFUNCTION("""COMPUTED_VALUE"""),"Bắp")</f>
        <v>Bắp</v>
      </c>
    </row>
    <row r="7098" ht="15.75" customHeight="1">
      <c r="A7098" s="122" t="str">
        <f>IFERROR(__xludf.DUMMYFUNCTION("""COMPUTED_VALUE"""),"0962 782 701")</f>
        <v>0962 782 701</v>
      </c>
      <c r="B7098" s="119" t="str">
        <f>IFERROR(__xludf.DUMMYFUNCTION("""COMPUTED_VALUE"""),"Chị Khánh Nhi")</f>
        <v>Chị Khánh Nhi</v>
      </c>
      <c r="C7098" s="119" t="str">
        <f>IFERROR(__xludf.DUMMYFUNCTION("""COMPUTED_VALUE"""),"Phong Điền")</f>
        <v>Phong Điền</v>
      </c>
      <c r="D7098" s="119" t="str">
        <f>IFERROR(__xludf.DUMMYFUNCTION("""COMPUTED_VALUE"""),"Mèo")</f>
        <v>Mèo</v>
      </c>
      <c r="E7098" s="119" t="str">
        <f>IFERROR(__xludf.DUMMYFUNCTION("""COMPUTED_VALUE"""),"Mimi")</f>
        <v>Mimi</v>
      </c>
    </row>
    <row r="7099" ht="15.75" customHeight="1">
      <c r="A7099" s="122" t="str">
        <f>IFERROR(__xludf.DUMMYFUNCTION("""COMPUTED_VALUE"""),"0936 077 310")</f>
        <v>0936 077 310</v>
      </c>
      <c r="B7099" s="119" t="str">
        <f>IFERROR(__xludf.DUMMYFUNCTION("""COMPUTED_VALUE"""),"Chị Bảo Trâm")</f>
        <v>Chị Bảo Trâm</v>
      </c>
      <c r="C7099" s="119" t="str">
        <f>IFERROR(__xludf.DUMMYFUNCTION("""COMPUTED_VALUE"""),"96 Lê Lợi")</f>
        <v>96 Lê Lợi</v>
      </c>
      <c r="D7099" s="119" t="str">
        <f>IFERROR(__xludf.DUMMYFUNCTION("""COMPUTED_VALUE"""),"Chó")</f>
        <v>Chó</v>
      </c>
      <c r="E7099" s="119" t="str">
        <f>IFERROR(__xludf.DUMMYFUNCTION("""COMPUTED_VALUE"""),"coca")</f>
        <v>coca</v>
      </c>
    </row>
    <row r="7100" ht="15.75" customHeight="1">
      <c r="A7100" s="122" t="str">
        <f>IFERROR(__xludf.DUMMYFUNCTION("""COMPUTED_VALUE"""),"0982 827 069")</f>
        <v>0982 827 069</v>
      </c>
      <c r="B7100" s="119" t="str">
        <f>IFERROR(__xludf.DUMMYFUNCTION("""COMPUTED_VALUE"""),"Dì Uyên")</f>
        <v>Dì Uyên</v>
      </c>
      <c r="C7100" s="119" t="str">
        <f>IFERROR(__xludf.DUMMYFUNCTION("""COMPUTED_VALUE"""),"32/7/147 Phan Đình Phùng")</f>
        <v>32/7/147 Phan Đình Phùng</v>
      </c>
      <c r="D7100" s="119" t="str">
        <f>IFERROR(__xludf.DUMMYFUNCTION("""COMPUTED_VALUE"""),"Mèo")</f>
        <v>Mèo</v>
      </c>
      <c r="E7100" s="119" t="str">
        <f>IFERROR(__xludf.DUMMYFUNCTION("""COMPUTED_VALUE"""),"Trắng")</f>
        <v>Trắng</v>
      </c>
    </row>
    <row r="7101" ht="15.75" customHeight="1">
      <c r="A7101" s="122" t="str">
        <f>IFERROR(__xludf.DUMMYFUNCTION("""COMPUTED_VALUE"""),"0899 881 319")</f>
        <v>0899 881 319</v>
      </c>
      <c r="B7101" s="119" t="str">
        <f>IFERROR(__xludf.DUMMYFUNCTION("""COMPUTED_VALUE"""),"chị Ngân")</f>
        <v>chị Ngân</v>
      </c>
      <c r="C7101" s="119" t="str">
        <f>IFERROR(__xludf.DUMMYFUNCTION("""COMPUTED_VALUE"""),"25/185 Nguyễn Lộ Trạch")</f>
        <v>25/185 Nguyễn Lộ Trạch</v>
      </c>
      <c r="D7101" s="119" t="str">
        <f>IFERROR(__xludf.DUMMYFUNCTION("""COMPUTED_VALUE"""),"Chó")</f>
        <v>Chó</v>
      </c>
      <c r="E7101" s="119" t="str">
        <f>IFERROR(__xludf.DUMMYFUNCTION("""COMPUTED_VALUE"""),"Gấu")</f>
        <v>Gấu</v>
      </c>
    </row>
    <row r="7102" ht="15.75" customHeight="1">
      <c r="A7102" s="122" t="str">
        <f>IFERROR(__xludf.DUMMYFUNCTION("""COMPUTED_VALUE"""),"0702 623 101")</f>
        <v>0702 623 101</v>
      </c>
      <c r="B7102" s="119" t="str">
        <f>IFERROR(__xludf.DUMMYFUNCTION("""COMPUTED_VALUE"""),"Anh Khải")</f>
        <v>Anh Khải</v>
      </c>
      <c r="C7102" s="119" t="str">
        <f>IFERROR(__xludf.DUMMYFUNCTION("""COMPUTED_VALUE"""),"Phú Vang")</f>
        <v>Phú Vang</v>
      </c>
      <c r="D7102" s="119" t="str">
        <f>IFERROR(__xludf.DUMMYFUNCTION("""COMPUTED_VALUE"""),"Chó")</f>
        <v>Chó</v>
      </c>
      <c r="E7102" s="119" t="str">
        <f>IFERROR(__xludf.DUMMYFUNCTION("""COMPUTED_VALUE"""),"Ny")</f>
        <v>Ny</v>
      </c>
    </row>
    <row r="7103" ht="15.75" customHeight="1">
      <c r="A7103" s="122" t="str">
        <f>IFERROR(__xludf.DUMMYFUNCTION("""COMPUTED_VALUE"""),"0919 651 357")</f>
        <v>0919 651 357</v>
      </c>
      <c r="B7103" s="119" t="str">
        <f>IFERROR(__xludf.DUMMYFUNCTION("""COMPUTED_VALUE"""),"Thầy Điều")</f>
        <v>Thầy Điều</v>
      </c>
      <c r="C7103" s="119" t="str">
        <f>IFERROR(__xludf.DUMMYFUNCTION("""COMPUTED_VALUE"""),"2a kiệt 179 Nguyễn Đỗ Trạch")</f>
        <v>2a kiệt 179 Nguyễn Đỗ Trạch</v>
      </c>
      <c r="D7103" s="119" t="str">
        <f>IFERROR(__xludf.DUMMYFUNCTION("""COMPUTED_VALUE"""),"Chó")</f>
        <v>Chó</v>
      </c>
      <c r="E7103" s="119"/>
    </row>
    <row r="7104" ht="15.75" customHeight="1">
      <c r="A7104" s="122" t="str">
        <f>IFERROR(__xludf.DUMMYFUNCTION("""COMPUTED_VALUE"""),"0359 151 456")</f>
        <v>0359 151 456</v>
      </c>
      <c r="B7104" s="119" t="str">
        <f>IFERROR(__xludf.DUMMYFUNCTION("""COMPUTED_VALUE"""),"Anh sơn")</f>
        <v>Anh sơn</v>
      </c>
      <c r="C7104" s="119" t="str">
        <f>IFERROR(__xludf.DUMMYFUNCTION("""COMPUTED_VALUE"""),"Phú Bài")</f>
        <v>Phú Bài</v>
      </c>
      <c r="D7104" s="119" t="str">
        <f>IFERROR(__xludf.DUMMYFUNCTION("""COMPUTED_VALUE"""),"Mèo")</f>
        <v>Mèo</v>
      </c>
      <c r="E7104" s="119" t="str">
        <f>IFERROR(__xludf.DUMMYFUNCTION("""COMPUTED_VALUE"""),"ca")</f>
        <v>ca</v>
      </c>
    </row>
    <row r="7105" ht="15.75" customHeight="1">
      <c r="A7105" s="122" t="str">
        <f>IFERROR(__xludf.DUMMYFUNCTION("""COMPUTED_VALUE"""),"0783 588 973")</f>
        <v>0783 588 973</v>
      </c>
      <c r="B7105" s="119" t="str">
        <f>IFERROR(__xludf.DUMMYFUNCTION("""COMPUTED_VALUE"""),"Anh Hùng")</f>
        <v>Anh Hùng</v>
      </c>
      <c r="C7105" s="119" t="str">
        <f>IFERROR(__xludf.DUMMYFUNCTION("""COMPUTED_VALUE"""),"46 Hồ Đắc Di")</f>
        <v>46 Hồ Đắc Di</v>
      </c>
      <c r="D7105" s="119" t="str">
        <f>IFERROR(__xludf.DUMMYFUNCTION("""COMPUTED_VALUE"""),"Mèo")</f>
        <v>Mèo</v>
      </c>
      <c r="E7105" s="119" t="str">
        <f>IFERROR(__xludf.DUMMYFUNCTION("""COMPUTED_VALUE"""),"Bông")</f>
        <v>Bông</v>
      </c>
    </row>
    <row r="7106" ht="15.75" customHeight="1">
      <c r="A7106" s="122" t="str">
        <f>IFERROR(__xludf.DUMMYFUNCTION("""COMPUTED_VALUE"""),"0979 590 971")</f>
        <v>0979 590 971</v>
      </c>
      <c r="B7106" s="119" t="str">
        <f>IFERROR(__xludf.DUMMYFUNCTION("""COMPUTED_VALUE"""),"Chị Quyên")</f>
        <v>Chị Quyên</v>
      </c>
      <c r="C7106" s="119" t="str">
        <f>IFERROR(__xludf.DUMMYFUNCTION("""COMPUTED_VALUE"""),"An Cựu city 16 đường 12")</f>
        <v>An Cựu city 16 đường 12</v>
      </c>
      <c r="D7106" s="119" t="str">
        <f>IFERROR(__xludf.DUMMYFUNCTION("""COMPUTED_VALUE"""),"Chó")</f>
        <v>Chó</v>
      </c>
      <c r="E7106" s="119" t="str">
        <f>IFERROR(__xludf.DUMMYFUNCTION("""COMPUTED_VALUE"""),"win")</f>
        <v>win</v>
      </c>
    </row>
    <row r="7107" ht="15.75" customHeight="1">
      <c r="A7107" s="122" t="str">
        <f>IFERROR(__xludf.DUMMYFUNCTION("""COMPUTED_VALUE"""),"0905 157 171")</f>
        <v>0905 157 171</v>
      </c>
      <c r="B7107" s="119" t="str">
        <f>IFERROR(__xludf.DUMMYFUNCTION("""COMPUTED_VALUE"""),"Chị Minh")</f>
        <v>Chị Minh</v>
      </c>
      <c r="C7107" s="119" t="str">
        <f>IFERROR(__xludf.DUMMYFUNCTION("""COMPUTED_VALUE"""),"14 kiệt 1 Hoàng Quốc Việt")</f>
        <v>14 kiệt 1 Hoàng Quốc Việt</v>
      </c>
      <c r="D7107" s="119" t="str">
        <f>IFERROR(__xludf.DUMMYFUNCTION("""COMPUTED_VALUE"""),"Mèo")</f>
        <v>Mèo</v>
      </c>
      <c r="E7107" s="119"/>
    </row>
    <row r="7108" ht="15.75" customHeight="1">
      <c r="A7108" s="122" t="str">
        <f>IFERROR(__xludf.DUMMYFUNCTION("""COMPUTED_VALUE"""),"0764 021 367")</f>
        <v>0764 021 367</v>
      </c>
      <c r="B7108" s="119" t="str">
        <f>IFERROR(__xludf.DUMMYFUNCTION("""COMPUTED_VALUE"""),"Khánh An")</f>
        <v>Khánh An</v>
      </c>
      <c r="C7108" s="119" t="str">
        <f>IFERROR(__xludf.DUMMYFUNCTION("""COMPUTED_VALUE"""),"9 hẻm 2 kiệt 2 long thọ")</f>
        <v>9 hẻm 2 kiệt 2 long thọ</v>
      </c>
      <c r="D7108" s="119" t="str">
        <f>IFERROR(__xludf.DUMMYFUNCTION("""COMPUTED_VALUE"""),"Mèo")</f>
        <v>Mèo</v>
      </c>
      <c r="E7108" s="119" t="str">
        <f>IFERROR(__xludf.DUMMYFUNCTION("""COMPUTED_VALUE"""),"mèo")</f>
        <v>mèo</v>
      </c>
    </row>
    <row r="7109" ht="15.75" customHeight="1">
      <c r="A7109" s="122" t="str">
        <f>IFERROR(__xludf.DUMMYFUNCTION("""COMPUTED_VALUE"""),"0768 697 695")</f>
        <v>0768 697 695</v>
      </c>
      <c r="B7109" s="119" t="str">
        <f>IFERROR(__xludf.DUMMYFUNCTION("""COMPUTED_VALUE"""),"Nguyễn Thị Diệu Hiền")</f>
        <v>Nguyễn Thị Diệu Hiền</v>
      </c>
      <c r="C7109" s="119" t="str">
        <f>IFERROR(__xludf.DUMMYFUNCTION("""COMPUTED_VALUE"""),"408 Lê Duẩn")</f>
        <v>408 Lê Duẩn</v>
      </c>
      <c r="D7109" s="119" t="str">
        <f>IFERROR(__xludf.DUMMYFUNCTION("""COMPUTED_VALUE"""),"Mèo")</f>
        <v>Mèo</v>
      </c>
      <c r="E7109" s="119" t="str">
        <f>IFERROR(__xludf.DUMMYFUNCTION("""COMPUTED_VALUE"""),"Kun")</f>
        <v>Kun</v>
      </c>
    </row>
    <row r="7110" ht="15.75" customHeight="1">
      <c r="A7110" s="122" t="str">
        <f>IFERROR(__xludf.DUMMYFUNCTION("""COMPUTED_VALUE"""),"0935 741 919")</f>
        <v>0935 741 919</v>
      </c>
      <c r="B7110" s="119" t="str">
        <f>IFERROR(__xludf.DUMMYFUNCTION("""COMPUTED_VALUE"""),"Lê Thị Thu Lan")</f>
        <v>Lê Thị Thu Lan</v>
      </c>
      <c r="C7110" s="119" t="str">
        <f>IFERROR(__xludf.DUMMYFUNCTION("""COMPUTED_VALUE"""),"Khu đô thị Royal Park")</f>
        <v>Khu đô thị Royal Park</v>
      </c>
      <c r="D7110" s="119" t="str">
        <f>IFERROR(__xludf.DUMMYFUNCTION("""COMPUTED_VALUE"""),"Chó")</f>
        <v>Chó</v>
      </c>
      <c r="E7110" s="119" t="str">
        <f>IFERROR(__xludf.DUMMYFUNCTION("""COMPUTED_VALUE"""),"sóc")</f>
        <v>sóc</v>
      </c>
    </row>
    <row r="7111" ht="15.75" customHeight="1">
      <c r="A7111" s="122" t="str">
        <f>IFERROR(__xludf.DUMMYFUNCTION("""COMPUTED_VALUE"""),"0914 033 555")</f>
        <v>0914 033 555</v>
      </c>
      <c r="B7111" s="119" t="str">
        <f>IFERROR(__xludf.DUMMYFUNCTION("""COMPUTED_VALUE"""),"Dì Đan Phương")</f>
        <v>Dì Đan Phương</v>
      </c>
      <c r="C7111" s="119" t="str">
        <f>IFERROR(__xludf.DUMMYFUNCTION("""COMPUTED_VALUE"""),"8 Bà Triệu")</f>
        <v>8 Bà Triệu</v>
      </c>
      <c r="D7111" s="119" t="str">
        <f>IFERROR(__xludf.DUMMYFUNCTION("""COMPUTED_VALUE"""),"Chó")</f>
        <v>Chó</v>
      </c>
      <c r="E7111" s="119" t="str">
        <f>IFERROR(__xludf.DUMMYFUNCTION("""COMPUTED_VALUE"""),"Rock")</f>
        <v>Rock</v>
      </c>
    </row>
    <row r="7112" ht="15.75" customHeight="1">
      <c r="A7112" s="122" t="str">
        <f>IFERROR(__xludf.DUMMYFUNCTION("""COMPUTED_VALUE"""),"0905 932 152")</f>
        <v>0905 932 152</v>
      </c>
      <c r="B7112" s="119" t="str">
        <f>IFERROR(__xludf.DUMMYFUNCTION("""COMPUTED_VALUE"""),"Anh Chương")</f>
        <v>Anh Chương</v>
      </c>
      <c r="C7112" s="119" t="str">
        <f>IFERROR(__xludf.DUMMYFUNCTION("""COMPUTED_VALUE"""),"Thủy Phương")</f>
        <v>Thủy Phương</v>
      </c>
      <c r="D7112" s="119" t="str">
        <f>IFERROR(__xludf.DUMMYFUNCTION("""COMPUTED_VALUE"""),"Chó")</f>
        <v>Chó</v>
      </c>
      <c r="E7112" s="119" t="str">
        <f>IFERROR(__xludf.DUMMYFUNCTION("""COMPUTED_VALUE"""),"Lu")</f>
        <v>Lu</v>
      </c>
    </row>
    <row r="7113" ht="15.75" customHeight="1">
      <c r="A7113" s="122" t="str">
        <f>IFERROR(__xludf.DUMMYFUNCTION("""COMPUTED_VALUE"""),"0935 650 072")</f>
        <v>0935 650 072</v>
      </c>
      <c r="B7113" s="119" t="str">
        <f>IFERROR(__xludf.DUMMYFUNCTION("""COMPUTED_VALUE"""),"Chị Kỳ")</f>
        <v>Chị Kỳ</v>
      </c>
      <c r="C7113" s="119" t="str">
        <f>IFERROR(__xludf.DUMMYFUNCTION("""COMPUTED_VALUE"""),"Thuân An")</f>
        <v>Thuân An</v>
      </c>
      <c r="D7113" s="119" t="str">
        <f>IFERROR(__xludf.DUMMYFUNCTION("""COMPUTED_VALUE"""),"Chó")</f>
        <v>Chó</v>
      </c>
      <c r="E7113" s="119" t="str">
        <f>IFERROR(__xludf.DUMMYFUNCTION("""COMPUTED_VALUE"""),"xu")</f>
        <v>xu</v>
      </c>
    </row>
    <row r="7114" ht="15.75" customHeight="1">
      <c r="A7114" s="122" t="str">
        <f>IFERROR(__xludf.DUMMYFUNCTION("""COMPUTED_VALUE"""),"0335 331 515")</f>
        <v>0335 331 515</v>
      </c>
      <c r="B7114" s="119" t="str">
        <f>IFERROR(__xludf.DUMMYFUNCTION("""COMPUTED_VALUE"""),"Sư thầy Minh Tùy")</f>
        <v>Sư thầy Minh Tùy</v>
      </c>
      <c r="C7114" s="119" t="str">
        <f>IFERROR(__xludf.DUMMYFUNCTION("""COMPUTED_VALUE"""),"360 Phan Chu Trinh")</f>
        <v>360 Phan Chu Trinh</v>
      </c>
      <c r="D7114" s="119" t="str">
        <f>IFERROR(__xludf.DUMMYFUNCTION("""COMPUTED_VALUE"""),"Chó")</f>
        <v>Chó</v>
      </c>
      <c r="E7114" s="119" t="str">
        <f>IFERROR(__xludf.DUMMYFUNCTION("""COMPUTED_VALUE"""),"Red")</f>
        <v>Red</v>
      </c>
    </row>
    <row r="7115" ht="15.75" customHeight="1">
      <c r="A7115" s="122" t="str">
        <f>IFERROR(__xludf.DUMMYFUNCTION("""COMPUTED_VALUE"""),"0879 790 646")</f>
        <v>0879 790 646</v>
      </c>
      <c r="B7115" s="119" t="str">
        <f>IFERROR(__xludf.DUMMYFUNCTION("""COMPUTED_VALUE"""),"chị Duyên")</f>
        <v>chị Duyên</v>
      </c>
      <c r="C7115" s="119" t="str">
        <f>IFERROR(__xludf.DUMMYFUNCTION("""COMPUTED_VALUE"""),"13/2 hoàng quốc việt")</f>
        <v>13/2 hoàng quốc việt</v>
      </c>
      <c r="D7115" s="119" t="str">
        <f>IFERROR(__xludf.DUMMYFUNCTION("""COMPUTED_VALUE"""),"Chó")</f>
        <v>Chó</v>
      </c>
      <c r="E7115" s="119" t="str">
        <f>IFERROR(__xludf.DUMMYFUNCTION("""COMPUTED_VALUE"""),"Kiki")</f>
        <v>Kiki</v>
      </c>
    </row>
    <row r="7116" ht="15.75" customHeight="1">
      <c r="A7116" s="122" t="str">
        <f>IFERROR(__xludf.DUMMYFUNCTION("""COMPUTED_VALUE"""),"0796 686 757")</f>
        <v>0796 686 757</v>
      </c>
      <c r="B7116" s="119" t="str">
        <f>IFERROR(__xludf.DUMMYFUNCTION("""COMPUTED_VALUE"""),"chị Lợi")</f>
        <v>chị Lợi</v>
      </c>
      <c r="C7116" s="119" t="str">
        <f>IFERROR(__xludf.DUMMYFUNCTION("""COMPUTED_VALUE"""),"21 nguyễn lương bằng")</f>
        <v>21 nguyễn lương bằng</v>
      </c>
      <c r="D7116" s="119" t="str">
        <f>IFERROR(__xludf.DUMMYFUNCTION("""COMPUTED_VALUE"""),"Mèo")</f>
        <v>Mèo</v>
      </c>
      <c r="E7116" s="119" t="str">
        <f>IFERROR(__xludf.DUMMYFUNCTION("""COMPUTED_VALUE"""),"Nhím")</f>
        <v>Nhím</v>
      </c>
    </row>
    <row r="7117" ht="15.75" customHeight="1">
      <c r="A7117" s="122" t="str">
        <f>IFERROR(__xludf.DUMMYFUNCTION("""COMPUTED_VALUE"""),"0822 539 849")</f>
        <v>0822 539 849</v>
      </c>
      <c r="B7117" s="119" t="str">
        <f>IFERROR(__xludf.DUMMYFUNCTION("""COMPUTED_VALUE"""),"anh Rin")</f>
        <v>anh Rin</v>
      </c>
      <c r="C7117" s="119" t="str">
        <f>IFERROR(__xludf.DUMMYFUNCTION("""COMPUTED_VALUE"""),"phong điền")</f>
        <v>phong điền</v>
      </c>
      <c r="D7117" s="119" t="str">
        <f>IFERROR(__xludf.DUMMYFUNCTION("""COMPUTED_VALUE"""),"Chó")</f>
        <v>Chó</v>
      </c>
      <c r="E7117" s="119" t="str">
        <f>IFERROR(__xludf.DUMMYFUNCTION("""COMPUTED_VALUE"""),"lucky")</f>
        <v>lucky</v>
      </c>
    </row>
    <row r="7118" ht="15.75" customHeight="1">
      <c r="A7118" s="122" t="str">
        <f>IFERROR(__xludf.DUMMYFUNCTION("""COMPUTED_VALUE"""),"0934 887 311")</f>
        <v>0934 887 311</v>
      </c>
      <c r="B7118" s="119" t="str">
        <f>IFERROR(__xludf.DUMMYFUNCTION("""COMPUTED_VALUE"""),"chị Trinh")</f>
        <v>chị Trinh</v>
      </c>
      <c r="C7118" s="119" t="str">
        <f>IFERROR(__xludf.DUMMYFUNCTION("""COMPUTED_VALUE"""),"phú diên")</f>
        <v>phú diên</v>
      </c>
      <c r="D7118" s="119" t="str">
        <f>IFERROR(__xludf.DUMMYFUNCTION("""COMPUTED_VALUE"""),"Chó")</f>
        <v>Chó</v>
      </c>
      <c r="E7118" s="119" t="str">
        <f>IFERROR(__xludf.DUMMYFUNCTION("""COMPUTED_VALUE"""),"lu")</f>
        <v>lu</v>
      </c>
    </row>
    <row r="7119" ht="15.75" customHeight="1">
      <c r="A7119" s="122" t="str">
        <f>IFERROR(__xludf.DUMMYFUNCTION("""COMPUTED_VALUE"""),"0983 604 123")</f>
        <v>0983 604 123</v>
      </c>
      <c r="B7119" s="119" t="str">
        <f>IFERROR(__xludf.DUMMYFUNCTION("""COMPUTED_VALUE"""),"chị Thắng")</f>
        <v>chị Thắng</v>
      </c>
      <c r="C7119" s="119" t="str">
        <f>IFERROR(__xludf.DUMMYFUNCTION("""COMPUTED_VALUE"""),"03 chu văn an")</f>
        <v>03 chu văn an</v>
      </c>
      <c r="D7119" s="119" t="str">
        <f>IFERROR(__xludf.DUMMYFUNCTION("""COMPUTED_VALUE"""),"Mèo")</f>
        <v>Mèo</v>
      </c>
      <c r="E7119" s="119" t="str">
        <f>IFERROR(__xludf.DUMMYFUNCTION("""COMPUTED_VALUE"""),"miu")</f>
        <v>miu</v>
      </c>
    </row>
    <row r="7120" ht="15.75" customHeight="1">
      <c r="A7120" s="122" t="str">
        <f>IFERROR(__xludf.DUMMYFUNCTION("""COMPUTED_VALUE"""),"0934 781 286")</f>
        <v>0934 781 286</v>
      </c>
      <c r="B7120" s="119" t="str">
        <f>IFERROR(__xludf.DUMMYFUNCTION("""COMPUTED_VALUE"""),"Vân Anh")</f>
        <v>Vân Anh</v>
      </c>
      <c r="C7120" s="119" t="str">
        <f>IFERROR(__xludf.DUMMYFUNCTION("""COMPUTED_VALUE"""),"phú vang")</f>
        <v>phú vang</v>
      </c>
      <c r="D7120" s="119" t="str">
        <f>IFERROR(__xludf.DUMMYFUNCTION("""COMPUTED_VALUE"""),"Chó")</f>
        <v>Chó</v>
      </c>
      <c r="E7120" s="119"/>
    </row>
    <row r="7121" ht="15.75" customHeight="1">
      <c r="A7121" s="122" t="str">
        <f>IFERROR(__xludf.DUMMYFUNCTION("""COMPUTED_VALUE"""),"0346 561 495")</f>
        <v>0346 561 495</v>
      </c>
      <c r="B7121" s="119" t="str">
        <f>IFERROR(__xludf.DUMMYFUNCTION("""COMPUTED_VALUE"""),"chị Tâm")</f>
        <v>chị Tâm</v>
      </c>
      <c r="C7121" s="119" t="str">
        <f>IFERROR(__xludf.DUMMYFUNCTION("""COMPUTED_VALUE"""),"phú vang")</f>
        <v>phú vang</v>
      </c>
      <c r="D7121" s="119" t="str">
        <f>IFERROR(__xludf.DUMMYFUNCTION("""COMPUTED_VALUE"""),"Chó")</f>
        <v>Chó</v>
      </c>
      <c r="E7121" s="119" t="str">
        <f>IFERROR(__xludf.DUMMYFUNCTION("""COMPUTED_VALUE"""),"nơ")</f>
        <v>nơ</v>
      </c>
    </row>
    <row r="7122" ht="15.75" customHeight="1">
      <c r="A7122" s="122" t="str">
        <f>IFERROR(__xludf.DUMMYFUNCTION("""COMPUTED_VALUE"""),"0393 651 545")</f>
        <v>0393 651 545</v>
      </c>
      <c r="B7122" s="119" t="str">
        <f>IFERROR(__xludf.DUMMYFUNCTION("""COMPUTED_VALUE"""),"chị Tâm")</f>
        <v>chị Tâm</v>
      </c>
      <c r="C7122" s="119" t="str">
        <f>IFERROR(__xludf.DUMMYFUNCTION("""COMPUTED_VALUE"""),"51 bao vinh")</f>
        <v>51 bao vinh</v>
      </c>
      <c r="D7122" s="119" t="str">
        <f>IFERROR(__xludf.DUMMYFUNCTION("""COMPUTED_VALUE"""),"Mèo")</f>
        <v>Mèo</v>
      </c>
      <c r="E7122" s="119" t="str">
        <f>IFERROR(__xludf.DUMMYFUNCTION("""COMPUTED_VALUE"""),"miu")</f>
        <v>miu</v>
      </c>
    </row>
    <row r="7123" ht="15.75" customHeight="1">
      <c r="A7123" s="122" t="str">
        <f>IFERROR(__xludf.DUMMYFUNCTION("""COMPUTED_VALUE"""),"0388 369 331")</f>
        <v>0388 369 331</v>
      </c>
      <c r="B7123" s="119" t="str">
        <f>IFERROR(__xludf.DUMMYFUNCTION("""COMPUTED_VALUE"""),"Thùy Linh")</f>
        <v>Thùy Linh</v>
      </c>
      <c r="C7123" s="119" t="str">
        <f>IFERROR(__xludf.DUMMYFUNCTION("""COMPUTED_VALUE"""),"90/82 quảng tế")</f>
        <v>90/82 quảng tế</v>
      </c>
      <c r="D7123" s="119" t="str">
        <f>IFERROR(__xludf.DUMMYFUNCTION("""COMPUTED_VALUE"""),"Mèo")</f>
        <v>Mèo</v>
      </c>
      <c r="E7123" s="119" t="str">
        <f>IFERROR(__xludf.DUMMYFUNCTION("""COMPUTED_VALUE"""),"lạc")</f>
        <v>lạc</v>
      </c>
    </row>
    <row r="7124" ht="15.75" customHeight="1">
      <c r="A7124" s="122" t="str">
        <f>IFERROR(__xludf.DUMMYFUNCTION("""COMPUTED_VALUE"""),"0794 555 301")</f>
        <v>0794 555 301</v>
      </c>
      <c r="B7124" s="119" t="str">
        <f>IFERROR(__xludf.DUMMYFUNCTION("""COMPUTED_VALUE"""),"chị Hiền")</f>
        <v>chị Hiền</v>
      </c>
      <c r="C7124" s="119" t="str">
        <f>IFERROR(__xludf.DUMMYFUNCTION("""COMPUTED_VALUE"""),"phú vang")</f>
        <v>phú vang</v>
      </c>
      <c r="D7124" s="119" t="str">
        <f>IFERROR(__xludf.DUMMYFUNCTION("""COMPUTED_VALUE"""),"Mèo")</f>
        <v>Mèo</v>
      </c>
      <c r="E7124" s="119" t="str">
        <f>IFERROR(__xludf.DUMMYFUNCTION("""COMPUTED_VALUE"""),"thỏ")</f>
        <v>thỏ</v>
      </c>
    </row>
    <row r="7125" ht="15.75" customHeight="1">
      <c r="A7125" s="122" t="str">
        <f>IFERROR(__xludf.DUMMYFUNCTION("""COMPUTED_VALUE"""),"0384 971 260")</f>
        <v>0384 971 260</v>
      </c>
      <c r="B7125" s="119" t="str">
        <f>IFERROR(__xludf.DUMMYFUNCTION("""COMPUTED_VALUE"""),"dì Huệ")</f>
        <v>dì Huệ</v>
      </c>
      <c r="C7125" s="119" t="str">
        <f>IFERROR(__xludf.DUMMYFUNCTION("""COMPUTED_VALUE"""),"phú vang")</f>
        <v>phú vang</v>
      </c>
      <c r="D7125" s="119" t="str">
        <f>IFERROR(__xludf.DUMMYFUNCTION("""COMPUTED_VALUE"""),"Chó")</f>
        <v>Chó</v>
      </c>
      <c r="E7125" s="119" t="str">
        <f>IFERROR(__xludf.DUMMYFUNCTION("""COMPUTED_VALUE"""),"sữa")</f>
        <v>sữa</v>
      </c>
    </row>
    <row r="7126" ht="15.75" customHeight="1">
      <c r="A7126" s="122" t="str">
        <f>IFERROR(__xludf.DUMMYFUNCTION("""COMPUTED_VALUE"""),"0946 151 265")</f>
        <v>0946 151 265</v>
      </c>
      <c r="B7126" s="119" t="str">
        <f>IFERROR(__xludf.DUMMYFUNCTION("""COMPUTED_VALUE"""),"Hưng")</f>
        <v>Hưng</v>
      </c>
      <c r="C7126" s="119" t="str">
        <f>IFERROR(__xludf.DUMMYFUNCTION("""COMPUTED_VALUE"""),"9/11 trần thúc nhẫn")</f>
        <v>9/11 trần thúc nhẫn</v>
      </c>
      <c r="D7126" s="119" t="str">
        <f>IFERROR(__xludf.DUMMYFUNCTION("""COMPUTED_VALUE"""),"Chó")</f>
        <v>Chó</v>
      </c>
      <c r="E7126" s="119" t="str">
        <f>IFERROR(__xludf.DUMMYFUNCTION("""COMPUTED_VALUE"""),"na")</f>
        <v>na</v>
      </c>
    </row>
    <row r="7127" ht="15.75" customHeight="1">
      <c r="A7127" s="122" t="str">
        <f>IFERROR(__xludf.DUMMYFUNCTION("""COMPUTED_VALUE"""),"0934 610 029")</f>
        <v>0934 610 029</v>
      </c>
      <c r="B7127" s="119" t="str">
        <f>IFERROR(__xludf.DUMMYFUNCTION("""COMPUTED_VALUE"""),"chị Linh")</f>
        <v>chị Linh</v>
      </c>
      <c r="C7127" s="119" t="str">
        <f>IFERROR(__xludf.DUMMYFUNCTION("""COMPUTED_VALUE"""),"14 phạm văn đồng")</f>
        <v>14 phạm văn đồng</v>
      </c>
      <c r="D7127" s="119" t="str">
        <f>IFERROR(__xludf.DUMMYFUNCTION("""COMPUTED_VALUE"""),"Chó")</f>
        <v>Chó</v>
      </c>
      <c r="E7127" s="119" t="str">
        <f>IFERROR(__xludf.DUMMYFUNCTION("""COMPUTED_VALUE"""),"su")</f>
        <v>su</v>
      </c>
    </row>
    <row r="7128" ht="15.75" customHeight="1">
      <c r="A7128" s="122" t="str">
        <f>IFERROR(__xludf.DUMMYFUNCTION("""COMPUTED_VALUE"""),"0948 550 033")</f>
        <v>0948 550 033</v>
      </c>
      <c r="B7128" s="119" t="str">
        <f>IFERROR(__xludf.DUMMYFUNCTION("""COMPUTED_VALUE"""),"anh Minh")</f>
        <v>anh Minh</v>
      </c>
      <c r="C7128" s="119" t="str">
        <f>IFERROR(__xludf.DUMMYFUNCTION("""COMPUTED_VALUE"""),"32 trần quang khải")</f>
        <v>32 trần quang khải</v>
      </c>
      <c r="D7128" s="119" t="str">
        <f>IFERROR(__xludf.DUMMYFUNCTION("""COMPUTED_VALUE"""),"Mèo")</f>
        <v>Mèo</v>
      </c>
      <c r="E7128" s="119" t="str">
        <f>IFERROR(__xludf.DUMMYFUNCTION("""COMPUTED_VALUE"""),"ko tên")</f>
        <v>ko tên</v>
      </c>
    </row>
    <row r="7129" ht="15.75" customHeight="1">
      <c r="A7129" s="122" t="str">
        <f>IFERROR(__xludf.DUMMYFUNCTION("""COMPUTED_VALUE"""),"0919 091 017")</f>
        <v>0919 091 017</v>
      </c>
      <c r="B7129" s="119" t="str">
        <f>IFERROR(__xludf.DUMMYFUNCTION("""COMPUTED_VALUE"""),"a Ánh")</f>
        <v>a Ánh</v>
      </c>
      <c r="C7129" s="119" t="str">
        <f>IFERROR(__xludf.DUMMYFUNCTION("""COMPUTED_VALUE"""),"hương trà")</f>
        <v>hương trà</v>
      </c>
      <c r="D7129" s="119" t="str">
        <f>IFERROR(__xludf.DUMMYFUNCTION("""COMPUTED_VALUE"""),"Chó")</f>
        <v>Chó</v>
      </c>
      <c r="E7129" s="119" t="str">
        <f>IFERROR(__xludf.DUMMYFUNCTION("""COMPUTED_VALUE"""),"vện")</f>
        <v>vện</v>
      </c>
    </row>
    <row r="7130" ht="15.75" customHeight="1">
      <c r="A7130" s="122" t="str">
        <f>IFERROR(__xludf.DUMMYFUNCTION("""COMPUTED_VALUE"""),"0933 376 971")</f>
        <v>0933 376 971</v>
      </c>
      <c r="B7130" s="119" t="str">
        <f>IFERROR(__xludf.DUMMYFUNCTION("""COMPUTED_VALUE"""),"chị Ty")</f>
        <v>chị Ty</v>
      </c>
      <c r="C7130" s="119" t="str">
        <f>IFERROR(__xludf.DUMMYFUNCTION("""COMPUTED_VALUE"""),"9/3/82 nguyễn sinh cung")</f>
        <v>9/3/82 nguyễn sinh cung</v>
      </c>
      <c r="D7130" s="119" t="str">
        <f>IFERROR(__xludf.DUMMYFUNCTION("""COMPUTED_VALUE"""),"Chó")</f>
        <v>Chó</v>
      </c>
      <c r="E7130" s="119" t="str">
        <f>IFERROR(__xludf.DUMMYFUNCTION("""COMPUTED_VALUE"""),"vàng")</f>
        <v>vàng</v>
      </c>
    </row>
    <row r="7131" ht="15.75" customHeight="1">
      <c r="A7131" s="122" t="str">
        <f>IFERROR(__xludf.DUMMYFUNCTION("""COMPUTED_VALUE"""),"0899 229 647")</f>
        <v>0899 229 647</v>
      </c>
      <c r="B7131" s="119" t="str">
        <f>IFERROR(__xludf.DUMMYFUNCTION("""COMPUTED_VALUE"""),"chị Ý")</f>
        <v>chị Ý</v>
      </c>
      <c r="C7131" s="119" t="str">
        <f>IFERROR(__xludf.DUMMYFUNCTION("""COMPUTED_VALUE"""),"hương trà")</f>
        <v>hương trà</v>
      </c>
      <c r="D7131" s="119" t="str">
        <f>IFERROR(__xludf.DUMMYFUNCTION("""COMPUTED_VALUE"""),"Chó")</f>
        <v>Chó</v>
      </c>
      <c r="E7131" s="119" t="str">
        <f>IFERROR(__xludf.DUMMYFUNCTION("""COMPUTED_VALUE"""),"su")</f>
        <v>su</v>
      </c>
    </row>
    <row r="7132" ht="15.75" customHeight="1">
      <c r="A7132" s="122" t="str">
        <f>IFERROR(__xludf.DUMMYFUNCTION("""COMPUTED_VALUE"""),"0963 753 152")</f>
        <v>0963 753 152</v>
      </c>
      <c r="B7132" s="119" t="str">
        <f>IFERROR(__xludf.DUMMYFUNCTION("""COMPUTED_VALUE"""),"chị Thư")</f>
        <v>chị Thư</v>
      </c>
      <c r="C7132" s="119" t="str">
        <f>IFERROR(__xludf.DUMMYFUNCTION("""COMPUTED_VALUE"""),"157 ngự bình")</f>
        <v>157 ngự bình</v>
      </c>
      <c r="D7132" s="119" t="str">
        <f>IFERROR(__xludf.DUMMYFUNCTION("""COMPUTED_VALUE"""),"Mèo")</f>
        <v>Mèo</v>
      </c>
      <c r="E7132" s="119" t="str">
        <f>IFERROR(__xludf.DUMMYFUNCTION("""COMPUTED_VALUE"""),"mèo")</f>
        <v>mèo</v>
      </c>
    </row>
    <row r="7133" ht="15.75" customHeight="1">
      <c r="A7133" s="122" t="str">
        <f>IFERROR(__xludf.DUMMYFUNCTION("""COMPUTED_VALUE"""),"0888 272 711")</f>
        <v>0888 272 711</v>
      </c>
      <c r="B7133" s="119" t="str">
        <f>IFERROR(__xludf.DUMMYFUNCTION("""COMPUTED_VALUE"""),"Hoàng Anh")</f>
        <v>Hoàng Anh</v>
      </c>
      <c r="C7133" s="119" t="str">
        <f>IFERROR(__xludf.DUMMYFUNCTION("""COMPUTED_VALUE"""),"3/32 hồ văn đỗ")</f>
        <v>3/32 hồ văn đỗ</v>
      </c>
      <c r="D7133" s="119" t="str">
        <f>IFERROR(__xludf.DUMMYFUNCTION("""COMPUTED_VALUE"""),"Chó")</f>
        <v>Chó</v>
      </c>
      <c r="E7133" s="119" t="str">
        <f>IFERROR(__xludf.DUMMYFUNCTION("""COMPUTED_VALUE"""),"red")</f>
        <v>red</v>
      </c>
    </row>
    <row r="7134" ht="15.75" customHeight="1">
      <c r="A7134" s="122" t="str">
        <f>IFERROR(__xludf.DUMMYFUNCTION("""COMPUTED_VALUE"""),"0392 519 144")</f>
        <v>0392 519 144</v>
      </c>
      <c r="B7134" s="119" t="str">
        <f>IFERROR(__xludf.DUMMYFUNCTION("""COMPUTED_VALUE"""),"chị Hằng")</f>
        <v>chị Hằng</v>
      </c>
      <c r="C7134" s="119" t="str">
        <f>IFERROR(__xludf.DUMMYFUNCTION("""COMPUTED_VALUE"""),"15/11 lý thường kiệt")</f>
        <v>15/11 lý thường kiệt</v>
      </c>
      <c r="D7134" s="119" t="str">
        <f>IFERROR(__xludf.DUMMYFUNCTION("""COMPUTED_VALUE"""),"Chó")</f>
        <v>Chó</v>
      </c>
      <c r="E7134" s="119"/>
    </row>
    <row r="7135" ht="15.75" customHeight="1">
      <c r="A7135" s="122" t="str">
        <f>IFERROR(__xludf.DUMMYFUNCTION("""COMPUTED_VALUE"""),"0762 567 875")</f>
        <v>0762 567 875</v>
      </c>
      <c r="B7135" s="119" t="str">
        <f>IFERROR(__xludf.DUMMYFUNCTION("""COMPUTED_VALUE"""),"a Quốc")</f>
        <v>a Quốc</v>
      </c>
      <c r="C7135" s="119" t="str">
        <f>IFERROR(__xludf.DUMMYFUNCTION("""COMPUTED_VALUE"""),"Tứ Hạ")</f>
        <v>Tứ Hạ</v>
      </c>
      <c r="D7135" s="119" t="str">
        <f>IFERROR(__xludf.DUMMYFUNCTION("""COMPUTED_VALUE"""),"Chó")</f>
        <v>Chó</v>
      </c>
      <c r="E7135" s="119" t="str">
        <f>IFERROR(__xludf.DUMMYFUNCTION("""COMPUTED_VALUE"""),"soda")</f>
        <v>soda</v>
      </c>
    </row>
    <row r="7136" ht="15.75" customHeight="1">
      <c r="A7136" s="122" t="str">
        <f>IFERROR(__xludf.DUMMYFUNCTION("""COMPUTED_VALUE"""),"0982 010 405")</f>
        <v>0982 010 405</v>
      </c>
      <c r="B7136" s="119" t="str">
        <f>IFERROR(__xludf.DUMMYFUNCTION("""COMPUTED_VALUE"""),"chị Anh")</f>
        <v>chị Anh</v>
      </c>
      <c r="C7136" s="119" t="str">
        <f>IFERROR(__xludf.DUMMYFUNCTION("""COMPUTED_VALUE"""),"40/35 Nguyễn Thái Học")</f>
        <v>40/35 Nguyễn Thái Học</v>
      </c>
      <c r="D7136" s="119" t="str">
        <f>IFERROR(__xludf.DUMMYFUNCTION("""COMPUTED_VALUE"""),"Chó")</f>
        <v>Chó</v>
      </c>
      <c r="E7136" s="119" t="str">
        <f>IFERROR(__xludf.DUMMYFUNCTION("""COMPUTED_VALUE"""),"cà phê")</f>
        <v>cà phê</v>
      </c>
    </row>
    <row r="7137" ht="15.75" customHeight="1">
      <c r="A7137" s="122" t="str">
        <f>IFERROR(__xludf.DUMMYFUNCTION("""COMPUTED_VALUE"""),"0386 659 775")</f>
        <v>0386 659 775</v>
      </c>
      <c r="B7137" s="119" t="str">
        <f>IFERROR(__xludf.DUMMYFUNCTION("""COMPUTED_VALUE"""),"anh Phương")</f>
        <v>anh Phương</v>
      </c>
      <c r="C7137" s="119" t="str">
        <f>IFERROR(__xludf.DUMMYFUNCTION("""COMPUTED_VALUE"""),"17/154 Bà Triệu")</f>
        <v>17/154 Bà Triệu</v>
      </c>
      <c r="D7137" s="119" t="str">
        <f>IFERROR(__xludf.DUMMYFUNCTION("""COMPUTED_VALUE"""),"Mèo")</f>
        <v>Mèo</v>
      </c>
      <c r="E7137" s="119" t="str">
        <f>IFERROR(__xludf.DUMMYFUNCTION("""COMPUTED_VALUE"""),"tom")</f>
        <v>tom</v>
      </c>
    </row>
    <row r="7138" ht="15.75" customHeight="1">
      <c r="A7138" s="122" t="str">
        <f>IFERROR(__xludf.DUMMYFUNCTION("""COMPUTED_VALUE"""),"0795 856 196")</f>
        <v>0795 856 196</v>
      </c>
      <c r="B7138" s="119" t="str">
        <f>IFERROR(__xludf.DUMMYFUNCTION("""COMPUTED_VALUE"""),"anh Thuần")</f>
        <v>anh Thuần</v>
      </c>
      <c r="C7138" s="119" t="str">
        <f>IFERROR(__xludf.DUMMYFUNCTION("""COMPUTED_VALUE"""),"8/12/32 Hồ Văn Đỗ")</f>
        <v>8/12/32 Hồ Văn Đỗ</v>
      </c>
      <c r="D7138" s="119" t="str">
        <f>IFERROR(__xludf.DUMMYFUNCTION("""COMPUTED_VALUE"""),"Mèo")</f>
        <v>Mèo</v>
      </c>
      <c r="E7138" s="119" t="str">
        <f>IFERROR(__xludf.DUMMYFUNCTION("""COMPUTED_VALUE"""),"cho")</f>
        <v>cho</v>
      </c>
    </row>
    <row r="7139" ht="15.75" customHeight="1">
      <c r="A7139" s="122" t="str">
        <f>IFERROR(__xludf.DUMMYFUNCTION("""COMPUTED_VALUE"""),"0777 705 630")</f>
        <v>0777 705 630</v>
      </c>
      <c r="B7139" s="119" t="str">
        <f>IFERROR(__xludf.DUMMYFUNCTION("""COMPUTED_VALUE"""),"chị Ngân")</f>
        <v>chị Ngân</v>
      </c>
      <c r="C7139" s="119" t="str">
        <f>IFERROR(__xludf.DUMMYFUNCTION("""COMPUTED_VALUE"""),"39/16 Lương Y")</f>
        <v>39/16 Lương Y</v>
      </c>
      <c r="D7139" s="119" t="str">
        <f>IFERROR(__xludf.DUMMYFUNCTION("""COMPUTED_VALUE"""),"Chó")</f>
        <v>Chó</v>
      </c>
      <c r="E7139" s="119" t="str">
        <f>IFERROR(__xludf.DUMMYFUNCTION("""COMPUTED_VALUE"""),"pha")</f>
        <v>pha</v>
      </c>
    </row>
    <row r="7140" ht="15.75" customHeight="1">
      <c r="A7140" s="122" t="str">
        <f>IFERROR(__xludf.DUMMYFUNCTION("""COMPUTED_VALUE"""),"0942 135 954")</f>
        <v>0942 135 954</v>
      </c>
      <c r="B7140" s="119" t="str">
        <f>IFERROR(__xludf.DUMMYFUNCTION("""COMPUTED_VALUE"""),"chị Linh")</f>
        <v>chị Linh</v>
      </c>
      <c r="C7140" s="119" t="str">
        <f>IFERROR(__xludf.DUMMYFUNCTION("""COMPUTED_VALUE"""),"6/2/14 Nguyễn Công Trứ")</f>
        <v>6/2/14 Nguyễn Công Trứ</v>
      </c>
      <c r="D7140" s="119" t="str">
        <f>IFERROR(__xludf.DUMMYFUNCTION("""COMPUTED_VALUE"""),"Mèo")</f>
        <v>Mèo</v>
      </c>
      <c r="E7140" s="119" t="str">
        <f>IFERROR(__xludf.DUMMYFUNCTION("""COMPUTED_VALUE"""),"Bắp")</f>
        <v>Bắp</v>
      </c>
    </row>
    <row r="7141" ht="15.75" customHeight="1">
      <c r="A7141" s="122" t="str">
        <f>IFERROR(__xludf.DUMMYFUNCTION("""COMPUTED_VALUE"""),"0329 163 251")</f>
        <v>0329 163 251</v>
      </c>
      <c r="B7141" s="119" t="str">
        <f>IFERROR(__xludf.DUMMYFUNCTION("""COMPUTED_VALUE"""),"anh Đạt")</f>
        <v>anh Đạt</v>
      </c>
      <c r="C7141" s="119" t="str">
        <f>IFERROR(__xludf.DUMMYFUNCTION("""COMPUTED_VALUE"""),"13/36 Đống Đa")</f>
        <v>13/36 Đống Đa</v>
      </c>
      <c r="D7141" s="119" t="str">
        <f>IFERROR(__xludf.DUMMYFUNCTION("""COMPUTED_VALUE"""),"Mèo")</f>
        <v>Mèo</v>
      </c>
      <c r="E7141" s="119" t="str">
        <f>IFERROR(__xludf.DUMMYFUNCTION("""COMPUTED_VALUE"""),"onai")</f>
        <v>onai</v>
      </c>
    </row>
    <row r="7142" ht="15.75" customHeight="1">
      <c r="A7142" s="122" t="str">
        <f>IFERROR(__xludf.DUMMYFUNCTION("""COMPUTED_VALUE"""),"0855 586 517")</f>
        <v>0855 586 517</v>
      </c>
      <c r="B7142" s="119" t="str">
        <f>IFERROR(__xludf.DUMMYFUNCTION("""COMPUTED_VALUE"""),"anh Đức Lợi")</f>
        <v>anh Đức Lợi</v>
      </c>
      <c r="C7142" s="119" t="str">
        <f>IFERROR(__xludf.DUMMYFUNCTION("""COMPUTED_VALUE"""),"8/106 Hải Triều")</f>
        <v>8/106 Hải Triều</v>
      </c>
      <c r="D7142" s="119" t="str">
        <f>IFERROR(__xludf.DUMMYFUNCTION("""COMPUTED_VALUE"""),"Mèo")</f>
        <v>Mèo</v>
      </c>
      <c r="E7142" s="119" t="str">
        <f>IFERROR(__xludf.DUMMYFUNCTION("""COMPUTED_VALUE"""),"phong")</f>
        <v>phong</v>
      </c>
    </row>
    <row r="7143" ht="15.75" customHeight="1">
      <c r="A7143" s="122" t="str">
        <f>IFERROR(__xludf.DUMMYFUNCTION("""COMPUTED_VALUE"""),"0918 901 121")</f>
        <v>0918 901 121</v>
      </c>
      <c r="B7143" s="119" t="str">
        <f>IFERROR(__xludf.DUMMYFUNCTION("""COMPUTED_VALUE"""),"chú Thái")</f>
        <v>chú Thái</v>
      </c>
      <c r="C7143" s="119" t="str">
        <f>IFERROR(__xludf.DUMMYFUNCTION("""COMPUTED_VALUE"""),"16/15 Nguyễn Du")</f>
        <v>16/15 Nguyễn Du</v>
      </c>
      <c r="D7143" s="119" t="str">
        <f>IFERROR(__xludf.DUMMYFUNCTION("""COMPUTED_VALUE"""),"Chó")</f>
        <v>Chó</v>
      </c>
      <c r="E7143" s="119"/>
    </row>
    <row r="7144" ht="15.75" customHeight="1">
      <c r="A7144" s="122" t="str">
        <f>IFERROR(__xludf.DUMMYFUNCTION("""COMPUTED_VALUE"""),"0934 477 741")</f>
        <v>0934 477 741</v>
      </c>
      <c r="B7144" s="119" t="str">
        <f>IFERROR(__xludf.DUMMYFUNCTION("""COMPUTED_VALUE"""),"chị Phước")</f>
        <v>chị Phước</v>
      </c>
      <c r="C7144" s="119" t="str">
        <f>IFERROR(__xludf.DUMMYFUNCTION("""COMPUTED_VALUE"""),"109 Duy Tân")</f>
        <v>109 Duy Tân</v>
      </c>
      <c r="D7144" s="119" t="str">
        <f>IFERROR(__xludf.DUMMYFUNCTION("""COMPUTED_VALUE"""),"Chó")</f>
        <v>Chó</v>
      </c>
      <c r="E7144" s="119" t="str">
        <f>IFERROR(__xludf.DUMMYFUNCTION("""COMPUTED_VALUE"""),"Milo")</f>
        <v>Milo</v>
      </c>
    </row>
    <row r="7145" ht="15.75" customHeight="1">
      <c r="A7145" s="122" t="str">
        <f>IFERROR(__xludf.DUMMYFUNCTION("""COMPUTED_VALUE"""),"0387 921 253")</f>
        <v>0387 921 253</v>
      </c>
      <c r="B7145" s="119" t="str">
        <f>IFERROR(__xludf.DUMMYFUNCTION("""COMPUTED_VALUE"""),"chị Hồng")</f>
        <v>chị Hồng</v>
      </c>
      <c r="C7145" s="119" t="str">
        <f>IFERROR(__xludf.DUMMYFUNCTION("""COMPUTED_VALUE"""),"vinh hưng Phú Lộc")</f>
        <v>vinh hưng Phú Lộc</v>
      </c>
      <c r="D7145" s="119" t="str">
        <f>IFERROR(__xludf.DUMMYFUNCTION("""COMPUTED_VALUE"""),"Chó")</f>
        <v>Chó</v>
      </c>
      <c r="E7145" s="119"/>
    </row>
    <row r="7146" ht="15.75" customHeight="1">
      <c r="A7146" s="122" t="str">
        <f>IFERROR(__xludf.DUMMYFUNCTION("""COMPUTED_VALUE"""),"0915 722 575")</f>
        <v>0915 722 575</v>
      </c>
      <c r="B7146" s="119" t="str">
        <f>IFERROR(__xludf.DUMMYFUNCTION("""COMPUTED_VALUE"""),"Thảo Trinh")</f>
        <v>Thảo Trinh</v>
      </c>
      <c r="C7146" s="119" t="str">
        <f>IFERROR(__xludf.DUMMYFUNCTION("""COMPUTED_VALUE"""),"32/65 lê ngô cát")</f>
        <v>32/65 lê ngô cát</v>
      </c>
      <c r="D7146" s="119" t="str">
        <f>IFERROR(__xludf.DUMMYFUNCTION("""COMPUTED_VALUE"""),"Chó")</f>
        <v>Chó</v>
      </c>
      <c r="E7146" s="119" t="str">
        <f>IFERROR(__xludf.DUMMYFUNCTION("""COMPUTED_VALUE"""),"moon")</f>
        <v>moon</v>
      </c>
    </row>
    <row r="7147" ht="15.75" customHeight="1">
      <c r="A7147" s="122" t="str">
        <f>IFERROR(__xludf.DUMMYFUNCTION("""COMPUTED_VALUE"""),"0774 593 545")</f>
        <v>0774 593 545</v>
      </c>
      <c r="B7147" s="119" t="str">
        <f>IFERROR(__xludf.DUMMYFUNCTION("""COMPUTED_VALUE"""),"a An")</f>
        <v>a An</v>
      </c>
      <c r="C7147" s="119" t="str">
        <f>IFERROR(__xludf.DUMMYFUNCTION("""COMPUTED_VALUE"""),"15 nguyễn thái học")</f>
        <v>15 nguyễn thái học</v>
      </c>
      <c r="D7147" s="119" t="str">
        <f>IFERROR(__xludf.DUMMYFUNCTION("""COMPUTED_VALUE"""),"Mèo")</f>
        <v>Mèo</v>
      </c>
      <c r="E7147" s="119" t="str">
        <f>IFERROR(__xludf.DUMMYFUNCTION("""COMPUTED_VALUE"""),"boo")</f>
        <v>boo</v>
      </c>
    </row>
    <row r="7148" ht="15.75" customHeight="1">
      <c r="A7148" s="122" t="str">
        <f>IFERROR(__xludf.DUMMYFUNCTION("""COMPUTED_VALUE"""),"0901 181 468")</f>
        <v>0901 181 468</v>
      </c>
      <c r="B7148" s="119" t="str">
        <f>IFERROR(__xludf.DUMMYFUNCTION("""COMPUTED_VALUE"""),"anh Hùng")</f>
        <v>anh Hùng</v>
      </c>
      <c r="C7148" s="119" t="str">
        <f>IFERROR(__xludf.DUMMYFUNCTION("""COMPUTED_VALUE"""),"1/6 duy tân")</f>
        <v>1/6 duy tân</v>
      </c>
      <c r="D7148" s="119" t="str">
        <f>IFERROR(__xludf.DUMMYFUNCTION("""COMPUTED_VALUE"""),"Chó")</f>
        <v>Chó</v>
      </c>
      <c r="E7148" s="119" t="str">
        <f>IFERROR(__xludf.DUMMYFUNCTION("""COMPUTED_VALUE"""),"vàng")</f>
        <v>vàng</v>
      </c>
    </row>
    <row r="7149" ht="15.75" customHeight="1">
      <c r="A7149" s="122" t="str">
        <f>IFERROR(__xludf.DUMMYFUNCTION("""COMPUTED_VALUE"""),"0763 722 711")</f>
        <v>0763 722 711</v>
      </c>
      <c r="B7149" s="119" t="str">
        <f>IFERROR(__xludf.DUMMYFUNCTION("""COMPUTED_VALUE"""),"Thu Hạ")</f>
        <v>Thu Hạ</v>
      </c>
      <c r="C7149" s="119" t="str">
        <f>IFERROR(__xludf.DUMMYFUNCTION("""COMPUTED_VALUE"""),"k69 thai dương")</f>
        <v>k69 thai dương</v>
      </c>
      <c r="D7149" s="119" t="str">
        <f>IFERROR(__xludf.DUMMYFUNCTION("""COMPUTED_VALUE"""),"Chó")</f>
        <v>Chó</v>
      </c>
      <c r="E7149" s="119" t="str">
        <f>IFERROR(__xludf.DUMMYFUNCTION("""COMPUTED_VALUE"""),"lu")</f>
        <v>lu</v>
      </c>
    </row>
    <row r="7150" ht="15.75" customHeight="1">
      <c r="A7150" s="122" t="str">
        <f>IFERROR(__xludf.DUMMYFUNCTION("""COMPUTED_VALUE"""),"0935 301 001")</f>
        <v>0935 301 001</v>
      </c>
      <c r="B7150" s="119" t="str">
        <f>IFERROR(__xludf.DUMMYFUNCTION("""COMPUTED_VALUE"""),"anh Quý")</f>
        <v>anh Quý</v>
      </c>
      <c r="C7150" s="119" t="str">
        <f>IFERROR(__xludf.DUMMYFUNCTION("""COMPUTED_VALUE"""),"8/33 thanh tịnh")</f>
        <v>8/33 thanh tịnh</v>
      </c>
      <c r="D7150" s="119" t="str">
        <f>IFERROR(__xludf.DUMMYFUNCTION("""COMPUTED_VALUE"""),"Chó")</f>
        <v>Chó</v>
      </c>
      <c r="E7150" s="119" t="str">
        <f>IFERROR(__xludf.DUMMYFUNCTION("""COMPUTED_VALUE"""),"boom")</f>
        <v>boom</v>
      </c>
    </row>
    <row r="7151" ht="15.75" customHeight="1">
      <c r="A7151" s="122" t="str">
        <f>IFERROR(__xludf.DUMMYFUNCTION("""COMPUTED_VALUE"""),"0903 585 628")</f>
        <v>0903 585 628</v>
      </c>
      <c r="B7151" s="119" t="str">
        <f>IFERROR(__xludf.DUMMYFUNCTION("""COMPUTED_VALUE"""),"chú Đức")</f>
        <v>chú Đức</v>
      </c>
      <c r="C7151" s="119" t="str">
        <f>IFERROR(__xludf.DUMMYFUNCTION("""COMPUTED_VALUE"""),"135 phan đình phùng")</f>
        <v>135 phan đình phùng</v>
      </c>
      <c r="D7151" s="119" t="str">
        <f>IFERROR(__xludf.DUMMYFUNCTION("""COMPUTED_VALUE"""),"Chó")</f>
        <v>Chó</v>
      </c>
      <c r="E7151" s="119" t="str">
        <f>IFERROR(__xludf.DUMMYFUNCTION("""COMPUTED_VALUE"""),"mít")</f>
        <v>mít</v>
      </c>
    </row>
    <row r="7152" ht="15.75" customHeight="1">
      <c r="A7152" s="122" t="str">
        <f>IFERROR(__xludf.DUMMYFUNCTION("""COMPUTED_VALUE"""),"0796 839 584")</f>
        <v>0796 839 584</v>
      </c>
      <c r="B7152" s="119" t="str">
        <f>IFERROR(__xludf.DUMMYFUNCTION("""COMPUTED_VALUE"""),"chị Nhi")</f>
        <v>chị Nhi</v>
      </c>
      <c r="C7152" s="119" t="str">
        <f>IFERROR(__xludf.DUMMYFUNCTION("""COMPUTED_VALUE"""),"k6 tam thai")</f>
        <v>k6 tam thai</v>
      </c>
      <c r="D7152" s="119" t="str">
        <f>IFERROR(__xludf.DUMMYFUNCTION("""COMPUTED_VALUE"""),"Chó")</f>
        <v>Chó</v>
      </c>
      <c r="E7152" s="119" t="str">
        <f>IFERROR(__xludf.DUMMYFUNCTION("""COMPUTED_VALUE"""),"milu")</f>
        <v>milu</v>
      </c>
    </row>
    <row r="7153" ht="15.75" customHeight="1">
      <c r="A7153" s="122" t="str">
        <f>IFERROR(__xludf.DUMMYFUNCTION("""COMPUTED_VALUE"""),"0366 818 149")</f>
        <v>0366 818 149</v>
      </c>
      <c r="B7153" s="119" t="str">
        <f>IFERROR(__xludf.DUMMYFUNCTION("""COMPUTED_VALUE"""),"Minh Lệ")</f>
        <v>Minh Lệ</v>
      </c>
      <c r="C7153" s="119" t="str">
        <f>IFERROR(__xludf.DUMMYFUNCTION("""COMPUTED_VALUE"""),"22/4b trần phú")</f>
        <v>22/4b trần phú</v>
      </c>
      <c r="D7153" s="119" t="str">
        <f>IFERROR(__xludf.DUMMYFUNCTION("""COMPUTED_VALUE"""),"Mèo")</f>
        <v>Mèo</v>
      </c>
      <c r="E7153" s="119" t="str">
        <f>IFERROR(__xludf.DUMMYFUNCTION("""COMPUTED_VALUE"""),"bảo bối")</f>
        <v>bảo bối</v>
      </c>
    </row>
    <row r="7154" ht="15.75" customHeight="1">
      <c r="A7154" s="122" t="str">
        <f>IFERROR(__xludf.DUMMYFUNCTION("""COMPUTED_VALUE"""),"0344 595 447")</f>
        <v>0344 595 447</v>
      </c>
      <c r="B7154" s="119" t="str">
        <f>IFERROR(__xludf.DUMMYFUNCTION("""COMPUTED_VALUE"""),"em Linh")</f>
        <v>em Linh</v>
      </c>
      <c r="C7154" s="119" t="str">
        <f>IFERROR(__xludf.DUMMYFUNCTION("""COMPUTED_VALUE"""),"148 trương gia mô")</f>
        <v>148 trương gia mô</v>
      </c>
      <c r="D7154" s="119" t="str">
        <f>IFERROR(__xludf.DUMMYFUNCTION("""COMPUTED_VALUE"""),"Mèo")</f>
        <v>Mèo</v>
      </c>
      <c r="E7154" s="119" t="str">
        <f>IFERROR(__xludf.DUMMYFUNCTION("""COMPUTED_VALUE"""),"rơm")</f>
        <v>rơm</v>
      </c>
    </row>
    <row r="7155" ht="15.75" customHeight="1">
      <c r="A7155" s="122" t="str">
        <f>IFERROR(__xludf.DUMMYFUNCTION("""COMPUTED_VALUE"""),"0934 923 305")</f>
        <v>0934 923 305</v>
      </c>
      <c r="B7155" s="119" t="str">
        <f>IFERROR(__xludf.DUMMYFUNCTION("""COMPUTED_VALUE"""),"dì Thạnh")</f>
        <v>dì Thạnh</v>
      </c>
      <c r="C7155" s="119" t="str">
        <f>IFERROR(__xludf.DUMMYFUNCTION("""COMPUTED_VALUE"""),"806 nguyễn tất thành")</f>
        <v>806 nguyễn tất thành</v>
      </c>
      <c r="D7155" s="119" t="str">
        <f>IFERROR(__xludf.DUMMYFUNCTION("""COMPUTED_VALUE"""),"Chó")</f>
        <v>Chó</v>
      </c>
      <c r="E7155" s="119" t="str">
        <f>IFERROR(__xludf.DUMMYFUNCTION("""COMPUTED_VALUE"""),"chu chu")</f>
        <v>chu chu</v>
      </c>
    </row>
    <row r="7156" ht="15.75" customHeight="1">
      <c r="A7156" s="122" t="str">
        <f>IFERROR(__xludf.DUMMYFUNCTION("""COMPUTED_VALUE"""),"0868 236 077")</f>
        <v>0868 236 077</v>
      </c>
      <c r="B7156" s="119" t="str">
        <f>IFERROR(__xludf.DUMMYFUNCTION("""COMPUTED_VALUE"""),"chị Vân")</f>
        <v>chị Vân</v>
      </c>
      <c r="C7156" s="119" t="str">
        <f>IFERROR(__xludf.DUMMYFUNCTION("""COMPUTED_VALUE"""),"6/28 đặng huy trứ")</f>
        <v>6/28 đặng huy trứ</v>
      </c>
      <c r="D7156" s="119" t="str">
        <f>IFERROR(__xludf.DUMMYFUNCTION("""COMPUTED_VALUE"""),"Chó")</f>
        <v>Chó</v>
      </c>
      <c r="E7156" s="119" t="str">
        <f>IFERROR(__xludf.DUMMYFUNCTION("""COMPUTED_VALUE"""),"windy")</f>
        <v>windy</v>
      </c>
    </row>
    <row r="7157" ht="15.75" customHeight="1">
      <c r="A7157" s="122" t="str">
        <f>IFERROR(__xludf.DUMMYFUNCTION("""COMPUTED_VALUE"""),"0917 298 040")</f>
        <v>0917 298 040</v>
      </c>
      <c r="B7157" s="119" t="str">
        <f>IFERROR(__xludf.DUMMYFUNCTION("""COMPUTED_VALUE"""),"chị Nhật Phương")</f>
        <v>chị Nhật Phương</v>
      </c>
      <c r="C7157" s="119" t="str">
        <f>IFERROR(__xludf.DUMMYFUNCTION("""COMPUTED_VALUE"""),"45/31/246 hùng vương")</f>
        <v>45/31/246 hùng vương</v>
      </c>
      <c r="D7157" s="119" t="str">
        <f>IFERROR(__xludf.DUMMYFUNCTION("""COMPUTED_VALUE"""),"Mèo")</f>
        <v>Mèo</v>
      </c>
      <c r="E7157" s="119" t="str">
        <f>IFERROR(__xludf.DUMMYFUNCTION("""COMPUTED_VALUE"""),"cơm")</f>
        <v>cơm</v>
      </c>
    </row>
    <row r="7158" ht="15.75" customHeight="1">
      <c r="A7158" s="122" t="str">
        <f>IFERROR(__xludf.DUMMYFUNCTION("""COMPUTED_VALUE"""),"0779 959 991")</f>
        <v>0779 959 991</v>
      </c>
      <c r="B7158" s="119" t="str">
        <f>IFERROR(__xludf.DUMMYFUNCTION("""COMPUTED_VALUE"""),"Thảo Nhi")</f>
        <v>Thảo Nhi</v>
      </c>
      <c r="C7158" s="119" t="str">
        <f>IFERROR(__xludf.DUMMYFUNCTION("""COMPUTED_VALUE"""),"2/79 lịch đợi")</f>
        <v>2/79 lịch đợi</v>
      </c>
      <c r="D7158" s="119" t="str">
        <f>IFERROR(__xludf.DUMMYFUNCTION("""COMPUTED_VALUE"""),"Chó")</f>
        <v>Chó</v>
      </c>
      <c r="E7158" s="119" t="str">
        <f>IFERROR(__xludf.DUMMYFUNCTION("""COMPUTED_VALUE"""),"bánh mì")</f>
        <v>bánh mì</v>
      </c>
    </row>
    <row r="7159" ht="15.75" customHeight="1">
      <c r="A7159" s="122" t="str">
        <f>IFERROR(__xludf.DUMMYFUNCTION("""COMPUTED_VALUE"""),"0905 941 710")</f>
        <v>0905 941 710</v>
      </c>
      <c r="B7159" s="119" t="str">
        <f>IFERROR(__xludf.DUMMYFUNCTION("""COMPUTED_VALUE"""),"chú Phong")</f>
        <v>chú Phong</v>
      </c>
      <c r="C7159" s="119" t="str">
        <f>IFERROR(__xludf.DUMMYFUNCTION("""COMPUTED_VALUE"""),"phú thượng")</f>
        <v>phú thượng</v>
      </c>
      <c r="D7159" s="119" t="str">
        <f>IFERROR(__xludf.DUMMYFUNCTION("""COMPUTED_VALUE"""),"Chó")</f>
        <v>Chó</v>
      </c>
      <c r="E7159" s="119" t="str">
        <f>IFERROR(__xludf.DUMMYFUNCTION("""COMPUTED_VALUE"""),"su")</f>
        <v>su</v>
      </c>
    </row>
    <row r="7160" ht="15.75" customHeight="1">
      <c r="A7160" s="122" t="str">
        <f>IFERROR(__xludf.DUMMYFUNCTION("""COMPUTED_VALUE"""),"0343 426 932")</f>
        <v>0343 426 932</v>
      </c>
      <c r="B7160" s="119" t="str">
        <f>IFERROR(__xludf.DUMMYFUNCTION("""COMPUTED_VALUE"""),"chị Thủy")</f>
        <v>chị Thủy</v>
      </c>
      <c r="C7160" s="119" t="str">
        <f>IFERROR(__xludf.DUMMYFUNCTION("""COMPUTED_VALUE"""),"2/33 đào duy anh")</f>
        <v>2/33 đào duy anh</v>
      </c>
      <c r="D7160" s="119" t="str">
        <f>IFERROR(__xludf.DUMMYFUNCTION("""COMPUTED_VALUE"""),"Chó")</f>
        <v>Chó</v>
      </c>
      <c r="E7160" s="119" t="str">
        <f>IFERROR(__xludf.DUMMYFUNCTION("""COMPUTED_VALUE"""),"min")</f>
        <v>min</v>
      </c>
    </row>
    <row r="7161" ht="15.75" customHeight="1">
      <c r="A7161" s="122" t="str">
        <f>IFERROR(__xludf.DUMMYFUNCTION("""COMPUTED_VALUE"""),"0961 879 954")</f>
        <v>0961 879 954</v>
      </c>
      <c r="B7161" s="119" t="str">
        <f>IFERROR(__xludf.DUMMYFUNCTION("""COMPUTED_VALUE"""),"chị Quý")</f>
        <v>chị Quý</v>
      </c>
      <c r="C7161" s="119" t="str">
        <f>IFERROR(__xludf.DUMMYFUNCTION("""COMPUTED_VALUE"""),"17/33 phùng hưng")</f>
        <v>17/33 phùng hưng</v>
      </c>
      <c r="D7161" s="119" t="str">
        <f>IFERROR(__xludf.DUMMYFUNCTION("""COMPUTED_VALUE"""),"Chó")</f>
        <v>Chó</v>
      </c>
      <c r="E7161" s="119" t="str">
        <f>IFERROR(__xludf.DUMMYFUNCTION("""COMPUTED_VALUE"""),"bony")</f>
        <v>bony</v>
      </c>
    </row>
    <row r="7162" ht="15.75" customHeight="1">
      <c r="A7162" s="122" t="str">
        <f>IFERROR(__xludf.DUMMYFUNCTION("""COMPUTED_VALUE"""),"0905 794 817")</f>
        <v>0905 794 817</v>
      </c>
      <c r="B7162" s="119" t="str">
        <f>IFERROR(__xludf.DUMMYFUNCTION("""COMPUTED_VALUE"""),"chú Chiến")</f>
        <v>chú Chiến</v>
      </c>
      <c r="C7162" s="119" t="str">
        <f>IFERROR(__xludf.DUMMYFUNCTION("""COMPUTED_VALUE"""),"41/2 hoàng quốc việt")</f>
        <v>41/2 hoàng quốc việt</v>
      </c>
      <c r="D7162" s="119" t="str">
        <f>IFERROR(__xludf.DUMMYFUNCTION("""COMPUTED_VALUE"""),"Chó")</f>
        <v>Chó</v>
      </c>
      <c r="E7162" s="119" t="str">
        <f>IFERROR(__xludf.DUMMYFUNCTION("""COMPUTED_VALUE"""),"lốp")</f>
        <v>lốp</v>
      </c>
    </row>
    <row r="7163" ht="15.75" customHeight="1">
      <c r="A7163" s="122" t="str">
        <f>IFERROR(__xludf.DUMMYFUNCTION("""COMPUTED_VALUE"""),"0914 051 123")</f>
        <v>0914 051 123</v>
      </c>
      <c r="B7163" s="119" t="str">
        <f>IFERROR(__xludf.DUMMYFUNCTION("""COMPUTED_VALUE"""),"chị Ly")</f>
        <v>chị Ly</v>
      </c>
      <c r="C7163" s="119" t="str">
        <f>IFERROR(__xludf.DUMMYFUNCTION("""COMPUTED_VALUE"""),"k137 hàn mặc tử")</f>
        <v>k137 hàn mặc tử</v>
      </c>
      <c r="D7163" s="119" t="str">
        <f>IFERROR(__xludf.DUMMYFUNCTION("""COMPUTED_VALUE"""),"Chó")</f>
        <v>Chó</v>
      </c>
      <c r="E7163" s="119" t="str">
        <f>IFERROR(__xludf.DUMMYFUNCTION("""COMPUTED_VALUE"""),"lu")</f>
        <v>lu</v>
      </c>
    </row>
    <row r="7164" ht="15.75" customHeight="1">
      <c r="A7164" s="122" t="str">
        <f>IFERROR(__xludf.DUMMYFUNCTION("""COMPUTED_VALUE"""),"0935 312 212")</f>
        <v>0935 312 212</v>
      </c>
      <c r="B7164" s="119" t="str">
        <f>IFERROR(__xludf.DUMMYFUNCTION("""COMPUTED_VALUE"""),"a Lâm")</f>
        <v>a Lâm</v>
      </c>
      <c r="C7164" s="119" t="str">
        <f>IFERROR(__xludf.DUMMYFUNCTION("""COMPUTED_VALUE"""),"quảng phú")</f>
        <v>quảng phú</v>
      </c>
      <c r="D7164" s="119" t="str">
        <f>IFERROR(__xludf.DUMMYFUNCTION("""COMPUTED_VALUE"""),"Chó")</f>
        <v>Chó</v>
      </c>
      <c r="E7164" s="119" t="str">
        <f>IFERROR(__xludf.DUMMYFUNCTION("""COMPUTED_VALUE"""),"mây")</f>
        <v>mây</v>
      </c>
    </row>
    <row r="7165" ht="15.75" customHeight="1">
      <c r="A7165" s="122" t="str">
        <f>IFERROR(__xludf.DUMMYFUNCTION("""COMPUTED_VALUE"""),"0799 355 345")</f>
        <v>0799 355 345</v>
      </c>
      <c r="B7165" s="119" t="str">
        <f>IFERROR(__xludf.DUMMYFUNCTION("""COMPUTED_VALUE"""),"Minh Anh")</f>
        <v>Minh Anh</v>
      </c>
      <c r="C7165" s="119" t="str">
        <f>IFERROR(__xludf.DUMMYFUNCTION("""COMPUTED_VALUE"""),"tôn đức thắng")</f>
        <v>tôn đức thắng</v>
      </c>
      <c r="D7165" s="119" t="str">
        <f>IFERROR(__xludf.DUMMYFUNCTION("""COMPUTED_VALUE"""),"Chó")</f>
        <v>Chó</v>
      </c>
      <c r="E7165" s="119" t="str">
        <f>IFERROR(__xludf.DUMMYFUNCTION("""COMPUTED_VALUE"""),"kem")</f>
        <v>kem</v>
      </c>
    </row>
    <row r="7166" ht="15.75" customHeight="1">
      <c r="A7166" s="122" t="str">
        <f>IFERROR(__xludf.DUMMYFUNCTION("""COMPUTED_VALUE"""),"0982 029 178")</f>
        <v>0982 029 178</v>
      </c>
      <c r="B7166" s="119" t="str">
        <f>IFERROR(__xludf.DUMMYFUNCTION("""COMPUTED_VALUE"""),"Anh Nghĩa")</f>
        <v>Anh Nghĩa</v>
      </c>
      <c r="C7166" s="119" t="str">
        <f>IFERROR(__xludf.DUMMYFUNCTION("""COMPUTED_VALUE"""),"Ngọc Anh - Phú Thuỷ")</f>
        <v>Ngọc Anh - Phú Thuỷ</v>
      </c>
      <c r="D7166" s="119" t="str">
        <f>IFERROR(__xludf.DUMMYFUNCTION("""COMPUTED_VALUE"""),"Chó ")</f>
        <v>Chó </v>
      </c>
      <c r="E7166" s="119" t="str">
        <f>IFERROR(__xludf.DUMMYFUNCTION("""COMPUTED_VALUE"""),"Đen")</f>
        <v>Đen</v>
      </c>
    </row>
    <row r="7167" ht="15.75" customHeight="1">
      <c r="A7167" s="122" t="str">
        <f>IFERROR(__xludf.DUMMYFUNCTION("""COMPUTED_VALUE"""),"0889 465 599")</f>
        <v>0889 465 599</v>
      </c>
      <c r="B7167" s="119" t="str">
        <f>IFERROR(__xludf.DUMMYFUNCTION("""COMPUTED_VALUE"""),"Chị Ngân")</f>
        <v>Chị Ngân</v>
      </c>
      <c r="C7167" s="119" t="str">
        <f>IFERROR(__xludf.DUMMYFUNCTION("""COMPUTED_VALUE"""),"Phú Lộc")</f>
        <v>Phú Lộc</v>
      </c>
      <c r="D7167" s="119" t="str">
        <f>IFERROR(__xludf.DUMMYFUNCTION("""COMPUTED_VALUE"""),"Chó")</f>
        <v>Chó</v>
      </c>
      <c r="E7167" s="119" t="str">
        <f>IFERROR(__xludf.DUMMYFUNCTION("""COMPUTED_VALUE"""),"Sóc")</f>
        <v>Sóc</v>
      </c>
    </row>
    <row r="7168" ht="15.75" customHeight="1">
      <c r="A7168" s="122" t="str">
        <f>IFERROR(__xludf.DUMMYFUNCTION("""COMPUTED_VALUE"""),"0911 739 075")</f>
        <v>0911 739 075</v>
      </c>
      <c r="B7168" s="119" t="str">
        <f>IFERROR(__xludf.DUMMYFUNCTION("""COMPUTED_VALUE"""),"Dì Mai")</f>
        <v>Dì Mai</v>
      </c>
      <c r="C7168" s="119" t="str">
        <f>IFERROR(__xludf.DUMMYFUNCTION("""COMPUTED_VALUE"""),"10k22 Tam Thai")</f>
        <v>10k22 Tam Thai</v>
      </c>
      <c r="D7168" s="119" t="str">
        <f>IFERROR(__xludf.DUMMYFUNCTION("""COMPUTED_VALUE"""),"Chó")</f>
        <v>Chó</v>
      </c>
      <c r="E7168" s="119" t="str">
        <f>IFERROR(__xludf.DUMMYFUNCTION("""COMPUTED_VALUE"""),"Lion")</f>
        <v>Lion</v>
      </c>
    </row>
    <row r="7169" ht="15.75" customHeight="1">
      <c r="A7169" s="122" t="str">
        <f>IFERROR(__xludf.DUMMYFUNCTION("""COMPUTED_VALUE"""),"0989 831 427")</f>
        <v>0989 831 427</v>
      </c>
      <c r="B7169" s="119" t="str">
        <f>IFERROR(__xludf.DUMMYFUNCTION("""COMPUTED_VALUE"""),"Chị Na")</f>
        <v>Chị Na</v>
      </c>
      <c r="C7169" s="119" t="str">
        <f>IFERROR(__xludf.DUMMYFUNCTION("""COMPUTED_VALUE"""),"Tỉnh lộ 10")</f>
        <v>Tỉnh lộ 10</v>
      </c>
      <c r="D7169" s="119" t="str">
        <f>IFERROR(__xludf.DUMMYFUNCTION("""COMPUTED_VALUE"""),"Chó")</f>
        <v>Chó</v>
      </c>
      <c r="E7169" s="119" t="str">
        <f>IFERROR(__xludf.DUMMYFUNCTION("""COMPUTED_VALUE"""),"Tủn")</f>
        <v>Tủn</v>
      </c>
    </row>
    <row r="7170" ht="15.75" customHeight="1">
      <c r="A7170" s="122" t="str">
        <f>IFERROR(__xludf.DUMMYFUNCTION("""COMPUTED_VALUE"""),"0705 555 363")</f>
        <v>0705 555 363</v>
      </c>
      <c r="B7170" s="119" t="str">
        <f>IFERROR(__xludf.DUMMYFUNCTION("""COMPUTED_VALUE"""),"Chị Lysa")</f>
        <v>Chị Lysa</v>
      </c>
      <c r="C7170" s="119" t="str">
        <f>IFERROR(__xludf.DUMMYFUNCTION("""COMPUTED_VALUE"""),"11/29 Kiệt 7 Ưng Bính")</f>
        <v>11/29 Kiệt 7 Ưng Bính</v>
      </c>
      <c r="D7170" s="119" t="str">
        <f>IFERROR(__xludf.DUMMYFUNCTION("""COMPUTED_VALUE"""),"chó ")</f>
        <v>chó </v>
      </c>
      <c r="E7170" s="119" t="str">
        <f>IFERROR(__xludf.DUMMYFUNCTION("""COMPUTED_VALUE"""),"red")</f>
        <v>red</v>
      </c>
    </row>
    <row r="7171" ht="15.75" customHeight="1">
      <c r="A7171" s="122" t="str">
        <f>IFERROR(__xludf.DUMMYFUNCTION("""COMPUTED_VALUE"""),"0775 558 875")</f>
        <v>0775 558 875</v>
      </c>
      <c r="B7171" s="119" t="str">
        <f>IFERROR(__xludf.DUMMYFUNCTION("""COMPUTED_VALUE"""),"Anh Quý")</f>
        <v>Anh Quý</v>
      </c>
      <c r="C7171" s="119" t="str">
        <f>IFERROR(__xludf.DUMMYFUNCTION("""COMPUTED_VALUE"""),"Thuỷ Vân")</f>
        <v>Thuỷ Vân</v>
      </c>
      <c r="D7171" s="119" t="str">
        <f>IFERROR(__xludf.DUMMYFUNCTION("""COMPUTED_VALUE"""),"Chó")</f>
        <v>Chó</v>
      </c>
      <c r="E7171" s="119" t="str">
        <f>IFERROR(__xludf.DUMMYFUNCTION("""COMPUTED_VALUE"""),"Bun")</f>
        <v>Bun</v>
      </c>
    </row>
    <row r="7172" ht="15.75" customHeight="1">
      <c r="A7172" s="122" t="str">
        <f>IFERROR(__xludf.DUMMYFUNCTION("""COMPUTED_VALUE"""),"0369 283 735")</f>
        <v>0369 283 735</v>
      </c>
      <c r="B7172" s="119" t="str">
        <f>IFERROR(__xludf.DUMMYFUNCTION("""COMPUTED_VALUE"""),"a Hưng")</f>
        <v>a Hưng</v>
      </c>
      <c r="C7172" s="119" t="str">
        <f>IFERROR(__xludf.DUMMYFUNCTION("""COMPUTED_VALUE"""),"308 phan chu trinh")</f>
        <v>308 phan chu trinh</v>
      </c>
      <c r="D7172" s="119" t="str">
        <f>IFERROR(__xludf.DUMMYFUNCTION("""COMPUTED_VALUE"""),"Mèo")</f>
        <v>Mèo</v>
      </c>
      <c r="E7172" s="119" t="str">
        <f>IFERROR(__xludf.DUMMYFUNCTION("""COMPUTED_VALUE"""),"dưa")</f>
        <v>dưa</v>
      </c>
    </row>
    <row r="7173" ht="15.75" customHeight="1">
      <c r="A7173" s="122" t="str">
        <f>IFERROR(__xludf.DUMMYFUNCTION("""COMPUTED_VALUE"""),"0706 159 458")</f>
        <v>0706 159 458</v>
      </c>
      <c r="B7173" s="119" t="str">
        <f>IFERROR(__xludf.DUMMYFUNCTION("""COMPUTED_VALUE"""),"chị ý")</f>
        <v>chị ý</v>
      </c>
      <c r="C7173" s="119" t="str">
        <f>IFERROR(__xludf.DUMMYFUNCTION("""COMPUTED_VALUE"""),"hương sơ")</f>
        <v>hương sơ</v>
      </c>
      <c r="D7173" s="119" t="str">
        <f>IFERROR(__xludf.DUMMYFUNCTION("""COMPUTED_VALUE"""),"Mèo")</f>
        <v>Mèo</v>
      </c>
      <c r="E7173" s="119" t="str">
        <f>IFERROR(__xludf.DUMMYFUNCTION("""COMPUTED_VALUE"""),"pu")</f>
        <v>pu</v>
      </c>
    </row>
    <row r="7174" ht="15.75" customHeight="1">
      <c r="A7174" s="122" t="str">
        <f>IFERROR(__xludf.DUMMYFUNCTION("""COMPUTED_VALUE"""),"0789 455 070")</f>
        <v>0789 455 070</v>
      </c>
      <c r="B7174" s="119" t="str">
        <f>IFERROR(__xludf.DUMMYFUNCTION("""COMPUTED_VALUE"""),"chị tranng")</f>
        <v>chị tranng</v>
      </c>
      <c r="C7174" s="119" t="str">
        <f>IFERROR(__xludf.DUMMYFUNCTION("""COMPUTED_VALUE"""),"5/482 chi lăng")</f>
        <v>5/482 chi lăng</v>
      </c>
      <c r="D7174" s="119" t="str">
        <f>IFERROR(__xludf.DUMMYFUNCTION("""COMPUTED_VALUE"""),"Chó")</f>
        <v>Chó</v>
      </c>
      <c r="E7174" s="119" t="str">
        <f>IFERROR(__xludf.DUMMYFUNCTION("""COMPUTED_VALUE"""),"be")</f>
        <v>be</v>
      </c>
    </row>
    <row r="7175" ht="15.75" customHeight="1">
      <c r="A7175" s="122" t="str">
        <f>IFERROR(__xludf.DUMMYFUNCTION("""COMPUTED_VALUE"""),"0965 881 615")</f>
        <v>0965 881 615</v>
      </c>
      <c r="B7175" s="119" t="str">
        <f>IFERROR(__xludf.DUMMYFUNCTION("""COMPUTED_VALUE"""),"anh thi")</f>
        <v>anh thi</v>
      </c>
      <c r="C7175" s="119" t="str">
        <f>IFERROR(__xludf.DUMMYFUNCTION("""COMPUTED_VALUE"""),"330 phan chu trinh")</f>
        <v>330 phan chu trinh</v>
      </c>
      <c r="D7175" s="119" t="str">
        <f>IFERROR(__xludf.DUMMYFUNCTION("""COMPUTED_VALUE"""),"Chó")</f>
        <v>Chó</v>
      </c>
      <c r="E7175" s="119" t="str">
        <f>IFERROR(__xludf.DUMMYFUNCTION("""COMPUTED_VALUE"""),"chíp")</f>
        <v>chíp</v>
      </c>
    </row>
    <row r="7176" ht="15.75" customHeight="1">
      <c r="A7176" s="122" t="str">
        <f>IFERROR(__xludf.DUMMYFUNCTION("""COMPUTED_VALUE"""),"0799 394 155")</f>
        <v>0799 394 155</v>
      </c>
      <c r="B7176" s="119" t="str">
        <f>IFERROR(__xludf.DUMMYFUNCTION("""COMPUTED_VALUE"""),"em thảo")</f>
        <v>em thảo</v>
      </c>
      <c r="C7176" s="119" t="str">
        <f>IFERROR(__xludf.DUMMYFUNCTION("""COMPUTED_VALUE"""),"phú hiệp")</f>
        <v>phú hiệp</v>
      </c>
      <c r="D7176" s="119" t="str">
        <f>IFERROR(__xludf.DUMMYFUNCTION("""COMPUTED_VALUE"""),"Mèo")</f>
        <v>Mèo</v>
      </c>
      <c r="E7176" s="119" t="str">
        <f>IFERROR(__xludf.DUMMYFUNCTION("""COMPUTED_VALUE"""),"chanh")</f>
        <v>chanh</v>
      </c>
    </row>
    <row r="7177" ht="15.75" customHeight="1">
      <c r="A7177" s="122" t="str">
        <f>IFERROR(__xludf.DUMMYFUNCTION("""COMPUTED_VALUE"""),"0800 394 155")</f>
        <v>0800 394 155</v>
      </c>
      <c r="B7177" s="119" t="str">
        <f>IFERROR(__xludf.DUMMYFUNCTION("""COMPUTED_VALUE"""),"em thào")</f>
        <v>em thào</v>
      </c>
      <c r="C7177" s="119" t="str">
        <f>IFERROR(__xludf.DUMMYFUNCTION("""COMPUTED_VALUE"""),"phú hiệp")</f>
        <v>phú hiệp</v>
      </c>
      <c r="D7177" s="119" t="str">
        <f>IFERROR(__xludf.DUMMYFUNCTION("""COMPUTED_VALUE"""),"Chó")</f>
        <v>Chó</v>
      </c>
      <c r="E7177" s="119" t="str">
        <f>IFERROR(__xludf.DUMMYFUNCTION("""COMPUTED_VALUE"""),"lu")</f>
        <v>lu</v>
      </c>
    </row>
    <row r="7178" ht="15.75" customHeight="1">
      <c r="A7178" s="122" t="str">
        <f>IFERROR(__xludf.DUMMYFUNCTION("""COMPUTED_VALUE"""),"0935 605 300")</f>
        <v>0935 605 300</v>
      </c>
      <c r="B7178" s="119" t="str">
        <f>IFERROR(__xludf.DUMMYFUNCTION("""COMPUTED_VALUE"""),"em phong")</f>
        <v>em phong</v>
      </c>
      <c r="C7178" s="119" t="str">
        <f>IFERROR(__xludf.DUMMYFUNCTION("""COMPUTED_VALUE"""),"43/13 hàn mặc tử")</f>
        <v>43/13 hàn mặc tử</v>
      </c>
      <c r="D7178" s="119" t="str">
        <f>IFERROR(__xludf.DUMMYFUNCTION("""COMPUTED_VALUE"""),"Mèo")</f>
        <v>Mèo</v>
      </c>
      <c r="E7178" s="119"/>
    </row>
    <row r="7179" ht="15.75" customHeight="1">
      <c r="A7179" s="122" t="str">
        <f>IFERROR(__xludf.DUMMYFUNCTION("""COMPUTED_VALUE"""),"0943 758 541")</f>
        <v>0943 758 541</v>
      </c>
      <c r="B7179" s="119" t="str">
        <f>IFERROR(__xludf.DUMMYFUNCTION("""COMPUTED_VALUE"""),"dì xí")</f>
        <v>dì xí</v>
      </c>
      <c r="C7179" s="119" t="str">
        <f>IFERROR(__xludf.DUMMYFUNCTION("""COMPUTED_VALUE"""),"4/9 hàn mặc tử")</f>
        <v>4/9 hàn mặc tử</v>
      </c>
      <c r="D7179" s="119" t="str">
        <f>IFERROR(__xludf.DUMMYFUNCTION("""COMPUTED_VALUE"""),"Chó")</f>
        <v>Chó</v>
      </c>
      <c r="E7179" s="119" t="str">
        <f>IFERROR(__xludf.DUMMYFUNCTION("""COMPUTED_VALUE"""),"bông")</f>
        <v>bông</v>
      </c>
    </row>
    <row r="7180" ht="15.75" customHeight="1">
      <c r="A7180" s="122" t="str">
        <f>IFERROR(__xludf.DUMMYFUNCTION("""COMPUTED_VALUE"""),"0354 535 181")</f>
        <v>0354 535 181</v>
      </c>
      <c r="B7180" s="119" t="str">
        <f>IFERROR(__xludf.DUMMYFUNCTION("""COMPUTED_VALUE"""),"anh chất")</f>
        <v>anh chất</v>
      </c>
      <c r="C7180" s="119" t="str">
        <f>IFERROR(__xludf.DUMMYFUNCTION("""COMPUTED_VALUE"""),"15/33 ng công trứ")</f>
        <v>15/33 ng công trứ</v>
      </c>
      <c r="D7180" s="119" t="str">
        <f>IFERROR(__xludf.DUMMYFUNCTION("""COMPUTED_VALUE"""),"Chó")</f>
        <v>Chó</v>
      </c>
      <c r="E7180" s="119" t="str">
        <f>IFERROR(__xludf.DUMMYFUNCTION("""COMPUTED_VALUE"""),"gấu")</f>
        <v>gấu</v>
      </c>
    </row>
    <row r="7181" ht="15.75" customHeight="1">
      <c r="A7181" s="122" t="str">
        <f>IFERROR(__xludf.DUMMYFUNCTION("""COMPUTED_VALUE"""),"0914 550 669")</f>
        <v>0914 550 669</v>
      </c>
      <c r="B7181" s="119" t="str">
        <f>IFERROR(__xludf.DUMMYFUNCTION("""COMPUTED_VALUE"""),"chị nguyệt")</f>
        <v>chị nguyệt</v>
      </c>
      <c r="C7181" s="119" t="str">
        <f>IFERROR(__xludf.DUMMYFUNCTION("""COMPUTED_VALUE"""),"e3 âu lạc")</f>
        <v>e3 âu lạc</v>
      </c>
      <c r="D7181" s="119" t="str">
        <f>IFERROR(__xludf.DUMMYFUNCTION("""COMPUTED_VALUE"""),"Chó")</f>
        <v>Chó</v>
      </c>
      <c r="E7181" s="119" t="str">
        <f>IFERROR(__xludf.DUMMYFUNCTION("""COMPUTED_VALUE"""),"đốm")</f>
        <v>đốm</v>
      </c>
    </row>
    <row r="7182" ht="15.75" customHeight="1">
      <c r="A7182" s="122" t="str">
        <f>IFERROR(__xludf.DUMMYFUNCTION("""COMPUTED_VALUE"""),"0935 361 594")</f>
        <v>0935 361 594</v>
      </c>
      <c r="B7182" s="119" t="str">
        <f>IFERROR(__xludf.DUMMYFUNCTION("""COMPUTED_VALUE"""),"a sam")</f>
        <v>a sam</v>
      </c>
      <c r="C7182" s="119" t="str">
        <f>IFERROR(__xludf.DUMMYFUNCTION("""COMPUTED_VALUE"""),"vicoland xuân phú")</f>
        <v>vicoland xuân phú</v>
      </c>
      <c r="D7182" s="119" t="str">
        <f>IFERROR(__xludf.DUMMYFUNCTION("""COMPUTED_VALUE"""),"Mèo")</f>
        <v>Mèo</v>
      </c>
      <c r="E7182" s="119" t="str">
        <f>IFERROR(__xludf.DUMMYFUNCTION("""COMPUTED_VALUE"""),"bơ")</f>
        <v>bơ</v>
      </c>
    </row>
    <row r="7183" ht="15.75" customHeight="1">
      <c r="A7183" s="122" t="str">
        <f>IFERROR(__xludf.DUMMYFUNCTION("""COMPUTED_VALUE"""),"0704 536 246")</f>
        <v>0704 536 246</v>
      </c>
      <c r="B7183" s="119" t="str">
        <f>IFERROR(__xludf.DUMMYFUNCTION("""COMPUTED_VALUE"""),"chị trang")</f>
        <v>chị trang</v>
      </c>
      <c r="C7183" s="119" t="str">
        <f>IFERROR(__xludf.DUMMYFUNCTION("""COMPUTED_VALUE"""),"thủy vân")</f>
        <v>thủy vân</v>
      </c>
      <c r="D7183" s="119" t="str">
        <f>IFERROR(__xludf.DUMMYFUNCTION("""COMPUTED_VALUE"""),"Chó")</f>
        <v>Chó</v>
      </c>
      <c r="E7183" s="119" t="str">
        <f>IFERROR(__xludf.DUMMYFUNCTION("""COMPUTED_VALUE"""),"lucky")</f>
        <v>lucky</v>
      </c>
    </row>
    <row r="7184" ht="15.75" customHeight="1">
      <c r="A7184" s="122" t="str">
        <f>IFERROR(__xludf.DUMMYFUNCTION("""COMPUTED_VALUE"""),"0706 098 643")</f>
        <v>0706 098 643</v>
      </c>
      <c r="B7184" s="119" t="str">
        <f>IFERROR(__xludf.DUMMYFUNCTION("""COMPUTED_VALUE"""),"chị huyền")</f>
        <v>chị huyền</v>
      </c>
      <c r="C7184" s="119" t="str">
        <f>IFERROR(__xludf.DUMMYFUNCTION("""COMPUTED_VALUE"""),"53 bà triệu")</f>
        <v>53 bà triệu</v>
      </c>
      <c r="D7184" s="119" t="str">
        <f>IFERROR(__xludf.DUMMYFUNCTION("""COMPUTED_VALUE"""),"Mèo")</f>
        <v>Mèo</v>
      </c>
      <c r="E7184" s="119" t="str">
        <f>IFERROR(__xludf.DUMMYFUNCTION("""COMPUTED_VALUE"""),"cốm")</f>
        <v>cốm</v>
      </c>
    </row>
    <row r="7185" ht="15.75" customHeight="1">
      <c r="A7185" s="122" t="str">
        <f>IFERROR(__xludf.DUMMYFUNCTION("""COMPUTED_VALUE"""),"0704 035 173")</f>
        <v>0704 035 173</v>
      </c>
      <c r="B7185" s="119" t="str">
        <f>IFERROR(__xludf.DUMMYFUNCTION("""COMPUTED_VALUE"""),"chị tiên")</f>
        <v>chị tiên</v>
      </c>
      <c r="C7185" s="119" t="str">
        <f>IFERROR(__xludf.DUMMYFUNCTION("""COMPUTED_VALUE"""),"143 ng chí thanh")</f>
        <v>143 ng chí thanh</v>
      </c>
      <c r="D7185" s="119" t="str">
        <f>IFERROR(__xludf.DUMMYFUNCTION("""COMPUTED_VALUE"""),"Chó")</f>
        <v>Chó</v>
      </c>
      <c r="E7185" s="119" t="str">
        <f>IFERROR(__xludf.DUMMYFUNCTION("""COMPUTED_VALUE"""),"dolla")</f>
        <v>dolla</v>
      </c>
    </row>
    <row r="7186" ht="15.75" customHeight="1">
      <c r="A7186" s="122" t="str">
        <f>IFERROR(__xludf.DUMMYFUNCTION("""COMPUTED_VALUE"""),"0935 001 787")</f>
        <v>0935 001 787</v>
      </c>
      <c r="B7186" s="119" t="str">
        <f>IFERROR(__xludf.DUMMYFUNCTION("""COMPUTED_VALUE"""),"anh dũng")</f>
        <v>anh dũng</v>
      </c>
      <c r="C7186" s="119" t="str">
        <f>IFERROR(__xludf.DUMMYFUNCTION("""COMPUTED_VALUE"""),"23 đường số 6 acct")</f>
        <v>23 đường số 6 acct</v>
      </c>
      <c r="D7186" s="119" t="str">
        <f>IFERROR(__xludf.DUMMYFUNCTION("""COMPUTED_VALUE"""),"Chó")</f>
        <v>Chó</v>
      </c>
      <c r="E7186" s="119" t="str">
        <f>IFERROR(__xludf.DUMMYFUNCTION("""COMPUTED_VALUE"""),"chíp")</f>
        <v>chíp</v>
      </c>
    </row>
    <row r="7187" ht="15.75" customHeight="1">
      <c r="A7187" s="122" t="str">
        <f>IFERROR(__xludf.DUMMYFUNCTION("""COMPUTED_VALUE"""),"0796 490 260")</f>
        <v>0796 490 260</v>
      </c>
      <c r="B7187" s="119" t="str">
        <f>IFERROR(__xludf.DUMMYFUNCTION("""COMPUTED_VALUE"""),"a hoàng")</f>
        <v>a hoàng</v>
      </c>
      <c r="C7187" s="119" t="str">
        <f>IFERROR(__xludf.DUMMYFUNCTION("""COMPUTED_VALUE"""),"52 bà triệu")</f>
        <v>52 bà triệu</v>
      </c>
      <c r="D7187" s="119" t="str">
        <f>IFERROR(__xludf.DUMMYFUNCTION("""COMPUTED_VALUE"""),"Chó")</f>
        <v>Chó</v>
      </c>
      <c r="E7187" s="119" t="str">
        <f>IFERROR(__xludf.DUMMYFUNCTION("""COMPUTED_VALUE"""),"bốp")</f>
        <v>bốp</v>
      </c>
    </row>
    <row r="7188" ht="15.75" customHeight="1">
      <c r="A7188" s="122" t="str">
        <f>IFERROR(__xludf.DUMMYFUNCTION("""COMPUTED_VALUE"""),"0899 868 818")</f>
        <v>0899 868 818</v>
      </c>
      <c r="B7188" s="119" t="str">
        <f>IFERROR(__xludf.DUMMYFUNCTION("""COMPUTED_VALUE"""),"a hưng")</f>
        <v>a hưng</v>
      </c>
      <c r="C7188" s="119" t="str">
        <f>IFERROR(__xludf.DUMMYFUNCTION("""COMPUTED_VALUE"""),"10/45 thuỷ phương")</f>
        <v>10/45 thuỷ phương</v>
      </c>
      <c r="D7188" s="119" t="str">
        <f>IFERROR(__xludf.DUMMYFUNCTION("""COMPUTED_VALUE"""),"Mèo")</f>
        <v>Mèo</v>
      </c>
      <c r="E7188" s="119" t="str">
        <f>IFERROR(__xludf.DUMMYFUNCTION("""COMPUTED_VALUE"""),"zen")</f>
        <v>zen</v>
      </c>
    </row>
    <row r="7189" ht="15.75" customHeight="1">
      <c r="A7189" s="122" t="str">
        <f>IFERROR(__xludf.DUMMYFUNCTION("""COMPUTED_VALUE"""),"0795 743 005")</f>
        <v>0795 743 005</v>
      </c>
      <c r="B7189" s="119" t="str">
        <f>IFERROR(__xludf.DUMMYFUNCTION("""COMPUTED_VALUE"""),"em long")</f>
        <v>em long</v>
      </c>
      <c r="C7189" s="119" t="str">
        <f>IFERROR(__xludf.DUMMYFUNCTION("""COMPUTED_VALUE"""),"189 tăng bạt hổ")</f>
        <v>189 tăng bạt hổ</v>
      </c>
      <c r="D7189" s="119" t="str">
        <f>IFERROR(__xludf.DUMMYFUNCTION("""COMPUTED_VALUE"""),"Chó")</f>
        <v>Chó</v>
      </c>
      <c r="E7189" s="119" t="str">
        <f>IFERROR(__xludf.DUMMYFUNCTION("""COMPUTED_VALUE"""),"su")</f>
        <v>su</v>
      </c>
    </row>
    <row r="7190" ht="15.75" customHeight="1">
      <c r="A7190" s="122" t="str">
        <f>IFERROR(__xludf.DUMMYFUNCTION("""COMPUTED_VALUE"""),"0946 687 123")</f>
        <v>0946 687 123</v>
      </c>
      <c r="B7190" s="119" t="str">
        <f>IFERROR(__xludf.DUMMYFUNCTION("""COMPUTED_VALUE"""),"chị ngân")</f>
        <v>chị ngân</v>
      </c>
      <c r="C7190" s="119" t="str">
        <f>IFERROR(__xludf.DUMMYFUNCTION("""COMPUTED_VALUE"""),"8/37 hùng vương")</f>
        <v>8/37 hùng vương</v>
      </c>
      <c r="D7190" s="119" t="str">
        <f>IFERROR(__xludf.DUMMYFUNCTION("""COMPUTED_VALUE"""),"Chó")</f>
        <v>Chó</v>
      </c>
      <c r="E7190" s="119"/>
    </row>
    <row r="7191" ht="15.75" customHeight="1">
      <c r="A7191" s="122" t="str">
        <f>IFERROR(__xludf.DUMMYFUNCTION("""COMPUTED_VALUE"""),"0799 391 223")</f>
        <v>0799 391 223</v>
      </c>
      <c r="B7191" s="119" t="str">
        <f>IFERROR(__xludf.DUMMYFUNCTION("""COMPUTED_VALUE"""),"khánh")</f>
        <v>khánh</v>
      </c>
      <c r="C7191" s="119" t="str">
        <f>IFERROR(__xludf.DUMMYFUNCTION("""COMPUTED_VALUE"""),"phú bài")</f>
        <v>phú bài</v>
      </c>
      <c r="D7191" s="119" t="str">
        <f>IFERROR(__xludf.DUMMYFUNCTION("""COMPUTED_VALUE"""),"Chó")</f>
        <v>Chó</v>
      </c>
      <c r="E7191" s="119" t="str">
        <f>IFERROR(__xludf.DUMMYFUNCTION("""COMPUTED_VALUE"""),"tép")</f>
        <v>tép</v>
      </c>
    </row>
    <row r="7192" ht="15.75" customHeight="1">
      <c r="A7192" s="122" t="str">
        <f>IFERROR(__xludf.DUMMYFUNCTION("""COMPUTED_VALUE"""),"0386 744 930")</f>
        <v>0386 744 930</v>
      </c>
      <c r="B7192" s="119" t="str">
        <f>IFERROR(__xludf.DUMMYFUNCTION("""COMPUTED_VALUE"""),"dì tươi")</f>
        <v>dì tươi</v>
      </c>
      <c r="C7192" s="119" t="str">
        <f>IFERROR(__xludf.DUMMYFUNCTION("""COMPUTED_VALUE"""),"20/52 bà triệu")</f>
        <v>20/52 bà triệu</v>
      </c>
      <c r="D7192" s="119" t="str">
        <f>IFERROR(__xludf.DUMMYFUNCTION("""COMPUTED_VALUE"""),"Mèo")</f>
        <v>Mèo</v>
      </c>
      <c r="E7192" s="119" t="str">
        <f>IFERROR(__xludf.DUMMYFUNCTION("""COMPUTED_VALUE"""),"ngáo")</f>
        <v>ngáo</v>
      </c>
    </row>
    <row r="7193" ht="15.75" customHeight="1">
      <c r="A7193" s="122" t="str">
        <f>IFERROR(__xludf.DUMMYFUNCTION("""COMPUTED_VALUE"""),"0387 967 037")</f>
        <v>0387 967 037</v>
      </c>
      <c r="B7193" s="119" t="str">
        <f>IFERROR(__xludf.DUMMYFUNCTION("""COMPUTED_VALUE"""),"chị mai")</f>
        <v>chị mai</v>
      </c>
      <c r="C7193" s="119" t="str">
        <f>IFERROR(__xludf.DUMMYFUNCTION("""COMPUTED_VALUE"""),"thủy vân")</f>
        <v>thủy vân</v>
      </c>
      <c r="D7193" s="119" t="str">
        <f>IFERROR(__xludf.DUMMYFUNCTION("""COMPUTED_VALUE"""),"Mèo")</f>
        <v>Mèo</v>
      </c>
      <c r="E7193" s="119" t="str">
        <f>IFERROR(__xludf.DUMMYFUNCTION("""COMPUTED_VALUE"""),"mực")</f>
        <v>mực</v>
      </c>
    </row>
    <row r="7194" ht="15.75" customHeight="1">
      <c r="A7194" s="122" t="str">
        <f>IFERROR(__xludf.DUMMYFUNCTION("""COMPUTED_VALUE"""),"0945 758 541")</f>
        <v>0945 758 541</v>
      </c>
      <c r="B7194" s="119" t="str">
        <f>IFERROR(__xludf.DUMMYFUNCTION("""COMPUTED_VALUE"""),"dì xí")</f>
        <v>dì xí</v>
      </c>
      <c r="C7194" s="119" t="str">
        <f>IFERROR(__xludf.DUMMYFUNCTION("""COMPUTED_VALUE"""),"5/9 hàn mặc tử")</f>
        <v>5/9 hàn mặc tử</v>
      </c>
      <c r="D7194" s="119" t="str">
        <f>IFERROR(__xludf.DUMMYFUNCTION("""COMPUTED_VALUE"""),"Chó")</f>
        <v>Chó</v>
      </c>
      <c r="E7194" s="119" t="str">
        <f>IFERROR(__xludf.DUMMYFUNCTION("""COMPUTED_VALUE"""),"bông")</f>
        <v>bông</v>
      </c>
    </row>
    <row r="7195" ht="15.75" customHeight="1">
      <c r="A7195" s="122" t="str">
        <f>IFERROR(__xludf.DUMMYFUNCTION("""COMPUTED_VALUE"""),"0373 841 510")</f>
        <v>0373 841 510</v>
      </c>
      <c r="B7195" s="119" t="str">
        <f>IFERROR(__xludf.DUMMYFUNCTION("""COMPUTED_VALUE"""),"Em Lệ")</f>
        <v>Em Lệ</v>
      </c>
      <c r="C7195" s="119" t="str">
        <f>IFERROR(__xludf.DUMMYFUNCTION("""COMPUTED_VALUE"""),"2/130 Trần Phú")</f>
        <v>2/130 Trần Phú</v>
      </c>
      <c r="D7195" s="119" t="str">
        <f>IFERROR(__xludf.DUMMYFUNCTION("""COMPUTED_VALUE"""),"Chó")</f>
        <v>Chó</v>
      </c>
      <c r="E7195" s="119" t="str">
        <f>IFERROR(__xludf.DUMMYFUNCTION("""COMPUTED_VALUE"""),"Vàng")</f>
        <v>Vàng</v>
      </c>
    </row>
    <row r="7196" ht="15.75" customHeight="1">
      <c r="A7196" s="122" t="str">
        <f>IFERROR(__xludf.DUMMYFUNCTION("""COMPUTED_VALUE"""),"0762 778 400")</f>
        <v>0762 778 400</v>
      </c>
      <c r="B7196" s="119" t="str">
        <f>IFERROR(__xludf.DUMMYFUNCTION("""COMPUTED_VALUE"""),"Em Nhàn")</f>
        <v>Em Nhàn</v>
      </c>
      <c r="C7196" s="119" t="str">
        <f>IFERROR(__xludf.DUMMYFUNCTION("""COMPUTED_VALUE"""),"172 Tôn Thất Thiệp")</f>
        <v>172 Tôn Thất Thiệp</v>
      </c>
      <c r="D7196" s="119" t="str">
        <f>IFERROR(__xludf.DUMMYFUNCTION("""COMPUTED_VALUE"""),"Mèo")</f>
        <v>Mèo</v>
      </c>
      <c r="E7196" s="119" t="str">
        <f>IFERROR(__xludf.DUMMYFUNCTION("""COMPUTED_VALUE"""),"Boo")</f>
        <v>Boo</v>
      </c>
    </row>
    <row r="7197" ht="15.75" customHeight="1">
      <c r="A7197" s="122" t="str">
        <f>IFERROR(__xludf.DUMMYFUNCTION("""COMPUTED_VALUE"""),"0901 972 922")</f>
        <v>0901 972 922</v>
      </c>
      <c r="B7197" s="119" t="str">
        <f>IFERROR(__xludf.DUMMYFUNCTION("""COMPUTED_VALUE"""),"Chị Nhi")</f>
        <v>Chị Nhi</v>
      </c>
      <c r="C7197" s="119" t="str">
        <f>IFERROR(__xludf.DUMMYFUNCTION("""COMPUTED_VALUE"""),"11/360 Nguyễn sinh Cung")</f>
        <v>11/360 Nguyễn sinh Cung</v>
      </c>
      <c r="D7197" s="119" t="str">
        <f>IFERROR(__xludf.DUMMYFUNCTION("""COMPUTED_VALUE"""),"Mèo")</f>
        <v>Mèo</v>
      </c>
      <c r="E7197" s="119" t="str">
        <f>IFERROR(__xludf.DUMMYFUNCTION("""COMPUTED_VALUE"""),"ma dơ")</f>
        <v>ma dơ</v>
      </c>
    </row>
    <row r="7198" ht="15.75" customHeight="1">
      <c r="A7198" s="122" t="str">
        <f>IFERROR(__xludf.DUMMYFUNCTION("""COMPUTED_VALUE"""),"0387 864 608")</f>
        <v>0387 864 608</v>
      </c>
      <c r="B7198" s="119" t="str">
        <f>IFERROR(__xludf.DUMMYFUNCTION("""COMPUTED_VALUE"""),"Chị Quỳnh Mơ")</f>
        <v>Chị Quỳnh Mơ</v>
      </c>
      <c r="C7198" s="119" t="str">
        <f>IFERROR(__xludf.DUMMYFUNCTION("""COMPUTED_VALUE"""),"lộc bổn phú lộc")</f>
        <v>lộc bổn phú lộc</v>
      </c>
      <c r="D7198" s="119" t="str">
        <f>IFERROR(__xludf.DUMMYFUNCTION("""COMPUTED_VALUE"""),"Chó")</f>
        <v>Chó</v>
      </c>
      <c r="E7198" s="119" t="str">
        <f>IFERROR(__xludf.DUMMYFUNCTION("""COMPUTED_VALUE"""),"Sâu")</f>
        <v>Sâu</v>
      </c>
    </row>
    <row r="7199" ht="15.75" customHeight="1">
      <c r="A7199" s="122" t="str">
        <f>IFERROR(__xludf.DUMMYFUNCTION("""COMPUTED_VALUE"""),"0369 100 009")</f>
        <v>0369 100 009</v>
      </c>
      <c r="B7199" s="119" t="str">
        <f>IFERROR(__xludf.DUMMYFUNCTION("""COMPUTED_VALUE"""),"Anh Quang")</f>
        <v>Anh Quang</v>
      </c>
      <c r="C7199" s="119" t="str">
        <f>IFERROR(__xludf.DUMMYFUNCTION("""COMPUTED_VALUE"""),"17/15 Đống Đa")</f>
        <v>17/15 Đống Đa</v>
      </c>
      <c r="D7199" s="119" t="str">
        <f>IFERROR(__xludf.DUMMYFUNCTION("""COMPUTED_VALUE"""),"Chó")</f>
        <v>Chó</v>
      </c>
      <c r="E7199" s="119" t="str">
        <f>IFERROR(__xludf.DUMMYFUNCTION("""COMPUTED_VALUE"""),"Nâu")</f>
        <v>Nâu</v>
      </c>
    </row>
    <row r="7200" ht="15.75" customHeight="1">
      <c r="A7200" s="122" t="str">
        <f>IFERROR(__xludf.DUMMYFUNCTION("""COMPUTED_VALUE"""),"0974 322 179")</f>
        <v>0974 322 179</v>
      </c>
      <c r="B7200" s="119" t="str">
        <f>IFERROR(__xludf.DUMMYFUNCTION("""COMPUTED_VALUE"""),"Chị Kim Anh")</f>
        <v>Chị Kim Anh</v>
      </c>
      <c r="C7200" s="119" t="str">
        <f>IFERROR(__xludf.DUMMYFUNCTION("""COMPUTED_VALUE"""),"Phú Lộc")</f>
        <v>Phú Lộc</v>
      </c>
      <c r="D7200" s="119" t="str">
        <f>IFERROR(__xludf.DUMMYFUNCTION("""COMPUTED_VALUE"""),"Chó")</f>
        <v>Chó</v>
      </c>
      <c r="E7200" s="119" t="str">
        <f>IFERROR(__xludf.DUMMYFUNCTION("""COMPUTED_VALUE"""),"Fox")</f>
        <v>Fox</v>
      </c>
    </row>
    <row r="7201" ht="15.75" customHeight="1">
      <c r="A7201" s="122" t="str">
        <f>IFERROR(__xludf.DUMMYFUNCTION("""COMPUTED_VALUE"""),"0964 874 605")</f>
        <v>0964 874 605</v>
      </c>
      <c r="B7201" s="119" t="str">
        <f>IFERROR(__xludf.DUMMYFUNCTION("""COMPUTED_VALUE"""),"Em Phương Trinh")</f>
        <v>Em Phương Trinh</v>
      </c>
      <c r="C7201" s="119" t="str">
        <f>IFERROR(__xludf.DUMMYFUNCTION("""COMPUTED_VALUE"""),"145 Hàn Mặc Tử")</f>
        <v>145 Hàn Mặc Tử</v>
      </c>
      <c r="D7201" s="119" t="str">
        <f>IFERROR(__xludf.DUMMYFUNCTION("""COMPUTED_VALUE"""),"Mèo")</f>
        <v>Mèo</v>
      </c>
      <c r="E7201" s="119" t="str">
        <f>IFERROR(__xludf.DUMMYFUNCTION("""COMPUTED_VALUE"""),"Gạo")</f>
        <v>Gạo</v>
      </c>
    </row>
    <row r="7202" ht="15.75" customHeight="1">
      <c r="A7202" s="122" t="str">
        <f>IFERROR(__xludf.DUMMYFUNCTION("""COMPUTED_VALUE"""),"0355 145 015")</f>
        <v>0355 145 015</v>
      </c>
      <c r="B7202" s="119" t="str">
        <f>IFERROR(__xludf.DUMMYFUNCTION("""COMPUTED_VALUE"""),"Em Thiện")</f>
        <v>Em Thiện</v>
      </c>
      <c r="C7202" s="119" t="str">
        <f>IFERROR(__xludf.DUMMYFUNCTION("""COMPUTED_VALUE"""),"Nguyễn Tất Thành")</f>
        <v>Nguyễn Tất Thành</v>
      </c>
      <c r="D7202" s="119" t="str">
        <f>IFERROR(__xludf.DUMMYFUNCTION("""COMPUTED_VALUE"""),"Chó")</f>
        <v>Chó</v>
      </c>
      <c r="E7202" s="119" t="str">
        <f>IFERROR(__xludf.DUMMYFUNCTION("""COMPUTED_VALUE"""),"chíp")</f>
        <v>chíp</v>
      </c>
    </row>
    <row r="7203" ht="15.75" customHeight="1">
      <c r="A7203" s="122" t="str">
        <f>IFERROR(__xludf.DUMMYFUNCTION("""COMPUTED_VALUE"""),"0931 196 262")</f>
        <v>0931 196 262</v>
      </c>
      <c r="B7203" s="119" t="str">
        <f>IFERROR(__xludf.DUMMYFUNCTION("""COMPUTED_VALUE"""),"Em Minh Anh")</f>
        <v>Em Minh Anh</v>
      </c>
      <c r="C7203" s="119" t="str">
        <f>IFERROR(__xludf.DUMMYFUNCTION("""COMPUTED_VALUE"""),"Lại Thế")</f>
        <v>Lại Thế</v>
      </c>
      <c r="D7203" s="119" t="str">
        <f>IFERROR(__xludf.DUMMYFUNCTION("""COMPUTED_VALUE"""),"Mèo")</f>
        <v>Mèo</v>
      </c>
      <c r="E7203" s="119" t="str">
        <f>IFERROR(__xludf.DUMMYFUNCTION("""COMPUTED_VALUE"""),"Vinnie")</f>
        <v>Vinnie</v>
      </c>
    </row>
    <row r="7204" ht="15.75" customHeight="1">
      <c r="A7204" s="122" t="str">
        <f>IFERROR(__xludf.DUMMYFUNCTION("""COMPUTED_VALUE"""),"0855 546 828")</f>
        <v>0855 546 828</v>
      </c>
      <c r="B7204" s="119" t="str">
        <f>IFERROR(__xludf.DUMMYFUNCTION("""COMPUTED_VALUE"""),"Nguyễn Phương Đài")</f>
        <v>Nguyễn Phương Đài</v>
      </c>
      <c r="C7204" s="119" t="str">
        <f>IFERROR(__xludf.DUMMYFUNCTION("""COMPUTED_VALUE"""),"34 Nguyễn Tri Phương")</f>
        <v>34 Nguyễn Tri Phương</v>
      </c>
      <c r="D7204" s="119" t="str">
        <f>IFERROR(__xludf.DUMMYFUNCTION("""COMPUTED_VALUE"""),"Chó")</f>
        <v>Chó</v>
      </c>
      <c r="E7204" s="119" t="str">
        <f>IFERROR(__xludf.DUMMYFUNCTION("""COMPUTED_VALUE"""),"Gôn")</f>
        <v>Gôn</v>
      </c>
    </row>
    <row r="7205" ht="15.75" customHeight="1">
      <c r="A7205" s="122" t="str">
        <f>IFERROR(__xludf.DUMMYFUNCTION("""COMPUTED_VALUE"""),"0334 620 512")</f>
        <v>0334 620 512</v>
      </c>
      <c r="B7205" s="119" t="str">
        <f>IFERROR(__xludf.DUMMYFUNCTION("""COMPUTED_VALUE"""),"Phạm Thị Hoài")</f>
        <v>Phạm Thị Hoài</v>
      </c>
      <c r="C7205" s="119" t="str">
        <f>IFERROR(__xludf.DUMMYFUNCTION("""COMPUTED_VALUE"""),"7/64 Nguyễn Công Trứ")</f>
        <v>7/64 Nguyễn Công Trứ</v>
      </c>
      <c r="D7205" s="119" t="str">
        <f>IFERROR(__xludf.DUMMYFUNCTION("""COMPUTED_VALUE"""),"Chó")</f>
        <v>Chó</v>
      </c>
      <c r="E7205" s="119" t="str">
        <f>IFERROR(__xludf.DUMMYFUNCTION("""COMPUTED_VALUE"""),"Tiger")</f>
        <v>Tiger</v>
      </c>
    </row>
    <row r="7206" ht="15.75" customHeight="1">
      <c r="A7206" s="122" t="str">
        <f>IFERROR(__xludf.DUMMYFUNCTION("""COMPUTED_VALUE"""),"0966 107 350")</f>
        <v>0966 107 350</v>
      </c>
      <c r="B7206" s="119" t="str">
        <f>IFERROR(__xludf.DUMMYFUNCTION("""COMPUTED_VALUE"""),"Chị Kim Anh")</f>
        <v>Chị Kim Anh</v>
      </c>
      <c r="C7206" s="119" t="str">
        <f>IFERROR(__xludf.DUMMYFUNCTION("""COMPUTED_VALUE"""),"Phú Thanh Phú Vang")</f>
        <v>Phú Thanh Phú Vang</v>
      </c>
      <c r="D7206" s="119" t="str">
        <f>IFERROR(__xludf.DUMMYFUNCTION("""COMPUTED_VALUE"""),"Chó")</f>
        <v>Chó</v>
      </c>
      <c r="E7206" s="119" t="str">
        <f>IFERROR(__xludf.DUMMYFUNCTION("""COMPUTED_VALUE"""),"Min")</f>
        <v>Min</v>
      </c>
    </row>
    <row r="7207" ht="15.75" customHeight="1">
      <c r="A7207" s="122" t="str">
        <f>IFERROR(__xludf.DUMMYFUNCTION("""COMPUTED_VALUE"""),"0931 458 467")</f>
        <v>0931 458 467</v>
      </c>
      <c r="B7207" s="119" t="str">
        <f>IFERROR(__xludf.DUMMYFUNCTION("""COMPUTED_VALUE"""),"chị Trang")</f>
        <v>chị Trang</v>
      </c>
      <c r="C7207" s="119" t="str">
        <f>IFERROR(__xludf.DUMMYFUNCTION("""COMPUTED_VALUE"""),"43 Nguyễn Thái Học")</f>
        <v>43 Nguyễn Thái Học</v>
      </c>
      <c r="D7207" s="119" t="str">
        <f>IFERROR(__xludf.DUMMYFUNCTION("""COMPUTED_VALUE"""),"Chó")</f>
        <v>Chó</v>
      </c>
      <c r="E7207" s="119" t="str">
        <f>IFERROR(__xludf.DUMMYFUNCTION("""COMPUTED_VALUE"""),"Rít")</f>
        <v>Rít</v>
      </c>
    </row>
    <row r="7208" ht="15.75" customHeight="1">
      <c r="A7208" s="122" t="str">
        <f>IFERROR(__xludf.DUMMYFUNCTION("""COMPUTED_VALUE"""),"0975 525 625")</f>
        <v>0975 525 625</v>
      </c>
      <c r="B7208" s="119" t="str">
        <f>IFERROR(__xludf.DUMMYFUNCTION("""COMPUTED_VALUE"""),"Chị Duyên")</f>
        <v>Chị Duyên</v>
      </c>
      <c r="C7208" s="119" t="str">
        <f>IFERROR(__xludf.DUMMYFUNCTION("""COMPUTED_VALUE"""),"Trần Quang Khải")</f>
        <v>Trần Quang Khải</v>
      </c>
      <c r="D7208" s="119" t="str">
        <f>IFERROR(__xludf.DUMMYFUNCTION("""COMPUTED_VALUE"""),"Mèo")</f>
        <v>Mèo</v>
      </c>
      <c r="E7208" s="119" t="str">
        <f>IFERROR(__xludf.DUMMYFUNCTION("""COMPUTED_VALUE"""),"ken")</f>
        <v>ken</v>
      </c>
    </row>
    <row r="7209" ht="15.75" customHeight="1">
      <c r="A7209" s="122" t="str">
        <f>IFERROR(__xludf.DUMMYFUNCTION("""COMPUTED_VALUE"""),"0353 762 342")</f>
        <v>0353 762 342</v>
      </c>
      <c r="B7209" s="119" t="str">
        <f>IFERROR(__xludf.DUMMYFUNCTION("""COMPUTED_VALUE"""),"Chú Ngô Thìn")</f>
        <v>Chú Ngô Thìn</v>
      </c>
      <c r="C7209" s="119" t="str">
        <f>IFERROR(__xludf.DUMMYFUNCTION("""COMPUTED_VALUE"""),"2 Hàn Mặc Tử")</f>
        <v>2 Hàn Mặc Tử</v>
      </c>
      <c r="D7209" s="119" t="str">
        <f>IFERROR(__xludf.DUMMYFUNCTION("""COMPUTED_VALUE"""),"Chó")</f>
        <v>Chó</v>
      </c>
      <c r="E7209" s="119" t="str">
        <f>IFERROR(__xludf.DUMMYFUNCTION("""COMPUTED_VALUE"""),"sữa")</f>
        <v>sữa</v>
      </c>
    </row>
    <row r="7210" ht="15.75" customHeight="1">
      <c r="A7210" s="122" t="str">
        <f>IFERROR(__xludf.DUMMYFUNCTION("""COMPUTED_VALUE"""),"0896 209 003")</f>
        <v>0896 209 003</v>
      </c>
      <c r="B7210" s="119" t="str">
        <f>IFERROR(__xludf.DUMMYFUNCTION("""COMPUTED_VALUE"""),"Anh Sơn")</f>
        <v>Anh Sơn</v>
      </c>
      <c r="C7210" s="119" t="str">
        <f>IFERROR(__xludf.DUMMYFUNCTION("""COMPUTED_VALUE"""),"46 Đặng Thùy Trâm")</f>
        <v>46 Đặng Thùy Trâm</v>
      </c>
      <c r="D7210" s="119" t="str">
        <f>IFERROR(__xludf.DUMMYFUNCTION("""COMPUTED_VALUE"""),"Chó")</f>
        <v>Chó</v>
      </c>
      <c r="E7210" s="119" t="str">
        <f>IFERROR(__xludf.DUMMYFUNCTION("""COMPUTED_VALUE"""),"Lửa")</f>
        <v>Lửa</v>
      </c>
    </row>
    <row r="7211" ht="15.75" customHeight="1">
      <c r="A7211" s="122" t="str">
        <f>IFERROR(__xludf.DUMMYFUNCTION("""COMPUTED_VALUE"""),"0905 493 863")</f>
        <v>0905 493 863</v>
      </c>
      <c r="B7211" s="119" t="str">
        <f>IFERROR(__xludf.DUMMYFUNCTION("""COMPUTED_VALUE"""),"Chị Mai")</f>
        <v>Chị Mai</v>
      </c>
      <c r="C7211" s="119" t="str">
        <f>IFERROR(__xludf.DUMMYFUNCTION("""COMPUTED_VALUE"""),"5/181 Hàn Mặc Tử")</f>
        <v>5/181 Hàn Mặc Tử</v>
      </c>
      <c r="D7211" s="119" t="str">
        <f>IFERROR(__xludf.DUMMYFUNCTION("""COMPUTED_VALUE"""),"Chó")</f>
        <v>Chó</v>
      </c>
      <c r="E7211" s="119" t="str">
        <f>IFERROR(__xludf.DUMMYFUNCTION("""COMPUTED_VALUE"""),"My")</f>
        <v>My</v>
      </c>
    </row>
    <row r="7212" ht="15.75" customHeight="1">
      <c r="A7212" s="122" t="str">
        <f>IFERROR(__xludf.DUMMYFUNCTION("""COMPUTED_VALUE"""),"0934 043 009")</f>
        <v>0934 043 009</v>
      </c>
      <c r="B7212" s="119" t="str">
        <f>IFERROR(__xludf.DUMMYFUNCTION("""COMPUTED_VALUE"""),"Lê ngọc thiên Phú")</f>
        <v>Lê ngọc thiên Phú</v>
      </c>
      <c r="C7212" s="119" t="str">
        <f>IFERROR(__xludf.DUMMYFUNCTION("""COMPUTED_VALUE"""),"17/35 Phùng Hưng")</f>
        <v>17/35 Phùng Hưng</v>
      </c>
      <c r="D7212" s="119" t="str">
        <f>IFERROR(__xludf.DUMMYFUNCTION("""COMPUTED_VALUE"""),"Chó")</f>
        <v>Chó</v>
      </c>
      <c r="E7212" s="119" t="str">
        <f>IFERROR(__xludf.DUMMYFUNCTION("""COMPUTED_VALUE"""),"Bonie")</f>
        <v>Bonie</v>
      </c>
    </row>
    <row r="7213" ht="15.75" customHeight="1">
      <c r="A7213" s="122" t="str">
        <f>IFERROR(__xludf.DUMMYFUNCTION("""COMPUTED_VALUE"""),"0782 962 523")</f>
        <v>0782 962 523</v>
      </c>
      <c r="B7213" s="119" t="str">
        <f>IFERROR(__xludf.DUMMYFUNCTION("""COMPUTED_VALUE"""),"Khánh Uyên")</f>
        <v>Khánh Uyên</v>
      </c>
      <c r="C7213" s="119" t="str">
        <f>IFERROR(__xludf.DUMMYFUNCTION("""COMPUTED_VALUE"""),"Royal Park")</f>
        <v>Royal Park</v>
      </c>
      <c r="D7213" s="119" t="str">
        <f>IFERROR(__xludf.DUMMYFUNCTION("""COMPUTED_VALUE"""),"Chó")</f>
        <v>Chó</v>
      </c>
      <c r="E7213" s="119" t="str">
        <f>IFERROR(__xludf.DUMMYFUNCTION("""COMPUTED_VALUE"""),"Audi")</f>
        <v>Audi</v>
      </c>
    </row>
    <row r="7214" ht="15.75" customHeight="1">
      <c r="A7214" s="122" t="str">
        <f>IFERROR(__xludf.DUMMYFUNCTION("""COMPUTED_VALUE"""),"0977 534 332")</f>
        <v>0977 534 332</v>
      </c>
      <c r="B7214" s="119" t="str">
        <f>IFERROR(__xludf.DUMMYFUNCTION("""COMPUTED_VALUE"""),"Anh Thanh Tùng")</f>
        <v>Anh Thanh Tùng</v>
      </c>
      <c r="C7214" s="119" t="str">
        <f>IFERROR(__xludf.DUMMYFUNCTION("""COMPUTED_VALUE"""),"Hải Triều")</f>
        <v>Hải Triều</v>
      </c>
      <c r="D7214" s="119" t="str">
        <f>IFERROR(__xludf.DUMMYFUNCTION("""COMPUTED_VALUE"""),"Mèo")</f>
        <v>Mèo</v>
      </c>
      <c r="E7214" s="119"/>
    </row>
    <row r="7215" ht="15.75" customHeight="1">
      <c r="A7215" s="122" t="str">
        <f>IFERROR(__xludf.DUMMYFUNCTION("""COMPUTED_VALUE"""),"0389 666 035")</f>
        <v>0389 666 035</v>
      </c>
      <c r="B7215" s="119" t="str">
        <f>IFERROR(__xludf.DUMMYFUNCTION("""COMPUTED_VALUE"""),"Anh Tuấn")</f>
        <v>Anh Tuấn</v>
      </c>
      <c r="C7215" s="119" t="str">
        <f>IFERROR(__xludf.DUMMYFUNCTION("""COMPUTED_VALUE"""),"7/10 Tuy Lý Vương")</f>
        <v>7/10 Tuy Lý Vương</v>
      </c>
      <c r="D7215" s="119" t="str">
        <f>IFERROR(__xludf.DUMMYFUNCTION("""COMPUTED_VALUE"""),"Chó")</f>
        <v>Chó</v>
      </c>
      <c r="E7215" s="119" t="str">
        <f>IFERROR(__xludf.DUMMYFUNCTION("""COMPUTED_VALUE"""),"Xoáy")</f>
        <v>Xoáy</v>
      </c>
    </row>
    <row r="7216" ht="15.75" customHeight="1">
      <c r="A7216" s="122" t="str">
        <f>IFERROR(__xludf.DUMMYFUNCTION("""COMPUTED_VALUE"""),"0937 568 902")</f>
        <v>0937 568 902</v>
      </c>
      <c r="B7216" s="119" t="str">
        <f>IFERROR(__xludf.DUMMYFUNCTION("""COMPUTED_VALUE"""),"Em Tin")</f>
        <v>Em Tin</v>
      </c>
      <c r="C7216" s="119" t="str">
        <f>IFERROR(__xludf.DUMMYFUNCTION("""COMPUTED_VALUE"""),"Thuận An")</f>
        <v>Thuận An</v>
      </c>
      <c r="D7216" s="119" t="str">
        <f>IFERROR(__xludf.DUMMYFUNCTION("""COMPUTED_VALUE"""),"Chó")</f>
        <v>Chó</v>
      </c>
      <c r="E7216" s="119"/>
    </row>
    <row r="7217" ht="15.75" customHeight="1">
      <c r="A7217" s="122" t="str">
        <f>IFERROR(__xludf.DUMMYFUNCTION("""COMPUTED_VALUE"""),"0886 527 791")</f>
        <v>0886 527 791</v>
      </c>
      <c r="B7217" s="119" t="str">
        <f>IFERROR(__xludf.DUMMYFUNCTION("""COMPUTED_VALUE"""),"Khách")</f>
        <v>Khách</v>
      </c>
      <c r="C7217" s="119" t="str">
        <f>IFERROR(__xludf.DUMMYFUNCTION("""COMPUTED_VALUE"""),"K141 Hàn Mặc Tử")</f>
        <v>K141 Hàn Mặc Tử</v>
      </c>
      <c r="D7217" s="119" t="str">
        <f>IFERROR(__xludf.DUMMYFUNCTION("""COMPUTED_VALUE"""),"Chó")</f>
        <v>Chó</v>
      </c>
      <c r="E7217" s="119" t="str">
        <f>IFERROR(__xludf.DUMMYFUNCTION("""COMPUTED_VALUE"""),"Lạc")</f>
        <v>Lạc</v>
      </c>
    </row>
    <row r="7218" ht="15.75" customHeight="1">
      <c r="A7218" s="122" t="str">
        <f>IFERROR(__xludf.DUMMYFUNCTION("""COMPUTED_VALUE"""),"0782 775 667")</f>
        <v>0782 775 667</v>
      </c>
      <c r="B7218" s="119" t="str">
        <f>IFERROR(__xludf.DUMMYFUNCTION("""COMPUTED_VALUE"""),"Anh Hiệp")</f>
        <v>Anh Hiệp</v>
      </c>
      <c r="C7218" s="119" t="str">
        <f>IFERROR(__xludf.DUMMYFUNCTION("""COMPUTED_VALUE"""),"Hai Bà Trưng")</f>
        <v>Hai Bà Trưng</v>
      </c>
      <c r="D7218" s="119" t="str">
        <f>IFERROR(__xludf.DUMMYFUNCTION("""COMPUTED_VALUE"""),"Chó")</f>
        <v>Chó</v>
      </c>
      <c r="E7218" s="119" t="str">
        <f>IFERROR(__xludf.DUMMYFUNCTION("""COMPUTED_VALUE"""),"Ruby")</f>
        <v>Ruby</v>
      </c>
    </row>
    <row r="7219" ht="15.75" customHeight="1">
      <c r="A7219" s="122" t="str">
        <f>IFERROR(__xludf.DUMMYFUNCTION("""COMPUTED_VALUE"""),"0935 564 037")</f>
        <v>0935 564 037</v>
      </c>
      <c r="B7219" s="119" t="str">
        <f>IFERROR(__xludf.DUMMYFUNCTION("""COMPUTED_VALUE"""),"Anh Định")</f>
        <v>Anh Định</v>
      </c>
      <c r="C7219" s="119" t="str">
        <f>IFERROR(__xludf.DUMMYFUNCTION("""COMPUTED_VALUE"""),"79 Nguyễn Công Trứ")</f>
        <v>79 Nguyễn Công Trứ</v>
      </c>
      <c r="D7219" s="119" t="str">
        <f>IFERROR(__xludf.DUMMYFUNCTION("""COMPUTED_VALUE"""),"Chó")</f>
        <v>Chó</v>
      </c>
      <c r="E7219" s="119" t="str">
        <f>IFERROR(__xludf.DUMMYFUNCTION("""COMPUTED_VALUE"""),"Bông")</f>
        <v>Bông</v>
      </c>
    </row>
    <row r="7220" ht="15.75" customHeight="1">
      <c r="A7220" s="122" t="str">
        <f>IFERROR(__xludf.DUMMYFUNCTION("""COMPUTED_VALUE"""),"0931 915 136")</f>
        <v>0931 915 136</v>
      </c>
      <c r="B7220" s="119" t="str">
        <f>IFERROR(__xludf.DUMMYFUNCTION("""COMPUTED_VALUE"""),"Anh Thuận")</f>
        <v>Anh Thuận</v>
      </c>
      <c r="C7220" s="119" t="str">
        <f>IFERROR(__xludf.DUMMYFUNCTION("""COMPUTED_VALUE"""),"77 Trưng Nữ Vương")</f>
        <v>77 Trưng Nữ Vương</v>
      </c>
      <c r="D7220" s="119" t="str">
        <f>IFERROR(__xludf.DUMMYFUNCTION("""COMPUTED_VALUE"""),"Thỏ")</f>
        <v>Thỏ</v>
      </c>
      <c r="E7220" s="119"/>
    </row>
    <row r="7221" ht="15.75" customHeight="1">
      <c r="A7221" s="122" t="str">
        <f>IFERROR(__xludf.DUMMYFUNCTION("""COMPUTED_VALUE"""),"0785 829 699")</f>
        <v>0785 829 699</v>
      </c>
      <c r="B7221" s="119" t="str">
        <f>IFERROR(__xludf.DUMMYFUNCTION("""COMPUTED_VALUE"""),"Anh Hoàng")</f>
        <v>Anh Hoàng</v>
      </c>
      <c r="C7221" s="119" t="str">
        <f>IFERROR(__xludf.DUMMYFUNCTION("""COMPUTED_VALUE"""),"72 Hải Bình")</f>
        <v>72 Hải Bình</v>
      </c>
      <c r="D7221" s="119" t="str">
        <f>IFERROR(__xludf.DUMMYFUNCTION("""COMPUTED_VALUE"""),"Mèo")</f>
        <v>Mèo</v>
      </c>
      <c r="E7221" s="119" t="str">
        <f>IFERROR(__xludf.DUMMYFUNCTION("""COMPUTED_VALUE"""),"Nếp")</f>
        <v>Nếp</v>
      </c>
    </row>
    <row r="7222" ht="15.75" customHeight="1">
      <c r="A7222" s="122" t="str">
        <f>IFERROR(__xludf.DUMMYFUNCTION("""COMPUTED_VALUE"""),"0942 234 558")</f>
        <v>0942 234 558</v>
      </c>
      <c r="B7222" s="119" t="str">
        <f>IFERROR(__xludf.DUMMYFUNCTION("""COMPUTED_VALUE"""),"Chú Vũ")</f>
        <v>Chú Vũ</v>
      </c>
      <c r="C7222" s="119" t="str">
        <f>IFERROR(__xludf.DUMMYFUNCTION("""COMPUTED_VALUE"""),"14/20 Trần Quang Khải")</f>
        <v>14/20 Trần Quang Khải</v>
      </c>
      <c r="D7222" s="119" t="str">
        <f>IFERROR(__xludf.DUMMYFUNCTION("""COMPUTED_VALUE"""),"Chó")</f>
        <v>Chó</v>
      </c>
      <c r="E7222" s="119" t="str">
        <f>IFERROR(__xludf.DUMMYFUNCTION("""COMPUTED_VALUE"""),"Milu")</f>
        <v>Milu</v>
      </c>
    </row>
    <row r="7223" ht="15.75" customHeight="1">
      <c r="A7223" s="122" t="str">
        <f>IFERROR(__xludf.DUMMYFUNCTION("""COMPUTED_VALUE"""),"0363 839 408")</f>
        <v>0363 839 408</v>
      </c>
      <c r="B7223" s="119" t="str">
        <f>IFERROR(__xludf.DUMMYFUNCTION("""COMPUTED_VALUE"""),"Sauligno")</f>
        <v>Sauligno</v>
      </c>
      <c r="C7223" s="119" t="str">
        <f>IFERROR(__xludf.DUMMYFUNCTION("""COMPUTED_VALUE"""),"KTX Sinh Viên Lào")</f>
        <v>KTX Sinh Viên Lào</v>
      </c>
      <c r="D7223" s="119" t="str">
        <f>IFERROR(__xludf.DUMMYFUNCTION("""COMPUTED_VALUE"""),"Mèo")</f>
        <v>Mèo</v>
      </c>
      <c r="E7223" s="119" t="str">
        <f>IFERROR(__xludf.DUMMYFUNCTION("""COMPUTED_VALUE"""),"Mori")</f>
        <v>Mori</v>
      </c>
    </row>
    <row r="7224" ht="15.75" customHeight="1">
      <c r="A7224" s="122" t="str">
        <f>IFERROR(__xludf.DUMMYFUNCTION("""COMPUTED_VALUE"""),"0948 851 245")</f>
        <v>0948 851 245</v>
      </c>
      <c r="B7224" s="119" t="str">
        <f>IFERROR(__xludf.DUMMYFUNCTION("""COMPUTED_VALUE"""),"a Trường")</f>
        <v>a Trường</v>
      </c>
      <c r="C7224" s="119" t="str">
        <f>IFERROR(__xludf.DUMMYFUNCTION("""COMPUTED_VALUE"""),"7/69 Lê Ngô Cát")</f>
        <v>7/69 Lê Ngô Cát</v>
      </c>
      <c r="D7224" s="119" t="str">
        <f>IFERROR(__xludf.DUMMYFUNCTION("""COMPUTED_VALUE"""),"Chó")</f>
        <v>Chó</v>
      </c>
      <c r="E7224" s="119" t="str">
        <f>IFERROR(__xludf.DUMMYFUNCTION("""COMPUTED_VALUE"""),"vàng")</f>
        <v>vàng</v>
      </c>
    </row>
    <row r="7225" ht="15.75" customHeight="1">
      <c r="A7225" s="122" t="str">
        <f>IFERROR(__xludf.DUMMYFUNCTION("""COMPUTED_VALUE"""),"0365 751 005")</f>
        <v>0365 751 005</v>
      </c>
      <c r="B7225" s="119" t="str">
        <f>IFERROR(__xludf.DUMMYFUNCTION("""COMPUTED_VALUE"""),"Kiều Oanh")</f>
        <v>Kiều Oanh</v>
      </c>
      <c r="C7225" s="119" t="str">
        <f>IFERROR(__xludf.DUMMYFUNCTION("""COMPUTED_VALUE"""),"14/29 Hàm Nghi")</f>
        <v>14/29 Hàm Nghi</v>
      </c>
      <c r="D7225" s="119" t="str">
        <f>IFERROR(__xludf.DUMMYFUNCTION("""COMPUTED_VALUE"""),"Mèo")</f>
        <v>Mèo</v>
      </c>
      <c r="E7225" s="119" t="str">
        <f>IFERROR(__xludf.DUMMYFUNCTION("""COMPUTED_VALUE"""),"ko")</f>
        <v>ko</v>
      </c>
    </row>
    <row r="7226" ht="15.75" customHeight="1">
      <c r="A7226" s="122" t="str">
        <f>IFERROR(__xludf.DUMMYFUNCTION("""COMPUTED_VALUE"""),"0905 832 535")</f>
        <v>0905 832 535</v>
      </c>
      <c r="B7226" s="119" t="str">
        <f>IFERROR(__xludf.DUMMYFUNCTION("""COMPUTED_VALUE"""),"chị Nhi")</f>
        <v>chị Nhi</v>
      </c>
      <c r="C7226" s="119" t="str">
        <f>IFERROR(__xludf.DUMMYFUNCTION("""COMPUTED_VALUE"""),"1/34 Võ Liêm Sơn")</f>
        <v>1/34 Võ Liêm Sơn</v>
      </c>
      <c r="D7226" s="119" t="str">
        <f>IFERROR(__xludf.DUMMYFUNCTION("""COMPUTED_VALUE"""),"Mèo")</f>
        <v>Mèo</v>
      </c>
      <c r="E7226" s="119" t="str">
        <f>IFERROR(__xludf.DUMMYFUNCTION("""COMPUTED_VALUE"""),"đậu")</f>
        <v>đậu</v>
      </c>
    </row>
    <row r="7227" ht="15.75" customHeight="1">
      <c r="A7227" s="122" t="str">
        <f>IFERROR(__xludf.DUMMYFUNCTION("""COMPUTED_VALUE"""),"0766 624 266")</f>
        <v>0766 624 266</v>
      </c>
      <c r="B7227" s="119" t="str">
        <f>IFERROR(__xludf.DUMMYFUNCTION("""COMPUTED_VALUE"""),"chị Hằng")</f>
        <v>chị Hằng</v>
      </c>
      <c r="C7227" s="119" t="str">
        <f>IFERROR(__xludf.DUMMYFUNCTION("""COMPUTED_VALUE"""),"388 Chi Lăng")</f>
        <v>388 Chi Lăng</v>
      </c>
      <c r="D7227" s="119" t="str">
        <f>IFERROR(__xludf.DUMMYFUNCTION("""COMPUTED_VALUE"""),"Chó")</f>
        <v>Chó</v>
      </c>
      <c r="E7227" s="119" t="str">
        <f>IFERROR(__xludf.DUMMYFUNCTION("""COMPUTED_VALUE"""),"bò")</f>
        <v>bò</v>
      </c>
    </row>
    <row r="7228" ht="15.75" customHeight="1">
      <c r="A7228" s="122" t="str">
        <f>IFERROR(__xludf.DUMMYFUNCTION("""COMPUTED_VALUE"""),"0779 488 768")</f>
        <v>0779 488 768</v>
      </c>
      <c r="B7228" s="119" t="str">
        <f>IFERROR(__xludf.DUMMYFUNCTION("""COMPUTED_VALUE"""),"chị Tâm")</f>
        <v>chị Tâm</v>
      </c>
      <c r="C7228" s="119" t="str">
        <f>IFERROR(__xludf.DUMMYFUNCTION("""COMPUTED_VALUE"""),"60 Triệu Việt Vương")</f>
        <v>60 Triệu Việt Vương</v>
      </c>
      <c r="D7228" s="119" t="str">
        <f>IFERROR(__xludf.DUMMYFUNCTION("""COMPUTED_VALUE"""),"Chó")</f>
        <v>Chó</v>
      </c>
      <c r="E7228" s="119" t="str">
        <f>IFERROR(__xludf.DUMMYFUNCTION("""COMPUTED_VALUE"""),"bơ")</f>
        <v>bơ</v>
      </c>
    </row>
    <row r="7229" ht="15.75" customHeight="1">
      <c r="A7229" s="122" t="str">
        <f>IFERROR(__xludf.DUMMYFUNCTION("""COMPUTED_VALUE"""),"0782 090 953")</f>
        <v>0782 090 953</v>
      </c>
      <c r="B7229" s="119" t="str">
        <f>IFERROR(__xludf.DUMMYFUNCTION("""COMPUTED_VALUE"""),"a Tuấn")</f>
        <v>a Tuấn</v>
      </c>
      <c r="C7229" s="119" t="str">
        <f>IFERROR(__xludf.DUMMYFUNCTION("""COMPUTED_VALUE"""),"8/167 Đào Duy Anh")</f>
        <v>8/167 Đào Duy Anh</v>
      </c>
      <c r="D7229" s="119" t="str">
        <f>IFERROR(__xludf.DUMMYFUNCTION("""COMPUTED_VALUE"""),"Chó")</f>
        <v>Chó</v>
      </c>
      <c r="E7229" s="119" t="str">
        <f>IFERROR(__xludf.DUMMYFUNCTION("""COMPUTED_VALUE"""),"xệ")</f>
        <v>xệ</v>
      </c>
    </row>
    <row r="7230" ht="15.75" customHeight="1">
      <c r="A7230" s="122" t="str">
        <f>IFERROR(__xludf.DUMMYFUNCTION("""COMPUTED_VALUE"""),"0988 746 620")</f>
        <v>0988 746 620</v>
      </c>
      <c r="B7230" s="119" t="str">
        <f>IFERROR(__xludf.DUMMYFUNCTION("""COMPUTED_VALUE"""),"chị Hằng")</f>
        <v>chị Hằng</v>
      </c>
      <c r="C7230" s="119" t="str">
        <f>IFERROR(__xludf.DUMMYFUNCTION("""COMPUTED_VALUE"""),"14/9/245 Phạm Văn Đồng")</f>
        <v>14/9/245 Phạm Văn Đồng</v>
      </c>
      <c r="D7230" s="119" t="str">
        <f>IFERROR(__xludf.DUMMYFUNCTION("""COMPUTED_VALUE"""),"Chó")</f>
        <v>Chó</v>
      </c>
      <c r="E7230" s="119" t="str">
        <f>IFERROR(__xludf.DUMMYFUNCTION("""COMPUTED_VALUE"""),"hạt dẻ")</f>
        <v>hạt dẻ</v>
      </c>
    </row>
    <row r="7231" ht="15.75" customHeight="1">
      <c r="A7231" s="122" t="str">
        <f>IFERROR(__xludf.DUMMYFUNCTION("""COMPUTED_VALUE"""),"0911 346 757")</f>
        <v>0911 346 757</v>
      </c>
      <c r="B7231" s="119" t="str">
        <f>IFERROR(__xludf.DUMMYFUNCTION("""COMPUTED_VALUE"""),"Anh Long")</f>
        <v>Anh Long</v>
      </c>
      <c r="C7231" s="119" t="str">
        <f>IFERROR(__xludf.DUMMYFUNCTION("""COMPUTED_VALUE"""),"6/57 Mạc Đĩnh Chi")</f>
        <v>6/57 Mạc Đĩnh Chi</v>
      </c>
      <c r="D7231" s="119" t="str">
        <f>IFERROR(__xludf.DUMMYFUNCTION("""COMPUTED_VALUE"""),"Chó")</f>
        <v>Chó</v>
      </c>
      <c r="E7231" s="119" t="str">
        <f>IFERROR(__xludf.DUMMYFUNCTION("""COMPUTED_VALUE"""),"Kem")</f>
        <v>Kem</v>
      </c>
    </row>
    <row r="7232" ht="15.75" customHeight="1">
      <c r="A7232" s="122" t="str">
        <f>IFERROR(__xludf.DUMMYFUNCTION("""COMPUTED_VALUE"""),"0762 521 256")</f>
        <v>0762 521 256</v>
      </c>
      <c r="B7232" s="119" t="str">
        <f>IFERROR(__xludf.DUMMYFUNCTION("""COMPUTED_VALUE"""),"Chị Thảo Nguyên")</f>
        <v>Chị Thảo Nguyên</v>
      </c>
      <c r="C7232" s="119" t="str">
        <f>IFERROR(__xludf.DUMMYFUNCTION("""COMPUTED_VALUE"""),"7/47 Thanh Tịnh")</f>
        <v>7/47 Thanh Tịnh</v>
      </c>
      <c r="D7232" s="119" t="str">
        <f>IFERROR(__xludf.DUMMYFUNCTION("""COMPUTED_VALUE"""),"Chó")</f>
        <v>Chó</v>
      </c>
      <c r="E7232" s="119" t="str">
        <f>IFERROR(__xludf.DUMMYFUNCTION("""COMPUTED_VALUE"""),"Miu")</f>
        <v>Miu</v>
      </c>
    </row>
    <row r="7233" ht="15.75" customHeight="1">
      <c r="A7233" s="122" t="str">
        <f>IFERROR(__xludf.DUMMYFUNCTION("""COMPUTED_VALUE"""),"0889 732 411")</f>
        <v>0889 732 411</v>
      </c>
      <c r="B7233" s="119" t="str">
        <f>IFERROR(__xludf.DUMMYFUNCTION("""COMPUTED_VALUE"""),"Em Lê")</f>
        <v>Em Lê</v>
      </c>
      <c r="C7233" s="119" t="str">
        <f>IFERROR(__xludf.DUMMYFUNCTION("""COMPUTED_VALUE"""),"Hương Trà")</f>
        <v>Hương Trà</v>
      </c>
      <c r="D7233" s="119" t="str">
        <f>IFERROR(__xludf.DUMMYFUNCTION("""COMPUTED_VALUE"""),"Mèo")</f>
        <v>Mèo</v>
      </c>
      <c r="E7233" s="119" t="str">
        <f>IFERROR(__xludf.DUMMYFUNCTION("""COMPUTED_VALUE"""),"Py")</f>
        <v>Py</v>
      </c>
    </row>
    <row r="7234" ht="15.75" customHeight="1">
      <c r="A7234" s="122" t="str">
        <f>IFERROR(__xludf.DUMMYFUNCTION("""COMPUTED_VALUE"""),"0789 469 119")</f>
        <v>0789 469 119</v>
      </c>
      <c r="B7234" s="119" t="str">
        <f>IFERROR(__xludf.DUMMYFUNCTION("""COMPUTED_VALUE"""),"Trà My")</f>
        <v>Trà My</v>
      </c>
      <c r="C7234" s="119" t="str">
        <f>IFERROR(__xludf.DUMMYFUNCTION("""COMPUTED_VALUE"""),"106 Bạch Đằng")</f>
        <v>106 Bạch Đằng</v>
      </c>
      <c r="D7234" s="119" t="str">
        <f>IFERROR(__xludf.DUMMYFUNCTION("""COMPUTED_VALUE"""),"Chó")</f>
        <v>Chó</v>
      </c>
      <c r="E7234" s="119" t="str">
        <f>IFERROR(__xludf.DUMMYFUNCTION("""COMPUTED_VALUE"""),"Bông")</f>
        <v>Bông</v>
      </c>
    </row>
    <row r="7235" ht="15.75" customHeight="1">
      <c r="A7235" s="122" t="str">
        <f>IFERROR(__xludf.DUMMYFUNCTION("""COMPUTED_VALUE"""),"0966 440 499")</f>
        <v>0966 440 499</v>
      </c>
      <c r="B7235" s="119" t="str">
        <f>IFERROR(__xludf.DUMMYFUNCTION("""COMPUTED_VALUE"""),"Cô Minh Thủy")</f>
        <v>Cô Minh Thủy</v>
      </c>
      <c r="C7235" s="119" t="str">
        <f>IFERROR(__xludf.DUMMYFUNCTION("""COMPUTED_VALUE"""),"Quảng Điền")</f>
        <v>Quảng Điền</v>
      </c>
      <c r="D7235" s="119" t="str">
        <f>IFERROR(__xludf.DUMMYFUNCTION("""COMPUTED_VALUE"""),"Mèo")</f>
        <v>Mèo</v>
      </c>
      <c r="E7235" s="119" t="str">
        <f>IFERROR(__xludf.DUMMYFUNCTION("""COMPUTED_VALUE"""),"Măng")</f>
        <v>Măng</v>
      </c>
    </row>
    <row r="7236" ht="15.75" customHeight="1">
      <c r="A7236" s="122" t="str">
        <f>IFERROR(__xludf.DUMMYFUNCTION("""COMPUTED_VALUE"""),"0983 019 116")</f>
        <v>0983 019 116</v>
      </c>
      <c r="B7236" s="119" t="str">
        <f>IFERROR(__xludf.DUMMYFUNCTION("""COMPUTED_VALUE"""),"anh Tuấn")</f>
        <v>anh Tuấn</v>
      </c>
      <c r="C7236" s="119" t="str">
        <f>IFERROR(__xludf.DUMMYFUNCTION("""COMPUTED_VALUE"""),"K131 Trần Phú")</f>
        <v>K131 Trần Phú</v>
      </c>
      <c r="D7236" s="119" t="str">
        <f>IFERROR(__xludf.DUMMYFUNCTION("""COMPUTED_VALUE"""),"Chó")</f>
        <v>Chó</v>
      </c>
      <c r="E7236" s="119" t="str">
        <f>IFERROR(__xludf.DUMMYFUNCTION("""COMPUTED_VALUE"""),"Đen")</f>
        <v>Đen</v>
      </c>
    </row>
    <row r="7237" ht="15.75" customHeight="1">
      <c r="A7237" s="122" t="str">
        <f>IFERROR(__xludf.DUMMYFUNCTION("""COMPUTED_VALUE"""),"0929 382 474")</f>
        <v>0929 382 474</v>
      </c>
      <c r="B7237" s="119" t="str">
        <f>IFERROR(__xludf.DUMMYFUNCTION("""COMPUTED_VALUE"""),"Em Trí")</f>
        <v>Em Trí</v>
      </c>
      <c r="C7237" s="119" t="str">
        <f>IFERROR(__xludf.DUMMYFUNCTION("""COMPUTED_VALUE"""),"Phú Vang")</f>
        <v>Phú Vang</v>
      </c>
      <c r="D7237" s="119" t="str">
        <f>IFERROR(__xludf.DUMMYFUNCTION("""COMPUTED_VALUE"""),"Mèo")</f>
        <v>Mèo</v>
      </c>
      <c r="E7237" s="119" t="str">
        <f>IFERROR(__xludf.DUMMYFUNCTION("""COMPUTED_VALUE"""),"Min")</f>
        <v>Min</v>
      </c>
    </row>
    <row r="7238" ht="15.75" customHeight="1">
      <c r="A7238" s="122" t="str">
        <f>IFERROR(__xludf.DUMMYFUNCTION("""COMPUTED_VALUE"""),"0932 500 352")</f>
        <v>0932 500 352</v>
      </c>
      <c r="B7238" s="119" t="str">
        <f>IFERROR(__xludf.DUMMYFUNCTION("""COMPUTED_VALUE"""),"Anh Thắng")</f>
        <v>Anh Thắng</v>
      </c>
      <c r="C7238" s="119" t="str">
        <f>IFERROR(__xludf.DUMMYFUNCTION("""COMPUTED_VALUE"""),"Lưu Hữu Phước")</f>
        <v>Lưu Hữu Phước</v>
      </c>
      <c r="D7238" s="119" t="str">
        <f>IFERROR(__xludf.DUMMYFUNCTION("""COMPUTED_VALUE"""),"Chó")</f>
        <v>Chó</v>
      </c>
      <c r="E7238" s="119" t="str">
        <f>IFERROR(__xludf.DUMMYFUNCTION("""COMPUTED_VALUE"""),"Bông")</f>
        <v>Bông</v>
      </c>
    </row>
    <row r="7239" ht="15.75" customHeight="1">
      <c r="A7239" s="122" t="str">
        <f>IFERROR(__xludf.DUMMYFUNCTION("""COMPUTED_VALUE"""),"0768 585 800")</f>
        <v>0768 585 800</v>
      </c>
      <c r="B7239" s="119" t="str">
        <f>IFERROR(__xludf.DUMMYFUNCTION("""COMPUTED_VALUE"""),"Chị Misa")</f>
        <v>Chị Misa</v>
      </c>
      <c r="C7239" s="119" t="str">
        <f>IFERROR(__xludf.DUMMYFUNCTION("""COMPUTED_VALUE"""),"238 Phan Bội Châu")</f>
        <v>238 Phan Bội Châu</v>
      </c>
      <c r="D7239" s="119" t="str">
        <f>IFERROR(__xludf.DUMMYFUNCTION("""COMPUTED_VALUE"""),"Chó")</f>
        <v>Chó</v>
      </c>
      <c r="E7239" s="119"/>
    </row>
    <row r="7240" ht="15.75" customHeight="1">
      <c r="A7240" s="122" t="str">
        <f>IFERROR(__xludf.DUMMYFUNCTION("""COMPUTED_VALUE"""),"0902 133 342")</f>
        <v>0902 133 342</v>
      </c>
      <c r="B7240" s="119" t="str">
        <f>IFERROR(__xludf.DUMMYFUNCTION("""COMPUTED_VALUE"""),"chị Loan")</f>
        <v>chị Loan</v>
      </c>
      <c r="C7240" s="119" t="str">
        <f>IFERROR(__xludf.DUMMYFUNCTION("""COMPUTED_VALUE"""),"01 Võ Thị Sáu")</f>
        <v>01 Võ Thị Sáu</v>
      </c>
      <c r="D7240" s="119" t="str">
        <f>IFERROR(__xludf.DUMMYFUNCTION("""COMPUTED_VALUE"""),"Chó")</f>
        <v>Chó</v>
      </c>
      <c r="E7240" s="119" t="str">
        <f>IFERROR(__xludf.DUMMYFUNCTION("""COMPUTED_VALUE"""),"Sữa")</f>
        <v>Sữa</v>
      </c>
    </row>
    <row r="7241" ht="15.75" customHeight="1">
      <c r="A7241" s="122" t="str">
        <f>IFERROR(__xludf.DUMMYFUNCTION("""COMPUTED_VALUE"""),"0987 132 543")</f>
        <v>0987 132 543</v>
      </c>
      <c r="B7241" s="119" t="str">
        <f>IFERROR(__xludf.DUMMYFUNCTION("""COMPUTED_VALUE"""),"em Đức")</f>
        <v>em Đức</v>
      </c>
      <c r="C7241" s="119" t="str">
        <f>IFERROR(__xludf.DUMMYFUNCTION("""COMPUTED_VALUE"""),"100 Trần Văn Kỷ")</f>
        <v>100 Trần Văn Kỷ</v>
      </c>
      <c r="D7241" s="119" t="str">
        <f>IFERROR(__xludf.DUMMYFUNCTION("""COMPUTED_VALUE"""),"Mèo")</f>
        <v>Mèo</v>
      </c>
      <c r="E7241" s="119" t="str">
        <f>IFERROR(__xludf.DUMMYFUNCTION("""COMPUTED_VALUE"""),"tóp")</f>
        <v>tóp</v>
      </c>
    </row>
    <row r="7242" ht="15.75" customHeight="1">
      <c r="A7242" s="122" t="str">
        <f>IFERROR(__xludf.DUMMYFUNCTION("""COMPUTED_VALUE"""),"0909 806 223")</f>
        <v>0909 806 223</v>
      </c>
      <c r="B7242" s="119" t="str">
        <f>IFERROR(__xludf.DUMMYFUNCTION("""COMPUTED_VALUE"""),"anh Đức")</f>
        <v>anh Đức</v>
      </c>
      <c r="C7242" s="119" t="str">
        <f>IFERROR(__xludf.DUMMYFUNCTION("""COMPUTED_VALUE"""),"23 Hàm Nghi")</f>
        <v>23 Hàm Nghi</v>
      </c>
      <c r="D7242" s="119" t="str">
        <f>IFERROR(__xludf.DUMMYFUNCTION("""COMPUTED_VALUE"""),"Mèo")</f>
        <v>Mèo</v>
      </c>
      <c r="E7242" s="119" t="str">
        <f>IFERROR(__xludf.DUMMYFUNCTION("""COMPUTED_VALUE"""),"vàng")</f>
        <v>vàng</v>
      </c>
    </row>
    <row r="7243" ht="15.75" customHeight="1">
      <c r="A7243" s="122" t="str">
        <f>IFERROR(__xludf.DUMMYFUNCTION("""COMPUTED_VALUE"""),"0914 121 474")</f>
        <v>0914 121 474</v>
      </c>
      <c r="B7243" s="119" t="str">
        <f>IFERROR(__xludf.DUMMYFUNCTION("""COMPUTED_VALUE"""),"Quế Phương")</f>
        <v>Quế Phương</v>
      </c>
      <c r="C7243" s="119" t="str">
        <f>IFERROR(__xludf.DUMMYFUNCTION("""COMPUTED_VALUE"""),"24/16 Hai Bà Trưng")</f>
        <v>24/16 Hai Bà Trưng</v>
      </c>
      <c r="D7243" s="119" t="str">
        <f>IFERROR(__xludf.DUMMYFUNCTION("""COMPUTED_VALUE"""),"Mèo")</f>
        <v>Mèo</v>
      </c>
      <c r="E7243" s="119" t="str">
        <f>IFERROR(__xludf.DUMMYFUNCTION("""COMPUTED_VALUE"""),"tin")</f>
        <v>tin</v>
      </c>
    </row>
    <row r="7244" ht="15.75" customHeight="1">
      <c r="A7244" s="122" t="str">
        <f>IFERROR(__xludf.DUMMYFUNCTION("""COMPUTED_VALUE"""),"0983 499 847")</f>
        <v>0983 499 847</v>
      </c>
      <c r="B7244" s="119" t="str">
        <f>IFERROR(__xludf.DUMMYFUNCTION("""COMPUTED_VALUE"""),"Anh Phương Đức")</f>
        <v>Anh Phương Đức</v>
      </c>
      <c r="C7244" s="119" t="str">
        <f>IFERROR(__xludf.DUMMYFUNCTION("""COMPUTED_VALUE"""),"Phong Hải, Phong Điền")</f>
        <v>Phong Hải, Phong Điền</v>
      </c>
      <c r="D7244" s="119" t="str">
        <f>IFERROR(__xludf.DUMMYFUNCTION("""COMPUTED_VALUE"""),"Chó")</f>
        <v>Chó</v>
      </c>
      <c r="E7244" s="119" t="str">
        <f>IFERROR(__xludf.DUMMYFUNCTION("""COMPUTED_VALUE"""),"Lasi")</f>
        <v>Lasi</v>
      </c>
    </row>
    <row r="7245" ht="15.75" customHeight="1">
      <c r="A7245" s="122" t="str">
        <f>IFERROR(__xludf.DUMMYFUNCTION("""COMPUTED_VALUE"""),"0857 860 369")</f>
        <v>0857 860 369</v>
      </c>
      <c r="B7245" s="119" t="str">
        <f>IFERROR(__xludf.DUMMYFUNCTION("""COMPUTED_VALUE"""),"Chị Ý")</f>
        <v>Chị Ý</v>
      </c>
      <c r="C7245" s="119" t="str">
        <f>IFERROR(__xludf.DUMMYFUNCTION("""COMPUTED_VALUE"""),"Lộc Điền, Phú Lộc")</f>
        <v>Lộc Điền, Phú Lộc</v>
      </c>
      <c r="D7245" s="119" t="str">
        <f>IFERROR(__xludf.DUMMYFUNCTION("""COMPUTED_VALUE"""),"Chó")</f>
        <v>Chó</v>
      </c>
      <c r="E7245" s="119" t="str">
        <f>IFERROR(__xludf.DUMMYFUNCTION("""COMPUTED_VALUE"""),"Kin")</f>
        <v>Kin</v>
      </c>
    </row>
    <row r="7246" ht="15.75" customHeight="1">
      <c r="A7246" s="122" t="str">
        <f>IFERROR(__xludf.DUMMYFUNCTION("""COMPUTED_VALUE"""),"0969 032 901")</f>
        <v>0969 032 901</v>
      </c>
      <c r="B7246" s="119" t="str">
        <f>IFERROR(__xludf.DUMMYFUNCTION("""COMPUTED_VALUE"""),"Chị Hồng")</f>
        <v>Chị Hồng</v>
      </c>
      <c r="C7246" s="119" t="str">
        <f>IFERROR(__xludf.DUMMYFUNCTION("""COMPUTED_VALUE"""),"Phạm Văn Đồng")</f>
        <v>Phạm Văn Đồng</v>
      </c>
      <c r="D7246" s="119" t="str">
        <f>IFERROR(__xludf.DUMMYFUNCTION("""COMPUTED_VALUE"""),"Chó")</f>
        <v>Chó</v>
      </c>
      <c r="E7246" s="119" t="str">
        <f>IFERROR(__xludf.DUMMYFUNCTION("""COMPUTED_VALUE"""),"Mimi")</f>
        <v>Mimi</v>
      </c>
    </row>
    <row r="7247" ht="15.75" customHeight="1">
      <c r="A7247" s="122" t="str">
        <f>IFERROR(__xludf.DUMMYFUNCTION("""COMPUTED_VALUE"""),"0898 494 309")</f>
        <v>0898 494 309</v>
      </c>
      <c r="B7247" s="119" t="str">
        <f>IFERROR(__xludf.DUMMYFUNCTION("""COMPUTED_VALUE"""),"Kim Oanh")</f>
        <v>Kim Oanh</v>
      </c>
      <c r="C7247" s="119" t="str">
        <f>IFERROR(__xludf.DUMMYFUNCTION("""COMPUTED_VALUE"""),"21/115 Hàn Mặc Tử")</f>
        <v>21/115 Hàn Mặc Tử</v>
      </c>
      <c r="D7247" s="119" t="str">
        <f>IFERROR(__xludf.DUMMYFUNCTION("""COMPUTED_VALUE"""),"Chó")</f>
        <v>Chó</v>
      </c>
      <c r="E7247" s="119" t="str">
        <f>IFERROR(__xludf.DUMMYFUNCTION("""COMPUTED_VALUE"""),"Ky")</f>
        <v>Ky</v>
      </c>
    </row>
    <row r="7248" ht="15.75" customHeight="1">
      <c r="A7248" s="122" t="str">
        <f>IFERROR(__xludf.DUMMYFUNCTION("""COMPUTED_VALUE"""),"0795 717 240")</f>
        <v>0795 717 240</v>
      </c>
      <c r="B7248" s="119" t="str">
        <f>IFERROR(__xludf.DUMMYFUNCTION("""COMPUTED_VALUE"""),"Em Tài")</f>
        <v>Em Tài</v>
      </c>
      <c r="C7248" s="119" t="str">
        <f>IFERROR(__xludf.DUMMYFUNCTION("""COMPUTED_VALUE"""),"10 Bà Triệu")</f>
        <v>10 Bà Triệu</v>
      </c>
      <c r="D7248" s="119" t="str">
        <f>IFERROR(__xludf.DUMMYFUNCTION("""COMPUTED_VALUE"""),"Mèo")</f>
        <v>Mèo</v>
      </c>
      <c r="E7248" s="119" t="str">
        <f>IFERROR(__xludf.DUMMYFUNCTION("""COMPUTED_VALUE"""),"Dâu Tây")</f>
        <v>Dâu Tây</v>
      </c>
    </row>
    <row r="7249" ht="15.75" customHeight="1">
      <c r="A7249" s="122" t="str">
        <f>IFERROR(__xludf.DUMMYFUNCTION("""COMPUTED_VALUE"""),"0827 790 849")</f>
        <v>0827 790 849</v>
      </c>
      <c r="B7249" s="119" t="str">
        <f>IFERROR(__xludf.DUMMYFUNCTION("""COMPUTED_VALUE"""),"Anh Quốc")</f>
        <v>Anh Quốc</v>
      </c>
      <c r="C7249" s="119" t="str">
        <f>IFERROR(__xludf.DUMMYFUNCTION("""COMPUTED_VALUE"""),"Vỹ Dạ")</f>
        <v>Vỹ Dạ</v>
      </c>
      <c r="D7249" s="119" t="str">
        <f>IFERROR(__xludf.DUMMYFUNCTION("""COMPUTED_VALUE"""),"Chó")</f>
        <v>Chó</v>
      </c>
      <c r="E7249" s="119" t="str">
        <f>IFERROR(__xludf.DUMMYFUNCTION("""COMPUTED_VALUE"""),"Silin")</f>
        <v>Silin</v>
      </c>
    </row>
    <row r="7250" ht="15.75" customHeight="1">
      <c r="A7250" s="122" t="str">
        <f>IFERROR(__xludf.DUMMYFUNCTION("""COMPUTED_VALUE"""),"0333 994 649")</f>
        <v>0333 994 649</v>
      </c>
      <c r="B7250" s="119" t="str">
        <f>IFERROR(__xludf.DUMMYFUNCTION("""COMPUTED_VALUE"""),"Chị Linh")</f>
        <v>Chị Linh</v>
      </c>
      <c r="C7250" s="119" t="str">
        <f>IFERROR(__xludf.DUMMYFUNCTION("""COMPUTED_VALUE"""),"chung cư Aranya")</f>
        <v>chung cư Aranya</v>
      </c>
      <c r="D7250" s="119" t="str">
        <f>IFERROR(__xludf.DUMMYFUNCTION("""COMPUTED_VALUE"""),"Mèo")</f>
        <v>Mèo</v>
      </c>
      <c r="E7250" s="119"/>
    </row>
    <row r="7251" ht="15.75" customHeight="1">
      <c r="A7251" s="122" t="str">
        <f>IFERROR(__xludf.DUMMYFUNCTION("""COMPUTED_VALUE"""),"0944 471 699")</f>
        <v>0944 471 699</v>
      </c>
      <c r="B7251" s="119" t="str">
        <f>IFERROR(__xludf.DUMMYFUNCTION("""COMPUTED_VALUE"""),"Khánh Ngân")</f>
        <v>Khánh Ngân</v>
      </c>
      <c r="C7251" s="119" t="str">
        <f>IFERROR(__xludf.DUMMYFUNCTION("""COMPUTED_VALUE"""),"104A Dương VĂn An")</f>
        <v>104A Dương VĂn An</v>
      </c>
      <c r="D7251" s="119" t="str">
        <f>IFERROR(__xludf.DUMMYFUNCTION("""COMPUTED_VALUE"""),"Chuột")</f>
        <v>Chuột</v>
      </c>
      <c r="E7251" s="119" t="str">
        <f>IFERROR(__xludf.DUMMYFUNCTION("""COMPUTED_VALUE"""),"Hamter")</f>
        <v>Hamter</v>
      </c>
    </row>
    <row r="7252" ht="15.75" customHeight="1">
      <c r="A7252" s="122" t="str">
        <f>IFERROR(__xludf.DUMMYFUNCTION("""COMPUTED_VALUE"""),"0778 525 047")</f>
        <v>0778 525 047</v>
      </c>
      <c r="B7252" s="119" t="str">
        <f>IFERROR(__xludf.DUMMYFUNCTION("""COMPUTED_VALUE"""),"cô Băng")</f>
        <v>cô Băng</v>
      </c>
      <c r="C7252" s="119" t="str">
        <f>IFERROR(__xludf.DUMMYFUNCTION("""COMPUTED_VALUE"""),"95 Phan Đình Phùng")</f>
        <v>95 Phan Đình Phùng</v>
      </c>
      <c r="D7252" s="119" t="str">
        <f>IFERROR(__xludf.DUMMYFUNCTION("""COMPUTED_VALUE"""),"Chó")</f>
        <v>Chó</v>
      </c>
      <c r="E7252" s="119" t="str">
        <f>IFERROR(__xludf.DUMMYFUNCTION("""COMPUTED_VALUE"""),"vàng")</f>
        <v>vàng</v>
      </c>
    </row>
    <row r="7253" ht="15.75" customHeight="1">
      <c r="A7253" s="122" t="str">
        <f>IFERROR(__xludf.DUMMYFUNCTION("""COMPUTED_VALUE"""),"0969 970 051")</f>
        <v>0969 970 051</v>
      </c>
      <c r="B7253" s="119" t="str">
        <f>IFERROR(__xludf.DUMMYFUNCTION("""COMPUTED_VALUE"""),"chị Mai")</f>
        <v>chị Mai</v>
      </c>
      <c r="C7253" s="119" t="str">
        <f>IFERROR(__xludf.DUMMYFUNCTION("""COMPUTED_VALUE"""),"197/7 Ưng Bình")</f>
        <v>197/7 Ưng Bình</v>
      </c>
      <c r="D7253" s="119" t="str">
        <f>IFERROR(__xludf.DUMMYFUNCTION("""COMPUTED_VALUE"""),"Chó")</f>
        <v>Chó</v>
      </c>
      <c r="E7253" s="119" t="str">
        <f>IFERROR(__xludf.DUMMYFUNCTION("""COMPUTED_VALUE"""),"gấu")</f>
        <v>gấu</v>
      </c>
    </row>
    <row r="7254" ht="15.75" customHeight="1">
      <c r="A7254" s="122" t="str">
        <f>IFERROR(__xludf.DUMMYFUNCTION("""COMPUTED_VALUE"""),"0393 501 957")</f>
        <v>0393 501 957</v>
      </c>
      <c r="B7254" s="119" t="str">
        <f>IFERROR(__xludf.DUMMYFUNCTION("""COMPUTED_VALUE"""),"dì Ni")</f>
        <v>dì Ni</v>
      </c>
      <c r="C7254" s="119" t="str">
        <f>IFERROR(__xludf.DUMMYFUNCTION("""COMPUTED_VALUE"""),"127 Hàn Mặc Tử")</f>
        <v>127 Hàn Mặc Tử</v>
      </c>
      <c r="D7254" s="119" t="str">
        <f>IFERROR(__xludf.DUMMYFUNCTION("""COMPUTED_VALUE"""),"Chó")</f>
        <v>Chó</v>
      </c>
      <c r="E7254" s="119" t="str">
        <f>IFERROR(__xludf.DUMMYFUNCTION("""COMPUTED_VALUE"""),"vàng")</f>
        <v>vàng</v>
      </c>
    </row>
    <row r="7255" ht="15.75" customHeight="1">
      <c r="A7255" s="122" t="str">
        <f>IFERROR(__xludf.DUMMYFUNCTION("""COMPUTED_VALUE"""),"0914 579 383")</f>
        <v>0914 579 383</v>
      </c>
      <c r="B7255" s="119" t="str">
        <f>IFERROR(__xludf.DUMMYFUNCTION("""COMPUTED_VALUE"""),"anh Ty")</f>
        <v>anh Ty</v>
      </c>
      <c r="C7255" s="119" t="str">
        <f>IFERROR(__xludf.DUMMYFUNCTION("""COMPUTED_VALUE"""),"2 Bà Triệu")</f>
        <v>2 Bà Triệu</v>
      </c>
      <c r="D7255" s="119" t="str">
        <f>IFERROR(__xludf.DUMMYFUNCTION("""COMPUTED_VALUE"""),"Chó")</f>
        <v>Chó</v>
      </c>
      <c r="E7255" s="119" t="str">
        <f>IFERROR(__xludf.DUMMYFUNCTION("""COMPUTED_VALUE"""),"bun")</f>
        <v>bun</v>
      </c>
    </row>
    <row r="7256" ht="15.75" customHeight="1">
      <c r="A7256" s="122" t="str">
        <f>IFERROR(__xludf.DUMMYFUNCTION("""COMPUTED_VALUE"""),"0905 572 940")</f>
        <v>0905 572 940</v>
      </c>
      <c r="B7256" s="119" t="str">
        <f>IFERROR(__xludf.DUMMYFUNCTION("""COMPUTED_VALUE"""),"dì Hạnh")</f>
        <v>dì Hạnh</v>
      </c>
      <c r="C7256" s="119" t="str">
        <f>IFERROR(__xludf.DUMMYFUNCTION("""COMPUTED_VALUE"""),"14/15 Đống Đa")</f>
        <v>14/15 Đống Đa</v>
      </c>
      <c r="D7256" s="119" t="str">
        <f>IFERROR(__xludf.DUMMYFUNCTION("""COMPUTED_VALUE"""),"Chó")</f>
        <v>Chó</v>
      </c>
      <c r="E7256" s="119" t="str">
        <f>IFERROR(__xludf.DUMMYFUNCTION("""COMPUTED_VALUE"""),"mino")</f>
        <v>mino</v>
      </c>
    </row>
    <row r="7257" ht="15.75" customHeight="1">
      <c r="A7257" s="122" t="str">
        <f>IFERROR(__xludf.DUMMYFUNCTION("""COMPUTED_VALUE"""),"0379 398 903")</f>
        <v>0379 398 903</v>
      </c>
      <c r="B7257" s="119" t="str">
        <f>IFERROR(__xludf.DUMMYFUNCTION("""COMPUTED_VALUE"""),"Anh Nguyên")</f>
        <v>Anh Nguyên</v>
      </c>
      <c r="C7257" s="119" t="str">
        <f>IFERROR(__xludf.DUMMYFUNCTION("""COMPUTED_VALUE"""),"02 Nguyễn Độ Cung")</f>
        <v>02 Nguyễn Độ Cung</v>
      </c>
      <c r="D7257" s="119" t="str">
        <f>IFERROR(__xludf.DUMMYFUNCTION("""COMPUTED_VALUE"""),"Chó")</f>
        <v>Chó</v>
      </c>
      <c r="E7257" s="119" t="str">
        <f>IFERROR(__xludf.DUMMYFUNCTION("""COMPUTED_VALUE"""),"Mực")</f>
        <v>Mực</v>
      </c>
    </row>
    <row r="7258" ht="15.75" customHeight="1">
      <c r="A7258" s="122" t="str">
        <f>IFERROR(__xludf.DUMMYFUNCTION("""COMPUTED_VALUE"""),"0383 506 031")</f>
        <v>0383 506 031</v>
      </c>
      <c r="B7258" s="119" t="str">
        <f>IFERROR(__xludf.DUMMYFUNCTION("""COMPUTED_VALUE"""),"Anh Lợi")</f>
        <v>Anh Lợi</v>
      </c>
      <c r="C7258" s="119" t="str">
        <f>IFERROR(__xludf.DUMMYFUNCTION("""COMPUTED_VALUE"""),"30/44 Khúc Thừa Dụ")</f>
        <v>30/44 Khúc Thừa Dụ</v>
      </c>
      <c r="D7258" s="119" t="str">
        <f>IFERROR(__xludf.DUMMYFUNCTION("""COMPUTED_VALUE"""),"Mèo")</f>
        <v>Mèo</v>
      </c>
      <c r="E7258" s="119"/>
    </row>
    <row r="7259" ht="15.75" customHeight="1">
      <c r="A7259" s="122" t="str">
        <f>IFERROR(__xludf.DUMMYFUNCTION("""COMPUTED_VALUE"""),"0768 905 485")</f>
        <v>0768 905 485</v>
      </c>
      <c r="B7259" s="119" t="str">
        <f>IFERROR(__xludf.DUMMYFUNCTION("""COMPUTED_VALUE"""),"Thảo An")</f>
        <v>Thảo An</v>
      </c>
      <c r="C7259" s="119" t="str">
        <f>IFERROR(__xludf.DUMMYFUNCTION("""COMPUTED_VALUE"""),"10 Bến Nghé")</f>
        <v>10 Bến Nghé</v>
      </c>
      <c r="D7259" s="119" t="str">
        <f>IFERROR(__xludf.DUMMYFUNCTION("""COMPUTED_VALUE"""),"Chó")</f>
        <v>Chó</v>
      </c>
      <c r="E7259" s="119" t="str">
        <f>IFERROR(__xludf.DUMMYFUNCTION("""COMPUTED_VALUE"""),"Bia")</f>
        <v>Bia</v>
      </c>
    </row>
    <row r="7260" ht="15.75" customHeight="1">
      <c r="A7260" s="122" t="str">
        <f>IFERROR(__xludf.DUMMYFUNCTION("""COMPUTED_VALUE"""),"0896 208 364")</f>
        <v>0896 208 364</v>
      </c>
      <c r="B7260" s="119" t="str">
        <f>IFERROR(__xludf.DUMMYFUNCTION("""COMPUTED_VALUE"""),"Nguyễn Phan Quỳnh Diễm")</f>
        <v>Nguyễn Phan Quỳnh Diễm</v>
      </c>
      <c r="C7260" s="119" t="str">
        <f>IFERROR(__xludf.DUMMYFUNCTION("""COMPUTED_VALUE"""),"Phú Hải")</f>
        <v>Phú Hải</v>
      </c>
      <c r="D7260" s="119" t="str">
        <f>IFERROR(__xludf.DUMMYFUNCTION("""COMPUTED_VALUE"""),"Mèo")</f>
        <v>Mèo</v>
      </c>
      <c r="E7260" s="119" t="str">
        <f>IFERROR(__xludf.DUMMYFUNCTION("""COMPUTED_VALUE"""),"Mối")</f>
        <v>Mối</v>
      </c>
    </row>
    <row r="7261" ht="15.75" customHeight="1">
      <c r="A7261" s="122" t="str">
        <f>IFERROR(__xludf.DUMMYFUNCTION("""COMPUTED_VALUE"""),"0335 948 961")</f>
        <v>0335 948 961</v>
      </c>
      <c r="B7261" s="119" t="str">
        <f>IFERROR(__xludf.DUMMYFUNCTION("""COMPUTED_VALUE"""),"Trần Đình Bảo Duy")</f>
        <v>Trần Đình Bảo Duy</v>
      </c>
      <c r="C7261" s="119" t="str">
        <f>IFERROR(__xludf.DUMMYFUNCTION("""COMPUTED_VALUE"""),"Nguyễn Lộ Trạch")</f>
        <v>Nguyễn Lộ Trạch</v>
      </c>
      <c r="D7261" s="119" t="str">
        <f>IFERROR(__xludf.DUMMYFUNCTION("""COMPUTED_VALUE"""),"Chó")</f>
        <v>Chó</v>
      </c>
      <c r="E7261" s="119" t="str">
        <f>IFERROR(__xludf.DUMMYFUNCTION("""COMPUTED_VALUE"""),"Mơ")</f>
        <v>Mơ</v>
      </c>
    </row>
    <row r="7262" ht="15.75" customHeight="1">
      <c r="A7262" s="122" t="str">
        <f>IFERROR(__xludf.DUMMYFUNCTION("""COMPUTED_VALUE"""),"0905 601 858")</f>
        <v>0905 601 858</v>
      </c>
      <c r="B7262" s="119" t="str">
        <f>IFERROR(__xludf.DUMMYFUNCTION("""COMPUTED_VALUE"""),"ANh Khá")</f>
        <v>ANh Khá</v>
      </c>
      <c r="C7262" s="119"/>
      <c r="D7262" s="119" t="str">
        <f>IFERROR(__xludf.DUMMYFUNCTION("""COMPUTED_VALUE"""),"Mèo")</f>
        <v>Mèo</v>
      </c>
      <c r="E7262" s="119"/>
    </row>
    <row r="7263" ht="15.75" customHeight="1">
      <c r="A7263" s="122" t="str">
        <f>IFERROR(__xludf.DUMMYFUNCTION("""COMPUTED_VALUE"""),"0905 450 404")</f>
        <v>0905 450 404</v>
      </c>
      <c r="B7263" s="119" t="str">
        <f>IFERROR(__xludf.DUMMYFUNCTION("""COMPUTED_VALUE"""),"Anh Thiện Mario")</f>
        <v>Anh Thiện Mario</v>
      </c>
      <c r="C7263" s="119" t="str">
        <f>IFERROR(__xludf.DUMMYFUNCTION("""COMPUTED_VALUE"""),"Nguyễn Công Trứ")</f>
        <v>Nguyễn Công Trứ</v>
      </c>
      <c r="D7263" s="119" t="str">
        <f>IFERROR(__xludf.DUMMYFUNCTION("""COMPUTED_VALUE"""),"Chó")</f>
        <v>Chó</v>
      </c>
      <c r="E7263" s="119"/>
    </row>
    <row r="7264" ht="15.75" customHeight="1">
      <c r="A7264" s="122" t="str">
        <f>IFERROR(__xludf.DUMMYFUNCTION("""COMPUTED_VALUE"""),"0971 118 816")</f>
        <v>0971 118 816</v>
      </c>
      <c r="B7264" s="119" t="str">
        <f>IFERROR(__xludf.DUMMYFUNCTION("""COMPUTED_VALUE"""),"ANh Cường")</f>
        <v>ANh Cường</v>
      </c>
      <c r="C7264" s="119" t="str">
        <f>IFERROR(__xludf.DUMMYFUNCTION("""COMPUTED_VALUE"""),"1/4/33 Nguyễn Trường Tộ")</f>
        <v>1/4/33 Nguyễn Trường Tộ</v>
      </c>
      <c r="D7264" s="119" t="str">
        <f>IFERROR(__xludf.DUMMYFUNCTION("""COMPUTED_VALUE"""),"Chó")</f>
        <v>Chó</v>
      </c>
      <c r="E7264" s="119" t="str">
        <f>IFERROR(__xludf.DUMMYFUNCTION("""COMPUTED_VALUE"""),"Zig")</f>
        <v>Zig</v>
      </c>
    </row>
    <row r="7265" ht="15.75" customHeight="1">
      <c r="A7265" s="122" t="str">
        <f>IFERROR(__xludf.DUMMYFUNCTION("""COMPUTED_VALUE"""),"0779 382 110")</f>
        <v>0779 382 110</v>
      </c>
      <c r="B7265" s="119" t="str">
        <f>IFERROR(__xludf.DUMMYFUNCTION("""COMPUTED_VALUE"""),"ANh Sơn")</f>
        <v>ANh Sơn</v>
      </c>
      <c r="C7265" s="119" t="str">
        <f>IFERROR(__xludf.DUMMYFUNCTION("""COMPUTED_VALUE"""),"46 Đặng Thùy Trâm")</f>
        <v>46 Đặng Thùy Trâm</v>
      </c>
      <c r="D7265" s="119" t="str">
        <f>IFERROR(__xludf.DUMMYFUNCTION("""COMPUTED_VALUE"""),"Chó")</f>
        <v>Chó</v>
      </c>
      <c r="E7265" s="119"/>
    </row>
    <row r="7266" ht="15.75" customHeight="1">
      <c r="A7266" s="122" t="str">
        <f>IFERROR(__xludf.DUMMYFUNCTION("""COMPUTED_VALUE"""),"0941 347 123")</f>
        <v>0941 347 123</v>
      </c>
      <c r="B7266" s="119" t="str">
        <f>IFERROR(__xludf.DUMMYFUNCTION("""COMPUTED_VALUE"""),"Chị Hồ Thị Đạt")</f>
        <v>Chị Hồ Thị Đạt</v>
      </c>
      <c r="C7266" s="119" t="str">
        <f>IFERROR(__xludf.DUMMYFUNCTION("""COMPUTED_VALUE"""),"Phú Thượng")</f>
        <v>Phú Thượng</v>
      </c>
      <c r="D7266" s="119" t="str">
        <f>IFERROR(__xludf.DUMMYFUNCTION("""COMPUTED_VALUE"""),"Chó")</f>
        <v>Chó</v>
      </c>
      <c r="E7266" s="119" t="str">
        <f>IFERROR(__xludf.DUMMYFUNCTION("""COMPUTED_VALUE"""),"Nâu")</f>
        <v>Nâu</v>
      </c>
    </row>
    <row r="7267" ht="15.75" customHeight="1">
      <c r="A7267" s="122" t="str">
        <f>IFERROR(__xludf.DUMMYFUNCTION("""COMPUTED_VALUE"""),"0776 445 859")</f>
        <v>0776 445 859</v>
      </c>
      <c r="B7267" s="119" t="str">
        <f>IFERROR(__xludf.DUMMYFUNCTION("""COMPUTED_VALUE"""),"Anh Bôn")</f>
        <v>Anh Bôn</v>
      </c>
      <c r="C7267" s="119" t="str">
        <f>IFERROR(__xludf.DUMMYFUNCTION("""COMPUTED_VALUE"""),"Chợ Tuần")</f>
        <v>Chợ Tuần</v>
      </c>
      <c r="D7267" s="119" t="str">
        <f>IFERROR(__xludf.DUMMYFUNCTION("""COMPUTED_VALUE"""),"Chó")</f>
        <v>Chó</v>
      </c>
      <c r="E7267" s="119" t="str">
        <f>IFERROR(__xludf.DUMMYFUNCTION("""COMPUTED_VALUE"""),"Sữa")</f>
        <v>Sữa</v>
      </c>
    </row>
    <row r="7268" ht="15.75" customHeight="1">
      <c r="A7268" s="122" t="str">
        <f>IFERROR(__xludf.DUMMYFUNCTION("""COMPUTED_VALUE"""),"0966 994 576")</f>
        <v>0966 994 576</v>
      </c>
      <c r="B7268" s="119" t="str">
        <f>IFERROR(__xludf.DUMMYFUNCTION("""COMPUTED_VALUE"""),"Anh Hùng")</f>
        <v>Anh Hùng</v>
      </c>
      <c r="C7268" s="119" t="str">
        <f>IFERROR(__xludf.DUMMYFUNCTION("""COMPUTED_VALUE"""),"139 Sóng Hồng, Phú Bài")</f>
        <v>139 Sóng Hồng, Phú Bài</v>
      </c>
      <c r="D7268" s="119" t="str">
        <f>IFERROR(__xludf.DUMMYFUNCTION("""COMPUTED_VALUE"""),"Mèo")</f>
        <v>Mèo</v>
      </c>
      <c r="E7268" s="119" t="str">
        <f>IFERROR(__xludf.DUMMYFUNCTION("""COMPUTED_VALUE"""),"Mimi")</f>
        <v>Mimi</v>
      </c>
    </row>
    <row r="7269" ht="15.75" customHeight="1">
      <c r="A7269" s="122" t="str">
        <f>IFERROR(__xludf.DUMMYFUNCTION("""COMPUTED_VALUE"""),"0343 388 259")</f>
        <v>0343 388 259</v>
      </c>
      <c r="B7269" s="119" t="str">
        <f>IFERROR(__xludf.DUMMYFUNCTION("""COMPUTED_VALUE"""),"Thùy Trang")</f>
        <v>Thùy Trang</v>
      </c>
      <c r="C7269" s="119" t="str">
        <f>IFERROR(__xludf.DUMMYFUNCTION("""COMPUTED_VALUE"""),"29A/33 Lê Quý Đôn")</f>
        <v>29A/33 Lê Quý Đôn</v>
      </c>
      <c r="D7269" s="119" t="str">
        <f>IFERROR(__xludf.DUMMYFUNCTION("""COMPUTED_VALUE"""),"Chó")</f>
        <v>Chó</v>
      </c>
      <c r="E7269" s="119" t="str">
        <f>IFERROR(__xludf.DUMMYFUNCTION("""COMPUTED_VALUE"""),"Nâu")</f>
        <v>Nâu</v>
      </c>
    </row>
    <row r="7270" ht="15.75" customHeight="1">
      <c r="A7270" s="122" t="str">
        <f>IFERROR(__xludf.DUMMYFUNCTION("""COMPUTED_VALUE"""),"0589 280 776")</f>
        <v>0589 280 776</v>
      </c>
      <c r="B7270" s="119" t="str">
        <f>IFERROR(__xludf.DUMMYFUNCTION("""COMPUTED_VALUE"""),"Anh Dương")</f>
        <v>Anh Dương</v>
      </c>
      <c r="C7270" s="119" t="str">
        <f>IFERROR(__xludf.DUMMYFUNCTION("""COMPUTED_VALUE"""),"Thuận An")</f>
        <v>Thuận An</v>
      </c>
      <c r="D7270" s="119" t="str">
        <f>IFERROR(__xludf.DUMMYFUNCTION("""COMPUTED_VALUE"""),"Chó")</f>
        <v>Chó</v>
      </c>
      <c r="E7270" s="119" t="str">
        <f>IFERROR(__xludf.DUMMYFUNCTION("""COMPUTED_VALUE"""),"Ki")</f>
        <v>Ki</v>
      </c>
    </row>
    <row r="7271" ht="15.75" customHeight="1">
      <c r="A7271" s="122" t="str">
        <f>IFERROR(__xludf.DUMMYFUNCTION("""COMPUTED_VALUE"""),"0961 117 888")</f>
        <v>0961 117 888</v>
      </c>
      <c r="B7271" s="119" t="str">
        <f>IFERROR(__xludf.DUMMYFUNCTION("""COMPUTED_VALUE"""),"Anh Phong")</f>
        <v>Anh Phong</v>
      </c>
      <c r="C7271" s="119" t="str">
        <f>IFERROR(__xludf.DUMMYFUNCTION("""COMPUTED_VALUE"""),"50 Phan Văn Trường")</f>
        <v>50 Phan Văn Trường</v>
      </c>
      <c r="D7271" s="119" t="str">
        <f>IFERROR(__xludf.DUMMYFUNCTION("""COMPUTED_VALUE"""),"Mèo")</f>
        <v>Mèo</v>
      </c>
      <c r="E7271" s="119"/>
    </row>
    <row r="7272" ht="15.75" customHeight="1">
      <c r="A7272" s="122" t="str">
        <f>IFERROR(__xludf.DUMMYFUNCTION("""COMPUTED_VALUE"""),"0983 435 233")</f>
        <v>0983 435 233</v>
      </c>
      <c r="B7272" s="119" t="str">
        <f>IFERROR(__xludf.DUMMYFUNCTION("""COMPUTED_VALUE"""),"Thầy Đức")</f>
        <v>Thầy Đức</v>
      </c>
      <c r="C7272" s="119" t="str">
        <f>IFERROR(__xludf.DUMMYFUNCTION("""COMPUTED_VALUE"""),"485 Chi Lăng")</f>
        <v>485 Chi Lăng</v>
      </c>
      <c r="D7272" s="119" t="str">
        <f>IFERROR(__xludf.DUMMYFUNCTION("""COMPUTED_VALUE"""),"Chuột")</f>
        <v>Chuột</v>
      </c>
      <c r="E7272" s="119" t="str">
        <f>IFERROR(__xludf.DUMMYFUNCTION("""COMPUTED_VALUE"""),"Hamter")</f>
        <v>Hamter</v>
      </c>
    </row>
    <row r="7273" ht="15.75" customHeight="1">
      <c r="A7273" s="122" t="str">
        <f>IFERROR(__xludf.DUMMYFUNCTION("""COMPUTED_VALUE"""),"0935 869 225")</f>
        <v>0935 869 225</v>
      </c>
      <c r="B7273" s="119" t="str">
        <f>IFERROR(__xludf.DUMMYFUNCTION("""COMPUTED_VALUE"""),"Anh Hoàng")</f>
        <v>Anh Hoàng</v>
      </c>
      <c r="C7273" s="119" t="str">
        <f>IFERROR(__xludf.DUMMYFUNCTION("""COMPUTED_VALUE"""),"2/10 Trần Quang Khải")</f>
        <v>2/10 Trần Quang Khải</v>
      </c>
      <c r="D7273" s="119" t="str">
        <f>IFERROR(__xludf.DUMMYFUNCTION("""COMPUTED_VALUE"""),"Chó")</f>
        <v>Chó</v>
      </c>
      <c r="E7273" s="119" t="str">
        <f>IFERROR(__xludf.DUMMYFUNCTION("""COMPUTED_VALUE"""),"Gấu")</f>
        <v>Gấu</v>
      </c>
    </row>
    <row r="7274" ht="15.75" customHeight="1">
      <c r="A7274" s="122" t="str">
        <f>IFERROR(__xludf.DUMMYFUNCTION("""COMPUTED_VALUE"""),"0778 508 118")</f>
        <v>0778 508 118</v>
      </c>
      <c r="B7274" s="119" t="str">
        <f>IFERROR(__xludf.DUMMYFUNCTION("""COMPUTED_VALUE"""),"Chị Hà")</f>
        <v>Chị Hà</v>
      </c>
      <c r="C7274" s="119" t="str">
        <f>IFERROR(__xludf.DUMMYFUNCTION("""COMPUTED_VALUE"""),"Tỉnh Lộ 10")</f>
        <v>Tỉnh Lộ 10</v>
      </c>
      <c r="D7274" s="119" t="str">
        <f>IFERROR(__xludf.DUMMYFUNCTION("""COMPUTED_VALUE"""),"Chó")</f>
        <v>Chó</v>
      </c>
      <c r="E7274" s="119"/>
    </row>
    <row r="7275" ht="15.75" customHeight="1">
      <c r="A7275" s="122" t="str">
        <f>IFERROR(__xludf.DUMMYFUNCTION("""COMPUTED_VALUE"""),"0977 320 343")</f>
        <v>0977 320 343</v>
      </c>
      <c r="B7275" s="119" t="str">
        <f>IFERROR(__xludf.DUMMYFUNCTION("""COMPUTED_VALUE"""),"Anh Trần Văn Long")</f>
        <v>Anh Trần Văn Long</v>
      </c>
      <c r="C7275" s="119" t="str">
        <f>IFERROR(__xludf.DUMMYFUNCTION("""COMPUTED_VALUE"""),"320/26 Bạch Đằng")</f>
        <v>320/26 Bạch Đằng</v>
      </c>
      <c r="D7275" s="119" t="str">
        <f>IFERROR(__xludf.DUMMYFUNCTION("""COMPUTED_VALUE"""),"Chó")</f>
        <v>Chó</v>
      </c>
      <c r="E7275" s="119" t="str">
        <f>IFERROR(__xludf.DUMMYFUNCTION("""COMPUTED_VALUE"""),"Lu")</f>
        <v>Lu</v>
      </c>
    </row>
    <row r="7276" ht="15.75" customHeight="1">
      <c r="A7276" s="122" t="str">
        <f>IFERROR(__xludf.DUMMYFUNCTION("""COMPUTED_VALUE"""),"0971 431 465")</f>
        <v>0971 431 465</v>
      </c>
      <c r="B7276" s="119" t="str">
        <f>IFERROR(__xludf.DUMMYFUNCTION("""COMPUTED_VALUE"""),"Chị Thủy")</f>
        <v>Chị Thủy</v>
      </c>
      <c r="C7276" s="119" t="str">
        <f>IFERROR(__xludf.DUMMYFUNCTION("""COMPUTED_VALUE"""),"10 Bà Triệu")</f>
        <v>10 Bà Triệu</v>
      </c>
      <c r="D7276" s="119" t="str">
        <f>IFERROR(__xludf.DUMMYFUNCTION("""COMPUTED_VALUE"""),"Mèo")</f>
        <v>Mèo</v>
      </c>
      <c r="E7276" s="119" t="str">
        <f>IFERROR(__xludf.DUMMYFUNCTION("""COMPUTED_VALUE"""),"Tiêu")</f>
        <v>Tiêu</v>
      </c>
    </row>
    <row r="7277" ht="15.75" customHeight="1">
      <c r="A7277" s="122" t="str">
        <f>IFERROR(__xludf.DUMMYFUNCTION("""COMPUTED_VALUE"""),"0935 899 829")</f>
        <v>0935 899 829</v>
      </c>
      <c r="B7277" s="119" t="str">
        <f>IFERROR(__xludf.DUMMYFUNCTION("""COMPUTED_VALUE"""),"Chị Hòa")</f>
        <v>Chị Hòa</v>
      </c>
      <c r="C7277" s="119" t="str">
        <f>IFERROR(__xludf.DUMMYFUNCTION("""COMPUTED_VALUE"""),"Thủy Dương")</f>
        <v>Thủy Dương</v>
      </c>
      <c r="D7277" s="119" t="str">
        <f>IFERROR(__xludf.DUMMYFUNCTION("""COMPUTED_VALUE"""),"Chó")</f>
        <v>Chó</v>
      </c>
      <c r="E7277" s="119" t="str">
        <f>IFERROR(__xludf.DUMMYFUNCTION("""COMPUTED_VALUE"""),"Ricky")</f>
        <v>Ricky</v>
      </c>
    </row>
    <row r="7278" ht="15.75" customHeight="1">
      <c r="A7278" s="122" t="str">
        <f>IFERROR(__xludf.DUMMYFUNCTION("""COMPUTED_VALUE"""),"0905 551 023")</f>
        <v>0905 551 023</v>
      </c>
      <c r="B7278" s="119" t="str">
        <f>IFERROR(__xludf.DUMMYFUNCTION("""COMPUTED_VALUE"""),"Chị Phương Vy")</f>
        <v>Chị Phương Vy</v>
      </c>
      <c r="C7278" s="119" t="str">
        <f>IFERROR(__xludf.DUMMYFUNCTION("""COMPUTED_VALUE"""),"Phạm Văn Trường")</f>
        <v>Phạm Văn Trường</v>
      </c>
      <c r="D7278" s="119" t="str">
        <f>IFERROR(__xludf.DUMMYFUNCTION("""COMPUTED_VALUE"""),"Mèo")</f>
        <v>Mèo</v>
      </c>
      <c r="E7278" s="119"/>
    </row>
    <row r="7279" ht="15.75" customHeight="1">
      <c r="A7279" s="122" t="str">
        <f>IFERROR(__xludf.DUMMYFUNCTION("""COMPUTED_VALUE"""),"0967 492 893")</f>
        <v>0967 492 893</v>
      </c>
      <c r="B7279" s="119" t="str">
        <f>IFERROR(__xludf.DUMMYFUNCTION("""COMPUTED_VALUE"""),"Anh Tuấn")</f>
        <v>Anh Tuấn</v>
      </c>
      <c r="C7279" s="119" t="str">
        <f>IFERROR(__xludf.DUMMYFUNCTION("""COMPUTED_VALUE"""),"185/17 Nguyễn Chí Thanh")</f>
        <v>185/17 Nguyễn Chí Thanh</v>
      </c>
      <c r="D7279" s="119" t="str">
        <f>IFERROR(__xludf.DUMMYFUNCTION("""COMPUTED_VALUE"""),"Chó")</f>
        <v>Chó</v>
      </c>
      <c r="E7279" s="119"/>
    </row>
    <row r="7280" ht="15.75" customHeight="1">
      <c r="A7280" s="122" t="str">
        <f>IFERROR(__xludf.DUMMYFUNCTION("""COMPUTED_VALUE"""),"0989 090 279")</f>
        <v>0989 090 279</v>
      </c>
      <c r="B7280" s="119" t="str">
        <f>IFERROR(__xludf.DUMMYFUNCTION("""COMPUTED_VALUE"""),"Anh Hoàng")</f>
        <v>Anh Hoàng</v>
      </c>
      <c r="C7280" s="119" t="str">
        <f>IFERROR(__xludf.DUMMYFUNCTION("""COMPUTED_VALUE"""),"Lịch Đợi")</f>
        <v>Lịch Đợi</v>
      </c>
      <c r="D7280" s="119" t="str">
        <f>IFERROR(__xludf.DUMMYFUNCTION("""COMPUTED_VALUE"""),"Chó")</f>
        <v>Chó</v>
      </c>
      <c r="E7280" s="119" t="str">
        <f>IFERROR(__xludf.DUMMYFUNCTION("""COMPUTED_VALUE"""),"Thanh Long")</f>
        <v>Thanh Long</v>
      </c>
    </row>
    <row r="7281" ht="15.75" customHeight="1">
      <c r="A7281" s="122" t="str">
        <f>IFERROR(__xludf.DUMMYFUNCTION("""COMPUTED_VALUE"""),"0935 205 143")</f>
        <v>0935 205 143</v>
      </c>
      <c r="B7281" s="119" t="str">
        <f>IFERROR(__xludf.DUMMYFUNCTION("""COMPUTED_VALUE"""),"Chị Bông")</f>
        <v>Chị Bông</v>
      </c>
      <c r="C7281" s="119" t="str">
        <f>IFERROR(__xludf.DUMMYFUNCTION("""COMPUTED_VALUE"""),"Phú Lộc")</f>
        <v>Phú Lộc</v>
      </c>
      <c r="D7281" s="119" t="str">
        <f>IFERROR(__xludf.DUMMYFUNCTION("""COMPUTED_VALUE"""),"Chó")</f>
        <v>Chó</v>
      </c>
      <c r="E7281" s="119" t="str">
        <f>IFERROR(__xludf.DUMMYFUNCTION("""COMPUTED_VALUE"""),"Bông")</f>
        <v>Bông</v>
      </c>
    </row>
    <row r="7282" ht="15.75" customHeight="1">
      <c r="A7282" s="122" t="str">
        <f>IFERROR(__xludf.DUMMYFUNCTION("""COMPUTED_VALUE"""),"0859 993 212")</f>
        <v>0859 993 212</v>
      </c>
      <c r="B7282" s="119" t="str">
        <f>IFERROR(__xludf.DUMMYFUNCTION("""COMPUTED_VALUE"""),"Anh Minh Nhật")</f>
        <v>Anh Minh Nhật</v>
      </c>
      <c r="C7282" s="119" t="str">
        <f>IFERROR(__xludf.DUMMYFUNCTION("""COMPUTED_VALUE"""),"28 Lại Thế")</f>
        <v>28 Lại Thế</v>
      </c>
      <c r="D7282" s="119" t="str">
        <f>IFERROR(__xludf.DUMMYFUNCTION("""COMPUTED_VALUE"""),"Chó")</f>
        <v>Chó</v>
      </c>
      <c r="E7282" s="119" t="str">
        <f>IFERROR(__xludf.DUMMYFUNCTION("""COMPUTED_VALUE"""),"Bắp")</f>
        <v>Bắp</v>
      </c>
    </row>
    <row r="7283" ht="15.75" customHeight="1">
      <c r="A7283" s="122" t="str">
        <f>IFERROR(__xludf.DUMMYFUNCTION("""COMPUTED_VALUE"""),"0796 624 655")</f>
        <v>0796 624 655</v>
      </c>
      <c r="B7283" s="119" t="str">
        <f>IFERROR(__xludf.DUMMYFUNCTION("""COMPUTED_VALUE"""),"Chị My")</f>
        <v>Chị My</v>
      </c>
      <c r="C7283" s="119" t="str">
        <f>IFERROR(__xludf.DUMMYFUNCTION("""COMPUTED_VALUE"""),"67 Hàn Mặc Tử")</f>
        <v>67 Hàn Mặc Tử</v>
      </c>
      <c r="D7283" s="119" t="str">
        <f>IFERROR(__xludf.DUMMYFUNCTION("""COMPUTED_VALUE"""),"Chó")</f>
        <v>Chó</v>
      </c>
      <c r="E7283" s="119" t="str">
        <f>IFERROR(__xludf.DUMMYFUNCTION("""COMPUTED_VALUE"""),"Kitty")</f>
        <v>Kitty</v>
      </c>
    </row>
    <row r="7284" ht="15.75" customHeight="1">
      <c r="A7284" s="122" t="str">
        <f>IFERROR(__xludf.DUMMYFUNCTION("""COMPUTED_VALUE"""),"0935 286 366")</f>
        <v>0935 286 366</v>
      </c>
      <c r="B7284" s="119" t="str">
        <f>IFERROR(__xludf.DUMMYFUNCTION("""COMPUTED_VALUE"""),"Anh Nam")</f>
        <v>Anh Nam</v>
      </c>
      <c r="C7284" s="119" t="str">
        <f>IFERROR(__xludf.DUMMYFUNCTION("""COMPUTED_VALUE"""),"Phú Thuận - Phú Vang")</f>
        <v>Phú Thuận - Phú Vang</v>
      </c>
      <c r="D7284" s="119" t="str">
        <f>IFERROR(__xludf.DUMMYFUNCTION("""COMPUTED_VALUE"""),"Chó")</f>
        <v>Chó</v>
      </c>
      <c r="E7284" s="119" t="str">
        <f>IFERROR(__xludf.DUMMYFUNCTION("""COMPUTED_VALUE"""),"Mực")</f>
        <v>Mực</v>
      </c>
    </row>
    <row r="7285" ht="15.75" customHeight="1">
      <c r="A7285" s="122" t="str">
        <f>IFERROR(__xludf.DUMMYFUNCTION("""COMPUTED_VALUE"""),"0903 512 100")</f>
        <v>0903 512 100</v>
      </c>
      <c r="B7285" s="119" t="str">
        <f>IFERROR(__xludf.DUMMYFUNCTION("""COMPUTED_VALUE"""),"Anh Thiên")</f>
        <v>Anh Thiên</v>
      </c>
      <c r="C7285" s="119" t="str">
        <f>IFERROR(__xludf.DUMMYFUNCTION("""COMPUTED_VALUE"""),"23/127 Hàn Mặc Tử")</f>
        <v>23/127 Hàn Mặc Tử</v>
      </c>
      <c r="D7285" s="119" t="str">
        <f>IFERROR(__xludf.DUMMYFUNCTION("""COMPUTED_VALUE"""),"Mèo")</f>
        <v>Mèo</v>
      </c>
      <c r="E7285" s="119" t="str">
        <f>IFERROR(__xludf.DUMMYFUNCTION("""COMPUTED_VALUE"""),"Lu")</f>
        <v>Lu</v>
      </c>
    </row>
    <row r="7286" ht="15.75" customHeight="1">
      <c r="A7286" s="122" t="str">
        <f>IFERROR(__xludf.DUMMYFUNCTION("""COMPUTED_VALUE"""),"0825 687 510")</f>
        <v>0825 687 510</v>
      </c>
      <c r="B7286" s="119" t="str">
        <f>IFERROR(__xludf.DUMMYFUNCTION("""COMPUTED_VALUE"""),"Chị Chi")</f>
        <v>Chị Chi</v>
      </c>
      <c r="C7286" s="119" t="str">
        <f>IFERROR(__xludf.DUMMYFUNCTION("""COMPUTED_VALUE"""),"Ktx Lào")</f>
        <v>Ktx Lào</v>
      </c>
      <c r="D7286" s="119" t="str">
        <f>IFERROR(__xludf.DUMMYFUNCTION("""COMPUTED_VALUE"""),"Chó")</f>
        <v>Chó</v>
      </c>
      <c r="E7286" s="119" t="str">
        <f>IFERROR(__xludf.DUMMYFUNCTION("""COMPUTED_VALUE"""),"Celline")</f>
        <v>Celline</v>
      </c>
    </row>
    <row r="7287" ht="15.75" customHeight="1">
      <c r="A7287" s="122" t="str">
        <f>IFERROR(__xludf.DUMMYFUNCTION("""COMPUTED_VALUE"""),"0326 539 262")</f>
        <v>0326 539 262</v>
      </c>
      <c r="B7287" s="119" t="str">
        <f>IFERROR(__xludf.DUMMYFUNCTION("""COMPUTED_VALUE"""),"Chị Lệ")</f>
        <v>Chị Lệ</v>
      </c>
      <c r="C7287" s="119" t="str">
        <f>IFERROR(__xludf.DUMMYFUNCTION("""COMPUTED_VALUE"""),"Phú Vang")</f>
        <v>Phú Vang</v>
      </c>
      <c r="D7287" s="119" t="str">
        <f>IFERROR(__xludf.DUMMYFUNCTION("""COMPUTED_VALUE"""),"Chó")</f>
        <v>Chó</v>
      </c>
      <c r="E7287" s="119" t="str">
        <f>IFERROR(__xludf.DUMMYFUNCTION("""COMPUTED_VALUE"""),"xuxi")</f>
        <v>xuxi</v>
      </c>
    </row>
    <row r="7288" ht="15.75" customHeight="1">
      <c r="A7288" s="122" t="str">
        <f>IFERROR(__xludf.DUMMYFUNCTION("""COMPUTED_VALUE"""),"0395 421 217")</f>
        <v>0395 421 217</v>
      </c>
      <c r="B7288" s="119" t="str">
        <f>IFERROR(__xludf.DUMMYFUNCTION("""COMPUTED_VALUE"""),"Chị Hồng")</f>
        <v>Chị Hồng</v>
      </c>
      <c r="C7288" s="119" t="str">
        <f>IFERROR(__xludf.DUMMYFUNCTION("""COMPUTED_VALUE"""),"10/1 Nguyễn Hữu Cảnh")</f>
        <v>10/1 Nguyễn Hữu Cảnh</v>
      </c>
      <c r="D7288" s="119" t="str">
        <f>IFERROR(__xludf.DUMMYFUNCTION("""COMPUTED_VALUE"""),"Mèo")</f>
        <v>Mèo</v>
      </c>
      <c r="E7288" s="119" t="str">
        <f>IFERROR(__xludf.DUMMYFUNCTION("""COMPUTED_VALUE"""),"Meo")</f>
        <v>Meo</v>
      </c>
    </row>
    <row r="7289" ht="15.75" customHeight="1">
      <c r="A7289" s="122" t="str">
        <f>IFERROR(__xludf.DUMMYFUNCTION("""COMPUTED_VALUE"""),"0905 953 011")</f>
        <v>0905 953 011</v>
      </c>
      <c r="B7289" s="119" t="str">
        <f>IFERROR(__xludf.DUMMYFUNCTION("""COMPUTED_VALUE"""),"Trần Đức Quang")</f>
        <v>Trần Đức Quang</v>
      </c>
      <c r="C7289" s="119" t="str">
        <f>IFERROR(__xludf.DUMMYFUNCTION("""COMPUTED_VALUE"""),"6 tổ dân phố Tây Trì Nhơn phường Phú thượng")</f>
        <v>6 tổ dân phố Tây Trì Nhơn phường Phú thượng</v>
      </c>
      <c r="D7289" s="119" t="str">
        <f>IFERROR(__xludf.DUMMYFUNCTION("""COMPUTED_VALUE"""),"Chó")</f>
        <v>Chó</v>
      </c>
      <c r="E7289" s="119" t="str">
        <f>IFERROR(__xludf.DUMMYFUNCTION("""COMPUTED_VALUE"""),"Milu")</f>
        <v>Milu</v>
      </c>
    </row>
    <row r="7290" ht="15.75" customHeight="1">
      <c r="A7290" s="122" t="str">
        <f>IFERROR(__xludf.DUMMYFUNCTION("""COMPUTED_VALUE"""),"0799 344 115")</f>
        <v>0799 344 115</v>
      </c>
      <c r="B7290" s="119" t="str">
        <f>IFERROR(__xludf.DUMMYFUNCTION("""COMPUTED_VALUE"""),"Thanh Thảo")</f>
        <v>Thanh Thảo</v>
      </c>
      <c r="C7290" s="119" t="str">
        <f>IFERROR(__xludf.DUMMYFUNCTION("""COMPUTED_VALUE"""),"Phú Hiệp")</f>
        <v>Phú Hiệp</v>
      </c>
      <c r="D7290" s="119" t="str">
        <f>IFERROR(__xludf.DUMMYFUNCTION("""COMPUTED_VALUE"""),"Mèo")</f>
        <v>Mèo</v>
      </c>
      <c r="E7290" s="119" t="str">
        <f>IFERROR(__xludf.DUMMYFUNCTION("""COMPUTED_VALUE"""),"Chii")</f>
        <v>Chii</v>
      </c>
    </row>
    <row r="7291" ht="15.75" customHeight="1">
      <c r="A7291" s="122" t="str">
        <f>IFERROR(__xludf.DUMMYFUNCTION("""COMPUTED_VALUE"""),"0905 246 202")</f>
        <v>0905 246 202</v>
      </c>
      <c r="B7291" s="119" t="str">
        <f>IFERROR(__xludf.DUMMYFUNCTION("""COMPUTED_VALUE"""),"Nguyễn Thị Diệu Ái")</f>
        <v>Nguyễn Thị Diệu Ái</v>
      </c>
      <c r="C7291" s="119" t="str">
        <f>IFERROR(__xludf.DUMMYFUNCTION("""COMPUTED_VALUE"""),"Lô B2 - 61 Khu đô thị Phú Mỹ Thượng")</f>
        <v>Lô B2 - 61 Khu đô thị Phú Mỹ Thượng</v>
      </c>
      <c r="D7291" s="119" t="str">
        <f>IFERROR(__xludf.DUMMYFUNCTION("""COMPUTED_VALUE"""),"Mèo")</f>
        <v>Mèo</v>
      </c>
      <c r="E7291" s="119"/>
    </row>
    <row r="7292" ht="15.75" customHeight="1">
      <c r="A7292" s="122" t="str">
        <f>IFERROR(__xludf.DUMMYFUNCTION("""COMPUTED_VALUE"""),"0935 219 023")</f>
        <v>0935 219 023</v>
      </c>
      <c r="B7292" s="119" t="str">
        <f>IFERROR(__xludf.DUMMYFUNCTION("""COMPUTED_VALUE"""),"Chị Thương")</f>
        <v>Chị Thương</v>
      </c>
      <c r="C7292" s="119" t="str">
        <f>IFERROR(__xludf.DUMMYFUNCTION("""COMPUTED_VALUE"""),"14/12 Nguyễn Gia Thiệu")</f>
        <v>14/12 Nguyễn Gia Thiệu</v>
      </c>
      <c r="D7292" s="119" t="str">
        <f>IFERROR(__xludf.DUMMYFUNCTION("""COMPUTED_VALUE"""),"Chó")</f>
        <v>Chó</v>
      </c>
      <c r="E7292" s="119" t="str">
        <f>IFERROR(__xludf.DUMMYFUNCTION("""COMPUTED_VALUE"""),"Bin")</f>
        <v>Bin</v>
      </c>
    </row>
    <row r="7293" ht="15.75" customHeight="1">
      <c r="A7293" s="122" t="str">
        <f>IFERROR(__xludf.DUMMYFUNCTION("""COMPUTED_VALUE"""),"0932 435 404")</f>
        <v>0932 435 404</v>
      </c>
      <c r="B7293" s="119" t="str">
        <f>IFERROR(__xludf.DUMMYFUNCTION("""COMPUTED_VALUE"""),"Chị Ánh Ngọc")</f>
        <v>Chị Ánh Ngọc</v>
      </c>
      <c r="C7293" s="119" t="str">
        <f>IFERROR(__xludf.DUMMYFUNCTION("""COMPUTED_VALUE"""),"Thuận An")</f>
        <v>Thuận An</v>
      </c>
      <c r="D7293" s="119" t="str">
        <f>IFERROR(__xludf.DUMMYFUNCTION("""COMPUTED_VALUE"""),"Mèo")</f>
        <v>Mèo</v>
      </c>
      <c r="E7293" s="119" t="str">
        <f>IFERROR(__xludf.DUMMYFUNCTION("""COMPUTED_VALUE"""),"Moon")</f>
        <v>Moon</v>
      </c>
    </row>
    <row r="7294" ht="15.75" customHeight="1">
      <c r="A7294" s="122" t="str">
        <f>IFERROR(__xludf.DUMMYFUNCTION("""COMPUTED_VALUE"""),"0969 542 739")</f>
        <v>0969 542 739</v>
      </c>
      <c r="B7294" s="119" t="str">
        <f>IFERROR(__xludf.DUMMYFUNCTION("""COMPUTED_VALUE"""),"Anh Thái")</f>
        <v>Anh Thái</v>
      </c>
      <c r="C7294" s="119" t="str">
        <f>IFERROR(__xludf.DUMMYFUNCTION("""COMPUTED_VALUE"""),"Phú Vang")</f>
        <v>Phú Vang</v>
      </c>
      <c r="D7294" s="119" t="str">
        <f>IFERROR(__xludf.DUMMYFUNCTION("""COMPUTED_VALUE"""),"Chó")</f>
        <v>Chó</v>
      </c>
      <c r="E7294" s="119" t="str">
        <f>IFERROR(__xludf.DUMMYFUNCTION("""COMPUTED_VALUE"""),"Bull")</f>
        <v>Bull</v>
      </c>
    </row>
    <row r="7295" ht="15.75" customHeight="1">
      <c r="A7295" s="122" t="str">
        <f>IFERROR(__xludf.DUMMYFUNCTION("""COMPUTED_VALUE"""),"0357 551 084")</f>
        <v>0357 551 084</v>
      </c>
      <c r="B7295" s="119" t="str">
        <f>IFERROR(__xludf.DUMMYFUNCTION("""COMPUTED_VALUE"""),"Nguyễn Phi Long")</f>
        <v>Nguyễn Phi Long</v>
      </c>
      <c r="C7295" s="119" t="str">
        <f>IFERROR(__xludf.DUMMYFUNCTION("""COMPUTED_VALUE"""),"Phong Điền")</f>
        <v>Phong Điền</v>
      </c>
      <c r="D7295" s="119" t="str">
        <f>IFERROR(__xludf.DUMMYFUNCTION("""COMPUTED_VALUE"""),"Chó")</f>
        <v>Chó</v>
      </c>
      <c r="E7295" s="119"/>
    </row>
    <row r="7296" ht="15.75" customHeight="1">
      <c r="A7296" s="122" t="str">
        <f>IFERROR(__xludf.DUMMYFUNCTION("""COMPUTED_VALUE"""),"0909 198 396")</f>
        <v>0909 198 396</v>
      </c>
      <c r="B7296" s="119" t="str">
        <f>IFERROR(__xludf.DUMMYFUNCTION("""COMPUTED_VALUE"""),"Chị Tâm")</f>
        <v>Chị Tâm</v>
      </c>
      <c r="C7296" s="119" t="str">
        <f>IFERROR(__xludf.DUMMYFUNCTION("""COMPUTED_VALUE"""),"Vỹ dạ")</f>
        <v>Vỹ dạ</v>
      </c>
      <c r="D7296" s="119" t="str">
        <f>IFERROR(__xludf.DUMMYFUNCTION("""COMPUTED_VALUE"""),"Chó")</f>
        <v>Chó</v>
      </c>
      <c r="E7296" s="119" t="str">
        <f>IFERROR(__xludf.DUMMYFUNCTION("""COMPUTED_VALUE"""),"Gạo")</f>
        <v>Gạo</v>
      </c>
    </row>
    <row r="7297" ht="15.75" customHeight="1">
      <c r="A7297" s="122" t="str">
        <f>IFERROR(__xludf.DUMMYFUNCTION("""COMPUTED_VALUE"""),"0775 685 582")</f>
        <v>0775 685 582</v>
      </c>
      <c r="B7297" s="119" t="str">
        <f>IFERROR(__xludf.DUMMYFUNCTION("""COMPUTED_VALUE"""),"Chị Nga")</f>
        <v>Chị Nga</v>
      </c>
      <c r="C7297" s="119" t="str">
        <f>IFERROR(__xludf.DUMMYFUNCTION("""COMPUTED_VALUE"""),"12/4 Điền Phùng Thị")</f>
        <v>12/4 Điền Phùng Thị</v>
      </c>
      <c r="D7297" s="119" t="str">
        <f>IFERROR(__xludf.DUMMYFUNCTION("""COMPUTED_VALUE"""),"Chó")</f>
        <v>Chó</v>
      </c>
      <c r="E7297" s="119" t="str">
        <f>IFERROR(__xludf.DUMMYFUNCTION("""COMPUTED_VALUE"""),"Kem")</f>
        <v>Kem</v>
      </c>
    </row>
    <row r="7298" ht="15.75" customHeight="1">
      <c r="A7298" s="122" t="str">
        <f>IFERROR(__xludf.DUMMYFUNCTION("""COMPUTED_VALUE"""),"0932 021 544")</f>
        <v>0932 021 544</v>
      </c>
      <c r="B7298" s="119" t="str">
        <f>IFERROR(__xludf.DUMMYFUNCTION("""COMPUTED_VALUE"""),"Chị Huyền")</f>
        <v>Chị Huyền</v>
      </c>
      <c r="C7298" s="119" t="str">
        <f>IFERROR(__xludf.DUMMYFUNCTION("""COMPUTED_VALUE"""),"Quãng Điền")</f>
        <v>Quãng Điền</v>
      </c>
      <c r="D7298" s="119" t="str">
        <f>IFERROR(__xludf.DUMMYFUNCTION("""COMPUTED_VALUE"""),"Chó")</f>
        <v>Chó</v>
      </c>
      <c r="E7298" s="119" t="str">
        <f>IFERROR(__xludf.DUMMYFUNCTION("""COMPUTED_VALUE"""),"Bắp")</f>
        <v>Bắp</v>
      </c>
    </row>
    <row r="7299" ht="15.75" customHeight="1">
      <c r="A7299" s="122" t="str">
        <f>IFERROR(__xludf.DUMMYFUNCTION("""COMPUTED_VALUE"""),"0935 223 259")</f>
        <v>0935 223 259</v>
      </c>
      <c r="B7299" s="119" t="str">
        <f>IFERROR(__xludf.DUMMYFUNCTION("""COMPUTED_VALUE"""),"Minh Anh")</f>
        <v>Minh Anh</v>
      </c>
      <c r="C7299" s="119" t="str">
        <f>IFERROR(__xludf.DUMMYFUNCTION("""COMPUTED_VALUE"""),"Phú Vang")</f>
        <v>Phú Vang</v>
      </c>
      <c r="D7299" s="119" t="str">
        <f>IFERROR(__xludf.DUMMYFUNCTION("""COMPUTED_VALUE"""),"Chó")</f>
        <v>Chó</v>
      </c>
      <c r="E7299" s="119" t="str">
        <f>IFERROR(__xludf.DUMMYFUNCTION("""COMPUTED_VALUE"""),"Beo")</f>
        <v>Beo</v>
      </c>
    </row>
    <row r="7300" ht="15.75" customHeight="1">
      <c r="A7300" s="122" t="str">
        <f>IFERROR(__xludf.DUMMYFUNCTION("""COMPUTED_VALUE"""),"0766 076 697")</f>
        <v>0766 076 697</v>
      </c>
      <c r="B7300" s="119" t="str">
        <f>IFERROR(__xludf.DUMMYFUNCTION("""COMPUTED_VALUE"""),"Anh Dũng")</f>
        <v>Anh Dũng</v>
      </c>
      <c r="C7300" s="119" t="str">
        <f>IFERROR(__xludf.DUMMYFUNCTION("""COMPUTED_VALUE"""),"18/ 35 Nguyễn Du")</f>
        <v>18/ 35 Nguyễn Du</v>
      </c>
      <c r="D7300" s="119" t="str">
        <f>IFERROR(__xludf.DUMMYFUNCTION("""COMPUTED_VALUE"""),"Chó")</f>
        <v>Chó</v>
      </c>
      <c r="E7300" s="119" t="str">
        <f>IFERROR(__xludf.DUMMYFUNCTION("""COMPUTED_VALUE"""),"Vàng")</f>
        <v>Vàng</v>
      </c>
    </row>
    <row r="7301" ht="15.75" customHeight="1">
      <c r="A7301" s="122" t="str">
        <f>IFERROR(__xludf.DUMMYFUNCTION("""COMPUTED_VALUE"""),"0941 431 465")</f>
        <v>0941 431 465</v>
      </c>
      <c r="B7301" s="119" t="str">
        <f>IFERROR(__xludf.DUMMYFUNCTION("""COMPUTED_VALUE"""),"Chị Thủy")</f>
        <v>Chị Thủy</v>
      </c>
      <c r="C7301" s="119" t="str">
        <f>IFERROR(__xludf.DUMMYFUNCTION("""COMPUTED_VALUE"""),"10 Bà Triệu")</f>
        <v>10 Bà Triệu</v>
      </c>
      <c r="D7301" s="119" t="str">
        <f>IFERROR(__xludf.DUMMYFUNCTION("""COMPUTED_VALUE"""),"Mèo")</f>
        <v>Mèo</v>
      </c>
      <c r="E7301" s="119" t="str">
        <f>IFERROR(__xludf.DUMMYFUNCTION("""COMPUTED_VALUE"""),"gấu")</f>
        <v>gấu</v>
      </c>
    </row>
    <row r="7302" ht="15.75" customHeight="1">
      <c r="A7302" s="122" t="str">
        <f>IFERROR(__xludf.DUMMYFUNCTION("""COMPUTED_VALUE"""),"0914 313 499")</f>
        <v>0914 313 499</v>
      </c>
      <c r="B7302" s="119" t="str">
        <f>IFERROR(__xludf.DUMMYFUNCTION("""COMPUTED_VALUE"""),"Trần Thị Hồng An")</f>
        <v>Trần Thị Hồng An</v>
      </c>
      <c r="C7302" s="119" t="str">
        <f>IFERROR(__xludf.DUMMYFUNCTION("""COMPUTED_VALUE"""),"12 Nguyễn Khuyến")</f>
        <v>12 Nguyễn Khuyến</v>
      </c>
      <c r="D7302" s="119" t="str">
        <f>IFERROR(__xludf.DUMMYFUNCTION("""COMPUTED_VALUE"""),"chó")</f>
        <v>chó</v>
      </c>
      <c r="E7302" s="119" t="str">
        <f>IFERROR(__xludf.DUMMYFUNCTION("""COMPUTED_VALUE"""),"Lu")</f>
        <v>Lu</v>
      </c>
    </row>
    <row r="7303" ht="15.75" customHeight="1">
      <c r="A7303" s="122" t="str">
        <f>IFERROR(__xludf.DUMMYFUNCTION("""COMPUTED_VALUE"""),"0924 369 473")</f>
        <v>0924 369 473</v>
      </c>
      <c r="B7303" s="119" t="str">
        <f>IFERROR(__xludf.DUMMYFUNCTION("""COMPUTED_VALUE"""),"Chị Như ý")</f>
        <v>Chị Như ý</v>
      </c>
      <c r="C7303" s="119" t="str">
        <f>IFERROR(__xludf.DUMMYFUNCTION("""COMPUTED_VALUE"""),"Xóm 5 An Truyền Phú Vang")</f>
        <v>Xóm 5 An Truyền Phú Vang</v>
      </c>
      <c r="D7303" s="119" t="str">
        <f>IFERROR(__xludf.DUMMYFUNCTION("""COMPUTED_VALUE"""),"Chó")</f>
        <v>Chó</v>
      </c>
      <c r="E7303" s="119" t="str">
        <f>IFERROR(__xludf.DUMMYFUNCTION("""COMPUTED_VALUE"""),"Bông")</f>
        <v>Bông</v>
      </c>
    </row>
    <row r="7304" ht="15.75" customHeight="1">
      <c r="A7304" s="122" t="str">
        <f>IFERROR(__xludf.DUMMYFUNCTION("""COMPUTED_VALUE"""),"0933 906 281")</f>
        <v>0933 906 281</v>
      </c>
      <c r="B7304" s="119" t="str">
        <f>IFERROR(__xludf.DUMMYFUNCTION("""COMPUTED_VALUE"""),"Hữu Phước")</f>
        <v>Hữu Phước</v>
      </c>
      <c r="C7304" s="119" t="str">
        <f>IFERROR(__xludf.DUMMYFUNCTION("""COMPUTED_VALUE"""),"Cầu Ngói Thanh Toàn")</f>
        <v>Cầu Ngói Thanh Toàn</v>
      </c>
      <c r="D7304" s="119" t="str">
        <f>IFERROR(__xludf.DUMMYFUNCTION("""COMPUTED_VALUE"""),"Chó")</f>
        <v>Chó</v>
      </c>
      <c r="E7304" s="119" t="str">
        <f>IFERROR(__xludf.DUMMYFUNCTION("""COMPUTED_VALUE"""),"Ki")</f>
        <v>Ki</v>
      </c>
    </row>
    <row r="7305" ht="15.75" customHeight="1">
      <c r="A7305" s="122" t="str">
        <f>IFERROR(__xludf.DUMMYFUNCTION("""COMPUTED_VALUE"""),"0986 585 302")</f>
        <v>0986 585 302</v>
      </c>
      <c r="B7305" s="119" t="str">
        <f>IFERROR(__xludf.DUMMYFUNCTION("""COMPUTED_VALUE"""),"Anh Phi")</f>
        <v>Anh Phi</v>
      </c>
      <c r="C7305" s="119" t="str">
        <f>IFERROR(__xludf.DUMMYFUNCTION("""COMPUTED_VALUE"""),"Phú Thượng")</f>
        <v>Phú Thượng</v>
      </c>
      <c r="D7305" s="119" t="str">
        <f>IFERROR(__xludf.DUMMYFUNCTION("""COMPUTED_VALUE"""),"Chó")</f>
        <v>Chó</v>
      </c>
      <c r="E7305" s="119" t="str">
        <f>IFERROR(__xludf.DUMMYFUNCTION("""COMPUTED_VALUE"""),"Bơ")</f>
        <v>Bơ</v>
      </c>
    </row>
    <row r="7306" ht="15.75" customHeight="1">
      <c r="A7306" s="122" t="str">
        <f>IFERROR(__xludf.DUMMYFUNCTION("""COMPUTED_VALUE"""),"0787 762 877")</f>
        <v>0787 762 877</v>
      </c>
      <c r="B7306" s="119" t="str">
        <f>IFERROR(__xludf.DUMMYFUNCTION("""COMPUTED_VALUE"""),"Phương Nhi")</f>
        <v>Phương Nhi</v>
      </c>
      <c r="C7306" s="119" t="str">
        <f>IFERROR(__xludf.DUMMYFUNCTION("""COMPUTED_VALUE"""),"91 Bà Triệu")</f>
        <v>91 Bà Triệu</v>
      </c>
      <c r="D7306" s="119" t="str">
        <f>IFERROR(__xludf.DUMMYFUNCTION("""COMPUTED_VALUE"""),"Chó")</f>
        <v>Chó</v>
      </c>
      <c r="E7306" s="119" t="str">
        <f>IFERROR(__xludf.DUMMYFUNCTION("""COMPUTED_VALUE"""),"Bông")</f>
        <v>Bông</v>
      </c>
    </row>
    <row r="7307" ht="15.75" customHeight="1">
      <c r="A7307" s="122" t="str">
        <f>IFERROR(__xludf.DUMMYFUNCTION("""COMPUTED_VALUE"""),"0899 955 505")</f>
        <v>0899 955 505</v>
      </c>
      <c r="B7307" s="119" t="str">
        <f>IFERROR(__xludf.DUMMYFUNCTION("""COMPUTED_VALUE"""),"Anh Minh")</f>
        <v>Anh Minh</v>
      </c>
      <c r="C7307" s="119" t="str">
        <f>IFERROR(__xludf.DUMMYFUNCTION("""COMPUTED_VALUE"""),"185 Nguyễn Lộ Trạch")</f>
        <v>185 Nguyễn Lộ Trạch</v>
      </c>
      <c r="D7307" s="119" t="str">
        <f>IFERROR(__xludf.DUMMYFUNCTION("""COMPUTED_VALUE"""),"Chó")</f>
        <v>Chó</v>
      </c>
      <c r="E7307" s="119" t="str">
        <f>IFERROR(__xludf.DUMMYFUNCTION("""COMPUTED_VALUE"""),"Bắp")</f>
        <v>Bắp</v>
      </c>
    </row>
    <row r="7308" ht="15.75" customHeight="1">
      <c r="A7308" s="122" t="str">
        <f>IFERROR(__xludf.DUMMYFUNCTION("""COMPUTED_VALUE"""),"0942 453 995")</f>
        <v>0942 453 995</v>
      </c>
      <c r="B7308" s="119" t="str">
        <f>IFERROR(__xludf.DUMMYFUNCTION("""COMPUTED_VALUE"""),"Anh Khương")</f>
        <v>Anh Khương</v>
      </c>
      <c r="C7308" s="119" t="str">
        <f>IFERROR(__xludf.DUMMYFUNCTION("""COMPUTED_VALUE"""),"5/30 Đống Đa")</f>
        <v>5/30 Đống Đa</v>
      </c>
      <c r="D7308" s="119" t="str">
        <f>IFERROR(__xludf.DUMMYFUNCTION("""COMPUTED_VALUE"""),"Chó")</f>
        <v>Chó</v>
      </c>
      <c r="E7308" s="119" t="str">
        <f>IFERROR(__xludf.DUMMYFUNCTION("""COMPUTED_VALUE"""),"Su")</f>
        <v>Su</v>
      </c>
    </row>
    <row r="7309" ht="15.75" customHeight="1">
      <c r="A7309" s="122" t="str">
        <f>IFERROR(__xludf.DUMMYFUNCTION("""COMPUTED_VALUE"""),"0867 141 832")</f>
        <v>0867 141 832</v>
      </c>
      <c r="B7309" s="119" t="str">
        <f>IFERROR(__xludf.DUMMYFUNCTION("""COMPUTED_VALUE"""),"Chị Thúy")</f>
        <v>Chị Thúy</v>
      </c>
      <c r="C7309" s="119" t="str">
        <f>IFERROR(__xludf.DUMMYFUNCTION("""COMPUTED_VALUE"""),"Hương Trà")</f>
        <v>Hương Trà</v>
      </c>
      <c r="D7309" s="119" t="str">
        <f>IFERROR(__xludf.DUMMYFUNCTION("""COMPUTED_VALUE"""),"Mèo")</f>
        <v>Mèo</v>
      </c>
      <c r="E7309" s="119" t="str">
        <f>IFERROR(__xludf.DUMMYFUNCTION("""COMPUTED_VALUE"""),"Gấu")</f>
        <v>Gấu</v>
      </c>
    </row>
    <row r="7310" ht="15.75" customHeight="1">
      <c r="A7310" s="122" t="str">
        <f>IFERROR(__xludf.DUMMYFUNCTION("""COMPUTED_VALUE"""),"0347 689 781")</f>
        <v>0347 689 781</v>
      </c>
      <c r="B7310" s="119" t="str">
        <f>IFERROR(__xludf.DUMMYFUNCTION("""COMPUTED_VALUE"""),"Chị Ngọc")</f>
        <v>Chị Ngọc</v>
      </c>
      <c r="C7310" s="119" t="str">
        <f>IFERROR(__xludf.DUMMYFUNCTION("""COMPUTED_VALUE"""),"Phong Điền")</f>
        <v>Phong Điền</v>
      </c>
      <c r="D7310" s="119" t="str">
        <f>IFERROR(__xludf.DUMMYFUNCTION("""COMPUTED_VALUE"""),"Chó")</f>
        <v>Chó</v>
      </c>
      <c r="E7310" s="119" t="str">
        <f>IFERROR(__xludf.DUMMYFUNCTION("""COMPUTED_VALUE"""),"Bông")</f>
        <v>Bông</v>
      </c>
    </row>
    <row r="7311" ht="15.75" customHeight="1">
      <c r="A7311" s="122" t="str">
        <f>IFERROR(__xludf.DUMMYFUNCTION("""COMPUTED_VALUE"""),"0938 979 067")</f>
        <v>0938 979 067</v>
      </c>
      <c r="B7311" s="119" t="str">
        <f>IFERROR(__xludf.DUMMYFUNCTION("""COMPUTED_VALUE"""),"Anh Luận")</f>
        <v>Anh Luận</v>
      </c>
      <c r="C7311" s="119" t="str">
        <f>IFERROR(__xludf.DUMMYFUNCTION("""COMPUTED_VALUE"""),"Phú Thuận - Phú Vang")</f>
        <v>Phú Thuận - Phú Vang</v>
      </c>
      <c r="D7311" s="119" t="str">
        <f>IFERROR(__xludf.DUMMYFUNCTION("""COMPUTED_VALUE"""),"Mèo")</f>
        <v>Mèo</v>
      </c>
      <c r="E7311" s="119" t="str">
        <f>IFERROR(__xludf.DUMMYFUNCTION("""COMPUTED_VALUE"""),"Đậu Đậu")</f>
        <v>Đậu Đậu</v>
      </c>
    </row>
    <row r="7312" ht="15.75" customHeight="1">
      <c r="A7312" s="122" t="str">
        <f>IFERROR(__xludf.DUMMYFUNCTION("""COMPUTED_VALUE"""),"0979 709 562")</f>
        <v>0979 709 562</v>
      </c>
      <c r="B7312" s="119" t="str">
        <f>IFERROR(__xludf.DUMMYFUNCTION("""COMPUTED_VALUE"""),"Chị Dương")</f>
        <v>Chị Dương</v>
      </c>
      <c r="C7312" s="119" t="str">
        <f>IFERROR(__xludf.DUMMYFUNCTION("""COMPUTED_VALUE"""),"Thuận An")</f>
        <v>Thuận An</v>
      </c>
      <c r="D7312" s="119" t="str">
        <f>IFERROR(__xludf.DUMMYFUNCTION("""COMPUTED_VALUE"""),"Chó")</f>
        <v>Chó</v>
      </c>
      <c r="E7312" s="119" t="str">
        <f>IFERROR(__xludf.DUMMYFUNCTION("""COMPUTED_VALUE"""),"Vàng")</f>
        <v>Vàng</v>
      </c>
    </row>
    <row r="7313" ht="15.75" customHeight="1">
      <c r="A7313" s="122" t="str">
        <f>IFERROR(__xludf.DUMMYFUNCTION("""COMPUTED_VALUE"""),"0988 804 972")</f>
        <v>0988 804 972</v>
      </c>
      <c r="B7313" s="119" t="str">
        <f>IFERROR(__xludf.DUMMYFUNCTION("""COMPUTED_VALUE"""),"Hoàng Thị Thanh Nga")</f>
        <v>Hoàng Thị Thanh Nga</v>
      </c>
      <c r="C7313" s="119" t="str">
        <f>IFERROR(__xludf.DUMMYFUNCTION("""COMPUTED_VALUE"""),"60 Phạm Thúy Hiển - Thủy Dương")</f>
        <v>60 Phạm Thúy Hiển - Thủy Dương</v>
      </c>
      <c r="D7313" s="119" t="str">
        <f>IFERROR(__xludf.DUMMYFUNCTION("""COMPUTED_VALUE"""),"Chó")</f>
        <v>Chó</v>
      </c>
      <c r="E7313" s="119" t="str">
        <f>IFERROR(__xludf.DUMMYFUNCTION("""COMPUTED_VALUE"""),"MiLo")</f>
        <v>MiLo</v>
      </c>
    </row>
    <row r="7314" ht="15.75" customHeight="1">
      <c r="A7314" s="122" t="str">
        <f>IFERROR(__xludf.DUMMYFUNCTION("""COMPUTED_VALUE"""),"0914 500 450")</f>
        <v>0914 500 450</v>
      </c>
      <c r="B7314" s="119" t="str">
        <f>IFERROR(__xludf.DUMMYFUNCTION("""COMPUTED_VALUE"""),"Anh Trân")</f>
        <v>Anh Trân</v>
      </c>
      <c r="C7314" s="119" t="str">
        <f>IFERROR(__xludf.DUMMYFUNCTION("""COMPUTED_VALUE"""),"2/333 Phạm VĂn Đồng")</f>
        <v>2/333 Phạm VĂn Đồng</v>
      </c>
      <c r="D7314" s="119" t="str">
        <f>IFERROR(__xludf.DUMMYFUNCTION("""COMPUTED_VALUE"""),"Chó")</f>
        <v>Chó</v>
      </c>
      <c r="E7314" s="119" t="str">
        <f>IFERROR(__xludf.DUMMYFUNCTION("""COMPUTED_VALUE"""),"C")</f>
        <v>C</v>
      </c>
    </row>
    <row r="7315" ht="15.75" customHeight="1">
      <c r="A7315" s="122" t="str">
        <f>IFERROR(__xludf.DUMMYFUNCTION("""COMPUTED_VALUE"""),"0796 782 234")</f>
        <v>0796 782 234</v>
      </c>
      <c r="B7315" s="119" t="str">
        <f>IFERROR(__xludf.DUMMYFUNCTION("""COMPUTED_VALUE"""),"Chị Nhật Hạ")</f>
        <v>Chị Nhật Hạ</v>
      </c>
      <c r="C7315" s="119" t="str">
        <f>IFERROR(__xludf.DUMMYFUNCTION("""COMPUTED_VALUE"""),"Phú Bài")</f>
        <v>Phú Bài</v>
      </c>
      <c r="D7315" s="119" t="str">
        <f>IFERROR(__xludf.DUMMYFUNCTION("""COMPUTED_VALUE"""),"Mèo")</f>
        <v>Mèo</v>
      </c>
      <c r="E7315" s="119" t="str">
        <f>IFERROR(__xludf.DUMMYFUNCTION("""COMPUTED_VALUE"""),"Fa")</f>
        <v>Fa</v>
      </c>
    </row>
    <row r="7316" ht="15.75" customHeight="1">
      <c r="A7316" s="122" t="str">
        <f>IFERROR(__xludf.DUMMYFUNCTION("""COMPUTED_VALUE"""),"0834 234 507")</f>
        <v>0834 234 507</v>
      </c>
      <c r="B7316" s="119" t="str">
        <f>IFERROR(__xludf.DUMMYFUNCTION("""COMPUTED_VALUE"""),"Anh An")</f>
        <v>Anh An</v>
      </c>
      <c r="C7316" s="119" t="str">
        <f>IFERROR(__xludf.DUMMYFUNCTION("""COMPUTED_VALUE"""),"49 Nguyễn Hàn")</f>
        <v>49 Nguyễn Hàn</v>
      </c>
      <c r="D7316" s="119" t="str">
        <f>IFERROR(__xludf.DUMMYFUNCTION("""COMPUTED_VALUE"""),"Chó")</f>
        <v>Chó</v>
      </c>
      <c r="E7316" s="119"/>
    </row>
    <row r="7317" ht="15.75" customHeight="1">
      <c r="A7317" s="122" t="str">
        <f>IFERROR(__xludf.DUMMYFUNCTION("""COMPUTED_VALUE"""),"0905 601 557")</f>
        <v>0905 601 557</v>
      </c>
      <c r="B7317" s="119" t="str">
        <f>IFERROR(__xludf.DUMMYFUNCTION("""COMPUTED_VALUE"""),"Chú Sáng")</f>
        <v>Chú Sáng</v>
      </c>
      <c r="C7317" s="119" t="str">
        <f>IFERROR(__xludf.DUMMYFUNCTION("""COMPUTED_VALUE"""),"159 Nguyễn Chí Thanh")</f>
        <v>159 Nguyễn Chí Thanh</v>
      </c>
      <c r="D7317" s="119" t="str">
        <f>IFERROR(__xludf.DUMMYFUNCTION("""COMPUTED_VALUE"""),"Chó")</f>
        <v>Chó</v>
      </c>
      <c r="E7317" s="119" t="str">
        <f>IFERROR(__xludf.DUMMYFUNCTION("""COMPUTED_VALUE"""),"Ruby")</f>
        <v>Ruby</v>
      </c>
    </row>
    <row r="7318" ht="15.75" customHeight="1">
      <c r="A7318" s="122" t="str">
        <f>IFERROR(__xludf.DUMMYFUNCTION("""COMPUTED_VALUE"""),"0795 628 451")</f>
        <v>0795 628 451</v>
      </c>
      <c r="B7318" s="119" t="str">
        <f>IFERROR(__xludf.DUMMYFUNCTION("""COMPUTED_VALUE"""),"Anh Thành Đạt")</f>
        <v>Anh Thành Đạt</v>
      </c>
      <c r="C7318" s="119" t="str">
        <f>IFERROR(__xludf.DUMMYFUNCTION("""COMPUTED_VALUE"""),"36 Trần Quý Cáp")</f>
        <v>36 Trần Quý Cáp</v>
      </c>
      <c r="D7318" s="119" t="str">
        <f>IFERROR(__xludf.DUMMYFUNCTION("""COMPUTED_VALUE"""),"mèo")</f>
        <v>mèo</v>
      </c>
      <c r="E7318" s="119" t="str">
        <f>IFERROR(__xludf.DUMMYFUNCTION("""COMPUTED_VALUE"""),"Cún")</f>
        <v>Cún</v>
      </c>
    </row>
    <row r="7319" ht="15.75" customHeight="1">
      <c r="A7319" s="122" t="str">
        <f>IFERROR(__xludf.DUMMYFUNCTION("""COMPUTED_VALUE"""),"0333 461 395")</f>
        <v>0333 461 395</v>
      </c>
      <c r="B7319" s="119" t="str">
        <f>IFERROR(__xludf.DUMMYFUNCTION("""COMPUTED_VALUE"""),"Dì Linh")</f>
        <v>Dì Linh</v>
      </c>
      <c r="C7319" s="119" t="str">
        <f>IFERROR(__xludf.DUMMYFUNCTION("""COMPUTED_VALUE"""),"4444 Nguyễn Tất Thành")</f>
        <v>4444 Nguyễn Tất Thành</v>
      </c>
      <c r="D7319" s="119" t="str">
        <f>IFERROR(__xludf.DUMMYFUNCTION("""COMPUTED_VALUE"""),"Chó")</f>
        <v>Chó</v>
      </c>
      <c r="E7319" s="119" t="str">
        <f>IFERROR(__xludf.DUMMYFUNCTION("""COMPUTED_VALUE"""),"Yoko")</f>
        <v>Yoko</v>
      </c>
    </row>
    <row r="7320" ht="15.75" customHeight="1">
      <c r="A7320" s="122" t="str">
        <f>IFERROR(__xludf.DUMMYFUNCTION("""COMPUTED_VALUE"""),"0966 059 465")</f>
        <v>0966 059 465</v>
      </c>
      <c r="B7320" s="119" t="str">
        <f>IFERROR(__xludf.DUMMYFUNCTION("""COMPUTED_VALUE"""),"Chị An")</f>
        <v>Chị An</v>
      </c>
      <c r="C7320" s="119" t="str">
        <f>IFERROR(__xludf.DUMMYFUNCTION("""COMPUTED_VALUE"""),"Chung cư Vicolan")</f>
        <v>Chung cư Vicolan</v>
      </c>
      <c r="D7320" s="119" t="str">
        <f>IFERROR(__xludf.DUMMYFUNCTION("""COMPUTED_VALUE"""),"Chó")</f>
        <v>Chó</v>
      </c>
      <c r="E7320" s="119" t="str">
        <f>IFERROR(__xludf.DUMMYFUNCTION("""COMPUTED_VALUE"""),"Gấu")</f>
        <v>Gấu</v>
      </c>
    </row>
    <row r="7321" ht="15.75" customHeight="1">
      <c r="A7321" s="122" t="str">
        <f>IFERROR(__xludf.DUMMYFUNCTION("""COMPUTED_VALUE"""),"0935 066 376")</f>
        <v>0935 066 376</v>
      </c>
      <c r="B7321" s="119" t="str">
        <f>IFERROR(__xludf.DUMMYFUNCTION("""COMPUTED_VALUE"""),"Chị Phượng")</f>
        <v>Chị Phượng</v>
      </c>
      <c r="C7321" s="119" t="str">
        <f>IFERROR(__xludf.DUMMYFUNCTION("""COMPUTED_VALUE"""),"32 Ngô Đức Kế")</f>
        <v>32 Ngô Đức Kế</v>
      </c>
      <c r="D7321" s="119" t="str">
        <f>IFERROR(__xludf.DUMMYFUNCTION("""COMPUTED_VALUE"""),"Mèo")</f>
        <v>Mèo</v>
      </c>
      <c r="E7321" s="119" t="str">
        <f>IFERROR(__xludf.DUMMYFUNCTION("""COMPUTED_VALUE"""),"Bự")</f>
        <v>Bự</v>
      </c>
    </row>
    <row r="7322" ht="15.75" customHeight="1">
      <c r="A7322" s="122" t="str">
        <f>IFERROR(__xludf.DUMMYFUNCTION("""COMPUTED_VALUE"""),"0795 669 616")</f>
        <v>0795 669 616</v>
      </c>
      <c r="B7322" s="119" t="str">
        <f>IFERROR(__xludf.DUMMYFUNCTION("""COMPUTED_VALUE"""),"Chị Phượng")</f>
        <v>Chị Phượng</v>
      </c>
      <c r="C7322" s="119" t="str">
        <f>IFERROR(__xludf.DUMMYFUNCTION("""COMPUTED_VALUE"""),"11 kiệt 35 phạm Thị Liên")</f>
        <v>11 kiệt 35 phạm Thị Liên</v>
      </c>
      <c r="D7322" s="119" t="str">
        <f>IFERROR(__xludf.DUMMYFUNCTION("""COMPUTED_VALUE"""),"Chó")</f>
        <v>Chó</v>
      </c>
      <c r="E7322" s="119" t="str">
        <f>IFERROR(__xludf.DUMMYFUNCTION("""COMPUTED_VALUE"""),"Đen")</f>
        <v>Đen</v>
      </c>
    </row>
    <row r="7323" ht="15.75" customHeight="1">
      <c r="A7323" s="122" t="str">
        <f>IFERROR(__xludf.DUMMYFUNCTION("""COMPUTED_VALUE"""),"0775 555 306")</f>
        <v>0775 555 306</v>
      </c>
      <c r="B7323" s="119" t="str">
        <f>IFERROR(__xludf.DUMMYFUNCTION("""COMPUTED_VALUE"""),"Thầy Viết Hoàng")</f>
        <v>Thầy Viết Hoàng</v>
      </c>
      <c r="C7323" s="119" t="str">
        <f>IFERROR(__xludf.DUMMYFUNCTION("""COMPUTED_VALUE"""),"Chùa Huyền không 2")</f>
        <v>Chùa Huyền không 2</v>
      </c>
      <c r="D7323" s="119" t="str">
        <f>IFERROR(__xludf.DUMMYFUNCTION("""COMPUTED_VALUE"""),"Chó")</f>
        <v>Chó</v>
      </c>
      <c r="E7323" s="119" t="str">
        <f>IFERROR(__xludf.DUMMYFUNCTION("""COMPUTED_VALUE"""),"Bun")</f>
        <v>Bun</v>
      </c>
    </row>
    <row r="7324" ht="15.75" customHeight="1">
      <c r="A7324" s="122" t="str">
        <f>IFERROR(__xludf.DUMMYFUNCTION("""COMPUTED_VALUE"""),"0918 717 087")</f>
        <v>0918 717 087</v>
      </c>
      <c r="B7324" s="119" t="str">
        <f>IFERROR(__xludf.DUMMYFUNCTION("""COMPUTED_VALUE"""),"Em Dư")</f>
        <v>Em Dư</v>
      </c>
      <c r="C7324" s="119" t="str">
        <f>IFERROR(__xludf.DUMMYFUNCTION("""COMPUTED_VALUE"""),"2/373 Bùi Thị Xuân")</f>
        <v>2/373 Bùi Thị Xuân</v>
      </c>
      <c r="D7324" s="119" t="str">
        <f>IFERROR(__xludf.DUMMYFUNCTION("""COMPUTED_VALUE"""),"Chó")</f>
        <v>Chó</v>
      </c>
      <c r="E7324" s="119" t="str">
        <f>IFERROR(__xludf.DUMMYFUNCTION("""COMPUTED_VALUE"""),"Cute")</f>
        <v>Cute</v>
      </c>
    </row>
    <row r="7325" ht="15.75" customHeight="1">
      <c r="A7325" s="122" t="str">
        <f>IFERROR(__xludf.DUMMYFUNCTION("""COMPUTED_VALUE"""),"0966 553 213")</f>
        <v>0966 553 213</v>
      </c>
      <c r="B7325" s="119" t="str">
        <f>IFERROR(__xludf.DUMMYFUNCTION("""COMPUTED_VALUE"""),"Anh Phụng")</f>
        <v>Anh Phụng</v>
      </c>
      <c r="C7325" s="119" t="str">
        <f>IFERROR(__xludf.DUMMYFUNCTION("""COMPUTED_VALUE"""),"Thủy Bằng")</f>
        <v>Thủy Bằng</v>
      </c>
      <c r="D7325" s="119" t="str">
        <f>IFERROR(__xludf.DUMMYFUNCTION("""COMPUTED_VALUE"""),"Chó")</f>
        <v>Chó</v>
      </c>
      <c r="E7325" s="119" t="str">
        <f>IFERROR(__xludf.DUMMYFUNCTION("""COMPUTED_VALUE"""),"Một")</f>
        <v>Một</v>
      </c>
    </row>
    <row r="7326" ht="15.75" customHeight="1">
      <c r="A7326" s="122" t="str">
        <f>IFERROR(__xludf.DUMMYFUNCTION("""COMPUTED_VALUE"""),"0377 673 152")</f>
        <v>0377 673 152</v>
      </c>
      <c r="B7326" s="119" t="str">
        <f>IFERROR(__xludf.DUMMYFUNCTION("""COMPUTED_VALUE"""),"Anh Cường")</f>
        <v>Anh Cường</v>
      </c>
      <c r="C7326" s="119" t="str">
        <f>IFERROR(__xludf.DUMMYFUNCTION("""COMPUTED_VALUE"""),"8 Đặng Văn Ngữ")</f>
        <v>8 Đặng Văn Ngữ</v>
      </c>
      <c r="D7326" s="119" t="str">
        <f>IFERROR(__xludf.DUMMYFUNCTION("""COMPUTED_VALUE"""),"Chó")</f>
        <v>Chó</v>
      </c>
      <c r="E7326" s="119" t="str">
        <f>IFERROR(__xludf.DUMMYFUNCTION("""COMPUTED_VALUE"""),"Xu")</f>
        <v>Xu</v>
      </c>
    </row>
    <row r="7327" ht="15.75" customHeight="1">
      <c r="A7327" s="122" t="str">
        <f>IFERROR(__xludf.DUMMYFUNCTION("""COMPUTED_VALUE"""),"0936 320 327")</f>
        <v>0936 320 327</v>
      </c>
      <c r="B7327" s="119" t="str">
        <f>IFERROR(__xludf.DUMMYFUNCTION("""COMPUTED_VALUE"""),"Dì Khuê")</f>
        <v>Dì Khuê</v>
      </c>
      <c r="C7327" s="119" t="str">
        <f>IFERROR(__xludf.DUMMYFUNCTION("""COMPUTED_VALUE"""),"38/ 42 Nguyễn Công Trứ")</f>
        <v>38/ 42 Nguyễn Công Trứ</v>
      </c>
      <c r="D7327" s="119" t="str">
        <f>IFERROR(__xludf.DUMMYFUNCTION("""COMPUTED_VALUE"""),"Chó")</f>
        <v>Chó</v>
      </c>
      <c r="E7327" s="119"/>
    </row>
    <row r="7328" ht="15.75" customHeight="1">
      <c r="A7328" s="122" t="str">
        <f>IFERROR(__xludf.DUMMYFUNCTION("""COMPUTED_VALUE"""),"0768 427 995")</f>
        <v>0768 427 995</v>
      </c>
      <c r="B7328" s="119" t="str">
        <f>IFERROR(__xludf.DUMMYFUNCTION("""COMPUTED_VALUE"""),"Dì Linh")</f>
        <v>Dì Linh</v>
      </c>
      <c r="C7328" s="119" t="str">
        <f>IFERROR(__xludf.DUMMYFUNCTION("""COMPUTED_VALUE"""),"6/6 Văn Cao")</f>
        <v>6/6 Văn Cao</v>
      </c>
      <c r="D7328" s="119" t="str">
        <f>IFERROR(__xludf.DUMMYFUNCTION("""COMPUTED_VALUE"""),"Chó")</f>
        <v>Chó</v>
      </c>
      <c r="E7328" s="119" t="str">
        <f>IFERROR(__xludf.DUMMYFUNCTION("""COMPUTED_VALUE"""),"Bon")</f>
        <v>Bon</v>
      </c>
    </row>
    <row r="7329" ht="15.75" customHeight="1">
      <c r="A7329" s="122" t="str">
        <f>IFERROR(__xludf.DUMMYFUNCTION("""COMPUTED_VALUE"""),"0905 232 995")</f>
        <v>0905 232 995</v>
      </c>
      <c r="B7329" s="119" t="str">
        <f>IFERROR(__xludf.DUMMYFUNCTION("""COMPUTED_VALUE"""),"Anh Lũy")</f>
        <v>Anh Lũy</v>
      </c>
      <c r="C7329" s="119" t="str">
        <f>IFERROR(__xludf.DUMMYFUNCTION("""COMPUTED_VALUE"""),"Phú Dương Huế")</f>
        <v>Phú Dương Huế</v>
      </c>
      <c r="D7329" s="119" t="str">
        <f>IFERROR(__xludf.DUMMYFUNCTION("""COMPUTED_VALUE"""),"Mèo")</f>
        <v>Mèo</v>
      </c>
      <c r="E7329" s="119"/>
    </row>
    <row r="7330" ht="15.75" customHeight="1">
      <c r="A7330" s="122" t="str">
        <f>IFERROR(__xludf.DUMMYFUNCTION("""COMPUTED_VALUE"""),"0360 604 466")</f>
        <v>0360 604 466</v>
      </c>
      <c r="B7330" s="119" t="str">
        <f>IFERROR(__xludf.DUMMYFUNCTION("""COMPUTED_VALUE"""),"Chị Thanh")</f>
        <v>Chị Thanh</v>
      </c>
      <c r="C7330" s="119" t="str">
        <f>IFERROR(__xludf.DUMMYFUNCTION("""COMPUTED_VALUE"""),"20 hạm Văn Đồng")</f>
        <v>20 hạm Văn Đồng</v>
      </c>
      <c r="D7330" s="119" t="str">
        <f>IFERROR(__xludf.DUMMYFUNCTION("""COMPUTED_VALUE"""),"Mèo")</f>
        <v>Mèo</v>
      </c>
      <c r="E7330" s="119"/>
    </row>
    <row r="7331" ht="15.75" customHeight="1">
      <c r="A7331" s="122" t="str">
        <f>IFERROR(__xludf.DUMMYFUNCTION("""COMPUTED_VALUE"""),"0941 990 857")</f>
        <v>0941 990 857</v>
      </c>
      <c r="B7331" s="119" t="str">
        <f>IFERROR(__xludf.DUMMYFUNCTION("""COMPUTED_VALUE"""),"Trần Ngọc Quang")</f>
        <v>Trần Ngọc Quang</v>
      </c>
      <c r="C7331" s="119" t="str">
        <f>IFERROR(__xludf.DUMMYFUNCTION("""COMPUTED_VALUE"""),"37 Trần Hưng Đạo")</f>
        <v>37 Trần Hưng Đạo</v>
      </c>
      <c r="D7331" s="119" t="str">
        <f>IFERROR(__xludf.DUMMYFUNCTION("""COMPUTED_VALUE"""),"Mèo")</f>
        <v>Mèo</v>
      </c>
      <c r="E7331" s="119" t="str">
        <f>IFERROR(__xludf.DUMMYFUNCTION("""COMPUTED_VALUE"""),"Vằn")</f>
        <v>Vằn</v>
      </c>
    </row>
    <row r="7332" ht="15.75" customHeight="1">
      <c r="A7332" s="122" t="str">
        <f>IFERROR(__xludf.DUMMYFUNCTION("""COMPUTED_VALUE"""),"0386 012 312")</f>
        <v>0386 012 312</v>
      </c>
      <c r="B7332" s="119" t="str">
        <f>IFERROR(__xludf.DUMMYFUNCTION("""COMPUTED_VALUE"""),"Như Bình")</f>
        <v>Như Bình</v>
      </c>
      <c r="C7332" s="119" t="str">
        <f>IFERROR(__xludf.DUMMYFUNCTION("""COMPUTED_VALUE"""),"Bến xe phía Nam")</f>
        <v>Bến xe phía Nam</v>
      </c>
      <c r="D7332" s="119" t="str">
        <f>IFERROR(__xludf.DUMMYFUNCTION("""COMPUTED_VALUE"""),"Mèo")</f>
        <v>Mèo</v>
      </c>
      <c r="E7332" s="119" t="str">
        <f>IFERROR(__xludf.DUMMYFUNCTION("""COMPUTED_VALUE"""),"Bun")</f>
        <v>Bun</v>
      </c>
    </row>
    <row r="7333" ht="15.75" customHeight="1">
      <c r="A7333" s="122" t="str">
        <f>IFERROR(__xludf.DUMMYFUNCTION("""COMPUTED_VALUE"""),"0819 373 173")</f>
        <v>0819 373 173</v>
      </c>
      <c r="B7333" s="119" t="str">
        <f>IFERROR(__xludf.DUMMYFUNCTION("""COMPUTED_VALUE"""),"Anh Quốc")</f>
        <v>Anh Quốc</v>
      </c>
      <c r="C7333" s="119" t="str">
        <f>IFERROR(__xludf.DUMMYFUNCTION("""COMPUTED_VALUE"""),"1/12 Nguyễn Khoa Vy")</f>
        <v>1/12 Nguyễn Khoa Vy</v>
      </c>
      <c r="D7333" s="119" t="str">
        <f>IFERROR(__xludf.DUMMYFUNCTION("""COMPUTED_VALUE"""),"Chó")</f>
        <v>Chó</v>
      </c>
      <c r="E7333" s="119" t="str">
        <f>IFERROR(__xludf.DUMMYFUNCTION("""COMPUTED_VALUE"""),"Đen")</f>
        <v>Đen</v>
      </c>
    </row>
    <row r="7334" ht="15.75" customHeight="1">
      <c r="A7334" s="122" t="str">
        <f>IFERROR(__xludf.DUMMYFUNCTION("""COMPUTED_VALUE"""),"0962 987 092")</f>
        <v>0962 987 092</v>
      </c>
      <c r="B7334" s="119" t="str">
        <f>IFERROR(__xludf.DUMMYFUNCTION("""COMPUTED_VALUE"""),"Chị Trà My")</f>
        <v>Chị Trà My</v>
      </c>
      <c r="C7334" s="119" t="str">
        <f>IFERROR(__xludf.DUMMYFUNCTION("""COMPUTED_VALUE"""),"Chợ nọ")</f>
        <v>Chợ nọ</v>
      </c>
      <c r="D7334" s="119" t="str">
        <f>IFERROR(__xludf.DUMMYFUNCTION("""COMPUTED_VALUE"""),"Mèo")</f>
        <v>Mèo</v>
      </c>
      <c r="E7334" s="119" t="str">
        <f>IFERROR(__xludf.DUMMYFUNCTION("""COMPUTED_VALUE"""),"Đào")</f>
        <v>Đào</v>
      </c>
    </row>
    <row r="7335" ht="15.75" customHeight="1">
      <c r="A7335" s="122" t="str">
        <f>IFERROR(__xludf.DUMMYFUNCTION("""COMPUTED_VALUE"""),"0979 962 345")</f>
        <v>0979 962 345</v>
      </c>
      <c r="B7335" s="119" t="str">
        <f>IFERROR(__xludf.DUMMYFUNCTION("""COMPUTED_VALUE"""),"Anh Dương")</f>
        <v>Anh Dương</v>
      </c>
      <c r="C7335" s="119" t="str">
        <f>IFERROR(__xludf.DUMMYFUNCTION("""COMPUTED_VALUE"""),"39/8 An Cựu City")</f>
        <v>39/8 An Cựu City</v>
      </c>
      <c r="D7335" s="119" t="str">
        <f>IFERROR(__xludf.DUMMYFUNCTION("""COMPUTED_VALUE"""),"Mèo")</f>
        <v>Mèo</v>
      </c>
      <c r="E7335" s="119" t="str">
        <f>IFERROR(__xludf.DUMMYFUNCTION("""COMPUTED_VALUE"""),"Min")</f>
        <v>Min</v>
      </c>
    </row>
    <row r="7336" ht="15.75" customHeight="1">
      <c r="A7336" s="122" t="str">
        <f>IFERROR(__xludf.DUMMYFUNCTION("""COMPUTED_VALUE"""),"0911 838 219")</f>
        <v>0911 838 219</v>
      </c>
      <c r="B7336" s="119" t="str">
        <f>IFERROR(__xludf.DUMMYFUNCTION("""COMPUTED_VALUE"""),"Chị Nhàn")</f>
        <v>Chị Nhàn</v>
      </c>
      <c r="C7336" s="119" t="str">
        <f>IFERROR(__xludf.DUMMYFUNCTION("""COMPUTED_VALUE"""),"24/3/86 Phan Chu Trinh")</f>
        <v>24/3/86 Phan Chu Trinh</v>
      </c>
      <c r="D7336" s="119" t="str">
        <f>IFERROR(__xludf.DUMMYFUNCTION("""COMPUTED_VALUE"""),"Chó")</f>
        <v>Chó</v>
      </c>
      <c r="E7336" s="119" t="str">
        <f>IFERROR(__xludf.DUMMYFUNCTION("""COMPUTED_VALUE"""),"Mon")</f>
        <v>Mon</v>
      </c>
    </row>
    <row r="7337" ht="15.75" customHeight="1">
      <c r="A7337" s="122" t="str">
        <f>IFERROR(__xludf.DUMMYFUNCTION("""COMPUTED_VALUE"""),"0983 025 671")</f>
        <v>0983 025 671</v>
      </c>
      <c r="B7337" s="119" t="str">
        <f>IFERROR(__xludf.DUMMYFUNCTION("""COMPUTED_VALUE"""),"Anh Hưng")</f>
        <v>Anh Hưng</v>
      </c>
      <c r="C7337" s="119" t="str">
        <f>IFERROR(__xludf.DUMMYFUNCTION("""COMPUTED_VALUE"""),"120 Trường Chinh")</f>
        <v>120 Trường Chinh</v>
      </c>
      <c r="D7337" s="119" t="str">
        <f>IFERROR(__xludf.DUMMYFUNCTION("""COMPUTED_VALUE"""),"Chó")</f>
        <v>Chó</v>
      </c>
      <c r="E7337" s="119" t="str">
        <f>IFERROR(__xludf.DUMMYFUNCTION("""COMPUTED_VALUE"""),"Kem")</f>
        <v>Kem</v>
      </c>
    </row>
    <row r="7338" ht="15.75" customHeight="1">
      <c r="A7338" s="122" t="str">
        <f>IFERROR(__xludf.DUMMYFUNCTION("""COMPUTED_VALUE"""),"0946 897 166")</f>
        <v>0946 897 166</v>
      </c>
      <c r="B7338" s="119" t="str">
        <f>IFERROR(__xludf.DUMMYFUNCTION("""COMPUTED_VALUE"""),"Anh Phi Long")</f>
        <v>Anh Phi Long</v>
      </c>
      <c r="C7338" s="119" t="str">
        <f>IFERROR(__xludf.DUMMYFUNCTION("""COMPUTED_VALUE"""),"28/69 Phạm Thị Liên")</f>
        <v>28/69 Phạm Thị Liên</v>
      </c>
      <c r="D7338" s="119" t="str">
        <f>IFERROR(__xludf.DUMMYFUNCTION("""COMPUTED_VALUE"""),"Chó")</f>
        <v>Chó</v>
      </c>
      <c r="E7338" s="119" t="str">
        <f>IFERROR(__xludf.DUMMYFUNCTION("""COMPUTED_VALUE"""),"Ca/Cat")</f>
        <v>Ca/Cat</v>
      </c>
    </row>
    <row r="7339" ht="15.75" customHeight="1">
      <c r="A7339" s="122" t="str">
        <f>IFERROR(__xludf.DUMMYFUNCTION("""COMPUTED_VALUE"""),"0905 821 122")</f>
        <v>0905 821 122</v>
      </c>
      <c r="B7339" s="119" t="str">
        <f>IFERROR(__xludf.DUMMYFUNCTION("""COMPUTED_VALUE"""),"Chị Thảo")</f>
        <v>Chị Thảo</v>
      </c>
      <c r="C7339" s="119" t="str">
        <f>IFERROR(__xludf.DUMMYFUNCTION("""COMPUTED_VALUE"""),"1/6 Trương Định")</f>
        <v>1/6 Trương Định</v>
      </c>
      <c r="D7339" s="119" t="str">
        <f>IFERROR(__xludf.DUMMYFUNCTION("""COMPUTED_VALUE"""),"Mèo")</f>
        <v>Mèo</v>
      </c>
      <c r="E7339" s="119" t="str">
        <f>IFERROR(__xludf.DUMMYFUNCTION("""COMPUTED_VALUE"""),"Mướp")</f>
        <v>Mướp</v>
      </c>
    </row>
    <row r="7340" ht="15.75" customHeight="1">
      <c r="A7340" s="122" t="str">
        <f>IFERROR(__xludf.DUMMYFUNCTION("""COMPUTED_VALUE"""),"0836 044 667")</f>
        <v>0836 044 667</v>
      </c>
      <c r="B7340" s="119" t="str">
        <f>IFERROR(__xludf.DUMMYFUNCTION("""COMPUTED_VALUE"""),"Chị Thanh")</f>
        <v>Chị Thanh</v>
      </c>
      <c r="C7340" s="119" t="str">
        <f>IFERROR(__xludf.DUMMYFUNCTION("""COMPUTED_VALUE"""),"290 Phạm Văn Đồng")</f>
        <v>290 Phạm Văn Đồng</v>
      </c>
      <c r="D7340" s="119" t="str">
        <f>IFERROR(__xludf.DUMMYFUNCTION("""COMPUTED_VALUE"""),"Mèo")</f>
        <v>Mèo</v>
      </c>
      <c r="E7340" s="119"/>
    </row>
    <row r="7341" ht="15.75" customHeight="1">
      <c r="A7341" s="122" t="str">
        <f>IFERROR(__xludf.DUMMYFUNCTION("""COMPUTED_VALUE"""),"0968 535 407")</f>
        <v>0968 535 407</v>
      </c>
      <c r="B7341" s="119" t="str">
        <f>IFERROR(__xludf.DUMMYFUNCTION("""COMPUTED_VALUE"""),"chị Thanh Hải")</f>
        <v>chị Thanh Hải</v>
      </c>
      <c r="C7341" s="119" t="str">
        <f>IFERROR(__xludf.DUMMYFUNCTION("""COMPUTED_VALUE"""),"17/154 Bà Triệu")</f>
        <v>17/154 Bà Triệu</v>
      </c>
      <c r="D7341" s="119" t="str">
        <f>IFERROR(__xludf.DUMMYFUNCTION("""COMPUTED_VALUE"""),"Chó")</f>
        <v>Chó</v>
      </c>
      <c r="E7341" s="119" t="str">
        <f>IFERROR(__xludf.DUMMYFUNCTION("""COMPUTED_VALUE"""),"Bu")</f>
        <v>Bu</v>
      </c>
    </row>
    <row r="7342" ht="15.75" customHeight="1">
      <c r="A7342" s="122" t="str">
        <f>IFERROR(__xludf.DUMMYFUNCTION("""COMPUTED_VALUE"""),"0845 080 999")</f>
        <v>0845 080 999</v>
      </c>
      <c r="B7342" s="119" t="str">
        <f>IFERROR(__xludf.DUMMYFUNCTION("""COMPUTED_VALUE"""),"Anh Phú")</f>
        <v>Anh Phú</v>
      </c>
      <c r="C7342" s="119" t="str">
        <f>IFERROR(__xludf.DUMMYFUNCTION("""COMPUTED_VALUE"""),"25 X2 Lại Thế")</f>
        <v>25 X2 Lại Thế</v>
      </c>
      <c r="D7342" s="119" t="str">
        <f>IFERROR(__xludf.DUMMYFUNCTION("""COMPUTED_VALUE"""),"Chó")</f>
        <v>Chó</v>
      </c>
      <c r="E7342" s="119" t="str">
        <f>IFERROR(__xludf.DUMMYFUNCTION("""COMPUTED_VALUE"""),"Luci")</f>
        <v>Luci</v>
      </c>
    </row>
    <row r="7343" ht="15.75" customHeight="1">
      <c r="A7343" s="122" t="str">
        <f>IFERROR(__xludf.DUMMYFUNCTION("""COMPUTED_VALUE"""),"0855 170 602")</f>
        <v>0855 170 602</v>
      </c>
      <c r="B7343" s="119" t="str">
        <f>IFERROR(__xludf.DUMMYFUNCTION("""COMPUTED_VALUE"""),"Chị Trang")</f>
        <v>Chị Trang</v>
      </c>
      <c r="C7343" s="119" t="str">
        <f>IFERROR(__xludf.DUMMYFUNCTION("""COMPUTED_VALUE"""),"16 kiệt 48 Hồ Đắc Di")</f>
        <v>16 kiệt 48 Hồ Đắc Di</v>
      </c>
      <c r="D7343" s="119" t="str">
        <f>IFERROR(__xludf.DUMMYFUNCTION("""COMPUTED_VALUE"""),"Mèo")</f>
        <v>Mèo</v>
      </c>
      <c r="E7343" s="119"/>
    </row>
    <row r="7344" ht="15.75" customHeight="1">
      <c r="A7344" s="122" t="str">
        <f>IFERROR(__xludf.DUMMYFUNCTION("""COMPUTED_VALUE"""),"0905 821 112")</f>
        <v>0905 821 112</v>
      </c>
      <c r="B7344" s="119" t="str">
        <f>IFERROR(__xludf.DUMMYFUNCTION("""COMPUTED_VALUE"""),"Chị Thảo")</f>
        <v>Chị Thảo</v>
      </c>
      <c r="C7344" s="119" t="str">
        <f>IFERROR(__xludf.DUMMYFUNCTION("""COMPUTED_VALUE"""),"1/6 Trường Chinh")</f>
        <v>1/6 Trường Chinh</v>
      </c>
      <c r="D7344" s="119" t="str">
        <f>IFERROR(__xludf.DUMMYFUNCTION("""COMPUTED_VALUE"""),"Mèo")</f>
        <v>Mèo</v>
      </c>
      <c r="E7344" s="119" t="str">
        <f>IFERROR(__xludf.DUMMYFUNCTION("""COMPUTED_VALUE"""),"Mướp")</f>
        <v>Mướp</v>
      </c>
    </row>
    <row r="7345" ht="15.75" customHeight="1">
      <c r="A7345" s="122" t="str">
        <f>IFERROR(__xludf.DUMMYFUNCTION("""COMPUTED_VALUE"""),"0983 333 816")</f>
        <v>0983 333 816</v>
      </c>
      <c r="B7345" s="119" t="str">
        <f>IFERROR(__xludf.DUMMYFUNCTION("""COMPUTED_VALUE"""),"Chú Trần Ngọc Trường")</f>
        <v>Chú Trần Ngọc Trường</v>
      </c>
      <c r="C7345" s="119" t="str">
        <f>IFERROR(__xludf.DUMMYFUNCTION("""COMPUTED_VALUE"""),"5/19 Đặng Văn Ngữ")</f>
        <v>5/19 Đặng Văn Ngữ</v>
      </c>
      <c r="D7345" s="119" t="str">
        <f>IFERROR(__xludf.DUMMYFUNCTION("""COMPUTED_VALUE"""),"Chó")</f>
        <v>Chó</v>
      </c>
      <c r="E7345" s="119" t="str">
        <f>IFERROR(__xludf.DUMMYFUNCTION("""COMPUTED_VALUE"""),"Lucky")</f>
        <v>Lucky</v>
      </c>
    </row>
    <row r="7346" ht="15.75" customHeight="1">
      <c r="A7346" s="122" t="str">
        <f>IFERROR(__xludf.DUMMYFUNCTION("""COMPUTED_VALUE"""),"0948 695 912")</f>
        <v>0948 695 912</v>
      </c>
      <c r="B7346" s="119" t="str">
        <f>IFERROR(__xludf.DUMMYFUNCTION("""COMPUTED_VALUE"""),"Chú Trúc")</f>
        <v>Chú Trúc</v>
      </c>
      <c r="C7346" s="119" t="str">
        <f>IFERROR(__xludf.DUMMYFUNCTION("""COMPUTED_VALUE"""),"Phong Điền")</f>
        <v>Phong Điền</v>
      </c>
      <c r="D7346" s="119" t="str">
        <f>IFERROR(__xludf.DUMMYFUNCTION("""COMPUTED_VALUE"""),"Chó")</f>
        <v>Chó</v>
      </c>
      <c r="E7346" s="119" t="str">
        <f>IFERROR(__xludf.DUMMYFUNCTION("""COMPUTED_VALUE"""),"Bông")</f>
        <v>Bông</v>
      </c>
    </row>
    <row r="7347" ht="15.75" customHeight="1">
      <c r="A7347" s="122" t="str">
        <f>IFERROR(__xludf.DUMMYFUNCTION("""COMPUTED_VALUE"""),"0706 151 867")</f>
        <v>0706 151 867</v>
      </c>
      <c r="B7347" s="119" t="str">
        <f>IFERROR(__xludf.DUMMYFUNCTION("""COMPUTED_VALUE"""),"Dì Nguyễn Thị Ni")</f>
        <v>Dì Nguyễn Thị Ni</v>
      </c>
      <c r="C7347" s="119" t="str">
        <f>IFERROR(__xludf.DUMMYFUNCTION("""COMPUTED_VALUE"""),"2/127 Hàn Mặc Tử")</f>
        <v>2/127 Hàn Mặc Tử</v>
      </c>
      <c r="D7347" s="119" t="str">
        <f>IFERROR(__xludf.DUMMYFUNCTION("""COMPUTED_VALUE"""),"Chó")</f>
        <v>Chó</v>
      </c>
      <c r="E7347" s="119" t="str">
        <f>IFERROR(__xludf.DUMMYFUNCTION("""COMPUTED_VALUE"""),"Vàng")</f>
        <v>Vàng</v>
      </c>
    </row>
    <row r="7348" ht="15.75" customHeight="1">
      <c r="A7348" s="122" t="str">
        <f>IFERROR(__xludf.DUMMYFUNCTION("""COMPUTED_VALUE"""),"0397 037 207")</f>
        <v>0397 037 207</v>
      </c>
      <c r="B7348" s="119" t="str">
        <f>IFERROR(__xludf.DUMMYFUNCTION("""COMPUTED_VALUE"""),"Chị Trinh")</f>
        <v>Chị Trinh</v>
      </c>
      <c r="C7348" s="119" t="str">
        <f>IFERROR(__xludf.DUMMYFUNCTION("""COMPUTED_VALUE"""),"Phú Mỹ Phú Vang")</f>
        <v>Phú Mỹ Phú Vang</v>
      </c>
      <c r="D7348" s="119" t="str">
        <f>IFERROR(__xludf.DUMMYFUNCTION("""COMPUTED_VALUE"""),"Chó")</f>
        <v>Chó</v>
      </c>
      <c r="E7348" s="119" t="str">
        <f>IFERROR(__xludf.DUMMYFUNCTION("""COMPUTED_VALUE"""),"Nu")</f>
        <v>Nu</v>
      </c>
    </row>
    <row r="7349" ht="15.75" customHeight="1">
      <c r="A7349" s="122" t="str">
        <f>IFERROR(__xludf.DUMMYFUNCTION("""COMPUTED_VALUE"""),"0869 768 578")</f>
        <v>0869 768 578</v>
      </c>
      <c r="B7349" s="119" t="str">
        <f>IFERROR(__xludf.DUMMYFUNCTION("""COMPUTED_VALUE"""),"Ngô Thị Thảo")</f>
        <v>Ngô Thị Thảo</v>
      </c>
      <c r="C7349" s="119" t="str">
        <f>IFERROR(__xludf.DUMMYFUNCTION("""COMPUTED_VALUE"""),"4/4/245 Phạm Văn Đồng")</f>
        <v>4/4/245 Phạm Văn Đồng</v>
      </c>
      <c r="D7349" s="119" t="str">
        <f>IFERROR(__xludf.DUMMYFUNCTION("""COMPUTED_VALUE"""),"Chó")</f>
        <v>Chó</v>
      </c>
      <c r="E7349" s="119" t="str">
        <f>IFERROR(__xludf.DUMMYFUNCTION("""COMPUTED_VALUE"""),"Bạch Tuyết")</f>
        <v>Bạch Tuyết</v>
      </c>
    </row>
    <row r="7350" ht="15.75" customHeight="1">
      <c r="A7350" s="122" t="str">
        <f>IFERROR(__xludf.DUMMYFUNCTION("""COMPUTED_VALUE"""),"0914 579 382")</f>
        <v>0914 579 382</v>
      </c>
      <c r="B7350" s="119" t="str">
        <f>IFERROR(__xludf.DUMMYFUNCTION("""COMPUTED_VALUE"""),"Anh Tỵ")</f>
        <v>Anh Tỵ</v>
      </c>
      <c r="C7350" s="119" t="str">
        <f>IFERROR(__xludf.DUMMYFUNCTION("""COMPUTED_VALUE"""),"2 Bà Triệu")</f>
        <v>2 Bà Triệu</v>
      </c>
      <c r="D7350" s="119" t="str">
        <f>IFERROR(__xludf.DUMMYFUNCTION("""COMPUTED_VALUE"""),"Chó")</f>
        <v>Chó</v>
      </c>
      <c r="E7350" s="119" t="str">
        <f>IFERROR(__xludf.DUMMYFUNCTION("""COMPUTED_VALUE"""),"Bun")</f>
        <v>Bun</v>
      </c>
    </row>
    <row r="7351" ht="15.75" customHeight="1">
      <c r="A7351" s="122" t="str">
        <f>IFERROR(__xludf.DUMMYFUNCTION("""COMPUTED_VALUE"""),"0931 980 983")</f>
        <v>0931 980 983</v>
      </c>
      <c r="B7351" s="119" t="str">
        <f>IFERROR(__xludf.DUMMYFUNCTION("""COMPUTED_VALUE"""),"Chị Huyền")</f>
        <v>Chị Huyền</v>
      </c>
      <c r="C7351" s="119" t="str">
        <f>IFERROR(__xludf.DUMMYFUNCTION("""COMPUTED_VALUE"""),"Tây Thành Quảng Thanh")</f>
        <v>Tây Thành Quảng Thanh</v>
      </c>
      <c r="D7351" s="119" t="str">
        <f>IFERROR(__xludf.DUMMYFUNCTION("""COMPUTED_VALUE"""),"Mèo")</f>
        <v>Mèo</v>
      </c>
      <c r="E7351" s="119" t="str">
        <f>IFERROR(__xludf.DUMMYFUNCTION("""COMPUTED_VALUE"""),"Misa")</f>
        <v>Misa</v>
      </c>
    </row>
    <row r="7352" ht="15.75" customHeight="1">
      <c r="A7352" s="122" t="str">
        <f>IFERROR(__xludf.DUMMYFUNCTION("""COMPUTED_VALUE"""),"0935 305 943")</f>
        <v>0935 305 943</v>
      </c>
      <c r="B7352" s="119" t="str">
        <f>IFERROR(__xludf.DUMMYFUNCTION("""COMPUTED_VALUE"""),"chị hoa")</f>
        <v>chị hoa</v>
      </c>
      <c r="C7352" s="119" t="str">
        <f>IFERROR(__xludf.DUMMYFUNCTION("""COMPUTED_VALUE"""),"185/2 ng lộ trạch")</f>
        <v>185/2 ng lộ trạch</v>
      </c>
      <c r="D7352" s="119" t="str">
        <f>IFERROR(__xludf.DUMMYFUNCTION("""COMPUTED_VALUE"""),"Chó")</f>
        <v>Chó</v>
      </c>
      <c r="E7352" s="119" t="str">
        <f>IFERROR(__xludf.DUMMYFUNCTION("""COMPUTED_VALUE"""),"xu")</f>
        <v>xu</v>
      </c>
    </row>
    <row r="7353" ht="15.75" customHeight="1">
      <c r="A7353" s="122" t="str">
        <f>IFERROR(__xludf.DUMMYFUNCTION("""COMPUTED_VALUE"""),"0986 729 454")</f>
        <v>0986 729 454</v>
      </c>
      <c r="B7353" s="119" t="str">
        <f>IFERROR(__xludf.DUMMYFUNCTION("""COMPUTED_VALUE"""),"anh châu")</f>
        <v>anh châu</v>
      </c>
      <c r="C7353" s="119" t="str">
        <f>IFERROR(__xludf.DUMMYFUNCTION("""COMPUTED_VALUE"""),"85/2 ng lộ trạch")</f>
        <v>85/2 ng lộ trạch</v>
      </c>
      <c r="D7353" s="119" t="str">
        <f>IFERROR(__xludf.DUMMYFUNCTION("""COMPUTED_VALUE"""),"Chó")</f>
        <v>Chó</v>
      </c>
      <c r="E7353" s="119" t="str">
        <f>IFERROR(__xludf.DUMMYFUNCTION("""COMPUTED_VALUE"""),"sữa")</f>
        <v>sữa</v>
      </c>
    </row>
    <row r="7354" ht="15.75" customHeight="1">
      <c r="A7354" s="122" t="str">
        <f>IFERROR(__xludf.DUMMYFUNCTION("""COMPUTED_VALUE"""),"0914 130 681")</f>
        <v>0914 130 681</v>
      </c>
      <c r="B7354" s="119" t="str">
        <f>IFERROR(__xludf.DUMMYFUNCTION("""COMPUTED_VALUE"""),"anh tuấn")</f>
        <v>anh tuấn</v>
      </c>
      <c r="C7354" s="119" t="str">
        <f>IFERROR(__xludf.DUMMYFUNCTION("""COMPUTED_VALUE"""),"288 Lý Nam Đế")</f>
        <v>288 Lý Nam Đế</v>
      </c>
      <c r="D7354" s="119" t="str">
        <f>IFERROR(__xludf.DUMMYFUNCTION("""COMPUTED_VALUE"""),"Chó")</f>
        <v>Chó</v>
      </c>
      <c r="E7354" s="119" t="str">
        <f>IFERROR(__xludf.DUMMYFUNCTION("""COMPUTED_VALUE"""),"rốt")</f>
        <v>rốt</v>
      </c>
    </row>
    <row r="7355" ht="15.75" customHeight="1">
      <c r="A7355" s="122" t="str">
        <f>IFERROR(__xludf.DUMMYFUNCTION("""COMPUTED_VALUE"""),"0934 446 599")</f>
        <v>0934 446 599</v>
      </c>
      <c r="B7355" s="119" t="str">
        <f>IFERROR(__xludf.DUMMYFUNCTION("""COMPUTED_VALUE"""),"anh khanh")</f>
        <v>anh khanh</v>
      </c>
      <c r="C7355" s="119" t="str">
        <f>IFERROR(__xludf.DUMMYFUNCTION("""COMPUTED_VALUE"""),"61/1 hoàng quốc việt")</f>
        <v>61/1 hoàng quốc việt</v>
      </c>
      <c r="D7355" s="119" t="str">
        <f>IFERROR(__xludf.DUMMYFUNCTION("""COMPUTED_VALUE"""),"Chó")</f>
        <v>Chó</v>
      </c>
      <c r="E7355" s="119" t="str">
        <f>IFERROR(__xludf.DUMMYFUNCTION("""COMPUTED_VALUE"""),"gơ")</f>
        <v>gơ</v>
      </c>
    </row>
    <row r="7356" ht="15.75" customHeight="1">
      <c r="A7356" s="122" t="str">
        <f>IFERROR(__xludf.DUMMYFUNCTION("""COMPUTED_VALUE"""),"0868 456 947")</f>
        <v>0868 456 947</v>
      </c>
      <c r="B7356" s="119" t="str">
        <f>IFERROR(__xludf.DUMMYFUNCTION("""COMPUTED_VALUE"""),"Chị Nguyệt")</f>
        <v>Chị Nguyệt</v>
      </c>
      <c r="C7356" s="119" t="str">
        <f>IFERROR(__xludf.DUMMYFUNCTION("""COMPUTED_VALUE"""),"Tôn Thất Thiệp")</f>
        <v>Tôn Thất Thiệp</v>
      </c>
      <c r="D7356" s="119" t="str">
        <f>IFERROR(__xludf.DUMMYFUNCTION("""COMPUTED_VALUE"""),"Chó")</f>
        <v>Chó</v>
      </c>
      <c r="E7356" s="119" t="str">
        <f>IFERROR(__xludf.DUMMYFUNCTION("""COMPUTED_VALUE"""),"Powli")</f>
        <v>Powli</v>
      </c>
    </row>
    <row r="7357" ht="15.75" customHeight="1">
      <c r="A7357" s="122" t="str">
        <f>IFERROR(__xludf.DUMMYFUNCTION("""COMPUTED_VALUE"""),"0965 374 131")</f>
        <v>0965 374 131</v>
      </c>
      <c r="B7357" s="119" t="str">
        <f>IFERROR(__xludf.DUMMYFUNCTION("""COMPUTED_VALUE"""),"chị Hóa")</f>
        <v>chị Hóa</v>
      </c>
      <c r="C7357" s="119" t="str">
        <f>IFERROR(__xludf.DUMMYFUNCTION("""COMPUTED_VALUE"""),"11 Đặng Thùy Trâm")</f>
        <v>11 Đặng Thùy Trâm</v>
      </c>
      <c r="D7357" s="119" t="str">
        <f>IFERROR(__xludf.DUMMYFUNCTION("""COMPUTED_VALUE"""),"Chó")</f>
        <v>Chó</v>
      </c>
      <c r="E7357" s="119" t="str">
        <f>IFERROR(__xludf.DUMMYFUNCTION("""COMPUTED_VALUE"""),"Bin")</f>
        <v>Bin</v>
      </c>
    </row>
    <row r="7358" ht="15.75" customHeight="1">
      <c r="A7358" s="122" t="str">
        <f>IFERROR(__xludf.DUMMYFUNCTION("""COMPUTED_VALUE"""),"0398 615 090")</f>
        <v>0398 615 090</v>
      </c>
      <c r="B7358" s="119" t="str">
        <f>IFERROR(__xludf.DUMMYFUNCTION("""COMPUTED_VALUE"""),"Nam Phương")</f>
        <v>Nam Phương</v>
      </c>
      <c r="C7358" s="119" t="str">
        <f>IFERROR(__xludf.DUMMYFUNCTION("""COMPUTED_VALUE"""),"An Dương Vương")</f>
        <v>An Dương Vương</v>
      </c>
      <c r="D7358" s="119" t="str">
        <f>IFERROR(__xludf.DUMMYFUNCTION("""COMPUTED_VALUE"""),"Mèo")</f>
        <v>Mèo</v>
      </c>
      <c r="E7358" s="119" t="str">
        <f>IFERROR(__xludf.DUMMYFUNCTION("""COMPUTED_VALUE"""),"Bơ")</f>
        <v>Bơ</v>
      </c>
    </row>
    <row r="7359" ht="15.75" customHeight="1">
      <c r="A7359" s="122" t="str">
        <f>IFERROR(__xludf.DUMMYFUNCTION("""COMPUTED_VALUE"""),"0898 221 710")</f>
        <v>0898 221 710</v>
      </c>
      <c r="B7359" s="119" t="str">
        <f>IFERROR(__xludf.DUMMYFUNCTION("""COMPUTED_VALUE"""),"Trân")</f>
        <v>Trân</v>
      </c>
      <c r="C7359" s="119" t="str">
        <f>IFERROR(__xludf.DUMMYFUNCTION("""COMPUTED_VALUE"""),"k49 Hàn Mặc Tử")</f>
        <v>k49 Hàn Mặc Tử</v>
      </c>
      <c r="D7359" s="119" t="str">
        <f>IFERROR(__xludf.DUMMYFUNCTION("""COMPUTED_VALUE"""),"Mèo")</f>
        <v>Mèo</v>
      </c>
      <c r="E7359" s="119" t="str">
        <f>IFERROR(__xludf.DUMMYFUNCTION("""COMPUTED_VALUE"""),"Trắng")</f>
        <v>Trắng</v>
      </c>
    </row>
    <row r="7360" ht="15.75" customHeight="1">
      <c r="A7360" s="122" t="str">
        <f>IFERROR(__xludf.DUMMYFUNCTION("""COMPUTED_VALUE"""),"0772 469 759")</f>
        <v>0772 469 759</v>
      </c>
      <c r="B7360" s="119" t="str">
        <f>IFERROR(__xludf.DUMMYFUNCTION("""COMPUTED_VALUE"""),"Anh Quang")</f>
        <v>Anh Quang</v>
      </c>
      <c r="C7360" s="119" t="str">
        <f>IFERROR(__xludf.DUMMYFUNCTION("""COMPUTED_VALUE"""),"49 Phan Điình Phùng")</f>
        <v>49 Phan Điình Phùng</v>
      </c>
      <c r="D7360" s="119" t="str">
        <f>IFERROR(__xludf.DUMMYFUNCTION("""COMPUTED_VALUE"""),"Chó")</f>
        <v>Chó</v>
      </c>
      <c r="E7360" s="119" t="str">
        <f>IFERROR(__xludf.DUMMYFUNCTION("""COMPUTED_VALUE"""),"Lu")</f>
        <v>Lu</v>
      </c>
    </row>
    <row r="7361" ht="15.75" customHeight="1">
      <c r="A7361" s="122" t="str">
        <f>IFERROR(__xludf.DUMMYFUNCTION("""COMPUTED_VALUE"""),"0785 025 510")</f>
        <v>0785 025 510</v>
      </c>
      <c r="B7361" s="119" t="str">
        <f>IFERROR(__xludf.DUMMYFUNCTION("""COMPUTED_VALUE"""),"Anh Dũng")</f>
        <v>Anh Dũng</v>
      </c>
      <c r="C7361" s="119" t="str">
        <f>IFERROR(__xludf.DUMMYFUNCTION("""COMPUTED_VALUE"""),"Thuận An")</f>
        <v>Thuận An</v>
      </c>
      <c r="D7361" s="119" t="str">
        <f>IFERROR(__xludf.DUMMYFUNCTION("""COMPUTED_VALUE"""),"Chó")</f>
        <v>Chó</v>
      </c>
      <c r="E7361" s="119" t="str">
        <f>IFERROR(__xludf.DUMMYFUNCTION("""COMPUTED_VALUE"""),"Ben")</f>
        <v>Ben</v>
      </c>
    </row>
    <row r="7362" ht="15.75" customHeight="1">
      <c r="A7362" s="122" t="str">
        <f>IFERROR(__xludf.DUMMYFUNCTION("""COMPUTED_VALUE"""),"0373 945 057")</f>
        <v>0373 945 057</v>
      </c>
      <c r="B7362" s="119" t="str">
        <f>IFERROR(__xludf.DUMMYFUNCTION("""COMPUTED_VALUE"""),"Chị Thảo")</f>
        <v>Chị Thảo</v>
      </c>
      <c r="C7362" s="119" t="str">
        <f>IFERROR(__xludf.DUMMYFUNCTION("""COMPUTED_VALUE"""),"154 Bà Triệu")</f>
        <v>154 Bà Triệu</v>
      </c>
      <c r="D7362" s="119" t="str">
        <f>IFERROR(__xludf.DUMMYFUNCTION("""COMPUTED_VALUE"""),"Mèo")</f>
        <v>Mèo</v>
      </c>
      <c r="E7362" s="119" t="str">
        <f>IFERROR(__xludf.DUMMYFUNCTION("""COMPUTED_VALUE"""),"Bông")</f>
        <v>Bông</v>
      </c>
    </row>
    <row r="7363" ht="15.75" customHeight="1">
      <c r="A7363" s="122" t="str">
        <f>IFERROR(__xludf.DUMMYFUNCTION("""COMPUTED_VALUE"""),"0903 532 002")</f>
        <v>0903 532 002</v>
      </c>
      <c r="B7363" s="119" t="str">
        <f>IFERROR(__xludf.DUMMYFUNCTION("""COMPUTED_VALUE"""),"Anh Cao Thanh")</f>
        <v>Anh Cao Thanh</v>
      </c>
      <c r="C7363" s="119" t="str">
        <f>IFERROR(__xludf.DUMMYFUNCTION("""COMPUTED_VALUE"""),"19 Lý Thường Kiệt")</f>
        <v>19 Lý Thường Kiệt</v>
      </c>
      <c r="D7363" s="119" t="str">
        <f>IFERROR(__xludf.DUMMYFUNCTION("""COMPUTED_VALUE"""),"Mèo")</f>
        <v>Mèo</v>
      </c>
      <c r="E7363" s="119" t="str">
        <f>IFERROR(__xludf.DUMMYFUNCTION("""COMPUTED_VALUE"""),"sữa")</f>
        <v>sữa</v>
      </c>
    </row>
    <row r="7364" ht="15.75" customHeight="1">
      <c r="A7364" s="122" t="str">
        <f>IFERROR(__xludf.DUMMYFUNCTION("""COMPUTED_VALUE"""),"0703 480 636")</f>
        <v>0703 480 636</v>
      </c>
      <c r="B7364" s="119" t="str">
        <f>IFERROR(__xludf.DUMMYFUNCTION("""COMPUTED_VALUE"""),"Diêm Quỳnh")</f>
        <v>Diêm Quỳnh</v>
      </c>
      <c r="C7364" s="119" t="str">
        <f>IFERROR(__xludf.DUMMYFUNCTION("""COMPUTED_VALUE"""),"Trung Tâm Phú Thượng")</f>
        <v>Trung Tâm Phú Thượng</v>
      </c>
      <c r="D7364" s="119" t="str">
        <f>IFERROR(__xludf.DUMMYFUNCTION("""COMPUTED_VALUE"""),"Chó")</f>
        <v>Chó</v>
      </c>
      <c r="E7364" s="119" t="str">
        <f>IFERROR(__xludf.DUMMYFUNCTION("""COMPUTED_VALUE"""),"Mickey")</f>
        <v>Mickey</v>
      </c>
    </row>
    <row r="7365" ht="15.75" customHeight="1">
      <c r="A7365" s="122" t="str">
        <f>IFERROR(__xludf.DUMMYFUNCTION("""COMPUTED_VALUE"""),"0914 036 641")</f>
        <v>0914 036 641</v>
      </c>
      <c r="B7365" s="119" t="str">
        <f>IFERROR(__xludf.DUMMYFUNCTION("""COMPUTED_VALUE"""),"Cô Dung")</f>
        <v>Cô Dung</v>
      </c>
      <c r="C7365" s="119" t="str">
        <f>IFERROR(__xludf.DUMMYFUNCTION("""COMPUTED_VALUE"""),"43 Nguyễn Thiện Kế")</f>
        <v>43 Nguyễn Thiện Kế</v>
      </c>
      <c r="D7365" s="119" t="str">
        <f>IFERROR(__xludf.DUMMYFUNCTION("""COMPUTED_VALUE"""),"Chó")</f>
        <v>Chó</v>
      </c>
      <c r="E7365" s="119" t="str">
        <f>IFERROR(__xludf.DUMMYFUNCTION("""COMPUTED_VALUE"""),"SuZy")</f>
        <v>SuZy</v>
      </c>
    </row>
    <row r="7366" ht="15.75" customHeight="1">
      <c r="A7366" s="122" t="str">
        <f>IFERROR(__xludf.DUMMYFUNCTION("""COMPUTED_VALUE"""),"0964 343 779")</f>
        <v>0964 343 779</v>
      </c>
      <c r="B7366" s="119" t="str">
        <f>IFERROR(__xludf.DUMMYFUNCTION("""COMPUTED_VALUE"""),"Chị Tiệp")</f>
        <v>Chị Tiệp</v>
      </c>
      <c r="C7366" s="119" t="str">
        <f>IFERROR(__xludf.DUMMYFUNCTION("""COMPUTED_VALUE"""),"Thủy Bằng - Hương Thủy")</f>
        <v>Thủy Bằng - Hương Thủy</v>
      </c>
      <c r="D7366" s="119" t="str">
        <f>IFERROR(__xludf.DUMMYFUNCTION("""COMPUTED_VALUE"""),"Chó")</f>
        <v>Chó</v>
      </c>
      <c r="E7366" s="119" t="str">
        <f>IFERROR(__xludf.DUMMYFUNCTION("""COMPUTED_VALUE"""),"Nâu")</f>
        <v>Nâu</v>
      </c>
    </row>
    <row r="7367" ht="15.75" customHeight="1">
      <c r="A7367" s="122" t="str">
        <f>IFERROR(__xludf.DUMMYFUNCTION("""COMPUTED_VALUE"""),"0384 202 521")</f>
        <v>0384 202 521</v>
      </c>
      <c r="B7367" s="119" t="str">
        <f>IFERROR(__xludf.DUMMYFUNCTION("""COMPUTED_VALUE"""),"Thanh Bình")</f>
        <v>Thanh Bình</v>
      </c>
      <c r="C7367" s="119" t="str">
        <f>IFERROR(__xludf.DUMMYFUNCTION("""COMPUTED_VALUE"""),"Sịa- Quảng Điền")</f>
        <v>Sịa- Quảng Điền</v>
      </c>
      <c r="D7367" s="119" t="str">
        <f>IFERROR(__xludf.DUMMYFUNCTION("""COMPUTED_VALUE"""),"Chó")</f>
        <v>Chó</v>
      </c>
      <c r="E7367" s="119" t="str">
        <f>IFERROR(__xludf.DUMMYFUNCTION("""COMPUTED_VALUE"""),"Đậu")</f>
        <v>Đậu</v>
      </c>
    </row>
    <row r="7368" ht="15.75" customHeight="1">
      <c r="A7368" s="122" t="str">
        <f>IFERROR(__xludf.DUMMYFUNCTION("""COMPUTED_VALUE"""),"0988 168 607")</f>
        <v>0988 168 607</v>
      </c>
      <c r="B7368" s="119" t="str">
        <f>IFERROR(__xludf.DUMMYFUNCTION("""COMPUTED_VALUE"""),"Chị Minh Tâm")</f>
        <v>Chị Minh Tâm</v>
      </c>
      <c r="C7368" s="119" t="str">
        <f>IFERROR(__xludf.DUMMYFUNCTION("""COMPUTED_VALUE"""),"Phú Vang")</f>
        <v>Phú Vang</v>
      </c>
      <c r="D7368" s="119" t="str">
        <f>IFERROR(__xludf.DUMMYFUNCTION("""COMPUTED_VALUE"""),"Chó")</f>
        <v>Chó</v>
      </c>
      <c r="E7368" s="119" t="str">
        <f>IFERROR(__xludf.DUMMYFUNCTION("""COMPUTED_VALUE"""),"Xu")</f>
        <v>Xu</v>
      </c>
    </row>
    <row r="7369" ht="15.75" customHeight="1">
      <c r="A7369" s="122" t="str">
        <f>IFERROR(__xludf.DUMMYFUNCTION("""COMPUTED_VALUE"""),"0396 825 520")</f>
        <v>0396 825 520</v>
      </c>
      <c r="B7369" s="119" t="str">
        <f>IFERROR(__xludf.DUMMYFUNCTION("""COMPUTED_VALUE"""),"Anh Quốc Sĩ")</f>
        <v>Anh Quốc Sĩ</v>
      </c>
      <c r="C7369" s="119" t="str">
        <f>IFERROR(__xludf.DUMMYFUNCTION("""COMPUTED_VALUE"""),"Chung cư Vicolan")</f>
        <v>Chung cư Vicolan</v>
      </c>
      <c r="D7369" s="119" t="str">
        <f>IFERROR(__xludf.DUMMYFUNCTION("""COMPUTED_VALUE"""),"Chó")</f>
        <v>Chó</v>
      </c>
      <c r="E7369" s="119" t="str">
        <f>IFERROR(__xludf.DUMMYFUNCTION("""COMPUTED_VALUE"""),"Nana")</f>
        <v>Nana</v>
      </c>
    </row>
    <row r="7370" ht="15.75" customHeight="1">
      <c r="A7370" s="122" t="str">
        <f>IFERROR(__xludf.DUMMYFUNCTION("""COMPUTED_VALUE"""),"0909 995 038")</f>
        <v>0909 995 038</v>
      </c>
      <c r="B7370" s="119" t="str">
        <f>IFERROR(__xludf.DUMMYFUNCTION("""COMPUTED_VALUE"""),"Ngộc Hạnh")</f>
        <v>Ngộc Hạnh</v>
      </c>
      <c r="C7370" s="119" t="str">
        <f>IFERROR(__xludf.DUMMYFUNCTION("""COMPUTED_VALUE"""),"Tam Thái")</f>
        <v>Tam Thái</v>
      </c>
      <c r="D7370" s="119" t="str">
        <f>IFERROR(__xludf.DUMMYFUNCTION("""COMPUTED_VALUE"""),"Chó")</f>
        <v>Chó</v>
      </c>
      <c r="E7370" s="119" t="str">
        <f>IFERROR(__xludf.DUMMYFUNCTION("""COMPUTED_VALUE"""),"Noel")</f>
        <v>Noel</v>
      </c>
    </row>
    <row r="7371" ht="15.75" customHeight="1">
      <c r="A7371" s="122" t="str">
        <f>IFERROR(__xludf.DUMMYFUNCTION("""COMPUTED_VALUE"""),"0799 119 672")</f>
        <v>0799 119 672</v>
      </c>
      <c r="B7371" s="119" t="str">
        <f>IFERROR(__xludf.DUMMYFUNCTION("""COMPUTED_VALUE"""),"Anh Chiến")</f>
        <v>Anh Chiến</v>
      </c>
      <c r="C7371" s="119" t="str">
        <f>IFERROR(__xludf.DUMMYFUNCTION("""COMPUTED_VALUE"""),"114 Nguyễn Huệ")</f>
        <v>114 Nguyễn Huệ</v>
      </c>
      <c r="D7371" s="119" t="str">
        <f>IFERROR(__xludf.DUMMYFUNCTION("""COMPUTED_VALUE"""),"Chó")</f>
        <v>Chó</v>
      </c>
      <c r="E7371" s="119" t="str">
        <f>IFERROR(__xludf.DUMMYFUNCTION("""COMPUTED_VALUE"""),"Nâu")</f>
        <v>Nâu</v>
      </c>
    </row>
    <row r="7372" ht="15.75" customHeight="1">
      <c r="A7372" s="122" t="str">
        <f>IFERROR(__xludf.DUMMYFUNCTION("""COMPUTED_VALUE"""),"0777 574 433")</f>
        <v>0777 574 433</v>
      </c>
      <c r="B7372" s="119" t="str">
        <f>IFERROR(__xludf.DUMMYFUNCTION("""COMPUTED_VALUE"""),"Nhi")</f>
        <v>Nhi</v>
      </c>
      <c r="C7372" s="119" t="str">
        <f>IFERROR(__xludf.DUMMYFUNCTION("""COMPUTED_VALUE"""),"Phú Thuận Phú vang")</f>
        <v>Phú Thuận Phú vang</v>
      </c>
      <c r="D7372" s="119" t="str">
        <f>IFERROR(__xludf.DUMMYFUNCTION("""COMPUTED_VALUE"""),"Chó")</f>
        <v>Chó</v>
      </c>
      <c r="E7372" s="119" t="str">
        <f>IFERROR(__xludf.DUMMYFUNCTION("""COMPUTED_VALUE"""),"Pun")</f>
        <v>Pun</v>
      </c>
    </row>
    <row r="7373" ht="15.75" customHeight="1">
      <c r="A7373" s="122" t="str">
        <f>IFERROR(__xludf.DUMMYFUNCTION("""COMPUTED_VALUE"""),"0775 550 309")</f>
        <v>0775 550 309</v>
      </c>
      <c r="B7373" s="119" t="str">
        <f>IFERROR(__xludf.DUMMYFUNCTION("""COMPUTED_VALUE"""),"Anh Dũng")</f>
        <v>Anh Dũng</v>
      </c>
      <c r="C7373" s="119" t="str">
        <f>IFERROR(__xludf.DUMMYFUNCTION("""COMPUTED_VALUE"""),"121 Hàn Mặc Tử")</f>
        <v>121 Hàn Mặc Tử</v>
      </c>
      <c r="D7373" s="119" t="str">
        <f>IFERROR(__xludf.DUMMYFUNCTION("""COMPUTED_VALUE"""),"Chó")</f>
        <v>Chó</v>
      </c>
      <c r="E7373" s="119" t="str">
        <f>IFERROR(__xludf.DUMMYFUNCTION("""COMPUTED_VALUE"""),"Ky")</f>
        <v>Ky</v>
      </c>
    </row>
    <row r="7374" ht="15.75" customHeight="1">
      <c r="A7374" s="122" t="str">
        <f>IFERROR(__xludf.DUMMYFUNCTION("""COMPUTED_VALUE"""),"0972 098 652")</f>
        <v>0972 098 652</v>
      </c>
      <c r="B7374" s="119" t="str">
        <f>IFERROR(__xludf.DUMMYFUNCTION("""COMPUTED_VALUE"""),"Ngọc Anh")</f>
        <v>Ngọc Anh</v>
      </c>
      <c r="C7374" s="119" t="str">
        <f>IFERROR(__xludf.DUMMYFUNCTION("""COMPUTED_VALUE"""),"5/11 Nguyễn Tuân")</f>
        <v>5/11 Nguyễn Tuân</v>
      </c>
      <c r="D7374" s="119" t="str">
        <f>IFERROR(__xludf.DUMMYFUNCTION("""COMPUTED_VALUE"""),"Mèo")</f>
        <v>Mèo</v>
      </c>
      <c r="E7374" s="119" t="str">
        <f>IFERROR(__xludf.DUMMYFUNCTION("""COMPUTED_VALUE"""),"Khoai")</f>
        <v>Khoai</v>
      </c>
    </row>
    <row r="7375" ht="15.75" customHeight="1">
      <c r="A7375" s="122" t="str">
        <f>IFERROR(__xludf.DUMMYFUNCTION("""COMPUTED_VALUE"""),"0913 449 285")</f>
        <v>0913 449 285</v>
      </c>
      <c r="B7375" s="119" t="str">
        <f>IFERROR(__xludf.DUMMYFUNCTION("""COMPUTED_VALUE"""),"Dì Bình")</f>
        <v>Dì Bình</v>
      </c>
      <c r="C7375" s="119" t="str">
        <f>IFERROR(__xludf.DUMMYFUNCTION("""COMPUTED_VALUE"""),"Royal park lkv2/28")</f>
        <v>Royal park lkv2/28</v>
      </c>
      <c r="D7375" s="119" t="str">
        <f>IFERROR(__xludf.DUMMYFUNCTION("""COMPUTED_VALUE"""),"Chó")</f>
        <v>Chó</v>
      </c>
      <c r="E7375" s="119" t="str">
        <f>IFERROR(__xludf.DUMMYFUNCTION("""COMPUTED_VALUE"""),"Kiwi")</f>
        <v>Kiwi</v>
      </c>
    </row>
    <row r="7376" ht="15.75" customHeight="1">
      <c r="A7376" s="122" t="str">
        <f>IFERROR(__xludf.DUMMYFUNCTION("""COMPUTED_VALUE"""),"0705 172 473")</f>
        <v>0705 172 473</v>
      </c>
      <c r="B7376" s="119" t="str">
        <f>IFERROR(__xludf.DUMMYFUNCTION("""COMPUTED_VALUE"""),"Anh Bảo")</f>
        <v>Anh Bảo</v>
      </c>
      <c r="C7376" s="119" t="str">
        <f>IFERROR(__xludf.DUMMYFUNCTION("""COMPUTED_VALUE"""),"Bạch Đằng")</f>
        <v>Bạch Đằng</v>
      </c>
      <c r="D7376" s="119" t="str">
        <f>IFERROR(__xludf.DUMMYFUNCTION("""COMPUTED_VALUE"""),"Chó")</f>
        <v>Chó</v>
      </c>
      <c r="E7376" s="119" t="str">
        <f>IFERROR(__xludf.DUMMYFUNCTION("""COMPUTED_VALUE"""),"Bun")</f>
        <v>Bun</v>
      </c>
    </row>
    <row r="7377" ht="15.75" customHeight="1">
      <c r="A7377" s="122" t="str">
        <f>IFERROR(__xludf.DUMMYFUNCTION("""COMPUTED_VALUE"""),"0849 624 294")</f>
        <v>0849 624 294</v>
      </c>
      <c r="B7377" s="119" t="str">
        <f>IFERROR(__xludf.DUMMYFUNCTION("""COMPUTED_VALUE"""),"Kim Dung")</f>
        <v>Kim Dung</v>
      </c>
      <c r="C7377" s="119" t="str">
        <f>IFERROR(__xludf.DUMMYFUNCTION("""COMPUTED_VALUE"""),"KQH cồn Dàng")</f>
        <v>KQH cồn Dàng</v>
      </c>
      <c r="D7377" s="119" t="str">
        <f>IFERROR(__xludf.DUMMYFUNCTION("""COMPUTED_VALUE"""),"Mèo")</f>
        <v>Mèo</v>
      </c>
      <c r="E7377" s="119" t="str">
        <f>IFERROR(__xludf.DUMMYFUNCTION("""COMPUTED_VALUE"""),"Mưa")</f>
        <v>Mưa</v>
      </c>
    </row>
    <row r="7378" ht="15.75" customHeight="1">
      <c r="A7378" s="122" t="str">
        <f>IFERROR(__xludf.DUMMYFUNCTION("""COMPUTED_VALUE"""),"0964 419 284")</f>
        <v>0964 419 284</v>
      </c>
      <c r="B7378" s="119" t="str">
        <f>IFERROR(__xludf.DUMMYFUNCTION("""COMPUTED_VALUE"""),"Hà Thức Thức")</f>
        <v>Hà Thức Thức</v>
      </c>
      <c r="C7378" s="119" t="str">
        <f>IFERROR(__xludf.DUMMYFUNCTION("""COMPUTED_VALUE"""),"1/207 Lê Duẫn")</f>
        <v>1/207 Lê Duẫn</v>
      </c>
      <c r="D7378" s="119" t="str">
        <f>IFERROR(__xludf.DUMMYFUNCTION("""COMPUTED_VALUE"""),"Chó")</f>
        <v>Chó</v>
      </c>
      <c r="E7378" s="119" t="str">
        <f>IFERROR(__xludf.DUMMYFUNCTION("""COMPUTED_VALUE"""),"RuLo")</f>
        <v>RuLo</v>
      </c>
    </row>
    <row r="7379" ht="15.75" customHeight="1">
      <c r="A7379" s="122" t="str">
        <f>IFERROR(__xludf.DUMMYFUNCTION("""COMPUTED_VALUE"""),"0935 918 147")</f>
        <v>0935 918 147</v>
      </c>
      <c r="B7379" s="119" t="str">
        <f>IFERROR(__xludf.DUMMYFUNCTION("""COMPUTED_VALUE"""),"Chị Lợi")</f>
        <v>Chị Lợi</v>
      </c>
      <c r="C7379" s="119" t="str">
        <f>IFERROR(__xludf.DUMMYFUNCTION("""COMPUTED_VALUE"""),"14/53 Nguyễn Huệ")</f>
        <v>14/53 Nguyễn Huệ</v>
      </c>
      <c r="D7379" s="119" t="str">
        <f>IFERROR(__xludf.DUMMYFUNCTION("""COMPUTED_VALUE"""),"Chó")</f>
        <v>Chó</v>
      </c>
      <c r="E7379" s="119" t="str">
        <f>IFERROR(__xludf.DUMMYFUNCTION("""COMPUTED_VALUE"""),"Vít")</f>
        <v>Vít</v>
      </c>
    </row>
    <row r="7380" ht="15.75" customHeight="1">
      <c r="A7380" s="122" t="str">
        <f>IFERROR(__xludf.DUMMYFUNCTION("""COMPUTED_VALUE"""),"0945 635 110")</f>
        <v>0945 635 110</v>
      </c>
      <c r="B7380" s="119" t="str">
        <f>IFERROR(__xludf.DUMMYFUNCTION("""COMPUTED_VALUE"""),"Minh Anh")</f>
        <v>Minh Anh</v>
      </c>
      <c r="C7380" s="119"/>
      <c r="D7380" s="119" t="str">
        <f>IFERROR(__xludf.DUMMYFUNCTION("""COMPUTED_VALUE"""),"Mèo")</f>
        <v>Mèo</v>
      </c>
      <c r="E7380" s="119"/>
    </row>
    <row r="7381" ht="15.75" customHeight="1">
      <c r="A7381" s="122" t="str">
        <f>IFERROR(__xludf.DUMMYFUNCTION("""COMPUTED_VALUE"""),"0766 778 176")</f>
        <v>0766 778 176</v>
      </c>
      <c r="B7381" s="119" t="str">
        <f>IFERROR(__xludf.DUMMYFUNCTION("""COMPUTED_VALUE"""),"Ngọc")</f>
        <v>Ngọc</v>
      </c>
      <c r="C7381" s="119" t="str">
        <f>IFERROR(__xludf.DUMMYFUNCTION("""COMPUTED_VALUE"""),"22/36 Trần Quang Khải")</f>
        <v>22/36 Trần Quang Khải</v>
      </c>
      <c r="D7381" s="119" t="str">
        <f>IFERROR(__xludf.DUMMYFUNCTION("""COMPUTED_VALUE"""),"Chó")</f>
        <v>Chó</v>
      </c>
      <c r="E7381" s="119" t="str">
        <f>IFERROR(__xludf.DUMMYFUNCTION("""COMPUTED_VALUE"""),"Tô")</f>
        <v>Tô</v>
      </c>
    </row>
    <row r="7382" ht="15.75" customHeight="1">
      <c r="A7382" s="122" t="str">
        <f>IFERROR(__xludf.DUMMYFUNCTION("""COMPUTED_VALUE"""),"0772 098 650")</f>
        <v>0772 098 650</v>
      </c>
      <c r="B7382" s="119" t="str">
        <f>IFERROR(__xludf.DUMMYFUNCTION("""COMPUTED_VALUE"""),"Ngọc Anh")</f>
        <v>Ngọc Anh</v>
      </c>
      <c r="C7382" s="119" t="str">
        <f>IFERROR(__xludf.DUMMYFUNCTION("""COMPUTED_VALUE"""),"5/11 Nguyễn Tuân")</f>
        <v>5/11 Nguyễn Tuân</v>
      </c>
      <c r="D7382" s="119" t="str">
        <f>IFERROR(__xludf.DUMMYFUNCTION("""COMPUTED_VALUE"""),"Mèo")</f>
        <v>Mèo</v>
      </c>
      <c r="E7382" s="119" t="str">
        <f>IFERROR(__xludf.DUMMYFUNCTION("""COMPUTED_VALUE"""),"Khoai")</f>
        <v>Khoai</v>
      </c>
    </row>
    <row r="7383" ht="15.75" customHeight="1">
      <c r="A7383" s="122" t="str">
        <f>IFERROR(__xludf.DUMMYFUNCTION("""COMPUTED_VALUE"""),"0911 221 444")</f>
        <v>0911 221 444</v>
      </c>
      <c r="B7383" s="119" t="str">
        <f>IFERROR(__xludf.DUMMYFUNCTION("""COMPUTED_VALUE"""),"A Hoàng")</f>
        <v>A Hoàng</v>
      </c>
      <c r="C7383" s="119" t="str">
        <f>IFERROR(__xludf.DUMMYFUNCTION("""COMPUTED_VALUE"""),"56/24 Hải Triều")</f>
        <v>56/24 Hải Triều</v>
      </c>
      <c r="D7383" s="119" t="str">
        <f>IFERROR(__xludf.DUMMYFUNCTION("""COMPUTED_VALUE"""),"Chó")</f>
        <v>Chó</v>
      </c>
      <c r="E7383" s="119" t="str">
        <f>IFERROR(__xludf.DUMMYFUNCTION("""COMPUTED_VALUE"""),"Kít")</f>
        <v>Kít</v>
      </c>
    </row>
    <row r="7384" ht="15.75" customHeight="1">
      <c r="A7384" s="122" t="str">
        <f>IFERROR(__xludf.DUMMYFUNCTION("""COMPUTED_VALUE"""),"0886 162 335")</f>
        <v>0886 162 335</v>
      </c>
      <c r="B7384" s="119" t="str">
        <f>IFERROR(__xludf.DUMMYFUNCTION("""COMPUTED_VALUE"""),"Minh Nhật")</f>
        <v>Minh Nhật</v>
      </c>
      <c r="C7384" s="119" t="str">
        <f>IFERROR(__xludf.DUMMYFUNCTION("""COMPUTED_VALUE"""),"1/4/74 Bà triệu")</f>
        <v>1/4/74 Bà triệu</v>
      </c>
      <c r="D7384" s="119" t="str">
        <f>IFERROR(__xludf.DUMMYFUNCTION("""COMPUTED_VALUE"""),"Mèo")</f>
        <v>Mèo</v>
      </c>
      <c r="E7384" s="119" t="str">
        <f>IFERROR(__xludf.DUMMYFUNCTION("""COMPUTED_VALUE"""),"Noel")</f>
        <v>Noel</v>
      </c>
    </row>
    <row r="7385" ht="15.75" customHeight="1">
      <c r="A7385" s="122" t="str">
        <f>IFERROR(__xludf.DUMMYFUNCTION("""COMPUTED_VALUE"""),"0398 097 500")</f>
        <v>0398 097 500</v>
      </c>
      <c r="B7385" s="119" t="str">
        <f>IFERROR(__xludf.DUMMYFUNCTION("""COMPUTED_VALUE"""),"E Thịnh")</f>
        <v>E Thịnh</v>
      </c>
      <c r="C7385" s="119"/>
      <c r="D7385" s="119" t="str">
        <f>IFERROR(__xludf.DUMMYFUNCTION("""COMPUTED_VALUE"""),"Chó")</f>
        <v>Chó</v>
      </c>
      <c r="E7385" s="119" t="str">
        <f>IFERROR(__xludf.DUMMYFUNCTION("""COMPUTED_VALUE"""),"Mít")</f>
        <v>Mít</v>
      </c>
    </row>
    <row r="7386" ht="15.75" customHeight="1">
      <c r="A7386" s="122" t="str">
        <f>IFERROR(__xludf.DUMMYFUNCTION("""COMPUTED_VALUE"""),"0901 900 740")</f>
        <v>0901 900 740</v>
      </c>
      <c r="B7386" s="119" t="str">
        <f>IFERROR(__xludf.DUMMYFUNCTION("""COMPUTED_VALUE"""),"Anh Phong")</f>
        <v>Anh Phong</v>
      </c>
      <c r="C7386" s="119" t="str">
        <f>IFERROR(__xludf.DUMMYFUNCTION("""COMPUTED_VALUE"""),"Phú An, Phú Vang")</f>
        <v>Phú An, Phú Vang</v>
      </c>
      <c r="D7386" s="119" t="str">
        <f>IFERROR(__xludf.DUMMYFUNCTION("""COMPUTED_VALUE"""),"Chó")</f>
        <v>Chó</v>
      </c>
      <c r="E7386" s="119" t="str">
        <f>IFERROR(__xludf.DUMMYFUNCTION("""COMPUTED_VALUE"""),"Bun")</f>
        <v>Bun</v>
      </c>
    </row>
    <row r="7387" ht="15.75" customHeight="1">
      <c r="A7387" s="122" t="str">
        <f>IFERROR(__xludf.DUMMYFUNCTION("""COMPUTED_VALUE"""),"0388 197 765")</f>
        <v>0388 197 765</v>
      </c>
      <c r="B7387" s="119" t="str">
        <f>IFERROR(__xludf.DUMMYFUNCTION("""COMPUTED_VALUE"""),"Em Thắng")</f>
        <v>Em Thắng</v>
      </c>
      <c r="C7387" s="119" t="str">
        <f>IFERROR(__xludf.DUMMYFUNCTION("""COMPUTED_VALUE"""),"Phú Lương")</f>
        <v>Phú Lương</v>
      </c>
      <c r="D7387" s="119" t="str">
        <f>IFERROR(__xludf.DUMMYFUNCTION("""COMPUTED_VALUE"""),"Chó")</f>
        <v>Chó</v>
      </c>
      <c r="E7387" s="119" t="str">
        <f>IFERROR(__xludf.DUMMYFUNCTION("""COMPUTED_VALUE"""),"Nhím")</f>
        <v>Nhím</v>
      </c>
    </row>
    <row r="7388" ht="15.75" customHeight="1">
      <c r="A7388" s="122" t="str">
        <f>IFERROR(__xludf.DUMMYFUNCTION("""COMPUTED_VALUE"""),"0945 881 973")</f>
        <v>0945 881 973</v>
      </c>
      <c r="B7388" s="119" t="str">
        <f>IFERROR(__xludf.DUMMYFUNCTION("""COMPUTED_VALUE"""),"Chị Ngọc Anh")</f>
        <v>Chị Ngọc Anh</v>
      </c>
      <c r="C7388" s="119" t="str">
        <f>IFERROR(__xludf.DUMMYFUNCTION("""COMPUTED_VALUE"""),"Chung cư Xuân Phú")</f>
        <v>Chung cư Xuân Phú</v>
      </c>
      <c r="D7388" s="119" t="str">
        <f>IFERROR(__xludf.DUMMYFUNCTION("""COMPUTED_VALUE"""),"Mèo")</f>
        <v>Mèo</v>
      </c>
      <c r="E7388" s="119" t="str">
        <f>IFERROR(__xludf.DUMMYFUNCTION("""COMPUTED_VALUE"""),"Ruồi")</f>
        <v>Ruồi</v>
      </c>
    </row>
    <row r="7389" ht="15.75" customHeight="1">
      <c r="A7389" s="122" t="str">
        <f>IFERROR(__xludf.DUMMYFUNCTION("""COMPUTED_VALUE"""),"0934 714 811")</f>
        <v>0934 714 811</v>
      </c>
      <c r="B7389" s="119" t="str">
        <f>IFERROR(__xludf.DUMMYFUNCTION("""COMPUTED_VALUE"""),"Em phô")</f>
        <v>Em phô</v>
      </c>
      <c r="C7389" s="119" t="str">
        <f>IFERROR(__xludf.DUMMYFUNCTION("""COMPUTED_VALUE"""),"Chợ Mai")</f>
        <v>Chợ Mai</v>
      </c>
      <c r="D7389" s="119" t="str">
        <f>IFERROR(__xludf.DUMMYFUNCTION("""COMPUTED_VALUE"""),"Chó")</f>
        <v>Chó</v>
      </c>
      <c r="E7389" s="119" t="str">
        <f>IFERROR(__xludf.DUMMYFUNCTION("""COMPUTED_VALUE"""),"Bơ")</f>
        <v>Bơ</v>
      </c>
    </row>
    <row r="7390" ht="15.75" customHeight="1">
      <c r="A7390" s="122" t="str">
        <f>IFERROR(__xludf.DUMMYFUNCTION("""COMPUTED_VALUE"""),"0787 588 573")</f>
        <v>0787 588 573</v>
      </c>
      <c r="B7390" s="119" t="str">
        <f>IFERROR(__xludf.DUMMYFUNCTION("""COMPUTED_VALUE"""),"Em Yến Nhi")</f>
        <v>Em Yến Nhi</v>
      </c>
      <c r="C7390" s="119" t="str">
        <f>IFERROR(__xludf.DUMMYFUNCTION("""COMPUTED_VALUE"""),"Thủy Dương")</f>
        <v>Thủy Dương</v>
      </c>
      <c r="D7390" s="119" t="str">
        <f>IFERROR(__xludf.DUMMYFUNCTION("""COMPUTED_VALUE"""),"Mèo")</f>
        <v>Mèo</v>
      </c>
      <c r="E7390" s="119" t="str">
        <f>IFERROR(__xludf.DUMMYFUNCTION("""COMPUTED_VALUE"""),"Cùn")</f>
        <v>Cùn</v>
      </c>
    </row>
    <row r="7391" ht="15.75" customHeight="1">
      <c r="A7391" s="122" t="str">
        <f>IFERROR(__xludf.DUMMYFUNCTION("""COMPUTED_VALUE"""),"0941 468 001")</f>
        <v>0941 468 001</v>
      </c>
      <c r="B7391" s="119" t="str">
        <f>IFERROR(__xludf.DUMMYFUNCTION("""COMPUTED_VALUE"""),"Em Ngân")</f>
        <v>Em Ngân</v>
      </c>
      <c r="C7391" s="119" t="str">
        <f>IFERROR(__xludf.DUMMYFUNCTION("""COMPUTED_VALUE"""),"k9 Dạ Lê")</f>
        <v>k9 Dạ Lê</v>
      </c>
      <c r="D7391" s="119" t="str">
        <f>IFERROR(__xludf.DUMMYFUNCTION("""COMPUTED_VALUE"""),"Chó")</f>
        <v>Chó</v>
      </c>
      <c r="E7391" s="119" t="str">
        <f>IFERROR(__xludf.DUMMYFUNCTION("""COMPUTED_VALUE"""),"Bơ")</f>
        <v>Bơ</v>
      </c>
    </row>
    <row r="7392" ht="15.75" customHeight="1">
      <c r="A7392" s="122" t="str">
        <f>IFERROR(__xludf.DUMMYFUNCTION("""COMPUTED_VALUE"""),"0935 564 421")</f>
        <v>0935 564 421</v>
      </c>
      <c r="B7392" s="119" t="str">
        <f>IFERROR(__xludf.DUMMYFUNCTION("""COMPUTED_VALUE"""),"Em Thanh")</f>
        <v>Em Thanh</v>
      </c>
      <c r="C7392" s="119" t="str">
        <f>IFERROR(__xludf.DUMMYFUNCTION("""COMPUTED_VALUE"""),"2/40 Cao Bá Quát")</f>
        <v>2/40 Cao Bá Quát</v>
      </c>
      <c r="D7392" s="119" t="str">
        <f>IFERROR(__xludf.DUMMYFUNCTION("""COMPUTED_VALUE"""),"Mèo")</f>
        <v>Mèo</v>
      </c>
      <c r="E7392" s="119" t="str">
        <f>IFERROR(__xludf.DUMMYFUNCTION("""COMPUTED_VALUE"""),"Mun")</f>
        <v>Mun</v>
      </c>
    </row>
    <row r="7393" ht="15.75" customHeight="1">
      <c r="A7393" s="122" t="str">
        <f>IFERROR(__xludf.DUMMYFUNCTION("""COMPUTED_VALUE"""),"0983 025 071")</f>
        <v>0983 025 071</v>
      </c>
      <c r="B7393" s="119" t="str">
        <f>IFERROR(__xludf.DUMMYFUNCTION("""COMPUTED_VALUE"""),"Em Hưng")</f>
        <v>Em Hưng</v>
      </c>
      <c r="C7393" s="119" t="str">
        <f>IFERROR(__xludf.DUMMYFUNCTION("""COMPUTED_VALUE"""),"120 Trường Chinh")</f>
        <v>120 Trường Chinh</v>
      </c>
      <c r="D7393" s="119" t="str">
        <f>IFERROR(__xludf.DUMMYFUNCTION("""COMPUTED_VALUE"""),"Chó")</f>
        <v>Chó</v>
      </c>
      <c r="E7393" s="119" t="str">
        <f>IFERROR(__xludf.DUMMYFUNCTION("""COMPUTED_VALUE"""),"Kem")</f>
        <v>Kem</v>
      </c>
    </row>
    <row r="7394" ht="15.75" customHeight="1">
      <c r="A7394" s="122" t="str">
        <f>IFERROR(__xludf.DUMMYFUNCTION("""COMPUTED_VALUE"""),"0905 686 712")</f>
        <v>0905 686 712</v>
      </c>
      <c r="B7394" s="119" t="str">
        <f>IFERROR(__xludf.DUMMYFUNCTION("""COMPUTED_VALUE"""),"Chị Hiền")</f>
        <v>Chị Hiền</v>
      </c>
      <c r="C7394" s="119" t="str">
        <f>IFERROR(__xludf.DUMMYFUNCTION("""COMPUTED_VALUE"""),"Phan Đăng Lưu")</f>
        <v>Phan Đăng Lưu</v>
      </c>
      <c r="D7394" s="119" t="str">
        <f>IFERROR(__xludf.DUMMYFUNCTION("""COMPUTED_VALUE"""),"Chó")</f>
        <v>Chó</v>
      </c>
      <c r="E7394" s="119" t="str">
        <f>IFERROR(__xludf.DUMMYFUNCTION("""COMPUTED_VALUE"""),"Rôm")</f>
        <v>Rôm</v>
      </c>
    </row>
    <row r="7395" ht="15.75" customHeight="1">
      <c r="A7395" s="122" t="str">
        <f>IFERROR(__xludf.DUMMYFUNCTION("""COMPUTED_VALUE"""),"0356 565 654")</f>
        <v>0356 565 654</v>
      </c>
      <c r="B7395" s="119" t="str">
        <f>IFERROR(__xludf.DUMMYFUNCTION("""COMPUTED_VALUE"""),"Anh Huy")</f>
        <v>Anh Huy</v>
      </c>
      <c r="C7395" s="119" t="str">
        <f>IFERROR(__xludf.DUMMYFUNCTION("""COMPUTED_VALUE"""),"c243 Green city")</f>
        <v>c243 Green city</v>
      </c>
      <c r="D7395" s="119" t="str">
        <f>IFERROR(__xludf.DUMMYFUNCTION("""COMPUTED_VALUE"""),"Mèo")</f>
        <v>Mèo</v>
      </c>
      <c r="E7395" s="119" t="str">
        <f>IFERROR(__xludf.DUMMYFUNCTION("""COMPUTED_VALUE"""),"Tony")</f>
        <v>Tony</v>
      </c>
    </row>
    <row r="7396" ht="15.75" customHeight="1">
      <c r="A7396" s="122" t="str">
        <f>IFERROR(__xludf.DUMMYFUNCTION("""COMPUTED_VALUE"""),"0886 162 335")</f>
        <v>0886 162 335</v>
      </c>
      <c r="B7396" s="119" t="str">
        <f>IFERROR(__xludf.DUMMYFUNCTION("""COMPUTED_VALUE"""),"Minh Nhật")</f>
        <v>Minh Nhật</v>
      </c>
      <c r="C7396" s="119" t="str">
        <f>IFERROR(__xludf.DUMMYFUNCTION("""COMPUTED_VALUE"""),"1/4/74 Bà Triệu")</f>
        <v>1/4/74 Bà Triệu</v>
      </c>
      <c r="D7396" s="119" t="str">
        <f>IFERROR(__xludf.DUMMYFUNCTION("""COMPUTED_VALUE"""),"Mèo")</f>
        <v>Mèo</v>
      </c>
      <c r="E7396" s="119" t="str">
        <f>IFERROR(__xludf.DUMMYFUNCTION("""COMPUTED_VALUE"""),"Noel")</f>
        <v>Noel</v>
      </c>
    </row>
    <row r="7397" ht="15.75" customHeight="1">
      <c r="A7397" s="122" t="str">
        <f>IFERROR(__xludf.DUMMYFUNCTION("""COMPUTED_VALUE"""),"0375 097 864")</f>
        <v>0375 097 864</v>
      </c>
      <c r="B7397" s="119" t="str">
        <f>IFERROR(__xludf.DUMMYFUNCTION("""COMPUTED_VALUE"""),"Chị Duyên")</f>
        <v>Chị Duyên</v>
      </c>
      <c r="C7397" s="119" t="str">
        <f>IFERROR(__xludf.DUMMYFUNCTION("""COMPUTED_VALUE"""),"131 Trần Phú")</f>
        <v>131 Trần Phú</v>
      </c>
      <c r="D7397" s="119" t="str">
        <f>IFERROR(__xludf.DUMMYFUNCTION("""COMPUTED_VALUE"""),"Mèo")</f>
        <v>Mèo</v>
      </c>
      <c r="E7397" s="119" t="str">
        <f>IFERROR(__xludf.DUMMYFUNCTION("""COMPUTED_VALUE"""),"Tom")</f>
        <v>Tom</v>
      </c>
    </row>
    <row r="7398" ht="15.75" customHeight="1">
      <c r="A7398" s="122" t="str">
        <f>IFERROR(__xludf.DUMMYFUNCTION("""COMPUTED_VALUE"""),"0376 157 742")</f>
        <v>0376 157 742</v>
      </c>
      <c r="B7398" s="119" t="str">
        <f>IFERROR(__xludf.DUMMYFUNCTION("""COMPUTED_VALUE"""),"Chị Ngọc")</f>
        <v>Chị Ngọc</v>
      </c>
      <c r="C7398" s="119" t="str">
        <f>IFERROR(__xludf.DUMMYFUNCTION("""COMPUTED_VALUE"""),"222 Nguyễn Sinh Cung")</f>
        <v>222 Nguyễn Sinh Cung</v>
      </c>
      <c r="D7398" s="119" t="str">
        <f>IFERROR(__xludf.DUMMYFUNCTION("""COMPUTED_VALUE"""),"Mèo")</f>
        <v>Mèo</v>
      </c>
      <c r="E7398" s="119" t="str">
        <f>IFERROR(__xludf.DUMMYFUNCTION("""COMPUTED_VALUE"""),"Mây")</f>
        <v>Mây</v>
      </c>
    </row>
    <row r="7399" ht="15.75" customHeight="1">
      <c r="A7399" s="122" t="str">
        <f>IFERROR(__xludf.DUMMYFUNCTION("""COMPUTED_VALUE"""),"0387 137 930")</f>
        <v>0387 137 930</v>
      </c>
      <c r="B7399" s="119" t="str">
        <f>IFERROR(__xludf.DUMMYFUNCTION("""COMPUTED_VALUE"""),"Chị Hồng")</f>
        <v>Chị Hồng</v>
      </c>
      <c r="C7399" s="119"/>
      <c r="D7399" s="119" t="str">
        <f>IFERROR(__xludf.DUMMYFUNCTION("""COMPUTED_VALUE"""),"Mèo")</f>
        <v>Mèo</v>
      </c>
      <c r="E7399" s="119"/>
    </row>
    <row r="7400" ht="15.75" customHeight="1">
      <c r="A7400" s="122" t="str">
        <f>IFERROR(__xludf.DUMMYFUNCTION("""COMPUTED_VALUE"""),"0931 871 008")</f>
        <v>0931 871 008</v>
      </c>
      <c r="B7400" s="119" t="str">
        <f>IFERROR(__xludf.DUMMYFUNCTION("""COMPUTED_VALUE"""),"Anh Quý")</f>
        <v>Anh Quý</v>
      </c>
      <c r="C7400" s="119" t="str">
        <f>IFERROR(__xludf.DUMMYFUNCTION("""COMPUTED_VALUE"""),"Hải Triều")</f>
        <v>Hải Triều</v>
      </c>
      <c r="D7400" s="119" t="str">
        <f>IFERROR(__xludf.DUMMYFUNCTION("""COMPUTED_VALUE"""),"Chó")</f>
        <v>Chó</v>
      </c>
      <c r="E7400" s="119" t="str">
        <f>IFERROR(__xludf.DUMMYFUNCTION("""COMPUTED_VALUE"""),"Coca")</f>
        <v>Coca</v>
      </c>
    </row>
    <row r="7401" ht="15.75" customHeight="1">
      <c r="A7401" s="122" t="str">
        <f>IFERROR(__xludf.DUMMYFUNCTION("""COMPUTED_VALUE"""),"0923 232 552")</f>
        <v>0923 232 552</v>
      </c>
      <c r="B7401" s="119" t="str">
        <f>IFERROR(__xludf.DUMMYFUNCTION("""COMPUTED_VALUE"""),"Trần Xuân Bắc")</f>
        <v>Trần Xuân Bắc</v>
      </c>
      <c r="C7401" s="119" t="str">
        <f>IFERROR(__xludf.DUMMYFUNCTION("""COMPUTED_VALUE"""),"8/54/131 Trần Phú")</f>
        <v>8/54/131 Trần Phú</v>
      </c>
      <c r="D7401" s="119" t="str">
        <f>IFERROR(__xludf.DUMMYFUNCTION("""COMPUTED_VALUE"""),"Chó")</f>
        <v>Chó</v>
      </c>
      <c r="E7401" s="119" t="str">
        <f>IFERROR(__xludf.DUMMYFUNCTION("""COMPUTED_VALUE"""),"Gấu")</f>
        <v>Gấu</v>
      </c>
    </row>
    <row r="7402" ht="15.75" customHeight="1">
      <c r="A7402" s="122"/>
      <c r="B7402" s="119"/>
      <c r="C7402" s="119"/>
      <c r="D7402" s="119"/>
      <c r="E7402" s="119"/>
    </row>
    <row r="7403" ht="15.75" customHeight="1">
      <c r="A7403" s="122" t="str">
        <f>IFERROR(__xludf.DUMMYFUNCTION("""COMPUTED_VALUE"""),"0905 502 108")</f>
        <v>0905 502 108</v>
      </c>
      <c r="B7403" s="119" t="str">
        <f>IFERROR(__xludf.DUMMYFUNCTION("""COMPUTED_VALUE"""),"Chị Tiên")</f>
        <v>Chị Tiên</v>
      </c>
      <c r="C7403" s="119" t="str">
        <f>IFERROR(__xludf.DUMMYFUNCTION("""COMPUTED_VALUE"""),"122 Phan Văn Trường")</f>
        <v>122 Phan Văn Trường</v>
      </c>
      <c r="D7403" s="119" t="str">
        <f>IFERROR(__xludf.DUMMYFUNCTION("""COMPUTED_VALUE"""),"Chó")</f>
        <v>Chó</v>
      </c>
      <c r="E7403" s="119" t="str">
        <f>IFERROR(__xludf.DUMMYFUNCTION("""COMPUTED_VALUE"""),"Nick")</f>
        <v>Nick</v>
      </c>
    </row>
    <row r="7404" ht="15.75" customHeight="1">
      <c r="A7404" s="122" t="str">
        <f>IFERROR(__xludf.DUMMYFUNCTION("""COMPUTED_VALUE"""),"0337 475 835")</f>
        <v>0337 475 835</v>
      </c>
      <c r="B7404" s="119" t="str">
        <f>IFERROR(__xludf.DUMMYFUNCTION("""COMPUTED_VALUE"""),"Em Nhung")</f>
        <v>Em Nhung</v>
      </c>
      <c r="C7404" s="119" t="str">
        <f>IFERROR(__xludf.DUMMYFUNCTION("""COMPUTED_VALUE"""),"Phong Điền")</f>
        <v>Phong Điền</v>
      </c>
      <c r="D7404" s="119" t="str">
        <f>IFERROR(__xludf.DUMMYFUNCTION("""COMPUTED_VALUE"""),"Chó")</f>
        <v>Chó</v>
      </c>
      <c r="E7404" s="119" t="str">
        <f>IFERROR(__xludf.DUMMYFUNCTION("""COMPUTED_VALUE"""),"Bi")</f>
        <v>Bi</v>
      </c>
    </row>
    <row r="7405" ht="15.75" customHeight="1">
      <c r="A7405" s="122" t="str">
        <f>IFERROR(__xludf.DUMMYFUNCTION("""COMPUTED_VALUE"""),"0329 565 852")</f>
        <v>0329 565 852</v>
      </c>
      <c r="B7405" s="119" t="str">
        <f>IFERROR(__xludf.DUMMYFUNCTION("""COMPUTED_VALUE"""),"Chị Như Ý")</f>
        <v>Chị Như Ý</v>
      </c>
      <c r="C7405" s="119" t="str">
        <f>IFERROR(__xludf.DUMMYFUNCTION("""COMPUTED_VALUE"""),"11/61 Đặng Văn Ngữ")</f>
        <v>11/61 Đặng Văn Ngữ</v>
      </c>
      <c r="D7405" s="119" t="str">
        <f>IFERROR(__xludf.DUMMYFUNCTION("""COMPUTED_VALUE"""),"Chó")</f>
        <v>Chó</v>
      </c>
      <c r="E7405" s="119" t="str">
        <f>IFERROR(__xludf.DUMMYFUNCTION("""COMPUTED_VALUE"""),"Sam")</f>
        <v>Sam</v>
      </c>
    </row>
    <row r="7406" ht="15.75" customHeight="1">
      <c r="A7406" s="122" t="str">
        <f>IFERROR(__xludf.DUMMYFUNCTION("""COMPUTED_VALUE"""),"0886 864 740")</f>
        <v>0886 864 740</v>
      </c>
      <c r="B7406" s="119" t="str">
        <f>IFERROR(__xludf.DUMMYFUNCTION("""COMPUTED_VALUE"""),"Chị Phương")</f>
        <v>Chị Phương</v>
      </c>
      <c r="C7406" s="119" t="str">
        <f>IFERROR(__xludf.DUMMYFUNCTION("""COMPUTED_VALUE"""),"378 Đinh Tiên Hoàng")</f>
        <v>378 Đinh Tiên Hoàng</v>
      </c>
      <c r="D7406" s="119" t="str">
        <f>IFERROR(__xludf.DUMMYFUNCTION("""COMPUTED_VALUE"""),"Mèo")</f>
        <v>Mèo</v>
      </c>
      <c r="E7406" s="119" t="str">
        <f>IFERROR(__xludf.DUMMYFUNCTION("""COMPUTED_VALUE"""),"Bắp")</f>
        <v>Bắp</v>
      </c>
    </row>
    <row r="7407" ht="15.75" customHeight="1">
      <c r="A7407" s="122" t="str">
        <f>IFERROR(__xludf.DUMMYFUNCTION("""COMPUTED_VALUE"""),"0944 428 143")</f>
        <v>0944 428 143</v>
      </c>
      <c r="B7407" s="119" t="str">
        <f>IFERROR(__xludf.DUMMYFUNCTION("""COMPUTED_VALUE"""),"Em Trinh")</f>
        <v>Em Trinh</v>
      </c>
      <c r="C7407" s="119" t="str">
        <f>IFERROR(__xludf.DUMMYFUNCTION("""COMPUTED_VALUE"""),"10/20 Trần Quang Khải")</f>
        <v>10/20 Trần Quang Khải</v>
      </c>
      <c r="D7407" s="119" t="str">
        <f>IFERROR(__xludf.DUMMYFUNCTION("""COMPUTED_VALUE"""),"Chó")</f>
        <v>Chó</v>
      </c>
      <c r="E7407" s="119" t="str">
        <f>IFERROR(__xludf.DUMMYFUNCTION("""COMPUTED_VALUE"""),"Cọp")</f>
        <v>Cọp</v>
      </c>
    </row>
    <row r="7408" ht="15.75" customHeight="1">
      <c r="A7408" s="122" t="str">
        <f>IFERROR(__xludf.DUMMYFUNCTION("""COMPUTED_VALUE"""),"0935 945 570")</f>
        <v>0935 945 570</v>
      </c>
      <c r="B7408" s="119" t="str">
        <f>IFERROR(__xludf.DUMMYFUNCTION("""COMPUTED_VALUE"""),"Thanh Thúy")</f>
        <v>Thanh Thúy</v>
      </c>
      <c r="C7408" s="119" t="str">
        <f>IFERROR(__xludf.DUMMYFUNCTION("""COMPUTED_VALUE"""),"Hương Trà")</f>
        <v>Hương Trà</v>
      </c>
      <c r="D7408" s="119" t="str">
        <f>IFERROR(__xludf.DUMMYFUNCTION("""COMPUTED_VALUE"""),"Chó")</f>
        <v>Chó</v>
      </c>
      <c r="E7408" s="119" t="str">
        <f>IFERROR(__xludf.DUMMYFUNCTION("""COMPUTED_VALUE"""),"Chít")</f>
        <v>Chít</v>
      </c>
    </row>
    <row r="7409" ht="15.75" customHeight="1">
      <c r="A7409" s="122" t="str">
        <f>IFERROR(__xludf.DUMMYFUNCTION("""COMPUTED_VALUE"""),"0981 682 727")</f>
        <v>0981 682 727</v>
      </c>
      <c r="B7409" s="119" t="str">
        <f>IFERROR(__xludf.DUMMYFUNCTION("""COMPUTED_VALUE"""),"Chị Ngọc")</f>
        <v>Chị Ngọc</v>
      </c>
      <c r="C7409" s="119" t="str">
        <f>IFERROR(__xludf.DUMMYFUNCTION("""COMPUTED_VALUE"""),"Vinh Hiền phus Lộc")</f>
        <v>Vinh Hiền phus Lộc</v>
      </c>
      <c r="D7409" s="119" t="str">
        <f>IFERROR(__xludf.DUMMYFUNCTION("""COMPUTED_VALUE"""),"Mèo")</f>
        <v>Mèo</v>
      </c>
      <c r="E7409" s="119"/>
    </row>
    <row r="7410" ht="15.75" customHeight="1">
      <c r="A7410" s="122" t="str">
        <f>IFERROR(__xludf.DUMMYFUNCTION("""COMPUTED_VALUE"""),"0770 153 458")</f>
        <v>0770 153 458</v>
      </c>
      <c r="B7410" s="119" t="str">
        <f>IFERROR(__xludf.DUMMYFUNCTION("""COMPUTED_VALUE"""),"Chị Ý")</f>
        <v>Chị Ý</v>
      </c>
      <c r="C7410" s="119" t="str">
        <f>IFERROR(__xludf.DUMMYFUNCTION("""COMPUTED_VALUE"""),"Hương Sơ")</f>
        <v>Hương Sơ</v>
      </c>
      <c r="D7410" s="119" t="str">
        <f>IFERROR(__xludf.DUMMYFUNCTION("""COMPUTED_VALUE"""),"Mèo")</f>
        <v>Mèo</v>
      </c>
      <c r="E7410" s="119"/>
    </row>
    <row r="7411" ht="15.75" customHeight="1">
      <c r="A7411" s="122" t="str">
        <f>IFERROR(__xludf.DUMMYFUNCTION("""COMPUTED_VALUE"""),"0982 861 422")</f>
        <v>0982 861 422</v>
      </c>
      <c r="B7411" s="119" t="str">
        <f>IFERROR(__xludf.DUMMYFUNCTION("""COMPUTED_VALUE"""),"Em Hậu")</f>
        <v>Em Hậu</v>
      </c>
      <c r="C7411" s="119" t="str">
        <f>IFERROR(__xludf.DUMMYFUNCTION("""COMPUTED_VALUE"""),"Phùng Hưng")</f>
        <v>Phùng Hưng</v>
      </c>
      <c r="D7411" s="119" t="str">
        <f>IFERROR(__xludf.DUMMYFUNCTION("""COMPUTED_VALUE"""),"Chó")</f>
        <v>Chó</v>
      </c>
      <c r="E7411" s="119" t="str">
        <f>IFERROR(__xludf.DUMMYFUNCTION("""COMPUTED_VALUE"""),"Xám")</f>
        <v>Xám</v>
      </c>
    </row>
    <row r="7412" ht="15.75" customHeight="1">
      <c r="A7412" s="122" t="str">
        <f>IFERROR(__xludf.DUMMYFUNCTION("""COMPUTED_VALUE"""),"0935 945 570")</f>
        <v>0935 945 570</v>
      </c>
      <c r="B7412" s="119" t="str">
        <f>IFERROR(__xludf.DUMMYFUNCTION("""COMPUTED_VALUE"""),"Thanh Thúy")</f>
        <v>Thanh Thúy</v>
      </c>
      <c r="C7412" s="119" t="str">
        <f>IFERROR(__xludf.DUMMYFUNCTION("""COMPUTED_VALUE"""),"Hương Trà")</f>
        <v>Hương Trà</v>
      </c>
      <c r="D7412" s="119" t="str">
        <f>IFERROR(__xludf.DUMMYFUNCTION("""COMPUTED_VALUE"""),"Chó")</f>
        <v>Chó</v>
      </c>
      <c r="E7412" s="119" t="str">
        <f>IFERROR(__xludf.DUMMYFUNCTION("""COMPUTED_VALUE"""),"Chít")</f>
        <v>Chít</v>
      </c>
    </row>
    <row r="7413" ht="15.75" customHeight="1">
      <c r="A7413" s="122" t="str">
        <f>IFERROR(__xludf.DUMMYFUNCTION("""COMPUTED_VALUE"""),"0866 792 609")</f>
        <v>0866 792 609</v>
      </c>
      <c r="B7413" s="119" t="str">
        <f>IFERROR(__xludf.DUMMYFUNCTION("""COMPUTED_VALUE"""),"Cô Sao")</f>
        <v>Cô Sao</v>
      </c>
      <c r="C7413" s="119" t="str">
        <f>IFERROR(__xludf.DUMMYFUNCTION("""COMPUTED_VALUE"""),"1/8 Minh Mạng")</f>
        <v>1/8 Minh Mạng</v>
      </c>
      <c r="D7413" s="119" t="str">
        <f>IFERROR(__xludf.DUMMYFUNCTION("""COMPUTED_VALUE"""),"Mèo")</f>
        <v>Mèo</v>
      </c>
      <c r="E7413" s="119" t="str">
        <f>IFERROR(__xludf.DUMMYFUNCTION("""COMPUTED_VALUE"""),"Tóc bạc")</f>
        <v>Tóc bạc</v>
      </c>
    </row>
    <row r="7414" ht="15.75" customHeight="1">
      <c r="A7414" s="122" t="str">
        <f>IFERROR(__xludf.DUMMYFUNCTION("""COMPUTED_VALUE"""),"0981 682 727")</f>
        <v>0981 682 727</v>
      </c>
      <c r="B7414" s="119" t="str">
        <f>IFERROR(__xludf.DUMMYFUNCTION("""COMPUTED_VALUE"""),"Chị Ngọc")</f>
        <v>Chị Ngọc</v>
      </c>
      <c r="C7414" s="119" t="str">
        <f>IFERROR(__xludf.DUMMYFUNCTION("""COMPUTED_VALUE"""),"Vinh Hiền phus Lộc")</f>
        <v>Vinh Hiền phus Lộc</v>
      </c>
      <c r="D7414" s="119" t="str">
        <f>IFERROR(__xludf.DUMMYFUNCTION("""COMPUTED_VALUE"""),"Mèo")</f>
        <v>Mèo</v>
      </c>
      <c r="E7414" s="119"/>
    </row>
    <row r="7415" ht="15.75" customHeight="1">
      <c r="A7415" s="122" t="str">
        <f>IFERROR(__xludf.DUMMYFUNCTION("""COMPUTED_VALUE"""),"0946 949 170")</f>
        <v>0946 949 170</v>
      </c>
      <c r="B7415" s="119" t="str">
        <f>IFERROR(__xludf.DUMMYFUNCTION("""COMPUTED_VALUE"""),"a hai")</f>
        <v>a hai</v>
      </c>
      <c r="C7415" s="119" t="str">
        <f>IFERROR(__xludf.DUMMYFUNCTION("""COMPUTED_VALUE"""),"huong ho")</f>
        <v>huong ho</v>
      </c>
      <c r="D7415" s="119" t="str">
        <f>IFERROR(__xludf.DUMMYFUNCTION("""COMPUTED_VALUE"""),"cho")</f>
        <v>cho</v>
      </c>
      <c r="E7415" s="119" t="str">
        <f>IFERROR(__xludf.DUMMYFUNCTION("""COMPUTED_VALUE"""),"miu")</f>
        <v>miu</v>
      </c>
    </row>
    <row r="7416" ht="15.75" customHeight="1">
      <c r="A7416" s="122" t="str">
        <f>IFERROR(__xludf.DUMMYFUNCTION("""COMPUTED_VALUE"""),"0352 272 204")</f>
        <v>0352 272 204</v>
      </c>
      <c r="B7416" s="119" t="str">
        <f>IFERROR(__xludf.DUMMYFUNCTION("""COMPUTED_VALUE"""),"Nguyễn Thị Ngọc Dung")</f>
        <v>Nguyễn Thị Ngọc Dung</v>
      </c>
      <c r="C7416" s="119" t="str">
        <f>IFERROR(__xludf.DUMMYFUNCTION("""COMPUTED_VALUE"""),"10/44 An Ninh")</f>
        <v>10/44 An Ninh</v>
      </c>
      <c r="D7416" s="119" t="str">
        <f>IFERROR(__xludf.DUMMYFUNCTION("""COMPUTED_VALUE"""),"chó")</f>
        <v>chó</v>
      </c>
      <c r="E7416" s="119" t="str">
        <f>IFERROR(__xludf.DUMMYFUNCTION("""COMPUTED_VALUE"""),"Lisa")</f>
        <v>Lisa</v>
      </c>
    </row>
    <row r="7417" ht="15.75" customHeight="1">
      <c r="A7417" s="122" t="str">
        <f>IFERROR(__xludf.DUMMYFUNCTION("""COMPUTED_VALUE"""),"0396 525 124")</f>
        <v>0396 525 124</v>
      </c>
      <c r="B7417" s="119" t="str">
        <f>IFERROR(__xludf.DUMMYFUNCTION("""COMPUTED_VALUE"""),"Anh Nghĩa")</f>
        <v>Anh Nghĩa</v>
      </c>
      <c r="C7417" s="119" t="str">
        <f>IFERROR(__xludf.DUMMYFUNCTION("""COMPUTED_VALUE"""),"9 Võ Thị Sáu")</f>
        <v>9 Võ Thị Sáu</v>
      </c>
      <c r="D7417" s="119" t="str">
        <f>IFERROR(__xludf.DUMMYFUNCTION("""COMPUTED_VALUE"""),"Chó")</f>
        <v>Chó</v>
      </c>
      <c r="E7417" s="119" t="str">
        <f>IFERROR(__xludf.DUMMYFUNCTION("""COMPUTED_VALUE"""),"Max")</f>
        <v>Max</v>
      </c>
    </row>
    <row r="7418" ht="15.75" customHeight="1">
      <c r="A7418" s="122" t="str">
        <f>IFERROR(__xludf.DUMMYFUNCTION("""COMPUTED_VALUE"""),"0355 256 789")</f>
        <v>0355 256 789</v>
      </c>
      <c r="B7418" s="119" t="str">
        <f>IFERROR(__xludf.DUMMYFUNCTION("""COMPUTED_VALUE"""),"Chị Hà")</f>
        <v>Chị Hà</v>
      </c>
      <c r="C7418" s="119" t="str">
        <f>IFERROR(__xludf.DUMMYFUNCTION("""COMPUTED_VALUE"""),"KQH Vịnh Mộc")</f>
        <v>KQH Vịnh Mộc</v>
      </c>
      <c r="D7418" s="119" t="str">
        <f>IFERROR(__xludf.DUMMYFUNCTION("""COMPUTED_VALUE"""),"Chó")</f>
        <v>Chó</v>
      </c>
      <c r="E7418" s="119" t="str">
        <f>IFERROR(__xludf.DUMMYFUNCTION("""COMPUTED_VALUE"""),"Bơ")</f>
        <v>Bơ</v>
      </c>
    </row>
    <row r="7419" ht="15.75" customHeight="1">
      <c r="A7419" s="122" t="str">
        <f>IFERROR(__xludf.DUMMYFUNCTION("""COMPUTED_VALUE"""),"0984 938 760")</f>
        <v>0984 938 760</v>
      </c>
      <c r="B7419" s="119" t="str">
        <f>IFERROR(__xludf.DUMMYFUNCTION("""COMPUTED_VALUE"""),"Chị Phúc Sinh")</f>
        <v>Chị Phúc Sinh</v>
      </c>
      <c r="C7419" s="119" t="str">
        <f>IFERROR(__xludf.DUMMYFUNCTION("""COMPUTED_VALUE"""),"Vinh Hiền")</f>
        <v>Vinh Hiền</v>
      </c>
      <c r="D7419" s="119" t="str">
        <f>IFERROR(__xludf.DUMMYFUNCTION("""COMPUTED_VALUE"""),"Chó")</f>
        <v>Chó</v>
      </c>
      <c r="E7419" s="119" t="str">
        <f>IFERROR(__xludf.DUMMYFUNCTION("""COMPUTED_VALUE"""),"Cafe sữa")</f>
        <v>Cafe sữa</v>
      </c>
    </row>
    <row r="7420" ht="15.75" customHeight="1">
      <c r="A7420" s="122">
        <f>IFERROR(__xludf.DUMMYFUNCTION("""COMPUTED_VALUE"""),3.48649327E8)</f>
        <v>348649327</v>
      </c>
      <c r="B7420" s="119" t="str">
        <f>IFERROR(__xludf.DUMMYFUNCTION("""COMPUTED_VALUE"""),"chị Lan")</f>
        <v>chị Lan</v>
      </c>
      <c r="C7420" s="119" t="str">
        <f>IFERROR(__xludf.DUMMYFUNCTION("""COMPUTED_VALUE"""),"22/17 Phú mộng")</f>
        <v>22/17 Phú mộng</v>
      </c>
      <c r="D7420" s="119" t="str">
        <f>IFERROR(__xludf.DUMMYFUNCTION("""COMPUTED_VALUE"""),"chó ")</f>
        <v>chó </v>
      </c>
      <c r="E7420" s="119" t="str">
        <f>IFERROR(__xludf.DUMMYFUNCTION("""COMPUTED_VALUE"""),"Susi")</f>
        <v>Susi</v>
      </c>
    </row>
    <row r="7421" ht="15.75" customHeight="1">
      <c r="A7421" s="122">
        <f>IFERROR(__xludf.DUMMYFUNCTION("""COMPUTED_VALUE"""),9.82175357E8)</f>
        <v>982175357</v>
      </c>
      <c r="B7421" s="119" t="str">
        <f>IFERROR(__xludf.DUMMYFUNCTION("""COMPUTED_VALUE"""),"Chị My")</f>
        <v>Chị My</v>
      </c>
      <c r="C7421" s="119" t="str">
        <f>IFERROR(__xludf.DUMMYFUNCTION("""COMPUTED_VALUE"""),"thủy biều")</f>
        <v>thủy biều</v>
      </c>
      <c r="D7421" s="119" t="str">
        <f>IFERROR(__xludf.DUMMYFUNCTION("""COMPUTED_VALUE"""),"mèo")</f>
        <v>mèo</v>
      </c>
      <c r="E7421" s="119" t="str">
        <f>IFERROR(__xludf.DUMMYFUNCTION("""COMPUTED_VALUE"""),"Xám")</f>
        <v>Xám</v>
      </c>
    </row>
    <row r="7422" ht="15.75" customHeight="1">
      <c r="A7422" s="122">
        <f>IFERROR(__xludf.DUMMYFUNCTION("""COMPUTED_VALUE"""),9.05522336E8)</f>
        <v>905522336</v>
      </c>
      <c r="B7422" s="119" t="str">
        <f>IFERROR(__xludf.DUMMYFUNCTION("""COMPUTED_VALUE"""),"Anh Phúc")</f>
        <v>Anh Phúc</v>
      </c>
      <c r="C7422" s="119" t="str">
        <f>IFERROR(__xludf.DUMMYFUNCTION("""COMPUTED_VALUE"""),"KCC Xuân Phú")</f>
        <v>KCC Xuân Phú</v>
      </c>
      <c r="D7422" s="119" t="str">
        <f>IFERROR(__xludf.DUMMYFUNCTION("""COMPUTED_VALUE"""),"chó")</f>
        <v>chó</v>
      </c>
      <c r="E7422" s="119" t="str">
        <f>IFERROR(__xludf.DUMMYFUNCTION("""COMPUTED_VALUE"""),"Lou")</f>
        <v>Lou</v>
      </c>
    </row>
    <row r="7423" ht="15.75" customHeight="1">
      <c r="A7423" s="122">
        <f>IFERROR(__xludf.DUMMYFUNCTION("""COMPUTED_VALUE"""),9.13517752E8)</f>
        <v>913517752</v>
      </c>
      <c r="B7423" s="119" t="str">
        <f>IFERROR(__xludf.DUMMYFUNCTION("""COMPUTED_VALUE"""),"Chị Thu")</f>
        <v>Chị Thu</v>
      </c>
      <c r="C7423" s="119" t="str">
        <f>IFERROR(__xludf.DUMMYFUNCTION("""COMPUTED_VALUE"""),"102 Phạm Văn Đồng")</f>
        <v>102 Phạm Văn Đồng</v>
      </c>
      <c r="D7423" s="119" t="str">
        <f>IFERROR(__xludf.DUMMYFUNCTION("""COMPUTED_VALUE"""),"chó")</f>
        <v>chó</v>
      </c>
      <c r="E7423" s="119" t="str">
        <f>IFERROR(__xludf.DUMMYFUNCTION("""COMPUTED_VALUE"""),"Gấu")</f>
        <v>Gấu</v>
      </c>
    </row>
    <row r="7424" ht="15.75" customHeight="1">
      <c r="A7424" s="122">
        <f>IFERROR(__xludf.DUMMYFUNCTION("""COMPUTED_VALUE"""),9.35699752E8)</f>
        <v>935699752</v>
      </c>
      <c r="B7424" s="119" t="str">
        <f>IFERROR(__xludf.DUMMYFUNCTION("""COMPUTED_VALUE"""),"Anh Long")</f>
        <v>Anh Long</v>
      </c>
      <c r="C7424" s="119" t="str">
        <f>IFERROR(__xludf.DUMMYFUNCTION("""COMPUTED_VALUE"""),"99 Long Hồ")</f>
        <v>99 Long Hồ</v>
      </c>
      <c r="D7424" s="119" t="str">
        <f>IFERROR(__xludf.DUMMYFUNCTION("""COMPUTED_VALUE"""),"chó ")</f>
        <v>chó </v>
      </c>
      <c r="E7424" s="119" t="str">
        <f>IFERROR(__xludf.DUMMYFUNCTION("""COMPUTED_VALUE"""),"Lu")</f>
        <v>Lu</v>
      </c>
    </row>
    <row r="7425" ht="15.75" customHeight="1">
      <c r="A7425" s="122">
        <f>IFERROR(__xludf.DUMMYFUNCTION("""COMPUTED_VALUE"""),9.03584535E8)</f>
        <v>903584535</v>
      </c>
      <c r="B7425" s="119" t="str">
        <f>IFERROR(__xludf.DUMMYFUNCTION("""COMPUTED_VALUE"""),"Chị Nguyệt")</f>
        <v>Chị Nguyệt</v>
      </c>
      <c r="C7425" s="119" t="str">
        <f>IFERROR(__xludf.DUMMYFUNCTION("""COMPUTED_VALUE"""),"40 Lý Thái Tổ")</f>
        <v>40 Lý Thái Tổ</v>
      </c>
      <c r="D7425" s="119" t="str">
        <f>IFERROR(__xludf.DUMMYFUNCTION("""COMPUTED_VALUE"""),"mèo")</f>
        <v>mèo</v>
      </c>
      <c r="E7425" s="119" t="str">
        <f>IFERROR(__xludf.DUMMYFUNCTION("""COMPUTED_VALUE"""),"Sumo")</f>
        <v>Sumo</v>
      </c>
    </row>
    <row r="7426" ht="15.75" customHeight="1">
      <c r="A7426" s="122">
        <f>IFERROR(__xludf.DUMMYFUNCTION("""COMPUTED_VALUE"""),9.69015152E8)</f>
        <v>969015152</v>
      </c>
      <c r="B7426" s="119" t="str">
        <f>IFERROR(__xludf.DUMMYFUNCTION("""COMPUTED_VALUE"""),"Chị Vân")</f>
        <v>Chị Vân</v>
      </c>
      <c r="C7426" s="119" t="str">
        <f>IFERROR(__xludf.DUMMYFUNCTION("""COMPUTED_VALUE"""),"Phạm Thị Lịch")</f>
        <v>Phạm Thị Lịch</v>
      </c>
      <c r="D7426" s="119" t="str">
        <f>IFERROR(__xludf.DUMMYFUNCTION("""COMPUTED_VALUE"""),"chó")</f>
        <v>chó</v>
      </c>
      <c r="E7426" s="119" t="str">
        <f>IFERROR(__xludf.DUMMYFUNCTION("""COMPUTED_VALUE"""),"Xù")</f>
        <v>Xù</v>
      </c>
    </row>
    <row r="7427" ht="15.75" customHeight="1">
      <c r="A7427" s="122">
        <f>IFERROR(__xludf.DUMMYFUNCTION("""COMPUTED_VALUE"""),9.374197E8)</f>
        <v>937419700</v>
      </c>
      <c r="B7427" s="119" t="str">
        <f>IFERROR(__xludf.DUMMYFUNCTION("""COMPUTED_VALUE"""),"Chị Dau")</f>
        <v>Chị Dau</v>
      </c>
      <c r="C7427" s="119" t="str">
        <f>IFERROR(__xludf.DUMMYFUNCTION("""COMPUTED_VALUE"""),"Thủy Xuân")</f>
        <v>Thủy Xuân</v>
      </c>
      <c r="D7427" s="119" t="str">
        <f>IFERROR(__xludf.DUMMYFUNCTION("""COMPUTED_VALUE"""),"mèo ")</f>
        <v>mèo </v>
      </c>
      <c r="E7427" s="119" t="str">
        <f>IFERROR(__xludf.DUMMYFUNCTION("""COMPUTED_VALUE"""),"Coca")</f>
        <v>Coca</v>
      </c>
    </row>
    <row r="7428" ht="15.75" customHeight="1">
      <c r="A7428" s="122">
        <f>IFERROR(__xludf.DUMMYFUNCTION("""COMPUTED_VALUE"""),3.79481846E8)</f>
        <v>379481846</v>
      </c>
      <c r="B7428" s="119" t="str">
        <f>IFERROR(__xludf.DUMMYFUNCTION("""COMPUTED_VALUE"""),"Dì Loan")</f>
        <v>Dì Loan</v>
      </c>
      <c r="C7428" s="119" t="str">
        <f>IFERROR(__xludf.DUMMYFUNCTION("""COMPUTED_VALUE"""),"74A Phạm Thị Liên")</f>
        <v>74A Phạm Thị Liên</v>
      </c>
      <c r="D7428" s="119" t="str">
        <f>IFERROR(__xludf.DUMMYFUNCTION("""COMPUTED_VALUE"""),"chó")</f>
        <v>chó</v>
      </c>
      <c r="E7428" s="119" t="str">
        <f>IFERROR(__xludf.DUMMYFUNCTION("""COMPUTED_VALUE"""),"Sóc")</f>
        <v>Sóc</v>
      </c>
    </row>
    <row r="7429" ht="15.75" customHeight="1">
      <c r="A7429" s="122">
        <f>IFERROR(__xludf.DUMMYFUNCTION("""COMPUTED_VALUE"""),9.68347169E8)</f>
        <v>968347169</v>
      </c>
      <c r="B7429" s="119" t="str">
        <f>IFERROR(__xludf.DUMMYFUNCTION("""COMPUTED_VALUE"""),"Anh Sơn")</f>
        <v>Anh Sơn</v>
      </c>
      <c r="C7429" s="119" t="str">
        <f>IFERROR(__xludf.DUMMYFUNCTION("""COMPUTED_VALUE"""),"80 Phạm Thị Liên")</f>
        <v>80 Phạm Thị Liên</v>
      </c>
      <c r="D7429" s="119" t="str">
        <f>IFERROR(__xludf.DUMMYFUNCTION("""COMPUTED_VALUE"""),"chó ")</f>
        <v>chó </v>
      </c>
      <c r="E7429" s="119" t="str">
        <f>IFERROR(__xludf.DUMMYFUNCTION("""COMPUTED_VALUE"""),"Ken")</f>
        <v>Ken</v>
      </c>
    </row>
    <row r="7430" ht="15.75" customHeight="1">
      <c r="A7430" s="122">
        <f>IFERROR(__xludf.DUMMYFUNCTION("""COMPUTED_VALUE"""),9.62258311E8)</f>
        <v>962258311</v>
      </c>
      <c r="B7430" s="119" t="str">
        <f>IFERROR(__xludf.DUMMYFUNCTION("""COMPUTED_VALUE"""),"Dì Hoa")</f>
        <v>Dì Hoa</v>
      </c>
      <c r="C7430" s="119" t="str">
        <f>IFERROR(__xludf.DUMMYFUNCTION("""COMPUTED_VALUE"""),"Kiệt 240 LND")</f>
        <v>Kiệt 240 LND</v>
      </c>
      <c r="D7430" s="119" t="str">
        <f>IFERROR(__xludf.DUMMYFUNCTION("""COMPUTED_VALUE"""),"chó")</f>
        <v>chó</v>
      </c>
      <c r="E7430" s="119" t="str">
        <f>IFERROR(__xludf.DUMMYFUNCTION("""COMPUTED_VALUE"""),"Sữa")</f>
        <v>Sữa</v>
      </c>
    </row>
    <row r="7431" ht="15.75" customHeight="1">
      <c r="A7431" s="122">
        <f>IFERROR(__xludf.DUMMYFUNCTION("""COMPUTED_VALUE"""),9.19504327E8)</f>
        <v>919504327</v>
      </c>
      <c r="B7431" s="119" t="str">
        <f>IFERROR(__xludf.DUMMYFUNCTION("""COMPUTED_VALUE"""),"a Tâm")</f>
        <v>a Tâm</v>
      </c>
      <c r="C7431" s="119" t="str">
        <f>IFERROR(__xludf.DUMMYFUNCTION("""COMPUTED_VALUE"""),"14 kiệt 4 Nguyễn Phúc Nguyên")</f>
        <v>14 kiệt 4 Nguyễn Phúc Nguyên</v>
      </c>
      <c r="D7431" s="119" t="str">
        <f>IFERROR(__xludf.DUMMYFUNCTION("""COMPUTED_VALUE"""),"chó")</f>
        <v>chó</v>
      </c>
      <c r="E7431" s="119" t="str">
        <f>IFERROR(__xludf.DUMMYFUNCTION("""COMPUTED_VALUE"""),"Milu")</f>
        <v>Milu</v>
      </c>
    </row>
    <row r="7432" ht="15.75" customHeight="1">
      <c r="A7432" s="122">
        <f>IFERROR(__xludf.DUMMYFUNCTION("""COMPUTED_VALUE"""),7.08090162E8)</f>
        <v>708090162</v>
      </c>
      <c r="B7432" s="119" t="str">
        <f>IFERROR(__xludf.DUMMYFUNCTION("""COMPUTED_VALUE"""),"Anh Phúc")</f>
        <v>Anh Phúc</v>
      </c>
      <c r="C7432" s="119" t="str">
        <f>IFERROR(__xludf.DUMMYFUNCTION("""COMPUTED_VALUE"""),"Nguyễn Phúc Chu")</f>
        <v>Nguyễn Phúc Chu</v>
      </c>
      <c r="D7432" s="119" t="str">
        <f>IFERROR(__xludf.DUMMYFUNCTION("""COMPUTED_VALUE"""),"chó")</f>
        <v>chó</v>
      </c>
      <c r="E7432" s="119" t="str">
        <f>IFERROR(__xludf.DUMMYFUNCTION("""COMPUTED_VALUE"""),"Mây")</f>
        <v>Mây</v>
      </c>
    </row>
    <row r="7433" ht="15.75" customHeight="1">
      <c r="A7433" s="122"/>
      <c r="B7433" s="119"/>
      <c r="C7433" s="119"/>
      <c r="D7433" s="119"/>
      <c r="E7433" s="119"/>
    </row>
    <row r="7434" ht="15.75" customHeight="1">
      <c r="A7434" s="122"/>
      <c r="B7434" s="119"/>
      <c r="C7434" s="119"/>
      <c r="D7434" s="119"/>
      <c r="E7434" s="119"/>
    </row>
    <row r="7435" ht="15.75" customHeight="1">
      <c r="A7435" s="122"/>
      <c r="B7435" s="119"/>
      <c r="C7435" s="119"/>
      <c r="D7435" s="119"/>
      <c r="E7435" s="119"/>
    </row>
    <row r="7436" ht="15.75" customHeight="1">
      <c r="A7436" s="122"/>
      <c r="B7436" s="119"/>
      <c r="C7436" s="119"/>
      <c r="D7436" s="119"/>
      <c r="E7436" s="119"/>
    </row>
    <row r="7437" ht="15.75" customHeight="1">
      <c r="A7437" s="122"/>
      <c r="B7437" s="119"/>
      <c r="C7437" s="119"/>
      <c r="D7437" s="119"/>
      <c r="E7437" s="119"/>
    </row>
    <row r="7438" ht="15.75" customHeight="1">
      <c r="A7438" s="122"/>
      <c r="B7438" s="119"/>
      <c r="C7438" s="119"/>
      <c r="D7438" s="119"/>
      <c r="E7438" s="119"/>
    </row>
    <row r="7439" ht="15.75" customHeight="1">
      <c r="A7439" s="122"/>
      <c r="B7439" s="119"/>
      <c r="C7439" s="119"/>
      <c r="D7439" s="119"/>
      <c r="E7439" s="119"/>
    </row>
    <row r="7440" ht="15.75" customHeight="1">
      <c r="A7440" s="122"/>
      <c r="B7440" s="119"/>
      <c r="C7440" s="119"/>
      <c r="D7440" s="119"/>
      <c r="E7440" s="119"/>
    </row>
    <row r="7441" ht="15.75" customHeight="1">
      <c r="A7441" s="122"/>
      <c r="B7441" s="119"/>
      <c r="C7441" s="119"/>
      <c r="D7441" s="119"/>
      <c r="E7441" s="119"/>
    </row>
    <row r="7442" ht="15.75" customHeight="1">
      <c r="A7442" s="122"/>
      <c r="B7442" s="119"/>
      <c r="C7442" s="119"/>
      <c r="D7442" s="119"/>
      <c r="E7442" s="119"/>
    </row>
    <row r="7443" ht="15.75" customHeight="1">
      <c r="A7443" s="122"/>
      <c r="B7443" s="119"/>
      <c r="C7443" s="119"/>
      <c r="D7443" s="119"/>
      <c r="E7443" s="119"/>
    </row>
    <row r="7444" ht="15.75" customHeight="1">
      <c r="A7444" s="122"/>
      <c r="B7444" s="119"/>
      <c r="C7444" s="119"/>
      <c r="D7444" s="119"/>
      <c r="E7444" s="119"/>
    </row>
    <row r="7445" ht="15.75" customHeight="1">
      <c r="A7445" s="122"/>
      <c r="B7445" s="119"/>
      <c r="C7445" s="119"/>
      <c r="D7445" s="119"/>
      <c r="E7445" s="119"/>
    </row>
    <row r="7446" ht="15.75" customHeight="1">
      <c r="A7446" s="122"/>
      <c r="B7446" s="119"/>
      <c r="C7446" s="119"/>
      <c r="D7446" s="119"/>
      <c r="E7446" s="119"/>
    </row>
    <row r="7447" ht="15.75" customHeight="1">
      <c r="A7447" s="122"/>
      <c r="B7447" s="119"/>
      <c r="C7447" s="119"/>
      <c r="D7447" s="119"/>
      <c r="E7447" s="119"/>
    </row>
    <row r="7448" ht="15.75" customHeight="1">
      <c r="A7448" s="122"/>
      <c r="B7448" s="119"/>
      <c r="C7448" s="119"/>
      <c r="D7448" s="119"/>
      <c r="E7448" s="119"/>
    </row>
    <row r="7449" ht="15.75" customHeight="1">
      <c r="A7449" s="122"/>
      <c r="B7449" s="119"/>
      <c r="C7449" s="119"/>
      <c r="D7449" s="119"/>
      <c r="E7449" s="119"/>
    </row>
    <row r="7450" ht="15.75" customHeight="1">
      <c r="A7450" s="122"/>
      <c r="B7450" s="119"/>
      <c r="C7450" s="119"/>
      <c r="D7450" s="119"/>
      <c r="E7450" s="119"/>
    </row>
    <row r="7451" ht="15.75" customHeight="1">
      <c r="A7451" s="122"/>
      <c r="B7451" s="119"/>
      <c r="C7451" s="119"/>
      <c r="D7451" s="119"/>
      <c r="E7451" s="119"/>
    </row>
    <row r="7452" ht="15.75" customHeight="1">
      <c r="A7452" s="122"/>
      <c r="B7452" s="119"/>
      <c r="C7452" s="119"/>
      <c r="D7452" s="119"/>
      <c r="E7452" s="119"/>
    </row>
    <row r="7453" ht="15.75" customHeight="1">
      <c r="A7453" s="122"/>
      <c r="B7453" s="119"/>
      <c r="C7453" s="119"/>
      <c r="D7453" s="119"/>
      <c r="E7453" s="119"/>
    </row>
    <row r="7454" ht="15.75" customHeight="1">
      <c r="A7454" s="122"/>
      <c r="B7454" s="119"/>
      <c r="C7454" s="119"/>
      <c r="D7454" s="119"/>
      <c r="E7454" s="119"/>
    </row>
    <row r="7455" ht="15.75" customHeight="1">
      <c r="A7455" s="122"/>
      <c r="B7455" s="119"/>
      <c r="C7455" s="119"/>
      <c r="D7455" s="119"/>
      <c r="E7455" s="119"/>
    </row>
    <row r="7456" ht="15.75" customHeight="1">
      <c r="A7456" s="122"/>
      <c r="B7456" s="119"/>
      <c r="C7456" s="119"/>
      <c r="D7456" s="119"/>
      <c r="E7456" s="119"/>
    </row>
    <row r="7457" ht="15.75" customHeight="1">
      <c r="A7457" s="122"/>
      <c r="B7457" s="119"/>
      <c r="C7457" s="119"/>
      <c r="D7457" s="119"/>
      <c r="E7457" s="119"/>
    </row>
    <row r="7458" ht="15.75" customHeight="1">
      <c r="A7458" s="122"/>
      <c r="B7458" s="119"/>
      <c r="C7458" s="119"/>
      <c r="D7458" s="119"/>
      <c r="E7458" s="119"/>
    </row>
    <row r="7459" ht="15.75" customHeight="1">
      <c r="A7459" s="122"/>
      <c r="B7459" s="119"/>
      <c r="C7459" s="119"/>
      <c r="D7459" s="119"/>
      <c r="E7459" s="119"/>
    </row>
    <row r="7460" ht="15.75" customHeight="1">
      <c r="A7460" s="122"/>
      <c r="B7460" s="119"/>
      <c r="C7460" s="119"/>
      <c r="D7460" s="119"/>
      <c r="E7460" s="119"/>
    </row>
    <row r="7461" ht="15.75" customHeight="1">
      <c r="A7461" s="122"/>
      <c r="B7461" s="119"/>
      <c r="C7461" s="119"/>
      <c r="D7461" s="119"/>
      <c r="E7461" s="119"/>
    </row>
    <row r="7462" ht="15.75" customHeight="1">
      <c r="A7462" s="122"/>
      <c r="B7462" s="119"/>
      <c r="C7462" s="119"/>
      <c r="D7462" s="119"/>
      <c r="E7462" s="119"/>
    </row>
    <row r="7463" ht="15.75" customHeight="1">
      <c r="A7463" s="122"/>
      <c r="B7463" s="119"/>
      <c r="C7463" s="119"/>
      <c r="D7463" s="119"/>
      <c r="E7463" s="119"/>
    </row>
    <row r="7464" ht="15.75" customHeight="1">
      <c r="A7464" s="122"/>
      <c r="B7464" s="119"/>
      <c r="C7464" s="119"/>
      <c r="D7464" s="119"/>
      <c r="E7464" s="119"/>
    </row>
    <row r="7465" ht="15.75" customHeight="1">
      <c r="A7465" s="122"/>
      <c r="B7465" s="119"/>
      <c r="C7465" s="119"/>
      <c r="D7465" s="119"/>
      <c r="E7465" s="119"/>
    </row>
    <row r="7466" ht="15.75" customHeight="1">
      <c r="A7466" s="122"/>
      <c r="B7466" s="119"/>
      <c r="C7466" s="119"/>
      <c r="D7466" s="119"/>
      <c r="E7466" s="119"/>
    </row>
    <row r="7467" ht="15.75" customHeight="1">
      <c r="A7467" s="122"/>
      <c r="B7467" s="119"/>
      <c r="C7467" s="119"/>
      <c r="D7467" s="119"/>
      <c r="E7467" s="119"/>
    </row>
    <row r="7468" ht="15.75" customHeight="1">
      <c r="A7468" s="122"/>
      <c r="B7468" s="119"/>
      <c r="C7468" s="119"/>
      <c r="D7468" s="119"/>
      <c r="E7468" s="119"/>
    </row>
    <row r="7469" ht="15.75" customHeight="1">
      <c r="A7469" s="122"/>
      <c r="B7469" s="119"/>
      <c r="C7469" s="119"/>
      <c r="D7469" s="119"/>
      <c r="E7469" s="119"/>
    </row>
    <row r="7470" ht="15.75" customHeight="1">
      <c r="A7470" s="122"/>
      <c r="B7470" s="119"/>
      <c r="C7470" s="119"/>
      <c r="D7470" s="119"/>
      <c r="E7470" s="119"/>
    </row>
    <row r="7471" ht="15.75" customHeight="1">
      <c r="A7471" s="122"/>
      <c r="B7471" s="119"/>
      <c r="C7471" s="119"/>
      <c r="D7471" s="119"/>
      <c r="E7471" s="119"/>
    </row>
    <row r="7472" ht="15.75" customHeight="1">
      <c r="A7472" s="122"/>
      <c r="B7472" s="119"/>
      <c r="C7472" s="119"/>
      <c r="D7472" s="119"/>
      <c r="E7472" s="119"/>
    </row>
    <row r="7473" ht="15.75" customHeight="1">
      <c r="A7473" s="122"/>
      <c r="B7473" s="119"/>
      <c r="C7473" s="119"/>
      <c r="D7473" s="119"/>
      <c r="E7473" s="119"/>
    </row>
    <row r="7474" ht="15.75" customHeight="1">
      <c r="A7474" s="122"/>
      <c r="B7474" s="119"/>
      <c r="C7474" s="119"/>
      <c r="D7474" s="119"/>
      <c r="E7474" s="119"/>
    </row>
    <row r="7475" ht="15.75" customHeight="1">
      <c r="A7475" s="122"/>
      <c r="B7475" s="119"/>
      <c r="C7475" s="119"/>
      <c r="D7475" s="119"/>
      <c r="E7475" s="119"/>
    </row>
    <row r="7476" ht="15.75" customHeight="1">
      <c r="A7476" s="122"/>
      <c r="B7476" s="119"/>
      <c r="C7476" s="119"/>
      <c r="D7476" s="119"/>
      <c r="E7476" s="119"/>
    </row>
    <row r="7477" ht="15.75" customHeight="1">
      <c r="A7477" s="122"/>
      <c r="B7477" s="119"/>
      <c r="C7477" s="119"/>
      <c r="D7477" s="119"/>
      <c r="E7477" s="119"/>
    </row>
    <row r="7478" ht="15.75" customHeight="1">
      <c r="A7478" s="122"/>
      <c r="B7478" s="119"/>
      <c r="C7478" s="119"/>
      <c r="D7478" s="119"/>
      <c r="E7478" s="119"/>
    </row>
    <row r="7479" ht="15.75" customHeight="1">
      <c r="A7479" s="122"/>
      <c r="B7479" s="119"/>
      <c r="C7479" s="119"/>
      <c r="D7479" s="119"/>
      <c r="E7479" s="119"/>
    </row>
    <row r="7480" ht="15.75" customHeight="1">
      <c r="A7480" s="122"/>
      <c r="B7480" s="119"/>
      <c r="C7480" s="119"/>
      <c r="D7480" s="119"/>
      <c r="E7480" s="119"/>
    </row>
    <row r="7481" ht="15.75" customHeight="1">
      <c r="A7481" s="122"/>
      <c r="B7481" s="119"/>
      <c r="C7481" s="119"/>
      <c r="D7481" s="119"/>
      <c r="E7481" s="119"/>
    </row>
    <row r="7482" ht="15.75" customHeight="1">
      <c r="A7482" s="122"/>
      <c r="B7482" s="119"/>
      <c r="C7482" s="119"/>
      <c r="D7482" s="119"/>
      <c r="E7482" s="119"/>
    </row>
    <row r="7483" ht="15.75" customHeight="1">
      <c r="A7483" s="122"/>
      <c r="B7483" s="119"/>
      <c r="C7483" s="119"/>
      <c r="D7483" s="119"/>
      <c r="E7483" s="119"/>
    </row>
    <row r="7484" ht="15.75" customHeight="1">
      <c r="A7484" s="122"/>
      <c r="B7484" s="119"/>
      <c r="C7484" s="119"/>
      <c r="D7484" s="119"/>
      <c r="E7484" s="119"/>
    </row>
    <row r="7485" ht="15.75" customHeight="1">
      <c r="A7485" s="122"/>
      <c r="B7485" s="119"/>
      <c r="C7485" s="119"/>
      <c r="D7485" s="119"/>
      <c r="E7485" s="119"/>
    </row>
    <row r="7486" ht="15.75" customHeight="1">
      <c r="A7486" s="122"/>
      <c r="B7486" s="119"/>
      <c r="C7486" s="119"/>
      <c r="D7486" s="119"/>
      <c r="E7486" s="119"/>
    </row>
    <row r="7487" ht="15.75" customHeight="1">
      <c r="A7487" s="122"/>
      <c r="B7487" s="119"/>
      <c r="C7487" s="119"/>
      <c r="D7487" s="119"/>
      <c r="E7487" s="119"/>
    </row>
    <row r="7488" ht="15.75" customHeight="1">
      <c r="A7488" s="122"/>
      <c r="B7488" s="119"/>
      <c r="C7488" s="119"/>
      <c r="D7488" s="119"/>
      <c r="E7488" s="119"/>
    </row>
    <row r="7489" ht="15.75" customHeight="1">
      <c r="A7489" s="122"/>
      <c r="B7489" s="119"/>
      <c r="C7489" s="119"/>
      <c r="D7489" s="119"/>
      <c r="E7489" s="119"/>
    </row>
    <row r="7490" ht="15.75" customHeight="1">
      <c r="A7490" s="122"/>
      <c r="B7490" s="119"/>
      <c r="C7490" s="119"/>
      <c r="D7490" s="119"/>
      <c r="E7490" s="119"/>
    </row>
    <row r="7491" ht="15.75" customHeight="1">
      <c r="A7491" s="122"/>
      <c r="B7491" s="119"/>
      <c r="C7491" s="119"/>
      <c r="D7491" s="119"/>
      <c r="E7491" s="119"/>
    </row>
    <row r="7492" ht="15.75" customHeight="1">
      <c r="A7492" s="122"/>
      <c r="B7492" s="119"/>
      <c r="C7492" s="119"/>
      <c r="D7492" s="119"/>
      <c r="E7492" s="119"/>
    </row>
    <row r="7493" ht="15.75" customHeight="1">
      <c r="A7493" s="122"/>
      <c r="B7493" s="119"/>
      <c r="C7493" s="119"/>
      <c r="D7493" s="119"/>
      <c r="E7493" s="119"/>
    </row>
    <row r="7494" ht="15.75" customHeight="1">
      <c r="A7494" s="122"/>
      <c r="B7494" s="119"/>
      <c r="C7494" s="119"/>
      <c r="D7494" s="119"/>
      <c r="E7494" s="119"/>
    </row>
    <row r="7495" ht="15.75" customHeight="1">
      <c r="A7495" s="122"/>
      <c r="B7495" s="119"/>
      <c r="C7495" s="119"/>
      <c r="D7495" s="119"/>
      <c r="E7495" s="119"/>
    </row>
    <row r="7496" ht="15.75" customHeight="1">
      <c r="A7496" s="122"/>
      <c r="B7496" s="119"/>
      <c r="C7496" s="119"/>
      <c r="D7496" s="119"/>
      <c r="E7496" s="119"/>
    </row>
    <row r="7497" ht="15.75" customHeight="1">
      <c r="A7497" s="122"/>
      <c r="B7497" s="119"/>
      <c r="C7497" s="119"/>
      <c r="D7497" s="119"/>
      <c r="E7497" s="119"/>
    </row>
    <row r="7498" ht="15.75" customHeight="1">
      <c r="A7498" s="122"/>
      <c r="B7498" s="119"/>
      <c r="C7498" s="119"/>
      <c r="D7498" s="119"/>
      <c r="E7498" s="119"/>
    </row>
    <row r="7499" ht="15.75" customHeight="1">
      <c r="A7499" s="122"/>
      <c r="B7499" s="119"/>
      <c r="C7499" s="119"/>
      <c r="D7499" s="119"/>
      <c r="E7499" s="119"/>
    </row>
    <row r="7500" ht="15.75" customHeight="1">
      <c r="A7500" s="122"/>
      <c r="B7500" s="119"/>
      <c r="C7500" s="119"/>
      <c r="D7500" s="119"/>
      <c r="E7500" s="119"/>
    </row>
    <row r="7501" ht="15.75" customHeight="1">
      <c r="A7501" s="122"/>
      <c r="B7501" s="119"/>
      <c r="C7501" s="119"/>
      <c r="D7501" s="119"/>
      <c r="E7501" s="1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4.0"/>
    <col customWidth="1" min="2" max="2" width="36.71"/>
    <col customWidth="1" min="3" max="3" width="16.14"/>
    <col customWidth="1" min="4" max="4" width="10.57"/>
    <col customWidth="1" min="5" max="5" width="21.0"/>
    <col customWidth="1" min="6" max="6" width="29.14"/>
    <col customWidth="1" min="7" max="7" width="15.14"/>
    <col customWidth="1" min="8" max="8" width="13.57"/>
    <col customWidth="1" min="9" max="9" width="23.86"/>
    <col customWidth="1" min="10" max="10" width="12.43"/>
  </cols>
  <sheetData>
    <row r="1" ht="20.25" customHeight="1">
      <c r="A1" s="151"/>
      <c r="B1" s="152"/>
      <c r="C1" s="153" t="s">
        <v>379</v>
      </c>
      <c r="D1" s="152"/>
      <c r="E1" s="154">
        <f>G1-I1</f>
        <v>6498.5</v>
      </c>
      <c r="F1" s="155" t="s">
        <v>380</v>
      </c>
      <c r="G1" s="156">
        <f>sum(G3:G226)</f>
        <v>11202.5</v>
      </c>
      <c r="H1" s="157" t="s">
        <v>381</v>
      </c>
      <c r="I1" s="156">
        <f>SUMIFS(G3:G596, F3:F596, "Thuoc dieu tri") + SUMIFS(G3:G596, F3:F596, "Vat tu") + SUMIFS(G3:G596, F3:F596, "Vaccine")</f>
        <v>4704</v>
      </c>
      <c r="J1" s="158">
        <f>sum(J3:J226)</f>
        <v>11202.5</v>
      </c>
    </row>
    <row r="2" ht="48.75" customHeight="1">
      <c r="A2" s="157" t="s">
        <v>4</v>
      </c>
      <c r="B2" s="159" t="s">
        <v>382</v>
      </c>
      <c r="C2" s="160" t="s">
        <v>383</v>
      </c>
      <c r="D2" s="160" t="s">
        <v>384</v>
      </c>
      <c r="E2" s="160" t="s">
        <v>385</v>
      </c>
      <c r="F2" s="161" t="s">
        <v>386</v>
      </c>
      <c r="G2" s="162" t="s">
        <v>387</v>
      </c>
      <c r="H2" s="160" t="s">
        <v>388</v>
      </c>
      <c r="I2" s="160" t="s">
        <v>18</v>
      </c>
      <c r="J2" s="162" t="s">
        <v>389</v>
      </c>
    </row>
    <row r="3" ht="15.75" customHeight="1">
      <c r="A3" s="163">
        <v>45965.0</v>
      </c>
      <c r="B3" s="164" t="s">
        <v>390</v>
      </c>
      <c r="C3" s="165">
        <v>1.0</v>
      </c>
      <c r="D3" s="166" t="s">
        <v>391</v>
      </c>
      <c r="E3" s="165">
        <v>50.0</v>
      </c>
      <c r="F3" s="167" t="s">
        <v>392</v>
      </c>
      <c r="G3" s="168">
        <f t="shared" ref="G3:G273" si="1">C3*E3</f>
        <v>50</v>
      </c>
      <c r="H3" s="166" t="s">
        <v>101</v>
      </c>
      <c r="I3" s="165"/>
      <c r="J3" s="158"/>
    </row>
    <row r="4">
      <c r="A4" s="169"/>
      <c r="B4" s="170" t="s">
        <v>393</v>
      </c>
      <c r="C4" s="170">
        <v>2.0</v>
      </c>
      <c r="D4" s="170" t="s">
        <v>394</v>
      </c>
      <c r="E4" s="170">
        <v>40.0</v>
      </c>
      <c r="F4" s="167" t="s">
        <v>395</v>
      </c>
      <c r="G4" s="168">
        <f t="shared" si="1"/>
        <v>80</v>
      </c>
      <c r="H4" s="166" t="s">
        <v>65</v>
      </c>
      <c r="J4" s="169"/>
    </row>
    <row r="5" ht="15.75" customHeight="1">
      <c r="A5" s="163"/>
      <c r="B5" s="164" t="s">
        <v>396</v>
      </c>
      <c r="C5" s="165">
        <v>1.0</v>
      </c>
      <c r="D5" s="166" t="s">
        <v>397</v>
      </c>
      <c r="E5" s="165">
        <v>2308.0</v>
      </c>
      <c r="F5" s="167" t="s">
        <v>398</v>
      </c>
      <c r="G5" s="168">
        <f t="shared" si="1"/>
        <v>2308</v>
      </c>
      <c r="H5" s="166" t="s">
        <v>43</v>
      </c>
      <c r="I5" s="171"/>
      <c r="J5" s="158"/>
    </row>
    <row r="6" ht="15.75" customHeight="1">
      <c r="A6" s="163"/>
      <c r="B6" s="164" t="s">
        <v>399</v>
      </c>
      <c r="C6" s="165">
        <v>1.0</v>
      </c>
      <c r="D6" s="166" t="s">
        <v>397</v>
      </c>
      <c r="E6" s="165">
        <v>195.0</v>
      </c>
      <c r="F6" s="167" t="s">
        <v>400</v>
      </c>
      <c r="G6" s="168">
        <f t="shared" si="1"/>
        <v>195</v>
      </c>
      <c r="H6" s="166" t="s">
        <v>43</v>
      </c>
      <c r="I6" s="171"/>
      <c r="J6" s="158"/>
    </row>
    <row r="7" ht="15.75" customHeight="1">
      <c r="A7" s="163">
        <v>45966.0</v>
      </c>
      <c r="B7" s="164" t="s">
        <v>401</v>
      </c>
      <c r="C7" s="165">
        <v>5.0</v>
      </c>
      <c r="D7" s="166" t="s">
        <v>402</v>
      </c>
      <c r="E7" s="165">
        <v>20.0</v>
      </c>
      <c r="F7" s="167" t="s">
        <v>403</v>
      </c>
      <c r="G7" s="168">
        <f t="shared" si="1"/>
        <v>100</v>
      </c>
      <c r="H7" s="166" t="s">
        <v>43</v>
      </c>
      <c r="I7" s="165"/>
      <c r="J7" s="158"/>
    </row>
    <row r="8" ht="15.75" customHeight="1">
      <c r="A8" s="165"/>
      <c r="B8" s="164" t="s">
        <v>404</v>
      </c>
      <c r="C8" s="165">
        <v>1.0</v>
      </c>
      <c r="D8" s="166" t="s">
        <v>405</v>
      </c>
      <c r="E8" s="165">
        <v>65.0</v>
      </c>
      <c r="F8" s="167" t="s">
        <v>406</v>
      </c>
      <c r="G8" s="168">
        <f t="shared" si="1"/>
        <v>65</v>
      </c>
      <c r="H8" s="166" t="s">
        <v>65</v>
      </c>
      <c r="I8" s="165"/>
      <c r="J8" s="158"/>
    </row>
    <row r="9" ht="15.75" customHeight="1">
      <c r="A9" s="165" t="s">
        <v>126</v>
      </c>
      <c r="B9" s="164"/>
      <c r="C9" s="165"/>
      <c r="D9" s="166"/>
      <c r="E9" s="165"/>
      <c r="F9" s="167"/>
      <c r="G9" s="168">
        <f t="shared" si="1"/>
        <v>0</v>
      </c>
      <c r="H9" s="166"/>
      <c r="I9" s="165"/>
      <c r="J9" s="158">
        <f>sum(G3:G8)</f>
        <v>2798</v>
      </c>
    </row>
    <row r="10" ht="15.75" customHeight="1">
      <c r="A10" s="163">
        <v>45971.0</v>
      </c>
      <c r="B10" s="164" t="s">
        <v>407</v>
      </c>
      <c r="C10" s="165">
        <v>1.0</v>
      </c>
      <c r="D10" s="166" t="s">
        <v>397</v>
      </c>
      <c r="E10" s="165">
        <v>144.0</v>
      </c>
      <c r="F10" s="167" t="s">
        <v>408</v>
      </c>
      <c r="G10" s="168">
        <f t="shared" si="1"/>
        <v>144</v>
      </c>
      <c r="H10" s="166" t="s">
        <v>43</v>
      </c>
      <c r="I10" s="171"/>
      <c r="J10" s="172"/>
    </row>
    <row r="11" ht="15.75" customHeight="1">
      <c r="A11" s="163"/>
      <c r="B11" s="164" t="s">
        <v>401</v>
      </c>
      <c r="C11" s="165">
        <v>1.0</v>
      </c>
      <c r="D11" s="166" t="s">
        <v>409</v>
      </c>
      <c r="E11" s="165">
        <v>140.0</v>
      </c>
      <c r="F11" s="167" t="s">
        <v>403</v>
      </c>
      <c r="G11" s="168">
        <f t="shared" si="1"/>
        <v>140</v>
      </c>
      <c r="H11" s="166" t="s">
        <v>43</v>
      </c>
      <c r="I11" s="171"/>
      <c r="J11" s="158"/>
    </row>
    <row r="12" ht="15.75" customHeight="1">
      <c r="A12" s="163"/>
      <c r="B12" s="164" t="s">
        <v>410</v>
      </c>
      <c r="C12" s="165">
        <v>10.0</v>
      </c>
      <c r="D12" s="166" t="s">
        <v>402</v>
      </c>
      <c r="E12" s="165">
        <v>14.0</v>
      </c>
      <c r="F12" s="167" t="s">
        <v>403</v>
      </c>
      <c r="G12" s="168">
        <f t="shared" si="1"/>
        <v>140</v>
      </c>
      <c r="H12" s="166" t="s">
        <v>43</v>
      </c>
      <c r="I12" s="165"/>
      <c r="J12" s="158"/>
    </row>
    <row r="13" ht="15.75" customHeight="1">
      <c r="A13" s="163"/>
      <c r="B13" s="164" t="s">
        <v>411</v>
      </c>
      <c r="C13" s="165">
        <v>1.0</v>
      </c>
      <c r="D13" s="166" t="s">
        <v>391</v>
      </c>
      <c r="E13" s="165">
        <v>35.0</v>
      </c>
      <c r="F13" s="167" t="s">
        <v>412</v>
      </c>
      <c r="G13" s="168">
        <f t="shared" si="1"/>
        <v>35</v>
      </c>
      <c r="H13" s="166" t="s">
        <v>43</v>
      </c>
      <c r="I13" s="165"/>
      <c r="J13" s="158"/>
    </row>
    <row r="14" ht="15.75" customHeight="1">
      <c r="A14" s="163">
        <v>45972.0</v>
      </c>
      <c r="B14" s="164" t="s">
        <v>407</v>
      </c>
      <c r="C14" s="165">
        <v>1.0</v>
      </c>
      <c r="D14" s="166" t="s">
        <v>397</v>
      </c>
      <c r="E14" s="165">
        <v>48.0</v>
      </c>
      <c r="F14" s="167" t="s">
        <v>408</v>
      </c>
      <c r="G14" s="168">
        <f t="shared" si="1"/>
        <v>48</v>
      </c>
      <c r="H14" s="166" t="s">
        <v>43</v>
      </c>
      <c r="I14" s="165"/>
      <c r="J14" s="158"/>
    </row>
    <row r="15" ht="15.75" customHeight="1">
      <c r="A15" s="173"/>
      <c r="B15" s="164" t="s">
        <v>413</v>
      </c>
      <c r="C15" s="165">
        <v>1.0</v>
      </c>
      <c r="D15" s="166" t="s">
        <v>414</v>
      </c>
      <c r="E15" s="165">
        <v>105.0</v>
      </c>
      <c r="F15" s="167" t="s">
        <v>415</v>
      </c>
      <c r="G15" s="168">
        <f t="shared" si="1"/>
        <v>105</v>
      </c>
      <c r="H15" s="166" t="s">
        <v>43</v>
      </c>
      <c r="I15" s="165"/>
      <c r="J15" s="172"/>
    </row>
    <row r="16" ht="15.75" customHeight="1">
      <c r="A16" s="163"/>
      <c r="B16" s="164" t="s">
        <v>416</v>
      </c>
      <c r="C16" s="165">
        <v>1.0</v>
      </c>
      <c r="D16" s="166" t="s">
        <v>414</v>
      </c>
      <c r="E16" s="165">
        <v>80.0</v>
      </c>
      <c r="F16" s="167" t="s">
        <v>415</v>
      </c>
      <c r="G16" s="168">
        <f t="shared" si="1"/>
        <v>80</v>
      </c>
      <c r="H16" s="166" t="s">
        <v>43</v>
      </c>
      <c r="I16" s="171"/>
      <c r="J16" s="158"/>
    </row>
    <row r="17">
      <c r="A17" s="174"/>
      <c r="B17" s="164" t="s">
        <v>417</v>
      </c>
      <c r="C17" s="170">
        <v>1.0</v>
      </c>
      <c r="D17" s="166" t="s">
        <v>414</v>
      </c>
      <c r="E17" s="170">
        <v>315.0</v>
      </c>
      <c r="F17" s="167" t="s">
        <v>415</v>
      </c>
      <c r="G17" s="168">
        <f t="shared" si="1"/>
        <v>315</v>
      </c>
      <c r="H17" s="166" t="s">
        <v>43</v>
      </c>
      <c r="I17" s="175"/>
      <c r="J17" s="175"/>
    </row>
    <row r="18" ht="15.75" customHeight="1">
      <c r="A18" s="163"/>
      <c r="B18" s="164" t="s">
        <v>418</v>
      </c>
      <c r="C18" s="165">
        <v>5.0</v>
      </c>
      <c r="D18" s="166" t="s">
        <v>414</v>
      </c>
      <c r="E18" s="165">
        <v>15.0</v>
      </c>
      <c r="F18" s="167" t="s">
        <v>415</v>
      </c>
      <c r="G18" s="168">
        <f t="shared" si="1"/>
        <v>75</v>
      </c>
      <c r="H18" s="166" t="s">
        <v>43</v>
      </c>
      <c r="I18" s="165"/>
      <c r="J18" s="158"/>
    </row>
    <row r="19" ht="15.75" customHeight="1">
      <c r="A19" s="163"/>
      <c r="B19" s="164" t="s">
        <v>419</v>
      </c>
      <c r="C19" s="165">
        <v>1.0</v>
      </c>
      <c r="D19" s="166" t="s">
        <v>414</v>
      </c>
      <c r="E19" s="165">
        <v>27.0</v>
      </c>
      <c r="F19" s="167" t="s">
        <v>415</v>
      </c>
      <c r="G19" s="168">
        <f t="shared" si="1"/>
        <v>27</v>
      </c>
      <c r="H19" s="166" t="s">
        <v>43</v>
      </c>
      <c r="I19" s="165"/>
      <c r="J19" s="158"/>
    </row>
    <row r="20" ht="15.75" customHeight="1">
      <c r="A20" s="176"/>
      <c r="B20" s="164" t="s">
        <v>420</v>
      </c>
      <c r="C20" s="165">
        <v>2.0</v>
      </c>
      <c r="D20" s="166" t="s">
        <v>414</v>
      </c>
      <c r="E20" s="165">
        <v>28.0</v>
      </c>
      <c r="F20" s="167" t="s">
        <v>415</v>
      </c>
      <c r="G20" s="168">
        <f t="shared" si="1"/>
        <v>56</v>
      </c>
      <c r="H20" s="166" t="s">
        <v>43</v>
      </c>
      <c r="I20" s="171"/>
      <c r="J20" s="172"/>
    </row>
    <row r="21" ht="15.75" customHeight="1">
      <c r="A21" s="163"/>
      <c r="B21" s="164" t="s">
        <v>421</v>
      </c>
      <c r="C21" s="165">
        <v>2.0</v>
      </c>
      <c r="D21" s="166" t="s">
        <v>414</v>
      </c>
      <c r="E21" s="165">
        <v>46.0</v>
      </c>
      <c r="F21" s="167" t="s">
        <v>415</v>
      </c>
      <c r="G21" s="168">
        <f t="shared" si="1"/>
        <v>92</v>
      </c>
      <c r="H21" s="166" t="s">
        <v>43</v>
      </c>
      <c r="I21" s="171"/>
      <c r="J21" s="158"/>
    </row>
    <row r="22" ht="15.75" customHeight="1">
      <c r="A22" s="163"/>
      <c r="B22" s="164" t="s">
        <v>422</v>
      </c>
      <c r="C22" s="165">
        <v>2.0</v>
      </c>
      <c r="D22" s="166" t="s">
        <v>414</v>
      </c>
      <c r="E22" s="165">
        <v>62.0</v>
      </c>
      <c r="F22" s="167" t="s">
        <v>423</v>
      </c>
      <c r="G22" s="168">
        <f t="shared" si="1"/>
        <v>124</v>
      </c>
      <c r="H22" s="166" t="s">
        <v>43</v>
      </c>
      <c r="I22" s="171"/>
      <c r="J22" s="158"/>
    </row>
    <row r="23" ht="15.75" customHeight="1">
      <c r="A23" s="163"/>
      <c r="B23" s="164" t="s">
        <v>424</v>
      </c>
      <c r="C23" s="165">
        <v>5.0</v>
      </c>
      <c r="D23" s="166" t="s">
        <v>425</v>
      </c>
      <c r="E23" s="165">
        <v>5.0</v>
      </c>
      <c r="F23" s="167" t="s">
        <v>423</v>
      </c>
      <c r="G23" s="168">
        <f t="shared" si="1"/>
        <v>25</v>
      </c>
      <c r="H23" s="166" t="s">
        <v>43</v>
      </c>
      <c r="I23" s="171"/>
      <c r="J23" s="158"/>
    </row>
    <row r="24" ht="15.75" customHeight="1">
      <c r="A24" s="163">
        <v>45974.0</v>
      </c>
      <c r="B24" s="164" t="s">
        <v>426</v>
      </c>
      <c r="C24" s="165">
        <v>1.0</v>
      </c>
      <c r="D24" s="166" t="s">
        <v>427</v>
      </c>
      <c r="E24" s="165">
        <v>39.5</v>
      </c>
      <c r="F24" s="167" t="s">
        <v>403</v>
      </c>
      <c r="G24" s="168">
        <f t="shared" si="1"/>
        <v>39.5</v>
      </c>
      <c r="H24" s="166" t="s">
        <v>65</v>
      </c>
      <c r="I24" s="171"/>
      <c r="J24" s="158"/>
    </row>
    <row r="25" ht="15.75" customHeight="1">
      <c r="A25" s="163"/>
      <c r="B25" s="164" t="s">
        <v>428</v>
      </c>
      <c r="C25" s="165">
        <v>1.0</v>
      </c>
      <c r="D25" s="166" t="s">
        <v>429</v>
      </c>
      <c r="E25" s="165">
        <v>26.5</v>
      </c>
      <c r="F25" s="167" t="s">
        <v>403</v>
      </c>
      <c r="G25" s="168">
        <f t="shared" si="1"/>
        <v>26.5</v>
      </c>
      <c r="H25" s="166" t="s">
        <v>65</v>
      </c>
      <c r="I25" s="171"/>
      <c r="J25" s="158"/>
    </row>
    <row r="26" ht="15.75" customHeight="1">
      <c r="A26" s="163">
        <v>45976.0</v>
      </c>
      <c r="B26" s="164" t="s">
        <v>401</v>
      </c>
      <c r="C26" s="165">
        <v>1.0</v>
      </c>
      <c r="D26" s="166" t="s">
        <v>409</v>
      </c>
      <c r="E26" s="165">
        <v>140.0</v>
      </c>
      <c r="F26" s="167" t="s">
        <v>403</v>
      </c>
      <c r="G26" s="168">
        <f t="shared" si="1"/>
        <v>140</v>
      </c>
      <c r="H26" s="166" t="s">
        <v>101</v>
      </c>
      <c r="I26" s="171"/>
      <c r="J26" s="158"/>
    </row>
    <row r="27" ht="15.75" customHeight="1">
      <c r="A27" s="163"/>
      <c r="B27" s="164" t="s">
        <v>430</v>
      </c>
      <c r="C27" s="170">
        <v>1.0</v>
      </c>
      <c r="D27" s="166" t="s">
        <v>427</v>
      </c>
      <c r="E27" s="165">
        <v>39.5</v>
      </c>
      <c r="F27" s="167" t="s">
        <v>403</v>
      </c>
      <c r="G27" s="168">
        <f t="shared" si="1"/>
        <v>39.5</v>
      </c>
      <c r="H27" s="166" t="s">
        <v>43</v>
      </c>
      <c r="I27" s="171"/>
      <c r="J27" s="158"/>
    </row>
    <row r="28" ht="15.75" customHeight="1">
      <c r="A28" s="163">
        <v>45977.0</v>
      </c>
      <c r="B28" s="164" t="s">
        <v>431</v>
      </c>
      <c r="C28" s="170">
        <v>1.0</v>
      </c>
      <c r="D28" s="166" t="s">
        <v>391</v>
      </c>
      <c r="E28" s="165">
        <v>50.0</v>
      </c>
      <c r="F28" s="167" t="s">
        <v>392</v>
      </c>
      <c r="G28" s="168">
        <f t="shared" si="1"/>
        <v>50</v>
      </c>
      <c r="H28" s="166" t="s">
        <v>65</v>
      </c>
      <c r="I28" s="171"/>
      <c r="J28" s="172"/>
    </row>
    <row r="29" ht="15.75" customHeight="1">
      <c r="A29" s="163"/>
      <c r="B29" s="164" t="s">
        <v>432</v>
      </c>
      <c r="C29" s="170">
        <v>1.0</v>
      </c>
      <c r="D29" s="166" t="s">
        <v>433</v>
      </c>
      <c r="E29" s="165">
        <v>30.0</v>
      </c>
      <c r="F29" s="167" t="s">
        <v>406</v>
      </c>
      <c r="G29" s="168">
        <f t="shared" si="1"/>
        <v>30</v>
      </c>
      <c r="H29" s="166" t="s">
        <v>65</v>
      </c>
      <c r="I29" s="171"/>
      <c r="J29" s="158"/>
    </row>
    <row r="30" ht="15.75" customHeight="1">
      <c r="A30" s="165" t="s">
        <v>204</v>
      </c>
      <c r="B30" s="164"/>
      <c r="C30" s="170"/>
      <c r="D30" s="166"/>
      <c r="E30" s="165"/>
      <c r="F30" s="167"/>
      <c r="G30" s="168">
        <f t="shared" si="1"/>
        <v>0</v>
      </c>
      <c r="H30" s="166"/>
      <c r="I30" s="171"/>
      <c r="J30" s="158">
        <f>sum(G10:G29)</f>
        <v>1731.5</v>
      </c>
    </row>
    <row r="31" ht="15.75" customHeight="1">
      <c r="A31" s="163">
        <v>45979.0</v>
      </c>
      <c r="B31" s="164" t="s">
        <v>410</v>
      </c>
      <c r="C31" s="170">
        <v>1.0</v>
      </c>
      <c r="D31" s="166" t="s">
        <v>405</v>
      </c>
      <c r="E31" s="165">
        <v>100.0</v>
      </c>
      <c r="F31" s="167" t="s">
        <v>403</v>
      </c>
      <c r="G31" s="168">
        <f t="shared" si="1"/>
        <v>100</v>
      </c>
      <c r="H31" s="166" t="s">
        <v>65</v>
      </c>
      <c r="I31" s="171"/>
      <c r="J31" s="158"/>
    </row>
    <row r="32" ht="15.75" customHeight="1">
      <c r="A32" s="163"/>
      <c r="B32" s="164" t="s">
        <v>411</v>
      </c>
      <c r="C32" s="170">
        <v>1.0</v>
      </c>
      <c r="D32" s="166" t="s">
        <v>391</v>
      </c>
      <c r="E32" s="165">
        <v>1092.0</v>
      </c>
      <c r="F32" s="167" t="s">
        <v>412</v>
      </c>
      <c r="G32" s="168">
        <f t="shared" si="1"/>
        <v>1092</v>
      </c>
      <c r="H32" s="166" t="s">
        <v>43</v>
      </c>
      <c r="I32" s="171"/>
      <c r="J32" s="158"/>
    </row>
    <row r="33" ht="15.75" customHeight="1">
      <c r="A33" s="163"/>
      <c r="B33" s="164" t="s">
        <v>434</v>
      </c>
      <c r="C33" s="170">
        <v>1.0</v>
      </c>
      <c r="D33" s="166" t="s">
        <v>391</v>
      </c>
      <c r="E33" s="165">
        <v>30.0</v>
      </c>
      <c r="F33" s="167" t="s">
        <v>392</v>
      </c>
      <c r="G33" s="168">
        <f t="shared" si="1"/>
        <v>30</v>
      </c>
      <c r="H33" s="166" t="s">
        <v>43</v>
      </c>
      <c r="I33" s="171"/>
      <c r="J33" s="158"/>
    </row>
    <row r="34">
      <c r="A34" s="163"/>
      <c r="B34" s="164" t="s">
        <v>435</v>
      </c>
      <c r="C34" s="170">
        <v>5.0</v>
      </c>
      <c r="D34" s="170" t="s">
        <v>414</v>
      </c>
      <c r="E34" s="170">
        <f>455/5</f>
        <v>91</v>
      </c>
      <c r="F34" s="167" t="s">
        <v>415</v>
      </c>
      <c r="G34" s="168">
        <f t="shared" si="1"/>
        <v>455</v>
      </c>
      <c r="H34" s="166" t="s">
        <v>43</v>
      </c>
      <c r="J34" s="169"/>
    </row>
    <row r="35">
      <c r="A35" s="163"/>
      <c r="B35" s="164" t="s">
        <v>436</v>
      </c>
      <c r="C35" s="170">
        <v>1.0</v>
      </c>
      <c r="D35" s="170" t="s">
        <v>437</v>
      </c>
      <c r="E35" s="170">
        <v>390.0</v>
      </c>
      <c r="F35" s="167" t="s">
        <v>438</v>
      </c>
      <c r="G35" s="168">
        <f t="shared" si="1"/>
        <v>390</v>
      </c>
      <c r="H35" s="166" t="s">
        <v>43</v>
      </c>
      <c r="J35" s="169"/>
    </row>
    <row r="36">
      <c r="A36" s="163"/>
      <c r="B36" s="164" t="s">
        <v>439</v>
      </c>
      <c r="C36" s="170">
        <v>1.0</v>
      </c>
      <c r="D36" s="170" t="s">
        <v>409</v>
      </c>
      <c r="E36" s="170">
        <v>32.0</v>
      </c>
      <c r="F36" s="167" t="s">
        <v>440</v>
      </c>
      <c r="G36" s="168">
        <f t="shared" si="1"/>
        <v>32</v>
      </c>
      <c r="H36" s="166" t="s">
        <v>43</v>
      </c>
      <c r="J36" s="169"/>
    </row>
    <row r="37">
      <c r="A37" s="163"/>
      <c r="B37" s="164" t="s">
        <v>414</v>
      </c>
      <c r="C37" s="170">
        <v>1.0</v>
      </c>
      <c r="D37" s="170" t="s">
        <v>405</v>
      </c>
      <c r="E37" s="170">
        <v>40.0</v>
      </c>
      <c r="F37" s="167" t="s">
        <v>423</v>
      </c>
      <c r="G37" s="168">
        <f t="shared" si="1"/>
        <v>40</v>
      </c>
      <c r="H37" s="166" t="s">
        <v>65</v>
      </c>
      <c r="J37" s="169"/>
    </row>
    <row r="38">
      <c r="A38" s="176"/>
      <c r="B38" s="164" t="s">
        <v>441</v>
      </c>
      <c r="C38" s="170">
        <v>1.0</v>
      </c>
      <c r="D38" s="170" t="s">
        <v>409</v>
      </c>
      <c r="E38" s="170">
        <v>90.0</v>
      </c>
      <c r="F38" s="167" t="s">
        <v>403</v>
      </c>
      <c r="G38" s="168">
        <f t="shared" si="1"/>
        <v>90</v>
      </c>
      <c r="H38" s="166" t="s">
        <v>43</v>
      </c>
      <c r="J38" s="177"/>
    </row>
    <row r="39">
      <c r="A39" s="163"/>
      <c r="B39" s="164" t="s">
        <v>442</v>
      </c>
      <c r="C39" s="170">
        <v>2.0</v>
      </c>
      <c r="D39" s="170" t="s">
        <v>414</v>
      </c>
      <c r="E39" s="170">
        <v>75.0</v>
      </c>
      <c r="F39" s="167" t="s">
        <v>415</v>
      </c>
      <c r="G39" s="168">
        <f t="shared" si="1"/>
        <v>150</v>
      </c>
      <c r="H39" s="166" t="s">
        <v>43</v>
      </c>
      <c r="J39" s="169"/>
    </row>
    <row r="40">
      <c r="A40" s="163"/>
      <c r="B40" s="164" t="s">
        <v>443</v>
      </c>
      <c r="C40" s="170">
        <v>2.0</v>
      </c>
      <c r="D40" s="170" t="s">
        <v>414</v>
      </c>
      <c r="E40" s="170">
        <v>55.0</v>
      </c>
      <c r="F40" s="167" t="s">
        <v>415</v>
      </c>
      <c r="G40" s="168">
        <f t="shared" si="1"/>
        <v>110</v>
      </c>
      <c r="H40" s="166" t="s">
        <v>43</v>
      </c>
      <c r="J40" s="169"/>
    </row>
    <row r="41">
      <c r="A41" s="163"/>
      <c r="B41" s="164" t="s">
        <v>416</v>
      </c>
      <c r="C41" s="170">
        <v>2.0</v>
      </c>
      <c r="D41" s="170" t="s">
        <v>414</v>
      </c>
      <c r="E41" s="170">
        <v>80.0</v>
      </c>
      <c r="F41" s="167" t="s">
        <v>415</v>
      </c>
      <c r="G41" s="168">
        <f t="shared" si="1"/>
        <v>160</v>
      </c>
      <c r="H41" s="166" t="s">
        <v>43</v>
      </c>
      <c r="J41" s="169"/>
    </row>
    <row r="42">
      <c r="A42" s="163"/>
      <c r="B42" s="164" t="s">
        <v>444</v>
      </c>
      <c r="C42" s="170">
        <v>4.0</v>
      </c>
      <c r="D42" s="170" t="s">
        <v>414</v>
      </c>
      <c r="E42" s="170">
        <v>60.0</v>
      </c>
      <c r="F42" s="167" t="s">
        <v>423</v>
      </c>
      <c r="G42" s="168">
        <f t="shared" si="1"/>
        <v>240</v>
      </c>
      <c r="H42" s="166" t="s">
        <v>43</v>
      </c>
      <c r="J42" s="169"/>
    </row>
    <row r="43" ht="15.75" customHeight="1">
      <c r="A43" s="163"/>
      <c r="B43" s="164" t="s">
        <v>445</v>
      </c>
      <c r="C43" s="165">
        <v>1.0</v>
      </c>
      <c r="D43" s="166" t="s">
        <v>446</v>
      </c>
      <c r="E43" s="165">
        <v>200.0</v>
      </c>
      <c r="F43" s="167" t="s">
        <v>415</v>
      </c>
      <c r="G43" s="168">
        <f t="shared" si="1"/>
        <v>200</v>
      </c>
      <c r="H43" s="166" t="s">
        <v>43</v>
      </c>
      <c r="I43" s="171"/>
      <c r="J43" s="158"/>
    </row>
    <row r="44" ht="15.75" customHeight="1">
      <c r="A44" s="163"/>
      <c r="B44" s="164" t="s">
        <v>447</v>
      </c>
      <c r="C44" s="165">
        <v>1.0</v>
      </c>
      <c r="D44" s="166" t="s">
        <v>433</v>
      </c>
      <c r="E44" s="165">
        <v>50.0</v>
      </c>
      <c r="F44" s="167" t="s">
        <v>395</v>
      </c>
      <c r="G44" s="168">
        <f t="shared" si="1"/>
        <v>50</v>
      </c>
      <c r="H44" s="166" t="s">
        <v>65</v>
      </c>
      <c r="I44" s="171"/>
      <c r="J44" s="158"/>
    </row>
    <row r="45" ht="15.75" customHeight="1">
      <c r="A45" s="165" t="s">
        <v>288</v>
      </c>
      <c r="B45" s="164"/>
      <c r="C45" s="165"/>
      <c r="D45" s="166"/>
      <c r="E45" s="165"/>
      <c r="F45" s="167"/>
      <c r="G45" s="168">
        <f t="shared" si="1"/>
        <v>0</v>
      </c>
      <c r="H45" s="166"/>
      <c r="I45" s="171"/>
      <c r="J45" s="158">
        <f>sum(G31:G44)</f>
        <v>3139</v>
      </c>
    </row>
    <row r="46" ht="15.75" customHeight="1">
      <c r="A46" s="163">
        <v>45984.0</v>
      </c>
      <c r="B46" s="164" t="s">
        <v>448</v>
      </c>
      <c r="C46" s="165">
        <v>1.0</v>
      </c>
      <c r="D46" s="166" t="s">
        <v>391</v>
      </c>
      <c r="E46" s="165">
        <v>115.0</v>
      </c>
      <c r="F46" s="167" t="s">
        <v>412</v>
      </c>
      <c r="G46" s="168">
        <f t="shared" si="1"/>
        <v>115</v>
      </c>
      <c r="H46" s="166" t="s">
        <v>101</v>
      </c>
      <c r="I46" s="165"/>
      <c r="J46" s="172"/>
    </row>
    <row r="47" ht="15.75" customHeight="1">
      <c r="A47" s="163"/>
      <c r="B47" s="164" t="s">
        <v>449</v>
      </c>
      <c r="C47" s="165">
        <v>1.0</v>
      </c>
      <c r="D47" s="166" t="s">
        <v>391</v>
      </c>
      <c r="E47" s="165">
        <v>50.0</v>
      </c>
      <c r="F47" s="167" t="s">
        <v>392</v>
      </c>
      <c r="G47" s="168">
        <f t="shared" si="1"/>
        <v>50</v>
      </c>
      <c r="H47" s="166" t="s">
        <v>101</v>
      </c>
      <c r="I47" s="165"/>
      <c r="J47" s="158"/>
    </row>
    <row r="48" ht="15.75" customHeight="1">
      <c r="A48" s="163"/>
      <c r="B48" s="164" t="s">
        <v>450</v>
      </c>
      <c r="C48" s="165">
        <v>1.0</v>
      </c>
      <c r="D48" s="166" t="s">
        <v>409</v>
      </c>
      <c r="E48" s="165">
        <v>80.0</v>
      </c>
      <c r="F48" s="167" t="s">
        <v>403</v>
      </c>
      <c r="G48" s="168">
        <f t="shared" si="1"/>
        <v>80</v>
      </c>
      <c r="H48" s="166" t="s">
        <v>101</v>
      </c>
      <c r="I48" s="165"/>
      <c r="J48" s="172"/>
    </row>
    <row r="49" ht="15.75" customHeight="1">
      <c r="A49" s="163"/>
      <c r="B49" s="164" t="s">
        <v>451</v>
      </c>
      <c r="C49" s="165">
        <v>5.0</v>
      </c>
      <c r="D49" s="166" t="s">
        <v>452</v>
      </c>
      <c r="E49" s="165">
        <v>5.0</v>
      </c>
      <c r="F49" s="167" t="s">
        <v>440</v>
      </c>
      <c r="G49" s="168">
        <f t="shared" si="1"/>
        <v>25</v>
      </c>
      <c r="H49" s="166" t="s">
        <v>43</v>
      </c>
      <c r="I49" s="165"/>
      <c r="J49" s="158"/>
    </row>
    <row r="50" ht="15.75" customHeight="1">
      <c r="A50" s="163"/>
      <c r="B50" s="164" t="s">
        <v>453</v>
      </c>
      <c r="C50" s="165">
        <v>1.0</v>
      </c>
      <c r="D50" s="166" t="s">
        <v>433</v>
      </c>
      <c r="E50" s="165">
        <v>40.0</v>
      </c>
      <c r="F50" s="167" t="s">
        <v>406</v>
      </c>
      <c r="G50" s="168">
        <f t="shared" si="1"/>
        <v>40</v>
      </c>
      <c r="H50" s="166" t="s">
        <v>43</v>
      </c>
      <c r="I50" s="171"/>
      <c r="J50" s="172"/>
    </row>
    <row r="51" ht="15.75" customHeight="1">
      <c r="A51" s="163"/>
      <c r="B51" s="164" t="s">
        <v>454</v>
      </c>
      <c r="C51" s="165">
        <v>1.0</v>
      </c>
      <c r="D51" s="166" t="s">
        <v>425</v>
      </c>
      <c r="E51" s="165">
        <v>400.0</v>
      </c>
      <c r="F51" s="167" t="s">
        <v>415</v>
      </c>
      <c r="G51" s="168">
        <f t="shared" si="1"/>
        <v>400</v>
      </c>
      <c r="H51" s="166" t="s">
        <v>43</v>
      </c>
      <c r="I51" s="171"/>
      <c r="J51" s="158"/>
    </row>
    <row r="52" ht="15.75" customHeight="1">
      <c r="A52" s="176"/>
      <c r="B52" s="164" t="s">
        <v>455</v>
      </c>
      <c r="C52" s="165">
        <v>10.0</v>
      </c>
      <c r="D52" s="166" t="s">
        <v>429</v>
      </c>
      <c r="E52" s="165">
        <v>6.0</v>
      </c>
      <c r="F52" s="167" t="s">
        <v>395</v>
      </c>
      <c r="G52" s="168">
        <f t="shared" si="1"/>
        <v>60</v>
      </c>
      <c r="H52" s="166" t="s">
        <v>43</v>
      </c>
      <c r="I52" s="171"/>
      <c r="J52" s="172"/>
    </row>
    <row r="53" ht="15.75" customHeight="1">
      <c r="A53" s="163"/>
      <c r="B53" s="164" t="s">
        <v>456</v>
      </c>
      <c r="C53" s="165">
        <v>1.0</v>
      </c>
      <c r="D53" s="166" t="s">
        <v>402</v>
      </c>
      <c r="E53" s="165">
        <v>65.0</v>
      </c>
      <c r="F53" s="167" t="s">
        <v>395</v>
      </c>
      <c r="G53" s="168">
        <f t="shared" si="1"/>
        <v>65</v>
      </c>
      <c r="H53" s="166" t="s">
        <v>43</v>
      </c>
      <c r="I53" s="171"/>
      <c r="J53" s="169"/>
    </row>
    <row r="54" ht="15.75" customHeight="1">
      <c r="A54" s="163"/>
      <c r="B54" s="164" t="s">
        <v>457</v>
      </c>
      <c r="C54" s="165">
        <v>2.0</v>
      </c>
      <c r="D54" s="166" t="s">
        <v>458</v>
      </c>
      <c r="E54" s="165">
        <v>15.0</v>
      </c>
      <c r="F54" s="167" t="s">
        <v>395</v>
      </c>
      <c r="G54" s="168">
        <f t="shared" si="1"/>
        <v>30</v>
      </c>
      <c r="H54" s="166" t="s">
        <v>43</v>
      </c>
      <c r="I54" s="171"/>
      <c r="J54" s="158"/>
    </row>
    <row r="55" ht="15.75" customHeight="1">
      <c r="A55" s="163"/>
      <c r="B55" s="164" t="s">
        <v>459</v>
      </c>
      <c r="C55" s="165">
        <v>2.0</v>
      </c>
      <c r="D55" s="166" t="s">
        <v>458</v>
      </c>
      <c r="E55" s="165">
        <v>20.0</v>
      </c>
      <c r="F55" s="167" t="s">
        <v>395</v>
      </c>
      <c r="G55" s="168">
        <f t="shared" si="1"/>
        <v>40</v>
      </c>
      <c r="H55" s="166" t="s">
        <v>43</v>
      </c>
      <c r="I55" s="171"/>
      <c r="J55" s="158"/>
    </row>
    <row r="56">
      <c r="A56" s="163"/>
      <c r="B56" s="164" t="s">
        <v>459</v>
      </c>
      <c r="C56" s="170">
        <v>3.0</v>
      </c>
      <c r="D56" s="170" t="s">
        <v>458</v>
      </c>
      <c r="E56" s="170">
        <v>25.0</v>
      </c>
      <c r="F56" s="167" t="s">
        <v>395</v>
      </c>
      <c r="G56" s="168">
        <f t="shared" si="1"/>
        <v>75</v>
      </c>
      <c r="H56" s="166" t="s">
        <v>43</v>
      </c>
      <c r="I56" s="175"/>
      <c r="J56" s="175"/>
    </row>
    <row r="57">
      <c r="A57" s="163"/>
      <c r="B57" s="164" t="s">
        <v>410</v>
      </c>
      <c r="C57" s="170">
        <v>10.0</v>
      </c>
      <c r="D57" s="170" t="s">
        <v>402</v>
      </c>
      <c r="E57" s="170">
        <v>13.5</v>
      </c>
      <c r="F57" s="167" t="s">
        <v>403</v>
      </c>
      <c r="G57" s="168">
        <f t="shared" si="1"/>
        <v>135</v>
      </c>
      <c r="H57" s="166" t="s">
        <v>43</v>
      </c>
      <c r="I57" s="175"/>
      <c r="J57" s="175"/>
    </row>
    <row r="58">
      <c r="A58" s="163"/>
      <c r="B58" s="164" t="s">
        <v>460</v>
      </c>
      <c r="C58" s="170">
        <v>1.0</v>
      </c>
      <c r="D58" s="170" t="s">
        <v>409</v>
      </c>
      <c r="E58" s="178">
        <v>43.0</v>
      </c>
      <c r="F58" s="167" t="s">
        <v>403</v>
      </c>
      <c r="G58" s="168">
        <f t="shared" si="1"/>
        <v>43</v>
      </c>
      <c r="H58" s="166" t="s">
        <v>43</v>
      </c>
      <c r="I58" s="175"/>
      <c r="J58" s="175"/>
    </row>
    <row r="59">
      <c r="A59" s="163"/>
      <c r="B59" s="164" t="s">
        <v>461</v>
      </c>
      <c r="C59" s="170">
        <v>1.0</v>
      </c>
      <c r="D59" s="170" t="s">
        <v>427</v>
      </c>
      <c r="E59" s="170">
        <v>31.0</v>
      </c>
      <c r="F59" s="167" t="s">
        <v>403</v>
      </c>
      <c r="G59" s="168">
        <f t="shared" si="1"/>
        <v>31</v>
      </c>
      <c r="H59" s="166" t="s">
        <v>65</v>
      </c>
      <c r="I59" s="170"/>
      <c r="J59" s="175"/>
    </row>
    <row r="60">
      <c r="A60" s="163"/>
      <c r="B60" s="164" t="s">
        <v>462</v>
      </c>
      <c r="C60" s="170">
        <v>1.0</v>
      </c>
      <c r="D60" s="170" t="s">
        <v>425</v>
      </c>
      <c r="E60" s="170">
        <v>310.0</v>
      </c>
      <c r="F60" s="167" t="s">
        <v>415</v>
      </c>
      <c r="G60" s="168">
        <f t="shared" si="1"/>
        <v>310</v>
      </c>
      <c r="H60" s="166" t="s">
        <v>43</v>
      </c>
      <c r="I60" s="175"/>
      <c r="J60" s="175"/>
    </row>
    <row r="61">
      <c r="A61" s="163"/>
      <c r="B61" s="164" t="s">
        <v>463</v>
      </c>
      <c r="C61" s="170">
        <v>2.0</v>
      </c>
      <c r="D61" s="170" t="s">
        <v>425</v>
      </c>
      <c r="E61" s="170">
        <v>17.0</v>
      </c>
      <c r="F61" s="167" t="s">
        <v>415</v>
      </c>
      <c r="G61" s="168">
        <f t="shared" si="1"/>
        <v>34</v>
      </c>
      <c r="H61" s="166" t="s">
        <v>43</v>
      </c>
      <c r="I61" s="175"/>
      <c r="J61" s="175"/>
    </row>
    <row r="62">
      <c r="A62" s="163"/>
      <c r="B62" s="164" t="s">
        <v>464</v>
      </c>
      <c r="C62" s="170">
        <v>2.0</v>
      </c>
      <c r="D62" s="170" t="s">
        <v>425</v>
      </c>
      <c r="E62" s="170">
        <v>110.0</v>
      </c>
      <c r="F62" s="167" t="s">
        <v>415</v>
      </c>
      <c r="G62" s="168">
        <f t="shared" si="1"/>
        <v>220</v>
      </c>
      <c r="H62" s="166" t="s">
        <v>43</v>
      </c>
      <c r="I62" s="170"/>
      <c r="J62" s="177"/>
    </row>
    <row r="63">
      <c r="A63" s="163"/>
      <c r="B63" s="164" t="s">
        <v>465</v>
      </c>
      <c r="C63" s="170">
        <v>2.0</v>
      </c>
      <c r="D63" s="170" t="s">
        <v>425</v>
      </c>
      <c r="E63" s="170">
        <v>17.0</v>
      </c>
      <c r="F63" s="167" t="s">
        <v>415</v>
      </c>
      <c r="G63" s="168">
        <f t="shared" si="1"/>
        <v>34</v>
      </c>
      <c r="H63" s="166" t="s">
        <v>43</v>
      </c>
      <c r="I63" s="170"/>
      <c r="J63" s="175"/>
    </row>
    <row r="64" ht="15.75" customHeight="1">
      <c r="A64" s="163"/>
      <c r="B64" s="164" t="s">
        <v>466</v>
      </c>
      <c r="C64" s="165">
        <v>2.0</v>
      </c>
      <c r="D64" s="166" t="s">
        <v>425</v>
      </c>
      <c r="E64" s="165">
        <v>10.0</v>
      </c>
      <c r="F64" s="167" t="s">
        <v>415</v>
      </c>
      <c r="G64" s="168">
        <f t="shared" si="1"/>
        <v>20</v>
      </c>
      <c r="H64" s="166" t="s">
        <v>43</v>
      </c>
      <c r="I64" s="165"/>
      <c r="J64" s="158"/>
    </row>
    <row r="65">
      <c r="A65" s="163"/>
      <c r="B65" s="164" t="s">
        <v>467</v>
      </c>
      <c r="C65" s="170">
        <v>1.0</v>
      </c>
      <c r="D65" s="170" t="s">
        <v>409</v>
      </c>
      <c r="E65" s="170">
        <v>43.0</v>
      </c>
      <c r="F65" s="167" t="s">
        <v>403</v>
      </c>
      <c r="G65" s="168">
        <f t="shared" si="1"/>
        <v>43</v>
      </c>
      <c r="H65" s="166" t="s">
        <v>43</v>
      </c>
      <c r="I65" s="175"/>
      <c r="J65" s="175"/>
    </row>
    <row r="66">
      <c r="A66" s="163"/>
      <c r="B66" s="164" t="s">
        <v>468</v>
      </c>
      <c r="C66" s="170">
        <v>1.0</v>
      </c>
      <c r="D66" s="170" t="s">
        <v>458</v>
      </c>
      <c r="E66" s="170">
        <v>7.0</v>
      </c>
      <c r="F66" s="167" t="s">
        <v>395</v>
      </c>
      <c r="G66" s="168">
        <f t="shared" si="1"/>
        <v>7</v>
      </c>
      <c r="H66" s="166"/>
      <c r="I66" s="170" t="s">
        <v>469</v>
      </c>
      <c r="J66" s="177"/>
    </row>
    <row r="67">
      <c r="A67" s="163"/>
      <c r="B67" s="164" t="s">
        <v>393</v>
      </c>
      <c r="C67" s="170">
        <v>3.0</v>
      </c>
      <c r="D67" s="170" t="s">
        <v>394</v>
      </c>
      <c r="E67" s="170">
        <v>38.0</v>
      </c>
      <c r="F67" s="167" t="s">
        <v>395</v>
      </c>
      <c r="G67" s="168">
        <f t="shared" si="1"/>
        <v>114</v>
      </c>
      <c r="H67" s="166"/>
      <c r="I67" s="170" t="s">
        <v>470</v>
      </c>
      <c r="J67" s="175"/>
    </row>
    <row r="68" ht="15.75" customHeight="1">
      <c r="A68" s="163"/>
      <c r="B68" s="164" t="s">
        <v>471</v>
      </c>
      <c r="C68" s="165">
        <v>10.0</v>
      </c>
      <c r="D68" s="166" t="s">
        <v>414</v>
      </c>
      <c r="E68" s="165">
        <v>48.2</v>
      </c>
      <c r="F68" s="167" t="s">
        <v>423</v>
      </c>
      <c r="G68" s="168">
        <f t="shared" si="1"/>
        <v>482</v>
      </c>
      <c r="H68" s="166" t="s">
        <v>43</v>
      </c>
      <c r="I68" s="171"/>
      <c r="J68" s="158"/>
    </row>
    <row r="69" ht="15.75" customHeight="1">
      <c r="A69" s="163"/>
      <c r="B69" s="164" t="s">
        <v>472</v>
      </c>
      <c r="C69" s="165">
        <v>1.0</v>
      </c>
      <c r="D69" s="166" t="s">
        <v>391</v>
      </c>
      <c r="E69" s="165">
        <v>50.0</v>
      </c>
      <c r="F69" s="167" t="s">
        <v>392</v>
      </c>
      <c r="G69" s="168">
        <f t="shared" si="1"/>
        <v>50</v>
      </c>
      <c r="H69" s="166" t="s">
        <v>43</v>
      </c>
      <c r="I69" s="165"/>
      <c r="J69" s="158"/>
    </row>
    <row r="70" ht="15.75" customHeight="1">
      <c r="A70" s="163"/>
      <c r="B70" s="164" t="s">
        <v>473</v>
      </c>
      <c r="C70" s="165">
        <v>1.0</v>
      </c>
      <c r="D70" s="166" t="s">
        <v>427</v>
      </c>
      <c r="E70" s="165">
        <v>40.0</v>
      </c>
      <c r="F70" s="167" t="s">
        <v>403</v>
      </c>
      <c r="G70" s="168">
        <f t="shared" si="1"/>
        <v>40</v>
      </c>
      <c r="H70" s="166" t="s">
        <v>65</v>
      </c>
      <c r="I70" s="171"/>
      <c r="J70" s="158"/>
    </row>
    <row r="71" ht="15.75" customHeight="1">
      <c r="A71" s="163"/>
      <c r="B71" s="164" t="s">
        <v>461</v>
      </c>
      <c r="C71" s="165">
        <v>1.0</v>
      </c>
      <c r="D71" s="166" t="s">
        <v>427</v>
      </c>
      <c r="E71" s="179">
        <v>31.0</v>
      </c>
      <c r="F71" s="167" t="s">
        <v>403</v>
      </c>
      <c r="G71" s="168">
        <f t="shared" si="1"/>
        <v>31</v>
      </c>
      <c r="H71" s="166" t="s">
        <v>43</v>
      </c>
      <c r="I71" s="165"/>
      <c r="J71" s="158"/>
    </row>
    <row r="72" ht="15.75" customHeight="1">
      <c r="A72" s="163"/>
      <c r="B72" s="164" t="s">
        <v>447</v>
      </c>
      <c r="C72" s="165">
        <v>1.0</v>
      </c>
      <c r="D72" s="166" t="s">
        <v>433</v>
      </c>
      <c r="E72" s="165">
        <v>10.0</v>
      </c>
      <c r="F72" s="167" t="s">
        <v>406</v>
      </c>
      <c r="G72" s="168">
        <f t="shared" si="1"/>
        <v>10</v>
      </c>
      <c r="H72" s="166" t="s">
        <v>43</v>
      </c>
      <c r="I72" s="165"/>
      <c r="J72" s="172"/>
    </row>
    <row r="73" ht="15.75" customHeight="1">
      <c r="A73" s="163"/>
      <c r="B73" s="164" t="s">
        <v>474</v>
      </c>
      <c r="C73" s="165">
        <v>2.0</v>
      </c>
      <c r="D73" s="166" t="s">
        <v>414</v>
      </c>
      <c r="E73" s="165">
        <v>350.0</v>
      </c>
      <c r="F73" s="167" t="s">
        <v>415</v>
      </c>
      <c r="G73" s="168">
        <f t="shared" si="1"/>
        <v>700</v>
      </c>
      <c r="H73" s="166" t="s">
        <v>23</v>
      </c>
      <c r="I73" s="171"/>
      <c r="J73" s="158"/>
    </row>
    <row r="74" ht="15.75" customHeight="1">
      <c r="A74" s="163"/>
      <c r="B74" s="164" t="s">
        <v>454</v>
      </c>
      <c r="C74" s="165">
        <v>1.0</v>
      </c>
      <c r="D74" s="166" t="s">
        <v>425</v>
      </c>
      <c r="E74" s="165">
        <v>250.0</v>
      </c>
      <c r="F74" s="167" t="s">
        <v>415</v>
      </c>
      <c r="G74" s="168">
        <f t="shared" si="1"/>
        <v>250</v>
      </c>
      <c r="H74" s="166" t="s">
        <v>43</v>
      </c>
      <c r="I74" s="171"/>
      <c r="J74" s="158"/>
    </row>
    <row r="75" ht="15.75" customHeight="1">
      <c r="A75" s="165" t="s">
        <v>378</v>
      </c>
      <c r="B75" s="164"/>
      <c r="C75" s="165"/>
      <c r="D75" s="166"/>
      <c r="E75" s="165"/>
      <c r="F75" s="167"/>
      <c r="G75" s="168">
        <f t="shared" si="1"/>
        <v>0</v>
      </c>
      <c r="H75" s="166"/>
      <c r="I75" s="171"/>
      <c r="J75" s="158">
        <f>sum(G46:G75)</f>
        <v>3534</v>
      </c>
    </row>
    <row r="76" ht="15.75" customHeight="1">
      <c r="A76" s="163"/>
      <c r="B76" s="164"/>
      <c r="C76" s="165"/>
      <c r="D76" s="166"/>
      <c r="E76" s="165"/>
      <c r="F76" s="167"/>
      <c r="G76" s="168">
        <f t="shared" si="1"/>
        <v>0</v>
      </c>
      <c r="H76" s="166"/>
      <c r="I76" s="171"/>
      <c r="J76" s="158"/>
    </row>
    <row r="77" ht="15.75" customHeight="1">
      <c r="A77" s="163"/>
      <c r="B77" s="164"/>
      <c r="C77" s="165"/>
      <c r="D77" s="166"/>
      <c r="E77" s="165"/>
      <c r="F77" s="167"/>
      <c r="G77" s="168">
        <f t="shared" si="1"/>
        <v>0</v>
      </c>
      <c r="H77" s="166"/>
      <c r="I77" s="171"/>
      <c r="J77" s="158"/>
    </row>
    <row r="78" ht="15.75" customHeight="1">
      <c r="A78" s="176"/>
      <c r="B78" s="164"/>
      <c r="C78" s="165"/>
      <c r="D78" s="166"/>
      <c r="E78" s="165"/>
      <c r="F78" s="167"/>
      <c r="G78" s="168">
        <f t="shared" si="1"/>
        <v>0</v>
      </c>
      <c r="H78" s="166"/>
      <c r="I78" s="171"/>
      <c r="J78" s="172"/>
    </row>
    <row r="79" ht="15.75" customHeight="1">
      <c r="A79" s="176"/>
      <c r="B79" s="164"/>
      <c r="C79" s="165"/>
      <c r="D79" s="166"/>
      <c r="E79" s="165"/>
      <c r="F79" s="167"/>
      <c r="G79" s="168">
        <f t="shared" si="1"/>
        <v>0</v>
      </c>
      <c r="H79" s="166"/>
      <c r="I79" s="171"/>
      <c r="J79" s="172"/>
    </row>
    <row r="80" ht="15.75" customHeight="1">
      <c r="A80" s="163"/>
      <c r="B80" s="164"/>
      <c r="C80" s="165"/>
      <c r="D80" s="166"/>
      <c r="E80" s="165"/>
      <c r="F80" s="167"/>
      <c r="G80" s="168">
        <f t="shared" si="1"/>
        <v>0</v>
      </c>
      <c r="H80" s="166"/>
      <c r="I80" s="165"/>
      <c r="J80" s="158"/>
    </row>
    <row r="81" ht="15.75" customHeight="1">
      <c r="A81" s="163"/>
      <c r="B81" s="164"/>
      <c r="C81" s="165"/>
      <c r="D81" s="166"/>
      <c r="E81" s="165"/>
      <c r="F81" s="167"/>
      <c r="G81" s="168">
        <f t="shared" si="1"/>
        <v>0</v>
      </c>
      <c r="H81" s="166"/>
      <c r="I81" s="171"/>
      <c r="J81" s="172"/>
    </row>
    <row r="82" ht="15.75" customHeight="1">
      <c r="A82" s="163"/>
      <c r="B82" s="164"/>
      <c r="C82" s="165"/>
      <c r="D82" s="166"/>
      <c r="E82" s="165"/>
      <c r="F82" s="167"/>
      <c r="G82" s="168">
        <f t="shared" si="1"/>
        <v>0</v>
      </c>
      <c r="H82" s="166"/>
      <c r="I82" s="171"/>
      <c r="J82" s="158"/>
    </row>
    <row r="83" ht="15.75" customHeight="1">
      <c r="A83" s="163"/>
      <c r="B83" s="164"/>
      <c r="C83" s="165"/>
      <c r="D83" s="166"/>
      <c r="E83" s="165"/>
      <c r="F83" s="167"/>
      <c r="G83" s="168">
        <f t="shared" si="1"/>
        <v>0</v>
      </c>
      <c r="H83" s="166"/>
      <c r="I83" s="171"/>
      <c r="J83" s="158"/>
    </row>
    <row r="84">
      <c r="A84" s="163"/>
      <c r="B84" s="164"/>
      <c r="C84" s="165"/>
      <c r="D84" s="166"/>
      <c r="E84" s="170"/>
      <c r="F84" s="167"/>
      <c r="G84" s="168">
        <f t="shared" si="1"/>
        <v>0</v>
      </c>
      <c r="H84" s="166"/>
      <c r="I84" s="171"/>
      <c r="J84" s="158"/>
    </row>
    <row r="85">
      <c r="A85" s="176"/>
      <c r="B85" s="164"/>
      <c r="C85" s="165"/>
      <c r="D85" s="166"/>
      <c r="E85" s="170"/>
      <c r="F85" s="167"/>
      <c r="G85" s="168">
        <f t="shared" si="1"/>
        <v>0</v>
      </c>
      <c r="H85" s="166"/>
      <c r="I85" s="171"/>
      <c r="J85" s="172"/>
    </row>
    <row r="86">
      <c r="A86" s="163"/>
      <c r="B86" s="164"/>
      <c r="C86" s="165"/>
      <c r="D86" s="166"/>
      <c r="E86" s="170"/>
      <c r="F86" s="167"/>
      <c r="G86" s="168">
        <f t="shared" si="1"/>
        <v>0</v>
      </c>
      <c r="H86" s="166"/>
      <c r="I86" s="171"/>
      <c r="J86" s="172"/>
    </row>
    <row r="87">
      <c r="A87" s="163"/>
      <c r="B87" s="164"/>
      <c r="C87" s="165"/>
      <c r="D87" s="166"/>
      <c r="E87" s="170"/>
      <c r="F87" s="167"/>
      <c r="G87" s="168">
        <f t="shared" si="1"/>
        <v>0</v>
      </c>
      <c r="H87" s="166"/>
      <c r="I87" s="165"/>
      <c r="J87" s="158"/>
    </row>
    <row r="88">
      <c r="A88" s="163"/>
      <c r="B88" s="164"/>
      <c r="C88" s="165"/>
      <c r="D88" s="166"/>
      <c r="E88" s="170"/>
      <c r="F88" s="167"/>
      <c r="G88" s="168">
        <f t="shared" si="1"/>
        <v>0</v>
      </c>
      <c r="H88" s="166"/>
      <c r="I88" s="165"/>
      <c r="J88" s="158"/>
    </row>
    <row r="89">
      <c r="A89" s="163"/>
      <c r="B89" s="164"/>
      <c r="C89" s="165"/>
      <c r="D89" s="166"/>
      <c r="E89" s="170"/>
      <c r="F89" s="167"/>
      <c r="G89" s="168">
        <f t="shared" si="1"/>
        <v>0</v>
      </c>
      <c r="H89" s="166"/>
      <c r="I89" s="171"/>
      <c r="J89" s="158"/>
    </row>
    <row r="90">
      <c r="A90" s="163"/>
      <c r="B90" s="164"/>
      <c r="C90" s="165"/>
      <c r="D90" s="166"/>
      <c r="E90" s="170"/>
      <c r="F90" s="167"/>
      <c r="G90" s="168">
        <f t="shared" si="1"/>
        <v>0</v>
      </c>
      <c r="H90" s="166"/>
      <c r="I90" s="171"/>
      <c r="J90" s="158"/>
    </row>
    <row r="91" ht="15.75" customHeight="1">
      <c r="A91" s="163"/>
      <c r="B91" s="164"/>
      <c r="C91" s="165"/>
      <c r="D91" s="166"/>
      <c r="E91" s="165"/>
      <c r="F91" s="167"/>
      <c r="G91" s="168">
        <f t="shared" si="1"/>
        <v>0</v>
      </c>
      <c r="H91" s="166"/>
      <c r="I91" s="171"/>
      <c r="J91" s="158"/>
    </row>
    <row r="92" ht="15.75" customHeight="1">
      <c r="A92" s="163"/>
      <c r="B92" s="164"/>
      <c r="C92" s="165"/>
      <c r="D92" s="166"/>
      <c r="E92" s="165"/>
      <c r="F92" s="167"/>
      <c r="G92" s="168">
        <f t="shared" si="1"/>
        <v>0</v>
      </c>
      <c r="H92" s="166"/>
      <c r="I92" s="165"/>
      <c r="J92" s="158"/>
    </row>
    <row r="93" ht="15.75" customHeight="1">
      <c r="A93" s="163"/>
      <c r="B93" s="164"/>
      <c r="C93" s="165"/>
      <c r="D93" s="166"/>
      <c r="E93" s="165"/>
      <c r="F93" s="167"/>
      <c r="G93" s="168">
        <f t="shared" si="1"/>
        <v>0</v>
      </c>
      <c r="H93" s="166"/>
      <c r="I93" s="165"/>
      <c r="J93" s="158"/>
    </row>
    <row r="94" ht="15.75" customHeight="1">
      <c r="A94" s="163"/>
      <c r="B94" s="164"/>
      <c r="C94" s="165"/>
      <c r="D94" s="166"/>
      <c r="E94" s="165"/>
      <c r="F94" s="167"/>
      <c r="G94" s="168">
        <f t="shared" si="1"/>
        <v>0</v>
      </c>
      <c r="H94" s="166"/>
      <c r="I94" s="165"/>
      <c r="J94" s="158"/>
    </row>
    <row r="95" ht="15.75" customHeight="1">
      <c r="A95" s="163"/>
      <c r="B95" s="164"/>
      <c r="C95" s="165"/>
      <c r="D95" s="166"/>
      <c r="E95" s="165"/>
      <c r="F95" s="167"/>
      <c r="G95" s="168">
        <f t="shared" si="1"/>
        <v>0</v>
      </c>
      <c r="H95" s="166"/>
      <c r="I95" s="165"/>
      <c r="J95" s="158"/>
    </row>
    <row r="96" ht="15.75" customHeight="1">
      <c r="A96" s="163"/>
      <c r="B96" s="164"/>
      <c r="C96" s="165"/>
      <c r="D96" s="166"/>
      <c r="E96" s="165"/>
      <c r="F96" s="167"/>
      <c r="G96" s="168">
        <f t="shared" si="1"/>
        <v>0</v>
      </c>
      <c r="H96" s="166"/>
      <c r="I96" s="171"/>
      <c r="J96" s="172"/>
    </row>
    <row r="97" ht="15.75" customHeight="1">
      <c r="A97" s="163"/>
      <c r="B97" s="164"/>
      <c r="C97" s="165"/>
      <c r="D97" s="166"/>
      <c r="E97" s="170"/>
      <c r="F97" s="167"/>
      <c r="G97" s="168">
        <f t="shared" si="1"/>
        <v>0</v>
      </c>
      <c r="H97" s="166"/>
      <c r="I97" s="171"/>
      <c r="J97" s="158"/>
    </row>
    <row r="98" ht="15.75" customHeight="1">
      <c r="A98" s="163"/>
      <c r="B98" s="164"/>
      <c r="C98" s="165"/>
      <c r="D98" s="166"/>
      <c r="E98" s="165"/>
      <c r="F98" s="167"/>
      <c r="G98" s="168">
        <f t="shared" si="1"/>
        <v>0</v>
      </c>
      <c r="H98" s="166"/>
      <c r="I98" s="171"/>
      <c r="J98" s="158"/>
    </row>
    <row r="99" ht="15.75" customHeight="1">
      <c r="A99" s="163"/>
      <c r="B99" s="164"/>
      <c r="C99" s="165"/>
      <c r="D99" s="166"/>
      <c r="E99" s="165"/>
      <c r="F99" s="167"/>
      <c r="G99" s="168">
        <f t="shared" si="1"/>
        <v>0</v>
      </c>
      <c r="H99" s="166"/>
      <c r="I99" s="171"/>
      <c r="J99" s="158"/>
    </row>
    <row r="100" ht="15.75" customHeight="1">
      <c r="A100" s="163"/>
      <c r="B100" s="164"/>
      <c r="C100" s="165"/>
      <c r="D100" s="166"/>
      <c r="E100" s="165"/>
      <c r="F100" s="167"/>
      <c r="G100" s="168">
        <f t="shared" si="1"/>
        <v>0</v>
      </c>
      <c r="H100" s="166"/>
      <c r="I100" s="171"/>
      <c r="J100" s="158"/>
    </row>
    <row r="101" ht="15.75" customHeight="1">
      <c r="A101" s="163"/>
      <c r="B101" s="164"/>
      <c r="C101" s="165"/>
      <c r="D101" s="166"/>
      <c r="E101" s="165"/>
      <c r="F101" s="167"/>
      <c r="G101" s="168">
        <f t="shared" si="1"/>
        <v>0</v>
      </c>
      <c r="H101" s="166"/>
      <c r="I101" s="171"/>
      <c r="J101" s="158"/>
    </row>
    <row r="102" ht="15.75" customHeight="1">
      <c r="A102" s="163"/>
      <c r="B102" s="164"/>
      <c r="C102" s="165"/>
      <c r="D102" s="166"/>
      <c r="E102" s="165"/>
      <c r="F102" s="167"/>
      <c r="G102" s="168">
        <f t="shared" si="1"/>
        <v>0</v>
      </c>
      <c r="H102" s="166"/>
      <c r="I102" s="171"/>
      <c r="J102" s="158"/>
    </row>
    <row r="103" ht="15.75" customHeight="1">
      <c r="A103" s="163"/>
      <c r="B103" s="164"/>
      <c r="C103" s="165"/>
      <c r="D103" s="166"/>
      <c r="E103" s="165"/>
      <c r="F103" s="167"/>
      <c r="G103" s="168">
        <f t="shared" si="1"/>
        <v>0</v>
      </c>
      <c r="H103" s="166"/>
      <c r="I103" s="171"/>
      <c r="J103" s="158"/>
    </row>
    <row r="104" ht="15.75" customHeight="1">
      <c r="A104" s="163"/>
      <c r="B104" s="164"/>
      <c r="C104" s="165"/>
      <c r="D104" s="166"/>
      <c r="E104" s="165"/>
      <c r="F104" s="167"/>
      <c r="G104" s="168">
        <f t="shared" si="1"/>
        <v>0</v>
      </c>
      <c r="H104" s="166"/>
      <c r="I104" s="171"/>
      <c r="J104" s="158"/>
    </row>
    <row r="105" ht="15.75" customHeight="1">
      <c r="A105" s="163"/>
      <c r="B105" s="164"/>
      <c r="C105" s="165"/>
      <c r="D105" s="166"/>
      <c r="E105" s="165"/>
      <c r="F105" s="167"/>
      <c r="G105" s="168">
        <f t="shared" si="1"/>
        <v>0</v>
      </c>
      <c r="H105" s="166"/>
      <c r="I105" s="171"/>
      <c r="J105" s="158"/>
    </row>
    <row r="106" ht="15.75" customHeight="1">
      <c r="A106" s="163"/>
      <c r="B106" s="164"/>
      <c r="C106" s="165"/>
      <c r="D106" s="166"/>
      <c r="E106" s="165"/>
      <c r="F106" s="167"/>
      <c r="G106" s="168">
        <f t="shared" si="1"/>
        <v>0</v>
      </c>
      <c r="H106" s="166"/>
      <c r="I106" s="171"/>
      <c r="J106" s="158"/>
    </row>
    <row r="107">
      <c r="A107" s="163"/>
      <c r="B107" s="164"/>
      <c r="C107" s="165"/>
      <c r="D107" s="166"/>
      <c r="E107" s="165"/>
      <c r="F107" s="167"/>
      <c r="G107" s="168">
        <f t="shared" si="1"/>
        <v>0</v>
      </c>
      <c r="H107" s="166"/>
      <c r="I107" s="171"/>
      <c r="J107" s="158"/>
    </row>
    <row r="108">
      <c r="A108" s="163"/>
      <c r="B108" s="164"/>
      <c r="C108" s="165"/>
      <c r="D108" s="166"/>
      <c r="E108" s="165"/>
      <c r="F108" s="167"/>
      <c r="G108" s="168">
        <f t="shared" si="1"/>
        <v>0</v>
      </c>
      <c r="H108" s="166"/>
      <c r="I108" s="171"/>
      <c r="J108" s="158"/>
    </row>
    <row r="109">
      <c r="A109" s="163"/>
      <c r="B109" s="164"/>
      <c r="C109" s="165"/>
      <c r="D109" s="166"/>
      <c r="E109" s="165"/>
      <c r="F109" s="167"/>
      <c r="G109" s="168">
        <f t="shared" si="1"/>
        <v>0</v>
      </c>
      <c r="H109" s="166"/>
      <c r="I109" s="171"/>
      <c r="J109" s="172"/>
    </row>
    <row r="110">
      <c r="A110" s="163"/>
      <c r="B110" s="164"/>
      <c r="C110" s="165"/>
      <c r="D110" s="166"/>
      <c r="E110" s="165"/>
      <c r="F110" s="167"/>
      <c r="G110" s="168">
        <f t="shared" si="1"/>
        <v>0</v>
      </c>
      <c r="H110" s="166"/>
      <c r="I110" s="171"/>
      <c r="J110" s="158"/>
    </row>
    <row r="111">
      <c r="A111" s="163"/>
      <c r="B111" s="164"/>
      <c r="C111" s="165"/>
      <c r="D111" s="166"/>
      <c r="E111" s="165"/>
      <c r="F111" s="167"/>
      <c r="G111" s="168">
        <f t="shared" si="1"/>
        <v>0</v>
      </c>
      <c r="H111" s="166"/>
      <c r="I111" s="171"/>
      <c r="J111" s="158"/>
    </row>
    <row r="112">
      <c r="A112" s="163"/>
      <c r="B112" s="164"/>
      <c r="C112" s="165"/>
      <c r="D112" s="166"/>
      <c r="E112" s="165"/>
      <c r="F112" s="167"/>
      <c r="G112" s="168">
        <f t="shared" si="1"/>
        <v>0</v>
      </c>
      <c r="H112" s="166"/>
      <c r="I112" s="171"/>
      <c r="J112" s="158"/>
    </row>
    <row r="113">
      <c r="A113" s="163"/>
      <c r="B113" s="164"/>
      <c r="C113" s="165"/>
      <c r="D113" s="166"/>
      <c r="E113" s="165"/>
      <c r="F113" s="167"/>
      <c r="G113" s="168">
        <f t="shared" si="1"/>
        <v>0</v>
      </c>
      <c r="H113" s="166"/>
      <c r="I113" s="171"/>
      <c r="J113" s="158"/>
    </row>
    <row r="114">
      <c r="A114" s="163"/>
      <c r="B114" s="164"/>
      <c r="C114" s="165"/>
      <c r="D114" s="166"/>
      <c r="E114" s="165"/>
      <c r="F114" s="167"/>
      <c r="G114" s="168">
        <f t="shared" si="1"/>
        <v>0</v>
      </c>
      <c r="H114" s="166"/>
      <c r="I114" s="171"/>
      <c r="J114" s="158"/>
    </row>
    <row r="115">
      <c r="A115" s="163"/>
      <c r="B115" s="164"/>
      <c r="C115" s="165"/>
      <c r="D115" s="166"/>
      <c r="E115" s="165"/>
      <c r="F115" s="167"/>
      <c r="G115" s="168">
        <f t="shared" si="1"/>
        <v>0</v>
      </c>
      <c r="H115" s="166"/>
      <c r="I115" s="171"/>
      <c r="J115" s="158"/>
    </row>
    <row r="116">
      <c r="A116" s="163"/>
      <c r="B116" s="164"/>
      <c r="C116" s="165"/>
      <c r="D116" s="166"/>
      <c r="E116" s="165"/>
      <c r="F116" s="167"/>
      <c r="G116" s="168">
        <f t="shared" si="1"/>
        <v>0</v>
      </c>
      <c r="H116" s="166"/>
      <c r="I116" s="171"/>
      <c r="J116" s="158"/>
    </row>
    <row r="117" ht="15.75" customHeight="1">
      <c r="A117" s="163"/>
      <c r="B117" s="164"/>
      <c r="C117" s="165"/>
      <c r="D117" s="166"/>
      <c r="E117" s="165"/>
      <c r="F117" s="167"/>
      <c r="G117" s="168">
        <f t="shared" si="1"/>
        <v>0</v>
      </c>
      <c r="H117" s="166"/>
      <c r="I117" s="171"/>
      <c r="J117" s="172"/>
    </row>
    <row r="118" ht="15.75" customHeight="1">
      <c r="A118" s="163"/>
      <c r="B118" s="164"/>
      <c r="C118" s="165"/>
      <c r="D118" s="166"/>
      <c r="E118" s="165"/>
      <c r="F118" s="167"/>
      <c r="G118" s="168">
        <f t="shared" si="1"/>
        <v>0</v>
      </c>
      <c r="H118" s="166"/>
      <c r="I118" s="171"/>
      <c r="J118" s="158"/>
    </row>
    <row r="119" ht="15.75" customHeight="1">
      <c r="A119" s="163"/>
      <c r="B119" s="164"/>
      <c r="C119" s="165"/>
      <c r="D119" s="166"/>
      <c r="E119" s="165"/>
      <c r="F119" s="167"/>
      <c r="G119" s="168">
        <f t="shared" si="1"/>
        <v>0</v>
      </c>
      <c r="H119" s="166"/>
      <c r="I119" s="171"/>
      <c r="J119" s="158"/>
    </row>
    <row r="120" ht="15.75" customHeight="1">
      <c r="A120" s="163"/>
      <c r="B120" s="164"/>
      <c r="C120" s="165"/>
      <c r="D120" s="166"/>
      <c r="E120" s="165"/>
      <c r="F120" s="167"/>
      <c r="G120" s="168">
        <f t="shared" si="1"/>
        <v>0</v>
      </c>
      <c r="H120" s="166"/>
      <c r="I120" s="171"/>
      <c r="J120" s="158"/>
    </row>
    <row r="121" ht="15.75" customHeight="1">
      <c r="A121" s="163"/>
      <c r="B121" s="164"/>
      <c r="C121" s="165"/>
      <c r="D121" s="166"/>
      <c r="E121" s="165"/>
      <c r="F121" s="167"/>
      <c r="G121" s="168">
        <f t="shared" si="1"/>
        <v>0</v>
      </c>
      <c r="H121" s="166"/>
      <c r="I121" s="171"/>
      <c r="J121" s="158"/>
    </row>
    <row r="122" ht="15.75" customHeight="1">
      <c r="A122" s="163"/>
      <c r="B122" s="164"/>
      <c r="C122" s="165"/>
      <c r="D122" s="166"/>
      <c r="E122" s="165"/>
      <c r="F122" s="167"/>
      <c r="G122" s="168">
        <f t="shared" si="1"/>
        <v>0</v>
      </c>
      <c r="H122" s="166"/>
      <c r="I122" s="171"/>
      <c r="J122" s="158"/>
    </row>
    <row r="123" ht="15.75" customHeight="1">
      <c r="A123" s="163"/>
      <c r="B123" s="164"/>
      <c r="C123" s="165"/>
      <c r="D123" s="166"/>
      <c r="E123" s="165"/>
      <c r="F123" s="167"/>
      <c r="G123" s="168">
        <f t="shared" si="1"/>
        <v>0</v>
      </c>
      <c r="H123" s="166"/>
      <c r="I123" s="171"/>
      <c r="J123" s="158"/>
    </row>
    <row r="124" ht="15.75" customHeight="1">
      <c r="A124" s="163"/>
      <c r="B124" s="164"/>
      <c r="C124" s="165"/>
      <c r="D124" s="166"/>
      <c r="E124" s="165"/>
      <c r="F124" s="167"/>
      <c r="G124" s="168">
        <f t="shared" si="1"/>
        <v>0</v>
      </c>
      <c r="H124" s="166"/>
      <c r="I124" s="171"/>
      <c r="J124" s="158"/>
    </row>
    <row r="125" ht="15.75" customHeight="1">
      <c r="A125" s="163"/>
      <c r="B125" s="164"/>
      <c r="C125" s="165"/>
      <c r="D125" s="166"/>
      <c r="E125" s="165"/>
      <c r="F125" s="167"/>
      <c r="G125" s="168">
        <f t="shared" si="1"/>
        <v>0</v>
      </c>
      <c r="H125" s="166"/>
      <c r="I125" s="171"/>
      <c r="J125" s="158"/>
    </row>
    <row r="126" ht="15.75" customHeight="1">
      <c r="A126" s="163"/>
      <c r="B126" s="164"/>
      <c r="C126" s="165"/>
      <c r="D126" s="166"/>
      <c r="E126" s="165"/>
      <c r="F126" s="167"/>
      <c r="G126" s="168">
        <f t="shared" si="1"/>
        <v>0</v>
      </c>
      <c r="H126" s="166"/>
      <c r="I126" s="171"/>
      <c r="J126" s="158"/>
    </row>
    <row r="127" ht="15.75" customHeight="1">
      <c r="A127" s="163"/>
      <c r="B127" s="164"/>
      <c r="C127" s="165"/>
      <c r="D127" s="166"/>
      <c r="E127" s="165"/>
      <c r="F127" s="167"/>
      <c r="G127" s="168">
        <f t="shared" si="1"/>
        <v>0</v>
      </c>
      <c r="H127" s="166"/>
      <c r="I127" s="171"/>
      <c r="J127" s="158"/>
    </row>
    <row r="128" ht="15.75" customHeight="1">
      <c r="A128" s="163"/>
      <c r="B128" s="164"/>
      <c r="C128" s="165"/>
      <c r="D128" s="166"/>
      <c r="E128" s="165"/>
      <c r="F128" s="167"/>
      <c r="G128" s="168">
        <f t="shared" si="1"/>
        <v>0</v>
      </c>
      <c r="H128" s="166"/>
      <c r="I128" s="171"/>
      <c r="J128" s="158"/>
    </row>
    <row r="129" ht="15.75" customHeight="1">
      <c r="A129" s="163"/>
      <c r="B129" s="164"/>
      <c r="C129" s="165"/>
      <c r="D129" s="166"/>
      <c r="E129" s="165"/>
      <c r="F129" s="167"/>
      <c r="G129" s="168">
        <f t="shared" si="1"/>
        <v>0</v>
      </c>
      <c r="H129" s="166"/>
      <c r="I129" s="171"/>
      <c r="J129" s="158"/>
    </row>
    <row r="130" ht="15.75" customHeight="1">
      <c r="A130" s="180"/>
      <c r="B130" s="164"/>
      <c r="C130" s="165"/>
      <c r="D130" s="166"/>
      <c r="E130" s="165"/>
      <c r="F130" s="167"/>
      <c r="G130" s="168">
        <f t="shared" si="1"/>
        <v>0</v>
      </c>
      <c r="H130" s="166"/>
      <c r="I130" s="171"/>
      <c r="J130" s="158"/>
    </row>
    <row r="131">
      <c r="A131" s="180"/>
      <c r="B131" s="164"/>
      <c r="C131" s="165"/>
      <c r="D131" s="166"/>
      <c r="E131" s="170"/>
      <c r="F131" s="167"/>
      <c r="G131" s="168">
        <f t="shared" si="1"/>
        <v>0</v>
      </c>
      <c r="H131" s="166"/>
      <c r="I131" s="171"/>
      <c r="J131" s="158"/>
    </row>
    <row r="132" ht="15.75" customHeight="1">
      <c r="A132" s="180"/>
      <c r="B132" s="164"/>
      <c r="C132" s="165"/>
      <c r="D132" s="166"/>
      <c r="E132" s="165"/>
      <c r="F132" s="167"/>
      <c r="G132" s="168">
        <f t="shared" si="1"/>
        <v>0</v>
      </c>
      <c r="H132" s="166"/>
      <c r="I132" s="171"/>
      <c r="J132" s="158"/>
    </row>
    <row r="133" ht="15.75" customHeight="1">
      <c r="A133" s="180"/>
      <c r="B133" s="164"/>
      <c r="C133" s="165"/>
      <c r="D133" s="166"/>
      <c r="E133" s="165"/>
      <c r="F133" s="167"/>
      <c r="G133" s="168">
        <f t="shared" si="1"/>
        <v>0</v>
      </c>
      <c r="H133" s="166"/>
      <c r="I133" s="171"/>
      <c r="J133" s="158"/>
    </row>
    <row r="134" ht="15.75" customHeight="1">
      <c r="A134" s="180"/>
      <c r="B134" s="164"/>
      <c r="C134" s="165"/>
      <c r="D134" s="166"/>
      <c r="E134" s="165"/>
      <c r="F134" s="167"/>
      <c r="G134" s="168">
        <f t="shared" si="1"/>
        <v>0</v>
      </c>
      <c r="H134" s="166"/>
      <c r="I134" s="171"/>
      <c r="J134" s="158"/>
    </row>
    <row r="135" ht="15.75" customHeight="1">
      <c r="A135" s="180"/>
      <c r="B135" s="164"/>
      <c r="C135" s="165"/>
      <c r="D135" s="166"/>
      <c r="E135" s="165"/>
      <c r="F135" s="167"/>
      <c r="G135" s="168">
        <f t="shared" si="1"/>
        <v>0</v>
      </c>
      <c r="H135" s="166"/>
      <c r="I135" s="171"/>
      <c r="J135" s="158"/>
    </row>
    <row r="136" ht="15.75" customHeight="1">
      <c r="A136" s="180"/>
      <c r="B136" s="164"/>
      <c r="C136" s="165"/>
      <c r="D136" s="166"/>
      <c r="E136" s="165"/>
      <c r="F136" s="167"/>
      <c r="G136" s="168">
        <f t="shared" si="1"/>
        <v>0</v>
      </c>
      <c r="H136" s="166"/>
      <c r="I136" s="171"/>
      <c r="J136" s="158"/>
    </row>
    <row r="137">
      <c r="A137" s="180"/>
      <c r="B137" s="164"/>
      <c r="C137" s="165"/>
      <c r="D137" s="166"/>
      <c r="E137" s="165"/>
      <c r="F137" s="167"/>
      <c r="G137" s="168">
        <f t="shared" si="1"/>
        <v>0</v>
      </c>
      <c r="H137" s="166"/>
      <c r="I137" s="171"/>
      <c r="J137" s="158"/>
    </row>
    <row r="138" ht="15.75" customHeight="1">
      <c r="A138" s="180"/>
      <c r="B138" s="164"/>
      <c r="C138" s="165"/>
      <c r="D138" s="166"/>
      <c r="E138" s="165"/>
      <c r="F138" s="167"/>
      <c r="G138" s="168">
        <f t="shared" si="1"/>
        <v>0</v>
      </c>
      <c r="H138" s="166"/>
      <c r="I138" s="171"/>
      <c r="J138" s="158"/>
    </row>
    <row r="139" ht="15.75" customHeight="1">
      <c r="A139" s="180"/>
      <c r="B139" s="164"/>
      <c r="C139" s="165"/>
      <c r="D139" s="166"/>
      <c r="E139" s="165"/>
      <c r="F139" s="167"/>
      <c r="G139" s="168">
        <f t="shared" si="1"/>
        <v>0</v>
      </c>
      <c r="H139" s="166"/>
      <c r="I139" s="171"/>
      <c r="J139" s="158"/>
    </row>
    <row r="140" ht="15.75" customHeight="1">
      <c r="A140" s="180"/>
      <c r="B140" s="164"/>
      <c r="C140" s="165"/>
      <c r="D140" s="166"/>
      <c r="E140" s="165"/>
      <c r="F140" s="167"/>
      <c r="G140" s="168">
        <f t="shared" si="1"/>
        <v>0</v>
      </c>
      <c r="H140" s="166"/>
      <c r="I140" s="171"/>
      <c r="J140" s="158"/>
    </row>
    <row r="141" ht="15.75" customHeight="1">
      <c r="A141" s="180"/>
      <c r="B141" s="164"/>
      <c r="C141" s="165"/>
      <c r="D141" s="166"/>
      <c r="E141" s="165"/>
      <c r="F141" s="167"/>
      <c r="G141" s="168">
        <f t="shared" si="1"/>
        <v>0</v>
      </c>
      <c r="H141" s="166"/>
      <c r="I141" s="171"/>
      <c r="J141" s="158"/>
    </row>
    <row r="142" ht="15.75" customHeight="1">
      <c r="A142" s="180"/>
      <c r="B142" s="164"/>
      <c r="C142" s="165"/>
      <c r="D142" s="166"/>
      <c r="E142" s="165"/>
      <c r="F142" s="167"/>
      <c r="G142" s="168">
        <f t="shared" si="1"/>
        <v>0</v>
      </c>
      <c r="H142" s="166"/>
      <c r="I142" s="171"/>
      <c r="J142" s="158"/>
    </row>
    <row r="143" ht="15.75" customHeight="1">
      <c r="A143" s="180"/>
      <c r="B143" s="164"/>
      <c r="C143" s="165"/>
      <c r="D143" s="166"/>
      <c r="E143" s="165"/>
      <c r="F143" s="167"/>
      <c r="G143" s="168">
        <f t="shared" si="1"/>
        <v>0</v>
      </c>
      <c r="H143" s="166"/>
      <c r="I143" s="171"/>
      <c r="J143" s="158"/>
    </row>
    <row r="144" ht="15.75" customHeight="1">
      <c r="A144" s="180"/>
      <c r="B144" s="164"/>
      <c r="C144" s="165"/>
      <c r="D144" s="166"/>
      <c r="E144" s="165"/>
      <c r="F144" s="167"/>
      <c r="G144" s="168">
        <f t="shared" si="1"/>
        <v>0</v>
      </c>
      <c r="H144" s="166"/>
      <c r="I144" s="171"/>
      <c r="J144" s="158"/>
    </row>
    <row r="145" ht="15.75" customHeight="1">
      <c r="A145" s="180"/>
      <c r="B145" s="164"/>
      <c r="C145" s="165"/>
      <c r="D145" s="166"/>
      <c r="E145" s="165"/>
      <c r="F145" s="167"/>
      <c r="G145" s="168">
        <f t="shared" si="1"/>
        <v>0</v>
      </c>
      <c r="H145" s="166"/>
      <c r="I145" s="171"/>
      <c r="J145" s="158"/>
    </row>
    <row r="146" ht="15.75" customHeight="1">
      <c r="A146" s="180"/>
      <c r="B146" s="164"/>
      <c r="C146" s="165"/>
      <c r="D146" s="166"/>
      <c r="E146" s="165"/>
      <c r="F146" s="167"/>
      <c r="G146" s="168">
        <f t="shared" si="1"/>
        <v>0</v>
      </c>
      <c r="H146" s="166"/>
      <c r="I146" s="171"/>
      <c r="J146" s="158"/>
    </row>
    <row r="147" ht="15.75" customHeight="1">
      <c r="A147" s="180"/>
      <c r="B147" s="164"/>
      <c r="C147" s="165"/>
      <c r="D147" s="166"/>
      <c r="E147" s="165"/>
      <c r="F147" s="167"/>
      <c r="G147" s="168">
        <f t="shared" si="1"/>
        <v>0</v>
      </c>
      <c r="H147" s="166"/>
      <c r="I147" s="171"/>
      <c r="J147" s="158"/>
    </row>
    <row r="148">
      <c r="A148" s="180"/>
      <c r="B148" s="164"/>
      <c r="C148" s="165"/>
      <c r="D148" s="166"/>
      <c r="E148" s="165"/>
      <c r="F148" s="167"/>
      <c r="G148" s="168">
        <f t="shared" si="1"/>
        <v>0</v>
      </c>
      <c r="H148" s="166"/>
      <c r="I148" s="171"/>
      <c r="J148" s="169"/>
    </row>
    <row r="149" ht="15.75" customHeight="1">
      <c r="A149" s="180"/>
      <c r="B149" s="164"/>
      <c r="C149" s="165"/>
      <c r="D149" s="166"/>
      <c r="E149" s="165"/>
      <c r="F149" s="167"/>
      <c r="G149" s="168">
        <f t="shared" si="1"/>
        <v>0</v>
      </c>
      <c r="H149" s="166"/>
      <c r="I149" s="171"/>
      <c r="J149" s="158"/>
    </row>
    <row r="150" ht="15.75" customHeight="1">
      <c r="A150" s="180"/>
      <c r="B150" s="164"/>
      <c r="C150" s="165"/>
      <c r="D150" s="166"/>
      <c r="E150" s="165"/>
      <c r="F150" s="167"/>
      <c r="G150" s="168">
        <f t="shared" si="1"/>
        <v>0</v>
      </c>
      <c r="H150" s="166"/>
      <c r="I150" s="171"/>
      <c r="J150" s="158"/>
    </row>
    <row r="151" ht="15.75" customHeight="1">
      <c r="A151" s="180"/>
      <c r="B151" s="164"/>
      <c r="C151" s="165"/>
      <c r="D151" s="166"/>
      <c r="E151" s="165"/>
      <c r="F151" s="167"/>
      <c r="G151" s="168">
        <f t="shared" si="1"/>
        <v>0</v>
      </c>
      <c r="H151" s="166"/>
      <c r="I151" s="171"/>
      <c r="J151" s="158"/>
    </row>
    <row r="152" ht="15.75" customHeight="1">
      <c r="A152" s="180"/>
      <c r="B152" s="164"/>
      <c r="C152" s="165"/>
      <c r="D152" s="166"/>
      <c r="E152" s="165"/>
      <c r="F152" s="167"/>
      <c r="G152" s="168">
        <f t="shared" si="1"/>
        <v>0</v>
      </c>
      <c r="H152" s="166"/>
      <c r="I152" s="171"/>
      <c r="J152" s="158"/>
    </row>
    <row r="153" ht="15.75" customHeight="1">
      <c r="A153" s="180"/>
      <c r="B153" s="164"/>
      <c r="C153" s="165"/>
      <c r="D153" s="166"/>
      <c r="E153" s="165"/>
      <c r="F153" s="167"/>
      <c r="G153" s="168">
        <f t="shared" si="1"/>
        <v>0</v>
      </c>
      <c r="H153" s="166"/>
      <c r="I153" s="171"/>
      <c r="J153" s="158"/>
    </row>
    <row r="154" ht="15.75" customHeight="1">
      <c r="A154" s="180"/>
      <c r="B154" s="164"/>
      <c r="C154" s="165"/>
      <c r="D154" s="166"/>
      <c r="E154" s="165"/>
      <c r="F154" s="167"/>
      <c r="G154" s="168">
        <f t="shared" si="1"/>
        <v>0</v>
      </c>
      <c r="H154" s="166"/>
      <c r="I154" s="171"/>
      <c r="J154" s="158"/>
    </row>
    <row r="155" ht="15.75" customHeight="1">
      <c r="A155" s="180"/>
      <c r="B155" s="164"/>
      <c r="C155" s="165"/>
      <c r="D155" s="166"/>
      <c r="E155" s="165"/>
      <c r="F155" s="167"/>
      <c r="G155" s="168">
        <f t="shared" si="1"/>
        <v>0</v>
      </c>
      <c r="H155" s="166"/>
      <c r="I155" s="171"/>
      <c r="J155" s="158"/>
    </row>
    <row r="156" ht="15.75" customHeight="1">
      <c r="A156" s="180"/>
      <c r="B156" s="164"/>
      <c r="C156" s="165"/>
      <c r="D156" s="166"/>
      <c r="E156" s="165"/>
      <c r="F156" s="167"/>
      <c r="G156" s="168">
        <f t="shared" si="1"/>
        <v>0</v>
      </c>
      <c r="H156" s="166"/>
      <c r="I156" s="171"/>
      <c r="J156" s="158"/>
    </row>
    <row r="157" ht="15.75" customHeight="1">
      <c r="A157" s="180"/>
      <c r="B157" s="164"/>
      <c r="C157" s="165"/>
      <c r="D157" s="166"/>
      <c r="E157" s="165"/>
      <c r="F157" s="167"/>
      <c r="G157" s="168">
        <f t="shared" si="1"/>
        <v>0</v>
      </c>
      <c r="H157" s="166"/>
      <c r="I157" s="171"/>
      <c r="J157" s="158"/>
    </row>
    <row r="158" ht="15.75" customHeight="1">
      <c r="A158" s="180"/>
      <c r="B158" s="164"/>
      <c r="C158" s="165"/>
      <c r="D158" s="166"/>
      <c r="E158" s="165"/>
      <c r="F158" s="167"/>
      <c r="G158" s="168">
        <f t="shared" si="1"/>
        <v>0</v>
      </c>
      <c r="H158" s="166"/>
      <c r="I158" s="171"/>
      <c r="J158" s="158"/>
    </row>
    <row r="159" ht="15.75" customHeight="1">
      <c r="A159" s="180"/>
      <c r="B159" s="164"/>
      <c r="C159" s="165"/>
      <c r="D159" s="166"/>
      <c r="E159" s="165"/>
      <c r="F159" s="167"/>
      <c r="G159" s="168">
        <f t="shared" si="1"/>
        <v>0</v>
      </c>
      <c r="H159" s="166"/>
      <c r="I159" s="171"/>
      <c r="J159" s="158"/>
    </row>
    <row r="160" ht="15.75" customHeight="1">
      <c r="A160" s="180"/>
      <c r="B160" s="164"/>
      <c r="C160" s="165"/>
      <c r="D160" s="166"/>
      <c r="E160" s="165"/>
      <c r="F160" s="167"/>
      <c r="G160" s="168">
        <f t="shared" si="1"/>
        <v>0</v>
      </c>
      <c r="H160" s="166"/>
      <c r="I160" s="171"/>
      <c r="J160" s="158"/>
    </row>
    <row r="161" ht="15.75" customHeight="1">
      <c r="A161" s="180"/>
      <c r="B161" s="164"/>
      <c r="C161" s="165"/>
      <c r="D161" s="166"/>
      <c r="E161" s="165"/>
      <c r="F161" s="167"/>
      <c r="G161" s="168">
        <f t="shared" si="1"/>
        <v>0</v>
      </c>
      <c r="H161" s="166"/>
      <c r="I161" s="171"/>
      <c r="J161" s="158"/>
    </row>
    <row r="162" ht="15.75" customHeight="1">
      <c r="A162" s="180"/>
      <c r="B162" s="164"/>
      <c r="C162" s="165"/>
      <c r="D162" s="166"/>
      <c r="E162" s="165"/>
      <c r="F162" s="167"/>
      <c r="G162" s="168">
        <f t="shared" si="1"/>
        <v>0</v>
      </c>
      <c r="H162" s="166"/>
      <c r="I162" s="171"/>
      <c r="J162" s="158"/>
    </row>
    <row r="163" ht="15.75" customHeight="1">
      <c r="A163" s="180"/>
      <c r="B163" s="164"/>
      <c r="C163" s="165"/>
      <c r="D163" s="166"/>
      <c r="E163" s="165"/>
      <c r="F163" s="167"/>
      <c r="G163" s="168">
        <f t="shared" si="1"/>
        <v>0</v>
      </c>
      <c r="H163" s="166"/>
      <c r="I163" s="171"/>
      <c r="J163" s="158"/>
    </row>
    <row r="164" ht="15.75" customHeight="1">
      <c r="A164" s="180"/>
      <c r="B164" s="164"/>
      <c r="C164" s="165"/>
      <c r="D164" s="166"/>
      <c r="E164" s="165"/>
      <c r="F164" s="167"/>
      <c r="G164" s="168">
        <f t="shared" si="1"/>
        <v>0</v>
      </c>
      <c r="H164" s="166"/>
      <c r="I164" s="171"/>
      <c r="J164" s="158"/>
    </row>
    <row r="165" ht="15.75" customHeight="1">
      <c r="A165" s="180"/>
      <c r="B165" s="164"/>
      <c r="C165" s="165"/>
      <c r="D165" s="166"/>
      <c r="E165" s="165"/>
      <c r="F165" s="167"/>
      <c r="G165" s="168">
        <f t="shared" si="1"/>
        <v>0</v>
      </c>
      <c r="H165" s="166"/>
      <c r="I165" s="171"/>
      <c r="J165" s="158"/>
    </row>
    <row r="166" ht="15.75" customHeight="1">
      <c r="A166" s="180"/>
      <c r="B166" s="164"/>
      <c r="C166" s="165"/>
      <c r="D166" s="166"/>
      <c r="E166" s="165"/>
      <c r="F166" s="167"/>
      <c r="G166" s="168">
        <f t="shared" si="1"/>
        <v>0</v>
      </c>
      <c r="H166" s="166"/>
      <c r="I166" s="171"/>
      <c r="J166" s="158"/>
    </row>
    <row r="167" ht="15.75" customHeight="1">
      <c r="A167" s="180"/>
      <c r="B167" s="164"/>
      <c r="C167" s="165"/>
      <c r="D167" s="166"/>
      <c r="E167" s="165"/>
      <c r="F167" s="167"/>
      <c r="G167" s="168">
        <f t="shared" si="1"/>
        <v>0</v>
      </c>
      <c r="H167" s="166"/>
      <c r="I167" s="171"/>
      <c r="J167" s="158"/>
    </row>
    <row r="168" ht="15.75" customHeight="1">
      <c r="A168" s="180"/>
      <c r="B168" s="164"/>
      <c r="C168" s="165"/>
      <c r="D168" s="166"/>
      <c r="E168" s="165"/>
      <c r="F168" s="167"/>
      <c r="G168" s="168">
        <f t="shared" si="1"/>
        <v>0</v>
      </c>
      <c r="H168" s="166"/>
      <c r="I168" s="171"/>
      <c r="J168" s="158"/>
    </row>
    <row r="169" ht="15.75" customHeight="1">
      <c r="A169" s="180"/>
      <c r="B169" s="164"/>
      <c r="C169" s="165"/>
      <c r="D169" s="166"/>
      <c r="E169" s="165"/>
      <c r="F169" s="167"/>
      <c r="G169" s="168">
        <f t="shared" si="1"/>
        <v>0</v>
      </c>
      <c r="H169" s="166"/>
      <c r="I169" s="171"/>
      <c r="J169" s="158"/>
    </row>
    <row r="170" ht="15.75" customHeight="1">
      <c r="A170" s="180"/>
      <c r="B170" s="164"/>
      <c r="C170" s="165"/>
      <c r="D170" s="166"/>
      <c r="E170" s="165"/>
      <c r="F170" s="167"/>
      <c r="G170" s="168">
        <f t="shared" si="1"/>
        <v>0</v>
      </c>
      <c r="H170" s="166"/>
      <c r="I170" s="171"/>
      <c r="J170" s="158"/>
    </row>
    <row r="171" ht="15.75" customHeight="1">
      <c r="A171" s="180"/>
      <c r="B171" s="164"/>
      <c r="C171" s="165"/>
      <c r="D171" s="166"/>
      <c r="E171" s="165"/>
      <c r="F171" s="167"/>
      <c r="G171" s="168">
        <f t="shared" si="1"/>
        <v>0</v>
      </c>
      <c r="H171" s="166"/>
      <c r="I171" s="171"/>
      <c r="J171" s="158"/>
    </row>
    <row r="172" ht="15.75" customHeight="1">
      <c r="A172" s="180"/>
      <c r="B172" s="164"/>
      <c r="C172" s="165"/>
      <c r="D172" s="166"/>
      <c r="E172" s="165"/>
      <c r="F172" s="167"/>
      <c r="G172" s="168">
        <f t="shared" si="1"/>
        <v>0</v>
      </c>
      <c r="H172" s="166"/>
      <c r="I172" s="171"/>
      <c r="J172" s="179"/>
    </row>
    <row r="173" ht="15.75" customHeight="1">
      <c r="A173" s="180"/>
      <c r="B173" s="164"/>
      <c r="C173" s="165"/>
      <c r="D173" s="166"/>
      <c r="E173" s="165"/>
      <c r="F173" s="167"/>
      <c r="G173" s="168">
        <f t="shared" si="1"/>
        <v>0</v>
      </c>
      <c r="H173" s="166"/>
      <c r="I173" s="171"/>
      <c r="J173" s="158"/>
    </row>
    <row r="174" ht="15.75" customHeight="1">
      <c r="A174" s="180"/>
      <c r="B174" s="164"/>
      <c r="C174" s="165"/>
      <c r="D174" s="166"/>
      <c r="E174" s="165"/>
      <c r="F174" s="167"/>
      <c r="G174" s="168">
        <f t="shared" si="1"/>
        <v>0</v>
      </c>
      <c r="H174" s="166"/>
      <c r="I174" s="171"/>
      <c r="J174" s="158"/>
    </row>
    <row r="175" ht="15.75" customHeight="1">
      <c r="A175" s="180"/>
      <c r="B175" s="164"/>
      <c r="C175" s="165"/>
      <c r="D175" s="166"/>
      <c r="E175" s="165"/>
      <c r="F175" s="167"/>
      <c r="G175" s="168">
        <f t="shared" si="1"/>
        <v>0</v>
      </c>
      <c r="H175" s="166"/>
      <c r="I175" s="171"/>
      <c r="J175" s="158"/>
    </row>
    <row r="176" ht="15.75" customHeight="1">
      <c r="A176" s="180"/>
      <c r="B176" s="164"/>
      <c r="C176" s="165"/>
      <c r="D176" s="166"/>
      <c r="E176" s="165"/>
      <c r="F176" s="167"/>
      <c r="G176" s="168">
        <f t="shared" si="1"/>
        <v>0</v>
      </c>
      <c r="H176" s="166"/>
      <c r="I176" s="171"/>
      <c r="J176" s="158"/>
    </row>
    <row r="177" ht="15.75" customHeight="1">
      <c r="A177" s="180"/>
      <c r="B177" s="164"/>
      <c r="C177" s="165"/>
      <c r="D177" s="166"/>
      <c r="E177" s="165"/>
      <c r="F177" s="167"/>
      <c r="G177" s="168">
        <f t="shared" si="1"/>
        <v>0</v>
      </c>
      <c r="H177" s="166"/>
      <c r="I177" s="171"/>
      <c r="J177" s="158"/>
    </row>
    <row r="178" ht="15.75" customHeight="1">
      <c r="A178" s="180"/>
      <c r="B178" s="164"/>
      <c r="C178" s="165"/>
      <c r="D178" s="166"/>
      <c r="E178" s="165"/>
      <c r="F178" s="167"/>
      <c r="G178" s="168">
        <f t="shared" si="1"/>
        <v>0</v>
      </c>
      <c r="H178" s="166"/>
      <c r="I178" s="171"/>
      <c r="J178" s="158"/>
    </row>
    <row r="179" ht="15.75" customHeight="1">
      <c r="A179" s="180"/>
      <c r="B179" s="164"/>
      <c r="C179" s="165"/>
      <c r="D179" s="166"/>
      <c r="E179" s="165"/>
      <c r="F179" s="167"/>
      <c r="G179" s="168">
        <f t="shared" si="1"/>
        <v>0</v>
      </c>
      <c r="H179" s="166"/>
      <c r="I179" s="171"/>
      <c r="J179" s="158"/>
    </row>
    <row r="180" ht="15.75" customHeight="1">
      <c r="A180" s="180"/>
      <c r="B180" s="164"/>
      <c r="C180" s="165"/>
      <c r="D180" s="166"/>
      <c r="E180" s="165"/>
      <c r="F180" s="167"/>
      <c r="G180" s="168">
        <f t="shared" si="1"/>
        <v>0</v>
      </c>
      <c r="H180" s="166"/>
      <c r="I180" s="171"/>
      <c r="J180" s="158"/>
    </row>
    <row r="181" ht="15.75" customHeight="1">
      <c r="A181" s="180"/>
      <c r="B181" s="164"/>
      <c r="C181" s="165"/>
      <c r="D181" s="166"/>
      <c r="E181" s="165"/>
      <c r="F181" s="167"/>
      <c r="G181" s="168">
        <f t="shared" si="1"/>
        <v>0</v>
      </c>
      <c r="H181" s="166"/>
      <c r="I181" s="171"/>
      <c r="J181" s="158"/>
    </row>
    <row r="182" ht="15.75" customHeight="1">
      <c r="A182" s="180"/>
      <c r="B182" s="164"/>
      <c r="C182" s="165"/>
      <c r="D182" s="166"/>
      <c r="E182" s="165"/>
      <c r="F182" s="167"/>
      <c r="G182" s="168">
        <f t="shared" si="1"/>
        <v>0</v>
      </c>
      <c r="H182" s="166"/>
      <c r="I182" s="171"/>
      <c r="J182" s="158"/>
    </row>
    <row r="183" ht="15.75" customHeight="1">
      <c r="A183" s="180"/>
      <c r="B183" s="164"/>
      <c r="C183" s="165"/>
      <c r="D183" s="166"/>
      <c r="E183" s="165"/>
      <c r="F183" s="167"/>
      <c r="G183" s="168">
        <f t="shared" si="1"/>
        <v>0</v>
      </c>
      <c r="H183" s="166"/>
      <c r="I183" s="171"/>
      <c r="J183" s="158"/>
    </row>
    <row r="184" ht="15.75" customHeight="1">
      <c r="A184" s="180"/>
      <c r="B184" s="164"/>
      <c r="C184" s="165"/>
      <c r="D184" s="166"/>
      <c r="E184" s="165"/>
      <c r="F184" s="167"/>
      <c r="G184" s="168">
        <f t="shared" si="1"/>
        <v>0</v>
      </c>
      <c r="H184" s="166"/>
      <c r="I184" s="171"/>
      <c r="J184" s="158"/>
    </row>
    <row r="185" ht="15.75" customHeight="1">
      <c r="A185" s="180"/>
      <c r="B185" s="164"/>
      <c r="C185" s="165"/>
      <c r="D185" s="166"/>
      <c r="E185" s="165"/>
      <c r="F185" s="167"/>
      <c r="G185" s="168">
        <f t="shared" si="1"/>
        <v>0</v>
      </c>
      <c r="H185" s="166"/>
      <c r="I185" s="171"/>
      <c r="J185" s="158"/>
    </row>
    <row r="186" ht="15.75" customHeight="1">
      <c r="A186" s="180"/>
      <c r="B186" s="181"/>
      <c r="C186" s="176"/>
      <c r="D186" s="182"/>
      <c r="E186" s="176"/>
      <c r="F186" s="183"/>
      <c r="G186" s="168">
        <f t="shared" si="1"/>
        <v>0</v>
      </c>
      <c r="H186" s="166"/>
      <c r="I186" s="171"/>
      <c r="J186" s="172"/>
    </row>
    <row r="187" ht="15.75" customHeight="1">
      <c r="A187" s="180"/>
      <c r="B187" s="164"/>
      <c r="C187" s="165"/>
      <c r="D187" s="166"/>
      <c r="E187" s="165"/>
      <c r="F187" s="167"/>
      <c r="G187" s="168">
        <f t="shared" si="1"/>
        <v>0</v>
      </c>
      <c r="H187" s="166"/>
      <c r="I187" s="171"/>
      <c r="J187" s="158"/>
    </row>
    <row r="188" ht="15.75" customHeight="1">
      <c r="A188" s="180"/>
      <c r="B188" s="164"/>
      <c r="C188" s="165"/>
      <c r="D188" s="166"/>
      <c r="E188" s="165"/>
      <c r="F188" s="167"/>
      <c r="G188" s="168">
        <f t="shared" si="1"/>
        <v>0</v>
      </c>
      <c r="H188" s="166"/>
      <c r="I188" s="171"/>
      <c r="J188" s="158"/>
    </row>
    <row r="189" ht="15.75" customHeight="1">
      <c r="A189" s="180"/>
      <c r="B189" s="164"/>
      <c r="C189" s="165"/>
      <c r="D189" s="166"/>
      <c r="E189" s="165"/>
      <c r="F189" s="167"/>
      <c r="G189" s="168">
        <f t="shared" si="1"/>
        <v>0</v>
      </c>
      <c r="H189" s="166"/>
      <c r="I189" s="171"/>
      <c r="J189" s="158"/>
    </row>
    <row r="190" ht="15.75" customHeight="1">
      <c r="A190" s="180"/>
      <c r="B190" s="164"/>
      <c r="C190" s="165"/>
      <c r="D190" s="166"/>
      <c r="E190" s="165"/>
      <c r="F190" s="167"/>
      <c r="G190" s="168">
        <f t="shared" si="1"/>
        <v>0</v>
      </c>
      <c r="H190" s="166"/>
      <c r="I190" s="171"/>
      <c r="J190" s="158"/>
    </row>
    <row r="191" ht="15.75" customHeight="1">
      <c r="A191" s="180"/>
      <c r="B191" s="164"/>
      <c r="C191" s="165"/>
      <c r="D191" s="166"/>
      <c r="E191" s="165"/>
      <c r="F191" s="167"/>
      <c r="G191" s="168">
        <f t="shared" si="1"/>
        <v>0</v>
      </c>
      <c r="H191" s="166"/>
      <c r="I191" s="171"/>
      <c r="J191" s="158"/>
    </row>
    <row r="192" ht="15.75" customHeight="1">
      <c r="A192" s="180"/>
      <c r="B192" s="164"/>
      <c r="C192" s="165"/>
      <c r="D192" s="166"/>
      <c r="E192" s="165"/>
      <c r="F192" s="167"/>
      <c r="G192" s="168">
        <f t="shared" si="1"/>
        <v>0</v>
      </c>
      <c r="H192" s="166"/>
      <c r="I192" s="171"/>
      <c r="J192" s="158"/>
    </row>
    <row r="193" ht="15.75" customHeight="1">
      <c r="A193" s="180"/>
      <c r="B193" s="164"/>
      <c r="C193" s="165"/>
      <c r="D193" s="166"/>
      <c r="E193" s="165"/>
      <c r="F193" s="167"/>
      <c r="G193" s="168">
        <f t="shared" si="1"/>
        <v>0</v>
      </c>
      <c r="H193" s="166"/>
      <c r="I193" s="171"/>
      <c r="J193" s="158"/>
    </row>
    <row r="194" ht="15.75" customHeight="1">
      <c r="A194" s="180"/>
      <c r="B194" s="164"/>
      <c r="C194" s="165"/>
      <c r="D194" s="166"/>
      <c r="E194" s="165"/>
      <c r="F194" s="167"/>
      <c r="G194" s="168">
        <f t="shared" si="1"/>
        <v>0</v>
      </c>
      <c r="H194" s="166"/>
      <c r="I194" s="171"/>
      <c r="J194" s="158"/>
    </row>
    <row r="195" ht="15.75" customHeight="1">
      <c r="A195" s="184"/>
      <c r="B195" s="164"/>
      <c r="C195" s="165"/>
      <c r="D195" s="166"/>
      <c r="E195" s="165"/>
      <c r="F195" s="167"/>
      <c r="G195" s="168">
        <f t="shared" si="1"/>
        <v>0</v>
      </c>
      <c r="H195" s="166"/>
      <c r="I195" s="171"/>
      <c r="J195" s="158"/>
    </row>
    <row r="196" ht="15.75" customHeight="1">
      <c r="A196" s="184"/>
      <c r="B196" s="164"/>
      <c r="C196" s="165"/>
      <c r="D196" s="166"/>
      <c r="E196" s="165"/>
      <c r="F196" s="167"/>
      <c r="G196" s="168">
        <f t="shared" si="1"/>
        <v>0</v>
      </c>
      <c r="H196" s="166"/>
      <c r="I196" s="171"/>
      <c r="J196" s="158"/>
    </row>
    <row r="197" ht="15.75" customHeight="1">
      <c r="A197" s="184"/>
      <c r="B197" s="164"/>
      <c r="C197" s="165"/>
      <c r="D197" s="166"/>
      <c r="E197" s="165"/>
      <c r="F197" s="167"/>
      <c r="G197" s="168">
        <f t="shared" si="1"/>
        <v>0</v>
      </c>
      <c r="H197" s="166"/>
      <c r="I197" s="171"/>
      <c r="J197" s="158"/>
    </row>
    <row r="198" ht="15.75" customHeight="1">
      <c r="A198" s="184"/>
      <c r="B198" s="164"/>
      <c r="C198" s="165"/>
      <c r="D198" s="166"/>
      <c r="E198" s="165"/>
      <c r="F198" s="167"/>
      <c r="G198" s="168">
        <f t="shared" si="1"/>
        <v>0</v>
      </c>
      <c r="H198" s="166"/>
      <c r="I198" s="171"/>
      <c r="J198" s="158"/>
    </row>
    <row r="199" ht="15.75" customHeight="1">
      <c r="A199" s="184"/>
      <c r="B199" s="164"/>
      <c r="C199" s="165"/>
      <c r="D199" s="166"/>
      <c r="E199" s="165"/>
      <c r="F199" s="167"/>
      <c r="G199" s="168">
        <f t="shared" si="1"/>
        <v>0</v>
      </c>
      <c r="H199" s="166"/>
      <c r="I199" s="171"/>
      <c r="J199" s="158"/>
    </row>
    <row r="200" ht="15.75" customHeight="1">
      <c r="A200" s="184"/>
      <c r="B200" s="164"/>
      <c r="C200" s="165"/>
      <c r="D200" s="166"/>
      <c r="E200" s="165"/>
      <c r="F200" s="167"/>
      <c r="G200" s="168">
        <f t="shared" si="1"/>
        <v>0</v>
      </c>
      <c r="H200" s="166"/>
      <c r="I200" s="171"/>
      <c r="J200" s="158"/>
    </row>
    <row r="201" ht="15.75" customHeight="1">
      <c r="A201" s="184"/>
      <c r="B201" s="164"/>
      <c r="C201" s="165"/>
      <c r="D201" s="166"/>
      <c r="E201" s="165"/>
      <c r="F201" s="167"/>
      <c r="G201" s="168">
        <f t="shared" si="1"/>
        <v>0</v>
      </c>
      <c r="H201" s="166"/>
      <c r="I201" s="171"/>
      <c r="J201" s="158"/>
    </row>
    <row r="202" ht="15.75" customHeight="1">
      <c r="A202" s="184"/>
      <c r="B202" s="164"/>
      <c r="C202" s="165"/>
      <c r="D202" s="166"/>
      <c r="E202" s="165"/>
      <c r="F202" s="167"/>
      <c r="G202" s="168">
        <f t="shared" si="1"/>
        <v>0</v>
      </c>
      <c r="H202" s="166"/>
      <c r="I202" s="171"/>
      <c r="J202" s="158"/>
    </row>
    <row r="203" ht="15.75" customHeight="1">
      <c r="A203" s="184"/>
      <c r="B203" s="164"/>
      <c r="C203" s="165"/>
      <c r="D203" s="166"/>
      <c r="E203" s="165"/>
      <c r="F203" s="167"/>
      <c r="G203" s="168">
        <f t="shared" si="1"/>
        <v>0</v>
      </c>
      <c r="H203" s="166"/>
      <c r="I203" s="171"/>
      <c r="J203" s="158"/>
    </row>
    <row r="204" ht="15.75" customHeight="1">
      <c r="A204" s="184"/>
      <c r="B204" s="164"/>
      <c r="C204" s="165"/>
      <c r="D204" s="166"/>
      <c r="E204" s="165"/>
      <c r="F204" s="167"/>
      <c r="G204" s="168">
        <f t="shared" si="1"/>
        <v>0</v>
      </c>
      <c r="H204" s="166"/>
      <c r="I204" s="171"/>
      <c r="J204" s="158"/>
    </row>
    <row r="205" ht="15.75" customHeight="1">
      <c r="A205" s="184"/>
      <c r="B205" s="164"/>
      <c r="C205" s="165"/>
      <c r="D205" s="166"/>
      <c r="E205" s="165"/>
      <c r="F205" s="167"/>
      <c r="G205" s="168">
        <f t="shared" si="1"/>
        <v>0</v>
      </c>
      <c r="H205" s="166"/>
      <c r="I205" s="171"/>
      <c r="J205" s="158"/>
    </row>
    <row r="206" ht="15.75" customHeight="1">
      <c r="A206" s="184"/>
      <c r="B206" s="164"/>
      <c r="C206" s="165"/>
      <c r="D206" s="166"/>
      <c r="E206" s="165"/>
      <c r="F206" s="167"/>
      <c r="G206" s="168">
        <f t="shared" si="1"/>
        <v>0</v>
      </c>
      <c r="H206" s="166"/>
      <c r="I206" s="171"/>
      <c r="J206" s="158"/>
    </row>
    <row r="207" ht="15.75" customHeight="1">
      <c r="A207" s="184"/>
      <c r="B207" s="164"/>
      <c r="C207" s="165"/>
      <c r="D207" s="166"/>
      <c r="E207" s="165"/>
      <c r="F207" s="167"/>
      <c r="G207" s="168">
        <f t="shared" si="1"/>
        <v>0</v>
      </c>
      <c r="H207" s="166"/>
      <c r="I207" s="171"/>
      <c r="J207" s="158"/>
    </row>
    <row r="208" ht="15.75" customHeight="1">
      <c r="A208" s="184"/>
      <c r="B208" s="164"/>
      <c r="C208" s="165"/>
      <c r="D208" s="166"/>
      <c r="E208" s="165"/>
      <c r="F208" s="167"/>
      <c r="G208" s="168">
        <f t="shared" si="1"/>
        <v>0</v>
      </c>
      <c r="H208" s="166"/>
      <c r="I208" s="171"/>
      <c r="J208" s="158"/>
    </row>
    <row r="209" ht="15.75" customHeight="1">
      <c r="A209" s="184"/>
      <c r="B209" s="164"/>
      <c r="C209" s="165"/>
      <c r="D209" s="166"/>
      <c r="E209" s="165"/>
      <c r="F209" s="167"/>
      <c r="G209" s="168">
        <f t="shared" si="1"/>
        <v>0</v>
      </c>
      <c r="H209" s="166"/>
      <c r="I209" s="171"/>
      <c r="J209" s="158"/>
    </row>
    <row r="210" ht="15.75" customHeight="1">
      <c r="A210" s="184"/>
      <c r="B210" s="164"/>
      <c r="C210" s="165"/>
      <c r="D210" s="166"/>
      <c r="E210" s="165"/>
      <c r="F210" s="167"/>
      <c r="G210" s="168">
        <f t="shared" si="1"/>
        <v>0</v>
      </c>
      <c r="H210" s="166"/>
      <c r="I210" s="171"/>
      <c r="J210" s="158"/>
    </row>
    <row r="211" ht="15.75" customHeight="1">
      <c r="A211" s="184"/>
      <c r="B211" s="164"/>
      <c r="C211" s="165"/>
      <c r="D211" s="166"/>
      <c r="E211" s="165"/>
      <c r="F211" s="167"/>
      <c r="G211" s="168">
        <f t="shared" si="1"/>
        <v>0</v>
      </c>
      <c r="H211" s="166"/>
      <c r="I211" s="171"/>
      <c r="J211" s="158"/>
    </row>
    <row r="212" ht="15.75" customHeight="1">
      <c r="A212" s="184"/>
      <c r="B212" s="164"/>
      <c r="C212" s="165"/>
      <c r="D212" s="166"/>
      <c r="E212" s="165"/>
      <c r="F212" s="167"/>
      <c r="G212" s="168">
        <f t="shared" si="1"/>
        <v>0</v>
      </c>
      <c r="H212" s="166"/>
      <c r="I212" s="171"/>
      <c r="J212" s="158"/>
    </row>
    <row r="213" ht="15.75" customHeight="1">
      <c r="A213" s="184"/>
      <c r="B213" s="164"/>
      <c r="C213" s="165"/>
      <c r="D213" s="166"/>
      <c r="E213" s="165"/>
      <c r="F213" s="167"/>
      <c r="G213" s="168">
        <f t="shared" si="1"/>
        <v>0</v>
      </c>
      <c r="H213" s="166"/>
      <c r="I213" s="171"/>
      <c r="J213" s="158"/>
    </row>
    <row r="214" ht="15.75" customHeight="1">
      <c r="A214" s="184"/>
      <c r="B214" s="164"/>
      <c r="C214" s="165"/>
      <c r="D214" s="166"/>
      <c r="E214" s="165"/>
      <c r="F214" s="167"/>
      <c r="G214" s="168">
        <f t="shared" si="1"/>
        <v>0</v>
      </c>
      <c r="H214" s="166"/>
      <c r="I214" s="171"/>
      <c r="J214" s="158"/>
    </row>
    <row r="215" ht="15.75" customHeight="1">
      <c r="A215" s="184"/>
      <c r="B215" s="164"/>
      <c r="C215" s="165"/>
      <c r="D215" s="166"/>
      <c r="E215" s="165"/>
      <c r="F215" s="167"/>
      <c r="G215" s="168">
        <f t="shared" si="1"/>
        <v>0</v>
      </c>
      <c r="H215" s="166"/>
      <c r="I215" s="171"/>
      <c r="J215" s="158"/>
    </row>
    <row r="216" ht="15.75" customHeight="1">
      <c r="A216" s="184"/>
      <c r="B216" s="164"/>
      <c r="C216" s="165"/>
      <c r="D216" s="166"/>
      <c r="E216" s="165"/>
      <c r="F216" s="167"/>
      <c r="G216" s="168">
        <f t="shared" si="1"/>
        <v>0</v>
      </c>
      <c r="H216" s="166"/>
      <c r="I216" s="171"/>
      <c r="J216" s="158"/>
    </row>
    <row r="217" ht="15.75" customHeight="1">
      <c r="A217" s="184"/>
      <c r="B217" s="164"/>
      <c r="C217" s="165"/>
      <c r="D217" s="166"/>
      <c r="E217" s="165"/>
      <c r="F217" s="167"/>
      <c r="G217" s="168">
        <f t="shared" si="1"/>
        <v>0</v>
      </c>
      <c r="H217" s="166"/>
      <c r="I217" s="171"/>
      <c r="J217" s="158"/>
    </row>
    <row r="218" ht="15.75" customHeight="1">
      <c r="A218" s="184"/>
      <c r="B218" s="164"/>
      <c r="C218" s="165"/>
      <c r="D218" s="166"/>
      <c r="E218" s="165"/>
      <c r="F218" s="167"/>
      <c r="G218" s="168">
        <f t="shared" si="1"/>
        <v>0</v>
      </c>
      <c r="H218" s="166"/>
      <c r="I218" s="171"/>
      <c r="J218" s="158"/>
    </row>
    <row r="219" ht="15.75" customHeight="1">
      <c r="A219" s="184"/>
      <c r="B219" s="164"/>
      <c r="C219" s="165"/>
      <c r="D219" s="166"/>
      <c r="E219" s="165"/>
      <c r="F219" s="167"/>
      <c r="G219" s="168">
        <f t="shared" si="1"/>
        <v>0</v>
      </c>
      <c r="H219" s="166"/>
      <c r="I219" s="171"/>
      <c r="J219" s="158"/>
    </row>
    <row r="220" ht="15.75" customHeight="1">
      <c r="A220" s="184"/>
      <c r="B220" s="164"/>
      <c r="C220" s="165"/>
      <c r="D220" s="166"/>
      <c r="E220" s="165"/>
      <c r="F220" s="167"/>
      <c r="G220" s="168">
        <f t="shared" si="1"/>
        <v>0</v>
      </c>
      <c r="H220" s="166"/>
      <c r="I220" s="171"/>
      <c r="J220" s="158"/>
    </row>
    <row r="221" ht="15.75" customHeight="1">
      <c r="A221" s="184"/>
      <c r="B221" s="164"/>
      <c r="C221" s="165"/>
      <c r="D221" s="166"/>
      <c r="E221" s="165"/>
      <c r="F221" s="167"/>
      <c r="G221" s="168">
        <f t="shared" si="1"/>
        <v>0</v>
      </c>
      <c r="H221" s="166"/>
      <c r="I221" s="171"/>
      <c r="J221" s="158"/>
    </row>
    <row r="222" ht="15.75" customHeight="1">
      <c r="A222" s="184"/>
      <c r="B222" s="164"/>
      <c r="C222" s="165"/>
      <c r="D222" s="166"/>
      <c r="E222" s="165"/>
      <c r="F222" s="167"/>
      <c r="G222" s="168">
        <f t="shared" si="1"/>
        <v>0</v>
      </c>
      <c r="H222" s="166"/>
      <c r="I222" s="171"/>
      <c r="J222" s="158"/>
    </row>
    <row r="223" ht="15.75" customHeight="1">
      <c r="A223" s="184"/>
      <c r="B223" s="164"/>
      <c r="C223" s="165"/>
      <c r="D223" s="166"/>
      <c r="E223" s="165"/>
      <c r="F223" s="167"/>
      <c r="G223" s="168">
        <f t="shared" si="1"/>
        <v>0</v>
      </c>
      <c r="H223" s="166"/>
      <c r="I223" s="171"/>
      <c r="J223" s="158"/>
    </row>
    <row r="224" ht="15.75" customHeight="1">
      <c r="A224" s="184"/>
      <c r="B224" s="164"/>
      <c r="C224" s="165"/>
      <c r="D224" s="166"/>
      <c r="E224" s="165"/>
      <c r="F224" s="167"/>
      <c r="G224" s="168">
        <f t="shared" si="1"/>
        <v>0</v>
      </c>
      <c r="H224" s="166"/>
      <c r="I224" s="171"/>
      <c r="J224" s="158"/>
    </row>
    <row r="225" ht="15.75" customHeight="1">
      <c r="A225" s="184"/>
      <c r="B225" s="164"/>
      <c r="C225" s="165"/>
      <c r="D225" s="166"/>
      <c r="E225" s="165"/>
      <c r="F225" s="167"/>
      <c r="G225" s="168">
        <f t="shared" si="1"/>
        <v>0</v>
      </c>
      <c r="H225" s="166"/>
      <c r="I225" s="171"/>
      <c r="J225" s="158"/>
    </row>
    <row r="226" ht="15.75" customHeight="1">
      <c r="A226" s="184"/>
      <c r="B226" s="164"/>
      <c r="C226" s="165"/>
      <c r="D226" s="166"/>
      <c r="E226" s="165"/>
      <c r="F226" s="167"/>
      <c r="G226" s="168">
        <f t="shared" si="1"/>
        <v>0</v>
      </c>
      <c r="H226" s="166"/>
      <c r="I226" s="171"/>
      <c r="J226" s="158"/>
    </row>
    <row r="227" ht="15.75" customHeight="1">
      <c r="A227" s="184"/>
      <c r="B227" s="164"/>
      <c r="C227" s="165"/>
      <c r="D227" s="166"/>
      <c r="E227" s="165"/>
      <c r="F227" s="167"/>
      <c r="G227" s="168">
        <f t="shared" si="1"/>
        <v>0</v>
      </c>
      <c r="H227" s="166"/>
      <c r="I227" s="171"/>
      <c r="J227" s="158"/>
    </row>
    <row r="228" ht="15.75" customHeight="1">
      <c r="A228" s="184"/>
      <c r="B228" s="164"/>
      <c r="C228" s="165"/>
      <c r="D228" s="166"/>
      <c r="E228" s="165"/>
      <c r="F228" s="167"/>
      <c r="G228" s="168">
        <f t="shared" si="1"/>
        <v>0</v>
      </c>
      <c r="H228" s="166"/>
      <c r="I228" s="171"/>
      <c r="J228" s="158"/>
    </row>
    <row r="229" ht="15.75" customHeight="1">
      <c r="A229" s="184"/>
      <c r="B229" s="164"/>
      <c r="C229" s="165"/>
      <c r="D229" s="166"/>
      <c r="E229" s="165"/>
      <c r="F229" s="167"/>
      <c r="G229" s="168">
        <f t="shared" si="1"/>
        <v>0</v>
      </c>
      <c r="H229" s="166"/>
      <c r="I229" s="171"/>
      <c r="J229" s="158"/>
    </row>
    <row r="230" ht="15.75" customHeight="1">
      <c r="A230" s="184"/>
      <c r="B230" s="164"/>
      <c r="C230" s="165"/>
      <c r="D230" s="166"/>
      <c r="E230" s="165"/>
      <c r="F230" s="167"/>
      <c r="G230" s="168">
        <f t="shared" si="1"/>
        <v>0</v>
      </c>
      <c r="H230" s="166"/>
      <c r="I230" s="171"/>
      <c r="J230" s="158"/>
    </row>
    <row r="231" ht="15.75" customHeight="1">
      <c r="A231" s="184"/>
      <c r="B231" s="164"/>
      <c r="C231" s="165"/>
      <c r="D231" s="166"/>
      <c r="E231" s="165"/>
      <c r="F231" s="167"/>
      <c r="G231" s="168">
        <f t="shared" si="1"/>
        <v>0</v>
      </c>
      <c r="H231" s="166"/>
      <c r="I231" s="171"/>
      <c r="J231" s="158"/>
    </row>
    <row r="232" ht="15.75" customHeight="1">
      <c r="A232" s="184"/>
      <c r="B232" s="164"/>
      <c r="C232" s="165"/>
      <c r="D232" s="166"/>
      <c r="E232" s="165"/>
      <c r="F232" s="167"/>
      <c r="G232" s="168">
        <f t="shared" si="1"/>
        <v>0</v>
      </c>
      <c r="H232" s="166"/>
      <c r="I232" s="171"/>
      <c r="J232" s="158"/>
    </row>
    <row r="233" ht="15.75" customHeight="1">
      <c r="A233" s="184"/>
      <c r="B233" s="164"/>
      <c r="C233" s="165"/>
      <c r="D233" s="166"/>
      <c r="E233" s="165"/>
      <c r="F233" s="167"/>
      <c r="G233" s="168">
        <f t="shared" si="1"/>
        <v>0</v>
      </c>
      <c r="H233" s="166"/>
      <c r="I233" s="171"/>
      <c r="J233" s="158"/>
    </row>
    <row r="234" ht="15.75" customHeight="1">
      <c r="A234" s="184"/>
      <c r="B234" s="164"/>
      <c r="C234" s="165"/>
      <c r="D234" s="166"/>
      <c r="E234" s="165"/>
      <c r="F234" s="167"/>
      <c r="G234" s="168">
        <f t="shared" si="1"/>
        <v>0</v>
      </c>
      <c r="H234" s="166"/>
      <c r="I234" s="171"/>
      <c r="J234" s="158"/>
    </row>
    <row r="235" ht="15.75" customHeight="1">
      <c r="A235" s="184"/>
      <c r="B235" s="164"/>
      <c r="C235" s="165"/>
      <c r="D235" s="166"/>
      <c r="E235" s="165"/>
      <c r="F235" s="167"/>
      <c r="G235" s="168">
        <f t="shared" si="1"/>
        <v>0</v>
      </c>
      <c r="H235" s="166"/>
      <c r="I235" s="171"/>
      <c r="J235" s="158"/>
    </row>
    <row r="236" ht="15.75" customHeight="1">
      <c r="A236" s="184"/>
      <c r="B236" s="164"/>
      <c r="C236" s="165"/>
      <c r="D236" s="166"/>
      <c r="E236" s="165"/>
      <c r="F236" s="167"/>
      <c r="G236" s="168">
        <f t="shared" si="1"/>
        <v>0</v>
      </c>
      <c r="H236" s="166"/>
      <c r="I236" s="171"/>
      <c r="J236" s="158"/>
    </row>
    <row r="237" ht="15.75" customHeight="1">
      <c r="A237" s="184"/>
      <c r="B237" s="164"/>
      <c r="C237" s="165"/>
      <c r="D237" s="166"/>
      <c r="E237" s="165"/>
      <c r="F237" s="167"/>
      <c r="G237" s="168">
        <f t="shared" si="1"/>
        <v>0</v>
      </c>
      <c r="H237" s="166"/>
      <c r="I237" s="171"/>
      <c r="J237" s="158"/>
    </row>
    <row r="238" ht="15.75" customHeight="1">
      <c r="A238" s="184"/>
      <c r="B238" s="164"/>
      <c r="C238" s="165"/>
      <c r="D238" s="166"/>
      <c r="E238" s="165"/>
      <c r="F238" s="167"/>
      <c r="G238" s="168">
        <f t="shared" si="1"/>
        <v>0</v>
      </c>
      <c r="H238" s="166"/>
      <c r="I238" s="171"/>
      <c r="J238" s="158"/>
    </row>
    <row r="239" ht="15.75" customHeight="1">
      <c r="A239" s="184"/>
      <c r="B239" s="164"/>
      <c r="C239" s="165"/>
      <c r="D239" s="166"/>
      <c r="E239" s="165"/>
      <c r="F239" s="167"/>
      <c r="G239" s="168">
        <f t="shared" si="1"/>
        <v>0</v>
      </c>
      <c r="H239" s="166"/>
      <c r="I239" s="171"/>
      <c r="J239" s="158"/>
    </row>
    <row r="240" ht="15.75" customHeight="1">
      <c r="A240" s="184"/>
      <c r="B240" s="164"/>
      <c r="C240" s="165"/>
      <c r="D240" s="166"/>
      <c r="E240" s="165"/>
      <c r="F240" s="167"/>
      <c r="G240" s="168">
        <f t="shared" si="1"/>
        <v>0</v>
      </c>
      <c r="H240" s="166"/>
      <c r="I240" s="171"/>
      <c r="J240" s="158"/>
    </row>
    <row r="241" ht="15.75" customHeight="1">
      <c r="A241" s="184"/>
      <c r="B241" s="164"/>
      <c r="C241" s="165"/>
      <c r="D241" s="166"/>
      <c r="E241" s="165"/>
      <c r="F241" s="167"/>
      <c r="G241" s="168">
        <f t="shared" si="1"/>
        <v>0</v>
      </c>
      <c r="H241" s="166"/>
      <c r="I241" s="171"/>
      <c r="J241" s="158"/>
    </row>
    <row r="242" ht="15.75" customHeight="1">
      <c r="A242" s="184"/>
      <c r="B242" s="164"/>
      <c r="C242" s="165"/>
      <c r="D242" s="166"/>
      <c r="E242" s="165"/>
      <c r="F242" s="167"/>
      <c r="G242" s="168">
        <f t="shared" si="1"/>
        <v>0</v>
      </c>
      <c r="H242" s="166"/>
      <c r="I242" s="171"/>
      <c r="J242" s="158"/>
    </row>
    <row r="243" ht="15.75" customHeight="1">
      <c r="A243" s="184"/>
      <c r="B243" s="164"/>
      <c r="C243" s="165"/>
      <c r="D243" s="166"/>
      <c r="E243" s="165"/>
      <c r="F243" s="167"/>
      <c r="G243" s="168">
        <f t="shared" si="1"/>
        <v>0</v>
      </c>
      <c r="H243" s="166"/>
      <c r="I243" s="171"/>
      <c r="J243" s="158"/>
    </row>
    <row r="244" ht="15.75" customHeight="1">
      <c r="A244" s="184"/>
      <c r="B244" s="164"/>
      <c r="C244" s="165"/>
      <c r="D244" s="166"/>
      <c r="E244" s="165"/>
      <c r="F244" s="167"/>
      <c r="G244" s="168">
        <f t="shared" si="1"/>
        <v>0</v>
      </c>
      <c r="H244" s="166"/>
      <c r="I244" s="171"/>
      <c r="J244" s="158"/>
    </row>
    <row r="245" ht="15.75" customHeight="1">
      <c r="A245" s="184"/>
      <c r="B245" s="164"/>
      <c r="C245" s="165"/>
      <c r="D245" s="166"/>
      <c r="E245" s="165"/>
      <c r="F245" s="167"/>
      <c r="G245" s="168">
        <f t="shared" si="1"/>
        <v>0</v>
      </c>
      <c r="H245" s="166"/>
      <c r="I245" s="171"/>
      <c r="J245" s="158"/>
    </row>
    <row r="246" ht="15.75" customHeight="1">
      <c r="A246" s="184"/>
      <c r="B246" s="164"/>
      <c r="C246" s="165"/>
      <c r="D246" s="166"/>
      <c r="E246" s="165"/>
      <c r="F246" s="167"/>
      <c r="G246" s="168">
        <f t="shared" si="1"/>
        <v>0</v>
      </c>
      <c r="H246" s="166"/>
      <c r="I246" s="171"/>
      <c r="J246" s="158"/>
    </row>
    <row r="247" ht="15.75" customHeight="1">
      <c r="A247" s="184"/>
      <c r="B247" s="164"/>
      <c r="C247" s="165"/>
      <c r="D247" s="166"/>
      <c r="E247" s="165"/>
      <c r="F247" s="167"/>
      <c r="G247" s="168">
        <f t="shared" si="1"/>
        <v>0</v>
      </c>
      <c r="H247" s="166"/>
      <c r="I247" s="171"/>
      <c r="J247" s="158"/>
    </row>
    <row r="248" ht="15.75" customHeight="1">
      <c r="A248" s="184"/>
      <c r="B248" s="164"/>
      <c r="C248" s="165"/>
      <c r="D248" s="166"/>
      <c r="E248" s="165"/>
      <c r="F248" s="167"/>
      <c r="G248" s="168">
        <f t="shared" si="1"/>
        <v>0</v>
      </c>
      <c r="H248" s="166"/>
      <c r="I248" s="171"/>
      <c r="J248" s="158"/>
    </row>
    <row r="249" ht="15.75" customHeight="1">
      <c r="A249" s="184"/>
      <c r="B249" s="164"/>
      <c r="C249" s="165"/>
      <c r="D249" s="166"/>
      <c r="E249" s="165"/>
      <c r="F249" s="167"/>
      <c r="G249" s="168">
        <f t="shared" si="1"/>
        <v>0</v>
      </c>
      <c r="H249" s="166"/>
      <c r="I249" s="171"/>
      <c r="J249" s="158"/>
    </row>
    <row r="250" ht="15.75" customHeight="1">
      <c r="A250" s="184"/>
      <c r="B250" s="164"/>
      <c r="C250" s="165"/>
      <c r="D250" s="166"/>
      <c r="E250" s="165"/>
      <c r="F250" s="167"/>
      <c r="G250" s="168">
        <f t="shared" si="1"/>
        <v>0</v>
      </c>
      <c r="H250" s="166"/>
      <c r="I250" s="171"/>
      <c r="J250" s="158"/>
    </row>
    <row r="251" ht="15.75" customHeight="1">
      <c r="A251" s="184"/>
      <c r="B251" s="164"/>
      <c r="C251" s="165"/>
      <c r="D251" s="166"/>
      <c r="E251" s="165"/>
      <c r="F251" s="167"/>
      <c r="G251" s="168">
        <f t="shared" si="1"/>
        <v>0</v>
      </c>
      <c r="H251" s="166"/>
      <c r="I251" s="171"/>
      <c r="J251" s="158"/>
    </row>
    <row r="252" ht="15.75" customHeight="1">
      <c r="A252" s="184"/>
      <c r="B252" s="164"/>
      <c r="C252" s="165"/>
      <c r="D252" s="166"/>
      <c r="E252" s="165"/>
      <c r="F252" s="167"/>
      <c r="G252" s="168">
        <f t="shared" si="1"/>
        <v>0</v>
      </c>
      <c r="H252" s="166"/>
      <c r="I252" s="171"/>
      <c r="J252" s="158"/>
    </row>
    <row r="253" ht="15.75" customHeight="1">
      <c r="A253" s="184"/>
      <c r="B253" s="164"/>
      <c r="C253" s="165"/>
      <c r="D253" s="166"/>
      <c r="E253" s="165"/>
      <c r="F253" s="167"/>
      <c r="G253" s="168">
        <f t="shared" si="1"/>
        <v>0</v>
      </c>
      <c r="H253" s="166"/>
      <c r="I253" s="171"/>
      <c r="J253" s="158"/>
    </row>
    <row r="254" ht="15.75" customHeight="1">
      <c r="A254" s="184"/>
      <c r="B254" s="164"/>
      <c r="C254" s="165"/>
      <c r="D254" s="166"/>
      <c r="E254" s="165"/>
      <c r="F254" s="167"/>
      <c r="G254" s="168">
        <f t="shared" si="1"/>
        <v>0</v>
      </c>
      <c r="H254" s="166"/>
      <c r="I254" s="171"/>
      <c r="J254" s="158"/>
    </row>
    <row r="255" ht="15.75" customHeight="1">
      <c r="A255" s="184"/>
      <c r="B255" s="164"/>
      <c r="C255" s="165"/>
      <c r="D255" s="166"/>
      <c r="E255" s="165"/>
      <c r="F255" s="167"/>
      <c r="G255" s="168">
        <f t="shared" si="1"/>
        <v>0</v>
      </c>
      <c r="H255" s="166"/>
      <c r="I255" s="171"/>
      <c r="J255" s="158"/>
    </row>
    <row r="256" ht="15.75" customHeight="1">
      <c r="A256" s="184"/>
      <c r="B256" s="164"/>
      <c r="C256" s="165"/>
      <c r="D256" s="166"/>
      <c r="E256" s="165"/>
      <c r="F256" s="167"/>
      <c r="G256" s="168">
        <f t="shared" si="1"/>
        <v>0</v>
      </c>
      <c r="H256" s="166"/>
      <c r="I256" s="171"/>
      <c r="J256" s="158"/>
    </row>
    <row r="257" ht="15.75" customHeight="1">
      <c r="A257" s="184"/>
      <c r="B257" s="164"/>
      <c r="C257" s="165"/>
      <c r="D257" s="166"/>
      <c r="E257" s="165"/>
      <c r="F257" s="167"/>
      <c r="G257" s="168">
        <f t="shared" si="1"/>
        <v>0</v>
      </c>
      <c r="H257" s="166"/>
      <c r="I257" s="171"/>
      <c r="J257" s="158"/>
    </row>
    <row r="258" ht="15.75" customHeight="1">
      <c r="A258" s="184"/>
      <c r="B258" s="164"/>
      <c r="C258" s="165"/>
      <c r="D258" s="166"/>
      <c r="E258" s="165"/>
      <c r="F258" s="167"/>
      <c r="G258" s="168">
        <f t="shared" si="1"/>
        <v>0</v>
      </c>
      <c r="H258" s="166"/>
      <c r="I258" s="171"/>
      <c r="J258" s="158"/>
    </row>
    <row r="259" ht="15.75" customHeight="1">
      <c r="A259" s="184"/>
      <c r="B259" s="164"/>
      <c r="C259" s="165"/>
      <c r="D259" s="166"/>
      <c r="E259" s="165"/>
      <c r="F259" s="167"/>
      <c r="G259" s="168">
        <f t="shared" si="1"/>
        <v>0</v>
      </c>
      <c r="H259" s="166"/>
      <c r="I259" s="171"/>
      <c r="J259" s="158"/>
    </row>
    <row r="260" ht="15.75" customHeight="1">
      <c r="A260" s="184"/>
      <c r="B260" s="164"/>
      <c r="C260" s="165"/>
      <c r="D260" s="166"/>
      <c r="E260" s="165"/>
      <c r="F260" s="167"/>
      <c r="G260" s="168">
        <f t="shared" si="1"/>
        <v>0</v>
      </c>
      <c r="H260" s="166"/>
      <c r="I260" s="171"/>
      <c r="J260" s="158"/>
    </row>
    <row r="261" ht="15.75" customHeight="1">
      <c r="A261" s="184"/>
      <c r="B261" s="164"/>
      <c r="C261" s="165"/>
      <c r="D261" s="166"/>
      <c r="E261" s="165"/>
      <c r="F261" s="167"/>
      <c r="G261" s="168">
        <f t="shared" si="1"/>
        <v>0</v>
      </c>
      <c r="H261" s="166"/>
      <c r="I261" s="171"/>
      <c r="J261" s="158"/>
    </row>
    <row r="262" ht="15.75" customHeight="1">
      <c r="A262" s="184"/>
      <c r="B262" s="164"/>
      <c r="C262" s="165"/>
      <c r="D262" s="166"/>
      <c r="E262" s="165"/>
      <c r="F262" s="167"/>
      <c r="G262" s="168">
        <f t="shared" si="1"/>
        <v>0</v>
      </c>
      <c r="H262" s="166"/>
      <c r="I262" s="171"/>
      <c r="J262" s="158"/>
    </row>
    <row r="263" ht="15.75" customHeight="1">
      <c r="A263" s="184"/>
      <c r="B263" s="164"/>
      <c r="C263" s="165"/>
      <c r="D263" s="166"/>
      <c r="E263" s="165"/>
      <c r="F263" s="167"/>
      <c r="G263" s="168">
        <f t="shared" si="1"/>
        <v>0</v>
      </c>
      <c r="H263" s="166"/>
      <c r="I263" s="171"/>
      <c r="J263" s="158"/>
    </row>
    <row r="264" ht="15.75" customHeight="1">
      <c r="A264" s="184"/>
      <c r="B264" s="164"/>
      <c r="C264" s="165"/>
      <c r="D264" s="166"/>
      <c r="E264" s="165"/>
      <c r="F264" s="167"/>
      <c r="G264" s="168">
        <f t="shared" si="1"/>
        <v>0</v>
      </c>
      <c r="H264" s="166"/>
      <c r="I264" s="171"/>
      <c r="J264" s="158"/>
    </row>
    <row r="265" ht="15.75" customHeight="1">
      <c r="A265" s="184"/>
      <c r="B265" s="164"/>
      <c r="C265" s="165"/>
      <c r="D265" s="166"/>
      <c r="E265" s="165"/>
      <c r="F265" s="167"/>
      <c r="G265" s="168">
        <f t="shared" si="1"/>
        <v>0</v>
      </c>
      <c r="H265" s="166"/>
      <c r="I265" s="171"/>
      <c r="J265" s="158"/>
    </row>
    <row r="266" ht="15.75" customHeight="1">
      <c r="A266" s="184"/>
      <c r="B266" s="164"/>
      <c r="C266" s="165"/>
      <c r="D266" s="166"/>
      <c r="E266" s="165"/>
      <c r="F266" s="167"/>
      <c r="G266" s="168">
        <f t="shared" si="1"/>
        <v>0</v>
      </c>
      <c r="H266" s="166"/>
      <c r="I266" s="171"/>
      <c r="J266" s="158"/>
    </row>
    <row r="267" ht="15.75" customHeight="1">
      <c r="A267" s="184"/>
      <c r="B267" s="164"/>
      <c r="C267" s="165"/>
      <c r="D267" s="166"/>
      <c r="E267" s="165"/>
      <c r="F267" s="167"/>
      <c r="G267" s="168">
        <f t="shared" si="1"/>
        <v>0</v>
      </c>
      <c r="H267" s="166"/>
      <c r="I267" s="171"/>
      <c r="J267" s="158"/>
    </row>
    <row r="268" ht="15.75" customHeight="1">
      <c r="A268" s="184"/>
      <c r="B268" s="164"/>
      <c r="C268" s="165"/>
      <c r="D268" s="166"/>
      <c r="E268" s="165"/>
      <c r="F268" s="167"/>
      <c r="G268" s="168">
        <f t="shared" si="1"/>
        <v>0</v>
      </c>
      <c r="H268" s="166"/>
      <c r="I268" s="171"/>
      <c r="J268" s="158"/>
    </row>
    <row r="269" ht="15.75" customHeight="1">
      <c r="A269" s="184"/>
      <c r="B269" s="164"/>
      <c r="C269" s="165"/>
      <c r="D269" s="166"/>
      <c r="E269" s="165"/>
      <c r="F269" s="167"/>
      <c r="G269" s="168">
        <f t="shared" si="1"/>
        <v>0</v>
      </c>
      <c r="H269" s="166"/>
      <c r="I269" s="171"/>
      <c r="J269" s="158"/>
    </row>
    <row r="270" ht="15.75" customHeight="1">
      <c r="A270" s="184"/>
      <c r="B270" s="164"/>
      <c r="C270" s="165"/>
      <c r="D270" s="166"/>
      <c r="E270" s="165"/>
      <c r="F270" s="167"/>
      <c r="G270" s="168">
        <f t="shared" si="1"/>
        <v>0</v>
      </c>
      <c r="H270" s="166"/>
      <c r="I270" s="171"/>
      <c r="J270" s="158"/>
    </row>
    <row r="271" ht="15.75" customHeight="1">
      <c r="A271" s="184"/>
      <c r="B271" s="164"/>
      <c r="C271" s="165"/>
      <c r="D271" s="166"/>
      <c r="E271" s="165"/>
      <c r="F271" s="167"/>
      <c r="G271" s="168">
        <f t="shared" si="1"/>
        <v>0</v>
      </c>
      <c r="H271" s="166"/>
      <c r="I271" s="171"/>
      <c r="J271" s="158"/>
    </row>
    <row r="272" ht="15.75" customHeight="1">
      <c r="A272" s="184"/>
      <c r="B272" s="164"/>
      <c r="C272" s="165"/>
      <c r="D272" s="166"/>
      <c r="E272" s="165"/>
      <c r="F272" s="167"/>
      <c r="G272" s="168">
        <f t="shared" si="1"/>
        <v>0</v>
      </c>
      <c r="H272" s="166"/>
      <c r="I272" s="171"/>
      <c r="J272" s="158"/>
    </row>
    <row r="273" ht="15.75" customHeight="1">
      <c r="A273" s="184"/>
      <c r="B273" s="164"/>
      <c r="C273" s="165"/>
      <c r="D273" s="166"/>
      <c r="E273" s="165"/>
      <c r="F273" s="167"/>
      <c r="G273" s="168">
        <f t="shared" si="1"/>
        <v>0</v>
      </c>
      <c r="H273" s="166"/>
      <c r="I273" s="171"/>
      <c r="J273" s="158"/>
    </row>
    <row r="274" ht="15.75" customHeight="1">
      <c r="A274" s="184"/>
      <c r="B274" s="164"/>
      <c r="C274" s="165"/>
      <c r="D274" s="166"/>
      <c r="E274" s="165"/>
      <c r="F274" s="167"/>
      <c r="G274" s="185"/>
      <c r="H274" s="166"/>
      <c r="I274" s="171"/>
      <c r="J274" s="158"/>
    </row>
    <row r="275" ht="15.75" customHeight="1">
      <c r="A275" s="184"/>
      <c r="B275" s="164"/>
      <c r="C275" s="165"/>
      <c r="D275" s="166"/>
      <c r="E275" s="165"/>
      <c r="F275" s="167"/>
      <c r="G275" s="185"/>
      <c r="H275" s="166"/>
      <c r="I275" s="171"/>
      <c r="J275" s="158"/>
    </row>
    <row r="276" ht="15.75" customHeight="1">
      <c r="A276" s="184"/>
      <c r="B276" s="164"/>
      <c r="C276" s="165"/>
      <c r="D276" s="166"/>
      <c r="E276" s="165"/>
      <c r="F276" s="167"/>
      <c r="G276" s="185"/>
      <c r="H276" s="166"/>
      <c r="I276" s="171"/>
      <c r="J276" s="158"/>
    </row>
    <row r="277" ht="15.75" customHeight="1">
      <c r="A277" s="184"/>
      <c r="B277" s="164"/>
      <c r="C277" s="165"/>
      <c r="D277" s="166"/>
      <c r="E277" s="165"/>
      <c r="F277" s="167"/>
      <c r="G277" s="185"/>
      <c r="H277" s="166"/>
      <c r="I277" s="171"/>
      <c r="J277" s="158"/>
    </row>
    <row r="278" ht="15.75" customHeight="1">
      <c r="A278" s="184"/>
      <c r="B278" s="164"/>
      <c r="C278" s="165"/>
      <c r="D278" s="166"/>
      <c r="E278" s="165"/>
      <c r="F278" s="167"/>
      <c r="G278" s="185"/>
      <c r="H278" s="166"/>
      <c r="I278" s="171"/>
      <c r="J278" s="158"/>
    </row>
    <row r="279" ht="15.75" customHeight="1">
      <c r="A279" s="184"/>
      <c r="B279" s="164"/>
      <c r="C279" s="165"/>
      <c r="D279" s="166"/>
      <c r="E279" s="165"/>
      <c r="F279" s="167"/>
      <c r="G279" s="185"/>
      <c r="H279" s="166"/>
      <c r="I279" s="171"/>
      <c r="J279" s="158"/>
    </row>
    <row r="280" ht="15.75" customHeight="1">
      <c r="A280" s="184"/>
      <c r="B280" s="164"/>
      <c r="C280" s="165"/>
      <c r="D280" s="166"/>
      <c r="E280" s="165"/>
      <c r="F280" s="167"/>
      <c r="G280" s="185"/>
      <c r="H280" s="166"/>
      <c r="I280" s="171"/>
      <c r="J280" s="158"/>
    </row>
    <row r="281" ht="15.75" customHeight="1">
      <c r="A281" s="184"/>
      <c r="B281" s="164"/>
      <c r="C281" s="165"/>
      <c r="D281" s="166"/>
      <c r="E281" s="165"/>
      <c r="F281" s="167"/>
      <c r="G281" s="185"/>
      <c r="H281" s="166"/>
      <c r="I281" s="171"/>
      <c r="J281" s="158"/>
    </row>
    <row r="282" ht="15.75" customHeight="1">
      <c r="A282" s="184"/>
      <c r="B282" s="164"/>
      <c r="C282" s="165"/>
      <c r="D282" s="166"/>
      <c r="E282" s="165"/>
      <c r="F282" s="167"/>
      <c r="G282" s="185"/>
      <c r="H282" s="166"/>
      <c r="I282" s="171"/>
      <c r="J282" s="158"/>
    </row>
    <row r="283" ht="15.75" customHeight="1">
      <c r="A283" s="184"/>
      <c r="B283" s="164"/>
      <c r="C283" s="165"/>
      <c r="D283" s="166"/>
      <c r="E283" s="165"/>
      <c r="F283" s="167"/>
      <c r="G283" s="185"/>
      <c r="H283" s="166"/>
      <c r="I283" s="171"/>
      <c r="J283" s="158"/>
    </row>
    <row r="284" ht="15.75" customHeight="1">
      <c r="A284" s="184"/>
      <c r="B284" s="164"/>
      <c r="C284" s="165"/>
      <c r="D284" s="166"/>
      <c r="E284" s="165"/>
      <c r="F284" s="167"/>
      <c r="G284" s="185"/>
      <c r="H284" s="166"/>
      <c r="I284" s="171"/>
      <c r="J284" s="158"/>
    </row>
    <row r="285" ht="15.75" customHeight="1">
      <c r="A285" s="184"/>
      <c r="B285" s="164"/>
      <c r="C285" s="165"/>
      <c r="D285" s="166"/>
      <c r="E285" s="165"/>
      <c r="F285" s="167"/>
      <c r="G285" s="185"/>
      <c r="H285" s="166"/>
      <c r="I285" s="171"/>
      <c r="J285" s="158"/>
    </row>
    <row r="286" ht="15.75" customHeight="1">
      <c r="A286" s="184"/>
      <c r="B286" s="164"/>
      <c r="C286" s="165"/>
      <c r="D286" s="166"/>
      <c r="E286" s="165"/>
      <c r="F286" s="167"/>
      <c r="G286" s="185"/>
      <c r="H286" s="166"/>
      <c r="I286" s="171"/>
      <c r="J286" s="158"/>
    </row>
    <row r="287" ht="15.75" customHeight="1">
      <c r="A287" s="184"/>
      <c r="B287" s="164"/>
      <c r="C287" s="165"/>
      <c r="D287" s="166"/>
      <c r="E287" s="165"/>
      <c r="F287" s="167"/>
      <c r="G287" s="185"/>
      <c r="H287" s="166"/>
      <c r="I287" s="171"/>
      <c r="J287" s="158"/>
    </row>
    <row r="288" ht="15.75" customHeight="1">
      <c r="A288" s="184"/>
      <c r="B288" s="164"/>
      <c r="C288" s="165"/>
      <c r="D288" s="166"/>
      <c r="E288" s="165"/>
      <c r="F288" s="167"/>
      <c r="G288" s="185"/>
      <c r="H288" s="166"/>
      <c r="I288" s="171"/>
      <c r="J288" s="158"/>
    </row>
    <row r="289" ht="15.75" customHeight="1">
      <c r="A289" s="184"/>
      <c r="B289" s="164"/>
      <c r="C289" s="165"/>
      <c r="D289" s="166"/>
      <c r="E289" s="165"/>
      <c r="F289" s="167"/>
      <c r="G289" s="185"/>
      <c r="H289" s="166"/>
      <c r="I289" s="171"/>
      <c r="J289" s="158"/>
    </row>
    <row r="290" ht="15.75" customHeight="1">
      <c r="A290" s="184"/>
      <c r="B290" s="164"/>
      <c r="C290" s="165"/>
      <c r="D290" s="166"/>
      <c r="E290" s="165"/>
      <c r="F290" s="167"/>
      <c r="G290" s="185"/>
      <c r="H290" s="166"/>
      <c r="I290" s="171"/>
      <c r="J290" s="158"/>
    </row>
    <row r="291" ht="15.75" customHeight="1">
      <c r="A291" s="184"/>
      <c r="B291" s="164"/>
      <c r="C291" s="165"/>
      <c r="D291" s="166"/>
      <c r="E291" s="165"/>
      <c r="F291" s="167"/>
      <c r="G291" s="185"/>
      <c r="H291" s="166"/>
      <c r="I291" s="171"/>
      <c r="J291" s="158"/>
    </row>
    <row r="292" ht="15.75" customHeight="1">
      <c r="A292" s="184"/>
      <c r="B292" s="164"/>
      <c r="C292" s="165"/>
      <c r="D292" s="166"/>
      <c r="E292" s="165"/>
      <c r="F292" s="167"/>
      <c r="G292" s="185"/>
      <c r="H292" s="166"/>
      <c r="I292" s="171"/>
      <c r="J292" s="158"/>
    </row>
    <row r="293" ht="15.75" customHeight="1">
      <c r="A293" s="184"/>
      <c r="B293" s="164"/>
      <c r="C293" s="165"/>
      <c r="D293" s="166"/>
      <c r="E293" s="165"/>
      <c r="F293" s="167"/>
      <c r="G293" s="185"/>
      <c r="H293" s="166"/>
      <c r="I293" s="171"/>
      <c r="J293" s="158"/>
    </row>
    <row r="294" ht="15.75" customHeight="1">
      <c r="A294" s="184"/>
      <c r="B294" s="164"/>
      <c r="C294" s="165"/>
      <c r="D294" s="166"/>
      <c r="E294" s="165"/>
      <c r="F294" s="167"/>
      <c r="G294" s="185"/>
      <c r="H294" s="166"/>
      <c r="I294" s="171"/>
      <c r="J294" s="158"/>
    </row>
    <row r="295" ht="15.75" customHeight="1">
      <c r="A295" s="184"/>
      <c r="B295" s="164"/>
      <c r="C295" s="165"/>
      <c r="D295" s="166"/>
      <c r="E295" s="165"/>
      <c r="F295" s="167"/>
      <c r="G295" s="185"/>
      <c r="H295" s="166"/>
      <c r="I295" s="171"/>
      <c r="J295" s="158"/>
    </row>
    <row r="296" ht="15.75" customHeight="1">
      <c r="A296" s="184"/>
      <c r="B296" s="164"/>
      <c r="C296" s="165"/>
      <c r="D296" s="166"/>
      <c r="E296" s="165"/>
      <c r="F296" s="167"/>
      <c r="G296" s="185"/>
      <c r="H296" s="166"/>
      <c r="I296" s="171"/>
      <c r="J296" s="158"/>
    </row>
    <row r="297" ht="15.75" customHeight="1">
      <c r="A297" s="184"/>
      <c r="B297" s="164"/>
      <c r="C297" s="165"/>
      <c r="D297" s="166"/>
      <c r="E297" s="165"/>
      <c r="F297" s="167"/>
      <c r="G297" s="185"/>
      <c r="H297" s="166"/>
      <c r="I297" s="171"/>
      <c r="J297" s="158"/>
    </row>
    <row r="298" ht="15.75" customHeight="1">
      <c r="A298" s="184"/>
      <c r="B298" s="164"/>
      <c r="C298" s="165"/>
      <c r="D298" s="166"/>
      <c r="E298" s="165"/>
      <c r="F298" s="167"/>
      <c r="G298" s="185"/>
      <c r="H298" s="166"/>
      <c r="I298" s="171"/>
      <c r="J298" s="158"/>
    </row>
    <row r="299" ht="15.75" customHeight="1">
      <c r="A299" s="184"/>
      <c r="B299" s="164"/>
      <c r="C299" s="165"/>
      <c r="D299" s="166"/>
      <c r="E299" s="165"/>
      <c r="F299" s="167"/>
      <c r="G299" s="185"/>
      <c r="H299" s="166"/>
      <c r="I299" s="171"/>
      <c r="J299" s="158"/>
    </row>
    <row r="300" ht="15.75" customHeight="1">
      <c r="A300" s="184"/>
      <c r="B300" s="164"/>
      <c r="C300" s="165"/>
      <c r="D300" s="166"/>
      <c r="E300" s="165"/>
      <c r="F300" s="167"/>
      <c r="G300" s="185"/>
      <c r="H300" s="166"/>
      <c r="I300" s="171"/>
      <c r="J300" s="158"/>
    </row>
    <row r="301" ht="15.75" customHeight="1">
      <c r="A301" s="184"/>
      <c r="B301" s="164"/>
      <c r="C301" s="165"/>
      <c r="D301" s="166"/>
      <c r="E301" s="165"/>
      <c r="F301" s="167"/>
      <c r="G301" s="185"/>
      <c r="H301" s="166"/>
      <c r="I301" s="171"/>
      <c r="J301" s="158"/>
    </row>
    <row r="302" ht="15.75" customHeight="1">
      <c r="A302" s="184"/>
      <c r="B302" s="164"/>
      <c r="C302" s="165"/>
      <c r="D302" s="166"/>
      <c r="E302" s="165"/>
      <c r="F302" s="167"/>
      <c r="G302" s="185"/>
      <c r="H302" s="166"/>
      <c r="I302" s="171"/>
      <c r="J302" s="158"/>
    </row>
    <row r="303" ht="15.75" customHeight="1">
      <c r="A303" s="184"/>
      <c r="B303" s="164"/>
      <c r="C303" s="165"/>
      <c r="D303" s="166"/>
      <c r="E303" s="165"/>
      <c r="F303" s="167"/>
      <c r="G303" s="185"/>
      <c r="H303" s="166"/>
      <c r="I303" s="171"/>
      <c r="J303" s="158"/>
    </row>
    <row r="304" ht="15.75" customHeight="1">
      <c r="A304" s="184"/>
      <c r="B304" s="164"/>
      <c r="C304" s="165"/>
      <c r="D304" s="166"/>
      <c r="E304" s="165"/>
      <c r="F304" s="167"/>
      <c r="G304" s="185"/>
      <c r="H304" s="166"/>
      <c r="I304" s="171"/>
      <c r="J304" s="158"/>
    </row>
    <row r="305" ht="15.75" customHeight="1">
      <c r="A305" s="184"/>
      <c r="B305" s="164"/>
      <c r="C305" s="165"/>
      <c r="D305" s="166"/>
      <c r="E305" s="165"/>
      <c r="F305" s="167"/>
      <c r="G305" s="185"/>
      <c r="H305" s="166"/>
      <c r="I305" s="171"/>
      <c r="J305" s="158"/>
    </row>
    <row r="306" ht="15.75" customHeight="1">
      <c r="A306" s="184"/>
      <c r="B306" s="164"/>
      <c r="C306" s="165"/>
      <c r="D306" s="166"/>
      <c r="E306" s="165"/>
      <c r="F306" s="167"/>
      <c r="G306" s="185"/>
      <c r="H306" s="166"/>
      <c r="I306" s="171"/>
      <c r="J306" s="158"/>
    </row>
    <row r="307" ht="15.75" customHeight="1">
      <c r="A307" s="184"/>
      <c r="B307" s="164"/>
      <c r="C307" s="165"/>
      <c r="D307" s="166"/>
      <c r="E307" s="165"/>
      <c r="F307" s="167"/>
      <c r="G307" s="185"/>
      <c r="H307" s="166"/>
      <c r="I307" s="171"/>
      <c r="J307" s="158"/>
    </row>
    <row r="308" ht="15.75" customHeight="1">
      <c r="A308" s="184"/>
      <c r="B308" s="164"/>
      <c r="C308" s="165"/>
      <c r="D308" s="166"/>
      <c r="E308" s="165"/>
      <c r="F308" s="167"/>
      <c r="G308" s="185"/>
      <c r="H308" s="166"/>
      <c r="I308" s="171"/>
      <c r="J308" s="158"/>
    </row>
    <row r="309" ht="15.75" customHeight="1">
      <c r="A309" s="184"/>
      <c r="B309" s="164"/>
      <c r="C309" s="165"/>
      <c r="D309" s="166"/>
      <c r="E309" s="165"/>
      <c r="F309" s="167"/>
      <c r="G309" s="185"/>
      <c r="H309" s="166"/>
      <c r="I309" s="171"/>
      <c r="J309" s="158"/>
    </row>
    <row r="310" ht="15.75" customHeight="1">
      <c r="A310" s="184"/>
      <c r="B310" s="164"/>
      <c r="C310" s="165"/>
      <c r="D310" s="166"/>
      <c r="E310" s="165"/>
      <c r="F310" s="167"/>
      <c r="G310" s="185"/>
      <c r="H310" s="166"/>
      <c r="I310" s="171"/>
      <c r="J310" s="158"/>
    </row>
    <row r="311" ht="15.75" customHeight="1">
      <c r="A311" s="184"/>
      <c r="B311" s="164"/>
      <c r="C311" s="165"/>
      <c r="D311" s="166"/>
      <c r="E311" s="165"/>
      <c r="F311" s="167"/>
      <c r="G311" s="185"/>
      <c r="H311" s="166"/>
      <c r="I311" s="171"/>
      <c r="J311" s="158"/>
    </row>
    <row r="312" ht="15.75" customHeight="1">
      <c r="A312" s="184"/>
      <c r="B312" s="164"/>
      <c r="C312" s="165"/>
      <c r="D312" s="166"/>
      <c r="E312" s="165"/>
      <c r="F312" s="167"/>
      <c r="G312" s="185"/>
      <c r="H312" s="166"/>
      <c r="I312" s="171"/>
      <c r="J312" s="158"/>
    </row>
    <row r="313" ht="15.75" customHeight="1">
      <c r="A313" s="184"/>
      <c r="B313" s="164"/>
      <c r="C313" s="165"/>
      <c r="D313" s="166"/>
      <c r="E313" s="165"/>
      <c r="F313" s="167"/>
      <c r="G313" s="185"/>
      <c r="H313" s="166"/>
      <c r="I313" s="171"/>
      <c r="J313" s="158"/>
    </row>
    <row r="314" ht="15.75" customHeight="1">
      <c r="A314" s="184"/>
      <c r="B314" s="164"/>
      <c r="C314" s="165"/>
      <c r="D314" s="166"/>
      <c r="E314" s="165"/>
      <c r="F314" s="167"/>
      <c r="G314" s="185"/>
      <c r="H314" s="166"/>
      <c r="I314" s="171"/>
      <c r="J314" s="158"/>
    </row>
    <row r="315" ht="15.75" customHeight="1">
      <c r="A315" s="184"/>
      <c r="B315" s="164"/>
      <c r="C315" s="165"/>
      <c r="D315" s="166"/>
      <c r="E315" s="165"/>
      <c r="F315" s="167"/>
      <c r="G315" s="185"/>
      <c r="H315" s="166"/>
      <c r="I315" s="171"/>
      <c r="J315" s="158"/>
    </row>
    <row r="316" ht="15.75" customHeight="1">
      <c r="A316" s="184"/>
      <c r="B316" s="164"/>
      <c r="C316" s="165"/>
      <c r="D316" s="166"/>
      <c r="E316" s="165"/>
      <c r="F316" s="167"/>
      <c r="G316" s="185"/>
      <c r="H316" s="166"/>
      <c r="I316" s="171"/>
      <c r="J316" s="158"/>
    </row>
    <row r="317" ht="15.75" customHeight="1">
      <c r="A317" s="184"/>
      <c r="B317" s="164"/>
      <c r="C317" s="165"/>
      <c r="D317" s="166"/>
      <c r="E317" s="165"/>
      <c r="F317" s="167"/>
      <c r="G317" s="185"/>
      <c r="H317" s="166"/>
      <c r="I317" s="171"/>
      <c r="J317" s="158"/>
    </row>
    <row r="318" ht="15.75" customHeight="1">
      <c r="A318" s="184"/>
      <c r="B318" s="164"/>
      <c r="C318" s="165"/>
      <c r="D318" s="166"/>
      <c r="E318" s="165"/>
      <c r="F318" s="167"/>
      <c r="G318" s="185"/>
      <c r="H318" s="166"/>
      <c r="I318" s="171"/>
      <c r="J318" s="158"/>
    </row>
    <row r="319" ht="15.75" customHeight="1">
      <c r="A319" s="184"/>
      <c r="B319" s="164"/>
      <c r="C319" s="165"/>
      <c r="D319" s="166"/>
      <c r="E319" s="165"/>
      <c r="F319" s="167"/>
      <c r="G319" s="185"/>
      <c r="H319" s="166"/>
      <c r="I319" s="171"/>
      <c r="J319" s="158"/>
    </row>
    <row r="320" ht="15.75" customHeight="1">
      <c r="A320" s="184"/>
      <c r="B320" s="164"/>
      <c r="C320" s="165"/>
      <c r="D320" s="166"/>
      <c r="E320" s="165"/>
      <c r="F320" s="167"/>
      <c r="G320" s="185"/>
      <c r="H320" s="166"/>
      <c r="I320" s="171"/>
      <c r="J320" s="158"/>
    </row>
    <row r="321" ht="15.75" customHeight="1">
      <c r="A321" s="184"/>
      <c r="B321" s="164"/>
      <c r="C321" s="165"/>
      <c r="D321" s="166"/>
      <c r="E321" s="165"/>
      <c r="F321" s="167"/>
      <c r="G321" s="185"/>
      <c r="H321" s="166"/>
      <c r="I321" s="171"/>
      <c r="J321" s="158"/>
    </row>
    <row r="322" ht="15.75" customHeight="1">
      <c r="A322" s="184"/>
      <c r="B322" s="164"/>
      <c r="C322" s="165"/>
      <c r="D322" s="166"/>
      <c r="E322" s="165"/>
      <c r="F322" s="167"/>
      <c r="G322" s="185"/>
      <c r="H322" s="166"/>
      <c r="I322" s="171"/>
      <c r="J322" s="158"/>
    </row>
    <row r="323" ht="15.75" customHeight="1">
      <c r="A323" s="184"/>
      <c r="B323" s="164"/>
      <c r="C323" s="165"/>
      <c r="D323" s="166"/>
      <c r="E323" s="165"/>
      <c r="F323" s="167"/>
      <c r="G323" s="185"/>
      <c r="H323" s="166"/>
      <c r="I323" s="171"/>
      <c r="J323" s="158"/>
    </row>
    <row r="324" ht="15.75" customHeight="1">
      <c r="A324" s="184"/>
      <c r="B324" s="164"/>
      <c r="C324" s="165"/>
      <c r="D324" s="166"/>
      <c r="E324" s="165"/>
      <c r="F324" s="167"/>
      <c r="G324" s="185"/>
      <c r="H324" s="166"/>
      <c r="I324" s="171"/>
      <c r="J324" s="158"/>
    </row>
    <row r="325" ht="15.75" customHeight="1">
      <c r="A325" s="184"/>
      <c r="B325" s="164"/>
      <c r="C325" s="165"/>
      <c r="D325" s="166"/>
      <c r="E325" s="165"/>
      <c r="F325" s="167"/>
      <c r="G325" s="185"/>
      <c r="H325" s="166"/>
      <c r="I325" s="171"/>
      <c r="J325" s="158"/>
    </row>
    <row r="326" ht="15.75" customHeight="1">
      <c r="A326" s="184"/>
      <c r="B326" s="164"/>
      <c r="C326" s="165"/>
      <c r="D326" s="166"/>
      <c r="E326" s="165"/>
      <c r="F326" s="167"/>
      <c r="G326" s="185"/>
      <c r="H326" s="166"/>
      <c r="I326" s="171"/>
      <c r="J326" s="158"/>
    </row>
    <row r="327" ht="15.75" customHeight="1">
      <c r="A327" s="184"/>
      <c r="B327" s="164"/>
      <c r="C327" s="165"/>
      <c r="D327" s="166"/>
      <c r="E327" s="165"/>
      <c r="F327" s="167"/>
      <c r="G327" s="185"/>
      <c r="H327" s="166"/>
      <c r="I327" s="171"/>
      <c r="J327" s="158"/>
    </row>
    <row r="328" ht="15.75" customHeight="1">
      <c r="A328" s="184"/>
      <c r="B328" s="164"/>
      <c r="C328" s="165"/>
      <c r="D328" s="166"/>
      <c r="E328" s="165"/>
      <c r="F328" s="167"/>
      <c r="G328" s="185"/>
      <c r="H328" s="166"/>
      <c r="I328" s="171"/>
      <c r="J328" s="158"/>
    </row>
    <row r="329" ht="15.75" customHeight="1">
      <c r="A329" s="184"/>
      <c r="B329" s="164"/>
      <c r="C329" s="165"/>
      <c r="D329" s="166"/>
      <c r="E329" s="165"/>
      <c r="F329" s="167"/>
      <c r="G329" s="185"/>
      <c r="H329" s="166"/>
      <c r="I329" s="171"/>
      <c r="J329" s="158"/>
    </row>
    <row r="330" ht="15.75" customHeight="1">
      <c r="A330" s="184"/>
      <c r="B330" s="164"/>
      <c r="C330" s="165"/>
      <c r="D330" s="166"/>
      <c r="E330" s="165"/>
      <c r="F330" s="167"/>
      <c r="G330" s="185"/>
      <c r="H330" s="166"/>
      <c r="I330" s="171"/>
      <c r="J330" s="158"/>
    </row>
    <row r="331" ht="15.75" customHeight="1">
      <c r="A331" s="184"/>
      <c r="B331" s="164"/>
      <c r="C331" s="165"/>
      <c r="D331" s="166"/>
      <c r="E331" s="165"/>
      <c r="F331" s="167"/>
      <c r="G331" s="185"/>
      <c r="H331" s="166"/>
      <c r="I331" s="171"/>
      <c r="J331" s="158"/>
    </row>
    <row r="332" ht="15.75" customHeight="1">
      <c r="A332" s="184"/>
      <c r="B332" s="164"/>
      <c r="C332" s="165"/>
      <c r="D332" s="166"/>
      <c r="E332" s="165"/>
      <c r="F332" s="167"/>
      <c r="G332" s="185"/>
      <c r="H332" s="166"/>
      <c r="I332" s="171"/>
      <c r="J332" s="158"/>
    </row>
    <row r="333" ht="15.75" customHeight="1">
      <c r="A333" s="184"/>
      <c r="B333" s="164"/>
      <c r="C333" s="165"/>
      <c r="D333" s="166"/>
      <c r="E333" s="165"/>
      <c r="F333" s="167"/>
      <c r="G333" s="185"/>
      <c r="H333" s="166"/>
      <c r="I333" s="171"/>
      <c r="J333" s="158"/>
    </row>
    <row r="334" ht="15.75" customHeight="1">
      <c r="A334" s="184"/>
      <c r="B334" s="164"/>
      <c r="C334" s="165"/>
      <c r="D334" s="166"/>
      <c r="E334" s="165"/>
      <c r="F334" s="167"/>
      <c r="G334" s="185"/>
      <c r="H334" s="166"/>
      <c r="I334" s="171"/>
      <c r="J334" s="158"/>
    </row>
    <row r="335" ht="15.75" customHeight="1">
      <c r="A335" s="184"/>
      <c r="B335" s="164"/>
      <c r="C335" s="165"/>
      <c r="D335" s="166"/>
      <c r="E335" s="165"/>
      <c r="F335" s="167"/>
      <c r="G335" s="185"/>
      <c r="H335" s="166"/>
      <c r="I335" s="171"/>
      <c r="J335" s="158"/>
    </row>
    <row r="336" ht="15.75" customHeight="1">
      <c r="A336" s="184"/>
      <c r="B336" s="164"/>
      <c r="C336" s="165"/>
      <c r="D336" s="166"/>
      <c r="E336" s="165"/>
      <c r="F336" s="167"/>
      <c r="G336" s="185"/>
      <c r="H336" s="166"/>
      <c r="I336" s="171"/>
      <c r="J336" s="158"/>
    </row>
    <row r="337" ht="15.75" customHeight="1">
      <c r="A337" s="184"/>
      <c r="B337" s="164"/>
      <c r="C337" s="165"/>
      <c r="D337" s="166"/>
      <c r="E337" s="165"/>
      <c r="F337" s="167"/>
      <c r="G337" s="185"/>
      <c r="H337" s="166"/>
      <c r="I337" s="171"/>
      <c r="J337" s="158"/>
    </row>
    <row r="338" ht="15.75" customHeight="1">
      <c r="A338" s="184"/>
      <c r="B338" s="164"/>
      <c r="C338" s="165"/>
      <c r="D338" s="166"/>
      <c r="E338" s="165"/>
      <c r="F338" s="167"/>
      <c r="G338" s="185"/>
      <c r="H338" s="166"/>
      <c r="I338" s="171"/>
      <c r="J338" s="158"/>
    </row>
    <row r="339" ht="15.75" customHeight="1">
      <c r="A339" s="184"/>
      <c r="B339" s="164"/>
      <c r="C339" s="165"/>
      <c r="D339" s="166"/>
      <c r="E339" s="165"/>
      <c r="F339" s="167"/>
      <c r="G339" s="185"/>
      <c r="H339" s="166"/>
      <c r="I339" s="171"/>
      <c r="J339" s="158"/>
    </row>
    <row r="340" ht="15.75" customHeight="1">
      <c r="A340" s="184"/>
      <c r="B340" s="164"/>
      <c r="C340" s="165"/>
      <c r="D340" s="166"/>
      <c r="E340" s="165"/>
      <c r="F340" s="167"/>
      <c r="G340" s="185"/>
      <c r="H340" s="166"/>
      <c r="I340" s="171"/>
      <c r="J340" s="158"/>
    </row>
    <row r="341" ht="15.75" customHeight="1">
      <c r="A341" s="184"/>
      <c r="B341" s="164"/>
      <c r="C341" s="165"/>
      <c r="D341" s="166"/>
      <c r="E341" s="165"/>
      <c r="F341" s="167"/>
      <c r="G341" s="185"/>
      <c r="H341" s="166"/>
      <c r="I341" s="171"/>
      <c r="J341" s="158"/>
    </row>
    <row r="342" ht="15.75" customHeight="1">
      <c r="A342" s="184"/>
      <c r="B342" s="164"/>
      <c r="C342" s="165"/>
      <c r="D342" s="166"/>
      <c r="E342" s="165"/>
      <c r="F342" s="167"/>
      <c r="G342" s="185"/>
      <c r="H342" s="166"/>
      <c r="I342" s="171"/>
      <c r="J342" s="158"/>
    </row>
    <row r="343" ht="15.75" customHeight="1">
      <c r="A343" s="184"/>
      <c r="B343" s="164"/>
      <c r="C343" s="165"/>
      <c r="D343" s="166"/>
      <c r="E343" s="165"/>
      <c r="F343" s="167"/>
      <c r="G343" s="185"/>
      <c r="H343" s="166"/>
      <c r="I343" s="171"/>
      <c r="J343" s="158"/>
    </row>
    <row r="344" ht="15.75" customHeight="1">
      <c r="A344" s="184"/>
      <c r="B344" s="164"/>
      <c r="C344" s="165"/>
      <c r="D344" s="166"/>
      <c r="E344" s="165"/>
      <c r="F344" s="167"/>
      <c r="G344" s="185"/>
      <c r="H344" s="166"/>
      <c r="I344" s="171"/>
      <c r="J344" s="158"/>
    </row>
    <row r="345" ht="15.75" customHeight="1">
      <c r="A345" s="184"/>
      <c r="B345" s="164"/>
      <c r="C345" s="165"/>
      <c r="D345" s="166"/>
      <c r="E345" s="165"/>
      <c r="F345" s="167"/>
      <c r="G345" s="185"/>
      <c r="H345" s="166"/>
      <c r="I345" s="171"/>
      <c r="J345" s="158"/>
    </row>
    <row r="346" ht="15.75" customHeight="1">
      <c r="A346" s="184"/>
      <c r="B346" s="164"/>
      <c r="C346" s="165"/>
      <c r="D346" s="166"/>
      <c r="E346" s="165"/>
      <c r="F346" s="167"/>
      <c r="G346" s="185"/>
      <c r="H346" s="166"/>
      <c r="I346" s="171"/>
      <c r="J346" s="158"/>
    </row>
    <row r="347" ht="15.75" customHeight="1">
      <c r="A347" s="184"/>
      <c r="B347" s="164"/>
      <c r="C347" s="165"/>
      <c r="D347" s="166"/>
      <c r="E347" s="165"/>
      <c r="F347" s="167"/>
      <c r="G347" s="185"/>
      <c r="H347" s="166"/>
      <c r="I347" s="171"/>
      <c r="J347" s="158"/>
    </row>
    <row r="348" ht="15.75" customHeight="1">
      <c r="A348" s="184"/>
      <c r="B348" s="164"/>
      <c r="C348" s="165"/>
      <c r="D348" s="166"/>
      <c r="E348" s="165"/>
      <c r="F348" s="167"/>
      <c r="G348" s="185"/>
      <c r="H348" s="166"/>
      <c r="I348" s="171"/>
      <c r="J348" s="158"/>
    </row>
    <row r="349" ht="15.75" customHeight="1">
      <c r="A349" s="184"/>
      <c r="B349" s="164"/>
      <c r="C349" s="165"/>
      <c r="D349" s="166"/>
      <c r="E349" s="165"/>
      <c r="F349" s="167"/>
      <c r="G349" s="185"/>
      <c r="H349" s="166"/>
      <c r="I349" s="171"/>
      <c r="J349" s="158"/>
    </row>
    <row r="350" ht="15.75" customHeight="1">
      <c r="A350" s="184"/>
      <c r="B350" s="164"/>
      <c r="C350" s="165"/>
      <c r="D350" s="166"/>
      <c r="E350" s="165"/>
      <c r="F350" s="167"/>
      <c r="G350" s="185"/>
      <c r="H350" s="166"/>
      <c r="I350" s="171"/>
      <c r="J350" s="158"/>
    </row>
    <row r="351" ht="15.75" customHeight="1">
      <c r="A351" s="184"/>
      <c r="B351" s="164"/>
      <c r="C351" s="165"/>
      <c r="D351" s="166"/>
      <c r="E351" s="165"/>
      <c r="F351" s="167"/>
      <c r="G351" s="185"/>
      <c r="H351" s="166"/>
      <c r="I351" s="171"/>
      <c r="J351" s="158"/>
    </row>
    <row r="352" ht="15.75" customHeight="1">
      <c r="A352" s="184"/>
      <c r="B352" s="164"/>
      <c r="C352" s="165"/>
      <c r="D352" s="166"/>
      <c r="E352" s="165"/>
      <c r="F352" s="167"/>
      <c r="G352" s="185"/>
      <c r="H352" s="166"/>
      <c r="I352" s="171"/>
      <c r="J352" s="158"/>
    </row>
    <row r="353" ht="15.75" customHeight="1">
      <c r="A353" s="184"/>
      <c r="B353" s="164"/>
      <c r="C353" s="165"/>
      <c r="D353" s="166"/>
      <c r="E353" s="165"/>
      <c r="F353" s="167"/>
      <c r="G353" s="185"/>
      <c r="H353" s="166"/>
      <c r="I353" s="171"/>
      <c r="J353" s="158"/>
    </row>
    <row r="354" ht="15.75" customHeight="1">
      <c r="A354" s="184"/>
      <c r="B354" s="164"/>
      <c r="C354" s="165"/>
      <c r="D354" s="166"/>
      <c r="E354" s="165"/>
      <c r="F354" s="167"/>
      <c r="G354" s="185"/>
      <c r="H354" s="166"/>
      <c r="I354" s="171"/>
      <c r="J354" s="158"/>
    </row>
    <row r="355" ht="15.75" customHeight="1">
      <c r="A355" s="184"/>
      <c r="B355" s="164"/>
      <c r="C355" s="165"/>
      <c r="D355" s="166"/>
      <c r="E355" s="165"/>
      <c r="F355" s="167"/>
      <c r="G355" s="185"/>
      <c r="H355" s="166"/>
      <c r="I355" s="171"/>
      <c r="J355" s="158"/>
    </row>
    <row r="356" ht="15.75" customHeight="1">
      <c r="A356" s="184"/>
      <c r="B356" s="164"/>
      <c r="C356" s="165"/>
      <c r="D356" s="166"/>
      <c r="E356" s="165"/>
      <c r="F356" s="167"/>
      <c r="G356" s="185"/>
      <c r="H356" s="166"/>
      <c r="I356" s="171"/>
      <c r="J356" s="158"/>
    </row>
    <row r="357" ht="15.75" customHeight="1">
      <c r="A357" s="184"/>
      <c r="B357" s="164"/>
      <c r="C357" s="165"/>
      <c r="D357" s="166"/>
      <c r="E357" s="165"/>
      <c r="F357" s="167"/>
      <c r="G357" s="185"/>
      <c r="H357" s="166"/>
      <c r="I357" s="171"/>
      <c r="J357" s="158"/>
    </row>
    <row r="358" ht="15.75" customHeight="1">
      <c r="A358" s="184"/>
      <c r="B358" s="164"/>
      <c r="C358" s="165"/>
      <c r="D358" s="166"/>
      <c r="E358" s="165"/>
      <c r="F358" s="167"/>
      <c r="G358" s="185"/>
      <c r="H358" s="166"/>
      <c r="I358" s="171"/>
      <c r="J358" s="158"/>
    </row>
    <row r="359" ht="15.75" customHeight="1">
      <c r="A359" s="184"/>
      <c r="B359" s="164"/>
      <c r="C359" s="165"/>
      <c r="D359" s="166"/>
      <c r="E359" s="165"/>
      <c r="F359" s="167"/>
      <c r="G359" s="185"/>
      <c r="H359" s="166"/>
      <c r="I359" s="171"/>
      <c r="J359" s="158"/>
    </row>
    <row r="360" ht="15.75" customHeight="1">
      <c r="A360" s="184"/>
      <c r="B360" s="164"/>
      <c r="C360" s="165"/>
      <c r="D360" s="166"/>
      <c r="E360" s="165"/>
      <c r="F360" s="167"/>
      <c r="G360" s="185"/>
      <c r="H360" s="166"/>
      <c r="I360" s="171"/>
      <c r="J360" s="158"/>
    </row>
    <row r="361" ht="15.75" customHeight="1">
      <c r="A361" s="184"/>
      <c r="B361" s="164"/>
      <c r="C361" s="165"/>
      <c r="D361" s="166"/>
      <c r="E361" s="165"/>
      <c r="F361" s="167"/>
      <c r="G361" s="185"/>
      <c r="H361" s="166"/>
      <c r="I361" s="171"/>
      <c r="J361" s="158"/>
    </row>
    <row r="362" ht="15.75" customHeight="1">
      <c r="A362" s="184"/>
      <c r="B362" s="164"/>
      <c r="C362" s="165"/>
      <c r="D362" s="166"/>
      <c r="E362" s="165"/>
      <c r="F362" s="167"/>
      <c r="G362" s="185"/>
      <c r="H362" s="166"/>
      <c r="I362" s="171"/>
      <c r="J362" s="158"/>
    </row>
    <row r="363" ht="15.75" customHeight="1">
      <c r="A363" s="184"/>
      <c r="B363" s="164"/>
      <c r="C363" s="165"/>
      <c r="D363" s="166"/>
      <c r="E363" s="165"/>
      <c r="F363" s="167"/>
      <c r="G363" s="185"/>
      <c r="H363" s="166"/>
      <c r="I363" s="171"/>
      <c r="J363" s="158"/>
    </row>
    <row r="364" ht="15.75" customHeight="1">
      <c r="A364" s="184"/>
      <c r="B364" s="164"/>
      <c r="C364" s="165"/>
      <c r="D364" s="166"/>
      <c r="E364" s="165"/>
      <c r="F364" s="167"/>
      <c r="G364" s="185"/>
      <c r="H364" s="166"/>
      <c r="I364" s="171"/>
      <c r="J364" s="158"/>
    </row>
    <row r="365" ht="15.75" customHeight="1">
      <c r="A365" s="184"/>
      <c r="B365" s="164"/>
      <c r="C365" s="165"/>
      <c r="D365" s="166"/>
      <c r="E365" s="165"/>
      <c r="F365" s="167"/>
      <c r="G365" s="185"/>
      <c r="H365" s="166"/>
      <c r="I365" s="171"/>
      <c r="J365" s="158"/>
    </row>
    <row r="366" ht="15.75" customHeight="1">
      <c r="A366" s="184"/>
      <c r="B366" s="164"/>
      <c r="C366" s="165"/>
      <c r="D366" s="166"/>
      <c r="E366" s="165"/>
      <c r="F366" s="167"/>
      <c r="G366" s="185"/>
      <c r="H366" s="166"/>
      <c r="I366" s="171"/>
      <c r="J366" s="158"/>
    </row>
    <row r="367" ht="15.75" customHeight="1">
      <c r="A367" s="184"/>
      <c r="B367" s="164"/>
      <c r="C367" s="165"/>
      <c r="D367" s="166"/>
      <c r="E367" s="165"/>
      <c r="F367" s="167"/>
      <c r="G367" s="185"/>
      <c r="H367" s="166"/>
      <c r="I367" s="171"/>
      <c r="J367" s="158"/>
    </row>
    <row r="368" ht="15.75" customHeight="1">
      <c r="A368" s="184"/>
      <c r="B368" s="164"/>
      <c r="C368" s="165"/>
      <c r="D368" s="166"/>
      <c r="E368" s="165"/>
      <c r="F368" s="167"/>
      <c r="G368" s="185"/>
      <c r="H368" s="166"/>
      <c r="I368" s="171"/>
      <c r="J368" s="158"/>
    </row>
    <row r="369" ht="15.75" customHeight="1">
      <c r="A369" s="184"/>
      <c r="B369" s="164"/>
      <c r="C369" s="165"/>
      <c r="D369" s="166"/>
      <c r="E369" s="165"/>
      <c r="F369" s="167"/>
      <c r="G369" s="185"/>
      <c r="H369" s="166"/>
      <c r="I369" s="171"/>
      <c r="J369" s="158"/>
    </row>
    <row r="370" ht="15.75" customHeight="1">
      <c r="A370" s="184"/>
      <c r="B370" s="164"/>
      <c r="C370" s="165"/>
      <c r="D370" s="166"/>
      <c r="E370" s="165"/>
      <c r="F370" s="167"/>
      <c r="G370" s="185"/>
      <c r="H370" s="166"/>
      <c r="I370" s="171"/>
      <c r="J370" s="158"/>
    </row>
    <row r="371" ht="15.75" customHeight="1">
      <c r="A371" s="184"/>
      <c r="B371" s="164"/>
      <c r="C371" s="165"/>
      <c r="D371" s="166"/>
      <c r="E371" s="165"/>
      <c r="F371" s="167"/>
      <c r="G371" s="185"/>
      <c r="H371" s="166"/>
      <c r="I371" s="171"/>
      <c r="J371" s="158"/>
    </row>
    <row r="372" ht="15.75" customHeight="1">
      <c r="A372" s="184"/>
      <c r="B372" s="164"/>
      <c r="C372" s="165"/>
      <c r="D372" s="166"/>
      <c r="E372" s="165"/>
      <c r="F372" s="167"/>
      <c r="G372" s="185"/>
      <c r="H372" s="166"/>
      <c r="I372" s="171"/>
      <c r="J372" s="158"/>
    </row>
    <row r="373" ht="15.75" customHeight="1">
      <c r="A373" s="184"/>
      <c r="B373" s="164"/>
      <c r="C373" s="165"/>
      <c r="D373" s="166"/>
      <c r="E373" s="165"/>
      <c r="F373" s="167"/>
      <c r="G373" s="185"/>
      <c r="H373" s="166"/>
      <c r="I373" s="171"/>
      <c r="J373" s="158"/>
    </row>
    <row r="374" ht="15.75" customHeight="1">
      <c r="A374" s="184"/>
      <c r="B374" s="164"/>
      <c r="C374" s="165"/>
      <c r="D374" s="166"/>
      <c r="E374" s="165"/>
      <c r="F374" s="167"/>
      <c r="G374" s="185"/>
      <c r="H374" s="166"/>
      <c r="I374" s="171"/>
      <c r="J374" s="158"/>
    </row>
    <row r="375" ht="15.75" customHeight="1">
      <c r="A375" s="184"/>
      <c r="B375" s="164"/>
      <c r="C375" s="165"/>
      <c r="D375" s="166"/>
      <c r="E375" s="165"/>
      <c r="F375" s="167"/>
      <c r="G375" s="185"/>
      <c r="H375" s="166"/>
      <c r="I375" s="171"/>
      <c r="J375" s="158"/>
    </row>
    <row r="376" ht="15.75" customHeight="1">
      <c r="A376" s="184"/>
      <c r="B376" s="164"/>
      <c r="C376" s="165"/>
      <c r="D376" s="166"/>
      <c r="E376" s="165"/>
      <c r="F376" s="167"/>
      <c r="G376" s="185"/>
      <c r="H376" s="166"/>
      <c r="I376" s="171"/>
      <c r="J376" s="158"/>
    </row>
    <row r="377" ht="15.75" customHeight="1">
      <c r="A377" s="184"/>
      <c r="B377" s="164"/>
      <c r="C377" s="165"/>
      <c r="D377" s="166"/>
      <c r="E377" s="165"/>
      <c r="F377" s="167"/>
      <c r="G377" s="185"/>
      <c r="H377" s="166"/>
      <c r="I377" s="171"/>
      <c r="J377" s="158"/>
    </row>
    <row r="378" ht="15.75" customHeight="1">
      <c r="A378" s="184"/>
      <c r="B378" s="164"/>
      <c r="C378" s="165"/>
      <c r="D378" s="166"/>
      <c r="E378" s="165"/>
      <c r="F378" s="167"/>
      <c r="G378" s="185"/>
      <c r="H378" s="166"/>
      <c r="I378" s="171"/>
      <c r="J378" s="158"/>
    </row>
    <row r="379" ht="15.75" customHeight="1">
      <c r="A379" s="184"/>
      <c r="B379" s="164"/>
      <c r="C379" s="165"/>
      <c r="D379" s="166"/>
      <c r="E379" s="165"/>
      <c r="F379" s="167"/>
      <c r="G379" s="185"/>
      <c r="H379" s="166"/>
      <c r="I379" s="171"/>
      <c r="J379" s="158"/>
    </row>
    <row r="380" ht="15.75" customHeight="1">
      <c r="A380" s="184"/>
      <c r="B380" s="164"/>
      <c r="C380" s="165"/>
      <c r="D380" s="166"/>
      <c r="E380" s="165"/>
      <c r="F380" s="167"/>
      <c r="G380" s="185"/>
      <c r="H380" s="166"/>
      <c r="I380" s="171"/>
      <c r="J380" s="158"/>
    </row>
    <row r="381" ht="15.75" customHeight="1">
      <c r="A381" s="184"/>
      <c r="B381" s="164"/>
      <c r="C381" s="165"/>
      <c r="D381" s="166"/>
      <c r="E381" s="165"/>
      <c r="F381" s="167"/>
      <c r="G381" s="185"/>
      <c r="H381" s="166"/>
      <c r="I381" s="171"/>
      <c r="J381" s="158"/>
    </row>
    <row r="382" ht="15.75" customHeight="1">
      <c r="A382" s="184"/>
      <c r="B382" s="164"/>
      <c r="C382" s="165"/>
      <c r="D382" s="166"/>
      <c r="E382" s="165"/>
      <c r="F382" s="167"/>
      <c r="G382" s="185"/>
      <c r="H382" s="166"/>
      <c r="I382" s="171"/>
      <c r="J382" s="158"/>
    </row>
    <row r="383" ht="15.75" customHeight="1">
      <c r="A383" s="184"/>
      <c r="B383" s="164"/>
      <c r="C383" s="165"/>
      <c r="D383" s="166"/>
      <c r="E383" s="165"/>
      <c r="F383" s="167"/>
      <c r="G383" s="185"/>
      <c r="H383" s="166"/>
      <c r="I383" s="171"/>
      <c r="J383" s="158"/>
    </row>
    <row r="384" ht="15.75" customHeight="1">
      <c r="A384" s="184"/>
      <c r="B384" s="164"/>
      <c r="C384" s="165"/>
      <c r="D384" s="166"/>
      <c r="E384" s="165"/>
      <c r="F384" s="167"/>
      <c r="G384" s="185"/>
      <c r="H384" s="166"/>
      <c r="I384" s="171"/>
      <c r="J384" s="158"/>
    </row>
    <row r="385" ht="15.75" customHeight="1">
      <c r="A385" s="184"/>
      <c r="B385" s="164"/>
      <c r="C385" s="165"/>
      <c r="D385" s="166"/>
      <c r="E385" s="165"/>
      <c r="F385" s="167"/>
      <c r="G385" s="185"/>
      <c r="H385" s="166"/>
      <c r="I385" s="171"/>
      <c r="J385" s="158"/>
    </row>
    <row r="386" ht="15.75" customHeight="1">
      <c r="A386" s="184"/>
      <c r="B386" s="164"/>
      <c r="C386" s="165"/>
      <c r="D386" s="166"/>
      <c r="E386" s="165"/>
      <c r="F386" s="167"/>
      <c r="G386" s="185"/>
      <c r="H386" s="166"/>
      <c r="I386" s="171"/>
      <c r="J386" s="158"/>
    </row>
    <row r="387" ht="15.75" customHeight="1">
      <c r="A387" s="184"/>
      <c r="B387" s="164"/>
      <c r="C387" s="165"/>
      <c r="D387" s="166"/>
      <c r="E387" s="165"/>
      <c r="F387" s="167"/>
      <c r="G387" s="185"/>
      <c r="H387" s="166"/>
      <c r="I387" s="171"/>
      <c r="J387" s="158"/>
    </row>
    <row r="388" ht="15.75" customHeight="1">
      <c r="A388" s="184"/>
      <c r="B388" s="164"/>
      <c r="C388" s="165"/>
      <c r="D388" s="166"/>
      <c r="E388" s="165"/>
      <c r="F388" s="167"/>
      <c r="G388" s="185"/>
      <c r="H388" s="166"/>
      <c r="I388" s="171"/>
      <c r="J388" s="158"/>
    </row>
    <row r="389" ht="15.75" customHeight="1">
      <c r="A389" s="184"/>
      <c r="B389" s="164"/>
      <c r="C389" s="165"/>
      <c r="D389" s="166"/>
      <c r="E389" s="165"/>
      <c r="F389" s="167"/>
      <c r="G389" s="185"/>
      <c r="H389" s="166"/>
      <c r="I389" s="171"/>
      <c r="J389" s="158"/>
    </row>
    <row r="390" ht="15.75" customHeight="1">
      <c r="A390" s="184"/>
      <c r="B390" s="164"/>
      <c r="C390" s="165"/>
      <c r="D390" s="166"/>
      <c r="E390" s="165"/>
      <c r="F390" s="167"/>
      <c r="G390" s="185"/>
      <c r="H390" s="166"/>
      <c r="I390" s="171"/>
      <c r="J390" s="158"/>
    </row>
    <row r="391" ht="15.75" customHeight="1">
      <c r="A391" s="184"/>
      <c r="B391" s="164"/>
      <c r="C391" s="165"/>
      <c r="D391" s="166"/>
      <c r="E391" s="165"/>
      <c r="F391" s="167"/>
      <c r="G391" s="185"/>
      <c r="H391" s="166"/>
      <c r="I391" s="171"/>
      <c r="J391" s="158"/>
    </row>
    <row r="392" ht="15.75" customHeight="1">
      <c r="A392" s="184"/>
      <c r="B392" s="164"/>
      <c r="C392" s="165"/>
      <c r="D392" s="166"/>
      <c r="E392" s="165"/>
      <c r="F392" s="167"/>
      <c r="G392" s="185"/>
      <c r="H392" s="166"/>
      <c r="I392" s="171"/>
      <c r="J392" s="158"/>
    </row>
    <row r="393" ht="15.75" customHeight="1">
      <c r="A393" s="184"/>
      <c r="B393" s="164"/>
      <c r="C393" s="165"/>
      <c r="D393" s="166"/>
      <c r="E393" s="165"/>
      <c r="F393" s="167"/>
      <c r="G393" s="185"/>
      <c r="H393" s="166"/>
      <c r="I393" s="171"/>
      <c r="J393" s="158"/>
    </row>
    <row r="394" ht="15.75" customHeight="1">
      <c r="A394" s="184"/>
      <c r="B394" s="164"/>
      <c r="C394" s="165"/>
      <c r="D394" s="166"/>
      <c r="E394" s="165"/>
      <c r="F394" s="167"/>
      <c r="G394" s="185"/>
      <c r="H394" s="166"/>
      <c r="I394" s="171"/>
      <c r="J394" s="158"/>
    </row>
    <row r="395" ht="15.75" customHeight="1">
      <c r="A395" s="184"/>
      <c r="B395" s="164"/>
      <c r="C395" s="165"/>
      <c r="D395" s="166"/>
      <c r="E395" s="165"/>
      <c r="F395" s="167"/>
      <c r="G395" s="185"/>
      <c r="H395" s="166"/>
      <c r="I395" s="171"/>
      <c r="J395" s="158"/>
    </row>
    <row r="396" ht="15.75" customHeight="1">
      <c r="A396" s="184"/>
      <c r="B396" s="164"/>
      <c r="C396" s="165"/>
      <c r="D396" s="166"/>
      <c r="E396" s="165"/>
      <c r="F396" s="167"/>
      <c r="G396" s="185"/>
      <c r="H396" s="166"/>
      <c r="I396" s="171"/>
      <c r="J396" s="158"/>
    </row>
    <row r="397" ht="15.75" customHeight="1">
      <c r="A397" s="184"/>
      <c r="B397" s="164"/>
      <c r="C397" s="165"/>
      <c r="D397" s="166"/>
      <c r="E397" s="165"/>
      <c r="F397" s="167"/>
      <c r="G397" s="185"/>
      <c r="H397" s="166"/>
      <c r="I397" s="171"/>
      <c r="J397" s="158"/>
    </row>
    <row r="398" ht="15.75" customHeight="1">
      <c r="A398" s="184"/>
      <c r="B398" s="164"/>
      <c r="C398" s="165"/>
      <c r="D398" s="166"/>
      <c r="E398" s="165"/>
      <c r="F398" s="167"/>
      <c r="G398" s="185"/>
      <c r="H398" s="166"/>
      <c r="I398" s="171"/>
      <c r="J398" s="158"/>
    </row>
    <row r="399" ht="15.75" customHeight="1">
      <c r="A399" s="184"/>
      <c r="B399" s="164"/>
      <c r="C399" s="165"/>
      <c r="D399" s="166"/>
      <c r="E399" s="165"/>
      <c r="F399" s="167"/>
      <c r="G399" s="185"/>
      <c r="H399" s="166"/>
      <c r="I399" s="171"/>
      <c r="J399" s="158"/>
    </row>
    <row r="400" ht="15.75" customHeight="1">
      <c r="A400" s="184"/>
      <c r="B400" s="164"/>
      <c r="C400" s="165"/>
      <c r="D400" s="166"/>
      <c r="E400" s="165"/>
      <c r="F400" s="167"/>
      <c r="G400" s="185"/>
      <c r="H400" s="166"/>
      <c r="I400" s="171"/>
      <c r="J400" s="158"/>
    </row>
    <row r="401" ht="15.75" customHeight="1">
      <c r="A401" s="184"/>
      <c r="B401" s="164"/>
      <c r="C401" s="165"/>
      <c r="D401" s="166"/>
      <c r="E401" s="165"/>
      <c r="F401" s="167"/>
      <c r="G401" s="185"/>
      <c r="H401" s="166"/>
      <c r="I401" s="171"/>
      <c r="J401" s="158"/>
    </row>
    <row r="402" ht="15.75" customHeight="1">
      <c r="A402" s="184"/>
      <c r="B402" s="164"/>
      <c r="C402" s="165"/>
      <c r="D402" s="166"/>
      <c r="E402" s="165"/>
      <c r="F402" s="167"/>
      <c r="G402" s="185"/>
      <c r="H402" s="166"/>
      <c r="I402" s="171"/>
      <c r="J402" s="158"/>
    </row>
    <row r="403" ht="15.75" customHeight="1">
      <c r="A403" s="184"/>
      <c r="B403" s="164"/>
      <c r="C403" s="165"/>
      <c r="D403" s="166"/>
      <c r="E403" s="165"/>
      <c r="F403" s="167"/>
      <c r="G403" s="185"/>
      <c r="H403" s="166"/>
      <c r="I403" s="171"/>
      <c r="J403" s="158"/>
    </row>
    <row r="404" ht="15.75" customHeight="1">
      <c r="A404" s="184"/>
      <c r="B404" s="164"/>
      <c r="C404" s="165"/>
      <c r="D404" s="166"/>
      <c r="E404" s="165"/>
      <c r="F404" s="167"/>
      <c r="G404" s="185"/>
      <c r="H404" s="166"/>
      <c r="I404" s="171"/>
      <c r="J404" s="158"/>
    </row>
    <row r="405" ht="15.75" customHeight="1">
      <c r="A405" s="184"/>
      <c r="B405" s="164"/>
      <c r="C405" s="165"/>
      <c r="D405" s="166"/>
      <c r="E405" s="165"/>
      <c r="F405" s="167"/>
      <c r="G405" s="185"/>
      <c r="H405" s="166"/>
      <c r="I405" s="171"/>
      <c r="J405" s="158"/>
    </row>
    <row r="406" ht="15.75" customHeight="1">
      <c r="A406" s="184"/>
      <c r="B406" s="164"/>
      <c r="C406" s="165"/>
      <c r="D406" s="166"/>
      <c r="E406" s="165"/>
      <c r="F406" s="167"/>
      <c r="G406" s="185"/>
      <c r="H406" s="166"/>
      <c r="I406" s="171"/>
      <c r="J406" s="158"/>
    </row>
    <row r="407" ht="15.75" customHeight="1">
      <c r="A407" s="184"/>
      <c r="B407" s="164"/>
      <c r="C407" s="165"/>
      <c r="D407" s="166"/>
      <c r="E407" s="165"/>
      <c r="F407" s="167"/>
      <c r="G407" s="185"/>
      <c r="H407" s="166"/>
      <c r="I407" s="171"/>
      <c r="J407" s="158"/>
    </row>
    <row r="408" ht="15.75" customHeight="1">
      <c r="A408" s="184"/>
      <c r="B408" s="164"/>
      <c r="C408" s="165"/>
      <c r="D408" s="166"/>
      <c r="E408" s="165"/>
      <c r="F408" s="167"/>
      <c r="G408" s="185"/>
      <c r="H408" s="166"/>
      <c r="I408" s="171"/>
      <c r="J408" s="158"/>
    </row>
    <row r="409" ht="15.75" customHeight="1">
      <c r="A409" s="184"/>
      <c r="B409" s="164"/>
      <c r="C409" s="165"/>
      <c r="D409" s="166"/>
      <c r="E409" s="165"/>
      <c r="F409" s="167"/>
      <c r="G409" s="185"/>
      <c r="H409" s="166"/>
      <c r="I409" s="171"/>
      <c r="J409" s="158"/>
    </row>
    <row r="410" ht="15.75" customHeight="1">
      <c r="A410" s="184"/>
      <c r="B410" s="164"/>
      <c r="C410" s="165"/>
      <c r="D410" s="166"/>
      <c r="E410" s="165"/>
      <c r="F410" s="167"/>
      <c r="G410" s="185"/>
      <c r="H410" s="166"/>
      <c r="I410" s="171"/>
      <c r="J410" s="158"/>
    </row>
    <row r="411" ht="15.75" customHeight="1">
      <c r="A411" s="184"/>
      <c r="B411" s="164"/>
      <c r="C411" s="165"/>
      <c r="D411" s="166"/>
      <c r="E411" s="165"/>
      <c r="F411" s="167"/>
      <c r="G411" s="185"/>
      <c r="H411" s="166"/>
      <c r="I411" s="171"/>
      <c r="J411" s="158"/>
    </row>
    <row r="412" ht="15.75" customHeight="1">
      <c r="A412" s="184"/>
      <c r="B412" s="164"/>
      <c r="C412" s="165"/>
      <c r="D412" s="166"/>
      <c r="E412" s="165"/>
      <c r="F412" s="167"/>
      <c r="G412" s="185"/>
      <c r="H412" s="166"/>
      <c r="I412" s="171"/>
      <c r="J412" s="158"/>
    </row>
    <row r="413" ht="15.75" customHeight="1">
      <c r="A413" s="184"/>
      <c r="B413" s="164"/>
      <c r="C413" s="165"/>
      <c r="D413" s="166"/>
      <c r="E413" s="165"/>
      <c r="F413" s="167"/>
      <c r="G413" s="185"/>
      <c r="H413" s="166"/>
      <c r="I413" s="171"/>
      <c r="J413" s="158"/>
    </row>
    <row r="414" ht="15.75" customHeight="1">
      <c r="A414" s="184"/>
      <c r="B414" s="164"/>
      <c r="C414" s="165"/>
      <c r="D414" s="166"/>
      <c r="E414" s="165"/>
      <c r="F414" s="167"/>
      <c r="G414" s="185"/>
      <c r="H414" s="166"/>
      <c r="I414" s="171"/>
      <c r="J414" s="158"/>
    </row>
    <row r="415" ht="15.75" customHeight="1">
      <c r="A415" s="184"/>
      <c r="B415" s="164"/>
      <c r="C415" s="165"/>
      <c r="D415" s="166"/>
      <c r="E415" s="165"/>
      <c r="F415" s="167"/>
      <c r="G415" s="185"/>
      <c r="H415" s="166"/>
      <c r="I415" s="171"/>
      <c r="J415" s="158"/>
    </row>
    <row r="416" ht="15.75" customHeight="1">
      <c r="A416" s="184"/>
      <c r="B416" s="164"/>
      <c r="C416" s="165"/>
      <c r="D416" s="166"/>
      <c r="E416" s="165"/>
      <c r="F416" s="167"/>
      <c r="G416" s="185"/>
      <c r="H416" s="166"/>
      <c r="I416" s="171"/>
      <c r="J416" s="158"/>
    </row>
    <row r="417" ht="15.75" customHeight="1">
      <c r="A417" s="184"/>
      <c r="B417" s="164"/>
      <c r="C417" s="165"/>
      <c r="D417" s="166"/>
      <c r="E417" s="165"/>
      <c r="F417" s="167"/>
      <c r="G417" s="185"/>
      <c r="H417" s="166"/>
      <c r="I417" s="171"/>
      <c r="J417" s="158"/>
    </row>
    <row r="418" ht="15.75" customHeight="1">
      <c r="A418" s="184"/>
      <c r="B418" s="164"/>
      <c r="C418" s="165"/>
      <c r="D418" s="166"/>
      <c r="E418" s="165"/>
      <c r="F418" s="167"/>
      <c r="G418" s="185"/>
      <c r="H418" s="166"/>
      <c r="I418" s="171"/>
      <c r="J418" s="158"/>
    </row>
    <row r="419" ht="15.75" customHeight="1">
      <c r="A419" s="184"/>
      <c r="B419" s="164"/>
      <c r="C419" s="165"/>
      <c r="D419" s="166"/>
      <c r="E419" s="165"/>
      <c r="F419" s="167"/>
      <c r="G419" s="185"/>
      <c r="H419" s="166"/>
      <c r="I419" s="171"/>
      <c r="J419" s="158"/>
    </row>
    <row r="420" ht="15.75" customHeight="1">
      <c r="A420" s="184"/>
      <c r="B420" s="164"/>
      <c r="C420" s="165"/>
      <c r="D420" s="166"/>
      <c r="E420" s="165"/>
      <c r="F420" s="167"/>
      <c r="G420" s="185"/>
      <c r="H420" s="166"/>
      <c r="I420" s="171"/>
      <c r="J420" s="158"/>
    </row>
    <row r="421" ht="15.75" customHeight="1">
      <c r="A421" s="184"/>
      <c r="B421" s="164"/>
      <c r="C421" s="165"/>
      <c r="D421" s="166"/>
      <c r="E421" s="165"/>
      <c r="F421" s="167"/>
      <c r="G421" s="185"/>
      <c r="H421" s="166"/>
      <c r="I421" s="171"/>
      <c r="J421" s="158"/>
    </row>
    <row r="422" ht="15.75" customHeight="1">
      <c r="A422" s="184"/>
      <c r="B422" s="164"/>
      <c r="C422" s="165"/>
      <c r="D422" s="166"/>
      <c r="E422" s="165"/>
      <c r="F422" s="167"/>
      <c r="G422" s="185"/>
      <c r="H422" s="166"/>
      <c r="I422" s="171"/>
      <c r="J422" s="158"/>
    </row>
    <row r="423" ht="15.75" customHeight="1">
      <c r="A423" s="184"/>
      <c r="B423" s="164"/>
      <c r="C423" s="165"/>
      <c r="D423" s="166"/>
      <c r="E423" s="165"/>
      <c r="F423" s="167"/>
      <c r="G423" s="185"/>
      <c r="H423" s="166"/>
      <c r="I423" s="171"/>
      <c r="J423" s="158"/>
    </row>
    <row r="424" ht="15.75" customHeight="1">
      <c r="A424" s="184"/>
      <c r="B424" s="164"/>
      <c r="C424" s="165"/>
      <c r="D424" s="166"/>
      <c r="E424" s="165"/>
      <c r="F424" s="167"/>
      <c r="G424" s="185"/>
      <c r="H424" s="166"/>
      <c r="I424" s="171"/>
      <c r="J424" s="158"/>
    </row>
    <row r="425" ht="15.75" customHeight="1">
      <c r="A425" s="184"/>
      <c r="B425" s="164"/>
      <c r="C425" s="165"/>
      <c r="D425" s="166"/>
      <c r="E425" s="165"/>
      <c r="F425" s="167"/>
      <c r="G425" s="185"/>
      <c r="H425" s="166"/>
      <c r="I425" s="171"/>
      <c r="J425" s="158"/>
    </row>
    <row r="426" ht="15.75" customHeight="1">
      <c r="A426" s="184"/>
      <c r="B426" s="164"/>
      <c r="C426" s="165"/>
      <c r="D426" s="166"/>
      <c r="E426" s="165"/>
      <c r="F426" s="167"/>
      <c r="G426" s="185"/>
      <c r="H426" s="166"/>
      <c r="I426" s="171"/>
      <c r="J426" s="158"/>
    </row>
    <row r="427" ht="15.75" customHeight="1">
      <c r="A427" s="184"/>
      <c r="B427" s="164"/>
      <c r="C427" s="165"/>
      <c r="D427" s="166"/>
      <c r="E427" s="165"/>
      <c r="F427" s="167"/>
      <c r="G427" s="185"/>
      <c r="H427" s="166"/>
      <c r="I427" s="171"/>
      <c r="J427" s="158"/>
    </row>
    <row r="428" ht="15.75" customHeight="1">
      <c r="A428" s="184"/>
      <c r="B428" s="164"/>
      <c r="C428" s="165"/>
      <c r="D428" s="166"/>
      <c r="E428" s="165"/>
      <c r="F428" s="167"/>
      <c r="G428" s="185"/>
      <c r="H428" s="166"/>
      <c r="I428" s="171"/>
      <c r="J428" s="158"/>
    </row>
    <row r="429" ht="15.75" customHeight="1">
      <c r="A429" s="184"/>
      <c r="B429" s="164"/>
      <c r="C429" s="165"/>
      <c r="D429" s="166"/>
      <c r="E429" s="165"/>
      <c r="F429" s="167"/>
      <c r="G429" s="185"/>
      <c r="H429" s="166"/>
      <c r="I429" s="171"/>
      <c r="J429" s="158"/>
    </row>
    <row r="430" ht="15.75" customHeight="1">
      <c r="A430" s="184"/>
      <c r="B430" s="164"/>
      <c r="C430" s="165"/>
      <c r="D430" s="166"/>
      <c r="E430" s="165"/>
      <c r="F430" s="167"/>
      <c r="G430" s="185"/>
      <c r="H430" s="166"/>
      <c r="I430" s="171"/>
      <c r="J430" s="158"/>
    </row>
    <row r="431" ht="15.75" customHeight="1">
      <c r="A431" s="184"/>
      <c r="B431" s="164"/>
      <c r="C431" s="165"/>
      <c r="D431" s="166"/>
      <c r="E431" s="165"/>
      <c r="F431" s="167"/>
      <c r="G431" s="185"/>
      <c r="H431" s="166"/>
      <c r="I431" s="171"/>
      <c r="J431" s="158"/>
    </row>
    <row r="432" ht="15.75" customHeight="1">
      <c r="A432" s="184"/>
      <c r="B432" s="164"/>
      <c r="C432" s="165"/>
      <c r="D432" s="166"/>
      <c r="E432" s="165"/>
      <c r="F432" s="167"/>
      <c r="G432" s="185"/>
      <c r="H432" s="166"/>
      <c r="I432" s="171"/>
      <c r="J432" s="158"/>
    </row>
    <row r="433" ht="15.75" customHeight="1">
      <c r="A433" s="184"/>
      <c r="B433" s="164"/>
      <c r="C433" s="165"/>
      <c r="D433" s="166"/>
      <c r="E433" s="165"/>
      <c r="F433" s="167"/>
      <c r="G433" s="185"/>
      <c r="H433" s="166"/>
      <c r="I433" s="171"/>
      <c r="J433" s="158"/>
    </row>
    <row r="434" ht="15.75" customHeight="1">
      <c r="A434" s="184"/>
      <c r="B434" s="164"/>
      <c r="C434" s="165"/>
      <c r="D434" s="166"/>
      <c r="E434" s="165"/>
      <c r="F434" s="167"/>
      <c r="G434" s="185"/>
      <c r="H434" s="166"/>
      <c r="I434" s="171"/>
      <c r="J434" s="158"/>
    </row>
    <row r="435" ht="15.75" customHeight="1">
      <c r="A435" s="184"/>
      <c r="B435" s="164"/>
      <c r="C435" s="165"/>
      <c r="D435" s="166"/>
      <c r="E435" s="165"/>
      <c r="F435" s="167"/>
      <c r="G435" s="185"/>
      <c r="H435" s="166"/>
      <c r="I435" s="171"/>
      <c r="J435" s="158"/>
    </row>
    <row r="436" ht="15.75" customHeight="1">
      <c r="A436" s="184"/>
      <c r="B436" s="164"/>
      <c r="C436" s="165"/>
      <c r="D436" s="166"/>
      <c r="E436" s="165"/>
      <c r="F436" s="167"/>
      <c r="G436" s="185"/>
      <c r="H436" s="166"/>
      <c r="I436" s="171"/>
      <c r="J436" s="158"/>
    </row>
    <row r="437" ht="15.75" customHeight="1">
      <c r="A437" s="184"/>
      <c r="B437" s="164"/>
      <c r="C437" s="165"/>
      <c r="D437" s="166"/>
      <c r="E437" s="165"/>
      <c r="F437" s="167"/>
      <c r="G437" s="185"/>
      <c r="H437" s="166"/>
      <c r="I437" s="171"/>
      <c r="J437" s="158"/>
    </row>
    <row r="438" ht="15.75" customHeight="1">
      <c r="A438" s="184"/>
      <c r="B438" s="164"/>
      <c r="C438" s="165"/>
      <c r="D438" s="166"/>
      <c r="E438" s="165"/>
      <c r="F438" s="167"/>
      <c r="G438" s="185"/>
      <c r="H438" s="166"/>
      <c r="I438" s="171"/>
      <c r="J438" s="158"/>
    </row>
    <row r="439" ht="15.75" customHeight="1">
      <c r="A439" s="184"/>
      <c r="B439" s="164"/>
      <c r="C439" s="165"/>
      <c r="D439" s="166"/>
      <c r="E439" s="165"/>
      <c r="F439" s="167"/>
      <c r="G439" s="185"/>
      <c r="H439" s="166"/>
      <c r="I439" s="171"/>
      <c r="J439" s="158"/>
    </row>
    <row r="440" ht="15.75" customHeight="1">
      <c r="A440" s="184"/>
      <c r="B440" s="164"/>
      <c r="C440" s="165"/>
      <c r="D440" s="166"/>
      <c r="E440" s="165"/>
      <c r="F440" s="167"/>
      <c r="G440" s="185"/>
      <c r="H440" s="166"/>
      <c r="I440" s="171"/>
      <c r="J440" s="158"/>
    </row>
    <row r="441" ht="15.75" customHeight="1">
      <c r="A441" s="184"/>
      <c r="B441" s="164"/>
      <c r="C441" s="165"/>
      <c r="D441" s="166"/>
      <c r="E441" s="165"/>
      <c r="F441" s="167"/>
      <c r="G441" s="185"/>
      <c r="H441" s="166"/>
      <c r="I441" s="171"/>
      <c r="J441" s="158"/>
    </row>
    <row r="442" ht="15.75" customHeight="1">
      <c r="A442" s="184"/>
      <c r="B442" s="164"/>
      <c r="C442" s="165"/>
      <c r="D442" s="166"/>
      <c r="E442" s="165"/>
      <c r="F442" s="167"/>
      <c r="G442" s="185"/>
      <c r="H442" s="166"/>
      <c r="I442" s="171"/>
      <c r="J442" s="158"/>
    </row>
    <row r="443" ht="15.75" customHeight="1">
      <c r="A443" s="184"/>
      <c r="B443" s="164"/>
      <c r="C443" s="165"/>
      <c r="D443" s="166"/>
      <c r="E443" s="165"/>
      <c r="F443" s="167"/>
      <c r="G443" s="185"/>
      <c r="H443" s="166"/>
      <c r="I443" s="171"/>
      <c r="J443" s="158"/>
    </row>
    <row r="444" ht="15.75" customHeight="1">
      <c r="A444" s="184"/>
      <c r="B444" s="164"/>
      <c r="C444" s="165"/>
      <c r="D444" s="166"/>
      <c r="E444" s="165"/>
      <c r="F444" s="167"/>
      <c r="G444" s="185"/>
      <c r="H444" s="166"/>
      <c r="I444" s="171"/>
      <c r="J444" s="158"/>
    </row>
    <row r="445" ht="15.75" customHeight="1">
      <c r="A445" s="184"/>
      <c r="B445" s="164"/>
      <c r="C445" s="165"/>
      <c r="D445" s="166"/>
      <c r="E445" s="165"/>
      <c r="F445" s="167"/>
      <c r="G445" s="185"/>
      <c r="H445" s="166"/>
      <c r="I445" s="171"/>
      <c r="J445" s="158"/>
    </row>
    <row r="446" ht="15.75" customHeight="1">
      <c r="A446" s="184"/>
      <c r="B446" s="164"/>
      <c r="C446" s="165"/>
      <c r="D446" s="166"/>
      <c r="E446" s="165"/>
      <c r="F446" s="167"/>
      <c r="G446" s="185"/>
      <c r="H446" s="166"/>
      <c r="I446" s="171"/>
      <c r="J446" s="158"/>
    </row>
    <row r="447" ht="15.75" customHeight="1">
      <c r="A447" s="184"/>
      <c r="B447" s="164"/>
      <c r="C447" s="165"/>
      <c r="D447" s="166"/>
      <c r="E447" s="165"/>
      <c r="F447" s="167"/>
      <c r="G447" s="185"/>
      <c r="H447" s="166"/>
      <c r="I447" s="171"/>
      <c r="J447" s="158"/>
    </row>
    <row r="448" ht="15.75" customHeight="1">
      <c r="A448" s="184"/>
      <c r="B448" s="164"/>
      <c r="C448" s="165"/>
      <c r="D448" s="166"/>
      <c r="E448" s="165"/>
      <c r="F448" s="167"/>
      <c r="G448" s="185"/>
      <c r="H448" s="166"/>
      <c r="I448" s="171"/>
      <c r="J448" s="158"/>
    </row>
    <row r="449" ht="15.75" customHeight="1">
      <c r="A449" s="184"/>
      <c r="B449" s="164"/>
      <c r="C449" s="165"/>
      <c r="D449" s="166"/>
      <c r="E449" s="165"/>
      <c r="F449" s="167"/>
      <c r="G449" s="185"/>
      <c r="H449" s="166"/>
      <c r="I449" s="171"/>
      <c r="J449" s="158"/>
    </row>
    <row r="450" ht="15.75" customHeight="1">
      <c r="A450" s="184"/>
      <c r="B450" s="164"/>
      <c r="C450" s="165"/>
      <c r="D450" s="166"/>
      <c r="E450" s="165"/>
      <c r="F450" s="167"/>
      <c r="G450" s="185"/>
      <c r="H450" s="166"/>
      <c r="I450" s="171"/>
      <c r="J450" s="158"/>
    </row>
    <row r="451" ht="15.75" customHeight="1">
      <c r="A451" s="184"/>
      <c r="B451" s="164"/>
      <c r="C451" s="165"/>
      <c r="D451" s="166"/>
      <c r="E451" s="165"/>
      <c r="F451" s="167"/>
      <c r="G451" s="185"/>
      <c r="H451" s="166"/>
      <c r="I451" s="171"/>
      <c r="J451" s="158"/>
    </row>
    <row r="452" ht="15.75" customHeight="1">
      <c r="A452" s="184"/>
      <c r="B452" s="164"/>
      <c r="C452" s="165"/>
      <c r="D452" s="166"/>
      <c r="E452" s="165"/>
      <c r="F452" s="167"/>
      <c r="G452" s="185"/>
      <c r="H452" s="166"/>
      <c r="I452" s="171"/>
      <c r="J452" s="158"/>
    </row>
    <row r="453" ht="15.75" customHeight="1">
      <c r="A453" s="184"/>
      <c r="B453" s="164"/>
      <c r="C453" s="165"/>
      <c r="D453" s="166"/>
      <c r="E453" s="165"/>
      <c r="F453" s="167"/>
      <c r="G453" s="185"/>
      <c r="H453" s="166"/>
      <c r="I453" s="171"/>
      <c r="J453" s="158"/>
    </row>
    <row r="454" ht="15.75" customHeight="1">
      <c r="A454" s="184"/>
      <c r="B454" s="164"/>
      <c r="C454" s="165"/>
      <c r="D454" s="166"/>
      <c r="E454" s="165"/>
      <c r="F454" s="167"/>
      <c r="G454" s="185"/>
      <c r="H454" s="166"/>
      <c r="I454" s="171"/>
      <c r="J454" s="158"/>
    </row>
    <row r="455" ht="15.75" customHeight="1">
      <c r="A455" s="184"/>
      <c r="B455" s="164"/>
      <c r="C455" s="165"/>
      <c r="D455" s="166"/>
      <c r="E455" s="165"/>
      <c r="F455" s="167"/>
      <c r="G455" s="185"/>
      <c r="H455" s="166"/>
      <c r="I455" s="171"/>
      <c r="J455" s="158"/>
    </row>
    <row r="456" ht="15.75" customHeight="1">
      <c r="A456" s="184"/>
      <c r="B456" s="164"/>
      <c r="C456" s="165"/>
      <c r="D456" s="166"/>
      <c r="E456" s="165"/>
      <c r="F456" s="167"/>
      <c r="G456" s="185"/>
      <c r="H456" s="166"/>
      <c r="I456" s="171"/>
      <c r="J456" s="158"/>
    </row>
    <row r="457" ht="15.75" customHeight="1">
      <c r="A457" s="184"/>
      <c r="B457" s="164"/>
      <c r="C457" s="165"/>
      <c r="D457" s="166"/>
      <c r="E457" s="165"/>
      <c r="F457" s="167"/>
      <c r="G457" s="185"/>
      <c r="H457" s="166"/>
      <c r="I457" s="171"/>
      <c r="J457" s="158"/>
    </row>
    <row r="458" ht="15.75" customHeight="1">
      <c r="A458" s="184"/>
      <c r="B458" s="164"/>
      <c r="C458" s="165"/>
      <c r="D458" s="166"/>
      <c r="E458" s="165"/>
      <c r="F458" s="167"/>
      <c r="G458" s="185"/>
      <c r="H458" s="166"/>
      <c r="I458" s="171"/>
      <c r="J458" s="158"/>
    </row>
    <row r="459" ht="15.75" customHeight="1">
      <c r="A459" s="184"/>
      <c r="B459" s="164"/>
      <c r="C459" s="165"/>
      <c r="D459" s="166"/>
      <c r="E459" s="165"/>
      <c r="F459" s="167"/>
      <c r="G459" s="185"/>
      <c r="H459" s="166"/>
      <c r="I459" s="171"/>
      <c r="J459" s="158"/>
    </row>
    <row r="460" ht="15.75" customHeight="1">
      <c r="A460" s="184"/>
      <c r="B460" s="164"/>
      <c r="C460" s="165"/>
      <c r="D460" s="166"/>
      <c r="E460" s="165"/>
      <c r="F460" s="167"/>
      <c r="G460" s="185"/>
      <c r="H460" s="166"/>
      <c r="I460" s="171"/>
      <c r="J460" s="158"/>
    </row>
    <row r="461" ht="15.75" customHeight="1">
      <c r="A461" s="184"/>
      <c r="B461" s="164"/>
      <c r="C461" s="165"/>
      <c r="D461" s="166"/>
      <c r="E461" s="165"/>
      <c r="F461" s="167"/>
      <c r="G461" s="185"/>
      <c r="H461" s="166"/>
      <c r="I461" s="171"/>
      <c r="J461" s="158"/>
    </row>
    <row r="462" ht="15.75" customHeight="1">
      <c r="A462" s="184"/>
      <c r="B462" s="164"/>
      <c r="C462" s="165"/>
      <c r="D462" s="166"/>
      <c r="E462" s="165"/>
      <c r="F462" s="167"/>
      <c r="G462" s="185"/>
      <c r="H462" s="166"/>
      <c r="I462" s="171"/>
      <c r="J462" s="158"/>
    </row>
    <row r="463" ht="15.75" customHeight="1">
      <c r="A463" s="184"/>
      <c r="B463" s="164"/>
      <c r="C463" s="165"/>
      <c r="D463" s="166"/>
      <c r="E463" s="165"/>
      <c r="F463" s="167"/>
      <c r="G463" s="185"/>
      <c r="H463" s="166"/>
      <c r="I463" s="171"/>
      <c r="J463" s="158"/>
    </row>
    <row r="464" ht="15.75" customHeight="1">
      <c r="A464" s="184"/>
      <c r="B464" s="164"/>
      <c r="C464" s="165"/>
      <c r="D464" s="166"/>
      <c r="E464" s="165"/>
      <c r="F464" s="167"/>
      <c r="G464" s="185"/>
      <c r="H464" s="166"/>
      <c r="I464" s="171"/>
      <c r="J464" s="158"/>
    </row>
    <row r="465" ht="15.75" customHeight="1">
      <c r="A465" s="184"/>
      <c r="B465" s="164"/>
      <c r="C465" s="165"/>
      <c r="D465" s="166"/>
      <c r="E465" s="165"/>
      <c r="F465" s="167"/>
      <c r="G465" s="185"/>
      <c r="H465" s="166"/>
      <c r="I465" s="171"/>
      <c r="J465" s="158"/>
    </row>
    <row r="466" ht="15.75" customHeight="1">
      <c r="A466" s="184"/>
      <c r="B466" s="164"/>
      <c r="C466" s="165"/>
      <c r="D466" s="166"/>
      <c r="E466" s="165"/>
      <c r="F466" s="167"/>
      <c r="G466" s="185"/>
      <c r="H466" s="166"/>
      <c r="I466" s="171"/>
      <c r="J466" s="158"/>
    </row>
    <row r="467" ht="15.75" customHeight="1">
      <c r="A467" s="184"/>
      <c r="B467" s="164"/>
      <c r="C467" s="165"/>
      <c r="D467" s="166"/>
      <c r="E467" s="165"/>
      <c r="F467" s="167"/>
      <c r="G467" s="185"/>
      <c r="H467" s="166"/>
      <c r="I467" s="171"/>
      <c r="J467" s="158"/>
    </row>
    <row r="468" ht="15.75" customHeight="1">
      <c r="A468" s="184"/>
      <c r="B468" s="164"/>
      <c r="C468" s="165"/>
      <c r="D468" s="166"/>
      <c r="E468" s="165"/>
      <c r="F468" s="167"/>
      <c r="G468" s="185"/>
      <c r="H468" s="166"/>
      <c r="I468" s="171"/>
      <c r="J468" s="158"/>
    </row>
    <row r="469" ht="15.75" customHeight="1">
      <c r="A469" s="184"/>
      <c r="B469" s="164"/>
      <c r="C469" s="165"/>
      <c r="D469" s="166"/>
      <c r="E469" s="165"/>
      <c r="F469" s="167"/>
      <c r="G469" s="185"/>
      <c r="H469" s="166"/>
      <c r="I469" s="171"/>
      <c r="J469" s="158"/>
    </row>
    <row r="470" ht="15.75" customHeight="1">
      <c r="A470" s="184"/>
      <c r="B470" s="164"/>
      <c r="C470" s="165"/>
      <c r="D470" s="166"/>
      <c r="E470" s="165"/>
      <c r="F470" s="167"/>
      <c r="G470" s="185"/>
      <c r="H470" s="166"/>
      <c r="I470" s="171"/>
      <c r="J470" s="158"/>
    </row>
    <row r="471" ht="15.75" customHeight="1">
      <c r="A471" s="184"/>
      <c r="B471" s="164"/>
      <c r="C471" s="165"/>
      <c r="D471" s="166"/>
      <c r="E471" s="165"/>
      <c r="F471" s="167"/>
      <c r="G471" s="185"/>
      <c r="H471" s="166"/>
      <c r="I471" s="171"/>
      <c r="J471" s="158"/>
    </row>
    <row r="472" ht="15.75" customHeight="1">
      <c r="A472" s="184"/>
      <c r="B472" s="164"/>
      <c r="C472" s="165"/>
      <c r="D472" s="166"/>
      <c r="E472" s="165"/>
      <c r="F472" s="167"/>
      <c r="G472" s="185"/>
      <c r="H472" s="166"/>
      <c r="I472" s="171"/>
      <c r="J472" s="158"/>
    </row>
    <row r="473" ht="15.75" customHeight="1">
      <c r="A473" s="184"/>
      <c r="B473" s="164"/>
      <c r="C473" s="165"/>
      <c r="D473" s="166"/>
      <c r="E473" s="165"/>
      <c r="F473" s="167"/>
      <c r="G473" s="185"/>
      <c r="H473" s="166"/>
      <c r="I473" s="171"/>
      <c r="J473" s="158"/>
    </row>
    <row r="474" ht="15.75" customHeight="1">
      <c r="A474" s="184"/>
      <c r="B474" s="164"/>
      <c r="C474" s="165"/>
      <c r="D474" s="166"/>
      <c r="E474" s="165"/>
      <c r="F474" s="167"/>
      <c r="G474" s="185"/>
      <c r="H474" s="166"/>
      <c r="I474" s="171"/>
      <c r="J474" s="158"/>
    </row>
    <row r="475" ht="15.75" customHeight="1">
      <c r="A475" s="184"/>
      <c r="B475" s="164"/>
      <c r="C475" s="165"/>
      <c r="D475" s="166"/>
      <c r="E475" s="165"/>
      <c r="F475" s="167"/>
      <c r="G475" s="185"/>
      <c r="H475" s="166"/>
      <c r="I475" s="171"/>
      <c r="J475" s="158"/>
    </row>
    <row r="476" ht="15.75" customHeight="1">
      <c r="A476" s="184"/>
      <c r="B476" s="164"/>
      <c r="C476" s="165"/>
      <c r="D476" s="166"/>
      <c r="E476" s="165"/>
      <c r="F476" s="167"/>
      <c r="G476" s="185"/>
      <c r="H476" s="166"/>
      <c r="I476" s="171"/>
      <c r="J476" s="158"/>
    </row>
    <row r="477" ht="15.75" customHeight="1">
      <c r="A477" s="184"/>
      <c r="B477" s="164"/>
      <c r="C477" s="165"/>
      <c r="D477" s="166"/>
      <c r="E477" s="165"/>
      <c r="F477" s="167"/>
      <c r="G477" s="185"/>
      <c r="H477" s="166"/>
      <c r="I477" s="171"/>
      <c r="J477" s="158"/>
    </row>
    <row r="478" ht="15.75" customHeight="1">
      <c r="A478" s="184"/>
      <c r="B478" s="164"/>
      <c r="C478" s="165"/>
      <c r="D478" s="166"/>
      <c r="E478" s="165"/>
      <c r="F478" s="167"/>
      <c r="G478" s="185"/>
      <c r="H478" s="166"/>
      <c r="I478" s="171"/>
      <c r="J478" s="158"/>
    </row>
    <row r="479" ht="15.75" customHeight="1">
      <c r="A479" s="184"/>
      <c r="B479" s="164"/>
      <c r="C479" s="165"/>
      <c r="D479" s="166"/>
      <c r="E479" s="165"/>
      <c r="F479" s="167"/>
      <c r="G479" s="185"/>
      <c r="H479" s="166"/>
      <c r="I479" s="171"/>
      <c r="J479" s="158"/>
    </row>
    <row r="480" ht="15.75" customHeight="1">
      <c r="A480" s="184"/>
      <c r="B480" s="164"/>
      <c r="C480" s="165"/>
      <c r="D480" s="166"/>
      <c r="E480" s="165"/>
      <c r="F480" s="167"/>
      <c r="G480" s="185"/>
      <c r="H480" s="166"/>
      <c r="I480" s="171"/>
      <c r="J480" s="158"/>
    </row>
    <row r="481" ht="15.75" customHeight="1">
      <c r="A481" s="184"/>
      <c r="B481" s="164"/>
      <c r="C481" s="165"/>
      <c r="D481" s="166"/>
      <c r="E481" s="165"/>
      <c r="F481" s="167"/>
      <c r="G481" s="185"/>
      <c r="H481" s="166"/>
      <c r="I481" s="171"/>
      <c r="J481" s="158"/>
    </row>
    <row r="482" ht="15.75" customHeight="1">
      <c r="A482" s="184"/>
      <c r="B482" s="164"/>
      <c r="C482" s="165"/>
      <c r="D482" s="166"/>
      <c r="E482" s="165"/>
      <c r="F482" s="167"/>
      <c r="G482" s="185"/>
      <c r="H482" s="166"/>
      <c r="I482" s="171"/>
      <c r="J482" s="158"/>
    </row>
    <row r="483" ht="15.75" customHeight="1">
      <c r="A483" s="184"/>
      <c r="B483" s="164"/>
      <c r="C483" s="165"/>
      <c r="D483" s="166"/>
      <c r="E483" s="165"/>
      <c r="F483" s="167"/>
      <c r="G483" s="185"/>
      <c r="H483" s="166"/>
      <c r="I483" s="171"/>
      <c r="J483" s="158"/>
    </row>
    <row r="484" ht="15.75" customHeight="1">
      <c r="A484" s="184"/>
      <c r="B484" s="164"/>
      <c r="C484" s="165"/>
      <c r="D484" s="166"/>
      <c r="E484" s="165"/>
      <c r="F484" s="167"/>
      <c r="G484" s="185"/>
      <c r="H484" s="166"/>
      <c r="I484" s="171"/>
      <c r="J484" s="158"/>
    </row>
    <row r="485" ht="15.75" customHeight="1">
      <c r="A485" s="184"/>
      <c r="B485" s="164"/>
      <c r="C485" s="165"/>
      <c r="D485" s="166"/>
      <c r="E485" s="165"/>
      <c r="F485" s="167"/>
      <c r="G485" s="185"/>
      <c r="H485" s="166"/>
      <c r="I485" s="171"/>
      <c r="J485" s="158"/>
    </row>
    <row r="486" ht="15.75" customHeight="1">
      <c r="A486" s="184"/>
      <c r="B486" s="164"/>
      <c r="C486" s="165"/>
      <c r="D486" s="166"/>
      <c r="E486" s="165"/>
      <c r="F486" s="167"/>
      <c r="G486" s="185"/>
      <c r="H486" s="166"/>
      <c r="I486" s="171"/>
      <c r="J486" s="158"/>
    </row>
    <row r="487" ht="15.75" customHeight="1">
      <c r="A487" s="184"/>
      <c r="B487" s="164"/>
      <c r="C487" s="165"/>
      <c r="D487" s="166"/>
      <c r="E487" s="165"/>
      <c r="F487" s="167"/>
      <c r="G487" s="185"/>
      <c r="H487" s="166"/>
      <c r="I487" s="171"/>
      <c r="J487" s="158"/>
    </row>
    <row r="488" ht="15.75" customHeight="1">
      <c r="A488" s="184"/>
      <c r="B488" s="164"/>
      <c r="C488" s="165"/>
      <c r="D488" s="166"/>
      <c r="E488" s="165"/>
      <c r="F488" s="167"/>
      <c r="G488" s="185"/>
      <c r="H488" s="166"/>
      <c r="I488" s="171"/>
      <c r="J488" s="158"/>
    </row>
    <row r="489" ht="15.75" customHeight="1">
      <c r="A489" s="184"/>
      <c r="B489" s="164"/>
      <c r="C489" s="165"/>
      <c r="D489" s="166"/>
      <c r="E489" s="165"/>
      <c r="F489" s="167"/>
      <c r="G489" s="185"/>
      <c r="H489" s="166"/>
      <c r="I489" s="171"/>
      <c r="J489" s="158"/>
    </row>
    <row r="490" ht="15.75" customHeight="1">
      <c r="A490" s="184"/>
      <c r="B490" s="164"/>
      <c r="C490" s="165"/>
      <c r="D490" s="166"/>
      <c r="E490" s="165"/>
      <c r="F490" s="167"/>
      <c r="G490" s="185"/>
      <c r="H490" s="166"/>
      <c r="I490" s="171"/>
      <c r="J490" s="158"/>
    </row>
    <row r="491" ht="15.75" customHeight="1">
      <c r="A491" s="184"/>
      <c r="B491" s="164"/>
      <c r="C491" s="165"/>
      <c r="D491" s="166"/>
      <c r="E491" s="165"/>
      <c r="F491" s="167"/>
      <c r="G491" s="185"/>
      <c r="H491" s="166"/>
      <c r="I491" s="171"/>
      <c r="J491" s="158"/>
    </row>
    <row r="492" ht="15.75" customHeight="1">
      <c r="A492" s="184"/>
      <c r="B492" s="164"/>
      <c r="C492" s="165"/>
      <c r="D492" s="166"/>
      <c r="E492" s="165"/>
      <c r="F492" s="167"/>
      <c r="G492" s="185"/>
      <c r="H492" s="166"/>
      <c r="I492" s="171"/>
      <c r="J492" s="158"/>
    </row>
    <row r="493" ht="15.75" customHeight="1">
      <c r="A493" s="184"/>
      <c r="B493" s="164"/>
      <c r="C493" s="165"/>
      <c r="D493" s="166"/>
      <c r="E493" s="165"/>
      <c r="F493" s="167"/>
      <c r="G493" s="185"/>
      <c r="H493" s="166"/>
      <c r="I493" s="171"/>
      <c r="J493" s="158"/>
    </row>
    <row r="494" ht="15.75" customHeight="1">
      <c r="A494" s="184"/>
      <c r="B494" s="164"/>
      <c r="C494" s="165"/>
      <c r="D494" s="166"/>
      <c r="E494" s="165"/>
      <c r="F494" s="167"/>
      <c r="G494" s="185"/>
      <c r="H494" s="166"/>
      <c r="I494" s="171"/>
      <c r="J494" s="158"/>
    </row>
    <row r="495" ht="15.75" customHeight="1">
      <c r="A495" s="184"/>
      <c r="B495" s="164"/>
      <c r="C495" s="165"/>
      <c r="D495" s="166"/>
      <c r="E495" s="165"/>
      <c r="F495" s="167"/>
      <c r="G495" s="185"/>
      <c r="H495" s="166"/>
      <c r="I495" s="171"/>
      <c r="J495" s="158"/>
    </row>
    <row r="496" ht="15.75" customHeight="1">
      <c r="A496" s="184"/>
      <c r="B496" s="164"/>
      <c r="C496" s="165"/>
      <c r="D496" s="166"/>
      <c r="E496" s="165"/>
      <c r="F496" s="167"/>
      <c r="G496" s="185"/>
      <c r="H496" s="166"/>
      <c r="I496" s="171"/>
      <c r="J496" s="158"/>
    </row>
    <row r="497" ht="15.75" customHeight="1">
      <c r="A497" s="184"/>
      <c r="B497" s="164"/>
      <c r="C497" s="165"/>
      <c r="D497" s="166"/>
      <c r="E497" s="165"/>
      <c r="F497" s="167"/>
      <c r="G497" s="185"/>
      <c r="H497" s="166"/>
      <c r="I497" s="171"/>
      <c r="J497" s="158"/>
    </row>
    <row r="498" ht="15.75" customHeight="1">
      <c r="A498" s="184"/>
      <c r="B498" s="164"/>
      <c r="C498" s="165"/>
      <c r="D498" s="166"/>
      <c r="E498" s="165"/>
      <c r="F498" s="167"/>
      <c r="G498" s="185"/>
      <c r="H498" s="166"/>
      <c r="I498" s="171"/>
      <c r="J498" s="158"/>
    </row>
    <row r="499" ht="15.75" customHeight="1">
      <c r="A499" s="184"/>
      <c r="B499" s="164"/>
      <c r="C499" s="165"/>
      <c r="D499" s="166"/>
      <c r="E499" s="165"/>
      <c r="F499" s="167"/>
      <c r="G499" s="185"/>
      <c r="H499" s="166"/>
      <c r="I499" s="171"/>
      <c r="J499" s="158"/>
    </row>
    <row r="500" ht="15.75" customHeight="1">
      <c r="A500" s="184"/>
      <c r="B500" s="164"/>
      <c r="C500" s="165"/>
      <c r="D500" s="166"/>
      <c r="E500" s="165"/>
      <c r="F500" s="167"/>
      <c r="G500" s="185"/>
      <c r="H500" s="166"/>
      <c r="I500" s="171"/>
      <c r="J500" s="158"/>
    </row>
    <row r="501" ht="15.75" customHeight="1">
      <c r="A501" s="184"/>
      <c r="B501" s="164"/>
      <c r="C501" s="165"/>
      <c r="D501" s="166"/>
      <c r="E501" s="165"/>
      <c r="F501" s="167"/>
      <c r="G501" s="185"/>
      <c r="H501" s="166"/>
      <c r="I501" s="171"/>
      <c r="J501" s="158"/>
    </row>
    <row r="502" ht="15.75" customHeight="1">
      <c r="A502" s="184"/>
      <c r="B502" s="164"/>
      <c r="C502" s="165"/>
      <c r="D502" s="166"/>
      <c r="E502" s="165"/>
      <c r="F502" s="167"/>
      <c r="G502" s="185"/>
      <c r="H502" s="166"/>
      <c r="I502" s="171"/>
      <c r="J502" s="158"/>
    </row>
    <row r="503" ht="15.75" customHeight="1">
      <c r="A503" s="184"/>
      <c r="B503" s="164"/>
      <c r="C503" s="165"/>
      <c r="D503" s="166"/>
      <c r="E503" s="165"/>
      <c r="F503" s="167"/>
      <c r="G503" s="185"/>
      <c r="H503" s="166"/>
      <c r="I503" s="171"/>
      <c r="J503" s="158"/>
    </row>
    <row r="504" ht="15.75" customHeight="1">
      <c r="A504" s="184"/>
      <c r="B504" s="164"/>
      <c r="C504" s="165"/>
      <c r="D504" s="166"/>
      <c r="E504" s="165"/>
      <c r="F504" s="167"/>
      <c r="G504" s="185"/>
      <c r="H504" s="166"/>
      <c r="I504" s="171"/>
      <c r="J504" s="158"/>
    </row>
    <row r="505" ht="15.75" customHeight="1">
      <c r="A505" s="184"/>
      <c r="B505" s="164"/>
      <c r="C505" s="165"/>
      <c r="D505" s="166"/>
      <c r="E505" s="165"/>
      <c r="F505" s="167"/>
      <c r="G505" s="185"/>
      <c r="H505" s="166"/>
      <c r="I505" s="171"/>
      <c r="J505" s="158"/>
    </row>
    <row r="506" ht="15.75" customHeight="1">
      <c r="A506" s="184"/>
      <c r="B506" s="164"/>
      <c r="C506" s="165"/>
      <c r="D506" s="166"/>
      <c r="E506" s="165"/>
      <c r="F506" s="167"/>
      <c r="G506" s="185"/>
      <c r="H506" s="166"/>
      <c r="I506" s="171"/>
      <c r="J506" s="158"/>
    </row>
    <row r="507" ht="15.75" customHeight="1">
      <c r="A507" s="184"/>
      <c r="B507" s="164"/>
      <c r="C507" s="165"/>
      <c r="D507" s="166"/>
      <c r="E507" s="165"/>
      <c r="F507" s="167"/>
      <c r="G507" s="185"/>
      <c r="H507" s="166"/>
      <c r="I507" s="171"/>
      <c r="J507" s="158"/>
    </row>
    <row r="508" ht="15.75" customHeight="1">
      <c r="A508" s="184"/>
      <c r="B508" s="164"/>
      <c r="C508" s="165"/>
      <c r="D508" s="166"/>
      <c r="E508" s="165"/>
      <c r="F508" s="167"/>
      <c r="G508" s="185"/>
      <c r="H508" s="166"/>
      <c r="I508" s="171"/>
      <c r="J508" s="158"/>
    </row>
    <row r="509" ht="15.75" customHeight="1">
      <c r="A509" s="184"/>
      <c r="B509" s="164"/>
      <c r="C509" s="165"/>
      <c r="D509" s="166"/>
      <c r="E509" s="165"/>
      <c r="F509" s="167"/>
      <c r="G509" s="185"/>
      <c r="H509" s="166"/>
      <c r="I509" s="171"/>
      <c r="J509" s="158"/>
    </row>
    <row r="510" ht="15.75" customHeight="1">
      <c r="A510" s="184"/>
      <c r="B510" s="164"/>
      <c r="C510" s="165"/>
      <c r="D510" s="166"/>
      <c r="E510" s="165"/>
      <c r="F510" s="167"/>
      <c r="G510" s="185"/>
      <c r="H510" s="166"/>
      <c r="I510" s="171"/>
      <c r="J510" s="158"/>
    </row>
    <row r="511" ht="15.75" customHeight="1">
      <c r="A511" s="184"/>
      <c r="B511" s="164"/>
      <c r="C511" s="165"/>
      <c r="D511" s="166"/>
      <c r="E511" s="165"/>
      <c r="F511" s="167"/>
      <c r="G511" s="185"/>
      <c r="H511" s="166"/>
      <c r="I511" s="171"/>
      <c r="J511" s="158"/>
    </row>
    <row r="512" ht="15.75" customHeight="1">
      <c r="A512" s="184"/>
      <c r="B512" s="164"/>
      <c r="C512" s="165"/>
      <c r="D512" s="166"/>
      <c r="E512" s="165"/>
      <c r="F512" s="167"/>
      <c r="G512" s="185"/>
      <c r="H512" s="166"/>
      <c r="I512" s="171"/>
      <c r="J512" s="158"/>
    </row>
    <row r="513" ht="15.75" customHeight="1">
      <c r="A513" s="184"/>
      <c r="B513" s="164"/>
      <c r="C513" s="165"/>
      <c r="D513" s="166"/>
      <c r="E513" s="165"/>
      <c r="F513" s="167"/>
      <c r="G513" s="185"/>
      <c r="H513" s="166"/>
      <c r="I513" s="171"/>
      <c r="J513" s="158"/>
    </row>
    <row r="514" ht="15.75" customHeight="1">
      <c r="A514" s="184"/>
      <c r="B514" s="164"/>
      <c r="C514" s="165"/>
      <c r="D514" s="166"/>
      <c r="E514" s="165"/>
      <c r="F514" s="167"/>
      <c r="G514" s="185"/>
      <c r="H514" s="166"/>
      <c r="I514" s="171"/>
      <c r="J514" s="158"/>
    </row>
    <row r="515" ht="15.75" customHeight="1">
      <c r="A515" s="184"/>
      <c r="B515" s="164"/>
      <c r="C515" s="165"/>
      <c r="D515" s="166"/>
      <c r="E515" s="165"/>
      <c r="F515" s="167"/>
      <c r="G515" s="185"/>
      <c r="H515" s="166"/>
      <c r="I515" s="171"/>
      <c r="J515" s="158"/>
    </row>
    <row r="516" ht="15.75" customHeight="1">
      <c r="A516" s="184"/>
      <c r="B516" s="164"/>
      <c r="C516" s="165"/>
      <c r="D516" s="166"/>
      <c r="E516" s="165"/>
      <c r="F516" s="167"/>
      <c r="G516" s="185"/>
      <c r="H516" s="166"/>
      <c r="I516" s="171"/>
      <c r="J516" s="158"/>
    </row>
    <row r="517" ht="15.75" customHeight="1">
      <c r="A517" s="184"/>
      <c r="B517" s="164"/>
      <c r="C517" s="165"/>
      <c r="D517" s="166"/>
      <c r="E517" s="165"/>
      <c r="F517" s="167"/>
      <c r="G517" s="185"/>
      <c r="H517" s="166"/>
      <c r="I517" s="171"/>
      <c r="J517" s="158"/>
    </row>
    <row r="518" ht="15.75" customHeight="1">
      <c r="A518" s="184"/>
      <c r="B518" s="164"/>
      <c r="C518" s="165"/>
      <c r="D518" s="166"/>
      <c r="E518" s="165"/>
      <c r="F518" s="167"/>
      <c r="G518" s="185"/>
      <c r="H518" s="166"/>
      <c r="I518" s="171"/>
      <c r="J518" s="158"/>
    </row>
    <row r="519" ht="15.75" customHeight="1">
      <c r="A519" s="184"/>
      <c r="B519" s="164"/>
      <c r="C519" s="165"/>
      <c r="D519" s="166"/>
      <c r="E519" s="165"/>
      <c r="F519" s="167"/>
      <c r="G519" s="185"/>
      <c r="H519" s="166"/>
      <c r="I519" s="171"/>
      <c r="J519" s="158"/>
    </row>
    <row r="520" ht="15.75" customHeight="1">
      <c r="A520" s="184"/>
      <c r="B520" s="164"/>
      <c r="C520" s="165"/>
      <c r="D520" s="166"/>
      <c r="E520" s="165"/>
      <c r="F520" s="167"/>
      <c r="G520" s="185"/>
      <c r="H520" s="166"/>
      <c r="I520" s="171"/>
      <c r="J520" s="158"/>
    </row>
    <row r="521" ht="15.75" customHeight="1">
      <c r="A521" s="184"/>
      <c r="B521" s="164"/>
      <c r="C521" s="165"/>
      <c r="D521" s="166"/>
      <c r="E521" s="165"/>
      <c r="F521" s="167"/>
      <c r="G521" s="185"/>
      <c r="H521" s="166"/>
      <c r="I521" s="171"/>
      <c r="J521" s="158"/>
    </row>
    <row r="522" ht="15.75" customHeight="1">
      <c r="A522" s="184"/>
      <c r="B522" s="164"/>
      <c r="C522" s="165"/>
      <c r="D522" s="166"/>
      <c r="E522" s="165"/>
      <c r="F522" s="167"/>
      <c r="G522" s="185"/>
      <c r="H522" s="166"/>
      <c r="I522" s="171"/>
      <c r="J522" s="158"/>
    </row>
    <row r="523" ht="15.75" customHeight="1">
      <c r="A523" s="184"/>
      <c r="B523" s="164"/>
      <c r="C523" s="165"/>
      <c r="D523" s="166"/>
      <c r="E523" s="165"/>
      <c r="F523" s="167"/>
      <c r="G523" s="185"/>
      <c r="H523" s="166"/>
      <c r="I523" s="171"/>
      <c r="J523" s="158"/>
    </row>
    <row r="524" ht="15.75" customHeight="1">
      <c r="A524" s="184"/>
      <c r="B524" s="164"/>
      <c r="C524" s="165"/>
      <c r="D524" s="166"/>
      <c r="E524" s="165"/>
      <c r="F524" s="167"/>
      <c r="G524" s="185"/>
      <c r="H524" s="166"/>
      <c r="I524" s="171"/>
      <c r="J524" s="158"/>
    </row>
    <row r="525" ht="15.75" customHeight="1">
      <c r="A525" s="184"/>
      <c r="B525" s="164"/>
      <c r="C525" s="165"/>
      <c r="D525" s="166"/>
      <c r="E525" s="165"/>
      <c r="F525" s="167"/>
      <c r="G525" s="185"/>
      <c r="H525" s="166"/>
      <c r="I525" s="171"/>
      <c r="J525" s="158"/>
    </row>
    <row r="526" ht="15.75" customHeight="1">
      <c r="A526" s="184"/>
      <c r="B526" s="164"/>
      <c r="C526" s="165"/>
      <c r="D526" s="166"/>
      <c r="E526" s="165"/>
      <c r="F526" s="167"/>
      <c r="G526" s="185"/>
      <c r="H526" s="166"/>
      <c r="I526" s="171"/>
      <c r="J526" s="158"/>
    </row>
    <row r="527" ht="15.75" customHeight="1">
      <c r="A527" s="184"/>
      <c r="B527" s="164"/>
      <c r="C527" s="165"/>
      <c r="D527" s="166"/>
      <c r="E527" s="165"/>
      <c r="F527" s="167"/>
      <c r="G527" s="185"/>
      <c r="H527" s="166"/>
      <c r="I527" s="171"/>
      <c r="J527" s="158"/>
    </row>
    <row r="528" ht="15.75" customHeight="1">
      <c r="A528" s="184"/>
      <c r="B528" s="164"/>
      <c r="C528" s="165"/>
      <c r="D528" s="166"/>
      <c r="E528" s="165"/>
      <c r="F528" s="167"/>
      <c r="G528" s="185"/>
      <c r="H528" s="166"/>
      <c r="I528" s="171"/>
      <c r="J528" s="158"/>
    </row>
    <row r="529" ht="15.75" customHeight="1">
      <c r="A529" s="184"/>
      <c r="B529" s="164"/>
      <c r="C529" s="165"/>
      <c r="D529" s="166"/>
      <c r="E529" s="165"/>
      <c r="F529" s="167"/>
      <c r="G529" s="185"/>
      <c r="H529" s="166"/>
      <c r="I529" s="171"/>
      <c r="J529" s="158"/>
    </row>
    <row r="530" ht="15.75" customHeight="1">
      <c r="A530" s="184"/>
      <c r="B530" s="164"/>
      <c r="C530" s="165"/>
      <c r="D530" s="166"/>
      <c r="E530" s="165"/>
      <c r="F530" s="167"/>
      <c r="G530" s="185"/>
      <c r="H530" s="166"/>
      <c r="I530" s="171"/>
      <c r="J530" s="158"/>
    </row>
    <row r="531" ht="15.75" customHeight="1">
      <c r="A531" s="184"/>
      <c r="B531" s="164"/>
      <c r="C531" s="165"/>
      <c r="D531" s="166"/>
      <c r="E531" s="165"/>
      <c r="F531" s="167"/>
      <c r="G531" s="185"/>
      <c r="H531" s="166"/>
      <c r="I531" s="171"/>
      <c r="J531" s="158"/>
    </row>
    <row r="532" ht="15.75" customHeight="1">
      <c r="A532" s="184"/>
      <c r="B532" s="164"/>
      <c r="C532" s="165"/>
      <c r="D532" s="166"/>
      <c r="E532" s="165"/>
      <c r="F532" s="167"/>
      <c r="G532" s="185"/>
      <c r="H532" s="166"/>
      <c r="I532" s="171"/>
      <c r="J532" s="158"/>
    </row>
    <row r="533" ht="15.75" customHeight="1">
      <c r="A533" s="184"/>
      <c r="B533" s="164"/>
      <c r="C533" s="165"/>
      <c r="D533" s="166"/>
      <c r="E533" s="165"/>
      <c r="F533" s="167"/>
      <c r="G533" s="185"/>
      <c r="H533" s="166"/>
      <c r="I533" s="171"/>
      <c r="J533" s="158"/>
    </row>
    <row r="534" ht="15.75" customHeight="1">
      <c r="A534" s="184"/>
      <c r="B534" s="164"/>
      <c r="C534" s="165"/>
      <c r="D534" s="166"/>
      <c r="E534" s="165"/>
      <c r="F534" s="167"/>
      <c r="G534" s="185"/>
      <c r="H534" s="166"/>
      <c r="I534" s="171"/>
      <c r="J534" s="158"/>
    </row>
    <row r="535" ht="15.75" customHeight="1">
      <c r="A535" s="184"/>
      <c r="B535" s="164"/>
      <c r="C535" s="165"/>
      <c r="D535" s="166"/>
      <c r="E535" s="165"/>
      <c r="F535" s="167"/>
      <c r="G535" s="185"/>
      <c r="H535" s="166"/>
      <c r="I535" s="171"/>
      <c r="J535" s="158"/>
    </row>
    <row r="536" ht="15.75" customHeight="1">
      <c r="A536" s="184"/>
      <c r="B536" s="164"/>
      <c r="C536" s="165"/>
      <c r="D536" s="166"/>
      <c r="E536" s="165"/>
      <c r="F536" s="167"/>
      <c r="G536" s="185"/>
      <c r="H536" s="166"/>
      <c r="I536" s="171"/>
      <c r="J536" s="158"/>
    </row>
    <row r="537" ht="15.75" customHeight="1">
      <c r="A537" s="184"/>
      <c r="B537" s="164"/>
      <c r="C537" s="165"/>
      <c r="D537" s="166"/>
      <c r="E537" s="165"/>
      <c r="F537" s="167"/>
      <c r="G537" s="185"/>
      <c r="H537" s="166"/>
      <c r="I537" s="171"/>
      <c r="J537" s="158"/>
    </row>
    <row r="538" ht="15.75" customHeight="1">
      <c r="A538" s="184"/>
      <c r="B538" s="164"/>
      <c r="C538" s="165"/>
      <c r="D538" s="166"/>
      <c r="E538" s="165"/>
      <c r="F538" s="167"/>
      <c r="G538" s="185"/>
      <c r="H538" s="166"/>
      <c r="I538" s="171"/>
      <c r="J538" s="158"/>
    </row>
    <row r="539" ht="15.75" customHeight="1">
      <c r="A539" s="184"/>
      <c r="B539" s="164"/>
      <c r="C539" s="165"/>
      <c r="D539" s="166"/>
      <c r="E539" s="165"/>
      <c r="F539" s="167"/>
      <c r="G539" s="185"/>
      <c r="H539" s="166"/>
      <c r="I539" s="171"/>
      <c r="J539" s="158"/>
    </row>
    <row r="540" ht="15.75" customHeight="1">
      <c r="A540" s="184"/>
      <c r="B540" s="164"/>
      <c r="C540" s="165"/>
      <c r="D540" s="166"/>
      <c r="E540" s="165"/>
      <c r="F540" s="167"/>
      <c r="G540" s="185"/>
      <c r="H540" s="166"/>
      <c r="I540" s="171"/>
      <c r="J540" s="158"/>
    </row>
    <row r="541" ht="15.75" customHeight="1">
      <c r="A541" s="184"/>
      <c r="B541" s="164"/>
      <c r="C541" s="165"/>
      <c r="D541" s="166"/>
      <c r="E541" s="165"/>
      <c r="F541" s="167"/>
      <c r="G541" s="185"/>
      <c r="H541" s="166"/>
      <c r="I541" s="171"/>
      <c r="J541" s="158"/>
    </row>
    <row r="542" ht="15.75" customHeight="1">
      <c r="A542" s="184"/>
      <c r="B542" s="164"/>
      <c r="C542" s="165"/>
      <c r="D542" s="166"/>
      <c r="E542" s="165"/>
      <c r="F542" s="167"/>
      <c r="G542" s="185"/>
      <c r="H542" s="166"/>
      <c r="I542" s="171"/>
      <c r="J542" s="158"/>
    </row>
    <row r="543" ht="15.75" customHeight="1">
      <c r="A543" s="184"/>
      <c r="B543" s="164"/>
      <c r="C543" s="165"/>
      <c r="D543" s="166"/>
      <c r="E543" s="165"/>
      <c r="F543" s="167"/>
      <c r="G543" s="185"/>
      <c r="H543" s="166"/>
      <c r="I543" s="171"/>
      <c r="J543" s="158"/>
    </row>
    <row r="544" ht="15.75" customHeight="1">
      <c r="A544" s="184"/>
      <c r="B544" s="164"/>
      <c r="C544" s="165"/>
      <c r="D544" s="166"/>
      <c r="E544" s="165"/>
      <c r="F544" s="167"/>
      <c r="G544" s="185"/>
      <c r="H544" s="166"/>
      <c r="I544" s="171"/>
      <c r="J544" s="158"/>
    </row>
    <row r="545" ht="15.75" customHeight="1">
      <c r="A545" s="184"/>
      <c r="B545" s="164"/>
      <c r="C545" s="165"/>
      <c r="D545" s="166"/>
      <c r="E545" s="165"/>
      <c r="F545" s="167"/>
      <c r="G545" s="185"/>
      <c r="H545" s="166"/>
      <c r="I545" s="171"/>
      <c r="J545" s="158"/>
    </row>
    <row r="546" ht="15.75" customHeight="1">
      <c r="A546" s="184"/>
      <c r="B546" s="164"/>
      <c r="C546" s="165"/>
      <c r="D546" s="166"/>
      <c r="E546" s="165"/>
      <c r="F546" s="167"/>
      <c r="G546" s="185"/>
      <c r="H546" s="166"/>
      <c r="I546" s="171"/>
      <c r="J546" s="158"/>
    </row>
    <row r="547" ht="15.75" customHeight="1">
      <c r="A547" s="184"/>
      <c r="B547" s="164"/>
      <c r="C547" s="165"/>
      <c r="D547" s="166"/>
      <c r="E547" s="165"/>
      <c r="F547" s="167"/>
      <c r="G547" s="185"/>
      <c r="H547" s="166"/>
      <c r="I547" s="171"/>
      <c r="J547" s="158"/>
    </row>
    <row r="548" ht="15.75" customHeight="1">
      <c r="A548" s="184"/>
      <c r="B548" s="164"/>
      <c r="C548" s="165"/>
      <c r="D548" s="166"/>
      <c r="E548" s="165"/>
      <c r="F548" s="167"/>
      <c r="G548" s="185"/>
      <c r="H548" s="166"/>
      <c r="I548" s="171"/>
      <c r="J548" s="158"/>
    </row>
    <row r="549" ht="15.75" customHeight="1">
      <c r="A549" s="184"/>
      <c r="B549" s="164"/>
      <c r="C549" s="165"/>
      <c r="D549" s="166"/>
      <c r="E549" s="165"/>
      <c r="F549" s="167"/>
      <c r="G549" s="185"/>
      <c r="H549" s="166"/>
      <c r="I549" s="171"/>
      <c r="J549" s="158"/>
    </row>
    <row r="550" ht="15.75" customHeight="1">
      <c r="A550" s="184"/>
      <c r="B550" s="164"/>
      <c r="C550" s="165"/>
      <c r="D550" s="166"/>
      <c r="E550" s="165"/>
      <c r="F550" s="167"/>
      <c r="G550" s="185"/>
      <c r="H550" s="166"/>
      <c r="I550" s="171"/>
      <c r="J550" s="158"/>
    </row>
    <row r="551" ht="15.75" customHeight="1">
      <c r="A551" s="184"/>
      <c r="B551" s="164"/>
      <c r="C551" s="165"/>
      <c r="D551" s="166"/>
      <c r="E551" s="165"/>
      <c r="F551" s="167"/>
      <c r="G551" s="185"/>
      <c r="H551" s="166"/>
      <c r="I551" s="171"/>
      <c r="J551" s="158"/>
    </row>
    <row r="552" ht="15.75" customHeight="1">
      <c r="A552" s="184"/>
      <c r="B552" s="164"/>
      <c r="C552" s="165"/>
      <c r="D552" s="166"/>
      <c r="E552" s="165"/>
      <c r="F552" s="167"/>
      <c r="G552" s="185"/>
      <c r="H552" s="166"/>
      <c r="I552" s="171"/>
      <c r="J552" s="158"/>
    </row>
    <row r="553" ht="15.75" customHeight="1">
      <c r="A553" s="184"/>
      <c r="B553" s="164"/>
      <c r="C553" s="165"/>
      <c r="D553" s="166"/>
      <c r="E553" s="165"/>
      <c r="F553" s="167"/>
      <c r="G553" s="185"/>
      <c r="H553" s="166"/>
      <c r="I553" s="171"/>
      <c r="J553" s="158"/>
    </row>
    <row r="554" ht="15.75" customHeight="1">
      <c r="A554" s="184"/>
      <c r="B554" s="164"/>
      <c r="C554" s="165"/>
      <c r="D554" s="166"/>
      <c r="E554" s="165"/>
      <c r="F554" s="167"/>
      <c r="G554" s="185"/>
      <c r="H554" s="166"/>
      <c r="I554" s="171"/>
      <c r="J554" s="158"/>
    </row>
    <row r="555" ht="15.75" customHeight="1">
      <c r="A555" s="184"/>
      <c r="B555" s="164"/>
      <c r="C555" s="165"/>
      <c r="D555" s="166"/>
      <c r="E555" s="165"/>
      <c r="F555" s="167"/>
      <c r="G555" s="185"/>
      <c r="H555" s="166"/>
      <c r="I555" s="171"/>
      <c r="J555" s="158"/>
    </row>
    <row r="556" ht="15.75" customHeight="1">
      <c r="A556" s="184"/>
      <c r="B556" s="164"/>
      <c r="C556" s="165"/>
      <c r="D556" s="166"/>
      <c r="E556" s="165"/>
      <c r="F556" s="167"/>
      <c r="G556" s="185"/>
      <c r="H556" s="166"/>
      <c r="I556" s="171"/>
      <c r="J556" s="158"/>
    </row>
    <row r="557" ht="15.75" customHeight="1">
      <c r="A557" s="184"/>
      <c r="B557" s="164"/>
      <c r="C557" s="165"/>
      <c r="D557" s="166"/>
      <c r="E557" s="165"/>
      <c r="F557" s="167"/>
      <c r="G557" s="185"/>
      <c r="H557" s="166"/>
      <c r="I557" s="171"/>
      <c r="J557" s="158"/>
    </row>
    <row r="558" ht="15.75" customHeight="1">
      <c r="A558" s="184"/>
      <c r="B558" s="164"/>
      <c r="C558" s="165"/>
      <c r="D558" s="166"/>
      <c r="E558" s="165"/>
      <c r="F558" s="167"/>
      <c r="G558" s="185"/>
      <c r="H558" s="166"/>
      <c r="I558" s="171"/>
      <c r="J558" s="158"/>
    </row>
    <row r="559" ht="15.75" customHeight="1">
      <c r="A559" s="184"/>
      <c r="B559" s="164"/>
      <c r="C559" s="165"/>
      <c r="D559" s="166"/>
      <c r="E559" s="165"/>
      <c r="F559" s="167"/>
      <c r="G559" s="185"/>
      <c r="H559" s="166"/>
      <c r="I559" s="171"/>
      <c r="J559" s="158"/>
    </row>
    <row r="560" ht="15.75" customHeight="1">
      <c r="A560" s="184"/>
      <c r="B560" s="164"/>
      <c r="C560" s="165"/>
      <c r="D560" s="166"/>
      <c r="E560" s="165"/>
      <c r="F560" s="167"/>
      <c r="G560" s="185"/>
      <c r="H560" s="166"/>
      <c r="I560" s="171"/>
      <c r="J560" s="158"/>
    </row>
    <row r="561" ht="15.75" customHeight="1">
      <c r="A561" s="184"/>
      <c r="B561" s="164"/>
      <c r="C561" s="165"/>
      <c r="D561" s="166"/>
      <c r="E561" s="165"/>
      <c r="F561" s="167"/>
      <c r="G561" s="185"/>
      <c r="H561" s="166"/>
      <c r="I561" s="171"/>
      <c r="J561" s="158"/>
    </row>
    <row r="562" ht="15.75" customHeight="1">
      <c r="A562" s="184"/>
      <c r="B562" s="164"/>
      <c r="C562" s="165"/>
      <c r="D562" s="166"/>
      <c r="E562" s="165"/>
      <c r="F562" s="167"/>
      <c r="G562" s="185"/>
      <c r="H562" s="166"/>
      <c r="I562" s="171"/>
      <c r="J562" s="158"/>
    </row>
    <row r="563" ht="15.75" customHeight="1">
      <c r="A563" s="184"/>
      <c r="B563" s="164"/>
      <c r="C563" s="165"/>
      <c r="D563" s="166"/>
      <c r="E563" s="165"/>
      <c r="F563" s="167"/>
      <c r="G563" s="185"/>
      <c r="H563" s="166"/>
      <c r="I563" s="171"/>
      <c r="J563" s="158"/>
    </row>
    <row r="564" ht="15.75" customHeight="1">
      <c r="A564" s="184"/>
      <c r="B564" s="164"/>
      <c r="C564" s="165"/>
      <c r="D564" s="166"/>
      <c r="E564" s="165"/>
      <c r="F564" s="167"/>
      <c r="G564" s="185"/>
      <c r="H564" s="166"/>
      <c r="I564" s="171"/>
      <c r="J564" s="158"/>
    </row>
    <row r="565" ht="15.75" customHeight="1">
      <c r="A565" s="184"/>
      <c r="B565" s="164"/>
      <c r="C565" s="165"/>
      <c r="D565" s="166"/>
      <c r="E565" s="165"/>
      <c r="F565" s="167"/>
      <c r="G565" s="185"/>
      <c r="H565" s="166"/>
      <c r="I565" s="171"/>
      <c r="J565" s="158"/>
    </row>
    <row r="566" ht="15.75" customHeight="1">
      <c r="A566" s="184"/>
      <c r="B566" s="164"/>
      <c r="C566" s="165"/>
      <c r="D566" s="166"/>
      <c r="E566" s="165"/>
      <c r="F566" s="167"/>
      <c r="G566" s="185"/>
      <c r="H566" s="166"/>
      <c r="I566" s="171"/>
      <c r="J566" s="158"/>
    </row>
    <row r="567" ht="15.75" customHeight="1">
      <c r="A567" s="184"/>
      <c r="B567" s="164"/>
      <c r="C567" s="165"/>
      <c r="D567" s="166"/>
      <c r="E567" s="165"/>
      <c r="F567" s="167"/>
      <c r="G567" s="185"/>
      <c r="H567" s="166"/>
      <c r="I567" s="171"/>
      <c r="J567" s="158"/>
    </row>
    <row r="568" ht="15.75" customHeight="1">
      <c r="A568" s="184"/>
      <c r="B568" s="164"/>
      <c r="C568" s="165"/>
      <c r="D568" s="166"/>
      <c r="E568" s="165"/>
      <c r="F568" s="167"/>
      <c r="G568" s="185"/>
      <c r="H568" s="166"/>
      <c r="I568" s="171"/>
      <c r="J568" s="158"/>
    </row>
    <row r="569" ht="15.75" customHeight="1">
      <c r="A569" s="184"/>
      <c r="B569" s="164"/>
      <c r="C569" s="165"/>
      <c r="D569" s="166"/>
      <c r="E569" s="165"/>
      <c r="F569" s="167"/>
      <c r="G569" s="185"/>
      <c r="H569" s="166"/>
      <c r="I569" s="171"/>
      <c r="J569" s="158"/>
    </row>
    <row r="570" ht="15.75" customHeight="1">
      <c r="A570" s="184"/>
      <c r="B570" s="164"/>
      <c r="C570" s="165"/>
      <c r="D570" s="166"/>
      <c r="E570" s="165"/>
      <c r="F570" s="167"/>
      <c r="G570" s="185"/>
      <c r="H570" s="166"/>
      <c r="I570" s="171"/>
      <c r="J570" s="158"/>
    </row>
    <row r="571" ht="15.75" customHeight="1">
      <c r="A571" s="184"/>
      <c r="B571" s="164"/>
      <c r="C571" s="165"/>
      <c r="D571" s="166"/>
      <c r="E571" s="165"/>
      <c r="F571" s="167"/>
      <c r="G571" s="185"/>
      <c r="H571" s="166"/>
      <c r="I571" s="171"/>
      <c r="J571" s="158"/>
    </row>
    <row r="572" ht="15.75" customHeight="1">
      <c r="A572" s="184"/>
      <c r="B572" s="164"/>
      <c r="C572" s="165"/>
      <c r="D572" s="166"/>
      <c r="E572" s="165"/>
      <c r="F572" s="167"/>
      <c r="G572" s="185"/>
      <c r="H572" s="166"/>
      <c r="I572" s="171"/>
      <c r="J572" s="158"/>
    </row>
    <row r="573" ht="15.75" customHeight="1">
      <c r="A573" s="184"/>
      <c r="B573" s="164"/>
      <c r="C573" s="165"/>
      <c r="D573" s="166"/>
      <c r="E573" s="165"/>
      <c r="F573" s="167"/>
      <c r="G573" s="185"/>
      <c r="H573" s="166"/>
      <c r="I573" s="171"/>
      <c r="J573" s="158"/>
    </row>
    <row r="574" ht="15.75" customHeight="1">
      <c r="A574" s="184"/>
      <c r="B574" s="164"/>
      <c r="C574" s="165"/>
      <c r="D574" s="166"/>
      <c r="E574" s="165"/>
      <c r="F574" s="167"/>
      <c r="G574" s="185"/>
      <c r="H574" s="166"/>
      <c r="I574" s="171"/>
      <c r="J574" s="158"/>
    </row>
    <row r="575" ht="15.75" customHeight="1">
      <c r="A575" s="184"/>
      <c r="B575" s="164"/>
      <c r="C575" s="165"/>
      <c r="D575" s="166"/>
      <c r="E575" s="165"/>
      <c r="F575" s="167"/>
      <c r="G575" s="185"/>
      <c r="H575" s="166"/>
      <c r="I575" s="171"/>
      <c r="J575" s="158"/>
    </row>
    <row r="576" ht="15.75" customHeight="1">
      <c r="A576" s="184"/>
      <c r="B576" s="164"/>
      <c r="C576" s="165"/>
      <c r="D576" s="166"/>
      <c r="E576" s="165"/>
      <c r="F576" s="167"/>
      <c r="G576" s="185"/>
      <c r="H576" s="166"/>
      <c r="I576" s="171"/>
      <c r="J576" s="158"/>
    </row>
    <row r="577" ht="15.75" customHeight="1">
      <c r="A577" s="184"/>
      <c r="B577" s="164"/>
      <c r="C577" s="165"/>
      <c r="D577" s="166"/>
      <c r="E577" s="165"/>
      <c r="F577" s="167"/>
      <c r="G577" s="185"/>
      <c r="H577" s="166"/>
      <c r="I577" s="171"/>
      <c r="J577" s="158"/>
    </row>
    <row r="578" ht="15.75" customHeight="1">
      <c r="A578" s="184"/>
      <c r="B578" s="164"/>
      <c r="C578" s="165"/>
      <c r="D578" s="166"/>
      <c r="E578" s="165"/>
      <c r="F578" s="167"/>
      <c r="G578" s="185"/>
      <c r="H578" s="166"/>
      <c r="I578" s="171"/>
      <c r="J578" s="158"/>
    </row>
    <row r="579" ht="15.75" customHeight="1">
      <c r="A579" s="184"/>
      <c r="B579" s="164"/>
      <c r="C579" s="165"/>
      <c r="D579" s="166"/>
      <c r="E579" s="165"/>
      <c r="F579" s="167"/>
      <c r="G579" s="185"/>
      <c r="H579" s="166"/>
      <c r="I579" s="171"/>
      <c r="J579" s="158"/>
    </row>
    <row r="580" ht="15.75" customHeight="1">
      <c r="A580" s="184"/>
      <c r="B580" s="164"/>
      <c r="C580" s="165"/>
      <c r="D580" s="166"/>
      <c r="E580" s="165"/>
      <c r="F580" s="167"/>
      <c r="G580" s="185"/>
      <c r="H580" s="166"/>
      <c r="I580" s="171"/>
      <c r="J580" s="158"/>
    </row>
    <row r="581" ht="15.75" customHeight="1">
      <c r="A581" s="184"/>
      <c r="B581" s="164"/>
      <c r="C581" s="165"/>
      <c r="D581" s="166"/>
      <c r="E581" s="165"/>
      <c r="F581" s="167"/>
      <c r="G581" s="185"/>
      <c r="H581" s="166"/>
      <c r="I581" s="171"/>
      <c r="J581" s="158"/>
    </row>
    <row r="582" ht="15.75" customHeight="1">
      <c r="A582" s="184"/>
      <c r="B582" s="164"/>
      <c r="C582" s="165"/>
      <c r="D582" s="166"/>
      <c r="E582" s="165"/>
      <c r="F582" s="167"/>
      <c r="G582" s="185"/>
      <c r="H582" s="166"/>
      <c r="I582" s="171"/>
      <c r="J582" s="158"/>
    </row>
    <row r="583" ht="15.75" customHeight="1">
      <c r="A583" s="184"/>
      <c r="B583" s="164"/>
      <c r="C583" s="165"/>
      <c r="D583" s="166"/>
      <c r="E583" s="165"/>
      <c r="F583" s="167"/>
      <c r="G583" s="185"/>
      <c r="H583" s="166"/>
      <c r="I583" s="171"/>
      <c r="J583" s="158"/>
    </row>
    <row r="584" ht="15.75" customHeight="1">
      <c r="A584" s="184"/>
      <c r="B584" s="164"/>
      <c r="C584" s="165"/>
      <c r="D584" s="166"/>
      <c r="E584" s="165"/>
      <c r="F584" s="167"/>
      <c r="G584" s="185"/>
      <c r="H584" s="166"/>
      <c r="I584" s="171"/>
      <c r="J584" s="158"/>
    </row>
    <row r="585" ht="15.75" customHeight="1">
      <c r="A585" s="184"/>
      <c r="B585" s="164"/>
      <c r="C585" s="165"/>
      <c r="D585" s="166"/>
      <c r="E585" s="165"/>
      <c r="F585" s="167"/>
      <c r="G585" s="185"/>
      <c r="H585" s="166"/>
      <c r="I585" s="171"/>
      <c r="J585" s="158"/>
    </row>
    <row r="586" ht="15.75" customHeight="1">
      <c r="A586" s="184"/>
      <c r="B586" s="164"/>
      <c r="C586" s="165"/>
      <c r="D586" s="166"/>
      <c r="E586" s="165"/>
      <c r="F586" s="167"/>
      <c r="G586" s="185"/>
      <c r="H586" s="166"/>
      <c r="I586" s="171"/>
      <c r="J586" s="158"/>
    </row>
    <row r="587" ht="15.75" customHeight="1">
      <c r="A587" s="184"/>
      <c r="B587" s="164"/>
      <c r="C587" s="165"/>
      <c r="D587" s="166"/>
      <c r="E587" s="165"/>
      <c r="F587" s="167"/>
      <c r="G587" s="185"/>
      <c r="H587" s="166"/>
      <c r="I587" s="171"/>
      <c r="J587" s="158"/>
    </row>
    <row r="588" ht="15.75" customHeight="1">
      <c r="A588" s="184"/>
      <c r="B588" s="164"/>
      <c r="C588" s="165"/>
      <c r="D588" s="166"/>
      <c r="E588" s="165"/>
      <c r="F588" s="167"/>
      <c r="G588" s="185"/>
      <c r="H588" s="166"/>
      <c r="I588" s="171"/>
      <c r="J588" s="158"/>
    </row>
    <row r="589" ht="15.75" customHeight="1">
      <c r="A589" s="184"/>
      <c r="B589" s="164"/>
      <c r="C589" s="165"/>
      <c r="D589" s="166"/>
      <c r="E589" s="165"/>
      <c r="F589" s="167"/>
      <c r="G589" s="185"/>
      <c r="H589" s="166"/>
      <c r="I589" s="171"/>
      <c r="J589" s="158"/>
    </row>
    <row r="590" ht="15.75" customHeight="1">
      <c r="A590" s="184"/>
      <c r="B590" s="164"/>
      <c r="C590" s="165"/>
      <c r="D590" s="166"/>
      <c r="E590" s="165"/>
      <c r="F590" s="167"/>
      <c r="G590" s="185"/>
      <c r="H590" s="166"/>
      <c r="I590" s="171"/>
      <c r="J590" s="158"/>
    </row>
    <row r="591" ht="15.75" customHeight="1">
      <c r="A591" s="184"/>
      <c r="B591" s="164"/>
      <c r="C591" s="165"/>
      <c r="D591" s="166"/>
      <c r="E591" s="165"/>
      <c r="F591" s="167"/>
      <c r="G591" s="185"/>
      <c r="H591" s="166"/>
      <c r="I591" s="171"/>
      <c r="J591" s="158"/>
    </row>
    <row r="592" ht="15.75" customHeight="1">
      <c r="A592" s="184"/>
      <c r="B592" s="164"/>
      <c r="C592" s="165"/>
      <c r="D592" s="166"/>
      <c r="E592" s="165"/>
      <c r="F592" s="167"/>
      <c r="G592" s="185"/>
      <c r="H592" s="166"/>
      <c r="I592" s="171"/>
      <c r="J592" s="158"/>
    </row>
    <row r="593" ht="15.75" customHeight="1">
      <c r="A593" s="184"/>
      <c r="B593" s="164"/>
      <c r="C593" s="165"/>
      <c r="D593" s="166"/>
      <c r="E593" s="165"/>
      <c r="F593" s="167"/>
      <c r="G593" s="185"/>
      <c r="H593" s="166"/>
      <c r="I593" s="171"/>
      <c r="J593" s="158"/>
    </row>
    <row r="594" ht="15.75" customHeight="1">
      <c r="A594" s="184"/>
      <c r="B594" s="164"/>
      <c r="C594" s="165"/>
      <c r="D594" s="166"/>
      <c r="E594" s="165"/>
      <c r="F594" s="167"/>
      <c r="G594" s="185"/>
      <c r="H594" s="166"/>
      <c r="I594" s="171"/>
      <c r="J594" s="158"/>
    </row>
    <row r="595" ht="15.75" customHeight="1">
      <c r="A595" s="184"/>
      <c r="B595" s="164"/>
      <c r="C595" s="165"/>
      <c r="D595" s="166"/>
      <c r="E595" s="165"/>
      <c r="F595" s="167"/>
      <c r="G595" s="185"/>
      <c r="H595" s="166"/>
      <c r="I595" s="171"/>
      <c r="J595" s="158"/>
    </row>
    <row r="596" ht="15.75" customHeight="1">
      <c r="A596" s="184"/>
      <c r="B596" s="164"/>
      <c r="C596" s="165"/>
      <c r="D596" s="166"/>
      <c r="E596" s="165"/>
      <c r="F596" s="167"/>
      <c r="G596" s="185"/>
      <c r="H596" s="166"/>
      <c r="I596" s="171"/>
      <c r="J596" s="158"/>
    </row>
    <row r="597" ht="15.75" customHeight="1">
      <c r="A597" s="184"/>
      <c r="B597" s="164"/>
      <c r="C597" s="165"/>
      <c r="D597" s="166"/>
      <c r="E597" s="165"/>
      <c r="F597" s="167"/>
      <c r="G597" s="185"/>
      <c r="H597" s="166"/>
      <c r="I597" s="171"/>
      <c r="J597" s="158"/>
    </row>
    <row r="598" ht="15.75" customHeight="1">
      <c r="A598" s="184"/>
      <c r="B598" s="164"/>
      <c r="C598" s="165"/>
      <c r="D598" s="166"/>
      <c r="E598" s="165"/>
      <c r="F598" s="167"/>
      <c r="G598" s="185"/>
      <c r="H598" s="166"/>
      <c r="I598" s="171"/>
      <c r="J598" s="158"/>
    </row>
    <row r="599" ht="15.75" customHeight="1">
      <c r="A599" s="184"/>
      <c r="B599" s="164"/>
      <c r="C599" s="165"/>
      <c r="D599" s="166"/>
      <c r="E599" s="165"/>
      <c r="F599" s="167"/>
      <c r="G599" s="185"/>
      <c r="H599" s="166"/>
      <c r="I599" s="171"/>
      <c r="J599" s="158"/>
    </row>
    <row r="600" ht="15.75" customHeight="1">
      <c r="A600" s="184"/>
      <c r="B600" s="164"/>
      <c r="C600" s="165"/>
      <c r="D600" s="166"/>
      <c r="E600" s="165"/>
      <c r="F600" s="167"/>
      <c r="G600" s="185"/>
      <c r="H600" s="166"/>
      <c r="I600" s="171"/>
      <c r="J600" s="158"/>
    </row>
    <row r="601" ht="15.75" customHeight="1">
      <c r="A601" s="184"/>
      <c r="B601" s="164"/>
      <c r="C601" s="165"/>
      <c r="D601" s="166"/>
      <c r="E601" s="165"/>
      <c r="F601" s="167"/>
      <c r="G601" s="185"/>
      <c r="H601" s="166"/>
      <c r="I601" s="171"/>
      <c r="J601" s="158"/>
    </row>
    <row r="602" ht="15.75" customHeight="1">
      <c r="A602" s="184"/>
      <c r="B602" s="164"/>
      <c r="C602" s="165"/>
      <c r="D602" s="166"/>
      <c r="E602" s="165"/>
      <c r="F602" s="167"/>
      <c r="G602" s="185"/>
      <c r="H602" s="166"/>
      <c r="I602" s="171"/>
      <c r="J602" s="158"/>
    </row>
  </sheetData>
  <autoFilter ref="$A$1:$J$602"/>
  <customSheetViews>
    <customSheetView guid="{6C8B3B70-B9B2-46EC-B679-04560AB35606}" filter="1" showAutoFilter="1">
      <autoFilter ref="$A$1:$J$3"/>
    </customSheetView>
  </customSheetViews>
  <conditionalFormatting sqref="A3:A602 C3:H602 J3:J602">
    <cfRule type="notContainsBlanks" dxfId="1" priority="1">
      <formula>LEN(TRIM(A3))&gt;0</formula>
    </cfRule>
  </conditionalFormatting>
  <conditionalFormatting sqref="A3:A602 C3:H602 J3:J602">
    <cfRule type="expression" dxfId="1" priority="2">
      <formula>ISEVEN(ROW())</formula>
    </cfRule>
  </conditionalFormatting>
  <dataValidations>
    <dataValidation type="list" allowBlank="1" showInputMessage="1" showErrorMessage="1" prompt="Nhấp và nhập giá trị từ dải ô 'Hạng mục chi'!A2:A30" sqref="F3:F602">
      <formula1>'Hang muc chi'!$A$2:$A$20</formula1>
    </dataValidation>
    <dataValidation type="list" allowBlank="1" showInputMessage="1" showErrorMessage="1" prompt="Nhấp và nhập một giá trị trong dải ô" sqref="H3:H602">
      <formula1>'Hang muc chi'!$B$2:$B$20</formula1>
    </dataValidation>
  </dataValidations>
  <printOptions/>
  <pageMargins bottom="0.7480314960629921" footer="0.0" header="0.0" left="0.7086614173228347" right="0.7086614173228347" top="0.7480314960629921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" width="15.57"/>
    <col customWidth="1" min="3" max="3" width="15.0"/>
    <col customWidth="1" min="4" max="4" width="12.14"/>
    <col customWidth="1" min="5" max="5" width="29.14"/>
    <col customWidth="1" min="6" max="8" width="15.43"/>
  </cols>
  <sheetData>
    <row r="1" ht="20.25" customHeight="1">
      <c r="A1" s="186"/>
      <c r="B1" s="187" t="s">
        <v>475</v>
      </c>
      <c r="C1" s="188"/>
      <c r="D1" s="189"/>
      <c r="E1" s="190" t="s">
        <v>33</v>
      </c>
      <c r="F1" s="191"/>
      <c r="G1" s="191"/>
      <c r="H1" s="189"/>
    </row>
    <row r="2" ht="27.75" customHeight="1">
      <c r="A2" s="192"/>
      <c r="B2" s="192" t="s">
        <v>476</v>
      </c>
      <c r="C2" s="192" t="s">
        <v>477</v>
      </c>
      <c r="D2" s="193" t="s">
        <v>478</v>
      </c>
      <c r="E2" s="194" t="s">
        <v>479</v>
      </c>
      <c r="F2" s="195">
        <v>6887196.0</v>
      </c>
      <c r="G2" s="196"/>
      <c r="H2" s="197"/>
    </row>
    <row r="3" ht="20.25" customHeight="1">
      <c r="A3" s="198" t="s">
        <v>126</v>
      </c>
      <c r="B3" s="199">
        <f>'BC Thang'!Q91</f>
        <v>25820</v>
      </c>
      <c r="C3" s="199">
        <f>'Danh muc Chi'!J9</f>
        <v>2798</v>
      </c>
      <c r="D3" s="200"/>
      <c r="E3" s="201" t="s">
        <v>480</v>
      </c>
      <c r="F3" s="195">
        <v>6887196.0</v>
      </c>
      <c r="G3" s="202"/>
      <c r="H3" s="203"/>
    </row>
    <row r="4" ht="20.25" customHeight="1">
      <c r="A4" s="204" t="s">
        <v>204</v>
      </c>
      <c r="B4" s="205">
        <f>'BC Thang'!Q174</f>
        <v>42242</v>
      </c>
      <c r="C4" s="199">
        <f>'Danh muc Chi'!J30</f>
        <v>1731.5</v>
      </c>
      <c r="D4" s="206"/>
      <c r="E4" s="201" t="s">
        <v>481</v>
      </c>
      <c r="F4" s="195">
        <v>4535810.0</v>
      </c>
      <c r="G4" s="207"/>
      <c r="H4" s="208"/>
    </row>
    <row r="5" ht="20.25" customHeight="1">
      <c r="A5" s="198" t="s">
        <v>288</v>
      </c>
      <c r="B5" s="205">
        <f>'BC Thang'!Q298</f>
        <v>29855</v>
      </c>
      <c r="C5" s="199">
        <f>'Danh muc Chi'!J45</f>
        <v>3139</v>
      </c>
      <c r="D5" s="209"/>
      <c r="E5" s="201" t="s">
        <v>482</v>
      </c>
      <c r="F5" s="195">
        <f>F2-F4</f>
        <v>2351386</v>
      </c>
      <c r="G5" s="207"/>
      <c r="H5" s="210"/>
    </row>
    <row r="6" ht="20.25" customHeight="1">
      <c r="A6" s="204" t="s">
        <v>378</v>
      </c>
      <c r="B6" s="199">
        <f>'BC Thang'!Q428</f>
        <v>24313</v>
      </c>
      <c r="C6" s="199">
        <f>'Danh muc Chi'!J75</f>
        <v>3534</v>
      </c>
      <c r="D6" s="211"/>
      <c r="E6" s="212"/>
      <c r="F6" s="213" t="s">
        <v>483</v>
      </c>
      <c r="G6" s="214" t="s">
        <v>484</v>
      </c>
      <c r="H6" s="215"/>
    </row>
    <row r="7" ht="20.25" customHeight="1">
      <c r="A7" s="198" t="s">
        <v>485</v>
      </c>
      <c r="B7" s="216">
        <f>SuMIFS('BC Thang'!M4:M2974,'BC Thang'!N4:N2974,"CK petshop Thầy")</f>
        <v>2816</v>
      </c>
      <c r="C7" s="217" t="str">
        <f>'Danh muc Chi'!J117</f>
        <v/>
      </c>
      <c r="D7" s="218"/>
      <c r="E7" s="212" t="s">
        <v>380</v>
      </c>
      <c r="F7" s="219">
        <v>6887.0</v>
      </c>
      <c r="G7" s="220">
        <f>'Chi petshop'!G1</f>
        <v>0</v>
      </c>
      <c r="H7" s="218"/>
    </row>
    <row r="8" ht="20.25" customHeight="1">
      <c r="A8" s="204" t="s">
        <v>380</v>
      </c>
      <c r="B8" s="221">
        <f>SUM(B3:B6)-B7</f>
        <v>119414</v>
      </c>
      <c r="C8" s="222">
        <f>SUM(C3:C7)</f>
        <v>11202.5</v>
      </c>
      <c r="D8" s="223">
        <f>sum(D3:D6)</f>
        <v>0</v>
      </c>
      <c r="E8" s="224" t="s">
        <v>486</v>
      </c>
      <c r="F8" s="225"/>
      <c r="G8" s="226">
        <f>SuMIFS('BC Thang'!M4:M2974,'BC Thang'!N4:N2974,"CK petshop Thầy")</f>
        <v>2816</v>
      </c>
      <c r="H8" s="227"/>
    </row>
    <row r="9" ht="20.25" customHeight="1">
      <c r="A9" s="198" t="s">
        <v>487</v>
      </c>
      <c r="B9" s="228">
        <f>SUMIFS('Danh muc Chi'!G3:G807,'Danh muc Chi'!H3:H807,"Thầy")</f>
        <v>700</v>
      </c>
      <c r="C9" s="217"/>
      <c r="D9" s="209"/>
      <c r="E9" s="229" t="s">
        <v>488</v>
      </c>
      <c r="F9" s="230">
        <f>F7-G8</f>
        <v>4071</v>
      </c>
      <c r="G9" s="207"/>
      <c r="H9" s="209"/>
    </row>
    <row r="10" ht="20.25" customHeight="1">
      <c r="A10" s="204" t="s">
        <v>489</v>
      </c>
      <c r="C10" s="231">
        <f>SuMIFS('BC Thang'!M4:M2974,'BC Thang'!N4:N2974,"Thầy")</f>
        <v>60</v>
      </c>
      <c r="D10" s="232"/>
      <c r="E10" s="232"/>
      <c r="F10" s="232"/>
      <c r="G10" s="232"/>
      <c r="H10" s="232"/>
    </row>
    <row r="11" ht="20.25" customHeight="1">
      <c r="A11" s="198" t="s">
        <v>490</v>
      </c>
      <c r="B11" s="233"/>
      <c r="C11" s="234">
        <f>SuMIFS('BC Thang'!M4:M2974,'BC Thang'!N4:N2974,"CK Thầy")</f>
        <v>95550</v>
      </c>
      <c r="D11" s="235"/>
      <c r="E11" s="236"/>
      <c r="F11" s="237"/>
      <c r="G11" s="237"/>
      <c r="H11" s="237"/>
    </row>
    <row r="12" ht="20.25" customHeight="1">
      <c r="B12" s="238"/>
      <c r="C12" s="239"/>
      <c r="E12" s="240"/>
    </row>
    <row r="13" ht="20.25" customHeight="1">
      <c r="A13" s="241" t="s">
        <v>491</v>
      </c>
      <c r="B13" s="242"/>
      <c r="E13" s="200"/>
      <c r="F13" s="209"/>
      <c r="G13" s="209"/>
    </row>
    <row r="14" ht="20.25" customHeight="1">
      <c r="A14" s="243" t="s">
        <v>492</v>
      </c>
      <c r="B14" s="244">
        <f>(B8+B9-C8-C10-C11-C13)</f>
        <v>13301.5</v>
      </c>
      <c r="E14" s="200"/>
      <c r="G14" s="209"/>
      <c r="H14" s="245"/>
    </row>
    <row r="15" ht="20.25" customHeight="1">
      <c r="A15" s="246" t="s">
        <v>493</v>
      </c>
      <c r="B15" s="244">
        <f>B14+F9</f>
        <v>17372.5</v>
      </c>
      <c r="C15" s="247" t="s">
        <v>494</v>
      </c>
      <c r="D15" s="209">
        <f>C25-B15</f>
        <v>-11.5</v>
      </c>
      <c r="F15" s="211"/>
      <c r="G15" s="248" t="s">
        <v>495</v>
      </c>
      <c r="H15" s="249"/>
    </row>
    <row r="16" ht="20.25" customHeight="1">
      <c r="A16" s="250">
        <v>500.0</v>
      </c>
      <c r="B16" s="251">
        <v>17.0</v>
      </c>
      <c r="C16" s="200">
        <f t="shared" ref="C16:C24" si="1">A16*B16</f>
        <v>8500</v>
      </c>
      <c r="F16" s="200"/>
      <c r="H16" s="200"/>
    </row>
    <row r="17" ht="20.25" customHeight="1">
      <c r="A17" s="252">
        <v>200.0</v>
      </c>
      <c r="B17" s="253">
        <v>13.0</v>
      </c>
      <c r="C17" s="200">
        <f t="shared" si="1"/>
        <v>2600</v>
      </c>
      <c r="G17" s="209"/>
      <c r="H17" s="206"/>
    </row>
    <row r="18" ht="20.25" customHeight="1">
      <c r="A18" s="250">
        <v>100.0</v>
      </c>
      <c r="B18" s="253">
        <v>57.0</v>
      </c>
      <c r="C18" s="200">
        <f t="shared" si="1"/>
        <v>5700</v>
      </c>
      <c r="G18" s="209"/>
      <c r="H18" s="209"/>
    </row>
    <row r="19" ht="20.25" customHeight="1">
      <c r="A19" s="252">
        <v>50.0</v>
      </c>
      <c r="B19" s="251">
        <v>11.0</v>
      </c>
      <c r="C19" s="200">
        <f t="shared" si="1"/>
        <v>550</v>
      </c>
      <c r="E19" s="254"/>
      <c r="F19" s="211"/>
      <c r="G19" s="209"/>
      <c r="H19" s="206"/>
    </row>
    <row r="20" ht="20.25" customHeight="1">
      <c r="A20" s="250">
        <v>20.0</v>
      </c>
      <c r="B20" s="251"/>
      <c r="C20" s="200">
        <f t="shared" si="1"/>
        <v>0</v>
      </c>
      <c r="E20" s="250"/>
      <c r="F20" s="200"/>
      <c r="G20" s="209"/>
      <c r="H20" s="209"/>
    </row>
    <row r="21" ht="20.25" customHeight="1">
      <c r="A21" s="252">
        <v>10.0</v>
      </c>
      <c r="B21" s="253">
        <v>1.0</v>
      </c>
      <c r="C21" s="200">
        <f t="shared" si="1"/>
        <v>10</v>
      </c>
      <c r="E21" s="252"/>
      <c r="G21" s="209"/>
      <c r="H21" s="206"/>
    </row>
    <row r="22" ht="20.25" customHeight="1">
      <c r="A22" s="250">
        <v>5.0</v>
      </c>
      <c r="B22" s="251"/>
      <c r="C22" s="200">
        <f t="shared" si="1"/>
        <v>0</v>
      </c>
      <c r="E22" s="250"/>
      <c r="F22" s="209"/>
      <c r="G22" s="209"/>
      <c r="H22" s="209"/>
    </row>
    <row r="23" ht="20.25" customHeight="1">
      <c r="A23" s="252">
        <v>2.0</v>
      </c>
      <c r="B23" s="253"/>
      <c r="C23" s="200">
        <f t="shared" si="1"/>
        <v>0</v>
      </c>
      <c r="E23" s="252"/>
      <c r="F23" s="211"/>
      <c r="G23" s="209"/>
      <c r="H23" s="206"/>
    </row>
    <row r="24" ht="20.25" customHeight="1">
      <c r="A24" s="250">
        <v>1.0</v>
      </c>
      <c r="B24" s="251">
        <v>1.0</v>
      </c>
      <c r="C24" s="200">
        <f t="shared" si="1"/>
        <v>1</v>
      </c>
      <c r="E24" s="255" t="s">
        <v>496</v>
      </c>
      <c r="F24" s="200"/>
      <c r="G24" s="209"/>
      <c r="H24" s="209"/>
    </row>
    <row r="25" ht="20.25" customHeight="1">
      <c r="A25" s="252" t="s">
        <v>497</v>
      </c>
      <c r="B25" s="206">
        <f>SUM(B16:B24)</f>
        <v>100</v>
      </c>
      <c r="C25" s="206">
        <f>sum(C16:C24)</f>
        <v>17361</v>
      </c>
      <c r="E25" s="206"/>
      <c r="F25" s="211"/>
      <c r="G25" s="209"/>
      <c r="H25" s="206"/>
    </row>
    <row r="26" ht="20.25" customHeight="1">
      <c r="A26" s="255"/>
      <c r="B26" s="242"/>
      <c r="D26" s="209"/>
      <c r="E26" s="200"/>
      <c r="F26" s="200"/>
      <c r="G26" s="209"/>
      <c r="H26" s="209"/>
    </row>
    <row r="27" ht="20.25" customHeight="1">
      <c r="A27" s="252"/>
      <c r="B27" s="256"/>
      <c r="C27" s="206"/>
      <c r="D27" s="206"/>
      <c r="E27" s="206"/>
      <c r="F27" s="206"/>
      <c r="G27" s="209"/>
      <c r="H27" s="206"/>
    </row>
    <row r="28" ht="20.25" customHeight="1">
      <c r="A28" s="250"/>
      <c r="B28" s="242"/>
      <c r="C28" s="209"/>
      <c r="D28" s="209"/>
      <c r="E28" s="209"/>
      <c r="F28" s="209"/>
      <c r="G28" s="209"/>
      <c r="H28" s="209"/>
    </row>
    <row r="29" ht="20.25" customHeight="1">
      <c r="A29" s="252"/>
      <c r="B29" s="256"/>
      <c r="C29" s="206"/>
      <c r="D29" s="206"/>
      <c r="E29" s="206"/>
      <c r="F29" s="206"/>
      <c r="G29" s="206"/>
      <c r="H29" s="206"/>
    </row>
    <row r="30" ht="20.25" customHeight="1">
      <c r="A30" s="250"/>
      <c r="B30" s="242"/>
      <c r="C30" s="209"/>
      <c r="D30" s="209"/>
      <c r="E30" s="209"/>
      <c r="F30" s="209"/>
      <c r="G30" s="209"/>
      <c r="H30" s="209"/>
    </row>
  </sheetData>
  <mergeCells count="1">
    <mergeCell ref="B1:C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56.29"/>
    <col customWidth="1" min="3" max="3" width="11.57"/>
    <col customWidth="1" min="4" max="4" width="10.71"/>
    <col customWidth="1" min="5" max="5" width="12.0"/>
    <col customWidth="1" min="6" max="6" width="20.29"/>
    <col customWidth="1" min="7" max="7" width="13.43"/>
    <col customWidth="1" min="8" max="8" width="14.14"/>
    <col customWidth="1" min="9" max="9" width="19.86"/>
    <col customWidth="1" min="10" max="10" width="14.57"/>
  </cols>
  <sheetData>
    <row r="1" ht="23.25" customHeight="1">
      <c r="A1" s="257"/>
      <c r="B1" s="258"/>
      <c r="C1" s="259"/>
      <c r="D1" s="259"/>
      <c r="E1" s="259"/>
      <c r="F1" s="260"/>
      <c r="G1" s="261">
        <f>sum(G3:G60)</f>
        <v>0</v>
      </c>
      <c r="H1" s="259"/>
      <c r="I1" s="259"/>
      <c r="J1" s="262"/>
    </row>
    <row r="2" ht="51.0" customHeight="1">
      <c r="A2" s="257" t="s">
        <v>4</v>
      </c>
      <c r="B2" s="263" t="s">
        <v>498</v>
      </c>
      <c r="C2" s="259" t="s">
        <v>383</v>
      </c>
      <c r="D2" s="259" t="s">
        <v>384</v>
      </c>
      <c r="E2" s="259" t="s">
        <v>385</v>
      </c>
      <c r="F2" s="260" t="s">
        <v>386</v>
      </c>
      <c r="G2" s="262" t="s">
        <v>387</v>
      </c>
      <c r="H2" s="259" t="s">
        <v>388</v>
      </c>
      <c r="I2" s="259" t="s">
        <v>18</v>
      </c>
      <c r="J2" s="262" t="s">
        <v>389</v>
      </c>
    </row>
    <row r="3" ht="15.75" customHeight="1">
      <c r="A3" s="264"/>
      <c r="B3" s="265"/>
      <c r="C3" s="265"/>
      <c r="D3" s="265"/>
      <c r="E3" s="265"/>
      <c r="F3" s="266" t="s">
        <v>33</v>
      </c>
      <c r="G3" s="267">
        <f t="shared" ref="G3:G948" si="1">C3*E3</f>
        <v>0</v>
      </c>
      <c r="H3" s="265"/>
      <c r="I3" s="265"/>
      <c r="J3" s="267"/>
    </row>
    <row r="4" ht="15.75" customHeight="1">
      <c r="A4" s="264"/>
      <c r="B4" s="265"/>
      <c r="C4" s="265"/>
      <c r="D4" s="265"/>
      <c r="E4" s="265"/>
      <c r="F4" s="266" t="s">
        <v>33</v>
      </c>
      <c r="G4" s="267">
        <f t="shared" si="1"/>
        <v>0</v>
      </c>
      <c r="H4" s="265"/>
      <c r="I4" s="265"/>
      <c r="J4" s="267"/>
    </row>
    <row r="5" ht="15.75" customHeight="1">
      <c r="A5" s="264"/>
      <c r="B5" s="265"/>
      <c r="C5" s="265"/>
      <c r="D5" s="265"/>
      <c r="E5" s="265"/>
      <c r="F5" s="266" t="s">
        <v>33</v>
      </c>
      <c r="G5" s="267">
        <f t="shared" si="1"/>
        <v>0</v>
      </c>
      <c r="H5" s="265"/>
      <c r="I5" s="265"/>
      <c r="J5" s="267"/>
    </row>
    <row r="6" ht="15.75" customHeight="1">
      <c r="A6" s="264"/>
      <c r="B6" s="265"/>
      <c r="C6" s="265"/>
      <c r="D6" s="265"/>
      <c r="E6" s="265"/>
      <c r="F6" s="266" t="s">
        <v>33</v>
      </c>
      <c r="G6" s="267">
        <f t="shared" si="1"/>
        <v>0</v>
      </c>
      <c r="H6" s="265"/>
      <c r="I6" s="265"/>
      <c r="J6" s="267"/>
    </row>
    <row r="7" ht="15.75" customHeight="1">
      <c r="A7" s="268"/>
      <c r="B7" s="265"/>
      <c r="C7" s="265"/>
      <c r="D7" s="265"/>
      <c r="E7" s="265"/>
      <c r="F7" s="266" t="s">
        <v>33</v>
      </c>
      <c r="G7" s="267">
        <f t="shared" si="1"/>
        <v>0</v>
      </c>
      <c r="H7" s="265"/>
      <c r="I7" s="269"/>
      <c r="J7" s="267"/>
    </row>
    <row r="8" ht="15.75" customHeight="1">
      <c r="A8" s="268"/>
      <c r="B8" s="265"/>
      <c r="C8" s="265"/>
      <c r="D8" s="265"/>
      <c r="E8" s="265"/>
      <c r="F8" s="266" t="s">
        <v>33</v>
      </c>
      <c r="G8" s="267">
        <f t="shared" si="1"/>
        <v>0</v>
      </c>
      <c r="H8" s="265"/>
      <c r="I8" s="269"/>
      <c r="J8" s="267"/>
    </row>
    <row r="9" ht="15.75" customHeight="1">
      <c r="A9" s="268"/>
      <c r="B9" s="265"/>
      <c r="C9" s="265"/>
      <c r="D9" s="265"/>
      <c r="E9" s="265"/>
      <c r="F9" s="266" t="s">
        <v>33</v>
      </c>
      <c r="G9" s="267">
        <f t="shared" si="1"/>
        <v>0</v>
      </c>
      <c r="H9" s="265"/>
      <c r="I9" s="269"/>
      <c r="J9" s="267"/>
    </row>
    <row r="10" ht="15.75" customHeight="1">
      <c r="A10" s="268"/>
      <c r="B10" s="265"/>
      <c r="C10" s="265"/>
      <c r="D10" s="265"/>
      <c r="E10" s="265"/>
      <c r="F10" s="266" t="s">
        <v>33</v>
      </c>
      <c r="G10" s="267">
        <f t="shared" si="1"/>
        <v>0</v>
      </c>
      <c r="H10" s="265"/>
      <c r="I10" s="269"/>
      <c r="J10" s="267"/>
    </row>
    <row r="11" ht="15.75" customHeight="1">
      <c r="A11" s="268"/>
      <c r="B11" s="265"/>
      <c r="C11" s="265"/>
      <c r="D11" s="265"/>
      <c r="E11" s="265"/>
      <c r="F11" s="266" t="s">
        <v>33</v>
      </c>
      <c r="G11" s="267">
        <f t="shared" si="1"/>
        <v>0</v>
      </c>
      <c r="H11" s="265"/>
      <c r="I11" s="269"/>
      <c r="J11" s="267"/>
    </row>
    <row r="12" ht="22.5" customHeight="1">
      <c r="A12" s="268"/>
      <c r="B12" s="265"/>
      <c r="C12" s="265"/>
      <c r="D12" s="265"/>
      <c r="E12" s="265"/>
      <c r="F12" s="266" t="s">
        <v>33</v>
      </c>
      <c r="G12" s="267">
        <f t="shared" si="1"/>
        <v>0</v>
      </c>
      <c r="H12" s="265"/>
      <c r="I12" s="269"/>
      <c r="J12" s="267"/>
    </row>
    <row r="13" ht="22.5" customHeight="1">
      <c r="A13" s="268"/>
      <c r="B13" s="265"/>
      <c r="C13" s="265"/>
      <c r="D13" s="265"/>
      <c r="E13" s="265"/>
      <c r="F13" s="266" t="s">
        <v>33</v>
      </c>
      <c r="G13" s="267">
        <f t="shared" si="1"/>
        <v>0</v>
      </c>
      <c r="H13" s="265"/>
      <c r="I13" s="269"/>
      <c r="J13" s="267"/>
    </row>
    <row r="14" ht="22.5" customHeight="1">
      <c r="A14" s="268"/>
      <c r="B14" s="265"/>
      <c r="C14" s="265"/>
      <c r="D14" s="265"/>
      <c r="E14" s="265"/>
      <c r="F14" s="266" t="s">
        <v>33</v>
      </c>
      <c r="G14" s="267">
        <f t="shared" si="1"/>
        <v>0</v>
      </c>
      <c r="H14" s="265"/>
      <c r="I14" s="269"/>
      <c r="J14" s="267"/>
    </row>
    <row r="15" ht="22.5" customHeight="1">
      <c r="A15" s="268"/>
      <c r="B15" s="265"/>
      <c r="C15" s="265"/>
      <c r="D15" s="265"/>
      <c r="E15" s="265"/>
      <c r="F15" s="266" t="s">
        <v>33</v>
      </c>
      <c r="G15" s="267">
        <f t="shared" si="1"/>
        <v>0</v>
      </c>
      <c r="H15" s="265"/>
      <c r="I15" s="269"/>
      <c r="J15" s="267"/>
    </row>
    <row r="16" ht="22.5" customHeight="1">
      <c r="A16" s="268"/>
      <c r="B16" s="265"/>
      <c r="C16" s="265"/>
      <c r="D16" s="265"/>
      <c r="E16" s="265"/>
      <c r="F16" s="266" t="s">
        <v>33</v>
      </c>
      <c r="G16" s="267">
        <f t="shared" si="1"/>
        <v>0</v>
      </c>
      <c r="H16" s="265"/>
      <c r="I16" s="269"/>
      <c r="J16" s="267"/>
    </row>
    <row r="17" ht="22.5" customHeight="1">
      <c r="A17" s="268"/>
      <c r="B17" s="265"/>
      <c r="C17" s="265"/>
      <c r="D17" s="265"/>
      <c r="E17" s="265"/>
      <c r="F17" s="266" t="s">
        <v>33</v>
      </c>
      <c r="G17" s="267">
        <f t="shared" si="1"/>
        <v>0</v>
      </c>
      <c r="H17" s="265"/>
      <c r="I17" s="269"/>
      <c r="J17" s="267"/>
    </row>
    <row r="18" ht="22.5" customHeight="1">
      <c r="A18" s="268"/>
      <c r="B18" s="265"/>
      <c r="C18" s="265"/>
      <c r="D18" s="265"/>
      <c r="E18" s="265"/>
      <c r="F18" s="266" t="s">
        <v>33</v>
      </c>
      <c r="G18" s="267">
        <f t="shared" si="1"/>
        <v>0</v>
      </c>
      <c r="H18" s="265"/>
      <c r="I18" s="269"/>
      <c r="J18" s="267"/>
    </row>
    <row r="19" ht="22.5" customHeight="1">
      <c r="A19" s="268"/>
      <c r="B19" s="265"/>
      <c r="C19" s="265"/>
      <c r="D19" s="265"/>
      <c r="E19" s="265"/>
      <c r="F19" s="266" t="s">
        <v>33</v>
      </c>
      <c r="G19" s="267">
        <f t="shared" si="1"/>
        <v>0</v>
      </c>
      <c r="H19" s="265"/>
      <c r="I19" s="269"/>
      <c r="J19" s="267"/>
    </row>
    <row r="20" ht="22.5" customHeight="1">
      <c r="A20" s="268"/>
      <c r="B20" s="265"/>
      <c r="C20" s="265"/>
      <c r="D20" s="265"/>
      <c r="E20" s="265"/>
      <c r="F20" s="266" t="s">
        <v>33</v>
      </c>
      <c r="G20" s="267">
        <f t="shared" si="1"/>
        <v>0</v>
      </c>
      <c r="H20" s="265"/>
      <c r="I20" s="269"/>
      <c r="J20" s="267"/>
    </row>
    <row r="21" ht="22.5" customHeight="1">
      <c r="A21" s="268"/>
      <c r="B21" s="265"/>
      <c r="C21" s="265"/>
      <c r="D21" s="265"/>
      <c r="E21" s="265"/>
      <c r="F21" s="266" t="s">
        <v>33</v>
      </c>
      <c r="G21" s="267">
        <f t="shared" si="1"/>
        <v>0</v>
      </c>
      <c r="H21" s="265"/>
      <c r="I21" s="269"/>
      <c r="J21" s="267"/>
    </row>
    <row r="22" ht="22.5" customHeight="1">
      <c r="A22" s="268"/>
      <c r="B22" s="265"/>
      <c r="C22" s="265"/>
      <c r="D22" s="265"/>
      <c r="E22" s="265"/>
      <c r="F22" s="266" t="s">
        <v>33</v>
      </c>
      <c r="G22" s="267">
        <f t="shared" si="1"/>
        <v>0</v>
      </c>
      <c r="H22" s="265"/>
      <c r="I22" s="269"/>
      <c r="J22" s="267"/>
    </row>
    <row r="23" ht="22.5" customHeight="1">
      <c r="A23" s="268"/>
      <c r="B23" s="265"/>
      <c r="C23" s="265"/>
      <c r="D23" s="265"/>
      <c r="E23" s="265"/>
      <c r="F23" s="266" t="s">
        <v>33</v>
      </c>
      <c r="G23" s="267">
        <f t="shared" si="1"/>
        <v>0</v>
      </c>
      <c r="H23" s="265"/>
      <c r="I23" s="269"/>
      <c r="J23" s="267"/>
    </row>
    <row r="24" ht="22.5" customHeight="1">
      <c r="A24" s="268"/>
      <c r="B24" s="265"/>
      <c r="C24" s="265"/>
      <c r="D24" s="265"/>
      <c r="E24" s="265"/>
      <c r="F24" s="266" t="s">
        <v>33</v>
      </c>
      <c r="G24" s="267">
        <f t="shared" si="1"/>
        <v>0</v>
      </c>
      <c r="H24" s="265"/>
      <c r="I24" s="269"/>
      <c r="J24" s="267"/>
    </row>
    <row r="25" ht="22.5" customHeight="1">
      <c r="A25" s="268"/>
      <c r="B25" s="265"/>
      <c r="C25" s="265"/>
      <c r="D25" s="265"/>
      <c r="E25" s="265"/>
      <c r="F25" s="266" t="s">
        <v>33</v>
      </c>
      <c r="G25" s="267">
        <f t="shared" si="1"/>
        <v>0</v>
      </c>
      <c r="H25" s="265"/>
      <c r="I25" s="269"/>
      <c r="J25" s="267"/>
    </row>
    <row r="26" ht="22.5" customHeight="1">
      <c r="A26" s="268"/>
      <c r="B26" s="265"/>
      <c r="C26" s="265"/>
      <c r="D26" s="265"/>
      <c r="E26" s="265"/>
      <c r="F26" s="266" t="s">
        <v>33</v>
      </c>
      <c r="G26" s="267">
        <f t="shared" si="1"/>
        <v>0</v>
      </c>
      <c r="H26" s="265"/>
      <c r="I26" s="269"/>
      <c r="J26" s="267"/>
    </row>
    <row r="27" ht="22.5" customHeight="1">
      <c r="A27" s="268"/>
      <c r="B27" s="265"/>
      <c r="C27" s="265"/>
      <c r="D27" s="265"/>
      <c r="E27" s="265"/>
      <c r="F27" s="266" t="s">
        <v>33</v>
      </c>
      <c r="G27" s="267">
        <f t="shared" si="1"/>
        <v>0</v>
      </c>
      <c r="H27" s="265"/>
      <c r="I27" s="269"/>
      <c r="J27" s="267"/>
    </row>
    <row r="28" ht="22.5" customHeight="1">
      <c r="A28" s="268"/>
      <c r="B28" s="265"/>
      <c r="C28" s="265"/>
      <c r="D28" s="265"/>
      <c r="E28" s="265"/>
      <c r="F28" s="266" t="s">
        <v>33</v>
      </c>
      <c r="G28" s="267">
        <f t="shared" si="1"/>
        <v>0</v>
      </c>
      <c r="H28" s="265"/>
      <c r="I28" s="269"/>
      <c r="J28" s="267"/>
    </row>
    <row r="29" ht="22.5" customHeight="1">
      <c r="A29" s="268"/>
      <c r="B29" s="265"/>
      <c r="C29" s="265"/>
      <c r="D29" s="265"/>
      <c r="E29" s="265"/>
      <c r="F29" s="266" t="s">
        <v>33</v>
      </c>
      <c r="G29" s="267">
        <f t="shared" si="1"/>
        <v>0</v>
      </c>
      <c r="H29" s="265"/>
      <c r="I29" s="269"/>
      <c r="J29" s="267"/>
    </row>
    <row r="30" ht="18.75" customHeight="1">
      <c r="A30" s="268"/>
      <c r="B30" s="265"/>
      <c r="C30" s="265"/>
      <c r="D30" s="265"/>
      <c r="E30" s="265"/>
      <c r="F30" s="266" t="s">
        <v>33</v>
      </c>
      <c r="G30" s="267">
        <f t="shared" si="1"/>
        <v>0</v>
      </c>
      <c r="H30" s="265"/>
      <c r="I30" s="269"/>
      <c r="J30" s="267"/>
    </row>
    <row r="31" ht="22.5" customHeight="1">
      <c r="A31" s="268"/>
      <c r="B31" s="265"/>
      <c r="C31" s="265"/>
      <c r="D31" s="265"/>
      <c r="E31" s="265"/>
      <c r="F31" s="266" t="s">
        <v>33</v>
      </c>
      <c r="G31" s="267">
        <f t="shared" si="1"/>
        <v>0</v>
      </c>
      <c r="H31" s="265"/>
      <c r="I31" s="269"/>
      <c r="J31" s="267"/>
    </row>
    <row r="32" ht="22.5" customHeight="1">
      <c r="A32" s="268"/>
      <c r="B32" s="265"/>
      <c r="C32" s="265"/>
      <c r="D32" s="265"/>
      <c r="E32" s="265"/>
      <c r="F32" s="266" t="s">
        <v>33</v>
      </c>
      <c r="G32" s="267">
        <f t="shared" si="1"/>
        <v>0</v>
      </c>
      <c r="H32" s="265"/>
      <c r="I32" s="269"/>
      <c r="J32" s="267"/>
    </row>
    <row r="33" ht="22.5" customHeight="1">
      <c r="A33" s="268"/>
      <c r="B33" s="265"/>
      <c r="C33" s="265"/>
      <c r="D33" s="265"/>
      <c r="E33" s="265"/>
      <c r="F33" s="266" t="s">
        <v>33</v>
      </c>
      <c r="G33" s="267">
        <f t="shared" si="1"/>
        <v>0</v>
      </c>
      <c r="H33" s="265"/>
      <c r="I33" s="269"/>
      <c r="J33" s="267"/>
    </row>
    <row r="34" ht="22.5" customHeight="1">
      <c r="A34" s="268"/>
      <c r="B34" s="265"/>
      <c r="C34" s="265"/>
      <c r="D34" s="265"/>
      <c r="E34" s="265"/>
      <c r="F34" s="266" t="s">
        <v>33</v>
      </c>
      <c r="G34" s="267">
        <f t="shared" si="1"/>
        <v>0</v>
      </c>
      <c r="H34" s="265"/>
      <c r="I34" s="269"/>
      <c r="J34" s="267"/>
    </row>
    <row r="35" ht="22.5" customHeight="1">
      <c r="A35" s="268"/>
      <c r="B35" s="265"/>
      <c r="C35" s="265"/>
      <c r="D35" s="265"/>
      <c r="E35" s="265"/>
      <c r="F35" s="266" t="s">
        <v>33</v>
      </c>
      <c r="G35" s="267">
        <f t="shared" si="1"/>
        <v>0</v>
      </c>
      <c r="H35" s="265"/>
      <c r="I35" s="269"/>
      <c r="J35" s="267"/>
    </row>
    <row r="36" ht="22.5" customHeight="1">
      <c r="A36" s="268"/>
      <c r="B36" s="265"/>
      <c r="C36" s="265"/>
      <c r="D36" s="265"/>
      <c r="E36" s="265"/>
      <c r="F36" s="266" t="s">
        <v>33</v>
      </c>
      <c r="G36" s="267">
        <f t="shared" si="1"/>
        <v>0</v>
      </c>
      <c r="H36" s="265"/>
      <c r="I36" s="269"/>
      <c r="J36" s="267"/>
    </row>
    <row r="37" ht="22.5" customHeight="1">
      <c r="A37" s="268"/>
      <c r="B37" s="265"/>
      <c r="C37" s="265"/>
      <c r="D37" s="265"/>
      <c r="E37" s="265"/>
      <c r="F37" s="266" t="s">
        <v>33</v>
      </c>
      <c r="G37" s="267">
        <f t="shared" si="1"/>
        <v>0</v>
      </c>
      <c r="H37" s="265"/>
      <c r="I37" s="269"/>
      <c r="J37" s="267"/>
    </row>
    <row r="38" ht="22.5" customHeight="1">
      <c r="A38" s="268"/>
      <c r="B38" s="265"/>
      <c r="C38" s="265"/>
      <c r="D38" s="265"/>
      <c r="E38" s="265"/>
      <c r="F38" s="266" t="s">
        <v>33</v>
      </c>
      <c r="G38" s="267">
        <f t="shared" si="1"/>
        <v>0</v>
      </c>
      <c r="H38" s="265"/>
      <c r="I38" s="269"/>
      <c r="J38" s="267"/>
    </row>
    <row r="39" ht="22.5" customHeight="1">
      <c r="A39" s="268"/>
      <c r="B39" s="265"/>
      <c r="C39" s="265"/>
      <c r="D39" s="265"/>
      <c r="E39" s="265"/>
      <c r="F39" s="266" t="s">
        <v>33</v>
      </c>
      <c r="G39" s="267">
        <f t="shared" si="1"/>
        <v>0</v>
      </c>
      <c r="H39" s="265"/>
      <c r="I39" s="269"/>
      <c r="J39" s="267"/>
    </row>
    <row r="40" ht="22.5" customHeight="1">
      <c r="A40" s="268"/>
      <c r="B40" s="265"/>
      <c r="C40" s="265"/>
      <c r="D40" s="265"/>
      <c r="E40" s="265"/>
      <c r="F40" s="266" t="s">
        <v>33</v>
      </c>
      <c r="G40" s="267">
        <f t="shared" si="1"/>
        <v>0</v>
      </c>
      <c r="H40" s="265"/>
      <c r="I40" s="269"/>
      <c r="J40" s="267"/>
    </row>
    <row r="41" ht="22.5" customHeight="1">
      <c r="A41" s="268"/>
      <c r="B41" s="265"/>
      <c r="C41" s="265"/>
      <c r="D41" s="265"/>
      <c r="E41" s="265"/>
      <c r="F41" s="266" t="s">
        <v>33</v>
      </c>
      <c r="G41" s="267">
        <f t="shared" si="1"/>
        <v>0</v>
      </c>
      <c r="H41" s="265"/>
      <c r="I41" s="269"/>
      <c r="J41" s="267"/>
    </row>
    <row r="42" ht="22.5" customHeight="1">
      <c r="A42" s="268"/>
      <c r="B42" s="265"/>
      <c r="C42" s="265"/>
      <c r="D42" s="265"/>
      <c r="E42" s="265"/>
      <c r="F42" s="266" t="s">
        <v>33</v>
      </c>
      <c r="G42" s="267">
        <f t="shared" si="1"/>
        <v>0</v>
      </c>
      <c r="H42" s="265"/>
      <c r="I42" s="269"/>
      <c r="J42" s="267"/>
    </row>
    <row r="43" ht="22.5" customHeight="1">
      <c r="A43" s="268"/>
      <c r="B43" s="265"/>
      <c r="C43" s="265"/>
      <c r="D43" s="265"/>
      <c r="E43" s="265"/>
      <c r="F43" s="266" t="s">
        <v>33</v>
      </c>
      <c r="G43" s="267">
        <f t="shared" si="1"/>
        <v>0</v>
      </c>
      <c r="H43" s="265"/>
      <c r="I43" s="269"/>
      <c r="J43" s="267"/>
    </row>
    <row r="44" ht="22.5" customHeight="1">
      <c r="A44" s="268"/>
      <c r="B44" s="265"/>
      <c r="C44" s="265"/>
      <c r="D44" s="265"/>
      <c r="E44" s="265"/>
      <c r="F44" s="266" t="s">
        <v>33</v>
      </c>
      <c r="G44" s="267">
        <f t="shared" si="1"/>
        <v>0</v>
      </c>
      <c r="H44" s="265"/>
      <c r="I44" s="269"/>
      <c r="J44" s="267"/>
    </row>
    <row r="45" ht="22.5" customHeight="1">
      <c r="A45" s="268"/>
      <c r="B45" s="265"/>
      <c r="C45" s="265"/>
      <c r="D45" s="265"/>
      <c r="E45" s="265"/>
      <c r="F45" s="266" t="s">
        <v>33</v>
      </c>
      <c r="G45" s="267">
        <f t="shared" si="1"/>
        <v>0</v>
      </c>
      <c r="H45" s="265"/>
      <c r="I45" s="269"/>
      <c r="J45" s="267"/>
    </row>
    <row r="46" ht="22.5" customHeight="1">
      <c r="A46" s="268"/>
      <c r="B46" s="265"/>
      <c r="C46" s="265"/>
      <c r="D46" s="265"/>
      <c r="E46" s="265"/>
      <c r="F46" s="266" t="s">
        <v>33</v>
      </c>
      <c r="G46" s="267">
        <f t="shared" si="1"/>
        <v>0</v>
      </c>
      <c r="H46" s="265"/>
      <c r="I46" s="269"/>
      <c r="J46" s="267"/>
    </row>
    <row r="47" ht="22.5" customHeight="1">
      <c r="A47" s="268"/>
      <c r="B47" s="265"/>
      <c r="C47" s="265"/>
      <c r="D47" s="265"/>
      <c r="E47" s="265"/>
      <c r="F47" s="266" t="s">
        <v>33</v>
      </c>
      <c r="G47" s="267">
        <f t="shared" si="1"/>
        <v>0</v>
      </c>
      <c r="H47" s="265"/>
      <c r="I47" s="269"/>
      <c r="J47" s="267"/>
    </row>
    <row r="48" ht="22.5" customHeight="1">
      <c r="A48" s="268"/>
      <c r="B48" s="265"/>
      <c r="C48" s="265"/>
      <c r="D48" s="265"/>
      <c r="E48" s="265"/>
      <c r="F48" s="266" t="s">
        <v>33</v>
      </c>
      <c r="G48" s="267">
        <f t="shared" si="1"/>
        <v>0</v>
      </c>
      <c r="H48" s="265"/>
      <c r="I48" s="269"/>
      <c r="J48" s="267"/>
    </row>
    <row r="49" ht="22.5" customHeight="1">
      <c r="A49" s="268"/>
      <c r="B49" s="265"/>
      <c r="C49" s="265"/>
      <c r="D49" s="265"/>
      <c r="E49" s="265"/>
      <c r="F49" s="266" t="s">
        <v>33</v>
      </c>
      <c r="G49" s="267">
        <f t="shared" si="1"/>
        <v>0</v>
      </c>
      <c r="H49" s="265"/>
      <c r="I49" s="269"/>
      <c r="J49" s="267"/>
    </row>
    <row r="50" ht="22.5" customHeight="1">
      <c r="A50" s="268"/>
      <c r="B50" s="265"/>
      <c r="C50" s="265"/>
      <c r="D50" s="265"/>
      <c r="E50" s="265"/>
      <c r="F50" s="266" t="s">
        <v>33</v>
      </c>
      <c r="G50" s="267">
        <f t="shared" si="1"/>
        <v>0</v>
      </c>
      <c r="H50" s="265"/>
      <c r="I50" s="269"/>
      <c r="J50" s="267"/>
    </row>
    <row r="51" ht="22.5" customHeight="1">
      <c r="A51" s="268"/>
      <c r="B51" s="265"/>
      <c r="C51" s="265"/>
      <c r="D51" s="265"/>
      <c r="E51" s="265"/>
      <c r="F51" s="266" t="s">
        <v>33</v>
      </c>
      <c r="G51" s="267">
        <f t="shared" si="1"/>
        <v>0</v>
      </c>
      <c r="H51" s="265"/>
      <c r="I51" s="269"/>
      <c r="J51" s="267"/>
    </row>
    <row r="52" ht="15.75" customHeight="1">
      <c r="A52" s="268"/>
      <c r="B52" s="265"/>
      <c r="C52" s="265"/>
      <c r="D52" s="265"/>
      <c r="E52" s="265"/>
      <c r="F52" s="266" t="s">
        <v>33</v>
      </c>
      <c r="G52" s="267">
        <f t="shared" si="1"/>
        <v>0</v>
      </c>
      <c r="H52" s="265"/>
      <c r="I52" s="269"/>
      <c r="J52" s="267"/>
    </row>
    <row r="53" ht="15.75" customHeight="1">
      <c r="A53" s="268"/>
      <c r="B53" s="265"/>
      <c r="C53" s="265"/>
      <c r="D53" s="265"/>
      <c r="E53" s="265"/>
      <c r="F53" s="266" t="s">
        <v>33</v>
      </c>
      <c r="G53" s="267">
        <f t="shared" si="1"/>
        <v>0</v>
      </c>
      <c r="H53" s="265"/>
      <c r="I53" s="269"/>
      <c r="J53" s="267"/>
    </row>
    <row r="54" ht="15.75" customHeight="1">
      <c r="A54" s="268"/>
      <c r="B54" s="265"/>
      <c r="C54" s="265"/>
      <c r="D54" s="265"/>
      <c r="E54" s="265"/>
      <c r="F54" s="266" t="s">
        <v>33</v>
      </c>
      <c r="G54" s="267">
        <f t="shared" si="1"/>
        <v>0</v>
      </c>
      <c r="H54" s="265"/>
      <c r="I54" s="269"/>
      <c r="J54" s="267"/>
    </row>
    <row r="55" ht="15.75" customHeight="1">
      <c r="A55" s="268"/>
      <c r="B55" s="265"/>
      <c r="C55" s="265"/>
      <c r="D55" s="265"/>
      <c r="E55" s="265"/>
      <c r="F55" s="266" t="s">
        <v>33</v>
      </c>
      <c r="G55" s="267">
        <f t="shared" si="1"/>
        <v>0</v>
      </c>
      <c r="H55" s="265"/>
      <c r="I55" s="269"/>
      <c r="J55" s="267"/>
    </row>
    <row r="56" ht="15.75" customHeight="1">
      <c r="A56" s="268"/>
      <c r="B56" s="265"/>
      <c r="C56" s="265"/>
      <c r="D56" s="265"/>
      <c r="E56" s="265"/>
      <c r="F56" s="266" t="s">
        <v>33</v>
      </c>
      <c r="G56" s="267">
        <f t="shared" si="1"/>
        <v>0</v>
      </c>
      <c r="H56" s="265"/>
      <c r="I56" s="269"/>
      <c r="J56" s="267"/>
    </row>
    <row r="57" ht="15.75" customHeight="1">
      <c r="A57" s="268"/>
      <c r="B57" s="265"/>
      <c r="C57" s="265"/>
      <c r="D57" s="265"/>
      <c r="E57" s="265"/>
      <c r="F57" s="266" t="s">
        <v>33</v>
      </c>
      <c r="G57" s="267">
        <f t="shared" si="1"/>
        <v>0</v>
      </c>
      <c r="H57" s="265"/>
      <c r="I57" s="269"/>
      <c r="J57" s="267"/>
    </row>
    <row r="58" ht="15.75" customHeight="1">
      <c r="A58" s="268"/>
      <c r="B58" s="265"/>
      <c r="C58" s="265"/>
      <c r="D58" s="265"/>
      <c r="E58" s="265"/>
      <c r="F58" s="266" t="s">
        <v>33</v>
      </c>
      <c r="G58" s="267">
        <f t="shared" si="1"/>
        <v>0</v>
      </c>
      <c r="H58" s="265"/>
      <c r="I58" s="269"/>
      <c r="J58" s="267"/>
    </row>
    <row r="59" ht="15.75" customHeight="1">
      <c r="A59" s="268"/>
      <c r="B59" s="265"/>
      <c r="C59" s="265"/>
      <c r="D59" s="265"/>
      <c r="E59" s="265"/>
      <c r="F59" s="266" t="s">
        <v>33</v>
      </c>
      <c r="G59" s="267">
        <f t="shared" si="1"/>
        <v>0</v>
      </c>
      <c r="H59" s="265"/>
      <c r="I59" s="269"/>
      <c r="J59" s="267"/>
    </row>
    <row r="60" ht="15.75" customHeight="1">
      <c r="A60" s="268"/>
      <c r="B60" s="265"/>
      <c r="C60" s="265"/>
      <c r="D60" s="265"/>
      <c r="E60" s="265"/>
      <c r="F60" s="266" t="s">
        <v>33</v>
      </c>
      <c r="G60" s="267">
        <f t="shared" si="1"/>
        <v>0</v>
      </c>
      <c r="H60" s="265"/>
      <c r="I60" s="269"/>
      <c r="J60" s="267"/>
    </row>
    <row r="61" ht="15.75" customHeight="1">
      <c r="A61" s="268"/>
      <c r="B61" s="265"/>
      <c r="C61" s="265"/>
      <c r="D61" s="265"/>
      <c r="E61" s="265"/>
      <c r="F61" s="266" t="s">
        <v>33</v>
      </c>
      <c r="G61" s="267">
        <f t="shared" si="1"/>
        <v>0</v>
      </c>
      <c r="H61" s="265"/>
      <c r="I61" s="269"/>
      <c r="J61" s="267"/>
    </row>
    <row r="62" ht="15.75" customHeight="1">
      <c r="A62" s="268"/>
      <c r="B62" s="265"/>
      <c r="C62" s="265"/>
      <c r="D62" s="265"/>
      <c r="E62" s="265"/>
      <c r="F62" s="266" t="s">
        <v>33</v>
      </c>
      <c r="G62" s="267">
        <f t="shared" si="1"/>
        <v>0</v>
      </c>
      <c r="H62" s="265"/>
      <c r="I62" s="269"/>
      <c r="J62" s="267"/>
    </row>
    <row r="63" ht="15.75" customHeight="1">
      <c r="A63" s="268"/>
      <c r="B63" s="265"/>
      <c r="C63" s="265"/>
      <c r="D63" s="265"/>
      <c r="E63" s="265"/>
      <c r="F63" s="266" t="s">
        <v>33</v>
      </c>
      <c r="G63" s="267">
        <f t="shared" si="1"/>
        <v>0</v>
      </c>
      <c r="H63" s="265"/>
      <c r="I63" s="269"/>
      <c r="J63" s="267"/>
    </row>
    <row r="64" ht="15.75" customHeight="1">
      <c r="A64" s="268"/>
      <c r="B64" s="265"/>
      <c r="C64" s="265"/>
      <c r="D64" s="265"/>
      <c r="E64" s="265"/>
      <c r="F64" s="266" t="s">
        <v>33</v>
      </c>
      <c r="G64" s="267">
        <f t="shared" si="1"/>
        <v>0</v>
      </c>
      <c r="H64" s="265"/>
      <c r="I64" s="269"/>
      <c r="J64" s="267"/>
    </row>
    <row r="65" ht="15.75" customHeight="1">
      <c r="A65" s="268"/>
      <c r="B65" s="265"/>
      <c r="C65" s="265"/>
      <c r="D65" s="265"/>
      <c r="E65" s="265"/>
      <c r="F65" s="266" t="s">
        <v>33</v>
      </c>
      <c r="G65" s="267">
        <f t="shared" si="1"/>
        <v>0</v>
      </c>
      <c r="H65" s="265"/>
      <c r="I65" s="269"/>
      <c r="J65" s="267"/>
    </row>
    <row r="66" ht="15.75" customHeight="1">
      <c r="A66" s="268"/>
      <c r="B66" s="265"/>
      <c r="C66" s="265"/>
      <c r="D66" s="265"/>
      <c r="E66" s="265"/>
      <c r="F66" s="266" t="s">
        <v>33</v>
      </c>
      <c r="G66" s="267">
        <f t="shared" si="1"/>
        <v>0</v>
      </c>
      <c r="H66" s="265"/>
      <c r="I66" s="269"/>
      <c r="J66" s="267"/>
    </row>
    <row r="67" ht="15.75" customHeight="1">
      <c r="A67" s="268"/>
      <c r="B67" s="265"/>
      <c r="C67" s="265"/>
      <c r="D67" s="265"/>
      <c r="E67" s="265"/>
      <c r="F67" s="266" t="s">
        <v>33</v>
      </c>
      <c r="G67" s="267">
        <f t="shared" si="1"/>
        <v>0</v>
      </c>
      <c r="H67" s="265"/>
      <c r="I67" s="269"/>
      <c r="J67" s="267"/>
    </row>
    <row r="68" ht="15.75" customHeight="1">
      <c r="A68" s="268"/>
      <c r="B68" s="265"/>
      <c r="C68" s="265"/>
      <c r="D68" s="265"/>
      <c r="E68" s="265"/>
      <c r="F68" s="266" t="s">
        <v>33</v>
      </c>
      <c r="G68" s="267">
        <f t="shared" si="1"/>
        <v>0</v>
      </c>
      <c r="H68" s="265"/>
      <c r="I68" s="269"/>
      <c r="J68" s="267"/>
    </row>
    <row r="69" ht="15.75" customHeight="1">
      <c r="A69" s="268"/>
      <c r="B69" s="265"/>
      <c r="C69" s="265"/>
      <c r="D69" s="265"/>
      <c r="E69" s="265"/>
      <c r="F69" s="266" t="s">
        <v>33</v>
      </c>
      <c r="G69" s="267">
        <f t="shared" si="1"/>
        <v>0</v>
      </c>
      <c r="H69" s="265"/>
      <c r="I69" s="269"/>
      <c r="J69" s="267"/>
    </row>
    <row r="70" ht="15.75" customHeight="1">
      <c r="A70" s="268"/>
      <c r="B70" s="265"/>
      <c r="C70" s="265"/>
      <c r="D70" s="265"/>
      <c r="E70" s="265"/>
      <c r="F70" s="266" t="s">
        <v>33</v>
      </c>
      <c r="G70" s="267">
        <f t="shared" si="1"/>
        <v>0</v>
      </c>
      <c r="H70" s="265"/>
      <c r="I70" s="269"/>
      <c r="J70" s="267"/>
    </row>
    <row r="71" ht="15.75" customHeight="1">
      <c r="A71" s="268"/>
      <c r="B71" s="265"/>
      <c r="C71" s="265"/>
      <c r="D71" s="265"/>
      <c r="E71" s="265"/>
      <c r="F71" s="266" t="s">
        <v>33</v>
      </c>
      <c r="G71" s="267">
        <f t="shared" si="1"/>
        <v>0</v>
      </c>
      <c r="H71" s="265"/>
      <c r="I71" s="269"/>
      <c r="J71" s="267"/>
    </row>
    <row r="72" ht="15.75" customHeight="1">
      <c r="A72" s="268"/>
      <c r="B72" s="265"/>
      <c r="C72" s="265"/>
      <c r="D72" s="265"/>
      <c r="E72" s="265"/>
      <c r="F72" s="266" t="s">
        <v>33</v>
      </c>
      <c r="G72" s="267">
        <f t="shared" si="1"/>
        <v>0</v>
      </c>
      <c r="H72" s="265"/>
      <c r="I72" s="269"/>
      <c r="J72" s="267"/>
    </row>
    <row r="73" ht="15.75" customHeight="1">
      <c r="A73" s="268"/>
      <c r="B73" s="265"/>
      <c r="C73" s="265"/>
      <c r="D73" s="265"/>
      <c r="E73" s="265"/>
      <c r="F73" s="266" t="s">
        <v>33</v>
      </c>
      <c r="G73" s="267">
        <f t="shared" si="1"/>
        <v>0</v>
      </c>
      <c r="H73" s="265"/>
      <c r="I73" s="269"/>
      <c r="J73" s="267"/>
    </row>
    <row r="74" ht="15.75" customHeight="1">
      <c r="A74" s="268"/>
      <c r="B74" s="265"/>
      <c r="C74" s="265"/>
      <c r="D74" s="265"/>
      <c r="E74" s="265"/>
      <c r="F74" s="266" t="s">
        <v>33</v>
      </c>
      <c r="G74" s="267">
        <f t="shared" si="1"/>
        <v>0</v>
      </c>
      <c r="H74" s="265"/>
      <c r="I74" s="269"/>
      <c r="J74" s="267"/>
    </row>
    <row r="75" ht="15.75" customHeight="1">
      <c r="A75" s="268"/>
      <c r="B75" s="265"/>
      <c r="C75" s="265"/>
      <c r="D75" s="265"/>
      <c r="E75" s="265"/>
      <c r="F75" s="266" t="s">
        <v>33</v>
      </c>
      <c r="G75" s="267">
        <f t="shared" si="1"/>
        <v>0</v>
      </c>
      <c r="H75" s="265"/>
      <c r="I75" s="269"/>
      <c r="J75" s="267"/>
    </row>
    <row r="76" ht="15.75" customHeight="1">
      <c r="A76" s="268"/>
      <c r="B76" s="265"/>
      <c r="C76" s="265"/>
      <c r="D76" s="265"/>
      <c r="E76" s="265"/>
      <c r="F76" s="266" t="s">
        <v>33</v>
      </c>
      <c r="G76" s="267">
        <f t="shared" si="1"/>
        <v>0</v>
      </c>
      <c r="H76" s="265"/>
      <c r="I76" s="269"/>
      <c r="J76" s="267"/>
    </row>
    <row r="77" ht="15.75" customHeight="1">
      <c r="A77" s="268"/>
      <c r="B77" s="265"/>
      <c r="C77" s="265"/>
      <c r="D77" s="265"/>
      <c r="E77" s="265"/>
      <c r="F77" s="266" t="s">
        <v>33</v>
      </c>
      <c r="G77" s="267">
        <f t="shared" si="1"/>
        <v>0</v>
      </c>
      <c r="H77" s="265"/>
      <c r="I77" s="269"/>
      <c r="J77" s="267"/>
    </row>
    <row r="78" ht="15.75" customHeight="1">
      <c r="A78" s="268"/>
      <c r="B78" s="265"/>
      <c r="C78" s="265"/>
      <c r="D78" s="265"/>
      <c r="E78" s="265"/>
      <c r="F78" s="266" t="s">
        <v>33</v>
      </c>
      <c r="G78" s="267">
        <f t="shared" si="1"/>
        <v>0</v>
      </c>
      <c r="H78" s="265"/>
      <c r="I78" s="269"/>
      <c r="J78" s="267"/>
    </row>
    <row r="79" ht="15.75" customHeight="1">
      <c r="A79" s="268"/>
      <c r="B79" s="265"/>
      <c r="C79" s="265"/>
      <c r="D79" s="265"/>
      <c r="E79" s="265"/>
      <c r="F79" s="266" t="s">
        <v>33</v>
      </c>
      <c r="G79" s="267">
        <f t="shared" si="1"/>
        <v>0</v>
      </c>
      <c r="H79" s="265"/>
      <c r="I79" s="269"/>
      <c r="J79" s="267"/>
    </row>
    <row r="80" ht="15.75" customHeight="1">
      <c r="A80" s="268"/>
      <c r="B80" s="265"/>
      <c r="C80" s="265"/>
      <c r="D80" s="265"/>
      <c r="E80" s="265"/>
      <c r="F80" s="266" t="s">
        <v>33</v>
      </c>
      <c r="G80" s="267">
        <f t="shared" si="1"/>
        <v>0</v>
      </c>
      <c r="H80" s="265"/>
      <c r="I80" s="269"/>
      <c r="J80" s="267"/>
    </row>
    <row r="81" ht="15.75" customHeight="1">
      <c r="A81" s="268"/>
      <c r="B81" s="265"/>
      <c r="C81" s="265"/>
      <c r="D81" s="265"/>
      <c r="E81" s="265"/>
      <c r="F81" s="266" t="s">
        <v>33</v>
      </c>
      <c r="G81" s="267">
        <f t="shared" si="1"/>
        <v>0</v>
      </c>
      <c r="H81" s="265"/>
      <c r="I81" s="269"/>
      <c r="J81" s="267"/>
    </row>
    <row r="82" ht="15.75" customHeight="1">
      <c r="A82" s="268"/>
      <c r="B82" s="265"/>
      <c r="C82" s="265"/>
      <c r="D82" s="265"/>
      <c r="E82" s="265"/>
      <c r="F82" s="266" t="s">
        <v>33</v>
      </c>
      <c r="G82" s="267">
        <f t="shared" si="1"/>
        <v>0</v>
      </c>
      <c r="H82" s="265"/>
      <c r="I82" s="269"/>
      <c r="J82" s="267"/>
    </row>
    <row r="83" ht="15.75" customHeight="1">
      <c r="A83" s="268"/>
      <c r="B83" s="265"/>
      <c r="C83" s="265"/>
      <c r="D83" s="265"/>
      <c r="E83" s="265"/>
      <c r="F83" s="266" t="s">
        <v>33</v>
      </c>
      <c r="G83" s="267">
        <f t="shared" si="1"/>
        <v>0</v>
      </c>
      <c r="H83" s="265"/>
      <c r="I83" s="269"/>
      <c r="J83" s="267"/>
    </row>
    <row r="84" ht="15.75" customHeight="1">
      <c r="A84" s="268"/>
      <c r="B84" s="265"/>
      <c r="C84" s="265"/>
      <c r="D84" s="265"/>
      <c r="E84" s="265"/>
      <c r="F84" s="266" t="s">
        <v>33</v>
      </c>
      <c r="G84" s="267">
        <f t="shared" si="1"/>
        <v>0</v>
      </c>
      <c r="H84" s="265"/>
      <c r="I84" s="269"/>
      <c r="J84" s="267"/>
    </row>
    <row r="85" ht="15.75" customHeight="1">
      <c r="A85" s="268"/>
      <c r="B85" s="265"/>
      <c r="C85" s="265"/>
      <c r="D85" s="265"/>
      <c r="E85" s="265"/>
      <c r="F85" s="266" t="s">
        <v>33</v>
      </c>
      <c r="G85" s="267">
        <f t="shared" si="1"/>
        <v>0</v>
      </c>
      <c r="H85" s="265"/>
      <c r="I85" s="269"/>
      <c r="J85" s="267"/>
    </row>
    <row r="86" ht="15.75" customHeight="1">
      <c r="A86" s="268"/>
      <c r="B86" s="265"/>
      <c r="C86" s="265"/>
      <c r="D86" s="265"/>
      <c r="E86" s="265"/>
      <c r="F86" s="266" t="s">
        <v>33</v>
      </c>
      <c r="G86" s="267">
        <f t="shared" si="1"/>
        <v>0</v>
      </c>
      <c r="H86" s="265"/>
      <c r="I86" s="269"/>
      <c r="J86" s="267"/>
    </row>
    <row r="87" ht="15.75" customHeight="1">
      <c r="A87" s="268"/>
      <c r="B87" s="265"/>
      <c r="C87" s="265"/>
      <c r="D87" s="265"/>
      <c r="E87" s="265"/>
      <c r="F87" s="266" t="s">
        <v>33</v>
      </c>
      <c r="G87" s="267">
        <f t="shared" si="1"/>
        <v>0</v>
      </c>
      <c r="H87" s="265"/>
      <c r="I87" s="269"/>
      <c r="J87" s="267"/>
    </row>
    <row r="88" ht="15.75" customHeight="1">
      <c r="A88" s="268"/>
      <c r="B88" s="265"/>
      <c r="C88" s="265"/>
      <c r="D88" s="265"/>
      <c r="E88" s="265"/>
      <c r="F88" s="266" t="s">
        <v>33</v>
      </c>
      <c r="G88" s="267">
        <f t="shared" si="1"/>
        <v>0</v>
      </c>
      <c r="H88" s="265"/>
      <c r="I88" s="269"/>
      <c r="J88" s="267"/>
    </row>
    <row r="89" ht="15.75" customHeight="1">
      <c r="A89" s="268"/>
      <c r="B89" s="265"/>
      <c r="C89" s="265"/>
      <c r="D89" s="265"/>
      <c r="E89" s="265"/>
      <c r="F89" s="266" t="s">
        <v>33</v>
      </c>
      <c r="G89" s="267">
        <f t="shared" si="1"/>
        <v>0</v>
      </c>
      <c r="H89" s="265"/>
      <c r="I89" s="269"/>
      <c r="J89" s="267"/>
    </row>
    <row r="90" ht="15.75" customHeight="1">
      <c r="A90" s="268"/>
      <c r="B90" s="265"/>
      <c r="C90" s="265"/>
      <c r="D90" s="265"/>
      <c r="E90" s="265"/>
      <c r="F90" s="266" t="s">
        <v>33</v>
      </c>
      <c r="G90" s="267">
        <f t="shared" si="1"/>
        <v>0</v>
      </c>
      <c r="H90" s="265"/>
      <c r="I90" s="269"/>
      <c r="J90" s="267"/>
    </row>
    <row r="91" ht="15.75" customHeight="1">
      <c r="A91" s="268"/>
      <c r="B91" s="265"/>
      <c r="C91" s="265"/>
      <c r="D91" s="265"/>
      <c r="E91" s="265"/>
      <c r="F91" s="266" t="s">
        <v>33</v>
      </c>
      <c r="G91" s="267">
        <f t="shared" si="1"/>
        <v>0</v>
      </c>
      <c r="H91" s="265"/>
      <c r="I91" s="269"/>
      <c r="J91" s="267"/>
    </row>
    <row r="92" ht="15.75" customHeight="1">
      <c r="A92" s="268"/>
      <c r="B92" s="265"/>
      <c r="C92" s="265"/>
      <c r="D92" s="265"/>
      <c r="E92" s="265"/>
      <c r="F92" s="266" t="s">
        <v>33</v>
      </c>
      <c r="G92" s="267">
        <f t="shared" si="1"/>
        <v>0</v>
      </c>
      <c r="H92" s="265"/>
      <c r="I92" s="269"/>
      <c r="J92" s="267"/>
    </row>
    <row r="93" ht="15.75" customHeight="1">
      <c r="A93" s="268"/>
      <c r="B93" s="265"/>
      <c r="C93" s="265"/>
      <c r="D93" s="265"/>
      <c r="E93" s="265"/>
      <c r="F93" s="266" t="s">
        <v>33</v>
      </c>
      <c r="G93" s="267">
        <f t="shared" si="1"/>
        <v>0</v>
      </c>
      <c r="H93" s="265"/>
      <c r="I93" s="269"/>
      <c r="J93" s="267"/>
    </row>
    <row r="94" ht="15.75" customHeight="1">
      <c r="A94" s="268"/>
      <c r="B94" s="265"/>
      <c r="C94" s="265"/>
      <c r="D94" s="265"/>
      <c r="E94" s="265"/>
      <c r="F94" s="266" t="s">
        <v>33</v>
      </c>
      <c r="G94" s="267">
        <f t="shared" si="1"/>
        <v>0</v>
      </c>
      <c r="H94" s="265"/>
      <c r="I94" s="269"/>
      <c r="J94" s="267"/>
    </row>
    <row r="95" ht="15.75" customHeight="1">
      <c r="A95" s="268"/>
      <c r="B95" s="265"/>
      <c r="C95" s="265"/>
      <c r="D95" s="265"/>
      <c r="E95" s="265"/>
      <c r="F95" s="266" t="s">
        <v>33</v>
      </c>
      <c r="G95" s="267">
        <f t="shared" si="1"/>
        <v>0</v>
      </c>
      <c r="H95" s="265"/>
      <c r="I95" s="269"/>
      <c r="J95" s="267"/>
    </row>
    <row r="96" ht="15.75" customHeight="1">
      <c r="A96" s="268"/>
      <c r="B96" s="265"/>
      <c r="C96" s="265"/>
      <c r="D96" s="265"/>
      <c r="E96" s="265"/>
      <c r="F96" s="266" t="s">
        <v>33</v>
      </c>
      <c r="G96" s="267">
        <f t="shared" si="1"/>
        <v>0</v>
      </c>
      <c r="H96" s="265"/>
      <c r="I96" s="269"/>
      <c r="J96" s="267"/>
    </row>
    <row r="97" ht="15.75" customHeight="1">
      <c r="A97" s="268"/>
      <c r="B97" s="265"/>
      <c r="C97" s="265"/>
      <c r="D97" s="265"/>
      <c r="E97" s="265"/>
      <c r="F97" s="266" t="s">
        <v>33</v>
      </c>
      <c r="G97" s="267">
        <f t="shared" si="1"/>
        <v>0</v>
      </c>
      <c r="H97" s="265"/>
      <c r="I97" s="269"/>
      <c r="J97" s="267"/>
    </row>
    <row r="98" ht="15.75" customHeight="1">
      <c r="A98" s="268"/>
      <c r="B98" s="265"/>
      <c r="C98" s="265"/>
      <c r="D98" s="265"/>
      <c r="E98" s="265"/>
      <c r="F98" s="266" t="s">
        <v>33</v>
      </c>
      <c r="G98" s="267">
        <f t="shared" si="1"/>
        <v>0</v>
      </c>
      <c r="H98" s="265"/>
      <c r="I98" s="269"/>
      <c r="J98" s="267"/>
    </row>
    <row r="99" ht="15.75" customHeight="1">
      <c r="A99" s="268"/>
      <c r="B99" s="265"/>
      <c r="C99" s="265"/>
      <c r="D99" s="265"/>
      <c r="E99" s="265"/>
      <c r="F99" s="266" t="s">
        <v>33</v>
      </c>
      <c r="G99" s="267">
        <f t="shared" si="1"/>
        <v>0</v>
      </c>
      <c r="H99" s="265"/>
      <c r="I99" s="269"/>
      <c r="J99" s="267"/>
    </row>
    <row r="100" ht="15.75" customHeight="1">
      <c r="A100" s="268"/>
      <c r="B100" s="265"/>
      <c r="C100" s="265"/>
      <c r="D100" s="265"/>
      <c r="E100" s="265"/>
      <c r="F100" s="266" t="s">
        <v>33</v>
      </c>
      <c r="G100" s="267">
        <f t="shared" si="1"/>
        <v>0</v>
      </c>
      <c r="H100" s="265"/>
      <c r="I100" s="269"/>
      <c r="J100" s="267"/>
    </row>
    <row r="101" ht="15.75" customHeight="1">
      <c r="A101" s="268"/>
      <c r="B101" s="265"/>
      <c r="C101" s="265"/>
      <c r="D101" s="265"/>
      <c r="E101" s="265"/>
      <c r="F101" s="266" t="s">
        <v>33</v>
      </c>
      <c r="G101" s="267">
        <f t="shared" si="1"/>
        <v>0</v>
      </c>
      <c r="H101" s="265"/>
      <c r="I101" s="269"/>
      <c r="J101" s="267"/>
    </row>
    <row r="102" ht="15.75" customHeight="1">
      <c r="A102" s="268"/>
      <c r="B102" s="265"/>
      <c r="C102" s="265"/>
      <c r="D102" s="265"/>
      <c r="E102" s="265"/>
      <c r="F102" s="266" t="s">
        <v>33</v>
      </c>
      <c r="G102" s="267">
        <f t="shared" si="1"/>
        <v>0</v>
      </c>
      <c r="H102" s="265"/>
      <c r="I102" s="269"/>
      <c r="J102" s="267"/>
    </row>
    <row r="103" ht="15.75" customHeight="1">
      <c r="A103" s="268"/>
      <c r="B103" s="265"/>
      <c r="C103" s="265"/>
      <c r="D103" s="265"/>
      <c r="E103" s="265"/>
      <c r="F103" s="266" t="s">
        <v>33</v>
      </c>
      <c r="G103" s="267">
        <f t="shared" si="1"/>
        <v>0</v>
      </c>
      <c r="H103" s="265"/>
      <c r="I103" s="269"/>
      <c r="J103" s="267"/>
    </row>
    <row r="104" ht="15.75" customHeight="1">
      <c r="A104" s="268"/>
      <c r="B104" s="265"/>
      <c r="C104" s="265"/>
      <c r="D104" s="265"/>
      <c r="E104" s="265"/>
      <c r="F104" s="266" t="s">
        <v>33</v>
      </c>
      <c r="G104" s="267">
        <f t="shared" si="1"/>
        <v>0</v>
      </c>
      <c r="H104" s="265"/>
      <c r="I104" s="269"/>
      <c r="J104" s="267"/>
    </row>
    <row r="105" ht="15.75" customHeight="1">
      <c r="A105" s="268"/>
      <c r="B105" s="265"/>
      <c r="C105" s="265"/>
      <c r="D105" s="265"/>
      <c r="E105" s="265"/>
      <c r="F105" s="266" t="s">
        <v>33</v>
      </c>
      <c r="G105" s="267">
        <f t="shared" si="1"/>
        <v>0</v>
      </c>
      <c r="H105" s="265"/>
      <c r="I105" s="269"/>
      <c r="J105" s="267"/>
    </row>
    <row r="106" ht="15.75" customHeight="1">
      <c r="A106" s="268"/>
      <c r="B106" s="265"/>
      <c r="C106" s="265"/>
      <c r="D106" s="265"/>
      <c r="E106" s="265"/>
      <c r="F106" s="266" t="s">
        <v>33</v>
      </c>
      <c r="G106" s="267">
        <f t="shared" si="1"/>
        <v>0</v>
      </c>
      <c r="H106" s="265"/>
      <c r="I106" s="269"/>
      <c r="J106" s="267"/>
    </row>
    <row r="107" ht="15.75" customHeight="1">
      <c r="A107" s="268"/>
      <c r="B107" s="265"/>
      <c r="C107" s="265"/>
      <c r="D107" s="265"/>
      <c r="E107" s="265"/>
      <c r="F107" s="266" t="s">
        <v>33</v>
      </c>
      <c r="G107" s="267">
        <f t="shared" si="1"/>
        <v>0</v>
      </c>
      <c r="H107" s="265"/>
      <c r="I107" s="269"/>
      <c r="J107" s="267"/>
    </row>
    <row r="108" ht="15.75" customHeight="1">
      <c r="A108" s="268"/>
      <c r="B108" s="265"/>
      <c r="C108" s="265"/>
      <c r="D108" s="265"/>
      <c r="E108" s="265"/>
      <c r="F108" s="266" t="s">
        <v>33</v>
      </c>
      <c r="G108" s="267">
        <f t="shared" si="1"/>
        <v>0</v>
      </c>
      <c r="H108" s="265"/>
      <c r="I108" s="269"/>
      <c r="J108" s="267"/>
    </row>
    <row r="109" ht="15.75" customHeight="1">
      <c r="A109" s="268"/>
      <c r="B109" s="265"/>
      <c r="C109" s="265"/>
      <c r="D109" s="265"/>
      <c r="E109" s="265"/>
      <c r="F109" s="266" t="s">
        <v>33</v>
      </c>
      <c r="G109" s="267">
        <f t="shared" si="1"/>
        <v>0</v>
      </c>
      <c r="H109" s="265"/>
      <c r="I109" s="269"/>
      <c r="J109" s="267"/>
    </row>
    <row r="110" ht="15.75" customHeight="1">
      <c r="A110" s="268"/>
      <c r="B110" s="265"/>
      <c r="C110" s="265"/>
      <c r="D110" s="265"/>
      <c r="E110" s="265"/>
      <c r="F110" s="266" t="s">
        <v>33</v>
      </c>
      <c r="G110" s="267">
        <f t="shared" si="1"/>
        <v>0</v>
      </c>
      <c r="H110" s="265"/>
      <c r="I110" s="269"/>
      <c r="J110" s="267"/>
    </row>
    <row r="111" ht="15.75" customHeight="1">
      <c r="A111" s="268"/>
      <c r="B111" s="265"/>
      <c r="C111" s="265"/>
      <c r="D111" s="265"/>
      <c r="E111" s="265"/>
      <c r="F111" s="266" t="s">
        <v>33</v>
      </c>
      <c r="G111" s="267">
        <f t="shared" si="1"/>
        <v>0</v>
      </c>
      <c r="H111" s="265"/>
      <c r="I111" s="269"/>
      <c r="J111" s="267"/>
    </row>
    <row r="112" ht="15.75" customHeight="1">
      <c r="A112" s="268"/>
      <c r="B112" s="265"/>
      <c r="C112" s="265"/>
      <c r="D112" s="265"/>
      <c r="E112" s="265"/>
      <c r="F112" s="266" t="s">
        <v>33</v>
      </c>
      <c r="G112" s="267">
        <f t="shared" si="1"/>
        <v>0</v>
      </c>
      <c r="H112" s="265"/>
      <c r="I112" s="269"/>
      <c r="J112" s="267"/>
    </row>
    <row r="113" ht="15.75" customHeight="1">
      <c r="A113" s="268"/>
      <c r="B113" s="265"/>
      <c r="C113" s="265"/>
      <c r="D113" s="265"/>
      <c r="E113" s="265"/>
      <c r="F113" s="266" t="s">
        <v>33</v>
      </c>
      <c r="G113" s="267">
        <f t="shared" si="1"/>
        <v>0</v>
      </c>
      <c r="H113" s="265"/>
      <c r="I113" s="269"/>
      <c r="J113" s="267"/>
    </row>
    <row r="114" ht="15.75" customHeight="1">
      <c r="A114" s="268"/>
      <c r="B114" s="265"/>
      <c r="C114" s="265"/>
      <c r="D114" s="265"/>
      <c r="E114" s="265"/>
      <c r="F114" s="266" t="s">
        <v>33</v>
      </c>
      <c r="G114" s="267">
        <f t="shared" si="1"/>
        <v>0</v>
      </c>
      <c r="H114" s="265"/>
      <c r="I114" s="269"/>
      <c r="J114" s="267"/>
    </row>
    <row r="115" ht="15.75" customHeight="1">
      <c r="A115" s="268"/>
      <c r="B115" s="265"/>
      <c r="C115" s="265"/>
      <c r="D115" s="265"/>
      <c r="E115" s="265"/>
      <c r="F115" s="266" t="s">
        <v>33</v>
      </c>
      <c r="G115" s="267">
        <f t="shared" si="1"/>
        <v>0</v>
      </c>
      <c r="H115" s="265"/>
      <c r="I115" s="269"/>
      <c r="J115" s="267"/>
    </row>
    <row r="116" ht="15.75" customHeight="1">
      <c r="A116" s="268"/>
      <c r="B116" s="265"/>
      <c r="C116" s="265"/>
      <c r="D116" s="265"/>
      <c r="E116" s="265"/>
      <c r="F116" s="266" t="s">
        <v>33</v>
      </c>
      <c r="G116" s="267">
        <f t="shared" si="1"/>
        <v>0</v>
      </c>
      <c r="H116" s="265"/>
      <c r="I116" s="269"/>
      <c r="J116" s="267"/>
    </row>
    <row r="117" ht="15.75" customHeight="1">
      <c r="A117" s="268"/>
      <c r="B117" s="265"/>
      <c r="C117" s="265"/>
      <c r="D117" s="265"/>
      <c r="E117" s="265"/>
      <c r="F117" s="266" t="s">
        <v>33</v>
      </c>
      <c r="G117" s="267">
        <f t="shared" si="1"/>
        <v>0</v>
      </c>
      <c r="H117" s="265"/>
      <c r="I117" s="269"/>
      <c r="J117" s="267"/>
    </row>
    <row r="118" ht="15.75" customHeight="1">
      <c r="A118" s="268"/>
      <c r="B118" s="265"/>
      <c r="C118" s="265"/>
      <c r="D118" s="265"/>
      <c r="E118" s="265"/>
      <c r="F118" s="266" t="s">
        <v>33</v>
      </c>
      <c r="G118" s="267">
        <f t="shared" si="1"/>
        <v>0</v>
      </c>
      <c r="H118" s="265"/>
      <c r="I118" s="269"/>
      <c r="J118" s="267"/>
    </row>
    <row r="119" ht="15.75" customHeight="1">
      <c r="A119" s="268"/>
      <c r="B119" s="265"/>
      <c r="C119" s="265"/>
      <c r="D119" s="265"/>
      <c r="E119" s="265"/>
      <c r="F119" s="266" t="s">
        <v>33</v>
      </c>
      <c r="G119" s="267">
        <f t="shared" si="1"/>
        <v>0</v>
      </c>
      <c r="H119" s="265"/>
      <c r="I119" s="269"/>
      <c r="J119" s="267"/>
    </row>
    <row r="120" ht="15.75" customHeight="1">
      <c r="A120" s="268"/>
      <c r="B120" s="265"/>
      <c r="C120" s="265"/>
      <c r="D120" s="265"/>
      <c r="E120" s="265"/>
      <c r="F120" s="266" t="s">
        <v>33</v>
      </c>
      <c r="G120" s="267">
        <f t="shared" si="1"/>
        <v>0</v>
      </c>
      <c r="H120" s="265"/>
      <c r="I120" s="269"/>
      <c r="J120" s="267"/>
    </row>
    <row r="121" ht="15.75" customHeight="1">
      <c r="A121" s="268"/>
      <c r="B121" s="265"/>
      <c r="C121" s="265"/>
      <c r="D121" s="265"/>
      <c r="E121" s="265"/>
      <c r="F121" s="266" t="s">
        <v>33</v>
      </c>
      <c r="G121" s="267">
        <f t="shared" si="1"/>
        <v>0</v>
      </c>
      <c r="H121" s="265"/>
      <c r="I121" s="269"/>
      <c r="J121" s="267"/>
    </row>
    <row r="122" ht="15.75" customHeight="1">
      <c r="A122" s="268"/>
      <c r="B122" s="265"/>
      <c r="C122" s="265"/>
      <c r="D122" s="265"/>
      <c r="E122" s="265"/>
      <c r="F122" s="266" t="s">
        <v>33</v>
      </c>
      <c r="G122" s="267">
        <f t="shared" si="1"/>
        <v>0</v>
      </c>
      <c r="H122" s="265"/>
      <c r="I122" s="269"/>
      <c r="J122" s="267"/>
    </row>
    <row r="123" ht="15.75" customHeight="1">
      <c r="A123" s="268"/>
      <c r="B123" s="265"/>
      <c r="C123" s="265"/>
      <c r="D123" s="265"/>
      <c r="E123" s="265"/>
      <c r="F123" s="266" t="s">
        <v>33</v>
      </c>
      <c r="G123" s="267">
        <f t="shared" si="1"/>
        <v>0</v>
      </c>
      <c r="H123" s="265"/>
      <c r="I123" s="269"/>
      <c r="J123" s="267"/>
    </row>
    <row r="124" ht="15.75" customHeight="1">
      <c r="A124" s="268"/>
      <c r="B124" s="265"/>
      <c r="C124" s="265"/>
      <c r="D124" s="265"/>
      <c r="E124" s="265"/>
      <c r="F124" s="266" t="s">
        <v>33</v>
      </c>
      <c r="G124" s="267">
        <f t="shared" si="1"/>
        <v>0</v>
      </c>
      <c r="H124" s="265"/>
      <c r="I124" s="269"/>
      <c r="J124" s="267"/>
    </row>
    <row r="125" ht="15.75" customHeight="1">
      <c r="A125" s="268"/>
      <c r="B125" s="265"/>
      <c r="C125" s="265"/>
      <c r="D125" s="265"/>
      <c r="E125" s="265"/>
      <c r="F125" s="266" t="s">
        <v>33</v>
      </c>
      <c r="G125" s="267">
        <f t="shared" si="1"/>
        <v>0</v>
      </c>
      <c r="H125" s="265"/>
      <c r="I125" s="269"/>
      <c r="J125" s="267"/>
    </row>
    <row r="126" ht="15.75" customHeight="1">
      <c r="A126" s="268"/>
      <c r="B126" s="265"/>
      <c r="C126" s="265"/>
      <c r="D126" s="265"/>
      <c r="E126" s="265"/>
      <c r="F126" s="266" t="s">
        <v>33</v>
      </c>
      <c r="G126" s="267">
        <f t="shared" si="1"/>
        <v>0</v>
      </c>
      <c r="H126" s="265"/>
      <c r="I126" s="269"/>
      <c r="J126" s="267"/>
    </row>
    <row r="127" ht="15.75" customHeight="1">
      <c r="A127" s="268"/>
      <c r="B127" s="265"/>
      <c r="C127" s="265"/>
      <c r="D127" s="265"/>
      <c r="E127" s="265"/>
      <c r="F127" s="266" t="s">
        <v>33</v>
      </c>
      <c r="G127" s="267">
        <f t="shared" si="1"/>
        <v>0</v>
      </c>
      <c r="H127" s="265"/>
      <c r="I127" s="269"/>
      <c r="J127" s="267"/>
    </row>
    <row r="128" ht="15.75" customHeight="1">
      <c r="A128" s="268"/>
      <c r="B128" s="265"/>
      <c r="C128" s="265"/>
      <c r="D128" s="265"/>
      <c r="E128" s="265"/>
      <c r="F128" s="266" t="s">
        <v>33</v>
      </c>
      <c r="G128" s="267">
        <f t="shared" si="1"/>
        <v>0</v>
      </c>
      <c r="H128" s="265"/>
      <c r="I128" s="269"/>
      <c r="J128" s="267"/>
    </row>
    <row r="129" ht="15.75" customHeight="1">
      <c r="A129" s="268"/>
      <c r="B129" s="265"/>
      <c r="C129" s="265"/>
      <c r="D129" s="265"/>
      <c r="E129" s="265"/>
      <c r="F129" s="266" t="s">
        <v>33</v>
      </c>
      <c r="G129" s="267">
        <f t="shared" si="1"/>
        <v>0</v>
      </c>
      <c r="H129" s="265"/>
      <c r="I129" s="269"/>
      <c r="J129" s="267"/>
    </row>
    <row r="130" ht="15.75" customHeight="1">
      <c r="A130" s="268"/>
      <c r="B130" s="265"/>
      <c r="C130" s="265"/>
      <c r="D130" s="265"/>
      <c r="E130" s="265"/>
      <c r="F130" s="266" t="s">
        <v>33</v>
      </c>
      <c r="G130" s="267">
        <f t="shared" si="1"/>
        <v>0</v>
      </c>
      <c r="H130" s="265"/>
      <c r="I130" s="269"/>
      <c r="J130" s="267"/>
    </row>
    <row r="131" ht="15.75" customHeight="1">
      <c r="A131" s="268"/>
      <c r="B131" s="265"/>
      <c r="C131" s="265"/>
      <c r="D131" s="265"/>
      <c r="E131" s="265"/>
      <c r="F131" s="266" t="s">
        <v>33</v>
      </c>
      <c r="G131" s="267">
        <f t="shared" si="1"/>
        <v>0</v>
      </c>
      <c r="H131" s="265"/>
      <c r="I131" s="269"/>
      <c r="J131" s="267"/>
    </row>
    <row r="132" ht="15.75" customHeight="1">
      <c r="A132" s="268"/>
      <c r="B132" s="265"/>
      <c r="C132" s="265"/>
      <c r="D132" s="265"/>
      <c r="E132" s="265"/>
      <c r="F132" s="266" t="s">
        <v>33</v>
      </c>
      <c r="G132" s="267">
        <f t="shared" si="1"/>
        <v>0</v>
      </c>
      <c r="H132" s="265"/>
      <c r="I132" s="269"/>
      <c r="J132" s="267"/>
    </row>
    <row r="133" ht="15.75" customHeight="1">
      <c r="A133" s="268"/>
      <c r="B133" s="265"/>
      <c r="C133" s="265"/>
      <c r="D133" s="265"/>
      <c r="E133" s="265"/>
      <c r="F133" s="266" t="s">
        <v>33</v>
      </c>
      <c r="G133" s="267">
        <f t="shared" si="1"/>
        <v>0</v>
      </c>
      <c r="H133" s="265"/>
      <c r="I133" s="269"/>
      <c r="J133" s="267"/>
    </row>
    <row r="134" ht="15.75" customHeight="1">
      <c r="A134" s="268"/>
      <c r="B134" s="265"/>
      <c r="C134" s="265"/>
      <c r="D134" s="265"/>
      <c r="E134" s="265"/>
      <c r="F134" s="266" t="s">
        <v>33</v>
      </c>
      <c r="G134" s="267">
        <f t="shared" si="1"/>
        <v>0</v>
      </c>
      <c r="H134" s="265"/>
      <c r="I134" s="269"/>
      <c r="J134" s="267"/>
    </row>
    <row r="135" ht="15.75" customHeight="1">
      <c r="A135" s="268"/>
      <c r="B135" s="265"/>
      <c r="C135" s="265"/>
      <c r="D135" s="265"/>
      <c r="E135" s="265"/>
      <c r="F135" s="266" t="s">
        <v>33</v>
      </c>
      <c r="G135" s="267">
        <f t="shared" si="1"/>
        <v>0</v>
      </c>
      <c r="H135" s="265"/>
      <c r="I135" s="269"/>
      <c r="J135" s="267"/>
    </row>
    <row r="136" ht="15.75" customHeight="1">
      <c r="A136" s="268"/>
      <c r="B136" s="265"/>
      <c r="C136" s="265"/>
      <c r="D136" s="265"/>
      <c r="E136" s="265"/>
      <c r="F136" s="266" t="s">
        <v>33</v>
      </c>
      <c r="G136" s="267">
        <f t="shared" si="1"/>
        <v>0</v>
      </c>
      <c r="H136" s="265"/>
      <c r="I136" s="269"/>
      <c r="J136" s="267"/>
    </row>
    <row r="137" ht="15.75" customHeight="1">
      <c r="A137" s="268"/>
      <c r="B137" s="265"/>
      <c r="C137" s="265"/>
      <c r="D137" s="265"/>
      <c r="E137" s="265"/>
      <c r="F137" s="266" t="s">
        <v>33</v>
      </c>
      <c r="G137" s="267">
        <f t="shared" si="1"/>
        <v>0</v>
      </c>
      <c r="H137" s="265"/>
      <c r="I137" s="269"/>
      <c r="J137" s="267"/>
    </row>
    <row r="138" ht="15.75" customHeight="1">
      <c r="A138" s="268"/>
      <c r="B138" s="265"/>
      <c r="C138" s="265"/>
      <c r="D138" s="265"/>
      <c r="E138" s="265"/>
      <c r="F138" s="266" t="s">
        <v>33</v>
      </c>
      <c r="G138" s="267">
        <f t="shared" si="1"/>
        <v>0</v>
      </c>
      <c r="H138" s="265"/>
      <c r="I138" s="269"/>
      <c r="J138" s="267"/>
    </row>
    <row r="139" ht="15.75" customHeight="1">
      <c r="A139" s="268"/>
      <c r="B139" s="265"/>
      <c r="C139" s="265"/>
      <c r="D139" s="265"/>
      <c r="E139" s="265"/>
      <c r="F139" s="266" t="s">
        <v>33</v>
      </c>
      <c r="G139" s="267">
        <f t="shared" si="1"/>
        <v>0</v>
      </c>
      <c r="H139" s="265"/>
      <c r="I139" s="269"/>
      <c r="J139" s="267"/>
    </row>
    <row r="140" ht="15.75" customHeight="1">
      <c r="A140" s="268"/>
      <c r="B140" s="265"/>
      <c r="C140" s="265"/>
      <c r="D140" s="265"/>
      <c r="E140" s="265"/>
      <c r="F140" s="266" t="s">
        <v>33</v>
      </c>
      <c r="G140" s="267">
        <f t="shared" si="1"/>
        <v>0</v>
      </c>
      <c r="H140" s="265"/>
      <c r="I140" s="269"/>
      <c r="J140" s="267"/>
    </row>
    <row r="141" ht="15.75" customHeight="1">
      <c r="A141" s="268"/>
      <c r="B141" s="265"/>
      <c r="C141" s="265"/>
      <c r="D141" s="265"/>
      <c r="E141" s="265"/>
      <c r="F141" s="266" t="s">
        <v>33</v>
      </c>
      <c r="G141" s="267">
        <f t="shared" si="1"/>
        <v>0</v>
      </c>
      <c r="H141" s="265"/>
      <c r="I141" s="269"/>
      <c r="J141" s="267"/>
    </row>
    <row r="142" ht="15.75" customHeight="1">
      <c r="A142" s="268"/>
      <c r="B142" s="265"/>
      <c r="C142" s="265"/>
      <c r="D142" s="265"/>
      <c r="E142" s="265"/>
      <c r="F142" s="266" t="s">
        <v>33</v>
      </c>
      <c r="G142" s="267">
        <f t="shared" si="1"/>
        <v>0</v>
      </c>
      <c r="H142" s="265"/>
      <c r="I142" s="269"/>
      <c r="J142" s="267"/>
    </row>
    <row r="143" ht="15.75" customHeight="1">
      <c r="A143" s="268"/>
      <c r="B143" s="265"/>
      <c r="C143" s="265"/>
      <c r="D143" s="265"/>
      <c r="E143" s="265"/>
      <c r="F143" s="266" t="s">
        <v>33</v>
      </c>
      <c r="G143" s="267">
        <f t="shared" si="1"/>
        <v>0</v>
      </c>
      <c r="H143" s="265"/>
      <c r="I143" s="269"/>
      <c r="J143" s="267"/>
    </row>
    <row r="144" ht="15.75" customHeight="1">
      <c r="A144" s="268"/>
      <c r="B144" s="265"/>
      <c r="C144" s="265"/>
      <c r="D144" s="265"/>
      <c r="E144" s="265"/>
      <c r="F144" s="266" t="s">
        <v>33</v>
      </c>
      <c r="G144" s="267">
        <f t="shared" si="1"/>
        <v>0</v>
      </c>
      <c r="H144" s="265"/>
      <c r="I144" s="269"/>
      <c r="J144" s="267"/>
    </row>
    <row r="145" ht="15.75" customHeight="1">
      <c r="A145" s="268"/>
      <c r="B145" s="265"/>
      <c r="C145" s="265"/>
      <c r="D145" s="265"/>
      <c r="E145" s="265"/>
      <c r="F145" s="266" t="s">
        <v>33</v>
      </c>
      <c r="G145" s="267">
        <f t="shared" si="1"/>
        <v>0</v>
      </c>
      <c r="H145" s="265"/>
      <c r="I145" s="269"/>
      <c r="J145" s="267"/>
    </row>
    <row r="146" ht="15.75" customHeight="1">
      <c r="A146" s="268"/>
      <c r="B146" s="265"/>
      <c r="C146" s="265"/>
      <c r="D146" s="265"/>
      <c r="E146" s="265"/>
      <c r="F146" s="266" t="s">
        <v>33</v>
      </c>
      <c r="G146" s="267">
        <f t="shared" si="1"/>
        <v>0</v>
      </c>
      <c r="H146" s="265"/>
      <c r="I146" s="269"/>
      <c r="J146" s="267"/>
    </row>
    <row r="147" ht="15.75" customHeight="1">
      <c r="A147" s="268"/>
      <c r="B147" s="265"/>
      <c r="C147" s="265"/>
      <c r="D147" s="265"/>
      <c r="E147" s="265"/>
      <c r="F147" s="266" t="s">
        <v>33</v>
      </c>
      <c r="G147" s="267">
        <f t="shared" si="1"/>
        <v>0</v>
      </c>
      <c r="H147" s="265"/>
      <c r="I147" s="269"/>
      <c r="J147" s="267"/>
    </row>
    <row r="148" ht="15.75" customHeight="1">
      <c r="A148" s="268"/>
      <c r="B148" s="265"/>
      <c r="C148" s="265"/>
      <c r="D148" s="265"/>
      <c r="E148" s="265"/>
      <c r="F148" s="266" t="s">
        <v>33</v>
      </c>
      <c r="G148" s="267">
        <f t="shared" si="1"/>
        <v>0</v>
      </c>
      <c r="H148" s="265"/>
      <c r="I148" s="269"/>
      <c r="J148" s="267"/>
    </row>
    <row r="149" ht="15.75" customHeight="1">
      <c r="A149" s="268"/>
      <c r="B149" s="265"/>
      <c r="C149" s="265"/>
      <c r="D149" s="265"/>
      <c r="E149" s="265"/>
      <c r="F149" s="266" t="s">
        <v>33</v>
      </c>
      <c r="G149" s="267">
        <f t="shared" si="1"/>
        <v>0</v>
      </c>
      <c r="H149" s="265"/>
      <c r="I149" s="269"/>
      <c r="J149" s="267"/>
    </row>
    <row r="150" ht="15.75" customHeight="1">
      <c r="A150" s="268"/>
      <c r="B150" s="265"/>
      <c r="C150" s="265"/>
      <c r="D150" s="265"/>
      <c r="E150" s="265"/>
      <c r="F150" s="266" t="s">
        <v>33</v>
      </c>
      <c r="G150" s="267">
        <f t="shared" si="1"/>
        <v>0</v>
      </c>
      <c r="H150" s="265"/>
      <c r="I150" s="269"/>
      <c r="J150" s="267"/>
    </row>
    <row r="151" ht="15.75" customHeight="1">
      <c r="A151" s="268"/>
      <c r="B151" s="265"/>
      <c r="C151" s="265"/>
      <c r="D151" s="265"/>
      <c r="E151" s="265"/>
      <c r="F151" s="266" t="s">
        <v>33</v>
      </c>
      <c r="G151" s="267">
        <f t="shared" si="1"/>
        <v>0</v>
      </c>
      <c r="H151" s="265"/>
      <c r="I151" s="269"/>
      <c r="J151" s="267"/>
    </row>
    <row r="152" ht="15.75" customHeight="1">
      <c r="A152" s="268"/>
      <c r="B152" s="265"/>
      <c r="C152" s="265"/>
      <c r="D152" s="265"/>
      <c r="E152" s="265"/>
      <c r="F152" s="266" t="s">
        <v>33</v>
      </c>
      <c r="G152" s="267">
        <f t="shared" si="1"/>
        <v>0</v>
      </c>
      <c r="H152" s="265"/>
      <c r="I152" s="269"/>
      <c r="J152" s="267"/>
    </row>
    <row r="153" ht="15.75" customHeight="1">
      <c r="A153" s="268"/>
      <c r="B153" s="265"/>
      <c r="C153" s="265"/>
      <c r="D153" s="265"/>
      <c r="E153" s="265"/>
      <c r="F153" s="266" t="s">
        <v>33</v>
      </c>
      <c r="G153" s="267">
        <f t="shared" si="1"/>
        <v>0</v>
      </c>
      <c r="H153" s="265"/>
      <c r="I153" s="269"/>
      <c r="J153" s="267"/>
    </row>
    <row r="154" ht="15.75" customHeight="1">
      <c r="A154" s="268"/>
      <c r="B154" s="265"/>
      <c r="C154" s="265"/>
      <c r="D154" s="265"/>
      <c r="E154" s="265"/>
      <c r="F154" s="266" t="s">
        <v>33</v>
      </c>
      <c r="G154" s="267">
        <f t="shared" si="1"/>
        <v>0</v>
      </c>
      <c r="H154" s="265"/>
      <c r="I154" s="269"/>
      <c r="J154" s="267"/>
    </row>
    <row r="155" ht="15.75" customHeight="1">
      <c r="A155" s="268"/>
      <c r="B155" s="265"/>
      <c r="C155" s="265"/>
      <c r="D155" s="265"/>
      <c r="E155" s="265"/>
      <c r="F155" s="266" t="s">
        <v>33</v>
      </c>
      <c r="G155" s="267">
        <f t="shared" si="1"/>
        <v>0</v>
      </c>
      <c r="H155" s="265"/>
      <c r="I155" s="269"/>
      <c r="J155" s="267"/>
    </row>
    <row r="156" ht="15.75" customHeight="1">
      <c r="A156" s="268"/>
      <c r="B156" s="265"/>
      <c r="C156" s="265"/>
      <c r="D156" s="265"/>
      <c r="E156" s="265"/>
      <c r="F156" s="266" t="s">
        <v>33</v>
      </c>
      <c r="G156" s="267">
        <f t="shared" si="1"/>
        <v>0</v>
      </c>
      <c r="H156" s="265"/>
      <c r="I156" s="269"/>
      <c r="J156" s="267"/>
    </row>
    <row r="157" ht="15.75" customHeight="1">
      <c r="A157" s="268"/>
      <c r="B157" s="265"/>
      <c r="C157" s="265"/>
      <c r="D157" s="265"/>
      <c r="E157" s="265"/>
      <c r="F157" s="266" t="s">
        <v>33</v>
      </c>
      <c r="G157" s="267">
        <f t="shared" si="1"/>
        <v>0</v>
      </c>
      <c r="H157" s="265"/>
      <c r="I157" s="269"/>
      <c r="J157" s="267"/>
    </row>
    <row r="158" ht="15.75" customHeight="1">
      <c r="A158" s="268"/>
      <c r="B158" s="265"/>
      <c r="C158" s="265"/>
      <c r="D158" s="265"/>
      <c r="E158" s="265"/>
      <c r="F158" s="266" t="s">
        <v>33</v>
      </c>
      <c r="G158" s="267">
        <f t="shared" si="1"/>
        <v>0</v>
      </c>
      <c r="H158" s="265"/>
      <c r="I158" s="269"/>
      <c r="J158" s="267"/>
    </row>
    <row r="159" ht="15.75" customHeight="1">
      <c r="A159" s="268"/>
      <c r="B159" s="265"/>
      <c r="C159" s="265"/>
      <c r="D159" s="265"/>
      <c r="E159" s="265"/>
      <c r="F159" s="266" t="s">
        <v>33</v>
      </c>
      <c r="G159" s="267">
        <f t="shared" si="1"/>
        <v>0</v>
      </c>
      <c r="H159" s="265"/>
      <c r="I159" s="269"/>
      <c r="J159" s="267"/>
    </row>
    <row r="160" ht="15.75" customHeight="1">
      <c r="A160" s="268"/>
      <c r="B160" s="265"/>
      <c r="C160" s="265"/>
      <c r="D160" s="265"/>
      <c r="E160" s="265"/>
      <c r="F160" s="266" t="s">
        <v>33</v>
      </c>
      <c r="G160" s="267">
        <f t="shared" si="1"/>
        <v>0</v>
      </c>
      <c r="H160" s="265"/>
      <c r="I160" s="269"/>
      <c r="J160" s="267"/>
    </row>
    <row r="161" ht="15.75" customHeight="1">
      <c r="A161" s="268"/>
      <c r="B161" s="265"/>
      <c r="C161" s="265"/>
      <c r="D161" s="265"/>
      <c r="E161" s="265"/>
      <c r="F161" s="266" t="s">
        <v>33</v>
      </c>
      <c r="G161" s="267">
        <f t="shared" si="1"/>
        <v>0</v>
      </c>
      <c r="H161" s="265"/>
      <c r="I161" s="269"/>
      <c r="J161" s="267"/>
    </row>
    <row r="162" ht="15.75" customHeight="1">
      <c r="A162" s="268"/>
      <c r="B162" s="265"/>
      <c r="C162" s="265"/>
      <c r="D162" s="265"/>
      <c r="E162" s="265"/>
      <c r="F162" s="266" t="s">
        <v>33</v>
      </c>
      <c r="G162" s="267">
        <f t="shared" si="1"/>
        <v>0</v>
      </c>
      <c r="H162" s="265"/>
      <c r="I162" s="269"/>
      <c r="J162" s="267"/>
    </row>
    <row r="163" ht="15.75" customHeight="1">
      <c r="A163" s="268"/>
      <c r="B163" s="265"/>
      <c r="C163" s="265"/>
      <c r="D163" s="265"/>
      <c r="E163" s="265"/>
      <c r="F163" s="266" t="s">
        <v>33</v>
      </c>
      <c r="G163" s="267">
        <f t="shared" si="1"/>
        <v>0</v>
      </c>
      <c r="H163" s="265"/>
      <c r="I163" s="269"/>
      <c r="J163" s="267"/>
    </row>
    <row r="164" ht="15.75" customHeight="1">
      <c r="A164" s="268"/>
      <c r="B164" s="265"/>
      <c r="C164" s="265"/>
      <c r="D164" s="265"/>
      <c r="E164" s="265"/>
      <c r="F164" s="266" t="s">
        <v>33</v>
      </c>
      <c r="G164" s="267">
        <f t="shared" si="1"/>
        <v>0</v>
      </c>
      <c r="H164" s="265"/>
      <c r="I164" s="269"/>
      <c r="J164" s="267"/>
    </row>
    <row r="165" ht="15.75" customHeight="1">
      <c r="A165" s="268"/>
      <c r="B165" s="265"/>
      <c r="C165" s="265"/>
      <c r="D165" s="265"/>
      <c r="E165" s="265"/>
      <c r="F165" s="266" t="s">
        <v>33</v>
      </c>
      <c r="G165" s="267">
        <f t="shared" si="1"/>
        <v>0</v>
      </c>
      <c r="H165" s="265"/>
      <c r="I165" s="269"/>
      <c r="J165" s="267"/>
    </row>
    <row r="166" ht="15.75" customHeight="1">
      <c r="A166" s="268"/>
      <c r="B166" s="265"/>
      <c r="C166" s="265"/>
      <c r="D166" s="265"/>
      <c r="E166" s="265"/>
      <c r="F166" s="266" t="s">
        <v>33</v>
      </c>
      <c r="G166" s="267">
        <f t="shared" si="1"/>
        <v>0</v>
      </c>
      <c r="H166" s="265"/>
      <c r="I166" s="269"/>
      <c r="J166" s="267"/>
    </row>
    <row r="167" ht="15.75" customHeight="1">
      <c r="A167" s="268"/>
      <c r="B167" s="265"/>
      <c r="C167" s="265"/>
      <c r="D167" s="265"/>
      <c r="E167" s="265"/>
      <c r="F167" s="266" t="s">
        <v>33</v>
      </c>
      <c r="G167" s="267">
        <f t="shared" si="1"/>
        <v>0</v>
      </c>
      <c r="H167" s="265"/>
      <c r="I167" s="269"/>
      <c r="J167" s="267"/>
    </row>
    <row r="168" ht="15.75" customHeight="1">
      <c r="A168" s="268"/>
      <c r="B168" s="265"/>
      <c r="C168" s="265"/>
      <c r="D168" s="265"/>
      <c r="E168" s="265"/>
      <c r="F168" s="266" t="s">
        <v>33</v>
      </c>
      <c r="G168" s="267">
        <f t="shared" si="1"/>
        <v>0</v>
      </c>
      <c r="H168" s="265"/>
      <c r="I168" s="269"/>
      <c r="J168" s="267"/>
    </row>
    <row r="169" ht="15.75" customHeight="1">
      <c r="A169" s="268"/>
      <c r="B169" s="265"/>
      <c r="C169" s="265"/>
      <c r="D169" s="265"/>
      <c r="E169" s="265"/>
      <c r="F169" s="266" t="s">
        <v>33</v>
      </c>
      <c r="G169" s="267">
        <f t="shared" si="1"/>
        <v>0</v>
      </c>
      <c r="H169" s="265"/>
      <c r="I169" s="269"/>
      <c r="J169" s="267"/>
    </row>
    <row r="170" ht="15.75" customHeight="1">
      <c r="A170" s="268"/>
      <c r="B170" s="265"/>
      <c r="C170" s="265"/>
      <c r="D170" s="265"/>
      <c r="E170" s="265"/>
      <c r="F170" s="266" t="s">
        <v>33</v>
      </c>
      <c r="G170" s="267">
        <f t="shared" si="1"/>
        <v>0</v>
      </c>
      <c r="H170" s="265"/>
      <c r="I170" s="269"/>
      <c r="J170" s="267"/>
    </row>
    <row r="171" ht="15.75" customHeight="1">
      <c r="A171" s="268"/>
      <c r="B171" s="265"/>
      <c r="C171" s="265"/>
      <c r="D171" s="265"/>
      <c r="E171" s="265"/>
      <c r="F171" s="266" t="s">
        <v>33</v>
      </c>
      <c r="G171" s="267">
        <f t="shared" si="1"/>
        <v>0</v>
      </c>
      <c r="H171" s="265"/>
      <c r="I171" s="269"/>
      <c r="J171" s="267"/>
    </row>
    <row r="172" ht="15.75" customHeight="1">
      <c r="A172" s="268"/>
      <c r="B172" s="265"/>
      <c r="C172" s="265"/>
      <c r="D172" s="265"/>
      <c r="E172" s="265"/>
      <c r="F172" s="266" t="s">
        <v>33</v>
      </c>
      <c r="G172" s="267">
        <f t="shared" si="1"/>
        <v>0</v>
      </c>
      <c r="H172" s="265"/>
      <c r="I172" s="269"/>
      <c r="J172" s="267"/>
    </row>
    <row r="173" ht="15.75" customHeight="1">
      <c r="A173" s="268"/>
      <c r="B173" s="265"/>
      <c r="C173" s="265"/>
      <c r="D173" s="265"/>
      <c r="E173" s="265"/>
      <c r="F173" s="266" t="s">
        <v>33</v>
      </c>
      <c r="G173" s="267">
        <f t="shared" si="1"/>
        <v>0</v>
      </c>
      <c r="H173" s="265"/>
      <c r="I173" s="269"/>
      <c r="J173" s="267"/>
    </row>
    <row r="174" ht="15.75" customHeight="1">
      <c r="A174" s="268"/>
      <c r="B174" s="265"/>
      <c r="C174" s="265"/>
      <c r="D174" s="265"/>
      <c r="E174" s="265"/>
      <c r="F174" s="266" t="s">
        <v>33</v>
      </c>
      <c r="G174" s="267">
        <f t="shared" si="1"/>
        <v>0</v>
      </c>
      <c r="H174" s="265"/>
      <c r="I174" s="269"/>
      <c r="J174" s="267"/>
    </row>
    <row r="175" ht="15.75" customHeight="1">
      <c r="A175" s="268"/>
      <c r="B175" s="265"/>
      <c r="C175" s="265"/>
      <c r="D175" s="265"/>
      <c r="E175" s="265"/>
      <c r="F175" s="266" t="s">
        <v>33</v>
      </c>
      <c r="G175" s="267">
        <f t="shared" si="1"/>
        <v>0</v>
      </c>
      <c r="H175" s="265"/>
      <c r="I175" s="269"/>
      <c r="J175" s="267"/>
    </row>
    <row r="176" ht="15.75" customHeight="1">
      <c r="A176" s="268"/>
      <c r="B176" s="265"/>
      <c r="C176" s="265"/>
      <c r="D176" s="265"/>
      <c r="E176" s="265"/>
      <c r="F176" s="266" t="s">
        <v>33</v>
      </c>
      <c r="G176" s="267">
        <f t="shared" si="1"/>
        <v>0</v>
      </c>
      <c r="H176" s="265"/>
      <c r="I176" s="269"/>
      <c r="J176" s="267"/>
    </row>
    <row r="177" ht="15.75" customHeight="1">
      <c r="A177" s="268"/>
      <c r="B177" s="265"/>
      <c r="C177" s="265"/>
      <c r="D177" s="265"/>
      <c r="E177" s="265"/>
      <c r="F177" s="266" t="s">
        <v>33</v>
      </c>
      <c r="G177" s="267">
        <f t="shared" si="1"/>
        <v>0</v>
      </c>
      <c r="H177" s="265"/>
      <c r="I177" s="269"/>
      <c r="J177" s="267"/>
    </row>
    <row r="178" ht="15.75" customHeight="1">
      <c r="A178" s="268"/>
      <c r="B178" s="265"/>
      <c r="C178" s="265"/>
      <c r="D178" s="265"/>
      <c r="E178" s="265"/>
      <c r="F178" s="266" t="s">
        <v>33</v>
      </c>
      <c r="G178" s="267">
        <f t="shared" si="1"/>
        <v>0</v>
      </c>
      <c r="H178" s="265"/>
      <c r="I178" s="269"/>
      <c r="J178" s="267"/>
    </row>
    <row r="179" ht="15.75" customHeight="1">
      <c r="A179" s="268"/>
      <c r="B179" s="265"/>
      <c r="C179" s="265"/>
      <c r="D179" s="265"/>
      <c r="E179" s="265"/>
      <c r="F179" s="266" t="s">
        <v>33</v>
      </c>
      <c r="G179" s="267">
        <f t="shared" si="1"/>
        <v>0</v>
      </c>
      <c r="H179" s="265"/>
      <c r="I179" s="269"/>
      <c r="J179" s="267"/>
    </row>
    <row r="180" ht="15.75" customHeight="1">
      <c r="A180" s="268"/>
      <c r="B180" s="265"/>
      <c r="C180" s="265"/>
      <c r="D180" s="265"/>
      <c r="E180" s="265"/>
      <c r="F180" s="266" t="s">
        <v>33</v>
      </c>
      <c r="G180" s="267">
        <f t="shared" si="1"/>
        <v>0</v>
      </c>
      <c r="H180" s="265"/>
      <c r="I180" s="269"/>
      <c r="J180" s="267"/>
    </row>
    <row r="181" ht="15.75" customHeight="1">
      <c r="A181" s="268"/>
      <c r="B181" s="265"/>
      <c r="C181" s="265"/>
      <c r="D181" s="265"/>
      <c r="E181" s="265"/>
      <c r="F181" s="266" t="s">
        <v>33</v>
      </c>
      <c r="G181" s="267">
        <f t="shared" si="1"/>
        <v>0</v>
      </c>
      <c r="H181" s="265"/>
      <c r="I181" s="269"/>
      <c r="J181" s="267"/>
    </row>
    <row r="182" ht="15.75" customHeight="1">
      <c r="A182" s="268"/>
      <c r="B182" s="265"/>
      <c r="C182" s="265"/>
      <c r="D182" s="265"/>
      <c r="E182" s="265"/>
      <c r="F182" s="266" t="s">
        <v>33</v>
      </c>
      <c r="G182" s="267">
        <f t="shared" si="1"/>
        <v>0</v>
      </c>
      <c r="H182" s="265"/>
      <c r="I182" s="269"/>
      <c r="J182" s="267"/>
    </row>
    <row r="183" ht="15.75" customHeight="1">
      <c r="A183" s="268"/>
      <c r="B183" s="265"/>
      <c r="C183" s="265"/>
      <c r="D183" s="265"/>
      <c r="E183" s="265"/>
      <c r="F183" s="266" t="s">
        <v>33</v>
      </c>
      <c r="G183" s="267">
        <f t="shared" si="1"/>
        <v>0</v>
      </c>
      <c r="H183" s="265"/>
      <c r="I183" s="269"/>
      <c r="J183" s="267"/>
    </row>
    <row r="184" ht="15.75" customHeight="1">
      <c r="A184" s="268"/>
      <c r="B184" s="265"/>
      <c r="C184" s="265"/>
      <c r="D184" s="265"/>
      <c r="E184" s="265"/>
      <c r="F184" s="266" t="s">
        <v>33</v>
      </c>
      <c r="G184" s="267">
        <f t="shared" si="1"/>
        <v>0</v>
      </c>
      <c r="H184" s="265"/>
      <c r="I184" s="269"/>
      <c r="J184" s="267"/>
    </row>
    <row r="185" ht="15.75" customHeight="1">
      <c r="A185" s="268"/>
      <c r="B185" s="265"/>
      <c r="C185" s="265"/>
      <c r="D185" s="265"/>
      <c r="E185" s="265"/>
      <c r="F185" s="266" t="s">
        <v>33</v>
      </c>
      <c r="G185" s="267">
        <f t="shared" si="1"/>
        <v>0</v>
      </c>
      <c r="H185" s="265"/>
      <c r="I185" s="269"/>
      <c r="J185" s="267"/>
    </row>
    <row r="186" ht="15.75" customHeight="1">
      <c r="A186" s="268"/>
      <c r="B186" s="265"/>
      <c r="C186" s="265"/>
      <c r="D186" s="265"/>
      <c r="E186" s="265"/>
      <c r="F186" s="266" t="s">
        <v>33</v>
      </c>
      <c r="G186" s="267">
        <f t="shared" si="1"/>
        <v>0</v>
      </c>
      <c r="H186" s="265"/>
      <c r="I186" s="269"/>
      <c r="J186" s="267"/>
    </row>
    <row r="187" ht="15.75" customHeight="1">
      <c r="A187" s="268"/>
      <c r="B187" s="265"/>
      <c r="C187" s="265"/>
      <c r="D187" s="265"/>
      <c r="E187" s="265"/>
      <c r="F187" s="266" t="s">
        <v>33</v>
      </c>
      <c r="G187" s="267">
        <f t="shared" si="1"/>
        <v>0</v>
      </c>
      <c r="H187" s="265"/>
      <c r="I187" s="269"/>
      <c r="J187" s="267"/>
    </row>
    <row r="188" ht="15.75" customHeight="1">
      <c r="A188" s="268"/>
      <c r="B188" s="265"/>
      <c r="C188" s="265"/>
      <c r="D188" s="265"/>
      <c r="E188" s="265"/>
      <c r="F188" s="266" t="s">
        <v>33</v>
      </c>
      <c r="G188" s="267">
        <f t="shared" si="1"/>
        <v>0</v>
      </c>
      <c r="H188" s="265"/>
      <c r="I188" s="269"/>
      <c r="J188" s="267"/>
    </row>
    <row r="189" ht="15.75" customHeight="1">
      <c r="A189" s="268"/>
      <c r="B189" s="265"/>
      <c r="C189" s="265"/>
      <c r="D189" s="265"/>
      <c r="E189" s="265"/>
      <c r="F189" s="266" t="s">
        <v>33</v>
      </c>
      <c r="G189" s="267">
        <f t="shared" si="1"/>
        <v>0</v>
      </c>
      <c r="H189" s="265"/>
      <c r="I189" s="269"/>
      <c r="J189" s="267"/>
    </row>
    <row r="190" ht="15.75" customHeight="1">
      <c r="A190" s="268"/>
      <c r="B190" s="265"/>
      <c r="C190" s="265"/>
      <c r="D190" s="265"/>
      <c r="E190" s="265"/>
      <c r="F190" s="266" t="s">
        <v>33</v>
      </c>
      <c r="G190" s="267">
        <f t="shared" si="1"/>
        <v>0</v>
      </c>
      <c r="H190" s="265"/>
      <c r="I190" s="269"/>
      <c r="J190" s="267"/>
    </row>
    <row r="191" ht="15.75" customHeight="1">
      <c r="A191" s="268"/>
      <c r="B191" s="265"/>
      <c r="C191" s="265"/>
      <c r="D191" s="265"/>
      <c r="E191" s="265"/>
      <c r="F191" s="266" t="s">
        <v>33</v>
      </c>
      <c r="G191" s="267">
        <f t="shared" si="1"/>
        <v>0</v>
      </c>
      <c r="H191" s="265"/>
      <c r="I191" s="269"/>
      <c r="J191" s="267"/>
    </row>
    <row r="192" ht="15.75" customHeight="1">
      <c r="A192" s="268"/>
      <c r="B192" s="265"/>
      <c r="C192" s="265"/>
      <c r="D192" s="265"/>
      <c r="E192" s="265"/>
      <c r="F192" s="266" t="s">
        <v>33</v>
      </c>
      <c r="G192" s="267">
        <f t="shared" si="1"/>
        <v>0</v>
      </c>
      <c r="H192" s="265"/>
      <c r="I192" s="269"/>
      <c r="J192" s="267"/>
    </row>
    <row r="193" ht="15.75" customHeight="1">
      <c r="A193" s="268"/>
      <c r="B193" s="265"/>
      <c r="C193" s="265"/>
      <c r="D193" s="265"/>
      <c r="E193" s="265"/>
      <c r="F193" s="266" t="s">
        <v>33</v>
      </c>
      <c r="G193" s="267">
        <f t="shared" si="1"/>
        <v>0</v>
      </c>
      <c r="H193" s="265"/>
      <c r="I193" s="269"/>
      <c r="J193" s="267"/>
    </row>
    <row r="194" ht="15.75" customHeight="1">
      <c r="A194" s="268"/>
      <c r="B194" s="265"/>
      <c r="C194" s="265"/>
      <c r="D194" s="265"/>
      <c r="E194" s="265"/>
      <c r="F194" s="266" t="s">
        <v>33</v>
      </c>
      <c r="G194" s="267">
        <f t="shared" si="1"/>
        <v>0</v>
      </c>
      <c r="H194" s="265"/>
      <c r="I194" s="269"/>
      <c r="J194" s="267"/>
    </row>
    <row r="195" ht="15.75" customHeight="1">
      <c r="A195" s="268"/>
      <c r="B195" s="265"/>
      <c r="C195" s="265"/>
      <c r="D195" s="265"/>
      <c r="E195" s="265"/>
      <c r="F195" s="266" t="s">
        <v>33</v>
      </c>
      <c r="G195" s="267">
        <f t="shared" si="1"/>
        <v>0</v>
      </c>
      <c r="H195" s="265"/>
      <c r="I195" s="269"/>
      <c r="J195" s="267"/>
    </row>
    <row r="196" ht="15.75" customHeight="1">
      <c r="A196" s="268"/>
      <c r="B196" s="265"/>
      <c r="C196" s="265"/>
      <c r="D196" s="265"/>
      <c r="E196" s="265"/>
      <c r="F196" s="266" t="s">
        <v>33</v>
      </c>
      <c r="G196" s="267">
        <f t="shared" si="1"/>
        <v>0</v>
      </c>
      <c r="H196" s="265"/>
      <c r="I196" s="269"/>
      <c r="J196" s="267"/>
    </row>
    <row r="197" ht="15.75" customHeight="1">
      <c r="A197" s="268"/>
      <c r="B197" s="265"/>
      <c r="C197" s="265"/>
      <c r="D197" s="265"/>
      <c r="E197" s="265"/>
      <c r="F197" s="266" t="s">
        <v>33</v>
      </c>
      <c r="G197" s="267">
        <f t="shared" si="1"/>
        <v>0</v>
      </c>
      <c r="H197" s="265"/>
      <c r="I197" s="269"/>
      <c r="J197" s="267"/>
    </row>
    <row r="198" ht="15.75" customHeight="1">
      <c r="A198" s="268"/>
      <c r="B198" s="265"/>
      <c r="C198" s="265"/>
      <c r="D198" s="265"/>
      <c r="E198" s="265"/>
      <c r="F198" s="266" t="s">
        <v>33</v>
      </c>
      <c r="G198" s="267">
        <f t="shared" si="1"/>
        <v>0</v>
      </c>
      <c r="H198" s="265"/>
      <c r="I198" s="269"/>
      <c r="J198" s="267"/>
    </row>
    <row r="199" ht="15.75" customHeight="1">
      <c r="A199" s="268"/>
      <c r="B199" s="265"/>
      <c r="C199" s="265"/>
      <c r="D199" s="265"/>
      <c r="E199" s="265"/>
      <c r="F199" s="266" t="s">
        <v>33</v>
      </c>
      <c r="G199" s="267">
        <f t="shared" si="1"/>
        <v>0</v>
      </c>
      <c r="H199" s="265"/>
      <c r="I199" s="269"/>
      <c r="J199" s="267"/>
    </row>
    <row r="200" ht="15.75" customHeight="1">
      <c r="A200" s="268"/>
      <c r="B200" s="265"/>
      <c r="C200" s="265"/>
      <c r="D200" s="265"/>
      <c r="E200" s="265"/>
      <c r="F200" s="266" t="s">
        <v>33</v>
      </c>
      <c r="G200" s="267">
        <f t="shared" si="1"/>
        <v>0</v>
      </c>
      <c r="H200" s="265"/>
      <c r="I200" s="269"/>
      <c r="J200" s="267"/>
    </row>
    <row r="201" ht="15.75" customHeight="1">
      <c r="A201" s="268"/>
      <c r="B201" s="265"/>
      <c r="C201" s="265"/>
      <c r="D201" s="265"/>
      <c r="E201" s="265"/>
      <c r="F201" s="266" t="s">
        <v>33</v>
      </c>
      <c r="G201" s="267">
        <f t="shared" si="1"/>
        <v>0</v>
      </c>
      <c r="H201" s="265"/>
      <c r="I201" s="269"/>
      <c r="J201" s="267"/>
    </row>
    <row r="202" ht="15.75" customHeight="1">
      <c r="A202" s="268"/>
      <c r="B202" s="265"/>
      <c r="C202" s="265"/>
      <c r="D202" s="265"/>
      <c r="E202" s="265"/>
      <c r="F202" s="266" t="s">
        <v>33</v>
      </c>
      <c r="G202" s="267">
        <f t="shared" si="1"/>
        <v>0</v>
      </c>
      <c r="H202" s="265"/>
      <c r="I202" s="269"/>
      <c r="J202" s="267"/>
    </row>
    <row r="203" ht="15.75" customHeight="1">
      <c r="A203" s="268"/>
      <c r="B203" s="265"/>
      <c r="C203" s="265"/>
      <c r="D203" s="265"/>
      <c r="E203" s="265"/>
      <c r="F203" s="266" t="s">
        <v>33</v>
      </c>
      <c r="G203" s="267">
        <f t="shared" si="1"/>
        <v>0</v>
      </c>
      <c r="H203" s="265"/>
      <c r="I203" s="269"/>
      <c r="J203" s="267"/>
    </row>
    <row r="204" ht="15.75" customHeight="1">
      <c r="A204" s="268"/>
      <c r="B204" s="265"/>
      <c r="C204" s="265"/>
      <c r="D204" s="265"/>
      <c r="E204" s="265"/>
      <c r="F204" s="266" t="s">
        <v>33</v>
      </c>
      <c r="G204" s="267">
        <f t="shared" si="1"/>
        <v>0</v>
      </c>
      <c r="H204" s="265"/>
      <c r="I204" s="269"/>
      <c r="J204" s="267"/>
    </row>
    <row r="205" ht="15.75" customHeight="1">
      <c r="A205" s="268"/>
      <c r="B205" s="265"/>
      <c r="C205" s="265"/>
      <c r="D205" s="265"/>
      <c r="E205" s="265"/>
      <c r="F205" s="266" t="s">
        <v>33</v>
      </c>
      <c r="G205" s="267">
        <f t="shared" si="1"/>
        <v>0</v>
      </c>
      <c r="H205" s="265"/>
      <c r="I205" s="269"/>
      <c r="J205" s="267"/>
    </row>
    <row r="206" ht="15.75" customHeight="1">
      <c r="A206" s="268"/>
      <c r="B206" s="265"/>
      <c r="C206" s="265"/>
      <c r="D206" s="265"/>
      <c r="E206" s="265"/>
      <c r="F206" s="266" t="s">
        <v>33</v>
      </c>
      <c r="G206" s="267">
        <f t="shared" si="1"/>
        <v>0</v>
      </c>
      <c r="H206" s="265"/>
      <c r="I206" s="269"/>
      <c r="J206" s="267"/>
    </row>
    <row r="207" ht="15.75" customHeight="1">
      <c r="A207" s="268"/>
      <c r="B207" s="265"/>
      <c r="C207" s="265"/>
      <c r="D207" s="265"/>
      <c r="E207" s="265"/>
      <c r="F207" s="266" t="s">
        <v>33</v>
      </c>
      <c r="G207" s="267">
        <f t="shared" si="1"/>
        <v>0</v>
      </c>
      <c r="H207" s="265"/>
      <c r="I207" s="269"/>
      <c r="J207" s="267"/>
    </row>
    <row r="208" ht="15.75" customHeight="1">
      <c r="A208" s="268"/>
      <c r="B208" s="265"/>
      <c r="C208" s="265"/>
      <c r="D208" s="265"/>
      <c r="E208" s="265"/>
      <c r="F208" s="266" t="s">
        <v>33</v>
      </c>
      <c r="G208" s="267">
        <f t="shared" si="1"/>
        <v>0</v>
      </c>
      <c r="H208" s="265"/>
      <c r="I208" s="269"/>
      <c r="J208" s="267"/>
    </row>
    <row r="209" ht="15.75" customHeight="1">
      <c r="A209" s="268"/>
      <c r="B209" s="265"/>
      <c r="C209" s="265"/>
      <c r="D209" s="265"/>
      <c r="E209" s="265"/>
      <c r="F209" s="266" t="s">
        <v>33</v>
      </c>
      <c r="G209" s="267">
        <f t="shared" si="1"/>
        <v>0</v>
      </c>
      <c r="H209" s="265"/>
      <c r="I209" s="269"/>
      <c r="J209" s="267"/>
    </row>
    <row r="210" ht="15.75" customHeight="1">
      <c r="A210" s="268"/>
      <c r="B210" s="265"/>
      <c r="C210" s="265"/>
      <c r="D210" s="265"/>
      <c r="E210" s="265"/>
      <c r="F210" s="266" t="s">
        <v>33</v>
      </c>
      <c r="G210" s="267">
        <f t="shared" si="1"/>
        <v>0</v>
      </c>
      <c r="H210" s="265"/>
      <c r="I210" s="269"/>
      <c r="J210" s="267"/>
    </row>
    <row r="211" ht="15.75" customHeight="1">
      <c r="A211" s="268"/>
      <c r="B211" s="265"/>
      <c r="C211" s="265"/>
      <c r="D211" s="265"/>
      <c r="E211" s="265"/>
      <c r="F211" s="266" t="s">
        <v>33</v>
      </c>
      <c r="G211" s="267">
        <f t="shared" si="1"/>
        <v>0</v>
      </c>
      <c r="H211" s="265"/>
      <c r="I211" s="269"/>
      <c r="J211" s="267"/>
    </row>
    <row r="212" ht="15.75" customHeight="1">
      <c r="A212" s="268"/>
      <c r="B212" s="265"/>
      <c r="C212" s="265"/>
      <c r="D212" s="265"/>
      <c r="E212" s="265"/>
      <c r="F212" s="266" t="s">
        <v>33</v>
      </c>
      <c r="G212" s="267">
        <f t="shared" si="1"/>
        <v>0</v>
      </c>
      <c r="H212" s="265"/>
      <c r="I212" s="269"/>
      <c r="J212" s="267"/>
    </row>
    <row r="213" ht="15.75" customHeight="1">
      <c r="A213" s="268"/>
      <c r="B213" s="265"/>
      <c r="C213" s="265"/>
      <c r="D213" s="265"/>
      <c r="E213" s="265"/>
      <c r="F213" s="266" t="s">
        <v>33</v>
      </c>
      <c r="G213" s="267">
        <f t="shared" si="1"/>
        <v>0</v>
      </c>
      <c r="H213" s="265"/>
      <c r="I213" s="269"/>
      <c r="J213" s="267"/>
    </row>
    <row r="214" ht="15.75" customHeight="1">
      <c r="A214" s="268"/>
      <c r="B214" s="265"/>
      <c r="C214" s="265"/>
      <c r="D214" s="265"/>
      <c r="E214" s="265"/>
      <c r="F214" s="266" t="s">
        <v>33</v>
      </c>
      <c r="G214" s="267">
        <f t="shared" si="1"/>
        <v>0</v>
      </c>
      <c r="H214" s="265"/>
      <c r="I214" s="269"/>
      <c r="J214" s="267"/>
    </row>
    <row r="215" ht="15.75" customHeight="1">
      <c r="A215" s="268"/>
      <c r="B215" s="265"/>
      <c r="C215" s="265"/>
      <c r="D215" s="265"/>
      <c r="E215" s="265"/>
      <c r="F215" s="266" t="s">
        <v>33</v>
      </c>
      <c r="G215" s="267">
        <f t="shared" si="1"/>
        <v>0</v>
      </c>
      <c r="H215" s="265"/>
      <c r="I215" s="269"/>
      <c r="J215" s="267"/>
    </row>
    <row r="216" ht="15.75" customHeight="1">
      <c r="A216" s="268"/>
      <c r="B216" s="265"/>
      <c r="C216" s="265"/>
      <c r="D216" s="265"/>
      <c r="E216" s="265"/>
      <c r="F216" s="266" t="s">
        <v>33</v>
      </c>
      <c r="G216" s="267">
        <f t="shared" si="1"/>
        <v>0</v>
      </c>
      <c r="H216" s="265"/>
      <c r="I216" s="269"/>
      <c r="J216" s="267"/>
    </row>
    <row r="217" ht="15.75" customHeight="1">
      <c r="A217" s="268"/>
      <c r="B217" s="265"/>
      <c r="C217" s="265"/>
      <c r="D217" s="265"/>
      <c r="E217" s="265"/>
      <c r="F217" s="266" t="s">
        <v>33</v>
      </c>
      <c r="G217" s="267">
        <f t="shared" si="1"/>
        <v>0</v>
      </c>
      <c r="H217" s="265"/>
      <c r="I217" s="269"/>
      <c r="J217" s="267"/>
    </row>
    <row r="218" ht="15.75" customHeight="1">
      <c r="A218" s="268"/>
      <c r="B218" s="265"/>
      <c r="C218" s="265"/>
      <c r="D218" s="265"/>
      <c r="E218" s="265"/>
      <c r="F218" s="266" t="s">
        <v>33</v>
      </c>
      <c r="G218" s="267">
        <f t="shared" si="1"/>
        <v>0</v>
      </c>
      <c r="H218" s="265"/>
      <c r="I218" s="269"/>
      <c r="J218" s="267"/>
    </row>
    <row r="219" ht="15.75" customHeight="1">
      <c r="A219" s="268"/>
      <c r="B219" s="265"/>
      <c r="C219" s="265"/>
      <c r="D219" s="265"/>
      <c r="E219" s="265"/>
      <c r="F219" s="266" t="s">
        <v>33</v>
      </c>
      <c r="G219" s="267">
        <f t="shared" si="1"/>
        <v>0</v>
      </c>
      <c r="H219" s="265"/>
      <c r="I219" s="269"/>
      <c r="J219" s="267"/>
    </row>
    <row r="220" ht="15.75" customHeight="1">
      <c r="A220" s="268"/>
      <c r="B220" s="265"/>
      <c r="C220" s="265"/>
      <c r="D220" s="265"/>
      <c r="E220" s="265"/>
      <c r="F220" s="266" t="s">
        <v>33</v>
      </c>
      <c r="G220" s="267">
        <f t="shared" si="1"/>
        <v>0</v>
      </c>
      <c r="H220" s="265"/>
      <c r="I220" s="269"/>
      <c r="J220" s="267"/>
    </row>
    <row r="221" ht="15.75" customHeight="1">
      <c r="A221" s="268"/>
      <c r="B221" s="265"/>
      <c r="C221" s="265"/>
      <c r="D221" s="265"/>
      <c r="E221" s="265"/>
      <c r="F221" s="266" t="s">
        <v>33</v>
      </c>
      <c r="G221" s="267">
        <f t="shared" si="1"/>
        <v>0</v>
      </c>
      <c r="H221" s="265"/>
      <c r="I221" s="269"/>
      <c r="J221" s="267"/>
    </row>
    <row r="222" ht="15.75" customHeight="1">
      <c r="A222" s="268"/>
      <c r="B222" s="265"/>
      <c r="C222" s="265"/>
      <c r="D222" s="265"/>
      <c r="E222" s="265"/>
      <c r="F222" s="266" t="s">
        <v>33</v>
      </c>
      <c r="G222" s="267">
        <f t="shared" si="1"/>
        <v>0</v>
      </c>
      <c r="H222" s="265"/>
      <c r="I222" s="269"/>
      <c r="J222" s="267"/>
    </row>
    <row r="223" ht="15.75" customHeight="1">
      <c r="A223" s="268"/>
      <c r="B223" s="265"/>
      <c r="C223" s="265"/>
      <c r="D223" s="265"/>
      <c r="E223" s="265"/>
      <c r="F223" s="266" t="s">
        <v>33</v>
      </c>
      <c r="G223" s="267">
        <f t="shared" si="1"/>
        <v>0</v>
      </c>
      <c r="H223" s="265"/>
      <c r="I223" s="269"/>
      <c r="J223" s="267"/>
    </row>
    <row r="224" ht="15.75" customHeight="1">
      <c r="A224" s="268"/>
      <c r="B224" s="265"/>
      <c r="C224" s="265"/>
      <c r="D224" s="265"/>
      <c r="E224" s="265"/>
      <c r="F224" s="266" t="s">
        <v>33</v>
      </c>
      <c r="G224" s="267">
        <f t="shared" si="1"/>
        <v>0</v>
      </c>
      <c r="H224" s="265"/>
      <c r="I224" s="269"/>
      <c r="J224" s="267"/>
    </row>
    <row r="225" ht="15.75" customHeight="1">
      <c r="A225" s="268"/>
      <c r="B225" s="265"/>
      <c r="C225" s="265"/>
      <c r="D225" s="265"/>
      <c r="E225" s="265"/>
      <c r="F225" s="266" t="s">
        <v>33</v>
      </c>
      <c r="G225" s="267">
        <f t="shared" si="1"/>
        <v>0</v>
      </c>
      <c r="H225" s="265"/>
      <c r="I225" s="269"/>
      <c r="J225" s="267"/>
    </row>
    <row r="226" ht="15.75" customHeight="1">
      <c r="A226" s="268"/>
      <c r="B226" s="265"/>
      <c r="C226" s="265"/>
      <c r="D226" s="265"/>
      <c r="E226" s="265"/>
      <c r="F226" s="266" t="s">
        <v>33</v>
      </c>
      <c r="G226" s="267">
        <f t="shared" si="1"/>
        <v>0</v>
      </c>
      <c r="H226" s="265"/>
      <c r="I226" s="269"/>
      <c r="J226" s="267"/>
    </row>
    <row r="227" ht="15.75" customHeight="1">
      <c r="A227" s="268"/>
      <c r="B227" s="265"/>
      <c r="C227" s="265"/>
      <c r="D227" s="265"/>
      <c r="E227" s="265"/>
      <c r="F227" s="266" t="s">
        <v>33</v>
      </c>
      <c r="G227" s="267">
        <f t="shared" si="1"/>
        <v>0</v>
      </c>
      <c r="H227" s="265"/>
      <c r="I227" s="269"/>
      <c r="J227" s="267"/>
    </row>
    <row r="228" ht="15.75" customHeight="1">
      <c r="A228" s="268"/>
      <c r="B228" s="265"/>
      <c r="C228" s="265"/>
      <c r="D228" s="265"/>
      <c r="E228" s="265"/>
      <c r="F228" s="266" t="s">
        <v>33</v>
      </c>
      <c r="G228" s="267">
        <f t="shared" si="1"/>
        <v>0</v>
      </c>
      <c r="H228" s="265"/>
      <c r="I228" s="269"/>
      <c r="J228" s="267"/>
    </row>
    <row r="229" ht="15.75" customHeight="1">
      <c r="A229" s="268"/>
      <c r="B229" s="265"/>
      <c r="C229" s="265"/>
      <c r="D229" s="265"/>
      <c r="E229" s="265"/>
      <c r="F229" s="266" t="s">
        <v>33</v>
      </c>
      <c r="G229" s="267">
        <f t="shared" si="1"/>
        <v>0</v>
      </c>
      <c r="H229" s="265"/>
      <c r="I229" s="269"/>
      <c r="J229" s="267"/>
    </row>
    <row r="230" ht="15.75" customHeight="1">
      <c r="A230" s="268"/>
      <c r="B230" s="265"/>
      <c r="C230" s="265"/>
      <c r="D230" s="265"/>
      <c r="E230" s="265"/>
      <c r="F230" s="266" t="s">
        <v>33</v>
      </c>
      <c r="G230" s="267">
        <f t="shared" si="1"/>
        <v>0</v>
      </c>
      <c r="H230" s="265"/>
      <c r="I230" s="269"/>
      <c r="J230" s="267"/>
    </row>
    <row r="231" ht="15.75" customHeight="1">
      <c r="A231" s="268"/>
      <c r="B231" s="265"/>
      <c r="C231" s="265"/>
      <c r="D231" s="265"/>
      <c r="E231" s="265"/>
      <c r="F231" s="266" t="s">
        <v>33</v>
      </c>
      <c r="G231" s="267">
        <f t="shared" si="1"/>
        <v>0</v>
      </c>
      <c r="H231" s="265"/>
      <c r="I231" s="269"/>
      <c r="J231" s="267"/>
    </row>
    <row r="232" ht="15.75" customHeight="1">
      <c r="A232" s="268"/>
      <c r="B232" s="265"/>
      <c r="C232" s="265"/>
      <c r="D232" s="265"/>
      <c r="E232" s="265"/>
      <c r="F232" s="266" t="s">
        <v>33</v>
      </c>
      <c r="G232" s="267">
        <f t="shared" si="1"/>
        <v>0</v>
      </c>
      <c r="H232" s="265"/>
      <c r="I232" s="269"/>
      <c r="J232" s="267"/>
    </row>
    <row r="233" ht="15.75" customHeight="1">
      <c r="A233" s="268"/>
      <c r="B233" s="265"/>
      <c r="C233" s="265"/>
      <c r="D233" s="265"/>
      <c r="E233" s="265"/>
      <c r="F233" s="266" t="s">
        <v>33</v>
      </c>
      <c r="G233" s="267">
        <f t="shared" si="1"/>
        <v>0</v>
      </c>
      <c r="H233" s="265"/>
      <c r="I233" s="269"/>
      <c r="J233" s="267"/>
    </row>
    <row r="234" ht="15.75" customHeight="1">
      <c r="A234" s="268"/>
      <c r="B234" s="265"/>
      <c r="C234" s="265"/>
      <c r="D234" s="265"/>
      <c r="E234" s="265"/>
      <c r="F234" s="266" t="s">
        <v>33</v>
      </c>
      <c r="G234" s="267">
        <f t="shared" si="1"/>
        <v>0</v>
      </c>
      <c r="H234" s="265"/>
      <c r="I234" s="269"/>
      <c r="J234" s="267"/>
    </row>
    <row r="235" ht="15.75" customHeight="1">
      <c r="A235" s="268"/>
      <c r="B235" s="265"/>
      <c r="C235" s="265"/>
      <c r="D235" s="265"/>
      <c r="E235" s="265"/>
      <c r="F235" s="266" t="s">
        <v>33</v>
      </c>
      <c r="G235" s="267">
        <f t="shared" si="1"/>
        <v>0</v>
      </c>
      <c r="H235" s="265"/>
      <c r="I235" s="269"/>
      <c r="J235" s="267"/>
    </row>
    <row r="236" ht="15.75" customHeight="1">
      <c r="A236" s="268"/>
      <c r="B236" s="265"/>
      <c r="C236" s="265"/>
      <c r="D236" s="265"/>
      <c r="E236" s="265"/>
      <c r="F236" s="266" t="s">
        <v>33</v>
      </c>
      <c r="G236" s="267">
        <f t="shared" si="1"/>
        <v>0</v>
      </c>
      <c r="H236" s="265"/>
      <c r="I236" s="269"/>
      <c r="J236" s="267"/>
    </row>
    <row r="237" ht="15.75" customHeight="1">
      <c r="A237" s="268"/>
      <c r="B237" s="265"/>
      <c r="C237" s="265"/>
      <c r="D237" s="265"/>
      <c r="E237" s="265"/>
      <c r="F237" s="266" t="s">
        <v>33</v>
      </c>
      <c r="G237" s="267">
        <f t="shared" si="1"/>
        <v>0</v>
      </c>
      <c r="H237" s="265"/>
      <c r="I237" s="269"/>
      <c r="J237" s="267"/>
    </row>
    <row r="238" ht="15.75" customHeight="1">
      <c r="A238" s="268"/>
      <c r="B238" s="265"/>
      <c r="C238" s="265"/>
      <c r="D238" s="265"/>
      <c r="E238" s="265"/>
      <c r="F238" s="266" t="s">
        <v>33</v>
      </c>
      <c r="G238" s="267">
        <f t="shared" si="1"/>
        <v>0</v>
      </c>
      <c r="H238" s="265"/>
      <c r="I238" s="269"/>
      <c r="J238" s="267"/>
    </row>
    <row r="239" ht="15.75" customHeight="1">
      <c r="A239" s="268"/>
      <c r="B239" s="265"/>
      <c r="C239" s="265"/>
      <c r="D239" s="265"/>
      <c r="E239" s="265"/>
      <c r="F239" s="266" t="s">
        <v>33</v>
      </c>
      <c r="G239" s="267">
        <f t="shared" si="1"/>
        <v>0</v>
      </c>
      <c r="H239" s="265"/>
      <c r="I239" s="269"/>
      <c r="J239" s="267"/>
    </row>
    <row r="240" ht="15.75" customHeight="1">
      <c r="A240" s="268"/>
      <c r="B240" s="265"/>
      <c r="C240" s="265"/>
      <c r="D240" s="265"/>
      <c r="E240" s="265"/>
      <c r="F240" s="266" t="s">
        <v>33</v>
      </c>
      <c r="G240" s="267">
        <f t="shared" si="1"/>
        <v>0</v>
      </c>
      <c r="H240" s="265"/>
      <c r="I240" s="269"/>
      <c r="J240" s="267"/>
    </row>
    <row r="241" ht="15.75" customHeight="1">
      <c r="A241" s="268"/>
      <c r="B241" s="265"/>
      <c r="C241" s="265"/>
      <c r="D241" s="265"/>
      <c r="E241" s="265"/>
      <c r="F241" s="266" t="s">
        <v>33</v>
      </c>
      <c r="G241" s="267">
        <f t="shared" si="1"/>
        <v>0</v>
      </c>
      <c r="H241" s="265"/>
      <c r="I241" s="269"/>
      <c r="J241" s="267"/>
    </row>
    <row r="242" ht="15.75" customHeight="1">
      <c r="A242" s="268"/>
      <c r="B242" s="265"/>
      <c r="C242" s="265"/>
      <c r="D242" s="265"/>
      <c r="E242" s="265"/>
      <c r="F242" s="266" t="s">
        <v>33</v>
      </c>
      <c r="G242" s="267">
        <f t="shared" si="1"/>
        <v>0</v>
      </c>
      <c r="H242" s="265"/>
      <c r="I242" s="269"/>
      <c r="J242" s="267"/>
    </row>
    <row r="243" ht="15.75" customHeight="1">
      <c r="A243" s="268"/>
      <c r="B243" s="265"/>
      <c r="C243" s="265"/>
      <c r="D243" s="265"/>
      <c r="E243" s="265"/>
      <c r="F243" s="266" t="s">
        <v>33</v>
      </c>
      <c r="G243" s="267">
        <f t="shared" si="1"/>
        <v>0</v>
      </c>
      <c r="H243" s="265"/>
      <c r="I243" s="269"/>
      <c r="J243" s="267"/>
    </row>
    <row r="244" ht="15.75" customHeight="1">
      <c r="A244" s="268"/>
      <c r="B244" s="265"/>
      <c r="C244" s="265"/>
      <c r="D244" s="265"/>
      <c r="E244" s="265"/>
      <c r="F244" s="266" t="s">
        <v>33</v>
      </c>
      <c r="G244" s="267">
        <f t="shared" si="1"/>
        <v>0</v>
      </c>
      <c r="H244" s="265"/>
      <c r="I244" s="269"/>
      <c r="J244" s="267"/>
    </row>
    <row r="245" ht="15.75" customHeight="1">
      <c r="A245" s="268"/>
      <c r="B245" s="265"/>
      <c r="C245" s="265"/>
      <c r="D245" s="265"/>
      <c r="E245" s="265"/>
      <c r="F245" s="266" t="s">
        <v>33</v>
      </c>
      <c r="G245" s="267">
        <f t="shared" si="1"/>
        <v>0</v>
      </c>
      <c r="H245" s="265"/>
      <c r="I245" s="269"/>
      <c r="J245" s="267"/>
    </row>
    <row r="246" ht="15.75" customHeight="1">
      <c r="A246" s="268"/>
      <c r="B246" s="265"/>
      <c r="C246" s="265"/>
      <c r="D246" s="265"/>
      <c r="E246" s="265"/>
      <c r="F246" s="266" t="s">
        <v>33</v>
      </c>
      <c r="G246" s="267">
        <f t="shared" si="1"/>
        <v>0</v>
      </c>
      <c r="H246" s="265"/>
      <c r="I246" s="269"/>
      <c r="J246" s="267"/>
    </row>
    <row r="247" ht="15.75" customHeight="1">
      <c r="A247" s="268"/>
      <c r="B247" s="265"/>
      <c r="C247" s="265"/>
      <c r="D247" s="265"/>
      <c r="E247" s="265"/>
      <c r="F247" s="266" t="s">
        <v>33</v>
      </c>
      <c r="G247" s="267">
        <f t="shared" si="1"/>
        <v>0</v>
      </c>
      <c r="H247" s="265"/>
      <c r="I247" s="269"/>
      <c r="J247" s="267"/>
    </row>
    <row r="248" ht="15.75" customHeight="1">
      <c r="A248" s="268"/>
      <c r="B248" s="265"/>
      <c r="C248" s="265"/>
      <c r="D248" s="265"/>
      <c r="E248" s="265"/>
      <c r="F248" s="266" t="s">
        <v>33</v>
      </c>
      <c r="G248" s="267">
        <f t="shared" si="1"/>
        <v>0</v>
      </c>
      <c r="H248" s="265"/>
      <c r="I248" s="269"/>
      <c r="J248" s="267"/>
    </row>
    <row r="249" ht="15.75" customHeight="1">
      <c r="A249" s="268"/>
      <c r="B249" s="265"/>
      <c r="C249" s="265"/>
      <c r="D249" s="265"/>
      <c r="E249" s="265"/>
      <c r="F249" s="266" t="s">
        <v>33</v>
      </c>
      <c r="G249" s="267">
        <f t="shared" si="1"/>
        <v>0</v>
      </c>
      <c r="H249" s="265"/>
      <c r="I249" s="269"/>
      <c r="J249" s="267"/>
    </row>
    <row r="250" ht="15.75" customHeight="1">
      <c r="A250" s="268"/>
      <c r="B250" s="265"/>
      <c r="C250" s="265"/>
      <c r="D250" s="265"/>
      <c r="E250" s="265"/>
      <c r="F250" s="266" t="s">
        <v>33</v>
      </c>
      <c r="G250" s="267">
        <f t="shared" si="1"/>
        <v>0</v>
      </c>
      <c r="H250" s="265"/>
      <c r="I250" s="269"/>
      <c r="J250" s="267"/>
    </row>
    <row r="251" ht="15.75" customHeight="1">
      <c r="A251" s="268"/>
      <c r="B251" s="265"/>
      <c r="C251" s="265"/>
      <c r="D251" s="265"/>
      <c r="E251" s="265"/>
      <c r="F251" s="266" t="s">
        <v>33</v>
      </c>
      <c r="G251" s="267">
        <f t="shared" si="1"/>
        <v>0</v>
      </c>
      <c r="H251" s="265"/>
      <c r="I251" s="269"/>
      <c r="J251" s="267"/>
    </row>
    <row r="252" ht="15.75" customHeight="1">
      <c r="A252" s="268"/>
      <c r="B252" s="265"/>
      <c r="C252" s="265"/>
      <c r="D252" s="265"/>
      <c r="E252" s="265"/>
      <c r="F252" s="266" t="s">
        <v>33</v>
      </c>
      <c r="G252" s="267">
        <f t="shared" si="1"/>
        <v>0</v>
      </c>
      <c r="H252" s="265"/>
      <c r="I252" s="269"/>
      <c r="J252" s="267"/>
    </row>
    <row r="253" ht="15.75" customHeight="1">
      <c r="A253" s="268"/>
      <c r="B253" s="265"/>
      <c r="C253" s="265"/>
      <c r="D253" s="265"/>
      <c r="E253" s="265"/>
      <c r="F253" s="266" t="s">
        <v>33</v>
      </c>
      <c r="G253" s="267">
        <f t="shared" si="1"/>
        <v>0</v>
      </c>
      <c r="H253" s="265"/>
      <c r="I253" s="269"/>
      <c r="J253" s="267"/>
    </row>
    <row r="254" ht="15.75" customHeight="1">
      <c r="A254" s="268"/>
      <c r="B254" s="265"/>
      <c r="C254" s="265"/>
      <c r="D254" s="265"/>
      <c r="E254" s="265"/>
      <c r="F254" s="266" t="s">
        <v>33</v>
      </c>
      <c r="G254" s="267">
        <f t="shared" si="1"/>
        <v>0</v>
      </c>
      <c r="H254" s="265"/>
      <c r="I254" s="269"/>
      <c r="J254" s="267"/>
    </row>
    <row r="255" ht="15.75" customHeight="1">
      <c r="A255" s="268"/>
      <c r="B255" s="265"/>
      <c r="C255" s="265"/>
      <c r="D255" s="265"/>
      <c r="E255" s="265"/>
      <c r="F255" s="266" t="s">
        <v>33</v>
      </c>
      <c r="G255" s="267">
        <f t="shared" si="1"/>
        <v>0</v>
      </c>
      <c r="H255" s="265"/>
      <c r="I255" s="269"/>
      <c r="J255" s="267"/>
    </row>
    <row r="256" ht="15.75" customHeight="1">
      <c r="A256" s="268"/>
      <c r="B256" s="265"/>
      <c r="C256" s="265"/>
      <c r="D256" s="265"/>
      <c r="E256" s="265"/>
      <c r="F256" s="266" t="s">
        <v>33</v>
      </c>
      <c r="G256" s="267">
        <f t="shared" si="1"/>
        <v>0</v>
      </c>
      <c r="H256" s="265"/>
      <c r="I256" s="269"/>
      <c r="J256" s="267"/>
    </row>
    <row r="257" ht="15.75" customHeight="1">
      <c r="A257" s="268"/>
      <c r="B257" s="265"/>
      <c r="C257" s="265"/>
      <c r="D257" s="265"/>
      <c r="E257" s="265"/>
      <c r="F257" s="266" t="s">
        <v>33</v>
      </c>
      <c r="G257" s="267">
        <f t="shared" si="1"/>
        <v>0</v>
      </c>
      <c r="H257" s="265"/>
      <c r="I257" s="269"/>
      <c r="J257" s="267"/>
    </row>
    <row r="258" ht="15.75" customHeight="1">
      <c r="A258" s="268"/>
      <c r="B258" s="265"/>
      <c r="C258" s="265"/>
      <c r="D258" s="265"/>
      <c r="E258" s="265"/>
      <c r="F258" s="266" t="s">
        <v>33</v>
      </c>
      <c r="G258" s="267">
        <f t="shared" si="1"/>
        <v>0</v>
      </c>
      <c r="H258" s="265"/>
      <c r="I258" s="269"/>
      <c r="J258" s="267"/>
    </row>
    <row r="259" ht="15.75" customHeight="1">
      <c r="A259" s="268"/>
      <c r="B259" s="265"/>
      <c r="C259" s="265"/>
      <c r="D259" s="265"/>
      <c r="E259" s="265"/>
      <c r="F259" s="266" t="s">
        <v>33</v>
      </c>
      <c r="G259" s="267">
        <f t="shared" si="1"/>
        <v>0</v>
      </c>
      <c r="H259" s="265"/>
      <c r="I259" s="269"/>
      <c r="J259" s="267"/>
    </row>
    <row r="260" ht="15.75" customHeight="1">
      <c r="A260" s="268"/>
      <c r="B260" s="265"/>
      <c r="C260" s="265"/>
      <c r="D260" s="265"/>
      <c r="E260" s="265"/>
      <c r="F260" s="266" t="s">
        <v>33</v>
      </c>
      <c r="G260" s="267">
        <f t="shared" si="1"/>
        <v>0</v>
      </c>
      <c r="H260" s="265"/>
      <c r="I260" s="269"/>
      <c r="J260" s="267"/>
    </row>
    <row r="261" ht="15.75" customHeight="1">
      <c r="A261" s="268"/>
      <c r="B261" s="265"/>
      <c r="C261" s="265"/>
      <c r="D261" s="265"/>
      <c r="E261" s="265"/>
      <c r="F261" s="266" t="s">
        <v>33</v>
      </c>
      <c r="G261" s="267">
        <f t="shared" si="1"/>
        <v>0</v>
      </c>
      <c r="H261" s="265"/>
      <c r="I261" s="269"/>
      <c r="J261" s="267"/>
    </row>
    <row r="262" ht="15.75" customHeight="1">
      <c r="A262" s="268"/>
      <c r="B262" s="265"/>
      <c r="C262" s="265"/>
      <c r="D262" s="265"/>
      <c r="E262" s="265"/>
      <c r="F262" s="266" t="s">
        <v>33</v>
      </c>
      <c r="G262" s="267">
        <f t="shared" si="1"/>
        <v>0</v>
      </c>
      <c r="H262" s="265"/>
      <c r="I262" s="269"/>
      <c r="J262" s="267"/>
    </row>
    <row r="263" ht="15.75" customHeight="1">
      <c r="A263" s="268"/>
      <c r="B263" s="265"/>
      <c r="C263" s="265"/>
      <c r="D263" s="265"/>
      <c r="E263" s="265"/>
      <c r="F263" s="266" t="s">
        <v>33</v>
      </c>
      <c r="G263" s="267">
        <f t="shared" si="1"/>
        <v>0</v>
      </c>
      <c r="H263" s="265"/>
      <c r="I263" s="269"/>
      <c r="J263" s="267"/>
    </row>
    <row r="264" ht="15.75" customHeight="1">
      <c r="A264" s="268"/>
      <c r="B264" s="265"/>
      <c r="C264" s="265"/>
      <c r="D264" s="265"/>
      <c r="E264" s="265"/>
      <c r="F264" s="266" t="s">
        <v>33</v>
      </c>
      <c r="G264" s="267">
        <f t="shared" si="1"/>
        <v>0</v>
      </c>
      <c r="H264" s="265"/>
      <c r="I264" s="269"/>
      <c r="J264" s="267"/>
    </row>
    <row r="265" ht="15.75" customHeight="1">
      <c r="A265" s="268"/>
      <c r="B265" s="265"/>
      <c r="C265" s="265"/>
      <c r="D265" s="265"/>
      <c r="E265" s="265"/>
      <c r="F265" s="266" t="s">
        <v>33</v>
      </c>
      <c r="G265" s="267">
        <f t="shared" si="1"/>
        <v>0</v>
      </c>
      <c r="H265" s="265"/>
      <c r="I265" s="269"/>
      <c r="J265" s="267"/>
    </row>
    <row r="266" ht="15.75" customHeight="1">
      <c r="A266" s="268"/>
      <c r="B266" s="265"/>
      <c r="C266" s="265"/>
      <c r="D266" s="265"/>
      <c r="E266" s="265"/>
      <c r="F266" s="266" t="s">
        <v>33</v>
      </c>
      <c r="G266" s="267">
        <f t="shared" si="1"/>
        <v>0</v>
      </c>
      <c r="H266" s="265"/>
      <c r="I266" s="269"/>
      <c r="J266" s="267"/>
    </row>
    <row r="267" ht="15.75" customHeight="1">
      <c r="A267" s="268"/>
      <c r="B267" s="265"/>
      <c r="C267" s="265"/>
      <c r="D267" s="265"/>
      <c r="E267" s="265"/>
      <c r="F267" s="266" t="s">
        <v>33</v>
      </c>
      <c r="G267" s="267">
        <f t="shared" si="1"/>
        <v>0</v>
      </c>
      <c r="H267" s="265"/>
      <c r="I267" s="269"/>
      <c r="J267" s="267"/>
    </row>
    <row r="268" ht="15.75" customHeight="1">
      <c r="A268" s="268"/>
      <c r="B268" s="265"/>
      <c r="C268" s="265"/>
      <c r="D268" s="265"/>
      <c r="E268" s="265"/>
      <c r="F268" s="266" t="s">
        <v>33</v>
      </c>
      <c r="G268" s="267">
        <f t="shared" si="1"/>
        <v>0</v>
      </c>
      <c r="H268" s="265"/>
      <c r="I268" s="269"/>
      <c r="J268" s="267"/>
    </row>
    <row r="269" ht="15.75" customHeight="1">
      <c r="A269" s="268"/>
      <c r="B269" s="265"/>
      <c r="C269" s="265"/>
      <c r="D269" s="265"/>
      <c r="E269" s="265"/>
      <c r="F269" s="266" t="s">
        <v>33</v>
      </c>
      <c r="G269" s="267">
        <f t="shared" si="1"/>
        <v>0</v>
      </c>
      <c r="H269" s="265"/>
      <c r="I269" s="269"/>
      <c r="J269" s="267"/>
    </row>
    <row r="270" ht="15.75" customHeight="1">
      <c r="A270" s="268"/>
      <c r="B270" s="265"/>
      <c r="C270" s="265"/>
      <c r="D270" s="265"/>
      <c r="E270" s="265"/>
      <c r="F270" s="266" t="s">
        <v>33</v>
      </c>
      <c r="G270" s="267">
        <f t="shared" si="1"/>
        <v>0</v>
      </c>
      <c r="H270" s="265"/>
      <c r="I270" s="269"/>
      <c r="J270" s="267"/>
    </row>
    <row r="271" ht="15.75" customHeight="1">
      <c r="A271" s="268"/>
      <c r="B271" s="265"/>
      <c r="C271" s="265"/>
      <c r="D271" s="265"/>
      <c r="E271" s="265"/>
      <c r="F271" s="266" t="s">
        <v>33</v>
      </c>
      <c r="G271" s="267">
        <f t="shared" si="1"/>
        <v>0</v>
      </c>
      <c r="H271" s="265"/>
      <c r="I271" s="269"/>
      <c r="J271" s="267"/>
    </row>
    <row r="272" ht="15.75" customHeight="1">
      <c r="A272" s="268"/>
      <c r="B272" s="265"/>
      <c r="C272" s="265"/>
      <c r="D272" s="265"/>
      <c r="E272" s="265"/>
      <c r="F272" s="266" t="s">
        <v>33</v>
      </c>
      <c r="G272" s="267">
        <f t="shared" si="1"/>
        <v>0</v>
      </c>
      <c r="H272" s="265"/>
      <c r="I272" s="269"/>
      <c r="J272" s="267"/>
    </row>
    <row r="273" ht="15.75" customHeight="1">
      <c r="A273" s="268"/>
      <c r="B273" s="265"/>
      <c r="C273" s="265"/>
      <c r="D273" s="265"/>
      <c r="E273" s="265"/>
      <c r="F273" s="266" t="s">
        <v>33</v>
      </c>
      <c r="G273" s="267">
        <f t="shared" si="1"/>
        <v>0</v>
      </c>
      <c r="H273" s="265"/>
      <c r="I273" s="269"/>
      <c r="J273" s="267"/>
    </row>
    <row r="274" ht="15.75" customHeight="1">
      <c r="A274" s="268"/>
      <c r="B274" s="265"/>
      <c r="C274" s="265"/>
      <c r="D274" s="265"/>
      <c r="E274" s="265"/>
      <c r="F274" s="266" t="s">
        <v>33</v>
      </c>
      <c r="G274" s="267">
        <f t="shared" si="1"/>
        <v>0</v>
      </c>
      <c r="H274" s="265"/>
      <c r="I274" s="269"/>
      <c r="J274" s="267"/>
    </row>
    <row r="275" ht="15.75" customHeight="1">
      <c r="A275" s="268"/>
      <c r="B275" s="265"/>
      <c r="C275" s="265"/>
      <c r="D275" s="265"/>
      <c r="E275" s="265"/>
      <c r="F275" s="266" t="s">
        <v>33</v>
      </c>
      <c r="G275" s="267">
        <f t="shared" si="1"/>
        <v>0</v>
      </c>
      <c r="H275" s="265"/>
      <c r="I275" s="269"/>
      <c r="J275" s="267"/>
    </row>
    <row r="276" ht="15.75" customHeight="1">
      <c r="A276" s="268"/>
      <c r="B276" s="265"/>
      <c r="C276" s="265"/>
      <c r="D276" s="265"/>
      <c r="E276" s="265"/>
      <c r="F276" s="266" t="s">
        <v>33</v>
      </c>
      <c r="G276" s="267">
        <f t="shared" si="1"/>
        <v>0</v>
      </c>
      <c r="H276" s="265"/>
      <c r="I276" s="269"/>
      <c r="J276" s="267"/>
    </row>
    <row r="277" ht="15.75" customHeight="1">
      <c r="A277" s="268"/>
      <c r="B277" s="265"/>
      <c r="C277" s="265"/>
      <c r="D277" s="265"/>
      <c r="E277" s="265"/>
      <c r="F277" s="266" t="s">
        <v>33</v>
      </c>
      <c r="G277" s="267">
        <f t="shared" si="1"/>
        <v>0</v>
      </c>
      <c r="H277" s="265"/>
      <c r="I277" s="269"/>
      <c r="J277" s="267"/>
    </row>
    <row r="278" ht="15.75" customHeight="1">
      <c r="A278" s="268"/>
      <c r="B278" s="265"/>
      <c r="C278" s="265"/>
      <c r="D278" s="265"/>
      <c r="E278" s="265"/>
      <c r="F278" s="266" t="s">
        <v>33</v>
      </c>
      <c r="G278" s="267">
        <f t="shared" si="1"/>
        <v>0</v>
      </c>
      <c r="H278" s="265"/>
      <c r="I278" s="269"/>
      <c r="J278" s="267"/>
    </row>
    <row r="279" ht="15.75" customHeight="1">
      <c r="A279" s="268"/>
      <c r="B279" s="265"/>
      <c r="C279" s="265"/>
      <c r="D279" s="265"/>
      <c r="E279" s="265"/>
      <c r="F279" s="266" t="s">
        <v>33</v>
      </c>
      <c r="G279" s="267">
        <f t="shared" si="1"/>
        <v>0</v>
      </c>
      <c r="H279" s="265"/>
      <c r="I279" s="269"/>
      <c r="J279" s="267"/>
    </row>
    <row r="280" ht="15.75" customHeight="1">
      <c r="A280" s="268"/>
      <c r="B280" s="265"/>
      <c r="C280" s="265"/>
      <c r="D280" s="265"/>
      <c r="E280" s="265"/>
      <c r="F280" s="266" t="s">
        <v>33</v>
      </c>
      <c r="G280" s="267">
        <f t="shared" si="1"/>
        <v>0</v>
      </c>
      <c r="H280" s="265"/>
      <c r="I280" s="269"/>
      <c r="J280" s="267"/>
    </row>
    <row r="281" ht="15.75" customHeight="1">
      <c r="A281" s="268"/>
      <c r="B281" s="265"/>
      <c r="C281" s="265"/>
      <c r="D281" s="265"/>
      <c r="E281" s="265"/>
      <c r="F281" s="266" t="s">
        <v>33</v>
      </c>
      <c r="G281" s="267">
        <f t="shared" si="1"/>
        <v>0</v>
      </c>
      <c r="H281" s="265"/>
      <c r="I281" s="269"/>
      <c r="J281" s="267"/>
    </row>
    <row r="282" ht="15.75" customHeight="1">
      <c r="A282" s="268"/>
      <c r="B282" s="265"/>
      <c r="C282" s="265"/>
      <c r="D282" s="265"/>
      <c r="E282" s="265"/>
      <c r="F282" s="266" t="s">
        <v>33</v>
      </c>
      <c r="G282" s="267">
        <f t="shared" si="1"/>
        <v>0</v>
      </c>
      <c r="H282" s="265"/>
      <c r="I282" s="269"/>
      <c r="J282" s="267"/>
    </row>
    <row r="283" ht="15.75" customHeight="1">
      <c r="A283" s="268"/>
      <c r="B283" s="265"/>
      <c r="C283" s="265"/>
      <c r="D283" s="265"/>
      <c r="E283" s="265"/>
      <c r="F283" s="266" t="s">
        <v>33</v>
      </c>
      <c r="G283" s="267">
        <f t="shared" si="1"/>
        <v>0</v>
      </c>
      <c r="H283" s="265"/>
      <c r="I283" s="269"/>
      <c r="J283" s="267"/>
    </row>
    <row r="284" ht="15.75" customHeight="1">
      <c r="A284" s="268"/>
      <c r="B284" s="265"/>
      <c r="C284" s="265"/>
      <c r="D284" s="265"/>
      <c r="E284" s="265"/>
      <c r="F284" s="266" t="s">
        <v>33</v>
      </c>
      <c r="G284" s="267">
        <f t="shared" si="1"/>
        <v>0</v>
      </c>
      <c r="H284" s="265"/>
      <c r="I284" s="269"/>
      <c r="J284" s="267"/>
    </row>
    <row r="285" ht="15.75" customHeight="1">
      <c r="A285" s="268"/>
      <c r="B285" s="265"/>
      <c r="C285" s="265"/>
      <c r="D285" s="265"/>
      <c r="E285" s="265"/>
      <c r="F285" s="266" t="s">
        <v>33</v>
      </c>
      <c r="G285" s="267">
        <f t="shared" si="1"/>
        <v>0</v>
      </c>
      <c r="H285" s="265"/>
      <c r="I285" s="269"/>
      <c r="J285" s="267"/>
    </row>
    <row r="286" ht="15.75" customHeight="1">
      <c r="A286" s="268"/>
      <c r="B286" s="265"/>
      <c r="C286" s="265"/>
      <c r="D286" s="265"/>
      <c r="E286" s="265"/>
      <c r="F286" s="266" t="s">
        <v>33</v>
      </c>
      <c r="G286" s="267">
        <f t="shared" si="1"/>
        <v>0</v>
      </c>
      <c r="H286" s="265"/>
      <c r="I286" s="269"/>
      <c r="J286" s="267"/>
    </row>
    <row r="287" ht="15.75" customHeight="1">
      <c r="A287" s="268"/>
      <c r="B287" s="265"/>
      <c r="C287" s="265"/>
      <c r="D287" s="265"/>
      <c r="E287" s="265"/>
      <c r="F287" s="266" t="s">
        <v>33</v>
      </c>
      <c r="G287" s="267">
        <f t="shared" si="1"/>
        <v>0</v>
      </c>
      <c r="H287" s="265"/>
      <c r="I287" s="269"/>
      <c r="J287" s="267"/>
    </row>
    <row r="288" ht="15.75" customHeight="1">
      <c r="A288" s="268"/>
      <c r="B288" s="265"/>
      <c r="C288" s="265"/>
      <c r="D288" s="265"/>
      <c r="E288" s="265"/>
      <c r="F288" s="266" t="s">
        <v>33</v>
      </c>
      <c r="G288" s="267">
        <f t="shared" si="1"/>
        <v>0</v>
      </c>
      <c r="H288" s="265"/>
      <c r="I288" s="269"/>
      <c r="J288" s="267"/>
    </row>
    <row r="289" ht="15.75" customHeight="1">
      <c r="A289" s="268"/>
      <c r="B289" s="265"/>
      <c r="C289" s="265"/>
      <c r="D289" s="265"/>
      <c r="E289" s="265"/>
      <c r="F289" s="266" t="s">
        <v>33</v>
      </c>
      <c r="G289" s="267">
        <f t="shared" si="1"/>
        <v>0</v>
      </c>
      <c r="H289" s="265"/>
      <c r="I289" s="269"/>
      <c r="J289" s="267"/>
    </row>
    <row r="290" ht="15.75" customHeight="1">
      <c r="A290" s="268"/>
      <c r="B290" s="265"/>
      <c r="C290" s="265"/>
      <c r="D290" s="265"/>
      <c r="E290" s="265"/>
      <c r="F290" s="266" t="s">
        <v>33</v>
      </c>
      <c r="G290" s="267">
        <f t="shared" si="1"/>
        <v>0</v>
      </c>
      <c r="H290" s="265"/>
      <c r="I290" s="269"/>
      <c r="J290" s="267"/>
    </row>
    <row r="291" ht="15.75" customHeight="1">
      <c r="A291" s="268"/>
      <c r="B291" s="265"/>
      <c r="C291" s="265"/>
      <c r="D291" s="265"/>
      <c r="E291" s="265"/>
      <c r="F291" s="266" t="s">
        <v>33</v>
      </c>
      <c r="G291" s="267">
        <f t="shared" si="1"/>
        <v>0</v>
      </c>
      <c r="H291" s="265"/>
      <c r="I291" s="269"/>
      <c r="J291" s="267"/>
    </row>
    <row r="292" ht="15.75" customHeight="1">
      <c r="A292" s="268"/>
      <c r="B292" s="265"/>
      <c r="C292" s="265"/>
      <c r="D292" s="265"/>
      <c r="E292" s="265"/>
      <c r="F292" s="266" t="s">
        <v>33</v>
      </c>
      <c r="G292" s="267">
        <f t="shared" si="1"/>
        <v>0</v>
      </c>
      <c r="H292" s="265"/>
      <c r="I292" s="269"/>
      <c r="J292" s="267"/>
    </row>
    <row r="293" ht="15.75" customHeight="1">
      <c r="A293" s="268"/>
      <c r="B293" s="265"/>
      <c r="C293" s="265"/>
      <c r="D293" s="265"/>
      <c r="E293" s="265"/>
      <c r="F293" s="266" t="s">
        <v>33</v>
      </c>
      <c r="G293" s="267">
        <f t="shared" si="1"/>
        <v>0</v>
      </c>
      <c r="H293" s="265"/>
      <c r="I293" s="269"/>
      <c r="J293" s="267"/>
    </row>
    <row r="294" ht="15.75" customHeight="1">
      <c r="A294" s="268"/>
      <c r="B294" s="265"/>
      <c r="C294" s="265"/>
      <c r="D294" s="265"/>
      <c r="E294" s="265"/>
      <c r="F294" s="266" t="s">
        <v>33</v>
      </c>
      <c r="G294" s="267">
        <f t="shared" si="1"/>
        <v>0</v>
      </c>
      <c r="H294" s="265"/>
      <c r="I294" s="269"/>
      <c r="J294" s="267"/>
    </row>
    <row r="295" ht="15.75" customHeight="1">
      <c r="A295" s="268"/>
      <c r="B295" s="265"/>
      <c r="C295" s="265"/>
      <c r="D295" s="265"/>
      <c r="E295" s="265"/>
      <c r="F295" s="266" t="s">
        <v>33</v>
      </c>
      <c r="G295" s="267">
        <f t="shared" si="1"/>
        <v>0</v>
      </c>
      <c r="H295" s="265"/>
      <c r="I295" s="269"/>
      <c r="J295" s="267"/>
    </row>
    <row r="296" ht="15.75" customHeight="1">
      <c r="A296" s="268"/>
      <c r="B296" s="265"/>
      <c r="C296" s="265"/>
      <c r="D296" s="265"/>
      <c r="E296" s="265"/>
      <c r="F296" s="266" t="s">
        <v>33</v>
      </c>
      <c r="G296" s="267">
        <f t="shared" si="1"/>
        <v>0</v>
      </c>
      <c r="H296" s="265"/>
      <c r="I296" s="269"/>
      <c r="J296" s="267"/>
    </row>
    <row r="297" ht="15.75" customHeight="1">
      <c r="A297" s="268"/>
      <c r="B297" s="265"/>
      <c r="C297" s="265"/>
      <c r="D297" s="265"/>
      <c r="E297" s="265"/>
      <c r="F297" s="266" t="s">
        <v>33</v>
      </c>
      <c r="G297" s="267">
        <f t="shared" si="1"/>
        <v>0</v>
      </c>
      <c r="H297" s="265"/>
      <c r="I297" s="269"/>
      <c r="J297" s="267"/>
    </row>
    <row r="298" ht="15.75" customHeight="1">
      <c r="A298" s="268"/>
      <c r="B298" s="265"/>
      <c r="C298" s="265"/>
      <c r="D298" s="265"/>
      <c r="E298" s="265"/>
      <c r="F298" s="266" t="s">
        <v>33</v>
      </c>
      <c r="G298" s="267">
        <f t="shared" si="1"/>
        <v>0</v>
      </c>
      <c r="H298" s="265"/>
      <c r="I298" s="269"/>
      <c r="J298" s="267"/>
    </row>
    <row r="299" ht="15.75" customHeight="1">
      <c r="A299" s="268"/>
      <c r="B299" s="265"/>
      <c r="C299" s="265"/>
      <c r="D299" s="265"/>
      <c r="E299" s="265"/>
      <c r="F299" s="266" t="s">
        <v>33</v>
      </c>
      <c r="G299" s="267">
        <f t="shared" si="1"/>
        <v>0</v>
      </c>
      <c r="H299" s="265"/>
      <c r="I299" s="269"/>
      <c r="J299" s="267"/>
    </row>
    <row r="300" ht="15.75" customHeight="1">
      <c r="A300" s="268"/>
      <c r="B300" s="265"/>
      <c r="C300" s="265"/>
      <c r="D300" s="265"/>
      <c r="E300" s="265"/>
      <c r="F300" s="266" t="s">
        <v>33</v>
      </c>
      <c r="G300" s="267">
        <f t="shared" si="1"/>
        <v>0</v>
      </c>
      <c r="H300" s="265"/>
      <c r="I300" s="269"/>
      <c r="J300" s="267"/>
    </row>
    <row r="301" ht="15.75" customHeight="1">
      <c r="A301" s="268"/>
      <c r="B301" s="265"/>
      <c r="C301" s="265"/>
      <c r="D301" s="265"/>
      <c r="E301" s="265"/>
      <c r="F301" s="266" t="s">
        <v>33</v>
      </c>
      <c r="G301" s="267">
        <f t="shared" si="1"/>
        <v>0</v>
      </c>
      <c r="H301" s="265"/>
      <c r="I301" s="269"/>
      <c r="J301" s="267"/>
    </row>
    <row r="302" ht="15.75" customHeight="1">
      <c r="A302" s="268"/>
      <c r="B302" s="265"/>
      <c r="C302" s="265"/>
      <c r="D302" s="265"/>
      <c r="E302" s="265"/>
      <c r="F302" s="266" t="s">
        <v>33</v>
      </c>
      <c r="G302" s="267">
        <f t="shared" si="1"/>
        <v>0</v>
      </c>
      <c r="H302" s="265"/>
      <c r="I302" s="269"/>
      <c r="J302" s="267"/>
    </row>
    <row r="303" ht="15.75" customHeight="1">
      <c r="A303" s="268"/>
      <c r="B303" s="265"/>
      <c r="C303" s="265"/>
      <c r="D303" s="265"/>
      <c r="E303" s="265"/>
      <c r="F303" s="266" t="s">
        <v>33</v>
      </c>
      <c r="G303" s="267">
        <f t="shared" si="1"/>
        <v>0</v>
      </c>
      <c r="H303" s="265"/>
      <c r="I303" s="269"/>
      <c r="J303" s="267"/>
    </row>
    <row r="304" ht="15.75" customHeight="1">
      <c r="A304" s="268"/>
      <c r="B304" s="265"/>
      <c r="C304" s="265"/>
      <c r="D304" s="265"/>
      <c r="E304" s="265"/>
      <c r="F304" s="266" t="s">
        <v>33</v>
      </c>
      <c r="G304" s="267">
        <f t="shared" si="1"/>
        <v>0</v>
      </c>
      <c r="H304" s="265"/>
      <c r="I304" s="269"/>
      <c r="J304" s="267"/>
    </row>
    <row r="305" ht="15.75" customHeight="1">
      <c r="A305" s="268"/>
      <c r="B305" s="265"/>
      <c r="C305" s="265"/>
      <c r="D305" s="265"/>
      <c r="E305" s="265"/>
      <c r="F305" s="266" t="s">
        <v>33</v>
      </c>
      <c r="G305" s="267">
        <f t="shared" si="1"/>
        <v>0</v>
      </c>
      <c r="H305" s="265"/>
      <c r="I305" s="269"/>
      <c r="J305" s="267"/>
    </row>
    <row r="306" ht="15.75" customHeight="1">
      <c r="A306" s="268"/>
      <c r="B306" s="265"/>
      <c r="C306" s="265"/>
      <c r="D306" s="265"/>
      <c r="E306" s="265"/>
      <c r="F306" s="266" t="s">
        <v>33</v>
      </c>
      <c r="G306" s="267">
        <f t="shared" si="1"/>
        <v>0</v>
      </c>
      <c r="H306" s="265"/>
      <c r="I306" s="269"/>
      <c r="J306" s="267"/>
    </row>
    <row r="307" ht="15.75" customHeight="1">
      <c r="A307" s="268"/>
      <c r="B307" s="265"/>
      <c r="C307" s="265"/>
      <c r="D307" s="265"/>
      <c r="E307" s="265"/>
      <c r="F307" s="266" t="s">
        <v>33</v>
      </c>
      <c r="G307" s="267">
        <f t="shared" si="1"/>
        <v>0</v>
      </c>
      <c r="H307" s="265"/>
      <c r="I307" s="269"/>
      <c r="J307" s="267"/>
    </row>
    <row r="308" ht="15.75" customHeight="1">
      <c r="A308" s="268"/>
      <c r="B308" s="265"/>
      <c r="C308" s="265"/>
      <c r="D308" s="265"/>
      <c r="E308" s="265"/>
      <c r="F308" s="266" t="s">
        <v>33</v>
      </c>
      <c r="G308" s="267">
        <f t="shared" si="1"/>
        <v>0</v>
      </c>
      <c r="H308" s="265"/>
      <c r="I308" s="269"/>
      <c r="J308" s="267"/>
    </row>
    <row r="309" ht="15.75" customHeight="1">
      <c r="A309" s="268"/>
      <c r="B309" s="265"/>
      <c r="C309" s="265"/>
      <c r="D309" s="265"/>
      <c r="E309" s="265"/>
      <c r="F309" s="266" t="s">
        <v>33</v>
      </c>
      <c r="G309" s="267">
        <f t="shared" si="1"/>
        <v>0</v>
      </c>
      <c r="H309" s="265"/>
      <c r="I309" s="269"/>
      <c r="J309" s="267"/>
    </row>
    <row r="310" ht="15.75" customHeight="1">
      <c r="A310" s="268"/>
      <c r="B310" s="265"/>
      <c r="C310" s="265"/>
      <c r="D310" s="265"/>
      <c r="E310" s="265"/>
      <c r="F310" s="266" t="s">
        <v>33</v>
      </c>
      <c r="G310" s="267">
        <f t="shared" si="1"/>
        <v>0</v>
      </c>
      <c r="H310" s="265"/>
      <c r="I310" s="269"/>
      <c r="J310" s="267"/>
    </row>
    <row r="311" ht="15.75" customHeight="1">
      <c r="A311" s="268"/>
      <c r="B311" s="265"/>
      <c r="C311" s="265"/>
      <c r="D311" s="265"/>
      <c r="E311" s="265"/>
      <c r="F311" s="266" t="s">
        <v>33</v>
      </c>
      <c r="G311" s="267">
        <f t="shared" si="1"/>
        <v>0</v>
      </c>
      <c r="H311" s="265"/>
      <c r="I311" s="269"/>
      <c r="J311" s="267"/>
    </row>
    <row r="312" ht="15.75" customHeight="1">
      <c r="A312" s="268"/>
      <c r="B312" s="265"/>
      <c r="C312" s="265"/>
      <c r="D312" s="265"/>
      <c r="E312" s="265"/>
      <c r="F312" s="266" t="s">
        <v>33</v>
      </c>
      <c r="G312" s="267">
        <f t="shared" si="1"/>
        <v>0</v>
      </c>
      <c r="H312" s="265"/>
      <c r="I312" s="269"/>
      <c r="J312" s="267"/>
    </row>
    <row r="313" ht="15.75" customHeight="1">
      <c r="A313" s="268"/>
      <c r="B313" s="265"/>
      <c r="C313" s="265"/>
      <c r="D313" s="265"/>
      <c r="E313" s="265"/>
      <c r="F313" s="266" t="s">
        <v>33</v>
      </c>
      <c r="G313" s="267">
        <f t="shared" si="1"/>
        <v>0</v>
      </c>
      <c r="H313" s="265"/>
      <c r="I313" s="269"/>
      <c r="J313" s="267"/>
    </row>
    <row r="314" ht="15.75" customHeight="1">
      <c r="A314" s="268"/>
      <c r="B314" s="265"/>
      <c r="C314" s="265"/>
      <c r="D314" s="265"/>
      <c r="E314" s="265"/>
      <c r="F314" s="266" t="s">
        <v>33</v>
      </c>
      <c r="G314" s="267">
        <f t="shared" si="1"/>
        <v>0</v>
      </c>
      <c r="H314" s="265"/>
      <c r="I314" s="269"/>
      <c r="J314" s="267"/>
    </row>
    <row r="315" ht="15.75" customHeight="1">
      <c r="A315" s="268"/>
      <c r="B315" s="265"/>
      <c r="C315" s="265"/>
      <c r="D315" s="265"/>
      <c r="E315" s="265"/>
      <c r="F315" s="266" t="s">
        <v>33</v>
      </c>
      <c r="G315" s="267">
        <f t="shared" si="1"/>
        <v>0</v>
      </c>
      <c r="H315" s="265"/>
      <c r="I315" s="269"/>
      <c r="J315" s="267"/>
    </row>
    <row r="316" ht="15.75" customHeight="1">
      <c r="A316" s="268"/>
      <c r="B316" s="265"/>
      <c r="C316" s="265"/>
      <c r="D316" s="265"/>
      <c r="E316" s="265"/>
      <c r="F316" s="266" t="s">
        <v>33</v>
      </c>
      <c r="G316" s="267">
        <f t="shared" si="1"/>
        <v>0</v>
      </c>
      <c r="H316" s="265"/>
      <c r="I316" s="269"/>
      <c r="J316" s="267"/>
    </row>
    <row r="317" ht="15.75" customHeight="1">
      <c r="A317" s="268"/>
      <c r="B317" s="265"/>
      <c r="C317" s="265"/>
      <c r="D317" s="265"/>
      <c r="E317" s="265"/>
      <c r="F317" s="266" t="s">
        <v>33</v>
      </c>
      <c r="G317" s="267">
        <f t="shared" si="1"/>
        <v>0</v>
      </c>
      <c r="H317" s="265"/>
      <c r="I317" s="269"/>
      <c r="J317" s="267"/>
    </row>
    <row r="318" ht="15.75" customHeight="1">
      <c r="A318" s="268"/>
      <c r="B318" s="265"/>
      <c r="C318" s="265"/>
      <c r="D318" s="265"/>
      <c r="E318" s="265"/>
      <c r="F318" s="266" t="s">
        <v>33</v>
      </c>
      <c r="G318" s="267">
        <f t="shared" si="1"/>
        <v>0</v>
      </c>
      <c r="H318" s="265"/>
      <c r="I318" s="269"/>
      <c r="J318" s="267"/>
    </row>
    <row r="319" ht="15.75" customHeight="1">
      <c r="A319" s="268"/>
      <c r="B319" s="265"/>
      <c r="C319" s="265"/>
      <c r="D319" s="265"/>
      <c r="E319" s="265"/>
      <c r="F319" s="266" t="s">
        <v>33</v>
      </c>
      <c r="G319" s="267">
        <f t="shared" si="1"/>
        <v>0</v>
      </c>
      <c r="H319" s="265"/>
      <c r="I319" s="269"/>
      <c r="J319" s="267"/>
    </row>
    <row r="320" ht="15.75" customHeight="1">
      <c r="A320" s="268"/>
      <c r="B320" s="265"/>
      <c r="C320" s="265"/>
      <c r="D320" s="265"/>
      <c r="E320" s="265"/>
      <c r="F320" s="266" t="s">
        <v>33</v>
      </c>
      <c r="G320" s="267">
        <f t="shared" si="1"/>
        <v>0</v>
      </c>
      <c r="H320" s="265"/>
      <c r="I320" s="269"/>
      <c r="J320" s="267"/>
    </row>
    <row r="321" ht="15.75" customHeight="1">
      <c r="A321" s="268"/>
      <c r="B321" s="265"/>
      <c r="C321" s="265"/>
      <c r="D321" s="265"/>
      <c r="E321" s="265"/>
      <c r="F321" s="266" t="s">
        <v>33</v>
      </c>
      <c r="G321" s="267">
        <f t="shared" si="1"/>
        <v>0</v>
      </c>
      <c r="H321" s="265"/>
      <c r="I321" s="269"/>
      <c r="J321" s="267"/>
    </row>
    <row r="322" ht="15.75" customHeight="1">
      <c r="A322" s="268"/>
      <c r="B322" s="265"/>
      <c r="C322" s="265"/>
      <c r="D322" s="265"/>
      <c r="E322" s="265"/>
      <c r="F322" s="266" t="s">
        <v>33</v>
      </c>
      <c r="G322" s="267">
        <f t="shared" si="1"/>
        <v>0</v>
      </c>
      <c r="H322" s="265"/>
      <c r="I322" s="269"/>
      <c r="J322" s="267"/>
    </row>
    <row r="323" ht="15.75" customHeight="1">
      <c r="A323" s="268"/>
      <c r="B323" s="265"/>
      <c r="C323" s="265"/>
      <c r="D323" s="265"/>
      <c r="E323" s="265"/>
      <c r="F323" s="266" t="s">
        <v>33</v>
      </c>
      <c r="G323" s="267">
        <f t="shared" si="1"/>
        <v>0</v>
      </c>
      <c r="H323" s="265"/>
      <c r="I323" s="269"/>
      <c r="J323" s="267"/>
    </row>
    <row r="324" ht="15.75" customHeight="1">
      <c r="A324" s="268"/>
      <c r="B324" s="265"/>
      <c r="C324" s="265"/>
      <c r="D324" s="265"/>
      <c r="E324" s="265"/>
      <c r="F324" s="266" t="s">
        <v>33</v>
      </c>
      <c r="G324" s="267">
        <f t="shared" si="1"/>
        <v>0</v>
      </c>
      <c r="H324" s="265"/>
      <c r="I324" s="269"/>
      <c r="J324" s="267"/>
    </row>
    <row r="325" ht="15.75" customHeight="1">
      <c r="A325" s="268"/>
      <c r="B325" s="265"/>
      <c r="C325" s="265"/>
      <c r="D325" s="265"/>
      <c r="E325" s="265"/>
      <c r="F325" s="266" t="s">
        <v>33</v>
      </c>
      <c r="G325" s="267">
        <f t="shared" si="1"/>
        <v>0</v>
      </c>
      <c r="H325" s="265"/>
      <c r="I325" s="269"/>
      <c r="J325" s="267"/>
    </row>
    <row r="326" ht="15.75" customHeight="1">
      <c r="A326" s="268"/>
      <c r="B326" s="265"/>
      <c r="C326" s="265"/>
      <c r="D326" s="265"/>
      <c r="E326" s="265"/>
      <c r="F326" s="266" t="s">
        <v>33</v>
      </c>
      <c r="G326" s="267">
        <f t="shared" si="1"/>
        <v>0</v>
      </c>
      <c r="H326" s="265"/>
      <c r="I326" s="269"/>
      <c r="J326" s="267"/>
    </row>
    <row r="327" ht="15.75" customHeight="1">
      <c r="A327" s="268"/>
      <c r="B327" s="265"/>
      <c r="C327" s="265"/>
      <c r="D327" s="265"/>
      <c r="E327" s="265"/>
      <c r="F327" s="266" t="s">
        <v>33</v>
      </c>
      <c r="G327" s="267">
        <f t="shared" si="1"/>
        <v>0</v>
      </c>
      <c r="H327" s="265"/>
      <c r="I327" s="269"/>
      <c r="J327" s="267"/>
    </row>
    <row r="328" ht="15.75" customHeight="1">
      <c r="A328" s="268"/>
      <c r="B328" s="265"/>
      <c r="C328" s="265"/>
      <c r="D328" s="265"/>
      <c r="E328" s="265"/>
      <c r="F328" s="266" t="s">
        <v>33</v>
      </c>
      <c r="G328" s="267">
        <f t="shared" si="1"/>
        <v>0</v>
      </c>
      <c r="H328" s="265"/>
      <c r="I328" s="269"/>
      <c r="J328" s="267"/>
    </row>
    <row r="329" ht="15.75" customHeight="1">
      <c r="A329" s="268"/>
      <c r="B329" s="265"/>
      <c r="C329" s="265"/>
      <c r="D329" s="265"/>
      <c r="E329" s="265"/>
      <c r="F329" s="266" t="s">
        <v>33</v>
      </c>
      <c r="G329" s="267">
        <f t="shared" si="1"/>
        <v>0</v>
      </c>
      <c r="H329" s="265"/>
      <c r="I329" s="269"/>
      <c r="J329" s="267"/>
    </row>
    <row r="330" ht="15.75" customHeight="1">
      <c r="A330" s="268"/>
      <c r="B330" s="265"/>
      <c r="C330" s="265"/>
      <c r="D330" s="265"/>
      <c r="E330" s="265"/>
      <c r="F330" s="266" t="s">
        <v>33</v>
      </c>
      <c r="G330" s="267">
        <f t="shared" si="1"/>
        <v>0</v>
      </c>
      <c r="H330" s="265"/>
      <c r="I330" s="269"/>
      <c r="J330" s="267"/>
    </row>
    <row r="331" ht="15.75" customHeight="1">
      <c r="A331" s="268"/>
      <c r="B331" s="265"/>
      <c r="C331" s="265"/>
      <c r="D331" s="265"/>
      <c r="E331" s="265"/>
      <c r="F331" s="266" t="s">
        <v>33</v>
      </c>
      <c r="G331" s="267">
        <f t="shared" si="1"/>
        <v>0</v>
      </c>
      <c r="H331" s="265"/>
      <c r="I331" s="269"/>
      <c r="J331" s="267"/>
    </row>
    <row r="332" ht="15.75" customHeight="1">
      <c r="A332" s="268"/>
      <c r="B332" s="265"/>
      <c r="C332" s="265"/>
      <c r="D332" s="265"/>
      <c r="E332" s="265"/>
      <c r="F332" s="266" t="s">
        <v>33</v>
      </c>
      <c r="G332" s="267">
        <f t="shared" si="1"/>
        <v>0</v>
      </c>
      <c r="H332" s="265"/>
      <c r="I332" s="269"/>
      <c r="J332" s="267"/>
    </row>
    <row r="333" ht="15.75" customHeight="1">
      <c r="A333" s="268"/>
      <c r="B333" s="265"/>
      <c r="C333" s="265"/>
      <c r="D333" s="265"/>
      <c r="E333" s="265"/>
      <c r="F333" s="266" t="s">
        <v>33</v>
      </c>
      <c r="G333" s="267">
        <f t="shared" si="1"/>
        <v>0</v>
      </c>
      <c r="H333" s="265"/>
      <c r="I333" s="269"/>
      <c r="J333" s="267"/>
    </row>
    <row r="334" ht="15.75" customHeight="1">
      <c r="A334" s="268"/>
      <c r="B334" s="265"/>
      <c r="C334" s="265"/>
      <c r="D334" s="265"/>
      <c r="E334" s="265"/>
      <c r="F334" s="266" t="s">
        <v>33</v>
      </c>
      <c r="G334" s="267">
        <f t="shared" si="1"/>
        <v>0</v>
      </c>
      <c r="H334" s="265"/>
      <c r="I334" s="269"/>
      <c r="J334" s="267"/>
    </row>
    <row r="335" ht="15.75" customHeight="1">
      <c r="A335" s="268"/>
      <c r="B335" s="265"/>
      <c r="C335" s="265"/>
      <c r="D335" s="265"/>
      <c r="E335" s="265"/>
      <c r="F335" s="266" t="s">
        <v>33</v>
      </c>
      <c r="G335" s="267">
        <f t="shared" si="1"/>
        <v>0</v>
      </c>
      <c r="H335" s="265"/>
      <c r="I335" s="269"/>
      <c r="J335" s="267"/>
    </row>
    <row r="336" ht="15.75" customHeight="1">
      <c r="A336" s="268"/>
      <c r="B336" s="265"/>
      <c r="C336" s="265"/>
      <c r="D336" s="265"/>
      <c r="E336" s="265"/>
      <c r="F336" s="266" t="s">
        <v>33</v>
      </c>
      <c r="G336" s="267">
        <f t="shared" si="1"/>
        <v>0</v>
      </c>
      <c r="H336" s="265"/>
      <c r="I336" s="269"/>
      <c r="J336" s="267"/>
    </row>
    <row r="337" ht="15.75" customHeight="1">
      <c r="A337" s="268"/>
      <c r="B337" s="265"/>
      <c r="C337" s="265"/>
      <c r="D337" s="265"/>
      <c r="E337" s="265"/>
      <c r="F337" s="266" t="s">
        <v>33</v>
      </c>
      <c r="G337" s="267">
        <f t="shared" si="1"/>
        <v>0</v>
      </c>
      <c r="H337" s="265"/>
      <c r="I337" s="269"/>
      <c r="J337" s="267"/>
    </row>
    <row r="338" ht="15.75" customHeight="1">
      <c r="A338" s="268"/>
      <c r="B338" s="265"/>
      <c r="C338" s="265"/>
      <c r="D338" s="265"/>
      <c r="E338" s="265"/>
      <c r="F338" s="266" t="s">
        <v>33</v>
      </c>
      <c r="G338" s="267">
        <f t="shared" si="1"/>
        <v>0</v>
      </c>
      <c r="H338" s="265"/>
      <c r="I338" s="269"/>
      <c r="J338" s="267"/>
    </row>
    <row r="339" ht="15.75" customHeight="1">
      <c r="A339" s="268"/>
      <c r="B339" s="265"/>
      <c r="C339" s="265"/>
      <c r="D339" s="265"/>
      <c r="E339" s="265"/>
      <c r="F339" s="266" t="s">
        <v>33</v>
      </c>
      <c r="G339" s="267">
        <f t="shared" si="1"/>
        <v>0</v>
      </c>
      <c r="H339" s="265"/>
      <c r="I339" s="269"/>
      <c r="J339" s="267"/>
    </row>
    <row r="340" ht="15.75" customHeight="1">
      <c r="A340" s="268"/>
      <c r="B340" s="265"/>
      <c r="C340" s="265"/>
      <c r="D340" s="265"/>
      <c r="E340" s="265"/>
      <c r="F340" s="266" t="s">
        <v>33</v>
      </c>
      <c r="G340" s="267">
        <f t="shared" si="1"/>
        <v>0</v>
      </c>
      <c r="H340" s="265"/>
      <c r="I340" s="269"/>
      <c r="J340" s="267"/>
    </row>
    <row r="341" ht="15.75" customHeight="1">
      <c r="A341" s="268"/>
      <c r="B341" s="265"/>
      <c r="C341" s="265"/>
      <c r="D341" s="265"/>
      <c r="E341" s="265"/>
      <c r="F341" s="266" t="s">
        <v>33</v>
      </c>
      <c r="G341" s="267">
        <f t="shared" si="1"/>
        <v>0</v>
      </c>
      <c r="H341" s="265"/>
      <c r="I341" s="269"/>
      <c r="J341" s="267"/>
    </row>
    <row r="342" ht="15.75" customHeight="1">
      <c r="A342" s="268"/>
      <c r="B342" s="265"/>
      <c r="C342" s="265"/>
      <c r="D342" s="265"/>
      <c r="E342" s="265"/>
      <c r="F342" s="266" t="s">
        <v>33</v>
      </c>
      <c r="G342" s="267">
        <f t="shared" si="1"/>
        <v>0</v>
      </c>
      <c r="H342" s="265"/>
      <c r="I342" s="269"/>
      <c r="J342" s="267"/>
    </row>
    <row r="343" ht="15.75" customHeight="1">
      <c r="A343" s="268"/>
      <c r="B343" s="265"/>
      <c r="C343" s="265"/>
      <c r="D343" s="265"/>
      <c r="E343" s="265"/>
      <c r="F343" s="266" t="s">
        <v>33</v>
      </c>
      <c r="G343" s="267">
        <f t="shared" si="1"/>
        <v>0</v>
      </c>
      <c r="H343" s="265"/>
      <c r="I343" s="269"/>
      <c r="J343" s="267"/>
    </row>
    <row r="344" ht="15.75" customHeight="1">
      <c r="A344" s="268"/>
      <c r="B344" s="265"/>
      <c r="C344" s="265"/>
      <c r="D344" s="265"/>
      <c r="E344" s="265"/>
      <c r="F344" s="266" t="s">
        <v>33</v>
      </c>
      <c r="G344" s="267">
        <f t="shared" si="1"/>
        <v>0</v>
      </c>
      <c r="H344" s="265"/>
      <c r="I344" s="269"/>
      <c r="J344" s="267"/>
    </row>
    <row r="345" ht="15.75" customHeight="1">
      <c r="A345" s="268"/>
      <c r="B345" s="265"/>
      <c r="C345" s="265"/>
      <c r="D345" s="265"/>
      <c r="E345" s="265"/>
      <c r="F345" s="266" t="s">
        <v>33</v>
      </c>
      <c r="G345" s="267">
        <f t="shared" si="1"/>
        <v>0</v>
      </c>
      <c r="H345" s="265"/>
      <c r="I345" s="269"/>
      <c r="J345" s="267"/>
    </row>
    <row r="346" ht="15.75" customHeight="1">
      <c r="A346" s="268"/>
      <c r="B346" s="265"/>
      <c r="C346" s="265"/>
      <c r="D346" s="265"/>
      <c r="E346" s="265"/>
      <c r="F346" s="266" t="s">
        <v>33</v>
      </c>
      <c r="G346" s="267">
        <f t="shared" si="1"/>
        <v>0</v>
      </c>
      <c r="H346" s="265"/>
      <c r="I346" s="269"/>
      <c r="J346" s="267"/>
    </row>
    <row r="347" ht="15.75" customHeight="1">
      <c r="A347" s="268"/>
      <c r="B347" s="265"/>
      <c r="C347" s="265"/>
      <c r="D347" s="265"/>
      <c r="E347" s="265"/>
      <c r="F347" s="266" t="s">
        <v>33</v>
      </c>
      <c r="G347" s="267">
        <f t="shared" si="1"/>
        <v>0</v>
      </c>
      <c r="H347" s="265"/>
      <c r="I347" s="269"/>
      <c r="J347" s="267"/>
    </row>
    <row r="348" ht="15.75" customHeight="1">
      <c r="A348" s="268"/>
      <c r="B348" s="265"/>
      <c r="C348" s="265"/>
      <c r="D348" s="265"/>
      <c r="E348" s="265"/>
      <c r="F348" s="266" t="s">
        <v>33</v>
      </c>
      <c r="G348" s="267">
        <f t="shared" si="1"/>
        <v>0</v>
      </c>
      <c r="H348" s="265"/>
      <c r="I348" s="269"/>
      <c r="J348" s="267"/>
    </row>
    <row r="349" ht="15.75" customHeight="1">
      <c r="A349" s="268"/>
      <c r="B349" s="265"/>
      <c r="C349" s="265"/>
      <c r="D349" s="265"/>
      <c r="E349" s="265"/>
      <c r="F349" s="266" t="s">
        <v>33</v>
      </c>
      <c r="G349" s="267">
        <f t="shared" si="1"/>
        <v>0</v>
      </c>
      <c r="H349" s="265"/>
      <c r="I349" s="269"/>
      <c r="J349" s="267"/>
    </row>
    <row r="350" ht="15.75" customHeight="1">
      <c r="A350" s="268"/>
      <c r="B350" s="265"/>
      <c r="C350" s="265"/>
      <c r="D350" s="265"/>
      <c r="E350" s="265"/>
      <c r="F350" s="266" t="s">
        <v>33</v>
      </c>
      <c r="G350" s="267">
        <f t="shared" si="1"/>
        <v>0</v>
      </c>
      <c r="H350" s="265"/>
      <c r="I350" s="269"/>
      <c r="J350" s="267"/>
    </row>
    <row r="351" ht="15.75" customHeight="1">
      <c r="A351" s="268"/>
      <c r="B351" s="265"/>
      <c r="C351" s="265"/>
      <c r="D351" s="265"/>
      <c r="E351" s="265"/>
      <c r="F351" s="266" t="s">
        <v>33</v>
      </c>
      <c r="G351" s="267">
        <f t="shared" si="1"/>
        <v>0</v>
      </c>
      <c r="H351" s="265"/>
      <c r="I351" s="269"/>
      <c r="J351" s="267"/>
    </row>
    <row r="352" ht="15.75" customHeight="1">
      <c r="A352" s="268"/>
      <c r="B352" s="265"/>
      <c r="C352" s="265"/>
      <c r="D352" s="265"/>
      <c r="E352" s="265"/>
      <c r="F352" s="266" t="s">
        <v>33</v>
      </c>
      <c r="G352" s="267">
        <f t="shared" si="1"/>
        <v>0</v>
      </c>
      <c r="H352" s="265"/>
      <c r="I352" s="269"/>
      <c r="J352" s="267"/>
    </row>
    <row r="353" ht="15.75" customHeight="1">
      <c r="A353" s="268"/>
      <c r="B353" s="265"/>
      <c r="C353" s="265"/>
      <c r="D353" s="265"/>
      <c r="E353" s="265"/>
      <c r="F353" s="266" t="s">
        <v>33</v>
      </c>
      <c r="G353" s="267">
        <f t="shared" si="1"/>
        <v>0</v>
      </c>
      <c r="H353" s="265"/>
      <c r="I353" s="269"/>
      <c r="J353" s="267"/>
    </row>
    <row r="354" ht="15.75" customHeight="1">
      <c r="A354" s="268"/>
      <c r="B354" s="265"/>
      <c r="C354" s="265"/>
      <c r="D354" s="265"/>
      <c r="E354" s="265"/>
      <c r="F354" s="266" t="s">
        <v>33</v>
      </c>
      <c r="G354" s="267">
        <f t="shared" si="1"/>
        <v>0</v>
      </c>
      <c r="H354" s="265"/>
      <c r="I354" s="269"/>
      <c r="J354" s="267"/>
    </row>
    <row r="355" ht="15.75" customHeight="1">
      <c r="A355" s="268"/>
      <c r="B355" s="265"/>
      <c r="C355" s="265"/>
      <c r="D355" s="265"/>
      <c r="E355" s="265"/>
      <c r="F355" s="266" t="s">
        <v>33</v>
      </c>
      <c r="G355" s="267">
        <f t="shared" si="1"/>
        <v>0</v>
      </c>
      <c r="H355" s="265"/>
      <c r="I355" s="269"/>
      <c r="J355" s="267"/>
    </row>
    <row r="356" ht="15.75" customHeight="1">
      <c r="A356" s="268"/>
      <c r="B356" s="265"/>
      <c r="C356" s="265"/>
      <c r="D356" s="265"/>
      <c r="E356" s="265"/>
      <c r="F356" s="266" t="s">
        <v>33</v>
      </c>
      <c r="G356" s="267">
        <f t="shared" si="1"/>
        <v>0</v>
      </c>
      <c r="H356" s="265"/>
      <c r="I356" s="269"/>
      <c r="J356" s="267"/>
    </row>
    <row r="357" ht="15.75" customHeight="1">
      <c r="A357" s="268"/>
      <c r="B357" s="265"/>
      <c r="C357" s="265"/>
      <c r="D357" s="265"/>
      <c r="E357" s="265"/>
      <c r="F357" s="266" t="s">
        <v>33</v>
      </c>
      <c r="G357" s="267">
        <f t="shared" si="1"/>
        <v>0</v>
      </c>
      <c r="H357" s="265"/>
      <c r="I357" s="269"/>
      <c r="J357" s="267"/>
    </row>
    <row r="358" ht="15.75" customHeight="1">
      <c r="A358" s="268"/>
      <c r="B358" s="265"/>
      <c r="C358" s="265"/>
      <c r="D358" s="265"/>
      <c r="E358" s="265"/>
      <c r="F358" s="266" t="s">
        <v>33</v>
      </c>
      <c r="G358" s="267">
        <f t="shared" si="1"/>
        <v>0</v>
      </c>
      <c r="H358" s="265"/>
      <c r="I358" s="269"/>
      <c r="J358" s="267"/>
    </row>
    <row r="359" ht="15.75" customHeight="1">
      <c r="A359" s="268"/>
      <c r="B359" s="265"/>
      <c r="C359" s="265"/>
      <c r="D359" s="265"/>
      <c r="E359" s="265"/>
      <c r="F359" s="266" t="s">
        <v>33</v>
      </c>
      <c r="G359" s="267">
        <f t="shared" si="1"/>
        <v>0</v>
      </c>
      <c r="H359" s="265"/>
      <c r="I359" s="269"/>
      <c r="J359" s="267"/>
    </row>
    <row r="360" ht="15.75" customHeight="1">
      <c r="A360" s="268"/>
      <c r="B360" s="265"/>
      <c r="C360" s="265"/>
      <c r="D360" s="265"/>
      <c r="E360" s="265"/>
      <c r="F360" s="266" t="s">
        <v>33</v>
      </c>
      <c r="G360" s="267">
        <f t="shared" si="1"/>
        <v>0</v>
      </c>
      <c r="H360" s="265"/>
      <c r="I360" s="269"/>
      <c r="J360" s="267"/>
    </row>
    <row r="361" ht="15.75" customHeight="1">
      <c r="A361" s="268"/>
      <c r="B361" s="265"/>
      <c r="C361" s="265"/>
      <c r="D361" s="265"/>
      <c r="E361" s="265"/>
      <c r="F361" s="266" t="s">
        <v>33</v>
      </c>
      <c r="G361" s="267">
        <f t="shared" si="1"/>
        <v>0</v>
      </c>
      <c r="H361" s="265"/>
      <c r="I361" s="269"/>
      <c r="J361" s="267"/>
    </row>
    <row r="362" ht="15.75" customHeight="1">
      <c r="A362" s="268"/>
      <c r="B362" s="265"/>
      <c r="C362" s="265"/>
      <c r="D362" s="265"/>
      <c r="E362" s="265"/>
      <c r="F362" s="266" t="s">
        <v>33</v>
      </c>
      <c r="G362" s="267">
        <f t="shared" si="1"/>
        <v>0</v>
      </c>
      <c r="H362" s="265"/>
      <c r="I362" s="269"/>
      <c r="J362" s="267"/>
    </row>
    <row r="363" ht="15.75" customHeight="1">
      <c r="A363" s="268"/>
      <c r="B363" s="265"/>
      <c r="C363" s="265"/>
      <c r="D363" s="265"/>
      <c r="E363" s="265"/>
      <c r="F363" s="266" t="s">
        <v>33</v>
      </c>
      <c r="G363" s="267">
        <f t="shared" si="1"/>
        <v>0</v>
      </c>
      <c r="H363" s="265"/>
      <c r="I363" s="269"/>
      <c r="J363" s="267"/>
    </row>
    <row r="364" ht="15.75" customHeight="1">
      <c r="A364" s="268"/>
      <c r="B364" s="265"/>
      <c r="C364" s="265"/>
      <c r="D364" s="265"/>
      <c r="E364" s="265"/>
      <c r="F364" s="266" t="s">
        <v>33</v>
      </c>
      <c r="G364" s="267">
        <f t="shared" si="1"/>
        <v>0</v>
      </c>
      <c r="H364" s="265"/>
      <c r="I364" s="269"/>
      <c r="J364" s="267"/>
    </row>
    <row r="365" ht="15.75" customHeight="1">
      <c r="A365" s="268"/>
      <c r="B365" s="265"/>
      <c r="C365" s="265"/>
      <c r="D365" s="265"/>
      <c r="E365" s="265"/>
      <c r="F365" s="266" t="s">
        <v>33</v>
      </c>
      <c r="G365" s="267">
        <f t="shared" si="1"/>
        <v>0</v>
      </c>
      <c r="H365" s="265"/>
      <c r="I365" s="269"/>
      <c r="J365" s="267"/>
    </row>
    <row r="366" ht="15.75" customHeight="1">
      <c r="A366" s="268"/>
      <c r="B366" s="265"/>
      <c r="C366" s="265"/>
      <c r="D366" s="265"/>
      <c r="E366" s="265"/>
      <c r="F366" s="266" t="s">
        <v>33</v>
      </c>
      <c r="G366" s="267">
        <f t="shared" si="1"/>
        <v>0</v>
      </c>
      <c r="H366" s="265"/>
      <c r="I366" s="269"/>
      <c r="J366" s="267"/>
    </row>
    <row r="367" ht="15.75" customHeight="1">
      <c r="A367" s="268"/>
      <c r="B367" s="265"/>
      <c r="C367" s="265"/>
      <c r="D367" s="265"/>
      <c r="E367" s="265"/>
      <c r="F367" s="266" t="s">
        <v>33</v>
      </c>
      <c r="G367" s="267">
        <f t="shared" si="1"/>
        <v>0</v>
      </c>
      <c r="H367" s="265"/>
      <c r="I367" s="269"/>
      <c r="J367" s="267"/>
    </row>
    <row r="368" ht="15.75" customHeight="1">
      <c r="A368" s="268"/>
      <c r="B368" s="265"/>
      <c r="C368" s="265"/>
      <c r="D368" s="265"/>
      <c r="E368" s="265"/>
      <c r="F368" s="266" t="s">
        <v>33</v>
      </c>
      <c r="G368" s="267">
        <f t="shared" si="1"/>
        <v>0</v>
      </c>
      <c r="H368" s="265"/>
      <c r="I368" s="269"/>
      <c r="J368" s="267"/>
    </row>
    <row r="369" ht="15.75" customHeight="1">
      <c r="A369" s="268"/>
      <c r="B369" s="265"/>
      <c r="C369" s="265"/>
      <c r="D369" s="265"/>
      <c r="E369" s="265"/>
      <c r="F369" s="266" t="s">
        <v>33</v>
      </c>
      <c r="G369" s="267">
        <f t="shared" si="1"/>
        <v>0</v>
      </c>
      <c r="H369" s="265"/>
      <c r="I369" s="269"/>
      <c r="J369" s="267"/>
    </row>
    <row r="370" ht="15.75" customHeight="1">
      <c r="A370" s="268"/>
      <c r="B370" s="265"/>
      <c r="C370" s="265"/>
      <c r="D370" s="265"/>
      <c r="E370" s="265"/>
      <c r="F370" s="266" t="s">
        <v>33</v>
      </c>
      <c r="G370" s="267">
        <f t="shared" si="1"/>
        <v>0</v>
      </c>
      <c r="H370" s="265"/>
      <c r="I370" s="269"/>
      <c r="J370" s="267"/>
    </row>
    <row r="371" ht="15.75" customHeight="1">
      <c r="A371" s="268"/>
      <c r="B371" s="265"/>
      <c r="C371" s="265"/>
      <c r="D371" s="265"/>
      <c r="E371" s="265"/>
      <c r="F371" s="266" t="s">
        <v>33</v>
      </c>
      <c r="G371" s="267">
        <f t="shared" si="1"/>
        <v>0</v>
      </c>
      <c r="H371" s="265"/>
      <c r="I371" s="269"/>
      <c r="J371" s="267"/>
    </row>
    <row r="372" ht="15.75" customHeight="1">
      <c r="A372" s="268"/>
      <c r="B372" s="265"/>
      <c r="C372" s="265"/>
      <c r="D372" s="265"/>
      <c r="E372" s="265"/>
      <c r="F372" s="266" t="s">
        <v>33</v>
      </c>
      <c r="G372" s="267">
        <f t="shared" si="1"/>
        <v>0</v>
      </c>
      <c r="H372" s="265"/>
      <c r="I372" s="269"/>
      <c r="J372" s="267"/>
    </row>
    <row r="373" ht="15.75" customHeight="1">
      <c r="A373" s="268"/>
      <c r="B373" s="265"/>
      <c r="C373" s="265"/>
      <c r="D373" s="265"/>
      <c r="E373" s="265"/>
      <c r="F373" s="266" t="s">
        <v>33</v>
      </c>
      <c r="G373" s="267">
        <f t="shared" si="1"/>
        <v>0</v>
      </c>
      <c r="H373" s="265"/>
      <c r="I373" s="269"/>
      <c r="J373" s="267"/>
    </row>
    <row r="374" ht="15.75" customHeight="1">
      <c r="A374" s="268"/>
      <c r="B374" s="265"/>
      <c r="C374" s="265"/>
      <c r="D374" s="265"/>
      <c r="E374" s="265"/>
      <c r="F374" s="266" t="s">
        <v>33</v>
      </c>
      <c r="G374" s="267">
        <f t="shared" si="1"/>
        <v>0</v>
      </c>
      <c r="H374" s="265"/>
      <c r="I374" s="269"/>
      <c r="J374" s="267"/>
    </row>
    <row r="375" ht="15.75" customHeight="1">
      <c r="A375" s="268"/>
      <c r="B375" s="265"/>
      <c r="C375" s="265"/>
      <c r="D375" s="265"/>
      <c r="E375" s="265"/>
      <c r="F375" s="266" t="s">
        <v>33</v>
      </c>
      <c r="G375" s="267">
        <f t="shared" si="1"/>
        <v>0</v>
      </c>
      <c r="H375" s="265"/>
      <c r="I375" s="269"/>
      <c r="J375" s="267"/>
    </row>
    <row r="376" ht="15.75" customHeight="1">
      <c r="A376" s="268"/>
      <c r="B376" s="265"/>
      <c r="C376" s="265"/>
      <c r="D376" s="265"/>
      <c r="E376" s="265"/>
      <c r="F376" s="266" t="s">
        <v>33</v>
      </c>
      <c r="G376" s="267">
        <f t="shared" si="1"/>
        <v>0</v>
      </c>
      <c r="H376" s="265"/>
      <c r="I376" s="269"/>
      <c r="J376" s="267"/>
    </row>
    <row r="377" ht="15.75" customHeight="1">
      <c r="A377" s="268"/>
      <c r="B377" s="265"/>
      <c r="C377" s="265"/>
      <c r="D377" s="265"/>
      <c r="E377" s="265"/>
      <c r="F377" s="266" t="s">
        <v>33</v>
      </c>
      <c r="G377" s="267">
        <f t="shared" si="1"/>
        <v>0</v>
      </c>
      <c r="H377" s="265"/>
      <c r="I377" s="269"/>
      <c r="J377" s="267"/>
    </row>
    <row r="378" ht="15.75" customHeight="1">
      <c r="A378" s="268"/>
      <c r="B378" s="265"/>
      <c r="C378" s="265"/>
      <c r="D378" s="265"/>
      <c r="E378" s="265"/>
      <c r="F378" s="266" t="s">
        <v>33</v>
      </c>
      <c r="G378" s="267">
        <f t="shared" si="1"/>
        <v>0</v>
      </c>
      <c r="H378" s="265"/>
      <c r="I378" s="269"/>
      <c r="J378" s="267"/>
    </row>
    <row r="379" ht="15.75" customHeight="1">
      <c r="A379" s="268"/>
      <c r="B379" s="265"/>
      <c r="C379" s="265"/>
      <c r="D379" s="265"/>
      <c r="E379" s="265"/>
      <c r="F379" s="266" t="s">
        <v>33</v>
      </c>
      <c r="G379" s="267">
        <f t="shared" si="1"/>
        <v>0</v>
      </c>
      <c r="H379" s="265"/>
      <c r="I379" s="269"/>
      <c r="J379" s="267"/>
    </row>
    <row r="380" ht="15.75" customHeight="1">
      <c r="A380" s="268"/>
      <c r="B380" s="265"/>
      <c r="C380" s="265"/>
      <c r="D380" s="265"/>
      <c r="E380" s="265"/>
      <c r="F380" s="266" t="s">
        <v>33</v>
      </c>
      <c r="G380" s="267">
        <f t="shared" si="1"/>
        <v>0</v>
      </c>
      <c r="H380" s="265"/>
      <c r="I380" s="269"/>
      <c r="J380" s="267"/>
    </row>
    <row r="381" ht="15.75" customHeight="1">
      <c r="A381" s="268"/>
      <c r="B381" s="265"/>
      <c r="C381" s="265"/>
      <c r="D381" s="265"/>
      <c r="E381" s="265"/>
      <c r="F381" s="266" t="s">
        <v>33</v>
      </c>
      <c r="G381" s="267">
        <f t="shared" si="1"/>
        <v>0</v>
      </c>
      <c r="H381" s="265"/>
      <c r="I381" s="269"/>
      <c r="J381" s="267"/>
    </row>
    <row r="382" ht="15.75" customHeight="1">
      <c r="A382" s="268"/>
      <c r="B382" s="265"/>
      <c r="C382" s="265"/>
      <c r="D382" s="265"/>
      <c r="E382" s="265"/>
      <c r="F382" s="266" t="s">
        <v>33</v>
      </c>
      <c r="G382" s="267">
        <f t="shared" si="1"/>
        <v>0</v>
      </c>
      <c r="H382" s="265"/>
      <c r="I382" s="269"/>
      <c r="J382" s="267"/>
    </row>
    <row r="383" ht="15.75" customHeight="1">
      <c r="A383" s="268"/>
      <c r="B383" s="265"/>
      <c r="C383" s="265"/>
      <c r="D383" s="265"/>
      <c r="E383" s="265"/>
      <c r="F383" s="266" t="s">
        <v>33</v>
      </c>
      <c r="G383" s="267">
        <f t="shared" si="1"/>
        <v>0</v>
      </c>
      <c r="H383" s="265"/>
      <c r="I383" s="269"/>
      <c r="J383" s="267"/>
    </row>
    <row r="384" ht="15.75" customHeight="1">
      <c r="A384" s="268"/>
      <c r="B384" s="265"/>
      <c r="C384" s="265"/>
      <c r="D384" s="265"/>
      <c r="E384" s="265"/>
      <c r="F384" s="266" t="s">
        <v>33</v>
      </c>
      <c r="G384" s="267">
        <f t="shared" si="1"/>
        <v>0</v>
      </c>
      <c r="H384" s="265"/>
      <c r="I384" s="269"/>
      <c r="J384" s="267"/>
    </row>
    <row r="385" ht="15.75" customHeight="1">
      <c r="A385" s="268"/>
      <c r="B385" s="265"/>
      <c r="C385" s="265"/>
      <c r="D385" s="265"/>
      <c r="E385" s="265"/>
      <c r="F385" s="266" t="s">
        <v>33</v>
      </c>
      <c r="G385" s="267">
        <f t="shared" si="1"/>
        <v>0</v>
      </c>
      <c r="H385" s="265"/>
      <c r="I385" s="269"/>
      <c r="J385" s="267"/>
    </row>
    <row r="386" ht="15.75" customHeight="1">
      <c r="A386" s="268"/>
      <c r="B386" s="265"/>
      <c r="C386" s="265"/>
      <c r="D386" s="265"/>
      <c r="E386" s="265"/>
      <c r="F386" s="266" t="s">
        <v>33</v>
      </c>
      <c r="G386" s="267">
        <f t="shared" si="1"/>
        <v>0</v>
      </c>
      <c r="H386" s="265"/>
      <c r="I386" s="269"/>
      <c r="J386" s="267"/>
    </row>
    <row r="387" ht="15.75" customHeight="1">
      <c r="A387" s="268"/>
      <c r="B387" s="265"/>
      <c r="C387" s="265"/>
      <c r="D387" s="265"/>
      <c r="E387" s="265"/>
      <c r="F387" s="266" t="s">
        <v>33</v>
      </c>
      <c r="G387" s="267">
        <f t="shared" si="1"/>
        <v>0</v>
      </c>
      <c r="H387" s="265"/>
      <c r="I387" s="269"/>
      <c r="J387" s="267"/>
    </row>
    <row r="388" ht="15.75" customHeight="1">
      <c r="A388" s="268"/>
      <c r="B388" s="265"/>
      <c r="C388" s="265"/>
      <c r="D388" s="265"/>
      <c r="E388" s="265"/>
      <c r="F388" s="266" t="s">
        <v>33</v>
      </c>
      <c r="G388" s="267">
        <f t="shared" si="1"/>
        <v>0</v>
      </c>
      <c r="H388" s="265"/>
      <c r="I388" s="269"/>
      <c r="J388" s="267"/>
    </row>
    <row r="389" ht="15.75" customHeight="1">
      <c r="A389" s="268"/>
      <c r="B389" s="265"/>
      <c r="C389" s="265"/>
      <c r="D389" s="265"/>
      <c r="E389" s="265"/>
      <c r="F389" s="266" t="s">
        <v>33</v>
      </c>
      <c r="G389" s="267">
        <f t="shared" si="1"/>
        <v>0</v>
      </c>
      <c r="H389" s="265"/>
      <c r="I389" s="269"/>
      <c r="J389" s="267"/>
    </row>
    <row r="390" ht="15.75" customHeight="1">
      <c r="A390" s="268"/>
      <c r="B390" s="265"/>
      <c r="C390" s="265"/>
      <c r="D390" s="265"/>
      <c r="E390" s="265"/>
      <c r="F390" s="266" t="s">
        <v>33</v>
      </c>
      <c r="G390" s="267">
        <f t="shared" si="1"/>
        <v>0</v>
      </c>
      <c r="H390" s="265"/>
      <c r="I390" s="269"/>
      <c r="J390" s="267"/>
    </row>
    <row r="391" ht="15.75" customHeight="1">
      <c r="A391" s="268"/>
      <c r="B391" s="265"/>
      <c r="C391" s="265"/>
      <c r="D391" s="265"/>
      <c r="E391" s="265"/>
      <c r="F391" s="266" t="s">
        <v>33</v>
      </c>
      <c r="G391" s="267">
        <f t="shared" si="1"/>
        <v>0</v>
      </c>
      <c r="H391" s="265"/>
      <c r="I391" s="269"/>
      <c r="J391" s="267"/>
    </row>
    <row r="392" ht="15.75" customHeight="1">
      <c r="A392" s="268"/>
      <c r="B392" s="265"/>
      <c r="C392" s="265"/>
      <c r="D392" s="265"/>
      <c r="E392" s="265"/>
      <c r="F392" s="266" t="s">
        <v>33</v>
      </c>
      <c r="G392" s="267">
        <f t="shared" si="1"/>
        <v>0</v>
      </c>
      <c r="H392" s="265"/>
      <c r="I392" s="269"/>
      <c r="J392" s="267"/>
    </row>
    <row r="393" ht="15.75" customHeight="1">
      <c r="A393" s="268"/>
      <c r="B393" s="265"/>
      <c r="C393" s="265"/>
      <c r="D393" s="265"/>
      <c r="E393" s="265"/>
      <c r="F393" s="266" t="s">
        <v>33</v>
      </c>
      <c r="G393" s="267">
        <f t="shared" si="1"/>
        <v>0</v>
      </c>
      <c r="H393" s="265"/>
      <c r="I393" s="269"/>
      <c r="J393" s="267"/>
    </row>
    <row r="394" ht="15.75" customHeight="1">
      <c r="A394" s="268"/>
      <c r="B394" s="265"/>
      <c r="C394" s="265"/>
      <c r="D394" s="265"/>
      <c r="E394" s="265"/>
      <c r="F394" s="266" t="s">
        <v>33</v>
      </c>
      <c r="G394" s="267">
        <f t="shared" si="1"/>
        <v>0</v>
      </c>
      <c r="H394" s="265"/>
      <c r="I394" s="269"/>
      <c r="J394" s="267"/>
    </row>
    <row r="395" ht="15.75" customHeight="1">
      <c r="A395" s="268"/>
      <c r="B395" s="265"/>
      <c r="C395" s="265"/>
      <c r="D395" s="265"/>
      <c r="E395" s="265"/>
      <c r="F395" s="266" t="s">
        <v>33</v>
      </c>
      <c r="G395" s="267">
        <f t="shared" si="1"/>
        <v>0</v>
      </c>
      <c r="H395" s="265"/>
      <c r="I395" s="269"/>
      <c r="J395" s="267"/>
    </row>
    <row r="396" ht="15.75" customHeight="1">
      <c r="A396" s="268"/>
      <c r="B396" s="265"/>
      <c r="C396" s="265"/>
      <c r="D396" s="265"/>
      <c r="E396" s="265"/>
      <c r="F396" s="266" t="s">
        <v>33</v>
      </c>
      <c r="G396" s="267">
        <f t="shared" si="1"/>
        <v>0</v>
      </c>
      <c r="H396" s="265"/>
      <c r="I396" s="269"/>
      <c r="J396" s="267"/>
    </row>
    <row r="397" ht="15.75" customHeight="1">
      <c r="A397" s="268"/>
      <c r="B397" s="265"/>
      <c r="C397" s="265"/>
      <c r="D397" s="265"/>
      <c r="E397" s="265"/>
      <c r="F397" s="266" t="s">
        <v>33</v>
      </c>
      <c r="G397" s="267">
        <f t="shared" si="1"/>
        <v>0</v>
      </c>
      <c r="H397" s="265"/>
      <c r="I397" s="269"/>
      <c r="J397" s="267"/>
    </row>
    <row r="398" ht="15.75" customHeight="1">
      <c r="A398" s="268"/>
      <c r="B398" s="265"/>
      <c r="C398" s="265"/>
      <c r="D398" s="265"/>
      <c r="E398" s="265"/>
      <c r="F398" s="266" t="s">
        <v>33</v>
      </c>
      <c r="G398" s="267">
        <f t="shared" si="1"/>
        <v>0</v>
      </c>
      <c r="H398" s="265"/>
      <c r="I398" s="269"/>
      <c r="J398" s="267"/>
    </row>
    <row r="399" ht="15.75" customHeight="1">
      <c r="A399" s="268"/>
      <c r="B399" s="265"/>
      <c r="C399" s="265"/>
      <c r="D399" s="265"/>
      <c r="E399" s="265"/>
      <c r="F399" s="266" t="s">
        <v>33</v>
      </c>
      <c r="G399" s="267">
        <f t="shared" si="1"/>
        <v>0</v>
      </c>
      <c r="H399" s="265"/>
      <c r="I399" s="269"/>
      <c r="J399" s="267"/>
    </row>
    <row r="400" ht="15.75" customHeight="1">
      <c r="A400" s="268"/>
      <c r="B400" s="265"/>
      <c r="C400" s="265"/>
      <c r="D400" s="265"/>
      <c r="E400" s="265"/>
      <c r="F400" s="266" t="s">
        <v>33</v>
      </c>
      <c r="G400" s="267">
        <f t="shared" si="1"/>
        <v>0</v>
      </c>
      <c r="H400" s="265"/>
      <c r="I400" s="269"/>
      <c r="J400" s="267"/>
    </row>
    <row r="401" ht="15.75" customHeight="1">
      <c r="A401" s="268"/>
      <c r="B401" s="265"/>
      <c r="C401" s="265"/>
      <c r="D401" s="265"/>
      <c r="E401" s="265"/>
      <c r="F401" s="266" t="s">
        <v>33</v>
      </c>
      <c r="G401" s="267">
        <f t="shared" si="1"/>
        <v>0</v>
      </c>
      <c r="H401" s="265"/>
      <c r="I401" s="269"/>
      <c r="J401" s="267"/>
    </row>
    <row r="402" ht="15.75" customHeight="1">
      <c r="A402" s="268"/>
      <c r="B402" s="265"/>
      <c r="C402" s="265"/>
      <c r="D402" s="265"/>
      <c r="E402" s="265"/>
      <c r="F402" s="266" t="s">
        <v>33</v>
      </c>
      <c r="G402" s="267">
        <f t="shared" si="1"/>
        <v>0</v>
      </c>
      <c r="H402" s="265"/>
      <c r="I402" s="269"/>
      <c r="J402" s="267"/>
    </row>
    <row r="403" ht="15.75" customHeight="1">
      <c r="A403" s="268"/>
      <c r="B403" s="265"/>
      <c r="C403" s="265"/>
      <c r="D403" s="265"/>
      <c r="E403" s="265"/>
      <c r="F403" s="266" t="s">
        <v>33</v>
      </c>
      <c r="G403" s="267">
        <f t="shared" si="1"/>
        <v>0</v>
      </c>
      <c r="H403" s="265"/>
      <c r="I403" s="269"/>
      <c r="J403" s="267"/>
    </row>
    <row r="404" ht="15.75" customHeight="1">
      <c r="A404" s="268"/>
      <c r="B404" s="265"/>
      <c r="C404" s="265"/>
      <c r="D404" s="265"/>
      <c r="E404" s="265"/>
      <c r="F404" s="266" t="s">
        <v>33</v>
      </c>
      <c r="G404" s="267">
        <f t="shared" si="1"/>
        <v>0</v>
      </c>
      <c r="H404" s="265"/>
      <c r="I404" s="269"/>
      <c r="J404" s="267"/>
    </row>
    <row r="405" ht="15.75" customHeight="1">
      <c r="A405" s="268"/>
      <c r="B405" s="265"/>
      <c r="C405" s="265"/>
      <c r="D405" s="265"/>
      <c r="E405" s="265"/>
      <c r="F405" s="266" t="s">
        <v>33</v>
      </c>
      <c r="G405" s="267">
        <f t="shared" si="1"/>
        <v>0</v>
      </c>
      <c r="H405" s="265"/>
      <c r="I405" s="269"/>
      <c r="J405" s="267"/>
    </row>
    <row r="406" ht="15.75" customHeight="1">
      <c r="A406" s="268"/>
      <c r="B406" s="265"/>
      <c r="C406" s="265"/>
      <c r="D406" s="265"/>
      <c r="E406" s="265"/>
      <c r="F406" s="266" t="s">
        <v>33</v>
      </c>
      <c r="G406" s="267">
        <f t="shared" si="1"/>
        <v>0</v>
      </c>
      <c r="H406" s="265"/>
      <c r="I406" s="269"/>
      <c r="J406" s="267"/>
    </row>
    <row r="407" ht="15.75" customHeight="1">
      <c r="A407" s="268"/>
      <c r="B407" s="265"/>
      <c r="C407" s="265"/>
      <c r="D407" s="265"/>
      <c r="E407" s="265"/>
      <c r="F407" s="266" t="s">
        <v>33</v>
      </c>
      <c r="G407" s="267">
        <f t="shared" si="1"/>
        <v>0</v>
      </c>
      <c r="H407" s="265"/>
      <c r="I407" s="269"/>
      <c r="J407" s="267"/>
    </row>
    <row r="408" ht="15.75" customHeight="1">
      <c r="A408" s="268"/>
      <c r="B408" s="265"/>
      <c r="C408" s="265"/>
      <c r="D408" s="265"/>
      <c r="E408" s="265"/>
      <c r="F408" s="266" t="s">
        <v>33</v>
      </c>
      <c r="G408" s="267">
        <f t="shared" si="1"/>
        <v>0</v>
      </c>
      <c r="H408" s="265"/>
      <c r="I408" s="269"/>
      <c r="J408" s="267"/>
    </row>
    <row r="409" ht="15.75" customHeight="1">
      <c r="A409" s="268"/>
      <c r="B409" s="265"/>
      <c r="C409" s="265"/>
      <c r="D409" s="265"/>
      <c r="E409" s="265"/>
      <c r="F409" s="266" t="s">
        <v>33</v>
      </c>
      <c r="G409" s="267">
        <f t="shared" si="1"/>
        <v>0</v>
      </c>
      <c r="H409" s="265"/>
      <c r="I409" s="269"/>
      <c r="J409" s="267"/>
    </row>
    <row r="410" ht="15.75" customHeight="1">
      <c r="A410" s="268"/>
      <c r="B410" s="265"/>
      <c r="C410" s="265"/>
      <c r="D410" s="265"/>
      <c r="E410" s="265"/>
      <c r="F410" s="266" t="s">
        <v>33</v>
      </c>
      <c r="G410" s="267">
        <f t="shared" si="1"/>
        <v>0</v>
      </c>
      <c r="H410" s="265"/>
      <c r="I410" s="269"/>
      <c r="J410" s="267"/>
    </row>
    <row r="411" ht="15.75" customHeight="1">
      <c r="A411" s="268"/>
      <c r="B411" s="265"/>
      <c r="C411" s="265"/>
      <c r="D411" s="265"/>
      <c r="E411" s="265"/>
      <c r="F411" s="266" t="s">
        <v>33</v>
      </c>
      <c r="G411" s="267">
        <f t="shared" si="1"/>
        <v>0</v>
      </c>
      <c r="H411" s="265"/>
      <c r="I411" s="269"/>
      <c r="J411" s="267"/>
    </row>
    <row r="412" ht="15.75" customHeight="1">
      <c r="A412" s="268"/>
      <c r="B412" s="265"/>
      <c r="C412" s="265"/>
      <c r="D412" s="265"/>
      <c r="E412" s="265"/>
      <c r="F412" s="266" t="s">
        <v>33</v>
      </c>
      <c r="G412" s="267">
        <f t="shared" si="1"/>
        <v>0</v>
      </c>
      <c r="H412" s="265"/>
      <c r="I412" s="269"/>
      <c r="J412" s="267"/>
    </row>
    <row r="413" ht="15.75" customHeight="1">
      <c r="A413" s="268"/>
      <c r="B413" s="265"/>
      <c r="C413" s="265"/>
      <c r="D413" s="265"/>
      <c r="E413" s="265"/>
      <c r="F413" s="266" t="s">
        <v>33</v>
      </c>
      <c r="G413" s="267">
        <f t="shared" si="1"/>
        <v>0</v>
      </c>
      <c r="H413" s="265"/>
      <c r="I413" s="269"/>
      <c r="J413" s="267"/>
    </row>
    <row r="414" ht="15.75" customHeight="1">
      <c r="A414" s="268"/>
      <c r="B414" s="265"/>
      <c r="C414" s="265"/>
      <c r="D414" s="265"/>
      <c r="E414" s="265"/>
      <c r="F414" s="266" t="s">
        <v>33</v>
      </c>
      <c r="G414" s="267">
        <f t="shared" si="1"/>
        <v>0</v>
      </c>
      <c r="H414" s="265"/>
      <c r="I414" s="269"/>
      <c r="J414" s="267"/>
    </row>
    <row r="415" ht="15.75" customHeight="1">
      <c r="A415" s="268"/>
      <c r="B415" s="265"/>
      <c r="C415" s="265"/>
      <c r="D415" s="265"/>
      <c r="E415" s="265"/>
      <c r="F415" s="266" t="s">
        <v>33</v>
      </c>
      <c r="G415" s="267">
        <f t="shared" si="1"/>
        <v>0</v>
      </c>
      <c r="H415" s="265"/>
      <c r="I415" s="269"/>
      <c r="J415" s="267"/>
    </row>
    <row r="416" ht="15.75" customHeight="1">
      <c r="A416" s="268"/>
      <c r="B416" s="265"/>
      <c r="C416" s="265"/>
      <c r="D416" s="265"/>
      <c r="E416" s="265"/>
      <c r="F416" s="266" t="s">
        <v>33</v>
      </c>
      <c r="G416" s="267">
        <f t="shared" si="1"/>
        <v>0</v>
      </c>
      <c r="H416" s="265"/>
      <c r="I416" s="269"/>
      <c r="J416" s="267"/>
    </row>
    <row r="417" ht="15.75" customHeight="1">
      <c r="A417" s="268"/>
      <c r="B417" s="265"/>
      <c r="C417" s="265"/>
      <c r="D417" s="265"/>
      <c r="E417" s="265"/>
      <c r="F417" s="266" t="s">
        <v>33</v>
      </c>
      <c r="G417" s="267">
        <f t="shared" si="1"/>
        <v>0</v>
      </c>
      <c r="H417" s="265"/>
      <c r="I417" s="269"/>
      <c r="J417" s="267"/>
    </row>
    <row r="418" ht="15.75" customHeight="1">
      <c r="A418" s="268"/>
      <c r="B418" s="265"/>
      <c r="C418" s="265"/>
      <c r="D418" s="265"/>
      <c r="E418" s="265"/>
      <c r="F418" s="266" t="s">
        <v>33</v>
      </c>
      <c r="G418" s="267">
        <f t="shared" si="1"/>
        <v>0</v>
      </c>
      <c r="H418" s="265"/>
      <c r="I418" s="269"/>
      <c r="J418" s="267"/>
    </row>
    <row r="419" ht="15.75" customHeight="1">
      <c r="A419" s="268"/>
      <c r="B419" s="265"/>
      <c r="C419" s="265"/>
      <c r="D419" s="265"/>
      <c r="E419" s="265"/>
      <c r="F419" s="266" t="s">
        <v>33</v>
      </c>
      <c r="G419" s="267">
        <f t="shared" si="1"/>
        <v>0</v>
      </c>
      <c r="H419" s="265"/>
      <c r="I419" s="269"/>
      <c r="J419" s="267"/>
    </row>
    <row r="420" ht="15.75" customHeight="1">
      <c r="A420" s="268"/>
      <c r="B420" s="265"/>
      <c r="C420" s="265"/>
      <c r="D420" s="265"/>
      <c r="E420" s="265"/>
      <c r="F420" s="266" t="s">
        <v>33</v>
      </c>
      <c r="G420" s="267">
        <f t="shared" si="1"/>
        <v>0</v>
      </c>
      <c r="H420" s="265"/>
      <c r="I420" s="269"/>
      <c r="J420" s="267"/>
    </row>
    <row r="421" ht="15.75" customHeight="1">
      <c r="A421" s="268"/>
      <c r="B421" s="265"/>
      <c r="C421" s="265"/>
      <c r="D421" s="265"/>
      <c r="E421" s="265"/>
      <c r="F421" s="266" t="s">
        <v>33</v>
      </c>
      <c r="G421" s="267">
        <f t="shared" si="1"/>
        <v>0</v>
      </c>
      <c r="H421" s="265"/>
      <c r="I421" s="269"/>
      <c r="J421" s="267"/>
    </row>
    <row r="422" ht="15.75" customHeight="1">
      <c r="A422" s="268"/>
      <c r="B422" s="265"/>
      <c r="C422" s="265"/>
      <c r="D422" s="265"/>
      <c r="E422" s="265"/>
      <c r="F422" s="266" t="s">
        <v>33</v>
      </c>
      <c r="G422" s="267">
        <f t="shared" si="1"/>
        <v>0</v>
      </c>
      <c r="H422" s="265"/>
      <c r="I422" s="269"/>
      <c r="J422" s="267"/>
    </row>
    <row r="423" ht="15.75" customHeight="1">
      <c r="A423" s="268"/>
      <c r="B423" s="265"/>
      <c r="C423" s="265"/>
      <c r="D423" s="265"/>
      <c r="E423" s="265"/>
      <c r="F423" s="266" t="s">
        <v>33</v>
      </c>
      <c r="G423" s="267">
        <f t="shared" si="1"/>
        <v>0</v>
      </c>
      <c r="H423" s="265"/>
      <c r="I423" s="269"/>
      <c r="J423" s="267"/>
    </row>
    <row r="424" ht="15.75" customHeight="1">
      <c r="A424" s="268"/>
      <c r="B424" s="265"/>
      <c r="C424" s="265"/>
      <c r="D424" s="265"/>
      <c r="E424" s="265"/>
      <c r="F424" s="266" t="s">
        <v>33</v>
      </c>
      <c r="G424" s="267">
        <f t="shared" si="1"/>
        <v>0</v>
      </c>
      <c r="H424" s="265"/>
      <c r="I424" s="269"/>
      <c r="J424" s="267"/>
    </row>
    <row r="425" ht="15.75" customHeight="1">
      <c r="A425" s="268"/>
      <c r="B425" s="265"/>
      <c r="C425" s="265"/>
      <c r="D425" s="265"/>
      <c r="E425" s="265"/>
      <c r="F425" s="266" t="s">
        <v>33</v>
      </c>
      <c r="G425" s="267">
        <f t="shared" si="1"/>
        <v>0</v>
      </c>
      <c r="H425" s="265"/>
      <c r="I425" s="269"/>
      <c r="J425" s="267"/>
    </row>
    <row r="426" ht="15.75" customHeight="1">
      <c r="A426" s="268"/>
      <c r="B426" s="265"/>
      <c r="C426" s="265"/>
      <c r="D426" s="265"/>
      <c r="E426" s="265"/>
      <c r="F426" s="266" t="s">
        <v>33</v>
      </c>
      <c r="G426" s="267">
        <f t="shared" si="1"/>
        <v>0</v>
      </c>
      <c r="H426" s="265"/>
      <c r="I426" s="269"/>
      <c r="J426" s="267"/>
    </row>
    <row r="427" ht="15.75" customHeight="1">
      <c r="A427" s="268"/>
      <c r="B427" s="265"/>
      <c r="C427" s="265"/>
      <c r="D427" s="265"/>
      <c r="E427" s="265"/>
      <c r="F427" s="266" t="s">
        <v>33</v>
      </c>
      <c r="G427" s="267">
        <f t="shared" si="1"/>
        <v>0</v>
      </c>
      <c r="H427" s="265"/>
      <c r="I427" s="269"/>
      <c r="J427" s="267"/>
    </row>
    <row r="428" ht="15.75" customHeight="1">
      <c r="A428" s="268"/>
      <c r="B428" s="265"/>
      <c r="C428" s="265"/>
      <c r="D428" s="265"/>
      <c r="E428" s="265"/>
      <c r="F428" s="266" t="s">
        <v>33</v>
      </c>
      <c r="G428" s="267">
        <f t="shared" si="1"/>
        <v>0</v>
      </c>
      <c r="H428" s="265"/>
      <c r="I428" s="269"/>
      <c r="J428" s="267"/>
    </row>
    <row r="429" ht="15.75" customHeight="1">
      <c r="A429" s="268"/>
      <c r="B429" s="265"/>
      <c r="C429" s="265"/>
      <c r="D429" s="265"/>
      <c r="E429" s="265"/>
      <c r="F429" s="266" t="s">
        <v>33</v>
      </c>
      <c r="G429" s="267">
        <f t="shared" si="1"/>
        <v>0</v>
      </c>
      <c r="H429" s="265"/>
      <c r="I429" s="269"/>
      <c r="J429" s="267"/>
    </row>
    <row r="430" ht="15.75" customHeight="1">
      <c r="A430" s="268"/>
      <c r="B430" s="265"/>
      <c r="C430" s="265"/>
      <c r="D430" s="265"/>
      <c r="E430" s="265"/>
      <c r="F430" s="266" t="s">
        <v>33</v>
      </c>
      <c r="G430" s="267">
        <f t="shared" si="1"/>
        <v>0</v>
      </c>
      <c r="H430" s="265"/>
      <c r="I430" s="269"/>
      <c r="J430" s="267"/>
    </row>
    <row r="431" ht="15.75" customHeight="1">
      <c r="A431" s="268"/>
      <c r="B431" s="265"/>
      <c r="C431" s="265"/>
      <c r="D431" s="265"/>
      <c r="E431" s="265"/>
      <c r="F431" s="266" t="s">
        <v>33</v>
      </c>
      <c r="G431" s="267">
        <f t="shared" si="1"/>
        <v>0</v>
      </c>
      <c r="H431" s="265"/>
      <c r="I431" s="269"/>
      <c r="J431" s="267"/>
    </row>
    <row r="432" ht="15.75" customHeight="1">
      <c r="A432" s="268"/>
      <c r="B432" s="265"/>
      <c r="C432" s="265"/>
      <c r="D432" s="265"/>
      <c r="E432" s="265"/>
      <c r="F432" s="266" t="s">
        <v>33</v>
      </c>
      <c r="G432" s="267">
        <f t="shared" si="1"/>
        <v>0</v>
      </c>
      <c r="H432" s="265"/>
      <c r="I432" s="269"/>
      <c r="J432" s="267"/>
    </row>
    <row r="433" ht="15.75" customHeight="1">
      <c r="A433" s="268"/>
      <c r="B433" s="265"/>
      <c r="C433" s="265"/>
      <c r="D433" s="265"/>
      <c r="E433" s="265"/>
      <c r="F433" s="266" t="s">
        <v>33</v>
      </c>
      <c r="G433" s="267">
        <f t="shared" si="1"/>
        <v>0</v>
      </c>
      <c r="H433" s="265"/>
      <c r="I433" s="269"/>
      <c r="J433" s="267"/>
    </row>
    <row r="434" ht="15.75" customHeight="1">
      <c r="A434" s="268"/>
      <c r="B434" s="265"/>
      <c r="C434" s="265"/>
      <c r="D434" s="265"/>
      <c r="E434" s="265"/>
      <c r="F434" s="266" t="s">
        <v>33</v>
      </c>
      <c r="G434" s="267">
        <f t="shared" si="1"/>
        <v>0</v>
      </c>
      <c r="H434" s="265"/>
      <c r="I434" s="269"/>
      <c r="J434" s="267"/>
    </row>
    <row r="435" ht="15.75" customHeight="1">
      <c r="A435" s="268"/>
      <c r="B435" s="265"/>
      <c r="C435" s="265"/>
      <c r="D435" s="265"/>
      <c r="E435" s="265"/>
      <c r="F435" s="266" t="s">
        <v>33</v>
      </c>
      <c r="G435" s="267">
        <f t="shared" si="1"/>
        <v>0</v>
      </c>
      <c r="H435" s="265"/>
      <c r="I435" s="269"/>
      <c r="J435" s="267"/>
    </row>
    <row r="436" ht="15.75" customHeight="1">
      <c r="A436" s="268"/>
      <c r="B436" s="265"/>
      <c r="C436" s="265"/>
      <c r="D436" s="265"/>
      <c r="E436" s="265"/>
      <c r="F436" s="266" t="s">
        <v>33</v>
      </c>
      <c r="G436" s="267">
        <f t="shared" si="1"/>
        <v>0</v>
      </c>
      <c r="H436" s="265"/>
      <c r="I436" s="269"/>
      <c r="J436" s="267"/>
    </row>
    <row r="437" ht="15.75" customHeight="1">
      <c r="A437" s="268"/>
      <c r="B437" s="265"/>
      <c r="C437" s="265"/>
      <c r="D437" s="265"/>
      <c r="E437" s="265"/>
      <c r="F437" s="266" t="s">
        <v>33</v>
      </c>
      <c r="G437" s="267">
        <f t="shared" si="1"/>
        <v>0</v>
      </c>
      <c r="H437" s="265"/>
      <c r="I437" s="269"/>
      <c r="J437" s="267"/>
    </row>
    <row r="438" ht="15.75" customHeight="1">
      <c r="A438" s="268"/>
      <c r="B438" s="265"/>
      <c r="C438" s="265"/>
      <c r="D438" s="265"/>
      <c r="E438" s="265"/>
      <c r="F438" s="266" t="s">
        <v>33</v>
      </c>
      <c r="G438" s="267">
        <f t="shared" si="1"/>
        <v>0</v>
      </c>
      <c r="H438" s="265"/>
      <c r="I438" s="269"/>
      <c r="J438" s="267"/>
    </row>
    <row r="439" ht="15.75" customHeight="1">
      <c r="A439" s="268"/>
      <c r="B439" s="265"/>
      <c r="C439" s="265"/>
      <c r="D439" s="265"/>
      <c r="E439" s="265"/>
      <c r="F439" s="266" t="s">
        <v>33</v>
      </c>
      <c r="G439" s="267">
        <f t="shared" si="1"/>
        <v>0</v>
      </c>
      <c r="H439" s="265"/>
      <c r="I439" s="269"/>
      <c r="J439" s="267"/>
    </row>
    <row r="440" ht="15.75" customHeight="1">
      <c r="A440" s="268"/>
      <c r="B440" s="265"/>
      <c r="C440" s="265"/>
      <c r="D440" s="265"/>
      <c r="E440" s="265"/>
      <c r="F440" s="266" t="s">
        <v>33</v>
      </c>
      <c r="G440" s="267">
        <f t="shared" si="1"/>
        <v>0</v>
      </c>
      <c r="H440" s="265"/>
      <c r="I440" s="269"/>
      <c r="J440" s="267"/>
    </row>
    <row r="441" ht="15.75" customHeight="1">
      <c r="A441" s="268"/>
      <c r="B441" s="265"/>
      <c r="C441" s="265"/>
      <c r="D441" s="265"/>
      <c r="E441" s="265"/>
      <c r="F441" s="266" t="s">
        <v>33</v>
      </c>
      <c r="G441" s="267">
        <f t="shared" si="1"/>
        <v>0</v>
      </c>
      <c r="H441" s="265"/>
      <c r="I441" s="269"/>
      <c r="J441" s="267"/>
    </row>
    <row r="442" ht="15.75" customHeight="1">
      <c r="A442" s="268"/>
      <c r="B442" s="265"/>
      <c r="C442" s="265"/>
      <c r="D442" s="265"/>
      <c r="E442" s="265"/>
      <c r="F442" s="266" t="s">
        <v>33</v>
      </c>
      <c r="G442" s="267">
        <f t="shared" si="1"/>
        <v>0</v>
      </c>
      <c r="H442" s="265"/>
      <c r="I442" s="269"/>
      <c r="J442" s="267"/>
    </row>
    <row r="443" ht="15.75" customHeight="1">
      <c r="A443" s="268"/>
      <c r="B443" s="265"/>
      <c r="C443" s="265"/>
      <c r="D443" s="265"/>
      <c r="E443" s="265"/>
      <c r="F443" s="266" t="s">
        <v>33</v>
      </c>
      <c r="G443" s="267">
        <f t="shared" si="1"/>
        <v>0</v>
      </c>
      <c r="H443" s="265"/>
      <c r="I443" s="269"/>
      <c r="J443" s="267"/>
    </row>
    <row r="444" ht="15.75" customHeight="1">
      <c r="A444" s="268"/>
      <c r="B444" s="265"/>
      <c r="C444" s="265"/>
      <c r="D444" s="265"/>
      <c r="E444" s="265"/>
      <c r="F444" s="266" t="s">
        <v>33</v>
      </c>
      <c r="G444" s="267">
        <f t="shared" si="1"/>
        <v>0</v>
      </c>
      <c r="H444" s="265"/>
      <c r="I444" s="269"/>
      <c r="J444" s="267"/>
    </row>
    <row r="445" ht="15.75" customHeight="1">
      <c r="A445" s="268"/>
      <c r="B445" s="265"/>
      <c r="C445" s="265"/>
      <c r="D445" s="265"/>
      <c r="E445" s="265"/>
      <c r="F445" s="266" t="s">
        <v>33</v>
      </c>
      <c r="G445" s="267">
        <f t="shared" si="1"/>
        <v>0</v>
      </c>
      <c r="H445" s="265"/>
      <c r="I445" s="269"/>
      <c r="J445" s="267"/>
    </row>
    <row r="446" ht="15.75" customHeight="1">
      <c r="A446" s="268"/>
      <c r="B446" s="265"/>
      <c r="C446" s="265"/>
      <c r="D446" s="265"/>
      <c r="E446" s="265"/>
      <c r="F446" s="266" t="s">
        <v>33</v>
      </c>
      <c r="G446" s="267">
        <f t="shared" si="1"/>
        <v>0</v>
      </c>
      <c r="H446" s="265"/>
      <c r="I446" s="269"/>
      <c r="J446" s="267"/>
    </row>
    <row r="447" ht="15.75" customHeight="1">
      <c r="A447" s="268"/>
      <c r="B447" s="265"/>
      <c r="C447" s="265"/>
      <c r="D447" s="265"/>
      <c r="E447" s="265"/>
      <c r="F447" s="266" t="s">
        <v>33</v>
      </c>
      <c r="G447" s="267">
        <f t="shared" si="1"/>
        <v>0</v>
      </c>
      <c r="H447" s="265"/>
      <c r="I447" s="269"/>
      <c r="J447" s="267"/>
    </row>
    <row r="448" ht="15.75" customHeight="1">
      <c r="A448" s="268"/>
      <c r="B448" s="265"/>
      <c r="C448" s="265"/>
      <c r="D448" s="265"/>
      <c r="E448" s="265"/>
      <c r="F448" s="266" t="s">
        <v>33</v>
      </c>
      <c r="G448" s="267">
        <f t="shared" si="1"/>
        <v>0</v>
      </c>
      <c r="H448" s="265"/>
      <c r="I448" s="269"/>
      <c r="J448" s="267"/>
    </row>
    <row r="449" ht="15.75" customHeight="1">
      <c r="A449" s="268"/>
      <c r="B449" s="265"/>
      <c r="C449" s="265"/>
      <c r="D449" s="265"/>
      <c r="E449" s="265"/>
      <c r="F449" s="266" t="s">
        <v>33</v>
      </c>
      <c r="G449" s="267">
        <f t="shared" si="1"/>
        <v>0</v>
      </c>
      <c r="H449" s="265"/>
      <c r="I449" s="269"/>
      <c r="J449" s="267"/>
    </row>
    <row r="450" ht="15.75" customHeight="1">
      <c r="A450" s="268"/>
      <c r="B450" s="265"/>
      <c r="C450" s="265"/>
      <c r="D450" s="265"/>
      <c r="E450" s="265"/>
      <c r="F450" s="266" t="s">
        <v>33</v>
      </c>
      <c r="G450" s="267">
        <f t="shared" si="1"/>
        <v>0</v>
      </c>
      <c r="H450" s="265"/>
      <c r="I450" s="269"/>
      <c r="J450" s="267"/>
    </row>
    <row r="451" ht="15.75" customHeight="1">
      <c r="A451" s="268"/>
      <c r="B451" s="265"/>
      <c r="C451" s="265"/>
      <c r="D451" s="265"/>
      <c r="E451" s="265"/>
      <c r="F451" s="266" t="s">
        <v>33</v>
      </c>
      <c r="G451" s="267">
        <f t="shared" si="1"/>
        <v>0</v>
      </c>
      <c r="H451" s="265"/>
      <c r="I451" s="269"/>
      <c r="J451" s="267"/>
    </row>
    <row r="452" ht="15.75" customHeight="1">
      <c r="A452" s="268"/>
      <c r="B452" s="265"/>
      <c r="C452" s="265"/>
      <c r="D452" s="265"/>
      <c r="E452" s="265"/>
      <c r="F452" s="266" t="s">
        <v>33</v>
      </c>
      <c r="G452" s="267">
        <f t="shared" si="1"/>
        <v>0</v>
      </c>
      <c r="H452" s="265"/>
      <c r="I452" s="269"/>
      <c r="J452" s="267"/>
    </row>
    <row r="453" ht="15.75" customHeight="1">
      <c r="A453" s="268"/>
      <c r="B453" s="265"/>
      <c r="C453" s="265"/>
      <c r="D453" s="265"/>
      <c r="E453" s="265"/>
      <c r="F453" s="266" t="s">
        <v>33</v>
      </c>
      <c r="G453" s="267">
        <f t="shared" si="1"/>
        <v>0</v>
      </c>
      <c r="H453" s="265"/>
      <c r="I453" s="269"/>
      <c r="J453" s="267"/>
    </row>
    <row r="454" ht="15.75" customHeight="1">
      <c r="A454" s="268"/>
      <c r="B454" s="265"/>
      <c r="C454" s="265"/>
      <c r="D454" s="265"/>
      <c r="E454" s="265"/>
      <c r="F454" s="266" t="s">
        <v>33</v>
      </c>
      <c r="G454" s="267">
        <f t="shared" si="1"/>
        <v>0</v>
      </c>
      <c r="H454" s="265"/>
      <c r="I454" s="269"/>
      <c r="J454" s="267"/>
    </row>
    <row r="455" ht="15.75" customHeight="1">
      <c r="A455" s="268"/>
      <c r="B455" s="265"/>
      <c r="C455" s="265"/>
      <c r="D455" s="265"/>
      <c r="E455" s="265"/>
      <c r="F455" s="266" t="s">
        <v>33</v>
      </c>
      <c r="G455" s="267">
        <f t="shared" si="1"/>
        <v>0</v>
      </c>
      <c r="H455" s="265"/>
      <c r="I455" s="269"/>
      <c r="J455" s="267"/>
    </row>
    <row r="456" ht="15.75" customHeight="1">
      <c r="A456" s="268"/>
      <c r="B456" s="265"/>
      <c r="C456" s="265"/>
      <c r="D456" s="265"/>
      <c r="E456" s="265"/>
      <c r="F456" s="266" t="s">
        <v>33</v>
      </c>
      <c r="G456" s="267">
        <f t="shared" si="1"/>
        <v>0</v>
      </c>
      <c r="H456" s="265"/>
      <c r="I456" s="269"/>
      <c r="J456" s="267"/>
    </row>
    <row r="457" ht="15.75" customHeight="1">
      <c r="A457" s="268"/>
      <c r="B457" s="265"/>
      <c r="C457" s="265"/>
      <c r="D457" s="265"/>
      <c r="E457" s="265"/>
      <c r="F457" s="266" t="s">
        <v>33</v>
      </c>
      <c r="G457" s="267">
        <f t="shared" si="1"/>
        <v>0</v>
      </c>
      <c r="H457" s="265"/>
      <c r="I457" s="269"/>
      <c r="J457" s="267"/>
    </row>
    <row r="458" ht="15.75" customHeight="1">
      <c r="A458" s="268"/>
      <c r="B458" s="265"/>
      <c r="C458" s="265"/>
      <c r="D458" s="265"/>
      <c r="E458" s="265"/>
      <c r="F458" s="266" t="s">
        <v>33</v>
      </c>
      <c r="G458" s="267">
        <f t="shared" si="1"/>
        <v>0</v>
      </c>
      <c r="H458" s="265"/>
      <c r="I458" s="269"/>
      <c r="J458" s="267"/>
    </row>
    <row r="459" ht="15.75" customHeight="1">
      <c r="A459" s="268"/>
      <c r="B459" s="265"/>
      <c r="C459" s="265"/>
      <c r="D459" s="265"/>
      <c r="E459" s="265"/>
      <c r="F459" s="266" t="s">
        <v>33</v>
      </c>
      <c r="G459" s="267">
        <f t="shared" si="1"/>
        <v>0</v>
      </c>
      <c r="H459" s="265"/>
      <c r="I459" s="269"/>
      <c r="J459" s="267"/>
    </row>
    <row r="460" ht="15.75" customHeight="1">
      <c r="A460" s="268"/>
      <c r="B460" s="265"/>
      <c r="C460" s="265"/>
      <c r="D460" s="265"/>
      <c r="E460" s="265"/>
      <c r="F460" s="266" t="s">
        <v>33</v>
      </c>
      <c r="G460" s="267">
        <f t="shared" si="1"/>
        <v>0</v>
      </c>
      <c r="H460" s="265"/>
      <c r="I460" s="269"/>
      <c r="J460" s="267"/>
    </row>
    <row r="461" ht="15.75" customHeight="1">
      <c r="A461" s="268"/>
      <c r="B461" s="265"/>
      <c r="C461" s="265"/>
      <c r="D461" s="265"/>
      <c r="E461" s="265"/>
      <c r="F461" s="266" t="s">
        <v>33</v>
      </c>
      <c r="G461" s="267">
        <f t="shared" si="1"/>
        <v>0</v>
      </c>
      <c r="H461" s="265"/>
      <c r="I461" s="269"/>
      <c r="J461" s="267"/>
    </row>
    <row r="462" ht="15.75" customHeight="1">
      <c r="A462" s="268"/>
      <c r="B462" s="265"/>
      <c r="C462" s="265"/>
      <c r="D462" s="265"/>
      <c r="E462" s="265"/>
      <c r="F462" s="266" t="s">
        <v>33</v>
      </c>
      <c r="G462" s="267">
        <f t="shared" si="1"/>
        <v>0</v>
      </c>
      <c r="H462" s="265"/>
      <c r="I462" s="269"/>
      <c r="J462" s="267"/>
    </row>
    <row r="463" ht="15.75" customHeight="1">
      <c r="A463" s="268"/>
      <c r="B463" s="265"/>
      <c r="C463" s="265"/>
      <c r="D463" s="265"/>
      <c r="E463" s="265"/>
      <c r="F463" s="266" t="s">
        <v>33</v>
      </c>
      <c r="G463" s="267">
        <f t="shared" si="1"/>
        <v>0</v>
      </c>
      <c r="H463" s="265"/>
      <c r="I463" s="269"/>
      <c r="J463" s="267"/>
    </row>
    <row r="464" ht="15.75" customHeight="1">
      <c r="A464" s="268"/>
      <c r="B464" s="265"/>
      <c r="C464" s="265"/>
      <c r="D464" s="265"/>
      <c r="E464" s="265"/>
      <c r="F464" s="266" t="s">
        <v>33</v>
      </c>
      <c r="G464" s="267">
        <f t="shared" si="1"/>
        <v>0</v>
      </c>
      <c r="H464" s="265"/>
      <c r="I464" s="269"/>
      <c r="J464" s="267"/>
    </row>
    <row r="465" ht="15.75" customHeight="1">
      <c r="A465" s="268"/>
      <c r="B465" s="265"/>
      <c r="C465" s="265"/>
      <c r="D465" s="265"/>
      <c r="E465" s="265"/>
      <c r="F465" s="266" t="s">
        <v>33</v>
      </c>
      <c r="G465" s="267">
        <f t="shared" si="1"/>
        <v>0</v>
      </c>
      <c r="H465" s="265"/>
      <c r="I465" s="269"/>
      <c r="J465" s="267"/>
    </row>
    <row r="466" ht="15.75" customHeight="1">
      <c r="A466" s="268"/>
      <c r="B466" s="265"/>
      <c r="C466" s="265"/>
      <c r="D466" s="265"/>
      <c r="E466" s="265"/>
      <c r="F466" s="266" t="s">
        <v>33</v>
      </c>
      <c r="G466" s="267">
        <f t="shared" si="1"/>
        <v>0</v>
      </c>
      <c r="H466" s="265"/>
      <c r="I466" s="269"/>
      <c r="J466" s="267"/>
    </row>
    <row r="467" ht="15.75" customHeight="1">
      <c r="A467" s="268"/>
      <c r="B467" s="265"/>
      <c r="C467" s="265"/>
      <c r="D467" s="265"/>
      <c r="E467" s="265"/>
      <c r="F467" s="266" t="s">
        <v>33</v>
      </c>
      <c r="G467" s="267">
        <f t="shared" si="1"/>
        <v>0</v>
      </c>
      <c r="H467" s="265"/>
      <c r="I467" s="269"/>
      <c r="J467" s="267"/>
    </row>
    <row r="468" ht="15.75" customHeight="1">
      <c r="A468" s="268"/>
      <c r="B468" s="265"/>
      <c r="C468" s="265"/>
      <c r="D468" s="265"/>
      <c r="E468" s="265"/>
      <c r="F468" s="266" t="s">
        <v>33</v>
      </c>
      <c r="G468" s="267">
        <f t="shared" si="1"/>
        <v>0</v>
      </c>
      <c r="H468" s="265"/>
      <c r="I468" s="269"/>
      <c r="J468" s="267"/>
    </row>
    <row r="469" ht="15.75" customHeight="1">
      <c r="A469" s="268"/>
      <c r="B469" s="265"/>
      <c r="C469" s="265"/>
      <c r="D469" s="265"/>
      <c r="E469" s="265"/>
      <c r="F469" s="266" t="s">
        <v>33</v>
      </c>
      <c r="G469" s="267">
        <f t="shared" si="1"/>
        <v>0</v>
      </c>
      <c r="H469" s="265"/>
      <c r="I469" s="269"/>
      <c r="J469" s="267"/>
    </row>
    <row r="470" ht="15.75" customHeight="1">
      <c r="A470" s="268"/>
      <c r="B470" s="265"/>
      <c r="C470" s="265"/>
      <c r="D470" s="265"/>
      <c r="E470" s="265"/>
      <c r="F470" s="266" t="s">
        <v>33</v>
      </c>
      <c r="G470" s="267">
        <f t="shared" si="1"/>
        <v>0</v>
      </c>
      <c r="H470" s="265"/>
      <c r="I470" s="269"/>
      <c r="J470" s="267"/>
    </row>
    <row r="471" ht="15.75" customHeight="1">
      <c r="A471" s="268"/>
      <c r="B471" s="265"/>
      <c r="C471" s="265"/>
      <c r="D471" s="265"/>
      <c r="E471" s="265"/>
      <c r="F471" s="266" t="s">
        <v>33</v>
      </c>
      <c r="G471" s="267">
        <f t="shared" si="1"/>
        <v>0</v>
      </c>
      <c r="H471" s="265"/>
      <c r="I471" s="269"/>
      <c r="J471" s="267"/>
    </row>
    <row r="472" ht="15.75" customHeight="1">
      <c r="A472" s="268"/>
      <c r="B472" s="265"/>
      <c r="C472" s="265"/>
      <c r="D472" s="265"/>
      <c r="E472" s="265"/>
      <c r="F472" s="266" t="s">
        <v>33</v>
      </c>
      <c r="G472" s="267">
        <f t="shared" si="1"/>
        <v>0</v>
      </c>
      <c r="H472" s="265"/>
      <c r="I472" s="269"/>
      <c r="J472" s="267"/>
    </row>
    <row r="473" ht="15.75" customHeight="1">
      <c r="A473" s="268"/>
      <c r="B473" s="265"/>
      <c r="C473" s="265"/>
      <c r="D473" s="265"/>
      <c r="E473" s="265"/>
      <c r="F473" s="266" t="s">
        <v>33</v>
      </c>
      <c r="G473" s="267">
        <f t="shared" si="1"/>
        <v>0</v>
      </c>
      <c r="H473" s="265"/>
      <c r="I473" s="269"/>
      <c r="J473" s="267"/>
    </row>
    <row r="474" ht="15.75" customHeight="1">
      <c r="A474" s="268"/>
      <c r="B474" s="265"/>
      <c r="C474" s="265"/>
      <c r="D474" s="265"/>
      <c r="E474" s="265"/>
      <c r="F474" s="266" t="s">
        <v>33</v>
      </c>
      <c r="G474" s="267">
        <f t="shared" si="1"/>
        <v>0</v>
      </c>
      <c r="H474" s="265"/>
      <c r="I474" s="269"/>
      <c r="J474" s="267"/>
    </row>
    <row r="475" ht="15.75" customHeight="1">
      <c r="A475" s="268"/>
      <c r="B475" s="265"/>
      <c r="C475" s="265"/>
      <c r="D475" s="265"/>
      <c r="E475" s="265"/>
      <c r="F475" s="266" t="s">
        <v>33</v>
      </c>
      <c r="G475" s="267">
        <f t="shared" si="1"/>
        <v>0</v>
      </c>
      <c r="H475" s="265"/>
      <c r="I475" s="269"/>
      <c r="J475" s="267"/>
    </row>
    <row r="476" ht="15.75" customHeight="1">
      <c r="A476" s="268"/>
      <c r="B476" s="265"/>
      <c r="C476" s="265"/>
      <c r="D476" s="265"/>
      <c r="E476" s="265"/>
      <c r="F476" s="266" t="s">
        <v>33</v>
      </c>
      <c r="G476" s="267">
        <f t="shared" si="1"/>
        <v>0</v>
      </c>
      <c r="H476" s="265"/>
      <c r="I476" s="269"/>
      <c r="J476" s="267"/>
    </row>
    <row r="477" ht="15.75" customHeight="1">
      <c r="A477" s="268"/>
      <c r="B477" s="265"/>
      <c r="C477" s="265"/>
      <c r="D477" s="265"/>
      <c r="E477" s="265"/>
      <c r="F477" s="266" t="s">
        <v>33</v>
      </c>
      <c r="G477" s="267">
        <f t="shared" si="1"/>
        <v>0</v>
      </c>
      <c r="H477" s="265"/>
      <c r="I477" s="269"/>
      <c r="J477" s="267"/>
    </row>
    <row r="478" ht="15.75" customHeight="1">
      <c r="A478" s="268"/>
      <c r="B478" s="265"/>
      <c r="C478" s="265"/>
      <c r="D478" s="265"/>
      <c r="E478" s="265"/>
      <c r="F478" s="266" t="s">
        <v>33</v>
      </c>
      <c r="G478" s="267">
        <f t="shared" si="1"/>
        <v>0</v>
      </c>
      <c r="H478" s="265"/>
      <c r="I478" s="269"/>
      <c r="J478" s="267"/>
    </row>
    <row r="479" ht="15.75" customHeight="1">
      <c r="A479" s="268"/>
      <c r="B479" s="265"/>
      <c r="C479" s="265"/>
      <c r="D479" s="265"/>
      <c r="E479" s="265"/>
      <c r="F479" s="266" t="s">
        <v>33</v>
      </c>
      <c r="G479" s="267">
        <f t="shared" si="1"/>
        <v>0</v>
      </c>
      <c r="H479" s="265"/>
      <c r="I479" s="269"/>
      <c r="J479" s="267"/>
    </row>
    <row r="480" ht="15.75" customHeight="1">
      <c r="A480" s="268"/>
      <c r="B480" s="265"/>
      <c r="C480" s="265"/>
      <c r="D480" s="265"/>
      <c r="E480" s="265"/>
      <c r="F480" s="266" t="s">
        <v>33</v>
      </c>
      <c r="G480" s="267">
        <f t="shared" si="1"/>
        <v>0</v>
      </c>
      <c r="H480" s="265"/>
      <c r="I480" s="269"/>
      <c r="J480" s="267"/>
    </row>
    <row r="481" ht="15.75" customHeight="1">
      <c r="A481" s="268"/>
      <c r="B481" s="265"/>
      <c r="C481" s="265"/>
      <c r="D481" s="265"/>
      <c r="E481" s="265"/>
      <c r="F481" s="266" t="s">
        <v>33</v>
      </c>
      <c r="G481" s="267">
        <f t="shared" si="1"/>
        <v>0</v>
      </c>
      <c r="H481" s="265"/>
      <c r="I481" s="269"/>
      <c r="J481" s="267"/>
    </row>
    <row r="482" ht="15.75" customHeight="1">
      <c r="A482" s="268"/>
      <c r="B482" s="265"/>
      <c r="C482" s="265"/>
      <c r="D482" s="265"/>
      <c r="E482" s="265"/>
      <c r="F482" s="266" t="s">
        <v>33</v>
      </c>
      <c r="G482" s="267">
        <f t="shared" si="1"/>
        <v>0</v>
      </c>
      <c r="H482" s="265"/>
      <c r="I482" s="269"/>
      <c r="J482" s="267"/>
    </row>
    <row r="483" ht="15.75" customHeight="1">
      <c r="A483" s="268"/>
      <c r="B483" s="265"/>
      <c r="C483" s="265"/>
      <c r="D483" s="265"/>
      <c r="E483" s="265"/>
      <c r="F483" s="266" t="s">
        <v>33</v>
      </c>
      <c r="G483" s="267">
        <f t="shared" si="1"/>
        <v>0</v>
      </c>
      <c r="H483" s="265"/>
      <c r="I483" s="269"/>
      <c r="J483" s="267"/>
    </row>
    <row r="484" ht="15.75" customHeight="1">
      <c r="A484" s="268"/>
      <c r="B484" s="265"/>
      <c r="C484" s="265"/>
      <c r="D484" s="265"/>
      <c r="E484" s="265"/>
      <c r="F484" s="266" t="s">
        <v>33</v>
      </c>
      <c r="G484" s="267">
        <f t="shared" si="1"/>
        <v>0</v>
      </c>
      <c r="H484" s="265"/>
      <c r="I484" s="269"/>
      <c r="J484" s="267"/>
    </row>
    <row r="485" ht="15.75" customHeight="1">
      <c r="A485" s="268"/>
      <c r="B485" s="265"/>
      <c r="C485" s="265"/>
      <c r="D485" s="265"/>
      <c r="E485" s="265"/>
      <c r="F485" s="266" t="s">
        <v>33</v>
      </c>
      <c r="G485" s="267">
        <f t="shared" si="1"/>
        <v>0</v>
      </c>
      <c r="H485" s="265"/>
      <c r="I485" s="269"/>
      <c r="J485" s="267"/>
    </row>
    <row r="486" ht="15.75" customHeight="1">
      <c r="A486" s="268"/>
      <c r="B486" s="265"/>
      <c r="C486" s="265"/>
      <c r="D486" s="265"/>
      <c r="E486" s="265"/>
      <c r="F486" s="266" t="s">
        <v>33</v>
      </c>
      <c r="G486" s="267">
        <f t="shared" si="1"/>
        <v>0</v>
      </c>
      <c r="H486" s="265"/>
      <c r="I486" s="269"/>
      <c r="J486" s="267"/>
    </row>
    <row r="487" ht="15.75" customHeight="1">
      <c r="A487" s="268"/>
      <c r="B487" s="265"/>
      <c r="C487" s="265"/>
      <c r="D487" s="265"/>
      <c r="E487" s="265"/>
      <c r="F487" s="266" t="s">
        <v>33</v>
      </c>
      <c r="G487" s="267">
        <f t="shared" si="1"/>
        <v>0</v>
      </c>
      <c r="H487" s="265"/>
      <c r="I487" s="269"/>
      <c r="J487" s="267"/>
    </row>
    <row r="488" ht="15.75" customHeight="1">
      <c r="A488" s="268"/>
      <c r="B488" s="265"/>
      <c r="C488" s="265"/>
      <c r="D488" s="265"/>
      <c r="E488" s="265"/>
      <c r="F488" s="266" t="s">
        <v>33</v>
      </c>
      <c r="G488" s="267">
        <f t="shared" si="1"/>
        <v>0</v>
      </c>
      <c r="H488" s="265"/>
      <c r="I488" s="269"/>
      <c r="J488" s="267"/>
    </row>
    <row r="489" ht="15.75" customHeight="1">
      <c r="A489" s="268"/>
      <c r="B489" s="265"/>
      <c r="C489" s="265"/>
      <c r="D489" s="265"/>
      <c r="E489" s="265"/>
      <c r="F489" s="266" t="s">
        <v>33</v>
      </c>
      <c r="G489" s="267">
        <f t="shared" si="1"/>
        <v>0</v>
      </c>
      <c r="H489" s="265"/>
      <c r="I489" s="269"/>
      <c r="J489" s="267"/>
    </row>
    <row r="490" ht="15.75" customHeight="1">
      <c r="A490" s="268"/>
      <c r="B490" s="265"/>
      <c r="C490" s="265"/>
      <c r="D490" s="265"/>
      <c r="E490" s="265"/>
      <c r="F490" s="266" t="s">
        <v>33</v>
      </c>
      <c r="G490" s="267">
        <f t="shared" si="1"/>
        <v>0</v>
      </c>
      <c r="H490" s="265"/>
      <c r="I490" s="269"/>
      <c r="J490" s="267"/>
    </row>
    <row r="491" ht="15.75" customHeight="1">
      <c r="A491" s="268"/>
      <c r="B491" s="265"/>
      <c r="C491" s="265"/>
      <c r="D491" s="265"/>
      <c r="E491" s="265"/>
      <c r="F491" s="266" t="s">
        <v>33</v>
      </c>
      <c r="G491" s="267">
        <f t="shared" si="1"/>
        <v>0</v>
      </c>
      <c r="H491" s="265"/>
      <c r="I491" s="269"/>
      <c r="J491" s="267"/>
    </row>
    <row r="492" ht="15.75" customHeight="1">
      <c r="A492" s="268"/>
      <c r="B492" s="265"/>
      <c r="C492" s="265"/>
      <c r="D492" s="265"/>
      <c r="E492" s="265"/>
      <c r="F492" s="266" t="s">
        <v>33</v>
      </c>
      <c r="G492" s="267">
        <f t="shared" si="1"/>
        <v>0</v>
      </c>
      <c r="H492" s="265"/>
      <c r="I492" s="269"/>
      <c r="J492" s="267"/>
    </row>
    <row r="493" ht="15.75" customHeight="1">
      <c r="A493" s="268"/>
      <c r="B493" s="265"/>
      <c r="C493" s="265"/>
      <c r="D493" s="265"/>
      <c r="E493" s="265"/>
      <c r="F493" s="266" t="s">
        <v>33</v>
      </c>
      <c r="G493" s="267">
        <f t="shared" si="1"/>
        <v>0</v>
      </c>
      <c r="H493" s="265"/>
      <c r="I493" s="269"/>
      <c r="J493" s="267"/>
    </row>
    <row r="494" ht="15.75" customHeight="1">
      <c r="A494" s="268"/>
      <c r="B494" s="265"/>
      <c r="C494" s="265"/>
      <c r="D494" s="265"/>
      <c r="E494" s="265"/>
      <c r="F494" s="266" t="s">
        <v>33</v>
      </c>
      <c r="G494" s="267">
        <f t="shared" si="1"/>
        <v>0</v>
      </c>
      <c r="H494" s="265"/>
      <c r="I494" s="269"/>
      <c r="J494" s="267"/>
    </row>
    <row r="495" ht="15.75" customHeight="1">
      <c r="A495" s="268"/>
      <c r="B495" s="265"/>
      <c r="C495" s="265"/>
      <c r="D495" s="265"/>
      <c r="E495" s="265"/>
      <c r="F495" s="266" t="s">
        <v>33</v>
      </c>
      <c r="G495" s="267">
        <f t="shared" si="1"/>
        <v>0</v>
      </c>
      <c r="H495" s="265"/>
      <c r="I495" s="269"/>
      <c r="J495" s="267"/>
    </row>
    <row r="496" ht="15.75" customHeight="1">
      <c r="A496" s="268"/>
      <c r="B496" s="265"/>
      <c r="C496" s="265"/>
      <c r="D496" s="265"/>
      <c r="E496" s="265"/>
      <c r="F496" s="266" t="s">
        <v>33</v>
      </c>
      <c r="G496" s="267">
        <f t="shared" si="1"/>
        <v>0</v>
      </c>
      <c r="H496" s="265"/>
      <c r="I496" s="269"/>
      <c r="J496" s="267"/>
    </row>
    <row r="497" ht="15.75" customHeight="1">
      <c r="A497" s="268"/>
      <c r="B497" s="265"/>
      <c r="C497" s="265"/>
      <c r="D497" s="265"/>
      <c r="E497" s="265"/>
      <c r="F497" s="266" t="s">
        <v>33</v>
      </c>
      <c r="G497" s="267">
        <f t="shared" si="1"/>
        <v>0</v>
      </c>
      <c r="H497" s="265"/>
      <c r="I497" s="269"/>
      <c r="J497" s="267"/>
    </row>
    <row r="498" ht="15.75" customHeight="1">
      <c r="A498" s="268"/>
      <c r="B498" s="265"/>
      <c r="C498" s="265"/>
      <c r="D498" s="265"/>
      <c r="E498" s="265"/>
      <c r="F498" s="266" t="s">
        <v>33</v>
      </c>
      <c r="G498" s="267">
        <f t="shared" si="1"/>
        <v>0</v>
      </c>
      <c r="H498" s="265"/>
      <c r="I498" s="269"/>
      <c r="J498" s="267"/>
    </row>
    <row r="499" ht="15.75" customHeight="1">
      <c r="A499" s="268"/>
      <c r="B499" s="265"/>
      <c r="C499" s="265"/>
      <c r="D499" s="265"/>
      <c r="E499" s="265"/>
      <c r="F499" s="266" t="s">
        <v>33</v>
      </c>
      <c r="G499" s="267">
        <f t="shared" si="1"/>
        <v>0</v>
      </c>
      <c r="H499" s="265"/>
      <c r="I499" s="269"/>
      <c r="J499" s="267"/>
    </row>
    <row r="500" ht="15.75" customHeight="1">
      <c r="A500" s="268"/>
      <c r="B500" s="265"/>
      <c r="C500" s="265"/>
      <c r="D500" s="265"/>
      <c r="E500" s="265"/>
      <c r="F500" s="266" t="s">
        <v>33</v>
      </c>
      <c r="G500" s="267">
        <f t="shared" si="1"/>
        <v>0</v>
      </c>
      <c r="H500" s="265"/>
      <c r="I500" s="269"/>
      <c r="J500" s="267"/>
    </row>
    <row r="501" ht="15.75" customHeight="1">
      <c r="A501" s="268"/>
      <c r="B501" s="265"/>
      <c r="C501" s="265"/>
      <c r="D501" s="265"/>
      <c r="E501" s="265"/>
      <c r="F501" s="266" t="s">
        <v>33</v>
      </c>
      <c r="G501" s="267">
        <f t="shared" si="1"/>
        <v>0</v>
      </c>
      <c r="H501" s="265"/>
      <c r="I501" s="269"/>
      <c r="J501" s="267"/>
    </row>
    <row r="502" ht="15.75" customHeight="1">
      <c r="A502" s="268"/>
      <c r="B502" s="265"/>
      <c r="C502" s="265"/>
      <c r="D502" s="265"/>
      <c r="E502" s="265"/>
      <c r="F502" s="266" t="s">
        <v>33</v>
      </c>
      <c r="G502" s="267">
        <f t="shared" si="1"/>
        <v>0</v>
      </c>
      <c r="H502" s="265"/>
      <c r="I502" s="269"/>
      <c r="J502" s="267"/>
    </row>
    <row r="503" ht="15.75" customHeight="1">
      <c r="A503" s="268"/>
      <c r="B503" s="265"/>
      <c r="C503" s="265"/>
      <c r="D503" s="265"/>
      <c r="E503" s="265"/>
      <c r="F503" s="266" t="s">
        <v>33</v>
      </c>
      <c r="G503" s="267">
        <f t="shared" si="1"/>
        <v>0</v>
      </c>
      <c r="H503" s="265"/>
      <c r="I503" s="269"/>
      <c r="J503" s="267"/>
    </row>
    <row r="504" ht="15.75" customHeight="1">
      <c r="A504" s="268"/>
      <c r="B504" s="265"/>
      <c r="C504" s="265"/>
      <c r="D504" s="265"/>
      <c r="E504" s="265"/>
      <c r="F504" s="266" t="s">
        <v>33</v>
      </c>
      <c r="G504" s="267">
        <f t="shared" si="1"/>
        <v>0</v>
      </c>
      <c r="H504" s="265"/>
      <c r="I504" s="269"/>
      <c r="J504" s="267"/>
    </row>
    <row r="505" ht="15.75" customHeight="1">
      <c r="A505" s="268"/>
      <c r="B505" s="265"/>
      <c r="C505" s="265"/>
      <c r="D505" s="265"/>
      <c r="E505" s="265"/>
      <c r="F505" s="266" t="s">
        <v>33</v>
      </c>
      <c r="G505" s="267">
        <f t="shared" si="1"/>
        <v>0</v>
      </c>
      <c r="H505" s="265"/>
      <c r="I505" s="269"/>
      <c r="J505" s="267"/>
    </row>
    <row r="506" ht="15.75" customHeight="1">
      <c r="A506" s="268"/>
      <c r="B506" s="265"/>
      <c r="C506" s="265"/>
      <c r="D506" s="265"/>
      <c r="E506" s="265"/>
      <c r="F506" s="266" t="s">
        <v>33</v>
      </c>
      <c r="G506" s="267">
        <f t="shared" si="1"/>
        <v>0</v>
      </c>
      <c r="H506" s="265"/>
      <c r="I506" s="269"/>
      <c r="J506" s="267"/>
    </row>
    <row r="507" ht="15.75" customHeight="1">
      <c r="A507" s="268"/>
      <c r="B507" s="265"/>
      <c r="C507" s="265"/>
      <c r="D507" s="265"/>
      <c r="E507" s="265"/>
      <c r="F507" s="266" t="s">
        <v>33</v>
      </c>
      <c r="G507" s="267">
        <f t="shared" si="1"/>
        <v>0</v>
      </c>
      <c r="H507" s="265"/>
      <c r="I507" s="269"/>
      <c r="J507" s="267"/>
    </row>
    <row r="508" ht="15.75" customHeight="1">
      <c r="A508" s="268"/>
      <c r="B508" s="265"/>
      <c r="C508" s="265"/>
      <c r="D508" s="265"/>
      <c r="E508" s="265"/>
      <c r="F508" s="266" t="s">
        <v>33</v>
      </c>
      <c r="G508" s="267">
        <f t="shared" si="1"/>
        <v>0</v>
      </c>
      <c r="H508" s="265"/>
      <c r="I508" s="269"/>
      <c r="J508" s="267"/>
    </row>
    <row r="509" ht="15.75" customHeight="1">
      <c r="A509" s="268"/>
      <c r="B509" s="265"/>
      <c r="C509" s="265"/>
      <c r="D509" s="265"/>
      <c r="E509" s="265"/>
      <c r="F509" s="266" t="s">
        <v>33</v>
      </c>
      <c r="G509" s="267">
        <f t="shared" si="1"/>
        <v>0</v>
      </c>
      <c r="H509" s="265"/>
      <c r="I509" s="269"/>
      <c r="J509" s="267"/>
    </row>
    <row r="510" ht="15.75" customHeight="1">
      <c r="A510" s="268"/>
      <c r="B510" s="265"/>
      <c r="C510" s="265"/>
      <c r="D510" s="265"/>
      <c r="E510" s="265"/>
      <c r="F510" s="266" t="s">
        <v>33</v>
      </c>
      <c r="G510" s="267">
        <f t="shared" si="1"/>
        <v>0</v>
      </c>
      <c r="H510" s="265"/>
      <c r="I510" s="269"/>
      <c r="J510" s="267"/>
    </row>
    <row r="511" ht="15.75" customHeight="1">
      <c r="A511" s="268"/>
      <c r="B511" s="265"/>
      <c r="C511" s="265"/>
      <c r="D511" s="265"/>
      <c r="E511" s="265"/>
      <c r="F511" s="266" t="s">
        <v>33</v>
      </c>
      <c r="G511" s="267">
        <f t="shared" si="1"/>
        <v>0</v>
      </c>
      <c r="H511" s="265"/>
      <c r="I511" s="269"/>
      <c r="J511" s="267"/>
    </row>
    <row r="512" ht="15.75" customHeight="1">
      <c r="A512" s="268"/>
      <c r="B512" s="265"/>
      <c r="C512" s="265"/>
      <c r="D512" s="265"/>
      <c r="E512" s="265"/>
      <c r="F512" s="266" t="s">
        <v>33</v>
      </c>
      <c r="G512" s="267">
        <f t="shared" si="1"/>
        <v>0</v>
      </c>
      <c r="H512" s="265"/>
      <c r="I512" s="269"/>
      <c r="J512" s="267"/>
    </row>
    <row r="513" ht="15.75" customHeight="1">
      <c r="A513" s="268"/>
      <c r="B513" s="265"/>
      <c r="C513" s="265"/>
      <c r="D513" s="265"/>
      <c r="E513" s="265"/>
      <c r="F513" s="266" t="s">
        <v>33</v>
      </c>
      <c r="G513" s="267">
        <f t="shared" si="1"/>
        <v>0</v>
      </c>
      <c r="H513" s="265"/>
      <c r="I513" s="269"/>
      <c r="J513" s="267"/>
    </row>
    <row r="514" ht="15.75" customHeight="1">
      <c r="A514" s="268"/>
      <c r="B514" s="265"/>
      <c r="C514" s="265"/>
      <c r="D514" s="265"/>
      <c r="E514" s="265"/>
      <c r="F514" s="266" t="s">
        <v>33</v>
      </c>
      <c r="G514" s="267">
        <f t="shared" si="1"/>
        <v>0</v>
      </c>
      <c r="H514" s="265"/>
      <c r="I514" s="269"/>
      <c r="J514" s="267"/>
    </row>
    <row r="515" ht="15.75" customHeight="1">
      <c r="A515" s="268"/>
      <c r="B515" s="265"/>
      <c r="C515" s="265"/>
      <c r="D515" s="265"/>
      <c r="E515" s="265"/>
      <c r="F515" s="266" t="s">
        <v>33</v>
      </c>
      <c r="G515" s="267">
        <f t="shared" si="1"/>
        <v>0</v>
      </c>
      <c r="H515" s="265"/>
      <c r="I515" s="269"/>
      <c r="J515" s="267"/>
    </row>
    <row r="516" ht="15.75" customHeight="1">
      <c r="A516" s="268"/>
      <c r="B516" s="265"/>
      <c r="C516" s="265"/>
      <c r="D516" s="265"/>
      <c r="E516" s="265"/>
      <c r="F516" s="266" t="s">
        <v>33</v>
      </c>
      <c r="G516" s="267">
        <f t="shared" si="1"/>
        <v>0</v>
      </c>
      <c r="H516" s="265"/>
      <c r="I516" s="269"/>
      <c r="J516" s="267"/>
    </row>
    <row r="517" ht="15.75" customHeight="1">
      <c r="A517" s="268"/>
      <c r="B517" s="265"/>
      <c r="C517" s="265"/>
      <c r="D517" s="265"/>
      <c r="E517" s="265"/>
      <c r="F517" s="266" t="s">
        <v>33</v>
      </c>
      <c r="G517" s="267">
        <f t="shared" si="1"/>
        <v>0</v>
      </c>
      <c r="H517" s="265"/>
      <c r="I517" s="269"/>
      <c r="J517" s="267"/>
    </row>
    <row r="518" ht="15.75" customHeight="1">
      <c r="A518" s="268"/>
      <c r="B518" s="265"/>
      <c r="C518" s="265"/>
      <c r="D518" s="265"/>
      <c r="E518" s="265"/>
      <c r="F518" s="266" t="s">
        <v>33</v>
      </c>
      <c r="G518" s="267">
        <f t="shared" si="1"/>
        <v>0</v>
      </c>
      <c r="H518" s="265"/>
      <c r="I518" s="269"/>
      <c r="J518" s="267"/>
    </row>
    <row r="519" ht="15.75" customHeight="1">
      <c r="A519" s="268"/>
      <c r="B519" s="265"/>
      <c r="C519" s="265"/>
      <c r="D519" s="265"/>
      <c r="E519" s="265"/>
      <c r="F519" s="266" t="s">
        <v>33</v>
      </c>
      <c r="G519" s="267">
        <f t="shared" si="1"/>
        <v>0</v>
      </c>
      <c r="H519" s="265"/>
      <c r="I519" s="269"/>
      <c r="J519" s="267"/>
    </row>
    <row r="520" ht="15.75" customHeight="1">
      <c r="A520" s="268"/>
      <c r="B520" s="265"/>
      <c r="C520" s="265"/>
      <c r="D520" s="265"/>
      <c r="E520" s="265"/>
      <c r="F520" s="266" t="s">
        <v>33</v>
      </c>
      <c r="G520" s="267">
        <f t="shared" si="1"/>
        <v>0</v>
      </c>
      <c r="H520" s="265"/>
      <c r="I520" s="269"/>
      <c r="J520" s="267"/>
    </row>
    <row r="521" ht="15.75" customHeight="1">
      <c r="A521" s="268"/>
      <c r="B521" s="265"/>
      <c r="C521" s="265"/>
      <c r="D521" s="265"/>
      <c r="E521" s="265"/>
      <c r="F521" s="266" t="s">
        <v>33</v>
      </c>
      <c r="G521" s="267">
        <f t="shared" si="1"/>
        <v>0</v>
      </c>
      <c r="H521" s="265"/>
      <c r="I521" s="269"/>
      <c r="J521" s="267"/>
    </row>
    <row r="522" ht="15.75" customHeight="1">
      <c r="A522" s="268"/>
      <c r="B522" s="265"/>
      <c r="C522" s="265"/>
      <c r="D522" s="265"/>
      <c r="E522" s="265"/>
      <c r="F522" s="266" t="s">
        <v>33</v>
      </c>
      <c r="G522" s="267">
        <f t="shared" si="1"/>
        <v>0</v>
      </c>
      <c r="H522" s="265"/>
      <c r="I522" s="269"/>
      <c r="J522" s="267"/>
    </row>
    <row r="523" ht="15.75" customHeight="1">
      <c r="A523" s="268"/>
      <c r="B523" s="265"/>
      <c r="C523" s="265"/>
      <c r="D523" s="265"/>
      <c r="E523" s="265"/>
      <c r="F523" s="266" t="s">
        <v>33</v>
      </c>
      <c r="G523" s="267">
        <f t="shared" si="1"/>
        <v>0</v>
      </c>
      <c r="H523" s="265"/>
      <c r="I523" s="269"/>
      <c r="J523" s="267"/>
    </row>
    <row r="524" ht="15.75" customHeight="1">
      <c r="A524" s="268"/>
      <c r="B524" s="265"/>
      <c r="C524" s="265"/>
      <c r="D524" s="265"/>
      <c r="E524" s="265"/>
      <c r="F524" s="266" t="s">
        <v>33</v>
      </c>
      <c r="G524" s="267">
        <f t="shared" si="1"/>
        <v>0</v>
      </c>
      <c r="H524" s="265"/>
      <c r="I524" s="269"/>
      <c r="J524" s="267"/>
    </row>
    <row r="525" ht="15.75" customHeight="1">
      <c r="A525" s="268"/>
      <c r="B525" s="265"/>
      <c r="C525" s="265"/>
      <c r="D525" s="265"/>
      <c r="E525" s="265"/>
      <c r="F525" s="266" t="s">
        <v>33</v>
      </c>
      <c r="G525" s="267">
        <f t="shared" si="1"/>
        <v>0</v>
      </c>
      <c r="H525" s="265"/>
      <c r="I525" s="269"/>
      <c r="J525" s="267"/>
    </row>
    <row r="526" ht="15.75" customHeight="1">
      <c r="A526" s="268"/>
      <c r="B526" s="265"/>
      <c r="C526" s="265"/>
      <c r="D526" s="265"/>
      <c r="E526" s="265"/>
      <c r="F526" s="266" t="s">
        <v>33</v>
      </c>
      <c r="G526" s="267">
        <f t="shared" si="1"/>
        <v>0</v>
      </c>
      <c r="H526" s="265"/>
      <c r="I526" s="269"/>
      <c r="J526" s="267"/>
    </row>
    <row r="527" ht="15.75" customHeight="1">
      <c r="A527" s="268"/>
      <c r="B527" s="265"/>
      <c r="C527" s="265"/>
      <c r="D527" s="265"/>
      <c r="E527" s="265"/>
      <c r="F527" s="266" t="s">
        <v>33</v>
      </c>
      <c r="G527" s="267">
        <f t="shared" si="1"/>
        <v>0</v>
      </c>
      <c r="H527" s="265"/>
      <c r="I527" s="269"/>
      <c r="J527" s="267"/>
    </row>
    <row r="528" ht="15.75" customHeight="1">
      <c r="A528" s="268"/>
      <c r="B528" s="265"/>
      <c r="C528" s="265"/>
      <c r="D528" s="265"/>
      <c r="E528" s="265"/>
      <c r="F528" s="266" t="s">
        <v>33</v>
      </c>
      <c r="G528" s="267">
        <f t="shared" si="1"/>
        <v>0</v>
      </c>
      <c r="H528" s="265"/>
      <c r="I528" s="269"/>
      <c r="J528" s="267"/>
    </row>
    <row r="529" ht="15.75" customHeight="1">
      <c r="A529" s="268"/>
      <c r="B529" s="265"/>
      <c r="C529" s="265"/>
      <c r="D529" s="265"/>
      <c r="E529" s="265"/>
      <c r="F529" s="266" t="s">
        <v>33</v>
      </c>
      <c r="G529" s="267">
        <f t="shared" si="1"/>
        <v>0</v>
      </c>
      <c r="H529" s="265"/>
      <c r="I529" s="269"/>
      <c r="J529" s="267"/>
    </row>
    <row r="530" ht="15.75" customHeight="1">
      <c r="A530" s="268"/>
      <c r="B530" s="265"/>
      <c r="C530" s="265"/>
      <c r="D530" s="265"/>
      <c r="E530" s="265"/>
      <c r="F530" s="266" t="s">
        <v>33</v>
      </c>
      <c r="G530" s="267">
        <f t="shared" si="1"/>
        <v>0</v>
      </c>
      <c r="H530" s="265"/>
      <c r="I530" s="269"/>
      <c r="J530" s="267"/>
    </row>
    <row r="531" ht="15.75" customHeight="1">
      <c r="A531" s="268"/>
      <c r="B531" s="265"/>
      <c r="C531" s="265"/>
      <c r="D531" s="265"/>
      <c r="E531" s="265"/>
      <c r="F531" s="266" t="s">
        <v>33</v>
      </c>
      <c r="G531" s="267">
        <f t="shared" si="1"/>
        <v>0</v>
      </c>
      <c r="H531" s="265"/>
      <c r="I531" s="269"/>
      <c r="J531" s="267"/>
    </row>
    <row r="532" ht="15.75" customHeight="1">
      <c r="A532" s="268"/>
      <c r="B532" s="265"/>
      <c r="C532" s="265"/>
      <c r="D532" s="265"/>
      <c r="E532" s="265"/>
      <c r="F532" s="266" t="s">
        <v>33</v>
      </c>
      <c r="G532" s="267">
        <f t="shared" si="1"/>
        <v>0</v>
      </c>
      <c r="H532" s="265"/>
      <c r="I532" s="269"/>
      <c r="J532" s="267"/>
    </row>
    <row r="533" ht="15.75" customHeight="1">
      <c r="A533" s="268"/>
      <c r="B533" s="265"/>
      <c r="C533" s="265"/>
      <c r="D533" s="265"/>
      <c r="E533" s="265"/>
      <c r="F533" s="266" t="s">
        <v>33</v>
      </c>
      <c r="G533" s="267">
        <f t="shared" si="1"/>
        <v>0</v>
      </c>
      <c r="H533" s="265"/>
      <c r="I533" s="269"/>
      <c r="J533" s="267"/>
    </row>
    <row r="534" ht="15.75" customHeight="1">
      <c r="A534" s="268"/>
      <c r="B534" s="265"/>
      <c r="C534" s="265"/>
      <c r="D534" s="265"/>
      <c r="E534" s="265"/>
      <c r="F534" s="266" t="s">
        <v>33</v>
      </c>
      <c r="G534" s="267">
        <f t="shared" si="1"/>
        <v>0</v>
      </c>
      <c r="H534" s="265"/>
      <c r="I534" s="269"/>
      <c r="J534" s="267"/>
    </row>
    <row r="535" ht="15.75" customHeight="1">
      <c r="A535" s="268"/>
      <c r="B535" s="265"/>
      <c r="C535" s="265"/>
      <c r="D535" s="265"/>
      <c r="E535" s="265"/>
      <c r="F535" s="266" t="s">
        <v>33</v>
      </c>
      <c r="G535" s="267">
        <f t="shared" si="1"/>
        <v>0</v>
      </c>
      <c r="H535" s="265"/>
      <c r="I535" s="269"/>
      <c r="J535" s="267"/>
    </row>
    <row r="536" ht="15.75" customHeight="1">
      <c r="A536" s="268"/>
      <c r="B536" s="265"/>
      <c r="C536" s="265"/>
      <c r="D536" s="265"/>
      <c r="E536" s="265"/>
      <c r="F536" s="266" t="s">
        <v>33</v>
      </c>
      <c r="G536" s="267">
        <f t="shared" si="1"/>
        <v>0</v>
      </c>
      <c r="H536" s="265"/>
      <c r="I536" s="269"/>
      <c r="J536" s="267"/>
    </row>
    <row r="537" ht="15.75" customHeight="1">
      <c r="A537" s="268"/>
      <c r="B537" s="265"/>
      <c r="C537" s="265"/>
      <c r="D537" s="265"/>
      <c r="E537" s="265"/>
      <c r="F537" s="266" t="s">
        <v>33</v>
      </c>
      <c r="G537" s="267">
        <f t="shared" si="1"/>
        <v>0</v>
      </c>
      <c r="H537" s="265"/>
      <c r="I537" s="269"/>
      <c r="J537" s="267"/>
    </row>
    <row r="538" ht="15.75" customHeight="1">
      <c r="A538" s="268"/>
      <c r="B538" s="265"/>
      <c r="C538" s="265"/>
      <c r="D538" s="265"/>
      <c r="E538" s="265"/>
      <c r="F538" s="266" t="s">
        <v>33</v>
      </c>
      <c r="G538" s="267">
        <f t="shared" si="1"/>
        <v>0</v>
      </c>
      <c r="H538" s="265"/>
      <c r="I538" s="269"/>
      <c r="J538" s="267"/>
    </row>
    <row r="539" ht="15.75" customHeight="1">
      <c r="A539" s="268"/>
      <c r="B539" s="265"/>
      <c r="C539" s="265"/>
      <c r="D539" s="265"/>
      <c r="E539" s="265"/>
      <c r="F539" s="266" t="s">
        <v>33</v>
      </c>
      <c r="G539" s="267">
        <f t="shared" si="1"/>
        <v>0</v>
      </c>
      <c r="H539" s="265"/>
      <c r="I539" s="269"/>
      <c r="J539" s="267"/>
    </row>
    <row r="540" ht="15.75" customHeight="1">
      <c r="A540" s="268"/>
      <c r="B540" s="265"/>
      <c r="C540" s="265"/>
      <c r="D540" s="265"/>
      <c r="E540" s="265"/>
      <c r="F540" s="266" t="s">
        <v>33</v>
      </c>
      <c r="G540" s="267">
        <f t="shared" si="1"/>
        <v>0</v>
      </c>
      <c r="H540" s="265"/>
      <c r="I540" s="269"/>
      <c r="J540" s="267"/>
    </row>
    <row r="541" ht="15.75" customHeight="1">
      <c r="A541" s="268"/>
      <c r="B541" s="265"/>
      <c r="C541" s="265"/>
      <c r="D541" s="265"/>
      <c r="E541" s="265"/>
      <c r="F541" s="266" t="s">
        <v>33</v>
      </c>
      <c r="G541" s="267">
        <f t="shared" si="1"/>
        <v>0</v>
      </c>
      <c r="H541" s="265"/>
      <c r="I541" s="269"/>
      <c r="J541" s="267"/>
    </row>
    <row r="542" ht="15.75" customHeight="1">
      <c r="A542" s="268"/>
      <c r="B542" s="265"/>
      <c r="C542" s="265"/>
      <c r="D542" s="265"/>
      <c r="E542" s="265"/>
      <c r="F542" s="266" t="s">
        <v>33</v>
      </c>
      <c r="G542" s="267">
        <f t="shared" si="1"/>
        <v>0</v>
      </c>
      <c r="H542" s="265"/>
      <c r="I542" s="269"/>
      <c r="J542" s="267"/>
    </row>
    <row r="543" ht="15.75" customHeight="1">
      <c r="A543" s="268"/>
      <c r="B543" s="265"/>
      <c r="C543" s="265"/>
      <c r="D543" s="265"/>
      <c r="E543" s="265"/>
      <c r="F543" s="266" t="s">
        <v>33</v>
      </c>
      <c r="G543" s="267">
        <f t="shared" si="1"/>
        <v>0</v>
      </c>
      <c r="H543" s="265"/>
      <c r="I543" s="269"/>
      <c r="J543" s="267"/>
    </row>
    <row r="544" ht="15.75" customHeight="1">
      <c r="A544" s="268"/>
      <c r="B544" s="265"/>
      <c r="C544" s="265"/>
      <c r="D544" s="265"/>
      <c r="E544" s="265"/>
      <c r="F544" s="266" t="s">
        <v>33</v>
      </c>
      <c r="G544" s="267">
        <f t="shared" si="1"/>
        <v>0</v>
      </c>
      <c r="H544" s="265"/>
      <c r="I544" s="269"/>
      <c r="J544" s="267"/>
    </row>
    <row r="545" ht="15.75" customHeight="1">
      <c r="A545" s="268"/>
      <c r="B545" s="265"/>
      <c r="C545" s="265"/>
      <c r="D545" s="265"/>
      <c r="E545" s="265"/>
      <c r="F545" s="266" t="s">
        <v>33</v>
      </c>
      <c r="G545" s="267">
        <f t="shared" si="1"/>
        <v>0</v>
      </c>
      <c r="H545" s="265"/>
      <c r="I545" s="269"/>
      <c r="J545" s="267"/>
    </row>
    <row r="546" ht="15.75" customHeight="1">
      <c r="A546" s="268"/>
      <c r="B546" s="265"/>
      <c r="C546" s="265"/>
      <c r="D546" s="265"/>
      <c r="E546" s="265"/>
      <c r="F546" s="266" t="s">
        <v>33</v>
      </c>
      <c r="G546" s="267">
        <f t="shared" si="1"/>
        <v>0</v>
      </c>
      <c r="H546" s="265"/>
      <c r="I546" s="269"/>
      <c r="J546" s="267"/>
    </row>
    <row r="547" ht="15.75" customHeight="1">
      <c r="A547" s="268"/>
      <c r="B547" s="265"/>
      <c r="C547" s="265"/>
      <c r="D547" s="265"/>
      <c r="E547" s="265"/>
      <c r="F547" s="266" t="s">
        <v>33</v>
      </c>
      <c r="G547" s="267">
        <f t="shared" si="1"/>
        <v>0</v>
      </c>
      <c r="H547" s="265"/>
      <c r="I547" s="269"/>
      <c r="J547" s="267"/>
    </row>
    <row r="548" ht="15.75" customHeight="1">
      <c r="A548" s="268"/>
      <c r="B548" s="265"/>
      <c r="C548" s="265"/>
      <c r="D548" s="265"/>
      <c r="E548" s="265"/>
      <c r="F548" s="266" t="s">
        <v>33</v>
      </c>
      <c r="G548" s="267">
        <f t="shared" si="1"/>
        <v>0</v>
      </c>
      <c r="H548" s="265"/>
      <c r="I548" s="269"/>
      <c r="J548" s="267"/>
    </row>
    <row r="549" ht="15.75" customHeight="1">
      <c r="A549" s="268"/>
      <c r="B549" s="265"/>
      <c r="C549" s="265"/>
      <c r="D549" s="265"/>
      <c r="E549" s="265"/>
      <c r="F549" s="266" t="s">
        <v>33</v>
      </c>
      <c r="G549" s="267">
        <f t="shared" si="1"/>
        <v>0</v>
      </c>
      <c r="H549" s="265"/>
      <c r="I549" s="269"/>
      <c r="J549" s="267"/>
    </row>
    <row r="550" ht="15.75" customHeight="1">
      <c r="A550" s="268"/>
      <c r="B550" s="265"/>
      <c r="C550" s="265"/>
      <c r="D550" s="265"/>
      <c r="E550" s="265"/>
      <c r="F550" s="266" t="s">
        <v>33</v>
      </c>
      <c r="G550" s="267">
        <f t="shared" si="1"/>
        <v>0</v>
      </c>
      <c r="H550" s="265"/>
      <c r="I550" s="269"/>
      <c r="J550" s="267"/>
    </row>
    <row r="551" ht="15.75" customHeight="1">
      <c r="A551" s="268"/>
      <c r="B551" s="265"/>
      <c r="C551" s="265"/>
      <c r="D551" s="265"/>
      <c r="E551" s="265"/>
      <c r="F551" s="266" t="s">
        <v>33</v>
      </c>
      <c r="G551" s="267">
        <f t="shared" si="1"/>
        <v>0</v>
      </c>
      <c r="H551" s="265"/>
      <c r="I551" s="269"/>
      <c r="J551" s="267"/>
    </row>
    <row r="552" ht="15.75" customHeight="1">
      <c r="A552" s="268"/>
      <c r="B552" s="265"/>
      <c r="C552" s="265"/>
      <c r="D552" s="265"/>
      <c r="E552" s="265"/>
      <c r="F552" s="266" t="s">
        <v>33</v>
      </c>
      <c r="G552" s="267">
        <f t="shared" si="1"/>
        <v>0</v>
      </c>
      <c r="H552" s="265"/>
      <c r="I552" s="269"/>
      <c r="J552" s="267"/>
    </row>
    <row r="553" ht="15.75" customHeight="1">
      <c r="A553" s="268"/>
      <c r="B553" s="265"/>
      <c r="C553" s="265"/>
      <c r="D553" s="265"/>
      <c r="E553" s="265"/>
      <c r="F553" s="266" t="s">
        <v>33</v>
      </c>
      <c r="G553" s="267">
        <f t="shared" si="1"/>
        <v>0</v>
      </c>
      <c r="H553" s="265"/>
      <c r="I553" s="269"/>
      <c r="J553" s="267"/>
    </row>
    <row r="554" ht="15.75" customHeight="1">
      <c r="A554" s="268"/>
      <c r="B554" s="265"/>
      <c r="C554" s="265"/>
      <c r="D554" s="265"/>
      <c r="E554" s="265"/>
      <c r="F554" s="266" t="s">
        <v>33</v>
      </c>
      <c r="G554" s="267">
        <f t="shared" si="1"/>
        <v>0</v>
      </c>
      <c r="H554" s="265"/>
      <c r="I554" s="269"/>
      <c r="J554" s="267"/>
    </row>
    <row r="555" ht="15.75" customHeight="1">
      <c r="A555" s="268"/>
      <c r="B555" s="265"/>
      <c r="C555" s="265"/>
      <c r="D555" s="265"/>
      <c r="E555" s="265"/>
      <c r="F555" s="266" t="s">
        <v>33</v>
      </c>
      <c r="G555" s="267">
        <f t="shared" si="1"/>
        <v>0</v>
      </c>
      <c r="H555" s="265"/>
      <c r="I555" s="269"/>
      <c r="J555" s="267"/>
    </row>
    <row r="556" ht="15.75" customHeight="1">
      <c r="A556" s="268"/>
      <c r="B556" s="265"/>
      <c r="C556" s="265"/>
      <c r="D556" s="265"/>
      <c r="E556" s="265"/>
      <c r="F556" s="266" t="s">
        <v>33</v>
      </c>
      <c r="G556" s="267">
        <f t="shared" si="1"/>
        <v>0</v>
      </c>
      <c r="H556" s="265"/>
      <c r="I556" s="269"/>
      <c r="J556" s="267"/>
    </row>
    <row r="557" ht="15.75" customHeight="1">
      <c r="A557" s="268"/>
      <c r="B557" s="265"/>
      <c r="C557" s="265"/>
      <c r="D557" s="265"/>
      <c r="E557" s="265"/>
      <c r="F557" s="266" t="s">
        <v>33</v>
      </c>
      <c r="G557" s="267">
        <f t="shared" si="1"/>
        <v>0</v>
      </c>
      <c r="H557" s="265"/>
      <c r="I557" s="269"/>
      <c r="J557" s="267"/>
    </row>
    <row r="558" ht="15.75" customHeight="1">
      <c r="A558" s="268"/>
      <c r="B558" s="265"/>
      <c r="C558" s="265"/>
      <c r="D558" s="265"/>
      <c r="E558" s="265"/>
      <c r="F558" s="266" t="s">
        <v>33</v>
      </c>
      <c r="G558" s="267">
        <f t="shared" si="1"/>
        <v>0</v>
      </c>
      <c r="H558" s="265"/>
      <c r="I558" s="269"/>
      <c r="J558" s="267"/>
    </row>
    <row r="559" ht="15.75" customHeight="1">
      <c r="A559" s="268"/>
      <c r="B559" s="265"/>
      <c r="C559" s="265"/>
      <c r="D559" s="265"/>
      <c r="E559" s="265"/>
      <c r="F559" s="266" t="s">
        <v>33</v>
      </c>
      <c r="G559" s="267">
        <f t="shared" si="1"/>
        <v>0</v>
      </c>
      <c r="H559" s="265"/>
      <c r="I559" s="269"/>
      <c r="J559" s="267"/>
    </row>
    <row r="560" ht="15.75" customHeight="1">
      <c r="A560" s="268"/>
      <c r="B560" s="265"/>
      <c r="C560" s="265"/>
      <c r="D560" s="265"/>
      <c r="E560" s="265"/>
      <c r="F560" s="266" t="s">
        <v>33</v>
      </c>
      <c r="G560" s="267">
        <f t="shared" si="1"/>
        <v>0</v>
      </c>
      <c r="H560" s="265"/>
      <c r="I560" s="269"/>
      <c r="J560" s="267"/>
    </row>
    <row r="561" ht="15.75" customHeight="1">
      <c r="A561" s="268"/>
      <c r="B561" s="265"/>
      <c r="C561" s="265"/>
      <c r="D561" s="265"/>
      <c r="E561" s="265"/>
      <c r="F561" s="266" t="s">
        <v>33</v>
      </c>
      <c r="G561" s="267">
        <f t="shared" si="1"/>
        <v>0</v>
      </c>
      <c r="H561" s="265"/>
      <c r="I561" s="269"/>
      <c r="J561" s="267"/>
    </row>
    <row r="562" ht="15.75" customHeight="1">
      <c r="A562" s="268"/>
      <c r="B562" s="265"/>
      <c r="C562" s="265"/>
      <c r="D562" s="265"/>
      <c r="E562" s="265"/>
      <c r="F562" s="266" t="s">
        <v>33</v>
      </c>
      <c r="G562" s="267">
        <f t="shared" si="1"/>
        <v>0</v>
      </c>
      <c r="H562" s="265"/>
      <c r="I562" s="269"/>
      <c r="J562" s="267"/>
    </row>
    <row r="563" ht="15.75" customHeight="1">
      <c r="A563" s="268"/>
      <c r="B563" s="265"/>
      <c r="C563" s="265"/>
      <c r="D563" s="265"/>
      <c r="E563" s="265"/>
      <c r="F563" s="266" t="s">
        <v>33</v>
      </c>
      <c r="G563" s="267">
        <f t="shared" si="1"/>
        <v>0</v>
      </c>
      <c r="H563" s="265"/>
      <c r="I563" s="269"/>
      <c r="J563" s="267"/>
    </row>
    <row r="564" ht="15.75" customHeight="1">
      <c r="A564" s="268"/>
      <c r="B564" s="265"/>
      <c r="C564" s="265"/>
      <c r="D564" s="265"/>
      <c r="E564" s="265"/>
      <c r="F564" s="266" t="s">
        <v>33</v>
      </c>
      <c r="G564" s="267">
        <f t="shared" si="1"/>
        <v>0</v>
      </c>
      <c r="H564" s="265"/>
      <c r="I564" s="269"/>
      <c r="J564" s="267"/>
    </row>
    <row r="565" ht="15.75" customHeight="1">
      <c r="A565" s="268"/>
      <c r="B565" s="265"/>
      <c r="C565" s="265"/>
      <c r="D565" s="265"/>
      <c r="E565" s="265"/>
      <c r="F565" s="266" t="s">
        <v>33</v>
      </c>
      <c r="G565" s="267">
        <f t="shared" si="1"/>
        <v>0</v>
      </c>
      <c r="H565" s="265"/>
      <c r="I565" s="269"/>
      <c r="J565" s="267"/>
    </row>
    <row r="566" ht="15.75" customHeight="1">
      <c r="A566" s="268"/>
      <c r="B566" s="265"/>
      <c r="C566" s="265"/>
      <c r="D566" s="265"/>
      <c r="E566" s="265"/>
      <c r="F566" s="266" t="s">
        <v>33</v>
      </c>
      <c r="G566" s="267">
        <f t="shared" si="1"/>
        <v>0</v>
      </c>
      <c r="H566" s="265"/>
      <c r="I566" s="269"/>
      <c r="J566" s="267"/>
    </row>
    <row r="567" ht="15.75" customHeight="1">
      <c r="A567" s="268"/>
      <c r="B567" s="265"/>
      <c r="C567" s="265"/>
      <c r="D567" s="265"/>
      <c r="E567" s="265"/>
      <c r="F567" s="266" t="s">
        <v>33</v>
      </c>
      <c r="G567" s="267">
        <f t="shared" si="1"/>
        <v>0</v>
      </c>
      <c r="H567" s="265"/>
      <c r="I567" s="269"/>
      <c r="J567" s="267"/>
    </row>
    <row r="568" ht="15.75" customHeight="1">
      <c r="A568" s="268"/>
      <c r="B568" s="265"/>
      <c r="C568" s="265"/>
      <c r="D568" s="265"/>
      <c r="E568" s="265"/>
      <c r="F568" s="266" t="s">
        <v>33</v>
      </c>
      <c r="G568" s="267">
        <f t="shared" si="1"/>
        <v>0</v>
      </c>
      <c r="H568" s="265"/>
      <c r="I568" s="269"/>
      <c r="J568" s="267"/>
    </row>
    <row r="569" ht="15.75" customHeight="1">
      <c r="A569" s="268"/>
      <c r="B569" s="265"/>
      <c r="C569" s="265"/>
      <c r="D569" s="265"/>
      <c r="E569" s="265"/>
      <c r="F569" s="266" t="s">
        <v>33</v>
      </c>
      <c r="G569" s="267">
        <f t="shared" si="1"/>
        <v>0</v>
      </c>
      <c r="H569" s="265"/>
      <c r="I569" s="269"/>
      <c r="J569" s="267"/>
    </row>
    <row r="570" ht="15.75" customHeight="1">
      <c r="A570" s="268"/>
      <c r="B570" s="265"/>
      <c r="C570" s="265"/>
      <c r="D570" s="265"/>
      <c r="E570" s="265"/>
      <c r="F570" s="266" t="s">
        <v>33</v>
      </c>
      <c r="G570" s="267">
        <f t="shared" si="1"/>
        <v>0</v>
      </c>
      <c r="H570" s="265"/>
      <c r="I570" s="269"/>
      <c r="J570" s="267"/>
    </row>
    <row r="571" ht="15.75" customHeight="1">
      <c r="A571" s="268"/>
      <c r="B571" s="265"/>
      <c r="C571" s="265"/>
      <c r="D571" s="265"/>
      <c r="E571" s="265"/>
      <c r="F571" s="266" t="s">
        <v>33</v>
      </c>
      <c r="G571" s="267">
        <f t="shared" si="1"/>
        <v>0</v>
      </c>
      <c r="H571" s="265"/>
      <c r="I571" s="269"/>
      <c r="J571" s="267"/>
    </row>
    <row r="572" ht="15.75" customHeight="1">
      <c r="A572" s="268"/>
      <c r="B572" s="265"/>
      <c r="C572" s="265"/>
      <c r="D572" s="265"/>
      <c r="E572" s="265"/>
      <c r="F572" s="266" t="s">
        <v>33</v>
      </c>
      <c r="G572" s="267">
        <f t="shared" si="1"/>
        <v>0</v>
      </c>
      <c r="H572" s="265"/>
      <c r="I572" s="269"/>
      <c r="J572" s="267"/>
    </row>
    <row r="573" ht="15.75" customHeight="1">
      <c r="A573" s="268"/>
      <c r="B573" s="265"/>
      <c r="C573" s="265"/>
      <c r="D573" s="265"/>
      <c r="E573" s="265"/>
      <c r="F573" s="266" t="s">
        <v>33</v>
      </c>
      <c r="G573" s="267">
        <f t="shared" si="1"/>
        <v>0</v>
      </c>
      <c r="H573" s="265"/>
      <c r="I573" s="269"/>
      <c r="J573" s="267"/>
    </row>
    <row r="574" ht="15.75" customHeight="1">
      <c r="A574" s="268"/>
      <c r="B574" s="265"/>
      <c r="C574" s="265"/>
      <c r="D574" s="265"/>
      <c r="E574" s="265"/>
      <c r="F574" s="266" t="s">
        <v>33</v>
      </c>
      <c r="G574" s="267">
        <f t="shared" si="1"/>
        <v>0</v>
      </c>
      <c r="H574" s="265"/>
      <c r="I574" s="269"/>
      <c r="J574" s="267"/>
    </row>
    <row r="575" ht="15.75" customHeight="1">
      <c r="A575" s="268"/>
      <c r="B575" s="265"/>
      <c r="C575" s="265"/>
      <c r="D575" s="265"/>
      <c r="E575" s="265"/>
      <c r="F575" s="266" t="s">
        <v>33</v>
      </c>
      <c r="G575" s="267">
        <f t="shared" si="1"/>
        <v>0</v>
      </c>
      <c r="H575" s="265"/>
      <c r="I575" s="269"/>
      <c r="J575" s="267"/>
    </row>
    <row r="576" ht="15.75" customHeight="1">
      <c r="A576" s="268"/>
      <c r="B576" s="265"/>
      <c r="C576" s="265"/>
      <c r="D576" s="265"/>
      <c r="E576" s="265"/>
      <c r="F576" s="266" t="s">
        <v>33</v>
      </c>
      <c r="G576" s="267">
        <f t="shared" si="1"/>
        <v>0</v>
      </c>
      <c r="H576" s="265"/>
      <c r="I576" s="269"/>
      <c r="J576" s="267"/>
    </row>
    <row r="577" ht="15.75" customHeight="1">
      <c r="A577" s="268"/>
      <c r="B577" s="265"/>
      <c r="C577" s="265"/>
      <c r="D577" s="265"/>
      <c r="E577" s="265"/>
      <c r="F577" s="266" t="s">
        <v>33</v>
      </c>
      <c r="G577" s="267">
        <f t="shared" si="1"/>
        <v>0</v>
      </c>
      <c r="H577" s="265"/>
      <c r="I577" s="269"/>
      <c r="J577" s="267"/>
    </row>
    <row r="578" ht="15.75" customHeight="1">
      <c r="A578" s="268"/>
      <c r="B578" s="265"/>
      <c r="C578" s="265"/>
      <c r="D578" s="265"/>
      <c r="E578" s="265"/>
      <c r="F578" s="266" t="s">
        <v>33</v>
      </c>
      <c r="G578" s="267">
        <f t="shared" si="1"/>
        <v>0</v>
      </c>
      <c r="H578" s="265"/>
      <c r="I578" s="269"/>
      <c r="J578" s="267"/>
    </row>
    <row r="579" ht="15.75" customHeight="1">
      <c r="A579" s="268"/>
      <c r="B579" s="265"/>
      <c r="C579" s="265"/>
      <c r="D579" s="265"/>
      <c r="E579" s="265"/>
      <c r="F579" s="266" t="s">
        <v>33</v>
      </c>
      <c r="G579" s="267">
        <f t="shared" si="1"/>
        <v>0</v>
      </c>
      <c r="H579" s="265"/>
      <c r="I579" s="269"/>
      <c r="J579" s="267"/>
    </row>
    <row r="580" ht="15.75" customHeight="1">
      <c r="A580" s="268"/>
      <c r="B580" s="265"/>
      <c r="C580" s="265"/>
      <c r="D580" s="265"/>
      <c r="E580" s="265"/>
      <c r="F580" s="266" t="s">
        <v>33</v>
      </c>
      <c r="G580" s="267">
        <f t="shared" si="1"/>
        <v>0</v>
      </c>
      <c r="H580" s="265"/>
      <c r="I580" s="269"/>
      <c r="J580" s="267"/>
    </row>
    <row r="581" ht="15.75" customHeight="1">
      <c r="A581" s="268"/>
      <c r="B581" s="265"/>
      <c r="C581" s="265"/>
      <c r="D581" s="265"/>
      <c r="E581" s="265"/>
      <c r="F581" s="266" t="s">
        <v>33</v>
      </c>
      <c r="G581" s="267">
        <f t="shared" si="1"/>
        <v>0</v>
      </c>
      <c r="H581" s="265"/>
      <c r="I581" s="269"/>
      <c r="J581" s="267"/>
    </row>
    <row r="582" ht="15.75" customHeight="1">
      <c r="A582" s="268"/>
      <c r="B582" s="265"/>
      <c r="C582" s="265"/>
      <c r="D582" s="265"/>
      <c r="E582" s="265"/>
      <c r="F582" s="266" t="s">
        <v>33</v>
      </c>
      <c r="G582" s="267">
        <f t="shared" si="1"/>
        <v>0</v>
      </c>
      <c r="H582" s="265"/>
      <c r="I582" s="269"/>
      <c r="J582" s="267"/>
    </row>
    <row r="583" ht="15.75" customHeight="1">
      <c r="A583" s="268"/>
      <c r="B583" s="265"/>
      <c r="C583" s="265"/>
      <c r="D583" s="265"/>
      <c r="E583" s="265"/>
      <c r="F583" s="266" t="s">
        <v>33</v>
      </c>
      <c r="G583" s="267">
        <f t="shared" si="1"/>
        <v>0</v>
      </c>
      <c r="H583" s="265"/>
      <c r="I583" s="269"/>
      <c r="J583" s="267"/>
    </row>
    <row r="584" ht="15.75" customHeight="1">
      <c r="A584" s="268"/>
      <c r="B584" s="265"/>
      <c r="C584" s="265"/>
      <c r="D584" s="265"/>
      <c r="E584" s="265"/>
      <c r="F584" s="266" t="s">
        <v>33</v>
      </c>
      <c r="G584" s="267">
        <f t="shared" si="1"/>
        <v>0</v>
      </c>
      <c r="H584" s="265"/>
      <c r="I584" s="269"/>
      <c r="J584" s="267"/>
    </row>
    <row r="585" ht="15.75" customHeight="1">
      <c r="A585" s="268"/>
      <c r="B585" s="265"/>
      <c r="C585" s="265"/>
      <c r="D585" s="265"/>
      <c r="E585" s="265"/>
      <c r="F585" s="266" t="s">
        <v>33</v>
      </c>
      <c r="G585" s="267">
        <f t="shared" si="1"/>
        <v>0</v>
      </c>
      <c r="H585" s="265"/>
      <c r="I585" s="269"/>
      <c r="J585" s="267"/>
    </row>
    <row r="586" ht="15.75" customHeight="1">
      <c r="A586" s="268"/>
      <c r="B586" s="265"/>
      <c r="C586" s="265"/>
      <c r="D586" s="265"/>
      <c r="E586" s="265"/>
      <c r="F586" s="266" t="s">
        <v>33</v>
      </c>
      <c r="G586" s="267">
        <f t="shared" si="1"/>
        <v>0</v>
      </c>
      <c r="H586" s="265"/>
      <c r="I586" s="269"/>
      <c r="J586" s="267"/>
    </row>
    <row r="587" ht="15.75" customHeight="1">
      <c r="A587" s="268"/>
      <c r="B587" s="265"/>
      <c r="C587" s="265"/>
      <c r="D587" s="265"/>
      <c r="E587" s="265"/>
      <c r="F587" s="266" t="s">
        <v>33</v>
      </c>
      <c r="G587" s="267">
        <f t="shared" si="1"/>
        <v>0</v>
      </c>
      <c r="H587" s="265"/>
      <c r="I587" s="269"/>
      <c r="J587" s="267"/>
    </row>
    <row r="588" ht="15.75" customHeight="1">
      <c r="A588" s="268"/>
      <c r="B588" s="265"/>
      <c r="C588" s="265"/>
      <c r="D588" s="265"/>
      <c r="E588" s="265"/>
      <c r="F588" s="266" t="s">
        <v>33</v>
      </c>
      <c r="G588" s="267">
        <f t="shared" si="1"/>
        <v>0</v>
      </c>
      <c r="H588" s="265"/>
      <c r="I588" s="269"/>
      <c r="J588" s="267"/>
    </row>
    <row r="589" ht="15.75" customHeight="1">
      <c r="A589" s="268"/>
      <c r="B589" s="265"/>
      <c r="C589" s="265"/>
      <c r="D589" s="265"/>
      <c r="E589" s="265"/>
      <c r="F589" s="266" t="s">
        <v>33</v>
      </c>
      <c r="G589" s="267">
        <f t="shared" si="1"/>
        <v>0</v>
      </c>
      <c r="H589" s="265"/>
      <c r="I589" s="269"/>
      <c r="J589" s="267"/>
    </row>
    <row r="590" ht="15.75" customHeight="1">
      <c r="A590" s="268"/>
      <c r="B590" s="265"/>
      <c r="C590" s="265"/>
      <c r="D590" s="265"/>
      <c r="E590" s="265"/>
      <c r="F590" s="266" t="s">
        <v>33</v>
      </c>
      <c r="G590" s="267">
        <f t="shared" si="1"/>
        <v>0</v>
      </c>
      <c r="H590" s="265"/>
      <c r="I590" s="269"/>
      <c r="J590" s="267"/>
    </row>
    <row r="591" ht="15.75" customHeight="1">
      <c r="A591" s="268"/>
      <c r="B591" s="265"/>
      <c r="C591" s="265"/>
      <c r="D591" s="265"/>
      <c r="E591" s="265"/>
      <c r="F591" s="266" t="s">
        <v>33</v>
      </c>
      <c r="G591" s="267">
        <f t="shared" si="1"/>
        <v>0</v>
      </c>
      <c r="H591" s="265"/>
      <c r="I591" s="269"/>
      <c r="J591" s="267"/>
    </row>
    <row r="592" ht="15.75" customHeight="1">
      <c r="A592" s="268"/>
      <c r="B592" s="265"/>
      <c r="C592" s="265"/>
      <c r="D592" s="265"/>
      <c r="E592" s="265"/>
      <c r="F592" s="266" t="s">
        <v>33</v>
      </c>
      <c r="G592" s="267">
        <f t="shared" si="1"/>
        <v>0</v>
      </c>
      <c r="H592" s="265"/>
      <c r="I592" s="269"/>
      <c r="J592" s="267"/>
    </row>
    <row r="593" ht="15.75" customHeight="1">
      <c r="A593" s="268"/>
      <c r="B593" s="265"/>
      <c r="C593" s="265"/>
      <c r="D593" s="265"/>
      <c r="E593" s="265"/>
      <c r="F593" s="266" t="s">
        <v>33</v>
      </c>
      <c r="G593" s="267">
        <f t="shared" si="1"/>
        <v>0</v>
      </c>
      <c r="H593" s="265"/>
      <c r="I593" s="269"/>
      <c r="J593" s="267"/>
    </row>
    <row r="594" ht="15.75" customHeight="1">
      <c r="A594" s="268"/>
      <c r="B594" s="265"/>
      <c r="C594" s="265"/>
      <c r="D594" s="265"/>
      <c r="E594" s="265"/>
      <c r="F594" s="266" t="s">
        <v>33</v>
      </c>
      <c r="G594" s="267">
        <f t="shared" si="1"/>
        <v>0</v>
      </c>
      <c r="H594" s="265"/>
      <c r="I594" s="269"/>
      <c r="J594" s="267"/>
    </row>
    <row r="595" ht="15.75" customHeight="1">
      <c r="A595" s="268"/>
      <c r="B595" s="265"/>
      <c r="C595" s="265"/>
      <c r="D595" s="265"/>
      <c r="E595" s="265"/>
      <c r="F595" s="266" t="s">
        <v>33</v>
      </c>
      <c r="G595" s="267">
        <f t="shared" si="1"/>
        <v>0</v>
      </c>
      <c r="H595" s="265"/>
      <c r="I595" s="269"/>
      <c r="J595" s="267"/>
    </row>
    <row r="596" ht="15.75" customHeight="1">
      <c r="A596" s="268"/>
      <c r="B596" s="265"/>
      <c r="C596" s="265"/>
      <c r="D596" s="265"/>
      <c r="E596" s="265"/>
      <c r="F596" s="266" t="s">
        <v>33</v>
      </c>
      <c r="G596" s="267">
        <f t="shared" si="1"/>
        <v>0</v>
      </c>
      <c r="H596" s="265"/>
      <c r="I596" s="269"/>
      <c r="J596" s="267"/>
    </row>
    <row r="597" ht="15.75" customHeight="1">
      <c r="A597" s="268"/>
      <c r="B597" s="265"/>
      <c r="C597" s="265"/>
      <c r="D597" s="265"/>
      <c r="E597" s="265"/>
      <c r="F597" s="266" t="s">
        <v>33</v>
      </c>
      <c r="G597" s="267">
        <f t="shared" si="1"/>
        <v>0</v>
      </c>
      <c r="H597" s="265"/>
      <c r="I597" s="269"/>
      <c r="J597" s="267"/>
    </row>
    <row r="598" ht="15.75" customHeight="1">
      <c r="A598" s="268"/>
      <c r="B598" s="265"/>
      <c r="C598" s="265"/>
      <c r="D598" s="265"/>
      <c r="E598" s="265"/>
      <c r="F598" s="266" t="s">
        <v>33</v>
      </c>
      <c r="G598" s="267">
        <f t="shared" si="1"/>
        <v>0</v>
      </c>
      <c r="H598" s="265"/>
      <c r="I598" s="269"/>
      <c r="J598" s="267"/>
    </row>
    <row r="599" ht="15.75" customHeight="1">
      <c r="A599" s="268"/>
      <c r="B599" s="265"/>
      <c r="C599" s="265"/>
      <c r="D599" s="265"/>
      <c r="E599" s="265"/>
      <c r="F599" s="266" t="s">
        <v>33</v>
      </c>
      <c r="G599" s="267">
        <f t="shared" si="1"/>
        <v>0</v>
      </c>
      <c r="H599" s="265"/>
      <c r="I599" s="269"/>
      <c r="J599" s="267"/>
    </row>
    <row r="600" ht="15.75" customHeight="1">
      <c r="A600" s="268"/>
      <c r="B600" s="265"/>
      <c r="C600" s="265"/>
      <c r="D600" s="265"/>
      <c r="E600" s="265"/>
      <c r="F600" s="266" t="s">
        <v>33</v>
      </c>
      <c r="G600" s="267">
        <f t="shared" si="1"/>
        <v>0</v>
      </c>
      <c r="H600" s="265"/>
      <c r="I600" s="269"/>
      <c r="J600" s="267"/>
    </row>
    <row r="601" ht="15.75" customHeight="1">
      <c r="A601" s="268"/>
      <c r="B601" s="265"/>
      <c r="C601" s="265"/>
      <c r="D601" s="265"/>
      <c r="E601" s="265"/>
      <c r="F601" s="266" t="s">
        <v>33</v>
      </c>
      <c r="G601" s="267">
        <f t="shared" si="1"/>
        <v>0</v>
      </c>
      <c r="H601" s="265"/>
      <c r="I601" s="269"/>
      <c r="J601" s="267"/>
    </row>
    <row r="602" ht="15.75" customHeight="1">
      <c r="A602" s="268"/>
      <c r="B602" s="265"/>
      <c r="C602" s="265"/>
      <c r="D602" s="265"/>
      <c r="E602" s="265"/>
      <c r="F602" s="266" t="s">
        <v>33</v>
      </c>
      <c r="G602" s="267">
        <f t="shared" si="1"/>
        <v>0</v>
      </c>
      <c r="H602" s="265"/>
      <c r="I602" s="269"/>
      <c r="J602" s="267"/>
    </row>
    <row r="603" ht="15.75" customHeight="1">
      <c r="A603" s="268"/>
      <c r="B603" s="265"/>
      <c r="C603" s="265"/>
      <c r="D603" s="265"/>
      <c r="E603" s="265"/>
      <c r="F603" s="266" t="s">
        <v>33</v>
      </c>
      <c r="G603" s="267">
        <f t="shared" si="1"/>
        <v>0</v>
      </c>
      <c r="H603" s="265"/>
      <c r="I603" s="269"/>
      <c r="J603" s="267"/>
    </row>
    <row r="604" ht="15.75" customHeight="1">
      <c r="A604" s="268"/>
      <c r="B604" s="265"/>
      <c r="C604" s="265"/>
      <c r="D604" s="265"/>
      <c r="E604" s="265"/>
      <c r="F604" s="266" t="s">
        <v>33</v>
      </c>
      <c r="G604" s="267">
        <f t="shared" si="1"/>
        <v>0</v>
      </c>
      <c r="H604" s="265"/>
      <c r="I604" s="269"/>
      <c r="J604" s="267"/>
    </row>
    <row r="605" ht="15.75" customHeight="1">
      <c r="A605" s="268"/>
      <c r="B605" s="265"/>
      <c r="C605" s="265"/>
      <c r="D605" s="265"/>
      <c r="E605" s="265"/>
      <c r="F605" s="266" t="s">
        <v>33</v>
      </c>
      <c r="G605" s="267">
        <f t="shared" si="1"/>
        <v>0</v>
      </c>
      <c r="H605" s="265"/>
      <c r="I605" s="269"/>
      <c r="J605" s="267"/>
    </row>
    <row r="606" ht="15.75" customHeight="1">
      <c r="A606" s="268"/>
      <c r="B606" s="265"/>
      <c r="C606" s="265"/>
      <c r="D606" s="265"/>
      <c r="E606" s="265"/>
      <c r="F606" s="266" t="s">
        <v>33</v>
      </c>
      <c r="G606" s="267">
        <f t="shared" si="1"/>
        <v>0</v>
      </c>
      <c r="H606" s="265"/>
      <c r="I606" s="269"/>
      <c r="J606" s="267"/>
    </row>
    <row r="607" ht="15.75" customHeight="1">
      <c r="A607" s="268"/>
      <c r="B607" s="265"/>
      <c r="C607" s="265"/>
      <c r="D607" s="265"/>
      <c r="E607" s="265"/>
      <c r="F607" s="266" t="s">
        <v>33</v>
      </c>
      <c r="G607" s="267">
        <f t="shared" si="1"/>
        <v>0</v>
      </c>
      <c r="H607" s="265"/>
      <c r="I607" s="269"/>
      <c r="J607" s="267"/>
    </row>
    <row r="608" ht="15.75" customHeight="1">
      <c r="A608" s="268"/>
      <c r="B608" s="265"/>
      <c r="C608" s="265"/>
      <c r="D608" s="265"/>
      <c r="E608" s="265"/>
      <c r="F608" s="266" t="s">
        <v>33</v>
      </c>
      <c r="G608" s="267">
        <f t="shared" si="1"/>
        <v>0</v>
      </c>
      <c r="H608" s="265"/>
      <c r="I608" s="269"/>
      <c r="J608" s="267"/>
    </row>
    <row r="609" ht="15.75" customHeight="1">
      <c r="A609" s="268"/>
      <c r="B609" s="265"/>
      <c r="C609" s="265"/>
      <c r="D609" s="265"/>
      <c r="E609" s="265"/>
      <c r="F609" s="266" t="s">
        <v>33</v>
      </c>
      <c r="G609" s="267">
        <f t="shared" si="1"/>
        <v>0</v>
      </c>
      <c r="H609" s="265"/>
      <c r="I609" s="269"/>
      <c r="J609" s="267"/>
    </row>
    <row r="610" ht="15.75" customHeight="1">
      <c r="A610" s="268"/>
      <c r="B610" s="265"/>
      <c r="C610" s="265"/>
      <c r="D610" s="265"/>
      <c r="E610" s="265"/>
      <c r="F610" s="266" t="s">
        <v>33</v>
      </c>
      <c r="G610" s="267">
        <f t="shared" si="1"/>
        <v>0</v>
      </c>
      <c r="H610" s="265"/>
      <c r="I610" s="269"/>
      <c r="J610" s="267"/>
    </row>
    <row r="611" ht="15.75" customHeight="1">
      <c r="A611" s="268"/>
      <c r="B611" s="265"/>
      <c r="C611" s="265"/>
      <c r="D611" s="265"/>
      <c r="E611" s="265"/>
      <c r="F611" s="266" t="s">
        <v>33</v>
      </c>
      <c r="G611" s="267">
        <f t="shared" si="1"/>
        <v>0</v>
      </c>
      <c r="H611" s="265"/>
      <c r="I611" s="269"/>
      <c r="J611" s="267"/>
    </row>
    <row r="612" ht="15.75" customHeight="1">
      <c r="A612" s="268"/>
      <c r="B612" s="265"/>
      <c r="C612" s="265"/>
      <c r="D612" s="265"/>
      <c r="E612" s="265"/>
      <c r="F612" s="266" t="s">
        <v>33</v>
      </c>
      <c r="G612" s="267">
        <f t="shared" si="1"/>
        <v>0</v>
      </c>
      <c r="H612" s="265"/>
      <c r="I612" s="269"/>
      <c r="J612" s="267"/>
    </row>
    <row r="613" ht="15.75" customHeight="1">
      <c r="A613" s="268"/>
      <c r="B613" s="265"/>
      <c r="C613" s="265"/>
      <c r="D613" s="265"/>
      <c r="E613" s="265"/>
      <c r="F613" s="266" t="s">
        <v>33</v>
      </c>
      <c r="G613" s="267">
        <f t="shared" si="1"/>
        <v>0</v>
      </c>
      <c r="H613" s="265"/>
      <c r="I613" s="269"/>
      <c r="J613" s="267"/>
    </row>
    <row r="614" ht="15.75" customHeight="1">
      <c r="A614" s="268"/>
      <c r="B614" s="265"/>
      <c r="C614" s="265"/>
      <c r="D614" s="265"/>
      <c r="E614" s="265"/>
      <c r="F614" s="266" t="s">
        <v>33</v>
      </c>
      <c r="G614" s="267">
        <f t="shared" si="1"/>
        <v>0</v>
      </c>
      <c r="H614" s="265"/>
      <c r="I614" s="269"/>
      <c r="J614" s="267"/>
    </row>
    <row r="615" ht="15.75" customHeight="1">
      <c r="A615" s="268"/>
      <c r="B615" s="265"/>
      <c r="C615" s="265"/>
      <c r="D615" s="265"/>
      <c r="E615" s="265"/>
      <c r="F615" s="266" t="s">
        <v>33</v>
      </c>
      <c r="G615" s="267">
        <f t="shared" si="1"/>
        <v>0</v>
      </c>
      <c r="H615" s="265"/>
      <c r="I615" s="269"/>
      <c r="J615" s="267"/>
    </row>
    <row r="616" ht="15.75" customHeight="1">
      <c r="A616" s="268"/>
      <c r="B616" s="265"/>
      <c r="C616" s="265"/>
      <c r="D616" s="265"/>
      <c r="E616" s="265"/>
      <c r="F616" s="266" t="s">
        <v>33</v>
      </c>
      <c r="G616" s="267">
        <f t="shared" si="1"/>
        <v>0</v>
      </c>
      <c r="H616" s="265"/>
      <c r="I616" s="269"/>
      <c r="J616" s="267"/>
    </row>
    <row r="617" ht="15.75" customHeight="1">
      <c r="A617" s="268"/>
      <c r="B617" s="265"/>
      <c r="C617" s="265"/>
      <c r="D617" s="265"/>
      <c r="E617" s="265"/>
      <c r="F617" s="266" t="s">
        <v>33</v>
      </c>
      <c r="G617" s="267">
        <f t="shared" si="1"/>
        <v>0</v>
      </c>
      <c r="H617" s="265"/>
      <c r="I617" s="269"/>
      <c r="J617" s="267"/>
    </row>
    <row r="618" ht="15.75" customHeight="1">
      <c r="A618" s="268"/>
      <c r="B618" s="265"/>
      <c r="C618" s="265"/>
      <c r="D618" s="265"/>
      <c r="E618" s="265"/>
      <c r="F618" s="266" t="s">
        <v>33</v>
      </c>
      <c r="G618" s="267">
        <f t="shared" si="1"/>
        <v>0</v>
      </c>
      <c r="H618" s="265"/>
      <c r="I618" s="269"/>
      <c r="J618" s="267"/>
    </row>
    <row r="619" ht="15.75" customHeight="1">
      <c r="A619" s="268"/>
      <c r="B619" s="265"/>
      <c r="C619" s="265"/>
      <c r="D619" s="265"/>
      <c r="E619" s="265"/>
      <c r="F619" s="266" t="s">
        <v>33</v>
      </c>
      <c r="G619" s="267">
        <f t="shared" si="1"/>
        <v>0</v>
      </c>
      <c r="H619" s="265"/>
      <c r="I619" s="269"/>
      <c r="J619" s="267"/>
    </row>
    <row r="620" ht="15.75" customHeight="1">
      <c r="A620" s="268"/>
      <c r="B620" s="265"/>
      <c r="C620" s="265"/>
      <c r="D620" s="265"/>
      <c r="E620" s="265"/>
      <c r="F620" s="266" t="s">
        <v>33</v>
      </c>
      <c r="G620" s="267">
        <f t="shared" si="1"/>
        <v>0</v>
      </c>
      <c r="H620" s="265"/>
      <c r="I620" s="269"/>
      <c r="J620" s="267"/>
    </row>
    <row r="621" ht="15.75" customHeight="1">
      <c r="A621" s="268"/>
      <c r="B621" s="265"/>
      <c r="C621" s="265"/>
      <c r="D621" s="265"/>
      <c r="E621" s="265"/>
      <c r="F621" s="266" t="s">
        <v>33</v>
      </c>
      <c r="G621" s="267">
        <f t="shared" si="1"/>
        <v>0</v>
      </c>
      <c r="H621" s="265"/>
      <c r="I621" s="269"/>
      <c r="J621" s="267"/>
    </row>
    <row r="622" ht="15.75" customHeight="1">
      <c r="A622" s="268"/>
      <c r="B622" s="265"/>
      <c r="C622" s="265"/>
      <c r="D622" s="265"/>
      <c r="E622" s="265"/>
      <c r="F622" s="266" t="s">
        <v>33</v>
      </c>
      <c r="G622" s="267">
        <f t="shared" si="1"/>
        <v>0</v>
      </c>
      <c r="H622" s="265"/>
      <c r="I622" s="269"/>
      <c r="J622" s="267"/>
    </row>
    <row r="623" ht="15.75" customHeight="1">
      <c r="A623" s="268"/>
      <c r="B623" s="265"/>
      <c r="C623" s="265"/>
      <c r="D623" s="265"/>
      <c r="E623" s="265"/>
      <c r="F623" s="266" t="s">
        <v>33</v>
      </c>
      <c r="G623" s="267">
        <f t="shared" si="1"/>
        <v>0</v>
      </c>
      <c r="H623" s="265"/>
      <c r="I623" s="269"/>
      <c r="J623" s="267"/>
    </row>
    <row r="624" ht="15.75" customHeight="1">
      <c r="A624" s="268"/>
      <c r="B624" s="265"/>
      <c r="C624" s="265"/>
      <c r="D624" s="265"/>
      <c r="E624" s="265"/>
      <c r="F624" s="266" t="s">
        <v>33</v>
      </c>
      <c r="G624" s="267">
        <f t="shared" si="1"/>
        <v>0</v>
      </c>
      <c r="H624" s="265"/>
      <c r="I624" s="269"/>
      <c r="J624" s="267"/>
    </row>
    <row r="625" ht="15.75" customHeight="1">
      <c r="A625" s="268"/>
      <c r="B625" s="265"/>
      <c r="C625" s="265"/>
      <c r="D625" s="265"/>
      <c r="E625" s="265"/>
      <c r="F625" s="266" t="s">
        <v>33</v>
      </c>
      <c r="G625" s="267">
        <f t="shared" si="1"/>
        <v>0</v>
      </c>
      <c r="H625" s="265"/>
      <c r="I625" s="269"/>
      <c r="J625" s="267"/>
    </row>
    <row r="626" ht="15.75" customHeight="1">
      <c r="A626" s="268"/>
      <c r="B626" s="265"/>
      <c r="C626" s="265"/>
      <c r="D626" s="265"/>
      <c r="E626" s="265"/>
      <c r="F626" s="266" t="s">
        <v>33</v>
      </c>
      <c r="G626" s="267">
        <f t="shared" si="1"/>
        <v>0</v>
      </c>
      <c r="H626" s="265"/>
      <c r="I626" s="269"/>
      <c r="J626" s="267"/>
    </row>
    <row r="627" ht="15.75" customHeight="1">
      <c r="A627" s="268"/>
      <c r="B627" s="265"/>
      <c r="C627" s="265"/>
      <c r="D627" s="265"/>
      <c r="E627" s="265"/>
      <c r="F627" s="266" t="s">
        <v>33</v>
      </c>
      <c r="G627" s="267">
        <f t="shared" si="1"/>
        <v>0</v>
      </c>
      <c r="H627" s="265"/>
      <c r="I627" s="269"/>
      <c r="J627" s="267"/>
    </row>
    <row r="628" ht="15.75" customHeight="1">
      <c r="A628" s="268"/>
      <c r="B628" s="265"/>
      <c r="C628" s="265"/>
      <c r="D628" s="265"/>
      <c r="E628" s="265"/>
      <c r="F628" s="266" t="s">
        <v>33</v>
      </c>
      <c r="G628" s="267">
        <f t="shared" si="1"/>
        <v>0</v>
      </c>
      <c r="H628" s="265"/>
      <c r="I628" s="269"/>
      <c r="J628" s="267"/>
    </row>
    <row r="629" ht="15.75" customHeight="1">
      <c r="A629" s="268"/>
      <c r="B629" s="265"/>
      <c r="C629" s="265"/>
      <c r="D629" s="265"/>
      <c r="E629" s="265"/>
      <c r="F629" s="266" t="s">
        <v>33</v>
      </c>
      <c r="G629" s="267">
        <f t="shared" si="1"/>
        <v>0</v>
      </c>
      <c r="H629" s="265"/>
      <c r="I629" s="269"/>
      <c r="J629" s="267"/>
    </row>
    <row r="630" ht="15.75" customHeight="1">
      <c r="A630" s="268"/>
      <c r="B630" s="265"/>
      <c r="C630" s="265"/>
      <c r="D630" s="265"/>
      <c r="E630" s="265"/>
      <c r="F630" s="266" t="s">
        <v>33</v>
      </c>
      <c r="G630" s="267">
        <f t="shared" si="1"/>
        <v>0</v>
      </c>
      <c r="H630" s="265"/>
      <c r="I630" s="269"/>
      <c r="J630" s="267"/>
    </row>
    <row r="631" ht="15.75" customHeight="1">
      <c r="A631" s="268"/>
      <c r="B631" s="265"/>
      <c r="C631" s="265"/>
      <c r="D631" s="265"/>
      <c r="E631" s="265"/>
      <c r="F631" s="266" t="s">
        <v>33</v>
      </c>
      <c r="G631" s="267">
        <f t="shared" si="1"/>
        <v>0</v>
      </c>
      <c r="H631" s="265"/>
      <c r="I631" s="269"/>
      <c r="J631" s="267"/>
    </row>
    <row r="632" ht="15.75" customHeight="1">
      <c r="A632" s="268"/>
      <c r="B632" s="265"/>
      <c r="C632" s="265"/>
      <c r="D632" s="265"/>
      <c r="E632" s="265"/>
      <c r="F632" s="266" t="s">
        <v>33</v>
      </c>
      <c r="G632" s="267">
        <f t="shared" si="1"/>
        <v>0</v>
      </c>
      <c r="H632" s="265"/>
      <c r="I632" s="269"/>
      <c r="J632" s="267"/>
    </row>
    <row r="633" ht="15.75" customHeight="1">
      <c r="A633" s="268"/>
      <c r="B633" s="265"/>
      <c r="C633" s="265"/>
      <c r="D633" s="265"/>
      <c r="E633" s="265"/>
      <c r="F633" s="266" t="s">
        <v>33</v>
      </c>
      <c r="G633" s="267">
        <f t="shared" si="1"/>
        <v>0</v>
      </c>
      <c r="H633" s="265"/>
      <c r="I633" s="269"/>
      <c r="J633" s="267"/>
    </row>
    <row r="634" ht="15.75" customHeight="1">
      <c r="A634" s="268"/>
      <c r="B634" s="265"/>
      <c r="C634" s="265"/>
      <c r="D634" s="265"/>
      <c r="E634" s="265"/>
      <c r="F634" s="266" t="s">
        <v>33</v>
      </c>
      <c r="G634" s="267">
        <f t="shared" si="1"/>
        <v>0</v>
      </c>
      <c r="H634" s="265"/>
      <c r="I634" s="269"/>
      <c r="J634" s="267"/>
    </row>
    <row r="635" ht="15.75" customHeight="1">
      <c r="A635" s="268"/>
      <c r="B635" s="265"/>
      <c r="C635" s="265"/>
      <c r="D635" s="265"/>
      <c r="E635" s="265"/>
      <c r="F635" s="266" t="s">
        <v>33</v>
      </c>
      <c r="G635" s="267">
        <f t="shared" si="1"/>
        <v>0</v>
      </c>
      <c r="H635" s="265"/>
      <c r="I635" s="269"/>
      <c r="J635" s="267"/>
    </row>
    <row r="636" ht="15.75" customHeight="1">
      <c r="A636" s="268"/>
      <c r="B636" s="265"/>
      <c r="C636" s="265"/>
      <c r="D636" s="265"/>
      <c r="E636" s="265"/>
      <c r="F636" s="266" t="s">
        <v>33</v>
      </c>
      <c r="G636" s="267">
        <f t="shared" si="1"/>
        <v>0</v>
      </c>
      <c r="H636" s="265"/>
      <c r="I636" s="269"/>
      <c r="J636" s="267"/>
    </row>
    <row r="637" ht="15.75" customHeight="1">
      <c r="A637" s="268"/>
      <c r="B637" s="265"/>
      <c r="C637" s="265"/>
      <c r="D637" s="265"/>
      <c r="E637" s="265"/>
      <c r="F637" s="266" t="s">
        <v>33</v>
      </c>
      <c r="G637" s="267">
        <f t="shared" si="1"/>
        <v>0</v>
      </c>
      <c r="H637" s="265"/>
      <c r="I637" s="269"/>
      <c r="J637" s="267"/>
    </row>
    <row r="638" ht="15.75" customHeight="1">
      <c r="A638" s="268"/>
      <c r="B638" s="265"/>
      <c r="C638" s="265"/>
      <c r="D638" s="265"/>
      <c r="E638" s="265"/>
      <c r="F638" s="266" t="s">
        <v>33</v>
      </c>
      <c r="G638" s="267">
        <f t="shared" si="1"/>
        <v>0</v>
      </c>
      <c r="H638" s="265"/>
      <c r="I638" s="269"/>
      <c r="J638" s="267"/>
    </row>
    <row r="639" ht="15.75" customHeight="1">
      <c r="A639" s="268"/>
      <c r="B639" s="265"/>
      <c r="C639" s="265"/>
      <c r="D639" s="265"/>
      <c r="E639" s="265"/>
      <c r="F639" s="266" t="s">
        <v>33</v>
      </c>
      <c r="G639" s="267">
        <f t="shared" si="1"/>
        <v>0</v>
      </c>
      <c r="H639" s="265"/>
      <c r="I639" s="269"/>
      <c r="J639" s="267"/>
    </row>
    <row r="640" ht="15.75" customHeight="1">
      <c r="A640" s="268"/>
      <c r="B640" s="265"/>
      <c r="C640" s="265"/>
      <c r="D640" s="265"/>
      <c r="E640" s="265"/>
      <c r="F640" s="266" t="s">
        <v>33</v>
      </c>
      <c r="G640" s="267">
        <f t="shared" si="1"/>
        <v>0</v>
      </c>
      <c r="H640" s="265"/>
      <c r="I640" s="269"/>
      <c r="J640" s="267"/>
    </row>
    <row r="641" ht="15.75" customHeight="1">
      <c r="A641" s="268"/>
      <c r="B641" s="265"/>
      <c r="C641" s="265"/>
      <c r="D641" s="265"/>
      <c r="E641" s="265"/>
      <c r="F641" s="266" t="s">
        <v>33</v>
      </c>
      <c r="G641" s="267">
        <f t="shared" si="1"/>
        <v>0</v>
      </c>
      <c r="H641" s="265"/>
      <c r="I641" s="269"/>
      <c r="J641" s="267"/>
    </row>
    <row r="642" ht="15.75" customHeight="1">
      <c r="A642" s="268"/>
      <c r="B642" s="265"/>
      <c r="C642" s="265"/>
      <c r="D642" s="265"/>
      <c r="E642" s="265"/>
      <c r="F642" s="266" t="s">
        <v>33</v>
      </c>
      <c r="G642" s="267">
        <f t="shared" si="1"/>
        <v>0</v>
      </c>
      <c r="H642" s="265"/>
      <c r="I642" s="269"/>
      <c r="J642" s="267"/>
    </row>
    <row r="643" ht="15.75" customHeight="1">
      <c r="A643" s="268"/>
      <c r="B643" s="265"/>
      <c r="C643" s="265"/>
      <c r="D643" s="265"/>
      <c r="E643" s="265"/>
      <c r="F643" s="266" t="s">
        <v>33</v>
      </c>
      <c r="G643" s="267">
        <f t="shared" si="1"/>
        <v>0</v>
      </c>
      <c r="H643" s="265"/>
      <c r="I643" s="269"/>
      <c r="J643" s="267"/>
    </row>
    <row r="644" ht="15.75" customHeight="1">
      <c r="A644" s="268"/>
      <c r="B644" s="265"/>
      <c r="C644" s="265"/>
      <c r="D644" s="265"/>
      <c r="E644" s="265"/>
      <c r="F644" s="266" t="s">
        <v>33</v>
      </c>
      <c r="G644" s="267">
        <f t="shared" si="1"/>
        <v>0</v>
      </c>
      <c r="H644" s="265"/>
      <c r="I644" s="269"/>
      <c r="J644" s="267"/>
    </row>
    <row r="645" ht="15.75" customHeight="1">
      <c r="A645" s="268"/>
      <c r="B645" s="265"/>
      <c r="C645" s="265"/>
      <c r="D645" s="265"/>
      <c r="E645" s="265"/>
      <c r="F645" s="266" t="s">
        <v>33</v>
      </c>
      <c r="G645" s="267">
        <f t="shared" si="1"/>
        <v>0</v>
      </c>
      <c r="H645" s="265"/>
      <c r="I645" s="269"/>
      <c r="J645" s="267"/>
    </row>
    <row r="646" ht="15.75" customHeight="1">
      <c r="A646" s="268"/>
      <c r="B646" s="265"/>
      <c r="C646" s="265"/>
      <c r="D646" s="265"/>
      <c r="E646" s="265"/>
      <c r="F646" s="266" t="s">
        <v>33</v>
      </c>
      <c r="G646" s="267">
        <f t="shared" si="1"/>
        <v>0</v>
      </c>
      <c r="H646" s="265"/>
      <c r="I646" s="269"/>
      <c r="J646" s="267"/>
    </row>
    <row r="647" ht="15.75" customHeight="1">
      <c r="A647" s="268"/>
      <c r="B647" s="265"/>
      <c r="C647" s="265"/>
      <c r="D647" s="265"/>
      <c r="E647" s="265"/>
      <c r="F647" s="266" t="s">
        <v>33</v>
      </c>
      <c r="G647" s="267">
        <f t="shared" si="1"/>
        <v>0</v>
      </c>
      <c r="H647" s="265"/>
      <c r="I647" s="269"/>
      <c r="J647" s="267"/>
    </row>
    <row r="648" ht="15.75" customHeight="1">
      <c r="A648" s="268"/>
      <c r="B648" s="265"/>
      <c r="C648" s="265"/>
      <c r="D648" s="265"/>
      <c r="E648" s="265"/>
      <c r="F648" s="266" t="s">
        <v>33</v>
      </c>
      <c r="G648" s="267">
        <f t="shared" si="1"/>
        <v>0</v>
      </c>
      <c r="H648" s="265"/>
      <c r="I648" s="269"/>
      <c r="J648" s="267"/>
    </row>
    <row r="649" ht="15.75" customHeight="1">
      <c r="A649" s="268"/>
      <c r="B649" s="265"/>
      <c r="C649" s="265"/>
      <c r="D649" s="265"/>
      <c r="E649" s="265"/>
      <c r="F649" s="266" t="s">
        <v>33</v>
      </c>
      <c r="G649" s="267">
        <f t="shared" si="1"/>
        <v>0</v>
      </c>
      <c r="H649" s="265"/>
      <c r="I649" s="269"/>
      <c r="J649" s="267"/>
    </row>
    <row r="650" ht="15.75" customHeight="1">
      <c r="A650" s="268"/>
      <c r="B650" s="265"/>
      <c r="C650" s="265"/>
      <c r="D650" s="265"/>
      <c r="E650" s="265"/>
      <c r="F650" s="266" t="s">
        <v>33</v>
      </c>
      <c r="G650" s="267">
        <f t="shared" si="1"/>
        <v>0</v>
      </c>
      <c r="H650" s="265"/>
      <c r="I650" s="269"/>
      <c r="J650" s="267"/>
    </row>
    <row r="651" ht="15.75" customHeight="1">
      <c r="A651" s="268"/>
      <c r="B651" s="265"/>
      <c r="C651" s="265"/>
      <c r="D651" s="265"/>
      <c r="E651" s="265"/>
      <c r="F651" s="266" t="s">
        <v>33</v>
      </c>
      <c r="G651" s="267">
        <f t="shared" si="1"/>
        <v>0</v>
      </c>
      <c r="H651" s="265"/>
      <c r="I651" s="269"/>
      <c r="J651" s="267"/>
    </row>
    <row r="652" ht="15.75" customHeight="1">
      <c r="A652" s="268"/>
      <c r="B652" s="265"/>
      <c r="C652" s="265"/>
      <c r="D652" s="265"/>
      <c r="E652" s="265"/>
      <c r="F652" s="266" t="s">
        <v>33</v>
      </c>
      <c r="G652" s="267">
        <f t="shared" si="1"/>
        <v>0</v>
      </c>
      <c r="H652" s="265"/>
      <c r="I652" s="269"/>
      <c r="J652" s="267"/>
    </row>
    <row r="653" ht="15.75" customHeight="1">
      <c r="A653" s="268"/>
      <c r="B653" s="265"/>
      <c r="C653" s="265"/>
      <c r="D653" s="265"/>
      <c r="E653" s="265"/>
      <c r="F653" s="266" t="s">
        <v>33</v>
      </c>
      <c r="G653" s="267">
        <f t="shared" si="1"/>
        <v>0</v>
      </c>
      <c r="H653" s="265"/>
      <c r="I653" s="269"/>
      <c r="J653" s="267"/>
    </row>
    <row r="654" ht="15.75" customHeight="1">
      <c r="A654" s="268"/>
      <c r="B654" s="265"/>
      <c r="C654" s="265"/>
      <c r="D654" s="265"/>
      <c r="E654" s="265"/>
      <c r="F654" s="266" t="s">
        <v>33</v>
      </c>
      <c r="G654" s="267">
        <f t="shared" si="1"/>
        <v>0</v>
      </c>
      <c r="H654" s="265"/>
      <c r="I654" s="269"/>
      <c r="J654" s="267"/>
    </row>
    <row r="655" ht="15.75" customHeight="1">
      <c r="A655" s="268"/>
      <c r="B655" s="265"/>
      <c r="C655" s="265"/>
      <c r="D655" s="265"/>
      <c r="E655" s="265"/>
      <c r="F655" s="266" t="s">
        <v>33</v>
      </c>
      <c r="G655" s="267">
        <f t="shared" si="1"/>
        <v>0</v>
      </c>
      <c r="H655" s="265"/>
      <c r="I655" s="269"/>
      <c r="J655" s="267"/>
    </row>
    <row r="656" ht="15.75" customHeight="1">
      <c r="A656" s="268"/>
      <c r="B656" s="265"/>
      <c r="C656" s="265"/>
      <c r="D656" s="265"/>
      <c r="E656" s="265"/>
      <c r="F656" s="266" t="s">
        <v>33</v>
      </c>
      <c r="G656" s="267">
        <f t="shared" si="1"/>
        <v>0</v>
      </c>
      <c r="H656" s="265"/>
      <c r="I656" s="269"/>
      <c r="J656" s="267"/>
    </row>
    <row r="657" ht="15.75" customHeight="1">
      <c r="A657" s="268"/>
      <c r="B657" s="265"/>
      <c r="C657" s="265"/>
      <c r="D657" s="265"/>
      <c r="E657" s="265"/>
      <c r="F657" s="266" t="s">
        <v>33</v>
      </c>
      <c r="G657" s="267">
        <f t="shared" si="1"/>
        <v>0</v>
      </c>
      <c r="H657" s="265"/>
      <c r="I657" s="269"/>
      <c r="J657" s="267"/>
    </row>
    <row r="658" ht="15.75" customHeight="1">
      <c r="A658" s="268"/>
      <c r="B658" s="265"/>
      <c r="C658" s="265"/>
      <c r="D658" s="265"/>
      <c r="E658" s="265"/>
      <c r="F658" s="266" t="s">
        <v>33</v>
      </c>
      <c r="G658" s="267">
        <f t="shared" si="1"/>
        <v>0</v>
      </c>
      <c r="H658" s="265"/>
      <c r="I658" s="269"/>
      <c r="J658" s="267"/>
    </row>
    <row r="659" ht="15.75" customHeight="1">
      <c r="A659" s="268"/>
      <c r="B659" s="265"/>
      <c r="C659" s="265"/>
      <c r="D659" s="265"/>
      <c r="E659" s="265"/>
      <c r="F659" s="266" t="s">
        <v>33</v>
      </c>
      <c r="G659" s="267">
        <f t="shared" si="1"/>
        <v>0</v>
      </c>
      <c r="H659" s="265"/>
      <c r="I659" s="269"/>
      <c r="J659" s="267"/>
    </row>
    <row r="660" ht="15.75" customHeight="1">
      <c r="A660" s="268"/>
      <c r="B660" s="265"/>
      <c r="C660" s="265"/>
      <c r="D660" s="265"/>
      <c r="E660" s="265"/>
      <c r="F660" s="266" t="s">
        <v>33</v>
      </c>
      <c r="G660" s="267">
        <f t="shared" si="1"/>
        <v>0</v>
      </c>
      <c r="H660" s="265"/>
      <c r="I660" s="269"/>
      <c r="J660" s="267"/>
    </row>
    <row r="661" ht="15.75" customHeight="1">
      <c r="A661" s="268"/>
      <c r="B661" s="265"/>
      <c r="C661" s="265"/>
      <c r="D661" s="265"/>
      <c r="E661" s="265"/>
      <c r="F661" s="266" t="s">
        <v>33</v>
      </c>
      <c r="G661" s="267">
        <f t="shared" si="1"/>
        <v>0</v>
      </c>
      <c r="H661" s="265"/>
      <c r="I661" s="269"/>
      <c r="J661" s="267"/>
    </row>
    <row r="662" ht="15.75" customHeight="1">
      <c r="A662" s="268"/>
      <c r="B662" s="265"/>
      <c r="C662" s="265"/>
      <c r="D662" s="265"/>
      <c r="E662" s="265"/>
      <c r="F662" s="266" t="s">
        <v>33</v>
      </c>
      <c r="G662" s="267">
        <f t="shared" si="1"/>
        <v>0</v>
      </c>
      <c r="H662" s="265"/>
      <c r="I662" s="269"/>
      <c r="J662" s="267"/>
    </row>
    <row r="663" ht="15.75" customHeight="1">
      <c r="A663" s="268"/>
      <c r="B663" s="265"/>
      <c r="C663" s="265"/>
      <c r="D663" s="265"/>
      <c r="E663" s="265"/>
      <c r="F663" s="266" t="s">
        <v>33</v>
      </c>
      <c r="G663" s="267">
        <f t="shared" si="1"/>
        <v>0</v>
      </c>
      <c r="H663" s="265"/>
      <c r="I663" s="269"/>
      <c r="J663" s="267"/>
    </row>
    <row r="664" ht="15.75" customHeight="1">
      <c r="A664" s="268"/>
      <c r="B664" s="265"/>
      <c r="C664" s="265"/>
      <c r="D664" s="265"/>
      <c r="E664" s="265"/>
      <c r="F664" s="266" t="s">
        <v>33</v>
      </c>
      <c r="G664" s="267">
        <f t="shared" si="1"/>
        <v>0</v>
      </c>
      <c r="H664" s="265"/>
      <c r="I664" s="269"/>
      <c r="J664" s="267"/>
    </row>
    <row r="665" ht="15.75" customHeight="1">
      <c r="A665" s="268"/>
      <c r="B665" s="265"/>
      <c r="C665" s="265"/>
      <c r="D665" s="265"/>
      <c r="E665" s="265"/>
      <c r="F665" s="266" t="s">
        <v>33</v>
      </c>
      <c r="G665" s="267">
        <f t="shared" si="1"/>
        <v>0</v>
      </c>
      <c r="H665" s="265"/>
      <c r="I665" s="269"/>
      <c r="J665" s="267"/>
    </row>
    <row r="666" ht="15.75" customHeight="1">
      <c r="A666" s="268"/>
      <c r="B666" s="265"/>
      <c r="C666" s="265"/>
      <c r="D666" s="265"/>
      <c r="E666" s="265"/>
      <c r="F666" s="266" t="s">
        <v>33</v>
      </c>
      <c r="G666" s="267">
        <f t="shared" si="1"/>
        <v>0</v>
      </c>
      <c r="H666" s="265"/>
      <c r="I666" s="269"/>
      <c r="J666" s="267"/>
    </row>
    <row r="667" ht="15.75" customHeight="1">
      <c r="A667" s="268"/>
      <c r="B667" s="265"/>
      <c r="C667" s="265"/>
      <c r="D667" s="265"/>
      <c r="E667" s="265"/>
      <c r="F667" s="266" t="s">
        <v>33</v>
      </c>
      <c r="G667" s="267">
        <f t="shared" si="1"/>
        <v>0</v>
      </c>
      <c r="H667" s="265"/>
      <c r="I667" s="269"/>
      <c r="J667" s="267"/>
    </row>
    <row r="668" ht="15.75" customHeight="1">
      <c r="A668" s="268"/>
      <c r="B668" s="265"/>
      <c r="C668" s="265"/>
      <c r="D668" s="265"/>
      <c r="E668" s="265"/>
      <c r="F668" s="266" t="s">
        <v>33</v>
      </c>
      <c r="G668" s="267">
        <f t="shared" si="1"/>
        <v>0</v>
      </c>
      <c r="H668" s="265"/>
      <c r="I668" s="269"/>
      <c r="J668" s="267"/>
    </row>
    <row r="669" ht="15.75" customHeight="1">
      <c r="A669" s="268"/>
      <c r="B669" s="265"/>
      <c r="C669" s="265"/>
      <c r="D669" s="265"/>
      <c r="E669" s="265"/>
      <c r="F669" s="266" t="s">
        <v>33</v>
      </c>
      <c r="G669" s="267">
        <f t="shared" si="1"/>
        <v>0</v>
      </c>
      <c r="H669" s="265"/>
      <c r="I669" s="269"/>
      <c r="J669" s="267"/>
    </row>
    <row r="670" ht="15.75" customHeight="1">
      <c r="A670" s="268"/>
      <c r="B670" s="265"/>
      <c r="C670" s="265"/>
      <c r="D670" s="265"/>
      <c r="E670" s="265"/>
      <c r="F670" s="266" t="s">
        <v>33</v>
      </c>
      <c r="G670" s="267">
        <f t="shared" si="1"/>
        <v>0</v>
      </c>
      <c r="H670" s="265"/>
      <c r="I670" s="269"/>
      <c r="J670" s="267"/>
    </row>
    <row r="671" ht="15.75" customHeight="1">
      <c r="A671" s="268"/>
      <c r="B671" s="265"/>
      <c r="C671" s="265"/>
      <c r="D671" s="265"/>
      <c r="E671" s="265"/>
      <c r="F671" s="266" t="s">
        <v>33</v>
      </c>
      <c r="G671" s="267">
        <f t="shared" si="1"/>
        <v>0</v>
      </c>
      <c r="H671" s="265"/>
      <c r="I671" s="269"/>
      <c r="J671" s="267"/>
    </row>
    <row r="672" ht="15.75" customHeight="1">
      <c r="A672" s="268"/>
      <c r="B672" s="265"/>
      <c r="C672" s="265"/>
      <c r="D672" s="265"/>
      <c r="E672" s="265"/>
      <c r="F672" s="266" t="s">
        <v>33</v>
      </c>
      <c r="G672" s="267">
        <f t="shared" si="1"/>
        <v>0</v>
      </c>
      <c r="H672" s="265"/>
      <c r="I672" s="269"/>
      <c r="J672" s="267"/>
    </row>
    <row r="673" ht="15.75" customHeight="1">
      <c r="A673" s="268"/>
      <c r="B673" s="265"/>
      <c r="C673" s="265"/>
      <c r="D673" s="265"/>
      <c r="E673" s="265"/>
      <c r="F673" s="266" t="s">
        <v>33</v>
      </c>
      <c r="G673" s="267">
        <f t="shared" si="1"/>
        <v>0</v>
      </c>
      <c r="H673" s="265"/>
      <c r="I673" s="269"/>
      <c r="J673" s="267"/>
    </row>
    <row r="674" ht="15.75" customHeight="1">
      <c r="A674" s="268"/>
      <c r="B674" s="265"/>
      <c r="C674" s="265"/>
      <c r="D674" s="265"/>
      <c r="E674" s="265"/>
      <c r="F674" s="266" t="s">
        <v>33</v>
      </c>
      <c r="G674" s="267">
        <f t="shared" si="1"/>
        <v>0</v>
      </c>
      <c r="H674" s="265"/>
      <c r="I674" s="269"/>
      <c r="J674" s="267"/>
    </row>
    <row r="675" ht="15.75" customHeight="1">
      <c r="A675" s="268"/>
      <c r="B675" s="265"/>
      <c r="C675" s="265"/>
      <c r="D675" s="265"/>
      <c r="E675" s="265"/>
      <c r="F675" s="266" t="s">
        <v>33</v>
      </c>
      <c r="G675" s="267">
        <f t="shared" si="1"/>
        <v>0</v>
      </c>
      <c r="H675" s="265"/>
      <c r="I675" s="269"/>
      <c r="J675" s="267"/>
    </row>
    <row r="676" ht="15.75" customHeight="1">
      <c r="A676" s="268"/>
      <c r="B676" s="265"/>
      <c r="C676" s="265"/>
      <c r="D676" s="265"/>
      <c r="E676" s="265"/>
      <c r="F676" s="266" t="s">
        <v>33</v>
      </c>
      <c r="G676" s="267">
        <f t="shared" si="1"/>
        <v>0</v>
      </c>
      <c r="H676" s="265"/>
      <c r="I676" s="269"/>
      <c r="J676" s="267"/>
    </row>
    <row r="677" ht="15.75" customHeight="1">
      <c r="A677" s="268"/>
      <c r="B677" s="265"/>
      <c r="C677" s="265"/>
      <c r="D677" s="265"/>
      <c r="E677" s="265"/>
      <c r="F677" s="266" t="s">
        <v>33</v>
      </c>
      <c r="G677" s="267">
        <f t="shared" si="1"/>
        <v>0</v>
      </c>
      <c r="H677" s="265"/>
      <c r="I677" s="269"/>
      <c r="J677" s="267"/>
    </row>
    <row r="678" ht="15.75" customHeight="1">
      <c r="A678" s="268"/>
      <c r="B678" s="265"/>
      <c r="C678" s="265"/>
      <c r="D678" s="265"/>
      <c r="E678" s="265"/>
      <c r="F678" s="266" t="s">
        <v>33</v>
      </c>
      <c r="G678" s="267">
        <f t="shared" si="1"/>
        <v>0</v>
      </c>
      <c r="H678" s="265"/>
      <c r="I678" s="269"/>
      <c r="J678" s="267"/>
    </row>
    <row r="679" ht="15.75" customHeight="1">
      <c r="A679" s="268"/>
      <c r="B679" s="265"/>
      <c r="C679" s="265"/>
      <c r="D679" s="265"/>
      <c r="E679" s="265"/>
      <c r="F679" s="266" t="s">
        <v>33</v>
      </c>
      <c r="G679" s="267">
        <f t="shared" si="1"/>
        <v>0</v>
      </c>
      <c r="H679" s="265"/>
      <c r="I679" s="269"/>
      <c r="J679" s="267"/>
    </row>
    <row r="680" ht="15.75" customHeight="1">
      <c r="A680" s="268"/>
      <c r="B680" s="265"/>
      <c r="C680" s="265"/>
      <c r="D680" s="265"/>
      <c r="E680" s="265"/>
      <c r="F680" s="266" t="s">
        <v>33</v>
      </c>
      <c r="G680" s="267">
        <f t="shared" si="1"/>
        <v>0</v>
      </c>
      <c r="H680" s="265"/>
      <c r="I680" s="269"/>
      <c r="J680" s="267"/>
    </row>
    <row r="681" ht="15.75" customHeight="1">
      <c r="A681" s="268"/>
      <c r="B681" s="265"/>
      <c r="C681" s="265"/>
      <c r="D681" s="265"/>
      <c r="E681" s="265"/>
      <c r="F681" s="266" t="s">
        <v>33</v>
      </c>
      <c r="G681" s="267">
        <f t="shared" si="1"/>
        <v>0</v>
      </c>
      <c r="H681" s="265"/>
      <c r="I681" s="269"/>
      <c r="J681" s="267"/>
    </row>
    <row r="682" ht="15.75" customHeight="1">
      <c r="A682" s="268"/>
      <c r="B682" s="265"/>
      <c r="C682" s="265"/>
      <c r="D682" s="265"/>
      <c r="E682" s="265"/>
      <c r="F682" s="266" t="s">
        <v>33</v>
      </c>
      <c r="G682" s="267">
        <f t="shared" si="1"/>
        <v>0</v>
      </c>
      <c r="H682" s="265"/>
      <c r="I682" s="269"/>
      <c r="J682" s="267"/>
    </row>
    <row r="683" ht="15.75" customHeight="1">
      <c r="A683" s="268"/>
      <c r="B683" s="265"/>
      <c r="C683" s="265"/>
      <c r="D683" s="265"/>
      <c r="E683" s="265"/>
      <c r="F683" s="266" t="s">
        <v>33</v>
      </c>
      <c r="G683" s="267">
        <f t="shared" si="1"/>
        <v>0</v>
      </c>
      <c r="H683" s="265"/>
      <c r="I683" s="269"/>
      <c r="J683" s="267"/>
    </row>
    <row r="684" ht="15.75" customHeight="1">
      <c r="A684" s="268"/>
      <c r="B684" s="265"/>
      <c r="C684" s="265"/>
      <c r="D684" s="265"/>
      <c r="E684" s="265"/>
      <c r="F684" s="266" t="s">
        <v>33</v>
      </c>
      <c r="G684" s="267">
        <f t="shared" si="1"/>
        <v>0</v>
      </c>
      <c r="H684" s="265"/>
      <c r="I684" s="269"/>
      <c r="J684" s="267"/>
    </row>
    <row r="685" ht="15.75" customHeight="1">
      <c r="A685" s="268"/>
      <c r="B685" s="265"/>
      <c r="C685" s="265"/>
      <c r="D685" s="265"/>
      <c r="E685" s="265"/>
      <c r="F685" s="266" t="s">
        <v>33</v>
      </c>
      <c r="G685" s="267">
        <f t="shared" si="1"/>
        <v>0</v>
      </c>
      <c r="H685" s="265"/>
      <c r="I685" s="269"/>
      <c r="J685" s="267"/>
    </row>
    <row r="686" ht="15.75" customHeight="1">
      <c r="A686" s="268"/>
      <c r="B686" s="265"/>
      <c r="C686" s="265"/>
      <c r="D686" s="265"/>
      <c r="E686" s="265"/>
      <c r="F686" s="266" t="s">
        <v>33</v>
      </c>
      <c r="G686" s="267">
        <f t="shared" si="1"/>
        <v>0</v>
      </c>
      <c r="H686" s="265"/>
      <c r="I686" s="269"/>
      <c r="J686" s="267"/>
    </row>
    <row r="687" ht="15.75" customHeight="1">
      <c r="A687" s="268"/>
      <c r="B687" s="265"/>
      <c r="C687" s="265"/>
      <c r="D687" s="265"/>
      <c r="E687" s="265"/>
      <c r="F687" s="266" t="s">
        <v>33</v>
      </c>
      <c r="G687" s="267">
        <f t="shared" si="1"/>
        <v>0</v>
      </c>
      <c r="H687" s="265"/>
      <c r="I687" s="269"/>
      <c r="J687" s="267"/>
    </row>
    <row r="688" ht="15.75" customHeight="1">
      <c r="A688" s="268"/>
      <c r="B688" s="265"/>
      <c r="C688" s="265"/>
      <c r="D688" s="265"/>
      <c r="E688" s="265"/>
      <c r="F688" s="266" t="s">
        <v>33</v>
      </c>
      <c r="G688" s="267">
        <f t="shared" si="1"/>
        <v>0</v>
      </c>
      <c r="H688" s="265"/>
      <c r="I688" s="269"/>
      <c r="J688" s="267"/>
    </row>
    <row r="689" ht="15.75" customHeight="1">
      <c r="A689" s="268"/>
      <c r="B689" s="265"/>
      <c r="C689" s="265"/>
      <c r="D689" s="265"/>
      <c r="E689" s="265"/>
      <c r="F689" s="266" t="s">
        <v>33</v>
      </c>
      <c r="G689" s="267">
        <f t="shared" si="1"/>
        <v>0</v>
      </c>
      <c r="H689" s="265"/>
      <c r="I689" s="269"/>
      <c r="J689" s="267"/>
    </row>
    <row r="690" ht="15.75" customHeight="1">
      <c r="A690" s="268"/>
      <c r="B690" s="265"/>
      <c r="C690" s="265"/>
      <c r="D690" s="265"/>
      <c r="E690" s="265"/>
      <c r="F690" s="266" t="s">
        <v>33</v>
      </c>
      <c r="G690" s="267">
        <f t="shared" si="1"/>
        <v>0</v>
      </c>
      <c r="H690" s="265"/>
      <c r="I690" s="269"/>
      <c r="J690" s="267"/>
    </row>
    <row r="691" ht="15.75" customHeight="1">
      <c r="A691" s="268"/>
      <c r="B691" s="265"/>
      <c r="C691" s="265"/>
      <c r="D691" s="265"/>
      <c r="E691" s="265"/>
      <c r="F691" s="266" t="s">
        <v>33</v>
      </c>
      <c r="G691" s="267">
        <f t="shared" si="1"/>
        <v>0</v>
      </c>
      <c r="H691" s="265"/>
      <c r="I691" s="269"/>
      <c r="J691" s="267"/>
    </row>
    <row r="692" ht="15.75" customHeight="1">
      <c r="A692" s="268"/>
      <c r="B692" s="265"/>
      <c r="C692" s="265"/>
      <c r="D692" s="265"/>
      <c r="E692" s="265"/>
      <c r="F692" s="266" t="s">
        <v>33</v>
      </c>
      <c r="G692" s="267">
        <f t="shared" si="1"/>
        <v>0</v>
      </c>
      <c r="H692" s="265"/>
      <c r="I692" s="269"/>
      <c r="J692" s="267"/>
    </row>
    <row r="693" ht="15.75" customHeight="1">
      <c r="A693" s="268"/>
      <c r="B693" s="265"/>
      <c r="C693" s="265"/>
      <c r="D693" s="265"/>
      <c r="E693" s="265"/>
      <c r="F693" s="266" t="s">
        <v>33</v>
      </c>
      <c r="G693" s="267">
        <f t="shared" si="1"/>
        <v>0</v>
      </c>
      <c r="H693" s="265"/>
      <c r="I693" s="269"/>
      <c r="J693" s="267"/>
    </row>
    <row r="694" ht="15.75" customHeight="1">
      <c r="A694" s="268"/>
      <c r="B694" s="265"/>
      <c r="C694" s="265"/>
      <c r="D694" s="265"/>
      <c r="E694" s="265"/>
      <c r="F694" s="266" t="s">
        <v>33</v>
      </c>
      <c r="G694" s="267">
        <f t="shared" si="1"/>
        <v>0</v>
      </c>
      <c r="H694" s="265"/>
      <c r="I694" s="269"/>
      <c r="J694" s="267"/>
    </row>
    <row r="695" ht="15.75" customHeight="1">
      <c r="A695" s="268"/>
      <c r="B695" s="265"/>
      <c r="C695" s="265"/>
      <c r="D695" s="265"/>
      <c r="E695" s="265"/>
      <c r="F695" s="266" t="s">
        <v>33</v>
      </c>
      <c r="G695" s="267">
        <f t="shared" si="1"/>
        <v>0</v>
      </c>
      <c r="H695" s="265"/>
      <c r="I695" s="269"/>
      <c r="J695" s="267"/>
    </row>
    <row r="696" ht="15.75" customHeight="1">
      <c r="A696" s="268"/>
      <c r="B696" s="265"/>
      <c r="C696" s="265"/>
      <c r="D696" s="265"/>
      <c r="E696" s="265"/>
      <c r="F696" s="266" t="s">
        <v>33</v>
      </c>
      <c r="G696" s="267">
        <f t="shared" si="1"/>
        <v>0</v>
      </c>
      <c r="H696" s="265"/>
      <c r="I696" s="269"/>
      <c r="J696" s="267"/>
    </row>
    <row r="697" ht="15.75" customHeight="1">
      <c r="A697" s="268"/>
      <c r="B697" s="265"/>
      <c r="C697" s="265"/>
      <c r="D697" s="265"/>
      <c r="E697" s="265"/>
      <c r="F697" s="266" t="s">
        <v>33</v>
      </c>
      <c r="G697" s="267">
        <f t="shared" si="1"/>
        <v>0</v>
      </c>
      <c r="H697" s="265"/>
      <c r="I697" s="269"/>
      <c r="J697" s="267"/>
    </row>
    <row r="698" ht="15.75" customHeight="1">
      <c r="A698" s="268"/>
      <c r="B698" s="265"/>
      <c r="C698" s="265"/>
      <c r="D698" s="265"/>
      <c r="E698" s="265"/>
      <c r="F698" s="266" t="s">
        <v>33</v>
      </c>
      <c r="G698" s="267">
        <f t="shared" si="1"/>
        <v>0</v>
      </c>
      <c r="H698" s="265"/>
      <c r="I698" s="269"/>
      <c r="J698" s="267"/>
    </row>
    <row r="699" ht="15.75" customHeight="1">
      <c r="A699" s="268"/>
      <c r="B699" s="265"/>
      <c r="C699" s="265"/>
      <c r="D699" s="265"/>
      <c r="E699" s="265"/>
      <c r="F699" s="266" t="s">
        <v>33</v>
      </c>
      <c r="G699" s="267">
        <f t="shared" si="1"/>
        <v>0</v>
      </c>
      <c r="H699" s="265"/>
      <c r="I699" s="269"/>
      <c r="J699" s="267"/>
    </row>
    <row r="700" ht="15.75" customHeight="1">
      <c r="A700" s="268"/>
      <c r="B700" s="265"/>
      <c r="C700" s="265"/>
      <c r="D700" s="265"/>
      <c r="E700" s="265"/>
      <c r="F700" s="266" t="s">
        <v>33</v>
      </c>
      <c r="G700" s="267">
        <f t="shared" si="1"/>
        <v>0</v>
      </c>
      <c r="H700" s="265"/>
      <c r="I700" s="269"/>
      <c r="J700" s="267"/>
    </row>
    <row r="701" ht="15.75" customHeight="1">
      <c r="A701" s="268"/>
      <c r="B701" s="265"/>
      <c r="C701" s="265"/>
      <c r="D701" s="265"/>
      <c r="E701" s="265"/>
      <c r="F701" s="266" t="s">
        <v>33</v>
      </c>
      <c r="G701" s="267">
        <f t="shared" si="1"/>
        <v>0</v>
      </c>
      <c r="H701" s="265"/>
      <c r="I701" s="269"/>
      <c r="J701" s="267"/>
    </row>
    <row r="702" ht="15.75" customHeight="1">
      <c r="A702" s="268"/>
      <c r="B702" s="265"/>
      <c r="C702" s="265"/>
      <c r="D702" s="265"/>
      <c r="E702" s="265"/>
      <c r="F702" s="266" t="s">
        <v>33</v>
      </c>
      <c r="G702" s="267">
        <f t="shared" si="1"/>
        <v>0</v>
      </c>
      <c r="H702" s="265"/>
      <c r="I702" s="269"/>
      <c r="J702" s="267"/>
    </row>
    <row r="703" ht="15.75" customHeight="1">
      <c r="A703" s="268"/>
      <c r="B703" s="265"/>
      <c r="C703" s="265"/>
      <c r="D703" s="265"/>
      <c r="E703" s="265"/>
      <c r="F703" s="266" t="s">
        <v>33</v>
      </c>
      <c r="G703" s="267">
        <f t="shared" si="1"/>
        <v>0</v>
      </c>
      <c r="H703" s="265"/>
      <c r="I703" s="269"/>
      <c r="J703" s="267"/>
    </row>
    <row r="704" ht="15.75" customHeight="1">
      <c r="A704" s="268"/>
      <c r="B704" s="265"/>
      <c r="C704" s="265"/>
      <c r="D704" s="265"/>
      <c r="E704" s="265"/>
      <c r="F704" s="266" t="s">
        <v>33</v>
      </c>
      <c r="G704" s="267">
        <f t="shared" si="1"/>
        <v>0</v>
      </c>
      <c r="H704" s="265"/>
      <c r="I704" s="269"/>
      <c r="J704" s="267"/>
    </row>
    <row r="705" ht="15.75" customHeight="1">
      <c r="A705" s="268"/>
      <c r="B705" s="265"/>
      <c r="C705" s="265"/>
      <c r="D705" s="265"/>
      <c r="E705" s="265"/>
      <c r="F705" s="266" t="s">
        <v>33</v>
      </c>
      <c r="G705" s="267">
        <f t="shared" si="1"/>
        <v>0</v>
      </c>
      <c r="H705" s="265"/>
      <c r="I705" s="269"/>
      <c r="J705" s="267"/>
    </row>
    <row r="706" ht="15.75" customHeight="1">
      <c r="A706" s="268"/>
      <c r="B706" s="265"/>
      <c r="C706" s="265"/>
      <c r="D706" s="265"/>
      <c r="E706" s="265"/>
      <c r="F706" s="266" t="s">
        <v>33</v>
      </c>
      <c r="G706" s="267">
        <f t="shared" si="1"/>
        <v>0</v>
      </c>
      <c r="H706" s="265"/>
      <c r="I706" s="269"/>
      <c r="J706" s="267"/>
    </row>
    <row r="707" ht="15.75" customHeight="1">
      <c r="A707" s="268"/>
      <c r="B707" s="265"/>
      <c r="C707" s="265"/>
      <c r="D707" s="265"/>
      <c r="E707" s="265"/>
      <c r="F707" s="266" t="s">
        <v>33</v>
      </c>
      <c r="G707" s="267">
        <f t="shared" si="1"/>
        <v>0</v>
      </c>
      <c r="H707" s="265"/>
      <c r="I707" s="269"/>
      <c r="J707" s="267"/>
    </row>
    <row r="708" ht="15.75" customHeight="1">
      <c r="A708" s="268"/>
      <c r="B708" s="265"/>
      <c r="C708" s="265"/>
      <c r="D708" s="265"/>
      <c r="E708" s="265"/>
      <c r="F708" s="266" t="s">
        <v>33</v>
      </c>
      <c r="G708" s="267">
        <f t="shared" si="1"/>
        <v>0</v>
      </c>
      <c r="H708" s="265"/>
      <c r="I708" s="269"/>
      <c r="J708" s="267"/>
    </row>
    <row r="709" ht="15.75" customHeight="1">
      <c r="A709" s="268"/>
      <c r="B709" s="265"/>
      <c r="C709" s="265"/>
      <c r="D709" s="265"/>
      <c r="E709" s="265"/>
      <c r="F709" s="266" t="s">
        <v>33</v>
      </c>
      <c r="G709" s="267">
        <f t="shared" si="1"/>
        <v>0</v>
      </c>
      <c r="H709" s="265"/>
      <c r="I709" s="269"/>
      <c r="J709" s="267"/>
    </row>
    <row r="710" ht="15.75" customHeight="1">
      <c r="A710" s="268"/>
      <c r="B710" s="265"/>
      <c r="C710" s="265"/>
      <c r="D710" s="265"/>
      <c r="E710" s="265"/>
      <c r="F710" s="266" t="s">
        <v>33</v>
      </c>
      <c r="G710" s="267">
        <f t="shared" si="1"/>
        <v>0</v>
      </c>
      <c r="H710" s="265"/>
      <c r="I710" s="269"/>
      <c r="J710" s="267"/>
    </row>
    <row r="711" ht="15.75" customHeight="1">
      <c r="A711" s="268"/>
      <c r="B711" s="265"/>
      <c r="C711" s="265"/>
      <c r="D711" s="265"/>
      <c r="E711" s="265"/>
      <c r="F711" s="266" t="s">
        <v>33</v>
      </c>
      <c r="G711" s="267">
        <f t="shared" si="1"/>
        <v>0</v>
      </c>
      <c r="H711" s="265"/>
      <c r="I711" s="269"/>
      <c r="J711" s="267"/>
    </row>
    <row r="712" ht="15.75" customHeight="1">
      <c r="A712" s="268"/>
      <c r="B712" s="265"/>
      <c r="C712" s="265"/>
      <c r="D712" s="265"/>
      <c r="E712" s="265"/>
      <c r="F712" s="266" t="s">
        <v>33</v>
      </c>
      <c r="G712" s="267">
        <f t="shared" si="1"/>
        <v>0</v>
      </c>
      <c r="H712" s="265"/>
      <c r="I712" s="269"/>
      <c r="J712" s="267"/>
    </row>
    <row r="713" ht="15.75" customHeight="1">
      <c r="A713" s="268"/>
      <c r="B713" s="265"/>
      <c r="C713" s="265"/>
      <c r="D713" s="265"/>
      <c r="E713" s="265"/>
      <c r="F713" s="266" t="s">
        <v>33</v>
      </c>
      <c r="G713" s="267">
        <f t="shared" si="1"/>
        <v>0</v>
      </c>
      <c r="H713" s="265"/>
      <c r="I713" s="269"/>
      <c r="J713" s="267"/>
    </row>
    <row r="714" ht="15.75" customHeight="1">
      <c r="A714" s="268"/>
      <c r="B714" s="265"/>
      <c r="C714" s="265"/>
      <c r="D714" s="265"/>
      <c r="E714" s="265"/>
      <c r="F714" s="266" t="s">
        <v>33</v>
      </c>
      <c r="G714" s="267">
        <f t="shared" si="1"/>
        <v>0</v>
      </c>
      <c r="H714" s="265"/>
      <c r="I714" s="269"/>
      <c r="J714" s="267"/>
    </row>
    <row r="715" ht="15.75" customHeight="1">
      <c r="A715" s="268"/>
      <c r="B715" s="265"/>
      <c r="C715" s="265"/>
      <c r="D715" s="265"/>
      <c r="E715" s="265"/>
      <c r="F715" s="266" t="s">
        <v>33</v>
      </c>
      <c r="G715" s="267">
        <f t="shared" si="1"/>
        <v>0</v>
      </c>
      <c r="H715" s="265"/>
      <c r="I715" s="269"/>
      <c r="J715" s="267"/>
    </row>
    <row r="716" ht="15.75" customHeight="1">
      <c r="A716" s="268"/>
      <c r="B716" s="265"/>
      <c r="C716" s="265"/>
      <c r="D716" s="265"/>
      <c r="E716" s="265"/>
      <c r="F716" s="266" t="s">
        <v>33</v>
      </c>
      <c r="G716" s="267">
        <f t="shared" si="1"/>
        <v>0</v>
      </c>
      <c r="H716" s="265"/>
      <c r="I716" s="269"/>
      <c r="J716" s="267"/>
    </row>
    <row r="717" ht="15.75" customHeight="1">
      <c r="A717" s="268"/>
      <c r="B717" s="265"/>
      <c r="C717" s="265"/>
      <c r="D717" s="265"/>
      <c r="E717" s="265"/>
      <c r="F717" s="266" t="s">
        <v>33</v>
      </c>
      <c r="G717" s="267">
        <f t="shared" si="1"/>
        <v>0</v>
      </c>
      <c r="H717" s="265"/>
      <c r="I717" s="269"/>
      <c r="J717" s="267"/>
    </row>
    <row r="718" ht="15.75" customHeight="1">
      <c r="A718" s="268"/>
      <c r="B718" s="265"/>
      <c r="C718" s="265"/>
      <c r="D718" s="265"/>
      <c r="E718" s="265"/>
      <c r="F718" s="266" t="s">
        <v>33</v>
      </c>
      <c r="G718" s="267">
        <f t="shared" si="1"/>
        <v>0</v>
      </c>
      <c r="H718" s="265"/>
      <c r="I718" s="269"/>
      <c r="J718" s="267"/>
    </row>
    <row r="719" ht="15.75" customHeight="1">
      <c r="A719" s="268"/>
      <c r="B719" s="265"/>
      <c r="C719" s="265"/>
      <c r="D719" s="265"/>
      <c r="E719" s="265"/>
      <c r="F719" s="266" t="s">
        <v>33</v>
      </c>
      <c r="G719" s="267">
        <f t="shared" si="1"/>
        <v>0</v>
      </c>
      <c r="H719" s="265"/>
      <c r="I719" s="269"/>
      <c r="J719" s="267"/>
    </row>
    <row r="720" ht="15.75" customHeight="1">
      <c r="A720" s="268"/>
      <c r="B720" s="265"/>
      <c r="C720" s="265"/>
      <c r="D720" s="265"/>
      <c r="E720" s="265"/>
      <c r="F720" s="266" t="s">
        <v>33</v>
      </c>
      <c r="G720" s="267">
        <f t="shared" si="1"/>
        <v>0</v>
      </c>
      <c r="H720" s="265"/>
      <c r="I720" s="269"/>
      <c r="J720" s="267"/>
    </row>
    <row r="721" ht="15.75" customHeight="1">
      <c r="A721" s="268"/>
      <c r="B721" s="265"/>
      <c r="C721" s="265"/>
      <c r="D721" s="265"/>
      <c r="E721" s="265"/>
      <c r="F721" s="266" t="s">
        <v>33</v>
      </c>
      <c r="G721" s="267">
        <f t="shared" si="1"/>
        <v>0</v>
      </c>
      <c r="H721" s="265"/>
      <c r="I721" s="269"/>
      <c r="J721" s="267"/>
    </row>
    <row r="722" ht="15.75" customHeight="1">
      <c r="A722" s="268"/>
      <c r="B722" s="265"/>
      <c r="C722" s="265"/>
      <c r="D722" s="265"/>
      <c r="E722" s="265"/>
      <c r="F722" s="266" t="s">
        <v>33</v>
      </c>
      <c r="G722" s="267">
        <f t="shared" si="1"/>
        <v>0</v>
      </c>
      <c r="H722" s="265"/>
      <c r="I722" s="269"/>
      <c r="J722" s="267"/>
    </row>
    <row r="723" ht="15.75" customHeight="1">
      <c r="A723" s="268"/>
      <c r="B723" s="265"/>
      <c r="C723" s="265"/>
      <c r="D723" s="265"/>
      <c r="E723" s="265"/>
      <c r="F723" s="266" t="s">
        <v>33</v>
      </c>
      <c r="G723" s="267">
        <f t="shared" si="1"/>
        <v>0</v>
      </c>
      <c r="H723" s="265"/>
      <c r="I723" s="269"/>
      <c r="J723" s="267"/>
    </row>
    <row r="724" ht="15.75" customHeight="1">
      <c r="A724" s="268"/>
      <c r="B724" s="265"/>
      <c r="C724" s="265"/>
      <c r="D724" s="265"/>
      <c r="E724" s="265"/>
      <c r="F724" s="266" t="s">
        <v>33</v>
      </c>
      <c r="G724" s="267">
        <f t="shared" si="1"/>
        <v>0</v>
      </c>
      <c r="H724" s="265"/>
      <c r="I724" s="269"/>
      <c r="J724" s="267"/>
    </row>
    <row r="725" ht="15.75" customHeight="1">
      <c r="A725" s="268"/>
      <c r="B725" s="265"/>
      <c r="C725" s="265"/>
      <c r="D725" s="265"/>
      <c r="E725" s="265"/>
      <c r="F725" s="266" t="s">
        <v>33</v>
      </c>
      <c r="G725" s="267">
        <f t="shared" si="1"/>
        <v>0</v>
      </c>
      <c r="H725" s="265"/>
      <c r="I725" s="269"/>
      <c r="J725" s="267"/>
    </row>
    <row r="726" ht="15.75" customHeight="1">
      <c r="A726" s="268"/>
      <c r="B726" s="265"/>
      <c r="C726" s="265"/>
      <c r="D726" s="265"/>
      <c r="E726" s="265"/>
      <c r="F726" s="266" t="s">
        <v>33</v>
      </c>
      <c r="G726" s="267">
        <f t="shared" si="1"/>
        <v>0</v>
      </c>
      <c r="H726" s="265"/>
      <c r="I726" s="269"/>
      <c r="J726" s="267"/>
    </row>
    <row r="727" ht="15.75" customHeight="1">
      <c r="A727" s="268"/>
      <c r="B727" s="265"/>
      <c r="C727" s="265"/>
      <c r="D727" s="265"/>
      <c r="E727" s="265"/>
      <c r="F727" s="266" t="s">
        <v>33</v>
      </c>
      <c r="G727" s="267">
        <f t="shared" si="1"/>
        <v>0</v>
      </c>
      <c r="H727" s="265"/>
      <c r="I727" s="269"/>
      <c r="J727" s="267"/>
    </row>
    <row r="728" ht="15.75" customHeight="1">
      <c r="A728" s="268"/>
      <c r="B728" s="265"/>
      <c r="C728" s="265"/>
      <c r="D728" s="265"/>
      <c r="E728" s="265"/>
      <c r="F728" s="266" t="s">
        <v>33</v>
      </c>
      <c r="G728" s="267">
        <f t="shared" si="1"/>
        <v>0</v>
      </c>
      <c r="H728" s="265"/>
      <c r="I728" s="269"/>
      <c r="J728" s="267"/>
    </row>
    <row r="729" ht="15.75" customHeight="1">
      <c r="A729" s="268"/>
      <c r="B729" s="265"/>
      <c r="C729" s="265"/>
      <c r="D729" s="265"/>
      <c r="E729" s="265"/>
      <c r="F729" s="266" t="s">
        <v>33</v>
      </c>
      <c r="G729" s="267">
        <f t="shared" si="1"/>
        <v>0</v>
      </c>
      <c r="H729" s="265"/>
      <c r="I729" s="269"/>
      <c r="J729" s="267"/>
    </row>
    <row r="730" ht="15.75" customHeight="1">
      <c r="A730" s="268"/>
      <c r="B730" s="265"/>
      <c r="C730" s="265"/>
      <c r="D730" s="265"/>
      <c r="E730" s="265"/>
      <c r="F730" s="266" t="s">
        <v>33</v>
      </c>
      <c r="G730" s="267">
        <f t="shared" si="1"/>
        <v>0</v>
      </c>
      <c r="H730" s="265"/>
      <c r="I730" s="269"/>
      <c r="J730" s="267"/>
    </row>
    <row r="731" ht="15.75" customHeight="1">
      <c r="A731" s="268"/>
      <c r="B731" s="265"/>
      <c r="C731" s="265"/>
      <c r="D731" s="265"/>
      <c r="E731" s="265"/>
      <c r="F731" s="266" t="s">
        <v>33</v>
      </c>
      <c r="G731" s="267">
        <f t="shared" si="1"/>
        <v>0</v>
      </c>
      <c r="H731" s="265"/>
      <c r="I731" s="269"/>
      <c r="J731" s="267"/>
    </row>
    <row r="732" ht="15.75" customHeight="1">
      <c r="A732" s="268"/>
      <c r="B732" s="265"/>
      <c r="C732" s="265"/>
      <c r="D732" s="265"/>
      <c r="E732" s="265"/>
      <c r="F732" s="266" t="s">
        <v>33</v>
      </c>
      <c r="G732" s="267">
        <f t="shared" si="1"/>
        <v>0</v>
      </c>
      <c r="H732" s="265"/>
      <c r="I732" s="269"/>
      <c r="J732" s="267"/>
    </row>
    <row r="733" ht="15.75" customHeight="1">
      <c r="A733" s="268"/>
      <c r="B733" s="265"/>
      <c r="C733" s="265"/>
      <c r="D733" s="265"/>
      <c r="E733" s="265"/>
      <c r="F733" s="266" t="s">
        <v>33</v>
      </c>
      <c r="G733" s="267">
        <f t="shared" si="1"/>
        <v>0</v>
      </c>
      <c r="H733" s="265"/>
      <c r="I733" s="269"/>
      <c r="J733" s="267"/>
    </row>
    <row r="734" ht="15.75" customHeight="1">
      <c r="A734" s="268"/>
      <c r="B734" s="265"/>
      <c r="C734" s="265"/>
      <c r="D734" s="265"/>
      <c r="E734" s="265"/>
      <c r="F734" s="266" t="s">
        <v>33</v>
      </c>
      <c r="G734" s="267">
        <f t="shared" si="1"/>
        <v>0</v>
      </c>
      <c r="H734" s="265"/>
      <c r="I734" s="269"/>
      <c r="J734" s="267"/>
    </row>
    <row r="735" ht="15.75" customHeight="1">
      <c r="A735" s="268"/>
      <c r="B735" s="265"/>
      <c r="C735" s="265"/>
      <c r="D735" s="265"/>
      <c r="E735" s="265"/>
      <c r="F735" s="266" t="s">
        <v>33</v>
      </c>
      <c r="G735" s="267">
        <f t="shared" si="1"/>
        <v>0</v>
      </c>
      <c r="H735" s="265"/>
      <c r="I735" s="269"/>
      <c r="J735" s="267"/>
    </row>
    <row r="736" ht="15.75" customHeight="1">
      <c r="A736" s="268"/>
      <c r="B736" s="265"/>
      <c r="C736" s="265"/>
      <c r="D736" s="265"/>
      <c r="E736" s="265"/>
      <c r="F736" s="266" t="s">
        <v>33</v>
      </c>
      <c r="G736" s="267">
        <f t="shared" si="1"/>
        <v>0</v>
      </c>
      <c r="H736" s="265"/>
      <c r="I736" s="269"/>
      <c r="J736" s="267"/>
    </row>
    <row r="737" ht="15.75" customHeight="1">
      <c r="A737" s="268"/>
      <c r="B737" s="265"/>
      <c r="C737" s="265"/>
      <c r="D737" s="265"/>
      <c r="E737" s="265"/>
      <c r="F737" s="266" t="s">
        <v>33</v>
      </c>
      <c r="G737" s="267">
        <f t="shared" si="1"/>
        <v>0</v>
      </c>
      <c r="H737" s="265"/>
      <c r="I737" s="269"/>
      <c r="J737" s="267"/>
    </row>
    <row r="738" ht="15.75" customHeight="1">
      <c r="A738" s="268"/>
      <c r="B738" s="265"/>
      <c r="C738" s="265"/>
      <c r="D738" s="265"/>
      <c r="E738" s="265"/>
      <c r="F738" s="266" t="s">
        <v>33</v>
      </c>
      <c r="G738" s="267">
        <f t="shared" si="1"/>
        <v>0</v>
      </c>
      <c r="H738" s="265"/>
      <c r="I738" s="269"/>
      <c r="J738" s="267"/>
    </row>
    <row r="739" ht="15.75" customHeight="1">
      <c r="A739" s="268"/>
      <c r="B739" s="265"/>
      <c r="C739" s="265"/>
      <c r="D739" s="265"/>
      <c r="E739" s="265"/>
      <c r="F739" s="266" t="s">
        <v>33</v>
      </c>
      <c r="G739" s="267">
        <f t="shared" si="1"/>
        <v>0</v>
      </c>
      <c r="H739" s="265"/>
      <c r="I739" s="269"/>
      <c r="J739" s="267"/>
    </row>
    <row r="740" ht="15.75" customHeight="1">
      <c r="A740" s="268"/>
      <c r="B740" s="265"/>
      <c r="C740" s="265"/>
      <c r="D740" s="265"/>
      <c r="E740" s="265"/>
      <c r="F740" s="266" t="s">
        <v>33</v>
      </c>
      <c r="G740" s="267">
        <f t="shared" si="1"/>
        <v>0</v>
      </c>
      <c r="H740" s="265"/>
      <c r="I740" s="269"/>
      <c r="J740" s="267"/>
    </row>
    <row r="741" ht="15.75" customHeight="1">
      <c r="A741" s="268"/>
      <c r="B741" s="265"/>
      <c r="C741" s="265"/>
      <c r="D741" s="265"/>
      <c r="E741" s="265"/>
      <c r="F741" s="266" t="s">
        <v>33</v>
      </c>
      <c r="G741" s="267">
        <f t="shared" si="1"/>
        <v>0</v>
      </c>
      <c r="H741" s="265"/>
      <c r="I741" s="269"/>
      <c r="J741" s="267"/>
    </row>
    <row r="742" ht="15.75" customHeight="1">
      <c r="A742" s="268"/>
      <c r="B742" s="265"/>
      <c r="C742" s="265"/>
      <c r="D742" s="265"/>
      <c r="E742" s="265"/>
      <c r="F742" s="266" t="s">
        <v>33</v>
      </c>
      <c r="G742" s="267">
        <f t="shared" si="1"/>
        <v>0</v>
      </c>
      <c r="H742" s="265"/>
      <c r="I742" s="269"/>
      <c r="J742" s="267"/>
    </row>
    <row r="743" ht="15.75" customHeight="1">
      <c r="A743" s="268"/>
      <c r="B743" s="265"/>
      <c r="C743" s="265"/>
      <c r="D743" s="265"/>
      <c r="E743" s="265"/>
      <c r="F743" s="266" t="s">
        <v>33</v>
      </c>
      <c r="G743" s="267">
        <f t="shared" si="1"/>
        <v>0</v>
      </c>
      <c r="H743" s="265"/>
      <c r="I743" s="269"/>
      <c r="J743" s="267"/>
    </row>
    <row r="744" ht="15.75" customHeight="1">
      <c r="A744" s="268"/>
      <c r="B744" s="265"/>
      <c r="C744" s="265"/>
      <c r="D744" s="265"/>
      <c r="E744" s="265"/>
      <c r="F744" s="266" t="s">
        <v>33</v>
      </c>
      <c r="G744" s="267">
        <f t="shared" si="1"/>
        <v>0</v>
      </c>
      <c r="H744" s="265"/>
      <c r="I744" s="269"/>
      <c r="J744" s="267"/>
    </row>
    <row r="745" ht="15.75" customHeight="1">
      <c r="A745" s="268"/>
      <c r="B745" s="265"/>
      <c r="C745" s="265"/>
      <c r="D745" s="265"/>
      <c r="E745" s="265"/>
      <c r="F745" s="266" t="s">
        <v>33</v>
      </c>
      <c r="G745" s="267">
        <f t="shared" si="1"/>
        <v>0</v>
      </c>
      <c r="H745" s="265"/>
      <c r="I745" s="269"/>
      <c r="J745" s="267"/>
    </row>
    <row r="746" ht="15.75" customHeight="1">
      <c r="A746" s="268"/>
      <c r="B746" s="265"/>
      <c r="C746" s="265"/>
      <c r="D746" s="265"/>
      <c r="E746" s="265"/>
      <c r="F746" s="266" t="s">
        <v>33</v>
      </c>
      <c r="G746" s="267">
        <f t="shared" si="1"/>
        <v>0</v>
      </c>
      <c r="H746" s="265"/>
      <c r="I746" s="269"/>
      <c r="J746" s="267"/>
    </row>
    <row r="747" ht="15.75" customHeight="1">
      <c r="A747" s="268"/>
      <c r="B747" s="265"/>
      <c r="C747" s="265"/>
      <c r="D747" s="265"/>
      <c r="E747" s="265"/>
      <c r="F747" s="266" t="s">
        <v>33</v>
      </c>
      <c r="G747" s="267">
        <f t="shared" si="1"/>
        <v>0</v>
      </c>
      <c r="H747" s="265"/>
      <c r="I747" s="269"/>
      <c r="J747" s="267"/>
    </row>
    <row r="748" ht="15.75" customHeight="1">
      <c r="A748" s="268"/>
      <c r="B748" s="265"/>
      <c r="C748" s="265"/>
      <c r="D748" s="265"/>
      <c r="E748" s="265"/>
      <c r="F748" s="266" t="s">
        <v>33</v>
      </c>
      <c r="G748" s="267">
        <f t="shared" si="1"/>
        <v>0</v>
      </c>
      <c r="H748" s="265"/>
      <c r="I748" s="269"/>
      <c r="J748" s="267"/>
    </row>
    <row r="749" ht="15.75" customHeight="1">
      <c r="A749" s="268"/>
      <c r="B749" s="265"/>
      <c r="C749" s="265"/>
      <c r="D749" s="265"/>
      <c r="E749" s="265"/>
      <c r="F749" s="266" t="s">
        <v>33</v>
      </c>
      <c r="G749" s="267">
        <f t="shared" si="1"/>
        <v>0</v>
      </c>
      <c r="H749" s="265"/>
      <c r="I749" s="269"/>
      <c r="J749" s="267"/>
    </row>
    <row r="750" ht="15.75" customHeight="1">
      <c r="A750" s="268"/>
      <c r="B750" s="265"/>
      <c r="C750" s="265"/>
      <c r="D750" s="265"/>
      <c r="E750" s="265"/>
      <c r="F750" s="266" t="s">
        <v>33</v>
      </c>
      <c r="G750" s="267">
        <f t="shared" si="1"/>
        <v>0</v>
      </c>
      <c r="H750" s="265"/>
      <c r="I750" s="269"/>
      <c r="J750" s="267"/>
    </row>
    <row r="751" ht="15.75" customHeight="1">
      <c r="A751" s="268"/>
      <c r="B751" s="265"/>
      <c r="C751" s="265"/>
      <c r="D751" s="265"/>
      <c r="E751" s="265"/>
      <c r="F751" s="266" t="s">
        <v>33</v>
      </c>
      <c r="G751" s="267">
        <f t="shared" si="1"/>
        <v>0</v>
      </c>
      <c r="H751" s="265"/>
      <c r="I751" s="269"/>
      <c r="J751" s="267"/>
    </row>
    <row r="752" ht="15.75" customHeight="1">
      <c r="A752" s="268"/>
      <c r="B752" s="265"/>
      <c r="C752" s="265"/>
      <c r="D752" s="265"/>
      <c r="E752" s="265"/>
      <c r="F752" s="266" t="s">
        <v>33</v>
      </c>
      <c r="G752" s="267">
        <f t="shared" si="1"/>
        <v>0</v>
      </c>
      <c r="H752" s="265"/>
      <c r="I752" s="269"/>
      <c r="J752" s="267"/>
    </row>
    <row r="753" ht="15.75" customHeight="1">
      <c r="A753" s="268"/>
      <c r="B753" s="265"/>
      <c r="C753" s="265"/>
      <c r="D753" s="265"/>
      <c r="E753" s="265"/>
      <c r="F753" s="266" t="s">
        <v>33</v>
      </c>
      <c r="G753" s="267">
        <f t="shared" si="1"/>
        <v>0</v>
      </c>
      <c r="H753" s="265"/>
      <c r="I753" s="269"/>
      <c r="J753" s="267"/>
    </row>
    <row r="754" ht="15.75" customHeight="1">
      <c r="A754" s="268"/>
      <c r="B754" s="265"/>
      <c r="C754" s="265"/>
      <c r="D754" s="265"/>
      <c r="E754" s="265"/>
      <c r="F754" s="266" t="s">
        <v>33</v>
      </c>
      <c r="G754" s="267">
        <f t="shared" si="1"/>
        <v>0</v>
      </c>
      <c r="H754" s="265"/>
      <c r="I754" s="269"/>
      <c r="J754" s="267"/>
    </row>
    <row r="755" ht="15.75" customHeight="1">
      <c r="A755" s="268"/>
      <c r="B755" s="265"/>
      <c r="C755" s="265"/>
      <c r="D755" s="265"/>
      <c r="E755" s="265"/>
      <c r="F755" s="266" t="s">
        <v>33</v>
      </c>
      <c r="G755" s="267">
        <f t="shared" si="1"/>
        <v>0</v>
      </c>
      <c r="H755" s="265"/>
      <c r="I755" s="269"/>
      <c r="J755" s="267"/>
    </row>
    <row r="756" ht="15.75" customHeight="1">
      <c r="A756" s="268"/>
      <c r="B756" s="265"/>
      <c r="C756" s="265"/>
      <c r="D756" s="265"/>
      <c r="E756" s="265"/>
      <c r="F756" s="266" t="s">
        <v>33</v>
      </c>
      <c r="G756" s="267">
        <f t="shared" si="1"/>
        <v>0</v>
      </c>
      <c r="H756" s="265"/>
      <c r="I756" s="269"/>
      <c r="J756" s="267"/>
    </row>
    <row r="757" ht="15.75" customHeight="1">
      <c r="A757" s="268"/>
      <c r="B757" s="265"/>
      <c r="C757" s="265"/>
      <c r="D757" s="265"/>
      <c r="E757" s="265"/>
      <c r="F757" s="266" t="s">
        <v>33</v>
      </c>
      <c r="G757" s="267">
        <f t="shared" si="1"/>
        <v>0</v>
      </c>
      <c r="H757" s="265"/>
      <c r="I757" s="269"/>
      <c r="J757" s="267"/>
    </row>
    <row r="758" ht="15.75" customHeight="1">
      <c r="A758" s="268"/>
      <c r="B758" s="265"/>
      <c r="C758" s="265"/>
      <c r="D758" s="265"/>
      <c r="E758" s="265"/>
      <c r="F758" s="266" t="s">
        <v>33</v>
      </c>
      <c r="G758" s="267">
        <f t="shared" si="1"/>
        <v>0</v>
      </c>
      <c r="H758" s="265"/>
      <c r="I758" s="269"/>
      <c r="J758" s="267"/>
    </row>
    <row r="759" ht="15.75" customHeight="1">
      <c r="A759" s="268"/>
      <c r="B759" s="265"/>
      <c r="C759" s="265"/>
      <c r="D759" s="265"/>
      <c r="E759" s="265"/>
      <c r="F759" s="266" t="s">
        <v>33</v>
      </c>
      <c r="G759" s="267">
        <f t="shared" si="1"/>
        <v>0</v>
      </c>
      <c r="H759" s="265"/>
      <c r="I759" s="269"/>
      <c r="J759" s="267"/>
    </row>
    <row r="760" ht="15.75" customHeight="1">
      <c r="A760" s="268"/>
      <c r="B760" s="265"/>
      <c r="C760" s="265"/>
      <c r="D760" s="265"/>
      <c r="E760" s="265"/>
      <c r="F760" s="266" t="s">
        <v>33</v>
      </c>
      <c r="G760" s="267">
        <f t="shared" si="1"/>
        <v>0</v>
      </c>
      <c r="H760" s="265"/>
      <c r="I760" s="269"/>
      <c r="J760" s="267"/>
    </row>
    <row r="761" ht="15.75" customHeight="1">
      <c r="A761" s="268"/>
      <c r="B761" s="265"/>
      <c r="C761" s="265"/>
      <c r="D761" s="265"/>
      <c r="E761" s="265"/>
      <c r="F761" s="266" t="s">
        <v>33</v>
      </c>
      <c r="G761" s="267">
        <f t="shared" si="1"/>
        <v>0</v>
      </c>
      <c r="H761" s="265"/>
      <c r="I761" s="269"/>
      <c r="J761" s="267"/>
    </row>
    <row r="762" ht="15.75" customHeight="1">
      <c r="A762" s="268"/>
      <c r="B762" s="265"/>
      <c r="C762" s="265"/>
      <c r="D762" s="265"/>
      <c r="E762" s="265"/>
      <c r="F762" s="266" t="s">
        <v>33</v>
      </c>
      <c r="G762" s="267">
        <f t="shared" si="1"/>
        <v>0</v>
      </c>
      <c r="H762" s="265"/>
      <c r="I762" s="269"/>
      <c r="J762" s="267"/>
    </row>
    <row r="763" ht="15.75" customHeight="1">
      <c r="A763" s="268"/>
      <c r="B763" s="265"/>
      <c r="C763" s="265"/>
      <c r="D763" s="265"/>
      <c r="E763" s="265"/>
      <c r="F763" s="266" t="s">
        <v>33</v>
      </c>
      <c r="G763" s="267">
        <f t="shared" si="1"/>
        <v>0</v>
      </c>
      <c r="H763" s="265"/>
      <c r="I763" s="269"/>
      <c r="J763" s="267"/>
    </row>
    <row r="764" ht="15.75" customHeight="1">
      <c r="A764" s="268"/>
      <c r="B764" s="265"/>
      <c r="C764" s="265"/>
      <c r="D764" s="265"/>
      <c r="E764" s="265"/>
      <c r="F764" s="266" t="s">
        <v>33</v>
      </c>
      <c r="G764" s="267">
        <f t="shared" si="1"/>
        <v>0</v>
      </c>
      <c r="H764" s="265"/>
      <c r="I764" s="269"/>
      <c r="J764" s="267"/>
    </row>
    <row r="765" ht="15.75" customHeight="1">
      <c r="A765" s="268"/>
      <c r="B765" s="265"/>
      <c r="C765" s="265"/>
      <c r="D765" s="265"/>
      <c r="E765" s="265"/>
      <c r="F765" s="266" t="s">
        <v>33</v>
      </c>
      <c r="G765" s="267">
        <f t="shared" si="1"/>
        <v>0</v>
      </c>
      <c r="H765" s="265"/>
      <c r="I765" s="269"/>
      <c r="J765" s="267"/>
    </row>
    <row r="766" ht="15.75" customHeight="1">
      <c r="A766" s="268"/>
      <c r="B766" s="265"/>
      <c r="C766" s="265"/>
      <c r="D766" s="265"/>
      <c r="E766" s="265"/>
      <c r="F766" s="266" t="s">
        <v>33</v>
      </c>
      <c r="G766" s="267">
        <f t="shared" si="1"/>
        <v>0</v>
      </c>
      <c r="H766" s="265"/>
      <c r="I766" s="269"/>
      <c r="J766" s="267"/>
    </row>
    <row r="767" ht="15.75" customHeight="1">
      <c r="A767" s="268"/>
      <c r="B767" s="265"/>
      <c r="C767" s="265"/>
      <c r="D767" s="265"/>
      <c r="E767" s="265"/>
      <c r="F767" s="266" t="s">
        <v>33</v>
      </c>
      <c r="G767" s="267">
        <f t="shared" si="1"/>
        <v>0</v>
      </c>
      <c r="H767" s="265"/>
      <c r="I767" s="269"/>
      <c r="J767" s="267"/>
    </row>
    <row r="768" ht="15.75" customHeight="1">
      <c r="A768" s="268"/>
      <c r="B768" s="265"/>
      <c r="C768" s="265"/>
      <c r="D768" s="265"/>
      <c r="E768" s="265"/>
      <c r="F768" s="266" t="s">
        <v>33</v>
      </c>
      <c r="G768" s="267">
        <f t="shared" si="1"/>
        <v>0</v>
      </c>
      <c r="H768" s="265"/>
      <c r="I768" s="269"/>
      <c r="J768" s="267"/>
    </row>
    <row r="769" ht="15.75" customHeight="1">
      <c r="A769" s="268"/>
      <c r="B769" s="265"/>
      <c r="C769" s="265"/>
      <c r="D769" s="265"/>
      <c r="E769" s="265"/>
      <c r="F769" s="266" t="s">
        <v>33</v>
      </c>
      <c r="G769" s="267">
        <f t="shared" si="1"/>
        <v>0</v>
      </c>
      <c r="H769" s="265"/>
      <c r="I769" s="269"/>
      <c r="J769" s="267"/>
    </row>
    <row r="770" ht="15.75" customHeight="1">
      <c r="A770" s="268"/>
      <c r="B770" s="265"/>
      <c r="C770" s="265"/>
      <c r="D770" s="265"/>
      <c r="E770" s="265"/>
      <c r="F770" s="266" t="s">
        <v>33</v>
      </c>
      <c r="G770" s="267">
        <f t="shared" si="1"/>
        <v>0</v>
      </c>
      <c r="H770" s="265"/>
      <c r="I770" s="269"/>
      <c r="J770" s="267"/>
    </row>
    <row r="771" ht="15.75" customHeight="1">
      <c r="A771" s="268"/>
      <c r="B771" s="265"/>
      <c r="C771" s="265"/>
      <c r="D771" s="265"/>
      <c r="E771" s="265"/>
      <c r="F771" s="266" t="s">
        <v>33</v>
      </c>
      <c r="G771" s="267">
        <f t="shared" si="1"/>
        <v>0</v>
      </c>
      <c r="H771" s="265"/>
      <c r="I771" s="269"/>
      <c r="J771" s="267"/>
    </row>
    <row r="772" ht="15.75" customHeight="1">
      <c r="A772" s="268"/>
      <c r="B772" s="265"/>
      <c r="C772" s="265"/>
      <c r="D772" s="265"/>
      <c r="E772" s="265"/>
      <c r="F772" s="266" t="s">
        <v>33</v>
      </c>
      <c r="G772" s="267">
        <f t="shared" si="1"/>
        <v>0</v>
      </c>
      <c r="H772" s="265"/>
      <c r="I772" s="269"/>
      <c r="J772" s="267"/>
    </row>
    <row r="773" ht="15.75" customHeight="1">
      <c r="A773" s="268"/>
      <c r="B773" s="265"/>
      <c r="C773" s="265"/>
      <c r="D773" s="265"/>
      <c r="E773" s="265"/>
      <c r="F773" s="266" t="s">
        <v>33</v>
      </c>
      <c r="G773" s="267">
        <f t="shared" si="1"/>
        <v>0</v>
      </c>
      <c r="H773" s="265"/>
      <c r="I773" s="269"/>
      <c r="J773" s="267"/>
    </row>
    <row r="774" ht="15.75" customHeight="1">
      <c r="A774" s="268"/>
      <c r="B774" s="265"/>
      <c r="C774" s="265"/>
      <c r="D774" s="265"/>
      <c r="E774" s="265"/>
      <c r="F774" s="266" t="s">
        <v>33</v>
      </c>
      <c r="G774" s="267">
        <f t="shared" si="1"/>
        <v>0</v>
      </c>
      <c r="H774" s="265"/>
      <c r="I774" s="269"/>
      <c r="J774" s="267"/>
    </row>
    <row r="775" ht="15.75" customHeight="1">
      <c r="A775" s="268"/>
      <c r="B775" s="265"/>
      <c r="C775" s="265"/>
      <c r="D775" s="265"/>
      <c r="E775" s="265"/>
      <c r="F775" s="266" t="s">
        <v>33</v>
      </c>
      <c r="G775" s="267">
        <f t="shared" si="1"/>
        <v>0</v>
      </c>
      <c r="H775" s="265"/>
      <c r="I775" s="269"/>
      <c r="J775" s="267"/>
    </row>
    <row r="776" ht="15.75" customHeight="1">
      <c r="A776" s="268"/>
      <c r="B776" s="265"/>
      <c r="C776" s="265"/>
      <c r="D776" s="265"/>
      <c r="E776" s="265"/>
      <c r="F776" s="266" t="s">
        <v>33</v>
      </c>
      <c r="G776" s="267">
        <f t="shared" si="1"/>
        <v>0</v>
      </c>
      <c r="H776" s="265"/>
      <c r="I776" s="269"/>
      <c r="J776" s="267"/>
    </row>
    <row r="777" ht="15.75" customHeight="1">
      <c r="A777" s="268"/>
      <c r="B777" s="265"/>
      <c r="C777" s="265"/>
      <c r="D777" s="265"/>
      <c r="E777" s="265"/>
      <c r="F777" s="266" t="s">
        <v>33</v>
      </c>
      <c r="G777" s="267">
        <f t="shared" si="1"/>
        <v>0</v>
      </c>
      <c r="H777" s="265"/>
      <c r="I777" s="269"/>
      <c r="J777" s="267"/>
    </row>
    <row r="778" ht="15.75" customHeight="1">
      <c r="A778" s="268"/>
      <c r="B778" s="265"/>
      <c r="C778" s="265"/>
      <c r="D778" s="265"/>
      <c r="E778" s="265"/>
      <c r="F778" s="266" t="s">
        <v>33</v>
      </c>
      <c r="G778" s="267">
        <f t="shared" si="1"/>
        <v>0</v>
      </c>
      <c r="H778" s="265"/>
      <c r="I778" s="269"/>
      <c r="J778" s="267"/>
    </row>
    <row r="779" ht="15.75" customHeight="1">
      <c r="A779" s="268"/>
      <c r="B779" s="265"/>
      <c r="C779" s="265"/>
      <c r="D779" s="265"/>
      <c r="E779" s="265"/>
      <c r="F779" s="266" t="s">
        <v>33</v>
      </c>
      <c r="G779" s="267">
        <f t="shared" si="1"/>
        <v>0</v>
      </c>
      <c r="H779" s="265"/>
      <c r="I779" s="269"/>
      <c r="J779" s="267"/>
    </row>
    <row r="780" ht="15.75" customHeight="1">
      <c r="A780" s="268"/>
      <c r="B780" s="265"/>
      <c r="C780" s="265"/>
      <c r="D780" s="265"/>
      <c r="E780" s="265"/>
      <c r="F780" s="266" t="s">
        <v>33</v>
      </c>
      <c r="G780" s="267">
        <f t="shared" si="1"/>
        <v>0</v>
      </c>
      <c r="H780" s="265"/>
      <c r="I780" s="269"/>
      <c r="J780" s="267"/>
    </row>
    <row r="781" ht="15.75" customHeight="1">
      <c r="A781" s="268"/>
      <c r="B781" s="265"/>
      <c r="C781" s="265"/>
      <c r="D781" s="265"/>
      <c r="E781" s="265"/>
      <c r="F781" s="266" t="s">
        <v>33</v>
      </c>
      <c r="G781" s="267">
        <f t="shared" si="1"/>
        <v>0</v>
      </c>
      <c r="H781" s="265"/>
      <c r="I781" s="269"/>
      <c r="J781" s="267"/>
    </row>
    <row r="782" ht="15.75" customHeight="1">
      <c r="A782" s="268"/>
      <c r="B782" s="265"/>
      <c r="C782" s="265"/>
      <c r="D782" s="265"/>
      <c r="E782" s="265"/>
      <c r="F782" s="266" t="s">
        <v>33</v>
      </c>
      <c r="G782" s="267">
        <f t="shared" si="1"/>
        <v>0</v>
      </c>
      <c r="H782" s="265"/>
      <c r="I782" s="269"/>
      <c r="J782" s="267"/>
    </row>
    <row r="783" ht="15.75" customHeight="1">
      <c r="A783" s="268"/>
      <c r="B783" s="265"/>
      <c r="C783" s="265"/>
      <c r="D783" s="265"/>
      <c r="E783" s="265"/>
      <c r="F783" s="266" t="s">
        <v>33</v>
      </c>
      <c r="G783" s="267">
        <f t="shared" si="1"/>
        <v>0</v>
      </c>
      <c r="H783" s="265"/>
      <c r="I783" s="269"/>
      <c r="J783" s="267"/>
    </row>
    <row r="784" ht="15.75" customHeight="1">
      <c r="A784" s="268"/>
      <c r="B784" s="265"/>
      <c r="C784" s="265"/>
      <c r="D784" s="265"/>
      <c r="E784" s="265"/>
      <c r="F784" s="266" t="s">
        <v>33</v>
      </c>
      <c r="G784" s="267">
        <f t="shared" si="1"/>
        <v>0</v>
      </c>
      <c r="H784" s="265"/>
      <c r="I784" s="269"/>
      <c r="J784" s="267"/>
    </row>
    <row r="785" ht="15.75" customHeight="1">
      <c r="A785" s="268"/>
      <c r="B785" s="265"/>
      <c r="C785" s="265"/>
      <c r="D785" s="265"/>
      <c r="E785" s="265"/>
      <c r="F785" s="266" t="s">
        <v>33</v>
      </c>
      <c r="G785" s="267">
        <f t="shared" si="1"/>
        <v>0</v>
      </c>
      <c r="H785" s="265"/>
      <c r="I785" s="269"/>
      <c r="J785" s="267"/>
    </row>
    <row r="786" ht="15.75" customHeight="1">
      <c r="A786" s="268"/>
      <c r="B786" s="265"/>
      <c r="C786" s="265"/>
      <c r="D786" s="265"/>
      <c r="E786" s="265"/>
      <c r="F786" s="266" t="s">
        <v>33</v>
      </c>
      <c r="G786" s="267">
        <f t="shared" si="1"/>
        <v>0</v>
      </c>
      <c r="H786" s="265"/>
      <c r="I786" s="269"/>
      <c r="J786" s="267"/>
    </row>
    <row r="787" ht="15.75" customHeight="1">
      <c r="A787" s="268"/>
      <c r="B787" s="265"/>
      <c r="C787" s="265"/>
      <c r="D787" s="265"/>
      <c r="E787" s="265"/>
      <c r="F787" s="266" t="s">
        <v>33</v>
      </c>
      <c r="G787" s="267">
        <f t="shared" si="1"/>
        <v>0</v>
      </c>
      <c r="H787" s="265"/>
      <c r="I787" s="269"/>
      <c r="J787" s="267"/>
    </row>
    <row r="788" ht="15.75" customHeight="1">
      <c r="A788" s="268"/>
      <c r="B788" s="265"/>
      <c r="C788" s="265"/>
      <c r="D788" s="265"/>
      <c r="E788" s="265"/>
      <c r="F788" s="266" t="s">
        <v>33</v>
      </c>
      <c r="G788" s="267">
        <f t="shared" si="1"/>
        <v>0</v>
      </c>
      <c r="H788" s="265"/>
      <c r="I788" s="269"/>
      <c r="J788" s="267"/>
    </row>
    <row r="789" ht="15.75" customHeight="1">
      <c r="A789" s="268"/>
      <c r="B789" s="265"/>
      <c r="C789" s="265"/>
      <c r="D789" s="265"/>
      <c r="E789" s="265"/>
      <c r="F789" s="266" t="s">
        <v>33</v>
      </c>
      <c r="G789" s="267">
        <f t="shared" si="1"/>
        <v>0</v>
      </c>
      <c r="H789" s="265"/>
      <c r="I789" s="269"/>
      <c r="J789" s="267"/>
    </row>
    <row r="790" ht="15.75" customHeight="1">
      <c r="A790" s="268"/>
      <c r="B790" s="265"/>
      <c r="C790" s="265"/>
      <c r="D790" s="265"/>
      <c r="E790" s="265"/>
      <c r="F790" s="266" t="s">
        <v>33</v>
      </c>
      <c r="G790" s="267">
        <f t="shared" si="1"/>
        <v>0</v>
      </c>
      <c r="H790" s="265"/>
      <c r="I790" s="269"/>
      <c r="J790" s="267"/>
    </row>
    <row r="791" ht="15.75" customHeight="1">
      <c r="A791" s="268"/>
      <c r="B791" s="265"/>
      <c r="C791" s="265"/>
      <c r="D791" s="265"/>
      <c r="E791" s="265"/>
      <c r="F791" s="266" t="s">
        <v>33</v>
      </c>
      <c r="G791" s="267">
        <f t="shared" si="1"/>
        <v>0</v>
      </c>
      <c r="H791" s="265"/>
      <c r="I791" s="269"/>
      <c r="J791" s="267"/>
    </row>
    <row r="792" ht="15.75" customHeight="1">
      <c r="A792" s="268"/>
      <c r="B792" s="265"/>
      <c r="C792" s="265"/>
      <c r="D792" s="265"/>
      <c r="E792" s="265"/>
      <c r="F792" s="266" t="s">
        <v>33</v>
      </c>
      <c r="G792" s="267">
        <f t="shared" si="1"/>
        <v>0</v>
      </c>
      <c r="H792" s="265"/>
      <c r="I792" s="269"/>
      <c r="J792" s="267"/>
    </row>
    <row r="793" ht="15.75" customHeight="1">
      <c r="A793" s="268"/>
      <c r="B793" s="265"/>
      <c r="C793" s="265"/>
      <c r="D793" s="265"/>
      <c r="E793" s="265"/>
      <c r="F793" s="266" t="s">
        <v>33</v>
      </c>
      <c r="G793" s="267">
        <f t="shared" si="1"/>
        <v>0</v>
      </c>
      <c r="H793" s="265"/>
      <c r="I793" s="269"/>
      <c r="J793" s="267"/>
    </row>
    <row r="794" ht="15.75" customHeight="1">
      <c r="A794" s="268"/>
      <c r="B794" s="265"/>
      <c r="C794" s="265"/>
      <c r="D794" s="265"/>
      <c r="E794" s="265"/>
      <c r="F794" s="266" t="s">
        <v>33</v>
      </c>
      <c r="G794" s="267">
        <f t="shared" si="1"/>
        <v>0</v>
      </c>
      <c r="H794" s="265"/>
      <c r="I794" s="269"/>
      <c r="J794" s="267"/>
    </row>
    <row r="795" ht="15.75" customHeight="1">
      <c r="A795" s="268"/>
      <c r="B795" s="265"/>
      <c r="C795" s="265"/>
      <c r="D795" s="265"/>
      <c r="E795" s="265"/>
      <c r="F795" s="266" t="s">
        <v>33</v>
      </c>
      <c r="G795" s="267">
        <f t="shared" si="1"/>
        <v>0</v>
      </c>
      <c r="H795" s="265"/>
      <c r="I795" s="269"/>
      <c r="J795" s="267"/>
    </row>
    <row r="796" ht="15.75" customHeight="1">
      <c r="A796" s="268"/>
      <c r="B796" s="265"/>
      <c r="C796" s="265"/>
      <c r="D796" s="265"/>
      <c r="E796" s="265"/>
      <c r="F796" s="266" t="s">
        <v>33</v>
      </c>
      <c r="G796" s="267">
        <f t="shared" si="1"/>
        <v>0</v>
      </c>
      <c r="H796" s="265"/>
      <c r="I796" s="269"/>
      <c r="J796" s="267"/>
    </row>
    <row r="797" ht="15.75" customHeight="1">
      <c r="A797" s="268"/>
      <c r="B797" s="265"/>
      <c r="C797" s="265"/>
      <c r="D797" s="265"/>
      <c r="E797" s="265"/>
      <c r="F797" s="266" t="s">
        <v>33</v>
      </c>
      <c r="G797" s="267">
        <f t="shared" si="1"/>
        <v>0</v>
      </c>
      <c r="H797" s="265"/>
      <c r="I797" s="269"/>
      <c r="J797" s="267"/>
    </row>
    <row r="798" ht="15.75" customHeight="1">
      <c r="A798" s="268"/>
      <c r="B798" s="265"/>
      <c r="C798" s="265"/>
      <c r="D798" s="265"/>
      <c r="E798" s="265"/>
      <c r="F798" s="266" t="s">
        <v>33</v>
      </c>
      <c r="G798" s="267">
        <f t="shared" si="1"/>
        <v>0</v>
      </c>
      <c r="H798" s="265"/>
      <c r="I798" s="269"/>
      <c r="J798" s="267"/>
    </row>
    <row r="799" ht="15.75" customHeight="1">
      <c r="A799" s="268"/>
      <c r="B799" s="265"/>
      <c r="C799" s="265"/>
      <c r="D799" s="265"/>
      <c r="E799" s="265"/>
      <c r="F799" s="266" t="s">
        <v>33</v>
      </c>
      <c r="G799" s="267">
        <f t="shared" si="1"/>
        <v>0</v>
      </c>
      <c r="H799" s="265"/>
      <c r="I799" s="269"/>
      <c r="J799" s="267"/>
    </row>
    <row r="800" ht="15.75" customHeight="1">
      <c r="A800" s="268"/>
      <c r="B800" s="265"/>
      <c r="C800" s="265"/>
      <c r="D800" s="265"/>
      <c r="E800" s="265"/>
      <c r="F800" s="266" t="s">
        <v>33</v>
      </c>
      <c r="G800" s="267">
        <f t="shared" si="1"/>
        <v>0</v>
      </c>
      <c r="H800" s="265"/>
      <c r="I800" s="269"/>
      <c r="J800" s="267"/>
    </row>
    <row r="801" ht="15.75" customHeight="1">
      <c r="A801" s="268"/>
      <c r="B801" s="265"/>
      <c r="C801" s="265"/>
      <c r="D801" s="265"/>
      <c r="E801" s="265"/>
      <c r="F801" s="266" t="s">
        <v>33</v>
      </c>
      <c r="G801" s="267">
        <f t="shared" si="1"/>
        <v>0</v>
      </c>
      <c r="H801" s="265"/>
      <c r="I801" s="269"/>
      <c r="J801" s="267"/>
    </row>
    <row r="802" ht="15.75" customHeight="1">
      <c r="A802" s="268"/>
      <c r="B802" s="265"/>
      <c r="C802" s="265"/>
      <c r="D802" s="265"/>
      <c r="E802" s="265"/>
      <c r="F802" s="266" t="s">
        <v>33</v>
      </c>
      <c r="G802" s="267">
        <f t="shared" si="1"/>
        <v>0</v>
      </c>
      <c r="H802" s="265"/>
      <c r="I802" s="269"/>
      <c r="J802" s="267"/>
    </row>
    <row r="803" ht="15.75" customHeight="1">
      <c r="A803" s="268"/>
      <c r="B803" s="265"/>
      <c r="C803" s="265"/>
      <c r="D803" s="265"/>
      <c r="E803" s="265"/>
      <c r="F803" s="266" t="s">
        <v>33</v>
      </c>
      <c r="G803" s="267">
        <f t="shared" si="1"/>
        <v>0</v>
      </c>
      <c r="H803" s="265"/>
      <c r="I803" s="269"/>
      <c r="J803" s="267"/>
    </row>
    <row r="804" ht="15.75" customHeight="1">
      <c r="A804" s="268"/>
      <c r="B804" s="265"/>
      <c r="C804" s="265"/>
      <c r="D804" s="265"/>
      <c r="E804" s="265"/>
      <c r="F804" s="266" t="s">
        <v>33</v>
      </c>
      <c r="G804" s="267">
        <f t="shared" si="1"/>
        <v>0</v>
      </c>
      <c r="H804" s="265"/>
      <c r="I804" s="269"/>
      <c r="J804" s="267"/>
    </row>
    <row r="805" ht="15.75" customHeight="1">
      <c r="A805" s="268"/>
      <c r="B805" s="265"/>
      <c r="C805" s="265"/>
      <c r="D805" s="265"/>
      <c r="E805" s="265"/>
      <c r="F805" s="266" t="s">
        <v>33</v>
      </c>
      <c r="G805" s="267">
        <f t="shared" si="1"/>
        <v>0</v>
      </c>
      <c r="H805" s="265"/>
      <c r="I805" s="269"/>
      <c r="J805" s="267"/>
    </row>
    <row r="806" ht="15.75" customHeight="1">
      <c r="A806" s="268"/>
      <c r="B806" s="265"/>
      <c r="C806" s="265"/>
      <c r="D806" s="265"/>
      <c r="E806" s="265"/>
      <c r="F806" s="266" t="s">
        <v>33</v>
      </c>
      <c r="G806" s="267">
        <f t="shared" si="1"/>
        <v>0</v>
      </c>
      <c r="H806" s="265"/>
      <c r="I806" s="269"/>
      <c r="J806" s="267"/>
    </row>
    <row r="807" ht="15.75" customHeight="1">
      <c r="A807" s="268"/>
      <c r="B807" s="265"/>
      <c r="C807" s="265"/>
      <c r="D807" s="265"/>
      <c r="E807" s="265"/>
      <c r="F807" s="266" t="s">
        <v>33</v>
      </c>
      <c r="G807" s="267">
        <f t="shared" si="1"/>
        <v>0</v>
      </c>
      <c r="H807" s="265"/>
      <c r="I807" s="269"/>
      <c r="J807" s="267"/>
    </row>
    <row r="808" ht="15.75" customHeight="1">
      <c r="A808" s="268"/>
      <c r="B808" s="265"/>
      <c r="C808" s="265"/>
      <c r="D808" s="265"/>
      <c r="E808" s="265"/>
      <c r="F808" s="266" t="s">
        <v>33</v>
      </c>
      <c r="G808" s="267">
        <f t="shared" si="1"/>
        <v>0</v>
      </c>
      <c r="H808" s="265"/>
      <c r="I808" s="269"/>
      <c r="J808" s="267"/>
    </row>
    <row r="809" ht="15.75" customHeight="1">
      <c r="A809" s="268"/>
      <c r="B809" s="265"/>
      <c r="C809" s="265"/>
      <c r="D809" s="265"/>
      <c r="E809" s="265"/>
      <c r="F809" s="266" t="s">
        <v>33</v>
      </c>
      <c r="G809" s="267">
        <f t="shared" si="1"/>
        <v>0</v>
      </c>
      <c r="H809" s="265"/>
      <c r="I809" s="269"/>
      <c r="J809" s="267"/>
    </row>
    <row r="810" ht="15.75" customHeight="1">
      <c r="A810" s="268"/>
      <c r="B810" s="265"/>
      <c r="C810" s="265"/>
      <c r="D810" s="265"/>
      <c r="E810" s="265"/>
      <c r="F810" s="266" t="s">
        <v>33</v>
      </c>
      <c r="G810" s="267">
        <f t="shared" si="1"/>
        <v>0</v>
      </c>
      <c r="H810" s="265"/>
      <c r="I810" s="269"/>
      <c r="J810" s="267"/>
    </row>
    <row r="811" ht="15.75" customHeight="1">
      <c r="A811" s="268"/>
      <c r="B811" s="265"/>
      <c r="C811" s="265"/>
      <c r="D811" s="265"/>
      <c r="E811" s="265"/>
      <c r="F811" s="266" t="s">
        <v>33</v>
      </c>
      <c r="G811" s="267">
        <f t="shared" si="1"/>
        <v>0</v>
      </c>
      <c r="H811" s="265"/>
      <c r="I811" s="269"/>
      <c r="J811" s="267"/>
    </row>
    <row r="812" ht="15.75" customHeight="1">
      <c r="A812" s="268"/>
      <c r="B812" s="265"/>
      <c r="C812" s="265"/>
      <c r="D812" s="265"/>
      <c r="E812" s="265"/>
      <c r="F812" s="266" t="s">
        <v>33</v>
      </c>
      <c r="G812" s="267">
        <f t="shared" si="1"/>
        <v>0</v>
      </c>
      <c r="H812" s="265"/>
      <c r="I812" s="269"/>
      <c r="J812" s="267"/>
    </row>
    <row r="813" ht="15.75" customHeight="1">
      <c r="A813" s="268"/>
      <c r="B813" s="265"/>
      <c r="C813" s="265"/>
      <c r="D813" s="265"/>
      <c r="E813" s="265"/>
      <c r="F813" s="266" t="s">
        <v>33</v>
      </c>
      <c r="G813" s="267">
        <f t="shared" si="1"/>
        <v>0</v>
      </c>
      <c r="H813" s="265"/>
      <c r="I813" s="269"/>
      <c r="J813" s="267"/>
    </row>
    <row r="814" ht="15.75" customHeight="1">
      <c r="A814" s="268"/>
      <c r="B814" s="265"/>
      <c r="C814" s="265"/>
      <c r="D814" s="265"/>
      <c r="E814" s="265"/>
      <c r="F814" s="266" t="s">
        <v>33</v>
      </c>
      <c r="G814" s="267">
        <f t="shared" si="1"/>
        <v>0</v>
      </c>
      <c r="H814" s="265"/>
      <c r="I814" s="269"/>
      <c r="J814" s="267"/>
    </row>
    <row r="815" ht="15.75" customHeight="1">
      <c r="A815" s="268"/>
      <c r="B815" s="265"/>
      <c r="C815" s="265"/>
      <c r="D815" s="265"/>
      <c r="E815" s="265"/>
      <c r="F815" s="266" t="s">
        <v>33</v>
      </c>
      <c r="G815" s="267">
        <f t="shared" si="1"/>
        <v>0</v>
      </c>
      <c r="H815" s="265"/>
      <c r="I815" s="269"/>
      <c r="J815" s="267"/>
    </row>
    <row r="816" ht="15.75" customHeight="1">
      <c r="A816" s="268"/>
      <c r="B816" s="265"/>
      <c r="C816" s="265"/>
      <c r="D816" s="265"/>
      <c r="E816" s="265"/>
      <c r="F816" s="266" t="s">
        <v>33</v>
      </c>
      <c r="G816" s="267">
        <f t="shared" si="1"/>
        <v>0</v>
      </c>
      <c r="H816" s="265"/>
      <c r="I816" s="269"/>
      <c r="J816" s="267"/>
    </row>
    <row r="817" ht="15.75" customHeight="1">
      <c r="A817" s="268"/>
      <c r="B817" s="265"/>
      <c r="C817" s="265"/>
      <c r="D817" s="265"/>
      <c r="E817" s="265"/>
      <c r="F817" s="266" t="s">
        <v>33</v>
      </c>
      <c r="G817" s="267">
        <f t="shared" si="1"/>
        <v>0</v>
      </c>
      <c r="H817" s="265"/>
      <c r="I817" s="269"/>
      <c r="J817" s="267"/>
    </row>
    <row r="818" ht="15.75" customHeight="1">
      <c r="A818" s="268"/>
      <c r="B818" s="265"/>
      <c r="C818" s="265"/>
      <c r="D818" s="265"/>
      <c r="E818" s="265"/>
      <c r="F818" s="266" t="s">
        <v>33</v>
      </c>
      <c r="G818" s="267">
        <f t="shared" si="1"/>
        <v>0</v>
      </c>
      <c r="H818" s="265"/>
      <c r="I818" s="269"/>
      <c r="J818" s="267"/>
    </row>
    <row r="819" ht="15.75" customHeight="1">
      <c r="A819" s="268"/>
      <c r="B819" s="265"/>
      <c r="C819" s="265"/>
      <c r="D819" s="265"/>
      <c r="E819" s="265"/>
      <c r="F819" s="266" t="s">
        <v>33</v>
      </c>
      <c r="G819" s="267">
        <f t="shared" si="1"/>
        <v>0</v>
      </c>
      <c r="H819" s="265"/>
      <c r="I819" s="269"/>
      <c r="J819" s="267"/>
    </row>
    <row r="820" ht="15.75" customHeight="1">
      <c r="A820" s="268"/>
      <c r="B820" s="265"/>
      <c r="C820" s="265"/>
      <c r="D820" s="265"/>
      <c r="E820" s="265"/>
      <c r="F820" s="266" t="s">
        <v>33</v>
      </c>
      <c r="G820" s="267">
        <f t="shared" si="1"/>
        <v>0</v>
      </c>
      <c r="H820" s="265"/>
      <c r="I820" s="269"/>
      <c r="J820" s="267"/>
    </row>
    <row r="821" ht="15.75" customHeight="1">
      <c r="A821" s="268"/>
      <c r="B821" s="265"/>
      <c r="C821" s="265"/>
      <c r="D821" s="265"/>
      <c r="E821" s="265"/>
      <c r="F821" s="266" t="s">
        <v>33</v>
      </c>
      <c r="G821" s="267">
        <f t="shared" si="1"/>
        <v>0</v>
      </c>
      <c r="H821" s="265"/>
      <c r="I821" s="269"/>
      <c r="J821" s="267"/>
    </row>
    <row r="822" ht="15.75" customHeight="1">
      <c r="A822" s="268"/>
      <c r="B822" s="265"/>
      <c r="C822" s="265"/>
      <c r="D822" s="265"/>
      <c r="E822" s="265"/>
      <c r="F822" s="266" t="s">
        <v>33</v>
      </c>
      <c r="G822" s="267">
        <f t="shared" si="1"/>
        <v>0</v>
      </c>
      <c r="H822" s="265"/>
      <c r="I822" s="269"/>
      <c r="J822" s="267"/>
    </row>
    <row r="823" ht="15.75" customHeight="1">
      <c r="A823" s="268"/>
      <c r="B823" s="265"/>
      <c r="C823" s="265"/>
      <c r="D823" s="265"/>
      <c r="E823" s="265"/>
      <c r="F823" s="266" t="s">
        <v>33</v>
      </c>
      <c r="G823" s="267">
        <f t="shared" si="1"/>
        <v>0</v>
      </c>
      <c r="H823" s="265"/>
      <c r="I823" s="269"/>
      <c r="J823" s="267"/>
    </row>
    <row r="824" ht="15.75" customHeight="1">
      <c r="A824" s="268"/>
      <c r="B824" s="265"/>
      <c r="C824" s="265"/>
      <c r="D824" s="265"/>
      <c r="E824" s="265"/>
      <c r="F824" s="266" t="s">
        <v>33</v>
      </c>
      <c r="G824" s="267">
        <f t="shared" si="1"/>
        <v>0</v>
      </c>
      <c r="H824" s="265"/>
      <c r="I824" s="269"/>
      <c r="J824" s="267"/>
    </row>
    <row r="825" ht="15.75" customHeight="1">
      <c r="A825" s="268"/>
      <c r="B825" s="265"/>
      <c r="C825" s="265"/>
      <c r="D825" s="265"/>
      <c r="E825" s="265"/>
      <c r="F825" s="266" t="s">
        <v>33</v>
      </c>
      <c r="G825" s="267">
        <f t="shared" si="1"/>
        <v>0</v>
      </c>
      <c r="H825" s="265"/>
      <c r="I825" s="269"/>
      <c r="J825" s="267"/>
    </row>
    <row r="826" ht="15.75" customHeight="1">
      <c r="A826" s="268"/>
      <c r="B826" s="265"/>
      <c r="C826" s="265"/>
      <c r="D826" s="265"/>
      <c r="E826" s="265"/>
      <c r="F826" s="266" t="s">
        <v>33</v>
      </c>
      <c r="G826" s="267">
        <f t="shared" si="1"/>
        <v>0</v>
      </c>
      <c r="H826" s="265"/>
      <c r="I826" s="269"/>
      <c r="J826" s="267"/>
    </row>
    <row r="827" ht="15.75" customHeight="1">
      <c r="A827" s="268"/>
      <c r="B827" s="265"/>
      <c r="C827" s="265"/>
      <c r="D827" s="265"/>
      <c r="E827" s="265"/>
      <c r="F827" s="266" t="s">
        <v>33</v>
      </c>
      <c r="G827" s="267">
        <f t="shared" si="1"/>
        <v>0</v>
      </c>
      <c r="H827" s="265"/>
      <c r="I827" s="269"/>
      <c r="J827" s="267"/>
    </row>
    <row r="828" ht="15.75" customHeight="1">
      <c r="A828" s="268"/>
      <c r="B828" s="265"/>
      <c r="C828" s="265"/>
      <c r="D828" s="265"/>
      <c r="E828" s="265"/>
      <c r="F828" s="266" t="s">
        <v>33</v>
      </c>
      <c r="G828" s="267">
        <f t="shared" si="1"/>
        <v>0</v>
      </c>
      <c r="H828" s="265"/>
      <c r="I828" s="269"/>
      <c r="J828" s="267"/>
    </row>
    <row r="829" ht="15.75" customHeight="1">
      <c r="A829" s="268"/>
      <c r="B829" s="265"/>
      <c r="C829" s="265"/>
      <c r="D829" s="265"/>
      <c r="E829" s="265"/>
      <c r="F829" s="266" t="s">
        <v>33</v>
      </c>
      <c r="G829" s="267">
        <f t="shared" si="1"/>
        <v>0</v>
      </c>
      <c r="H829" s="265"/>
      <c r="I829" s="269"/>
      <c r="J829" s="267"/>
    </row>
    <row r="830" ht="15.75" customHeight="1">
      <c r="A830" s="268"/>
      <c r="B830" s="265"/>
      <c r="C830" s="265"/>
      <c r="D830" s="265"/>
      <c r="E830" s="265"/>
      <c r="F830" s="266" t="s">
        <v>33</v>
      </c>
      <c r="G830" s="267">
        <f t="shared" si="1"/>
        <v>0</v>
      </c>
      <c r="H830" s="265"/>
      <c r="I830" s="269"/>
      <c r="J830" s="267"/>
    </row>
    <row r="831" ht="15.75" customHeight="1">
      <c r="A831" s="268"/>
      <c r="B831" s="265"/>
      <c r="C831" s="265"/>
      <c r="D831" s="265"/>
      <c r="E831" s="265"/>
      <c r="F831" s="266" t="s">
        <v>33</v>
      </c>
      <c r="G831" s="267">
        <f t="shared" si="1"/>
        <v>0</v>
      </c>
      <c r="H831" s="265"/>
      <c r="I831" s="269"/>
      <c r="J831" s="267"/>
    </row>
    <row r="832" ht="15.75" customHeight="1">
      <c r="A832" s="268"/>
      <c r="B832" s="265"/>
      <c r="C832" s="265"/>
      <c r="D832" s="265"/>
      <c r="E832" s="265"/>
      <c r="F832" s="266" t="s">
        <v>33</v>
      </c>
      <c r="G832" s="267">
        <f t="shared" si="1"/>
        <v>0</v>
      </c>
      <c r="H832" s="265"/>
      <c r="I832" s="269"/>
      <c r="J832" s="267"/>
    </row>
    <row r="833" ht="15.75" customHeight="1">
      <c r="A833" s="268"/>
      <c r="B833" s="265"/>
      <c r="C833" s="265"/>
      <c r="D833" s="265"/>
      <c r="E833" s="265"/>
      <c r="F833" s="266" t="s">
        <v>33</v>
      </c>
      <c r="G833" s="267">
        <f t="shared" si="1"/>
        <v>0</v>
      </c>
      <c r="H833" s="265"/>
      <c r="I833" s="269"/>
      <c r="J833" s="267"/>
    </row>
    <row r="834" ht="15.75" customHeight="1">
      <c r="A834" s="268"/>
      <c r="B834" s="265"/>
      <c r="C834" s="265"/>
      <c r="D834" s="265"/>
      <c r="E834" s="265"/>
      <c r="F834" s="266" t="s">
        <v>33</v>
      </c>
      <c r="G834" s="267">
        <f t="shared" si="1"/>
        <v>0</v>
      </c>
      <c r="H834" s="265"/>
      <c r="I834" s="269"/>
      <c r="J834" s="267"/>
    </row>
    <row r="835" ht="15.75" customHeight="1">
      <c r="A835" s="268"/>
      <c r="B835" s="265"/>
      <c r="C835" s="265"/>
      <c r="D835" s="265"/>
      <c r="E835" s="265"/>
      <c r="F835" s="266" t="s">
        <v>33</v>
      </c>
      <c r="G835" s="267">
        <f t="shared" si="1"/>
        <v>0</v>
      </c>
      <c r="H835" s="265"/>
      <c r="I835" s="269"/>
      <c r="J835" s="267"/>
    </row>
    <row r="836" ht="15.75" customHeight="1">
      <c r="A836" s="268"/>
      <c r="B836" s="265"/>
      <c r="C836" s="265"/>
      <c r="D836" s="265"/>
      <c r="E836" s="265"/>
      <c r="F836" s="266" t="s">
        <v>33</v>
      </c>
      <c r="G836" s="267">
        <f t="shared" si="1"/>
        <v>0</v>
      </c>
      <c r="H836" s="265"/>
      <c r="I836" s="269"/>
      <c r="J836" s="267"/>
    </row>
    <row r="837" ht="15.75" customHeight="1">
      <c r="A837" s="268"/>
      <c r="B837" s="265"/>
      <c r="C837" s="265"/>
      <c r="D837" s="265"/>
      <c r="E837" s="265"/>
      <c r="F837" s="266" t="s">
        <v>33</v>
      </c>
      <c r="G837" s="267">
        <f t="shared" si="1"/>
        <v>0</v>
      </c>
      <c r="H837" s="265"/>
      <c r="I837" s="269"/>
      <c r="J837" s="267"/>
    </row>
    <row r="838" ht="15.75" customHeight="1">
      <c r="A838" s="268"/>
      <c r="B838" s="265"/>
      <c r="C838" s="265"/>
      <c r="D838" s="265"/>
      <c r="E838" s="265"/>
      <c r="F838" s="266" t="s">
        <v>33</v>
      </c>
      <c r="G838" s="267">
        <f t="shared" si="1"/>
        <v>0</v>
      </c>
      <c r="H838" s="265"/>
      <c r="I838" s="269"/>
      <c r="J838" s="267"/>
    </row>
    <row r="839" ht="15.75" customHeight="1">
      <c r="A839" s="268"/>
      <c r="B839" s="265"/>
      <c r="C839" s="265"/>
      <c r="D839" s="265"/>
      <c r="E839" s="265"/>
      <c r="F839" s="266" t="s">
        <v>33</v>
      </c>
      <c r="G839" s="267">
        <f t="shared" si="1"/>
        <v>0</v>
      </c>
      <c r="H839" s="265"/>
      <c r="I839" s="269"/>
      <c r="J839" s="267"/>
    </row>
    <row r="840" ht="15.75" customHeight="1">
      <c r="A840" s="268"/>
      <c r="B840" s="265"/>
      <c r="C840" s="265"/>
      <c r="D840" s="265"/>
      <c r="E840" s="265"/>
      <c r="F840" s="266" t="s">
        <v>33</v>
      </c>
      <c r="G840" s="267">
        <f t="shared" si="1"/>
        <v>0</v>
      </c>
      <c r="H840" s="265"/>
      <c r="I840" s="269"/>
      <c r="J840" s="267"/>
    </row>
    <row r="841" ht="15.75" customHeight="1">
      <c r="A841" s="268"/>
      <c r="B841" s="265"/>
      <c r="C841" s="265"/>
      <c r="D841" s="265"/>
      <c r="E841" s="265"/>
      <c r="F841" s="266" t="s">
        <v>33</v>
      </c>
      <c r="G841" s="267">
        <f t="shared" si="1"/>
        <v>0</v>
      </c>
      <c r="H841" s="265"/>
      <c r="I841" s="269"/>
      <c r="J841" s="267"/>
    </row>
    <row r="842" ht="15.75" customHeight="1">
      <c r="A842" s="268"/>
      <c r="B842" s="265"/>
      <c r="C842" s="265"/>
      <c r="D842" s="265"/>
      <c r="E842" s="265"/>
      <c r="F842" s="266" t="s">
        <v>33</v>
      </c>
      <c r="G842" s="267">
        <f t="shared" si="1"/>
        <v>0</v>
      </c>
      <c r="H842" s="265"/>
      <c r="I842" s="269"/>
      <c r="J842" s="267"/>
    </row>
    <row r="843" ht="15.75" customHeight="1">
      <c r="A843" s="268"/>
      <c r="B843" s="265"/>
      <c r="C843" s="265"/>
      <c r="D843" s="265"/>
      <c r="E843" s="265"/>
      <c r="F843" s="266" t="s">
        <v>33</v>
      </c>
      <c r="G843" s="267">
        <f t="shared" si="1"/>
        <v>0</v>
      </c>
      <c r="H843" s="265"/>
      <c r="I843" s="269"/>
      <c r="J843" s="267"/>
    </row>
    <row r="844" ht="15.75" customHeight="1">
      <c r="A844" s="268"/>
      <c r="B844" s="265"/>
      <c r="C844" s="265"/>
      <c r="D844" s="265"/>
      <c r="E844" s="265"/>
      <c r="F844" s="266" t="s">
        <v>33</v>
      </c>
      <c r="G844" s="267">
        <f t="shared" si="1"/>
        <v>0</v>
      </c>
      <c r="H844" s="265"/>
      <c r="I844" s="269"/>
      <c r="J844" s="267"/>
    </row>
    <row r="845" ht="15.75" customHeight="1">
      <c r="A845" s="268"/>
      <c r="B845" s="265"/>
      <c r="C845" s="265"/>
      <c r="D845" s="265"/>
      <c r="E845" s="265"/>
      <c r="F845" s="266" t="s">
        <v>33</v>
      </c>
      <c r="G845" s="267">
        <f t="shared" si="1"/>
        <v>0</v>
      </c>
      <c r="H845" s="265"/>
      <c r="I845" s="269"/>
      <c r="J845" s="267"/>
    </row>
    <row r="846" ht="15.75" customHeight="1">
      <c r="A846" s="268"/>
      <c r="B846" s="265"/>
      <c r="C846" s="265"/>
      <c r="D846" s="265"/>
      <c r="E846" s="265"/>
      <c r="F846" s="266" t="s">
        <v>33</v>
      </c>
      <c r="G846" s="267">
        <f t="shared" si="1"/>
        <v>0</v>
      </c>
      <c r="H846" s="265"/>
      <c r="I846" s="269"/>
      <c r="J846" s="267"/>
    </row>
    <row r="847" ht="15.75" customHeight="1">
      <c r="A847" s="268"/>
      <c r="B847" s="265"/>
      <c r="C847" s="265"/>
      <c r="D847" s="265"/>
      <c r="E847" s="265"/>
      <c r="F847" s="266" t="s">
        <v>33</v>
      </c>
      <c r="G847" s="267">
        <f t="shared" si="1"/>
        <v>0</v>
      </c>
      <c r="H847" s="265"/>
      <c r="I847" s="269"/>
      <c r="J847" s="267"/>
    </row>
    <row r="848" ht="15.75" customHeight="1">
      <c r="A848" s="268"/>
      <c r="B848" s="265"/>
      <c r="C848" s="265"/>
      <c r="D848" s="265"/>
      <c r="E848" s="265"/>
      <c r="F848" s="266" t="s">
        <v>33</v>
      </c>
      <c r="G848" s="267">
        <f t="shared" si="1"/>
        <v>0</v>
      </c>
      <c r="H848" s="265"/>
      <c r="I848" s="269"/>
      <c r="J848" s="267"/>
    </row>
    <row r="849" ht="15.75" customHeight="1">
      <c r="A849" s="268"/>
      <c r="B849" s="265"/>
      <c r="C849" s="265"/>
      <c r="D849" s="265"/>
      <c r="E849" s="265"/>
      <c r="F849" s="266" t="s">
        <v>33</v>
      </c>
      <c r="G849" s="267">
        <f t="shared" si="1"/>
        <v>0</v>
      </c>
      <c r="H849" s="265"/>
      <c r="I849" s="269"/>
      <c r="J849" s="267"/>
    </row>
    <row r="850" ht="15.75" customHeight="1">
      <c r="A850" s="268"/>
      <c r="B850" s="265"/>
      <c r="C850" s="265"/>
      <c r="D850" s="265"/>
      <c r="E850" s="265"/>
      <c r="F850" s="266" t="s">
        <v>33</v>
      </c>
      <c r="G850" s="267">
        <f t="shared" si="1"/>
        <v>0</v>
      </c>
      <c r="H850" s="265"/>
      <c r="I850" s="269"/>
      <c r="J850" s="267"/>
    </row>
    <row r="851" ht="15.75" customHeight="1">
      <c r="A851" s="268"/>
      <c r="B851" s="265"/>
      <c r="C851" s="265"/>
      <c r="D851" s="265"/>
      <c r="E851" s="265"/>
      <c r="F851" s="266" t="s">
        <v>33</v>
      </c>
      <c r="G851" s="267">
        <f t="shared" si="1"/>
        <v>0</v>
      </c>
      <c r="H851" s="265"/>
      <c r="I851" s="269"/>
      <c r="J851" s="267"/>
    </row>
    <row r="852" ht="15.75" customHeight="1">
      <c r="A852" s="268"/>
      <c r="B852" s="265"/>
      <c r="C852" s="265"/>
      <c r="D852" s="265"/>
      <c r="E852" s="265"/>
      <c r="F852" s="266" t="s">
        <v>33</v>
      </c>
      <c r="G852" s="267">
        <f t="shared" si="1"/>
        <v>0</v>
      </c>
      <c r="H852" s="265"/>
      <c r="I852" s="269"/>
      <c r="J852" s="267"/>
    </row>
    <row r="853" ht="15.75" customHeight="1">
      <c r="A853" s="268"/>
      <c r="B853" s="265"/>
      <c r="C853" s="265"/>
      <c r="D853" s="265"/>
      <c r="E853" s="265"/>
      <c r="F853" s="266" t="s">
        <v>33</v>
      </c>
      <c r="G853" s="267">
        <f t="shared" si="1"/>
        <v>0</v>
      </c>
      <c r="H853" s="265"/>
      <c r="I853" s="269"/>
      <c r="J853" s="267"/>
    </row>
    <row r="854" ht="15.75" customHeight="1">
      <c r="A854" s="268"/>
      <c r="B854" s="265"/>
      <c r="C854" s="265"/>
      <c r="D854" s="265"/>
      <c r="E854" s="265"/>
      <c r="F854" s="266" t="s">
        <v>33</v>
      </c>
      <c r="G854" s="267">
        <f t="shared" si="1"/>
        <v>0</v>
      </c>
      <c r="H854" s="265"/>
      <c r="I854" s="269"/>
      <c r="J854" s="267"/>
    </row>
    <row r="855" ht="15.75" customHeight="1">
      <c r="A855" s="268"/>
      <c r="B855" s="265"/>
      <c r="C855" s="265"/>
      <c r="D855" s="265"/>
      <c r="E855" s="265"/>
      <c r="F855" s="266" t="s">
        <v>33</v>
      </c>
      <c r="G855" s="267">
        <f t="shared" si="1"/>
        <v>0</v>
      </c>
      <c r="H855" s="265"/>
      <c r="I855" s="269"/>
      <c r="J855" s="267"/>
    </row>
    <row r="856" ht="15.75" customHeight="1">
      <c r="A856" s="268"/>
      <c r="B856" s="265"/>
      <c r="C856" s="265"/>
      <c r="D856" s="265"/>
      <c r="E856" s="265"/>
      <c r="F856" s="266" t="s">
        <v>33</v>
      </c>
      <c r="G856" s="267">
        <f t="shared" si="1"/>
        <v>0</v>
      </c>
      <c r="H856" s="265"/>
      <c r="I856" s="269"/>
      <c r="J856" s="267"/>
    </row>
    <row r="857" ht="15.75" customHeight="1">
      <c r="A857" s="268"/>
      <c r="B857" s="265"/>
      <c r="C857" s="265"/>
      <c r="D857" s="265"/>
      <c r="E857" s="265"/>
      <c r="F857" s="266" t="s">
        <v>33</v>
      </c>
      <c r="G857" s="267">
        <f t="shared" si="1"/>
        <v>0</v>
      </c>
      <c r="H857" s="265"/>
      <c r="I857" s="269"/>
      <c r="J857" s="267"/>
    </row>
    <row r="858" ht="15.75" customHeight="1">
      <c r="A858" s="268"/>
      <c r="B858" s="265"/>
      <c r="C858" s="265"/>
      <c r="D858" s="265"/>
      <c r="E858" s="265"/>
      <c r="F858" s="266" t="s">
        <v>33</v>
      </c>
      <c r="G858" s="267">
        <f t="shared" si="1"/>
        <v>0</v>
      </c>
      <c r="H858" s="265"/>
      <c r="I858" s="269"/>
      <c r="J858" s="267"/>
    </row>
    <row r="859" ht="15.75" customHeight="1">
      <c r="A859" s="268"/>
      <c r="B859" s="265"/>
      <c r="C859" s="265"/>
      <c r="D859" s="265"/>
      <c r="E859" s="265"/>
      <c r="F859" s="266" t="s">
        <v>33</v>
      </c>
      <c r="G859" s="267">
        <f t="shared" si="1"/>
        <v>0</v>
      </c>
      <c r="H859" s="265"/>
      <c r="I859" s="269"/>
      <c r="J859" s="267"/>
    </row>
    <row r="860" ht="15.75" customHeight="1">
      <c r="A860" s="268"/>
      <c r="B860" s="265"/>
      <c r="C860" s="265"/>
      <c r="D860" s="265"/>
      <c r="E860" s="265"/>
      <c r="F860" s="266" t="s">
        <v>33</v>
      </c>
      <c r="G860" s="267">
        <f t="shared" si="1"/>
        <v>0</v>
      </c>
      <c r="H860" s="265"/>
      <c r="I860" s="269"/>
      <c r="J860" s="267"/>
    </row>
    <row r="861" ht="15.75" customHeight="1">
      <c r="A861" s="268"/>
      <c r="B861" s="265"/>
      <c r="C861" s="265"/>
      <c r="D861" s="265"/>
      <c r="E861" s="265"/>
      <c r="F861" s="266" t="s">
        <v>33</v>
      </c>
      <c r="G861" s="267">
        <f t="shared" si="1"/>
        <v>0</v>
      </c>
      <c r="H861" s="265"/>
      <c r="I861" s="269"/>
      <c r="J861" s="267"/>
    </row>
    <row r="862" ht="15.75" customHeight="1">
      <c r="A862" s="268"/>
      <c r="B862" s="265"/>
      <c r="C862" s="265"/>
      <c r="D862" s="265"/>
      <c r="E862" s="265"/>
      <c r="F862" s="266" t="s">
        <v>33</v>
      </c>
      <c r="G862" s="267">
        <f t="shared" si="1"/>
        <v>0</v>
      </c>
      <c r="H862" s="265"/>
      <c r="I862" s="269"/>
      <c r="J862" s="267"/>
    </row>
    <row r="863" ht="15.75" customHeight="1">
      <c r="A863" s="268"/>
      <c r="B863" s="265"/>
      <c r="C863" s="265"/>
      <c r="D863" s="265"/>
      <c r="E863" s="265"/>
      <c r="F863" s="266" t="s">
        <v>33</v>
      </c>
      <c r="G863" s="267">
        <f t="shared" si="1"/>
        <v>0</v>
      </c>
      <c r="H863" s="265"/>
      <c r="I863" s="269"/>
      <c r="J863" s="267"/>
    </row>
    <row r="864" ht="15.75" customHeight="1">
      <c r="A864" s="268"/>
      <c r="B864" s="265"/>
      <c r="C864" s="265"/>
      <c r="D864" s="265"/>
      <c r="E864" s="265"/>
      <c r="F864" s="266" t="s">
        <v>33</v>
      </c>
      <c r="G864" s="267">
        <f t="shared" si="1"/>
        <v>0</v>
      </c>
      <c r="H864" s="265"/>
      <c r="I864" s="269"/>
      <c r="J864" s="267"/>
    </row>
    <row r="865" ht="15.75" customHeight="1">
      <c r="A865" s="268"/>
      <c r="B865" s="265"/>
      <c r="C865" s="265"/>
      <c r="D865" s="265"/>
      <c r="E865" s="265"/>
      <c r="F865" s="266" t="s">
        <v>33</v>
      </c>
      <c r="G865" s="267">
        <f t="shared" si="1"/>
        <v>0</v>
      </c>
      <c r="H865" s="265"/>
      <c r="I865" s="269"/>
      <c r="J865" s="267"/>
    </row>
    <row r="866" ht="15.75" customHeight="1">
      <c r="A866" s="268"/>
      <c r="B866" s="265"/>
      <c r="C866" s="265"/>
      <c r="D866" s="265"/>
      <c r="E866" s="265"/>
      <c r="F866" s="266" t="s">
        <v>33</v>
      </c>
      <c r="G866" s="267">
        <f t="shared" si="1"/>
        <v>0</v>
      </c>
      <c r="H866" s="265"/>
      <c r="I866" s="269"/>
      <c r="J866" s="267"/>
    </row>
    <row r="867" ht="15.75" customHeight="1">
      <c r="A867" s="268"/>
      <c r="B867" s="265"/>
      <c r="C867" s="265"/>
      <c r="D867" s="265"/>
      <c r="E867" s="265"/>
      <c r="F867" s="266" t="s">
        <v>33</v>
      </c>
      <c r="G867" s="267">
        <f t="shared" si="1"/>
        <v>0</v>
      </c>
      <c r="H867" s="265"/>
      <c r="I867" s="269"/>
      <c r="J867" s="267"/>
    </row>
    <row r="868" ht="15.75" customHeight="1">
      <c r="A868" s="268"/>
      <c r="B868" s="265"/>
      <c r="C868" s="265"/>
      <c r="D868" s="265"/>
      <c r="E868" s="265"/>
      <c r="F868" s="266" t="s">
        <v>33</v>
      </c>
      <c r="G868" s="267">
        <f t="shared" si="1"/>
        <v>0</v>
      </c>
      <c r="H868" s="265"/>
      <c r="I868" s="269"/>
      <c r="J868" s="267"/>
    </row>
    <row r="869" ht="15.75" customHeight="1">
      <c r="A869" s="268"/>
      <c r="B869" s="265"/>
      <c r="C869" s="265"/>
      <c r="D869" s="265"/>
      <c r="E869" s="265"/>
      <c r="F869" s="266" t="s">
        <v>33</v>
      </c>
      <c r="G869" s="267">
        <f t="shared" si="1"/>
        <v>0</v>
      </c>
      <c r="H869" s="265"/>
      <c r="I869" s="269"/>
      <c r="J869" s="267"/>
    </row>
    <row r="870" ht="15.75" customHeight="1">
      <c r="A870" s="268"/>
      <c r="B870" s="265"/>
      <c r="C870" s="265"/>
      <c r="D870" s="265"/>
      <c r="E870" s="265"/>
      <c r="F870" s="266" t="s">
        <v>33</v>
      </c>
      <c r="G870" s="267">
        <f t="shared" si="1"/>
        <v>0</v>
      </c>
      <c r="H870" s="265"/>
      <c r="I870" s="269"/>
      <c r="J870" s="267"/>
    </row>
    <row r="871" ht="15.75" customHeight="1">
      <c r="A871" s="268"/>
      <c r="B871" s="265"/>
      <c r="C871" s="265"/>
      <c r="D871" s="265"/>
      <c r="E871" s="265"/>
      <c r="F871" s="266" t="s">
        <v>33</v>
      </c>
      <c r="G871" s="267">
        <f t="shared" si="1"/>
        <v>0</v>
      </c>
      <c r="H871" s="265"/>
      <c r="I871" s="269"/>
      <c r="J871" s="267"/>
    </row>
    <row r="872" ht="15.75" customHeight="1">
      <c r="A872" s="268"/>
      <c r="B872" s="265"/>
      <c r="C872" s="265"/>
      <c r="D872" s="265"/>
      <c r="E872" s="265"/>
      <c r="F872" s="266" t="s">
        <v>33</v>
      </c>
      <c r="G872" s="267">
        <f t="shared" si="1"/>
        <v>0</v>
      </c>
      <c r="H872" s="265"/>
      <c r="I872" s="269"/>
      <c r="J872" s="267"/>
    </row>
    <row r="873" ht="15.75" customHeight="1">
      <c r="A873" s="268"/>
      <c r="B873" s="265"/>
      <c r="C873" s="265"/>
      <c r="D873" s="265"/>
      <c r="E873" s="265"/>
      <c r="F873" s="266" t="s">
        <v>33</v>
      </c>
      <c r="G873" s="267">
        <f t="shared" si="1"/>
        <v>0</v>
      </c>
      <c r="H873" s="265"/>
      <c r="I873" s="269"/>
      <c r="J873" s="267"/>
    </row>
    <row r="874" ht="15.75" customHeight="1">
      <c r="A874" s="268"/>
      <c r="B874" s="265"/>
      <c r="C874" s="265"/>
      <c r="D874" s="265"/>
      <c r="E874" s="265"/>
      <c r="F874" s="266" t="s">
        <v>33</v>
      </c>
      <c r="G874" s="267">
        <f t="shared" si="1"/>
        <v>0</v>
      </c>
      <c r="H874" s="265"/>
      <c r="I874" s="269"/>
      <c r="J874" s="267"/>
    </row>
    <row r="875" ht="15.75" customHeight="1">
      <c r="A875" s="268"/>
      <c r="B875" s="265"/>
      <c r="C875" s="265"/>
      <c r="D875" s="265"/>
      <c r="E875" s="265"/>
      <c r="F875" s="266" t="s">
        <v>33</v>
      </c>
      <c r="G875" s="267">
        <f t="shared" si="1"/>
        <v>0</v>
      </c>
      <c r="H875" s="265"/>
      <c r="I875" s="269"/>
      <c r="J875" s="267"/>
    </row>
    <row r="876" ht="15.75" customHeight="1">
      <c r="A876" s="268"/>
      <c r="B876" s="265"/>
      <c r="C876" s="265"/>
      <c r="D876" s="265"/>
      <c r="E876" s="265"/>
      <c r="F876" s="266" t="s">
        <v>33</v>
      </c>
      <c r="G876" s="267">
        <f t="shared" si="1"/>
        <v>0</v>
      </c>
      <c r="H876" s="265"/>
      <c r="I876" s="269"/>
      <c r="J876" s="267"/>
    </row>
    <row r="877" ht="15.75" customHeight="1">
      <c r="A877" s="268"/>
      <c r="B877" s="265"/>
      <c r="C877" s="265"/>
      <c r="D877" s="265"/>
      <c r="E877" s="265"/>
      <c r="F877" s="266" t="s">
        <v>33</v>
      </c>
      <c r="G877" s="267">
        <f t="shared" si="1"/>
        <v>0</v>
      </c>
      <c r="H877" s="265"/>
      <c r="I877" s="269"/>
      <c r="J877" s="267"/>
    </row>
    <row r="878" ht="15.75" customHeight="1">
      <c r="A878" s="268"/>
      <c r="B878" s="265"/>
      <c r="C878" s="265"/>
      <c r="D878" s="265"/>
      <c r="E878" s="265"/>
      <c r="F878" s="266" t="s">
        <v>33</v>
      </c>
      <c r="G878" s="267">
        <f t="shared" si="1"/>
        <v>0</v>
      </c>
      <c r="H878" s="265"/>
      <c r="I878" s="269"/>
      <c r="J878" s="267"/>
    </row>
    <row r="879" ht="15.75" customHeight="1">
      <c r="A879" s="268"/>
      <c r="B879" s="265"/>
      <c r="C879" s="265"/>
      <c r="D879" s="265"/>
      <c r="E879" s="265"/>
      <c r="F879" s="266" t="s">
        <v>33</v>
      </c>
      <c r="G879" s="267">
        <f t="shared" si="1"/>
        <v>0</v>
      </c>
      <c r="H879" s="265"/>
      <c r="I879" s="269"/>
      <c r="J879" s="267"/>
    </row>
    <row r="880" ht="15.75" customHeight="1">
      <c r="A880" s="268"/>
      <c r="B880" s="265"/>
      <c r="C880" s="265"/>
      <c r="D880" s="265"/>
      <c r="E880" s="265"/>
      <c r="F880" s="266" t="s">
        <v>33</v>
      </c>
      <c r="G880" s="267">
        <f t="shared" si="1"/>
        <v>0</v>
      </c>
      <c r="H880" s="265"/>
      <c r="I880" s="269"/>
      <c r="J880" s="267"/>
    </row>
    <row r="881" ht="15.75" customHeight="1">
      <c r="A881" s="268"/>
      <c r="B881" s="265"/>
      <c r="C881" s="265"/>
      <c r="D881" s="265"/>
      <c r="E881" s="265"/>
      <c r="F881" s="266" t="s">
        <v>33</v>
      </c>
      <c r="G881" s="267">
        <f t="shared" si="1"/>
        <v>0</v>
      </c>
      <c r="H881" s="265"/>
      <c r="I881" s="269"/>
      <c r="J881" s="267"/>
    </row>
    <row r="882" ht="15.75" customHeight="1">
      <c r="A882" s="268"/>
      <c r="B882" s="265"/>
      <c r="C882" s="265"/>
      <c r="D882" s="265"/>
      <c r="E882" s="265"/>
      <c r="F882" s="266" t="s">
        <v>33</v>
      </c>
      <c r="G882" s="267">
        <f t="shared" si="1"/>
        <v>0</v>
      </c>
      <c r="H882" s="265"/>
      <c r="I882" s="269"/>
      <c r="J882" s="267"/>
    </row>
    <row r="883" ht="15.75" customHeight="1">
      <c r="A883" s="268"/>
      <c r="B883" s="265"/>
      <c r="C883" s="265"/>
      <c r="D883" s="265"/>
      <c r="E883" s="265"/>
      <c r="F883" s="266" t="s">
        <v>33</v>
      </c>
      <c r="G883" s="267">
        <f t="shared" si="1"/>
        <v>0</v>
      </c>
      <c r="H883" s="265"/>
      <c r="I883" s="269"/>
      <c r="J883" s="267"/>
    </row>
    <row r="884" ht="15.75" customHeight="1">
      <c r="A884" s="268"/>
      <c r="B884" s="265"/>
      <c r="C884" s="265"/>
      <c r="D884" s="265"/>
      <c r="E884" s="265"/>
      <c r="F884" s="266" t="s">
        <v>33</v>
      </c>
      <c r="G884" s="267">
        <f t="shared" si="1"/>
        <v>0</v>
      </c>
      <c r="H884" s="265"/>
      <c r="I884" s="269"/>
      <c r="J884" s="267"/>
    </row>
    <row r="885" ht="15.75" customHeight="1">
      <c r="A885" s="268"/>
      <c r="B885" s="265"/>
      <c r="C885" s="265"/>
      <c r="D885" s="265"/>
      <c r="E885" s="265"/>
      <c r="F885" s="266" t="s">
        <v>33</v>
      </c>
      <c r="G885" s="267">
        <f t="shared" si="1"/>
        <v>0</v>
      </c>
      <c r="H885" s="265"/>
      <c r="I885" s="269"/>
      <c r="J885" s="267"/>
    </row>
    <row r="886" ht="15.75" customHeight="1">
      <c r="A886" s="268"/>
      <c r="B886" s="265"/>
      <c r="C886" s="265"/>
      <c r="D886" s="265"/>
      <c r="E886" s="265"/>
      <c r="F886" s="266" t="s">
        <v>33</v>
      </c>
      <c r="G886" s="267">
        <f t="shared" si="1"/>
        <v>0</v>
      </c>
      <c r="H886" s="265"/>
      <c r="I886" s="269"/>
      <c r="J886" s="267"/>
    </row>
    <row r="887" ht="15.75" customHeight="1">
      <c r="A887" s="268"/>
      <c r="B887" s="265"/>
      <c r="C887" s="265"/>
      <c r="D887" s="265"/>
      <c r="E887" s="265"/>
      <c r="F887" s="266" t="s">
        <v>33</v>
      </c>
      <c r="G887" s="267">
        <f t="shared" si="1"/>
        <v>0</v>
      </c>
      <c r="H887" s="265"/>
      <c r="I887" s="269"/>
      <c r="J887" s="267"/>
    </row>
    <row r="888" ht="15.75" customHeight="1">
      <c r="A888" s="268"/>
      <c r="B888" s="265"/>
      <c r="C888" s="265"/>
      <c r="D888" s="265"/>
      <c r="E888" s="265"/>
      <c r="F888" s="266" t="s">
        <v>33</v>
      </c>
      <c r="G888" s="267">
        <f t="shared" si="1"/>
        <v>0</v>
      </c>
      <c r="H888" s="265"/>
      <c r="I888" s="269"/>
      <c r="J888" s="267"/>
    </row>
    <row r="889" ht="15.75" customHeight="1">
      <c r="A889" s="268"/>
      <c r="B889" s="265"/>
      <c r="C889" s="265"/>
      <c r="D889" s="265"/>
      <c r="E889" s="265"/>
      <c r="F889" s="266" t="s">
        <v>33</v>
      </c>
      <c r="G889" s="267">
        <f t="shared" si="1"/>
        <v>0</v>
      </c>
      <c r="H889" s="265"/>
      <c r="I889" s="269"/>
      <c r="J889" s="267"/>
    </row>
    <row r="890" ht="15.75" customHeight="1">
      <c r="A890" s="268"/>
      <c r="B890" s="265"/>
      <c r="C890" s="265"/>
      <c r="D890" s="265"/>
      <c r="E890" s="265"/>
      <c r="F890" s="266" t="s">
        <v>33</v>
      </c>
      <c r="G890" s="267">
        <f t="shared" si="1"/>
        <v>0</v>
      </c>
      <c r="H890" s="265"/>
      <c r="I890" s="269"/>
      <c r="J890" s="267"/>
    </row>
    <row r="891" ht="15.75" customHeight="1">
      <c r="A891" s="268"/>
      <c r="B891" s="265"/>
      <c r="C891" s="265"/>
      <c r="D891" s="265"/>
      <c r="E891" s="265"/>
      <c r="F891" s="266" t="s">
        <v>33</v>
      </c>
      <c r="G891" s="267">
        <f t="shared" si="1"/>
        <v>0</v>
      </c>
      <c r="H891" s="265"/>
      <c r="I891" s="269"/>
      <c r="J891" s="267"/>
    </row>
    <row r="892" ht="15.75" customHeight="1">
      <c r="A892" s="268"/>
      <c r="B892" s="265"/>
      <c r="C892" s="265"/>
      <c r="D892" s="265"/>
      <c r="E892" s="265"/>
      <c r="F892" s="266" t="s">
        <v>33</v>
      </c>
      <c r="G892" s="267">
        <f t="shared" si="1"/>
        <v>0</v>
      </c>
      <c r="H892" s="265"/>
      <c r="I892" s="269"/>
      <c r="J892" s="267"/>
    </row>
    <row r="893" ht="15.75" customHeight="1">
      <c r="A893" s="268"/>
      <c r="B893" s="265"/>
      <c r="C893" s="265"/>
      <c r="D893" s="265"/>
      <c r="E893" s="265"/>
      <c r="F893" s="266" t="s">
        <v>33</v>
      </c>
      <c r="G893" s="267">
        <f t="shared" si="1"/>
        <v>0</v>
      </c>
      <c r="H893" s="265"/>
      <c r="I893" s="269"/>
      <c r="J893" s="267"/>
    </row>
    <row r="894" ht="15.75" customHeight="1">
      <c r="A894" s="268"/>
      <c r="B894" s="265"/>
      <c r="C894" s="265"/>
      <c r="D894" s="265"/>
      <c r="E894" s="265"/>
      <c r="F894" s="266" t="s">
        <v>33</v>
      </c>
      <c r="G894" s="267">
        <f t="shared" si="1"/>
        <v>0</v>
      </c>
      <c r="H894" s="265"/>
      <c r="I894" s="269"/>
      <c r="J894" s="267"/>
    </row>
    <row r="895" ht="15.75" customHeight="1">
      <c r="A895" s="268"/>
      <c r="B895" s="265"/>
      <c r="C895" s="265"/>
      <c r="D895" s="265"/>
      <c r="E895" s="265"/>
      <c r="F895" s="266" t="s">
        <v>33</v>
      </c>
      <c r="G895" s="267">
        <f t="shared" si="1"/>
        <v>0</v>
      </c>
      <c r="H895" s="265"/>
      <c r="I895" s="269"/>
      <c r="J895" s="267"/>
    </row>
    <row r="896" ht="15.75" customHeight="1">
      <c r="A896" s="268"/>
      <c r="B896" s="265"/>
      <c r="C896" s="265"/>
      <c r="D896" s="265"/>
      <c r="E896" s="265"/>
      <c r="F896" s="266" t="s">
        <v>33</v>
      </c>
      <c r="G896" s="267">
        <f t="shared" si="1"/>
        <v>0</v>
      </c>
      <c r="H896" s="265"/>
      <c r="I896" s="269"/>
      <c r="J896" s="267"/>
    </row>
    <row r="897" ht="15.75" customHeight="1">
      <c r="A897" s="268"/>
      <c r="B897" s="265"/>
      <c r="C897" s="265"/>
      <c r="D897" s="265"/>
      <c r="E897" s="265"/>
      <c r="F897" s="266" t="s">
        <v>33</v>
      </c>
      <c r="G897" s="267">
        <f t="shared" si="1"/>
        <v>0</v>
      </c>
      <c r="H897" s="265"/>
      <c r="I897" s="269"/>
      <c r="J897" s="267"/>
    </row>
    <row r="898" ht="15.75" customHeight="1">
      <c r="A898" s="268"/>
      <c r="B898" s="265"/>
      <c r="C898" s="265"/>
      <c r="D898" s="265"/>
      <c r="E898" s="265"/>
      <c r="F898" s="266" t="s">
        <v>33</v>
      </c>
      <c r="G898" s="267">
        <f t="shared" si="1"/>
        <v>0</v>
      </c>
      <c r="H898" s="265"/>
      <c r="I898" s="269"/>
      <c r="J898" s="267"/>
    </row>
    <row r="899" ht="15.75" customHeight="1">
      <c r="A899" s="268"/>
      <c r="B899" s="265"/>
      <c r="C899" s="265"/>
      <c r="D899" s="265"/>
      <c r="E899" s="265"/>
      <c r="F899" s="266" t="s">
        <v>33</v>
      </c>
      <c r="G899" s="267">
        <f t="shared" si="1"/>
        <v>0</v>
      </c>
      <c r="H899" s="265"/>
      <c r="I899" s="269"/>
      <c r="J899" s="267"/>
    </row>
    <row r="900" ht="15.75" customHeight="1">
      <c r="A900" s="268"/>
      <c r="B900" s="265"/>
      <c r="C900" s="265"/>
      <c r="D900" s="265"/>
      <c r="E900" s="265"/>
      <c r="F900" s="266" t="s">
        <v>33</v>
      </c>
      <c r="G900" s="267">
        <f t="shared" si="1"/>
        <v>0</v>
      </c>
      <c r="H900" s="265"/>
      <c r="I900" s="269"/>
      <c r="J900" s="267"/>
    </row>
    <row r="901" ht="15.75" customHeight="1">
      <c r="A901" s="268"/>
      <c r="B901" s="265"/>
      <c r="C901" s="265"/>
      <c r="D901" s="265"/>
      <c r="E901" s="265"/>
      <c r="F901" s="266" t="s">
        <v>33</v>
      </c>
      <c r="G901" s="267">
        <f t="shared" si="1"/>
        <v>0</v>
      </c>
      <c r="H901" s="265"/>
      <c r="I901" s="269"/>
      <c r="J901" s="267"/>
    </row>
    <row r="902" ht="15.75" customHeight="1">
      <c r="A902" s="268"/>
      <c r="B902" s="265"/>
      <c r="C902" s="265"/>
      <c r="D902" s="265"/>
      <c r="E902" s="265"/>
      <c r="F902" s="266" t="s">
        <v>33</v>
      </c>
      <c r="G902" s="267">
        <f t="shared" si="1"/>
        <v>0</v>
      </c>
      <c r="H902" s="265"/>
      <c r="I902" s="269"/>
      <c r="J902" s="267"/>
    </row>
    <row r="903" ht="15.75" customHeight="1">
      <c r="A903" s="268"/>
      <c r="B903" s="265"/>
      <c r="C903" s="265"/>
      <c r="D903" s="265"/>
      <c r="E903" s="265"/>
      <c r="F903" s="266" t="s">
        <v>33</v>
      </c>
      <c r="G903" s="267">
        <f t="shared" si="1"/>
        <v>0</v>
      </c>
      <c r="H903" s="265"/>
      <c r="I903" s="269"/>
      <c r="J903" s="267"/>
    </row>
    <row r="904" ht="15.75" customHeight="1">
      <c r="A904" s="268"/>
      <c r="B904" s="265"/>
      <c r="C904" s="265"/>
      <c r="D904" s="265"/>
      <c r="E904" s="265"/>
      <c r="F904" s="266" t="s">
        <v>33</v>
      </c>
      <c r="G904" s="267">
        <f t="shared" si="1"/>
        <v>0</v>
      </c>
      <c r="H904" s="265"/>
      <c r="I904" s="269"/>
      <c r="J904" s="267"/>
    </row>
    <row r="905" ht="15.75" customHeight="1">
      <c r="A905" s="268"/>
      <c r="B905" s="265"/>
      <c r="C905" s="265"/>
      <c r="D905" s="265"/>
      <c r="E905" s="265"/>
      <c r="F905" s="266" t="s">
        <v>33</v>
      </c>
      <c r="G905" s="267">
        <f t="shared" si="1"/>
        <v>0</v>
      </c>
      <c r="H905" s="265"/>
      <c r="I905" s="269"/>
      <c r="J905" s="267"/>
    </row>
    <row r="906" ht="15.75" customHeight="1">
      <c r="A906" s="268"/>
      <c r="B906" s="265"/>
      <c r="C906" s="265"/>
      <c r="D906" s="265"/>
      <c r="E906" s="265"/>
      <c r="F906" s="266" t="s">
        <v>33</v>
      </c>
      <c r="G906" s="267">
        <f t="shared" si="1"/>
        <v>0</v>
      </c>
      <c r="H906" s="265"/>
      <c r="I906" s="269"/>
      <c r="J906" s="267"/>
    </row>
    <row r="907" ht="15.75" customHeight="1">
      <c r="A907" s="268"/>
      <c r="B907" s="265"/>
      <c r="C907" s="265"/>
      <c r="D907" s="265"/>
      <c r="E907" s="265"/>
      <c r="F907" s="266" t="s">
        <v>33</v>
      </c>
      <c r="G907" s="267">
        <f t="shared" si="1"/>
        <v>0</v>
      </c>
      <c r="H907" s="265"/>
      <c r="I907" s="269"/>
      <c r="J907" s="267"/>
    </row>
    <row r="908" ht="15.75" customHeight="1">
      <c r="A908" s="268"/>
      <c r="B908" s="265"/>
      <c r="C908" s="265"/>
      <c r="D908" s="265"/>
      <c r="E908" s="265"/>
      <c r="F908" s="266" t="s">
        <v>33</v>
      </c>
      <c r="G908" s="267">
        <f t="shared" si="1"/>
        <v>0</v>
      </c>
      <c r="H908" s="265"/>
      <c r="I908" s="269"/>
      <c r="J908" s="267"/>
    </row>
    <row r="909" ht="15.75" customHeight="1">
      <c r="A909" s="268"/>
      <c r="B909" s="265"/>
      <c r="C909" s="265"/>
      <c r="D909" s="265"/>
      <c r="E909" s="265"/>
      <c r="F909" s="266" t="s">
        <v>33</v>
      </c>
      <c r="G909" s="267">
        <f t="shared" si="1"/>
        <v>0</v>
      </c>
      <c r="H909" s="265"/>
      <c r="I909" s="269"/>
      <c r="J909" s="267"/>
    </row>
    <row r="910" ht="15.75" customHeight="1">
      <c r="A910" s="268"/>
      <c r="B910" s="265"/>
      <c r="C910" s="265"/>
      <c r="D910" s="265"/>
      <c r="E910" s="265"/>
      <c r="F910" s="266" t="s">
        <v>33</v>
      </c>
      <c r="G910" s="267">
        <f t="shared" si="1"/>
        <v>0</v>
      </c>
      <c r="H910" s="265"/>
      <c r="I910" s="269"/>
      <c r="J910" s="267"/>
    </row>
    <row r="911" ht="15.75" customHeight="1">
      <c r="A911" s="268"/>
      <c r="B911" s="265"/>
      <c r="C911" s="265"/>
      <c r="D911" s="265"/>
      <c r="E911" s="265"/>
      <c r="F911" s="266" t="s">
        <v>33</v>
      </c>
      <c r="G911" s="267">
        <f t="shared" si="1"/>
        <v>0</v>
      </c>
      <c r="H911" s="265"/>
      <c r="I911" s="269"/>
      <c r="J911" s="267"/>
    </row>
    <row r="912" ht="15.75" customHeight="1">
      <c r="A912" s="268"/>
      <c r="B912" s="265"/>
      <c r="C912" s="265"/>
      <c r="D912" s="265"/>
      <c r="E912" s="265"/>
      <c r="F912" s="266" t="s">
        <v>33</v>
      </c>
      <c r="G912" s="267">
        <f t="shared" si="1"/>
        <v>0</v>
      </c>
      <c r="H912" s="265"/>
      <c r="I912" s="269"/>
      <c r="J912" s="267"/>
    </row>
    <row r="913" ht="15.75" customHeight="1">
      <c r="A913" s="268"/>
      <c r="B913" s="265"/>
      <c r="C913" s="265"/>
      <c r="D913" s="265"/>
      <c r="E913" s="265"/>
      <c r="F913" s="266" t="s">
        <v>33</v>
      </c>
      <c r="G913" s="267">
        <f t="shared" si="1"/>
        <v>0</v>
      </c>
      <c r="H913" s="265"/>
      <c r="I913" s="269"/>
      <c r="J913" s="267"/>
    </row>
    <row r="914" ht="15.75" customHeight="1">
      <c r="A914" s="268"/>
      <c r="B914" s="265"/>
      <c r="C914" s="265"/>
      <c r="D914" s="265"/>
      <c r="E914" s="265"/>
      <c r="F914" s="266" t="s">
        <v>33</v>
      </c>
      <c r="G914" s="267">
        <f t="shared" si="1"/>
        <v>0</v>
      </c>
      <c r="H914" s="265"/>
      <c r="I914" s="269"/>
      <c r="J914" s="267"/>
    </row>
    <row r="915" ht="15.75" customHeight="1">
      <c r="A915" s="268"/>
      <c r="B915" s="265"/>
      <c r="C915" s="265"/>
      <c r="D915" s="265"/>
      <c r="E915" s="265"/>
      <c r="F915" s="266" t="s">
        <v>33</v>
      </c>
      <c r="G915" s="267">
        <f t="shared" si="1"/>
        <v>0</v>
      </c>
      <c r="H915" s="265"/>
      <c r="I915" s="269"/>
      <c r="J915" s="267"/>
    </row>
    <row r="916" ht="15.75" customHeight="1">
      <c r="A916" s="268"/>
      <c r="B916" s="265"/>
      <c r="C916" s="265"/>
      <c r="D916" s="265"/>
      <c r="E916" s="265"/>
      <c r="F916" s="266" t="s">
        <v>33</v>
      </c>
      <c r="G916" s="267">
        <f t="shared" si="1"/>
        <v>0</v>
      </c>
      <c r="H916" s="265"/>
      <c r="I916" s="269"/>
      <c r="J916" s="267"/>
    </row>
    <row r="917" ht="15.75" customHeight="1">
      <c r="A917" s="268"/>
      <c r="B917" s="265"/>
      <c r="C917" s="265"/>
      <c r="D917" s="265"/>
      <c r="E917" s="265"/>
      <c r="F917" s="266" t="s">
        <v>33</v>
      </c>
      <c r="G917" s="267">
        <f t="shared" si="1"/>
        <v>0</v>
      </c>
      <c r="H917" s="265"/>
      <c r="I917" s="269"/>
      <c r="J917" s="267"/>
    </row>
    <row r="918" ht="15.75" customHeight="1">
      <c r="A918" s="268"/>
      <c r="B918" s="265"/>
      <c r="C918" s="265"/>
      <c r="D918" s="265"/>
      <c r="E918" s="265"/>
      <c r="F918" s="266" t="s">
        <v>33</v>
      </c>
      <c r="G918" s="267">
        <f t="shared" si="1"/>
        <v>0</v>
      </c>
      <c r="H918" s="265"/>
      <c r="I918" s="269"/>
      <c r="J918" s="267"/>
    </row>
    <row r="919" ht="15.75" customHeight="1">
      <c r="A919" s="268"/>
      <c r="B919" s="265"/>
      <c r="C919" s="265"/>
      <c r="D919" s="265"/>
      <c r="E919" s="265"/>
      <c r="F919" s="266" t="s">
        <v>33</v>
      </c>
      <c r="G919" s="267">
        <f t="shared" si="1"/>
        <v>0</v>
      </c>
      <c r="H919" s="265"/>
      <c r="I919" s="269"/>
      <c r="J919" s="267"/>
    </row>
    <row r="920" ht="15.75" customHeight="1">
      <c r="A920" s="268"/>
      <c r="B920" s="265"/>
      <c r="C920" s="265"/>
      <c r="D920" s="265"/>
      <c r="E920" s="265"/>
      <c r="F920" s="266" t="s">
        <v>33</v>
      </c>
      <c r="G920" s="267">
        <f t="shared" si="1"/>
        <v>0</v>
      </c>
      <c r="H920" s="265"/>
      <c r="I920" s="269"/>
      <c r="J920" s="267"/>
    </row>
    <row r="921" ht="15.75" customHeight="1">
      <c r="A921" s="268"/>
      <c r="B921" s="265"/>
      <c r="C921" s="265"/>
      <c r="D921" s="265"/>
      <c r="E921" s="265"/>
      <c r="F921" s="266" t="s">
        <v>33</v>
      </c>
      <c r="G921" s="267">
        <f t="shared" si="1"/>
        <v>0</v>
      </c>
      <c r="H921" s="265"/>
      <c r="I921" s="269"/>
      <c r="J921" s="267"/>
    </row>
    <row r="922" ht="15.75" customHeight="1">
      <c r="A922" s="268"/>
      <c r="B922" s="265"/>
      <c r="C922" s="265"/>
      <c r="D922" s="265"/>
      <c r="E922" s="265"/>
      <c r="F922" s="266" t="s">
        <v>33</v>
      </c>
      <c r="G922" s="267">
        <f t="shared" si="1"/>
        <v>0</v>
      </c>
      <c r="H922" s="265"/>
      <c r="I922" s="269"/>
      <c r="J922" s="267"/>
    </row>
    <row r="923" ht="15.75" customHeight="1">
      <c r="A923" s="268"/>
      <c r="B923" s="265"/>
      <c r="C923" s="265"/>
      <c r="D923" s="265"/>
      <c r="E923" s="265"/>
      <c r="F923" s="266" t="s">
        <v>33</v>
      </c>
      <c r="G923" s="267">
        <f t="shared" si="1"/>
        <v>0</v>
      </c>
      <c r="H923" s="265"/>
      <c r="I923" s="269"/>
      <c r="J923" s="267"/>
    </row>
    <row r="924" ht="15.75" customHeight="1">
      <c r="A924" s="268"/>
      <c r="B924" s="265"/>
      <c r="C924" s="265"/>
      <c r="D924" s="265"/>
      <c r="E924" s="265"/>
      <c r="F924" s="266" t="s">
        <v>33</v>
      </c>
      <c r="G924" s="267">
        <f t="shared" si="1"/>
        <v>0</v>
      </c>
      <c r="H924" s="265"/>
      <c r="I924" s="269"/>
      <c r="J924" s="267"/>
    </row>
    <row r="925" ht="15.75" customHeight="1">
      <c r="A925" s="268"/>
      <c r="B925" s="265"/>
      <c r="C925" s="265"/>
      <c r="D925" s="265"/>
      <c r="E925" s="265"/>
      <c r="F925" s="266" t="s">
        <v>33</v>
      </c>
      <c r="G925" s="267">
        <f t="shared" si="1"/>
        <v>0</v>
      </c>
      <c r="H925" s="265"/>
      <c r="I925" s="269"/>
      <c r="J925" s="267"/>
    </row>
    <row r="926" ht="15.75" customHeight="1">
      <c r="A926" s="268"/>
      <c r="B926" s="265"/>
      <c r="C926" s="265"/>
      <c r="D926" s="265"/>
      <c r="E926" s="265"/>
      <c r="F926" s="266" t="s">
        <v>33</v>
      </c>
      <c r="G926" s="267">
        <f t="shared" si="1"/>
        <v>0</v>
      </c>
      <c r="H926" s="265"/>
      <c r="I926" s="269"/>
      <c r="J926" s="267"/>
    </row>
    <row r="927" ht="15.75" customHeight="1">
      <c r="A927" s="268"/>
      <c r="B927" s="265"/>
      <c r="C927" s="265"/>
      <c r="D927" s="265"/>
      <c r="E927" s="265"/>
      <c r="F927" s="266" t="s">
        <v>33</v>
      </c>
      <c r="G927" s="267">
        <f t="shared" si="1"/>
        <v>0</v>
      </c>
      <c r="H927" s="265"/>
      <c r="I927" s="269"/>
      <c r="J927" s="267"/>
    </row>
    <row r="928" ht="15.75" customHeight="1">
      <c r="A928" s="268"/>
      <c r="B928" s="265"/>
      <c r="C928" s="265"/>
      <c r="D928" s="265"/>
      <c r="E928" s="265"/>
      <c r="F928" s="266" t="s">
        <v>33</v>
      </c>
      <c r="G928" s="267">
        <f t="shared" si="1"/>
        <v>0</v>
      </c>
      <c r="H928" s="265"/>
      <c r="I928" s="269"/>
      <c r="J928" s="267"/>
    </row>
    <row r="929" ht="15.75" customHeight="1">
      <c r="A929" s="268"/>
      <c r="B929" s="265"/>
      <c r="C929" s="265"/>
      <c r="D929" s="265"/>
      <c r="E929" s="265"/>
      <c r="F929" s="266" t="s">
        <v>33</v>
      </c>
      <c r="G929" s="267">
        <f t="shared" si="1"/>
        <v>0</v>
      </c>
      <c r="H929" s="265"/>
      <c r="I929" s="269"/>
      <c r="J929" s="267"/>
    </row>
    <row r="930" ht="15.75" customHeight="1">
      <c r="A930" s="268"/>
      <c r="B930" s="265"/>
      <c r="C930" s="265"/>
      <c r="D930" s="265"/>
      <c r="E930" s="265"/>
      <c r="F930" s="266" t="s">
        <v>33</v>
      </c>
      <c r="G930" s="267">
        <f t="shared" si="1"/>
        <v>0</v>
      </c>
      <c r="H930" s="265"/>
      <c r="I930" s="269"/>
      <c r="J930" s="267"/>
    </row>
    <row r="931" ht="15.75" customHeight="1">
      <c r="A931" s="268"/>
      <c r="B931" s="265"/>
      <c r="C931" s="265"/>
      <c r="D931" s="265"/>
      <c r="E931" s="265"/>
      <c r="F931" s="266" t="s">
        <v>33</v>
      </c>
      <c r="G931" s="267">
        <f t="shared" si="1"/>
        <v>0</v>
      </c>
      <c r="H931" s="265"/>
      <c r="I931" s="269"/>
      <c r="J931" s="267"/>
    </row>
    <row r="932" ht="15.75" customHeight="1">
      <c r="A932" s="268"/>
      <c r="B932" s="265"/>
      <c r="C932" s="265"/>
      <c r="D932" s="265"/>
      <c r="E932" s="265"/>
      <c r="F932" s="266" t="s">
        <v>33</v>
      </c>
      <c r="G932" s="267">
        <f t="shared" si="1"/>
        <v>0</v>
      </c>
      <c r="H932" s="265"/>
      <c r="I932" s="269"/>
      <c r="J932" s="267"/>
    </row>
    <row r="933" ht="15.75" customHeight="1">
      <c r="A933" s="268"/>
      <c r="B933" s="265"/>
      <c r="C933" s="265"/>
      <c r="D933" s="265"/>
      <c r="E933" s="265"/>
      <c r="F933" s="266" t="s">
        <v>33</v>
      </c>
      <c r="G933" s="267">
        <f t="shared" si="1"/>
        <v>0</v>
      </c>
      <c r="H933" s="265"/>
      <c r="I933" s="269"/>
      <c r="J933" s="267"/>
    </row>
    <row r="934" ht="15.75" customHeight="1">
      <c r="A934" s="268"/>
      <c r="B934" s="265"/>
      <c r="C934" s="265"/>
      <c r="D934" s="265"/>
      <c r="E934" s="265"/>
      <c r="F934" s="266" t="s">
        <v>33</v>
      </c>
      <c r="G934" s="267">
        <f t="shared" si="1"/>
        <v>0</v>
      </c>
      <c r="H934" s="265"/>
      <c r="I934" s="269"/>
      <c r="J934" s="267"/>
    </row>
    <row r="935" ht="15.75" customHeight="1">
      <c r="A935" s="268"/>
      <c r="B935" s="265"/>
      <c r="C935" s="265"/>
      <c r="D935" s="265"/>
      <c r="E935" s="265"/>
      <c r="F935" s="266" t="s">
        <v>33</v>
      </c>
      <c r="G935" s="267">
        <f t="shared" si="1"/>
        <v>0</v>
      </c>
      <c r="H935" s="265"/>
      <c r="I935" s="269"/>
      <c r="J935" s="267"/>
    </row>
    <row r="936" ht="15.75" customHeight="1">
      <c r="A936" s="268"/>
      <c r="B936" s="265"/>
      <c r="C936" s="265"/>
      <c r="D936" s="265"/>
      <c r="E936" s="265"/>
      <c r="F936" s="266" t="s">
        <v>33</v>
      </c>
      <c r="G936" s="267">
        <f t="shared" si="1"/>
        <v>0</v>
      </c>
      <c r="H936" s="265"/>
      <c r="I936" s="269"/>
      <c r="J936" s="267"/>
    </row>
    <row r="937" ht="15.75" customHeight="1">
      <c r="A937" s="268"/>
      <c r="B937" s="265"/>
      <c r="C937" s="265"/>
      <c r="D937" s="265"/>
      <c r="E937" s="265"/>
      <c r="F937" s="266" t="s">
        <v>33</v>
      </c>
      <c r="G937" s="267">
        <f t="shared" si="1"/>
        <v>0</v>
      </c>
      <c r="H937" s="265"/>
      <c r="I937" s="269"/>
      <c r="J937" s="267"/>
    </row>
    <row r="938" ht="15.75" customHeight="1">
      <c r="A938" s="268"/>
      <c r="B938" s="265"/>
      <c r="C938" s="265"/>
      <c r="D938" s="265"/>
      <c r="E938" s="265"/>
      <c r="F938" s="266" t="s">
        <v>33</v>
      </c>
      <c r="G938" s="267">
        <f t="shared" si="1"/>
        <v>0</v>
      </c>
      <c r="H938" s="265"/>
      <c r="I938" s="269"/>
      <c r="J938" s="267"/>
    </row>
    <row r="939" ht="15.75" customHeight="1">
      <c r="A939" s="268"/>
      <c r="B939" s="265"/>
      <c r="C939" s="265"/>
      <c r="D939" s="265"/>
      <c r="E939" s="265"/>
      <c r="F939" s="266" t="s">
        <v>33</v>
      </c>
      <c r="G939" s="267">
        <f t="shared" si="1"/>
        <v>0</v>
      </c>
      <c r="H939" s="265"/>
      <c r="I939" s="269"/>
      <c r="J939" s="267"/>
    </row>
    <row r="940" ht="15.75" customHeight="1">
      <c r="A940" s="268"/>
      <c r="B940" s="265"/>
      <c r="C940" s="265"/>
      <c r="D940" s="265"/>
      <c r="E940" s="265"/>
      <c r="F940" s="266" t="s">
        <v>33</v>
      </c>
      <c r="G940" s="267">
        <f t="shared" si="1"/>
        <v>0</v>
      </c>
      <c r="H940" s="265"/>
      <c r="I940" s="269"/>
      <c r="J940" s="267"/>
    </row>
    <row r="941" ht="15.75" customHeight="1">
      <c r="A941" s="268"/>
      <c r="B941" s="265"/>
      <c r="C941" s="265"/>
      <c r="D941" s="265"/>
      <c r="E941" s="265"/>
      <c r="F941" s="266" t="s">
        <v>33</v>
      </c>
      <c r="G941" s="267">
        <f t="shared" si="1"/>
        <v>0</v>
      </c>
      <c r="H941" s="265"/>
      <c r="I941" s="269"/>
      <c r="J941" s="267"/>
    </row>
    <row r="942" ht="15.75" customHeight="1">
      <c r="A942" s="268"/>
      <c r="B942" s="265"/>
      <c r="C942" s="265"/>
      <c r="D942" s="265"/>
      <c r="E942" s="265"/>
      <c r="F942" s="266" t="s">
        <v>33</v>
      </c>
      <c r="G942" s="267">
        <f t="shared" si="1"/>
        <v>0</v>
      </c>
      <c r="H942" s="265"/>
      <c r="I942" s="269"/>
      <c r="J942" s="267"/>
    </row>
    <row r="943" ht="15.75" customHeight="1">
      <c r="A943" s="268"/>
      <c r="B943" s="265"/>
      <c r="C943" s="265"/>
      <c r="D943" s="265"/>
      <c r="E943" s="265"/>
      <c r="F943" s="266" t="s">
        <v>33</v>
      </c>
      <c r="G943" s="267">
        <f t="shared" si="1"/>
        <v>0</v>
      </c>
      <c r="H943" s="265"/>
      <c r="I943" s="269"/>
      <c r="J943" s="267"/>
    </row>
    <row r="944" ht="15.75" customHeight="1">
      <c r="A944" s="268"/>
      <c r="B944" s="265"/>
      <c r="C944" s="265"/>
      <c r="D944" s="265"/>
      <c r="E944" s="265"/>
      <c r="F944" s="266" t="s">
        <v>33</v>
      </c>
      <c r="G944" s="267">
        <f t="shared" si="1"/>
        <v>0</v>
      </c>
      <c r="H944" s="265"/>
      <c r="I944" s="269"/>
      <c r="J944" s="267"/>
    </row>
    <row r="945" ht="15.75" customHeight="1">
      <c r="A945" s="268"/>
      <c r="B945" s="265"/>
      <c r="C945" s="265"/>
      <c r="D945" s="265"/>
      <c r="E945" s="265"/>
      <c r="F945" s="266" t="s">
        <v>33</v>
      </c>
      <c r="G945" s="267">
        <f t="shared" si="1"/>
        <v>0</v>
      </c>
      <c r="H945" s="265"/>
      <c r="I945" s="269"/>
      <c r="J945" s="267"/>
    </row>
    <row r="946" ht="15.75" customHeight="1">
      <c r="A946" s="268"/>
      <c r="B946" s="265"/>
      <c r="C946" s="265"/>
      <c r="D946" s="265"/>
      <c r="E946" s="265"/>
      <c r="F946" s="266" t="s">
        <v>33</v>
      </c>
      <c r="G946" s="267">
        <f t="shared" si="1"/>
        <v>0</v>
      </c>
      <c r="H946" s="265"/>
      <c r="I946" s="269"/>
      <c r="J946" s="267"/>
    </row>
    <row r="947" ht="15.75" customHeight="1">
      <c r="A947" s="268"/>
      <c r="B947" s="265"/>
      <c r="C947" s="265"/>
      <c r="D947" s="265"/>
      <c r="E947" s="265"/>
      <c r="F947" s="266" t="s">
        <v>33</v>
      </c>
      <c r="G947" s="267">
        <f t="shared" si="1"/>
        <v>0</v>
      </c>
      <c r="H947" s="265"/>
      <c r="I947" s="269"/>
      <c r="J947" s="267"/>
    </row>
    <row r="948" ht="15.75" customHeight="1">
      <c r="A948" s="268"/>
      <c r="B948" s="265"/>
      <c r="C948" s="265"/>
      <c r="D948" s="265"/>
      <c r="E948" s="265"/>
      <c r="F948" s="266" t="s">
        <v>33</v>
      </c>
      <c r="G948" s="267">
        <f t="shared" si="1"/>
        <v>0</v>
      </c>
      <c r="H948" s="265"/>
      <c r="I948" s="269"/>
      <c r="J948" s="267"/>
    </row>
    <row r="949" ht="15.75" customHeight="1">
      <c r="A949" s="268"/>
      <c r="B949" s="265"/>
      <c r="C949" s="265"/>
      <c r="D949" s="265"/>
      <c r="E949" s="265"/>
      <c r="F949" s="266"/>
      <c r="G949" s="267"/>
      <c r="H949" s="265"/>
      <c r="I949" s="269"/>
      <c r="J949" s="267"/>
    </row>
    <row r="950" ht="15.75" customHeight="1">
      <c r="A950" s="268"/>
      <c r="B950" s="265"/>
      <c r="C950" s="265"/>
      <c r="D950" s="265"/>
      <c r="E950" s="265"/>
      <c r="F950" s="266"/>
      <c r="G950" s="267"/>
      <c r="H950" s="265"/>
      <c r="I950" s="269"/>
      <c r="J950" s="267"/>
    </row>
    <row r="951" ht="15.75" customHeight="1">
      <c r="A951" s="268"/>
      <c r="B951" s="265"/>
      <c r="C951" s="265"/>
      <c r="D951" s="265"/>
      <c r="E951" s="265"/>
      <c r="F951" s="266"/>
      <c r="G951" s="267"/>
      <c r="H951" s="265"/>
      <c r="I951" s="269"/>
      <c r="J951" s="267"/>
    </row>
  </sheetData>
  <conditionalFormatting sqref="J3:J20">
    <cfRule type="expression" dxfId="1" priority="1">
      <formula>ISEVEN(ROW())</formula>
    </cfRule>
  </conditionalFormatting>
  <conditionalFormatting sqref="J3:J20">
    <cfRule type="notContainsBlanks" dxfId="1" priority="2">
      <formula>LEN(TRIM(J3))&gt;0</formula>
    </cfRule>
  </conditionalFormatting>
  <conditionalFormatting sqref="A3:H951 J3:J951">
    <cfRule type="notContainsBlanks" dxfId="1" priority="3">
      <formula>LEN(TRIM(A3))&gt;0</formula>
    </cfRule>
  </conditionalFormatting>
  <conditionalFormatting sqref="A3:H951 J3:J951">
    <cfRule type="expression" dxfId="1" priority="4">
      <formula>ISEVEN(ROW())</formula>
    </cfRule>
  </conditionalFormatting>
  <dataValidations>
    <dataValidation type="list" allowBlank="1" showInputMessage="1" showErrorMessage="1" prompt="Nhấp và nhập giá trị từ dải ô 'Hạng mục chi'!A2:A30" sqref="F3:F951">
      <formula1>'Hang muc chi'!$A$2:$A$20</formula1>
    </dataValidation>
    <dataValidation type="list" allowBlank="1" showInputMessage="1" showErrorMessage="1" prompt="Nhấp và nhập giá trị từ dải ô 'Hạng mục chi'!B2:B16" sqref="H3:H951">
      <formula1>'Hang muc chi'!$B$2:$B$14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1.86"/>
    <col customWidth="1" min="2" max="2" width="29.71"/>
    <col customWidth="1" min="3" max="4" width="8.71"/>
    <col customWidth="1" min="5" max="5" width="11.0"/>
    <col customWidth="1" min="6" max="6" width="10.71"/>
    <col customWidth="1" min="7" max="10" width="6.14"/>
    <col customWidth="1" min="11" max="11" width="7.43"/>
    <col customWidth="1" min="12" max="12" width="8.86"/>
    <col customWidth="1" min="13" max="16" width="6.0"/>
    <col customWidth="1" min="17" max="17" width="6.71"/>
    <col customWidth="1" min="18" max="20" width="8.71"/>
    <col customWidth="1" min="21" max="21" width="11.57"/>
    <col customWidth="1" min="22" max="22" width="12.0"/>
  </cols>
  <sheetData>
    <row r="1" ht="26.25" customHeight="1">
      <c r="A1" s="270"/>
      <c r="B1" s="271"/>
      <c r="C1" s="272"/>
      <c r="D1" s="273"/>
      <c r="E1" s="274" t="s">
        <v>499</v>
      </c>
      <c r="F1" s="275">
        <f>sum(F3:F333)</f>
        <v>89110301.56</v>
      </c>
      <c r="G1" s="271" t="s">
        <v>500</v>
      </c>
      <c r="H1" s="271"/>
      <c r="I1" s="271"/>
      <c r="J1" s="271"/>
      <c r="K1" s="276"/>
      <c r="L1" s="275">
        <f>sum(L3:L300)</f>
        <v>3350466.667</v>
      </c>
      <c r="M1" s="277"/>
      <c r="N1" s="278" t="s">
        <v>501</v>
      </c>
      <c r="O1" s="279"/>
      <c r="P1" s="279"/>
      <c r="Q1" s="276"/>
      <c r="R1" s="275">
        <f>sum(R3:R300)</f>
        <v>0</v>
      </c>
      <c r="S1" s="280"/>
      <c r="T1" s="276" t="s">
        <v>380</v>
      </c>
      <c r="U1" s="281">
        <f>sum(U3:U223)</f>
        <v>15726210.41</v>
      </c>
      <c r="V1" s="282">
        <f>sum(V3:V310)</f>
        <v>76734557.82</v>
      </c>
      <c r="W1" s="283"/>
      <c r="X1" s="283"/>
      <c r="Y1" s="283"/>
      <c r="Z1" s="283"/>
    </row>
    <row r="2">
      <c r="A2" s="284" t="str">
        <f>IFERROR(__xludf.DUMMYFUNCTION("importrange(""https://docs.google.com/spreadsheets/d/1ImCdkYhsUqsakZA8jNZp7UrWFPNTrMyfZQst-0aGkKM/edit#gid=510873834"",""Ma hang!A1:D500"")"),"Mã Hàng")</f>
        <v>Mã Hàng</v>
      </c>
      <c r="B2" s="284" t="str">
        <f>IFERROR(__xludf.DUMMYFUNCTION("""COMPUTED_VALUE"""),"Tên hàng")</f>
        <v>Tên hàng</v>
      </c>
      <c r="C2" s="285" t="str">
        <f>IFERROR(__xludf.DUMMYFUNCTION("""COMPUTED_VALUE"""),"Đơn vị Tính")</f>
        <v>Đơn vị Tính</v>
      </c>
      <c r="D2" s="286" t="str">
        <f>IFERROR(__xludf.DUMMYFUNCTION("""COMPUTED_VALUE"""),"Giá nhập TB")</f>
        <v>Giá nhập TB</v>
      </c>
      <c r="E2" s="287">
        <v>45962.0</v>
      </c>
      <c r="F2" s="288" t="s">
        <v>502</v>
      </c>
      <c r="G2" s="274" t="s">
        <v>503</v>
      </c>
      <c r="H2" s="274" t="s">
        <v>504</v>
      </c>
      <c r="I2" s="274" t="s">
        <v>505</v>
      </c>
      <c r="J2" s="274" t="s">
        <v>506</v>
      </c>
      <c r="K2" s="289" t="s">
        <v>507</v>
      </c>
      <c r="L2" s="290" t="s">
        <v>508</v>
      </c>
      <c r="M2" s="274" t="s">
        <v>503</v>
      </c>
      <c r="N2" s="274" t="s">
        <v>504</v>
      </c>
      <c r="O2" s="274" t="s">
        <v>505</v>
      </c>
      <c r="P2" s="274" t="s">
        <v>506</v>
      </c>
      <c r="Q2" s="289" t="s">
        <v>509</v>
      </c>
      <c r="R2" s="290" t="s">
        <v>510</v>
      </c>
      <c r="S2" s="274" t="s">
        <v>511</v>
      </c>
      <c r="T2" s="289" t="s">
        <v>512</v>
      </c>
      <c r="U2" s="291" t="s">
        <v>513</v>
      </c>
      <c r="V2" s="292" t="s">
        <v>514</v>
      </c>
      <c r="W2" s="283"/>
      <c r="X2" s="283"/>
      <c r="Y2" s="283"/>
      <c r="Z2" s="283"/>
    </row>
    <row r="3">
      <c r="A3" s="293" t="str">
        <f>IFERROR(__xludf.DUMMYFUNCTION("""COMPUTED_VALUE"""),"APC")</f>
        <v>APC</v>
      </c>
      <c r="B3" s="293" t="str">
        <f>IFERROR(__xludf.DUMMYFUNCTION("""COMPUTED_VALUE"""),"A chymotrypsin")</f>
        <v>A chymotrypsin</v>
      </c>
      <c r="C3" s="293" t="str">
        <f>IFERROR(__xludf.DUMMYFUNCTION("""COMPUTED_VALUE"""),"Viên")</f>
        <v>Viên</v>
      </c>
      <c r="D3" s="293">
        <f>IFERROR(__xludf.DUMMYFUNCTION("""COMPUTED_VALUE"""),250.0)</f>
        <v>250</v>
      </c>
      <c r="E3" s="294">
        <v>435.0</v>
      </c>
      <c r="F3" s="295">
        <f t="shared" ref="F3:F226" si="1">E3*$D3</f>
        <v>108750</v>
      </c>
      <c r="G3" s="296"/>
      <c r="H3" s="296"/>
      <c r="I3" s="296"/>
      <c r="J3" s="293"/>
      <c r="K3" s="297">
        <f t="shared" ref="K3:K226" si="2">G3+H3+I3+J3</f>
        <v>0</v>
      </c>
      <c r="L3" s="295">
        <f t="shared" ref="L3:L226" si="3">K3*$D3</f>
        <v>0</v>
      </c>
      <c r="M3" s="280"/>
      <c r="N3" s="298"/>
      <c r="O3" s="280"/>
      <c r="P3" s="280"/>
      <c r="Q3" s="299">
        <f t="shared" ref="Q3:Q125" si="4">M3+N3+O3+P3</f>
        <v>0</v>
      </c>
      <c r="R3" s="300">
        <f t="shared" ref="R3:R70" si="5">Q3*$D3</f>
        <v>0</v>
      </c>
      <c r="S3" s="294">
        <f>220+100+22</f>
        <v>342</v>
      </c>
      <c r="T3" s="301">
        <f t="shared" ref="T3:T226" si="6">E3+K3-Q3-S3</f>
        <v>93</v>
      </c>
      <c r="U3" s="302">
        <f t="shared" ref="U3:U226" si="7">T3*D3</f>
        <v>23250</v>
      </c>
      <c r="V3" s="295">
        <f t="shared" ref="V3:V226" si="8">S3*$D3</f>
        <v>85500</v>
      </c>
      <c r="W3" s="283"/>
      <c r="X3" s="283"/>
      <c r="Y3" s="283"/>
      <c r="Z3" s="283"/>
    </row>
    <row r="4">
      <c r="A4" s="293" t="str">
        <f>IFERROR(__xludf.DUMMYFUNCTION("""COMPUTED_VALUE"""),"ACV")</f>
        <v>ACV</v>
      </c>
      <c r="B4" s="293" t="str">
        <f>IFERROR(__xludf.DUMMYFUNCTION("""COMPUTED_VALUE"""),"Acyclovir 200")</f>
        <v>Acyclovir 200</v>
      </c>
      <c r="C4" s="293" t="str">
        <f>IFERROR(__xludf.DUMMYFUNCTION("""COMPUTED_VALUE"""),"Viên")</f>
        <v>Viên</v>
      </c>
      <c r="D4" s="293">
        <f>IFERROR(__xludf.DUMMYFUNCTION("""COMPUTED_VALUE"""),2414.285714285714)</f>
        <v>2414.285714</v>
      </c>
      <c r="E4" s="303">
        <v>34.0</v>
      </c>
      <c r="F4" s="295">
        <f t="shared" si="1"/>
        <v>82085.71429</v>
      </c>
      <c r="G4" s="296"/>
      <c r="H4" s="293"/>
      <c r="I4" s="293"/>
      <c r="J4" s="293"/>
      <c r="K4" s="297">
        <f t="shared" si="2"/>
        <v>0</v>
      </c>
      <c r="L4" s="295">
        <f t="shared" si="3"/>
        <v>0</v>
      </c>
      <c r="M4" s="280"/>
      <c r="N4" s="304"/>
      <c r="O4" s="280"/>
      <c r="P4" s="280"/>
      <c r="Q4" s="299">
        <f t="shared" si="4"/>
        <v>0</v>
      </c>
      <c r="R4" s="305">
        <f t="shared" si="5"/>
        <v>0</v>
      </c>
      <c r="S4" s="303">
        <v>34.0</v>
      </c>
      <c r="T4" s="301">
        <f t="shared" si="6"/>
        <v>0</v>
      </c>
      <c r="U4" s="302">
        <f t="shared" si="7"/>
        <v>0</v>
      </c>
      <c r="V4" s="295">
        <f t="shared" si="8"/>
        <v>82085.71429</v>
      </c>
      <c r="W4" s="283"/>
      <c r="X4" s="283"/>
      <c r="Y4" s="283"/>
      <c r="Z4" s="283"/>
    </row>
    <row r="5">
      <c r="A5" s="293" t="str">
        <f>IFERROR(__xludf.DUMMYFUNCTION("""COMPUTED_VALUE"""),"ADEVTM")</f>
        <v>ADEVTM</v>
      </c>
      <c r="B5" s="293" t="str">
        <f>IFERROR(__xludf.DUMMYFUNCTION("""COMPUTED_VALUE"""),"AD3E Vitamin")</f>
        <v>AD3E Vitamin</v>
      </c>
      <c r="C5" s="293" t="str">
        <f>IFERROR(__xludf.DUMMYFUNCTION("""COMPUTED_VALUE"""),"mL")</f>
        <v>mL</v>
      </c>
      <c r="D5" s="293">
        <f>IFERROR(__xludf.DUMMYFUNCTION("""COMPUTED_VALUE"""),1400.0)</f>
        <v>1400</v>
      </c>
      <c r="E5" s="294">
        <v>150.0</v>
      </c>
      <c r="F5" s="295">
        <f t="shared" si="1"/>
        <v>210000</v>
      </c>
      <c r="G5" s="296"/>
      <c r="H5" s="293"/>
      <c r="I5" s="293"/>
      <c r="J5" s="293"/>
      <c r="K5" s="297">
        <f t="shared" si="2"/>
        <v>0</v>
      </c>
      <c r="L5" s="295">
        <f t="shared" si="3"/>
        <v>0</v>
      </c>
      <c r="M5" s="280"/>
      <c r="N5" s="298"/>
      <c r="O5" s="280"/>
      <c r="P5" s="280"/>
      <c r="Q5" s="299">
        <f t="shared" si="4"/>
        <v>0</v>
      </c>
      <c r="R5" s="305">
        <f t="shared" si="5"/>
        <v>0</v>
      </c>
      <c r="S5" s="306">
        <v>150.0</v>
      </c>
      <c r="T5" s="301">
        <f t="shared" si="6"/>
        <v>0</v>
      </c>
      <c r="U5" s="302">
        <f t="shared" si="7"/>
        <v>0</v>
      </c>
      <c r="V5" s="295">
        <f t="shared" si="8"/>
        <v>210000</v>
      </c>
      <c r="W5" s="283"/>
      <c r="X5" s="283"/>
      <c r="Y5" s="283"/>
      <c r="Z5" s="283"/>
    </row>
    <row r="6">
      <c r="A6" s="293" t="str">
        <f>IFERROR(__xludf.DUMMYFUNCTION("""COMPUTED_VALUE"""),"TKADL")</f>
        <v>TKADL</v>
      </c>
      <c r="B6" s="293" t="str">
        <f>IFERROR(__xludf.DUMMYFUNCTION("""COMPUTED_VALUE"""),"Adrenalin")</f>
        <v>Adrenalin</v>
      </c>
      <c r="C6" s="293" t="str">
        <f>IFERROR(__xludf.DUMMYFUNCTION("""COMPUTED_VALUE"""),"Ống")</f>
        <v>Ống</v>
      </c>
      <c r="D6" s="293">
        <f>IFERROR(__xludf.DUMMYFUNCTION("""COMPUTED_VALUE"""),3000.0)</f>
        <v>3000</v>
      </c>
      <c r="E6" s="303">
        <v>61.0</v>
      </c>
      <c r="F6" s="295">
        <f t="shared" si="1"/>
        <v>183000</v>
      </c>
      <c r="G6" s="296"/>
      <c r="H6" s="296"/>
      <c r="I6" s="293"/>
      <c r="J6" s="293"/>
      <c r="K6" s="297">
        <f t="shared" si="2"/>
        <v>0</v>
      </c>
      <c r="L6" s="295">
        <f t="shared" si="3"/>
        <v>0</v>
      </c>
      <c r="M6" s="306"/>
      <c r="N6" s="307"/>
      <c r="O6" s="280"/>
      <c r="P6" s="280"/>
      <c r="Q6" s="299">
        <f t="shared" si="4"/>
        <v>0</v>
      </c>
      <c r="R6" s="305">
        <f t="shared" si="5"/>
        <v>0</v>
      </c>
      <c r="S6" s="306">
        <v>0.0</v>
      </c>
      <c r="T6" s="301">
        <f t="shared" si="6"/>
        <v>61</v>
      </c>
      <c r="U6" s="302">
        <f t="shared" si="7"/>
        <v>183000</v>
      </c>
      <c r="V6" s="295">
        <f t="shared" si="8"/>
        <v>0</v>
      </c>
      <c r="W6" s="283"/>
      <c r="X6" s="283"/>
      <c r="Y6" s="283"/>
      <c r="Z6" s="283"/>
    </row>
    <row r="7">
      <c r="A7" s="293" t="str">
        <f>IFERROR(__xludf.DUMMYFUNCTION("""COMPUTED_VALUE"""),"AMVTM")</f>
        <v>AMVTM</v>
      </c>
      <c r="B7" s="293" t="str">
        <f>IFERROR(__xludf.DUMMYFUNCTION("""COMPUTED_VALUE"""),"Aminovit")</f>
        <v>Aminovit</v>
      </c>
      <c r="C7" s="293" t="str">
        <f>IFERROR(__xludf.DUMMYFUNCTION("""COMPUTED_VALUE"""),"mL")</f>
        <v>mL</v>
      </c>
      <c r="D7" s="293">
        <f>IFERROR(__xludf.DUMMYFUNCTION("""COMPUTED_VALUE"""),300.0)</f>
        <v>300</v>
      </c>
      <c r="E7" s="294">
        <v>0.0</v>
      </c>
      <c r="F7" s="295">
        <f t="shared" si="1"/>
        <v>0</v>
      </c>
      <c r="G7" s="296"/>
      <c r="H7" s="293"/>
      <c r="I7" s="293"/>
      <c r="J7" s="293"/>
      <c r="K7" s="297">
        <f t="shared" si="2"/>
        <v>0</v>
      </c>
      <c r="L7" s="295">
        <f t="shared" si="3"/>
        <v>0</v>
      </c>
      <c r="M7" s="280"/>
      <c r="N7" s="298"/>
      <c r="O7" s="280"/>
      <c r="P7" s="280"/>
      <c r="Q7" s="299">
        <f t="shared" si="4"/>
        <v>0</v>
      </c>
      <c r="R7" s="305">
        <f t="shared" si="5"/>
        <v>0</v>
      </c>
      <c r="S7" s="306">
        <v>0.0</v>
      </c>
      <c r="T7" s="301">
        <f t="shared" si="6"/>
        <v>0</v>
      </c>
      <c r="U7" s="302">
        <f t="shared" si="7"/>
        <v>0</v>
      </c>
      <c r="V7" s="295">
        <f t="shared" si="8"/>
        <v>0</v>
      </c>
      <c r="W7" s="283"/>
      <c r="X7" s="283"/>
      <c r="Y7" s="283"/>
      <c r="Z7" s="283"/>
    </row>
    <row r="8">
      <c r="A8" s="293" t="str">
        <f>IFERROR(__xludf.DUMMYFUNCTION("""COMPUTED_VALUE"""),"AMOX")</f>
        <v>AMOX</v>
      </c>
      <c r="B8" s="293" t="str">
        <f>IFERROR(__xludf.DUMMYFUNCTION("""COMPUTED_VALUE"""),"Amoxicilin 250ml")</f>
        <v>Amoxicilin 250ml</v>
      </c>
      <c r="C8" s="293" t="str">
        <f>IFERROR(__xludf.DUMMYFUNCTION("""COMPUTED_VALUE"""),"mL")</f>
        <v>mL</v>
      </c>
      <c r="D8" s="293">
        <f>IFERROR(__xludf.DUMMYFUNCTION("""COMPUTED_VALUE"""),0.0)</f>
        <v>0</v>
      </c>
      <c r="E8" s="308">
        <v>50.0</v>
      </c>
      <c r="F8" s="295">
        <f t="shared" si="1"/>
        <v>0</v>
      </c>
      <c r="G8" s="296"/>
      <c r="H8" s="293"/>
      <c r="I8" s="293"/>
      <c r="J8" s="293"/>
      <c r="K8" s="297">
        <f t="shared" si="2"/>
        <v>0</v>
      </c>
      <c r="L8" s="295">
        <f t="shared" si="3"/>
        <v>0</v>
      </c>
      <c r="M8" s="280"/>
      <c r="N8" s="304"/>
      <c r="O8" s="280"/>
      <c r="P8" s="280"/>
      <c r="Q8" s="299">
        <f t="shared" si="4"/>
        <v>0</v>
      </c>
      <c r="R8" s="305">
        <f t="shared" si="5"/>
        <v>0</v>
      </c>
      <c r="S8" s="306">
        <v>50.0</v>
      </c>
      <c r="T8" s="301">
        <f t="shared" si="6"/>
        <v>0</v>
      </c>
      <c r="U8" s="302">
        <f t="shared" si="7"/>
        <v>0</v>
      </c>
      <c r="V8" s="295">
        <f t="shared" si="8"/>
        <v>0</v>
      </c>
      <c r="W8" s="283"/>
      <c r="X8" s="283"/>
      <c r="Y8" s="283"/>
      <c r="Z8" s="283"/>
    </row>
    <row r="9">
      <c r="A9" s="293" t="str">
        <f>IFERROR(__xludf.DUMMYFUNCTION("""COMPUTED_VALUE"""),"ATD")</f>
        <v>ATD</v>
      </c>
      <c r="B9" s="293" t="str">
        <f>IFERROR(__xludf.DUMMYFUNCTION("""COMPUTED_VALUE"""),"Antiderm bôi ghẻ")</f>
        <v>Antiderm bôi ghẻ</v>
      </c>
      <c r="C9" s="293" t="str">
        <f>IFERROR(__xludf.DUMMYFUNCTION("""COMPUTED_VALUE"""),"Tuýp")</f>
        <v>Tuýp</v>
      </c>
      <c r="D9" s="293">
        <f>IFERROR(__xludf.DUMMYFUNCTION("""COMPUTED_VALUE"""),35000.0)</f>
        <v>35000</v>
      </c>
      <c r="E9" s="309">
        <v>0.0</v>
      </c>
      <c r="F9" s="295">
        <f t="shared" si="1"/>
        <v>0</v>
      </c>
      <c r="G9" s="296"/>
      <c r="H9" s="293"/>
      <c r="I9" s="296"/>
      <c r="J9" s="296"/>
      <c r="K9" s="297">
        <f t="shared" si="2"/>
        <v>0</v>
      </c>
      <c r="L9" s="295">
        <f t="shared" si="3"/>
        <v>0</v>
      </c>
      <c r="M9" s="280"/>
      <c r="N9" s="298"/>
      <c r="O9" s="280"/>
      <c r="P9" s="280"/>
      <c r="Q9" s="299">
        <f t="shared" si="4"/>
        <v>0</v>
      </c>
      <c r="R9" s="305">
        <f t="shared" si="5"/>
        <v>0</v>
      </c>
      <c r="S9" s="306">
        <v>0.0</v>
      </c>
      <c r="T9" s="301">
        <f t="shared" si="6"/>
        <v>0</v>
      </c>
      <c r="U9" s="302">
        <f t="shared" si="7"/>
        <v>0</v>
      </c>
      <c r="V9" s="295">
        <f t="shared" si="8"/>
        <v>0</v>
      </c>
      <c r="W9" s="283"/>
      <c r="X9" s="283"/>
      <c r="Y9" s="283"/>
      <c r="Z9" s="283"/>
    </row>
    <row r="10">
      <c r="A10" s="293" t="str">
        <f>IFERROR(__xludf.DUMMYFUNCTION("""COMPUTED_VALUE"""),"APT")</f>
        <v>APT</v>
      </c>
      <c r="B10" s="293" t="str">
        <f>IFERROR(__xludf.DUMMYFUNCTION("""COMPUTED_VALUE"""),"Áo phẫu thuật")</f>
        <v>Áo phẫu thuật</v>
      </c>
      <c r="C10" s="293" t="str">
        <f>IFERROR(__xludf.DUMMYFUNCTION("""COMPUTED_VALUE"""),"Cái")</f>
        <v>Cái</v>
      </c>
      <c r="D10" s="293">
        <f>IFERROR(__xludf.DUMMYFUNCTION("""COMPUTED_VALUE"""),300000.0)</f>
        <v>300000</v>
      </c>
      <c r="E10" s="308">
        <v>54.0</v>
      </c>
      <c r="F10" s="295">
        <f t="shared" si="1"/>
        <v>16200000</v>
      </c>
      <c r="G10" s="296"/>
      <c r="H10" s="293"/>
      <c r="I10" s="293"/>
      <c r="J10" s="293"/>
      <c r="K10" s="297">
        <f t="shared" si="2"/>
        <v>0</v>
      </c>
      <c r="L10" s="295">
        <f t="shared" si="3"/>
        <v>0</v>
      </c>
      <c r="M10" s="280"/>
      <c r="N10" s="304"/>
      <c r="O10" s="280"/>
      <c r="P10" s="280"/>
      <c r="Q10" s="299">
        <f t="shared" si="4"/>
        <v>0</v>
      </c>
      <c r="R10" s="305">
        <f t="shared" si="5"/>
        <v>0</v>
      </c>
      <c r="S10" s="306">
        <v>50.0</v>
      </c>
      <c r="T10" s="301">
        <f t="shared" si="6"/>
        <v>4</v>
      </c>
      <c r="U10" s="302">
        <f t="shared" si="7"/>
        <v>1200000</v>
      </c>
      <c r="V10" s="295">
        <f t="shared" si="8"/>
        <v>15000000</v>
      </c>
      <c r="W10" s="283"/>
      <c r="X10" s="283"/>
      <c r="Y10" s="283"/>
      <c r="Z10" s="283"/>
    </row>
    <row r="11">
      <c r="A11" s="293" t="str">
        <f>IFERROR(__xludf.DUMMYFUNCTION("""COMPUTED_VALUE"""),"ATP")</f>
        <v>ATP</v>
      </c>
      <c r="B11" s="293" t="str">
        <f>IFERROR(__xludf.DUMMYFUNCTION("""COMPUTED_VALUE"""),"Atropin")</f>
        <v>Atropin</v>
      </c>
      <c r="C11" s="293" t="str">
        <f>IFERROR(__xludf.DUMMYFUNCTION("""COMPUTED_VALUE"""),"mL")</f>
        <v>mL</v>
      </c>
      <c r="D11" s="293">
        <f>IFERROR(__xludf.DUMMYFUNCTION("""COMPUTED_VALUE"""),163.33333333333334)</f>
        <v>163.3333333</v>
      </c>
      <c r="E11" s="309">
        <v>168.0</v>
      </c>
      <c r="F11" s="295">
        <f t="shared" si="1"/>
        <v>27440</v>
      </c>
      <c r="G11" s="296"/>
      <c r="H11" s="296"/>
      <c r="I11" s="296"/>
      <c r="J11" s="296">
        <v>200.0</v>
      </c>
      <c r="K11" s="297">
        <f t="shared" si="2"/>
        <v>200</v>
      </c>
      <c r="L11" s="295">
        <f t="shared" si="3"/>
        <v>32666.66667</v>
      </c>
      <c r="M11" s="280"/>
      <c r="N11" s="298"/>
      <c r="O11" s="280"/>
      <c r="P11" s="280"/>
      <c r="Q11" s="299">
        <f t="shared" si="4"/>
        <v>0</v>
      </c>
      <c r="R11" s="305">
        <f t="shared" si="5"/>
        <v>0</v>
      </c>
      <c r="S11" s="306">
        <f>200+58+85</f>
        <v>343</v>
      </c>
      <c r="T11" s="301">
        <f t="shared" si="6"/>
        <v>25</v>
      </c>
      <c r="U11" s="302">
        <f t="shared" si="7"/>
        <v>4083.333333</v>
      </c>
      <c r="V11" s="295">
        <f t="shared" si="8"/>
        <v>56023.33333</v>
      </c>
      <c r="W11" s="283"/>
      <c r="X11" s="283"/>
      <c r="Y11" s="283"/>
      <c r="Z11" s="283"/>
    </row>
    <row r="12">
      <c r="A12" s="293" t="str">
        <f>IFERROR(__xludf.DUMMYFUNCTION("""COMPUTED_VALUE"""),"AZT")</f>
        <v>AZT</v>
      </c>
      <c r="B12" s="293" t="str">
        <f>IFERROR(__xludf.DUMMYFUNCTION("""COMPUTED_VALUE"""),"Azithromycin ")</f>
        <v>Azithromycin </v>
      </c>
      <c r="C12" s="293" t="str">
        <f>IFERROR(__xludf.DUMMYFUNCTION("""COMPUTED_VALUE"""),"Gam")</f>
        <v>Gam</v>
      </c>
      <c r="D12" s="293">
        <f>IFERROR(__xludf.DUMMYFUNCTION("""COMPUTED_VALUE"""),20000.0)</f>
        <v>20000</v>
      </c>
      <c r="E12" s="308">
        <v>25.0</v>
      </c>
      <c r="F12" s="295">
        <f t="shared" si="1"/>
        <v>500000</v>
      </c>
      <c r="G12" s="296"/>
      <c r="H12" s="296"/>
      <c r="I12" s="293"/>
      <c r="J12" s="293"/>
      <c r="K12" s="297">
        <f t="shared" si="2"/>
        <v>0</v>
      </c>
      <c r="L12" s="295">
        <f t="shared" si="3"/>
        <v>0</v>
      </c>
      <c r="M12" s="280"/>
      <c r="N12" s="304"/>
      <c r="O12" s="280"/>
      <c r="P12" s="280"/>
      <c r="Q12" s="299">
        <f t="shared" si="4"/>
        <v>0</v>
      </c>
      <c r="R12" s="305">
        <f t="shared" si="5"/>
        <v>0</v>
      </c>
      <c r="S12" s="303">
        <v>25.0</v>
      </c>
      <c r="T12" s="301">
        <f t="shared" si="6"/>
        <v>0</v>
      </c>
      <c r="U12" s="302">
        <f t="shared" si="7"/>
        <v>0</v>
      </c>
      <c r="V12" s="295">
        <f t="shared" si="8"/>
        <v>500000</v>
      </c>
      <c r="W12" s="283"/>
      <c r="X12" s="283"/>
      <c r="Y12" s="283"/>
      <c r="Z12" s="283"/>
    </row>
    <row r="13">
      <c r="A13" s="293" t="str">
        <f>IFERROR(__xludf.DUMMYFUNCTION("""COMPUTED_VALUE"""),"AZT250")</f>
        <v>AZT250</v>
      </c>
      <c r="B13" s="293" t="str">
        <f>IFERROR(__xludf.DUMMYFUNCTION("""COMPUTED_VALUE"""),"Azithromycin 250mg")</f>
        <v>Azithromycin 250mg</v>
      </c>
      <c r="C13" s="293" t="str">
        <f>IFERROR(__xludf.DUMMYFUNCTION("""COMPUTED_VALUE"""),"Viên")</f>
        <v>Viên</v>
      </c>
      <c r="D13" s="293">
        <f>IFERROR(__xludf.DUMMYFUNCTION("""COMPUTED_VALUE"""),1950.0)</f>
        <v>1950</v>
      </c>
      <c r="E13" s="309">
        <v>6.0</v>
      </c>
      <c r="F13" s="295">
        <f t="shared" si="1"/>
        <v>11700</v>
      </c>
      <c r="G13" s="296"/>
      <c r="H13" s="293"/>
      <c r="I13" s="293"/>
      <c r="J13" s="293"/>
      <c r="K13" s="297">
        <f t="shared" si="2"/>
        <v>0</v>
      </c>
      <c r="L13" s="295">
        <f t="shared" si="3"/>
        <v>0</v>
      </c>
      <c r="M13" s="280"/>
      <c r="N13" s="298"/>
      <c r="O13" s="280"/>
      <c r="P13" s="280"/>
      <c r="Q13" s="299">
        <f t="shared" si="4"/>
        <v>0</v>
      </c>
      <c r="R13" s="305">
        <f t="shared" si="5"/>
        <v>0</v>
      </c>
      <c r="S13" s="294">
        <v>6.0</v>
      </c>
      <c r="T13" s="301">
        <f t="shared" si="6"/>
        <v>0</v>
      </c>
      <c r="U13" s="302">
        <f t="shared" si="7"/>
        <v>0</v>
      </c>
      <c r="V13" s="295">
        <f t="shared" si="8"/>
        <v>11700</v>
      </c>
      <c r="W13" s="283"/>
      <c r="X13" s="283"/>
      <c r="Y13" s="283"/>
      <c r="Z13" s="283"/>
    </row>
    <row r="14">
      <c r="A14" s="293" t="str">
        <f>IFERROR(__xludf.DUMMYFUNCTION("""COMPUTED_VALUE"""),"AZT500")</f>
        <v>AZT500</v>
      </c>
      <c r="B14" s="293" t="str">
        <f>IFERROR(__xludf.DUMMYFUNCTION("""COMPUTED_VALUE"""),"Azithromycin 500mg")</f>
        <v>Azithromycin 500mg</v>
      </c>
      <c r="C14" s="293" t="str">
        <f>IFERROR(__xludf.DUMMYFUNCTION("""COMPUTED_VALUE"""),"Viên")</f>
        <v>Viên</v>
      </c>
      <c r="D14" s="293">
        <f>IFERROR(__xludf.DUMMYFUNCTION("""COMPUTED_VALUE"""),4683.166666666666)</f>
        <v>4683.166667</v>
      </c>
      <c r="E14" s="308">
        <v>2.0</v>
      </c>
      <c r="F14" s="295">
        <f t="shared" si="1"/>
        <v>9366.333333</v>
      </c>
      <c r="G14" s="296"/>
      <c r="H14" s="293"/>
      <c r="I14" s="293"/>
      <c r="J14" s="293"/>
      <c r="K14" s="297">
        <f t="shared" si="2"/>
        <v>0</v>
      </c>
      <c r="L14" s="295">
        <f t="shared" si="3"/>
        <v>0</v>
      </c>
      <c r="M14" s="280"/>
      <c r="N14" s="304"/>
      <c r="O14" s="280"/>
      <c r="P14" s="280"/>
      <c r="Q14" s="299">
        <f t="shared" si="4"/>
        <v>0</v>
      </c>
      <c r="R14" s="305">
        <f t="shared" si="5"/>
        <v>0</v>
      </c>
      <c r="S14" s="303">
        <v>2.0</v>
      </c>
      <c r="T14" s="301">
        <f t="shared" si="6"/>
        <v>0</v>
      </c>
      <c r="U14" s="302">
        <f t="shared" si="7"/>
        <v>0</v>
      </c>
      <c r="V14" s="295">
        <f t="shared" si="8"/>
        <v>9366.333333</v>
      </c>
      <c r="W14" s="283"/>
      <c r="X14" s="283"/>
      <c r="Y14" s="283"/>
      <c r="Z14" s="283"/>
    </row>
    <row r="15">
      <c r="A15" s="293" t="str">
        <f>IFERROR(__xludf.DUMMYFUNCTION("""COMPUTED_VALUE"""),"BCL")</f>
        <v>BCL</v>
      </c>
      <c r="B15" s="293" t="str">
        <f>IFERROR(__xludf.DUMMYFUNCTION("""COMPUTED_VALUE"""),"B complex")</f>
        <v>B complex</v>
      </c>
      <c r="C15" s="293" t="str">
        <f>IFERROR(__xludf.DUMMYFUNCTION("""COMPUTED_VALUE"""),"ml")</f>
        <v>ml</v>
      </c>
      <c r="D15" s="293">
        <f>IFERROR(__xludf.DUMMYFUNCTION("""COMPUTED_VALUE"""),300.0)</f>
        <v>300</v>
      </c>
      <c r="E15" s="309">
        <v>160.0</v>
      </c>
      <c r="F15" s="295">
        <f t="shared" si="1"/>
        <v>48000</v>
      </c>
      <c r="G15" s="296"/>
      <c r="H15" s="296"/>
      <c r="I15" s="296"/>
      <c r="J15" s="296"/>
      <c r="K15" s="297">
        <f t="shared" si="2"/>
        <v>0</v>
      </c>
      <c r="L15" s="295">
        <f t="shared" si="3"/>
        <v>0</v>
      </c>
      <c r="M15" s="280"/>
      <c r="N15" s="298"/>
      <c r="O15" s="280"/>
      <c r="P15" s="280"/>
      <c r="Q15" s="299">
        <f t="shared" si="4"/>
        <v>0</v>
      </c>
      <c r="R15" s="305">
        <f t="shared" si="5"/>
        <v>0</v>
      </c>
      <c r="S15" s="306">
        <v>160.0</v>
      </c>
      <c r="T15" s="301">
        <f t="shared" si="6"/>
        <v>0</v>
      </c>
      <c r="U15" s="302">
        <f t="shared" si="7"/>
        <v>0</v>
      </c>
      <c r="V15" s="295">
        <f t="shared" si="8"/>
        <v>48000</v>
      </c>
      <c r="W15" s="283"/>
      <c r="X15" s="283"/>
      <c r="Y15" s="283"/>
      <c r="Z15" s="283"/>
    </row>
    <row r="16">
      <c r="A16" s="293" t="str">
        <f>IFERROR(__xludf.DUMMYFUNCTION("""COMPUTED_VALUE"""),"BCRT")</f>
        <v>BCRT</v>
      </c>
      <c r="B16" s="293" t="str">
        <f>IFERROR(__xludf.DUMMYFUNCTION("""COMPUTED_VALUE"""),"Bàn chải rửa tay")</f>
        <v>Bàn chải rửa tay</v>
      </c>
      <c r="C16" s="293" t="str">
        <f>IFERROR(__xludf.DUMMYFUNCTION("""COMPUTED_VALUE"""),"Cái")</f>
        <v>Cái</v>
      </c>
      <c r="D16" s="293">
        <f>IFERROR(__xludf.DUMMYFUNCTION("""COMPUTED_VALUE"""),38000.0)</f>
        <v>38000</v>
      </c>
      <c r="E16" s="308">
        <v>0.0</v>
      </c>
      <c r="F16" s="295">
        <f t="shared" si="1"/>
        <v>0</v>
      </c>
      <c r="G16" s="296"/>
      <c r="H16" s="293"/>
      <c r="I16" s="293"/>
      <c r="J16" s="293"/>
      <c r="K16" s="297">
        <f t="shared" si="2"/>
        <v>0</v>
      </c>
      <c r="L16" s="295">
        <f t="shared" si="3"/>
        <v>0</v>
      </c>
      <c r="M16" s="280"/>
      <c r="N16" s="304"/>
      <c r="O16" s="280"/>
      <c r="P16" s="280"/>
      <c r="Q16" s="299">
        <f t="shared" si="4"/>
        <v>0</v>
      </c>
      <c r="R16" s="305">
        <f t="shared" si="5"/>
        <v>0</v>
      </c>
      <c r="S16" s="306">
        <v>0.0</v>
      </c>
      <c r="T16" s="301">
        <f t="shared" si="6"/>
        <v>0</v>
      </c>
      <c r="U16" s="302">
        <f t="shared" si="7"/>
        <v>0</v>
      </c>
      <c r="V16" s="295">
        <f t="shared" si="8"/>
        <v>0</v>
      </c>
      <c r="W16" s="283"/>
      <c r="X16" s="283"/>
      <c r="Y16" s="283"/>
      <c r="Z16" s="283"/>
    </row>
    <row r="17">
      <c r="A17" s="293" t="str">
        <f>IFERROR(__xludf.DUMMYFUNCTION("""COMPUTED_VALUE"""),"BIOGTT")</f>
        <v>BIOGTT</v>
      </c>
      <c r="B17" s="293" t="str">
        <f>IFERROR(__xludf.DUMMYFUNCTION("""COMPUTED_VALUE"""),"BIO Genta-Tylosin")</f>
        <v>BIO Genta-Tylosin</v>
      </c>
      <c r="C17" s="293" t="str">
        <f>IFERROR(__xludf.DUMMYFUNCTION("""COMPUTED_VALUE"""),"mL")</f>
        <v>mL</v>
      </c>
      <c r="D17" s="293">
        <f>IFERROR(__xludf.DUMMYFUNCTION("""COMPUTED_VALUE"""),1100.0)</f>
        <v>1100</v>
      </c>
      <c r="E17" s="309">
        <v>71.0</v>
      </c>
      <c r="F17" s="295">
        <f t="shared" si="1"/>
        <v>78100</v>
      </c>
      <c r="G17" s="296"/>
      <c r="H17" s="296"/>
      <c r="I17" s="293"/>
      <c r="J17" s="296"/>
      <c r="K17" s="297">
        <f t="shared" si="2"/>
        <v>0</v>
      </c>
      <c r="L17" s="295">
        <f t="shared" si="3"/>
        <v>0</v>
      </c>
      <c r="M17" s="280"/>
      <c r="N17" s="298"/>
      <c r="O17" s="280"/>
      <c r="P17" s="280"/>
      <c r="Q17" s="299">
        <f t="shared" si="4"/>
        <v>0</v>
      </c>
      <c r="R17" s="305">
        <f t="shared" si="5"/>
        <v>0</v>
      </c>
      <c r="S17" s="306">
        <v>60.0</v>
      </c>
      <c r="T17" s="301">
        <f t="shared" si="6"/>
        <v>11</v>
      </c>
      <c r="U17" s="302">
        <f t="shared" si="7"/>
        <v>12100</v>
      </c>
      <c r="V17" s="295">
        <f t="shared" si="8"/>
        <v>66000</v>
      </c>
      <c r="W17" s="283"/>
      <c r="X17" s="283"/>
      <c r="Y17" s="283"/>
      <c r="Z17" s="283"/>
    </row>
    <row r="18">
      <c r="A18" s="293" t="str">
        <f>IFERROR(__xludf.DUMMYFUNCTION("""COMPUTED_VALUE"""),"OCTC")</f>
        <v>OCTC</v>
      </c>
      <c r="B18" s="293" t="str">
        <f>IFERROR(__xludf.DUMMYFUNCTION("""COMPUTED_VALUE"""),"BIO Oxytocin")</f>
        <v>BIO Oxytocin</v>
      </c>
      <c r="C18" s="293" t="str">
        <f>IFERROR(__xludf.DUMMYFUNCTION("""COMPUTED_VALUE"""),"mL")</f>
        <v>mL</v>
      </c>
      <c r="D18" s="293">
        <f>IFERROR(__xludf.DUMMYFUNCTION("""COMPUTED_VALUE"""),600.0)</f>
        <v>600</v>
      </c>
      <c r="E18" s="308">
        <v>40.0</v>
      </c>
      <c r="F18" s="295">
        <f t="shared" si="1"/>
        <v>24000</v>
      </c>
      <c r="G18" s="296"/>
      <c r="H18" s="293"/>
      <c r="I18" s="293"/>
      <c r="J18" s="293"/>
      <c r="K18" s="297">
        <f t="shared" si="2"/>
        <v>0</v>
      </c>
      <c r="L18" s="295">
        <f t="shared" si="3"/>
        <v>0</v>
      </c>
      <c r="M18" s="306"/>
      <c r="N18" s="304"/>
      <c r="O18" s="280"/>
      <c r="P18" s="280"/>
      <c r="Q18" s="299">
        <f t="shared" si="4"/>
        <v>0</v>
      </c>
      <c r="R18" s="305">
        <f t="shared" si="5"/>
        <v>0</v>
      </c>
      <c r="S18" s="306">
        <v>40.0</v>
      </c>
      <c r="T18" s="301">
        <f t="shared" si="6"/>
        <v>0</v>
      </c>
      <c r="U18" s="302">
        <f t="shared" si="7"/>
        <v>0</v>
      </c>
      <c r="V18" s="295">
        <f t="shared" si="8"/>
        <v>24000</v>
      </c>
      <c r="W18" s="283"/>
      <c r="X18" s="283"/>
      <c r="Y18" s="283"/>
      <c r="Z18" s="283"/>
    </row>
    <row r="19">
      <c r="A19" s="293" t="str">
        <f>IFERROR(__xludf.DUMMYFUNCTION("""COMPUTED_VALUE"""),"BS")</f>
        <v>BS</v>
      </c>
      <c r="B19" s="293" t="str">
        <f>IFERROR(__xludf.DUMMYFUNCTION("""COMPUTED_VALUE"""),"BIO sone")</f>
        <v>BIO sone</v>
      </c>
      <c r="C19" s="293" t="str">
        <f>IFERROR(__xludf.DUMMYFUNCTION("""COMPUTED_VALUE"""),"mL")</f>
        <v>mL</v>
      </c>
      <c r="D19" s="293">
        <f>IFERROR(__xludf.DUMMYFUNCTION("""COMPUTED_VALUE"""),1300.0)</f>
        <v>1300</v>
      </c>
      <c r="E19" s="309">
        <v>120.0</v>
      </c>
      <c r="F19" s="295">
        <f t="shared" si="1"/>
        <v>156000</v>
      </c>
      <c r="G19" s="296"/>
      <c r="H19" s="296"/>
      <c r="I19" s="293"/>
      <c r="J19" s="296"/>
      <c r="K19" s="297">
        <f t="shared" si="2"/>
        <v>0</v>
      </c>
      <c r="L19" s="295">
        <f t="shared" si="3"/>
        <v>0</v>
      </c>
      <c r="M19" s="306"/>
      <c r="N19" s="298"/>
      <c r="O19" s="280"/>
      <c r="P19" s="280"/>
      <c r="Q19" s="299">
        <f t="shared" si="4"/>
        <v>0</v>
      </c>
      <c r="R19" s="305">
        <f t="shared" si="5"/>
        <v>0</v>
      </c>
      <c r="S19" s="306">
        <v>120.0</v>
      </c>
      <c r="T19" s="301">
        <f t="shared" si="6"/>
        <v>0</v>
      </c>
      <c r="U19" s="302">
        <f t="shared" si="7"/>
        <v>0</v>
      </c>
      <c r="V19" s="295">
        <f t="shared" si="8"/>
        <v>156000</v>
      </c>
      <c r="W19" s="283"/>
      <c r="X19" s="283"/>
      <c r="Y19" s="283"/>
      <c r="Z19" s="283"/>
    </row>
    <row r="20" ht="15.75" customHeight="1">
      <c r="A20" s="293" t="str">
        <f>IFERROR(__xludf.DUMMYFUNCTION("""COMPUTED_VALUE"""),"VTMB12T")</f>
        <v>VTMB12T</v>
      </c>
      <c r="B20" s="293" t="str">
        <f>IFERROR(__xludf.DUMMYFUNCTION("""COMPUTED_VALUE"""),"BIO-FER+B12")</f>
        <v>BIO-FER+B12</v>
      </c>
      <c r="C20" s="293" t="str">
        <f>IFERROR(__xludf.DUMMYFUNCTION("""COMPUTED_VALUE"""),"mL")</f>
        <v>mL</v>
      </c>
      <c r="D20" s="293">
        <f>IFERROR(__xludf.DUMMYFUNCTION("""COMPUTED_VALUE"""),500.0)</f>
        <v>500</v>
      </c>
      <c r="E20" s="308">
        <v>68.0</v>
      </c>
      <c r="F20" s="295">
        <f t="shared" si="1"/>
        <v>34000</v>
      </c>
      <c r="G20" s="296"/>
      <c r="H20" s="296"/>
      <c r="I20" s="293"/>
      <c r="J20" s="296"/>
      <c r="K20" s="297">
        <f t="shared" si="2"/>
        <v>0</v>
      </c>
      <c r="L20" s="295">
        <f t="shared" si="3"/>
        <v>0</v>
      </c>
      <c r="M20" s="280"/>
      <c r="N20" s="307"/>
      <c r="O20" s="280"/>
      <c r="P20" s="280"/>
      <c r="Q20" s="299">
        <f t="shared" si="4"/>
        <v>0</v>
      </c>
      <c r="R20" s="305">
        <f t="shared" si="5"/>
        <v>0</v>
      </c>
      <c r="S20" s="306">
        <v>60.0</v>
      </c>
      <c r="T20" s="301">
        <f t="shared" si="6"/>
        <v>8</v>
      </c>
      <c r="U20" s="302">
        <f t="shared" si="7"/>
        <v>4000</v>
      </c>
      <c r="V20" s="295">
        <f t="shared" si="8"/>
        <v>30000</v>
      </c>
      <c r="W20" s="283"/>
      <c r="X20" s="283"/>
      <c r="Y20" s="283"/>
      <c r="Z20" s="283"/>
    </row>
    <row r="21" ht="15.75" customHeight="1">
      <c r="A21" s="293" t="str">
        <f>IFERROR(__xludf.DUMMYFUNCTION("""COMPUTED_VALUE"""),"BTC")</f>
        <v>BTC</v>
      </c>
      <c r="B21" s="293" t="str">
        <f>IFERROR(__xludf.DUMMYFUNCTION("""COMPUTED_VALUE"""),"Bột thạch cao")</f>
        <v>Bột thạch cao</v>
      </c>
      <c r="C21" s="293" t="str">
        <f>IFERROR(__xludf.DUMMYFUNCTION("""COMPUTED_VALUE"""),"cuộn")</f>
        <v>cuộn</v>
      </c>
      <c r="D21" s="293">
        <f>IFERROR(__xludf.DUMMYFUNCTION("""COMPUTED_VALUE"""),15000.0)</f>
        <v>15000</v>
      </c>
      <c r="E21" s="309">
        <v>4.0</v>
      </c>
      <c r="F21" s="295">
        <f t="shared" si="1"/>
        <v>60000</v>
      </c>
      <c r="G21" s="296"/>
      <c r="H21" s="296"/>
      <c r="I21" s="293"/>
      <c r="J21" s="293"/>
      <c r="K21" s="297">
        <f t="shared" si="2"/>
        <v>0</v>
      </c>
      <c r="L21" s="295">
        <f t="shared" si="3"/>
        <v>0</v>
      </c>
      <c r="M21" s="280"/>
      <c r="N21" s="298"/>
      <c r="O21" s="280"/>
      <c r="P21" s="280"/>
      <c r="Q21" s="299">
        <f t="shared" si="4"/>
        <v>0</v>
      </c>
      <c r="R21" s="305">
        <f t="shared" si="5"/>
        <v>0</v>
      </c>
      <c r="S21" s="306">
        <v>4.0</v>
      </c>
      <c r="T21" s="301">
        <f t="shared" si="6"/>
        <v>0</v>
      </c>
      <c r="U21" s="302">
        <f t="shared" si="7"/>
        <v>0</v>
      </c>
      <c r="V21" s="295">
        <f t="shared" si="8"/>
        <v>60000</v>
      </c>
      <c r="W21" s="283"/>
      <c r="X21" s="283"/>
      <c r="Y21" s="283"/>
      <c r="Z21" s="283"/>
    </row>
    <row r="22" ht="15.75" customHeight="1">
      <c r="A22" s="293" t="str">
        <f>IFERROR(__xludf.DUMMYFUNCTION("""COMPUTED_VALUE"""),"BHXT")</f>
        <v>BHXT</v>
      </c>
      <c r="B22" s="293" t="str">
        <f>IFERROR(__xludf.DUMMYFUNCTION("""COMPUTED_VALUE"""),"Bromhexine tiêm")</f>
        <v>Bromhexine tiêm</v>
      </c>
      <c r="C22" s="293" t="str">
        <f>IFERROR(__xludf.DUMMYFUNCTION("""COMPUTED_VALUE"""),"mL")</f>
        <v>mL</v>
      </c>
      <c r="D22" s="293">
        <f>IFERROR(__xludf.DUMMYFUNCTION("""COMPUTED_VALUE"""),1000.0)</f>
        <v>1000</v>
      </c>
      <c r="E22" s="308">
        <v>140.0</v>
      </c>
      <c r="F22" s="295">
        <f t="shared" si="1"/>
        <v>140000</v>
      </c>
      <c r="G22" s="296"/>
      <c r="H22" s="293"/>
      <c r="I22" s="293"/>
      <c r="J22" s="293"/>
      <c r="K22" s="297">
        <f t="shared" si="2"/>
        <v>0</v>
      </c>
      <c r="L22" s="295">
        <f t="shared" si="3"/>
        <v>0</v>
      </c>
      <c r="M22" s="280"/>
      <c r="N22" s="304"/>
      <c r="O22" s="280"/>
      <c r="P22" s="280"/>
      <c r="Q22" s="299">
        <f t="shared" si="4"/>
        <v>0</v>
      </c>
      <c r="R22" s="305">
        <f t="shared" si="5"/>
        <v>0</v>
      </c>
      <c r="S22" s="306">
        <v>140.0</v>
      </c>
      <c r="T22" s="301">
        <f t="shared" si="6"/>
        <v>0</v>
      </c>
      <c r="U22" s="302">
        <f t="shared" si="7"/>
        <v>0</v>
      </c>
      <c r="V22" s="295">
        <f t="shared" si="8"/>
        <v>140000</v>
      </c>
      <c r="W22" s="283"/>
      <c r="X22" s="283"/>
      <c r="Y22" s="283"/>
      <c r="Z22" s="283"/>
    </row>
    <row r="23" ht="15.75" customHeight="1">
      <c r="A23" s="293" t="str">
        <f>IFERROR(__xludf.DUMMYFUNCTION("""COMPUTED_VALUE"""),"BHXU")</f>
        <v>BHXU</v>
      </c>
      <c r="B23" s="293" t="str">
        <f>IFERROR(__xludf.DUMMYFUNCTION("""COMPUTED_VALUE"""),"Bromhexine uống")</f>
        <v>Bromhexine uống</v>
      </c>
      <c r="C23" s="293" t="str">
        <f>IFERROR(__xludf.DUMMYFUNCTION("""COMPUTED_VALUE"""),"Viên")</f>
        <v>Viên</v>
      </c>
      <c r="D23" s="293">
        <f>IFERROR(__xludf.DUMMYFUNCTION("""COMPUTED_VALUE"""),180.0)</f>
        <v>180</v>
      </c>
      <c r="E23" s="309">
        <v>193.0</v>
      </c>
      <c r="F23" s="295">
        <f t="shared" si="1"/>
        <v>34740</v>
      </c>
      <c r="G23" s="296"/>
      <c r="H23" s="293"/>
      <c r="I23" s="293"/>
      <c r="J23" s="293"/>
      <c r="K23" s="297">
        <f t="shared" si="2"/>
        <v>0</v>
      </c>
      <c r="L23" s="295">
        <f t="shared" si="3"/>
        <v>0</v>
      </c>
      <c r="M23" s="280"/>
      <c r="N23" s="298"/>
      <c r="O23" s="280"/>
      <c r="P23" s="280"/>
      <c r="Q23" s="299">
        <f t="shared" si="4"/>
        <v>0</v>
      </c>
      <c r="R23" s="305">
        <f t="shared" si="5"/>
        <v>0</v>
      </c>
      <c r="S23" s="306">
        <f>136+49</f>
        <v>185</v>
      </c>
      <c r="T23" s="301">
        <f t="shared" si="6"/>
        <v>8</v>
      </c>
      <c r="U23" s="302">
        <f t="shared" si="7"/>
        <v>1440</v>
      </c>
      <c r="V23" s="295">
        <f t="shared" si="8"/>
        <v>33300</v>
      </c>
      <c r="W23" s="283"/>
      <c r="X23" s="283"/>
      <c r="Y23" s="283"/>
      <c r="Z23" s="283"/>
    </row>
    <row r="24" ht="15.75" customHeight="1">
      <c r="A24" s="293" t="str">
        <f>IFERROR(__xludf.DUMMYFUNCTION("""COMPUTED_VALUE"""),"CX")</f>
        <v>CX</v>
      </c>
      <c r="B24" s="293" t="str">
        <f>IFERROR(__xludf.DUMMYFUNCTION("""COMPUTED_VALUE"""),"Canxi")</f>
        <v>Canxi</v>
      </c>
      <c r="C24" s="293" t="str">
        <f>IFERROR(__xludf.DUMMYFUNCTION("""COMPUTED_VALUE"""),"Viên")</f>
        <v>Viên</v>
      </c>
      <c r="D24" s="293">
        <f>IFERROR(__xludf.DUMMYFUNCTION("""COMPUTED_VALUE"""),230.0)</f>
        <v>230</v>
      </c>
      <c r="E24" s="308">
        <v>13.0</v>
      </c>
      <c r="F24" s="295">
        <f t="shared" si="1"/>
        <v>2990</v>
      </c>
      <c r="G24" s="296"/>
      <c r="H24" s="293"/>
      <c r="I24" s="293"/>
      <c r="J24" s="293"/>
      <c r="K24" s="297">
        <f t="shared" si="2"/>
        <v>0</v>
      </c>
      <c r="L24" s="295">
        <f t="shared" si="3"/>
        <v>0</v>
      </c>
      <c r="M24" s="280"/>
      <c r="N24" s="304"/>
      <c r="O24" s="280"/>
      <c r="P24" s="280"/>
      <c r="Q24" s="299">
        <f t="shared" si="4"/>
        <v>0</v>
      </c>
      <c r="R24" s="305">
        <f t="shared" si="5"/>
        <v>0</v>
      </c>
      <c r="S24" s="306">
        <v>6.0</v>
      </c>
      <c r="T24" s="301">
        <f t="shared" si="6"/>
        <v>7</v>
      </c>
      <c r="U24" s="302">
        <f t="shared" si="7"/>
        <v>1610</v>
      </c>
      <c r="V24" s="295">
        <f t="shared" si="8"/>
        <v>1380</v>
      </c>
      <c r="W24" s="283"/>
      <c r="X24" s="283"/>
      <c r="Y24" s="283"/>
      <c r="Z24" s="283"/>
    </row>
    <row r="25" ht="15.75" customHeight="1">
      <c r="A25" s="293" t="str">
        <f>IFERROR(__xludf.DUMMYFUNCTION("""COMPUTED_VALUE"""),"CXT")</f>
        <v>CXT</v>
      </c>
      <c r="B25" s="293" t="str">
        <f>IFERROR(__xludf.DUMMYFUNCTION("""COMPUTED_VALUE"""),"Canxi tiêm")</f>
        <v>Canxi tiêm</v>
      </c>
      <c r="C25" s="293" t="str">
        <f>IFERROR(__xludf.DUMMYFUNCTION("""COMPUTED_VALUE"""),"mL")</f>
        <v>mL</v>
      </c>
      <c r="D25" s="293">
        <f>IFERROR(__xludf.DUMMYFUNCTION("""COMPUTED_VALUE"""),425.0)</f>
        <v>425</v>
      </c>
      <c r="E25" s="309">
        <v>25.0</v>
      </c>
      <c r="F25" s="295">
        <f t="shared" si="1"/>
        <v>10625</v>
      </c>
      <c r="G25" s="296"/>
      <c r="H25" s="293"/>
      <c r="I25" s="293"/>
      <c r="J25" s="293"/>
      <c r="K25" s="297">
        <f t="shared" si="2"/>
        <v>0</v>
      </c>
      <c r="L25" s="295">
        <f t="shared" si="3"/>
        <v>0</v>
      </c>
      <c r="M25" s="306"/>
      <c r="N25" s="298"/>
      <c r="O25" s="280"/>
      <c r="P25" s="280"/>
      <c r="Q25" s="299">
        <f t="shared" si="4"/>
        <v>0</v>
      </c>
      <c r="R25" s="305">
        <f t="shared" si="5"/>
        <v>0</v>
      </c>
      <c r="S25" s="306">
        <v>13.0</v>
      </c>
      <c r="T25" s="301">
        <f t="shared" si="6"/>
        <v>12</v>
      </c>
      <c r="U25" s="302">
        <f t="shared" si="7"/>
        <v>5100</v>
      </c>
      <c r="V25" s="295">
        <f t="shared" si="8"/>
        <v>5525</v>
      </c>
      <c r="W25" s="283"/>
      <c r="X25" s="283"/>
      <c r="Y25" s="283"/>
      <c r="Z25" s="283"/>
    </row>
    <row r="26" ht="15.75" customHeight="1">
      <c r="A26" s="293" t="str">
        <f>IFERROR(__xludf.DUMMYFUNCTION("""COMPUTED_VALUE"""),"CSTAN")</f>
        <v>CSTAN</v>
      </c>
      <c r="B26" s="293" t="str">
        <f>IFERROR(__xludf.DUMMYFUNCTION("""COMPUTED_VALUE"""),"CasTran an thần")</f>
        <v>CasTran an thần</v>
      </c>
      <c r="C26" s="293" t="str">
        <f>IFERROR(__xludf.DUMMYFUNCTION("""COMPUTED_VALUE"""),"mL")</f>
        <v>mL</v>
      </c>
      <c r="D26" s="293">
        <f>IFERROR(__xludf.DUMMYFUNCTION("""COMPUTED_VALUE"""),1200.0)</f>
        <v>1200</v>
      </c>
      <c r="E26" s="308">
        <v>0.0</v>
      </c>
      <c r="F26" s="295">
        <f t="shared" si="1"/>
        <v>0</v>
      </c>
      <c r="G26" s="296"/>
      <c r="H26" s="293"/>
      <c r="I26" s="296"/>
      <c r="J26" s="293"/>
      <c r="K26" s="297">
        <f t="shared" si="2"/>
        <v>0</v>
      </c>
      <c r="L26" s="295">
        <f t="shared" si="3"/>
        <v>0</v>
      </c>
      <c r="M26" s="280"/>
      <c r="N26" s="298"/>
      <c r="O26" s="280"/>
      <c r="P26" s="280"/>
      <c r="Q26" s="299">
        <f t="shared" si="4"/>
        <v>0</v>
      </c>
      <c r="R26" s="305">
        <f t="shared" si="5"/>
        <v>0</v>
      </c>
      <c r="S26" s="306">
        <v>0.0</v>
      </c>
      <c r="T26" s="301">
        <f t="shared" si="6"/>
        <v>0</v>
      </c>
      <c r="U26" s="302">
        <f t="shared" si="7"/>
        <v>0</v>
      </c>
      <c r="V26" s="295">
        <f t="shared" si="8"/>
        <v>0</v>
      </c>
      <c r="W26" s="283"/>
      <c r="X26" s="283"/>
      <c r="Y26" s="283"/>
      <c r="Z26" s="283"/>
    </row>
    <row r="27" ht="15.75" customHeight="1">
      <c r="A27" s="293" t="str">
        <f>IFERROR(__xludf.DUMMYFUNCTION("""COMPUTED_VALUE"""),"CTZ")</f>
        <v>CTZ</v>
      </c>
      <c r="B27" s="293" t="str">
        <f>IFERROR(__xludf.DUMMYFUNCTION("""COMPUTED_VALUE"""),"Ceftriazone_Cefuroxim (KS pha tiêm)")</f>
        <v>Ceftriazone_Cefuroxim (KS pha tiêm)</v>
      </c>
      <c r="C27" s="293" t="str">
        <f>IFERROR(__xludf.DUMMYFUNCTION("""COMPUTED_VALUE"""),"Gam")</f>
        <v>Gam</v>
      </c>
      <c r="D27" s="293">
        <f>IFERROR(__xludf.DUMMYFUNCTION("""COMPUTED_VALUE"""),20000.0)</f>
        <v>20000</v>
      </c>
      <c r="E27" s="310">
        <v>0.0</v>
      </c>
      <c r="F27" s="295">
        <f t="shared" si="1"/>
        <v>0</v>
      </c>
      <c r="G27" s="296"/>
      <c r="H27" s="293"/>
      <c r="I27" s="293"/>
      <c r="J27" s="293"/>
      <c r="K27" s="297">
        <f t="shared" si="2"/>
        <v>0</v>
      </c>
      <c r="L27" s="295">
        <f t="shared" si="3"/>
        <v>0</v>
      </c>
      <c r="M27" s="280"/>
      <c r="N27" s="304"/>
      <c r="O27" s="280"/>
      <c r="P27" s="306"/>
      <c r="Q27" s="299">
        <f t="shared" si="4"/>
        <v>0</v>
      </c>
      <c r="R27" s="305">
        <f t="shared" si="5"/>
        <v>0</v>
      </c>
      <c r="S27" s="306">
        <v>0.0</v>
      </c>
      <c r="T27" s="301">
        <f t="shared" si="6"/>
        <v>0</v>
      </c>
      <c r="U27" s="302">
        <f t="shared" si="7"/>
        <v>0</v>
      </c>
      <c r="V27" s="295">
        <f t="shared" si="8"/>
        <v>0</v>
      </c>
      <c r="W27" s="283"/>
      <c r="X27" s="283"/>
      <c r="Y27" s="283"/>
      <c r="Z27" s="283"/>
    </row>
    <row r="28" ht="15.75" customHeight="1">
      <c r="A28" s="293" t="str">
        <f>IFERROR(__xludf.DUMMYFUNCTION("""COMPUTED_VALUE"""),"CF500")</f>
        <v>CF500</v>
      </c>
      <c r="B28" s="293" t="str">
        <f>IFERROR(__xludf.DUMMYFUNCTION("""COMPUTED_VALUE"""),"Cephalexin 500")</f>
        <v>Cephalexin 500</v>
      </c>
      <c r="C28" s="293" t="str">
        <f>IFERROR(__xludf.DUMMYFUNCTION("""COMPUTED_VALUE"""),"Viên")</f>
        <v>Viên</v>
      </c>
      <c r="D28" s="293">
        <f>IFERROR(__xludf.DUMMYFUNCTION("""COMPUTED_VALUE"""),1200.0)</f>
        <v>1200</v>
      </c>
      <c r="E28" s="308">
        <v>184.0</v>
      </c>
      <c r="F28" s="295">
        <f t="shared" si="1"/>
        <v>220800</v>
      </c>
      <c r="G28" s="296"/>
      <c r="H28" s="296">
        <v>100.0</v>
      </c>
      <c r="I28" s="296"/>
      <c r="J28" s="296"/>
      <c r="K28" s="297">
        <f t="shared" si="2"/>
        <v>100</v>
      </c>
      <c r="L28" s="295">
        <f t="shared" si="3"/>
        <v>120000</v>
      </c>
      <c r="M28" s="280"/>
      <c r="N28" s="311"/>
      <c r="O28" s="280"/>
      <c r="P28" s="280"/>
      <c r="Q28" s="299">
        <f t="shared" si="4"/>
        <v>0</v>
      </c>
      <c r="R28" s="305">
        <f t="shared" si="5"/>
        <v>0</v>
      </c>
      <c r="S28" s="306">
        <v>100.0</v>
      </c>
      <c r="T28" s="301">
        <f t="shared" si="6"/>
        <v>184</v>
      </c>
      <c r="U28" s="302">
        <f t="shared" si="7"/>
        <v>220800</v>
      </c>
      <c r="V28" s="295">
        <f t="shared" si="8"/>
        <v>120000</v>
      </c>
      <c r="W28" s="283"/>
      <c r="X28" s="283"/>
      <c r="Y28" s="283"/>
      <c r="Z28" s="283"/>
    </row>
    <row r="29" ht="15.75" customHeight="1">
      <c r="A29" s="293" t="str">
        <f>IFERROR(__xludf.DUMMYFUNCTION("""COMPUTED_VALUE"""),"CTRZ")</f>
        <v>CTRZ</v>
      </c>
      <c r="B29" s="293" t="str">
        <f>IFERROR(__xludf.DUMMYFUNCTION("""COMPUTED_VALUE"""),"Cetirizin")</f>
        <v>Cetirizin</v>
      </c>
      <c r="C29" s="293" t="str">
        <f>IFERROR(__xludf.DUMMYFUNCTION("""COMPUTED_VALUE"""),"Viên")</f>
        <v>Viên</v>
      </c>
      <c r="D29" s="293">
        <f>IFERROR(__xludf.DUMMYFUNCTION("""COMPUTED_VALUE"""),200.0)</f>
        <v>200</v>
      </c>
      <c r="E29" s="309">
        <v>85.0</v>
      </c>
      <c r="F29" s="295">
        <f t="shared" si="1"/>
        <v>17000</v>
      </c>
      <c r="G29" s="296"/>
      <c r="H29" s="296"/>
      <c r="I29" s="293"/>
      <c r="J29" s="296"/>
      <c r="K29" s="297">
        <f t="shared" si="2"/>
        <v>0</v>
      </c>
      <c r="L29" s="295">
        <f t="shared" si="3"/>
        <v>0</v>
      </c>
      <c r="M29" s="280"/>
      <c r="N29" s="307"/>
      <c r="O29" s="280"/>
      <c r="P29" s="280"/>
      <c r="Q29" s="299">
        <f t="shared" si="4"/>
        <v>0</v>
      </c>
      <c r="R29" s="305">
        <f t="shared" si="5"/>
        <v>0</v>
      </c>
      <c r="S29" s="306">
        <v>85.0</v>
      </c>
      <c r="T29" s="301">
        <f t="shared" si="6"/>
        <v>0</v>
      </c>
      <c r="U29" s="302">
        <f t="shared" si="7"/>
        <v>0</v>
      </c>
      <c r="V29" s="295">
        <f t="shared" si="8"/>
        <v>17000</v>
      </c>
      <c r="W29" s="283"/>
      <c r="X29" s="283"/>
      <c r="Y29" s="283"/>
      <c r="Z29" s="283"/>
    </row>
    <row r="30" ht="15.75" customHeight="1">
      <c r="A30" s="293" t="str">
        <f>IFERROR(__xludf.DUMMYFUNCTION("""COMPUTED_VALUE"""),"CDTT")</f>
        <v>CDTT</v>
      </c>
      <c r="B30" s="293" t="str">
        <f>IFERROR(__xludf.DUMMYFUNCTION("""COMPUTED_VALUE"""),"Chai đựng thuốc tắm")</f>
        <v>Chai đựng thuốc tắm</v>
      </c>
      <c r="C30" s="293" t="str">
        <f>IFERROR(__xludf.DUMMYFUNCTION("""COMPUTED_VALUE"""),"Chai")</f>
        <v>Chai</v>
      </c>
      <c r="D30" s="293">
        <f>IFERROR(__xludf.DUMMYFUNCTION("""COMPUTED_VALUE"""),1200.0)</f>
        <v>1200</v>
      </c>
      <c r="E30" s="308">
        <v>29.0</v>
      </c>
      <c r="F30" s="295">
        <f t="shared" si="1"/>
        <v>34800</v>
      </c>
      <c r="G30" s="296"/>
      <c r="H30" s="296"/>
      <c r="I30" s="293"/>
      <c r="J30" s="293"/>
      <c r="K30" s="297">
        <f t="shared" si="2"/>
        <v>0</v>
      </c>
      <c r="L30" s="295">
        <f t="shared" si="3"/>
        <v>0</v>
      </c>
      <c r="M30" s="306"/>
      <c r="N30" s="298"/>
      <c r="O30" s="280"/>
      <c r="P30" s="280"/>
      <c r="Q30" s="299">
        <f t="shared" si="4"/>
        <v>0</v>
      </c>
      <c r="R30" s="305">
        <f t="shared" si="5"/>
        <v>0</v>
      </c>
      <c r="S30" s="306">
        <v>15.0</v>
      </c>
      <c r="T30" s="301">
        <f t="shared" si="6"/>
        <v>14</v>
      </c>
      <c r="U30" s="302">
        <f t="shared" si="7"/>
        <v>16800</v>
      </c>
      <c r="V30" s="295">
        <f t="shared" si="8"/>
        <v>18000</v>
      </c>
      <c r="W30" s="283"/>
      <c r="X30" s="283"/>
      <c r="Y30" s="283"/>
      <c r="Z30" s="283"/>
    </row>
    <row r="31" ht="15.75" customHeight="1">
      <c r="A31" s="293" t="str">
        <f>IFERROR(__xludf.DUMMYFUNCTION("""COMPUTED_VALUE"""),"CKCG2/0")</f>
        <v>CKCG2/0</v>
      </c>
      <c r="B31" s="293" t="str">
        <f>IFERROR(__xludf.DUMMYFUNCTION("""COMPUTED_VALUE"""),"Chỉ catgut 2/0")</f>
        <v>Chỉ catgut 2/0</v>
      </c>
      <c r="C31" s="293" t="str">
        <f>IFERROR(__xludf.DUMMYFUNCTION("""COMPUTED_VALUE"""),"Sợi")</f>
        <v>Sợi</v>
      </c>
      <c r="D31" s="293">
        <f>IFERROR(__xludf.DUMMYFUNCTION("""COMPUTED_VALUE"""),10000.0)</f>
        <v>10000</v>
      </c>
      <c r="E31" s="309">
        <v>0.0</v>
      </c>
      <c r="F31" s="295">
        <f t="shared" si="1"/>
        <v>0</v>
      </c>
      <c r="G31" s="296"/>
      <c r="H31" s="293"/>
      <c r="I31" s="293"/>
      <c r="J31" s="293"/>
      <c r="K31" s="297">
        <f t="shared" si="2"/>
        <v>0</v>
      </c>
      <c r="L31" s="295">
        <f t="shared" si="3"/>
        <v>0</v>
      </c>
      <c r="M31" s="280"/>
      <c r="N31" s="304"/>
      <c r="O31" s="280"/>
      <c r="P31" s="280"/>
      <c r="Q31" s="299">
        <f t="shared" si="4"/>
        <v>0</v>
      </c>
      <c r="R31" s="305">
        <f t="shared" si="5"/>
        <v>0</v>
      </c>
      <c r="S31" s="306">
        <v>0.0</v>
      </c>
      <c r="T31" s="301">
        <f t="shared" si="6"/>
        <v>0</v>
      </c>
      <c r="U31" s="302">
        <f t="shared" si="7"/>
        <v>0</v>
      </c>
      <c r="V31" s="295">
        <f t="shared" si="8"/>
        <v>0</v>
      </c>
      <c r="W31" s="283"/>
      <c r="X31" s="283"/>
      <c r="Y31" s="283"/>
      <c r="Z31" s="283"/>
    </row>
    <row r="32" ht="15.75" customHeight="1">
      <c r="A32" s="293" t="str">
        <f>IFERROR(__xludf.DUMMYFUNCTION("""COMPUTED_VALUE"""),"CKCG3/0")</f>
        <v>CKCG3/0</v>
      </c>
      <c r="B32" s="293" t="str">
        <f>IFERROR(__xludf.DUMMYFUNCTION("""COMPUTED_VALUE"""),"Chỉ catgut 3/0")</f>
        <v>Chỉ catgut 3/0</v>
      </c>
      <c r="C32" s="293" t="str">
        <f>IFERROR(__xludf.DUMMYFUNCTION("""COMPUTED_VALUE"""),"Sợi")</f>
        <v>Sợi</v>
      </c>
      <c r="D32" s="293">
        <f>IFERROR(__xludf.DUMMYFUNCTION("""COMPUTED_VALUE"""),10000.0)</f>
        <v>10000</v>
      </c>
      <c r="E32" s="308">
        <v>0.0</v>
      </c>
      <c r="F32" s="295">
        <f t="shared" si="1"/>
        <v>0</v>
      </c>
      <c r="G32" s="296"/>
      <c r="H32" s="293"/>
      <c r="I32" s="293"/>
      <c r="J32" s="293"/>
      <c r="K32" s="297">
        <f t="shared" si="2"/>
        <v>0</v>
      </c>
      <c r="L32" s="295">
        <f t="shared" si="3"/>
        <v>0</v>
      </c>
      <c r="M32" s="280"/>
      <c r="N32" s="298"/>
      <c r="O32" s="280"/>
      <c r="P32" s="280"/>
      <c r="Q32" s="299">
        <f t="shared" si="4"/>
        <v>0</v>
      </c>
      <c r="R32" s="305">
        <f t="shared" si="5"/>
        <v>0</v>
      </c>
      <c r="S32" s="306">
        <v>0.0</v>
      </c>
      <c r="T32" s="301">
        <f t="shared" si="6"/>
        <v>0</v>
      </c>
      <c r="U32" s="302">
        <f t="shared" si="7"/>
        <v>0</v>
      </c>
      <c r="V32" s="295">
        <f t="shared" si="8"/>
        <v>0</v>
      </c>
      <c r="W32" s="283"/>
      <c r="X32" s="283"/>
      <c r="Y32" s="283"/>
      <c r="Z32" s="283"/>
    </row>
    <row r="33" ht="15.75" customHeight="1">
      <c r="A33" s="293" t="str">
        <f>IFERROR(__xludf.DUMMYFUNCTION("""COMPUTED_VALUE"""),"CKCG4/0")</f>
        <v>CKCG4/0</v>
      </c>
      <c r="B33" s="293" t="str">
        <f>IFERROR(__xludf.DUMMYFUNCTION("""COMPUTED_VALUE"""),"Chỉ catgut 4/0")</f>
        <v>Chỉ catgut 4/0</v>
      </c>
      <c r="C33" s="293" t="str">
        <f>IFERROR(__xludf.DUMMYFUNCTION("""COMPUTED_VALUE"""),"Sợi")</f>
        <v>Sợi</v>
      </c>
      <c r="D33" s="293">
        <f>IFERROR(__xludf.DUMMYFUNCTION("""COMPUTED_VALUE"""),10000.0)</f>
        <v>10000</v>
      </c>
      <c r="E33" s="309">
        <v>0.0</v>
      </c>
      <c r="F33" s="295">
        <f t="shared" si="1"/>
        <v>0</v>
      </c>
      <c r="G33" s="306"/>
      <c r="H33" s="280"/>
      <c r="I33" s="280"/>
      <c r="J33" s="280"/>
      <c r="K33" s="297">
        <f t="shared" si="2"/>
        <v>0</v>
      </c>
      <c r="L33" s="295">
        <f t="shared" si="3"/>
        <v>0</v>
      </c>
      <c r="M33" s="280"/>
      <c r="N33" s="304"/>
      <c r="O33" s="280"/>
      <c r="P33" s="280"/>
      <c r="Q33" s="299">
        <f t="shared" si="4"/>
        <v>0</v>
      </c>
      <c r="R33" s="305">
        <f t="shared" si="5"/>
        <v>0</v>
      </c>
      <c r="S33" s="306">
        <v>0.0</v>
      </c>
      <c r="T33" s="301">
        <f t="shared" si="6"/>
        <v>0</v>
      </c>
      <c r="U33" s="302">
        <f t="shared" si="7"/>
        <v>0</v>
      </c>
      <c r="V33" s="295">
        <f t="shared" si="8"/>
        <v>0</v>
      </c>
      <c r="W33" s="283"/>
      <c r="X33" s="283"/>
      <c r="Y33" s="283"/>
      <c r="Z33" s="283"/>
    </row>
    <row r="34" ht="15.75" customHeight="1">
      <c r="A34" s="293" t="str">
        <f>IFERROR(__xludf.DUMMYFUNCTION("""COMPUTED_VALUE"""),"CKCGKK")</f>
        <v>CKCGKK</v>
      </c>
      <c r="B34" s="293" t="str">
        <f>IFERROR(__xludf.DUMMYFUNCTION("""COMPUTED_VALUE"""),"Chỉ catgut không kim")</f>
        <v>Chỉ catgut không kim</v>
      </c>
      <c r="C34" s="293" t="str">
        <f>IFERROR(__xludf.DUMMYFUNCTION("""COMPUTED_VALUE"""),"Sợi")</f>
        <v>Sợi</v>
      </c>
      <c r="D34" s="293">
        <f>IFERROR(__xludf.DUMMYFUNCTION("""COMPUTED_VALUE"""),2000.0)</f>
        <v>2000</v>
      </c>
      <c r="E34" s="308">
        <v>0.0</v>
      </c>
      <c r="F34" s="295">
        <f t="shared" si="1"/>
        <v>0</v>
      </c>
      <c r="G34" s="296"/>
      <c r="H34" s="293"/>
      <c r="I34" s="293"/>
      <c r="J34" s="293"/>
      <c r="K34" s="297">
        <f t="shared" si="2"/>
        <v>0</v>
      </c>
      <c r="L34" s="295">
        <f t="shared" si="3"/>
        <v>0</v>
      </c>
      <c r="M34" s="280"/>
      <c r="N34" s="298"/>
      <c r="O34" s="280"/>
      <c r="P34" s="280"/>
      <c r="Q34" s="299">
        <f t="shared" si="4"/>
        <v>0</v>
      </c>
      <c r="R34" s="305">
        <f t="shared" si="5"/>
        <v>0</v>
      </c>
      <c r="S34" s="306">
        <v>0.0</v>
      </c>
      <c r="T34" s="301">
        <f t="shared" si="6"/>
        <v>0</v>
      </c>
      <c r="U34" s="302">
        <f t="shared" si="7"/>
        <v>0</v>
      </c>
      <c r="V34" s="295">
        <f t="shared" si="8"/>
        <v>0</v>
      </c>
      <c r="W34" s="283"/>
      <c r="X34" s="283"/>
      <c r="Y34" s="283"/>
      <c r="Z34" s="283"/>
    </row>
    <row r="35" ht="15.75" customHeight="1">
      <c r="A35" s="293" t="str">
        <f>IFERROR(__xludf.DUMMYFUNCTION("""COMPUTED_VALUE"""),"CKKTD")</f>
        <v>CKKTD</v>
      </c>
      <c r="B35" s="293" t="str">
        <f>IFERROR(__xludf.DUMMYFUNCTION("""COMPUTED_VALUE"""),"Chỉ khâu không tiêu dù")</f>
        <v>Chỉ khâu không tiêu dù</v>
      </c>
      <c r="C35" s="293" t="str">
        <f>IFERROR(__xludf.DUMMYFUNCTION("""COMPUTED_VALUE"""),"Mét")</f>
        <v>Mét</v>
      </c>
      <c r="D35" s="293">
        <f>IFERROR(__xludf.DUMMYFUNCTION("""COMPUTED_VALUE"""),600.0)</f>
        <v>600</v>
      </c>
      <c r="E35" s="309">
        <v>0.0</v>
      </c>
      <c r="F35" s="295">
        <f t="shared" si="1"/>
        <v>0</v>
      </c>
      <c r="G35" s="296"/>
      <c r="H35" s="293"/>
      <c r="I35" s="293"/>
      <c r="J35" s="293"/>
      <c r="K35" s="297">
        <f t="shared" si="2"/>
        <v>0</v>
      </c>
      <c r="L35" s="295">
        <f t="shared" si="3"/>
        <v>0</v>
      </c>
      <c r="M35" s="280"/>
      <c r="N35" s="304"/>
      <c r="O35" s="280"/>
      <c r="P35" s="280"/>
      <c r="Q35" s="299">
        <f t="shared" si="4"/>
        <v>0</v>
      </c>
      <c r="R35" s="305">
        <f t="shared" si="5"/>
        <v>0</v>
      </c>
      <c r="S35" s="306">
        <v>0.0</v>
      </c>
      <c r="T35" s="301">
        <f t="shared" si="6"/>
        <v>0</v>
      </c>
      <c r="U35" s="302">
        <f t="shared" si="7"/>
        <v>0</v>
      </c>
      <c r="V35" s="295">
        <f t="shared" si="8"/>
        <v>0</v>
      </c>
      <c r="W35" s="283"/>
      <c r="X35" s="283"/>
      <c r="Y35" s="283"/>
      <c r="Z35" s="283"/>
    </row>
    <row r="36" ht="15.75" customHeight="1">
      <c r="A36" s="293" t="str">
        <f>IFERROR(__xludf.DUMMYFUNCTION("""COMPUTED_VALUE"""),"VCRKK3/0")</f>
        <v>VCRKK3/0</v>
      </c>
      <c r="B36" s="293" t="str">
        <f>IFERROR(__xludf.DUMMYFUNCTION("""COMPUTED_VALUE"""),"Chỉ khâu Vicryl không kim 3/0")</f>
        <v>Chỉ khâu Vicryl không kim 3/0</v>
      </c>
      <c r="C36" s="293" t="str">
        <f>IFERROR(__xludf.DUMMYFUNCTION("""COMPUTED_VALUE"""),"Sợi")</f>
        <v>Sợi</v>
      </c>
      <c r="D36" s="293">
        <f>IFERROR(__xludf.DUMMYFUNCTION("""COMPUTED_VALUE"""),4875.0)</f>
        <v>4875</v>
      </c>
      <c r="E36" s="308">
        <v>0.0</v>
      </c>
      <c r="F36" s="295">
        <f t="shared" si="1"/>
        <v>0</v>
      </c>
      <c r="G36" s="296"/>
      <c r="H36" s="293"/>
      <c r="I36" s="293"/>
      <c r="J36" s="293"/>
      <c r="K36" s="297">
        <f t="shared" si="2"/>
        <v>0</v>
      </c>
      <c r="L36" s="295">
        <f t="shared" si="3"/>
        <v>0</v>
      </c>
      <c r="M36" s="280"/>
      <c r="N36" s="298"/>
      <c r="O36" s="280"/>
      <c r="P36" s="280"/>
      <c r="Q36" s="299">
        <f t="shared" si="4"/>
        <v>0</v>
      </c>
      <c r="R36" s="305">
        <f t="shared" si="5"/>
        <v>0</v>
      </c>
      <c r="S36" s="306">
        <v>0.0</v>
      </c>
      <c r="T36" s="301">
        <f t="shared" si="6"/>
        <v>0</v>
      </c>
      <c r="U36" s="302">
        <f t="shared" si="7"/>
        <v>0</v>
      </c>
      <c r="V36" s="295">
        <f t="shared" si="8"/>
        <v>0</v>
      </c>
      <c r="W36" s="283"/>
      <c r="X36" s="283"/>
      <c r="Y36" s="283"/>
      <c r="Z36" s="283"/>
    </row>
    <row r="37" ht="15.75" customHeight="1">
      <c r="A37" s="293" t="str">
        <f>IFERROR(__xludf.DUMMYFUNCTION("""COMPUTED_VALUE"""),"CKKT3/0KK")</f>
        <v>CKKT3/0KK</v>
      </c>
      <c r="B37" s="293" t="str">
        <f>IFERROR(__xludf.DUMMYFUNCTION("""COMPUTED_VALUE"""),"Chỉ không tiêu 3/0  không kim")</f>
        <v>Chỉ không tiêu 3/0  không kim</v>
      </c>
      <c r="C37" s="293" t="str">
        <f>IFERROR(__xludf.DUMMYFUNCTION("""COMPUTED_VALUE"""),"Sợi")</f>
        <v>Sợi</v>
      </c>
      <c r="D37" s="293">
        <f>IFERROR(__xludf.DUMMYFUNCTION("""COMPUTED_VALUE"""),2000.0)</f>
        <v>2000</v>
      </c>
      <c r="E37" s="309">
        <v>0.0</v>
      </c>
      <c r="F37" s="295">
        <f t="shared" si="1"/>
        <v>0</v>
      </c>
      <c r="G37" s="296"/>
      <c r="H37" s="293"/>
      <c r="I37" s="293"/>
      <c r="J37" s="296"/>
      <c r="K37" s="297">
        <f t="shared" si="2"/>
        <v>0</v>
      </c>
      <c r="L37" s="295">
        <f t="shared" si="3"/>
        <v>0</v>
      </c>
      <c r="M37" s="306"/>
      <c r="N37" s="304"/>
      <c r="O37" s="280"/>
      <c r="P37" s="280"/>
      <c r="Q37" s="299">
        <f t="shared" si="4"/>
        <v>0</v>
      </c>
      <c r="R37" s="305">
        <f t="shared" si="5"/>
        <v>0</v>
      </c>
      <c r="S37" s="306">
        <v>0.0</v>
      </c>
      <c r="T37" s="301">
        <f t="shared" si="6"/>
        <v>0</v>
      </c>
      <c r="U37" s="302">
        <f t="shared" si="7"/>
        <v>0</v>
      </c>
      <c r="V37" s="295">
        <f t="shared" si="8"/>
        <v>0</v>
      </c>
      <c r="W37" s="283"/>
      <c r="X37" s="283"/>
      <c r="Y37" s="283"/>
      <c r="Z37" s="283"/>
    </row>
    <row r="38" ht="15.75" customHeight="1">
      <c r="A38" s="293" t="str">
        <f>IFERROR(__xludf.DUMMYFUNCTION("""COMPUTED_VALUE"""),"CKNL10/0")</f>
        <v>CKNL10/0</v>
      </c>
      <c r="B38" s="293" t="str">
        <f>IFERROR(__xludf.DUMMYFUNCTION("""COMPUTED_VALUE"""),"Chỉ nilon 10/0")</f>
        <v>Chỉ nilon 10/0</v>
      </c>
      <c r="C38" s="293" t="str">
        <f>IFERROR(__xludf.DUMMYFUNCTION("""COMPUTED_VALUE"""),"Sợi")</f>
        <v>Sợi</v>
      </c>
      <c r="D38" s="293">
        <f>IFERROR(__xludf.DUMMYFUNCTION("""COMPUTED_VALUE"""),60000.0)</f>
        <v>60000</v>
      </c>
      <c r="E38" s="308">
        <v>0.0</v>
      </c>
      <c r="F38" s="295">
        <f t="shared" si="1"/>
        <v>0</v>
      </c>
      <c r="G38" s="296"/>
      <c r="H38" s="293"/>
      <c r="I38" s="293"/>
      <c r="J38" s="293"/>
      <c r="K38" s="297">
        <f t="shared" si="2"/>
        <v>0</v>
      </c>
      <c r="L38" s="295">
        <f t="shared" si="3"/>
        <v>0</v>
      </c>
      <c r="M38" s="280"/>
      <c r="N38" s="298"/>
      <c r="O38" s="280"/>
      <c r="P38" s="280"/>
      <c r="Q38" s="299">
        <f t="shared" si="4"/>
        <v>0</v>
      </c>
      <c r="R38" s="305">
        <f t="shared" si="5"/>
        <v>0</v>
      </c>
      <c r="S38" s="306">
        <v>0.0</v>
      </c>
      <c r="T38" s="301">
        <f t="shared" si="6"/>
        <v>0</v>
      </c>
      <c r="U38" s="302">
        <f t="shared" si="7"/>
        <v>0</v>
      </c>
      <c r="V38" s="295">
        <f t="shared" si="8"/>
        <v>0</v>
      </c>
      <c r="W38" s="283"/>
      <c r="X38" s="283"/>
      <c r="Y38" s="283"/>
      <c r="Z38" s="283"/>
    </row>
    <row r="39" ht="15.75" customHeight="1">
      <c r="A39" s="293" t="str">
        <f>IFERROR(__xludf.DUMMYFUNCTION("""COMPUTED_VALUE"""),"CKNL2/0")</f>
        <v>CKNL2/0</v>
      </c>
      <c r="B39" s="293" t="str">
        <f>IFERROR(__xludf.DUMMYFUNCTION("""COMPUTED_VALUE"""),"Chỉ nilon 2/0")</f>
        <v>Chỉ nilon 2/0</v>
      </c>
      <c r="C39" s="293" t="str">
        <f>IFERROR(__xludf.DUMMYFUNCTION("""COMPUTED_VALUE"""),"Sợi")</f>
        <v>Sợi</v>
      </c>
      <c r="D39" s="293">
        <f>IFERROR(__xludf.DUMMYFUNCTION("""COMPUTED_VALUE"""),10000.0)</f>
        <v>10000</v>
      </c>
      <c r="E39" s="309">
        <v>6.0</v>
      </c>
      <c r="F39" s="295">
        <f t="shared" si="1"/>
        <v>60000</v>
      </c>
      <c r="G39" s="296"/>
      <c r="H39" s="296"/>
      <c r="I39" s="293"/>
      <c r="J39" s="293"/>
      <c r="K39" s="297">
        <f t="shared" si="2"/>
        <v>0</v>
      </c>
      <c r="L39" s="295">
        <f t="shared" si="3"/>
        <v>0</v>
      </c>
      <c r="M39" s="306"/>
      <c r="N39" s="304"/>
      <c r="O39" s="280"/>
      <c r="P39" s="280"/>
      <c r="Q39" s="299">
        <f t="shared" si="4"/>
        <v>0</v>
      </c>
      <c r="R39" s="305">
        <f t="shared" si="5"/>
        <v>0</v>
      </c>
      <c r="S39" s="306">
        <v>6.0</v>
      </c>
      <c r="T39" s="301">
        <f t="shared" si="6"/>
        <v>0</v>
      </c>
      <c r="U39" s="302">
        <f t="shared" si="7"/>
        <v>0</v>
      </c>
      <c r="V39" s="295">
        <f t="shared" si="8"/>
        <v>60000</v>
      </c>
      <c r="W39" s="283"/>
      <c r="X39" s="283"/>
      <c r="Y39" s="283"/>
      <c r="Z39" s="283"/>
    </row>
    <row r="40" ht="15.75" customHeight="1">
      <c r="A40" s="293" t="str">
        <f>IFERROR(__xludf.DUMMYFUNCTION("""COMPUTED_VALUE"""),"CKNL3/0")</f>
        <v>CKNL3/0</v>
      </c>
      <c r="B40" s="293" t="str">
        <f>IFERROR(__xludf.DUMMYFUNCTION("""COMPUTED_VALUE"""),"Chỉ nilon 3/0")</f>
        <v>Chỉ nilon 3/0</v>
      </c>
      <c r="C40" s="293" t="str">
        <f>IFERROR(__xludf.DUMMYFUNCTION("""COMPUTED_VALUE"""),"Sợi")</f>
        <v>Sợi</v>
      </c>
      <c r="D40" s="293">
        <f>IFERROR(__xludf.DUMMYFUNCTION("""COMPUTED_VALUE"""),10000.0)</f>
        <v>10000</v>
      </c>
      <c r="E40" s="308">
        <v>0.0</v>
      </c>
      <c r="F40" s="295">
        <f t="shared" si="1"/>
        <v>0</v>
      </c>
      <c r="G40" s="296"/>
      <c r="H40" s="296"/>
      <c r="I40" s="293"/>
      <c r="J40" s="293"/>
      <c r="K40" s="297">
        <f t="shared" si="2"/>
        <v>0</v>
      </c>
      <c r="L40" s="295">
        <f t="shared" si="3"/>
        <v>0</v>
      </c>
      <c r="M40" s="306"/>
      <c r="N40" s="298"/>
      <c r="O40" s="306"/>
      <c r="P40" s="280"/>
      <c r="Q40" s="299">
        <f t="shared" si="4"/>
        <v>0</v>
      </c>
      <c r="R40" s="305">
        <f t="shared" si="5"/>
        <v>0</v>
      </c>
      <c r="S40" s="306">
        <v>0.0</v>
      </c>
      <c r="T40" s="301">
        <f t="shared" si="6"/>
        <v>0</v>
      </c>
      <c r="U40" s="302">
        <f t="shared" si="7"/>
        <v>0</v>
      </c>
      <c r="V40" s="295">
        <f t="shared" si="8"/>
        <v>0</v>
      </c>
      <c r="W40" s="283"/>
      <c r="X40" s="283"/>
      <c r="Y40" s="283"/>
      <c r="Z40" s="283"/>
    </row>
    <row r="41" ht="15.75" customHeight="1">
      <c r="A41" s="293" t="str">
        <f>IFERROR(__xludf.DUMMYFUNCTION("""COMPUTED_VALUE"""),"CKNL4/0")</f>
        <v>CKNL4/0</v>
      </c>
      <c r="B41" s="293" t="str">
        <f>IFERROR(__xludf.DUMMYFUNCTION("""COMPUTED_VALUE"""),"Chỉ nilon 4/0")</f>
        <v>Chỉ nilon 4/0</v>
      </c>
      <c r="C41" s="293" t="str">
        <f>IFERROR(__xludf.DUMMYFUNCTION("""COMPUTED_VALUE"""),"Sợi")</f>
        <v>Sợi</v>
      </c>
      <c r="D41" s="293">
        <f>IFERROR(__xludf.DUMMYFUNCTION("""COMPUTED_VALUE"""),8333.0)</f>
        <v>8333</v>
      </c>
      <c r="E41" s="309">
        <v>0.0</v>
      </c>
      <c r="F41" s="295">
        <f t="shared" si="1"/>
        <v>0</v>
      </c>
      <c r="G41" s="296"/>
      <c r="H41" s="293"/>
      <c r="I41" s="293"/>
      <c r="J41" s="296"/>
      <c r="K41" s="297">
        <f t="shared" si="2"/>
        <v>0</v>
      </c>
      <c r="L41" s="295">
        <f t="shared" si="3"/>
        <v>0</v>
      </c>
      <c r="M41" s="280"/>
      <c r="N41" s="304"/>
      <c r="O41" s="280"/>
      <c r="P41" s="280"/>
      <c r="Q41" s="299">
        <f t="shared" si="4"/>
        <v>0</v>
      </c>
      <c r="R41" s="305">
        <f t="shared" si="5"/>
        <v>0</v>
      </c>
      <c r="S41" s="306">
        <v>0.0</v>
      </c>
      <c r="T41" s="301">
        <f t="shared" si="6"/>
        <v>0</v>
      </c>
      <c r="U41" s="302">
        <f t="shared" si="7"/>
        <v>0</v>
      </c>
      <c r="V41" s="295">
        <f t="shared" si="8"/>
        <v>0</v>
      </c>
      <c r="W41" s="283"/>
      <c r="X41" s="283"/>
      <c r="Y41" s="283"/>
      <c r="Z41" s="283"/>
    </row>
    <row r="42" ht="15.75" customHeight="1">
      <c r="A42" s="293" t="str">
        <f>IFERROR(__xludf.DUMMYFUNCTION("""COMPUTED_VALUE"""),"CKNL5/0")</f>
        <v>CKNL5/0</v>
      </c>
      <c r="B42" s="293" t="str">
        <f>IFERROR(__xludf.DUMMYFUNCTION("""COMPUTED_VALUE"""),"Chỉ nilon 5/0")</f>
        <v>Chỉ nilon 5/0</v>
      </c>
      <c r="C42" s="293" t="str">
        <f>IFERROR(__xludf.DUMMYFUNCTION("""COMPUTED_VALUE"""),"Sợi")</f>
        <v>Sợi</v>
      </c>
      <c r="D42" s="293">
        <f>IFERROR(__xludf.DUMMYFUNCTION("""COMPUTED_VALUE"""),60000.0)</f>
        <v>60000</v>
      </c>
      <c r="E42" s="308">
        <v>0.0</v>
      </c>
      <c r="F42" s="295">
        <f t="shared" si="1"/>
        <v>0</v>
      </c>
      <c r="G42" s="296"/>
      <c r="H42" s="293"/>
      <c r="I42" s="293"/>
      <c r="J42" s="296"/>
      <c r="K42" s="297">
        <f t="shared" si="2"/>
        <v>0</v>
      </c>
      <c r="L42" s="295">
        <f t="shared" si="3"/>
        <v>0</v>
      </c>
      <c r="M42" s="280"/>
      <c r="N42" s="298"/>
      <c r="O42" s="306"/>
      <c r="P42" s="280"/>
      <c r="Q42" s="299">
        <f t="shared" si="4"/>
        <v>0</v>
      </c>
      <c r="R42" s="305">
        <f t="shared" si="5"/>
        <v>0</v>
      </c>
      <c r="S42" s="306">
        <v>0.0</v>
      </c>
      <c r="T42" s="301">
        <f t="shared" si="6"/>
        <v>0</v>
      </c>
      <c r="U42" s="302">
        <f t="shared" si="7"/>
        <v>0</v>
      </c>
      <c r="V42" s="295">
        <f t="shared" si="8"/>
        <v>0</v>
      </c>
      <c r="W42" s="283"/>
      <c r="X42" s="283"/>
      <c r="Y42" s="283"/>
      <c r="Z42" s="283"/>
    </row>
    <row r="43" ht="15.75" customHeight="1">
      <c r="A43" s="293" t="str">
        <f>IFERROR(__xludf.DUMMYFUNCTION("""COMPUTED_VALUE"""),"CKNL7/0")</f>
        <v>CKNL7/0</v>
      </c>
      <c r="B43" s="293" t="str">
        <f>IFERROR(__xludf.DUMMYFUNCTION("""COMPUTED_VALUE"""),"Chỉ nilon 7/0")</f>
        <v>Chỉ nilon 7/0</v>
      </c>
      <c r="C43" s="293" t="str">
        <f>IFERROR(__xludf.DUMMYFUNCTION("""COMPUTED_VALUE"""),"Sợi")</f>
        <v>Sợi</v>
      </c>
      <c r="D43" s="293">
        <f>IFERROR(__xludf.DUMMYFUNCTION("""COMPUTED_VALUE"""),60000.0)</f>
        <v>60000</v>
      </c>
      <c r="E43" s="309">
        <v>0.0</v>
      </c>
      <c r="F43" s="295">
        <f t="shared" si="1"/>
        <v>0</v>
      </c>
      <c r="G43" s="296"/>
      <c r="H43" s="293"/>
      <c r="I43" s="293"/>
      <c r="J43" s="296"/>
      <c r="K43" s="297">
        <f t="shared" si="2"/>
        <v>0</v>
      </c>
      <c r="L43" s="295">
        <f t="shared" si="3"/>
        <v>0</v>
      </c>
      <c r="M43" s="280"/>
      <c r="N43" s="304"/>
      <c r="O43" s="280"/>
      <c r="P43" s="280"/>
      <c r="Q43" s="299">
        <f t="shared" si="4"/>
        <v>0</v>
      </c>
      <c r="R43" s="305">
        <f t="shared" si="5"/>
        <v>0</v>
      </c>
      <c r="S43" s="306">
        <v>0.0</v>
      </c>
      <c r="T43" s="301">
        <f t="shared" si="6"/>
        <v>0</v>
      </c>
      <c r="U43" s="302">
        <f t="shared" si="7"/>
        <v>0</v>
      </c>
      <c r="V43" s="295">
        <f t="shared" si="8"/>
        <v>0</v>
      </c>
      <c r="W43" s="283"/>
      <c r="X43" s="283"/>
      <c r="Y43" s="283"/>
      <c r="Z43" s="283"/>
    </row>
    <row r="44" ht="15.75" customHeight="1">
      <c r="A44" s="293" t="str">
        <f>IFERROR(__xludf.DUMMYFUNCTION("""COMPUTED_VALUE"""),"CKTVCR0")</f>
        <v>CKTVCR0</v>
      </c>
      <c r="B44" s="293" t="str">
        <f>IFERROR(__xludf.DUMMYFUNCTION("""COMPUTED_VALUE"""),"Chỉ tiêu vircyl 0")</f>
        <v>Chỉ tiêu vircyl 0</v>
      </c>
      <c r="C44" s="293" t="str">
        <f>IFERROR(__xludf.DUMMYFUNCTION("""COMPUTED_VALUE"""),"Sợi")</f>
        <v>Sợi</v>
      </c>
      <c r="D44" s="293">
        <f>IFERROR(__xludf.DUMMYFUNCTION("""COMPUTED_VALUE"""),20000.0)</f>
        <v>20000</v>
      </c>
      <c r="E44" s="308">
        <v>4.0</v>
      </c>
      <c r="F44" s="295">
        <f t="shared" si="1"/>
        <v>80000</v>
      </c>
      <c r="G44" s="296"/>
      <c r="H44" s="293"/>
      <c r="I44" s="293"/>
      <c r="J44" s="296"/>
      <c r="K44" s="297">
        <f t="shared" si="2"/>
        <v>0</v>
      </c>
      <c r="L44" s="295">
        <f t="shared" si="3"/>
        <v>0</v>
      </c>
      <c r="M44" s="280"/>
      <c r="N44" s="298"/>
      <c r="O44" s="306"/>
      <c r="P44" s="280"/>
      <c r="Q44" s="299">
        <f t="shared" si="4"/>
        <v>0</v>
      </c>
      <c r="R44" s="305">
        <f t="shared" si="5"/>
        <v>0</v>
      </c>
      <c r="S44" s="306">
        <v>4.0</v>
      </c>
      <c r="T44" s="301">
        <f t="shared" si="6"/>
        <v>0</v>
      </c>
      <c r="U44" s="302">
        <f t="shared" si="7"/>
        <v>0</v>
      </c>
      <c r="V44" s="295">
        <f t="shared" si="8"/>
        <v>80000</v>
      </c>
      <c r="W44" s="283"/>
      <c r="X44" s="283"/>
      <c r="Y44" s="283"/>
      <c r="Z44" s="283"/>
    </row>
    <row r="45" ht="15.75" customHeight="1">
      <c r="A45" s="293" t="str">
        <f>IFERROR(__xludf.DUMMYFUNCTION("""COMPUTED_VALUE"""),"CKTVCR1")</f>
        <v>CKTVCR1</v>
      </c>
      <c r="B45" s="293" t="str">
        <f>IFERROR(__xludf.DUMMYFUNCTION("""COMPUTED_VALUE"""),"Chỉ tiêu vircyl 1")</f>
        <v>Chỉ tiêu vircyl 1</v>
      </c>
      <c r="C45" s="293" t="str">
        <f>IFERROR(__xludf.DUMMYFUNCTION("""COMPUTED_VALUE"""),"Sợi")</f>
        <v>Sợi</v>
      </c>
      <c r="D45" s="293">
        <f>IFERROR(__xludf.DUMMYFUNCTION("""COMPUTED_VALUE"""),20000.0)</f>
        <v>20000</v>
      </c>
      <c r="E45" s="309">
        <v>0.0</v>
      </c>
      <c r="F45" s="295">
        <f t="shared" si="1"/>
        <v>0</v>
      </c>
      <c r="G45" s="296"/>
      <c r="H45" s="293"/>
      <c r="I45" s="293"/>
      <c r="J45" s="296"/>
      <c r="K45" s="297">
        <f t="shared" si="2"/>
        <v>0</v>
      </c>
      <c r="L45" s="295">
        <f t="shared" si="3"/>
        <v>0</v>
      </c>
      <c r="M45" s="280"/>
      <c r="N45" s="304"/>
      <c r="O45" s="306"/>
      <c r="P45" s="280"/>
      <c r="Q45" s="299">
        <f t="shared" si="4"/>
        <v>0</v>
      </c>
      <c r="R45" s="305">
        <f t="shared" si="5"/>
        <v>0</v>
      </c>
      <c r="S45" s="306">
        <v>0.0</v>
      </c>
      <c r="T45" s="301">
        <f t="shared" si="6"/>
        <v>0</v>
      </c>
      <c r="U45" s="302">
        <f t="shared" si="7"/>
        <v>0</v>
      </c>
      <c r="V45" s="295">
        <f t="shared" si="8"/>
        <v>0</v>
      </c>
      <c r="W45" s="283"/>
      <c r="X45" s="283"/>
      <c r="Y45" s="283"/>
      <c r="Z45" s="283"/>
    </row>
    <row r="46" ht="15.75" customHeight="1">
      <c r="A46" s="293" t="str">
        <f>IFERROR(__xludf.DUMMYFUNCTION("""COMPUTED_VALUE"""),"CKTVCR2")</f>
        <v>CKTVCR2</v>
      </c>
      <c r="B46" s="293" t="str">
        <f>IFERROR(__xludf.DUMMYFUNCTION("""COMPUTED_VALUE"""),"Chỉ tiêu vircyl 2")</f>
        <v>Chỉ tiêu vircyl 2</v>
      </c>
      <c r="C46" s="293" t="str">
        <f>IFERROR(__xludf.DUMMYFUNCTION("""COMPUTED_VALUE"""),"Sợi")</f>
        <v>Sợi</v>
      </c>
      <c r="D46" s="293">
        <f>IFERROR(__xludf.DUMMYFUNCTION("""COMPUTED_VALUE"""),20000.0)</f>
        <v>20000</v>
      </c>
      <c r="E46" s="308">
        <v>0.0</v>
      </c>
      <c r="F46" s="295">
        <f t="shared" si="1"/>
        <v>0</v>
      </c>
      <c r="G46" s="296"/>
      <c r="H46" s="293"/>
      <c r="I46" s="293"/>
      <c r="J46" s="296"/>
      <c r="K46" s="297">
        <f t="shared" si="2"/>
        <v>0</v>
      </c>
      <c r="L46" s="295">
        <f t="shared" si="3"/>
        <v>0</v>
      </c>
      <c r="M46" s="280"/>
      <c r="N46" s="311"/>
      <c r="O46" s="306"/>
      <c r="P46" s="280"/>
      <c r="Q46" s="299">
        <f t="shared" si="4"/>
        <v>0</v>
      </c>
      <c r="R46" s="305">
        <f t="shared" si="5"/>
        <v>0</v>
      </c>
      <c r="S46" s="306">
        <v>0.0</v>
      </c>
      <c r="T46" s="301">
        <f t="shared" si="6"/>
        <v>0</v>
      </c>
      <c r="U46" s="302">
        <f t="shared" si="7"/>
        <v>0</v>
      </c>
      <c r="V46" s="295">
        <f t="shared" si="8"/>
        <v>0</v>
      </c>
      <c r="W46" s="283"/>
      <c r="X46" s="283"/>
      <c r="Y46" s="283"/>
      <c r="Z46" s="283"/>
    </row>
    <row r="47" ht="15.75" customHeight="1">
      <c r="A47" s="293" t="str">
        <f>IFERROR(__xludf.DUMMYFUNCTION("""COMPUTED_VALUE"""),"CKTVCR2/0")</f>
        <v>CKTVCR2/0</v>
      </c>
      <c r="B47" s="293" t="str">
        <f>IFERROR(__xludf.DUMMYFUNCTION("""COMPUTED_VALUE"""),"Chỉ tiêu vircyl 2/0")</f>
        <v>Chỉ tiêu vircyl 2/0</v>
      </c>
      <c r="C47" s="293" t="str">
        <f>IFERROR(__xludf.DUMMYFUNCTION("""COMPUTED_VALUE"""),"Sợi")</f>
        <v>Sợi</v>
      </c>
      <c r="D47" s="293">
        <f>IFERROR(__xludf.DUMMYFUNCTION("""COMPUTED_VALUE"""),20000.0)</f>
        <v>20000</v>
      </c>
      <c r="E47" s="310">
        <v>18.0</v>
      </c>
      <c r="F47" s="295">
        <f t="shared" si="1"/>
        <v>360000</v>
      </c>
      <c r="G47" s="296"/>
      <c r="H47" s="296"/>
      <c r="I47" s="296"/>
      <c r="J47" s="293"/>
      <c r="K47" s="297">
        <f t="shared" si="2"/>
        <v>0</v>
      </c>
      <c r="L47" s="295">
        <f t="shared" si="3"/>
        <v>0</v>
      </c>
      <c r="M47" s="306"/>
      <c r="N47" s="307"/>
      <c r="O47" s="306"/>
      <c r="P47" s="306"/>
      <c r="Q47" s="299">
        <f t="shared" si="4"/>
        <v>0</v>
      </c>
      <c r="R47" s="305">
        <f t="shared" si="5"/>
        <v>0</v>
      </c>
      <c r="S47" s="306">
        <v>12.0</v>
      </c>
      <c r="T47" s="301">
        <f t="shared" si="6"/>
        <v>6</v>
      </c>
      <c r="U47" s="302">
        <f t="shared" si="7"/>
        <v>120000</v>
      </c>
      <c r="V47" s="295">
        <f t="shared" si="8"/>
        <v>240000</v>
      </c>
      <c r="W47" s="283"/>
      <c r="X47" s="283"/>
      <c r="Y47" s="283"/>
      <c r="Z47" s="283"/>
    </row>
    <row r="48" ht="15.75" customHeight="1">
      <c r="A48" s="293" t="str">
        <f>IFERROR(__xludf.DUMMYFUNCTION("""COMPUTED_VALUE"""),"CKTVCR3/0")</f>
        <v>CKTVCR3/0</v>
      </c>
      <c r="B48" s="293" t="str">
        <f>IFERROR(__xludf.DUMMYFUNCTION("""COMPUTED_VALUE"""),"Chỉ tiêu vircyl 3/0")</f>
        <v>Chỉ tiêu vircyl 3/0</v>
      </c>
      <c r="C48" s="293" t="str">
        <f>IFERROR(__xludf.DUMMYFUNCTION("""COMPUTED_VALUE"""),"Sợi")</f>
        <v>Sợi</v>
      </c>
      <c r="D48" s="293">
        <f>IFERROR(__xludf.DUMMYFUNCTION("""COMPUTED_VALUE"""),20000.0)</f>
        <v>20000</v>
      </c>
      <c r="E48" s="312">
        <v>32.0</v>
      </c>
      <c r="F48" s="295">
        <f t="shared" si="1"/>
        <v>640000</v>
      </c>
      <c r="G48" s="296"/>
      <c r="H48" s="296"/>
      <c r="I48" s="296"/>
      <c r="J48" s="293"/>
      <c r="K48" s="297">
        <f t="shared" si="2"/>
        <v>0</v>
      </c>
      <c r="L48" s="295">
        <f t="shared" si="3"/>
        <v>0</v>
      </c>
      <c r="M48" s="306"/>
      <c r="N48" s="311"/>
      <c r="O48" s="306"/>
      <c r="P48" s="280"/>
      <c r="Q48" s="299">
        <f t="shared" si="4"/>
        <v>0</v>
      </c>
      <c r="R48" s="305">
        <f t="shared" si="5"/>
        <v>0</v>
      </c>
      <c r="S48" s="306">
        <v>22.0</v>
      </c>
      <c r="T48" s="301">
        <f t="shared" si="6"/>
        <v>10</v>
      </c>
      <c r="U48" s="302">
        <f t="shared" si="7"/>
        <v>200000</v>
      </c>
      <c r="V48" s="295">
        <f t="shared" si="8"/>
        <v>440000</v>
      </c>
      <c r="W48" s="283"/>
      <c r="X48" s="283"/>
      <c r="Y48" s="283"/>
      <c r="Z48" s="283"/>
    </row>
    <row r="49" ht="15.75" customHeight="1">
      <c r="A49" s="293" t="str">
        <f>IFERROR(__xludf.DUMMYFUNCTION("""COMPUTED_VALUE"""),"CKTVCR4/0")</f>
        <v>CKTVCR4/0</v>
      </c>
      <c r="B49" s="293" t="str">
        <f>IFERROR(__xludf.DUMMYFUNCTION("""COMPUTED_VALUE"""),"Chỉ tiêu vircyl 4/0")</f>
        <v>Chỉ tiêu vircyl 4/0</v>
      </c>
      <c r="C49" s="293" t="str">
        <f>IFERROR(__xludf.DUMMYFUNCTION("""COMPUTED_VALUE"""),"Sợi")</f>
        <v>Sợi</v>
      </c>
      <c r="D49" s="293">
        <f>IFERROR(__xludf.DUMMYFUNCTION("""COMPUTED_VALUE"""),20000.0)</f>
        <v>20000</v>
      </c>
      <c r="E49" s="309">
        <v>15.0</v>
      </c>
      <c r="F49" s="295">
        <f t="shared" si="1"/>
        <v>300000</v>
      </c>
      <c r="G49" s="296"/>
      <c r="H49" s="296"/>
      <c r="I49" s="293"/>
      <c r="J49" s="293"/>
      <c r="K49" s="297">
        <f t="shared" si="2"/>
        <v>0</v>
      </c>
      <c r="L49" s="295">
        <f t="shared" si="3"/>
        <v>0</v>
      </c>
      <c r="M49" s="306"/>
      <c r="N49" s="304"/>
      <c r="O49" s="280"/>
      <c r="P49" s="280"/>
      <c r="Q49" s="299">
        <f t="shared" si="4"/>
        <v>0</v>
      </c>
      <c r="R49" s="305">
        <f t="shared" si="5"/>
        <v>0</v>
      </c>
      <c r="S49" s="306">
        <v>8.0</v>
      </c>
      <c r="T49" s="301">
        <f t="shared" si="6"/>
        <v>7</v>
      </c>
      <c r="U49" s="302">
        <f t="shared" si="7"/>
        <v>140000</v>
      </c>
      <c r="V49" s="295">
        <f t="shared" si="8"/>
        <v>160000</v>
      </c>
      <c r="W49" s="283"/>
      <c r="X49" s="283"/>
      <c r="Y49" s="283"/>
      <c r="Z49" s="283"/>
    </row>
    <row r="50" ht="15.75" customHeight="1">
      <c r="A50" s="293" t="str">
        <f>IFERROR(__xludf.DUMMYFUNCTION("""COMPUTED_VALUE"""),"CKTVCR6/0")</f>
        <v>CKTVCR6/0</v>
      </c>
      <c r="B50" s="293" t="str">
        <f>IFERROR(__xludf.DUMMYFUNCTION("""COMPUTED_VALUE"""),"Chỉ tiêu vircyl 6/0")</f>
        <v>Chỉ tiêu vircyl 6/0</v>
      </c>
      <c r="C50" s="293" t="str">
        <f>IFERROR(__xludf.DUMMYFUNCTION("""COMPUTED_VALUE"""),"Sợi")</f>
        <v>Sợi</v>
      </c>
      <c r="D50" s="293">
        <f>IFERROR(__xludf.DUMMYFUNCTION("""COMPUTED_VALUE"""),20000.0)</f>
        <v>20000</v>
      </c>
      <c r="E50" s="308">
        <v>0.0</v>
      </c>
      <c r="F50" s="295">
        <f t="shared" si="1"/>
        <v>0</v>
      </c>
      <c r="G50" s="296"/>
      <c r="H50" s="296"/>
      <c r="I50" s="293"/>
      <c r="J50" s="293"/>
      <c r="K50" s="297">
        <f t="shared" si="2"/>
        <v>0</v>
      </c>
      <c r="L50" s="295">
        <f t="shared" si="3"/>
        <v>0</v>
      </c>
      <c r="M50" s="280"/>
      <c r="N50" s="298"/>
      <c r="O50" s="280"/>
      <c r="P50" s="280"/>
      <c r="Q50" s="299">
        <f t="shared" si="4"/>
        <v>0</v>
      </c>
      <c r="R50" s="305">
        <f t="shared" si="5"/>
        <v>0</v>
      </c>
      <c r="S50" s="306">
        <v>0.0</v>
      </c>
      <c r="T50" s="301">
        <f t="shared" si="6"/>
        <v>0</v>
      </c>
      <c r="U50" s="302">
        <f t="shared" si="7"/>
        <v>0</v>
      </c>
      <c r="V50" s="295">
        <f t="shared" si="8"/>
        <v>0</v>
      </c>
      <c r="W50" s="283"/>
      <c r="X50" s="283"/>
      <c r="Y50" s="283"/>
      <c r="Z50" s="283"/>
    </row>
    <row r="51" ht="15.75" customHeight="1">
      <c r="A51" s="293" t="str">
        <f>IFERROR(__xludf.DUMMYFUNCTION("""COMPUTED_VALUE"""),"CHDX")</f>
        <v>CHDX</v>
      </c>
      <c r="B51" s="293" t="str">
        <f>IFERROR(__xludf.DUMMYFUNCTION("""COMPUTED_VALUE"""),"Chlorhexidine")</f>
        <v>Chlorhexidine</v>
      </c>
      <c r="C51" s="293" t="str">
        <f>IFERROR(__xludf.DUMMYFUNCTION("""COMPUTED_VALUE"""),"ml")</f>
        <v>ml</v>
      </c>
      <c r="D51" s="293">
        <f>IFERROR(__xludf.DUMMYFUNCTION("""COMPUTED_VALUE"""),145.0)</f>
        <v>145</v>
      </c>
      <c r="E51" s="309">
        <v>6500.0</v>
      </c>
      <c r="F51" s="295">
        <f t="shared" si="1"/>
        <v>942500</v>
      </c>
      <c r="G51" s="296"/>
      <c r="H51" s="296"/>
      <c r="I51" s="296"/>
      <c r="J51" s="296"/>
      <c r="K51" s="297">
        <f t="shared" si="2"/>
        <v>0</v>
      </c>
      <c r="L51" s="295">
        <f t="shared" si="3"/>
        <v>0</v>
      </c>
      <c r="M51" s="306"/>
      <c r="N51" s="304"/>
      <c r="O51" s="306"/>
      <c r="P51" s="280"/>
      <c r="Q51" s="299">
        <f t="shared" si="4"/>
        <v>0</v>
      </c>
      <c r="R51" s="305">
        <f t="shared" si="5"/>
        <v>0</v>
      </c>
      <c r="S51" s="306">
        <v>5500.0</v>
      </c>
      <c r="T51" s="301">
        <f t="shared" si="6"/>
        <v>1000</v>
      </c>
      <c r="U51" s="302">
        <f t="shared" si="7"/>
        <v>145000</v>
      </c>
      <c r="V51" s="295">
        <f t="shared" si="8"/>
        <v>797500</v>
      </c>
      <c r="W51" s="283"/>
      <c r="X51" s="283"/>
      <c r="Y51" s="283"/>
      <c r="Z51" s="283"/>
    </row>
    <row r="52" ht="15.75" customHeight="1">
      <c r="A52" s="293" t="str">
        <f>IFERROR(__xludf.DUMMYFUNCTION("""COMPUTED_VALUE"""),"CHL")</f>
        <v>CHL</v>
      </c>
      <c r="B52" s="293" t="str">
        <f>IFERROR(__xludf.DUMMYFUNCTION("""COMPUTED_VALUE"""),"Choliver")</f>
        <v>Choliver</v>
      </c>
      <c r="C52" s="293" t="str">
        <f>IFERROR(__xludf.DUMMYFUNCTION("""COMPUTED_VALUE"""),"Viên")</f>
        <v>Viên</v>
      </c>
      <c r="D52" s="293">
        <f>IFERROR(__xludf.DUMMYFUNCTION("""COMPUTED_VALUE"""),900.0)</f>
        <v>900</v>
      </c>
      <c r="E52" s="308">
        <v>90.0</v>
      </c>
      <c r="F52" s="295">
        <f t="shared" si="1"/>
        <v>81000</v>
      </c>
      <c r="G52" s="296"/>
      <c r="H52" s="296">
        <v>100.0</v>
      </c>
      <c r="I52" s="296">
        <v>200.0</v>
      </c>
      <c r="J52" s="296"/>
      <c r="K52" s="297">
        <f t="shared" si="2"/>
        <v>300</v>
      </c>
      <c r="L52" s="295">
        <f t="shared" si="3"/>
        <v>270000</v>
      </c>
      <c r="M52" s="280"/>
      <c r="N52" s="311"/>
      <c r="O52" s="280"/>
      <c r="P52" s="280"/>
      <c r="Q52" s="299">
        <f t="shared" si="4"/>
        <v>0</v>
      </c>
      <c r="R52" s="305">
        <f t="shared" si="5"/>
        <v>0</v>
      </c>
      <c r="S52" s="306">
        <v>232.0</v>
      </c>
      <c r="T52" s="301">
        <f t="shared" si="6"/>
        <v>158</v>
      </c>
      <c r="U52" s="302">
        <f t="shared" si="7"/>
        <v>142200</v>
      </c>
      <c r="V52" s="295">
        <f t="shared" si="8"/>
        <v>208800</v>
      </c>
      <c r="W52" s="283"/>
      <c r="X52" s="283"/>
      <c r="Y52" s="283"/>
      <c r="Z52" s="283"/>
    </row>
    <row r="53" ht="15.75" customHeight="1">
      <c r="A53" s="293" t="str">
        <f>IFERROR(__xludf.DUMMYFUNCTION("""COMPUTED_VALUE"""),"CHMS")</f>
        <v>CHMS</v>
      </c>
      <c r="B53" s="293" t="str">
        <f>IFERROR(__xludf.DUMMYFUNCTION("""COMPUTED_VALUE"""),"Chymosin")</f>
        <v>Chymosin</v>
      </c>
      <c r="C53" s="293" t="str">
        <f>IFERROR(__xludf.DUMMYFUNCTION("""COMPUTED_VALUE"""),"mL")</f>
        <v>mL</v>
      </c>
      <c r="D53" s="293">
        <f>IFERROR(__xludf.DUMMYFUNCTION("""COMPUTED_VALUE"""),600.0)</f>
        <v>600</v>
      </c>
      <c r="E53" s="309">
        <v>165.0</v>
      </c>
      <c r="F53" s="295">
        <f t="shared" si="1"/>
        <v>99000</v>
      </c>
      <c r="G53" s="296"/>
      <c r="H53" s="296"/>
      <c r="I53" s="296"/>
      <c r="J53" s="296"/>
      <c r="K53" s="297">
        <f t="shared" si="2"/>
        <v>0</v>
      </c>
      <c r="L53" s="295">
        <f t="shared" si="3"/>
        <v>0</v>
      </c>
      <c r="M53" s="280"/>
      <c r="N53" s="307"/>
      <c r="O53" s="280"/>
      <c r="P53" s="280"/>
      <c r="Q53" s="299">
        <f t="shared" si="4"/>
        <v>0</v>
      </c>
      <c r="R53" s="305">
        <f t="shared" si="5"/>
        <v>0</v>
      </c>
      <c r="S53" s="306">
        <v>165.0</v>
      </c>
      <c r="T53" s="301">
        <f t="shared" si="6"/>
        <v>0</v>
      </c>
      <c r="U53" s="302">
        <f t="shared" si="7"/>
        <v>0</v>
      </c>
      <c r="V53" s="295">
        <f t="shared" si="8"/>
        <v>99000</v>
      </c>
      <c r="W53" s="283"/>
      <c r="X53" s="283"/>
      <c r="Y53" s="283"/>
      <c r="Z53" s="283"/>
    </row>
    <row r="54" ht="15.75" customHeight="1">
      <c r="A54" s="293" t="str">
        <f>IFERROR(__xludf.DUMMYFUNCTION("""COMPUTED_VALUE"""),"CMTD300")</f>
        <v>CMTD300</v>
      </c>
      <c r="B54" s="293" t="str">
        <f>IFERROR(__xludf.DUMMYFUNCTION("""COMPUTED_VALUE"""),"Cimetidine 300")</f>
        <v>Cimetidine 300</v>
      </c>
      <c r="C54" s="293" t="str">
        <f>IFERROR(__xludf.DUMMYFUNCTION("""COMPUTED_VALUE"""),"Viên")</f>
        <v>Viên</v>
      </c>
      <c r="D54" s="293">
        <f>IFERROR(__xludf.DUMMYFUNCTION("""COMPUTED_VALUE"""),900.0)</f>
        <v>900</v>
      </c>
      <c r="E54" s="308">
        <f>236+40</f>
        <v>276</v>
      </c>
      <c r="F54" s="295">
        <f t="shared" si="1"/>
        <v>248400</v>
      </c>
      <c r="G54" s="296"/>
      <c r="H54" s="296"/>
      <c r="I54" s="293"/>
      <c r="J54" s="293"/>
      <c r="K54" s="297">
        <f t="shared" si="2"/>
        <v>0</v>
      </c>
      <c r="L54" s="295">
        <f t="shared" si="3"/>
        <v>0</v>
      </c>
      <c r="M54" s="280"/>
      <c r="N54" s="298"/>
      <c r="O54" s="280"/>
      <c r="P54" s="280"/>
      <c r="Q54" s="299">
        <f t="shared" si="4"/>
        <v>0</v>
      </c>
      <c r="R54" s="305">
        <f t="shared" si="5"/>
        <v>0</v>
      </c>
      <c r="S54" s="306">
        <f>140+96</f>
        <v>236</v>
      </c>
      <c r="T54" s="301">
        <f t="shared" si="6"/>
        <v>40</v>
      </c>
      <c r="U54" s="302">
        <f t="shared" si="7"/>
        <v>36000</v>
      </c>
      <c r="V54" s="295">
        <f t="shared" si="8"/>
        <v>212400</v>
      </c>
      <c r="W54" s="283"/>
      <c r="X54" s="283"/>
      <c r="Y54" s="283"/>
      <c r="Z54" s="283"/>
    </row>
    <row r="55" ht="15.75" customHeight="1">
      <c r="A55" s="293" t="str">
        <f>IFERROR(__xludf.DUMMYFUNCTION("""COMPUTED_VALUE"""),"CPR500")</f>
        <v>CPR500</v>
      </c>
      <c r="B55" s="293" t="str">
        <f>IFERROR(__xludf.DUMMYFUNCTION("""COMPUTED_VALUE"""),"Ciprofloxacine 500")</f>
        <v>Ciprofloxacine 500</v>
      </c>
      <c r="C55" s="293" t="str">
        <f>IFERROR(__xludf.DUMMYFUNCTION("""COMPUTED_VALUE"""),"Viên")</f>
        <v>Viên</v>
      </c>
      <c r="D55" s="293">
        <f>IFERROR(__xludf.DUMMYFUNCTION("""COMPUTED_VALUE"""),720.0)</f>
        <v>720</v>
      </c>
      <c r="E55" s="309">
        <f>30+84</f>
        <v>114</v>
      </c>
      <c r="F55" s="295">
        <f t="shared" si="1"/>
        <v>82080</v>
      </c>
      <c r="G55" s="296"/>
      <c r="H55" s="296"/>
      <c r="I55" s="293"/>
      <c r="J55" s="296"/>
      <c r="K55" s="297">
        <f t="shared" si="2"/>
        <v>0</v>
      </c>
      <c r="L55" s="295">
        <f t="shared" si="3"/>
        <v>0</v>
      </c>
      <c r="M55" s="280"/>
      <c r="N55" s="304"/>
      <c r="O55" s="280"/>
      <c r="P55" s="280"/>
      <c r="Q55" s="299">
        <f t="shared" si="4"/>
        <v>0</v>
      </c>
      <c r="R55" s="305">
        <f t="shared" si="5"/>
        <v>0</v>
      </c>
      <c r="S55" s="306">
        <f>30+84</f>
        <v>114</v>
      </c>
      <c r="T55" s="301">
        <f t="shared" si="6"/>
        <v>0</v>
      </c>
      <c r="U55" s="302">
        <f t="shared" si="7"/>
        <v>0</v>
      </c>
      <c r="V55" s="295">
        <f t="shared" si="8"/>
        <v>82080</v>
      </c>
      <c r="W55" s="283"/>
      <c r="X55" s="283"/>
      <c r="Y55" s="283"/>
      <c r="Z55" s="283"/>
    </row>
    <row r="56" ht="15.75" customHeight="1">
      <c r="A56" s="293" t="str">
        <f>IFERROR(__xludf.DUMMYFUNCTION("""COMPUTED_VALUE"""),"CLDMC150")</f>
        <v>CLDMC150</v>
      </c>
      <c r="B56" s="293" t="str">
        <f>IFERROR(__xludf.DUMMYFUNCTION("""COMPUTED_VALUE"""),"Clindamycin 150 mg")</f>
        <v>Clindamycin 150 mg</v>
      </c>
      <c r="C56" s="293" t="str">
        <f>IFERROR(__xludf.DUMMYFUNCTION("""COMPUTED_VALUE"""),"Viên")</f>
        <v>Viên</v>
      </c>
      <c r="D56" s="293">
        <f>IFERROR(__xludf.DUMMYFUNCTION("""COMPUTED_VALUE"""),1600.0)</f>
        <v>1600</v>
      </c>
      <c r="E56" s="308">
        <v>0.0</v>
      </c>
      <c r="F56" s="295">
        <f t="shared" si="1"/>
        <v>0</v>
      </c>
      <c r="G56" s="296"/>
      <c r="H56" s="296"/>
      <c r="I56" s="293"/>
      <c r="J56" s="293"/>
      <c r="K56" s="297">
        <f t="shared" si="2"/>
        <v>0</v>
      </c>
      <c r="L56" s="295">
        <f t="shared" si="3"/>
        <v>0</v>
      </c>
      <c r="M56" s="280"/>
      <c r="N56" s="298"/>
      <c r="O56" s="280"/>
      <c r="P56" s="280"/>
      <c r="Q56" s="299">
        <f t="shared" si="4"/>
        <v>0</v>
      </c>
      <c r="R56" s="305">
        <f t="shared" si="5"/>
        <v>0</v>
      </c>
      <c r="S56" s="306">
        <v>0.0</v>
      </c>
      <c r="T56" s="301">
        <f t="shared" si="6"/>
        <v>0</v>
      </c>
      <c r="U56" s="302">
        <f t="shared" si="7"/>
        <v>0</v>
      </c>
      <c r="V56" s="295">
        <f t="shared" si="8"/>
        <v>0</v>
      </c>
      <c r="W56" s="283"/>
      <c r="X56" s="283"/>
      <c r="Y56" s="283"/>
      <c r="Z56" s="283"/>
    </row>
    <row r="57" ht="15.75" customHeight="1">
      <c r="A57" s="293" t="str">
        <f>IFERROR(__xludf.DUMMYFUNCTION("""COMPUTED_VALUE"""),"CLRMB")</f>
        <v>CLRMB</v>
      </c>
      <c r="B57" s="293" t="str">
        <f>IFERROR(__xludf.DUMMYFUNCTION("""COMPUTED_VALUE"""),"Cloramin B")</f>
        <v>Cloramin B</v>
      </c>
      <c r="C57" s="293" t="str">
        <f>IFERROR(__xludf.DUMMYFUNCTION("""COMPUTED_VALUE"""),"Gam")</f>
        <v>Gam</v>
      </c>
      <c r="D57" s="293">
        <f>IFERROR(__xludf.DUMMYFUNCTION("""COMPUTED_VALUE"""),200.0)</f>
        <v>200</v>
      </c>
      <c r="E57" s="309">
        <v>0.0</v>
      </c>
      <c r="F57" s="295">
        <f t="shared" si="1"/>
        <v>0</v>
      </c>
      <c r="G57" s="296"/>
      <c r="H57" s="293"/>
      <c r="I57" s="296"/>
      <c r="J57" s="293"/>
      <c r="K57" s="297">
        <f t="shared" si="2"/>
        <v>0</v>
      </c>
      <c r="L57" s="295">
        <f t="shared" si="3"/>
        <v>0</v>
      </c>
      <c r="M57" s="280"/>
      <c r="N57" s="304"/>
      <c r="O57" s="280"/>
      <c r="P57" s="280"/>
      <c r="Q57" s="299">
        <f t="shared" si="4"/>
        <v>0</v>
      </c>
      <c r="R57" s="305">
        <f t="shared" si="5"/>
        <v>0</v>
      </c>
      <c r="S57" s="306">
        <v>0.0</v>
      </c>
      <c r="T57" s="301">
        <f t="shared" si="6"/>
        <v>0</v>
      </c>
      <c r="U57" s="302">
        <f t="shared" si="7"/>
        <v>0</v>
      </c>
      <c r="V57" s="295">
        <f t="shared" si="8"/>
        <v>0</v>
      </c>
      <c r="W57" s="283"/>
      <c r="X57" s="283"/>
      <c r="Y57" s="283"/>
      <c r="Z57" s="283"/>
    </row>
    <row r="58" ht="15.75" customHeight="1">
      <c r="A58" s="293" t="str">
        <f>IFERROR(__xludf.DUMMYFUNCTION("""COMPUTED_VALUE"""),"CLPLRM4")</f>
        <v>CLPLRM4</v>
      </c>
      <c r="B58" s="293" t="str">
        <f>IFERROR(__xludf.DUMMYFUNCTION("""COMPUTED_VALUE"""),"Clorpheniramin 4mg")</f>
        <v>Clorpheniramin 4mg</v>
      </c>
      <c r="C58" s="293" t="str">
        <f>IFERROR(__xludf.DUMMYFUNCTION("""COMPUTED_VALUE"""),"Viên")</f>
        <v>Viên</v>
      </c>
      <c r="D58" s="293">
        <f>IFERROR(__xludf.DUMMYFUNCTION("""COMPUTED_VALUE"""),85.0)</f>
        <v>85</v>
      </c>
      <c r="E58" s="308">
        <v>130.0</v>
      </c>
      <c r="F58" s="295">
        <f t="shared" si="1"/>
        <v>11050</v>
      </c>
      <c r="G58" s="296"/>
      <c r="H58" s="293"/>
      <c r="I58" s="293"/>
      <c r="J58" s="293"/>
      <c r="K58" s="297">
        <f t="shared" si="2"/>
        <v>0</v>
      </c>
      <c r="L58" s="295">
        <f t="shared" si="3"/>
        <v>0</v>
      </c>
      <c r="M58" s="280"/>
      <c r="N58" s="298"/>
      <c r="O58" s="280"/>
      <c r="P58" s="280"/>
      <c r="Q58" s="299">
        <f t="shared" si="4"/>
        <v>0</v>
      </c>
      <c r="R58" s="305">
        <f t="shared" si="5"/>
        <v>0</v>
      </c>
      <c r="S58" s="306">
        <v>130.0</v>
      </c>
      <c r="T58" s="301">
        <f t="shared" si="6"/>
        <v>0</v>
      </c>
      <c r="U58" s="302">
        <f t="shared" si="7"/>
        <v>0</v>
      </c>
      <c r="V58" s="295">
        <f t="shared" si="8"/>
        <v>11050</v>
      </c>
      <c r="W58" s="283"/>
      <c r="X58" s="283"/>
      <c r="Y58" s="283"/>
      <c r="Z58" s="283"/>
    </row>
    <row r="59" ht="15.75" customHeight="1">
      <c r="A59" s="293" t="str">
        <f>IFERROR(__xludf.DUMMYFUNCTION("""COMPUTED_VALUE"""),"C90")</f>
        <v>C90</v>
      </c>
      <c r="B59" s="293" t="str">
        <f>IFERROR(__xludf.DUMMYFUNCTION("""COMPUTED_VALUE"""),"Cồn 90")</f>
        <v>Cồn 90</v>
      </c>
      <c r="C59" s="293" t="str">
        <f>IFERROR(__xludf.DUMMYFUNCTION("""COMPUTED_VALUE"""),"mL")</f>
        <v>mL</v>
      </c>
      <c r="D59" s="293">
        <f>IFERROR(__xludf.DUMMYFUNCTION("""COMPUTED_VALUE"""),35.0)</f>
        <v>35</v>
      </c>
      <c r="E59" s="309">
        <v>3000.0</v>
      </c>
      <c r="F59" s="295">
        <f t="shared" si="1"/>
        <v>105000</v>
      </c>
      <c r="G59" s="296"/>
      <c r="H59" s="296"/>
      <c r="I59" s="296"/>
      <c r="J59" s="296"/>
      <c r="K59" s="297">
        <f t="shared" si="2"/>
        <v>0</v>
      </c>
      <c r="L59" s="295">
        <f t="shared" si="3"/>
        <v>0</v>
      </c>
      <c r="M59" s="280"/>
      <c r="N59" s="304"/>
      <c r="O59" s="280"/>
      <c r="P59" s="280"/>
      <c r="Q59" s="299">
        <f t="shared" si="4"/>
        <v>0</v>
      </c>
      <c r="R59" s="305">
        <f t="shared" si="5"/>
        <v>0</v>
      </c>
      <c r="S59" s="306">
        <v>1000.0</v>
      </c>
      <c r="T59" s="301">
        <f t="shared" si="6"/>
        <v>2000</v>
      </c>
      <c r="U59" s="302">
        <f t="shared" si="7"/>
        <v>70000</v>
      </c>
      <c r="V59" s="295">
        <f t="shared" si="8"/>
        <v>35000</v>
      </c>
      <c r="W59" s="283"/>
      <c r="X59" s="283"/>
      <c r="Y59" s="283"/>
      <c r="Z59" s="283"/>
    </row>
    <row r="60" ht="15.75" customHeight="1">
      <c r="A60" s="293" t="str">
        <f>IFERROR(__xludf.DUMMYFUNCTION("""COMPUTED_VALUE"""),"CPVD")</f>
        <v>CPVD</v>
      </c>
      <c r="B60" s="293" t="str">
        <f>IFERROR(__xludf.DUMMYFUNCTION("""COMPUTED_VALUE"""),"Cồn povidone")</f>
        <v>Cồn povidone</v>
      </c>
      <c r="C60" s="293" t="str">
        <f>IFERROR(__xludf.DUMMYFUNCTION("""COMPUTED_VALUE"""),"mL")</f>
        <v>mL</v>
      </c>
      <c r="D60" s="293">
        <f>IFERROR(__xludf.DUMMYFUNCTION("""COMPUTED_VALUE"""),110.0)</f>
        <v>110</v>
      </c>
      <c r="E60" s="308">
        <v>100.0</v>
      </c>
      <c r="F60" s="295">
        <f t="shared" si="1"/>
        <v>11000</v>
      </c>
      <c r="G60" s="296"/>
      <c r="H60" s="296"/>
      <c r="I60" s="296"/>
      <c r="J60" s="293"/>
      <c r="K60" s="297">
        <f t="shared" si="2"/>
        <v>0</v>
      </c>
      <c r="L60" s="295">
        <f t="shared" si="3"/>
        <v>0</v>
      </c>
      <c r="M60" s="280"/>
      <c r="N60" s="311"/>
      <c r="O60" s="280"/>
      <c r="P60" s="280"/>
      <c r="Q60" s="299">
        <f t="shared" si="4"/>
        <v>0</v>
      </c>
      <c r="R60" s="305">
        <f t="shared" si="5"/>
        <v>0</v>
      </c>
      <c r="S60" s="306">
        <v>100.0</v>
      </c>
      <c r="T60" s="301">
        <f t="shared" si="6"/>
        <v>0</v>
      </c>
      <c r="U60" s="302">
        <f t="shared" si="7"/>
        <v>0</v>
      </c>
      <c r="V60" s="295">
        <f t="shared" si="8"/>
        <v>11000</v>
      </c>
      <c r="W60" s="283"/>
      <c r="X60" s="283"/>
      <c r="Y60" s="283"/>
      <c r="Z60" s="283"/>
    </row>
    <row r="61" ht="15.75" customHeight="1">
      <c r="A61" s="293" t="str">
        <f>IFERROR(__xludf.DUMMYFUNCTION("""COMPUTED_VALUE"""),"CTD")</f>
        <v>CTD</v>
      </c>
      <c r="B61" s="293" t="str">
        <f>IFERROR(__xludf.DUMMYFUNCTION("""COMPUTED_VALUE"""),"Cồn tuyệt đối")</f>
        <v>Cồn tuyệt đối</v>
      </c>
      <c r="C61" s="293" t="str">
        <f>IFERROR(__xludf.DUMMYFUNCTION("""COMPUTED_VALUE"""),"mL")</f>
        <v>mL</v>
      </c>
      <c r="D61" s="293">
        <f>IFERROR(__xludf.DUMMYFUNCTION("""COMPUTED_VALUE"""),85.0)</f>
        <v>85</v>
      </c>
      <c r="E61" s="309">
        <v>20.0</v>
      </c>
      <c r="F61" s="295">
        <f t="shared" si="1"/>
        <v>1700</v>
      </c>
      <c r="G61" s="296"/>
      <c r="H61" s="293"/>
      <c r="I61" s="293"/>
      <c r="J61" s="293"/>
      <c r="K61" s="297">
        <f t="shared" si="2"/>
        <v>0</v>
      </c>
      <c r="L61" s="295">
        <f t="shared" si="3"/>
        <v>0</v>
      </c>
      <c r="M61" s="306"/>
      <c r="N61" s="304"/>
      <c r="O61" s="280"/>
      <c r="P61" s="280"/>
      <c r="Q61" s="299">
        <f t="shared" si="4"/>
        <v>0</v>
      </c>
      <c r="R61" s="305">
        <f t="shared" si="5"/>
        <v>0</v>
      </c>
      <c r="S61" s="306">
        <v>0.0</v>
      </c>
      <c r="T61" s="301">
        <f t="shared" si="6"/>
        <v>20</v>
      </c>
      <c r="U61" s="302">
        <f t="shared" si="7"/>
        <v>1700</v>
      </c>
      <c r="V61" s="295">
        <f t="shared" si="8"/>
        <v>0</v>
      </c>
      <c r="W61" s="283"/>
      <c r="X61" s="283"/>
      <c r="Y61" s="283"/>
      <c r="Z61" s="283"/>
    </row>
    <row r="62" ht="15.75" customHeight="1">
      <c r="A62" s="293" t="str">
        <f>IFERROR(__xludf.DUMMYFUNCTION("""COMPUTED_VALUE"""),"DPT11")</f>
        <v>DPT11</v>
      </c>
      <c r="B62" s="293" t="str">
        <f>IFERROR(__xludf.DUMMYFUNCTION("""COMPUTED_VALUE"""),"Dao phẫu thuật 11")</f>
        <v>Dao phẫu thuật 11</v>
      </c>
      <c r="C62" s="293" t="str">
        <f>IFERROR(__xludf.DUMMYFUNCTION("""COMPUTED_VALUE"""),"Cái")</f>
        <v>Cái</v>
      </c>
      <c r="D62" s="293">
        <f>IFERROR(__xludf.DUMMYFUNCTION("""COMPUTED_VALUE"""),950.0)</f>
        <v>950</v>
      </c>
      <c r="E62" s="308">
        <f>188+21</f>
        <v>209</v>
      </c>
      <c r="F62" s="295">
        <f t="shared" si="1"/>
        <v>198550</v>
      </c>
      <c r="G62" s="296"/>
      <c r="H62" s="296"/>
      <c r="I62" s="293"/>
      <c r="J62" s="293"/>
      <c r="K62" s="297">
        <f t="shared" si="2"/>
        <v>0</v>
      </c>
      <c r="L62" s="295">
        <f t="shared" si="3"/>
        <v>0</v>
      </c>
      <c r="M62" s="306"/>
      <c r="N62" s="298"/>
      <c r="O62" s="280"/>
      <c r="P62" s="280"/>
      <c r="Q62" s="299">
        <f t="shared" si="4"/>
        <v>0</v>
      </c>
      <c r="R62" s="305">
        <f t="shared" si="5"/>
        <v>0</v>
      </c>
      <c r="S62" s="306">
        <f>150+38</f>
        <v>188</v>
      </c>
      <c r="T62" s="301">
        <f t="shared" si="6"/>
        <v>21</v>
      </c>
      <c r="U62" s="302">
        <f t="shared" si="7"/>
        <v>19950</v>
      </c>
      <c r="V62" s="295">
        <f t="shared" si="8"/>
        <v>178600</v>
      </c>
      <c r="W62" s="283"/>
      <c r="X62" s="283"/>
      <c r="Y62" s="283"/>
      <c r="Z62" s="283"/>
    </row>
    <row r="63" ht="15.75" customHeight="1">
      <c r="A63" s="293" t="str">
        <f>IFERROR(__xludf.DUMMYFUNCTION("""COMPUTED_VALUE"""),"DPT12")</f>
        <v>DPT12</v>
      </c>
      <c r="B63" s="293" t="str">
        <f>IFERROR(__xludf.DUMMYFUNCTION("""COMPUTED_VALUE"""),"Dao phẫu thuật 12")</f>
        <v>Dao phẫu thuật 12</v>
      </c>
      <c r="C63" s="293" t="str">
        <f>IFERROR(__xludf.DUMMYFUNCTION("""COMPUTED_VALUE"""),"Cái")</f>
        <v>Cái</v>
      </c>
      <c r="D63" s="293">
        <f>IFERROR(__xludf.DUMMYFUNCTION("""COMPUTED_VALUE"""),950.0)</f>
        <v>950</v>
      </c>
      <c r="E63" s="309">
        <v>0.0</v>
      </c>
      <c r="F63" s="295">
        <f t="shared" si="1"/>
        <v>0</v>
      </c>
      <c r="G63" s="296"/>
      <c r="H63" s="296"/>
      <c r="I63" s="293"/>
      <c r="J63" s="293"/>
      <c r="K63" s="297">
        <f t="shared" si="2"/>
        <v>0</v>
      </c>
      <c r="L63" s="295">
        <f t="shared" si="3"/>
        <v>0</v>
      </c>
      <c r="M63" s="280"/>
      <c r="N63" s="307"/>
      <c r="O63" s="280"/>
      <c r="P63" s="280"/>
      <c r="Q63" s="299">
        <f t="shared" si="4"/>
        <v>0</v>
      </c>
      <c r="R63" s="305">
        <f t="shared" si="5"/>
        <v>0</v>
      </c>
      <c r="S63" s="306">
        <v>0.0</v>
      </c>
      <c r="T63" s="301">
        <f t="shared" si="6"/>
        <v>0</v>
      </c>
      <c r="U63" s="302">
        <f t="shared" si="7"/>
        <v>0</v>
      </c>
      <c r="V63" s="295">
        <f t="shared" si="8"/>
        <v>0</v>
      </c>
      <c r="W63" s="283"/>
      <c r="X63" s="283"/>
      <c r="Y63" s="283"/>
      <c r="Z63" s="283"/>
    </row>
    <row r="64" ht="15.75" customHeight="1">
      <c r="A64" s="293" t="str">
        <f>IFERROR(__xludf.DUMMYFUNCTION("""COMPUTED_VALUE"""),"DPT15")</f>
        <v>DPT15</v>
      </c>
      <c r="B64" s="293" t="str">
        <f>IFERROR(__xludf.DUMMYFUNCTION("""COMPUTED_VALUE"""),"Dao phẫu thuật 15")</f>
        <v>Dao phẫu thuật 15</v>
      </c>
      <c r="C64" s="293" t="str">
        <f>IFERROR(__xludf.DUMMYFUNCTION("""COMPUTED_VALUE"""),"Cái")</f>
        <v>Cái</v>
      </c>
      <c r="D64" s="293">
        <f>IFERROR(__xludf.DUMMYFUNCTION("""COMPUTED_VALUE"""),950.0)</f>
        <v>950</v>
      </c>
      <c r="E64" s="308">
        <v>181.0</v>
      </c>
      <c r="F64" s="295">
        <f t="shared" si="1"/>
        <v>171950</v>
      </c>
      <c r="G64" s="296"/>
      <c r="H64" s="296"/>
      <c r="I64" s="293"/>
      <c r="J64" s="296"/>
      <c r="K64" s="297">
        <f t="shared" si="2"/>
        <v>0</v>
      </c>
      <c r="L64" s="295">
        <f t="shared" si="3"/>
        <v>0</v>
      </c>
      <c r="M64" s="280"/>
      <c r="N64" s="298"/>
      <c r="O64" s="280"/>
      <c r="P64" s="280"/>
      <c r="Q64" s="299">
        <f t="shared" si="4"/>
        <v>0</v>
      </c>
      <c r="R64" s="305">
        <f t="shared" si="5"/>
        <v>0</v>
      </c>
      <c r="S64" s="306">
        <v>171.0</v>
      </c>
      <c r="T64" s="301">
        <f t="shared" si="6"/>
        <v>10</v>
      </c>
      <c r="U64" s="302">
        <f t="shared" si="7"/>
        <v>9500</v>
      </c>
      <c r="V64" s="295">
        <f t="shared" si="8"/>
        <v>162450</v>
      </c>
      <c r="W64" s="283"/>
      <c r="X64" s="283"/>
      <c r="Y64" s="283"/>
      <c r="Z64" s="283"/>
    </row>
    <row r="65" ht="15.75" customHeight="1">
      <c r="A65" s="293" t="str">
        <f>IFERROR(__xludf.DUMMYFUNCTION("""COMPUTED_VALUE"""),"DPT21")</f>
        <v>DPT21</v>
      </c>
      <c r="B65" s="293" t="str">
        <f>IFERROR(__xludf.DUMMYFUNCTION("""COMPUTED_VALUE"""),"Dao phẫu thuật 21")</f>
        <v>Dao phẫu thuật 21</v>
      </c>
      <c r="C65" s="293" t="str">
        <f>IFERROR(__xludf.DUMMYFUNCTION("""COMPUTED_VALUE"""),"Cái")</f>
        <v>Cái</v>
      </c>
      <c r="D65" s="293">
        <f>IFERROR(__xludf.DUMMYFUNCTION("""COMPUTED_VALUE"""),950.0)</f>
        <v>950</v>
      </c>
      <c r="E65" s="309">
        <v>114.0</v>
      </c>
      <c r="F65" s="295">
        <f t="shared" si="1"/>
        <v>108300</v>
      </c>
      <c r="G65" s="296"/>
      <c r="H65" s="296"/>
      <c r="I65" s="293"/>
      <c r="J65" s="293"/>
      <c r="K65" s="297">
        <f t="shared" si="2"/>
        <v>0</v>
      </c>
      <c r="L65" s="295">
        <f t="shared" si="3"/>
        <v>0</v>
      </c>
      <c r="M65" s="306"/>
      <c r="N65" s="304"/>
      <c r="O65" s="280"/>
      <c r="P65" s="280"/>
      <c r="Q65" s="299">
        <f t="shared" si="4"/>
        <v>0</v>
      </c>
      <c r="R65" s="305">
        <f t="shared" si="5"/>
        <v>0</v>
      </c>
      <c r="S65" s="306">
        <v>123.0</v>
      </c>
      <c r="T65" s="301">
        <f t="shared" si="6"/>
        <v>-9</v>
      </c>
      <c r="U65" s="302">
        <f t="shared" si="7"/>
        <v>-8550</v>
      </c>
      <c r="V65" s="295">
        <f t="shared" si="8"/>
        <v>116850</v>
      </c>
      <c r="W65" s="283"/>
      <c r="X65" s="283"/>
      <c r="Y65" s="283"/>
      <c r="Z65" s="283"/>
    </row>
    <row r="66" ht="15.75" customHeight="1">
      <c r="A66" s="293" t="str">
        <f>IFERROR(__xludf.DUMMYFUNCTION("""COMPUTED_VALUE"""),"DTD")</f>
        <v>DTD</v>
      </c>
      <c r="B66" s="293" t="str">
        <f>IFERROR(__xludf.DUMMYFUNCTION("""COMPUTED_VALUE"""),"Dây truyền dịch")</f>
        <v>Dây truyền dịch</v>
      </c>
      <c r="C66" s="293" t="str">
        <f>IFERROR(__xludf.DUMMYFUNCTION("""COMPUTED_VALUE"""),"Cái")</f>
        <v>Cái</v>
      </c>
      <c r="D66" s="293">
        <f>IFERROR(__xludf.DUMMYFUNCTION("""COMPUTED_VALUE"""),15000.0)</f>
        <v>15000</v>
      </c>
      <c r="E66" s="308">
        <f>429+25</f>
        <v>454</v>
      </c>
      <c r="F66" s="295">
        <f t="shared" si="1"/>
        <v>6810000</v>
      </c>
      <c r="G66" s="296"/>
      <c r="H66" s="296"/>
      <c r="I66" s="293"/>
      <c r="J66" s="280"/>
      <c r="K66" s="297">
        <f t="shared" si="2"/>
        <v>0</v>
      </c>
      <c r="L66" s="295">
        <f t="shared" si="3"/>
        <v>0</v>
      </c>
      <c r="M66" s="306"/>
      <c r="N66" s="311"/>
      <c r="O66" s="306"/>
      <c r="P66" s="280"/>
      <c r="Q66" s="299">
        <f t="shared" si="4"/>
        <v>0</v>
      </c>
      <c r="R66" s="305">
        <f t="shared" si="5"/>
        <v>0</v>
      </c>
      <c r="S66" s="306">
        <v>429.0</v>
      </c>
      <c r="T66" s="301">
        <f t="shared" si="6"/>
        <v>25</v>
      </c>
      <c r="U66" s="302">
        <f t="shared" si="7"/>
        <v>375000</v>
      </c>
      <c r="V66" s="295">
        <f t="shared" si="8"/>
        <v>6435000</v>
      </c>
      <c r="W66" s="283"/>
      <c r="X66" s="283"/>
      <c r="Y66" s="283"/>
      <c r="Z66" s="283"/>
    </row>
    <row r="67" ht="15.75" customHeight="1">
      <c r="A67" s="293" t="str">
        <f>IFERROR(__xludf.DUMMYFUNCTION("""COMPUTED_VALUE"""),"DTM")</f>
        <v>DTM</v>
      </c>
      <c r="B67" s="293" t="str">
        <f>IFERROR(__xludf.DUMMYFUNCTION("""COMPUTED_VALUE"""),"Dây truyền máu")</f>
        <v>Dây truyền máu</v>
      </c>
      <c r="C67" s="293" t="str">
        <f>IFERROR(__xludf.DUMMYFUNCTION("""COMPUTED_VALUE"""),"Cái")</f>
        <v>Cái</v>
      </c>
      <c r="D67" s="293">
        <f>IFERROR(__xludf.DUMMYFUNCTION("""COMPUTED_VALUE"""),4000.0)</f>
        <v>4000</v>
      </c>
      <c r="E67" s="309">
        <v>0.0</v>
      </c>
      <c r="F67" s="295">
        <f t="shared" si="1"/>
        <v>0</v>
      </c>
      <c r="G67" s="296"/>
      <c r="H67" s="296"/>
      <c r="I67" s="296"/>
      <c r="J67" s="296"/>
      <c r="K67" s="297">
        <f t="shared" si="2"/>
        <v>0</v>
      </c>
      <c r="L67" s="295">
        <f t="shared" si="3"/>
        <v>0</v>
      </c>
      <c r="M67" s="280"/>
      <c r="N67" s="307"/>
      <c r="O67" s="280"/>
      <c r="P67" s="280"/>
      <c r="Q67" s="299">
        <f t="shared" si="4"/>
        <v>0</v>
      </c>
      <c r="R67" s="305">
        <f t="shared" si="5"/>
        <v>0</v>
      </c>
      <c r="S67" s="306">
        <v>0.0</v>
      </c>
      <c r="T67" s="301">
        <f t="shared" si="6"/>
        <v>0</v>
      </c>
      <c r="U67" s="302">
        <f t="shared" si="7"/>
        <v>0</v>
      </c>
      <c r="V67" s="295">
        <f t="shared" si="8"/>
        <v>0</v>
      </c>
      <c r="W67" s="283"/>
      <c r="X67" s="283"/>
      <c r="Y67" s="283"/>
      <c r="Z67" s="283"/>
    </row>
    <row r="68" ht="15.75" customHeight="1">
      <c r="A68" s="293" t="str">
        <f>IFERROR(__xludf.DUMMYFUNCTION("""COMPUTED_VALUE"""),"DPK")</f>
        <v>DPK</v>
      </c>
      <c r="B68" s="293" t="str">
        <f>IFERROR(__xludf.DUMMYFUNCTION("""COMPUTED_VALUE"""),"Deparkin")</f>
        <v>Deparkin</v>
      </c>
      <c r="C68" s="293" t="str">
        <f>IFERROR(__xludf.DUMMYFUNCTION("""COMPUTED_VALUE"""),"Viên")</f>
        <v>Viên</v>
      </c>
      <c r="D68" s="293">
        <f>IFERROR(__xludf.DUMMYFUNCTION("""COMPUTED_VALUE"""),2500.0)</f>
        <v>2500</v>
      </c>
      <c r="E68" s="308">
        <v>11.0</v>
      </c>
      <c r="F68" s="295">
        <f t="shared" si="1"/>
        <v>27500</v>
      </c>
      <c r="G68" s="296"/>
      <c r="H68" s="296"/>
      <c r="I68" s="293"/>
      <c r="J68" s="293"/>
      <c r="K68" s="297">
        <f t="shared" si="2"/>
        <v>0</v>
      </c>
      <c r="L68" s="295">
        <f t="shared" si="3"/>
        <v>0</v>
      </c>
      <c r="M68" s="280"/>
      <c r="N68" s="311"/>
      <c r="O68" s="280"/>
      <c r="P68" s="280"/>
      <c r="Q68" s="299">
        <f t="shared" si="4"/>
        <v>0</v>
      </c>
      <c r="R68" s="305">
        <f t="shared" si="5"/>
        <v>0</v>
      </c>
      <c r="S68" s="306">
        <v>11.0</v>
      </c>
      <c r="T68" s="301">
        <f t="shared" si="6"/>
        <v>0</v>
      </c>
      <c r="U68" s="302">
        <f t="shared" si="7"/>
        <v>0</v>
      </c>
      <c r="V68" s="295">
        <f t="shared" si="8"/>
        <v>27500</v>
      </c>
      <c r="W68" s="283"/>
      <c r="X68" s="283"/>
      <c r="Y68" s="283"/>
      <c r="Z68" s="283"/>
    </row>
    <row r="69" ht="15.75" customHeight="1">
      <c r="A69" s="293" t="str">
        <f>IFERROR(__xludf.DUMMYFUNCTION("""COMPUTED_VALUE"""),"DXS")</f>
        <v>DXS</v>
      </c>
      <c r="B69" s="293" t="str">
        <f>IFERROR(__xludf.DUMMYFUNCTION("""COMPUTED_VALUE"""),"Dexasone")</f>
        <v>Dexasone</v>
      </c>
      <c r="C69" s="293" t="str">
        <f>IFERROR(__xludf.DUMMYFUNCTION("""COMPUTED_VALUE"""),"mL")</f>
        <v>mL</v>
      </c>
      <c r="D69" s="293">
        <f>IFERROR(__xludf.DUMMYFUNCTION("""COMPUTED_VALUE"""),250.0)</f>
        <v>250</v>
      </c>
      <c r="E69" s="309">
        <f>70+79</f>
        <v>149</v>
      </c>
      <c r="F69" s="295">
        <f t="shared" si="1"/>
        <v>37250</v>
      </c>
      <c r="G69" s="296"/>
      <c r="H69" s="296"/>
      <c r="I69" s="293"/>
      <c r="J69" s="296"/>
      <c r="K69" s="297">
        <f t="shared" si="2"/>
        <v>0</v>
      </c>
      <c r="L69" s="295">
        <f t="shared" si="3"/>
        <v>0</v>
      </c>
      <c r="M69" s="280"/>
      <c r="N69" s="307"/>
      <c r="O69" s="280"/>
      <c r="P69" s="280"/>
      <c r="Q69" s="299">
        <f t="shared" si="4"/>
        <v>0</v>
      </c>
      <c r="R69" s="305">
        <f t="shared" si="5"/>
        <v>0</v>
      </c>
      <c r="S69" s="306">
        <v>70.0</v>
      </c>
      <c r="T69" s="301">
        <f t="shared" si="6"/>
        <v>79</v>
      </c>
      <c r="U69" s="302">
        <f t="shared" si="7"/>
        <v>19750</v>
      </c>
      <c r="V69" s="295">
        <f t="shared" si="8"/>
        <v>17500</v>
      </c>
      <c r="W69" s="283"/>
      <c r="X69" s="283"/>
      <c r="Y69" s="283"/>
      <c r="Z69" s="283"/>
    </row>
    <row r="70" ht="15.75" customHeight="1">
      <c r="A70" s="293" t="str">
        <f>IFERROR(__xludf.DUMMYFUNCTION("""COMPUTED_VALUE"""),"DVB")</f>
        <v>DVB</v>
      </c>
      <c r="B70" s="293" t="str">
        <f>IFERROR(__xludf.DUMMYFUNCTION("""COMPUTED_VALUE"""),"Diệt ve bột")</f>
        <v>Diệt ve bột</v>
      </c>
      <c r="C70" s="293" t="str">
        <f>IFERROR(__xludf.DUMMYFUNCTION("""COMPUTED_VALUE"""),"Gam")</f>
        <v>Gam</v>
      </c>
      <c r="D70" s="293">
        <f>IFERROR(__xludf.DUMMYFUNCTION("""COMPUTED_VALUE"""),2000.0)</f>
        <v>2000</v>
      </c>
      <c r="E70" s="308">
        <v>9.0</v>
      </c>
      <c r="F70" s="295">
        <f t="shared" si="1"/>
        <v>18000</v>
      </c>
      <c r="G70" s="296"/>
      <c r="H70" s="293"/>
      <c r="I70" s="296"/>
      <c r="J70" s="293"/>
      <c r="K70" s="297">
        <f t="shared" si="2"/>
        <v>0</v>
      </c>
      <c r="L70" s="295">
        <f t="shared" si="3"/>
        <v>0</v>
      </c>
      <c r="M70" s="280"/>
      <c r="N70" s="298"/>
      <c r="O70" s="280"/>
      <c r="P70" s="280"/>
      <c r="Q70" s="299">
        <f t="shared" si="4"/>
        <v>0</v>
      </c>
      <c r="R70" s="305">
        <f t="shared" si="5"/>
        <v>0</v>
      </c>
      <c r="S70" s="306">
        <v>9.0</v>
      </c>
      <c r="T70" s="301">
        <f t="shared" si="6"/>
        <v>0</v>
      </c>
      <c r="U70" s="302">
        <f t="shared" si="7"/>
        <v>0</v>
      </c>
      <c r="V70" s="295">
        <f t="shared" si="8"/>
        <v>18000</v>
      </c>
      <c r="W70" s="283"/>
      <c r="X70" s="283"/>
      <c r="Y70" s="283"/>
      <c r="Z70" s="283"/>
    </row>
    <row r="71" ht="15.75" customHeight="1">
      <c r="A71" s="313" t="str">
        <f>IFERROR(__xludf.DUMMYFUNCTION("""COMPUTED_VALUE"""),"DVX")</f>
        <v>DVX</v>
      </c>
      <c r="B71" s="313" t="str">
        <f>IFERROR(__xludf.DUMMYFUNCTION("""COMPUTED_VALUE"""),"Diệt ve xanh")</f>
        <v>Diệt ve xanh</v>
      </c>
      <c r="C71" s="313" t="str">
        <f>IFERROR(__xludf.DUMMYFUNCTION("""COMPUTED_VALUE"""),"mL")</f>
        <v>mL</v>
      </c>
      <c r="D71" s="313">
        <f>IFERROR(__xludf.DUMMYFUNCTION("""COMPUTED_VALUE"""),641.6666666666666)</f>
        <v>641.6666667</v>
      </c>
      <c r="E71" s="309">
        <v>0.0</v>
      </c>
      <c r="F71" s="313">
        <f t="shared" si="1"/>
        <v>0</v>
      </c>
      <c r="G71" s="314"/>
      <c r="H71" s="313"/>
      <c r="I71" s="314"/>
      <c r="J71" s="314"/>
      <c r="K71" s="315">
        <f t="shared" si="2"/>
        <v>0</v>
      </c>
      <c r="L71" s="313">
        <f t="shared" si="3"/>
        <v>0</v>
      </c>
      <c r="M71" s="316"/>
      <c r="N71" s="317"/>
      <c r="O71" s="316"/>
      <c r="P71" s="316"/>
      <c r="Q71" s="318">
        <f t="shared" si="4"/>
        <v>0</v>
      </c>
      <c r="R71" s="319">
        <v>0.0</v>
      </c>
      <c r="S71" s="316"/>
      <c r="T71" s="320">
        <f t="shared" si="6"/>
        <v>0</v>
      </c>
      <c r="U71" s="321">
        <f t="shared" si="7"/>
        <v>0</v>
      </c>
      <c r="V71" s="313">
        <f t="shared" si="8"/>
        <v>0</v>
      </c>
      <c r="W71" s="283"/>
      <c r="X71" s="283"/>
      <c r="Y71" s="283"/>
      <c r="Z71" s="283"/>
    </row>
    <row r="72" ht="15.75" customHeight="1">
      <c r="A72" s="293" t="str">
        <f>IFERROR(__xludf.DUMMYFUNCTION("""COMPUTED_VALUE"""),"DOC")</f>
        <v>DOC</v>
      </c>
      <c r="B72" s="293" t="str">
        <f>IFERROR(__xludf.DUMMYFUNCTION("""COMPUTED_VALUE"""),"DOC")</f>
        <v>DOC</v>
      </c>
      <c r="C72" s="293" t="str">
        <f>IFERROR(__xludf.DUMMYFUNCTION("""COMPUTED_VALUE"""),"mL")</f>
        <v>mL</v>
      </c>
      <c r="D72" s="293">
        <f>IFERROR(__xludf.DUMMYFUNCTION("""COMPUTED_VALUE"""),1100.0)</f>
        <v>1100</v>
      </c>
      <c r="E72" s="308">
        <v>173.0</v>
      </c>
      <c r="F72" s="295">
        <f t="shared" si="1"/>
        <v>190300</v>
      </c>
      <c r="G72" s="296"/>
      <c r="H72" s="296"/>
      <c r="I72" s="296"/>
      <c r="J72" s="296">
        <v>200.0</v>
      </c>
      <c r="K72" s="297">
        <f t="shared" si="2"/>
        <v>200</v>
      </c>
      <c r="L72" s="295">
        <f t="shared" si="3"/>
        <v>220000</v>
      </c>
      <c r="M72" s="280"/>
      <c r="N72" s="298"/>
      <c r="O72" s="280"/>
      <c r="P72" s="280"/>
      <c r="Q72" s="299">
        <f t="shared" si="4"/>
        <v>0</v>
      </c>
      <c r="R72" s="305">
        <f t="shared" ref="R72:R226" si="9">Q72*$D72</f>
        <v>0</v>
      </c>
      <c r="S72" s="306">
        <f>200+50+45</f>
        <v>295</v>
      </c>
      <c r="T72" s="301">
        <f t="shared" si="6"/>
        <v>78</v>
      </c>
      <c r="U72" s="302">
        <f t="shared" si="7"/>
        <v>85800</v>
      </c>
      <c r="V72" s="295">
        <f t="shared" si="8"/>
        <v>324500</v>
      </c>
      <c r="W72" s="283"/>
      <c r="X72" s="283"/>
      <c r="Y72" s="283"/>
      <c r="Z72" s="283"/>
    </row>
    <row r="73" ht="15.75" customHeight="1">
      <c r="A73" s="293" t="str">
        <f>IFERROR(__xludf.DUMMYFUNCTION("""COMPUTED_VALUE"""),"DRMT")</f>
        <v>DRMT</v>
      </c>
      <c r="B73" s="293" t="str">
        <f>IFERROR(__xludf.DUMMYFUNCTION("""COMPUTED_VALUE"""),"Doramectin")</f>
        <v>Doramectin</v>
      </c>
      <c r="C73" s="293" t="str">
        <f>IFERROR(__xludf.DUMMYFUNCTION("""COMPUTED_VALUE"""),"mL")</f>
        <v>mL</v>
      </c>
      <c r="D73" s="293">
        <f>IFERROR(__xludf.DUMMYFUNCTION("""COMPUTED_VALUE"""),6600.0)</f>
        <v>6600</v>
      </c>
      <c r="E73" s="309">
        <v>10.0</v>
      </c>
      <c r="F73" s="295">
        <f t="shared" si="1"/>
        <v>66000</v>
      </c>
      <c r="G73" s="296"/>
      <c r="H73" s="296"/>
      <c r="I73" s="293"/>
      <c r="J73" s="293"/>
      <c r="K73" s="297">
        <f t="shared" si="2"/>
        <v>0</v>
      </c>
      <c r="L73" s="295">
        <f t="shared" si="3"/>
        <v>0</v>
      </c>
      <c r="M73" s="280"/>
      <c r="N73" s="304"/>
      <c r="O73" s="280"/>
      <c r="P73" s="306"/>
      <c r="Q73" s="299">
        <f t="shared" si="4"/>
        <v>0</v>
      </c>
      <c r="R73" s="305">
        <f t="shared" si="9"/>
        <v>0</v>
      </c>
      <c r="S73" s="306">
        <v>10.0</v>
      </c>
      <c r="T73" s="301">
        <f t="shared" si="6"/>
        <v>0</v>
      </c>
      <c r="U73" s="302">
        <f t="shared" si="7"/>
        <v>0</v>
      </c>
      <c r="V73" s="295">
        <f t="shared" si="8"/>
        <v>66000</v>
      </c>
      <c r="W73" s="283"/>
      <c r="X73" s="283"/>
      <c r="Y73" s="283"/>
      <c r="Z73" s="283"/>
    </row>
    <row r="74" ht="15.75" customHeight="1">
      <c r="A74" s="293" t="str">
        <f>IFERROR(__xludf.DUMMYFUNCTION("""COMPUTED_VALUE"""),"DXL100")</f>
        <v>DXL100</v>
      </c>
      <c r="B74" s="293" t="str">
        <f>IFERROR(__xludf.DUMMYFUNCTION("""COMPUTED_VALUE"""),"Doxycycline 100mg")</f>
        <v>Doxycycline 100mg</v>
      </c>
      <c r="C74" s="293" t="str">
        <f>IFERROR(__xludf.DUMMYFUNCTION("""COMPUTED_VALUE"""),"Viên")</f>
        <v>Viên</v>
      </c>
      <c r="D74" s="293">
        <f>IFERROR(__xludf.DUMMYFUNCTION("""COMPUTED_VALUE"""),900.0)</f>
        <v>900</v>
      </c>
      <c r="E74" s="308">
        <f>834+168</f>
        <v>1002</v>
      </c>
      <c r="F74" s="295">
        <f t="shared" si="1"/>
        <v>901800</v>
      </c>
      <c r="G74" s="296"/>
      <c r="H74" s="296"/>
      <c r="I74" s="296">
        <v>200.0</v>
      </c>
      <c r="J74" s="296"/>
      <c r="K74" s="297">
        <f t="shared" si="2"/>
        <v>200</v>
      </c>
      <c r="L74" s="295">
        <f t="shared" si="3"/>
        <v>180000</v>
      </c>
      <c r="M74" s="306"/>
      <c r="N74" s="311"/>
      <c r="O74" s="306"/>
      <c r="P74" s="280"/>
      <c r="Q74" s="299">
        <f t="shared" si="4"/>
        <v>0</v>
      </c>
      <c r="R74" s="305">
        <f t="shared" si="9"/>
        <v>0</v>
      </c>
      <c r="S74" s="306">
        <f>500+36+250+48</f>
        <v>834</v>
      </c>
      <c r="T74" s="301">
        <f t="shared" si="6"/>
        <v>368</v>
      </c>
      <c r="U74" s="302">
        <f t="shared" si="7"/>
        <v>331200</v>
      </c>
      <c r="V74" s="295">
        <f t="shared" si="8"/>
        <v>750600</v>
      </c>
      <c r="W74" s="283"/>
      <c r="X74" s="283"/>
      <c r="Y74" s="283"/>
      <c r="Z74" s="283"/>
    </row>
    <row r="75" ht="15.75" customHeight="1">
      <c r="A75" s="293" t="str">
        <f>IFERROR(__xludf.DUMMYFUNCTION("""COMPUTED_VALUE"""),"DPL")</f>
        <v>DPL</v>
      </c>
      <c r="B75" s="293" t="str">
        <f>IFERROR(__xludf.DUMMYFUNCTION("""COMPUTED_VALUE"""),"Duphalac")</f>
        <v>Duphalac</v>
      </c>
      <c r="C75" s="293" t="str">
        <f>IFERROR(__xludf.DUMMYFUNCTION("""COMPUTED_VALUE"""),"Gói")</f>
        <v>Gói</v>
      </c>
      <c r="D75" s="293">
        <f>IFERROR(__xludf.DUMMYFUNCTION("""COMPUTED_VALUE"""),4750.0)</f>
        <v>4750</v>
      </c>
      <c r="E75" s="309">
        <v>14.0</v>
      </c>
      <c r="F75" s="295">
        <f t="shared" si="1"/>
        <v>66500</v>
      </c>
      <c r="G75" s="296"/>
      <c r="H75" s="293"/>
      <c r="I75" s="293"/>
      <c r="J75" s="296"/>
      <c r="K75" s="297">
        <f t="shared" si="2"/>
        <v>0</v>
      </c>
      <c r="L75" s="295">
        <f t="shared" si="3"/>
        <v>0</v>
      </c>
      <c r="M75" s="280"/>
      <c r="N75" s="304"/>
      <c r="O75" s="306"/>
      <c r="P75" s="280"/>
      <c r="Q75" s="299">
        <f t="shared" si="4"/>
        <v>0</v>
      </c>
      <c r="R75" s="305">
        <f t="shared" si="9"/>
        <v>0</v>
      </c>
      <c r="S75" s="306">
        <v>13.0</v>
      </c>
      <c r="T75" s="301">
        <f t="shared" si="6"/>
        <v>1</v>
      </c>
      <c r="U75" s="302">
        <f t="shared" si="7"/>
        <v>4750</v>
      </c>
      <c r="V75" s="295">
        <f t="shared" si="8"/>
        <v>61750</v>
      </c>
      <c r="W75" s="283"/>
      <c r="X75" s="283"/>
      <c r="Y75" s="283"/>
      <c r="Z75" s="283"/>
    </row>
    <row r="76" ht="15.75" customHeight="1">
      <c r="A76" s="293" t="str">
        <f>IFERROR(__xludf.DUMMYFUNCTION("""COMPUTED_VALUE"""),"FLDX")</f>
        <v>FLDX</v>
      </c>
      <c r="B76" s="293" t="str">
        <f>IFERROR(__xludf.DUMMYFUNCTION("""COMPUTED_VALUE"""),"Flodixine")</f>
        <v>Flodixine</v>
      </c>
      <c r="C76" s="293" t="str">
        <f>IFERROR(__xludf.DUMMYFUNCTION("""COMPUTED_VALUE"""),"mL")</f>
        <v>mL</v>
      </c>
      <c r="D76" s="293">
        <f>IFERROR(__xludf.DUMMYFUNCTION("""COMPUTED_VALUE"""),1150.0)</f>
        <v>1150</v>
      </c>
      <c r="E76" s="308">
        <f>85+49</f>
        <v>134</v>
      </c>
      <c r="F76" s="295">
        <f t="shared" si="1"/>
        <v>154100</v>
      </c>
      <c r="G76" s="296"/>
      <c r="H76" s="293"/>
      <c r="I76" s="293"/>
      <c r="J76" s="293"/>
      <c r="K76" s="297">
        <f t="shared" si="2"/>
        <v>0</v>
      </c>
      <c r="L76" s="295">
        <f t="shared" si="3"/>
        <v>0</v>
      </c>
      <c r="M76" s="280"/>
      <c r="N76" s="311"/>
      <c r="O76" s="306"/>
      <c r="P76" s="280"/>
      <c r="Q76" s="299">
        <f t="shared" si="4"/>
        <v>0</v>
      </c>
      <c r="R76" s="305">
        <f t="shared" si="9"/>
        <v>0</v>
      </c>
      <c r="S76" s="306">
        <f>55+40</f>
        <v>95</v>
      </c>
      <c r="T76" s="301">
        <f t="shared" si="6"/>
        <v>39</v>
      </c>
      <c r="U76" s="302">
        <f t="shared" si="7"/>
        <v>44850</v>
      </c>
      <c r="V76" s="295">
        <f t="shared" si="8"/>
        <v>109250</v>
      </c>
      <c r="W76" s="283"/>
      <c r="X76" s="283"/>
      <c r="Y76" s="283"/>
      <c r="Z76" s="283"/>
    </row>
    <row r="77" ht="15.75" customHeight="1">
      <c r="A77" s="293" t="str">
        <f>IFERROR(__xludf.DUMMYFUNCTION("""COMPUTED_VALUE"""),"FLFNC")</f>
        <v>FLFNC</v>
      </c>
      <c r="B77" s="293" t="str">
        <f>IFERROR(__xludf.DUMMYFUNCTION("""COMPUTED_VALUE"""),"Flofenicol")</f>
        <v>Flofenicol</v>
      </c>
      <c r="C77" s="293" t="str">
        <f>IFERROR(__xludf.DUMMYFUNCTION("""COMPUTED_VALUE"""),"mL")</f>
        <v>mL</v>
      </c>
      <c r="D77" s="293">
        <f>IFERROR(__xludf.DUMMYFUNCTION("""COMPUTED_VALUE"""),1000.0)</f>
        <v>1000</v>
      </c>
      <c r="E77" s="309">
        <v>200.0</v>
      </c>
      <c r="F77" s="295">
        <f t="shared" si="1"/>
        <v>200000</v>
      </c>
      <c r="G77" s="296"/>
      <c r="H77" s="293"/>
      <c r="I77" s="293"/>
      <c r="J77" s="293"/>
      <c r="K77" s="297">
        <f t="shared" si="2"/>
        <v>0</v>
      </c>
      <c r="L77" s="295">
        <f t="shared" si="3"/>
        <v>0</v>
      </c>
      <c r="M77" s="280"/>
      <c r="N77" s="307"/>
      <c r="O77" s="280"/>
      <c r="P77" s="280"/>
      <c r="Q77" s="299">
        <f t="shared" si="4"/>
        <v>0</v>
      </c>
      <c r="R77" s="305">
        <f t="shared" si="9"/>
        <v>0</v>
      </c>
      <c r="S77" s="306">
        <v>200.0</v>
      </c>
      <c r="T77" s="301">
        <f t="shared" si="6"/>
        <v>0</v>
      </c>
      <c r="U77" s="302">
        <f t="shared" si="7"/>
        <v>0</v>
      </c>
      <c r="V77" s="295">
        <f t="shared" si="8"/>
        <v>200000</v>
      </c>
      <c r="W77" s="283"/>
      <c r="X77" s="283"/>
      <c r="Y77" s="283"/>
      <c r="Z77" s="283"/>
    </row>
    <row r="78" ht="15.75" customHeight="1">
      <c r="A78" s="293" t="str">
        <f>IFERROR(__xludf.DUMMYFUNCTION("""COMPUTED_VALUE"""),"FRCMT")</f>
        <v>FRCMT</v>
      </c>
      <c r="B78" s="293" t="str">
        <f>IFERROR(__xludf.DUMMYFUNCTION("""COMPUTED_VALUE"""),"Furosemid 40 mg tiêm")</f>
        <v>Furosemid 40 mg tiêm</v>
      </c>
      <c r="C78" s="293" t="str">
        <f>IFERROR(__xludf.DUMMYFUNCTION("""COMPUTED_VALUE"""),"Ống")</f>
        <v>Ống</v>
      </c>
      <c r="D78" s="293">
        <f>IFERROR(__xludf.DUMMYFUNCTION("""COMPUTED_VALUE"""),3400.0)</f>
        <v>3400</v>
      </c>
      <c r="E78" s="308">
        <v>34.0</v>
      </c>
      <c r="F78" s="295">
        <f t="shared" si="1"/>
        <v>115600</v>
      </c>
      <c r="G78" s="296"/>
      <c r="H78" s="306"/>
      <c r="I78" s="293"/>
      <c r="J78" s="296"/>
      <c r="K78" s="297">
        <f t="shared" si="2"/>
        <v>0</v>
      </c>
      <c r="L78" s="295">
        <f t="shared" si="3"/>
        <v>0</v>
      </c>
      <c r="M78" s="280"/>
      <c r="N78" s="298"/>
      <c r="O78" s="280"/>
      <c r="P78" s="280"/>
      <c r="Q78" s="299">
        <f t="shared" si="4"/>
        <v>0</v>
      </c>
      <c r="R78" s="305">
        <f t="shared" si="9"/>
        <v>0</v>
      </c>
      <c r="S78" s="306">
        <v>32.0</v>
      </c>
      <c r="T78" s="301">
        <f t="shared" si="6"/>
        <v>2</v>
      </c>
      <c r="U78" s="302">
        <f t="shared" si="7"/>
        <v>6800</v>
      </c>
      <c r="V78" s="295">
        <f t="shared" si="8"/>
        <v>108800</v>
      </c>
      <c r="W78" s="283"/>
      <c r="X78" s="283"/>
      <c r="Y78" s="283"/>
      <c r="Z78" s="283"/>
    </row>
    <row r="79" ht="15.75" customHeight="1">
      <c r="A79" s="293" t="str">
        <f>IFERROR(__xludf.DUMMYFUNCTION("""COMPUTED_VALUE"""),"FRCMU")</f>
        <v>FRCMU</v>
      </c>
      <c r="B79" s="293" t="str">
        <f>IFERROR(__xludf.DUMMYFUNCTION("""COMPUTED_VALUE"""),"Furosemid 40 mg uống")</f>
        <v>Furosemid 40 mg uống</v>
      </c>
      <c r="C79" s="293" t="str">
        <f>IFERROR(__xludf.DUMMYFUNCTION("""COMPUTED_VALUE"""),"Viên")</f>
        <v>Viên</v>
      </c>
      <c r="D79" s="293">
        <f>IFERROR(__xludf.DUMMYFUNCTION("""COMPUTED_VALUE"""),500.0)</f>
        <v>500</v>
      </c>
      <c r="E79" s="309">
        <f>83+19</f>
        <v>102</v>
      </c>
      <c r="F79" s="295">
        <f t="shared" si="1"/>
        <v>51000</v>
      </c>
      <c r="G79" s="296"/>
      <c r="H79" s="296"/>
      <c r="I79" s="296"/>
      <c r="J79" s="296"/>
      <c r="K79" s="297">
        <f t="shared" si="2"/>
        <v>0</v>
      </c>
      <c r="L79" s="295">
        <f t="shared" si="3"/>
        <v>0</v>
      </c>
      <c r="M79" s="280"/>
      <c r="N79" s="304"/>
      <c r="O79" s="306"/>
      <c r="P79" s="280"/>
      <c r="Q79" s="299">
        <f t="shared" si="4"/>
        <v>0</v>
      </c>
      <c r="R79" s="305">
        <f t="shared" si="9"/>
        <v>0</v>
      </c>
      <c r="S79" s="306">
        <f>83+19</f>
        <v>102</v>
      </c>
      <c r="T79" s="301">
        <f t="shared" si="6"/>
        <v>0</v>
      </c>
      <c r="U79" s="302">
        <f t="shared" si="7"/>
        <v>0</v>
      </c>
      <c r="V79" s="295">
        <f t="shared" si="8"/>
        <v>51000</v>
      </c>
      <c r="W79" s="283"/>
      <c r="X79" s="283"/>
      <c r="Y79" s="283"/>
      <c r="Z79" s="283"/>
    </row>
    <row r="80" ht="15.75" customHeight="1">
      <c r="A80" s="293" t="str">
        <f>IFERROR(__xludf.DUMMYFUNCTION("""COMPUTED_VALUE"""),"GPT")</f>
        <v>GPT</v>
      </c>
      <c r="B80" s="293" t="str">
        <f>IFERROR(__xludf.DUMMYFUNCTION("""COMPUTED_VALUE"""),"Gạc phẫu thuật")</f>
        <v>Gạc phẫu thuật</v>
      </c>
      <c r="C80" s="293" t="str">
        <f>IFERROR(__xludf.DUMMYFUNCTION("""COMPUTED_VALUE"""),"Hộp")</f>
        <v>Hộp</v>
      </c>
      <c r="D80" s="293">
        <f>IFERROR(__xludf.DUMMYFUNCTION("""COMPUTED_VALUE"""),300000.0)</f>
        <v>300000</v>
      </c>
      <c r="E80" s="308">
        <v>2.0</v>
      </c>
      <c r="F80" s="295">
        <f t="shared" si="1"/>
        <v>600000</v>
      </c>
      <c r="G80" s="296"/>
      <c r="H80" s="296"/>
      <c r="I80" s="296"/>
      <c r="J80" s="296"/>
      <c r="K80" s="297">
        <f t="shared" si="2"/>
        <v>0</v>
      </c>
      <c r="L80" s="295">
        <f t="shared" si="3"/>
        <v>0</v>
      </c>
      <c r="M80" s="280"/>
      <c r="N80" s="311"/>
      <c r="O80" s="280"/>
      <c r="P80" s="306"/>
      <c r="Q80" s="299">
        <f t="shared" si="4"/>
        <v>0</v>
      </c>
      <c r="R80" s="305">
        <f t="shared" si="9"/>
        <v>0</v>
      </c>
      <c r="S80" s="306">
        <v>2.0</v>
      </c>
      <c r="T80" s="301">
        <f t="shared" si="6"/>
        <v>0</v>
      </c>
      <c r="U80" s="302">
        <f t="shared" si="7"/>
        <v>0</v>
      </c>
      <c r="V80" s="295">
        <f t="shared" si="8"/>
        <v>600000</v>
      </c>
      <c r="W80" s="283"/>
      <c r="X80" s="283"/>
      <c r="Y80" s="283"/>
      <c r="Z80" s="283"/>
    </row>
    <row r="81" ht="15.75" customHeight="1">
      <c r="A81" s="293" t="str">
        <f>IFERROR(__xludf.DUMMYFUNCTION("""COMPUTED_VALUE"""),"GPTOB")</f>
        <v>GPTOB</v>
      </c>
      <c r="B81" s="293" t="str">
        <f>IFERROR(__xludf.DUMMYFUNCTION("""COMPUTED_VALUE"""),"Gạc phẫu thuật ổ bụng")</f>
        <v>Gạc phẫu thuật ổ bụng</v>
      </c>
      <c r="C81" s="293" t="str">
        <f>IFERROR(__xludf.DUMMYFUNCTION("""COMPUTED_VALUE"""),"Gói")</f>
        <v>Gói</v>
      </c>
      <c r="D81" s="293">
        <f>IFERROR(__xludf.DUMMYFUNCTION("""COMPUTED_VALUE"""),8000.0)</f>
        <v>8000</v>
      </c>
      <c r="E81" s="309">
        <v>50.0</v>
      </c>
      <c r="F81" s="295">
        <f t="shared" si="1"/>
        <v>400000</v>
      </c>
      <c r="G81" s="296"/>
      <c r="H81" s="296"/>
      <c r="I81" s="296"/>
      <c r="J81" s="293"/>
      <c r="K81" s="297">
        <f t="shared" si="2"/>
        <v>0</v>
      </c>
      <c r="L81" s="295">
        <f t="shared" si="3"/>
        <v>0</v>
      </c>
      <c r="M81" s="280"/>
      <c r="N81" s="307"/>
      <c r="O81" s="280"/>
      <c r="P81" s="280"/>
      <c r="Q81" s="299">
        <f t="shared" si="4"/>
        <v>0</v>
      </c>
      <c r="R81" s="305">
        <f t="shared" si="9"/>
        <v>0</v>
      </c>
      <c r="S81" s="306"/>
      <c r="T81" s="301">
        <f t="shared" si="6"/>
        <v>50</v>
      </c>
      <c r="U81" s="302">
        <f t="shared" si="7"/>
        <v>400000</v>
      </c>
      <c r="V81" s="295">
        <f t="shared" si="8"/>
        <v>0</v>
      </c>
      <c r="W81" s="283"/>
      <c r="X81" s="283"/>
      <c r="Y81" s="283"/>
      <c r="Z81" s="283"/>
    </row>
    <row r="82" ht="15.75" customHeight="1">
      <c r="A82" s="293" t="str">
        <f>IFERROR(__xludf.DUMMYFUNCTION("""COMPUTED_VALUE"""),"GTPT")</f>
        <v>GTPT</v>
      </c>
      <c r="B82" s="293" t="str">
        <f>IFERROR(__xludf.DUMMYFUNCTION("""COMPUTED_VALUE"""),"Găng tay phẫu thuật")</f>
        <v>Găng tay phẫu thuật</v>
      </c>
      <c r="C82" s="293" t="str">
        <f>IFERROR(__xludf.DUMMYFUNCTION("""COMPUTED_VALUE"""),"Đôi")</f>
        <v>Đôi</v>
      </c>
      <c r="D82" s="293">
        <f>IFERROR(__xludf.DUMMYFUNCTION("""COMPUTED_VALUE"""),5400.0)</f>
        <v>5400</v>
      </c>
      <c r="E82" s="312">
        <v>0.0</v>
      </c>
      <c r="F82" s="295">
        <f t="shared" si="1"/>
        <v>0</v>
      </c>
      <c r="G82" s="296"/>
      <c r="H82" s="296"/>
      <c r="I82" s="296"/>
      <c r="J82" s="293"/>
      <c r="K82" s="297">
        <f t="shared" si="2"/>
        <v>0</v>
      </c>
      <c r="L82" s="295">
        <f t="shared" si="3"/>
        <v>0</v>
      </c>
      <c r="M82" s="280"/>
      <c r="N82" s="311"/>
      <c r="O82" s="280"/>
      <c r="P82" s="280"/>
      <c r="Q82" s="299">
        <f t="shared" si="4"/>
        <v>0</v>
      </c>
      <c r="R82" s="305">
        <f t="shared" si="9"/>
        <v>0</v>
      </c>
      <c r="S82" s="306">
        <v>0.0</v>
      </c>
      <c r="T82" s="301">
        <f t="shared" si="6"/>
        <v>0</v>
      </c>
      <c r="U82" s="302">
        <f t="shared" si="7"/>
        <v>0</v>
      </c>
      <c r="V82" s="295">
        <f t="shared" si="8"/>
        <v>0</v>
      </c>
      <c r="W82" s="283"/>
      <c r="X82" s="283"/>
      <c r="Y82" s="283"/>
      <c r="Z82" s="283"/>
    </row>
    <row r="83" ht="15.75" customHeight="1">
      <c r="A83" s="293" t="str">
        <f>IFERROR(__xludf.DUMMYFUNCTION("""COMPUTED_VALUE"""),"GTT")</f>
        <v>GTT</v>
      </c>
      <c r="B83" s="293" t="str">
        <f>IFERROR(__xludf.DUMMYFUNCTION("""COMPUTED_VALUE"""),"Găng tay thường")</f>
        <v>Găng tay thường</v>
      </c>
      <c r="C83" s="293" t="str">
        <f>IFERROR(__xludf.DUMMYFUNCTION("""COMPUTED_VALUE"""),"Hộp")</f>
        <v>Hộp</v>
      </c>
      <c r="D83" s="293">
        <f>IFERROR(__xludf.DUMMYFUNCTION("""COMPUTED_VALUE"""),65000.0)</f>
        <v>65000</v>
      </c>
      <c r="E83" s="309">
        <v>9.0</v>
      </c>
      <c r="F83" s="295">
        <f t="shared" si="1"/>
        <v>585000</v>
      </c>
      <c r="G83" s="296"/>
      <c r="H83" s="296"/>
      <c r="I83" s="296"/>
      <c r="J83" s="296">
        <v>10.0</v>
      </c>
      <c r="K83" s="297">
        <f t="shared" si="2"/>
        <v>10</v>
      </c>
      <c r="L83" s="295">
        <f t="shared" si="3"/>
        <v>650000</v>
      </c>
      <c r="M83" s="306"/>
      <c r="N83" s="307"/>
      <c r="O83" s="306"/>
      <c r="P83" s="280"/>
      <c r="Q83" s="299">
        <f t="shared" si="4"/>
        <v>0</v>
      </c>
      <c r="R83" s="305">
        <f t="shared" si="9"/>
        <v>0</v>
      </c>
      <c r="S83" s="306">
        <v>9.0</v>
      </c>
      <c r="T83" s="301">
        <f t="shared" si="6"/>
        <v>10</v>
      </c>
      <c r="U83" s="302">
        <f t="shared" si="7"/>
        <v>650000</v>
      </c>
      <c r="V83" s="295">
        <f t="shared" si="8"/>
        <v>585000</v>
      </c>
      <c r="W83" s="283"/>
      <c r="X83" s="283"/>
      <c r="Y83" s="283"/>
      <c r="Z83" s="283"/>
    </row>
    <row r="84" ht="15.75" customHeight="1">
      <c r="A84" s="293" t="str">
        <f>IFERROR(__xludf.DUMMYFUNCTION("""COMPUTED_VALUE"""),"GSA")</f>
        <v>GSA</v>
      </c>
      <c r="B84" s="293" t="str">
        <f>IFERROR(__xludf.DUMMYFUNCTION("""COMPUTED_VALUE"""),"Gel siêu âm")</f>
        <v>Gel siêu âm</v>
      </c>
      <c r="C84" s="293" t="str">
        <f>IFERROR(__xludf.DUMMYFUNCTION("""COMPUTED_VALUE"""),"Gam")</f>
        <v>Gam</v>
      </c>
      <c r="D84" s="293">
        <f>IFERROR(__xludf.DUMMYFUNCTION("""COMPUTED_VALUE"""),30.0)</f>
        <v>30</v>
      </c>
      <c r="E84" s="308">
        <v>4800.0</v>
      </c>
      <c r="F84" s="295">
        <f t="shared" si="1"/>
        <v>144000</v>
      </c>
      <c r="G84" s="296"/>
      <c r="H84" s="296"/>
      <c r="I84" s="296"/>
      <c r="J84" s="296"/>
      <c r="K84" s="297">
        <f t="shared" si="2"/>
        <v>0</v>
      </c>
      <c r="L84" s="295">
        <f t="shared" si="3"/>
        <v>0</v>
      </c>
      <c r="M84" s="280"/>
      <c r="N84" s="311"/>
      <c r="O84" s="280"/>
      <c r="P84" s="280"/>
      <c r="Q84" s="299">
        <f t="shared" si="4"/>
        <v>0</v>
      </c>
      <c r="R84" s="305">
        <f t="shared" si="9"/>
        <v>0</v>
      </c>
      <c r="S84" s="306">
        <v>4600.0</v>
      </c>
      <c r="T84" s="301">
        <f t="shared" si="6"/>
        <v>200</v>
      </c>
      <c r="U84" s="302">
        <f t="shared" si="7"/>
        <v>6000</v>
      </c>
      <c r="V84" s="295">
        <f t="shared" si="8"/>
        <v>138000</v>
      </c>
      <c r="W84" s="283"/>
      <c r="X84" s="283"/>
      <c r="Y84" s="283"/>
      <c r="Z84" s="283"/>
    </row>
    <row r="85" ht="15.75" customHeight="1">
      <c r="A85" s="293" t="str">
        <f>IFERROR(__xludf.DUMMYFUNCTION("""COMPUTED_VALUE"""),"GTMC4")</f>
        <v>GTMC4</v>
      </c>
      <c r="B85" s="293" t="str">
        <f>IFERROR(__xludf.DUMMYFUNCTION("""COMPUTED_VALUE"""),"Gentamycin 4%")</f>
        <v>Gentamycin 4%</v>
      </c>
      <c r="C85" s="293" t="str">
        <f>IFERROR(__xludf.DUMMYFUNCTION("""COMPUTED_VALUE"""),"mL")</f>
        <v>mL</v>
      </c>
      <c r="D85" s="293">
        <f>IFERROR(__xludf.DUMMYFUNCTION("""COMPUTED_VALUE"""),250.0)</f>
        <v>250</v>
      </c>
      <c r="E85" s="309">
        <v>80.0</v>
      </c>
      <c r="F85" s="295">
        <f t="shared" si="1"/>
        <v>20000</v>
      </c>
      <c r="G85" s="296"/>
      <c r="H85" s="296"/>
      <c r="I85" s="293"/>
      <c r="J85" s="296"/>
      <c r="K85" s="297">
        <f t="shared" si="2"/>
        <v>0</v>
      </c>
      <c r="L85" s="295">
        <f t="shared" si="3"/>
        <v>0</v>
      </c>
      <c r="M85" s="306"/>
      <c r="N85" s="304"/>
      <c r="O85" s="306"/>
      <c r="P85" s="280"/>
      <c r="Q85" s="299">
        <f t="shared" si="4"/>
        <v>0</v>
      </c>
      <c r="R85" s="305">
        <f t="shared" si="9"/>
        <v>0</v>
      </c>
      <c r="S85" s="306">
        <v>80.0</v>
      </c>
      <c r="T85" s="301">
        <f t="shared" si="6"/>
        <v>0</v>
      </c>
      <c r="U85" s="302">
        <f t="shared" si="7"/>
        <v>0</v>
      </c>
      <c r="V85" s="295">
        <f t="shared" si="8"/>
        <v>20000</v>
      </c>
      <c r="W85" s="283"/>
      <c r="X85" s="283"/>
      <c r="Y85" s="283"/>
      <c r="Z85" s="283"/>
    </row>
    <row r="86" ht="15.75" customHeight="1">
      <c r="A86" s="293" t="str">
        <f>IFERROR(__xludf.DUMMYFUNCTION("""COMPUTED_VALUE"""),"GI")</f>
        <v>GI</v>
      </c>
      <c r="B86" s="293" t="str">
        <f>IFERROR(__xludf.DUMMYFUNCTION("""COMPUTED_VALUE"""),"Giấy in")</f>
        <v>Giấy in</v>
      </c>
      <c r="C86" s="293" t="str">
        <f>IFERROR(__xludf.DUMMYFUNCTION("""COMPUTED_VALUE"""),"Cuộn")</f>
        <v>Cuộn</v>
      </c>
      <c r="D86" s="293">
        <f>IFERROR(__xludf.DUMMYFUNCTION("""COMPUTED_VALUE"""),5280.0)</f>
        <v>5280</v>
      </c>
      <c r="E86" s="308">
        <v>20.0</v>
      </c>
      <c r="F86" s="295">
        <f t="shared" si="1"/>
        <v>105600</v>
      </c>
      <c r="G86" s="296"/>
      <c r="H86" s="293"/>
      <c r="I86" s="296"/>
      <c r="J86" s="293"/>
      <c r="K86" s="297">
        <f t="shared" si="2"/>
        <v>0</v>
      </c>
      <c r="L86" s="295">
        <f t="shared" si="3"/>
        <v>0</v>
      </c>
      <c r="M86" s="306"/>
      <c r="N86" s="298"/>
      <c r="O86" s="280"/>
      <c r="P86" s="280"/>
      <c r="Q86" s="299">
        <f t="shared" si="4"/>
        <v>0</v>
      </c>
      <c r="R86" s="305">
        <f t="shared" si="9"/>
        <v>0</v>
      </c>
      <c r="S86" s="306">
        <v>0.0</v>
      </c>
      <c r="T86" s="301">
        <f t="shared" si="6"/>
        <v>20</v>
      </c>
      <c r="U86" s="302">
        <f t="shared" si="7"/>
        <v>105600</v>
      </c>
      <c r="V86" s="295">
        <f t="shared" si="8"/>
        <v>0</v>
      </c>
      <c r="W86" s="283"/>
      <c r="X86" s="283"/>
      <c r="Y86" s="283"/>
      <c r="Z86" s="283"/>
    </row>
    <row r="87" ht="15.75" customHeight="1">
      <c r="A87" s="293" t="str">
        <f>IFERROR(__xludf.DUMMYFUNCTION("""COMPUTED_VALUE"""),"GL5")</f>
        <v>GL5</v>
      </c>
      <c r="B87" s="293" t="str">
        <f>IFERROR(__xludf.DUMMYFUNCTION("""COMPUTED_VALUE"""),"Glucose 5%")</f>
        <v>Glucose 5%</v>
      </c>
      <c r="C87" s="293" t="str">
        <f>IFERROR(__xludf.DUMMYFUNCTION("""COMPUTED_VALUE"""),"Chai")</f>
        <v>Chai</v>
      </c>
      <c r="D87" s="293">
        <f>IFERROR(__xludf.DUMMYFUNCTION("""COMPUTED_VALUE"""),12250.0)</f>
        <v>12250</v>
      </c>
      <c r="E87" s="309">
        <v>28.0</v>
      </c>
      <c r="F87" s="295">
        <f t="shared" si="1"/>
        <v>343000</v>
      </c>
      <c r="G87" s="296"/>
      <c r="H87" s="296"/>
      <c r="I87" s="296"/>
      <c r="J87" s="296"/>
      <c r="K87" s="297">
        <f t="shared" si="2"/>
        <v>0</v>
      </c>
      <c r="L87" s="295">
        <f t="shared" si="3"/>
        <v>0</v>
      </c>
      <c r="M87" s="280"/>
      <c r="N87" s="304"/>
      <c r="O87" s="280"/>
      <c r="P87" s="280"/>
      <c r="Q87" s="299">
        <f t="shared" si="4"/>
        <v>0</v>
      </c>
      <c r="R87" s="305">
        <f t="shared" si="9"/>
        <v>0</v>
      </c>
      <c r="S87" s="306">
        <v>16.0</v>
      </c>
      <c r="T87" s="301">
        <f t="shared" si="6"/>
        <v>12</v>
      </c>
      <c r="U87" s="302">
        <f t="shared" si="7"/>
        <v>147000</v>
      </c>
      <c r="V87" s="295">
        <f t="shared" si="8"/>
        <v>196000</v>
      </c>
      <c r="W87" s="283"/>
      <c r="X87" s="283"/>
      <c r="Y87" s="283"/>
      <c r="Z87" s="283"/>
    </row>
    <row r="88" ht="15.75" customHeight="1">
      <c r="A88" s="293" t="str">
        <f>IFERROR(__xludf.DUMMYFUNCTION("""COMPUTED_VALUE"""),"HTX")</f>
        <v>HTX</v>
      </c>
      <c r="B88" s="293" t="str">
        <f>IFERROR(__xludf.DUMMYFUNCTION("""COMPUTED_VALUE"""),"Hantox")</f>
        <v>Hantox</v>
      </c>
      <c r="C88" s="293" t="str">
        <f>IFERROR(__xludf.DUMMYFUNCTION("""COMPUTED_VALUE"""),"mL")</f>
        <v>mL</v>
      </c>
      <c r="D88" s="293">
        <f>IFERROR(__xludf.DUMMYFUNCTION("""COMPUTED_VALUE"""),500.0)</f>
        <v>500</v>
      </c>
      <c r="E88" s="308">
        <v>700.0</v>
      </c>
      <c r="F88" s="295">
        <f t="shared" si="1"/>
        <v>350000</v>
      </c>
      <c r="G88" s="296"/>
      <c r="H88" s="293"/>
      <c r="I88" s="296"/>
      <c r="J88" s="296"/>
      <c r="K88" s="297">
        <f t="shared" si="2"/>
        <v>0</v>
      </c>
      <c r="L88" s="295">
        <f t="shared" si="3"/>
        <v>0</v>
      </c>
      <c r="M88" s="280"/>
      <c r="N88" s="298"/>
      <c r="O88" s="306"/>
      <c r="P88" s="280"/>
      <c r="Q88" s="299">
        <f t="shared" si="4"/>
        <v>0</v>
      </c>
      <c r="R88" s="305">
        <f t="shared" si="9"/>
        <v>0</v>
      </c>
      <c r="S88" s="306">
        <f>9*50</f>
        <v>450</v>
      </c>
      <c r="T88" s="301">
        <f t="shared" si="6"/>
        <v>250</v>
      </c>
      <c r="U88" s="302">
        <f t="shared" si="7"/>
        <v>125000</v>
      </c>
      <c r="V88" s="295">
        <f t="shared" si="8"/>
        <v>225000</v>
      </c>
      <c r="W88" s="283"/>
      <c r="X88" s="283"/>
      <c r="Y88" s="283"/>
      <c r="Z88" s="283"/>
    </row>
    <row r="89" ht="15.75" customHeight="1">
      <c r="A89" s="293" t="str">
        <f>IFERROR(__xludf.DUMMYFUNCTION("""COMPUTED_VALUE"""),"HCMSL1")</f>
        <v>HCMSL1</v>
      </c>
      <c r="B89" s="293" t="str">
        <f>IFERROR(__xludf.DUMMYFUNCTION("""COMPUTED_VALUE"""),"HC Diluent")</f>
        <v>HC Diluent</v>
      </c>
      <c r="C89" s="293" t="str">
        <f>IFERROR(__xludf.DUMMYFUNCTION("""COMPUTED_VALUE"""),"Hộp")</f>
        <v>Hộp</v>
      </c>
      <c r="D89" s="293">
        <f>IFERROR(__xludf.DUMMYFUNCTION("""COMPUTED_VALUE"""),900000.0)</f>
        <v>900000</v>
      </c>
      <c r="E89" s="309">
        <v>0.0</v>
      </c>
      <c r="F89" s="295">
        <f t="shared" si="1"/>
        <v>0</v>
      </c>
      <c r="G89" s="296"/>
      <c r="H89" s="293"/>
      <c r="I89" s="293"/>
      <c r="J89" s="293"/>
      <c r="K89" s="297">
        <f t="shared" si="2"/>
        <v>0</v>
      </c>
      <c r="L89" s="295">
        <f t="shared" si="3"/>
        <v>0</v>
      </c>
      <c r="M89" s="306"/>
      <c r="N89" s="307"/>
      <c r="O89" s="280"/>
      <c r="P89" s="280"/>
      <c r="Q89" s="299">
        <f t="shared" si="4"/>
        <v>0</v>
      </c>
      <c r="R89" s="305">
        <f t="shared" si="9"/>
        <v>0</v>
      </c>
      <c r="S89" s="306">
        <v>0.0</v>
      </c>
      <c r="T89" s="301">
        <f t="shared" si="6"/>
        <v>0</v>
      </c>
      <c r="U89" s="302">
        <f t="shared" si="7"/>
        <v>0</v>
      </c>
      <c r="V89" s="295">
        <f t="shared" si="8"/>
        <v>0</v>
      </c>
      <c r="W89" s="283"/>
      <c r="X89" s="283"/>
      <c r="Y89" s="283"/>
      <c r="Z89" s="283"/>
    </row>
    <row r="90" ht="15.75" customHeight="1">
      <c r="A90" s="293" t="str">
        <f>IFERROR(__xludf.DUMMYFUNCTION("""COMPUTED_VALUE"""),"HCMSL3")</f>
        <v>HCMSL3</v>
      </c>
      <c r="B90" s="293" t="str">
        <f>IFERROR(__xludf.DUMMYFUNCTION("""COMPUTED_VALUE"""),"HC Ez cleaner")</f>
        <v>HC Ez cleaner</v>
      </c>
      <c r="C90" s="293" t="str">
        <f>IFERROR(__xludf.DUMMYFUNCTION("""COMPUTED_VALUE"""),"Chai")</f>
        <v>Chai</v>
      </c>
      <c r="D90" s="293">
        <f>IFERROR(__xludf.DUMMYFUNCTION("""COMPUTED_VALUE"""),600000.0)</f>
        <v>600000</v>
      </c>
      <c r="E90" s="308">
        <v>0.0</v>
      </c>
      <c r="F90" s="295">
        <f t="shared" si="1"/>
        <v>0</v>
      </c>
      <c r="G90" s="296"/>
      <c r="H90" s="293"/>
      <c r="I90" s="293"/>
      <c r="J90" s="293"/>
      <c r="K90" s="297">
        <f t="shared" si="2"/>
        <v>0</v>
      </c>
      <c r="L90" s="295">
        <f t="shared" si="3"/>
        <v>0</v>
      </c>
      <c r="M90" s="306"/>
      <c r="N90" s="311"/>
      <c r="O90" s="306"/>
      <c r="P90" s="280"/>
      <c r="Q90" s="299">
        <f t="shared" si="4"/>
        <v>0</v>
      </c>
      <c r="R90" s="305">
        <f t="shared" si="9"/>
        <v>0</v>
      </c>
      <c r="S90" s="306">
        <v>0.0</v>
      </c>
      <c r="T90" s="301">
        <f t="shared" si="6"/>
        <v>0</v>
      </c>
      <c r="U90" s="302">
        <f t="shared" si="7"/>
        <v>0</v>
      </c>
      <c r="V90" s="295">
        <f t="shared" si="8"/>
        <v>0</v>
      </c>
      <c r="W90" s="283"/>
      <c r="X90" s="283"/>
      <c r="Y90" s="283"/>
      <c r="Z90" s="283"/>
    </row>
    <row r="91" ht="15.75" customHeight="1">
      <c r="A91" s="293" t="str">
        <f>IFERROR(__xludf.DUMMYFUNCTION("""COMPUTED_VALUE"""),"HCMSL2")</f>
        <v>HCMSL2</v>
      </c>
      <c r="B91" s="293" t="str">
        <f>IFERROR(__xludf.DUMMYFUNCTION("""COMPUTED_VALUE"""),"HC Lyse")</f>
        <v>HC Lyse</v>
      </c>
      <c r="C91" s="293" t="str">
        <f>IFERROR(__xludf.DUMMYFUNCTION("""COMPUTED_VALUE"""),"Chai")</f>
        <v>Chai</v>
      </c>
      <c r="D91" s="293">
        <f>IFERROR(__xludf.DUMMYFUNCTION("""COMPUTED_VALUE"""),900000.0)</f>
        <v>900000</v>
      </c>
      <c r="E91" s="309">
        <v>0.0</v>
      </c>
      <c r="F91" s="295">
        <f t="shared" si="1"/>
        <v>0</v>
      </c>
      <c r="G91" s="296"/>
      <c r="H91" s="293"/>
      <c r="I91" s="296"/>
      <c r="J91" s="296"/>
      <c r="K91" s="297">
        <f t="shared" si="2"/>
        <v>0</v>
      </c>
      <c r="L91" s="295">
        <f t="shared" si="3"/>
        <v>0</v>
      </c>
      <c r="M91" s="306"/>
      <c r="N91" s="307"/>
      <c r="O91" s="306"/>
      <c r="P91" s="280"/>
      <c r="Q91" s="299">
        <f t="shared" si="4"/>
        <v>0</v>
      </c>
      <c r="R91" s="305">
        <f t="shared" si="9"/>
        <v>0</v>
      </c>
      <c r="S91" s="306">
        <v>0.0</v>
      </c>
      <c r="T91" s="301">
        <f t="shared" si="6"/>
        <v>0</v>
      </c>
      <c r="U91" s="302">
        <f t="shared" si="7"/>
        <v>0</v>
      </c>
      <c r="V91" s="295">
        <f t="shared" si="8"/>
        <v>0</v>
      </c>
      <c r="W91" s="283"/>
      <c r="X91" s="283"/>
      <c r="Y91" s="283"/>
      <c r="Z91" s="283"/>
    </row>
    <row r="92" ht="15.75" customHeight="1">
      <c r="A92" s="293" t="str">
        <f>IFERROR(__xludf.DUMMYFUNCTION("""COMPUTED_VALUE"""),"HISANTI")</f>
        <v>HISANTI</v>
      </c>
      <c r="B92" s="293" t="str">
        <f>IFERROR(__xludf.DUMMYFUNCTION("""COMPUTED_VALUE"""),"Hisanti (chlopheramin)")</f>
        <v>Hisanti (chlopheramin)</v>
      </c>
      <c r="C92" s="293" t="str">
        <f>IFERROR(__xludf.DUMMYFUNCTION("""COMPUTED_VALUE"""),"mL")</f>
        <v>mL</v>
      </c>
      <c r="D92" s="293">
        <f>IFERROR(__xludf.DUMMYFUNCTION("""COMPUTED_VALUE"""),817.0)</f>
        <v>817</v>
      </c>
      <c r="E92" s="308">
        <v>20.0</v>
      </c>
      <c r="F92" s="295">
        <f t="shared" si="1"/>
        <v>16340</v>
      </c>
      <c r="G92" s="296"/>
      <c r="H92" s="296"/>
      <c r="I92" s="293"/>
      <c r="J92" s="293"/>
      <c r="K92" s="297">
        <f t="shared" si="2"/>
        <v>0</v>
      </c>
      <c r="L92" s="295">
        <f t="shared" si="3"/>
        <v>0</v>
      </c>
      <c r="M92" s="280"/>
      <c r="N92" s="298"/>
      <c r="O92" s="280"/>
      <c r="P92" s="280"/>
      <c r="Q92" s="299">
        <f t="shared" si="4"/>
        <v>0</v>
      </c>
      <c r="R92" s="305">
        <f t="shared" si="9"/>
        <v>0</v>
      </c>
      <c r="S92" s="306">
        <v>25.0</v>
      </c>
      <c r="T92" s="301">
        <f t="shared" si="6"/>
        <v>-5</v>
      </c>
      <c r="U92" s="302">
        <f t="shared" si="7"/>
        <v>-4085</v>
      </c>
      <c r="V92" s="295">
        <f t="shared" si="8"/>
        <v>20425</v>
      </c>
      <c r="W92" s="283"/>
      <c r="X92" s="283"/>
      <c r="Y92" s="283"/>
      <c r="Z92" s="283"/>
    </row>
    <row r="93" ht="15.75" customHeight="1">
      <c r="A93" s="293" t="str">
        <f>IFERROR(__xludf.DUMMYFUNCTION("""COMPUTED_VALUE"""),"IMC")</f>
        <v>IMC</v>
      </c>
      <c r="B93" s="293" t="str">
        <f>IFERROR(__xludf.DUMMYFUNCTION("""COMPUTED_VALUE"""),"Imochem 120 (imidocard)")</f>
        <v>Imochem 120 (imidocard)</v>
      </c>
      <c r="C93" s="293" t="str">
        <f>IFERROR(__xludf.DUMMYFUNCTION("""COMPUTED_VALUE"""),"mL")</f>
        <v>mL</v>
      </c>
      <c r="D93" s="293">
        <f>IFERROR(__xludf.DUMMYFUNCTION("""COMPUTED_VALUE"""),10100.0)</f>
        <v>10100</v>
      </c>
      <c r="E93" s="309">
        <v>20.0</v>
      </c>
      <c r="F93" s="295">
        <f t="shared" si="1"/>
        <v>202000</v>
      </c>
      <c r="G93" s="296"/>
      <c r="H93" s="293"/>
      <c r="I93" s="293"/>
      <c r="J93" s="296"/>
      <c r="K93" s="297">
        <f t="shared" si="2"/>
        <v>0</v>
      </c>
      <c r="L93" s="295">
        <f t="shared" si="3"/>
        <v>0</v>
      </c>
      <c r="M93" s="280"/>
      <c r="N93" s="304"/>
      <c r="O93" s="280"/>
      <c r="P93" s="280"/>
      <c r="Q93" s="299">
        <f t="shared" si="4"/>
        <v>0</v>
      </c>
      <c r="R93" s="305">
        <f t="shared" si="9"/>
        <v>0</v>
      </c>
      <c r="S93" s="306">
        <v>20.0</v>
      </c>
      <c r="T93" s="301">
        <f t="shared" si="6"/>
        <v>0</v>
      </c>
      <c r="U93" s="302">
        <f t="shared" si="7"/>
        <v>0</v>
      </c>
      <c r="V93" s="295">
        <f t="shared" si="8"/>
        <v>202000</v>
      </c>
      <c r="W93" s="283"/>
      <c r="X93" s="283"/>
      <c r="Y93" s="283"/>
      <c r="Z93" s="283"/>
    </row>
    <row r="94" ht="15.75" customHeight="1">
      <c r="A94" s="293" t="str">
        <f>IFERROR(__xludf.DUMMYFUNCTION("""COMPUTED_VALUE"""),"ISL")</f>
        <v>ISL</v>
      </c>
      <c r="B94" s="293" t="str">
        <f>IFERROR(__xludf.DUMMYFUNCTION("""COMPUTED_VALUE"""),"Insulin")</f>
        <v>Insulin</v>
      </c>
      <c r="C94" s="293" t="str">
        <f>IFERROR(__xludf.DUMMYFUNCTION("""COMPUTED_VALUE"""),"mL")</f>
        <v>mL</v>
      </c>
      <c r="D94" s="293">
        <f>IFERROR(__xludf.DUMMYFUNCTION("""COMPUTED_VALUE"""),1500.0)</f>
        <v>1500</v>
      </c>
      <c r="E94" s="308">
        <v>0.0</v>
      </c>
      <c r="F94" s="295">
        <f t="shared" si="1"/>
        <v>0</v>
      </c>
      <c r="G94" s="306"/>
      <c r="H94" s="280"/>
      <c r="I94" s="280"/>
      <c r="J94" s="280"/>
      <c r="K94" s="297">
        <f t="shared" si="2"/>
        <v>0</v>
      </c>
      <c r="L94" s="295">
        <f t="shared" si="3"/>
        <v>0</v>
      </c>
      <c r="M94" s="306"/>
      <c r="N94" s="298"/>
      <c r="O94" s="280"/>
      <c r="P94" s="280"/>
      <c r="Q94" s="299">
        <f t="shared" si="4"/>
        <v>0</v>
      </c>
      <c r="R94" s="305">
        <f t="shared" si="9"/>
        <v>0</v>
      </c>
      <c r="S94" s="306">
        <v>0.0</v>
      </c>
      <c r="T94" s="301">
        <f t="shared" si="6"/>
        <v>0</v>
      </c>
      <c r="U94" s="302">
        <f t="shared" si="7"/>
        <v>0</v>
      </c>
      <c r="V94" s="295">
        <f t="shared" si="8"/>
        <v>0</v>
      </c>
      <c r="W94" s="283"/>
      <c r="X94" s="283"/>
      <c r="Y94" s="283"/>
      <c r="Z94" s="283"/>
    </row>
    <row r="95" ht="15.75" customHeight="1">
      <c r="A95" s="293" t="str">
        <f>IFERROR(__xludf.DUMMYFUNCTION("""COMPUTED_VALUE"""),"IVMT")</f>
        <v>IVMT</v>
      </c>
      <c r="B95" s="293" t="str">
        <f>IFERROR(__xludf.DUMMYFUNCTION("""COMPUTED_VALUE"""),"Ivermectin")</f>
        <v>Ivermectin</v>
      </c>
      <c r="C95" s="293" t="str">
        <f>IFERROR(__xludf.DUMMYFUNCTION("""COMPUTED_VALUE"""),"mL")</f>
        <v>mL</v>
      </c>
      <c r="D95" s="293">
        <f>IFERROR(__xludf.DUMMYFUNCTION("""COMPUTED_VALUE"""),1300.0)</f>
        <v>1300</v>
      </c>
      <c r="E95" s="309">
        <v>3.0</v>
      </c>
      <c r="F95" s="295">
        <f t="shared" si="1"/>
        <v>3900</v>
      </c>
      <c r="G95" s="306"/>
      <c r="H95" s="280"/>
      <c r="I95" s="280"/>
      <c r="J95" s="280"/>
      <c r="K95" s="297">
        <f t="shared" si="2"/>
        <v>0</v>
      </c>
      <c r="L95" s="295">
        <f t="shared" si="3"/>
        <v>0</v>
      </c>
      <c r="M95" s="280"/>
      <c r="N95" s="304"/>
      <c r="O95" s="280"/>
      <c r="P95" s="280"/>
      <c r="Q95" s="299">
        <f t="shared" si="4"/>
        <v>0</v>
      </c>
      <c r="R95" s="305">
        <f t="shared" si="9"/>
        <v>0</v>
      </c>
      <c r="S95" s="306">
        <v>10.0</v>
      </c>
      <c r="T95" s="301">
        <f t="shared" si="6"/>
        <v>-7</v>
      </c>
      <c r="U95" s="302">
        <f t="shared" si="7"/>
        <v>-9100</v>
      </c>
      <c r="V95" s="295">
        <f t="shared" si="8"/>
        <v>13000</v>
      </c>
      <c r="W95" s="283"/>
      <c r="X95" s="283"/>
      <c r="Y95" s="283"/>
      <c r="Z95" s="283"/>
    </row>
    <row r="96" ht="15.75" customHeight="1">
      <c r="A96" s="293" t="str">
        <f>IFERROR(__xludf.DUMMYFUNCTION("""COMPUTED_VALUE"""),"KALI10")</f>
        <v>KALI10</v>
      </c>
      <c r="B96" s="293" t="str">
        <f>IFERROR(__xludf.DUMMYFUNCTION("""COMPUTED_VALUE"""),"Kali clorid 10%")</f>
        <v>Kali clorid 10%</v>
      </c>
      <c r="C96" s="293" t="str">
        <f>IFERROR(__xludf.DUMMYFUNCTION("""COMPUTED_VALUE"""),"Ống")</f>
        <v>Ống</v>
      </c>
      <c r="D96" s="293">
        <f>IFERROR(__xludf.DUMMYFUNCTION("""COMPUTED_VALUE"""),4500.0)</f>
        <v>4500</v>
      </c>
      <c r="E96" s="308">
        <v>7.0</v>
      </c>
      <c r="F96" s="295">
        <f t="shared" si="1"/>
        <v>31500</v>
      </c>
      <c r="G96" s="296"/>
      <c r="H96" s="293"/>
      <c r="I96" s="293"/>
      <c r="J96" s="296"/>
      <c r="K96" s="297">
        <f t="shared" si="2"/>
        <v>0</v>
      </c>
      <c r="L96" s="295">
        <f t="shared" si="3"/>
        <v>0</v>
      </c>
      <c r="M96" s="280"/>
      <c r="N96" s="298"/>
      <c r="O96" s="280"/>
      <c r="P96" s="280"/>
      <c r="Q96" s="299">
        <f t="shared" si="4"/>
        <v>0</v>
      </c>
      <c r="R96" s="305">
        <f t="shared" si="9"/>
        <v>0</v>
      </c>
      <c r="S96" s="306">
        <v>7.0</v>
      </c>
      <c r="T96" s="301">
        <f t="shared" si="6"/>
        <v>0</v>
      </c>
      <c r="U96" s="302">
        <f t="shared" si="7"/>
        <v>0</v>
      </c>
      <c r="V96" s="295">
        <f t="shared" si="8"/>
        <v>31500</v>
      </c>
      <c r="W96" s="283"/>
      <c r="X96" s="283"/>
      <c r="Y96" s="283"/>
      <c r="Z96" s="283"/>
    </row>
    <row r="97" ht="15.75" customHeight="1">
      <c r="A97" s="293" t="str">
        <f>IFERROR(__xludf.DUMMYFUNCTION("""COMPUTED_VALUE"""),"KDVT")</f>
        <v>KDVT</v>
      </c>
      <c r="B97" s="293" t="str">
        <f>IFERROR(__xludf.DUMMYFUNCTION("""COMPUTED_VALUE"""),"Keo dán vết thương")</f>
        <v>Keo dán vết thương</v>
      </c>
      <c r="C97" s="293" t="str">
        <f>IFERROR(__xludf.DUMMYFUNCTION("""COMPUTED_VALUE"""),"Cuộn")</f>
        <v>Cuộn</v>
      </c>
      <c r="D97" s="293">
        <f>IFERROR(__xludf.DUMMYFUNCTION("""COMPUTED_VALUE"""),120000.0)</f>
        <v>120000</v>
      </c>
      <c r="E97" s="309">
        <v>0.0</v>
      </c>
      <c r="F97" s="295">
        <f t="shared" si="1"/>
        <v>0</v>
      </c>
      <c r="G97" s="296"/>
      <c r="H97" s="293"/>
      <c r="I97" s="296"/>
      <c r="J97" s="293"/>
      <c r="K97" s="297">
        <f t="shared" si="2"/>
        <v>0</v>
      </c>
      <c r="L97" s="295">
        <f t="shared" si="3"/>
        <v>0</v>
      </c>
      <c r="M97" s="280"/>
      <c r="N97" s="304"/>
      <c r="O97" s="280"/>
      <c r="P97" s="280"/>
      <c r="Q97" s="299">
        <f t="shared" si="4"/>
        <v>0</v>
      </c>
      <c r="R97" s="305">
        <f t="shared" si="9"/>
        <v>0</v>
      </c>
      <c r="S97" s="306">
        <v>0.0</v>
      </c>
      <c r="T97" s="301">
        <f t="shared" si="6"/>
        <v>0</v>
      </c>
      <c r="U97" s="302">
        <f t="shared" si="7"/>
        <v>0</v>
      </c>
      <c r="V97" s="295">
        <f t="shared" si="8"/>
        <v>0</v>
      </c>
      <c r="W97" s="283"/>
      <c r="X97" s="283"/>
      <c r="Y97" s="283"/>
      <c r="Z97" s="283"/>
    </row>
    <row r="98" ht="15.75" customHeight="1">
      <c r="A98" s="293" t="str">
        <f>IFERROR(__xludf.DUMMYFUNCTION("""COMPUTED_VALUE"""),"KG")</f>
        <v>KG</v>
      </c>
      <c r="B98" s="293" t="str">
        <f>IFERROR(__xludf.DUMMYFUNCTION("""COMPUTED_VALUE"""),"Keo giấy")</f>
        <v>Keo giấy</v>
      </c>
      <c r="C98" s="293" t="str">
        <f>IFERROR(__xludf.DUMMYFUNCTION("""COMPUTED_VALUE"""),"Cuộn")</f>
        <v>Cuộn</v>
      </c>
      <c r="D98" s="293">
        <f>IFERROR(__xludf.DUMMYFUNCTION("""COMPUTED_VALUE"""),6000.0)</f>
        <v>6000</v>
      </c>
      <c r="E98" s="308">
        <v>6.0</v>
      </c>
      <c r="F98" s="295">
        <f t="shared" si="1"/>
        <v>36000</v>
      </c>
      <c r="G98" s="296"/>
      <c r="H98" s="293"/>
      <c r="I98" s="296"/>
      <c r="J98" s="296"/>
      <c r="K98" s="297">
        <f t="shared" si="2"/>
        <v>0</v>
      </c>
      <c r="L98" s="295">
        <f t="shared" si="3"/>
        <v>0</v>
      </c>
      <c r="M98" s="280"/>
      <c r="N98" s="298"/>
      <c r="O98" s="280"/>
      <c r="P98" s="306"/>
      <c r="Q98" s="299">
        <f t="shared" si="4"/>
        <v>0</v>
      </c>
      <c r="R98" s="305">
        <f t="shared" si="9"/>
        <v>0</v>
      </c>
      <c r="S98" s="306">
        <v>6.0</v>
      </c>
      <c r="T98" s="301">
        <f t="shared" si="6"/>
        <v>0</v>
      </c>
      <c r="U98" s="302">
        <f t="shared" si="7"/>
        <v>0</v>
      </c>
      <c r="V98" s="295">
        <f t="shared" si="8"/>
        <v>36000</v>
      </c>
      <c r="W98" s="283"/>
      <c r="X98" s="283"/>
      <c r="Y98" s="283"/>
      <c r="Z98" s="283"/>
    </row>
    <row r="99" ht="15.75" customHeight="1">
      <c r="A99" s="293" t="str">
        <f>IFERROR(__xludf.DUMMYFUNCTION("""COMPUTED_VALUE"""),"KUG")</f>
        <v>KUG</v>
      </c>
      <c r="B99" s="293" t="str">
        <f>IFERROR(__xludf.DUMMYFUNCTION("""COMPUTED_VALUE"""),"Keo urgo")</f>
        <v>Keo urgo</v>
      </c>
      <c r="C99" s="293" t="str">
        <f>IFERROR(__xludf.DUMMYFUNCTION("""COMPUTED_VALUE"""),"Cuộn")</f>
        <v>Cuộn</v>
      </c>
      <c r="D99" s="293">
        <f>IFERROR(__xludf.DUMMYFUNCTION("""COMPUTED_VALUE"""),18000.0)</f>
        <v>18000</v>
      </c>
      <c r="E99" s="309">
        <v>0.0</v>
      </c>
      <c r="F99" s="295">
        <f t="shared" si="1"/>
        <v>0</v>
      </c>
      <c r="G99" s="296"/>
      <c r="H99" s="293"/>
      <c r="I99" s="293"/>
      <c r="J99" s="293"/>
      <c r="K99" s="297">
        <f t="shared" si="2"/>
        <v>0</v>
      </c>
      <c r="L99" s="295">
        <f t="shared" si="3"/>
        <v>0</v>
      </c>
      <c r="M99" s="280"/>
      <c r="N99" s="304"/>
      <c r="O99" s="280"/>
      <c r="P99" s="280"/>
      <c r="Q99" s="299">
        <f t="shared" si="4"/>
        <v>0</v>
      </c>
      <c r="R99" s="305">
        <f t="shared" si="9"/>
        <v>0</v>
      </c>
      <c r="S99" s="306">
        <v>0.0</v>
      </c>
      <c r="T99" s="301">
        <f t="shared" si="6"/>
        <v>0</v>
      </c>
      <c r="U99" s="302">
        <f t="shared" si="7"/>
        <v>0</v>
      </c>
      <c r="V99" s="295">
        <f t="shared" si="8"/>
        <v>0</v>
      </c>
      <c r="W99" s="283"/>
      <c r="X99" s="283"/>
      <c r="Y99" s="283"/>
      <c r="Z99" s="283"/>
    </row>
    <row r="100" ht="15.75" customHeight="1">
      <c r="A100" s="293" t="str">
        <f>IFERROR(__xludf.DUMMYFUNCTION("""COMPUTED_VALUE"""),"KTM")</f>
        <v>KTM</v>
      </c>
      <c r="B100" s="293" t="str">
        <f>IFERROR(__xludf.DUMMYFUNCTION("""COMPUTED_VALUE"""),"Ketamin")</f>
        <v>Ketamin</v>
      </c>
      <c r="C100" s="293" t="str">
        <f>IFERROR(__xludf.DUMMYFUNCTION("""COMPUTED_VALUE"""),"mL")</f>
        <v>mL</v>
      </c>
      <c r="D100" s="293">
        <f>IFERROR(__xludf.DUMMYFUNCTION("""COMPUTED_VALUE"""),30000.0)</f>
        <v>30000</v>
      </c>
      <c r="E100" s="308">
        <v>42.0</v>
      </c>
      <c r="F100" s="295">
        <f t="shared" si="1"/>
        <v>1260000</v>
      </c>
      <c r="G100" s="296"/>
      <c r="H100" s="296"/>
      <c r="I100" s="293"/>
      <c r="J100" s="293"/>
      <c r="K100" s="297">
        <f t="shared" si="2"/>
        <v>0</v>
      </c>
      <c r="L100" s="295">
        <f t="shared" si="3"/>
        <v>0</v>
      </c>
      <c r="M100" s="280"/>
      <c r="N100" s="298"/>
      <c r="O100" s="280"/>
      <c r="P100" s="280"/>
      <c r="Q100" s="299">
        <f t="shared" si="4"/>
        <v>0</v>
      </c>
      <c r="R100" s="305">
        <f t="shared" si="9"/>
        <v>0</v>
      </c>
      <c r="S100" s="306">
        <v>40.0</v>
      </c>
      <c r="T100" s="301">
        <f t="shared" si="6"/>
        <v>2</v>
      </c>
      <c r="U100" s="302">
        <f t="shared" si="7"/>
        <v>60000</v>
      </c>
      <c r="V100" s="295">
        <f t="shared" si="8"/>
        <v>1200000</v>
      </c>
      <c r="W100" s="283"/>
      <c r="X100" s="283"/>
      <c r="Y100" s="283"/>
      <c r="Z100" s="283"/>
    </row>
    <row r="101" ht="15.75" customHeight="1">
      <c r="A101" s="293" t="str">
        <f>IFERROR(__xludf.DUMMYFUNCTION("""COMPUTED_VALUE"""),"KTCNZ")</f>
        <v>KTCNZ</v>
      </c>
      <c r="B101" s="293" t="str">
        <f>IFERROR(__xludf.DUMMYFUNCTION("""COMPUTED_VALUE"""),"Ketoconazone")</f>
        <v>Ketoconazone</v>
      </c>
      <c r="C101" s="293" t="str">
        <f>IFERROR(__xludf.DUMMYFUNCTION("""COMPUTED_VALUE"""),"Viên")</f>
        <v>Viên</v>
      </c>
      <c r="D101" s="293">
        <f>IFERROR(__xludf.DUMMYFUNCTION("""COMPUTED_VALUE"""),2300.0)</f>
        <v>2300</v>
      </c>
      <c r="E101" s="309">
        <v>33.0</v>
      </c>
      <c r="F101" s="295">
        <f t="shared" si="1"/>
        <v>75900</v>
      </c>
      <c r="G101" s="296"/>
      <c r="H101" s="293"/>
      <c r="I101" s="293"/>
      <c r="J101" s="293"/>
      <c r="K101" s="297">
        <f t="shared" si="2"/>
        <v>0</v>
      </c>
      <c r="L101" s="295">
        <f t="shared" si="3"/>
        <v>0</v>
      </c>
      <c r="M101" s="280"/>
      <c r="N101" s="304"/>
      <c r="O101" s="280"/>
      <c r="P101" s="280"/>
      <c r="Q101" s="299">
        <f t="shared" si="4"/>
        <v>0</v>
      </c>
      <c r="R101" s="305">
        <f t="shared" si="9"/>
        <v>0</v>
      </c>
      <c r="S101" s="306">
        <v>33.0</v>
      </c>
      <c r="T101" s="301">
        <f t="shared" si="6"/>
        <v>0</v>
      </c>
      <c r="U101" s="302">
        <f t="shared" si="7"/>
        <v>0</v>
      </c>
      <c r="V101" s="295">
        <f t="shared" si="8"/>
        <v>75900</v>
      </c>
      <c r="W101" s="283"/>
      <c r="X101" s="283"/>
      <c r="Y101" s="283"/>
      <c r="Z101" s="283"/>
    </row>
    <row r="102" ht="15.75" customHeight="1">
      <c r="A102" s="293" t="str">
        <f>IFERROR(__xludf.DUMMYFUNCTION("""COMPUTED_VALUE"""),"KTV")</f>
        <v>KTV</v>
      </c>
      <c r="B102" s="293" t="str">
        <f>IFERROR(__xludf.DUMMYFUNCTION("""COMPUTED_VALUE"""),"Ketovet")</f>
        <v>Ketovet</v>
      </c>
      <c r="C102" s="293" t="str">
        <f>IFERROR(__xludf.DUMMYFUNCTION("""COMPUTED_VALUE"""),"mL")</f>
        <v>mL</v>
      </c>
      <c r="D102" s="293">
        <f>IFERROR(__xludf.DUMMYFUNCTION("""COMPUTED_VALUE"""),700.0)</f>
        <v>700</v>
      </c>
      <c r="E102" s="308">
        <v>210.0</v>
      </c>
      <c r="F102" s="295">
        <f t="shared" si="1"/>
        <v>147000</v>
      </c>
      <c r="G102" s="306"/>
      <c r="H102" s="280"/>
      <c r="I102" s="280"/>
      <c r="J102" s="306"/>
      <c r="K102" s="297">
        <f t="shared" si="2"/>
        <v>0</v>
      </c>
      <c r="L102" s="295">
        <f t="shared" si="3"/>
        <v>0</v>
      </c>
      <c r="M102" s="280"/>
      <c r="N102" s="311"/>
      <c r="O102" s="280"/>
      <c r="P102" s="280"/>
      <c r="Q102" s="299">
        <f t="shared" si="4"/>
        <v>0</v>
      </c>
      <c r="R102" s="305">
        <f t="shared" si="9"/>
        <v>0</v>
      </c>
      <c r="S102" s="306">
        <v>190.0</v>
      </c>
      <c r="T102" s="301">
        <f t="shared" si="6"/>
        <v>20</v>
      </c>
      <c r="U102" s="302">
        <f t="shared" si="7"/>
        <v>14000</v>
      </c>
      <c r="V102" s="295">
        <f t="shared" si="8"/>
        <v>133000</v>
      </c>
      <c r="W102" s="283"/>
      <c r="X102" s="283"/>
      <c r="Y102" s="283"/>
      <c r="Z102" s="283"/>
    </row>
    <row r="103" ht="15.75" customHeight="1">
      <c r="A103" s="293" t="str">
        <f>IFERROR(__xludf.DUMMYFUNCTION("""COMPUTED_VALUE"""),"BST")</f>
        <v>BST</v>
      </c>
      <c r="B103" s="293" t="str">
        <f>IFERROR(__xludf.DUMMYFUNCTION("""COMPUTED_VALUE"""),"Kháng sinh Basultam")</f>
        <v>Kháng sinh Basultam</v>
      </c>
      <c r="C103" s="293" t="str">
        <f>IFERROR(__xludf.DUMMYFUNCTION("""COMPUTED_VALUE"""),"Lọ")</f>
        <v>Lọ</v>
      </c>
      <c r="D103" s="293">
        <f>IFERROR(__xludf.DUMMYFUNCTION("""COMPUTED_VALUE"""),20000.0)</f>
        <v>20000</v>
      </c>
      <c r="E103" s="309">
        <v>0.0</v>
      </c>
      <c r="F103" s="295">
        <f t="shared" si="1"/>
        <v>0</v>
      </c>
      <c r="G103" s="296"/>
      <c r="H103" s="293"/>
      <c r="I103" s="293"/>
      <c r="J103" s="293"/>
      <c r="K103" s="297">
        <f t="shared" si="2"/>
        <v>0</v>
      </c>
      <c r="L103" s="295">
        <f t="shared" si="3"/>
        <v>0</v>
      </c>
      <c r="M103" s="280"/>
      <c r="N103" s="304"/>
      <c r="O103" s="280"/>
      <c r="P103" s="280"/>
      <c r="Q103" s="299">
        <f t="shared" si="4"/>
        <v>0</v>
      </c>
      <c r="R103" s="305">
        <f t="shared" si="9"/>
        <v>0</v>
      </c>
      <c r="S103" s="306">
        <v>0.0</v>
      </c>
      <c r="T103" s="301">
        <f t="shared" si="6"/>
        <v>0</v>
      </c>
      <c r="U103" s="302">
        <f t="shared" si="7"/>
        <v>0</v>
      </c>
      <c r="V103" s="295">
        <f t="shared" si="8"/>
        <v>0</v>
      </c>
      <c r="W103" s="283"/>
      <c r="X103" s="283"/>
      <c r="Y103" s="283"/>
      <c r="Z103" s="283"/>
    </row>
    <row r="104" ht="15.75" customHeight="1">
      <c r="A104" s="293" t="str">
        <f>IFERROR(__xludf.DUMMYFUNCTION("""COMPUTED_VALUE"""),"ERC")</f>
        <v>ERC</v>
      </c>
      <c r="B104" s="293" t="str">
        <f>IFERROR(__xludf.DUMMYFUNCTION("""COMPUTED_VALUE"""),"Kháng sinh Enrocin 10%")</f>
        <v>Kháng sinh Enrocin 10%</v>
      </c>
      <c r="C104" s="293" t="str">
        <f>IFERROR(__xludf.DUMMYFUNCTION("""COMPUTED_VALUE"""),"mL")</f>
        <v>mL</v>
      </c>
      <c r="D104" s="293">
        <f>IFERROR(__xludf.DUMMYFUNCTION("""COMPUTED_VALUE"""),450.0)</f>
        <v>450</v>
      </c>
      <c r="E104" s="308">
        <v>200.0</v>
      </c>
      <c r="F104" s="295">
        <f t="shared" si="1"/>
        <v>90000</v>
      </c>
      <c r="G104" s="296"/>
      <c r="H104" s="296"/>
      <c r="I104" s="293"/>
      <c r="J104" s="296"/>
      <c r="K104" s="297">
        <f t="shared" si="2"/>
        <v>0</v>
      </c>
      <c r="L104" s="295">
        <f t="shared" si="3"/>
        <v>0</v>
      </c>
      <c r="M104" s="306"/>
      <c r="N104" s="311"/>
      <c r="O104" s="280"/>
      <c r="P104" s="280"/>
      <c r="Q104" s="299">
        <f t="shared" si="4"/>
        <v>0</v>
      </c>
      <c r="R104" s="305">
        <f t="shared" si="9"/>
        <v>0</v>
      </c>
      <c r="S104" s="306">
        <v>200.0</v>
      </c>
      <c r="T104" s="301">
        <f t="shared" si="6"/>
        <v>0</v>
      </c>
      <c r="U104" s="302">
        <f t="shared" si="7"/>
        <v>0</v>
      </c>
      <c r="V104" s="295">
        <f t="shared" si="8"/>
        <v>90000</v>
      </c>
      <c r="W104" s="283"/>
      <c r="X104" s="283"/>
      <c r="Y104" s="283"/>
      <c r="Z104" s="283"/>
    </row>
    <row r="105" ht="15.75" customHeight="1">
      <c r="A105" s="293" t="str">
        <f>IFERROR(__xludf.DUMMYFUNCTION("""COMPUTED_VALUE"""),"KKR")</f>
        <v>KKR</v>
      </c>
      <c r="B105" s="293" t="str">
        <f>IFERROR(__xludf.DUMMYFUNCTION("""COMPUTED_VALUE"""),"Kim  khâu rời")</f>
        <v>Kim  khâu rời</v>
      </c>
      <c r="C105" s="293" t="str">
        <f>IFERROR(__xludf.DUMMYFUNCTION("""COMPUTED_VALUE"""),"Cái")</f>
        <v>Cái</v>
      </c>
      <c r="D105" s="293">
        <f>IFERROR(__xludf.DUMMYFUNCTION("""COMPUTED_VALUE"""),1000.0)</f>
        <v>1000</v>
      </c>
      <c r="E105" s="309">
        <v>15.0</v>
      </c>
      <c r="F105" s="295">
        <f t="shared" si="1"/>
        <v>15000</v>
      </c>
      <c r="G105" s="296"/>
      <c r="H105" s="293"/>
      <c r="I105" s="293"/>
      <c r="J105" s="293"/>
      <c r="K105" s="297">
        <f t="shared" si="2"/>
        <v>0</v>
      </c>
      <c r="L105" s="295">
        <f t="shared" si="3"/>
        <v>0</v>
      </c>
      <c r="M105" s="280"/>
      <c r="N105" s="304"/>
      <c r="O105" s="280"/>
      <c r="P105" s="280"/>
      <c r="Q105" s="299">
        <f t="shared" si="4"/>
        <v>0</v>
      </c>
      <c r="R105" s="305">
        <f t="shared" si="9"/>
        <v>0</v>
      </c>
      <c r="S105" s="306">
        <v>0.0</v>
      </c>
      <c r="T105" s="301">
        <f t="shared" si="6"/>
        <v>15</v>
      </c>
      <c r="U105" s="302">
        <f t="shared" si="7"/>
        <v>15000</v>
      </c>
      <c r="V105" s="295">
        <f t="shared" si="8"/>
        <v>0</v>
      </c>
      <c r="W105" s="283"/>
      <c r="X105" s="283"/>
      <c r="Y105" s="283"/>
      <c r="Z105" s="283"/>
    </row>
    <row r="106" ht="15.75" customHeight="1">
      <c r="A106" s="293" t="str">
        <f>IFERROR(__xludf.DUMMYFUNCTION("""COMPUTED_VALUE"""),"KB")</f>
        <v>KB</v>
      </c>
      <c r="B106" s="293" t="str">
        <f>IFERROR(__xludf.DUMMYFUNCTION("""COMPUTED_VALUE"""),"Kim bướm")</f>
        <v>Kim bướm</v>
      </c>
      <c r="C106" s="293" t="str">
        <f>IFERROR(__xludf.DUMMYFUNCTION("""COMPUTED_VALUE"""),"Cái")</f>
        <v>Cái</v>
      </c>
      <c r="D106" s="293">
        <f>IFERROR(__xludf.DUMMYFUNCTION("""COMPUTED_VALUE"""),2500.0)</f>
        <v>2500</v>
      </c>
      <c r="E106" s="308">
        <v>105.0</v>
      </c>
      <c r="F106" s="295">
        <f t="shared" si="1"/>
        <v>262500</v>
      </c>
      <c r="G106" s="296"/>
      <c r="H106" s="293"/>
      <c r="I106" s="293"/>
      <c r="J106" s="293"/>
      <c r="K106" s="297">
        <f t="shared" si="2"/>
        <v>0</v>
      </c>
      <c r="L106" s="295">
        <f t="shared" si="3"/>
        <v>0</v>
      </c>
      <c r="M106" s="280"/>
      <c r="N106" s="298"/>
      <c r="O106" s="280"/>
      <c r="P106" s="280"/>
      <c r="Q106" s="299">
        <f t="shared" si="4"/>
        <v>0</v>
      </c>
      <c r="R106" s="305">
        <f t="shared" si="9"/>
        <v>0</v>
      </c>
      <c r="S106" s="306">
        <v>100.0</v>
      </c>
      <c r="T106" s="301">
        <f t="shared" si="6"/>
        <v>5</v>
      </c>
      <c r="U106" s="302">
        <f t="shared" si="7"/>
        <v>12500</v>
      </c>
      <c r="V106" s="295">
        <f t="shared" si="8"/>
        <v>250000</v>
      </c>
      <c r="W106" s="283"/>
      <c r="X106" s="283"/>
      <c r="Y106" s="283"/>
      <c r="Z106" s="283"/>
    </row>
    <row r="107" ht="15.75" customHeight="1">
      <c r="A107" s="293" t="str">
        <f>IFERROR(__xludf.DUMMYFUNCTION("""COMPUTED_VALUE"""),"KBTM")</f>
        <v>KBTM</v>
      </c>
      <c r="B107" s="293" t="str">
        <f>IFERROR(__xludf.DUMMYFUNCTION("""COMPUTED_VALUE"""),"Kim bướm truyền máu")</f>
        <v>Kim bướm truyền máu</v>
      </c>
      <c r="C107" s="293" t="str">
        <f>IFERROR(__xludf.DUMMYFUNCTION("""COMPUTED_VALUE"""),"Cái")</f>
        <v>Cái</v>
      </c>
      <c r="D107" s="293">
        <f>IFERROR(__xludf.DUMMYFUNCTION("""COMPUTED_VALUE"""),5000.0)</f>
        <v>5000</v>
      </c>
      <c r="E107" s="309">
        <v>0.0</v>
      </c>
      <c r="F107" s="295">
        <f t="shared" si="1"/>
        <v>0</v>
      </c>
      <c r="G107" s="296"/>
      <c r="H107" s="293"/>
      <c r="I107" s="293"/>
      <c r="J107" s="293"/>
      <c r="K107" s="297">
        <f t="shared" si="2"/>
        <v>0</v>
      </c>
      <c r="L107" s="295">
        <f t="shared" si="3"/>
        <v>0</v>
      </c>
      <c r="M107" s="280"/>
      <c r="N107" s="304"/>
      <c r="O107" s="280"/>
      <c r="P107" s="280"/>
      <c r="Q107" s="299">
        <f t="shared" si="4"/>
        <v>0</v>
      </c>
      <c r="R107" s="305">
        <f t="shared" si="9"/>
        <v>0</v>
      </c>
      <c r="S107" s="306">
        <v>0.0</v>
      </c>
      <c r="T107" s="301">
        <f t="shared" si="6"/>
        <v>0</v>
      </c>
      <c r="U107" s="302">
        <f t="shared" si="7"/>
        <v>0</v>
      </c>
      <c r="V107" s="295">
        <f t="shared" si="8"/>
        <v>0</v>
      </c>
      <c r="W107" s="283"/>
      <c r="X107" s="283"/>
      <c r="Y107" s="283"/>
      <c r="Z107" s="283"/>
    </row>
    <row r="108" ht="15.75" customHeight="1">
      <c r="A108" s="293" t="str">
        <f>IFERROR(__xludf.DUMMYFUNCTION("""COMPUTED_VALUE"""),"KLH")</f>
        <v>KLH</v>
      </c>
      <c r="B108" s="293" t="str">
        <f>IFERROR(__xludf.DUMMYFUNCTION("""COMPUTED_VALUE"""),"Kim luồn hồng-xanh lá")</f>
        <v>Kim luồn hồng-xanh lá</v>
      </c>
      <c r="C108" s="293" t="str">
        <f>IFERROR(__xludf.DUMMYFUNCTION("""COMPUTED_VALUE"""),"Cái")</f>
        <v>Cái</v>
      </c>
      <c r="D108" s="293">
        <f>IFERROR(__xludf.DUMMYFUNCTION("""COMPUTED_VALUE"""),7000.0)</f>
        <v>7000</v>
      </c>
      <c r="E108" s="308">
        <v>39.0</v>
      </c>
      <c r="F108" s="295">
        <f t="shared" si="1"/>
        <v>273000</v>
      </c>
      <c r="G108" s="296"/>
      <c r="H108" s="293"/>
      <c r="I108" s="293"/>
      <c r="J108" s="293"/>
      <c r="K108" s="297">
        <f t="shared" si="2"/>
        <v>0</v>
      </c>
      <c r="L108" s="295">
        <f t="shared" si="3"/>
        <v>0</v>
      </c>
      <c r="M108" s="280"/>
      <c r="N108" s="311"/>
      <c r="O108" s="280"/>
      <c r="P108" s="280"/>
      <c r="Q108" s="299">
        <f t="shared" si="4"/>
        <v>0</v>
      </c>
      <c r="R108" s="305">
        <f t="shared" si="9"/>
        <v>0</v>
      </c>
      <c r="S108" s="306">
        <v>39.0</v>
      </c>
      <c r="T108" s="301">
        <f t="shared" si="6"/>
        <v>0</v>
      </c>
      <c r="U108" s="302">
        <f t="shared" si="7"/>
        <v>0</v>
      </c>
      <c r="V108" s="295">
        <f t="shared" si="8"/>
        <v>273000</v>
      </c>
      <c r="W108" s="283"/>
      <c r="X108" s="283"/>
      <c r="Y108" s="283"/>
      <c r="Z108" s="283"/>
    </row>
    <row r="109" ht="15.75" customHeight="1">
      <c r="A109" s="293" t="str">
        <f>IFERROR(__xludf.DUMMYFUNCTION("""COMPUTED_VALUE"""),"KLVR")</f>
        <v>KLVR</v>
      </c>
      <c r="B109" s="293" t="str">
        <f>IFERROR(__xludf.DUMMYFUNCTION("""COMPUTED_VALUE"""),"Kim luồn vàng rẻ")</f>
        <v>Kim luồn vàng rẻ</v>
      </c>
      <c r="C109" s="293" t="str">
        <f>IFERROR(__xludf.DUMMYFUNCTION("""COMPUTED_VALUE"""),"cái")</f>
        <v>cái</v>
      </c>
      <c r="D109" s="293">
        <f>IFERROR(__xludf.DUMMYFUNCTION("""COMPUTED_VALUE"""),3000.0)</f>
        <v>3000</v>
      </c>
      <c r="E109" s="309">
        <v>45.0</v>
      </c>
      <c r="F109" s="295">
        <f t="shared" si="1"/>
        <v>135000</v>
      </c>
      <c r="G109" s="296"/>
      <c r="H109" s="296"/>
      <c r="I109" s="293"/>
      <c r="J109" s="296"/>
      <c r="K109" s="297">
        <f t="shared" si="2"/>
        <v>0</v>
      </c>
      <c r="L109" s="295">
        <f t="shared" si="3"/>
        <v>0</v>
      </c>
      <c r="M109" s="306"/>
      <c r="N109" s="304"/>
      <c r="O109" s="280"/>
      <c r="P109" s="280"/>
      <c r="Q109" s="299">
        <f t="shared" si="4"/>
        <v>0</v>
      </c>
      <c r="R109" s="305">
        <f t="shared" si="9"/>
        <v>0</v>
      </c>
      <c r="S109" s="306">
        <v>5.0</v>
      </c>
      <c r="T109" s="301">
        <f t="shared" si="6"/>
        <v>40</v>
      </c>
      <c r="U109" s="302">
        <f t="shared" si="7"/>
        <v>120000</v>
      </c>
      <c r="V109" s="295">
        <f t="shared" si="8"/>
        <v>15000</v>
      </c>
      <c r="W109" s="283"/>
      <c r="X109" s="283"/>
      <c r="Y109" s="283"/>
      <c r="Z109" s="283"/>
    </row>
    <row r="110" ht="15.75" customHeight="1">
      <c r="A110" s="293" t="str">
        <f>IFERROR(__xludf.DUMMYFUNCTION("""COMPUTED_VALUE"""),"KLVX")</f>
        <v>KLVX</v>
      </c>
      <c r="B110" s="293" t="str">
        <f>IFERROR(__xludf.DUMMYFUNCTION("""COMPUTED_VALUE"""),"Kim luồn tím")</f>
        <v>Kim luồn tím</v>
      </c>
      <c r="C110" s="293" t="str">
        <f>IFERROR(__xludf.DUMMYFUNCTION("""COMPUTED_VALUE"""),"Cái")</f>
        <v>Cái</v>
      </c>
      <c r="D110" s="293">
        <f>IFERROR(__xludf.DUMMYFUNCTION("""COMPUTED_VALUE"""),3500.0)</f>
        <v>3500</v>
      </c>
      <c r="E110" s="308">
        <v>78.0</v>
      </c>
      <c r="F110" s="295">
        <f t="shared" si="1"/>
        <v>273000</v>
      </c>
      <c r="G110" s="296"/>
      <c r="H110" s="296"/>
      <c r="I110" s="296"/>
      <c r="J110" s="296"/>
      <c r="K110" s="297">
        <f t="shared" si="2"/>
        <v>0</v>
      </c>
      <c r="L110" s="295">
        <f t="shared" si="3"/>
        <v>0</v>
      </c>
      <c r="M110" s="306"/>
      <c r="N110" s="311"/>
      <c r="O110" s="280"/>
      <c r="P110" s="306"/>
      <c r="Q110" s="299">
        <f t="shared" si="4"/>
        <v>0</v>
      </c>
      <c r="R110" s="305">
        <f t="shared" si="9"/>
        <v>0</v>
      </c>
      <c r="S110" s="306">
        <v>65.0</v>
      </c>
      <c r="T110" s="301">
        <f t="shared" si="6"/>
        <v>13</v>
      </c>
      <c r="U110" s="302">
        <f t="shared" si="7"/>
        <v>45500</v>
      </c>
      <c r="V110" s="295">
        <f t="shared" si="8"/>
        <v>227500</v>
      </c>
      <c r="W110" s="283"/>
      <c r="X110" s="283"/>
      <c r="Y110" s="283"/>
      <c r="Z110" s="283"/>
    </row>
    <row r="111" ht="15.75" customHeight="1">
      <c r="A111" s="293" t="str">
        <f>IFERROR(__xludf.DUMMYFUNCTION("""COMPUTED_VALUE"""),"KLXR")</f>
        <v>KLXR</v>
      </c>
      <c r="B111" s="293" t="str">
        <f>IFERROR(__xludf.DUMMYFUNCTION("""COMPUTED_VALUE"""),"Kim luồn xanh rẻ")</f>
        <v>Kim luồn xanh rẻ</v>
      </c>
      <c r="C111" s="293" t="str">
        <f>IFERROR(__xludf.DUMMYFUNCTION("""COMPUTED_VALUE"""),"Cái")</f>
        <v>Cái</v>
      </c>
      <c r="D111" s="293">
        <f>IFERROR(__xludf.DUMMYFUNCTION("""COMPUTED_VALUE"""),3500.0)</f>
        <v>3500</v>
      </c>
      <c r="E111" s="309">
        <v>23.0</v>
      </c>
      <c r="F111" s="295">
        <f t="shared" si="1"/>
        <v>80500</v>
      </c>
      <c r="G111" s="296"/>
      <c r="H111" s="296"/>
      <c r="I111" s="293"/>
      <c r="J111" s="293"/>
      <c r="K111" s="297">
        <f t="shared" si="2"/>
        <v>0</v>
      </c>
      <c r="L111" s="295">
        <f t="shared" si="3"/>
        <v>0</v>
      </c>
      <c r="M111" s="306"/>
      <c r="N111" s="307"/>
      <c r="O111" s="306"/>
      <c r="P111" s="306"/>
      <c r="Q111" s="299">
        <f t="shared" si="4"/>
        <v>0</v>
      </c>
      <c r="R111" s="305">
        <f t="shared" si="9"/>
        <v>0</v>
      </c>
      <c r="S111" s="306">
        <v>0.0</v>
      </c>
      <c r="T111" s="301">
        <f t="shared" si="6"/>
        <v>23</v>
      </c>
      <c r="U111" s="302">
        <f t="shared" si="7"/>
        <v>80500</v>
      </c>
      <c r="V111" s="295">
        <f t="shared" si="8"/>
        <v>0</v>
      </c>
      <c r="W111" s="283"/>
      <c r="X111" s="283"/>
      <c r="Y111" s="283"/>
      <c r="Z111" s="283"/>
    </row>
    <row r="112" ht="15.75" customHeight="1">
      <c r="A112" s="293" t="str">
        <f>IFERROR(__xludf.DUMMYFUNCTION("""COMPUTED_VALUE"""),"KLXX")</f>
        <v>KLXX</v>
      </c>
      <c r="B112" s="293" t="str">
        <f>IFERROR(__xludf.DUMMYFUNCTION("""COMPUTED_VALUE"""),"Kim luồn xanh xịn")</f>
        <v>Kim luồn xanh xịn</v>
      </c>
      <c r="C112" s="293" t="str">
        <f>IFERROR(__xludf.DUMMYFUNCTION("""COMPUTED_VALUE"""),"Cái")</f>
        <v>Cái</v>
      </c>
      <c r="D112" s="293">
        <f>IFERROR(__xludf.DUMMYFUNCTION("""COMPUTED_VALUE"""),3500.0)</f>
        <v>3500</v>
      </c>
      <c r="E112" s="308">
        <v>0.0</v>
      </c>
      <c r="F112" s="295">
        <f t="shared" si="1"/>
        <v>0</v>
      </c>
      <c r="G112" s="296"/>
      <c r="H112" s="293"/>
      <c r="I112" s="293"/>
      <c r="J112" s="293"/>
      <c r="K112" s="297">
        <f t="shared" si="2"/>
        <v>0</v>
      </c>
      <c r="L112" s="295">
        <f t="shared" si="3"/>
        <v>0</v>
      </c>
      <c r="M112" s="280"/>
      <c r="N112" s="298"/>
      <c r="O112" s="299"/>
      <c r="P112" s="299"/>
      <c r="Q112" s="299">
        <f t="shared" si="4"/>
        <v>0</v>
      </c>
      <c r="R112" s="305">
        <f t="shared" si="9"/>
        <v>0</v>
      </c>
      <c r="S112" s="306">
        <v>0.0</v>
      </c>
      <c r="T112" s="301">
        <f t="shared" si="6"/>
        <v>0</v>
      </c>
      <c r="U112" s="302">
        <f t="shared" si="7"/>
        <v>0</v>
      </c>
      <c r="V112" s="295">
        <f t="shared" si="8"/>
        <v>0</v>
      </c>
      <c r="W112" s="283"/>
      <c r="X112" s="283"/>
      <c r="Y112" s="283"/>
      <c r="Z112" s="283"/>
    </row>
    <row r="113" ht="15.75" customHeight="1">
      <c r="A113" s="293" t="str">
        <f>IFERROR(__xludf.DUMMYFUNCTION("""COMPUTED_VALUE"""),"KT18")</f>
        <v>KT18</v>
      </c>
      <c r="B113" s="293" t="str">
        <f>IFERROR(__xludf.DUMMYFUNCTION("""COMPUTED_VALUE"""),"Kim tiêm 18")</f>
        <v>Kim tiêm 18</v>
      </c>
      <c r="C113" s="293" t="str">
        <f>IFERROR(__xludf.DUMMYFUNCTION("""COMPUTED_VALUE"""),"Cái")</f>
        <v>Cái</v>
      </c>
      <c r="D113" s="293">
        <f>IFERROR(__xludf.DUMMYFUNCTION("""COMPUTED_VALUE"""),400.0)</f>
        <v>400</v>
      </c>
      <c r="E113" s="309">
        <v>85.0</v>
      </c>
      <c r="F113" s="295">
        <f t="shared" si="1"/>
        <v>34000</v>
      </c>
      <c r="G113" s="296"/>
      <c r="H113" s="296"/>
      <c r="I113" s="293"/>
      <c r="J113" s="296"/>
      <c r="K113" s="297">
        <f t="shared" si="2"/>
        <v>0</v>
      </c>
      <c r="L113" s="295">
        <f t="shared" si="3"/>
        <v>0</v>
      </c>
      <c r="M113" s="280"/>
      <c r="N113" s="304"/>
      <c r="O113" s="280"/>
      <c r="P113" s="280"/>
      <c r="Q113" s="299">
        <f t="shared" si="4"/>
        <v>0</v>
      </c>
      <c r="R113" s="305">
        <f t="shared" si="9"/>
        <v>0</v>
      </c>
      <c r="S113" s="306">
        <v>85.0</v>
      </c>
      <c r="T113" s="301">
        <f t="shared" si="6"/>
        <v>0</v>
      </c>
      <c r="U113" s="302">
        <f t="shared" si="7"/>
        <v>0</v>
      </c>
      <c r="V113" s="295">
        <f t="shared" si="8"/>
        <v>34000</v>
      </c>
      <c r="W113" s="283"/>
      <c r="X113" s="283"/>
      <c r="Y113" s="283"/>
      <c r="Z113" s="283"/>
    </row>
    <row r="114" ht="15.75" customHeight="1">
      <c r="A114" s="293" t="str">
        <f>IFERROR(__xludf.DUMMYFUNCTION("""COMPUTED_VALUE"""),"KT23")</f>
        <v>KT23</v>
      </c>
      <c r="B114" s="293" t="str">
        <f>IFERROR(__xludf.DUMMYFUNCTION("""COMPUTED_VALUE"""),"Kim tiêm 23")</f>
        <v>Kim tiêm 23</v>
      </c>
      <c r="C114" s="293" t="str">
        <f>IFERROR(__xludf.DUMMYFUNCTION("""COMPUTED_VALUE"""),"Cái")</f>
        <v>Cái</v>
      </c>
      <c r="D114" s="293">
        <f>IFERROR(__xludf.DUMMYFUNCTION("""COMPUTED_VALUE"""),425.0)</f>
        <v>425</v>
      </c>
      <c r="E114" s="308">
        <v>200.0</v>
      </c>
      <c r="F114" s="295">
        <f t="shared" si="1"/>
        <v>85000</v>
      </c>
      <c r="G114" s="296"/>
      <c r="H114" s="296"/>
      <c r="I114" s="296"/>
      <c r="J114" s="293"/>
      <c r="K114" s="297">
        <f t="shared" si="2"/>
        <v>0</v>
      </c>
      <c r="L114" s="295">
        <f t="shared" si="3"/>
        <v>0</v>
      </c>
      <c r="M114" s="306"/>
      <c r="N114" s="298"/>
      <c r="O114" s="280"/>
      <c r="P114" s="280"/>
      <c r="Q114" s="299">
        <f t="shared" si="4"/>
        <v>0</v>
      </c>
      <c r="R114" s="305">
        <f t="shared" si="9"/>
        <v>0</v>
      </c>
      <c r="S114" s="306">
        <v>200.0</v>
      </c>
      <c r="T114" s="301">
        <f t="shared" si="6"/>
        <v>0</v>
      </c>
      <c r="U114" s="302">
        <f t="shared" si="7"/>
        <v>0</v>
      </c>
      <c r="V114" s="295">
        <f t="shared" si="8"/>
        <v>85000</v>
      </c>
      <c r="W114" s="283"/>
      <c r="X114" s="283"/>
      <c r="Y114" s="283"/>
      <c r="Z114" s="283"/>
    </row>
    <row r="115" ht="15.75" customHeight="1">
      <c r="A115" s="293" t="str">
        <f>IFERROR(__xludf.DUMMYFUNCTION("""COMPUTED_VALUE"""),"LTRG")</f>
        <v>LTRG</v>
      </c>
      <c r="B115" s="293" t="str">
        <f>IFERROR(__xludf.DUMMYFUNCTION("""COMPUTED_VALUE"""),"Lactate ringer_Nacl 0.9")</f>
        <v>Lactate ringer_Nacl 0.9</v>
      </c>
      <c r="C115" s="293" t="str">
        <f>IFERROR(__xludf.DUMMYFUNCTION("""COMPUTED_VALUE"""),"chai")</f>
        <v>chai</v>
      </c>
      <c r="D115" s="293">
        <f>IFERROR(__xludf.DUMMYFUNCTION("""COMPUTED_VALUE"""),13250.0)</f>
        <v>13250</v>
      </c>
      <c r="E115" s="309">
        <v>27.0</v>
      </c>
      <c r="F115" s="295">
        <f t="shared" si="1"/>
        <v>357750</v>
      </c>
      <c r="G115" s="296"/>
      <c r="H115" s="296"/>
      <c r="I115" s="296">
        <v>20.0</v>
      </c>
      <c r="J115" s="296"/>
      <c r="K115" s="297">
        <f t="shared" si="2"/>
        <v>20</v>
      </c>
      <c r="L115" s="295">
        <f t="shared" si="3"/>
        <v>265000</v>
      </c>
      <c r="M115" s="280"/>
      <c r="N115" s="304"/>
      <c r="O115" s="280"/>
      <c r="P115" s="280"/>
      <c r="Q115" s="299">
        <f t="shared" si="4"/>
        <v>0</v>
      </c>
      <c r="R115" s="305">
        <f t="shared" si="9"/>
        <v>0</v>
      </c>
      <c r="S115" s="306">
        <v>38.0</v>
      </c>
      <c r="T115" s="301">
        <f t="shared" si="6"/>
        <v>9</v>
      </c>
      <c r="U115" s="302">
        <f t="shared" si="7"/>
        <v>119250</v>
      </c>
      <c r="V115" s="295">
        <f t="shared" si="8"/>
        <v>503500</v>
      </c>
      <c r="W115" s="283"/>
      <c r="X115" s="283"/>
      <c r="Y115" s="283"/>
      <c r="Z115" s="283"/>
    </row>
    <row r="116" ht="15.75" customHeight="1">
      <c r="A116" s="293" t="str">
        <f>IFERROR(__xludf.DUMMYFUNCTION("""COMPUTED_VALUE"""),"LK")</f>
        <v>LK</v>
      </c>
      <c r="B116" s="293" t="str">
        <f>IFERROR(__xludf.DUMMYFUNCTION("""COMPUTED_VALUE"""),"Lam kính")</f>
        <v>Lam kính</v>
      </c>
      <c r="C116" s="293" t="str">
        <f>IFERROR(__xludf.DUMMYFUNCTION("""COMPUTED_VALUE"""),"Hộp")</f>
        <v>Hộp</v>
      </c>
      <c r="D116" s="293">
        <f>IFERROR(__xludf.DUMMYFUNCTION("""COMPUTED_VALUE"""),22000.0)</f>
        <v>22000</v>
      </c>
      <c r="E116" s="308">
        <v>1.0</v>
      </c>
      <c r="F116" s="295">
        <f t="shared" si="1"/>
        <v>22000</v>
      </c>
      <c r="G116" s="296"/>
      <c r="H116" s="296"/>
      <c r="I116" s="296"/>
      <c r="J116" s="296"/>
      <c r="K116" s="297">
        <f t="shared" si="2"/>
        <v>0</v>
      </c>
      <c r="L116" s="295">
        <f t="shared" si="3"/>
        <v>0</v>
      </c>
      <c r="M116" s="280"/>
      <c r="N116" s="298"/>
      <c r="O116" s="280"/>
      <c r="P116" s="280"/>
      <c r="Q116" s="299">
        <f t="shared" si="4"/>
        <v>0</v>
      </c>
      <c r="R116" s="305">
        <f t="shared" si="9"/>
        <v>0</v>
      </c>
      <c r="S116" s="306">
        <v>1.0</v>
      </c>
      <c r="T116" s="301">
        <f t="shared" si="6"/>
        <v>0</v>
      </c>
      <c r="U116" s="302">
        <f t="shared" si="7"/>
        <v>0</v>
      </c>
      <c r="V116" s="295">
        <f t="shared" si="8"/>
        <v>22000</v>
      </c>
      <c r="W116" s="283"/>
      <c r="X116" s="283"/>
      <c r="Y116" s="283"/>
      <c r="Z116" s="283"/>
    </row>
    <row r="117" ht="15.75" customHeight="1">
      <c r="A117" s="293" t="str">
        <f>IFERROR(__xludf.DUMMYFUNCTION("""COMPUTED_VALUE"""),"LDCI")</f>
        <v>LDCI</v>
      </c>
      <c r="B117" s="293" t="str">
        <f>IFERROR(__xludf.DUMMYFUNCTION("""COMPUTED_VALUE"""),"Lidocain")</f>
        <v>Lidocain</v>
      </c>
      <c r="C117" s="293" t="str">
        <f>IFERROR(__xludf.DUMMYFUNCTION("""COMPUTED_VALUE"""),"Ống")</f>
        <v>Ống</v>
      </c>
      <c r="D117" s="293">
        <f>IFERROR(__xludf.DUMMYFUNCTION("""COMPUTED_VALUE"""),700.0)</f>
        <v>700</v>
      </c>
      <c r="E117" s="309">
        <v>23.0</v>
      </c>
      <c r="F117" s="295">
        <f t="shared" si="1"/>
        <v>16100</v>
      </c>
      <c r="G117" s="296"/>
      <c r="H117" s="296"/>
      <c r="I117" s="293"/>
      <c r="J117" s="296"/>
      <c r="K117" s="297">
        <f t="shared" si="2"/>
        <v>0</v>
      </c>
      <c r="L117" s="295">
        <f t="shared" si="3"/>
        <v>0</v>
      </c>
      <c r="M117" s="306"/>
      <c r="N117" s="307"/>
      <c r="O117" s="280"/>
      <c r="P117" s="280"/>
      <c r="Q117" s="299">
        <f t="shared" si="4"/>
        <v>0</v>
      </c>
      <c r="R117" s="305">
        <f t="shared" si="9"/>
        <v>0</v>
      </c>
      <c r="S117" s="306">
        <v>13.0</v>
      </c>
      <c r="T117" s="301">
        <f t="shared" si="6"/>
        <v>10</v>
      </c>
      <c r="U117" s="302">
        <f t="shared" si="7"/>
        <v>7000</v>
      </c>
      <c r="V117" s="295">
        <f t="shared" si="8"/>
        <v>9100</v>
      </c>
      <c r="W117" s="283"/>
      <c r="X117" s="283"/>
      <c r="Y117" s="283"/>
      <c r="Z117" s="283"/>
    </row>
    <row r="118" ht="15.75" customHeight="1">
      <c r="A118" s="293" t="str">
        <f>IFERROR(__xludf.DUMMYFUNCTION("""COMPUTED_VALUE"""),"LDCI10")</f>
        <v>LDCI10</v>
      </c>
      <c r="B118" s="293" t="str">
        <f>IFERROR(__xludf.DUMMYFUNCTION("""COMPUTED_VALUE"""),"Lidocain xịt 10%")</f>
        <v>Lidocain xịt 10%</v>
      </c>
      <c r="C118" s="293" t="str">
        <f>IFERROR(__xludf.DUMMYFUNCTION("""COMPUTED_VALUE"""),"Lọ")</f>
        <v>Lọ</v>
      </c>
      <c r="D118" s="293">
        <f>IFERROR(__xludf.DUMMYFUNCTION("""COMPUTED_VALUE"""),0.0)</f>
        <v>0</v>
      </c>
      <c r="E118" s="308">
        <v>1.0</v>
      </c>
      <c r="F118" s="295">
        <f t="shared" si="1"/>
        <v>0</v>
      </c>
      <c r="G118" s="296"/>
      <c r="H118" s="296"/>
      <c r="I118" s="296"/>
      <c r="J118" s="293"/>
      <c r="K118" s="297">
        <f t="shared" si="2"/>
        <v>0</v>
      </c>
      <c r="L118" s="295">
        <f t="shared" si="3"/>
        <v>0</v>
      </c>
      <c r="M118" s="280"/>
      <c r="N118" s="298"/>
      <c r="O118" s="280"/>
      <c r="P118" s="280"/>
      <c r="Q118" s="299">
        <f t="shared" si="4"/>
        <v>0</v>
      </c>
      <c r="R118" s="305">
        <f t="shared" si="9"/>
        <v>0</v>
      </c>
      <c r="S118" s="306">
        <v>1.0</v>
      </c>
      <c r="T118" s="301">
        <f t="shared" si="6"/>
        <v>0</v>
      </c>
      <c r="U118" s="302">
        <f t="shared" si="7"/>
        <v>0</v>
      </c>
      <c r="V118" s="295">
        <f t="shared" si="8"/>
        <v>0</v>
      </c>
      <c r="W118" s="283"/>
      <c r="X118" s="283"/>
      <c r="Y118" s="283"/>
      <c r="Z118" s="283"/>
    </row>
    <row r="119" ht="15.75" customHeight="1">
      <c r="A119" s="293" t="str">
        <f>IFERROR(__xludf.DUMMYFUNCTION("""COMPUTED_VALUE"""),"MLXCT")</f>
        <v>MLXCT</v>
      </c>
      <c r="B119" s="293" t="str">
        <f>IFERROR(__xludf.DUMMYFUNCTION("""COMPUTED_VALUE"""),"Loxic (Meloxicam)")</f>
        <v>Loxic (Meloxicam)</v>
      </c>
      <c r="C119" s="293" t="str">
        <f>IFERROR(__xludf.DUMMYFUNCTION("""COMPUTED_VALUE"""),"mL")</f>
        <v>mL</v>
      </c>
      <c r="D119" s="293">
        <f>IFERROR(__xludf.DUMMYFUNCTION("""COMPUTED_VALUE"""),350.0)</f>
        <v>350</v>
      </c>
      <c r="E119" s="309">
        <v>102.0</v>
      </c>
      <c r="F119" s="295">
        <f t="shared" si="1"/>
        <v>35700</v>
      </c>
      <c r="G119" s="296"/>
      <c r="H119" s="296"/>
      <c r="I119" s="296"/>
      <c r="J119" s="296"/>
      <c r="K119" s="297">
        <f t="shared" si="2"/>
        <v>0</v>
      </c>
      <c r="L119" s="295">
        <f t="shared" si="3"/>
        <v>0</v>
      </c>
      <c r="M119" s="280"/>
      <c r="N119" s="307"/>
      <c r="O119" s="280"/>
      <c r="P119" s="280"/>
      <c r="Q119" s="299">
        <f t="shared" si="4"/>
        <v>0</v>
      </c>
      <c r="R119" s="305">
        <f t="shared" si="9"/>
        <v>0</v>
      </c>
      <c r="S119" s="306">
        <v>102.0</v>
      </c>
      <c r="T119" s="301">
        <f t="shared" si="6"/>
        <v>0</v>
      </c>
      <c r="U119" s="302">
        <f t="shared" si="7"/>
        <v>0</v>
      </c>
      <c r="V119" s="295">
        <f t="shared" si="8"/>
        <v>35700</v>
      </c>
      <c r="W119" s="283"/>
      <c r="X119" s="283"/>
      <c r="Y119" s="283"/>
      <c r="Z119" s="283"/>
    </row>
    <row r="120" ht="15.75" customHeight="1">
      <c r="A120" s="293" t="str">
        <f>IFERROR(__xludf.DUMMYFUNCTION("""COMPUTED_VALUE"""),"MDMICRO")</f>
        <v>MDMICRO</v>
      </c>
      <c r="B120" s="293" t="str">
        <f>IFERROR(__xludf.DUMMYFUNCTION("""COMPUTED_VALUE"""),"Máy đọc Microchip")</f>
        <v>Máy đọc Microchip</v>
      </c>
      <c r="C120" s="293" t="str">
        <f>IFERROR(__xludf.DUMMYFUNCTION("""COMPUTED_VALUE"""),"Cái")</f>
        <v>Cái</v>
      </c>
      <c r="D120" s="293">
        <f>IFERROR(__xludf.DUMMYFUNCTION("""COMPUTED_VALUE"""),512000.0)</f>
        <v>512000</v>
      </c>
      <c r="E120" s="308">
        <v>1.0</v>
      </c>
      <c r="F120" s="295">
        <f t="shared" si="1"/>
        <v>512000</v>
      </c>
      <c r="G120" s="296"/>
      <c r="H120" s="296"/>
      <c r="I120" s="293"/>
      <c r="J120" s="293"/>
      <c r="K120" s="297">
        <f t="shared" si="2"/>
        <v>0</v>
      </c>
      <c r="L120" s="295">
        <f t="shared" si="3"/>
        <v>0</v>
      </c>
      <c r="M120" s="280"/>
      <c r="N120" s="298"/>
      <c r="O120" s="280"/>
      <c r="P120" s="280"/>
      <c r="Q120" s="299">
        <f t="shared" si="4"/>
        <v>0</v>
      </c>
      <c r="R120" s="305">
        <f t="shared" si="9"/>
        <v>0</v>
      </c>
      <c r="S120" s="306">
        <v>1.0</v>
      </c>
      <c r="T120" s="301">
        <f t="shared" si="6"/>
        <v>0</v>
      </c>
      <c r="U120" s="302">
        <f t="shared" si="7"/>
        <v>0</v>
      </c>
      <c r="V120" s="295">
        <f t="shared" si="8"/>
        <v>512000</v>
      </c>
      <c r="W120" s="283"/>
      <c r="X120" s="283"/>
      <c r="Y120" s="283"/>
      <c r="Z120" s="283"/>
    </row>
    <row r="121" ht="15.75" customHeight="1">
      <c r="A121" s="293" t="str">
        <f>IFERROR(__xludf.DUMMYFUNCTION("""COMPUTED_VALUE"""),"MLXCU7.5")</f>
        <v>MLXCU7.5</v>
      </c>
      <c r="B121" s="293" t="str">
        <f>IFERROR(__xludf.DUMMYFUNCTION("""COMPUTED_VALUE"""),"Meloxicam 7.5 mg")</f>
        <v>Meloxicam 7.5 mg</v>
      </c>
      <c r="C121" s="293" t="str">
        <f>IFERROR(__xludf.DUMMYFUNCTION("""COMPUTED_VALUE"""),"Viên")</f>
        <v>Viên</v>
      </c>
      <c r="D121" s="293">
        <f>IFERROR(__xludf.DUMMYFUNCTION("""COMPUTED_VALUE"""),225.0)</f>
        <v>225</v>
      </c>
      <c r="E121" s="309">
        <v>104.0</v>
      </c>
      <c r="F121" s="295">
        <f t="shared" si="1"/>
        <v>23400</v>
      </c>
      <c r="G121" s="296"/>
      <c r="H121" s="293"/>
      <c r="I121" s="296"/>
      <c r="J121" s="293"/>
      <c r="K121" s="297">
        <f t="shared" si="2"/>
        <v>0</v>
      </c>
      <c r="L121" s="295">
        <f t="shared" si="3"/>
        <v>0</v>
      </c>
      <c r="M121" s="306"/>
      <c r="N121" s="304"/>
      <c r="O121" s="280"/>
      <c r="P121" s="280"/>
      <c r="Q121" s="299">
        <f t="shared" si="4"/>
        <v>0</v>
      </c>
      <c r="R121" s="305">
        <f t="shared" si="9"/>
        <v>0</v>
      </c>
      <c r="S121" s="306">
        <v>104.0</v>
      </c>
      <c r="T121" s="301">
        <f t="shared" si="6"/>
        <v>0</v>
      </c>
      <c r="U121" s="302">
        <f t="shared" si="7"/>
        <v>0</v>
      </c>
      <c r="V121" s="295">
        <f t="shared" si="8"/>
        <v>23400</v>
      </c>
      <c r="W121" s="283"/>
      <c r="X121" s="283"/>
      <c r="Y121" s="283"/>
      <c r="Z121" s="283"/>
    </row>
    <row r="122" ht="15.75" customHeight="1">
      <c r="A122" s="293" t="str">
        <f>IFERROR(__xludf.DUMMYFUNCTION("""COMPUTED_VALUE"""),"MTH")</f>
        <v>MTH</v>
      </c>
      <c r="B122" s="293" t="str">
        <f>IFERROR(__xludf.DUMMYFUNCTION("""COMPUTED_VALUE"""),"Men Tiêu hóa")</f>
        <v>Men Tiêu hóa</v>
      </c>
      <c r="C122" s="293" t="str">
        <f>IFERROR(__xludf.DUMMYFUNCTION("""COMPUTED_VALUE"""),"gói")</f>
        <v>gói</v>
      </c>
      <c r="D122" s="293">
        <f>IFERROR(__xludf.DUMMYFUNCTION("""COMPUTED_VALUE"""),573.3333333333334)</f>
        <v>573.3333333</v>
      </c>
      <c r="E122" s="308">
        <v>45.0</v>
      </c>
      <c r="F122" s="295">
        <f t="shared" si="1"/>
        <v>25800</v>
      </c>
      <c r="G122" s="296"/>
      <c r="H122" s="296">
        <v>125.0</v>
      </c>
      <c r="I122" s="296"/>
      <c r="J122" s="296"/>
      <c r="K122" s="297">
        <f t="shared" si="2"/>
        <v>125</v>
      </c>
      <c r="L122" s="295">
        <f t="shared" si="3"/>
        <v>71666.66667</v>
      </c>
      <c r="M122" s="280"/>
      <c r="N122" s="311"/>
      <c r="O122" s="280"/>
      <c r="P122" s="306"/>
      <c r="Q122" s="299">
        <f t="shared" si="4"/>
        <v>0</v>
      </c>
      <c r="R122" s="305">
        <f t="shared" si="9"/>
        <v>0</v>
      </c>
      <c r="S122" s="306">
        <v>149.0</v>
      </c>
      <c r="T122" s="301">
        <f t="shared" si="6"/>
        <v>21</v>
      </c>
      <c r="U122" s="302">
        <f t="shared" si="7"/>
        <v>12040</v>
      </c>
      <c r="V122" s="295">
        <f t="shared" si="8"/>
        <v>85426.66667</v>
      </c>
      <c r="W122" s="283"/>
      <c r="X122" s="283"/>
      <c r="Y122" s="283"/>
      <c r="Z122" s="283"/>
    </row>
    <row r="123" ht="15.75" customHeight="1">
      <c r="A123" s="293" t="str">
        <f>IFERROR(__xludf.DUMMYFUNCTION("""COMPUTED_VALUE"""),"METO")</f>
        <v>METO</v>
      </c>
      <c r="B123" s="293" t="str">
        <f>IFERROR(__xludf.DUMMYFUNCTION("""COMPUTED_VALUE"""),"Metoclopramide")</f>
        <v>Metoclopramide</v>
      </c>
      <c r="C123" s="293" t="str">
        <f>IFERROR(__xludf.DUMMYFUNCTION("""COMPUTED_VALUE"""),"Ống")</f>
        <v>Ống</v>
      </c>
      <c r="D123" s="293">
        <f>IFERROR(__xludf.DUMMYFUNCTION("""COMPUTED_VALUE"""),3000.0)</f>
        <v>3000</v>
      </c>
      <c r="E123" s="309">
        <v>11.0</v>
      </c>
      <c r="F123" s="295">
        <f t="shared" si="1"/>
        <v>33000</v>
      </c>
      <c r="G123" s="296"/>
      <c r="H123" s="293"/>
      <c r="I123" s="293"/>
      <c r="J123" s="293"/>
      <c r="K123" s="297">
        <f t="shared" si="2"/>
        <v>0</v>
      </c>
      <c r="L123" s="295">
        <f t="shared" si="3"/>
        <v>0</v>
      </c>
      <c r="M123" s="280"/>
      <c r="N123" s="304"/>
      <c r="O123" s="280"/>
      <c r="P123" s="280"/>
      <c r="Q123" s="299">
        <f t="shared" si="4"/>
        <v>0</v>
      </c>
      <c r="R123" s="305">
        <f t="shared" si="9"/>
        <v>0</v>
      </c>
      <c r="S123" s="306">
        <v>7.0</v>
      </c>
      <c r="T123" s="301">
        <f t="shared" si="6"/>
        <v>4</v>
      </c>
      <c r="U123" s="302">
        <f t="shared" si="7"/>
        <v>12000</v>
      </c>
      <c r="V123" s="295">
        <f t="shared" si="8"/>
        <v>21000</v>
      </c>
      <c r="W123" s="283"/>
      <c r="X123" s="283"/>
      <c r="Y123" s="283"/>
      <c r="Z123" s="283"/>
    </row>
    <row r="124" ht="15.75" customHeight="1">
      <c r="A124" s="293" t="str">
        <f>IFERROR(__xludf.DUMMYFUNCTION("""COMPUTED_VALUE"""),"MTNDZ250U")</f>
        <v>MTNDZ250U</v>
      </c>
      <c r="B124" s="293" t="str">
        <f>IFERROR(__xludf.DUMMYFUNCTION("""COMPUTED_VALUE"""),"Metronidazol 250mg")</f>
        <v>Metronidazol 250mg</v>
      </c>
      <c r="C124" s="293" t="str">
        <f>IFERROR(__xludf.DUMMYFUNCTION("""COMPUTED_VALUE"""),"Viên")</f>
        <v>Viên</v>
      </c>
      <c r="D124" s="293">
        <f>IFERROR(__xludf.DUMMYFUNCTION("""COMPUTED_VALUE"""),300.0)</f>
        <v>300</v>
      </c>
      <c r="E124" s="312">
        <v>50.0</v>
      </c>
      <c r="F124" s="295">
        <f t="shared" si="1"/>
        <v>15000</v>
      </c>
      <c r="G124" s="296"/>
      <c r="H124" s="296">
        <v>200.0</v>
      </c>
      <c r="I124" s="296"/>
      <c r="J124" s="296"/>
      <c r="K124" s="297">
        <f t="shared" si="2"/>
        <v>200</v>
      </c>
      <c r="L124" s="295">
        <f t="shared" si="3"/>
        <v>60000</v>
      </c>
      <c r="M124" s="306"/>
      <c r="N124" s="298"/>
      <c r="O124" s="306"/>
      <c r="P124" s="280"/>
      <c r="Q124" s="299">
        <f t="shared" si="4"/>
        <v>0</v>
      </c>
      <c r="R124" s="305">
        <f t="shared" si="9"/>
        <v>0</v>
      </c>
      <c r="S124" s="306">
        <f>100+50+85</f>
        <v>235</v>
      </c>
      <c r="T124" s="301">
        <f t="shared" si="6"/>
        <v>15</v>
      </c>
      <c r="U124" s="302">
        <f t="shared" si="7"/>
        <v>4500</v>
      </c>
      <c r="V124" s="295">
        <f t="shared" si="8"/>
        <v>70500</v>
      </c>
      <c r="W124" s="283"/>
      <c r="X124" s="283"/>
      <c r="Y124" s="283"/>
      <c r="Z124" s="283"/>
    </row>
    <row r="125" ht="15.75" customHeight="1">
      <c r="A125" s="293" t="str">
        <f>IFERROR(__xludf.DUMMYFUNCTION("""COMPUTED_VALUE"""),"MTNDZT")</f>
        <v>MTNDZT</v>
      </c>
      <c r="B125" s="293" t="str">
        <f>IFERROR(__xludf.DUMMYFUNCTION("""COMPUTED_VALUE"""),"Metronidazol truyền")</f>
        <v>Metronidazol truyền</v>
      </c>
      <c r="C125" s="293" t="str">
        <f>IFERROR(__xludf.DUMMYFUNCTION("""COMPUTED_VALUE"""),"ml")</f>
        <v>ml</v>
      </c>
      <c r="D125" s="293">
        <f>IFERROR(__xludf.DUMMYFUNCTION("""COMPUTED_VALUE"""),150.0)</f>
        <v>150</v>
      </c>
      <c r="E125" s="309">
        <v>300.0</v>
      </c>
      <c r="F125" s="295">
        <f t="shared" si="1"/>
        <v>45000</v>
      </c>
      <c r="G125" s="296"/>
      <c r="H125" s="296"/>
      <c r="I125" s="296"/>
      <c r="J125" s="293"/>
      <c r="K125" s="297">
        <f t="shared" si="2"/>
        <v>0</v>
      </c>
      <c r="L125" s="295">
        <f t="shared" si="3"/>
        <v>0</v>
      </c>
      <c r="M125" s="280"/>
      <c r="N125" s="304"/>
      <c r="O125" s="280"/>
      <c r="P125" s="280"/>
      <c r="Q125" s="299">
        <f t="shared" si="4"/>
        <v>0</v>
      </c>
      <c r="R125" s="305">
        <f t="shared" si="9"/>
        <v>0</v>
      </c>
      <c r="S125" s="306">
        <v>100.0</v>
      </c>
      <c r="T125" s="301">
        <f t="shared" si="6"/>
        <v>200</v>
      </c>
      <c r="U125" s="302">
        <f t="shared" si="7"/>
        <v>30000</v>
      </c>
      <c r="V125" s="295">
        <f t="shared" si="8"/>
        <v>15000</v>
      </c>
      <c r="W125" s="283"/>
      <c r="X125" s="283"/>
      <c r="Y125" s="283"/>
      <c r="Z125" s="283"/>
    </row>
    <row r="126" ht="15.75" customHeight="1">
      <c r="A126" s="293" t="str">
        <f>IFERROR(__xludf.DUMMYFUNCTION("""COMPUTED_VALUE"""),"MICRO")</f>
        <v>MICRO</v>
      </c>
      <c r="B126" s="293" t="str">
        <f>IFERROR(__xludf.DUMMYFUNCTION("""COMPUTED_VALUE"""),"Microchip")</f>
        <v>Microchip</v>
      </c>
      <c r="C126" s="293" t="str">
        <f>IFERROR(__xludf.DUMMYFUNCTION("""COMPUTED_VALUE"""),"Cái")</f>
        <v>Cái</v>
      </c>
      <c r="D126" s="293">
        <f>IFERROR(__xludf.DUMMYFUNCTION("""COMPUTED_VALUE"""),35100.0)</f>
        <v>35100</v>
      </c>
      <c r="E126" s="308">
        <v>3.0</v>
      </c>
      <c r="F126" s="295">
        <f t="shared" si="1"/>
        <v>105300</v>
      </c>
      <c r="G126" s="296"/>
      <c r="H126" s="293"/>
      <c r="I126" s="293"/>
      <c r="J126" s="293"/>
      <c r="K126" s="297">
        <f t="shared" si="2"/>
        <v>0</v>
      </c>
      <c r="L126" s="295">
        <f t="shared" si="3"/>
        <v>0</v>
      </c>
      <c r="M126" s="280"/>
      <c r="N126" s="298"/>
      <c r="O126" s="280"/>
      <c r="P126" s="280"/>
      <c r="Q126" s="322">
        <v>0.0</v>
      </c>
      <c r="R126" s="305">
        <f t="shared" si="9"/>
        <v>0</v>
      </c>
      <c r="S126" s="306">
        <v>3.0</v>
      </c>
      <c r="T126" s="301">
        <f t="shared" si="6"/>
        <v>0</v>
      </c>
      <c r="U126" s="302">
        <f t="shared" si="7"/>
        <v>0</v>
      </c>
      <c r="V126" s="295">
        <f t="shared" si="8"/>
        <v>105300</v>
      </c>
      <c r="W126" s="283"/>
      <c r="X126" s="283"/>
      <c r="Y126" s="283"/>
      <c r="Z126" s="283"/>
    </row>
    <row r="127" ht="15.75" customHeight="1">
      <c r="A127" s="293" t="str">
        <f>IFERROR(__xludf.DUMMYFUNCTION("""COMPUTED_VALUE"""),"MTVTM")</f>
        <v>MTVTM</v>
      </c>
      <c r="B127" s="293" t="str">
        <f>IFERROR(__xludf.DUMMYFUNCTION("""COMPUTED_VALUE"""),"Multivitamin Vitacomplex")</f>
        <v>Multivitamin Vitacomplex</v>
      </c>
      <c r="C127" s="293" t="str">
        <f>IFERROR(__xludf.DUMMYFUNCTION("""COMPUTED_VALUE"""),"Viên")</f>
        <v>Viên</v>
      </c>
      <c r="D127" s="293">
        <f>IFERROR(__xludf.DUMMYFUNCTION("""COMPUTED_VALUE"""),100.0)</f>
        <v>100</v>
      </c>
      <c r="E127" s="309">
        <v>293.0</v>
      </c>
      <c r="F127" s="295">
        <f t="shared" si="1"/>
        <v>29300</v>
      </c>
      <c r="G127" s="296"/>
      <c r="H127" s="296"/>
      <c r="I127" s="293"/>
      <c r="J127" s="296"/>
      <c r="K127" s="297">
        <f t="shared" si="2"/>
        <v>0</v>
      </c>
      <c r="L127" s="295">
        <f t="shared" si="3"/>
        <v>0</v>
      </c>
      <c r="M127" s="280"/>
      <c r="N127" s="307"/>
      <c r="O127" s="280"/>
      <c r="P127" s="280"/>
      <c r="Q127" s="299">
        <f t="shared" ref="Q127:Q226" si="10">M127+N127+O127+P127</f>
        <v>0</v>
      </c>
      <c r="R127" s="305">
        <f t="shared" si="9"/>
        <v>0</v>
      </c>
      <c r="S127" s="306">
        <v>262.0</v>
      </c>
      <c r="T127" s="301">
        <f t="shared" si="6"/>
        <v>31</v>
      </c>
      <c r="U127" s="302">
        <f t="shared" si="7"/>
        <v>3100</v>
      </c>
      <c r="V127" s="295">
        <f t="shared" si="8"/>
        <v>26200</v>
      </c>
      <c r="W127" s="283"/>
      <c r="X127" s="283"/>
      <c r="Y127" s="283"/>
      <c r="Z127" s="283"/>
    </row>
    <row r="128" ht="15.75" customHeight="1">
      <c r="A128" s="293" t="str">
        <f>IFERROR(__xludf.DUMMYFUNCTION("""COMPUTED_VALUE"""),"NCRR0.9")</f>
        <v>NCRR0.9</v>
      </c>
      <c r="B128" s="293" t="str">
        <f>IFERROR(__xludf.DUMMYFUNCTION("""COMPUTED_VALUE"""),"NaCl 0.9 % rửa")</f>
        <v>NaCl 0.9 % rửa</v>
      </c>
      <c r="C128" s="293" t="str">
        <f>IFERROR(__xludf.DUMMYFUNCTION("""COMPUTED_VALUE"""),"Chai")</f>
        <v>Chai</v>
      </c>
      <c r="D128" s="293">
        <f>IFERROR(__xludf.DUMMYFUNCTION("""COMPUTED_VALUE"""),5250.0)</f>
        <v>5250</v>
      </c>
      <c r="E128" s="308">
        <v>0.0</v>
      </c>
      <c r="F128" s="295">
        <f t="shared" si="1"/>
        <v>0</v>
      </c>
      <c r="G128" s="296"/>
      <c r="H128" s="296">
        <v>5.0</v>
      </c>
      <c r="I128" s="296"/>
      <c r="J128" s="296"/>
      <c r="K128" s="297">
        <f t="shared" si="2"/>
        <v>5</v>
      </c>
      <c r="L128" s="295">
        <f t="shared" si="3"/>
        <v>26250</v>
      </c>
      <c r="M128" s="280"/>
      <c r="N128" s="298"/>
      <c r="O128" s="280"/>
      <c r="P128" s="280"/>
      <c r="Q128" s="299">
        <f t="shared" si="10"/>
        <v>0</v>
      </c>
      <c r="R128" s="305">
        <f t="shared" si="9"/>
        <v>0</v>
      </c>
      <c r="S128" s="306">
        <v>4.0</v>
      </c>
      <c r="T128" s="301">
        <f t="shared" si="6"/>
        <v>1</v>
      </c>
      <c r="U128" s="302">
        <f t="shared" si="7"/>
        <v>5250</v>
      </c>
      <c r="V128" s="295">
        <f t="shared" si="8"/>
        <v>21000</v>
      </c>
      <c r="W128" s="283"/>
      <c r="X128" s="283"/>
      <c r="Y128" s="283"/>
      <c r="Z128" s="283"/>
    </row>
    <row r="129" ht="15.75" customHeight="1">
      <c r="A129" s="293" t="str">
        <f>IFERROR(__xludf.DUMMYFUNCTION("""COMPUTED_VALUE"""),"NK")</f>
        <v>NK</v>
      </c>
      <c r="B129" s="293" t="str">
        <f>IFERROR(__xludf.DUMMYFUNCTION("""COMPUTED_VALUE"""),"Nhiệt kế")</f>
        <v>Nhiệt kế</v>
      </c>
      <c r="C129" s="293" t="str">
        <f>IFERROR(__xludf.DUMMYFUNCTION("""COMPUTED_VALUE"""),"Cái")</f>
        <v>Cái</v>
      </c>
      <c r="D129" s="293">
        <f>IFERROR(__xludf.DUMMYFUNCTION("""COMPUTED_VALUE"""),25000.0)</f>
        <v>25000</v>
      </c>
      <c r="E129" s="309">
        <v>4.0</v>
      </c>
      <c r="F129" s="295">
        <f t="shared" si="1"/>
        <v>100000</v>
      </c>
      <c r="G129" s="296"/>
      <c r="H129" s="296"/>
      <c r="I129" s="293"/>
      <c r="J129" s="293"/>
      <c r="K129" s="297">
        <f t="shared" si="2"/>
        <v>0</v>
      </c>
      <c r="L129" s="295">
        <f t="shared" si="3"/>
        <v>0</v>
      </c>
      <c r="M129" s="280"/>
      <c r="N129" s="304"/>
      <c r="O129" s="280"/>
      <c r="P129" s="280"/>
      <c r="Q129" s="299">
        <f t="shared" si="10"/>
        <v>0</v>
      </c>
      <c r="R129" s="305">
        <f t="shared" si="9"/>
        <v>0</v>
      </c>
      <c r="S129" s="306">
        <v>0.0</v>
      </c>
      <c r="T129" s="301">
        <f t="shared" si="6"/>
        <v>4</v>
      </c>
      <c r="U129" s="302">
        <f t="shared" si="7"/>
        <v>100000</v>
      </c>
      <c r="V129" s="295">
        <f t="shared" si="8"/>
        <v>0</v>
      </c>
      <c r="W129" s="283"/>
      <c r="X129" s="283"/>
      <c r="Y129" s="283"/>
      <c r="Z129" s="283"/>
    </row>
    <row r="130" ht="15.75" customHeight="1">
      <c r="A130" s="293" t="str">
        <f>IFERROR(__xludf.DUMMYFUNCTION("""COMPUTED_VALUE"""),"NMG")</f>
        <v>NMG</v>
      </c>
      <c r="B130" s="293" t="str">
        <f>IFERROR(__xludf.DUMMYFUNCTION("""COMPUTED_VALUE"""),"Normagut")</f>
        <v>Normagut</v>
      </c>
      <c r="C130" s="293" t="str">
        <f>IFERROR(__xludf.DUMMYFUNCTION("""COMPUTED_VALUE"""),"viên")</f>
        <v>viên</v>
      </c>
      <c r="D130" s="293">
        <f>IFERROR(__xludf.DUMMYFUNCTION("""COMPUTED_VALUE"""),6500.0)</f>
        <v>6500</v>
      </c>
      <c r="E130" s="308">
        <v>0.0</v>
      </c>
      <c r="F130" s="295">
        <f t="shared" si="1"/>
        <v>0</v>
      </c>
      <c r="G130" s="296"/>
      <c r="H130" s="293"/>
      <c r="I130" s="293"/>
      <c r="J130" s="293"/>
      <c r="K130" s="297">
        <f t="shared" si="2"/>
        <v>0</v>
      </c>
      <c r="L130" s="295">
        <f t="shared" si="3"/>
        <v>0</v>
      </c>
      <c r="M130" s="280"/>
      <c r="N130" s="298"/>
      <c r="O130" s="280"/>
      <c r="P130" s="280"/>
      <c r="Q130" s="299">
        <f t="shared" si="10"/>
        <v>0</v>
      </c>
      <c r="R130" s="305">
        <f t="shared" si="9"/>
        <v>0</v>
      </c>
      <c r="S130" s="306">
        <v>0.0</v>
      </c>
      <c r="T130" s="301">
        <f t="shared" si="6"/>
        <v>0</v>
      </c>
      <c r="U130" s="302">
        <f t="shared" si="7"/>
        <v>0</v>
      </c>
      <c r="V130" s="295">
        <f t="shared" si="8"/>
        <v>0</v>
      </c>
      <c r="W130" s="283"/>
      <c r="X130" s="283"/>
      <c r="Y130" s="283"/>
      <c r="Z130" s="283"/>
    </row>
    <row r="131" ht="15.75" customHeight="1">
      <c r="A131" s="293" t="str">
        <f>IFERROR(__xludf.DUMMYFUNCTION("""COMPUTED_VALUE"""),"NCPT")</f>
        <v>NCPT</v>
      </c>
      <c r="B131" s="293" t="str">
        <f>IFERROR(__xludf.DUMMYFUNCTION("""COMPUTED_VALUE"""),"Nước cất pha tiêm")</f>
        <v>Nước cất pha tiêm</v>
      </c>
      <c r="C131" s="293" t="str">
        <f>IFERROR(__xludf.DUMMYFUNCTION("""COMPUTED_VALUE"""),"Ống")</f>
        <v>Ống</v>
      </c>
      <c r="D131" s="293">
        <f>IFERROR(__xludf.DUMMYFUNCTION("""COMPUTED_VALUE"""),500.0)</f>
        <v>500</v>
      </c>
      <c r="E131" s="309">
        <v>4.0</v>
      </c>
      <c r="F131" s="295">
        <f t="shared" si="1"/>
        <v>2000</v>
      </c>
      <c r="G131" s="296"/>
      <c r="H131" s="296"/>
      <c r="I131" s="296"/>
      <c r="J131" s="296"/>
      <c r="K131" s="297">
        <f t="shared" si="2"/>
        <v>0</v>
      </c>
      <c r="L131" s="295">
        <f t="shared" si="3"/>
        <v>0</v>
      </c>
      <c r="M131" s="280"/>
      <c r="N131" s="304"/>
      <c r="O131" s="280"/>
      <c r="P131" s="280"/>
      <c r="Q131" s="299">
        <f t="shared" si="10"/>
        <v>0</v>
      </c>
      <c r="R131" s="305">
        <f t="shared" si="9"/>
        <v>0</v>
      </c>
      <c r="S131" s="306">
        <v>4.0</v>
      </c>
      <c r="T131" s="301">
        <f t="shared" si="6"/>
        <v>0</v>
      </c>
      <c r="U131" s="302">
        <f t="shared" si="7"/>
        <v>0</v>
      </c>
      <c r="V131" s="295">
        <f t="shared" si="8"/>
        <v>2000</v>
      </c>
      <c r="W131" s="283"/>
      <c r="X131" s="283"/>
      <c r="Y131" s="283"/>
      <c r="Z131" s="283"/>
    </row>
    <row r="132" ht="15.75" customHeight="1">
      <c r="A132" s="293" t="str">
        <f>IFERROR(__xludf.DUMMYFUNCTION("""COMPUTED_VALUE"""),"OFLCC")</f>
        <v>OFLCC</v>
      </c>
      <c r="B132" s="293" t="str">
        <f>IFERROR(__xludf.DUMMYFUNCTION("""COMPUTED_VALUE"""),"Ofloxacin")</f>
        <v>Ofloxacin</v>
      </c>
      <c r="C132" s="293" t="str">
        <f>IFERROR(__xludf.DUMMYFUNCTION("""COMPUTED_VALUE"""),"Viên")</f>
        <v>Viên</v>
      </c>
      <c r="D132" s="293">
        <f>IFERROR(__xludf.DUMMYFUNCTION("""COMPUTED_VALUE"""),600.0)</f>
        <v>600</v>
      </c>
      <c r="E132" s="308">
        <v>66.0</v>
      </c>
      <c r="F132" s="295">
        <f t="shared" si="1"/>
        <v>39600</v>
      </c>
      <c r="G132" s="296"/>
      <c r="H132" s="293"/>
      <c r="I132" s="293"/>
      <c r="J132" s="293"/>
      <c r="K132" s="297">
        <f t="shared" si="2"/>
        <v>0</v>
      </c>
      <c r="L132" s="295">
        <f t="shared" si="3"/>
        <v>0</v>
      </c>
      <c r="M132" s="280"/>
      <c r="N132" s="298"/>
      <c r="O132" s="280"/>
      <c r="P132" s="280"/>
      <c r="Q132" s="299">
        <f t="shared" si="10"/>
        <v>0</v>
      </c>
      <c r="R132" s="305">
        <f t="shared" si="9"/>
        <v>0</v>
      </c>
      <c r="S132" s="306">
        <v>66.0</v>
      </c>
      <c r="T132" s="301">
        <f t="shared" si="6"/>
        <v>0</v>
      </c>
      <c r="U132" s="302">
        <f t="shared" si="7"/>
        <v>0</v>
      </c>
      <c r="V132" s="295">
        <f t="shared" si="8"/>
        <v>39600</v>
      </c>
      <c r="W132" s="283"/>
      <c r="X132" s="283"/>
      <c r="Y132" s="283"/>
      <c r="Z132" s="283"/>
    </row>
    <row r="133" ht="15.75" customHeight="1">
      <c r="A133" s="293" t="str">
        <f>IFERROR(__xludf.DUMMYFUNCTION("""COMPUTED_VALUE"""),"OMPZ")</f>
        <v>OMPZ</v>
      </c>
      <c r="B133" s="293" t="str">
        <f>IFERROR(__xludf.DUMMYFUNCTION("""COMPUTED_VALUE"""),"Omeprazole 20mg")</f>
        <v>Omeprazole 20mg</v>
      </c>
      <c r="C133" s="293" t="str">
        <f>IFERROR(__xludf.DUMMYFUNCTION("""COMPUTED_VALUE"""),"viên")</f>
        <v>viên</v>
      </c>
      <c r="D133" s="293">
        <f>IFERROR(__xludf.DUMMYFUNCTION("""COMPUTED_VALUE"""),450.0)</f>
        <v>450</v>
      </c>
      <c r="E133" s="309">
        <v>110.0</v>
      </c>
      <c r="F133" s="295">
        <f t="shared" si="1"/>
        <v>49500</v>
      </c>
      <c r="G133" s="296"/>
      <c r="H133" s="293"/>
      <c r="I133" s="293"/>
      <c r="J133" s="293"/>
      <c r="K133" s="297">
        <f t="shared" si="2"/>
        <v>0</v>
      </c>
      <c r="L133" s="295">
        <f t="shared" si="3"/>
        <v>0</v>
      </c>
      <c r="M133" s="280"/>
      <c r="N133" s="304"/>
      <c r="O133" s="280"/>
      <c r="P133" s="280"/>
      <c r="Q133" s="299">
        <f t="shared" si="10"/>
        <v>0</v>
      </c>
      <c r="R133" s="305">
        <f t="shared" si="9"/>
        <v>0</v>
      </c>
      <c r="S133" s="306">
        <v>110.0</v>
      </c>
      <c r="T133" s="301">
        <f t="shared" si="6"/>
        <v>0</v>
      </c>
      <c r="U133" s="302">
        <f t="shared" si="7"/>
        <v>0</v>
      </c>
      <c r="V133" s="295">
        <f t="shared" si="8"/>
        <v>49500</v>
      </c>
      <c r="W133" s="283"/>
      <c r="X133" s="283"/>
      <c r="Y133" s="283"/>
      <c r="Z133" s="283"/>
    </row>
    <row r="134" ht="15.75" customHeight="1">
      <c r="A134" s="293" t="str">
        <f>IFERROR(__xludf.DUMMYFUNCTION("""COMPUTED_VALUE"""),"OXG")</f>
        <v>OXG</v>
      </c>
      <c r="B134" s="293" t="str">
        <f>IFERROR(__xludf.DUMMYFUNCTION("""COMPUTED_VALUE"""),"Oxy già")</f>
        <v>Oxy già</v>
      </c>
      <c r="C134" s="293" t="str">
        <f>IFERROR(__xludf.DUMMYFUNCTION("""COMPUTED_VALUE"""),"mL")</f>
        <v>mL</v>
      </c>
      <c r="D134" s="293">
        <f>IFERROR(__xludf.DUMMYFUNCTION("""COMPUTED_VALUE"""),94.0)</f>
        <v>94</v>
      </c>
      <c r="E134" s="308">
        <v>200.0</v>
      </c>
      <c r="F134" s="295">
        <f t="shared" si="1"/>
        <v>18800</v>
      </c>
      <c r="G134" s="296"/>
      <c r="H134" s="293"/>
      <c r="I134" s="296"/>
      <c r="J134" s="293"/>
      <c r="K134" s="297">
        <f t="shared" si="2"/>
        <v>0</v>
      </c>
      <c r="L134" s="295">
        <f t="shared" si="3"/>
        <v>0</v>
      </c>
      <c r="M134" s="280"/>
      <c r="N134" s="298"/>
      <c r="O134" s="280"/>
      <c r="P134" s="280"/>
      <c r="Q134" s="299">
        <f t="shared" si="10"/>
        <v>0</v>
      </c>
      <c r="R134" s="305">
        <f t="shared" si="9"/>
        <v>0</v>
      </c>
      <c r="S134" s="306">
        <v>200.0</v>
      </c>
      <c r="T134" s="301">
        <f t="shared" si="6"/>
        <v>0</v>
      </c>
      <c r="U134" s="302">
        <f t="shared" si="7"/>
        <v>0</v>
      </c>
      <c r="V134" s="295">
        <f t="shared" si="8"/>
        <v>18800</v>
      </c>
      <c r="W134" s="283"/>
      <c r="X134" s="283"/>
      <c r="Y134" s="283"/>
      <c r="Z134" s="283"/>
    </row>
    <row r="135" ht="15.75" customHeight="1">
      <c r="A135" s="293" t="str">
        <f>IFERROR(__xludf.DUMMYFUNCTION("""COMPUTED_VALUE"""),"OEDTAD")</f>
        <v>OEDTAD</v>
      </c>
      <c r="B135" s="293" t="str">
        <f>IFERROR(__xludf.DUMMYFUNCTION("""COMPUTED_VALUE"""),"Ống EDTA đen")</f>
        <v>Ống EDTA đen</v>
      </c>
      <c r="C135" s="293" t="str">
        <f>IFERROR(__xludf.DUMMYFUNCTION("""COMPUTED_VALUE"""),"Cái")</f>
        <v>Cái</v>
      </c>
      <c r="D135" s="293">
        <f>IFERROR(__xludf.DUMMYFUNCTION("""COMPUTED_VALUE"""),1000.0)</f>
        <v>1000</v>
      </c>
      <c r="E135" s="309">
        <v>169.0</v>
      </c>
      <c r="F135" s="295">
        <f t="shared" si="1"/>
        <v>169000</v>
      </c>
      <c r="G135" s="296"/>
      <c r="H135" s="296"/>
      <c r="I135" s="293"/>
      <c r="J135" s="293"/>
      <c r="K135" s="297">
        <f t="shared" si="2"/>
        <v>0</v>
      </c>
      <c r="L135" s="295">
        <f t="shared" si="3"/>
        <v>0</v>
      </c>
      <c r="M135" s="280"/>
      <c r="N135" s="304"/>
      <c r="O135" s="280"/>
      <c r="P135" s="280"/>
      <c r="Q135" s="299">
        <f t="shared" si="10"/>
        <v>0</v>
      </c>
      <c r="R135" s="305">
        <f t="shared" si="9"/>
        <v>0</v>
      </c>
      <c r="S135" s="306">
        <v>161.0</v>
      </c>
      <c r="T135" s="301">
        <f t="shared" si="6"/>
        <v>8</v>
      </c>
      <c r="U135" s="302">
        <f t="shared" si="7"/>
        <v>8000</v>
      </c>
      <c r="V135" s="295">
        <f t="shared" si="8"/>
        <v>161000</v>
      </c>
      <c r="W135" s="283"/>
      <c r="X135" s="283"/>
      <c r="Y135" s="283"/>
      <c r="Z135" s="283"/>
    </row>
    <row r="136" ht="15.75" customHeight="1">
      <c r="A136" s="293" t="str">
        <f>IFERROR(__xludf.DUMMYFUNCTION("""COMPUTED_VALUE"""),"OEDTAX")</f>
        <v>OEDTAX</v>
      </c>
      <c r="B136" s="293" t="str">
        <f>IFERROR(__xludf.DUMMYFUNCTION("""COMPUTED_VALUE"""),"Ống EDTA xanh")</f>
        <v>Ống EDTA xanh</v>
      </c>
      <c r="C136" s="293" t="str">
        <f>IFERROR(__xludf.DUMMYFUNCTION("""COMPUTED_VALUE"""),"Cái")</f>
        <v>Cái</v>
      </c>
      <c r="D136" s="293">
        <f>IFERROR(__xludf.DUMMYFUNCTION("""COMPUTED_VALUE"""),825.0)</f>
        <v>825</v>
      </c>
      <c r="E136" s="308">
        <v>85.0</v>
      </c>
      <c r="F136" s="295">
        <f t="shared" si="1"/>
        <v>70125</v>
      </c>
      <c r="G136" s="296"/>
      <c r="H136" s="296"/>
      <c r="I136" s="293"/>
      <c r="J136" s="296"/>
      <c r="K136" s="297">
        <f t="shared" si="2"/>
        <v>0</v>
      </c>
      <c r="L136" s="295">
        <f t="shared" si="3"/>
        <v>0</v>
      </c>
      <c r="M136" s="280"/>
      <c r="N136" s="311"/>
      <c r="O136" s="280"/>
      <c r="P136" s="306"/>
      <c r="Q136" s="299">
        <f t="shared" si="10"/>
        <v>0</v>
      </c>
      <c r="R136" s="305">
        <f t="shared" si="9"/>
        <v>0</v>
      </c>
      <c r="S136" s="306">
        <v>6.0</v>
      </c>
      <c r="T136" s="301">
        <f t="shared" si="6"/>
        <v>79</v>
      </c>
      <c r="U136" s="302">
        <f t="shared" si="7"/>
        <v>65175</v>
      </c>
      <c r="V136" s="295">
        <f t="shared" si="8"/>
        <v>4950</v>
      </c>
      <c r="W136" s="283"/>
      <c r="X136" s="283"/>
      <c r="Y136" s="283"/>
      <c r="Z136" s="283"/>
    </row>
    <row r="137" ht="15.75" customHeight="1">
      <c r="A137" s="293" t="str">
        <f>IFERROR(__xludf.DUMMYFUNCTION("""COMPUTED_VALUE"""),"OTKQC")</f>
        <v>OTKQC</v>
      </c>
      <c r="B137" s="293" t="str">
        <f>IFERROR(__xludf.DUMMYFUNCTION("""COMPUTED_VALUE"""),"Ống thông khí quản (cổ)")</f>
        <v>Ống thông khí quản (cổ)</v>
      </c>
      <c r="C137" s="293" t="str">
        <f>IFERROR(__xludf.DUMMYFUNCTION("""COMPUTED_VALUE"""),"Cái")</f>
        <v>Cái</v>
      </c>
      <c r="D137" s="293">
        <f>IFERROR(__xludf.DUMMYFUNCTION("""COMPUTED_VALUE"""),15000.0)</f>
        <v>15000</v>
      </c>
      <c r="E137" s="323">
        <v>1.0</v>
      </c>
      <c r="F137" s="295">
        <f t="shared" si="1"/>
        <v>15000</v>
      </c>
      <c r="G137" s="296"/>
      <c r="H137" s="293"/>
      <c r="I137" s="293"/>
      <c r="J137" s="296"/>
      <c r="K137" s="297">
        <f t="shared" si="2"/>
        <v>0</v>
      </c>
      <c r="L137" s="295">
        <f t="shared" si="3"/>
        <v>0</v>
      </c>
      <c r="M137" s="280"/>
      <c r="N137" s="304"/>
      <c r="O137" s="280"/>
      <c r="P137" s="280"/>
      <c r="Q137" s="299">
        <f t="shared" si="10"/>
        <v>0</v>
      </c>
      <c r="R137" s="305">
        <f t="shared" si="9"/>
        <v>0</v>
      </c>
      <c r="S137" s="323">
        <v>1.0</v>
      </c>
      <c r="T137" s="301">
        <f t="shared" si="6"/>
        <v>0</v>
      </c>
      <c r="U137" s="302">
        <f t="shared" si="7"/>
        <v>0</v>
      </c>
      <c r="V137" s="295">
        <f t="shared" si="8"/>
        <v>15000</v>
      </c>
      <c r="W137" s="283"/>
      <c r="X137" s="283"/>
      <c r="Y137" s="283"/>
      <c r="Z137" s="283"/>
    </row>
    <row r="138" ht="15.75" customHeight="1">
      <c r="A138" s="293" t="str">
        <f>IFERROR(__xludf.DUMMYFUNCTION("""COMPUTED_VALUE"""),"OTKQ3")</f>
        <v>OTKQ3</v>
      </c>
      <c r="B138" s="293" t="str">
        <f>IFERROR(__xludf.DUMMYFUNCTION("""COMPUTED_VALUE"""),"Ống thông khí quản 3")</f>
        <v>Ống thông khí quản 3</v>
      </c>
      <c r="C138" s="293" t="str">
        <f>IFERROR(__xludf.DUMMYFUNCTION("""COMPUTED_VALUE"""),"Cái")</f>
        <v>Cái</v>
      </c>
      <c r="D138" s="293">
        <f>IFERROR(__xludf.DUMMYFUNCTION("""COMPUTED_VALUE"""),15000.0)</f>
        <v>15000</v>
      </c>
      <c r="E138" s="324">
        <v>0.0</v>
      </c>
      <c r="F138" s="295">
        <f t="shared" si="1"/>
        <v>0</v>
      </c>
      <c r="G138" s="296"/>
      <c r="H138" s="296"/>
      <c r="I138" s="293"/>
      <c r="J138" s="296"/>
      <c r="K138" s="297">
        <f t="shared" si="2"/>
        <v>0</v>
      </c>
      <c r="L138" s="295">
        <f t="shared" si="3"/>
        <v>0</v>
      </c>
      <c r="M138" s="280"/>
      <c r="N138" s="298"/>
      <c r="O138" s="280"/>
      <c r="P138" s="306"/>
      <c r="Q138" s="299">
        <f t="shared" si="10"/>
        <v>0</v>
      </c>
      <c r="R138" s="305">
        <f t="shared" si="9"/>
        <v>0</v>
      </c>
      <c r="S138" s="324">
        <v>0.0</v>
      </c>
      <c r="T138" s="301">
        <f t="shared" si="6"/>
        <v>0</v>
      </c>
      <c r="U138" s="302">
        <f t="shared" si="7"/>
        <v>0</v>
      </c>
      <c r="V138" s="295">
        <f t="shared" si="8"/>
        <v>0</v>
      </c>
      <c r="W138" s="283"/>
      <c r="X138" s="283"/>
      <c r="Y138" s="283"/>
      <c r="Z138" s="283"/>
    </row>
    <row r="139" ht="15.75" customHeight="1">
      <c r="A139" s="293" t="str">
        <f>IFERROR(__xludf.DUMMYFUNCTION("""COMPUTED_VALUE"""),"OTKQ4")</f>
        <v>OTKQ4</v>
      </c>
      <c r="B139" s="293" t="str">
        <f>IFERROR(__xludf.DUMMYFUNCTION("""COMPUTED_VALUE"""),"Ống thông khí quản 4")</f>
        <v>Ống thông khí quản 4</v>
      </c>
      <c r="C139" s="293" t="str">
        <f>IFERROR(__xludf.DUMMYFUNCTION("""COMPUTED_VALUE"""),"Cái")</f>
        <v>Cái</v>
      </c>
      <c r="D139" s="293">
        <f>IFERROR(__xludf.DUMMYFUNCTION("""COMPUTED_VALUE"""),15000.0)</f>
        <v>15000</v>
      </c>
      <c r="E139" s="323">
        <v>7.0</v>
      </c>
      <c r="F139" s="295">
        <f t="shared" si="1"/>
        <v>105000</v>
      </c>
      <c r="G139" s="296"/>
      <c r="H139" s="293"/>
      <c r="I139" s="293"/>
      <c r="J139" s="293"/>
      <c r="K139" s="297">
        <f t="shared" si="2"/>
        <v>0</v>
      </c>
      <c r="L139" s="295">
        <f t="shared" si="3"/>
        <v>0</v>
      </c>
      <c r="M139" s="280"/>
      <c r="N139" s="304"/>
      <c r="O139" s="280"/>
      <c r="P139" s="280"/>
      <c r="Q139" s="299">
        <f t="shared" si="10"/>
        <v>0</v>
      </c>
      <c r="R139" s="305">
        <f t="shared" si="9"/>
        <v>0</v>
      </c>
      <c r="S139" s="323">
        <v>7.0</v>
      </c>
      <c r="T139" s="301">
        <f t="shared" si="6"/>
        <v>0</v>
      </c>
      <c r="U139" s="302">
        <f t="shared" si="7"/>
        <v>0</v>
      </c>
      <c r="V139" s="295">
        <f t="shared" si="8"/>
        <v>105000</v>
      </c>
      <c r="W139" s="283"/>
      <c r="X139" s="283"/>
      <c r="Y139" s="283"/>
      <c r="Z139" s="283"/>
    </row>
    <row r="140" ht="15.75" customHeight="1">
      <c r="A140" s="293" t="str">
        <f>IFERROR(__xludf.DUMMYFUNCTION("""COMPUTED_VALUE"""),"OTKQ4.5")</f>
        <v>OTKQ4.5</v>
      </c>
      <c r="B140" s="293" t="str">
        <f>IFERROR(__xludf.DUMMYFUNCTION("""COMPUTED_VALUE"""),"Ống thông khí quản 4.5")</f>
        <v>Ống thông khí quản 4.5</v>
      </c>
      <c r="C140" s="293" t="str">
        <f>IFERROR(__xludf.DUMMYFUNCTION("""COMPUTED_VALUE"""),"Cái")</f>
        <v>Cái</v>
      </c>
      <c r="D140" s="293">
        <f>IFERROR(__xludf.DUMMYFUNCTION("""COMPUTED_VALUE"""),15000.0)</f>
        <v>15000</v>
      </c>
      <c r="E140" s="324">
        <v>2.0</v>
      </c>
      <c r="F140" s="295">
        <f t="shared" si="1"/>
        <v>30000</v>
      </c>
      <c r="G140" s="296"/>
      <c r="H140" s="296"/>
      <c r="I140" s="296"/>
      <c r="J140" s="293"/>
      <c r="K140" s="297">
        <f t="shared" si="2"/>
        <v>0</v>
      </c>
      <c r="L140" s="295">
        <f t="shared" si="3"/>
        <v>0</v>
      </c>
      <c r="M140" s="280"/>
      <c r="N140" s="298"/>
      <c r="O140" s="306"/>
      <c r="P140" s="306"/>
      <c r="Q140" s="299">
        <f t="shared" si="10"/>
        <v>0</v>
      </c>
      <c r="R140" s="305">
        <f t="shared" si="9"/>
        <v>0</v>
      </c>
      <c r="S140" s="324">
        <v>2.0</v>
      </c>
      <c r="T140" s="301">
        <f t="shared" si="6"/>
        <v>0</v>
      </c>
      <c r="U140" s="302">
        <f t="shared" si="7"/>
        <v>0</v>
      </c>
      <c r="V140" s="295">
        <f t="shared" si="8"/>
        <v>30000</v>
      </c>
      <c r="W140" s="283"/>
      <c r="X140" s="283"/>
      <c r="Y140" s="283"/>
      <c r="Z140" s="283"/>
    </row>
    <row r="141" ht="15.75" customHeight="1">
      <c r="A141" s="293" t="str">
        <f>IFERROR(__xludf.DUMMYFUNCTION("""COMPUTED_VALUE"""),"OTKQ5")</f>
        <v>OTKQ5</v>
      </c>
      <c r="B141" s="293" t="str">
        <f>IFERROR(__xludf.DUMMYFUNCTION("""COMPUTED_VALUE"""),"Ống thông khí quản 5")</f>
        <v>Ống thông khí quản 5</v>
      </c>
      <c r="C141" s="293" t="str">
        <f>IFERROR(__xludf.DUMMYFUNCTION("""COMPUTED_VALUE"""),"Cái")</f>
        <v>Cái</v>
      </c>
      <c r="D141" s="293">
        <f>IFERROR(__xludf.DUMMYFUNCTION("""COMPUTED_VALUE"""),15000.0)</f>
        <v>15000</v>
      </c>
      <c r="E141" s="323">
        <v>4.0</v>
      </c>
      <c r="F141" s="295">
        <f t="shared" si="1"/>
        <v>60000</v>
      </c>
      <c r="G141" s="296"/>
      <c r="H141" s="293"/>
      <c r="I141" s="293"/>
      <c r="J141" s="293"/>
      <c r="K141" s="297">
        <f t="shared" si="2"/>
        <v>0</v>
      </c>
      <c r="L141" s="295">
        <f t="shared" si="3"/>
        <v>0</v>
      </c>
      <c r="M141" s="280"/>
      <c r="N141" s="304"/>
      <c r="O141" s="306"/>
      <c r="P141" s="280"/>
      <c r="Q141" s="299">
        <f t="shared" si="10"/>
        <v>0</v>
      </c>
      <c r="R141" s="305">
        <f t="shared" si="9"/>
        <v>0</v>
      </c>
      <c r="S141" s="323">
        <v>4.0</v>
      </c>
      <c r="T141" s="301">
        <f t="shared" si="6"/>
        <v>0</v>
      </c>
      <c r="U141" s="302">
        <f t="shared" si="7"/>
        <v>0</v>
      </c>
      <c r="V141" s="295">
        <f t="shared" si="8"/>
        <v>60000</v>
      </c>
      <c r="W141" s="283"/>
      <c r="X141" s="283"/>
      <c r="Y141" s="283"/>
      <c r="Z141" s="283"/>
    </row>
    <row r="142" ht="15.75" customHeight="1">
      <c r="A142" s="293" t="str">
        <f>IFERROR(__xludf.DUMMYFUNCTION("""COMPUTED_VALUE"""),"OTKQ5.5")</f>
        <v>OTKQ5.5</v>
      </c>
      <c r="B142" s="293" t="str">
        <f>IFERROR(__xludf.DUMMYFUNCTION("""COMPUTED_VALUE"""),"Ống thông khí quản 5.5")</f>
        <v>Ống thông khí quản 5.5</v>
      </c>
      <c r="C142" s="293" t="str">
        <f>IFERROR(__xludf.DUMMYFUNCTION("""COMPUTED_VALUE"""),"Cái")</f>
        <v>Cái</v>
      </c>
      <c r="D142" s="293">
        <f>IFERROR(__xludf.DUMMYFUNCTION("""COMPUTED_VALUE"""),15000.0)</f>
        <v>15000</v>
      </c>
      <c r="E142" s="324">
        <v>2.0</v>
      </c>
      <c r="F142" s="295">
        <f t="shared" si="1"/>
        <v>30000</v>
      </c>
      <c r="G142" s="296"/>
      <c r="H142" s="296"/>
      <c r="I142" s="293"/>
      <c r="J142" s="293"/>
      <c r="K142" s="297">
        <f t="shared" si="2"/>
        <v>0</v>
      </c>
      <c r="L142" s="295">
        <f t="shared" si="3"/>
        <v>0</v>
      </c>
      <c r="M142" s="306"/>
      <c r="N142" s="311"/>
      <c r="O142" s="280"/>
      <c r="P142" s="306"/>
      <c r="Q142" s="299">
        <f t="shared" si="10"/>
        <v>0</v>
      </c>
      <c r="R142" s="305">
        <f t="shared" si="9"/>
        <v>0</v>
      </c>
      <c r="S142" s="324">
        <v>2.0</v>
      </c>
      <c r="T142" s="301">
        <f t="shared" si="6"/>
        <v>0</v>
      </c>
      <c r="U142" s="302">
        <f t="shared" si="7"/>
        <v>0</v>
      </c>
      <c r="V142" s="295">
        <f t="shared" si="8"/>
        <v>30000</v>
      </c>
      <c r="W142" s="283"/>
      <c r="X142" s="283"/>
      <c r="Y142" s="283"/>
      <c r="Z142" s="283"/>
    </row>
    <row r="143" ht="15.75" customHeight="1">
      <c r="A143" s="293" t="str">
        <f>IFERROR(__xludf.DUMMYFUNCTION("""COMPUTED_VALUE"""),"OTKQ6")</f>
        <v>OTKQ6</v>
      </c>
      <c r="B143" s="293" t="str">
        <f>IFERROR(__xludf.DUMMYFUNCTION("""COMPUTED_VALUE"""),"Ống thông khí quản 6")</f>
        <v>Ống thông khí quản 6</v>
      </c>
      <c r="C143" s="293" t="str">
        <f>IFERROR(__xludf.DUMMYFUNCTION("""COMPUTED_VALUE"""),"Cái")</f>
        <v>Cái</v>
      </c>
      <c r="D143" s="293">
        <f>IFERROR(__xludf.DUMMYFUNCTION("""COMPUTED_VALUE"""),15000.0)</f>
        <v>15000</v>
      </c>
      <c r="E143" s="323">
        <v>4.0</v>
      </c>
      <c r="F143" s="295">
        <f t="shared" si="1"/>
        <v>60000</v>
      </c>
      <c r="G143" s="296"/>
      <c r="H143" s="296"/>
      <c r="I143" s="296"/>
      <c r="J143" s="293"/>
      <c r="K143" s="297">
        <f t="shared" si="2"/>
        <v>0</v>
      </c>
      <c r="L143" s="295">
        <f t="shared" si="3"/>
        <v>0</v>
      </c>
      <c r="M143" s="280"/>
      <c r="N143" s="304"/>
      <c r="O143" s="280"/>
      <c r="P143" s="280"/>
      <c r="Q143" s="299">
        <f t="shared" si="10"/>
        <v>0</v>
      </c>
      <c r="R143" s="305">
        <f t="shared" si="9"/>
        <v>0</v>
      </c>
      <c r="S143" s="323">
        <v>4.0</v>
      </c>
      <c r="T143" s="301">
        <f t="shared" si="6"/>
        <v>0</v>
      </c>
      <c r="U143" s="302">
        <f t="shared" si="7"/>
        <v>0</v>
      </c>
      <c r="V143" s="295">
        <f t="shared" si="8"/>
        <v>60000</v>
      </c>
      <c r="W143" s="283"/>
      <c r="X143" s="283"/>
      <c r="Y143" s="283"/>
      <c r="Z143" s="283"/>
    </row>
    <row r="144" ht="15.75" customHeight="1">
      <c r="A144" s="293" t="str">
        <f>IFERROR(__xludf.DUMMYFUNCTION("""COMPUTED_VALUE"""),"OTKQ6.5")</f>
        <v>OTKQ6.5</v>
      </c>
      <c r="B144" s="293" t="str">
        <f>IFERROR(__xludf.DUMMYFUNCTION("""COMPUTED_VALUE"""),"Ống thông khí quản 6.5")</f>
        <v>Ống thông khí quản 6.5</v>
      </c>
      <c r="C144" s="293" t="str">
        <f>IFERROR(__xludf.DUMMYFUNCTION("""COMPUTED_VALUE"""),"Cái")</f>
        <v>Cái</v>
      </c>
      <c r="D144" s="293">
        <f>IFERROR(__xludf.DUMMYFUNCTION("""COMPUTED_VALUE"""),15000.0)</f>
        <v>15000</v>
      </c>
      <c r="E144" s="324">
        <v>3.0</v>
      </c>
      <c r="F144" s="295">
        <f t="shared" si="1"/>
        <v>45000</v>
      </c>
      <c r="G144" s="296"/>
      <c r="H144" s="296"/>
      <c r="I144" s="293"/>
      <c r="J144" s="293"/>
      <c r="K144" s="297">
        <f t="shared" si="2"/>
        <v>0</v>
      </c>
      <c r="L144" s="295">
        <f t="shared" si="3"/>
        <v>0</v>
      </c>
      <c r="M144" s="280"/>
      <c r="N144" s="311"/>
      <c r="O144" s="280"/>
      <c r="P144" s="280"/>
      <c r="Q144" s="299">
        <f t="shared" si="10"/>
        <v>0</v>
      </c>
      <c r="R144" s="305">
        <f t="shared" si="9"/>
        <v>0</v>
      </c>
      <c r="S144" s="324">
        <v>3.0</v>
      </c>
      <c r="T144" s="301">
        <f t="shared" si="6"/>
        <v>0</v>
      </c>
      <c r="U144" s="302">
        <f t="shared" si="7"/>
        <v>0</v>
      </c>
      <c r="V144" s="295">
        <f t="shared" si="8"/>
        <v>45000</v>
      </c>
      <c r="W144" s="283"/>
      <c r="X144" s="283"/>
      <c r="Y144" s="283"/>
      <c r="Z144" s="283"/>
    </row>
    <row r="145" ht="15.75" customHeight="1">
      <c r="A145" s="293" t="str">
        <f>IFERROR(__xludf.DUMMYFUNCTION("""COMPUTED_VALUE"""),"OTKQ7")</f>
        <v>OTKQ7</v>
      </c>
      <c r="B145" s="293" t="str">
        <f>IFERROR(__xludf.DUMMYFUNCTION("""COMPUTED_VALUE"""),"Ống thông khí quản 7")</f>
        <v>Ống thông khí quản 7</v>
      </c>
      <c r="C145" s="293" t="str">
        <f>IFERROR(__xludf.DUMMYFUNCTION("""COMPUTED_VALUE"""),"Cái")</f>
        <v>Cái</v>
      </c>
      <c r="D145" s="293">
        <f>IFERROR(__xludf.DUMMYFUNCTION("""COMPUTED_VALUE"""),15000.0)</f>
        <v>15000</v>
      </c>
      <c r="E145" s="323">
        <v>6.0</v>
      </c>
      <c r="F145" s="295">
        <f t="shared" si="1"/>
        <v>90000</v>
      </c>
      <c r="G145" s="306"/>
      <c r="H145" s="306"/>
      <c r="I145" s="306"/>
      <c r="J145" s="280"/>
      <c r="K145" s="297">
        <f t="shared" si="2"/>
        <v>0</v>
      </c>
      <c r="L145" s="295">
        <f t="shared" si="3"/>
        <v>0</v>
      </c>
      <c r="M145" s="306"/>
      <c r="N145" s="304"/>
      <c r="O145" s="280"/>
      <c r="P145" s="280"/>
      <c r="Q145" s="299">
        <f t="shared" si="10"/>
        <v>0</v>
      </c>
      <c r="R145" s="305">
        <f t="shared" si="9"/>
        <v>0</v>
      </c>
      <c r="S145" s="323">
        <v>6.0</v>
      </c>
      <c r="T145" s="301">
        <f t="shared" si="6"/>
        <v>0</v>
      </c>
      <c r="U145" s="302">
        <f t="shared" si="7"/>
        <v>0</v>
      </c>
      <c r="V145" s="295">
        <f t="shared" si="8"/>
        <v>90000</v>
      </c>
      <c r="W145" s="283"/>
      <c r="X145" s="283"/>
      <c r="Y145" s="283"/>
      <c r="Z145" s="283"/>
    </row>
    <row r="146" ht="15.75" customHeight="1">
      <c r="A146" s="293" t="str">
        <f>IFERROR(__xludf.DUMMYFUNCTION("""COMPUTED_VALUE"""),"OTKQ7.5")</f>
        <v>OTKQ7.5</v>
      </c>
      <c r="B146" s="293" t="str">
        <f>IFERROR(__xludf.DUMMYFUNCTION("""COMPUTED_VALUE"""),"Ống thông khí quản 7.5")</f>
        <v>Ống thông khí quản 7.5</v>
      </c>
      <c r="C146" s="293" t="str">
        <f>IFERROR(__xludf.DUMMYFUNCTION("""COMPUTED_VALUE"""),"Cái")</f>
        <v>Cái</v>
      </c>
      <c r="D146" s="293">
        <f>IFERROR(__xludf.DUMMYFUNCTION("""COMPUTED_VALUE"""),15000.0)</f>
        <v>15000</v>
      </c>
      <c r="E146" s="324">
        <v>3.0</v>
      </c>
      <c r="F146" s="295">
        <f t="shared" si="1"/>
        <v>45000</v>
      </c>
      <c r="G146" s="296"/>
      <c r="H146" s="296"/>
      <c r="I146" s="293"/>
      <c r="J146" s="293"/>
      <c r="K146" s="297">
        <f t="shared" si="2"/>
        <v>0</v>
      </c>
      <c r="L146" s="295">
        <f t="shared" si="3"/>
        <v>0</v>
      </c>
      <c r="M146" s="280"/>
      <c r="N146" s="298"/>
      <c r="O146" s="280"/>
      <c r="P146" s="280"/>
      <c r="Q146" s="299">
        <f t="shared" si="10"/>
        <v>0</v>
      </c>
      <c r="R146" s="305">
        <f t="shared" si="9"/>
        <v>0</v>
      </c>
      <c r="S146" s="324">
        <v>3.0</v>
      </c>
      <c r="T146" s="301">
        <f t="shared" si="6"/>
        <v>0</v>
      </c>
      <c r="U146" s="302">
        <f t="shared" si="7"/>
        <v>0</v>
      </c>
      <c r="V146" s="295">
        <f t="shared" si="8"/>
        <v>45000</v>
      </c>
      <c r="W146" s="283"/>
      <c r="X146" s="283"/>
      <c r="Y146" s="283"/>
      <c r="Z146" s="283"/>
    </row>
    <row r="147" ht="15.75" customHeight="1">
      <c r="A147" s="293" t="str">
        <f>IFERROR(__xludf.DUMMYFUNCTION("""COMPUTED_VALUE"""),"OTTM")</f>
        <v>OTTM</v>
      </c>
      <c r="B147" s="293" t="str">
        <f>IFERROR(__xludf.DUMMYFUNCTION("""COMPUTED_VALUE"""),"Ống thông tiểu mèo")</f>
        <v>Ống thông tiểu mèo</v>
      </c>
      <c r="C147" s="293" t="str">
        <f>IFERROR(__xludf.DUMMYFUNCTION("""COMPUTED_VALUE"""),"Cái")</f>
        <v>Cái</v>
      </c>
      <c r="D147" s="293">
        <f>IFERROR(__xludf.DUMMYFUNCTION("""COMPUTED_VALUE"""),80000.0)</f>
        <v>80000</v>
      </c>
      <c r="E147" s="323">
        <v>26.0</v>
      </c>
      <c r="F147" s="295">
        <f t="shared" si="1"/>
        <v>2080000</v>
      </c>
      <c r="G147" s="296"/>
      <c r="H147" s="293"/>
      <c r="I147" s="293"/>
      <c r="J147" s="296"/>
      <c r="K147" s="297">
        <f t="shared" si="2"/>
        <v>0</v>
      </c>
      <c r="L147" s="295">
        <f t="shared" si="3"/>
        <v>0</v>
      </c>
      <c r="M147" s="306"/>
      <c r="N147" s="304"/>
      <c r="O147" s="306"/>
      <c r="P147" s="280"/>
      <c r="Q147" s="299">
        <f t="shared" si="10"/>
        <v>0</v>
      </c>
      <c r="R147" s="305">
        <f t="shared" si="9"/>
        <v>0</v>
      </c>
      <c r="S147" s="323">
        <v>26.0</v>
      </c>
      <c r="T147" s="301">
        <f t="shared" si="6"/>
        <v>0</v>
      </c>
      <c r="U147" s="302">
        <f t="shared" si="7"/>
        <v>0</v>
      </c>
      <c r="V147" s="295">
        <f t="shared" si="8"/>
        <v>2080000</v>
      </c>
      <c r="W147" s="283"/>
      <c r="X147" s="283"/>
      <c r="Y147" s="283"/>
      <c r="Z147" s="283"/>
    </row>
    <row r="148" ht="15.75" customHeight="1">
      <c r="A148" s="293" t="str">
        <f>IFERROR(__xludf.DUMMYFUNCTION("""COMPUTED_VALUE"""),"PK")</f>
        <v>PK</v>
      </c>
      <c r="B148" s="293" t="str">
        <f>IFERROR(__xludf.DUMMYFUNCTION("""COMPUTED_VALUE"""),"Phiến kính")</f>
        <v>Phiến kính</v>
      </c>
      <c r="C148" s="293" t="str">
        <f>IFERROR(__xludf.DUMMYFUNCTION("""COMPUTED_VALUE"""),"Hộp")</f>
        <v>Hộp</v>
      </c>
      <c r="D148" s="293">
        <f>IFERROR(__xludf.DUMMYFUNCTION("""COMPUTED_VALUE"""),20000.0)</f>
        <v>20000</v>
      </c>
      <c r="E148" s="308">
        <v>2.0</v>
      </c>
      <c r="F148" s="295">
        <f t="shared" si="1"/>
        <v>40000</v>
      </c>
      <c r="G148" s="296"/>
      <c r="H148" s="293"/>
      <c r="I148" s="296"/>
      <c r="J148" s="296"/>
      <c r="K148" s="297">
        <f t="shared" si="2"/>
        <v>0</v>
      </c>
      <c r="L148" s="295">
        <f t="shared" si="3"/>
        <v>0</v>
      </c>
      <c r="M148" s="280"/>
      <c r="N148" s="311"/>
      <c r="O148" s="306"/>
      <c r="P148" s="306"/>
      <c r="Q148" s="299">
        <f t="shared" si="10"/>
        <v>0</v>
      </c>
      <c r="R148" s="305">
        <f t="shared" si="9"/>
        <v>0</v>
      </c>
      <c r="S148" s="306">
        <v>2.0</v>
      </c>
      <c r="T148" s="301">
        <f t="shared" si="6"/>
        <v>0</v>
      </c>
      <c r="U148" s="302">
        <f t="shared" si="7"/>
        <v>0</v>
      </c>
      <c r="V148" s="295">
        <f t="shared" si="8"/>
        <v>40000</v>
      </c>
      <c r="W148" s="283"/>
      <c r="X148" s="283"/>
      <c r="Y148" s="283"/>
      <c r="Z148" s="283"/>
    </row>
    <row r="149" ht="15.75" customHeight="1">
      <c r="A149" s="293" t="str">
        <f>IFERROR(__xludf.DUMMYFUNCTION("""COMPUTED_VALUE"""),"PRCTM")</f>
        <v>PRCTM</v>
      </c>
      <c r="B149" s="293" t="str">
        <f>IFERROR(__xludf.DUMMYFUNCTION("""COMPUTED_VALUE"""),"Pracetamol")</f>
        <v>Pracetamol</v>
      </c>
      <c r="C149" s="293" t="str">
        <f>IFERROR(__xludf.DUMMYFUNCTION("""COMPUTED_VALUE"""),"mL")</f>
        <v>mL</v>
      </c>
      <c r="D149" s="293">
        <f>IFERROR(__xludf.DUMMYFUNCTION("""COMPUTED_VALUE"""),400.0)</f>
        <v>400</v>
      </c>
      <c r="E149" s="309">
        <v>2000.0</v>
      </c>
      <c r="F149" s="295">
        <f t="shared" si="1"/>
        <v>800000</v>
      </c>
      <c r="G149" s="296"/>
      <c r="H149" s="293"/>
      <c r="I149" s="293"/>
      <c r="J149" s="296"/>
      <c r="K149" s="297">
        <f t="shared" si="2"/>
        <v>0</v>
      </c>
      <c r="L149" s="295">
        <f t="shared" si="3"/>
        <v>0</v>
      </c>
      <c r="M149" s="280"/>
      <c r="N149" s="307"/>
      <c r="O149" s="306"/>
      <c r="P149" s="306"/>
      <c r="Q149" s="299">
        <f t="shared" si="10"/>
        <v>0</v>
      </c>
      <c r="R149" s="305">
        <f t="shared" si="9"/>
        <v>0</v>
      </c>
      <c r="S149" s="306">
        <v>2000.0</v>
      </c>
      <c r="T149" s="301">
        <f t="shared" si="6"/>
        <v>0</v>
      </c>
      <c r="U149" s="302">
        <f t="shared" si="7"/>
        <v>0</v>
      </c>
      <c r="V149" s="295">
        <f t="shared" si="8"/>
        <v>800000</v>
      </c>
      <c r="W149" s="283"/>
      <c r="X149" s="283"/>
      <c r="Y149" s="283"/>
      <c r="Z149" s="283"/>
    </row>
    <row r="150" ht="15.75" customHeight="1">
      <c r="A150" s="293" t="str">
        <f>IFERROR(__xludf.DUMMYFUNCTION("""COMPUTED_VALUE"""),"PRNSL5")</f>
        <v>PRNSL5</v>
      </c>
      <c r="B150" s="293" t="str">
        <f>IFERROR(__xludf.DUMMYFUNCTION("""COMPUTED_VALUE"""),"Prednisolon 5mg")</f>
        <v>Prednisolon 5mg</v>
      </c>
      <c r="C150" s="293" t="str">
        <f>IFERROR(__xludf.DUMMYFUNCTION("""COMPUTED_VALUE"""),"Viên")</f>
        <v>Viên</v>
      </c>
      <c r="D150" s="293">
        <f>IFERROR(__xludf.DUMMYFUNCTION("""COMPUTED_VALUE"""),225.0)</f>
        <v>225</v>
      </c>
      <c r="E150" s="308">
        <f>347+82</f>
        <v>429</v>
      </c>
      <c r="F150" s="295">
        <f t="shared" si="1"/>
        <v>96525</v>
      </c>
      <c r="G150" s="296"/>
      <c r="H150" s="296">
        <v>400.0</v>
      </c>
      <c r="I150" s="293"/>
      <c r="J150" s="293"/>
      <c r="K150" s="297">
        <f t="shared" si="2"/>
        <v>400</v>
      </c>
      <c r="L150" s="295">
        <f t="shared" si="3"/>
        <v>90000</v>
      </c>
      <c r="M150" s="280"/>
      <c r="N150" s="298"/>
      <c r="O150" s="280"/>
      <c r="P150" s="306"/>
      <c r="Q150" s="299">
        <f t="shared" si="10"/>
        <v>0</v>
      </c>
      <c r="R150" s="305">
        <f t="shared" si="9"/>
        <v>0</v>
      </c>
      <c r="S150" s="306">
        <v>347.0</v>
      </c>
      <c r="T150" s="301">
        <f t="shared" si="6"/>
        <v>482</v>
      </c>
      <c r="U150" s="302">
        <f t="shared" si="7"/>
        <v>108450</v>
      </c>
      <c r="V150" s="295">
        <f t="shared" si="8"/>
        <v>78075</v>
      </c>
      <c r="W150" s="283"/>
      <c r="X150" s="283"/>
      <c r="Y150" s="283"/>
      <c r="Z150" s="283"/>
    </row>
    <row r="151" ht="15.75" customHeight="1">
      <c r="A151" s="293" t="str">
        <f>IFERROR(__xludf.DUMMYFUNCTION("""COMPUTED_VALUE"""),"PRESO")</f>
        <v>PRESO</v>
      </c>
      <c r="B151" s="293" t="str">
        <f>IFERROR(__xludf.DUMMYFUNCTION("""COMPUTED_VALUE"""),"Preso (prednisolone)")</f>
        <v>Preso (prednisolone)</v>
      </c>
      <c r="C151" s="293" t="str">
        <f>IFERROR(__xludf.DUMMYFUNCTION("""COMPUTED_VALUE"""),"mL")</f>
        <v>mL</v>
      </c>
      <c r="D151" s="293">
        <f>IFERROR(__xludf.DUMMYFUNCTION("""COMPUTED_VALUE"""),639.4444444444445)</f>
        <v>639.4444444</v>
      </c>
      <c r="E151" s="309">
        <f>95+18</f>
        <v>113</v>
      </c>
      <c r="F151" s="295">
        <f t="shared" si="1"/>
        <v>72257.22222</v>
      </c>
      <c r="G151" s="296"/>
      <c r="H151" s="296"/>
      <c r="I151" s="296"/>
      <c r="J151" s="296"/>
      <c r="K151" s="297">
        <f t="shared" si="2"/>
        <v>0</v>
      </c>
      <c r="L151" s="295">
        <f t="shared" si="3"/>
        <v>0</v>
      </c>
      <c r="M151" s="280"/>
      <c r="N151" s="307"/>
      <c r="O151" s="280"/>
      <c r="P151" s="306"/>
      <c r="Q151" s="299">
        <f t="shared" si="10"/>
        <v>0</v>
      </c>
      <c r="R151" s="305">
        <f t="shared" si="9"/>
        <v>0</v>
      </c>
      <c r="S151" s="306">
        <f>95+18</f>
        <v>113</v>
      </c>
      <c r="T151" s="301">
        <f t="shared" si="6"/>
        <v>0</v>
      </c>
      <c r="U151" s="302">
        <f t="shared" si="7"/>
        <v>0</v>
      </c>
      <c r="V151" s="295">
        <f t="shared" si="8"/>
        <v>72257.22222</v>
      </c>
      <c r="W151" s="283"/>
      <c r="X151" s="283"/>
      <c r="Y151" s="283"/>
      <c r="Z151" s="283"/>
    </row>
    <row r="152" ht="15.75" customHeight="1">
      <c r="A152" s="293" t="str">
        <f>IFERROR(__xludf.DUMMYFUNCTION("""COMPUTED_VALUE"""),"PPF")</f>
        <v>PPF</v>
      </c>
      <c r="B152" s="293" t="str">
        <f>IFERROR(__xludf.DUMMYFUNCTION("""COMPUTED_VALUE"""),"Propofol")</f>
        <v>Propofol</v>
      </c>
      <c r="C152" s="293" t="str">
        <f>IFERROR(__xludf.DUMMYFUNCTION("""COMPUTED_VALUE"""),"ml")</f>
        <v>ml</v>
      </c>
      <c r="D152" s="293">
        <f>IFERROR(__xludf.DUMMYFUNCTION("""COMPUTED_VALUE"""),16000.0)</f>
        <v>16000</v>
      </c>
      <c r="E152" s="308">
        <v>650.0</v>
      </c>
      <c r="F152" s="295">
        <f t="shared" si="1"/>
        <v>10400000</v>
      </c>
      <c r="G152" s="296"/>
      <c r="H152" s="293"/>
      <c r="I152" s="293"/>
      <c r="J152" s="293"/>
      <c r="K152" s="297">
        <f t="shared" si="2"/>
        <v>0</v>
      </c>
      <c r="L152" s="295">
        <f t="shared" si="3"/>
        <v>0</v>
      </c>
      <c r="M152" s="280"/>
      <c r="N152" s="298"/>
      <c r="O152" s="280"/>
      <c r="P152" s="280"/>
      <c r="Q152" s="299">
        <f t="shared" si="10"/>
        <v>0</v>
      </c>
      <c r="R152" s="305">
        <f t="shared" si="9"/>
        <v>0</v>
      </c>
      <c r="S152" s="306">
        <v>640.0</v>
      </c>
      <c r="T152" s="301">
        <f t="shared" si="6"/>
        <v>10</v>
      </c>
      <c r="U152" s="302">
        <f t="shared" si="7"/>
        <v>160000</v>
      </c>
      <c r="V152" s="295">
        <f t="shared" si="8"/>
        <v>10240000</v>
      </c>
      <c r="W152" s="283"/>
      <c r="X152" s="283"/>
      <c r="Y152" s="283"/>
      <c r="Z152" s="283"/>
    </row>
    <row r="153" ht="15.75" customHeight="1">
      <c r="A153" s="293" t="str">
        <f>IFERROR(__xludf.DUMMYFUNCTION("""COMPUTED_VALUE"""),"ROWA")</f>
        <v>ROWA</v>
      </c>
      <c r="B153" s="293" t="str">
        <f>IFERROR(__xludf.DUMMYFUNCTION("""COMPUTED_VALUE"""),"Rowa tinex (thuốc tán sỏi)")</f>
        <v>Rowa tinex (thuốc tán sỏi)</v>
      </c>
      <c r="C153" s="293" t="str">
        <f>IFERROR(__xludf.DUMMYFUNCTION("""COMPUTED_VALUE"""),"Viên")</f>
        <v>Viên</v>
      </c>
      <c r="D153" s="293">
        <f>IFERROR(__xludf.DUMMYFUNCTION("""COMPUTED_VALUE"""),3500.0)</f>
        <v>3500</v>
      </c>
      <c r="E153" s="309">
        <f>20+114</f>
        <v>134</v>
      </c>
      <c r="F153" s="295">
        <f t="shared" si="1"/>
        <v>469000</v>
      </c>
      <c r="G153" s="296"/>
      <c r="H153" s="296"/>
      <c r="I153" s="296"/>
      <c r="J153" s="293"/>
      <c r="K153" s="297">
        <f t="shared" si="2"/>
        <v>0</v>
      </c>
      <c r="L153" s="295">
        <f t="shared" si="3"/>
        <v>0</v>
      </c>
      <c r="M153" s="280"/>
      <c r="N153" s="304"/>
      <c r="O153" s="280"/>
      <c r="P153" s="306"/>
      <c r="Q153" s="299">
        <f t="shared" si="10"/>
        <v>0</v>
      </c>
      <c r="R153" s="305">
        <f t="shared" si="9"/>
        <v>0</v>
      </c>
      <c r="S153" s="306">
        <f>20+114</f>
        <v>134</v>
      </c>
      <c r="T153" s="301">
        <f t="shared" si="6"/>
        <v>0</v>
      </c>
      <c r="U153" s="302">
        <f t="shared" si="7"/>
        <v>0</v>
      </c>
      <c r="V153" s="295">
        <f t="shared" si="8"/>
        <v>469000</v>
      </c>
      <c r="W153" s="283"/>
      <c r="X153" s="283"/>
      <c r="Y153" s="283"/>
      <c r="Z153" s="283"/>
    </row>
    <row r="154" ht="15.75" customHeight="1">
      <c r="A154" s="293" t="str">
        <f>IFERROR(__xludf.DUMMYFUNCTION("""COMPUTED_VALUE"""),"SBT")</f>
        <v>SBT</v>
      </c>
      <c r="B154" s="293" t="str">
        <f>IFERROR(__xludf.DUMMYFUNCTION("""COMPUTED_VALUE"""),"Salbutamol (xông giãn phế quản)")</f>
        <v>Salbutamol (xông giãn phế quản)</v>
      </c>
      <c r="C154" s="293" t="str">
        <f>IFERROR(__xludf.DUMMYFUNCTION("""COMPUTED_VALUE"""),"Ống")</f>
        <v>Ống</v>
      </c>
      <c r="D154" s="293">
        <f>IFERROR(__xludf.DUMMYFUNCTION("""COMPUTED_VALUE"""),6000.0)</f>
        <v>6000</v>
      </c>
      <c r="E154" s="308">
        <v>16.0</v>
      </c>
      <c r="F154" s="295">
        <f t="shared" si="1"/>
        <v>96000</v>
      </c>
      <c r="G154" s="306"/>
      <c r="H154" s="306"/>
      <c r="I154" s="280"/>
      <c r="J154" s="306"/>
      <c r="K154" s="297">
        <f t="shared" si="2"/>
        <v>0</v>
      </c>
      <c r="L154" s="295">
        <f t="shared" si="3"/>
        <v>0</v>
      </c>
      <c r="M154" s="306"/>
      <c r="N154" s="298"/>
      <c r="O154" s="306"/>
      <c r="P154" s="280"/>
      <c r="Q154" s="299">
        <f t="shared" si="10"/>
        <v>0</v>
      </c>
      <c r="R154" s="305">
        <f t="shared" si="9"/>
        <v>0</v>
      </c>
      <c r="S154" s="306">
        <v>16.0</v>
      </c>
      <c r="T154" s="301">
        <f t="shared" si="6"/>
        <v>0</v>
      </c>
      <c r="U154" s="302">
        <f t="shared" si="7"/>
        <v>0</v>
      </c>
      <c r="V154" s="295">
        <f t="shared" si="8"/>
        <v>96000</v>
      </c>
      <c r="W154" s="283"/>
      <c r="X154" s="283"/>
      <c r="Y154" s="283"/>
      <c r="Z154" s="283"/>
    </row>
    <row r="155" ht="15.75" customHeight="1">
      <c r="A155" s="293" t="str">
        <f>IFERROR(__xludf.DUMMYFUNCTION("""COMPUTED_VALUE"""),"SP")</f>
        <v>SP</v>
      </c>
      <c r="B155" s="293" t="str">
        <f>IFERROR(__xludf.DUMMYFUNCTION("""COMPUTED_VALUE"""),"Sanpet")</f>
        <v>Sanpet</v>
      </c>
      <c r="C155" s="293" t="str">
        <f>IFERROR(__xludf.DUMMYFUNCTION("""COMPUTED_VALUE"""),"Viên")</f>
        <v>Viên</v>
      </c>
      <c r="D155" s="293">
        <f>IFERROR(__xludf.DUMMYFUNCTION("""COMPUTED_VALUE"""),3600.0)</f>
        <v>3600</v>
      </c>
      <c r="E155" s="309">
        <f>597-200</f>
        <v>397</v>
      </c>
      <c r="F155" s="295">
        <f t="shared" si="1"/>
        <v>1429200</v>
      </c>
      <c r="G155" s="306"/>
      <c r="H155" s="306"/>
      <c r="I155" s="306"/>
      <c r="J155" s="306">
        <v>200.0</v>
      </c>
      <c r="K155" s="297">
        <f t="shared" si="2"/>
        <v>200</v>
      </c>
      <c r="L155" s="295">
        <f t="shared" si="3"/>
        <v>720000</v>
      </c>
      <c r="M155" s="280"/>
      <c r="N155" s="307"/>
      <c r="O155" s="306"/>
      <c r="P155" s="280"/>
      <c r="Q155" s="299">
        <f t="shared" si="10"/>
        <v>0</v>
      </c>
      <c r="R155" s="305">
        <f t="shared" si="9"/>
        <v>0</v>
      </c>
      <c r="S155" s="306">
        <f>500+50+47</f>
        <v>597</v>
      </c>
      <c r="T155" s="301">
        <f t="shared" si="6"/>
        <v>0</v>
      </c>
      <c r="U155" s="302">
        <f t="shared" si="7"/>
        <v>0</v>
      </c>
      <c r="V155" s="295">
        <f t="shared" si="8"/>
        <v>2149200</v>
      </c>
      <c r="W155" s="283"/>
      <c r="X155" s="283"/>
      <c r="Y155" s="283"/>
      <c r="Z155" s="283"/>
    </row>
    <row r="156" ht="15.75" customHeight="1">
      <c r="A156" s="293" t="str">
        <f>IFERROR(__xludf.DUMMYFUNCTION("""COMPUTED_VALUE"""),"STTN")</f>
        <v>STTN</v>
      </c>
      <c r="B156" s="293" t="str">
        <f>IFERROR(__xludf.DUMMYFUNCTION("""COMPUTED_VALUE"""),"Sát trùng tay nhanh")</f>
        <v>Sát trùng tay nhanh</v>
      </c>
      <c r="C156" s="293" t="str">
        <f>IFERROR(__xludf.DUMMYFUNCTION("""COMPUTED_VALUE"""),"mL")</f>
        <v>mL</v>
      </c>
      <c r="D156" s="293">
        <f>IFERROR(__xludf.DUMMYFUNCTION("""COMPUTED_VALUE"""),400.0)</f>
        <v>400</v>
      </c>
      <c r="E156" s="308">
        <v>0.0</v>
      </c>
      <c r="F156" s="295">
        <f t="shared" si="1"/>
        <v>0</v>
      </c>
      <c r="G156" s="306"/>
      <c r="H156" s="280"/>
      <c r="I156" s="280"/>
      <c r="J156" s="280"/>
      <c r="K156" s="297">
        <f t="shared" si="2"/>
        <v>0</v>
      </c>
      <c r="L156" s="295">
        <f t="shared" si="3"/>
        <v>0</v>
      </c>
      <c r="M156" s="280"/>
      <c r="N156" s="298"/>
      <c r="O156" s="280"/>
      <c r="P156" s="280"/>
      <c r="Q156" s="299">
        <f t="shared" si="10"/>
        <v>0</v>
      </c>
      <c r="R156" s="305">
        <f t="shared" si="9"/>
        <v>0</v>
      </c>
      <c r="S156" s="306">
        <v>0.0</v>
      </c>
      <c r="T156" s="301">
        <f t="shared" si="6"/>
        <v>0</v>
      </c>
      <c r="U156" s="302">
        <f t="shared" si="7"/>
        <v>0</v>
      </c>
      <c r="V156" s="295">
        <f t="shared" si="8"/>
        <v>0</v>
      </c>
      <c r="W156" s="283"/>
      <c r="X156" s="283"/>
      <c r="Y156" s="283"/>
      <c r="Z156" s="283"/>
    </row>
    <row r="157" ht="15.75" customHeight="1">
      <c r="A157" s="293" t="str">
        <f>IFERROR(__xludf.DUMMYFUNCTION("""COMPUTED_VALUE"""),"SPT")</f>
        <v>SPT</v>
      </c>
      <c r="B157" s="293" t="str">
        <f>IFERROR(__xludf.DUMMYFUNCTION("""COMPUTED_VALUE"""),"Săng phẫu thuật")</f>
        <v>Săng phẫu thuật</v>
      </c>
      <c r="C157" s="293" t="str">
        <f>IFERROR(__xludf.DUMMYFUNCTION("""COMPUTED_VALUE"""),"Cuộn")</f>
        <v>Cuộn</v>
      </c>
      <c r="D157" s="293">
        <f>IFERROR(__xludf.DUMMYFUNCTION("""COMPUTED_VALUE"""),230000.0)</f>
        <v>230000</v>
      </c>
      <c r="E157" s="309">
        <v>0.0</v>
      </c>
      <c r="F157" s="295">
        <f t="shared" si="1"/>
        <v>0</v>
      </c>
      <c r="G157" s="306"/>
      <c r="H157" s="280"/>
      <c r="I157" s="306"/>
      <c r="J157" s="280"/>
      <c r="K157" s="297">
        <f t="shared" si="2"/>
        <v>0</v>
      </c>
      <c r="L157" s="295">
        <f t="shared" si="3"/>
        <v>0</v>
      </c>
      <c r="M157" s="280"/>
      <c r="N157" s="304"/>
      <c r="O157" s="280"/>
      <c r="P157" s="280"/>
      <c r="Q157" s="299">
        <f t="shared" si="10"/>
        <v>0</v>
      </c>
      <c r="R157" s="305">
        <f t="shared" si="9"/>
        <v>0</v>
      </c>
      <c r="S157" s="306">
        <v>0.0</v>
      </c>
      <c r="T157" s="301">
        <f t="shared" si="6"/>
        <v>0</v>
      </c>
      <c r="U157" s="302">
        <f t="shared" si="7"/>
        <v>0</v>
      </c>
      <c r="V157" s="295">
        <f t="shared" si="8"/>
        <v>0</v>
      </c>
      <c r="W157" s="283"/>
      <c r="X157" s="283"/>
      <c r="Y157" s="283"/>
      <c r="Z157" s="283"/>
    </row>
    <row r="158" ht="15.75" customHeight="1">
      <c r="A158" s="293" t="str">
        <f>IFERROR(__xludf.DUMMYFUNCTION("""COMPUTED_VALUE"""),"SPRC10")</f>
        <v>SPRC10</v>
      </c>
      <c r="B158" s="293" t="str">
        <f>IFERROR(__xludf.DUMMYFUNCTION("""COMPUTED_VALUE"""),"Simparica &lt; 10")</f>
        <v>Simparica &lt; 10</v>
      </c>
      <c r="C158" s="293" t="str">
        <f>IFERROR(__xludf.DUMMYFUNCTION("""COMPUTED_VALUE"""),"Viên")</f>
        <v>Viên</v>
      </c>
      <c r="D158" s="293">
        <f>IFERROR(__xludf.DUMMYFUNCTION("""COMPUTED_VALUE"""),73533.5)</f>
        <v>73533.5</v>
      </c>
      <c r="E158" s="308">
        <v>13.0</v>
      </c>
      <c r="F158" s="295">
        <f t="shared" si="1"/>
        <v>955935.5</v>
      </c>
      <c r="G158" s="306"/>
      <c r="H158" s="306"/>
      <c r="I158" s="306"/>
      <c r="J158" s="306"/>
      <c r="K158" s="297">
        <f t="shared" si="2"/>
        <v>0</v>
      </c>
      <c r="L158" s="295">
        <f t="shared" si="3"/>
        <v>0</v>
      </c>
      <c r="M158" s="280"/>
      <c r="N158" s="311"/>
      <c r="O158" s="306"/>
      <c r="P158" s="280"/>
      <c r="Q158" s="299">
        <f t="shared" si="10"/>
        <v>0</v>
      </c>
      <c r="R158" s="305">
        <f t="shared" si="9"/>
        <v>0</v>
      </c>
      <c r="S158" s="306">
        <v>3.0</v>
      </c>
      <c r="T158" s="301">
        <f t="shared" si="6"/>
        <v>10</v>
      </c>
      <c r="U158" s="302">
        <f t="shared" si="7"/>
        <v>735335</v>
      </c>
      <c r="V158" s="295">
        <f t="shared" si="8"/>
        <v>220600.5</v>
      </c>
      <c r="W158" s="283"/>
      <c r="X158" s="283"/>
      <c r="Y158" s="283"/>
      <c r="Z158" s="283"/>
    </row>
    <row r="159" ht="15.75" customHeight="1">
      <c r="A159" s="293" t="str">
        <f>IFERROR(__xludf.DUMMYFUNCTION("""COMPUTED_VALUE"""),"SPRC20")</f>
        <v>SPRC20</v>
      </c>
      <c r="B159" s="293" t="str">
        <f>IFERROR(__xludf.DUMMYFUNCTION("""COMPUTED_VALUE"""),"Simparica 10,1 - 20")</f>
        <v>Simparica 10,1 - 20</v>
      </c>
      <c r="C159" s="293" t="str">
        <f>IFERROR(__xludf.DUMMYFUNCTION("""COMPUTED_VALUE"""),"Viên")</f>
        <v>Viên</v>
      </c>
      <c r="D159" s="293">
        <f>IFERROR(__xludf.DUMMYFUNCTION("""COMPUTED_VALUE"""),115833.5)</f>
        <v>115833.5</v>
      </c>
      <c r="E159" s="309">
        <v>11.0</v>
      </c>
      <c r="F159" s="295">
        <f t="shared" si="1"/>
        <v>1274168.5</v>
      </c>
      <c r="G159" s="306"/>
      <c r="H159" s="306"/>
      <c r="I159" s="306"/>
      <c r="J159" s="306"/>
      <c r="K159" s="297">
        <f t="shared" si="2"/>
        <v>0</v>
      </c>
      <c r="L159" s="295">
        <f t="shared" si="3"/>
        <v>0</v>
      </c>
      <c r="M159" s="280"/>
      <c r="N159" s="307"/>
      <c r="O159" s="306"/>
      <c r="P159" s="280"/>
      <c r="Q159" s="299">
        <f t="shared" si="10"/>
        <v>0</v>
      </c>
      <c r="R159" s="305">
        <f t="shared" si="9"/>
        <v>0</v>
      </c>
      <c r="S159" s="306">
        <v>1.0</v>
      </c>
      <c r="T159" s="301">
        <f t="shared" si="6"/>
        <v>10</v>
      </c>
      <c r="U159" s="302">
        <f t="shared" si="7"/>
        <v>1158335</v>
      </c>
      <c r="V159" s="295">
        <f t="shared" si="8"/>
        <v>115833.5</v>
      </c>
      <c r="W159" s="283"/>
      <c r="X159" s="283"/>
      <c r="Y159" s="283"/>
      <c r="Z159" s="283"/>
    </row>
    <row r="160" ht="15.75" customHeight="1">
      <c r="A160" s="293" t="str">
        <f>IFERROR(__xludf.DUMMYFUNCTION("""COMPUTED_VALUE"""),"SPRC40")</f>
        <v>SPRC40</v>
      </c>
      <c r="B160" s="293" t="str">
        <f>IFERROR(__xludf.DUMMYFUNCTION("""COMPUTED_VALUE"""),"Simparica 20,1 - 40")</f>
        <v>Simparica 20,1 - 40</v>
      </c>
      <c r="C160" s="293" t="str">
        <f>IFERROR(__xludf.DUMMYFUNCTION("""COMPUTED_VALUE"""),"Viên")</f>
        <v>Viên</v>
      </c>
      <c r="D160" s="293">
        <f>IFERROR(__xludf.DUMMYFUNCTION("""COMPUTED_VALUE"""),171333.0)</f>
        <v>171333</v>
      </c>
      <c r="E160" s="308">
        <v>2.0</v>
      </c>
      <c r="F160" s="295">
        <f t="shared" si="1"/>
        <v>342666</v>
      </c>
      <c r="G160" s="296"/>
      <c r="H160" s="296"/>
      <c r="I160" s="296"/>
      <c r="J160" s="296"/>
      <c r="K160" s="297">
        <f t="shared" si="2"/>
        <v>0</v>
      </c>
      <c r="L160" s="295">
        <f t="shared" si="3"/>
        <v>0</v>
      </c>
      <c r="M160" s="306"/>
      <c r="N160" s="311"/>
      <c r="O160" s="280"/>
      <c r="P160" s="306"/>
      <c r="Q160" s="299">
        <f t="shared" si="10"/>
        <v>0</v>
      </c>
      <c r="R160" s="305">
        <f t="shared" si="9"/>
        <v>0</v>
      </c>
      <c r="S160" s="306">
        <v>0.0</v>
      </c>
      <c r="T160" s="301">
        <f t="shared" si="6"/>
        <v>2</v>
      </c>
      <c r="U160" s="302">
        <f t="shared" si="7"/>
        <v>342666</v>
      </c>
      <c r="V160" s="295">
        <f t="shared" si="8"/>
        <v>0</v>
      </c>
      <c r="W160" s="283"/>
      <c r="X160" s="283"/>
      <c r="Y160" s="283"/>
      <c r="Z160" s="283"/>
    </row>
    <row r="161" ht="15.75" customHeight="1">
      <c r="A161" s="293" t="str">
        <f>IFERROR(__xludf.DUMMYFUNCTION("""COMPUTED_VALUE"""),"SMT")</f>
        <v>SMT</v>
      </c>
      <c r="B161" s="293" t="str">
        <f>IFERROR(__xludf.DUMMYFUNCTION("""COMPUTED_VALUE"""),"Smecta")</f>
        <v>Smecta</v>
      </c>
      <c r="C161" s="293" t="str">
        <f>IFERROR(__xludf.DUMMYFUNCTION("""COMPUTED_VALUE"""),"Gói")</f>
        <v>Gói</v>
      </c>
      <c r="D161" s="293">
        <f>IFERROR(__xludf.DUMMYFUNCTION("""COMPUTED_VALUE"""),3706.6666666666665)</f>
        <v>3706.666667</v>
      </c>
      <c r="E161" s="309">
        <v>12.0</v>
      </c>
      <c r="F161" s="295">
        <f t="shared" si="1"/>
        <v>44480</v>
      </c>
      <c r="G161" s="296"/>
      <c r="H161" s="296">
        <v>20.0</v>
      </c>
      <c r="I161" s="296"/>
      <c r="J161" s="296"/>
      <c r="K161" s="297">
        <f t="shared" si="2"/>
        <v>20</v>
      </c>
      <c r="L161" s="295">
        <f t="shared" si="3"/>
        <v>74133.33333</v>
      </c>
      <c r="M161" s="280"/>
      <c r="N161" s="304"/>
      <c r="O161" s="280"/>
      <c r="P161" s="306"/>
      <c r="Q161" s="299">
        <f t="shared" si="10"/>
        <v>0</v>
      </c>
      <c r="R161" s="305">
        <f t="shared" si="9"/>
        <v>0</v>
      </c>
      <c r="S161" s="306">
        <v>4.0</v>
      </c>
      <c r="T161" s="301">
        <f t="shared" si="6"/>
        <v>28</v>
      </c>
      <c r="U161" s="302">
        <f t="shared" si="7"/>
        <v>103786.6667</v>
      </c>
      <c r="V161" s="295">
        <f t="shared" si="8"/>
        <v>14826.66667</v>
      </c>
      <c r="W161" s="283"/>
      <c r="X161" s="283"/>
      <c r="Y161" s="283"/>
      <c r="Z161" s="283"/>
    </row>
    <row r="162" ht="15.75" customHeight="1">
      <c r="A162" s="293" t="str">
        <f>IFERROR(__xludf.DUMMYFUNCTION("""COMPUTED_VALUE"""),"STC")</f>
        <v>STC</v>
      </c>
      <c r="B162" s="293" t="str">
        <f>IFERROR(__xludf.DUMMYFUNCTION("""COMPUTED_VALUE"""),"Sữa tắm chó")</f>
        <v>Sữa tắm chó</v>
      </c>
      <c r="C162" s="293" t="str">
        <f>IFERROR(__xludf.DUMMYFUNCTION("""COMPUTED_VALUE"""),"Chai")</f>
        <v>Chai</v>
      </c>
      <c r="D162" s="293">
        <f>IFERROR(__xludf.DUMMYFUNCTION("""COMPUTED_VALUE"""),32500.0)</f>
        <v>32500</v>
      </c>
      <c r="E162" s="308">
        <v>0.0</v>
      </c>
      <c r="F162" s="295">
        <f t="shared" si="1"/>
        <v>0</v>
      </c>
      <c r="G162" s="296"/>
      <c r="H162" s="296"/>
      <c r="I162" s="296"/>
      <c r="J162" s="293"/>
      <c r="K162" s="297">
        <f t="shared" si="2"/>
        <v>0</v>
      </c>
      <c r="L162" s="295">
        <f t="shared" si="3"/>
        <v>0</v>
      </c>
      <c r="M162" s="306"/>
      <c r="N162" s="298"/>
      <c r="O162" s="280"/>
      <c r="P162" s="280"/>
      <c r="Q162" s="299">
        <f t="shared" si="10"/>
        <v>0</v>
      </c>
      <c r="R162" s="305">
        <f t="shared" si="9"/>
        <v>0</v>
      </c>
      <c r="S162" s="306">
        <v>0.0</v>
      </c>
      <c r="T162" s="301">
        <f t="shared" si="6"/>
        <v>0</v>
      </c>
      <c r="U162" s="302">
        <f t="shared" si="7"/>
        <v>0</v>
      </c>
      <c r="V162" s="295">
        <f t="shared" si="8"/>
        <v>0</v>
      </c>
      <c r="W162" s="283"/>
      <c r="X162" s="283"/>
      <c r="Y162" s="283"/>
      <c r="Z162" s="283"/>
    </row>
    <row r="163" ht="15.75" customHeight="1">
      <c r="A163" s="293" t="str">
        <f>IFERROR(__xludf.DUMMYFUNCTION("""COMPUTED_VALUE"""),"STM")</f>
        <v>STM</v>
      </c>
      <c r="B163" s="293" t="str">
        <f>IFERROR(__xludf.DUMMYFUNCTION("""COMPUTED_VALUE"""),"Sữa tắm mèo")</f>
        <v>Sữa tắm mèo</v>
      </c>
      <c r="C163" s="293" t="str">
        <f>IFERROR(__xludf.DUMMYFUNCTION("""COMPUTED_VALUE"""),"Chai")</f>
        <v>Chai</v>
      </c>
      <c r="D163" s="293">
        <f>IFERROR(__xludf.DUMMYFUNCTION("""COMPUTED_VALUE"""),68700.0)</f>
        <v>68700</v>
      </c>
      <c r="E163" s="309">
        <v>0.0</v>
      </c>
      <c r="F163" s="295">
        <f t="shared" si="1"/>
        <v>0</v>
      </c>
      <c r="G163" s="296"/>
      <c r="H163" s="293"/>
      <c r="I163" s="293"/>
      <c r="J163" s="293"/>
      <c r="K163" s="297">
        <f t="shared" si="2"/>
        <v>0</v>
      </c>
      <c r="L163" s="295">
        <f t="shared" si="3"/>
        <v>0</v>
      </c>
      <c r="M163" s="280"/>
      <c r="N163" s="304"/>
      <c r="O163" s="280"/>
      <c r="P163" s="280"/>
      <c r="Q163" s="299">
        <f t="shared" si="10"/>
        <v>0</v>
      </c>
      <c r="R163" s="305">
        <f t="shared" si="9"/>
        <v>0</v>
      </c>
      <c r="S163" s="306">
        <v>0.0</v>
      </c>
      <c r="T163" s="301">
        <f t="shared" si="6"/>
        <v>0</v>
      </c>
      <c r="U163" s="302">
        <f t="shared" si="7"/>
        <v>0</v>
      </c>
      <c r="V163" s="295">
        <f t="shared" si="8"/>
        <v>0</v>
      </c>
      <c r="W163" s="283"/>
      <c r="X163" s="283"/>
      <c r="Y163" s="283"/>
      <c r="Z163" s="283"/>
    </row>
    <row r="164" ht="15.75" customHeight="1">
      <c r="A164" s="293" t="str">
        <f>IFERROR(__xludf.DUMMYFUNCTION("""COMPUTED_VALUE"""),"VTMB12")</f>
        <v>VTMB12</v>
      </c>
      <c r="B164" s="293" t="str">
        <f>IFERROR(__xludf.DUMMYFUNCTION("""COMPUTED_VALUE"""),"Tardyferon B12")</f>
        <v>Tardyferon B12</v>
      </c>
      <c r="C164" s="293" t="str">
        <f>IFERROR(__xludf.DUMMYFUNCTION("""COMPUTED_VALUE"""),"Viên")</f>
        <v>Viên</v>
      </c>
      <c r="D164" s="293">
        <f>IFERROR(__xludf.DUMMYFUNCTION("""COMPUTED_VALUE"""),2000.0)</f>
        <v>2000</v>
      </c>
      <c r="E164" s="308">
        <v>64.0</v>
      </c>
      <c r="F164" s="295">
        <f t="shared" si="1"/>
        <v>128000</v>
      </c>
      <c r="G164" s="296"/>
      <c r="H164" s="296"/>
      <c r="I164" s="296"/>
      <c r="J164" s="296"/>
      <c r="K164" s="297">
        <f t="shared" si="2"/>
        <v>0</v>
      </c>
      <c r="L164" s="295">
        <f t="shared" si="3"/>
        <v>0</v>
      </c>
      <c r="M164" s="280"/>
      <c r="N164" s="298"/>
      <c r="O164" s="280"/>
      <c r="P164" s="280"/>
      <c r="Q164" s="299">
        <f t="shared" si="10"/>
        <v>0</v>
      </c>
      <c r="R164" s="305">
        <f t="shared" si="9"/>
        <v>0</v>
      </c>
      <c r="S164" s="306">
        <v>37.0</v>
      </c>
      <c r="T164" s="301">
        <f t="shared" si="6"/>
        <v>27</v>
      </c>
      <c r="U164" s="302">
        <f t="shared" si="7"/>
        <v>54000</v>
      </c>
      <c r="V164" s="295">
        <f t="shared" si="8"/>
        <v>74000</v>
      </c>
      <c r="W164" s="283"/>
      <c r="X164" s="283"/>
      <c r="Y164" s="283"/>
      <c r="Z164" s="283"/>
    </row>
    <row r="165" ht="15.75" customHeight="1">
      <c r="A165" s="293" t="str">
        <f>IFERROR(__xludf.DUMMYFUNCTION("""COMPUTED_VALUE"""),"TBN")</f>
        <v>TBN</v>
      </c>
      <c r="B165" s="293" t="str">
        <f>IFERROR(__xludf.DUMMYFUNCTION("""COMPUTED_VALUE"""),"Tăm bông nhỏ")</f>
        <v>Tăm bông nhỏ</v>
      </c>
      <c r="C165" s="293" t="str">
        <f>IFERROR(__xludf.DUMMYFUNCTION("""COMPUTED_VALUE"""),"hộp")</f>
        <v>hộp</v>
      </c>
      <c r="D165" s="293">
        <f>IFERROR(__xludf.DUMMYFUNCTION("""COMPUTED_VALUE"""),10000.0)</f>
        <v>10000</v>
      </c>
      <c r="E165" s="309">
        <v>0.0</v>
      </c>
      <c r="F165" s="295">
        <f t="shared" si="1"/>
        <v>0</v>
      </c>
      <c r="G165" s="296"/>
      <c r="H165" s="296"/>
      <c r="I165" s="293"/>
      <c r="J165" s="296"/>
      <c r="K165" s="297">
        <f t="shared" si="2"/>
        <v>0</v>
      </c>
      <c r="L165" s="295">
        <f t="shared" si="3"/>
        <v>0</v>
      </c>
      <c r="M165" s="280"/>
      <c r="N165" s="304"/>
      <c r="O165" s="280"/>
      <c r="P165" s="280"/>
      <c r="Q165" s="299">
        <f t="shared" si="10"/>
        <v>0</v>
      </c>
      <c r="R165" s="305">
        <f t="shared" si="9"/>
        <v>0</v>
      </c>
      <c r="S165" s="306">
        <v>0.0</v>
      </c>
      <c r="T165" s="301">
        <f t="shared" si="6"/>
        <v>0</v>
      </c>
      <c r="U165" s="302">
        <f t="shared" si="7"/>
        <v>0</v>
      </c>
      <c r="V165" s="295">
        <f t="shared" si="8"/>
        <v>0</v>
      </c>
      <c r="W165" s="283"/>
      <c r="X165" s="283"/>
      <c r="Y165" s="283"/>
      <c r="Z165" s="283"/>
    </row>
    <row r="166" ht="15.75" customHeight="1">
      <c r="A166" s="293" t="str">
        <f>IFERROR(__xludf.DUMMYFUNCTION("""COMPUTED_VALUE"""),"TBT")</f>
        <v>TBT</v>
      </c>
      <c r="B166" s="293" t="str">
        <f>IFERROR(__xludf.DUMMYFUNCTION("""COMPUTED_VALUE"""),"Tăm bông to")</f>
        <v>Tăm bông to</v>
      </c>
      <c r="C166" s="293" t="str">
        <f>IFERROR(__xludf.DUMMYFUNCTION("""COMPUTED_VALUE"""),"hộp")</f>
        <v>hộp</v>
      </c>
      <c r="D166" s="293">
        <f>IFERROR(__xludf.DUMMYFUNCTION("""COMPUTED_VALUE"""),10000.0)</f>
        <v>10000</v>
      </c>
      <c r="E166" s="308">
        <v>0.0</v>
      </c>
      <c r="F166" s="295">
        <f t="shared" si="1"/>
        <v>0</v>
      </c>
      <c r="G166" s="296"/>
      <c r="H166" s="296"/>
      <c r="I166" s="293"/>
      <c r="J166" s="296"/>
      <c r="K166" s="297">
        <f t="shared" si="2"/>
        <v>0</v>
      </c>
      <c r="L166" s="295">
        <f t="shared" si="3"/>
        <v>0</v>
      </c>
      <c r="M166" s="280"/>
      <c r="N166" s="298"/>
      <c r="O166" s="280"/>
      <c r="P166" s="280"/>
      <c r="Q166" s="299">
        <f t="shared" si="10"/>
        <v>0</v>
      </c>
      <c r="R166" s="305">
        <f t="shared" si="9"/>
        <v>0</v>
      </c>
      <c r="S166" s="306">
        <v>0.0</v>
      </c>
      <c r="T166" s="301">
        <f t="shared" si="6"/>
        <v>0</v>
      </c>
      <c r="U166" s="302">
        <f t="shared" si="7"/>
        <v>0</v>
      </c>
      <c r="V166" s="295">
        <f t="shared" si="8"/>
        <v>0</v>
      </c>
      <c r="W166" s="283"/>
      <c r="X166" s="283"/>
      <c r="Y166" s="283"/>
      <c r="Z166" s="283"/>
    </row>
    <row r="167" ht="15.75" customHeight="1">
      <c r="A167" s="293" t="str">
        <f>IFERROR(__xludf.DUMMYFUNCTION("""COMPUTED_VALUE"""),"TCDV")</f>
        <v>TCDV</v>
      </c>
      <c r="B167" s="293" t="str">
        <f>IFERROR(__xludf.DUMMYFUNCTION("""COMPUTED_VALUE"""),"Test CDV")</f>
        <v>Test CDV</v>
      </c>
      <c r="C167" s="293" t="str">
        <f>IFERROR(__xludf.DUMMYFUNCTION("""COMPUTED_VALUE"""),"Cái")</f>
        <v>Cái</v>
      </c>
      <c r="D167" s="293">
        <f>IFERROR(__xludf.DUMMYFUNCTION("""COMPUTED_VALUE"""),27500.0)</f>
        <v>27500</v>
      </c>
      <c r="E167" s="309">
        <v>14.0</v>
      </c>
      <c r="F167" s="295">
        <f t="shared" si="1"/>
        <v>385000</v>
      </c>
      <c r="G167" s="296"/>
      <c r="H167" s="296"/>
      <c r="I167" s="296"/>
      <c r="J167" s="293"/>
      <c r="K167" s="297">
        <f t="shared" si="2"/>
        <v>0</v>
      </c>
      <c r="L167" s="295">
        <f t="shared" si="3"/>
        <v>0</v>
      </c>
      <c r="M167" s="306"/>
      <c r="N167" s="304"/>
      <c r="O167" s="280"/>
      <c r="P167" s="280"/>
      <c r="Q167" s="299">
        <f t="shared" si="10"/>
        <v>0</v>
      </c>
      <c r="R167" s="305">
        <f t="shared" si="9"/>
        <v>0</v>
      </c>
      <c r="S167" s="306">
        <v>14.0</v>
      </c>
      <c r="T167" s="301">
        <f t="shared" si="6"/>
        <v>0</v>
      </c>
      <c r="U167" s="302">
        <f t="shared" si="7"/>
        <v>0</v>
      </c>
      <c r="V167" s="295">
        <f t="shared" si="8"/>
        <v>385000</v>
      </c>
      <c r="W167" s="283"/>
      <c r="X167" s="283"/>
      <c r="Y167" s="283"/>
      <c r="Z167" s="283"/>
    </row>
    <row r="168" ht="15.75" customHeight="1">
      <c r="A168" s="293" t="str">
        <f>IFERROR(__xludf.DUMMYFUNCTION("""COMPUTED_VALUE"""),"TCPV")</f>
        <v>TCPV</v>
      </c>
      <c r="B168" s="293" t="str">
        <f>IFERROR(__xludf.DUMMYFUNCTION("""COMPUTED_VALUE"""),"Test CPV")</f>
        <v>Test CPV</v>
      </c>
      <c r="C168" s="293" t="str">
        <f>IFERROR(__xludf.DUMMYFUNCTION("""COMPUTED_VALUE"""),"Cái")</f>
        <v>Cái</v>
      </c>
      <c r="D168" s="293">
        <f>IFERROR(__xludf.DUMMYFUNCTION("""COMPUTED_VALUE"""),27500.0)</f>
        <v>27500</v>
      </c>
      <c r="E168" s="308">
        <v>18.0</v>
      </c>
      <c r="F168" s="295">
        <f t="shared" si="1"/>
        <v>495000</v>
      </c>
      <c r="G168" s="296"/>
      <c r="H168" s="296"/>
      <c r="I168" s="296"/>
      <c r="J168" s="293"/>
      <c r="K168" s="297">
        <f t="shared" si="2"/>
        <v>0</v>
      </c>
      <c r="L168" s="295">
        <f t="shared" si="3"/>
        <v>0</v>
      </c>
      <c r="M168" s="306"/>
      <c r="N168" s="298"/>
      <c r="O168" s="306"/>
      <c r="P168" s="280"/>
      <c r="Q168" s="299">
        <f t="shared" si="10"/>
        <v>0</v>
      </c>
      <c r="R168" s="305">
        <f t="shared" si="9"/>
        <v>0</v>
      </c>
      <c r="S168" s="306">
        <v>18.0</v>
      </c>
      <c r="T168" s="301">
        <f t="shared" si="6"/>
        <v>0</v>
      </c>
      <c r="U168" s="302">
        <f t="shared" si="7"/>
        <v>0</v>
      </c>
      <c r="V168" s="295">
        <f t="shared" si="8"/>
        <v>495000</v>
      </c>
      <c r="W168" s="283"/>
      <c r="X168" s="283"/>
      <c r="Y168" s="283"/>
      <c r="Z168" s="283"/>
    </row>
    <row r="169" ht="15.75" customHeight="1">
      <c r="A169" s="293" t="str">
        <f>IFERROR(__xludf.DUMMYFUNCTION("""COMPUTED_VALUE"""),"TDAI")</f>
        <v>TDAI</v>
      </c>
      <c r="B169" s="293" t="str">
        <f>IFERROR(__xludf.DUMMYFUNCTION("""COMPUTED_VALUE"""),"Test Dại")</f>
        <v>Test Dại</v>
      </c>
      <c r="C169" s="293" t="str">
        <f>IFERROR(__xludf.DUMMYFUNCTION("""COMPUTED_VALUE"""),"Cái")</f>
        <v>Cái</v>
      </c>
      <c r="D169" s="293">
        <f>IFERROR(__xludf.DUMMYFUNCTION("""COMPUTED_VALUE"""),225000.0)</f>
        <v>225000</v>
      </c>
      <c r="E169" s="309">
        <v>0.0</v>
      </c>
      <c r="F169" s="295">
        <f t="shared" si="1"/>
        <v>0</v>
      </c>
      <c r="G169" s="296"/>
      <c r="H169" s="293"/>
      <c r="I169" s="293"/>
      <c r="J169" s="293"/>
      <c r="K169" s="297">
        <f t="shared" si="2"/>
        <v>0</v>
      </c>
      <c r="L169" s="295">
        <f t="shared" si="3"/>
        <v>0</v>
      </c>
      <c r="M169" s="280"/>
      <c r="N169" s="304"/>
      <c r="O169" s="280"/>
      <c r="P169" s="280"/>
      <c r="Q169" s="299">
        <f t="shared" si="10"/>
        <v>0</v>
      </c>
      <c r="R169" s="305">
        <f t="shared" si="9"/>
        <v>0</v>
      </c>
      <c r="S169" s="306">
        <v>0.0</v>
      </c>
      <c r="T169" s="301">
        <f t="shared" si="6"/>
        <v>0</v>
      </c>
      <c r="U169" s="302">
        <f t="shared" si="7"/>
        <v>0</v>
      </c>
      <c r="V169" s="295">
        <f t="shared" si="8"/>
        <v>0</v>
      </c>
      <c r="W169" s="283"/>
      <c r="X169" s="283"/>
      <c r="Y169" s="283"/>
      <c r="Z169" s="283"/>
    </row>
    <row r="170" ht="15.75" customHeight="1">
      <c r="A170" s="293" t="str">
        <f>IFERROR(__xludf.DUMMYFUNCTION("""COMPUTED_VALUE"""),"TECN")</f>
        <v>TECN</v>
      </c>
      <c r="B170" s="293" t="str">
        <f>IFERROR(__xludf.DUMMYFUNCTION("""COMPUTED_VALUE"""),"Test Ecanis")</f>
        <v>Test Ecanis</v>
      </c>
      <c r="C170" s="293" t="str">
        <f>IFERROR(__xludf.DUMMYFUNCTION("""COMPUTED_VALUE"""),"Cái")</f>
        <v>Cái</v>
      </c>
      <c r="D170" s="293">
        <f>IFERROR(__xludf.DUMMYFUNCTION("""COMPUTED_VALUE"""),70000.0)</f>
        <v>70000</v>
      </c>
      <c r="E170" s="308">
        <v>0.0</v>
      </c>
      <c r="F170" s="295">
        <f t="shared" si="1"/>
        <v>0</v>
      </c>
      <c r="G170" s="296"/>
      <c r="H170" s="296"/>
      <c r="I170" s="293"/>
      <c r="J170" s="293"/>
      <c r="K170" s="297">
        <f t="shared" si="2"/>
        <v>0</v>
      </c>
      <c r="L170" s="295">
        <f t="shared" si="3"/>
        <v>0</v>
      </c>
      <c r="M170" s="280"/>
      <c r="N170" s="298"/>
      <c r="O170" s="280"/>
      <c r="P170" s="280"/>
      <c r="Q170" s="299">
        <f t="shared" si="10"/>
        <v>0</v>
      </c>
      <c r="R170" s="305">
        <f t="shared" si="9"/>
        <v>0</v>
      </c>
      <c r="S170" s="303">
        <v>0.0</v>
      </c>
      <c r="T170" s="301">
        <f t="shared" si="6"/>
        <v>0</v>
      </c>
      <c r="U170" s="302">
        <f t="shared" si="7"/>
        <v>0</v>
      </c>
      <c r="V170" s="295">
        <f t="shared" si="8"/>
        <v>0</v>
      </c>
      <c r="W170" s="283"/>
      <c r="X170" s="283"/>
      <c r="Y170" s="283"/>
      <c r="Z170" s="283"/>
    </row>
    <row r="171" ht="15.75" customHeight="1">
      <c r="A171" s="293" t="str">
        <f>IFERROR(__xludf.DUMMYFUNCTION("""COMPUTED_VALUE"""),"TFELV")</f>
        <v>TFELV</v>
      </c>
      <c r="B171" s="293" t="str">
        <f>IFERROR(__xludf.DUMMYFUNCTION("""COMPUTED_VALUE"""),"Test FeLV")</f>
        <v>Test FeLV</v>
      </c>
      <c r="C171" s="293" t="str">
        <f>IFERROR(__xludf.DUMMYFUNCTION("""COMPUTED_VALUE"""),"Cái")</f>
        <v>Cái</v>
      </c>
      <c r="D171" s="293">
        <f>IFERROR(__xludf.DUMMYFUNCTION("""COMPUTED_VALUE"""),70000.0)</f>
        <v>70000</v>
      </c>
      <c r="E171" s="309">
        <v>2.0</v>
      </c>
      <c r="F171" s="295">
        <f t="shared" si="1"/>
        <v>140000</v>
      </c>
      <c r="G171" s="296"/>
      <c r="H171" s="296"/>
      <c r="I171" s="293"/>
      <c r="J171" s="293"/>
      <c r="K171" s="297">
        <f t="shared" si="2"/>
        <v>0</v>
      </c>
      <c r="L171" s="295">
        <f t="shared" si="3"/>
        <v>0</v>
      </c>
      <c r="M171" s="280"/>
      <c r="N171" s="304"/>
      <c r="O171" s="280"/>
      <c r="P171" s="280"/>
      <c r="Q171" s="299">
        <f t="shared" si="10"/>
        <v>0</v>
      </c>
      <c r="R171" s="305">
        <f t="shared" si="9"/>
        <v>0</v>
      </c>
      <c r="S171" s="294">
        <v>2.0</v>
      </c>
      <c r="T171" s="301">
        <f t="shared" si="6"/>
        <v>0</v>
      </c>
      <c r="U171" s="302">
        <f t="shared" si="7"/>
        <v>0</v>
      </c>
      <c r="V171" s="295">
        <f t="shared" si="8"/>
        <v>140000</v>
      </c>
      <c r="W171" s="283"/>
      <c r="X171" s="283"/>
      <c r="Y171" s="283"/>
      <c r="Z171" s="283"/>
    </row>
    <row r="172" ht="15.75" customHeight="1">
      <c r="A172" s="293" t="str">
        <f>IFERROR(__xludf.DUMMYFUNCTION("""COMPUTED_VALUE"""),"TFIV")</f>
        <v>TFIV</v>
      </c>
      <c r="B172" s="293" t="str">
        <f>IFERROR(__xludf.DUMMYFUNCTION("""COMPUTED_VALUE"""),"Test FIV")</f>
        <v>Test FIV</v>
      </c>
      <c r="C172" s="293" t="str">
        <f>IFERROR(__xludf.DUMMYFUNCTION("""COMPUTED_VALUE"""),"Cái")</f>
        <v>Cái</v>
      </c>
      <c r="D172" s="293">
        <f>IFERROR(__xludf.DUMMYFUNCTION("""COMPUTED_VALUE"""),70000.0)</f>
        <v>70000</v>
      </c>
      <c r="E172" s="308">
        <v>2.0</v>
      </c>
      <c r="F172" s="295">
        <f t="shared" si="1"/>
        <v>140000</v>
      </c>
      <c r="G172" s="296"/>
      <c r="H172" s="293"/>
      <c r="I172" s="293"/>
      <c r="J172" s="296"/>
      <c r="K172" s="297">
        <f t="shared" si="2"/>
        <v>0</v>
      </c>
      <c r="L172" s="295">
        <f t="shared" si="3"/>
        <v>0</v>
      </c>
      <c r="M172" s="306"/>
      <c r="N172" s="311"/>
      <c r="O172" s="280"/>
      <c r="P172" s="280"/>
      <c r="Q172" s="299">
        <f t="shared" si="10"/>
        <v>0</v>
      </c>
      <c r="R172" s="305">
        <f t="shared" si="9"/>
        <v>0</v>
      </c>
      <c r="S172" s="303">
        <v>2.0</v>
      </c>
      <c r="T172" s="301">
        <f t="shared" si="6"/>
        <v>0</v>
      </c>
      <c r="U172" s="302">
        <f t="shared" si="7"/>
        <v>0</v>
      </c>
      <c r="V172" s="295">
        <f t="shared" si="8"/>
        <v>140000</v>
      </c>
      <c r="W172" s="283"/>
      <c r="X172" s="283"/>
      <c r="Y172" s="283"/>
      <c r="Z172" s="283"/>
    </row>
    <row r="173" ht="15.75" customHeight="1">
      <c r="A173" s="293" t="str">
        <f>IFERROR(__xludf.DUMMYFUNCTION("""COMPUTED_VALUE"""),"TFPV")</f>
        <v>TFPV</v>
      </c>
      <c r="B173" s="293" t="str">
        <f>IFERROR(__xludf.DUMMYFUNCTION("""COMPUTED_VALUE"""),"Test FPV")</f>
        <v>Test FPV</v>
      </c>
      <c r="C173" s="293" t="str">
        <f>IFERROR(__xludf.DUMMYFUNCTION("""COMPUTED_VALUE"""),"Cái")</f>
        <v>Cái</v>
      </c>
      <c r="D173" s="293">
        <f>IFERROR(__xludf.DUMMYFUNCTION("""COMPUTED_VALUE"""),31500.0)</f>
        <v>31500</v>
      </c>
      <c r="E173" s="309">
        <v>24.0</v>
      </c>
      <c r="F173" s="295">
        <f t="shared" si="1"/>
        <v>756000</v>
      </c>
      <c r="G173" s="296"/>
      <c r="H173" s="296"/>
      <c r="I173" s="296"/>
      <c r="J173" s="293"/>
      <c r="K173" s="297">
        <f t="shared" si="2"/>
        <v>0</v>
      </c>
      <c r="L173" s="295">
        <f t="shared" si="3"/>
        <v>0</v>
      </c>
      <c r="M173" s="306"/>
      <c r="N173" s="307"/>
      <c r="O173" s="280"/>
      <c r="P173" s="280"/>
      <c r="Q173" s="299">
        <f t="shared" si="10"/>
        <v>0</v>
      </c>
      <c r="R173" s="305">
        <f t="shared" si="9"/>
        <v>0</v>
      </c>
      <c r="S173" s="294">
        <v>24.0</v>
      </c>
      <c r="T173" s="301">
        <f t="shared" si="6"/>
        <v>0</v>
      </c>
      <c r="U173" s="302">
        <f t="shared" si="7"/>
        <v>0</v>
      </c>
      <c r="V173" s="295">
        <f t="shared" si="8"/>
        <v>756000</v>
      </c>
      <c r="W173" s="283"/>
      <c r="X173" s="283"/>
      <c r="Y173" s="283"/>
      <c r="Z173" s="283"/>
    </row>
    <row r="174" ht="15.75" customHeight="1">
      <c r="A174" s="293" t="str">
        <f>IFERROR(__xludf.DUMMYFUNCTION("""COMPUTED_VALUE"""),"TLT")</f>
        <v>TLT</v>
      </c>
      <c r="B174" s="293" t="str">
        <f>IFERROR(__xludf.DUMMYFUNCTION("""COMPUTED_VALUE"""),"Test Lepto ")</f>
        <v>Test Lepto </v>
      </c>
      <c r="C174" s="293" t="str">
        <f>IFERROR(__xludf.DUMMYFUNCTION("""COMPUTED_VALUE"""),"Cái")</f>
        <v>Cái</v>
      </c>
      <c r="D174" s="293">
        <f>IFERROR(__xludf.DUMMYFUNCTION("""COMPUTED_VALUE"""),70000.0)</f>
        <v>70000</v>
      </c>
      <c r="E174" s="308">
        <v>1.0</v>
      </c>
      <c r="F174" s="295">
        <f t="shared" si="1"/>
        <v>70000</v>
      </c>
      <c r="G174" s="296"/>
      <c r="H174" s="293"/>
      <c r="I174" s="293"/>
      <c r="J174" s="296"/>
      <c r="K174" s="297">
        <f t="shared" si="2"/>
        <v>0</v>
      </c>
      <c r="L174" s="295">
        <f t="shared" si="3"/>
        <v>0</v>
      </c>
      <c r="M174" s="280"/>
      <c r="N174" s="298"/>
      <c r="O174" s="280"/>
      <c r="P174" s="280"/>
      <c r="Q174" s="299">
        <f t="shared" si="10"/>
        <v>0</v>
      </c>
      <c r="R174" s="305">
        <f t="shared" si="9"/>
        <v>0</v>
      </c>
      <c r="S174" s="303">
        <v>1.0</v>
      </c>
      <c r="T174" s="301">
        <f t="shared" si="6"/>
        <v>0</v>
      </c>
      <c r="U174" s="302">
        <f t="shared" si="7"/>
        <v>0</v>
      </c>
      <c r="V174" s="295">
        <f t="shared" si="8"/>
        <v>70000</v>
      </c>
      <c r="W174" s="283"/>
      <c r="X174" s="283"/>
      <c r="Y174" s="283"/>
      <c r="Z174" s="283"/>
    </row>
    <row r="175" ht="15.75" customHeight="1">
      <c r="A175" s="293" t="str">
        <f>IFERROR(__xludf.DUMMYFUNCTION("""COMPUTED_VALUE"""),"TTXC")</f>
        <v>TTXC</v>
      </c>
      <c r="B175" s="293" t="str">
        <f>IFERROR(__xludf.DUMMYFUNCTION("""COMPUTED_VALUE"""),"Test toxoplama chó")</f>
        <v>Test toxoplama chó</v>
      </c>
      <c r="C175" s="293" t="str">
        <f>IFERROR(__xludf.DUMMYFUNCTION("""COMPUTED_VALUE"""),"Cái")</f>
        <v>Cái</v>
      </c>
      <c r="D175" s="293">
        <f>IFERROR(__xludf.DUMMYFUNCTION("""COMPUTED_VALUE"""),70000.0)</f>
        <v>70000</v>
      </c>
      <c r="E175" s="309">
        <v>1.0</v>
      </c>
      <c r="F175" s="295">
        <f t="shared" si="1"/>
        <v>70000</v>
      </c>
      <c r="G175" s="296"/>
      <c r="H175" s="293"/>
      <c r="I175" s="293"/>
      <c r="J175" s="293"/>
      <c r="K175" s="297">
        <f t="shared" si="2"/>
        <v>0</v>
      </c>
      <c r="L175" s="295">
        <f t="shared" si="3"/>
        <v>0</v>
      </c>
      <c r="M175" s="280"/>
      <c r="N175" s="304"/>
      <c r="O175" s="280"/>
      <c r="P175" s="280"/>
      <c r="Q175" s="299">
        <f t="shared" si="10"/>
        <v>0</v>
      </c>
      <c r="R175" s="305">
        <f t="shared" si="9"/>
        <v>0</v>
      </c>
      <c r="S175" s="294">
        <v>1.0</v>
      </c>
      <c r="T175" s="301">
        <f t="shared" si="6"/>
        <v>0</v>
      </c>
      <c r="U175" s="302">
        <f t="shared" si="7"/>
        <v>0</v>
      </c>
      <c r="V175" s="295">
        <f t="shared" si="8"/>
        <v>70000</v>
      </c>
      <c r="W175" s="283"/>
      <c r="X175" s="283"/>
      <c r="Y175" s="283"/>
      <c r="Z175" s="283"/>
    </row>
    <row r="176" ht="15.75" customHeight="1">
      <c r="A176" s="293" t="str">
        <f>IFERROR(__xludf.DUMMYFUNCTION("""COMPUTED_VALUE"""),"TTXM")</f>
        <v>TTXM</v>
      </c>
      <c r="B176" s="293" t="str">
        <f>IFERROR(__xludf.DUMMYFUNCTION("""COMPUTED_VALUE"""),"Test toxoplama mèo")</f>
        <v>Test toxoplama mèo</v>
      </c>
      <c r="C176" s="293" t="str">
        <f>IFERROR(__xludf.DUMMYFUNCTION("""COMPUTED_VALUE"""),"Cái")</f>
        <v>Cái</v>
      </c>
      <c r="D176" s="293">
        <f>IFERROR(__xludf.DUMMYFUNCTION("""COMPUTED_VALUE"""),70000.0)</f>
        <v>70000</v>
      </c>
      <c r="E176" s="308">
        <v>5.0</v>
      </c>
      <c r="F176" s="295">
        <f t="shared" si="1"/>
        <v>350000</v>
      </c>
      <c r="G176" s="296"/>
      <c r="H176" s="296"/>
      <c r="I176" s="296"/>
      <c r="J176" s="296"/>
      <c r="K176" s="297">
        <f t="shared" si="2"/>
        <v>0</v>
      </c>
      <c r="L176" s="295">
        <f t="shared" si="3"/>
        <v>0</v>
      </c>
      <c r="M176" s="280"/>
      <c r="N176" s="298"/>
      <c r="O176" s="280"/>
      <c r="P176" s="280"/>
      <c r="Q176" s="299">
        <f t="shared" si="10"/>
        <v>0</v>
      </c>
      <c r="R176" s="305">
        <f t="shared" si="9"/>
        <v>0</v>
      </c>
      <c r="S176" s="303">
        <v>5.0</v>
      </c>
      <c r="T176" s="301">
        <f t="shared" si="6"/>
        <v>0</v>
      </c>
      <c r="U176" s="302">
        <f t="shared" si="7"/>
        <v>0</v>
      </c>
      <c r="V176" s="295">
        <f t="shared" si="8"/>
        <v>350000</v>
      </c>
      <c r="W176" s="283"/>
      <c r="X176" s="283"/>
      <c r="Y176" s="283"/>
      <c r="Z176" s="283"/>
    </row>
    <row r="177" ht="15.75" customHeight="1">
      <c r="A177" s="293" t="str">
        <f>IFERROR(__xludf.DUMMYFUNCTION("""COMPUTED_VALUE"""),"TTCLM")</f>
        <v>TTCLM</v>
      </c>
      <c r="B177" s="293" t="str">
        <f>IFERROR(__xludf.DUMMYFUNCTION("""COMPUTED_VALUE"""),"Tetraciline")</f>
        <v>Tetraciline</v>
      </c>
      <c r="C177" s="293" t="str">
        <f>IFERROR(__xludf.DUMMYFUNCTION("""COMPUTED_VALUE"""),"tuýp")</f>
        <v>tuýp</v>
      </c>
      <c r="D177" s="293">
        <f>IFERROR(__xludf.DUMMYFUNCTION("""COMPUTED_VALUE"""),3350.0)</f>
        <v>3350</v>
      </c>
      <c r="E177" s="309">
        <v>9.0</v>
      </c>
      <c r="F177" s="295">
        <f t="shared" si="1"/>
        <v>30150</v>
      </c>
      <c r="G177" s="296"/>
      <c r="H177" s="296"/>
      <c r="I177" s="296"/>
      <c r="J177" s="293"/>
      <c r="K177" s="297">
        <f t="shared" si="2"/>
        <v>0</v>
      </c>
      <c r="L177" s="295">
        <f t="shared" si="3"/>
        <v>0</v>
      </c>
      <c r="M177" s="280"/>
      <c r="N177" s="304"/>
      <c r="O177" s="280"/>
      <c r="P177" s="280"/>
      <c r="Q177" s="299">
        <f t="shared" si="10"/>
        <v>0</v>
      </c>
      <c r="R177" s="305">
        <f t="shared" si="9"/>
        <v>0</v>
      </c>
      <c r="S177" s="294">
        <v>9.0</v>
      </c>
      <c r="T177" s="301">
        <f t="shared" si="6"/>
        <v>0</v>
      </c>
      <c r="U177" s="302">
        <f t="shared" si="7"/>
        <v>0</v>
      </c>
      <c r="V177" s="295">
        <f t="shared" si="8"/>
        <v>30150</v>
      </c>
      <c r="W177" s="283"/>
      <c r="X177" s="283"/>
      <c r="Y177" s="283"/>
      <c r="Z177" s="283"/>
    </row>
    <row r="178" ht="15.75" customHeight="1">
      <c r="A178" s="293" t="str">
        <f>IFERROR(__xludf.DUMMYFUNCTION("""COMPUTED_VALUE"""),"THT")</f>
        <v>THT</v>
      </c>
      <c r="B178" s="293" t="str">
        <f>IFERROR(__xludf.DUMMYFUNCTION("""COMPUTED_VALUE"""),"Than hoạt tính")</f>
        <v>Than hoạt tính</v>
      </c>
      <c r="C178" s="293" t="str">
        <f>IFERROR(__xludf.DUMMYFUNCTION("""COMPUTED_VALUE"""),"viên")</f>
        <v>viên</v>
      </c>
      <c r="D178" s="293">
        <f>IFERROR(__xludf.DUMMYFUNCTION("""COMPUTED_VALUE"""),100.0)</f>
        <v>100</v>
      </c>
      <c r="E178" s="308">
        <v>310.0</v>
      </c>
      <c r="F178" s="295">
        <f t="shared" si="1"/>
        <v>31000</v>
      </c>
      <c r="G178" s="296"/>
      <c r="H178" s="293"/>
      <c r="I178" s="296"/>
      <c r="J178" s="293"/>
      <c r="K178" s="297">
        <f t="shared" si="2"/>
        <v>0</v>
      </c>
      <c r="L178" s="295">
        <f t="shared" si="3"/>
        <v>0</v>
      </c>
      <c r="M178" s="280"/>
      <c r="N178" s="298"/>
      <c r="O178" s="280"/>
      <c r="P178" s="280"/>
      <c r="Q178" s="299">
        <f t="shared" si="10"/>
        <v>0</v>
      </c>
      <c r="R178" s="305">
        <f t="shared" si="9"/>
        <v>0</v>
      </c>
      <c r="S178" s="306">
        <v>310.0</v>
      </c>
      <c r="T178" s="301">
        <f t="shared" si="6"/>
        <v>0</v>
      </c>
      <c r="U178" s="302">
        <f t="shared" si="7"/>
        <v>0</v>
      </c>
      <c r="V178" s="295">
        <f t="shared" si="8"/>
        <v>31000</v>
      </c>
      <c r="W178" s="283"/>
      <c r="X178" s="283"/>
      <c r="Y178" s="283"/>
      <c r="Z178" s="283"/>
    </row>
    <row r="179" ht="15.75" customHeight="1">
      <c r="A179" s="293" t="str">
        <f>IFERROR(__xludf.DUMMYFUNCTION("""COMPUTED_VALUE"""),"VTD")</f>
        <v>VTD</v>
      </c>
      <c r="B179" s="293" t="str">
        <f>IFERROR(__xludf.DUMMYFUNCTION("""COMPUTED_VALUE"""),"Thuốc đen vô trùng")</f>
        <v>Thuốc đen vô trùng</v>
      </c>
      <c r="C179" s="293" t="str">
        <f>IFERROR(__xludf.DUMMYFUNCTION("""COMPUTED_VALUE"""),"mL")</f>
        <v>mL</v>
      </c>
      <c r="D179" s="293">
        <f>IFERROR(__xludf.DUMMYFUNCTION("""COMPUTED_VALUE"""),0.0)</f>
        <v>0</v>
      </c>
      <c r="E179" s="309">
        <v>0.0</v>
      </c>
      <c r="F179" s="295">
        <f t="shared" si="1"/>
        <v>0</v>
      </c>
      <c r="G179" s="296"/>
      <c r="H179" s="293"/>
      <c r="I179" s="296"/>
      <c r="J179" s="293"/>
      <c r="K179" s="297">
        <f t="shared" si="2"/>
        <v>0</v>
      </c>
      <c r="L179" s="295">
        <f t="shared" si="3"/>
        <v>0</v>
      </c>
      <c r="M179" s="280"/>
      <c r="N179" s="304"/>
      <c r="O179" s="280"/>
      <c r="P179" s="280"/>
      <c r="Q179" s="299">
        <f t="shared" si="10"/>
        <v>0</v>
      </c>
      <c r="R179" s="305">
        <f t="shared" si="9"/>
        <v>0</v>
      </c>
      <c r="S179" s="306">
        <v>0.0</v>
      </c>
      <c r="T179" s="301">
        <f t="shared" si="6"/>
        <v>0</v>
      </c>
      <c r="U179" s="302">
        <f t="shared" si="7"/>
        <v>0</v>
      </c>
      <c r="V179" s="295">
        <f t="shared" si="8"/>
        <v>0</v>
      </c>
      <c r="W179" s="283"/>
      <c r="X179" s="283"/>
      <c r="Y179" s="283"/>
      <c r="Z179" s="283"/>
    </row>
    <row r="180" ht="15.75" customHeight="1">
      <c r="A180" s="293" t="str">
        <f>IFERROR(__xludf.DUMMYFUNCTION("""COMPUTED_VALUE"""),"TMHH")</f>
        <v>TMHH</v>
      </c>
      <c r="B180" s="293" t="str">
        <f>IFERROR(__xludf.DUMMYFUNCTION("""COMPUTED_VALUE"""),"Thuốc mê hỗn hợp")</f>
        <v>Thuốc mê hỗn hợp</v>
      </c>
      <c r="C180" s="293" t="str">
        <f>IFERROR(__xludf.DUMMYFUNCTION("""COMPUTED_VALUE"""),"ml")</f>
        <v>ml</v>
      </c>
      <c r="D180" s="293">
        <f>IFERROR(__xludf.DUMMYFUNCTION("""COMPUTED_VALUE"""),10000.0)</f>
        <v>10000</v>
      </c>
      <c r="E180" s="308">
        <v>0.0</v>
      </c>
      <c r="F180" s="295">
        <f t="shared" si="1"/>
        <v>0</v>
      </c>
      <c r="G180" s="296"/>
      <c r="H180" s="293"/>
      <c r="I180" s="296"/>
      <c r="J180" s="293"/>
      <c r="K180" s="297">
        <f t="shared" si="2"/>
        <v>0</v>
      </c>
      <c r="L180" s="295">
        <f t="shared" si="3"/>
        <v>0</v>
      </c>
      <c r="M180" s="280"/>
      <c r="N180" s="298"/>
      <c r="O180" s="280"/>
      <c r="P180" s="280"/>
      <c r="Q180" s="299">
        <f t="shared" si="10"/>
        <v>0</v>
      </c>
      <c r="R180" s="305">
        <f t="shared" si="9"/>
        <v>0</v>
      </c>
      <c r="S180" s="303">
        <v>0.0</v>
      </c>
      <c r="T180" s="301">
        <f t="shared" si="6"/>
        <v>0</v>
      </c>
      <c r="U180" s="302">
        <f t="shared" si="7"/>
        <v>0</v>
      </c>
      <c r="V180" s="295">
        <f t="shared" si="8"/>
        <v>0</v>
      </c>
      <c r="W180" s="283"/>
      <c r="X180" s="283"/>
      <c r="Y180" s="283"/>
      <c r="Z180" s="283"/>
    </row>
    <row r="181" ht="15.75" customHeight="1">
      <c r="A181" s="293" t="str">
        <f>IFERROR(__xludf.DUMMYFUNCTION("""COMPUTED_VALUE"""),"TMSVFR")</f>
        <v>TMSVFR</v>
      </c>
      <c r="B181" s="293" t="str">
        <f>IFERROR(__xludf.DUMMYFUNCTION("""COMPUTED_VALUE"""),"Thuốc mê servoflurane")</f>
        <v>Thuốc mê servoflurane</v>
      </c>
      <c r="C181" s="293" t="str">
        <f>IFERROR(__xludf.DUMMYFUNCTION("""COMPUTED_VALUE"""),"mL")</f>
        <v>mL</v>
      </c>
      <c r="D181" s="293">
        <f>IFERROR(__xludf.DUMMYFUNCTION("""COMPUTED_VALUE"""),4258.0)</f>
        <v>4258</v>
      </c>
      <c r="E181" s="309">
        <v>1800.0</v>
      </c>
      <c r="F181" s="295">
        <f t="shared" si="1"/>
        <v>7664400</v>
      </c>
      <c r="G181" s="296"/>
      <c r="H181" s="293"/>
      <c r="I181" s="293"/>
      <c r="J181" s="293"/>
      <c r="K181" s="297">
        <f t="shared" si="2"/>
        <v>0</v>
      </c>
      <c r="L181" s="295">
        <f t="shared" si="3"/>
        <v>0</v>
      </c>
      <c r="M181" s="280"/>
      <c r="N181" s="304"/>
      <c r="O181" s="280"/>
      <c r="P181" s="280"/>
      <c r="Q181" s="299">
        <f t="shared" si="10"/>
        <v>0</v>
      </c>
      <c r="R181" s="305">
        <f t="shared" si="9"/>
        <v>0</v>
      </c>
      <c r="S181" s="294">
        <v>1800.0</v>
      </c>
      <c r="T181" s="301">
        <f t="shared" si="6"/>
        <v>0</v>
      </c>
      <c r="U181" s="302">
        <f t="shared" si="7"/>
        <v>0</v>
      </c>
      <c r="V181" s="295">
        <f t="shared" si="8"/>
        <v>7664400</v>
      </c>
      <c r="W181" s="283"/>
      <c r="X181" s="283"/>
      <c r="Y181" s="283"/>
      <c r="Z181" s="283"/>
    </row>
    <row r="182" ht="15.75" customHeight="1">
      <c r="A182" s="293" t="str">
        <f>IFERROR(__xludf.DUMMYFUNCTION("""COMPUTED_VALUE"""),"TNGSFV")</f>
        <v>TNGSFV</v>
      </c>
      <c r="B182" s="293" t="str">
        <f>IFERROR(__xludf.DUMMYFUNCTION("""COMPUTED_VALUE"""),"Thuốc nấm Griseofulvin")</f>
        <v>Thuốc nấm Griseofulvin</v>
      </c>
      <c r="C182" s="293" t="str">
        <f>IFERROR(__xludf.DUMMYFUNCTION("""COMPUTED_VALUE"""),"Viên")</f>
        <v>Viên</v>
      </c>
      <c r="D182" s="293">
        <f>IFERROR(__xludf.DUMMYFUNCTION("""COMPUTED_VALUE"""),1300.0)</f>
        <v>1300</v>
      </c>
      <c r="E182" s="308">
        <v>22.0</v>
      </c>
      <c r="F182" s="295">
        <f t="shared" si="1"/>
        <v>28600</v>
      </c>
      <c r="G182" s="296"/>
      <c r="H182" s="296"/>
      <c r="I182" s="293"/>
      <c r="J182" s="296"/>
      <c r="K182" s="297">
        <f t="shared" si="2"/>
        <v>0</v>
      </c>
      <c r="L182" s="295">
        <f t="shared" si="3"/>
        <v>0</v>
      </c>
      <c r="M182" s="280"/>
      <c r="N182" s="298"/>
      <c r="O182" s="280"/>
      <c r="P182" s="280"/>
      <c r="Q182" s="299">
        <f t="shared" si="10"/>
        <v>0</v>
      </c>
      <c r="R182" s="305">
        <f t="shared" si="9"/>
        <v>0</v>
      </c>
      <c r="S182" s="303">
        <v>22.0</v>
      </c>
      <c r="T182" s="301">
        <f t="shared" si="6"/>
        <v>0</v>
      </c>
      <c r="U182" s="302">
        <f t="shared" si="7"/>
        <v>0</v>
      </c>
      <c r="V182" s="295">
        <f t="shared" si="8"/>
        <v>28600</v>
      </c>
      <c r="W182" s="283"/>
      <c r="X182" s="283"/>
      <c r="Y182" s="283"/>
      <c r="Z182" s="283"/>
    </row>
    <row r="183" ht="15.75" customHeight="1">
      <c r="A183" s="293" t="str">
        <f>IFERROR(__xludf.DUMMYFUNCTION("""COMPUTED_VALUE"""),"TMPNT")</f>
        <v>TMPNT</v>
      </c>
      <c r="B183" s="293" t="str">
        <f>IFERROR(__xludf.DUMMYFUNCTION("""COMPUTED_VALUE"""),"Thuốc nhuộm Difquick Panotic")</f>
        <v>Thuốc nhuộm Difquick Panotic</v>
      </c>
      <c r="C183" s="293" t="str">
        <f>IFERROR(__xludf.DUMMYFUNCTION("""COMPUTED_VALUE"""),"mL")</f>
        <v>mL</v>
      </c>
      <c r="D183" s="293">
        <f>IFERROR(__xludf.DUMMYFUNCTION("""COMPUTED_VALUE"""),2800.0)</f>
        <v>2800</v>
      </c>
      <c r="E183" s="309">
        <v>620.0</v>
      </c>
      <c r="F183" s="295">
        <f t="shared" si="1"/>
        <v>1736000</v>
      </c>
      <c r="G183" s="296"/>
      <c r="H183" s="293"/>
      <c r="I183" s="293"/>
      <c r="J183" s="296"/>
      <c r="K183" s="297">
        <f t="shared" si="2"/>
        <v>0</v>
      </c>
      <c r="L183" s="295">
        <f t="shared" si="3"/>
        <v>0</v>
      </c>
      <c r="M183" s="280"/>
      <c r="N183" s="304"/>
      <c r="O183" s="280"/>
      <c r="P183" s="306"/>
      <c r="Q183" s="299">
        <f t="shared" si="10"/>
        <v>0</v>
      </c>
      <c r="R183" s="305">
        <f t="shared" si="9"/>
        <v>0</v>
      </c>
      <c r="S183" s="311">
        <v>500.0</v>
      </c>
      <c r="T183" s="301">
        <f t="shared" si="6"/>
        <v>120</v>
      </c>
      <c r="U183" s="302">
        <f t="shared" si="7"/>
        <v>336000</v>
      </c>
      <c r="V183" s="295">
        <f t="shared" si="8"/>
        <v>1400000</v>
      </c>
      <c r="W183" s="283"/>
      <c r="X183" s="283"/>
      <c r="Y183" s="283"/>
      <c r="Z183" s="283"/>
    </row>
    <row r="184" ht="15.75" customHeight="1">
      <c r="A184" s="293" t="str">
        <f>IFERROR(__xludf.DUMMYFUNCTION("""COMPUTED_VALUE"""),"TSTBKC")</f>
        <v>TSTBKC</v>
      </c>
      <c r="B184" s="293" t="str">
        <f>IFERROR(__xludf.DUMMYFUNCTION("""COMPUTED_VALUE"""),"Thuốc sát trùng Benkocid")</f>
        <v>Thuốc sát trùng Benkocid</v>
      </c>
      <c r="C184" s="293" t="str">
        <f>IFERROR(__xludf.DUMMYFUNCTION("""COMPUTED_VALUE"""),"mL")</f>
        <v>mL</v>
      </c>
      <c r="D184" s="293">
        <f>IFERROR(__xludf.DUMMYFUNCTION("""COMPUTED_VALUE"""),60.0)</f>
        <v>60</v>
      </c>
      <c r="E184" s="308">
        <v>1400.0</v>
      </c>
      <c r="F184" s="295">
        <f t="shared" si="1"/>
        <v>84000</v>
      </c>
      <c r="G184" s="296"/>
      <c r="H184" s="296"/>
      <c r="I184" s="296"/>
      <c r="J184" s="293"/>
      <c r="K184" s="297">
        <f t="shared" si="2"/>
        <v>0</v>
      </c>
      <c r="L184" s="295">
        <f t="shared" si="3"/>
        <v>0</v>
      </c>
      <c r="M184" s="280"/>
      <c r="N184" s="298"/>
      <c r="O184" s="280"/>
      <c r="P184" s="280"/>
      <c r="Q184" s="299">
        <f t="shared" si="10"/>
        <v>0</v>
      </c>
      <c r="R184" s="305">
        <f t="shared" si="9"/>
        <v>0</v>
      </c>
      <c r="S184" s="307">
        <v>1400.0</v>
      </c>
      <c r="T184" s="301">
        <f t="shared" si="6"/>
        <v>0</v>
      </c>
      <c r="U184" s="302">
        <f t="shared" si="7"/>
        <v>0</v>
      </c>
      <c r="V184" s="295">
        <f t="shared" si="8"/>
        <v>84000</v>
      </c>
      <c r="W184" s="283"/>
      <c r="X184" s="283"/>
      <c r="Y184" s="283"/>
      <c r="Z184" s="283"/>
    </row>
    <row r="185" ht="15.75" customHeight="1">
      <c r="A185" s="293" t="str">
        <f>IFERROR(__xludf.DUMMYFUNCTION("""COMPUTED_VALUE"""),"TTNSC")</f>
        <v>TTNSC</v>
      </c>
      <c r="B185" s="293" t="str">
        <f>IFERROR(__xludf.DUMMYFUNCTION("""COMPUTED_VALUE"""),"Thuốc tắm nấm snow clear")</f>
        <v>Thuốc tắm nấm snow clear</v>
      </c>
      <c r="C185" s="293" t="str">
        <f>IFERROR(__xludf.DUMMYFUNCTION("""COMPUTED_VALUE"""),"Gói")</f>
        <v>Gói</v>
      </c>
      <c r="D185" s="293">
        <f>IFERROR(__xludf.DUMMYFUNCTION("""COMPUTED_VALUE"""),6050.0)</f>
        <v>6050</v>
      </c>
      <c r="E185" s="309">
        <v>9.0</v>
      </c>
      <c r="F185" s="295">
        <f t="shared" si="1"/>
        <v>54450</v>
      </c>
      <c r="G185" s="296"/>
      <c r="H185" s="296">
        <v>50.0</v>
      </c>
      <c r="I185" s="296"/>
      <c r="J185" s="296"/>
      <c r="K185" s="297">
        <f t="shared" si="2"/>
        <v>50</v>
      </c>
      <c r="L185" s="295">
        <f t="shared" si="3"/>
        <v>302500</v>
      </c>
      <c r="M185" s="280"/>
      <c r="N185" s="304"/>
      <c r="O185" s="280"/>
      <c r="P185" s="280"/>
      <c r="Q185" s="299">
        <f t="shared" si="10"/>
        <v>0</v>
      </c>
      <c r="R185" s="305">
        <f t="shared" si="9"/>
        <v>0</v>
      </c>
      <c r="S185" s="306">
        <v>36.0</v>
      </c>
      <c r="T185" s="301">
        <f t="shared" si="6"/>
        <v>23</v>
      </c>
      <c r="U185" s="302">
        <f t="shared" si="7"/>
        <v>139150</v>
      </c>
      <c r="V185" s="295">
        <f t="shared" si="8"/>
        <v>217800</v>
      </c>
      <c r="W185" s="283"/>
      <c r="X185" s="283"/>
      <c r="Y185" s="283"/>
      <c r="Z185" s="283"/>
    </row>
    <row r="186" ht="15.75" customHeight="1">
      <c r="A186" s="293" t="str">
        <f>IFERROR(__xludf.DUMMYFUNCTION("""COMPUTED_VALUE"""),"TFY")</f>
        <v>TFY</v>
      </c>
      <c r="B186" s="293" t="str">
        <f>IFERROR(__xludf.DUMMYFUNCTION("""COMPUTED_VALUE"""),"Tiffy")</f>
        <v>Tiffy</v>
      </c>
      <c r="C186" s="293" t="str">
        <f>IFERROR(__xludf.DUMMYFUNCTION("""COMPUTED_VALUE"""),"Viên")</f>
        <v>Viên</v>
      </c>
      <c r="D186" s="293">
        <f>IFERROR(__xludf.DUMMYFUNCTION("""COMPUTED_VALUE"""),1175.0)</f>
        <v>1175</v>
      </c>
      <c r="E186" s="308">
        <v>40.0</v>
      </c>
      <c r="F186" s="295">
        <f t="shared" si="1"/>
        <v>47000</v>
      </c>
      <c r="G186" s="296"/>
      <c r="H186" s="293"/>
      <c r="I186" s="293"/>
      <c r="J186" s="293"/>
      <c r="K186" s="297">
        <f t="shared" si="2"/>
        <v>0</v>
      </c>
      <c r="L186" s="295">
        <f t="shared" si="3"/>
        <v>0</v>
      </c>
      <c r="M186" s="280"/>
      <c r="N186" s="298"/>
      <c r="O186" s="280"/>
      <c r="P186" s="280"/>
      <c r="Q186" s="299">
        <f t="shared" si="10"/>
        <v>0</v>
      </c>
      <c r="R186" s="305">
        <f t="shared" si="9"/>
        <v>0</v>
      </c>
      <c r="S186" s="306">
        <v>40.0</v>
      </c>
      <c r="T186" s="301">
        <f t="shared" si="6"/>
        <v>0</v>
      </c>
      <c r="U186" s="302">
        <f t="shared" si="7"/>
        <v>0</v>
      </c>
      <c r="V186" s="295">
        <f t="shared" si="8"/>
        <v>47000</v>
      </c>
      <c r="W186" s="283"/>
      <c r="X186" s="283"/>
      <c r="Y186" s="283"/>
      <c r="Z186" s="283"/>
    </row>
    <row r="187" ht="15.75" customHeight="1">
      <c r="A187" s="293" t="str">
        <f>IFERROR(__xludf.DUMMYFUNCTION("""COMPUTED_VALUE"""),"TMX")</f>
        <v>TMX</v>
      </c>
      <c r="B187" s="293" t="str">
        <f>IFERROR(__xludf.DUMMYFUNCTION("""COMPUTED_VALUE"""),"Tomax")</f>
        <v>Tomax</v>
      </c>
      <c r="C187" s="293" t="str">
        <f>IFERROR(__xludf.DUMMYFUNCTION("""COMPUTED_VALUE"""),"Tuýp")</f>
        <v>Tuýp</v>
      </c>
      <c r="D187" s="293">
        <f>IFERROR(__xludf.DUMMYFUNCTION("""COMPUTED_VALUE"""),7500.0)</f>
        <v>7500</v>
      </c>
      <c r="E187" s="325">
        <v>13.0</v>
      </c>
      <c r="F187" s="295">
        <f t="shared" si="1"/>
        <v>97500</v>
      </c>
      <c r="G187" s="296"/>
      <c r="H187" s="296"/>
      <c r="I187" s="293"/>
      <c r="J187" s="296"/>
      <c r="K187" s="297">
        <f t="shared" si="2"/>
        <v>0</v>
      </c>
      <c r="L187" s="295">
        <f t="shared" si="3"/>
        <v>0</v>
      </c>
      <c r="M187" s="280"/>
      <c r="N187" s="304"/>
      <c r="O187" s="280"/>
      <c r="P187" s="280"/>
      <c r="Q187" s="299">
        <f t="shared" si="10"/>
        <v>0</v>
      </c>
      <c r="R187" s="305">
        <f t="shared" si="9"/>
        <v>0</v>
      </c>
      <c r="S187" s="326">
        <v>13.0</v>
      </c>
      <c r="T187" s="301">
        <f t="shared" si="6"/>
        <v>0</v>
      </c>
      <c r="U187" s="302">
        <f t="shared" si="7"/>
        <v>0</v>
      </c>
      <c r="V187" s="295">
        <f t="shared" si="8"/>
        <v>97500</v>
      </c>
      <c r="W187" s="283"/>
      <c r="X187" s="283"/>
      <c r="Y187" s="283"/>
      <c r="Z187" s="283"/>
    </row>
    <row r="188" ht="15.75" customHeight="1">
      <c r="A188" s="293" t="str">
        <f>IFERROR(__xludf.DUMMYFUNCTION("""COMPUTED_VALUE"""),"TSM")</f>
        <v>TSM</v>
      </c>
      <c r="B188" s="293" t="str">
        <f>IFERROR(__xludf.DUMMYFUNCTION("""COMPUTED_VALUE"""),"Transamin")</f>
        <v>Transamin</v>
      </c>
      <c r="C188" s="293" t="str">
        <f>IFERROR(__xludf.DUMMYFUNCTION("""COMPUTED_VALUE"""),"Ống")</f>
        <v>Ống</v>
      </c>
      <c r="D188" s="293">
        <f>IFERROR(__xludf.DUMMYFUNCTION("""COMPUTED_VALUE"""),17000.0)</f>
        <v>17000</v>
      </c>
      <c r="E188" s="308">
        <v>7.0</v>
      </c>
      <c r="F188" s="295">
        <f t="shared" si="1"/>
        <v>119000</v>
      </c>
      <c r="G188" s="296"/>
      <c r="H188" s="296"/>
      <c r="I188" s="293"/>
      <c r="J188" s="293"/>
      <c r="K188" s="297">
        <f t="shared" si="2"/>
        <v>0</v>
      </c>
      <c r="L188" s="295">
        <f t="shared" si="3"/>
        <v>0</v>
      </c>
      <c r="M188" s="280"/>
      <c r="N188" s="298"/>
      <c r="O188" s="280"/>
      <c r="P188" s="280"/>
      <c r="Q188" s="299">
        <f t="shared" si="10"/>
        <v>0</v>
      </c>
      <c r="R188" s="305">
        <f t="shared" si="9"/>
        <v>0</v>
      </c>
      <c r="S188" s="306">
        <v>7.0</v>
      </c>
      <c r="T188" s="301">
        <f t="shared" si="6"/>
        <v>0</v>
      </c>
      <c r="U188" s="302">
        <f t="shared" si="7"/>
        <v>0</v>
      </c>
      <c r="V188" s="295">
        <f t="shared" si="8"/>
        <v>119000</v>
      </c>
      <c r="W188" s="283"/>
      <c r="X188" s="283"/>
      <c r="Y188" s="283"/>
      <c r="Z188" s="283"/>
    </row>
    <row r="189" ht="15.75" customHeight="1">
      <c r="A189" s="293" t="str">
        <f>IFERROR(__xludf.DUMMYFUNCTION("""COMPUTED_VALUE"""),"TTM")</f>
        <v>TTM</v>
      </c>
      <c r="B189" s="293" t="str">
        <f>IFERROR(__xludf.DUMMYFUNCTION("""COMPUTED_VALUE"""),"Túi truyền máu")</f>
        <v>Túi truyền máu</v>
      </c>
      <c r="C189" s="293" t="str">
        <f>IFERROR(__xludf.DUMMYFUNCTION("""COMPUTED_VALUE"""),"Túi")</f>
        <v>Túi</v>
      </c>
      <c r="D189" s="293">
        <f>IFERROR(__xludf.DUMMYFUNCTION("""COMPUTED_VALUE"""),33000.0)</f>
        <v>33000</v>
      </c>
      <c r="E189" s="309">
        <v>6.0</v>
      </c>
      <c r="F189" s="295">
        <f t="shared" si="1"/>
        <v>198000</v>
      </c>
      <c r="G189" s="296"/>
      <c r="H189" s="296"/>
      <c r="I189" s="296"/>
      <c r="J189" s="296"/>
      <c r="K189" s="297">
        <f t="shared" si="2"/>
        <v>0</v>
      </c>
      <c r="L189" s="295">
        <f t="shared" si="3"/>
        <v>0</v>
      </c>
      <c r="M189" s="280"/>
      <c r="N189" s="307"/>
      <c r="O189" s="306"/>
      <c r="P189" s="280"/>
      <c r="Q189" s="299">
        <f t="shared" si="10"/>
        <v>0</v>
      </c>
      <c r="R189" s="305">
        <f t="shared" si="9"/>
        <v>0</v>
      </c>
      <c r="S189" s="306">
        <v>4.0</v>
      </c>
      <c r="T189" s="301">
        <f t="shared" si="6"/>
        <v>2</v>
      </c>
      <c r="U189" s="302">
        <f t="shared" si="7"/>
        <v>66000</v>
      </c>
      <c r="V189" s="295">
        <f t="shared" si="8"/>
        <v>132000</v>
      </c>
      <c r="W189" s="283"/>
      <c r="X189" s="283"/>
      <c r="Y189" s="283"/>
      <c r="Z189" s="283"/>
    </row>
    <row r="190" ht="15.75" customHeight="1">
      <c r="A190" s="293" t="str">
        <f>IFERROR(__xludf.DUMMYFUNCTION("""COMPUTED_VALUE"""),"VX4B")</f>
        <v>VX4B</v>
      </c>
      <c r="B190" s="293" t="str">
        <f>IFERROR(__xludf.DUMMYFUNCTION("""COMPUTED_VALUE"""),"Vaccine 4b")</f>
        <v>Vaccine 4b</v>
      </c>
      <c r="C190" s="293" t="str">
        <f>IFERROR(__xludf.DUMMYFUNCTION("""COMPUTED_VALUE"""),"Liều")</f>
        <v>Liều</v>
      </c>
      <c r="D190" s="293">
        <f>IFERROR(__xludf.DUMMYFUNCTION("""COMPUTED_VALUE"""),103000.0)</f>
        <v>103000</v>
      </c>
      <c r="E190" s="308">
        <v>27.0</v>
      </c>
      <c r="F190" s="295">
        <f t="shared" si="1"/>
        <v>2781000</v>
      </c>
      <c r="G190" s="296"/>
      <c r="H190" s="296"/>
      <c r="I190" s="296"/>
      <c r="J190" s="293"/>
      <c r="K190" s="297">
        <f t="shared" si="2"/>
        <v>0</v>
      </c>
      <c r="L190" s="295">
        <f t="shared" si="3"/>
        <v>0</v>
      </c>
      <c r="M190" s="306"/>
      <c r="N190" s="306"/>
      <c r="O190" s="306"/>
      <c r="P190" s="306"/>
      <c r="Q190" s="299">
        <f t="shared" si="10"/>
        <v>0</v>
      </c>
      <c r="R190" s="305">
        <f t="shared" si="9"/>
        <v>0</v>
      </c>
      <c r="S190" s="306">
        <v>14.0</v>
      </c>
      <c r="T190" s="301">
        <f t="shared" si="6"/>
        <v>13</v>
      </c>
      <c r="U190" s="302">
        <f t="shared" si="7"/>
        <v>1339000</v>
      </c>
      <c r="V190" s="295">
        <f t="shared" si="8"/>
        <v>1442000</v>
      </c>
      <c r="W190" s="283"/>
      <c r="X190" s="283"/>
      <c r="Y190" s="283"/>
      <c r="Z190" s="283"/>
    </row>
    <row r="191" ht="15.75" customHeight="1">
      <c r="A191" s="293" t="str">
        <f>IFERROR(__xludf.DUMMYFUNCTION("""COMPUTED_VALUE"""),"VX5B")</f>
        <v>VX5B</v>
      </c>
      <c r="B191" s="293" t="str">
        <f>IFERROR(__xludf.DUMMYFUNCTION("""COMPUTED_VALUE"""),"Vaccine 5b")</f>
        <v>Vaccine 5b</v>
      </c>
      <c r="C191" s="293" t="str">
        <f>IFERROR(__xludf.DUMMYFUNCTION("""COMPUTED_VALUE"""),"Liều")</f>
        <v>Liều</v>
      </c>
      <c r="D191" s="293">
        <f>IFERROR(__xludf.DUMMYFUNCTION("""COMPUTED_VALUE"""),74500.0)</f>
        <v>74500</v>
      </c>
      <c r="E191" s="309">
        <v>11.0</v>
      </c>
      <c r="F191" s="295">
        <f t="shared" si="1"/>
        <v>819500</v>
      </c>
      <c r="G191" s="296"/>
      <c r="H191" s="296"/>
      <c r="I191" s="296"/>
      <c r="J191" s="296"/>
      <c r="K191" s="297">
        <f t="shared" si="2"/>
        <v>0</v>
      </c>
      <c r="L191" s="295">
        <f t="shared" si="3"/>
        <v>0</v>
      </c>
      <c r="M191" s="306"/>
      <c r="N191" s="306"/>
      <c r="O191" s="306"/>
      <c r="P191" s="306"/>
      <c r="Q191" s="299">
        <f t="shared" si="10"/>
        <v>0</v>
      </c>
      <c r="R191" s="305">
        <f t="shared" si="9"/>
        <v>0</v>
      </c>
      <c r="S191" s="306">
        <v>8.0</v>
      </c>
      <c r="T191" s="301">
        <f t="shared" si="6"/>
        <v>3</v>
      </c>
      <c r="U191" s="302">
        <f t="shared" si="7"/>
        <v>223500</v>
      </c>
      <c r="V191" s="295">
        <f t="shared" si="8"/>
        <v>596000</v>
      </c>
      <c r="W191" s="283"/>
      <c r="X191" s="283"/>
      <c r="Y191" s="283"/>
      <c r="Z191" s="283"/>
    </row>
    <row r="192" ht="15.75" customHeight="1">
      <c r="A192" s="293" t="str">
        <f>IFERROR(__xludf.DUMMYFUNCTION("""COMPUTED_VALUE"""),"VX7B")</f>
        <v>VX7B</v>
      </c>
      <c r="B192" s="293" t="str">
        <f>IFERROR(__xludf.DUMMYFUNCTION("""COMPUTED_VALUE"""),"Vaccine 7b")</f>
        <v>Vaccine 7b</v>
      </c>
      <c r="C192" s="293" t="str">
        <f>IFERROR(__xludf.DUMMYFUNCTION("""COMPUTED_VALUE"""),"Liều")</f>
        <v>Liều</v>
      </c>
      <c r="D192" s="293">
        <f>IFERROR(__xludf.DUMMYFUNCTION("""COMPUTED_VALUE"""),85666.66666666667)</f>
        <v>85666.66667</v>
      </c>
      <c r="E192" s="308">
        <f>70-15</f>
        <v>55</v>
      </c>
      <c r="F192" s="295">
        <f t="shared" si="1"/>
        <v>4711666.667</v>
      </c>
      <c r="G192" s="296"/>
      <c r="H192" s="296"/>
      <c r="I192" s="296"/>
      <c r="J192" s="296"/>
      <c r="K192" s="297">
        <f t="shared" si="2"/>
        <v>0</v>
      </c>
      <c r="L192" s="295">
        <f t="shared" si="3"/>
        <v>0</v>
      </c>
      <c r="M192" s="280"/>
      <c r="N192" s="306"/>
      <c r="O192" s="306"/>
      <c r="P192" s="306"/>
      <c r="Q192" s="299">
        <f t="shared" si="10"/>
        <v>0</v>
      </c>
      <c r="R192" s="305">
        <f t="shared" si="9"/>
        <v>0</v>
      </c>
      <c r="S192" s="306">
        <v>23.0</v>
      </c>
      <c r="T192" s="301">
        <f t="shared" si="6"/>
        <v>32</v>
      </c>
      <c r="U192" s="302">
        <f t="shared" si="7"/>
        <v>2741333.333</v>
      </c>
      <c r="V192" s="295">
        <f t="shared" si="8"/>
        <v>1970333.333</v>
      </c>
      <c r="W192" s="283"/>
      <c r="X192" s="283"/>
      <c r="Y192" s="283"/>
      <c r="Z192" s="283"/>
    </row>
    <row r="193" ht="15.75" customHeight="1">
      <c r="A193" s="293" t="str">
        <f>IFERROR(__xludf.DUMMYFUNCTION("""COMPUTED_VALUE"""),"VXD")</f>
        <v>VXD</v>
      </c>
      <c r="B193" s="293" t="str">
        <f>IFERROR(__xludf.DUMMYFUNCTION("""COMPUTED_VALUE"""),"Vaccine dại")</f>
        <v>Vaccine dại</v>
      </c>
      <c r="C193" s="293" t="str">
        <f>IFERROR(__xludf.DUMMYFUNCTION("""COMPUTED_VALUE"""),"Liều")</f>
        <v>Liều</v>
      </c>
      <c r="D193" s="293">
        <f>IFERROR(__xludf.DUMMYFUNCTION("""COMPUTED_VALUE"""),16666.666666666668)</f>
        <v>16666.66667</v>
      </c>
      <c r="E193" s="309">
        <v>47.0</v>
      </c>
      <c r="F193" s="295">
        <f t="shared" si="1"/>
        <v>783333.3333</v>
      </c>
      <c r="G193" s="296"/>
      <c r="H193" s="296"/>
      <c r="I193" s="296"/>
      <c r="J193" s="296"/>
      <c r="K193" s="297">
        <f t="shared" si="2"/>
        <v>0</v>
      </c>
      <c r="L193" s="295">
        <f t="shared" si="3"/>
        <v>0</v>
      </c>
      <c r="M193" s="280"/>
      <c r="N193" s="306"/>
      <c r="O193" s="306"/>
      <c r="P193" s="306"/>
      <c r="Q193" s="299">
        <f t="shared" si="10"/>
        <v>0</v>
      </c>
      <c r="R193" s="305">
        <f t="shared" si="9"/>
        <v>0</v>
      </c>
      <c r="S193" s="306">
        <v>23.0</v>
      </c>
      <c r="T193" s="301">
        <f t="shared" si="6"/>
        <v>24</v>
      </c>
      <c r="U193" s="302">
        <f t="shared" si="7"/>
        <v>400000</v>
      </c>
      <c r="V193" s="295">
        <f t="shared" si="8"/>
        <v>383333.3333</v>
      </c>
      <c r="W193" s="283"/>
      <c r="X193" s="283"/>
      <c r="Y193" s="283"/>
      <c r="Z193" s="283"/>
    </row>
    <row r="194" ht="15.75" customHeight="1">
      <c r="A194" s="293" t="str">
        <f>IFERROR(__xludf.DUMMYFUNCTION("""COMPUTED_VALUE"""),"VCTs")</f>
        <v>VCTs</v>
      </c>
      <c r="B194" s="293" t="str">
        <f>IFERROR(__xludf.DUMMYFUNCTION("""COMPUTED_VALUE"""),"Vincristin sulfat")</f>
        <v>Vincristin sulfat</v>
      </c>
      <c r="C194" s="293" t="str">
        <f>IFERROR(__xludf.DUMMYFUNCTION("""COMPUTED_VALUE"""),"mL")</f>
        <v>mL</v>
      </c>
      <c r="D194" s="293">
        <f>IFERROR(__xludf.DUMMYFUNCTION("""COMPUTED_VALUE"""),198333.33333333334)</f>
        <v>198333.3333</v>
      </c>
      <c r="E194" s="308">
        <v>2.0</v>
      </c>
      <c r="F194" s="295">
        <f t="shared" si="1"/>
        <v>396666.6667</v>
      </c>
      <c r="G194" s="296"/>
      <c r="H194" s="293"/>
      <c r="I194" s="293"/>
      <c r="J194" s="296"/>
      <c r="K194" s="297">
        <f t="shared" si="2"/>
        <v>0</v>
      </c>
      <c r="L194" s="295">
        <f t="shared" si="3"/>
        <v>0</v>
      </c>
      <c r="M194" s="280"/>
      <c r="N194" s="280"/>
      <c r="O194" s="280"/>
      <c r="P194" s="280"/>
      <c r="Q194" s="299">
        <f t="shared" si="10"/>
        <v>0</v>
      </c>
      <c r="R194" s="305">
        <f t="shared" si="9"/>
        <v>0</v>
      </c>
      <c r="S194" s="306">
        <v>2.0</v>
      </c>
      <c r="T194" s="301">
        <f t="shared" si="6"/>
        <v>0</v>
      </c>
      <c r="U194" s="302">
        <f t="shared" si="7"/>
        <v>0</v>
      </c>
      <c r="V194" s="295">
        <f t="shared" si="8"/>
        <v>396666.6667</v>
      </c>
      <c r="W194" s="283"/>
      <c r="X194" s="283"/>
      <c r="Y194" s="283"/>
      <c r="Z194" s="283"/>
    </row>
    <row r="195" ht="15.75" customHeight="1">
      <c r="A195" s="293" t="str">
        <f>IFERROR(__xludf.DUMMYFUNCTION("""COMPUTED_VALUE"""),"VTMA")</f>
        <v>VTMA</v>
      </c>
      <c r="B195" s="293" t="str">
        <f>IFERROR(__xludf.DUMMYFUNCTION("""COMPUTED_VALUE"""),"Vitamin A")</f>
        <v>Vitamin A</v>
      </c>
      <c r="C195" s="293" t="str">
        <f>IFERROR(__xludf.DUMMYFUNCTION("""COMPUTED_VALUE"""),"Viên")</f>
        <v>Viên</v>
      </c>
      <c r="D195" s="293">
        <f>IFERROR(__xludf.DUMMYFUNCTION("""COMPUTED_VALUE"""),700.0)</f>
        <v>700</v>
      </c>
      <c r="E195" s="309">
        <v>38.0</v>
      </c>
      <c r="F195" s="295">
        <f t="shared" si="1"/>
        <v>26600</v>
      </c>
      <c r="G195" s="296"/>
      <c r="H195" s="293"/>
      <c r="I195" s="293"/>
      <c r="J195" s="293"/>
      <c r="K195" s="297">
        <f t="shared" si="2"/>
        <v>0</v>
      </c>
      <c r="L195" s="295">
        <f t="shared" si="3"/>
        <v>0</v>
      </c>
      <c r="M195" s="280"/>
      <c r="N195" s="280"/>
      <c r="O195" s="306"/>
      <c r="P195" s="280"/>
      <c r="Q195" s="299">
        <f t="shared" si="10"/>
        <v>0</v>
      </c>
      <c r="R195" s="305">
        <f t="shared" si="9"/>
        <v>0</v>
      </c>
      <c r="S195" s="306">
        <v>38.0</v>
      </c>
      <c r="T195" s="301">
        <f t="shared" si="6"/>
        <v>0</v>
      </c>
      <c r="U195" s="302">
        <f t="shared" si="7"/>
        <v>0</v>
      </c>
      <c r="V195" s="295">
        <f t="shared" si="8"/>
        <v>26600</v>
      </c>
      <c r="W195" s="283"/>
      <c r="X195" s="283"/>
      <c r="Y195" s="283"/>
      <c r="Z195" s="283"/>
    </row>
    <row r="196" ht="15.75" customHeight="1">
      <c r="A196" s="293" t="str">
        <f>IFERROR(__xludf.DUMMYFUNCTION("""COMPUTED_VALUE"""),"VTMC")</f>
        <v>VTMC</v>
      </c>
      <c r="B196" s="293" t="str">
        <f>IFERROR(__xludf.DUMMYFUNCTION("""COMPUTED_VALUE"""),"Vitamin C")</f>
        <v>Vitamin C</v>
      </c>
      <c r="C196" s="293" t="str">
        <f>IFERROR(__xludf.DUMMYFUNCTION("""COMPUTED_VALUE"""),"Viên")</f>
        <v>Viên</v>
      </c>
      <c r="D196" s="293">
        <f>IFERROR(__xludf.DUMMYFUNCTION("""COMPUTED_VALUE"""),360.0)</f>
        <v>360</v>
      </c>
      <c r="E196" s="312">
        <v>160.0</v>
      </c>
      <c r="F196" s="295">
        <f t="shared" si="1"/>
        <v>57600</v>
      </c>
      <c r="G196" s="296"/>
      <c r="H196" s="296">
        <v>200.0</v>
      </c>
      <c r="I196" s="296"/>
      <c r="J196" s="296"/>
      <c r="K196" s="297">
        <f t="shared" si="2"/>
        <v>200</v>
      </c>
      <c r="L196" s="295">
        <f t="shared" si="3"/>
        <v>72000</v>
      </c>
      <c r="M196" s="280"/>
      <c r="N196" s="280"/>
      <c r="O196" s="306"/>
      <c r="P196" s="280"/>
      <c r="Q196" s="299">
        <f t="shared" si="10"/>
        <v>0</v>
      </c>
      <c r="R196" s="305">
        <f t="shared" si="9"/>
        <v>0</v>
      </c>
      <c r="S196" s="306">
        <f>260+56+2+60</f>
        <v>378</v>
      </c>
      <c r="T196" s="301">
        <f t="shared" si="6"/>
        <v>-18</v>
      </c>
      <c r="U196" s="302">
        <f t="shared" si="7"/>
        <v>-6480</v>
      </c>
      <c r="V196" s="295">
        <f t="shared" si="8"/>
        <v>136080</v>
      </c>
      <c r="W196" s="283"/>
      <c r="X196" s="283"/>
      <c r="Y196" s="283"/>
      <c r="Z196" s="283"/>
    </row>
    <row r="197" ht="15.75" customHeight="1">
      <c r="A197" s="293" t="str">
        <f>IFERROR(__xludf.DUMMYFUNCTION("""COMPUTED_VALUE"""),"VTMC2000")</f>
        <v>VTMC2000</v>
      </c>
      <c r="B197" s="293" t="str">
        <f>IFERROR(__xludf.DUMMYFUNCTION("""COMPUTED_VALUE"""),"Vitamin C 2000")</f>
        <v>Vitamin C 2000</v>
      </c>
      <c r="C197" s="293" t="str">
        <f>IFERROR(__xludf.DUMMYFUNCTION("""COMPUTED_VALUE"""),"ml")</f>
        <v>ml</v>
      </c>
      <c r="D197" s="293">
        <f>IFERROR(__xludf.DUMMYFUNCTION("""COMPUTED_VALUE"""),206.66666666666666)</f>
        <v>206.6666667</v>
      </c>
      <c r="E197" s="309">
        <v>275.0</v>
      </c>
      <c r="F197" s="295">
        <f t="shared" si="1"/>
        <v>56833.33333</v>
      </c>
      <c r="G197" s="296"/>
      <c r="H197" s="296"/>
      <c r="I197" s="296"/>
      <c r="J197" s="296"/>
      <c r="K197" s="297">
        <f t="shared" si="2"/>
        <v>0</v>
      </c>
      <c r="L197" s="295">
        <f t="shared" si="3"/>
        <v>0</v>
      </c>
      <c r="M197" s="306"/>
      <c r="N197" s="280"/>
      <c r="O197" s="280"/>
      <c r="P197" s="280"/>
      <c r="Q197" s="299">
        <f t="shared" si="10"/>
        <v>0</v>
      </c>
      <c r="R197" s="305">
        <f t="shared" si="9"/>
        <v>0</v>
      </c>
      <c r="S197" s="306">
        <v>250.0</v>
      </c>
      <c r="T197" s="301">
        <f t="shared" si="6"/>
        <v>25</v>
      </c>
      <c r="U197" s="302">
        <f t="shared" si="7"/>
        <v>5166.666667</v>
      </c>
      <c r="V197" s="295">
        <f t="shared" si="8"/>
        <v>51666.66667</v>
      </c>
      <c r="W197" s="283"/>
      <c r="X197" s="283"/>
      <c r="Y197" s="283"/>
      <c r="Z197" s="283"/>
    </row>
    <row r="198" ht="15.75" customHeight="1">
      <c r="A198" s="293" t="str">
        <f>IFERROR(__xludf.DUMMYFUNCTION("""COMPUTED_VALUE"""),"VTME")</f>
        <v>VTME</v>
      </c>
      <c r="B198" s="293" t="str">
        <f>IFERROR(__xludf.DUMMYFUNCTION("""COMPUTED_VALUE"""),"Vitamin E")</f>
        <v>Vitamin E</v>
      </c>
      <c r="C198" s="293" t="str">
        <f>IFERROR(__xludf.DUMMYFUNCTION("""COMPUTED_VALUE"""),"Viên")</f>
        <v>Viên</v>
      </c>
      <c r="D198" s="293">
        <f>IFERROR(__xludf.DUMMYFUNCTION("""COMPUTED_VALUE"""),1200.0)</f>
        <v>1200</v>
      </c>
      <c r="E198" s="308">
        <v>48.0</v>
      </c>
      <c r="F198" s="295">
        <f t="shared" si="1"/>
        <v>57600</v>
      </c>
      <c r="G198" s="296"/>
      <c r="H198" s="293"/>
      <c r="I198" s="293"/>
      <c r="J198" s="296"/>
      <c r="K198" s="297">
        <f t="shared" si="2"/>
        <v>0</v>
      </c>
      <c r="L198" s="295">
        <f t="shared" si="3"/>
        <v>0</v>
      </c>
      <c r="M198" s="280"/>
      <c r="N198" s="306"/>
      <c r="O198" s="280"/>
      <c r="P198" s="306"/>
      <c r="Q198" s="299">
        <f t="shared" si="10"/>
        <v>0</v>
      </c>
      <c r="R198" s="305">
        <f t="shared" si="9"/>
        <v>0</v>
      </c>
      <c r="S198" s="306">
        <v>48.0</v>
      </c>
      <c r="T198" s="301">
        <f t="shared" si="6"/>
        <v>0</v>
      </c>
      <c r="U198" s="302">
        <f t="shared" si="7"/>
        <v>0</v>
      </c>
      <c r="V198" s="295">
        <f t="shared" si="8"/>
        <v>57600</v>
      </c>
      <c r="W198" s="283"/>
      <c r="X198" s="283"/>
      <c r="Y198" s="283"/>
      <c r="Z198" s="283"/>
    </row>
    <row r="199" ht="15.75" customHeight="1">
      <c r="A199" s="293" t="str">
        <f>IFERROR(__xludf.DUMMYFUNCTION("""COMPUTED_VALUE"""),"VTMK")</f>
        <v>VTMK</v>
      </c>
      <c r="B199" s="293" t="str">
        <f>IFERROR(__xludf.DUMMYFUNCTION("""COMPUTED_VALUE"""),"Vitamin K")</f>
        <v>Vitamin K</v>
      </c>
      <c r="C199" s="293" t="str">
        <f>IFERROR(__xludf.DUMMYFUNCTION("""COMPUTED_VALUE"""),"mL")</f>
        <v>mL</v>
      </c>
      <c r="D199" s="293">
        <f>IFERROR(__xludf.DUMMYFUNCTION("""COMPUTED_VALUE"""),180.0)</f>
        <v>180</v>
      </c>
      <c r="E199" s="309">
        <v>153.0</v>
      </c>
      <c r="F199" s="295">
        <f t="shared" si="1"/>
        <v>27540</v>
      </c>
      <c r="G199" s="296"/>
      <c r="H199" s="296"/>
      <c r="I199" s="296"/>
      <c r="J199" s="296">
        <v>200.0</v>
      </c>
      <c r="K199" s="297">
        <f t="shared" si="2"/>
        <v>200</v>
      </c>
      <c r="L199" s="295">
        <f t="shared" si="3"/>
        <v>36000</v>
      </c>
      <c r="M199" s="280"/>
      <c r="N199" s="280"/>
      <c r="O199" s="280"/>
      <c r="P199" s="280"/>
      <c r="Q199" s="299">
        <f t="shared" si="10"/>
        <v>0</v>
      </c>
      <c r="R199" s="305">
        <f t="shared" si="9"/>
        <v>0</v>
      </c>
      <c r="S199" s="306">
        <f>200+38+57</f>
        <v>295</v>
      </c>
      <c r="T199" s="301">
        <f t="shared" si="6"/>
        <v>58</v>
      </c>
      <c r="U199" s="302">
        <f t="shared" si="7"/>
        <v>10440</v>
      </c>
      <c r="V199" s="295">
        <f t="shared" si="8"/>
        <v>53100</v>
      </c>
      <c r="W199" s="283"/>
      <c r="X199" s="283"/>
      <c r="Y199" s="283"/>
      <c r="Z199" s="283"/>
    </row>
    <row r="200" ht="15.75" customHeight="1">
      <c r="A200" s="293" t="str">
        <f>IFERROR(__xludf.DUMMYFUNCTION("""COMPUTED_VALUE"""),"XMTL")</f>
        <v>XMTL</v>
      </c>
      <c r="B200" s="293" t="str">
        <f>IFERROR(__xludf.DUMMYFUNCTION("""COMPUTED_VALUE"""),"Xanh methylen")</f>
        <v>Xanh methylen</v>
      </c>
      <c r="C200" s="293" t="str">
        <f>IFERROR(__xludf.DUMMYFUNCTION("""COMPUTED_VALUE"""),"Viên")</f>
        <v>Viên</v>
      </c>
      <c r="D200" s="293">
        <f>IFERROR(__xludf.DUMMYFUNCTION("""COMPUTED_VALUE"""),550.0)</f>
        <v>550</v>
      </c>
      <c r="E200" s="308">
        <v>41.0</v>
      </c>
      <c r="F200" s="295">
        <f t="shared" si="1"/>
        <v>22550</v>
      </c>
      <c r="G200" s="296"/>
      <c r="H200" s="293"/>
      <c r="I200" s="293"/>
      <c r="J200" s="293"/>
      <c r="K200" s="297">
        <f t="shared" si="2"/>
        <v>0</v>
      </c>
      <c r="L200" s="295">
        <f t="shared" si="3"/>
        <v>0</v>
      </c>
      <c r="M200" s="306"/>
      <c r="N200" s="280"/>
      <c r="O200" s="280"/>
      <c r="P200" s="280"/>
      <c r="Q200" s="299">
        <f t="shared" si="10"/>
        <v>0</v>
      </c>
      <c r="R200" s="305">
        <f t="shared" si="9"/>
        <v>0</v>
      </c>
      <c r="S200" s="306">
        <v>41.0</v>
      </c>
      <c r="T200" s="301">
        <f t="shared" si="6"/>
        <v>0</v>
      </c>
      <c r="U200" s="302">
        <f t="shared" si="7"/>
        <v>0</v>
      </c>
      <c r="V200" s="295">
        <f t="shared" si="8"/>
        <v>22550</v>
      </c>
      <c r="W200" s="283"/>
      <c r="X200" s="283"/>
      <c r="Y200" s="283"/>
      <c r="Z200" s="283"/>
    </row>
    <row r="201" ht="15.75" customHeight="1">
      <c r="A201" s="293" t="str">
        <f>IFERROR(__xludf.DUMMYFUNCTION("""COMPUTED_VALUE"""),"XL10")</f>
        <v>XL10</v>
      </c>
      <c r="B201" s="293" t="str">
        <f>IFERROR(__xludf.DUMMYFUNCTION("""COMPUTED_VALUE"""),"Xy lanh 10cc")</f>
        <v>Xy lanh 10cc</v>
      </c>
      <c r="C201" s="293" t="str">
        <f>IFERROR(__xludf.DUMMYFUNCTION("""COMPUTED_VALUE"""),"Cái")</f>
        <v>Cái</v>
      </c>
      <c r="D201" s="293">
        <f>IFERROR(__xludf.DUMMYFUNCTION("""COMPUTED_VALUE"""),1000.0)</f>
        <v>1000</v>
      </c>
      <c r="E201" s="309">
        <v>0.0</v>
      </c>
      <c r="F201" s="295">
        <f t="shared" si="1"/>
        <v>0</v>
      </c>
      <c r="G201" s="296"/>
      <c r="H201" s="293"/>
      <c r="I201" s="293"/>
      <c r="J201" s="293"/>
      <c r="K201" s="297">
        <f t="shared" si="2"/>
        <v>0</v>
      </c>
      <c r="L201" s="295">
        <f t="shared" si="3"/>
        <v>0</v>
      </c>
      <c r="M201" s="280"/>
      <c r="N201" s="280"/>
      <c r="O201" s="280"/>
      <c r="P201" s="280"/>
      <c r="Q201" s="299">
        <f t="shared" si="10"/>
        <v>0</v>
      </c>
      <c r="R201" s="305">
        <f t="shared" si="9"/>
        <v>0</v>
      </c>
      <c r="S201" s="306">
        <v>0.0</v>
      </c>
      <c r="T201" s="301">
        <f t="shared" si="6"/>
        <v>0</v>
      </c>
      <c r="U201" s="302">
        <f t="shared" si="7"/>
        <v>0</v>
      </c>
      <c r="V201" s="295">
        <f t="shared" si="8"/>
        <v>0</v>
      </c>
      <c r="W201" s="283"/>
      <c r="X201" s="283"/>
      <c r="Y201" s="283"/>
      <c r="Z201" s="283"/>
    </row>
    <row r="202" ht="15.75" customHeight="1">
      <c r="A202" s="293" t="str">
        <f>IFERROR(__xludf.DUMMYFUNCTION("""COMPUTED_VALUE"""),"XL1")</f>
        <v>XL1</v>
      </c>
      <c r="B202" s="293" t="str">
        <f>IFERROR(__xludf.DUMMYFUNCTION("""COMPUTED_VALUE"""),"Xy lanh 1cc")</f>
        <v>Xy lanh 1cc</v>
      </c>
      <c r="C202" s="293" t="str">
        <f>IFERROR(__xludf.DUMMYFUNCTION("""COMPUTED_VALUE"""),"Cái")</f>
        <v>Cái</v>
      </c>
      <c r="D202" s="293">
        <f>IFERROR(__xludf.DUMMYFUNCTION("""COMPUTED_VALUE"""),320.0)</f>
        <v>320</v>
      </c>
      <c r="E202" s="308">
        <v>300.0</v>
      </c>
      <c r="F202" s="295">
        <f t="shared" si="1"/>
        <v>96000</v>
      </c>
      <c r="G202" s="296"/>
      <c r="H202" s="296"/>
      <c r="I202" s="296">
        <v>400.0</v>
      </c>
      <c r="J202" s="296"/>
      <c r="K202" s="297">
        <f t="shared" si="2"/>
        <v>400</v>
      </c>
      <c r="L202" s="295">
        <f t="shared" si="3"/>
        <v>128000</v>
      </c>
      <c r="M202" s="306"/>
      <c r="N202" s="280"/>
      <c r="O202" s="306"/>
      <c r="P202" s="280"/>
      <c r="Q202" s="299">
        <f t="shared" si="10"/>
        <v>0</v>
      </c>
      <c r="R202" s="305">
        <f t="shared" si="9"/>
        <v>0</v>
      </c>
      <c r="S202" s="306">
        <v>300.0</v>
      </c>
      <c r="T202" s="301">
        <f t="shared" si="6"/>
        <v>400</v>
      </c>
      <c r="U202" s="302">
        <f t="shared" si="7"/>
        <v>128000</v>
      </c>
      <c r="V202" s="295">
        <f t="shared" si="8"/>
        <v>96000</v>
      </c>
      <c r="W202" s="283"/>
      <c r="X202" s="283"/>
      <c r="Y202" s="283"/>
      <c r="Z202" s="283"/>
    </row>
    <row r="203" ht="15.75" customHeight="1">
      <c r="A203" s="327" t="str">
        <f>IFERROR(__xludf.DUMMYFUNCTION("""COMPUTED_VALUE"""),"XL20")</f>
        <v>XL20</v>
      </c>
      <c r="B203" s="328" t="str">
        <f>IFERROR(__xludf.DUMMYFUNCTION("""COMPUTED_VALUE"""),"Xy lanh 20cc")</f>
        <v>Xy lanh 20cc</v>
      </c>
      <c r="C203" s="329" t="str">
        <f>IFERROR(__xludf.DUMMYFUNCTION("""COMPUTED_VALUE"""),"Cái")</f>
        <v>Cái</v>
      </c>
      <c r="D203" s="330">
        <f>IFERROR(__xludf.DUMMYFUNCTION("""COMPUTED_VALUE"""),2500.0)</f>
        <v>2500</v>
      </c>
      <c r="E203" s="331">
        <v>12.0</v>
      </c>
      <c r="F203" s="295">
        <f t="shared" si="1"/>
        <v>30000</v>
      </c>
      <c r="G203" s="332"/>
      <c r="H203" s="332"/>
      <c r="I203" s="333"/>
      <c r="J203" s="333"/>
      <c r="K203" s="297">
        <f t="shared" si="2"/>
        <v>0</v>
      </c>
      <c r="L203" s="295">
        <f t="shared" si="3"/>
        <v>0</v>
      </c>
      <c r="M203" s="333"/>
      <c r="N203" s="333"/>
      <c r="O203" s="333"/>
      <c r="P203" s="333"/>
      <c r="Q203" s="299">
        <f t="shared" si="10"/>
        <v>0</v>
      </c>
      <c r="R203" s="300">
        <f t="shared" si="9"/>
        <v>0</v>
      </c>
      <c r="S203" s="334">
        <v>12.0</v>
      </c>
      <c r="T203" s="301">
        <f t="shared" si="6"/>
        <v>0</v>
      </c>
      <c r="U203" s="302">
        <f t="shared" si="7"/>
        <v>0</v>
      </c>
      <c r="V203" s="295">
        <f t="shared" si="8"/>
        <v>30000</v>
      </c>
      <c r="W203" s="283"/>
      <c r="X203" s="283"/>
      <c r="Y203" s="283"/>
      <c r="Z203" s="283"/>
    </row>
    <row r="204" ht="15.75" customHeight="1">
      <c r="A204" s="327" t="str">
        <f>IFERROR(__xludf.DUMMYFUNCTION("""COMPUTED_VALUE"""),"XL3")</f>
        <v>XL3</v>
      </c>
      <c r="B204" s="327" t="str">
        <f>IFERROR(__xludf.DUMMYFUNCTION("""COMPUTED_VALUE"""),"Xy lanh 3 cc")</f>
        <v>Xy lanh 3 cc</v>
      </c>
      <c r="C204" s="329" t="str">
        <f>IFERROR(__xludf.DUMMYFUNCTION("""COMPUTED_VALUE"""),"Cái")</f>
        <v>Cái</v>
      </c>
      <c r="D204" s="330">
        <f>IFERROR(__xludf.DUMMYFUNCTION("""COMPUTED_VALUE"""),322.5)</f>
        <v>322.5</v>
      </c>
      <c r="E204" s="331">
        <v>100.0</v>
      </c>
      <c r="F204" s="295">
        <f t="shared" si="1"/>
        <v>32250</v>
      </c>
      <c r="G204" s="332"/>
      <c r="H204" s="332">
        <v>100.0</v>
      </c>
      <c r="I204" s="332"/>
      <c r="J204" s="332"/>
      <c r="K204" s="297">
        <f t="shared" si="2"/>
        <v>100</v>
      </c>
      <c r="L204" s="295">
        <f t="shared" si="3"/>
        <v>32250</v>
      </c>
      <c r="M204" s="333"/>
      <c r="N204" s="333"/>
      <c r="O204" s="333"/>
      <c r="P204" s="333"/>
      <c r="Q204" s="299">
        <f t="shared" si="10"/>
        <v>0</v>
      </c>
      <c r="R204" s="300">
        <f t="shared" si="9"/>
        <v>0</v>
      </c>
      <c r="S204" s="334">
        <v>100.0</v>
      </c>
      <c r="T204" s="301">
        <f t="shared" si="6"/>
        <v>100</v>
      </c>
      <c r="U204" s="302">
        <f t="shared" si="7"/>
        <v>32250</v>
      </c>
      <c r="V204" s="295">
        <f t="shared" si="8"/>
        <v>32250</v>
      </c>
      <c r="W204" s="283"/>
      <c r="X204" s="283"/>
      <c r="Y204" s="283"/>
      <c r="Z204" s="283"/>
    </row>
    <row r="205" ht="15.75" customHeight="1">
      <c r="A205" s="327" t="str">
        <f>IFERROR(__xludf.DUMMYFUNCTION("""COMPUTED_VALUE"""),"XL50")</f>
        <v>XL50</v>
      </c>
      <c r="B205" s="327" t="str">
        <f>IFERROR(__xludf.DUMMYFUNCTION("""COMPUTED_VALUE"""),"Xy lanh 50cc")</f>
        <v>Xy lanh 50cc</v>
      </c>
      <c r="C205" s="329" t="str">
        <f>IFERROR(__xludf.DUMMYFUNCTION("""COMPUTED_VALUE"""),"Cái")</f>
        <v>Cái</v>
      </c>
      <c r="D205" s="330">
        <f>IFERROR(__xludf.DUMMYFUNCTION("""COMPUTED_VALUE"""),5700.0)</f>
        <v>5700</v>
      </c>
      <c r="E205" s="331">
        <v>0.0</v>
      </c>
      <c r="F205" s="295">
        <f t="shared" si="1"/>
        <v>0</v>
      </c>
      <c r="G205" s="332"/>
      <c r="H205" s="332"/>
      <c r="I205" s="332"/>
      <c r="J205" s="333"/>
      <c r="K205" s="297">
        <f t="shared" si="2"/>
        <v>0</v>
      </c>
      <c r="L205" s="295">
        <f t="shared" si="3"/>
        <v>0</v>
      </c>
      <c r="M205" s="333"/>
      <c r="N205" s="333"/>
      <c r="O205" s="333"/>
      <c r="P205" s="333"/>
      <c r="Q205" s="299">
        <f t="shared" si="10"/>
        <v>0</v>
      </c>
      <c r="R205" s="300">
        <f t="shared" si="9"/>
        <v>0</v>
      </c>
      <c r="S205" s="334">
        <v>0.0</v>
      </c>
      <c r="T205" s="301">
        <f t="shared" si="6"/>
        <v>0</v>
      </c>
      <c r="U205" s="302">
        <f t="shared" si="7"/>
        <v>0</v>
      </c>
      <c r="V205" s="295">
        <f t="shared" si="8"/>
        <v>0</v>
      </c>
      <c r="W205" s="283"/>
      <c r="X205" s="283"/>
      <c r="Y205" s="283"/>
      <c r="Z205" s="283"/>
    </row>
    <row r="206" ht="15.75" customHeight="1">
      <c r="A206" s="327" t="str">
        <f>IFERROR(__xludf.DUMMYFUNCTION("""COMPUTED_VALUE"""),"XL5")</f>
        <v>XL5</v>
      </c>
      <c r="B206" s="327" t="str">
        <f>IFERROR(__xludf.DUMMYFUNCTION("""COMPUTED_VALUE"""),"Xy lanh 5cc")</f>
        <v>Xy lanh 5cc</v>
      </c>
      <c r="C206" s="329" t="str">
        <f>IFERROR(__xludf.DUMMYFUNCTION("""COMPUTED_VALUE"""),"Cái")</f>
        <v>Cái</v>
      </c>
      <c r="D206" s="330">
        <f>IFERROR(__xludf.DUMMYFUNCTION("""COMPUTED_VALUE"""),600.0)</f>
        <v>600</v>
      </c>
      <c r="E206" s="331">
        <v>13.0</v>
      </c>
      <c r="F206" s="295">
        <f t="shared" si="1"/>
        <v>7800</v>
      </c>
      <c r="G206" s="332"/>
      <c r="H206" s="332"/>
      <c r="I206" s="332"/>
      <c r="J206" s="333"/>
      <c r="K206" s="297">
        <f t="shared" si="2"/>
        <v>0</v>
      </c>
      <c r="L206" s="295">
        <f t="shared" si="3"/>
        <v>0</v>
      </c>
      <c r="M206" s="333"/>
      <c r="N206" s="333"/>
      <c r="O206" s="333"/>
      <c r="P206" s="333"/>
      <c r="Q206" s="299">
        <f t="shared" si="10"/>
        <v>0</v>
      </c>
      <c r="R206" s="300">
        <f t="shared" si="9"/>
        <v>0</v>
      </c>
      <c r="S206" s="334">
        <v>13.0</v>
      </c>
      <c r="T206" s="301">
        <f t="shared" si="6"/>
        <v>0</v>
      </c>
      <c r="U206" s="302">
        <f t="shared" si="7"/>
        <v>0</v>
      </c>
      <c r="V206" s="295">
        <f t="shared" si="8"/>
        <v>7800</v>
      </c>
      <c r="W206" s="283"/>
      <c r="X206" s="283"/>
      <c r="Y206" s="283"/>
      <c r="Z206" s="283"/>
    </row>
    <row r="207" ht="15.75" customHeight="1">
      <c r="A207" s="327" t="str">
        <f>IFERROR(__xludf.DUMMYFUNCTION("""COMPUTED_VALUE"""),"XLZ")</f>
        <v>XLZ</v>
      </c>
      <c r="B207" s="327" t="str">
        <f>IFERROR(__xludf.DUMMYFUNCTION("""COMPUTED_VALUE"""),"Xylazin")</f>
        <v>Xylazin</v>
      </c>
      <c r="C207" s="329" t="str">
        <f>IFERROR(__xludf.DUMMYFUNCTION("""COMPUTED_VALUE"""),"mL")</f>
        <v>mL</v>
      </c>
      <c r="D207" s="330">
        <f>IFERROR(__xludf.DUMMYFUNCTION("""COMPUTED_VALUE"""),5800.0)</f>
        <v>5800</v>
      </c>
      <c r="E207" s="331">
        <v>75.0</v>
      </c>
      <c r="F207" s="295">
        <f t="shared" si="1"/>
        <v>435000</v>
      </c>
      <c r="G207" s="332"/>
      <c r="H207" s="332"/>
      <c r="I207" s="333"/>
      <c r="J207" s="333"/>
      <c r="K207" s="297">
        <f t="shared" si="2"/>
        <v>0</v>
      </c>
      <c r="L207" s="295">
        <f t="shared" si="3"/>
        <v>0</v>
      </c>
      <c r="M207" s="332"/>
      <c r="N207" s="333"/>
      <c r="O207" s="333"/>
      <c r="P207" s="333"/>
      <c r="Q207" s="299">
        <f t="shared" si="10"/>
        <v>0</v>
      </c>
      <c r="R207" s="300">
        <f t="shared" si="9"/>
        <v>0</v>
      </c>
      <c r="S207" s="334">
        <v>75.0</v>
      </c>
      <c r="T207" s="301">
        <f t="shared" si="6"/>
        <v>0</v>
      </c>
      <c r="U207" s="302">
        <f t="shared" si="7"/>
        <v>0</v>
      </c>
      <c r="V207" s="295">
        <f t="shared" si="8"/>
        <v>435000</v>
      </c>
      <c r="W207" s="283"/>
      <c r="X207" s="283"/>
      <c r="Y207" s="283"/>
      <c r="Z207" s="283"/>
    </row>
    <row r="208" ht="15.75" customHeight="1">
      <c r="A208" s="335" t="str">
        <f>IFERROR(__xludf.DUMMYFUNCTION("""COMPUTED_VALUE"""),"XLP")</f>
        <v>XLP</v>
      </c>
      <c r="B208" s="335" t="str">
        <f>IFERROR(__xludf.DUMMYFUNCTION("""COMPUTED_VALUE"""),"Xylofar")</f>
        <v>Xylofar</v>
      </c>
      <c r="C208" s="333" t="str">
        <f>IFERROR(__xludf.DUMMYFUNCTION("""COMPUTED_VALUE"""),"Chai")</f>
        <v>Chai</v>
      </c>
      <c r="D208" s="336">
        <f>IFERROR(__xludf.DUMMYFUNCTION("""COMPUTED_VALUE"""),4750.0)</f>
        <v>4750</v>
      </c>
      <c r="E208" s="331">
        <v>17.0</v>
      </c>
      <c r="F208" s="295">
        <f t="shared" si="1"/>
        <v>80750</v>
      </c>
      <c r="G208" s="332"/>
      <c r="H208" s="333"/>
      <c r="I208" s="332"/>
      <c r="J208" s="332"/>
      <c r="K208" s="297">
        <f t="shared" si="2"/>
        <v>0</v>
      </c>
      <c r="L208" s="295">
        <f t="shared" si="3"/>
        <v>0</v>
      </c>
      <c r="M208" s="333"/>
      <c r="N208" s="333"/>
      <c r="O208" s="333"/>
      <c r="P208" s="333"/>
      <c r="Q208" s="299">
        <f t="shared" si="10"/>
        <v>0</v>
      </c>
      <c r="R208" s="300">
        <f t="shared" si="9"/>
        <v>0</v>
      </c>
      <c r="S208" s="334">
        <v>17.0</v>
      </c>
      <c r="T208" s="301">
        <f t="shared" si="6"/>
        <v>0</v>
      </c>
      <c r="U208" s="302">
        <f t="shared" si="7"/>
        <v>0</v>
      </c>
      <c r="V208" s="295">
        <f t="shared" si="8"/>
        <v>80750</v>
      </c>
      <c r="W208" s="283"/>
      <c r="X208" s="283"/>
      <c r="Y208" s="283"/>
      <c r="Z208" s="283"/>
    </row>
    <row r="209" ht="15.75" customHeight="1">
      <c r="A209" s="335" t="str">
        <f>IFERROR(__xludf.DUMMYFUNCTION("""COMPUTED_VALUE"""),"ZLT")</f>
        <v>ZLT</v>
      </c>
      <c r="B209" s="337" t="str">
        <f>IFERROR(__xludf.DUMMYFUNCTION("""COMPUTED_VALUE"""),"Zoletil 50")</f>
        <v>Zoletil 50</v>
      </c>
      <c r="C209" s="333" t="str">
        <f>IFERROR(__xludf.DUMMYFUNCTION("""COMPUTED_VALUE"""),"ml")</f>
        <v>ml</v>
      </c>
      <c r="D209" s="336">
        <f>IFERROR(__xludf.DUMMYFUNCTION("""COMPUTED_VALUE"""),85000.0)</f>
        <v>85000</v>
      </c>
      <c r="E209" s="331">
        <v>37.0</v>
      </c>
      <c r="F209" s="295">
        <f t="shared" si="1"/>
        <v>3145000</v>
      </c>
      <c r="G209" s="332"/>
      <c r="H209" s="332"/>
      <c r="I209" s="332"/>
      <c r="J209" s="332"/>
      <c r="K209" s="297">
        <f t="shared" si="2"/>
        <v>0</v>
      </c>
      <c r="L209" s="295">
        <f t="shared" si="3"/>
        <v>0</v>
      </c>
      <c r="M209" s="332"/>
      <c r="N209" s="333"/>
      <c r="O209" s="333"/>
      <c r="P209" s="333"/>
      <c r="Q209" s="299">
        <f t="shared" si="10"/>
        <v>0</v>
      </c>
      <c r="R209" s="300">
        <f t="shared" si="9"/>
        <v>0</v>
      </c>
      <c r="S209" s="334">
        <v>31.0</v>
      </c>
      <c r="T209" s="301">
        <f t="shared" si="6"/>
        <v>6</v>
      </c>
      <c r="U209" s="302">
        <f t="shared" si="7"/>
        <v>510000</v>
      </c>
      <c r="V209" s="295">
        <f t="shared" si="8"/>
        <v>2635000</v>
      </c>
      <c r="W209" s="283"/>
      <c r="X209" s="283"/>
      <c r="Y209" s="283"/>
      <c r="Z209" s="283"/>
    </row>
    <row r="210" ht="15.75" customHeight="1">
      <c r="A210" s="335" t="str">
        <f>IFERROR(__xludf.DUMMYFUNCTION("""COMPUTED_VALUE"""),"VXFIP")</f>
        <v>VXFIP</v>
      </c>
      <c r="B210" s="337" t="str">
        <f>IFERROR(__xludf.DUMMYFUNCTION("""COMPUTED_VALUE"""),"Vaccine FIP")</f>
        <v>Vaccine FIP</v>
      </c>
      <c r="C210" s="333" t="str">
        <f>IFERROR(__xludf.DUMMYFUNCTION("""COMPUTED_VALUE"""),"Liều")</f>
        <v>Liều</v>
      </c>
      <c r="D210" s="336">
        <f>IFERROR(__xludf.DUMMYFUNCTION("""COMPUTED_VALUE"""),210000.0)</f>
        <v>210000</v>
      </c>
      <c r="E210" s="331">
        <v>2.0</v>
      </c>
      <c r="F210" s="295">
        <f t="shared" si="1"/>
        <v>420000</v>
      </c>
      <c r="G210" s="332"/>
      <c r="H210" s="332"/>
      <c r="I210" s="333"/>
      <c r="J210" s="332"/>
      <c r="K210" s="297">
        <f t="shared" si="2"/>
        <v>0</v>
      </c>
      <c r="L210" s="295">
        <f t="shared" si="3"/>
        <v>0</v>
      </c>
      <c r="M210" s="333"/>
      <c r="N210" s="332"/>
      <c r="O210" s="332"/>
      <c r="P210" s="333"/>
      <c r="Q210" s="299">
        <f t="shared" si="10"/>
        <v>0</v>
      </c>
      <c r="R210" s="300">
        <f t="shared" si="9"/>
        <v>0</v>
      </c>
      <c r="S210" s="334">
        <v>2.0</v>
      </c>
      <c r="T210" s="301">
        <f t="shared" si="6"/>
        <v>0</v>
      </c>
      <c r="U210" s="302">
        <f t="shared" si="7"/>
        <v>0</v>
      </c>
      <c r="V210" s="295">
        <f t="shared" si="8"/>
        <v>420000</v>
      </c>
      <c r="W210" s="283"/>
      <c r="X210" s="283"/>
      <c r="Y210" s="283"/>
      <c r="Z210" s="283"/>
    </row>
    <row r="211" ht="15.75" customHeight="1">
      <c r="A211" s="335" t="str">
        <f>IFERROR(__xludf.DUMMYFUNCTION("""COMPUTED_VALUE"""),"ACEM")</f>
        <v>ACEM</v>
      </c>
      <c r="B211" s="337" t="str">
        <f>IFERROR(__xludf.DUMMYFUNCTION("""COMPUTED_VALUE"""),"Acemuc")</f>
        <v>Acemuc</v>
      </c>
      <c r="C211" s="333" t="str">
        <f>IFERROR(__xludf.DUMMYFUNCTION("""COMPUTED_VALUE"""),"Viên")</f>
        <v>Viên</v>
      </c>
      <c r="D211" s="336">
        <f>IFERROR(__xludf.DUMMYFUNCTION("""COMPUTED_VALUE"""),2500.0)</f>
        <v>2500</v>
      </c>
      <c r="E211" s="331">
        <v>22.0</v>
      </c>
      <c r="F211" s="295">
        <f t="shared" si="1"/>
        <v>55000</v>
      </c>
      <c r="G211" s="332"/>
      <c r="H211" s="332"/>
      <c r="I211" s="333"/>
      <c r="J211" s="333"/>
      <c r="K211" s="297">
        <f t="shared" si="2"/>
        <v>0</v>
      </c>
      <c r="L211" s="295">
        <f t="shared" si="3"/>
        <v>0</v>
      </c>
      <c r="M211" s="333"/>
      <c r="N211" s="333"/>
      <c r="O211" s="333"/>
      <c r="P211" s="333"/>
      <c r="Q211" s="299">
        <f t="shared" si="10"/>
        <v>0</v>
      </c>
      <c r="R211" s="300">
        <f t="shared" si="9"/>
        <v>0</v>
      </c>
      <c r="S211" s="334">
        <v>16.0</v>
      </c>
      <c r="T211" s="301">
        <f t="shared" si="6"/>
        <v>6</v>
      </c>
      <c r="U211" s="302">
        <f t="shared" si="7"/>
        <v>15000</v>
      </c>
      <c r="V211" s="295">
        <f t="shared" si="8"/>
        <v>40000</v>
      </c>
      <c r="W211" s="283"/>
      <c r="X211" s="283"/>
      <c r="Y211" s="283"/>
      <c r="Z211" s="283"/>
    </row>
    <row r="212" ht="15.75" customHeight="1">
      <c r="A212" s="335" t="str">
        <f>IFERROR(__xludf.DUMMYFUNCTION("""COMPUTED_VALUE"""),"NATRIBI")</f>
        <v>NATRIBI</v>
      </c>
      <c r="B212" s="337" t="str">
        <f>IFERROR(__xludf.DUMMYFUNCTION("""COMPUTED_VALUE"""),"Natribicarbonat")</f>
        <v>Natribicarbonat</v>
      </c>
      <c r="C212" s="333" t="str">
        <f>IFERROR(__xludf.DUMMYFUNCTION("""COMPUTED_VALUE"""),"Viên")</f>
        <v>Viên</v>
      </c>
      <c r="D212" s="336">
        <f>IFERROR(__xludf.DUMMYFUNCTION("""COMPUTED_VALUE"""),500.0)</f>
        <v>500</v>
      </c>
      <c r="E212" s="331">
        <v>54.0</v>
      </c>
      <c r="F212" s="295">
        <f t="shared" si="1"/>
        <v>27000</v>
      </c>
      <c r="G212" s="332"/>
      <c r="H212" s="332"/>
      <c r="I212" s="333"/>
      <c r="J212" s="333"/>
      <c r="K212" s="297">
        <f t="shared" si="2"/>
        <v>0</v>
      </c>
      <c r="L212" s="295">
        <f t="shared" si="3"/>
        <v>0</v>
      </c>
      <c r="M212" s="333"/>
      <c r="N212" s="333"/>
      <c r="O212" s="333"/>
      <c r="P212" s="333"/>
      <c r="Q212" s="299">
        <f t="shared" si="10"/>
        <v>0</v>
      </c>
      <c r="R212" s="300">
        <f t="shared" si="9"/>
        <v>0</v>
      </c>
      <c r="S212" s="331">
        <v>54.0</v>
      </c>
      <c r="T212" s="301">
        <f t="shared" si="6"/>
        <v>0</v>
      </c>
      <c r="U212" s="302">
        <f t="shared" si="7"/>
        <v>0</v>
      </c>
      <c r="V212" s="295">
        <f t="shared" si="8"/>
        <v>27000</v>
      </c>
      <c r="W212" s="283"/>
      <c r="X212" s="283"/>
      <c r="Y212" s="283"/>
      <c r="Z212" s="283"/>
    </row>
    <row r="213" ht="15.75" customHeight="1">
      <c r="A213" s="335" t="str">
        <f>IFERROR(__xludf.DUMMYFUNCTION("""COMPUTED_VALUE"""),"TTFIP")</f>
        <v>TTFIP</v>
      </c>
      <c r="B213" s="337" t="str">
        <f>IFERROR(__xludf.DUMMYFUNCTION("""COMPUTED_VALUE"""),"Thuốc tiêm FIP")</f>
        <v>Thuốc tiêm FIP</v>
      </c>
      <c r="C213" s="333" t="str">
        <f>IFERROR(__xludf.DUMMYFUNCTION("""COMPUTED_VALUE"""),"Lọ")</f>
        <v>Lọ</v>
      </c>
      <c r="D213" s="336">
        <f>IFERROR(__xludf.DUMMYFUNCTION("""COMPUTED_VALUE"""),1230000.0)</f>
        <v>1230000</v>
      </c>
      <c r="E213" s="331">
        <v>1.0</v>
      </c>
      <c r="F213" s="295">
        <f t="shared" si="1"/>
        <v>1230000</v>
      </c>
      <c r="G213" s="332"/>
      <c r="H213" s="332"/>
      <c r="I213" s="333"/>
      <c r="J213" s="333"/>
      <c r="K213" s="297">
        <f t="shared" si="2"/>
        <v>0</v>
      </c>
      <c r="L213" s="295">
        <f t="shared" si="3"/>
        <v>0</v>
      </c>
      <c r="M213" s="333"/>
      <c r="N213" s="333"/>
      <c r="O213" s="333"/>
      <c r="P213" s="333"/>
      <c r="Q213" s="299">
        <f t="shared" si="10"/>
        <v>0</v>
      </c>
      <c r="R213" s="300">
        <f t="shared" si="9"/>
        <v>0</v>
      </c>
      <c r="S213" s="338">
        <v>0.0</v>
      </c>
      <c r="T213" s="301">
        <f t="shared" si="6"/>
        <v>1</v>
      </c>
      <c r="U213" s="302">
        <f t="shared" si="7"/>
        <v>1230000</v>
      </c>
      <c r="V213" s="295">
        <f t="shared" si="8"/>
        <v>0</v>
      </c>
      <c r="W213" s="283"/>
      <c r="X213" s="283"/>
      <c r="Y213" s="283"/>
      <c r="Z213" s="283"/>
    </row>
    <row r="214" ht="15.75" customHeight="1">
      <c r="A214" s="335" t="str">
        <f>IFERROR(__xludf.DUMMYFUNCTION("""COMPUTED_VALUE"""),"TUFIP")</f>
        <v>TUFIP</v>
      </c>
      <c r="B214" s="337" t="str">
        <f>IFERROR(__xludf.DUMMYFUNCTION("""COMPUTED_VALUE"""),"Thuốc uống FIP (Molravir)")</f>
        <v>Thuốc uống FIP (Molravir)</v>
      </c>
      <c r="C214" s="333" t="str">
        <f>IFERROR(__xludf.DUMMYFUNCTION("""COMPUTED_VALUE"""),"Viên")</f>
        <v>Viên</v>
      </c>
      <c r="D214" s="336">
        <f>IFERROR(__xludf.DUMMYFUNCTION("""COMPUTED_VALUE"""),17155.72033898305)</f>
        <v>17155.72034</v>
      </c>
      <c r="E214" s="331">
        <v>260.0</v>
      </c>
      <c r="F214" s="295">
        <f t="shared" si="1"/>
        <v>4460487.288</v>
      </c>
      <c r="G214" s="332"/>
      <c r="H214" s="332"/>
      <c r="I214" s="333"/>
      <c r="J214" s="333"/>
      <c r="K214" s="297">
        <f t="shared" si="2"/>
        <v>0</v>
      </c>
      <c r="L214" s="295">
        <f t="shared" si="3"/>
        <v>0</v>
      </c>
      <c r="M214" s="333"/>
      <c r="N214" s="332"/>
      <c r="O214" s="333"/>
      <c r="P214" s="333"/>
      <c r="Q214" s="299">
        <f t="shared" si="10"/>
        <v>0</v>
      </c>
      <c r="R214" s="300">
        <f t="shared" si="9"/>
        <v>0</v>
      </c>
      <c r="S214" s="338">
        <v>240.0</v>
      </c>
      <c r="T214" s="301">
        <f t="shared" si="6"/>
        <v>20</v>
      </c>
      <c r="U214" s="302">
        <f t="shared" si="7"/>
        <v>343114.4068</v>
      </c>
      <c r="V214" s="295">
        <f t="shared" si="8"/>
        <v>4117372.881</v>
      </c>
      <c r="W214" s="283"/>
      <c r="X214" s="283"/>
      <c r="Y214" s="283"/>
      <c r="Z214" s="283"/>
    </row>
    <row r="215" ht="15.75" customHeight="1">
      <c r="A215" s="335" t="str">
        <f>IFERROR(__xludf.DUMMYFUNCTION("""COMPUTED_VALUE"""),"FENTA")</f>
        <v>FENTA</v>
      </c>
      <c r="B215" s="337" t="str">
        <f>IFERROR(__xludf.DUMMYFUNCTION("""COMPUTED_VALUE"""),"Fentanyl")</f>
        <v>Fentanyl</v>
      </c>
      <c r="C215" s="333" t="str">
        <f>IFERROR(__xludf.DUMMYFUNCTION("""COMPUTED_VALUE"""),"Ống")</f>
        <v>Ống</v>
      </c>
      <c r="D215" s="336">
        <f>IFERROR(__xludf.DUMMYFUNCTION("""COMPUTED_VALUE"""),0.0)</f>
        <v>0</v>
      </c>
      <c r="E215" s="331">
        <v>0.0</v>
      </c>
      <c r="F215" s="295">
        <f t="shared" si="1"/>
        <v>0</v>
      </c>
      <c r="G215" s="332"/>
      <c r="H215" s="333"/>
      <c r="I215" s="333"/>
      <c r="J215" s="333"/>
      <c r="K215" s="297">
        <f t="shared" si="2"/>
        <v>0</v>
      </c>
      <c r="L215" s="295">
        <f t="shared" si="3"/>
        <v>0</v>
      </c>
      <c r="M215" s="333"/>
      <c r="N215" s="333"/>
      <c r="O215" s="333"/>
      <c r="P215" s="333"/>
      <c r="Q215" s="299">
        <f t="shared" si="10"/>
        <v>0</v>
      </c>
      <c r="R215" s="300">
        <f t="shared" si="9"/>
        <v>0</v>
      </c>
      <c r="S215" s="331">
        <v>0.0</v>
      </c>
      <c r="T215" s="301">
        <f t="shared" si="6"/>
        <v>0</v>
      </c>
      <c r="U215" s="302">
        <f t="shared" si="7"/>
        <v>0</v>
      </c>
      <c r="V215" s="295">
        <f t="shared" si="8"/>
        <v>0</v>
      </c>
      <c r="W215" s="283"/>
      <c r="X215" s="283"/>
      <c r="Y215" s="283"/>
      <c r="Z215" s="283"/>
    </row>
    <row r="216" ht="15.75" customHeight="1">
      <c r="A216" s="335" t="str">
        <f>IFERROR(__xludf.DUMMYFUNCTION("""COMPUTED_VALUE"""),"AMOXU")</f>
        <v>AMOXU</v>
      </c>
      <c r="B216" s="337" t="str">
        <f>IFERROR(__xludf.DUMMYFUNCTION("""COMPUTED_VALUE"""),"Amoxicilin uống")</f>
        <v>Amoxicilin uống</v>
      </c>
      <c r="C216" s="333" t="str">
        <f>IFERROR(__xludf.DUMMYFUNCTION("""COMPUTED_VALUE"""),"Viên")</f>
        <v>Viên</v>
      </c>
      <c r="D216" s="336">
        <f>IFERROR(__xludf.DUMMYFUNCTION("""COMPUTED_VALUE"""),800.0)</f>
        <v>800</v>
      </c>
      <c r="E216" s="331">
        <v>21.0</v>
      </c>
      <c r="F216" s="295">
        <f t="shared" si="1"/>
        <v>16800</v>
      </c>
      <c r="G216" s="332"/>
      <c r="H216" s="333"/>
      <c r="I216" s="333"/>
      <c r="J216" s="332"/>
      <c r="K216" s="297">
        <f t="shared" si="2"/>
        <v>0</v>
      </c>
      <c r="L216" s="295">
        <f t="shared" si="3"/>
        <v>0</v>
      </c>
      <c r="M216" s="333"/>
      <c r="N216" s="333"/>
      <c r="O216" s="333"/>
      <c r="P216" s="333"/>
      <c r="Q216" s="299">
        <f t="shared" si="10"/>
        <v>0</v>
      </c>
      <c r="R216" s="300">
        <f t="shared" si="9"/>
        <v>0</v>
      </c>
      <c r="S216" s="338">
        <v>20.0</v>
      </c>
      <c r="T216" s="301">
        <f t="shared" si="6"/>
        <v>1</v>
      </c>
      <c r="U216" s="302">
        <f t="shared" si="7"/>
        <v>800</v>
      </c>
      <c r="V216" s="295">
        <f t="shared" si="8"/>
        <v>16000</v>
      </c>
      <c r="W216" s="283"/>
      <c r="X216" s="283"/>
      <c r="Y216" s="283"/>
      <c r="Z216" s="283"/>
    </row>
    <row r="217" ht="15.75" customHeight="1">
      <c r="A217" s="335" t="str">
        <f>IFERROR(__xludf.DUMMYFUNCTION("""COMPUTED_VALUE"""),"CREON")</f>
        <v>CREON</v>
      </c>
      <c r="B217" s="337" t="str">
        <f>IFERROR(__xludf.DUMMYFUNCTION("""COMPUTED_VALUE"""),"Men tụy Creon ")</f>
        <v>Men tụy Creon </v>
      </c>
      <c r="C217" s="333" t="str">
        <f>IFERROR(__xludf.DUMMYFUNCTION("""COMPUTED_VALUE"""),"Viên")</f>
        <v>Viên</v>
      </c>
      <c r="D217" s="336">
        <f>IFERROR(__xludf.DUMMYFUNCTION("""COMPUTED_VALUE"""),15000.0)</f>
        <v>15000</v>
      </c>
      <c r="E217" s="331">
        <v>6.0</v>
      </c>
      <c r="F217" s="295">
        <f t="shared" si="1"/>
        <v>90000</v>
      </c>
      <c r="G217" s="332"/>
      <c r="H217" s="333"/>
      <c r="I217" s="333"/>
      <c r="J217" s="333"/>
      <c r="K217" s="297">
        <f t="shared" si="2"/>
        <v>0</v>
      </c>
      <c r="L217" s="295">
        <f t="shared" si="3"/>
        <v>0</v>
      </c>
      <c r="M217" s="333"/>
      <c r="N217" s="333"/>
      <c r="O217" s="333"/>
      <c r="P217" s="333"/>
      <c r="Q217" s="299">
        <f t="shared" si="10"/>
        <v>0</v>
      </c>
      <c r="R217" s="300">
        <f t="shared" si="9"/>
        <v>0</v>
      </c>
      <c r="S217" s="331">
        <v>6.0</v>
      </c>
      <c r="T217" s="301">
        <f t="shared" si="6"/>
        <v>0</v>
      </c>
      <c r="U217" s="302">
        <f t="shared" si="7"/>
        <v>0</v>
      </c>
      <c r="V217" s="295">
        <f t="shared" si="8"/>
        <v>90000</v>
      </c>
      <c r="W217" s="283"/>
      <c r="X217" s="283"/>
      <c r="Y217" s="283"/>
      <c r="Z217" s="283"/>
    </row>
    <row r="218" ht="15.75" customHeight="1">
      <c r="A218" s="335" t="str">
        <f>IFERROR(__xludf.DUMMYFUNCTION("""COMPUTED_VALUE"""),"DTPPM")</f>
        <v>DTPPM</v>
      </c>
      <c r="B218" s="337" t="str">
        <f>IFERROR(__xludf.DUMMYFUNCTION("""COMPUTED_VALUE"""),"Dịch thẩm phân phúc mạc 2,5% 2L")</f>
        <v>Dịch thẩm phân phúc mạc 2,5% 2L</v>
      </c>
      <c r="C218" s="333" t="str">
        <f>IFERROR(__xludf.DUMMYFUNCTION("""COMPUTED_VALUE"""),"Túi")</f>
        <v>Túi</v>
      </c>
      <c r="D218" s="336">
        <f>IFERROR(__xludf.DUMMYFUNCTION("""COMPUTED_VALUE"""),105000.0)</f>
        <v>105000</v>
      </c>
      <c r="E218" s="331">
        <v>4.0</v>
      </c>
      <c r="F218" s="295">
        <f t="shared" si="1"/>
        <v>420000</v>
      </c>
      <c r="G218" s="332"/>
      <c r="H218" s="333"/>
      <c r="I218" s="333"/>
      <c r="J218" s="333"/>
      <c r="K218" s="297">
        <f t="shared" si="2"/>
        <v>0</v>
      </c>
      <c r="L218" s="295">
        <f t="shared" si="3"/>
        <v>0</v>
      </c>
      <c r="M218" s="333"/>
      <c r="N218" s="333"/>
      <c r="O218" s="333"/>
      <c r="P218" s="333"/>
      <c r="Q218" s="299">
        <f t="shared" si="10"/>
        <v>0</v>
      </c>
      <c r="R218" s="300">
        <f t="shared" si="9"/>
        <v>0</v>
      </c>
      <c r="S218" s="331">
        <v>4.0</v>
      </c>
      <c r="T218" s="301">
        <f t="shared" si="6"/>
        <v>0</v>
      </c>
      <c r="U218" s="302">
        <f t="shared" si="7"/>
        <v>0</v>
      </c>
      <c r="V218" s="295">
        <f t="shared" si="8"/>
        <v>420000</v>
      </c>
      <c r="W218" s="283"/>
      <c r="X218" s="283"/>
      <c r="Y218" s="283"/>
      <c r="Z218" s="283"/>
    </row>
    <row r="219" ht="15.75" customHeight="1">
      <c r="A219" s="335" t="str">
        <f>IFERROR(__xludf.DUMMYFUNCTION("""COMPUTED_VALUE"""),"TSMU")</f>
        <v>TSMU</v>
      </c>
      <c r="B219" s="337" t="str">
        <f>IFERROR(__xludf.DUMMYFUNCTION("""COMPUTED_VALUE"""),"Transamin uống")</f>
        <v>Transamin uống</v>
      </c>
      <c r="C219" s="333" t="str">
        <f>IFERROR(__xludf.DUMMYFUNCTION("""COMPUTED_VALUE"""),"Viên")</f>
        <v>Viên</v>
      </c>
      <c r="D219" s="336">
        <f>IFERROR(__xludf.DUMMYFUNCTION("""COMPUTED_VALUE"""),4200.0)</f>
        <v>4200</v>
      </c>
      <c r="E219" s="331">
        <v>7.0</v>
      </c>
      <c r="F219" s="295">
        <f t="shared" si="1"/>
        <v>29400</v>
      </c>
      <c r="G219" s="332"/>
      <c r="H219" s="332"/>
      <c r="I219" s="333"/>
      <c r="J219" s="333"/>
      <c r="K219" s="297">
        <f t="shared" si="2"/>
        <v>0</v>
      </c>
      <c r="L219" s="295">
        <f t="shared" si="3"/>
        <v>0</v>
      </c>
      <c r="M219" s="333"/>
      <c r="N219" s="333"/>
      <c r="O219" s="333"/>
      <c r="P219" s="333"/>
      <c r="Q219" s="299">
        <f t="shared" si="10"/>
        <v>0</v>
      </c>
      <c r="R219" s="300">
        <f t="shared" si="9"/>
        <v>0</v>
      </c>
      <c r="S219" s="331">
        <v>7.0</v>
      </c>
      <c r="T219" s="301">
        <f t="shared" si="6"/>
        <v>0</v>
      </c>
      <c r="U219" s="302">
        <f t="shared" si="7"/>
        <v>0</v>
      </c>
      <c r="V219" s="295">
        <f t="shared" si="8"/>
        <v>29400</v>
      </c>
      <c r="W219" s="283"/>
      <c r="X219" s="283"/>
      <c r="Y219" s="283"/>
      <c r="Z219" s="283"/>
    </row>
    <row r="220" ht="15.75" customHeight="1">
      <c r="A220" s="335" t="str">
        <f>IFERROR(__xludf.DUMMYFUNCTION("""COMPUTED_VALUE"""),"BTUK")</f>
        <v>BTUK</v>
      </c>
      <c r="B220" s="337" t="str">
        <f>IFERROR(__xludf.DUMMYFUNCTION("""COMPUTED_VALUE"""),"Bổ thận Urinal kidney")</f>
        <v>Bổ thận Urinal kidney</v>
      </c>
      <c r="C220" s="333" t="str">
        <f>IFERROR(__xludf.DUMMYFUNCTION("""COMPUTED_VALUE"""),"Viên")</f>
        <v>Viên</v>
      </c>
      <c r="D220" s="336">
        <f>IFERROR(__xludf.DUMMYFUNCTION("""COMPUTED_VALUE"""),10000.0)</f>
        <v>10000</v>
      </c>
      <c r="E220" s="331">
        <v>2.0</v>
      </c>
      <c r="F220" s="295">
        <f t="shared" si="1"/>
        <v>20000</v>
      </c>
      <c r="G220" s="332"/>
      <c r="H220" s="332"/>
      <c r="I220" s="332"/>
      <c r="J220" s="333"/>
      <c r="K220" s="297">
        <f t="shared" si="2"/>
        <v>0</v>
      </c>
      <c r="L220" s="295">
        <f t="shared" si="3"/>
        <v>0</v>
      </c>
      <c r="M220" s="333"/>
      <c r="N220" s="333"/>
      <c r="O220" s="333"/>
      <c r="P220" s="333"/>
      <c r="Q220" s="299">
        <f t="shared" si="10"/>
        <v>0</v>
      </c>
      <c r="R220" s="300">
        <f t="shared" si="9"/>
        <v>0</v>
      </c>
      <c r="S220" s="331">
        <v>2.0</v>
      </c>
      <c r="T220" s="301">
        <f t="shared" si="6"/>
        <v>0</v>
      </c>
      <c r="U220" s="302">
        <f t="shared" si="7"/>
        <v>0</v>
      </c>
      <c r="V220" s="295">
        <f t="shared" si="8"/>
        <v>20000</v>
      </c>
      <c r="W220" s="283"/>
      <c r="X220" s="283"/>
      <c r="Y220" s="283"/>
      <c r="Z220" s="283"/>
    </row>
    <row r="221" ht="15.75" customHeight="1">
      <c r="A221" s="335" t="str">
        <f>IFERROR(__xludf.DUMMYFUNCTION("""COMPUTED_VALUE"""),"Glu30")</f>
        <v>Glu30</v>
      </c>
      <c r="B221" s="337" t="str">
        <f>IFERROR(__xludf.DUMMYFUNCTION("""COMPUTED_VALUE"""),"Glucose 30%")</f>
        <v>Glucose 30%</v>
      </c>
      <c r="C221" s="333" t="str">
        <f>IFERROR(__xludf.DUMMYFUNCTION("""COMPUTED_VALUE"""),"Ống")</f>
        <v>Ống</v>
      </c>
      <c r="D221" s="336">
        <f>IFERROR(__xludf.DUMMYFUNCTION("""COMPUTED_VALUE"""),3000.0)</f>
        <v>3000</v>
      </c>
      <c r="E221" s="331">
        <v>0.0</v>
      </c>
      <c r="F221" s="295">
        <f t="shared" si="1"/>
        <v>0</v>
      </c>
      <c r="G221" s="332"/>
      <c r="H221" s="333"/>
      <c r="I221" s="333"/>
      <c r="J221" s="333"/>
      <c r="K221" s="297">
        <f t="shared" si="2"/>
        <v>0</v>
      </c>
      <c r="L221" s="295">
        <f t="shared" si="3"/>
        <v>0</v>
      </c>
      <c r="M221" s="333"/>
      <c r="N221" s="333"/>
      <c r="O221" s="333"/>
      <c r="P221" s="333"/>
      <c r="Q221" s="299">
        <f t="shared" si="10"/>
        <v>0</v>
      </c>
      <c r="R221" s="300">
        <f t="shared" si="9"/>
        <v>0</v>
      </c>
      <c r="S221" s="331">
        <v>0.0</v>
      </c>
      <c r="T221" s="301">
        <f t="shared" si="6"/>
        <v>0</v>
      </c>
      <c r="U221" s="302">
        <f t="shared" si="7"/>
        <v>0</v>
      </c>
      <c r="V221" s="295">
        <f t="shared" si="8"/>
        <v>0</v>
      </c>
      <c r="W221" s="283"/>
      <c r="X221" s="283"/>
      <c r="Y221" s="283"/>
      <c r="Z221" s="283"/>
    </row>
    <row r="222" ht="15.75" customHeight="1">
      <c r="A222" s="335" t="str">
        <f>IFERROR(__xludf.DUMMYFUNCTION("""COMPUTED_VALUE"""),"CTM")</f>
        <v>CTM</v>
      </c>
      <c r="B222" s="337" t="str">
        <f>IFERROR(__xludf.DUMMYFUNCTION("""COMPUTED_VALUE"""),"Cotrimoxazole (cầu trùng)")</f>
        <v>Cotrimoxazole (cầu trùng)</v>
      </c>
      <c r="C222" s="333" t="str">
        <f>IFERROR(__xludf.DUMMYFUNCTION("""COMPUTED_VALUE"""),"Viên")</f>
        <v>Viên</v>
      </c>
      <c r="D222" s="336">
        <f>IFERROR(__xludf.DUMMYFUNCTION("""COMPUTED_VALUE"""),800.0)</f>
        <v>800</v>
      </c>
      <c r="E222" s="331">
        <v>0.0</v>
      </c>
      <c r="F222" s="295">
        <f t="shared" si="1"/>
        <v>0</v>
      </c>
      <c r="G222" s="332"/>
      <c r="H222" s="333"/>
      <c r="I222" s="332"/>
      <c r="J222" s="333"/>
      <c r="K222" s="297">
        <f t="shared" si="2"/>
        <v>0</v>
      </c>
      <c r="L222" s="295">
        <f t="shared" si="3"/>
        <v>0</v>
      </c>
      <c r="M222" s="333"/>
      <c r="N222" s="333"/>
      <c r="O222" s="333"/>
      <c r="P222" s="333"/>
      <c r="Q222" s="299">
        <f t="shared" si="10"/>
        <v>0</v>
      </c>
      <c r="R222" s="300">
        <f t="shared" si="9"/>
        <v>0</v>
      </c>
      <c r="S222" s="331">
        <v>0.0</v>
      </c>
      <c r="T222" s="301">
        <f t="shared" si="6"/>
        <v>0</v>
      </c>
      <c r="U222" s="302">
        <f t="shared" si="7"/>
        <v>0</v>
      </c>
      <c r="V222" s="295">
        <f t="shared" si="8"/>
        <v>0</v>
      </c>
      <c r="W222" s="283"/>
      <c r="X222" s="283"/>
      <c r="Y222" s="283"/>
      <c r="Z222" s="283"/>
    </row>
    <row r="223" ht="15.75" customHeight="1">
      <c r="A223" s="335"/>
      <c r="B223" s="335"/>
      <c r="C223" s="333"/>
      <c r="D223" s="336">
        <f>IFERROR(__xludf.DUMMYFUNCTION("""COMPUTED_VALUE"""),0.0)</f>
        <v>0</v>
      </c>
      <c r="E223" s="339"/>
      <c r="F223" s="295">
        <f t="shared" si="1"/>
        <v>0</v>
      </c>
      <c r="G223" s="333"/>
      <c r="H223" s="333"/>
      <c r="I223" s="333"/>
      <c r="J223" s="333"/>
      <c r="K223" s="297">
        <f t="shared" si="2"/>
        <v>0</v>
      </c>
      <c r="L223" s="295">
        <f t="shared" si="3"/>
        <v>0</v>
      </c>
      <c r="M223" s="333"/>
      <c r="N223" s="333"/>
      <c r="O223" s="333"/>
      <c r="P223" s="333"/>
      <c r="Q223" s="299">
        <f t="shared" si="10"/>
        <v>0</v>
      </c>
      <c r="R223" s="300">
        <f t="shared" si="9"/>
        <v>0</v>
      </c>
      <c r="S223" s="334"/>
      <c r="T223" s="301">
        <f t="shared" si="6"/>
        <v>0</v>
      </c>
      <c r="U223" s="302">
        <f t="shared" si="7"/>
        <v>0</v>
      </c>
      <c r="V223" s="295">
        <f t="shared" si="8"/>
        <v>0</v>
      </c>
      <c r="W223" s="283"/>
      <c r="X223" s="283"/>
      <c r="Y223" s="283"/>
      <c r="Z223" s="283"/>
    </row>
    <row r="224" ht="15.75" customHeight="1">
      <c r="A224" s="335"/>
      <c r="B224" s="335"/>
      <c r="C224" s="333"/>
      <c r="D224" s="336">
        <f>IFERROR(__xludf.DUMMYFUNCTION("""COMPUTED_VALUE"""),0.0)</f>
        <v>0</v>
      </c>
      <c r="E224" s="339"/>
      <c r="F224" s="295">
        <f t="shared" si="1"/>
        <v>0</v>
      </c>
      <c r="G224" s="333"/>
      <c r="H224" s="333"/>
      <c r="I224" s="333"/>
      <c r="J224" s="333"/>
      <c r="K224" s="297">
        <f t="shared" si="2"/>
        <v>0</v>
      </c>
      <c r="L224" s="295">
        <f t="shared" si="3"/>
        <v>0</v>
      </c>
      <c r="M224" s="333"/>
      <c r="N224" s="333"/>
      <c r="O224" s="333"/>
      <c r="P224" s="333"/>
      <c r="Q224" s="299">
        <f t="shared" si="10"/>
        <v>0</v>
      </c>
      <c r="R224" s="300">
        <f t="shared" si="9"/>
        <v>0</v>
      </c>
      <c r="S224" s="334"/>
      <c r="T224" s="301">
        <f t="shared" si="6"/>
        <v>0</v>
      </c>
      <c r="U224" s="302">
        <f t="shared" si="7"/>
        <v>0</v>
      </c>
      <c r="V224" s="295">
        <f t="shared" si="8"/>
        <v>0</v>
      </c>
      <c r="W224" s="283"/>
      <c r="X224" s="283"/>
      <c r="Y224" s="283"/>
      <c r="Z224" s="283"/>
    </row>
    <row r="225" ht="15.75" customHeight="1">
      <c r="A225" s="335"/>
      <c r="B225" s="335"/>
      <c r="C225" s="333"/>
      <c r="D225" s="336">
        <f>IFERROR(__xludf.DUMMYFUNCTION("""COMPUTED_VALUE"""),0.0)</f>
        <v>0</v>
      </c>
      <c r="E225" s="339"/>
      <c r="F225" s="295">
        <f t="shared" si="1"/>
        <v>0</v>
      </c>
      <c r="G225" s="333"/>
      <c r="H225" s="333"/>
      <c r="I225" s="333"/>
      <c r="J225" s="333"/>
      <c r="K225" s="297">
        <f t="shared" si="2"/>
        <v>0</v>
      </c>
      <c r="L225" s="295">
        <f t="shared" si="3"/>
        <v>0</v>
      </c>
      <c r="M225" s="333"/>
      <c r="N225" s="333"/>
      <c r="O225" s="333"/>
      <c r="P225" s="333"/>
      <c r="Q225" s="299">
        <f t="shared" si="10"/>
        <v>0</v>
      </c>
      <c r="R225" s="300">
        <f t="shared" si="9"/>
        <v>0</v>
      </c>
      <c r="S225" s="334"/>
      <c r="T225" s="301">
        <f t="shared" si="6"/>
        <v>0</v>
      </c>
      <c r="U225" s="302">
        <f t="shared" si="7"/>
        <v>0</v>
      </c>
      <c r="V225" s="295">
        <f t="shared" si="8"/>
        <v>0</v>
      </c>
      <c r="W225" s="283"/>
      <c r="X225" s="283"/>
      <c r="Y225" s="283"/>
      <c r="Z225" s="283"/>
    </row>
    <row r="226" ht="15.75" customHeight="1">
      <c r="A226" s="335"/>
      <c r="B226" s="335"/>
      <c r="C226" s="333"/>
      <c r="D226" s="336">
        <f>IFERROR(__xludf.DUMMYFUNCTION("""COMPUTED_VALUE"""),0.0)</f>
        <v>0</v>
      </c>
      <c r="E226" s="339"/>
      <c r="F226" s="295">
        <f t="shared" si="1"/>
        <v>0</v>
      </c>
      <c r="G226" s="333"/>
      <c r="H226" s="333"/>
      <c r="I226" s="333"/>
      <c r="J226" s="333"/>
      <c r="K226" s="297">
        <f t="shared" si="2"/>
        <v>0</v>
      </c>
      <c r="L226" s="295">
        <f t="shared" si="3"/>
        <v>0</v>
      </c>
      <c r="M226" s="333"/>
      <c r="N226" s="333"/>
      <c r="O226" s="333"/>
      <c r="P226" s="333"/>
      <c r="Q226" s="299">
        <f t="shared" si="10"/>
        <v>0</v>
      </c>
      <c r="R226" s="300">
        <f t="shared" si="9"/>
        <v>0</v>
      </c>
      <c r="S226" s="334"/>
      <c r="T226" s="301">
        <f t="shared" si="6"/>
        <v>0</v>
      </c>
      <c r="U226" s="302">
        <f t="shared" si="7"/>
        <v>0</v>
      </c>
      <c r="V226" s="295">
        <f t="shared" si="8"/>
        <v>0</v>
      </c>
      <c r="W226" s="283"/>
      <c r="X226" s="283"/>
      <c r="Y226" s="283"/>
      <c r="Z226" s="283"/>
    </row>
    <row r="227" ht="15.75" customHeight="1">
      <c r="A227" s="340"/>
      <c r="B227" s="340"/>
      <c r="C227" s="283"/>
      <c r="D227" s="341">
        <f>IFERROR(__xludf.DUMMYFUNCTION("""COMPUTED_VALUE"""),0.0)</f>
        <v>0</v>
      </c>
      <c r="E227" s="342"/>
      <c r="F227" s="283"/>
      <c r="G227" s="283"/>
      <c r="H227" s="283"/>
      <c r="I227" s="283"/>
      <c r="J227" s="283"/>
      <c r="K227" s="340"/>
      <c r="L227" s="283"/>
      <c r="M227" s="283"/>
      <c r="N227" s="283"/>
      <c r="O227" s="283"/>
      <c r="P227" s="283"/>
      <c r="Q227" s="340"/>
      <c r="R227" s="283"/>
      <c r="S227" s="283"/>
      <c r="T227" s="296"/>
      <c r="U227" s="340"/>
      <c r="V227" s="283"/>
      <c r="W227" s="283"/>
      <c r="X227" s="283"/>
      <c r="Y227" s="283"/>
      <c r="Z227" s="283"/>
    </row>
    <row r="228" ht="15.75" customHeight="1">
      <c r="A228" s="340"/>
      <c r="B228" s="340"/>
      <c r="C228" s="283"/>
      <c r="D228" s="341">
        <f>IFERROR(__xludf.DUMMYFUNCTION("""COMPUTED_VALUE"""),0.0)</f>
        <v>0</v>
      </c>
      <c r="E228" s="342"/>
      <c r="F228" s="283"/>
      <c r="G228" s="283"/>
      <c r="H228" s="283"/>
      <c r="I228" s="283"/>
      <c r="J228" s="283"/>
      <c r="K228" s="340"/>
      <c r="L228" s="283"/>
      <c r="M228" s="283"/>
      <c r="N228" s="283"/>
      <c r="O228" s="283"/>
      <c r="P228" s="283"/>
      <c r="Q228" s="340"/>
      <c r="R228" s="283"/>
      <c r="S228" s="283"/>
      <c r="T228" s="296"/>
      <c r="U228" s="340"/>
      <c r="V228" s="283"/>
      <c r="W228" s="283"/>
      <c r="X228" s="283"/>
      <c r="Y228" s="283"/>
      <c r="Z228" s="283"/>
    </row>
    <row r="229" ht="15.75" customHeight="1">
      <c r="A229" s="340"/>
      <c r="B229" s="340"/>
      <c r="C229" s="283"/>
      <c r="D229" s="341">
        <f>IFERROR(__xludf.DUMMYFUNCTION("""COMPUTED_VALUE"""),0.0)</f>
        <v>0</v>
      </c>
      <c r="E229" s="342"/>
      <c r="F229" s="283"/>
      <c r="G229" s="283"/>
      <c r="H229" s="283"/>
      <c r="I229" s="283"/>
      <c r="J229" s="283"/>
      <c r="K229" s="340"/>
      <c r="L229" s="283"/>
      <c r="M229" s="283"/>
      <c r="N229" s="283"/>
      <c r="O229" s="283"/>
      <c r="P229" s="283"/>
      <c r="Q229" s="340"/>
      <c r="R229" s="283"/>
      <c r="S229" s="283"/>
      <c r="T229" s="296"/>
      <c r="U229" s="340"/>
      <c r="V229" s="283"/>
      <c r="W229" s="283"/>
      <c r="X229" s="283"/>
      <c r="Y229" s="283"/>
      <c r="Z229" s="283"/>
    </row>
    <row r="230" ht="15.75" customHeight="1">
      <c r="A230" s="340"/>
      <c r="B230" s="340"/>
      <c r="C230" s="283"/>
      <c r="D230" s="341">
        <f>IFERROR(__xludf.DUMMYFUNCTION("""COMPUTED_VALUE"""),0.0)</f>
        <v>0</v>
      </c>
      <c r="E230" s="342"/>
      <c r="F230" s="283"/>
      <c r="G230" s="283"/>
      <c r="H230" s="283"/>
      <c r="I230" s="283"/>
      <c r="J230" s="283"/>
      <c r="K230" s="340"/>
      <c r="L230" s="283"/>
      <c r="M230" s="283"/>
      <c r="N230" s="283"/>
      <c r="O230" s="283"/>
      <c r="P230" s="283"/>
      <c r="Q230" s="340"/>
      <c r="R230" s="283"/>
      <c r="S230" s="283"/>
      <c r="T230" s="296"/>
      <c r="U230" s="340"/>
      <c r="V230" s="283"/>
      <c r="W230" s="283"/>
      <c r="X230" s="283"/>
      <c r="Y230" s="283"/>
      <c r="Z230" s="283"/>
    </row>
    <row r="231" ht="15.75" customHeight="1">
      <c r="A231" s="340"/>
      <c r="B231" s="340"/>
      <c r="C231" s="283"/>
      <c r="D231" s="283"/>
      <c r="E231" s="342"/>
      <c r="F231" s="283"/>
      <c r="G231" s="283"/>
      <c r="H231" s="283"/>
      <c r="I231" s="283"/>
      <c r="J231" s="283"/>
      <c r="K231" s="340"/>
      <c r="L231" s="283"/>
      <c r="M231" s="283"/>
      <c r="N231" s="283"/>
      <c r="O231" s="283"/>
      <c r="P231" s="283"/>
      <c r="Q231" s="340"/>
      <c r="R231" s="283"/>
      <c r="S231" s="283"/>
      <c r="T231" s="296"/>
      <c r="U231" s="340"/>
      <c r="V231" s="283"/>
      <c r="W231" s="283"/>
      <c r="X231" s="283"/>
      <c r="Y231" s="283"/>
      <c r="Z231" s="283"/>
    </row>
    <row r="232" ht="15.75" customHeight="1">
      <c r="A232" s="340"/>
      <c r="B232" s="340"/>
      <c r="C232" s="283"/>
      <c r="D232" s="283"/>
      <c r="E232" s="342"/>
      <c r="F232" s="283"/>
      <c r="G232" s="283"/>
      <c r="H232" s="283"/>
      <c r="I232" s="283"/>
      <c r="J232" s="283"/>
      <c r="K232" s="340"/>
      <c r="L232" s="283"/>
      <c r="M232" s="283"/>
      <c r="N232" s="283"/>
      <c r="O232" s="283"/>
      <c r="P232" s="283"/>
      <c r="Q232" s="340"/>
      <c r="R232" s="283"/>
      <c r="S232" s="283"/>
      <c r="T232" s="296"/>
      <c r="U232" s="340"/>
      <c r="V232" s="283"/>
      <c r="W232" s="283"/>
      <c r="X232" s="283"/>
      <c r="Y232" s="283"/>
      <c r="Z232" s="283"/>
    </row>
    <row r="233" ht="15.75" customHeight="1">
      <c r="A233" s="340"/>
      <c r="B233" s="340"/>
      <c r="C233" s="283"/>
      <c r="D233" s="283"/>
      <c r="E233" s="342"/>
      <c r="F233" s="283"/>
      <c r="G233" s="283"/>
      <c r="H233" s="283"/>
      <c r="I233" s="283"/>
      <c r="J233" s="283"/>
      <c r="K233" s="340"/>
      <c r="L233" s="283"/>
      <c r="M233" s="283"/>
      <c r="N233" s="283"/>
      <c r="O233" s="283"/>
      <c r="P233" s="283"/>
      <c r="Q233" s="340"/>
      <c r="R233" s="283"/>
      <c r="S233" s="283"/>
      <c r="T233" s="296"/>
      <c r="U233" s="340"/>
      <c r="V233" s="283"/>
      <c r="W233" s="283"/>
      <c r="X233" s="283"/>
      <c r="Y233" s="283"/>
      <c r="Z233" s="283"/>
    </row>
    <row r="234" ht="15.75" customHeight="1">
      <c r="A234" s="340"/>
      <c r="B234" s="340"/>
      <c r="C234" s="283"/>
      <c r="D234" s="283"/>
      <c r="E234" s="342"/>
      <c r="F234" s="283"/>
      <c r="G234" s="283"/>
      <c r="H234" s="283"/>
      <c r="I234" s="283"/>
      <c r="J234" s="283"/>
      <c r="K234" s="340"/>
      <c r="L234" s="283"/>
      <c r="M234" s="283"/>
      <c r="N234" s="283"/>
      <c r="O234" s="283"/>
      <c r="P234" s="283"/>
      <c r="Q234" s="340"/>
      <c r="R234" s="283"/>
      <c r="S234" s="283"/>
      <c r="T234" s="296"/>
      <c r="U234" s="340"/>
      <c r="V234" s="283"/>
      <c r="W234" s="283"/>
      <c r="X234" s="283"/>
      <c r="Y234" s="283"/>
      <c r="Z234" s="283"/>
    </row>
    <row r="235" ht="15.75" customHeight="1">
      <c r="A235" s="340"/>
      <c r="B235" s="340"/>
      <c r="C235" s="283"/>
      <c r="D235" s="283"/>
      <c r="E235" s="342"/>
      <c r="F235" s="283"/>
      <c r="G235" s="283"/>
      <c r="H235" s="283"/>
      <c r="I235" s="283"/>
      <c r="J235" s="283"/>
      <c r="K235" s="340"/>
      <c r="L235" s="283"/>
      <c r="M235" s="283"/>
      <c r="N235" s="283"/>
      <c r="O235" s="283"/>
      <c r="P235" s="283"/>
      <c r="Q235" s="340"/>
      <c r="R235" s="283"/>
      <c r="S235" s="283"/>
      <c r="T235" s="340"/>
      <c r="U235" s="340"/>
      <c r="V235" s="283"/>
      <c r="W235" s="283"/>
      <c r="X235" s="283"/>
      <c r="Y235" s="283"/>
      <c r="Z235" s="283"/>
    </row>
    <row r="236" ht="15.75" customHeight="1">
      <c r="A236" s="340"/>
      <c r="B236" s="340"/>
      <c r="C236" s="283"/>
      <c r="D236" s="283"/>
      <c r="E236" s="342"/>
      <c r="F236" s="283"/>
      <c r="G236" s="283"/>
      <c r="H236" s="283"/>
      <c r="I236" s="283"/>
      <c r="J236" s="283"/>
      <c r="K236" s="340"/>
      <c r="L236" s="283"/>
      <c r="M236" s="283"/>
      <c r="N236" s="283"/>
      <c r="O236" s="283"/>
      <c r="P236" s="283"/>
      <c r="Q236" s="340"/>
      <c r="R236" s="283"/>
      <c r="S236" s="283"/>
      <c r="T236" s="340"/>
      <c r="U236" s="340"/>
      <c r="V236" s="283"/>
      <c r="W236" s="283"/>
      <c r="X236" s="283"/>
      <c r="Y236" s="283"/>
      <c r="Z236" s="283"/>
    </row>
    <row r="237" ht="15.75" customHeight="1">
      <c r="A237" s="340"/>
      <c r="B237" s="340"/>
      <c r="C237" s="283"/>
      <c r="D237" s="283"/>
      <c r="E237" s="342"/>
      <c r="F237" s="283"/>
      <c r="G237" s="283"/>
      <c r="H237" s="283"/>
      <c r="I237" s="283"/>
      <c r="J237" s="283"/>
      <c r="K237" s="340"/>
      <c r="L237" s="283"/>
      <c r="M237" s="283"/>
      <c r="N237" s="283"/>
      <c r="O237" s="283"/>
      <c r="P237" s="283"/>
      <c r="Q237" s="340"/>
      <c r="R237" s="283"/>
      <c r="S237" s="283"/>
      <c r="T237" s="340"/>
      <c r="U237" s="340"/>
      <c r="V237" s="283"/>
      <c r="W237" s="283"/>
      <c r="X237" s="283"/>
      <c r="Y237" s="283"/>
      <c r="Z237" s="283"/>
    </row>
    <row r="238" ht="15.75" customHeight="1">
      <c r="A238" s="340"/>
      <c r="B238" s="340"/>
      <c r="C238" s="283"/>
      <c r="D238" s="283"/>
      <c r="E238" s="342"/>
      <c r="F238" s="283"/>
      <c r="G238" s="283"/>
      <c r="H238" s="283"/>
      <c r="I238" s="283"/>
      <c r="J238" s="283"/>
      <c r="K238" s="340"/>
      <c r="L238" s="283"/>
      <c r="M238" s="283"/>
      <c r="N238" s="283"/>
      <c r="O238" s="283"/>
      <c r="P238" s="283"/>
      <c r="Q238" s="340"/>
      <c r="R238" s="283"/>
      <c r="S238" s="283"/>
      <c r="T238" s="340"/>
      <c r="U238" s="340"/>
      <c r="V238" s="283"/>
      <c r="W238" s="283"/>
      <c r="X238" s="283"/>
      <c r="Y238" s="283"/>
      <c r="Z238" s="283"/>
    </row>
    <row r="239" ht="15.75" customHeight="1">
      <c r="A239" s="340"/>
      <c r="B239" s="340"/>
      <c r="C239" s="283"/>
      <c r="D239" s="283"/>
      <c r="E239" s="283"/>
      <c r="F239" s="283"/>
      <c r="G239" s="283"/>
      <c r="H239" s="283"/>
      <c r="I239" s="283"/>
      <c r="J239" s="283"/>
      <c r="K239" s="340"/>
      <c r="L239" s="283"/>
      <c r="M239" s="283"/>
      <c r="N239" s="283"/>
      <c r="O239" s="283"/>
      <c r="P239" s="283"/>
      <c r="Q239" s="340"/>
      <c r="R239" s="283"/>
      <c r="S239" s="283"/>
      <c r="T239" s="340"/>
      <c r="U239" s="340"/>
      <c r="V239" s="283"/>
      <c r="W239" s="283"/>
      <c r="X239" s="283"/>
      <c r="Y239" s="283"/>
      <c r="Z239" s="283"/>
    </row>
    <row r="240" ht="15.75" customHeight="1">
      <c r="A240" s="340"/>
      <c r="B240" s="340"/>
      <c r="C240" s="283"/>
      <c r="D240" s="283"/>
      <c r="E240" s="283"/>
      <c r="F240" s="283"/>
      <c r="G240" s="283"/>
      <c r="H240" s="283"/>
      <c r="I240" s="283"/>
      <c r="J240" s="283"/>
      <c r="K240" s="340"/>
      <c r="L240" s="283"/>
      <c r="M240" s="283"/>
      <c r="N240" s="283"/>
      <c r="O240" s="283"/>
      <c r="P240" s="283"/>
      <c r="Q240" s="340"/>
      <c r="R240" s="283"/>
      <c r="S240" s="283"/>
      <c r="T240" s="340"/>
      <c r="U240" s="340"/>
      <c r="V240" s="283"/>
      <c r="W240" s="283"/>
      <c r="X240" s="283"/>
      <c r="Y240" s="283"/>
      <c r="Z240" s="283"/>
    </row>
    <row r="241" ht="15.75" customHeight="1">
      <c r="A241" s="340"/>
      <c r="B241" s="340"/>
      <c r="C241" s="283"/>
      <c r="D241" s="283"/>
      <c r="E241" s="283"/>
      <c r="F241" s="283"/>
      <c r="G241" s="283"/>
      <c r="H241" s="283"/>
      <c r="I241" s="283"/>
      <c r="J241" s="283"/>
      <c r="K241" s="340"/>
      <c r="L241" s="283"/>
      <c r="M241" s="283"/>
      <c r="N241" s="283"/>
      <c r="O241" s="283"/>
      <c r="P241" s="283"/>
      <c r="Q241" s="340"/>
      <c r="R241" s="283"/>
      <c r="S241" s="283"/>
      <c r="T241" s="340"/>
      <c r="U241" s="340"/>
      <c r="V241" s="283"/>
      <c r="W241" s="283"/>
      <c r="X241" s="283"/>
      <c r="Y241" s="283"/>
      <c r="Z241" s="283"/>
    </row>
    <row r="242" ht="15.75" customHeight="1">
      <c r="A242" s="340"/>
      <c r="B242" s="340"/>
      <c r="C242" s="283"/>
      <c r="D242" s="283"/>
      <c r="E242" s="283"/>
      <c r="F242" s="283"/>
      <c r="G242" s="283"/>
      <c r="H242" s="283"/>
      <c r="I242" s="283"/>
      <c r="J242" s="283"/>
      <c r="K242" s="340"/>
      <c r="L242" s="283"/>
      <c r="M242" s="283"/>
      <c r="N242" s="283"/>
      <c r="O242" s="283"/>
      <c r="P242" s="283"/>
      <c r="Q242" s="340"/>
      <c r="R242" s="283"/>
      <c r="S242" s="283"/>
      <c r="T242" s="340"/>
      <c r="U242" s="340"/>
      <c r="V242" s="283"/>
      <c r="W242" s="283"/>
      <c r="X242" s="283"/>
      <c r="Y242" s="283"/>
      <c r="Z242" s="283"/>
    </row>
    <row r="243" ht="15.75" customHeight="1">
      <c r="A243" s="340"/>
      <c r="B243" s="340"/>
      <c r="C243" s="283"/>
      <c r="D243" s="283"/>
      <c r="E243" s="283"/>
      <c r="F243" s="283"/>
      <c r="G243" s="283"/>
      <c r="H243" s="283"/>
      <c r="I243" s="283"/>
      <c r="J243" s="283"/>
      <c r="K243" s="340"/>
      <c r="L243" s="283"/>
      <c r="M243" s="283"/>
      <c r="N243" s="283"/>
      <c r="O243" s="283"/>
      <c r="P243" s="283"/>
      <c r="Q243" s="340"/>
      <c r="R243" s="283"/>
      <c r="S243" s="283"/>
      <c r="T243" s="340"/>
      <c r="U243" s="340"/>
      <c r="V243" s="283"/>
      <c r="W243" s="283"/>
      <c r="X243" s="283"/>
      <c r="Y243" s="283"/>
      <c r="Z243" s="283"/>
    </row>
    <row r="244" ht="15.75" customHeight="1">
      <c r="A244" s="340"/>
      <c r="B244" s="340"/>
      <c r="C244" s="283"/>
      <c r="D244" s="283"/>
      <c r="E244" s="283"/>
      <c r="F244" s="283"/>
      <c r="G244" s="283"/>
      <c r="H244" s="283"/>
      <c r="I244" s="283"/>
      <c r="J244" s="283"/>
      <c r="K244" s="340"/>
      <c r="L244" s="283"/>
      <c r="M244" s="283"/>
      <c r="N244" s="283"/>
      <c r="O244" s="283"/>
      <c r="P244" s="283"/>
      <c r="Q244" s="340"/>
      <c r="R244" s="283"/>
      <c r="S244" s="283"/>
      <c r="T244" s="340"/>
      <c r="U244" s="340"/>
      <c r="V244" s="283"/>
      <c r="W244" s="283"/>
      <c r="X244" s="283"/>
      <c r="Y244" s="283"/>
      <c r="Z244" s="283"/>
    </row>
    <row r="245" ht="15.75" customHeight="1">
      <c r="A245" s="340"/>
      <c r="B245" s="340"/>
      <c r="C245" s="283"/>
      <c r="D245" s="283"/>
      <c r="E245" s="283"/>
      <c r="F245" s="283"/>
      <c r="G245" s="283"/>
      <c r="H245" s="283"/>
      <c r="I245" s="283"/>
      <c r="J245" s="283"/>
      <c r="K245" s="340"/>
      <c r="L245" s="283"/>
      <c r="M245" s="283"/>
      <c r="N245" s="283"/>
      <c r="O245" s="283"/>
      <c r="P245" s="283"/>
      <c r="Q245" s="340"/>
      <c r="R245" s="283"/>
      <c r="S245" s="283"/>
      <c r="T245" s="340"/>
      <c r="U245" s="340"/>
      <c r="V245" s="283"/>
      <c r="W245" s="283"/>
      <c r="X245" s="283"/>
      <c r="Y245" s="283"/>
      <c r="Z245" s="283"/>
    </row>
    <row r="246" ht="15.75" customHeight="1">
      <c r="A246" s="340"/>
      <c r="B246" s="340"/>
      <c r="C246" s="283"/>
      <c r="D246" s="283"/>
      <c r="E246" s="283"/>
      <c r="F246" s="283"/>
      <c r="G246" s="283"/>
      <c r="H246" s="283"/>
      <c r="I246" s="283"/>
      <c r="J246" s="283"/>
      <c r="K246" s="340"/>
      <c r="L246" s="283"/>
      <c r="M246" s="283"/>
      <c r="N246" s="283"/>
      <c r="O246" s="283"/>
      <c r="P246" s="283"/>
      <c r="Q246" s="340"/>
      <c r="R246" s="283"/>
      <c r="S246" s="283"/>
      <c r="T246" s="340"/>
      <c r="U246" s="340"/>
      <c r="V246" s="283"/>
      <c r="W246" s="283"/>
      <c r="X246" s="283"/>
      <c r="Y246" s="283"/>
      <c r="Z246" s="283"/>
    </row>
    <row r="247" ht="15.75" customHeight="1">
      <c r="A247" s="340"/>
      <c r="B247" s="340"/>
      <c r="C247" s="283"/>
      <c r="D247" s="283"/>
      <c r="E247" s="283"/>
      <c r="F247" s="283"/>
      <c r="G247" s="283"/>
      <c r="H247" s="283"/>
      <c r="I247" s="283"/>
      <c r="J247" s="283"/>
      <c r="K247" s="340"/>
      <c r="L247" s="283"/>
      <c r="M247" s="283"/>
      <c r="N247" s="283"/>
      <c r="O247" s="283"/>
      <c r="P247" s="283"/>
      <c r="Q247" s="340"/>
      <c r="R247" s="283"/>
      <c r="S247" s="283"/>
      <c r="T247" s="340"/>
      <c r="U247" s="340"/>
      <c r="V247" s="283"/>
      <c r="W247" s="283"/>
      <c r="X247" s="283"/>
      <c r="Y247" s="283"/>
      <c r="Z247" s="283"/>
    </row>
    <row r="248" ht="15.75" customHeight="1">
      <c r="A248" s="340"/>
      <c r="B248" s="340"/>
      <c r="C248" s="283"/>
      <c r="D248" s="283"/>
      <c r="E248" s="283"/>
      <c r="F248" s="283"/>
      <c r="G248" s="283"/>
      <c r="H248" s="283"/>
      <c r="I248" s="283"/>
      <c r="J248" s="283"/>
      <c r="K248" s="340"/>
      <c r="L248" s="283"/>
      <c r="M248" s="283"/>
      <c r="N248" s="283"/>
      <c r="O248" s="283"/>
      <c r="P248" s="283"/>
      <c r="Q248" s="340"/>
      <c r="R248" s="283"/>
      <c r="S248" s="283"/>
      <c r="T248" s="340"/>
      <c r="U248" s="340"/>
      <c r="V248" s="283"/>
      <c r="W248" s="283"/>
      <c r="X248" s="283"/>
      <c r="Y248" s="283"/>
      <c r="Z248" s="283"/>
    </row>
    <row r="249" ht="15.75" customHeight="1">
      <c r="A249" s="340"/>
      <c r="B249" s="340"/>
      <c r="C249" s="283"/>
      <c r="D249" s="283"/>
      <c r="E249" s="283"/>
      <c r="F249" s="283"/>
      <c r="G249" s="283"/>
      <c r="H249" s="283"/>
      <c r="I249" s="283"/>
      <c r="J249" s="283"/>
      <c r="K249" s="340"/>
      <c r="L249" s="283"/>
      <c r="M249" s="283"/>
      <c r="N249" s="283"/>
      <c r="O249" s="283"/>
      <c r="P249" s="283"/>
      <c r="Q249" s="340"/>
      <c r="R249" s="283"/>
      <c r="S249" s="283"/>
      <c r="T249" s="340"/>
      <c r="U249" s="340"/>
      <c r="V249" s="283"/>
      <c r="W249" s="283"/>
      <c r="X249" s="283"/>
      <c r="Y249" s="283"/>
      <c r="Z249" s="283"/>
    </row>
    <row r="250" ht="15.75" customHeight="1">
      <c r="A250" s="340"/>
      <c r="B250" s="340"/>
      <c r="C250" s="283"/>
      <c r="D250" s="283"/>
      <c r="E250" s="283"/>
      <c r="F250" s="283"/>
      <c r="G250" s="283"/>
      <c r="H250" s="283"/>
      <c r="I250" s="283"/>
      <c r="J250" s="283"/>
      <c r="K250" s="340"/>
      <c r="L250" s="283"/>
      <c r="M250" s="283"/>
      <c r="N250" s="283"/>
      <c r="O250" s="283"/>
      <c r="P250" s="283"/>
      <c r="Q250" s="340"/>
      <c r="R250" s="283"/>
      <c r="S250" s="283"/>
      <c r="T250" s="340"/>
      <c r="U250" s="340"/>
      <c r="V250" s="283"/>
      <c r="W250" s="283"/>
      <c r="X250" s="283"/>
      <c r="Y250" s="283"/>
      <c r="Z250" s="283"/>
    </row>
    <row r="251" ht="15.75" customHeight="1">
      <c r="A251" s="340"/>
      <c r="B251" s="340"/>
      <c r="C251" s="283"/>
      <c r="D251" s="283"/>
      <c r="E251" s="283"/>
      <c r="F251" s="283"/>
      <c r="G251" s="283"/>
      <c r="H251" s="283"/>
      <c r="I251" s="283"/>
      <c r="J251" s="283"/>
      <c r="K251" s="340"/>
      <c r="L251" s="283"/>
      <c r="M251" s="283"/>
      <c r="N251" s="283"/>
      <c r="O251" s="283"/>
      <c r="P251" s="283"/>
      <c r="Q251" s="340"/>
      <c r="R251" s="283"/>
      <c r="S251" s="283"/>
      <c r="T251" s="340"/>
      <c r="U251" s="340"/>
      <c r="V251" s="283"/>
      <c r="W251" s="283"/>
      <c r="X251" s="283"/>
      <c r="Y251" s="283"/>
      <c r="Z251" s="283"/>
    </row>
    <row r="252" ht="15.75" customHeight="1">
      <c r="A252" s="340"/>
      <c r="B252" s="340"/>
      <c r="C252" s="283"/>
      <c r="D252" s="283"/>
      <c r="E252" s="283"/>
      <c r="F252" s="283"/>
      <c r="G252" s="283"/>
      <c r="H252" s="283"/>
      <c r="I252" s="283"/>
      <c r="J252" s="283"/>
      <c r="K252" s="340"/>
      <c r="L252" s="283"/>
      <c r="M252" s="283"/>
      <c r="N252" s="283"/>
      <c r="O252" s="283"/>
      <c r="P252" s="283"/>
      <c r="Q252" s="340"/>
      <c r="R252" s="283"/>
      <c r="S252" s="283"/>
      <c r="T252" s="340"/>
      <c r="U252" s="340"/>
      <c r="V252" s="283"/>
      <c r="W252" s="283"/>
      <c r="X252" s="283"/>
      <c r="Y252" s="283"/>
      <c r="Z252" s="283"/>
    </row>
    <row r="253" ht="15.75" customHeight="1">
      <c r="A253" s="340"/>
      <c r="B253" s="340"/>
      <c r="C253" s="283"/>
      <c r="D253" s="283"/>
      <c r="E253" s="283"/>
      <c r="F253" s="283"/>
      <c r="G253" s="283"/>
      <c r="H253" s="283"/>
      <c r="I253" s="283"/>
      <c r="J253" s="283"/>
      <c r="K253" s="340"/>
      <c r="L253" s="283"/>
      <c r="M253" s="283"/>
      <c r="N253" s="283"/>
      <c r="O253" s="283"/>
      <c r="P253" s="283"/>
      <c r="Q253" s="340"/>
      <c r="R253" s="283"/>
      <c r="S253" s="283"/>
      <c r="T253" s="340"/>
      <c r="U253" s="340"/>
      <c r="V253" s="283"/>
      <c r="W253" s="283"/>
      <c r="X253" s="283"/>
      <c r="Y253" s="283"/>
      <c r="Z253" s="283"/>
    </row>
    <row r="254" ht="15.75" customHeight="1">
      <c r="A254" s="340"/>
      <c r="B254" s="340"/>
      <c r="C254" s="283"/>
      <c r="D254" s="283"/>
      <c r="E254" s="283"/>
      <c r="F254" s="283"/>
      <c r="G254" s="283"/>
      <c r="H254" s="283"/>
      <c r="I254" s="283"/>
      <c r="J254" s="283"/>
      <c r="K254" s="340"/>
      <c r="L254" s="283"/>
      <c r="M254" s="283"/>
      <c r="N254" s="283"/>
      <c r="O254" s="283"/>
      <c r="P254" s="283"/>
      <c r="Q254" s="340"/>
      <c r="R254" s="283"/>
      <c r="S254" s="283"/>
      <c r="T254" s="340"/>
      <c r="U254" s="340"/>
      <c r="V254" s="283"/>
      <c r="W254" s="283"/>
      <c r="X254" s="283"/>
      <c r="Y254" s="283"/>
      <c r="Z254" s="283"/>
    </row>
    <row r="255" ht="15.75" customHeight="1">
      <c r="A255" s="340"/>
      <c r="B255" s="340"/>
      <c r="C255" s="283"/>
      <c r="D255" s="283"/>
      <c r="E255" s="283"/>
      <c r="F255" s="283"/>
      <c r="G255" s="283"/>
      <c r="H255" s="283"/>
      <c r="I255" s="283"/>
      <c r="J255" s="283"/>
      <c r="K255" s="340"/>
      <c r="L255" s="283"/>
      <c r="M255" s="283"/>
      <c r="N255" s="283"/>
      <c r="O255" s="283"/>
      <c r="P255" s="283"/>
      <c r="Q255" s="340"/>
      <c r="R255" s="283"/>
      <c r="S255" s="283"/>
      <c r="T255" s="340"/>
      <c r="U255" s="340"/>
      <c r="V255" s="283"/>
      <c r="W255" s="283"/>
      <c r="X255" s="283"/>
      <c r="Y255" s="283"/>
      <c r="Z255" s="283"/>
    </row>
    <row r="256" ht="15.75" customHeight="1">
      <c r="A256" s="340"/>
      <c r="B256" s="340"/>
      <c r="C256" s="283"/>
      <c r="D256" s="283"/>
      <c r="E256" s="283"/>
      <c r="F256" s="283"/>
      <c r="G256" s="283"/>
      <c r="H256" s="283"/>
      <c r="I256" s="283"/>
      <c r="J256" s="283"/>
      <c r="K256" s="340"/>
      <c r="L256" s="283"/>
      <c r="M256" s="283"/>
      <c r="N256" s="283"/>
      <c r="O256" s="283"/>
      <c r="P256" s="283"/>
      <c r="Q256" s="340"/>
      <c r="R256" s="283"/>
      <c r="S256" s="283"/>
      <c r="T256" s="340"/>
      <c r="U256" s="340"/>
      <c r="V256" s="283"/>
      <c r="W256" s="283"/>
      <c r="X256" s="283"/>
      <c r="Y256" s="283"/>
      <c r="Z256" s="283"/>
    </row>
    <row r="257" ht="15.75" customHeight="1">
      <c r="A257" s="340"/>
      <c r="B257" s="340"/>
      <c r="C257" s="283"/>
      <c r="D257" s="283"/>
      <c r="E257" s="283"/>
      <c r="F257" s="283"/>
      <c r="G257" s="283"/>
      <c r="H257" s="283"/>
      <c r="I257" s="283"/>
      <c r="J257" s="283"/>
      <c r="K257" s="340"/>
      <c r="L257" s="283"/>
      <c r="M257" s="283"/>
      <c r="N257" s="283"/>
      <c r="O257" s="283"/>
      <c r="P257" s="283"/>
      <c r="Q257" s="340"/>
      <c r="R257" s="283"/>
      <c r="S257" s="283"/>
      <c r="T257" s="340"/>
      <c r="U257" s="340"/>
      <c r="V257" s="283"/>
      <c r="W257" s="283"/>
      <c r="X257" s="283"/>
      <c r="Y257" s="283"/>
      <c r="Z257" s="283"/>
    </row>
    <row r="258" ht="15.75" customHeight="1">
      <c r="A258" s="340"/>
      <c r="B258" s="340"/>
      <c r="C258" s="283"/>
      <c r="D258" s="283"/>
      <c r="E258" s="283"/>
      <c r="F258" s="283"/>
      <c r="G258" s="283"/>
      <c r="H258" s="283"/>
      <c r="I258" s="283"/>
      <c r="J258" s="283"/>
      <c r="K258" s="340"/>
      <c r="L258" s="283"/>
      <c r="M258" s="283"/>
      <c r="N258" s="283"/>
      <c r="O258" s="283"/>
      <c r="P258" s="283"/>
      <c r="Q258" s="340"/>
      <c r="R258" s="283"/>
      <c r="S258" s="283"/>
      <c r="T258" s="340"/>
      <c r="U258" s="340"/>
      <c r="V258" s="283"/>
      <c r="W258" s="283"/>
      <c r="X258" s="283"/>
      <c r="Y258" s="283"/>
      <c r="Z258" s="283"/>
    </row>
    <row r="259" ht="15.75" customHeight="1">
      <c r="A259" s="340"/>
      <c r="B259" s="340"/>
      <c r="C259" s="283"/>
      <c r="D259" s="283"/>
      <c r="E259" s="283"/>
      <c r="F259" s="283"/>
      <c r="G259" s="283"/>
      <c r="H259" s="283"/>
      <c r="I259" s="283"/>
      <c r="J259" s="283"/>
      <c r="K259" s="340"/>
      <c r="L259" s="283"/>
      <c r="M259" s="283"/>
      <c r="N259" s="283"/>
      <c r="O259" s="283"/>
      <c r="P259" s="283"/>
      <c r="Q259" s="340"/>
      <c r="R259" s="283"/>
      <c r="S259" s="283"/>
      <c r="T259" s="340"/>
      <c r="U259" s="340"/>
      <c r="V259" s="283"/>
      <c r="W259" s="283"/>
      <c r="X259" s="283"/>
      <c r="Y259" s="283"/>
      <c r="Z259" s="283"/>
    </row>
    <row r="260" ht="15.75" customHeight="1">
      <c r="A260" s="340"/>
      <c r="B260" s="340"/>
      <c r="C260" s="283"/>
      <c r="D260" s="283"/>
      <c r="E260" s="283"/>
      <c r="F260" s="283"/>
      <c r="G260" s="283"/>
      <c r="H260" s="283"/>
      <c r="I260" s="283"/>
      <c r="J260" s="283"/>
      <c r="K260" s="340"/>
      <c r="L260" s="283"/>
      <c r="M260" s="283"/>
      <c r="N260" s="283"/>
      <c r="O260" s="283"/>
      <c r="P260" s="283"/>
      <c r="Q260" s="340"/>
      <c r="R260" s="283"/>
      <c r="S260" s="283"/>
      <c r="T260" s="340"/>
      <c r="U260" s="340"/>
      <c r="V260" s="283"/>
      <c r="W260" s="283"/>
      <c r="X260" s="283"/>
      <c r="Y260" s="283"/>
      <c r="Z260" s="283"/>
    </row>
    <row r="261" ht="15.75" customHeight="1">
      <c r="A261" s="340"/>
      <c r="B261" s="340"/>
      <c r="C261" s="283"/>
      <c r="D261" s="283"/>
      <c r="E261" s="283"/>
      <c r="F261" s="283"/>
      <c r="G261" s="283"/>
      <c r="H261" s="283"/>
      <c r="I261" s="283"/>
      <c r="J261" s="283"/>
      <c r="K261" s="340"/>
      <c r="L261" s="283"/>
      <c r="M261" s="283"/>
      <c r="N261" s="283"/>
      <c r="O261" s="283"/>
      <c r="P261" s="283"/>
      <c r="Q261" s="340"/>
      <c r="R261" s="283"/>
      <c r="S261" s="283"/>
      <c r="T261" s="340"/>
      <c r="U261" s="340"/>
      <c r="V261" s="283"/>
      <c r="W261" s="283"/>
      <c r="X261" s="283"/>
      <c r="Y261" s="283"/>
      <c r="Z261" s="283"/>
    </row>
    <row r="262" ht="15.75" customHeight="1">
      <c r="A262" s="340"/>
      <c r="B262" s="340"/>
      <c r="C262" s="283"/>
      <c r="D262" s="283"/>
      <c r="E262" s="283"/>
      <c r="F262" s="283"/>
      <c r="G262" s="283"/>
      <c r="H262" s="283"/>
      <c r="I262" s="283"/>
      <c r="J262" s="283"/>
      <c r="K262" s="340"/>
      <c r="L262" s="283"/>
      <c r="M262" s="283"/>
      <c r="N262" s="283"/>
      <c r="O262" s="283"/>
      <c r="P262" s="283"/>
      <c r="Q262" s="340"/>
      <c r="R262" s="283"/>
      <c r="S262" s="283"/>
      <c r="T262" s="340"/>
      <c r="U262" s="340"/>
      <c r="V262" s="283"/>
      <c r="W262" s="283"/>
      <c r="X262" s="283"/>
      <c r="Y262" s="283"/>
      <c r="Z262" s="283"/>
    </row>
    <row r="263" ht="15.75" customHeight="1">
      <c r="A263" s="340"/>
      <c r="B263" s="340"/>
      <c r="C263" s="283"/>
      <c r="D263" s="283"/>
      <c r="E263" s="283"/>
      <c r="F263" s="283"/>
      <c r="G263" s="283"/>
      <c r="H263" s="283"/>
      <c r="I263" s="283"/>
      <c r="J263" s="283"/>
      <c r="K263" s="340"/>
      <c r="L263" s="283"/>
      <c r="M263" s="283"/>
      <c r="N263" s="283"/>
      <c r="O263" s="283"/>
      <c r="P263" s="283"/>
      <c r="Q263" s="340"/>
      <c r="R263" s="283"/>
      <c r="S263" s="283"/>
      <c r="T263" s="340"/>
      <c r="U263" s="340"/>
      <c r="V263" s="283"/>
      <c r="W263" s="283"/>
      <c r="X263" s="283"/>
      <c r="Y263" s="283"/>
      <c r="Z263" s="283"/>
    </row>
    <row r="264" ht="15.75" customHeight="1">
      <c r="A264" s="340"/>
      <c r="B264" s="340"/>
      <c r="C264" s="283"/>
      <c r="D264" s="283"/>
      <c r="E264" s="283"/>
      <c r="F264" s="283"/>
      <c r="G264" s="283"/>
      <c r="H264" s="283"/>
      <c r="I264" s="283"/>
      <c r="J264" s="283"/>
      <c r="K264" s="340"/>
      <c r="L264" s="283"/>
      <c r="M264" s="283"/>
      <c r="N264" s="283"/>
      <c r="O264" s="283"/>
      <c r="P264" s="283"/>
      <c r="Q264" s="340"/>
      <c r="R264" s="283"/>
      <c r="S264" s="283"/>
      <c r="T264" s="340"/>
      <c r="U264" s="340"/>
      <c r="V264" s="283"/>
      <c r="W264" s="283"/>
      <c r="X264" s="283"/>
      <c r="Y264" s="283"/>
      <c r="Z264" s="283"/>
    </row>
    <row r="265" ht="15.75" customHeight="1">
      <c r="A265" s="340"/>
      <c r="B265" s="340"/>
      <c r="C265" s="283"/>
      <c r="D265" s="283"/>
      <c r="E265" s="283"/>
      <c r="F265" s="283"/>
      <c r="G265" s="283"/>
      <c r="H265" s="283"/>
      <c r="I265" s="283"/>
      <c r="J265" s="283"/>
      <c r="K265" s="340"/>
      <c r="L265" s="283"/>
      <c r="M265" s="283"/>
      <c r="N265" s="283"/>
      <c r="O265" s="283"/>
      <c r="P265" s="283"/>
      <c r="Q265" s="340"/>
      <c r="R265" s="283"/>
      <c r="S265" s="283"/>
      <c r="T265" s="340"/>
      <c r="U265" s="340"/>
      <c r="V265" s="283"/>
      <c r="W265" s="283"/>
      <c r="X265" s="283"/>
      <c r="Y265" s="283"/>
      <c r="Z265" s="283"/>
    </row>
    <row r="266" ht="15.75" customHeight="1">
      <c r="A266" s="340"/>
      <c r="B266" s="340"/>
      <c r="C266" s="283"/>
      <c r="D266" s="283"/>
      <c r="E266" s="283"/>
      <c r="F266" s="283"/>
      <c r="G266" s="283"/>
      <c r="H266" s="283"/>
      <c r="I266" s="283"/>
      <c r="J266" s="283"/>
      <c r="K266" s="340"/>
      <c r="L266" s="283"/>
      <c r="M266" s="283"/>
      <c r="N266" s="283"/>
      <c r="O266" s="283"/>
      <c r="P266" s="283"/>
      <c r="Q266" s="340"/>
      <c r="R266" s="283"/>
      <c r="S266" s="283"/>
      <c r="T266" s="340"/>
      <c r="U266" s="340"/>
      <c r="V266" s="283"/>
      <c r="W266" s="283"/>
      <c r="X266" s="283"/>
      <c r="Y266" s="283"/>
      <c r="Z266" s="283"/>
    </row>
    <row r="267" ht="15.75" customHeight="1">
      <c r="A267" s="340"/>
      <c r="B267" s="340"/>
      <c r="C267" s="283"/>
      <c r="D267" s="283"/>
      <c r="E267" s="283"/>
      <c r="F267" s="283"/>
      <c r="G267" s="283"/>
      <c r="H267" s="283"/>
      <c r="I267" s="283"/>
      <c r="J267" s="283"/>
      <c r="K267" s="340"/>
      <c r="L267" s="283"/>
      <c r="M267" s="283"/>
      <c r="N267" s="283"/>
      <c r="O267" s="283"/>
      <c r="P267" s="283"/>
      <c r="Q267" s="340"/>
      <c r="R267" s="283"/>
      <c r="S267" s="283"/>
      <c r="T267" s="340"/>
      <c r="U267" s="340"/>
      <c r="V267" s="283"/>
      <c r="W267" s="283"/>
      <c r="X267" s="283"/>
      <c r="Y267" s="283"/>
      <c r="Z267" s="283"/>
    </row>
    <row r="268" ht="15.75" customHeight="1">
      <c r="A268" s="340"/>
      <c r="B268" s="340"/>
      <c r="C268" s="283"/>
      <c r="D268" s="283"/>
      <c r="E268" s="283"/>
      <c r="F268" s="283"/>
      <c r="G268" s="283"/>
      <c r="H268" s="283"/>
      <c r="I268" s="283"/>
      <c r="J268" s="283"/>
      <c r="K268" s="340"/>
      <c r="L268" s="283"/>
      <c r="M268" s="283"/>
      <c r="N268" s="283"/>
      <c r="O268" s="283"/>
      <c r="P268" s="283"/>
      <c r="Q268" s="340"/>
      <c r="R268" s="283"/>
      <c r="S268" s="283"/>
      <c r="T268" s="340"/>
      <c r="U268" s="340"/>
      <c r="V268" s="283"/>
      <c r="W268" s="283"/>
      <c r="X268" s="283"/>
      <c r="Y268" s="283"/>
      <c r="Z268" s="283"/>
    </row>
    <row r="269" ht="15.75" customHeight="1">
      <c r="A269" s="340"/>
      <c r="B269" s="340"/>
      <c r="C269" s="283"/>
      <c r="D269" s="283"/>
      <c r="E269" s="283"/>
      <c r="F269" s="283"/>
      <c r="G269" s="283"/>
      <c r="H269" s="283"/>
      <c r="I269" s="283"/>
      <c r="J269" s="283"/>
      <c r="K269" s="340"/>
      <c r="L269" s="283"/>
      <c r="M269" s="283"/>
      <c r="N269" s="283"/>
      <c r="O269" s="283"/>
      <c r="P269" s="283"/>
      <c r="Q269" s="340"/>
      <c r="R269" s="283"/>
      <c r="S269" s="283"/>
      <c r="T269" s="340"/>
      <c r="U269" s="340"/>
      <c r="V269" s="283"/>
      <c r="W269" s="283"/>
      <c r="X269" s="283"/>
      <c r="Y269" s="283"/>
      <c r="Z269" s="283"/>
    </row>
    <row r="270" ht="15.75" customHeight="1">
      <c r="A270" s="340"/>
      <c r="B270" s="340"/>
      <c r="C270" s="283"/>
      <c r="D270" s="283"/>
      <c r="E270" s="283"/>
      <c r="F270" s="283"/>
      <c r="G270" s="283"/>
      <c r="H270" s="283"/>
      <c r="I270" s="283"/>
      <c r="J270" s="283"/>
      <c r="K270" s="340"/>
      <c r="L270" s="283"/>
      <c r="M270" s="283"/>
      <c r="N270" s="283"/>
      <c r="O270" s="283"/>
      <c r="P270" s="283"/>
      <c r="Q270" s="340"/>
      <c r="R270" s="283"/>
      <c r="S270" s="283"/>
      <c r="T270" s="340"/>
      <c r="U270" s="340"/>
      <c r="V270" s="283"/>
      <c r="W270" s="283"/>
      <c r="X270" s="283"/>
      <c r="Y270" s="283"/>
      <c r="Z270" s="283"/>
    </row>
    <row r="271" ht="15.75" customHeight="1">
      <c r="A271" s="340"/>
      <c r="B271" s="340"/>
      <c r="C271" s="283"/>
      <c r="D271" s="283"/>
      <c r="E271" s="283"/>
      <c r="F271" s="283"/>
      <c r="G271" s="283"/>
      <c r="H271" s="283"/>
      <c r="I271" s="283"/>
      <c r="J271" s="283"/>
      <c r="K271" s="340"/>
      <c r="L271" s="283"/>
      <c r="M271" s="283"/>
      <c r="N271" s="283"/>
      <c r="O271" s="283"/>
      <c r="P271" s="283"/>
      <c r="Q271" s="340"/>
      <c r="R271" s="283"/>
      <c r="S271" s="283"/>
      <c r="T271" s="340"/>
      <c r="U271" s="340"/>
      <c r="V271" s="283"/>
      <c r="W271" s="283"/>
      <c r="X271" s="283"/>
      <c r="Y271" s="283"/>
      <c r="Z271" s="283"/>
    </row>
    <row r="272" ht="15.75" customHeight="1">
      <c r="A272" s="340"/>
      <c r="B272" s="340"/>
      <c r="C272" s="283"/>
      <c r="D272" s="283"/>
      <c r="E272" s="283"/>
      <c r="F272" s="283"/>
      <c r="G272" s="283"/>
      <c r="H272" s="283"/>
      <c r="I272" s="283"/>
      <c r="J272" s="283"/>
      <c r="K272" s="340"/>
      <c r="L272" s="283"/>
      <c r="M272" s="283"/>
      <c r="N272" s="283"/>
      <c r="O272" s="283"/>
      <c r="P272" s="283"/>
      <c r="Q272" s="340"/>
      <c r="R272" s="283"/>
      <c r="S272" s="283"/>
      <c r="T272" s="340"/>
      <c r="U272" s="340"/>
      <c r="V272" s="283"/>
      <c r="W272" s="283"/>
      <c r="X272" s="283"/>
      <c r="Y272" s="283"/>
      <c r="Z272" s="283"/>
    </row>
    <row r="273" ht="15.75" customHeight="1">
      <c r="A273" s="340"/>
      <c r="B273" s="340"/>
      <c r="C273" s="283"/>
      <c r="D273" s="283"/>
      <c r="E273" s="283"/>
      <c r="F273" s="283"/>
      <c r="G273" s="283"/>
      <c r="H273" s="283"/>
      <c r="I273" s="283"/>
      <c r="J273" s="283"/>
      <c r="K273" s="340"/>
      <c r="L273" s="283"/>
      <c r="M273" s="283"/>
      <c r="N273" s="283"/>
      <c r="O273" s="283"/>
      <c r="P273" s="283"/>
      <c r="Q273" s="340"/>
      <c r="R273" s="283"/>
      <c r="S273" s="283"/>
      <c r="T273" s="340"/>
      <c r="U273" s="340"/>
      <c r="V273" s="283"/>
      <c r="W273" s="283"/>
      <c r="X273" s="283"/>
      <c r="Y273" s="283"/>
      <c r="Z273" s="283"/>
    </row>
    <row r="274" ht="15.75" customHeight="1">
      <c r="A274" s="340"/>
      <c r="B274" s="340"/>
      <c r="C274" s="283"/>
      <c r="D274" s="283"/>
      <c r="E274" s="283"/>
      <c r="F274" s="283"/>
      <c r="G274" s="283"/>
      <c r="H274" s="283"/>
      <c r="I274" s="283"/>
      <c r="J274" s="283"/>
      <c r="K274" s="340"/>
      <c r="L274" s="283"/>
      <c r="M274" s="283"/>
      <c r="N274" s="283"/>
      <c r="O274" s="283"/>
      <c r="P274" s="283"/>
      <c r="Q274" s="340"/>
      <c r="R274" s="283"/>
      <c r="S274" s="283"/>
      <c r="T274" s="340"/>
      <c r="U274" s="340"/>
      <c r="V274" s="283"/>
      <c r="W274" s="283"/>
      <c r="X274" s="283"/>
      <c r="Y274" s="283"/>
      <c r="Z274" s="283"/>
    </row>
    <row r="275" ht="15.75" customHeight="1">
      <c r="A275" s="340"/>
      <c r="B275" s="340"/>
      <c r="C275" s="283"/>
      <c r="D275" s="283"/>
      <c r="E275" s="283"/>
      <c r="F275" s="283"/>
      <c r="G275" s="283"/>
      <c r="H275" s="283"/>
      <c r="I275" s="283"/>
      <c r="J275" s="283"/>
      <c r="K275" s="340"/>
      <c r="L275" s="283"/>
      <c r="M275" s="283"/>
      <c r="N275" s="283"/>
      <c r="O275" s="283"/>
      <c r="P275" s="283"/>
      <c r="Q275" s="340"/>
      <c r="R275" s="283"/>
      <c r="S275" s="283"/>
      <c r="T275" s="340"/>
      <c r="U275" s="340"/>
      <c r="V275" s="283"/>
      <c r="W275" s="283"/>
      <c r="X275" s="283"/>
      <c r="Y275" s="283"/>
      <c r="Z275" s="283"/>
    </row>
    <row r="276" ht="15.75" customHeight="1">
      <c r="A276" s="340"/>
      <c r="B276" s="340"/>
      <c r="C276" s="283"/>
      <c r="D276" s="283"/>
      <c r="E276" s="283"/>
      <c r="F276" s="283"/>
      <c r="G276" s="283"/>
      <c r="H276" s="283"/>
      <c r="I276" s="283"/>
      <c r="J276" s="283"/>
      <c r="K276" s="340"/>
      <c r="L276" s="283"/>
      <c r="M276" s="283"/>
      <c r="N276" s="283"/>
      <c r="O276" s="283"/>
      <c r="P276" s="283"/>
      <c r="Q276" s="340"/>
      <c r="R276" s="283"/>
      <c r="S276" s="283"/>
      <c r="T276" s="340"/>
      <c r="U276" s="340"/>
      <c r="V276" s="283"/>
      <c r="W276" s="283"/>
      <c r="X276" s="283"/>
      <c r="Y276" s="283"/>
      <c r="Z276" s="283"/>
    </row>
    <row r="277" ht="15.75" customHeight="1">
      <c r="A277" s="340"/>
      <c r="B277" s="340"/>
      <c r="C277" s="283"/>
      <c r="D277" s="283"/>
      <c r="E277" s="283"/>
      <c r="F277" s="283"/>
      <c r="G277" s="283"/>
      <c r="H277" s="283"/>
      <c r="I277" s="283"/>
      <c r="J277" s="283"/>
      <c r="K277" s="340"/>
      <c r="L277" s="283"/>
      <c r="M277" s="283"/>
      <c r="N277" s="283"/>
      <c r="O277" s="283"/>
      <c r="P277" s="283"/>
      <c r="Q277" s="340"/>
      <c r="R277" s="283"/>
      <c r="S277" s="283"/>
      <c r="T277" s="340"/>
      <c r="U277" s="340"/>
      <c r="V277" s="283"/>
      <c r="W277" s="283"/>
      <c r="X277" s="283"/>
      <c r="Y277" s="283"/>
      <c r="Z277" s="283"/>
    </row>
    <row r="278" ht="15.75" customHeight="1">
      <c r="A278" s="340"/>
      <c r="B278" s="340"/>
      <c r="C278" s="283"/>
      <c r="D278" s="283"/>
      <c r="E278" s="283"/>
      <c r="F278" s="283"/>
      <c r="G278" s="283"/>
      <c r="H278" s="283"/>
      <c r="I278" s="283"/>
      <c r="J278" s="283"/>
      <c r="K278" s="340"/>
      <c r="L278" s="283"/>
      <c r="M278" s="283"/>
      <c r="N278" s="283"/>
      <c r="O278" s="283"/>
      <c r="P278" s="283"/>
      <c r="Q278" s="340"/>
      <c r="R278" s="283"/>
      <c r="S278" s="283"/>
      <c r="T278" s="340"/>
      <c r="U278" s="340"/>
      <c r="V278" s="283"/>
      <c r="W278" s="283"/>
      <c r="X278" s="283"/>
      <c r="Y278" s="283"/>
      <c r="Z278" s="283"/>
    </row>
    <row r="279" ht="15.75" customHeight="1">
      <c r="A279" s="340"/>
      <c r="B279" s="340"/>
      <c r="C279" s="283"/>
      <c r="D279" s="283"/>
      <c r="E279" s="283"/>
      <c r="F279" s="283"/>
      <c r="G279" s="283"/>
      <c r="H279" s="283"/>
      <c r="I279" s="283"/>
      <c r="J279" s="283"/>
      <c r="K279" s="340"/>
      <c r="L279" s="283"/>
      <c r="M279" s="283"/>
      <c r="N279" s="283"/>
      <c r="O279" s="283"/>
      <c r="P279" s="283"/>
      <c r="Q279" s="340"/>
      <c r="R279" s="283"/>
      <c r="S279" s="283"/>
      <c r="T279" s="340"/>
      <c r="U279" s="340"/>
      <c r="V279" s="283"/>
      <c r="W279" s="283"/>
      <c r="X279" s="283"/>
      <c r="Y279" s="283"/>
      <c r="Z279" s="283"/>
    </row>
    <row r="280" ht="15.75" customHeight="1">
      <c r="A280" s="340"/>
      <c r="B280" s="340"/>
      <c r="C280" s="283"/>
      <c r="D280" s="283"/>
      <c r="E280" s="283"/>
      <c r="F280" s="283"/>
      <c r="G280" s="283"/>
      <c r="H280" s="283"/>
      <c r="I280" s="283"/>
      <c r="J280" s="283"/>
      <c r="K280" s="340"/>
      <c r="L280" s="283"/>
      <c r="M280" s="283"/>
      <c r="N280" s="283"/>
      <c r="O280" s="283"/>
      <c r="P280" s="283"/>
      <c r="Q280" s="340"/>
      <c r="R280" s="283"/>
      <c r="S280" s="283"/>
      <c r="T280" s="340"/>
      <c r="U280" s="340"/>
      <c r="V280" s="283"/>
      <c r="W280" s="283"/>
      <c r="X280" s="283"/>
      <c r="Y280" s="283"/>
      <c r="Z280" s="283"/>
    </row>
    <row r="281" ht="15.75" customHeight="1">
      <c r="A281" s="340"/>
      <c r="B281" s="340"/>
      <c r="C281" s="283"/>
      <c r="D281" s="283"/>
      <c r="E281" s="283"/>
      <c r="F281" s="283"/>
      <c r="G281" s="283"/>
      <c r="H281" s="283"/>
      <c r="I281" s="283"/>
      <c r="J281" s="283"/>
      <c r="K281" s="340"/>
      <c r="L281" s="283"/>
      <c r="M281" s="283"/>
      <c r="N281" s="283"/>
      <c r="O281" s="283"/>
      <c r="P281" s="283"/>
      <c r="Q281" s="340"/>
      <c r="R281" s="283"/>
      <c r="S281" s="283"/>
      <c r="T281" s="340"/>
      <c r="U281" s="340"/>
      <c r="V281" s="283"/>
      <c r="W281" s="283"/>
      <c r="X281" s="283"/>
      <c r="Y281" s="283"/>
      <c r="Z281" s="283"/>
    </row>
    <row r="282" ht="15.75" customHeight="1">
      <c r="A282" s="340"/>
      <c r="B282" s="340"/>
      <c r="C282" s="283"/>
      <c r="D282" s="283"/>
      <c r="E282" s="283"/>
      <c r="F282" s="283"/>
      <c r="G282" s="283"/>
      <c r="H282" s="283"/>
      <c r="I282" s="283"/>
      <c r="J282" s="283"/>
      <c r="K282" s="340"/>
      <c r="L282" s="283"/>
      <c r="M282" s="283"/>
      <c r="N282" s="283"/>
      <c r="O282" s="283"/>
      <c r="P282" s="283"/>
      <c r="Q282" s="340"/>
      <c r="R282" s="283"/>
      <c r="S282" s="283"/>
      <c r="T282" s="340"/>
      <c r="U282" s="340"/>
      <c r="V282" s="283"/>
      <c r="W282" s="283"/>
      <c r="X282" s="283"/>
      <c r="Y282" s="283"/>
      <c r="Z282" s="283"/>
    </row>
    <row r="283" ht="15.75" customHeight="1">
      <c r="A283" s="340"/>
      <c r="B283" s="340"/>
      <c r="C283" s="283"/>
      <c r="D283" s="283"/>
      <c r="E283" s="283"/>
      <c r="F283" s="283"/>
      <c r="G283" s="283"/>
      <c r="H283" s="283"/>
      <c r="I283" s="283"/>
      <c r="J283" s="283"/>
      <c r="K283" s="340"/>
      <c r="L283" s="283"/>
      <c r="M283" s="283"/>
      <c r="N283" s="283"/>
      <c r="O283" s="283"/>
      <c r="P283" s="283"/>
      <c r="Q283" s="340"/>
      <c r="R283" s="283"/>
      <c r="S283" s="283"/>
      <c r="T283" s="340"/>
      <c r="U283" s="340"/>
      <c r="V283" s="283"/>
      <c r="W283" s="283"/>
      <c r="X283" s="283"/>
      <c r="Y283" s="283"/>
      <c r="Z283" s="283"/>
    </row>
    <row r="284" ht="15.75" customHeight="1">
      <c r="A284" s="340"/>
      <c r="B284" s="340"/>
      <c r="C284" s="283"/>
      <c r="D284" s="283"/>
      <c r="E284" s="283"/>
      <c r="F284" s="283"/>
      <c r="G284" s="283"/>
      <c r="H284" s="283"/>
      <c r="I284" s="283"/>
      <c r="J284" s="283"/>
      <c r="K284" s="340"/>
      <c r="L284" s="283"/>
      <c r="M284" s="283"/>
      <c r="N284" s="283"/>
      <c r="O284" s="283"/>
      <c r="P284" s="283"/>
      <c r="Q284" s="340"/>
      <c r="R284" s="283"/>
      <c r="S284" s="283"/>
      <c r="T284" s="340"/>
      <c r="U284" s="340"/>
      <c r="V284" s="283"/>
      <c r="W284" s="283"/>
      <c r="X284" s="283"/>
      <c r="Y284" s="283"/>
      <c r="Z284" s="283"/>
    </row>
    <row r="285" ht="15.75" customHeight="1">
      <c r="A285" s="340"/>
      <c r="B285" s="340"/>
      <c r="C285" s="283"/>
      <c r="D285" s="283"/>
      <c r="E285" s="283"/>
      <c r="F285" s="283"/>
      <c r="G285" s="283"/>
      <c r="H285" s="283"/>
      <c r="I285" s="283"/>
      <c r="J285" s="283"/>
      <c r="K285" s="340"/>
      <c r="L285" s="283"/>
      <c r="M285" s="283"/>
      <c r="N285" s="283"/>
      <c r="O285" s="283"/>
      <c r="P285" s="283"/>
      <c r="Q285" s="340"/>
      <c r="R285" s="283"/>
      <c r="S285" s="283"/>
      <c r="T285" s="340"/>
      <c r="U285" s="340"/>
      <c r="V285" s="283"/>
      <c r="W285" s="283"/>
      <c r="X285" s="283"/>
      <c r="Y285" s="283"/>
      <c r="Z285" s="283"/>
    </row>
    <row r="286" ht="15.75" customHeight="1">
      <c r="A286" s="340"/>
      <c r="B286" s="340"/>
      <c r="C286" s="283"/>
      <c r="D286" s="283"/>
      <c r="E286" s="283"/>
      <c r="F286" s="283"/>
      <c r="G286" s="283"/>
      <c r="H286" s="283"/>
      <c r="I286" s="283"/>
      <c r="J286" s="283"/>
      <c r="K286" s="340"/>
      <c r="L286" s="283"/>
      <c r="M286" s="283"/>
      <c r="N286" s="283"/>
      <c r="O286" s="283"/>
      <c r="P286" s="283"/>
      <c r="Q286" s="340"/>
      <c r="R286" s="283"/>
      <c r="S286" s="283"/>
      <c r="T286" s="340"/>
      <c r="U286" s="340"/>
      <c r="V286" s="283"/>
      <c r="W286" s="283"/>
      <c r="X286" s="283"/>
      <c r="Y286" s="283"/>
      <c r="Z286" s="283"/>
    </row>
    <row r="287" ht="15.75" customHeight="1">
      <c r="A287" s="340"/>
      <c r="B287" s="340"/>
      <c r="C287" s="283"/>
      <c r="D287" s="283"/>
      <c r="E287" s="283"/>
      <c r="F287" s="283"/>
      <c r="G287" s="283"/>
      <c r="H287" s="283"/>
      <c r="I287" s="283"/>
      <c r="J287" s="283"/>
      <c r="K287" s="340"/>
      <c r="L287" s="283"/>
      <c r="M287" s="283"/>
      <c r="N287" s="283"/>
      <c r="O287" s="283"/>
      <c r="P287" s="283"/>
      <c r="Q287" s="340"/>
      <c r="R287" s="283"/>
      <c r="S287" s="283"/>
      <c r="T287" s="340"/>
      <c r="U287" s="340"/>
      <c r="V287" s="283"/>
      <c r="W287" s="283"/>
      <c r="X287" s="283"/>
      <c r="Y287" s="283"/>
      <c r="Z287" s="283"/>
    </row>
    <row r="288" ht="15.75" customHeight="1">
      <c r="A288" s="340"/>
      <c r="B288" s="340"/>
      <c r="C288" s="283"/>
      <c r="D288" s="283"/>
      <c r="E288" s="283"/>
      <c r="F288" s="283"/>
      <c r="G288" s="283"/>
      <c r="H288" s="283"/>
      <c r="I288" s="283"/>
      <c r="J288" s="283"/>
      <c r="K288" s="340"/>
      <c r="L288" s="283"/>
      <c r="M288" s="283"/>
      <c r="N288" s="283"/>
      <c r="O288" s="283"/>
      <c r="P288" s="283"/>
      <c r="Q288" s="340"/>
      <c r="R288" s="283"/>
      <c r="S288" s="283"/>
      <c r="T288" s="340"/>
      <c r="U288" s="340"/>
      <c r="V288" s="283"/>
      <c r="W288" s="283"/>
      <c r="X288" s="283"/>
      <c r="Y288" s="283"/>
      <c r="Z288" s="283"/>
    </row>
    <row r="289" ht="15.75" customHeight="1">
      <c r="A289" s="340"/>
      <c r="B289" s="340"/>
      <c r="C289" s="283"/>
      <c r="D289" s="283"/>
      <c r="E289" s="283"/>
      <c r="F289" s="283"/>
      <c r="G289" s="283"/>
      <c r="H289" s="283"/>
      <c r="I289" s="283"/>
      <c r="J289" s="283"/>
      <c r="K289" s="340"/>
      <c r="L289" s="283"/>
      <c r="M289" s="283"/>
      <c r="N289" s="283"/>
      <c r="O289" s="283"/>
      <c r="P289" s="283"/>
      <c r="Q289" s="340"/>
      <c r="R289" s="283"/>
      <c r="S289" s="283"/>
      <c r="T289" s="340"/>
      <c r="U289" s="340"/>
      <c r="V289" s="283"/>
      <c r="W289" s="283"/>
      <c r="X289" s="283"/>
      <c r="Y289" s="283"/>
      <c r="Z289" s="283"/>
    </row>
    <row r="290" ht="15.75" customHeight="1">
      <c r="A290" s="340"/>
      <c r="B290" s="340"/>
      <c r="C290" s="283"/>
      <c r="D290" s="283"/>
      <c r="E290" s="283"/>
      <c r="F290" s="283"/>
      <c r="G290" s="283"/>
      <c r="H290" s="283"/>
      <c r="I290" s="283"/>
      <c r="J290" s="283"/>
      <c r="K290" s="340"/>
      <c r="L290" s="283"/>
      <c r="M290" s="283"/>
      <c r="N290" s="283"/>
      <c r="O290" s="283"/>
      <c r="P290" s="283"/>
      <c r="Q290" s="340"/>
      <c r="R290" s="283"/>
      <c r="S290" s="283"/>
      <c r="T290" s="340"/>
      <c r="U290" s="340"/>
      <c r="V290" s="283"/>
      <c r="W290" s="283"/>
      <c r="X290" s="283"/>
      <c r="Y290" s="283"/>
      <c r="Z290" s="283"/>
    </row>
    <row r="291" ht="15.75" customHeight="1">
      <c r="A291" s="340"/>
      <c r="B291" s="340"/>
      <c r="C291" s="283"/>
      <c r="D291" s="283"/>
      <c r="E291" s="283"/>
      <c r="F291" s="283"/>
      <c r="G291" s="283"/>
      <c r="H291" s="283"/>
      <c r="I291" s="283"/>
      <c r="J291" s="283"/>
      <c r="K291" s="340"/>
      <c r="L291" s="283"/>
      <c r="M291" s="283"/>
      <c r="N291" s="283"/>
      <c r="O291" s="283"/>
      <c r="P291" s="283"/>
      <c r="Q291" s="340"/>
      <c r="R291" s="283"/>
      <c r="S291" s="283"/>
      <c r="T291" s="340"/>
      <c r="U291" s="340"/>
      <c r="V291" s="283"/>
      <c r="W291" s="283"/>
      <c r="X291" s="283"/>
      <c r="Y291" s="283"/>
      <c r="Z291" s="283"/>
    </row>
    <row r="292" ht="15.75" customHeight="1">
      <c r="A292" s="340"/>
      <c r="B292" s="340"/>
      <c r="C292" s="283"/>
      <c r="D292" s="283"/>
      <c r="E292" s="283"/>
      <c r="F292" s="283"/>
      <c r="G292" s="283"/>
      <c r="H292" s="283"/>
      <c r="I292" s="283"/>
      <c r="J292" s="283"/>
      <c r="K292" s="340"/>
      <c r="L292" s="283"/>
      <c r="M292" s="283"/>
      <c r="N292" s="283"/>
      <c r="O292" s="283"/>
      <c r="P292" s="283"/>
      <c r="Q292" s="340"/>
      <c r="R292" s="283"/>
      <c r="S292" s="283"/>
      <c r="T292" s="340"/>
      <c r="U292" s="340"/>
      <c r="V292" s="283"/>
      <c r="W292" s="283"/>
      <c r="X292" s="283"/>
      <c r="Y292" s="283"/>
      <c r="Z292" s="283"/>
    </row>
    <row r="293" ht="15.75" customHeight="1">
      <c r="A293" s="340"/>
      <c r="B293" s="340"/>
      <c r="C293" s="283"/>
      <c r="D293" s="283"/>
      <c r="E293" s="283"/>
      <c r="F293" s="283"/>
      <c r="G293" s="283"/>
      <c r="H293" s="283"/>
      <c r="I293" s="283"/>
      <c r="J293" s="283"/>
      <c r="K293" s="340"/>
      <c r="L293" s="283"/>
      <c r="M293" s="283"/>
      <c r="N293" s="283"/>
      <c r="O293" s="283"/>
      <c r="P293" s="283"/>
      <c r="Q293" s="340"/>
      <c r="R293" s="283"/>
      <c r="S293" s="283"/>
      <c r="T293" s="340"/>
      <c r="U293" s="340"/>
      <c r="V293" s="283"/>
      <c r="W293" s="283"/>
      <c r="X293" s="283"/>
      <c r="Y293" s="283"/>
      <c r="Z293" s="283"/>
    </row>
    <row r="294" ht="15.75" customHeight="1">
      <c r="A294" s="340"/>
      <c r="B294" s="340"/>
      <c r="C294" s="283"/>
      <c r="D294" s="283"/>
      <c r="E294" s="283"/>
      <c r="F294" s="283"/>
      <c r="G294" s="283"/>
      <c r="H294" s="283"/>
      <c r="I294" s="283"/>
      <c r="J294" s="283"/>
      <c r="K294" s="340"/>
      <c r="L294" s="283"/>
      <c r="M294" s="283"/>
      <c r="N294" s="283"/>
      <c r="O294" s="283"/>
      <c r="P294" s="283"/>
      <c r="Q294" s="340"/>
      <c r="R294" s="283"/>
      <c r="S294" s="283"/>
      <c r="T294" s="340"/>
      <c r="U294" s="340"/>
      <c r="V294" s="283"/>
      <c r="W294" s="283"/>
      <c r="X294" s="283"/>
      <c r="Y294" s="283"/>
      <c r="Z294" s="283"/>
    </row>
    <row r="295" ht="15.75" customHeight="1">
      <c r="A295" s="340"/>
      <c r="B295" s="340"/>
      <c r="C295" s="283"/>
      <c r="D295" s="283"/>
      <c r="E295" s="283"/>
      <c r="F295" s="283"/>
      <c r="G295" s="283"/>
      <c r="H295" s="283"/>
      <c r="I295" s="283"/>
      <c r="J295" s="283"/>
      <c r="K295" s="340"/>
      <c r="L295" s="283"/>
      <c r="M295" s="283"/>
      <c r="N295" s="283"/>
      <c r="O295" s="283"/>
      <c r="P295" s="283"/>
      <c r="Q295" s="340"/>
      <c r="R295" s="283"/>
      <c r="S295" s="283"/>
      <c r="T295" s="340"/>
      <c r="U295" s="340"/>
      <c r="V295" s="283"/>
      <c r="W295" s="283"/>
      <c r="X295" s="283"/>
      <c r="Y295" s="283"/>
      <c r="Z295" s="283"/>
    </row>
    <row r="296" ht="15.75" customHeight="1">
      <c r="A296" s="340"/>
      <c r="B296" s="340"/>
      <c r="C296" s="283"/>
      <c r="D296" s="283"/>
      <c r="E296" s="283"/>
      <c r="F296" s="283"/>
      <c r="G296" s="283"/>
      <c r="H296" s="283"/>
      <c r="I296" s="283"/>
      <c r="J296" s="283"/>
      <c r="K296" s="340"/>
      <c r="L296" s="283"/>
      <c r="M296" s="283"/>
      <c r="N296" s="283"/>
      <c r="O296" s="283"/>
      <c r="P296" s="283"/>
      <c r="Q296" s="340"/>
      <c r="R296" s="283"/>
      <c r="S296" s="283"/>
      <c r="T296" s="340"/>
      <c r="U296" s="340"/>
      <c r="V296" s="283"/>
      <c r="W296" s="283"/>
      <c r="X296" s="283"/>
      <c r="Y296" s="283"/>
      <c r="Z296" s="283"/>
    </row>
    <row r="297" ht="15.75" customHeight="1">
      <c r="A297" s="340"/>
      <c r="B297" s="340"/>
      <c r="C297" s="283"/>
      <c r="D297" s="283"/>
      <c r="E297" s="283"/>
      <c r="F297" s="283"/>
      <c r="G297" s="283"/>
      <c r="H297" s="283"/>
      <c r="I297" s="283"/>
      <c r="J297" s="283"/>
      <c r="K297" s="340"/>
      <c r="L297" s="283"/>
      <c r="M297" s="283"/>
      <c r="N297" s="283"/>
      <c r="O297" s="283"/>
      <c r="P297" s="283"/>
      <c r="Q297" s="340"/>
      <c r="R297" s="283"/>
      <c r="S297" s="283"/>
      <c r="T297" s="340"/>
      <c r="U297" s="340"/>
      <c r="V297" s="283"/>
      <c r="W297" s="283"/>
      <c r="X297" s="283"/>
      <c r="Y297" s="283"/>
      <c r="Z297" s="283"/>
    </row>
    <row r="298" ht="15.75" customHeight="1">
      <c r="A298" s="340"/>
      <c r="B298" s="340"/>
      <c r="C298" s="283"/>
      <c r="D298" s="283"/>
      <c r="E298" s="283"/>
      <c r="F298" s="283"/>
      <c r="G298" s="283"/>
      <c r="H298" s="283"/>
      <c r="I298" s="283"/>
      <c r="J298" s="283"/>
      <c r="K298" s="340"/>
      <c r="L298" s="283"/>
      <c r="M298" s="283"/>
      <c r="N298" s="283"/>
      <c r="O298" s="283"/>
      <c r="P298" s="283"/>
      <c r="Q298" s="340"/>
      <c r="R298" s="283"/>
      <c r="S298" s="283"/>
      <c r="T298" s="340"/>
      <c r="U298" s="340"/>
      <c r="V298" s="283"/>
      <c r="W298" s="283"/>
      <c r="X298" s="283"/>
      <c r="Y298" s="283"/>
      <c r="Z298" s="283"/>
    </row>
    <row r="299" ht="15.75" customHeight="1">
      <c r="A299" s="340"/>
      <c r="B299" s="340"/>
      <c r="C299" s="283"/>
      <c r="D299" s="283"/>
      <c r="E299" s="283"/>
      <c r="F299" s="283"/>
      <c r="G299" s="283"/>
      <c r="H299" s="283"/>
      <c r="I299" s="283"/>
      <c r="J299" s="283"/>
      <c r="K299" s="340"/>
      <c r="L299" s="283"/>
      <c r="M299" s="283"/>
      <c r="N299" s="283"/>
      <c r="O299" s="283"/>
      <c r="P299" s="283"/>
      <c r="Q299" s="340"/>
      <c r="R299" s="283"/>
      <c r="S299" s="283"/>
      <c r="T299" s="340"/>
      <c r="U299" s="340"/>
      <c r="V299" s="283"/>
      <c r="W299" s="283"/>
      <c r="X299" s="283"/>
      <c r="Y299" s="283"/>
      <c r="Z299" s="283"/>
    </row>
    <row r="300" ht="15.75" customHeight="1">
      <c r="A300" s="340"/>
      <c r="B300" s="340"/>
      <c r="C300" s="283"/>
      <c r="D300" s="283"/>
      <c r="E300" s="283"/>
      <c r="F300" s="283"/>
      <c r="G300" s="283"/>
      <c r="H300" s="283"/>
      <c r="I300" s="283"/>
      <c r="J300" s="283"/>
      <c r="K300" s="340"/>
      <c r="L300" s="283"/>
      <c r="M300" s="283"/>
      <c r="N300" s="283"/>
      <c r="O300" s="283"/>
      <c r="P300" s="283"/>
      <c r="Q300" s="340"/>
      <c r="R300" s="283"/>
      <c r="S300" s="283"/>
      <c r="T300" s="340"/>
      <c r="U300" s="340"/>
      <c r="V300" s="283"/>
      <c r="W300" s="283"/>
      <c r="X300" s="283"/>
      <c r="Y300" s="283"/>
      <c r="Z300" s="283"/>
    </row>
    <row r="301" ht="15.75" customHeight="1">
      <c r="A301" s="340"/>
      <c r="B301" s="340"/>
      <c r="C301" s="283"/>
      <c r="D301" s="283"/>
      <c r="E301" s="283"/>
      <c r="F301" s="283"/>
      <c r="G301" s="283"/>
      <c r="H301" s="283"/>
      <c r="I301" s="283"/>
      <c r="J301" s="283"/>
      <c r="K301" s="340"/>
      <c r="L301" s="283"/>
      <c r="M301" s="283"/>
      <c r="N301" s="283"/>
      <c r="O301" s="283"/>
      <c r="P301" s="283"/>
      <c r="Q301" s="340"/>
      <c r="R301" s="283"/>
      <c r="S301" s="283"/>
      <c r="T301" s="340"/>
      <c r="U301" s="340"/>
      <c r="V301" s="283"/>
      <c r="W301" s="283"/>
      <c r="X301" s="283"/>
      <c r="Y301" s="283"/>
      <c r="Z301" s="283"/>
    </row>
    <row r="302" ht="15.75" customHeight="1">
      <c r="A302" s="340"/>
      <c r="B302" s="340"/>
      <c r="C302" s="283"/>
      <c r="D302" s="283"/>
      <c r="E302" s="283"/>
      <c r="F302" s="283"/>
      <c r="G302" s="283"/>
      <c r="H302" s="283"/>
      <c r="I302" s="283"/>
      <c r="J302" s="283"/>
      <c r="K302" s="340"/>
      <c r="L302" s="283"/>
      <c r="M302" s="283"/>
      <c r="N302" s="283"/>
      <c r="O302" s="283"/>
      <c r="P302" s="283"/>
      <c r="Q302" s="340"/>
      <c r="R302" s="283"/>
      <c r="S302" s="283"/>
      <c r="T302" s="340"/>
      <c r="U302" s="340"/>
      <c r="V302" s="283"/>
      <c r="W302" s="283"/>
      <c r="X302" s="283"/>
      <c r="Y302" s="283"/>
      <c r="Z302" s="283"/>
    </row>
    <row r="303" ht="15.75" customHeight="1">
      <c r="A303" s="340"/>
      <c r="B303" s="340"/>
      <c r="C303" s="283"/>
      <c r="D303" s="283"/>
      <c r="E303" s="283"/>
      <c r="F303" s="283"/>
      <c r="G303" s="283"/>
      <c r="H303" s="283"/>
      <c r="I303" s="283"/>
      <c r="J303" s="283"/>
      <c r="K303" s="340"/>
      <c r="L303" s="283"/>
      <c r="M303" s="283"/>
      <c r="N303" s="283"/>
      <c r="O303" s="283"/>
      <c r="P303" s="283"/>
      <c r="Q303" s="340"/>
      <c r="R303" s="283"/>
      <c r="S303" s="283"/>
      <c r="T303" s="340"/>
      <c r="U303" s="340"/>
      <c r="V303" s="283"/>
      <c r="W303" s="283"/>
      <c r="X303" s="283"/>
      <c r="Y303" s="283"/>
      <c r="Z303" s="283"/>
    </row>
    <row r="304" ht="15.75" customHeight="1">
      <c r="A304" s="340"/>
      <c r="B304" s="340"/>
      <c r="C304" s="283"/>
      <c r="D304" s="283"/>
      <c r="E304" s="283"/>
      <c r="F304" s="283"/>
      <c r="G304" s="283"/>
      <c r="H304" s="283"/>
      <c r="I304" s="283"/>
      <c r="J304" s="283"/>
      <c r="K304" s="340"/>
      <c r="L304" s="283"/>
      <c r="M304" s="283"/>
      <c r="N304" s="283"/>
      <c r="O304" s="283"/>
      <c r="P304" s="283"/>
      <c r="Q304" s="340"/>
      <c r="R304" s="283"/>
      <c r="S304" s="283"/>
      <c r="T304" s="340"/>
      <c r="U304" s="340"/>
      <c r="V304" s="283"/>
      <c r="W304" s="283"/>
      <c r="X304" s="283"/>
      <c r="Y304" s="283"/>
      <c r="Z304" s="283"/>
    </row>
    <row r="305" ht="15.75" customHeight="1">
      <c r="A305" s="340"/>
      <c r="B305" s="340"/>
      <c r="C305" s="283"/>
      <c r="D305" s="283"/>
      <c r="E305" s="283"/>
      <c r="F305" s="283"/>
      <c r="G305" s="283"/>
      <c r="H305" s="283"/>
      <c r="I305" s="283"/>
      <c r="J305" s="283"/>
      <c r="K305" s="340"/>
      <c r="L305" s="283"/>
      <c r="M305" s="283"/>
      <c r="N305" s="283"/>
      <c r="O305" s="283"/>
      <c r="P305" s="283"/>
      <c r="Q305" s="340"/>
      <c r="R305" s="283"/>
      <c r="S305" s="283"/>
      <c r="T305" s="340"/>
      <c r="U305" s="340"/>
      <c r="V305" s="283"/>
      <c r="W305" s="283"/>
      <c r="X305" s="283"/>
      <c r="Y305" s="283"/>
      <c r="Z305" s="283"/>
    </row>
    <row r="306" ht="15.75" customHeight="1">
      <c r="A306" s="340"/>
      <c r="B306" s="340"/>
      <c r="C306" s="283"/>
      <c r="D306" s="283"/>
      <c r="E306" s="283"/>
      <c r="F306" s="283"/>
      <c r="G306" s="283"/>
      <c r="H306" s="283"/>
      <c r="I306" s="283"/>
      <c r="J306" s="283"/>
      <c r="K306" s="340"/>
      <c r="L306" s="283"/>
      <c r="M306" s="283"/>
      <c r="N306" s="283"/>
      <c r="O306" s="283"/>
      <c r="P306" s="283"/>
      <c r="Q306" s="340"/>
      <c r="R306" s="283"/>
      <c r="S306" s="283"/>
      <c r="T306" s="340"/>
      <c r="U306" s="340"/>
      <c r="V306" s="283"/>
      <c r="W306" s="283"/>
      <c r="X306" s="283"/>
      <c r="Y306" s="283"/>
      <c r="Z306" s="283"/>
    </row>
    <row r="307" ht="15.75" customHeight="1">
      <c r="A307" s="340"/>
      <c r="B307" s="340"/>
      <c r="C307" s="283"/>
      <c r="D307" s="283"/>
      <c r="E307" s="283"/>
      <c r="F307" s="283"/>
      <c r="G307" s="283"/>
      <c r="H307" s="283"/>
      <c r="I307" s="283"/>
      <c r="J307" s="283"/>
      <c r="K307" s="340"/>
      <c r="L307" s="283"/>
      <c r="M307" s="283"/>
      <c r="N307" s="283"/>
      <c r="O307" s="283"/>
      <c r="P307" s="283"/>
      <c r="Q307" s="340"/>
      <c r="R307" s="283"/>
      <c r="S307" s="283"/>
      <c r="T307" s="340"/>
      <c r="U307" s="340"/>
      <c r="V307" s="283"/>
      <c r="W307" s="283"/>
      <c r="X307" s="283"/>
      <c r="Y307" s="283"/>
      <c r="Z307" s="283"/>
    </row>
    <row r="308" ht="15.75" customHeight="1">
      <c r="A308" s="340"/>
      <c r="B308" s="340"/>
      <c r="C308" s="283"/>
      <c r="D308" s="283"/>
      <c r="E308" s="283"/>
      <c r="F308" s="283"/>
      <c r="G308" s="283"/>
      <c r="H308" s="283"/>
      <c r="I308" s="283"/>
      <c r="J308" s="283"/>
      <c r="K308" s="340"/>
      <c r="L308" s="283"/>
      <c r="M308" s="283"/>
      <c r="N308" s="283"/>
      <c r="O308" s="283"/>
      <c r="P308" s="283"/>
      <c r="Q308" s="340"/>
      <c r="R308" s="283"/>
      <c r="S308" s="283"/>
      <c r="T308" s="340"/>
      <c r="U308" s="340"/>
      <c r="V308" s="283"/>
      <c r="W308" s="283"/>
      <c r="X308" s="283"/>
      <c r="Y308" s="283"/>
      <c r="Z308" s="283"/>
    </row>
    <row r="309" ht="15.75" customHeight="1">
      <c r="A309" s="340"/>
      <c r="B309" s="340"/>
      <c r="C309" s="283"/>
      <c r="D309" s="283"/>
      <c r="E309" s="283"/>
      <c r="F309" s="283"/>
      <c r="G309" s="283"/>
      <c r="H309" s="283"/>
      <c r="I309" s="283"/>
      <c r="J309" s="283"/>
      <c r="K309" s="340"/>
      <c r="L309" s="283"/>
      <c r="M309" s="283"/>
      <c r="N309" s="283"/>
      <c r="O309" s="283"/>
      <c r="P309" s="283"/>
      <c r="Q309" s="340"/>
      <c r="R309" s="283"/>
      <c r="S309" s="283"/>
      <c r="T309" s="340"/>
      <c r="U309" s="340"/>
      <c r="V309" s="283"/>
      <c r="W309" s="283"/>
      <c r="X309" s="283"/>
      <c r="Y309" s="283"/>
      <c r="Z309" s="283"/>
    </row>
    <row r="310" ht="15.75" customHeight="1">
      <c r="A310" s="340"/>
      <c r="B310" s="340"/>
      <c r="C310" s="283"/>
      <c r="D310" s="283"/>
      <c r="E310" s="283"/>
      <c r="F310" s="283"/>
      <c r="G310" s="283"/>
      <c r="H310" s="283"/>
      <c r="I310" s="283"/>
      <c r="J310" s="283"/>
      <c r="K310" s="340"/>
      <c r="L310" s="283"/>
      <c r="M310" s="283"/>
      <c r="N310" s="283"/>
      <c r="O310" s="283"/>
      <c r="P310" s="283"/>
      <c r="Q310" s="340"/>
      <c r="R310" s="283"/>
      <c r="S310" s="283"/>
      <c r="T310" s="340"/>
      <c r="U310" s="340"/>
      <c r="V310" s="283"/>
      <c r="W310" s="283"/>
      <c r="X310" s="283"/>
      <c r="Y310" s="283"/>
      <c r="Z310" s="283"/>
    </row>
    <row r="311" ht="15.75" customHeight="1">
      <c r="A311" s="340"/>
      <c r="B311" s="340"/>
      <c r="C311" s="283"/>
      <c r="D311" s="283"/>
      <c r="E311" s="283"/>
      <c r="F311" s="283"/>
      <c r="G311" s="283"/>
      <c r="H311" s="283"/>
      <c r="I311" s="283"/>
      <c r="J311" s="283"/>
      <c r="K311" s="340"/>
      <c r="L311" s="283"/>
      <c r="M311" s="283"/>
      <c r="N311" s="283"/>
      <c r="O311" s="283"/>
      <c r="P311" s="283"/>
      <c r="Q311" s="340"/>
      <c r="R311" s="283"/>
      <c r="S311" s="283"/>
      <c r="T311" s="340"/>
      <c r="U311" s="340"/>
      <c r="V311" s="283"/>
      <c r="W311" s="283"/>
      <c r="X311" s="283"/>
      <c r="Y311" s="283"/>
      <c r="Z311" s="283"/>
    </row>
    <row r="312" ht="15.75" customHeight="1">
      <c r="A312" s="340"/>
      <c r="B312" s="340"/>
      <c r="C312" s="283"/>
      <c r="D312" s="283"/>
      <c r="E312" s="283"/>
      <c r="F312" s="283"/>
      <c r="G312" s="283"/>
      <c r="H312" s="283"/>
      <c r="I312" s="283"/>
      <c r="J312" s="283"/>
      <c r="K312" s="340"/>
      <c r="L312" s="283"/>
      <c r="M312" s="283"/>
      <c r="N312" s="283"/>
      <c r="O312" s="283"/>
      <c r="P312" s="283"/>
      <c r="Q312" s="340"/>
      <c r="R312" s="283"/>
      <c r="S312" s="283"/>
      <c r="T312" s="340"/>
      <c r="U312" s="340"/>
      <c r="V312" s="283"/>
      <c r="W312" s="283"/>
      <c r="X312" s="283"/>
      <c r="Y312" s="283"/>
      <c r="Z312" s="283"/>
    </row>
    <row r="313" ht="15.75" customHeight="1">
      <c r="A313" s="340"/>
      <c r="B313" s="340"/>
      <c r="C313" s="283"/>
      <c r="D313" s="283"/>
      <c r="E313" s="283"/>
      <c r="F313" s="283"/>
      <c r="G313" s="283"/>
      <c r="H313" s="283"/>
      <c r="I313" s="283"/>
      <c r="J313" s="283"/>
      <c r="K313" s="340"/>
      <c r="L313" s="283"/>
      <c r="M313" s="283"/>
      <c r="N313" s="283"/>
      <c r="O313" s="283"/>
      <c r="P313" s="283"/>
      <c r="Q313" s="340"/>
      <c r="R313" s="283"/>
      <c r="S313" s="283"/>
      <c r="T313" s="340"/>
      <c r="U313" s="340"/>
      <c r="V313" s="283"/>
      <c r="W313" s="283"/>
      <c r="X313" s="283"/>
      <c r="Y313" s="283"/>
      <c r="Z313" s="283"/>
    </row>
    <row r="314" ht="15.75" customHeight="1">
      <c r="A314" s="340"/>
      <c r="B314" s="340"/>
      <c r="C314" s="283"/>
      <c r="D314" s="283"/>
      <c r="E314" s="283"/>
      <c r="F314" s="283"/>
      <c r="G314" s="283"/>
      <c r="H314" s="283"/>
      <c r="I314" s="283"/>
      <c r="J314" s="283"/>
      <c r="K314" s="340"/>
      <c r="L314" s="283"/>
      <c r="M314" s="283"/>
      <c r="N314" s="283"/>
      <c r="O314" s="283"/>
      <c r="P314" s="283"/>
      <c r="Q314" s="340"/>
      <c r="R314" s="283"/>
      <c r="S314" s="283"/>
      <c r="T314" s="340"/>
      <c r="U314" s="340"/>
      <c r="V314" s="283"/>
      <c r="W314" s="283"/>
      <c r="X314" s="283"/>
      <c r="Y314" s="283"/>
      <c r="Z314" s="283"/>
    </row>
    <row r="315" ht="15.75" customHeight="1">
      <c r="A315" s="340"/>
      <c r="B315" s="340"/>
      <c r="C315" s="283"/>
      <c r="D315" s="283"/>
      <c r="E315" s="283"/>
      <c r="F315" s="283"/>
      <c r="G315" s="283"/>
      <c r="H315" s="283"/>
      <c r="I315" s="283"/>
      <c r="J315" s="283"/>
      <c r="K315" s="340"/>
      <c r="L315" s="283"/>
      <c r="M315" s="283"/>
      <c r="N315" s="283"/>
      <c r="O315" s="283"/>
      <c r="P315" s="283"/>
      <c r="Q315" s="340"/>
      <c r="R315" s="283"/>
      <c r="S315" s="283"/>
      <c r="T315" s="340"/>
      <c r="U315" s="340"/>
      <c r="V315" s="283"/>
      <c r="W315" s="283"/>
      <c r="X315" s="283"/>
      <c r="Y315" s="283"/>
      <c r="Z315" s="283"/>
    </row>
    <row r="316" ht="15.75" customHeight="1">
      <c r="A316" s="340"/>
      <c r="B316" s="340"/>
      <c r="C316" s="283"/>
      <c r="D316" s="283"/>
      <c r="E316" s="283"/>
      <c r="F316" s="283"/>
      <c r="G316" s="283"/>
      <c r="H316" s="283"/>
      <c r="I316" s="283"/>
      <c r="J316" s="283"/>
      <c r="K316" s="340"/>
      <c r="L316" s="283"/>
      <c r="M316" s="283"/>
      <c r="N316" s="283"/>
      <c r="O316" s="283"/>
      <c r="P316" s="283"/>
      <c r="Q316" s="340"/>
      <c r="R316" s="283"/>
      <c r="S316" s="283"/>
      <c r="T316" s="340"/>
      <c r="U316" s="340"/>
      <c r="V316" s="283"/>
      <c r="W316" s="283"/>
      <c r="X316" s="283"/>
      <c r="Y316" s="283"/>
      <c r="Z316" s="283"/>
    </row>
    <row r="317" ht="15.75" customHeight="1">
      <c r="A317" s="340"/>
      <c r="B317" s="340"/>
      <c r="C317" s="283"/>
      <c r="D317" s="283"/>
      <c r="E317" s="283"/>
      <c r="F317" s="283"/>
      <c r="G317" s="283"/>
      <c r="H317" s="283"/>
      <c r="I317" s="283"/>
      <c r="J317" s="283"/>
      <c r="K317" s="340"/>
      <c r="L317" s="283"/>
      <c r="M317" s="283"/>
      <c r="N317" s="283"/>
      <c r="O317" s="283"/>
      <c r="P317" s="283"/>
      <c r="Q317" s="340"/>
      <c r="R317" s="283"/>
      <c r="S317" s="283"/>
      <c r="T317" s="340"/>
      <c r="U317" s="340"/>
      <c r="V317" s="283"/>
      <c r="W317" s="283"/>
      <c r="X317" s="283"/>
      <c r="Y317" s="283"/>
      <c r="Z317" s="283"/>
    </row>
    <row r="318" ht="15.75" customHeight="1">
      <c r="A318" s="340"/>
      <c r="B318" s="340"/>
      <c r="C318" s="283"/>
      <c r="D318" s="283"/>
      <c r="E318" s="283"/>
      <c r="F318" s="283"/>
      <c r="G318" s="283"/>
      <c r="H318" s="283"/>
      <c r="I318" s="283"/>
      <c r="J318" s="283"/>
      <c r="K318" s="340"/>
      <c r="L318" s="283"/>
      <c r="M318" s="283"/>
      <c r="N318" s="283"/>
      <c r="O318" s="283"/>
      <c r="P318" s="283"/>
      <c r="Q318" s="340"/>
      <c r="R318" s="283"/>
      <c r="S318" s="283"/>
      <c r="T318" s="340"/>
      <c r="U318" s="340"/>
      <c r="V318" s="283"/>
      <c r="W318" s="283"/>
      <c r="X318" s="283"/>
      <c r="Y318" s="283"/>
      <c r="Z318" s="283"/>
    </row>
    <row r="319" ht="15.75" customHeight="1">
      <c r="A319" s="340"/>
      <c r="B319" s="340"/>
      <c r="C319" s="283"/>
      <c r="D319" s="283"/>
      <c r="E319" s="283"/>
      <c r="F319" s="283"/>
      <c r="G319" s="283"/>
      <c r="H319" s="283"/>
      <c r="I319" s="283"/>
      <c r="J319" s="283"/>
      <c r="K319" s="340"/>
      <c r="L319" s="283"/>
      <c r="M319" s="283"/>
      <c r="N319" s="283"/>
      <c r="O319" s="283"/>
      <c r="P319" s="283"/>
      <c r="Q319" s="340"/>
      <c r="R319" s="283"/>
      <c r="S319" s="283"/>
      <c r="T319" s="340"/>
      <c r="U319" s="340"/>
      <c r="V319" s="283"/>
      <c r="W319" s="283"/>
      <c r="X319" s="283"/>
      <c r="Y319" s="283"/>
      <c r="Z319" s="283"/>
    </row>
    <row r="320" ht="15.75" customHeight="1">
      <c r="A320" s="340"/>
      <c r="B320" s="340"/>
      <c r="C320" s="283"/>
      <c r="D320" s="283"/>
      <c r="E320" s="283"/>
      <c r="F320" s="283"/>
      <c r="G320" s="283"/>
      <c r="H320" s="283"/>
      <c r="I320" s="283"/>
      <c r="J320" s="283"/>
      <c r="K320" s="340"/>
      <c r="L320" s="283"/>
      <c r="M320" s="283"/>
      <c r="N320" s="283"/>
      <c r="O320" s="283"/>
      <c r="P320" s="283"/>
      <c r="Q320" s="340"/>
      <c r="R320" s="283"/>
      <c r="S320" s="283"/>
      <c r="T320" s="340"/>
      <c r="U320" s="340"/>
      <c r="V320" s="283"/>
      <c r="W320" s="283"/>
      <c r="X320" s="283"/>
      <c r="Y320" s="283"/>
      <c r="Z320" s="283"/>
    </row>
    <row r="321" ht="15.75" customHeight="1">
      <c r="A321" s="340"/>
      <c r="B321" s="340"/>
      <c r="C321" s="283"/>
      <c r="D321" s="283"/>
      <c r="E321" s="283"/>
      <c r="F321" s="283"/>
      <c r="G321" s="283"/>
      <c r="H321" s="283"/>
      <c r="I321" s="283"/>
      <c r="J321" s="283"/>
      <c r="K321" s="340"/>
      <c r="L321" s="283"/>
      <c r="M321" s="283"/>
      <c r="N321" s="283"/>
      <c r="O321" s="283"/>
      <c r="P321" s="283"/>
      <c r="Q321" s="340"/>
      <c r="R321" s="283"/>
      <c r="S321" s="283"/>
      <c r="T321" s="340"/>
      <c r="U321" s="340"/>
      <c r="V321" s="283"/>
      <c r="W321" s="283"/>
      <c r="X321" s="283"/>
      <c r="Y321" s="283"/>
      <c r="Z321" s="283"/>
    </row>
    <row r="322" ht="15.75" customHeight="1">
      <c r="A322" s="340"/>
      <c r="B322" s="340"/>
      <c r="C322" s="283"/>
      <c r="D322" s="283"/>
      <c r="E322" s="283"/>
      <c r="F322" s="283"/>
      <c r="G322" s="283"/>
      <c r="H322" s="283"/>
      <c r="I322" s="283"/>
      <c r="J322" s="283"/>
      <c r="K322" s="340"/>
      <c r="L322" s="283"/>
      <c r="M322" s="283"/>
      <c r="N322" s="283"/>
      <c r="O322" s="283"/>
      <c r="P322" s="283"/>
      <c r="Q322" s="340"/>
      <c r="R322" s="283"/>
      <c r="S322" s="283"/>
      <c r="T322" s="340"/>
      <c r="U322" s="340"/>
      <c r="V322" s="283"/>
      <c r="W322" s="283"/>
      <c r="X322" s="283"/>
      <c r="Y322" s="283"/>
      <c r="Z322" s="283"/>
    </row>
    <row r="323" ht="15.75" customHeight="1">
      <c r="A323" s="340"/>
      <c r="B323" s="340"/>
      <c r="C323" s="283"/>
      <c r="D323" s="283"/>
      <c r="E323" s="283"/>
      <c r="F323" s="283"/>
      <c r="G323" s="283"/>
      <c r="H323" s="283"/>
      <c r="I323" s="283"/>
      <c r="J323" s="283"/>
      <c r="K323" s="340"/>
      <c r="L323" s="283"/>
      <c r="M323" s="283"/>
      <c r="N323" s="283"/>
      <c r="O323" s="283"/>
      <c r="P323" s="283"/>
      <c r="Q323" s="340"/>
      <c r="R323" s="283"/>
      <c r="S323" s="283"/>
      <c r="T323" s="340"/>
      <c r="U323" s="340"/>
      <c r="V323" s="283"/>
      <c r="W323" s="283"/>
      <c r="X323" s="283"/>
      <c r="Y323" s="283"/>
      <c r="Z323" s="283"/>
    </row>
    <row r="324" ht="15.75" customHeight="1">
      <c r="A324" s="340"/>
      <c r="B324" s="340"/>
      <c r="C324" s="283"/>
      <c r="D324" s="283"/>
      <c r="E324" s="283"/>
      <c r="F324" s="283"/>
      <c r="G324" s="283"/>
      <c r="H324" s="283"/>
      <c r="I324" s="283"/>
      <c r="J324" s="283"/>
      <c r="K324" s="340"/>
      <c r="L324" s="283"/>
      <c r="M324" s="283"/>
      <c r="N324" s="283"/>
      <c r="O324" s="283"/>
      <c r="P324" s="283"/>
      <c r="Q324" s="340"/>
      <c r="R324" s="283"/>
      <c r="S324" s="283"/>
      <c r="T324" s="340"/>
      <c r="U324" s="340"/>
      <c r="V324" s="283"/>
      <c r="W324" s="283"/>
      <c r="X324" s="283"/>
      <c r="Y324" s="283"/>
      <c r="Z324" s="283"/>
    </row>
    <row r="325" ht="15.75" customHeight="1">
      <c r="A325" s="340"/>
      <c r="B325" s="340"/>
      <c r="C325" s="283"/>
      <c r="D325" s="283"/>
      <c r="E325" s="283"/>
      <c r="F325" s="283"/>
      <c r="G325" s="283"/>
      <c r="H325" s="283"/>
      <c r="I325" s="283"/>
      <c r="J325" s="283"/>
      <c r="K325" s="340"/>
      <c r="L325" s="283"/>
      <c r="M325" s="283"/>
      <c r="N325" s="283"/>
      <c r="O325" s="283"/>
      <c r="P325" s="283"/>
      <c r="Q325" s="340"/>
      <c r="R325" s="283"/>
      <c r="S325" s="283"/>
      <c r="T325" s="340"/>
      <c r="U325" s="340"/>
      <c r="V325" s="283"/>
      <c r="W325" s="283"/>
      <c r="X325" s="283"/>
      <c r="Y325" s="283"/>
      <c r="Z325" s="283"/>
    </row>
    <row r="326" ht="15.75" customHeight="1">
      <c r="A326" s="340"/>
      <c r="B326" s="340"/>
      <c r="C326" s="283"/>
      <c r="D326" s="283"/>
      <c r="E326" s="283"/>
      <c r="F326" s="283"/>
      <c r="G326" s="283"/>
      <c r="H326" s="283"/>
      <c r="I326" s="283"/>
      <c r="J326" s="283"/>
      <c r="K326" s="340"/>
      <c r="L326" s="283"/>
      <c r="M326" s="283"/>
      <c r="N326" s="283"/>
      <c r="O326" s="283"/>
      <c r="P326" s="283"/>
      <c r="Q326" s="340"/>
      <c r="R326" s="283"/>
      <c r="S326" s="283"/>
      <c r="T326" s="340"/>
      <c r="U326" s="340"/>
      <c r="V326" s="283"/>
      <c r="W326" s="283"/>
      <c r="X326" s="283"/>
      <c r="Y326" s="283"/>
      <c r="Z326" s="283"/>
    </row>
    <row r="327" ht="15.75" customHeight="1">
      <c r="A327" s="340"/>
      <c r="B327" s="340"/>
      <c r="C327" s="283"/>
      <c r="D327" s="283"/>
      <c r="E327" s="283"/>
      <c r="F327" s="283"/>
      <c r="G327" s="283"/>
      <c r="H327" s="283"/>
      <c r="I327" s="283"/>
      <c r="J327" s="283"/>
      <c r="K327" s="340"/>
      <c r="L327" s="283"/>
      <c r="M327" s="283"/>
      <c r="N327" s="283"/>
      <c r="O327" s="283"/>
      <c r="P327" s="283"/>
      <c r="Q327" s="340"/>
      <c r="R327" s="283"/>
      <c r="S327" s="283"/>
      <c r="T327" s="340"/>
      <c r="U327" s="340"/>
      <c r="V327" s="283"/>
      <c r="W327" s="283"/>
      <c r="X327" s="283"/>
      <c r="Y327" s="283"/>
      <c r="Z327" s="283"/>
    </row>
    <row r="328" ht="15.75" customHeight="1">
      <c r="A328" s="340"/>
      <c r="B328" s="340"/>
      <c r="C328" s="283"/>
      <c r="D328" s="283"/>
      <c r="E328" s="283"/>
      <c r="F328" s="283"/>
      <c r="G328" s="283"/>
      <c r="H328" s="283"/>
      <c r="I328" s="283"/>
      <c r="J328" s="283"/>
      <c r="K328" s="340"/>
      <c r="L328" s="283"/>
      <c r="M328" s="283"/>
      <c r="N328" s="283"/>
      <c r="O328" s="283"/>
      <c r="P328" s="283"/>
      <c r="Q328" s="340"/>
      <c r="R328" s="283"/>
      <c r="S328" s="283"/>
      <c r="T328" s="340"/>
      <c r="U328" s="340"/>
      <c r="V328" s="283"/>
      <c r="W328" s="283"/>
      <c r="X328" s="283"/>
      <c r="Y328" s="283"/>
      <c r="Z328" s="283"/>
    </row>
    <row r="329" ht="15.75" customHeight="1">
      <c r="A329" s="340"/>
      <c r="B329" s="340"/>
      <c r="C329" s="283"/>
      <c r="D329" s="283"/>
      <c r="E329" s="283"/>
      <c r="F329" s="283"/>
      <c r="G329" s="283"/>
      <c r="H329" s="283"/>
      <c r="I329" s="283"/>
      <c r="J329" s="283"/>
      <c r="K329" s="340"/>
      <c r="L329" s="283"/>
      <c r="M329" s="283"/>
      <c r="N329" s="283"/>
      <c r="O329" s="283"/>
      <c r="P329" s="283"/>
      <c r="Q329" s="340"/>
      <c r="R329" s="283"/>
      <c r="S329" s="283"/>
      <c r="T329" s="340"/>
      <c r="U329" s="340"/>
      <c r="V329" s="283"/>
      <c r="W329" s="283"/>
      <c r="X329" s="283"/>
      <c r="Y329" s="283"/>
      <c r="Z329" s="283"/>
    </row>
    <row r="330" ht="15.75" customHeight="1">
      <c r="A330" s="340"/>
      <c r="B330" s="340"/>
      <c r="C330" s="283"/>
      <c r="D330" s="283"/>
      <c r="E330" s="283"/>
      <c r="F330" s="283"/>
      <c r="G330" s="283"/>
      <c r="H330" s="283"/>
      <c r="I330" s="283"/>
      <c r="J330" s="283"/>
      <c r="K330" s="340"/>
      <c r="L330" s="283"/>
      <c r="M330" s="283"/>
      <c r="N330" s="283"/>
      <c r="O330" s="283"/>
      <c r="P330" s="283"/>
      <c r="Q330" s="340"/>
      <c r="R330" s="283"/>
      <c r="S330" s="283"/>
      <c r="T330" s="340"/>
      <c r="U330" s="340"/>
      <c r="V330" s="283"/>
      <c r="W330" s="283"/>
      <c r="X330" s="283"/>
      <c r="Y330" s="283"/>
      <c r="Z330" s="283"/>
    </row>
    <row r="331" ht="15.75" customHeight="1">
      <c r="A331" s="340"/>
      <c r="B331" s="340"/>
      <c r="C331" s="283"/>
      <c r="D331" s="283"/>
      <c r="E331" s="283"/>
      <c r="F331" s="283"/>
      <c r="G331" s="283"/>
      <c r="H331" s="283"/>
      <c r="I331" s="283"/>
      <c r="J331" s="283"/>
      <c r="K331" s="340"/>
      <c r="L331" s="283"/>
      <c r="M331" s="283"/>
      <c r="N331" s="283"/>
      <c r="O331" s="283"/>
      <c r="P331" s="283"/>
      <c r="Q331" s="340"/>
      <c r="R331" s="283"/>
      <c r="S331" s="283"/>
      <c r="T331" s="340"/>
      <c r="U331" s="340"/>
      <c r="V331" s="283"/>
      <c r="W331" s="283"/>
      <c r="X331" s="283"/>
      <c r="Y331" s="283"/>
      <c r="Z331" s="283"/>
    </row>
    <row r="332" ht="15.75" customHeight="1">
      <c r="A332" s="340"/>
      <c r="B332" s="340"/>
      <c r="C332" s="283"/>
      <c r="D332" s="283"/>
      <c r="E332" s="283"/>
      <c r="F332" s="283"/>
      <c r="G332" s="283"/>
      <c r="H332" s="283"/>
      <c r="I332" s="283"/>
      <c r="J332" s="283"/>
      <c r="K332" s="340"/>
      <c r="L332" s="283"/>
      <c r="M332" s="283"/>
      <c r="N332" s="283"/>
      <c r="O332" s="283"/>
      <c r="P332" s="283"/>
      <c r="Q332" s="340"/>
      <c r="R332" s="283"/>
      <c r="S332" s="283"/>
      <c r="T332" s="340"/>
      <c r="U332" s="340"/>
      <c r="V332" s="283"/>
      <c r="W332" s="283"/>
      <c r="X332" s="283"/>
      <c r="Y332" s="283"/>
      <c r="Z332" s="283"/>
    </row>
    <row r="333" ht="15.75" customHeight="1">
      <c r="A333" s="340"/>
      <c r="B333" s="340"/>
      <c r="C333" s="283"/>
      <c r="D333" s="283"/>
      <c r="E333" s="283"/>
      <c r="F333" s="283"/>
      <c r="G333" s="283"/>
      <c r="H333" s="283"/>
      <c r="I333" s="283"/>
      <c r="J333" s="283"/>
      <c r="K333" s="340"/>
      <c r="L333" s="283"/>
      <c r="M333" s="283"/>
      <c r="N333" s="283"/>
      <c r="O333" s="283"/>
      <c r="P333" s="283"/>
      <c r="Q333" s="340"/>
      <c r="R333" s="283"/>
      <c r="S333" s="283"/>
      <c r="T333" s="340"/>
      <c r="U333" s="340"/>
      <c r="V333" s="283"/>
      <c r="W333" s="283"/>
      <c r="X333" s="283"/>
      <c r="Y333" s="283"/>
      <c r="Z333" s="283"/>
    </row>
    <row r="334" ht="15.75" customHeight="1">
      <c r="A334" s="340"/>
      <c r="B334" s="340"/>
      <c r="C334" s="283"/>
      <c r="D334" s="283"/>
      <c r="E334" s="283"/>
      <c r="F334" s="283"/>
      <c r="G334" s="283"/>
      <c r="H334" s="283"/>
      <c r="I334" s="283"/>
      <c r="J334" s="283"/>
      <c r="K334" s="340"/>
      <c r="L334" s="283"/>
      <c r="M334" s="283"/>
      <c r="N334" s="283"/>
      <c r="O334" s="283"/>
      <c r="P334" s="283"/>
      <c r="Q334" s="340"/>
      <c r="R334" s="283"/>
      <c r="S334" s="283"/>
      <c r="T334" s="340"/>
      <c r="U334" s="340"/>
      <c r="V334" s="283"/>
      <c r="W334" s="283"/>
      <c r="X334" s="283"/>
      <c r="Y334" s="283"/>
      <c r="Z334" s="283"/>
    </row>
    <row r="335" ht="15.75" customHeight="1">
      <c r="A335" s="340"/>
      <c r="B335" s="340"/>
      <c r="C335" s="283"/>
      <c r="D335" s="283"/>
      <c r="E335" s="283"/>
      <c r="F335" s="283"/>
      <c r="G335" s="283"/>
      <c r="H335" s="283"/>
      <c r="I335" s="283"/>
      <c r="J335" s="283"/>
      <c r="K335" s="340"/>
      <c r="L335" s="283"/>
      <c r="M335" s="283"/>
      <c r="N335" s="283"/>
      <c r="O335" s="283"/>
      <c r="P335" s="283"/>
      <c r="Q335" s="340"/>
      <c r="R335" s="283"/>
      <c r="S335" s="283"/>
      <c r="T335" s="340"/>
      <c r="U335" s="340"/>
      <c r="V335" s="283"/>
      <c r="W335" s="283"/>
      <c r="X335" s="283"/>
      <c r="Y335" s="283"/>
      <c r="Z335" s="283"/>
    </row>
    <row r="336" ht="15.75" customHeight="1">
      <c r="A336" s="340"/>
      <c r="B336" s="340"/>
      <c r="C336" s="283"/>
      <c r="D336" s="283"/>
      <c r="E336" s="283"/>
      <c r="F336" s="283"/>
      <c r="G336" s="283"/>
      <c r="H336" s="283"/>
      <c r="I336" s="283"/>
      <c r="J336" s="283"/>
      <c r="K336" s="340"/>
      <c r="L336" s="283"/>
      <c r="M336" s="283"/>
      <c r="N336" s="283"/>
      <c r="O336" s="283"/>
      <c r="P336" s="283"/>
      <c r="Q336" s="340"/>
      <c r="R336" s="283"/>
      <c r="S336" s="283"/>
      <c r="T336" s="340"/>
      <c r="U336" s="340"/>
      <c r="V336" s="283"/>
      <c r="W336" s="283"/>
      <c r="X336" s="283"/>
      <c r="Y336" s="283"/>
      <c r="Z336" s="283"/>
    </row>
    <row r="337" ht="15.75" customHeight="1">
      <c r="A337" s="340"/>
      <c r="B337" s="340"/>
      <c r="C337" s="283"/>
      <c r="D337" s="283"/>
      <c r="E337" s="283"/>
      <c r="F337" s="283"/>
      <c r="G337" s="283"/>
      <c r="H337" s="283"/>
      <c r="I337" s="283"/>
      <c r="J337" s="283"/>
      <c r="K337" s="340"/>
      <c r="L337" s="283"/>
      <c r="M337" s="283"/>
      <c r="N337" s="283"/>
      <c r="O337" s="283"/>
      <c r="P337" s="283"/>
      <c r="Q337" s="340"/>
      <c r="R337" s="283"/>
      <c r="S337" s="283"/>
      <c r="T337" s="340"/>
      <c r="U337" s="340"/>
      <c r="V337" s="283"/>
      <c r="W337" s="283"/>
      <c r="X337" s="283"/>
      <c r="Y337" s="283"/>
      <c r="Z337" s="283"/>
    </row>
    <row r="338" ht="15.75" customHeight="1">
      <c r="A338" s="340"/>
      <c r="B338" s="340"/>
      <c r="C338" s="283"/>
      <c r="D338" s="283"/>
      <c r="E338" s="283"/>
      <c r="F338" s="283"/>
      <c r="G338" s="283"/>
      <c r="H338" s="283"/>
      <c r="I338" s="283"/>
      <c r="J338" s="283"/>
      <c r="K338" s="340"/>
      <c r="L338" s="283"/>
      <c r="M338" s="283"/>
      <c r="N338" s="283"/>
      <c r="O338" s="283"/>
      <c r="P338" s="283"/>
      <c r="Q338" s="340"/>
      <c r="R338" s="283"/>
      <c r="S338" s="283"/>
      <c r="T338" s="340"/>
      <c r="U338" s="340"/>
      <c r="V338" s="283"/>
      <c r="W338" s="283"/>
      <c r="X338" s="283"/>
      <c r="Y338" s="283"/>
      <c r="Z338" s="283"/>
    </row>
    <row r="339" ht="15.75" customHeight="1">
      <c r="A339" s="340"/>
      <c r="B339" s="340"/>
      <c r="C339" s="283"/>
      <c r="D339" s="283"/>
      <c r="E339" s="283"/>
      <c r="F339" s="283"/>
      <c r="G339" s="283"/>
      <c r="H339" s="283"/>
      <c r="I339" s="283"/>
      <c r="J339" s="283"/>
      <c r="K339" s="340"/>
      <c r="L339" s="283"/>
      <c r="M339" s="283"/>
      <c r="N339" s="283"/>
      <c r="O339" s="283"/>
      <c r="P339" s="283"/>
      <c r="Q339" s="340"/>
      <c r="R339" s="283"/>
      <c r="S339" s="283"/>
      <c r="T339" s="340"/>
      <c r="U339" s="340"/>
      <c r="V339" s="283"/>
      <c r="W339" s="283"/>
      <c r="X339" s="283"/>
      <c r="Y339" s="283"/>
      <c r="Z339" s="283"/>
    </row>
    <row r="340" ht="15.75" customHeight="1">
      <c r="A340" s="340"/>
      <c r="B340" s="340"/>
      <c r="C340" s="283"/>
      <c r="D340" s="283"/>
      <c r="E340" s="283"/>
      <c r="F340" s="283"/>
      <c r="G340" s="283"/>
      <c r="H340" s="283"/>
      <c r="I340" s="283"/>
      <c r="J340" s="283"/>
      <c r="K340" s="340"/>
      <c r="L340" s="283"/>
      <c r="M340" s="283"/>
      <c r="N340" s="283"/>
      <c r="O340" s="283"/>
      <c r="P340" s="283"/>
      <c r="Q340" s="340"/>
      <c r="R340" s="283"/>
      <c r="S340" s="283"/>
      <c r="T340" s="340"/>
      <c r="U340" s="340"/>
      <c r="V340" s="283"/>
      <c r="W340" s="283"/>
      <c r="X340" s="283"/>
      <c r="Y340" s="283"/>
      <c r="Z340" s="283"/>
    </row>
    <row r="341" ht="15.75" customHeight="1">
      <c r="A341" s="340"/>
      <c r="B341" s="340"/>
      <c r="C341" s="283"/>
      <c r="D341" s="283"/>
      <c r="E341" s="283"/>
      <c r="F341" s="283"/>
      <c r="G341" s="283"/>
      <c r="H341" s="283"/>
      <c r="I341" s="283"/>
      <c r="J341" s="283"/>
      <c r="K341" s="340"/>
      <c r="L341" s="283"/>
      <c r="M341" s="283"/>
      <c r="N341" s="283"/>
      <c r="O341" s="283"/>
      <c r="P341" s="283"/>
      <c r="Q341" s="340"/>
      <c r="R341" s="283"/>
      <c r="S341" s="283"/>
      <c r="T341" s="340"/>
      <c r="U341" s="340"/>
      <c r="V341" s="283"/>
      <c r="W341" s="283"/>
      <c r="X341" s="283"/>
      <c r="Y341" s="283"/>
      <c r="Z341" s="283"/>
    </row>
    <row r="342" ht="15.75" customHeight="1">
      <c r="A342" s="340"/>
      <c r="B342" s="340"/>
      <c r="C342" s="283"/>
      <c r="D342" s="283"/>
      <c r="E342" s="283"/>
      <c r="F342" s="283"/>
      <c r="G342" s="283"/>
      <c r="H342" s="283"/>
      <c r="I342" s="283"/>
      <c r="J342" s="283"/>
      <c r="K342" s="340"/>
      <c r="L342" s="283"/>
      <c r="M342" s="283"/>
      <c r="N342" s="283"/>
      <c r="O342" s="283"/>
      <c r="P342" s="283"/>
      <c r="Q342" s="340"/>
      <c r="R342" s="283"/>
      <c r="S342" s="283"/>
      <c r="T342" s="340"/>
      <c r="U342" s="340"/>
      <c r="V342" s="283"/>
      <c r="W342" s="283"/>
      <c r="X342" s="283"/>
      <c r="Y342" s="283"/>
      <c r="Z342" s="283"/>
    </row>
    <row r="343" ht="15.75" customHeight="1">
      <c r="A343" s="340"/>
      <c r="B343" s="340"/>
      <c r="C343" s="283"/>
      <c r="D343" s="283"/>
      <c r="E343" s="283"/>
      <c r="F343" s="283"/>
      <c r="G343" s="283"/>
      <c r="H343" s="283"/>
      <c r="I343" s="283"/>
      <c r="J343" s="283"/>
      <c r="K343" s="340"/>
      <c r="L343" s="283"/>
      <c r="M343" s="283"/>
      <c r="N343" s="283"/>
      <c r="O343" s="283"/>
      <c r="P343" s="283"/>
      <c r="Q343" s="340"/>
      <c r="R343" s="283"/>
      <c r="S343" s="283"/>
      <c r="T343" s="340"/>
      <c r="U343" s="340"/>
      <c r="V343" s="283"/>
      <c r="W343" s="283"/>
      <c r="X343" s="283"/>
      <c r="Y343" s="283"/>
      <c r="Z343" s="283"/>
    </row>
    <row r="344" ht="15.75" customHeight="1">
      <c r="A344" s="340"/>
      <c r="B344" s="340"/>
      <c r="C344" s="283"/>
      <c r="D344" s="283"/>
      <c r="E344" s="283"/>
      <c r="F344" s="283"/>
      <c r="G344" s="283"/>
      <c r="H344" s="283"/>
      <c r="I344" s="283"/>
      <c r="J344" s="283"/>
      <c r="K344" s="340"/>
      <c r="L344" s="283"/>
      <c r="M344" s="283"/>
      <c r="N344" s="283"/>
      <c r="O344" s="283"/>
      <c r="P344" s="283"/>
      <c r="Q344" s="340"/>
      <c r="R344" s="283"/>
      <c r="S344" s="283"/>
      <c r="T344" s="340"/>
      <c r="U344" s="340"/>
      <c r="V344" s="283"/>
      <c r="W344" s="283"/>
      <c r="X344" s="283"/>
      <c r="Y344" s="283"/>
      <c r="Z344" s="283"/>
    </row>
    <row r="345" ht="15.75" customHeight="1">
      <c r="A345" s="340"/>
      <c r="B345" s="340"/>
      <c r="C345" s="283"/>
      <c r="D345" s="283"/>
      <c r="E345" s="283"/>
      <c r="F345" s="283"/>
      <c r="G345" s="283"/>
      <c r="H345" s="283"/>
      <c r="I345" s="283"/>
      <c r="J345" s="283"/>
      <c r="K345" s="340"/>
      <c r="L345" s="283"/>
      <c r="M345" s="283"/>
      <c r="N345" s="283"/>
      <c r="O345" s="283"/>
      <c r="P345" s="283"/>
      <c r="Q345" s="340"/>
      <c r="R345" s="283"/>
      <c r="S345" s="283"/>
      <c r="T345" s="340"/>
      <c r="U345" s="340"/>
      <c r="V345" s="283"/>
      <c r="W345" s="283"/>
      <c r="X345" s="283"/>
      <c r="Y345" s="283"/>
      <c r="Z345" s="283"/>
    </row>
    <row r="346" ht="15.75" customHeight="1">
      <c r="A346" s="340"/>
      <c r="B346" s="340"/>
      <c r="C346" s="283"/>
      <c r="D346" s="283"/>
      <c r="E346" s="283"/>
      <c r="F346" s="283"/>
      <c r="G346" s="283"/>
      <c r="H346" s="283"/>
      <c r="I346" s="283"/>
      <c r="J346" s="283"/>
      <c r="K346" s="340"/>
      <c r="L346" s="283"/>
      <c r="M346" s="283"/>
      <c r="N346" s="283"/>
      <c r="O346" s="283"/>
      <c r="P346" s="283"/>
      <c r="Q346" s="340"/>
      <c r="R346" s="283"/>
      <c r="S346" s="283"/>
      <c r="T346" s="340"/>
      <c r="U346" s="340"/>
      <c r="V346" s="283"/>
      <c r="W346" s="283"/>
      <c r="X346" s="283"/>
      <c r="Y346" s="283"/>
      <c r="Z346" s="283"/>
    </row>
    <row r="347" ht="15.75" customHeight="1">
      <c r="A347" s="340"/>
      <c r="B347" s="340"/>
      <c r="C347" s="283"/>
      <c r="D347" s="283"/>
      <c r="E347" s="283"/>
      <c r="F347" s="283"/>
      <c r="G347" s="283"/>
      <c r="H347" s="283"/>
      <c r="I347" s="283"/>
      <c r="J347" s="283"/>
      <c r="K347" s="340"/>
      <c r="L347" s="283"/>
      <c r="M347" s="283"/>
      <c r="N347" s="283"/>
      <c r="O347" s="283"/>
      <c r="P347" s="283"/>
      <c r="Q347" s="340"/>
      <c r="R347" s="283"/>
      <c r="S347" s="283"/>
      <c r="T347" s="340"/>
      <c r="U347" s="340"/>
      <c r="V347" s="283"/>
      <c r="W347" s="283"/>
      <c r="X347" s="283"/>
      <c r="Y347" s="283"/>
      <c r="Z347" s="283"/>
    </row>
    <row r="348" ht="15.75" customHeight="1">
      <c r="A348" s="340"/>
      <c r="B348" s="340"/>
      <c r="C348" s="283"/>
      <c r="D348" s="283"/>
      <c r="E348" s="283"/>
      <c r="F348" s="283"/>
      <c r="G348" s="283"/>
      <c r="H348" s="283"/>
      <c r="I348" s="283"/>
      <c r="J348" s="283"/>
      <c r="K348" s="340"/>
      <c r="L348" s="283"/>
      <c r="M348" s="283"/>
      <c r="N348" s="283"/>
      <c r="O348" s="283"/>
      <c r="P348" s="283"/>
      <c r="Q348" s="340"/>
      <c r="R348" s="283"/>
      <c r="S348" s="283"/>
      <c r="T348" s="340"/>
      <c r="U348" s="340"/>
      <c r="V348" s="283"/>
      <c r="W348" s="283"/>
      <c r="X348" s="283"/>
      <c r="Y348" s="283"/>
      <c r="Z348" s="283"/>
    </row>
    <row r="349" ht="15.75" customHeight="1">
      <c r="A349" s="340"/>
      <c r="B349" s="340"/>
      <c r="C349" s="283"/>
      <c r="D349" s="283"/>
      <c r="E349" s="283"/>
      <c r="F349" s="283"/>
      <c r="G349" s="283"/>
      <c r="H349" s="283"/>
      <c r="I349" s="283"/>
      <c r="J349" s="283"/>
      <c r="K349" s="340"/>
      <c r="L349" s="283"/>
      <c r="M349" s="283"/>
      <c r="N349" s="283"/>
      <c r="O349" s="283"/>
      <c r="P349" s="283"/>
      <c r="Q349" s="340"/>
      <c r="R349" s="283"/>
      <c r="S349" s="283"/>
      <c r="T349" s="340"/>
      <c r="U349" s="340"/>
      <c r="V349" s="283"/>
      <c r="W349" s="283"/>
      <c r="X349" s="283"/>
      <c r="Y349" s="283"/>
      <c r="Z349" s="283"/>
    </row>
    <row r="350" ht="15.75" customHeight="1">
      <c r="A350" s="340"/>
      <c r="B350" s="340"/>
      <c r="C350" s="283"/>
      <c r="D350" s="283"/>
      <c r="E350" s="283"/>
      <c r="F350" s="283"/>
      <c r="G350" s="283"/>
      <c r="H350" s="283"/>
      <c r="I350" s="283"/>
      <c r="J350" s="283"/>
      <c r="K350" s="340"/>
      <c r="L350" s="283"/>
      <c r="M350" s="283"/>
      <c r="N350" s="283"/>
      <c r="O350" s="283"/>
      <c r="P350" s="283"/>
      <c r="Q350" s="340"/>
      <c r="R350" s="283"/>
      <c r="S350" s="283"/>
      <c r="T350" s="340"/>
      <c r="U350" s="340"/>
      <c r="V350" s="283"/>
      <c r="W350" s="283"/>
      <c r="X350" s="283"/>
      <c r="Y350" s="283"/>
      <c r="Z350" s="283"/>
    </row>
    <row r="351" ht="15.75" customHeight="1">
      <c r="A351" s="340"/>
      <c r="B351" s="340"/>
      <c r="C351" s="283"/>
      <c r="D351" s="283"/>
      <c r="E351" s="283"/>
      <c r="F351" s="283"/>
      <c r="G351" s="283"/>
      <c r="H351" s="283"/>
      <c r="I351" s="283"/>
      <c r="J351" s="283"/>
      <c r="K351" s="340"/>
      <c r="L351" s="283"/>
      <c r="M351" s="283"/>
      <c r="N351" s="283"/>
      <c r="O351" s="283"/>
      <c r="P351" s="283"/>
      <c r="Q351" s="340"/>
      <c r="R351" s="283"/>
      <c r="S351" s="283"/>
      <c r="T351" s="340"/>
      <c r="U351" s="340"/>
      <c r="V351" s="283"/>
      <c r="W351" s="283"/>
      <c r="X351" s="283"/>
      <c r="Y351" s="283"/>
      <c r="Z351" s="283"/>
    </row>
    <row r="352" ht="15.75" customHeight="1">
      <c r="A352" s="340"/>
      <c r="B352" s="340"/>
      <c r="C352" s="283"/>
      <c r="D352" s="283"/>
      <c r="E352" s="283"/>
      <c r="F352" s="283"/>
      <c r="G352" s="283"/>
      <c r="H352" s="283"/>
      <c r="I352" s="283"/>
      <c r="J352" s="283"/>
      <c r="K352" s="340"/>
      <c r="L352" s="283"/>
      <c r="M352" s="283"/>
      <c r="N352" s="283"/>
      <c r="O352" s="283"/>
      <c r="P352" s="283"/>
      <c r="Q352" s="340"/>
      <c r="R352" s="283"/>
      <c r="S352" s="283"/>
      <c r="T352" s="340"/>
      <c r="U352" s="340"/>
      <c r="V352" s="283"/>
      <c r="W352" s="283"/>
      <c r="X352" s="283"/>
      <c r="Y352" s="283"/>
      <c r="Z352" s="283"/>
    </row>
    <row r="353" ht="15.75" customHeight="1">
      <c r="A353" s="340"/>
      <c r="B353" s="340"/>
      <c r="C353" s="283"/>
      <c r="D353" s="283"/>
      <c r="E353" s="283"/>
      <c r="F353" s="283"/>
      <c r="G353" s="283"/>
      <c r="H353" s="283"/>
      <c r="I353" s="283"/>
      <c r="J353" s="283"/>
      <c r="K353" s="340"/>
      <c r="L353" s="283"/>
      <c r="M353" s="283"/>
      <c r="N353" s="283"/>
      <c r="O353" s="283"/>
      <c r="P353" s="283"/>
      <c r="Q353" s="340"/>
      <c r="R353" s="283"/>
      <c r="S353" s="283"/>
      <c r="T353" s="340"/>
      <c r="U353" s="340"/>
      <c r="V353" s="283"/>
      <c r="W353" s="283"/>
      <c r="X353" s="283"/>
      <c r="Y353" s="283"/>
      <c r="Z353" s="283"/>
    </row>
    <row r="354" ht="15.75" customHeight="1">
      <c r="A354" s="340"/>
      <c r="B354" s="340"/>
      <c r="C354" s="283"/>
      <c r="D354" s="283"/>
      <c r="E354" s="283"/>
      <c r="F354" s="283"/>
      <c r="G354" s="283"/>
      <c r="H354" s="283"/>
      <c r="I354" s="283"/>
      <c r="J354" s="283"/>
      <c r="K354" s="340"/>
      <c r="L354" s="283"/>
      <c r="M354" s="283"/>
      <c r="N354" s="283"/>
      <c r="O354" s="283"/>
      <c r="P354" s="283"/>
      <c r="Q354" s="340"/>
      <c r="R354" s="283"/>
      <c r="S354" s="283"/>
      <c r="T354" s="340"/>
      <c r="U354" s="340"/>
      <c r="V354" s="283"/>
      <c r="W354" s="283"/>
      <c r="X354" s="283"/>
      <c r="Y354" s="283"/>
      <c r="Z354" s="283"/>
    </row>
    <row r="355" ht="15.75" customHeight="1">
      <c r="A355" s="340"/>
      <c r="B355" s="340"/>
      <c r="C355" s="283"/>
      <c r="D355" s="283"/>
      <c r="E355" s="283"/>
      <c r="F355" s="283"/>
      <c r="G355" s="283"/>
      <c r="H355" s="283"/>
      <c r="I355" s="283"/>
      <c r="J355" s="283"/>
      <c r="K355" s="340"/>
      <c r="L355" s="283"/>
      <c r="M355" s="283"/>
      <c r="N355" s="283"/>
      <c r="O355" s="283"/>
      <c r="P355" s="283"/>
      <c r="Q355" s="340"/>
      <c r="R355" s="283"/>
      <c r="S355" s="283"/>
      <c r="T355" s="340"/>
      <c r="U355" s="340"/>
      <c r="V355" s="283"/>
      <c r="W355" s="283"/>
      <c r="X355" s="283"/>
      <c r="Y355" s="283"/>
      <c r="Z355" s="283"/>
    </row>
    <row r="356" ht="15.75" customHeight="1">
      <c r="A356" s="340"/>
      <c r="B356" s="340"/>
      <c r="C356" s="283"/>
      <c r="D356" s="283"/>
      <c r="E356" s="283"/>
      <c r="F356" s="283"/>
      <c r="G356" s="283"/>
      <c r="H356" s="283"/>
      <c r="I356" s="283"/>
      <c r="J356" s="283"/>
      <c r="K356" s="340"/>
      <c r="L356" s="283"/>
      <c r="M356" s="283"/>
      <c r="N356" s="283"/>
      <c r="O356" s="283"/>
      <c r="P356" s="283"/>
      <c r="Q356" s="340"/>
      <c r="R356" s="283"/>
      <c r="S356" s="283"/>
      <c r="T356" s="340"/>
      <c r="U356" s="340"/>
      <c r="V356" s="283"/>
      <c r="W356" s="283"/>
      <c r="X356" s="283"/>
      <c r="Y356" s="283"/>
      <c r="Z356" s="283"/>
    </row>
    <row r="357" ht="15.75" customHeight="1">
      <c r="A357" s="340"/>
      <c r="B357" s="340"/>
      <c r="C357" s="283"/>
      <c r="D357" s="283"/>
      <c r="E357" s="283"/>
      <c r="F357" s="283"/>
      <c r="G357" s="283"/>
      <c r="H357" s="283"/>
      <c r="I357" s="283"/>
      <c r="J357" s="283"/>
      <c r="K357" s="340"/>
      <c r="L357" s="283"/>
      <c r="M357" s="283"/>
      <c r="N357" s="283"/>
      <c r="O357" s="283"/>
      <c r="P357" s="283"/>
      <c r="Q357" s="340"/>
      <c r="R357" s="283"/>
      <c r="S357" s="283"/>
      <c r="T357" s="340"/>
      <c r="U357" s="340"/>
      <c r="V357" s="283"/>
      <c r="W357" s="283"/>
      <c r="X357" s="283"/>
      <c r="Y357" s="283"/>
      <c r="Z357" s="283"/>
    </row>
    <row r="358" ht="15.75" customHeight="1">
      <c r="A358" s="340"/>
      <c r="B358" s="340"/>
      <c r="C358" s="283"/>
      <c r="D358" s="283"/>
      <c r="E358" s="283"/>
      <c r="F358" s="283"/>
      <c r="G358" s="283"/>
      <c r="H358" s="283"/>
      <c r="I358" s="283"/>
      <c r="J358" s="283"/>
      <c r="K358" s="340"/>
      <c r="L358" s="283"/>
      <c r="M358" s="283"/>
      <c r="N358" s="283"/>
      <c r="O358" s="283"/>
      <c r="P358" s="283"/>
      <c r="Q358" s="340"/>
      <c r="R358" s="283"/>
      <c r="S358" s="283"/>
      <c r="T358" s="340"/>
      <c r="U358" s="340"/>
      <c r="V358" s="283"/>
      <c r="W358" s="283"/>
      <c r="X358" s="283"/>
      <c r="Y358" s="283"/>
      <c r="Z358" s="283"/>
    </row>
    <row r="359" ht="15.75" customHeight="1">
      <c r="A359" s="340"/>
      <c r="B359" s="340"/>
      <c r="C359" s="283"/>
      <c r="D359" s="283"/>
      <c r="E359" s="283"/>
      <c r="F359" s="283"/>
      <c r="G359" s="283"/>
      <c r="H359" s="283"/>
      <c r="I359" s="283"/>
      <c r="J359" s="283"/>
      <c r="K359" s="340"/>
      <c r="L359" s="283"/>
      <c r="M359" s="283"/>
      <c r="N359" s="283"/>
      <c r="O359" s="283"/>
      <c r="P359" s="283"/>
      <c r="Q359" s="340"/>
      <c r="R359" s="283"/>
      <c r="S359" s="283"/>
      <c r="T359" s="340"/>
      <c r="U359" s="340"/>
      <c r="V359" s="283"/>
      <c r="W359" s="283"/>
      <c r="X359" s="283"/>
      <c r="Y359" s="283"/>
      <c r="Z359" s="283"/>
    </row>
    <row r="360" ht="15.75" customHeight="1">
      <c r="A360" s="340"/>
      <c r="B360" s="340"/>
      <c r="C360" s="283"/>
      <c r="D360" s="283"/>
      <c r="E360" s="283"/>
      <c r="F360" s="283"/>
      <c r="G360" s="283"/>
      <c r="H360" s="283"/>
      <c r="I360" s="283"/>
      <c r="J360" s="283"/>
      <c r="K360" s="340"/>
      <c r="L360" s="283"/>
      <c r="M360" s="283"/>
      <c r="N360" s="283"/>
      <c r="O360" s="283"/>
      <c r="P360" s="283"/>
      <c r="Q360" s="340"/>
      <c r="R360" s="283"/>
      <c r="S360" s="283"/>
      <c r="T360" s="340"/>
      <c r="U360" s="340"/>
      <c r="V360" s="283"/>
      <c r="W360" s="283"/>
      <c r="X360" s="283"/>
      <c r="Y360" s="283"/>
      <c r="Z360" s="283"/>
    </row>
    <row r="361" ht="15.75" customHeight="1">
      <c r="A361" s="340"/>
      <c r="B361" s="340"/>
      <c r="C361" s="283"/>
      <c r="D361" s="283"/>
      <c r="E361" s="283"/>
      <c r="F361" s="283"/>
      <c r="G361" s="283"/>
      <c r="H361" s="283"/>
      <c r="I361" s="283"/>
      <c r="J361" s="283"/>
      <c r="K361" s="340"/>
      <c r="L361" s="283"/>
      <c r="M361" s="283"/>
      <c r="N361" s="283"/>
      <c r="O361" s="283"/>
      <c r="P361" s="283"/>
      <c r="Q361" s="340"/>
      <c r="R361" s="283"/>
      <c r="S361" s="283"/>
      <c r="T361" s="340"/>
      <c r="U361" s="340"/>
      <c r="V361" s="283"/>
      <c r="W361" s="283"/>
      <c r="X361" s="283"/>
      <c r="Y361" s="283"/>
      <c r="Z361" s="283"/>
    </row>
    <row r="362" ht="15.75" customHeight="1">
      <c r="A362" s="340"/>
      <c r="B362" s="340"/>
      <c r="C362" s="283"/>
      <c r="D362" s="283"/>
      <c r="E362" s="283"/>
      <c r="F362" s="283"/>
      <c r="G362" s="283"/>
      <c r="H362" s="283"/>
      <c r="I362" s="283"/>
      <c r="J362" s="283"/>
      <c r="K362" s="340"/>
      <c r="L362" s="283"/>
      <c r="M362" s="283"/>
      <c r="N362" s="283"/>
      <c r="O362" s="283"/>
      <c r="P362" s="283"/>
      <c r="Q362" s="340"/>
      <c r="R362" s="283"/>
      <c r="S362" s="283"/>
      <c r="T362" s="340"/>
      <c r="U362" s="340"/>
      <c r="V362" s="283"/>
      <c r="W362" s="283"/>
      <c r="X362" s="283"/>
      <c r="Y362" s="283"/>
      <c r="Z362" s="283"/>
    </row>
    <row r="363" ht="15.75" customHeight="1">
      <c r="A363" s="340"/>
      <c r="B363" s="340"/>
      <c r="C363" s="283"/>
      <c r="D363" s="283"/>
      <c r="E363" s="283"/>
      <c r="F363" s="283"/>
      <c r="G363" s="283"/>
      <c r="H363" s="283"/>
      <c r="I363" s="283"/>
      <c r="J363" s="283"/>
      <c r="K363" s="340"/>
      <c r="L363" s="283"/>
      <c r="M363" s="283"/>
      <c r="N363" s="283"/>
      <c r="O363" s="283"/>
      <c r="P363" s="283"/>
      <c r="Q363" s="340"/>
      <c r="R363" s="283"/>
      <c r="S363" s="283"/>
      <c r="T363" s="340"/>
      <c r="U363" s="340"/>
      <c r="V363" s="283"/>
      <c r="W363" s="283"/>
      <c r="X363" s="283"/>
      <c r="Y363" s="283"/>
      <c r="Z363" s="283"/>
    </row>
    <row r="364" ht="15.75" customHeight="1">
      <c r="A364" s="340"/>
      <c r="B364" s="340"/>
      <c r="C364" s="283"/>
      <c r="D364" s="283"/>
      <c r="E364" s="283"/>
      <c r="F364" s="283"/>
      <c r="G364" s="283"/>
      <c r="H364" s="283"/>
      <c r="I364" s="283"/>
      <c r="J364" s="283"/>
      <c r="K364" s="340"/>
      <c r="L364" s="283"/>
      <c r="M364" s="283"/>
      <c r="N364" s="283"/>
      <c r="O364" s="283"/>
      <c r="P364" s="283"/>
      <c r="Q364" s="340"/>
      <c r="R364" s="283"/>
      <c r="S364" s="283"/>
      <c r="T364" s="340"/>
      <c r="U364" s="340"/>
      <c r="V364" s="283"/>
      <c r="W364" s="283"/>
      <c r="X364" s="283"/>
      <c r="Y364" s="283"/>
      <c r="Z364" s="283"/>
    </row>
    <row r="365" ht="15.75" customHeight="1">
      <c r="A365" s="340"/>
      <c r="B365" s="340"/>
      <c r="C365" s="283"/>
      <c r="D365" s="283"/>
      <c r="E365" s="283"/>
      <c r="F365" s="283"/>
      <c r="G365" s="283"/>
      <c r="H365" s="283"/>
      <c r="I365" s="283"/>
      <c r="J365" s="283"/>
      <c r="K365" s="340"/>
      <c r="L365" s="283"/>
      <c r="M365" s="283"/>
      <c r="N365" s="283"/>
      <c r="O365" s="283"/>
      <c r="P365" s="283"/>
      <c r="Q365" s="340"/>
      <c r="R365" s="283"/>
      <c r="S365" s="283"/>
      <c r="T365" s="340"/>
      <c r="U365" s="340"/>
      <c r="V365" s="283"/>
      <c r="W365" s="283"/>
      <c r="X365" s="283"/>
      <c r="Y365" s="283"/>
      <c r="Z365" s="283"/>
    </row>
    <row r="366" ht="15.75" customHeight="1">
      <c r="A366" s="340"/>
      <c r="B366" s="340"/>
      <c r="C366" s="283"/>
      <c r="D366" s="283"/>
      <c r="E366" s="283"/>
      <c r="F366" s="283"/>
      <c r="G366" s="283"/>
      <c r="H366" s="283"/>
      <c r="I366" s="283"/>
      <c r="J366" s="283"/>
      <c r="K366" s="340"/>
      <c r="L366" s="283"/>
      <c r="M366" s="283"/>
      <c r="N366" s="283"/>
      <c r="O366" s="283"/>
      <c r="P366" s="283"/>
      <c r="Q366" s="340"/>
      <c r="R366" s="283"/>
      <c r="S366" s="283"/>
      <c r="T366" s="340"/>
      <c r="U366" s="340"/>
      <c r="V366" s="283"/>
      <c r="W366" s="283"/>
      <c r="X366" s="283"/>
      <c r="Y366" s="283"/>
      <c r="Z366" s="283"/>
    </row>
    <row r="367" ht="15.75" customHeight="1">
      <c r="A367" s="340"/>
      <c r="B367" s="340"/>
      <c r="C367" s="283"/>
      <c r="D367" s="283"/>
      <c r="E367" s="283"/>
      <c r="F367" s="283"/>
      <c r="G367" s="283"/>
      <c r="H367" s="283"/>
      <c r="I367" s="283"/>
      <c r="J367" s="283"/>
      <c r="K367" s="340"/>
      <c r="L367" s="283"/>
      <c r="M367" s="283"/>
      <c r="N367" s="283"/>
      <c r="O367" s="283"/>
      <c r="P367" s="283"/>
      <c r="Q367" s="340"/>
      <c r="R367" s="283"/>
      <c r="S367" s="283"/>
      <c r="T367" s="340"/>
      <c r="U367" s="340"/>
      <c r="V367" s="283"/>
      <c r="W367" s="283"/>
      <c r="X367" s="283"/>
      <c r="Y367" s="283"/>
      <c r="Z367" s="283"/>
    </row>
    <row r="368" ht="15.75" customHeight="1">
      <c r="A368" s="340"/>
      <c r="B368" s="340"/>
      <c r="C368" s="283"/>
      <c r="D368" s="283"/>
      <c r="E368" s="283"/>
      <c r="F368" s="283"/>
      <c r="G368" s="283"/>
      <c r="H368" s="283"/>
      <c r="I368" s="283"/>
      <c r="J368" s="283"/>
      <c r="K368" s="340"/>
      <c r="L368" s="283"/>
      <c r="M368" s="283"/>
      <c r="N368" s="283"/>
      <c r="O368" s="283"/>
      <c r="P368" s="283"/>
      <c r="Q368" s="340"/>
      <c r="R368" s="283"/>
      <c r="S368" s="283"/>
      <c r="T368" s="340"/>
      <c r="U368" s="340"/>
      <c r="V368" s="283"/>
      <c r="W368" s="283"/>
      <c r="X368" s="283"/>
      <c r="Y368" s="283"/>
      <c r="Z368" s="283"/>
    </row>
    <row r="369" ht="15.75" customHeight="1">
      <c r="A369" s="340"/>
      <c r="B369" s="340"/>
      <c r="C369" s="283"/>
      <c r="D369" s="283"/>
      <c r="E369" s="283"/>
      <c r="F369" s="283"/>
      <c r="G369" s="283"/>
      <c r="H369" s="283"/>
      <c r="I369" s="283"/>
      <c r="J369" s="283"/>
      <c r="K369" s="340"/>
      <c r="L369" s="283"/>
      <c r="M369" s="283"/>
      <c r="N369" s="283"/>
      <c r="O369" s="283"/>
      <c r="P369" s="283"/>
      <c r="Q369" s="340"/>
      <c r="R369" s="283"/>
      <c r="S369" s="283"/>
      <c r="T369" s="340"/>
      <c r="U369" s="340"/>
      <c r="V369" s="283"/>
      <c r="W369" s="283"/>
      <c r="X369" s="283"/>
      <c r="Y369" s="283"/>
      <c r="Z369" s="283"/>
    </row>
    <row r="370" ht="15.75" customHeight="1">
      <c r="A370" s="340"/>
      <c r="B370" s="340"/>
      <c r="C370" s="283"/>
      <c r="D370" s="283"/>
      <c r="E370" s="283"/>
      <c r="F370" s="283"/>
      <c r="G370" s="283"/>
      <c r="H370" s="283"/>
      <c r="I370" s="283"/>
      <c r="J370" s="283"/>
      <c r="K370" s="340"/>
      <c r="L370" s="283"/>
      <c r="M370" s="283"/>
      <c r="N370" s="283"/>
      <c r="O370" s="283"/>
      <c r="P370" s="283"/>
      <c r="Q370" s="340"/>
      <c r="R370" s="283"/>
      <c r="S370" s="283"/>
      <c r="T370" s="340"/>
      <c r="U370" s="340"/>
      <c r="V370" s="283"/>
      <c r="W370" s="283"/>
      <c r="X370" s="283"/>
      <c r="Y370" s="283"/>
      <c r="Z370" s="283"/>
    </row>
    <row r="371" ht="15.75" customHeight="1">
      <c r="A371" s="340"/>
      <c r="B371" s="340"/>
      <c r="C371" s="283"/>
      <c r="D371" s="283"/>
      <c r="E371" s="283"/>
      <c r="F371" s="283"/>
      <c r="G371" s="283"/>
      <c r="H371" s="283"/>
      <c r="I371" s="283"/>
      <c r="J371" s="283"/>
      <c r="K371" s="340"/>
      <c r="L371" s="283"/>
      <c r="M371" s="283"/>
      <c r="N371" s="283"/>
      <c r="O371" s="283"/>
      <c r="P371" s="283"/>
      <c r="Q371" s="340"/>
      <c r="R371" s="283"/>
      <c r="S371" s="283"/>
      <c r="T371" s="340"/>
      <c r="U371" s="340"/>
      <c r="V371" s="283"/>
      <c r="W371" s="283"/>
      <c r="X371" s="283"/>
      <c r="Y371" s="283"/>
      <c r="Z371" s="283"/>
    </row>
    <row r="372" ht="15.75" customHeight="1">
      <c r="A372" s="340"/>
      <c r="B372" s="340"/>
      <c r="C372" s="283"/>
      <c r="D372" s="283"/>
      <c r="E372" s="283"/>
      <c r="F372" s="283"/>
      <c r="G372" s="283"/>
      <c r="H372" s="283"/>
      <c r="I372" s="283"/>
      <c r="J372" s="283"/>
      <c r="K372" s="340"/>
      <c r="L372" s="283"/>
      <c r="M372" s="283"/>
      <c r="N372" s="283"/>
      <c r="O372" s="283"/>
      <c r="P372" s="283"/>
      <c r="Q372" s="340"/>
      <c r="R372" s="283"/>
      <c r="S372" s="283"/>
      <c r="T372" s="340"/>
      <c r="U372" s="340"/>
      <c r="V372" s="283"/>
      <c r="W372" s="283"/>
      <c r="X372" s="283"/>
      <c r="Y372" s="283"/>
      <c r="Z372" s="283"/>
    </row>
    <row r="373" ht="15.75" customHeight="1">
      <c r="A373" s="340"/>
      <c r="B373" s="340"/>
      <c r="C373" s="283"/>
      <c r="D373" s="283"/>
      <c r="E373" s="283"/>
      <c r="F373" s="283"/>
      <c r="G373" s="283"/>
      <c r="H373" s="283"/>
      <c r="I373" s="283"/>
      <c r="J373" s="283"/>
      <c r="K373" s="340"/>
      <c r="L373" s="283"/>
      <c r="M373" s="283"/>
      <c r="N373" s="283"/>
      <c r="O373" s="283"/>
      <c r="P373" s="283"/>
      <c r="Q373" s="340"/>
      <c r="R373" s="283"/>
      <c r="S373" s="283"/>
      <c r="T373" s="340"/>
      <c r="U373" s="340"/>
      <c r="V373" s="283"/>
      <c r="W373" s="283"/>
      <c r="X373" s="283"/>
      <c r="Y373" s="283"/>
      <c r="Z373" s="283"/>
    </row>
    <row r="374" ht="15.75" customHeight="1">
      <c r="A374" s="340"/>
      <c r="B374" s="340"/>
      <c r="C374" s="283"/>
      <c r="D374" s="283"/>
      <c r="E374" s="283"/>
      <c r="F374" s="283"/>
      <c r="G374" s="283"/>
      <c r="H374" s="283"/>
      <c r="I374" s="283"/>
      <c r="J374" s="283"/>
      <c r="K374" s="340"/>
      <c r="L374" s="283"/>
      <c r="M374" s="283"/>
      <c r="N374" s="283"/>
      <c r="O374" s="283"/>
      <c r="P374" s="283"/>
      <c r="Q374" s="340"/>
      <c r="R374" s="283"/>
      <c r="S374" s="283"/>
      <c r="T374" s="340"/>
      <c r="U374" s="340"/>
      <c r="V374" s="283"/>
      <c r="W374" s="283"/>
      <c r="X374" s="283"/>
      <c r="Y374" s="283"/>
      <c r="Z374" s="283"/>
    </row>
    <row r="375" ht="15.75" customHeight="1">
      <c r="A375" s="340"/>
      <c r="B375" s="340"/>
      <c r="C375" s="283"/>
      <c r="D375" s="283"/>
      <c r="E375" s="283"/>
      <c r="F375" s="283"/>
      <c r="G375" s="283"/>
      <c r="H375" s="283"/>
      <c r="I375" s="283"/>
      <c r="J375" s="283"/>
      <c r="K375" s="340"/>
      <c r="L375" s="283"/>
      <c r="M375" s="283"/>
      <c r="N375" s="283"/>
      <c r="O375" s="283"/>
      <c r="P375" s="283"/>
      <c r="Q375" s="340"/>
      <c r="R375" s="283"/>
      <c r="S375" s="283"/>
      <c r="T375" s="340"/>
      <c r="U375" s="340"/>
      <c r="V375" s="283"/>
      <c r="W375" s="283"/>
      <c r="X375" s="283"/>
      <c r="Y375" s="283"/>
      <c r="Z375" s="283"/>
    </row>
    <row r="376" ht="15.75" customHeight="1">
      <c r="A376" s="340"/>
      <c r="B376" s="340"/>
      <c r="C376" s="283"/>
      <c r="D376" s="283"/>
      <c r="E376" s="283"/>
      <c r="F376" s="283"/>
      <c r="G376" s="283"/>
      <c r="H376" s="283"/>
      <c r="I376" s="283"/>
      <c r="J376" s="283"/>
      <c r="K376" s="340"/>
      <c r="L376" s="283"/>
      <c r="M376" s="283"/>
      <c r="N376" s="283"/>
      <c r="O376" s="283"/>
      <c r="P376" s="283"/>
      <c r="Q376" s="340"/>
      <c r="R376" s="283"/>
      <c r="S376" s="283"/>
      <c r="T376" s="340"/>
      <c r="U376" s="340"/>
      <c r="V376" s="283"/>
      <c r="W376" s="283"/>
      <c r="X376" s="283"/>
      <c r="Y376" s="283"/>
      <c r="Z376" s="283"/>
    </row>
    <row r="377" ht="15.75" customHeight="1">
      <c r="A377" s="340"/>
      <c r="B377" s="340"/>
      <c r="C377" s="283"/>
      <c r="D377" s="283"/>
      <c r="E377" s="283"/>
      <c r="F377" s="283"/>
      <c r="G377" s="283"/>
      <c r="H377" s="283"/>
      <c r="I377" s="283"/>
      <c r="J377" s="283"/>
      <c r="K377" s="340"/>
      <c r="L377" s="283"/>
      <c r="M377" s="283"/>
      <c r="N377" s="283"/>
      <c r="O377" s="283"/>
      <c r="P377" s="283"/>
      <c r="Q377" s="340"/>
      <c r="R377" s="283"/>
      <c r="S377" s="283"/>
      <c r="T377" s="340"/>
      <c r="U377" s="340"/>
      <c r="V377" s="283"/>
      <c r="W377" s="283"/>
      <c r="X377" s="283"/>
      <c r="Y377" s="283"/>
      <c r="Z377" s="283"/>
    </row>
    <row r="378" ht="15.75" customHeight="1">
      <c r="A378" s="340"/>
      <c r="B378" s="340"/>
      <c r="C378" s="283"/>
      <c r="D378" s="283"/>
      <c r="E378" s="283"/>
      <c r="F378" s="283"/>
      <c r="G378" s="283"/>
      <c r="H378" s="283"/>
      <c r="I378" s="283"/>
      <c r="J378" s="283"/>
      <c r="K378" s="340"/>
      <c r="L378" s="283"/>
      <c r="M378" s="283"/>
      <c r="N378" s="283"/>
      <c r="O378" s="283"/>
      <c r="P378" s="283"/>
      <c r="Q378" s="340"/>
      <c r="R378" s="283"/>
      <c r="S378" s="283"/>
      <c r="T378" s="340"/>
      <c r="U378" s="340"/>
      <c r="V378" s="283"/>
      <c r="W378" s="283"/>
      <c r="X378" s="283"/>
      <c r="Y378" s="283"/>
      <c r="Z378" s="283"/>
    </row>
    <row r="379" ht="15.75" customHeight="1">
      <c r="A379" s="340"/>
      <c r="B379" s="340"/>
      <c r="C379" s="283"/>
      <c r="D379" s="283"/>
      <c r="E379" s="283"/>
      <c r="F379" s="283"/>
      <c r="G379" s="283"/>
      <c r="H379" s="283"/>
      <c r="I379" s="283"/>
      <c r="J379" s="283"/>
      <c r="K379" s="340"/>
      <c r="L379" s="283"/>
      <c r="M379" s="283"/>
      <c r="N379" s="283"/>
      <c r="O379" s="283"/>
      <c r="P379" s="283"/>
      <c r="Q379" s="340"/>
      <c r="R379" s="283"/>
      <c r="S379" s="283"/>
      <c r="T379" s="340"/>
      <c r="U379" s="340"/>
      <c r="V379" s="283"/>
      <c r="W379" s="283"/>
      <c r="X379" s="283"/>
      <c r="Y379" s="283"/>
      <c r="Z379" s="283"/>
    </row>
    <row r="380" ht="15.75" customHeight="1">
      <c r="A380" s="340"/>
      <c r="B380" s="340"/>
      <c r="C380" s="283"/>
      <c r="D380" s="283"/>
      <c r="E380" s="283"/>
      <c r="F380" s="283"/>
      <c r="G380" s="283"/>
      <c r="H380" s="283"/>
      <c r="I380" s="283"/>
      <c r="J380" s="283"/>
      <c r="K380" s="340"/>
      <c r="L380" s="283"/>
      <c r="M380" s="283"/>
      <c r="N380" s="283"/>
      <c r="O380" s="283"/>
      <c r="P380" s="283"/>
      <c r="Q380" s="340"/>
      <c r="R380" s="283"/>
      <c r="S380" s="283"/>
      <c r="T380" s="340"/>
      <c r="U380" s="340"/>
      <c r="V380" s="283"/>
      <c r="W380" s="283"/>
      <c r="X380" s="283"/>
      <c r="Y380" s="283"/>
      <c r="Z380" s="283"/>
    </row>
    <row r="381" ht="15.75" customHeight="1">
      <c r="A381" s="340"/>
      <c r="B381" s="340"/>
      <c r="C381" s="283"/>
      <c r="D381" s="283"/>
      <c r="E381" s="283"/>
      <c r="F381" s="283"/>
      <c r="G381" s="283"/>
      <c r="H381" s="283"/>
      <c r="I381" s="283"/>
      <c r="J381" s="283"/>
      <c r="K381" s="340"/>
      <c r="L381" s="283"/>
      <c r="M381" s="283"/>
      <c r="N381" s="283"/>
      <c r="O381" s="283"/>
      <c r="P381" s="283"/>
      <c r="Q381" s="340"/>
      <c r="R381" s="283"/>
      <c r="S381" s="283"/>
      <c r="T381" s="340"/>
      <c r="U381" s="340"/>
      <c r="V381" s="283"/>
      <c r="W381" s="283"/>
      <c r="X381" s="283"/>
      <c r="Y381" s="283"/>
      <c r="Z381" s="283"/>
    </row>
    <row r="382" ht="15.75" customHeight="1">
      <c r="A382" s="340"/>
      <c r="B382" s="340"/>
      <c r="C382" s="283"/>
      <c r="D382" s="283"/>
      <c r="E382" s="283"/>
      <c r="F382" s="283"/>
      <c r="G382" s="283"/>
      <c r="H382" s="283"/>
      <c r="I382" s="283"/>
      <c r="J382" s="283"/>
      <c r="K382" s="340"/>
      <c r="L382" s="283"/>
      <c r="M382" s="283"/>
      <c r="N382" s="283"/>
      <c r="O382" s="283"/>
      <c r="P382" s="283"/>
      <c r="Q382" s="340"/>
      <c r="R382" s="283"/>
      <c r="S382" s="283"/>
      <c r="T382" s="340"/>
      <c r="U382" s="340"/>
      <c r="V382" s="283"/>
      <c r="W382" s="283"/>
      <c r="X382" s="283"/>
      <c r="Y382" s="283"/>
      <c r="Z382" s="283"/>
    </row>
    <row r="383" ht="15.75" customHeight="1">
      <c r="A383" s="340"/>
      <c r="B383" s="340"/>
      <c r="C383" s="283"/>
      <c r="D383" s="283"/>
      <c r="E383" s="283"/>
      <c r="F383" s="283"/>
      <c r="G383" s="283"/>
      <c r="H383" s="283"/>
      <c r="I383" s="283"/>
      <c r="J383" s="283"/>
      <c r="K383" s="340"/>
      <c r="L383" s="283"/>
      <c r="M383" s="283"/>
      <c r="N383" s="283"/>
      <c r="O383" s="283"/>
      <c r="P383" s="283"/>
      <c r="Q383" s="340"/>
      <c r="R383" s="283"/>
      <c r="S383" s="283"/>
      <c r="T383" s="340"/>
      <c r="U383" s="340"/>
      <c r="V383" s="283"/>
      <c r="W383" s="283"/>
      <c r="X383" s="283"/>
      <c r="Y383" s="283"/>
      <c r="Z383" s="283"/>
    </row>
    <row r="384" ht="15.75" customHeight="1">
      <c r="A384" s="340"/>
      <c r="B384" s="340"/>
      <c r="C384" s="283"/>
      <c r="D384" s="283"/>
      <c r="E384" s="283"/>
      <c r="F384" s="283"/>
      <c r="G384" s="283"/>
      <c r="H384" s="283"/>
      <c r="I384" s="283"/>
      <c r="J384" s="283"/>
      <c r="K384" s="340"/>
      <c r="L384" s="283"/>
      <c r="M384" s="283"/>
      <c r="N384" s="283"/>
      <c r="O384" s="283"/>
      <c r="P384" s="283"/>
      <c r="Q384" s="340"/>
      <c r="R384" s="283"/>
      <c r="S384" s="283"/>
      <c r="T384" s="340"/>
      <c r="U384" s="340"/>
      <c r="V384" s="283"/>
      <c r="W384" s="283"/>
      <c r="X384" s="283"/>
      <c r="Y384" s="283"/>
      <c r="Z384" s="283"/>
    </row>
    <row r="385" ht="15.75" customHeight="1">
      <c r="A385" s="340"/>
      <c r="B385" s="340"/>
      <c r="C385" s="283"/>
      <c r="D385" s="283"/>
      <c r="E385" s="283"/>
      <c r="F385" s="283"/>
      <c r="G385" s="283"/>
      <c r="H385" s="283"/>
      <c r="I385" s="283"/>
      <c r="J385" s="283"/>
      <c r="K385" s="340"/>
      <c r="L385" s="283"/>
      <c r="M385" s="283"/>
      <c r="N385" s="283"/>
      <c r="O385" s="283"/>
      <c r="P385" s="283"/>
      <c r="Q385" s="340"/>
      <c r="R385" s="283"/>
      <c r="S385" s="283"/>
      <c r="T385" s="340"/>
      <c r="U385" s="340"/>
      <c r="V385" s="283"/>
      <c r="W385" s="283"/>
      <c r="X385" s="283"/>
      <c r="Y385" s="283"/>
      <c r="Z385" s="283"/>
    </row>
    <row r="386" ht="15.75" customHeight="1">
      <c r="A386" s="340"/>
      <c r="B386" s="340"/>
      <c r="C386" s="283"/>
      <c r="D386" s="283"/>
      <c r="E386" s="283"/>
      <c r="F386" s="283"/>
      <c r="G386" s="283"/>
      <c r="H386" s="283"/>
      <c r="I386" s="283"/>
      <c r="J386" s="283"/>
      <c r="K386" s="340"/>
      <c r="L386" s="283"/>
      <c r="M386" s="283"/>
      <c r="N386" s="283"/>
      <c r="O386" s="283"/>
      <c r="P386" s="283"/>
      <c r="Q386" s="340"/>
      <c r="R386" s="283"/>
      <c r="S386" s="283"/>
      <c r="T386" s="340"/>
      <c r="U386" s="340"/>
      <c r="V386" s="283"/>
      <c r="W386" s="283"/>
      <c r="X386" s="283"/>
      <c r="Y386" s="283"/>
      <c r="Z386" s="283"/>
    </row>
    <row r="387" ht="15.75" customHeight="1">
      <c r="A387" s="340"/>
      <c r="B387" s="340"/>
      <c r="C387" s="283"/>
      <c r="D387" s="283"/>
      <c r="E387" s="283"/>
      <c r="F387" s="283"/>
      <c r="G387" s="283"/>
      <c r="H387" s="283"/>
      <c r="I387" s="283"/>
      <c r="J387" s="283"/>
      <c r="K387" s="340"/>
      <c r="L387" s="283"/>
      <c r="M387" s="283"/>
      <c r="N387" s="283"/>
      <c r="O387" s="283"/>
      <c r="P387" s="283"/>
      <c r="Q387" s="340"/>
      <c r="R387" s="283"/>
      <c r="S387" s="283"/>
      <c r="T387" s="340"/>
      <c r="U387" s="340"/>
      <c r="V387" s="283"/>
      <c r="W387" s="283"/>
      <c r="X387" s="283"/>
      <c r="Y387" s="283"/>
      <c r="Z387" s="283"/>
    </row>
    <row r="388" ht="15.75" customHeight="1">
      <c r="A388" s="340"/>
      <c r="B388" s="340"/>
      <c r="C388" s="283"/>
      <c r="D388" s="283"/>
      <c r="E388" s="283"/>
      <c r="F388" s="283"/>
      <c r="G388" s="283"/>
      <c r="H388" s="283"/>
      <c r="I388" s="283"/>
      <c r="J388" s="283"/>
      <c r="K388" s="340"/>
      <c r="L388" s="283"/>
      <c r="M388" s="283"/>
      <c r="N388" s="283"/>
      <c r="O388" s="283"/>
      <c r="P388" s="283"/>
      <c r="Q388" s="340"/>
      <c r="R388" s="283"/>
      <c r="S388" s="283"/>
      <c r="T388" s="340"/>
      <c r="U388" s="340"/>
      <c r="V388" s="283"/>
      <c r="W388" s="283"/>
      <c r="X388" s="283"/>
      <c r="Y388" s="283"/>
      <c r="Z388" s="283"/>
    </row>
    <row r="389" ht="15.75" customHeight="1">
      <c r="A389" s="340"/>
      <c r="B389" s="340"/>
      <c r="C389" s="283"/>
      <c r="D389" s="283"/>
      <c r="E389" s="283"/>
      <c r="F389" s="283"/>
      <c r="G389" s="283"/>
      <c r="H389" s="283"/>
      <c r="I389" s="283"/>
      <c r="J389" s="283"/>
      <c r="K389" s="340"/>
      <c r="L389" s="283"/>
      <c r="M389" s="283"/>
      <c r="N389" s="283"/>
      <c r="O389" s="283"/>
      <c r="P389" s="283"/>
      <c r="Q389" s="340"/>
      <c r="R389" s="283"/>
      <c r="S389" s="283"/>
      <c r="T389" s="340"/>
      <c r="U389" s="340"/>
      <c r="V389" s="283"/>
      <c r="W389" s="283"/>
      <c r="X389" s="283"/>
      <c r="Y389" s="283"/>
      <c r="Z389" s="283"/>
    </row>
    <row r="390" ht="15.75" customHeight="1">
      <c r="A390" s="340"/>
      <c r="B390" s="340"/>
      <c r="C390" s="283"/>
      <c r="D390" s="283"/>
      <c r="E390" s="283"/>
      <c r="F390" s="283"/>
      <c r="G390" s="283"/>
      <c r="H390" s="283"/>
      <c r="I390" s="283"/>
      <c r="J390" s="283"/>
      <c r="K390" s="340"/>
      <c r="L390" s="283"/>
      <c r="M390" s="283"/>
      <c r="N390" s="283"/>
      <c r="O390" s="283"/>
      <c r="P390" s="283"/>
      <c r="Q390" s="340"/>
      <c r="R390" s="283"/>
      <c r="S390" s="283"/>
      <c r="T390" s="340"/>
      <c r="U390" s="340"/>
      <c r="V390" s="283"/>
      <c r="W390" s="283"/>
      <c r="X390" s="283"/>
      <c r="Y390" s="283"/>
      <c r="Z390" s="283"/>
    </row>
    <row r="391" ht="15.75" customHeight="1">
      <c r="A391" s="340"/>
      <c r="B391" s="340"/>
      <c r="C391" s="283"/>
      <c r="D391" s="283"/>
      <c r="E391" s="283"/>
      <c r="F391" s="283"/>
      <c r="G391" s="283"/>
      <c r="H391" s="283"/>
      <c r="I391" s="283"/>
      <c r="J391" s="283"/>
      <c r="K391" s="340"/>
      <c r="L391" s="283"/>
      <c r="M391" s="283"/>
      <c r="N391" s="283"/>
      <c r="O391" s="283"/>
      <c r="P391" s="283"/>
      <c r="Q391" s="340"/>
      <c r="R391" s="283"/>
      <c r="S391" s="283"/>
      <c r="T391" s="340"/>
      <c r="U391" s="340"/>
      <c r="V391" s="283"/>
      <c r="W391" s="283"/>
      <c r="X391" s="283"/>
      <c r="Y391" s="283"/>
      <c r="Z391" s="283"/>
    </row>
    <row r="392" ht="15.75" customHeight="1">
      <c r="A392" s="340"/>
      <c r="B392" s="340"/>
      <c r="C392" s="283"/>
      <c r="D392" s="283"/>
      <c r="E392" s="283"/>
      <c r="F392" s="283"/>
      <c r="G392" s="283"/>
      <c r="H392" s="283"/>
      <c r="I392" s="283"/>
      <c r="J392" s="283"/>
      <c r="K392" s="340"/>
      <c r="L392" s="283"/>
      <c r="M392" s="283"/>
      <c r="N392" s="283"/>
      <c r="O392" s="283"/>
      <c r="P392" s="283"/>
      <c r="Q392" s="340"/>
      <c r="R392" s="283"/>
      <c r="S392" s="283"/>
      <c r="T392" s="340"/>
      <c r="U392" s="340"/>
      <c r="V392" s="283"/>
      <c r="W392" s="283"/>
      <c r="X392" s="283"/>
      <c r="Y392" s="283"/>
      <c r="Z392" s="283"/>
    </row>
    <row r="393" ht="15.75" customHeight="1">
      <c r="A393" s="340"/>
      <c r="B393" s="340"/>
      <c r="C393" s="283"/>
      <c r="D393" s="283"/>
      <c r="E393" s="283"/>
      <c r="F393" s="283"/>
      <c r="G393" s="283"/>
      <c r="H393" s="283"/>
      <c r="I393" s="283"/>
      <c r="J393" s="283"/>
      <c r="K393" s="340"/>
      <c r="L393" s="283"/>
      <c r="M393" s="283"/>
      <c r="N393" s="283"/>
      <c r="O393" s="283"/>
      <c r="P393" s="283"/>
      <c r="Q393" s="340"/>
      <c r="R393" s="283"/>
      <c r="S393" s="283"/>
      <c r="T393" s="340"/>
      <c r="U393" s="340"/>
      <c r="V393" s="283"/>
      <c r="W393" s="283"/>
      <c r="X393" s="283"/>
      <c r="Y393" s="283"/>
      <c r="Z393" s="283"/>
    </row>
    <row r="394" ht="15.75" customHeight="1">
      <c r="A394" s="340"/>
      <c r="B394" s="340"/>
      <c r="C394" s="283"/>
      <c r="D394" s="283"/>
      <c r="E394" s="283"/>
      <c r="F394" s="283"/>
      <c r="G394" s="283"/>
      <c r="H394" s="283"/>
      <c r="I394" s="283"/>
      <c r="J394" s="283"/>
      <c r="K394" s="340"/>
      <c r="L394" s="283"/>
      <c r="M394" s="283"/>
      <c r="N394" s="283"/>
      <c r="O394" s="283"/>
      <c r="P394" s="283"/>
      <c r="Q394" s="340"/>
      <c r="R394" s="283"/>
      <c r="S394" s="283"/>
      <c r="T394" s="340"/>
      <c r="U394" s="340"/>
      <c r="V394" s="283"/>
      <c r="W394" s="283"/>
      <c r="X394" s="283"/>
      <c r="Y394" s="283"/>
      <c r="Z394" s="283"/>
    </row>
    <row r="395" ht="15.75" customHeight="1">
      <c r="A395" s="340"/>
      <c r="B395" s="340"/>
      <c r="C395" s="283"/>
      <c r="D395" s="283"/>
      <c r="E395" s="283"/>
      <c r="F395" s="283"/>
      <c r="G395" s="283"/>
      <c r="H395" s="283"/>
      <c r="I395" s="283"/>
      <c r="J395" s="283"/>
      <c r="K395" s="340"/>
      <c r="L395" s="283"/>
      <c r="M395" s="283"/>
      <c r="N395" s="283"/>
      <c r="O395" s="283"/>
      <c r="P395" s="283"/>
      <c r="Q395" s="340"/>
      <c r="R395" s="283"/>
      <c r="S395" s="283"/>
      <c r="T395" s="340"/>
      <c r="U395" s="340"/>
      <c r="V395" s="283"/>
      <c r="W395" s="283"/>
      <c r="X395" s="283"/>
      <c r="Y395" s="283"/>
      <c r="Z395" s="283"/>
    </row>
    <row r="396" ht="15.75" customHeight="1">
      <c r="A396" s="340"/>
      <c r="B396" s="340"/>
      <c r="C396" s="283"/>
      <c r="D396" s="283"/>
      <c r="E396" s="283"/>
      <c r="F396" s="283"/>
      <c r="G396" s="283"/>
      <c r="H396" s="283"/>
      <c r="I396" s="283"/>
      <c r="J396" s="283"/>
      <c r="K396" s="340"/>
      <c r="L396" s="283"/>
      <c r="M396" s="283"/>
      <c r="N396" s="283"/>
      <c r="O396" s="283"/>
      <c r="P396" s="283"/>
      <c r="Q396" s="340"/>
      <c r="R396" s="283"/>
      <c r="S396" s="283"/>
      <c r="T396" s="340"/>
      <c r="U396" s="340"/>
      <c r="V396" s="283"/>
      <c r="W396" s="283"/>
      <c r="X396" s="283"/>
      <c r="Y396" s="283"/>
      <c r="Z396" s="283"/>
    </row>
    <row r="397" ht="15.75" customHeight="1">
      <c r="A397" s="340"/>
      <c r="B397" s="340"/>
      <c r="C397" s="283"/>
      <c r="D397" s="283"/>
      <c r="E397" s="283"/>
      <c r="F397" s="283"/>
      <c r="G397" s="283"/>
      <c r="H397" s="283"/>
      <c r="I397" s="283"/>
      <c r="J397" s="283"/>
      <c r="K397" s="340"/>
      <c r="L397" s="283"/>
      <c r="M397" s="283"/>
      <c r="N397" s="283"/>
      <c r="O397" s="283"/>
      <c r="P397" s="283"/>
      <c r="Q397" s="340"/>
      <c r="R397" s="283"/>
      <c r="S397" s="283"/>
      <c r="T397" s="340"/>
      <c r="U397" s="340"/>
      <c r="V397" s="283"/>
      <c r="W397" s="283"/>
      <c r="X397" s="283"/>
      <c r="Y397" s="283"/>
      <c r="Z397" s="283"/>
    </row>
    <row r="398" ht="15.75" customHeight="1">
      <c r="A398" s="340"/>
      <c r="B398" s="340"/>
      <c r="C398" s="283"/>
      <c r="D398" s="283"/>
      <c r="E398" s="283"/>
      <c r="F398" s="283"/>
      <c r="G398" s="283"/>
      <c r="H398" s="283"/>
      <c r="I398" s="283"/>
      <c r="J398" s="283"/>
      <c r="K398" s="340"/>
      <c r="L398" s="283"/>
      <c r="M398" s="283"/>
      <c r="N398" s="283"/>
      <c r="O398" s="283"/>
      <c r="P398" s="283"/>
      <c r="Q398" s="340"/>
      <c r="R398" s="283"/>
      <c r="S398" s="283"/>
      <c r="T398" s="340"/>
      <c r="U398" s="340"/>
      <c r="V398" s="283"/>
      <c r="W398" s="283"/>
      <c r="X398" s="283"/>
      <c r="Y398" s="283"/>
      <c r="Z398" s="283"/>
    </row>
    <row r="399" ht="15.75" customHeight="1">
      <c r="A399" s="340"/>
      <c r="B399" s="340"/>
      <c r="C399" s="283"/>
      <c r="D399" s="283"/>
      <c r="E399" s="283"/>
      <c r="F399" s="283"/>
      <c r="G399" s="283"/>
      <c r="H399" s="283"/>
      <c r="I399" s="283"/>
      <c r="J399" s="283"/>
      <c r="K399" s="340"/>
      <c r="L399" s="283"/>
      <c r="M399" s="283"/>
      <c r="N399" s="283"/>
      <c r="O399" s="283"/>
      <c r="P399" s="283"/>
      <c r="Q399" s="340"/>
      <c r="R399" s="283"/>
      <c r="S399" s="283"/>
      <c r="T399" s="340"/>
      <c r="U399" s="340"/>
      <c r="V399" s="283"/>
      <c r="W399" s="283"/>
      <c r="X399" s="283"/>
      <c r="Y399" s="283"/>
      <c r="Z399" s="283"/>
    </row>
    <row r="400" ht="15.75" customHeight="1">
      <c r="A400" s="340"/>
      <c r="B400" s="340"/>
      <c r="C400" s="283"/>
      <c r="D400" s="283"/>
      <c r="E400" s="283"/>
      <c r="F400" s="283"/>
      <c r="G400" s="283"/>
      <c r="H400" s="283"/>
      <c r="I400" s="283"/>
      <c r="J400" s="283"/>
      <c r="K400" s="340"/>
      <c r="L400" s="283"/>
      <c r="M400" s="283"/>
      <c r="N400" s="283"/>
      <c r="O400" s="283"/>
      <c r="P400" s="283"/>
      <c r="Q400" s="340"/>
      <c r="R400" s="283"/>
      <c r="S400" s="283"/>
      <c r="T400" s="340"/>
      <c r="U400" s="340"/>
      <c r="V400" s="283"/>
      <c r="W400" s="283"/>
      <c r="X400" s="283"/>
      <c r="Y400" s="283"/>
      <c r="Z400" s="283"/>
    </row>
    <row r="401" ht="15.75" customHeight="1">
      <c r="A401" s="340"/>
      <c r="B401" s="340"/>
      <c r="C401" s="283"/>
      <c r="D401" s="283"/>
      <c r="E401" s="283"/>
      <c r="F401" s="283"/>
      <c r="G401" s="283"/>
      <c r="H401" s="283"/>
      <c r="I401" s="283"/>
      <c r="J401" s="283"/>
      <c r="K401" s="340"/>
      <c r="L401" s="283"/>
      <c r="M401" s="283"/>
      <c r="N401" s="283"/>
      <c r="O401" s="283"/>
      <c r="P401" s="283"/>
      <c r="Q401" s="340"/>
      <c r="R401" s="283"/>
      <c r="S401" s="283"/>
      <c r="T401" s="340"/>
      <c r="U401" s="340"/>
      <c r="V401" s="283"/>
      <c r="W401" s="283"/>
      <c r="X401" s="283"/>
      <c r="Y401" s="283"/>
      <c r="Z401" s="283"/>
    </row>
    <row r="402" ht="15.75" customHeight="1">
      <c r="A402" s="340"/>
      <c r="B402" s="340"/>
      <c r="C402" s="283"/>
      <c r="D402" s="283"/>
      <c r="E402" s="283"/>
      <c r="F402" s="283"/>
      <c r="G402" s="283"/>
      <c r="H402" s="283"/>
      <c r="I402" s="283"/>
      <c r="J402" s="283"/>
      <c r="K402" s="340"/>
      <c r="L402" s="283"/>
      <c r="M402" s="283"/>
      <c r="N402" s="283"/>
      <c r="O402" s="283"/>
      <c r="P402" s="283"/>
      <c r="Q402" s="340"/>
      <c r="R402" s="283"/>
      <c r="S402" s="283"/>
      <c r="T402" s="340"/>
      <c r="U402" s="340"/>
      <c r="V402" s="283"/>
      <c r="W402" s="283"/>
      <c r="X402" s="283"/>
      <c r="Y402" s="283"/>
      <c r="Z402" s="283"/>
    </row>
    <row r="403" ht="15.75" customHeight="1">
      <c r="A403" s="340"/>
      <c r="B403" s="340"/>
      <c r="C403" s="283"/>
      <c r="D403" s="283"/>
      <c r="E403" s="283"/>
      <c r="F403" s="283"/>
      <c r="G403" s="283"/>
      <c r="H403" s="283"/>
      <c r="I403" s="283"/>
      <c r="J403" s="283"/>
      <c r="K403" s="340"/>
      <c r="L403" s="283"/>
      <c r="M403" s="283"/>
      <c r="N403" s="283"/>
      <c r="O403" s="283"/>
      <c r="P403" s="283"/>
      <c r="Q403" s="340"/>
      <c r="R403" s="283"/>
      <c r="S403" s="283"/>
      <c r="T403" s="340"/>
      <c r="U403" s="340"/>
      <c r="V403" s="283"/>
      <c r="W403" s="283"/>
      <c r="X403" s="283"/>
      <c r="Y403" s="283"/>
      <c r="Z403" s="283"/>
    </row>
    <row r="404" ht="15.75" customHeight="1">
      <c r="A404" s="340"/>
      <c r="B404" s="340"/>
      <c r="C404" s="283"/>
      <c r="D404" s="283"/>
      <c r="E404" s="283"/>
      <c r="F404" s="283"/>
      <c r="G404" s="283"/>
      <c r="H404" s="283"/>
      <c r="I404" s="283"/>
      <c r="J404" s="283"/>
      <c r="K404" s="340"/>
      <c r="L404" s="283"/>
      <c r="M404" s="283"/>
      <c r="N404" s="283"/>
      <c r="O404" s="283"/>
      <c r="P404" s="283"/>
      <c r="Q404" s="340"/>
      <c r="R404" s="283"/>
      <c r="S404" s="283"/>
      <c r="T404" s="340"/>
      <c r="U404" s="340"/>
      <c r="V404" s="283"/>
      <c r="W404" s="283"/>
      <c r="X404" s="283"/>
      <c r="Y404" s="283"/>
      <c r="Z404" s="283"/>
    </row>
    <row r="405" ht="15.75" customHeight="1">
      <c r="A405" s="340"/>
      <c r="B405" s="340"/>
      <c r="C405" s="283"/>
      <c r="D405" s="283"/>
      <c r="E405" s="283"/>
      <c r="F405" s="283"/>
      <c r="G405" s="283"/>
      <c r="H405" s="283"/>
      <c r="I405" s="283"/>
      <c r="J405" s="283"/>
      <c r="K405" s="340"/>
      <c r="L405" s="283"/>
      <c r="M405" s="283"/>
      <c r="N405" s="283"/>
      <c r="O405" s="283"/>
      <c r="P405" s="283"/>
      <c r="Q405" s="340"/>
      <c r="R405" s="283"/>
      <c r="S405" s="283"/>
      <c r="T405" s="340"/>
      <c r="U405" s="340"/>
      <c r="V405" s="283"/>
      <c r="W405" s="283"/>
      <c r="X405" s="283"/>
      <c r="Y405" s="283"/>
      <c r="Z405" s="283"/>
    </row>
    <row r="406" ht="15.75" customHeight="1">
      <c r="A406" s="340"/>
      <c r="B406" s="340"/>
      <c r="C406" s="283"/>
      <c r="D406" s="283"/>
      <c r="E406" s="283"/>
      <c r="F406" s="283"/>
      <c r="G406" s="283"/>
      <c r="H406" s="283"/>
      <c r="I406" s="283"/>
      <c r="J406" s="283"/>
      <c r="K406" s="340"/>
      <c r="L406" s="283"/>
      <c r="M406" s="283"/>
      <c r="N406" s="283"/>
      <c r="O406" s="283"/>
      <c r="P406" s="283"/>
      <c r="Q406" s="340"/>
      <c r="R406" s="283"/>
      <c r="S406" s="283"/>
      <c r="T406" s="340"/>
      <c r="U406" s="340"/>
      <c r="V406" s="283"/>
      <c r="W406" s="283"/>
      <c r="X406" s="283"/>
      <c r="Y406" s="283"/>
      <c r="Z406" s="283"/>
    </row>
    <row r="407" ht="15.75" customHeight="1">
      <c r="A407" s="340"/>
      <c r="B407" s="340"/>
      <c r="C407" s="283"/>
      <c r="D407" s="283"/>
      <c r="E407" s="283"/>
      <c r="F407" s="283"/>
      <c r="G407" s="283"/>
      <c r="H407" s="283"/>
      <c r="I407" s="283"/>
      <c r="J407" s="283"/>
      <c r="K407" s="340"/>
      <c r="L407" s="283"/>
      <c r="M407" s="283"/>
      <c r="N407" s="283"/>
      <c r="O407" s="283"/>
      <c r="P407" s="283"/>
      <c r="Q407" s="340"/>
      <c r="R407" s="283"/>
      <c r="S407" s="283"/>
      <c r="T407" s="340"/>
      <c r="U407" s="340"/>
      <c r="V407" s="283"/>
      <c r="W407" s="283"/>
      <c r="X407" s="283"/>
      <c r="Y407" s="283"/>
      <c r="Z407" s="283"/>
    </row>
    <row r="408" ht="15.75" customHeight="1">
      <c r="A408" s="340"/>
      <c r="B408" s="340"/>
      <c r="C408" s="283"/>
      <c r="D408" s="283"/>
      <c r="E408" s="283"/>
      <c r="F408" s="283"/>
      <c r="G408" s="283"/>
      <c r="H408" s="283"/>
      <c r="I408" s="283"/>
      <c r="J408" s="283"/>
      <c r="K408" s="340"/>
      <c r="L408" s="283"/>
      <c r="M408" s="283"/>
      <c r="N408" s="283"/>
      <c r="O408" s="283"/>
      <c r="P408" s="283"/>
      <c r="Q408" s="340"/>
      <c r="R408" s="283"/>
      <c r="S408" s="283"/>
      <c r="T408" s="340"/>
      <c r="U408" s="340"/>
      <c r="V408" s="283"/>
      <c r="W408" s="283"/>
      <c r="X408" s="283"/>
      <c r="Y408" s="283"/>
      <c r="Z408" s="283"/>
    </row>
    <row r="409" ht="15.75" customHeight="1">
      <c r="A409" s="340"/>
      <c r="B409" s="340"/>
      <c r="C409" s="283"/>
      <c r="D409" s="283"/>
      <c r="E409" s="283"/>
      <c r="F409" s="283"/>
      <c r="G409" s="283"/>
      <c r="H409" s="283"/>
      <c r="I409" s="283"/>
      <c r="J409" s="283"/>
      <c r="K409" s="340"/>
      <c r="L409" s="283"/>
      <c r="M409" s="283"/>
      <c r="N409" s="283"/>
      <c r="O409" s="283"/>
      <c r="P409" s="283"/>
      <c r="Q409" s="340"/>
      <c r="R409" s="283"/>
      <c r="S409" s="283"/>
      <c r="T409" s="340"/>
      <c r="U409" s="340"/>
      <c r="V409" s="283"/>
      <c r="W409" s="283"/>
      <c r="X409" s="283"/>
      <c r="Y409" s="283"/>
      <c r="Z409" s="283"/>
    </row>
    <row r="410" ht="15.75" customHeight="1">
      <c r="A410" s="340"/>
      <c r="B410" s="340"/>
      <c r="C410" s="283"/>
      <c r="D410" s="283"/>
      <c r="E410" s="283"/>
      <c r="F410" s="283"/>
      <c r="G410" s="283"/>
      <c r="H410" s="283"/>
      <c r="I410" s="283"/>
      <c r="J410" s="283"/>
      <c r="K410" s="340"/>
      <c r="L410" s="283"/>
      <c r="M410" s="283"/>
      <c r="N410" s="283"/>
      <c r="O410" s="283"/>
      <c r="P410" s="283"/>
      <c r="Q410" s="340"/>
      <c r="R410" s="283"/>
      <c r="S410" s="283"/>
      <c r="T410" s="340"/>
      <c r="U410" s="340"/>
      <c r="V410" s="283"/>
      <c r="W410" s="283"/>
      <c r="X410" s="283"/>
      <c r="Y410" s="283"/>
      <c r="Z410" s="283"/>
    </row>
    <row r="411" ht="15.75" customHeight="1">
      <c r="A411" s="340"/>
      <c r="B411" s="340"/>
      <c r="C411" s="283"/>
      <c r="D411" s="283"/>
      <c r="E411" s="283"/>
      <c r="F411" s="283"/>
      <c r="G411" s="283"/>
      <c r="H411" s="283"/>
      <c r="I411" s="283"/>
      <c r="J411" s="283"/>
      <c r="K411" s="340"/>
      <c r="L411" s="283"/>
      <c r="M411" s="283"/>
      <c r="N411" s="283"/>
      <c r="O411" s="283"/>
      <c r="P411" s="283"/>
      <c r="Q411" s="340"/>
      <c r="R411" s="283"/>
      <c r="S411" s="283"/>
      <c r="T411" s="340"/>
      <c r="U411" s="340"/>
      <c r="V411" s="283"/>
      <c r="W411" s="283"/>
      <c r="X411" s="283"/>
      <c r="Y411" s="283"/>
      <c r="Z411" s="283"/>
    </row>
    <row r="412" ht="15.75" customHeight="1">
      <c r="A412" s="340"/>
      <c r="B412" s="340"/>
      <c r="C412" s="283"/>
      <c r="D412" s="283"/>
      <c r="E412" s="283"/>
      <c r="F412" s="283"/>
      <c r="G412" s="283"/>
      <c r="H412" s="283"/>
      <c r="I412" s="283"/>
      <c r="J412" s="283"/>
      <c r="K412" s="340"/>
      <c r="L412" s="283"/>
      <c r="M412" s="283"/>
      <c r="N412" s="283"/>
      <c r="O412" s="283"/>
      <c r="P412" s="283"/>
      <c r="Q412" s="340"/>
      <c r="R412" s="283"/>
      <c r="S412" s="283"/>
      <c r="T412" s="340"/>
      <c r="U412" s="340"/>
      <c r="V412" s="283"/>
      <c r="W412" s="283"/>
      <c r="X412" s="283"/>
      <c r="Y412" s="283"/>
      <c r="Z412" s="283"/>
    </row>
    <row r="413" ht="15.75" customHeight="1">
      <c r="A413" s="340"/>
      <c r="B413" s="340"/>
      <c r="C413" s="283"/>
      <c r="D413" s="283"/>
      <c r="E413" s="283"/>
      <c r="F413" s="283"/>
      <c r="G413" s="283"/>
      <c r="H413" s="283"/>
      <c r="I413" s="283"/>
      <c r="J413" s="283"/>
      <c r="K413" s="340"/>
      <c r="L413" s="283"/>
      <c r="M413" s="283"/>
      <c r="N413" s="283"/>
      <c r="O413" s="283"/>
      <c r="P413" s="283"/>
      <c r="Q413" s="340"/>
      <c r="R413" s="283"/>
      <c r="S413" s="283"/>
      <c r="T413" s="340"/>
      <c r="U413" s="340"/>
      <c r="V413" s="283"/>
      <c r="W413" s="283"/>
      <c r="X413" s="283"/>
      <c r="Y413" s="283"/>
      <c r="Z413" s="283"/>
    </row>
    <row r="414" ht="15.75" customHeight="1">
      <c r="A414" s="340"/>
      <c r="B414" s="340"/>
      <c r="C414" s="283"/>
      <c r="D414" s="283"/>
      <c r="E414" s="283"/>
      <c r="F414" s="283"/>
      <c r="G414" s="283"/>
      <c r="H414" s="283"/>
      <c r="I414" s="283"/>
      <c r="J414" s="283"/>
      <c r="K414" s="340"/>
      <c r="L414" s="283"/>
      <c r="M414" s="283"/>
      <c r="N414" s="283"/>
      <c r="O414" s="283"/>
      <c r="P414" s="283"/>
      <c r="Q414" s="340"/>
      <c r="R414" s="283"/>
      <c r="S414" s="283"/>
      <c r="T414" s="340"/>
      <c r="U414" s="340"/>
      <c r="V414" s="283"/>
      <c r="W414" s="283"/>
      <c r="X414" s="283"/>
      <c r="Y414" s="283"/>
      <c r="Z414" s="283"/>
    </row>
    <row r="415" ht="15.75" customHeight="1">
      <c r="A415" s="340"/>
      <c r="B415" s="340"/>
      <c r="C415" s="283"/>
      <c r="D415" s="283"/>
      <c r="E415" s="283"/>
      <c r="F415" s="283"/>
      <c r="G415" s="283"/>
      <c r="H415" s="283"/>
      <c r="I415" s="283"/>
      <c r="J415" s="283"/>
      <c r="K415" s="340"/>
      <c r="L415" s="283"/>
      <c r="M415" s="283"/>
      <c r="N415" s="283"/>
      <c r="O415" s="283"/>
      <c r="P415" s="283"/>
      <c r="Q415" s="340"/>
      <c r="R415" s="283"/>
      <c r="S415" s="283"/>
      <c r="T415" s="340"/>
      <c r="U415" s="340"/>
      <c r="V415" s="283"/>
      <c r="W415" s="283"/>
      <c r="X415" s="283"/>
      <c r="Y415" s="283"/>
      <c r="Z415" s="283"/>
    </row>
    <row r="416" ht="15.75" customHeight="1">
      <c r="A416" s="340"/>
      <c r="B416" s="340"/>
      <c r="C416" s="283"/>
      <c r="D416" s="283"/>
      <c r="E416" s="283"/>
      <c r="F416" s="283"/>
      <c r="G416" s="283"/>
      <c r="H416" s="283"/>
      <c r="I416" s="283"/>
      <c r="J416" s="283"/>
      <c r="K416" s="340"/>
      <c r="L416" s="283"/>
      <c r="M416" s="283"/>
      <c r="N416" s="283"/>
      <c r="O416" s="283"/>
      <c r="P416" s="283"/>
      <c r="Q416" s="340"/>
      <c r="R416" s="283"/>
      <c r="S416" s="283"/>
      <c r="T416" s="340"/>
      <c r="U416" s="340"/>
      <c r="V416" s="283"/>
      <c r="W416" s="283"/>
      <c r="X416" s="283"/>
      <c r="Y416" s="283"/>
      <c r="Z416" s="283"/>
    </row>
    <row r="417" ht="15.75" customHeight="1">
      <c r="A417" s="340"/>
      <c r="B417" s="340"/>
      <c r="C417" s="283"/>
      <c r="D417" s="283"/>
      <c r="E417" s="283"/>
      <c r="F417" s="283"/>
      <c r="G417" s="283"/>
      <c r="H417" s="283"/>
      <c r="I417" s="283"/>
      <c r="J417" s="283"/>
      <c r="K417" s="340"/>
      <c r="L417" s="283"/>
      <c r="M417" s="283"/>
      <c r="N417" s="283"/>
      <c r="O417" s="283"/>
      <c r="P417" s="283"/>
      <c r="Q417" s="340"/>
      <c r="R417" s="283"/>
      <c r="S417" s="283"/>
      <c r="T417" s="340"/>
      <c r="U417" s="340"/>
      <c r="V417" s="283"/>
      <c r="W417" s="283"/>
      <c r="X417" s="283"/>
      <c r="Y417" s="283"/>
      <c r="Z417" s="283"/>
    </row>
    <row r="418" ht="15.75" customHeight="1">
      <c r="A418" s="340"/>
      <c r="B418" s="340"/>
      <c r="C418" s="283"/>
      <c r="D418" s="283"/>
      <c r="E418" s="283"/>
      <c r="F418" s="283"/>
      <c r="G418" s="283"/>
      <c r="H418" s="283"/>
      <c r="I418" s="283"/>
      <c r="J418" s="283"/>
      <c r="K418" s="340"/>
      <c r="L418" s="283"/>
      <c r="M418" s="283"/>
      <c r="N418" s="283"/>
      <c r="O418" s="283"/>
      <c r="P418" s="283"/>
      <c r="Q418" s="340"/>
      <c r="R418" s="283"/>
      <c r="S418" s="283"/>
      <c r="T418" s="340"/>
      <c r="U418" s="340"/>
      <c r="V418" s="283"/>
      <c r="W418" s="283"/>
      <c r="X418" s="283"/>
      <c r="Y418" s="283"/>
      <c r="Z418" s="283"/>
    </row>
    <row r="419" ht="15.75" customHeight="1">
      <c r="A419" s="340"/>
      <c r="B419" s="340"/>
      <c r="C419" s="283"/>
      <c r="D419" s="283"/>
      <c r="E419" s="283"/>
      <c r="F419" s="283"/>
      <c r="G419" s="283"/>
      <c r="H419" s="283"/>
      <c r="I419" s="283"/>
      <c r="J419" s="283"/>
      <c r="K419" s="340"/>
      <c r="L419" s="283"/>
      <c r="M419" s="283"/>
      <c r="N419" s="283"/>
      <c r="O419" s="283"/>
      <c r="P419" s="283"/>
      <c r="Q419" s="340"/>
      <c r="R419" s="283"/>
      <c r="S419" s="283"/>
      <c r="T419" s="340"/>
      <c r="U419" s="340"/>
      <c r="V419" s="283"/>
      <c r="W419" s="283"/>
      <c r="X419" s="283"/>
      <c r="Y419" s="283"/>
      <c r="Z419" s="283"/>
    </row>
    <row r="420" ht="15.75" customHeight="1">
      <c r="A420" s="340"/>
      <c r="B420" s="340"/>
      <c r="C420" s="283"/>
      <c r="D420" s="283"/>
      <c r="E420" s="283"/>
      <c r="F420" s="283"/>
      <c r="G420" s="283"/>
      <c r="H420" s="283"/>
      <c r="I420" s="283"/>
      <c r="J420" s="283"/>
      <c r="K420" s="340"/>
      <c r="L420" s="283"/>
      <c r="M420" s="283"/>
      <c r="N420" s="283"/>
      <c r="O420" s="283"/>
      <c r="P420" s="283"/>
      <c r="Q420" s="340"/>
      <c r="R420" s="283"/>
      <c r="S420" s="283"/>
      <c r="T420" s="340"/>
      <c r="U420" s="340"/>
      <c r="V420" s="283"/>
      <c r="W420" s="283"/>
      <c r="X420" s="283"/>
      <c r="Y420" s="283"/>
      <c r="Z420" s="283"/>
    </row>
    <row r="421" ht="15.75" customHeight="1">
      <c r="A421" s="340"/>
      <c r="B421" s="340"/>
      <c r="C421" s="283"/>
      <c r="D421" s="283"/>
      <c r="E421" s="283"/>
      <c r="F421" s="283"/>
      <c r="G421" s="283"/>
      <c r="H421" s="283"/>
      <c r="I421" s="283"/>
      <c r="J421" s="283"/>
      <c r="K421" s="340"/>
      <c r="L421" s="283"/>
      <c r="M421" s="283"/>
      <c r="N421" s="283"/>
      <c r="O421" s="283"/>
      <c r="P421" s="283"/>
      <c r="Q421" s="340"/>
      <c r="R421" s="283"/>
      <c r="S421" s="283"/>
      <c r="T421" s="340"/>
      <c r="U421" s="340"/>
      <c r="V421" s="283"/>
      <c r="W421" s="283"/>
      <c r="X421" s="283"/>
      <c r="Y421" s="283"/>
      <c r="Z421" s="283"/>
    </row>
    <row r="422" ht="15.75" customHeight="1">
      <c r="A422" s="340"/>
      <c r="B422" s="340"/>
      <c r="C422" s="283"/>
      <c r="D422" s="283"/>
      <c r="E422" s="283"/>
      <c r="F422" s="283"/>
      <c r="G422" s="283"/>
      <c r="H422" s="283"/>
      <c r="I422" s="283"/>
      <c r="J422" s="283"/>
      <c r="K422" s="340"/>
      <c r="L422" s="283"/>
      <c r="M422" s="283"/>
      <c r="N422" s="283"/>
      <c r="O422" s="283"/>
      <c r="P422" s="283"/>
      <c r="Q422" s="340"/>
      <c r="R422" s="283"/>
      <c r="S422" s="283"/>
      <c r="T422" s="340"/>
      <c r="U422" s="340"/>
      <c r="V422" s="283"/>
      <c r="W422" s="283"/>
      <c r="X422" s="283"/>
      <c r="Y422" s="283"/>
      <c r="Z422" s="283"/>
    </row>
    <row r="423" ht="15.75" customHeight="1">
      <c r="A423" s="340"/>
      <c r="B423" s="340"/>
      <c r="C423" s="283"/>
      <c r="D423" s="283"/>
      <c r="E423" s="283"/>
      <c r="F423" s="283"/>
      <c r="G423" s="283"/>
      <c r="H423" s="283"/>
      <c r="I423" s="283"/>
      <c r="J423" s="283"/>
      <c r="K423" s="340"/>
      <c r="L423" s="283"/>
      <c r="M423" s="283"/>
      <c r="N423" s="283"/>
      <c r="O423" s="283"/>
      <c r="P423" s="283"/>
      <c r="Q423" s="340"/>
      <c r="R423" s="283"/>
      <c r="S423" s="283"/>
      <c r="T423" s="340"/>
      <c r="U423" s="340"/>
      <c r="V423" s="283"/>
      <c r="W423" s="283"/>
      <c r="X423" s="283"/>
      <c r="Y423" s="283"/>
      <c r="Z423" s="283"/>
    </row>
    <row r="424" ht="15.75" customHeight="1">
      <c r="A424" s="340"/>
      <c r="B424" s="340"/>
      <c r="C424" s="283"/>
      <c r="D424" s="283"/>
      <c r="E424" s="283"/>
      <c r="F424" s="283"/>
      <c r="G424" s="283"/>
      <c r="H424" s="283"/>
      <c r="I424" s="283"/>
      <c r="J424" s="283"/>
      <c r="K424" s="340"/>
      <c r="L424" s="283"/>
      <c r="M424" s="283"/>
      <c r="N424" s="283"/>
      <c r="O424" s="283"/>
      <c r="P424" s="283"/>
      <c r="Q424" s="340"/>
      <c r="R424" s="283"/>
      <c r="S424" s="283"/>
      <c r="T424" s="340"/>
      <c r="U424" s="340"/>
      <c r="V424" s="283"/>
      <c r="W424" s="283"/>
      <c r="X424" s="283"/>
      <c r="Y424" s="283"/>
      <c r="Z424" s="283"/>
    </row>
    <row r="425" ht="15.75" customHeight="1">
      <c r="A425" s="340"/>
      <c r="B425" s="340"/>
      <c r="C425" s="283"/>
      <c r="D425" s="283"/>
      <c r="E425" s="283"/>
      <c r="F425" s="283"/>
      <c r="G425" s="283"/>
      <c r="H425" s="283"/>
      <c r="I425" s="283"/>
      <c r="J425" s="283"/>
      <c r="K425" s="340"/>
      <c r="L425" s="283"/>
      <c r="M425" s="283"/>
      <c r="N425" s="283"/>
      <c r="O425" s="283"/>
      <c r="P425" s="283"/>
      <c r="Q425" s="340"/>
      <c r="R425" s="283"/>
      <c r="S425" s="283"/>
      <c r="T425" s="340"/>
      <c r="U425" s="340"/>
      <c r="V425" s="283"/>
      <c r="W425" s="283"/>
      <c r="X425" s="283"/>
      <c r="Y425" s="283"/>
      <c r="Z425" s="283"/>
    </row>
    <row r="426" ht="15.75" customHeight="1">
      <c r="A426" s="340"/>
      <c r="B426" s="340"/>
      <c r="C426" s="283"/>
      <c r="D426" s="283"/>
      <c r="E426" s="283"/>
      <c r="F426" s="283"/>
      <c r="G426" s="283"/>
      <c r="H426" s="283"/>
      <c r="I426" s="283"/>
      <c r="J426" s="283"/>
      <c r="K426" s="340"/>
      <c r="L426" s="283"/>
      <c r="M426" s="283"/>
      <c r="N426" s="283"/>
      <c r="O426" s="283"/>
      <c r="P426" s="283"/>
      <c r="Q426" s="340"/>
      <c r="R426" s="283"/>
      <c r="S426" s="283"/>
      <c r="T426" s="340"/>
      <c r="U426" s="340"/>
      <c r="V426" s="283"/>
      <c r="W426" s="283"/>
      <c r="X426" s="283"/>
      <c r="Y426" s="283"/>
      <c r="Z426" s="283"/>
    </row>
    <row r="427" ht="15.75" customHeight="1">
      <c r="A427" s="340"/>
      <c r="B427" s="340"/>
      <c r="C427" s="283"/>
      <c r="D427" s="283"/>
      <c r="E427" s="283"/>
      <c r="F427" s="283"/>
      <c r="G427" s="283"/>
      <c r="H427" s="283"/>
      <c r="I427" s="283"/>
      <c r="J427" s="283"/>
      <c r="K427" s="340"/>
      <c r="L427" s="283"/>
      <c r="M427" s="283"/>
      <c r="N427" s="283"/>
      <c r="O427" s="283"/>
      <c r="P427" s="283"/>
      <c r="Q427" s="340"/>
      <c r="R427" s="283"/>
      <c r="S427" s="283"/>
      <c r="T427" s="340"/>
      <c r="U427" s="340"/>
      <c r="V427" s="283"/>
      <c r="W427" s="283"/>
      <c r="X427" s="283"/>
      <c r="Y427" s="283"/>
      <c r="Z427" s="283"/>
    </row>
    <row r="428" ht="15.75" customHeight="1">
      <c r="A428" s="340"/>
      <c r="B428" s="340"/>
      <c r="C428" s="283"/>
      <c r="D428" s="283"/>
      <c r="E428" s="283"/>
      <c r="F428" s="283"/>
      <c r="G428" s="283"/>
      <c r="H428" s="283"/>
      <c r="I428" s="283"/>
      <c r="J428" s="283"/>
      <c r="K428" s="340"/>
      <c r="L428" s="283"/>
      <c r="M428" s="283"/>
      <c r="N428" s="283"/>
      <c r="O428" s="283"/>
      <c r="P428" s="283"/>
      <c r="Q428" s="340"/>
      <c r="R428" s="283"/>
      <c r="S428" s="283"/>
      <c r="T428" s="340"/>
      <c r="U428" s="340"/>
      <c r="V428" s="283"/>
      <c r="W428" s="283"/>
      <c r="X428" s="283"/>
      <c r="Y428" s="283"/>
      <c r="Z428" s="283"/>
    </row>
    <row r="429" ht="15.75" customHeight="1">
      <c r="A429" s="340"/>
      <c r="B429" s="340"/>
      <c r="C429" s="283"/>
      <c r="D429" s="283"/>
      <c r="E429" s="283"/>
      <c r="F429" s="283"/>
      <c r="G429" s="283"/>
      <c r="H429" s="283"/>
      <c r="I429" s="283"/>
      <c r="J429" s="283"/>
      <c r="K429" s="340"/>
      <c r="L429" s="283"/>
      <c r="M429" s="283"/>
      <c r="N429" s="283"/>
      <c r="O429" s="283"/>
      <c r="P429" s="283"/>
      <c r="Q429" s="340"/>
      <c r="R429" s="283"/>
      <c r="S429" s="283"/>
      <c r="T429" s="340"/>
      <c r="U429" s="340"/>
      <c r="V429" s="283"/>
      <c r="W429" s="283"/>
      <c r="X429" s="283"/>
      <c r="Y429" s="283"/>
      <c r="Z429" s="283"/>
    </row>
    <row r="430" ht="15.75" customHeight="1">
      <c r="A430" s="340"/>
      <c r="B430" s="340"/>
      <c r="C430" s="283"/>
      <c r="D430" s="283"/>
      <c r="E430" s="283"/>
      <c r="F430" s="283"/>
      <c r="G430" s="283"/>
      <c r="H430" s="283"/>
      <c r="I430" s="283"/>
      <c r="J430" s="283"/>
      <c r="K430" s="340"/>
      <c r="L430" s="283"/>
      <c r="M430" s="283"/>
      <c r="N430" s="283"/>
      <c r="O430" s="283"/>
      <c r="P430" s="283"/>
      <c r="Q430" s="340"/>
      <c r="R430" s="283"/>
      <c r="S430" s="283"/>
      <c r="T430" s="340"/>
      <c r="U430" s="340"/>
      <c r="V430" s="283"/>
      <c r="W430" s="283"/>
      <c r="X430" s="283"/>
      <c r="Y430" s="283"/>
      <c r="Z430" s="283"/>
    </row>
    <row r="431" ht="15.75" customHeight="1">
      <c r="A431" s="340"/>
      <c r="B431" s="340"/>
      <c r="C431" s="283"/>
      <c r="D431" s="283"/>
      <c r="E431" s="283"/>
      <c r="F431" s="283"/>
      <c r="G431" s="283"/>
      <c r="H431" s="283"/>
      <c r="I431" s="283"/>
      <c r="J431" s="283"/>
      <c r="K431" s="340"/>
      <c r="L431" s="283"/>
      <c r="M431" s="283"/>
      <c r="N431" s="283"/>
      <c r="O431" s="283"/>
      <c r="P431" s="283"/>
      <c r="Q431" s="340"/>
      <c r="R431" s="283"/>
      <c r="S431" s="283"/>
      <c r="T431" s="340"/>
      <c r="U431" s="340"/>
      <c r="V431" s="283"/>
      <c r="W431" s="283"/>
      <c r="X431" s="283"/>
      <c r="Y431" s="283"/>
      <c r="Z431" s="283"/>
    </row>
    <row r="432" ht="15.75" customHeight="1">
      <c r="A432" s="340"/>
      <c r="B432" s="340"/>
      <c r="C432" s="283"/>
      <c r="D432" s="283"/>
      <c r="E432" s="283"/>
      <c r="F432" s="283"/>
      <c r="G432" s="283"/>
      <c r="H432" s="283"/>
      <c r="I432" s="283"/>
      <c r="J432" s="283"/>
      <c r="K432" s="340"/>
      <c r="L432" s="283"/>
      <c r="M432" s="283"/>
      <c r="N432" s="283"/>
      <c r="O432" s="283"/>
      <c r="P432" s="283"/>
      <c r="Q432" s="340"/>
      <c r="R432" s="283"/>
      <c r="S432" s="283"/>
      <c r="T432" s="340"/>
      <c r="U432" s="340"/>
      <c r="V432" s="283"/>
      <c r="W432" s="283"/>
      <c r="X432" s="283"/>
      <c r="Y432" s="283"/>
      <c r="Z432" s="283"/>
    </row>
    <row r="433" ht="15.75" customHeight="1">
      <c r="A433" s="340"/>
      <c r="B433" s="340"/>
      <c r="C433" s="283"/>
      <c r="D433" s="283"/>
      <c r="E433" s="283"/>
      <c r="F433" s="283"/>
      <c r="G433" s="283"/>
      <c r="H433" s="283"/>
      <c r="I433" s="283"/>
      <c r="J433" s="283"/>
      <c r="K433" s="340"/>
      <c r="L433" s="283"/>
      <c r="M433" s="283"/>
      <c r="N433" s="283"/>
      <c r="O433" s="283"/>
      <c r="P433" s="283"/>
      <c r="Q433" s="340"/>
      <c r="R433" s="283"/>
      <c r="S433" s="283"/>
      <c r="T433" s="340"/>
      <c r="U433" s="340"/>
      <c r="V433" s="283"/>
      <c r="W433" s="283"/>
      <c r="X433" s="283"/>
      <c r="Y433" s="283"/>
      <c r="Z433" s="283"/>
    </row>
    <row r="434" ht="15.75" customHeight="1">
      <c r="A434" s="340"/>
      <c r="B434" s="340"/>
      <c r="C434" s="283"/>
      <c r="D434" s="283"/>
      <c r="E434" s="283"/>
      <c r="F434" s="283"/>
      <c r="G434" s="283"/>
      <c r="H434" s="283"/>
      <c r="I434" s="283"/>
      <c r="J434" s="283"/>
      <c r="K434" s="340"/>
      <c r="L434" s="283"/>
      <c r="M434" s="283"/>
      <c r="N434" s="283"/>
      <c r="O434" s="283"/>
      <c r="P434" s="283"/>
      <c r="Q434" s="340"/>
      <c r="R434" s="283"/>
      <c r="S434" s="283"/>
      <c r="T434" s="340"/>
      <c r="U434" s="340"/>
      <c r="V434" s="283"/>
      <c r="W434" s="283"/>
      <c r="X434" s="283"/>
      <c r="Y434" s="283"/>
      <c r="Z434" s="283"/>
    </row>
    <row r="435" ht="15.75" customHeight="1">
      <c r="A435" s="340"/>
      <c r="B435" s="340"/>
      <c r="C435" s="283"/>
      <c r="D435" s="283"/>
      <c r="E435" s="283"/>
      <c r="F435" s="283"/>
      <c r="G435" s="283"/>
      <c r="H435" s="283"/>
      <c r="I435" s="283"/>
      <c r="J435" s="283"/>
      <c r="K435" s="340"/>
      <c r="L435" s="283"/>
      <c r="M435" s="283"/>
      <c r="N435" s="283"/>
      <c r="O435" s="283"/>
      <c r="P435" s="283"/>
      <c r="Q435" s="340"/>
      <c r="R435" s="283"/>
      <c r="S435" s="283"/>
      <c r="T435" s="340"/>
      <c r="U435" s="340"/>
      <c r="V435" s="283"/>
      <c r="W435" s="283"/>
      <c r="X435" s="283"/>
      <c r="Y435" s="283"/>
      <c r="Z435" s="283"/>
    </row>
    <row r="436" ht="15.75" customHeight="1">
      <c r="A436" s="340"/>
      <c r="B436" s="340"/>
      <c r="C436" s="283"/>
      <c r="D436" s="283"/>
      <c r="E436" s="283"/>
      <c r="F436" s="283"/>
      <c r="G436" s="283"/>
      <c r="H436" s="283"/>
      <c r="I436" s="283"/>
      <c r="J436" s="283"/>
      <c r="K436" s="340"/>
      <c r="L436" s="283"/>
      <c r="M436" s="283"/>
      <c r="N436" s="283"/>
      <c r="O436" s="283"/>
      <c r="P436" s="283"/>
      <c r="Q436" s="340"/>
      <c r="R436" s="283"/>
      <c r="S436" s="283"/>
      <c r="T436" s="340"/>
      <c r="U436" s="340"/>
      <c r="V436" s="283"/>
      <c r="W436" s="283"/>
      <c r="X436" s="283"/>
      <c r="Y436" s="283"/>
      <c r="Z436" s="283"/>
    </row>
    <row r="437" ht="15.75" customHeight="1">
      <c r="A437" s="340"/>
      <c r="B437" s="340"/>
      <c r="C437" s="283"/>
      <c r="D437" s="283"/>
      <c r="E437" s="283"/>
      <c r="F437" s="283"/>
      <c r="G437" s="283"/>
      <c r="H437" s="283"/>
      <c r="I437" s="283"/>
      <c r="J437" s="283"/>
      <c r="K437" s="340"/>
      <c r="L437" s="283"/>
      <c r="M437" s="283"/>
      <c r="N437" s="283"/>
      <c r="O437" s="283"/>
      <c r="P437" s="283"/>
      <c r="Q437" s="340"/>
      <c r="R437" s="283"/>
      <c r="S437" s="283"/>
      <c r="T437" s="340"/>
      <c r="U437" s="340"/>
      <c r="V437" s="283"/>
      <c r="W437" s="283"/>
      <c r="X437" s="283"/>
      <c r="Y437" s="283"/>
      <c r="Z437" s="283"/>
    </row>
    <row r="438" ht="15.75" customHeight="1">
      <c r="A438" s="340"/>
      <c r="B438" s="340"/>
      <c r="C438" s="283"/>
      <c r="D438" s="283"/>
      <c r="E438" s="283"/>
      <c r="F438" s="283"/>
      <c r="G438" s="283"/>
      <c r="H438" s="283"/>
      <c r="I438" s="283"/>
      <c r="J438" s="283"/>
      <c r="K438" s="340"/>
      <c r="L438" s="283"/>
      <c r="M438" s="283"/>
      <c r="N438" s="283"/>
      <c r="O438" s="283"/>
      <c r="P438" s="283"/>
      <c r="Q438" s="340"/>
      <c r="R438" s="283"/>
      <c r="S438" s="283"/>
      <c r="T438" s="340"/>
      <c r="U438" s="340"/>
      <c r="V438" s="283"/>
      <c r="W438" s="283"/>
      <c r="X438" s="283"/>
      <c r="Y438" s="283"/>
      <c r="Z438" s="283"/>
    </row>
    <row r="439" ht="15.75" customHeight="1">
      <c r="A439" s="340"/>
      <c r="B439" s="340"/>
      <c r="C439" s="283"/>
      <c r="D439" s="283"/>
      <c r="E439" s="283"/>
      <c r="F439" s="283"/>
      <c r="G439" s="283"/>
      <c r="H439" s="283"/>
      <c r="I439" s="283"/>
      <c r="J439" s="283"/>
      <c r="K439" s="340"/>
      <c r="L439" s="283"/>
      <c r="M439" s="283"/>
      <c r="N439" s="283"/>
      <c r="O439" s="283"/>
      <c r="P439" s="283"/>
      <c r="Q439" s="340"/>
      <c r="R439" s="283"/>
      <c r="S439" s="283"/>
      <c r="T439" s="340"/>
      <c r="U439" s="340"/>
      <c r="V439" s="283"/>
      <c r="W439" s="283"/>
      <c r="X439" s="283"/>
      <c r="Y439" s="283"/>
      <c r="Z439" s="283"/>
    </row>
    <row r="440" ht="15.75" customHeight="1">
      <c r="A440" s="340"/>
      <c r="B440" s="340"/>
      <c r="C440" s="283"/>
      <c r="D440" s="283"/>
      <c r="E440" s="283"/>
      <c r="F440" s="283"/>
      <c r="G440" s="283"/>
      <c r="H440" s="283"/>
      <c r="I440" s="283"/>
      <c r="J440" s="283"/>
      <c r="K440" s="340"/>
      <c r="L440" s="283"/>
      <c r="M440" s="283"/>
      <c r="N440" s="283"/>
      <c r="O440" s="283"/>
      <c r="P440" s="283"/>
      <c r="Q440" s="340"/>
      <c r="R440" s="283"/>
      <c r="S440" s="283"/>
      <c r="T440" s="340"/>
      <c r="U440" s="340"/>
      <c r="V440" s="283"/>
      <c r="W440" s="283"/>
      <c r="X440" s="283"/>
      <c r="Y440" s="283"/>
      <c r="Z440" s="283"/>
    </row>
    <row r="441" ht="15.75" customHeight="1">
      <c r="A441" s="340"/>
      <c r="B441" s="340"/>
      <c r="C441" s="283"/>
      <c r="D441" s="283"/>
      <c r="E441" s="283"/>
      <c r="F441" s="283"/>
      <c r="G441" s="283"/>
      <c r="H441" s="283"/>
      <c r="I441" s="283"/>
      <c r="J441" s="283"/>
      <c r="K441" s="340"/>
      <c r="L441" s="283"/>
      <c r="M441" s="283"/>
      <c r="N441" s="283"/>
      <c r="O441" s="283"/>
      <c r="P441" s="283"/>
      <c r="Q441" s="340"/>
      <c r="R441" s="283"/>
      <c r="S441" s="283"/>
      <c r="T441" s="340"/>
      <c r="U441" s="340"/>
      <c r="V441" s="283"/>
      <c r="W441" s="283"/>
      <c r="X441" s="283"/>
      <c r="Y441" s="283"/>
      <c r="Z441" s="283"/>
    </row>
    <row r="442" ht="15.75" customHeight="1">
      <c r="A442" s="340"/>
      <c r="B442" s="340"/>
      <c r="C442" s="283"/>
      <c r="D442" s="283"/>
      <c r="E442" s="283"/>
      <c r="F442" s="283"/>
      <c r="G442" s="283"/>
      <c r="H442" s="283"/>
      <c r="I442" s="283"/>
      <c r="J442" s="283"/>
      <c r="K442" s="340"/>
      <c r="L442" s="283"/>
      <c r="M442" s="283"/>
      <c r="N442" s="283"/>
      <c r="O442" s="283"/>
      <c r="P442" s="283"/>
      <c r="Q442" s="340"/>
      <c r="R442" s="283"/>
      <c r="S442" s="283"/>
      <c r="T442" s="340"/>
      <c r="U442" s="340"/>
      <c r="V442" s="283"/>
      <c r="W442" s="283"/>
      <c r="X442" s="283"/>
      <c r="Y442" s="283"/>
      <c r="Z442" s="283"/>
    </row>
    <row r="443" ht="15.75" customHeight="1">
      <c r="A443" s="340"/>
      <c r="B443" s="340"/>
      <c r="C443" s="283"/>
      <c r="D443" s="283"/>
      <c r="E443" s="283"/>
      <c r="F443" s="283"/>
      <c r="G443" s="283"/>
      <c r="H443" s="283"/>
      <c r="I443" s="283"/>
      <c r="J443" s="283"/>
      <c r="K443" s="340"/>
      <c r="L443" s="283"/>
      <c r="M443" s="283"/>
      <c r="N443" s="283"/>
      <c r="O443" s="283"/>
      <c r="P443" s="283"/>
      <c r="Q443" s="340"/>
      <c r="R443" s="283"/>
      <c r="S443" s="283"/>
      <c r="T443" s="340"/>
      <c r="U443" s="340"/>
      <c r="V443" s="283"/>
      <c r="W443" s="283"/>
      <c r="X443" s="283"/>
      <c r="Y443" s="283"/>
      <c r="Z443" s="283"/>
    </row>
    <row r="444" ht="15.75" customHeight="1">
      <c r="A444" s="340"/>
      <c r="B444" s="340"/>
      <c r="C444" s="283"/>
      <c r="D444" s="283"/>
      <c r="E444" s="283"/>
      <c r="F444" s="283"/>
      <c r="G444" s="283"/>
      <c r="H444" s="283"/>
      <c r="I444" s="283"/>
      <c r="J444" s="283"/>
      <c r="K444" s="340"/>
      <c r="L444" s="283"/>
      <c r="M444" s="283"/>
      <c r="N444" s="283"/>
      <c r="O444" s="283"/>
      <c r="P444" s="283"/>
      <c r="Q444" s="340"/>
      <c r="R444" s="283"/>
      <c r="S444" s="283"/>
      <c r="T444" s="340"/>
      <c r="U444" s="340"/>
      <c r="V444" s="283"/>
      <c r="W444" s="283"/>
      <c r="X444" s="283"/>
      <c r="Y444" s="283"/>
      <c r="Z444" s="283"/>
    </row>
    <row r="445" ht="15.75" customHeight="1">
      <c r="A445" s="340"/>
      <c r="B445" s="340"/>
      <c r="C445" s="283"/>
      <c r="D445" s="283"/>
      <c r="E445" s="283"/>
      <c r="F445" s="283"/>
      <c r="G445" s="283"/>
      <c r="H445" s="283"/>
      <c r="I445" s="283"/>
      <c r="J445" s="283"/>
      <c r="K445" s="340"/>
      <c r="L445" s="283"/>
      <c r="M445" s="283"/>
      <c r="N445" s="283"/>
      <c r="O445" s="283"/>
      <c r="P445" s="283"/>
      <c r="Q445" s="340"/>
      <c r="R445" s="283"/>
      <c r="S445" s="283"/>
      <c r="T445" s="340"/>
      <c r="U445" s="340"/>
      <c r="V445" s="283"/>
      <c r="W445" s="283"/>
      <c r="X445" s="283"/>
      <c r="Y445" s="283"/>
      <c r="Z445" s="283"/>
    </row>
    <row r="446" ht="15.75" customHeight="1">
      <c r="A446" s="340"/>
      <c r="B446" s="340"/>
      <c r="C446" s="283"/>
      <c r="D446" s="283"/>
      <c r="E446" s="283"/>
      <c r="F446" s="283"/>
      <c r="G446" s="283"/>
      <c r="H446" s="283"/>
      <c r="I446" s="283"/>
      <c r="J446" s="283"/>
      <c r="K446" s="340"/>
      <c r="L446" s="283"/>
      <c r="M446" s="283"/>
      <c r="N446" s="283"/>
      <c r="O446" s="283"/>
      <c r="P446" s="283"/>
      <c r="Q446" s="340"/>
      <c r="R446" s="283"/>
      <c r="S446" s="283"/>
      <c r="T446" s="340"/>
      <c r="U446" s="340"/>
      <c r="V446" s="283"/>
      <c r="W446" s="283"/>
      <c r="X446" s="283"/>
      <c r="Y446" s="283"/>
      <c r="Z446" s="283"/>
    </row>
    <row r="447" ht="15.75" customHeight="1">
      <c r="A447" s="340"/>
      <c r="B447" s="340"/>
      <c r="C447" s="283"/>
      <c r="D447" s="283"/>
      <c r="E447" s="283"/>
      <c r="F447" s="283"/>
      <c r="G447" s="283"/>
      <c r="H447" s="283"/>
      <c r="I447" s="283"/>
      <c r="J447" s="283"/>
      <c r="K447" s="340"/>
      <c r="L447" s="283"/>
      <c r="M447" s="283"/>
      <c r="N447" s="283"/>
      <c r="O447" s="283"/>
      <c r="P447" s="283"/>
      <c r="Q447" s="340"/>
      <c r="R447" s="283"/>
      <c r="S447" s="283"/>
      <c r="T447" s="340"/>
      <c r="U447" s="340"/>
      <c r="V447" s="283"/>
      <c r="W447" s="283"/>
      <c r="X447" s="283"/>
      <c r="Y447" s="283"/>
      <c r="Z447" s="283"/>
    </row>
    <row r="448" ht="15.75" customHeight="1">
      <c r="A448" s="340"/>
      <c r="B448" s="340"/>
      <c r="C448" s="283"/>
      <c r="D448" s="283"/>
      <c r="E448" s="283"/>
      <c r="F448" s="283"/>
      <c r="G448" s="283"/>
      <c r="H448" s="283"/>
      <c r="I448" s="283"/>
      <c r="J448" s="283"/>
      <c r="K448" s="340"/>
      <c r="L448" s="283"/>
      <c r="M448" s="283"/>
      <c r="N448" s="283"/>
      <c r="O448" s="283"/>
      <c r="P448" s="283"/>
      <c r="Q448" s="340"/>
      <c r="R448" s="283"/>
      <c r="S448" s="283"/>
      <c r="T448" s="340"/>
      <c r="U448" s="340"/>
      <c r="V448" s="283"/>
      <c r="W448" s="283"/>
      <c r="X448" s="283"/>
      <c r="Y448" s="283"/>
      <c r="Z448" s="283"/>
    </row>
    <row r="449" ht="15.75" customHeight="1">
      <c r="A449" s="340"/>
      <c r="B449" s="340"/>
      <c r="C449" s="283"/>
      <c r="D449" s="283"/>
      <c r="E449" s="283"/>
      <c r="F449" s="283"/>
      <c r="G449" s="283"/>
      <c r="H449" s="283"/>
      <c r="I449" s="283"/>
      <c r="J449" s="283"/>
      <c r="K449" s="340"/>
      <c r="L449" s="283"/>
      <c r="M449" s="283"/>
      <c r="N449" s="283"/>
      <c r="O449" s="283"/>
      <c r="P449" s="283"/>
      <c r="Q449" s="340"/>
      <c r="R449" s="283"/>
      <c r="S449" s="283"/>
      <c r="T449" s="340"/>
      <c r="U449" s="340"/>
      <c r="V449" s="283"/>
      <c r="W449" s="283"/>
      <c r="X449" s="283"/>
      <c r="Y449" s="283"/>
      <c r="Z449" s="283"/>
    </row>
    <row r="450" ht="15.75" customHeight="1">
      <c r="A450" s="340"/>
      <c r="B450" s="340"/>
      <c r="C450" s="283"/>
      <c r="D450" s="283"/>
      <c r="E450" s="283"/>
      <c r="F450" s="283"/>
      <c r="G450" s="283"/>
      <c r="H450" s="283"/>
      <c r="I450" s="283"/>
      <c r="J450" s="283"/>
      <c r="K450" s="340"/>
      <c r="L450" s="283"/>
      <c r="M450" s="283"/>
      <c r="N450" s="283"/>
      <c r="O450" s="283"/>
      <c r="P450" s="283"/>
      <c r="Q450" s="340"/>
      <c r="R450" s="283"/>
      <c r="S450" s="283"/>
      <c r="T450" s="340"/>
      <c r="U450" s="340"/>
      <c r="V450" s="283"/>
      <c r="W450" s="283"/>
      <c r="X450" s="283"/>
      <c r="Y450" s="283"/>
      <c r="Z450" s="283"/>
    </row>
    <row r="451" ht="15.75" customHeight="1">
      <c r="A451" s="340"/>
      <c r="B451" s="340"/>
      <c r="C451" s="283"/>
      <c r="D451" s="283"/>
      <c r="E451" s="283"/>
      <c r="F451" s="283"/>
      <c r="G451" s="283"/>
      <c r="H451" s="283"/>
      <c r="I451" s="283"/>
      <c r="J451" s="283"/>
      <c r="K451" s="340"/>
      <c r="L451" s="283"/>
      <c r="M451" s="283"/>
      <c r="N451" s="283"/>
      <c r="O451" s="283"/>
      <c r="P451" s="283"/>
      <c r="Q451" s="340"/>
      <c r="R451" s="283"/>
      <c r="S451" s="283"/>
      <c r="T451" s="340"/>
      <c r="U451" s="340"/>
      <c r="V451" s="283"/>
      <c r="W451" s="283"/>
      <c r="X451" s="283"/>
      <c r="Y451" s="283"/>
      <c r="Z451" s="283"/>
    </row>
    <row r="452" ht="15.75" customHeight="1">
      <c r="A452" s="340"/>
      <c r="B452" s="340"/>
      <c r="C452" s="283"/>
      <c r="D452" s="283"/>
      <c r="E452" s="283"/>
      <c r="F452" s="283"/>
      <c r="G452" s="283"/>
      <c r="H452" s="283"/>
      <c r="I452" s="283"/>
      <c r="J452" s="283"/>
      <c r="K452" s="340"/>
      <c r="L452" s="283"/>
      <c r="M452" s="283"/>
      <c r="N452" s="283"/>
      <c r="O452" s="283"/>
      <c r="P452" s="283"/>
      <c r="Q452" s="340"/>
      <c r="R452" s="283"/>
      <c r="S452" s="283"/>
      <c r="T452" s="340"/>
      <c r="U452" s="340"/>
      <c r="V452" s="283"/>
      <c r="W452" s="283"/>
      <c r="X452" s="283"/>
      <c r="Y452" s="283"/>
      <c r="Z452" s="283"/>
    </row>
    <row r="453" ht="15.75" customHeight="1">
      <c r="A453" s="340"/>
      <c r="B453" s="340"/>
      <c r="C453" s="283"/>
      <c r="D453" s="283"/>
      <c r="E453" s="283"/>
      <c r="F453" s="283"/>
      <c r="G453" s="283"/>
      <c r="H453" s="283"/>
      <c r="I453" s="283"/>
      <c r="J453" s="283"/>
      <c r="K453" s="340"/>
      <c r="L453" s="283"/>
      <c r="M453" s="283"/>
      <c r="N453" s="283"/>
      <c r="O453" s="283"/>
      <c r="P453" s="283"/>
      <c r="Q453" s="340"/>
      <c r="R453" s="283"/>
      <c r="S453" s="283"/>
      <c r="T453" s="340"/>
      <c r="U453" s="340"/>
      <c r="V453" s="283"/>
      <c r="W453" s="283"/>
      <c r="X453" s="283"/>
      <c r="Y453" s="283"/>
      <c r="Z453" s="283"/>
    </row>
    <row r="454" ht="15.75" customHeight="1">
      <c r="A454" s="340"/>
      <c r="B454" s="340"/>
      <c r="C454" s="283"/>
      <c r="D454" s="283"/>
      <c r="E454" s="283"/>
      <c r="F454" s="283"/>
      <c r="G454" s="283"/>
      <c r="H454" s="283"/>
      <c r="I454" s="283"/>
      <c r="J454" s="283"/>
      <c r="K454" s="340"/>
      <c r="L454" s="283"/>
      <c r="M454" s="283"/>
      <c r="N454" s="283"/>
      <c r="O454" s="283"/>
      <c r="P454" s="283"/>
      <c r="Q454" s="340"/>
      <c r="R454" s="283"/>
      <c r="S454" s="283"/>
      <c r="T454" s="340"/>
      <c r="U454" s="340"/>
      <c r="V454" s="283"/>
      <c r="W454" s="283"/>
      <c r="X454" s="283"/>
      <c r="Y454" s="283"/>
      <c r="Z454" s="283"/>
    </row>
    <row r="455" ht="15.75" customHeight="1">
      <c r="A455" s="340"/>
      <c r="B455" s="340"/>
      <c r="C455" s="283"/>
      <c r="D455" s="283"/>
      <c r="E455" s="283"/>
      <c r="F455" s="283"/>
      <c r="G455" s="283"/>
      <c r="H455" s="283"/>
      <c r="I455" s="283"/>
      <c r="J455" s="283"/>
      <c r="K455" s="340"/>
      <c r="L455" s="283"/>
      <c r="M455" s="283"/>
      <c r="N455" s="283"/>
      <c r="O455" s="283"/>
      <c r="P455" s="283"/>
      <c r="Q455" s="340"/>
      <c r="R455" s="283"/>
      <c r="S455" s="283"/>
      <c r="T455" s="340"/>
      <c r="U455" s="340"/>
      <c r="V455" s="283"/>
      <c r="W455" s="283"/>
      <c r="X455" s="283"/>
      <c r="Y455" s="283"/>
      <c r="Z455" s="283"/>
    </row>
    <row r="456" ht="15.75" customHeight="1">
      <c r="A456" s="340"/>
      <c r="B456" s="340"/>
      <c r="C456" s="283"/>
      <c r="D456" s="283"/>
      <c r="E456" s="283"/>
      <c r="F456" s="283"/>
      <c r="G456" s="283"/>
      <c r="H456" s="283"/>
      <c r="I456" s="283"/>
      <c r="J456" s="283"/>
      <c r="K456" s="340"/>
      <c r="L456" s="283"/>
      <c r="M456" s="283"/>
      <c r="N456" s="283"/>
      <c r="O456" s="283"/>
      <c r="P456" s="283"/>
      <c r="Q456" s="340"/>
      <c r="R456" s="283"/>
      <c r="S456" s="283"/>
      <c r="T456" s="340"/>
      <c r="U456" s="340"/>
      <c r="V456" s="283"/>
      <c r="W456" s="283"/>
      <c r="X456" s="283"/>
      <c r="Y456" s="283"/>
      <c r="Z456" s="283"/>
    </row>
    <row r="457" ht="15.75" customHeight="1">
      <c r="A457" s="340"/>
      <c r="B457" s="340"/>
      <c r="C457" s="283"/>
      <c r="D457" s="283"/>
      <c r="E457" s="283"/>
      <c r="F457" s="283"/>
      <c r="G457" s="283"/>
      <c r="H457" s="283"/>
      <c r="I457" s="283"/>
      <c r="J457" s="283"/>
      <c r="K457" s="340"/>
      <c r="L457" s="283"/>
      <c r="M457" s="283"/>
      <c r="N457" s="283"/>
      <c r="O457" s="283"/>
      <c r="P457" s="283"/>
      <c r="Q457" s="340"/>
      <c r="R457" s="283"/>
      <c r="S457" s="283"/>
      <c r="T457" s="340"/>
      <c r="U457" s="340"/>
      <c r="V457" s="283"/>
      <c r="W457" s="283"/>
      <c r="X457" s="283"/>
      <c r="Y457" s="283"/>
      <c r="Z457" s="283"/>
    </row>
    <row r="458" ht="15.75" customHeight="1">
      <c r="A458" s="340"/>
      <c r="B458" s="340"/>
      <c r="C458" s="283"/>
      <c r="D458" s="283"/>
      <c r="E458" s="283"/>
      <c r="F458" s="283"/>
      <c r="G458" s="283"/>
      <c r="H458" s="283"/>
      <c r="I458" s="283"/>
      <c r="J458" s="283"/>
      <c r="K458" s="340"/>
      <c r="L458" s="283"/>
      <c r="M458" s="283"/>
      <c r="N458" s="283"/>
      <c r="O458" s="283"/>
      <c r="P458" s="283"/>
      <c r="Q458" s="340"/>
      <c r="R458" s="283"/>
      <c r="S458" s="283"/>
      <c r="T458" s="340"/>
      <c r="U458" s="340"/>
      <c r="V458" s="283"/>
      <c r="W458" s="283"/>
      <c r="X458" s="283"/>
      <c r="Y458" s="283"/>
      <c r="Z458" s="283"/>
    </row>
    <row r="459" ht="15.75" customHeight="1">
      <c r="A459" s="340"/>
      <c r="B459" s="340"/>
      <c r="C459" s="283"/>
      <c r="D459" s="283"/>
      <c r="E459" s="283"/>
      <c r="F459" s="283"/>
      <c r="G459" s="283"/>
      <c r="H459" s="283"/>
      <c r="I459" s="283"/>
      <c r="J459" s="283"/>
      <c r="K459" s="340"/>
      <c r="L459" s="283"/>
      <c r="M459" s="283"/>
      <c r="N459" s="283"/>
      <c r="O459" s="283"/>
      <c r="P459" s="283"/>
      <c r="Q459" s="340"/>
      <c r="R459" s="283"/>
      <c r="S459" s="283"/>
      <c r="T459" s="340"/>
      <c r="U459" s="340"/>
      <c r="V459" s="283"/>
      <c r="W459" s="283"/>
      <c r="X459" s="283"/>
      <c r="Y459" s="283"/>
      <c r="Z459" s="283"/>
    </row>
    <row r="460" ht="15.75" customHeight="1">
      <c r="A460" s="340"/>
      <c r="B460" s="340"/>
      <c r="C460" s="283"/>
      <c r="D460" s="283"/>
      <c r="E460" s="283"/>
      <c r="F460" s="283"/>
      <c r="G460" s="283"/>
      <c r="H460" s="283"/>
      <c r="I460" s="283"/>
      <c r="J460" s="283"/>
      <c r="K460" s="340"/>
      <c r="L460" s="283"/>
      <c r="M460" s="283"/>
      <c r="N460" s="283"/>
      <c r="O460" s="283"/>
      <c r="P460" s="283"/>
      <c r="Q460" s="340"/>
      <c r="R460" s="283"/>
      <c r="S460" s="283"/>
      <c r="T460" s="340"/>
      <c r="U460" s="340"/>
      <c r="V460" s="283"/>
      <c r="W460" s="283"/>
      <c r="X460" s="283"/>
      <c r="Y460" s="283"/>
      <c r="Z460" s="283"/>
    </row>
    <row r="461" ht="15.75" customHeight="1">
      <c r="A461" s="340"/>
      <c r="B461" s="340"/>
      <c r="C461" s="283"/>
      <c r="D461" s="283"/>
      <c r="E461" s="283"/>
      <c r="F461" s="283"/>
      <c r="G461" s="283"/>
      <c r="H461" s="283"/>
      <c r="I461" s="283"/>
      <c r="J461" s="283"/>
      <c r="K461" s="340"/>
      <c r="L461" s="283"/>
      <c r="M461" s="283"/>
      <c r="N461" s="283"/>
      <c r="O461" s="283"/>
      <c r="P461" s="283"/>
      <c r="Q461" s="340"/>
      <c r="R461" s="283"/>
      <c r="S461" s="283"/>
      <c r="T461" s="340"/>
      <c r="U461" s="340"/>
      <c r="V461" s="283"/>
      <c r="W461" s="283"/>
      <c r="X461" s="283"/>
      <c r="Y461" s="283"/>
      <c r="Z461" s="283"/>
    </row>
    <row r="462" ht="15.75" customHeight="1">
      <c r="A462" s="340"/>
      <c r="B462" s="340"/>
      <c r="C462" s="283"/>
      <c r="D462" s="283"/>
      <c r="E462" s="283"/>
      <c r="F462" s="283"/>
      <c r="G462" s="283"/>
      <c r="H462" s="283"/>
      <c r="I462" s="283"/>
      <c r="J462" s="283"/>
      <c r="K462" s="340"/>
      <c r="L462" s="283"/>
      <c r="M462" s="283"/>
      <c r="N462" s="283"/>
      <c r="O462" s="283"/>
      <c r="P462" s="283"/>
      <c r="Q462" s="340"/>
      <c r="R462" s="283"/>
      <c r="S462" s="283"/>
      <c r="T462" s="340"/>
      <c r="U462" s="340"/>
      <c r="V462" s="283"/>
      <c r="W462" s="283"/>
      <c r="X462" s="283"/>
      <c r="Y462" s="283"/>
      <c r="Z462" s="283"/>
    </row>
    <row r="463" ht="15.75" customHeight="1">
      <c r="A463" s="340"/>
      <c r="B463" s="340"/>
      <c r="C463" s="283"/>
      <c r="D463" s="283"/>
      <c r="E463" s="283"/>
      <c r="F463" s="283"/>
      <c r="G463" s="283"/>
      <c r="H463" s="283"/>
      <c r="I463" s="283"/>
      <c r="J463" s="283"/>
      <c r="K463" s="340"/>
      <c r="L463" s="283"/>
      <c r="M463" s="283"/>
      <c r="N463" s="283"/>
      <c r="O463" s="283"/>
      <c r="P463" s="283"/>
      <c r="Q463" s="340"/>
      <c r="R463" s="283"/>
      <c r="S463" s="283"/>
      <c r="T463" s="340"/>
      <c r="U463" s="340"/>
      <c r="V463" s="283"/>
      <c r="W463" s="283"/>
      <c r="X463" s="283"/>
      <c r="Y463" s="283"/>
      <c r="Z463" s="283"/>
    </row>
    <row r="464" ht="15.75" customHeight="1">
      <c r="A464" s="340"/>
      <c r="B464" s="340"/>
      <c r="C464" s="283"/>
      <c r="D464" s="283"/>
      <c r="E464" s="283"/>
      <c r="F464" s="283"/>
      <c r="G464" s="283"/>
      <c r="H464" s="283"/>
      <c r="I464" s="283"/>
      <c r="J464" s="283"/>
      <c r="K464" s="340"/>
      <c r="L464" s="283"/>
      <c r="M464" s="283"/>
      <c r="N464" s="283"/>
      <c r="O464" s="283"/>
      <c r="P464" s="283"/>
      <c r="Q464" s="340"/>
      <c r="R464" s="283"/>
      <c r="S464" s="283"/>
      <c r="T464" s="340"/>
      <c r="U464" s="340"/>
      <c r="V464" s="283"/>
      <c r="W464" s="283"/>
      <c r="X464" s="283"/>
      <c r="Y464" s="283"/>
      <c r="Z464" s="283"/>
    </row>
    <row r="465" ht="15.75" customHeight="1">
      <c r="A465" s="340"/>
      <c r="B465" s="340"/>
      <c r="C465" s="283"/>
      <c r="D465" s="283"/>
      <c r="E465" s="283"/>
      <c r="F465" s="283"/>
      <c r="G465" s="283"/>
      <c r="H465" s="283"/>
      <c r="I465" s="283"/>
      <c r="J465" s="283"/>
      <c r="K465" s="340"/>
      <c r="L465" s="283"/>
      <c r="M465" s="283"/>
      <c r="N465" s="283"/>
      <c r="O465" s="283"/>
      <c r="P465" s="283"/>
      <c r="Q465" s="340"/>
      <c r="R465" s="283"/>
      <c r="S465" s="283"/>
      <c r="T465" s="340"/>
      <c r="U465" s="340"/>
      <c r="V465" s="283"/>
      <c r="W465" s="283"/>
      <c r="X465" s="283"/>
      <c r="Y465" s="283"/>
      <c r="Z465" s="283"/>
    </row>
    <row r="466" ht="15.75" customHeight="1">
      <c r="A466" s="340"/>
      <c r="B466" s="340"/>
      <c r="C466" s="283"/>
      <c r="D466" s="283"/>
      <c r="E466" s="283"/>
      <c r="F466" s="283"/>
      <c r="G466" s="283"/>
      <c r="H466" s="283"/>
      <c r="I466" s="283"/>
      <c r="J466" s="283"/>
      <c r="K466" s="340"/>
      <c r="L466" s="283"/>
      <c r="M466" s="283"/>
      <c r="N466" s="283"/>
      <c r="O466" s="283"/>
      <c r="P466" s="283"/>
      <c r="Q466" s="340"/>
      <c r="R466" s="283"/>
      <c r="S466" s="283"/>
      <c r="T466" s="340"/>
      <c r="U466" s="340"/>
      <c r="V466" s="283"/>
      <c r="W466" s="283"/>
      <c r="X466" s="283"/>
      <c r="Y466" s="283"/>
      <c r="Z466" s="283"/>
    </row>
    <row r="467" ht="15.75" customHeight="1">
      <c r="A467" s="340"/>
      <c r="B467" s="340"/>
      <c r="C467" s="283"/>
      <c r="D467" s="283"/>
      <c r="E467" s="283"/>
      <c r="F467" s="283"/>
      <c r="G467" s="283"/>
      <c r="H467" s="283"/>
      <c r="I467" s="283"/>
      <c r="J467" s="283"/>
      <c r="K467" s="340"/>
      <c r="L467" s="283"/>
      <c r="M467" s="283"/>
      <c r="N467" s="283"/>
      <c r="O467" s="283"/>
      <c r="P467" s="283"/>
      <c r="Q467" s="340"/>
      <c r="R467" s="283"/>
      <c r="S467" s="283"/>
      <c r="T467" s="340"/>
      <c r="U467" s="340"/>
      <c r="V467" s="283"/>
      <c r="W467" s="283"/>
      <c r="X467" s="283"/>
      <c r="Y467" s="283"/>
      <c r="Z467" s="283"/>
    </row>
    <row r="468" ht="15.75" customHeight="1">
      <c r="A468" s="340"/>
      <c r="B468" s="340"/>
      <c r="C468" s="283"/>
      <c r="D468" s="283"/>
      <c r="E468" s="283"/>
      <c r="F468" s="283"/>
      <c r="G468" s="283"/>
      <c r="H468" s="283"/>
      <c r="I468" s="283"/>
      <c r="J468" s="283"/>
      <c r="K468" s="340"/>
      <c r="L468" s="283"/>
      <c r="M468" s="283"/>
      <c r="N468" s="283"/>
      <c r="O468" s="283"/>
      <c r="P468" s="283"/>
      <c r="Q468" s="340"/>
      <c r="R468" s="283"/>
      <c r="S468" s="283"/>
      <c r="T468" s="340"/>
      <c r="U468" s="340"/>
      <c r="V468" s="283"/>
      <c r="W468" s="283"/>
      <c r="X468" s="283"/>
      <c r="Y468" s="283"/>
      <c r="Z468" s="283"/>
    </row>
    <row r="469" ht="15.75" customHeight="1">
      <c r="A469" s="340"/>
      <c r="B469" s="340"/>
      <c r="C469" s="283"/>
      <c r="D469" s="283"/>
      <c r="E469" s="283"/>
      <c r="F469" s="283"/>
      <c r="G469" s="283"/>
      <c r="H469" s="283"/>
      <c r="I469" s="283"/>
      <c r="J469" s="283"/>
      <c r="K469" s="340"/>
      <c r="L469" s="283"/>
      <c r="M469" s="283"/>
      <c r="N469" s="283"/>
      <c r="O469" s="283"/>
      <c r="P469" s="283"/>
      <c r="Q469" s="340"/>
      <c r="R469" s="283"/>
      <c r="S469" s="283"/>
      <c r="T469" s="340"/>
      <c r="U469" s="340"/>
      <c r="V469" s="283"/>
      <c r="W469" s="283"/>
      <c r="X469" s="283"/>
      <c r="Y469" s="283"/>
      <c r="Z469" s="283"/>
    </row>
    <row r="470" ht="15.75" customHeight="1">
      <c r="A470" s="340"/>
      <c r="B470" s="340"/>
      <c r="C470" s="283"/>
      <c r="D470" s="283"/>
      <c r="E470" s="283"/>
      <c r="F470" s="283"/>
      <c r="G470" s="283"/>
      <c r="H470" s="283"/>
      <c r="I470" s="283"/>
      <c r="J470" s="283"/>
      <c r="K470" s="340"/>
      <c r="L470" s="283"/>
      <c r="M470" s="283"/>
      <c r="N470" s="283"/>
      <c r="O470" s="283"/>
      <c r="P470" s="283"/>
      <c r="Q470" s="340"/>
      <c r="R470" s="283"/>
      <c r="S470" s="283"/>
      <c r="T470" s="340"/>
      <c r="U470" s="340"/>
      <c r="V470" s="283"/>
      <c r="W470" s="283"/>
      <c r="X470" s="283"/>
      <c r="Y470" s="283"/>
      <c r="Z470" s="283"/>
    </row>
    <row r="471" ht="15.75" customHeight="1">
      <c r="A471" s="340"/>
      <c r="B471" s="340"/>
      <c r="C471" s="283"/>
      <c r="D471" s="283"/>
      <c r="E471" s="283"/>
      <c r="F471" s="283"/>
      <c r="G471" s="283"/>
      <c r="H471" s="283"/>
      <c r="I471" s="283"/>
      <c r="J471" s="283"/>
      <c r="K471" s="340"/>
      <c r="L471" s="283"/>
      <c r="M471" s="283"/>
      <c r="N471" s="283"/>
      <c r="O471" s="283"/>
      <c r="P471" s="283"/>
      <c r="Q471" s="340"/>
      <c r="R471" s="283"/>
      <c r="S471" s="283"/>
      <c r="T471" s="340"/>
      <c r="U471" s="340"/>
      <c r="V471" s="283"/>
      <c r="W471" s="283"/>
      <c r="X471" s="283"/>
      <c r="Y471" s="283"/>
      <c r="Z471" s="283"/>
    </row>
    <row r="472" ht="15.75" customHeight="1">
      <c r="A472" s="340"/>
      <c r="B472" s="340"/>
      <c r="C472" s="283"/>
      <c r="D472" s="283"/>
      <c r="E472" s="283"/>
      <c r="F472" s="283"/>
      <c r="G472" s="283"/>
      <c r="H472" s="283"/>
      <c r="I472" s="283"/>
      <c r="J472" s="283"/>
      <c r="K472" s="340"/>
      <c r="L472" s="283"/>
      <c r="M472" s="283"/>
      <c r="N472" s="283"/>
      <c r="O472" s="283"/>
      <c r="P472" s="283"/>
      <c r="Q472" s="340"/>
      <c r="R472" s="283"/>
      <c r="S472" s="283"/>
      <c r="T472" s="340"/>
      <c r="U472" s="340"/>
      <c r="V472" s="283"/>
      <c r="W472" s="283"/>
      <c r="X472" s="283"/>
      <c r="Y472" s="283"/>
      <c r="Z472" s="283"/>
    </row>
    <row r="473" ht="15.75" customHeight="1">
      <c r="A473" s="340"/>
      <c r="B473" s="340"/>
      <c r="C473" s="283"/>
      <c r="D473" s="283"/>
      <c r="E473" s="283"/>
      <c r="F473" s="283"/>
      <c r="G473" s="283"/>
      <c r="H473" s="283"/>
      <c r="I473" s="283"/>
      <c r="J473" s="283"/>
      <c r="K473" s="340"/>
      <c r="L473" s="283"/>
      <c r="M473" s="283"/>
      <c r="N473" s="283"/>
      <c r="O473" s="283"/>
      <c r="P473" s="283"/>
      <c r="Q473" s="340"/>
      <c r="R473" s="283"/>
      <c r="S473" s="283"/>
      <c r="T473" s="340"/>
      <c r="U473" s="340"/>
      <c r="V473" s="283"/>
      <c r="W473" s="283"/>
      <c r="X473" s="283"/>
      <c r="Y473" s="283"/>
      <c r="Z473" s="283"/>
    </row>
    <row r="474" ht="15.75" customHeight="1">
      <c r="A474" s="340"/>
      <c r="B474" s="340"/>
      <c r="C474" s="283"/>
      <c r="D474" s="283"/>
      <c r="E474" s="283"/>
      <c r="F474" s="283"/>
      <c r="G474" s="283"/>
      <c r="H474" s="283"/>
      <c r="I474" s="283"/>
      <c r="J474" s="283"/>
      <c r="K474" s="340"/>
      <c r="L474" s="283"/>
      <c r="M474" s="283"/>
      <c r="N474" s="283"/>
      <c r="O474" s="283"/>
      <c r="P474" s="283"/>
      <c r="Q474" s="340"/>
      <c r="R474" s="283"/>
      <c r="S474" s="283"/>
      <c r="T474" s="340"/>
      <c r="U474" s="340"/>
      <c r="V474" s="283"/>
      <c r="W474" s="283"/>
      <c r="X474" s="283"/>
      <c r="Y474" s="283"/>
      <c r="Z474" s="283"/>
    </row>
    <row r="475" ht="15.75" customHeight="1">
      <c r="A475" s="340"/>
      <c r="B475" s="340"/>
      <c r="C475" s="283"/>
      <c r="D475" s="283"/>
      <c r="E475" s="283"/>
      <c r="F475" s="283"/>
      <c r="G475" s="283"/>
      <c r="H475" s="283"/>
      <c r="I475" s="283"/>
      <c r="J475" s="283"/>
      <c r="K475" s="340"/>
      <c r="L475" s="283"/>
      <c r="M475" s="283"/>
      <c r="N475" s="283"/>
      <c r="O475" s="283"/>
      <c r="P475" s="283"/>
      <c r="Q475" s="340"/>
      <c r="R475" s="283"/>
      <c r="S475" s="283"/>
      <c r="T475" s="340"/>
      <c r="U475" s="340"/>
      <c r="V475" s="283"/>
      <c r="W475" s="283"/>
      <c r="X475" s="283"/>
      <c r="Y475" s="283"/>
      <c r="Z475" s="283"/>
    </row>
    <row r="476" ht="15.75" customHeight="1">
      <c r="A476" s="340"/>
      <c r="B476" s="340"/>
      <c r="C476" s="283"/>
      <c r="D476" s="283"/>
      <c r="E476" s="283"/>
      <c r="F476" s="283"/>
      <c r="G476" s="283"/>
      <c r="H476" s="283"/>
      <c r="I476" s="283"/>
      <c r="J476" s="283"/>
      <c r="K476" s="340"/>
      <c r="L476" s="283"/>
      <c r="M476" s="283"/>
      <c r="N476" s="283"/>
      <c r="O476" s="283"/>
      <c r="P476" s="283"/>
      <c r="Q476" s="340"/>
      <c r="R476" s="283"/>
      <c r="S476" s="283"/>
      <c r="T476" s="340"/>
      <c r="U476" s="340"/>
      <c r="V476" s="283"/>
      <c r="W476" s="283"/>
      <c r="X476" s="283"/>
      <c r="Y476" s="283"/>
      <c r="Z476" s="283"/>
    </row>
    <row r="477" ht="15.75" customHeight="1">
      <c r="A477" s="340"/>
      <c r="B477" s="340"/>
      <c r="C477" s="283"/>
      <c r="D477" s="283"/>
      <c r="E477" s="283"/>
      <c r="F477" s="283"/>
      <c r="G477" s="283"/>
      <c r="H477" s="283"/>
      <c r="I477" s="283"/>
      <c r="J477" s="283"/>
      <c r="K477" s="340"/>
      <c r="L477" s="283"/>
      <c r="M477" s="283"/>
      <c r="N477" s="283"/>
      <c r="O477" s="283"/>
      <c r="P477" s="283"/>
      <c r="Q477" s="340"/>
      <c r="R477" s="283"/>
      <c r="S477" s="283"/>
      <c r="T477" s="340"/>
      <c r="U477" s="340"/>
      <c r="V477" s="283"/>
      <c r="W477" s="283"/>
      <c r="X477" s="283"/>
      <c r="Y477" s="283"/>
      <c r="Z477" s="283"/>
    </row>
    <row r="478" ht="15.75" customHeight="1">
      <c r="A478" s="340"/>
      <c r="B478" s="340"/>
      <c r="C478" s="283"/>
      <c r="D478" s="283"/>
      <c r="E478" s="283"/>
      <c r="F478" s="283"/>
      <c r="G478" s="283"/>
      <c r="H478" s="283"/>
      <c r="I478" s="283"/>
      <c r="J478" s="283"/>
      <c r="K478" s="340"/>
      <c r="L478" s="283"/>
      <c r="M478" s="283"/>
      <c r="N478" s="283"/>
      <c r="O478" s="283"/>
      <c r="P478" s="283"/>
      <c r="Q478" s="340"/>
      <c r="R478" s="283"/>
      <c r="S478" s="283"/>
      <c r="T478" s="340"/>
      <c r="U478" s="340"/>
      <c r="V478" s="283"/>
      <c r="W478" s="283"/>
      <c r="X478" s="283"/>
      <c r="Y478" s="283"/>
      <c r="Z478" s="283"/>
    </row>
    <row r="479" ht="15.75" customHeight="1">
      <c r="A479" s="340"/>
      <c r="B479" s="340"/>
      <c r="C479" s="283"/>
      <c r="D479" s="283"/>
      <c r="E479" s="283"/>
      <c r="F479" s="283"/>
      <c r="G479" s="283"/>
      <c r="H479" s="283"/>
      <c r="I479" s="283"/>
      <c r="J479" s="283"/>
      <c r="K479" s="340"/>
      <c r="L479" s="283"/>
      <c r="M479" s="283"/>
      <c r="N479" s="283"/>
      <c r="O479" s="283"/>
      <c r="P479" s="283"/>
      <c r="Q479" s="340"/>
      <c r="R479" s="283"/>
      <c r="S479" s="283"/>
      <c r="T479" s="340"/>
      <c r="U479" s="340"/>
      <c r="V479" s="283"/>
      <c r="W479" s="283"/>
      <c r="X479" s="283"/>
      <c r="Y479" s="283"/>
      <c r="Z479" s="283"/>
    </row>
    <row r="480" ht="15.75" customHeight="1">
      <c r="A480" s="340"/>
      <c r="B480" s="340"/>
      <c r="C480" s="283"/>
      <c r="D480" s="283"/>
      <c r="E480" s="283"/>
      <c r="F480" s="283"/>
      <c r="G480" s="283"/>
      <c r="H480" s="283"/>
      <c r="I480" s="283"/>
      <c r="J480" s="283"/>
      <c r="K480" s="340"/>
      <c r="L480" s="283"/>
      <c r="M480" s="283"/>
      <c r="N480" s="283"/>
      <c r="O480" s="283"/>
      <c r="P480" s="283"/>
      <c r="Q480" s="340"/>
      <c r="R480" s="283"/>
      <c r="S480" s="283"/>
      <c r="T480" s="340"/>
      <c r="U480" s="340"/>
      <c r="V480" s="283"/>
      <c r="W480" s="283"/>
      <c r="X480" s="283"/>
      <c r="Y480" s="283"/>
      <c r="Z480" s="283"/>
    </row>
    <row r="481" ht="15.75" customHeight="1">
      <c r="A481" s="340"/>
      <c r="B481" s="340"/>
      <c r="C481" s="283"/>
      <c r="D481" s="283"/>
      <c r="E481" s="283"/>
      <c r="F481" s="283"/>
      <c r="G481" s="283"/>
      <c r="H481" s="283"/>
      <c r="I481" s="283"/>
      <c r="J481" s="283"/>
      <c r="K481" s="340"/>
      <c r="L481" s="283"/>
      <c r="M481" s="283"/>
      <c r="N481" s="283"/>
      <c r="O481" s="283"/>
      <c r="P481" s="283"/>
      <c r="Q481" s="340"/>
      <c r="R481" s="283"/>
      <c r="S481" s="283"/>
      <c r="T481" s="340"/>
      <c r="U481" s="340"/>
      <c r="V481" s="283"/>
      <c r="W481" s="283"/>
      <c r="X481" s="283"/>
      <c r="Y481" s="283"/>
      <c r="Z481" s="283"/>
    </row>
    <row r="482" ht="15.75" customHeight="1">
      <c r="A482" s="340"/>
      <c r="B482" s="340"/>
      <c r="C482" s="283"/>
      <c r="D482" s="283"/>
      <c r="E482" s="283"/>
      <c r="F482" s="283"/>
      <c r="G482" s="283"/>
      <c r="H482" s="283"/>
      <c r="I482" s="283"/>
      <c r="J482" s="283"/>
      <c r="K482" s="340"/>
      <c r="L482" s="283"/>
      <c r="M482" s="283"/>
      <c r="N482" s="283"/>
      <c r="O482" s="283"/>
      <c r="P482" s="283"/>
      <c r="Q482" s="340"/>
      <c r="R482" s="283"/>
      <c r="S482" s="283"/>
      <c r="T482" s="340"/>
      <c r="U482" s="340"/>
      <c r="V482" s="283"/>
      <c r="W482" s="283"/>
      <c r="X482" s="283"/>
      <c r="Y482" s="283"/>
      <c r="Z482" s="283"/>
    </row>
    <row r="483" ht="15.75" customHeight="1">
      <c r="A483" s="340"/>
      <c r="B483" s="340"/>
      <c r="C483" s="283"/>
      <c r="D483" s="283"/>
      <c r="E483" s="283"/>
      <c r="F483" s="283"/>
      <c r="G483" s="283"/>
      <c r="H483" s="283"/>
      <c r="I483" s="283"/>
      <c r="J483" s="283"/>
      <c r="K483" s="340"/>
      <c r="L483" s="283"/>
      <c r="M483" s="283"/>
      <c r="N483" s="283"/>
      <c r="O483" s="283"/>
      <c r="P483" s="283"/>
      <c r="Q483" s="340"/>
      <c r="R483" s="283"/>
      <c r="S483" s="283"/>
      <c r="T483" s="340"/>
      <c r="U483" s="340"/>
      <c r="V483" s="283"/>
      <c r="W483" s="283"/>
      <c r="X483" s="283"/>
      <c r="Y483" s="283"/>
      <c r="Z483" s="283"/>
    </row>
    <row r="484" ht="15.75" customHeight="1">
      <c r="A484" s="340"/>
      <c r="B484" s="340"/>
      <c r="C484" s="283"/>
      <c r="D484" s="283"/>
      <c r="E484" s="283"/>
      <c r="F484" s="283"/>
      <c r="G484" s="283"/>
      <c r="H484" s="283"/>
      <c r="I484" s="283"/>
      <c r="J484" s="283"/>
      <c r="K484" s="340"/>
      <c r="L484" s="283"/>
      <c r="M484" s="283"/>
      <c r="N484" s="283"/>
      <c r="O484" s="283"/>
      <c r="P484" s="283"/>
      <c r="Q484" s="340"/>
      <c r="R484" s="283"/>
      <c r="S484" s="283"/>
      <c r="T484" s="340"/>
      <c r="U484" s="340"/>
      <c r="V484" s="283"/>
      <c r="W484" s="283"/>
      <c r="X484" s="283"/>
      <c r="Y484" s="283"/>
      <c r="Z484" s="283"/>
    </row>
    <row r="485" ht="15.75" customHeight="1">
      <c r="A485" s="340"/>
      <c r="B485" s="340"/>
      <c r="C485" s="283"/>
      <c r="D485" s="283"/>
      <c r="E485" s="283"/>
      <c r="F485" s="283"/>
      <c r="G485" s="283"/>
      <c r="H485" s="283"/>
      <c r="I485" s="283"/>
      <c r="J485" s="283"/>
      <c r="K485" s="340"/>
      <c r="L485" s="283"/>
      <c r="M485" s="283"/>
      <c r="N485" s="283"/>
      <c r="O485" s="283"/>
      <c r="P485" s="283"/>
      <c r="Q485" s="340"/>
      <c r="R485" s="283"/>
      <c r="S485" s="283"/>
      <c r="T485" s="340"/>
      <c r="U485" s="340"/>
      <c r="V485" s="283"/>
      <c r="W485" s="283"/>
      <c r="X485" s="283"/>
      <c r="Y485" s="283"/>
      <c r="Z485" s="283"/>
    </row>
    <row r="486" ht="15.75" customHeight="1">
      <c r="A486" s="340"/>
      <c r="B486" s="340"/>
      <c r="C486" s="283"/>
      <c r="D486" s="283"/>
      <c r="E486" s="283"/>
      <c r="F486" s="283"/>
      <c r="G486" s="283"/>
      <c r="H486" s="283"/>
      <c r="I486" s="283"/>
      <c r="J486" s="283"/>
      <c r="K486" s="340"/>
      <c r="L486" s="283"/>
      <c r="M486" s="283"/>
      <c r="N486" s="283"/>
      <c r="O486" s="283"/>
      <c r="P486" s="283"/>
      <c r="Q486" s="340"/>
      <c r="R486" s="283"/>
      <c r="S486" s="283"/>
      <c r="T486" s="340"/>
      <c r="U486" s="340"/>
      <c r="V486" s="283"/>
      <c r="W486" s="283"/>
      <c r="X486" s="283"/>
      <c r="Y486" s="283"/>
      <c r="Z486" s="283"/>
    </row>
    <row r="487" ht="15.75" customHeight="1">
      <c r="A487" s="340"/>
      <c r="B487" s="340"/>
      <c r="C487" s="283"/>
      <c r="D487" s="283"/>
      <c r="E487" s="283"/>
      <c r="F487" s="283"/>
      <c r="G487" s="283"/>
      <c r="H487" s="283"/>
      <c r="I487" s="283"/>
      <c r="J487" s="283"/>
      <c r="K487" s="340"/>
      <c r="L487" s="283"/>
      <c r="M487" s="283"/>
      <c r="N487" s="283"/>
      <c r="O487" s="283"/>
      <c r="P487" s="283"/>
      <c r="Q487" s="340"/>
      <c r="R487" s="283"/>
      <c r="S487" s="283"/>
      <c r="T487" s="340"/>
      <c r="U487" s="340"/>
      <c r="V487" s="283"/>
      <c r="W487" s="283"/>
      <c r="X487" s="283"/>
      <c r="Y487" s="283"/>
      <c r="Z487" s="283"/>
    </row>
    <row r="488" ht="15.75" customHeight="1">
      <c r="A488" s="340"/>
      <c r="B488" s="340"/>
      <c r="C488" s="283"/>
      <c r="D488" s="283"/>
      <c r="E488" s="283"/>
      <c r="F488" s="283"/>
      <c r="G488" s="283"/>
      <c r="H488" s="283"/>
      <c r="I488" s="283"/>
      <c r="J488" s="283"/>
      <c r="K488" s="340"/>
      <c r="L488" s="283"/>
      <c r="M488" s="283"/>
      <c r="N488" s="283"/>
      <c r="O488" s="283"/>
      <c r="P488" s="283"/>
      <c r="Q488" s="340"/>
      <c r="R488" s="283"/>
      <c r="S488" s="283"/>
      <c r="T488" s="340"/>
      <c r="U488" s="340"/>
      <c r="V488" s="283"/>
      <c r="W488" s="283"/>
      <c r="X488" s="283"/>
      <c r="Y488" s="283"/>
      <c r="Z488" s="283"/>
    </row>
    <row r="489" ht="15.75" customHeight="1">
      <c r="A489" s="340"/>
      <c r="B489" s="340"/>
      <c r="C489" s="283"/>
      <c r="D489" s="283"/>
      <c r="E489" s="283"/>
      <c r="F489" s="283"/>
      <c r="G489" s="283"/>
      <c r="H489" s="283"/>
      <c r="I489" s="283"/>
      <c r="J489" s="283"/>
      <c r="K489" s="340"/>
      <c r="L489" s="283"/>
      <c r="M489" s="283"/>
      <c r="N489" s="283"/>
      <c r="O489" s="283"/>
      <c r="P489" s="283"/>
      <c r="Q489" s="340"/>
      <c r="R489" s="283"/>
      <c r="S489" s="283"/>
      <c r="T489" s="340"/>
      <c r="U489" s="340"/>
      <c r="V489" s="283"/>
      <c r="W489" s="283"/>
      <c r="X489" s="283"/>
      <c r="Y489" s="283"/>
      <c r="Z489" s="283"/>
    </row>
    <row r="490" ht="15.75" customHeight="1">
      <c r="A490" s="340"/>
      <c r="B490" s="340"/>
      <c r="C490" s="283"/>
      <c r="D490" s="283"/>
      <c r="E490" s="283"/>
      <c r="F490" s="283"/>
      <c r="G490" s="283"/>
      <c r="H490" s="283"/>
      <c r="I490" s="283"/>
      <c r="J490" s="283"/>
      <c r="K490" s="340"/>
      <c r="L490" s="283"/>
      <c r="M490" s="283"/>
      <c r="N490" s="283"/>
      <c r="O490" s="283"/>
      <c r="P490" s="283"/>
      <c r="Q490" s="340"/>
      <c r="R490" s="283"/>
      <c r="S490" s="283"/>
      <c r="T490" s="340"/>
      <c r="U490" s="340"/>
      <c r="V490" s="283"/>
      <c r="W490" s="283"/>
      <c r="X490" s="283"/>
      <c r="Y490" s="283"/>
      <c r="Z490" s="283"/>
    </row>
    <row r="491" ht="15.75" customHeight="1">
      <c r="A491" s="340"/>
      <c r="B491" s="340"/>
      <c r="C491" s="283"/>
      <c r="D491" s="283"/>
      <c r="E491" s="283"/>
      <c r="F491" s="283"/>
      <c r="G491" s="283"/>
      <c r="H491" s="283"/>
      <c r="I491" s="283"/>
      <c r="J491" s="283"/>
      <c r="K491" s="340"/>
      <c r="L491" s="283"/>
      <c r="M491" s="283"/>
      <c r="N491" s="283"/>
      <c r="O491" s="283"/>
      <c r="P491" s="283"/>
      <c r="Q491" s="340"/>
      <c r="R491" s="283"/>
      <c r="S491" s="283"/>
      <c r="T491" s="340"/>
      <c r="U491" s="340"/>
      <c r="V491" s="283"/>
      <c r="W491" s="283"/>
      <c r="X491" s="283"/>
      <c r="Y491" s="283"/>
      <c r="Z491" s="283"/>
    </row>
    <row r="492" ht="15.75" customHeight="1">
      <c r="A492" s="340"/>
      <c r="B492" s="340"/>
      <c r="C492" s="283"/>
      <c r="D492" s="283"/>
      <c r="E492" s="283"/>
      <c r="F492" s="283"/>
      <c r="G492" s="283"/>
      <c r="H492" s="283"/>
      <c r="I492" s="283"/>
      <c r="J492" s="283"/>
      <c r="K492" s="340"/>
      <c r="L492" s="283"/>
      <c r="M492" s="283"/>
      <c r="N492" s="283"/>
      <c r="O492" s="283"/>
      <c r="P492" s="283"/>
      <c r="Q492" s="340"/>
      <c r="R492" s="283"/>
      <c r="S492" s="283"/>
      <c r="T492" s="340"/>
      <c r="U492" s="340"/>
      <c r="V492" s="283"/>
      <c r="W492" s="283"/>
      <c r="X492" s="283"/>
      <c r="Y492" s="283"/>
      <c r="Z492" s="283"/>
    </row>
    <row r="493" ht="15.75" customHeight="1">
      <c r="A493" s="340"/>
      <c r="B493" s="340"/>
      <c r="C493" s="283"/>
      <c r="D493" s="283"/>
      <c r="E493" s="283"/>
      <c r="F493" s="283"/>
      <c r="G493" s="283"/>
      <c r="H493" s="283"/>
      <c r="I493" s="283"/>
      <c r="J493" s="283"/>
      <c r="K493" s="340"/>
      <c r="L493" s="283"/>
      <c r="M493" s="283"/>
      <c r="N493" s="283"/>
      <c r="O493" s="283"/>
      <c r="P493" s="283"/>
      <c r="Q493" s="340"/>
      <c r="R493" s="283"/>
      <c r="S493" s="283"/>
      <c r="T493" s="340"/>
      <c r="U493" s="340"/>
      <c r="V493" s="283"/>
      <c r="W493" s="283"/>
      <c r="X493" s="283"/>
      <c r="Y493" s="283"/>
      <c r="Z493" s="283"/>
    </row>
    <row r="494" ht="15.75" customHeight="1">
      <c r="A494" s="340"/>
      <c r="B494" s="340"/>
      <c r="C494" s="283"/>
      <c r="D494" s="283"/>
      <c r="E494" s="283"/>
      <c r="F494" s="283"/>
      <c r="G494" s="283"/>
      <c r="H494" s="283"/>
      <c r="I494" s="283"/>
      <c r="J494" s="283"/>
      <c r="K494" s="340"/>
      <c r="L494" s="283"/>
      <c r="M494" s="283"/>
      <c r="N494" s="283"/>
      <c r="O494" s="283"/>
      <c r="P494" s="283"/>
      <c r="Q494" s="340"/>
      <c r="R494" s="283"/>
      <c r="S494" s="283"/>
      <c r="T494" s="340"/>
      <c r="U494" s="340"/>
      <c r="V494" s="283"/>
      <c r="W494" s="283"/>
      <c r="X494" s="283"/>
      <c r="Y494" s="283"/>
      <c r="Z494" s="283"/>
    </row>
    <row r="495" ht="15.75" customHeight="1">
      <c r="A495" s="340"/>
      <c r="B495" s="340"/>
      <c r="C495" s="283"/>
      <c r="D495" s="283"/>
      <c r="E495" s="283"/>
      <c r="F495" s="283"/>
      <c r="G495" s="283"/>
      <c r="H495" s="283"/>
      <c r="I495" s="283"/>
      <c r="J495" s="283"/>
      <c r="K495" s="340"/>
      <c r="L495" s="283"/>
      <c r="M495" s="283"/>
      <c r="N495" s="283"/>
      <c r="O495" s="283"/>
      <c r="P495" s="283"/>
      <c r="Q495" s="340"/>
      <c r="R495" s="283"/>
      <c r="S495" s="283"/>
      <c r="T495" s="340"/>
      <c r="U495" s="340"/>
      <c r="V495" s="283"/>
      <c r="W495" s="283"/>
      <c r="X495" s="283"/>
      <c r="Y495" s="283"/>
      <c r="Z495" s="283"/>
    </row>
    <row r="496" ht="15.75" customHeight="1">
      <c r="A496" s="340"/>
      <c r="B496" s="340"/>
      <c r="C496" s="283"/>
      <c r="D496" s="283"/>
      <c r="E496" s="283"/>
      <c r="F496" s="283"/>
      <c r="G496" s="283"/>
      <c r="H496" s="283"/>
      <c r="I496" s="283"/>
      <c r="J496" s="283"/>
      <c r="K496" s="340"/>
      <c r="L496" s="283"/>
      <c r="M496" s="283"/>
      <c r="N496" s="283"/>
      <c r="O496" s="283"/>
      <c r="P496" s="283"/>
      <c r="Q496" s="340"/>
      <c r="R496" s="283"/>
      <c r="S496" s="283"/>
      <c r="T496" s="340"/>
      <c r="U496" s="340"/>
      <c r="V496" s="283"/>
      <c r="W496" s="283"/>
      <c r="X496" s="283"/>
      <c r="Y496" s="283"/>
      <c r="Z496" s="283"/>
    </row>
    <row r="497" ht="15.75" customHeight="1">
      <c r="A497" s="340"/>
      <c r="B497" s="340"/>
      <c r="C497" s="283"/>
      <c r="D497" s="283"/>
      <c r="E497" s="283"/>
      <c r="F497" s="283"/>
      <c r="G497" s="283"/>
      <c r="H497" s="283"/>
      <c r="I497" s="283"/>
      <c r="J497" s="283"/>
      <c r="K497" s="340"/>
      <c r="L497" s="283"/>
      <c r="M497" s="283"/>
      <c r="N497" s="283"/>
      <c r="O497" s="283"/>
      <c r="P497" s="283"/>
      <c r="Q497" s="340"/>
      <c r="R497" s="283"/>
      <c r="S497" s="283"/>
      <c r="T497" s="340"/>
      <c r="U497" s="340"/>
      <c r="V497" s="283"/>
      <c r="W497" s="283"/>
      <c r="X497" s="283"/>
      <c r="Y497" s="283"/>
      <c r="Z497" s="283"/>
    </row>
    <row r="498" ht="15.75" customHeight="1">
      <c r="A498" s="340"/>
      <c r="B498" s="340"/>
      <c r="C498" s="283"/>
      <c r="D498" s="283"/>
      <c r="E498" s="283"/>
      <c r="F498" s="283"/>
      <c r="G498" s="283"/>
      <c r="H498" s="283"/>
      <c r="I498" s="283"/>
      <c r="J498" s="283"/>
      <c r="K498" s="340"/>
      <c r="L498" s="283"/>
      <c r="M498" s="283"/>
      <c r="N498" s="283"/>
      <c r="O498" s="283"/>
      <c r="P498" s="283"/>
      <c r="Q498" s="340"/>
      <c r="R498" s="283"/>
      <c r="S498" s="283"/>
      <c r="T498" s="340"/>
      <c r="U498" s="340"/>
      <c r="V498" s="283"/>
      <c r="W498" s="283"/>
      <c r="X498" s="283"/>
      <c r="Y498" s="283"/>
      <c r="Z498" s="283"/>
    </row>
    <row r="499" ht="15.75" customHeight="1">
      <c r="A499" s="340"/>
      <c r="B499" s="340"/>
      <c r="C499" s="283"/>
      <c r="D499" s="283"/>
      <c r="E499" s="283"/>
      <c r="F499" s="283"/>
      <c r="G499" s="283"/>
      <c r="H499" s="283"/>
      <c r="I499" s="283"/>
      <c r="J499" s="283"/>
      <c r="K499" s="340"/>
      <c r="L499" s="283"/>
      <c r="M499" s="283"/>
      <c r="N499" s="283"/>
      <c r="O499" s="283"/>
      <c r="P499" s="283"/>
      <c r="Q499" s="340"/>
      <c r="R499" s="283"/>
      <c r="S499" s="283"/>
      <c r="T499" s="340"/>
      <c r="U499" s="340"/>
      <c r="V499" s="283"/>
      <c r="W499" s="283"/>
      <c r="X499" s="283"/>
      <c r="Y499" s="283"/>
      <c r="Z499" s="283"/>
    </row>
    <row r="500" ht="15.75" customHeight="1">
      <c r="A500" s="340"/>
      <c r="B500" s="340"/>
      <c r="C500" s="283"/>
      <c r="D500" s="283"/>
      <c r="E500" s="283"/>
      <c r="F500" s="283"/>
      <c r="G500" s="283"/>
      <c r="H500" s="283"/>
      <c r="I500" s="283"/>
      <c r="J500" s="283"/>
      <c r="K500" s="340"/>
      <c r="L500" s="283"/>
      <c r="M500" s="283"/>
      <c r="N500" s="283"/>
      <c r="O500" s="283"/>
      <c r="P500" s="283"/>
      <c r="Q500" s="340"/>
      <c r="R500" s="283"/>
      <c r="S500" s="283"/>
      <c r="T500" s="340"/>
      <c r="U500" s="340"/>
      <c r="V500" s="283"/>
      <c r="W500" s="283"/>
      <c r="X500" s="283"/>
      <c r="Y500" s="283"/>
      <c r="Z500" s="283"/>
    </row>
    <row r="501" ht="15.75" customHeight="1">
      <c r="A501" s="340"/>
      <c r="B501" s="340"/>
      <c r="C501" s="283"/>
      <c r="D501" s="283"/>
      <c r="E501" s="283"/>
      <c r="F501" s="283"/>
      <c r="G501" s="283"/>
      <c r="H501" s="283"/>
      <c r="I501" s="283"/>
      <c r="J501" s="283"/>
      <c r="K501" s="340"/>
      <c r="L501" s="283"/>
      <c r="M501" s="283"/>
      <c r="N501" s="283"/>
      <c r="O501" s="283"/>
      <c r="P501" s="283"/>
      <c r="Q501" s="340"/>
      <c r="R501" s="283"/>
      <c r="S501" s="283"/>
      <c r="T501" s="340"/>
      <c r="U501" s="340"/>
      <c r="V501" s="283"/>
      <c r="W501" s="283"/>
      <c r="X501" s="283"/>
      <c r="Y501" s="283"/>
      <c r="Z501" s="283"/>
    </row>
    <row r="502" ht="15.75" customHeight="1">
      <c r="A502" s="340"/>
      <c r="B502" s="340"/>
      <c r="C502" s="283"/>
      <c r="D502" s="283"/>
      <c r="E502" s="283"/>
      <c r="F502" s="283"/>
      <c r="G502" s="283"/>
      <c r="H502" s="283"/>
      <c r="I502" s="283"/>
      <c r="J502" s="283"/>
      <c r="K502" s="340"/>
      <c r="L502" s="283"/>
      <c r="M502" s="283"/>
      <c r="N502" s="283"/>
      <c r="O502" s="283"/>
      <c r="P502" s="283"/>
      <c r="Q502" s="340"/>
      <c r="R502" s="283"/>
      <c r="S502" s="283"/>
      <c r="T502" s="340"/>
      <c r="U502" s="340"/>
      <c r="V502" s="283"/>
      <c r="W502" s="283"/>
      <c r="X502" s="283"/>
      <c r="Y502" s="283"/>
      <c r="Z502" s="283"/>
    </row>
    <row r="503" ht="15.75" customHeight="1">
      <c r="A503" s="340"/>
      <c r="B503" s="340"/>
      <c r="C503" s="283"/>
      <c r="D503" s="283"/>
      <c r="E503" s="283"/>
      <c r="F503" s="283"/>
      <c r="G503" s="283"/>
      <c r="H503" s="283"/>
      <c r="I503" s="283"/>
      <c r="J503" s="283"/>
      <c r="K503" s="340"/>
      <c r="L503" s="283"/>
      <c r="M503" s="283"/>
      <c r="N503" s="283"/>
      <c r="O503" s="283"/>
      <c r="P503" s="283"/>
      <c r="Q503" s="340"/>
      <c r="R503" s="283"/>
      <c r="S503" s="283"/>
      <c r="T503" s="340"/>
      <c r="U503" s="340"/>
      <c r="V503" s="283"/>
      <c r="W503" s="283"/>
      <c r="X503" s="283"/>
      <c r="Y503" s="283"/>
      <c r="Z503" s="283"/>
    </row>
    <row r="504" ht="15.75" customHeight="1">
      <c r="A504" s="340"/>
      <c r="B504" s="340"/>
      <c r="C504" s="283"/>
      <c r="D504" s="283"/>
      <c r="E504" s="283"/>
      <c r="F504" s="283"/>
      <c r="G504" s="283"/>
      <c r="H504" s="283"/>
      <c r="I504" s="283"/>
      <c r="J504" s="283"/>
      <c r="K504" s="340"/>
      <c r="L504" s="283"/>
      <c r="M504" s="283"/>
      <c r="N504" s="283"/>
      <c r="O504" s="283"/>
      <c r="P504" s="283"/>
      <c r="Q504" s="340"/>
      <c r="R504" s="283"/>
      <c r="S504" s="283"/>
      <c r="T504" s="340"/>
      <c r="U504" s="340"/>
      <c r="V504" s="283"/>
      <c r="W504" s="283"/>
      <c r="X504" s="283"/>
      <c r="Y504" s="283"/>
      <c r="Z504" s="283"/>
    </row>
    <row r="505" ht="15.75" customHeight="1">
      <c r="A505" s="340"/>
      <c r="B505" s="340"/>
      <c r="C505" s="283"/>
      <c r="D505" s="283"/>
      <c r="E505" s="283"/>
      <c r="F505" s="283"/>
      <c r="G505" s="283"/>
      <c r="H505" s="283"/>
      <c r="I505" s="283"/>
      <c r="J505" s="283"/>
      <c r="K505" s="340"/>
      <c r="L505" s="283"/>
      <c r="M505" s="283"/>
      <c r="N505" s="283"/>
      <c r="O505" s="283"/>
      <c r="P505" s="283"/>
      <c r="Q505" s="340"/>
      <c r="R505" s="283"/>
      <c r="S505" s="283"/>
      <c r="T505" s="340"/>
      <c r="U505" s="340"/>
      <c r="V505" s="283"/>
      <c r="W505" s="283"/>
      <c r="X505" s="283"/>
      <c r="Y505" s="283"/>
      <c r="Z505" s="283"/>
    </row>
    <row r="506" ht="15.75" customHeight="1">
      <c r="A506" s="340"/>
      <c r="B506" s="340"/>
      <c r="C506" s="283"/>
      <c r="D506" s="283"/>
      <c r="E506" s="283"/>
      <c r="F506" s="283"/>
      <c r="G506" s="283"/>
      <c r="H506" s="283"/>
      <c r="I506" s="283"/>
      <c r="J506" s="283"/>
      <c r="K506" s="340"/>
      <c r="L506" s="283"/>
      <c r="M506" s="283"/>
      <c r="N506" s="283"/>
      <c r="O506" s="283"/>
      <c r="P506" s="283"/>
      <c r="Q506" s="340"/>
      <c r="R506" s="283"/>
      <c r="S506" s="283"/>
      <c r="T506" s="340"/>
      <c r="U506" s="340"/>
      <c r="V506" s="283"/>
      <c r="W506" s="283"/>
      <c r="X506" s="283"/>
      <c r="Y506" s="283"/>
      <c r="Z506" s="283"/>
    </row>
    <row r="507" ht="15.75" customHeight="1">
      <c r="A507" s="340"/>
      <c r="B507" s="340"/>
      <c r="C507" s="283"/>
      <c r="D507" s="283"/>
      <c r="E507" s="283"/>
      <c r="F507" s="283"/>
      <c r="G507" s="283"/>
      <c r="H507" s="283"/>
      <c r="I507" s="283"/>
      <c r="J507" s="283"/>
      <c r="K507" s="340"/>
      <c r="L507" s="283"/>
      <c r="M507" s="283"/>
      <c r="N507" s="283"/>
      <c r="O507" s="283"/>
      <c r="P507" s="283"/>
      <c r="Q507" s="340"/>
      <c r="R507" s="283"/>
      <c r="S507" s="283"/>
      <c r="T507" s="340"/>
      <c r="U507" s="340"/>
      <c r="V507" s="283"/>
      <c r="W507" s="283"/>
      <c r="X507" s="283"/>
      <c r="Y507" s="283"/>
      <c r="Z507" s="283"/>
    </row>
    <row r="508" ht="15.75" customHeight="1">
      <c r="A508" s="340"/>
      <c r="B508" s="340"/>
      <c r="C508" s="283"/>
      <c r="D508" s="283"/>
      <c r="E508" s="283"/>
      <c r="F508" s="283"/>
      <c r="G508" s="283"/>
      <c r="H508" s="283"/>
      <c r="I508" s="283"/>
      <c r="J508" s="283"/>
      <c r="K508" s="340"/>
      <c r="L508" s="283"/>
      <c r="M508" s="283"/>
      <c r="N508" s="283"/>
      <c r="O508" s="283"/>
      <c r="P508" s="283"/>
      <c r="Q508" s="340"/>
      <c r="R508" s="283"/>
      <c r="S508" s="283"/>
      <c r="T508" s="340"/>
      <c r="U508" s="340"/>
      <c r="V508" s="283"/>
      <c r="W508" s="283"/>
      <c r="X508" s="283"/>
      <c r="Y508" s="283"/>
      <c r="Z508" s="283"/>
    </row>
    <row r="509" ht="15.75" customHeight="1">
      <c r="A509" s="340"/>
      <c r="B509" s="340"/>
      <c r="C509" s="283"/>
      <c r="D509" s="283"/>
      <c r="E509" s="283"/>
      <c r="F509" s="283"/>
      <c r="G509" s="283"/>
      <c r="H509" s="283"/>
      <c r="I509" s="283"/>
      <c r="J509" s="283"/>
      <c r="K509" s="340"/>
      <c r="L509" s="283"/>
      <c r="M509" s="283"/>
      <c r="N509" s="283"/>
      <c r="O509" s="283"/>
      <c r="P509" s="283"/>
      <c r="Q509" s="340"/>
      <c r="R509" s="283"/>
      <c r="S509" s="283"/>
      <c r="T509" s="340"/>
      <c r="U509" s="340"/>
      <c r="V509" s="283"/>
      <c r="W509" s="283"/>
      <c r="X509" s="283"/>
      <c r="Y509" s="283"/>
      <c r="Z509" s="283"/>
    </row>
    <row r="510" ht="15.75" customHeight="1">
      <c r="A510" s="340"/>
      <c r="B510" s="340"/>
      <c r="C510" s="283"/>
      <c r="D510" s="283"/>
      <c r="E510" s="283"/>
      <c r="F510" s="283"/>
      <c r="G510" s="283"/>
      <c r="H510" s="283"/>
      <c r="I510" s="283"/>
      <c r="J510" s="283"/>
      <c r="K510" s="340"/>
      <c r="L510" s="283"/>
      <c r="M510" s="283"/>
      <c r="N510" s="283"/>
      <c r="O510" s="283"/>
      <c r="P510" s="283"/>
      <c r="Q510" s="340"/>
      <c r="R510" s="283"/>
      <c r="S510" s="283"/>
      <c r="T510" s="340"/>
      <c r="U510" s="340"/>
      <c r="V510" s="283"/>
      <c r="W510" s="283"/>
      <c r="X510" s="283"/>
      <c r="Y510" s="283"/>
      <c r="Z510" s="283"/>
    </row>
    <row r="511" ht="15.75" customHeight="1">
      <c r="A511" s="340"/>
      <c r="B511" s="340"/>
      <c r="C511" s="283"/>
      <c r="D511" s="283"/>
      <c r="E511" s="283"/>
      <c r="F511" s="283"/>
      <c r="G511" s="283"/>
      <c r="H511" s="283"/>
      <c r="I511" s="283"/>
      <c r="J511" s="283"/>
      <c r="K511" s="340"/>
      <c r="L511" s="283"/>
      <c r="M511" s="283"/>
      <c r="N511" s="283"/>
      <c r="O511" s="283"/>
      <c r="P511" s="283"/>
      <c r="Q511" s="340"/>
      <c r="R511" s="283"/>
      <c r="S511" s="283"/>
      <c r="T511" s="340"/>
      <c r="U511" s="340"/>
      <c r="V511" s="283"/>
      <c r="W511" s="283"/>
      <c r="X511" s="283"/>
      <c r="Y511" s="283"/>
      <c r="Z511" s="283"/>
    </row>
    <row r="512" ht="15.75" customHeight="1">
      <c r="A512" s="340"/>
      <c r="B512" s="340"/>
      <c r="C512" s="283"/>
      <c r="D512" s="283"/>
      <c r="E512" s="283"/>
      <c r="F512" s="283"/>
      <c r="G512" s="283"/>
      <c r="H512" s="283"/>
      <c r="I512" s="283"/>
      <c r="J512" s="283"/>
      <c r="K512" s="340"/>
      <c r="L512" s="283"/>
      <c r="M512" s="283"/>
      <c r="N512" s="283"/>
      <c r="O512" s="283"/>
      <c r="P512" s="283"/>
      <c r="Q512" s="340"/>
      <c r="R512" s="283"/>
      <c r="S512" s="283"/>
      <c r="T512" s="340"/>
      <c r="U512" s="340"/>
      <c r="V512" s="283"/>
      <c r="W512" s="283"/>
      <c r="X512" s="283"/>
      <c r="Y512" s="283"/>
      <c r="Z512" s="283"/>
    </row>
    <row r="513" ht="15.75" customHeight="1">
      <c r="A513" s="340"/>
      <c r="B513" s="340"/>
      <c r="C513" s="283"/>
      <c r="D513" s="283"/>
      <c r="E513" s="283"/>
      <c r="F513" s="283"/>
      <c r="G513" s="283"/>
      <c r="H513" s="283"/>
      <c r="I513" s="283"/>
      <c r="J513" s="283"/>
      <c r="K513" s="340"/>
      <c r="L513" s="283"/>
      <c r="M513" s="283"/>
      <c r="N513" s="283"/>
      <c r="O513" s="283"/>
      <c r="P513" s="283"/>
      <c r="Q513" s="340"/>
      <c r="R513" s="283"/>
      <c r="S513" s="283"/>
      <c r="T513" s="340"/>
      <c r="U513" s="340"/>
      <c r="V513" s="283"/>
      <c r="W513" s="283"/>
      <c r="X513" s="283"/>
      <c r="Y513" s="283"/>
      <c r="Z513" s="283"/>
    </row>
    <row r="514" ht="15.75" customHeight="1">
      <c r="A514" s="340"/>
      <c r="B514" s="340"/>
      <c r="C514" s="283"/>
      <c r="D514" s="283"/>
      <c r="E514" s="283"/>
      <c r="F514" s="283"/>
      <c r="G514" s="283"/>
      <c r="H514" s="283"/>
      <c r="I514" s="283"/>
      <c r="J514" s="283"/>
      <c r="K514" s="340"/>
      <c r="L514" s="283"/>
      <c r="M514" s="283"/>
      <c r="N514" s="283"/>
      <c r="O514" s="283"/>
      <c r="P514" s="283"/>
      <c r="Q514" s="340"/>
      <c r="R514" s="283"/>
      <c r="S514" s="283"/>
      <c r="T514" s="340"/>
      <c r="U514" s="340"/>
      <c r="V514" s="283"/>
      <c r="W514" s="283"/>
      <c r="X514" s="283"/>
      <c r="Y514" s="283"/>
      <c r="Z514" s="283"/>
    </row>
    <row r="515" ht="15.75" customHeight="1">
      <c r="A515" s="340"/>
      <c r="B515" s="340"/>
      <c r="C515" s="283"/>
      <c r="D515" s="283"/>
      <c r="E515" s="283"/>
      <c r="F515" s="283"/>
      <c r="G515" s="283"/>
      <c r="H515" s="283"/>
      <c r="I515" s="283"/>
      <c r="J515" s="283"/>
      <c r="K515" s="340"/>
      <c r="L515" s="283"/>
      <c r="M515" s="283"/>
      <c r="N515" s="283"/>
      <c r="O515" s="283"/>
      <c r="P515" s="283"/>
      <c r="Q515" s="340"/>
      <c r="R515" s="283"/>
      <c r="S515" s="283"/>
      <c r="T515" s="340"/>
      <c r="U515" s="340"/>
      <c r="V515" s="283"/>
      <c r="W515" s="283"/>
      <c r="X515" s="283"/>
      <c r="Y515" s="283"/>
      <c r="Z515" s="283"/>
    </row>
    <row r="516" ht="15.75" customHeight="1">
      <c r="A516" s="340"/>
      <c r="B516" s="340"/>
      <c r="C516" s="283"/>
      <c r="D516" s="283"/>
      <c r="E516" s="283"/>
      <c r="F516" s="283"/>
      <c r="G516" s="283"/>
      <c r="H516" s="283"/>
      <c r="I516" s="283"/>
      <c r="J516" s="283"/>
      <c r="K516" s="340"/>
      <c r="L516" s="283"/>
      <c r="M516" s="283"/>
      <c r="N516" s="283"/>
      <c r="O516" s="283"/>
      <c r="P516" s="283"/>
      <c r="Q516" s="340"/>
      <c r="R516" s="283"/>
      <c r="S516" s="283"/>
      <c r="T516" s="340"/>
      <c r="U516" s="340"/>
      <c r="V516" s="283"/>
      <c r="W516" s="283"/>
      <c r="X516" s="283"/>
      <c r="Y516" s="283"/>
      <c r="Z516" s="283"/>
    </row>
    <row r="517" ht="15.75" customHeight="1">
      <c r="A517" s="340"/>
      <c r="B517" s="340"/>
      <c r="C517" s="283"/>
      <c r="D517" s="283"/>
      <c r="E517" s="283"/>
      <c r="F517" s="283"/>
      <c r="G517" s="283"/>
      <c r="H517" s="283"/>
      <c r="I517" s="283"/>
      <c r="J517" s="283"/>
      <c r="K517" s="340"/>
      <c r="L517" s="283"/>
      <c r="M517" s="283"/>
      <c r="N517" s="283"/>
      <c r="O517" s="283"/>
      <c r="P517" s="283"/>
      <c r="Q517" s="340"/>
      <c r="R517" s="283"/>
      <c r="S517" s="283"/>
      <c r="T517" s="340"/>
      <c r="U517" s="340"/>
      <c r="V517" s="283"/>
      <c r="W517" s="283"/>
      <c r="X517" s="283"/>
      <c r="Y517" s="283"/>
      <c r="Z517" s="283"/>
    </row>
    <row r="518" ht="15.75" customHeight="1">
      <c r="A518" s="340"/>
      <c r="B518" s="340"/>
      <c r="C518" s="283"/>
      <c r="D518" s="283"/>
      <c r="E518" s="283"/>
      <c r="F518" s="283"/>
      <c r="G518" s="283"/>
      <c r="H518" s="283"/>
      <c r="I518" s="283"/>
      <c r="J518" s="283"/>
      <c r="K518" s="340"/>
      <c r="L518" s="283"/>
      <c r="M518" s="283"/>
      <c r="N518" s="283"/>
      <c r="O518" s="283"/>
      <c r="P518" s="283"/>
      <c r="Q518" s="340"/>
      <c r="R518" s="283"/>
      <c r="S518" s="283"/>
      <c r="T518" s="340"/>
      <c r="U518" s="340"/>
      <c r="V518" s="283"/>
      <c r="W518" s="283"/>
      <c r="X518" s="283"/>
      <c r="Y518" s="283"/>
      <c r="Z518" s="283"/>
    </row>
    <row r="519" ht="15.75" customHeight="1">
      <c r="A519" s="340"/>
      <c r="B519" s="340"/>
      <c r="C519" s="283"/>
      <c r="D519" s="283"/>
      <c r="E519" s="283"/>
      <c r="F519" s="283"/>
      <c r="G519" s="283"/>
      <c r="H519" s="283"/>
      <c r="I519" s="283"/>
      <c r="J519" s="283"/>
      <c r="K519" s="340"/>
      <c r="L519" s="283"/>
      <c r="M519" s="283"/>
      <c r="N519" s="283"/>
      <c r="O519" s="283"/>
      <c r="P519" s="283"/>
      <c r="Q519" s="340"/>
      <c r="R519" s="283"/>
      <c r="S519" s="283"/>
      <c r="T519" s="340"/>
      <c r="U519" s="340"/>
      <c r="V519" s="283"/>
      <c r="W519" s="283"/>
      <c r="X519" s="283"/>
      <c r="Y519" s="283"/>
      <c r="Z519" s="283"/>
    </row>
    <row r="520" ht="15.75" customHeight="1">
      <c r="A520" s="340"/>
      <c r="B520" s="340"/>
      <c r="C520" s="283"/>
      <c r="D520" s="283"/>
      <c r="E520" s="283"/>
      <c r="F520" s="283"/>
      <c r="G520" s="283"/>
      <c r="H520" s="283"/>
      <c r="I520" s="283"/>
      <c r="J520" s="283"/>
      <c r="K520" s="340"/>
      <c r="L520" s="283"/>
      <c r="M520" s="283"/>
      <c r="N520" s="283"/>
      <c r="O520" s="283"/>
      <c r="P520" s="283"/>
      <c r="Q520" s="340"/>
      <c r="R520" s="283"/>
      <c r="S520" s="283"/>
      <c r="T520" s="340"/>
      <c r="U520" s="340"/>
      <c r="V520" s="283"/>
      <c r="W520" s="283"/>
      <c r="X520" s="283"/>
      <c r="Y520" s="283"/>
      <c r="Z520" s="283"/>
    </row>
    <row r="521" ht="15.75" customHeight="1">
      <c r="A521" s="340"/>
      <c r="B521" s="340"/>
      <c r="C521" s="283"/>
      <c r="D521" s="283"/>
      <c r="E521" s="283"/>
      <c r="F521" s="283"/>
      <c r="G521" s="283"/>
      <c r="H521" s="283"/>
      <c r="I521" s="283"/>
      <c r="J521" s="283"/>
      <c r="K521" s="340"/>
      <c r="L521" s="283"/>
      <c r="M521" s="283"/>
      <c r="N521" s="283"/>
      <c r="O521" s="283"/>
      <c r="P521" s="283"/>
      <c r="Q521" s="340"/>
      <c r="R521" s="283"/>
      <c r="S521" s="283"/>
      <c r="T521" s="340"/>
      <c r="U521" s="340"/>
      <c r="V521" s="283"/>
      <c r="W521" s="283"/>
      <c r="X521" s="283"/>
      <c r="Y521" s="283"/>
      <c r="Z521" s="283"/>
    </row>
    <row r="522" ht="15.75" customHeight="1">
      <c r="A522" s="340"/>
      <c r="B522" s="340"/>
      <c r="C522" s="283"/>
      <c r="D522" s="283"/>
      <c r="E522" s="283"/>
      <c r="F522" s="283"/>
      <c r="G522" s="283"/>
      <c r="H522" s="283"/>
      <c r="I522" s="283"/>
      <c r="J522" s="283"/>
      <c r="K522" s="340"/>
      <c r="L522" s="283"/>
      <c r="M522" s="283"/>
      <c r="N522" s="283"/>
      <c r="O522" s="283"/>
      <c r="P522" s="283"/>
      <c r="Q522" s="340"/>
      <c r="R522" s="283"/>
      <c r="S522" s="283"/>
      <c r="T522" s="340"/>
      <c r="U522" s="340"/>
      <c r="V522" s="283"/>
      <c r="W522" s="283"/>
      <c r="X522" s="283"/>
      <c r="Y522" s="283"/>
      <c r="Z522" s="283"/>
    </row>
    <row r="523" ht="15.75" customHeight="1">
      <c r="A523" s="340"/>
      <c r="B523" s="340"/>
      <c r="C523" s="283"/>
      <c r="D523" s="283"/>
      <c r="E523" s="283"/>
      <c r="F523" s="283"/>
      <c r="G523" s="283"/>
      <c r="H523" s="283"/>
      <c r="I523" s="283"/>
      <c r="J523" s="283"/>
      <c r="K523" s="340"/>
      <c r="L523" s="283"/>
      <c r="M523" s="283"/>
      <c r="N523" s="283"/>
      <c r="O523" s="283"/>
      <c r="P523" s="283"/>
      <c r="Q523" s="340"/>
      <c r="R523" s="283"/>
      <c r="S523" s="283"/>
      <c r="T523" s="340"/>
      <c r="U523" s="340"/>
      <c r="V523" s="283"/>
      <c r="W523" s="283"/>
      <c r="X523" s="283"/>
      <c r="Y523" s="283"/>
      <c r="Z523" s="283"/>
    </row>
    <row r="524" ht="15.75" customHeight="1">
      <c r="A524" s="340"/>
      <c r="B524" s="340"/>
      <c r="C524" s="283"/>
      <c r="D524" s="283"/>
      <c r="E524" s="283"/>
      <c r="F524" s="283"/>
      <c r="G524" s="283"/>
      <c r="H524" s="283"/>
      <c r="I524" s="283"/>
      <c r="J524" s="283"/>
      <c r="K524" s="340"/>
      <c r="L524" s="283"/>
      <c r="M524" s="283"/>
      <c r="N524" s="283"/>
      <c r="O524" s="283"/>
      <c r="P524" s="283"/>
      <c r="Q524" s="340"/>
      <c r="R524" s="283"/>
      <c r="S524" s="283"/>
      <c r="T524" s="340"/>
      <c r="U524" s="340"/>
      <c r="V524" s="283"/>
      <c r="W524" s="283"/>
      <c r="X524" s="283"/>
      <c r="Y524" s="283"/>
      <c r="Z524" s="283"/>
    </row>
    <row r="525" ht="15.75" customHeight="1">
      <c r="A525" s="340"/>
      <c r="B525" s="340"/>
      <c r="C525" s="283"/>
      <c r="D525" s="283"/>
      <c r="E525" s="283"/>
      <c r="F525" s="283"/>
      <c r="G525" s="283"/>
      <c r="H525" s="283"/>
      <c r="I525" s="283"/>
      <c r="J525" s="283"/>
      <c r="K525" s="340"/>
      <c r="L525" s="283"/>
      <c r="M525" s="283"/>
      <c r="N525" s="283"/>
      <c r="O525" s="283"/>
      <c r="P525" s="283"/>
      <c r="Q525" s="340"/>
      <c r="R525" s="283"/>
      <c r="S525" s="283"/>
      <c r="T525" s="340"/>
      <c r="U525" s="340"/>
      <c r="V525" s="283"/>
      <c r="W525" s="283"/>
      <c r="X525" s="283"/>
      <c r="Y525" s="283"/>
      <c r="Z525" s="283"/>
    </row>
    <row r="526" ht="15.75" customHeight="1">
      <c r="A526" s="340"/>
      <c r="B526" s="340"/>
      <c r="C526" s="283"/>
      <c r="D526" s="283"/>
      <c r="E526" s="283"/>
      <c r="F526" s="283"/>
      <c r="G526" s="283"/>
      <c r="H526" s="283"/>
      <c r="I526" s="283"/>
      <c r="J526" s="283"/>
      <c r="K526" s="340"/>
      <c r="L526" s="283"/>
      <c r="M526" s="283"/>
      <c r="N526" s="283"/>
      <c r="O526" s="283"/>
      <c r="P526" s="283"/>
      <c r="Q526" s="340"/>
      <c r="R526" s="283"/>
      <c r="S526" s="283"/>
      <c r="T526" s="340"/>
      <c r="U526" s="340"/>
      <c r="V526" s="283"/>
      <c r="W526" s="283"/>
      <c r="X526" s="283"/>
      <c r="Y526" s="283"/>
      <c r="Z526" s="283"/>
    </row>
    <row r="527" ht="15.75" customHeight="1">
      <c r="A527" s="340"/>
      <c r="B527" s="340"/>
      <c r="C527" s="283"/>
      <c r="D527" s="283"/>
      <c r="E527" s="283"/>
      <c r="F527" s="283"/>
      <c r="G527" s="283"/>
      <c r="H527" s="283"/>
      <c r="I527" s="283"/>
      <c r="J527" s="283"/>
      <c r="K527" s="340"/>
      <c r="L527" s="283"/>
      <c r="M527" s="283"/>
      <c r="N527" s="283"/>
      <c r="O527" s="283"/>
      <c r="P527" s="283"/>
      <c r="Q527" s="340"/>
      <c r="R527" s="283"/>
      <c r="S527" s="283"/>
      <c r="T527" s="340"/>
      <c r="U527" s="340"/>
      <c r="V527" s="283"/>
      <c r="W527" s="283"/>
      <c r="X527" s="283"/>
      <c r="Y527" s="283"/>
      <c r="Z527" s="283"/>
    </row>
    <row r="528" ht="15.75" customHeight="1">
      <c r="A528" s="340"/>
      <c r="B528" s="340"/>
      <c r="C528" s="283"/>
      <c r="D528" s="283"/>
      <c r="E528" s="283"/>
      <c r="F528" s="283"/>
      <c r="G528" s="283"/>
      <c r="H528" s="283"/>
      <c r="I528" s="283"/>
      <c r="J528" s="283"/>
      <c r="K528" s="340"/>
      <c r="L528" s="283"/>
      <c r="M528" s="283"/>
      <c r="N528" s="283"/>
      <c r="O528" s="283"/>
      <c r="P528" s="283"/>
      <c r="Q528" s="340"/>
      <c r="R528" s="283"/>
      <c r="S528" s="283"/>
      <c r="T528" s="340"/>
      <c r="U528" s="340"/>
      <c r="V528" s="283"/>
      <c r="W528" s="283"/>
      <c r="X528" s="283"/>
      <c r="Y528" s="283"/>
      <c r="Z528" s="283"/>
    </row>
    <row r="529" ht="15.75" customHeight="1">
      <c r="A529" s="340"/>
      <c r="B529" s="340"/>
      <c r="C529" s="283"/>
      <c r="D529" s="283"/>
      <c r="E529" s="283"/>
      <c r="F529" s="283"/>
      <c r="G529" s="283"/>
      <c r="H529" s="283"/>
      <c r="I529" s="283"/>
      <c r="J529" s="283"/>
      <c r="K529" s="340"/>
      <c r="L529" s="283"/>
      <c r="M529" s="283"/>
      <c r="N529" s="283"/>
      <c r="O529" s="283"/>
      <c r="P529" s="283"/>
      <c r="Q529" s="340"/>
      <c r="R529" s="283"/>
      <c r="S529" s="283"/>
      <c r="T529" s="340"/>
      <c r="U529" s="340"/>
      <c r="V529" s="283"/>
      <c r="W529" s="283"/>
      <c r="X529" s="283"/>
      <c r="Y529" s="283"/>
      <c r="Z529" s="283"/>
    </row>
    <row r="530" ht="15.75" customHeight="1">
      <c r="A530" s="340"/>
      <c r="B530" s="340"/>
      <c r="C530" s="283"/>
      <c r="D530" s="283"/>
      <c r="E530" s="283"/>
      <c r="F530" s="283"/>
      <c r="G530" s="283"/>
      <c r="H530" s="283"/>
      <c r="I530" s="283"/>
      <c r="J530" s="283"/>
      <c r="K530" s="340"/>
      <c r="L530" s="283"/>
      <c r="M530" s="283"/>
      <c r="N530" s="283"/>
      <c r="O530" s="283"/>
      <c r="P530" s="283"/>
      <c r="Q530" s="340"/>
      <c r="R530" s="283"/>
      <c r="S530" s="283"/>
      <c r="T530" s="340"/>
      <c r="U530" s="340"/>
      <c r="V530" s="283"/>
      <c r="W530" s="283"/>
      <c r="X530" s="283"/>
      <c r="Y530" s="283"/>
      <c r="Z530" s="283"/>
    </row>
    <row r="531" ht="15.75" customHeight="1">
      <c r="A531" s="340"/>
      <c r="B531" s="340"/>
      <c r="C531" s="283"/>
      <c r="D531" s="283"/>
      <c r="E531" s="283"/>
      <c r="F531" s="283"/>
      <c r="G531" s="283"/>
      <c r="H531" s="283"/>
      <c r="I531" s="283"/>
      <c r="J531" s="283"/>
      <c r="K531" s="340"/>
      <c r="L531" s="283"/>
      <c r="M531" s="283"/>
      <c r="N531" s="283"/>
      <c r="O531" s="283"/>
      <c r="P531" s="283"/>
      <c r="Q531" s="340"/>
      <c r="R531" s="283"/>
      <c r="S531" s="283"/>
      <c r="T531" s="340"/>
      <c r="U531" s="340"/>
      <c r="V531" s="283"/>
      <c r="W531" s="283"/>
      <c r="X531" s="283"/>
      <c r="Y531" s="283"/>
      <c r="Z531" s="283"/>
    </row>
    <row r="532" ht="15.75" customHeight="1">
      <c r="A532" s="340"/>
      <c r="B532" s="340"/>
      <c r="C532" s="283"/>
      <c r="D532" s="283"/>
      <c r="E532" s="283"/>
      <c r="F532" s="283"/>
      <c r="G532" s="283"/>
      <c r="H532" s="283"/>
      <c r="I532" s="283"/>
      <c r="J532" s="283"/>
      <c r="K532" s="340"/>
      <c r="L532" s="283"/>
      <c r="M532" s="283"/>
      <c r="N532" s="283"/>
      <c r="O532" s="283"/>
      <c r="P532" s="283"/>
      <c r="Q532" s="340"/>
      <c r="R532" s="283"/>
      <c r="S532" s="283"/>
      <c r="T532" s="340"/>
      <c r="U532" s="340"/>
      <c r="V532" s="283"/>
      <c r="W532" s="283"/>
      <c r="X532" s="283"/>
      <c r="Y532" s="283"/>
      <c r="Z532" s="283"/>
    </row>
    <row r="533" ht="15.75" customHeight="1">
      <c r="A533" s="340"/>
      <c r="B533" s="340"/>
      <c r="C533" s="283"/>
      <c r="D533" s="283"/>
      <c r="E533" s="283"/>
      <c r="F533" s="283"/>
      <c r="G533" s="283"/>
      <c r="H533" s="283"/>
      <c r="I533" s="283"/>
      <c r="J533" s="283"/>
      <c r="K533" s="340"/>
      <c r="L533" s="283"/>
      <c r="M533" s="283"/>
      <c r="N533" s="283"/>
      <c r="O533" s="283"/>
      <c r="P533" s="283"/>
      <c r="Q533" s="340"/>
      <c r="R533" s="283"/>
      <c r="S533" s="283"/>
      <c r="T533" s="340"/>
      <c r="U533" s="340"/>
      <c r="V533" s="283"/>
      <c r="W533" s="283"/>
      <c r="X533" s="283"/>
      <c r="Y533" s="283"/>
      <c r="Z533" s="283"/>
    </row>
    <row r="534" ht="15.75" customHeight="1">
      <c r="A534" s="340"/>
      <c r="B534" s="340"/>
      <c r="C534" s="283"/>
      <c r="D534" s="283"/>
      <c r="E534" s="283"/>
      <c r="F534" s="283"/>
      <c r="G534" s="283"/>
      <c r="H534" s="283"/>
      <c r="I534" s="283"/>
      <c r="J534" s="283"/>
      <c r="K534" s="340"/>
      <c r="L534" s="283"/>
      <c r="M534" s="283"/>
      <c r="N534" s="283"/>
      <c r="O534" s="283"/>
      <c r="P534" s="283"/>
      <c r="Q534" s="340"/>
      <c r="R534" s="283"/>
      <c r="S534" s="283"/>
      <c r="T534" s="340"/>
      <c r="U534" s="340"/>
      <c r="V534" s="283"/>
      <c r="W534" s="283"/>
      <c r="X534" s="283"/>
      <c r="Y534" s="283"/>
      <c r="Z534" s="283"/>
    </row>
    <row r="535" ht="15.75" customHeight="1">
      <c r="A535" s="340"/>
      <c r="B535" s="340"/>
      <c r="C535" s="283"/>
      <c r="D535" s="283"/>
      <c r="E535" s="283"/>
      <c r="F535" s="283"/>
      <c r="G535" s="283"/>
      <c r="H535" s="283"/>
      <c r="I535" s="283"/>
      <c r="J535" s="283"/>
      <c r="K535" s="340"/>
      <c r="L535" s="283"/>
      <c r="M535" s="283"/>
      <c r="N535" s="283"/>
      <c r="O535" s="283"/>
      <c r="P535" s="283"/>
      <c r="Q535" s="340"/>
      <c r="R535" s="283"/>
      <c r="S535" s="283"/>
      <c r="T535" s="340"/>
      <c r="U535" s="340"/>
      <c r="V535" s="283"/>
      <c r="W535" s="283"/>
      <c r="X535" s="283"/>
      <c r="Y535" s="283"/>
      <c r="Z535" s="283"/>
    </row>
    <row r="536" ht="15.75" customHeight="1">
      <c r="A536" s="340"/>
      <c r="B536" s="340"/>
      <c r="C536" s="283"/>
      <c r="D536" s="283"/>
      <c r="E536" s="283"/>
      <c r="F536" s="283"/>
      <c r="G536" s="283"/>
      <c r="H536" s="283"/>
      <c r="I536" s="283"/>
      <c r="J536" s="283"/>
      <c r="K536" s="340"/>
      <c r="L536" s="283"/>
      <c r="M536" s="283"/>
      <c r="N536" s="283"/>
      <c r="O536" s="283"/>
      <c r="P536" s="283"/>
      <c r="Q536" s="340"/>
      <c r="R536" s="283"/>
      <c r="S536" s="283"/>
      <c r="T536" s="340"/>
      <c r="U536" s="340"/>
      <c r="V536" s="283"/>
      <c r="W536" s="283"/>
      <c r="X536" s="283"/>
      <c r="Y536" s="283"/>
      <c r="Z536" s="283"/>
    </row>
    <row r="537" ht="15.75" customHeight="1">
      <c r="A537" s="340"/>
      <c r="B537" s="340"/>
      <c r="C537" s="283"/>
      <c r="D537" s="283"/>
      <c r="E537" s="283"/>
      <c r="F537" s="283"/>
      <c r="G537" s="283"/>
      <c r="H537" s="283"/>
      <c r="I537" s="283"/>
      <c r="J537" s="283"/>
      <c r="K537" s="340"/>
      <c r="L537" s="283"/>
      <c r="M537" s="283"/>
      <c r="N537" s="283"/>
      <c r="O537" s="283"/>
      <c r="P537" s="283"/>
      <c r="Q537" s="340"/>
      <c r="R537" s="283"/>
      <c r="S537" s="283"/>
      <c r="T537" s="340"/>
      <c r="U537" s="340"/>
      <c r="V537" s="283"/>
      <c r="W537" s="283"/>
      <c r="X537" s="283"/>
      <c r="Y537" s="283"/>
      <c r="Z537" s="283"/>
    </row>
    <row r="538" ht="15.75" customHeight="1">
      <c r="A538" s="340"/>
      <c r="B538" s="340"/>
      <c r="C538" s="283"/>
      <c r="D538" s="283"/>
      <c r="E538" s="283"/>
      <c r="F538" s="283"/>
      <c r="G538" s="283"/>
      <c r="H538" s="283"/>
      <c r="I538" s="283"/>
      <c r="J538" s="283"/>
      <c r="K538" s="340"/>
      <c r="L538" s="283"/>
      <c r="M538" s="283"/>
      <c r="N538" s="283"/>
      <c r="O538" s="283"/>
      <c r="P538" s="283"/>
      <c r="Q538" s="340"/>
      <c r="R538" s="283"/>
      <c r="S538" s="283"/>
      <c r="T538" s="340"/>
      <c r="U538" s="340"/>
      <c r="V538" s="283"/>
      <c r="W538" s="283"/>
      <c r="X538" s="283"/>
      <c r="Y538" s="283"/>
      <c r="Z538" s="283"/>
    </row>
    <row r="539" ht="15.75" customHeight="1">
      <c r="A539" s="340"/>
      <c r="B539" s="340"/>
      <c r="C539" s="283"/>
      <c r="D539" s="283"/>
      <c r="E539" s="283"/>
      <c r="F539" s="283"/>
      <c r="G539" s="283"/>
      <c r="H539" s="283"/>
      <c r="I539" s="283"/>
      <c r="J539" s="283"/>
      <c r="K539" s="340"/>
      <c r="L539" s="283"/>
      <c r="M539" s="283"/>
      <c r="N539" s="283"/>
      <c r="O539" s="283"/>
      <c r="P539" s="283"/>
      <c r="Q539" s="340"/>
      <c r="R539" s="283"/>
      <c r="S539" s="283"/>
      <c r="T539" s="340"/>
      <c r="U539" s="340"/>
      <c r="V539" s="283"/>
      <c r="W539" s="283"/>
      <c r="X539" s="283"/>
      <c r="Y539" s="283"/>
      <c r="Z539" s="283"/>
    </row>
    <row r="540" ht="15.75" customHeight="1">
      <c r="A540" s="340"/>
      <c r="B540" s="340"/>
      <c r="C540" s="283"/>
      <c r="D540" s="283"/>
      <c r="E540" s="283"/>
      <c r="F540" s="283"/>
      <c r="G540" s="283"/>
      <c r="H540" s="283"/>
      <c r="I540" s="283"/>
      <c r="J540" s="283"/>
      <c r="K540" s="340"/>
      <c r="L540" s="283"/>
      <c r="M540" s="283"/>
      <c r="N540" s="283"/>
      <c r="O540" s="283"/>
      <c r="P540" s="283"/>
      <c r="Q540" s="340"/>
      <c r="R540" s="283"/>
      <c r="S540" s="283"/>
      <c r="T540" s="340"/>
      <c r="U540" s="340"/>
      <c r="V540" s="283"/>
      <c r="W540" s="283"/>
      <c r="X540" s="283"/>
      <c r="Y540" s="283"/>
      <c r="Z540" s="283"/>
    </row>
    <row r="541" ht="15.75" customHeight="1">
      <c r="A541" s="340"/>
      <c r="B541" s="340"/>
      <c r="C541" s="283"/>
      <c r="D541" s="283"/>
      <c r="E541" s="283"/>
      <c r="F541" s="283"/>
      <c r="G541" s="283"/>
      <c r="H541" s="283"/>
      <c r="I541" s="283"/>
      <c r="J541" s="283"/>
      <c r="K541" s="340"/>
      <c r="L541" s="283"/>
      <c r="M541" s="283"/>
      <c r="N541" s="283"/>
      <c r="O541" s="283"/>
      <c r="P541" s="283"/>
      <c r="Q541" s="340"/>
      <c r="R541" s="283"/>
      <c r="S541" s="283"/>
      <c r="T541" s="340"/>
      <c r="U541" s="340"/>
      <c r="V541" s="283"/>
      <c r="W541" s="283"/>
      <c r="X541" s="283"/>
      <c r="Y541" s="283"/>
      <c r="Z541" s="283"/>
    </row>
    <row r="542" ht="15.75" customHeight="1">
      <c r="A542" s="340"/>
      <c r="B542" s="340"/>
      <c r="C542" s="283"/>
      <c r="D542" s="283"/>
      <c r="E542" s="283"/>
      <c r="F542" s="283"/>
      <c r="G542" s="283"/>
      <c r="H542" s="283"/>
      <c r="I542" s="283"/>
      <c r="J542" s="283"/>
      <c r="K542" s="340"/>
      <c r="L542" s="283"/>
      <c r="M542" s="283"/>
      <c r="N542" s="283"/>
      <c r="O542" s="283"/>
      <c r="P542" s="283"/>
      <c r="Q542" s="340"/>
      <c r="R542" s="283"/>
      <c r="S542" s="283"/>
      <c r="T542" s="340"/>
      <c r="U542" s="340"/>
      <c r="V542" s="283"/>
      <c r="W542" s="283"/>
      <c r="X542" s="283"/>
      <c r="Y542" s="283"/>
      <c r="Z542" s="283"/>
    </row>
    <row r="543" ht="15.75" customHeight="1">
      <c r="A543" s="340"/>
      <c r="B543" s="340"/>
      <c r="C543" s="283"/>
      <c r="D543" s="283"/>
      <c r="E543" s="283"/>
      <c r="F543" s="283"/>
      <c r="G543" s="283"/>
      <c r="H543" s="283"/>
      <c r="I543" s="283"/>
      <c r="J543" s="283"/>
      <c r="K543" s="340"/>
      <c r="L543" s="283"/>
      <c r="M543" s="283"/>
      <c r="N543" s="283"/>
      <c r="O543" s="283"/>
      <c r="P543" s="283"/>
      <c r="Q543" s="340"/>
      <c r="R543" s="283"/>
      <c r="S543" s="283"/>
      <c r="T543" s="340"/>
      <c r="U543" s="340"/>
      <c r="V543" s="283"/>
      <c r="W543" s="283"/>
      <c r="X543" s="283"/>
      <c r="Y543" s="283"/>
      <c r="Z543" s="283"/>
    </row>
    <row r="544" ht="15.75" customHeight="1">
      <c r="A544" s="340"/>
      <c r="B544" s="340"/>
      <c r="C544" s="283"/>
      <c r="D544" s="283"/>
      <c r="E544" s="283"/>
      <c r="F544" s="283"/>
      <c r="G544" s="283"/>
      <c r="H544" s="283"/>
      <c r="I544" s="283"/>
      <c r="J544" s="283"/>
      <c r="K544" s="340"/>
      <c r="L544" s="283"/>
      <c r="M544" s="283"/>
      <c r="N544" s="283"/>
      <c r="O544" s="283"/>
      <c r="P544" s="283"/>
      <c r="Q544" s="340"/>
      <c r="R544" s="283"/>
      <c r="S544" s="283"/>
      <c r="T544" s="340"/>
      <c r="U544" s="340"/>
      <c r="V544" s="283"/>
      <c r="W544" s="283"/>
      <c r="X544" s="283"/>
      <c r="Y544" s="283"/>
      <c r="Z544" s="283"/>
    </row>
    <row r="545" ht="15.75" customHeight="1">
      <c r="A545" s="340"/>
      <c r="B545" s="340"/>
      <c r="C545" s="283"/>
      <c r="D545" s="283"/>
      <c r="E545" s="283"/>
      <c r="F545" s="283"/>
      <c r="G545" s="283"/>
      <c r="H545" s="283"/>
      <c r="I545" s="283"/>
      <c r="J545" s="283"/>
      <c r="K545" s="340"/>
      <c r="L545" s="283"/>
      <c r="M545" s="283"/>
      <c r="N545" s="283"/>
      <c r="O545" s="283"/>
      <c r="P545" s="283"/>
      <c r="Q545" s="340"/>
      <c r="R545" s="283"/>
      <c r="S545" s="283"/>
      <c r="T545" s="340"/>
      <c r="U545" s="340"/>
      <c r="V545" s="283"/>
      <c r="W545" s="283"/>
      <c r="X545" s="283"/>
      <c r="Y545" s="283"/>
      <c r="Z545" s="283"/>
    </row>
    <row r="546" ht="15.75" customHeight="1">
      <c r="A546" s="340"/>
      <c r="B546" s="340"/>
      <c r="C546" s="283"/>
      <c r="D546" s="283"/>
      <c r="E546" s="283"/>
      <c r="F546" s="283"/>
      <c r="G546" s="283"/>
      <c r="H546" s="283"/>
      <c r="I546" s="283"/>
      <c r="J546" s="283"/>
      <c r="K546" s="340"/>
      <c r="L546" s="283"/>
      <c r="M546" s="283"/>
      <c r="N546" s="283"/>
      <c r="O546" s="283"/>
      <c r="P546" s="283"/>
      <c r="Q546" s="340"/>
      <c r="R546" s="283"/>
      <c r="S546" s="283"/>
      <c r="T546" s="340"/>
      <c r="U546" s="340"/>
      <c r="V546" s="283"/>
      <c r="W546" s="283"/>
      <c r="X546" s="283"/>
      <c r="Y546" s="283"/>
      <c r="Z546" s="283"/>
    </row>
    <row r="547" ht="15.75" customHeight="1">
      <c r="A547" s="340"/>
      <c r="B547" s="340"/>
      <c r="C547" s="283"/>
      <c r="D547" s="283"/>
      <c r="E547" s="283"/>
      <c r="F547" s="283"/>
      <c r="G547" s="283"/>
      <c r="H547" s="283"/>
      <c r="I547" s="283"/>
      <c r="J547" s="283"/>
      <c r="K547" s="340"/>
      <c r="L547" s="283"/>
      <c r="M547" s="283"/>
      <c r="N547" s="283"/>
      <c r="O547" s="283"/>
      <c r="P547" s="283"/>
      <c r="Q547" s="340"/>
      <c r="R547" s="283"/>
      <c r="S547" s="283"/>
      <c r="T547" s="340"/>
      <c r="U547" s="340"/>
      <c r="V547" s="283"/>
      <c r="W547" s="283"/>
      <c r="X547" s="283"/>
      <c r="Y547" s="283"/>
      <c r="Z547" s="283"/>
    </row>
    <row r="548" ht="15.75" customHeight="1">
      <c r="A548" s="340"/>
      <c r="B548" s="340"/>
      <c r="C548" s="283"/>
      <c r="D548" s="283"/>
      <c r="E548" s="283"/>
      <c r="F548" s="283"/>
      <c r="G548" s="283"/>
      <c r="H548" s="283"/>
      <c r="I548" s="283"/>
      <c r="J548" s="283"/>
      <c r="K548" s="340"/>
      <c r="L548" s="283"/>
      <c r="M548" s="283"/>
      <c r="N548" s="283"/>
      <c r="O548" s="283"/>
      <c r="P548" s="283"/>
      <c r="Q548" s="340"/>
      <c r="R548" s="283"/>
      <c r="S548" s="283"/>
      <c r="T548" s="340"/>
      <c r="U548" s="340"/>
      <c r="V548" s="283"/>
      <c r="W548" s="283"/>
      <c r="X548" s="283"/>
      <c r="Y548" s="283"/>
      <c r="Z548" s="283"/>
    </row>
    <row r="549" ht="15.75" customHeight="1">
      <c r="A549" s="340"/>
      <c r="B549" s="340"/>
      <c r="C549" s="283"/>
      <c r="D549" s="283"/>
      <c r="E549" s="283"/>
      <c r="F549" s="283"/>
      <c r="G549" s="283"/>
      <c r="H549" s="283"/>
      <c r="I549" s="283"/>
      <c r="J549" s="283"/>
      <c r="K549" s="340"/>
      <c r="L549" s="283"/>
      <c r="M549" s="283"/>
      <c r="N549" s="283"/>
      <c r="O549" s="283"/>
      <c r="P549" s="283"/>
      <c r="Q549" s="340"/>
      <c r="R549" s="283"/>
      <c r="S549" s="283"/>
      <c r="T549" s="340"/>
      <c r="U549" s="340"/>
      <c r="V549" s="283"/>
      <c r="W549" s="283"/>
      <c r="X549" s="283"/>
      <c r="Y549" s="283"/>
      <c r="Z549" s="283"/>
    </row>
    <row r="550" ht="15.75" customHeight="1">
      <c r="A550" s="340"/>
      <c r="B550" s="340"/>
      <c r="C550" s="283"/>
      <c r="D550" s="283"/>
      <c r="E550" s="283"/>
      <c r="F550" s="283"/>
      <c r="G550" s="283"/>
      <c r="H550" s="283"/>
      <c r="I550" s="283"/>
      <c r="J550" s="283"/>
      <c r="K550" s="340"/>
      <c r="L550" s="283"/>
      <c r="M550" s="283"/>
      <c r="N550" s="283"/>
      <c r="O550" s="283"/>
      <c r="P550" s="283"/>
      <c r="Q550" s="340"/>
      <c r="R550" s="283"/>
      <c r="S550" s="283"/>
      <c r="T550" s="340"/>
      <c r="U550" s="340"/>
      <c r="V550" s="283"/>
      <c r="W550" s="283"/>
      <c r="X550" s="283"/>
      <c r="Y550" s="283"/>
      <c r="Z550" s="283"/>
    </row>
    <row r="551" ht="15.75" customHeight="1">
      <c r="A551" s="340"/>
      <c r="B551" s="340"/>
      <c r="C551" s="283"/>
      <c r="D551" s="283"/>
      <c r="E551" s="283"/>
      <c r="F551" s="283"/>
      <c r="G551" s="283"/>
      <c r="H551" s="283"/>
      <c r="I551" s="283"/>
      <c r="J551" s="283"/>
      <c r="K551" s="340"/>
      <c r="L551" s="283"/>
      <c r="M551" s="283"/>
      <c r="N551" s="283"/>
      <c r="O551" s="283"/>
      <c r="P551" s="283"/>
      <c r="Q551" s="340"/>
      <c r="R551" s="283"/>
      <c r="S551" s="283"/>
      <c r="T551" s="340"/>
      <c r="U551" s="340"/>
      <c r="V551" s="283"/>
      <c r="W551" s="283"/>
      <c r="X551" s="283"/>
      <c r="Y551" s="283"/>
      <c r="Z551" s="283"/>
    </row>
    <row r="552" ht="15.75" customHeight="1">
      <c r="A552" s="340"/>
      <c r="B552" s="340"/>
      <c r="C552" s="283"/>
      <c r="D552" s="283"/>
      <c r="E552" s="283"/>
      <c r="F552" s="283"/>
      <c r="G552" s="283"/>
      <c r="H552" s="283"/>
      <c r="I552" s="283"/>
      <c r="J552" s="283"/>
      <c r="K552" s="340"/>
      <c r="L552" s="283"/>
      <c r="M552" s="283"/>
      <c r="N552" s="283"/>
      <c r="O552" s="283"/>
      <c r="P552" s="283"/>
      <c r="Q552" s="340"/>
      <c r="R552" s="283"/>
      <c r="S552" s="283"/>
      <c r="T552" s="340"/>
      <c r="U552" s="340"/>
      <c r="V552" s="283"/>
      <c r="W552" s="283"/>
      <c r="X552" s="283"/>
      <c r="Y552" s="283"/>
      <c r="Z552" s="283"/>
    </row>
    <row r="553" ht="15.75" customHeight="1">
      <c r="A553" s="340"/>
      <c r="B553" s="340"/>
      <c r="C553" s="283"/>
      <c r="D553" s="283"/>
      <c r="E553" s="283"/>
      <c r="F553" s="283"/>
      <c r="G553" s="283"/>
      <c r="H553" s="283"/>
      <c r="I553" s="283"/>
      <c r="J553" s="283"/>
      <c r="K553" s="340"/>
      <c r="L553" s="283"/>
      <c r="M553" s="283"/>
      <c r="N553" s="283"/>
      <c r="O553" s="283"/>
      <c r="P553" s="283"/>
      <c r="Q553" s="340"/>
      <c r="R553" s="283"/>
      <c r="S553" s="283"/>
      <c r="T553" s="340"/>
      <c r="U553" s="340"/>
      <c r="V553" s="283"/>
      <c r="W553" s="283"/>
      <c r="X553" s="283"/>
      <c r="Y553" s="283"/>
      <c r="Z553" s="283"/>
    </row>
    <row r="554" ht="15.75" customHeight="1">
      <c r="A554" s="340"/>
      <c r="B554" s="340"/>
      <c r="C554" s="283"/>
      <c r="D554" s="283"/>
      <c r="E554" s="283"/>
      <c r="F554" s="283"/>
      <c r="G554" s="283"/>
      <c r="H554" s="283"/>
      <c r="I554" s="283"/>
      <c r="J554" s="283"/>
      <c r="K554" s="340"/>
      <c r="L554" s="283"/>
      <c r="M554" s="283"/>
      <c r="N554" s="283"/>
      <c r="O554" s="283"/>
      <c r="P554" s="283"/>
      <c r="Q554" s="340"/>
      <c r="R554" s="283"/>
      <c r="S554" s="283"/>
      <c r="T554" s="340"/>
      <c r="U554" s="340"/>
      <c r="V554" s="283"/>
      <c r="W554" s="283"/>
      <c r="X554" s="283"/>
      <c r="Y554" s="283"/>
      <c r="Z554" s="283"/>
    </row>
    <row r="555" ht="15.75" customHeight="1">
      <c r="A555" s="340"/>
      <c r="B555" s="340"/>
      <c r="C555" s="283"/>
      <c r="D555" s="283"/>
      <c r="E555" s="283"/>
      <c r="F555" s="283"/>
      <c r="G555" s="283"/>
      <c r="H555" s="283"/>
      <c r="I555" s="283"/>
      <c r="J555" s="283"/>
      <c r="K555" s="340"/>
      <c r="L555" s="283"/>
      <c r="M555" s="283"/>
      <c r="N555" s="283"/>
      <c r="O555" s="283"/>
      <c r="P555" s="283"/>
      <c r="Q555" s="340"/>
      <c r="R555" s="283"/>
      <c r="S555" s="283"/>
      <c r="T555" s="340"/>
      <c r="U555" s="340"/>
      <c r="V555" s="283"/>
      <c r="W555" s="283"/>
      <c r="X555" s="283"/>
      <c r="Y555" s="283"/>
      <c r="Z555" s="283"/>
    </row>
    <row r="556" ht="15.75" customHeight="1">
      <c r="A556" s="340"/>
      <c r="B556" s="340"/>
      <c r="C556" s="283"/>
      <c r="D556" s="283"/>
      <c r="E556" s="283"/>
      <c r="F556" s="283"/>
      <c r="G556" s="283"/>
      <c r="H556" s="283"/>
      <c r="I556" s="283"/>
      <c r="J556" s="283"/>
      <c r="K556" s="340"/>
      <c r="L556" s="283"/>
      <c r="M556" s="283"/>
      <c r="N556" s="283"/>
      <c r="O556" s="283"/>
      <c r="P556" s="283"/>
      <c r="Q556" s="340"/>
      <c r="R556" s="283"/>
      <c r="S556" s="283"/>
      <c r="T556" s="340"/>
      <c r="U556" s="340"/>
      <c r="V556" s="283"/>
      <c r="W556" s="283"/>
      <c r="X556" s="283"/>
      <c r="Y556" s="283"/>
      <c r="Z556" s="283"/>
    </row>
    <row r="557" ht="15.75" customHeight="1">
      <c r="A557" s="340"/>
      <c r="B557" s="340"/>
      <c r="C557" s="283"/>
      <c r="D557" s="283"/>
      <c r="E557" s="283"/>
      <c r="F557" s="283"/>
      <c r="G557" s="283"/>
      <c r="H557" s="283"/>
      <c r="I557" s="283"/>
      <c r="J557" s="283"/>
      <c r="K557" s="340"/>
      <c r="L557" s="283"/>
      <c r="M557" s="283"/>
      <c r="N557" s="283"/>
      <c r="O557" s="283"/>
      <c r="P557" s="283"/>
      <c r="Q557" s="340"/>
      <c r="R557" s="283"/>
      <c r="S557" s="283"/>
      <c r="T557" s="340"/>
      <c r="U557" s="340"/>
      <c r="V557" s="283"/>
      <c r="W557" s="283"/>
      <c r="X557" s="283"/>
      <c r="Y557" s="283"/>
      <c r="Z557" s="283"/>
    </row>
    <row r="558" ht="15.75" customHeight="1">
      <c r="A558" s="340"/>
      <c r="B558" s="340"/>
      <c r="C558" s="283"/>
      <c r="D558" s="283"/>
      <c r="E558" s="283"/>
      <c r="F558" s="283"/>
      <c r="G558" s="283"/>
      <c r="H558" s="283"/>
      <c r="I558" s="283"/>
      <c r="J558" s="283"/>
      <c r="K558" s="340"/>
      <c r="L558" s="283"/>
      <c r="M558" s="283"/>
      <c r="N558" s="283"/>
      <c r="O558" s="283"/>
      <c r="P558" s="283"/>
      <c r="Q558" s="340"/>
      <c r="R558" s="283"/>
      <c r="S558" s="283"/>
      <c r="T558" s="340"/>
      <c r="U558" s="340"/>
      <c r="V558" s="283"/>
      <c r="W558" s="283"/>
      <c r="X558" s="283"/>
      <c r="Y558" s="283"/>
      <c r="Z558" s="283"/>
    </row>
    <row r="559" ht="15.75" customHeight="1">
      <c r="A559" s="340"/>
      <c r="B559" s="340"/>
      <c r="C559" s="283"/>
      <c r="D559" s="283"/>
      <c r="E559" s="283"/>
      <c r="F559" s="283"/>
      <c r="G559" s="283"/>
      <c r="H559" s="283"/>
      <c r="I559" s="283"/>
      <c r="J559" s="283"/>
      <c r="K559" s="340"/>
      <c r="L559" s="283"/>
      <c r="M559" s="283"/>
      <c r="N559" s="283"/>
      <c r="O559" s="283"/>
      <c r="P559" s="283"/>
      <c r="Q559" s="340"/>
      <c r="R559" s="283"/>
      <c r="S559" s="283"/>
      <c r="T559" s="340"/>
      <c r="U559" s="340"/>
      <c r="V559" s="283"/>
      <c r="W559" s="283"/>
      <c r="X559" s="283"/>
      <c r="Y559" s="283"/>
      <c r="Z559" s="283"/>
    </row>
    <row r="560" ht="15.75" customHeight="1">
      <c r="A560" s="340"/>
      <c r="B560" s="340"/>
      <c r="C560" s="283"/>
      <c r="D560" s="283"/>
      <c r="E560" s="283"/>
      <c r="F560" s="283"/>
      <c r="G560" s="283"/>
      <c r="H560" s="283"/>
      <c r="I560" s="283"/>
      <c r="J560" s="283"/>
      <c r="K560" s="340"/>
      <c r="L560" s="283"/>
      <c r="M560" s="283"/>
      <c r="N560" s="283"/>
      <c r="O560" s="283"/>
      <c r="P560" s="283"/>
      <c r="Q560" s="340"/>
      <c r="R560" s="283"/>
      <c r="S560" s="283"/>
      <c r="T560" s="340"/>
      <c r="U560" s="340"/>
      <c r="V560" s="283"/>
      <c r="W560" s="283"/>
      <c r="X560" s="283"/>
      <c r="Y560" s="283"/>
      <c r="Z560" s="283"/>
    </row>
    <row r="561" ht="15.75" customHeight="1">
      <c r="A561" s="340"/>
      <c r="B561" s="340"/>
      <c r="C561" s="283"/>
      <c r="D561" s="283"/>
      <c r="E561" s="283"/>
      <c r="F561" s="283"/>
      <c r="G561" s="283"/>
      <c r="H561" s="283"/>
      <c r="I561" s="283"/>
      <c r="J561" s="283"/>
      <c r="K561" s="340"/>
      <c r="L561" s="283"/>
      <c r="M561" s="283"/>
      <c r="N561" s="283"/>
      <c r="O561" s="283"/>
      <c r="P561" s="283"/>
      <c r="Q561" s="340"/>
      <c r="R561" s="283"/>
      <c r="S561" s="283"/>
      <c r="T561" s="340"/>
      <c r="U561" s="340"/>
      <c r="V561" s="283"/>
      <c r="W561" s="283"/>
      <c r="X561" s="283"/>
      <c r="Y561" s="283"/>
      <c r="Z561" s="283"/>
    </row>
    <row r="562" ht="15.75" customHeight="1">
      <c r="A562" s="340"/>
      <c r="B562" s="340"/>
      <c r="C562" s="283"/>
      <c r="D562" s="283"/>
      <c r="E562" s="283"/>
      <c r="F562" s="283"/>
      <c r="G562" s="283"/>
      <c r="H562" s="283"/>
      <c r="I562" s="283"/>
      <c r="J562" s="283"/>
      <c r="K562" s="340"/>
      <c r="L562" s="283"/>
      <c r="M562" s="283"/>
      <c r="N562" s="283"/>
      <c r="O562" s="283"/>
      <c r="P562" s="283"/>
      <c r="Q562" s="340"/>
      <c r="R562" s="283"/>
      <c r="S562" s="283"/>
      <c r="T562" s="340"/>
      <c r="U562" s="340"/>
      <c r="V562" s="283"/>
      <c r="W562" s="283"/>
      <c r="X562" s="283"/>
      <c r="Y562" s="283"/>
      <c r="Z562" s="283"/>
    </row>
    <row r="563" ht="15.75" customHeight="1">
      <c r="A563" s="340"/>
      <c r="B563" s="340"/>
      <c r="C563" s="283"/>
      <c r="D563" s="283"/>
      <c r="E563" s="283"/>
      <c r="F563" s="283"/>
      <c r="G563" s="283"/>
      <c r="H563" s="283"/>
      <c r="I563" s="283"/>
      <c r="J563" s="283"/>
      <c r="K563" s="340"/>
      <c r="L563" s="283"/>
      <c r="M563" s="283"/>
      <c r="N563" s="283"/>
      <c r="O563" s="283"/>
      <c r="P563" s="283"/>
      <c r="Q563" s="340"/>
      <c r="R563" s="283"/>
      <c r="S563" s="283"/>
      <c r="T563" s="340"/>
      <c r="U563" s="340"/>
      <c r="V563" s="283"/>
      <c r="W563" s="283"/>
      <c r="X563" s="283"/>
      <c r="Y563" s="283"/>
      <c r="Z563" s="283"/>
    </row>
    <row r="564" ht="15.75" customHeight="1">
      <c r="A564" s="340"/>
      <c r="B564" s="340"/>
      <c r="C564" s="283"/>
      <c r="D564" s="283"/>
      <c r="E564" s="283"/>
      <c r="F564" s="283"/>
      <c r="G564" s="283"/>
      <c r="H564" s="283"/>
      <c r="I564" s="283"/>
      <c r="J564" s="283"/>
      <c r="K564" s="340"/>
      <c r="L564" s="283"/>
      <c r="M564" s="283"/>
      <c r="N564" s="283"/>
      <c r="O564" s="283"/>
      <c r="P564" s="283"/>
      <c r="Q564" s="340"/>
      <c r="R564" s="283"/>
      <c r="S564" s="283"/>
      <c r="T564" s="340"/>
      <c r="U564" s="340"/>
      <c r="V564" s="283"/>
      <c r="W564" s="283"/>
      <c r="X564" s="283"/>
      <c r="Y564" s="283"/>
      <c r="Z564" s="283"/>
    </row>
    <row r="565" ht="15.75" customHeight="1">
      <c r="A565" s="340"/>
      <c r="B565" s="340"/>
      <c r="C565" s="283"/>
      <c r="D565" s="283"/>
      <c r="E565" s="283"/>
      <c r="F565" s="283"/>
      <c r="G565" s="283"/>
      <c r="H565" s="283"/>
      <c r="I565" s="283"/>
      <c r="J565" s="283"/>
      <c r="K565" s="340"/>
      <c r="L565" s="283"/>
      <c r="M565" s="283"/>
      <c r="N565" s="283"/>
      <c r="O565" s="283"/>
      <c r="P565" s="283"/>
      <c r="Q565" s="340"/>
      <c r="R565" s="283"/>
      <c r="S565" s="283"/>
      <c r="T565" s="340"/>
      <c r="U565" s="340"/>
      <c r="V565" s="283"/>
      <c r="W565" s="283"/>
      <c r="X565" s="283"/>
      <c r="Y565" s="283"/>
      <c r="Z565" s="283"/>
    </row>
    <row r="566" ht="15.75" customHeight="1">
      <c r="A566" s="340"/>
      <c r="B566" s="340"/>
      <c r="C566" s="283"/>
      <c r="D566" s="283"/>
      <c r="E566" s="283"/>
      <c r="F566" s="283"/>
      <c r="G566" s="283"/>
      <c r="H566" s="283"/>
      <c r="I566" s="283"/>
      <c r="J566" s="283"/>
      <c r="K566" s="340"/>
      <c r="L566" s="283"/>
      <c r="M566" s="283"/>
      <c r="N566" s="283"/>
      <c r="O566" s="283"/>
      <c r="P566" s="283"/>
      <c r="Q566" s="340"/>
      <c r="R566" s="283"/>
      <c r="S566" s="283"/>
      <c r="T566" s="340"/>
      <c r="U566" s="340"/>
      <c r="V566" s="283"/>
      <c r="W566" s="283"/>
      <c r="X566" s="283"/>
      <c r="Y566" s="283"/>
      <c r="Z566" s="283"/>
    </row>
    <row r="567" ht="15.75" customHeight="1">
      <c r="A567" s="340"/>
      <c r="B567" s="340"/>
      <c r="C567" s="283"/>
      <c r="D567" s="283"/>
      <c r="E567" s="283"/>
      <c r="F567" s="283"/>
      <c r="G567" s="283"/>
      <c r="H567" s="283"/>
      <c r="I567" s="283"/>
      <c r="J567" s="283"/>
      <c r="K567" s="340"/>
      <c r="L567" s="283"/>
      <c r="M567" s="283"/>
      <c r="N567" s="283"/>
      <c r="O567" s="283"/>
      <c r="P567" s="283"/>
      <c r="Q567" s="340"/>
      <c r="R567" s="283"/>
      <c r="S567" s="283"/>
      <c r="T567" s="340"/>
      <c r="U567" s="340"/>
      <c r="V567" s="283"/>
      <c r="W567" s="283"/>
      <c r="X567" s="283"/>
      <c r="Y567" s="283"/>
      <c r="Z567" s="283"/>
    </row>
    <row r="568" ht="15.75" customHeight="1">
      <c r="A568" s="340"/>
      <c r="B568" s="340"/>
      <c r="C568" s="283"/>
      <c r="D568" s="283"/>
      <c r="E568" s="283"/>
      <c r="F568" s="283"/>
      <c r="G568" s="283"/>
      <c r="H568" s="283"/>
      <c r="I568" s="283"/>
      <c r="J568" s="283"/>
      <c r="K568" s="340"/>
      <c r="L568" s="283"/>
      <c r="M568" s="283"/>
      <c r="N568" s="283"/>
      <c r="O568" s="283"/>
      <c r="P568" s="283"/>
      <c r="Q568" s="340"/>
      <c r="R568" s="283"/>
      <c r="S568" s="283"/>
      <c r="T568" s="340"/>
      <c r="U568" s="340"/>
      <c r="V568" s="283"/>
      <c r="W568" s="283"/>
      <c r="X568" s="283"/>
      <c r="Y568" s="283"/>
      <c r="Z568" s="283"/>
    </row>
    <row r="569" ht="15.75" customHeight="1">
      <c r="A569" s="340"/>
      <c r="B569" s="340"/>
      <c r="C569" s="283"/>
      <c r="D569" s="283"/>
      <c r="E569" s="283"/>
      <c r="F569" s="283"/>
      <c r="G569" s="283"/>
      <c r="H569" s="283"/>
      <c r="I569" s="283"/>
      <c r="J569" s="283"/>
      <c r="K569" s="340"/>
      <c r="L569" s="283"/>
      <c r="M569" s="283"/>
      <c r="N569" s="283"/>
      <c r="O569" s="283"/>
      <c r="P569" s="283"/>
      <c r="Q569" s="340"/>
      <c r="R569" s="283"/>
      <c r="S569" s="283"/>
      <c r="T569" s="340"/>
      <c r="U569" s="340"/>
      <c r="V569" s="283"/>
      <c r="W569" s="283"/>
      <c r="X569" s="283"/>
      <c r="Y569" s="283"/>
      <c r="Z569" s="283"/>
    </row>
    <row r="570" ht="15.75" customHeight="1">
      <c r="A570" s="340"/>
      <c r="B570" s="340"/>
      <c r="C570" s="283"/>
      <c r="D570" s="283"/>
      <c r="E570" s="283"/>
      <c r="F570" s="283"/>
      <c r="G570" s="283"/>
      <c r="H570" s="283"/>
      <c r="I570" s="283"/>
      <c r="J570" s="283"/>
      <c r="K570" s="340"/>
      <c r="L570" s="283"/>
      <c r="M570" s="283"/>
      <c r="N570" s="283"/>
      <c r="O570" s="283"/>
      <c r="P570" s="283"/>
      <c r="Q570" s="340"/>
      <c r="R570" s="283"/>
      <c r="S570" s="283"/>
      <c r="T570" s="340"/>
      <c r="U570" s="340"/>
      <c r="V570" s="283"/>
      <c r="W570" s="283"/>
      <c r="X570" s="283"/>
      <c r="Y570" s="283"/>
      <c r="Z570" s="283"/>
    </row>
    <row r="571" ht="15.75" customHeight="1">
      <c r="A571" s="340"/>
      <c r="B571" s="340"/>
      <c r="C571" s="283"/>
      <c r="D571" s="283"/>
      <c r="E571" s="283"/>
      <c r="F571" s="283"/>
      <c r="G571" s="283"/>
      <c r="H571" s="283"/>
      <c r="I571" s="283"/>
      <c r="J571" s="283"/>
      <c r="K571" s="340"/>
      <c r="L571" s="283"/>
      <c r="M571" s="283"/>
      <c r="N571" s="283"/>
      <c r="O571" s="283"/>
      <c r="P571" s="283"/>
      <c r="Q571" s="340"/>
      <c r="R571" s="283"/>
      <c r="S571" s="283"/>
      <c r="T571" s="340"/>
      <c r="U571" s="340"/>
      <c r="V571" s="283"/>
      <c r="W571" s="283"/>
      <c r="X571" s="283"/>
      <c r="Y571" s="283"/>
      <c r="Z571" s="283"/>
    </row>
    <row r="572" ht="15.75" customHeight="1">
      <c r="A572" s="340"/>
      <c r="B572" s="340"/>
      <c r="C572" s="283"/>
      <c r="D572" s="283"/>
      <c r="E572" s="283"/>
      <c r="F572" s="283"/>
      <c r="G572" s="283"/>
      <c r="H572" s="283"/>
      <c r="I572" s="283"/>
      <c r="J572" s="283"/>
      <c r="K572" s="340"/>
      <c r="L572" s="283"/>
      <c r="M572" s="283"/>
      <c r="N572" s="283"/>
      <c r="O572" s="283"/>
      <c r="P572" s="283"/>
      <c r="Q572" s="340"/>
      <c r="R572" s="283"/>
      <c r="S572" s="283"/>
      <c r="T572" s="340"/>
      <c r="U572" s="340"/>
      <c r="V572" s="283"/>
      <c r="W572" s="283"/>
      <c r="X572" s="283"/>
      <c r="Y572" s="283"/>
      <c r="Z572" s="283"/>
    </row>
    <row r="573" ht="15.75" customHeight="1">
      <c r="A573" s="340"/>
      <c r="B573" s="340"/>
      <c r="C573" s="283"/>
      <c r="D573" s="283"/>
      <c r="E573" s="283"/>
      <c r="F573" s="283"/>
      <c r="G573" s="283"/>
      <c r="H573" s="283"/>
      <c r="I573" s="283"/>
      <c r="J573" s="283"/>
      <c r="K573" s="340"/>
      <c r="L573" s="283"/>
      <c r="M573" s="283"/>
      <c r="N573" s="283"/>
      <c r="O573" s="283"/>
      <c r="P573" s="283"/>
      <c r="Q573" s="340"/>
      <c r="R573" s="283"/>
      <c r="S573" s="283"/>
      <c r="T573" s="340"/>
      <c r="U573" s="340"/>
      <c r="V573" s="283"/>
      <c r="W573" s="283"/>
      <c r="X573" s="283"/>
      <c r="Y573" s="283"/>
      <c r="Z573" s="283"/>
    </row>
    <row r="574" ht="15.75" customHeight="1">
      <c r="A574" s="340"/>
      <c r="B574" s="340"/>
      <c r="C574" s="283"/>
      <c r="D574" s="283"/>
      <c r="E574" s="283"/>
      <c r="F574" s="283"/>
      <c r="G574" s="283"/>
      <c r="H574" s="283"/>
      <c r="I574" s="283"/>
      <c r="J574" s="283"/>
      <c r="K574" s="340"/>
      <c r="L574" s="283"/>
      <c r="M574" s="283"/>
      <c r="N574" s="283"/>
      <c r="O574" s="283"/>
      <c r="P574" s="283"/>
      <c r="Q574" s="340"/>
      <c r="R574" s="283"/>
      <c r="S574" s="283"/>
      <c r="T574" s="340"/>
      <c r="U574" s="340"/>
      <c r="V574" s="283"/>
      <c r="W574" s="283"/>
      <c r="X574" s="283"/>
      <c r="Y574" s="283"/>
      <c r="Z574" s="283"/>
    </row>
    <row r="575" ht="15.75" customHeight="1">
      <c r="A575" s="340"/>
      <c r="B575" s="340"/>
      <c r="C575" s="283"/>
      <c r="D575" s="283"/>
      <c r="E575" s="283"/>
      <c r="F575" s="283"/>
      <c r="G575" s="283"/>
      <c r="H575" s="283"/>
      <c r="I575" s="283"/>
      <c r="J575" s="283"/>
      <c r="K575" s="340"/>
      <c r="L575" s="283"/>
      <c r="M575" s="283"/>
      <c r="N575" s="283"/>
      <c r="O575" s="283"/>
      <c r="P575" s="283"/>
      <c r="Q575" s="340"/>
      <c r="R575" s="283"/>
      <c r="S575" s="283"/>
      <c r="T575" s="340"/>
      <c r="U575" s="340"/>
      <c r="V575" s="283"/>
      <c r="W575" s="283"/>
      <c r="X575" s="283"/>
      <c r="Y575" s="283"/>
      <c r="Z575" s="283"/>
    </row>
    <row r="576" ht="15.75" customHeight="1">
      <c r="A576" s="340"/>
      <c r="B576" s="340"/>
      <c r="C576" s="283"/>
      <c r="D576" s="283"/>
      <c r="E576" s="283"/>
      <c r="F576" s="283"/>
      <c r="G576" s="283"/>
      <c r="H576" s="283"/>
      <c r="I576" s="283"/>
      <c r="J576" s="283"/>
      <c r="K576" s="340"/>
      <c r="L576" s="283"/>
      <c r="M576" s="283"/>
      <c r="N576" s="283"/>
      <c r="O576" s="283"/>
      <c r="P576" s="283"/>
      <c r="Q576" s="340"/>
      <c r="R576" s="283"/>
      <c r="S576" s="283"/>
      <c r="T576" s="340"/>
      <c r="U576" s="340"/>
      <c r="V576" s="283"/>
      <c r="W576" s="283"/>
      <c r="X576" s="283"/>
      <c r="Y576" s="283"/>
      <c r="Z576" s="283"/>
    </row>
    <row r="577" ht="15.75" customHeight="1">
      <c r="A577" s="340"/>
      <c r="B577" s="340"/>
      <c r="C577" s="283"/>
      <c r="D577" s="283"/>
      <c r="E577" s="283"/>
      <c r="F577" s="283"/>
      <c r="G577" s="283"/>
      <c r="H577" s="283"/>
      <c r="I577" s="283"/>
      <c r="J577" s="283"/>
      <c r="K577" s="340"/>
      <c r="L577" s="283"/>
      <c r="M577" s="283"/>
      <c r="N577" s="283"/>
      <c r="O577" s="283"/>
      <c r="P577" s="283"/>
      <c r="Q577" s="340"/>
      <c r="R577" s="283"/>
      <c r="S577" s="283"/>
      <c r="T577" s="340"/>
      <c r="U577" s="340"/>
      <c r="V577" s="283"/>
      <c r="W577" s="283"/>
      <c r="X577" s="283"/>
      <c r="Y577" s="283"/>
      <c r="Z577" s="283"/>
    </row>
    <row r="578" ht="15.75" customHeight="1">
      <c r="A578" s="340"/>
      <c r="B578" s="340"/>
      <c r="C578" s="283"/>
      <c r="D578" s="283"/>
      <c r="E578" s="283"/>
      <c r="F578" s="283"/>
      <c r="G578" s="283"/>
      <c r="H578" s="283"/>
      <c r="I578" s="283"/>
      <c r="J578" s="283"/>
      <c r="K578" s="340"/>
      <c r="L578" s="283"/>
      <c r="M578" s="283"/>
      <c r="N578" s="283"/>
      <c r="O578" s="283"/>
      <c r="P578" s="283"/>
      <c r="Q578" s="340"/>
      <c r="R578" s="283"/>
      <c r="S578" s="283"/>
      <c r="T578" s="340"/>
      <c r="U578" s="340"/>
      <c r="V578" s="283"/>
      <c r="W578" s="283"/>
      <c r="X578" s="283"/>
      <c r="Y578" s="283"/>
      <c r="Z578" s="283"/>
    </row>
    <row r="579" ht="15.75" customHeight="1">
      <c r="A579" s="340"/>
      <c r="B579" s="340"/>
      <c r="C579" s="283"/>
      <c r="D579" s="283"/>
      <c r="E579" s="283"/>
      <c r="F579" s="283"/>
      <c r="G579" s="283"/>
      <c r="H579" s="283"/>
      <c r="I579" s="283"/>
      <c r="J579" s="283"/>
      <c r="K579" s="340"/>
      <c r="L579" s="283"/>
      <c r="M579" s="283"/>
      <c r="N579" s="283"/>
      <c r="O579" s="283"/>
      <c r="P579" s="283"/>
      <c r="Q579" s="340"/>
      <c r="R579" s="283"/>
      <c r="S579" s="283"/>
      <c r="T579" s="340"/>
      <c r="U579" s="340"/>
      <c r="V579" s="283"/>
      <c r="W579" s="283"/>
      <c r="X579" s="283"/>
      <c r="Y579" s="283"/>
      <c r="Z579" s="283"/>
    </row>
    <row r="580" ht="15.75" customHeight="1">
      <c r="A580" s="340"/>
      <c r="B580" s="340"/>
      <c r="C580" s="283"/>
      <c r="D580" s="283"/>
      <c r="E580" s="283"/>
      <c r="F580" s="283"/>
      <c r="G580" s="283"/>
      <c r="H580" s="283"/>
      <c r="I580" s="283"/>
      <c r="J580" s="283"/>
      <c r="K580" s="340"/>
      <c r="L580" s="283"/>
      <c r="M580" s="283"/>
      <c r="N580" s="283"/>
      <c r="O580" s="283"/>
      <c r="P580" s="283"/>
      <c r="Q580" s="340"/>
      <c r="R580" s="283"/>
      <c r="S580" s="283"/>
      <c r="T580" s="340"/>
      <c r="U580" s="340"/>
      <c r="V580" s="283"/>
      <c r="W580" s="283"/>
      <c r="X580" s="283"/>
      <c r="Y580" s="283"/>
      <c r="Z580" s="283"/>
    </row>
    <row r="581" ht="15.75" customHeight="1">
      <c r="A581" s="340"/>
      <c r="B581" s="340"/>
      <c r="C581" s="283"/>
      <c r="D581" s="283"/>
      <c r="E581" s="283"/>
      <c r="F581" s="283"/>
      <c r="G581" s="283"/>
      <c r="H581" s="283"/>
      <c r="I581" s="283"/>
      <c r="J581" s="283"/>
      <c r="K581" s="340"/>
      <c r="L581" s="283"/>
      <c r="M581" s="283"/>
      <c r="N581" s="283"/>
      <c r="O581" s="283"/>
      <c r="P581" s="283"/>
      <c r="Q581" s="340"/>
      <c r="R581" s="283"/>
      <c r="S581" s="283"/>
      <c r="T581" s="340"/>
      <c r="U581" s="340"/>
      <c r="V581" s="283"/>
      <c r="W581" s="283"/>
      <c r="X581" s="283"/>
      <c r="Y581" s="283"/>
      <c r="Z581" s="283"/>
    </row>
    <row r="582" ht="15.75" customHeight="1">
      <c r="A582" s="340"/>
      <c r="B582" s="340"/>
      <c r="C582" s="283"/>
      <c r="D582" s="283"/>
      <c r="E582" s="283"/>
      <c r="F582" s="283"/>
      <c r="G582" s="283"/>
      <c r="H582" s="283"/>
      <c r="I582" s="283"/>
      <c r="J582" s="283"/>
      <c r="K582" s="340"/>
      <c r="L582" s="283"/>
      <c r="M582" s="283"/>
      <c r="N582" s="283"/>
      <c r="O582" s="283"/>
      <c r="P582" s="283"/>
      <c r="Q582" s="340"/>
      <c r="R582" s="283"/>
      <c r="S582" s="283"/>
      <c r="T582" s="340"/>
      <c r="U582" s="340"/>
      <c r="V582" s="283"/>
      <c r="W582" s="283"/>
      <c r="X582" s="283"/>
      <c r="Y582" s="283"/>
      <c r="Z582" s="283"/>
    </row>
    <row r="583" ht="15.75" customHeight="1">
      <c r="A583" s="340"/>
      <c r="B583" s="340"/>
      <c r="C583" s="283"/>
      <c r="D583" s="283"/>
      <c r="E583" s="283"/>
      <c r="F583" s="283"/>
      <c r="G583" s="283"/>
      <c r="H583" s="283"/>
      <c r="I583" s="283"/>
      <c r="J583" s="283"/>
      <c r="K583" s="340"/>
      <c r="L583" s="283"/>
      <c r="M583" s="283"/>
      <c r="N583" s="283"/>
      <c r="O583" s="283"/>
      <c r="P583" s="283"/>
      <c r="Q583" s="340"/>
      <c r="R583" s="283"/>
      <c r="S583" s="283"/>
      <c r="T583" s="340"/>
      <c r="U583" s="340"/>
      <c r="V583" s="283"/>
      <c r="W583" s="283"/>
      <c r="X583" s="283"/>
      <c r="Y583" s="283"/>
      <c r="Z583" s="283"/>
    </row>
    <row r="584" ht="15.75" customHeight="1">
      <c r="A584" s="340"/>
      <c r="B584" s="340"/>
      <c r="C584" s="283"/>
      <c r="D584" s="283"/>
      <c r="E584" s="283"/>
      <c r="F584" s="283"/>
      <c r="G584" s="283"/>
      <c r="H584" s="283"/>
      <c r="I584" s="283"/>
      <c r="J584" s="283"/>
      <c r="K584" s="340"/>
      <c r="L584" s="283"/>
      <c r="M584" s="283"/>
      <c r="N584" s="283"/>
      <c r="O584" s="283"/>
      <c r="P584" s="283"/>
      <c r="Q584" s="340"/>
      <c r="R584" s="283"/>
      <c r="S584" s="283"/>
      <c r="T584" s="340"/>
      <c r="U584" s="340"/>
      <c r="V584" s="283"/>
      <c r="W584" s="283"/>
      <c r="X584" s="283"/>
      <c r="Y584" s="283"/>
      <c r="Z584" s="283"/>
    </row>
    <row r="585" ht="15.75" customHeight="1">
      <c r="A585" s="340"/>
      <c r="B585" s="340"/>
      <c r="C585" s="283"/>
      <c r="D585" s="283"/>
      <c r="E585" s="283"/>
      <c r="F585" s="283"/>
      <c r="G585" s="283"/>
      <c r="H585" s="283"/>
      <c r="I585" s="283"/>
      <c r="J585" s="283"/>
      <c r="K585" s="340"/>
      <c r="L585" s="283"/>
      <c r="M585" s="283"/>
      <c r="N585" s="283"/>
      <c r="O585" s="283"/>
      <c r="P585" s="283"/>
      <c r="Q585" s="340"/>
      <c r="R585" s="283"/>
      <c r="S585" s="283"/>
      <c r="T585" s="340"/>
      <c r="U585" s="340"/>
      <c r="V585" s="283"/>
      <c r="W585" s="283"/>
      <c r="X585" s="283"/>
      <c r="Y585" s="283"/>
      <c r="Z585" s="283"/>
    </row>
    <row r="586" ht="15.75" customHeight="1">
      <c r="A586" s="340"/>
      <c r="B586" s="340"/>
      <c r="C586" s="283"/>
      <c r="D586" s="283"/>
      <c r="E586" s="283"/>
      <c r="F586" s="283"/>
      <c r="G586" s="283"/>
      <c r="H586" s="283"/>
      <c r="I586" s="283"/>
      <c r="J586" s="283"/>
      <c r="K586" s="340"/>
      <c r="L586" s="283"/>
      <c r="M586" s="283"/>
      <c r="N586" s="283"/>
      <c r="O586" s="283"/>
      <c r="P586" s="283"/>
      <c r="Q586" s="340"/>
      <c r="R586" s="283"/>
      <c r="S586" s="283"/>
      <c r="T586" s="340"/>
      <c r="U586" s="340"/>
      <c r="V586" s="283"/>
      <c r="W586" s="283"/>
      <c r="X586" s="283"/>
      <c r="Y586" s="283"/>
      <c r="Z586" s="283"/>
    </row>
    <row r="587" ht="15.75" customHeight="1">
      <c r="A587" s="340"/>
      <c r="B587" s="340"/>
      <c r="C587" s="283"/>
      <c r="D587" s="283"/>
      <c r="E587" s="283"/>
      <c r="F587" s="283"/>
      <c r="G587" s="283"/>
      <c r="H587" s="283"/>
      <c r="I587" s="283"/>
      <c r="J587" s="283"/>
      <c r="K587" s="340"/>
      <c r="L587" s="283"/>
      <c r="M587" s="283"/>
      <c r="N587" s="283"/>
      <c r="O587" s="283"/>
      <c r="P587" s="283"/>
      <c r="Q587" s="340"/>
      <c r="R587" s="283"/>
      <c r="S587" s="283"/>
      <c r="T587" s="340"/>
      <c r="U587" s="340"/>
      <c r="V587" s="283"/>
      <c r="W587" s="283"/>
      <c r="X587" s="283"/>
      <c r="Y587" s="283"/>
      <c r="Z587" s="283"/>
    </row>
    <row r="588" ht="15.75" customHeight="1">
      <c r="A588" s="340"/>
      <c r="B588" s="340"/>
      <c r="C588" s="283"/>
      <c r="D588" s="283"/>
      <c r="E588" s="283"/>
      <c r="F588" s="283"/>
      <c r="G588" s="283"/>
      <c r="H588" s="283"/>
      <c r="I588" s="283"/>
      <c r="J588" s="283"/>
      <c r="K588" s="340"/>
      <c r="L588" s="283"/>
      <c r="M588" s="283"/>
      <c r="N588" s="283"/>
      <c r="O588" s="283"/>
      <c r="P588" s="283"/>
      <c r="Q588" s="340"/>
      <c r="R588" s="283"/>
      <c r="S588" s="283"/>
      <c r="T588" s="340"/>
      <c r="U588" s="340"/>
      <c r="V588" s="283"/>
      <c r="W588" s="283"/>
      <c r="X588" s="283"/>
      <c r="Y588" s="283"/>
      <c r="Z588" s="283"/>
    </row>
    <row r="589" ht="15.75" customHeight="1">
      <c r="A589" s="340"/>
      <c r="B589" s="340"/>
      <c r="C589" s="283"/>
      <c r="D589" s="283"/>
      <c r="E589" s="283"/>
      <c r="F589" s="283"/>
      <c r="G589" s="283"/>
      <c r="H589" s="283"/>
      <c r="I589" s="283"/>
      <c r="J589" s="283"/>
      <c r="K589" s="340"/>
      <c r="L589" s="283"/>
      <c r="M589" s="283"/>
      <c r="N589" s="283"/>
      <c r="O589" s="283"/>
      <c r="P589" s="283"/>
      <c r="Q589" s="340"/>
      <c r="R589" s="283"/>
      <c r="S589" s="283"/>
      <c r="T589" s="340"/>
      <c r="U589" s="340"/>
      <c r="V589" s="283"/>
      <c r="W589" s="283"/>
      <c r="X589" s="283"/>
      <c r="Y589" s="283"/>
      <c r="Z589" s="283"/>
    </row>
    <row r="590" ht="15.75" customHeight="1">
      <c r="A590" s="340"/>
      <c r="B590" s="340"/>
      <c r="C590" s="283"/>
      <c r="D590" s="283"/>
      <c r="E590" s="283"/>
      <c r="F590" s="283"/>
      <c r="G590" s="283"/>
      <c r="H590" s="283"/>
      <c r="I590" s="283"/>
      <c r="J590" s="283"/>
      <c r="K590" s="340"/>
      <c r="L590" s="283"/>
      <c r="M590" s="283"/>
      <c r="N590" s="283"/>
      <c r="O590" s="283"/>
      <c r="P590" s="283"/>
      <c r="Q590" s="340"/>
      <c r="R590" s="283"/>
      <c r="S590" s="283"/>
      <c r="T590" s="340"/>
      <c r="U590" s="340"/>
      <c r="V590" s="283"/>
      <c r="W590" s="283"/>
      <c r="X590" s="283"/>
      <c r="Y590" s="283"/>
      <c r="Z590" s="283"/>
    </row>
    <row r="591" ht="15.75" customHeight="1">
      <c r="A591" s="340"/>
      <c r="B591" s="340"/>
      <c r="C591" s="283"/>
      <c r="D591" s="283"/>
      <c r="E591" s="283"/>
      <c r="F591" s="283"/>
      <c r="G591" s="283"/>
      <c r="H591" s="283"/>
      <c r="I591" s="283"/>
      <c r="J591" s="283"/>
      <c r="K591" s="340"/>
      <c r="L591" s="283"/>
      <c r="M591" s="283"/>
      <c r="N591" s="283"/>
      <c r="O591" s="283"/>
      <c r="P591" s="283"/>
      <c r="Q591" s="340"/>
      <c r="R591" s="283"/>
      <c r="S591" s="283"/>
      <c r="T591" s="340"/>
      <c r="U591" s="340"/>
      <c r="V591" s="283"/>
      <c r="W591" s="283"/>
      <c r="X591" s="283"/>
      <c r="Y591" s="283"/>
      <c r="Z591" s="283"/>
    </row>
    <row r="592" ht="15.75" customHeight="1">
      <c r="A592" s="340"/>
      <c r="B592" s="340"/>
      <c r="C592" s="283"/>
      <c r="D592" s="283"/>
      <c r="E592" s="283"/>
      <c r="F592" s="283"/>
      <c r="G592" s="283"/>
      <c r="H592" s="283"/>
      <c r="I592" s="283"/>
      <c r="J592" s="283"/>
      <c r="K592" s="340"/>
      <c r="L592" s="283"/>
      <c r="M592" s="283"/>
      <c r="N592" s="283"/>
      <c r="O592" s="283"/>
      <c r="P592" s="283"/>
      <c r="Q592" s="340"/>
      <c r="R592" s="283"/>
      <c r="S592" s="283"/>
      <c r="T592" s="340"/>
      <c r="U592" s="340"/>
      <c r="V592" s="283"/>
      <c r="W592" s="283"/>
      <c r="X592" s="283"/>
      <c r="Y592" s="283"/>
      <c r="Z592" s="283"/>
    </row>
    <row r="593" ht="15.75" customHeight="1">
      <c r="A593" s="340"/>
      <c r="B593" s="340"/>
      <c r="C593" s="283"/>
      <c r="D593" s="283"/>
      <c r="E593" s="283"/>
      <c r="F593" s="283"/>
      <c r="G593" s="283"/>
      <c r="H593" s="283"/>
      <c r="I593" s="283"/>
      <c r="J593" s="283"/>
      <c r="K593" s="340"/>
      <c r="L593" s="283"/>
      <c r="M593" s="283"/>
      <c r="N593" s="283"/>
      <c r="O593" s="283"/>
      <c r="P593" s="283"/>
      <c r="Q593" s="340"/>
      <c r="R593" s="283"/>
      <c r="S593" s="283"/>
      <c r="T593" s="340"/>
      <c r="U593" s="340"/>
      <c r="V593" s="283"/>
      <c r="W593" s="283"/>
      <c r="X593" s="283"/>
      <c r="Y593" s="283"/>
      <c r="Z593" s="283"/>
    </row>
    <row r="594" ht="15.75" customHeight="1">
      <c r="A594" s="340"/>
      <c r="B594" s="340"/>
      <c r="C594" s="283"/>
      <c r="D594" s="283"/>
      <c r="E594" s="283"/>
      <c r="F594" s="283"/>
      <c r="G594" s="283"/>
      <c r="H594" s="283"/>
      <c r="I594" s="283"/>
      <c r="J594" s="283"/>
      <c r="K594" s="340"/>
      <c r="L594" s="283"/>
      <c r="M594" s="283"/>
      <c r="N594" s="283"/>
      <c r="O594" s="283"/>
      <c r="P594" s="283"/>
      <c r="Q594" s="340"/>
      <c r="R594" s="283"/>
      <c r="S594" s="283"/>
      <c r="T594" s="340"/>
      <c r="U594" s="340"/>
      <c r="V594" s="283"/>
      <c r="W594" s="283"/>
      <c r="X594" s="283"/>
      <c r="Y594" s="283"/>
      <c r="Z594" s="283"/>
    </row>
    <row r="595" ht="15.75" customHeight="1">
      <c r="A595" s="340"/>
      <c r="B595" s="340"/>
      <c r="C595" s="283"/>
      <c r="D595" s="283"/>
      <c r="E595" s="283"/>
      <c r="F595" s="283"/>
      <c r="G595" s="283"/>
      <c r="H595" s="283"/>
      <c r="I595" s="283"/>
      <c r="J595" s="283"/>
      <c r="K595" s="340"/>
      <c r="L595" s="283"/>
      <c r="M595" s="283"/>
      <c r="N595" s="283"/>
      <c r="O595" s="283"/>
      <c r="P595" s="283"/>
      <c r="Q595" s="340"/>
      <c r="R595" s="283"/>
      <c r="S595" s="283"/>
      <c r="T595" s="340"/>
      <c r="U595" s="340"/>
      <c r="V595" s="283"/>
      <c r="W595" s="283"/>
      <c r="X595" s="283"/>
      <c r="Y595" s="283"/>
      <c r="Z595" s="283"/>
    </row>
    <row r="596" ht="15.75" customHeight="1">
      <c r="A596" s="340"/>
      <c r="B596" s="340"/>
      <c r="C596" s="283"/>
      <c r="D596" s="283"/>
      <c r="E596" s="283"/>
      <c r="F596" s="283"/>
      <c r="G596" s="283"/>
      <c r="H596" s="283"/>
      <c r="I596" s="283"/>
      <c r="J596" s="283"/>
      <c r="K596" s="340"/>
      <c r="L596" s="283"/>
      <c r="M596" s="283"/>
      <c r="N596" s="283"/>
      <c r="O596" s="283"/>
      <c r="P596" s="283"/>
      <c r="Q596" s="340"/>
      <c r="R596" s="283"/>
      <c r="S596" s="283"/>
      <c r="T596" s="340"/>
      <c r="U596" s="340"/>
      <c r="V596" s="283"/>
      <c r="W596" s="283"/>
      <c r="X596" s="283"/>
      <c r="Y596" s="283"/>
      <c r="Z596" s="283"/>
    </row>
    <row r="597" ht="15.75" customHeight="1">
      <c r="A597" s="340"/>
      <c r="B597" s="340"/>
      <c r="C597" s="283"/>
      <c r="D597" s="283"/>
      <c r="E597" s="283"/>
      <c r="F597" s="283"/>
      <c r="G597" s="283"/>
      <c r="H597" s="283"/>
      <c r="I597" s="283"/>
      <c r="J597" s="283"/>
      <c r="K597" s="340"/>
      <c r="L597" s="283"/>
      <c r="M597" s="283"/>
      <c r="N597" s="283"/>
      <c r="O597" s="283"/>
      <c r="P597" s="283"/>
      <c r="Q597" s="340"/>
      <c r="R597" s="283"/>
      <c r="S597" s="283"/>
      <c r="T597" s="340"/>
      <c r="U597" s="340"/>
      <c r="V597" s="283"/>
      <c r="W597" s="283"/>
      <c r="X597" s="283"/>
      <c r="Y597" s="283"/>
      <c r="Z597" s="283"/>
    </row>
    <row r="598" ht="15.75" customHeight="1">
      <c r="A598" s="340"/>
      <c r="B598" s="340"/>
      <c r="C598" s="283"/>
      <c r="D598" s="283"/>
      <c r="E598" s="283"/>
      <c r="F598" s="283"/>
      <c r="G598" s="283"/>
      <c r="H598" s="283"/>
      <c r="I598" s="283"/>
      <c r="J598" s="283"/>
      <c r="K598" s="340"/>
      <c r="L598" s="283"/>
      <c r="M598" s="283"/>
      <c r="N598" s="283"/>
      <c r="O598" s="283"/>
      <c r="P598" s="283"/>
      <c r="Q598" s="340"/>
      <c r="R598" s="283"/>
      <c r="S598" s="283"/>
      <c r="T598" s="340"/>
      <c r="U598" s="340"/>
      <c r="V598" s="283"/>
      <c r="W598" s="283"/>
      <c r="X598" s="283"/>
      <c r="Y598" s="283"/>
      <c r="Z598" s="283"/>
    </row>
    <row r="599" ht="15.75" customHeight="1">
      <c r="A599" s="340"/>
      <c r="B599" s="340"/>
      <c r="C599" s="283"/>
      <c r="D599" s="283"/>
      <c r="E599" s="283"/>
      <c r="F599" s="283"/>
      <c r="G599" s="283"/>
      <c r="H599" s="283"/>
      <c r="I599" s="283"/>
      <c r="J599" s="283"/>
      <c r="K599" s="340"/>
      <c r="L599" s="283"/>
      <c r="M599" s="283"/>
      <c r="N599" s="283"/>
      <c r="O599" s="283"/>
      <c r="P599" s="283"/>
      <c r="Q599" s="340"/>
      <c r="R599" s="283"/>
      <c r="S599" s="283"/>
      <c r="T599" s="340"/>
      <c r="U599" s="340"/>
      <c r="V599" s="283"/>
      <c r="W599" s="283"/>
      <c r="X599" s="283"/>
      <c r="Y599" s="283"/>
      <c r="Z599" s="283"/>
    </row>
    <row r="600" ht="15.75" customHeight="1">
      <c r="A600" s="340"/>
      <c r="B600" s="340"/>
      <c r="C600" s="283"/>
      <c r="D600" s="283"/>
      <c r="E600" s="283"/>
      <c r="F600" s="283"/>
      <c r="G600" s="283"/>
      <c r="H600" s="283"/>
      <c r="I600" s="283"/>
      <c r="J600" s="283"/>
      <c r="K600" s="340"/>
      <c r="L600" s="283"/>
      <c r="M600" s="283"/>
      <c r="N600" s="283"/>
      <c r="O600" s="283"/>
      <c r="P600" s="283"/>
      <c r="Q600" s="340"/>
      <c r="R600" s="283"/>
      <c r="S600" s="283"/>
      <c r="T600" s="340"/>
      <c r="U600" s="340"/>
      <c r="V600" s="283"/>
      <c r="W600" s="283"/>
      <c r="X600" s="283"/>
      <c r="Y600" s="283"/>
      <c r="Z600" s="283"/>
    </row>
    <row r="601" ht="15.75" customHeight="1">
      <c r="A601" s="340"/>
      <c r="B601" s="340"/>
      <c r="C601" s="283"/>
      <c r="D601" s="283"/>
      <c r="E601" s="283"/>
      <c r="F601" s="283"/>
      <c r="G601" s="283"/>
      <c r="H601" s="283"/>
      <c r="I601" s="283"/>
      <c r="J601" s="283"/>
      <c r="K601" s="340"/>
      <c r="L601" s="283"/>
      <c r="M601" s="283"/>
      <c r="N601" s="283"/>
      <c r="O601" s="283"/>
      <c r="P601" s="283"/>
      <c r="Q601" s="340"/>
      <c r="R601" s="283"/>
      <c r="S601" s="283"/>
      <c r="T601" s="340"/>
      <c r="U601" s="340"/>
      <c r="V601" s="283"/>
      <c r="W601" s="283"/>
      <c r="X601" s="283"/>
      <c r="Y601" s="283"/>
      <c r="Z601" s="283"/>
    </row>
    <row r="602" ht="15.75" customHeight="1">
      <c r="A602" s="340"/>
      <c r="B602" s="340"/>
      <c r="C602" s="283"/>
      <c r="D602" s="283"/>
      <c r="E602" s="283"/>
      <c r="F602" s="283"/>
      <c r="G602" s="283"/>
      <c r="H602" s="283"/>
      <c r="I602" s="283"/>
      <c r="J602" s="283"/>
      <c r="K602" s="340"/>
      <c r="L602" s="283"/>
      <c r="M602" s="283"/>
      <c r="N602" s="283"/>
      <c r="O602" s="283"/>
      <c r="P602" s="283"/>
      <c r="Q602" s="340"/>
      <c r="R602" s="283"/>
      <c r="S602" s="283"/>
      <c r="T602" s="340"/>
      <c r="U602" s="340"/>
      <c r="V602" s="283"/>
      <c r="W602" s="283"/>
      <c r="X602" s="283"/>
      <c r="Y602" s="283"/>
      <c r="Z602" s="283"/>
    </row>
    <row r="603" ht="15.75" customHeight="1">
      <c r="A603" s="340"/>
      <c r="B603" s="340"/>
      <c r="C603" s="283"/>
      <c r="D603" s="283"/>
      <c r="E603" s="283"/>
      <c r="F603" s="283"/>
      <c r="G603" s="283"/>
      <c r="H603" s="283"/>
      <c r="I603" s="283"/>
      <c r="J603" s="283"/>
      <c r="K603" s="340"/>
      <c r="L603" s="283"/>
      <c r="M603" s="283"/>
      <c r="N603" s="283"/>
      <c r="O603" s="283"/>
      <c r="P603" s="283"/>
      <c r="Q603" s="340"/>
      <c r="R603" s="283"/>
      <c r="S603" s="283"/>
      <c r="T603" s="340"/>
      <c r="U603" s="340"/>
      <c r="V603" s="283"/>
      <c r="W603" s="283"/>
      <c r="X603" s="283"/>
      <c r="Y603" s="283"/>
      <c r="Z603" s="283"/>
    </row>
    <row r="604" ht="15.75" customHeight="1">
      <c r="A604" s="340"/>
      <c r="B604" s="340"/>
      <c r="C604" s="283"/>
      <c r="D604" s="283"/>
      <c r="E604" s="283"/>
      <c r="F604" s="283"/>
      <c r="G604" s="283"/>
      <c r="H604" s="283"/>
      <c r="I604" s="283"/>
      <c r="J604" s="283"/>
      <c r="K604" s="340"/>
      <c r="L604" s="283"/>
      <c r="M604" s="283"/>
      <c r="N604" s="283"/>
      <c r="O604" s="283"/>
      <c r="P604" s="283"/>
      <c r="Q604" s="340"/>
      <c r="R604" s="283"/>
      <c r="S604" s="283"/>
      <c r="T604" s="340"/>
      <c r="U604" s="340"/>
      <c r="V604" s="283"/>
      <c r="W604" s="283"/>
      <c r="X604" s="283"/>
      <c r="Y604" s="283"/>
      <c r="Z604" s="283"/>
    </row>
    <row r="605" ht="15.75" customHeight="1">
      <c r="A605" s="340"/>
      <c r="B605" s="340"/>
      <c r="C605" s="283"/>
      <c r="D605" s="283"/>
      <c r="E605" s="283"/>
      <c r="F605" s="283"/>
      <c r="G605" s="283"/>
      <c r="H605" s="283"/>
      <c r="I605" s="283"/>
      <c r="J605" s="283"/>
      <c r="K605" s="340"/>
      <c r="L605" s="283"/>
      <c r="M605" s="283"/>
      <c r="N605" s="283"/>
      <c r="O605" s="283"/>
      <c r="P605" s="283"/>
      <c r="Q605" s="340"/>
      <c r="R605" s="283"/>
      <c r="S605" s="283"/>
      <c r="T605" s="340"/>
      <c r="U605" s="340"/>
      <c r="V605" s="283"/>
      <c r="W605" s="283"/>
      <c r="X605" s="283"/>
      <c r="Y605" s="283"/>
      <c r="Z605" s="283"/>
    </row>
    <row r="606" ht="15.75" customHeight="1">
      <c r="A606" s="340"/>
      <c r="B606" s="340"/>
      <c r="C606" s="283"/>
      <c r="D606" s="283"/>
      <c r="E606" s="283"/>
      <c r="F606" s="283"/>
      <c r="G606" s="283"/>
      <c r="H606" s="283"/>
      <c r="I606" s="283"/>
      <c r="J606" s="283"/>
      <c r="K606" s="340"/>
      <c r="L606" s="283"/>
      <c r="M606" s="283"/>
      <c r="N606" s="283"/>
      <c r="O606" s="283"/>
      <c r="P606" s="283"/>
      <c r="Q606" s="340"/>
      <c r="R606" s="283"/>
      <c r="S606" s="283"/>
      <c r="T606" s="340"/>
      <c r="U606" s="340"/>
      <c r="V606" s="283"/>
      <c r="W606" s="283"/>
      <c r="X606" s="283"/>
      <c r="Y606" s="283"/>
      <c r="Z606" s="283"/>
    </row>
    <row r="607" ht="15.75" customHeight="1">
      <c r="A607" s="340"/>
      <c r="B607" s="340"/>
      <c r="C607" s="283"/>
      <c r="D607" s="283"/>
      <c r="E607" s="283"/>
      <c r="F607" s="283"/>
      <c r="G607" s="283"/>
      <c r="H607" s="283"/>
      <c r="I607" s="283"/>
      <c r="J607" s="283"/>
      <c r="K607" s="340"/>
      <c r="L607" s="283"/>
      <c r="M607" s="283"/>
      <c r="N607" s="283"/>
      <c r="O607" s="283"/>
      <c r="P607" s="283"/>
      <c r="Q607" s="340"/>
      <c r="R607" s="283"/>
      <c r="S607" s="283"/>
      <c r="T607" s="340"/>
      <c r="U607" s="340"/>
      <c r="V607" s="283"/>
      <c r="W607" s="283"/>
      <c r="X607" s="283"/>
      <c r="Y607" s="283"/>
      <c r="Z607" s="283"/>
    </row>
    <row r="608" ht="15.75" customHeight="1">
      <c r="A608" s="340"/>
      <c r="B608" s="340"/>
      <c r="C608" s="283"/>
      <c r="D608" s="283"/>
      <c r="E608" s="283"/>
      <c r="F608" s="283"/>
      <c r="G608" s="283"/>
      <c r="H608" s="283"/>
      <c r="I608" s="283"/>
      <c r="J608" s="283"/>
      <c r="K608" s="340"/>
      <c r="L608" s="283"/>
      <c r="M608" s="283"/>
      <c r="N608" s="283"/>
      <c r="O608" s="283"/>
      <c r="P608" s="283"/>
      <c r="Q608" s="340"/>
      <c r="R608" s="283"/>
      <c r="S608" s="283"/>
      <c r="T608" s="340"/>
      <c r="U608" s="340"/>
      <c r="V608" s="283"/>
      <c r="W608" s="283"/>
      <c r="X608" s="283"/>
      <c r="Y608" s="283"/>
      <c r="Z608" s="283"/>
    </row>
    <row r="609" ht="15.75" customHeight="1">
      <c r="A609" s="340"/>
      <c r="B609" s="340"/>
      <c r="C609" s="283"/>
      <c r="D609" s="283"/>
      <c r="E609" s="283"/>
      <c r="F609" s="283"/>
      <c r="G609" s="283"/>
      <c r="H609" s="283"/>
      <c r="I609" s="283"/>
      <c r="J609" s="283"/>
      <c r="K609" s="340"/>
      <c r="L609" s="283"/>
      <c r="M609" s="283"/>
      <c r="N609" s="283"/>
      <c r="O609" s="283"/>
      <c r="P609" s="283"/>
      <c r="Q609" s="340"/>
      <c r="R609" s="283"/>
      <c r="S609" s="283"/>
      <c r="T609" s="340"/>
      <c r="U609" s="340"/>
      <c r="V609" s="283"/>
      <c r="W609" s="283"/>
      <c r="X609" s="283"/>
      <c r="Y609" s="283"/>
      <c r="Z609" s="283"/>
    </row>
    <row r="610" ht="15.75" customHeight="1">
      <c r="A610" s="340"/>
      <c r="B610" s="340"/>
      <c r="C610" s="283"/>
      <c r="D610" s="283"/>
      <c r="E610" s="283"/>
      <c r="F610" s="283"/>
      <c r="G610" s="283"/>
      <c r="H610" s="283"/>
      <c r="I610" s="283"/>
      <c r="J610" s="283"/>
      <c r="K610" s="340"/>
      <c r="L610" s="283"/>
      <c r="M610" s="283"/>
      <c r="N610" s="283"/>
      <c r="O610" s="283"/>
      <c r="P610" s="283"/>
      <c r="Q610" s="340"/>
      <c r="R610" s="283"/>
      <c r="S610" s="283"/>
      <c r="T610" s="340"/>
      <c r="U610" s="340"/>
      <c r="V610" s="283"/>
      <c r="W610" s="283"/>
      <c r="X610" s="283"/>
      <c r="Y610" s="283"/>
      <c r="Z610" s="283"/>
    </row>
    <row r="611" ht="15.75" customHeight="1">
      <c r="A611" s="340"/>
      <c r="B611" s="340"/>
      <c r="C611" s="283"/>
      <c r="D611" s="283"/>
      <c r="E611" s="283"/>
      <c r="F611" s="283"/>
      <c r="G611" s="283"/>
      <c r="H611" s="283"/>
      <c r="I611" s="283"/>
      <c r="J611" s="283"/>
      <c r="K611" s="340"/>
      <c r="L611" s="283"/>
      <c r="M611" s="283"/>
      <c r="N611" s="283"/>
      <c r="O611" s="283"/>
      <c r="P611" s="283"/>
      <c r="Q611" s="340"/>
      <c r="R611" s="283"/>
      <c r="S611" s="283"/>
      <c r="T611" s="340"/>
      <c r="U611" s="340"/>
      <c r="V611" s="283"/>
      <c r="W611" s="283"/>
      <c r="X611" s="283"/>
      <c r="Y611" s="283"/>
      <c r="Z611" s="283"/>
    </row>
    <row r="612" ht="15.75" customHeight="1">
      <c r="A612" s="340"/>
      <c r="B612" s="340"/>
      <c r="C612" s="283"/>
      <c r="D612" s="283"/>
      <c r="E612" s="283"/>
      <c r="F612" s="283"/>
      <c r="G612" s="283"/>
      <c r="H612" s="283"/>
      <c r="I612" s="283"/>
      <c r="J612" s="283"/>
      <c r="K612" s="340"/>
      <c r="L612" s="283"/>
      <c r="M612" s="283"/>
      <c r="N612" s="283"/>
      <c r="O612" s="283"/>
      <c r="P612" s="283"/>
      <c r="Q612" s="340"/>
      <c r="R612" s="283"/>
      <c r="S612" s="283"/>
      <c r="T612" s="340"/>
      <c r="U612" s="340"/>
      <c r="V612" s="283"/>
      <c r="W612" s="283"/>
      <c r="X612" s="283"/>
      <c r="Y612" s="283"/>
      <c r="Z612" s="283"/>
    </row>
    <row r="613" ht="15.75" customHeight="1">
      <c r="A613" s="340"/>
      <c r="B613" s="340"/>
      <c r="C613" s="283"/>
      <c r="D613" s="283"/>
      <c r="E613" s="283"/>
      <c r="F613" s="283"/>
      <c r="G613" s="283"/>
      <c r="H613" s="283"/>
      <c r="I613" s="283"/>
      <c r="J613" s="283"/>
      <c r="K613" s="340"/>
      <c r="L613" s="283"/>
      <c r="M613" s="283"/>
      <c r="N613" s="283"/>
      <c r="O613" s="283"/>
      <c r="P613" s="283"/>
      <c r="Q613" s="340"/>
      <c r="R613" s="283"/>
      <c r="S613" s="283"/>
      <c r="T613" s="340"/>
      <c r="U613" s="340"/>
      <c r="V613" s="283"/>
      <c r="W613" s="283"/>
      <c r="X613" s="283"/>
      <c r="Y613" s="283"/>
      <c r="Z613" s="283"/>
    </row>
    <row r="614" ht="15.75" customHeight="1">
      <c r="A614" s="340"/>
      <c r="B614" s="340"/>
      <c r="C614" s="283"/>
      <c r="D614" s="283"/>
      <c r="E614" s="283"/>
      <c r="F614" s="283"/>
      <c r="G614" s="283"/>
      <c r="H614" s="283"/>
      <c r="I614" s="283"/>
      <c r="J614" s="283"/>
      <c r="K614" s="340"/>
      <c r="L614" s="283"/>
      <c r="M614" s="283"/>
      <c r="N614" s="283"/>
      <c r="O614" s="283"/>
      <c r="P614" s="283"/>
      <c r="Q614" s="340"/>
      <c r="R614" s="283"/>
      <c r="S614" s="283"/>
      <c r="T614" s="340"/>
      <c r="U614" s="340"/>
      <c r="V614" s="283"/>
      <c r="W614" s="283"/>
      <c r="X614" s="283"/>
      <c r="Y614" s="283"/>
      <c r="Z614" s="283"/>
    </row>
    <row r="615" ht="15.75" customHeight="1">
      <c r="A615" s="340"/>
      <c r="B615" s="340"/>
      <c r="C615" s="283"/>
      <c r="D615" s="283"/>
      <c r="E615" s="283"/>
      <c r="F615" s="283"/>
      <c r="G615" s="283"/>
      <c r="H615" s="283"/>
      <c r="I615" s="283"/>
      <c r="J615" s="283"/>
      <c r="K615" s="340"/>
      <c r="L615" s="283"/>
      <c r="M615" s="283"/>
      <c r="N615" s="283"/>
      <c r="O615" s="283"/>
      <c r="P615" s="283"/>
      <c r="Q615" s="340"/>
      <c r="R615" s="283"/>
      <c r="S615" s="283"/>
      <c r="T615" s="340"/>
      <c r="U615" s="340"/>
      <c r="V615" s="283"/>
      <c r="W615" s="283"/>
      <c r="X615" s="283"/>
      <c r="Y615" s="283"/>
      <c r="Z615" s="283"/>
    </row>
    <row r="616" ht="15.75" customHeight="1">
      <c r="A616" s="340"/>
      <c r="B616" s="340"/>
      <c r="C616" s="283"/>
      <c r="D616" s="283"/>
      <c r="E616" s="283"/>
      <c r="F616" s="283"/>
      <c r="G616" s="283"/>
      <c r="H616" s="283"/>
      <c r="I616" s="283"/>
      <c r="J616" s="283"/>
      <c r="K616" s="340"/>
      <c r="L616" s="283"/>
      <c r="M616" s="283"/>
      <c r="N616" s="283"/>
      <c r="O616" s="283"/>
      <c r="P616" s="283"/>
      <c r="Q616" s="340"/>
      <c r="R616" s="283"/>
      <c r="S616" s="283"/>
      <c r="T616" s="340"/>
      <c r="U616" s="340"/>
      <c r="V616" s="283"/>
      <c r="W616" s="283"/>
      <c r="X616" s="283"/>
      <c r="Y616" s="283"/>
      <c r="Z616" s="283"/>
    </row>
    <row r="617" ht="15.75" customHeight="1">
      <c r="A617" s="340"/>
      <c r="B617" s="340"/>
      <c r="C617" s="283"/>
      <c r="D617" s="283"/>
      <c r="E617" s="283"/>
      <c r="F617" s="283"/>
      <c r="G617" s="283"/>
      <c r="H617" s="283"/>
      <c r="I617" s="283"/>
      <c r="J617" s="283"/>
      <c r="K617" s="340"/>
      <c r="L617" s="283"/>
      <c r="M617" s="283"/>
      <c r="N617" s="283"/>
      <c r="O617" s="283"/>
      <c r="P617" s="283"/>
      <c r="Q617" s="340"/>
      <c r="R617" s="283"/>
      <c r="S617" s="283"/>
      <c r="T617" s="340"/>
      <c r="U617" s="340"/>
      <c r="V617" s="283"/>
      <c r="W617" s="283"/>
      <c r="X617" s="283"/>
      <c r="Y617" s="283"/>
      <c r="Z617" s="283"/>
    </row>
    <row r="618" ht="15.75" customHeight="1">
      <c r="A618" s="340"/>
      <c r="B618" s="340"/>
      <c r="C618" s="283"/>
      <c r="D618" s="283"/>
      <c r="E618" s="283"/>
      <c r="F618" s="283"/>
      <c r="G618" s="283"/>
      <c r="H618" s="283"/>
      <c r="I618" s="283"/>
      <c r="J618" s="283"/>
      <c r="K618" s="340"/>
      <c r="L618" s="283"/>
      <c r="M618" s="283"/>
      <c r="N618" s="283"/>
      <c r="O618" s="283"/>
      <c r="P618" s="283"/>
      <c r="Q618" s="340"/>
      <c r="R618" s="283"/>
      <c r="S618" s="283"/>
      <c r="T618" s="340"/>
      <c r="U618" s="340"/>
      <c r="V618" s="283"/>
      <c r="W618" s="283"/>
      <c r="X618" s="283"/>
      <c r="Y618" s="283"/>
      <c r="Z618" s="283"/>
    </row>
    <row r="619" ht="15.75" customHeight="1">
      <c r="A619" s="340"/>
      <c r="B619" s="340"/>
      <c r="C619" s="283"/>
      <c r="D619" s="283"/>
      <c r="E619" s="283"/>
      <c r="F619" s="283"/>
      <c r="G619" s="283"/>
      <c r="H619" s="283"/>
      <c r="I619" s="283"/>
      <c r="J619" s="283"/>
      <c r="K619" s="340"/>
      <c r="L619" s="283"/>
      <c r="M619" s="283"/>
      <c r="N619" s="283"/>
      <c r="O619" s="283"/>
      <c r="P619" s="283"/>
      <c r="Q619" s="340"/>
      <c r="R619" s="283"/>
      <c r="S619" s="283"/>
      <c r="T619" s="340"/>
      <c r="U619" s="340"/>
      <c r="V619" s="283"/>
      <c r="W619" s="283"/>
      <c r="X619" s="283"/>
      <c r="Y619" s="283"/>
      <c r="Z619" s="283"/>
    </row>
    <row r="620" ht="15.75" customHeight="1">
      <c r="A620" s="340"/>
      <c r="B620" s="340"/>
      <c r="C620" s="283"/>
      <c r="D620" s="283"/>
      <c r="E620" s="283"/>
      <c r="F620" s="283"/>
      <c r="G620" s="283"/>
      <c r="H620" s="283"/>
      <c r="I620" s="283"/>
      <c r="J620" s="283"/>
      <c r="K620" s="340"/>
      <c r="L620" s="283"/>
      <c r="M620" s="283"/>
      <c r="N620" s="283"/>
      <c r="O620" s="283"/>
      <c r="P620" s="283"/>
      <c r="Q620" s="340"/>
      <c r="R620" s="283"/>
      <c r="S620" s="283"/>
      <c r="T620" s="340"/>
      <c r="U620" s="340"/>
      <c r="V620" s="283"/>
      <c r="W620" s="283"/>
      <c r="X620" s="283"/>
      <c r="Y620" s="283"/>
      <c r="Z620" s="283"/>
    </row>
    <row r="621" ht="15.75" customHeight="1">
      <c r="A621" s="340"/>
      <c r="B621" s="340"/>
      <c r="C621" s="283"/>
      <c r="D621" s="283"/>
      <c r="E621" s="283"/>
      <c r="F621" s="283"/>
      <c r="G621" s="283"/>
      <c r="H621" s="283"/>
      <c r="I621" s="283"/>
      <c r="J621" s="283"/>
      <c r="K621" s="340"/>
      <c r="L621" s="283"/>
      <c r="M621" s="283"/>
      <c r="N621" s="283"/>
      <c r="O621" s="283"/>
      <c r="P621" s="283"/>
      <c r="Q621" s="340"/>
      <c r="R621" s="283"/>
      <c r="S621" s="283"/>
      <c r="T621" s="340"/>
      <c r="U621" s="340"/>
      <c r="V621" s="283"/>
      <c r="W621" s="283"/>
      <c r="X621" s="283"/>
      <c r="Y621" s="283"/>
      <c r="Z621" s="283"/>
    </row>
    <row r="622" ht="15.75" customHeight="1">
      <c r="A622" s="340"/>
      <c r="B622" s="340"/>
      <c r="C622" s="283"/>
      <c r="D622" s="283"/>
      <c r="E622" s="283"/>
      <c r="F622" s="283"/>
      <c r="G622" s="283"/>
      <c r="H622" s="283"/>
      <c r="I622" s="283"/>
      <c r="J622" s="283"/>
      <c r="K622" s="340"/>
      <c r="L622" s="283"/>
      <c r="M622" s="283"/>
      <c r="N622" s="283"/>
      <c r="O622" s="283"/>
      <c r="P622" s="283"/>
      <c r="Q622" s="340"/>
      <c r="R622" s="283"/>
      <c r="S622" s="283"/>
      <c r="T622" s="340"/>
      <c r="U622" s="340"/>
      <c r="V622" s="283"/>
      <c r="W622" s="283"/>
      <c r="X622" s="283"/>
      <c r="Y622" s="283"/>
      <c r="Z622" s="283"/>
    </row>
    <row r="623" ht="15.75" customHeight="1">
      <c r="A623" s="340"/>
      <c r="B623" s="340"/>
      <c r="C623" s="283"/>
      <c r="D623" s="283"/>
      <c r="E623" s="283"/>
      <c r="F623" s="283"/>
      <c r="G623" s="283"/>
      <c r="H623" s="283"/>
      <c r="I623" s="283"/>
      <c r="J623" s="283"/>
      <c r="K623" s="340"/>
      <c r="L623" s="283"/>
      <c r="M623" s="283"/>
      <c r="N623" s="283"/>
      <c r="O623" s="283"/>
      <c r="P623" s="283"/>
      <c r="Q623" s="340"/>
      <c r="R623" s="283"/>
      <c r="S623" s="283"/>
      <c r="T623" s="340"/>
      <c r="U623" s="340"/>
      <c r="V623" s="283"/>
      <c r="W623" s="283"/>
      <c r="X623" s="283"/>
      <c r="Y623" s="283"/>
      <c r="Z623" s="283"/>
    </row>
    <row r="624" ht="15.75" customHeight="1">
      <c r="A624" s="340"/>
      <c r="B624" s="340"/>
      <c r="C624" s="283"/>
      <c r="D624" s="283"/>
      <c r="E624" s="283"/>
      <c r="F624" s="283"/>
      <c r="G624" s="283"/>
      <c r="H624" s="283"/>
      <c r="I624" s="283"/>
      <c r="J624" s="283"/>
      <c r="K624" s="340"/>
      <c r="L624" s="283"/>
      <c r="M624" s="283"/>
      <c r="N624" s="283"/>
      <c r="O624" s="283"/>
      <c r="P624" s="283"/>
      <c r="Q624" s="340"/>
      <c r="R624" s="283"/>
      <c r="S624" s="283"/>
      <c r="T624" s="340"/>
      <c r="U624" s="340"/>
      <c r="V624" s="283"/>
      <c r="W624" s="283"/>
      <c r="X624" s="283"/>
      <c r="Y624" s="283"/>
      <c r="Z624" s="283"/>
    </row>
    <row r="625" ht="15.75" customHeight="1">
      <c r="A625" s="340"/>
      <c r="B625" s="340"/>
      <c r="C625" s="283"/>
      <c r="D625" s="283"/>
      <c r="E625" s="283"/>
      <c r="F625" s="283"/>
      <c r="G625" s="283"/>
      <c r="H625" s="283"/>
      <c r="I625" s="283"/>
      <c r="J625" s="283"/>
      <c r="K625" s="340"/>
      <c r="L625" s="283"/>
      <c r="M625" s="283"/>
      <c r="N625" s="283"/>
      <c r="O625" s="283"/>
      <c r="P625" s="283"/>
      <c r="Q625" s="340"/>
      <c r="R625" s="283"/>
      <c r="S625" s="283"/>
      <c r="T625" s="340"/>
      <c r="U625" s="340"/>
      <c r="V625" s="283"/>
      <c r="W625" s="283"/>
      <c r="X625" s="283"/>
      <c r="Y625" s="283"/>
      <c r="Z625" s="283"/>
    </row>
    <row r="626" ht="15.75" customHeight="1">
      <c r="A626" s="340"/>
      <c r="B626" s="340"/>
      <c r="C626" s="283"/>
      <c r="D626" s="283"/>
      <c r="E626" s="283"/>
      <c r="F626" s="283"/>
      <c r="G626" s="283"/>
      <c r="H626" s="283"/>
      <c r="I626" s="283"/>
      <c r="J626" s="283"/>
      <c r="K626" s="340"/>
      <c r="L626" s="283"/>
      <c r="M626" s="283"/>
      <c r="N626" s="283"/>
      <c r="O626" s="283"/>
      <c r="P626" s="283"/>
      <c r="Q626" s="340"/>
      <c r="R626" s="283"/>
      <c r="S626" s="283"/>
      <c r="T626" s="340"/>
      <c r="U626" s="340"/>
      <c r="V626" s="283"/>
      <c r="W626" s="283"/>
      <c r="X626" s="283"/>
      <c r="Y626" s="283"/>
      <c r="Z626" s="283"/>
    </row>
    <row r="627" ht="15.75" customHeight="1">
      <c r="A627" s="340"/>
      <c r="B627" s="340"/>
      <c r="C627" s="283"/>
      <c r="D627" s="283"/>
      <c r="E627" s="283"/>
      <c r="F627" s="283"/>
      <c r="G627" s="283"/>
      <c r="H627" s="283"/>
      <c r="I627" s="283"/>
      <c r="J627" s="283"/>
      <c r="K627" s="340"/>
      <c r="L627" s="283"/>
      <c r="M627" s="283"/>
      <c r="N627" s="283"/>
      <c r="O627" s="283"/>
      <c r="P627" s="283"/>
      <c r="Q627" s="340"/>
      <c r="R627" s="283"/>
      <c r="S627" s="283"/>
      <c r="T627" s="340"/>
      <c r="U627" s="340"/>
      <c r="V627" s="283"/>
      <c r="W627" s="283"/>
      <c r="X627" s="283"/>
      <c r="Y627" s="283"/>
      <c r="Z627" s="283"/>
    </row>
    <row r="628" ht="15.75" customHeight="1">
      <c r="A628" s="340"/>
      <c r="B628" s="340"/>
      <c r="C628" s="283"/>
      <c r="D628" s="283"/>
      <c r="E628" s="283"/>
      <c r="F628" s="283"/>
      <c r="G628" s="283"/>
      <c r="H628" s="283"/>
      <c r="I628" s="283"/>
      <c r="J628" s="283"/>
      <c r="K628" s="340"/>
      <c r="L628" s="283"/>
      <c r="M628" s="283"/>
      <c r="N628" s="283"/>
      <c r="O628" s="283"/>
      <c r="P628" s="283"/>
      <c r="Q628" s="340"/>
      <c r="R628" s="283"/>
      <c r="S628" s="283"/>
      <c r="T628" s="340"/>
      <c r="U628" s="340"/>
      <c r="V628" s="283"/>
      <c r="W628" s="283"/>
      <c r="X628" s="283"/>
      <c r="Y628" s="283"/>
      <c r="Z628" s="283"/>
    </row>
    <row r="629" ht="15.75" customHeight="1">
      <c r="A629" s="340"/>
      <c r="B629" s="340"/>
      <c r="C629" s="283"/>
      <c r="D629" s="283"/>
      <c r="E629" s="283"/>
      <c r="F629" s="283"/>
      <c r="G629" s="283"/>
      <c r="H629" s="283"/>
      <c r="I629" s="283"/>
      <c r="J629" s="283"/>
      <c r="K629" s="340"/>
      <c r="L629" s="283"/>
      <c r="M629" s="283"/>
      <c r="N629" s="283"/>
      <c r="O629" s="283"/>
      <c r="P629" s="283"/>
      <c r="Q629" s="340"/>
      <c r="R629" s="283"/>
      <c r="S629" s="283"/>
      <c r="T629" s="340"/>
      <c r="U629" s="340"/>
      <c r="V629" s="283"/>
      <c r="W629" s="283"/>
      <c r="X629" s="283"/>
      <c r="Y629" s="283"/>
      <c r="Z629" s="283"/>
    </row>
    <row r="630" ht="15.75" customHeight="1">
      <c r="A630" s="340"/>
      <c r="B630" s="340"/>
      <c r="C630" s="283"/>
      <c r="D630" s="283"/>
      <c r="E630" s="283"/>
      <c r="F630" s="283"/>
      <c r="G630" s="283"/>
      <c r="H630" s="283"/>
      <c r="I630" s="283"/>
      <c r="J630" s="283"/>
      <c r="K630" s="340"/>
      <c r="L630" s="283"/>
      <c r="M630" s="283"/>
      <c r="N630" s="283"/>
      <c r="O630" s="283"/>
      <c r="P630" s="283"/>
      <c r="Q630" s="340"/>
      <c r="R630" s="283"/>
      <c r="S630" s="283"/>
      <c r="T630" s="340"/>
      <c r="U630" s="340"/>
      <c r="V630" s="283"/>
      <c r="W630" s="283"/>
      <c r="X630" s="283"/>
      <c r="Y630" s="283"/>
      <c r="Z630" s="283"/>
    </row>
    <row r="631" ht="15.75" customHeight="1">
      <c r="A631" s="340"/>
      <c r="B631" s="340"/>
      <c r="C631" s="283"/>
      <c r="D631" s="283"/>
      <c r="E631" s="283"/>
      <c r="F631" s="283"/>
      <c r="G631" s="283"/>
      <c r="H631" s="283"/>
      <c r="I631" s="283"/>
      <c r="J631" s="283"/>
      <c r="K631" s="340"/>
      <c r="L631" s="283"/>
      <c r="M631" s="283"/>
      <c r="N631" s="283"/>
      <c r="O631" s="283"/>
      <c r="P631" s="283"/>
      <c r="Q631" s="340"/>
      <c r="R631" s="283"/>
      <c r="S631" s="283"/>
      <c r="T631" s="340"/>
      <c r="U631" s="340"/>
      <c r="V631" s="283"/>
      <c r="W631" s="283"/>
      <c r="X631" s="283"/>
      <c r="Y631" s="283"/>
      <c r="Z631" s="283"/>
    </row>
    <row r="632" ht="15.75" customHeight="1">
      <c r="A632" s="340"/>
      <c r="B632" s="340"/>
      <c r="C632" s="283"/>
      <c r="D632" s="283"/>
      <c r="E632" s="283"/>
      <c r="F632" s="283"/>
      <c r="G632" s="283"/>
      <c r="H632" s="283"/>
      <c r="I632" s="283"/>
      <c r="J632" s="283"/>
      <c r="K632" s="340"/>
      <c r="L632" s="283"/>
      <c r="M632" s="283"/>
      <c r="N632" s="283"/>
      <c r="O632" s="283"/>
      <c r="P632" s="283"/>
      <c r="Q632" s="340"/>
      <c r="R632" s="283"/>
      <c r="S632" s="283"/>
      <c r="T632" s="340"/>
      <c r="U632" s="340"/>
      <c r="V632" s="283"/>
      <c r="W632" s="283"/>
      <c r="X632" s="283"/>
      <c r="Y632" s="283"/>
      <c r="Z632" s="283"/>
    </row>
    <row r="633" ht="15.75" customHeight="1">
      <c r="A633" s="340"/>
      <c r="B633" s="340"/>
      <c r="C633" s="283"/>
      <c r="D633" s="283"/>
      <c r="E633" s="283"/>
      <c r="F633" s="283"/>
      <c r="G633" s="283"/>
      <c r="H633" s="283"/>
      <c r="I633" s="283"/>
      <c r="J633" s="283"/>
      <c r="K633" s="340"/>
      <c r="L633" s="283"/>
      <c r="M633" s="283"/>
      <c r="N633" s="283"/>
      <c r="O633" s="283"/>
      <c r="P633" s="283"/>
      <c r="Q633" s="340"/>
      <c r="R633" s="283"/>
      <c r="S633" s="283"/>
      <c r="T633" s="340"/>
      <c r="U633" s="340"/>
      <c r="V633" s="283"/>
      <c r="W633" s="283"/>
      <c r="X633" s="283"/>
      <c r="Y633" s="283"/>
      <c r="Z633" s="283"/>
    </row>
    <row r="634" ht="15.75" customHeight="1">
      <c r="A634" s="340"/>
      <c r="B634" s="340"/>
      <c r="C634" s="283"/>
      <c r="D634" s="283"/>
      <c r="E634" s="283"/>
      <c r="F634" s="283"/>
      <c r="G634" s="283"/>
      <c r="H634" s="283"/>
      <c r="I634" s="283"/>
      <c r="J634" s="283"/>
      <c r="K634" s="340"/>
      <c r="L634" s="283"/>
      <c r="M634" s="283"/>
      <c r="N634" s="283"/>
      <c r="O634" s="283"/>
      <c r="P634" s="283"/>
      <c r="Q634" s="340"/>
      <c r="R634" s="283"/>
      <c r="S634" s="283"/>
      <c r="T634" s="340"/>
      <c r="U634" s="340"/>
      <c r="V634" s="283"/>
      <c r="W634" s="283"/>
      <c r="X634" s="283"/>
      <c r="Y634" s="283"/>
      <c r="Z634" s="283"/>
    </row>
    <row r="635" ht="15.75" customHeight="1">
      <c r="A635" s="340"/>
      <c r="B635" s="340"/>
      <c r="C635" s="283"/>
      <c r="D635" s="283"/>
      <c r="E635" s="283"/>
      <c r="F635" s="283"/>
      <c r="G635" s="283"/>
      <c r="H635" s="283"/>
      <c r="I635" s="283"/>
      <c r="J635" s="283"/>
      <c r="K635" s="340"/>
      <c r="L635" s="283"/>
      <c r="M635" s="283"/>
      <c r="N635" s="283"/>
      <c r="O635" s="283"/>
      <c r="P635" s="283"/>
      <c r="Q635" s="340"/>
      <c r="R635" s="283"/>
      <c r="S635" s="283"/>
      <c r="T635" s="340"/>
      <c r="U635" s="340"/>
      <c r="V635" s="283"/>
      <c r="W635" s="283"/>
      <c r="X635" s="283"/>
      <c r="Y635" s="283"/>
      <c r="Z635" s="283"/>
    </row>
    <row r="636" ht="15.75" customHeight="1">
      <c r="A636" s="340"/>
      <c r="B636" s="340"/>
      <c r="C636" s="283"/>
      <c r="D636" s="283"/>
      <c r="E636" s="283"/>
      <c r="F636" s="283"/>
      <c r="G636" s="283"/>
      <c r="H636" s="283"/>
      <c r="I636" s="283"/>
      <c r="J636" s="283"/>
      <c r="K636" s="340"/>
      <c r="L636" s="283"/>
      <c r="M636" s="283"/>
      <c r="N636" s="283"/>
      <c r="O636" s="283"/>
      <c r="P636" s="283"/>
      <c r="Q636" s="340"/>
      <c r="R636" s="283"/>
      <c r="S636" s="283"/>
      <c r="T636" s="340"/>
      <c r="U636" s="340"/>
      <c r="V636" s="283"/>
      <c r="W636" s="283"/>
      <c r="X636" s="283"/>
      <c r="Y636" s="283"/>
      <c r="Z636" s="283"/>
    </row>
    <row r="637" ht="15.75" customHeight="1">
      <c r="A637" s="340"/>
      <c r="B637" s="340"/>
      <c r="C637" s="283"/>
      <c r="D637" s="283"/>
      <c r="E637" s="283"/>
      <c r="F637" s="283"/>
      <c r="G637" s="283"/>
      <c r="H637" s="283"/>
      <c r="I637" s="283"/>
      <c r="J637" s="283"/>
      <c r="K637" s="340"/>
      <c r="L637" s="283"/>
      <c r="M637" s="283"/>
      <c r="N637" s="283"/>
      <c r="O637" s="283"/>
      <c r="P637" s="283"/>
      <c r="Q637" s="340"/>
      <c r="R637" s="283"/>
      <c r="S637" s="283"/>
      <c r="T637" s="340"/>
      <c r="U637" s="340"/>
      <c r="V637" s="283"/>
      <c r="W637" s="283"/>
      <c r="X637" s="283"/>
      <c r="Y637" s="283"/>
      <c r="Z637" s="283"/>
    </row>
    <row r="638" ht="15.75" customHeight="1">
      <c r="A638" s="340"/>
      <c r="B638" s="340"/>
      <c r="C638" s="283"/>
      <c r="D638" s="283"/>
      <c r="E638" s="283"/>
      <c r="F638" s="283"/>
      <c r="G638" s="283"/>
      <c r="H638" s="283"/>
      <c r="I638" s="283"/>
      <c r="J638" s="283"/>
      <c r="K638" s="340"/>
      <c r="L638" s="283"/>
      <c r="M638" s="283"/>
      <c r="N638" s="283"/>
      <c r="O638" s="283"/>
      <c r="P638" s="283"/>
      <c r="Q638" s="340"/>
      <c r="R638" s="283"/>
      <c r="S638" s="283"/>
      <c r="T638" s="340"/>
      <c r="U638" s="340"/>
      <c r="V638" s="283"/>
      <c r="W638" s="283"/>
      <c r="X638" s="283"/>
      <c r="Y638" s="283"/>
      <c r="Z638" s="283"/>
    </row>
    <row r="639" ht="15.75" customHeight="1">
      <c r="A639" s="340"/>
      <c r="B639" s="340"/>
      <c r="C639" s="283"/>
      <c r="D639" s="283"/>
      <c r="E639" s="283"/>
      <c r="F639" s="283"/>
      <c r="G639" s="283"/>
      <c r="H639" s="283"/>
      <c r="I639" s="283"/>
      <c r="J639" s="283"/>
      <c r="K639" s="340"/>
      <c r="L639" s="283"/>
      <c r="M639" s="283"/>
      <c r="N639" s="283"/>
      <c r="O639" s="283"/>
      <c r="P639" s="283"/>
      <c r="Q639" s="340"/>
      <c r="R639" s="283"/>
      <c r="S639" s="283"/>
      <c r="T639" s="340"/>
      <c r="U639" s="340"/>
      <c r="V639" s="283"/>
      <c r="W639" s="283"/>
      <c r="X639" s="283"/>
      <c r="Y639" s="283"/>
      <c r="Z639" s="283"/>
    </row>
    <row r="640" ht="15.75" customHeight="1">
      <c r="A640" s="340"/>
      <c r="B640" s="340"/>
      <c r="C640" s="283"/>
      <c r="D640" s="283"/>
      <c r="E640" s="283"/>
      <c r="F640" s="283"/>
      <c r="G640" s="283"/>
      <c r="H640" s="283"/>
      <c r="I640" s="283"/>
      <c r="J640" s="283"/>
      <c r="K640" s="340"/>
      <c r="L640" s="283"/>
      <c r="M640" s="283"/>
      <c r="N640" s="283"/>
      <c r="O640" s="283"/>
      <c r="P640" s="283"/>
      <c r="Q640" s="340"/>
      <c r="R640" s="283"/>
      <c r="S640" s="283"/>
      <c r="T640" s="340"/>
      <c r="U640" s="340"/>
      <c r="V640" s="283"/>
      <c r="W640" s="283"/>
      <c r="X640" s="283"/>
      <c r="Y640" s="283"/>
      <c r="Z640" s="283"/>
    </row>
    <row r="641" ht="15.75" customHeight="1">
      <c r="A641" s="340"/>
      <c r="B641" s="340"/>
      <c r="C641" s="283"/>
      <c r="D641" s="283"/>
      <c r="E641" s="283"/>
      <c r="F641" s="283"/>
      <c r="G641" s="283"/>
      <c r="H641" s="283"/>
      <c r="I641" s="283"/>
      <c r="J641" s="283"/>
      <c r="K641" s="340"/>
      <c r="L641" s="283"/>
      <c r="M641" s="283"/>
      <c r="N641" s="283"/>
      <c r="O641" s="283"/>
      <c r="P641" s="283"/>
      <c r="Q641" s="340"/>
      <c r="R641" s="283"/>
      <c r="S641" s="283"/>
      <c r="T641" s="340"/>
      <c r="U641" s="340"/>
      <c r="V641" s="283"/>
      <c r="W641" s="283"/>
      <c r="X641" s="283"/>
      <c r="Y641" s="283"/>
      <c r="Z641" s="283"/>
    </row>
    <row r="642" ht="15.75" customHeight="1">
      <c r="A642" s="340"/>
      <c r="B642" s="340"/>
      <c r="C642" s="283"/>
      <c r="D642" s="283"/>
      <c r="E642" s="283"/>
      <c r="F642" s="283"/>
      <c r="G642" s="283"/>
      <c r="H642" s="283"/>
      <c r="I642" s="283"/>
      <c r="J642" s="283"/>
      <c r="K642" s="340"/>
      <c r="L642" s="283"/>
      <c r="M642" s="283"/>
      <c r="N642" s="283"/>
      <c r="O642" s="283"/>
      <c r="P642" s="283"/>
      <c r="Q642" s="340"/>
      <c r="R642" s="283"/>
      <c r="S642" s="283"/>
      <c r="T642" s="340"/>
      <c r="U642" s="340"/>
      <c r="V642" s="283"/>
      <c r="W642" s="283"/>
      <c r="X642" s="283"/>
      <c r="Y642" s="283"/>
      <c r="Z642" s="283"/>
    </row>
    <row r="643" ht="15.75" customHeight="1">
      <c r="A643" s="340"/>
      <c r="B643" s="340"/>
      <c r="C643" s="283"/>
      <c r="D643" s="283"/>
      <c r="E643" s="283"/>
      <c r="F643" s="283"/>
      <c r="G643" s="283"/>
      <c r="H643" s="283"/>
      <c r="I643" s="283"/>
      <c r="J643" s="283"/>
      <c r="K643" s="340"/>
      <c r="L643" s="283"/>
      <c r="M643" s="283"/>
      <c r="N643" s="283"/>
      <c r="O643" s="283"/>
      <c r="P643" s="283"/>
      <c r="Q643" s="340"/>
      <c r="R643" s="283"/>
      <c r="S643" s="283"/>
      <c r="T643" s="340"/>
      <c r="U643" s="340"/>
      <c r="V643" s="283"/>
      <c r="W643" s="283"/>
      <c r="X643" s="283"/>
      <c r="Y643" s="283"/>
      <c r="Z643" s="283"/>
    </row>
    <row r="644" ht="15.75" customHeight="1">
      <c r="A644" s="340"/>
      <c r="B644" s="340"/>
      <c r="C644" s="283"/>
      <c r="D644" s="283"/>
      <c r="E644" s="283"/>
      <c r="F644" s="283"/>
      <c r="G644" s="283"/>
      <c r="H644" s="283"/>
      <c r="I644" s="283"/>
      <c r="J644" s="283"/>
      <c r="K644" s="340"/>
      <c r="L644" s="283"/>
      <c r="M644" s="283"/>
      <c r="N644" s="283"/>
      <c r="O644" s="283"/>
      <c r="P644" s="283"/>
      <c r="Q644" s="340"/>
      <c r="R644" s="283"/>
      <c r="S644" s="283"/>
      <c r="T644" s="340"/>
      <c r="U644" s="340"/>
      <c r="V644" s="283"/>
      <c r="W644" s="283"/>
      <c r="X644" s="283"/>
      <c r="Y644" s="283"/>
      <c r="Z644" s="283"/>
    </row>
    <row r="645" ht="15.75" customHeight="1">
      <c r="A645" s="340"/>
      <c r="B645" s="340"/>
      <c r="C645" s="283"/>
      <c r="D645" s="283"/>
      <c r="E645" s="283"/>
      <c r="F645" s="283"/>
      <c r="G645" s="283"/>
      <c r="H645" s="283"/>
      <c r="I645" s="283"/>
      <c r="J645" s="283"/>
      <c r="K645" s="340"/>
      <c r="L645" s="283"/>
      <c r="M645" s="283"/>
      <c r="N645" s="283"/>
      <c r="O645" s="283"/>
      <c r="P645" s="283"/>
      <c r="Q645" s="340"/>
      <c r="R645" s="283"/>
      <c r="S645" s="283"/>
      <c r="T645" s="340"/>
      <c r="U645" s="340"/>
      <c r="V645" s="283"/>
      <c r="W645" s="283"/>
      <c r="X645" s="283"/>
      <c r="Y645" s="283"/>
      <c r="Z645" s="283"/>
    </row>
    <row r="646" ht="15.75" customHeight="1">
      <c r="A646" s="340"/>
      <c r="B646" s="340"/>
      <c r="C646" s="283"/>
      <c r="D646" s="283"/>
      <c r="E646" s="283"/>
      <c r="F646" s="283"/>
      <c r="G646" s="283"/>
      <c r="H646" s="283"/>
      <c r="I646" s="283"/>
      <c r="J646" s="283"/>
      <c r="K646" s="340"/>
      <c r="L646" s="283"/>
      <c r="M646" s="283"/>
      <c r="N646" s="283"/>
      <c r="O646" s="283"/>
      <c r="P646" s="283"/>
      <c r="Q646" s="340"/>
      <c r="R646" s="283"/>
      <c r="S646" s="283"/>
      <c r="T646" s="340"/>
      <c r="U646" s="340"/>
      <c r="V646" s="283"/>
      <c r="W646" s="283"/>
      <c r="X646" s="283"/>
      <c r="Y646" s="283"/>
      <c r="Z646" s="283"/>
    </row>
    <row r="647" ht="15.75" customHeight="1">
      <c r="A647" s="340"/>
      <c r="B647" s="340"/>
      <c r="C647" s="283"/>
      <c r="D647" s="283"/>
      <c r="E647" s="283"/>
      <c r="F647" s="283"/>
      <c r="G647" s="283"/>
      <c r="H647" s="283"/>
      <c r="I647" s="283"/>
      <c r="J647" s="283"/>
      <c r="K647" s="340"/>
      <c r="L647" s="283"/>
      <c r="M647" s="283"/>
      <c r="N647" s="283"/>
      <c r="O647" s="283"/>
      <c r="P647" s="283"/>
      <c r="Q647" s="340"/>
      <c r="R647" s="283"/>
      <c r="S647" s="283"/>
      <c r="T647" s="340"/>
      <c r="U647" s="340"/>
      <c r="V647" s="283"/>
      <c r="W647" s="283"/>
      <c r="X647" s="283"/>
      <c r="Y647" s="283"/>
      <c r="Z647" s="283"/>
    </row>
    <row r="648" ht="15.75" customHeight="1">
      <c r="A648" s="340"/>
      <c r="B648" s="340"/>
      <c r="C648" s="283"/>
      <c r="D648" s="283"/>
      <c r="E648" s="283"/>
      <c r="F648" s="283"/>
      <c r="G648" s="283"/>
      <c r="H648" s="283"/>
      <c r="I648" s="283"/>
      <c r="J648" s="283"/>
      <c r="K648" s="340"/>
      <c r="L648" s="283"/>
      <c r="M648" s="283"/>
      <c r="N648" s="283"/>
      <c r="O648" s="283"/>
      <c r="P648" s="283"/>
      <c r="Q648" s="340"/>
      <c r="R648" s="283"/>
      <c r="S648" s="283"/>
      <c r="T648" s="340"/>
      <c r="U648" s="340"/>
      <c r="V648" s="283"/>
      <c r="W648" s="283"/>
      <c r="X648" s="283"/>
      <c r="Y648" s="283"/>
      <c r="Z648" s="283"/>
    </row>
    <row r="649" ht="15.75" customHeight="1">
      <c r="A649" s="340"/>
      <c r="B649" s="340"/>
      <c r="C649" s="283"/>
      <c r="D649" s="283"/>
      <c r="E649" s="283"/>
      <c r="F649" s="283"/>
      <c r="G649" s="283"/>
      <c r="H649" s="283"/>
      <c r="I649" s="283"/>
      <c r="J649" s="283"/>
      <c r="K649" s="340"/>
      <c r="L649" s="283"/>
      <c r="M649" s="283"/>
      <c r="N649" s="283"/>
      <c r="O649" s="283"/>
      <c r="P649" s="283"/>
      <c r="Q649" s="340"/>
      <c r="R649" s="283"/>
      <c r="S649" s="283"/>
      <c r="T649" s="340"/>
      <c r="U649" s="340"/>
      <c r="V649" s="283"/>
      <c r="W649" s="283"/>
      <c r="X649" s="283"/>
      <c r="Y649" s="283"/>
      <c r="Z649" s="283"/>
    </row>
    <row r="650" ht="15.75" customHeight="1">
      <c r="A650" s="340"/>
      <c r="B650" s="340"/>
      <c r="C650" s="283"/>
      <c r="D650" s="283"/>
      <c r="E650" s="283"/>
      <c r="F650" s="283"/>
      <c r="G650" s="283"/>
      <c r="H650" s="283"/>
      <c r="I650" s="283"/>
      <c r="J650" s="283"/>
      <c r="K650" s="340"/>
      <c r="L650" s="283"/>
      <c r="M650" s="283"/>
      <c r="N650" s="283"/>
      <c r="O650" s="283"/>
      <c r="P650" s="283"/>
      <c r="Q650" s="340"/>
      <c r="R650" s="283"/>
      <c r="S650" s="283"/>
      <c r="T650" s="340"/>
      <c r="U650" s="340"/>
      <c r="V650" s="283"/>
      <c r="W650" s="283"/>
      <c r="X650" s="283"/>
      <c r="Y650" s="283"/>
      <c r="Z650" s="283"/>
    </row>
    <row r="651" ht="15.75" customHeight="1">
      <c r="A651" s="340"/>
      <c r="B651" s="340"/>
      <c r="C651" s="283"/>
      <c r="D651" s="283"/>
      <c r="E651" s="283"/>
      <c r="F651" s="283"/>
      <c r="G651" s="283"/>
      <c r="H651" s="283"/>
      <c r="I651" s="283"/>
      <c r="J651" s="283"/>
      <c r="K651" s="340"/>
      <c r="L651" s="283"/>
      <c r="M651" s="283"/>
      <c r="N651" s="283"/>
      <c r="O651" s="283"/>
      <c r="P651" s="283"/>
      <c r="Q651" s="340"/>
      <c r="R651" s="283"/>
      <c r="S651" s="283"/>
      <c r="T651" s="340"/>
      <c r="U651" s="340"/>
      <c r="V651" s="283"/>
      <c r="W651" s="283"/>
      <c r="X651" s="283"/>
      <c r="Y651" s="283"/>
      <c r="Z651" s="283"/>
    </row>
    <row r="652" ht="15.75" customHeight="1">
      <c r="A652" s="340"/>
      <c r="B652" s="340"/>
      <c r="C652" s="283"/>
      <c r="D652" s="283"/>
      <c r="E652" s="283"/>
      <c r="F652" s="283"/>
      <c r="G652" s="283"/>
      <c r="H652" s="283"/>
      <c r="I652" s="283"/>
      <c r="J652" s="283"/>
      <c r="K652" s="340"/>
      <c r="L652" s="283"/>
      <c r="M652" s="283"/>
      <c r="N652" s="283"/>
      <c r="O652" s="283"/>
      <c r="P652" s="283"/>
      <c r="Q652" s="340"/>
      <c r="R652" s="283"/>
      <c r="S652" s="283"/>
      <c r="T652" s="340"/>
      <c r="U652" s="340"/>
      <c r="V652" s="283"/>
      <c r="W652" s="283"/>
      <c r="X652" s="283"/>
      <c r="Y652" s="283"/>
      <c r="Z652" s="283"/>
    </row>
    <row r="653" ht="15.75" customHeight="1">
      <c r="A653" s="340"/>
      <c r="B653" s="340"/>
      <c r="C653" s="283"/>
      <c r="D653" s="283"/>
      <c r="E653" s="283"/>
      <c r="F653" s="283"/>
      <c r="G653" s="283"/>
      <c r="H653" s="283"/>
      <c r="I653" s="283"/>
      <c r="J653" s="283"/>
      <c r="K653" s="340"/>
      <c r="L653" s="283"/>
      <c r="M653" s="283"/>
      <c r="N653" s="283"/>
      <c r="O653" s="283"/>
      <c r="P653" s="283"/>
      <c r="Q653" s="340"/>
      <c r="R653" s="283"/>
      <c r="S653" s="283"/>
      <c r="T653" s="340"/>
      <c r="U653" s="340"/>
      <c r="V653" s="283"/>
      <c r="W653" s="283"/>
      <c r="X653" s="283"/>
      <c r="Y653" s="283"/>
      <c r="Z653" s="283"/>
    </row>
    <row r="654" ht="15.75" customHeight="1">
      <c r="A654" s="340"/>
      <c r="B654" s="340"/>
      <c r="C654" s="283"/>
      <c r="D654" s="283"/>
      <c r="E654" s="283"/>
      <c r="F654" s="283"/>
      <c r="G654" s="283"/>
      <c r="H654" s="283"/>
      <c r="I654" s="283"/>
      <c r="J654" s="283"/>
      <c r="K654" s="340"/>
      <c r="L654" s="283"/>
      <c r="M654" s="283"/>
      <c r="N654" s="283"/>
      <c r="O654" s="283"/>
      <c r="P654" s="283"/>
      <c r="Q654" s="340"/>
      <c r="R654" s="283"/>
      <c r="S654" s="283"/>
      <c r="T654" s="340"/>
      <c r="U654" s="340"/>
      <c r="V654" s="283"/>
      <c r="W654" s="283"/>
      <c r="X654" s="283"/>
      <c r="Y654" s="283"/>
      <c r="Z654" s="283"/>
    </row>
    <row r="655" ht="15.75" customHeight="1">
      <c r="A655" s="340"/>
      <c r="B655" s="340"/>
      <c r="C655" s="283"/>
      <c r="D655" s="283"/>
      <c r="E655" s="283"/>
      <c r="F655" s="283"/>
      <c r="G655" s="283"/>
      <c r="H655" s="283"/>
      <c r="I655" s="283"/>
      <c r="J655" s="283"/>
      <c r="K655" s="340"/>
      <c r="L655" s="283"/>
      <c r="M655" s="283"/>
      <c r="N655" s="283"/>
      <c r="O655" s="283"/>
      <c r="P655" s="283"/>
      <c r="Q655" s="340"/>
      <c r="R655" s="283"/>
      <c r="S655" s="283"/>
      <c r="T655" s="340"/>
      <c r="U655" s="340"/>
      <c r="V655" s="283"/>
      <c r="W655" s="283"/>
      <c r="X655" s="283"/>
      <c r="Y655" s="283"/>
      <c r="Z655" s="283"/>
    </row>
    <row r="656" ht="15.75" customHeight="1">
      <c r="A656" s="340"/>
      <c r="B656" s="340"/>
      <c r="C656" s="283"/>
      <c r="D656" s="283"/>
      <c r="E656" s="283"/>
      <c r="F656" s="283"/>
      <c r="G656" s="283"/>
      <c r="H656" s="283"/>
      <c r="I656" s="283"/>
      <c r="J656" s="283"/>
      <c r="K656" s="340"/>
      <c r="L656" s="283"/>
      <c r="M656" s="283"/>
      <c r="N656" s="283"/>
      <c r="O656" s="283"/>
      <c r="P656" s="283"/>
      <c r="Q656" s="340"/>
      <c r="R656" s="283"/>
      <c r="S656" s="283"/>
      <c r="T656" s="340"/>
      <c r="U656" s="340"/>
      <c r="V656" s="283"/>
      <c r="W656" s="283"/>
      <c r="X656" s="283"/>
      <c r="Y656" s="283"/>
      <c r="Z656" s="283"/>
    </row>
    <row r="657" ht="15.75" customHeight="1">
      <c r="A657" s="340"/>
      <c r="B657" s="340"/>
      <c r="C657" s="283"/>
      <c r="D657" s="283"/>
      <c r="E657" s="283"/>
      <c r="F657" s="283"/>
      <c r="G657" s="283"/>
      <c r="H657" s="283"/>
      <c r="I657" s="283"/>
      <c r="J657" s="283"/>
      <c r="K657" s="340"/>
      <c r="L657" s="283"/>
      <c r="M657" s="283"/>
      <c r="N657" s="283"/>
      <c r="O657" s="283"/>
      <c r="P657" s="283"/>
      <c r="Q657" s="340"/>
      <c r="R657" s="283"/>
      <c r="S657" s="283"/>
      <c r="T657" s="340"/>
      <c r="U657" s="340"/>
      <c r="V657" s="283"/>
      <c r="W657" s="283"/>
      <c r="X657" s="283"/>
      <c r="Y657" s="283"/>
      <c r="Z657" s="283"/>
    </row>
    <row r="658" ht="15.75" customHeight="1">
      <c r="A658" s="340"/>
      <c r="B658" s="340"/>
      <c r="C658" s="283"/>
      <c r="D658" s="283"/>
      <c r="E658" s="283"/>
      <c r="F658" s="283"/>
      <c r="G658" s="283"/>
      <c r="H658" s="283"/>
      <c r="I658" s="283"/>
      <c r="J658" s="283"/>
      <c r="K658" s="340"/>
      <c r="L658" s="283"/>
      <c r="M658" s="283"/>
      <c r="N658" s="283"/>
      <c r="O658" s="283"/>
      <c r="P658" s="283"/>
      <c r="Q658" s="340"/>
      <c r="R658" s="283"/>
      <c r="S658" s="283"/>
      <c r="T658" s="340"/>
      <c r="U658" s="340"/>
      <c r="V658" s="283"/>
      <c r="W658" s="283"/>
      <c r="X658" s="283"/>
      <c r="Y658" s="283"/>
      <c r="Z658" s="283"/>
    </row>
    <row r="659" ht="15.75" customHeight="1">
      <c r="A659" s="340"/>
      <c r="B659" s="340"/>
      <c r="C659" s="283"/>
      <c r="D659" s="283"/>
      <c r="E659" s="283"/>
      <c r="F659" s="283"/>
      <c r="G659" s="283"/>
      <c r="H659" s="283"/>
      <c r="I659" s="283"/>
      <c r="J659" s="283"/>
      <c r="K659" s="340"/>
      <c r="L659" s="283"/>
      <c r="M659" s="283"/>
      <c r="N659" s="283"/>
      <c r="O659" s="283"/>
      <c r="P659" s="283"/>
      <c r="Q659" s="340"/>
      <c r="R659" s="283"/>
      <c r="S659" s="283"/>
      <c r="T659" s="340"/>
      <c r="U659" s="340"/>
      <c r="V659" s="283"/>
      <c r="W659" s="283"/>
      <c r="X659" s="283"/>
      <c r="Y659" s="283"/>
      <c r="Z659" s="283"/>
    </row>
    <row r="660" ht="15.75" customHeight="1">
      <c r="A660" s="340"/>
      <c r="B660" s="340"/>
      <c r="C660" s="283"/>
      <c r="D660" s="283"/>
      <c r="E660" s="283"/>
      <c r="F660" s="283"/>
      <c r="G660" s="283"/>
      <c r="H660" s="283"/>
      <c r="I660" s="283"/>
      <c r="J660" s="283"/>
      <c r="K660" s="340"/>
      <c r="L660" s="283"/>
      <c r="M660" s="283"/>
      <c r="N660" s="283"/>
      <c r="O660" s="283"/>
      <c r="P660" s="283"/>
      <c r="Q660" s="340"/>
      <c r="R660" s="283"/>
      <c r="S660" s="283"/>
      <c r="T660" s="340"/>
      <c r="U660" s="340"/>
      <c r="V660" s="283"/>
      <c r="W660" s="283"/>
      <c r="X660" s="283"/>
      <c r="Y660" s="283"/>
      <c r="Z660" s="283"/>
    </row>
    <row r="661" ht="15.75" customHeight="1">
      <c r="A661" s="340"/>
      <c r="B661" s="340"/>
      <c r="C661" s="283"/>
      <c r="D661" s="283"/>
      <c r="E661" s="283"/>
      <c r="F661" s="283"/>
      <c r="G661" s="283"/>
      <c r="H661" s="283"/>
      <c r="I661" s="283"/>
      <c r="J661" s="283"/>
      <c r="K661" s="340"/>
      <c r="L661" s="283"/>
      <c r="M661" s="283"/>
      <c r="N661" s="283"/>
      <c r="O661" s="283"/>
      <c r="P661" s="283"/>
      <c r="Q661" s="340"/>
      <c r="R661" s="283"/>
      <c r="S661" s="283"/>
      <c r="T661" s="340"/>
      <c r="U661" s="340"/>
      <c r="V661" s="283"/>
      <c r="W661" s="283"/>
      <c r="X661" s="283"/>
      <c r="Y661" s="283"/>
      <c r="Z661" s="283"/>
    </row>
    <row r="662" ht="15.75" customHeight="1">
      <c r="A662" s="340"/>
      <c r="B662" s="340"/>
      <c r="C662" s="283"/>
      <c r="D662" s="283"/>
      <c r="E662" s="283"/>
      <c r="F662" s="283"/>
      <c r="G662" s="283"/>
      <c r="H662" s="283"/>
      <c r="I662" s="283"/>
      <c r="J662" s="283"/>
      <c r="K662" s="340"/>
      <c r="L662" s="283"/>
      <c r="M662" s="283"/>
      <c r="N662" s="283"/>
      <c r="O662" s="283"/>
      <c r="P662" s="283"/>
      <c r="Q662" s="340"/>
      <c r="R662" s="283"/>
      <c r="S662" s="283"/>
      <c r="T662" s="340"/>
      <c r="U662" s="340"/>
      <c r="V662" s="283"/>
      <c r="W662" s="283"/>
      <c r="X662" s="283"/>
      <c r="Y662" s="283"/>
      <c r="Z662" s="283"/>
    </row>
    <row r="663" ht="15.75" customHeight="1">
      <c r="A663" s="340"/>
      <c r="B663" s="340"/>
      <c r="C663" s="283"/>
      <c r="D663" s="283"/>
      <c r="E663" s="283"/>
      <c r="F663" s="283"/>
      <c r="G663" s="283"/>
      <c r="H663" s="283"/>
      <c r="I663" s="283"/>
      <c r="J663" s="283"/>
      <c r="K663" s="340"/>
      <c r="L663" s="283"/>
      <c r="M663" s="283"/>
      <c r="N663" s="283"/>
      <c r="O663" s="283"/>
      <c r="P663" s="283"/>
      <c r="Q663" s="340"/>
      <c r="R663" s="283"/>
      <c r="S663" s="283"/>
      <c r="T663" s="340"/>
      <c r="U663" s="340"/>
      <c r="V663" s="283"/>
      <c r="W663" s="283"/>
      <c r="X663" s="283"/>
      <c r="Y663" s="283"/>
      <c r="Z663" s="283"/>
    </row>
    <row r="664" ht="15.75" customHeight="1">
      <c r="A664" s="340"/>
      <c r="B664" s="340"/>
      <c r="C664" s="283"/>
      <c r="D664" s="283"/>
      <c r="E664" s="283"/>
      <c r="F664" s="283"/>
      <c r="G664" s="283"/>
      <c r="H664" s="283"/>
      <c r="I664" s="283"/>
      <c r="J664" s="283"/>
      <c r="K664" s="340"/>
      <c r="L664" s="283"/>
      <c r="M664" s="283"/>
      <c r="N664" s="283"/>
      <c r="O664" s="283"/>
      <c r="P664" s="283"/>
      <c r="Q664" s="340"/>
      <c r="R664" s="283"/>
      <c r="S664" s="283"/>
      <c r="T664" s="340"/>
      <c r="U664" s="340"/>
      <c r="V664" s="283"/>
      <c r="W664" s="283"/>
      <c r="X664" s="283"/>
      <c r="Y664" s="283"/>
      <c r="Z664" s="283"/>
    </row>
    <row r="665" ht="15.75" customHeight="1">
      <c r="A665" s="340"/>
      <c r="B665" s="340"/>
      <c r="C665" s="283"/>
      <c r="D665" s="283"/>
      <c r="E665" s="283"/>
      <c r="F665" s="283"/>
      <c r="G665" s="283"/>
      <c r="H665" s="283"/>
      <c r="I665" s="283"/>
      <c r="J665" s="283"/>
      <c r="K665" s="340"/>
      <c r="L665" s="283"/>
      <c r="M665" s="283"/>
      <c r="N665" s="283"/>
      <c r="O665" s="283"/>
      <c r="P665" s="283"/>
      <c r="Q665" s="340"/>
      <c r="R665" s="283"/>
      <c r="S665" s="283"/>
      <c r="T665" s="340"/>
      <c r="U665" s="340"/>
      <c r="V665" s="283"/>
      <c r="W665" s="283"/>
      <c r="X665" s="283"/>
      <c r="Y665" s="283"/>
      <c r="Z665" s="283"/>
    </row>
    <row r="666" ht="15.75" customHeight="1">
      <c r="A666" s="340"/>
      <c r="B666" s="340"/>
      <c r="C666" s="283"/>
      <c r="D666" s="283"/>
      <c r="E666" s="283"/>
      <c r="F666" s="283"/>
      <c r="G666" s="283"/>
      <c r="H666" s="283"/>
      <c r="I666" s="283"/>
      <c r="J666" s="283"/>
      <c r="K666" s="340"/>
      <c r="L666" s="283"/>
      <c r="M666" s="283"/>
      <c r="N666" s="283"/>
      <c r="O666" s="283"/>
      <c r="P666" s="283"/>
      <c r="Q666" s="340"/>
      <c r="R666" s="283"/>
      <c r="S666" s="283"/>
      <c r="T666" s="340"/>
      <c r="U666" s="340"/>
      <c r="V666" s="283"/>
      <c r="W666" s="283"/>
      <c r="X666" s="283"/>
      <c r="Y666" s="283"/>
      <c r="Z666" s="283"/>
    </row>
    <row r="667" ht="15.75" customHeight="1">
      <c r="A667" s="340"/>
      <c r="B667" s="340"/>
      <c r="C667" s="283"/>
      <c r="D667" s="283"/>
      <c r="E667" s="283"/>
      <c r="F667" s="283"/>
      <c r="G667" s="283"/>
      <c r="H667" s="283"/>
      <c r="I667" s="283"/>
      <c r="J667" s="283"/>
      <c r="K667" s="340"/>
      <c r="L667" s="283"/>
      <c r="M667" s="283"/>
      <c r="N667" s="283"/>
      <c r="O667" s="283"/>
      <c r="P667" s="283"/>
      <c r="Q667" s="340"/>
      <c r="R667" s="283"/>
      <c r="S667" s="283"/>
      <c r="T667" s="340"/>
      <c r="U667" s="340"/>
      <c r="V667" s="283"/>
      <c r="W667" s="283"/>
      <c r="X667" s="283"/>
      <c r="Y667" s="283"/>
      <c r="Z667" s="283"/>
    </row>
    <row r="668" ht="15.75" customHeight="1">
      <c r="A668" s="340"/>
      <c r="B668" s="340"/>
      <c r="C668" s="283"/>
      <c r="D668" s="283"/>
      <c r="E668" s="283"/>
      <c r="F668" s="283"/>
      <c r="G668" s="283"/>
      <c r="H668" s="283"/>
      <c r="I668" s="283"/>
      <c r="J668" s="283"/>
      <c r="K668" s="340"/>
      <c r="L668" s="283"/>
      <c r="M668" s="283"/>
      <c r="N668" s="283"/>
      <c r="O668" s="283"/>
      <c r="P668" s="283"/>
      <c r="Q668" s="340"/>
      <c r="R668" s="283"/>
      <c r="S668" s="283"/>
      <c r="T668" s="340"/>
      <c r="U668" s="340"/>
      <c r="V668" s="283"/>
      <c r="W668" s="283"/>
      <c r="X668" s="283"/>
      <c r="Y668" s="283"/>
      <c r="Z668" s="283"/>
    </row>
    <row r="669" ht="15.75" customHeight="1">
      <c r="A669" s="340"/>
      <c r="B669" s="340"/>
      <c r="C669" s="283"/>
      <c r="D669" s="283"/>
      <c r="E669" s="283"/>
      <c r="F669" s="283"/>
      <c r="G669" s="283"/>
      <c r="H669" s="283"/>
      <c r="I669" s="283"/>
      <c r="J669" s="283"/>
      <c r="K669" s="340"/>
      <c r="L669" s="283"/>
      <c r="M669" s="283"/>
      <c r="N669" s="283"/>
      <c r="O669" s="283"/>
      <c r="P669" s="283"/>
      <c r="Q669" s="340"/>
      <c r="R669" s="283"/>
      <c r="S669" s="283"/>
      <c r="T669" s="340"/>
      <c r="U669" s="340"/>
      <c r="V669" s="283"/>
      <c r="W669" s="283"/>
      <c r="X669" s="283"/>
      <c r="Y669" s="283"/>
      <c r="Z669" s="283"/>
    </row>
    <row r="670" ht="15.75" customHeight="1">
      <c r="A670" s="340"/>
      <c r="B670" s="340"/>
      <c r="C670" s="283"/>
      <c r="D670" s="283"/>
      <c r="E670" s="283"/>
      <c r="F670" s="283"/>
      <c r="G670" s="283"/>
      <c r="H670" s="283"/>
      <c r="I670" s="283"/>
      <c r="J670" s="283"/>
      <c r="K670" s="340"/>
      <c r="L670" s="283"/>
      <c r="M670" s="283"/>
      <c r="N670" s="283"/>
      <c r="O670" s="283"/>
      <c r="P670" s="283"/>
      <c r="Q670" s="340"/>
      <c r="R670" s="283"/>
      <c r="S670" s="283"/>
      <c r="T670" s="340"/>
      <c r="U670" s="340"/>
      <c r="V670" s="283"/>
      <c r="W670" s="283"/>
      <c r="X670" s="283"/>
      <c r="Y670" s="283"/>
      <c r="Z670" s="283"/>
    </row>
    <row r="671" ht="15.75" customHeight="1">
      <c r="A671" s="340"/>
      <c r="B671" s="340"/>
      <c r="C671" s="283"/>
      <c r="D671" s="283"/>
      <c r="E671" s="283"/>
      <c r="F671" s="283"/>
      <c r="G671" s="283"/>
      <c r="H671" s="283"/>
      <c r="I671" s="283"/>
      <c r="J671" s="283"/>
      <c r="K671" s="340"/>
      <c r="L671" s="283"/>
      <c r="M671" s="283"/>
      <c r="N671" s="283"/>
      <c r="O671" s="283"/>
      <c r="P671" s="283"/>
      <c r="Q671" s="340"/>
      <c r="R671" s="283"/>
      <c r="S671" s="283"/>
      <c r="T671" s="340"/>
      <c r="U671" s="340"/>
      <c r="V671" s="283"/>
      <c r="W671" s="283"/>
      <c r="X671" s="283"/>
      <c r="Y671" s="283"/>
      <c r="Z671" s="283"/>
    </row>
    <row r="672" ht="15.75" customHeight="1">
      <c r="A672" s="340"/>
      <c r="B672" s="340"/>
      <c r="C672" s="283"/>
      <c r="D672" s="283"/>
      <c r="E672" s="283"/>
      <c r="F672" s="283"/>
      <c r="G672" s="283"/>
      <c r="H672" s="283"/>
      <c r="I672" s="283"/>
      <c r="J672" s="283"/>
      <c r="K672" s="340"/>
      <c r="L672" s="283"/>
      <c r="M672" s="283"/>
      <c r="N672" s="283"/>
      <c r="O672" s="283"/>
      <c r="P672" s="283"/>
      <c r="Q672" s="340"/>
      <c r="R672" s="283"/>
      <c r="S672" s="283"/>
      <c r="T672" s="340"/>
      <c r="U672" s="340"/>
      <c r="V672" s="283"/>
      <c r="W672" s="283"/>
      <c r="X672" s="283"/>
      <c r="Y672" s="283"/>
      <c r="Z672" s="283"/>
    </row>
    <row r="673" ht="15.75" customHeight="1">
      <c r="A673" s="340"/>
      <c r="B673" s="340"/>
      <c r="C673" s="283"/>
      <c r="D673" s="283"/>
      <c r="E673" s="283"/>
      <c r="F673" s="283"/>
      <c r="G673" s="283"/>
      <c r="H673" s="283"/>
      <c r="I673" s="283"/>
      <c r="J673" s="283"/>
      <c r="K673" s="340"/>
      <c r="L673" s="283"/>
      <c r="M673" s="283"/>
      <c r="N673" s="283"/>
      <c r="O673" s="283"/>
      <c r="P673" s="283"/>
      <c r="Q673" s="340"/>
      <c r="R673" s="283"/>
      <c r="S673" s="283"/>
      <c r="T673" s="340"/>
      <c r="U673" s="340"/>
      <c r="V673" s="283"/>
      <c r="W673" s="283"/>
      <c r="X673" s="283"/>
      <c r="Y673" s="283"/>
      <c r="Z673" s="283"/>
    </row>
    <row r="674" ht="15.75" customHeight="1">
      <c r="A674" s="340"/>
      <c r="B674" s="340"/>
      <c r="C674" s="283"/>
      <c r="D674" s="283"/>
      <c r="E674" s="283"/>
      <c r="F674" s="283"/>
      <c r="G674" s="283"/>
      <c r="H674" s="283"/>
      <c r="I674" s="283"/>
      <c r="J674" s="283"/>
      <c r="K674" s="340"/>
      <c r="L674" s="283"/>
      <c r="M674" s="283"/>
      <c r="N674" s="283"/>
      <c r="O674" s="283"/>
      <c r="P674" s="283"/>
      <c r="Q674" s="340"/>
      <c r="R674" s="283"/>
      <c r="S674" s="283"/>
      <c r="T674" s="340"/>
      <c r="U674" s="340"/>
      <c r="V674" s="283"/>
      <c r="W674" s="283"/>
      <c r="X674" s="283"/>
      <c r="Y674" s="283"/>
      <c r="Z674" s="283"/>
    </row>
    <row r="675" ht="15.75" customHeight="1">
      <c r="A675" s="340"/>
      <c r="B675" s="340"/>
      <c r="C675" s="283"/>
      <c r="D675" s="283"/>
      <c r="E675" s="283"/>
      <c r="F675" s="283"/>
      <c r="G675" s="283"/>
      <c r="H675" s="283"/>
      <c r="I675" s="283"/>
      <c r="J675" s="283"/>
      <c r="K675" s="340"/>
      <c r="L675" s="283"/>
      <c r="M675" s="283"/>
      <c r="N675" s="283"/>
      <c r="O675" s="283"/>
      <c r="P675" s="283"/>
      <c r="Q675" s="340"/>
      <c r="R675" s="283"/>
      <c r="S675" s="283"/>
      <c r="T675" s="340"/>
      <c r="U675" s="340"/>
      <c r="V675" s="283"/>
      <c r="W675" s="283"/>
      <c r="X675" s="283"/>
      <c r="Y675" s="283"/>
      <c r="Z675" s="283"/>
    </row>
    <row r="676" ht="15.75" customHeight="1">
      <c r="A676" s="340"/>
      <c r="B676" s="340"/>
      <c r="C676" s="283"/>
      <c r="D676" s="283"/>
      <c r="E676" s="283"/>
      <c r="F676" s="283"/>
      <c r="G676" s="283"/>
      <c r="H676" s="283"/>
      <c r="I676" s="283"/>
      <c r="J676" s="283"/>
      <c r="K676" s="340"/>
      <c r="L676" s="283"/>
      <c r="M676" s="283"/>
      <c r="N676" s="283"/>
      <c r="O676" s="283"/>
      <c r="P676" s="283"/>
      <c r="Q676" s="340"/>
      <c r="R676" s="283"/>
      <c r="S676" s="283"/>
      <c r="T676" s="340"/>
      <c r="U676" s="340"/>
      <c r="V676" s="283"/>
      <c r="W676" s="283"/>
      <c r="X676" s="283"/>
      <c r="Y676" s="283"/>
      <c r="Z676" s="283"/>
    </row>
    <row r="677" ht="15.75" customHeight="1">
      <c r="A677" s="340"/>
      <c r="B677" s="340"/>
      <c r="C677" s="283"/>
      <c r="D677" s="283"/>
      <c r="E677" s="283"/>
      <c r="F677" s="283"/>
      <c r="G677" s="283"/>
      <c r="H677" s="283"/>
      <c r="I677" s="283"/>
      <c r="J677" s="283"/>
      <c r="K677" s="340"/>
      <c r="L677" s="283"/>
      <c r="M677" s="283"/>
      <c r="N677" s="283"/>
      <c r="O677" s="283"/>
      <c r="P677" s="283"/>
      <c r="Q677" s="340"/>
      <c r="R677" s="283"/>
      <c r="S677" s="283"/>
      <c r="T677" s="340"/>
      <c r="U677" s="340"/>
      <c r="V677" s="283"/>
      <c r="W677" s="283"/>
      <c r="X677" s="283"/>
      <c r="Y677" s="283"/>
      <c r="Z677" s="283"/>
    </row>
    <row r="678" ht="15.75" customHeight="1">
      <c r="A678" s="340"/>
      <c r="B678" s="340"/>
      <c r="C678" s="283"/>
      <c r="D678" s="283"/>
      <c r="E678" s="283"/>
      <c r="F678" s="283"/>
      <c r="G678" s="283"/>
      <c r="H678" s="283"/>
      <c r="I678" s="283"/>
      <c r="J678" s="283"/>
      <c r="K678" s="340"/>
      <c r="L678" s="283"/>
      <c r="M678" s="283"/>
      <c r="N678" s="283"/>
      <c r="O678" s="283"/>
      <c r="P678" s="283"/>
      <c r="Q678" s="340"/>
      <c r="R678" s="283"/>
      <c r="S678" s="283"/>
      <c r="T678" s="340"/>
      <c r="U678" s="340"/>
      <c r="V678" s="283"/>
      <c r="W678" s="283"/>
      <c r="X678" s="283"/>
      <c r="Y678" s="283"/>
      <c r="Z678" s="283"/>
    </row>
    <row r="679" ht="15.75" customHeight="1">
      <c r="A679" s="340"/>
      <c r="B679" s="340"/>
      <c r="C679" s="283"/>
      <c r="D679" s="283"/>
      <c r="E679" s="283"/>
      <c r="F679" s="283"/>
      <c r="G679" s="283"/>
      <c r="H679" s="283"/>
      <c r="I679" s="283"/>
      <c r="J679" s="283"/>
      <c r="K679" s="340"/>
      <c r="L679" s="283"/>
      <c r="M679" s="283"/>
      <c r="N679" s="283"/>
      <c r="O679" s="283"/>
      <c r="P679" s="283"/>
      <c r="Q679" s="340"/>
      <c r="R679" s="283"/>
      <c r="S679" s="283"/>
      <c r="T679" s="340"/>
      <c r="U679" s="340"/>
      <c r="V679" s="283"/>
      <c r="W679" s="283"/>
      <c r="X679" s="283"/>
      <c r="Y679" s="283"/>
      <c r="Z679" s="283"/>
    </row>
    <row r="680" ht="15.75" customHeight="1">
      <c r="A680" s="340"/>
      <c r="B680" s="340"/>
      <c r="C680" s="283"/>
      <c r="D680" s="283"/>
      <c r="E680" s="283"/>
      <c r="F680" s="283"/>
      <c r="G680" s="283"/>
      <c r="H680" s="283"/>
      <c r="I680" s="283"/>
      <c r="J680" s="283"/>
      <c r="K680" s="340"/>
      <c r="L680" s="283"/>
      <c r="M680" s="283"/>
      <c r="N680" s="283"/>
      <c r="O680" s="283"/>
      <c r="P680" s="283"/>
      <c r="Q680" s="340"/>
      <c r="R680" s="283"/>
      <c r="S680" s="283"/>
      <c r="T680" s="340"/>
      <c r="U680" s="340"/>
      <c r="V680" s="283"/>
      <c r="W680" s="283"/>
      <c r="X680" s="283"/>
      <c r="Y680" s="283"/>
      <c r="Z680" s="283"/>
    </row>
    <row r="681" ht="15.75" customHeight="1">
      <c r="A681" s="340"/>
      <c r="B681" s="340"/>
      <c r="C681" s="283"/>
      <c r="D681" s="283"/>
      <c r="E681" s="283"/>
      <c r="F681" s="283"/>
      <c r="G681" s="283"/>
      <c r="H681" s="283"/>
      <c r="I681" s="283"/>
      <c r="J681" s="283"/>
      <c r="K681" s="340"/>
      <c r="L681" s="283"/>
      <c r="M681" s="283"/>
      <c r="N681" s="283"/>
      <c r="O681" s="283"/>
      <c r="P681" s="283"/>
      <c r="Q681" s="340"/>
      <c r="R681" s="283"/>
      <c r="S681" s="283"/>
      <c r="T681" s="340"/>
      <c r="U681" s="340"/>
      <c r="V681" s="283"/>
      <c r="W681" s="283"/>
      <c r="X681" s="283"/>
      <c r="Y681" s="283"/>
      <c r="Z681" s="283"/>
    </row>
    <row r="682" ht="15.75" customHeight="1">
      <c r="A682" s="340"/>
      <c r="B682" s="340"/>
      <c r="C682" s="283"/>
      <c r="D682" s="283"/>
      <c r="E682" s="283"/>
      <c r="F682" s="283"/>
      <c r="G682" s="283"/>
      <c r="H682" s="283"/>
      <c r="I682" s="283"/>
      <c r="J682" s="283"/>
      <c r="K682" s="340"/>
      <c r="L682" s="283"/>
      <c r="M682" s="283"/>
      <c r="N682" s="283"/>
      <c r="O682" s="283"/>
      <c r="P682" s="283"/>
      <c r="Q682" s="340"/>
      <c r="R682" s="283"/>
      <c r="S682" s="283"/>
      <c r="T682" s="340"/>
      <c r="U682" s="340"/>
      <c r="V682" s="283"/>
      <c r="W682" s="283"/>
      <c r="X682" s="283"/>
      <c r="Y682" s="283"/>
      <c r="Z682" s="283"/>
    </row>
    <row r="683" ht="15.75" customHeight="1">
      <c r="A683" s="340"/>
      <c r="B683" s="340"/>
      <c r="C683" s="283"/>
      <c r="D683" s="283"/>
      <c r="E683" s="283"/>
      <c r="F683" s="283"/>
      <c r="G683" s="283"/>
      <c r="H683" s="283"/>
      <c r="I683" s="283"/>
      <c r="J683" s="283"/>
      <c r="K683" s="340"/>
      <c r="L683" s="283"/>
      <c r="M683" s="283"/>
      <c r="N683" s="283"/>
      <c r="O683" s="283"/>
      <c r="P683" s="283"/>
      <c r="Q683" s="340"/>
      <c r="R683" s="283"/>
      <c r="S683" s="283"/>
      <c r="T683" s="340"/>
      <c r="U683" s="340"/>
      <c r="V683" s="283"/>
      <c r="W683" s="283"/>
      <c r="X683" s="283"/>
      <c r="Y683" s="283"/>
      <c r="Z683" s="283"/>
    </row>
    <row r="684" ht="15.75" customHeight="1">
      <c r="A684" s="340"/>
      <c r="B684" s="340"/>
      <c r="C684" s="283"/>
      <c r="D684" s="283"/>
      <c r="E684" s="283"/>
      <c r="F684" s="283"/>
      <c r="G684" s="283"/>
      <c r="H684" s="283"/>
      <c r="I684" s="283"/>
      <c r="J684" s="283"/>
      <c r="K684" s="340"/>
      <c r="L684" s="283"/>
      <c r="M684" s="283"/>
      <c r="N684" s="283"/>
      <c r="O684" s="283"/>
      <c r="P684" s="283"/>
      <c r="Q684" s="340"/>
      <c r="R684" s="283"/>
      <c r="S684" s="283"/>
      <c r="T684" s="340"/>
      <c r="U684" s="340"/>
      <c r="V684" s="283"/>
      <c r="W684" s="283"/>
      <c r="X684" s="283"/>
      <c r="Y684" s="283"/>
      <c r="Z684" s="283"/>
    </row>
    <row r="685" ht="15.75" customHeight="1">
      <c r="A685" s="340"/>
      <c r="B685" s="340"/>
      <c r="C685" s="283"/>
      <c r="D685" s="283"/>
      <c r="E685" s="283"/>
      <c r="F685" s="283"/>
      <c r="G685" s="283"/>
      <c r="H685" s="283"/>
      <c r="I685" s="283"/>
      <c r="J685" s="283"/>
      <c r="K685" s="340"/>
      <c r="L685" s="283"/>
      <c r="M685" s="283"/>
      <c r="N685" s="283"/>
      <c r="O685" s="283"/>
      <c r="P685" s="283"/>
      <c r="Q685" s="340"/>
      <c r="R685" s="283"/>
      <c r="S685" s="283"/>
      <c r="T685" s="340"/>
      <c r="U685" s="340"/>
      <c r="V685" s="283"/>
      <c r="W685" s="283"/>
      <c r="X685" s="283"/>
      <c r="Y685" s="283"/>
      <c r="Z685" s="283"/>
    </row>
    <row r="686" ht="15.75" customHeight="1">
      <c r="A686" s="340"/>
      <c r="B686" s="340"/>
      <c r="C686" s="283"/>
      <c r="D686" s="283"/>
      <c r="E686" s="283"/>
      <c r="F686" s="283"/>
      <c r="G686" s="283"/>
      <c r="H686" s="283"/>
      <c r="I686" s="283"/>
      <c r="J686" s="283"/>
      <c r="K686" s="340"/>
      <c r="L686" s="283"/>
      <c r="M686" s="283"/>
      <c r="N686" s="283"/>
      <c r="O686" s="283"/>
      <c r="P686" s="283"/>
      <c r="Q686" s="340"/>
      <c r="R686" s="283"/>
      <c r="S686" s="283"/>
      <c r="T686" s="340"/>
      <c r="U686" s="340"/>
      <c r="V686" s="283"/>
      <c r="W686" s="283"/>
      <c r="X686" s="283"/>
      <c r="Y686" s="283"/>
      <c r="Z686" s="283"/>
    </row>
    <row r="687" ht="15.75" customHeight="1">
      <c r="A687" s="340"/>
      <c r="B687" s="340"/>
      <c r="C687" s="283"/>
      <c r="D687" s="283"/>
      <c r="E687" s="283"/>
      <c r="F687" s="283"/>
      <c r="G687" s="283"/>
      <c r="H687" s="283"/>
      <c r="I687" s="283"/>
      <c r="J687" s="283"/>
      <c r="K687" s="340"/>
      <c r="L687" s="283"/>
      <c r="M687" s="283"/>
      <c r="N687" s="283"/>
      <c r="O687" s="283"/>
      <c r="P687" s="283"/>
      <c r="Q687" s="340"/>
      <c r="R687" s="283"/>
      <c r="S687" s="283"/>
      <c r="T687" s="340"/>
      <c r="U687" s="340"/>
      <c r="V687" s="283"/>
      <c r="W687" s="283"/>
      <c r="X687" s="283"/>
      <c r="Y687" s="283"/>
      <c r="Z687" s="283"/>
    </row>
    <row r="688" ht="15.75" customHeight="1">
      <c r="A688" s="340"/>
      <c r="B688" s="340"/>
      <c r="C688" s="283"/>
      <c r="D688" s="283"/>
      <c r="E688" s="283"/>
      <c r="F688" s="283"/>
      <c r="G688" s="283"/>
      <c r="H688" s="283"/>
      <c r="I688" s="283"/>
      <c r="J688" s="283"/>
      <c r="K688" s="340"/>
      <c r="L688" s="283"/>
      <c r="M688" s="283"/>
      <c r="N688" s="283"/>
      <c r="O688" s="283"/>
      <c r="P688" s="283"/>
      <c r="Q688" s="340"/>
      <c r="R688" s="283"/>
      <c r="S688" s="283"/>
      <c r="T688" s="340"/>
      <c r="U688" s="340"/>
      <c r="V688" s="283"/>
      <c r="W688" s="283"/>
      <c r="X688" s="283"/>
      <c r="Y688" s="283"/>
      <c r="Z688" s="283"/>
    </row>
    <row r="689" ht="15.75" customHeight="1">
      <c r="A689" s="340"/>
      <c r="B689" s="340"/>
      <c r="C689" s="283"/>
      <c r="D689" s="283"/>
      <c r="E689" s="283"/>
      <c r="F689" s="283"/>
      <c r="G689" s="283"/>
      <c r="H689" s="283"/>
      <c r="I689" s="283"/>
      <c r="J689" s="283"/>
      <c r="K689" s="340"/>
      <c r="L689" s="283"/>
      <c r="M689" s="283"/>
      <c r="N689" s="283"/>
      <c r="O689" s="283"/>
      <c r="P689" s="283"/>
      <c r="Q689" s="340"/>
      <c r="R689" s="283"/>
      <c r="S689" s="283"/>
      <c r="T689" s="340"/>
      <c r="U689" s="340"/>
      <c r="V689" s="283"/>
      <c r="W689" s="283"/>
      <c r="X689" s="283"/>
      <c r="Y689" s="283"/>
      <c r="Z689" s="283"/>
    </row>
    <row r="690" ht="15.75" customHeight="1">
      <c r="A690" s="340"/>
      <c r="B690" s="340"/>
      <c r="C690" s="283"/>
      <c r="D690" s="283"/>
      <c r="E690" s="283"/>
      <c r="F690" s="283"/>
      <c r="G690" s="283"/>
      <c r="H690" s="283"/>
      <c r="I690" s="283"/>
      <c r="J690" s="283"/>
      <c r="K690" s="340"/>
      <c r="L690" s="283"/>
      <c r="M690" s="283"/>
      <c r="N690" s="283"/>
      <c r="O690" s="283"/>
      <c r="P690" s="283"/>
      <c r="Q690" s="340"/>
      <c r="R690" s="283"/>
      <c r="S690" s="283"/>
      <c r="T690" s="340"/>
      <c r="U690" s="340"/>
      <c r="V690" s="283"/>
      <c r="W690" s="283"/>
      <c r="X690" s="283"/>
      <c r="Y690" s="283"/>
      <c r="Z690" s="283"/>
    </row>
    <row r="691" ht="15.75" customHeight="1">
      <c r="A691" s="340"/>
      <c r="B691" s="340"/>
      <c r="C691" s="283"/>
      <c r="D691" s="283"/>
      <c r="E691" s="283"/>
      <c r="F691" s="283"/>
      <c r="G691" s="283"/>
      <c r="H691" s="283"/>
      <c r="I691" s="283"/>
      <c r="J691" s="283"/>
      <c r="K691" s="340"/>
      <c r="L691" s="283"/>
      <c r="M691" s="283"/>
      <c r="N691" s="283"/>
      <c r="O691" s="283"/>
      <c r="P691" s="283"/>
      <c r="Q691" s="340"/>
      <c r="R691" s="283"/>
      <c r="S691" s="283"/>
      <c r="T691" s="340"/>
      <c r="U691" s="340"/>
      <c r="V691" s="283"/>
      <c r="W691" s="283"/>
      <c r="X691" s="283"/>
      <c r="Y691" s="283"/>
      <c r="Z691" s="283"/>
    </row>
    <row r="692" ht="15.75" customHeight="1">
      <c r="A692" s="340"/>
      <c r="B692" s="340"/>
      <c r="C692" s="283"/>
      <c r="D692" s="283"/>
      <c r="E692" s="283"/>
      <c r="F692" s="283"/>
      <c r="G692" s="283"/>
      <c r="H692" s="283"/>
      <c r="I692" s="283"/>
      <c r="J692" s="283"/>
      <c r="K692" s="340"/>
      <c r="L692" s="283"/>
      <c r="M692" s="283"/>
      <c r="N692" s="283"/>
      <c r="O692" s="283"/>
      <c r="P692" s="283"/>
      <c r="Q692" s="340"/>
      <c r="R692" s="283"/>
      <c r="S692" s="283"/>
      <c r="T692" s="340"/>
      <c r="U692" s="340"/>
      <c r="V692" s="283"/>
      <c r="W692" s="283"/>
      <c r="X692" s="283"/>
      <c r="Y692" s="283"/>
      <c r="Z692" s="283"/>
    </row>
    <row r="693" ht="15.75" customHeight="1">
      <c r="A693" s="340"/>
      <c r="B693" s="340"/>
      <c r="C693" s="283"/>
      <c r="D693" s="283"/>
      <c r="E693" s="283"/>
      <c r="F693" s="283"/>
      <c r="G693" s="283"/>
      <c r="H693" s="283"/>
      <c r="I693" s="283"/>
      <c r="J693" s="283"/>
      <c r="K693" s="340"/>
      <c r="L693" s="283"/>
      <c r="M693" s="283"/>
      <c r="N693" s="283"/>
      <c r="O693" s="283"/>
      <c r="P693" s="283"/>
      <c r="Q693" s="340"/>
      <c r="R693" s="283"/>
      <c r="S693" s="283"/>
      <c r="T693" s="340"/>
      <c r="U693" s="340"/>
      <c r="V693" s="283"/>
      <c r="W693" s="283"/>
      <c r="X693" s="283"/>
      <c r="Y693" s="283"/>
      <c r="Z693" s="283"/>
    </row>
    <row r="694" ht="15.75" customHeight="1">
      <c r="A694" s="340"/>
      <c r="B694" s="340"/>
      <c r="C694" s="283"/>
      <c r="D694" s="283"/>
      <c r="E694" s="283"/>
      <c r="F694" s="283"/>
      <c r="G694" s="283"/>
      <c r="H694" s="283"/>
      <c r="I694" s="283"/>
      <c r="J694" s="283"/>
      <c r="K694" s="340"/>
      <c r="L694" s="283"/>
      <c r="M694" s="283"/>
      <c r="N694" s="283"/>
      <c r="O694" s="283"/>
      <c r="P694" s="283"/>
      <c r="Q694" s="340"/>
      <c r="R694" s="283"/>
      <c r="S694" s="283"/>
      <c r="T694" s="340"/>
      <c r="U694" s="340"/>
      <c r="V694" s="283"/>
      <c r="W694" s="283"/>
      <c r="X694" s="283"/>
      <c r="Y694" s="283"/>
      <c r="Z694" s="283"/>
    </row>
    <row r="695" ht="15.75" customHeight="1">
      <c r="A695" s="340"/>
      <c r="B695" s="340"/>
      <c r="C695" s="283"/>
      <c r="D695" s="283"/>
      <c r="E695" s="283"/>
      <c r="F695" s="283"/>
      <c r="G695" s="283"/>
      <c r="H695" s="283"/>
      <c r="I695" s="283"/>
      <c r="J695" s="283"/>
      <c r="K695" s="340"/>
      <c r="L695" s="283"/>
      <c r="M695" s="283"/>
      <c r="N695" s="283"/>
      <c r="O695" s="283"/>
      <c r="P695" s="283"/>
      <c r="Q695" s="340"/>
      <c r="R695" s="283"/>
      <c r="S695" s="283"/>
      <c r="T695" s="340"/>
      <c r="U695" s="340"/>
      <c r="V695" s="283"/>
      <c r="W695" s="283"/>
      <c r="X695" s="283"/>
      <c r="Y695" s="283"/>
      <c r="Z695" s="283"/>
    </row>
    <row r="696" ht="15.75" customHeight="1">
      <c r="A696" s="340"/>
      <c r="B696" s="340"/>
      <c r="C696" s="283"/>
      <c r="D696" s="283"/>
      <c r="E696" s="283"/>
      <c r="F696" s="283"/>
      <c r="G696" s="283"/>
      <c r="H696" s="283"/>
      <c r="I696" s="283"/>
      <c r="J696" s="283"/>
      <c r="K696" s="340"/>
      <c r="L696" s="283"/>
      <c r="M696" s="283"/>
      <c r="N696" s="283"/>
      <c r="O696" s="283"/>
      <c r="P696" s="283"/>
      <c r="Q696" s="340"/>
      <c r="R696" s="283"/>
      <c r="S696" s="283"/>
      <c r="T696" s="340"/>
      <c r="U696" s="340"/>
      <c r="V696" s="283"/>
      <c r="W696" s="283"/>
      <c r="X696" s="283"/>
      <c r="Y696" s="283"/>
      <c r="Z696" s="283"/>
    </row>
    <row r="697" ht="15.75" customHeight="1">
      <c r="A697" s="340"/>
      <c r="B697" s="340"/>
      <c r="C697" s="283"/>
      <c r="D697" s="283"/>
      <c r="E697" s="283"/>
      <c r="F697" s="283"/>
      <c r="G697" s="283"/>
      <c r="H697" s="283"/>
      <c r="I697" s="283"/>
      <c r="J697" s="283"/>
      <c r="K697" s="340"/>
      <c r="L697" s="283"/>
      <c r="M697" s="283"/>
      <c r="N697" s="283"/>
      <c r="O697" s="283"/>
      <c r="P697" s="283"/>
      <c r="Q697" s="340"/>
      <c r="R697" s="283"/>
      <c r="S697" s="283"/>
      <c r="T697" s="340"/>
      <c r="U697" s="340"/>
      <c r="V697" s="283"/>
      <c r="W697" s="283"/>
      <c r="X697" s="283"/>
      <c r="Y697" s="283"/>
      <c r="Z697" s="283"/>
    </row>
    <row r="698" ht="15.75" customHeight="1">
      <c r="A698" s="340"/>
      <c r="B698" s="340"/>
      <c r="C698" s="283"/>
      <c r="D698" s="283"/>
      <c r="E698" s="283"/>
      <c r="F698" s="283"/>
      <c r="G698" s="283"/>
      <c r="H698" s="283"/>
      <c r="I698" s="283"/>
      <c r="J698" s="283"/>
      <c r="K698" s="340"/>
      <c r="L698" s="283"/>
      <c r="M698" s="283"/>
      <c r="N698" s="283"/>
      <c r="O698" s="283"/>
      <c r="P698" s="283"/>
      <c r="Q698" s="340"/>
      <c r="R698" s="283"/>
      <c r="S698" s="283"/>
      <c r="T698" s="340"/>
      <c r="U698" s="340"/>
      <c r="V698" s="283"/>
      <c r="W698" s="283"/>
      <c r="X698" s="283"/>
      <c r="Y698" s="283"/>
      <c r="Z698" s="283"/>
    </row>
    <row r="699" ht="15.75" customHeight="1">
      <c r="A699" s="340"/>
      <c r="B699" s="340"/>
      <c r="C699" s="283"/>
      <c r="D699" s="283"/>
      <c r="E699" s="283"/>
      <c r="F699" s="283"/>
      <c r="G699" s="283"/>
      <c r="H699" s="283"/>
      <c r="I699" s="283"/>
      <c r="J699" s="283"/>
      <c r="K699" s="340"/>
      <c r="L699" s="283"/>
      <c r="M699" s="283"/>
      <c r="N699" s="283"/>
      <c r="O699" s="283"/>
      <c r="P699" s="283"/>
      <c r="Q699" s="340"/>
      <c r="R699" s="283"/>
      <c r="S699" s="283"/>
      <c r="T699" s="340"/>
      <c r="U699" s="340"/>
      <c r="V699" s="283"/>
      <c r="W699" s="283"/>
      <c r="X699" s="283"/>
      <c r="Y699" s="283"/>
      <c r="Z699" s="283"/>
    </row>
    <row r="700" ht="15.75" customHeight="1">
      <c r="A700" s="340"/>
      <c r="B700" s="340"/>
      <c r="C700" s="283"/>
      <c r="D700" s="283"/>
      <c r="E700" s="283"/>
      <c r="F700" s="283"/>
      <c r="G700" s="283"/>
      <c r="H700" s="283"/>
      <c r="I700" s="283"/>
      <c r="J700" s="283"/>
      <c r="K700" s="340"/>
      <c r="L700" s="283"/>
      <c r="M700" s="283"/>
      <c r="N700" s="283"/>
      <c r="O700" s="283"/>
      <c r="P700" s="283"/>
      <c r="Q700" s="340"/>
      <c r="R700" s="283"/>
      <c r="S700" s="283"/>
      <c r="T700" s="340"/>
      <c r="U700" s="340"/>
      <c r="V700" s="283"/>
      <c r="W700" s="283"/>
      <c r="X700" s="283"/>
      <c r="Y700" s="283"/>
      <c r="Z700" s="283"/>
    </row>
    <row r="701" ht="15.75" customHeight="1">
      <c r="A701" s="340"/>
      <c r="B701" s="340"/>
      <c r="C701" s="283"/>
      <c r="D701" s="283"/>
      <c r="E701" s="283"/>
      <c r="F701" s="283"/>
      <c r="G701" s="283"/>
      <c r="H701" s="283"/>
      <c r="I701" s="283"/>
      <c r="J701" s="283"/>
      <c r="K701" s="340"/>
      <c r="L701" s="283"/>
      <c r="M701" s="283"/>
      <c r="N701" s="283"/>
      <c r="O701" s="283"/>
      <c r="P701" s="283"/>
      <c r="Q701" s="340"/>
      <c r="R701" s="283"/>
      <c r="S701" s="283"/>
      <c r="T701" s="340"/>
      <c r="U701" s="340"/>
      <c r="V701" s="283"/>
      <c r="W701" s="283"/>
      <c r="X701" s="283"/>
      <c r="Y701" s="283"/>
      <c r="Z701" s="283"/>
    </row>
    <row r="702" ht="15.75" customHeight="1">
      <c r="A702" s="340"/>
      <c r="B702" s="340"/>
      <c r="C702" s="283"/>
      <c r="D702" s="283"/>
      <c r="E702" s="283"/>
      <c r="F702" s="283"/>
      <c r="G702" s="283"/>
      <c r="H702" s="283"/>
      <c r="I702" s="283"/>
      <c r="J702" s="283"/>
      <c r="K702" s="340"/>
      <c r="L702" s="283"/>
      <c r="M702" s="283"/>
      <c r="N702" s="283"/>
      <c r="O702" s="283"/>
      <c r="P702" s="283"/>
      <c r="Q702" s="340"/>
      <c r="R702" s="283"/>
      <c r="S702" s="283"/>
      <c r="T702" s="340"/>
      <c r="U702" s="340"/>
      <c r="V702" s="283"/>
      <c r="W702" s="283"/>
      <c r="X702" s="283"/>
      <c r="Y702" s="283"/>
      <c r="Z702" s="283"/>
    </row>
    <row r="703" ht="15.75" customHeight="1">
      <c r="A703" s="340"/>
      <c r="B703" s="340"/>
      <c r="C703" s="283"/>
      <c r="D703" s="283"/>
      <c r="E703" s="283"/>
      <c r="F703" s="283"/>
      <c r="G703" s="283"/>
      <c r="H703" s="283"/>
      <c r="I703" s="283"/>
      <c r="J703" s="283"/>
      <c r="K703" s="340"/>
      <c r="L703" s="283"/>
      <c r="M703" s="283"/>
      <c r="N703" s="283"/>
      <c r="O703" s="283"/>
      <c r="P703" s="283"/>
      <c r="Q703" s="340"/>
      <c r="R703" s="283"/>
      <c r="S703" s="283"/>
      <c r="T703" s="340"/>
      <c r="U703" s="340"/>
      <c r="V703" s="283"/>
      <c r="W703" s="283"/>
      <c r="X703" s="283"/>
      <c r="Y703" s="283"/>
      <c r="Z703" s="283"/>
    </row>
    <row r="704" ht="15.75" customHeight="1">
      <c r="A704" s="340"/>
      <c r="B704" s="340"/>
      <c r="C704" s="283"/>
      <c r="D704" s="283"/>
      <c r="E704" s="283"/>
      <c r="F704" s="283"/>
      <c r="G704" s="283"/>
      <c r="H704" s="283"/>
      <c r="I704" s="283"/>
      <c r="J704" s="283"/>
      <c r="K704" s="340"/>
      <c r="L704" s="283"/>
      <c r="M704" s="283"/>
      <c r="N704" s="283"/>
      <c r="O704" s="283"/>
      <c r="P704" s="283"/>
      <c r="Q704" s="340"/>
      <c r="R704" s="283"/>
      <c r="S704" s="283"/>
      <c r="T704" s="340"/>
      <c r="U704" s="340"/>
      <c r="V704" s="283"/>
      <c r="W704" s="283"/>
      <c r="X704" s="283"/>
      <c r="Y704" s="283"/>
      <c r="Z704" s="283"/>
    </row>
    <row r="705" ht="15.75" customHeight="1">
      <c r="A705" s="340"/>
      <c r="B705" s="340"/>
      <c r="C705" s="283"/>
      <c r="D705" s="283"/>
      <c r="E705" s="283"/>
      <c r="F705" s="283"/>
      <c r="G705" s="283"/>
      <c r="H705" s="283"/>
      <c r="I705" s="283"/>
      <c r="J705" s="283"/>
      <c r="K705" s="340"/>
      <c r="L705" s="283"/>
      <c r="M705" s="283"/>
      <c r="N705" s="283"/>
      <c r="O705" s="283"/>
      <c r="P705" s="283"/>
      <c r="Q705" s="340"/>
      <c r="R705" s="283"/>
      <c r="S705" s="283"/>
      <c r="T705" s="340"/>
      <c r="U705" s="340"/>
      <c r="V705" s="283"/>
      <c r="W705" s="283"/>
      <c r="X705" s="283"/>
      <c r="Y705" s="283"/>
      <c r="Z705" s="283"/>
    </row>
    <row r="706" ht="15.75" customHeight="1">
      <c r="A706" s="340"/>
      <c r="B706" s="340"/>
      <c r="C706" s="283"/>
      <c r="D706" s="283"/>
      <c r="E706" s="283"/>
      <c r="F706" s="283"/>
      <c r="G706" s="283"/>
      <c r="H706" s="283"/>
      <c r="I706" s="283"/>
      <c r="J706" s="283"/>
      <c r="K706" s="340"/>
      <c r="L706" s="283"/>
      <c r="M706" s="283"/>
      <c r="N706" s="283"/>
      <c r="O706" s="283"/>
      <c r="P706" s="283"/>
      <c r="Q706" s="340"/>
      <c r="R706" s="283"/>
      <c r="S706" s="283"/>
      <c r="T706" s="340"/>
      <c r="U706" s="340"/>
      <c r="V706" s="283"/>
      <c r="W706" s="283"/>
      <c r="X706" s="283"/>
      <c r="Y706" s="283"/>
      <c r="Z706" s="283"/>
    </row>
    <row r="707" ht="15.75" customHeight="1">
      <c r="A707" s="340"/>
      <c r="B707" s="340"/>
      <c r="C707" s="283"/>
      <c r="D707" s="283"/>
      <c r="E707" s="283"/>
      <c r="F707" s="283"/>
      <c r="G707" s="283"/>
      <c r="H707" s="283"/>
      <c r="I707" s="283"/>
      <c r="J707" s="283"/>
      <c r="K707" s="340"/>
      <c r="L707" s="283"/>
      <c r="M707" s="283"/>
      <c r="N707" s="283"/>
      <c r="O707" s="283"/>
      <c r="P707" s="283"/>
      <c r="Q707" s="340"/>
      <c r="R707" s="283"/>
      <c r="S707" s="283"/>
      <c r="T707" s="340"/>
      <c r="U707" s="340"/>
      <c r="V707" s="283"/>
      <c r="W707" s="283"/>
      <c r="X707" s="283"/>
      <c r="Y707" s="283"/>
      <c r="Z707" s="283"/>
    </row>
    <row r="708" ht="15.75" customHeight="1">
      <c r="A708" s="340"/>
      <c r="B708" s="340"/>
      <c r="C708" s="283"/>
      <c r="D708" s="283"/>
      <c r="E708" s="283"/>
      <c r="F708" s="283"/>
      <c r="G708" s="283"/>
      <c r="H708" s="283"/>
      <c r="I708" s="283"/>
      <c r="J708" s="283"/>
      <c r="K708" s="340"/>
      <c r="L708" s="283"/>
      <c r="M708" s="283"/>
      <c r="N708" s="283"/>
      <c r="O708" s="283"/>
      <c r="P708" s="283"/>
      <c r="Q708" s="340"/>
      <c r="R708" s="283"/>
      <c r="S708" s="283"/>
      <c r="T708" s="340"/>
      <c r="U708" s="340"/>
      <c r="V708" s="283"/>
      <c r="W708" s="283"/>
      <c r="X708" s="283"/>
      <c r="Y708" s="283"/>
      <c r="Z708" s="283"/>
    </row>
    <row r="709" ht="15.75" customHeight="1">
      <c r="A709" s="340"/>
      <c r="B709" s="340"/>
      <c r="C709" s="283"/>
      <c r="D709" s="283"/>
      <c r="E709" s="283"/>
      <c r="F709" s="283"/>
      <c r="G709" s="283"/>
      <c r="H709" s="283"/>
      <c r="I709" s="283"/>
      <c r="J709" s="283"/>
      <c r="K709" s="340"/>
      <c r="L709" s="283"/>
      <c r="M709" s="283"/>
      <c r="N709" s="283"/>
      <c r="O709" s="283"/>
      <c r="P709" s="283"/>
      <c r="Q709" s="340"/>
      <c r="R709" s="283"/>
      <c r="S709" s="283"/>
      <c r="T709" s="340"/>
      <c r="U709" s="340"/>
      <c r="V709" s="283"/>
      <c r="W709" s="283"/>
      <c r="X709" s="283"/>
      <c r="Y709" s="283"/>
      <c r="Z709" s="283"/>
    </row>
    <row r="710" ht="15.75" customHeight="1">
      <c r="A710" s="340"/>
      <c r="B710" s="340"/>
      <c r="C710" s="283"/>
      <c r="D710" s="283"/>
      <c r="E710" s="283"/>
      <c r="F710" s="283"/>
      <c r="G710" s="283"/>
      <c r="H710" s="283"/>
      <c r="I710" s="283"/>
      <c r="J710" s="283"/>
      <c r="K710" s="340"/>
      <c r="L710" s="283"/>
      <c r="M710" s="283"/>
      <c r="N710" s="283"/>
      <c r="O710" s="283"/>
      <c r="P710" s="283"/>
      <c r="Q710" s="340"/>
      <c r="R710" s="283"/>
      <c r="S710" s="283"/>
      <c r="T710" s="340"/>
      <c r="U710" s="340"/>
      <c r="V710" s="283"/>
      <c r="W710" s="283"/>
      <c r="X710" s="283"/>
      <c r="Y710" s="283"/>
      <c r="Z710" s="283"/>
    </row>
    <row r="711" ht="15.75" customHeight="1">
      <c r="A711" s="340"/>
      <c r="B711" s="340"/>
      <c r="C711" s="283"/>
      <c r="D711" s="283"/>
      <c r="E711" s="283"/>
      <c r="F711" s="283"/>
      <c r="G711" s="283"/>
      <c r="H711" s="283"/>
      <c r="I711" s="283"/>
      <c r="J711" s="283"/>
      <c r="K711" s="340"/>
      <c r="L711" s="283"/>
      <c r="M711" s="283"/>
      <c r="N711" s="283"/>
      <c r="O711" s="283"/>
      <c r="P711" s="283"/>
      <c r="Q711" s="340"/>
      <c r="R711" s="283"/>
      <c r="S711" s="283"/>
      <c r="T711" s="340"/>
      <c r="U711" s="340"/>
      <c r="V711" s="283"/>
      <c r="W711" s="283"/>
      <c r="X711" s="283"/>
      <c r="Y711" s="283"/>
      <c r="Z711" s="283"/>
    </row>
    <row r="712" ht="15.75" customHeight="1">
      <c r="A712" s="340"/>
      <c r="B712" s="340"/>
      <c r="C712" s="283"/>
      <c r="D712" s="283"/>
      <c r="E712" s="283"/>
      <c r="F712" s="283"/>
      <c r="G712" s="283"/>
      <c r="H712" s="283"/>
      <c r="I712" s="283"/>
      <c r="J712" s="283"/>
      <c r="K712" s="340"/>
      <c r="L712" s="283"/>
      <c r="M712" s="283"/>
      <c r="N712" s="283"/>
      <c r="O712" s="283"/>
      <c r="P712" s="283"/>
      <c r="Q712" s="340"/>
      <c r="R712" s="283"/>
      <c r="S712" s="283"/>
      <c r="T712" s="340"/>
      <c r="U712" s="340"/>
      <c r="V712" s="283"/>
      <c r="W712" s="283"/>
      <c r="X712" s="283"/>
      <c r="Y712" s="283"/>
      <c r="Z712" s="283"/>
    </row>
    <row r="713" ht="15.75" customHeight="1">
      <c r="A713" s="340"/>
      <c r="B713" s="340"/>
      <c r="C713" s="283"/>
      <c r="D713" s="283"/>
      <c r="E713" s="283"/>
      <c r="F713" s="283"/>
      <c r="G713" s="283"/>
      <c r="H713" s="283"/>
      <c r="I713" s="283"/>
      <c r="J713" s="283"/>
      <c r="K713" s="340"/>
      <c r="L713" s="283"/>
      <c r="M713" s="283"/>
      <c r="N713" s="283"/>
      <c r="O713" s="283"/>
      <c r="P713" s="283"/>
      <c r="Q713" s="340"/>
      <c r="R713" s="283"/>
      <c r="S713" s="283"/>
      <c r="T713" s="340"/>
      <c r="U713" s="340"/>
      <c r="V713" s="283"/>
      <c r="W713" s="283"/>
      <c r="X713" s="283"/>
      <c r="Y713" s="283"/>
      <c r="Z713" s="283"/>
    </row>
    <row r="714" ht="15.75" customHeight="1">
      <c r="A714" s="340"/>
      <c r="B714" s="340"/>
      <c r="C714" s="283"/>
      <c r="D714" s="283"/>
      <c r="E714" s="283"/>
      <c r="F714" s="283"/>
      <c r="G714" s="283"/>
      <c r="H714" s="283"/>
      <c r="I714" s="283"/>
      <c r="J714" s="283"/>
      <c r="K714" s="340"/>
      <c r="L714" s="283"/>
      <c r="M714" s="283"/>
      <c r="N714" s="283"/>
      <c r="O714" s="283"/>
      <c r="P714" s="283"/>
      <c r="Q714" s="340"/>
      <c r="R714" s="283"/>
      <c r="S714" s="283"/>
      <c r="T714" s="340"/>
      <c r="U714" s="340"/>
      <c r="V714" s="283"/>
      <c r="W714" s="283"/>
      <c r="X714" s="283"/>
      <c r="Y714" s="283"/>
      <c r="Z714" s="283"/>
    </row>
    <row r="715" ht="15.75" customHeight="1">
      <c r="A715" s="340"/>
      <c r="B715" s="340"/>
      <c r="C715" s="283"/>
      <c r="D715" s="283"/>
      <c r="E715" s="283"/>
      <c r="F715" s="283"/>
      <c r="G715" s="283"/>
      <c r="H715" s="283"/>
      <c r="I715" s="283"/>
      <c r="J715" s="283"/>
      <c r="K715" s="340"/>
      <c r="L715" s="283"/>
      <c r="M715" s="283"/>
      <c r="N715" s="283"/>
      <c r="O715" s="283"/>
      <c r="P715" s="283"/>
      <c r="Q715" s="340"/>
      <c r="R715" s="283"/>
      <c r="S715" s="283"/>
      <c r="T715" s="340"/>
      <c r="U715" s="340"/>
      <c r="V715" s="283"/>
      <c r="W715" s="283"/>
      <c r="X715" s="283"/>
      <c r="Y715" s="283"/>
      <c r="Z715" s="283"/>
    </row>
    <row r="716" ht="15.75" customHeight="1">
      <c r="A716" s="340"/>
      <c r="B716" s="340"/>
      <c r="C716" s="283"/>
      <c r="D716" s="283"/>
      <c r="E716" s="283"/>
      <c r="F716" s="283"/>
      <c r="G716" s="283"/>
      <c r="H716" s="283"/>
      <c r="I716" s="283"/>
      <c r="J716" s="283"/>
      <c r="K716" s="340"/>
      <c r="L716" s="283"/>
      <c r="M716" s="283"/>
      <c r="N716" s="283"/>
      <c r="O716" s="283"/>
      <c r="P716" s="283"/>
      <c r="Q716" s="340"/>
      <c r="R716" s="283"/>
      <c r="S716" s="283"/>
      <c r="T716" s="340"/>
      <c r="U716" s="340"/>
      <c r="V716" s="283"/>
      <c r="W716" s="283"/>
      <c r="X716" s="283"/>
      <c r="Y716" s="283"/>
      <c r="Z716" s="283"/>
    </row>
    <row r="717" ht="15.75" customHeight="1">
      <c r="A717" s="340"/>
      <c r="B717" s="340"/>
      <c r="C717" s="283"/>
      <c r="D717" s="283"/>
      <c r="E717" s="283"/>
      <c r="F717" s="283"/>
      <c r="G717" s="283"/>
      <c r="H717" s="283"/>
      <c r="I717" s="283"/>
      <c r="J717" s="283"/>
      <c r="K717" s="340"/>
      <c r="L717" s="283"/>
      <c r="M717" s="283"/>
      <c r="N717" s="283"/>
      <c r="O717" s="283"/>
      <c r="P717" s="283"/>
      <c r="Q717" s="340"/>
      <c r="R717" s="283"/>
      <c r="S717" s="283"/>
      <c r="T717" s="340"/>
      <c r="U717" s="340"/>
      <c r="V717" s="283"/>
      <c r="W717" s="283"/>
      <c r="X717" s="283"/>
      <c r="Y717" s="283"/>
      <c r="Z717" s="283"/>
    </row>
    <row r="718" ht="15.75" customHeight="1">
      <c r="A718" s="340"/>
      <c r="B718" s="340"/>
      <c r="C718" s="283"/>
      <c r="D718" s="283"/>
      <c r="E718" s="283"/>
      <c r="F718" s="283"/>
      <c r="G718" s="283"/>
      <c r="H718" s="283"/>
      <c r="I718" s="283"/>
      <c r="J718" s="283"/>
      <c r="K718" s="340"/>
      <c r="L718" s="283"/>
      <c r="M718" s="283"/>
      <c r="N718" s="283"/>
      <c r="O718" s="283"/>
      <c r="P718" s="283"/>
      <c r="Q718" s="340"/>
      <c r="R718" s="283"/>
      <c r="S718" s="283"/>
      <c r="T718" s="340"/>
      <c r="U718" s="340"/>
      <c r="V718" s="283"/>
      <c r="W718" s="283"/>
      <c r="X718" s="283"/>
      <c r="Y718" s="283"/>
      <c r="Z718" s="283"/>
    </row>
    <row r="719" ht="15.75" customHeight="1">
      <c r="A719" s="340"/>
      <c r="B719" s="340"/>
      <c r="C719" s="283"/>
      <c r="D719" s="283"/>
      <c r="E719" s="283"/>
      <c r="F719" s="283"/>
      <c r="G719" s="283"/>
      <c r="H719" s="283"/>
      <c r="I719" s="283"/>
      <c r="J719" s="283"/>
      <c r="K719" s="340"/>
      <c r="L719" s="283"/>
      <c r="M719" s="283"/>
      <c r="N719" s="283"/>
      <c r="O719" s="283"/>
      <c r="P719" s="283"/>
      <c r="Q719" s="340"/>
      <c r="R719" s="283"/>
      <c r="S719" s="283"/>
      <c r="T719" s="340"/>
      <c r="U719" s="340"/>
      <c r="V719" s="283"/>
      <c r="W719" s="283"/>
      <c r="X719" s="283"/>
      <c r="Y719" s="283"/>
      <c r="Z719" s="283"/>
    </row>
    <row r="720" ht="15.75" customHeight="1">
      <c r="A720" s="340"/>
      <c r="B720" s="340"/>
      <c r="C720" s="283"/>
      <c r="D720" s="283"/>
      <c r="E720" s="283"/>
      <c r="F720" s="283"/>
      <c r="G720" s="283"/>
      <c r="H720" s="283"/>
      <c r="I720" s="283"/>
      <c r="J720" s="283"/>
      <c r="K720" s="340"/>
      <c r="L720" s="283"/>
      <c r="M720" s="283"/>
      <c r="N720" s="283"/>
      <c r="O720" s="283"/>
      <c r="P720" s="283"/>
      <c r="Q720" s="340"/>
      <c r="R720" s="283"/>
      <c r="S720" s="283"/>
      <c r="T720" s="340"/>
      <c r="U720" s="340"/>
      <c r="V720" s="283"/>
      <c r="W720" s="283"/>
      <c r="X720" s="283"/>
      <c r="Y720" s="283"/>
      <c r="Z720" s="283"/>
    </row>
    <row r="721" ht="15.75" customHeight="1">
      <c r="A721" s="340"/>
      <c r="B721" s="340"/>
      <c r="C721" s="283"/>
      <c r="D721" s="283"/>
      <c r="E721" s="283"/>
      <c r="F721" s="283"/>
      <c r="G721" s="283"/>
      <c r="H721" s="283"/>
      <c r="I721" s="283"/>
      <c r="J721" s="283"/>
      <c r="K721" s="340"/>
      <c r="L721" s="283"/>
      <c r="M721" s="283"/>
      <c r="N721" s="283"/>
      <c r="O721" s="283"/>
      <c r="P721" s="283"/>
      <c r="Q721" s="340"/>
      <c r="R721" s="283"/>
      <c r="S721" s="283"/>
      <c r="T721" s="340"/>
      <c r="U721" s="340"/>
      <c r="V721" s="283"/>
      <c r="W721" s="283"/>
      <c r="X721" s="283"/>
      <c r="Y721" s="283"/>
      <c r="Z721" s="283"/>
    </row>
    <row r="722" ht="15.75" customHeight="1">
      <c r="A722" s="340"/>
      <c r="B722" s="340"/>
      <c r="C722" s="283"/>
      <c r="D722" s="283"/>
      <c r="E722" s="283"/>
      <c r="F722" s="283"/>
      <c r="G722" s="283"/>
      <c r="H722" s="283"/>
      <c r="I722" s="283"/>
      <c r="J722" s="283"/>
      <c r="K722" s="340"/>
      <c r="L722" s="283"/>
      <c r="M722" s="283"/>
      <c r="N722" s="283"/>
      <c r="O722" s="283"/>
      <c r="P722" s="283"/>
      <c r="Q722" s="340"/>
      <c r="R722" s="283"/>
      <c r="S722" s="283"/>
      <c r="T722" s="340"/>
      <c r="U722" s="340"/>
      <c r="V722" s="283"/>
      <c r="W722" s="283"/>
      <c r="X722" s="283"/>
      <c r="Y722" s="283"/>
      <c r="Z722" s="283"/>
    </row>
    <row r="723" ht="15.75" customHeight="1">
      <c r="A723" s="340"/>
      <c r="B723" s="340"/>
      <c r="C723" s="283"/>
      <c r="D723" s="283"/>
      <c r="E723" s="283"/>
      <c r="F723" s="283"/>
      <c r="G723" s="283"/>
      <c r="H723" s="283"/>
      <c r="I723" s="283"/>
      <c r="J723" s="283"/>
      <c r="K723" s="340"/>
      <c r="L723" s="283"/>
      <c r="M723" s="283"/>
      <c r="N723" s="283"/>
      <c r="O723" s="283"/>
      <c r="P723" s="283"/>
      <c r="Q723" s="340"/>
      <c r="R723" s="283"/>
      <c r="S723" s="283"/>
      <c r="T723" s="340"/>
      <c r="U723" s="340"/>
      <c r="V723" s="283"/>
      <c r="W723" s="283"/>
      <c r="X723" s="283"/>
      <c r="Y723" s="283"/>
      <c r="Z723" s="283"/>
    </row>
    <row r="724" ht="15.75" customHeight="1">
      <c r="A724" s="340"/>
      <c r="B724" s="340"/>
      <c r="C724" s="283"/>
      <c r="D724" s="283"/>
      <c r="E724" s="283"/>
      <c r="F724" s="283"/>
      <c r="G724" s="283"/>
      <c r="H724" s="283"/>
      <c r="I724" s="283"/>
      <c r="J724" s="283"/>
      <c r="K724" s="340"/>
      <c r="L724" s="283"/>
      <c r="M724" s="283"/>
      <c r="N724" s="283"/>
      <c r="O724" s="283"/>
      <c r="P724" s="283"/>
      <c r="Q724" s="340"/>
      <c r="R724" s="283"/>
      <c r="S724" s="283"/>
      <c r="T724" s="340"/>
      <c r="U724" s="340"/>
      <c r="V724" s="283"/>
      <c r="W724" s="283"/>
      <c r="X724" s="283"/>
      <c r="Y724" s="283"/>
      <c r="Z724" s="283"/>
    </row>
    <row r="725" ht="15.75" customHeight="1">
      <c r="A725" s="340"/>
      <c r="B725" s="340"/>
      <c r="C725" s="283"/>
      <c r="D725" s="283"/>
      <c r="E725" s="283"/>
      <c r="F725" s="283"/>
      <c r="G725" s="283"/>
      <c r="H725" s="283"/>
      <c r="I725" s="283"/>
      <c r="J725" s="283"/>
      <c r="K725" s="340"/>
      <c r="L725" s="283"/>
      <c r="M725" s="283"/>
      <c r="N725" s="283"/>
      <c r="O725" s="283"/>
      <c r="P725" s="283"/>
      <c r="Q725" s="340"/>
      <c r="R725" s="283"/>
      <c r="S725" s="283"/>
      <c r="T725" s="340"/>
      <c r="U725" s="340"/>
      <c r="V725" s="283"/>
      <c r="W725" s="283"/>
      <c r="X725" s="283"/>
      <c r="Y725" s="283"/>
      <c r="Z725" s="283"/>
    </row>
    <row r="726" ht="15.75" customHeight="1">
      <c r="A726" s="340"/>
      <c r="B726" s="340"/>
      <c r="C726" s="283"/>
      <c r="D726" s="283"/>
      <c r="E726" s="283"/>
      <c r="F726" s="283"/>
      <c r="G726" s="283"/>
      <c r="H726" s="283"/>
      <c r="I726" s="283"/>
      <c r="J726" s="283"/>
      <c r="K726" s="340"/>
      <c r="L726" s="283"/>
      <c r="M726" s="283"/>
      <c r="N726" s="283"/>
      <c r="O726" s="283"/>
      <c r="P726" s="283"/>
      <c r="Q726" s="340"/>
      <c r="R726" s="283"/>
      <c r="S726" s="283"/>
      <c r="T726" s="340"/>
      <c r="U726" s="340"/>
      <c r="V726" s="283"/>
      <c r="W726" s="283"/>
      <c r="X726" s="283"/>
      <c r="Y726" s="283"/>
      <c r="Z726" s="283"/>
    </row>
    <row r="727" ht="15.75" customHeight="1">
      <c r="A727" s="340"/>
      <c r="B727" s="340"/>
      <c r="C727" s="283"/>
      <c r="D727" s="283"/>
      <c r="E727" s="283"/>
      <c r="F727" s="283"/>
      <c r="G727" s="283"/>
      <c r="H727" s="283"/>
      <c r="I727" s="283"/>
      <c r="J727" s="283"/>
      <c r="K727" s="340"/>
      <c r="L727" s="283"/>
      <c r="M727" s="283"/>
      <c r="N727" s="283"/>
      <c r="O727" s="283"/>
      <c r="P727" s="283"/>
      <c r="Q727" s="340"/>
      <c r="R727" s="283"/>
      <c r="S727" s="283"/>
      <c r="T727" s="340"/>
      <c r="U727" s="340"/>
      <c r="V727" s="283"/>
      <c r="W727" s="283"/>
      <c r="X727" s="283"/>
      <c r="Y727" s="283"/>
      <c r="Z727" s="283"/>
    </row>
    <row r="728" ht="15.75" customHeight="1">
      <c r="A728" s="340"/>
      <c r="B728" s="340"/>
      <c r="C728" s="283"/>
      <c r="D728" s="283"/>
      <c r="E728" s="283"/>
      <c r="F728" s="283"/>
      <c r="G728" s="283"/>
      <c r="H728" s="283"/>
      <c r="I728" s="283"/>
      <c r="J728" s="283"/>
      <c r="K728" s="340"/>
      <c r="L728" s="283"/>
      <c r="M728" s="283"/>
      <c r="N728" s="283"/>
      <c r="O728" s="283"/>
      <c r="P728" s="283"/>
      <c r="Q728" s="340"/>
      <c r="R728" s="283"/>
      <c r="S728" s="283"/>
      <c r="T728" s="340"/>
      <c r="U728" s="340"/>
      <c r="V728" s="283"/>
      <c r="W728" s="283"/>
      <c r="X728" s="283"/>
      <c r="Y728" s="283"/>
      <c r="Z728" s="283"/>
    </row>
    <row r="729" ht="15.75" customHeight="1">
      <c r="A729" s="340"/>
      <c r="B729" s="340"/>
      <c r="C729" s="283"/>
      <c r="D729" s="283"/>
      <c r="E729" s="283"/>
      <c r="F729" s="283"/>
      <c r="G729" s="283"/>
      <c r="H729" s="283"/>
      <c r="I729" s="283"/>
      <c r="J729" s="283"/>
      <c r="K729" s="340"/>
      <c r="L729" s="283"/>
      <c r="M729" s="283"/>
      <c r="N729" s="283"/>
      <c r="O729" s="283"/>
      <c r="P729" s="283"/>
      <c r="Q729" s="340"/>
      <c r="R729" s="283"/>
      <c r="S729" s="283"/>
      <c r="T729" s="340"/>
      <c r="U729" s="340"/>
      <c r="V729" s="283"/>
      <c r="W729" s="283"/>
      <c r="X729" s="283"/>
      <c r="Y729" s="283"/>
      <c r="Z729" s="283"/>
    </row>
    <row r="730" ht="15.75" customHeight="1">
      <c r="A730" s="340"/>
      <c r="B730" s="340"/>
      <c r="C730" s="283"/>
      <c r="D730" s="283"/>
      <c r="E730" s="283"/>
      <c r="F730" s="283"/>
      <c r="G730" s="283"/>
      <c r="H730" s="283"/>
      <c r="I730" s="283"/>
      <c r="J730" s="283"/>
      <c r="K730" s="340"/>
      <c r="L730" s="283"/>
      <c r="M730" s="283"/>
      <c r="N730" s="283"/>
      <c r="O730" s="283"/>
      <c r="P730" s="283"/>
      <c r="Q730" s="340"/>
      <c r="R730" s="283"/>
      <c r="S730" s="283"/>
      <c r="T730" s="340"/>
      <c r="U730" s="340"/>
      <c r="V730" s="283"/>
      <c r="W730" s="283"/>
      <c r="X730" s="283"/>
      <c r="Y730" s="283"/>
      <c r="Z730" s="283"/>
    </row>
    <row r="731" ht="15.75" customHeight="1">
      <c r="A731" s="340"/>
      <c r="B731" s="340"/>
      <c r="C731" s="283"/>
      <c r="D731" s="283"/>
      <c r="E731" s="283"/>
      <c r="F731" s="283"/>
      <c r="G731" s="283"/>
      <c r="H731" s="283"/>
      <c r="I731" s="283"/>
      <c r="J731" s="283"/>
      <c r="K731" s="340"/>
      <c r="L731" s="283"/>
      <c r="M731" s="283"/>
      <c r="N731" s="283"/>
      <c r="O731" s="283"/>
      <c r="P731" s="283"/>
      <c r="Q731" s="340"/>
      <c r="R731" s="283"/>
      <c r="S731" s="283"/>
      <c r="T731" s="340"/>
      <c r="U731" s="340"/>
      <c r="V731" s="283"/>
      <c r="W731" s="283"/>
      <c r="X731" s="283"/>
      <c r="Y731" s="283"/>
      <c r="Z731" s="283"/>
    </row>
    <row r="732" ht="15.75" customHeight="1">
      <c r="A732" s="340"/>
      <c r="B732" s="340"/>
      <c r="C732" s="283"/>
      <c r="D732" s="283"/>
      <c r="E732" s="283"/>
      <c r="F732" s="283"/>
      <c r="G732" s="283"/>
      <c r="H732" s="283"/>
      <c r="I732" s="283"/>
      <c r="J732" s="283"/>
      <c r="K732" s="340"/>
      <c r="L732" s="283"/>
      <c r="M732" s="283"/>
      <c r="N732" s="283"/>
      <c r="O732" s="283"/>
      <c r="P732" s="283"/>
      <c r="Q732" s="340"/>
      <c r="R732" s="283"/>
      <c r="S732" s="283"/>
      <c r="T732" s="340"/>
      <c r="U732" s="340"/>
      <c r="V732" s="283"/>
      <c r="W732" s="283"/>
      <c r="X732" s="283"/>
      <c r="Y732" s="283"/>
      <c r="Z732" s="283"/>
    </row>
    <row r="733" ht="15.75" customHeight="1">
      <c r="A733" s="340"/>
      <c r="B733" s="340"/>
      <c r="C733" s="283"/>
      <c r="D733" s="283"/>
      <c r="E733" s="283"/>
      <c r="F733" s="283"/>
      <c r="G733" s="283"/>
      <c r="H733" s="283"/>
      <c r="I733" s="283"/>
      <c r="J733" s="283"/>
      <c r="K733" s="340"/>
      <c r="L733" s="283"/>
      <c r="M733" s="283"/>
      <c r="N733" s="283"/>
      <c r="O733" s="283"/>
      <c r="P733" s="283"/>
      <c r="Q733" s="340"/>
      <c r="R733" s="283"/>
      <c r="S733" s="283"/>
      <c r="T733" s="340"/>
      <c r="U733" s="340"/>
      <c r="V733" s="283"/>
      <c r="W733" s="283"/>
      <c r="X733" s="283"/>
      <c r="Y733" s="283"/>
      <c r="Z733" s="283"/>
    </row>
    <row r="734" ht="15.75" customHeight="1">
      <c r="A734" s="340"/>
      <c r="B734" s="340"/>
      <c r="C734" s="283"/>
      <c r="D734" s="283"/>
      <c r="E734" s="283"/>
      <c r="F734" s="283"/>
      <c r="G734" s="283"/>
      <c r="H734" s="283"/>
      <c r="I734" s="283"/>
      <c r="J734" s="283"/>
      <c r="K734" s="340"/>
      <c r="L734" s="283"/>
      <c r="M734" s="283"/>
      <c r="N734" s="283"/>
      <c r="O734" s="283"/>
      <c r="P734" s="283"/>
      <c r="Q734" s="340"/>
      <c r="R734" s="283"/>
      <c r="S734" s="283"/>
      <c r="T734" s="340"/>
      <c r="U734" s="340"/>
      <c r="V734" s="283"/>
      <c r="W734" s="283"/>
      <c r="X734" s="283"/>
      <c r="Y734" s="283"/>
      <c r="Z734" s="283"/>
    </row>
    <row r="735" ht="15.75" customHeight="1">
      <c r="A735" s="340"/>
      <c r="B735" s="340"/>
      <c r="C735" s="283"/>
      <c r="D735" s="283"/>
      <c r="E735" s="283"/>
      <c r="F735" s="283"/>
      <c r="G735" s="283"/>
      <c r="H735" s="283"/>
      <c r="I735" s="283"/>
      <c r="J735" s="283"/>
      <c r="K735" s="340"/>
      <c r="L735" s="283"/>
      <c r="M735" s="283"/>
      <c r="N735" s="283"/>
      <c r="O735" s="283"/>
      <c r="P735" s="283"/>
      <c r="Q735" s="340"/>
      <c r="R735" s="283"/>
      <c r="S735" s="283"/>
      <c r="T735" s="340"/>
      <c r="U735" s="340"/>
      <c r="V735" s="283"/>
      <c r="W735" s="283"/>
      <c r="X735" s="283"/>
      <c r="Y735" s="283"/>
      <c r="Z735" s="283"/>
    </row>
    <row r="736" ht="15.75" customHeight="1">
      <c r="A736" s="340"/>
      <c r="B736" s="340"/>
      <c r="C736" s="283"/>
      <c r="D736" s="283"/>
      <c r="E736" s="283"/>
      <c r="F736" s="283"/>
      <c r="G736" s="283"/>
      <c r="H736" s="283"/>
      <c r="I736" s="283"/>
      <c r="J736" s="283"/>
      <c r="K736" s="340"/>
      <c r="L736" s="283"/>
      <c r="M736" s="283"/>
      <c r="N736" s="283"/>
      <c r="O736" s="283"/>
      <c r="P736" s="283"/>
      <c r="Q736" s="340"/>
      <c r="R736" s="283"/>
      <c r="S736" s="283"/>
      <c r="T736" s="340"/>
      <c r="U736" s="340"/>
      <c r="V736" s="283"/>
      <c r="W736" s="283"/>
      <c r="X736" s="283"/>
      <c r="Y736" s="283"/>
      <c r="Z736" s="283"/>
    </row>
    <row r="737" ht="15.75" customHeight="1">
      <c r="A737" s="340"/>
      <c r="B737" s="340"/>
      <c r="C737" s="283"/>
      <c r="D737" s="283"/>
      <c r="E737" s="283"/>
      <c r="F737" s="283"/>
      <c r="G737" s="283"/>
      <c r="H737" s="283"/>
      <c r="I737" s="283"/>
      <c r="J737" s="283"/>
      <c r="K737" s="340"/>
      <c r="L737" s="283"/>
      <c r="M737" s="283"/>
      <c r="N737" s="283"/>
      <c r="O737" s="283"/>
      <c r="P737" s="283"/>
      <c r="Q737" s="340"/>
      <c r="R737" s="283"/>
      <c r="S737" s="283"/>
      <c r="T737" s="340"/>
      <c r="U737" s="340"/>
      <c r="V737" s="283"/>
      <c r="W737" s="283"/>
      <c r="X737" s="283"/>
      <c r="Y737" s="283"/>
      <c r="Z737" s="283"/>
    </row>
    <row r="738" ht="15.75" customHeight="1">
      <c r="A738" s="340"/>
      <c r="B738" s="340"/>
      <c r="C738" s="283"/>
      <c r="D738" s="283"/>
      <c r="E738" s="283"/>
      <c r="F738" s="283"/>
      <c r="G738" s="283"/>
      <c r="H738" s="283"/>
      <c r="I738" s="283"/>
      <c r="J738" s="283"/>
      <c r="K738" s="340"/>
      <c r="L738" s="283"/>
      <c r="M738" s="283"/>
      <c r="N738" s="283"/>
      <c r="O738" s="283"/>
      <c r="P738" s="283"/>
      <c r="Q738" s="340"/>
      <c r="R738" s="283"/>
      <c r="S738" s="283"/>
      <c r="T738" s="340"/>
      <c r="U738" s="340"/>
      <c r="V738" s="283"/>
      <c r="W738" s="283"/>
      <c r="X738" s="283"/>
      <c r="Y738" s="283"/>
      <c r="Z738" s="283"/>
    </row>
    <row r="739" ht="15.75" customHeight="1">
      <c r="A739" s="340"/>
      <c r="B739" s="340"/>
      <c r="C739" s="283"/>
      <c r="D739" s="283"/>
      <c r="E739" s="283"/>
      <c r="F739" s="283"/>
      <c r="G739" s="283"/>
      <c r="H739" s="283"/>
      <c r="I739" s="283"/>
      <c r="J739" s="283"/>
      <c r="K739" s="340"/>
      <c r="L739" s="283"/>
      <c r="M739" s="283"/>
      <c r="N739" s="283"/>
      <c r="O739" s="283"/>
      <c r="P739" s="283"/>
      <c r="Q739" s="340"/>
      <c r="R739" s="283"/>
      <c r="S739" s="283"/>
      <c r="T739" s="340"/>
      <c r="U739" s="340"/>
      <c r="V739" s="283"/>
      <c r="W739" s="283"/>
      <c r="X739" s="283"/>
      <c r="Y739" s="283"/>
      <c r="Z739" s="283"/>
    </row>
    <row r="740" ht="15.75" customHeight="1">
      <c r="A740" s="340"/>
      <c r="B740" s="340"/>
      <c r="C740" s="283"/>
      <c r="D740" s="283"/>
      <c r="E740" s="283"/>
      <c r="F740" s="283"/>
      <c r="G740" s="283"/>
      <c r="H740" s="283"/>
      <c r="I740" s="283"/>
      <c r="J740" s="283"/>
      <c r="K740" s="340"/>
      <c r="L740" s="283"/>
      <c r="M740" s="283"/>
      <c r="N740" s="283"/>
      <c r="O740" s="283"/>
      <c r="P740" s="283"/>
      <c r="Q740" s="340"/>
      <c r="R740" s="283"/>
      <c r="S740" s="283"/>
      <c r="T740" s="340"/>
      <c r="U740" s="340"/>
      <c r="V740" s="283"/>
      <c r="W740" s="283"/>
      <c r="X740" s="283"/>
      <c r="Y740" s="283"/>
      <c r="Z740" s="283"/>
    </row>
    <row r="741" ht="15.75" customHeight="1">
      <c r="A741" s="340"/>
      <c r="B741" s="340"/>
      <c r="C741" s="283"/>
      <c r="D741" s="283"/>
      <c r="E741" s="283"/>
      <c r="F741" s="283"/>
      <c r="G741" s="283"/>
      <c r="H741" s="283"/>
      <c r="I741" s="283"/>
      <c r="J741" s="283"/>
      <c r="K741" s="340"/>
      <c r="L741" s="283"/>
      <c r="M741" s="283"/>
      <c r="N741" s="283"/>
      <c r="O741" s="283"/>
      <c r="P741" s="283"/>
      <c r="Q741" s="340"/>
      <c r="R741" s="283"/>
      <c r="S741" s="283"/>
      <c r="T741" s="340"/>
      <c r="U741" s="340"/>
      <c r="V741" s="283"/>
      <c r="W741" s="283"/>
      <c r="X741" s="283"/>
      <c r="Y741" s="283"/>
      <c r="Z741" s="283"/>
    </row>
    <row r="742" ht="15.75" customHeight="1">
      <c r="A742" s="340"/>
      <c r="B742" s="340"/>
      <c r="C742" s="283"/>
      <c r="D742" s="283"/>
      <c r="E742" s="283"/>
      <c r="F742" s="283"/>
      <c r="G742" s="283"/>
      <c r="H742" s="283"/>
      <c r="I742" s="283"/>
      <c r="J742" s="283"/>
      <c r="K742" s="340"/>
      <c r="L742" s="283"/>
      <c r="M742" s="283"/>
      <c r="N742" s="283"/>
      <c r="O742" s="283"/>
      <c r="P742" s="283"/>
      <c r="Q742" s="340"/>
      <c r="R742" s="283"/>
      <c r="S742" s="283"/>
      <c r="T742" s="340"/>
      <c r="U742" s="340"/>
      <c r="V742" s="283"/>
      <c r="W742" s="283"/>
      <c r="X742" s="283"/>
      <c r="Y742" s="283"/>
      <c r="Z742" s="283"/>
    </row>
    <row r="743" ht="15.75" customHeight="1">
      <c r="A743" s="340"/>
      <c r="B743" s="340"/>
      <c r="C743" s="283"/>
      <c r="D743" s="283"/>
      <c r="E743" s="283"/>
      <c r="F743" s="283"/>
      <c r="G743" s="283"/>
      <c r="H743" s="283"/>
      <c r="I743" s="283"/>
      <c r="J743" s="283"/>
      <c r="K743" s="340"/>
      <c r="L743" s="283"/>
      <c r="M743" s="283"/>
      <c r="N743" s="283"/>
      <c r="O743" s="283"/>
      <c r="P743" s="283"/>
      <c r="Q743" s="340"/>
      <c r="R743" s="283"/>
      <c r="S743" s="283"/>
      <c r="T743" s="340"/>
      <c r="U743" s="340"/>
      <c r="V743" s="283"/>
      <c r="W743" s="283"/>
      <c r="X743" s="283"/>
      <c r="Y743" s="283"/>
      <c r="Z743" s="283"/>
    </row>
    <row r="744" ht="15.75" customHeight="1">
      <c r="A744" s="340"/>
      <c r="B744" s="340"/>
      <c r="C744" s="283"/>
      <c r="D744" s="283"/>
      <c r="E744" s="283"/>
      <c r="F744" s="283"/>
      <c r="G744" s="283"/>
      <c r="H744" s="283"/>
      <c r="I744" s="283"/>
      <c r="J744" s="283"/>
      <c r="K744" s="340"/>
      <c r="L744" s="283"/>
      <c r="M744" s="283"/>
      <c r="N744" s="283"/>
      <c r="O744" s="283"/>
      <c r="P744" s="283"/>
      <c r="Q744" s="340"/>
      <c r="R744" s="283"/>
      <c r="S744" s="283"/>
      <c r="T744" s="340"/>
      <c r="U744" s="340"/>
      <c r="V744" s="283"/>
      <c r="W744" s="283"/>
      <c r="X744" s="283"/>
      <c r="Y744" s="283"/>
      <c r="Z744" s="283"/>
    </row>
    <row r="745" ht="15.75" customHeight="1">
      <c r="A745" s="340"/>
      <c r="B745" s="340"/>
      <c r="C745" s="283"/>
      <c r="D745" s="283"/>
      <c r="E745" s="283"/>
      <c r="F745" s="283"/>
      <c r="G745" s="283"/>
      <c r="H745" s="283"/>
      <c r="I745" s="283"/>
      <c r="J745" s="283"/>
      <c r="K745" s="340"/>
      <c r="L745" s="283"/>
      <c r="M745" s="283"/>
      <c r="N745" s="283"/>
      <c r="O745" s="283"/>
      <c r="P745" s="283"/>
      <c r="Q745" s="340"/>
      <c r="R745" s="283"/>
      <c r="S745" s="283"/>
      <c r="T745" s="340"/>
      <c r="U745" s="340"/>
      <c r="V745" s="283"/>
      <c r="W745" s="283"/>
      <c r="X745" s="283"/>
      <c r="Y745" s="283"/>
      <c r="Z745" s="283"/>
    </row>
    <row r="746" ht="15.75" customHeight="1">
      <c r="A746" s="340"/>
      <c r="B746" s="340"/>
      <c r="C746" s="283"/>
      <c r="D746" s="283"/>
      <c r="E746" s="283"/>
      <c r="F746" s="283"/>
      <c r="G746" s="283"/>
      <c r="H746" s="283"/>
      <c r="I746" s="283"/>
      <c r="J746" s="283"/>
      <c r="K746" s="340"/>
      <c r="L746" s="283"/>
      <c r="M746" s="283"/>
      <c r="N746" s="283"/>
      <c r="O746" s="283"/>
      <c r="P746" s="283"/>
      <c r="Q746" s="340"/>
      <c r="R746" s="283"/>
      <c r="S746" s="283"/>
      <c r="T746" s="340"/>
      <c r="U746" s="340"/>
      <c r="V746" s="283"/>
      <c r="W746" s="283"/>
      <c r="X746" s="283"/>
      <c r="Y746" s="283"/>
      <c r="Z746" s="283"/>
    </row>
    <row r="747" ht="15.75" customHeight="1">
      <c r="A747" s="340"/>
      <c r="B747" s="340"/>
      <c r="C747" s="283"/>
      <c r="D747" s="283"/>
      <c r="E747" s="283"/>
      <c r="F747" s="283"/>
      <c r="G747" s="283"/>
      <c r="H747" s="283"/>
      <c r="I747" s="283"/>
      <c r="J747" s="283"/>
      <c r="K747" s="340"/>
      <c r="L747" s="283"/>
      <c r="M747" s="283"/>
      <c r="N747" s="283"/>
      <c r="O747" s="283"/>
      <c r="P747" s="283"/>
      <c r="Q747" s="340"/>
      <c r="R747" s="283"/>
      <c r="S747" s="283"/>
      <c r="T747" s="340"/>
      <c r="U747" s="340"/>
      <c r="V747" s="283"/>
      <c r="W747" s="283"/>
      <c r="X747" s="283"/>
      <c r="Y747" s="283"/>
      <c r="Z747" s="283"/>
    </row>
    <row r="748" ht="15.75" customHeight="1">
      <c r="A748" s="340"/>
      <c r="B748" s="340"/>
      <c r="C748" s="283"/>
      <c r="D748" s="283"/>
      <c r="E748" s="283"/>
      <c r="F748" s="283"/>
      <c r="G748" s="283"/>
      <c r="H748" s="283"/>
      <c r="I748" s="283"/>
      <c r="J748" s="283"/>
      <c r="K748" s="340"/>
      <c r="L748" s="283"/>
      <c r="M748" s="283"/>
      <c r="N748" s="283"/>
      <c r="O748" s="283"/>
      <c r="P748" s="283"/>
      <c r="Q748" s="340"/>
      <c r="R748" s="283"/>
      <c r="S748" s="283"/>
      <c r="T748" s="340"/>
      <c r="U748" s="340"/>
      <c r="V748" s="283"/>
      <c r="W748" s="283"/>
      <c r="X748" s="283"/>
      <c r="Y748" s="283"/>
      <c r="Z748" s="283"/>
    </row>
    <row r="749" ht="15.75" customHeight="1">
      <c r="A749" s="340"/>
      <c r="B749" s="340"/>
      <c r="C749" s="283"/>
      <c r="D749" s="283"/>
      <c r="E749" s="283"/>
      <c r="F749" s="283"/>
      <c r="G749" s="283"/>
      <c r="H749" s="283"/>
      <c r="I749" s="283"/>
      <c r="J749" s="283"/>
      <c r="K749" s="340"/>
      <c r="L749" s="283"/>
      <c r="M749" s="283"/>
      <c r="N749" s="283"/>
      <c r="O749" s="283"/>
      <c r="P749" s="283"/>
      <c r="Q749" s="340"/>
      <c r="R749" s="283"/>
      <c r="S749" s="283"/>
      <c r="T749" s="340"/>
      <c r="U749" s="340"/>
      <c r="V749" s="283"/>
      <c r="W749" s="283"/>
      <c r="X749" s="283"/>
      <c r="Y749" s="283"/>
      <c r="Z749" s="283"/>
    </row>
    <row r="750" ht="15.75" customHeight="1">
      <c r="A750" s="340"/>
      <c r="B750" s="340"/>
      <c r="C750" s="283"/>
      <c r="D750" s="283"/>
      <c r="E750" s="283"/>
      <c r="F750" s="283"/>
      <c r="G750" s="283"/>
      <c r="H750" s="283"/>
      <c r="I750" s="283"/>
      <c r="J750" s="283"/>
      <c r="K750" s="340"/>
      <c r="L750" s="283"/>
      <c r="M750" s="283"/>
      <c r="N750" s="283"/>
      <c r="O750" s="283"/>
      <c r="P750" s="283"/>
      <c r="Q750" s="340"/>
      <c r="R750" s="283"/>
      <c r="S750" s="283"/>
      <c r="T750" s="340"/>
      <c r="U750" s="340"/>
      <c r="V750" s="283"/>
      <c r="W750" s="283"/>
      <c r="X750" s="283"/>
      <c r="Y750" s="283"/>
      <c r="Z750" s="283"/>
    </row>
    <row r="751" ht="15.75" customHeight="1">
      <c r="A751" s="340"/>
      <c r="B751" s="340"/>
      <c r="C751" s="283"/>
      <c r="D751" s="283"/>
      <c r="E751" s="283"/>
      <c r="F751" s="283"/>
      <c r="G751" s="283"/>
      <c r="H751" s="283"/>
      <c r="I751" s="283"/>
      <c r="J751" s="283"/>
      <c r="K751" s="340"/>
      <c r="L751" s="283"/>
      <c r="M751" s="283"/>
      <c r="N751" s="283"/>
      <c r="O751" s="283"/>
      <c r="P751" s="283"/>
      <c r="Q751" s="340"/>
      <c r="R751" s="283"/>
      <c r="S751" s="283"/>
      <c r="T751" s="340"/>
      <c r="U751" s="340"/>
      <c r="V751" s="283"/>
      <c r="W751" s="283"/>
      <c r="X751" s="283"/>
      <c r="Y751" s="283"/>
      <c r="Z751" s="283"/>
    </row>
    <row r="752" ht="15.75" customHeight="1">
      <c r="A752" s="340"/>
      <c r="B752" s="340"/>
      <c r="C752" s="283"/>
      <c r="D752" s="283"/>
      <c r="E752" s="283"/>
      <c r="F752" s="283"/>
      <c r="G752" s="283"/>
      <c r="H752" s="283"/>
      <c r="I752" s="283"/>
      <c r="J752" s="283"/>
      <c r="K752" s="340"/>
      <c r="L752" s="283"/>
      <c r="M752" s="283"/>
      <c r="N752" s="283"/>
      <c r="O752" s="283"/>
      <c r="P752" s="283"/>
      <c r="Q752" s="340"/>
      <c r="R752" s="283"/>
      <c r="S752" s="283"/>
      <c r="T752" s="340"/>
      <c r="U752" s="340"/>
      <c r="V752" s="283"/>
      <c r="W752" s="283"/>
      <c r="X752" s="283"/>
      <c r="Y752" s="283"/>
      <c r="Z752" s="283"/>
    </row>
    <row r="753" ht="15.75" customHeight="1">
      <c r="A753" s="340"/>
      <c r="B753" s="340"/>
      <c r="C753" s="283"/>
      <c r="D753" s="283"/>
      <c r="E753" s="283"/>
      <c r="F753" s="283"/>
      <c r="G753" s="283"/>
      <c r="H753" s="283"/>
      <c r="I753" s="283"/>
      <c r="J753" s="283"/>
      <c r="K753" s="340"/>
      <c r="L753" s="283"/>
      <c r="M753" s="283"/>
      <c r="N753" s="283"/>
      <c r="O753" s="283"/>
      <c r="P753" s="283"/>
      <c r="Q753" s="340"/>
      <c r="R753" s="283"/>
      <c r="S753" s="283"/>
      <c r="T753" s="340"/>
      <c r="U753" s="340"/>
      <c r="V753" s="283"/>
      <c r="W753" s="283"/>
      <c r="X753" s="283"/>
      <c r="Y753" s="283"/>
      <c r="Z753" s="283"/>
    </row>
    <row r="754" ht="15.75" customHeight="1">
      <c r="A754" s="340"/>
      <c r="B754" s="340"/>
      <c r="C754" s="283"/>
      <c r="D754" s="283"/>
      <c r="E754" s="283"/>
      <c r="F754" s="283"/>
      <c r="G754" s="283"/>
      <c r="H754" s="283"/>
      <c r="I754" s="283"/>
      <c r="J754" s="283"/>
      <c r="K754" s="340"/>
      <c r="L754" s="283"/>
      <c r="M754" s="283"/>
      <c r="N754" s="283"/>
      <c r="O754" s="283"/>
      <c r="P754" s="283"/>
      <c r="Q754" s="340"/>
      <c r="R754" s="283"/>
      <c r="S754" s="283"/>
      <c r="T754" s="340"/>
      <c r="U754" s="340"/>
      <c r="V754" s="283"/>
      <c r="W754" s="283"/>
      <c r="X754" s="283"/>
      <c r="Y754" s="283"/>
      <c r="Z754" s="283"/>
    </row>
    <row r="755" ht="15.75" customHeight="1">
      <c r="A755" s="340"/>
      <c r="B755" s="340"/>
      <c r="C755" s="283"/>
      <c r="D755" s="283"/>
      <c r="E755" s="283"/>
      <c r="F755" s="283"/>
      <c r="G755" s="283"/>
      <c r="H755" s="283"/>
      <c r="I755" s="283"/>
      <c r="J755" s="283"/>
      <c r="K755" s="340"/>
      <c r="L755" s="283"/>
      <c r="M755" s="283"/>
      <c r="N755" s="283"/>
      <c r="O755" s="283"/>
      <c r="P755" s="283"/>
      <c r="Q755" s="340"/>
      <c r="R755" s="283"/>
      <c r="S755" s="283"/>
      <c r="T755" s="340"/>
      <c r="U755" s="340"/>
      <c r="V755" s="283"/>
      <c r="W755" s="283"/>
      <c r="X755" s="283"/>
      <c r="Y755" s="283"/>
      <c r="Z755" s="283"/>
    </row>
    <row r="756" ht="15.75" customHeight="1">
      <c r="A756" s="340"/>
      <c r="B756" s="340"/>
      <c r="C756" s="283"/>
      <c r="D756" s="283"/>
      <c r="E756" s="283"/>
      <c r="F756" s="283"/>
      <c r="G756" s="283"/>
      <c r="H756" s="283"/>
      <c r="I756" s="283"/>
      <c r="J756" s="283"/>
      <c r="K756" s="340"/>
      <c r="L756" s="283"/>
      <c r="M756" s="283"/>
      <c r="N756" s="283"/>
      <c r="O756" s="283"/>
      <c r="P756" s="283"/>
      <c r="Q756" s="340"/>
      <c r="R756" s="283"/>
      <c r="S756" s="283"/>
      <c r="T756" s="340"/>
      <c r="U756" s="340"/>
      <c r="V756" s="283"/>
      <c r="W756" s="283"/>
      <c r="X756" s="283"/>
      <c r="Y756" s="283"/>
      <c r="Z756" s="283"/>
    </row>
    <row r="757" ht="15.75" customHeight="1">
      <c r="A757" s="340"/>
      <c r="B757" s="340"/>
      <c r="C757" s="283"/>
      <c r="D757" s="283"/>
      <c r="E757" s="283"/>
      <c r="F757" s="283"/>
      <c r="G757" s="283"/>
      <c r="H757" s="283"/>
      <c r="I757" s="283"/>
      <c r="J757" s="283"/>
      <c r="K757" s="340"/>
      <c r="L757" s="283"/>
      <c r="M757" s="283"/>
      <c r="N757" s="283"/>
      <c r="O757" s="283"/>
      <c r="P757" s="283"/>
      <c r="Q757" s="340"/>
      <c r="R757" s="283"/>
      <c r="S757" s="283"/>
      <c r="T757" s="340"/>
      <c r="U757" s="340"/>
      <c r="V757" s="283"/>
      <c r="W757" s="283"/>
      <c r="X757" s="283"/>
      <c r="Y757" s="283"/>
      <c r="Z757" s="283"/>
    </row>
    <row r="758" ht="15.75" customHeight="1">
      <c r="A758" s="340"/>
      <c r="B758" s="340"/>
      <c r="C758" s="283"/>
      <c r="D758" s="283"/>
      <c r="E758" s="283"/>
      <c r="F758" s="283"/>
      <c r="G758" s="283"/>
      <c r="H758" s="283"/>
      <c r="I758" s="283"/>
      <c r="J758" s="283"/>
      <c r="K758" s="340"/>
      <c r="L758" s="283"/>
      <c r="M758" s="283"/>
      <c r="N758" s="283"/>
      <c r="O758" s="283"/>
      <c r="P758" s="283"/>
      <c r="Q758" s="340"/>
      <c r="R758" s="283"/>
      <c r="S758" s="283"/>
      <c r="T758" s="340"/>
      <c r="U758" s="340"/>
      <c r="V758" s="283"/>
      <c r="W758" s="283"/>
      <c r="X758" s="283"/>
      <c r="Y758" s="283"/>
      <c r="Z758" s="283"/>
    </row>
    <row r="759" ht="15.75" customHeight="1">
      <c r="A759" s="340"/>
      <c r="B759" s="340"/>
      <c r="C759" s="283"/>
      <c r="D759" s="283"/>
      <c r="E759" s="283"/>
      <c r="F759" s="283"/>
      <c r="G759" s="283"/>
      <c r="H759" s="283"/>
      <c r="I759" s="283"/>
      <c r="J759" s="283"/>
      <c r="K759" s="340"/>
      <c r="L759" s="283"/>
      <c r="M759" s="283"/>
      <c r="N759" s="283"/>
      <c r="O759" s="283"/>
      <c r="P759" s="283"/>
      <c r="Q759" s="340"/>
      <c r="R759" s="283"/>
      <c r="S759" s="283"/>
      <c r="T759" s="340"/>
      <c r="U759" s="340"/>
      <c r="V759" s="283"/>
      <c r="W759" s="283"/>
      <c r="X759" s="283"/>
      <c r="Y759" s="283"/>
      <c r="Z759" s="283"/>
    </row>
    <row r="760" ht="15.75" customHeight="1">
      <c r="A760" s="340"/>
      <c r="B760" s="340"/>
      <c r="C760" s="283"/>
      <c r="D760" s="283"/>
      <c r="E760" s="283"/>
      <c r="F760" s="283"/>
      <c r="G760" s="283"/>
      <c r="H760" s="283"/>
      <c r="I760" s="283"/>
      <c r="J760" s="283"/>
      <c r="K760" s="340"/>
      <c r="L760" s="283"/>
      <c r="M760" s="283"/>
      <c r="N760" s="283"/>
      <c r="O760" s="283"/>
      <c r="P760" s="283"/>
      <c r="Q760" s="340"/>
      <c r="R760" s="283"/>
      <c r="S760" s="283"/>
      <c r="T760" s="340"/>
      <c r="U760" s="340"/>
      <c r="V760" s="283"/>
      <c r="W760" s="283"/>
      <c r="X760" s="283"/>
      <c r="Y760" s="283"/>
      <c r="Z760" s="283"/>
    </row>
    <row r="761" ht="15.75" customHeight="1">
      <c r="A761" s="340"/>
      <c r="B761" s="340"/>
      <c r="C761" s="283"/>
      <c r="D761" s="283"/>
      <c r="E761" s="283"/>
      <c r="F761" s="283"/>
      <c r="G761" s="283"/>
      <c r="H761" s="283"/>
      <c r="I761" s="283"/>
      <c r="J761" s="283"/>
      <c r="K761" s="340"/>
      <c r="L761" s="283"/>
      <c r="M761" s="283"/>
      <c r="N761" s="283"/>
      <c r="O761" s="283"/>
      <c r="P761" s="283"/>
      <c r="Q761" s="340"/>
      <c r="R761" s="283"/>
      <c r="S761" s="283"/>
      <c r="T761" s="340"/>
      <c r="U761" s="340"/>
      <c r="V761" s="283"/>
      <c r="W761" s="283"/>
      <c r="X761" s="283"/>
      <c r="Y761" s="283"/>
      <c r="Z761" s="283"/>
    </row>
    <row r="762" ht="15.75" customHeight="1">
      <c r="A762" s="340"/>
      <c r="B762" s="340"/>
      <c r="C762" s="283"/>
      <c r="D762" s="283"/>
      <c r="E762" s="283"/>
      <c r="F762" s="283"/>
      <c r="G762" s="283"/>
      <c r="H762" s="283"/>
      <c r="I762" s="283"/>
      <c r="J762" s="283"/>
      <c r="K762" s="340"/>
      <c r="L762" s="283"/>
      <c r="M762" s="283"/>
      <c r="N762" s="283"/>
      <c r="O762" s="283"/>
      <c r="P762" s="283"/>
      <c r="Q762" s="340"/>
      <c r="R762" s="283"/>
      <c r="S762" s="283"/>
      <c r="T762" s="340"/>
      <c r="U762" s="340"/>
      <c r="V762" s="283"/>
      <c r="W762" s="283"/>
      <c r="X762" s="283"/>
      <c r="Y762" s="283"/>
      <c r="Z762" s="283"/>
    </row>
    <row r="763" ht="15.75" customHeight="1">
      <c r="A763" s="340"/>
      <c r="B763" s="340"/>
      <c r="C763" s="283"/>
      <c r="D763" s="283"/>
      <c r="E763" s="283"/>
      <c r="F763" s="283"/>
      <c r="G763" s="283"/>
      <c r="H763" s="283"/>
      <c r="I763" s="283"/>
      <c r="J763" s="283"/>
      <c r="K763" s="340"/>
      <c r="L763" s="283"/>
      <c r="M763" s="283"/>
      <c r="N763" s="283"/>
      <c r="O763" s="283"/>
      <c r="P763" s="283"/>
      <c r="Q763" s="340"/>
      <c r="R763" s="283"/>
      <c r="S763" s="283"/>
      <c r="T763" s="340"/>
      <c r="U763" s="340"/>
      <c r="V763" s="283"/>
      <c r="W763" s="283"/>
      <c r="X763" s="283"/>
      <c r="Y763" s="283"/>
      <c r="Z763" s="283"/>
    </row>
    <row r="764" ht="15.75" customHeight="1">
      <c r="A764" s="340"/>
      <c r="B764" s="340"/>
      <c r="C764" s="283"/>
      <c r="D764" s="283"/>
      <c r="E764" s="283"/>
      <c r="F764" s="283"/>
      <c r="G764" s="283"/>
      <c r="H764" s="283"/>
      <c r="I764" s="283"/>
      <c r="J764" s="283"/>
      <c r="K764" s="340"/>
      <c r="L764" s="283"/>
      <c r="M764" s="283"/>
      <c r="N764" s="283"/>
      <c r="O764" s="283"/>
      <c r="P764" s="283"/>
      <c r="Q764" s="340"/>
      <c r="R764" s="283"/>
      <c r="S764" s="283"/>
      <c r="T764" s="340"/>
      <c r="U764" s="340"/>
      <c r="V764" s="283"/>
      <c r="W764" s="283"/>
      <c r="X764" s="283"/>
      <c r="Y764" s="283"/>
      <c r="Z764" s="283"/>
    </row>
    <row r="765" ht="15.75" customHeight="1">
      <c r="A765" s="340"/>
      <c r="B765" s="340"/>
      <c r="C765" s="283"/>
      <c r="D765" s="283"/>
      <c r="E765" s="283"/>
      <c r="F765" s="283"/>
      <c r="G765" s="283"/>
      <c r="H765" s="283"/>
      <c r="I765" s="283"/>
      <c r="J765" s="283"/>
      <c r="K765" s="340"/>
      <c r="L765" s="283"/>
      <c r="M765" s="283"/>
      <c r="N765" s="283"/>
      <c r="O765" s="283"/>
      <c r="P765" s="283"/>
      <c r="Q765" s="340"/>
      <c r="R765" s="283"/>
      <c r="S765" s="283"/>
      <c r="T765" s="340"/>
      <c r="U765" s="340"/>
      <c r="V765" s="283"/>
      <c r="W765" s="283"/>
      <c r="X765" s="283"/>
      <c r="Y765" s="283"/>
      <c r="Z765" s="283"/>
    </row>
    <row r="766" ht="15.75" customHeight="1">
      <c r="A766" s="340"/>
      <c r="B766" s="340"/>
      <c r="C766" s="283"/>
      <c r="D766" s="283"/>
      <c r="E766" s="283"/>
      <c r="F766" s="283"/>
      <c r="G766" s="283"/>
      <c r="H766" s="283"/>
      <c r="I766" s="283"/>
      <c r="J766" s="283"/>
      <c r="K766" s="340"/>
      <c r="L766" s="283"/>
      <c r="M766" s="283"/>
      <c r="N766" s="283"/>
      <c r="O766" s="283"/>
      <c r="P766" s="283"/>
      <c r="Q766" s="340"/>
      <c r="R766" s="283"/>
      <c r="S766" s="283"/>
      <c r="T766" s="340"/>
      <c r="U766" s="340"/>
      <c r="V766" s="283"/>
      <c r="W766" s="283"/>
      <c r="X766" s="283"/>
      <c r="Y766" s="283"/>
      <c r="Z766" s="283"/>
    </row>
    <row r="767" ht="15.75" customHeight="1">
      <c r="A767" s="340"/>
      <c r="B767" s="340"/>
      <c r="C767" s="283"/>
      <c r="D767" s="283"/>
      <c r="E767" s="283"/>
      <c r="F767" s="283"/>
      <c r="G767" s="283"/>
      <c r="H767" s="283"/>
      <c r="I767" s="283"/>
      <c r="J767" s="283"/>
      <c r="K767" s="340"/>
      <c r="L767" s="283"/>
      <c r="M767" s="283"/>
      <c r="N767" s="283"/>
      <c r="O767" s="283"/>
      <c r="P767" s="283"/>
      <c r="Q767" s="340"/>
      <c r="R767" s="283"/>
      <c r="S767" s="283"/>
      <c r="T767" s="340"/>
      <c r="U767" s="340"/>
      <c r="V767" s="283"/>
      <c r="W767" s="283"/>
      <c r="X767" s="283"/>
      <c r="Y767" s="283"/>
      <c r="Z767" s="283"/>
    </row>
    <row r="768" ht="15.75" customHeight="1">
      <c r="A768" s="340"/>
      <c r="B768" s="340"/>
      <c r="C768" s="283"/>
      <c r="D768" s="283"/>
      <c r="E768" s="283"/>
      <c r="F768" s="283"/>
      <c r="G768" s="283"/>
      <c r="H768" s="283"/>
      <c r="I768" s="283"/>
      <c r="J768" s="283"/>
      <c r="K768" s="340"/>
      <c r="L768" s="283"/>
      <c r="M768" s="283"/>
      <c r="N768" s="283"/>
      <c r="O768" s="283"/>
      <c r="P768" s="283"/>
      <c r="Q768" s="340"/>
      <c r="R768" s="283"/>
      <c r="S768" s="283"/>
      <c r="T768" s="340"/>
      <c r="U768" s="340"/>
      <c r="V768" s="283"/>
      <c r="W768" s="283"/>
      <c r="X768" s="283"/>
      <c r="Y768" s="283"/>
      <c r="Z768" s="283"/>
    </row>
    <row r="769" ht="15.75" customHeight="1">
      <c r="A769" s="340"/>
      <c r="B769" s="340"/>
      <c r="C769" s="283"/>
      <c r="D769" s="283"/>
      <c r="E769" s="283"/>
      <c r="F769" s="283"/>
      <c r="G769" s="283"/>
      <c r="H769" s="283"/>
      <c r="I769" s="283"/>
      <c r="J769" s="283"/>
      <c r="K769" s="340"/>
      <c r="L769" s="283"/>
      <c r="M769" s="283"/>
      <c r="N769" s="283"/>
      <c r="O769" s="283"/>
      <c r="P769" s="283"/>
      <c r="Q769" s="340"/>
      <c r="R769" s="283"/>
      <c r="S769" s="283"/>
      <c r="T769" s="340"/>
      <c r="U769" s="340"/>
      <c r="V769" s="283"/>
      <c r="W769" s="283"/>
      <c r="X769" s="283"/>
      <c r="Y769" s="283"/>
      <c r="Z769" s="283"/>
    </row>
    <row r="770" ht="15.75" customHeight="1">
      <c r="A770" s="340"/>
      <c r="B770" s="340"/>
      <c r="C770" s="283"/>
      <c r="D770" s="283"/>
      <c r="E770" s="283"/>
      <c r="F770" s="283"/>
      <c r="G770" s="283"/>
      <c r="H770" s="283"/>
      <c r="I770" s="283"/>
      <c r="J770" s="283"/>
      <c r="K770" s="340"/>
      <c r="L770" s="283"/>
      <c r="M770" s="283"/>
      <c r="N770" s="283"/>
      <c r="O770" s="283"/>
      <c r="P770" s="283"/>
      <c r="Q770" s="340"/>
      <c r="R770" s="283"/>
      <c r="S770" s="283"/>
      <c r="T770" s="340"/>
      <c r="U770" s="340"/>
      <c r="V770" s="283"/>
      <c r="W770" s="283"/>
      <c r="X770" s="283"/>
      <c r="Y770" s="283"/>
      <c r="Z770" s="283"/>
    </row>
    <row r="771" ht="15.75" customHeight="1">
      <c r="A771" s="340"/>
      <c r="B771" s="340"/>
      <c r="C771" s="283"/>
      <c r="D771" s="283"/>
      <c r="E771" s="283"/>
      <c r="F771" s="283"/>
      <c r="G771" s="283"/>
      <c r="H771" s="283"/>
      <c r="I771" s="283"/>
      <c r="J771" s="283"/>
      <c r="K771" s="340"/>
      <c r="L771" s="283"/>
      <c r="M771" s="283"/>
      <c r="N771" s="283"/>
      <c r="O771" s="283"/>
      <c r="P771" s="283"/>
      <c r="Q771" s="340"/>
      <c r="R771" s="283"/>
      <c r="S771" s="283"/>
      <c r="T771" s="340"/>
      <c r="U771" s="340"/>
      <c r="V771" s="283"/>
      <c r="W771" s="283"/>
      <c r="X771" s="283"/>
      <c r="Y771" s="283"/>
      <c r="Z771" s="283"/>
    </row>
    <row r="772" ht="15.75" customHeight="1">
      <c r="A772" s="340"/>
      <c r="B772" s="340"/>
      <c r="C772" s="283"/>
      <c r="D772" s="283"/>
      <c r="E772" s="283"/>
      <c r="F772" s="283"/>
      <c r="G772" s="283"/>
      <c r="H772" s="283"/>
      <c r="I772" s="283"/>
      <c r="J772" s="283"/>
      <c r="K772" s="340"/>
      <c r="L772" s="283"/>
      <c r="M772" s="283"/>
      <c r="N772" s="283"/>
      <c r="O772" s="283"/>
      <c r="P772" s="283"/>
      <c r="Q772" s="340"/>
      <c r="R772" s="283"/>
      <c r="S772" s="283"/>
      <c r="T772" s="340"/>
      <c r="U772" s="340"/>
      <c r="V772" s="283"/>
      <c r="W772" s="283"/>
      <c r="X772" s="283"/>
      <c r="Y772" s="283"/>
      <c r="Z772" s="283"/>
    </row>
    <row r="773" ht="15.75" customHeight="1">
      <c r="A773" s="340"/>
      <c r="B773" s="340"/>
      <c r="C773" s="283"/>
      <c r="D773" s="283"/>
      <c r="E773" s="283"/>
      <c r="F773" s="283"/>
      <c r="G773" s="283"/>
      <c r="H773" s="283"/>
      <c r="I773" s="283"/>
      <c r="J773" s="283"/>
      <c r="K773" s="340"/>
      <c r="L773" s="283"/>
      <c r="M773" s="283"/>
      <c r="N773" s="283"/>
      <c r="O773" s="283"/>
      <c r="P773" s="283"/>
      <c r="Q773" s="340"/>
      <c r="R773" s="283"/>
      <c r="S773" s="283"/>
      <c r="T773" s="340"/>
      <c r="U773" s="340"/>
      <c r="V773" s="283"/>
      <c r="W773" s="283"/>
      <c r="X773" s="283"/>
      <c r="Y773" s="283"/>
      <c r="Z773" s="283"/>
    </row>
    <row r="774" ht="15.75" customHeight="1">
      <c r="A774" s="340"/>
      <c r="B774" s="340"/>
      <c r="C774" s="283"/>
      <c r="D774" s="283"/>
      <c r="E774" s="283"/>
      <c r="F774" s="283"/>
      <c r="G774" s="283"/>
      <c r="H774" s="283"/>
      <c r="I774" s="283"/>
      <c r="J774" s="283"/>
      <c r="K774" s="340"/>
      <c r="L774" s="283"/>
      <c r="M774" s="283"/>
      <c r="N774" s="283"/>
      <c r="O774" s="283"/>
      <c r="P774" s="283"/>
      <c r="Q774" s="340"/>
      <c r="R774" s="283"/>
      <c r="S774" s="283"/>
      <c r="T774" s="340"/>
      <c r="U774" s="340"/>
      <c r="V774" s="283"/>
      <c r="W774" s="283"/>
      <c r="X774" s="283"/>
      <c r="Y774" s="283"/>
      <c r="Z774" s="283"/>
    </row>
    <row r="775" ht="15.75" customHeight="1">
      <c r="A775" s="340"/>
      <c r="B775" s="340"/>
      <c r="C775" s="283"/>
      <c r="D775" s="283"/>
      <c r="E775" s="283"/>
      <c r="F775" s="283"/>
      <c r="G775" s="283"/>
      <c r="H775" s="283"/>
      <c r="I775" s="283"/>
      <c r="J775" s="283"/>
      <c r="K775" s="340"/>
      <c r="L775" s="283"/>
      <c r="M775" s="283"/>
      <c r="N775" s="283"/>
      <c r="O775" s="283"/>
      <c r="P775" s="283"/>
      <c r="Q775" s="340"/>
      <c r="R775" s="283"/>
      <c r="S775" s="283"/>
      <c r="T775" s="340"/>
      <c r="U775" s="340"/>
      <c r="V775" s="283"/>
      <c r="W775" s="283"/>
      <c r="X775" s="283"/>
      <c r="Y775" s="283"/>
      <c r="Z775" s="283"/>
    </row>
    <row r="776" ht="15.75" customHeight="1">
      <c r="A776" s="340"/>
      <c r="B776" s="340"/>
      <c r="C776" s="283"/>
      <c r="D776" s="283"/>
      <c r="E776" s="283"/>
      <c r="F776" s="283"/>
      <c r="G776" s="283"/>
      <c r="H776" s="283"/>
      <c r="I776" s="283"/>
      <c r="J776" s="283"/>
      <c r="K776" s="340"/>
      <c r="L776" s="283"/>
      <c r="M776" s="283"/>
      <c r="N776" s="283"/>
      <c r="O776" s="283"/>
      <c r="P776" s="283"/>
      <c r="Q776" s="340"/>
      <c r="R776" s="283"/>
      <c r="S776" s="283"/>
      <c r="T776" s="340"/>
      <c r="U776" s="340"/>
      <c r="V776" s="283"/>
      <c r="W776" s="283"/>
      <c r="X776" s="283"/>
      <c r="Y776" s="283"/>
      <c r="Z776" s="283"/>
    </row>
    <row r="777" ht="15.75" customHeight="1">
      <c r="A777" s="340"/>
      <c r="B777" s="340"/>
      <c r="C777" s="283"/>
      <c r="D777" s="283"/>
      <c r="E777" s="283"/>
      <c r="F777" s="283"/>
      <c r="G777" s="283"/>
      <c r="H777" s="283"/>
      <c r="I777" s="283"/>
      <c r="J777" s="283"/>
      <c r="K777" s="340"/>
      <c r="L777" s="283"/>
      <c r="M777" s="283"/>
      <c r="N777" s="283"/>
      <c r="O777" s="283"/>
      <c r="P777" s="283"/>
      <c r="Q777" s="340"/>
      <c r="R777" s="283"/>
      <c r="S777" s="283"/>
      <c r="T777" s="340"/>
      <c r="U777" s="340"/>
      <c r="V777" s="283"/>
      <c r="W777" s="283"/>
      <c r="X777" s="283"/>
      <c r="Y777" s="283"/>
      <c r="Z777" s="283"/>
    </row>
    <row r="778" ht="15.75" customHeight="1">
      <c r="A778" s="340"/>
      <c r="B778" s="340"/>
      <c r="C778" s="283"/>
      <c r="D778" s="283"/>
      <c r="E778" s="283"/>
      <c r="F778" s="283"/>
      <c r="G778" s="283"/>
      <c r="H778" s="283"/>
      <c r="I778" s="283"/>
      <c r="J778" s="283"/>
      <c r="K778" s="340"/>
      <c r="L778" s="283"/>
      <c r="M778" s="283"/>
      <c r="N778" s="283"/>
      <c r="O778" s="283"/>
      <c r="P778" s="283"/>
      <c r="Q778" s="340"/>
      <c r="R778" s="283"/>
      <c r="S778" s="283"/>
      <c r="T778" s="340"/>
      <c r="U778" s="340"/>
      <c r="V778" s="283"/>
      <c r="W778" s="283"/>
      <c r="X778" s="283"/>
      <c r="Y778" s="283"/>
      <c r="Z778" s="283"/>
    </row>
    <row r="779" ht="15.75" customHeight="1">
      <c r="A779" s="340"/>
      <c r="B779" s="340"/>
      <c r="C779" s="283"/>
      <c r="D779" s="283"/>
      <c r="E779" s="283"/>
      <c r="F779" s="283"/>
      <c r="G779" s="283"/>
      <c r="H779" s="283"/>
      <c r="I779" s="283"/>
      <c r="J779" s="283"/>
      <c r="K779" s="340"/>
      <c r="L779" s="283"/>
      <c r="M779" s="283"/>
      <c r="N779" s="283"/>
      <c r="O779" s="283"/>
      <c r="P779" s="283"/>
      <c r="Q779" s="340"/>
      <c r="R779" s="283"/>
      <c r="S779" s="283"/>
      <c r="T779" s="340"/>
      <c r="U779" s="340"/>
      <c r="V779" s="283"/>
      <c r="W779" s="283"/>
      <c r="X779" s="283"/>
      <c r="Y779" s="283"/>
      <c r="Z779" s="283"/>
    </row>
    <row r="780" ht="15.75" customHeight="1">
      <c r="A780" s="340"/>
      <c r="B780" s="340"/>
      <c r="C780" s="283"/>
      <c r="D780" s="283"/>
      <c r="E780" s="283"/>
      <c r="F780" s="283"/>
      <c r="G780" s="283"/>
      <c r="H780" s="283"/>
      <c r="I780" s="283"/>
      <c r="J780" s="283"/>
      <c r="K780" s="340"/>
      <c r="L780" s="283"/>
      <c r="M780" s="283"/>
      <c r="N780" s="283"/>
      <c r="O780" s="283"/>
      <c r="P780" s="283"/>
      <c r="Q780" s="340"/>
      <c r="R780" s="283"/>
      <c r="S780" s="283"/>
      <c r="T780" s="340"/>
      <c r="U780" s="340"/>
      <c r="V780" s="283"/>
      <c r="W780" s="283"/>
      <c r="X780" s="283"/>
      <c r="Y780" s="283"/>
      <c r="Z780" s="283"/>
    </row>
    <row r="781" ht="15.75" customHeight="1">
      <c r="A781" s="340"/>
      <c r="B781" s="340"/>
      <c r="C781" s="283"/>
      <c r="D781" s="283"/>
      <c r="E781" s="283"/>
      <c r="F781" s="283"/>
      <c r="G781" s="283"/>
      <c r="H781" s="283"/>
      <c r="I781" s="283"/>
      <c r="J781" s="283"/>
      <c r="K781" s="340"/>
      <c r="L781" s="283"/>
      <c r="M781" s="283"/>
      <c r="N781" s="283"/>
      <c r="O781" s="283"/>
      <c r="P781" s="283"/>
      <c r="Q781" s="340"/>
      <c r="R781" s="283"/>
      <c r="S781" s="283"/>
      <c r="T781" s="340"/>
      <c r="U781" s="340"/>
      <c r="V781" s="283"/>
      <c r="W781" s="283"/>
      <c r="X781" s="283"/>
      <c r="Y781" s="283"/>
      <c r="Z781" s="283"/>
    </row>
    <row r="782" ht="15.75" customHeight="1">
      <c r="A782" s="340"/>
      <c r="B782" s="340"/>
      <c r="C782" s="283"/>
      <c r="D782" s="283"/>
      <c r="E782" s="283"/>
      <c r="F782" s="283"/>
      <c r="G782" s="283"/>
      <c r="H782" s="283"/>
      <c r="I782" s="283"/>
      <c r="J782" s="283"/>
      <c r="K782" s="340"/>
      <c r="L782" s="283"/>
      <c r="M782" s="283"/>
      <c r="N782" s="283"/>
      <c r="O782" s="283"/>
      <c r="P782" s="283"/>
      <c r="Q782" s="340"/>
      <c r="R782" s="283"/>
      <c r="S782" s="283"/>
      <c r="T782" s="340"/>
      <c r="U782" s="340"/>
      <c r="V782" s="283"/>
      <c r="W782" s="283"/>
      <c r="X782" s="283"/>
      <c r="Y782" s="283"/>
      <c r="Z782" s="283"/>
    </row>
    <row r="783" ht="15.75" customHeight="1">
      <c r="A783" s="340"/>
      <c r="B783" s="340"/>
      <c r="C783" s="283"/>
      <c r="D783" s="283"/>
      <c r="E783" s="283"/>
      <c r="F783" s="283"/>
      <c r="G783" s="283"/>
      <c r="H783" s="283"/>
      <c r="I783" s="283"/>
      <c r="J783" s="283"/>
      <c r="K783" s="340"/>
      <c r="L783" s="283"/>
      <c r="M783" s="283"/>
      <c r="N783" s="283"/>
      <c r="O783" s="283"/>
      <c r="P783" s="283"/>
      <c r="Q783" s="340"/>
      <c r="R783" s="283"/>
      <c r="S783" s="283"/>
      <c r="T783" s="340"/>
      <c r="U783" s="340"/>
      <c r="V783" s="283"/>
      <c r="W783" s="283"/>
      <c r="X783" s="283"/>
      <c r="Y783" s="283"/>
      <c r="Z783" s="283"/>
    </row>
    <row r="784" ht="15.75" customHeight="1">
      <c r="A784" s="340"/>
      <c r="B784" s="340"/>
      <c r="C784" s="283"/>
      <c r="D784" s="283"/>
      <c r="E784" s="283"/>
      <c r="F784" s="283"/>
      <c r="G784" s="283"/>
      <c r="H784" s="283"/>
      <c r="I784" s="283"/>
      <c r="J784" s="283"/>
      <c r="K784" s="340"/>
      <c r="L784" s="283"/>
      <c r="M784" s="283"/>
      <c r="N784" s="283"/>
      <c r="O784" s="283"/>
      <c r="P784" s="283"/>
      <c r="Q784" s="340"/>
      <c r="R784" s="283"/>
      <c r="S784" s="283"/>
      <c r="T784" s="340"/>
      <c r="U784" s="340"/>
      <c r="V784" s="283"/>
      <c r="W784" s="283"/>
      <c r="X784" s="283"/>
      <c r="Y784" s="283"/>
      <c r="Z784" s="283"/>
    </row>
    <row r="785" ht="15.75" customHeight="1">
      <c r="A785" s="340"/>
      <c r="B785" s="340"/>
      <c r="C785" s="283"/>
      <c r="D785" s="283"/>
      <c r="E785" s="283"/>
      <c r="F785" s="283"/>
      <c r="G785" s="283"/>
      <c r="H785" s="283"/>
      <c r="I785" s="283"/>
      <c r="J785" s="283"/>
      <c r="K785" s="340"/>
      <c r="L785" s="283"/>
      <c r="M785" s="283"/>
      <c r="N785" s="283"/>
      <c r="O785" s="283"/>
      <c r="P785" s="283"/>
      <c r="Q785" s="340"/>
      <c r="R785" s="283"/>
      <c r="S785" s="283"/>
      <c r="T785" s="340"/>
      <c r="U785" s="340"/>
      <c r="V785" s="283"/>
      <c r="W785" s="283"/>
      <c r="X785" s="283"/>
      <c r="Y785" s="283"/>
      <c r="Z785" s="283"/>
    </row>
    <row r="786" ht="15.75" customHeight="1">
      <c r="A786" s="340"/>
      <c r="B786" s="340"/>
      <c r="C786" s="283"/>
      <c r="D786" s="283"/>
      <c r="E786" s="283"/>
      <c r="F786" s="283"/>
      <c r="G786" s="283"/>
      <c r="H786" s="283"/>
      <c r="I786" s="283"/>
      <c r="J786" s="283"/>
      <c r="K786" s="340"/>
      <c r="L786" s="283"/>
      <c r="M786" s="283"/>
      <c r="N786" s="283"/>
      <c r="O786" s="283"/>
      <c r="P786" s="283"/>
      <c r="Q786" s="340"/>
      <c r="R786" s="283"/>
      <c r="S786" s="283"/>
      <c r="T786" s="340"/>
      <c r="U786" s="340"/>
      <c r="V786" s="283"/>
      <c r="W786" s="283"/>
      <c r="X786" s="283"/>
      <c r="Y786" s="283"/>
      <c r="Z786" s="283"/>
    </row>
    <row r="787" ht="15.75" customHeight="1">
      <c r="A787" s="340"/>
      <c r="B787" s="340"/>
      <c r="C787" s="283"/>
      <c r="D787" s="283"/>
      <c r="E787" s="283"/>
      <c r="F787" s="283"/>
      <c r="G787" s="283"/>
      <c r="H787" s="283"/>
      <c r="I787" s="283"/>
      <c r="J787" s="283"/>
      <c r="K787" s="340"/>
      <c r="L787" s="283"/>
      <c r="M787" s="283"/>
      <c r="N787" s="283"/>
      <c r="O787" s="283"/>
      <c r="P787" s="283"/>
      <c r="Q787" s="340"/>
      <c r="R787" s="283"/>
      <c r="S787" s="283"/>
      <c r="T787" s="340"/>
      <c r="U787" s="340"/>
      <c r="V787" s="283"/>
      <c r="W787" s="283"/>
      <c r="X787" s="283"/>
      <c r="Y787" s="283"/>
      <c r="Z787" s="283"/>
    </row>
    <row r="788" ht="15.75" customHeight="1">
      <c r="A788" s="340"/>
      <c r="B788" s="340"/>
      <c r="C788" s="283"/>
      <c r="D788" s="283"/>
      <c r="E788" s="283"/>
      <c r="F788" s="283"/>
      <c r="G788" s="283"/>
      <c r="H788" s="283"/>
      <c r="I788" s="283"/>
      <c r="J788" s="283"/>
      <c r="K788" s="340"/>
      <c r="L788" s="283"/>
      <c r="M788" s="283"/>
      <c r="N788" s="283"/>
      <c r="O788" s="283"/>
      <c r="P788" s="283"/>
      <c r="Q788" s="340"/>
      <c r="R788" s="283"/>
      <c r="S788" s="283"/>
      <c r="T788" s="340"/>
      <c r="U788" s="340"/>
      <c r="V788" s="283"/>
      <c r="W788" s="283"/>
      <c r="X788" s="283"/>
      <c r="Y788" s="283"/>
      <c r="Z788" s="283"/>
    </row>
    <row r="789" ht="15.75" customHeight="1">
      <c r="A789" s="340"/>
      <c r="B789" s="340"/>
      <c r="C789" s="283"/>
      <c r="D789" s="283"/>
      <c r="E789" s="283"/>
      <c r="F789" s="283"/>
      <c r="G789" s="283"/>
      <c r="H789" s="283"/>
      <c r="I789" s="283"/>
      <c r="J789" s="283"/>
      <c r="K789" s="340"/>
      <c r="L789" s="283"/>
      <c r="M789" s="283"/>
      <c r="N789" s="283"/>
      <c r="O789" s="283"/>
      <c r="P789" s="283"/>
      <c r="Q789" s="340"/>
      <c r="R789" s="283"/>
      <c r="S789" s="283"/>
      <c r="T789" s="340"/>
      <c r="U789" s="340"/>
      <c r="V789" s="283"/>
      <c r="W789" s="283"/>
      <c r="X789" s="283"/>
      <c r="Y789" s="283"/>
      <c r="Z789" s="283"/>
    </row>
    <row r="790" ht="15.75" customHeight="1">
      <c r="A790" s="340"/>
      <c r="B790" s="340"/>
      <c r="C790" s="283"/>
      <c r="D790" s="283"/>
      <c r="E790" s="283"/>
      <c r="F790" s="283"/>
      <c r="G790" s="283"/>
      <c r="H790" s="283"/>
      <c r="I790" s="283"/>
      <c r="J790" s="283"/>
      <c r="K790" s="340"/>
      <c r="L790" s="283"/>
      <c r="M790" s="283"/>
      <c r="N790" s="283"/>
      <c r="O790" s="283"/>
      <c r="P790" s="283"/>
      <c r="Q790" s="340"/>
      <c r="R790" s="283"/>
      <c r="S790" s="283"/>
      <c r="T790" s="340"/>
      <c r="U790" s="340"/>
      <c r="V790" s="283"/>
      <c r="W790" s="283"/>
      <c r="X790" s="283"/>
      <c r="Y790" s="283"/>
      <c r="Z790" s="283"/>
    </row>
    <row r="791" ht="15.75" customHeight="1">
      <c r="A791" s="340"/>
      <c r="B791" s="340"/>
      <c r="C791" s="283"/>
      <c r="D791" s="283"/>
      <c r="E791" s="283"/>
      <c r="F791" s="283"/>
      <c r="G791" s="283"/>
      <c r="H791" s="283"/>
      <c r="I791" s="283"/>
      <c r="J791" s="283"/>
      <c r="K791" s="340"/>
      <c r="L791" s="283"/>
      <c r="M791" s="283"/>
      <c r="N791" s="283"/>
      <c r="O791" s="283"/>
      <c r="P791" s="283"/>
      <c r="Q791" s="340"/>
      <c r="R791" s="283"/>
      <c r="S791" s="283"/>
      <c r="T791" s="340"/>
      <c r="U791" s="340"/>
      <c r="V791" s="283"/>
      <c r="W791" s="283"/>
      <c r="X791" s="283"/>
      <c r="Y791" s="283"/>
      <c r="Z791" s="283"/>
    </row>
    <row r="792" ht="15.75" customHeight="1">
      <c r="A792" s="340"/>
      <c r="B792" s="340"/>
      <c r="C792" s="283"/>
      <c r="D792" s="283"/>
      <c r="E792" s="283"/>
      <c r="F792" s="283"/>
      <c r="G792" s="283"/>
      <c r="H792" s="283"/>
      <c r="I792" s="283"/>
      <c r="J792" s="283"/>
      <c r="K792" s="340"/>
      <c r="L792" s="283"/>
      <c r="M792" s="283"/>
      <c r="N792" s="283"/>
      <c r="O792" s="283"/>
      <c r="P792" s="283"/>
      <c r="Q792" s="340"/>
      <c r="R792" s="283"/>
      <c r="S792" s="283"/>
      <c r="T792" s="340"/>
      <c r="U792" s="340"/>
      <c r="V792" s="283"/>
      <c r="W792" s="283"/>
      <c r="X792" s="283"/>
      <c r="Y792" s="283"/>
      <c r="Z792" s="283"/>
    </row>
    <row r="793" ht="15.75" customHeight="1">
      <c r="A793" s="340"/>
      <c r="B793" s="340"/>
      <c r="C793" s="283"/>
      <c r="D793" s="283"/>
      <c r="E793" s="283"/>
      <c r="F793" s="283"/>
      <c r="G793" s="283"/>
      <c r="H793" s="283"/>
      <c r="I793" s="283"/>
      <c r="J793" s="283"/>
      <c r="K793" s="340"/>
      <c r="L793" s="283"/>
      <c r="M793" s="283"/>
      <c r="N793" s="283"/>
      <c r="O793" s="283"/>
      <c r="P793" s="283"/>
      <c r="Q793" s="340"/>
      <c r="R793" s="283"/>
      <c r="S793" s="283"/>
      <c r="T793" s="340"/>
      <c r="U793" s="340"/>
      <c r="V793" s="283"/>
      <c r="W793" s="283"/>
      <c r="X793" s="283"/>
      <c r="Y793" s="283"/>
      <c r="Z793" s="283"/>
    </row>
    <row r="794" ht="15.75" customHeight="1">
      <c r="A794" s="340"/>
      <c r="B794" s="340"/>
      <c r="C794" s="283"/>
      <c r="D794" s="283"/>
      <c r="E794" s="283"/>
      <c r="F794" s="283"/>
      <c r="G794" s="283"/>
      <c r="H794" s="283"/>
      <c r="I794" s="283"/>
      <c r="J794" s="283"/>
      <c r="K794" s="340"/>
      <c r="L794" s="283"/>
      <c r="M794" s="283"/>
      <c r="N794" s="283"/>
      <c r="O794" s="283"/>
      <c r="P794" s="283"/>
      <c r="Q794" s="340"/>
      <c r="R794" s="283"/>
      <c r="S794" s="283"/>
      <c r="T794" s="340"/>
      <c r="U794" s="340"/>
      <c r="V794" s="283"/>
      <c r="W794" s="283"/>
      <c r="X794" s="283"/>
      <c r="Y794" s="283"/>
      <c r="Z794" s="283"/>
    </row>
    <row r="795" ht="15.75" customHeight="1">
      <c r="A795" s="340"/>
      <c r="B795" s="340"/>
      <c r="C795" s="283"/>
      <c r="D795" s="283"/>
      <c r="E795" s="283"/>
      <c r="F795" s="283"/>
      <c r="G795" s="283"/>
      <c r="H795" s="283"/>
      <c r="I795" s="283"/>
      <c r="J795" s="283"/>
      <c r="K795" s="340"/>
      <c r="L795" s="283"/>
      <c r="M795" s="283"/>
      <c r="N795" s="283"/>
      <c r="O795" s="283"/>
      <c r="P795" s="283"/>
      <c r="Q795" s="340"/>
      <c r="R795" s="283"/>
      <c r="S795" s="283"/>
      <c r="T795" s="340"/>
      <c r="U795" s="340"/>
      <c r="V795" s="283"/>
      <c r="W795" s="283"/>
      <c r="X795" s="283"/>
      <c r="Y795" s="283"/>
      <c r="Z795" s="283"/>
    </row>
    <row r="796" ht="15.75" customHeight="1">
      <c r="A796" s="340"/>
      <c r="B796" s="340"/>
      <c r="C796" s="283"/>
      <c r="D796" s="283"/>
      <c r="E796" s="283"/>
      <c r="F796" s="283"/>
      <c r="G796" s="283"/>
      <c r="H796" s="283"/>
      <c r="I796" s="283"/>
      <c r="J796" s="283"/>
      <c r="K796" s="340"/>
      <c r="L796" s="283"/>
      <c r="M796" s="283"/>
      <c r="N796" s="283"/>
      <c r="O796" s="283"/>
      <c r="P796" s="283"/>
      <c r="Q796" s="340"/>
      <c r="R796" s="283"/>
      <c r="S796" s="283"/>
      <c r="T796" s="340"/>
      <c r="U796" s="340"/>
      <c r="V796" s="283"/>
      <c r="W796" s="283"/>
      <c r="X796" s="283"/>
      <c r="Y796" s="283"/>
      <c r="Z796" s="283"/>
    </row>
    <row r="797" ht="15.75" customHeight="1">
      <c r="A797" s="340"/>
      <c r="B797" s="340"/>
      <c r="C797" s="283"/>
      <c r="D797" s="283"/>
      <c r="E797" s="283"/>
      <c r="F797" s="283"/>
      <c r="G797" s="283"/>
      <c r="H797" s="283"/>
      <c r="I797" s="283"/>
      <c r="J797" s="283"/>
      <c r="K797" s="340"/>
      <c r="L797" s="283"/>
      <c r="M797" s="283"/>
      <c r="N797" s="283"/>
      <c r="O797" s="283"/>
      <c r="P797" s="283"/>
      <c r="Q797" s="340"/>
      <c r="R797" s="283"/>
      <c r="S797" s="283"/>
      <c r="T797" s="340"/>
      <c r="U797" s="340"/>
      <c r="V797" s="283"/>
      <c r="W797" s="283"/>
      <c r="X797" s="283"/>
      <c r="Y797" s="283"/>
      <c r="Z797" s="283"/>
    </row>
    <row r="798" ht="15.75" customHeight="1">
      <c r="A798" s="340"/>
      <c r="B798" s="340"/>
      <c r="C798" s="283"/>
      <c r="D798" s="283"/>
      <c r="E798" s="283"/>
      <c r="F798" s="283"/>
      <c r="G798" s="283"/>
      <c r="H798" s="283"/>
      <c r="I798" s="283"/>
      <c r="J798" s="283"/>
      <c r="K798" s="340"/>
      <c r="L798" s="283"/>
      <c r="M798" s="283"/>
      <c r="N798" s="283"/>
      <c r="O798" s="283"/>
      <c r="P798" s="283"/>
      <c r="Q798" s="340"/>
      <c r="R798" s="283"/>
      <c r="S798" s="283"/>
      <c r="T798" s="340"/>
      <c r="U798" s="340"/>
      <c r="V798" s="283"/>
      <c r="W798" s="283"/>
      <c r="X798" s="283"/>
      <c r="Y798" s="283"/>
      <c r="Z798" s="283"/>
    </row>
    <row r="799" ht="15.75" customHeight="1">
      <c r="A799" s="340"/>
      <c r="B799" s="340"/>
      <c r="C799" s="283"/>
      <c r="D799" s="283"/>
      <c r="E799" s="283"/>
      <c r="F799" s="283"/>
      <c r="G799" s="283"/>
      <c r="H799" s="283"/>
      <c r="I799" s="283"/>
      <c r="J799" s="283"/>
      <c r="K799" s="340"/>
      <c r="L799" s="283"/>
      <c r="M799" s="283"/>
      <c r="N799" s="283"/>
      <c r="O799" s="283"/>
      <c r="P799" s="283"/>
      <c r="Q799" s="340"/>
      <c r="R799" s="283"/>
      <c r="S799" s="283"/>
      <c r="T799" s="340"/>
      <c r="U799" s="340"/>
      <c r="V799" s="283"/>
      <c r="W799" s="283"/>
      <c r="X799" s="283"/>
      <c r="Y799" s="283"/>
      <c r="Z799" s="283"/>
    </row>
    <row r="800" ht="15.75" customHeight="1">
      <c r="A800" s="340"/>
      <c r="B800" s="340"/>
      <c r="C800" s="283"/>
      <c r="D800" s="283"/>
      <c r="E800" s="283"/>
      <c r="F800" s="283"/>
      <c r="G800" s="283"/>
      <c r="H800" s="283"/>
      <c r="I800" s="283"/>
      <c r="J800" s="283"/>
      <c r="K800" s="340"/>
      <c r="L800" s="283"/>
      <c r="M800" s="283"/>
      <c r="N800" s="283"/>
      <c r="O800" s="283"/>
      <c r="P800" s="283"/>
      <c r="Q800" s="340"/>
      <c r="R800" s="283"/>
      <c r="S800" s="283"/>
      <c r="T800" s="340"/>
      <c r="U800" s="340"/>
      <c r="V800" s="283"/>
      <c r="W800" s="283"/>
      <c r="X800" s="283"/>
      <c r="Y800" s="283"/>
      <c r="Z800" s="283"/>
    </row>
    <row r="801" ht="15.75" customHeight="1">
      <c r="A801" s="340"/>
      <c r="B801" s="340"/>
      <c r="C801" s="283"/>
      <c r="D801" s="283"/>
      <c r="E801" s="283"/>
      <c r="F801" s="283"/>
      <c r="G801" s="283"/>
      <c r="H801" s="283"/>
      <c r="I801" s="283"/>
      <c r="J801" s="283"/>
      <c r="K801" s="340"/>
      <c r="L801" s="283"/>
      <c r="M801" s="283"/>
      <c r="N801" s="283"/>
      <c r="O801" s="283"/>
      <c r="P801" s="283"/>
      <c r="Q801" s="340"/>
      <c r="R801" s="283"/>
      <c r="S801" s="283"/>
      <c r="T801" s="340"/>
      <c r="U801" s="340"/>
      <c r="V801" s="283"/>
      <c r="W801" s="283"/>
      <c r="X801" s="283"/>
      <c r="Y801" s="283"/>
      <c r="Z801" s="283"/>
    </row>
    <row r="802" ht="15.75" customHeight="1">
      <c r="A802" s="340"/>
      <c r="B802" s="340"/>
      <c r="C802" s="283"/>
      <c r="D802" s="283"/>
      <c r="E802" s="283"/>
      <c r="F802" s="283"/>
      <c r="G802" s="283"/>
      <c r="H802" s="283"/>
      <c r="I802" s="283"/>
      <c r="J802" s="283"/>
      <c r="K802" s="340"/>
      <c r="L802" s="283"/>
      <c r="M802" s="283"/>
      <c r="N802" s="283"/>
      <c r="O802" s="283"/>
      <c r="P802" s="283"/>
      <c r="Q802" s="340"/>
      <c r="R802" s="283"/>
      <c r="S802" s="283"/>
      <c r="T802" s="340"/>
      <c r="U802" s="340"/>
      <c r="V802" s="283"/>
      <c r="W802" s="283"/>
      <c r="X802" s="283"/>
      <c r="Y802" s="283"/>
      <c r="Z802" s="283"/>
    </row>
    <row r="803" ht="15.75" customHeight="1">
      <c r="A803" s="340"/>
      <c r="B803" s="340"/>
      <c r="C803" s="283"/>
      <c r="D803" s="283"/>
      <c r="E803" s="283"/>
      <c r="F803" s="283"/>
      <c r="G803" s="283"/>
      <c r="H803" s="283"/>
      <c r="I803" s="283"/>
      <c r="J803" s="283"/>
      <c r="K803" s="340"/>
      <c r="L803" s="283"/>
      <c r="M803" s="283"/>
      <c r="N803" s="283"/>
      <c r="O803" s="283"/>
      <c r="P803" s="283"/>
      <c r="Q803" s="340"/>
      <c r="R803" s="283"/>
      <c r="S803" s="283"/>
      <c r="T803" s="340"/>
      <c r="U803" s="340"/>
      <c r="V803" s="283"/>
      <c r="W803" s="283"/>
      <c r="X803" s="283"/>
      <c r="Y803" s="283"/>
      <c r="Z803" s="283"/>
    </row>
    <row r="804" ht="15.75" customHeight="1">
      <c r="A804" s="340"/>
      <c r="B804" s="340"/>
      <c r="C804" s="283"/>
      <c r="D804" s="283"/>
      <c r="E804" s="283"/>
      <c r="F804" s="283"/>
      <c r="G804" s="283"/>
      <c r="H804" s="283"/>
      <c r="I804" s="283"/>
      <c r="J804" s="283"/>
      <c r="K804" s="340"/>
      <c r="L804" s="283"/>
      <c r="M804" s="283"/>
      <c r="N804" s="283"/>
      <c r="O804" s="283"/>
      <c r="P804" s="283"/>
      <c r="Q804" s="340"/>
      <c r="R804" s="283"/>
      <c r="S804" s="283"/>
      <c r="T804" s="340"/>
      <c r="U804" s="340"/>
      <c r="V804" s="283"/>
      <c r="W804" s="283"/>
      <c r="X804" s="283"/>
      <c r="Y804" s="283"/>
      <c r="Z804" s="283"/>
    </row>
    <row r="805" ht="15.75" customHeight="1">
      <c r="A805" s="340"/>
      <c r="B805" s="340"/>
      <c r="C805" s="283"/>
      <c r="D805" s="283"/>
      <c r="E805" s="283"/>
      <c r="F805" s="283"/>
      <c r="G805" s="283"/>
      <c r="H805" s="283"/>
      <c r="I805" s="283"/>
      <c r="J805" s="283"/>
      <c r="K805" s="340"/>
      <c r="L805" s="283"/>
      <c r="M805" s="283"/>
      <c r="N805" s="283"/>
      <c r="O805" s="283"/>
      <c r="P805" s="283"/>
      <c r="Q805" s="340"/>
      <c r="R805" s="283"/>
      <c r="S805" s="283"/>
      <c r="T805" s="340"/>
      <c r="U805" s="340"/>
      <c r="V805" s="283"/>
      <c r="W805" s="283"/>
      <c r="X805" s="283"/>
      <c r="Y805" s="283"/>
      <c r="Z805" s="283"/>
    </row>
    <row r="806" ht="15.75" customHeight="1">
      <c r="A806" s="340"/>
      <c r="B806" s="340"/>
      <c r="C806" s="283"/>
      <c r="D806" s="283"/>
      <c r="E806" s="283"/>
      <c r="F806" s="283"/>
      <c r="G806" s="283"/>
      <c r="H806" s="283"/>
      <c r="I806" s="283"/>
      <c r="J806" s="283"/>
      <c r="K806" s="340"/>
      <c r="L806" s="283"/>
      <c r="M806" s="283"/>
      <c r="N806" s="283"/>
      <c r="O806" s="283"/>
      <c r="P806" s="283"/>
      <c r="Q806" s="340"/>
      <c r="R806" s="283"/>
      <c r="S806" s="283"/>
      <c r="T806" s="340"/>
      <c r="U806" s="340"/>
      <c r="V806" s="283"/>
      <c r="W806" s="283"/>
      <c r="X806" s="283"/>
      <c r="Y806" s="283"/>
      <c r="Z806" s="283"/>
    </row>
    <row r="807" ht="15.75" customHeight="1">
      <c r="A807" s="340"/>
      <c r="B807" s="340"/>
      <c r="C807" s="283"/>
      <c r="D807" s="283"/>
      <c r="E807" s="283"/>
      <c r="F807" s="283"/>
      <c r="G807" s="283"/>
      <c r="H807" s="283"/>
      <c r="I807" s="283"/>
      <c r="J807" s="283"/>
      <c r="K807" s="340"/>
      <c r="L807" s="283"/>
      <c r="M807" s="283"/>
      <c r="N807" s="283"/>
      <c r="O807" s="283"/>
      <c r="P807" s="283"/>
      <c r="Q807" s="340"/>
      <c r="R807" s="283"/>
      <c r="S807" s="283"/>
      <c r="T807" s="340"/>
      <c r="U807" s="340"/>
      <c r="V807" s="283"/>
      <c r="W807" s="283"/>
      <c r="X807" s="283"/>
      <c r="Y807" s="283"/>
      <c r="Z807" s="283"/>
    </row>
    <row r="808" ht="15.75" customHeight="1">
      <c r="A808" s="340"/>
      <c r="B808" s="340"/>
      <c r="C808" s="283"/>
      <c r="D808" s="283"/>
      <c r="E808" s="283"/>
      <c r="F808" s="283"/>
      <c r="G808" s="283"/>
      <c r="H808" s="283"/>
      <c r="I808" s="283"/>
      <c r="J808" s="283"/>
      <c r="K808" s="340"/>
      <c r="L808" s="283"/>
      <c r="M808" s="283"/>
      <c r="N808" s="283"/>
      <c r="O808" s="283"/>
      <c r="P808" s="283"/>
      <c r="Q808" s="340"/>
      <c r="R808" s="283"/>
      <c r="S808" s="283"/>
      <c r="T808" s="340"/>
      <c r="U808" s="340"/>
      <c r="V808" s="283"/>
      <c r="W808" s="283"/>
      <c r="X808" s="283"/>
      <c r="Y808" s="283"/>
      <c r="Z808" s="283"/>
    </row>
    <row r="809" ht="15.75" customHeight="1">
      <c r="A809" s="340"/>
      <c r="B809" s="340"/>
      <c r="C809" s="283"/>
      <c r="D809" s="283"/>
      <c r="E809" s="283"/>
      <c r="F809" s="283"/>
      <c r="G809" s="283"/>
      <c r="H809" s="283"/>
      <c r="I809" s="283"/>
      <c r="J809" s="283"/>
      <c r="K809" s="340"/>
      <c r="L809" s="283"/>
      <c r="M809" s="283"/>
      <c r="N809" s="283"/>
      <c r="O809" s="283"/>
      <c r="P809" s="283"/>
      <c r="Q809" s="340"/>
      <c r="R809" s="283"/>
      <c r="S809" s="283"/>
      <c r="T809" s="340"/>
      <c r="U809" s="340"/>
      <c r="V809" s="283"/>
      <c r="W809" s="283"/>
      <c r="X809" s="283"/>
      <c r="Y809" s="283"/>
      <c r="Z809" s="283"/>
    </row>
    <row r="810" ht="15.75" customHeight="1">
      <c r="A810" s="340"/>
      <c r="B810" s="340"/>
      <c r="C810" s="283"/>
      <c r="D810" s="283"/>
      <c r="E810" s="283"/>
      <c r="F810" s="283"/>
      <c r="G810" s="283"/>
      <c r="H810" s="283"/>
      <c r="I810" s="283"/>
      <c r="J810" s="283"/>
      <c r="K810" s="340"/>
      <c r="L810" s="283"/>
      <c r="M810" s="283"/>
      <c r="N810" s="283"/>
      <c r="O810" s="283"/>
      <c r="P810" s="283"/>
      <c r="Q810" s="340"/>
      <c r="R810" s="283"/>
      <c r="S810" s="283"/>
      <c r="T810" s="340"/>
      <c r="U810" s="340"/>
      <c r="V810" s="283"/>
      <c r="W810" s="283"/>
      <c r="X810" s="283"/>
      <c r="Y810" s="283"/>
      <c r="Z810" s="283"/>
    </row>
    <row r="811" ht="15.75" customHeight="1">
      <c r="A811" s="340"/>
      <c r="B811" s="340"/>
      <c r="C811" s="283"/>
      <c r="D811" s="283"/>
      <c r="E811" s="283"/>
      <c r="F811" s="283"/>
      <c r="G811" s="283"/>
      <c r="H811" s="283"/>
      <c r="I811" s="283"/>
      <c r="J811" s="283"/>
      <c r="K811" s="340"/>
      <c r="L811" s="283"/>
      <c r="M811" s="283"/>
      <c r="N811" s="283"/>
      <c r="O811" s="283"/>
      <c r="P811" s="283"/>
      <c r="Q811" s="340"/>
      <c r="R811" s="283"/>
      <c r="S811" s="283"/>
      <c r="T811" s="340"/>
      <c r="U811" s="340"/>
      <c r="V811" s="283"/>
      <c r="W811" s="283"/>
      <c r="X811" s="283"/>
      <c r="Y811" s="283"/>
      <c r="Z811" s="283"/>
    </row>
    <row r="812" ht="15.75" customHeight="1">
      <c r="A812" s="340"/>
      <c r="B812" s="340"/>
      <c r="C812" s="283"/>
      <c r="D812" s="283"/>
      <c r="E812" s="283"/>
      <c r="F812" s="283"/>
      <c r="G812" s="283"/>
      <c r="H812" s="283"/>
      <c r="I812" s="283"/>
      <c r="J812" s="283"/>
      <c r="K812" s="340"/>
      <c r="L812" s="283"/>
      <c r="M812" s="283"/>
      <c r="N812" s="283"/>
      <c r="O812" s="283"/>
      <c r="P812" s="283"/>
      <c r="Q812" s="340"/>
      <c r="R812" s="283"/>
      <c r="S812" s="283"/>
      <c r="T812" s="340"/>
      <c r="U812" s="340"/>
      <c r="V812" s="283"/>
      <c r="W812" s="283"/>
      <c r="X812" s="283"/>
      <c r="Y812" s="283"/>
      <c r="Z812" s="283"/>
    </row>
    <row r="813" ht="15.75" customHeight="1">
      <c r="A813" s="340"/>
      <c r="B813" s="340"/>
      <c r="C813" s="283"/>
      <c r="D813" s="283"/>
      <c r="E813" s="283"/>
      <c r="F813" s="283"/>
      <c r="G813" s="283"/>
      <c r="H813" s="283"/>
      <c r="I813" s="283"/>
      <c r="J813" s="283"/>
      <c r="K813" s="340"/>
      <c r="L813" s="283"/>
      <c r="M813" s="283"/>
      <c r="N813" s="283"/>
      <c r="O813" s="283"/>
      <c r="P813" s="283"/>
      <c r="Q813" s="340"/>
      <c r="R813" s="283"/>
      <c r="S813" s="283"/>
      <c r="T813" s="340"/>
      <c r="U813" s="340"/>
      <c r="V813" s="283"/>
      <c r="W813" s="283"/>
      <c r="X813" s="283"/>
      <c r="Y813" s="283"/>
      <c r="Z813" s="283"/>
    </row>
    <row r="814" ht="15.75" customHeight="1">
      <c r="A814" s="340"/>
      <c r="B814" s="340"/>
      <c r="C814" s="283"/>
      <c r="D814" s="283"/>
      <c r="E814" s="283"/>
      <c r="F814" s="283"/>
      <c r="G814" s="283"/>
      <c r="H814" s="283"/>
      <c r="I814" s="283"/>
      <c r="J814" s="283"/>
      <c r="K814" s="340"/>
      <c r="L814" s="283"/>
      <c r="M814" s="283"/>
      <c r="N814" s="283"/>
      <c r="O814" s="283"/>
      <c r="P814" s="283"/>
      <c r="Q814" s="340"/>
      <c r="R814" s="283"/>
      <c r="S814" s="283"/>
      <c r="T814" s="340"/>
      <c r="U814" s="340"/>
      <c r="V814" s="283"/>
      <c r="W814" s="283"/>
      <c r="X814" s="283"/>
      <c r="Y814" s="283"/>
      <c r="Z814" s="283"/>
    </row>
    <row r="815" ht="15.75" customHeight="1">
      <c r="A815" s="340"/>
      <c r="B815" s="340"/>
      <c r="C815" s="283"/>
      <c r="D815" s="283"/>
      <c r="E815" s="283"/>
      <c r="F815" s="283"/>
      <c r="G815" s="283"/>
      <c r="H815" s="283"/>
      <c r="I815" s="283"/>
      <c r="J815" s="283"/>
      <c r="K815" s="340"/>
      <c r="L815" s="283"/>
      <c r="M815" s="283"/>
      <c r="N815" s="283"/>
      <c r="O815" s="283"/>
      <c r="P815" s="283"/>
      <c r="Q815" s="340"/>
      <c r="R815" s="283"/>
      <c r="S815" s="283"/>
      <c r="T815" s="340"/>
      <c r="U815" s="340"/>
      <c r="V815" s="283"/>
      <c r="W815" s="283"/>
      <c r="X815" s="283"/>
      <c r="Y815" s="283"/>
      <c r="Z815" s="283"/>
    </row>
    <row r="816" ht="15.75" customHeight="1">
      <c r="A816" s="340"/>
      <c r="B816" s="340"/>
      <c r="C816" s="283"/>
      <c r="D816" s="283"/>
      <c r="E816" s="283"/>
      <c r="F816" s="283"/>
      <c r="G816" s="283"/>
      <c r="H816" s="283"/>
      <c r="I816" s="283"/>
      <c r="J816" s="283"/>
      <c r="K816" s="340"/>
      <c r="L816" s="283"/>
      <c r="M816" s="283"/>
      <c r="N816" s="283"/>
      <c r="O816" s="283"/>
      <c r="P816" s="283"/>
      <c r="Q816" s="340"/>
      <c r="R816" s="283"/>
      <c r="S816" s="283"/>
      <c r="T816" s="340"/>
      <c r="U816" s="340"/>
      <c r="V816" s="283"/>
      <c r="W816" s="283"/>
      <c r="X816" s="283"/>
      <c r="Y816" s="283"/>
      <c r="Z816" s="283"/>
    </row>
    <row r="817" ht="15.75" customHeight="1">
      <c r="A817" s="340"/>
      <c r="B817" s="340"/>
      <c r="C817" s="283"/>
      <c r="D817" s="283"/>
      <c r="E817" s="283"/>
      <c r="F817" s="283"/>
      <c r="G817" s="283"/>
      <c r="H817" s="283"/>
      <c r="I817" s="283"/>
      <c r="J817" s="283"/>
      <c r="K817" s="340"/>
      <c r="L817" s="283"/>
      <c r="M817" s="283"/>
      <c r="N817" s="283"/>
      <c r="O817" s="283"/>
      <c r="P817" s="283"/>
      <c r="Q817" s="340"/>
      <c r="R817" s="283"/>
      <c r="S817" s="283"/>
      <c r="T817" s="340"/>
      <c r="U817" s="340"/>
      <c r="V817" s="283"/>
      <c r="W817" s="283"/>
      <c r="X817" s="283"/>
      <c r="Y817" s="283"/>
      <c r="Z817" s="283"/>
    </row>
    <row r="818" ht="15.75" customHeight="1">
      <c r="A818" s="340"/>
      <c r="B818" s="340"/>
      <c r="C818" s="283"/>
      <c r="D818" s="283"/>
      <c r="E818" s="283"/>
      <c r="F818" s="283"/>
      <c r="G818" s="283"/>
      <c r="H818" s="283"/>
      <c r="I818" s="283"/>
      <c r="J818" s="283"/>
      <c r="K818" s="340"/>
      <c r="L818" s="283"/>
      <c r="M818" s="283"/>
      <c r="N818" s="283"/>
      <c r="O818" s="283"/>
      <c r="P818" s="283"/>
      <c r="Q818" s="340"/>
      <c r="R818" s="283"/>
      <c r="S818" s="283"/>
      <c r="T818" s="340"/>
      <c r="U818" s="340"/>
      <c r="V818" s="283"/>
      <c r="W818" s="283"/>
      <c r="X818" s="283"/>
      <c r="Y818" s="283"/>
      <c r="Z818" s="283"/>
    </row>
    <row r="819" ht="15.75" customHeight="1">
      <c r="A819" s="340"/>
      <c r="B819" s="340"/>
      <c r="C819" s="283"/>
      <c r="D819" s="283"/>
      <c r="E819" s="283"/>
      <c r="F819" s="283"/>
      <c r="G819" s="283"/>
      <c r="H819" s="283"/>
      <c r="I819" s="283"/>
      <c r="J819" s="283"/>
      <c r="K819" s="340"/>
      <c r="L819" s="283"/>
      <c r="M819" s="283"/>
      <c r="N819" s="283"/>
      <c r="O819" s="283"/>
      <c r="P819" s="283"/>
      <c r="Q819" s="340"/>
      <c r="R819" s="283"/>
      <c r="S819" s="283"/>
      <c r="T819" s="340"/>
      <c r="U819" s="340"/>
      <c r="V819" s="283"/>
      <c r="W819" s="283"/>
      <c r="X819" s="283"/>
      <c r="Y819" s="283"/>
      <c r="Z819" s="283"/>
    </row>
    <row r="820" ht="15.75" customHeight="1">
      <c r="A820" s="340"/>
      <c r="B820" s="340"/>
      <c r="C820" s="283"/>
      <c r="D820" s="283"/>
      <c r="E820" s="283"/>
      <c r="F820" s="283"/>
      <c r="G820" s="283"/>
      <c r="H820" s="283"/>
      <c r="I820" s="283"/>
      <c r="J820" s="283"/>
      <c r="K820" s="340"/>
      <c r="L820" s="283"/>
      <c r="M820" s="283"/>
      <c r="N820" s="283"/>
      <c r="O820" s="283"/>
      <c r="P820" s="283"/>
      <c r="Q820" s="340"/>
      <c r="R820" s="283"/>
      <c r="S820" s="283"/>
      <c r="T820" s="340"/>
      <c r="U820" s="340"/>
      <c r="V820" s="283"/>
      <c r="W820" s="283"/>
      <c r="X820" s="283"/>
      <c r="Y820" s="283"/>
      <c r="Z820" s="283"/>
    </row>
    <row r="821" ht="15.75" customHeight="1">
      <c r="A821" s="340"/>
      <c r="B821" s="340"/>
      <c r="C821" s="283"/>
      <c r="D821" s="283"/>
      <c r="E821" s="283"/>
      <c r="F821" s="283"/>
      <c r="G821" s="283"/>
      <c r="H821" s="283"/>
      <c r="I821" s="283"/>
      <c r="J821" s="283"/>
      <c r="K821" s="340"/>
      <c r="L821" s="283"/>
      <c r="M821" s="283"/>
      <c r="N821" s="283"/>
      <c r="O821" s="283"/>
      <c r="P821" s="283"/>
      <c r="Q821" s="340"/>
      <c r="R821" s="283"/>
      <c r="S821" s="283"/>
      <c r="T821" s="340"/>
      <c r="U821" s="340"/>
      <c r="V821" s="283"/>
      <c r="W821" s="283"/>
      <c r="X821" s="283"/>
      <c r="Y821" s="283"/>
      <c r="Z821" s="283"/>
    </row>
    <row r="822" ht="15.75" customHeight="1">
      <c r="A822" s="340"/>
      <c r="B822" s="340"/>
      <c r="C822" s="283"/>
      <c r="D822" s="283"/>
      <c r="E822" s="283"/>
      <c r="F822" s="283"/>
      <c r="G822" s="283"/>
      <c r="H822" s="283"/>
      <c r="I822" s="283"/>
      <c r="J822" s="283"/>
      <c r="K822" s="340"/>
      <c r="L822" s="283"/>
      <c r="M822" s="283"/>
      <c r="N822" s="283"/>
      <c r="O822" s="283"/>
      <c r="P822" s="283"/>
      <c r="Q822" s="340"/>
      <c r="R822" s="283"/>
      <c r="S822" s="283"/>
      <c r="T822" s="340"/>
      <c r="U822" s="340"/>
      <c r="V822" s="283"/>
      <c r="W822" s="283"/>
      <c r="X822" s="283"/>
      <c r="Y822" s="283"/>
      <c r="Z822" s="283"/>
    </row>
    <row r="823" ht="15.75" customHeight="1">
      <c r="A823" s="340"/>
      <c r="B823" s="340"/>
      <c r="C823" s="283"/>
      <c r="D823" s="283"/>
      <c r="E823" s="283"/>
      <c r="F823" s="283"/>
      <c r="G823" s="283"/>
      <c r="H823" s="283"/>
      <c r="I823" s="283"/>
      <c r="J823" s="283"/>
      <c r="K823" s="340"/>
      <c r="L823" s="283"/>
      <c r="M823" s="283"/>
      <c r="N823" s="283"/>
      <c r="O823" s="283"/>
      <c r="P823" s="283"/>
      <c r="Q823" s="340"/>
      <c r="R823" s="283"/>
      <c r="S823" s="283"/>
      <c r="T823" s="340"/>
      <c r="U823" s="340"/>
      <c r="V823" s="283"/>
      <c r="W823" s="283"/>
      <c r="X823" s="283"/>
      <c r="Y823" s="283"/>
      <c r="Z823" s="283"/>
    </row>
    <row r="824" ht="15.75" customHeight="1">
      <c r="A824" s="340"/>
      <c r="B824" s="340"/>
      <c r="C824" s="283"/>
      <c r="D824" s="283"/>
      <c r="E824" s="283"/>
      <c r="F824" s="283"/>
      <c r="G824" s="283"/>
      <c r="H824" s="283"/>
      <c r="I824" s="283"/>
      <c r="J824" s="283"/>
      <c r="K824" s="340"/>
      <c r="L824" s="283"/>
      <c r="M824" s="283"/>
      <c r="N824" s="283"/>
      <c r="O824" s="283"/>
      <c r="P824" s="283"/>
      <c r="Q824" s="340"/>
      <c r="R824" s="283"/>
      <c r="S824" s="283"/>
      <c r="T824" s="340"/>
      <c r="U824" s="340"/>
      <c r="V824" s="283"/>
      <c r="W824" s="283"/>
      <c r="X824" s="283"/>
      <c r="Y824" s="283"/>
      <c r="Z824" s="283"/>
    </row>
    <row r="825" ht="15.75" customHeight="1">
      <c r="A825" s="340"/>
      <c r="B825" s="340"/>
      <c r="C825" s="283"/>
      <c r="D825" s="283"/>
      <c r="E825" s="283"/>
      <c r="F825" s="283"/>
      <c r="G825" s="283"/>
      <c r="H825" s="283"/>
      <c r="I825" s="283"/>
      <c r="J825" s="283"/>
      <c r="K825" s="340"/>
      <c r="L825" s="283"/>
      <c r="M825" s="283"/>
      <c r="N825" s="283"/>
      <c r="O825" s="283"/>
      <c r="P825" s="283"/>
      <c r="Q825" s="340"/>
      <c r="R825" s="283"/>
      <c r="S825" s="283"/>
      <c r="T825" s="340"/>
      <c r="U825" s="340"/>
      <c r="V825" s="283"/>
      <c r="W825" s="283"/>
      <c r="X825" s="283"/>
      <c r="Y825" s="283"/>
      <c r="Z825" s="283"/>
    </row>
    <row r="826" ht="15.75" customHeight="1">
      <c r="A826" s="340"/>
      <c r="B826" s="340"/>
      <c r="C826" s="283"/>
      <c r="D826" s="283"/>
      <c r="E826" s="283"/>
      <c r="F826" s="283"/>
      <c r="G826" s="283"/>
      <c r="H826" s="283"/>
      <c r="I826" s="283"/>
      <c r="J826" s="283"/>
      <c r="K826" s="340"/>
      <c r="L826" s="283"/>
      <c r="M826" s="283"/>
      <c r="N826" s="283"/>
      <c r="O826" s="283"/>
      <c r="P826" s="283"/>
      <c r="Q826" s="340"/>
      <c r="R826" s="283"/>
      <c r="S826" s="283"/>
      <c r="T826" s="340"/>
      <c r="U826" s="340"/>
      <c r="V826" s="283"/>
      <c r="W826" s="283"/>
      <c r="X826" s="283"/>
      <c r="Y826" s="283"/>
      <c r="Z826" s="283"/>
    </row>
    <row r="827" ht="15.75" customHeight="1">
      <c r="A827" s="340"/>
      <c r="B827" s="340"/>
      <c r="C827" s="283"/>
      <c r="D827" s="283"/>
      <c r="E827" s="283"/>
      <c r="F827" s="283"/>
      <c r="G827" s="283"/>
      <c r="H827" s="283"/>
      <c r="I827" s="283"/>
      <c r="J827" s="283"/>
      <c r="K827" s="340"/>
      <c r="L827" s="283"/>
      <c r="M827" s="283"/>
      <c r="N827" s="283"/>
      <c r="O827" s="283"/>
      <c r="P827" s="283"/>
      <c r="Q827" s="340"/>
      <c r="R827" s="283"/>
      <c r="S827" s="283"/>
      <c r="T827" s="340"/>
      <c r="U827" s="340"/>
      <c r="V827" s="283"/>
      <c r="W827" s="283"/>
      <c r="X827" s="283"/>
      <c r="Y827" s="283"/>
      <c r="Z827" s="283"/>
    </row>
    <row r="828" ht="15.75" customHeight="1">
      <c r="A828" s="340"/>
      <c r="B828" s="340"/>
      <c r="C828" s="283"/>
      <c r="D828" s="283"/>
      <c r="E828" s="283"/>
      <c r="F828" s="283"/>
      <c r="G828" s="283"/>
      <c r="H828" s="283"/>
      <c r="I828" s="283"/>
      <c r="J828" s="283"/>
      <c r="K828" s="340"/>
      <c r="L828" s="283"/>
      <c r="M828" s="283"/>
      <c r="N828" s="283"/>
      <c r="O828" s="283"/>
      <c r="P828" s="283"/>
      <c r="Q828" s="340"/>
      <c r="R828" s="283"/>
      <c r="S828" s="283"/>
      <c r="T828" s="340"/>
      <c r="U828" s="340"/>
      <c r="V828" s="283"/>
      <c r="W828" s="283"/>
      <c r="X828" s="283"/>
      <c r="Y828" s="283"/>
      <c r="Z828" s="283"/>
    </row>
    <row r="829" ht="15.75" customHeight="1">
      <c r="A829" s="340"/>
      <c r="B829" s="340"/>
      <c r="C829" s="283"/>
      <c r="D829" s="283"/>
      <c r="E829" s="283"/>
      <c r="F829" s="283"/>
      <c r="G829" s="283"/>
      <c r="H829" s="283"/>
      <c r="I829" s="283"/>
      <c r="J829" s="283"/>
      <c r="K829" s="340"/>
      <c r="L829" s="283"/>
      <c r="M829" s="283"/>
      <c r="N829" s="283"/>
      <c r="O829" s="283"/>
      <c r="P829" s="283"/>
      <c r="Q829" s="340"/>
      <c r="R829" s="283"/>
      <c r="S829" s="283"/>
      <c r="T829" s="340"/>
      <c r="U829" s="340"/>
      <c r="V829" s="283"/>
      <c r="W829" s="283"/>
      <c r="X829" s="283"/>
      <c r="Y829" s="283"/>
      <c r="Z829" s="283"/>
    </row>
    <row r="830" ht="15.75" customHeight="1">
      <c r="A830" s="340"/>
      <c r="B830" s="340"/>
      <c r="C830" s="283"/>
      <c r="D830" s="283"/>
      <c r="E830" s="283"/>
      <c r="F830" s="283"/>
      <c r="G830" s="283"/>
      <c r="H830" s="283"/>
      <c r="I830" s="283"/>
      <c r="J830" s="283"/>
      <c r="K830" s="340"/>
      <c r="L830" s="283"/>
      <c r="M830" s="283"/>
      <c r="N830" s="283"/>
      <c r="O830" s="283"/>
      <c r="P830" s="283"/>
      <c r="Q830" s="340"/>
      <c r="R830" s="283"/>
      <c r="S830" s="283"/>
      <c r="T830" s="340"/>
      <c r="U830" s="340"/>
      <c r="V830" s="283"/>
      <c r="W830" s="283"/>
      <c r="X830" s="283"/>
      <c r="Y830" s="283"/>
      <c r="Z830" s="283"/>
    </row>
    <row r="831" ht="15.75" customHeight="1">
      <c r="A831" s="340"/>
      <c r="B831" s="340"/>
      <c r="C831" s="283"/>
      <c r="D831" s="283"/>
      <c r="E831" s="283"/>
      <c r="F831" s="283"/>
      <c r="G831" s="283"/>
      <c r="H831" s="283"/>
      <c r="I831" s="283"/>
      <c r="J831" s="283"/>
      <c r="K831" s="340"/>
      <c r="L831" s="283"/>
      <c r="M831" s="283"/>
      <c r="N831" s="283"/>
      <c r="O831" s="283"/>
      <c r="P831" s="283"/>
      <c r="Q831" s="340"/>
      <c r="R831" s="283"/>
      <c r="S831" s="283"/>
      <c r="T831" s="340"/>
      <c r="U831" s="340"/>
      <c r="V831" s="283"/>
      <c r="W831" s="283"/>
      <c r="X831" s="283"/>
      <c r="Y831" s="283"/>
      <c r="Z831" s="283"/>
    </row>
    <row r="832" ht="15.75" customHeight="1">
      <c r="A832" s="340"/>
      <c r="B832" s="340"/>
      <c r="C832" s="283"/>
      <c r="D832" s="283"/>
      <c r="E832" s="283"/>
      <c r="F832" s="283"/>
      <c r="G832" s="283"/>
      <c r="H832" s="283"/>
      <c r="I832" s="283"/>
      <c r="J832" s="283"/>
      <c r="K832" s="340"/>
      <c r="L832" s="283"/>
      <c r="M832" s="283"/>
      <c r="N832" s="283"/>
      <c r="O832" s="283"/>
      <c r="P832" s="283"/>
      <c r="Q832" s="340"/>
      <c r="R832" s="283"/>
      <c r="S832" s="283"/>
      <c r="T832" s="340"/>
      <c r="U832" s="340"/>
      <c r="V832" s="283"/>
      <c r="W832" s="283"/>
      <c r="X832" s="283"/>
      <c r="Y832" s="283"/>
      <c r="Z832" s="283"/>
    </row>
    <row r="833" ht="15.75" customHeight="1">
      <c r="A833" s="340"/>
      <c r="B833" s="340"/>
      <c r="C833" s="283"/>
      <c r="D833" s="283"/>
      <c r="E833" s="283"/>
      <c r="F833" s="283"/>
      <c r="G833" s="283"/>
      <c r="H833" s="283"/>
      <c r="I833" s="283"/>
      <c r="J833" s="283"/>
      <c r="K833" s="340"/>
      <c r="L833" s="283"/>
      <c r="M833" s="283"/>
      <c r="N833" s="283"/>
      <c r="O833" s="283"/>
      <c r="P833" s="283"/>
      <c r="Q833" s="340"/>
      <c r="R833" s="283"/>
      <c r="S833" s="283"/>
      <c r="T833" s="340"/>
      <c r="U833" s="340"/>
      <c r="V833" s="283"/>
      <c r="W833" s="283"/>
      <c r="X833" s="283"/>
      <c r="Y833" s="283"/>
      <c r="Z833" s="283"/>
    </row>
    <row r="834" ht="15.75" customHeight="1">
      <c r="A834" s="340"/>
      <c r="B834" s="340"/>
      <c r="C834" s="283"/>
      <c r="D834" s="283"/>
      <c r="E834" s="283"/>
      <c r="F834" s="283"/>
      <c r="G834" s="283"/>
      <c r="H834" s="283"/>
      <c r="I834" s="283"/>
      <c r="J834" s="283"/>
      <c r="K834" s="340"/>
      <c r="L834" s="283"/>
      <c r="M834" s="283"/>
      <c r="N834" s="283"/>
      <c r="O834" s="283"/>
      <c r="P834" s="283"/>
      <c r="Q834" s="340"/>
      <c r="R834" s="283"/>
      <c r="S834" s="283"/>
      <c r="T834" s="340"/>
      <c r="U834" s="340"/>
      <c r="V834" s="283"/>
      <c r="W834" s="283"/>
      <c r="X834" s="283"/>
      <c r="Y834" s="283"/>
      <c r="Z834" s="283"/>
    </row>
    <row r="835" ht="15.75" customHeight="1">
      <c r="A835" s="340"/>
      <c r="B835" s="340"/>
      <c r="C835" s="283"/>
      <c r="D835" s="283"/>
      <c r="E835" s="283"/>
      <c r="F835" s="283"/>
      <c r="G835" s="283"/>
      <c r="H835" s="283"/>
      <c r="I835" s="283"/>
      <c r="J835" s="283"/>
      <c r="K835" s="340"/>
      <c r="L835" s="283"/>
      <c r="M835" s="283"/>
      <c r="N835" s="283"/>
      <c r="O835" s="283"/>
      <c r="P835" s="283"/>
      <c r="Q835" s="340"/>
      <c r="R835" s="283"/>
      <c r="S835" s="283"/>
      <c r="T835" s="340"/>
      <c r="U835" s="340"/>
      <c r="V835" s="283"/>
      <c r="W835" s="283"/>
      <c r="X835" s="283"/>
      <c r="Y835" s="283"/>
      <c r="Z835" s="283"/>
    </row>
    <row r="836" ht="15.75" customHeight="1">
      <c r="A836" s="340"/>
      <c r="B836" s="340"/>
      <c r="C836" s="283"/>
      <c r="D836" s="283"/>
      <c r="E836" s="283"/>
      <c r="F836" s="283"/>
      <c r="G836" s="283"/>
      <c r="H836" s="283"/>
      <c r="I836" s="283"/>
      <c r="J836" s="283"/>
      <c r="K836" s="340"/>
      <c r="L836" s="283"/>
      <c r="M836" s="283"/>
      <c r="N836" s="283"/>
      <c r="O836" s="283"/>
      <c r="P836" s="283"/>
      <c r="Q836" s="340"/>
      <c r="R836" s="283"/>
      <c r="S836" s="283"/>
      <c r="T836" s="340"/>
      <c r="U836" s="340"/>
      <c r="V836" s="283"/>
      <c r="W836" s="283"/>
      <c r="X836" s="283"/>
      <c r="Y836" s="283"/>
      <c r="Z836" s="283"/>
    </row>
    <row r="837" ht="15.75" customHeight="1">
      <c r="A837" s="340"/>
      <c r="B837" s="340"/>
      <c r="C837" s="283"/>
      <c r="D837" s="283"/>
      <c r="E837" s="283"/>
      <c r="F837" s="283"/>
      <c r="G837" s="283"/>
      <c r="H837" s="283"/>
      <c r="I837" s="283"/>
      <c r="J837" s="283"/>
      <c r="K837" s="340"/>
      <c r="L837" s="283"/>
      <c r="M837" s="283"/>
      <c r="N837" s="283"/>
      <c r="O837" s="283"/>
      <c r="P837" s="283"/>
      <c r="Q837" s="340"/>
      <c r="R837" s="283"/>
      <c r="S837" s="283"/>
      <c r="T837" s="340"/>
      <c r="U837" s="340"/>
      <c r="V837" s="283"/>
      <c r="W837" s="283"/>
      <c r="X837" s="283"/>
      <c r="Y837" s="283"/>
      <c r="Z837" s="283"/>
    </row>
    <row r="838" ht="15.75" customHeight="1">
      <c r="A838" s="340"/>
      <c r="B838" s="340"/>
      <c r="C838" s="283"/>
      <c r="D838" s="283"/>
      <c r="E838" s="283"/>
      <c r="F838" s="283"/>
      <c r="G838" s="283"/>
      <c r="H838" s="283"/>
      <c r="I838" s="283"/>
      <c r="J838" s="283"/>
      <c r="K838" s="340"/>
      <c r="L838" s="283"/>
      <c r="M838" s="283"/>
      <c r="N838" s="283"/>
      <c r="O838" s="283"/>
      <c r="P838" s="283"/>
      <c r="Q838" s="340"/>
      <c r="R838" s="283"/>
      <c r="S838" s="283"/>
      <c r="T838" s="340"/>
      <c r="U838" s="340"/>
      <c r="V838" s="283"/>
      <c r="W838" s="283"/>
      <c r="X838" s="283"/>
      <c r="Y838" s="283"/>
      <c r="Z838" s="283"/>
    </row>
    <row r="839" ht="15.75" customHeight="1">
      <c r="A839" s="340"/>
      <c r="B839" s="340"/>
      <c r="C839" s="283"/>
      <c r="D839" s="283"/>
      <c r="E839" s="283"/>
      <c r="F839" s="283"/>
      <c r="G839" s="283"/>
      <c r="H839" s="283"/>
      <c r="I839" s="283"/>
      <c r="J839" s="283"/>
      <c r="K839" s="340"/>
      <c r="L839" s="283"/>
      <c r="M839" s="283"/>
      <c r="N839" s="283"/>
      <c r="O839" s="283"/>
      <c r="P839" s="283"/>
      <c r="Q839" s="340"/>
      <c r="R839" s="283"/>
      <c r="S839" s="283"/>
      <c r="T839" s="340"/>
      <c r="U839" s="340"/>
      <c r="V839" s="283"/>
      <c r="W839" s="283"/>
      <c r="X839" s="283"/>
      <c r="Y839" s="283"/>
      <c r="Z839" s="283"/>
    </row>
    <row r="840" ht="15.75" customHeight="1">
      <c r="A840" s="340"/>
      <c r="B840" s="340"/>
      <c r="C840" s="283"/>
      <c r="D840" s="283"/>
      <c r="E840" s="283"/>
      <c r="F840" s="283"/>
      <c r="G840" s="283"/>
      <c r="H840" s="283"/>
      <c r="I840" s="283"/>
      <c r="J840" s="283"/>
      <c r="K840" s="340"/>
      <c r="L840" s="283"/>
      <c r="M840" s="283"/>
      <c r="N840" s="283"/>
      <c r="O840" s="283"/>
      <c r="P840" s="283"/>
      <c r="Q840" s="340"/>
      <c r="R840" s="283"/>
      <c r="S840" s="283"/>
      <c r="T840" s="340"/>
      <c r="U840" s="340"/>
      <c r="V840" s="283"/>
      <c r="W840" s="283"/>
      <c r="X840" s="283"/>
      <c r="Y840" s="283"/>
      <c r="Z840" s="283"/>
    </row>
    <row r="841" ht="15.75" customHeight="1">
      <c r="A841" s="340"/>
      <c r="B841" s="340"/>
      <c r="C841" s="283"/>
      <c r="D841" s="283"/>
      <c r="E841" s="283"/>
      <c r="F841" s="283"/>
      <c r="G841" s="283"/>
      <c r="H841" s="283"/>
      <c r="I841" s="283"/>
      <c r="J841" s="283"/>
      <c r="K841" s="340"/>
      <c r="L841" s="283"/>
      <c r="M841" s="283"/>
      <c r="N841" s="283"/>
      <c r="O841" s="283"/>
      <c r="P841" s="283"/>
      <c r="Q841" s="340"/>
      <c r="R841" s="283"/>
      <c r="S841" s="283"/>
      <c r="T841" s="340"/>
      <c r="U841" s="340"/>
      <c r="V841" s="283"/>
      <c r="W841" s="283"/>
      <c r="X841" s="283"/>
      <c r="Y841" s="283"/>
      <c r="Z841" s="283"/>
    </row>
    <row r="842" ht="15.75" customHeight="1">
      <c r="A842" s="340"/>
      <c r="B842" s="340"/>
      <c r="C842" s="283"/>
      <c r="D842" s="283"/>
      <c r="E842" s="283"/>
      <c r="F842" s="283"/>
      <c r="G842" s="283"/>
      <c r="H842" s="283"/>
      <c r="I842" s="283"/>
      <c r="J842" s="283"/>
      <c r="K842" s="340"/>
      <c r="L842" s="283"/>
      <c r="M842" s="283"/>
      <c r="N842" s="283"/>
      <c r="O842" s="283"/>
      <c r="P842" s="283"/>
      <c r="Q842" s="340"/>
      <c r="R842" s="283"/>
      <c r="S842" s="283"/>
      <c r="T842" s="340"/>
      <c r="U842" s="340"/>
      <c r="V842" s="283"/>
      <c r="W842" s="283"/>
      <c r="X842" s="283"/>
      <c r="Y842" s="283"/>
      <c r="Z842" s="283"/>
    </row>
    <row r="843" ht="15.75" customHeight="1">
      <c r="A843" s="340"/>
      <c r="B843" s="340"/>
      <c r="C843" s="283"/>
      <c r="D843" s="283"/>
      <c r="E843" s="283"/>
      <c r="F843" s="283"/>
      <c r="G843" s="283"/>
      <c r="H843" s="283"/>
      <c r="I843" s="283"/>
      <c r="J843" s="283"/>
      <c r="K843" s="340"/>
      <c r="L843" s="283"/>
      <c r="M843" s="283"/>
      <c r="N843" s="283"/>
      <c r="O843" s="283"/>
      <c r="P843" s="283"/>
      <c r="Q843" s="340"/>
      <c r="R843" s="283"/>
      <c r="S843" s="283"/>
      <c r="T843" s="340"/>
      <c r="U843" s="340"/>
      <c r="V843" s="283"/>
      <c r="W843" s="283"/>
      <c r="X843" s="283"/>
      <c r="Y843" s="283"/>
      <c r="Z843" s="283"/>
    </row>
    <row r="844" ht="15.75" customHeight="1">
      <c r="A844" s="340"/>
      <c r="B844" s="340"/>
      <c r="C844" s="283"/>
      <c r="D844" s="283"/>
      <c r="E844" s="283"/>
      <c r="F844" s="283"/>
      <c r="G844" s="283"/>
      <c r="H844" s="283"/>
      <c r="I844" s="283"/>
      <c r="J844" s="283"/>
      <c r="K844" s="340"/>
      <c r="L844" s="283"/>
      <c r="M844" s="283"/>
      <c r="N844" s="283"/>
      <c r="O844" s="283"/>
      <c r="P844" s="283"/>
      <c r="Q844" s="340"/>
      <c r="R844" s="283"/>
      <c r="S844" s="283"/>
      <c r="T844" s="340"/>
      <c r="U844" s="340"/>
      <c r="V844" s="283"/>
      <c r="W844" s="283"/>
      <c r="X844" s="283"/>
      <c r="Y844" s="283"/>
      <c r="Z844" s="283"/>
    </row>
    <row r="845" ht="15.75" customHeight="1">
      <c r="A845" s="340"/>
      <c r="B845" s="340"/>
      <c r="C845" s="283"/>
      <c r="D845" s="283"/>
      <c r="E845" s="283"/>
      <c r="F845" s="283"/>
      <c r="G845" s="283"/>
      <c r="H845" s="283"/>
      <c r="I845" s="283"/>
      <c r="J845" s="283"/>
      <c r="K845" s="340"/>
      <c r="L845" s="283"/>
      <c r="M845" s="283"/>
      <c r="N845" s="283"/>
      <c r="O845" s="283"/>
      <c r="P845" s="283"/>
      <c r="Q845" s="340"/>
      <c r="R845" s="283"/>
      <c r="S845" s="283"/>
      <c r="T845" s="340"/>
      <c r="U845" s="340"/>
      <c r="V845" s="283"/>
      <c r="W845" s="283"/>
      <c r="X845" s="283"/>
      <c r="Y845" s="283"/>
      <c r="Z845" s="283"/>
    </row>
    <row r="846" ht="15.75" customHeight="1">
      <c r="A846" s="340"/>
      <c r="B846" s="340"/>
      <c r="C846" s="283"/>
      <c r="D846" s="283"/>
      <c r="E846" s="283"/>
      <c r="F846" s="283"/>
      <c r="G846" s="283"/>
      <c r="H846" s="283"/>
      <c r="I846" s="283"/>
      <c r="J846" s="283"/>
      <c r="K846" s="340"/>
      <c r="L846" s="283"/>
      <c r="M846" s="283"/>
      <c r="N846" s="283"/>
      <c r="O846" s="283"/>
      <c r="P846" s="283"/>
      <c r="Q846" s="340"/>
      <c r="R846" s="283"/>
      <c r="S846" s="283"/>
      <c r="T846" s="340"/>
      <c r="U846" s="340"/>
      <c r="V846" s="283"/>
      <c r="W846" s="283"/>
      <c r="X846" s="283"/>
      <c r="Y846" s="283"/>
      <c r="Z846" s="283"/>
    </row>
    <row r="847" ht="15.75" customHeight="1">
      <c r="A847" s="340"/>
      <c r="B847" s="340"/>
      <c r="C847" s="283"/>
      <c r="D847" s="283"/>
      <c r="E847" s="283"/>
      <c r="F847" s="283"/>
      <c r="G847" s="283"/>
      <c r="H847" s="283"/>
      <c r="I847" s="283"/>
      <c r="J847" s="283"/>
      <c r="K847" s="340"/>
      <c r="L847" s="283"/>
      <c r="M847" s="283"/>
      <c r="N847" s="283"/>
      <c r="O847" s="283"/>
      <c r="P847" s="283"/>
      <c r="Q847" s="340"/>
      <c r="R847" s="283"/>
      <c r="S847" s="283"/>
      <c r="T847" s="340"/>
      <c r="U847" s="340"/>
      <c r="V847" s="283"/>
      <c r="W847" s="283"/>
      <c r="X847" s="283"/>
      <c r="Y847" s="283"/>
      <c r="Z847" s="283"/>
    </row>
    <row r="848" ht="15.75" customHeight="1">
      <c r="A848" s="340"/>
      <c r="B848" s="340"/>
      <c r="C848" s="283"/>
      <c r="D848" s="283"/>
      <c r="E848" s="283"/>
      <c r="F848" s="283"/>
      <c r="G848" s="283"/>
      <c r="H848" s="283"/>
      <c r="I848" s="283"/>
      <c r="J848" s="283"/>
      <c r="K848" s="340"/>
      <c r="L848" s="283"/>
      <c r="M848" s="283"/>
      <c r="N848" s="283"/>
      <c r="O848" s="283"/>
      <c r="P848" s="283"/>
      <c r="Q848" s="340"/>
      <c r="R848" s="283"/>
      <c r="S848" s="283"/>
      <c r="T848" s="340"/>
      <c r="U848" s="340"/>
      <c r="V848" s="283"/>
      <c r="W848" s="283"/>
      <c r="X848" s="283"/>
      <c r="Y848" s="283"/>
      <c r="Z848" s="283"/>
    </row>
    <row r="849" ht="15.75" customHeight="1">
      <c r="A849" s="340"/>
      <c r="B849" s="340"/>
      <c r="C849" s="283"/>
      <c r="D849" s="283"/>
      <c r="E849" s="283"/>
      <c r="F849" s="283"/>
      <c r="G849" s="283"/>
      <c r="H849" s="283"/>
      <c r="I849" s="283"/>
      <c r="J849" s="283"/>
      <c r="K849" s="340"/>
      <c r="L849" s="283"/>
      <c r="M849" s="283"/>
      <c r="N849" s="283"/>
      <c r="O849" s="283"/>
      <c r="P849" s="283"/>
      <c r="Q849" s="340"/>
      <c r="R849" s="283"/>
      <c r="S849" s="283"/>
      <c r="T849" s="340"/>
      <c r="U849" s="340"/>
      <c r="V849" s="283"/>
      <c r="W849" s="283"/>
      <c r="X849" s="283"/>
      <c r="Y849" s="283"/>
      <c r="Z849" s="283"/>
    </row>
    <row r="850" ht="15.75" customHeight="1">
      <c r="A850" s="340"/>
      <c r="B850" s="340"/>
      <c r="C850" s="283"/>
      <c r="D850" s="283"/>
      <c r="E850" s="283"/>
      <c r="F850" s="283"/>
      <c r="G850" s="283"/>
      <c r="H850" s="283"/>
      <c r="I850" s="283"/>
      <c r="J850" s="283"/>
      <c r="K850" s="340"/>
      <c r="L850" s="283"/>
      <c r="M850" s="283"/>
      <c r="N850" s="283"/>
      <c r="O850" s="283"/>
      <c r="P850" s="283"/>
      <c r="Q850" s="340"/>
      <c r="R850" s="283"/>
      <c r="S850" s="283"/>
      <c r="T850" s="340"/>
      <c r="U850" s="340"/>
      <c r="V850" s="283"/>
      <c r="W850" s="283"/>
      <c r="X850" s="283"/>
      <c r="Y850" s="283"/>
      <c r="Z850" s="283"/>
    </row>
    <row r="851" ht="15.75" customHeight="1">
      <c r="A851" s="340"/>
      <c r="B851" s="340"/>
      <c r="C851" s="283"/>
      <c r="D851" s="283"/>
      <c r="E851" s="283"/>
      <c r="F851" s="283"/>
      <c r="G851" s="283"/>
      <c r="H851" s="283"/>
      <c r="I851" s="283"/>
      <c r="J851" s="283"/>
      <c r="K851" s="340"/>
      <c r="L851" s="283"/>
      <c r="M851" s="283"/>
      <c r="N851" s="283"/>
      <c r="O851" s="283"/>
      <c r="P851" s="283"/>
      <c r="Q851" s="340"/>
      <c r="R851" s="283"/>
      <c r="S851" s="283"/>
      <c r="T851" s="340"/>
      <c r="U851" s="340"/>
      <c r="V851" s="283"/>
      <c r="W851" s="283"/>
      <c r="X851" s="283"/>
      <c r="Y851" s="283"/>
      <c r="Z851" s="283"/>
    </row>
    <row r="852" ht="15.75" customHeight="1">
      <c r="A852" s="340"/>
      <c r="B852" s="340"/>
      <c r="C852" s="283"/>
      <c r="D852" s="283"/>
      <c r="E852" s="283"/>
      <c r="F852" s="283"/>
      <c r="G852" s="283"/>
      <c r="H852" s="283"/>
      <c r="I852" s="283"/>
      <c r="J852" s="283"/>
      <c r="K852" s="340"/>
      <c r="L852" s="283"/>
      <c r="M852" s="283"/>
      <c r="N852" s="283"/>
      <c r="O852" s="283"/>
      <c r="P852" s="283"/>
      <c r="Q852" s="340"/>
      <c r="R852" s="283"/>
      <c r="S852" s="283"/>
      <c r="T852" s="340"/>
      <c r="U852" s="340"/>
      <c r="V852" s="283"/>
      <c r="W852" s="283"/>
      <c r="X852" s="283"/>
      <c r="Y852" s="283"/>
      <c r="Z852" s="283"/>
    </row>
    <row r="853" ht="15.75" customHeight="1">
      <c r="A853" s="340"/>
      <c r="B853" s="340"/>
      <c r="C853" s="283"/>
      <c r="D853" s="283"/>
      <c r="E853" s="283"/>
      <c r="F853" s="283"/>
      <c r="G853" s="283"/>
      <c r="H853" s="283"/>
      <c r="I853" s="283"/>
      <c r="J853" s="283"/>
      <c r="K853" s="340"/>
      <c r="L853" s="283"/>
      <c r="M853" s="283"/>
      <c r="N853" s="283"/>
      <c r="O853" s="283"/>
      <c r="P853" s="283"/>
      <c r="Q853" s="340"/>
      <c r="R853" s="283"/>
      <c r="S853" s="283"/>
      <c r="T853" s="340"/>
      <c r="U853" s="340"/>
      <c r="V853" s="283"/>
      <c r="W853" s="283"/>
      <c r="X853" s="283"/>
      <c r="Y853" s="283"/>
      <c r="Z853" s="283"/>
    </row>
    <row r="854" ht="15.75" customHeight="1">
      <c r="A854" s="340"/>
      <c r="B854" s="340"/>
      <c r="C854" s="283"/>
      <c r="D854" s="283"/>
      <c r="E854" s="283"/>
      <c r="F854" s="283"/>
      <c r="G854" s="283"/>
      <c r="H854" s="283"/>
      <c r="I854" s="283"/>
      <c r="J854" s="283"/>
      <c r="K854" s="340"/>
      <c r="L854" s="283"/>
      <c r="M854" s="283"/>
      <c r="N854" s="283"/>
      <c r="O854" s="283"/>
      <c r="P854" s="283"/>
      <c r="Q854" s="340"/>
      <c r="R854" s="283"/>
      <c r="S854" s="283"/>
      <c r="T854" s="340"/>
      <c r="U854" s="340"/>
      <c r="V854" s="283"/>
      <c r="W854" s="283"/>
      <c r="X854" s="283"/>
      <c r="Y854" s="283"/>
      <c r="Z854" s="283"/>
    </row>
    <row r="855" ht="15.75" customHeight="1">
      <c r="A855" s="340"/>
      <c r="B855" s="340"/>
      <c r="C855" s="283"/>
      <c r="D855" s="283"/>
      <c r="E855" s="283"/>
      <c r="F855" s="283"/>
      <c r="G855" s="283"/>
      <c r="H855" s="283"/>
      <c r="I855" s="283"/>
      <c r="J855" s="283"/>
      <c r="K855" s="340"/>
      <c r="L855" s="283"/>
      <c r="M855" s="283"/>
      <c r="N855" s="283"/>
      <c r="O855" s="283"/>
      <c r="P855" s="283"/>
      <c r="Q855" s="340"/>
      <c r="R855" s="283"/>
      <c r="S855" s="283"/>
      <c r="T855" s="340"/>
      <c r="U855" s="340"/>
      <c r="V855" s="283"/>
      <c r="W855" s="283"/>
      <c r="X855" s="283"/>
      <c r="Y855" s="283"/>
      <c r="Z855" s="283"/>
    </row>
    <row r="856" ht="15.75" customHeight="1">
      <c r="A856" s="340"/>
      <c r="B856" s="340"/>
      <c r="C856" s="283"/>
      <c r="D856" s="283"/>
      <c r="E856" s="283"/>
      <c r="F856" s="283"/>
      <c r="G856" s="283"/>
      <c r="H856" s="283"/>
      <c r="I856" s="283"/>
      <c r="J856" s="283"/>
      <c r="K856" s="340"/>
      <c r="L856" s="283"/>
      <c r="M856" s="283"/>
      <c r="N856" s="283"/>
      <c r="O856" s="283"/>
      <c r="P856" s="283"/>
      <c r="Q856" s="340"/>
      <c r="R856" s="283"/>
      <c r="S856" s="283"/>
      <c r="T856" s="340"/>
      <c r="U856" s="340"/>
      <c r="V856" s="283"/>
      <c r="W856" s="283"/>
      <c r="X856" s="283"/>
      <c r="Y856" s="283"/>
      <c r="Z856" s="283"/>
    </row>
    <row r="857" ht="15.75" customHeight="1">
      <c r="A857" s="340"/>
      <c r="B857" s="340"/>
      <c r="C857" s="283"/>
      <c r="D857" s="283"/>
      <c r="E857" s="283"/>
      <c r="F857" s="283"/>
      <c r="G857" s="283"/>
      <c r="H857" s="283"/>
      <c r="I857" s="283"/>
      <c r="J857" s="283"/>
      <c r="K857" s="340"/>
      <c r="L857" s="283"/>
      <c r="M857" s="283"/>
      <c r="N857" s="283"/>
      <c r="O857" s="283"/>
      <c r="P857" s="283"/>
      <c r="Q857" s="340"/>
      <c r="R857" s="283"/>
      <c r="S857" s="283"/>
      <c r="T857" s="340"/>
      <c r="U857" s="340"/>
      <c r="V857" s="283"/>
      <c r="W857" s="283"/>
      <c r="X857" s="283"/>
      <c r="Y857" s="283"/>
      <c r="Z857" s="283"/>
    </row>
    <row r="858" ht="15.75" customHeight="1">
      <c r="A858" s="340"/>
      <c r="B858" s="340"/>
      <c r="C858" s="283"/>
      <c r="D858" s="283"/>
      <c r="E858" s="283"/>
      <c r="F858" s="283"/>
      <c r="G858" s="283"/>
      <c r="H858" s="283"/>
      <c r="I858" s="283"/>
      <c r="J858" s="283"/>
      <c r="K858" s="340"/>
      <c r="L858" s="283"/>
      <c r="M858" s="283"/>
      <c r="N858" s="283"/>
      <c r="O858" s="283"/>
      <c r="P858" s="283"/>
      <c r="Q858" s="340"/>
      <c r="R858" s="283"/>
      <c r="S858" s="283"/>
      <c r="T858" s="340"/>
      <c r="U858" s="340"/>
      <c r="V858" s="283"/>
      <c r="W858" s="283"/>
      <c r="X858" s="283"/>
      <c r="Y858" s="283"/>
      <c r="Z858" s="283"/>
    </row>
    <row r="859" ht="15.75" customHeight="1">
      <c r="A859" s="340"/>
      <c r="B859" s="340"/>
      <c r="C859" s="283"/>
      <c r="D859" s="283"/>
      <c r="E859" s="283"/>
      <c r="F859" s="283"/>
      <c r="G859" s="283"/>
      <c r="H859" s="283"/>
      <c r="I859" s="283"/>
      <c r="J859" s="283"/>
      <c r="K859" s="340"/>
      <c r="L859" s="283"/>
      <c r="M859" s="283"/>
      <c r="N859" s="283"/>
      <c r="O859" s="283"/>
      <c r="P859" s="283"/>
      <c r="Q859" s="340"/>
      <c r="R859" s="283"/>
      <c r="S859" s="283"/>
      <c r="T859" s="340"/>
      <c r="U859" s="340"/>
      <c r="V859" s="283"/>
      <c r="W859" s="283"/>
      <c r="X859" s="283"/>
      <c r="Y859" s="283"/>
      <c r="Z859" s="283"/>
    </row>
    <row r="860" ht="15.75" customHeight="1">
      <c r="A860" s="340"/>
      <c r="B860" s="340"/>
      <c r="C860" s="283"/>
      <c r="D860" s="283"/>
      <c r="E860" s="283"/>
      <c r="F860" s="283"/>
      <c r="G860" s="283"/>
      <c r="H860" s="283"/>
      <c r="I860" s="283"/>
      <c r="J860" s="283"/>
      <c r="K860" s="340"/>
      <c r="L860" s="283"/>
      <c r="M860" s="283"/>
      <c r="N860" s="283"/>
      <c r="O860" s="283"/>
      <c r="P860" s="283"/>
      <c r="Q860" s="340"/>
      <c r="R860" s="283"/>
      <c r="S860" s="283"/>
      <c r="T860" s="340"/>
      <c r="U860" s="340"/>
      <c r="V860" s="283"/>
      <c r="W860" s="283"/>
      <c r="X860" s="283"/>
      <c r="Y860" s="283"/>
      <c r="Z860" s="283"/>
    </row>
    <row r="861" ht="15.75" customHeight="1">
      <c r="A861" s="340"/>
      <c r="B861" s="340"/>
      <c r="C861" s="283"/>
      <c r="D861" s="283"/>
      <c r="E861" s="283"/>
      <c r="F861" s="283"/>
      <c r="G861" s="283"/>
      <c r="H861" s="283"/>
      <c r="I861" s="283"/>
      <c r="J861" s="283"/>
      <c r="K861" s="340"/>
      <c r="L861" s="283"/>
      <c r="M861" s="283"/>
      <c r="N861" s="283"/>
      <c r="O861" s="283"/>
      <c r="P861" s="283"/>
      <c r="Q861" s="340"/>
      <c r="R861" s="283"/>
      <c r="S861" s="283"/>
      <c r="T861" s="340"/>
      <c r="U861" s="340"/>
      <c r="V861" s="283"/>
      <c r="W861" s="283"/>
      <c r="X861" s="283"/>
      <c r="Y861" s="283"/>
      <c r="Z861" s="283"/>
    </row>
    <row r="862" ht="15.75" customHeight="1">
      <c r="A862" s="340"/>
      <c r="B862" s="340"/>
      <c r="C862" s="283"/>
      <c r="D862" s="283"/>
      <c r="E862" s="283"/>
      <c r="F862" s="283"/>
      <c r="G862" s="283"/>
      <c r="H862" s="283"/>
      <c r="I862" s="283"/>
      <c r="J862" s="283"/>
      <c r="K862" s="340"/>
      <c r="L862" s="283"/>
      <c r="M862" s="283"/>
      <c r="N862" s="283"/>
      <c r="O862" s="283"/>
      <c r="P862" s="283"/>
      <c r="Q862" s="340"/>
      <c r="R862" s="283"/>
      <c r="S862" s="283"/>
      <c r="T862" s="340"/>
      <c r="U862" s="340"/>
      <c r="V862" s="283"/>
      <c r="W862" s="283"/>
      <c r="X862" s="283"/>
      <c r="Y862" s="283"/>
      <c r="Z862" s="283"/>
    </row>
    <row r="863" ht="15.75" customHeight="1">
      <c r="A863" s="340"/>
      <c r="B863" s="340"/>
      <c r="C863" s="283"/>
      <c r="D863" s="283"/>
      <c r="E863" s="283"/>
      <c r="F863" s="283"/>
      <c r="G863" s="283"/>
      <c r="H863" s="283"/>
      <c r="I863" s="283"/>
      <c r="J863" s="283"/>
      <c r="K863" s="340"/>
      <c r="L863" s="283"/>
      <c r="M863" s="283"/>
      <c r="N863" s="283"/>
      <c r="O863" s="283"/>
      <c r="P863" s="283"/>
      <c r="Q863" s="340"/>
      <c r="R863" s="283"/>
      <c r="S863" s="283"/>
      <c r="T863" s="340"/>
      <c r="U863" s="340"/>
      <c r="V863" s="283"/>
      <c r="W863" s="283"/>
      <c r="X863" s="283"/>
      <c r="Y863" s="283"/>
      <c r="Z863" s="283"/>
    </row>
    <row r="864" ht="15.75" customHeight="1">
      <c r="A864" s="340"/>
      <c r="B864" s="340"/>
      <c r="C864" s="283"/>
      <c r="D864" s="283"/>
      <c r="E864" s="283"/>
      <c r="F864" s="283"/>
      <c r="G864" s="283"/>
      <c r="H864" s="283"/>
      <c r="I864" s="283"/>
      <c r="J864" s="283"/>
      <c r="K864" s="340"/>
      <c r="L864" s="283"/>
      <c r="M864" s="283"/>
      <c r="N864" s="283"/>
      <c r="O864" s="283"/>
      <c r="P864" s="283"/>
      <c r="Q864" s="340"/>
      <c r="R864" s="283"/>
      <c r="S864" s="283"/>
      <c r="T864" s="340"/>
      <c r="U864" s="340"/>
      <c r="V864" s="283"/>
      <c r="W864" s="283"/>
      <c r="X864" s="283"/>
      <c r="Y864" s="283"/>
      <c r="Z864" s="283"/>
    </row>
    <row r="865" ht="15.75" customHeight="1">
      <c r="A865" s="340"/>
      <c r="B865" s="340"/>
      <c r="C865" s="283"/>
      <c r="D865" s="283"/>
      <c r="E865" s="283"/>
      <c r="F865" s="283"/>
      <c r="G865" s="283"/>
      <c r="H865" s="283"/>
      <c r="I865" s="283"/>
      <c r="J865" s="283"/>
      <c r="K865" s="340"/>
      <c r="L865" s="283"/>
      <c r="M865" s="283"/>
      <c r="N865" s="283"/>
      <c r="O865" s="283"/>
      <c r="P865" s="283"/>
      <c r="Q865" s="340"/>
      <c r="R865" s="283"/>
      <c r="S865" s="283"/>
      <c r="T865" s="340"/>
      <c r="U865" s="340"/>
      <c r="V865" s="283"/>
      <c r="W865" s="283"/>
      <c r="X865" s="283"/>
      <c r="Y865" s="283"/>
      <c r="Z865" s="283"/>
    </row>
    <row r="866" ht="15.75" customHeight="1">
      <c r="A866" s="340"/>
      <c r="B866" s="340"/>
      <c r="C866" s="283"/>
      <c r="D866" s="283"/>
      <c r="E866" s="283"/>
      <c r="F866" s="283"/>
      <c r="G866" s="283"/>
      <c r="H866" s="283"/>
      <c r="I866" s="283"/>
      <c r="J866" s="283"/>
      <c r="K866" s="340"/>
      <c r="L866" s="283"/>
      <c r="M866" s="283"/>
      <c r="N866" s="283"/>
      <c r="O866" s="283"/>
      <c r="P866" s="283"/>
      <c r="Q866" s="340"/>
      <c r="R866" s="283"/>
      <c r="S866" s="283"/>
      <c r="T866" s="340"/>
      <c r="U866" s="340"/>
      <c r="V866" s="283"/>
      <c r="W866" s="283"/>
      <c r="X866" s="283"/>
      <c r="Y866" s="283"/>
      <c r="Z866" s="283"/>
    </row>
    <row r="867" ht="15.75" customHeight="1">
      <c r="A867" s="340"/>
      <c r="B867" s="340"/>
      <c r="C867" s="283"/>
      <c r="D867" s="283"/>
      <c r="E867" s="283"/>
      <c r="F867" s="283"/>
      <c r="G867" s="283"/>
      <c r="H867" s="283"/>
      <c r="I867" s="283"/>
      <c r="J867" s="283"/>
      <c r="K867" s="340"/>
      <c r="L867" s="283"/>
      <c r="M867" s="283"/>
      <c r="N867" s="283"/>
      <c r="O867" s="283"/>
      <c r="P867" s="283"/>
      <c r="Q867" s="340"/>
      <c r="R867" s="283"/>
      <c r="S867" s="283"/>
      <c r="T867" s="340"/>
      <c r="U867" s="340"/>
      <c r="V867" s="283"/>
      <c r="W867" s="283"/>
      <c r="X867" s="283"/>
      <c r="Y867" s="283"/>
      <c r="Z867" s="283"/>
    </row>
    <row r="868" ht="15.75" customHeight="1">
      <c r="A868" s="340"/>
      <c r="B868" s="340"/>
      <c r="C868" s="283"/>
      <c r="D868" s="283"/>
      <c r="E868" s="283"/>
      <c r="F868" s="283"/>
      <c r="G868" s="283"/>
      <c r="H868" s="283"/>
      <c r="I868" s="283"/>
      <c r="J868" s="283"/>
      <c r="K868" s="340"/>
      <c r="L868" s="283"/>
      <c r="M868" s="283"/>
      <c r="N868" s="283"/>
      <c r="O868" s="283"/>
      <c r="P868" s="283"/>
      <c r="Q868" s="340"/>
      <c r="R868" s="283"/>
      <c r="S868" s="283"/>
      <c r="T868" s="340"/>
      <c r="U868" s="340"/>
      <c r="V868" s="283"/>
      <c r="W868" s="283"/>
      <c r="X868" s="283"/>
      <c r="Y868" s="283"/>
      <c r="Z868" s="283"/>
    </row>
    <row r="869" ht="15.75" customHeight="1">
      <c r="A869" s="340"/>
      <c r="B869" s="340"/>
      <c r="C869" s="283"/>
      <c r="D869" s="283"/>
      <c r="E869" s="283"/>
      <c r="F869" s="283"/>
      <c r="G869" s="283"/>
      <c r="H869" s="283"/>
      <c r="I869" s="283"/>
      <c r="J869" s="283"/>
      <c r="K869" s="340"/>
      <c r="L869" s="283"/>
      <c r="M869" s="283"/>
      <c r="N869" s="283"/>
      <c r="O869" s="283"/>
      <c r="P869" s="283"/>
      <c r="Q869" s="340"/>
      <c r="R869" s="283"/>
      <c r="S869" s="283"/>
      <c r="T869" s="340"/>
      <c r="U869" s="340"/>
      <c r="V869" s="283"/>
      <c r="W869" s="283"/>
      <c r="X869" s="283"/>
      <c r="Y869" s="283"/>
      <c r="Z869" s="283"/>
    </row>
    <row r="870" ht="15.75" customHeight="1">
      <c r="A870" s="340"/>
      <c r="B870" s="340"/>
      <c r="C870" s="283"/>
      <c r="D870" s="283"/>
      <c r="E870" s="283"/>
      <c r="F870" s="283"/>
      <c r="G870" s="283"/>
      <c r="H870" s="283"/>
      <c r="I870" s="283"/>
      <c r="J870" s="283"/>
      <c r="K870" s="340"/>
      <c r="L870" s="283"/>
      <c r="M870" s="283"/>
      <c r="N870" s="283"/>
      <c r="O870" s="283"/>
      <c r="P870" s="283"/>
      <c r="Q870" s="340"/>
      <c r="R870" s="283"/>
      <c r="S870" s="283"/>
      <c r="T870" s="340"/>
      <c r="U870" s="340"/>
      <c r="V870" s="283"/>
      <c r="W870" s="283"/>
      <c r="X870" s="283"/>
      <c r="Y870" s="283"/>
      <c r="Z870" s="283"/>
    </row>
    <row r="871" ht="15.75" customHeight="1">
      <c r="A871" s="340"/>
      <c r="B871" s="340"/>
      <c r="C871" s="283"/>
      <c r="D871" s="283"/>
      <c r="E871" s="283"/>
      <c r="F871" s="283"/>
      <c r="G871" s="283"/>
      <c r="H871" s="283"/>
      <c r="I871" s="283"/>
      <c r="J871" s="283"/>
      <c r="K871" s="340"/>
      <c r="L871" s="283"/>
      <c r="M871" s="283"/>
      <c r="N871" s="283"/>
      <c r="O871" s="283"/>
      <c r="P871" s="283"/>
      <c r="Q871" s="340"/>
      <c r="R871" s="283"/>
      <c r="S871" s="283"/>
      <c r="T871" s="340"/>
      <c r="U871" s="340"/>
      <c r="V871" s="283"/>
      <c r="W871" s="283"/>
      <c r="X871" s="283"/>
      <c r="Y871" s="283"/>
      <c r="Z871" s="283"/>
    </row>
    <row r="872" ht="15.75" customHeight="1">
      <c r="A872" s="340"/>
      <c r="B872" s="340"/>
      <c r="C872" s="283"/>
      <c r="D872" s="283"/>
      <c r="E872" s="283"/>
      <c r="F872" s="283"/>
      <c r="G872" s="283"/>
      <c r="H872" s="283"/>
      <c r="I872" s="283"/>
      <c r="J872" s="283"/>
      <c r="K872" s="340"/>
      <c r="L872" s="283"/>
      <c r="M872" s="283"/>
      <c r="N872" s="283"/>
      <c r="O872" s="283"/>
      <c r="P872" s="283"/>
      <c r="Q872" s="340"/>
      <c r="R872" s="283"/>
      <c r="S872" s="283"/>
      <c r="T872" s="340"/>
      <c r="U872" s="340"/>
      <c r="V872" s="283"/>
      <c r="W872" s="283"/>
      <c r="X872" s="283"/>
      <c r="Y872" s="283"/>
      <c r="Z872" s="283"/>
    </row>
    <row r="873" ht="15.75" customHeight="1">
      <c r="A873" s="340"/>
      <c r="B873" s="340"/>
      <c r="C873" s="283"/>
      <c r="D873" s="283"/>
      <c r="E873" s="283"/>
      <c r="F873" s="283"/>
      <c r="G873" s="283"/>
      <c r="H873" s="283"/>
      <c r="I873" s="283"/>
      <c r="J873" s="283"/>
      <c r="K873" s="340"/>
      <c r="L873" s="283"/>
      <c r="M873" s="283"/>
      <c r="N873" s="283"/>
      <c r="O873" s="283"/>
      <c r="P873" s="283"/>
      <c r="Q873" s="340"/>
      <c r="R873" s="283"/>
      <c r="S873" s="283"/>
      <c r="T873" s="340"/>
      <c r="U873" s="340"/>
      <c r="V873" s="283"/>
      <c r="W873" s="283"/>
      <c r="X873" s="283"/>
      <c r="Y873" s="283"/>
      <c r="Z873" s="283"/>
    </row>
    <row r="874" ht="15.75" customHeight="1">
      <c r="A874" s="340"/>
      <c r="B874" s="340"/>
      <c r="C874" s="283"/>
      <c r="D874" s="283"/>
      <c r="E874" s="283"/>
      <c r="F874" s="283"/>
      <c r="G874" s="283"/>
      <c r="H874" s="283"/>
      <c r="I874" s="283"/>
      <c r="J874" s="283"/>
      <c r="K874" s="340"/>
      <c r="L874" s="283"/>
      <c r="M874" s="283"/>
      <c r="N874" s="283"/>
      <c r="O874" s="283"/>
      <c r="P874" s="283"/>
      <c r="Q874" s="340"/>
      <c r="R874" s="283"/>
      <c r="S874" s="283"/>
      <c r="T874" s="340"/>
      <c r="U874" s="340"/>
      <c r="V874" s="283"/>
      <c r="W874" s="283"/>
      <c r="X874" s="283"/>
      <c r="Y874" s="283"/>
      <c r="Z874" s="283"/>
    </row>
    <row r="875" ht="15.75" customHeight="1">
      <c r="A875" s="340"/>
      <c r="B875" s="340"/>
      <c r="C875" s="283"/>
      <c r="D875" s="283"/>
      <c r="E875" s="283"/>
      <c r="F875" s="283"/>
      <c r="G875" s="283"/>
      <c r="H875" s="283"/>
      <c r="I875" s="283"/>
      <c r="J875" s="283"/>
      <c r="K875" s="340"/>
      <c r="L875" s="283"/>
      <c r="M875" s="283"/>
      <c r="N875" s="283"/>
      <c r="O875" s="283"/>
      <c r="P875" s="283"/>
      <c r="Q875" s="340"/>
      <c r="R875" s="283"/>
      <c r="S875" s="283"/>
      <c r="T875" s="340"/>
      <c r="U875" s="340"/>
      <c r="V875" s="283"/>
      <c r="W875" s="283"/>
      <c r="X875" s="283"/>
      <c r="Y875" s="283"/>
      <c r="Z875" s="283"/>
    </row>
    <row r="876" ht="15.75" customHeight="1">
      <c r="A876" s="340"/>
      <c r="B876" s="340"/>
      <c r="C876" s="283"/>
      <c r="D876" s="283"/>
      <c r="E876" s="283"/>
      <c r="F876" s="283"/>
      <c r="G876" s="283"/>
      <c r="H876" s="283"/>
      <c r="I876" s="283"/>
      <c r="J876" s="283"/>
      <c r="K876" s="340"/>
      <c r="L876" s="283"/>
      <c r="M876" s="283"/>
      <c r="N876" s="283"/>
      <c r="O876" s="283"/>
      <c r="P876" s="283"/>
      <c r="Q876" s="340"/>
      <c r="R876" s="283"/>
      <c r="S876" s="283"/>
      <c r="T876" s="340"/>
      <c r="U876" s="340"/>
      <c r="V876" s="283"/>
      <c r="W876" s="283"/>
      <c r="X876" s="283"/>
      <c r="Y876" s="283"/>
      <c r="Z876" s="283"/>
    </row>
    <row r="877" ht="15.75" customHeight="1">
      <c r="A877" s="340"/>
      <c r="B877" s="340"/>
      <c r="C877" s="283"/>
      <c r="D877" s="283"/>
      <c r="E877" s="283"/>
      <c r="F877" s="283"/>
      <c r="G877" s="283"/>
      <c r="H877" s="283"/>
      <c r="I877" s="283"/>
      <c r="J877" s="283"/>
      <c r="K877" s="340"/>
      <c r="L877" s="283"/>
      <c r="M877" s="283"/>
      <c r="N877" s="283"/>
      <c r="O877" s="283"/>
      <c r="P877" s="283"/>
      <c r="Q877" s="340"/>
      <c r="R877" s="283"/>
      <c r="S877" s="283"/>
      <c r="T877" s="340"/>
      <c r="U877" s="340"/>
      <c r="V877" s="283"/>
      <c r="W877" s="283"/>
      <c r="X877" s="283"/>
      <c r="Y877" s="283"/>
      <c r="Z877" s="283"/>
    </row>
    <row r="878" ht="15.75" customHeight="1">
      <c r="A878" s="340"/>
      <c r="B878" s="340"/>
      <c r="C878" s="283"/>
      <c r="D878" s="283"/>
      <c r="E878" s="283"/>
      <c r="F878" s="283"/>
      <c r="G878" s="283"/>
      <c r="H878" s="283"/>
      <c r="I878" s="283"/>
      <c r="J878" s="283"/>
      <c r="K878" s="340"/>
      <c r="L878" s="283"/>
      <c r="M878" s="283"/>
      <c r="N878" s="283"/>
      <c r="O878" s="283"/>
      <c r="P878" s="283"/>
      <c r="Q878" s="340"/>
      <c r="R878" s="283"/>
      <c r="S878" s="283"/>
      <c r="T878" s="340"/>
      <c r="U878" s="340"/>
      <c r="V878" s="283"/>
      <c r="W878" s="283"/>
      <c r="X878" s="283"/>
      <c r="Y878" s="283"/>
      <c r="Z878" s="283"/>
    </row>
    <row r="879" ht="15.75" customHeight="1">
      <c r="A879" s="340"/>
      <c r="B879" s="340"/>
      <c r="C879" s="283"/>
      <c r="D879" s="283"/>
      <c r="E879" s="283"/>
      <c r="F879" s="283"/>
      <c r="G879" s="283"/>
      <c r="H879" s="283"/>
      <c r="I879" s="283"/>
      <c r="J879" s="283"/>
      <c r="K879" s="340"/>
      <c r="L879" s="283"/>
      <c r="M879" s="283"/>
      <c r="N879" s="283"/>
      <c r="O879" s="283"/>
      <c r="P879" s="283"/>
      <c r="Q879" s="340"/>
      <c r="R879" s="283"/>
      <c r="S879" s="283"/>
      <c r="T879" s="340"/>
      <c r="U879" s="340"/>
      <c r="V879" s="283"/>
      <c r="W879" s="283"/>
      <c r="X879" s="283"/>
      <c r="Y879" s="283"/>
      <c r="Z879" s="283"/>
    </row>
    <row r="880" ht="15.75" customHeight="1">
      <c r="A880" s="340"/>
      <c r="B880" s="340"/>
      <c r="C880" s="283"/>
      <c r="D880" s="283"/>
      <c r="E880" s="283"/>
      <c r="F880" s="283"/>
      <c r="G880" s="283"/>
      <c r="H880" s="283"/>
      <c r="I880" s="283"/>
      <c r="J880" s="283"/>
      <c r="K880" s="340"/>
      <c r="L880" s="283"/>
      <c r="M880" s="283"/>
      <c r="N880" s="283"/>
      <c r="O880" s="283"/>
      <c r="P880" s="283"/>
      <c r="Q880" s="340"/>
      <c r="R880" s="283"/>
      <c r="S880" s="283"/>
      <c r="T880" s="340"/>
      <c r="U880" s="340"/>
      <c r="V880" s="283"/>
      <c r="W880" s="283"/>
      <c r="X880" s="283"/>
      <c r="Y880" s="283"/>
      <c r="Z880" s="283"/>
    </row>
    <row r="881" ht="15.75" customHeight="1">
      <c r="A881" s="340"/>
      <c r="B881" s="340"/>
      <c r="C881" s="283"/>
      <c r="D881" s="283"/>
      <c r="E881" s="283"/>
      <c r="F881" s="283"/>
      <c r="G881" s="283"/>
      <c r="H881" s="283"/>
      <c r="I881" s="283"/>
      <c r="J881" s="283"/>
      <c r="K881" s="340"/>
      <c r="L881" s="283"/>
      <c r="M881" s="283"/>
      <c r="N881" s="283"/>
      <c r="O881" s="283"/>
      <c r="P881" s="283"/>
      <c r="Q881" s="340"/>
      <c r="R881" s="283"/>
      <c r="S881" s="283"/>
      <c r="T881" s="340"/>
      <c r="U881" s="340"/>
      <c r="V881" s="283"/>
      <c r="W881" s="283"/>
      <c r="X881" s="283"/>
      <c r="Y881" s="283"/>
      <c r="Z881" s="283"/>
    </row>
    <row r="882" ht="15.75" customHeight="1">
      <c r="A882" s="340"/>
      <c r="B882" s="340"/>
      <c r="C882" s="283"/>
      <c r="D882" s="283"/>
      <c r="E882" s="283"/>
      <c r="F882" s="283"/>
      <c r="G882" s="283"/>
      <c r="H882" s="283"/>
      <c r="I882" s="283"/>
      <c r="J882" s="283"/>
      <c r="K882" s="340"/>
      <c r="L882" s="283"/>
      <c r="M882" s="283"/>
      <c r="N882" s="283"/>
      <c r="O882" s="283"/>
      <c r="P882" s="283"/>
      <c r="Q882" s="340"/>
      <c r="R882" s="283"/>
      <c r="S882" s="283"/>
      <c r="T882" s="340"/>
      <c r="U882" s="340"/>
      <c r="V882" s="283"/>
      <c r="W882" s="283"/>
      <c r="X882" s="283"/>
      <c r="Y882" s="283"/>
      <c r="Z882" s="283"/>
    </row>
    <row r="883" ht="15.75" customHeight="1">
      <c r="A883" s="340"/>
      <c r="B883" s="340"/>
      <c r="C883" s="283"/>
      <c r="D883" s="283"/>
      <c r="E883" s="283"/>
      <c r="F883" s="283"/>
      <c r="G883" s="283"/>
      <c r="H883" s="283"/>
      <c r="I883" s="283"/>
      <c r="J883" s="283"/>
      <c r="K883" s="340"/>
      <c r="L883" s="283"/>
      <c r="M883" s="283"/>
      <c r="N883" s="283"/>
      <c r="O883" s="283"/>
      <c r="P883" s="283"/>
      <c r="Q883" s="340"/>
      <c r="R883" s="283"/>
      <c r="S883" s="283"/>
      <c r="T883" s="340"/>
      <c r="U883" s="340"/>
      <c r="V883" s="283"/>
      <c r="W883" s="283"/>
      <c r="X883" s="283"/>
      <c r="Y883" s="283"/>
      <c r="Z883" s="283"/>
    </row>
    <row r="884" ht="15.75" customHeight="1">
      <c r="A884" s="340"/>
      <c r="B884" s="340"/>
      <c r="C884" s="283"/>
      <c r="D884" s="283"/>
      <c r="E884" s="283"/>
      <c r="F884" s="283"/>
      <c r="G884" s="283"/>
      <c r="H884" s="283"/>
      <c r="I884" s="283"/>
      <c r="J884" s="283"/>
      <c r="K884" s="340"/>
      <c r="L884" s="283"/>
      <c r="M884" s="283"/>
      <c r="N884" s="283"/>
      <c r="O884" s="283"/>
      <c r="P884" s="283"/>
      <c r="Q884" s="340"/>
      <c r="R884" s="283"/>
      <c r="S884" s="283"/>
      <c r="T884" s="340"/>
      <c r="U884" s="340"/>
      <c r="V884" s="283"/>
      <c r="W884" s="283"/>
      <c r="X884" s="283"/>
      <c r="Y884" s="283"/>
      <c r="Z884" s="283"/>
    </row>
    <row r="885" ht="15.75" customHeight="1">
      <c r="A885" s="340"/>
      <c r="B885" s="340"/>
      <c r="C885" s="283"/>
      <c r="D885" s="283"/>
      <c r="E885" s="283"/>
      <c r="F885" s="283"/>
      <c r="G885" s="283"/>
      <c r="H885" s="283"/>
      <c r="I885" s="283"/>
      <c r="J885" s="283"/>
      <c r="K885" s="340"/>
      <c r="L885" s="283"/>
      <c r="M885" s="283"/>
      <c r="N885" s="283"/>
      <c r="O885" s="283"/>
      <c r="P885" s="283"/>
      <c r="Q885" s="340"/>
      <c r="R885" s="283"/>
      <c r="S885" s="283"/>
      <c r="T885" s="340"/>
      <c r="U885" s="340"/>
      <c r="V885" s="283"/>
      <c r="W885" s="283"/>
      <c r="X885" s="283"/>
      <c r="Y885" s="283"/>
      <c r="Z885" s="283"/>
    </row>
    <row r="886" ht="15.75" customHeight="1">
      <c r="A886" s="340"/>
      <c r="B886" s="340"/>
      <c r="C886" s="283"/>
      <c r="D886" s="283"/>
      <c r="E886" s="283"/>
      <c r="F886" s="283"/>
      <c r="G886" s="283"/>
      <c r="H886" s="283"/>
      <c r="I886" s="283"/>
      <c r="J886" s="283"/>
      <c r="K886" s="340"/>
      <c r="L886" s="283"/>
      <c r="M886" s="283"/>
      <c r="N886" s="283"/>
      <c r="O886" s="283"/>
      <c r="P886" s="283"/>
      <c r="Q886" s="340"/>
      <c r="R886" s="283"/>
      <c r="S886" s="283"/>
      <c r="T886" s="340"/>
      <c r="U886" s="340"/>
      <c r="V886" s="283"/>
      <c r="W886" s="283"/>
      <c r="X886" s="283"/>
      <c r="Y886" s="283"/>
      <c r="Z886" s="283"/>
    </row>
    <row r="887" ht="15.75" customHeight="1">
      <c r="A887" s="340"/>
      <c r="B887" s="340"/>
      <c r="C887" s="283"/>
      <c r="D887" s="283"/>
      <c r="E887" s="283"/>
      <c r="F887" s="283"/>
      <c r="G887" s="283"/>
      <c r="H887" s="283"/>
      <c r="I887" s="283"/>
      <c r="J887" s="283"/>
      <c r="K887" s="340"/>
      <c r="L887" s="283"/>
      <c r="M887" s="283"/>
      <c r="N887" s="283"/>
      <c r="O887" s="283"/>
      <c r="P887" s="283"/>
      <c r="Q887" s="340"/>
      <c r="R887" s="283"/>
      <c r="S887" s="283"/>
      <c r="T887" s="340"/>
      <c r="U887" s="340"/>
      <c r="V887" s="283"/>
      <c r="W887" s="283"/>
      <c r="X887" s="283"/>
      <c r="Y887" s="283"/>
      <c r="Z887" s="283"/>
    </row>
    <row r="888" ht="15.75" customHeight="1">
      <c r="A888" s="340"/>
      <c r="B888" s="340"/>
      <c r="C888" s="283"/>
      <c r="D888" s="283"/>
      <c r="E888" s="283"/>
      <c r="F888" s="283"/>
      <c r="G888" s="283"/>
      <c r="H888" s="283"/>
      <c r="I888" s="283"/>
      <c r="J888" s="283"/>
      <c r="K888" s="340"/>
      <c r="L888" s="283"/>
      <c r="M888" s="283"/>
      <c r="N888" s="283"/>
      <c r="O888" s="283"/>
      <c r="P888" s="283"/>
      <c r="Q888" s="340"/>
      <c r="R888" s="283"/>
      <c r="S888" s="283"/>
      <c r="T888" s="340"/>
      <c r="U888" s="340"/>
      <c r="V888" s="283"/>
      <c r="W888" s="283"/>
      <c r="X888" s="283"/>
      <c r="Y888" s="283"/>
      <c r="Z888" s="283"/>
    </row>
    <row r="889" ht="15.75" customHeight="1">
      <c r="A889" s="340"/>
      <c r="B889" s="340"/>
      <c r="C889" s="283"/>
      <c r="D889" s="283"/>
      <c r="E889" s="283"/>
      <c r="F889" s="283"/>
      <c r="G889" s="283"/>
      <c r="H889" s="283"/>
      <c r="I889" s="283"/>
      <c r="J889" s="283"/>
      <c r="K889" s="340"/>
      <c r="L889" s="283"/>
      <c r="M889" s="283"/>
      <c r="N889" s="283"/>
      <c r="O889" s="283"/>
      <c r="P889" s="283"/>
      <c r="Q889" s="340"/>
      <c r="R889" s="283"/>
      <c r="S889" s="283"/>
      <c r="T889" s="340"/>
      <c r="U889" s="340"/>
      <c r="V889" s="283"/>
      <c r="W889" s="283"/>
      <c r="X889" s="283"/>
      <c r="Y889" s="283"/>
      <c r="Z889" s="283"/>
    </row>
    <row r="890" ht="15.75" customHeight="1">
      <c r="A890" s="340"/>
      <c r="B890" s="340"/>
      <c r="C890" s="283"/>
      <c r="D890" s="283"/>
      <c r="E890" s="283"/>
      <c r="F890" s="283"/>
      <c r="G890" s="283"/>
      <c r="H890" s="283"/>
      <c r="I890" s="283"/>
      <c r="J890" s="283"/>
      <c r="K890" s="340"/>
      <c r="L890" s="283"/>
      <c r="M890" s="283"/>
      <c r="N890" s="283"/>
      <c r="O890" s="283"/>
      <c r="P890" s="283"/>
      <c r="Q890" s="340"/>
      <c r="R890" s="283"/>
      <c r="S890" s="283"/>
      <c r="T890" s="340"/>
      <c r="U890" s="340"/>
      <c r="V890" s="283"/>
      <c r="W890" s="283"/>
      <c r="X890" s="283"/>
      <c r="Y890" s="283"/>
      <c r="Z890" s="283"/>
    </row>
    <row r="891" ht="15.75" customHeight="1">
      <c r="A891" s="340"/>
      <c r="B891" s="340"/>
      <c r="C891" s="283"/>
      <c r="D891" s="283"/>
      <c r="E891" s="283"/>
      <c r="F891" s="283"/>
      <c r="G891" s="283"/>
      <c r="H891" s="283"/>
      <c r="I891" s="283"/>
      <c r="J891" s="283"/>
      <c r="K891" s="340"/>
      <c r="L891" s="283"/>
      <c r="M891" s="283"/>
      <c r="N891" s="283"/>
      <c r="O891" s="283"/>
      <c r="P891" s="283"/>
      <c r="Q891" s="340"/>
      <c r="R891" s="283"/>
      <c r="S891" s="283"/>
      <c r="T891" s="340"/>
      <c r="U891" s="340"/>
      <c r="V891" s="283"/>
      <c r="W891" s="283"/>
      <c r="X891" s="283"/>
      <c r="Y891" s="283"/>
      <c r="Z891" s="283"/>
    </row>
    <row r="892" ht="15.75" customHeight="1">
      <c r="A892" s="340"/>
      <c r="B892" s="340"/>
      <c r="C892" s="283"/>
      <c r="D892" s="283"/>
      <c r="E892" s="283"/>
      <c r="F892" s="283"/>
      <c r="G892" s="283"/>
      <c r="H892" s="283"/>
      <c r="I892" s="283"/>
      <c r="J892" s="283"/>
      <c r="K892" s="340"/>
      <c r="L892" s="283"/>
      <c r="M892" s="283"/>
      <c r="N892" s="283"/>
      <c r="O892" s="283"/>
      <c r="P892" s="283"/>
      <c r="Q892" s="340"/>
      <c r="R892" s="283"/>
      <c r="S892" s="283"/>
      <c r="T892" s="340"/>
      <c r="U892" s="340"/>
      <c r="V892" s="283"/>
      <c r="W892" s="283"/>
      <c r="X892" s="283"/>
      <c r="Y892" s="283"/>
      <c r="Z892" s="283"/>
    </row>
    <row r="893" ht="15.75" customHeight="1">
      <c r="A893" s="340"/>
      <c r="B893" s="340"/>
      <c r="C893" s="283"/>
      <c r="D893" s="283"/>
      <c r="E893" s="283"/>
      <c r="F893" s="283"/>
      <c r="G893" s="283"/>
      <c r="H893" s="283"/>
      <c r="I893" s="283"/>
      <c r="J893" s="283"/>
      <c r="K893" s="340"/>
      <c r="L893" s="283"/>
      <c r="M893" s="283"/>
      <c r="N893" s="283"/>
      <c r="O893" s="283"/>
      <c r="P893" s="283"/>
      <c r="Q893" s="340"/>
      <c r="R893" s="283"/>
      <c r="S893" s="283"/>
      <c r="T893" s="340"/>
      <c r="U893" s="340"/>
      <c r="V893" s="283"/>
      <c r="W893" s="283"/>
      <c r="X893" s="283"/>
      <c r="Y893" s="283"/>
      <c r="Z893" s="283"/>
    </row>
    <row r="894" ht="15.75" customHeight="1">
      <c r="A894" s="340"/>
      <c r="B894" s="340"/>
      <c r="C894" s="283"/>
      <c r="D894" s="283"/>
      <c r="E894" s="283"/>
      <c r="F894" s="283"/>
      <c r="G894" s="283"/>
      <c r="H894" s="283"/>
      <c r="I894" s="283"/>
      <c r="J894" s="283"/>
      <c r="K894" s="340"/>
      <c r="L894" s="283"/>
      <c r="M894" s="283"/>
      <c r="N894" s="283"/>
      <c r="O894" s="283"/>
      <c r="P894" s="283"/>
      <c r="Q894" s="340"/>
      <c r="R894" s="283"/>
      <c r="S894" s="283"/>
      <c r="T894" s="340"/>
      <c r="U894" s="340"/>
      <c r="V894" s="283"/>
      <c r="W894" s="283"/>
      <c r="X894" s="283"/>
      <c r="Y894" s="283"/>
      <c r="Z894" s="283"/>
    </row>
    <row r="895" ht="15.75" customHeight="1">
      <c r="A895" s="340"/>
      <c r="B895" s="340"/>
      <c r="C895" s="283"/>
      <c r="D895" s="283"/>
      <c r="E895" s="283"/>
      <c r="F895" s="283"/>
      <c r="G895" s="283"/>
      <c r="H895" s="283"/>
      <c r="I895" s="283"/>
      <c r="J895" s="283"/>
      <c r="K895" s="340"/>
      <c r="L895" s="283"/>
      <c r="M895" s="283"/>
      <c r="N895" s="283"/>
      <c r="O895" s="283"/>
      <c r="P895" s="283"/>
      <c r="Q895" s="340"/>
      <c r="R895" s="283"/>
      <c r="S895" s="283"/>
      <c r="T895" s="340"/>
      <c r="U895" s="340"/>
      <c r="V895" s="283"/>
      <c r="W895" s="283"/>
      <c r="X895" s="283"/>
      <c r="Y895" s="283"/>
      <c r="Z895" s="283"/>
    </row>
    <row r="896" ht="15.75" customHeight="1">
      <c r="A896" s="340"/>
      <c r="B896" s="340"/>
      <c r="C896" s="283"/>
      <c r="D896" s="283"/>
      <c r="E896" s="283"/>
      <c r="F896" s="283"/>
      <c r="G896" s="283"/>
      <c r="H896" s="283"/>
      <c r="I896" s="283"/>
      <c r="J896" s="283"/>
      <c r="K896" s="340"/>
      <c r="L896" s="283"/>
      <c r="M896" s="283"/>
      <c r="N896" s="283"/>
      <c r="O896" s="283"/>
      <c r="P896" s="283"/>
      <c r="Q896" s="340"/>
      <c r="R896" s="283"/>
      <c r="S896" s="283"/>
      <c r="T896" s="340"/>
      <c r="U896" s="340"/>
      <c r="V896" s="283"/>
      <c r="W896" s="283"/>
      <c r="X896" s="283"/>
      <c r="Y896" s="283"/>
      <c r="Z896" s="283"/>
    </row>
    <row r="897" ht="15.75" customHeight="1">
      <c r="A897" s="340"/>
      <c r="B897" s="340"/>
      <c r="C897" s="283"/>
      <c r="D897" s="283"/>
      <c r="E897" s="283"/>
      <c r="F897" s="283"/>
      <c r="G897" s="283"/>
      <c r="H897" s="283"/>
      <c r="I897" s="283"/>
      <c r="J897" s="283"/>
      <c r="K897" s="340"/>
      <c r="L897" s="283"/>
      <c r="M897" s="283"/>
      <c r="N897" s="283"/>
      <c r="O897" s="283"/>
      <c r="P897" s="283"/>
      <c r="Q897" s="340"/>
      <c r="R897" s="283"/>
      <c r="S897" s="283"/>
      <c r="T897" s="340"/>
      <c r="U897" s="340"/>
      <c r="V897" s="283"/>
      <c r="W897" s="283"/>
      <c r="X897" s="283"/>
      <c r="Y897" s="283"/>
      <c r="Z897" s="283"/>
    </row>
    <row r="898" ht="15.75" customHeight="1">
      <c r="A898" s="340"/>
      <c r="B898" s="340"/>
      <c r="C898" s="283"/>
      <c r="D898" s="283"/>
      <c r="E898" s="283"/>
      <c r="F898" s="283"/>
      <c r="G898" s="283"/>
      <c r="H898" s="283"/>
      <c r="I898" s="283"/>
      <c r="J898" s="283"/>
      <c r="K898" s="340"/>
      <c r="L898" s="283"/>
      <c r="M898" s="283"/>
      <c r="N898" s="283"/>
      <c r="O898" s="283"/>
      <c r="P898" s="283"/>
      <c r="Q898" s="340"/>
      <c r="R898" s="283"/>
      <c r="S898" s="283"/>
      <c r="T898" s="340"/>
      <c r="U898" s="340"/>
      <c r="V898" s="283"/>
      <c r="W898" s="283"/>
      <c r="X898" s="283"/>
      <c r="Y898" s="283"/>
      <c r="Z898" s="283"/>
    </row>
    <row r="899" ht="15.75" customHeight="1">
      <c r="A899" s="340"/>
      <c r="B899" s="340"/>
      <c r="C899" s="283"/>
      <c r="D899" s="283"/>
      <c r="E899" s="283"/>
      <c r="F899" s="283"/>
      <c r="G899" s="283"/>
      <c r="H899" s="283"/>
      <c r="I899" s="283"/>
      <c r="J899" s="283"/>
      <c r="K899" s="340"/>
      <c r="L899" s="283"/>
      <c r="M899" s="283"/>
      <c r="N899" s="283"/>
      <c r="O899" s="283"/>
      <c r="P899" s="283"/>
      <c r="Q899" s="340"/>
      <c r="R899" s="283"/>
      <c r="S899" s="283"/>
      <c r="T899" s="340"/>
      <c r="U899" s="340"/>
      <c r="V899" s="283"/>
      <c r="W899" s="283"/>
      <c r="X899" s="283"/>
      <c r="Y899" s="283"/>
      <c r="Z899" s="283"/>
    </row>
    <row r="900" ht="15.75" customHeight="1">
      <c r="A900" s="340"/>
      <c r="B900" s="340"/>
      <c r="C900" s="283"/>
      <c r="D900" s="283"/>
      <c r="E900" s="283"/>
      <c r="F900" s="283"/>
      <c r="G900" s="283"/>
      <c r="H900" s="283"/>
      <c r="I900" s="283"/>
      <c r="J900" s="283"/>
      <c r="K900" s="340"/>
      <c r="L900" s="283"/>
      <c r="M900" s="283"/>
      <c r="N900" s="283"/>
      <c r="O900" s="283"/>
      <c r="P900" s="283"/>
      <c r="Q900" s="340"/>
      <c r="R900" s="283"/>
      <c r="S900" s="283"/>
      <c r="T900" s="340"/>
      <c r="U900" s="340"/>
      <c r="V900" s="283"/>
      <c r="W900" s="283"/>
      <c r="X900" s="283"/>
      <c r="Y900" s="283"/>
      <c r="Z900" s="283"/>
    </row>
    <row r="901" ht="15.75" customHeight="1">
      <c r="A901" s="340"/>
      <c r="B901" s="340"/>
      <c r="C901" s="283"/>
      <c r="D901" s="283"/>
      <c r="E901" s="283"/>
      <c r="F901" s="283"/>
      <c r="G901" s="283"/>
      <c r="H901" s="283"/>
      <c r="I901" s="283"/>
      <c r="J901" s="283"/>
      <c r="K901" s="340"/>
      <c r="L901" s="283"/>
      <c r="M901" s="283"/>
      <c r="N901" s="283"/>
      <c r="O901" s="283"/>
      <c r="P901" s="283"/>
      <c r="Q901" s="340"/>
      <c r="R901" s="283"/>
      <c r="S901" s="283"/>
      <c r="T901" s="340"/>
      <c r="U901" s="340"/>
      <c r="V901" s="283"/>
      <c r="W901" s="283"/>
      <c r="X901" s="283"/>
      <c r="Y901" s="283"/>
      <c r="Z901" s="283"/>
    </row>
    <row r="902" ht="15.75" customHeight="1">
      <c r="A902" s="340"/>
      <c r="B902" s="340"/>
      <c r="C902" s="283"/>
      <c r="D902" s="283"/>
      <c r="E902" s="283"/>
      <c r="F902" s="283"/>
      <c r="G902" s="283"/>
      <c r="H902" s="283"/>
      <c r="I902" s="283"/>
      <c r="J902" s="283"/>
      <c r="K902" s="340"/>
      <c r="L902" s="283"/>
      <c r="M902" s="283"/>
      <c r="N902" s="283"/>
      <c r="O902" s="283"/>
      <c r="P902" s="283"/>
      <c r="Q902" s="340"/>
      <c r="R902" s="283"/>
      <c r="S902" s="283"/>
      <c r="T902" s="340"/>
      <c r="U902" s="340"/>
      <c r="V902" s="283"/>
      <c r="W902" s="283"/>
      <c r="X902" s="283"/>
      <c r="Y902" s="283"/>
      <c r="Z902" s="283"/>
    </row>
    <row r="903" ht="15.75" customHeight="1">
      <c r="A903" s="340"/>
      <c r="B903" s="340"/>
      <c r="C903" s="283"/>
      <c r="D903" s="283"/>
      <c r="E903" s="283"/>
      <c r="F903" s="283"/>
      <c r="G903" s="283"/>
      <c r="H903" s="283"/>
      <c r="I903" s="283"/>
      <c r="J903" s="283"/>
      <c r="K903" s="340"/>
      <c r="L903" s="283"/>
      <c r="M903" s="283"/>
      <c r="N903" s="283"/>
      <c r="O903" s="283"/>
      <c r="P903" s="283"/>
      <c r="Q903" s="340"/>
      <c r="R903" s="283"/>
      <c r="S903" s="283"/>
      <c r="T903" s="340"/>
      <c r="U903" s="340"/>
      <c r="V903" s="283"/>
      <c r="W903" s="283"/>
      <c r="X903" s="283"/>
      <c r="Y903" s="283"/>
      <c r="Z903" s="283"/>
    </row>
    <row r="904" ht="15.75" customHeight="1">
      <c r="A904" s="340"/>
      <c r="B904" s="340"/>
      <c r="C904" s="283"/>
      <c r="D904" s="283"/>
      <c r="E904" s="283"/>
      <c r="F904" s="283"/>
      <c r="G904" s="283"/>
      <c r="H904" s="283"/>
      <c r="I904" s="283"/>
      <c r="J904" s="283"/>
      <c r="K904" s="340"/>
      <c r="L904" s="283"/>
      <c r="M904" s="283"/>
      <c r="N904" s="283"/>
      <c r="O904" s="283"/>
      <c r="P904" s="283"/>
      <c r="Q904" s="340"/>
      <c r="R904" s="283"/>
      <c r="S904" s="283"/>
      <c r="T904" s="340"/>
      <c r="U904" s="340"/>
      <c r="V904" s="283"/>
      <c r="W904" s="283"/>
      <c r="X904" s="283"/>
      <c r="Y904" s="283"/>
      <c r="Z904" s="283"/>
    </row>
    <row r="905" ht="15.75" customHeight="1">
      <c r="A905" s="340"/>
      <c r="B905" s="340"/>
      <c r="C905" s="283"/>
      <c r="D905" s="283"/>
      <c r="E905" s="283"/>
      <c r="F905" s="283"/>
      <c r="G905" s="283"/>
      <c r="H905" s="283"/>
      <c r="I905" s="283"/>
      <c r="J905" s="283"/>
      <c r="K905" s="340"/>
      <c r="L905" s="283"/>
      <c r="M905" s="283"/>
      <c r="N905" s="283"/>
      <c r="O905" s="283"/>
      <c r="P905" s="283"/>
      <c r="Q905" s="340"/>
      <c r="R905" s="283"/>
      <c r="S905" s="283"/>
      <c r="T905" s="340"/>
      <c r="U905" s="340"/>
      <c r="V905" s="283"/>
      <c r="W905" s="283"/>
      <c r="X905" s="283"/>
      <c r="Y905" s="283"/>
      <c r="Z905" s="283"/>
    </row>
    <row r="906" ht="15.75" customHeight="1">
      <c r="A906" s="340"/>
      <c r="B906" s="340"/>
      <c r="C906" s="283"/>
      <c r="D906" s="283"/>
      <c r="E906" s="283"/>
      <c r="F906" s="283"/>
      <c r="G906" s="283"/>
      <c r="H906" s="283"/>
      <c r="I906" s="283"/>
      <c r="J906" s="283"/>
      <c r="K906" s="340"/>
      <c r="L906" s="283"/>
      <c r="M906" s="283"/>
      <c r="N906" s="283"/>
      <c r="O906" s="283"/>
      <c r="P906" s="283"/>
      <c r="Q906" s="340"/>
      <c r="R906" s="283"/>
      <c r="S906" s="283"/>
      <c r="T906" s="340"/>
      <c r="U906" s="340"/>
      <c r="V906" s="283"/>
      <c r="W906" s="283"/>
      <c r="X906" s="283"/>
      <c r="Y906" s="283"/>
      <c r="Z906" s="283"/>
    </row>
    <row r="907" ht="15.75" customHeight="1">
      <c r="A907" s="340"/>
      <c r="B907" s="340"/>
      <c r="C907" s="283"/>
      <c r="D907" s="283"/>
      <c r="E907" s="283"/>
      <c r="F907" s="283"/>
      <c r="G907" s="283"/>
      <c r="H907" s="283"/>
      <c r="I907" s="283"/>
      <c r="J907" s="283"/>
      <c r="K907" s="340"/>
      <c r="L907" s="283"/>
      <c r="M907" s="283"/>
      <c r="N907" s="283"/>
      <c r="O907" s="283"/>
      <c r="P907" s="283"/>
      <c r="Q907" s="340"/>
      <c r="R907" s="283"/>
      <c r="S907" s="283"/>
      <c r="T907" s="340"/>
      <c r="U907" s="340"/>
      <c r="V907" s="283"/>
      <c r="W907" s="283"/>
      <c r="X907" s="283"/>
      <c r="Y907" s="283"/>
      <c r="Z907" s="283"/>
    </row>
    <row r="908" ht="15.75" customHeight="1">
      <c r="A908" s="340"/>
      <c r="B908" s="340"/>
      <c r="C908" s="283"/>
      <c r="D908" s="283"/>
      <c r="E908" s="283"/>
      <c r="F908" s="283"/>
      <c r="G908" s="283"/>
      <c r="H908" s="283"/>
      <c r="I908" s="283"/>
      <c r="J908" s="283"/>
      <c r="K908" s="340"/>
      <c r="L908" s="283"/>
      <c r="M908" s="283"/>
      <c r="N908" s="283"/>
      <c r="O908" s="283"/>
      <c r="P908" s="283"/>
      <c r="Q908" s="340"/>
      <c r="R908" s="283"/>
      <c r="S908" s="283"/>
      <c r="T908" s="340"/>
      <c r="U908" s="340"/>
      <c r="V908" s="283"/>
      <c r="W908" s="283"/>
      <c r="X908" s="283"/>
      <c r="Y908" s="283"/>
      <c r="Z908" s="283"/>
    </row>
    <row r="909" ht="15.75" customHeight="1">
      <c r="A909" s="340"/>
      <c r="B909" s="340"/>
      <c r="C909" s="283"/>
      <c r="D909" s="283"/>
      <c r="E909" s="283"/>
      <c r="F909" s="283"/>
      <c r="G909" s="283"/>
      <c r="H909" s="283"/>
      <c r="I909" s="283"/>
      <c r="J909" s="283"/>
      <c r="K909" s="340"/>
      <c r="L909" s="283"/>
      <c r="M909" s="283"/>
      <c r="N909" s="283"/>
      <c r="O909" s="283"/>
      <c r="P909" s="283"/>
      <c r="Q909" s="340"/>
      <c r="R909" s="283"/>
      <c r="S909" s="283"/>
      <c r="T909" s="340"/>
      <c r="U909" s="340"/>
      <c r="V909" s="283"/>
      <c r="W909" s="283"/>
      <c r="X909" s="283"/>
      <c r="Y909" s="283"/>
      <c r="Z909" s="283"/>
    </row>
    <row r="910" ht="15.75" customHeight="1">
      <c r="A910" s="340"/>
      <c r="B910" s="340"/>
      <c r="C910" s="283"/>
      <c r="D910" s="283"/>
      <c r="E910" s="283"/>
      <c r="F910" s="283"/>
      <c r="G910" s="283"/>
      <c r="H910" s="283"/>
      <c r="I910" s="283"/>
      <c r="J910" s="283"/>
      <c r="K910" s="340"/>
      <c r="L910" s="283"/>
      <c r="M910" s="283"/>
      <c r="N910" s="283"/>
      <c r="O910" s="283"/>
      <c r="P910" s="283"/>
      <c r="Q910" s="340"/>
      <c r="R910" s="283"/>
      <c r="S910" s="283"/>
      <c r="T910" s="340"/>
      <c r="U910" s="340"/>
      <c r="V910" s="283"/>
      <c r="W910" s="283"/>
      <c r="X910" s="283"/>
      <c r="Y910" s="283"/>
      <c r="Z910" s="283"/>
    </row>
    <row r="911" ht="15.75" customHeight="1">
      <c r="A911" s="340"/>
      <c r="B911" s="340"/>
      <c r="C911" s="283"/>
      <c r="D911" s="283"/>
      <c r="E911" s="283"/>
      <c r="F911" s="283"/>
      <c r="G911" s="283"/>
      <c r="H911" s="283"/>
      <c r="I911" s="283"/>
      <c r="J911" s="283"/>
      <c r="K911" s="340"/>
      <c r="L911" s="283"/>
      <c r="M911" s="283"/>
      <c r="N911" s="283"/>
      <c r="O911" s="283"/>
      <c r="P911" s="283"/>
      <c r="Q911" s="340"/>
      <c r="R911" s="283"/>
      <c r="S911" s="283"/>
      <c r="T911" s="340"/>
      <c r="U911" s="340"/>
      <c r="V911" s="283"/>
      <c r="W911" s="283"/>
      <c r="X911" s="283"/>
      <c r="Y911" s="283"/>
      <c r="Z911" s="283"/>
    </row>
    <row r="912" ht="15.75" customHeight="1">
      <c r="A912" s="340"/>
      <c r="B912" s="340"/>
      <c r="C912" s="283"/>
      <c r="D912" s="283"/>
      <c r="E912" s="283"/>
      <c r="F912" s="283"/>
      <c r="G912" s="283"/>
      <c r="H912" s="283"/>
      <c r="I912" s="283"/>
      <c r="J912" s="283"/>
      <c r="K912" s="340"/>
      <c r="L912" s="283"/>
      <c r="M912" s="283"/>
      <c r="N912" s="283"/>
      <c r="O912" s="283"/>
      <c r="P912" s="283"/>
      <c r="Q912" s="340"/>
      <c r="R912" s="283"/>
      <c r="S912" s="283"/>
      <c r="T912" s="340"/>
      <c r="U912" s="340"/>
      <c r="V912" s="283"/>
      <c r="W912" s="283"/>
      <c r="X912" s="283"/>
      <c r="Y912" s="283"/>
      <c r="Z912" s="283"/>
    </row>
    <row r="913" ht="15.75" customHeight="1">
      <c r="A913" s="340"/>
      <c r="B913" s="340"/>
      <c r="C913" s="283"/>
      <c r="D913" s="283"/>
      <c r="E913" s="283"/>
      <c r="F913" s="283"/>
      <c r="G913" s="283"/>
      <c r="H913" s="283"/>
      <c r="I913" s="283"/>
      <c r="J913" s="283"/>
      <c r="K913" s="340"/>
      <c r="L913" s="283"/>
      <c r="M913" s="283"/>
      <c r="N913" s="283"/>
      <c r="O913" s="283"/>
      <c r="P913" s="283"/>
      <c r="Q913" s="340"/>
      <c r="R913" s="283"/>
      <c r="S913" s="283"/>
      <c r="T913" s="340"/>
      <c r="U913" s="340"/>
      <c r="V913" s="283"/>
      <c r="W913" s="283"/>
      <c r="X913" s="283"/>
      <c r="Y913" s="283"/>
      <c r="Z913" s="283"/>
    </row>
    <row r="914" ht="15.75" customHeight="1">
      <c r="A914" s="340"/>
      <c r="B914" s="340"/>
      <c r="C914" s="283"/>
      <c r="D914" s="283"/>
      <c r="E914" s="283"/>
      <c r="F914" s="283"/>
      <c r="G914" s="283"/>
      <c r="H914" s="283"/>
      <c r="I914" s="283"/>
      <c r="J914" s="283"/>
      <c r="K914" s="340"/>
      <c r="L914" s="283"/>
      <c r="M914" s="283"/>
      <c r="N914" s="283"/>
      <c r="O914" s="283"/>
      <c r="P914" s="283"/>
      <c r="Q914" s="340"/>
      <c r="R914" s="283"/>
      <c r="S914" s="283"/>
      <c r="T914" s="340"/>
      <c r="U914" s="340"/>
      <c r="V914" s="283"/>
      <c r="W914" s="283"/>
      <c r="X914" s="283"/>
      <c r="Y914" s="283"/>
      <c r="Z914" s="283"/>
    </row>
    <row r="915" ht="15.75" customHeight="1">
      <c r="A915" s="340"/>
      <c r="B915" s="340"/>
      <c r="C915" s="283"/>
      <c r="D915" s="283"/>
      <c r="E915" s="283"/>
      <c r="F915" s="283"/>
      <c r="G915" s="283"/>
      <c r="H915" s="283"/>
      <c r="I915" s="283"/>
      <c r="J915" s="283"/>
      <c r="K915" s="340"/>
      <c r="L915" s="283"/>
      <c r="M915" s="283"/>
      <c r="N915" s="283"/>
      <c r="O915" s="283"/>
      <c r="P915" s="283"/>
      <c r="Q915" s="340"/>
      <c r="R915" s="283"/>
      <c r="S915" s="283"/>
      <c r="T915" s="340"/>
      <c r="U915" s="340"/>
      <c r="V915" s="283"/>
      <c r="W915" s="283"/>
      <c r="X915" s="283"/>
      <c r="Y915" s="283"/>
      <c r="Z915" s="283"/>
    </row>
    <row r="916" ht="15.75" customHeight="1">
      <c r="A916" s="340"/>
      <c r="B916" s="340"/>
      <c r="C916" s="283"/>
      <c r="D916" s="283"/>
      <c r="E916" s="283"/>
      <c r="F916" s="283"/>
      <c r="G916" s="283"/>
      <c r="H916" s="283"/>
      <c r="I916" s="283"/>
      <c r="J916" s="283"/>
      <c r="K916" s="340"/>
      <c r="L916" s="283"/>
      <c r="M916" s="283"/>
      <c r="N916" s="283"/>
      <c r="O916" s="283"/>
      <c r="P916" s="283"/>
      <c r="Q916" s="340"/>
      <c r="R916" s="283"/>
      <c r="S916" s="283"/>
      <c r="T916" s="340"/>
      <c r="U916" s="340"/>
      <c r="V916" s="283"/>
      <c r="W916" s="283"/>
      <c r="X916" s="283"/>
      <c r="Y916" s="283"/>
      <c r="Z916" s="283"/>
    </row>
    <row r="917" ht="15.75" customHeight="1">
      <c r="A917" s="340"/>
      <c r="B917" s="340"/>
      <c r="C917" s="283"/>
      <c r="D917" s="283"/>
      <c r="E917" s="283"/>
      <c r="F917" s="283"/>
      <c r="G917" s="283"/>
      <c r="H917" s="283"/>
      <c r="I917" s="283"/>
      <c r="J917" s="283"/>
      <c r="K917" s="340"/>
      <c r="L917" s="283"/>
      <c r="M917" s="283"/>
      <c r="N917" s="283"/>
      <c r="O917" s="283"/>
      <c r="P917" s="283"/>
      <c r="Q917" s="340"/>
      <c r="R917" s="283"/>
      <c r="S917" s="283"/>
      <c r="T917" s="340"/>
      <c r="U917" s="340"/>
      <c r="V917" s="283"/>
      <c r="W917" s="283"/>
      <c r="X917" s="283"/>
      <c r="Y917" s="283"/>
      <c r="Z917" s="283"/>
    </row>
    <row r="918" ht="15.75" customHeight="1">
      <c r="A918" s="340"/>
      <c r="B918" s="340"/>
      <c r="C918" s="283"/>
      <c r="D918" s="283"/>
      <c r="E918" s="283"/>
      <c r="F918" s="283"/>
      <c r="G918" s="283"/>
      <c r="H918" s="283"/>
      <c r="I918" s="283"/>
      <c r="J918" s="283"/>
      <c r="K918" s="340"/>
      <c r="L918" s="283"/>
      <c r="M918" s="283"/>
      <c r="N918" s="283"/>
      <c r="O918" s="283"/>
      <c r="P918" s="283"/>
      <c r="Q918" s="340"/>
      <c r="R918" s="283"/>
      <c r="S918" s="283"/>
      <c r="T918" s="340"/>
      <c r="U918" s="340"/>
      <c r="V918" s="283"/>
      <c r="W918" s="283"/>
      <c r="X918" s="283"/>
      <c r="Y918" s="283"/>
      <c r="Z918" s="283"/>
    </row>
    <row r="919" ht="15.75" customHeight="1">
      <c r="A919" s="340"/>
      <c r="B919" s="340"/>
      <c r="C919" s="283"/>
      <c r="D919" s="283"/>
      <c r="E919" s="283"/>
      <c r="F919" s="283"/>
      <c r="G919" s="283"/>
      <c r="H919" s="283"/>
      <c r="I919" s="283"/>
      <c r="J919" s="283"/>
      <c r="K919" s="340"/>
      <c r="L919" s="283"/>
      <c r="M919" s="283"/>
      <c r="N919" s="283"/>
      <c r="O919" s="283"/>
      <c r="P919" s="283"/>
      <c r="Q919" s="340"/>
      <c r="R919" s="283"/>
      <c r="S919" s="283"/>
      <c r="T919" s="340"/>
      <c r="U919" s="340"/>
      <c r="V919" s="283"/>
      <c r="W919" s="283"/>
      <c r="X919" s="283"/>
      <c r="Y919" s="283"/>
      <c r="Z919" s="283"/>
    </row>
    <row r="920" ht="15.75" customHeight="1">
      <c r="A920" s="340"/>
      <c r="B920" s="340"/>
      <c r="C920" s="283"/>
      <c r="D920" s="283"/>
      <c r="E920" s="283"/>
      <c r="F920" s="283"/>
      <c r="G920" s="283"/>
      <c r="H920" s="283"/>
      <c r="I920" s="283"/>
      <c r="J920" s="283"/>
      <c r="K920" s="340"/>
      <c r="L920" s="283"/>
      <c r="M920" s="283"/>
      <c r="N920" s="283"/>
      <c r="O920" s="283"/>
      <c r="P920" s="283"/>
      <c r="Q920" s="340"/>
      <c r="R920" s="283"/>
      <c r="S920" s="283"/>
      <c r="T920" s="340"/>
      <c r="U920" s="340"/>
      <c r="V920" s="283"/>
      <c r="W920" s="283"/>
      <c r="X920" s="283"/>
      <c r="Y920" s="283"/>
      <c r="Z920" s="283"/>
    </row>
    <row r="921" ht="15.75" customHeight="1">
      <c r="A921" s="340"/>
      <c r="B921" s="340"/>
      <c r="C921" s="283"/>
      <c r="D921" s="283"/>
      <c r="E921" s="283"/>
      <c r="F921" s="283"/>
      <c r="G921" s="283"/>
      <c r="H921" s="283"/>
      <c r="I921" s="283"/>
      <c r="J921" s="283"/>
      <c r="K921" s="340"/>
      <c r="L921" s="283"/>
      <c r="M921" s="283"/>
      <c r="N921" s="283"/>
      <c r="O921" s="283"/>
      <c r="P921" s="283"/>
      <c r="Q921" s="340"/>
      <c r="R921" s="283"/>
      <c r="S921" s="283"/>
      <c r="T921" s="340"/>
      <c r="U921" s="340"/>
      <c r="V921" s="283"/>
      <c r="W921" s="283"/>
      <c r="X921" s="283"/>
      <c r="Y921" s="283"/>
      <c r="Z921" s="283"/>
    </row>
    <row r="922" ht="15.75" customHeight="1">
      <c r="A922" s="340"/>
      <c r="B922" s="340"/>
      <c r="C922" s="283"/>
      <c r="D922" s="283"/>
      <c r="E922" s="283"/>
      <c r="F922" s="283"/>
      <c r="G922" s="283"/>
      <c r="H922" s="283"/>
      <c r="I922" s="283"/>
      <c r="J922" s="283"/>
      <c r="K922" s="340"/>
      <c r="L922" s="283"/>
      <c r="M922" s="283"/>
      <c r="N922" s="283"/>
      <c r="O922" s="283"/>
      <c r="P922" s="283"/>
      <c r="Q922" s="340"/>
      <c r="R922" s="283"/>
      <c r="S922" s="283"/>
      <c r="T922" s="340"/>
      <c r="U922" s="340"/>
      <c r="V922" s="283"/>
      <c r="W922" s="283"/>
      <c r="X922" s="283"/>
      <c r="Y922" s="283"/>
      <c r="Z922" s="283"/>
    </row>
    <row r="923" ht="15.75" customHeight="1">
      <c r="A923" s="340"/>
      <c r="B923" s="340"/>
      <c r="C923" s="283"/>
      <c r="D923" s="283"/>
      <c r="E923" s="283"/>
      <c r="F923" s="283"/>
      <c r="G923" s="283"/>
      <c r="H923" s="283"/>
      <c r="I923" s="283"/>
      <c r="J923" s="283"/>
      <c r="K923" s="340"/>
      <c r="L923" s="283"/>
      <c r="M923" s="283"/>
      <c r="N923" s="283"/>
      <c r="O923" s="283"/>
      <c r="P923" s="283"/>
      <c r="Q923" s="340"/>
      <c r="R923" s="283"/>
      <c r="S923" s="283"/>
      <c r="T923" s="340"/>
      <c r="U923" s="340"/>
      <c r="V923" s="283"/>
      <c r="W923" s="283"/>
      <c r="X923" s="283"/>
      <c r="Y923" s="283"/>
      <c r="Z923" s="283"/>
    </row>
    <row r="924" ht="15.75" customHeight="1">
      <c r="A924" s="340"/>
      <c r="B924" s="340"/>
      <c r="C924" s="283"/>
      <c r="D924" s="283"/>
      <c r="E924" s="283"/>
      <c r="F924" s="283"/>
      <c r="G924" s="283"/>
      <c r="H924" s="283"/>
      <c r="I924" s="283"/>
      <c r="J924" s="283"/>
      <c r="K924" s="340"/>
      <c r="L924" s="283"/>
      <c r="M924" s="283"/>
      <c r="N924" s="283"/>
      <c r="O924" s="283"/>
      <c r="P924" s="283"/>
      <c r="Q924" s="340"/>
      <c r="R924" s="283"/>
      <c r="S924" s="283"/>
      <c r="T924" s="340"/>
      <c r="U924" s="340"/>
      <c r="V924" s="283"/>
      <c r="W924" s="283"/>
      <c r="X924" s="283"/>
      <c r="Y924" s="283"/>
      <c r="Z924" s="283"/>
    </row>
    <row r="925" ht="15.75" customHeight="1">
      <c r="A925" s="340"/>
      <c r="B925" s="340"/>
      <c r="C925" s="283"/>
      <c r="D925" s="283"/>
      <c r="E925" s="283"/>
      <c r="F925" s="283"/>
      <c r="G925" s="283"/>
      <c r="H925" s="283"/>
      <c r="I925" s="283"/>
      <c r="J925" s="283"/>
      <c r="K925" s="340"/>
      <c r="L925" s="283"/>
      <c r="M925" s="283"/>
      <c r="N925" s="283"/>
      <c r="O925" s="283"/>
      <c r="P925" s="283"/>
      <c r="Q925" s="340"/>
      <c r="R925" s="283"/>
      <c r="S925" s="283"/>
      <c r="T925" s="340"/>
      <c r="U925" s="340"/>
      <c r="V925" s="283"/>
      <c r="W925" s="283"/>
      <c r="X925" s="283"/>
      <c r="Y925" s="283"/>
      <c r="Z925" s="283"/>
    </row>
    <row r="926" ht="15.75" customHeight="1">
      <c r="A926" s="340"/>
      <c r="B926" s="340"/>
      <c r="C926" s="283"/>
      <c r="D926" s="283"/>
      <c r="E926" s="283"/>
      <c r="F926" s="283"/>
      <c r="G926" s="283"/>
      <c r="H926" s="283"/>
      <c r="I926" s="283"/>
      <c r="J926" s="283"/>
      <c r="K926" s="340"/>
      <c r="L926" s="283"/>
      <c r="M926" s="283"/>
      <c r="N926" s="283"/>
      <c r="O926" s="283"/>
      <c r="P926" s="283"/>
      <c r="Q926" s="340"/>
      <c r="R926" s="283"/>
      <c r="S926" s="283"/>
      <c r="T926" s="340"/>
      <c r="U926" s="340"/>
      <c r="V926" s="283"/>
      <c r="W926" s="283"/>
      <c r="X926" s="283"/>
      <c r="Y926" s="283"/>
      <c r="Z926" s="283"/>
    </row>
    <row r="927" ht="15.75" customHeight="1">
      <c r="A927" s="340"/>
      <c r="B927" s="340"/>
      <c r="C927" s="283"/>
      <c r="D927" s="283"/>
      <c r="E927" s="283"/>
      <c r="F927" s="283"/>
      <c r="G927" s="283"/>
      <c r="H927" s="283"/>
      <c r="I927" s="283"/>
      <c r="J927" s="283"/>
      <c r="K927" s="340"/>
      <c r="L927" s="283"/>
      <c r="M927" s="283"/>
      <c r="N927" s="283"/>
      <c r="O927" s="283"/>
      <c r="P927" s="283"/>
      <c r="Q927" s="340"/>
      <c r="R927" s="283"/>
      <c r="S927" s="283"/>
      <c r="T927" s="340"/>
      <c r="U927" s="340"/>
      <c r="V927" s="283"/>
      <c r="W927" s="283"/>
      <c r="X927" s="283"/>
      <c r="Y927" s="283"/>
      <c r="Z927" s="283"/>
    </row>
    <row r="928" ht="15.75" customHeight="1">
      <c r="A928" s="340"/>
      <c r="B928" s="340"/>
      <c r="C928" s="283"/>
      <c r="D928" s="283"/>
      <c r="E928" s="283"/>
      <c r="F928" s="283"/>
      <c r="G928" s="283"/>
      <c r="H928" s="283"/>
      <c r="I928" s="283"/>
      <c r="J928" s="283"/>
      <c r="K928" s="340"/>
      <c r="L928" s="283"/>
      <c r="M928" s="283"/>
      <c r="N928" s="283"/>
      <c r="O928" s="283"/>
      <c r="P928" s="283"/>
      <c r="Q928" s="340"/>
      <c r="R928" s="283"/>
      <c r="S928" s="283"/>
      <c r="T928" s="340"/>
      <c r="U928" s="340"/>
      <c r="V928" s="283"/>
      <c r="W928" s="283"/>
      <c r="X928" s="283"/>
      <c r="Y928" s="283"/>
      <c r="Z928" s="283"/>
    </row>
    <row r="929" ht="15.75" customHeight="1">
      <c r="A929" s="340"/>
      <c r="B929" s="340"/>
      <c r="C929" s="283"/>
      <c r="D929" s="283"/>
      <c r="E929" s="283"/>
      <c r="F929" s="283"/>
      <c r="G929" s="283"/>
      <c r="H929" s="283"/>
      <c r="I929" s="283"/>
      <c r="J929" s="283"/>
      <c r="K929" s="340"/>
      <c r="L929" s="283"/>
      <c r="M929" s="283"/>
      <c r="N929" s="283"/>
      <c r="O929" s="283"/>
      <c r="P929" s="283"/>
      <c r="Q929" s="340"/>
      <c r="R929" s="283"/>
      <c r="S929" s="283"/>
      <c r="T929" s="340"/>
      <c r="U929" s="340"/>
      <c r="V929" s="283"/>
      <c r="W929" s="283"/>
      <c r="X929" s="283"/>
      <c r="Y929" s="283"/>
      <c r="Z929" s="283"/>
    </row>
    <row r="930" ht="15.75" customHeight="1">
      <c r="A930" s="340"/>
      <c r="B930" s="340"/>
      <c r="C930" s="283"/>
      <c r="D930" s="283"/>
      <c r="E930" s="283"/>
      <c r="F930" s="283"/>
      <c r="G930" s="283"/>
      <c r="H930" s="283"/>
      <c r="I930" s="283"/>
      <c r="J930" s="283"/>
      <c r="K930" s="340"/>
      <c r="L930" s="283"/>
      <c r="M930" s="283"/>
      <c r="N930" s="283"/>
      <c r="O930" s="283"/>
      <c r="P930" s="283"/>
      <c r="Q930" s="340"/>
      <c r="R930" s="283"/>
      <c r="S930" s="283"/>
      <c r="T930" s="340"/>
      <c r="U930" s="340"/>
      <c r="V930" s="283"/>
      <c r="W930" s="283"/>
      <c r="X930" s="283"/>
      <c r="Y930" s="283"/>
      <c r="Z930" s="283"/>
    </row>
    <row r="931" ht="15.75" customHeight="1">
      <c r="A931" s="340"/>
      <c r="B931" s="340"/>
      <c r="C931" s="283"/>
      <c r="D931" s="283"/>
      <c r="E931" s="283"/>
      <c r="F931" s="283"/>
      <c r="G931" s="283"/>
      <c r="H931" s="283"/>
      <c r="I931" s="283"/>
      <c r="J931" s="283"/>
      <c r="K931" s="340"/>
      <c r="L931" s="283"/>
      <c r="M931" s="283"/>
      <c r="N931" s="283"/>
      <c r="O931" s="283"/>
      <c r="P931" s="283"/>
      <c r="Q931" s="340"/>
      <c r="R931" s="283"/>
      <c r="S931" s="283"/>
      <c r="T931" s="340"/>
      <c r="U931" s="340"/>
      <c r="V931" s="283"/>
      <c r="W931" s="283"/>
      <c r="X931" s="283"/>
      <c r="Y931" s="283"/>
      <c r="Z931" s="283"/>
    </row>
    <row r="932" ht="15.75" customHeight="1">
      <c r="A932" s="340"/>
      <c r="B932" s="340"/>
      <c r="C932" s="283"/>
      <c r="D932" s="283"/>
      <c r="E932" s="283"/>
      <c r="F932" s="283"/>
      <c r="G932" s="283"/>
      <c r="H932" s="283"/>
      <c r="I932" s="283"/>
      <c r="J932" s="283"/>
      <c r="K932" s="340"/>
      <c r="L932" s="283"/>
      <c r="M932" s="283"/>
      <c r="N932" s="283"/>
      <c r="O932" s="283"/>
      <c r="P932" s="283"/>
      <c r="Q932" s="340"/>
      <c r="R932" s="283"/>
      <c r="S932" s="283"/>
      <c r="T932" s="340"/>
      <c r="U932" s="340"/>
      <c r="V932" s="283"/>
      <c r="W932" s="283"/>
      <c r="X932" s="283"/>
      <c r="Y932" s="283"/>
      <c r="Z932" s="283"/>
    </row>
    <row r="933" ht="15.75" customHeight="1">
      <c r="A933" s="340"/>
      <c r="B933" s="340"/>
      <c r="C933" s="283"/>
      <c r="D933" s="283"/>
      <c r="E933" s="283"/>
      <c r="F933" s="283"/>
      <c r="G933" s="283"/>
      <c r="H933" s="283"/>
      <c r="I933" s="283"/>
      <c r="J933" s="283"/>
      <c r="K933" s="340"/>
      <c r="L933" s="283"/>
      <c r="M933" s="283"/>
      <c r="N933" s="283"/>
      <c r="O933" s="283"/>
      <c r="P933" s="283"/>
      <c r="Q933" s="340"/>
      <c r="R933" s="283"/>
      <c r="S933" s="283"/>
      <c r="T933" s="340"/>
      <c r="U933" s="340"/>
      <c r="V933" s="283"/>
      <c r="W933" s="283"/>
      <c r="X933" s="283"/>
      <c r="Y933" s="283"/>
      <c r="Z933" s="283"/>
    </row>
    <row r="934" ht="15.75" customHeight="1">
      <c r="A934" s="340"/>
      <c r="B934" s="340"/>
      <c r="C934" s="283"/>
      <c r="D934" s="283"/>
      <c r="E934" s="283"/>
      <c r="F934" s="283"/>
      <c r="G934" s="283"/>
      <c r="H934" s="283"/>
      <c r="I934" s="283"/>
      <c r="J934" s="283"/>
      <c r="K934" s="340"/>
      <c r="L934" s="283"/>
      <c r="M934" s="283"/>
      <c r="N934" s="283"/>
      <c r="O934" s="283"/>
      <c r="P934" s="283"/>
      <c r="Q934" s="340"/>
      <c r="R934" s="283"/>
      <c r="S934" s="283"/>
      <c r="T934" s="340"/>
      <c r="U934" s="340"/>
      <c r="V934" s="283"/>
      <c r="W934" s="283"/>
      <c r="X934" s="283"/>
      <c r="Y934" s="283"/>
      <c r="Z934" s="283"/>
    </row>
    <row r="935" ht="15.75" customHeight="1">
      <c r="A935" s="340"/>
      <c r="B935" s="340"/>
      <c r="C935" s="283"/>
      <c r="D935" s="283"/>
      <c r="E935" s="283"/>
      <c r="F935" s="283"/>
      <c r="G935" s="283"/>
      <c r="H935" s="283"/>
      <c r="I935" s="283"/>
      <c r="J935" s="283"/>
      <c r="K935" s="340"/>
      <c r="L935" s="283"/>
      <c r="M935" s="283"/>
      <c r="N935" s="283"/>
      <c r="O935" s="283"/>
      <c r="P935" s="283"/>
      <c r="Q935" s="340"/>
      <c r="R935" s="283"/>
      <c r="S935" s="283"/>
      <c r="T935" s="340"/>
      <c r="U935" s="340"/>
      <c r="V935" s="283"/>
      <c r="W935" s="283"/>
      <c r="X935" s="283"/>
      <c r="Y935" s="283"/>
      <c r="Z935" s="283"/>
    </row>
    <row r="936" ht="15.75" customHeight="1">
      <c r="A936" s="340"/>
      <c r="B936" s="340"/>
      <c r="C936" s="283"/>
      <c r="D936" s="283"/>
      <c r="E936" s="283"/>
      <c r="F936" s="283"/>
      <c r="G936" s="283"/>
      <c r="H936" s="283"/>
      <c r="I936" s="283"/>
      <c r="J936" s="283"/>
      <c r="K936" s="340"/>
      <c r="L936" s="283"/>
      <c r="M936" s="283"/>
      <c r="N936" s="283"/>
      <c r="O936" s="283"/>
      <c r="P936" s="283"/>
      <c r="Q936" s="340"/>
      <c r="R936" s="283"/>
      <c r="S936" s="283"/>
      <c r="T936" s="340"/>
      <c r="U936" s="340"/>
      <c r="V936" s="283"/>
      <c r="W936" s="283"/>
      <c r="X936" s="283"/>
      <c r="Y936" s="283"/>
      <c r="Z936" s="283"/>
    </row>
    <row r="937" ht="15.75" customHeight="1">
      <c r="A937" s="340"/>
      <c r="B937" s="340"/>
      <c r="C937" s="283"/>
      <c r="D937" s="283"/>
      <c r="E937" s="283"/>
      <c r="F937" s="283"/>
      <c r="G937" s="283"/>
      <c r="H937" s="283"/>
      <c r="I937" s="283"/>
      <c r="J937" s="283"/>
      <c r="K937" s="340"/>
      <c r="L937" s="283"/>
      <c r="M937" s="283"/>
      <c r="N937" s="283"/>
      <c r="O937" s="283"/>
      <c r="P937" s="283"/>
      <c r="Q937" s="340"/>
      <c r="R937" s="283"/>
      <c r="S937" s="283"/>
      <c r="T937" s="340"/>
      <c r="U937" s="340"/>
      <c r="V937" s="283"/>
      <c r="W937" s="283"/>
      <c r="X937" s="283"/>
      <c r="Y937" s="283"/>
      <c r="Z937" s="283"/>
    </row>
    <row r="938" ht="15.75" customHeight="1">
      <c r="A938" s="340"/>
      <c r="B938" s="340"/>
      <c r="C938" s="283"/>
      <c r="D938" s="283"/>
      <c r="E938" s="283"/>
      <c r="F938" s="283"/>
      <c r="G938" s="283"/>
      <c r="H938" s="283"/>
      <c r="I938" s="283"/>
      <c r="J938" s="283"/>
      <c r="K938" s="340"/>
      <c r="L938" s="283"/>
      <c r="M938" s="283"/>
      <c r="N938" s="283"/>
      <c r="O938" s="283"/>
      <c r="P938" s="283"/>
      <c r="Q938" s="340"/>
      <c r="R938" s="283"/>
      <c r="S938" s="283"/>
      <c r="T938" s="340"/>
      <c r="U938" s="340"/>
      <c r="V938" s="283"/>
      <c r="W938" s="283"/>
      <c r="X938" s="283"/>
      <c r="Y938" s="283"/>
      <c r="Z938" s="283"/>
    </row>
    <row r="939" ht="15.75" customHeight="1">
      <c r="A939" s="340"/>
      <c r="B939" s="340"/>
      <c r="C939" s="283"/>
      <c r="D939" s="283"/>
      <c r="E939" s="283"/>
      <c r="F939" s="283"/>
      <c r="G939" s="283"/>
      <c r="H939" s="283"/>
      <c r="I939" s="283"/>
      <c r="J939" s="283"/>
      <c r="K939" s="340"/>
      <c r="L939" s="283"/>
      <c r="M939" s="283"/>
      <c r="N939" s="283"/>
      <c r="O939" s="283"/>
      <c r="P939" s="283"/>
      <c r="Q939" s="340"/>
      <c r="R939" s="283"/>
      <c r="S939" s="283"/>
      <c r="T939" s="340"/>
      <c r="U939" s="340"/>
      <c r="V939" s="283"/>
      <c r="W939" s="283"/>
      <c r="X939" s="283"/>
      <c r="Y939" s="283"/>
      <c r="Z939" s="283"/>
    </row>
    <row r="940" ht="15.75" customHeight="1">
      <c r="A940" s="340"/>
      <c r="B940" s="340"/>
      <c r="C940" s="283"/>
      <c r="D940" s="283"/>
      <c r="E940" s="283"/>
      <c r="F940" s="283"/>
      <c r="G940" s="283"/>
      <c r="H940" s="283"/>
      <c r="I940" s="283"/>
      <c r="J940" s="283"/>
      <c r="K940" s="340"/>
      <c r="L940" s="283"/>
      <c r="M940" s="283"/>
      <c r="N940" s="283"/>
      <c r="O940" s="283"/>
      <c r="P940" s="283"/>
      <c r="Q940" s="340"/>
      <c r="R940" s="283"/>
      <c r="S940" s="283"/>
      <c r="T940" s="340"/>
      <c r="U940" s="340"/>
      <c r="V940" s="283"/>
      <c r="W940" s="283"/>
      <c r="X940" s="283"/>
      <c r="Y940" s="283"/>
      <c r="Z940" s="283"/>
    </row>
    <row r="941" ht="15.75" customHeight="1">
      <c r="A941" s="340"/>
      <c r="B941" s="340"/>
      <c r="C941" s="283"/>
      <c r="D941" s="283"/>
      <c r="E941" s="283"/>
      <c r="F941" s="283"/>
      <c r="G941" s="283"/>
      <c r="H941" s="283"/>
      <c r="I941" s="283"/>
      <c r="J941" s="283"/>
      <c r="K941" s="340"/>
      <c r="L941" s="283"/>
      <c r="M941" s="283"/>
      <c r="N941" s="283"/>
      <c r="O941" s="283"/>
      <c r="P941" s="283"/>
      <c r="Q941" s="340"/>
      <c r="R941" s="283"/>
      <c r="S941" s="283"/>
      <c r="T941" s="340"/>
      <c r="U941" s="340"/>
      <c r="V941" s="283"/>
      <c r="W941" s="283"/>
      <c r="X941" s="283"/>
      <c r="Y941" s="283"/>
      <c r="Z941" s="283"/>
    </row>
    <row r="942" ht="15.75" customHeight="1">
      <c r="A942" s="340"/>
      <c r="B942" s="340"/>
      <c r="C942" s="283"/>
      <c r="D942" s="283"/>
      <c r="E942" s="283"/>
      <c r="F942" s="283"/>
      <c r="G942" s="283"/>
      <c r="H942" s="283"/>
      <c r="I942" s="283"/>
      <c r="J942" s="283"/>
      <c r="K942" s="340"/>
      <c r="L942" s="283"/>
      <c r="M942" s="283"/>
      <c r="N942" s="283"/>
      <c r="O942" s="283"/>
      <c r="P942" s="283"/>
      <c r="Q942" s="340"/>
      <c r="R942" s="283"/>
      <c r="S942" s="283"/>
      <c r="T942" s="340"/>
      <c r="U942" s="340"/>
      <c r="V942" s="283"/>
      <c r="W942" s="283"/>
      <c r="X942" s="283"/>
      <c r="Y942" s="283"/>
      <c r="Z942" s="283"/>
    </row>
    <row r="943" ht="15.75" customHeight="1">
      <c r="A943" s="340"/>
      <c r="B943" s="340"/>
      <c r="C943" s="283"/>
      <c r="D943" s="283"/>
      <c r="E943" s="283"/>
      <c r="F943" s="283"/>
      <c r="G943" s="283"/>
      <c r="H943" s="283"/>
      <c r="I943" s="283"/>
      <c r="J943" s="283"/>
      <c r="K943" s="340"/>
      <c r="L943" s="283"/>
      <c r="M943" s="283"/>
      <c r="N943" s="283"/>
      <c r="O943" s="283"/>
      <c r="P943" s="283"/>
      <c r="Q943" s="340"/>
      <c r="R943" s="283"/>
      <c r="S943" s="283"/>
      <c r="T943" s="340"/>
      <c r="U943" s="340"/>
      <c r="V943" s="283"/>
      <c r="W943" s="283"/>
      <c r="X943" s="283"/>
      <c r="Y943" s="283"/>
      <c r="Z943" s="283"/>
    </row>
    <row r="944" ht="15.75" customHeight="1">
      <c r="A944" s="340"/>
      <c r="B944" s="340"/>
      <c r="C944" s="283"/>
      <c r="D944" s="283"/>
      <c r="E944" s="283"/>
      <c r="F944" s="283"/>
      <c r="G944" s="283"/>
      <c r="H944" s="283"/>
      <c r="I944" s="283"/>
      <c r="J944" s="283"/>
      <c r="K944" s="340"/>
      <c r="L944" s="283"/>
      <c r="M944" s="283"/>
      <c r="N944" s="283"/>
      <c r="O944" s="283"/>
      <c r="P944" s="283"/>
      <c r="Q944" s="340"/>
      <c r="R944" s="283"/>
      <c r="S944" s="283"/>
      <c r="T944" s="340"/>
      <c r="U944" s="340"/>
      <c r="V944" s="283"/>
      <c r="W944" s="283"/>
      <c r="X944" s="283"/>
      <c r="Y944" s="283"/>
      <c r="Z944" s="283"/>
    </row>
    <row r="945" ht="15.75" customHeight="1">
      <c r="A945" s="340"/>
      <c r="B945" s="340"/>
      <c r="C945" s="283"/>
      <c r="D945" s="283"/>
      <c r="E945" s="283"/>
      <c r="F945" s="283"/>
      <c r="G945" s="283"/>
      <c r="H945" s="283"/>
      <c r="I945" s="283"/>
      <c r="J945" s="283"/>
      <c r="K945" s="340"/>
      <c r="L945" s="283"/>
      <c r="M945" s="283"/>
      <c r="N945" s="283"/>
      <c r="O945" s="283"/>
      <c r="P945" s="283"/>
      <c r="Q945" s="340"/>
      <c r="R945" s="283"/>
      <c r="S945" s="283"/>
      <c r="T945" s="340"/>
      <c r="U945" s="340"/>
      <c r="V945" s="283"/>
      <c r="W945" s="283"/>
      <c r="X945" s="283"/>
      <c r="Y945" s="283"/>
      <c r="Z945" s="283"/>
    </row>
    <row r="946" ht="15.75" customHeight="1">
      <c r="A946" s="340"/>
      <c r="B946" s="340"/>
      <c r="C946" s="283"/>
      <c r="D946" s="283"/>
      <c r="E946" s="283"/>
      <c r="F946" s="283"/>
      <c r="G946" s="283"/>
      <c r="H946" s="283"/>
      <c r="I946" s="283"/>
      <c r="J946" s="283"/>
      <c r="K946" s="340"/>
      <c r="L946" s="283"/>
      <c r="M946" s="283"/>
      <c r="N946" s="283"/>
      <c r="O946" s="283"/>
      <c r="P946" s="283"/>
      <c r="Q946" s="340"/>
      <c r="R946" s="283"/>
      <c r="S946" s="283"/>
      <c r="T946" s="340"/>
      <c r="U946" s="340"/>
      <c r="V946" s="283"/>
      <c r="W946" s="283"/>
      <c r="X946" s="283"/>
      <c r="Y946" s="283"/>
      <c r="Z946" s="283"/>
    </row>
    <row r="947" ht="15.75" customHeight="1">
      <c r="A947" s="340"/>
      <c r="B947" s="340"/>
      <c r="C947" s="283"/>
      <c r="D947" s="283"/>
      <c r="E947" s="283"/>
      <c r="F947" s="283"/>
      <c r="G947" s="283"/>
      <c r="H947" s="283"/>
      <c r="I947" s="283"/>
      <c r="J947" s="283"/>
      <c r="K947" s="340"/>
      <c r="L947" s="283"/>
      <c r="M947" s="283"/>
      <c r="N947" s="283"/>
      <c r="O947" s="283"/>
      <c r="P947" s="283"/>
      <c r="Q947" s="340"/>
      <c r="R947" s="283"/>
      <c r="S947" s="283"/>
      <c r="T947" s="340"/>
      <c r="U947" s="340"/>
      <c r="V947" s="283"/>
      <c r="W947" s="283"/>
      <c r="X947" s="283"/>
      <c r="Y947" s="283"/>
      <c r="Z947" s="283"/>
    </row>
    <row r="948" ht="15.75" customHeight="1">
      <c r="A948" s="340"/>
      <c r="B948" s="340"/>
      <c r="C948" s="283"/>
      <c r="D948" s="283"/>
      <c r="E948" s="283"/>
      <c r="F948" s="283"/>
      <c r="G948" s="283"/>
      <c r="H948" s="283"/>
      <c r="I948" s="283"/>
      <c r="J948" s="283"/>
      <c r="K948" s="340"/>
      <c r="L948" s="283"/>
      <c r="M948" s="283"/>
      <c r="N948" s="283"/>
      <c r="O948" s="283"/>
      <c r="P948" s="283"/>
      <c r="Q948" s="340"/>
      <c r="R948" s="283"/>
      <c r="S948" s="283"/>
      <c r="T948" s="340"/>
      <c r="U948" s="340"/>
      <c r="V948" s="283"/>
      <c r="W948" s="283"/>
      <c r="X948" s="283"/>
      <c r="Y948" s="283"/>
      <c r="Z948" s="283"/>
    </row>
    <row r="949" ht="15.75" customHeight="1">
      <c r="A949" s="340"/>
      <c r="B949" s="340"/>
      <c r="C949" s="283"/>
      <c r="D949" s="283"/>
      <c r="E949" s="283"/>
      <c r="F949" s="283"/>
      <c r="G949" s="283"/>
      <c r="H949" s="283"/>
      <c r="I949" s="283"/>
      <c r="J949" s="283"/>
      <c r="K949" s="340"/>
      <c r="L949" s="283"/>
      <c r="M949" s="283"/>
      <c r="N949" s="283"/>
      <c r="O949" s="283"/>
      <c r="P949" s="283"/>
      <c r="Q949" s="340"/>
      <c r="R949" s="283"/>
      <c r="S949" s="283"/>
      <c r="T949" s="340"/>
      <c r="U949" s="340"/>
      <c r="V949" s="283"/>
      <c r="W949" s="283"/>
      <c r="X949" s="283"/>
      <c r="Y949" s="283"/>
      <c r="Z949" s="283"/>
    </row>
    <row r="950" ht="15.75" customHeight="1">
      <c r="A950" s="340"/>
      <c r="B950" s="340"/>
      <c r="C950" s="283"/>
      <c r="D950" s="283"/>
      <c r="E950" s="283"/>
      <c r="F950" s="283"/>
      <c r="G950" s="283"/>
      <c r="H950" s="283"/>
      <c r="I950" s="283"/>
      <c r="J950" s="283"/>
      <c r="K950" s="340"/>
      <c r="L950" s="283"/>
      <c r="M950" s="283"/>
      <c r="N950" s="283"/>
      <c r="O950" s="283"/>
      <c r="P950" s="283"/>
      <c r="Q950" s="340"/>
      <c r="R950" s="283"/>
      <c r="S950" s="283"/>
      <c r="T950" s="340"/>
      <c r="U950" s="340"/>
      <c r="V950" s="283"/>
      <c r="W950" s="283"/>
      <c r="X950" s="283"/>
      <c r="Y950" s="283"/>
      <c r="Z950" s="283"/>
    </row>
    <row r="951" ht="15.75" customHeight="1">
      <c r="A951" s="340"/>
      <c r="B951" s="340"/>
      <c r="C951" s="283"/>
      <c r="D951" s="283"/>
      <c r="E951" s="283"/>
      <c r="F951" s="283"/>
      <c r="G951" s="283"/>
      <c r="H951" s="283"/>
      <c r="I951" s="283"/>
      <c r="J951" s="283"/>
      <c r="K951" s="340"/>
      <c r="L951" s="283"/>
      <c r="M951" s="283"/>
      <c r="N951" s="283"/>
      <c r="O951" s="283"/>
      <c r="P951" s="283"/>
      <c r="Q951" s="340"/>
      <c r="R951" s="283"/>
      <c r="S951" s="283"/>
      <c r="T951" s="340"/>
      <c r="U951" s="340"/>
      <c r="V951" s="283"/>
      <c r="W951" s="283"/>
      <c r="X951" s="283"/>
      <c r="Y951" s="283"/>
      <c r="Z951" s="283"/>
    </row>
    <row r="952" ht="15.75" customHeight="1">
      <c r="A952" s="340"/>
      <c r="B952" s="340"/>
      <c r="C952" s="283"/>
      <c r="D952" s="283"/>
      <c r="E952" s="283"/>
      <c r="F952" s="283"/>
      <c r="G952" s="283"/>
      <c r="H952" s="283"/>
      <c r="I952" s="283"/>
      <c r="J952" s="283"/>
      <c r="K952" s="340"/>
      <c r="L952" s="283"/>
      <c r="M952" s="283"/>
      <c r="N952" s="283"/>
      <c r="O952" s="283"/>
      <c r="P952" s="283"/>
      <c r="Q952" s="340"/>
      <c r="R952" s="283"/>
      <c r="S952" s="283"/>
      <c r="T952" s="340"/>
      <c r="U952" s="340"/>
      <c r="V952" s="283"/>
      <c r="W952" s="283"/>
      <c r="X952" s="283"/>
      <c r="Y952" s="283"/>
      <c r="Z952" s="283"/>
    </row>
    <row r="953" ht="15.75" customHeight="1">
      <c r="A953" s="340"/>
      <c r="B953" s="340"/>
      <c r="C953" s="283"/>
      <c r="D953" s="283"/>
      <c r="E953" s="283"/>
      <c r="F953" s="283"/>
      <c r="G953" s="283"/>
      <c r="H953" s="283"/>
      <c r="I953" s="283"/>
      <c r="J953" s="283"/>
      <c r="K953" s="340"/>
      <c r="L953" s="283"/>
      <c r="M953" s="283"/>
      <c r="N953" s="283"/>
      <c r="O953" s="283"/>
      <c r="P953" s="283"/>
      <c r="Q953" s="340"/>
      <c r="R953" s="283"/>
      <c r="S953" s="283"/>
      <c r="T953" s="340"/>
      <c r="U953" s="340"/>
      <c r="V953" s="283"/>
      <c r="W953" s="283"/>
      <c r="X953" s="283"/>
      <c r="Y953" s="283"/>
      <c r="Z953" s="283"/>
    </row>
    <row r="954" ht="15.75" customHeight="1">
      <c r="A954" s="340"/>
      <c r="B954" s="340"/>
      <c r="C954" s="283"/>
      <c r="D954" s="283"/>
      <c r="E954" s="283"/>
      <c r="F954" s="283"/>
      <c r="G954" s="283"/>
      <c r="H954" s="283"/>
      <c r="I954" s="283"/>
      <c r="J954" s="283"/>
      <c r="K954" s="340"/>
      <c r="L954" s="283"/>
      <c r="M954" s="283"/>
      <c r="N954" s="283"/>
      <c r="O954" s="283"/>
      <c r="P954" s="283"/>
      <c r="Q954" s="340"/>
      <c r="R954" s="283"/>
      <c r="S954" s="283"/>
      <c r="T954" s="340"/>
      <c r="U954" s="340"/>
      <c r="V954" s="283"/>
      <c r="W954" s="283"/>
      <c r="X954" s="283"/>
      <c r="Y954" s="283"/>
      <c r="Z954" s="283"/>
    </row>
    <row r="955" ht="15.75" customHeight="1">
      <c r="A955" s="340"/>
      <c r="B955" s="340"/>
      <c r="C955" s="283"/>
      <c r="D955" s="283"/>
      <c r="E955" s="283"/>
      <c r="F955" s="283"/>
      <c r="G955" s="283"/>
      <c r="H955" s="283"/>
      <c r="I955" s="283"/>
      <c r="J955" s="283"/>
      <c r="K955" s="340"/>
      <c r="L955" s="283"/>
      <c r="M955" s="283"/>
      <c r="N955" s="283"/>
      <c r="O955" s="283"/>
      <c r="P955" s="283"/>
      <c r="Q955" s="340"/>
      <c r="R955" s="283"/>
      <c r="S955" s="283"/>
      <c r="T955" s="340"/>
      <c r="U955" s="340"/>
      <c r="V955" s="283"/>
      <c r="W955" s="283"/>
      <c r="X955" s="283"/>
      <c r="Y955" s="283"/>
      <c r="Z955" s="283"/>
    </row>
    <row r="956" ht="15.75" customHeight="1">
      <c r="A956" s="340"/>
      <c r="B956" s="340"/>
      <c r="C956" s="283"/>
      <c r="D956" s="283"/>
      <c r="E956" s="283"/>
      <c r="F956" s="283"/>
      <c r="G956" s="283"/>
      <c r="H956" s="283"/>
      <c r="I956" s="283"/>
      <c r="J956" s="283"/>
      <c r="K956" s="340"/>
      <c r="L956" s="283"/>
      <c r="M956" s="283"/>
      <c r="N956" s="283"/>
      <c r="O956" s="283"/>
      <c r="P956" s="283"/>
      <c r="Q956" s="340"/>
      <c r="R956" s="283"/>
      <c r="S956" s="283"/>
      <c r="T956" s="340"/>
      <c r="U956" s="340"/>
      <c r="V956" s="283"/>
      <c r="W956" s="283"/>
      <c r="X956" s="283"/>
      <c r="Y956" s="283"/>
      <c r="Z956" s="283"/>
    </row>
    <row r="957" ht="15.75" customHeight="1">
      <c r="A957" s="340"/>
      <c r="B957" s="340"/>
      <c r="C957" s="283"/>
      <c r="D957" s="283"/>
      <c r="E957" s="283"/>
      <c r="F957" s="283"/>
      <c r="G957" s="283"/>
      <c r="H957" s="283"/>
      <c r="I957" s="283"/>
      <c r="J957" s="283"/>
      <c r="K957" s="340"/>
      <c r="L957" s="283"/>
      <c r="M957" s="283"/>
      <c r="N957" s="283"/>
      <c r="O957" s="283"/>
      <c r="P957" s="283"/>
      <c r="Q957" s="340"/>
      <c r="R957" s="283"/>
      <c r="S957" s="283"/>
      <c r="T957" s="340"/>
      <c r="U957" s="340"/>
      <c r="V957" s="283"/>
      <c r="W957" s="283"/>
      <c r="X957" s="283"/>
      <c r="Y957" s="283"/>
      <c r="Z957" s="283"/>
    </row>
    <row r="958" ht="15.75" customHeight="1">
      <c r="A958" s="340"/>
      <c r="B958" s="340"/>
      <c r="C958" s="283"/>
      <c r="D958" s="283"/>
      <c r="E958" s="283"/>
      <c r="F958" s="283"/>
      <c r="G958" s="283"/>
      <c r="H958" s="283"/>
      <c r="I958" s="283"/>
      <c r="J958" s="283"/>
      <c r="K958" s="340"/>
      <c r="L958" s="283"/>
      <c r="M958" s="283"/>
      <c r="N958" s="283"/>
      <c r="O958" s="283"/>
      <c r="P958" s="283"/>
      <c r="Q958" s="340"/>
      <c r="R958" s="283"/>
      <c r="S958" s="283"/>
      <c r="T958" s="340"/>
      <c r="U958" s="340"/>
      <c r="V958" s="283"/>
      <c r="W958" s="283"/>
      <c r="X958" s="283"/>
      <c r="Y958" s="283"/>
      <c r="Z958" s="283"/>
    </row>
    <row r="959" ht="15.75" customHeight="1">
      <c r="A959" s="340"/>
      <c r="B959" s="340"/>
      <c r="C959" s="283"/>
      <c r="D959" s="283"/>
      <c r="E959" s="283"/>
      <c r="F959" s="283"/>
      <c r="G959" s="283"/>
      <c r="H959" s="283"/>
      <c r="I959" s="283"/>
      <c r="J959" s="283"/>
      <c r="K959" s="340"/>
      <c r="L959" s="283"/>
      <c r="M959" s="283"/>
      <c r="N959" s="283"/>
      <c r="O959" s="283"/>
      <c r="P959" s="283"/>
      <c r="Q959" s="340"/>
      <c r="R959" s="283"/>
      <c r="S959" s="283"/>
      <c r="T959" s="340"/>
      <c r="U959" s="340"/>
      <c r="V959" s="283"/>
      <c r="W959" s="283"/>
      <c r="X959" s="283"/>
      <c r="Y959" s="283"/>
      <c r="Z959" s="283"/>
    </row>
    <row r="960" ht="15.75" customHeight="1">
      <c r="A960" s="340"/>
      <c r="B960" s="340"/>
      <c r="C960" s="283"/>
      <c r="D960" s="283"/>
      <c r="E960" s="283"/>
      <c r="F960" s="283"/>
      <c r="G960" s="283"/>
      <c r="H960" s="283"/>
      <c r="I960" s="283"/>
      <c r="J960" s="283"/>
      <c r="K960" s="340"/>
      <c r="L960" s="283"/>
      <c r="M960" s="283"/>
      <c r="N960" s="283"/>
      <c r="O960" s="283"/>
      <c r="P960" s="283"/>
      <c r="Q960" s="340"/>
      <c r="R960" s="283"/>
      <c r="S960" s="283"/>
      <c r="T960" s="340"/>
      <c r="U960" s="340"/>
      <c r="V960" s="283"/>
      <c r="W960" s="283"/>
      <c r="X960" s="283"/>
      <c r="Y960" s="283"/>
      <c r="Z960" s="283"/>
    </row>
    <row r="961" ht="15.75" customHeight="1">
      <c r="A961" s="340"/>
      <c r="B961" s="340"/>
      <c r="C961" s="283"/>
      <c r="D961" s="283"/>
      <c r="E961" s="283"/>
      <c r="F961" s="283"/>
      <c r="G961" s="283"/>
      <c r="H961" s="283"/>
      <c r="I961" s="283"/>
      <c r="J961" s="283"/>
      <c r="K961" s="340"/>
      <c r="L961" s="283"/>
      <c r="M961" s="283"/>
      <c r="N961" s="283"/>
      <c r="O961" s="283"/>
      <c r="P961" s="283"/>
      <c r="Q961" s="340"/>
      <c r="R961" s="283"/>
      <c r="S961" s="283"/>
      <c r="T961" s="340"/>
      <c r="U961" s="340"/>
      <c r="V961" s="283"/>
      <c r="W961" s="283"/>
      <c r="X961" s="283"/>
      <c r="Y961" s="283"/>
      <c r="Z961" s="283"/>
    </row>
    <row r="962" ht="15.75" customHeight="1">
      <c r="A962" s="340"/>
      <c r="B962" s="340"/>
      <c r="C962" s="283"/>
      <c r="D962" s="283"/>
      <c r="E962" s="283"/>
      <c r="F962" s="283"/>
      <c r="G962" s="283"/>
      <c r="H962" s="283"/>
      <c r="I962" s="283"/>
      <c r="J962" s="283"/>
      <c r="K962" s="340"/>
      <c r="L962" s="283"/>
      <c r="M962" s="283"/>
      <c r="N962" s="283"/>
      <c r="O962" s="283"/>
      <c r="P962" s="283"/>
      <c r="Q962" s="340"/>
      <c r="R962" s="283"/>
      <c r="S962" s="283"/>
      <c r="T962" s="340"/>
      <c r="U962" s="340"/>
      <c r="V962" s="283"/>
      <c r="W962" s="283"/>
      <c r="X962" s="283"/>
      <c r="Y962" s="283"/>
      <c r="Z962" s="283"/>
    </row>
    <row r="963" ht="15.75" customHeight="1">
      <c r="A963" s="340"/>
      <c r="B963" s="340"/>
      <c r="C963" s="283"/>
      <c r="D963" s="283"/>
      <c r="E963" s="283"/>
      <c r="F963" s="283"/>
      <c r="G963" s="283"/>
      <c r="H963" s="283"/>
      <c r="I963" s="283"/>
      <c r="J963" s="283"/>
      <c r="K963" s="340"/>
      <c r="L963" s="283"/>
      <c r="M963" s="283"/>
      <c r="N963" s="283"/>
      <c r="O963" s="283"/>
      <c r="P963" s="283"/>
      <c r="Q963" s="340"/>
      <c r="R963" s="283"/>
      <c r="S963" s="283"/>
      <c r="T963" s="340"/>
      <c r="U963" s="340"/>
      <c r="V963" s="283"/>
      <c r="W963" s="283"/>
      <c r="X963" s="283"/>
      <c r="Y963" s="283"/>
      <c r="Z963" s="283"/>
    </row>
    <row r="964" ht="15.75" customHeight="1">
      <c r="A964" s="340"/>
      <c r="B964" s="340"/>
      <c r="C964" s="283"/>
      <c r="D964" s="283"/>
      <c r="E964" s="283"/>
      <c r="F964" s="283"/>
      <c r="G964" s="283"/>
      <c r="H964" s="283"/>
      <c r="I964" s="283"/>
      <c r="J964" s="283"/>
      <c r="K964" s="340"/>
      <c r="L964" s="283"/>
      <c r="M964" s="283"/>
      <c r="N964" s="283"/>
      <c r="O964" s="283"/>
      <c r="P964" s="283"/>
      <c r="Q964" s="340"/>
      <c r="R964" s="283"/>
      <c r="S964" s="283"/>
      <c r="T964" s="340"/>
      <c r="U964" s="340"/>
      <c r="V964" s="283"/>
      <c r="W964" s="283"/>
      <c r="X964" s="283"/>
      <c r="Y964" s="283"/>
      <c r="Z964" s="283"/>
    </row>
    <row r="965" ht="15.75" customHeight="1">
      <c r="A965" s="340"/>
      <c r="B965" s="340"/>
      <c r="C965" s="283"/>
      <c r="D965" s="283"/>
      <c r="E965" s="283"/>
      <c r="F965" s="283"/>
      <c r="G965" s="283"/>
      <c r="H965" s="283"/>
      <c r="I965" s="283"/>
      <c r="J965" s="283"/>
      <c r="K965" s="340"/>
      <c r="L965" s="283"/>
      <c r="M965" s="283"/>
      <c r="N965" s="283"/>
      <c r="O965" s="283"/>
      <c r="P965" s="283"/>
      <c r="Q965" s="340"/>
      <c r="R965" s="283"/>
      <c r="S965" s="283"/>
      <c r="T965" s="340"/>
      <c r="U965" s="340"/>
      <c r="V965" s="283"/>
      <c r="W965" s="283"/>
      <c r="X965" s="283"/>
      <c r="Y965" s="283"/>
      <c r="Z965" s="283"/>
    </row>
    <row r="966" ht="15.75" customHeight="1">
      <c r="A966" s="340"/>
      <c r="B966" s="340"/>
      <c r="C966" s="283"/>
      <c r="D966" s="283"/>
      <c r="E966" s="283"/>
      <c r="F966" s="283"/>
      <c r="G966" s="283"/>
      <c r="H966" s="283"/>
      <c r="I966" s="283"/>
      <c r="J966" s="283"/>
      <c r="K966" s="340"/>
      <c r="L966" s="283"/>
      <c r="M966" s="283"/>
      <c r="N966" s="283"/>
      <c r="O966" s="283"/>
      <c r="P966" s="283"/>
      <c r="Q966" s="340"/>
      <c r="R966" s="283"/>
      <c r="S966" s="283"/>
      <c r="T966" s="340"/>
      <c r="U966" s="340"/>
      <c r="V966" s="283"/>
      <c r="W966" s="283"/>
      <c r="X966" s="283"/>
      <c r="Y966" s="283"/>
      <c r="Z966" s="283"/>
    </row>
    <row r="967" ht="15.75" customHeight="1">
      <c r="A967" s="340"/>
      <c r="B967" s="340"/>
      <c r="C967" s="283"/>
      <c r="D967" s="283"/>
      <c r="E967" s="283"/>
      <c r="F967" s="283"/>
      <c r="G967" s="283"/>
      <c r="H967" s="283"/>
      <c r="I967" s="283"/>
      <c r="J967" s="283"/>
      <c r="K967" s="340"/>
      <c r="L967" s="283"/>
      <c r="M967" s="283"/>
      <c r="N967" s="283"/>
      <c r="O967" s="283"/>
      <c r="P967" s="283"/>
      <c r="Q967" s="340"/>
      <c r="R967" s="283"/>
      <c r="S967" s="283"/>
      <c r="T967" s="340"/>
      <c r="U967" s="340"/>
      <c r="V967" s="283"/>
      <c r="W967" s="283"/>
      <c r="X967" s="283"/>
      <c r="Y967" s="283"/>
      <c r="Z967" s="283"/>
    </row>
    <row r="968" ht="15.75" customHeight="1">
      <c r="A968" s="340"/>
      <c r="B968" s="340"/>
      <c r="C968" s="283"/>
      <c r="D968" s="283"/>
      <c r="E968" s="283"/>
      <c r="F968" s="283"/>
      <c r="G968" s="283"/>
      <c r="H968" s="283"/>
      <c r="I968" s="283"/>
      <c r="J968" s="283"/>
      <c r="K968" s="340"/>
      <c r="L968" s="283"/>
      <c r="M968" s="283"/>
      <c r="N968" s="283"/>
      <c r="O968" s="283"/>
      <c r="P968" s="283"/>
      <c r="Q968" s="340"/>
      <c r="R968" s="283"/>
      <c r="S968" s="283"/>
      <c r="T968" s="340"/>
      <c r="U968" s="340"/>
      <c r="V968" s="283"/>
      <c r="W968" s="283"/>
      <c r="X968" s="283"/>
      <c r="Y968" s="283"/>
      <c r="Z968" s="283"/>
    </row>
    <row r="969" ht="15.75" customHeight="1">
      <c r="A969" s="340"/>
      <c r="B969" s="340"/>
      <c r="C969" s="283"/>
      <c r="D969" s="283"/>
      <c r="E969" s="283"/>
      <c r="F969" s="283"/>
      <c r="G969" s="283"/>
      <c r="H969" s="283"/>
      <c r="I969" s="283"/>
      <c r="J969" s="283"/>
      <c r="K969" s="340"/>
      <c r="L969" s="283"/>
      <c r="M969" s="283"/>
      <c r="N969" s="283"/>
      <c r="O969" s="283"/>
      <c r="P969" s="283"/>
      <c r="Q969" s="340"/>
      <c r="R969" s="283"/>
      <c r="S969" s="283"/>
      <c r="T969" s="340"/>
      <c r="U969" s="340"/>
      <c r="V969" s="283"/>
      <c r="W969" s="283"/>
      <c r="X969" s="283"/>
      <c r="Y969" s="283"/>
      <c r="Z969" s="283"/>
    </row>
    <row r="970" ht="15.75" customHeight="1">
      <c r="A970" s="340"/>
      <c r="B970" s="340"/>
      <c r="C970" s="283"/>
      <c r="D970" s="283"/>
      <c r="E970" s="283"/>
      <c r="F970" s="283"/>
      <c r="G970" s="283"/>
      <c r="H970" s="283"/>
      <c r="I970" s="283"/>
      <c r="J970" s="283"/>
      <c r="K970" s="340"/>
      <c r="L970" s="283"/>
      <c r="M970" s="283"/>
      <c r="N970" s="283"/>
      <c r="O970" s="283"/>
      <c r="P970" s="283"/>
      <c r="Q970" s="340"/>
      <c r="R970" s="283"/>
      <c r="S970" s="283"/>
      <c r="T970" s="340"/>
      <c r="U970" s="340"/>
      <c r="V970" s="283"/>
      <c r="W970" s="283"/>
      <c r="X970" s="283"/>
      <c r="Y970" s="283"/>
      <c r="Z970" s="283"/>
    </row>
    <row r="971" ht="15.75" customHeight="1">
      <c r="A971" s="340"/>
      <c r="B971" s="340"/>
      <c r="C971" s="283"/>
      <c r="D971" s="283"/>
      <c r="E971" s="283"/>
      <c r="F971" s="283"/>
      <c r="G971" s="283"/>
      <c r="H971" s="283"/>
      <c r="I971" s="283"/>
      <c r="J971" s="283"/>
      <c r="K971" s="340"/>
      <c r="L971" s="283"/>
      <c r="M971" s="283"/>
      <c r="N971" s="283"/>
      <c r="O971" s="283"/>
      <c r="P971" s="283"/>
      <c r="Q971" s="340"/>
      <c r="R971" s="283"/>
      <c r="S971" s="283"/>
      <c r="T971" s="340"/>
      <c r="U971" s="340"/>
      <c r="V971" s="283"/>
      <c r="W971" s="283"/>
      <c r="X971" s="283"/>
      <c r="Y971" s="283"/>
      <c r="Z971" s="283"/>
    </row>
    <row r="972" ht="15.75" customHeight="1">
      <c r="A972" s="340"/>
      <c r="B972" s="340"/>
      <c r="C972" s="283"/>
      <c r="D972" s="283"/>
      <c r="E972" s="283"/>
      <c r="F972" s="283"/>
      <c r="G972" s="283"/>
      <c r="H972" s="283"/>
      <c r="I972" s="283"/>
      <c r="J972" s="283"/>
      <c r="K972" s="340"/>
      <c r="L972" s="283"/>
      <c r="M972" s="283"/>
      <c r="N972" s="283"/>
      <c r="O972" s="283"/>
      <c r="P972" s="283"/>
      <c r="Q972" s="340"/>
      <c r="R972" s="283"/>
      <c r="S972" s="283"/>
      <c r="T972" s="340"/>
      <c r="U972" s="340"/>
      <c r="V972" s="283"/>
      <c r="W972" s="283"/>
      <c r="X972" s="283"/>
      <c r="Y972" s="283"/>
      <c r="Z972" s="283"/>
    </row>
    <row r="973" ht="15.75" customHeight="1">
      <c r="A973" s="340"/>
      <c r="B973" s="340"/>
      <c r="C973" s="283"/>
      <c r="D973" s="283"/>
      <c r="E973" s="283"/>
      <c r="F973" s="283"/>
      <c r="G973" s="283"/>
      <c r="H973" s="283"/>
      <c r="I973" s="283"/>
      <c r="J973" s="283"/>
      <c r="K973" s="340"/>
      <c r="L973" s="283"/>
      <c r="M973" s="283"/>
      <c r="N973" s="283"/>
      <c r="O973" s="283"/>
      <c r="P973" s="283"/>
      <c r="Q973" s="340"/>
      <c r="R973" s="283"/>
      <c r="S973" s="283"/>
      <c r="T973" s="340"/>
      <c r="U973" s="340"/>
      <c r="V973" s="283"/>
      <c r="W973" s="283"/>
      <c r="X973" s="283"/>
      <c r="Y973" s="283"/>
      <c r="Z973" s="283"/>
    </row>
    <row r="974" ht="15.75" customHeight="1">
      <c r="A974" s="340"/>
      <c r="B974" s="340"/>
      <c r="C974" s="283"/>
      <c r="D974" s="283"/>
      <c r="E974" s="283"/>
      <c r="F974" s="283"/>
      <c r="G974" s="283"/>
      <c r="H974" s="283"/>
      <c r="I974" s="283"/>
      <c r="J974" s="283"/>
      <c r="K974" s="340"/>
      <c r="L974" s="283"/>
      <c r="M974" s="283"/>
      <c r="N974" s="283"/>
      <c r="O974" s="283"/>
      <c r="P974" s="283"/>
      <c r="Q974" s="340"/>
      <c r="R974" s="283"/>
      <c r="S974" s="283"/>
      <c r="T974" s="340"/>
      <c r="U974" s="340"/>
      <c r="V974" s="283"/>
      <c r="W974" s="283"/>
      <c r="X974" s="283"/>
      <c r="Y974" s="283"/>
      <c r="Z974" s="283"/>
    </row>
    <row r="975" ht="15.75" customHeight="1">
      <c r="A975" s="340"/>
      <c r="B975" s="340"/>
      <c r="C975" s="283"/>
      <c r="D975" s="283"/>
      <c r="E975" s="283"/>
      <c r="F975" s="283"/>
      <c r="G975" s="283"/>
      <c r="H975" s="283"/>
      <c r="I975" s="283"/>
      <c r="J975" s="283"/>
      <c r="K975" s="340"/>
      <c r="L975" s="283"/>
      <c r="M975" s="283"/>
      <c r="N975" s="283"/>
      <c r="O975" s="283"/>
      <c r="P975" s="283"/>
      <c r="Q975" s="340"/>
      <c r="R975" s="283"/>
      <c r="S975" s="283"/>
      <c r="T975" s="340"/>
      <c r="U975" s="340"/>
      <c r="V975" s="283"/>
      <c r="W975" s="283"/>
      <c r="X975" s="283"/>
      <c r="Y975" s="283"/>
      <c r="Z975" s="283"/>
    </row>
    <row r="976" ht="15.75" customHeight="1">
      <c r="A976" s="340"/>
      <c r="B976" s="340"/>
      <c r="C976" s="283"/>
      <c r="D976" s="283"/>
      <c r="E976" s="283"/>
      <c r="F976" s="283"/>
      <c r="G976" s="283"/>
      <c r="H976" s="283"/>
      <c r="I976" s="283"/>
      <c r="J976" s="283"/>
      <c r="K976" s="340"/>
      <c r="L976" s="283"/>
      <c r="M976" s="283"/>
      <c r="N976" s="283"/>
      <c r="O976" s="283"/>
      <c r="P976" s="283"/>
      <c r="Q976" s="340"/>
      <c r="R976" s="283"/>
      <c r="S976" s="283"/>
      <c r="T976" s="340"/>
      <c r="U976" s="340"/>
      <c r="V976" s="283"/>
      <c r="W976" s="283"/>
      <c r="X976" s="283"/>
      <c r="Y976" s="283"/>
      <c r="Z976" s="283"/>
    </row>
    <row r="977" ht="15.75" customHeight="1">
      <c r="A977" s="340"/>
      <c r="B977" s="340"/>
      <c r="C977" s="283"/>
      <c r="D977" s="283"/>
      <c r="E977" s="283"/>
      <c r="F977" s="283"/>
      <c r="G977" s="283"/>
      <c r="H977" s="283"/>
      <c r="I977" s="283"/>
      <c r="J977" s="283"/>
      <c r="K977" s="340"/>
      <c r="L977" s="283"/>
      <c r="M977" s="283"/>
      <c r="N977" s="283"/>
      <c r="O977" s="283"/>
      <c r="P977" s="283"/>
      <c r="Q977" s="340"/>
      <c r="R977" s="283"/>
      <c r="S977" s="283"/>
      <c r="T977" s="340"/>
      <c r="U977" s="340"/>
      <c r="V977" s="283"/>
      <c r="W977" s="283"/>
      <c r="X977" s="283"/>
      <c r="Y977" s="283"/>
      <c r="Z977" s="283"/>
    </row>
    <row r="978" ht="15.75" customHeight="1">
      <c r="A978" s="340"/>
      <c r="B978" s="340"/>
      <c r="C978" s="283"/>
      <c r="D978" s="283"/>
      <c r="E978" s="283"/>
      <c r="F978" s="283"/>
      <c r="G978" s="283"/>
      <c r="H978" s="283"/>
      <c r="I978" s="283"/>
      <c r="J978" s="283"/>
      <c r="K978" s="340"/>
      <c r="L978" s="283"/>
      <c r="M978" s="283"/>
      <c r="N978" s="283"/>
      <c r="O978" s="283"/>
      <c r="P978" s="283"/>
      <c r="Q978" s="340"/>
      <c r="R978" s="283"/>
      <c r="S978" s="283"/>
      <c r="T978" s="340"/>
      <c r="U978" s="340"/>
      <c r="V978" s="283"/>
      <c r="W978" s="283"/>
      <c r="X978" s="283"/>
      <c r="Y978" s="283"/>
      <c r="Z978" s="283"/>
    </row>
    <row r="979" ht="15.75" customHeight="1">
      <c r="A979" s="340"/>
      <c r="B979" s="340"/>
      <c r="C979" s="283"/>
      <c r="D979" s="283"/>
      <c r="E979" s="283"/>
      <c r="F979" s="283"/>
      <c r="G979" s="283"/>
      <c r="H979" s="283"/>
      <c r="I979" s="283"/>
      <c r="J979" s="283"/>
      <c r="K979" s="340"/>
      <c r="L979" s="283"/>
      <c r="M979" s="283"/>
      <c r="N979" s="283"/>
      <c r="O979" s="283"/>
      <c r="P979" s="283"/>
      <c r="Q979" s="340"/>
      <c r="R979" s="283"/>
      <c r="S979" s="283"/>
      <c r="T979" s="340"/>
      <c r="U979" s="340"/>
      <c r="V979" s="283"/>
      <c r="W979" s="283"/>
      <c r="X979" s="283"/>
      <c r="Y979" s="283"/>
      <c r="Z979" s="283"/>
    </row>
    <row r="980" ht="15.75" customHeight="1">
      <c r="A980" s="340"/>
      <c r="B980" s="340"/>
      <c r="C980" s="283"/>
      <c r="D980" s="283"/>
      <c r="E980" s="283"/>
      <c r="F980" s="283"/>
      <c r="G980" s="283"/>
      <c r="H980" s="283"/>
      <c r="I980" s="283"/>
      <c r="J980" s="283"/>
      <c r="K980" s="340"/>
      <c r="L980" s="283"/>
      <c r="M980" s="283"/>
      <c r="N980" s="283"/>
      <c r="O980" s="283"/>
      <c r="P980" s="283"/>
      <c r="Q980" s="340"/>
      <c r="R980" s="283"/>
      <c r="S980" s="283"/>
      <c r="T980" s="340"/>
      <c r="U980" s="340"/>
      <c r="V980" s="283"/>
      <c r="W980" s="283"/>
      <c r="X980" s="283"/>
      <c r="Y980" s="283"/>
      <c r="Z980" s="283"/>
    </row>
    <row r="981" ht="15.75" customHeight="1">
      <c r="A981" s="340"/>
      <c r="B981" s="340"/>
      <c r="C981" s="283"/>
      <c r="D981" s="283"/>
      <c r="E981" s="283"/>
      <c r="F981" s="283"/>
      <c r="G981" s="283"/>
      <c r="H981" s="283"/>
      <c r="I981" s="283"/>
      <c r="J981" s="283"/>
      <c r="K981" s="340"/>
      <c r="L981" s="283"/>
      <c r="M981" s="283"/>
      <c r="N981" s="283"/>
      <c r="O981" s="283"/>
      <c r="P981" s="283"/>
      <c r="Q981" s="340"/>
      <c r="R981" s="283"/>
      <c r="S981" s="283"/>
      <c r="T981" s="340"/>
      <c r="U981" s="340"/>
      <c r="V981" s="283"/>
      <c r="W981" s="283"/>
      <c r="X981" s="283"/>
      <c r="Y981" s="283"/>
      <c r="Z981" s="283"/>
    </row>
    <row r="982" ht="15.75" customHeight="1">
      <c r="A982" s="340"/>
      <c r="B982" s="340"/>
      <c r="C982" s="283"/>
      <c r="D982" s="283"/>
      <c r="E982" s="283"/>
      <c r="F982" s="283"/>
      <c r="G982" s="283"/>
      <c r="H982" s="283"/>
      <c r="I982" s="283"/>
      <c r="J982" s="283"/>
      <c r="K982" s="340"/>
      <c r="L982" s="283"/>
      <c r="M982" s="283"/>
      <c r="N982" s="283"/>
      <c r="O982" s="283"/>
      <c r="P982" s="283"/>
      <c r="Q982" s="340"/>
      <c r="R982" s="283"/>
      <c r="S982" s="283"/>
      <c r="T982" s="340"/>
      <c r="U982" s="340"/>
      <c r="V982" s="283"/>
      <c r="W982" s="283"/>
      <c r="X982" s="283"/>
      <c r="Y982" s="283"/>
      <c r="Z982" s="283"/>
    </row>
    <row r="983" ht="15.75" customHeight="1">
      <c r="A983" s="340"/>
      <c r="B983" s="340"/>
      <c r="C983" s="283"/>
      <c r="D983" s="283"/>
      <c r="E983" s="283"/>
      <c r="F983" s="283"/>
      <c r="G983" s="283"/>
      <c r="H983" s="283"/>
      <c r="I983" s="283"/>
      <c r="J983" s="283"/>
      <c r="K983" s="340"/>
      <c r="L983" s="283"/>
      <c r="M983" s="283"/>
      <c r="N983" s="283"/>
      <c r="O983" s="283"/>
      <c r="P983" s="283"/>
      <c r="Q983" s="340"/>
      <c r="R983" s="283"/>
      <c r="S983" s="283"/>
      <c r="T983" s="340"/>
      <c r="U983" s="340"/>
      <c r="V983" s="283"/>
      <c r="W983" s="283"/>
      <c r="X983" s="283"/>
      <c r="Y983" s="283"/>
      <c r="Z983" s="283"/>
    </row>
    <row r="984" ht="15.75" customHeight="1">
      <c r="A984" s="340"/>
      <c r="B984" s="340"/>
      <c r="C984" s="283"/>
      <c r="D984" s="283"/>
      <c r="E984" s="283"/>
      <c r="F984" s="283"/>
      <c r="G984" s="283"/>
      <c r="H984" s="283"/>
      <c r="I984" s="283"/>
      <c r="J984" s="283"/>
      <c r="K984" s="340"/>
      <c r="L984" s="283"/>
      <c r="M984" s="283"/>
      <c r="N984" s="283"/>
      <c r="O984" s="283"/>
      <c r="P984" s="283"/>
      <c r="Q984" s="340"/>
      <c r="R984" s="283"/>
      <c r="S984" s="283"/>
      <c r="T984" s="340"/>
      <c r="U984" s="340"/>
      <c r="V984" s="283"/>
      <c r="W984" s="283"/>
      <c r="X984" s="283"/>
      <c r="Y984" s="283"/>
      <c r="Z984" s="283"/>
    </row>
    <row r="985" ht="15.75" customHeight="1">
      <c r="A985" s="340"/>
      <c r="B985" s="340"/>
      <c r="C985" s="283"/>
      <c r="D985" s="283"/>
      <c r="E985" s="283"/>
      <c r="F985" s="283"/>
      <c r="G985" s="283"/>
      <c r="H985" s="283"/>
      <c r="I985" s="283"/>
      <c r="J985" s="283"/>
      <c r="K985" s="340"/>
      <c r="L985" s="283"/>
      <c r="M985" s="283"/>
      <c r="N985" s="283"/>
      <c r="O985" s="283"/>
      <c r="P985" s="283"/>
      <c r="Q985" s="340"/>
      <c r="R985" s="283"/>
      <c r="S985" s="283"/>
      <c r="T985" s="340"/>
      <c r="U985" s="340"/>
      <c r="V985" s="283"/>
      <c r="W985" s="283"/>
      <c r="X985" s="283"/>
      <c r="Y985" s="283"/>
      <c r="Z985" s="283"/>
    </row>
    <row r="986" ht="15.75" customHeight="1">
      <c r="A986" s="340"/>
      <c r="B986" s="340"/>
      <c r="C986" s="283"/>
      <c r="D986" s="283"/>
      <c r="E986" s="283"/>
      <c r="F986" s="283"/>
      <c r="G986" s="283"/>
      <c r="H986" s="283"/>
      <c r="I986" s="283"/>
      <c r="J986" s="283"/>
      <c r="K986" s="340"/>
      <c r="L986" s="283"/>
      <c r="M986" s="283"/>
      <c r="N986" s="283"/>
      <c r="O986" s="283"/>
      <c r="P986" s="283"/>
      <c r="Q986" s="340"/>
      <c r="R986" s="283"/>
      <c r="S986" s="283"/>
      <c r="T986" s="340"/>
      <c r="U986" s="340"/>
      <c r="V986" s="283"/>
      <c r="W986" s="283"/>
      <c r="X986" s="283"/>
      <c r="Y986" s="283"/>
      <c r="Z986" s="283"/>
    </row>
    <row r="987" ht="15.75" customHeight="1">
      <c r="A987" s="340"/>
      <c r="B987" s="340"/>
      <c r="C987" s="283"/>
      <c r="D987" s="283"/>
      <c r="E987" s="283"/>
      <c r="F987" s="283"/>
      <c r="G987" s="283"/>
      <c r="H987" s="283"/>
      <c r="I987" s="283"/>
      <c r="J987" s="283"/>
      <c r="K987" s="340"/>
      <c r="L987" s="283"/>
      <c r="M987" s="283"/>
      <c r="N987" s="283"/>
      <c r="O987" s="283"/>
      <c r="P987" s="283"/>
      <c r="Q987" s="340"/>
      <c r="R987" s="283"/>
      <c r="S987" s="283"/>
      <c r="T987" s="340"/>
      <c r="U987" s="340"/>
      <c r="V987" s="283"/>
      <c r="W987" s="283"/>
      <c r="X987" s="283"/>
      <c r="Y987" s="283"/>
      <c r="Z987" s="283"/>
    </row>
    <row r="988" ht="15.75" customHeight="1">
      <c r="A988" s="340"/>
      <c r="B988" s="340"/>
      <c r="C988" s="283"/>
      <c r="D988" s="283"/>
      <c r="E988" s="283"/>
      <c r="F988" s="283"/>
      <c r="G988" s="283"/>
      <c r="H988" s="283"/>
      <c r="I988" s="283"/>
      <c r="J988" s="283"/>
      <c r="K988" s="340"/>
      <c r="L988" s="283"/>
      <c r="M988" s="283"/>
      <c r="N988" s="283"/>
      <c r="O988" s="283"/>
      <c r="P988" s="283"/>
      <c r="Q988" s="340"/>
      <c r="R988" s="283"/>
      <c r="S988" s="283"/>
      <c r="T988" s="340"/>
      <c r="U988" s="340"/>
      <c r="V988" s="283"/>
      <c r="W988" s="283"/>
      <c r="X988" s="283"/>
      <c r="Y988" s="283"/>
      <c r="Z988" s="283"/>
    </row>
    <row r="989" ht="15.75" customHeight="1">
      <c r="A989" s="340"/>
      <c r="B989" s="340"/>
      <c r="C989" s="283"/>
      <c r="D989" s="283"/>
      <c r="E989" s="283"/>
      <c r="F989" s="283"/>
      <c r="G989" s="283"/>
      <c r="H989" s="283"/>
      <c r="I989" s="283"/>
      <c r="J989" s="283"/>
      <c r="K989" s="340"/>
      <c r="L989" s="283"/>
      <c r="M989" s="283"/>
      <c r="N989" s="283"/>
      <c r="O989" s="283"/>
      <c r="P989" s="283"/>
      <c r="Q989" s="340"/>
      <c r="R989" s="283"/>
      <c r="S989" s="283"/>
      <c r="T989" s="340"/>
      <c r="U989" s="340"/>
      <c r="V989" s="283"/>
      <c r="W989" s="283"/>
      <c r="X989" s="283"/>
      <c r="Y989" s="283"/>
      <c r="Z989" s="283"/>
    </row>
  </sheetData>
  <customSheetViews>
    <customSheetView guid="{D43714D5-4155-4A1D-9805-C3BAB7551809}" filter="1" showAutoFilter="1">
      <autoFilter ref="$A$1:$V$202"/>
    </customSheetView>
  </customSheetViews>
  <conditionalFormatting sqref="A3:D202">
    <cfRule type="notContainsBlanks" dxfId="1" priority="1">
      <formula>LEN(TRIM(A3))&gt;0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4" width="15.71"/>
    <col customWidth="1" min="5" max="6" width="14.43"/>
  </cols>
  <sheetData>
    <row r="1">
      <c r="A1" s="343" t="str">
        <f>IFERROR(__xludf.DUMMYFUNCTION("importrange(""https://docs.google.com/spreadsheets/d/1ImCdkYhsUqsakZA8jNZp7UrWFPNTrMyfZQst-0aGkKM/edit#gid=0"",""Hang muc chi!A1:D25"")"),"Hạng mục chi")</f>
        <v>Hạng mục chi</v>
      </c>
      <c r="B1" s="343" t="str">
        <f>IFERROR(__xludf.DUMMYFUNCTION("""COMPUTED_VALUE"""),"Người chi")</f>
        <v>Người chi</v>
      </c>
      <c r="C1" s="343" t="str">
        <f>IFERROR(__xludf.DUMMYFUNCTION("""COMPUTED_VALUE"""),"Người Thu")</f>
        <v>Người Thu</v>
      </c>
      <c r="D1" s="343" t="str">
        <f>IFERROR(__xludf.DUMMYFUNCTION("""COMPUTED_VALUE"""),"Loài")</f>
        <v>Loài</v>
      </c>
    </row>
    <row r="2">
      <c r="A2" s="344" t="str">
        <f>IFERROR(__xludf.DUMMYFUNCTION("""COMPUTED_VALUE"""),"Xet nghiem")</f>
        <v>Xet nghiem</v>
      </c>
      <c r="B2" s="344" t="str">
        <f>IFERROR(__xludf.DUMMYFUNCTION("""COMPUTED_VALUE"""),"Đức")</f>
        <v>Đức</v>
      </c>
      <c r="C2" s="344" t="str">
        <f>IFERROR(__xludf.DUMMYFUNCTION("""COMPUTED_VALUE"""),"Đức")</f>
        <v>Đức</v>
      </c>
      <c r="D2" s="345" t="str">
        <f>IFERROR(__xludf.DUMMYFUNCTION("""COMPUTED_VALUE"""),"Chó")</f>
        <v>Chó</v>
      </c>
    </row>
    <row r="3">
      <c r="A3" s="344" t="str">
        <f>IFERROR(__xludf.DUMMYFUNCTION("""COMPUTED_VALUE"""),"Thuoc dieu tri")</f>
        <v>Thuoc dieu tri</v>
      </c>
      <c r="B3" s="344" t="str">
        <f>IFERROR(__xludf.DUMMYFUNCTION("""COMPUTED_VALUE"""),"Tuyến")</f>
        <v>Tuyến</v>
      </c>
      <c r="C3" s="344" t="str">
        <f>IFERROR(__xludf.DUMMYFUNCTION("""COMPUTED_VALUE"""),"Tuyến")</f>
        <v>Tuyến</v>
      </c>
      <c r="D3" s="345" t="str">
        <f>IFERROR(__xludf.DUMMYFUNCTION("""COMPUTED_VALUE"""),"Mèo")</f>
        <v>Mèo</v>
      </c>
    </row>
    <row r="4">
      <c r="A4" s="344" t="str">
        <f>IFERROR(__xludf.DUMMYFUNCTION("""COMPUTED_VALUE"""),"Vat tu")</f>
        <v>Vat tu</v>
      </c>
      <c r="B4" s="344" t="str">
        <f>IFERROR(__xludf.DUMMYFUNCTION("""COMPUTED_VALUE"""),"Nhung")</f>
        <v>Nhung</v>
      </c>
      <c r="C4" s="344" t="str">
        <f>IFERROR(__xludf.DUMMYFUNCTION("""COMPUTED_VALUE"""),"Thầy")</f>
        <v>Thầy</v>
      </c>
      <c r="D4" s="345" t="str">
        <f>IFERROR(__xludf.DUMMYFUNCTION("""COMPUTED_VALUE"""),"Thỏ")</f>
        <v>Thỏ</v>
      </c>
    </row>
    <row r="5">
      <c r="A5" s="344" t="str">
        <f>IFERROR(__xludf.DUMMYFUNCTION("""COMPUTED_VALUE"""),"Tien an")</f>
        <v>Tien an</v>
      </c>
      <c r="B5" s="344" t="str">
        <f>IFERROR(__xludf.DUMMYFUNCTION("""COMPUTED_VALUE"""),"Thầy")</f>
        <v>Thầy</v>
      </c>
      <c r="C5" s="344" t="str">
        <f>IFERROR(__xludf.DUMMYFUNCTION("""COMPUTED_VALUE"""),"Linh")</f>
        <v>Linh</v>
      </c>
      <c r="D5" s="345" t="str">
        <f>IFERROR(__xludf.DUMMYFUNCTION("""COMPUTED_VALUE"""),"Gà")</f>
        <v>Gà</v>
      </c>
    </row>
    <row r="6">
      <c r="A6" s="344" t="str">
        <f>IFERROR(__xludf.DUMMYFUNCTION("""COMPUTED_VALUE"""),"Thuc an cho thu luu tru")</f>
        <v>Thuc an cho thu luu tru</v>
      </c>
      <c r="B6" s="344" t="str">
        <f>IFERROR(__xludf.DUMMYFUNCTION("""COMPUTED_VALUE"""),"Linh")</f>
        <v>Linh</v>
      </c>
      <c r="C6" s="344" t="str">
        <f>IFERROR(__xludf.DUMMYFUNCTION("""COMPUTED_VALUE"""),"K Trang")</f>
        <v>K Trang</v>
      </c>
      <c r="D6" s="345" t="str">
        <f>IFERROR(__xludf.DUMMYFUNCTION("""COMPUTED_VALUE"""),"Chuột")</f>
        <v>Chuột</v>
      </c>
    </row>
    <row r="7">
      <c r="A7" s="344" t="str">
        <f>IFERROR(__xludf.DUMMYFUNCTION("""COMPUTED_VALUE"""),"Card dien thoai")</f>
        <v>Card dien thoai</v>
      </c>
      <c r="B7" s="344" t="str">
        <f>IFERROR(__xludf.DUMMYFUNCTION("""COMPUTED_VALUE"""),"K Trang")</f>
        <v>K Trang</v>
      </c>
      <c r="C7" s="344" t="str">
        <f>IFERROR(__xludf.DUMMYFUNCTION("""COMPUTED_VALUE"""),"CK thầy")</f>
        <v>CK thầy</v>
      </c>
      <c r="D7" s="345" t="str">
        <f>IFERROR(__xludf.DUMMYFUNCTION("""COMPUTED_VALUE"""),"Bò sát")</f>
        <v>Bò sát</v>
      </c>
    </row>
    <row r="8">
      <c r="A8" s="344" t="str">
        <f>IFERROR(__xludf.DUMMYFUNCTION("""COMPUTED_VALUE"""),"Bao tri, thay the")</f>
        <v>Bao tri, thay the</v>
      </c>
      <c r="B8" s="344" t="str">
        <f>IFERROR(__xludf.DUMMYFUNCTION("""COMPUTED_VALUE"""),"H Trang")</f>
        <v>H Trang</v>
      </c>
      <c r="C8" s="344" t="str">
        <f>IFERROR(__xludf.DUMMYFUNCTION("""COMPUTED_VALUE"""),"CK petshop thầy")</f>
        <v>CK petshop thầy</v>
      </c>
      <c r="D8" s="345" t="str">
        <f>IFERROR(__xludf.DUMMYFUNCTION("""COMPUTED_VALUE"""),"Khỉ")</f>
        <v>Khỉ</v>
      </c>
    </row>
    <row r="9">
      <c r="A9" s="344" t="str">
        <f>IFERROR(__xludf.DUMMYFUNCTION("""COMPUTED_VALUE"""),"Hoa chat")</f>
        <v>Hoa chat</v>
      </c>
      <c r="B9" s="344" t="str">
        <f>IFERROR(__xludf.DUMMYFUNCTION("""COMPUTED_VALUE"""),"Hiến")</f>
        <v>Hiến</v>
      </c>
      <c r="C9" s="344" t="str">
        <f>IFERROR(__xludf.DUMMYFUNCTION("""COMPUTED_VALUE"""),"Nhung")</f>
        <v>Nhung</v>
      </c>
      <c r="D9" s="345" t="str">
        <f>IFERROR(__xludf.DUMMYFUNCTION("""COMPUTED_VALUE"""),"Chim")</f>
        <v>Chim</v>
      </c>
    </row>
    <row r="10">
      <c r="A10" s="345" t="str">
        <f>IFERROR(__xludf.DUMMYFUNCTION("""COMPUTED_VALUE"""),"Internet")</f>
        <v>Internet</v>
      </c>
      <c r="B10" s="346" t="str">
        <f>IFERROR(__xludf.DUMMYFUNCTION("""COMPUTED_VALUE"""),"Lý")</f>
        <v>Lý</v>
      </c>
      <c r="C10" s="346" t="str">
        <f>IFERROR(__xludf.DUMMYFUNCTION("""COMPUTED_VALUE"""),"H Trang")</f>
        <v>H Trang</v>
      </c>
      <c r="D10" s="345"/>
    </row>
    <row r="11">
      <c r="A11" s="345" t="str">
        <f>IFERROR(__xludf.DUMMYFUNCTION("""COMPUTED_VALUE"""),"Vaccine")</f>
        <v>Vaccine</v>
      </c>
      <c r="B11" s="345" t="str">
        <f>IFERROR(__xludf.DUMMYFUNCTION("""COMPUTED_VALUE"""),"Tiến")</f>
        <v>Tiến</v>
      </c>
      <c r="C11" s="345" t="str">
        <f>IFERROR(__xludf.DUMMYFUNCTION("""COMPUTED_VALUE"""),"Hiến")</f>
        <v>Hiến</v>
      </c>
      <c r="D11" s="345"/>
    </row>
    <row r="12">
      <c r="A12" s="344" t="str">
        <f>IFERROR(__xludf.DUMMYFUNCTION("""COMPUTED_VALUE"""),"Chi khac")</f>
        <v>Chi khac</v>
      </c>
      <c r="B12" s="345" t="str">
        <f>IFERROR(__xludf.DUMMYFUNCTION("""COMPUTED_VALUE"""),"Hải")</f>
        <v>Hải</v>
      </c>
      <c r="C12" s="345" t="str">
        <f>IFERROR(__xludf.DUMMYFUNCTION("""COMPUTED_VALUE"""),"Lý")</f>
        <v>Lý</v>
      </c>
      <c r="D12" s="345"/>
    </row>
    <row r="13">
      <c r="A13" s="345" t="str">
        <f>IFERROR(__xludf.DUMMYFUNCTION("""COMPUTED_VALUE"""),"Tien dien")</f>
        <v>Tien dien</v>
      </c>
      <c r="B13" s="345" t="str">
        <f>IFERROR(__xludf.DUMMYFUNCTION("""COMPUTED_VALUE"""),"Khang")</f>
        <v>Khang</v>
      </c>
      <c r="C13" s="345" t="str">
        <f>IFERROR(__xludf.DUMMYFUNCTION("""COMPUTED_VALUE"""),"Lam")</f>
        <v>Lam</v>
      </c>
      <c r="D13" s="345"/>
    </row>
    <row r="14">
      <c r="A14" s="345" t="str">
        <f>IFERROR(__xludf.DUMMYFUNCTION("""COMPUTED_VALUE"""),"Tien nuoc")</f>
        <v>Tien nuoc</v>
      </c>
      <c r="B14" s="347" t="str">
        <f>IFERROR(__xludf.DUMMYFUNCTION("""COMPUTED_VALUE"""),"Ánh")</f>
        <v>Ánh</v>
      </c>
      <c r="C14" s="345" t="str">
        <f>IFERROR(__xludf.DUMMYFUNCTION("""COMPUTED_VALUE"""),"HV")</f>
        <v>HV</v>
      </c>
      <c r="D14" s="345"/>
    </row>
    <row r="15">
      <c r="A15" s="345" t="str">
        <f>IFERROR(__xludf.DUMMYFUNCTION("""COMPUTED_VALUE"""),"Tien gas")</f>
        <v>Tien gas</v>
      </c>
      <c r="B15" s="345" t="str">
        <f>IFERROR(__xludf.DUMMYFUNCTION("""COMPUTED_VALUE"""),"Trà")</f>
        <v>Trà</v>
      </c>
      <c r="C15" s="345" t="str">
        <f>IFERROR(__xludf.DUMMYFUNCTION("""COMPUTED_VALUE"""),"Hải")</f>
        <v>Hải</v>
      </c>
      <c r="D15" s="345"/>
    </row>
    <row r="16">
      <c r="A16" s="345" t="str">
        <f>IFERROR(__xludf.DUMMYFUNCTION("""COMPUTED_VALUE"""),"Máy trợ thở")</f>
        <v>Máy trợ thở</v>
      </c>
      <c r="B16" s="345" t="str">
        <f>IFERROR(__xludf.DUMMYFUNCTION("""COMPUTED_VALUE"""),"Tuấn")</f>
        <v>Tuấn</v>
      </c>
      <c r="C16" s="345" t="str">
        <f>IFERROR(__xludf.DUMMYFUNCTION("""COMPUTED_VALUE"""),"Khang")</f>
        <v>Khang</v>
      </c>
      <c r="D16" s="345"/>
    </row>
    <row r="17">
      <c r="A17" s="345" t="str">
        <f>IFERROR(__xludf.DUMMYFUNCTION("""COMPUTED_VALUE"""),"Hỏa táng")</f>
        <v>Hỏa táng</v>
      </c>
      <c r="B17" s="345"/>
      <c r="C17" s="345" t="str">
        <f>IFERROR(__xludf.DUMMYFUNCTION("""COMPUTED_VALUE"""),"Ánh")</f>
        <v>Ánh</v>
      </c>
      <c r="D17" s="345"/>
    </row>
    <row r="18">
      <c r="A18" s="345" t="str">
        <f>IFERROR(__xludf.DUMMYFUNCTION("""COMPUTED_VALUE"""),"Xăng xe ca")</f>
        <v>Xăng xe ca</v>
      </c>
      <c r="B18" s="345"/>
      <c r="C18" s="345" t="str">
        <f>IFERROR(__xludf.DUMMYFUNCTION("""COMPUTED_VALUE"""),"Trà")</f>
        <v>Trà</v>
      </c>
      <c r="D18" s="345"/>
    </row>
    <row r="19">
      <c r="A19" s="345" t="str">
        <f>IFERROR(__xludf.DUMMYFUNCTION("""COMPUTED_VALUE"""),"Hàng của thầy")</f>
        <v>Hàng của thầy</v>
      </c>
      <c r="B19" s="345"/>
      <c r="C19" s="345" t="str">
        <f>IFERROR(__xludf.DUMMYFUNCTION("""COMPUTED_VALUE"""),"Tuấn")</f>
        <v>Tuấn</v>
      </c>
      <c r="D19" s="345"/>
    </row>
    <row r="20">
      <c r="A20" s="345"/>
      <c r="B20" s="345"/>
      <c r="C20" s="345"/>
      <c r="D20" s="345"/>
    </row>
    <row r="21" ht="15.75" customHeight="1">
      <c r="A21" s="345"/>
      <c r="B21" s="345"/>
      <c r="C21" s="345"/>
      <c r="D21" s="345"/>
    </row>
    <row r="22" ht="15.75" customHeight="1">
      <c r="A22" s="345"/>
      <c r="B22" s="345"/>
      <c r="C22" s="345"/>
      <c r="D22" s="345"/>
    </row>
    <row r="23" ht="15.75" customHeight="1">
      <c r="A23" s="345"/>
      <c r="B23" s="345"/>
      <c r="C23" s="345"/>
      <c r="D23" s="345"/>
    </row>
    <row r="24" ht="15.75" customHeight="1">
      <c r="A24" s="345"/>
      <c r="B24" s="345"/>
      <c r="C24" s="345"/>
      <c r="D24" s="345"/>
    </row>
    <row r="25" ht="15.75" customHeight="1">
      <c r="A25" s="345"/>
      <c r="B25" s="345"/>
      <c r="C25" s="345"/>
      <c r="D25" s="345"/>
    </row>
    <row r="26" ht="15.75" customHeight="1">
      <c r="A26" s="345"/>
      <c r="B26" s="345"/>
      <c r="C26" s="345"/>
      <c r="D26" s="345"/>
    </row>
    <row r="27" ht="15.75" customHeight="1">
      <c r="A27" s="345"/>
      <c r="B27" s="345"/>
      <c r="C27" s="345"/>
      <c r="D27" s="345"/>
    </row>
    <row r="28" ht="15.75" customHeight="1">
      <c r="A28" s="345"/>
      <c r="B28" s="345"/>
      <c r="C28" s="345"/>
      <c r="D28" s="345"/>
    </row>
    <row r="29" ht="15.75" customHeight="1">
      <c r="A29" s="345"/>
      <c r="B29" s="345"/>
      <c r="C29" s="345"/>
      <c r="D29" s="345"/>
    </row>
    <row r="30" ht="15.75" customHeight="1">
      <c r="A30" s="345"/>
      <c r="B30" s="345"/>
      <c r="C30" s="345"/>
      <c r="D30" s="345"/>
    </row>
    <row r="31" ht="15.75" customHeight="1">
      <c r="A31" s="345"/>
      <c r="B31" s="345"/>
      <c r="C31" s="345"/>
      <c r="D31" s="345"/>
    </row>
    <row r="32" ht="15.75" customHeight="1">
      <c r="A32" s="345"/>
      <c r="B32" s="345"/>
      <c r="C32" s="345"/>
      <c r="D32" s="345"/>
    </row>
    <row r="33" ht="15.75" customHeight="1">
      <c r="A33" s="345"/>
      <c r="B33" s="345"/>
      <c r="C33" s="345"/>
      <c r="D33" s="345"/>
    </row>
    <row r="34" ht="15.75" customHeight="1">
      <c r="A34" s="345"/>
      <c r="B34" s="345"/>
      <c r="C34" s="345"/>
      <c r="D34" s="345"/>
    </row>
    <row r="35" ht="15.75" customHeight="1">
      <c r="A35" s="345"/>
      <c r="B35" s="345"/>
      <c r="C35" s="345"/>
      <c r="D35" s="345"/>
    </row>
    <row r="36" ht="15.75" customHeight="1">
      <c r="A36" s="345"/>
      <c r="B36" s="345"/>
      <c r="C36" s="345"/>
      <c r="D36" s="345"/>
    </row>
    <row r="37" ht="15.75" customHeight="1">
      <c r="A37" s="345"/>
      <c r="B37" s="345"/>
      <c r="C37" s="345"/>
      <c r="D37" s="345"/>
    </row>
    <row r="38" ht="15.75" customHeight="1">
      <c r="A38" s="345"/>
      <c r="B38" s="345"/>
      <c r="C38" s="345"/>
      <c r="D38" s="345"/>
    </row>
    <row r="39" ht="15.75" customHeight="1">
      <c r="A39" s="345"/>
      <c r="B39" s="345"/>
      <c r="C39" s="345"/>
      <c r="D39" s="345"/>
    </row>
    <row r="40" ht="15.75" customHeight="1">
      <c r="A40" s="345"/>
      <c r="B40" s="345"/>
      <c r="C40" s="345"/>
      <c r="D40" s="345"/>
    </row>
    <row r="41" ht="15.75" customHeight="1">
      <c r="A41" s="345"/>
      <c r="B41" s="345"/>
      <c r="C41" s="345"/>
      <c r="D41" s="345"/>
    </row>
    <row r="42" ht="15.75" customHeight="1">
      <c r="A42" s="345"/>
      <c r="B42" s="345"/>
      <c r="C42" s="345"/>
      <c r="D42" s="345"/>
    </row>
    <row r="43" ht="15.75" customHeight="1">
      <c r="A43" s="345"/>
      <c r="B43" s="345"/>
      <c r="C43" s="345"/>
      <c r="D43" s="345"/>
    </row>
    <row r="44" ht="15.75" customHeight="1">
      <c r="A44" s="345"/>
      <c r="B44" s="345"/>
      <c r="C44" s="345"/>
      <c r="D44" s="345"/>
    </row>
    <row r="45" ht="15.75" customHeight="1">
      <c r="A45" s="345"/>
      <c r="B45" s="345"/>
      <c r="C45" s="345"/>
      <c r="D45" s="345"/>
    </row>
    <row r="46" ht="15.75" customHeight="1">
      <c r="A46" s="345"/>
      <c r="B46" s="345"/>
      <c r="C46" s="345"/>
      <c r="D46" s="345"/>
    </row>
    <row r="47" ht="15.75" customHeight="1">
      <c r="A47" s="345"/>
      <c r="B47" s="345"/>
      <c r="C47" s="345"/>
      <c r="D47" s="345"/>
    </row>
    <row r="48" ht="15.75" customHeight="1">
      <c r="A48" s="345"/>
      <c r="B48" s="345"/>
      <c r="C48" s="345"/>
      <c r="D48" s="345"/>
    </row>
    <row r="49" ht="15.75" customHeight="1">
      <c r="A49" s="345"/>
      <c r="B49" s="345"/>
      <c r="C49" s="345"/>
      <c r="D49" s="345"/>
    </row>
    <row r="50" ht="15.75" customHeight="1">
      <c r="A50" s="345"/>
      <c r="B50" s="345"/>
      <c r="C50" s="345"/>
      <c r="D50" s="345"/>
    </row>
    <row r="51" ht="15.75" customHeight="1">
      <c r="A51" s="345"/>
      <c r="B51" s="345"/>
      <c r="C51" s="345"/>
      <c r="D51" s="345"/>
    </row>
    <row r="52" ht="15.75" customHeight="1">
      <c r="A52" s="345"/>
      <c r="B52" s="345"/>
      <c r="C52" s="345"/>
      <c r="D52" s="345"/>
    </row>
    <row r="53" ht="15.75" customHeight="1">
      <c r="A53" s="345"/>
      <c r="B53" s="345"/>
      <c r="C53" s="345"/>
      <c r="D53" s="345"/>
    </row>
    <row r="54" ht="15.75" customHeight="1">
      <c r="A54" s="345"/>
      <c r="B54" s="345"/>
      <c r="C54" s="345"/>
      <c r="D54" s="345"/>
    </row>
    <row r="55" ht="15.75" customHeight="1">
      <c r="A55" s="345"/>
      <c r="B55" s="345"/>
      <c r="C55" s="345"/>
      <c r="D55" s="345"/>
    </row>
    <row r="56" ht="15.75" customHeight="1">
      <c r="A56" s="345"/>
      <c r="B56" s="345"/>
      <c r="C56" s="345"/>
      <c r="D56" s="345"/>
    </row>
    <row r="57" ht="15.75" customHeight="1">
      <c r="A57" s="345"/>
      <c r="B57" s="345"/>
      <c r="C57" s="345"/>
      <c r="D57" s="345"/>
    </row>
    <row r="58" ht="15.75" customHeight="1">
      <c r="A58" s="345"/>
      <c r="B58" s="345"/>
      <c r="C58" s="345"/>
      <c r="D58" s="345"/>
    </row>
    <row r="59" ht="15.75" customHeight="1">
      <c r="A59" s="345"/>
      <c r="B59" s="345"/>
      <c r="C59" s="345"/>
      <c r="D59" s="345"/>
    </row>
    <row r="60" ht="15.75" customHeight="1">
      <c r="A60" s="345"/>
      <c r="B60" s="345"/>
      <c r="C60" s="345"/>
      <c r="D60" s="345"/>
    </row>
    <row r="61" ht="15.75" customHeight="1">
      <c r="A61" s="345"/>
      <c r="B61" s="345"/>
      <c r="C61" s="345"/>
      <c r="D61" s="345"/>
    </row>
    <row r="62" ht="15.75" customHeight="1">
      <c r="A62" s="345"/>
      <c r="B62" s="345"/>
      <c r="C62" s="345"/>
      <c r="D62" s="345"/>
    </row>
    <row r="63" ht="15.75" customHeight="1">
      <c r="A63" s="345"/>
      <c r="B63" s="345"/>
      <c r="C63" s="345"/>
      <c r="D63" s="345"/>
    </row>
    <row r="64" ht="15.75" customHeight="1">
      <c r="A64" s="345"/>
      <c r="B64" s="345"/>
      <c r="C64" s="345"/>
      <c r="D64" s="345"/>
    </row>
    <row r="65" ht="15.75" customHeight="1">
      <c r="A65" s="345"/>
      <c r="B65" s="345"/>
      <c r="C65" s="345"/>
      <c r="D65" s="345"/>
    </row>
    <row r="66" ht="15.75" customHeight="1">
      <c r="A66" s="345"/>
      <c r="B66" s="345"/>
      <c r="C66" s="345"/>
      <c r="D66" s="345"/>
    </row>
    <row r="67" ht="15.75" customHeight="1">
      <c r="A67" s="345"/>
      <c r="B67" s="345"/>
      <c r="C67" s="345"/>
      <c r="D67" s="345"/>
    </row>
    <row r="68" ht="15.75" customHeight="1">
      <c r="A68" s="345"/>
      <c r="B68" s="345"/>
      <c r="C68" s="345"/>
      <c r="D68" s="345"/>
    </row>
    <row r="69" ht="15.75" customHeight="1">
      <c r="A69" s="345"/>
      <c r="B69" s="345"/>
      <c r="C69" s="345"/>
      <c r="D69" s="345"/>
    </row>
    <row r="70" ht="15.75" customHeight="1">
      <c r="A70" s="345"/>
      <c r="B70" s="345"/>
      <c r="C70" s="345"/>
      <c r="D70" s="345"/>
    </row>
    <row r="71" ht="15.75" customHeight="1">
      <c r="A71" s="345"/>
      <c r="B71" s="345"/>
      <c r="C71" s="345"/>
      <c r="D71" s="345"/>
    </row>
    <row r="72" ht="15.75" customHeight="1">
      <c r="A72" s="345"/>
      <c r="B72" s="345"/>
      <c r="C72" s="345"/>
      <c r="D72" s="345"/>
    </row>
    <row r="73" ht="15.75" customHeight="1">
      <c r="A73" s="345"/>
      <c r="B73" s="345"/>
      <c r="C73" s="345"/>
      <c r="D73" s="345"/>
    </row>
    <row r="74" ht="15.75" customHeight="1">
      <c r="A74" s="345"/>
      <c r="B74" s="345"/>
      <c r="C74" s="345"/>
      <c r="D74" s="345"/>
    </row>
    <row r="75" ht="15.75" customHeight="1">
      <c r="A75" s="345"/>
      <c r="B75" s="345"/>
      <c r="C75" s="345"/>
      <c r="D75" s="345"/>
    </row>
    <row r="76" ht="15.75" customHeight="1">
      <c r="A76" s="345"/>
      <c r="B76" s="345"/>
      <c r="C76" s="345"/>
      <c r="D76" s="345"/>
    </row>
    <row r="77" ht="15.75" customHeight="1">
      <c r="A77" s="345"/>
      <c r="B77" s="345"/>
      <c r="C77" s="345"/>
      <c r="D77" s="345"/>
    </row>
    <row r="78" ht="15.75" customHeight="1">
      <c r="A78" s="345"/>
      <c r="B78" s="345"/>
      <c r="C78" s="345"/>
      <c r="D78" s="345"/>
    </row>
    <row r="79" ht="15.75" customHeight="1">
      <c r="A79" s="345"/>
      <c r="B79" s="345"/>
      <c r="C79" s="345"/>
      <c r="D79" s="345"/>
    </row>
    <row r="80" ht="15.75" customHeight="1">
      <c r="A80" s="345"/>
      <c r="B80" s="345"/>
      <c r="C80" s="345"/>
      <c r="D80" s="345"/>
    </row>
    <row r="81" ht="15.75" customHeight="1">
      <c r="A81" s="345"/>
      <c r="B81" s="345"/>
      <c r="C81" s="345"/>
      <c r="D81" s="345"/>
    </row>
    <row r="82" ht="15.75" customHeight="1">
      <c r="A82" s="345"/>
      <c r="B82" s="345"/>
      <c r="C82" s="345"/>
      <c r="D82" s="345"/>
    </row>
    <row r="83" ht="15.75" customHeight="1">
      <c r="A83" s="345"/>
      <c r="B83" s="345"/>
      <c r="C83" s="345"/>
      <c r="D83" s="345"/>
    </row>
    <row r="84" ht="15.75" customHeight="1">
      <c r="A84" s="345"/>
      <c r="B84" s="345"/>
      <c r="C84" s="345"/>
      <c r="D84" s="345"/>
    </row>
    <row r="85" ht="15.75" customHeight="1">
      <c r="A85" s="345"/>
      <c r="B85" s="345"/>
      <c r="C85" s="345"/>
      <c r="D85" s="345"/>
    </row>
    <row r="86" ht="15.75" customHeight="1">
      <c r="A86" s="345"/>
      <c r="B86" s="345"/>
      <c r="C86" s="345"/>
      <c r="D86" s="345"/>
    </row>
    <row r="87" ht="15.75" customHeight="1">
      <c r="A87" s="345"/>
      <c r="B87" s="345"/>
      <c r="C87" s="345"/>
      <c r="D87" s="345"/>
    </row>
    <row r="88" ht="15.75" customHeight="1">
      <c r="A88" s="345"/>
      <c r="B88" s="345"/>
      <c r="C88" s="345"/>
      <c r="D88" s="345"/>
    </row>
    <row r="89" ht="15.75" customHeight="1">
      <c r="A89" s="345"/>
      <c r="B89" s="345"/>
      <c r="C89" s="345"/>
      <c r="D89" s="345"/>
    </row>
    <row r="90" ht="15.75" customHeight="1">
      <c r="A90" s="345"/>
      <c r="B90" s="345"/>
      <c r="C90" s="345"/>
      <c r="D90" s="345"/>
    </row>
    <row r="91" ht="15.75" customHeight="1">
      <c r="A91" s="345"/>
      <c r="B91" s="345"/>
      <c r="C91" s="345"/>
      <c r="D91" s="345"/>
    </row>
    <row r="92" ht="15.75" customHeight="1">
      <c r="A92" s="345"/>
      <c r="B92" s="345"/>
      <c r="C92" s="345"/>
      <c r="D92" s="345"/>
    </row>
    <row r="93" ht="15.75" customHeight="1">
      <c r="A93" s="345"/>
      <c r="B93" s="345"/>
      <c r="C93" s="345"/>
      <c r="D93" s="345"/>
    </row>
    <row r="94" ht="15.75" customHeight="1">
      <c r="A94" s="345"/>
      <c r="B94" s="345"/>
      <c r="C94" s="345"/>
      <c r="D94" s="345"/>
    </row>
    <row r="95" ht="15.75" customHeight="1">
      <c r="A95" s="345"/>
      <c r="B95" s="345"/>
      <c r="C95" s="345"/>
      <c r="D95" s="345"/>
    </row>
    <row r="96" ht="15.75" customHeight="1">
      <c r="A96" s="345"/>
      <c r="B96" s="345"/>
      <c r="C96" s="345"/>
      <c r="D96" s="345"/>
    </row>
    <row r="97" ht="15.75" customHeight="1">
      <c r="A97" s="345"/>
      <c r="B97" s="345"/>
      <c r="C97" s="345"/>
      <c r="D97" s="345"/>
    </row>
    <row r="98" ht="15.75" customHeight="1">
      <c r="A98" s="345"/>
      <c r="B98" s="345"/>
      <c r="C98" s="345"/>
      <c r="D98" s="345"/>
    </row>
    <row r="99" ht="15.75" customHeight="1">
      <c r="A99" s="345"/>
      <c r="B99" s="345"/>
      <c r="C99" s="345"/>
      <c r="D99" s="345"/>
    </row>
    <row r="100" ht="15.75" customHeight="1">
      <c r="A100" s="345"/>
      <c r="B100" s="345"/>
      <c r="C100" s="345"/>
      <c r="D100" s="345"/>
    </row>
    <row r="101" ht="15.75" customHeight="1">
      <c r="A101" s="345"/>
      <c r="B101" s="345"/>
      <c r="C101" s="345"/>
      <c r="D101" s="345"/>
    </row>
    <row r="102" ht="15.75" customHeight="1">
      <c r="A102" s="345"/>
      <c r="B102" s="345"/>
      <c r="C102" s="345"/>
      <c r="D102" s="345"/>
    </row>
    <row r="103" ht="15.75" customHeight="1">
      <c r="A103" s="345"/>
      <c r="B103" s="345"/>
      <c r="C103" s="345"/>
      <c r="D103" s="345"/>
    </row>
    <row r="104" ht="15.75" customHeight="1">
      <c r="A104" s="345"/>
      <c r="B104" s="345"/>
      <c r="C104" s="345"/>
      <c r="D104" s="345"/>
    </row>
    <row r="105" ht="15.75" customHeight="1">
      <c r="A105" s="345"/>
      <c r="B105" s="345"/>
      <c r="C105" s="345"/>
      <c r="D105" s="345"/>
    </row>
    <row r="106" ht="15.75" customHeight="1">
      <c r="A106" s="345"/>
      <c r="B106" s="345"/>
      <c r="C106" s="345"/>
      <c r="D106" s="345"/>
    </row>
    <row r="107" ht="15.75" customHeight="1">
      <c r="A107" s="345"/>
      <c r="B107" s="345"/>
      <c r="C107" s="345"/>
      <c r="D107" s="345"/>
    </row>
    <row r="108" ht="15.75" customHeight="1">
      <c r="A108" s="345"/>
      <c r="B108" s="345"/>
      <c r="C108" s="345"/>
      <c r="D108" s="345"/>
    </row>
    <row r="109" ht="15.75" customHeight="1">
      <c r="A109" s="345"/>
      <c r="B109" s="345"/>
      <c r="C109" s="345"/>
      <c r="D109" s="345"/>
    </row>
    <row r="110" ht="15.75" customHeight="1">
      <c r="A110" s="345"/>
      <c r="B110" s="345"/>
      <c r="C110" s="345"/>
      <c r="D110" s="345"/>
    </row>
    <row r="111" ht="15.75" customHeight="1">
      <c r="A111" s="345"/>
      <c r="B111" s="345"/>
      <c r="C111" s="345"/>
      <c r="D111" s="345"/>
    </row>
    <row r="112" ht="15.75" customHeight="1">
      <c r="A112" s="345"/>
      <c r="B112" s="345"/>
      <c r="C112" s="345"/>
      <c r="D112" s="345"/>
    </row>
    <row r="113" ht="15.75" customHeight="1">
      <c r="A113" s="345"/>
      <c r="B113" s="345"/>
      <c r="C113" s="345"/>
      <c r="D113" s="345"/>
    </row>
    <row r="114" ht="15.75" customHeight="1">
      <c r="A114" s="345"/>
      <c r="B114" s="345"/>
      <c r="C114" s="345"/>
      <c r="D114" s="345"/>
    </row>
    <row r="115" ht="15.75" customHeight="1">
      <c r="A115" s="345"/>
      <c r="B115" s="345"/>
      <c r="C115" s="345"/>
      <c r="D115" s="345"/>
    </row>
    <row r="116" ht="15.75" customHeight="1">
      <c r="A116" s="345"/>
      <c r="B116" s="345"/>
      <c r="C116" s="345"/>
      <c r="D116" s="345"/>
    </row>
    <row r="117" ht="15.75" customHeight="1">
      <c r="A117" s="345"/>
      <c r="B117" s="345"/>
      <c r="C117" s="345"/>
      <c r="D117" s="345"/>
    </row>
    <row r="118" ht="15.75" customHeight="1">
      <c r="A118" s="345"/>
      <c r="B118" s="345"/>
      <c r="C118" s="345"/>
      <c r="D118" s="345"/>
    </row>
    <row r="119" ht="15.75" customHeight="1">
      <c r="A119" s="345"/>
      <c r="B119" s="345"/>
      <c r="C119" s="345"/>
      <c r="D119" s="345"/>
    </row>
    <row r="120" ht="15.75" customHeight="1">
      <c r="A120" s="345"/>
      <c r="B120" s="345"/>
      <c r="C120" s="345"/>
      <c r="D120" s="345"/>
    </row>
    <row r="121" ht="15.75" customHeight="1">
      <c r="A121" s="345"/>
      <c r="B121" s="345"/>
      <c r="C121" s="345"/>
      <c r="D121" s="345"/>
    </row>
    <row r="122" ht="15.75" customHeight="1">
      <c r="A122" s="345"/>
      <c r="B122" s="345"/>
      <c r="C122" s="345"/>
      <c r="D122" s="345"/>
    </row>
    <row r="123" ht="15.75" customHeight="1">
      <c r="A123" s="345"/>
      <c r="B123" s="345"/>
      <c r="C123" s="345"/>
      <c r="D123" s="345"/>
    </row>
    <row r="124" ht="15.75" customHeight="1">
      <c r="A124" s="345"/>
      <c r="B124" s="345"/>
      <c r="C124" s="345"/>
      <c r="D124" s="345"/>
    </row>
    <row r="125" ht="15.75" customHeight="1">
      <c r="A125" s="345"/>
      <c r="B125" s="345"/>
      <c r="C125" s="345"/>
      <c r="D125" s="345"/>
    </row>
    <row r="126" ht="15.75" customHeight="1">
      <c r="A126" s="345"/>
      <c r="B126" s="345"/>
      <c r="C126" s="345"/>
      <c r="D126" s="345"/>
    </row>
    <row r="127" ht="15.75" customHeight="1">
      <c r="A127" s="345"/>
      <c r="B127" s="345"/>
      <c r="C127" s="345"/>
      <c r="D127" s="345"/>
    </row>
    <row r="128" ht="15.75" customHeight="1">
      <c r="A128" s="345"/>
      <c r="B128" s="345"/>
      <c r="C128" s="345"/>
      <c r="D128" s="345"/>
    </row>
    <row r="129" ht="15.75" customHeight="1">
      <c r="A129" s="345"/>
      <c r="B129" s="345"/>
      <c r="C129" s="345"/>
      <c r="D129" s="345"/>
    </row>
    <row r="130" ht="15.75" customHeight="1">
      <c r="A130" s="345"/>
      <c r="B130" s="345"/>
      <c r="C130" s="345"/>
      <c r="D130" s="345"/>
    </row>
    <row r="131" ht="15.75" customHeight="1">
      <c r="A131" s="345"/>
      <c r="B131" s="345"/>
      <c r="C131" s="345"/>
      <c r="D131" s="345"/>
    </row>
    <row r="132" ht="15.75" customHeight="1">
      <c r="A132" s="345"/>
      <c r="B132" s="345"/>
      <c r="C132" s="345"/>
      <c r="D132" s="345"/>
    </row>
    <row r="133" ht="15.75" customHeight="1">
      <c r="A133" s="345"/>
      <c r="B133" s="345"/>
      <c r="C133" s="345"/>
      <c r="D133" s="345"/>
    </row>
    <row r="134" ht="15.75" customHeight="1">
      <c r="A134" s="345"/>
      <c r="B134" s="345"/>
      <c r="C134" s="345"/>
      <c r="D134" s="345"/>
    </row>
    <row r="135" ht="15.75" customHeight="1">
      <c r="A135" s="345"/>
      <c r="B135" s="345"/>
      <c r="C135" s="345"/>
      <c r="D135" s="345"/>
    </row>
    <row r="136" ht="15.75" customHeight="1">
      <c r="A136" s="345"/>
      <c r="B136" s="345"/>
      <c r="C136" s="345"/>
      <c r="D136" s="345"/>
    </row>
    <row r="137" ht="15.75" customHeight="1">
      <c r="A137" s="345"/>
      <c r="B137" s="345"/>
      <c r="C137" s="345"/>
      <c r="D137" s="345"/>
    </row>
    <row r="138" ht="15.75" customHeight="1">
      <c r="A138" s="345"/>
      <c r="B138" s="345"/>
      <c r="C138" s="345"/>
      <c r="D138" s="345"/>
    </row>
    <row r="139" ht="15.75" customHeight="1">
      <c r="A139" s="345"/>
      <c r="B139" s="345"/>
      <c r="C139" s="345"/>
      <c r="D139" s="345"/>
    </row>
    <row r="140" ht="15.75" customHeight="1">
      <c r="A140" s="345"/>
      <c r="B140" s="345"/>
      <c r="C140" s="345"/>
      <c r="D140" s="345"/>
    </row>
    <row r="141" ht="15.75" customHeight="1">
      <c r="A141" s="345"/>
      <c r="B141" s="345"/>
      <c r="C141" s="345"/>
      <c r="D141" s="345"/>
    </row>
    <row r="142" ht="15.75" customHeight="1">
      <c r="A142" s="345"/>
      <c r="B142" s="345"/>
      <c r="C142" s="345"/>
      <c r="D142" s="345"/>
    </row>
    <row r="143" ht="15.75" customHeight="1">
      <c r="A143" s="345"/>
      <c r="B143" s="345"/>
      <c r="C143" s="345"/>
      <c r="D143" s="345"/>
    </row>
    <row r="144" ht="15.75" customHeight="1">
      <c r="A144" s="345"/>
      <c r="B144" s="345"/>
      <c r="C144" s="345"/>
      <c r="D144" s="345"/>
    </row>
    <row r="145" ht="15.75" customHeight="1">
      <c r="A145" s="345"/>
      <c r="B145" s="345"/>
      <c r="C145" s="345"/>
      <c r="D145" s="345"/>
    </row>
    <row r="146" ht="15.75" customHeight="1">
      <c r="A146" s="345"/>
      <c r="B146" s="345"/>
      <c r="C146" s="345"/>
      <c r="D146" s="345"/>
    </row>
    <row r="147" ht="15.75" customHeight="1">
      <c r="A147" s="345"/>
      <c r="B147" s="345"/>
      <c r="C147" s="345"/>
      <c r="D147" s="345"/>
    </row>
    <row r="148" ht="15.75" customHeight="1">
      <c r="A148" s="345"/>
      <c r="B148" s="345"/>
      <c r="C148" s="345"/>
      <c r="D148" s="345"/>
    </row>
    <row r="149" ht="15.75" customHeight="1">
      <c r="A149" s="345"/>
      <c r="B149" s="345"/>
      <c r="C149" s="345"/>
      <c r="D149" s="345"/>
    </row>
    <row r="150" ht="15.75" customHeight="1">
      <c r="A150" s="345"/>
      <c r="B150" s="345"/>
      <c r="C150" s="345"/>
      <c r="D150" s="345"/>
    </row>
    <row r="151" ht="15.75" customHeight="1">
      <c r="A151" s="345"/>
      <c r="B151" s="345"/>
      <c r="C151" s="345"/>
      <c r="D151" s="345"/>
    </row>
    <row r="152" ht="15.75" customHeight="1">
      <c r="A152" s="345"/>
      <c r="B152" s="345"/>
      <c r="C152" s="345"/>
      <c r="D152" s="345"/>
    </row>
    <row r="153" ht="15.75" customHeight="1">
      <c r="A153" s="345"/>
      <c r="B153" s="345"/>
      <c r="C153" s="345"/>
      <c r="D153" s="345"/>
    </row>
    <row r="154" ht="15.75" customHeight="1">
      <c r="A154" s="345"/>
      <c r="B154" s="345"/>
      <c r="C154" s="345"/>
      <c r="D154" s="345"/>
    </row>
    <row r="155" ht="15.75" customHeight="1">
      <c r="A155" s="345"/>
      <c r="B155" s="345"/>
      <c r="C155" s="345"/>
      <c r="D155" s="345"/>
    </row>
    <row r="156" ht="15.75" customHeight="1">
      <c r="A156" s="345"/>
      <c r="B156" s="345"/>
      <c r="C156" s="345"/>
      <c r="D156" s="345"/>
    </row>
    <row r="157" ht="15.75" customHeight="1">
      <c r="A157" s="345"/>
      <c r="B157" s="345"/>
      <c r="C157" s="345"/>
      <c r="D157" s="345"/>
    </row>
    <row r="158" ht="15.75" customHeight="1">
      <c r="A158" s="345"/>
      <c r="B158" s="345"/>
      <c r="C158" s="345"/>
      <c r="D158" s="345"/>
    </row>
    <row r="159" ht="15.75" customHeight="1">
      <c r="A159" s="345"/>
      <c r="B159" s="345"/>
      <c r="C159" s="345"/>
      <c r="D159" s="345"/>
    </row>
    <row r="160" ht="15.75" customHeight="1">
      <c r="A160" s="345"/>
      <c r="B160" s="345"/>
      <c r="C160" s="345"/>
      <c r="D160" s="345"/>
    </row>
    <row r="161" ht="15.75" customHeight="1">
      <c r="A161" s="345"/>
      <c r="B161" s="345"/>
      <c r="C161" s="345"/>
      <c r="D161" s="345"/>
    </row>
    <row r="162" ht="15.75" customHeight="1">
      <c r="A162" s="345"/>
      <c r="B162" s="345"/>
      <c r="C162" s="345"/>
      <c r="D162" s="345"/>
    </row>
    <row r="163" ht="15.75" customHeight="1">
      <c r="A163" s="345"/>
      <c r="B163" s="345"/>
      <c r="C163" s="345"/>
      <c r="D163" s="345"/>
    </row>
    <row r="164" ht="15.75" customHeight="1">
      <c r="A164" s="345"/>
      <c r="B164" s="345"/>
      <c r="C164" s="345"/>
      <c r="D164" s="345"/>
    </row>
    <row r="165" ht="15.75" customHeight="1">
      <c r="A165" s="345"/>
      <c r="B165" s="345"/>
      <c r="C165" s="345"/>
      <c r="D165" s="345"/>
    </row>
    <row r="166" ht="15.75" customHeight="1">
      <c r="A166" s="345"/>
      <c r="B166" s="345"/>
      <c r="C166" s="345"/>
      <c r="D166" s="345"/>
    </row>
    <row r="167" ht="15.75" customHeight="1">
      <c r="A167" s="345"/>
      <c r="B167" s="345"/>
      <c r="C167" s="345"/>
      <c r="D167" s="345"/>
    </row>
    <row r="168" ht="15.75" customHeight="1">
      <c r="A168" s="345"/>
      <c r="B168" s="345"/>
      <c r="C168" s="345"/>
      <c r="D168" s="345"/>
    </row>
    <row r="169" ht="15.75" customHeight="1">
      <c r="A169" s="345"/>
      <c r="B169" s="345"/>
      <c r="C169" s="345"/>
      <c r="D169" s="345"/>
    </row>
    <row r="170" ht="15.75" customHeight="1">
      <c r="A170" s="345"/>
      <c r="B170" s="345"/>
      <c r="C170" s="345"/>
      <c r="D170" s="345"/>
    </row>
    <row r="171" ht="15.75" customHeight="1">
      <c r="A171" s="345"/>
      <c r="B171" s="345"/>
      <c r="C171" s="345"/>
      <c r="D171" s="345"/>
    </row>
    <row r="172" ht="15.75" customHeight="1">
      <c r="A172" s="345"/>
      <c r="B172" s="345"/>
      <c r="C172" s="345"/>
      <c r="D172" s="345"/>
    </row>
    <row r="173" ht="15.75" customHeight="1">
      <c r="A173" s="345"/>
      <c r="B173" s="345"/>
      <c r="C173" s="345"/>
      <c r="D173" s="345"/>
    </row>
    <row r="174" ht="15.75" customHeight="1">
      <c r="A174" s="345"/>
      <c r="B174" s="345"/>
      <c r="C174" s="345"/>
      <c r="D174" s="345"/>
    </row>
    <row r="175" ht="15.75" customHeight="1">
      <c r="A175" s="345"/>
      <c r="B175" s="345"/>
      <c r="C175" s="345"/>
      <c r="D175" s="345"/>
    </row>
    <row r="176" ht="15.75" customHeight="1">
      <c r="A176" s="345"/>
      <c r="B176" s="345"/>
      <c r="C176" s="345"/>
      <c r="D176" s="345"/>
    </row>
    <row r="177" ht="15.75" customHeight="1">
      <c r="A177" s="345"/>
      <c r="B177" s="345"/>
      <c r="C177" s="345"/>
      <c r="D177" s="345"/>
    </row>
    <row r="178" ht="15.75" customHeight="1">
      <c r="A178" s="345"/>
      <c r="B178" s="345"/>
      <c r="C178" s="345"/>
      <c r="D178" s="345"/>
    </row>
    <row r="179" ht="15.75" customHeight="1">
      <c r="A179" s="345"/>
      <c r="B179" s="345"/>
      <c r="C179" s="345"/>
      <c r="D179" s="345"/>
    </row>
    <row r="180" ht="15.75" customHeight="1">
      <c r="A180" s="345"/>
      <c r="B180" s="345"/>
      <c r="C180" s="345"/>
      <c r="D180" s="345"/>
    </row>
    <row r="181" ht="15.75" customHeight="1">
      <c r="A181" s="345"/>
      <c r="B181" s="345"/>
      <c r="C181" s="345"/>
      <c r="D181" s="345"/>
    </row>
    <row r="182" ht="15.75" customHeight="1">
      <c r="A182" s="345"/>
      <c r="B182" s="345"/>
      <c r="C182" s="345"/>
      <c r="D182" s="345"/>
    </row>
    <row r="183" ht="15.75" customHeight="1">
      <c r="A183" s="345"/>
      <c r="B183" s="345"/>
      <c r="C183" s="345"/>
      <c r="D183" s="345"/>
    </row>
    <row r="184" ht="15.75" customHeight="1">
      <c r="A184" s="345"/>
      <c r="B184" s="345"/>
      <c r="C184" s="345"/>
      <c r="D184" s="345"/>
    </row>
    <row r="185" ht="15.75" customHeight="1">
      <c r="A185" s="345"/>
      <c r="B185" s="345"/>
      <c r="C185" s="345"/>
      <c r="D185" s="345"/>
    </row>
    <row r="186" ht="15.75" customHeight="1">
      <c r="A186" s="345"/>
      <c r="B186" s="345"/>
      <c r="C186" s="345"/>
      <c r="D186" s="345"/>
    </row>
    <row r="187" ht="15.75" customHeight="1">
      <c r="A187" s="345"/>
      <c r="B187" s="345"/>
      <c r="C187" s="345"/>
      <c r="D187" s="345"/>
    </row>
    <row r="188" ht="15.75" customHeight="1">
      <c r="A188" s="345"/>
      <c r="B188" s="345"/>
      <c r="C188" s="345"/>
      <c r="D188" s="345"/>
    </row>
    <row r="189" ht="15.75" customHeight="1">
      <c r="A189" s="345"/>
      <c r="B189" s="345"/>
      <c r="C189" s="345"/>
      <c r="D189" s="345"/>
    </row>
    <row r="190" ht="15.75" customHeight="1">
      <c r="A190" s="345"/>
      <c r="B190" s="345"/>
      <c r="C190" s="345"/>
      <c r="D190" s="345"/>
    </row>
    <row r="191" ht="15.75" customHeight="1">
      <c r="A191" s="345"/>
      <c r="B191" s="345"/>
      <c r="C191" s="345"/>
      <c r="D191" s="345"/>
    </row>
    <row r="192" ht="15.75" customHeight="1">
      <c r="A192" s="345"/>
      <c r="B192" s="345"/>
      <c r="C192" s="345"/>
      <c r="D192" s="345"/>
    </row>
    <row r="193" ht="15.75" customHeight="1">
      <c r="A193" s="345"/>
      <c r="B193" s="345"/>
      <c r="C193" s="345"/>
      <c r="D193" s="345"/>
    </row>
    <row r="194" ht="15.75" customHeight="1">
      <c r="A194" s="345"/>
      <c r="B194" s="345"/>
      <c r="C194" s="345"/>
      <c r="D194" s="345"/>
    </row>
    <row r="195" ht="15.75" customHeight="1">
      <c r="A195" s="345"/>
      <c r="B195" s="345"/>
      <c r="C195" s="345"/>
      <c r="D195" s="345"/>
    </row>
    <row r="196" ht="15.75" customHeight="1">
      <c r="A196" s="345"/>
      <c r="B196" s="345"/>
      <c r="C196" s="345"/>
      <c r="D196" s="345"/>
    </row>
    <row r="197" ht="15.75" customHeight="1">
      <c r="A197" s="345"/>
      <c r="B197" s="345"/>
      <c r="C197" s="345"/>
      <c r="D197" s="345"/>
    </row>
    <row r="198" ht="15.75" customHeight="1">
      <c r="A198" s="345"/>
      <c r="B198" s="345"/>
      <c r="C198" s="345"/>
      <c r="D198" s="345"/>
    </row>
    <row r="199" ht="15.75" customHeight="1">
      <c r="A199" s="345"/>
      <c r="B199" s="345"/>
      <c r="C199" s="345"/>
      <c r="D199" s="345"/>
    </row>
    <row r="200" ht="15.75" customHeight="1">
      <c r="A200" s="345"/>
      <c r="B200" s="345"/>
      <c r="C200" s="345"/>
      <c r="D200" s="345"/>
    </row>
    <row r="201" ht="15.75" customHeight="1">
      <c r="A201" s="345"/>
      <c r="B201" s="345"/>
      <c r="C201" s="345"/>
      <c r="D201" s="345"/>
    </row>
    <row r="202" ht="15.75" customHeight="1">
      <c r="A202" s="345"/>
      <c r="B202" s="345"/>
      <c r="C202" s="345"/>
      <c r="D202" s="345"/>
    </row>
    <row r="203" ht="15.75" customHeight="1">
      <c r="A203" s="345"/>
      <c r="B203" s="345"/>
      <c r="C203" s="345"/>
      <c r="D203" s="345"/>
    </row>
    <row r="204" ht="15.75" customHeight="1">
      <c r="A204" s="345"/>
      <c r="B204" s="345"/>
      <c r="C204" s="345"/>
      <c r="D204" s="345"/>
    </row>
    <row r="205" ht="15.75" customHeight="1">
      <c r="A205" s="345"/>
      <c r="B205" s="345"/>
      <c r="C205" s="345"/>
      <c r="D205" s="345"/>
    </row>
    <row r="206" ht="15.75" customHeight="1">
      <c r="A206" s="345"/>
      <c r="B206" s="345"/>
      <c r="C206" s="345"/>
      <c r="D206" s="345"/>
    </row>
    <row r="207" ht="15.75" customHeight="1">
      <c r="A207" s="345"/>
      <c r="B207" s="345"/>
      <c r="C207" s="345"/>
      <c r="D207" s="345"/>
    </row>
    <row r="208" ht="15.75" customHeight="1">
      <c r="A208" s="345"/>
      <c r="B208" s="345"/>
      <c r="C208" s="345"/>
      <c r="D208" s="345"/>
    </row>
    <row r="209" ht="15.75" customHeight="1">
      <c r="A209" s="345"/>
      <c r="B209" s="345"/>
      <c r="C209" s="345"/>
      <c r="D209" s="345"/>
    </row>
    <row r="210" ht="15.75" customHeight="1">
      <c r="A210" s="345"/>
      <c r="B210" s="345"/>
      <c r="C210" s="345"/>
      <c r="D210" s="345"/>
    </row>
    <row r="211" ht="15.75" customHeight="1">
      <c r="A211" s="345"/>
      <c r="B211" s="345"/>
      <c r="C211" s="345"/>
      <c r="D211" s="345"/>
    </row>
    <row r="212" ht="15.75" customHeight="1">
      <c r="A212" s="345"/>
      <c r="B212" s="345"/>
      <c r="C212" s="345"/>
      <c r="D212" s="345"/>
    </row>
    <row r="213" ht="15.75" customHeight="1">
      <c r="A213" s="345"/>
      <c r="B213" s="345"/>
      <c r="C213" s="345"/>
      <c r="D213" s="345"/>
    </row>
    <row r="214" ht="15.75" customHeight="1">
      <c r="A214" s="345"/>
      <c r="B214" s="345"/>
      <c r="C214" s="345"/>
      <c r="D214" s="345"/>
    </row>
    <row r="215" ht="15.75" customHeight="1">
      <c r="A215" s="345"/>
      <c r="B215" s="345"/>
      <c r="C215" s="345"/>
      <c r="D215" s="345"/>
    </row>
    <row r="216" ht="15.75" customHeight="1">
      <c r="A216" s="345"/>
      <c r="B216" s="345"/>
      <c r="C216" s="345"/>
      <c r="D216" s="345"/>
    </row>
    <row r="217" ht="15.75" customHeight="1">
      <c r="A217" s="345"/>
      <c r="B217" s="345"/>
      <c r="C217" s="345"/>
      <c r="D217" s="345"/>
    </row>
    <row r="218" ht="15.75" customHeight="1">
      <c r="A218" s="345"/>
      <c r="B218" s="345"/>
      <c r="C218" s="345"/>
      <c r="D218" s="345"/>
    </row>
    <row r="219" ht="15.75" customHeight="1">
      <c r="A219" s="345"/>
      <c r="B219" s="345"/>
      <c r="C219" s="345"/>
      <c r="D219" s="345"/>
    </row>
    <row r="220" ht="15.75" customHeight="1">
      <c r="A220" s="345"/>
      <c r="B220" s="345"/>
      <c r="C220" s="345"/>
      <c r="D220" s="34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0.29"/>
    <col customWidth="1" min="3" max="3" width="10.14"/>
    <col customWidth="1" min="4" max="4" width="12.29"/>
    <col customWidth="1" min="5" max="6" width="14.43"/>
  </cols>
  <sheetData>
    <row r="1" ht="15.75" customHeight="1">
      <c r="A1" s="348"/>
      <c r="B1" s="348" t="s">
        <v>380</v>
      </c>
      <c r="C1" s="348"/>
      <c r="D1" s="349">
        <f>sum(D3:D94)*1000</f>
        <v>10046000</v>
      </c>
    </row>
    <row r="2" ht="15.75" customHeight="1">
      <c r="A2" s="350" t="str">
        <f>IFERROR(__xludf.DUMMYFUNCTION("importrange(""https://docs.google.com/spreadsheets/d/1ImCdkYhsUqsakZA8jNZp7UrWFPNTrMyfZQst-0aGkKM/edit#gid=0"",""Danh muc benh!A1:B500"")"),"Bệnh lý")</f>
        <v>Bệnh lý</v>
      </c>
      <c r="B2" s="350" t="str">
        <f>IFERROR(__xludf.DUMMYFUNCTION("""COMPUTED_VALUE"""),"Giá gốc")</f>
        <v>Giá gốc</v>
      </c>
      <c r="C2" s="350" t="s">
        <v>383</v>
      </c>
      <c r="D2" s="350" t="s">
        <v>515</v>
      </c>
    </row>
    <row r="3" ht="15.75" customHeight="1">
      <c r="A3" s="350" t="str">
        <f>IFERROR(__xludf.DUMMYFUNCTION("""COMPUTED_VALUE"""),"Anti-Derm bôi ghẻ")</f>
        <v>Anti-Derm bôi ghẻ</v>
      </c>
      <c r="B3" s="350">
        <f>IFERROR(__xludf.DUMMYFUNCTION("""COMPUTED_VALUE"""),35.0)</f>
        <v>35</v>
      </c>
      <c r="C3" s="350">
        <f>COUNTIF('BC Thang'!$I$4:$I$3085,$A3)</f>
        <v>0</v>
      </c>
      <c r="D3" s="350">
        <f t="shared" ref="D3:D630" si="1">B3*C3</f>
        <v>0</v>
      </c>
    </row>
    <row r="4" ht="15.75" customHeight="1">
      <c r="A4" s="350" t="str">
        <f>IFERROR(__xludf.DUMMYFUNCTION("""COMPUTED_VALUE"""),"Áo quần chó mèo")</f>
        <v>Áo quần chó mèo</v>
      </c>
      <c r="B4" s="350"/>
      <c r="C4" s="350">
        <f>COUNTIF('BC Thang'!$I$4:$I$3085,$A4)</f>
        <v>0</v>
      </c>
      <c r="D4" s="350">
        <f t="shared" si="1"/>
        <v>0</v>
      </c>
    </row>
    <row r="5" ht="15.75" customHeight="1">
      <c r="A5" s="350" t="str">
        <f>IFERROR(__xludf.DUMMYFUNCTION("""COMPUTED_VALUE"""),"Bắn microchip")</f>
        <v>Bắn microchip</v>
      </c>
      <c r="B5" s="350">
        <f>IFERROR(__xludf.DUMMYFUNCTION("""COMPUTED_VALUE"""),100.0)</f>
        <v>100</v>
      </c>
      <c r="C5" s="350">
        <f>COUNTIF('BC Thang'!$I$4:$I$3085,$A5)</f>
        <v>0</v>
      </c>
      <c r="D5" s="350">
        <f t="shared" si="1"/>
        <v>0</v>
      </c>
    </row>
    <row r="6" ht="15.75" customHeight="1">
      <c r="A6" s="350" t="str">
        <f>IFERROR(__xludf.DUMMYFUNCTION("""COMPUTED_VALUE"""),"Bó bột lớn")</f>
        <v>Bó bột lớn</v>
      </c>
      <c r="B6" s="350">
        <f>IFERROR(__xludf.DUMMYFUNCTION("""COMPUTED_VALUE"""),52.0)</f>
        <v>52</v>
      </c>
      <c r="C6" s="350">
        <f>COUNTIF('BC Thang'!$I$4:$I$3085,$A6)</f>
        <v>0</v>
      </c>
      <c r="D6" s="350">
        <f t="shared" si="1"/>
        <v>0</v>
      </c>
    </row>
    <row r="7" ht="15.75" customHeight="1">
      <c r="A7" s="350" t="str">
        <f>IFERROR(__xludf.DUMMYFUNCTION("""COMPUTED_VALUE"""),"Bó bột nhỏ")</f>
        <v>Bó bột nhỏ</v>
      </c>
      <c r="B7" s="350">
        <f>IFERROR(__xludf.DUMMYFUNCTION("""COMPUTED_VALUE"""),30.0)</f>
        <v>30</v>
      </c>
      <c r="C7" s="350">
        <f>COUNTIF('BC Thang'!$I$4:$I$3085,$A7)</f>
        <v>0</v>
      </c>
      <c r="D7" s="350">
        <f t="shared" si="1"/>
        <v>0</v>
      </c>
    </row>
    <row r="8" ht="15.75" customHeight="1">
      <c r="A8" s="350" t="str">
        <f>IFERROR(__xludf.DUMMYFUNCTION("""COMPUTED_VALUE"""),"Cạo lông lớn")</f>
        <v>Cạo lông lớn</v>
      </c>
      <c r="B8" s="350">
        <f>IFERROR(__xludf.DUMMYFUNCTION("""COMPUTED_VALUE"""),34.0)</f>
        <v>34</v>
      </c>
      <c r="C8" s="350">
        <f>COUNTIF('BC Thang'!$I$4:$I$3085,$A8)</f>
        <v>1</v>
      </c>
      <c r="D8" s="350">
        <f t="shared" si="1"/>
        <v>34</v>
      </c>
    </row>
    <row r="9" ht="15.75" customHeight="1">
      <c r="A9" s="350" t="str">
        <f>IFERROR(__xludf.DUMMYFUNCTION("""COMPUTED_VALUE"""),"Cạo lông nhỏ")</f>
        <v>Cạo lông nhỏ</v>
      </c>
      <c r="B9" s="350">
        <f>IFERROR(__xludf.DUMMYFUNCTION("""COMPUTED_VALUE"""),15.0)</f>
        <v>15</v>
      </c>
      <c r="C9" s="350">
        <f>COUNTIF('BC Thang'!$I$4:$I$3085,$A9)</f>
        <v>2</v>
      </c>
      <c r="D9" s="350">
        <f t="shared" si="1"/>
        <v>30</v>
      </c>
    </row>
    <row r="10" ht="15.75" customHeight="1">
      <c r="A10" s="350" t="str">
        <f>IFERROR(__xludf.DUMMYFUNCTION("""COMPUTED_VALUE"""),"Cắt móng")</f>
        <v>Cắt móng</v>
      </c>
      <c r="B10" s="350">
        <f>IFERROR(__xludf.DUMMYFUNCTION("""COMPUTED_VALUE"""),5.0)</f>
        <v>5</v>
      </c>
      <c r="C10" s="350">
        <f>COUNTIF('BC Thang'!$I$4:$I$3085,$A10)</f>
        <v>0</v>
      </c>
      <c r="D10" s="350">
        <f t="shared" si="1"/>
        <v>0</v>
      </c>
    </row>
    <row r="11" ht="15.75" customHeight="1">
      <c r="A11" s="350" t="str">
        <f>IFERROR(__xludf.DUMMYFUNCTION("""COMPUTED_VALUE"""),"Cắt tỉa lông")</f>
        <v>Cắt tỉa lông</v>
      </c>
      <c r="B11" s="350">
        <f>IFERROR(__xludf.DUMMYFUNCTION("""COMPUTED_VALUE"""),40.0)</f>
        <v>40</v>
      </c>
      <c r="C11" s="350">
        <f>COUNTIF('BC Thang'!$I$4:$I$3085,$A11)</f>
        <v>0</v>
      </c>
      <c r="D11" s="350">
        <f t="shared" si="1"/>
        <v>0</v>
      </c>
    </row>
    <row r="12" ht="15.75" customHeight="1">
      <c r="A12" s="350" t="str">
        <f>IFERROR(__xludf.DUMMYFUNCTION("""COMPUTED_VALUE"""),"Cấp cứu lớn")</f>
        <v>Cấp cứu lớn</v>
      </c>
      <c r="B12" s="350">
        <f>IFERROR(__xludf.DUMMYFUNCTION("""COMPUTED_VALUE"""),70.0)</f>
        <v>70</v>
      </c>
      <c r="C12" s="350">
        <f>COUNTIF('BC Thang'!$I$4:$I$3085,$A12)</f>
        <v>0</v>
      </c>
      <c r="D12" s="350">
        <f t="shared" si="1"/>
        <v>0</v>
      </c>
    </row>
    <row r="13" ht="15.75" customHeight="1">
      <c r="A13" s="350" t="str">
        <f>IFERROR(__xludf.DUMMYFUNCTION("""COMPUTED_VALUE"""),"Cấp cứu nhỏ")</f>
        <v>Cấp cứu nhỏ</v>
      </c>
      <c r="B13" s="350">
        <f>IFERROR(__xludf.DUMMYFUNCTION("""COMPUTED_VALUE"""),30.0)</f>
        <v>30</v>
      </c>
      <c r="C13" s="350">
        <f>COUNTIF('BC Thang'!$I$4:$I$3085,$A13)</f>
        <v>3</v>
      </c>
      <c r="D13" s="350">
        <f t="shared" si="1"/>
        <v>90</v>
      </c>
    </row>
    <row r="14" ht="15.75" customHeight="1">
      <c r="A14" s="350" t="str">
        <f>IFERROR(__xludf.DUMMYFUNCTION("""COMPUTED_VALUE"""),"Cấp cứu tụt Ca lớn")</f>
        <v>Cấp cứu tụt Ca lớn</v>
      </c>
      <c r="B14" s="350">
        <f>IFERROR(__xludf.DUMMYFUNCTION("""COMPUTED_VALUE"""),34.0)</f>
        <v>34</v>
      </c>
      <c r="C14" s="350">
        <f>COUNTIF('BC Thang'!$I$4:$I$3085,$A14)</f>
        <v>0</v>
      </c>
      <c r="D14" s="350">
        <f t="shared" si="1"/>
        <v>0</v>
      </c>
    </row>
    <row r="15" ht="15.75" customHeight="1">
      <c r="A15" s="350" t="str">
        <f>IFERROR(__xludf.DUMMYFUNCTION("""COMPUTED_VALUE"""),"Cấp cứu tụt Ca nhỏ")</f>
        <v>Cấp cứu tụt Ca nhỏ</v>
      </c>
      <c r="B15" s="350">
        <f>IFERROR(__xludf.DUMMYFUNCTION("""COMPUTED_VALUE"""),28.0)</f>
        <v>28</v>
      </c>
      <c r="C15" s="350">
        <f>COUNTIF('BC Thang'!$I$4:$I$3085,$A15)</f>
        <v>1</v>
      </c>
      <c r="D15" s="350">
        <f t="shared" si="1"/>
        <v>28</v>
      </c>
    </row>
    <row r="16" ht="15.75" customHeight="1">
      <c r="A16" s="350" t="str">
        <f>IFERROR(__xludf.DUMMYFUNCTION("""COMPUTED_VALUE"""),"CBC")</f>
        <v>CBC</v>
      </c>
      <c r="B16" s="350">
        <f>IFERROR(__xludf.DUMMYFUNCTION("""COMPUTED_VALUE"""),10.0)</f>
        <v>10</v>
      </c>
      <c r="C16" s="350">
        <f>COUNTIF('BC Thang'!$I$4:$I$3085,$A16)</f>
        <v>21</v>
      </c>
      <c r="D16" s="350">
        <f t="shared" si="1"/>
        <v>210</v>
      </c>
    </row>
    <row r="17" ht="15.75" customHeight="1">
      <c r="A17" s="350" t="str">
        <f>IFERROR(__xludf.DUMMYFUNCTION("""COMPUTED_VALUE"""),"CDV-")</f>
        <v>CDV-</v>
      </c>
      <c r="B17" s="350">
        <f>IFERROR(__xludf.DUMMYFUNCTION("""COMPUTED_VALUE"""),40.0)</f>
        <v>40</v>
      </c>
      <c r="C17" s="350">
        <f>COUNTIF('BC Thang'!$I$4:$I$3085,$A17)</f>
        <v>0</v>
      </c>
      <c r="D17" s="350">
        <f t="shared" si="1"/>
        <v>0</v>
      </c>
    </row>
    <row r="18" ht="15.75" customHeight="1">
      <c r="A18" s="350" t="str">
        <f>IFERROR(__xludf.DUMMYFUNCTION("""COMPUTED_VALUE"""),"CDV+")</f>
        <v>CDV+</v>
      </c>
      <c r="B18" s="350">
        <f>IFERROR(__xludf.DUMMYFUNCTION("""COMPUTED_VALUE"""),40.0)</f>
        <v>40</v>
      </c>
      <c r="C18" s="350">
        <f>COUNTIF('BC Thang'!$I$4:$I$3085,$A18)</f>
        <v>0</v>
      </c>
      <c r="D18" s="350">
        <f t="shared" si="1"/>
        <v>0</v>
      </c>
    </row>
    <row r="19" ht="15.75" customHeight="1">
      <c r="A19" s="350" t="str">
        <f>IFERROR(__xludf.DUMMYFUNCTION("""COMPUTED_VALUE"""),"Chích ghẻ")</f>
        <v>Chích ghẻ</v>
      </c>
      <c r="B19" s="350">
        <f>IFERROR(__xludf.DUMMYFUNCTION("""COMPUTED_VALUE"""),10.0)</f>
        <v>10</v>
      </c>
      <c r="C19" s="350">
        <f>COUNTIF('BC Thang'!$I$4:$I$3085,$A19)</f>
        <v>0</v>
      </c>
      <c r="D19" s="350">
        <f t="shared" si="1"/>
        <v>0</v>
      </c>
    </row>
    <row r="20" ht="15.75" customHeight="1">
      <c r="A20" s="350" t="str">
        <f>IFERROR(__xludf.DUMMYFUNCTION("""COMPUTED_VALUE"""),"Chích KST máu")</f>
        <v>Chích KST máu</v>
      </c>
      <c r="B20" s="350">
        <f>IFERROR(__xludf.DUMMYFUNCTION("""COMPUTED_VALUE"""),10.0)</f>
        <v>10</v>
      </c>
      <c r="C20" s="350">
        <f>COUNTIF('BC Thang'!$I$4:$I$3085,$A20)</f>
        <v>2</v>
      </c>
      <c r="D20" s="350">
        <f t="shared" si="1"/>
        <v>20</v>
      </c>
    </row>
    <row r="21" ht="15.75" customHeight="1">
      <c r="A21" s="350" t="str">
        <f>IFERROR(__xludf.DUMMYFUNCTION("""COMPUTED_VALUE"""),"Chích nhắc ghẻ")</f>
        <v>Chích nhắc ghẻ</v>
      </c>
      <c r="B21" s="350">
        <f>IFERROR(__xludf.DUMMYFUNCTION("""COMPUTED_VALUE"""),10.0)</f>
        <v>10</v>
      </c>
      <c r="C21" s="350">
        <f>COUNTIF('BC Thang'!$I$4:$I$3085,$A21)</f>
        <v>0</v>
      </c>
      <c r="D21" s="350">
        <f t="shared" si="1"/>
        <v>0</v>
      </c>
    </row>
    <row r="22" ht="15.75" customHeight="1">
      <c r="A22" s="350" t="str">
        <f>IFERROR(__xludf.DUMMYFUNCTION("""COMPUTED_VALUE"""),"Chích nhắc KST máu")</f>
        <v>Chích nhắc KST máu</v>
      </c>
      <c r="B22" s="350">
        <f>IFERROR(__xludf.DUMMYFUNCTION("""COMPUTED_VALUE"""),10.0)</f>
        <v>10</v>
      </c>
      <c r="C22" s="350">
        <f>COUNTIF('BC Thang'!$I$4:$I$3085,$A22)</f>
        <v>0</v>
      </c>
      <c r="D22" s="350">
        <f t="shared" si="1"/>
        <v>0</v>
      </c>
    </row>
    <row r="23" ht="15.75" customHeight="1">
      <c r="A23" s="350" t="str">
        <f>IFERROR(__xludf.DUMMYFUNCTION("""COMPUTED_VALUE"""),"Chích thuốc lớn")</f>
        <v>Chích thuốc lớn</v>
      </c>
      <c r="B23" s="350">
        <f>IFERROR(__xludf.DUMMYFUNCTION("""COMPUTED_VALUE"""),15.0)</f>
        <v>15</v>
      </c>
      <c r="C23" s="350">
        <f>COUNTIF('BC Thang'!$I$4:$I$3085,$A23)</f>
        <v>1</v>
      </c>
      <c r="D23" s="350">
        <f t="shared" si="1"/>
        <v>15</v>
      </c>
    </row>
    <row r="24" ht="15.75" customHeight="1">
      <c r="A24" s="350" t="str">
        <f>IFERROR(__xludf.DUMMYFUNCTION("""COMPUTED_VALUE"""),"Chích thuốc nhỏ")</f>
        <v>Chích thuốc nhỏ</v>
      </c>
      <c r="B24" s="350">
        <f>IFERROR(__xludf.DUMMYFUNCTION("""COMPUTED_VALUE"""),10.0)</f>
        <v>10</v>
      </c>
      <c r="C24" s="350">
        <f>COUNTIF('BC Thang'!$I$4:$I$3085,$A24)</f>
        <v>45</v>
      </c>
      <c r="D24" s="350">
        <f t="shared" si="1"/>
        <v>450</v>
      </c>
    </row>
    <row r="25" ht="15.75" customHeight="1">
      <c r="A25" s="350" t="str">
        <f>IFERROR(__xludf.DUMMYFUNCTION("""COMPUTED_VALUE"""),"Chọc bàng quang")</f>
        <v>Chọc bàng quang</v>
      </c>
      <c r="B25" s="350">
        <f>IFERROR(__xludf.DUMMYFUNCTION("""COMPUTED_VALUE"""),15.0)</f>
        <v>15</v>
      </c>
      <c r="C25" s="350">
        <f>COUNTIF('BC Thang'!$I$4:$I$3085,$A25)</f>
        <v>0</v>
      </c>
      <c r="D25" s="350">
        <f t="shared" si="1"/>
        <v>0</v>
      </c>
    </row>
    <row r="26" ht="15.75" customHeight="1">
      <c r="A26" s="350" t="str">
        <f>IFERROR(__xludf.DUMMYFUNCTION("""COMPUTED_VALUE"""),"Chôn cất")</f>
        <v>Chôn cất</v>
      </c>
      <c r="B26" s="350">
        <f>IFERROR(__xludf.DUMMYFUNCTION("""COMPUTED_VALUE"""),200.0)</f>
        <v>200</v>
      </c>
      <c r="C26" s="350">
        <f>COUNTIF('BC Thang'!$I$4:$I$3085,$A26)</f>
        <v>0</v>
      </c>
      <c r="D26" s="350">
        <f t="shared" si="1"/>
        <v>0</v>
      </c>
    </row>
    <row r="27" ht="15.75" customHeight="1">
      <c r="A27" s="350" t="str">
        <f>IFERROR(__xludf.DUMMYFUNCTION("""COMPUTED_VALUE"""),"Chụp phim")</f>
        <v>Chụp phim</v>
      </c>
      <c r="B27" s="350">
        <f>IFERROR(__xludf.DUMMYFUNCTION("""COMPUTED_VALUE"""),70.0)</f>
        <v>70</v>
      </c>
      <c r="C27" s="350">
        <f>COUNTIF('BC Thang'!$I$4:$I$3085,$A27)</f>
        <v>10</v>
      </c>
      <c r="D27" s="350">
        <f t="shared" si="1"/>
        <v>700</v>
      </c>
    </row>
    <row r="28" ht="15.75" customHeight="1">
      <c r="A28" s="350" t="str">
        <f>IFERROR(__xludf.DUMMYFUNCTION("""COMPUTED_VALUE"""),"Chuyển lên NH")</f>
        <v>Chuyển lên NH</v>
      </c>
      <c r="B28" s="350">
        <f>IFERROR(__xludf.DUMMYFUNCTION("""COMPUTED_VALUE"""),15.0)</f>
        <v>15</v>
      </c>
      <c r="C28" s="350">
        <f>COUNTIF('BC Thang'!$I$4:$I$3085,$A28)</f>
        <v>0</v>
      </c>
      <c r="D28" s="350">
        <f t="shared" si="1"/>
        <v>0</v>
      </c>
    </row>
    <row r="29" ht="15.75" customHeight="1">
      <c r="A29" s="350" t="str">
        <f>IFERROR(__xludf.DUMMYFUNCTION("""COMPUTED_VALUE"""),"CPV-")</f>
        <v>CPV-</v>
      </c>
      <c r="B29" s="350">
        <f>IFERROR(__xludf.DUMMYFUNCTION("""COMPUTED_VALUE"""),40.0)</f>
        <v>40</v>
      </c>
      <c r="C29" s="350">
        <f>COUNTIF('BC Thang'!$I$4:$I$3085,$A29)</f>
        <v>2</v>
      </c>
      <c r="D29" s="350">
        <f t="shared" si="1"/>
        <v>80</v>
      </c>
    </row>
    <row r="30" ht="15.75" customHeight="1">
      <c r="A30" s="350" t="str">
        <f>IFERROR(__xludf.DUMMYFUNCTION("""COMPUTED_VALUE"""),"CPV+")</f>
        <v>CPV+</v>
      </c>
      <c r="B30" s="350">
        <f>IFERROR(__xludf.DUMMYFUNCTION("""COMPUTED_VALUE"""),40.0)</f>
        <v>40</v>
      </c>
      <c r="C30" s="350">
        <f>COUNTIF('BC Thang'!$I$4:$I$3085,$A30)</f>
        <v>2</v>
      </c>
      <c r="D30" s="350">
        <f t="shared" si="1"/>
        <v>80</v>
      </c>
    </row>
    <row r="31" ht="15.75" customHeight="1">
      <c r="A31" s="350" t="str">
        <f>IFERROR(__xludf.DUMMYFUNCTION("""COMPUTED_VALUE"""),"Dầu soi kính")</f>
        <v>Dầu soi kính</v>
      </c>
      <c r="B31" s="350">
        <f>IFERROR(__xludf.DUMMYFUNCTION("""COMPUTED_VALUE"""),16.0)</f>
        <v>16</v>
      </c>
      <c r="C31" s="350">
        <f>COUNTIF('BC Thang'!$I$4:$I$3085,$A31)</f>
        <v>0</v>
      </c>
      <c r="D31" s="350">
        <f t="shared" si="1"/>
        <v>0</v>
      </c>
    </row>
    <row r="32" ht="15.75" customHeight="1">
      <c r="A32" s="350" t="str">
        <f>IFERROR(__xludf.DUMMYFUNCTION("""COMPUTED_VALUE"""),"Diệt ve bột")</f>
        <v>Diệt ve bột</v>
      </c>
      <c r="B32" s="350">
        <f>IFERROR(__xludf.DUMMYFUNCTION("""COMPUTED_VALUE"""),13.0)</f>
        <v>13</v>
      </c>
      <c r="C32" s="350">
        <f>COUNTIF('BC Thang'!$I$4:$I$3085,$A32)</f>
        <v>0</v>
      </c>
      <c r="D32" s="350">
        <f t="shared" si="1"/>
        <v>0</v>
      </c>
    </row>
    <row r="33" ht="15.75" customHeight="1">
      <c r="A33" s="350" t="str">
        <f>IFERROR(__xludf.DUMMYFUNCTION("""COMPUTED_VALUE"""),"Diệt ve Hantox")</f>
        <v>Diệt ve Hantox</v>
      </c>
      <c r="B33" s="350">
        <f>IFERROR(__xludf.DUMMYFUNCTION("""COMPUTED_VALUE"""),25.0)</f>
        <v>25</v>
      </c>
      <c r="C33" s="350">
        <f>COUNTIF('BC Thang'!$I$4:$I$3085,$A33)</f>
        <v>1</v>
      </c>
      <c r="D33" s="350">
        <f t="shared" si="1"/>
        <v>25</v>
      </c>
    </row>
    <row r="34" ht="15.75" customHeight="1">
      <c r="A34" s="350" t="str">
        <f>IFERROR(__xludf.DUMMYFUNCTION("""COMPUTED_VALUE"""),"Diệt ve Simparica &lt;10")</f>
        <v>Diệt ve Simparica &lt;10</v>
      </c>
      <c r="B34" s="350">
        <f>IFERROR(__xludf.DUMMYFUNCTION("""COMPUTED_VALUE"""),100.0)</f>
        <v>100</v>
      </c>
      <c r="C34" s="350">
        <f>COUNTIF('BC Thang'!$I$4:$I$3085,$A34)</f>
        <v>9</v>
      </c>
      <c r="D34" s="350">
        <f t="shared" si="1"/>
        <v>900</v>
      </c>
    </row>
    <row r="35" ht="15.75" customHeight="1">
      <c r="A35" s="350" t="str">
        <f>IFERROR(__xludf.DUMMYFUNCTION("""COMPUTED_VALUE"""),"Diệt ve Simparica 10,1-20")</f>
        <v>Diệt ve Simparica 10,1-20</v>
      </c>
      <c r="B35" s="350">
        <f>IFERROR(__xludf.DUMMYFUNCTION("""COMPUTED_VALUE"""),110.0)</f>
        <v>110</v>
      </c>
      <c r="C35" s="350">
        <f>COUNTIF('BC Thang'!$I$4:$I$3085,$A35)</f>
        <v>0</v>
      </c>
      <c r="D35" s="350">
        <f t="shared" si="1"/>
        <v>0</v>
      </c>
    </row>
    <row r="36" ht="15.75" customHeight="1">
      <c r="A36" s="350" t="str">
        <f>IFERROR(__xludf.DUMMYFUNCTION("""COMPUTED_VALUE"""),"Diệt ve Simparica 20,1-40")</f>
        <v>Diệt ve Simparica 20,1-40</v>
      </c>
      <c r="B36" s="350">
        <f>IFERROR(__xludf.DUMMYFUNCTION("""COMPUTED_VALUE"""),200.0)</f>
        <v>200</v>
      </c>
      <c r="C36" s="350">
        <f>COUNTIF('BC Thang'!$I$4:$I$3085,$A36)</f>
        <v>6</v>
      </c>
      <c r="D36" s="350">
        <f t="shared" si="1"/>
        <v>1200</v>
      </c>
    </row>
    <row r="37" ht="15.75" customHeight="1">
      <c r="A37" s="350" t="str">
        <f>IFERROR(__xludf.DUMMYFUNCTION("""COMPUTED_VALUE"""),"Diệt ve xanh")</f>
        <v>Diệt ve xanh</v>
      </c>
      <c r="B37" s="350">
        <f>IFERROR(__xludf.DUMMYFUNCTION("""COMPUTED_VALUE"""),6.0)</f>
        <v>6</v>
      </c>
      <c r="C37" s="350">
        <f>COUNTIF('BC Thang'!$I$4:$I$3085,$A37)</f>
        <v>3</v>
      </c>
      <c r="D37" s="350">
        <f t="shared" si="1"/>
        <v>18</v>
      </c>
    </row>
    <row r="38" ht="15.75" customHeight="1">
      <c r="A38" s="350" t="str">
        <f>IFERROR(__xludf.DUMMYFUNCTION("""COMPUTED_VALUE"""),"Diệt ve xịt")</f>
        <v>Diệt ve xịt</v>
      </c>
      <c r="B38" s="350"/>
      <c r="C38" s="350">
        <f>COUNTIF('BC Thang'!$I$4:$I$3085,$A38)</f>
        <v>0</v>
      </c>
      <c r="D38" s="350">
        <f t="shared" si="1"/>
        <v>0</v>
      </c>
    </row>
    <row r="39" ht="15.75" customHeight="1">
      <c r="A39" s="350" t="str">
        <f>IFERROR(__xludf.DUMMYFUNCTION("""COMPUTED_VALUE"""),"Duphalac")</f>
        <v>Duphalac</v>
      </c>
      <c r="B39" s="350">
        <f>IFERROR(__xludf.DUMMYFUNCTION("""COMPUTED_VALUE"""),10.0)</f>
        <v>10</v>
      </c>
      <c r="C39" s="350">
        <f>COUNTIF('BC Thang'!$I$4:$I$3085,$A39)</f>
        <v>0</v>
      </c>
      <c r="D39" s="350">
        <f t="shared" si="1"/>
        <v>0</v>
      </c>
    </row>
    <row r="40" ht="15.75" customHeight="1">
      <c r="A40" s="350" t="str">
        <f>IFERROR(__xludf.DUMMYFUNCTION("""COMPUTED_VALUE"""),"Đỡ đẻ")</f>
        <v>Đỡ đẻ</v>
      </c>
      <c r="B40" s="350">
        <f>IFERROR(__xludf.DUMMYFUNCTION("""COMPUTED_VALUE"""),32.0)</f>
        <v>32</v>
      </c>
      <c r="C40" s="350">
        <f>COUNTIF('BC Thang'!$I$4:$I$3085,$A40)</f>
        <v>0</v>
      </c>
      <c r="D40" s="350">
        <f t="shared" si="1"/>
        <v>0</v>
      </c>
    </row>
    <row r="41" ht="15.75" customHeight="1">
      <c r="A41" s="350" t="str">
        <f>IFERROR(__xludf.DUMMYFUNCTION("""COMPUTED_VALUE"""),"ĐT RLTH")</f>
        <v>ĐT RLTH</v>
      </c>
      <c r="B41" s="350">
        <f>IFERROR(__xludf.DUMMYFUNCTION("""COMPUTED_VALUE"""),15.0)</f>
        <v>15</v>
      </c>
      <c r="C41" s="350">
        <f>COUNTIF('BC Thang'!$I$4:$I$3085,$A41)</f>
        <v>0</v>
      </c>
      <c r="D41" s="350">
        <f t="shared" si="1"/>
        <v>0</v>
      </c>
    </row>
    <row r="42" ht="15.75" customHeight="1">
      <c r="A42" s="350" t="str">
        <f>IFERROR(__xludf.DUMMYFUNCTION("""COMPUTED_VALUE"""),"Ecanis-")</f>
        <v>Ecanis-</v>
      </c>
      <c r="B42" s="350">
        <f>IFERROR(__xludf.DUMMYFUNCTION("""COMPUTED_VALUE"""),70.0)</f>
        <v>70</v>
      </c>
      <c r="C42" s="350">
        <f>COUNTIF('BC Thang'!$I$4:$I$3085,$A42)</f>
        <v>0</v>
      </c>
      <c r="D42" s="350">
        <f t="shared" si="1"/>
        <v>0</v>
      </c>
    </row>
    <row r="43" ht="15.75" customHeight="1">
      <c r="A43" s="350" t="str">
        <f>IFERROR(__xludf.DUMMYFUNCTION("""COMPUTED_VALUE"""),"Ecanis+")</f>
        <v>Ecanis+</v>
      </c>
      <c r="B43" s="350">
        <f>IFERROR(__xludf.DUMMYFUNCTION("""COMPUTED_VALUE"""),70.0)</f>
        <v>70</v>
      </c>
      <c r="C43" s="350">
        <f>COUNTIF('BC Thang'!$I$4:$I$3085,$A43)</f>
        <v>0</v>
      </c>
      <c r="D43" s="350">
        <f t="shared" si="1"/>
        <v>0</v>
      </c>
    </row>
    <row r="44" ht="15.75" customHeight="1">
      <c r="A44" s="350" t="str">
        <f>IFERROR(__xludf.DUMMYFUNCTION("""COMPUTED_VALUE"""),"FPV-")</f>
        <v>FPV-</v>
      </c>
      <c r="B44" s="350">
        <f>IFERROR(__xludf.DUMMYFUNCTION("""COMPUTED_VALUE"""),70.0)</f>
        <v>70</v>
      </c>
      <c r="C44" s="350">
        <f>COUNTIF('BC Thang'!$I$4:$I$3085,$A44)</f>
        <v>3</v>
      </c>
      <c r="D44" s="350">
        <f t="shared" si="1"/>
        <v>210</v>
      </c>
    </row>
    <row r="45" ht="15.75" customHeight="1">
      <c r="A45" s="350" t="str">
        <f>IFERROR(__xludf.DUMMYFUNCTION("""COMPUTED_VALUE"""),"FPV+")</f>
        <v>FPV+</v>
      </c>
      <c r="B45" s="350">
        <f>IFERROR(__xludf.DUMMYFUNCTION("""COMPUTED_VALUE"""),70.0)</f>
        <v>70</v>
      </c>
      <c r="C45" s="350">
        <f>COUNTIF('BC Thang'!$I$4:$I$3085,$A45)</f>
        <v>0</v>
      </c>
      <c r="D45" s="350">
        <f t="shared" si="1"/>
        <v>0</v>
      </c>
    </row>
    <row r="46" ht="15.75" customHeight="1">
      <c r="A46" s="350" t="str">
        <f>IFERROR(__xludf.DUMMYFUNCTION("""COMPUTED_VALUE"""),"Gây mê lớn")</f>
        <v>Gây mê lớn</v>
      </c>
      <c r="B46" s="350">
        <f>IFERROR(__xludf.DUMMYFUNCTION("""COMPUTED_VALUE"""),30.0)</f>
        <v>30</v>
      </c>
      <c r="C46" s="350">
        <f>COUNTIF('BC Thang'!$I$4:$I$3085,$A46)</f>
        <v>0</v>
      </c>
      <c r="D46" s="350">
        <f t="shared" si="1"/>
        <v>0</v>
      </c>
    </row>
    <row r="47" ht="15.75" customHeight="1">
      <c r="A47" s="350" t="str">
        <f>IFERROR(__xludf.DUMMYFUNCTION("""COMPUTED_VALUE"""),"Gây mê nhỏ")</f>
        <v>Gây mê nhỏ</v>
      </c>
      <c r="B47" s="350">
        <f>IFERROR(__xludf.DUMMYFUNCTION("""COMPUTED_VALUE"""),15.0)</f>
        <v>15</v>
      </c>
      <c r="C47" s="350">
        <f>COUNTIF('BC Thang'!$I$4:$I$3085,$A47)</f>
        <v>2</v>
      </c>
      <c r="D47" s="350">
        <f t="shared" si="1"/>
        <v>30</v>
      </c>
    </row>
    <row r="48" ht="15.75" customHeight="1">
      <c r="A48" s="350" t="str">
        <f>IFERROR(__xludf.DUMMYFUNCTION("""COMPUTED_VALUE"""),"Giấy kiểm dịch đi máy bay")</f>
        <v>Giấy kiểm dịch đi máy bay</v>
      </c>
      <c r="B48" s="350">
        <f>IFERROR(__xludf.DUMMYFUNCTION("""COMPUTED_VALUE"""),250.0)</f>
        <v>250</v>
      </c>
      <c r="C48" s="350">
        <f>COUNTIF('BC Thang'!$I$4:$I$3085,$A48)</f>
        <v>0</v>
      </c>
      <c r="D48" s="350">
        <f t="shared" si="1"/>
        <v>0</v>
      </c>
    </row>
    <row r="49" ht="15.75" customHeight="1">
      <c r="A49" s="350" t="str">
        <f>IFERROR(__xludf.DUMMYFUNCTION("""COMPUTED_VALUE"""),"HCT")</f>
        <v>HCT</v>
      </c>
      <c r="B49" s="350">
        <f>IFERROR(__xludf.DUMMYFUNCTION("""COMPUTED_VALUE"""),10.0)</f>
        <v>10</v>
      </c>
      <c r="C49" s="350">
        <f>COUNTIF('BC Thang'!$I$4:$I$3085,$A49)</f>
        <v>0</v>
      </c>
      <c r="D49" s="350">
        <f t="shared" si="1"/>
        <v>0</v>
      </c>
    </row>
    <row r="50" ht="15.75" customHeight="1">
      <c r="A50" s="350" t="str">
        <f>IFERROR(__xludf.DUMMYFUNCTION("""COMPUTED_VALUE"""),"Hoá chất truyền máu")</f>
        <v>Hoá chất truyền máu</v>
      </c>
      <c r="B50" s="350">
        <f>IFERROR(__xludf.DUMMYFUNCTION("""COMPUTED_VALUE"""),50.0)</f>
        <v>50</v>
      </c>
      <c r="C50" s="350">
        <f>COUNTIF('BC Thang'!$I$4:$I$3085,$A50)</f>
        <v>0</v>
      </c>
      <c r="D50" s="350">
        <f t="shared" si="1"/>
        <v>0</v>
      </c>
    </row>
    <row r="51" ht="15.75" customHeight="1">
      <c r="A51" s="350" t="str">
        <f>IFERROR(__xludf.DUMMYFUNCTION("""COMPUTED_VALUE"""),"Hút dịch")</f>
        <v>Hút dịch</v>
      </c>
      <c r="B51" s="350">
        <f>IFERROR(__xludf.DUMMYFUNCTION("""COMPUTED_VALUE"""),15.0)</f>
        <v>15</v>
      </c>
      <c r="C51" s="350">
        <f>COUNTIF('BC Thang'!$I$4:$I$3085,$A51)</f>
        <v>0</v>
      </c>
      <c r="D51" s="350">
        <f t="shared" si="1"/>
        <v>0</v>
      </c>
    </row>
    <row r="52" ht="15.75" customHeight="1">
      <c r="A52" s="350" t="str">
        <f>IFERROR(__xludf.DUMMYFUNCTION("""COMPUTED_VALUE"""),"Khai khí quản")</f>
        <v>Khai khí quản</v>
      </c>
      <c r="B52" s="350">
        <f>IFERROR(__xludf.DUMMYFUNCTION("""COMPUTED_VALUE"""),30.0)</f>
        <v>30</v>
      </c>
      <c r="C52" s="350">
        <f>COUNTIF('BC Thang'!$I$4:$I$3085,$A52)</f>
        <v>0</v>
      </c>
      <c r="D52" s="350">
        <f t="shared" si="1"/>
        <v>0</v>
      </c>
    </row>
    <row r="53" ht="15.75" customHeight="1">
      <c r="A53" s="350" t="str">
        <f>IFERROR(__xludf.DUMMYFUNCTION("""COMPUTED_VALUE"""),"Khám lâm sàng")</f>
        <v>Khám lâm sàng</v>
      </c>
      <c r="B53" s="350">
        <f>IFERROR(__xludf.DUMMYFUNCTION("""COMPUTED_VALUE"""),5.0)</f>
        <v>5</v>
      </c>
      <c r="C53" s="350">
        <f>COUNTIF('BC Thang'!$I$4:$I$3085,$A53)</f>
        <v>6</v>
      </c>
      <c r="D53" s="350">
        <f t="shared" si="1"/>
        <v>30</v>
      </c>
    </row>
    <row r="54" ht="15.75" customHeight="1">
      <c r="A54" s="350" t="str">
        <f>IFERROR(__xludf.DUMMYFUNCTION("""COMPUTED_VALUE"""),"Lấy cao răng")</f>
        <v>Lấy cao răng</v>
      </c>
      <c r="B54" s="350">
        <f>IFERROR(__xludf.DUMMYFUNCTION("""COMPUTED_VALUE"""),32.0)</f>
        <v>32</v>
      </c>
      <c r="C54" s="350">
        <f>COUNTIF('BC Thang'!$I$4:$I$3085,$A54)</f>
        <v>0</v>
      </c>
      <c r="D54" s="350">
        <f t="shared" si="1"/>
        <v>0</v>
      </c>
    </row>
    <row r="55" ht="15.75" customHeight="1">
      <c r="A55" s="350" t="str">
        <f>IFERROR(__xludf.DUMMYFUNCTION("""COMPUTED_VALUE"""),"Lepto -")</f>
        <v>Lepto -</v>
      </c>
      <c r="B55" s="350">
        <f>IFERROR(__xludf.DUMMYFUNCTION("""COMPUTED_VALUE"""),70.0)</f>
        <v>70</v>
      </c>
      <c r="C55" s="350">
        <f>COUNTIF('BC Thang'!$I$4:$I$3085,$A55)</f>
        <v>0</v>
      </c>
      <c r="D55" s="350">
        <f t="shared" si="1"/>
        <v>0</v>
      </c>
    </row>
    <row r="56" ht="15.75" customHeight="1">
      <c r="A56" s="350" t="str">
        <f>IFERROR(__xludf.DUMMYFUNCTION("""COMPUTED_VALUE"""),"Lepto +")</f>
        <v>Lepto +</v>
      </c>
      <c r="B56" s="350">
        <f>IFERROR(__xludf.DUMMYFUNCTION("""COMPUTED_VALUE"""),70.0)</f>
        <v>70</v>
      </c>
      <c r="C56" s="350">
        <f>COUNTIF('BC Thang'!$I$4:$I$3085,$A56)</f>
        <v>0</v>
      </c>
      <c r="D56" s="350">
        <f t="shared" si="1"/>
        <v>0</v>
      </c>
    </row>
    <row r="57" ht="15.75" customHeight="1">
      <c r="A57" s="350" t="str">
        <f>IFERROR(__xludf.DUMMYFUNCTION("""COMPUTED_VALUE"""),"Loa cổ")</f>
        <v>Loa cổ</v>
      </c>
      <c r="B57" s="350">
        <f>IFERROR(__xludf.DUMMYFUNCTION("""COMPUTED_VALUE"""),30.0)</f>
        <v>30</v>
      </c>
      <c r="C57" s="350">
        <f>COUNTIF('BC Thang'!$I$4:$I$3085,$A57)</f>
        <v>0</v>
      </c>
      <c r="D57" s="350">
        <f t="shared" si="1"/>
        <v>0</v>
      </c>
    </row>
    <row r="58" ht="15.75" customHeight="1">
      <c r="A58" s="350" t="str">
        <f>IFERROR(__xludf.DUMMYFUNCTION("""COMPUTED_VALUE"""),"Lưu điều trị lớn")</f>
        <v>Lưu điều trị lớn</v>
      </c>
      <c r="B58" s="350">
        <f>IFERROR(__xludf.DUMMYFUNCTION("""COMPUTED_VALUE"""),300.0)</f>
        <v>300</v>
      </c>
      <c r="C58" s="350">
        <f>COUNTIF('BC Thang'!$I$4:$I$3085,$A58)</f>
        <v>1</v>
      </c>
      <c r="D58" s="350">
        <f t="shared" si="1"/>
        <v>300</v>
      </c>
    </row>
    <row r="59" ht="15.75" customHeight="1">
      <c r="A59" s="350" t="str">
        <f>IFERROR(__xludf.DUMMYFUNCTION("""COMPUTED_VALUE"""),"Lưu điều trị nhỏ")</f>
        <v>Lưu điều trị nhỏ</v>
      </c>
      <c r="B59" s="350">
        <f>IFERROR(__xludf.DUMMYFUNCTION("""COMPUTED_VALUE"""),200.0)</f>
        <v>200</v>
      </c>
      <c r="C59" s="350">
        <f>COUNTIF('BC Thang'!$I$4:$I$3085,$A59)</f>
        <v>21</v>
      </c>
      <c r="D59" s="350">
        <f t="shared" si="1"/>
        <v>4200</v>
      </c>
    </row>
    <row r="60" ht="15.75" customHeight="1">
      <c r="A60" s="350" t="str">
        <f>IFERROR(__xludf.DUMMYFUNCTION("""COMPUTED_VALUE"""),"Lưu hậu phẫu lớn")</f>
        <v>Lưu hậu phẫu lớn</v>
      </c>
      <c r="B60" s="350">
        <f>IFERROR(__xludf.DUMMYFUNCTION("""COMPUTED_VALUE"""),400.0)</f>
        <v>400</v>
      </c>
      <c r="C60" s="350">
        <f>COUNTIF('BC Thang'!$I$4:$I$3085,$A60)</f>
        <v>0</v>
      </c>
      <c r="D60" s="350">
        <f t="shared" si="1"/>
        <v>0</v>
      </c>
    </row>
    <row r="61" ht="15.75" customHeight="1">
      <c r="A61" s="350" t="str">
        <f>IFERROR(__xludf.DUMMYFUNCTION("""COMPUTED_VALUE"""),"Lưu hậu phẫu nhỏ")</f>
        <v>Lưu hậu phẫu nhỏ</v>
      </c>
      <c r="B61" s="350">
        <f>IFERROR(__xludf.DUMMYFUNCTION("""COMPUTED_VALUE"""),200.0)</f>
        <v>200</v>
      </c>
      <c r="C61" s="350">
        <f>COUNTIF('BC Thang'!$I$4:$I$3085,$A61)</f>
        <v>2</v>
      </c>
      <c r="D61" s="350">
        <f t="shared" si="1"/>
        <v>400</v>
      </c>
    </row>
    <row r="62" ht="15.75" customHeight="1">
      <c r="A62" s="350" t="str">
        <f>IFERROR(__xludf.DUMMYFUNCTION("""COMPUTED_VALUE"""),"Lưu trú lớn")</f>
        <v>Lưu trú lớn</v>
      </c>
      <c r="B62" s="350">
        <f>IFERROR(__xludf.DUMMYFUNCTION("""COMPUTED_VALUE"""),120.0)</f>
        <v>120</v>
      </c>
      <c r="C62" s="350">
        <f>COUNTIF('BC Thang'!$I$4:$I$3085,$A62)</f>
        <v>0</v>
      </c>
      <c r="D62" s="350">
        <f t="shared" si="1"/>
        <v>0</v>
      </c>
    </row>
    <row r="63" ht="15.75" customHeight="1">
      <c r="A63" s="350" t="str">
        <f>IFERROR(__xludf.DUMMYFUNCTION("""COMPUTED_VALUE"""),"Lưu trú nhỏ")</f>
        <v>Lưu trú nhỏ</v>
      </c>
      <c r="B63" s="350">
        <f>IFERROR(__xludf.DUMMYFUNCTION("""COMPUTED_VALUE"""),60.0)</f>
        <v>60</v>
      </c>
      <c r="C63" s="350">
        <f>COUNTIF('BC Thang'!$I$4:$I$3085,$A63)</f>
        <v>7</v>
      </c>
      <c r="D63" s="350">
        <f t="shared" si="1"/>
        <v>420</v>
      </c>
    </row>
    <row r="64" ht="15.75" customHeight="1">
      <c r="A64" s="350" t="str">
        <f>IFERROR(__xludf.DUMMYFUNCTION("""COMPUTED_VALUE"""),"Mài răng")</f>
        <v>Mài răng</v>
      </c>
      <c r="B64" s="350">
        <f>IFERROR(__xludf.DUMMYFUNCTION("""COMPUTED_VALUE"""),20.0)</f>
        <v>20</v>
      </c>
      <c r="C64" s="350">
        <f>COUNTIF('BC Thang'!$I$4:$I$3085,$A64)</f>
        <v>0</v>
      </c>
      <c r="D64" s="350">
        <f t="shared" si="1"/>
        <v>0</v>
      </c>
    </row>
    <row r="65" ht="15.75" customHeight="1">
      <c r="A65" s="350" t="str">
        <f>IFERROR(__xludf.DUMMYFUNCTION("""COMPUTED_VALUE"""),"Men tiêu hoá")</f>
        <v>Men tiêu hoá</v>
      </c>
      <c r="B65" s="350">
        <f>IFERROR(__xludf.DUMMYFUNCTION("""COMPUTED_VALUE"""),3.0)</f>
        <v>3</v>
      </c>
      <c r="C65" s="350">
        <f>COUNTIF('BC Thang'!$I$4:$I$3085,$A65)</f>
        <v>11</v>
      </c>
      <c r="D65" s="350">
        <f t="shared" si="1"/>
        <v>33</v>
      </c>
    </row>
    <row r="66" ht="15.75" customHeight="1">
      <c r="A66" s="350" t="str">
        <f>IFERROR(__xludf.DUMMYFUNCTION("""COMPUTED_VALUE"""),"Nặn tuyến hôi")</f>
        <v>Nặn tuyến hôi</v>
      </c>
      <c r="B66" s="350">
        <f>IFERROR(__xludf.DUMMYFUNCTION("""COMPUTED_VALUE"""),5.0)</f>
        <v>5</v>
      </c>
      <c r="C66" s="350">
        <f>COUNTIF('BC Thang'!$I$4:$I$3085,$A66)</f>
        <v>0</v>
      </c>
      <c r="D66" s="350">
        <f t="shared" si="1"/>
        <v>0</v>
      </c>
    </row>
    <row r="67" ht="15.75" customHeight="1">
      <c r="A67" s="350" t="str">
        <f>IFERROR(__xludf.DUMMYFUNCTION("""COMPUTED_VALUE"""),"Ngoài giờ")</f>
        <v>Ngoài giờ</v>
      </c>
      <c r="B67" s="350">
        <f>IFERROR(__xludf.DUMMYFUNCTION("""COMPUTED_VALUE"""),10.0)</f>
        <v>10</v>
      </c>
      <c r="C67" s="350">
        <f>COUNTIF('BC Thang'!$I$4:$I$3085,$A67)</f>
        <v>1</v>
      </c>
      <c r="D67" s="350">
        <f t="shared" si="1"/>
        <v>10</v>
      </c>
    </row>
    <row r="68" ht="15.75" customHeight="1">
      <c r="A68" s="350" t="str">
        <f>IFERROR(__xludf.DUMMYFUNCTION("""COMPUTED_VALUE"""),"Thụt rửa trực tràng")</f>
        <v>Thụt rửa trực tràng</v>
      </c>
      <c r="B68" s="350">
        <f>IFERROR(__xludf.DUMMYFUNCTION("""COMPUTED_VALUE"""),20.0)</f>
        <v>20</v>
      </c>
      <c r="C68" s="350">
        <f>COUNTIF('BC Thang'!$I$4:$I$3085,$A68)</f>
        <v>1</v>
      </c>
      <c r="D68" s="350">
        <f t="shared" si="1"/>
        <v>20</v>
      </c>
    </row>
    <row r="69" ht="15.75" customHeight="1">
      <c r="A69" s="350" t="str">
        <f>IFERROR(__xludf.DUMMYFUNCTION("""COMPUTED_VALUE"""),"Nhuộm soi máu")</f>
        <v>Nhuộm soi máu</v>
      </c>
      <c r="B69" s="350">
        <f>IFERROR(__xludf.DUMMYFUNCTION("""COMPUTED_VALUE"""),15.0)</f>
        <v>15</v>
      </c>
      <c r="C69" s="350">
        <f>COUNTIF('BC Thang'!$I$4:$I$3085,$A69)</f>
        <v>0</v>
      </c>
      <c r="D69" s="350">
        <f t="shared" si="1"/>
        <v>0</v>
      </c>
    </row>
    <row r="70" ht="15.75" customHeight="1">
      <c r="A70" s="350" t="str">
        <f>IFERROR(__xludf.DUMMYFUNCTION("""COMPUTED_VALUE"""),"Petshop")</f>
        <v>Petshop</v>
      </c>
      <c r="B70" s="350"/>
      <c r="C70" s="350">
        <f>COUNTIF('BC Thang'!$I$4:$I$3085,$A70)</f>
        <v>38</v>
      </c>
      <c r="D70" s="350">
        <f t="shared" si="1"/>
        <v>0</v>
      </c>
    </row>
    <row r="71" ht="15.75" customHeight="1">
      <c r="A71" s="350" t="str">
        <f>IFERROR(__xludf.DUMMYFUNCTION("""COMPUTED_VALUE"""),"PT bảo tồn mắt lớn ")</f>
        <v>PT bảo tồn mắt lớn </v>
      </c>
      <c r="B71" s="350">
        <f>IFERROR(__xludf.DUMMYFUNCTION("""COMPUTED_VALUE"""),50.0)</f>
        <v>50</v>
      </c>
      <c r="C71" s="350">
        <f>COUNTIF('BC Thang'!$I$4:$I$3085,$A71)</f>
        <v>0</v>
      </c>
      <c r="D71" s="350">
        <f t="shared" si="1"/>
        <v>0</v>
      </c>
    </row>
    <row r="72" ht="15.75" customHeight="1">
      <c r="A72" s="350" t="str">
        <f>IFERROR(__xludf.DUMMYFUNCTION("""COMPUTED_VALUE"""),"PT bảo tồn mắt nhỏ")</f>
        <v>PT bảo tồn mắt nhỏ</v>
      </c>
      <c r="B72" s="350">
        <f>IFERROR(__xludf.DUMMYFUNCTION("""COMPUTED_VALUE"""),25.0)</f>
        <v>25</v>
      </c>
      <c r="C72" s="350">
        <f>COUNTIF('BC Thang'!$I$4:$I$3085,$A72)</f>
        <v>0</v>
      </c>
      <c r="D72" s="350">
        <f t="shared" si="1"/>
        <v>0</v>
      </c>
    </row>
    <row r="73" ht="15.75" customHeight="1">
      <c r="A73" s="350" t="str">
        <f>IFERROR(__xludf.DUMMYFUNCTION("""COMPUTED_VALUE"""),"PT cắt đuôi lớn")</f>
        <v>PT cắt đuôi lớn</v>
      </c>
      <c r="B73" s="350">
        <f>IFERROR(__xludf.DUMMYFUNCTION("""COMPUTED_VALUE"""),37.0)</f>
        <v>37</v>
      </c>
      <c r="C73" s="350">
        <f>COUNTIF('BC Thang'!$I$4:$I$3085,$A73)</f>
        <v>0</v>
      </c>
      <c r="D73" s="350">
        <f t="shared" si="1"/>
        <v>0</v>
      </c>
    </row>
    <row r="74" ht="15.75" customHeight="1">
      <c r="A74" s="350" t="str">
        <f>IFERROR(__xludf.DUMMYFUNCTION("""COMPUTED_VALUE"""),"PT cắt đuôi SS")</f>
        <v>PT cắt đuôi SS</v>
      </c>
      <c r="B74" s="350">
        <f>IFERROR(__xludf.DUMMYFUNCTION("""COMPUTED_VALUE"""),10.0)</f>
        <v>10</v>
      </c>
      <c r="C74" s="350">
        <f>COUNTIF('BC Thang'!$I$4:$I$3085,$A74)</f>
        <v>1</v>
      </c>
      <c r="D74" s="350">
        <f t="shared" si="1"/>
        <v>10</v>
      </c>
    </row>
    <row r="75" ht="15.75" customHeight="1">
      <c r="A75" s="350" t="str">
        <f>IFERROR(__xludf.DUMMYFUNCTION("""COMPUTED_VALUE"""),"PT cắt mộng mắt")</f>
        <v>PT cắt mộng mắt</v>
      </c>
      <c r="B75" s="350">
        <f>IFERROR(__xludf.DUMMYFUNCTION("""COMPUTED_VALUE"""),17.0)</f>
        <v>17</v>
      </c>
      <c r="C75" s="350">
        <f>COUNTIF('BC Thang'!$I$4:$I$3085,$A75)</f>
        <v>0</v>
      </c>
      <c r="D75" s="350">
        <f t="shared" si="1"/>
        <v>0</v>
      </c>
    </row>
    <row r="76" ht="15.75" customHeight="1">
      <c r="A76" s="350" t="str">
        <f>IFERROR(__xludf.DUMMYFUNCTION("""COMPUTED_VALUE"""),"PT cắt tai")</f>
        <v>PT cắt tai</v>
      </c>
      <c r="B76" s="350">
        <f>IFERROR(__xludf.DUMMYFUNCTION("""COMPUTED_VALUE"""),40.0)</f>
        <v>40</v>
      </c>
      <c r="C76" s="350">
        <f>COUNTIF('BC Thang'!$I$4:$I$3085,$A76)</f>
        <v>0</v>
      </c>
      <c r="D76" s="350">
        <f t="shared" si="1"/>
        <v>0</v>
      </c>
    </row>
    <row r="77" ht="15.75" customHeight="1">
      <c r="A77" s="350" t="str">
        <f>IFERROR(__xludf.DUMMYFUNCTION("""COMPUTED_VALUE"""),"PT chết lưu thai")</f>
        <v>PT chết lưu thai</v>
      </c>
      <c r="B77" s="350">
        <f>IFERROR(__xludf.DUMMYFUNCTION("""COMPUTED_VALUE"""),120.0)</f>
        <v>120</v>
      </c>
      <c r="C77" s="350">
        <f>COUNTIF('BC Thang'!$I$4:$I$3085,$A77)</f>
        <v>0</v>
      </c>
      <c r="D77" s="350">
        <f t="shared" si="1"/>
        <v>0</v>
      </c>
    </row>
    <row r="78" ht="15.75" customHeight="1">
      <c r="A78" s="350" t="str">
        <f>IFERROR(__xludf.DUMMYFUNCTION("""COMPUTED_VALUE"""),"PT chuyển giới chó")</f>
        <v>PT chuyển giới chó</v>
      </c>
      <c r="B78" s="350">
        <f>IFERROR(__xludf.DUMMYFUNCTION("""COMPUTED_VALUE"""),163.0)</f>
        <v>163</v>
      </c>
      <c r="C78" s="350">
        <f>COUNTIF('BC Thang'!$I$4:$I$3085,$A78)</f>
        <v>0</v>
      </c>
      <c r="D78" s="350">
        <f t="shared" si="1"/>
        <v>0</v>
      </c>
    </row>
    <row r="79" ht="15.75" customHeight="1">
      <c r="A79" s="350" t="str">
        <f>IFERROR(__xludf.DUMMYFUNCTION("""COMPUTED_VALUE"""),"PT chuyển giới mèo")</f>
        <v>PT chuyển giới mèo</v>
      </c>
      <c r="B79" s="350">
        <f>IFERROR(__xludf.DUMMYFUNCTION("""COMPUTED_VALUE"""),85.0)</f>
        <v>85</v>
      </c>
      <c r="C79" s="350">
        <f>COUNTIF('BC Thang'!$I$4:$I$3085,$A79)</f>
        <v>0</v>
      </c>
      <c r="D79" s="350">
        <f t="shared" si="1"/>
        <v>0</v>
      </c>
    </row>
    <row r="80" ht="15.75" customHeight="1">
      <c r="A80" s="350" t="str">
        <f>IFERROR(__xludf.DUMMYFUNCTION("""COMPUTED_VALUE"""),"PT hoạn chó lớn")</f>
        <v>PT hoạn chó lớn</v>
      </c>
      <c r="B80" s="350">
        <f>IFERROR(__xludf.DUMMYFUNCTION("""COMPUTED_VALUE"""),105.0)</f>
        <v>105</v>
      </c>
      <c r="C80" s="350">
        <f>COUNTIF('BC Thang'!$I$4:$I$3085,$A80)</f>
        <v>1</v>
      </c>
      <c r="D80" s="350">
        <f t="shared" si="1"/>
        <v>105</v>
      </c>
    </row>
    <row r="81" ht="15.75" customHeight="1">
      <c r="A81" s="350" t="str">
        <f>IFERROR(__xludf.DUMMYFUNCTION("""COMPUTED_VALUE"""),"PT hoạn chó nhỏ")</f>
        <v>PT hoạn chó nhỏ</v>
      </c>
      <c r="B81" s="350">
        <f>IFERROR(__xludf.DUMMYFUNCTION("""COMPUTED_VALUE"""),50.0)</f>
        <v>50</v>
      </c>
      <c r="C81" s="350">
        <f>COUNTIF('BC Thang'!$I$4:$I$3085,$A81)</f>
        <v>2</v>
      </c>
      <c r="D81" s="350">
        <f t="shared" si="1"/>
        <v>100</v>
      </c>
    </row>
    <row r="82" ht="15.75" customHeight="1">
      <c r="A82" s="350" t="str">
        <f>IFERROR(__xludf.DUMMYFUNCTION("""COMPUTED_VALUE"""),"PT hoạn mèo")</f>
        <v>PT hoạn mèo</v>
      </c>
      <c r="B82" s="350">
        <f>IFERROR(__xludf.DUMMYFUNCTION("""COMPUTED_VALUE"""),36.0)</f>
        <v>36</v>
      </c>
      <c r="C82" s="350">
        <f>COUNTIF('BC Thang'!$I$4:$I$3085,$A82)</f>
        <v>6</v>
      </c>
      <c r="D82" s="350">
        <f t="shared" si="1"/>
        <v>216</v>
      </c>
    </row>
    <row r="83" ht="15.75" customHeight="1">
      <c r="A83" s="350" t="str">
        <f>IFERROR(__xludf.DUMMYFUNCTION("""COMPUTED_VALUE"""),"PT khác lớn")</f>
        <v>PT khác lớn</v>
      </c>
      <c r="B83" s="350">
        <f>IFERROR(__xludf.DUMMYFUNCTION("""COMPUTED_VALUE"""),100.0)</f>
        <v>100</v>
      </c>
      <c r="C83" s="350">
        <f>COUNTIF('BC Thang'!$I$4:$I$3085,$A83)</f>
        <v>0</v>
      </c>
      <c r="D83" s="350">
        <f t="shared" si="1"/>
        <v>0</v>
      </c>
    </row>
    <row r="84" ht="15.75" customHeight="1">
      <c r="A84" s="350" t="str">
        <f>IFERROR(__xludf.DUMMYFUNCTION("""COMPUTED_VALUE"""),"PT khác nhỏ")</f>
        <v>PT khác nhỏ</v>
      </c>
      <c r="B84" s="350">
        <f>IFERROR(__xludf.DUMMYFUNCTION("""COMPUTED_VALUE"""),50.0)</f>
        <v>50</v>
      </c>
      <c r="C84" s="350">
        <f>COUNTIF('BC Thang'!$I$4:$I$3085,$A84)</f>
        <v>1</v>
      </c>
      <c r="D84" s="350">
        <f t="shared" si="1"/>
        <v>50</v>
      </c>
    </row>
    <row r="85" ht="15.75" customHeight="1">
      <c r="A85" s="350" t="str">
        <f>IFERROR(__xludf.DUMMYFUNCTION("""COMPUTED_VALUE"""),"PT khoét mắt lớn")</f>
        <v>PT khoét mắt lớn</v>
      </c>
      <c r="B85" s="350">
        <f>IFERROR(__xludf.DUMMYFUNCTION("""COMPUTED_VALUE"""),36.0)</f>
        <v>36</v>
      </c>
      <c r="C85" s="350">
        <f>COUNTIF('BC Thang'!$I$4:$I$3085,$A85)</f>
        <v>0</v>
      </c>
      <c r="D85" s="350">
        <f t="shared" si="1"/>
        <v>0</v>
      </c>
    </row>
    <row r="86" ht="15.75" customHeight="1">
      <c r="A86" s="350" t="str">
        <f>IFERROR(__xludf.DUMMYFUNCTION("""COMPUTED_VALUE"""),"PT khoét mắt nhỏ")</f>
        <v>PT khoét mắt nhỏ</v>
      </c>
      <c r="B86" s="350">
        <f>IFERROR(__xludf.DUMMYFUNCTION("""COMPUTED_VALUE"""),20.0)</f>
        <v>20</v>
      </c>
      <c r="C86" s="350">
        <f>COUNTIF('BC Thang'!$I$4:$I$3085,$A86)</f>
        <v>0</v>
      </c>
      <c r="D86" s="350">
        <f t="shared" si="1"/>
        <v>0</v>
      </c>
    </row>
    <row r="87" ht="15.75" customHeight="1">
      <c r="A87" s="350" t="str">
        <f>IFERROR(__xludf.DUMMYFUNCTION("""COMPUTED_VALUE"""),"PT mổ đẻ chó nhỏ")</f>
        <v>PT mổ đẻ chó nhỏ</v>
      </c>
      <c r="B87" s="350">
        <f>IFERROR(__xludf.DUMMYFUNCTION("""COMPUTED_VALUE"""),70.0)</f>
        <v>70</v>
      </c>
      <c r="C87" s="350">
        <f>COUNTIF('BC Thang'!$I$4:$I$3085,$A87)</f>
        <v>0</v>
      </c>
      <c r="D87" s="350">
        <f t="shared" si="1"/>
        <v>0</v>
      </c>
    </row>
    <row r="88" ht="15.75" customHeight="1">
      <c r="A88" s="350" t="str">
        <f>IFERROR(__xludf.DUMMYFUNCTION("""COMPUTED_VALUE"""),"PT mổ đẻ chó to")</f>
        <v>PT mổ đẻ chó to</v>
      </c>
      <c r="B88" s="350">
        <f>IFERROR(__xludf.DUMMYFUNCTION("""COMPUTED_VALUE"""),100.0)</f>
        <v>100</v>
      </c>
      <c r="C88" s="350">
        <f>COUNTIF('BC Thang'!$I$4:$I$3085,$A88)</f>
        <v>0</v>
      </c>
      <c r="D88" s="350">
        <f t="shared" si="1"/>
        <v>0</v>
      </c>
    </row>
    <row r="89" ht="15.75" customHeight="1">
      <c r="A89" s="350" t="str">
        <f>IFERROR(__xludf.DUMMYFUNCTION("""COMPUTED_VALUE"""),"PT mổ đẻ mèo")</f>
        <v>PT mổ đẻ mèo</v>
      </c>
      <c r="B89" s="350">
        <f>IFERROR(__xludf.DUMMYFUNCTION("""COMPUTED_VALUE"""),50.0)</f>
        <v>50</v>
      </c>
      <c r="C89" s="350">
        <f>COUNTIF('BC Thang'!$I$4:$I$3085,$A89)</f>
        <v>0</v>
      </c>
      <c r="D89" s="350">
        <f t="shared" si="1"/>
        <v>0</v>
      </c>
    </row>
    <row r="90" ht="15.75" customHeight="1">
      <c r="A90" s="350" t="str">
        <f>IFERROR(__xludf.DUMMYFUNCTION("""COMPUTED_VALUE"""),"PT tháo khớp")</f>
        <v>PT tháo khớp</v>
      </c>
      <c r="B90" s="350">
        <f>IFERROR(__xludf.DUMMYFUNCTION("""COMPUTED_VALUE"""),63.0)</f>
        <v>63</v>
      </c>
      <c r="C90" s="350">
        <f>COUNTIF('BC Thang'!$I$4:$I$3085,$A90)</f>
        <v>0</v>
      </c>
      <c r="D90" s="350">
        <f t="shared" si="1"/>
        <v>0</v>
      </c>
    </row>
    <row r="91" ht="15.75" customHeight="1">
      <c r="A91" s="350" t="str">
        <f>IFERROR(__xludf.DUMMYFUNCTION("""COMPUTED_VALUE"""),"PT thiến chó lớn")</f>
        <v>PT thiến chó lớn</v>
      </c>
      <c r="B91" s="350">
        <f>IFERROR(__xludf.DUMMYFUNCTION("""COMPUTED_VALUE"""),35.0)</f>
        <v>35</v>
      </c>
      <c r="C91" s="350">
        <f>COUNTIF('BC Thang'!$I$4:$I$3085,$A91)</f>
        <v>0</v>
      </c>
      <c r="D91" s="350">
        <f t="shared" si="1"/>
        <v>0</v>
      </c>
    </row>
    <row r="92" ht="15.75" customHeight="1">
      <c r="A92" s="350" t="str">
        <f>IFERROR(__xludf.DUMMYFUNCTION("""COMPUTED_VALUE"""),"PT thiến chó nhỏ")</f>
        <v>PT thiến chó nhỏ</v>
      </c>
      <c r="B92" s="350">
        <f>IFERROR(__xludf.DUMMYFUNCTION("""COMPUTED_VALUE"""),17.0)</f>
        <v>17</v>
      </c>
      <c r="C92" s="350">
        <f>COUNTIF('BC Thang'!$I$4:$I$3085,$A92)</f>
        <v>0</v>
      </c>
      <c r="D92" s="350">
        <f t="shared" si="1"/>
        <v>0</v>
      </c>
    </row>
    <row r="93" ht="15.75" customHeight="1">
      <c r="A93" s="350" t="str">
        <f>IFERROR(__xludf.DUMMYFUNCTION("""COMPUTED_VALUE"""),"PT thiến mèo")</f>
        <v>PT thiến mèo</v>
      </c>
      <c r="B93" s="350">
        <f>IFERROR(__xludf.DUMMYFUNCTION("""COMPUTED_VALUE"""),16.0)</f>
        <v>16</v>
      </c>
      <c r="C93" s="350">
        <f>COUNTIF('BC Thang'!$I$4:$I$3085,$A93)</f>
        <v>2</v>
      </c>
      <c r="D93" s="350">
        <f t="shared" si="1"/>
        <v>32</v>
      </c>
    </row>
    <row r="94" ht="15.75" customHeight="1">
      <c r="A94" s="350" t="str">
        <f>IFERROR(__xludf.DUMMYFUNCTION("""COMPUTED_VALUE"""),"PT viêm tử cung")</f>
        <v>PT viêm tử cung</v>
      </c>
      <c r="B94" s="350">
        <f>IFERROR(__xludf.DUMMYFUNCTION("""COMPUTED_VALUE"""),140.0)</f>
        <v>140</v>
      </c>
      <c r="C94" s="350">
        <f>COUNTIF('BC Thang'!$I$4:$I$3085,$A94)</f>
        <v>0</v>
      </c>
      <c r="D94" s="350">
        <f t="shared" si="1"/>
        <v>0</v>
      </c>
    </row>
    <row r="95" ht="15.75" customHeight="1">
      <c r="A95" s="350" t="str">
        <f>IFERROR(__xludf.DUMMYFUNCTION("""COMPUTED_VALUE"""),"PT vùi mộng mắt")</f>
        <v>PT vùi mộng mắt</v>
      </c>
      <c r="B95" s="350">
        <f>IFERROR(__xludf.DUMMYFUNCTION("""COMPUTED_VALUE"""),37.0)</f>
        <v>37</v>
      </c>
      <c r="C95" s="350">
        <f>COUNTIF('BC Thang'!$I$4:$I$3085,$A95)</f>
        <v>0</v>
      </c>
      <c r="D95" s="350">
        <f t="shared" si="1"/>
        <v>0</v>
      </c>
    </row>
    <row r="96" ht="15.75" customHeight="1">
      <c r="A96" s="350" t="str">
        <f>IFERROR(__xludf.DUMMYFUNCTION("""COMPUTED_VALUE"""),"PT xương lớn")</f>
        <v>PT xương lớn</v>
      </c>
      <c r="B96" s="350">
        <f>IFERROR(__xludf.DUMMYFUNCTION("""COMPUTED_VALUE"""),500.0)</f>
        <v>500</v>
      </c>
      <c r="C96" s="350">
        <f>COUNTIF('BC Thang'!$I$4:$I$3085,$A96)</f>
        <v>0</v>
      </c>
      <c r="D96" s="350">
        <f t="shared" si="1"/>
        <v>0</v>
      </c>
    </row>
    <row r="97" ht="15.75" customHeight="1">
      <c r="A97" s="350" t="str">
        <f>IFERROR(__xludf.DUMMYFUNCTION("""COMPUTED_VALUE"""),"PT xương nhỏ")</f>
        <v>PT xương nhỏ</v>
      </c>
      <c r="B97" s="350">
        <f>IFERROR(__xludf.DUMMYFUNCTION("""COMPUTED_VALUE"""),350.0)</f>
        <v>350</v>
      </c>
      <c r="C97" s="350">
        <f>COUNTIF('BC Thang'!$I$4:$I$3085,$A97)</f>
        <v>0</v>
      </c>
      <c r="D97" s="350">
        <f t="shared" si="1"/>
        <v>0</v>
      </c>
    </row>
    <row r="98" ht="15.75" customHeight="1">
      <c r="A98" s="350" t="str">
        <f>IFERROR(__xludf.DUMMYFUNCTION("""COMPUTED_VALUE"""),"PT sỏi lớn")</f>
        <v>PT sỏi lớn</v>
      </c>
      <c r="B98" s="350">
        <f>IFERROR(__xludf.DUMMYFUNCTION("""COMPUTED_VALUE"""),500.0)</f>
        <v>500</v>
      </c>
      <c r="C98" s="350">
        <f>COUNTIF('BC Thang'!$I$4:$I$3085,$A98)</f>
        <v>0</v>
      </c>
      <c r="D98" s="350">
        <f t="shared" si="1"/>
        <v>0</v>
      </c>
    </row>
    <row r="99" ht="15.75" customHeight="1">
      <c r="A99" s="350" t="str">
        <f>IFERROR(__xludf.DUMMYFUNCTION("""COMPUTED_VALUE"""),"PT sỏi nhỏ")</f>
        <v>PT sỏi nhỏ</v>
      </c>
      <c r="B99" s="350">
        <f>IFERROR(__xludf.DUMMYFUNCTION("""COMPUTED_VALUE"""),350.0)</f>
        <v>350</v>
      </c>
      <c r="C99" s="350">
        <f>COUNTIF('BC Thang'!$I$4:$I$3085,$A99)</f>
        <v>0</v>
      </c>
      <c r="D99" s="350">
        <f t="shared" si="1"/>
        <v>0</v>
      </c>
    </row>
    <row r="100" ht="15.75" customHeight="1">
      <c r="A100" s="350" t="str">
        <f>IFERROR(__xludf.DUMMYFUNCTION("""COMPUTED_VALUE"""),"Siêu âm")</f>
        <v>Siêu âm</v>
      </c>
      <c r="B100" s="350">
        <f>IFERROR(__xludf.DUMMYFUNCTION("""COMPUTED_VALUE"""),10.0)</f>
        <v>10</v>
      </c>
      <c r="C100" s="350">
        <f>COUNTIF('BC Thang'!$I$4:$I$3085,$A100)</f>
        <v>10</v>
      </c>
      <c r="D100" s="350">
        <f t="shared" si="1"/>
        <v>100</v>
      </c>
    </row>
    <row r="101" ht="15.75" customHeight="1">
      <c r="A101" s="350" t="str">
        <f>IFERROR(__xludf.DUMMYFUNCTION("""COMPUTED_VALUE"""),"Sinh hóa máu")</f>
        <v>Sinh hóa máu</v>
      </c>
      <c r="B101" s="350">
        <f>IFERROR(__xludf.DUMMYFUNCTION("""COMPUTED_VALUE"""),144.0)</f>
        <v>144</v>
      </c>
      <c r="C101" s="350">
        <f>COUNTIF('BC Thang'!$I$4:$I$3085,$A101)</f>
        <v>4</v>
      </c>
      <c r="D101" s="350">
        <f t="shared" si="1"/>
        <v>576</v>
      </c>
    </row>
    <row r="102" ht="15.75" customHeight="1">
      <c r="A102" s="350" t="str">
        <f>IFERROR(__xludf.DUMMYFUNCTION("""COMPUTED_VALUE"""),"Soi da")</f>
        <v>Soi da</v>
      </c>
      <c r="B102" s="350">
        <f>IFERROR(__xludf.DUMMYFUNCTION("""COMPUTED_VALUE"""),5.0)</f>
        <v>5</v>
      </c>
      <c r="C102" s="350">
        <f>COUNTIF('BC Thang'!$I$4:$I$3085,$A102)</f>
        <v>0</v>
      </c>
      <c r="D102" s="350">
        <f t="shared" si="1"/>
        <v>0</v>
      </c>
    </row>
    <row r="103" ht="15.75" customHeight="1">
      <c r="A103" s="350" t="str">
        <f>IFERROR(__xludf.DUMMYFUNCTION("""COMPUTED_VALUE"""),"Soi Phân")</f>
        <v>Soi Phân</v>
      </c>
      <c r="B103" s="350">
        <f>IFERROR(__xludf.DUMMYFUNCTION("""COMPUTED_VALUE"""),5.0)</f>
        <v>5</v>
      </c>
      <c r="C103" s="350">
        <f>COUNTIF('BC Thang'!$I$4:$I$3085,$A103)</f>
        <v>0</v>
      </c>
      <c r="D103" s="350">
        <f t="shared" si="1"/>
        <v>0</v>
      </c>
    </row>
    <row r="104" ht="15.75" customHeight="1">
      <c r="A104" s="350" t="str">
        <f>IFERROR(__xludf.DUMMYFUNCTION("""COMPUTED_VALUE"""),"Soi tai")</f>
        <v>Soi tai</v>
      </c>
      <c r="B104" s="350">
        <f>IFERROR(__xludf.DUMMYFUNCTION("""COMPUTED_VALUE"""),5.0)</f>
        <v>5</v>
      </c>
      <c r="C104" s="350">
        <f>COUNTIF('BC Thang'!$I$4:$I$3085,$A104)</f>
        <v>0</v>
      </c>
      <c r="D104" s="350">
        <f t="shared" si="1"/>
        <v>0</v>
      </c>
    </row>
    <row r="105" ht="15.75" customHeight="1">
      <c r="A105" s="350" t="str">
        <f>IFERROR(__xludf.DUMMYFUNCTION("""COMPUTED_VALUE"""),"Soi tươi máu")</f>
        <v>Soi tươi máu</v>
      </c>
      <c r="B105" s="350">
        <f>IFERROR(__xludf.DUMMYFUNCTION("""COMPUTED_VALUE"""),5.0)</f>
        <v>5</v>
      </c>
      <c r="C105" s="350">
        <f>COUNTIF('BC Thang'!$I$4:$I$3085,$A105)</f>
        <v>0</v>
      </c>
      <c r="D105" s="350">
        <f t="shared" si="1"/>
        <v>0</v>
      </c>
    </row>
    <row r="106" ht="15.75" customHeight="1">
      <c r="A106" s="350" t="str">
        <f>IFERROR(__xludf.DUMMYFUNCTION("""COMPUTED_VALUE"""),"Tắm chó lớn")</f>
        <v>Tắm chó lớn</v>
      </c>
      <c r="B106" s="350">
        <f>IFERROR(__xludf.DUMMYFUNCTION("""COMPUTED_VALUE"""),14.0)</f>
        <v>14</v>
      </c>
      <c r="C106" s="350">
        <f>COUNTIF('BC Thang'!$I$4:$I$3085,$A106)</f>
        <v>1</v>
      </c>
      <c r="D106" s="350">
        <f t="shared" si="1"/>
        <v>14</v>
      </c>
    </row>
    <row r="107" ht="15.75" customHeight="1">
      <c r="A107" s="350" t="str">
        <f>IFERROR(__xludf.DUMMYFUNCTION("""COMPUTED_VALUE"""),"Tắm chó nhỏ")</f>
        <v>Tắm chó nhỏ</v>
      </c>
      <c r="B107" s="350">
        <f>IFERROR(__xludf.DUMMYFUNCTION("""COMPUTED_VALUE"""),7.0)</f>
        <v>7</v>
      </c>
      <c r="C107" s="350">
        <f>COUNTIF('BC Thang'!$I$4:$I$3085,$A107)</f>
        <v>5</v>
      </c>
      <c r="D107" s="350">
        <f t="shared" si="1"/>
        <v>35</v>
      </c>
    </row>
    <row r="108" ht="15.75" customHeight="1">
      <c r="A108" s="350" t="str">
        <f>IFERROR(__xludf.DUMMYFUNCTION("""COMPUTED_VALUE"""),"Tắm mèo")</f>
        <v>Tắm mèo</v>
      </c>
      <c r="B108" s="350">
        <f>IFERROR(__xludf.DUMMYFUNCTION("""COMPUTED_VALUE"""),7.0)</f>
        <v>7</v>
      </c>
      <c r="C108" s="350">
        <f>COUNTIF('BC Thang'!$I$4:$I$3085,$A108)</f>
        <v>0</v>
      </c>
      <c r="D108" s="350">
        <f t="shared" si="1"/>
        <v>0</v>
      </c>
    </row>
    <row r="109" ht="15.75" customHeight="1">
      <c r="A109" s="350" t="str">
        <f>IFERROR(__xludf.DUMMYFUNCTION("""COMPUTED_VALUE"""),"Tẩy giun lớn")</f>
        <v>Tẩy giun lớn</v>
      </c>
      <c r="B109" s="350">
        <f>IFERROR(__xludf.DUMMYFUNCTION("""COMPUTED_VALUE"""),15.0)</f>
        <v>15</v>
      </c>
      <c r="C109" s="350">
        <f>COUNTIF('BC Thang'!$I$4:$I$3085,$A109)</f>
        <v>2</v>
      </c>
      <c r="D109" s="350">
        <f t="shared" si="1"/>
        <v>30</v>
      </c>
    </row>
    <row r="110" ht="15.75" customHeight="1">
      <c r="A110" s="350" t="str">
        <f>IFERROR(__xludf.DUMMYFUNCTION("""COMPUTED_VALUE"""),"Tẩy giun nhỏ")</f>
        <v>Tẩy giun nhỏ</v>
      </c>
      <c r="B110" s="350">
        <f>IFERROR(__xludf.DUMMYFUNCTION("""COMPUTED_VALUE"""),5.0)</f>
        <v>5</v>
      </c>
      <c r="C110" s="350">
        <f>COUNTIF('BC Thang'!$I$4:$I$3085,$A110)</f>
        <v>35</v>
      </c>
      <c r="D110" s="350">
        <f t="shared" si="1"/>
        <v>175</v>
      </c>
    </row>
    <row r="111" ht="15.75" customHeight="1">
      <c r="A111" s="350" t="str">
        <f>IFERROR(__xludf.DUMMYFUNCTION("""COMPUTED_VALUE"""),"Tetracyline mỡ")</f>
        <v>Tetracyline mỡ</v>
      </c>
      <c r="B111" s="350">
        <f>IFERROR(__xludf.DUMMYFUNCTION("""COMPUTED_VALUE"""),5.0)</f>
        <v>5</v>
      </c>
      <c r="C111" s="350">
        <f>COUNTIF('BC Thang'!$I$4:$I$3085,$A111)</f>
        <v>0</v>
      </c>
      <c r="D111" s="350">
        <f t="shared" si="1"/>
        <v>0</v>
      </c>
    </row>
    <row r="112" ht="15.75" customHeight="1">
      <c r="A112" s="350" t="str">
        <f>IFERROR(__xludf.DUMMYFUNCTION("""COMPUTED_VALUE"""),"Thông tiểu")</f>
        <v>Thông tiểu</v>
      </c>
      <c r="B112" s="350">
        <f>IFERROR(__xludf.DUMMYFUNCTION("""COMPUTED_VALUE"""),100.0)</f>
        <v>100</v>
      </c>
      <c r="C112" s="350">
        <f>COUNTIF('BC Thang'!$I$4:$I$3085,$A112)</f>
        <v>0</v>
      </c>
      <c r="D112" s="350">
        <f t="shared" si="1"/>
        <v>0</v>
      </c>
    </row>
    <row r="113" ht="15.75" customHeight="1">
      <c r="A113" s="350" t="str">
        <f>IFERROR(__xludf.DUMMYFUNCTION("""COMPUTED_VALUE"""),"Thuốc bán")</f>
        <v>Thuốc bán</v>
      </c>
      <c r="B113" s="350">
        <f>IFERROR(__xludf.DUMMYFUNCTION("""COMPUTED_VALUE"""),30.0)</f>
        <v>30</v>
      </c>
      <c r="C113" s="350">
        <f>COUNTIF('BC Thang'!$I$4:$I$3085,$A113)</f>
        <v>43</v>
      </c>
      <c r="D113" s="350">
        <f t="shared" si="1"/>
        <v>1290</v>
      </c>
    </row>
    <row r="114" ht="15.75" customHeight="1">
      <c r="A114" s="350" t="str">
        <f>IFERROR(__xludf.DUMMYFUNCTION("""COMPUTED_VALUE"""),"Thuốc CDV")</f>
        <v>Thuốc CDV</v>
      </c>
      <c r="B114" s="350">
        <f>IFERROR(__xludf.DUMMYFUNCTION("""COMPUTED_VALUE"""),30.0)</f>
        <v>30</v>
      </c>
      <c r="C114" s="350">
        <f>COUNTIF('BC Thang'!$I$4:$I$3085,$A114)</f>
        <v>0</v>
      </c>
      <c r="D114" s="350">
        <f t="shared" si="1"/>
        <v>0</v>
      </c>
    </row>
    <row r="115" ht="15.75" customHeight="1">
      <c r="A115" s="350" t="str">
        <f>IFERROR(__xludf.DUMMYFUNCTION("""COMPUTED_VALUE"""),"Thuốc CPV")</f>
        <v>Thuốc CPV</v>
      </c>
      <c r="B115" s="350">
        <f>IFERROR(__xludf.DUMMYFUNCTION("""COMPUTED_VALUE"""),30.0)</f>
        <v>30</v>
      </c>
      <c r="C115" s="350">
        <f>COUNTIF('BC Thang'!$I$4:$I$3085,$A115)</f>
        <v>0</v>
      </c>
      <c r="D115" s="350">
        <f t="shared" si="1"/>
        <v>0</v>
      </c>
    </row>
    <row r="116" ht="15.75" customHeight="1">
      <c r="A116" s="350" t="str">
        <f>IFERROR(__xludf.DUMMYFUNCTION("""COMPUTED_VALUE"""),"Thuốc KST máu lớn")</f>
        <v>Thuốc KST máu lớn</v>
      </c>
      <c r="B116" s="350">
        <f>IFERROR(__xludf.DUMMYFUNCTION("""COMPUTED_VALUE"""),44.0)</f>
        <v>44</v>
      </c>
      <c r="C116" s="350">
        <f>COUNTIF('BC Thang'!$I$4:$I$3085,$A116)</f>
        <v>0</v>
      </c>
      <c r="D116" s="350">
        <f t="shared" si="1"/>
        <v>0</v>
      </c>
    </row>
    <row r="117" ht="15.75" customHeight="1">
      <c r="A117" s="350" t="str">
        <f>IFERROR(__xludf.DUMMYFUNCTION("""COMPUTED_VALUE"""),"Thuốc KST máu nhỏ")</f>
        <v>Thuốc KST máu nhỏ</v>
      </c>
      <c r="B117" s="350">
        <f>IFERROR(__xludf.DUMMYFUNCTION("""COMPUTED_VALUE"""),22.0)</f>
        <v>22</v>
      </c>
      <c r="C117" s="350">
        <f>COUNTIF('BC Thang'!$I$4:$I$3085,$A117)</f>
        <v>0</v>
      </c>
      <c r="D117" s="350">
        <f t="shared" si="1"/>
        <v>0</v>
      </c>
    </row>
    <row r="118" ht="15.75" customHeight="1">
      <c r="A118" s="350" t="str">
        <f>IFERROR(__xludf.DUMMYFUNCTION("""COMPUTED_VALUE"""),"Thuốc nấm uống")</f>
        <v>Thuốc nấm uống</v>
      </c>
      <c r="B118" s="350">
        <f>IFERROR(__xludf.DUMMYFUNCTION("""COMPUTED_VALUE"""),30.0)</f>
        <v>30</v>
      </c>
      <c r="C118" s="350">
        <f>COUNTIF('BC Thang'!$I$4:$I$3085,$A118)</f>
        <v>0</v>
      </c>
      <c r="D118" s="350">
        <f t="shared" si="1"/>
        <v>0</v>
      </c>
    </row>
    <row r="119" ht="15.75" customHeight="1">
      <c r="A119" s="350" t="str">
        <f>IFERROR(__xludf.DUMMYFUNCTION("""COMPUTED_VALUE"""),"Thuốc nhỏ ghẻ tai")</f>
        <v>Thuốc nhỏ ghẻ tai</v>
      </c>
      <c r="B119" s="350">
        <f>IFERROR(__xludf.DUMMYFUNCTION("""COMPUTED_VALUE"""),12.0)</f>
        <v>12</v>
      </c>
      <c r="C119" s="350">
        <f>COUNTIF('BC Thang'!$I$4:$I$3085,$A119)</f>
        <v>0</v>
      </c>
      <c r="D119" s="350">
        <f t="shared" si="1"/>
        <v>0</v>
      </c>
    </row>
    <row r="120" ht="15.75" customHeight="1">
      <c r="A120" s="350" t="str">
        <f>IFERROR(__xludf.DUMMYFUNCTION("""COMPUTED_VALUE"""),"Thuốc nhỏ mắt")</f>
        <v>Thuốc nhỏ mắt</v>
      </c>
      <c r="B120" s="350">
        <f>IFERROR(__xludf.DUMMYFUNCTION("""COMPUTED_VALUE"""),20.0)</f>
        <v>20</v>
      </c>
      <c r="C120" s="350">
        <f>COUNTIF('BC Thang'!$I$4:$I$3085,$A120)</f>
        <v>1</v>
      </c>
      <c r="D120" s="350">
        <f t="shared" si="1"/>
        <v>20</v>
      </c>
    </row>
    <row r="121" ht="15.75" customHeight="1">
      <c r="A121" s="350" t="str">
        <f>IFERROR(__xludf.DUMMYFUNCTION("""COMPUTED_VALUE"""),"Thuốc nhỏ mũi")</f>
        <v>Thuốc nhỏ mũi</v>
      </c>
      <c r="B121" s="350">
        <f>IFERROR(__xludf.DUMMYFUNCTION("""COMPUTED_VALUE"""),5.0)</f>
        <v>5</v>
      </c>
      <c r="C121" s="350">
        <f>COUNTIF('BC Thang'!$I$4:$I$3085,$A121)</f>
        <v>0</v>
      </c>
      <c r="D121" s="350">
        <f t="shared" si="1"/>
        <v>0</v>
      </c>
    </row>
    <row r="122" ht="15.75" customHeight="1">
      <c r="A122" s="350" t="str">
        <f>IFERROR(__xludf.DUMMYFUNCTION("""COMPUTED_VALUE"""),"Thuốc nhỏ viêm tai")</f>
        <v>Thuốc nhỏ viêm tai</v>
      </c>
      <c r="B122" s="350">
        <f>IFERROR(__xludf.DUMMYFUNCTION("""COMPUTED_VALUE"""),12.0)</f>
        <v>12</v>
      </c>
      <c r="C122" s="350">
        <f>COUNTIF('BC Thang'!$I$4:$I$3085,$A122)</f>
        <v>0</v>
      </c>
      <c r="D122" s="350">
        <f t="shared" si="1"/>
        <v>0</v>
      </c>
    </row>
    <row r="123" ht="15.75" customHeight="1">
      <c r="A123" s="350" t="str">
        <f>IFERROR(__xludf.DUMMYFUNCTION("""COMPUTED_VALUE"""),"Thuốc sát trùng")</f>
        <v>Thuốc sát trùng</v>
      </c>
      <c r="B123" s="350">
        <f>IFERROR(__xludf.DUMMYFUNCTION("""COMPUTED_VALUE"""),5.0)</f>
        <v>5</v>
      </c>
      <c r="C123" s="350">
        <f>COUNTIF('BC Thang'!$I$4:$I$3085,$A123)</f>
        <v>0</v>
      </c>
      <c r="D123" s="350">
        <f t="shared" si="1"/>
        <v>0</v>
      </c>
    </row>
    <row r="124" ht="15.75" customHeight="1">
      <c r="A124" s="350" t="str">
        <f>IFERROR(__xludf.DUMMYFUNCTION("""COMPUTED_VALUE"""),"Thuốc tán sỏi")</f>
        <v>Thuốc tán sỏi</v>
      </c>
      <c r="B124" s="350">
        <f>IFERROR(__xludf.DUMMYFUNCTION("""COMPUTED_VALUE"""),10.0)</f>
        <v>10</v>
      </c>
      <c r="C124" s="350">
        <f>COUNTIF('BC Thang'!$I$4:$I$3085,$A124)</f>
        <v>0</v>
      </c>
      <c r="D124" s="350">
        <f t="shared" si="1"/>
        <v>0</v>
      </c>
    </row>
    <row r="125" ht="15.75" customHeight="1">
      <c r="A125" s="350" t="str">
        <f>IFERROR(__xludf.DUMMYFUNCTION("""COMPUTED_VALUE"""),"Thuốc tắm nấm lớn")</f>
        <v>Thuốc tắm nấm lớn</v>
      </c>
      <c r="B125" s="350">
        <f>IFERROR(__xludf.DUMMYFUNCTION("""COMPUTED_VALUE"""),100.0)</f>
        <v>100</v>
      </c>
      <c r="C125" s="350">
        <f>COUNTIF('BC Thang'!$I$4:$I$3085,$A125)</f>
        <v>5</v>
      </c>
      <c r="D125" s="350">
        <f t="shared" si="1"/>
        <v>500</v>
      </c>
    </row>
    <row r="126" ht="15.75" customHeight="1">
      <c r="A126" s="350" t="str">
        <f>IFERROR(__xludf.DUMMYFUNCTION("""COMPUTED_VALUE"""),"Thuốc tắm nấm nhỏ")</f>
        <v>Thuốc tắm nấm nhỏ</v>
      </c>
      <c r="B126" s="350">
        <f>IFERROR(__xludf.DUMMYFUNCTION("""COMPUTED_VALUE"""),60.0)</f>
        <v>60</v>
      </c>
      <c r="C126" s="350">
        <f>COUNTIF('BC Thang'!$I$4:$I$3085,$A126)</f>
        <v>2</v>
      </c>
      <c r="D126" s="350">
        <f t="shared" si="1"/>
        <v>120</v>
      </c>
    </row>
    <row r="127" ht="15.75" customHeight="1">
      <c r="A127" s="350" t="str">
        <f>IFERROR(__xludf.DUMMYFUNCTION("""COMPUTED_VALUE"""),"Tích nước xoang bụng")</f>
        <v>Tích nước xoang bụng</v>
      </c>
      <c r="B127" s="350">
        <f>IFERROR(__xludf.DUMMYFUNCTION("""COMPUTED_VALUE"""),30.0)</f>
        <v>30</v>
      </c>
      <c r="C127" s="350">
        <f>COUNTIF('BC Thang'!$I$4:$I$3085,$A127)</f>
        <v>0</v>
      </c>
      <c r="D127" s="350">
        <f t="shared" si="1"/>
        <v>0</v>
      </c>
    </row>
    <row r="128" ht="15.75" customHeight="1">
      <c r="A128" s="350" t="str">
        <f>IFERROR(__xludf.DUMMYFUNCTION("""COMPUTED_VALUE"""),"Tomax")</f>
        <v>Tomax</v>
      </c>
      <c r="B128" s="350">
        <f>IFERROR(__xludf.DUMMYFUNCTION("""COMPUTED_VALUE"""),7.0)</f>
        <v>7</v>
      </c>
      <c r="C128" s="350">
        <f>COUNTIF('BC Thang'!$I$4:$I$3085,$A128)</f>
        <v>0</v>
      </c>
      <c r="D128" s="350">
        <f t="shared" si="1"/>
        <v>0</v>
      </c>
    </row>
    <row r="129" ht="15.75" customHeight="1">
      <c r="A129" s="350" t="str">
        <f>IFERROR(__xludf.DUMMYFUNCTION("""COMPUTED_VALUE"""),"Trợ Tử lớn")</f>
        <v>Trợ Tử lớn</v>
      </c>
      <c r="B129" s="350">
        <f>IFERROR(__xludf.DUMMYFUNCTION("""COMPUTED_VALUE"""),50.0)</f>
        <v>50</v>
      </c>
      <c r="C129" s="350">
        <f>COUNTIF('BC Thang'!$I$4:$I$3085,$A129)</f>
        <v>0</v>
      </c>
      <c r="D129" s="350">
        <f t="shared" si="1"/>
        <v>0</v>
      </c>
    </row>
    <row r="130" ht="15.75" customHeight="1">
      <c r="A130" s="350" t="str">
        <f>IFERROR(__xludf.DUMMYFUNCTION("""COMPUTED_VALUE"""),"Trợ Tử nhỏ")</f>
        <v>Trợ Tử nhỏ</v>
      </c>
      <c r="B130" s="350">
        <f>IFERROR(__xludf.DUMMYFUNCTION("""COMPUTED_VALUE"""),25.0)</f>
        <v>25</v>
      </c>
      <c r="C130" s="350">
        <f>COUNTIF('BC Thang'!$I$4:$I$3085,$A130)</f>
        <v>1</v>
      </c>
      <c r="D130" s="350">
        <f t="shared" si="1"/>
        <v>25</v>
      </c>
    </row>
    <row r="131" ht="15.75" customHeight="1">
      <c r="A131" s="350" t="str">
        <f>IFERROR(__xludf.DUMMYFUNCTION("""COMPUTED_VALUE"""),"Truyền dịch")</f>
        <v>Truyền dịch</v>
      </c>
      <c r="B131" s="350">
        <f>IFERROR(__xludf.DUMMYFUNCTION("""COMPUTED_VALUE"""),18.0)</f>
        <v>18</v>
      </c>
      <c r="C131" s="350">
        <f>COUNTIF('BC Thang'!$I$4:$I$3085,$A131)</f>
        <v>2</v>
      </c>
      <c r="D131" s="350">
        <f t="shared" si="1"/>
        <v>36</v>
      </c>
    </row>
    <row r="132" ht="15.75" customHeight="1">
      <c r="A132" s="350" t="str">
        <f>IFERROR(__xludf.DUMMYFUNCTION("""COMPUTED_VALUE"""),"Truyền máu")</f>
        <v>Truyền máu</v>
      </c>
      <c r="B132" s="350">
        <f>IFERROR(__xludf.DUMMYFUNCTION("""COMPUTED_VALUE"""),100.0)</f>
        <v>100</v>
      </c>
      <c r="C132" s="350">
        <f>COUNTIF('BC Thang'!$I$4:$I$3085,$A132)</f>
        <v>0</v>
      </c>
      <c r="D132" s="350">
        <f t="shared" si="1"/>
        <v>0</v>
      </c>
    </row>
    <row r="133" ht="15.75" customHeight="1">
      <c r="A133" s="350" t="str">
        <f>IFERROR(__xludf.DUMMYFUNCTION("""COMPUTED_VALUE"""),"U CTVT chó lớn")</f>
        <v>U CTVT chó lớn</v>
      </c>
      <c r="B133" s="350">
        <f>IFERROR(__xludf.DUMMYFUNCTION("""COMPUTED_VALUE"""),175.0)</f>
        <v>175</v>
      </c>
      <c r="C133" s="350">
        <f>COUNTIF('BC Thang'!$I$4:$I$3085,$A133)</f>
        <v>0</v>
      </c>
      <c r="D133" s="350">
        <f t="shared" si="1"/>
        <v>0</v>
      </c>
    </row>
    <row r="134" ht="15.75" customHeight="1">
      <c r="A134" s="350" t="str">
        <f>IFERROR(__xludf.DUMMYFUNCTION("""COMPUTED_VALUE"""),"U CTVT chó nhỏ")</f>
        <v>U CTVT chó nhỏ</v>
      </c>
      <c r="B134" s="350">
        <f>IFERROR(__xludf.DUMMYFUNCTION("""COMPUTED_VALUE"""),51.0)</f>
        <v>51</v>
      </c>
      <c r="C134" s="350">
        <f>COUNTIF('BC Thang'!$I$4:$I$3085,$A134)</f>
        <v>0</v>
      </c>
      <c r="D134" s="350">
        <f t="shared" si="1"/>
        <v>0</v>
      </c>
    </row>
    <row r="135" ht="15.75" customHeight="1">
      <c r="A135" s="350" t="str">
        <f>IFERROR(__xludf.DUMMYFUNCTION("""COMPUTED_VALUE"""),"Vaccine 5b chó")</f>
        <v>Vaccine 5b chó</v>
      </c>
      <c r="B135" s="350">
        <f>IFERROR(__xludf.DUMMYFUNCTION("""COMPUTED_VALUE"""),77.0)</f>
        <v>77</v>
      </c>
      <c r="C135" s="350">
        <f>COUNTIF('BC Thang'!$I$4:$I$3085,$A135)</f>
        <v>3</v>
      </c>
      <c r="D135" s="350">
        <f t="shared" si="1"/>
        <v>231</v>
      </c>
    </row>
    <row r="136" ht="15.75" customHeight="1">
      <c r="A136" s="350" t="str">
        <f>IFERROR(__xludf.DUMMYFUNCTION("""COMPUTED_VALUE"""),"Vaccine 7b chó")</f>
        <v>Vaccine 7b chó</v>
      </c>
      <c r="B136" s="350">
        <f>IFERROR(__xludf.DUMMYFUNCTION("""COMPUTED_VALUE"""),87.0)</f>
        <v>87</v>
      </c>
      <c r="C136" s="350">
        <f>COUNTIF('BC Thang'!$I$4:$I$3085,$A136)</f>
        <v>24</v>
      </c>
      <c r="D136" s="350">
        <f t="shared" si="1"/>
        <v>2088</v>
      </c>
    </row>
    <row r="137" ht="15.75" customHeight="1">
      <c r="A137" s="350" t="str">
        <f>IFERROR(__xludf.DUMMYFUNCTION("""COMPUTED_VALUE"""),"Vaccine Dại")</f>
        <v>Vaccine Dại</v>
      </c>
      <c r="B137" s="350">
        <f>IFERROR(__xludf.DUMMYFUNCTION("""COMPUTED_VALUE"""),16.0)</f>
        <v>16</v>
      </c>
      <c r="C137" s="350">
        <f>COUNTIF('BC Thang'!$I$4:$I$3085,$A137)</f>
        <v>23</v>
      </c>
      <c r="D137" s="350">
        <f t="shared" si="1"/>
        <v>368</v>
      </c>
    </row>
    <row r="138" ht="15.75" customHeight="1">
      <c r="A138" s="350" t="str">
        <f>IFERROR(__xludf.DUMMYFUNCTION("""COMPUTED_VALUE"""),"Vaccine mèo 4b")</f>
        <v>Vaccine mèo 4b</v>
      </c>
      <c r="B138" s="350">
        <f>IFERROR(__xludf.DUMMYFUNCTION("""COMPUTED_VALUE"""),150.0)</f>
        <v>150</v>
      </c>
      <c r="C138" s="350">
        <f>COUNTIF('BC Thang'!$I$4:$I$3085,$A138)</f>
        <v>4</v>
      </c>
      <c r="D138" s="350">
        <f t="shared" si="1"/>
        <v>600</v>
      </c>
    </row>
    <row r="139" ht="15.75" customHeight="1">
      <c r="A139" s="350" t="str">
        <f>IFERROR(__xludf.DUMMYFUNCTION("""COMPUTED_VALUE"""),"Vaccine FIP")</f>
        <v>Vaccine FIP</v>
      </c>
      <c r="B139" s="350">
        <f>IFERROR(__xludf.DUMMYFUNCTION("""COMPUTED_VALUE"""),210.0)</f>
        <v>210</v>
      </c>
      <c r="C139" s="350">
        <f>COUNTIF('BC Thang'!$I$4:$I$3085,$A139)</f>
        <v>0</v>
      </c>
      <c r="D139" s="350">
        <f t="shared" si="1"/>
        <v>0</v>
      </c>
    </row>
    <row r="140" ht="15.75" customHeight="1">
      <c r="A140" s="350" t="str">
        <f>IFERROR(__xludf.DUMMYFUNCTION("""COMPUTED_VALUE"""),"Vận chuyển")</f>
        <v>Vận chuyển</v>
      </c>
      <c r="B140" s="350">
        <f>IFERROR(__xludf.DUMMYFUNCTION("""COMPUTED_VALUE"""),30.0)</f>
        <v>30</v>
      </c>
      <c r="C140" s="350">
        <f>COUNTIF('BC Thang'!$I$4:$I$3085,$A140)</f>
        <v>0</v>
      </c>
      <c r="D140" s="350">
        <f t="shared" si="1"/>
        <v>0</v>
      </c>
    </row>
    <row r="141" ht="15.75" customHeight="1">
      <c r="A141" s="350" t="str">
        <f>IFERROR(__xludf.DUMMYFUNCTION("""COMPUTED_VALUE"""),"Về nhà")</f>
        <v>Về nhà</v>
      </c>
      <c r="B141" s="350">
        <f>IFERROR(__xludf.DUMMYFUNCTION("""COMPUTED_VALUE"""),30.0)</f>
        <v>30</v>
      </c>
      <c r="C141" s="350">
        <f>COUNTIF('BC Thang'!$I$4:$I$3085,$A141)</f>
        <v>10</v>
      </c>
      <c r="D141" s="350">
        <f t="shared" si="1"/>
        <v>300</v>
      </c>
    </row>
    <row r="142" ht="15.75" customHeight="1">
      <c r="A142" s="350" t="str">
        <f>IFERROR(__xludf.DUMMYFUNCTION("""COMPUTED_VALUE"""),"Vệ sinh tai")</f>
        <v>Vệ sinh tai</v>
      </c>
      <c r="B142" s="350">
        <f>IFERROR(__xludf.DUMMYFUNCTION("""COMPUTED_VALUE"""),7.0)</f>
        <v>7</v>
      </c>
      <c r="C142" s="350">
        <f>COUNTIF('BC Thang'!$I$4:$I$3085,$A142)</f>
        <v>2</v>
      </c>
      <c r="D142" s="350">
        <f t="shared" si="1"/>
        <v>14</v>
      </c>
    </row>
    <row r="143" ht="15.75" customHeight="1">
      <c r="A143" s="350" t="str">
        <f>IFERROR(__xludf.DUMMYFUNCTION("""COMPUTED_VALUE"""),"Vệ sinh vết thương")</f>
        <v>Vệ sinh vết thương</v>
      </c>
      <c r="B143" s="350">
        <f>IFERROR(__xludf.DUMMYFUNCTION("""COMPUTED_VALUE"""),10.0)</f>
        <v>10</v>
      </c>
      <c r="C143" s="350">
        <f>COUNTIF('BC Thang'!$I$4:$I$3085,$A143)</f>
        <v>0</v>
      </c>
      <c r="D143" s="350">
        <f t="shared" si="1"/>
        <v>0</v>
      </c>
    </row>
    <row r="144" ht="15.75" customHeight="1">
      <c r="A144" s="350" t="str">
        <f>IFERROR(__xludf.DUMMYFUNCTION("""COMPUTED_VALUE"""),"Viêm da khác")</f>
        <v>Viêm da khác</v>
      </c>
      <c r="B144" s="350">
        <f>IFERROR(__xludf.DUMMYFUNCTION("""COMPUTED_VALUE"""),25.0)</f>
        <v>25</v>
      </c>
      <c r="C144" s="350">
        <f>COUNTIF('BC Thang'!$I$4:$I$3085,$A144)</f>
        <v>0</v>
      </c>
      <c r="D144" s="350">
        <f t="shared" si="1"/>
        <v>0</v>
      </c>
    </row>
    <row r="145" ht="15.75" customHeight="1">
      <c r="A145" s="351" t="str">
        <f>IFERROR(__xludf.DUMMYFUNCTION("""COMPUTED_VALUE"""),"Viêm Phổi")</f>
        <v>Viêm Phổi</v>
      </c>
      <c r="B145" s="350">
        <f>IFERROR(__xludf.DUMMYFUNCTION("""COMPUTED_VALUE"""),25.0)</f>
        <v>25</v>
      </c>
      <c r="C145" s="350">
        <f>COUNTIF('BC Thang'!$I$4:$I$3085,$A145)</f>
        <v>0</v>
      </c>
      <c r="D145" s="350">
        <f t="shared" si="1"/>
        <v>0</v>
      </c>
    </row>
    <row r="146" ht="15.75" customHeight="1">
      <c r="A146" s="350" t="str">
        <f>IFERROR(__xludf.DUMMYFUNCTION("""COMPUTED_VALUE"""),"Viêm tai")</f>
        <v>Viêm tai</v>
      </c>
      <c r="B146" s="350">
        <f>IFERROR(__xludf.DUMMYFUNCTION("""COMPUTED_VALUE"""),30.0)</f>
        <v>30</v>
      </c>
      <c r="C146" s="350">
        <f>COUNTIF('BC Thang'!$I$4:$I$3085,$A146)</f>
        <v>0</v>
      </c>
      <c r="D146" s="350">
        <f t="shared" si="1"/>
        <v>0</v>
      </c>
    </row>
    <row r="147" ht="15.75" customHeight="1">
      <c r="A147" s="350" t="str">
        <f>IFERROR(__xludf.DUMMYFUNCTION("""COMPUTED_VALUE"""),"Viêm tiết niệu")</f>
        <v>Viêm tiết niệu</v>
      </c>
      <c r="B147" s="350">
        <f>IFERROR(__xludf.DUMMYFUNCTION("""COMPUTED_VALUE"""),10.0)</f>
        <v>10</v>
      </c>
      <c r="C147" s="350">
        <f>COUNTIF('BC Thang'!$I$4:$I$3085,$A147)</f>
        <v>0</v>
      </c>
      <c r="D147" s="350">
        <f t="shared" si="1"/>
        <v>0</v>
      </c>
    </row>
    <row r="148" ht="15.75" customHeight="1">
      <c r="A148" s="350" t="str">
        <f>IFERROR(__xludf.DUMMYFUNCTION("""COMPUTED_VALUE"""),"Xilanh kim tiêm")</f>
        <v>Xilanh kim tiêm</v>
      </c>
      <c r="B148" s="350">
        <f>IFERROR(__xludf.DUMMYFUNCTION("""COMPUTED_VALUE"""),5.0)</f>
        <v>5</v>
      </c>
      <c r="C148" s="350">
        <f>COUNTIF('BC Thang'!$I$4:$I$3085,$A148)</f>
        <v>0</v>
      </c>
      <c r="D148" s="350">
        <f t="shared" si="1"/>
        <v>0</v>
      </c>
    </row>
    <row r="149" ht="15.75" customHeight="1">
      <c r="A149" s="350" t="str">
        <f>IFERROR(__xludf.DUMMYFUNCTION("""COMPUTED_VALUE"""),"XN đường huyết")</f>
        <v>XN đường huyết</v>
      </c>
      <c r="B149" s="350">
        <f>IFERROR(__xludf.DUMMYFUNCTION("""COMPUTED_VALUE"""),10.0)</f>
        <v>10</v>
      </c>
      <c r="C149" s="350">
        <f>COUNTIF('BC Thang'!$I$4:$I$3085,$A149)</f>
        <v>0</v>
      </c>
      <c r="D149" s="350">
        <f t="shared" si="1"/>
        <v>0</v>
      </c>
    </row>
    <row r="150" ht="15.75" customHeight="1">
      <c r="A150" s="350" t="str">
        <f>IFERROR(__xludf.DUMMYFUNCTION("""COMPUTED_VALUE"""),"XN nước tiểu")</f>
        <v>XN nước tiểu</v>
      </c>
      <c r="B150" s="350">
        <f>IFERROR(__xludf.DUMMYFUNCTION("""COMPUTED_VALUE"""),20.0)</f>
        <v>20</v>
      </c>
      <c r="C150" s="350">
        <f>COUNTIF('BC Thang'!$I$4:$I$3085,$A150)</f>
        <v>0</v>
      </c>
      <c r="D150" s="350">
        <f t="shared" si="1"/>
        <v>0</v>
      </c>
    </row>
    <row r="151" ht="15.75" customHeight="1">
      <c r="A151" s="350" t="str">
        <f>IFERROR(__xludf.DUMMYFUNCTION("""COMPUTED_VALUE"""),"Xử lý áp xe")</f>
        <v>Xử lý áp xe</v>
      </c>
      <c r="B151" s="350">
        <f>IFERROR(__xludf.DUMMYFUNCTION("""COMPUTED_VALUE"""),23.0)</f>
        <v>23</v>
      </c>
      <c r="C151" s="350">
        <f>COUNTIF('BC Thang'!$I$4:$I$3085,$A151)</f>
        <v>0</v>
      </c>
      <c r="D151" s="350">
        <f t="shared" si="1"/>
        <v>0</v>
      </c>
    </row>
    <row r="152" ht="15.75" customHeight="1">
      <c r="A152" s="350" t="str">
        <f>IFERROR(__xludf.DUMMYFUNCTION("""COMPUTED_VALUE"""),"Xử lý vết thương")</f>
        <v>Xử lý vết thương</v>
      </c>
      <c r="B152" s="350">
        <f>IFERROR(__xludf.DUMMYFUNCTION("""COMPUTED_VALUE"""),40.0)</f>
        <v>40</v>
      </c>
      <c r="C152" s="350">
        <f>COUNTIF('BC Thang'!$I$4:$I$3085,$A152)</f>
        <v>2</v>
      </c>
      <c r="D152" s="350">
        <f t="shared" si="1"/>
        <v>80</v>
      </c>
    </row>
    <row r="153" ht="15.75" customHeight="1">
      <c r="A153" s="350" t="str">
        <f>IFERROR(__xludf.DUMMYFUNCTION("""COMPUTED_VALUE"""),"Khí dung")</f>
        <v>Khí dung</v>
      </c>
      <c r="B153" s="350">
        <f>IFERROR(__xludf.DUMMYFUNCTION("""COMPUTED_VALUE"""),15.0)</f>
        <v>15</v>
      </c>
      <c r="C153" s="350">
        <f>COUNTIF('BC Thang'!$I$4:$I$3085,$A153)</f>
        <v>0</v>
      </c>
      <c r="D153" s="350">
        <f t="shared" si="1"/>
        <v>0</v>
      </c>
    </row>
    <row r="154" ht="15.75" customHeight="1">
      <c r="A154" s="350" t="str">
        <f>IFERROR(__xludf.DUMMYFUNCTION("""COMPUTED_VALUE"""),"Thuốc FIP uống")</f>
        <v>Thuốc FIP uống</v>
      </c>
      <c r="B154" s="350">
        <f>IFERROR(__xludf.DUMMYFUNCTION("""COMPUTED_VALUE"""),10.0)</f>
        <v>10</v>
      </c>
      <c r="C154" s="350">
        <f>COUNTIF('BC Thang'!$I$4:$I$3085,$A154)</f>
        <v>0</v>
      </c>
      <c r="D154" s="350">
        <f t="shared" si="1"/>
        <v>0</v>
      </c>
    </row>
    <row r="155" ht="15.75" customHeight="1">
      <c r="A155" s="350" t="str">
        <f>IFERROR(__xludf.DUMMYFUNCTION("""COMPUTED_VALUE"""),"Thuốc FIP tiêm")</f>
        <v>Thuốc FIP tiêm</v>
      </c>
      <c r="B155" s="350">
        <f>IFERROR(__xludf.DUMMYFUNCTION("""COMPUTED_VALUE"""),1230.0)</f>
        <v>1230</v>
      </c>
      <c r="C155" s="350">
        <f>COUNTIF('BC Thang'!$I$4:$I$3085,$A155)</f>
        <v>3</v>
      </c>
      <c r="D155" s="350">
        <f t="shared" si="1"/>
        <v>3690</v>
      </c>
    </row>
    <row r="156" ht="15.75" customHeight="1">
      <c r="A156" s="350" t="str">
        <f>IFERROR(__xludf.DUMMYFUNCTION("""COMPUTED_VALUE"""),"Hỏa Táng")</f>
        <v>Hỏa Táng</v>
      </c>
      <c r="B156" s="350">
        <f>IFERROR(__xludf.DUMMYFUNCTION("""COMPUTED_VALUE"""),100.0)</f>
        <v>100</v>
      </c>
      <c r="C156" s="350">
        <f>COUNTIF('BC Thang'!$I$4:$I$3085,$A156)</f>
        <v>7</v>
      </c>
      <c r="D156" s="350">
        <f t="shared" si="1"/>
        <v>700</v>
      </c>
    </row>
    <row r="157" ht="15.75" customHeight="1">
      <c r="A157" s="350" t="str">
        <f>IFERROR(__xludf.DUMMYFUNCTION("""COMPUTED_VALUE"""),"Hoá chất máy SL")</f>
        <v>Hoá chất máy SL</v>
      </c>
      <c r="B157" s="350"/>
      <c r="C157" s="350">
        <f>COUNTIF('BC Thang'!$I$4:$I$3085,$A157)</f>
        <v>0</v>
      </c>
      <c r="D157" s="350">
        <f t="shared" si="1"/>
        <v>0</v>
      </c>
    </row>
    <row r="158" ht="15.75" customHeight="1">
      <c r="A158" s="350" t="str">
        <f>IFERROR(__xludf.DUMMYFUNCTION("""COMPUTED_VALUE"""),"Thuốc nhuộm")</f>
        <v>Thuốc nhuộm</v>
      </c>
      <c r="B158" s="350">
        <f>IFERROR(__xludf.DUMMYFUNCTION("""COMPUTED_VALUE"""),2.8)</f>
        <v>2.8</v>
      </c>
      <c r="C158" s="350">
        <f>COUNTIF('BC Thang'!$I$4:$I$3085,$A158)</f>
        <v>0</v>
      </c>
      <c r="D158" s="350">
        <f t="shared" si="1"/>
        <v>0</v>
      </c>
    </row>
    <row r="159" ht="15.75" customHeight="1">
      <c r="A159" s="350" t="str">
        <f>IFERROR(__xludf.DUMMYFUNCTION("""COMPUTED_VALUE"""),"Hạt mềm ký gửi")</f>
        <v>Hạt mềm ký gửi</v>
      </c>
      <c r="B159" s="350">
        <f>IFERROR(__xludf.DUMMYFUNCTION("""COMPUTED_VALUE"""),18.7)</f>
        <v>18.7</v>
      </c>
      <c r="C159" s="350">
        <f>COUNTIF('BC Thang'!$I$4:$I$3085,$A159)</f>
        <v>0</v>
      </c>
      <c r="D159" s="350">
        <f t="shared" si="1"/>
        <v>0</v>
      </c>
    </row>
    <row r="160" ht="15.75" customHeight="1">
      <c r="A160" s="350"/>
      <c r="B160" s="350"/>
      <c r="C160" s="350">
        <f>COUNTIF('BC Thang'!$I$4:$I$3085,$A160)</f>
        <v>0</v>
      </c>
      <c r="D160" s="350">
        <f t="shared" si="1"/>
        <v>0</v>
      </c>
    </row>
    <row r="161" ht="15.75" customHeight="1">
      <c r="A161" s="350"/>
      <c r="B161" s="350"/>
      <c r="C161" s="350">
        <f>COUNTIF('BC Thang'!$I$4:$I$3085,$A161)</f>
        <v>0</v>
      </c>
      <c r="D161" s="350">
        <f t="shared" si="1"/>
        <v>0</v>
      </c>
    </row>
    <row r="162" ht="15.75" customHeight="1">
      <c r="A162" s="350"/>
      <c r="B162" s="350"/>
      <c r="C162" s="350">
        <f>COUNTIF('BC Thang'!$I$4:$I$3085,$A162)</f>
        <v>0</v>
      </c>
      <c r="D162" s="350">
        <f t="shared" si="1"/>
        <v>0</v>
      </c>
    </row>
    <row r="163" ht="15.75" customHeight="1">
      <c r="A163" s="350"/>
      <c r="B163" s="350"/>
      <c r="C163" s="350">
        <f>COUNTIF('BC Thang'!$I$4:$I$3085,$A163)</f>
        <v>0</v>
      </c>
      <c r="D163" s="350">
        <f t="shared" si="1"/>
        <v>0</v>
      </c>
    </row>
    <row r="164" ht="15.75" customHeight="1">
      <c r="A164" s="350"/>
      <c r="B164" s="350"/>
      <c r="C164" s="350">
        <f>COUNTIF('BC Thang'!$I$4:$I$3085,$A164)</f>
        <v>0</v>
      </c>
      <c r="D164" s="350">
        <f t="shared" si="1"/>
        <v>0</v>
      </c>
    </row>
    <row r="165" ht="15.75" customHeight="1">
      <c r="A165" s="350"/>
      <c r="B165" s="350"/>
      <c r="C165" s="350">
        <f>COUNTIF('BC Thang'!$I$4:$I$3085,$A165)</f>
        <v>0</v>
      </c>
      <c r="D165" s="350">
        <f t="shared" si="1"/>
        <v>0</v>
      </c>
    </row>
    <row r="166" ht="15.75" customHeight="1">
      <c r="A166" s="350"/>
      <c r="B166" s="350"/>
      <c r="C166" s="350">
        <f>COUNTIF('BC Thang'!$I$4:$I$3085,$A166)</f>
        <v>0</v>
      </c>
      <c r="D166" s="350">
        <f t="shared" si="1"/>
        <v>0</v>
      </c>
    </row>
    <row r="167" ht="15.75" customHeight="1">
      <c r="A167" s="350"/>
      <c r="B167" s="350"/>
      <c r="C167" s="350">
        <f>COUNTIF('BC Thang'!$I$4:$I$3085,$A167)</f>
        <v>0</v>
      </c>
      <c r="D167" s="350">
        <f t="shared" si="1"/>
        <v>0</v>
      </c>
    </row>
    <row r="168" ht="15.75" customHeight="1">
      <c r="A168" s="350"/>
      <c r="B168" s="350"/>
      <c r="C168" s="350">
        <f>COUNTIF('BC Thang'!$I$4:$I$3085,$A168)</f>
        <v>0</v>
      </c>
      <c r="D168" s="350">
        <f t="shared" si="1"/>
        <v>0</v>
      </c>
    </row>
    <row r="169" ht="15.75" customHeight="1">
      <c r="A169" s="350"/>
      <c r="B169" s="350"/>
      <c r="C169" s="350">
        <f>COUNTIF('BC Thang'!$I$4:$I$3085,$A169)</f>
        <v>0</v>
      </c>
      <c r="D169" s="350">
        <f t="shared" si="1"/>
        <v>0</v>
      </c>
    </row>
    <row r="170" ht="15.75" customHeight="1">
      <c r="A170" s="350"/>
      <c r="B170" s="350"/>
      <c r="C170" s="350">
        <f>COUNTIF('BC Thang'!$I$4:$I$3085,$A170)</f>
        <v>0</v>
      </c>
      <c r="D170" s="350">
        <f t="shared" si="1"/>
        <v>0</v>
      </c>
    </row>
    <row r="171" ht="15.75" customHeight="1">
      <c r="A171" s="350"/>
      <c r="B171" s="350"/>
      <c r="C171" s="350">
        <f>COUNTIF('BC Thang'!$I$4:$I$3085,$A171)</f>
        <v>0</v>
      </c>
      <c r="D171" s="350">
        <f t="shared" si="1"/>
        <v>0</v>
      </c>
    </row>
    <row r="172" ht="15.75" customHeight="1">
      <c r="A172" s="350"/>
      <c r="B172" s="350"/>
      <c r="C172" s="350">
        <f>COUNTIF('BC Thang'!$I$4:$I$3085,$A172)</f>
        <v>0</v>
      </c>
      <c r="D172" s="350">
        <f t="shared" si="1"/>
        <v>0</v>
      </c>
    </row>
    <row r="173" ht="15.75" customHeight="1">
      <c r="A173" s="350"/>
      <c r="B173" s="350"/>
      <c r="C173" s="350">
        <f>COUNTIF('BC Thang'!$I$4:$I$3085,$A173)</f>
        <v>0</v>
      </c>
      <c r="D173" s="350">
        <f t="shared" si="1"/>
        <v>0</v>
      </c>
    </row>
    <row r="174" ht="15.75" customHeight="1">
      <c r="A174" s="350"/>
      <c r="B174" s="350"/>
      <c r="C174" s="350">
        <f>COUNTIF('BC Thang'!$I$4:$I$3085,$A174)</f>
        <v>0</v>
      </c>
      <c r="D174" s="350">
        <f t="shared" si="1"/>
        <v>0</v>
      </c>
    </row>
    <row r="175" ht="15.75" customHeight="1">
      <c r="A175" s="350"/>
      <c r="B175" s="350"/>
      <c r="C175" s="350">
        <f>COUNTIF('BC Thang'!$I$4:$I$3085,$A175)</f>
        <v>0</v>
      </c>
      <c r="D175" s="350">
        <f t="shared" si="1"/>
        <v>0</v>
      </c>
    </row>
    <row r="176" ht="15.75" customHeight="1">
      <c r="A176" s="350"/>
      <c r="B176" s="350"/>
      <c r="C176" s="350">
        <f>COUNTIF('BC Thang'!$I$4:$I$3085,$A176)</f>
        <v>0</v>
      </c>
      <c r="D176" s="350">
        <f t="shared" si="1"/>
        <v>0</v>
      </c>
    </row>
    <row r="177" ht="15.75" customHeight="1">
      <c r="A177" s="350"/>
      <c r="B177" s="350"/>
      <c r="C177" s="350">
        <f>COUNTIF('BC Thang'!$I$4:$I$3085,$A177)</f>
        <v>0</v>
      </c>
      <c r="D177" s="350">
        <f t="shared" si="1"/>
        <v>0</v>
      </c>
    </row>
    <row r="178" ht="15.75" customHeight="1">
      <c r="A178" s="350"/>
      <c r="B178" s="350"/>
      <c r="C178" s="350">
        <f>COUNTIF('BC Thang'!$I$4:$I$3085,$A178)</f>
        <v>0</v>
      </c>
      <c r="D178" s="350">
        <f t="shared" si="1"/>
        <v>0</v>
      </c>
    </row>
    <row r="179" ht="15.75" customHeight="1">
      <c r="A179" s="350"/>
      <c r="B179" s="350"/>
      <c r="C179" s="350">
        <f>COUNTIF('BC Thang'!$I$4:$I$3085,$A179)</f>
        <v>0</v>
      </c>
      <c r="D179" s="350">
        <f t="shared" si="1"/>
        <v>0</v>
      </c>
    </row>
    <row r="180" ht="15.75" customHeight="1">
      <c r="A180" s="350"/>
      <c r="B180" s="350"/>
      <c r="C180" s="350">
        <f>COUNTIF('BC Thang'!$I$4:$I$3085,$A180)</f>
        <v>0</v>
      </c>
      <c r="D180" s="350">
        <f t="shared" si="1"/>
        <v>0</v>
      </c>
    </row>
    <row r="181" ht="15.75" customHeight="1">
      <c r="A181" s="350"/>
      <c r="B181" s="350"/>
      <c r="C181" s="350">
        <f>COUNTIF('BC Thang'!$I$4:$I$3085,$A181)</f>
        <v>0</v>
      </c>
      <c r="D181" s="350">
        <f t="shared" si="1"/>
        <v>0</v>
      </c>
    </row>
    <row r="182" ht="15.75" customHeight="1">
      <c r="A182" s="350"/>
      <c r="B182" s="350"/>
      <c r="C182" s="350">
        <f>COUNTIF('BC Thang'!$I$4:$I$3085,$A182)</f>
        <v>0</v>
      </c>
      <c r="D182" s="350">
        <f t="shared" si="1"/>
        <v>0</v>
      </c>
    </row>
    <row r="183" ht="15.75" customHeight="1">
      <c r="A183" s="350"/>
      <c r="B183" s="350"/>
      <c r="C183" s="350">
        <f>COUNTIF('BC Thang'!$I$4:$I$3085,$A183)</f>
        <v>0</v>
      </c>
      <c r="D183" s="350">
        <f t="shared" si="1"/>
        <v>0</v>
      </c>
    </row>
    <row r="184" ht="15.75" customHeight="1">
      <c r="A184" s="350"/>
      <c r="B184" s="350"/>
      <c r="C184" s="350">
        <f>COUNTIF('BC Thang'!$I$4:$I$3085,$A184)</f>
        <v>0</v>
      </c>
      <c r="D184" s="350">
        <f t="shared" si="1"/>
        <v>0</v>
      </c>
    </row>
    <row r="185" ht="15.75" customHeight="1">
      <c r="A185" s="350"/>
      <c r="B185" s="350"/>
      <c r="C185" s="350">
        <f>COUNTIF('BC Thang'!$I$4:$I$3085,$A185)</f>
        <v>0</v>
      </c>
      <c r="D185" s="350">
        <f t="shared" si="1"/>
        <v>0</v>
      </c>
    </row>
    <row r="186" ht="15.75" customHeight="1">
      <c r="A186" s="350"/>
      <c r="B186" s="350"/>
      <c r="C186" s="350">
        <f>COUNTIF('BC Thang'!$I$4:$I$3085,$A186)</f>
        <v>0</v>
      </c>
      <c r="D186" s="350">
        <f t="shared" si="1"/>
        <v>0</v>
      </c>
    </row>
    <row r="187" ht="15.75" customHeight="1">
      <c r="A187" s="350"/>
      <c r="B187" s="350"/>
      <c r="C187" s="350">
        <f>COUNTIF('BC Thang'!$I$4:$I$3085,$A187)</f>
        <v>0</v>
      </c>
      <c r="D187" s="350">
        <f t="shared" si="1"/>
        <v>0</v>
      </c>
    </row>
    <row r="188" ht="15.75" customHeight="1">
      <c r="A188" s="350"/>
      <c r="B188" s="350"/>
      <c r="C188" s="350">
        <f>COUNTIF('BC Thang'!$I$4:$I$3085,$A188)</f>
        <v>0</v>
      </c>
      <c r="D188" s="350">
        <f t="shared" si="1"/>
        <v>0</v>
      </c>
    </row>
    <row r="189" ht="15.75" customHeight="1">
      <c r="A189" s="350"/>
      <c r="B189" s="350"/>
      <c r="C189" s="350">
        <f>COUNTIF('BC Thang'!$I$4:$I$3085,$A189)</f>
        <v>0</v>
      </c>
      <c r="D189" s="350">
        <f t="shared" si="1"/>
        <v>0</v>
      </c>
    </row>
    <row r="190" ht="15.75" customHeight="1">
      <c r="A190" s="350"/>
      <c r="B190" s="350"/>
      <c r="C190" s="350">
        <f>COUNTIF('BC Thang'!$I$4:$I$3085,$A190)</f>
        <v>0</v>
      </c>
      <c r="D190" s="350">
        <f t="shared" si="1"/>
        <v>0</v>
      </c>
    </row>
    <row r="191" ht="15.75" customHeight="1">
      <c r="A191" s="350"/>
      <c r="B191" s="350"/>
      <c r="C191" s="350">
        <f>COUNTIF('BC Thang'!$I$4:$I$3085,$A191)</f>
        <v>0</v>
      </c>
      <c r="D191" s="350">
        <f t="shared" si="1"/>
        <v>0</v>
      </c>
    </row>
    <row r="192" ht="15.75" customHeight="1">
      <c r="A192" s="350"/>
      <c r="B192" s="350"/>
      <c r="C192" s="350">
        <f t="shared" ref="C192:C630" si="2">COUNTIF(#REF!,$A192)</f>
        <v>0</v>
      </c>
      <c r="D192" s="350">
        <f t="shared" si="1"/>
        <v>0</v>
      </c>
    </row>
    <row r="193" ht="15.75" customHeight="1">
      <c r="A193" s="350"/>
      <c r="B193" s="350"/>
      <c r="C193" s="350">
        <f t="shared" si="2"/>
        <v>0</v>
      </c>
      <c r="D193" s="350">
        <f t="shared" si="1"/>
        <v>0</v>
      </c>
    </row>
    <row r="194" ht="15.75" customHeight="1">
      <c r="A194" s="350"/>
      <c r="B194" s="350"/>
      <c r="C194" s="350">
        <f t="shared" si="2"/>
        <v>0</v>
      </c>
      <c r="D194" s="350">
        <f t="shared" si="1"/>
        <v>0</v>
      </c>
    </row>
    <row r="195" ht="15.75" customHeight="1">
      <c r="A195" s="350"/>
      <c r="B195" s="350"/>
      <c r="C195" s="350">
        <f t="shared" si="2"/>
        <v>0</v>
      </c>
      <c r="D195" s="350">
        <f t="shared" si="1"/>
        <v>0</v>
      </c>
    </row>
    <row r="196" ht="15.75" customHeight="1">
      <c r="A196" s="350"/>
      <c r="B196" s="350"/>
      <c r="C196" s="350">
        <f t="shared" si="2"/>
        <v>0</v>
      </c>
      <c r="D196" s="350">
        <f t="shared" si="1"/>
        <v>0</v>
      </c>
    </row>
    <row r="197" ht="15.75" customHeight="1">
      <c r="A197" s="350"/>
      <c r="B197" s="350"/>
      <c r="C197" s="350">
        <f t="shared" si="2"/>
        <v>0</v>
      </c>
      <c r="D197" s="350">
        <f t="shared" si="1"/>
        <v>0</v>
      </c>
    </row>
    <row r="198" ht="15.75" customHeight="1">
      <c r="A198" s="350"/>
      <c r="B198" s="350"/>
      <c r="C198" s="350">
        <f t="shared" si="2"/>
        <v>0</v>
      </c>
      <c r="D198" s="350">
        <f t="shared" si="1"/>
        <v>0</v>
      </c>
    </row>
    <row r="199" ht="15.75" customHeight="1">
      <c r="A199" s="350"/>
      <c r="B199" s="350"/>
      <c r="C199" s="350">
        <f t="shared" si="2"/>
        <v>0</v>
      </c>
      <c r="D199" s="350">
        <f t="shared" si="1"/>
        <v>0</v>
      </c>
    </row>
    <row r="200" ht="15.75" customHeight="1">
      <c r="A200" s="350"/>
      <c r="B200" s="350"/>
      <c r="C200" s="350">
        <f t="shared" si="2"/>
        <v>0</v>
      </c>
      <c r="D200" s="350">
        <f t="shared" si="1"/>
        <v>0</v>
      </c>
    </row>
    <row r="201" ht="15.75" customHeight="1">
      <c r="A201" s="350"/>
      <c r="B201" s="350"/>
      <c r="C201" s="350">
        <f t="shared" si="2"/>
        <v>0</v>
      </c>
      <c r="D201" s="350">
        <f t="shared" si="1"/>
        <v>0</v>
      </c>
    </row>
    <row r="202" ht="15.75" customHeight="1">
      <c r="A202" s="350"/>
      <c r="B202" s="350"/>
      <c r="C202" s="350">
        <f t="shared" si="2"/>
        <v>0</v>
      </c>
      <c r="D202" s="350">
        <f t="shared" si="1"/>
        <v>0</v>
      </c>
    </row>
    <row r="203" ht="15.75" customHeight="1">
      <c r="A203" s="350"/>
      <c r="B203" s="350"/>
      <c r="C203" s="350">
        <f t="shared" si="2"/>
        <v>0</v>
      </c>
      <c r="D203" s="350">
        <f t="shared" si="1"/>
        <v>0</v>
      </c>
    </row>
    <row r="204" ht="15.75" customHeight="1">
      <c r="A204" s="350"/>
      <c r="B204" s="350"/>
      <c r="C204" s="350">
        <f t="shared" si="2"/>
        <v>0</v>
      </c>
      <c r="D204" s="350">
        <f t="shared" si="1"/>
        <v>0</v>
      </c>
    </row>
    <row r="205" ht="15.75" customHeight="1">
      <c r="A205" s="350"/>
      <c r="B205" s="350"/>
      <c r="C205" s="350">
        <f t="shared" si="2"/>
        <v>0</v>
      </c>
      <c r="D205" s="350">
        <f t="shared" si="1"/>
        <v>0</v>
      </c>
    </row>
    <row r="206" ht="15.75" customHeight="1">
      <c r="A206" s="350"/>
      <c r="B206" s="350"/>
      <c r="C206" s="350">
        <f t="shared" si="2"/>
        <v>0</v>
      </c>
      <c r="D206" s="350">
        <f t="shared" si="1"/>
        <v>0</v>
      </c>
    </row>
    <row r="207" ht="15.75" customHeight="1">
      <c r="A207" s="350"/>
      <c r="B207" s="350"/>
      <c r="C207" s="350">
        <f t="shared" si="2"/>
        <v>0</v>
      </c>
      <c r="D207" s="350">
        <f t="shared" si="1"/>
        <v>0</v>
      </c>
    </row>
    <row r="208" ht="15.75" customHeight="1">
      <c r="A208" s="350"/>
      <c r="B208" s="350"/>
      <c r="C208" s="350">
        <f t="shared" si="2"/>
        <v>0</v>
      </c>
      <c r="D208" s="350">
        <f t="shared" si="1"/>
        <v>0</v>
      </c>
    </row>
    <row r="209" ht="15.75" customHeight="1">
      <c r="A209" s="350"/>
      <c r="B209" s="350"/>
      <c r="C209" s="350">
        <f t="shared" si="2"/>
        <v>0</v>
      </c>
      <c r="D209" s="350">
        <f t="shared" si="1"/>
        <v>0</v>
      </c>
    </row>
    <row r="210" ht="15.75" customHeight="1">
      <c r="A210" s="350"/>
      <c r="B210" s="350"/>
      <c r="C210" s="350">
        <f t="shared" si="2"/>
        <v>0</v>
      </c>
      <c r="D210" s="350">
        <f t="shared" si="1"/>
        <v>0</v>
      </c>
    </row>
    <row r="211" ht="15.75" customHeight="1">
      <c r="A211" s="350"/>
      <c r="B211" s="350"/>
      <c r="C211" s="350">
        <f t="shared" si="2"/>
        <v>0</v>
      </c>
      <c r="D211" s="350">
        <f t="shared" si="1"/>
        <v>0</v>
      </c>
    </row>
    <row r="212" ht="15.75" customHeight="1">
      <c r="A212" s="350"/>
      <c r="B212" s="350"/>
      <c r="C212" s="350">
        <f t="shared" si="2"/>
        <v>0</v>
      </c>
      <c r="D212" s="350">
        <f t="shared" si="1"/>
        <v>0</v>
      </c>
    </row>
    <row r="213" ht="15.75" customHeight="1">
      <c r="A213" s="350"/>
      <c r="B213" s="350"/>
      <c r="C213" s="350">
        <f t="shared" si="2"/>
        <v>0</v>
      </c>
      <c r="D213" s="350">
        <f t="shared" si="1"/>
        <v>0</v>
      </c>
    </row>
    <row r="214" ht="15.75" customHeight="1">
      <c r="A214" s="350"/>
      <c r="B214" s="350"/>
      <c r="C214" s="350">
        <f t="shared" si="2"/>
        <v>0</v>
      </c>
      <c r="D214" s="350">
        <f t="shared" si="1"/>
        <v>0</v>
      </c>
    </row>
    <row r="215" ht="15.75" customHeight="1">
      <c r="A215" s="350"/>
      <c r="B215" s="350"/>
      <c r="C215" s="350">
        <f t="shared" si="2"/>
        <v>0</v>
      </c>
      <c r="D215" s="350">
        <f t="shared" si="1"/>
        <v>0</v>
      </c>
    </row>
    <row r="216" ht="15.75" customHeight="1">
      <c r="A216" s="350"/>
      <c r="B216" s="350"/>
      <c r="C216" s="350">
        <f t="shared" si="2"/>
        <v>0</v>
      </c>
      <c r="D216" s="350">
        <f t="shared" si="1"/>
        <v>0</v>
      </c>
    </row>
    <row r="217" ht="15.75" customHeight="1">
      <c r="A217" s="350"/>
      <c r="B217" s="350"/>
      <c r="C217" s="350">
        <f t="shared" si="2"/>
        <v>0</v>
      </c>
      <c r="D217" s="350">
        <f t="shared" si="1"/>
        <v>0</v>
      </c>
    </row>
    <row r="218" ht="15.75" customHeight="1">
      <c r="A218" s="350"/>
      <c r="B218" s="350"/>
      <c r="C218" s="350">
        <f t="shared" si="2"/>
        <v>0</v>
      </c>
      <c r="D218" s="350">
        <f t="shared" si="1"/>
        <v>0</v>
      </c>
    </row>
    <row r="219" ht="15.75" customHeight="1">
      <c r="A219" s="350"/>
      <c r="B219" s="350"/>
      <c r="C219" s="350">
        <f t="shared" si="2"/>
        <v>0</v>
      </c>
      <c r="D219" s="350">
        <f t="shared" si="1"/>
        <v>0</v>
      </c>
    </row>
    <row r="220" ht="15.75" customHeight="1">
      <c r="A220" s="350"/>
      <c r="B220" s="350"/>
      <c r="C220" s="350">
        <f t="shared" si="2"/>
        <v>0</v>
      </c>
      <c r="D220" s="350">
        <f t="shared" si="1"/>
        <v>0</v>
      </c>
    </row>
    <row r="221" ht="15.75" customHeight="1">
      <c r="A221" s="350"/>
      <c r="B221" s="350"/>
      <c r="C221" s="350">
        <f t="shared" si="2"/>
        <v>0</v>
      </c>
      <c r="D221" s="350">
        <f t="shared" si="1"/>
        <v>0</v>
      </c>
    </row>
    <row r="222" ht="15.75" customHeight="1">
      <c r="A222" s="350"/>
      <c r="B222" s="350"/>
      <c r="C222" s="350">
        <f t="shared" si="2"/>
        <v>0</v>
      </c>
      <c r="D222" s="350">
        <f t="shared" si="1"/>
        <v>0</v>
      </c>
    </row>
    <row r="223" ht="15.75" customHeight="1">
      <c r="A223" s="350"/>
      <c r="B223" s="350"/>
      <c r="C223" s="350">
        <f t="shared" si="2"/>
        <v>0</v>
      </c>
      <c r="D223" s="350">
        <f t="shared" si="1"/>
        <v>0</v>
      </c>
    </row>
    <row r="224" ht="15.75" customHeight="1">
      <c r="A224" s="350"/>
      <c r="B224" s="350"/>
      <c r="C224" s="350">
        <f t="shared" si="2"/>
        <v>0</v>
      </c>
      <c r="D224" s="350">
        <f t="shared" si="1"/>
        <v>0</v>
      </c>
    </row>
    <row r="225" ht="15.75" customHeight="1">
      <c r="A225" s="350"/>
      <c r="B225" s="350"/>
      <c r="C225" s="350">
        <f t="shared" si="2"/>
        <v>0</v>
      </c>
      <c r="D225" s="350">
        <f t="shared" si="1"/>
        <v>0</v>
      </c>
    </row>
    <row r="226" ht="15.75" customHeight="1">
      <c r="A226" s="350"/>
      <c r="B226" s="350"/>
      <c r="C226" s="350">
        <f t="shared" si="2"/>
        <v>0</v>
      </c>
      <c r="D226" s="350">
        <f t="shared" si="1"/>
        <v>0</v>
      </c>
    </row>
    <row r="227" ht="15.75" customHeight="1">
      <c r="A227" s="350"/>
      <c r="B227" s="350"/>
      <c r="C227" s="350">
        <f t="shared" si="2"/>
        <v>0</v>
      </c>
      <c r="D227" s="350">
        <f t="shared" si="1"/>
        <v>0</v>
      </c>
    </row>
    <row r="228" ht="15.75" customHeight="1">
      <c r="A228" s="350"/>
      <c r="B228" s="350"/>
      <c r="C228" s="350">
        <f t="shared" si="2"/>
        <v>0</v>
      </c>
      <c r="D228" s="350">
        <f t="shared" si="1"/>
        <v>0</v>
      </c>
    </row>
    <row r="229" ht="15.75" customHeight="1">
      <c r="A229" s="350"/>
      <c r="B229" s="350"/>
      <c r="C229" s="350">
        <f t="shared" si="2"/>
        <v>0</v>
      </c>
      <c r="D229" s="350">
        <f t="shared" si="1"/>
        <v>0</v>
      </c>
    </row>
    <row r="230" ht="15.75" customHeight="1">
      <c r="A230" s="350"/>
      <c r="B230" s="350"/>
      <c r="C230" s="350">
        <f t="shared" si="2"/>
        <v>0</v>
      </c>
      <c r="D230" s="350">
        <f t="shared" si="1"/>
        <v>0</v>
      </c>
    </row>
    <row r="231" ht="15.75" customHeight="1">
      <c r="A231" s="350"/>
      <c r="B231" s="350"/>
      <c r="C231" s="350">
        <f t="shared" si="2"/>
        <v>0</v>
      </c>
      <c r="D231" s="350">
        <f t="shared" si="1"/>
        <v>0</v>
      </c>
    </row>
    <row r="232" ht="15.75" customHeight="1">
      <c r="A232" s="350"/>
      <c r="B232" s="350"/>
      <c r="C232" s="350">
        <f t="shared" si="2"/>
        <v>0</v>
      </c>
      <c r="D232" s="350">
        <f t="shared" si="1"/>
        <v>0</v>
      </c>
    </row>
    <row r="233" ht="15.75" customHeight="1">
      <c r="A233" s="350"/>
      <c r="B233" s="350"/>
      <c r="C233" s="350">
        <f t="shared" si="2"/>
        <v>0</v>
      </c>
      <c r="D233" s="350">
        <f t="shared" si="1"/>
        <v>0</v>
      </c>
    </row>
    <row r="234" ht="15.75" customHeight="1">
      <c r="A234" s="350"/>
      <c r="B234" s="350"/>
      <c r="C234" s="350">
        <f t="shared" si="2"/>
        <v>0</v>
      </c>
      <c r="D234" s="350">
        <f t="shared" si="1"/>
        <v>0</v>
      </c>
    </row>
    <row r="235" ht="15.75" customHeight="1">
      <c r="A235" s="350"/>
      <c r="B235" s="350"/>
      <c r="C235" s="350">
        <f t="shared" si="2"/>
        <v>0</v>
      </c>
      <c r="D235" s="350">
        <f t="shared" si="1"/>
        <v>0</v>
      </c>
    </row>
    <row r="236" ht="15.75" customHeight="1">
      <c r="A236" s="350"/>
      <c r="B236" s="350"/>
      <c r="C236" s="350">
        <f t="shared" si="2"/>
        <v>0</v>
      </c>
      <c r="D236" s="350">
        <f t="shared" si="1"/>
        <v>0</v>
      </c>
    </row>
    <row r="237" ht="15.75" customHeight="1">
      <c r="A237" s="350"/>
      <c r="B237" s="350"/>
      <c r="C237" s="350">
        <f t="shared" si="2"/>
        <v>0</v>
      </c>
      <c r="D237" s="350">
        <f t="shared" si="1"/>
        <v>0</v>
      </c>
    </row>
    <row r="238" ht="15.75" customHeight="1">
      <c r="A238" s="350"/>
      <c r="B238" s="350"/>
      <c r="C238" s="350">
        <f t="shared" si="2"/>
        <v>0</v>
      </c>
      <c r="D238" s="350">
        <f t="shared" si="1"/>
        <v>0</v>
      </c>
    </row>
    <row r="239" ht="15.75" customHeight="1">
      <c r="A239" s="350"/>
      <c r="B239" s="350"/>
      <c r="C239" s="350">
        <f t="shared" si="2"/>
        <v>0</v>
      </c>
      <c r="D239" s="350">
        <f t="shared" si="1"/>
        <v>0</v>
      </c>
    </row>
    <row r="240" ht="15.75" customHeight="1">
      <c r="A240" s="350"/>
      <c r="B240" s="350"/>
      <c r="C240" s="350">
        <f t="shared" si="2"/>
        <v>0</v>
      </c>
      <c r="D240" s="350">
        <f t="shared" si="1"/>
        <v>0</v>
      </c>
    </row>
    <row r="241" ht="15.75" customHeight="1">
      <c r="A241" s="350"/>
      <c r="B241" s="350"/>
      <c r="C241" s="350">
        <f t="shared" si="2"/>
        <v>0</v>
      </c>
      <c r="D241" s="350">
        <f t="shared" si="1"/>
        <v>0</v>
      </c>
    </row>
    <row r="242" ht="15.75" customHeight="1">
      <c r="A242" s="350"/>
      <c r="B242" s="350"/>
      <c r="C242" s="350">
        <f t="shared" si="2"/>
        <v>0</v>
      </c>
      <c r="D242" s="350">
        <f t="shared" si="1"/>
        <v>0</v>
      </c>
    </row>
    <row r="243" ht="15.75" customHeight="1">
      <c r="A243" s="350"/>
      <c r="B243" s="350"/>
      <c r="C243" s="350">
        <f t="shared" si="2"/>
        <v>0</v>
      </c>
      <c r="D243" s="350">
        <f t="shared" si="1"/>
        <v>0</v>
      </c>
    </row>
    <row r="244" ht="15.75" customHeight="1">
      <c r="A244" s="350"/>
      <c r="B244" s="350"/>
      <c r="C244" s="350">
        <f t="shared" si="2"/>
        <v>0</v>
      </c>
      <c r="D244" s="350">
        <f t="shared" si="1"/>
        <v>0</v>
      </c>
    </row>
    <row r="245" ht="15.75" customHeight="1">
      <c r="A245" s="350"/>
      <c r="B245" s="350"/>
      <c r="C245" s="350">
        <f t="shared" si="2"/>
        <v>0</v>
      </c>
      <c r="D245" s="350">
        <f t="shared" si="1"/>
        <v>0</v>
      </c>
    </row>
    <row r="246" ht="15.75" customHeight="1">
      <c r="A246" s="350"/>
      <c r="B246" s="350"/>
      <c r="C246" s="350">
        <f t="shared" si="2"/>
        <v>0</v>
      </c>
      <c r="D246" s="350">
        <f t="shared" si="1"/>
        <v>0</v>
      </c>
    </row>
    <row r="247" ht="15.75" customHeight="1">
      <c r="A247" s="350"/>
      <c r="B247" s="350"/>
      <c r="C247" s="350">
        <f t="shared" si="2"/>
        <v>0</v>
      </c>
      <c r="D247" s="350">
        <f t="shared" si="1"/>
        <v>0</v>
      </c>
    </row>
    <row r="248" ht="15.75" customHeight="1">
      <c r="A248" s="350"/>
      <c r="B248" s="350"/>
      <c r="C248" s="350">
        <f t="shared" si="2"/>
        <v>0</v>
      </c>
      <c r="D248" s="350">
        <f t="shared" si="1"/>
        <v>0</v>
      </c>
    </row>
    <row r="249" ht="15.75" customHeight="1">
      <c r="A249" s="350"/>
      <c r="B249" s="350"/>
      <c r="C249" s="350">
        <f t="shared" si="2"/>
        <v>0</v>
      </c>
      <c r="D249" s="350">
        <f t="shared" si="1"/>
        <v>0</v>
      </c>
    </row>
    <row r="250" ht="15.75" customHeight="1">
      <c r="A250" s="350"/>
      <c r="B250" s="350"/>
      <c r="C250" s="350">
        <f t="shared" si="2"/>
        <v>0</v>
      </c>
      <c r="D250" s="350">
        <f t="shared" si="1"/>
        <v>0</v>
      </c>
    </row>
    <row r="251" ht="15.75" customHeight="1">
      <c r="A251" s="350"/>
      <c r="B251" s="350"/>
      <c r="C251" s="350">
        <f t="shared" si="2"/>
        <v>0</v>
      </c>
      <c r="D251" s="350">
        <f t="shared" si="1"/>
        <v>0</v>
      </c>
    </row>
    <row r="252" ht="15.75" customHeight="1">
      <c r="A252" s="350"/>
      <c r="B252" s="350"/>
      <c r="C252" s="350">
        <f t="shared" si="2"/>
        <v>0</v>
      </c>
      <c r="D252" s="350">
        <f t="shared" si="1"/>
        <v>0</v>
      </c>
    </row>
    <row r="253" ht="15.75" customHeight="1">
      <c r="A253" s="350"/>
      <c r="B253" s="350"/>
      <c r="C253" s="350">
        <f t="shared" si="2"/>
        <v>0</v>
      </c>
      <c r="D253" s="350">
        <f t="shared" si="1"/>
        <v>0</v>
      </c>
    </row>
    <row r="254" ht="15.75" customHeight="1">
      <c r="A254" s="350"/>
      <c r="B254" s="350"/>
      <c r="C254" s="350">
        <f t="shared" si="2"/>
        <v>0</v>
      </c>
      <c r="D254" s="350">
        <f t="shared" si="1"/>
        <v>0</v>
      </c>
    </row>
    <row r="255" ht="15.75" customHeight="1">
      <c r="A255" s="350"/>
      <c r="B255" s="350"/>
      <c r="C255" s="350">
        <f t="shared" si="2"/>
        <v>0</v>
      </c>
      <c r="D255" s="350">
        <f t="shared" si="1"/>
        <v>0</v>
      </c>
    </row>
    <row r="256" ht="15.75" customHeight="1">
      <c r="A256" s="350"/>
      <c r="B256" s="350"/>
      <c r="C256" s="350">
        <f t="shared" si="2"/>
        <v>0</v>
      </c>
      <c r="D256" s="350">
        <f t="shared" si="1"/>
        <v>0</v>
      </c>
    </row>
    <row r="257" ht="15.75" customHeight="1">
      <c r="A257" s="350"/>
      <c r="B257" s="350"/>
      <c r="C257" s="350">
        <f t="shared" si="2"/>
        <v>0</v>
      </c>
      <c r="D257" s="350">
        <f t="shared" si="1"/>
        <v>0</v>
      </c>
    </row>
    <row r="258" ht="15.75" customHeight="1">
      <c r="A258" s="350"/>
      <c r="B258" s="350"/>
      <c r="C258" s="350">
        <f t="shared" si="2"/>
        <v>0</v>
      </c>
      <c r="D258" s="350">
        <f t="shared" si="1"/>
        <v>0</v>
      </c>
    </row>
    <row r="259" ht="15.75" customHeight="1">
      <c r="A259" s="350"/>
      <c r="B259" s="350"/>
      <c r="C259" s="350">
        <f t="shared" si="2"/>
        <v>0</v>
      </c>
      <c r="D259" s="350">
        <f t="shared" si="1"/>
        <v>0</v>
      </c>
    </row>
    <row r="260" ht="15.75" customHeight="1">
      <c r="A260" s="350"/>
      <c r="B260" s="350"/>
      <c r="C260" s="350">
        <f t="shared" si="2"/>
        <v>0</v>
      </c>
      <c r="D260" s="350">
        <f t="shared" si="1"/>
        <v>0</v>
      </c>
    </row>
    <row r="261" ht="15.75" customHeight="1">
      <c r="A261" s="350"/>
      <c r="B261" s="350"/>
      <c r="C261" s="350">
        <f t="shared" si="2"/>
        <v>0</v>
      </c>
      <c r="D261" s="350">
        <f t="shared" si="1"/>
        <v>0</v>
      </c>
    </row>
    <row r="262" ht="15.75" customHeight="1">
      <c r="A262" s="350"/>
      <c r="B262" s="350"/>
      <c r="C262" s="350">
        <f t="shared" si="2"/>
        <v>0</v>
      </c>
      <c r="D262" s="350">
        <f t="shared" si="1"/>
        <v>0</v>
      </c>
    </row>
    <row r="263" ht="15.75" customHeight="1">
      <c r="A263" s="350"/>
      <c r="B263" s="350"/>
      <c r="C263" s="350">
        <f t="shared" si="2"/>
        <v>0</v>
      </c>
      <c r="D263" s="350">
        <f t="shared" si="1"/>
        <v>0</v>
      </c>
    </row>
    <row r="264" ht="15.75" customHeight="1">
      <c r="A264" s="350"/>
      <c r="B264" s="350"/>
      <c r="C264" s="350">
        <f t="shared" si="2"/>
        <v>0</v>
      </c>
      <c r="D264" s="350">
        <f t="shared" si="1"/>
        <v>0</v>
      </c>
    </row>
    <row r="265" ht="15.75" customHeight="1">
      <c r="A265" s="350"/>
      <c r="B265" s="350"/>
      <c r="C265" s="350">
        <f t="shared" si="2"/>
        <v>0</v>
      </c>
      <c r="D265" s="350">
        <f t="shared" si="1"/>
        <v>0</v>
      </c>
    </row>
    <row r="266" ht="15.75" customHeight="1">
      <c r="A266" s="350"/>
      <c r="B266" s="350"/>
      <c r="C266" s="350">
        <f t="shared" si="2"/>
        <v>0</v>
      </c>
      <c r="D266" s="350">
        <f t="shared" si="1"/>
        <v>0</v>
      </c>
    </row>
    <row r="267" ht="15.75" customHeight="1">
      <c r="A267" s="350"/>
      <c r="B267" s="350"/>
      <c r="C267" s="350">
        <f t="shared" si="2"/>
        <v>0</v>
      </c>
      <c r="D267" s="350">
        <f t="shared" si="1"/>
        <v>0</v>
      </c>
    </row>
    <row r="268" ht="15.75" customHeight="1">
      <c r="A268" s="350"/>
      <c r="B268" s="350"/>
      <c r="C268" s="350">
        <f t="shared" si="2"/>
        <v>0</v>
      </c>
      <c r="D268" s="350">
        <f t="shared" si="1"/>
        <v>0</v>
      </c>
    </row>
    <row r="269" ht="15.75" customHeight="1">
      <c r="A269" s="350"/>
      <c r="B269" s="350"/>
      <c r="C269" s="350">
        <f t="shared" si="2"/>
        <v>0</v>
      </c>
      <c r="D269" s="350">
        <f t="shared" si="1"/>
        <v>0</v>
      </c>
    </row>
    <row r="270" ht="15.75" customHeight="1">
      <c r="A270" s="350"/>
      <c r="B270" s="350"/>
      <c r="C270" s="350">
        <f t="shared" si="2"/>
        <v>0</v>
      </c>
      <c r="D270" s="350">
        <f t="shared" si="1"/>
        <v>0</v>
      </c>
    </row>
    <row r="271" ht="15.75" customHeight="1">
      <c r="A271" s="350"/>
      <c r="B271" s="350"/>
      <c r="C271" s="350">
        <f t="shared" si="2"/>
        <v>0</v>
      </c>
      <c r="D271" s="350">
        <f t="shared" si="1"/>
        <v>0</v>
      </c>
    </row>
    <row r="272" ht="15.75" customHeight="1">
      <c r="A272" s="350"/>
      <c r="B272" s="350"/>
      <c r="C272" s="350">
        <f t="shared" si="2"/>
        <v>0</v>
      </c>
      <c r="D272" s="350">
        <f t="shared" si="1"/>
        <v>0</v>
      </c>
    </row>
    <row r="273" ht="15.75" customHeight="1">
      <c r="A273" s="350"/>
      <c r="B273" s="350"/>
      <c r="C273" s="350">
        <f t="shared" si="2"/>
        <v>0</v>
      </c>
      <c r="D273" s="350">
        <f t="shared" si="1"/>
        <v>0</v>
      </c>
    </row>
    <row r="274" ht="15.75" customHeight="1">
      <c r="A274" s="350"/>
      <c r="B274" s="350"/>
      <c r="C274" s="350">
        <f t="shared" si="2"/>
        <v>0</v>
      </c>
      <c r="D274" s="350">
        <f t="shared" si="1"/>
        <v>0</v>
      </c>
    </row>
    <row r="275" ht="15.75" customHeight="1">
      <c r="A275" s="350"/>
      <c r="B275" s="350"/>
      <c r="C275" s="350">
        <f t="shared" si="2"/>
        <v>0</v>
      </c>
      <c r="D275" s="350">
        <f t="shared" si="1"/>
        <v>0</v>
      </c>
    </row>
    <row r="276" ht="15.75" customHeight="1">
      <c r="A276" s="350"/>
      <c r="B276" s="350"/>
      <c r="C276" s="350">
        <f t="shared" si="2"/>
        <v>0</v>
      </c>
      <c r="D276" s="350">
        <f t="shared" si="1"/>
        <v>0</v>
      </c>
    </row>
    <row r="277" ht="15.75" customHeight="1">
      <c r="A277" s="350"/>
      <c r="B277" s="350"/>
      <c r="C277" s="350">
        <f t="shared" si="2"/>
        <v>0</v>
      </c>
      <c r="D277" s="350">
        <f t="shared" si="1"/>
        <v>0</v>
      </c>
    </row>
    <row r="278" ht="15.75" customHeight="1">
      <c r="A278" s="350"/>
      <c r="B278" s="350"/>
      <c r="C278" s="350">
        <f t="shared" si="2"/>
        <v>0</v>
      </c>
      <c r="D278" s="350">
        <f t="shared" si="1"/>
        <v>0</v>
      </c>
    </row>
    <row r="279" ht="15.75" customHeight="1">
      <c r="A279" s="350"/>
      <c r="B279" s="350"/>
      <c r="C279" s="350">
        <f t="shared" si="2"/>
        <v>0</v>
      </c>
      <c r="D279" s="350">
        <f t="shared" si="1"/>
        <v>0</v>
      </c>
    </row>
    <row r="280" ht="15.75" customHeight="1">
      <c r="A280" s="350"/>
      <c r="B280" s="350"/>
      <c r="C280" s="350">
        <f t="shared" si="2"/>
        <v>0</v>
      </c>
      <c r="D280" s="350">
        <f t="shared" si="1"/>
        <v>0</v>
      </c>
    </row>
    <row r="281" ht="15.75" customHeight="1">
      <c r="A281" s="350"/>
      <c r="B281" s="350"/>
      <c r="C281" s="350">
        <f t="shared" si="2"/>
        <v>0</v>
      </c>
      <c r="D281" s="350">
        <f t="shared" si="1"/>
        <v>0</v>
      </c>
    </row>
    <row r="282" ht="15.75" customHeight="1">
      <c r="A282" s="350"/>
      <c r="B282" s="350"/>
      <c r="C282" s="350">
        <f t="shared" si="2"/>
        <v>0</v>
      </c>
      <c r="D282" s="350">
        <f t="shared" si="1"/>
        <v>0</v>
      </c>
    </row>
    <row r="283" ht="15.75" customHeight="1">
      <c r="A283" s="350"/>
      <c r="B283" s="350"/>
      <c r="C283" s="350">
        <f t="shared" si="2"/>
        <v>0</v>
      </c>
      <c r="D283" s="350">
        <f t="shared" si="1"/>
        <v>0</v>
      </c>
    </row>
    <row r="284" ht="15.75" customHeight="1">
      <c r="A284" s="350"/>
      <c r="B284" s="350"/>
      <c r="C284" s="350">
        <f t="shared" si="2"/>
        <v>0</v>
      </c>
      <c r="D284" s="350">
        <f t="shared" si="1"/>
        <v>0</v>
      </c>
    </row>
    <row r="285" ht="15.75" customHeight="1">
      <c r="A285" s="350"/>
      <c r="B285" s="350"/>
      <c r="C285" s="350">
        <f t="shared" si="2"/>
        <v>0</v>
      </c>
      <c r="D285" s="350">
        <f t="shared" si="1"/>
        <v>0</v>
      </c>
    </row>
    <row r="286" ht="15.75" customHeight="1">
      <c r="A286" s="350"/>
      <c r="B286" s="350"/>
      <c r="C286" s="350">
        <f t="shared" si="2"/>
        <v>0</v>
      </c>
      <c r="D286" s="350">
        <f t="shared" si="1"/>
        <v>0</v>
      </c>
    </row>
    <row r="287" ht="15.75" customHeight="1">
      <c r="A287" s="350"/>
      <c r="B287" s="350"/>
      <c r="C287" s="350">
        <f t="shared" si="2"/>
        <v>0</v>
      </c>
      <c r="D287" s="350">
        <f t="shared" si="1"/>
        <v>0</v>
      </c>
    </row>
    <row r="288" ht="15.75" customHeight="1">
      <c r="A288" s="350"/>
      <c r="B288" s="350"/>
      <c r="C288" s="350">
        <f t="shared" si="2"/>
        <v>0</v>
      </c>
      <c r="D288" s="350">
        <f t="shared" si="1"/>
        <v>0</v>
      </c>
    </row>
    <row r="289" ht="15.75" customHeight="1">
      <c r="A289" s="350"/>
      <c r="B289" s="350"/>
      <c r="C289" s="350">
        <f t="shared" si="2"/>
        <v>0</v>
      </c>
      <c r="D289" s="350">
        <f t="shared" si="1"/>
        <v>0</v>
      </c>
    </row>
    <row r="290" ht="15.75" customHeight="1">
      <c r="A290" s="350"/>
      <c r="B290" s="350"/>
      <c r="C290" s="350">
        <f t="shared" si="2"/>
        <v>0</v>
      </c>
      <c r="D290" s="350">
        <f t="shared" si="1"/>
        <v>0</v>
      </c>
    </row>
    <row r="291" ht="15.75" customHeight="1">
      <c r="A291" s="350"/>
      <c r="B291" s="350"/>
      <c r="C291" s="350">
        <f t="shared" si="2"/>
        <v>0</v>
      </c>
      <c r="D291" s="350">
        <f t="shared" si="1"/>
        <v>0</v>
      </c>
    </row>
    <row r="292" ht="15.75" customHeight="1">
      <c r="A292" s="350"/>
      <c r="B292" s="350"/>
      <c r="C292" s="350">
        <f t="shared" si="2"/>
        <v>0</v>
      </c>
      <c r="D292" s="350">
        <f t="shared" si="1"/>
        <v>0</v>
      </c>
    </row>
    <row r="293" ht="15.75" customHeight="1">
      <c r="A293" s="350"/>
      <c r="B293" s="350"/>
      <c r="C293" s="350">
        <f t="shared" si="2"/>
        <v>0</v>
      </c>
      <c r="D293" s="350">
        <f t="shared" si="1"/>
        <v>0</v>
      </c>
    </row>
    <row r="294" ht="15.75" customHeight="1">
      <c r="A294" s="350"/>
      <c r="B294" s="350"/>
      <c r="C294" s="350">
        <f t="shared" si="2"/>
        <v>0</v>
      </c>
      <c r="D294" s="350">
        <f t="shared" si="1"/>
        <v>0</v>
      </c>
    </row>
    <row r="295" ht="15.75" customHeight="1">
      <c r="A295" s="350"/>
      <c r="B295" s="350"/>
      <c r="C295" s="350">
        <f t="shared" si="2"/>
        <v>0</v>
      </c>
      <c r="D295" s="350">
        <f t="shared" si="1"/>
        <v>0</v>
      </c>
    </row>
    <row r="296" ht="15.75" customHeight="1">
      <c r="A296" s="350"/>
      <c r="B296" s="350"/>
      <c r="C296" s="350">
        <f t="shared" si="2"/>
        <v>0</v>
      </c>
      <c r="D296" s="350">
        <f t="shared" si="1"/>
        <v>0</v>
      </c>
    </row>
    <row r="297" ht="15.75" customHeight="1">
      <c r="A297" s="350"/>
      <c r="B297" s="350"/>
      <c r="C297" s="350">
        <f t="shared" si="2"/>
        <v>0</v>
      </c>
      <c r="D297" s="350">
        <f t="shared" si="1"/>
        <v>0</v>
      </c>
    </row>
    <row r="298" ht="15.75" customHeight="1">
      <c r="A298" s="350"/>
      <c r="B298" s="350"/>
      <c r="C298" s="350">
        <f t="shared" si="2"/>
        <v>0</v>
      </c>
      <c r="D298" s="350">
        <f t="shared" si="1"/>
        <v>0</v>
      </c>
    </row>
    <row r="299" ht="15.75" customHeight="1">
      <c r="A299" s="350"/>
      <c r="B299" s="350"/>
      <c r="C299" s="350">
        <f t="shared" si="2"/>
        <v>0</v>
      </c>
      <c r="D299" s="350">
        <f t="shared" si="1"/>
        <v>0</v>
      </c>
    </row>
    <row r="300" ht="15.75" customHeight="1">
      <c r="A300" s="350"/>
      <c r="B300" s="350"/>
      <c r="C300" s="350">
        <f t="shared" si="2"/>
        <v>0</v>
      </c>
      <c r="D300" s="350">
        <f t="shared" si="1"/>
        <v>0</v>
      </c>
    </row>
    <row r="301" ht="15.75" customHeight="1">
      <c r="A301" s="350"/>
      <c r="B301" s="350"/>
      <c r="C301" s="350">
        <f t="shared" si="2"/>
        <v>0</v>
      </c>
      <c r="D301" s="350">
        <f t="shared" si="1"/>
        <v>0</v>
      </c>
    </row>
    <row r="302" ht="15.75" customHeight="1">
      <c r="A302" s="350"/>
      <c r="B302" s="350"/>
      <c r="C302" s="350">
        <f t="shared" si="2"/>
        <v>0</v>
      </c>
      <c r="D302" s="350">
        <f t="shared" si="1"/>
        <v>0</v>
      </c>
    </row>
    <row r="303" ht="15.75" customHeight="1">
      <c r="A303" s="350"/>
      <c r="B303" s="350"/>
      <c r="C303" s="350">
        <f t="shared" si="2"/>
        <v>0</v>
      </c>
      <c r="D303" s="350">
        <f t="shared" si="1"/>
        <v>0</v>
      </c>
    </row>
    <row r="304" ht="15.75" customHeight="1">
      <c r="A304" s="350"/>
      <c r="B304" s="350"/>
      <c r="C304" s="350">
        <f t="shared" si="2"/>
        <v>0</v>
      </c>
      <c r="D304" s="350">
        <f t="shared" si="1"/>
        <v>0</v>
      </c>
    </row>
    <row r="305" ht="15.75" customHeight="1">
      <c r="A305" s="350"/>
      <c r="B305" s="350"/>
      <c r="C305" s="350">
        <f t="shared" si="2"/>
        <v>0</v>
      </c>
      <c r="D305" s="350">
        <f t="shared" si="1"/>
        <v>0</v>
      </c>
    </row>
    <row r="306" ht="15.75" customHeight="1">
      <c r="A306" s="350"/>
      <c r="B306" s="350"/>
      <c r="C306" s="350">
        <f t="shared" si="2"/>
        <v>0</v>
      </c>
      <c r="D306" s="350">
        <f t="shared" si="1"/>
        <v>0</v>
      </c>
    </row>
    <row r="307" ht="15.75" customHeight="1">
      <c r="A307" s="350"/>
      <c r="B307" s="350"/>
      <c r="C307" s="350">
        <f t="shared" si="2"/>
        <v>0</v>
      </c>
      <c r="D307" s="350">
        <f t="shared" si="1"/>
        <v>0</v>
      </c>
    </row>
    <row r="308" ht="15.75" customHeight="1">
      <c r="A308" s="350"/>
      <c r="B308" s="350"/>
      <c r="C308" s="350">
        <f t="shared" si="2"/>
        <v>0</v>
      </c>
      <c r="D308" s="350">
        <f t="shared" si="1"/>
        <v>0</v>
      </c>
    </row>
    <row r="309" ht="15.75" customHeight="1">
      <c r="A309" s="350"/>
      <c r="B309" s="350"/>
      <c r="C309" s="350">
        <f t="shared" si="2"/>
        <v>0</v>
      </c>
      <c r="D309" s="350">
        <f t="shared" si="1"/>
        <v>0</v>
      </c>
    </row>
    <row r="310" ht="15.75" customHeight="1">
      <c r="A310" s="350"/>
      <c r="B310" s="350"/>
      <c r="C310" s="350">
        <f t="shared" si="2"/>
        <v>0</v>
      </c>
      <c r="D310" s="350">
        <f t="shared" si="1"/>
        <v>0</v>
      </c>
    </row>
    <row r="311" ht="15.75" customHeight="1">
      <c r="A311" s="350"/>
      <c r="B311" s="350"/>
      <c r="C311" s="350">
        <f t="shared" si="2"/>
        <v>0</v>
      </c>
      <c r="D311" s="350">
        <f t="shared" si="1"/>
        <v>0</v>
      </c>
    </row>
    <row r="312" ht="15.75" customHeight="1">
      <c r="A312" s="350"/>
      <c r="B312" s="350"/>
      <c r="C312" s="350">
        <f t="shared" si="2"/>
        <v>0</v>
      </c>
      <c r="D312" s="350">
        <f t="shared" si="1"/>
        <v>0</v>
      </c>
    </row>
    <row r="313" ht="15.75" customHeight="1">
      <c r="A313" s="350"/>
      <c r="B313" s="350"/>
      <c r="C313" s="350">
        <f t="shared" si="2"/>
        <v>0</v>
      </c>
      <c r="D313" s="350">
        <f t="shared" si="1"/>
        <v>0</v>
      </c>
    </row>
    <row r="314" ht="15.75" customHeight="1">
      <c r="A314" s="350"/>
      <c r="B314" s="350"/>
      <c r="C314" s="350">
        <f t="shared" si="2"/>
        <v>0</v>
      </c>
      <c r="D314" s="350">
        <f t="shared" si="1"/>
        <v>0</v>
      </c>
    </row>
    <row r="315" ht="15.75" customHeight="1">
      <c r="A315" s="350"/>
      <c r="B315" s="350"/>
      <c r="C315" s="350">
        <f t="shared" si="2"/>
        <v>0</v>
      </c>
      <c r="D315" s="350">
        <f t="shared" si="1"/>
        <v>0</v>
      </c>
    </row>
    <row r="316" ht="15.75" customHeight="1">
      <c r="A316" s="350"/>
      <c r="B316" s="350"/>
      <c r="C316" s="350">
        <f t="shared" si="2"/>
        <v>0</v>
      </c>
      <c r="D316" s="350">
        <f t="shared" si="1"/>
        <v>0</v>
      </c>
    </row>
    <row r="317" ht="15.75" customHeight="1">
      <c r="A317" s="350"/>
      <c r="B317" s="350"/>
      <c r="C317" s="350">
        <f t="shared" si="2"/>
        <v>0</v>
      </c>
      <c r="D317" s="350">
        <f t="shared" si="1"/>
        <v>0</v>
      </c>
    </row>
    <row r="318" ht="15.75" customHeight="1">
      <c r="A318" s="350"/>
      <c r="B318" s="350"/>
      <c r="C318" s="350">
        <f t="shared" si="2"/>
        <v>0</v>
      </c>
      <c r="D318" s="350">
        <f t="shared" si="1"/>
        <v>0</v>
      </c>
    </row>
    <row r="319" ht="15.75" customHeight="1">
      <c r="A319" s="350"/>
      <c r="B319" s="350"/>
      <c r="C319" s="350">
        <f t="shared" si="2"/>
        <v>0</v>
      </c>
      <c r="D319" s="350">
        <f t="shared" si="1"/>
        <v>0</v>
      </c>
    </row>
    <row r="320" ht="15.75" customHeight="1">
      <c r="A320" s="350"/>
      <c r="B320" s="350"/>
      <c r="C320" s="350">
        <f t="shared" si="2"/>
        <v>0</v>
      </c>
      <c r="D320" s="350">
        <f t="shared" si="1"/>
        <v>0</v>
      </c>
    </row>
    <row r="321" ht="15.75" customHeight="1">
      <c r="A321" s="350"/>
      <c r="B321" s="350"/>
      <c r="C321" s="350">
        <f t="shared" si="2"/>
        <v>0</v>
      </c>
      <c r="D321" s="350">
        <f t="shared" si="1"/>
        <v>0</v>
      </c>
    </row>
    <row r="322" ht="15.75" customHeight="1">
      <c r="A322" s="350"/>
      <c r="B322" s="350"/>
      <c r="C322" s="350">
        <f t="shared" si="2"/>
        <v>0</v>
      </c>
      <c r="D322" s="350">
        <f t="shared" si="1"/>
        <v>0</v>
      </c>
    </row>
    <row r="323" ht="15.75" customHeight="1">
      <c r="A323" s="350"/>
      <c r="B323" s="350"/>
      <c r="C323" s="350">
        <f t="shared" si="2"/>
        <v>0</v>
      </c>
      <c r="D323" s="350">
        <f t="shared" si="1"/>
        <v>0</v>
      </c>
    </row>
    <row r="324" ht="15.75" customHeight="1">
      <c r="A324" s="350"/>
      <c r="B324" s="350"/>
      <c r="C324" s="350">
        <f t="shared" si="2"/>
        <v>0</v>
      </c>
      <c r="D324" s="350">
        <f t="shared" si="1"/>
        <v>0</v>
      </c>
    </row>
    <row r="325" ht="15.75" customHeight="1">
      <c r="A325" s="350"/>
      <c r="B325" s="350"/>
      <c r="C325" s="350">
        <f t="shared" si="2"/>
        <v>0</v>
      </c>
      <c r="D325" s="350">
        <f t="shared" si="1"/>
        <v>0</v>
      </c>
    </row>
    <row r="326" ht="15.75" customHeight="1">
      <c r="A326" s="350"/>
      <c r="B326" s="350"/>
      <c r="C326" s="350">
        <f t="shared" si="2"/>
        <v>0</v>
      </c>
      <c r="D326" s="350">
        <f t="shared" si="1"/>
        <v>0</v>
      </c>
    </row>
    <row r="327" ht="15.75" customHeight="1">
      <c r="A327" s="350"/>
      <c r="B327" s="350"/>
      <c r="C327" s="350">
        <f t="shared" si="2"/>
        <v>0</v>
      </c>
      <c r="D327" s="350">
        <f t="shared" si="1"/>
        <v>0</v>
      </c>
    </row>
    <row r="328" ht="15.75" customHeight="1">
      <c r="A328" s="350"/>
      <c r="B328" s="350"/>
      <c r="C328" s="350">
        <f t="shared" si="2"/>
        <v>0</v>
      </c>
      <c r="D328" s="350">
        <f t="shared" si="1"/>
        <v>0</v>
      </c>
    </row>
    <row r="329" ht="15.75" customHeight="1">
      <c r="A329" s="350"/>
      <c r="B329" s="350"/>
      <c r="C329" s="350">
        <f t="shared" si="2"/>
        <v>0</v>
      </c>
      <c r="D329" s="350">
        <f t="shared" si="1"/>
        <v>0</v>
      </c>
    </row>
    <row r="330" ht="15.75" customHeight="1">
      <c r="A330" s="350"/>
      <c r="B330" s="350"/>
      <c r="C330" s="350">
        <f t="shared" si="2"/>
        <v>0</v>
      </c>
      <c r="D330" s="350">
        <f t="shared" si="1"/>
        <v>0</v>
      </c>
    </row>
    <row r="331" ht="15.75" customHeight="1">
      <c r="A331" s="350"/>
      <c r="B331" s="350"/>
      <c r="C331" s="350">
        <f t="shared" si="2"/>
        <v>0</v>
      </c>
      <c r="D331" s="350">
        <f t="shared" si="1"/>
        <v>0</v>
      </c>
    </row>
    <row r="332" ht="15.75" customHeight="1">
      <c r="A332" s="350"/>
      <c r="B332" s="350"/>
      <c r="C332" s="350">
        <f t="shared" si="2"/>
        <v>0</v>
      </c>
      <c r="D332" s="350">
        <f t="shared" si="1"/>
        <v>0</v>
      </c>
    </row>
    <row r="333" ht="15.75" customHeight="1">
      <c r="A333" s="350"/>
      <c r="B333" s="350"/>
      <c r="C333" s="350">
        <f t="shared" si="2"/>
        <v>0</v>
      </c>
      <c r="D333" s="350">
        <f t="shared" si="1"/>
        <v>0</v>
      </c>
    </row>
    <row r="334" ht="15.75" customHeight="1">
      <c r="A334" s="350"/>
      <c r="B334" s="350"/>
      <c r="C334" s="350">
        <f t="shared" si="2"/>
        <v>0</v>
      </c>
      <c r="D334" s="350">
        <f t="shared" si="1"/>
        <v>0</v>
      </c>
    </row>
    <row r="335" ht="15.75" customHeight="1">
      <c r="A335" s="350"/>
      <c r="B335" s="350"/>
      <c r="C335" s="350">
        <f t="shared" si="2"/>
        <v>0</v>
      </c>
      <c r="D335" s="350">
        <f t="shared" si="1"/>
        <v>0</v>
      </c>
    </row>
    <row r="336" ht="15.75" customHeight="1">
      <c r="A336" s="350"/>
      <c r="B336" s="350"/>
      <c r="C336" s="350">
        <f t="shared" si="2"/>
        <v>0</v>
      </c>
      <c r="D336" s="350">
        <f t="shared" si="1"/>
        <v>0</v>
      </c>
    </row>
    <row r="337" ht="15.75" customHeight="1">
      <c r="A337" s="350"/>
      <c r="B337" s="350"/>
      <c r="C337" s="350">
        <f t="shared" si="2"/>
        <v>0</v>
      </c>
      <c r="D337" s="350">
        <f t="shared" si="1"/>
        <v>0</v>
      </c>
    </row>
    <row r="338" ht="15.75" customHeight="1">
      <c r="A338" s="350"/>
      <c r="B338" s="350"/>
      <c r="C338" s="350">
        <f t="shared" si="2"/>
        <v>0</v>
      </c>
      <c r="D338" s="350">
        <f t="shared" si="1"/>
        <v>0</v>
      </c>
    </row>
    <row r="339" ht="15.75" customHeight="1">
      <c r="A339" s="350"/>
      <c r="B339" s="350"/>
      <c r="C339" s="350">
        <f t="shared" si="2"/>
        <v>0</v>
      </c>
      <c r="D339" s="350">
        <f t="shared" si="1"/>
        <v>0</v>
      </c>
    </row>
    <row r="340" ht="15.75" customHeight="1">
      <c r="A340" s="350"/>
      <c r="B340" s="350"/>
      <c r="C340" s="350">
        <f t="shared" si="2"/>
        <v>0</v>
      </c>
      <c r="D340" s="350">
        <f t="shared" si="1"/>
        <v>0</v>
      </c>
    </row>
    <row r="341" ht="15.75" customHeight="1">
      <c r="A341" s="350"/>
      <c r="B341" s="350"/>
      <c r="C341" s="350">
        <f t="shared" si="2"/>
        <v>0</v>
      </c>
      <c r="D341" s="350">
        <f t="shared" si="1"/>
        <v>0</v>
      </c>
    </row>
    <row r="342" ht="15.75" customHeight="1">
      <c r="A342" s="350"/>
      <c r="B342" s="350"/>
      <c r="C342" s="350">
        <f t="shared" si="2"/>
        <v>0</v>
      </c>
      <c r="D342" s="350">
        <f t="shared" si="1"/>
        <v>0</v>
      </c>
    </row>
    <row r="343" ht="15.75" customHeight="1">
      <c r="A343" s="350"/>
      <c r="B343" s="350"/>
      <c r="C343" s="350">
        <f t="shared" si="2"/>
        <v>0</v>
      </c>
      <c r="D343" s="350">
        <f t="shared" si="1"/>
        <v>0</v>
      </c>
    </row>
    <row r="344" ht="15.75" customHeight="1">
      <c r="A344" s="350"/>
      <c r="B344" s="350"/>
      <c r="C344" s="350">
        <f t="shared" si="2"/>
        <v>0</v>
      </c>
      <c r="D344" s="350">
        <f t="shared" si="1"/>
        <v>0</v>
      </c>
    </row>
    <row r="345" ht="15.75" customHeight="1">
      <c r="A345" s="350"/>
      <c r="B345" s="350"/>
      <c r="C345" s="350">
        <f t="shared" si="2"/>
        <v>0</v>
      </c>
      <c r="D345" s="350">
        <f t="shared" si="1"/>
        <v>0</v>
      </c>
    </row>
    <row r="346" ht="15.75" customHeight="1">
      <c r="A346" s="350"/>
      <c r="B346" s="350"/>
      <c r="C346" s="350">
        <f t="shared" si="2"/>
        <v>0</v>
      </c>
      <c r="D346" s="350">
        <f t="shared" si="1"/>
        <v>0</v>
      </c>
    </row>
    <row r="347" ht="15.75" customHeight="1">
      <c r="A347" s="350"/>
      <c r="B347" s="350"/>
      <c r="C347" s="350">
        <f t="shared" si="2"/>
        <v>0</v>
      </c>
      <c r="D347" s="350">
        <f t="shared" si="1"/>
        <v>0</v>
      </c>
    </row>
    <row r="348" ht="15.75" customHeight="1">
      <c r="A348" s="350"/>
      <c r="B348" s="350"/>
      <c r="C348" s="350">
        <f t="shared" si="2"/>
        <v>0</v>
      </c>
      <c r="D348" s="350">
        <f t="shared" si="1"/>
        <v>0</v>
      </c>
    </row>
    <row r="349" ht="15.75" customHeight="1">
      <c r="A349" s="350"/>
      <c r="B349" s="350"/>
      <c r="C349" s="350">
        <f t="shared" si="2"/>
        <v>0</v>
      </c>
      <c r="D349" s="350">
        <f t="shared" si="1"/>
        <v>0</v>
      </c>
    </row>
    <row r="350" ht="15.75" customHeight="1">
      <c r="A350" s="350"/>
      <c r="B350" s="350"/>
      <c r="C350" s="350">
        <f t="shared" si="2"/>
        <v>0</v>
      </c>
      <c r="D350" s="350">
        <f t="shared" si="1"/>
        <v>0</v>
      </c>
    </row>
    <row r="351" ht="15.75" customHeight="1">
      <c r="A351" s="350"/>
      <c r="B351" s="350"/>
      <c r="C351" s="350">
        <f t="shared" si="2"/>
        <v>0</v>
      </c>
      <c r="D351" s="350">
        <f t="shared" si="1"/>
        <v>0</v>
      </c>
    </row>
    <row r="352" ht="15.75" customHeight="1">
      <c r="A352" s="350"/>
      <c r="B352" s="350"/>
      <c r="C352" s="350">
        <f t="shared" si="2"/>
        <v>0</v>
      </c>
      <c r="D352" s="350">
        <f t="shared" si="1"/>
        <v>0</v>
      </c>
    </row>
    <row r="353" ht="15.75" customHeight="1">
      <c r="A353" s="350"/>
      <c r="B353" s="350"/>
      <c r="C353" s="350">
        <f t="shared" si="2"/>
        <v>0</v>
      </c>
      <c r="D353" s="350">
        <f t="shared" si="1"/>
        <v>0</v>
      </c>
    </row>
    <row r="354" ht="15.75" customHeight="1">
      <c r="A354" s="350"/>
      <c r="B354" s="350"/>
      <c r="C354" s="350">
        <f t="shared" si="2"/>
        <v>0</v>
      </c>
      <c r="D354" s="350">
        <f t="shared" si="1"/>
        <v>0</v>
      </c>
    </row>
    <row r="355" ht="15.75" customHeight="1">
      <c r="A355" s="350"/>
      <c r="B355" s="350"/>
      <c r="C355" s="350">
        <f t="shared" si="2"/>
        <v>0</v>
      </c>
      <c r="D355" s="350">
        <f t="shared" si="1"/>
        <v>0</v>
      </c>
    </row>
    <row r="356" ht="15.75" customHeight="1">
      <c r="A356" s="350"/>
      <c r="B356" s="350"/>
      <c r="C356" s="350">
        <f t="shared" si="2"/>
        <v>0</v>
      </c>
      <c r="D356" s="350">
        <f t="shared" si="1"/>
        <v>0</v>
      </c>
    </row>
    <row r="357" ht="15.75" customHeight="1">
      <c r="A357" s="350"/>
      <c r="B357" s="350"/>
      <c r="C357" s="350">
        <f t="shared" si="2"/>
        <v>0</v>
      </c>
      <c r="D357" s="350">
        <f t="shared" si="1"/>
        <v>0</v>
      </c>
    </row>
    <row r="358" ht="15.75" customHeight="1">
      <c r="A358" s="350"/>
      <c r="B358" s="350"/>
      <c r="C358" s="350">
        <f t="shared" si="2"/>
        <v>0</v>
      </c>
      <c r="D358" s="350">
        <f t="shared" si="1"/>
        <v>0</v>
      </c>
    </row>
    <row r="359" ht="15.75" customHeight="1">
      <c r="A359" s="350"/>
      <c r="B359" s="350"/>
      <c r="C359" s="350">
        <f t="shared" si="2"/>
        <v>0</v>
      </c>
      <c r="D359" s="350">
        <f t="shared" si="1"/>
        <v>0</v>
      </c>
    </row>
    <row r="360" ht="15.75" customHeight="1">
      <c r="A360" s="350"/>
      <c r="B360" s="350"/>
      <c r="C360" s="350">
        <f t="shared" si="2"/>
        <v>0</v>
      </c>
      <c r="D360" s="350">
        <f t="shared" si="1"/>
        <v>0</v>
      </c>
    </row>
    <row r="361" ht="15.75" customHeight="1">
      <c r="A361" s="350"/>
      <c r="B361" s="350"/>
      <c r="C361" s="350">
        <f t="shared" si="2"/>
        <v>0</v>
      </c>
      <c r="D361" s="350">
        <f t="shared" si="1"/>
        <v>0</v>
      </c>
    </row>
    <row r="362" ht="15.75" customHeight="1">
      <c r="A362" s="350"/>
      <c r="B362" s="350"/>
      <c r="C362" s="350">
        <f t="shared" si="2"/>
        <v>0</v>
      </c>
      <c r="D362" s="350">
        <f t="shared" si="1"/>
        <v>0</v>
      </c>
    </row>
    <row r="363" ht="15.75" customHeight="1">
      <c r="A363" s="350"/>
      <c r="B363" s="350"/>
      <c r="C363" s="350">
        <f t="shared" si="2"/>
        <v>0</v>
      </c>
      <c r="D363" s="350">
        <f t="shared" si="1"/>
        <v>0</v>
      </c>
    </row>
    <row r="364" ht="15.75" customHeight="1">
      <c r="A364" s="350"/>
      <c r="B364" s="350"/>
      <c r="C364" s="350">
        <f t="shared" si="2"/>
        <v>0</v>
      </c>
      <c r="D364" s="350">
        <f t="shared" si="1"/>
        <v>0</v>
      </c>
    </row>
    <row r="365" ht="15.75" customHeight="1">
      <c r="A365" s="350"/>
      <c r="B365" s="350"/>
      <c r="C365" s="350">
        <f t="shared" si="2"/>
        <v>0</v>
      </c>
      <c r="D365" s="350">
        <f t="shared" si="1"/>
        <v>0</v>
      </c>
    </row>
    <row r="366" ht="15.75" customHeight="1">
      <c r="A366" s="350"/>
      <c r="B366" s="350"/>
      <c r="C366" s="350">
        <f t="shared" si="2"/>
        <v>0</v>
      </c>
      <c r="D366" s="350">
        <f t="shared" si="1"/>
        <v>0</v>
      </c>
    </row>
    <row r="367" ht="15.75" customHeight="1">
      <c r="A367" s="350"/>
      <c r="B367" s="350"/>
      <c r="C367" s="350">
        <f t="shared" si="2"/>
        <v>0</v>
      </c>
      <c r="D367" s="350">
        <f t="shared" si="1"/>
        <v>0</v>
      </c>
    </row>
    <row r="368" ht="15.75" customHeight="1">
      <c r="A368" s="350"/>
      <c r="B368" s="350"/>
      <c r="C368" s="350">
        <f t="shared" si="2"/>
        <v>0</v>
      </c>
      <c r="D368" s="350">
        <f t="shared" si="1"/>
        <v>0</v>
      </c>
    </row>
    <row r="369" ht="15.75" customHeight="1">
      <c r="A369" s="350"/>
      <c r="B369" s="350"/>
      <c r="C369" s="350">
        <f t="shared" si="2"/>
        <v>0</v>
      </c>
      <c r="D369" s="350">
        <f t="shared" si="1"/>
        <v>0</v>
      </c>
    </row>
    <row r="370" ht="15.75" customHeight="1">
      <c r="A370" s="350"/>
      <c r="B370" s="350"/>
      <c r="C370" s="350">
        <f t="shared" si="2"/>
        <v>0</v>
      </c>
      <c r="D370" s="350">
        <f t="shared" si="1"/>
        <v>0</v>
      </c>
    </row>
    <row r="371" ht="15.75" customHeight="1">
      <c r="A371" s="350"/>
      <c r="B371" s="350"/>
      <c r="C371" s="350">
        <f t="shared" si="2"/>
        <v>0</v>
      </c>
      <c r="D371" s="350">
        <f t="shared" si="1"/>
        <v>0</v>
      </c>
    </row>
    <row r="372" ht="15.75" customHeight="1">
      <c r="A372" s="350"/>
      <c r="B372" s="350"/>
      <c r="C372" s="350">
        <f t="shared" si="2"/>
        <v>0</v>
      </c>
      <c r="D372" s="350">
        <f t="shared" si="1"/>
        <v>0</v>
      </c>
    </row>
    <row r="373" ht="15.75" customHeight="1">
      <c r="A373" s="350"/>
      <c r="B373" s="350"/>
      <c r="C373" s="350">
        <f t="shared" si="2"/>
        <v>0</v>
      </c>
      <c r="D373" s="350">
        <f t="shared" si="1"/>
        <v>0</v>
      </c>
    </row>
    <row r="374" ht="15.75" customHeight="1">
      <c r="A374" s="350"/>
      <c r="B374" s="350"/>
      <c r="C374" s="350">
        <f t="shared" si="2"/>
        <v>0</v>
      </c>
      <c r="D374" s="350">
        <f t="shared" si="1"/>
        <v>0</v>
      </c>
    </row>
    <row r="375" ht="15.75" customHeight="1">
      <c r="A375" s="350"/>
      <c r="B375" s="350"/>
      <c r="C375" s="350">
        <f t="shared" si="2"/>
        <v>0</v>
      </c>
      <c r="D375" s="350">
        <f t="shared" si="1"/>
        <v>0</v>
      </c>
    </row>
    <row r="376" ht="15.75" customHeight="1">
      <c r="A376" s="350"/>
      <c r="B376" s="350"/>
      <c r="C376" s="350">
        <f t="shared" si="2"/>
        <v>0</v>
      </c>
      <c r="D376" s="350">
        <f t="shared" si="1"/>
        <v>0</v>
      </c>
    </row>
    <row r="377" ht="15.75" customHeight="1">
      <c r="A377" s="350"/>
      <c r="B377" s="350"/>
      <c r="C377" s="350">
        <f t="shared" si="2"/>
        <v>0</v>
      </c>
      <c r="D377" s="350">
        <f t="shared" si="1"/>
        <v>0</v>
      </c>
    </row>
    <row r="378" ht="15.75" customHeight="1">
      <c r="A378" s="350"/>
      <c r="B378" s="350"/>
      <c r="C378" s="350">
        <f t="shared" si="2"/>
        <v>0</v>
      </c>
      <c r="D378" s="350">
        <f t="shared" si="1"/>
        <v>0</v>
      </c>
    </row>
    <row r="379" ht="15.75" customHeight="1">
      <c r="A379" s="350"/>
      <c r="B379" s="350"/>
      <c r="C379" s="350">
        <f t="shared" si="2"/>
        <v>0</v>
      </c>
      <c r="D379" s="350">
        <f t="shared" si="1"/>
        <v>0</v>
      </c>
    </row>
    <row r="380" ht="15.75" customHeight="1">
      <c r="A380" s="350"/>
      <c r="B380" s="350"/>
      <c r="C380" s="350">
        <f t="shared" si="2"/>
        <v>0</v>
      </c>
      <c r="D380" s="350">
        <f t="shared" si="1"/>
        <v>0</v>
      </c>
    </row>
    <row r="381" ht="15.75" customHeight="1">
      <c r="A381" s="350"/>
      <c r="B381" s="350"/>
      <c r="C381" s="350">
        <f t="shared" si="2"/>
        <v>0</v>
      </c>
      <c r="D381" s="350">
        <f t="shared" si="1"/>
        <v>0</v>
      </c>
    </row>
    <row r="382" ht="15.75" customHeight="1">
      <c r="A382" s="350"/>
      <c r="B382" s="350"/>
      <c r="C382" s="350">
        <f t="shared" si="2"/>
        <v>0</v>
      </c>
      <c r="D382" s="350">
        <f t="shared" si="1"/>
        <v>0</v>
      </c>
    </row>
    <row r="383" ht="15.75" customHeight="1">
      <c r="A383" s="350"/>
      <c r="B383" s="350"/>
      <c r="C383" s="350">
        <f t="shared" si="2"/>
        <v>0</v>
      </c>
      <c r="D383" s="350">
        <f t="shared" si="1"/>
        <v>0</v>
      </c>
    </row>
    <row r="384" ht="15.75" customHeight="1">
      <c r="A384" s="350"/>
      <c r="B384" s="350"/>
      <c r="C384" s="350">
        <f t="shared" si="2"/>
        <v>0</v>
      </c>
      <c r="D384" s="350">
        <f t="shared" si="1"/>
        <v>0</v>
      </c>
    </row>
    <row r="385" ht="15.75" customHeight="1">
      <c r="A385" s="350"/>
      <c r="B385" s="350"/>
      <c r="C385" s="350">
        <f t="shared" si="2"/>
        <v>0</v>
      </c>
      <c r="D385" s="350">
        <f t="shared" si="1"/>
        <v>0</v>
      </c>
    </row>
    <row r="386" ht="15.75" customHeight="1">
      <c r="A386" s="350"/>
      <c r="B386" s="350"/>
      <c r="C386" s="350">
        <f t="shared" si="2"/>
        <v>0</v>
      </c>
      <c r="D386" s="350">
        <f t="shared" si="1"/>
        <v>0</v>
      </c>
    </row>
    <row r="387" ht="15.75" customHeight="1">
      <c r="A387" s="350"/>
      <c r="B387" s="350"/>
      <c r="C387" s="350">
        <f t="shared" si="2"/>
        <v>0</v>
      </c>
      <c r="D387" s="350">
        <f t="shared" si="1"/>
        <v>0</v>
      </c>
    </row>
    <row r="388" ht="15.75" customHeight="1">
      <c r="A388" s="350"/>
      <c r="B388" s="350"/>
      <c r="C388" s="350">
        <f t="shared" si="2"/>
        <v>0</v>
      </c>
      <c r="D388" s="350">
        <f t="shared" si="1"/>
        <v>0</v>
      </c>
    </row>
    <row r="389" ht="15.75" customHeight="1">
      <c r="A389" s="350"/>
      <c r="B389" s="350"/>
      <c r="C389" s="350">
        <f t="shared" si="2"/>
        <v>0</v>
      </c>
      <c r="D389" s="350">
        <f t="shared" si="1"/>
        <v>0</v>
      </c>
    </row>
    <row r="390" ht="15.75" customHeight="1">
      <c r="A390" s="350"/>
      <c r="B390" s="350"/>
      <c r="C390" s="350">
        <f t="shared" si="2"/>
        <v>0</v>
      </c>
      <c r="D390" s="350">
        <f t="shared" si="1"/>
        <v>0</v>
      </c>
    </row>
    <row r="391" ht="15.75" customHeight="1">
      <c r="A391" s="350"/>
      <c r="B391" s="350"/>
      <c r="C391" s="350">
        <f t="shared" si="2"/>
        <v>0</v>
      </c>
      <c r="D391" s="350">
        <f t="shared" si="1"/>
        <v>0</v>
      </c>
    </row>
    <row r="392" ht="15.75" customHeight="1">
      <c r="A392" s="350"/>
      <c r="B392" s="350"/>
      <c r="C392" s="350">
        <f t="shared" si="2"/>
        <v>0</v>
      </c>
      <c r="D392" s="350">
        <f t="shared" si="1"/>
        <v>0</v>
      </c>
    </row>
    <row r="393" ht="15.75" customHeight="1">
      <c r="A393" s="350"/>
      <c r="B393" s="350"/>
      <c r="C393" s="350">
        <f t="shared" si="2"/>
        <v>0</v>
      </c>
      <c r="D393" s="350">
        <f t="shared" si="1"/>
        <v>0</v>
      </c>
    </row>
    <row r="394" ht="15.75" customHeight="1">
      <c r="A394" s="350"/>
      <c r="B394" s="350"/>
      <c r="C394" s="350">
        <f t="shared" si="2"/>
        <v>0</v>
      </c>
      <c r="D394" s="350">
        <f t="shared" si="1"/>
        <v>0</v>
      </c>
    </row>
    <row r="395" ht="15.75" customHeight="1">
      <c r="A395" s="350"/>
      <c r="B395" s="350"/>
      <c r="C395" s="350">
        <f t="shared" si="2"/>
        <v>0</v>
      </c>
      <c r="D395" s="350">
        <f t="shared" si="1"/>
        <v>0</v>
      </c>
    </row>
    <row r="396" ht="15.75" customHeight="1">
      <c r="A396" s="350"/>
      <c r="B396" s="350"/>
      <c r="C396" s="350">
        <f t="shared" si="2"/>
        <v>0</v>
      </c>
      <c r="D396" s="350">
        <f t="shared" si="1"/>
        <v>0</v>
      </c>
    </row>
    <row r="397" ht="15.75" customHeight="1">
      <c r="A397" s="350"/>
      <c r="B397" s="350"/>
      <c r="C397" s="350">
        <f t="shared" si="2"/>
        <v>0</v>
      </c>
      <c r="D397" s="350">
        <f t="shared" si="1"/>
        <v>0</v>
      </c>
    </row>
    <row r="398" ht="15.75" customHeight="1">
      <c r="A398" s="350"/>
      <c r="B398" s="350"/>
      <c r="C398" s="350">
        <f t="shared" si="2"/>
        <v>0</v>
      </c>
      <c r="D398" s="350">
        <f t="shared" si="1"/>
        <v>0</v>
      </c>
    </row>
    <row r="399" ht="15.75" customHeight="1">
      <c r="A399" s="350"/>
      <c r="B399" s="350"/>
      <c r="C399" s="350">
        <f t="shared" si="2"/>
        <v>0</v>
      </c>
      <c r="D399" s="350">
        <f t="shared" si="1"/>
        <v>0</v>
      </c>
    </row>
    <row r="400" ht="15.75" customHeight="1">
      <c r="A400" s="350"/>
      <c r="B400" s="350"/>
      <c r="C400" s="350">
        <f t="shared" si="2"/>
        <v>0</v>
      </c>
      <c r="D400" s="350">
        <f t="shared" si="1"/>
        <v>0</v>
      </c>
    </row>
    <row r="401" ht="15.75" customHeight="1">
      <c r="A401" s="350"/>
      <c r="B401" s="350"/>
      <c r="C401" s="350">
        <f t="shared" si="2"/>
        <v>0</v>
      </c>
      <c r="D401" s="350">
        <f t="shared" si="1"/>
        <v>0</v>
      </c>
    </row>
    <row r="402" ht="15.75" customHeight="1">
      <c r="A402" s="350"/>
      <c r="B402" s="350"/>
      <c r="C402" s="350">
        <f t="shared" si="2"/>
        <v>0</v>
      </c>
      <c r="D402" s="350">
        <f t="shared" si="1"/>
        <v>0</v>
      </c>
    </row>
    <row r="403" ht="15.75" customHeight="1">
      <c r="A403" s="350"/>
      <c r="B403" s="350"/>
      <c r="C403" s="350">
        <f t="shared" si="2"/>
        <v>0</v>
      </c>
      <c r="D403" s="350">
        <f t="shared" si="1"/>
        <v>0</v>
      </c>
    </row>
    <row r="404" ht="15.75" customHeight="1">
      <c r="A404" s="350"/>
      <c r="B404" s="350"/>
      <c r="C404" s="350">
        <f t="shared" si="2"/>
        <v>0</v>
      </c>
      <c r="D404" s="350">
        <f t="shared" si="1"/>
        <v>0</v>
      </c>
    </row>
    <row r="405" ht="15.75" customHeight="1">
      <c r="A405" s="350"/>
      <c r="B405" s="350"/>
      <c r="C405" s="350">
        <f t="shared" si="2"/>
        <v>0</v>
      </c>
      <c r="D405" s="350">
        <f t="shared" si="1"/>
        <v>0</v>
      </c>
    </row>
    <row r="406" ht="15.75" customHeight="1">
      <c r="A406" s="350"/>
      <c r="B406" s="350"/>
      <c r="C406" s="350">
        <f t="shared" si="2"/>
        <v>0</v>
      </c>
      <c r="D406" s="350">
        <f t="shared" si="1"/>
        <v>0</v>
      </c>
    </row>
    <row r="407" ht="15.75" customHeight="1">
      <c r="A407" s="350"/>
      <c r="B407" s="350"/>
      <c r="C407" s="350">
        <f t="shared" si="2"/>
        <v>0</v>
      </c>
      <c r="D407" s="350">
        <f t="shared" si="1"/>
        <v>0</v>
      </c>
    </row>
    <row r="408" ht="15.75" customHeight="1">
      <c r="A408" s="350"/>
      <c r="B408" s="350"/>
      <c r="C408" s="350">
        <f t="shared" si="2"/>
        <v>0</v>
      </c>
      <c r="D408" s="350">
        <f t="shared" si="1"/>
        <v>0</v>
      </c>
    </row>
    <row r="409" ht="15.75" customHeight="1">
      <c r="A409" s="350"/>
      <c r="B409" s="350"/>
      <c r="C409" s="350">
        <f t="shared" si="2"/>
        <v>0</v>
      </c>
      <c r="D409" s="350">
        <f t="shared" si="1"/>
        <v>0</v>
      </c>
    </row>
    <row r="410" ht="15.75" customHeight="1">
      <c r="A410" s="350"/>
      <c r="B410" s="350"/>
      <c r="C410" s="350">
        <f t="shared" si="2"/>
        <v>0</v>
      </c>
      <c r="D410" s="350">
        <f t="shared" si="1"/>
        <v>0</v>
      </c>
    </row>
    <row r="411" ht="15.75" customHeight="1">
      <c r="A411" s="350"/>
      <c r="B411" s="350"/>
      <c r="C411" s="350">
        <f t="shared" si="2"/>
        <v>0</v>
      </c>
      <c r="D411" s="350">
        <f t="shared" si="1"/>
        <v>0</v>
      </c>
    </row>
    <row r="412" ht="15.75" customHeight="1">
      <c r="A412" s="350"/>
      <c r="B412" s="350"/>
      <c r="C412" s="350">
        <f t="shared" si="2"/>
        <v>0</v>
      </c>
      <c r="D412" s="350">
        <f t="shared" si="1"/>
        <v>0</v>
      </c>
    </row>
    <row r="413" ht="15.75" customHeight="1">
      <c r="A413" s="350"/>
      <c r="B413" s="350"/>
      <c r="C413" s="350">
        <f t="shared" si="2"/>
        <v>0</v>
      </c>
      <c r="D413" s="350">
        <f t="shared" si="1"/>
        <v>0</v>
      </c>
    </row>
    <row r="414" ht="15.75" customHeight="1">
      <c r="A414" s="350"/>
      <c r="B414" s="350"/>
      <c r="C414" s="350">
        <f t="shared" si="2"/>
        <v>0</v>
      </c>
      <c r="D414" s="350">
        <f t="shared" si="1"/>
        <v>0</v>
      </c>
    </row>
    <row r="415" ht="15.75" customHeight="1">
      <c r="A415" s="350"/>
      <c r="B415" s="350"/>
      <c r="C415" s="350">
        <f t="shared" si="2"/>
        <v>0</v>
      </c>
      <c r="D415" s="350">
        <f t="shared" si="1"/>
        <v>0</v>
      </c>
    </row>
    <row r="416" ht="15.75" customHeight="1">
      <c r="A416" s="350"/>
      <c r="B416" s="350"/>
      <c r="C416" s="350">
        <f t="shared" si="2"/>
        <v>0</v>
      </c>
      <c r="D416" s="350">
        <f t="shared" si="1"/>
        <v>0</v>
      </c>
    </row>
    <row r="417" ht="15.75" customHeight="1">
      <c r="A417" s="350"/>
      <c r="B417" s="350"/>
      <c r="C417" s="350">
        <f t="shared" si="2"/>
        <v>0</v>
      </c>
      <c r="D417" s="350">
        <f t="shared" si="1"/>
        <v>0</v>
      </c>
    </row>
    <row r="418" ht="15.75" customHeight="1">
      <c r="A418" s="350"/>
      <c r="B418" s="350"/>
      <c r="C418" s="350">
        <f t="shared" si="2"/>
        <v>0</v>
      </c>
      <c r="D418" s="350">
        <f t="shared" si="1"/>
        <v>0</v>
      </c>
    </row>
    <row r="419" ht="15.75" customHeight="1">
      <c r="A419" s="350"/>
      <c r="B419" s="350"/>
      <c r="C419" s="350">
        <f t="shared" si="2"/>
        <v>0</v>
      </c>
      <c r="D419" s="350">
        <f t="shared" si="1"/>
        <v>0</v>
      </c>
    </row>
    <row r="420" ht="15.75" customHeight="1">
      <c r="A420" s="350"/>
      <c r="B420" s="350"/>
      <c r="C420" s="350">
        <f t="shared" si="2"/>
        <v>0</v>
      </c>
      <c r="D420" s="350">
        <f t="shared" si="1"/>
        <v>0</v>
      </c>
    </row>
    <row r="421" ht="15.75" customHeight="1">
      <c r="A421" s="350"/>
      <c r="B421" s="350"/>
      <c r="C421" s="350">
        <f t="shared" si="2"/>
        <v>0</v>
      </c>
      <c r="D421" s="350">
        <f t="shared" si="1"/>
        <v>0</v>
      </c>
    </row>
    <row r="422" ht="15.75" customHeight="1">
      <c r="A422" s="350"/>
      <c r="B422" s="350"/>
      <c r="C422" s="350">
        <f t="shared" si="2"/>
        <v>0</v>
      </c>
      <c r="D422" s="350">
        <f t="shared" si="1"/>
        <v>0</v>
      </c>
    </row>
    <row r="423" ht="15.75" customHeight="1">
      <c r="A423" s="350"/>
      <c r="B423" s="350"/>
      <c r="C423" s="350">
        <f t="shared" si="2"/>
        <v>0</v>
      </c>
      <c r="D423" s="350">
        <f t="shared" si="1"/>
        <v>0</v>
      </c>
    </row>
    <row r="424" ht="15.75" customHeight="1">
      <c r="A424" s="350"/>
      <c r="B424" s="350"/>
      <c r="C424" s="350">
        <f t="shared" si="2"/>
        <v>0</v>
      </c>
      <c r="D424" s="350">
        <f t="shared" si="1"/>
        <v>0</v>
      </c>
    </row>
    <row r="425" ht="15.75" customHeight="1">
      <c r="A425" s="350"/>
      <c r="B425" s="350"/>
      <c r="C425" s="350">
        <f t="shared" si="2"/>
        <v>0</v>
      </c>
      <c r="D425" s="350">
        <f t="shared" si="1"/>
        <v>0</v>
      </c>
    </row>
    <row r="426" ht="15.75" customHeight="1">
      <c r="A426" s="350"/>
      <c r="B426" s="350"/>
      <c r="C426" s="350">
        <f t="shared" si="2"/>
        <v>0</v>
      </c>
      <c r="D426" s="350">
        <f t="shared" si="1"/>
        <v>0</v>
      </c>
    </row>
    <row r="427" ht="15.75" customHeight="1">
      <c r="A427" s="350"/>
      <c r="B427" s="350"/>
      <c r="C427" s="350">
        <f t="shared" si="2"/>
        <v>0</v>
      </c>
      <c r="D427" s="350">
        <f t="shared" si="1"/>
        <v>0</v>
      </c>
    </row>
    <row r="428" ht="15.75" customHeight="1">
      <c r="A428" s="350"/>
      <c r="B428" s="350"/>
      <c r="C428" s="350">
        <f t="shared" si="2"/>
        <v>0</v>
      </c>
      <c r="D428" s="350">
        <f t="shared" si="1"/>
        <v>0</v>
      </c>
    </row>
    <row r="429" ht="15.75" customHeight="1">
      <c r="A429" s="350"/>
      <c r="B429" s="350"/>
      <c r="C429" s="350">
        <f t="shared" si="2"/>
        <v>0</v>
      </c>
      <c r="D429" s="350">
        <f t="shared" si="1"/>
        <v>0</v>
      </c>
    </row>
    <row r="430" ht="15.75" customHeight="1">
      <c r="A430" s="350"/>
      <c r="B430" s="350"/>
      <c r="C430" s="350">
        <f t="shared" si="2"/>
        <v>0</v>
      </c>
      <c r="D430" s="350">
        <f t="shared" si="1"/>
        <v>0</v>
      </c>
    </row>
    <row r="431" ht="15.75" customHeight="1">
      <c r="A431" s="350"/>
      <c r="B431" s="350"/>
      <c r="C431" s="350">
        <f t="shared" si="2"/>
        <v>0</v>
      </c>
      <c r="D431" s="350">
        <f t="shared" si="1"/>
        <v>0</v>
      </c>
    </row>
    <row r="432" ht="15.75" customHeight="1">
      <c r="A432" s="350"/>
      <c r="B432" s="350"/>
      <c r="C432" s="350">
        <f t="shared" si="2"/>
        <v>0</v>
      </c>
      <c r="D432" s="350">
        <f t="shared" si="1"/>
        <v>0</v>
      </c>
    </row>
    <row r="433" ht="15.75" customHeight="1">
      <c r="A433" s="350"/>
      <c r="B433" s="350"/>
      <c r="C433" s="350">
        <f t="shared" si="2"/>
        <v>0</v>
      </c>
      <c r="D433" s="350">
        <f t="shared" si="1"/>
        <v>0</v>
      </c>
    </row>
    <row r="434" ht="15.75" customHeight="1">
      <c r="A434" s="350"/>
      <c r="B434" s="350"/>
      <c r="C434" s="350">
        <f t="shared" si="2"/>
        <v>0</v>
      </c>
      <c r="D434" s="350">
        <f t="shared" si="1"/>
        <v>0</v>
      </c>
    </row>
    <row r="435" ht="15.75" customHeight="1">
      <c r="A435" s="350"/>
      <c r="B435" s="350"/>
      <c r="C435" s="350">
        <f t="shared" si="2"/>
        <v>0</v>
      </c>
      <c r="D435" s="350">
        <f t="shared" si="1"/>
        <v>0</v>
      </c>
    </row>
    <row r="436" ht="15.75" customHeight="1">
      <c r="A436" s="350"/>
      <c r="B436" s="350"/>
      <c r="C436" s="350">
        <f t="shared" si="2"/>
        <v>0</v>
      </c>
      <c r="D436" s="350">
        <f t="shared" si="1"/>
        <v>0</v>
      </c>
    </row>
    <row r="437" ht="15.75" customHeight="1">
      <c r="A437" s="350"/>
      <c r="B437" s="350"/>
      <c r="C437" s="350">
        <f t="shared" si="2"/>
        <v>0</v>
      </c>
      <c r="D437" s="350">
        <f t="shared" si="1"/>
        <v>0</v>
      </c>
    </row>
    <row r="438" ht="15.75" customHeight="1">
      <c r="A438" s="350"/>
      <c r="B438" s="350"/>
      <c r="C438" s="350">
        <f t="shared" si="2"/>
        <v>0</v>
      </c>
      <c r="D438" s="350">
        <f t="shared" si="1"/>
        <v>0</v>
      </c>
    </row>
    <row r="439" ht="15.75" customHeight="1">
      <c r="A439" s="350"/>
      <c r="B439" s="350"/>
      <c r="C439" s="350">
        <f t="shared" si="2"/>
        <v>0</v>
      </c>
      <c r="D439" s="350">
        <f t="shared" si="1"/>
        <v>0</v>
      </c>
    </row>
    <row r="440" ht="15.75" customHeight="1">
      <c r="A440" s="350"/>
      <c r="B440" s="350"/>
      <c r="C440" s="350">
        <f t="shared" si="2"/>
        <v>0</v>
      </c>
      <c r="D440" s="350">
        <f t="shared" si="1"/>
        <v>0</v>
      </c>
    </row>
    <row r="441" ht="15.75" customHeight="1">
      <c r="A441" s="350"/>
      <c r="B441" s="350"/>
      <c r="C441" s="350">
        <f t="shared" si="2"/>
        <v>0</v>
      </c>
      <c r="D441" s="350">
        <f t="shared" si="1"/>
        <v>0</v>
      </c>
    </row>
    <row r="442" ht="15.75" customHeight="1">
      <c r="A442" s="350"/>
      <c r="B442" s="350"/>
      <c r="C442" s="350">
        <f t="shared" si="2"/>
        <v>0</v>
      </c>
      <c r="D442" s="350">
        <f t="shared" si="1"/>
        <v>0</v>
      </c>
    </row>
    <row r="443" ht="15.75" customHeight="1">
      <c r="A443" s="350"/>
      <c r="B443" s="350"/>
      <c r="C443" s="350">
        <f t="shared" si="2"/>
        <v>0</v>
      </c>
      <c r="D443" s="350">
        <f t="shared" si="1"/>
        <v>0</v>
      </c>
    </row>
    <row r="444" ht="15.75" customHeight="1">
      <c r="A444" s="350"/>
      <c r="B444" s="350"/>
      <c r="C444" s="350">
        <f t="shared" si="2"/>
        <v>0</v>
      </c>
      <c r="D444" s="350">
        <f t="shared" si="1"/>
        <v>0</v>
      </c>
    </row>
    <row r="445" ht="15.75" customHeight="1">
      <c r="A445" s="350"/>
      <c r="B445" s="350"/>
      <c r="C445" s="350">
        <f t="shared" si="2"/>
        <v>0</v>
      </c>
      <c r="D445" s="350">
        <f t="shared" si="1"/>
        <v>0</v>
      </c>
    </row>
    <row r="446" ht="15.75" customHeight="1">
      <c r="A446" s="350"/>
      <c r="B446" s="350"/>
      <c r="C446" s="350">
        <f t="shared" si="2"/>
        <v>0</v>
      </c>
      <c r="D446" s="350">
        <f t="shared" si="1"/>
        <v>0</v>
      </c>
    </row>
    <row r="447" ht="15.75" customHeight="1">
      <c r="A447" s="350"/>
      <c r="B447" s="350"/>
      <c r="C447" s="350">
        <f t="shared" si="2"/>
        <v>0</v>
      </c>
      <c r="D447" s="350">
        <f t="shared" si="1"/>
        <v>0</v>
      </c>
    </row>
    <row r="448" ht="15.75" customHeight="1">
      <c r="A448" s="350"/>
      <c r="B448" s="350"/>
      <c r="C448" s="350">
        <f t="shared" si="2"/>
        <v>0</v>
      </c>
      <c r="D448" s="350">
        <f t="shared" si="1"/>
        <v>0</v>
      </c>
    </row>
    <row r="449" ht="15.75" customHeight="1">
      <c r="A449" s="350"/>
      <c r="B449" s="350"/>
      <c r="C449" s="350">
        <f t="shared" si="2"/>
        <v>0</v>
      </c>
      <c r="D449" s="350">
        <f t="shared" si="1"/>
        <v>0</v>
      </c>
    </row>
    <row r="450" ht="15.75" customHeight="1">
      <c r="A450" s="350"/>
      <c r="B450" s="350"/>
      <c r="C450" s="350">
        <f t="shared" si="2"/>
        <v>0</v>
      </c>
      <c r="D450" s="350">
        <f t="shared" si="1"/>
        <v>0</v>
      </c>
    </row>
    <row r="451" ht="15.75" customHeight="1">
      <c r="A451" s="350"/>
      <c r="B451" s="350"/>
      <c r="C451" s="350">
        <f t="shared" si="2"/>
        <v>0</v>
      </c>
      <c r="D451" s="350">
        <f t="shared" si="1"/>
        <v>0</v>
      </c>
    </row>
    <row r="452" ht="15.75" customHeight="1">
      <c r="A452" s="350"/>
      <c r="B452" s="350"/>
      <c r="C452" s="350">
        <f t="shared" si="2"/>
        <v>0</v>
      </c>
      <c r="D452" s="350">
        <f t="shared" si="1"/>
        <v>0</v>
      </c>
    </row>
    <row r="453" ht="15.75" customHeight="1">
      <c r="A453" s="350"/>
      <c r="B453" s="350"/>
      <c r="C453" s="350">
        <f t="shared" si="2"/>
        <v>0</v>
      </c>
      <c r="D453" s="350">
        <f t="shared" si="1"/>
        <v>0</v>
      </c>
    </row>
    <row r="454" ht="15.75" customHeight="1">
      <c r="A454" s="350"/>
      <c r="B454" s="350"/>
      <c r="C454" s="350">
        <f t="shared" si="2"/>
        <v>0</v>
      </c>
      <c r="D454" s="350">
        <f t="shared" si="1"/>
        <v>0</v>
      </c>
    </row>
    <row r="455" ht="15.75" customHeight="1">
      <c r="A455" s="350"/>
      <c r="B455" s="350"/>
      <c r="C455" s="350">
        <f t="shared" si="2"/>
        <v>0</v>
      </c>
      <c r="D455" s="350">
        <f t="shared" si="1"/>
        <v>0</v>
      </c>
    </row>
    <row r="456" ht="15.75" customHeight="1">
      <c r="A456" s="350"/>
      <c r="B456" s="350"/>
      <c r="C456" s="350">
        <f t="shared" si="2"/>
        <v>0</v>
      </c>
      <c r="D456" s="350">
        <f t="shared" si="1"/>
        <v>0</v>
      </c>
    </row>
    <row r="457" ht="15.75" customHeight="1">
      <c r="A457" s="350"/>
      <c r="B457" s="350"/>
      <c r="C457" s="350">
        <f t="shared" si="2"/>
        <v>0</v>
      </c>
      <c r="D457" s="350">
        <f t="shared" si="1"/>
        <v>0</v>
      </c>
    </row>
    <row r="458" ht="15.75" customHeight="1">
      <c r="A458" s="350"/>
      <c r="B458" s="350"/>
      <c r="C458" s="350">
        <f t="shared" si="2"/>
        <v>0</v>
      </c>
      <c r="D458" s="350">
        <f t="shared" si="1"/>
        <v>0</v>
      </c>
    </row>
    <row r="459" ht="15.75" customHeight="1">
      <c r="A459" s="350"/>
      <c r="B459" s="350"/>
      <c r="C459" s="350">
        <f t="shared" si="2"/>
        <v>0</v>
      </c>
      <c r="D459" s="350">
        <f t="shared" si="1"/>
        <v>0</v>
      </c>
    </row>
    <row r="460" ht="15.75" customHeight="1">
      <c r="A460" s="350"/>
      <c r="B460" s="350"/>
      <c r="C460" s="350">
        <f t="shared" si="2"/>
        <v>0</v>
      </c>
      <c r="D460" s="350">
        <f t="shared" si="1"/>
        <v>0</v>
      </c>
    </row>
    <row r="461" ht="15.75" customHeight="1">
      <c r="A461" s="350"/>
      <c r="B461" s="350"/>
      <c r="C461" s="350">
        <f t="shared" si="2"/>
        <v>0</v>
      </c>
      <c r="D461" s="350">
        <f t="shared" si="1"/>
        <v>0</v>
      </c>
    </row>
    <row r="462" ht="15.75" customHeight="1">
      <c r="A462" s="350"/>
      <c r="B462" s="350"/>
      <c r="C462" s="350">
        <f t="shared" si="2"/>
        <v>0</v>
      </c>
      <c r="D462" s="350">
        <f t="shared" si="1"/>
        <v>0</v>
      </c>
    </row>
    <row r="463" ht="15.75" customHeight="1">
      <c r="A463" s="350"/>
      <c r="B463" s="350"/>
      <c r="C463" s="350">
        <f t="shared" si="2"/>
        <v>0</v>
      </c>
      <c r="D463" s="350">
        <f t="shared" si="1"/>
        <v>0</v>
      </c>
    </row>
    <row r="464" ht="15.75" customHeight="1">
      <c r="A464" s="350"/>
      <c r="B464" s="350"/>
      <c r="C464" s="350">
        <f t="shared" si="2"/>
        <v>0</v>
      </c>
      <c r="D464" s="350">
        <f t="shared" si="1"/>
        <v>0</v>
      </c>
    </row>
    <row r="465" ht="15.75" customHeight="1">
      <c r="A465" s="350"/>
      <c r="B465" s="350"/>
      <c r="C465" s="350">
        <f t="shared" si="2"/>
        <v>0</v>
      </c>
      <c r="D465" s="350">
        <f t="shared" si="1"/>
        <v>0</v>
      </c>
    </row>
    <row r="466" ht="15.75" customHeight="1">
      <c r="A466" s="350"/>
      <c r="B466" s="350"/>
      <c r="C466" s="350">
        <f t="shared" si="2"/>
        <v>0</v>
      </c>
      <c r="D466" s="350">
        <f t="shared" si="1"/>
        <v>0</v>
      </c>
    </row>
    <row r="467" ht="15.75" customHeight="1">
      <c r="A467" s="350"/>
      <c r="B467" s="350"/>
      <c r="C467" s="350">
        <f t="shared" si="2"/>
        <v>0</v>
      </c>
      <c r="D467" s="350">
        <f t="shared" si="1"/>
        <v>0</v>
      </c>
    </row>
    <row r="468" ht="15.75" customHeight="1">
      <c r="A468" s="350"/>
      <c r="B468" s="350"/>
      <c r="C468" s="350">
        <f t="shared" si="2"/>
        <v>0</v>
      </c>
      <c r="D468" s="350">
        <f t="shared" si="1"/>
        <v>0</v>
      </c>
    </row>
    <row r="469" ht="15.75" customHeight="1">
      <c r="A469" s="350"/>
      <c r="B469" s="350"/>
      <c r="C469" s="350">
        <f t="shared" si="2"/>
        <v>0</v>
      </c>
      <c r="D469" s="350">
        <f t="shared" si="1"/>
        <v>0</v>
      </c>
    </row>
    <row r="470" ht="15.75" customHeight="1">
      <c r="A470" s="350"/>
      <c r="B470" s="350"/>
      <c r="C470" s="350">
        <f t="shared" si="2"/>
        <v>0</v>
      </c>
      <c r="D470" s="350">
        <f t="shared" si="1"/>
        <v>0</v>
      </c>
    </row>
    <row r="471" ht="15.75" customHeight="1">
      <c r="A471" s="350"/>
      <c r="B471" s="350"/>
      <c r="C471" s="350">
        <f t="shared" si="2"/>
        <v>0</v>
      </c>
      <c r="D471" s="350">
        <f t="shared" si="1"/>
        <v>0</v>
      </c>
    </row>
    <row r="472" ht="15.75" customHeight="1">
      <c r="A472" s="350"/>
      <c r="B472" s="350"/>
      <c r="C472" s="350">
        <f t="shared" si="2"/>
        <v>0</v>
      </c>
      <c r="D472" s="350">
        <f t="shared" si="1"/>
        <v>0</v>
      </c>
    </row>
    <row r="473" ht="15.75" customHeight="1">
      <c r="A473" s="350"/>
      <c r="B473" s="350"/>
      <c r="C473" s="350">
        <f t="shared" si="2"/>
        <v>0</v>
      </c>
      <c r="D473" s="350">
        <f t="shared" si="1"/>
        <v>0</v>
      </c>
    </row>
    <row r="474" ht="15.75" customHeight="1">
      <c r="A474" s="350"/>
      <c r="B474" s="350"/>
      <c r="C474" s="350">
        <f t="shared" si="2"/>
        <v>0</v>
      </c>
      <c r="D474" s="350">
        <f t="shared" si="1"/>
        <v>0</v>
      </c>
    </row>
    <row r="475" ht="15.75" customHeight="1">
      <c r="A475" s="350"/>
      <c r="B475" s="350"/>
      <c r="C475" s="350">
        <f t="shared" si="2"/>
        <v>0</v>
      </c>
      <c r="D475" s="350">
        <f t="shared" si="1"/>
        <v>0</v>
      </c>
    </row>
    <row r="476" ht="15.75" customHeight="1">
      <c r="A476" s="350"/>
      <c r="B476" s="350"/>
      <c r="C476" s="350">
        <f t="shared" si="2"/>
        <v>0</v>
      </c>
      <c r="D476" s="350">
        <f t="shared" si="1"/>
        <v>0</v>
      </c>
    </row>
    <row r="477" ht="15.75" customHeight="1">
      <c r="A477" s="350"/>
      <c r="B477" s="350"/>
      <c r="C477" s="350">
        <f t="shared" si="2"/>
        <v>0</v>
      </c>
      <c r="D477" s="350">
        <f t="shared" si="1"/>
        <v>0</v>
      </c>
    </row>
    <row r="478" ht="15.75" customHeight="1">
      <c r="A478" s="350"/>
      <c r="B478" s="350"/>
      <c r="C478" s="350">
        <f t="shared" si="2"/>
        <v>0</v>
      </c>
      <c r="D478" s="350">
        <f t="shared" si="1"/>
        <v>0</v>
      </c>
    </row>
    <row r="479" ht="15.75" customHeight="1">
      <c r="A479" s="350"/>
      <c r="B479" s="350"/>
      <c r="C479" s="350">
        <f t="shared" si="2"/>
        <v>0</v>
      </c>
      <c r="D479" s="350">
        <f t="shared" si="1"/>
        <v>0</v>
      </c>
    </row>
    <row r="480" ht="15.75" customHeight="1">
      <c r="A480" s="350"/>
      <c r="B480" s="350"/>
      <c r="C480" s="350">
        <f t="shared" si="2"/>
        <v>0</v>
      </c>
      <c r="D480" s="350">
        <f t="shared" si="1"/>
        <v>0</v>
      </c>
    </row>
    <row r="481" ht="15.75" customHeight="1">
      <c r="A481" s="350"/>
      <c r="B481" s="350"/>
      <c r="C481" s="350">
        <f t="shared" si="2"/>
        <v>0</v>
      </c>
      <c r="D481" s="350">
        <f t="shared" si="1"/>
        <v>0</v>
      </c>
    </row>
    <row r="482" ht="15.75" customHeight="1">
      <c r="A482" s="350"/>
      <c r="B482" s="350"/>
      <c r="C482" s="350">
        <f t="shared" si="2"/>
        <v>0</v>
      </c>
      <c r="D482" s="350">
        <f t="shared" si="1"/>
        <v>0</v>
      </c>
    </row>
    <row r="483" ht="15.75" customHeight="1">
      <c r="A483" s="350"/>
      <c r="B483" s="350"/>
      <c r="C483" s="350">
        <f t="shared" si="2"/>
        <v>0</v>
      </c>
      <c r="D483" s="350">
        <f t="shared" si="1"/>
        <v>0</v>
      </c>
    </row>
    <row r="484" ht="15.75" customHeight="1">
      <c r="A484" s="350"/>
      <c r="B484" s="350"/>
      <c r="C484" s="350">
        <f t="shared" si="2"/>
        <v>0</v>
      </c>
      <c r="D484" s="350">
        <f t="shared" si="1"/>
        <v>0</v>
      </c>
    </row>
    <row r="485" ht="15.75" customHeight="1">
      <c r="A485" s="350"/>
      <c r="B485" s="350"/>
      <c r="C485" s="350">
        <f t="shared" si="2"/>
        <v>0</v>
      </c>
      <c r="D485" s="350">
        <f t="shared" si="1"/>
        <v>0</v>
      </c>
    </row>
    <row r="486" ht="15.75" customHeight="1">
      <c r="A486" s="350"/>
      <c r="B486" s="350"/>
      <c r="C486" s="350">
        <f t="shared" si="2"/>
        <v>0</v>
      </c>
      <c r="D486" s="350">
        <f t="shared" si="1"/>
        <v>0</v>
      </c>
    </row>
    <row r="487" ht="15.75" customHeight="1">
      <c r="A487" s="350"/>
      <c r="B487" s="350"/>
      <c r="C487" s="350">
        <f t="shared" si="2"/>
        <v>0</v>
      </c>
      <c r="D487" s="350">
        <f t="shared" si="1"/>
        <v>0</v>
      </c>
    </row>
    <row r="488" ht="15.75" customHeight="1">
      <c r="A488" s="350"/>
      <c r="B488" s="350"/>
      <c r="C488" s="350">
        <f t="shared" si="2"/>
        <v>0</v>
      </c>
      <c r="D488" s="350">
        <f t="shared" si="1"/>
        <v>0</v>
      </c>
    </row>
    <row r="489" ht="15.75" customHeight="1">
      <c r="A489" s="350"/>
      <c r="B489" s="350"/>
      <c r="C489" s="350">
        <f t="shared" si="2"/>
        <v>0</v>
      </c>
      <c r="D489" s="350">
        <f t="shared" si="1"/>
        <v>0</v>
      </c>
    </row>
    <row r="490" ht="15.75" customHeight="1">
      <c r="A490" s="350"/>
      <c r="B490" s="350"/>
      <c r="C490" s="350">
        <f t="shared" si="2"/>
        <v>0</v>
      </c>
      <c r="D490" s="350">
        <f t="shared" si="1"/>
        <v>0</v>
      </c>
    </row>
    <row r="491" ht="15.75" customHeight="1">
      <c r="A491" s="350"/>
      <c r="B491" s="350"/>
      <c r="C491" s="350">
        <f t="shared" si="2"/>
        <v>0</v>
      </c>
      <c r="D491" s="350">
        <f t="shared" si="1"/>
        <v>0</v>
      </c>
    </row>
    <row r="492" ht="15.75" customHeight="1">
      <c r="A492" s="350"/>
      <c r="B492" s="350"/>
      <c r="C492" s="350">
        <f t="shared" si="2"/>
        <v>0</v>
      </c>
      <c r="D492" s="350">
        <f t="shared" si="1"/>
        <v>0</v>
      </c>
    </row>
    <row r="493" ht="15.75" customHeight="1">
      <c r="A493" s="350"/>
      <c r="B493" s="350"/>
      <c r="C493" s="350">
        <f t="shared" si="2"/>
        <v>0</v>
      </c>
      <c r="D493" s="350">
        <f t="shared" si="1"/>
        <v>0</v>
      </c>
    </row>
    <row r="494" ht="15.75" customHeight="1">
      <c r="A494" s="350"/>
      <c r="B494" s="350"/>
      <c r="C494" s="350">
        <f t="shared" si="2"/>
        <v>0</v>
      </c>
      <c r="D494" s="350">
        <f t="shared" si="1"/>
        <v>0</v>
      </c>
    </row>
    <row r="495" ht="15.75" customHeight="1">
      <c r="A495" s="350"/>
      <c r="B495" s="350"/>
      <c r="C495" s="350">
        <f t="shared" si="2"/>
        <v>0</v>
      </c>
      <c r="D495" s="350">
        <f t="shared" si="1"/>
        <v>0</v>
      </c>
    </row>
    <row r="496" ht="15.75" customHeight="1">
      <c r="A496" s="350"/>
      <c r="B496" s="350"/>
      <c r="C496" s="350">
        <f t="shared" si="2"/>
        <v>0</v>
      </c>
      <c r="D496" s="350">
        <f t="shared" si="1"/>
        <v>0</v>
      </c>
    </row>
    <row r="497" ht="15.75" customHeight="1">
      <c r="A497" s="350"/>
      <c r="B497" s="350"/>
      <c r="C497" s="350">
        <f t="shared" si="2"/>
        <v>0</v>
      </c>
      <c r="D497" s="350">
        <f t="shared" si="1"/>
        <v>0</v>
      </c>
    </row>
    <row r="498" ht="15.75" customHeight="1">
      <c r="A498" s="350"/>
      <c r="B498" s="350"/>
      <c r="C498" s="350">
        <f t="shared" si="2"/>
        <v>0</v>
      </c>
      <c r="D498" s="350">
        <f t="shared" si="1"/>
        <v>0</v>
      </c>
    </row>
    <row r="499" ht="15.75" customHeight="1">
      <c r="A499" s="350"/>
      <c r="B499" s="350"/>
      <c r="C499" s="350">
        <f t="shared" si="2"/>
        <v>0</v>
      </c>
      <c r="D499" s="350">
        <f t="shared" si="1"/>
        <v>0</v>
      </c>
    </row>
    <row r="500" ht="15.75" customHeight="1">
      <c r="A500" s="350"/>
      <c r="B500" s="350"/>
      <c r="C500" s="350">
        <f t="shared" si="2"/>
        <v>0</v>
      </c>
      <c r="D500" s="350">
        <f t="shared" si="1"/>
        <v>0</v>
      </c>
    </row>
    <row r="501" ht="15.75" customHeight="1">
      <c r="A501" s="350"/>
      <c r="B501" s="350"/>
      <c r="C501" s="350">
        <f t="shared" si="2"/>
        <v>0</v>
      </c>
      <c r="D501" s="350">
        <f t="shared" si="1"/>
        <v>0</v>
      </c>
    </row>
    <row r="502" ht="15.75" customHeight="1">
      <c r="A502" s="350"/>
      <c r="B502" s="350"/>
      <c r="C502" s="350">
        <f t="shared" si="2"/>
        <v>0</v>
      </c>
      <c r="D502" s="350">
        <f t="shared" si="1"/>
        <v>0</v>
      </c>
    </row>
    <row r="503" ht="15.75" customHeight="1">
      <c r="A503" s="350"/>
      <c r="B503" s="350"/>
      <c r="C503" s="350">
        <f t="shared" si="2"/>
        <v>0</v>
      </c>
      <c r="D503" s="350">
        <f t="shared" si="1"/>
        <v>0</v>
      </c>
    </row>
    <row r="504" ht="15.75" customHeight="1">
      <c r="A504" s="350"/>
      <c r="B504" s="350"/>
      <c r="C504" s="350">
        <f t="shared" si="2"/>
        <v>0</v>
      </c>
      <c r="D504" s="350">
        <f t="shared" si="1"/>
        <v>0</v>
      </c>
    </row>
    <row r="505" ht="15.75" customHeight="1">
      <c r="A505" s="350"/>
      <c r="B505" s="350"/>
      <c r="C505" s="350">
        <f t="shared" si="2"/>
        <v>0</v>
      </c>
      <c r="D505" s="350">
        <f t="shared" si="1"/>
        <v>0</v>
      </c>
    </row>
    <row r="506" ht="15.75" customHeight="1">
      <c r="A506" s="350"/>
      <c r="B506" s="350"/>
      <c r="C506" s="350">
        <f t="shared" si="2"/>
        <v>0</v>
      </c>
      <c r="D506" s="350">
        <f t="shared" si="1"/>
        <v>0</v>
      </c>
    </row>
    <row r="507" ht="15.75" customHeight="1">
      <c r="A507" s="350"/>
      <c r="B507" s="350"/>
      <c r="C507" s="350">
        <f t="shared" si="2"/>
        <v>0</v>
      </c>
      <c r="D507" s="350">
        <f t="shared" si="1"/>
        <v>0</v>
      </c>
    </row>
    <row r="508" ht="15.75" customHeight="1">
      <c r="A508" s="350"/>
      <c r="B508" s="350"/>
      <c r="C508" s="350">
        <f t="shared" si="2"/>
        <v>0</v>
      </c>
      <c r="D508" s="350">
        <f t="shared" si="1"/>
        <v>0</v>
      </c>
    </row>
    <row r="509" ht="15.75" customHeight="1">
      <c r="A509" s="350"/>
      <c r="B509" s="350"/>
      <c r="C509" s="350">
        <f t="shared" si="2"/>
        <v>0</v>
      </c>
      <c r="D509" s="350">
        <f t="shared" si="1"/>
        <v>0</v>
      </c>
    </row>
    <row r="510" ht="15.75" customHeight="1">
      <c r="A510" s="350"/>
      <c r="B510" s="350"/>
      <c r="C510" s="350">
        <f t="shared" si="2"/>
        <v>0</v>
      </c>
      <c r="D510" s="350">
        <f t="shared" si="1"/>
        <v>0</v>
      </c>
    </row>
    <row r="511" ht="15.75" customHeight="1">
      <c r="A511" s="350"/>
      <c r="B511" s="350"/>
      <c r="C511" s="350">
        <f t="shared" si="2"/>
        <v>0</v>
      </c>
      <c r="D511" s="350">
        <f t="shared" si="1"/>
        <v>0</v>
      </c>
    </row>
    <row r="512" ht="15.75" customHeight="1">
      <c r="A512" s="350"/>
      <c r="B512" s="350"/>
      <c r="C512" s="350">
        <f t="shared" si="2"/>
        <v>0</v>
      </c>
      <c r="D512" s="350">
        <f t="shared" si="1"/>
        <v>0</v>
      </c>
    </row>
    <row r="513" ht="15.75" customHeight="1">
      <c r="A513" s="350"/>
      <c r="B513" s="350"/>
      <c r="C513" s="350">
        <f t="shared" si="2"/>
        <v>0</v>
      </c>
      <c r="D513" s="350">
        <f t="shared" si="1"/>
        <v>0</v>
      </c>
    </row>
    <row r="514" ht="15.75" customHeight="1">
      <c r="A514" s="350"/>
      <c r="B514" s="350"/>
      <c r="C514" s="350">
        <f t="shared" si="2"/>
        <v>0</v>
      </c>
      <c r="D514" s="350">
        <f t="shared" si="1"/>
        <v>0</v>
      </c>
    </row>
    <row r="515" ht="15.75" customHeight="1">
      <c r="A515" s="350"/>
      <c r="B515" s="350"/>
      <c r="C515" s="350">
        <f t="shared" si="2"/>
        <v>0</v>
      </c>
      <c r="D515" s="350">
        <f t="shared" si="1"/>
        <v>0</v>
      </c>
    </row>
    <row r="516" ht="15.75" customHeight="1">
      <c r="A516" s="350"/>
      <c r="B516" s="350"/>
      <c r="C516" s="350">
        <f t="shared" si="2"/>
        <v>0</v>
      </c>
      <c r="D516" s="350">
        <f t="shared" si="1"/>
        <v>0</v>
      </c>
    </row>
    <row r="517" ht="15.75" customHeight="1">
      <c r="A517" s="350"/>
      <c r="B517" s="350"/>
      <c r="C517" s="350">
        <f t="shared" si="2"/>
        <v>0</v>
      </c>
      <c r="D517" s="350">
        <f t="shared" si="1"/>
        <v>0</v>
      </c>
    </row>
    <row r="518" ht="15.75" customHeight="1">
      <c r="A518" s="350"/>
      <c r="B518" s="350"/>
      <c r="C518" s="350">
        <f t="shared" si="2"/>
        <v>0</v>
      </c>
      <c r="D518" s="350">
        <f t="shared" si="1"/>
        <v>0</v>
      </c>
    </row>
    <row r="519" ht="15.75" customHeight="1">
      <c r="A519" s="350"/>
      <c r="B519" s="350"/>
      <c r="C519" s="350">
        <f t="shared" si="2"/>
        <v>0</v>
      </c>
      <c r="D519" s="350">
        <f t="shared" si="1"/>
        <v>0</v>
      </c>
    </row>
    <row r="520" ht="15.75" customHeight="1">
      <c r="A520" s="350"/>
      <c r="B520" s="350"/>
      <c r="C520" s="350">
        <f t="shared" si="2"/>
        <v>0</v>
      </c>
      <c r="D520" s="350">
        <f t="shared" si="1"/>
        <v>0</v>
      </c>
    </row>
    <row r="521" ht="15.75" customHeight="1">
      <c r="A521" s="350"/>
      <c r="B521" s="350"/>
      <c r="C521" s="350">
        <f t="shared" si="2"/>
        <v>0</v>
      </c>
      <c r="D521" s="350">
        <f t="shared" si="1"/>
        <v>0</v>
      </c>
    </row>
    <row r="522" ht="15.75" customHeight="1">
      <c r="A522" s="350"/>
      <c r="B522" s="350"/>
      <c r="C522" s="350">
        <f t="shared" si="2"/>
        <v>0</v>
      </c>
      <c r="D522" s="350">
        <f t="shared" si="1"/>
        <v>0</v>
      </c>
    </row>
    <row r="523" ht="15.75" customHeight="1">
      <c r="A523" s="350"/>
      <c r="B523" s="350"/>
      <c r="C523" s="350">
        <f t="shared" si="2"/>
        <v>0</v>
      </c>
      <c r="D523" s="350">
        <f t="shared" si="1"/>
        <v>0</v>
      </c>
    </row>
    <row r="524" ht="15.75" customHeight="1">
      <c r="A524" s="350"/>
      <c r="B524" s="350"/>
      <c r="C524" s="350">
        <f t="shared" si="2"/>
        <v>0</v>
      </c>
      <c r="D524" s="350">
        <f t="shared" si="1"/>
        <v>0</v>
      </c>
    </row>
    <row r="525" ht="15.75" customHeight="1">
      <c r="A525" s="350"/>
      <c r="B525" s="350"/>
      <c r="C525" s="350">
        <f t="shared" si="2"/>
        <v>0</v>
      </c>
      <c r="D525" s="350">
        <f t="shared" si="1"/>
        <v>0</v>
      </c>
    </row>
    <row r="526" ht="15.75" customHeight="1">
      <c r="A526" s="350"/>
      <c r="B526" s="350"/>
      <c r="C526" s="350">
        <f t="shared" si="2"/>
        <v>0</v>
      </c>
      <c r="D526" s="350">
        <f t="shared" si="1"/>
        <v>0</v>
      </c>
    </row>
    <row r="527" ht="15.75" customHeight="1">
      <c r="A527" s="350"/>
      <c r="B527" s="350"/>
      <c r="C527" s="350">
        <f t="shared" si="2"/>
        <v>0</v>
      </c>
      <c r="D527" s="350">
        <f t="shared" si="1"/>
        <v>0</v>
      </c>
    </row>
    <row r="528" ht="15.75" customHeight="1">
      <c r="A528" s="350"/>
      <c r="B528" s="350"/>
      <c r="C528" s="350">
        <f t="shared" si="2"/>
        <v>0</v>
      </c>
      <c r="D528" s="350">
        <f t="shared" si="1"/>
        <v>0</v>
      </c>
    </row>
    <row r="529" ht="15.75" customHeight="1">
      <c r="A529" s="350"/>
      <c r="B529" s="350"/>
      <c r="C529" s="350">
        <f t="shared" si="2"/>
        <v>0</v>
      </c>
      <c r="D529" s="350">
        <f t="shared" si="1"/>
        <v>0</v>
      </c>
    </row>
    <row r="530" ht="15.75" customHeight="1">
      <c r="A530" s="350"/>
      <c r="B530" s="350"/>
      <c r="C530" s="350">
        <f t="shared" si="2"/>
        <v>0</v>
      </c>
      <c r="D530" s="350">
        <f t="shared" si="1"/>
        <v>0</v>
      </c>
    </row>
    <row r="531" ht="15.75" customHeight="1">
      <c r="A531" s="350"/>
      <c r="B531" s="350"/>
      <c r="C531" s="350">
        <f t="shared" si="2"/>
        <v>0</v>
      </c>
      <c r="D531" s="350">
        <f t="shared" si="1"/>
        <v>0</v>
      </c>
    </row>
    <row r="532" ht="15.75" customHeight="1">
      <c r="A532" s="350"/>
      <c r="B532" s="350"/>
      <c r="C532" s="350">
        <f t="shared" si="2"/>
        <v>0</v>
      </c>
      <c r="D532" s="350">
        <f t="shared" si="1"/>
        <v>0</v>
      </c>
    </row>
    <row r="533" ht="15.75" customHeight="1">
      <c r="A533" s="350"/>
      <c r="B533" s="350"/>
      <c r="C533" s="350">
        <f t="shared" si="2"/>
        <v>0</v>
      </c>
      <c r="D533" s="350">
        <f t="shared" si="1"/>
        <v>0</v>
      </c>
    </row>
    <row r="534" ht="15.75" customHeight="1">
      <c r="A534" s="350"/>
      <c r="B534" s="350"/>
      <c r="C534" s="350">
        <f t="shared" si="2"/>
        <v>0</v>
      </c>
      <c r="D534" s="350">
        <f t="shared" si="1"/>
        <v>0</v>
      </c>
    </row>
    <row r="535" ht="15.75" customHeight="1">
      <c r="A535" s="350"/>
      <c r="B535" s="350"/>
      <c r="C535" s="350">
        <f t="shared" si="2"/>
        <v>0</v>
      </c>
      <c r="D535" s="350">
        <f t="shared" si="1"/>
        <v>0</v>
      </c>
    </row>
    <row r="536" ht="15.75" customHeight="1">
      <c r="A536" s="350"/>
      <c r="B536" s="350"/>
      <c r="C536" s="350">
        <f t="shared" si="2"/>
        <v>0</v>
      </c>
      <c r="D536" s="350">
        <f t="shared" si="1"/>
        <v>0</v>
      </c>
    </row>
    <row r="537" ht="15.75" customHeight="1">
      <c r="A537" s="350"/>
      <c r="B537" s="350"/>
      <c r="C537" s="350">
        <f t="shared" si="2"/>
        <v>0</v>
      </c>
      <c r="D537" s="350">
        <f t="shared" si="1"/>
        <v>0</v>
      </c>
    </row>
    <row r="538" ht="15.75" customHeight="1">
      <c r="A538" s="350"/>
      <c r="B538" s="350"/>
      <c r="C538" s="350">
        <f t="shared" si="2"/>
        <v>0</v>
      </c>
      <c r="D538" s="350">
        <f t="shared" si="1"/>
        <v>0</v>
      </c>
    </row>
    <row r="539" ht="15.75" customHeight="1">
      <c r="A539" s="350"/>
      <c r="B539" s="350"/>
      <c r="C539" s="350">
        <f t="shared" si="2"/>
        <v>0</v>
      </c>
      <c r="D539" s="350">
        <f t="shared" si="1"/>
        <v>0</v>
      </c>
    </row>
    <row r="540" ht="15.75" customHeight="1">
      <c r="A540" s="350"/>
      <c r="B540" s="350"/>
      <c r="C540" s="350">
        <f t="shared" si="2"/>
        <v>0</v>
      </c>
      <c r="D540" s="350">
        <f t="shared" si="1"/>
        <v>0</v>
      </c>
    </row>
    <row r="541" ht="15.75" customHeight="1">
      <c r="A541" s="350"/>
      <c r="B541" s="350"/>
      <c r="C541" s="350">
        <f t="shared" si="2"/>
        <v>0</v>
      </c>
      <c r="D541" s="350">
        <f t="shared" si="1"/>
        <v>0</v>
      </c>
    </row>
    <row r="542" ht="15.75" customHeight="1">
      <c r="A542" s="350"/>
      <c r="B542" s="350"/>
      <c r="C542" s="350">
        <f t="shared" si="2"/>
        <v>0</v>
      </c>
      <c r="D542" s="350">
        <f t="shared" si="1"/>
        <v>0</v>
      </c>
    </row>
    <row r="543" ht="15.75" customHeight="1">
      <c r="A543" s="350"/>
      <c r="B543" s="350"/>
      <c r="C543" s="350">
        <f t="shared" si="2"/>
        <v>0</v>
      </c>
      <c r="D543" s="350">
        <f t="shared" si="1"/>
        <v>0</v>
      </c>
    </row>
    <row r="544" ht="15.75" customHeight="1">
      <c r="A544" s="350"/>
      <c r="B544" s="350"/>
      <c r="C544" s="350">
        <f t="shared" si="2"/>
        <v>0</v>
      </c>
      <c r="D544" s="350">
        <f t="shared" si="1"/>
        <v>0</v>
      </c>
    </row>
    <row r="545" ht="15.75" customHeight="1">
      <c r="A545" s="350"/>
      <c r="B545" s="350"/>
      <c r="C545" s="350">
        <f t="shared" si="2"/>
        <v>0</v>
      </c>
      <c r="D545" s="350">
        <f t="shared" si="1"/>
        <v>0</v>
      </c>
    </row>
    <row r="546" ht="15.75" customHeight="1">
      <c r="A546" s="350"/>
      <c r="B546" s="350"/>
      <c r="C546" s="350">
        <f t="shared" si="2"/>
        <v>0</v>
      </c>
      <c r="D546" s="350">
        <f t="shared" si="1"/>
        <v>0</v>
      </c>
    </row>
    <row r="547" ht="15.75" customHeight="1">
      <c r="A547" s="350"/>
      <c r="B547" s="350"/>
      <c r="C547" s="350">
        <f t="shared" si="2"/>
        <v>0</v>
      </c>
      <c r="D547" s="350">
        <f t="shared" si="1"/>
        <v>0</v>
      </c>
    </row>
    <row r="548" ht="15.75" customHeight="1">
      <c r="A548" s="350"/>
      <c r="B548" s="350"/>
      <c r="C548" s="350">
        <f t="shared" si="2"/>
        <v>0</v>
      </c>
      <c r="D548" s="350">
        <f t="shared" si="1"/>
        <v>0</v>
      </c>
    </row>
    <row r="549" ht="15.75" customHeight="1">
      <c r="A549" s="350"/>
      <c r="B549" s="350"/>
      <c r="C549" s="350">
        <f t="shared" si="2"/>
        <v>0</v>
      </c>
      <c r="D549" s="350">
        <f t="shared" si="1"/>
        <v>0</v>
      </c>
    </row>
    <row r="550" ht="15.75" customHeight="1">
      <c r="A550" s="350"/>
      <c r="B550" s="350"/>
      <c r="C550" s="350">
        <f t="shared" si="2"/>
        <v>0</v>
      </c>
      <c r="D550" s="350">
        <f t="shared" si="1"/>
        <v>0</v>
      </c>
    </row>
    <row r="551" ht="15.75" customHeight="1">
      <c r="A551" s="350"/>
      <c r="B551" s="350"/>
      <c r="C551" s="350">
        <f t="shared" si="2"/>
        <v>0</v>
      </c>
      <c r="D551" s="350">
        <f t="shared" si="1"/>
        <v>0</v>
      </c>
    </row>
    <row r="552" ht="15.75" customHeight="1">
      <c r="A552" s="350"/>
      <c r="B552" s="350"/>
      <c r="C552" s="350">
        <f t="shared" si="2"/>
        <v>0</v>
      </c>
      <c r="D552" s="350">
        <f t="shared" si="1"/>
        <v>0</v>
      </c>
    </row>
    <row r="553" ht="15.75" customHeight="1">
      <c r="A553" s="350"/>
      <c r="B553" s="350"/>
      <c r="C553" s="350">
        <f t="shared" si="2"/>
        <v>0</v>
      </c>
      <c r="D553" s="350">
        <f t="shared" si="1"/>
        <v>0</v>
      </c>
    </row>
    <row r="554" ht="15.75" customHeight="1">
      <c r="A554" s="350"/>
      <c r="B554" s="350"/>
      <c r="C554" s="350">
        <f t="shared" si="2"/>
        <v>0</v>
      </c>
      <c r="D554" s="350">
        <f t="shared" si="1"/>
        <v>0</v>
      </c>
    </row>
    <row r="555" ht="15.75" customHeight="1">
      <c r="A555" s="350"/>
      <c r="B555" s="350"/>
      <c r="C555" s="350">
        <f t="shared" si="2"/>
        <v>0</v>
      </c>
      <c r="D555" s="350">
        <f t="shared" si="1"/>
        <v>0</v>
      </c>
    </row>
    <row r="556" ht="15.75" customHeight="1">
      <c r="A556" s="350"/>
      <c r="B556" s="350"/>
      <c r="C556" s="350">
        <f t="shared" si="2"/>
        <v>0</v>
      </c>
      <c r="D556" s="350">
        <f t="shared" si="1"/>
        <v>0</v>
      </c>
    </row>
    <row r="557" ht="15.75" customHeight="1">
      <c r="A557" s="350"/>
      <c r="B557" s="350"/>
      <c r="C557" s="350">
        <f t="shared" si="2"/>
        <v>0</v>
      </c>
      <c r="D557" s="350">
        <f t="shared" si="1"/>
        <v>0</v>
      </c>
    </row>
    <row r="558" ht="15.75" customHeight="1">
      <c r="A558" s="350"/>
      <c r="B558" s="350"/>
      <c r="C558" s="350">
        <f t="shared" si="2"/>
        <v>0</v>
      </c>
      <c r="D558" s="350">
        <f t="shared" si="1"/>
        <v>0</v>
      </c>
    </row>
    <row r="559" ht="15.75" customHeight="1">
      <c r="A559" s="350"/>
      <c r="B559" s="350"/>
      <c r="C559" s="350">
        <f t="shared" si="2"/>
        <v>0</v>
      </c>
      <c r="D559" s="350">
        <f t="shared" si="1"/>
        <v>0</v>
      </c>
    </row>
    <row r="560" ht="15.75" customHeight="1">
      <c r="A560" s="350"/>
      <c r="B560" s="350"/>
      <c r="C560" s="350">
        <f t="shared" si="2"/>
        <v>0</v>
      </c>
      <c r="D560" s="350">
        <f t="shared" si="1"/>
        <v>0</v>
      </c>
    </row>
    <row r="561" ht="15.75" customHeight="1">
      <c r="A561" s="350"/>
      <c r="B561" s="350"/>
      <c r="C561" s="350">
        <f t="shared" si="2"/>
        <v>0</v>
      </c>
      <c r="D561" s="350">
        <f t="shared" si="1"/>
        <v>0</v>
      </c>
    </row>
    <row r="562" ht="15.75" customHeight="1">
      <c r="A562" s="350"/>
      <c r="B562" s="350"/>
      <c r="C562" s="350">
        <f t="shared" si="2"/>
        <v>0</v>
      </c>
      <c r="D562" s="350">
        <f t="shared" si="1"/>
        <v>0</v>
      </c>
    </row>
    <row r="563" ht="15.75" customHeight="1">
      <c r="A563" s="350"/>
      <c r="B563" s="350"/>
      <c r="C563" s="350">
        <f t="shared" si="2"/>
        <v>0</v>
      </c>
      <c r="D563" s="350">
        <f t="shared" si="1"/>
        <v>0</v>
      </c>
    </row>
    <row r="564" ht="15.75" customHeight="1">
      <c r="A564" s="350"/>
      <c r="B564" s="350"/>
      <c r="C564" s="350">
        <f t="shared" si="2"/>
        <v>0</v>
      </c>
      <c r="D564" s="350">
        <f t="shared" si="1"/>
        <v>0</v>
      </c>
    </row>
    <row r="565" ht="15.75" customHeight="1">
      <c r="A565" s="350"/>
      <c r="B565" s="350"/>
      <c r="C565" s="350">
        <f t="shared" si="2"/>
        <v>0</v>
      </c>
      <c r="D565" s="350">
        <f t="shared" si="1"/>
        <v>0</v>
      </c>
    </row>
    <row r="566" ht="15.75" customHeight="1">
      <c r="A566" s="350"/>
      <c r="B566" s="350"/>
      <c r="C566" s="350">
        <f t="shared" si="2"/>
        <v>0</v>
      </c>
      <c r="D566" s="350">
        <f t="shared" si="1"/>
        <v>0</v>
      </c>
    </row>
    <row r="567" ht="15.75" customHeight="1">
      <c r="A567" s="350"/>
      <c r="B567" s="350"/>
      <c r="C567" s="350">
        <f t="shared" si="2"/>
        <v>0</v>
      </c>
      <c r="D567" s="350">
        <f t="shared" si="1"/>
        <v>0</v>
      </c>
    </row>
    <row r="568" ht="15.75" customHeight="1">
      <c r="A568" s="350"/>
      <c r="B568" s="350"/>
      <c r="C568" s="350">
        <f t="shared" si="2"/>
        <v>0</v>
      </c>
      <c r="D568" s="350">
        <f t="shared" si="1"/>
        <v>0</v>
      </c>
    </row>
    <row r="569" ht="15.75" customHeight="1">
      <c r="A569" s="350"/>
      <c r="B569" s="350"/>
      <c r="C569" s="350">
        <f t="shared" si="2"/>
        <v>0</v>
      </c>
      <c r="D569" s="350">
        <f t="shared" si="1"/>
        <v>0</v>
      </c>
    </row>
    <row r="570" ht="15.75" customHeight="1">
      <c r="A570" s="350"/>
      <c r="B570" s="350"/>
      <c r="C570" s="350">
        <f t="shared" si="2"/>
        <v>0</v>
      </c>
      <c r="D570" s="350">
        <f t="shared" si="1"/>
        <v>0</v>
      </c>
    </row>
    <row r="571" ht="15.75" customHeight="1">
      <c r="A571" s="350"/>
      <c r="B571" s="350"/>
      <c r="C571" s="350">
        <f t="shared" si="2"/>
        <v>0</v>
      </c>
      <c r="D571" s="350">
        <f t="shared" si="1"/>
        <v>0</v>
      </c>
    </row>
    <row r="572" ht="15.75" customHeight="1">
      <c r="A572" s="350"/>
      <c r="B572" s="350"/>
      <c r="C572" s="350">
        <f t="shared" si="2"/>
        <v>0</v>
      </c>
      <c r="D572" s="350">
        <f t="shared" si="1"/>
        <v>0</v>
      </c>
    </row>
    <row r="573" ht="15.75" customHeight="1">
      <c r="A573" s="350"/>
      <c r="B573" s="350"/>
      <c r="C573" s="350">
        <f t="shared" si="2"/>
        <v>0</v>
      </c>
      <c r="D573" s="350">
        <f t="shared" si="1"/>
        <v>0</v>
      </c>
    </row>
    <row r="574" ht="15.75" customHeight="1">
      <c r="A574" s="350"/>
      <c r="B574" s="350"/>
      <c r="C574" s="350">
        <f t="shared" si="2"/>
        <v>0</v>
      </c>
      <c r="D574" s="350">
        <f t="shared" si="1"/>
        <v>0</v>
      </c>
    </row>
    <row r="575" ht="15.75" customHeight="1">
      <c r="A575" s="350"/>
      <c r="B575" s="350"/>
      <c r="C575" s="350">
        <f t="shared" si="2"/>
        <v>0</v>
      </c>
      <c r="D575" s="350">
        <f t="shared" si="1"/>
        <v>0</v>
      </c>
    </row>
    <row r="576" ht="15.75" customHeight="1">
      <c r="A576" s="350"/>
      <c r="B576" s="350"/>
      <c r="C576" s="350">
        <f t="shared" si="2"/>
        <v>0</v>
      </c>
      <c r="D576" s="350">
        <f t="shared" si="1"/>
        <v>0</v>
      </c>
    </row>
    <row r="577" ht="15.75" customHeight="1">
      <c r="A577" s="350"/>
      <c r="B577" s="350"/>
      <c r="C577" s="350">
        <f t="shared" si="2"/>
        <v>0</v>
      </c>
      <c r="D577" s="350">
        <f t="shared" si="1"/>
        <v>0</v>
      </c>
    </row>
    <row r="578" ht="15.75" customHeight="1">
      <c r="A578" s="350"/>
      <c r="B578" s="350"/>
      <c r="C578" s="350">
        <f t="shared" si="2"/>
        <v>0</v>
      </c>
      <c r="D578" s="350">
        <f t="shared" si="1"/>
        <v>0</v>
      </c>
    </row>
    <row r="579" ht="15.75" customHeight="1">
      <c r="A579" s="350"/>
      <c r="B579" s="350"/>
      <c r="C579" s="350">
        <f t="shared" si="2"/>
        <v>0</v>
      </c>
      <c r="D579" s="350">
        <f t="shared" si="1"/>
        <v>0</v>
      </c>
    </row>
    <row r="580" ht="15.75" customHeight="1">
      <c r="A580" s="350"/>
      <c r="B580" s="350"/>
      <c r="C580" s="350">
        <f t="shared" si="2"/>
        <v>0</v>
      </c>
      <c r="D580" s="350">
        <f t="shared" si="1"/>
        <v>0</v>
      </c>
    </row>
    <row r="581" ht="15.75" customHeight="1">
      <c r="A581" s="350"/>
      <c r="B581" s="350"/>
      <c r="C581" s="350">
        <f t="shared" si="2"/>
        <v>0</v>
      </c>
      <c r="D581" s="350">
        <f t="shared" si="1"/>
        <v>0</v>
      </c>
    </row>
    <row r="582" ht="15.75" customHeight="1">
      <c r="A582" s="350"/>
      <c r="B582" s="350"/>
      <c r="C582" s="350">
        <f t="shared" si="2"/>
        <v>0</v>
      </c>
      <c r="D582" s="350">
        <f t="shared" si="1"/>
        <v>0</v>
      </c>
    </row>
    <row r="583" ht="15.75" customHeight="1">
      <c r="A583" s="350"/>
      <c r="B583" s="350"/>
      <c r="C583" s="350">
        <f t="shared" si="2"/>
        <v>0</v>
      </c>
      <c r="D583" s="350">
        <f t="shared" si="1"/>
        <v>0</v>
      </c>
    </row>
    <row r="584" ht="15.75" customHeight="1">
      <c r="A584" s="350"/>
      <c r="B584" s="350"/>
      <c r="C584" s="350">
        <f t="shared" si="2"/>
        <v>0</v>
      </c>
      <c r="D584" s="350">
        <f t="shared" si="1"/>
        <v>0</v>
      </c>
    </row>
    <row r="585" ht="15.75" customHeight="1">
      <c r="A585" s="350"/>
      <c r="B585" s="350"/>
      <c r="C585" s="350">
        <f t="shared" si="2"/>
        <v>0</v>
      </c>
      <c r="D585" s="350">
        <f t="shared" si="1"/>
        <v>0</v>
      </c>
    </row>
    <row r="586" ht="15.75" customHeight="1">
      <c r="A586" s="350"/>
      <c r="B586" s="350"/>
      <c r="C586" s="350">
        <f t="shared" si="2"/>
        <v>0</v>
      </c>
      <c r="D586" s="350">
        <f t="shared" si="1"/>
        <v>0</v>
      </c>
    </row>
    <row r="587" ht="15.75" customHeight="1">
      <c r="A587" s="350"/>
      <c r="B587" s="350"/>
      <c r="C587" s="350">
        <f t="shared" si="2"/>
        <v>0</v>
      </c>
      <c r="D587" s="350">
        <f t="shared" si="1"/>
        <v>0</v>
      </c>
    </row>
    <row r="588" ht="15.75" customHeight="1">
      <c r="A588" s="350"/>
      <c r="B588" s="350"/>
      <c r="C588" s="350">
        <f t="shared" si="2"/>
        <v>0</v>
      </c>
      <c r="D588" s="350">
        <f t="shared" si="1"/>
        <v>0</v>
      </c>
    </row>
    <row r="589" ht="15.75" customHeight="1">
      <c r="A589" s="350"/>
      <c r="B589" s="350"/>
      <c r="C589" s="350">
        <f t="shared" si="2"/>
        <v>0</v>
      </c>
      <c r="D589" s="350">
        <f t="shared" si="1"/>
        <v>0</v>
      </c>
    </row>
    <row r="590" ht="15.75" customHeight="1">
      <c r="A590" s="350"/>
      <c r="B590" s="350"/>
      <c r="C590" s="350">
        <f t="shared" si="2"/>
        <v>0</v>
      </c>
      <c r="D590" s="350">
        <f t="shared" si="1"/>
        <v>0</v>
      </c>
    </row>
    <row r="591" ht="15.75" customHeight="1">
      <c r="A591" s="350"/>
      <c r="B591" s="350"/>
      <c r="C591" s="350">
        <f t="shared" si="2"/>
        <v>0</v>
      </c>
      <c r="D591" s="350">
        <f t="shared" si="1"/>
        <v>0</v>
      </c>
    </row>
    <row r="592" ht="15.75" customHeight="1">
      <c r="A592" s="350"/>
      <c r="B592" s="350"/>
      <c r="C592" s="350">
        <f t="shared" si="2"/>
        <v>0</v>
      </c>
      <c r="D592" s="350">
        <f t="shared" si="1"/>
        <v>0</v>
      </c>
    </row>
    <row r="593" ht="15.75" customHeight="1">
      <c r="A593" s="350"/>
      <c r="B593" s="350"/>
      <c r="C593" s="350">
        <f t="shared" si="2"/>
        <v>0</v>
      </c>
      <c r="D593" s="350">
        <f t="shared" si="1"/>
        <v>0</v>
      </c>
    </row>
    <row r="594" ht="15.75" customHeight="1">
      <c r="A594" s="350"/>
      <c r="B594" s="350"/>
      <c r="C594" s="350">
        <f t="shared" si="2"/>
        <v>0</v>
      </c>
      <c r="D594" s="350">
        <f t="shared" si="1"/>
        <v>0</v>
      </c>
    </row>
    <row r="595" ht="15.75" customHeight="1">
      <c r="A595" s="350"/>
      <c r="B595" s="350"/>
      <c r="C595" s="350">
        <f t="shared" si="2"/>
        <v>0</v>
      </c>
      <c r="D595" s="350">
        <f t="shared" si="1"/>
        <v>0</v>
      </c>
    </row>
    <row r="596" ht="15.75" customHeight="1">
      <c r="A596" s="350"/>
      <c r="B596" s="350"/>
      <c r="C596" s="350">
        <f t="shared" si="2"/>
        <v>0</v>
      </c>
      <c r="D596" s="350">
        <f t="shared" si="1"/>
        <v>0</v>
      </c>
    </row>
    <row r="597" ht="15.75" customHeight="1">
      <c r="A597" s="350"/>
      <c r="B597" s="350"/>
      <c r="C597" s="350">
        <f t="shared" si="2"/>
        <v>0</v>
      </c>
      <c r="D597" s="350">
        <f t="shared" si="1"/>
        <v>0</v>
      </c>
    </row>
    <row r="598" ht="15.75" customHeight="1">
      <c r="A598" s="350"/>
      <c r="B598" s="350"/>
      <c r="C598" s="350">
        <f t="shared" si="2"/>
        <v>0</v>
      </c>
      <c r="D598" s="350">
        <f t="shared" si="1"/>
        <v>0</v>
      </c>
    </row>
    <row r="599" ht="15.75" customHeight="1">
      <c r="A599" s="350"/>
      <c r="B599" s="350"/>
      <c r="C599" s="350">
        <f t="shared" si="2"/>
        <v>0</v>
      </c>
      <c r="D599" s="350">
        <f t="shared" si="1"/>
        <v>0</v>
      </c>
    </row>
    <row r="600" ht="15.75" customHeight="1">
      <c r="A600" s="350"/>
      <c r="B600" s="350"/>
      <c r="C600" s="350">
        <f t="shared" si="2"/>
        <v>0</v>
      </c>
      <c r="D600" s="350">
        <f t="shared" si="1"/>
        <v>0</v>
      </c>
    </row>
    <row r="601" ht="15.75" customHeight="1">
      <c r="A601" s="350"/>
      <c r="B601" s="350"/>
      <c r="C601" s="350">
        <f t="shared" si="2"/>
        <v>0</v>
      </c>
      <c r="D601" s="350">
        <f t="shared" si="1"/>
        <v>0</v>
      </c>
    </row>
    <row r="602" ht="15.75" customHeight="1">
      <c r="A602" s="350"/>
      <c r="B602" s="350"/>
      <c r="C602" s="350">
        <f t="shared" si="2"/>
        <v>0</v>
      </c>
      <c r="D602" s="350">
        <f t="shared" si="1"/>
        <v>0</v>
      </c>
    </row>
    <row r="603" ht="15.75" customHeight="1">
      <c r="A603" s="350"/>
      <c r="B603" s="350"/>
      <c r="C603" s="350">
        <f t="shared" si="2"/>
        <v>0</v>
      </c>
      <c r="D603" s="350">
        <f t="shared" si="1"/>
        <v>0</v>
      </c>
    </row>
    <row r="604" ht="15.75" customHeight="1">
      <c r="A604" s="350"/>
      <c r="B604" s="350"/>
      <c r="C604" s="350">
        <f t="shared" si="2"/>
        <v>0</v>
      </c>
      <c r="D604" s="350">
        <f t="shared" si="1"/>
        <v>0</v>
      </c>
    </row>
    <row r="605" ht="15.75" customHeight="1">
      <c r="A605" s="350"/>
      <c r="B605" s="350"/>
      <c r="C605" s="350">
        <f t="shared" si="2"/>
        <v>0</v>
      </c>
      <c r="D605" s="350">
        <f t="shared" si="1"/>
        <v>0</v>
      </c>
    </row>
    <row r="606" ht="15.75" customHeight="1">
      <c r="A606" s="350"/>
      <c r="B606" s="350"/>
      <c r="C606" s="350">
        <f t="shared" si="2"/>
        <v>0</v>
      </c>
      <c r="D606" s="350">
        <f t="shared" si="1"/>
        <v>0</v>
      </c>
    </row>
    <row r="607" ht="15.75" customHeight="1">
      <c r="A607" s="350"/>
      <c r="B607" s="350"/>
      <c r="C607" s="350">
        <f t="shared" si="2"/>
        <v>0</v>
      </c>
      <c r="D607" s="350">
        <f t="shared" si="1"/>
        <v>0</v>
      </c>
    </row>
    <row r="608" ht="15.75" customHeight="1">
      <c r="A608" s="350"/>
      <c r="B608" s="350"/>
      <c r="C608" s="350">
        <f t="shared" si="2"/>
        <v>0</v>
      </c>
      <c r="D608" s="350">
        <f t="shared" si="1"/>
        <v>0</v>
      </c>
    </row>
    <row r="609" ht="15.75" customHeight="1">
      <c r="A609" s="350"/>
      <c r="B609" s="350"/>
      <c r="C609" s="350">
        <f t="shared" si="2"/>
        <v>0</v>
      </c>
      <c r="D609" s="350">
        <f t="shared" si="1"/>
        <v>0</v>
      </c>
    </row>
    <row r="610" ht="15.75" customHeight="1">
      <c r="A610" s="350"/>
      <c r="B610" s="350"/>
      <c r="C610" s="350">
        <f t="shared" si="2"/>
        <v>0</v>
      </c>
      <c r="D610" s="350">
        <f t="shared" si="1"/>
        <v>0</v>
      </c>
    </row>
    <row r="611" ht="15.75" customHeight="1">
      <c r="A611" s="350"/>
      <c r="B611" s="350"/>
      <c r="C611" s="350">
        <f t="shared" si="2"/>
        <v>0</v>
      </c>
      <c r="D611" s="350">
        <f t="shared" si="1"/>
        <v>0</v>
      </c>
    </row>
    <row r="612" ht="15.75" customHeight="1">
      <c r="A612" s="350"/>
      <c r="B612" s="350"/>
      <c r="C612" s="350">
        <f t="shared" si="2"/>
        <v>0</v>
      </c>
      <c r="D612" s="350">
        <f t="shared" si="1"/>
        <v>0</v>
      </c>
    </row>
    <row r="613" ht="15.75" customHeight="1">
      <c r="A613" s="350"/>
      <c r="B613" s="350"/>
      <c r="C613" s="350">
        <f t="shared" si="2"/>
        <v>0</v>
      </c>
      <c r="D613" s="350">
        <f t="shared" si="1"/>
        <v>0</v>
      </c>
    </row>
    <row r="614" ht="15.75" customHeight="1">
      <c r="A614" s="350"/>
      <c r="B614" s="350"/>
      <c r="C614" s="350">
        <f t="shared" si="2"/>
        <v>0</v>
      </c>
      <c r="D614" s="350">
        <f t="shared" si="1"/>
        <v>0</v>
      </c>
    </row>
    <row r="615" ht="15.75" customHeight="1">
      <c r="A615" s="350"/>
      <c r="B615" s="350"/>
      <c r="C615" s="350">
        <f t="shared" si="2"/>
        <v>0</v>
      </c>
      <c r="D615" s="350">
        <f t="shared" si="1"/>
        <v>0</v>
      </c>
    </row>
    <row r="616" ht="15.75" customHeight="1">
      <c r="A616" s="350"/>
      <c r="B616" s="350"/>
      <c r="C616" s="350">
        <f t="shared" si="2"/>
        <v>0</v>
      </c>
      <c r="D616" s="350">
        <f t="shared" si="1"/>
        <v>0</v>
      </c>
    </row>
    <row r="617" ht="15.75" customHeight="1">
      <c r="A617" s="350"/>
      <c r="B617" s="350"/>
      <c r="C617" s="350">
        <f t="shared" si="2"/>
        <v>0</v>
      </c>
      <c r="D617" s="350">
        <f t="shared" si="1"/>
        <v>0</v>
      </c>
    </row>
    <row r="618" ht="15.75" customHeight="1">
      <c r="A618" s="350"/>
      <c r="B618" s="350"/>
      <c r="C618" s="350">
        <f t="shared" si="2"/>
        <v>0</v>
      </c>
      <c r="D618" s="350">
        <f t="shared" si="1"/>
        <v>0</v>
      </c>
    </row>
    <row r="619" ht="15.75" customHeight="1">
      <c r="A619" s="350"/>
      <c r="B619" s="350"/>
      <c r="C619" s="350">
        <f t="shared" si="2"/>
        <v>0</v>
      </c>
      <c r="D619" s="350">
        <f t="shared" si="1"/>
        <v>0</v>
      </c>
    </row>
    <row r="620" ht="15.75" customHeight="1">
      <c r="A620" s="350"/>
      <c r="B620" s="350"/>
      <c r="C620" s="350">
        <f t="shared" si="2"/>
        <v>0</v>
      </c>
      <c r="D620" s="350">
        <f t="shared" si="1"/>
        <v>0</v>
      </c>
    </row>
    <row r="621" ht="15.75" customHeight="1">
      <c r="A621" s="350"/>
      <c r="B621" s="350"/>
      <c r="C621" s="350">
        <f t="shared" si="2"/>
        <v>0</v>
      </c>
      <c r="D621" s="350">
        <f t="shared" si="1"/>
        <v>0</v>
      </c>
    </row>
    <row r="622" ht="15.75" customHeight="1">
      <c r="A622" s="350"/>
      <c r="B622" s="350"/>
      <c r="C622" s="350">
        <f t="shared" si="2"/>
        <v>0</v>
      </c>
      <c r="D622" s="350">
        <f t="shared" si="1"/>
        <v>0</v>
      </c>
    </row>
    <row r="623" ht="15.75" customHeight="1">
      <c r="A623" s="350"/>
      <c r="B623" s="350"/>
      <c r="C623" s="350">
        <f t="shared" si="2"/>
        <v>0</v>
      </c>
      <c r="D623" s="350">
        <f t="shared" si="1"/>
        <v>0</v>
      </c>
    </row>
    <row r="624" ht="15.75" customHeight="1">
      <c r="A624" s="350"/>
      <c r="B624" s="350"/>
      <c r="C624" s="350">
        <f t="shared" si="2"/>
        <v>0</v>
      </c>
      <c r="D624" s="350">
        <f t="shared" si="1"/>
        <v>0</v>
      </c>
    </row>
    <row r="625" ht="15.75" customHeight="1">
      <c r="A625" s="350"/>
      <c r="B625" s="350"/>
      <c r="C625" s="350">
        <f t="shared" si="2"/>
        <v>0</v>
      </c>
      <c r="D625" s="350">
        <f t="shared" si="1"/>
        <v>0</v>
      </c>
    </row>
    <row r="626" ht="15.75" customHeight="1">
      <c r="A626" s="350"/>
      <c r="B626" s="350"/>
      <c r="C626" s="350">
        <f t="shared" si="2"/>
        <v>0</v>
      </c>
      <c r="D626" s="350">
        <f t="shared" si="1"/>
        <v>0</v>
      </c>
    </row>
    <row r="627" ht="15.75" customHeight="1">
      <c r="A627" s="350"/>
      <c r="B627" s="350"/>
      <c r="C627" s="350">
        <f t="shared" si="2"/>
        <v>0</v>
      </c>
      <c r="D627" s="350">
        <f t="shared" si="1"/>
        <v>0</v>
      </c>
    </row>
    <row r="628" ht="15.75" customHeight="1">
      <c r="A628" s="350"/>
      <c r="B628" s="350"/>
      <c r="C628" s="350">
        <f t="shared" si="2"/>
        <v>0</v>
      </c>
      <c r="D628" s="350">
        <f t="shared" si="1"/>
        <v>0</v>
      </c>
    </row>
    <row r="629" ht="15.75" customHeight="1">
      <c r="A629" s="350"/>
      <c r="B629" s="350"/>
      <c r="C629" s="350">
        <f t="shared" si="2"/>
        <v>0</v>
      </c>
      <c r="D629" s="350">
        <f t="shared" si="1"/>
        <v>0</v>
      </c>
    </row>
    <row r="630" ht="15.75" customHeight="1">
      <c r="A630" s="350"/>
      <c r="B630" s="350"/>
      <c r="C630" s="350">
        <f t="shared" si="2"/>
        <v>0</v>
      </c>
      <c r="D630" s="350">
        <f t="shared" si="1"/>
        <v>0</v>
      </c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7.43"/>
    <col customWidth="1" min="3" max="3" width="10.14"/>
    <col customWidth="1" min="4" max="4" width="10.86"/>
    <col customWidth="1" min="5" max="6" width="14.43"/>
  </cols>
  <sheetData>
    <row r="1">
      <c r="A1" s="352" t="str">
        <f>IFERROR(__xludf.DUMMYFUNCTION("importrange(""https://docs.google.com/spreadsheets/d/1ImCdkYhsUqsakZA8jNZp7UrWFPNTrMyfZQst-0aGkKM/edit?gid=0#gid=0"",""Ma hang!A1:D500"")"),"Mã Hàng")</f>
        <v>Mã Hàng</v>
      </c>
      <c r="B1" s="352" t="str">
        <f>IFERROR(__xludf.DUMMYFUNCTION("""COMPUTED_VALUE"""),"Tên hàng")</f>
        <v>Tên hàng</v>
      </c>
      <c r="C1" s="352" t="str">
        <f>IFERROR(__xludf.DUMMYFUNCTION("""COMPUTED_VALUE"""),"Đơn vị Tính")</f>
        <v>Đơn vị Tính</v>
      </c>
      <c r="D1" s="353" t="str">
        <f>IFERROR(__xludf.DUMMYFUNCTION("""COMPUTED_VALUE"""),"Giá nhập TB")</f>
        <v>Giá nhập TB</v>
      </c>
    </row>
    <row r="2">
      <c r="A2" s="354" t="str">
        <f>IFERROR(__xludf.DUMMYFUNCTION("""COMPUTED_VALUE"""),"APC")</f>
        <v>APC</v>
      </c>
      <c r="B2" s="354" t="str">
        <f>IFERROR(__xludf.DUMMYFUNCTION("""COMPUTED_VALUE"""),"A chymotrypsin")</f>
        <v>A chymotrypsin</v>
      </c>
      <c r="C2" s="354" t="str">
        <f>IFERROR(__xludf.DUMMYFUNCTION("""COMPUTED_VALUE"""),"Viên")</f>
        <v>Viên</v>
      </c>
      <c r="D2" s="355">
        <f>IFERROR(__xludf.DUMMYFUNCTION("""COMPUTED_VALUE"""),250.0)</f>
        <v>250</v>
      </c>
    </row>
    <row r="3">
      <c r="A3" s="354" t="str">
        <f>IFERROR(__xludf.DUMMYFUNCTION("""COMPUTED_VALUE"""),"ACV")</f>
        <v>ACV</v>
      </c>
      <c r="B3" s="354" t="str">
        <f>IFERROR(__xludf.DUMMYFUNCTION("""COMPUTED_VALUE"""),"Acyclovir 200")</f>
        <v>Acyclovir 200</v>
      </c>
      <c r="C3" s="354" t="str">
        <f>IFERROR(__xludf.DUMMYFUNCTION("""COMPUTED_VALUE"""),"Viên")</f>
        <v>Viên</v>
      </c>
      <c r="D3" s="355">
        <f>IFERROR(__xludf.DUMMYFUNCTION("""COMPUTED_VALUE"""),2414.285714285714)</f>
        <v>2414.285714</v>
      </c>
    </row>
    <row r="4">
      <c r="A4" s="354" t="str">
        <f>IFERROR(__xludf.DUMMYFUNCTION("""COMPUTED_VALUE"""),"ADEVTM")</f>
        <v>ADEVTM</v>
      </c>
      <c r="B4" s="354" t="str">
        <f>IFERROR(__xludf.DUMMYFUNCTION("""COMPUTED_VALUE"""),"AD3E Vitamin")</f>
        <v>AD3E Vitamin</v>
      </c>
      <c r="C4" s="354" t="str">
        <f>IFERROR(__xludf.DUMMYFUNCTION("""COMPUTED_VALUE"""),"mL")</f>
        <v>mL</v>
      </c>
      <c r="D4" s="355">
        <f>IFERROR(__xludf.DUMMYFUNCTION("""COMPUTED_VALUE"""),1400.0)</f>
        <v>1400</v>
      </c>
    </row>
    <row r="5">
      <c r="A5" s="354" t="str">
        <f>IFERROR(__xludf.DUMMYFUNCTION("""COMPUTED_VALUE"""),"TKADL")</f>
        <v>TKADL</v>
      </c>
      <c r="B5" s="354" t="str">
        <f>IFERROR(__xludf.DUMMYFUNCTION("""COMPUTED_VALUE"""),"Adrenalin")</f>
        <v>Adrenalin</v>
      </c>
      <c r="C5" s="354" t="str">
        <f>IFERROR(__xludf.DUMMYFUNCTION("""COMPUTED_VALUE"""),"Ống")</f>
        <v>Ống</v>
      </c>
      <c r="D5" s="355">
        <f>IFERROR(__xludf.DUMMYFUNCTION("""COMPUTED_VALUE"""),3000.0)</f>
        <v>3000</v>
      </c>
    </row>
    <row r="6">
      <c r="A6" s="354" t="str">
        <f>IFERROR(__xludf.DUMMYFUNCTION("""COMPUTED_VALUE"""),"AMVTM")</f>
        <v>AMVTM</v>
      </c>
      <c r="B6" s="354" t="str">
        <f>IFERROR(__xludf.DUMMYFUNCTION("""COMPUTED_VALUE"""),"Aminovit")</f>
        <v>Aminovit</v>
      </c>
      <c r="C6" s="354" t="str">
        <f>IFERROR(__xludf.DUMMYFUNCTION("""COMPUTED_VALUE"""),"mL")</f>
        <v>mL</v>
      </c>
      <c r="D6" s="355">
        <f>IFERROR(__xludf.DUMMYFUNCTION("""COMPUTED_VALUE"""),300.0)</f>
        <v>300</v>
      </c>
    </row>
    <row r="7">
      <c r="A7" s="354" t="str">
        <f>IFERROR(__xludf.DUMMYFUNCTION("""COMPUTED_VALUE"""),"AMOX")</f>
        <v>AMOX</v>
      </c>
      <c r="B7" s="354" t="str">
        <f>IFERROR(__xludf.DUMMYFUNCTION("""COMPUTED_VALUE"""),"Amoxicilin 250ml")</f>
        <v>Amoxicilin 250ml</v>
      </c>
      <c r="C7" s="354" t="str">
        <f>IFERROR(__xludf.DUMMYFUNCTION("""COMPUTED_VALUE"""),"mL")</f>
        <v>mL</v>
      </c>
      <c r="D7" s="355">
        <f>IFERROR(__xludf.DUMMYFUNCTION("""COMPUTED_VALUE"""),0.0)</f>
        <v>0</v>
      </c>
    </row>
    <row r="8">
      <c r="A8" s="354" t="str">
        <f>IFERROR(__xludf.DUMMYFUNCTION("""COMPUTED_VALUE"""),"ATD")</f>
        <v>ATD</v>
      </c>
      <c r="B8" s="354" t="str">
        <f>IFERROR(__xludf.DUMMYFUNCTION("""COMPUTED_VALUE"""),"Antiderm bôi ghẻ")</f>
        <v>Antiderm bôi ghẻ</v>
      </c>
      <c r="C8" s="354" t="str">
        <f>IFERROR(__xludf.DUMMYFUNCTION("""COMPUTED_VALUE"""),"Tuýp")</f>
        <v>Tuýp</v>
      </c>
      <c r="D8" s="355">
        <f>IFERROR(__xludf.DUMMYFUNCTION("""COMPUTED_VALUE"""),35000.0)</f>
        <v>35000</v>
      </c>
    </row>
    <row r="9">
      <c r="A9" s="354" t="str">
        <f>IFERROR(__xludf.DUMMYFUNCTION("""COMPUTED_VALUE"""),"APT")</f>
        <v>APT</v>
      </c>
      <c r="B9" s="354" t="str">
        <f>IFERROR(__xludf.DUMMYFUNCTION("""COMPUTED_VALUE"""),"Áo phẫu thuật")</f>
        <v>Áo phẫu thuật</v>
      </c>
      <c r="C9" s="354" t="str">
        <f>IFERROR(__xludf.DUMMYFUNCTION("""COMPUTED_VALUE"""),"Cái")</f>
        <v>Cái</v>
      </c>
      <c r="D9" s="355">
        <f>IFERROR(__xludf.DUMMYFUNCTION("""COMPUTED_VALUE"""),300000.0)</f>
        <v>300000</v>
      </c>
    </row>
    <row r="10">
      <c r="A10" s="354" t="str">
        <f>IFERROR(__xludf.DUMMYFUNCTION("""COMPUTED_VALUE"""),"ATP")</f>
        <v>ATP</v>
      </c>
      <c r="B10" s="354" t="str">
        <f>IFERROR(__xludf.DUMMYFUNCTION("""COMPUTED_VALUE"""),"Atropin")</f>
        <v>Atropin</v>
      </c>
      <c r="C10" s="354" t="str">
        <f>IFERROR(__xludf.DUMMYFUNCTION("""COMPUTED_VALUE"""),"mL")</f>
        <v>mL</v>
      </c>
      <c r="D10" s="355">
        <f>IFERROR(__xludf.DUMMYFUNCTION("""COMPUTED_VALUE"""),163.33333333333334)</f>
        <v>163.3333333</v>
      </c>
    </row>
    <row r="11">
      <c r="A11" s="354" t="str">
        <f>IFERROR(__xludf.DUMMYFUNCTION("""COMPUTED_VALUE"""),"AZT")</f>
        <v>AZT</v>
      </c>
      <c r="B11" s="354" t="str">
        <f>IFERROR(__xludf.DUMMYFUNCTION("""COMPUTED_VALUE"""),"Azithromycin ")</f>
        <v>Azithromycin </v>
      </c>
      <c r="C11" s="354" t="str">
        <f>IFERROR(__xludf.DUMMYFUNCTION("""COMPUTED_VALUE"""),"Gam")</f>
        <v>Gam</v>
      </c>
      <c r="D11" s="355">
        <f>IFERROR(__xludf.DUMMYFUNCTION("""COMPUTED_VALUE"""),20000.0)</f>
        <v>20000</v>
      </c>
    </row>
    <row r="12">
      <c r="A12" s="354" t="str">
        <f>IFERROR(__xludf.DUMMYFUNCTION("""COMPUTED_VALUE"""),"AZT250")</f>
        <v>AZT250</v>
      </c>
      <c r="B12" s="354" t="str">
        <f>IFERROR(__xludf.DUMMYFUNCTION("""COMPUTED_VALUE"""),"Azithromycin 250mg")</f>
        <v>Azithromycin 250mg</v>
      </c>
      <c r="C12" s="354" t="str">
        <f>IFERROR(__xludf.DUMMYFUNCTION("""COMPUTED_VALUE"""),"Viên")</f>
        <v>Viên</v>
      </c>
      <c r="D12" s="355">
        <f>IFERROR(__xludf.DUMMYFUNCTION("""COMPUTED_VALUE"""),1950.0)</f>
        <v>1950</v>
      </c>
    </row>
    <row r="13">
      <c r="A13" s="354" t="str">
        <f>IFERROR(__xludf.DUMMYFUNCTION("""COMPUTED_VALUE"""),"AZT500")</f>
        <v>AZT500</v>
      </c>
      <c r="B13" s="356" t="str">
        <f>IFERROR(__xludf.DUMMYFUNCTION("""COMPUTED_VALUE"""),"Azithromycin 500mg")</f>
        <v>Azithromycin 500mg</v>
      </c>
      <c r="C13" s="354" t="str">
        <f>IFERROR(__xludf.DUMMYFUNCTION("""COMPUTED_VALUE"""),"Viên")</f>
        <v>Viên</v>
      </c>
      <c r="D13" s="355">
        <f>IFERROR(__xludf.DUMMYFUNCTION("""COMPUTED_VALUE"""),4683.166666666666)</f>
        <v>4683.166667</v>
      </c>
    </row>
    <row r="14">
      <c r="A14" s="354" t="str">
        <f>IFERROR(__xludf.DUMMYFUNCTION("""COMPUTED_VALUE"""),"BCL")</f>
        <v>BCL</v>
      </c>
      <c r="B14" s="354" t="str">
        <f>IFERROR(__xludf.DUMMYFUNCTION("""COMPUTED_VALUE"""),"B complex")</f>
        <v>B complex</v>
      </c>
      <c r="C14" s="354" t="str">
        <f>IFERROR(__xludf.DUMMYFUNCTION("""COMPUTED_VALUE"""),"ml")</f>
        <v>ml</v>
      </c>
      <c r="D14" s="355">
        <f>IFERROR(__xludf.DUMMYFUNCTION("""COMPUTED_VALUE"""),300.0)</f>
        <v>300</v>
      </c>
    </row>
    <row r="15">
      <c r="A15" s="354" t="str">
        <f>IFERROR(__xludf.DUMMYFUNCTION("""COMPUTED_VALUE"""),"BCRT")</f>
        <v>BCRT</v>
      </c>
      <c r="B15" s="354" t="str">
        <f>IFERROR(__xludf.DUMMYFUNCTION("""COMPUTED_VALUE"""),"Bàn chải rửa tay")</f>
        <v>Bàn chải rửa tay</v>
      </c>
      <c r="C15" s="354" t="str">
        <f>IFERROR(__xludf.DUMMYFUNCTION("""COMPUTED_VALUE"""),"Cái")</f>
        <v>Cái</v>
      </c>
      <c r="D15" s="355">
        <f>IFERROR(__xludf.DUMMYFUNCTION("""COMPUTED_VALUE"""),38000.0)</f>
        <v>38000</v>
      </c>
    </row>
    <row r="16">
      <c r="A16" s="354" t="str">
        <f>IFERROR(__xludf.DUMMYFUNCTION("""COMPUTED_VALUE"""),"BIOGTT")</f>
        <v>BIOGTT</v>
      </c>
      <c r="B16" s="354" t="str">
        <f>IFERROR(__xludf.DUMMYFUNCTION("""COMPUTED_VALUE"""),"BIO Genta-Tylosin")</f>
        <v>BIO Genta-Tylosin</v>
      </c>
      <c r="C16" s="354" t="str">
        <f>IFERROR(__xludf.DUMMYFUNCTION("""COMPUTED_VALUE"""),"mL")</f>
        <v>mL</v>
      </c>
      <c r="D16" s="355">
        <f>IFERROR(__xludf.DUMMYFUNCTION("""COMPUTED_VALUE"""),1100.0)</f>
        <v>1100</v>
      </c>
    </row>
    <row r="17">
      <c r="A17" s="354" t="str">
        <f>IFERROR(__xludf.DUMMYFUNCTION("""COMPUTED_VALUE"""),"OCTC")</f>
        <v>OCTC</v>
      </c>
      <c r="B17" s="354" t="str">
        <f>IFERROR(__xludf.DUMMYFUNCTION("""COMPUTED_VALUE"""),"BIO Oxytocin")</f>
        <v>BIO Oxytocin</v>
      </c>
      <c r="C17" s="354" t="str">
        <f>IFERROR(__xludf.DUMMYFUNCTION("""COMPUTED_VALUE"""),"mL")</f>
        <v>mL</v>
      </c>
      <c r="D17" s="355">
        <f>IFERROR(__xludf.DUMMYFUNCTION("""COMPUTED_VALUE"""),600.0)</f>
        <v>600</v>
      </c>
    </row>
    <row r="18">
      <c r="A18" s="354" t="str">
        <f>IFERROR(__xludf.DUMMYFUNCTION("""COMPUTED_VALUE"""),"BS")</f>
        <v>BS</v>
      </c>
      <c r="B18" s="356" t="str">
        <f>IFERROR(__xludf.DUMMYFUNCTION("""COMPUTED_VALUE"""),"BIO sone")</f>
        <v>BIO sone</v>
      </c>
      <c r="C18" s="354" t="str">
        <f>IFERROR(__xludf.DUMMYFUNCTION("""COMPUTED_VALUE"""),"mL")</f>
        <v>mL</v>
      </c>
      <c r="D18" s="355">
        <f>IFERROR(__xludf.DUMMYFUNCTION("""COMPUTED_VALUE"""),1300.0)</f>
        <v>1300</v>
      </c>
    </row>
    <row r="19">
      <c r="A19" s="354" t="str">
        <f>IFERROR(__xludf.DUMMYFUNCTION("""COMPUTED_VALUE"""),"VTMB12T")</f>
        <v>VTMB12T</v>
      </c>
      <c r="B19" s="354" t="str">
        <f>IFERROR(__xludf.DUMMYFUNCTION("""COMPUTED_VALUE"""),"BIO-FER+B12")</f>
        <v>BIO-FER+B12</v>
      </c>
      <c r="C19" s="354" t="str">
        <f>IFERROR(__xludf.DUMMYFUNCTION("""COMPUTED_VALUE"""),"mL")</f>
        <v>mL</v>
      </c>
      <c r="D19" s="355">
        <f>IFERROR(__xludf.DUMMYFUNCTION("""COMPUTED_VALUE"""),500.0)</f>
        <v>500</v>
      </c>
    </row>
    <row r="20">
      <c r="A20" s="354" t="str">
        <f>IFERROR(__xludf.DUMMYFUNCTION("""COMPUTED_VALUE"""),"BTC")</f>
        <v>BTC</v>
      </c>
      <c r="B20" s="356" t="str">
        <f>IFERROR(__xludf.DUMMYFUNCTION("""COMPUTED_VALUE"""),"Bột thạch cao")</f>
        <v>Bột thạch cao</v>
      </c>
      <c r="C20" s="354" t="str">
        <f>IFERROR(__xludf.DUMMYFUNCTION("""COMPUTED_VALUE"""),"cuộn")</f>
        <v>cuộn</v>
      </c>
      <c r="D20" s="355">
        <f>IFERROR(__xludf.DUMMYFUNCTION("""COMPUTED_VALUE"""),15000.0)</f>
        <v>15000</v>
      </c>
    </row>
    <row r="21" ht="15.75" customHeight="1">
      <c r="A21" s="354" t="str">
        <f>IFERROR(__xludf.DUMMYFUNCTION("""COMPUTED_VALUE"""),"BHXT")</f>
        <v>BHXT</v>
      </c>
      <c r="B21" s="354" t="str">
        <f>IFERROR(__xludf.DUMMYFUNCTION("""COMPUTED_VALUE"""),"Bromhexine tiêm")</f>
        <v>Bromhexine tiêm</v>
      </c>
      <c r="C21" s="354" t="str">
        <f>IFERROR(__xludf.DUMMYFUNCTION("""COMPUTED_VALUE"""),"mL")</f>
        <v>mL</v>
      </c>
      <c r="D21" s="355">
        <f>IFERROR(__xludf.DUMMYFUNCTION("""COMPUTED_VALUE"""),1000.0)</f>
        <v>1000</v>
      </c>
    </row>
    <row r="22" ht="15.75" customHeight="1">
      <c r="A22" s="354" t="str">
        <f>IFERROR(__xludf.DUMMYFUNCTION("""COMPUTED_VALUE"""),"BHXU")</f>
        <v>BHXU</v>
      </c>
      <c r="B22" s="354" t="str">
        <f>IFERROR(__xludf.DUMMYFUNCTION("""COMPUTED_VALUE"""),"Bromhexine uống")</f>
        <v>Bromhexine uống</v>
      </c>
      <c r="C22" s="354" t="str">
        <f>IFERROR(__xludf.DUMMYFUNCTION("""COMPUTED_VALUE"""),"Viên")</f>
        <v>Viên</v>
      </c>
      <c r="D22" s="355">
        <f>IFERROR(__xludf.DUMMYFUNCTION("""COMPUTED_VALUE"""),180.0)</f>
        <v>180</v>
      </c>
    </row>
    <row r="23" ht="15.75" customHeight="1">
      <c r="A23" s="354" t="str">
        <f>IFERROR(__xludf.DUMMYFUNCTION("""COMPUTED_VALUE"""),"CX")</f>
        <v>CX</v>
      </c>
      <c r="B23" s="354" t="str">
        <f>IFERROR(__xludf.DUMMYFUNCTION("""COMPUTED_VALUE"""),"Canxi")</f>
        <v>Canxi</v>
      </c>
      <c r="C23" s="354" t="str">
        <f>IFERROR(__xludf.DUMMYFUNCTION("""COMPUTED_VALUE"""),"Viên")</f>
        <v>Viên</v>
      </c>
      <c r="D23" s="355">
        <f>IFERROR(__xludf.DUMMYFUNCTION("""COMPUTED_VALUE"""),230.0)</f>
        <v>230</v>
      </c>
    </row>
    <row r="24" ht="15.75" customHeight="1">
      <c r="A24" s="354" t="str">
        <f>IFERROR(__xludf.DUMMYFUNCTION("""COMPUTED_VALUE"""),"CXT")</f>
        <v>CXT</v>
      </c>
      <c r="B24" s="354" t="str">
        <f>IFERROR(__xludf.DUMMYFUNCTION("""COMPUTED_VALUE"""),"Canxi tiêm")</f>
        <v>Canxi tiêm</v>
      </c>
      <c r="C24" s="354" t="str">
        <f>IFERROR(__xludf.DUMMYFUNCTION("""COMPUTED_VALUE"""),"mL")</f>
        <v>mL</v>
      </c>
      <c r="D24" s="355">
        <f>IFERROR(__xludf.DUMMYFUNCTION("""COMPUTED_VALUE"""),425.0)</f>
        <v>425</v>
      </c>
    </row>
    <row r="25" ht="15.75" customHeight="1">
      <c r="A25" s="354" t="str">
        <f>IFERROR(__xludf.DUMMYFUNCTION("""COMPUTED_VALUE"""),"CSTAN")</f>
        <v>CSTAN</v>
      </c>
      <c r="B25" s="354" t="str">
        <f>IFERROR(__xludf.DUMMYFUNCTION("""COMPUTED_VALUE"""),"CasTran an thần")</f>
        <v>CasTran an thần</v>
      </c>
      <c r="C25" s="354" t="str">
        <f>IFERROR(__xludf.DUMMYFUNCTION("""COMPUTED_VALUE"""),"mL")</f>
        <v>mL</v>
      </c>
      <c r="D25" s="355">
        <f>IFERROR(__xludf.DUMMYFUNCTION("""COMPUTED_VALUE"""),1200.0)</f>
        <v>1200</v>
      </c>
    </row>
    <row r="26" ht="15.75" customHeight="1">
      <c r="A26" s="354" t="str">
        <f>IFERROR(__xludf.DUMMYFUNCTION("""COMPUTED_VALUE"""),"CTZ")</f>
        <v>CTZ</v>
      </c>
      <c r="B26" s="354" t="str">
        <f>IFERROR(__xludf.DUMMYFUNCTION("""COMPUTED_VALUE"""),"Ceftriazone_Cefuroxim (KS pha tiêm)")</f>
        <v>Ceftriazone_Cefuroxim (KS pha tiêm)</v>
      </c>
      <c r="C26" s="354" t="str">
        <f>IFERROR(__xludf.DUMMYFUNCTION("""COMPUTED_VALUE"""),"Gam")</f>
        <v>Gam</v>
      </c>
      <c r="D26" s="355">
        <f>IFERROR(__xludf.DUMMYFUNCTION("""COMPUTED_VALUE"""),20000.0)</f>
        <v>20000</v>
      </c>
    </row>
    <row r="27" ht="15.75" customHeight="1">
      <c r="A27" s="356" t="str">
        <f>IFERROR(__xludf.DUMMYFUNCTION("""COMPUTED_VALUE"""),"CF500")</f>
        <v>CF500</v>
      </c>
      <c r="B27" s="356" t="str">
        <f>IFERROR(__xludf.DUMMYFUNCTION("""COMPUTED_VALUE"""),"Cephalexin 500")</f>
        <v>Cephalexin 500</v>
      </c>
      <c r="C27" s="356" t="str">
        <f>IFERROR(__xludf.DUMMYFUNCTION("""COMPUTED_VALUE"""),"Viên")</f>
        <v>Viên</v>
      </c>
      <c r="D27" s="355">
        <f>IFERROR(__xludf.DUMMYFUNCTION("""COMPUTED_VALUE"""),1200.0)</f>
        <v>1200</v>
      </c>
    </row>
    <row r="28" ht="15.75" customHeight="1">
      <c r="A28" s="356" t="str">
        <f>IFERROR(__xludf.DUMMYFUNCTION("""COMPUTED_VALUE"""),"CTRZ")</f>
        <v>CTRZ</v>
      </c>
      <c r="B28" s="356" t="str">
        <f>IFERROR(__xludf.DUMMYFUNCTION("""COMPUTED_VALUE"""),"Cetirizin")</f>
        <v>Cetirizin</v>
      </c>
      <c r="C28" s="356" t="str">
        <f>IFERROR(__xludf.DUMMYFUNCTION("""COMPUTED_VALUE"""),"Viên")</f>
        <v>Viên</v>
      </c>
      <c r="D28" s="356">
        <f>IFERROR(__xludf.DUMMYFUNCTION("""COMPUTED_VALUE"""),200.0)</f>
        <v>200</v>
      </c>
    </row>
    <row r="29" ht="15.75" customHeight="1">
      <c r="A29" s="356" t="str">
        <f>IFERROR(__xludf.DUMMYFUNCTION("""COMPUTED_VALUE"""),"CDTT")</f>
        <v>CDTT</v>
      </c>
      <c r="B29" s="356" t="str">
        <f>IFERROR(__xludf.DUMMYFUNCTION("""COMPUTED_VALUE"""),"Chai đựng thuốc tắm")</f>
        <v>Chai đựng thuốc tắm</v>
      </c>
      <c r="C29" s="356" t="str">
        <f>IFERROR(__xludf.DUMMYFUNCTION("""COMPUTED_VALUE"""),"Chai")</f>
        <v>Chai</v>
      </c>
      <c r="D29" s="355">
        <f>IFERROR(__xludf.DUMMYFUNCTION("""COMPUTED_VALUE"""),1200.0)</f>
        <v>1200</v>
      </c>
    </row>
    <row r="30" ht="15.75" customHeight="1">
      <c r="A30" s="354" t="str">
        <f>IFERROR(__xludf.DUMMYFUNCTION("""COMPUTED_VALUE"""),"CKCG2/0")</f>
        <v>CKCG2/0</v>
      </c>
      <c r="B30" s="354" t="str">
        <f>IFERROR(__xludf.DUMMYFUNCTION("""COMPUTED_VALUE"""),"Chỉ catgut 2/0")</f>
        <v>Chỉ catgut 2/0</v>
      </c>
      <c r="C30" s="354" t="str">
        <f>IFERROR(__xludf.DUMMYFUNCTION("""COMPUTED_VALUE"""),"Sợi")</f>
        <v>Sợi</v>
      </c>
      <c r="D30" s="355">
        <f>IFERROR(__xludf.DUMMYFUNCTION("""COMPUTED_VALUE"""),10000.0)</f>
        <v>10000</v>
      </c>
    </row>
    <row r="31" ht="15.75" customHeight="1">
      <c r="A31" s="354" t="str">
        <f>IFERROR(__xludf.DUMMYFUNCTION("""COMPUTED_VALUE"""),"CKCG3/0")</f>
        <v>CKCG3/0</v>
      </c>
      <c r="B31" s="354" t="str">
        <f>IFERROR(__xludf.DUMMYFUNCTION("""COMPUTED_VALUE"""),"Chỉ catgut 3/0")</f>
        <v>Chỉ catgut 3/0</v>
      </c>
      <c r="C31" s="354" t="str">
        <f>IFERROR(__xludf.DUMMYFUNCTION("""COMPUTED_VALUE"""),"Sợi")</f>
        <v>Sợi</v>
      </c>
      <c r="D31" s="355">
        <f>IFERROR(__xludf.DUMMYFUNCTION("""COMPUTED_VALUE"""),10000.0)</f>
        <v>10000</v>
      </c>
    </row>
    <row r="32" ht="15.75" customHeight="1">
      <c r="A32" s="354" t="str">
        <f>IFERROR(__xludf.DUMMYFUNCTION("""COMPUTED_VALUE"""),"CKCG4/0")</f>
        <v>CKCG4/0</v>
      </c>
      <c r="B32" s="354" t="str">
        <f>IFERROR(__xludf.DUMMYFUNCTION("""COMPUTED_VALUE"""),"Chỉ catgut 4/0")</f>
        <v>Chỉ catgut 4/0</v>
      </c>
      <c r="C32" s="354" t="str">
        <f>IFERROR(__xludf.DUMMYFUNCTION("""COMPUTED_VALUE"""),"Sợi")</f>
        <v>Sợi</v>
      </c>
      <c r="D32" s="355">
        <f>IFERROR(__xludf.DUMMYFUNCTION("""COMPUTED_VALUE"""),10000.0)</f>
        <v>10000</v>
      </c>
    </row>
    <row r="33" ht="15.75" customHeight="1">
      <c r="A33" s="356" t="str">
        <f>IFERROR(__xludf.DUMMYFUNCTION("""COMPUTED_VALUE"""),"CKCGKK")</f>
        <v>CKCGKK</v>
      </c>
      <c r="B33" s="356" t="str">
        <f>IFERROR(__xludf.DUMMYFUNCTION("""COMPUTED_VALUE"""),"Chỉ catgut không kim")</f>
        <v>Chỉ catgut không kim</v>
      </c>
      <c r="C33" s="356" t="str">
        <f>IFERROR(__xludf.DUMMYFUNCTION("""COMPUTED_VALUE"""),"Sợi")</f>
        <v>Sợi</v>
      </c>
      <c r="D33" s="355">
        <f>IFERROR(__xludf.DUMMYFUNCTION("""COMPUTED_VALUE"""),2000.0)</f>
        <v>2000</v>
      </c>
    </row>
    <row r="34" ht="15.75" customHeight="1">
      <c r="A34" s="356" t="str">
        <f>IFERROR(__xludf.DUMMYFUNCTION("""COMPUTED_VALUE"""),"CKKTD")</f>
        <v>CKKTD</v>
      </c>
      <c r="B34" s="356" t="str">
        <f>IFERROR(__xludf.DUMMYFUNCTION("""COMPUTED_VALUE"""),"Chỉ khâu không tiêu dù")</f>
        <v>Chỉ khâu không tiêu dù</v>
      </c>
      <c r="C34" s="356" t="str">
        <f>IFERROR(__xludf.DUMMYFUNCTION("""COMPUTED_VALUE"""),"Mét")</f>
        <v>Mét</v>
      </c>
      <c r="D34" s="355">
        <f>IFERROR(__xludf.DUMMYFUNCTION("""COMPUTED_VALUE"""),600.0)</f>
        <v>600</v>
      </c>
    </row>
    <row r="35" ht="15.75" customHeight="1">
      <c r="A35" s="354" t="str">
        <f>IFERROR(__xludf.DUMMYFUNCTION("""COMPUTED_VALUE"""),"VCRKK3/0")</f>
        <v>VCRKK3/0</v>
      </c>
      <c r="B35" s="354" t="str">
        <f>IFERROR(__xludf.DUMMYFUNCTION("""COMPUTED_VALUE"""),"Chỉ khâu Vicryl không kim 3/0")</f>
        <v>Chỉ khâu Vicryl không kim 3/0</v>
      </c>
      <c r="C35" s="354" t="str">
        <f>IFERROR(__xludf.DUMMYFUNCTION("""COMPUTED_VALUE"""),"Sợi")</f>
        <v>Sợi</v>
      </c>
      <c r="D35" s="355">
        <f>IFERROR(__xludf.DUMMYFUNCTION("""COMPUTED_VALUE"""),4875.0)</f>
        <v>4875</v>
      </c>
    </row>
    <row r="36" ht="15.75" customHeight="1">
      <c r="A36" s="354" t="str">
        <f>IFERROR(__xludf.DUMMYFUNCTION("""COMPUTED_VALUE"""),"CKKT3/0KK")</f>
        <v>CKKT3/0KK</v>
      </c>
      <c r="B36" s="354" t="str">
        <f>IFERROR(__xludf.DUMMYFUNCTION("""COMPUTED_VALUE"""),"Chỉ không tiêu 3/0  không kim")</f>
        <v>Chỉ không tiêu 3/0  không kim</v>
      </c>
      <c r="C36" s="354" t="str">
        <f>IFERROR(__xludf.DUMMYFUNCTION("""COMPUTED_VALUE"""),"Sợi")</f>
        <v>Sợi</v>
      </c>
      <c r="D36" s="355">
        <f>IFERROR(__xludf.DUMMYFUNCTION("""COMPUTED_VALUE"""),2000.0)</f>
        <v>2000</v>
      </c>
    </row>
    <row r="37" ht="15.75" customHeight="1">
      <c r="A37" s="354" t="str">
        <f>IFERROR(__xludf.DUMMYFUNCTION("""COMPUTED_VALUE"""),"CKNL10/0")</f>
        <v>CKNL10/0</v>
      </c>
      <c r="B37" s="354" t="str">
        <f>IFERROR(__xludf.DUMMYFUNCTION("""COMPUTED_VALUE"""),"Chỉ nilon 10/0")</f>
        <v>Chỉ nilon 10/0</v>
      </c>
      <c r="C37" s="354" t="str">
        <f>IFERROR(__xludf.DUMMYFUNCTION("""COMPUTED_VALUE"""),"Sợi")</f>
        <v>Sợi</v>
      </c>
      <c r="D37" s="355">
        <f>IFERROR(__xludf.DUMMYFUNCTION("""COMPUTED_VALUE"""),60000.0)</f>
        <v>60000</v>
      </c>
    </row>
    <row r="38" ht="15.75" customHeight="1">
      <c r="A38" s="354" t="str">
        <f>IFERROR(__xludf.DUMMYFUNCTION("""COMPUTED_VALUE"""),"CKNL2/0")</f>
        <v>CKNL2/0</v>
      </c>
      <c r="B38" s="354" t="str">
        <f>IFERROR(__xludf.DUMMYFUNCTION("""COMPUTED_VALUE"""),"Chỉ nilon 2/0")</f>
        <v>Chỉ nilon 2/0</v>
      </c>
      <c r="C38" s="354" t="str">
        <f>IFERROR(__xludf.DUMMYFUNCTION("""COMPUTED_VALUE"""),"Sợi")</f>
        <v>Sợi</v>
      </c>
      <c r="D38" s="355">
        <f>IFERROR(__xludf.DUMMYFUNCTION("""COMPUTED_VALUE"""),10000.0)</f>
        <v>10000</v>
      </c>
    </row>
    <row r="39" ht="15.75" customHeight="1">
      <c r="A39" s="354" t="str">
        <f>IFERROR(__xludf.DUMMYFUNCTION("""COMPUTED_VALUE"""),"CKNL3/0")</f>
        <v>CKNL3/0</v>
      </c>
      <c r="B39" s="354" t="str">
        <f>IFERROR(__xludf.DUMMYFUNCTION("""COMPUTED_VALUE"""),"Chỉ nilon 3/0")</f>
        <v>Chỉ nilon 3/0</v>
      </c>
      <c r="C39" s="354" t="str">
        <f>IFERROR(__xludf.DUMMYFUNCTION("""COMPUTED_VALUE"""),"Sợi")</f>
        <v>Sợi</v>
      </c>
      <c r="D39" s="355">
        <f>IFERROR(__xludf.DUMMYFUNCTION("""COMPUTED_VALUE"""),10000.0)</f>
        <v>10000</v>
      </c>
    </row>
    <row r="40" ht="15.75" customHeight="1">
      <c r="A40" s="354" t="str">
        <f>IFERROR(__xludf.DUMMYFUNCTION("""COMPUTED_VALUE"""),"CKNL4/0")</f>
        <v>CKNL4/0</v>
      </c>
      <c r="B40" s="354" t="str">
        <f>IFERROR(__xludf.DUMMYFUNCTION("""COMPUTED_VALUE"""),"Chỉ nilon 4/0")</f>
        <v>Chỉ nilon 4/0</v>
      </c>
      <c r="C40" s="354" t="str">
        <f>IFERROR(__xludf.DUMMYFUNCTION("""COMPUTED_VALUE"""),"Sợi")</f>
        <v>Sợi</v>
      </c>
      <c r="D40" s="355">
        <f>IFERROR(__xludf.DUMMYFUNCTION("""COMPUTED_VALUE"""),8333.0)</f>
        <v>8333</v>
      </c>
    </row>
    <row r="41" ht="15.75" customHeight="1">
      <c r="A41" s="354" t="str">
        <f>IFERROR(__xludf.DUMMYFUNCTION("""COMPUTED_VALUE"""),"CKNL5/0")</f>
        <v>CKNL5/0</v>
      </c>
      <c r="B41" s="356" t="str">
        <f>IFERROR(__xludf.DUMMYFUNCTION("""COMPUTED_VALUE"""),"Chỉ nilon 5/0")</f>
        <v>Chỉ nilon 5/0</v>
      </c>
      <c r="C41" s="354" t="str">
        <f>IFERROR(__xludf.DUMMYFUNCTION("""COMPUTED_VALUE"""),"Sợi")</f>
        <v>Sợi</v>
      </c>
      <c r="D41" s="355">
        <f>IFERROR(__xludf.DUMMYFUNCTION("""COMPUTED_VALUE"""),60000.0)</f>
        <v>60000</v>
      </c>
    </row>
    <row r="42" ht="15.75" customHeight="1">
      <c r="A42" s="354" t="str">
        <f>IFERROR(__xludf.DUMMYFUNCTION("""COMPUTED_VALUE"""),"CKNL7/0")</f>
        <v>CKNL7/0</v>
      </c>
      <c r="B42" s="356" t="str">
        <f>IFERROR(__xludf.DUMMYFUNCTION("""COMPUTED_VALUE"""),"Chỉ nilon 7/0")</f>
        <v>Chỉ nilon 7/0</v>
      </c>
      <c r="C42" s="354" t="str">
        <f>IFERROR(__xludf.DUMMYFUNCTION("""COMPUTED_VALUE"""),"Sợi")</f>
        <v>Sợi</v>
      </c>
      <c r="D42" s="355">
        <f>IFERROR(__xludf.DUMMYFUNCTION("""COMPUTED_VALUE"""),60000.0)</f>
        <v>60000</v>
      </c>
    </row>
    <row r="43" ht="15.75" customHeight="1">
      <c r="A43" s="354" t="str">
        <f>IFERROR(__xludf.DUMMYFUNCTION("""COMPUTED_VALUE"""),"CKTVCR0")</f>
        <v>CKTVCR0</v>
      </c>
      <c r="B43" s="354" t="str">
        <f>IFERROR(__xludf.DUMMYFUNCTION("""COMPUTED_VALUE"""),"Chỉ tiêu vircyl 0")</f>
        <v>Chỉ tiêu vircyl 0</v>
      </c>
      <c r="C43" s="354" t="str">
        <f>IFERROR(__xludf.DUMMYFUNCTION("""COMPUTED_VALUE"""),"Sợi")</f>
        <v>Sợi</v>
      </c>
      <c r="D43" s="355">
        <f>IFERROR(__xludf.DUMMYFUNCTION("""COMPUTED_VALUE"""),20000.0)</f>
        <v>20000</v>
      </c>
    </row>
    <row r="44" ht="15.75" customHeight="1">
      <c r="A44" s="354" t="str">
        <f>IFERROR(__xludf.DUMMYFUNCTION("""COMPUTED_VALUE"""),"CKTVCR1")</f>
        <v>CKTVCR1</v>
      </c>
      <c r="B44" s="356" t="str">
        <f>IFERROR(__xludf.DUMMYFUNCTION("""COMPUTED_VALUE"""),"Chỉ tiêu vircyl 1")</f>
        <v>Chỉ tiêu vircyl 1</v>
      </c>
      <c r="C44" s="354" t="str">
        <f>IFERROR(__xludf.DUMMYFUNCTION("""COMPUTED_VALUE"""),"Sợi")</f>
        <v>Sợi</v>
      </c>
      <c r="D44" s="355">
        <f>IFERROR(__xludf.DUMMYFUNCTION("""COMPUTED_VALUE"""),20000.0)</f>
        <v>20000</v>
      </c>
    </row>
    <row r="45" ht="15.75" customHeight="1">
      <c r="A45" s="354" t="str">
        <f>IFERROR(__xludf.DUMMYFUNCTION("""COMPUTED_VALUE"""),"CKTVCR2")</f>
        <v>CKTVCR2</v>
      </c>
      <c r="B45" s="356" t="str">
        <f>IFERROR(__xludf.DUMMYFUNCTION("""COMPUTED_VALUE"""),"Chỉ tiêu vircyl 2")</f>
        <v>Chỉ tiêu vircyl 2</v>
      </c>
      <c r="C45" s="354" t="str">
        <f>IFERROR(__xludf.DUMMYFUNCTION("""COMPUTED_VALUE"""),"Sợi")</f>
        <v>Sợi</v>
      </c>
      <c r="D45" s="355">
        <f>IFERROR(__xludf.DUMMYFUNCTION("""COMPUTED_VALUE"""),20000.0)</f>
        <v>20000</v>
      </c>
    </row>
    <row r="46" ht="15.75" customHeight="1">
      <c r="A46" s="354" t="str">
        <f>IFERROR(__xludf.DUMMYFUNCTION("""COMPUTED_VALUE"""),"CKTVCR2/0")</f>
        <v>CKTVCR2/0</v>
      </c>
      <c r="B46" s="356" t="str">
        <f>IFERROR(__xludf.DUMMYFUNCTION("""COMPUTED_VALUE"""),"Chỉ tiêu vircyl 2/0")</f>
        <v>Chỉ tiêu vircyl 2/0</v>
      </c>
      <c r="C46" s="354" t="str">
        <f>IFERROR(__xludf.DUMMYFUNCTION("""COMPUTED_VALUE"""),"Sợi")</f>
        <v>Sợi</v>
      </c>
      <c r="D46" s="355">
        <f>IFERROR(__xludf.DUMMYFUNCTION("""COMPUTED_VALUE"""),20000.0)</f>
        <v>20000</v>
      </c>
    </row>
    <row r="47" ht="15.75" customHeight="1">
      <c r="A47" s="354" t="str">
        <f>IFERROR(__xludf.DUMMYFUNCTION("""COMPUTED_VALUE"""),"CKTVCR3/0")</f>
        <v>CKTVCR3/0</v>
      </c>
      <c r="B47" s="354" t="str">
        <f>IFERROR(__xludf.DUMMYFUNCTION("""COMPUTED_VALUE"""),"Chỉ tiêu vircyl 3/0")</f>
        <v>Chỉ tiêu vircyl 3/0</v>
      </c>
      <c r="C47" s="354" t="str">
        <f>IFERROR(__xludf.DUMMYFUNCTION("""COMPUTED_VALUE"""),"Sợi")</f>
        <v>Sợi</v>
      </c>
      <c r="D47" s="355">
        <f>IFERROR(__xludf.DUMMYFUNCTION("""COMPUTED_VALUE"""),20000.0)</f>
        <v>20000</v>
      </c>
    </row>
    <row r="48" ht="15.75" customHeight="1">
      <c r="A48" s="354" t="str">
        <f>IFERROR(__xludf.DUMMYFUNCTION("""COMPUTED_VALUE"""),"CKTVCR4/0")</f>
        <v>CKTVCR4/0</v>
      </c>
      <c r="B48" s="354" t="str">
        <f>IFERROR(__xludf.DUMMYFUNCTION("""COMPUTED_VALUE"""),"Chỉ tiêu vircyl 4/0")</f>
        <v>Chỉ tiêu vircyl 4/0</v>
      </c>
      <c r="C48" s="354" t="str">
        <f>IFERROR(__xludf.DUMMYFUNCTION("""COMPUTED_VALUE"""),"Sợi")</f>
        <v>Sợi</v>
      </c>
      <c r="D48" s="355">
        <f>IFERROR(__xludf.DUMMYFUNCTION("""COMPUTED_VALUE"""),20000.0)</f>
        <v>20000</v>
      </c>
    </row>
    <row r="49" ht="15.75" customHeight="1">
      <c r="A49" s="354" t="str">
        <f>IFERROR(__xludf.DUMMYFUNCTION("""COMPUTED_VALUE"""),"CKTVCR6/0")</f>
        <v>CKTVCR6/0</v>
      </c>
      <c r="B49" s="356" t="str">
        <f>IFERROR(__xludf.DUMMYFUNCTION("""COMPUTED_VALUE"""),"Chỉ tiêu vircyl 6/0")</f>
        <v>Chỉ tiêu vircyl 6/0</v>
      </c>
      <c r="C49" s="354" t="str">
        <f>IFERROR(__xludf.DUMMYFUNCTION("""COMPUTED_VALUE"""),"Sợi")</f>
        <v>Sợi</v>
      </c>
      <c r="D49" s="355">
        <f>IFERROR(__xludf.DUMMYFUNCTION("""COMPUTED_VALUE"""),20000.0)</f>
        <v>20000</v>
      </c>
    </row>
    <row r="50" ht="15.75" customHeight="1">
      <c r="A50" s="354" t="str">
        <f>IFERROR(__xludf.DUMMYFUNCTION("""COMPUTED_VALUE"""),"CHDX")</f>
        <v>CHDX</v>
      </c>
      <c r="B50" s="354" t="str">
        <f>IFERROR(__xludf.DUMMYFUNCTION("""COMPUTED_VALUE"""),"Chlorhexidine")</f>
        <v>Chlorhexidine</v>
      </c>
      <c r="C50" s="354" t="str">
        <f>IFERROR(__xludf.DUMMYFUNCTION("""COMPUTED_VALUE"""),"ml")</f>
        <v>ml</v>
      </c>
      <c r="D50" s="355">
        <f>IFERROR(__xludf.DUMMYFUNCTION("""COMPUTED_VALUE"""),145.0)</f>
        <v>145</v>
      </c>
    </row>
    <row r="51" ht="15.75" customHeight="1">
      <c r="A51" s="354" t="str">
        <f>IFERROR(__xludf.DUMMYFUNCTION("""COMPUTED_VALUE"""),"CHL")</f>
        <v>CHL</v>
      </c>
      <c r="B51" s="354" t="str">
        <f>IFERROR(__xludf.DUMMYFUNCTION("""COMPUTED_VALUE"""),"Choliver")</f>
        <v>Choliver</v>
      </c>
      <c r="C51" s="354" t="str">
        <f>IFERROR(__xludf.DUMMYFUNCTION("""COMPUTED_VALUE"""),"Viên")</f>
        <v>Viên</v>
      </c>
      <c r="D51" s="355">
        <f>IFERROR(__xludf.DUMMYFUNCTION("""COMPUTED_VALUE"""),900.0)</f>
        <v>900</v>
      </c>
    </row>
    <row r="52" ht="15.75" customHeight="1">
      <c r="A52" s="354" t="str">
        <f>IFERROR(__xludf.DUMMYFUNCTION("""COMPUTED_VALUE"""),"CHMS")</f>
        <v>CHMS</v>
      </c>
      <c r="B52" s="354" t="str">
        <f>IFERROR(__xludf.DUMMYFUNCTION("""COMPUTED_VALUE"""),"Chymosin")</f>
        <v>Chymosin</v>
      </c>
      <c r="C52" s="354" t="str">
        <f>IFERROR(__xludf.DUMMYFUNCTION("""COMPUTED_VALUE"""),"mL")</f>
        <v>mL</v>
      </c>
      <c r="D52" s="355">
        <f>IFERROR(__xludf.DUMMYFUNCTION("""COMPUTED_VALUE"""),600.0)</f>
        <v>600</v>
      </c>
    </row>
    <row r="53" ht="15.75" customHeight="1">
      <c r="A53" s="354" t="str">
        <f>IFERROR(__xludf.DUMMYFUNCTION("""COMPUTED_VALUE"""),"CMTD300")</f>
        <v>CMTD300</v>
      </c>
      <c r="B53" s="354" t="str">
        <f>IFERROR(__xludf.DUMMYFUNCTION("""COMPUTED_VALUE"""),"Cimetidine 300")</f>
        <v>Cimetidine 300</v>
      </c>
      <c r="C53" s="354" t="str">
        <f>IFERROR(__xludf.DUMMYFUNCTION("""COMPUTED_VALUE"""),"Viên")</f>
        <v>Viên</v>
      </c>
      <c r="D53" s="355">
        <f>IFERROR(__xludf.DUMMYFUNCTION("""COMPUTED_VALUE"""),900.0)</f>
        <v>900</v>
      </c>
    </row>
    <row r="54" ht="15.75" customHeight="1">
      <c r="A54" s="354" t="str">
        <f>IFERROR(__xludf.DUMMYFUNCTION("""COMPUTED_VALUE"""),"CPR500")</f>
        <v>CPR500</v>
      </c>
      <c r="B54" s="354" t="str">
        <f>IFERROR(__xludf.DUMMYFUNCTION("""COMPUTED_VALUE"""),"Ciprofloxacine 500")</f>
        <v>Ciprofloxacine 500</v>
      </c>
      <c r="C54" s="354" t="str">
        <f>IFERROR(__xludf.DUMMYFUNCTION("""COMPUTED_VALUE"""),"Viên")</f>
        <v>Viên</v>
      </c>
      <c r="D54" s="355">
        <f>IFERROR(__xludf.DUMMYFUNCTION("""COMPUTED_VALUE"""),720.0)</f>
        <v>720</v>
      </c>
    </row>
    <row r="55" ht="15.75" customHeight="1">
      <c r="A55" s="354" t="str">
        <f>IFERROR(__xludf.DUMMYFUNCTION("""COMPUTED_VALUE"""),"CLDMC150")</f>
        <v>CLDMC150</v>
      </c>
      <c r="B55" s="354" t="str">
        <f>IFERROR(__xludf.DUMMYFUNCTION("""COMPUTED_VALUE"""),"Clindamycin 150 mg")</f>
        <v>Clindamycin 150 mg</v>
      </c>
      <c r="C55" s="354" t="str">
        <f>IFERROR(__xludf.DUMMYFUNCTION("""COMPUTED_VALUE"""),"Viên")</f>
        <v>Viên</v>
      </c>
      <c r="D55" s="355">
        <f>IFERROR(__xludf.DUMMYFUNCTION("""COMPUTED_VALUE"""),1600.0)</f>
        <v>1600</v>
      </c>
    </row>
    <row r="56" ht="15.75" customHeight="1">
      <c r="A56" s="354" t="str">
        <f>IFERROR(__xludf.DUMMYFUNCTION("""COMPUTED_VALUE"""),"CLRMB")</f>
        <v>CLRMB</v>
      </c>
      <c r="B56" s="354" t="str">
        <f>IFERROR(__xludf.DUMMYFUNCTION("""COMPUTED_VALUE"""),"Cloramin B")</f>
        <v>Cloramin B</v>
      </c>
      <c r="C56" s="354" t="str">
        <f>IFERROR(__xludf.DUMMYFUNCTION("""COMPUTED_VALUE"""),"Gam")</f>
        <v>Gam</v>
      </c>
      <c r="D56" s="355">
        <f>IFERROR(__xludf.DUMMYFUNCTION("""COMPUTED_VALUE"""),200.0)</f>
        <v>200</v>
      </c>
    </row>
    <row r="57" ht="15.75" customHeight="1">
      <c r="A57" s="354" t="str">
        <f>IFERROR(__xludf.DUMMYFUNCTION("""COMPUTED_VALUE"""),"CLPLRM4")</f>
        <v>CLPLRM4</v>
      </c>
      <c r="B57" s="356" t="str">
        <f>IFERROR(__xludf.DUMMYFUNCTION("""COMPUTED_VALUE"""),"Clorpheniramin 4mg")</f>
        <v>Clorpheniramin 4mg</v>
      </c>
      <c r="C57" s="354" t="str">
        <f>IFERROR(__xludf.DUMMYFUNCTION("""COMPUTED_VALUE"""),"Viên")</f>
        <v>Viên</v>
      </c>
      <c r="D57" s="355">
        <f>IFERROR(__xludf.DUMMYFUNCTION("""COMPUTED_VALUE"""),85.0)</f>
        <v>85</v>
      </c>
    </row>
    <row r="58" ht="15.75" customHeight="1">
      <c r="A58" s="354" t="str">
        <f>IFERROR(__xludf.DUMMYFUNCTION("""COMPUTED_VALUE"""),"C90")</f>
        <v>C90</v>
      </c>
      <c r="B58" s="354" t="str">
        <f>IFERROR(__xludf.DUMMYFUNCTION("""COMPUTED_VALUE"""),"Cồn 90")</f>
        <v>Cồn 90</v>
      </c>
      <c r="C58" s="354" t="str">
        <f>IFERROR(__xludf.DUMMYFUNCTION("""COMPUTED_VALUE"""),"mL")</f>
        <v>mL</v>
      </c>
      <c r="D58" s="355">
        <f>IFERROR(__xludf.DUMMYFUNCTION("""COMPUTED_VALUE"""),35.0)</f>
        <v>35</v>
      </c>
    </row>
    <row r="59" ht="15.75" customHeight="1">
      <c r="A59" s="354" t="str">
        <f>IFERROR(__xludf.DUMMYFUNCTION("""COMPUTED_VALUE"""),"CPVD")</f>
        <v>CPVD</v>
      </c>
      <c r="B59" s="354" t="str">
        <f>IFERROR(__xludf.DUMMYFUNCTION("""COMPUTED_VALUE"""),"Cồn povidone")</f>
        <v>Cồn povidone</v>
      </c>
      <c r="C59" s="354" t="str">
        <f>IFERROR(__xludf.DUMMYFUNCTION("""COMPUTED_VALUE"""),"mL")</f>
        <v>mL</v>
      </c>
      <c r="D59" s="355">
        <f>IFERROR(__xludf.DUMMYFUNCTION("""COMPUTED_VALUE"""),110.0)</f>
        <v>110</v>
      </c>
    </row>
    <row r="60" ht="15.75" customHeight="1">
      <c r="A60" s="354" t="str">
        <f>IFERROR(__xludf.DUMMYFUNCTION("""COMPUTED_VALUE"""),"CTD")</f>
        <v>CTD</v>
      </c>
      <c r="B60" s="356" t="str">
        <f>IFERROR(__xludf.DUMMYFUNCTION("""COMPUTED_VALUE"""),"Cồn tuyệt đối")</f>
        <v>Cồn tuyệt đối</v>
      </c>
      <c r="C60" s="354" t="str">
        <f>IFERROR(__xludf.DUMMYFUNCTION("""COMPUTED_VALUE"""),"mL")</f>
        <v>mL</v>
      </c>
      <c r="D60" s="355">
        <f>IFERROR(__xludf.DUMMYFUNCTION("""COMPUTED_VALUE"""),85.0)</f>
        <v>85</v>
      </c>
    </row>
    <row r="61" ht="15.75" customHeight="1">
      <c r="A61" s="354" t="str">
        <f>IFERROR(__xludf.DUMMYFUNCTION("""COMPUTED_VALUE"""),"DPT11")</f>
        <v>DPT11</v>
      </c>
      <c r="B61" s="356" t="str">
        <f>IFERROR(__xludf.DUMMYFUNCTION("""COMPUTED_VALUE"""),"Dao phẫu thuật 11")</f>
        <v>Dao phẫu thuật 11</v>
      </c>
      <c r="C61" s="354" t="str">
        <f>IFERROR(__xludf.DUMMYFUNCTION("""COMPUTED_VALUE"""),"Cái")</f>
        <v>Cái</v>
      </c>
      <c r="D61" s="355">
        <f>IFERROR(__xludf.DUMMYFUNCTION("""COMPUTED_VALUE"""),950.0)</f>
        <v>950</v>
      </c>
    </row>
    <row r="62" ht="15.75" customHeight="1">
      <c r="A62" s="354" t="str">
        <f>IFERROR(__xludf.DUMMYFUNCTION("""COMPUTED_VALUE"""),"DPT12")</f>
        <v>DPT12</v>
      </c>
      <c r="B62" s="354" t="str">
        <f>IFERROR(__xludf.DUMMYFUNCTION("""COMPUTED_VALUE"""),"Dao phẫu thuật 12")</f>
        <v>Dao phẫu thuật 12</v>
      </c>
      <c r="C62" s="354" t="str">
        <f>IFERROR(__xludf.DUMMYFUNCTION("""COMPUTED_VALUE"""),"Cái")</f>
        <v>Cái</v>
      </c>
      <c r="D62" s="355">
        <f>IFERROR(__xludf.DUMMYFUNCTION("""COMPUTED_VALUE"""),950.0)</f>
        <v>950</v>
      </c>
    </row>
    <row r="63" ht="15.75" customHeight="1">
      <c r="A63" s="354" t="str">
        <f>IFERROR(__xludf.DUMMYFUNCTION("""COMPUTED_VALUE"""),"DPT15")</f>
        <v>DPT15</v>
      </c>
      <c r="B63" s="356" t="str">
        <f>IFERROR(__xludf.DUMMYFUNCTION("""COMPUTED_VALUE"""),"Dao phẫu thuật 15")</f>
        <v>Dao phẫu thuật 15</v>
      </c>
      <c r="C63" s="354" t="str">
        <f>IFERROR(__xludf.DUMMYFUNCTION("""COMPUTED_VALUE"""),"Cái")</f>
        <v>Cái</v>
      </c>
      <c r="D63" s="355">
        <f>IFERROR(__xludf.DUMMYFUNCTION("""COMPUTED_VALUE"""),950.0)</f>
        <v>950</v>
      </c>
    </row>
    <row r="64" ht="15.75" customHeight="1">
      <c r="A64" s="354" t="str">
        <f>IFERROR(__xludf.DUMMYFUNCTION("""COMPUTED_VALUE"""),"DPT21")</f>
        <v>DPT21</v>
      </c>
      <c r="B64" s="356" t="str">
        <f>IFERROR(__xludf.DUMMYFUNCTION("""COMPUTED_VALUE"""),"Dao phẫu thuật 21")</f>
        <v>Dao phẫu thuật 21</v>
      </c>
      <c r="C64" s="354" t="str">
        <f>IFERROR(__xludf.DUMMYFUNCTION("""COMPUTED_VALUE"""),"Cái")</f>
        <v>Cái</v>
      </c>
      <c r="D64" s="355">
        <f>IFERROR(__xludf.DUMMYFUNCTION("""COMPUTED_VALUE"""),950.0)</f>
        <v>950</v>
      </c>
    </row>
    <row r="65" ht="15.75" customHeight="1">
      <c r="A65" s="356" t="str">
        <f>IFERROR(__xludf.DUMMYFUNCTION("""COMPUTED_VALUE"""),"DTD")</f>
        <v>DTD</v>
      </c>
      <c r="B65" s="356" t="str">
        <f>IFERROR(__xludf.DUMMYFUNCTION("""COMPUTED_VALUE"""),"Dây truyền dịch")</f>
        <v>Dây truyền dịch</v>
      </c>
      <c r="C65" s="356" t="str">
        <f>IFERROR(__xludf.DUMMYFUNCTION("""COMPUTED_VALUE"""),"Cái")</f>
        <v>Cái</v>
      </c>
      <c r="D65" s="356">
        <f>IFERROR(__xludf.DUMMYFUNCTION("""COMPUTED_VALUE"""),15000.0)</f>
        <v>15000</v>
      </c>
    </row>
    <row r="66" ht="15.75" customHeight="1">
      <c r="A66" s="354" t="str">
        <f>IFERROR(__xludf.DUMMYFUNCTION("""COMPUTED_VALUE"""),"DTM")</f>
        <v>DTM</v>
      </c>
      <c r="B66" s="354" t="str">
        <f>IFERROR(__xludf.DUMMYFUNCTION("""COMPUTED_VALUE"""),"Dây truyền máu")</f>
        <v>Dây truyền máu</v>
      </c>
      <c r="C66" s="354" t="str">
        <f>IFERROR(__xludf.DUMMYFUNCTION("""COMPUTED_VALUE"""),"Cái")</f>
        <v>Cái</v>
      </c>
      <c r="D66" s="355">
        <f>IFERROR(__xludf.DUMMYFUNCTION("""COMPUTED_VALUE"""),4000.0)</f>
        <v>4000</v>
      </c>
    </row>
    <row r="67" ht="15.75" customHeight="1">
      <c r="A67" s="354" t="str">
        <f>IFERROR(__xludf.DUMMYFUNCTION("""COMPUTED_VALUE"""),"DPK")</f>
        <v>DPK</v>
      </c>
      <c r="B67" s="356" t="str">
        <f>IFERROR(__xludf.DUMMYFUNCTION("""COMPUTED_VALUE"""),"Deparkin")</f>
        <v>Deparkin</v>
      </c>
      <c r="C67" s="354" t="str">
        <f>IFERROR(__xludf.DUMMYFUNCTION("""COMPUTED_VALUE"""),"Viên")</f>
        <v>Viên</v>
      </c>
      <c r="D67" s="355">
        <f>IFERROR(__xludf.DUMMYFUNCTION("""COMPUTED_VALUE"""),2500.0)</f>
        <v>2500</v>
      </c>
    </row>
    <row r="68" ht="15.75" customHeight="1">
      <c r="A68" s="354" t="str">
        <f>IFERROR(__xludf.DUMMYFUNCTION("""COMPUTED_VALUE"""),"DXS")</f>
        <v>DXS</v>
      </c>
      <c r="B68" s="356" t="str">
        <f>IFERROR(__xludf.DUMMYFUNCTION("""COMPUTED_VALUE"""),"Dexasone")</f>
        <v>Dexasone</v>
      </c>
      <c r="C68" s="354" t="str">
        <f>IFERROR(__xludf.DUMMYFUNCTION("""COMPUTED_VALUE"""),"mL")</f>
        <v>mL</v>
      </c>
      <c r="D68" s="355">
        <f>IFERROR(__xludf.DUMMYFUNCTION("""COMPUTED_VALUE"""),250.0)</f>
        <v>250</v>
      </c>
    </row>
    <row r="69" ht="15.75" customHeight="1">
      <c r="A69" s="354" t="str">
        <f>IFERROR(__xludf.DUMMYFUNCTION("""COMPUTED_VALUE"""),"DVB")</f>
        <v>DVB</v>
      </c>
      <c r="B69" s="354" t="str">
        <f>IFERROR(__xludf.DUMMYFUNCTION("""COMPUTED_VALUE"""),"Diệt ve bột")</f>
        <v>Diệt ve bột</v>
      </c>
      <c r="C69" s="354" t="str">
        <f>IFERROR(__xludf.DUMMYFUNCTION("""COMPUTED_VALUE"""),"Gam")</f>
        <v>Gam</v>
      </c>
      <c r="D69" s="355">
        <f>IFERROR(__xludf.DUMMYFUNCTION("""COMPUTED_VALUE"""),2000.0)</f>
        <v>2000</v>
      </c>
    </row>
    <row r="70" ht="15.75" customHeight="1">
      <c r="A70" s="354" t="str">
        <f>IFERROR(__xludf.DUMMYFUNCTION("""COMPUTED_VALUE"""),"DVX")</f>
        <v>DVX</v>
      </c>
      <c r="B70" s="354" t="str">
        <f>IFERROR(__xludf.DUMMYFUNCTION("""COMPUTED_VALUE"""),"Diệt ve xanh")</f>
        <v>Diệt ve xanh</v>
      </c>
      <c r="C70" s="354" t="str">
        <f>IFERROR(__xludf.DUMMYFUNCTION("""COMPUTED_VALUE"""),"mL")</f>
        <v>mL</v>
      </c>
      <c r="D70" s="355">
        <f>IFERROR(__xludf.DUMMYFUNCTION("""COMPUTED_VALUE"""),641.6666666666666)</f>
        <v>641.6666667</v>
      </c>
    </row>
    <row r="71" ht="15.75" customHeight="1">
      <c r="A71" s="354" t="str">
        <f>IFERROR(__xludf.DUMMYFUNCTION("""COMPUTED_VALUE"""),"DOC")</f>
        <v>DOC</v>
      </c>
      <c r="B71" s="354" t="str">
        <f>IFERROR(__xludf.DUMMYFUNCTION("""COMPUTED_VALUE"""),"DOC")</f>
        <v>DOC</v>
      </c>
      <c r="C71" s="354" t="str">
        <f>IFERROR(__xludf.DUMMYFUNCTION("""COMPUTED_VALUE"""),"mL")</f>
        <v>mL</v>
      </c>
      <c r="D71" s="355">
        <f>IFERROR(__xludf.DUMMYFUNCTION("""COMPUTED_VALUE"""),1100.0)</f>
        <v>1100</v>
      </c>
    </row>
    <row r="72" ht="15.75" customHeight="1">
      <c r="A72" s="354" t="str">
        <f>IFERROR(__xludf.DUMMYFUNCTION("""COMPUTED_VALUE"""),"DRMT")</f>
        <v>DRMT</v>
      </c>
      <c r="B72" s="354" t="str">
        <f>IFERROR(__xludf.DUMMYFUNCTION("""COMPUTED_VALUE"""),"Doramectin")</f>
        <v>Doramectin</v>
      </c>
      <c r="C72" s="354" t="str">
        <f>IFERROR(__xludf.DUMMYFUNCTION("""COMPUTED_VALUE"""),"mL")</f>
        <v>mL</v>
      </c>
      <c r="D72" s="355">
        <f>IFERROR(__xludf.DUMMYFUNCTION("""COMPUTED_VALUE"""),6600.0)</f>
        <v>6600</v>
      </c>
    </row>
    <row r="73" ht="15.75" customHeight="1">
      <c r="A73" s="354" t="str">
        <f>IFERROR(__xludf.DUMMYFUNCTION("""COMPUTED_VALUE"""),"DXL100")</f>
        <v>DXL100</v>
      </c>
      <c r="B73" s="354" t="str">
        <f>IFERROR(__xludf.DUMMYFUNCTION("""COMPUTED_VALUE"""),"Doxycycline 100mg")</f>
        <v>Doxycycline 100mg</v>
      </c>
      <c r="C73" s="354" t="str">
        <f>IFERROR(__xludf.DUMMYFUNCTION("""COMPUTED_VALUE"""),"Viên")</f>
        <v>Viên</v>
      </c>
      <c r="D73" s="355">
        <f>IFERROR(__xludf.DUMMYFUNCTION("""COMPUTED_VALUE"""),900.0)</f>
        <v>900</v>
      </c>
    </row>
    <row r="74" ht="15.75" customHeight="1">
      <c r="A74" s="354" t="str">
        <f>IFERROR(__xludf.DUMMYFUNCTION("""COMPUTED_VALUE"""),"DPL")</f>
        <v>DPL</v>
      </c>
      <c r="B74" s="354" t="str">
        <f>IFERROR(__xludf.DUMMYFUNCTION("""COMPUTED_VALUE"""),"Duphalac")</f>
        <v>Duphalac</v>
      </c>
      <c r="C74" s="354" t="str">
        <f>IFERROR(__xludf.DUMMYFUNCTION("""COMPUTED_VALUE"""),"Gói")</f>
        <v>Gói</v>
      </c>
      <c r="D74" s="355">
        <f>IFERROR(__xludf.DUMMYFUNCTION("""COMPUTED_VALUE"""),4750.0)</f>
        <v>4750</v>
      </c>
    </row>
    <row r="75" ht="15.75" customHeight="1">
      <c r="A75" s="354" t="str">
        <f>IFERROR(__xludf.DUMMYFUNCTION("""COMPUTED_VALUE"""),"FLDX")</f>
        <v>FLDX</v>
      </c>
      <c r="B75" s="354" t="str">
        <f>IFERROR(__xludf.DUMMYFUNCTION("""COMPUTED_VALUE"""),"Flodixine")</f>
        <v>Flodixine</v>
      </c>
      <c r="C75" s="354" t="str">
        <f>IFERROR(__xludf.DUMMYFUNCTION("""COMPUTED_VALUE"""),"mL")</f>
        <v>mL</v>
      </c>
      <c r="D75" s="355">
        <f>IFERROR(__xludf.DUMMYFUNCTION("""COMPUTED_VALUE"""),1150.0)</f>
        <v>1150</v>
      </c>
    </row>
    <row r="76" ht="15.75" customHeight="1">
      <c r="A76" s="354" t="str">
        <f>IFERROR(__xludf.DUMMYFUNCTION("""COMPUTED_VALUE"""),"FLFNC")</f>
        <v>FLFNC</v>
      </c>
      <c r="B76" s="354" t="str">
        <f>IFERROR(__xludf.DUMMYFUNCTION("""COMPUTED_VALUE"""),"Flofenicol")</f>
        <v>Flofenicol</v>
      </c>
      <c r="C76" s="354" t="str">
        <f>IFERROR(__xludf.DUMMYFUNCTION("""COMPUTED_VALUE"""),"mL")</f>
        <v>mL</v>
      </c>
      <c r="D76" s="355">
        <f>IFERROR(__xludf.DUMMYFUNCTION("""COMPUTED_VALUE"""),1000.0)</f>
        <v>1000</v>
      </c>
    </row>
    <row r="77" ht="15.75" customHeight="1">
      <c r="A77" s="354" t="str">
        <f>IFERROR(__xludf.DUMMYFUNCTION("""COMPUTED_VALUE"""),"FRCMT")</f>
        <v>FRCMT</v>
      </c>
      <c r="B77" s="354" t="str">
        <f>IFERROR(__xludf.DUMMYFUNCTION("""COMPUTED_VALUE"""),"Furosemid 40 mg tiêm")</f>
        <v>Furosemid 40 mg tiêm</v>
      </c>
      <c r="C77" s="354" t="str">
        <f>IFERROR(__xludf.DUMMYFUNCTION("""COMPUTED_VALUE"""),"Ống")</f>
        <v>Ống</v>
      </c>
      <c r="D77" s="355">
        <f>IFERROR(__xludf.DUMMYFUNCTION("""COMPUTED_VALUE"""),3400.0)</f>
        <v>3400</v>
      </c>
    </row>
    <row r="78" ht="15.75" customHeight="1">
      <c r="A78" s="354" t="str">
        <f>IFERROR(__xludf.DUMMYFUNCTION("""COMPUTED_VALUE"""),"FRCMU")</f>
        <v>FRCMU</v>
      </c>
      <c r="B78" s="354" t="str">
        <f>IFERROR(__xludf.DUMMYFUNCTION("""COMPUTED_VALUE"""),"Furosemid 40 mg uống")</f>
        <v>Furosemid 40 mg uống</v>
      </c>
      <c r="C78" s="354" t="str">
        <f>IFERROR(__xludf.DUMMYFUNCTION("""COMPUTED_VALUE"""),"Viên")</f>
        <v>Viên</v>
      </c>
      <c r="D78" s="355">
        <f>IFERROR(__xludf.DUMMYFUNCTION("""COMPUTED_VALUE"""),500.0)</f>
        <v>500</v>
      </c>
    </row>
    <row r="79" ht="15.75" customHeight="1">
      <c r="A79" s="354" t="str">
        <f>IFERROR(__xludf.DUMMYFUNCTION("""COMPUTED_VALUE"""),"GPT")</f>
        <v>GPT</v>
      </c>
      <c r="B79" s="354" t="str">
        <f>IFERROR(__xludf.DUMMYFUNCTION("""COMPUTED_VALUE"""),"Gạc phẫu thuật")</f>
        <v>Gạc phẫu thuật</v>
      </c>
      <c r="C79" s="354" t="str">
        <f>IFERROR(__xludf.DUMMYFUNCTION("""COMPUTED_VALUE"""),"Hộp")</f>
        <v>Hộp</v>
      </c>
      <c r="D79" s="355">
        <f>IFERROR(__xludf.DUMMYFUNCTION("""COMPUTED_VALUE"""),300000.0)</f>
        <v>300000</v>
      </c>
    </row>
    <row r="80" ht="15.75" customHeight="1">
      <c r="A80" s="354" t="str">
        <f>IFERROR(__xludf.DUMMYFUNCTION("""COMPUTED_VALUE"""),"GPTOB")</f>
        <v>GPTOB</v>
      </c>
      <c r="B80" s="354" t="str">
        <f>IFERROR(__xludf.DUMMYFUNCTION("""COMPUTED_VALUE"""),"Gạc phẫu thuật ổ bụng")</f>
        <v>Gạc phẫu thuật ổ bụng</v>
      </c>
      <c r="C80" s="354" t="str">
        <f>IFERROR(__xludf.DUMMYFUNCTION("""COMPUTED_VALUE"""),"Gói")</f>
        <v>Gói</v>
      </c>
      <c r="D80" s="355">
        <f>IFERROR(__xludf.DUMMYFUNCTION("""COMPUTED_VALUE"""),8000.0)</f>
        <v>8000</v>
      </c>
    </row>
    <row r="81" ht="15.75" customHeight="1">
      <c r="A81" s="354" t="str">
        <f>IFERROR(__xludf.DUMMYFUNCTION("""COMPUTED_VALUE"""),"GTPT")</f>
        <v>GTPT</v>
      </c>
      <c r="B81" s="354" t="str">
        <f>IFERROR(__xludf.DUMMYFUNCTION("""COMPUTED_VALUE"""),"Găng tay phẫu thuật")</f>
        <v>Găng tay phẫu thuật</v>
      </c>
      <c r="C81" s="354" t="str">
        <f>IFERROR(__xludf.DUMMYFUNCTION("""COMPUTED_VALUE"""),"Đôi")</f>
        <v>Đôi</v>
      </c>
      <c r="D81" s="355">
        <f>IFERROR(__xludf.DUMMYFUNCTION("""COMPUTED_VALUE"""),5400.0)</f>
        <v>5400</v>
      </c>
    </row>
    <row r="82" ht="15.75" customHeight="1">
      <c r="A82" s="354" t="str">
        <f>IFERROR(__xludf.DUMMYFUNCTION("""COMPUTED_VALUE"""),"GTT")</f>
        <v>GTT</v>
      </c>
      <c r="B82" s="354" t="str">
        <f>IFERROR(__xludf.DUMMYFUNCTION("""COMPUTED_VALUE"""),"Găng tay thường")</f>
        <v>Găng tay thường</v>
      </c>
      <c r="C82" s="354" t="str">
        <f>IFERROR(__xludf.DUMMYFUNCTION("""COMPUTED_VALUE"""),"Hộp")</f>
        <v>Hộp</v>
      </c>
      <c r="D82" s="355">
        <f>IFERROR(__xludf.DUMMYFUNCTION("""COMPUTED_VALUE"""),65000.0)</f>
        <v>65000</v>
      </c>
    </row>
    <row r="83" ht="15.75" customHeight="1">
      <c r="A83" s="354" t="str">
        <f>IFERROR(__xludf.DUMMYFUNCTION("""COMPUTED_VALUE"""),"GSA")</f>
        <v>GSA</v>
      </c>
      <c r="B83" s="354" t="str">
        <f>IFERROR(__xludf.DUMMYFUNCTION("""COMPUTED_VALUE"""),"Gel siêu âm")</f>
        <v>Gel siêu âm</v>
      </c>
      <c r="C83" s="354" t="str">
        <f>IFERROR(__xludf.DUMMYFUNCTION("""COMPUTED_VALUE"""),"Gam")</f>
        <v>Gam</v>
      </c>
      <c r="D83" s="355">
        <f>IFERROR(__xludf.DUMMYFUNCTION("""COMPUTED_VALUE"""),30.0)</f>
        <v>30</v>
      </c>
    </row>
    <row r="84" ht="15.75" customHeight="1">
      <c r="A84" s="354" t="str">
        <f>IFERROR(__xludf.DUMMYFUNCTION("""COMPUTED_VALUE"""),"GTMC4")</f>
        <v>GTMC4</v>
      </c>
      <c r="B84" s="354" t="str">
        <f>IFERROR(__xludf.DUMMYFUNCTION("""COMPUTED_VALUE"""),"Gentamycin 4%")</f>
        <v>Gentamycin 4%</v>
      </c>
      <c r="C84" s="354" t="str">
        <f>IFERROR(__xludf.DUMMYFUNCTION("""COMPUTED_VALUE"""),"mL")</f>
        <v>mL</v>
      </c>
      <c r="D84" s="355">
        <f>IFERROR(__xludf.DUMMYFUNCTION("""COMPUTED_VALUE"""),250.0)</f>
        <v>250</v>
      </c>
    </row>
    <row r="85" ht="15.75" customHeight="1">
      <c r="A85" s="354" t="str">
        <f>IFERROR(__xludf.DUMMYFUNCTION("""COMPUTED_VALUE"""),"GI")</f>
        <v>GI</v>
      </c>
      <c r="B85" s="354" t="str">
        <f>IFERROR(__xludf.DUMMYFUNCTION("""COMPUTED_VALUE"""),"Giấy in")</f>
        <v>Giấy in</v>
      </c>
      <c r="C85" s="354" t="str">
        <f>IFERROR(__xludf.DUMMYFUNCTION("""COMPUTED_VALUE"""),"Cuộn")</f>
        <v>Cuộn</v>
      </c>
      <c r="D85" s="355">
        <f>IFERROR(__xludf.DUMMYFUNCTION("""COMPUTED_VALUE"""),5280.0)</f>
        <v>5280</v>
      </c>
    </row>
    <row r="86" ht="15.75" customHeight="1">
      <c r="A86" s="354" t="str">
        <f>IFERROR(__xludf.DUMMYFUNCTION("""COMPUTED_VALUE"""),"GL5")</f>
        <v>GL5</v>
      </c>
      <c r="B86" s="354" t="str">
        <f>IFERROR(__xludf.DUMMYFUNCTION("""COMPUTED_VALUE"""),"Glucose 5%")</f>
        <v>Glucose 5%</v>
      </c>
      <c r="C86" s="354" t="str">
        <f>IFERROR(__xludf.DUMMYFUNCTION("""COMPUTED_VALUE"""),"Chai")</f>
        <v>Chai</v>
      </c>
      <c r="D86" s="355">
        <f>IFERROR(__xludf.DUMMYFUNCTION("""COMPUTED_VALUE"""),12250.0)</f>
        <v>12250</v>
      </c>
    </row>
    <row r="87" ht="15.75" customHeight="1">
      <c r="A87" s="354" t="str">
        <f>IFERROR(__xludf.DUMMYFUNCTION("""COMPUTED_VALUE"""),"HTX")</f>
        <v>HTX</v>
      </c>
      <c r="B87" s="354" t="str">
        <f>IFERROR(__xludf.DUMMYFUNCTION("""COMPUTED_VALUE"""),"Hantox")</f>
        <v>Hantox</v>
      </c>
      <c r="C87" s="354" t="str">
        <f>IFERROR(__xludf.DUMMYFUNCTION("""COMPUTED_VALUE"""),"mL")</f>
        <v>mL</v>
      </c>
      <c r="D87" s="355">
        <f>IFERROR(__xludf.DUMMYFUNCTION("""COMPUTED_VALUE"""),500.0)</f>
        <v>500</v>
      </c>
    </row>
    <row r="88" ht="15.75" customHeight="1">
      <c r="A88" s="354" t="str">
        <f>IFERROR(__xludf.DUMMYFUNCTION("""COMPUTED_VALUE"""),"HCMSL1")</f>
        <v>HCMSL1</v>
      </c>
      <c r="B88" s="354" t="str">
        <f>IFERROR(__xludf.DUMMYFUNCTION("""COMPUTED_VALUE"""),"HC Diluent")</f>
        <v>HC Diluent</v>
      </c>
      <c r="C88" s="354" t="str">
        <f>IFERROR(__xludf.DUMMYFUNCTION("""COMPUTED_VALUE"""),"Hộp")</f>
        <v>Hộp</v>
      </c>
      <c r="D88" s="355">
        <f>IFERROR(__xludf.DUMMYFUNCTION("""COMPUTED_VALUE"""),900000.0)</f>
        <v>900000</v>
      </c>
    </row>
    <row r="89" ht="15.75" customHeight="1">
      <c r="A89" s="354" t="str">
        <f>IFERROR(__xludf.DUMMYFUNCTION("""COMPUTED_VALUE"""),"HCMSL3")</f>
        <v>HCMSL3</v>
      </c>
      <c r="B89" s="354" t="str">
        <f>IFERROR(__xludf.DUMMYFUNCTION("""COMPUTED_VALUE"""),"HC Ez cleaner")</f>
        <v>HC Ez cleaner</v>
      </c>
      <c r="C89" s="354" t="str">
        <f>IFERROR(__xludf.DUMMYFUNCTION("""COMPUTED_VALUE"""),"Chai")</f>
        <v>Chai</v>
      </c>
      <c r="D89" s="355">
        <f>IFERROR(__xludf.DUMMYFUNCTION("""COMPUTED_VALUE"""),600000.0)</f>
        <v>600000</v>
      </c>
    </row>
    <row r="90" ht="15.75" customHeight="1">
      <c r="A90" s="354" t="str">
        <f>IFERROR(__xludf.DUMMYFUNCTION("""COMPUTED_VALUE"""),"HCMSL2")</f>
        <v>HCMSL2</v>
      </c>
      <c r="B90" s="354" t="str">
        <f>IFERROR(__xludf.DUMMYFUNCTION("""COMPUTED_VALUE"""),"HC Lyse")</f>
        <v>HC Lyse</v>
      </c>
      <c r="C90" s="354" t="str">
        <f>IFERROR(__xludf.DUMMYFUNCTION("""COMPUTED_VALUE"""),"Chai")</f>
        <v>Chai</v>
      </c>
      <c r="D90" s="355">
        <f>IFERROR(__xludf.DUMMYFUNCTION("""COMPUTED_VALUE"""),900000.0)</f>
        <v>900000</v>
      </c>
    </row>
    <row r="91" ht="15.75" customHeight="1">
      <c r="A91" s="354" t="str">
        <f>IFERROR(__xludf.DUMMYFUNCTION("""COMPUTED_VALUE"""),"HISANTI")</f>
        <v>HISANTI</v>
      </c>
      <c r="B91" s="354" t="str">
        <f>IFERROR(__xludf.DUMMYFUNCTION("""COMPUTED_VALUE"""),"Hisanti (chlopheramin)")</f>
        <v>Hisanti (chlopheramin)</v>
      </c>
      <c r="C91" s="354" t="str">
        <f>IFERROR(__xludf.DUMMYFUNCTION("""COMPUTED_VALUE"""),"mL")</f>
        <v>mL</v>
      </c>
      <c r="D91" s="355">
        <f>IFERROR(__xludf.DUMMYFUNCTION("""COMPUTED_VALUE"""),817.0)</f>
        <v>817</v>
      </c>
    </row>
    <row r="92" ht="15.75" customHeight="1">
      <c r="A92" s="354" t="str">
        <f>IFERROR(__xludf.DUMMYFUNCTION("""COMPUTED_VALUE"""),"IMC")</f>
        <v>IMC</v>
      </c>
      <c r="B92" s="354" t="str">
        <f>IFERROR(__xludf.DUMMYFUNCTION("""COMPUTED_VALUE"""),"Imochem 120 (imidocard)")</f>
        <v>Imochem 120 (imidocard)</v>
      </c>
      <c r="C92" s="354" t="str">
        <f>IFERROR(__xludf.DUMMYFUNCTION("""COMPUTED_VALUE"""),"mL")</f>
        <v>mL</v>
      </c>
      <c r="D92" s="355">
        <f>IFERROR(__xludf.DUMMYFUNCTION("""COMPUTED_VALUE"""),10100.0)</f>
        <v>10100</v>
      </c>
    </row>
    <row r="93" ht="15.75" customHeight="1">
      <c r="A93" s="354" t="str">
        <f>IFERROR(__xludf.DUMMYFUNCTION("""COMPUTED_VALUE"""),"ISL")</f>
        <v>ISL</v>
      </c>
      <c r="B93" s="354" t="str">
        <f>IFERROR(__xludf.DUMMYFUNCTION("""COMPUTED_VALUE"""),"Insulin")</f>
        <v>Insulin</v>
      </c>
      <c r="C93" s="354" t="str">
        <f>IFERROR(__xludf.DUMMYFUNCTION("""COMPUTED_VALUE"""),"mL")</f>
        <v>mL</v>
      </c>
      <c r="D93" s="355">
        <f>IFERROR(__xludf.DUMMYFUNCTION("""COMPUTED_VALUE"""),1500.0)</f>
        <v>1500</v>
      </c>
    </row>
    <row r="94" ht="15.75" customHeight="1">
      <c r="A94" s="354" t="str">
        <f>IFERROR(__xludf.DUMMYFUNCTION("""COMPUTED_VALUE"""),"IVMT")</f>
        <v>IVMT</v>
      </c>
      <c r="B94" s="354" t="str">
        <f>IFERROR(__xludf.DUMMYFUNCTION("""COMPUTED_VALUE"""),"Ivermectin")</f>
        <v>Ivermectin</v>
      </c>
      <c r="C94" s="354" t="str">
        <f>IFERROR(__xludf.DUMMYFUNCTION("""COMPUTED_VALUE"""),"mL")</f>
        <v>mL</v>
      </c>
      <c r="D94" s="355">
        <f>IFERROR(__xludf.DUMMYFUNCTION("""COMPUTED_VALUE"""),1300.0)</f>
        <v>1300</v>
      </c>
    </row>
    <row r="95" ht="15.75" customHeight="1">
      <c r="A95" s="354" t="str">
        <f>IFERROR(__xludf.DUMMYFUNCTION("""COMPUTED_VALUE"""),"KALI10")</f>
        <v>KALI10</v>
      </c>
      <c r="B95" s="356" t="str">
        <f>IFERROR(__xludf.DUMMYFUNCTION("""COMPUTED_VALUE"""),"Kali clorid 10%")</f>
        <v>Kali clorid 10%</v>
      </c>
      <c r="C95" s="354" t="str">
        <f>IFERROR(__xludf.DUMMYFUNCTION("""COMPUTED_VALUE"""),"Ống")</f>
        <v>Ống</v>
      </c>
      <c r="D95" s="355">
        <f>IFERROR(__xludf.DUMMYFUNCTION("""COMPUTED_VALUE"""),4500.0)</f>
        <v>4500</v>
      </c>
    </row>
    <row r="96" ht="15.75" customHeight="1">
      <c r="A96" s="354" t="str">
        <f>IFERROR(__xludf.DUMMYFUNCTION("""COMPUTED_VALUE"""),"KDVT")</f>
        <v>KDVT</v>
      </c>
      <c r="B96" s="356" t="str">
        <f>IFERROR(__xludf.DUMMYFUNCTION("""COMPUTED_VALUE"""),"Keo dán vết thương")</f>
        <v>Keo dán vết thương</v>
      </c>
      <c r="C96" s="354" t="str">
        <f>IFERROR(__xludf.DUMMYFUNCTION("""COMPUTED_VALUE"""),"Cuộn")</f>
        <v>Cuộn</v>
      </c>
      <c r="D96" s="355">
        <f>IFERROR(__xludf.DUMMYFUNCTION("""COMPUTED_VALUE"""),120000.0)</f>
        <v>120000</v>
      </c>
    </row>
    <row r="97" ht="15.75" customHeight="1">
      <c r="A97" s="354" t="str">
        <f>IFERROR(__xludf.DUMMYFUNCTION("""COMPUTED_VALUE"""),"KG")</f>
        <v>KG</v>
      </c>
      <c r="B97" s="354" t="str">
        <f>IFERROR(__xludf.DUMMYFUNCTION("""COMPUTED_VALUE"""),"Keo giấy")</f>
        <v>Keo giấy</v>
      </c>
      <c r="C97" s="354" t="str">
        <f>IFERROR(__xludf.DUMMYFUNCTION("""COMPUTED_VALUE"""),"Cuộn")</f>
        <v>Cuộn</v>
      </c>
      <c r="D97" s="355">
        <f>IFERROR(__xludf.DUMMYFUNCTION("""COMPUTED_VALUE"""),6000.0)</f>
        <v>6000</v>
      </c>
    </row>
    <row r="98" ht="15.75" customHeight="1">
      <c r="A98" s="354" t="str">
        <f>IFERROR(__xludf.DUMMYFUNCTION("""COMPUTED_VALUE"""),"KUG")</f>
        <v>KUG</v>
      </c>
      <c r="B98" s="354" t="str">
        <f>IFERROR(__xludf.DUMMYFUNCTION("""COMPUTED_VALUE"""),"Keo urgo")</f>
        <v>Keo urgo</v>
      </c>
      <c r="C98" s="354" t="str">
        <f>IFERROR(__xludf.DUMMYFUNCTION("""COMPUTED_VALUE"""),"Cuộn")</f>
        <v>Cuộn</v>
      </c>
      <c r="D98" s="355">
        <f>IFERROR(__xludf.DUMMYFUNCTION("""COMPUTED_VALUE"""),18000.0)</f>
        <v>18000</v>
      </c>
    </row>
    <row r="99" ht="15.75" customHeight="1">
      <c r="A99" s="354" t="str">
        <f>IFERROR(__xludf.DUMMYFUNCTION("""COMPUTED_VALUE"""),"KTM")</f>
        <v>KTM</v>
      </c>
      <c r="B99" s="354" t="str">
        <f>IFERROR(__xludf.DUMMYFUNCTION("""COMPUTED_VALUE"""),"Ketamin")</f>
        <v>Ketamin</v>
      </c>
      <c r="C99" s="354" t="str">
        <f>IFERROR(__xludf.DUMMYFUNCTION("""COMPUTED_VALUE"""),"mL")</f>
        <v>mL</v>
      </c>
      <c r="D99" s="355">
        <f>IFERROR(__xludf.DUMMYFUNCTION("""COMPUTED_VALUE"""),30000.0)</f>
        <v>30000</v>
      </c>
    </row>
    <row r="100" ht="15.75" customHeight="1">
      <c r="A100" s="354" t="str">
        <f>IFERROR(__xludf.DUMMYFUNCTION("""COMPUTED_VALUE"""),"KTCNZ")</f>
        <v>KTCNZ</v>
      </c>
      <c r="B100" s="354" t="str">
        <f>IFERROR(__xludf.DUMMYFUNCTION("""COMPUTED_VALUE"""),"Ketoconazone")</f>
        <v>Ketoconazone</v>
      </c>
      <c r="C100" s="354" t="str">
        <f>IFERROR(__xludf.DUMMYFUNCTION("""COMPUTED_VALUE"""),"Viên")</f>
        <v>Viên</v>
      </c>
      <c r="D100" s="355">
        <f>IFERROR(__xludf.DUMMYFUNCTION("""COMPUTED_VALUE"""),2300.0)</f>
        <v>2300</v>
      </c>
    </row>
    <row r="101" ht="15.75" customHeight="1">
      <c r="A101" s="354" t="str">
        <f>IFERROR(__xludf.DUMMYFUNCTION("""COMPUTED_VALUE"""),"KTV")</f>
        <v>KTV</v>
      </c>
      <c r="B101" s="354" t="str">
        <f>IFERROR(__xludf.DUMMYFUNCTION("""COMPUTED_VALUE"""),"Ketovet")</f>
        <v>Ketovet</v>
      </c>
      <c r="C101" s="354" t="str">
        <f>IFERROR(__xludf.DUMMYFUNCTION("""COMPUTED_VALUE"""),"mL")</f>
        <v>mL</v>
      </c>
      <c r="D101" s="355">
        <f>IFERROR(__xludf.DUMMYFUNCTION("""COMPUTED_VALUE"""),700.0)</f>
        <v>700</v>
      </c>
    </row>
    <row r="102" ht="15.75" customHeight="1">
      <c r="A102" s="354" t="str">
        <f>IFERROR(__xludf.DUMMYFUNCTION("""COMPUTED_VALUE"""),"BST")</f>
        <v>BST</v>
      </c>
      <c r="B102" s="356" t="str">
        <f>IFERROR(__xludf.DUMMYFUNCTION("""COMPUTED_VALUE"""),"Kháng sinh Basultam")</f>
        <v>Kháng sinh Basultam</v>
      </c>
      <c r="C102" s="354" t="str">
        <f>IFERROR(__xludf.DUMMYFUNCTION("""COMPUTED_VALUE"""),"Lọ")</f>
        <v>Lọ</v>
      </c>
      <c r="D102" s="355">
        <f>IFERROR(__xludf.DUMMYFUNCTION("""COMPUTED_VALUE"""),20000.0)</f>
        <v>20000</v>
      </c>
    </row>
    <row r="103" ht="15.75" customHeight="1">
      <c r="A103" s="354" t="str">
        <f>IFERROR(__xludf.DUMMYFUNCTION("""COMPUTED_VALUE"""),"ERC")</f>
        <v>ERC</v>
      </c>
      <c r="B103" s="356" t="str">
        <f>IFERROR(__xludf.DUMMYFUNCTION("""COMPUTED_VALUE"""),"Kháng sinh Enrocin 10%")</f>
        <v>Kháng sinh Enrocin 10%</v>
      </c>
      <c r="C103" s="354" t="str">
        <f>IFERROR(__xludf.DUMMYFUNCTION("""COMPUTED_VALUE"""),"mL")</f>
        <v>mL</v>
      </c>
      <c r="D103" s="355">
        <f>IFERROR(__xludf.DUMMYFUNCTION("""COMPUTED_VALUE"""),450.0)</f>
        <v>450</v>
      </c>
    </row>
    <row r="104" ht="15.75" customHeight="1">
      <c r="A104" s="354" t="str">
        <f>IFERROR(__xludf.DUMMYFUNCTION("""COMPUTED_VALUE"""),"KKR")</f>
        <v>KKR</v>
      </c>
      <c r="B104" s="354" t="str">
        <f>IFERROR(__xludf.DUMMYFUNCTION("""COMPUTED_VALUE"""),"Kim  khâu rời")</f>
        <v>Kim  khâu rời</v>
      </c>
      <c r="C104" s="354" t="str">
        <f>IFERROR(__xludf.DUMMYFUNCTION("""COMPUTED_VALUE"""),"Cái")</f>
        <v>Cái</v>
      </c>
      <c r="D104" s="355">
        <f>IFERROR(__xludf.DUMMYFUNCTION("""COMPUTED_VALUE"""),1000.0)</f>
        <v>1000</v>
      </c>
    </row>
    <row r="105" ht="15.75" customHeight="1">
      <c r="A105" s="354" t="str">
        <f>IFERROR(__xludf.DUMMYFUNCTION("""COMPUTED_VALUE"""),"KB")</f>
        <v>KB</v>
      </c>
      <c r="B105" s="354" t="str">
        <f>IFERROR(__xludf.DUMMYFUNCTION("""COMPUTED_VALUE"""),"Kim bướm")</f>
        <v>Kim bướm</v>
      </c>
      <c r="C105" s="354" t="str">
        <f>IFERROR(__xludf.DUMMYFUNCTION("""COMPUTED_VALUE"""),"Cái")</f>
        <v>Cái</v>
      </c>
      <c r="D105" s="355">
        <f>IFERROR(__xludf.DUMMYFUNCTION("""COMPUTED_VALUE"""),2500.0)</f>
        <v>2500</v>
      </c>
    </row>
    <row r="106" ht="15.75" customHeight="1">
      <c r="A106" s="354" t="str">
        <f>IFERROR(__xludf.DUMMYFUNCTION("""COMPUTED_VALUE"""),"KBTM")</f>
        <v>KBTM</v>
      </c>
      <c r="B106" s="354" t="str">
        <f>IFERROR(__xludf.DUMMYFUNCTION("""COMPUTED_VALUE"""),"Kim bướm truyền máu")</f>
        <v>Kim bướm truyền máu</v>
      </c>
      <c r="C106" s="354" t="str">
        <f>IFERROR(__xludf.DUMMYFUNCTION("""COMPUTED_VALUE"""),"Cái")</f>
        <v>Cái</v>
      </c>
      <c r="D106" s="355">
        <f>IFERROR(__xludf.DUMMYFUNCTION("""COMPUTED_VALUE"""),5000.0)</f>
        <v>5000</v>
      </c>
    </row>
    <row r="107" ht="15.75" customHeight="1">
      <c r="A107" s="354" t="str">
        <f>IFERROR(__xludf.DUMMYFUNCTION("""COMPUTED_VALUE"""),"KLH")</f>
        <v>KLH</v>
      </c>
      <c r="B107" s="354" t="str">
        <f>IFERROR(__xludf.DUMMYFUNCTION("""COMPUTED_VALUE"""),"Kim luồn hồng-xanh lá")</f>
        <v>Kim luồn hồng-xanh lá</v>
      </c>
      <c r="C107" s="354" t="str">
        <f>IFERROR(__xludf.DUMMYFUNCTION("""COMPUTED_VALUE"""),"Cái")</f>
        <v>Cái</v>
      </c>
      <c r="D107" s="355">
        <f>IFERROR(__xludf.DUMMYFUNCTION("""COMPUTED_VALUE"""),7000.0)</f>
        <v>7000</v>
      </c>
    </row>
    <row r="108" ht="15.75" customHeight="1">
      <c r="A108" s="354" t="str">
        <f>IFERROR(__xludf.DUMMYFUNCTION("""COMPUTED_VALUE"""),"KLVR")</f>
        <v>KLVR</v>
      </c>
      <c r="B108" s="354" t="str">
        <f>IFERROR(__xludf.DUMMYFUNCTION("""COMPUTED_VALUE"""),"Kim luồn vàng rẻ")</f>
        <v>Kim luồn vàng rẻ</v>
      </c>
      <c r="C108" s="354" t="str">
        <f>IFERROR(__xludf.DUMMYFUNCTION("""COMPUTED_VALUE"""),"cái")</f>
        <v>cái</v>
      </c>
      <c r="D108" s="355">
        <f>IFERROR(__xludf.DUMMYFUNCTION("""COMPUTED_VALUE"""),3000.0)</f>
        <v>3000</v>
      </c>
    </row>
    <row r="109" ht="15.75" customHeight="1">
      <c r="A109" s="354" t="str">
        <f>IFERROR(__xludf.DUMMYFUNCTION("""COMPUTED_VALUE"""),"KLVX")</f>
        <v>KLVX</v>
      </c>
      <c r="B109" s="354" t="str">
        <f>IFERROR(__xludf.DUMMYFUNCTION("""COMPUTED_VALUE"""),"Kim luồn tím")</f>
        <v>Kim luồn tím</v>
      </c>
      <c r="C109" s="354" t="str">
        <f>IFERROR(__xludf.DUMMYFUNCTION("""COMPUTED_VALUE"""),"Cái")</f>
        <v>Cái</v>
      </c>
      <c r="D109" s="355">
        <f>IFERROR(__xludf.DUMMYFUNCTION("""COMPUTED_VALUE"""),3500.0)</f>
        <v>3500</v>
      </c>
    </row>
    <row r="110" ht="15.75" customHeight="1">
      <c r="A110" s="354" t="str">
        <f>IFERROR(__xludf.DUMMYFUNCTION("""COMPUTED_VALUE"""),"KLXR")</f>
        <v>KLXR</v>
      </c>
      <c r="B110" s="354" t="str">
        <f>IFERROR(__xludf.DUMMYFUNCTION("""COMPUTED_VALUE"""),"Kim luồn xanh rẻ")</f>
        <v>Kim luồn xanh rẻ</v>
      </c>
      <c r="C110" s="354" t="str">
        <f>IFERROR(__xludf.DUMMYFUNCTION("""COMPUTED_VALUE"""),"Cái")</f>
        <v>Cái</v>
      </c>
      <c r="D110" s="355">
        <f>IFERROR(__xludf.DUMMYFUNCTION("""COMPUTED_VALUE"""),3500.0)</f>
        <v>3500</v>
      </c>
    </row>
    <row r="111" ht="15.75" customHeight="1">
      <c r="A111" s="354" t="str">
        <f>IFERROR(__xludf.DUMMYFUNCTION("""COMPUTED_VALUE"""),"KLXX")</f>
        <v>KLXX</v>
      </c>
      <c r="B111" s="354" t="str">
        <f>IFERROR(__xludf.DUMMYFUNCTION("""COMPUTED_VALUE"""),"Kim luồn xanh xịn")</f>
        <v>Kim luồn xanh xịn</v>
      </c>
      <c r="C111" s="354" t="str">
        <f>IFERROR(__xludf.DUMMYFUNCTION("""COMPUTED_VALUE"""),"Cái")</f>
        <v>Cái</v>
      </c>
      <c r="D111" s="355">
        <f>IFERROR(__xludf.DUMMYFUNCTION("""COMPUTED_VALUE"""),3500.0)</f>
        <v>3500</v>
      </c>
    </row>
    <row r="112" ht="15.75" customHeight="1">
      <c r="A112" s="354" t="str">
        <f>IFERROR(__xludf.DUMMYFUNCTION("""COMPUTED_VALUE"""),"KT18")</f>
        <v>KT18</v>
      </c>
      <c r="B112" s="354" t="str">
        <f>IFERROR(__xludf.DUMMYFUNCTION("""COMPUTED_VALUE"""),"Kim tiêm 18")</f>
        <v>Kim tiêm 18</v>
      </c>
      <c r="C112" s="354" t="str">
        <f>IFERROR(__xludf.DUMMYFUNCTION("""COMPUTED_VALUE"""),"Cái")</f>
        <v>Cái</v>
      </c>
      <c r="D112" s="355">
        <f>IFERROR(__xludf.DUMMYFUNCTION("""COMPUTED_VALUE"""),400.0)</f>
        <v>400</v>
      </c>
    </row>
    <row r="113" ht="15.75" customHeight="1">
      <c r="A113" s="354" t="str">
        <f>IFERROR(__xludf.DUMMYFUNCTION("""COMPUTED_VALUE"""),"KT23")</f>
        <v>KT23</v>
      </c>
      <c r="B113" s="354" t="str">
        <f>IFERROR(__xludf.DUMMYFUNCTION("""COMPUTED_VALUE"""),"Kim tiêm 23")</f>
        <v>Kim tiêm 23</v>
      </c>
      <c r="C113" s="354" t="str">
        <f>IFERROR(__xludf.DUMMYFUNCTION("""COMPUTED_VALUE"""),"Cái")</f>
        <v>Cái</v>
      </c>
      <c r="D113" s="355">
        <f>IFERROR(__xludf.DUMMYFUNCTION("""COMPUTED_VALUE"""),425.0)</f>
        <v>425</v>
      </c>
    </row>
    <row r="114" ht="15.75" customHeight="1">
      <c r="A114" s="354" t="str">
        <f>IFERROR(__xludf.DUMMYFUNCTION("""COMPUTED_VALUE"""),"LTRG")</f>
        <v>LTRG</v>
      </c>
      <c r="B114" s="354" t="str">
        <f>IFERROR(__xludf.DUMMYFUNCTION("""COMPUTED_VALUE"""),"Lactate ringer_Nacl 0.9")</f>
        <v>Lactate ringer_Nacl 0.9</v>
      </c>
      <c r="C114" s="354" t="str">
        <f>IFERROR(__xludf.DUMMYFUNCTION("""COMPUTED_VALUE"""),"chai")</f>
        <v>chai</v>
      </c>
      <c r="D114" s="355">
        <f>IFERROR(__xludf.DUMMYFUNCTION("""COMPUTED_VALUE"""),13250.0)</f>
        <v>13250</v>
      </c>
    </row>
    <row r="115" ht="15.75" customHeight="1">
      <c r="A115" s="354" t="str">
        <f>IFERROR(__xludf.DUMMYFUNCTION("""COMPUTED_VALUE"""),"LK")</f>
        <v>LK</v>
      </c>
      <c r="B115" s="354" t="str">
        <f>IFERROR(__xludf.DUMMYFUNCTION("""COMPUTED_VALUE"""),"Lam kính")</f>
        <v>Lam kính</v>
      </c>
      <c r="C115" s="354" t="str">
        <f>IFERROR(__xludf.DUMMYFUNCTION("""COMPUTED_VALUE"""),"Hộp")</f>
        <v>Hộp</v>
      </c>
      <c r="D115" s="355">
        <f>IFERROR(__xludf.DUMMYFUNCTION("""COMPUTED_VALUE"""),22000.0)</f>
        <v>22000</v>
      </c>
    </row>
    <row r="116" ht="15.75" customHeight="1">
      <c r="A116" s="354" t="str">
        <f>IFERROR(__xludf.DUMMYFUNCTION("""COMPUTED_VALUE"""),"LDCI")</f>
        <v>LDCI</v>
      </c>
      <c r="B116" s="354" t="str">
        <f>IFERROR(__xludf.DUMMYFUNCTION("""COMPUTED_VALUE"""),"Lidocain")</f>
        <v>Lidocain</v>
      </c>
      <c r="C116" s="354" t="str">
        <f>IFERROR(__xludf.DUMMYFUNCTION("""COMPUTED_VALUE"""),"Ống")</f>
        <v>Ống</v>
      </c>
      <c r="D116" s="355">
        <f>IFERROR(__xludf.DUMMYFUNCTION("""COMPUTED_VALUE"""),700.0)</f>
        <v>700</v>
      </c>
    </row>
    <row r="117" ht="15.75" customHeight="1">
      <c r="A117" s="354" t="str">
        <f>IFERROR(__xludf.DUMMYFUNCTION("""COMPUTED_VALUE"""),"LDCI10")</f>
        <v>LDCI10</v>
      </c>
      <c r="B117" s="354" t="str">
        <f>IFERROR(__xludf.DUMMYFUNCTION("""COMPUTED_VALUE"""),"Lidocain xịt 10%")</f>
        <v>Lidocain xịt 10%</v>
      </c>
      <c r="C117" s="354" t="str">
        <f>IFERROR(__xludf.DUMMYFUNCTION("""COMPUTED_VALUE"""),"Lọ")</f>
        <v>Lọ</v>
      </c>
      <c r="D117" s="355">
        <f>IFERROR(__xludf.DUMMYFUNCTION("""COMPUTED_VALUE"""),0.0)</f>
        <v>0</v>
      </c>
    </row>
    <row r="118" ht="15.75" customHeight="1">
      <c r="A118" s="354" t="str">
        <f>IFERROR(__xludf.DUMMYFUNCTION("""COMPUTED_VALUE"""),"MLXCT")</f>
        <v>MLXCT</v>
      </c>
      <c r="B118" s="354" t="str">
        <f>IFERROR(__xludf.DUMMYFUNCTION("""COMPUTED_VALUE"""),"Loxic (Meloxicam)")</f>
        <v>Loxic (Meloxicam)</v>
      </c>
      <c r="C118" s="354" t="str">
        <f>IFERROR(__xludf.DUMMYFUNCTION("""COMPUTED_VALUE"""),"mL")</f>
        <v>mL</v>
      </c>
      <c r="D118" s="355">
        <f>IFERROR(__xludf.DUMMYFUNCTION("""COMPUTED_VALUE"""),350.0)</f>
        <v>350</v>
      </c>
    </row>
    <row r="119" ht="15.75" customHeight="1">
      <c r="A119" s="354" t="str">
        <f>IFERROR(__xludf.DUMMYFUNCTION("""COMPUTED_VALUE"""),"MDMICRO")</f>
        <v>MDMICRO</v>
      </c>
      <c r="B119" s="354" t="str">
        <f>IFERROR(__xludf.DUMMYFUNCTION("""COMPUTED_VALUE"""),"Máy đọc Microchip")</f>
        <v>Máy đọc Microchip</v>
      </c>
      <c r="C119" s="354" t="str">
        <f>IFERROR(__xludf.DUMMYFUNCTION("""COMPUTED_VALUE"""),"Cái")</f>
        <v>Cái</v>
      </c>
      <c r="D119" s="355">
        <f>IFERROR(__xludf.DUMMYFUNCTION("""COMPUTED_VALUE"""),512000.0)</f>
        <v>512000</v>
      </c>
    </row>
    <row r="120" ht="15.75" customHeight="1">
      <c r="A120" s="354" t="str">
        <f>IFERROR(__xludf.DUMMYFUNCTION("""COMPUTED_VALUE"""),"MLXCU7.5")</f>
        <v>MLXCU7.5</v>
      </c>
      <c r="B120" s="354" t="str">
        <f>IFERROR(__xludf.DUMMYFUNCTION("""COMPUTED_VALUE"""),"Meloxicam 7.5 mg")</f>
        <v>Meloxicam 7.5 mg</v>
      </c>
      <c r="C120" s="354" t="str">
        <f>IFERROR(__xludf.DUMMYFUNCTION("""COMPUTED_VALUE"""),"Viên")</f>
        <v>Viên</v>
      </c>
      <c r="D120" s="355">
        <f>IFERROR(__xludf.DUMMYFUNCTION("""COMPUTED_VALUE"""),225.0)</f>
        <v>225</v>
      </c>
    </row>
    <row r="121" ht="15.75" customHeight="1">
      <c r="A121" s="354" t="str">
        <f>IFERROR(__xludf.DUMMYFUNCTION("""COMPUTED_VALUE"""),"MTH")</f>
        <v>MTH</v>
      </c>
      <c r="B121" s="354" t="str">
        <f>IFERROR(__xludf.DUMMYFUNCTION("""COMPUTED_VALUE"""),"Men Tiêu hóa")</f>
        <v>Men Tiêu hóa</v>
      </c>
      <c r="C121" s="354" t="str">
        <f>IFERROR(__xludf.DUMMYFUNCTION("""COMPUTED_VALUE"""),"gói")</f>
        <v>gói</v>
      </c>
      <c r="D121" s="355">
        <f>IFERROR(__xludf.DUMMYFUNCTION("""COMPUTED_VALUE"""),573.3333333333334)</f>
        <v>573.3333333</v>
      </c>
    </row>
    <row r="122" ht="15.75" customHeight="1">
      <c r="A122" s="354" t="str">
        <f>IFERROR(__xludf.DUMMYFUNCTION("""COMPUTED_VALUE"""),"METO")</f>
        <v>METO</v>
      </c>
      <c r="B122" s="356" t="str">
        <f>IFERROR(__xludf.DUMMYFUNCTION("""COMPUTED_VALUE"""),"Metoclopramide")</f>
        <v>Metoclopramide</v>
      </c>
      <c r="C122" s="354" t="str">
        <f>IFERROR(__xludf.DUMMYFUNCTION("""COMPUTED_VALUE"""),"Ống")</f>
        <v>Ống</v>
      </c>
      <c r="D122" s="355">
        <f>IFERROR(__xludf.DUMMYFUNCTION("""COMPUTED_VALUE"""),3000.0)</f>
        <v>3000</v>
      </c>
    </row>
    <row r="123" ht="15.75" customHeight="1">
      <c r="A123" s="354" t="str">
        <f>IFERROR(__xludf.DUMMYFUNCTION("""COMPUTED_VALUE"""),"MTNDZ250U")</f>
        <v>MTNDZ250U</v>
      </c>
      <c r="B123" s="354" t="str">
        <f>IFERROR(__xludf.DUMMYFUNCTION("""COMPUTED_VALUE"""),"Metronidazol 250mg")</f>
        <v>Metronidazol 250mg</v>
      </c>
      <c r="C123" s="354" t="str">
        <f>IFERROR(__xludf.DUMMYFUNCTION("""COMPUTED_VALUE"""),"Viên")</f>
        <v>Viên</v>
      </c>
      <c r="D123" s="355">
        <f>IFERROR(__xludf.DUMMYFUNCTION("""COMPUTED_VALUE"""),300.0)</f>
        <v>300</v>
      </c>
    </row>
    <row r="124" ht="15.75" customHeight="1">
      <c r="A124" s="354" t="str">
        <f>IFERROR(__xludf.DUMMYFUNCTION("""COMPUTED_VALUE"""),"MTNDZT")</f>
        <v>MTNDZT</v>
      </c>
      <c r="B124" s="356" t="str">
        <f>IFERROR(__xludf.DUMMYFUNCTION("""COMPUTED_VALUE"""),"Metronidazol truyền")</f>
        <v>Metronidazol truyền</v>
      </c>
      <c r="C124" s="354" t="str">
        <f>IFERROR(__xludf.DUMMYFUNCTION("""COMPUTED_VALUE"""),"ml")</f>
        <v>ml</v>
      </c>
      <c r="D124" s="355">
        <f>IFERROR(__xludf.DUMMYFUNCTION("""COMPUTED_VALUE"""),150.0)</f>
        <v>150</v>
      </c>
    </row>
    <row r="125" ht="15.75" customHeight="1">
      <c r="A125" s="354" t="str">
        <f>IFERROR(__xludf.DUMMYFUNCTION("""COMPUTED_VALUE"""),"MICRO")</f>
        <v>MICRO</v>
      </c>
      <c r="B125" s="354" t="str">
        <f>IFERROR(__xludf.DUMMYFUNCTION("""COMPUTED_VALUE"""),"Microchip")</f>
        <v>Microchip</v>
      </c>
      <c r="C125" s="354" t="str">
        <f>IFERROR(__xludf.DUMMYFUNCTION("""COMPUTED_VALUE"""),"Cái")</f>
        <v>Cái</v>
      </c>
      <c r="D125" s="355">
        <f>IFERROR(__xludf.DUMMYFUNCTION("""COMPUTED_VALUE"""),35100.0)</f>
        <v>35100</v>
      </c>
    </row>
    <row r="126" ht="15.75" customHeight="1">
      <c r="A126" s="354" t="str">
        <f>IFERROR(__xludf.DUMMYFUNCTION("""COMPUTED_VALUE"""),"MTVTM")</f>
        <v>MTVTM</v>
      </c>
      <c r="B126" s="354" t="str">
        <f>IFERROR(__xludf.DUMMYFUNCTION("""COMPUTED_VALUE"""),"Multivitamin Vitacomplex")</f>
        <v>Multivitamin Vitacomplex</v>
      </c>
      <c r="C126" s="354" t="str">
        <f>IFERROR(__xludf.DUMMYFUNCTION("""COMPUTED_VALUE"""),"Viên")</f>
        <v>Viên</v>
      </c>
      <c r="D126" s="355">
        <f>IFERROR(__xludf.DUMMYFUNCTION("""COMPUTED_VALUE"""),100.0)</f>
        <v>100</v>
      </c>
    </row>
    <row r="127" ht="15.75" customHeight="1">
      <c r="A127" s="354" t="str">
        <f>IFERROR(__xludf.DUMMYFUNCTION("""COMPUTED_VALUE"""),"NCRR0.9")</f>
        <v>NCRR0.9</v>
      </c>
      <c r="B127" s="354" t="str">
        <f>IFERROR(__xludf.DUMMYFUNCTION("""COMPUTED_VALUE"""),"NaCl 0.9 % rửa")</f>
        <v>NaCl 0.9 % rửa</v>
      </c>
      <c r="C127" s="354" t="str">
        <f>IFERROR(__xludf.DUMMYFUNCTION("""COMPUTED_VALUE"""),"Chai")</f>
        <v>Chai</v>
      </c>
      <c r="D127" s="355">
        <f>IFERROR(__xludf.DUMMYFUNCTION("""COMPUTED_VALUE"""),5250.0)</f>
        <v>5250</v>
      </c>
    </row>
    <row r="128" ht="15.75" customHeight="1">
      <c r="A128" s="354" t="str">
        <f>IFERROR(__xludf.DUMMYFUNCTION("""COMPUTED_VALUE"""),"NK")</f>
        <v>NK</v>
      </c>
      <c r="B128" s="354" t="str">
        <f>IFERROR(__xludf.DUMMYFUNCTION("""COMPUTED_VALUE"""),"Nhiệt kế")</f>
        <v>Nhiệt kế</v>
      </c>
      <c r="C128" s="354" t="str">
        <f>IFERROR(__xludf.DUMMYFUNCTION("""COMPUTED_VALUE"""),"Cái")</f>
        <v>Cái</v>
      </c>
      <c r="D128" s="355">
        <f>IFERROR(__xludf.DUMMYFUNCTION("""COMPUTED_VALUE"""),25000.0)</f>
        <v>25000</v>
      </c>
    </row>
    <row r="129" ht="15.75" customHeight="1">
      <c r="A129" s="354" t="str">
        <f>IFERROR(__xludf.DUMMYFUNCTION("""COMPUTED_VALUE"""),"NMG")</f>
        <v>NMG</v>
      </c>
      <c r="B129" s="356" t="str">
        <f>IFERROR(__xludf.DUMMYFUNCTION("""COMPUTED_VALUE"""),"Normagut")</f>
        <v>Normagut</v>
      </c>
      <c r="C129" s="354" t="str">
        <f>IFERROR(__xludf.DUMMYFUNCTION("""COMPUTED_VALUE"""),"viên")</f>
        <v>viên</v>
      </c>
      <c r="D129" s="355">
        <f>IFERROR(__xludf.DUMMYFUNCTION("""COMPUTED_VALUE"""),6500.0)</f>
        <v>6500</v>
      </c>
    </row>
    <row r="130" ht="15.75" customHeight="1">
      <c r="A130" s="354" t="str">
        <f>IFERROR(__xludf.DUMMYFUNCTION("""COMPUTED_VALUE"""),"NCPT")</f>
        <v>NCPT</v>
      </c>
      <c r="B130" s="354" t="str">
        <f>IFERROR(__xludf.DUMMYFUNCTION("""COMPUTED_VALUE"""),"Nước cất pha tiêm")</f>
        <v>Nước cất pha tiêm</v>
      </c>
      <c r="C130" s="354" t="str">
        <f>IFERROR(__xludf.DUMMYFUNCTION("""COMPUTED_VALUE"""),"Ống")</f>
        <v>Ống</v>
      </c>
      <c r="D130" s="355">
        <f>IFERROR(__xludf.DUMMYFUNCTION("""COMPUTED_VALUE"""),500.0)</f>
        <v>500</v>
      </c>
    </row>
    <row r="131" ht="15.75" customHeight="1">
      <c r="A131" s="354" t="str">
        <f>IFERROR(__xludf.DUMMYFUNCTION("""COMPUTED_VALUE"""),"OFLCC")</f>
        <v>OFLCC</v>
      </c>
      <c r="B131" s="354" t="str">
        <f>IFERROR(__xludf.DUMMYFUNCTION("""COMPUTED_VALUE"""),"Ofloxacin")</f>
        <v>Ofloxacin</v>
      </c>
      <c r="C131" s="354" t="str">
        <f>IFERROR(__xludf.DUMMYFUNCTION("""COMPUTED_VALUE"""),"Viên")</f>
        <v>Viên</v>
      </c>
      <c r="D131" s="355">
        <f>IFERROR(__xludf.DUMMYFUNCTION("""COMPUTED_VALUE"""),600.0)</f>
        <v>600</v>
      </c>
    </row>
    <row r="132" ht="15.75" customHeight="1">
      <c r="A132" s="354" t="str">
        <f>IFERROR(__xludf.DUMMYFUNCTION("""COMPUTED_VALUE"""),"OMPZ")</f>
        <v>OMPZ</v>
      </c>
      <c r="B132" s="354" t="str">
        <f>IFERROR(__xludf.DUMMYFUNCTION("""COMPUTED_VALUE"""),"Omeprazole 20mg")</f>
        <v>Omeprazole 20mg</v>
      </c>
      <c r="C132" s="354" t="str">
        <f>IFERROR(__xludf.DUMMYFUNCTION("""COMPUTED_VALUE"""),"viên")</f>
        <v>viên</v>
      </c>
      <c r="D132" s="355">
        <f>IFERROR(__xludf.DUMMYFUNCTION("""COMPUTED_VALUE"""),450.0)</f>
        <v>450</v>
      </c>
    </row>
    <row r="133" ht="15.75" customHeight="1">
      <c r="A133" s="354" t="str">
        <f>IFERROR(__xludf.DUMMYFUNCTION("""COMPUTED_VALUE"""),"OXG")</f>
        <v>OXG</v>
      </c>
      <c r="B133" s="354" t="str">
        <f>IFERROR(__xludf.DUMMYFUNCTION("""COMPUTED_VALUE"""),"Oxy già")</f>
        <v>Oxy già</v>
      </c>
      <c r="C133" s="354" t="str">
        <f>IFERROR(__xludf.DUMMYFUNCTION("""COMPUTED_VALUE"""),"mL")</f>
        <v>mL</v>
      </c>
      <c r="D133" s="355">
        <f>IFERROR(__xludf.DUMMYFUNCTION("""COMPUTED_VALUE"""),94.0)</f>
        <v>94</v>
      </c>
    </row>
    <row r="134" ht="15.75" customHeight="1">
      <c r="A134" s="354" t="str">
        <f>IFERROR(__xludf.DUMMYFUNCTION("""COMPUTED_VALUE"""),"OEDTAD")</f>
        <v>OEDTAD</v>
      </c>
      <c r="B134" s="356" t="str">
        <f>IFERROR(__xludf.DUMMYFUNCTION("""COMPUTED_VALUE"""),"Ống EDTA đen")</f>
        <v>Ống EDTA đen</v>
      </c>
      <c r="C134" s="354" t="str">
        <f>IFERROR(__xludf.DUMMYFUNCTION("""COMPUTED_VALUE"""),"Cái")</f>
        <v>Cái</v>
      </c>
      <c r="D134" s="355">
        <f>IFERROR(__xludf.DUMMYFUNCTION("""COMPUTED_VALUE"""),1000.0)</f>
        <v>1000</v>
      </c>
    </row>
    <row r="135" ht="15.75" customHeight="1">
      <c r="A135" s="354" t="str">
        <f>IFERROR(__xludf.DUMMYFUNCTION("""COMPUTED_VALUE"""),"OEDTAX")</f>
        <v>OEDTAX</v>
      </c>
      <c r="B135" s="354" t="str">
        <f>IFERROR(__xludf.DUMMYFUNCTION("""COMPUTED_VALUE"""),"Ống EDTA xanh")</f>
        <v>Ống EDTA xanh</v>
      </c>
      <c r="C135" s="354" t="str">
        <f>IFERROR(__xludf.DUMMYFUNCTION("""COMPUTED_VALUE"""),"Cái")</f>
        <v>Cái</v>
      </c>
      <c r="D135" s="355">
        <f>IFERROR(__xludf.DUMMYFUNCTION("""COMPUTED_VALUE"""),825.0)</f>
        <v>825</v>
      </c>
    </row>
    <row r="136" ht="15.75" customHeight="1">
      <c r="A136" s="354" t="str">
        <f>IFERROR(__xludf.DUMMYFUNCTION("""COMPUTED_VALUE"""),"OTKQC")</f>
        <v>OTKQC</v>
      </c>
      <c r="B136" s="356" t="str">
        <f>IFERROR(__xludf.DUMMYFUNCTION("""COMPUTED_VALUE"""),"Ống thông khí quản (cổ)")</f>
        <v>Ống thông khí quản (cổ)</v>
      </c>
      <c r="C136" s="354" t="str">
        <f>IFERROR(__xludf.DUMMYFUNCTION("""COMPUTED_VALUE"""),"Cái")</f>
        <v>Cái</v>
      </c>
      <c r="D136" s="355">
        <f>IFERROR(__xludf.DUMMYFUNCTION("""COMPUTED_VALUE"""),15000.0)</f>
        <v>15000</v>
      </c>
    </row>
    <row r="137" ht="15.75" customHeight="1">
      <c r="A137" s="354" t="str">
        <f>IFERROR(__xludf.DUMMYFUNCTION("""COMPUTED_VALUE"""),"OTKQ3")</f>
        <v>OTKQ3</v>
      </c>
      <c r="B137" s="354" t="str">
        <f>IFERROR(__xludf.DUMMYFUNCTION("""COMPUTED_VALUE"""),"Ống thông khí quản 3")</f>
        <v>Ống thông khí quản 3</v>
      </c>
      <c r="C137" s="354" t="str">
        <f>IFERROR(__xludf.DUMMYFUNCTION("""COMPUTED_VALUE"""),"Cái")</f>
        <v>Cái</v>
      </c>
      <c r="D137" s="355">
        <f>IFERROR(__xludf.DUMMYFUNCTION("""COMPUTED_VALUE"""),15000.0)</f>
        <v>15000</v>
      </c>
    </row>
    <row r="138" ht="15.75" customHeight="1">
      <c r="A138" s="354" t="str">
        <f>IFERROR(__xludf.DUMMYFUNCTION("""COMPUTED_VALUE"""),"OTKQ4")</f>
        <v>OTKQ4</v>
      </c>
      <c r="B138" s="354" t="str">
        <f>IFERROR(__xludf.DUMMYFUNCTION("""COMPUTED_VALUE"""),"Ống thông khí quản 4")</f>
        <v>Ống thông khí quản 4</v>
      </c>
      <c r="C138" s="354" t="str">
        <f>IFERROR(__xludf.DUMMYFUNCTION("""COMPUTED_VALUE"""),"Cái")</f>
        <v>Cái</v>
      </c>
      <c r="D138" s="355">
        <f>IFERROR(__xludf.DUMMYFUNCTION("""COMPUTED_VALUE"""),15000.0)</f>
        <v>15000</v>
      </c>
    </row>
    <row r="139" ht="15.75" customHeight="1">
      <c r="A139" s="356" t="str">
        <f>IFERROR(__xludf.DUMMYFUNCTION("""COMPUTED_VALUE"""),"OTKQ4.5")</f>
        <v>OTKQ4.5</v>
      </c>
      <c r="B139" s="356" t="str">
        <f>IFERROR(__xludf.DUMMYFUNCTION("""COMPUTED_VALUE"""),"Ống thông khí quản 4.5")</f>
        <v>Ống thông khí quản 4.5</v>
      </c>
      <c r="C139" s="356" t="str">
        <f>IFERROR(__xludf.DUMMYFUNCTION("""COMPUTED_VALUE"""),"Cái")</f>
        <v>Cái</v>
      </c>
      <c r="D139" s="355">
        <f>IFERROR(__xludf.DUMMYFUNCTION("""COMPUTED_VALUE"""),15000.0)</f>
        <v>15000</v>
      </c>
    </row>
    <row r="140" ht="15.75" customHeight="1">
      <c r="A140" s="354" t="str">
        <f>IFERROR(__xludf.DUMMYFUNCTION("""COMPUTED_VALUE"""),"OTKQ5")</f>
        <v>OTKQ5</v>
      </c>
      <c r="B140" s="354" t="str">
        <f>IFERROR(__xludf.DUMMYFUNCTION("""COMPUTED_VALUE"""),"Ống thông khí quản 5")</f>
        <v>Ống thông khí quản 5</v>
      </c>
      <c r="C140" s="354" t="str">
        <f>IFERROR(__xludf.DUMMYFUNCTION("""COMPUTED_VALUE"""),"Cái")</f>
        <v>Cái</v>
      </c>
      <c r="D140" s="355">
        <f>IFERROR(__xludf.DUMMYFUNCTION("""COMPUTED_VALUE"""),15000.0)</f>
        <v>15000</v>
      </c>
    </row>
    <row r="141" ht="15.75" customHeight="1">
      <c r="A141" s="354" t="str">
        <f>IFERROR(__xludf.DUMMYFUNCTION("""COMPUTED_VALUE"""),"OTKQ5.5")</f>
        <v>OTKQ5.5</v>
      </c>
      <c r="B141" s="356" t="str">
        <f>IFERROR(__xludf.DUMMYFUNCTION("""COMPUTED_VALUE"""),"Ống thông khí quản 5.5")</f>
        <v>Ống thông khí quản 5.5</v>
      </c>
      <c r="C141" s="354" t="str">
        <f>IFERROR(__xludf.DUMMYFUNCTION("""COMPUTED_VALUE"""),"Cái")</f>
        <v>Cái</v>
      </c>
      <c r="D141" s="355">
        <f>IFERROR(__xludf.DUMMYFUNCTION("""COMPUTED_VALUE"""),15000.0)</f>
        <v>15000</v>
      </c>
    </row>
    <row r="142" ht="15.75" customHeight="1">
      <c r="A142" s="354" t="str">
        <f>IFERROR(__xludf.DUMMYFUNCTION("""COMPUTED_VALUE"""),"OTKQ6")</f>
        <v>OTKQ6</v>
      </c>
      <c r="B142" s="354" t="str">
        <f>IFERROR(__xludf.DUMMYFUNCTION("""COMPUTED_VALUE"""),"Ống thông khí quản 6")</f>
        <v>Ống thông khí quản 6</v>
      </c>
      <c r="C142" s="354" t="str">
        <f>IFERROR(__xludf.DUMMYFUNCTION("""COMPUTED_VALUE"""),"Cái")</f>
        <v>Cái</v>
      </c>
      <c r="D142" s="355">
        <f>IFERROR(__xludf.DUMMYFUNCTION("""COMPUTED_VALUE"""),15000.0)</f>
        <v>15000</v>
      </c>
    </row>
    <row r="143" ht="15.75" customHeight="1">
      <c r="A143" s="354" t="str">
        <f>IFERROR(__xludf.DUMMYFUNCTION("""COMPUTED_VALUE"""),"OTKQ6.5")</f>
        <v>OTKQ6.5</v>
      </c>
      <c r="B143" s="354" t="str">
        <f>IFERROR(__xludf.DUMMYFUNCTION("""COMPUTED_VALUE"""),"Ống thông khí quản 6.5")</f>
        <v>Ống thông khí quản 6.5</v>
      </c>
      <c r="C143" s="354" t="str">
        <f>IFERROR(__xludf.DUMMYFUNCTION("""COMPUTED_VALUE"""),"Cái")</f>
        <v>Cái</v>
      </c>
      <c r="D143" s="355">
        <f>IFERROR(__xludf.DUMMYFUNCTION("""COMPUTED_VALUE"""),15000.0)</f>
        <v>15000</v>
      </c>
    </row>
    <row r="144" ht="15.75" customHeight="1">
      <c r="A144" s="354" t="str">
        <f>IFERROR(__xludf.DUMMYFUNCTION("""COMPUTED_VALUE"""),"OTKQ7")</f>
        <v>OTKQ7</v>
      </c>
      <c r="B144" s="354" t="str">
        <f>IFERROR(__xludf.DUMMYFUNCTION("""COMPUTED_VALUE"""),"Ống thông khí quản 7")</f>
        <v>Ống thông khí quản 7</v>
      </c>
      <c r="C144" s="354" t="str">
        <f>IFERROR(__xludf.DUMMYFUNCTION("""COMPUTED_VALUE"""),"Cái")</f>
        <v>Cái</v>
      </c>
      <c r="D144" s="355">
        <f>IFERROR(__xludf.DUMMYFUNCTION("""COMPUTED_VALUE"""),15000.0)</f>
        <v>15000</v>
      </c>
    </row>
    <row r="145" ht="15.75" customHeight="1">
      <c r="A145" s="354" t="str">
        <f>IFERROR(__xludf.DUMMYFUNCTION("""COMPUTED_VALUE"""),"OTKQ7.5")</f>
        <v>OTKQ7.5</v>
      </c>
      <c r="B145" s="354" t="str">
        <f>IFERROR(__xludf.DUMMYFUNCTION("""COMPUTED_VALUE"""),"Ống thông khí quản 7.5")</f>
        <v>Ống thông khí quản 7.5</v>
      </c>
      <c r="C145" s="354" t="str">
        <f>IFERROR(__xludf.DUMMYFUNCTION("""COMPUTED_VALUE"""),"Cái")</f>
        <v>Cái</v>
      </c>
      <c r="D145" s="355">
        <f>IFERROR(__xludf.DUMMYFUNCTION("""COMPUTED_VALUE"""),15000.0)</f>
        <v>15000</v>
      </c>
    </row>
    <row r="146" ht="15.75" customHeight="1">
      <c r="A146" s="354" t="str">
        <f>IFERROR(__xludf.DUMMYFUNCTION("""COMPUTED_VALUE"""),"OTTM")</f>
        <v>OTTM</v>
      </c>
      <c r="B146" s="354" t="str">
        <f>IFERROR(__xludf.DUMMYFUNCTION("""COMPUTED_VALUE"""),"Ống thông tiểu mèo")</f>
        <v>Ống thông tiểu mèo</v>
      </c>
      <c r="C146" s="354" t="str">
        <f>IFERROR(__xludf.DUMMYFUNCTION("""COMPUTED_VALUE"""),"Cái")</f>
        <v>Cái</v>
      </c>
      <c r="D146" s="355">
        <f>IFERROR(__xludf.DUMMYFUNCTION("""COMPUTED_VALUE"""),80000.0)</f>
        <v>80000</v>
      </c>
    </row>
    <row r="147" ht="15.75" customHeight="1">
      <c r="A147" s="354" t="str">
        <f>IFERROR(__xludf.DUMMYFUNCTION("""COMPUTED_VALUE"""),"PK")</f>
        <v>PK</v>
      </c>
      <c r="B147" s="356" t="str">
        <f>IFERROR(__xludf.DUMMYFUNCTION("""COMPUTED_VALUE"""),"Phiến kính")</f>
        <v>Phiến kính</v>
      </c>
      <c r="C147" s="354" t="str">
        <f>IFERROR(__xludf.DUMMYFUNCTION("""COMPUTED_VALUE"""),"Hộp")</f>
        <v>Hộp</v>
      </c>
      <c r="D147" s="355">
        <f>IFERROR(__xludf.DUMMYFUNCTION("""COMPUTED_VALUE"""),20000.0)</f>
        <v>20000</v>
      </c>
    </row>
    <row r="148" ht="15.75" customHeight="1">
      <c r="A148" s="354" t="str">
        <f>IFERROR(__xludf.DUMMYFUNCTION("""COMPUTED_VALUE"""),"PRCTM")</f>
        <v>PRCTM</v>
      </c>
      <c r="B148" s="356" t="str">
        <f>IFERROR(__xludf.DUMMYFUNCTION("""COMPUTED_VALUE"""),"Pracetamol")</f>
        <v>Pracetamol</v>
      </c>
      <c r="C148" s="354" t="str">
        <f>IFERROR(__xludf.DUMMYFUNCTION("""COMPUTED_VALUE"""),"mL")</f>
        <v>mL</v>
      </c>
      <c r="D148" s="355">
        <f>IFERROR(__xludf.DUMMYFUNCTION("""COMPUTED_VALUE"""),400.0)</f>
        <v>400</v>
      </c>
    </row>
    <row r="149" ht="15.75" customHeight="1">
      <c r="A149" s="354" t="str">
        <f>IFERROR(__xludf.DUMMYFUNCTION("""COMPUTED_VALUE"""),"PRNSL5")</f>
        <v>PRNSL5</v>
      </c>
      <c r="B149" s="356" t="str">
        <f>IFERROR(__xludf.DUMMYFUNCTION("""COMPUTED_VALUE"""),"Prednisolon 5mg")</f>
        <v>Prednisolon 5mg</v>
      </c>
      <c r="C149" s="354" t="str">
        <f>IFERROR(__xludf.DUMMYFUNCTION("""COMPUTED_VALUE"""),"Viên")</f>
        <v>Viên</v>
      </c>
      <c r="D149" s="355">
        <f>IFERROR(__xludf.DUMMYFUNCTION("""COMPUTED_VALUE"""),225.0)</f>
        <v>225</v>
      </c>
    </row>
    <row r="150" ht="15.75" customHeight="1">
      <c r="A150" s="354" t="str">
        <f>IFERROR(__xludf.DUMMYFUNCTION("""COMPUTED_VALUE"""),"PRESO")</f>
        <v>PRESO</v>
      </c>
      <c r="B150" s="356" t="str">
        <f>IFERROR(__xludf.DUMMYFUNCTION("""COMPUTED_VALUE"""),"Preso (prednisolone)")</f>
        <v>Preso (prednisolone)</v>
      </c>
      <c r="C150" s="354" t="str">
        <f>IFERROR(__xludf.DUMMYFUNCTION("""COMPUTED_VALUE"""),"mL")</f>
        <v>mL</v>
      </c>
      <c r="D150" s="355">
        <f>IFERROR(__xludf.DUMMYFUNCTION("""COMPUTED_VALUE"""),639.4444444444445)</f>
        <v>639.4444444</v>
      </c>
    </row>
    <row r="151" ht="15.75" customHeight="1">
      <c r="A151" s="354" t="str">
        <f>IFERROR(__xludf.DUMMYFUNCTION("""COMPUTED_VALUE"""),"PPF")</f>
        <v>PPF</v>
      </c>
      <c r="B151" s="354" t="str">
        <f>IFERROR(__xludf.DUMMYFUNCTION("""COMPUTED_VALUE"""),"Propofol")</f>
        <v>Propofol</v>
      </c>
      <c r="C151" s="354" t="str">
        <f>IFERROR(__xludf.DUMMYFUNCTION("""COMPUTED_VALUE"""),"ml")</f>
        <v>ml</v>
      </c>
      <c r="D151" s="355">
        <f>IFERROR(__xludf.DUMMYFUNCTION("""COMPUTED_VALUE"""),16000.0)</f>
        <v>16000</v>
      </c>
    </row>
    <row r="152" ht="15.75" customHeight="1">
      <c r="A152" s="354" t="str">
        <f>IFERROR(__xludf.DUMMYFUNCTION("""COMPUTED_VALUE"""),"ROWA")</f>
        <v>ROWA</v>
      </c>
      <c r="B152" s="354" t="str">
        <f>IFERROR(__xludf.DUMMYFUNCTION("""COMPUTED_VALUE"""),"Rowa tinex (thuốc tán sỏi)")</f>
        <v>Rowa tinex (thuốc tán sỏi)</v>
      </c>
      <c r="C152" s="354" t="str">
        <f>IFERROR(__xludf.DUMMYFUNCTION("""COMPUTED_VALUE"""),"Viên")</f>
        <v>Viên</v>
      </c>
      <c r="D152" s="355">
        <f>IFERROR(__xludf.DUMMYFUNCTION("""COMPUTED_VALUE"""),3500.0)</f>
        <v>3500</v>
      </c>
    </row>
    <row r="153" ht="15.75" customHeight="1">
      <c r="A153" s="354" t="str">
        <f>IFERROR(__xludf.DUMMYFUNCTION("""COMPUTED_VALUE"""),"SBT")</f>
        <v>SBT</v>
      </c>
      <c r="B153" s="354" t="str">
        <f>IFERROR(__xludf.DUMMYFUNCTION("""COMPUTED_VALUE"""),"Salbutamol (xông giãn phế quản)")</f>
        <v>Salbutamol (xông giãn phế quản)</v>
      </c>
      <c r="C153" s="354" t="str">
        <f>IFERROR(__xludf.DUMMYFUNCTION("""COMPUTED_VALUE"""),"Ống")</f>
        <v>Ống</v>
      </c>
      <c r="D153" s="355">
        <f>IFERROR(__xludf.DUMMYFUNCTION("""COMPUTED_VALUE"""),6000.0)</f>
        <v>6000</v>
      </c>
    </row>
    <row r="154" ht="15.75" customHeight="1">
      <c r="A154" s="356" t="str">
        <f>IFERROR(__xludf.DUMMYFUNCTION("""COMPUTED_VALUE"""),"SP")</f>
        <v>SP</v>
      </c>
      <c r="B154" s="356" t="str">
        <f>IFERROR(__xludf.DUMMYFUNCTION("""COMPUTED_VALUE"""),"Sanpet")</f>
        <v>Sanpet</v>
      </c>
      <c r="C154" s="356" t="str">
        <f>IFERROR(__xludf.DUMMYFUNCTION("""COMPUTED_VALUE"""),"Viên")</f>
        <v>Viên</v>
      </c>
      <c r="D154" s="355">
        <f>IFERROR(__xludf.DUMMYFUNCTION("""COMPUTED_VALUE"""),3600.0)</f>
        <v>3600</v>
      </c>
    </row>
    <row r="155" ht="15.75" customHeight="1">
      <c r="A155" s="354" t="str">
        <f>IFERROR(__xludf.DUMMYFUNCTION("""COMPUTED_VALUE"""),"STTN")</f>
        <v>STTN</v>
      </c>
      <c r="B155" s="354" t="str">
        <f>IFERROR(__xludf.DUMMYFUNCTION("""COMPUTED_VALUE"""),"Sát trùng tay nhanh")</f>
        <v>Sát trùng tay nhanh</v>
      </c>
      <c r="C155" s="354" t="str">
        <f>IFERROR(__xludf.DUMMYFUNCTION("""COMPUTED_VALUE"""),"mL")</f>
        <v>mL</v>
      </c>
      <c r="D155" s="355">
        <f>IFERROR(__xludf.DUMMYFUNCTION("""COMPUTED_VALUE"""),400.0)</f>
        <v>400</v>
      </c>
    </row>
    <row r="156" ht="15.75" customHeight="1">
      <c r="A156" s="354" t="str">
        <f>IFERROR(__xludf.DUMMYFUNCTION("""COMPUTED_VALUE"""),"SPT")</f>
        <v>SPT</v>
      </c>
      <c r="B156" s="354" t="str">
        <f>IFERROR(__xludf.DUMMYFUNCTION("""COMPUTED_VALUE"""),"Săng phẫu thuật")</f>
        <v>Săng phẫu thuật</v>
      </c>
      <c r="C156" s="354" t="str">
        <f>IFERROR(__xludf.DUMMYFUNCTION("""COMPUTED_VALUE"""),"Cuộn")</f>
        <v>Cuộn</v>
      </c>
      <c r="D156" s="355">
        <f>IFERROR(__xludf.DUMMYFUNCTION("""COMPUTED_VALUE"""),230000.0)</f>
        <v>230000</v>
      </c>
    </row>
    <row r="157" ht="15.75" customHeight="1">
      <c r="A157" s="354" t="str">
        <f>IFERROR(__xludf.DUMMYFUNCTION("""COMPUTED_VALUE"""),"SPRC10")</f>
        <v>SPRC10</v>
      </c>
      <c r="B157" s="356" t="str">
        <f>IFERROR(__xludf.DUMMYFUNCTION("""COMPUTED_VALUE"""),"Simparica &lt; 10")</f>
        <v>Simparica &lt; 10</v>
      </c>
      <c r="C157" s="354" t="str">
        <f>IFERROR(__xludf.DUMMYFUNCTION("""COMPUTED_VALUE"""),"Viên")</f>
        <v>Viên</v>
      </c>
      <c r="D157" s="355">
        <f>IFERROR(__xludf.DUMMYFUNCTION("""COMPUTED_VALUE"""),73533.5)</f>
        <v>73533.5</v>
      </c>
    </row>
    <row r="158" ht="15.75" customHeight="1">
      <c r="A158" s="354" t="str">
        <f>IFERROR(__xludf.DUMMYFUNCTION("""COMPUTED_VALUE"""),"SPRC20")</f>
        <v>SPRC20</v>
      </c>
      <c r="B158" s="356" t="str">
        <f>IFERROR(__xludf.DUMMYFUNCTION("""COMPUTED_VALUE"""),"Simparica 10,1 - 20")</f>
        <v>Simparica 10,1 - 20</v>
      </c>
      <c r="C158" s="354" t="str">
        <f>IFERROR(__xludf.DUMMYFUNCTION("""COMPUTED_VALUE"""),"Viên")</f>
        <v>Viên</v>
      </c>
      <c r="D158" s="355">
        <f>IFERROR(__xludf.DUMMYFUNCTION("""COMPUTED_VALUE"""),115833.5)</f>
        <v>115833.5</v>
      </c>
    </row>
    <row r="159" ht="15.75" customHeight="1">
      <c r="A159" s="354" t="str">
        <f>IFERROR(__xludf.DUMMYFUNCTION("""COMPUTED_VALUE"""),"SPRC40")</f>
        <v>SPRC40</v>
      </c>
      <c r="B159" s="356" t="str">
        <f>IFERROR(__xludf.DUMMYFUNCTION("""COMPUTED_VALUE"""),"Simparica 20,1 - 40")</f>
        <v>Simparica 20,1 - 40</v>
      </c>
      <c r="C159" s="354" t="str">
        <f>IFERROR(__xludf.DUMMYFUNCTION("""COMPUTED_VALUE"""),"Viên")</f>
        <v>Viên</v>
      </c>
      <c r="D159" s="355">
        <f>IFERROR(__xludf.DUMMYFUNCTION("""COMPUTED_VALUE"""),171333.0)</f>
        <v>171333</v>
      </c>
    </row>
    <row r="160" ht="15.75" customHeight="1">
      <c r="A160" s="354" t="str">
        <f>IFERROR(__xludf.DUMMYFUNCTION("""COMPUTED_VALUE"""),"SMT")</f>
        <v>SMT</v>
      </c>
      <c r="B160" s="356" t="str">
        <f>IFERROR(__xludf.DUMMYFUNCTION("""COMPUTED_VALUE"""),"Smecta")</f>
        <v>Smecta</v>
      </c>
      <c r="C160" s="354" t="str">
        <f>IFERROR(__xludf.DUMMYFUNCTION("""COMPUTED_VALUE"""),"Gói")</f>
        <v>Gói</v>
      </c>
      <c r="D160" s="355">
        <f>IFERROR(__xludf.DUMMYFUNCTION("""COMPUTED_VALUE"""),3706.6666666666665)</f>
        <v>3706.666667</v>
      </c>
    </row>
    <row r="161" ht="15.75" customHeight="1">
      <c r="A161" s="354" t="str">
        <f>IFERROR(__xludf.DUMMYFUNCTION("""COMPUTED_VALUE"""),"STC")</f>
        <v>STC</v>
      </c>
      <c r="B161" s="356" t="str">
        <f>IFERROR(__xludf.DUMMYFUNCTION("""COMPUTED_VALUE"""),"Sữa tắm chó")</f>
        <v>Sữa tắm chó</v>
      </c>
      <c r="C161" s="354" t="str">
        <f>IFERROR(__xludf.DUMMYFUNCTION("""COMPUTED_VALUE"""),"Chai")</f>
        <v>Chai</v>
      </c>
      <c r="D161" s="355">
        <f>IFERROR(__xludf.DUMMYFUNCTION("""COMPUTED_VALUE"""),32500.0)</f>
        <v>32500</v>
      </c>
    </row>
    <row r="162" ht="15.75" customHeight="1">
      <c r="A162" s="354" t="str">
        <f>IFERROR(__xludf.DUMMYFUNCTION("""COMPUTED_VALUE"""),"STM")</f>
        <v>STM</v>
      </c>
      <c r="B162" s="354" t="str">
        <f>IFERROR(__xludf.DUMMYFUNCTION("""COMPUTED_VALUE"""),"Sữa tắm mèo")</f>
        <v>Sữa tắm mèo</v>
      </c>
      <c r="C162" s="354" t="str">
        <f>IFERROR(__xludf.DUMMYFUNCTION("""COMPUTED_VALUE"""),"Chai")</f>
        <v>Chai</v>
      </c>
      <c r="D162" s="355">
        <f>IFERROR(__xludf.DUMMYFUNCTION("""COMPUTED_VALUE"""),68700.0)</f>
        <v>68700</v>
      </c>
    </row>
    <row r="163" ht="15.75" customHeight="1">
      <c r="A163" s="354" t="str">
        <f>IFERROR(__xludf.DUMMYFUNCTION("""COMPUTED_VALUE"""),"VTMB12")</f>
        <v>VTMB12</v>
      </c>
      <c r="B163" s="354" t="str">
        <f>IFERROR(__xludf.DUMMYFUNCTION("""COMPUTED_VALUE"""),"Tardyferon B12")</f>
        <v>Tardyferon B12</v>
      </c>
      <c r="C163" s="354" t="str">
        <f>IFERROR(__xludf.DUMMYFUNCTION("""COMPUTED_VALUE"""),"Viên")</f>
        <v>Viên</v>
      </c>
      <c r="D163" s="355">
        <f>IFERROR(__xludf.DUMMYFUNCTION("""COMPUTED_VALUE"""),2000.0)</f>
        <v>2000</v>
      </c>
    </row>
    <row r="164" ht="15.75" customHeight="1">
      <c r="A164" s="354" t="str">
        <f>IFERROR(__xludf.DUMMYFUNCTION("""COMPUTED_VALUE"""),"TBN")</f>
        <v>TBN</v>
      </c>
      <c r="B164" s="354" t="str">
        <f>IFERROR(__xludf.DUMMYFUNCTION("""COMPUTED_VALUE"""),"Tăm bông nhỏ")</f>
        <v>Tăm bông nhỏ</v>
      </c>
      <c r="C164" s="354" t="str">
        <f>IFERROR(__xludf.DUMMYFUNCTION("""COMPUTED_VALUE"""),"hộp")</f>
        <v>hộp</v>
      </c>
      <c r="D164" s="355">
        <f>IFERROR(__xludf.DUMMYFUNCTION("""COMPUTED_VALUE"""),10000.0)</f>
        <v>10000</v>
      </c>
    </row>
    <row r="165" ht="15.75" customHeight="1">
      <c r="A165" s="354" t="str">
        <f>IFERROR(__xludf.DUMMYFUNCTION("""COMPUTED_VALUE"""),"TBT")</f>
        <v>TBT</v>
      </c>
      <c r="B165" s="354" t="str">
        <f>IFERROR(__xludf.DUMMYFUNCTION("""COMPUTED_VALUE"""),"Tăm bông to")</f>
        <v>Tăm bông to</v>
      </c>
      <c r="C165" s="354" t="str">
        <f>IFERROR(__xludf.DUMMYFUNCTION("""COMPUTED_VALUE"""),"hộp")</f>
        <v>hộp</v>
      </c>
      <c r="D165" s="355">
        <f>IFERROR(__xludf.DUMMYFUNCTION("""COMPUTED_VALUE"""),10000.0)</f>
        <v>10000</v>
      </c>
    </row>
    <row r="166" ht="15.75" customHeight="1">
      <c r="A166" s="354" t="str">
        <f>IFERROR(__xludf.DUMMYFUNCTION("""COMPUTED_VALUE"""),"TCDV")</f>
        <v>TCDV</v>
      </c>
      <c r="B166" s="356" t="str">
        <f>IFERROR(__xludf.DUMMYFUNCTION("""COMPUTED_VALUE"""),"Test CDV")</f>
        <v>Test CDV</v>
      </c>
      <c r="C166" s="354" t="str">
        <f>IFERROR(__xludf.DUMMYFUNCTION("""COMPUTED_VALUE"""),"Cái")</f>
        <v>Cái</v>
      </c>
      <c r="D166" s="355">
        <f>IFERROR(__xludf.DUMMYFUNCTION("""COMPUTED_VALUE"""),27500.0)</f>
        <v>27500</v>
      </c>
    </row>
    <row r="167" ht="15.75" customHeight="1">
      <c r="A167" s="354" t="str">
        <f>IFERROR(__xludf.DUMMYFUNCTION("""COMPUTED_VALUE"""),"TCPV")</f>
        <v>TCPV</v>
      </c>
      <c r="B167" s="356" t="str">
        <f>IFERROR(__xludf.DUMMYFUNCTION("""COMPUTED_VALUE"""),"Test CPV")</f>
        <v>Test CPV</v>
      </c>
      <c r="C167" s="354" t="str">
        <f>IFERROR(__xludf.DUMMYFUNCTION("""COMPUTED_VALUE"""),"Cái")</f>
        <v>Cái</v>
      </c>
      <c r="D167" s="355">
        <f>IFERROR(__xludf.DUMMYFUNCTION("""COMPUTED_VALUE"""),27500.0)</f>
        <v>27500</v>
      </c>
    </row>
    <row r="168" ht="15.75" customHeight="1">
      <c r="A168" s="354" t="str">
        <f>IFERROR(__xludf.DUMMYFUNCTION("""COMPUTED_VALUE"""),"TDAI")</f>
        <v>TDAI</v>
      </c>
      <c r="B168" s="356" t="str">
        <f>IFERROR(__xludf.DUMMYFUNCTION("""COMPUTED_VALUE"""),"Test Dại")</f>
        <v>Test Dại</v>
      </c>
      <c r="C168" s="354" t="str">
        <f>IFERROR(__xludf.DUMMYFUNCTION("""COMPUTED_VALUE"""),"Cái")</f>
        <v>Cái</v>
      </c>
      <c r="D168" s="355">
        <f>IFERROR(__xludf.DUMMYFUNCTION("""COMPUTED_VALUE"""),225000.0)</f>
        <v>225000</v>
      </c>
    </row>
    <row r="169" ht="15.75" customHeight="1">
      <c r="A169" s="354" t="str">
        <f>IFERROR(__xludf.DUMMYFUNCTION("""COMPUTED_VALUE"""),"TECN")</f>
        <v>TECN</v>
      </c>
      <c r="B169" s="356" t="str">
        <f>IFERROR(__xludf.DUMMYFUNCTION("""COMPUTED_VALUE"""),"Test Ecanis")</f>
        <v>Test Ecanis</v>
      </c>
      <c r="C169" s="354" t="str">
        <f>IFERROR(__xludf.DUMMYFUNCTION("""COMPUTED_VALUE"""),"Cái")</f>
        <v>Cái</v>
      </c>
      <c r="D169" s="355">
        <f>IFERROR(__xludf.DUMMYFUNCTION("""COMPUTED_VALUE"""),70000.0)</f>
        <v>70000</v>
      </c>
    </row>
    <row r="170" ht="15.75" customHeight="1">
      <c r="A170" s="354" t="str">
        <f>IFERROR(__xludf.DUMMYFUNCTION("""COMPUTED_VALUE"""),"TFELV")</f>
        <v>TFELV</v>
      </c>
      <c r="B170" s="354" t="str">
        <f>IFERROR(__xludf.DUMMYFUNCTION("""COMPUTED_VALUE"""),"Test FeLV")</f>
        <v>Test FeLV</v>
      </c>
      <c r="C170" s="354" t="str">
        <f>IFERROR(__xludf.DUMMYFUNCTION("""COMPUTED_VALUE"""),"Cái")</f>
        <v>Cái</v>
      </c>
      <c r="D170" s="355">
        <f>IFERROR(__xludf.DUMMYFUNCTION("""COMPUTED_VALUE"""),70000.0)</f>
        <v>70000</v>
      </c>
    </row>
    <row r="171" ht="15.75" customHeight="1">
      <c r="A171" s="354" t="str">
        <f>IFERROR(__xludf.DUMMYFUNCTION("""COMPUTED_VALUE"""),"TFIV")</f>
        <v>TFIV</v>
      </c>
      <c r="B171" s="354" t="str">
        <f>IFERROR(__xludf.DUMMYFUNCTION("""COMPUTED_VALUE"""),"Test FIV")</f>
        <v>Test FIV</v>
      </c>
      <c r="C171" s="354" t="str">
        <f>IFERROR(__xludf.DUMMYFUNCTION("""COMPUTED_VALUE"""),"Cái")</f>
        <v>Cái</v>
      </c>
      <c r="D171" s="355">
        <f>IFERROR(__xludf.DUMMYFUNCTION("""COMPUTED_VALUE"""),70000.0)</f>
        <v>70000</v>
      </c>
    </row>
    <row r="172" ht="15.75" customHeight="1">
      <c r="A172" s="354" t="str">
        <f>IFERROR(__xludf.DUMMYFUNCTION("""COMPUTED_VALUE"""),"TFPV")</f>
        <v>TFPV</v>
      </c>
      <c r="B172" s="354" t="str">
        <f>IFERROR(__xludf.DUMMYFUNCTION("""COMPUTED_VALUE"""),"Test FPV")</f>
        <v>Test FPV</v>
      </c>
      <c r="C172" s="354" t="str">
        <f>IFERROR(__xludf.DUMMYFUNCTION("""COMPUTED_VALUE"""),"Cái")</f>
        <v>Cái</v>
      </c>
      <c r="D172" s="355">
        <f>IFERROR(__xludf.DUMMYFUNCTION("""COMPUTED_VALUE"""),31500.0)</f>
        <v>31500</v>
      </c>
    </row>
    <row r="173" ht="15.75" customHeight="1">
      <c r="A173" s="354" t="str">
        <f>IFERROR(__xludf.DUMMYFUNCTION("""COMPUTED_VALUE"""),"TLT")</f>
        <v>TLT</v>
      </c>
      <c r="B173" s="354" t="str">
        <f>IFERROR(__xludf.DUMMYFUNCTION("""COMPUTED_VALUE"""),"Test Lepto ")</f>
        <v>Test Lepto </v>
      </c>
      <c r="C173" s="354" t="str">
        <f>IFERROR(__xludf.DUMMYFUNCTION("""COMPUTED_VALUE"""),"Cái")</f>
        <v>Cái</v>
      </c>
      <c r="D173" s="355">
        <f>IFERROR(__xludf.DUMMYFUNCTION("""COMPUTED_VALUE"""),70000.0)</f>
        <v>70000</v>
      </c>
    </row>
    <row r="174" ht="15.75" customHeight="1">
      <c r="A174" s="354" t="str">
        <f>IFERROR(__xludf.DUMMYFUNCTION("""COMPUTED_VALUE"""),"TTXC")</f>
        <v>TTXC</v>
      </c>
      <c r="B174" s="354" t="str">
        <f>IFERROR(__xludf.DUMMYFUNCTION("""COMPUTED_VALUE"""),"Test toxoplama chó")</f>
        <v>Test toxoplama chó</v>
      </c>
      <c r="C174" s="354" t="str">
        <f>IFERROR(__xludf.DUMMYFUNCTION("""COMPUTED_VALUE"""),"Cái")</f>
        <v>Cái</v>
      </c>
      <c r="D174" s="355">
        <f>IFERROR(__xludf.DUMMYFUNCTION("""COMPUTED_VALUE"""),70000.0)</f>
        <v>70000</v>
      </c>
    </row>
    <row r="175" ht="15.75" customHeight="1">
      <c r="A175" s="354" t="str">
        <f>IFERROR(__xludf.DUMMYFUNCTION("""COMPUTED_VALUE"""),"TTXM")</f>
        <v>TTXM</v>
      </c>
      <c r="B175" s="354" t="str">
        <f>IFERROR(__xludf.DUMMYFUNCTION("""COMPUTED_VALUE"""),"Test toxoplama mèo")</f>
        <v>Test toxoplama mèo</v>
      </c>
      <c r="C175" s="354" t="str">
        <f>IFERROR(__xludf.DUMMYFUNCTION("""COMPUTED_VALUE"""),"Cái")</f>
        <v>Cái</v>
      </c>
      <c r="D175" s="355">
        <f>IFERROR(__xludf.DUMMYFUNCTION("""COMPUTED_VALUE"""),70000.0)</f>
        <v>70000</v>
      </c>
    </row>
    <row r="176" ht="15.75" customHeight="1">
      <c r="A176" s="354" t="str">
        <f>IFERROR(__xludf.DUMMYFUNCTION("""COMPUTED_VALUE"""),"TTCLM")</f>
        <v>TTCLM</v>
      </c>
      <c r="B176" s="354" t="str">
        <f>IFERROR(__xludf.DUMMYFUNCTION("""COMPUTED_VALUE"""),"Tetraciline")</f>
        <v>Tetraciline</v>
      </c>
      <c r="C176" s="354" t="str">
        <f>IFERROR(__xludf.DUMMYFUNCTION("""COMPUTED_VALUE"""),"tuýp")</f>
        <v>tuýp</v>
      </c>
      <c r="D176" s="355">
        <f>IFERROR(__xludf.DUMMYFUNCTION("""COMPUTED_VALUE"""),3350.0)</f>
        <v>3350</v>
      </c>
    </row>
    <row r="177" ht="15.75" customHeight="1">
      <c r="A177" s="354" t="str">
        <f>IFERROR(__xludf.DUMMYFUNCTION("""COMPUTED_VALUE"""),"THT")</f>
        <v>THT</v>
      </c>
      <c r="B177" s="354" t="str">
        <f>IFERROR(__xludf.DUMMYFUNCTION("""COMPUTED_VALUE"""),"Than hoạt tính")</f>
        <v>Than hoạt tính</v>
      </c>
      <c r="C177" s="354" t="str">
        <f>IFERROR(__xludf.DUMMYFUNCTION("""COMPUTED_VALUE"""),"viên")</f>
        <v>viên</v>
      </c>
      <c r="D177" s="355">
        <f>IFERROR(__xludf.DUMMYFUNCTION("""COMPUTED_VALUE"""),100.0)</f>
        <v>100</v>
      </c>
    </row>
    <row r="178" ht="15.75" customHeight="1">
      <c r="A178" s="354" t="str">
        <f>IFERROR(__xludf.DUMMYFUNCTION("""COMPUTED_VALUE"""),"VTD")</f>
        <v>VTD</v>
      </c>
      <c r="B178" s="354" t="str">
        <f>IFERROR(__xludf.DUMMYFUNCTION("""COMPUTED_VALUE"""),"Thuốc đen vô trùng")</f>
        <v>Thuốc đen vô trùng</v>
      </c>
      <c r="C178" s="354" t="str">
        <f>IFERROR(__xludf.DUMMYFUNCTION("""COMPUTED_VALUE"""),"mL")</f>
        <v>mL</v>
      </c>
      <c r="D178" s="355">
        <f>IFERROR(__xludf.DUMMYFUNCTION("""COMPUTED_VALUE"""),0.0)</f>
        <v>0</v>
      </c>
    </row>
    <row r="179" ht="15.75" customHeight="1">
      <c r="A179" s="354" t="str">
        <f>IFERROR(__xludf.DUMMYFUNCTION("""COMPUTED_VALUE"""),"TMHH")</f>
        <v>TMHH</v>
      </c>
      <c r="B179" s="356" t="str">
        <f>IFERROR(__xludf.DUMMYFUNCTION("""COMPUTED_VALUE"""),"Thuốc mê hỗn hợp")</f>
        <v>Thuốc mê hỗn hợp</v>
      </c>
      <c r="C179" s="354" t="str">
        <f>IFERROR(__xludf.DUMMYFUNCTION("""COMPUTED_VALUE"""),"ml")</f>
        <v>ml</v>
      </c>
      <c r="D179" s="355">
        <f>IFERROR(__xludf.DUMMYFUNCTION("""COMPUTED_VALUE"""),10000.0)</f>
        <v>10000</v>
      </c>
    </row>
    <row r="180" ht="15.75" customHeight="1">
      <c r="A180" s="354" t="str">
        <f>IFERROR(__xludf.DUMMYFUNCTION("""COMPUTED_VALUE"""),"TMSVFR")</f>
        <v>TMSVFR</v>
      </c>
      <c r="B180" s="354" t="str">
        <f>IFERROR(__xludf.DUMMYFUNCTION("""COMPUTED_VALUE"""),"Thuốc mê servoflurane")</f>
        <v>Thuốc mê servoflurane</v>
      </c>
      <c r="C180" s="354" t="str">
        <f>IFERROR(__xludf.DUMMYFUNCTION("""COMPUTED_VALUE"""),"mL")</f>
        <v>mL</v>
      </c>
      <c r="D180" s="355">
        <f>IFERROR(__xludf.DUMMYFUNCTION("""COMPUTED_VALUE"""),4258.0)</f>
        <v>4258</v>
      </c>
    </row>
    <row r="181" ht="15.75" customHeight="1">
      <c r="A181" s="354" t="str">
        <f>IFERROR(__xludf.DUMMYFUNCTION("""COMPUTED_VALUE"""),"TNGSFV")</f>
        <v>TNGSFV</v>
      </c>
      <c r="B181" s="354" t="str">
        <f>IFERROR(__xludf.DUMMYFUNCTION("""COMPUTED_VALUE"""),"Thuốc nấm Griseofulvin")</f>
        <v>Thuốc nấm Griseofulvin</v>
      </c>
      <c r="C181" s="354" t="str">
        <f>IFERROR(__xludf.DUMMYFUNCTION("""COMPUTED_VALUE"""),"Viên")</f>
        <v>Viên</v>
      </c>
      <c r="D181" s="355">
        <f>IFERROR(__xludf.DUMMYFUNCTION("""COMPUTED_VALUE"""),1300.0)</f>
        <v>1300</v>
      </c>
    </row>
    <row r="182" ht="15.75" customHeight="1">
      <c r="A182" s="354" t="str">
        <f>IFERROR(__xludf.DUMMYFUNCTION("""COMPUTED_VALUE"""),"TMPNT")</f>
        <v>TMPNT</v>
      </c>
      <c r="B182" s="356" t="str">
        <f>IFERROR(__xludf.DUMMYFUNCTION("""COMPUTED_VALUE"""),"Thuốc nhuộm Difquick Panotic")</f>
        <v>Thuốc nhuộm Difquick Panotic</v>
      </c>
      <c r="C182" s="354" t="str">
        <f>IFERROR(__xludf.DUMMYFUNCTION("""COMPUTED_VALUE"""),"mL")</f>
        <v>mL</v>
      </c>
      <c r="D182" s="355">
        <f>IFERROR(__xludf.DUMMYFUNCTION("""COMPUTED_VALUE"""),2800.0)</f>
        <v>2800</v>
      </c>
    </row>
    <row r="183" ht="15.75" customHeight="1">
      <c r="A183" s="354" t="str">
        <f>IFERROR(__xludf.DUMMYFUNCTION("""COMPUTED_VALUE"""),"TSTBKC")</f>
        <v>TSTBKC</v>
      </c>
      <c r="B183" s="354" t="str">
        <f>IFERROR(__xludf.DUMMYFUNCTION("""COMPUTED_VALUE"""),"Thuốc sát trùng Benkocid")</f>
        <v>Thuốc sát trùng Benkocid</v>
      </c>
      <c r="C183" s="354" t="str">
        <f>IFERROR(__xludf.DUMMYFUNCTION("""COMPUTED_VALUE"""),"mL")</f>
        <v>mL</v>
      </c>
      <c r="D183" s="355">
        <f>IFERROR(__xludf.DUMMYFUNCTION("""COMPUTED_VALUE"""),60.0)</f>
        <v>60</v>
      </c>
    </row>
    <row r="184" ht="15.75" customHeight="1">
      <c r="A184" s="354" t="str">
        <f>IFERROR(__xludf.DUMMYFUNCTION("""COMPUTED_VALUE"""),"TTNSC")</f>
        <v>TTNSC</v>
      </c>
      <c r="B184" s="354" t="str">
        <f>IFERROR(__xludf.DUMMYFUNCTION("""COMPUTED_VALUE"""),"Thuốc tắm nấm snow clear")</f>
        <v>Thuốc tắm nấm snow clear</v>
      </c>
      <c r="C184" s="354" t="str">
        <f>IFERROR(__xludf.DUMMYFUNCTION("""COMPUTED_VALUE"""),"Gói")</f>
        <v>Gói</v>
      </c>
      <c r="D184" s="355">
        <f>IFERROR(__xludf.DUMMYFUNCTION("""COMPUTED_VALUE"""),6050.0)</f>
        <v>6050</v>
      </c>
    </row>
    <row r="185" ht="15.75" customHeight="1">
      <c r="A185" s="354" t="str">
        <f>IFERROR(__xludf.DUMMYFUNCTION("""COMPUTED_VALUE"""),"TFY")</f>
        <v>TFY</v>
      </c>
      <c r="B185" s="354" t="str">
        <f>IFERROR(__xludf.DUMMYFUNCTION("""COMPUTED_VALUE"""),"Tiffy")</f>
        <v>Tiffy</v>
      </c>
      <c r="C185" s="354" t="str">
        <f>IFERROR(__xludf.DUMMYFUNCTION("""COMPUTED_VALUE"""),"Viên")</f>
        <v>Viên</v>
      </c>
      <c r="D185" s="355">
        <f>IFERROR(__xludf.DUMMYFUNCTION("""COMPUTED_VALUE"""),1175.0)</f>
        <v>1175</v>
      </c>
    </row>
    <row r="186" ht="15.75" customHeight="1">
      <c r="A186" s="357" t="str">
        <f>IFERROR(__xludf.DUMMYFUNCTION("""COMPUTED_VALUE"""),"TMX")</f>
        <v>TMX</v>
      </c>
      <c r="B186" s="358" t="str">
        <f>IFERROR(__xludf.DUMMYFUNCTION("""COMPUTED_VALUE"""),"Tomax")</f>
        <v>Tomax</v>
      </c>
      <c r="C186" s="357" t="str">
        <f>IFERROR(__xludf.DUMMYFUNCTION("""COMPUTED_VALUE"""),"Tuýp")</f>
        <v>Tuýp</v>
      </c>
      <c r="D186" s="359">
        <f>IFERROR(__xludf.DUMMYFUNCTION("""COMPUTED_VALUE"""),7500.0)</f>
        <v>7500</v>
      </c>
    </row>
    <row r="187" ht="15.75" customHeight="1">
      <c r="A187" s="357" t="str">
        <f>IFERROR(__xludf.DUMMYFUNCTION("""COMPUTED_VALUE"""),"TSM")</f>
        <v>TSM</v>
      </c>
      <c r="B187" s="357" t="str">
        <f>IFERROR(__xludf.DUMMYFUNCTION("""COMPUTED_VALUE"""),"Transamin")</f>
        <v>Transamin</v>
      </c>
      <c r="C187" s="357" t="str">
        <f>IFERROR(__xludf.DUMMYFUNCTION("""COMPUTED_VALUE"""),"Ống")</f>
        <v>Ống</v>
      </c>
      <c r="D187" s="359">
        <f>IFERROR(__xludf.DUMMYFUNCTION("""COMPUTED_VALUE"""),17000.0)</f>
        <v>17000</v>
      </c>
    </row>
    <row r="188" ht="15.75" customHeight="1">
      <c r="A188" s="357" t="str">
        <f>IFERROR(__xludf.DUMMYFUNCTION("""COMPUTED_VALUE"""),"TTM")</f>
        <v>TTM</v>
      </c>
      <c r="B188" s="357" t="str">
        <f>IFERROR(__xludf.DUMMYFUNCTION("""COMPUTED_VALUE"""),"Túi truyền máu")</f>
        <v>Túi truyền máu</v>
      </c>
      <c r="C188" s="357" t="str">
        <f>IFERROR(__xludf.DUMMYFUNCTION("""COMPUTED_VALUE"""),"Túi")</f>
        <v>Túi</v>
      </c>
      <c r="D188" s="359">
        <f>IFERROR(__xludf.DUMMYFUNCTION("""COMPUTED_VALUE"""),33000.0)</f>
        <v>33000</v>
      </c>
    </row>
    <row r="189" ht="15.75" customHeight="1">
      <c r="A189" s="357" t="str">
        <f>IFERROR(__xludf.DUMMYFUNCTION("""COMPUTED_VALUE"""),"VX4B")</f>
        <v>VX4B</v>
      </c>
      <c r="B189" s="357" t="str">
        <f>IFERROR(__xludf.DUMMYFUNCTION("""COMPUTED_VALUE"""),"Vaccine 4b")</f>
        <v>Vaccine 4b</v>
      </c>
      <c r="C189" s="357" t="str">
        <f>IFERROR(__xludf.DUMMYFUNCTION("""COMPUTED_VALUE"""),"Liều")</f>
        <v>Liều</v>
      </c>
      <c r="D189" s="359">
        <f>IFERROR(__xludf.DUMMYFUNCTION("""COMPUTED_VALUE"""),103000.0)</f>
        <v>103000</v>
      </c>
    </row>
    <row r="190" ht="15.75" customHeight="1">
      <c r="A190" s="357" t="str">
        <f>IFERROR(__xludf.DUMMYFUNCTION("""COMPUTED_VALUE"""),"VX5B")</f>
        <v>VX5B</v>
      </c>
      <c r="B190" s="357" t="str">
        <f>IFERROR(__xludf.DUMMYFUNCTION("""COMPUTED_VALUE"""),"Vaccine 5b")</f>
        <v>Vaccine 5b</v>
      </c>
      <c r="C190" s="357" t="str">
        <f>IFERROR(__xludf.DUMMYFUNCTION("""COMPUTED_VALUE"""),"Liều")</f>
        <v>Liều</v>
      </c>
      <c r="D190" s="359">
        <f>IFERROR(__xludf.DUMMYFUNCTION("""COMPUTED_VALUE"""),74500.0)</f>
        <v>74500</v>
      </c>
    </row>
    <row r="191" ht="15.75" customHeight="1">
      <c r="A191" s="357" t="str">
        <f>IFERROR(__xludf.DUMMYFUNCTION("""COMPUTED_VALUE"""),"VX7B")</f>
        <v>VX7B</v>
      </c>
      <c r="B191" s="357" t="str">
        <f>IFERROR(__xludf.DUMMYFUNCTION("""COMPUTED_VALUE"""),"Vaccine 7b")</f>
        <v>Vaccine 7b</v>
      </c>
      <c r="C191" s="357" t="str">
        <f>IFERROR(__xludf.DUMMYFUNCTION("""COMPUTED_VALUE"""),"Liều")</f>
        <v>Liều</v>
      </c>
      <c r="D191" s="359">
        <f>IFERROR(__xludf.DUMMYFUNCTION("""COMPUTED_VALUE"""),85666.66666666667)</f>
        <v>85666.66667</v>
      </c>
    </row>
    <row r="192" ht="15.75" customHeight="1">
      <c r="A192" s="357" t="str">
        <f>IFERROR(__xludf.DUMMYFUNCTION("""COMPUTED_VALUE"""),"VXD")</f>
        <v>VXD</v>
      </c>
      <c r="B192" s="357" t="str">
        <f>IFERROR(__xludf.DUMMYFUNCTION("""COMPUTED_VALUE"""),"Vaccine dại")</f>
        <v>Vaccine dại</v>
      </c>
      <c r="C192" s="357" t="str">
        <f>IFERROR(__xludf.DUMMYFUNCTION("""COMPUTED_VALUE"""),"Liều")</f>
        <v>Liều</v>
      </c>
      <c r="D192" s="359">
        <f>IFERROR(__xludf.DUMMYFUNCTION("""COMPUTED_VALUE"""),16666.666666666668)</f>
        <v>16666.66667</v>
      </c>
    </row>
    <row r="193" ht="15.75" customHeight="1">
      <c r="A193" s="357" t="str">
        <f>IFERROR(__xludf.DUMMYFUNCTION("""COMPUTED_VALUE"""),"VCTs")</f>
        <v>VCTs</v>
      </c>
      <c r="B193" s="357" t="str">
        <f>IFERROR(__xludf.DUMMYFUNCTION("""COMPUTED_VALUE"""),"Vincristin sulfat")</f>
        <v>Vincristin sulfat</v>
      </c>
      <c r="C193" s="357" t="str">
        <f>IFERROR(__xludf.DUMMYFUNCTION("""COMPUTED_VALUE"""),"mL")</f>
        <v>mL</v>
      </c>
      <c r="D193" s="359">
        <f>IFERROR(__xludf.DUMMYFUNCTION("""COMPUTED_VALUE"""),198333.33333333334)</f>
        <v>198333.3333</v>
      </c>
    </row>
    <row r="194" ht="15.75" customHeight="1">
      <c r="A194" s="357" t="str">
        <f>IFERROR(__xludf.DUMMYFUNCTION("""COMPUTED_VALUE"""),"VTMA")</f>
        <v>VTMA</v>
      </c>
      <c r="B194" s="357" t="str">
        <f>IFERROR(__xludf.DUMMYFUNCTION("""COMPUTED_VALUE"""),"Vitamin A")</f>
        <v>Vitamin A</v>
      </c>
      <c r="C194" s="357" t="str">
        <f>IFERROR(__xludf.DUMMYFUNCTION("""COMPUTED_VALUE"""),"Viên")</f>
        <v>Viên</v>
      </c>
      <c r="D194" s="359">
        <f>IFERROR(__xludf.DUMMYFUNCTION("""COMPUTED_VALUE"""),700.0)</f>
        <v>700</v>
      </c>
    </row>
    <row r="195" ht="15.75" customHeight="1">
      <c r="A195" s="357" t="str">
        <f>IFERROR(__xludf.DUMMYFUNCTION("""COMPUTED_VALUE"""),"VTMC")</f>
        <v>VTMC</v>
      </c>
      <c r="B195" s="357" t="str">
        <f>IFERROR(__xludf.DUMMYFUNCTION("""COMPUTED_VALUE"""),"Vitamin C")</f>
        <v>Vitamin C</v>
      </c>
      <c r="C195" s="357" t="str">
        <f>IFERROR(__xludf.DUMMYFUNCTION("""COMPUTED_VALUE"""),"Viên")</f>
        <v>Viên</v>
      </c>
      <c r="D195" s="359">
        <f>IFERROR(__xludf.DUMMYFUNCTION("""COMPUTED_VALUE"""),360.0)</f>
        <v>360</v>
      </c>
    </row>
    <row r="196" ht="15.75" customHeight="1">
      <c r="A196" s="357" t="str">
        <f>IFERROR(__xludf.DUMMYFUNCTION("""COMPUTED_VALUE"""),"VTMC2000")</f>
        <v>VTMC2000</v>
      </c>
      <c r="B196" s="357" t="str">
        <f>IFERROR(__xludf.DUMMYFUNCTION("""COMPUTED_VALUE"""),"Vitamin C 2000")</f>
        <v>Vitamin C 2000</v>
      </c>
      <c r="C196" s="357" t="str">
        <f>IFERROR(__xludf.DUMMYFUNCTION("""COMPUTED_VALUE"""),"ml")</f>
        <v>ml</v>
      </c>
      <c r="D196" s="359">
        <f>IFERROR(__xludf.DUMMYFUNCTION("""COMPUTED_VALUE"""),206.66666666666666)</f>
        <v>206.6666667</v>
      </c>
    </row>
    <row r="197" ht="15.75" customHeight="1">
      <c r="A197" s="357" t="str">
        <f>IFERROR(__xludf.DUMMYFUNCTION("""COMPUTED_VALUE"""),"VTME")</f>
        <v>VTME</v>
      </c>
      <c r="B197" s="357" t="str">
        <f>IFERROR(__xludf.DUMMYFUNCTION("""COMPUTED_VALUE"""),"Vitamin E")</f>
        <v>Vitamin E</v>
      </c>
      <c r="C197" s="357" t="str">
        <f>IFERROR(__xludf.DUMMYFUNCTION("""COMPUTED_VALUE"""),"Viên")</f>
        <v>Viên</v>
      </c>
      <c r="D197" s="359">
        <f>IFERROR(__xludf.DUMMYFUNCTION("""COMPUTED_VALUE"""),1200.0)</f>
        <v>1200</v>
      </c>
    </row>
    <row r="198" ht="15.75" customHeight="1">
      <c r="A198" s="357" t="str">
        <f>IFERROR(__xludf.DUMMYFUNCTION("""COMPUTED_VALUE"""),"VTMK")</f>
        <v>VTMK</v>
      </c>
      <c r="B198" s="357" t="str">
        <f>IFERROR(__xludf.DUMMYFUNCTION("""COMPUTED_VALUE"""),"Vitamin K")</f>
        <v>Vitamin K</v>
      </c>
      <c r="C198" s="357" t="str">
        <f>IFERROR(__xludf.DUMMYFUNCTION("""COMPUTED_VALUE"""),"mL")</f>
        <v>mL</v>
      </c>
      <c r="D198" s="359">
        <f>IFERROR(__xludf.DUMMYFUNCTION("""COMPUTED_VALUE"""),180.0)</f>
        <v>180</v>
      </c>
    </row>
    <row r="199" ht="15.75" customHeight="1">
      <c r="A199" s="357" t="str">
        <f>IFERROR(__xludf.DUMMYFUNCTION("""COMPUTED_VALUE"""),"XMTL")</f>
        <v>XMTL</v>
      </c>
      <c r="B199" s="357" t="str">
        <f>IFERROR(__xludf.DUMMYFUNCTION("""COMPUTED_VALUE"""),"Xanh methylen")</f>
        <v>Xanh methylen</v>
      </c>
      <c r="C199" s="357" t="str">
        <f>IFERROR(__xludf.DUMMYFUNCTION("""COMPUTED_VALUE"""),"Viên")</f>
        <v>Viên</v>
      </c>
      <c r="D199" s="359">
        <f>IFERROR(__xludf.DUMMYFUNCTION("""COMPUTED_VALUE"""),550.0)</f>
        <v>550</v>
      </c>
    </row>
    <row r="200" ht="15.75" customHeight="1">
      <c r="A200" s="357" t="str">
        <f>IFERROR(__xludf.DUMMYFUNCTION("""COMPUTED_VALUE"""),"XL10")</f>
        <v>XL10</v>
      </c>
      <c r="B200" s="357" t="str">
        <f>IFERROR(__xludf.DUMMYFUNCTION("""COMPUTED_VALUE"""),"Xy lanh 10cc")</f>
        <v>Xy lanh 10cc</v>
      </c>
      <c r="C200" s="357" t="str">
        <f>IFERROR(__xludf.DUMMYFUNCTION("""COMPUTED_VALUE"""),"Cái")</f>
        <v>Cái</v>
      </c>
      <c r="D200" s="359">
        <f>IFERROR(__xludf.DUMMYFUNCTION("""COMPUTED_VALUE"""),1000.0)</f>
        <v>1000</v>
      </c>
    </row>
    <row r="201" ht="15.75" customHeight="1">
      <c r="A201" s="357" t="str">
        <f>IFERROR(__xludf.DUMMYFUNCTION("""COMPUTED_VALUE"""),"XL1")</f>
        <v>XL1</v>
      </c>
      <c r="B201" s="357" t="str">
        <f>IFERROR(__xludf.DUMMYFUNCTION("""COMPUTED_VALUE"""),"Xy lanh 1cc")</f>
        <v>Xy lanh 1cc</v>
      </c>
      <c r="C201" s="357" t="str">
        <f>IFERROR(__xludf.DUMMYFUNCTION("""COMPUTED_VALUE"""),"Cái")</f>
        <v>Cái</v>
      </c>
      <c r="D201" s="359">
        <f>IFERROR(__xludf.DUMMYFUNCTION("""COMPUTED_VALUE"""),320.0)</f>
        <v>320</v>
      </c>
    </row>
    <row r="202" ht="15.75" customHeight="1">
      <c r="A202" s="357" t="str">
        <f>IFERROR(__xludf.DUMMYFUNCTION("""COMPUTED_VALUE"""),"XL20")</f>
        <v>XL20</v>
      </c>
      <c r="B202" s="358" t="str">
        <f>IFERROR(__xludf.DUMMYFUNCTION("""COMPUTED_VALUE"""),"Xy lanh 20cc")</f>
        <v>Xy lanh 20cc</v>
      </c>
      <c r="C202" s="357" t="str">
        <f>IFERROR(__xludf.DUMMYFUNCTION("""COMPUTED_VALUE"""),"Cái")</f>
        <v>Cái</v>
      </c>
      <c r="D202" s="359">
        <f>IFERROR(__xludf.DUMMYFUNCTION("""COMPUTED_VALUE"""),2500.0)</f>
        <v>2500</v>
      </c>
    </row>
    <row r="203" ht="15.75" customHeight="1">
      <c r="A203" s="357" t="str">
        <f>IFERROR(__xludf.DUMMYFUNCTION("""COMPUTED_VALUE"""),"XL3")</f>
        <v>XL3</v>
      </c>
      <c r="B203" s="357" t="str">
        <f>IFERROR(__xludf.DUMMYFUNCTION("""COMPUTED_VALUE"""),"Xy lanh 3 cc")</f>
        <v>Xy lanh 3 cc</v>
      </c>
      <c r="C203" s="357" t="str">
        <f>IFERROR(__xludf.DUMMYFUNCTION("""COMPUTED_VALUE"""),"Cái")</f>
        <v>Cái</v>
      </c>
      <c r="D203" s="359">
        <f>IFERROR(__xludf.DUMMYFUNCTION("""COMPUTED_VALUE"""),322.5)</f>
        <v>322.5</v>
      </c>
    </row>
    <row r="204" ht="15.75" customHeight="1">
      <c r="A204" s="357" t="str">
        <f>IFERROR(__xludf.DUMMYFUNCTION("""COMPUTED_VALUE"""),"XL50")</f>
        <v>XL50</v>
      </c>
      <c r="B204" s="357" t="str">
        <f>IFERROR(__xludf.DUMMYFUNCTION("""COMPUTED_VALUE"""),"Xy lanh 50cc")</f>
        <v>Xy lanh 50cc</v>
      </c>
      <c r="C204" s="357" t="str">
        <f>IFERROR(__xludf.DUMMYFUNCTION("""COMPUTED_VALUE"""),"Cái")</f>
        <v>Cái</v>
      </c>
      <c r="D204" s="359">
        <f>IFERROR(__xludf.DUMMYFUNCTION("""COMPUTED_VALUE"""),5700.0)</f>
        <v>5700</v>
      </c>
    </row>
    <row r="205" ht="15.75" customHeight="1">
      <c r="A205" s="357" t="str">
        <f>IFERROR(__xludf.DUMMYFUNCTION("""COMPUTED_VALUE"""),"XL5")</f>
        <v>XL5</v>
      </c>
      <c r="B205" s="357" t="str">
        <f>IFERROR(__xludf.DUMMYFUNCTION("""COMPUTED_VALUE"""),"Xy lanh 5cc")</f>
        <v>Xy lanh 5cc</v>
      </c>
      <c r="C205" s="357" t="str">
        <f>IFERROR(__xludf.DUMMYFUNCTION("""COMPUTED_VALUE"""),"Cái")</f>
        <v>Cái</v>
      </c>
      <c r="D205" s="359">
        <f>IFERROR(__xludf.DUMMYFUNCTION("""COMPUTED_VALUE"""),600.0)</f>
        <v>600</v>
      </c>
    </row>
    <row r="206" ht="15.75" customHeight="1">
      <c r="A206" s="357" t="str">
        <f>IFERROR(__xludf.DUMMYFUNCTION("""COMPUTED_VALUE"""),"XLZ")</f>
        <v>XLZ</v>
      </c>
      <c r="B206" s="357" t="str">
        <f>IFERROR(__xludf.DUMMYFUNCTION("""COMPUTED_VALUE"""),"Xylazin")</f>
        <v>Xylazin</v>
      </c>
      <c r="C206" s="357" t="str">
        <f>IFERROR(__xludf.DUMMYFUNCTION("""COMPUTED_VALUE"""),"mL")</f>
        <v>mL</v>
      </c>
      <c r="D206" s="359">
        <f>IFERROR(__xludf.DUMMYFUNCTION("""COMPUTED_VALUE"""),5800.0)</f>
        <v>5800</v>
      </c>
    </row>
    <row r="207" ht="15.75" customHeight="1">
      <c r="A207" s="357" t="str">
        <f>IFERROR(__xludf.DUMMYFUNCTION("""COMPUTED_VALUE"""),"XLP")</f>
        <v>XLP</v>
      </c>
      <c r="B207" s="357" t="str">
        <f>IFERROR(__xludf.DUMMYFUNCTION("""COMPUTED_VALUE"""),"Xylofar")</f>
        <v>Xylofar</v>
      </c>
      <c r="C207" s="357" t="str">
        <f>IFERROR(__xludf.DUMMYFUNCTION("""COMPUTED_VALUE"""),"Chai")</f>
        <v>Chai</v>
      </c>
      <c r="D207" s="359">
        <f>IFERROR(__xludf.DUMMYFUNCTION("""COMPUTED_VALUE"""),4750.0)</f>
        <v>4750</v>
      </c>
    </row>
    <row r="208" ht="15.75" customHeight="1">
      <c r="A208" s="357" t="str">
        <f>IFERROR(__xludf.DUMMYFUNCTION("""COMPUTED_VALUE"""),"ZLT")</f>
        <v>ZLT</v>
      </c>
      <c r="B208" s="358" t="str">
        <f>IFERROR(__xludf.DUMMYFUNCTION("""COMPUTED_VALUE"""),"Zoletil 50")</f>
        <v>Zoletil 50</v>
      </c>
      <c r="C208" s="357" t="str">
        <f>IFERROR(__xludf.DUMMYFUNCTION("""COMPUTED_VALUE"""),"ml")</f>
        <v>ml</v>
      </c>
      <c r="D208" s="359">
        <f>IFERROR(__xludf.DUMMYFUNCTION("""COMPUTED_VALUE"""),85000.0)</f>
        <v>85000</v>
      </c>
    </row>
    <row r="209" ht="15.75" customHeight="1">
      <c r="A209" s="357" t="str">
        <f>IFERROR(__xludf.DUMMYFUNCTION("""COMPUTED_VALUE"""),"VXFIP")</f>
        <v>VXFIP</v>
      </c>
      <c r="B209" s="358" t="str">
        <f>IFERROR(__xludf.DUMMYFUNCTION("""COMPUTED_VALUE"""),"Vaccine FIP")</f>
        <v>Vaccine FIP</v>
      </c>
      <c r="C209" s="357" t="str">
        <f>IFERROR(__xludf.DUMMYFUNCTION("""COMPUTED_VALUE"""),"Liều")</f>
        <v>Liều</v>
      </c>
      <c r="D209" s="359">
        <f>IFERROR(__xludf.DUMMYFUNCTION("""COMPUTED_VALUE"""),210000.0)</f>
        <v>210000</v>
      </c>
    </row>
    <row r="210" ht="15.75" customHeight="1">
      <c r="A210" s="357" t="str">
        <f>IFERROR(__xludf.DUMMYFUNCTION("""COMPUTED_VALUE"""),"ACEM")</f>
        <v>ACEM</v>
      </c>
      <c r="B210" s="358" t="str">
        <f>IFERROR(__xludf.DUMMYFUNCTION("""COMPUTED_VALUE"""),"Acemuc")</f>
        <v>Acemuc</v>
      </c>
      <c r="C210" s="357" t="str">
        <f>IFERROR(__xludf.DUMMYFUNCTION("""COMPUTED_VALUE"""),"Viên")</f>
        <v>Viên</v>
      </c>
      <c r="D210" s="359">
        <f>IFERROR(__xludf.DUMMYFUNCTION("""COMPUTED_VALUE"""),2500.0)</f>
        <v>2500</v>
      </c>
    </row>
    <row r="211" ht="15.75" customHeight="1">
      <c r="A211" s="357" t="str">
        <f>IFERROR(__xludf.DUMMYFUNCTION("""COMPUTED_VALUE"""),"NATRIBI")</f>
        <v>NATRIBI</v>
      </c>
      <c r="B211" s="358" t="str">
        <f>IFERROR(__xludf.DUMMYFUNCTION("""COMPUTED_VALUE"""),"Natribicarbonat")</f>
        <v>Natribicarbonat</v>
      </c>
      <c r="C211" s="357" t="str">
        <f>IFERROR(__xludf.DUMMYFUNCTION("""COMPUTED_VALUE"""),"Viên")</f>
        <v>Viên</v>
      </c>
      <c r="D211" s="359">
        <f>IFERROR(__xludf.DUMMYFUNCTION("""COMPUTED_VALUE"""),500.0)</f>
        <v>500</v>
      </c>
    </row>
    <row r="212" ht="15.75" customHeight="1">
      <c r="A212" s="357" t="str">
        <f>IFERROR(__xludf.DUMMYFUNCTION("""COMPUTED_VALUE"""),"TTFIP")</f>
        <v>TTFIP</v>
      </c>
      <c r="B212" s="358" t="str">
        <f>IFERROR(__xludf.DUMMYFUNCTION("""COMPUTED_VALUE"""),"Thuốc tiêm FIP")</f>
        <v>Thuốc tiêm FIP</v>
      </c>
      <c r="C212" s="357" t="str">
        <f>IFERROR(__xludf.DUMMYFUNCTION("""COMPUTED_VALUE"""),"Lọ")</f>
        <v>Lọ</v>
      </c>
      <c r="D212" s="359">
        <f>IFERROR(__xludf.DUMMYFUNCTION("""COMPUTED_VALUE"""),1230000.0)</f>
        <v>1230000</v>
      </c>
    </row>
    <row r="213" ht="15.75" customHeight="1">
      <c r="A213" s="357" t="str">
        <f>IFERROR(__xludf.DUMMYFUNCTION("""COMPUTED_VALUE"""),"TUFIP")</f>
        <v>TUFIP</v>
      </c>
      <c r="B213" s="358" t="str">
        <f>IFERROR(__xludf.DUMMYFUNCTION("""COMPUTED_VALUE"""),"Thuốc uống FIP (Molravir)")</f>
        <v>Thuốc uống FIP (Molravir)</v>
      </c>
      <c r="C213" s="357" t="str">
        <f>IFERROR(__xludf.DUMMYFUNCTION("""COMPUTED_VALUE"""),"Viên")</f>
        <v>Viên</v>
      </c>
      <c r="D213" s="359">
        <f>IFERROR(__xludf.DUMMYFUNCTION("""COMPUTED_VALUE"""),17155.72033898305)</f>
        <v>17155.72034</v>
      </c>
    </row>
    <row r="214" ht="15.75" customHeight="1">
      <c r="A214" s="357" t="str">
        <f>IFERROR(__xludf.DUMMYFUNCTION("""COMPUTED_VALUE"""),"FENTA")</f>
        <v>FENTA</v>
      </c>
      <c r="B214" s="358" t="str">
        <f>IFERROR(__xludf.DUMMYFUNCTION("""COMPUTED_VALUE"""),"Fentanyl")</f>
        <v>Fentanyl</v>
      </c>
      <c r="C214" s="357" t="str">
        <f>IFERROR(__xludf.DUMMYFUNCTION("""COMPUTED_VALUE"""),"Ống")</f>
        <v>Ống</v>
      </c>
      <c r="D214" s="359">
        <f>IFERROR(__xludf.DUMMYFUNCTION("""COMPUTED_VALUE"""),0.0)</f>
        <v>0</v>
      </c>
    </row>
    <row r="215" ht="15.75" customHeight="1">
      <c r="A215" s="357" t="str">
        <f>IFERROR(__xludf.DUMMYFUNCTION("""COMPUTED_VALUE"""),"AMOXU")</f>
        <v>AMOXU</v>
      </c>
      <c r="B215" s="358" t="str">
        <f>IFERROR(__xludf.DUMMYFUNCTION("""COMPUTED_VALUE"""),"Amoxicilin uống")</f>
        <v>Amoxicilin uống</v>
      </c>
      <c r="C215" s="357" t="str">
        <f>IFERROR(__xludf.DUMMYFUNCTION("""COMPUTED_VALUE"""),"Viên")</f>
        <v>Viên</v>
      </c>
      <c r="D215" s="359">
        <f>IFERROR(__xludf.DUMMYFUNCTION("""COMPUTED_VALUE"""),800.0)</f>
        <v>800</v>
      </c>
    </row>
    <row r="216" ht="15.75" customHeight="1">
      <c r="A216" s="357" t="str">
        <f>IFERROR(__xludf.DUMMYFUNCTION("""COMPUTED_VALUE"""),"CREON")</f>
        <v>CREON</v>
      </c>
      <c r="B216" s="358" t="str">
        <f>IFERROR(__xludf.DUMMYFUNCTION("""COMPUTED_VALUE"""),"Men tụy Creon ")</f>
        <v>Men tụy Creon </v>
      </c>
      <c r="C216" s="357" t="str">
        <f>IFERROR(__xludf.DUMMYFUNCTION("""COMPUTED_VALUE"""),"Viên")</f>
        <v>Viên</v>
      </c>
      <c r="D216" s="359">
        <f>IFERROR(__xludf.DUMMYFUNCTION("""COMPUTED_VALUE"""),15000.0)</f>
        <v>15000</v>
      </c>
    </row>
    <row r="217" ht="15.75" customHeight="1">
      <c r="A217" s="357" t="str">
        <f>IFERROR(__xludf.DUMMYFUNCTION("""COMPUTED_VALUE"""),"DTPPM")</f>
        <v>DTPPM</v>
      </c>
      <c r="B217" s="358" t="str">
        <f>IFERROR(__xludf.DUMMYFUNCTION("""COMPUTED_VALUE"""),"Dịch thẩm phân phúc mạc 2,5% 2L")</f>
        <v>Dịch thẩm phân phúc mạc 2,5% 2L</v>
      </c>
      <c r="C217" s="357" t="str">
        <f>IFERROR(__xludf.DUMMYFUNCTION("""COMPUTED_VALUE"""),"Túi")</f>
        <v>Túi</v>
      </c>
      <c r="D217" s="359">
        <f>IFERROR(__xludf.DUMMYFUNCTION("""COMPUTED_VALUE"""),105000.0)</f>
        <v>105000</v>
      </c>
    </row>
    <row r="218" ht="15.75" customHeight="1">
      <c r="A218" s="357" t="str">
        <f>IFERROR(__xludf.DUMMYFUNCTION("""COMPUTED_VALUE"""),"TSMU")</f>
        <v>TSMU</v>
      </c>
      <c r="B218" s="358" t="str">
        <f>IFERROR(__xludf.DUMMYFUNCTION("""COMPUTED_VALUE"""),"Transamin uống")</f>
        <v>Transamin uống</v>
      </c>
      <c r="C218" s="357" t="str">
        <f>IFERROR(__xludf.DUMMYFUNCTION("""COMPUTED_VALUE"""),"Viên")</f>
        <v>Viên</v>
      </c>
      <c r="D218" s="359">
        <f>IFERROR(__xludf.DUMMYFUNCTION("""COMPUTED_VALUE"""),4200.0)</f>
        <v>4200</v>
      </c>
    </row>
    <row r="219" ht="15.75" customHeight="1">
      <c r="A219" s="357" t="str">
        <f>IFERROR(__xludf.DUMMYFUNCTION("""COMPUTED_VALUE"""),"BTUK")</f>
        <v>BTUK</v>
      </c>
      <c r="B219" s="358" t="str">
        <f>IFERROR(__xludf.DUMMYFUNCTION("""COMPUTED_VALUE"""),"Bổ thận Urinal kidney")</f>
        <v>Bổ thận Urinal kidney</v>
      </c>
      <c r="C219" s="357" t="str">
        <f>IFERROR(__xludf.DUMMYFUNCTION("""COMPUTED_VALUE"""),"Viên")</f>
        <v>Viên</v>
      </c>
      <c r="D219" s="359">
        <f>IFERROR(__xludf.DUMMYFUNCTION("""COMPUTED_VALUE"""),10000.0)</f>
        <v>10000</v>
      </c>
    </row>
    <row r="220" ht="15.75" customHeight="1">
      <c r="A220" s="357" t="str">
        <f>IFERROR(__xludf.DUMMYFUNCTION("""COMPUTED_VALUE"""),"Glu30")</f>
        <v>Glu30</v>
      </c>
      <c r="B220" s="358" t="str">
        <f>IFERROR(__xludf.DUMMYFUNCTION("""COMPUTED_VALUE"""),"Glucose 30%")</f>
        <v>Glucose 30%</v>
      </c>
      <c r="C220" s="357" t="str">
        <f>IFERROR(__xludf.DUMMYFUNCTION("""COMPUTED_VALUE"""),"Ống")</f>
        <v>Ống</v>
      </c>
      <c r="D220" s="359">
        <f>IFERROR(__xludf.DUMMYFUNCTION("""COMPUTED_VALUE"""),3000.0)</f>
        <v>3000</v>
      </c>
    </row>
    <row r="221" ht="15.75" customHeight="1">
      <c r="A221" s="357" t="str">
        <f>IFERROR(__xludf.DUMMYFUNCTION("""COMPUTED_VALUE"""),"CTM")</f>
        <v>CTM</v>
      </c>
      <c r="B221" s="358" t="str">
        <f>IFERROR(__xludf.DUMMYFUNCTION("""COMPUTED_VALUE"""),"Cotrimoxazole (cầu trùng)")</f>
        <v>Cotrimoxazole (cầu trùng)</v>
      </c>
      <c r="C221" s="357" t="str">
        <f>IFERROR(__xludf.DUMMYFUNCTION("""COMPUTED_VALUE"""),"Viên")</f>
        <v>Viên</v>
      </c>
      <c r="D221" s="359">
        <f>IFERROR(__xludf.DUMMYFUNCTION("""COMPUTED_VALUE"""),800.0)</f>
        <v>800</v>
      </c>
    </row>
    <row r="222" ht="15.75" customHeight="1">
      <c r="A222" s="357"/>
      <c r="B222" s="357"/>
      <c r="C222" s="357"/>
      <c r="D222" s="359">
        <f>IFERROR(__xludf.DUMMYFUNCTION("""COMPUTED_VALUE"""),0.0)</f>
        <v>0</v>
      </c>
    </row>
    <row r="223" ht="15.75" customHeight="1">
      <c r="A223" s="357"/>
      <c r="B223" s="357"/>
      <c r="C223" s="357"/>
      <c r="D223" s="359">
        <f>IFERROR(__xludf.DUMMYFUNCTION("""COMPUTED_VALUE"""),0.0)</f>
        <v>0</v>
      </c>
    </row>
    <row r="224" ht="15.75" customHeight="1">
      <c r="A224" s="357"/>
      <c r="B224" s="357"/>
      <c r="C224" s="357"/>
      <c r="D224" s="359">
        <f>IFERROR(__xludf.DUMMYFUNCTION("""COMPUTED_VALUE"""),0.0)</f>
        <v>0</v>
      </c>
    </row>
    <row r="225" ht="15.75" customHeight="1">
      <c r="A225" s="357"/>
      <c r="B225" s="357"/>
      <c r="C225" s="357"/>
      <c r="D225" s="359">
        <f>IFERROR(__xludf.DUMMYFUNCTION("""COMPUTED_VALUE"""),0.0)</f>
        <v>0</v>
      </c>
    </row>
    <row r="226" ht="15.75" customHeight="1">
      <c r="A226" s="357"/>
      <c r="B226" s="357"/>
      <c r="C226" s="357"/>
      <c r="D226" s="359">
        <f>IFERROR(__xludf.DUMMYFUNCTION("""COMPUTED_VALUE"""),0.0)</f>
        <v>0</v>
      </c>
    </row>
    <row r="227" ht="15.75" customHeight="1">
      <c r="A227" s="357"/>
      <c r="B227" s="357"/>
      <c r="C227" s="357"/>
      <c r="D227" s="359">
        <f>IFERROR(__xludf.DUMMYFUNCTION("""COMPUTED_VALUE"""),0.0)</f>
        <v>0</v>
      </c>
    </row>
    <row r="228" ht="15.75" customHeight="1">
      <c r="A228" s="357"/>
      <c r="B228" s="357"/>
      <c r="C228" s="357"/>
      <c r="D228" s="359">
        <f>IFERROR(__xludf.DUMMYFUNCTION("""COMPUTED_VALUE"""),0.0)</f>
        <v>0</v>
      </c>
    </row>
    <row r="229" ht="15.75" customHeight="1">
      <c r="A229" s="357"/>
      <c r="B229" s="357"/>
      <c r="C229" s="357"/>
      <c r="D229" s="359">
        <f>IFERROR(__xludf.DUMMYFUNCTION("""COMPUTED_VALUE"""),0.0)</f>
        <v>0</v>
      </c>
    </row>
    <row r="230" ht="15.75" customHeight="1">
      <c r="A230" s="357"/>
      <c r="B230" s="357"/>
      <c r="C230" s="357"/>
      <c r="D230" s="357"/>
    </row>
    <row r="231" ht="15.75" customHeight="1">
      <c r="A231" s="357"/>
      <c r="B231" s="357"/>
      <c r="C231" s="357"/>
      <c r="D231" s="357"/>
    </row>
    <row r="232" ht="15.75" customHeight="1">
      <c r="A232" s="357"/>
      <c r="B232" s="357"/>
      <c r="C232" s="357"/>
      <c r="D232" s="357"/>
    </row>
    <row r="233" ht="15.75" customHeight="1">
      <c r="A233" s="357"/>
      <c r="B233" s="357"/>
      <c r="C233" s="357"/>
      <c r="D233" s="357"/>
    </row>
    <row r="234" ht="15.75" customHeight="1">
      <c r="A234" s="357"/>
      <c r="B234" s="357"/>
      <c r="C234" s="357"/>
      <c r="D234" s="357"/>
    </row>
    <row r="235" ht="15.75" customHeight="1">
      <c r="A235" s="357"/>
      <c r="B235" s="357"/>
      <c r="C235" s="357"/>
      <c r="D235" s="357"/>
    </row>
    <row r="236" ht="15.75" customHeight="1">
      <c r="A236" s="357"/>
      <c r="B236" s="357"/>
      <c r="C236" s="357"/>
      <c r="D236" s="357"/>
    </row>
    <row r="237" ht="15.75" customHeight="1">
      <c r="A237" s="357"/>
      <c r="B237" s="357"/>
      <c r="C237" s="357"/>
      <c r="D237" s="357"/>
    </row>
    <row r="238" ht="15.75" customHeight="1">
      <c r="A238" s="357"/>
      <c r="B238" s="357"/>
      <c r="C238" s="357"/>
      <c r="D238" s="357"/>
    </row>
    <row r="239" ht="15.75" customHeight="1">
      <c r="A239" s="357"/>
      <c r="B239" s="357"/>
      <c r="C239" s="357"/>
      <c r="D239" s="357"/>
    </row>
    <row r="240" ht="15.75" customHeight="1">
      <c r="A240" s="357"/>
      <c r="B240" s="357"/>
      <c r="C240" s="357"/>
      <c r="D240" s="357"/>
    </row>
    <row r="241" ht="15.75" customHeight="1">
      <c r="A241" s="357"/>
      <c r="B241" s="357"/>
      <c r="C241" s="357"/>
      <c r="D241" s="357"/>
    </row>
    <row r="242" ht="15.75" customHeight="1">
      <c r="A242" s="357"/>
      <c r="B242" s="357"/>
      <c r="C242" s="357"/>
      <c r="D242" s="357"/>
    </row>
    <row r="243" ht="15.75" customHeight="1">
      <c r="A243" s="357"/>
      <c r="B243" s="357"/>
      <c r="C243" s="357"/>
      <c r="D243" s="357"/>
    </row>
    <row r="244" ht="15.75" customHeight="1">
      <c r="A244" s="357"/>
      <c r="B244" s="357"/>
      <c r="C244" s="357"/>
      <c r="D244" s="357"/>
    </row>
    <row r="245" ht="15.75" customHeight="1">
      <c r="A245" s="357"/>
      <c r="B245" s="357"/>
      <c r="C245" s="357"/>
      <c r="D245" s="357"/>
    </row>
    <row r="246" ht="15.75" customHeight="1">
      <c r="A246" s="357"/>
      <c r="B246" s="357"/>
      <c r="C246" s="357"/>
      <c r="D246" s="357"/>
    </row>
    <row r="247" ht="15.75" customHeight="1">
      <c r="A247" s="357"/>
      <c r="B247" s="357"/>
      <c r="C247" s="357"/>
      <c r="D247" s="357"/>
    </row>
    <row r="248" ht="15.75" customHeight="1">
      <c r="A248" s="357"/>
      <c r="B248" s="357"/>
      <c r="C248" s="357"/>
      <c r="D248" s="357"/>
    </row>
    <row r="249" ht="15.75" customHeight="1">
      <c r="A249" s="357"/>
      <c r="B249" s="357"/>
      <c r="C249" s="357"/>
      <c r="D249" s="357"/>
    </row>
    <row r="250" ht="15.75" customHeight="1">
      <c r="A250" s="357"/>
      <c r="B250" s="357"/>
      <c r="C250" s="357"/>
      <c r="D250" s="357"/>
    </row>
    <row r="251" ht="15.75" customHeight="1">
      <c r="A251" s="357"/>
      <c r="B251" s="357"/>
      <c r="C251" s="357"/>
      <c r="D251" s="357"/>
    </row>
    <row r="252" ht="15.75" customHeight="1">
      <c r="A252" s="357"/>
      <c r="B252" s="357"/>
      <c r="C252" s="357"/>
      <c r="D252" s="357"/>
    </row>
    <row r="253" ht="15.75" customHeight="1">
      <c r="A253" s="357"/>
      <c r="B253" s="357"/>
      <c r="C253" s="357"/>
      <c r="D253" s="357"/>
    </row>
    <row r="254" ht="15.75" customHeight="1">
      <c r="A254" s="357"/>
      <c r="B254" s="357"/>
      <c r="C254" s="357"/>
      <c r="D254" s="357"/>
    </row>
    <row r="255" ht="15.75" customHeight="1">
      <c r="A255" s="357"/>
      <c r="B255" s="357"/>
      <c r="C255" s="357"/>
      <c r="D255" s="357"/>
    </row>
    <row r="256" ht="15.75" customHeight="1">
      <c r="A256" s="357"/>
      <c r="B256" s="357"/>
      <c r="C256" s="357"/>
      <c r="D256" s="357"/>
    </row>
    <row r="257" ht="15.75" customHeight="1">
      <c r="A257" s="357"/>
      <c r="B257" s="357"/>
      <c r="C257" s="357"/>
      <c r="D257" s="357"/>
    </row>
    <row r="258" ht="15.75" customHeight="1">
      <c r="A258" s="357"/>
      <c r="B258" s="357"/>
      <c r="C258" s="357"/>
      <c r="D258" s="357"/>
    </row>
    <row r="259" ht="15.75" customHeight="1">
      <c r="A259" s="357"/>
      <c r="B259" s="357"/>
      <c r="C259" s="357"/>
      <c r="D259" s="357"/>
    </row>
    <row r="260" ht="15.75" customHeight="1">
      <c r="A260" s="357"/>
      <c r="B260" s="357"/>
      <c r="C260" s="357"/>
      <c r="D260" s="357"/>
    </row>
    <row r="261" ht="15.75" customHeight="1">
      <c r="A261" s="357"/>
      <c r="B261" s="357"/>
      <c r="C261" s="357"/>
      <c r="D261" s="357"/>
    </row>
    <row r="262" ht="15.75" customHeight="1">
      <c r="A262" s="357"/>
      <c r="B262" s="357"/>
      <c r="C262" s="357"/>
      <c r="D262" s="357"/>
    </row>
    <row r="263" ht="15.75" customHeight="1">
      <c r="A263" s="357"/>
      <c r="B263" s="357"/>
      <c r="C263" s="357"/>
      <c r="D263" s="357"/>
    </row>
    <row r="264" ht="15.75" customHeight="1">
      <c r="A264" s="357"/>
      <c r="B264" s="357"/>
      <c r="C264" s="357"/>
      <c r="D264" s="357"/>
    </row>
    <row r="265" ht="15.75" customHeight="1">
      <c r="A265" s="357"/>
      <c r="B265" s="357"/>
      <c r="C265" s="357"/>
      <c r="D265" s="357"/>
    </row>
    <row r="266" ht="15.75" customHeight="1">
      <c r="A266" s="357"/>
      <c r="B266" s="357"/>
      <c r="C266" s="357"/>
      <c r="D266" s="357"/>
    </row>
    <row r="267" ht="15.75" customHeight="1">
      <c r="A267" s="357"/>
      <c r="B267" s="357"/>
      <c r="C267" s="357"/>
      <c r="D267" s="357"/>
    </row>
    <row r="268" ht="15.75" customHeight="1">
      <c r="A268" s="357"/>
      <c r="B268" s="357"/>
      <c r="C268" s="357"/>
      <c r="D268" s="357"/>
    </row>
    <row r="269" ht="15.75" customHeight="1">
      <c r="A269" s="357"/>
      <c r="B269" s="357"/>
      <c r="C269" s="357"/>
      <c r="D269" s="357"/>
    </row>
    <row r="270" ht="15.75" customHeight="1">
      <c r="A270" s="357"/>
      <c r="B270" s="357"/>
      <c r="C270" s="357"/>
      <c r="D270" s="357"/>
    </row>
    <row r="271" ht="15.75" customHeight="1">
      <c r="A271" s="357"/>
      <c r="B271" s="357"/>
      <c r="C271" s="357"/>
      <c r="D271" s="357"/>
    </row>
    <row r="272" ht="15.75" customHeight="1">
      <c r="A272" s="357"/>
      <c r="B272" s="357"/>
      <c r="C272" s="357"/>
      <c r="D272" s="357"/>
    </row>
    <row r="273" ht="15.75" customHeight="1">
      <c r="A273" s="357"/>
      <c r="B273" s="357"/>
      <c r="C273" s="357"/>
      <c r="D273" s="357"/>
    </row>
    <row r="274" ht="15.75" customHeight="1">
      <c r="A274" s="357"/>
      <c r="B274" s="357"/>
      <c r="C274" s="357"/>
      <c r="D274" s="357"/>
    </row>
    <row r="275" ht="15.75" customHeight="1">
      <c r="A275" s="357"/>
      <c r="B275" s="357"/>
      <c r="C275" s="357"/>
      <c r="D275" s="357"/>
    </row>
    <row r="276" ht="15.75" customHeight="1">
      <c r="A276" s="357"/>
      <c r="B276" s="357"/>
      <c r="C276" s="357"/>
      <c r="D276" s="357"/>
    </row>
    <row r="277" ht="15.75" customHeight="1">
      <c r="A277" s="357"/>
      <c r="B277" s="357"/>
      <c r="C277" s="357"/>
      <c r="D277" s="357"/>
    </row>
    <row r="278" ht="15.75" customHeight="1">
      <c r="A278" s="357"/>
      <c r="B278" s="357"/>
      <c r="C278" s="357"/>
      <c r="D278" s="357"/>
    </row>
    <row r="279" ht="15.75" customHeight="1">
      <c r="A279" s="357"/>
      <c r="B279" s="357"/>
      <c r="C279" s="357"/>
      <c r="D279" s="357"/>
    </row>
    <row r="280" ht="15.75" customHeight="1">
      <c r="A280" s="357"/>
      <c r="B280" s="357"/>
      <c r="C280" s="357"/>
      <c r="D280" s="357"/>
    </row>
    <row r="281" ht="15.75" customHeight="1">
      <c r="A281" s="357"/>
      <c r="B281" s="357"/>
      <c r="C281" s="357"/>
      <c r="D281" s="357"/>
    </row>
    <row r="282" ht="15.75" customHeight="1">
      <c r="A282" s="357"/>
      <c r="B282" s="357"/>
      <c r="C282" s="357"/>
      <c r="D282" s="357"/>
    </row>
    <row r="283" ht="15.75" customHeight="1">
      <c r="A283" s="357"/>
      <c r="B283" s="357"/>
      <c r="C283" s="357"/>
      <c r="D283" s="357"/>
    </row>
    <row r="284" ht="15.75" customHeight="1">
      <c r="A284" s="357"/>
      <c r="B284" s="357"/>
      <c r="C284" s="357"/>
      <c r="D284" s="357"/>
    </row>
    <row r="285" ht="15.75" customHeight="1">
      <c r="A285" s="357"/>
      <c r="B285" s="357"/>
      <c r="C285" s="357"/>
      <c r="D285" s="357"/>
    </row>
    <row r="286" ht="15.75" customHeight="1">
      <c r="A286" s="357"/>
      <c r="B286" s="357"/>
      <c r="C286" s="357"/>
      <c r="D286" s="357"/>
    </row>
    <row r="287" ht="15.75" customHeight="1">
      <c r="A287" s="357"/>
      <c r="B287" s="357"/>
      <c r="C287" s="357"/>
      <c r="D287" s="357"/>
    </row>
    <row r="288" ht="15.75" customHeight="1">
      <c r="A288" s="357"/>
      <c r="B288" s="357"/>
      <c r="C288" s="357"/>
      <c r="D288" s="357"/>
    </row>
    <row r="289" ht="15.75" customHeight="1">
      <c r="A289" s="357"/>
      <c r="B289" s="357"/>
      <c r="C289" s="357"/>
      <c r="D289" s="357"/>
    </row>
    <row r="290" ht="15.75" customHeight="1">
      <c r="A290" s="357"/>
      <c r="B290" s="357"/>
      <c r="C290" s="357"/>
      <c r="D290" s="357"/>
    </row>
    <row r="291" ht="15.75" customHeight="1">
      <c r="A291" s="357"/>
      <c r="B291" s="357"/>
      <c r="C291" s="357"/>
      <c r="D291" s="357"/>
    </row>
    <row r="292" ht="15.75" customHeight="1">
      <c r="A292" s="357"/>
      <c r="B292" s="357"/>
      <c r="C292" s="357"/>
      <c r="D292" s="357"/>
    </row>
    <row r="293" ht="15.75" customHeight="1">
      <c r="A293" s="357"/>
      <c r="B293" s="357"/>
      <c r="C293" s="357"/>
      <c r="D293" s="357"/>
    </row>
    <row r="294" ht="15.75" customHeight="1">
      <c r="A294" s="357"/>
      <c r="B294" s="357"/>
      <c r="C294" s="357"/>
      <c r="D294" s="357"/>
    </row>
    <row r="295" ht="15.75" customHeight="1">
      <c r="A295" s="357"/>
      <c r="B295" s="357"/>
      <c r="C295" s="357"/>
      <c r="D295" s="357"/>
    </row>
    <row r="296" ht="15.75" customHeight="1">
      <c r="A296" s="357"/>
      <c r="B296" s="357"/>
      <c r="C296" s="357"/>
      <c r="D296" s="357"/>
    </row>
    <row r="297" ht="15.75" customHeight="1">
      <c r="A297" s="357"/>
      <c r="B297" s="357"/>
      <c r="C297" s="357"/>
      <c r="D297" s="357"/>
    </row>
    <row r="298" ht="15.75" customHeight="1">
      <c r="A298" s="357"/>
      <c r="B298" s="357"/>
      <c r="C298" s="357"/>
      <c r="D298" s="357"/>
    </row>
    <row r="299" ht="15.75" customHeight="1">
      <c r="A299" s="357"/>
      <c r="B299" s="357"/>
      <c r="C299" s="357"/>
      <c r="D299" s="357"/>
    </row>
    <row r="300" ht="15.75" customHeight="1">
      <c r="A300" s="357"/>
      <c r="B300" s="357"/>
      <c r="C300" s="357"/>
      <c r="D300" s="357"/>
    </row>
    <row r="301" ht="15.75" customHeight="1">
      <c r="A301" s="357"/>
      <c r="B301" s="357"/>
      <c r="C301" s="357"/>
      <c r="D301" s="357"/>
    </row>
    <row r="302" ht="15.75" customHeight="1">
      <c r="A302" s="357"/>
      <c r="B302" s="357"/>
      <c r="C302" s="357"/>
      <c r="D302" s="357"/>
    </row>
    <row r="303" ht="15.75" customHeight="1">
      <c r="A303" s="357"/>
      <c r="B303" s="357"/>
      <c r="C303" s="357"/>
      <c r="D303" s="357"/>
    </row>
    <row r="304" ht="15.75" customHeight="1">
      <c r="A304" s="357"/>
      <c r="B304" s="357"/>
      <c r="C304" s="357"/>
      <c r="D304" s="357"/>
    </row>
    <row r="305" ht="15.75" customHeight="1">
      <c r="A305" s="357"/>
      <c r="B305" s="357"/>
      <c r="C305" s="357"/>
      <c r="D305" s="357"/>
    </row>
    <row r="306" ht="15.75" customHeight="1">
      <c r="A306" s="357"/>
      <c r="B306" s="357"/>
      <c r="C306" s="357"/>
      <c r="D306" s="357"/>
    </row>
    <row r="307" ht="15.75" customHeight="1">
      <c r="A307" s="357"/>
      <c r="B307" s="357"/>
      <c r="C307" s="357"/>
      <c r="D307" s="357"/>
    </row>
    <row r="308" ht="15.75" customHeight="1">
      <c r="A308" s="357"/>
      <c r="B308" s="357"/>
      <c r="C308" s="357"/>
      <c r="D308" s="357"/>
    </row>
    <row r="309" ht="15.75" customHeight="1">
      <c r="A309" s="357"/>
      <c r="B309" s="357"/>
      <c r="C309" s="357"/>
      <c r="D309" s="357"/>
    </row>
    <row r="310" ht="15.75" customHeight="1">
      <c r="A310" s="357"/>
      <c r="B310" s="357"/>
      <c r="C310" s="357"/>
      <c r="D310" s="357"/>
    </row>
    <row r="311" ht="15.75" customHeight="1">
      <c r="A311" s="357"/>
      <c r="B311" s="357"/>
      <c r="C311" s="357"/>
      <c r="D311" s="357"/>
    </row>
    <row r="312" ht="15.75" customHeight="1">
      <c r="A312" s="357"/>
      <c r="B312" s="357"/>
      <c r="C312" s="357"/>
      <c r="D312" s="357"/>
    </row>
    <row r="313" ht="15.75" customHeight="1">
      <c r="A313" s="357"/>
      <c r="B313" s="357"/>
      <c r="C313" s="357"/>
      <c r="D313" s="357"/>
    </row>
    <row r="314" ht="15.75" customHeight="1">
      <c r="A314" s="357"/>
      <c r="B314" s="357"/>
      <c r="C314" s="357"/>
      <c r="D314" s="357"/>
    </row>
    <row r="315" ht="15.75" customHeight="1">
      <c r="A315" s="357"/>
      <c r="B315" s="357"/>
      <c r="C315" s="357"/>
      <c r="D315" s="357"/>
    </row>
    <row r="316" ht="15.75" customHeight="1">
      <c r="A316" s="357"/>
      <c r="B316" s="357"/>
      <c r="C316" s="357"/>
      <c r="D316" s="357"/>
    </row>
    <row r="317" ht="15.75" customHeight="1">
      <c r="A317" s="357"/>
      <c r="B317" s="357"/>
      <c r="C317" s="357"/>
      <c r="D317" s="357"/>
    </row>
    <row r="318" ht="15.75" customHeight="1">
      <c r="A318" s="357"/>
      <c r="B318" s="357"/>
      <c r="C318" s="357"/>
      <c r="D318" s="357"/>
    </row>
    <row r="319" ht="15.75" customHeight="1">
      <c r="A319" s="357"/>
      <c r="B319" s="357"/>
      <c r="C319" s="357"/>
      <c r="D319" s="357"/>
    </row>
    <row r="320" ht="15.75" customHeight="1">
      <c r="A320" s="357"/>
      <c r="B320" s="357"/>
      <c r="C320" s="357"/>
      <c r="D320" s="357"/>
    </row>
    <row r="321" ht="15.75" customHeight="1">
      <c r="A321" s="357"/>
      <c r="B321" s="357"/>
      <c r="C321" s="357"/>
      <c r="D321" s="357"/>
    </row>
    <row r="322" ht="15.75" customHeight="1">
      <c r="A322" s="357"/>
      <c r="B322" s="357"/>
      <c r="C322" s="357"/>
      <c r="D322" s="357"/>
    </row>
    <row r="323" ht="15.75" customHeight="1">
      <c r="A323" s="357"/>
      <c r="B323" s="357"/>
      <c r="C323" s="357"/>
      <c r="D323" s="357"/>
    </row>
    <row r="324" ht="15.75" customHeight="1">
      <c r="A324" s="357"/>
      <c r="B324" s="357"/>
      <c r="C324" s="357"/>
      <c r="D324" s="357"/>
    </row>
    <row r="325" ht="15.75" customHeight="1">
      <c r="A325" s="357"/>
      <c r="B325" s="357"/>
      <c r="C325" s="357"/>
      <c r="D325" s="357"/>
    </row>
    <row r="326" ht="15.75" customHeight="1">
      <c r="A326" s="357"/>
      <c r="B326" s="357"/>
      <c r="C326" s="357"/>
      <c r="D326" s="357"/>
    </row>
    <row r="327" ht="15.75" customHeight="1">
      <c r="A327" s="357"/>
      <c r="B327" s="357"/>
      <c r="C327" s="357"/>
      <c r="D327" s="357"/>
    </row>
    <row r="328" ht="15.75" customHeight="1">
      <c r="A328" s="357"/>
      <c r="B328" s="357"/>
      <c r="C328" s="357"/>
      <c r="D328" s="357"/>
    </row>
    <row r="329" ht="15.75" customHeight="1">
      <c r="A329" s="357"/>
      <c r="B329" s="357"/>
      <c r="C329" s="357"/>
      <c r="D329" s="357"/>
    </row>
    <row r="330" ht="15.75" customHeight="1">
      <c r="A330" s="357"/>
      <c r="B330" s="357"/>
      <c r="C330" s="357"/>
      <c r="D330" s="357"/>
    </row>
    <row r="331" ht="15.75" customHeight="1">
      <c r="A331" s="357"/>
      <c r="B331" s="357"/>
      <c r="C331" s="357"/>
      <c r="D331" s="357"/>
    </row>
    <row r="332" ht="15.75" customHeight="1">
      <c r="A332" s="357"/>
      <c r="B332" s="357"/>
      <c r="C332" s="357"/>
      <c r="D332" s="357"/>
    </row>
    <row r="333" ht="15.75" customHeight="1">
      <c r="A333" s="357"/>
      <c r="B333" s="357"/>
      <c r="C333" s="357"/>
      <c r="D333" s="357"/>
    </row>
    <row r="334" ht="15.75" customHeight="1">
      <c r="A334" s="357"/>
      <c r="B334" s="357"/>
      <c r="C334" s="357"/>
      <c r="D334" s="357"/>
    </row>
    <row r="335" ht="15.75" customHeight="1">
      <c r="A335" s="357"/>
      <c r="B335" s="357"/>
      <c r="C335" s="357"/>
      <c r="D335" s="357"/>
    </row>
    <row r="336" ht="15.75" customHeight="1">
      <c r="A336" s="357"/>
      <c r="B336" s="357"/>
      <c r="C336" s="357"/>
      <c r="D336" s="357"/>
    </row>
    <row r="337" ht="15.75" customHeight="1">
      <c r="A337" s="357"/>
      <c r="B337" s="357"/>
      <c r="C337" s="357"/>
      <c r="D337" s="357"/>
    </row>
    <row r="338" ht="15.75" customHeight="1">
      <c r="A338" s="357"/>
      <c r="B338" s="357"/>
      <c r="C338" s="357"/>
      <c r="D338" s="357"/>
    </row>
    <row r="339" ht="15.75" customHeight="1">
      <c r="A339" s="357"/>
      <c r="B339" s="357"/>
      <c r="C339" s="357"/>
      <c r="D339" s="357"/>
    </row>
    <row r="340" ht="15.75" customHeight="1">
      <c r="A340" s="357"/>
      <c r="B340" s="357"/>
      <c r="C340" s="357"/>
      <c r="D340" s="357"/>
    </row>
    <row r="341" ht="15.75" customHeight="1">
      <c r="A341" s="357"/>
      <c r="B341" s="357"/>
      <c r="C341" s="357"/>
      <c r="D341" s="357"/>
    </row>
    <row r="342" ht="15.75" customHeight="1">
      <c r="A342" s="357"/>
      <c r="B342" s="357"/>
      <c r="C342" s="357"/>
      <c r="D342" s="357"/>
    </row>
    <row r="343" ht="15.75" customHeight="1">
      <c r="A343" s="357"/>
      <c r="B343" s="357"/>
      <c r="C343" s="357"/>
      <c r="D343" s="357"/>
    </row>
    <row r="344" ht="15.75" customHeight="1">
      <c r="A344" s="357"/>
      <c r="B344" s="357"/>
      <c r="C344" s="357"/>
      <c r="D344" s="357"/>
    </row>
    <row r="345" ht="15.75" customHeight="1">
      <c r="A345" s="357"/>
      <c r="B345" s="357"/>
      <c r="C345" s="357"/>
      <c r="D345" s="357"/>
    </row>
    <row r="346" ht="15.75" customHeight="1">
      <c r="A346" s="357"/>
      <c r="B346" s="357"/>
      <c r="C346" s="357"/>
      <c r="D346" s="357"/>
    </row>
    <row r="347" ht="15.75" customHeight="1">
      <c r="A347" s="357"/>
      <c r="B347" s="357"/>
      <c r="C347" s="357"/>
      <c r="D347" s="357"/>
    </row>
    <row r="348" ht="15.75" customHeight="1">
      <c r="A348" s="357"/>
      <c r="B348" s="357"/>
      <c r="C348" s="357"/>
      <c r="D348" s="357"/>
    </row>
    <row r="349" ht="15.75" customHeight="1">
      <c r="A349" s="357"/>
      <c r="B349" s="357"/>
      <c r="C349" s="357"/>
      <c r="D349" s="357"/>
    </row>
    <row r="350" ht="15.75" customHeight="1">
      <c r="A350" s="357"/>
      <c r="B350" s="357"/>
      <c r="C350" s="357"/>
      <c r="D350" s="357"/>
    </row>
    <row r="351" ht="15.75" customHeight="1">
      <c r="A351" s="357"/>
      <c r="B351" s="357"/>
      <c r="C351" s="357"/>
      <c r="D351" s="357"/>
    </row>
    <row r="352" ht="15.75" customHeight="1">
      <c r="A352" s="357"/>
      <c r="B352" s="357"/>
      <c r="C352" s="357"/>
      <c r="D352" s="357"/>
    </row>
    <row r="353" ht="15.75" customHeight="1">
      <c r="A353" s="357"/>
      <c r="B353" s="357"/>
      <c r="C353" s="357"/>
      <c r="D353" s="357"/>
    </row>
    <row r="354" ht="15.75" customHeight="1">
      <c r="A354" s="357"/>
      <c r="B354" s="357"/>
      <c r="C354" s="357"/>
      <c r="D354" s="357"/>
    </row>
    <row r="355" ht="15.75" customHeight="1">
      <c r="A355" s="357"/>
      <c r="B355" s="357"/>
      <c r="C355" s="357"/>
      <c r="D355" s="357"/>
    </row>
    <row r="356" ht="15.75" customHeight="1">
      <c r="A356" s="357"/>
      <c r="B356" s="357"/>
      <c r="C356" s="357"/>
      <c r="D356" s="357"/>
    </row>
    <row r="357" ht="15.75" customHeight="1">
      <c r="A357" s="357"/>
      <c r="B357" s="357"/>
      <c r="C357" s="357"/>
      <c r="D357" s="357"/>
    </row>
    <row r="358" ht="15.75" customHeight="1">
      <c r="A358" s="357"/>
      <c r="B358" s="357"/>
      <c r="C358" s="357"/>
      <c r="D358" s="357"/>
    </row>
    <row r="359" ht="15.75" customHeight="1">
      <c r="A359" s="357"/>
      <c r="B359" s="357"/>
      <c r="C359" s="357"/>
      <c r="D359" s="357"/>
    </row>
    <row r="360" ht="15.75" customHeight="1">
      <c r="A360" s="357"/>
      <c r="B360" s="357"/>
      <c r="C360" s="357"/>
      <c r="D360" s="357"/>
    </row>
    <row r="361" ht="15.75" customHeight="1">
      <c r="A361" s="357"/>
      <c r="B361" s="357"/>
      <c r="C361" s="357"/>
      <c r="D361" s="357"/>
    </row>
    <row r="362" ht="15.75" customHeight="1">
      <c r="A362" s="357"/>
      <c r="B362" s="357"/>
      <c r="C362" s="357"/>
      <c r="D362" s="357"/>
    </row>
    <row r="363" ht="15.75" customHeight="1">
      <c r="A363" s="357"/>
      <c r="B363" s="357"/>
      <c r="C363" s="357"/>
      <c r="D363" s="357"/>
    </row>
    <row r="364" ht="15.75" customHeight="1">
      <c r="A364" s="357"/>
      <c r="B364" s="357"/>
      <c r="C364" s="357"/>
      <c r="D364" s="357"/>
    </row>
    <row r="365" ht="15.75" customHeight="1">
      <c r="A365" s="357"/>
      <c r="B365" s="357"/>
      <c r="C365" s="357"/>
      <c r="D365" s="357"/>
    </row>
    <row r="366" ht="15.75" customHeight="1">
      <c r="A366" s="357"/>
      <c r="B366" s="357"/>
      <c r="C366" s="357"/>
      <c r="D366" s="357"/>
    </row>
    <row r="367" ht="15.75" customHeight="1">
      <c r="A367" s="357"/>
      <c r="B367" s="357"/>
      <c r="C367" s="357"/>
      <c r="D367" s="357"/>
    </row>
    <row r="368" ht="15.75" customHeight="1">
      <c r="A368" s="357"/>
      <c r="B368" s="357"/>
      <c r="C368" s="357"/>
      <c r="D368" s="357"/>
    </row>
    <row r="369" ht="15.75" customHeight="1">
      <c r="A369" s="357"/>
      <c r="B369" s="357"/>
      <c r="C369" s="357"/>
      <c r="D369" s="357"/>
    </row>
    <row r="370" ht="15.75" customHeight="1">
      <c r="A370" s="357"/>
      <c r="B370" s="357"/>
      <c r="C370" s="357"/>
      <c r="D370" s="357"/>
    </row>
    <row r="371" ht="15.75" customHeight="1">
      <c r="A371" s="357"/>
      <c r="B371" s="357"/>
      <c r="C371" s="357"/>
      <c r="D371" s="357"/>
    </row>
    <row r="372" ht="15.75" customHeight="1">
      <c r="A372" s="357"/>
      <c r="B372" s="357"/>
      <c r="C372" s="357"/>
      <c r="D372" s="357"/>
    </row>
    <row r="373" ht="15.75" customHeight="1">
      <c r="A373" s="357"/>
      <c r="B373" s="357"/>
      <c r="C373" s="357"/>
      <c r="D373" s="357"/>
    </row>
    <row r="374" ht="15.75" customHeight="1">
      <c r="A374" s="357"/>
      <c r="B374" s="357"/>
      <c r="C374" s="357"/>
      <c r="D374" s="357"/>
    </row>
    <row r="375" ht="15.75" customHeight="1">
      <c r="A375" s="357"/>
      <c r="B375" s="357"/>
      <c r="C375" s="357"/>
      <c r="D375" s="357"/>
    </row>
    <row r="376" ht="15.75" customHeight="1">
      <c r="A376" s="357"/>
      <c r="B376" s="357"/>
      <c r="C376" s="357"/>
      <c r="D376" s="357"/>
    </row>
    <row r="377" ht="15.75" customHeight="1">
      <c r="A377" s="357"/>
      <c r="B377" s="357"/>
      <c r="C377" s="357"/>
      <c r="D377" s="357"/>
    </row>
    <row r="378" ht="15.75" customHeight="1">
      <c r="A378" s="357"/>
      <c r="B378" s="357"/>
      <c r="C378" s="357"/>
      <c r="D378" s="357"/>
    </row>
    <row r="379" ht="15.75" customHeight="1">
      <c r="A379" s="357"/>
      <c r="B379" s="357"/>
      <c r="C379" s="357"/>
      <c r="D379" s="357"/>
    </row>
    <row r="380" ht="15.75" customHeight="1">
      <c r="A380" s="357"/>
      <c r="B380" s="357"/>
      <c r="C380" s="357"/>
      <c r="D380" s="357"/>
    </row>
    <row r="381" ht="15.75" customHeight="1">
      <c r="A381" s="357"/>
      <c r="B381" s="357"/>
      <c r="C381" s="357"/>
      <c r="D381" s="357"/>
    </row>
    <row r="382" ht="15.75" customHeight="1">
      <c r="A382" s="357"/>
      <c r="B382" s="357"/>
      <c r="C382" s="357"/>
      <c r="D382" s="357"/>
    </row>
    <row r="383" ht="15.75" customHeight="1">
      <c r="A383" s="357"/>
      <c r="B383" s="357"/>
      <c r="C383" s="357"/>
      <c r="D383" s="357"/>
    </row>
    <row r="384" ht="15.75" customHeight="1">
      <c r="A384" s="357"/>
      <c r="B384" s="357"/>
      <c r="C384" s="357"/>
      <c r="D384" s="357"/>
    </row>
    <row r="385" ht="15.75" customHeight="1">
      <c r="A385" s="357"/>
      <c r="B385" s="357"/>
      <c r="C385" s="357"/>
      <c r="D385" s="357"/>
    </row>
    <row r="386" ht="15.75" customHeight="1">
      <c r="A386" s="357"/>
      <c r="B386" s="357"/>
      <c r="C386" s="357"/>
      <c r="D386" s="357"/>
    </row>
    <row r="387" ht="15.75" customHeight="1">
      <c r="A387" s="357"/>
      <c r="B387" s="357"/>
      <c r="C387" s="357"/>
      <c r="D387" s="357"/>
    </row>
    <row r="388" ht="15.75" customHeight="1">
      <c r="A388" s="357"/>
      <c r="B388" s="357"/>
      <c r="C388" s="357"/>
      <c r="D388" s="357"/>
    </row>
    <row r="389" ht="15.75" customHeight="1">
      <c r="A389" s="357"/>
      <c r="B389" s="357"/>
      <c r="C389" s="357"/>
      <c r="D389" s="357"/>
    </row>
    <row r="390" ht="15.75" customHeight="1">
      <c r="A390" s="357"/>
      <c r="B390" s="357"/>
      <c r="C390" s="357"/>
      <c r="D390" s="357"/>
    </row>
    <row r="391" ht="15.75" customHeight="1">
      <c r="A391" s="357"/>
      <c r="B391" s="357"/>
      <c r="C391" s="357"/>
      <c r="D391" s="357"/>
    </row>
    <row r="392" ht="15.75" customHeight="1">
      <c r="A392" s="357"/>
      <c r="B392" s="357"/>
      <c r="C392" s="357"/>
      <c r="D392" s="357"/>
    </row>
    <row r="393" ht="15.75" customHeight="1">
      <c r="A393" s="357"/>
      <c r="B393" s="357"/>
      <c r="C393" s="357"/>
      <c r="D393" s="357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29"/>
    <col customWidth="1" min="7" max="7" width="22.0"/>
  </cols>
  <sheetData>
    <row r="1">
      <c r="A1" s="360" t="s">
        <v>516</v>
      </c>
      <c r="B1" s="360" t="s">
        <v>517</v>
      </c>
      <c r="C1" s="360" t="s">
        <v>518</v>
      </c>
      <c r="D1" s="360" t="s">
        <v>383</v>
      </c>
      <c r="E1" s="360" t="s">
        <v>515</v>
      </c>
      <c r="F1" s="360" t="s">
        <v>519</v>
      </c>
      <c r="G1" s="360" t="s">
        <v>520</v>
      </c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</row>
    <row r="2">
      <c r="A2" s="362" t="s">
        <v>521</v>
      </c>
      <c r="B2" s="363" t="s">
        <v>522</v>
      </c>
      <c r="C2" s="362">
        <v>1800.0</v>
      </c>
      <c r="D2" s="362">
        <v>1.0</v>
      </c>
      <c r="E2" s="364">
        <f t="shared" ref="E2:E21" si="1">C2*D2</f>
        <v>1800</v>
      </c>
      <c r="F2" s="362">
        <v>1800.0</v>
      </c>
      <c r="G2" s="363" t="s">
        <v>523</v>
      </c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</row>
    <row r="3">
      <c r="A3" s="366">
        <v>1209.0</v>
      </c>
      <c r="B3" s="367" t="s">
        <v>524</v>
      </c>
      <c r="C3" s="366">
        <v>600.0</v>
      </c>
      <c r="D3" s="366">
        <v>1.0</v>
      </c>
      <c r="E3" s="368">
        <f t="shared" si="1"/>
        <v>600</v>
      </c>
      <c r="F3" s="366">
        <v>600.0</v>
      </c>
      <c r="G3" s="367" t="s">
        <v>525</v>
      </c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>
      <c r="A4" s="363">
        <v>1224.0</v>
      </c>
      <c r="B4" s="363" t="s">
        <v>123</v>
      </c>
      <c r="C4" s="362">
        <v>100.0</v>
      </c>
      <c r="D4" s="362">
        <v>1.0</v>
      </c>
      <c r="E4" s="364">
        <f t="shared" si="1"/>
        <v>100</v>
      </c>
      <c r="F4" s="363">
        <v>230.0</v>
      </c>
      <c r="G4" s="363" t="s">
        <v>101</v>
      </c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</row>
    <row r="5">
      <c r="A5" s="364"/>
      <c r="B5" s="363" t="s">
        <v>526</v>
      </c>
      <c r="C5" s="362">
        <v>130.0</v>
      </c>
      <c r="D5" s="362">
        <v>1.0</v>
      </c>
      <c r="E5" s="364">
        <f t="shared" si="1"/>
        <v>130</v>
      </c>
      <c r="F5" s="364"/>
      <c r="G5" s="369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</row>
    <row r="6">
      <c r="A6" s="366">
        <v>1235.0</v>
      </c>
      <c r="B6" s="367" t="s">
        <v>527</v>
      </c>
      <c r="C6" s="366">
        <v>150.0</v>
      </c>
      <c r="D6" s="366">
        <v>2.0</v>
      </c>
      <c r="E6" s="368">
        <f t="shared" si="1"/>
        <v>300</v>
      </c>
      <c r="F6" s="366">
        <v>750.0</v>
      </c>
      <c r="G6" s="367" t="s">
        <v>528</v>
      </c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>
      <c r="A7" s="370"/>
      <c r="B7" s="367" t="s">
        <v>529</v>
      </c>
      <c r="C7" s="366">
        <v>200.0</v>
      </c>
      <c r="D7" s="366">
        <v>1.0</v>
      </c>
      <c r="E7" s="368">
        <f t="shared" si="1"/>
        <v>200</v>
      </c>
      <c r="F7" s="370"/>
      <c r="G7" s="370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>
      <c r="A8" s="370"/>
      <c r="B8" s="367" t="s">
        <v>246</v>
      </c>
      <c r="C8" s="366">
        <v>250.0</v>
      </c>
      <c r="D8" s="366">
        <v>1.0</v>
      </c>
      <c r="E8" s="368">
        <f t="shared" si="1"/>
        <v>250</v>
      </c>
      <c r="F8" s="370"/>
      <c r="G8" s="370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>
      <c r="A9" s="362">
        <v>1240.0</v>
      </c>
      <c r="B9" s="363" t="s">
        <v>527</v>
      </c>
      <c r="C9" s="362">
        <v>150.0</v>
      </c>
      <c r="D9" s="362">
        <v>2.0</v>
      </c>
      <c r="E9" s="364">
        <f t="shared" si="1"/>
        <v>300</v>
      </c>
      <c r="F9" s="362">
        <v>400.0</v>
      </c>
      <c r="G9" s="363" t="s">
        <v>530</v>
      </c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</row>
    <row r="10">
      <c r="A10" s="369"/>
      <c r="B10" s="363" t="s">
        <v>268</v>
      </c>
      <c r="C10" s="362">
        <v>100.0</v>
      </c>
      <c r="D10" s="362">
        <v>1.0</v>
      </c>
      <c r="E10" s="364">
        <f t="shared" si="1"/>
        <v>100</v>
      </c>
      <c r="F10" s="369"/>
      <c r="G10" s="369"/>
      <c r="H10" s="365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5"/>
    </row>
    <row r="11">
      <c r="A11" s="366">
        <v>1242.0</v>
      </c>
      <c r="B11" s="367" t="s">
        <v>531</v>
      </c>
      <c r="C11" s="366">
        <v>200.0</v>
      </c>
      <c r="D11" s="366">
        <v>1.0</v>
      </c>
      <c r="E11" s="368">
        <f t="shared" si="1"/>
        <v>200</v>
      </c>
      <c r="F11" s="366">
        <v>200.0</v>
      </c>
      <c r="G11" s="367" t="s">
        <v>101</v>
      </c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>
      <c r="A12" s="363">
        <v>1247.0</v>
      </c>
      <c r="B12" s="363" t="s">
        <v>532</v>
      </c>
      <c r="C12" s="362">
        <v>600.0</v>
      </c>
      <c r="D12" s="362">
        <v>1.0</v>
      </c>
      <c r="E12" s="364">
        <f t="shared" si="1"/>
        <v>600</v>
      </c>
      <c r="F12" s="363">
        <v>600.0</v>
      </c>
      <c r="G12" s="363" t="s">
        <v>101</v>
      </c>
      <c r="H12" s="365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5"/>
      <c r="T12" s="365"/>
      <c r="U12" s="365"/>
      <c r="V12" s="365"/>
      <c r="W12" s="365"/>
      <c r="X12" s="365"/>
      <c r="Y12" s="365"/>
      <c r="Z12" s="365"/>
    </row>
    <row r="13">
      <c r="A13" s="366">
        <v>1256.0</v>
      </c>
      <c r="B13" s="367" t="s">
        <v>533</v>
      </c>
      <c r="C13" s="366">
        <v>100.0</v>
      </c>
      <c r="D13" s="366">
        <v>1.0</v>
      </c>
      <c r="E13" s="368">
        <f t="shared" si="1"/>
        <v>100</v>
      </c>
      <c r="F13" s="366">
        <v>100.0</v>
      </c>
      <c r="G13" s="367" t="s">
        <v>43</v>
      </c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>
      <c r="A14" s="342"/>
      <c r="B14" s="370"/>
      <c r="C14" s="368"/>
      <c r="D14" s="368"/>
      <c r="E14" s="368">
        <f t="shared" si="1"/>
        <v>0</v>
      </c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>
      <c r="A15" s="342"/>
      <c r="B15" s="370"/>
      <c r="C15" s="368"/>
      <c r="D15" s="368"/>
      <c r="E15" s="368">
        <f t="shared" si="1"/>
        <v>0</v>
      </c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>
      <c r="A16" s="342"/>
      <c r="B16" s="370"/>
      <c r="C16" s="368"/>
      <c r="D16" s="368"/>
      <c r="E16" s="368">
        <f t="shared" si="1"/>
        <v>0</v>
      </c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>
      <c r="A17" s="368"/>
      <c r="B17" s="370"/>
      <c r="C17" s="368"/>
      <c r="D17" s="368"/>
      <c r="E17" s="368">
        <f t="shared" si="1"/>
        <v>0</v>
      </c>
      <c r="F17" s="368"/>
      <c r="G17" s="370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>
      <c r="A18" s="342"/>
      <c r="B18" s="370"/>
      <c r="C18" s="368"/>
      <c r="D18" s="368"/>
      <c r="E18" s="368">
        <f t="shared" si="1"/>
        <v>0</v>
      </c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>
      <c r="A19" s="342"/>
      <c r="B19" s="370"/>
      <c r="C19" s="368"/>
      <c r="D19" s="368"/>
      <c r="E19" s="368">
        <f t="shared" si="1"/>
        <v>0</v>
      </c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>
      <c r="A20" s="368"/>
      <c r="B20" s="370"/>
      <c r="C20" s="368"/>
      <c r="D20" s="368"/>
      <c r="E20" s="368">
        <f t="shared" si="1"/>
        <v>0</v>
      </c>
      <c r="F20" s="368"/>
      <c r="G20" s="370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>
      <c r="A21" s="342"/>
      <c r="B21" s="370"/>
      <c r="C21" s="368"/>
      <c r="D21" s="368"/>
      <c r="E21" s="368">
        <f t="shared" si="1"/>
        <v>0</v>
      </c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>
      <c r="A22" s="342"/>
      <c r="B22" s="370"/>
      <c r="C22" s="368"/>
      <c r="D22" s="368"/>
      <c r="E22" s="368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>
      <c r="A24" s="342"/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>
      <c r="A27" s="342"/>
      <c r="B27" s="342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>
      <c r="A28" s="342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>
      <c r="A29" s="342"/>
      <c r="B29" s="342"/>
      <c r="C29" s="342"/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>
      <c r="A30" s="342"/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>
      <c r="A33" s="342"/>
      <c r="B33" s="342"/>
      <c r="C33" s="342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>
      <c r="A36" s="342"/>
      <c r="B36" s="342"/>
      <c r="C36" s="342"/>
      <c r="D36" s="342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>
      <c r="A38" s="342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>
      <c r="A40" s="342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>
      <c r="A41" s="342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>
      <c r="A42" s="342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>
      <c r="A43" s="342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</row>
    <row r="102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</row>
    <row r="103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</row>
    <row r="104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</row>
    <row r="10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</row>
    <row r="106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</row>
    <row r="107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</row>
    <row r="108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</row>
    <row r="109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</row>
    <row r="110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</row>
    <row r="11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</row>
    <row r="112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</row>
    <row r="113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</row>
    <row r="114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</row>
    <row r="11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</row>
    <row r="116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</row>
    <row r="117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</row>
    <row r="118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</row>
    <row r="119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</row>
    <row r="120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</row>
    <row r="12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</row>
    <row r="12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</row>
    <row r="123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</row>
    <row r="124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</row>
    <row r="12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</row>
    <row r="126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</row>
    <row r="127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</row>
    <row r="128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</row>
    <row r="129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</row>
    <row r="130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</row>
    <row r="13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</row>
    <row r="132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</row>
    <row r="133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</row>
    <row r="134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</row>
    <row r="13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</row>
    <row r="136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</row>
    <row r="137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</row>
    <row r="138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</row>
    <row r="139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</row>
    <row r="140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</row>
    <row r="14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</row>
    <row r="142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</row>
    <row r="143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</row>
    <row r="144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</row>
    <row r="14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</row>
    <row r="146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</row>
    <row r="147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</row>
    <row r="148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</row>
    <row r="149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</row>
    <row r="150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</row>
    <row r="15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</row>
    <row r="152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</row>
    <row r="153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</row>
    <row r="154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</row>
    <row r="15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</row>
    <row r="156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</row>
    <row r="157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</row>
    <row r="158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</row>
    <row r="159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</row>
    <row r="160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</row>
    <row r="16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</row>
    <row r="162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</row>
    <row r="163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</row>
    <row r="164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</row>
    <row r="16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</row>
    <row r="166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</row>
    <row r="167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</row>
    <row r="168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</row>
    <row r="169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</row>
    <row r="170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</row>
    <row r="17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</row>
    <row r="172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</row>
    <row r="173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</row>
    <row r="174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</row>
    <row r="1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</row>
    <row r="176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</row>
    <row r="177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</row>
    <row r="178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</row>
    <row r="179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</row>
    <row r="180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</row>
    <row r="18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</row>
    <row r="182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</row>
    <row r="183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</row>
    <row r="184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</row>
    <row r="18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</row>
    <row r="186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</row>
    <row r="187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</row>
    <row r="188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</row>
    <row r="189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</row>
    <row r="190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</row>
    <row r="19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</row>
    <row r="19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</row>
    <row r="193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</row>
    <row r="194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</row>
    <row r="19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</row>
    <row r="196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</row>
    <row r="197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</row>
    <row r="198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</row>
    <row r="199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</row>
    <row r="200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</row>
    <row r="20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</row>
    <row r="202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</row>
    <row r="203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</row>
    <row r="204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</row>
    <row r="20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</row>
    <row r="206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</row>
    <row r="207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</row>
    <row r="208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</row>
    <row r="209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</row>
    <row r="210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</row>
    <row r="21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</row>
    <row r="212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</row>
    <row r="213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</row>
    <row r="214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</row>
    <row r="21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</row>
    <row r="216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</row>
    <row r="217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</row>
    <row r="218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</row>
    <row r="219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</row>
    <row r="220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</row>
    <row r="22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</row>
    <row r="222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</row>
    <row r="223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</row>
    <row r="224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</row>
    <row r="22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</row>
    <row r="226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</row>
    <row r="227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</row>
    <row r="228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</row>
    <row r="229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</row>
    <row r="230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</row>
    <row r="23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</row>
    <row r="232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</row>
    <row r="233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</row>
    <row r="234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</row>
    <row r="23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</row>
    <row r="236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</row>
    <row r="237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</row>
    <row r="238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</row>
    <row r="239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</row>
    <row r="240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</row>
    <row r="24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</row>
    <row r="24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</row>
    <row r="243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</row>
    <row r="244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</row>
    <row r="24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</row>
    <row r="246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</row>
    <row r="247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</row>
    <row r="248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</row>
    <row r="249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</row>
    <row r="250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</row>
    <row r="25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</row>
    <row r="252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</row>
    <row r="253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</row>
    <row r="254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</row>
    <row r="25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</row>
    <row r="256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</row>
    <row r="257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</row>
    <row r="258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</row>
    <row r="259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</row>
    <row r="260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</row>
    <row r="26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</row>
    <row r="262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</row>
    <row r="263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</row>
    <row r="264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</row>
    <row r="26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</row>
    <row r="266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</row>
    <row r="267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</row>
    <row r="268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</row>
    <row r="269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</row>
    <row r="270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</row>
    <row r="27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</row>
    <row r="272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</row>
    <row r="273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</row>
    <row r="274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</row>
    <row r="2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</row>
    <row r="276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</row>
    <row r="277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</row>
    <row r="278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</row>
    <row r="279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</row>
    <row r="280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</row>
    <row r="28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</row>
    <row r="282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</row>
    <row r="283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</row>
    <row r="284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</row>
    <row r="28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</row>
    <row r="286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</row>
    <row r="287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</row>
    <row r="288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</row>
    <row r="289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</row>
    <row r="290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</row>
    <row r="29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</row>
    <row r="292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</row>
    <row r="293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</row>
    <row r="294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</row>
    <row r="29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</row>
    <row r="296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</row>
    <row r="297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</row>
    <row r="298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</row>
    <row r="299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</row>
    <row r="300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</row>
    <row r="30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</row>
    <row r="302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</row>
    <row r="303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</row>
    <row r="304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</row>
    <row r="30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</row>
    <row r="306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</row>
    <row r="307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</row>
    <row r="308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</row>
    <row r="309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</row>
    <row r="310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</row>
    <row r="31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</row>
    <row r="312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</row>
    <row r="313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</row>
    <row r="314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</row>
    <row r="31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</row>
    <row r="316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</row>
    <row r="317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</row>
    <row r="318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</row>
    <row r="319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</row>
    <row r="320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</row>
    <row r="32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</row>
    <row r="322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</row>
    <row r="323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</row>
    <row r="324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</row>
    <row r="32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</row>
    <row r="326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</row>
    <row r="327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</row>
    <row r="328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</row>
    <row r="329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</row>
    <row r="330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</row>
    <row r="33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</row>
    <row r="332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</row>
    <row r="333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</row>
    <row r="334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</row>
    <row r="33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</row>
    <row r="336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</row>
    <row r="337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</row>
    <row r="338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</row>
    <row r="339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</row>
    <row r="340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</row>
    <row r="34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</row>
    <row r="342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</row>
    <row r="343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</row>
    <row r="344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</row>
    <row r="34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</row>
    <row r="346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</row>
    <row r="347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</row>
    <row r="348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</row>
    <row r="349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</row>
    <row r="350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</row>
    <row r="35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</row>
    <row r="352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</row>
    <row r="353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</row>
    <row r="354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</row>
    <row r="35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</row>
    <row r="356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</row>
    <row r="357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</row>
    <row r="358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</row>
    <row r="359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</row>
    <row r="360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</row>
    <row r="36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</row>
    <row r="362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</row>
    <row r="363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</row>
    <row r="364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</row>
    <row r="36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</row>
    <row r="366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</row>
    <row r="367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</row>
    <row r="368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</row>
    <row r="369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</row>
    <row r="370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</row>
    <row r="37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</row>
    <row r="372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</row>
    <row r="373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</row>
    <row r="374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</row>
    <row r="3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</row>
    <row r="376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</row>
    <row r="377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</row>
    <row r="378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</row>
    <row r="379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</row>
    <row r="380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</row>
    <row r="38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</row>
    <row r="382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</row>
    <row r="383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</row>
    <row r="384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</row>
    <row r="38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</row>
    <row r="386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</row>
    <row r="387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</row>
    <row r="388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</row>
    <row r="389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</row>
    <row r="390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</row>
    <row r="39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</row>
    <row r="392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</row>
    <row r="393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</row>
    <row r="394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</row>
    <row r="39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</row>
    <row r="396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</row>
    <row r="397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</row>
    <row r="398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</row>
    <row r="399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</row>
    <row r="400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</row>
    <row r="40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</row>
    <row r="402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</row>
    <row r="403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</row>
    <row r="404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</row>
    <row r="40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</row>
    <row r="406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</row>
    <row r="407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</row>
    <row r="408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</row>
    <row r="409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</row>
    <row r="410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</row>
    <row r="41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</row>
    <row r="412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</row>
    <row r="413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</row>
    <row r="414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</row>
    <row r="41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</row>
    <row r="416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</row>
    <row r="417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</row>
    <row r="418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</row>
    <row r="419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</row>
    <row r="420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</row>
    <row r="42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</row>
    <row r="422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</row>
    <row r="423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</row>
    <row r="424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</row>
    <row r="42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</row>
    <row r="426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</row>
    <row r="427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</row>
    <row r="428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</row>
    <row r="429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</row>
    <row r="430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</row>
    <row r="43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</row>
    <row r="432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</row>
    <row r="433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</row>
    <row r="434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</row>
    <row r="43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</row>
    <row r="436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</row>
    <row r="437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</row>
    <row r="438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</row>
    <row r="439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</row>
    <row r="440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</row>
    <row r="44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</row>
    <row r="442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</row>
    <row r="443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</row>
    <row r="444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</row>
    <row r="44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</row>
    <row r="446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</row>
    <row r="447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</row>
    <row r="448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</row>
    <row r="449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</row>
    <row r="450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</row>
    <row r="45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</row>
    <row r="452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</row>
    <row r="453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</row>
    <row r="454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</row>
    <row r="45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</row>
    <row r="456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</row>
    <row r="457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</row>
    <row r="458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</row>
    <row r="459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</row>
    <row r="460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</row>
    <row r="46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</row>
    <row r="462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</row>
    <row r="463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</row>
    <row r="464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</row>
    <row r="46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</row>
    <row r="466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</row>
    <row r="467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</row>
    <row r="468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</row>
    <row r="469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</row>
    <row r="470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</row>
    <row r="47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</row>
    <row r="472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</row>
    <row r="473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</row>
    <row r="474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</row>
    <row r="4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</row>
    <row r="476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</row>
    <row r="477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</row>
    <row r="478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</row>
    <row r="479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</row>
    <row r="480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</row>
    <row r="48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</row>
    <row r="482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</row>
    <row r="483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</row>
    <row r="484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</row>
    <row r="48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</row>
    <row r="486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</row>
    <row r="487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</row>
    <row r="488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</row>
    <row r="489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</row>
    <row r="490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</row>
    <row r="49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</row>
    <row r="492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</row>
    <row r="493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</row>
    <row r="494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</row>
    <row r="49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</row>
    <row r="496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</row>
    <row r="497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</row>
    <row r="498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</row>
    <row r="499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</row>
    <row r="500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</row>
    <row r="50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</row>
    <row r="502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</row>
    <row r="503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</row>
    <row r="504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</row>
    <row r="50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</row>
    <row r="506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</row>
    <row r="507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</row>
    <row r="508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</row>
    <row r="509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</row>
    <row r="510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</row>
    <row r="51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</row>
    <row r="512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</row>
    <row r="513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</row>
    <row r="514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</row>
    <row r="51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</row>
    <row r="516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</row>
    <row r="517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</row>
    <row r="518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</row>
    <row r="519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</row>
    <row r="520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</row>
    <row r="52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</row>
    <row r="522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</row>
    <row r="523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</row>
    <row r="524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</row>
    <row r="52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</row>
    <row r="526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</row>
    <row r="527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</row>
    <row r="528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</row>
    <row r="529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</row>
    <row r="530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</row>
    <row r="53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</row>
    <row r="532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</row>
    <row r="533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</row>
    <row r="534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</row>
    <row r="53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</row>
    <row r="536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</row>
    <row r="537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</row>
    <row r="538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</row>
    <row r="539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</row>
    <row r="540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</row>
    <row r="54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</row>
    <row r="542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</row>
    <row r="543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</row>
    <row r="544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</row>
    <row r="54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</row>
    <row r="546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</row>
    <row r="547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</row>
    <row r="548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</row>
    <row r="549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</row>
    <row r="550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</row>
    <row r="55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</row>
    <row r="552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</row>
    <row r="553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</row>
    <row r="554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</row>
    <row r="55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</row>
    <row r="556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</row>
    <row r="557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</row>
    <row r="558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</row>
    <row r="559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</row>
    <row r="560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</row>
    <row r="56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</row>
    <row r="562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</row>
    <row r="563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</row>
    <row r="564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</row>
    <row r="56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</row>
    <row r="566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</row>
    <row r="567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</row>
    <row r="568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</row>
    <row r="569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</row>
    <row r="570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</row>
    <row r="57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</row>
    <row r="572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</row>
    <row r="573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</row>
    <row r="574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</row>
    <row r="5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</row>
    <row r="576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</row>
    <row r="577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</row>
    <row r="578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</row>
    <row r="579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</row>
    <row r="580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</row>
    <row r="58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</row>
    <row r="582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</row>
    <row r="583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</row>
    <row r="584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</row>
    <row r="58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</row>
    <row r="586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</row>
    <row r="587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</row>
    <row r="588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</row>
    <row r="589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</row>
    <row r="590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</row>
    <row r="59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</row>
    <row r="592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</row>
    <row r="593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</row>
    <row r="594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</row>
    <row r="59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</row>
    <row r="596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</row>
    <row r="597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</row>
    <row r="598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</row>
    <row r="599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</row>
    <row r="600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</row>
    <row r="60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</row>
    <row r="602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</row>
    <row r="603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</row>
    <row r="604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</row>
    <row r="60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</row>
    <row r="606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</row>
    <row r="607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</row>
    <row r="608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</row>
    <row r="609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</row>
    <row r="610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</row>
    <row r="61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</row>
    <row r="612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</row>
    <row r="613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</row>
    <row r="614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</row>
    <row r="61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</row>
    <row r="616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</row>
    <row r="617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</row>
    <row r="618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</row>
    <row r="619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</row>
    <row r="620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</row>
    <row r="62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</row>
    <row r="622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</row>
    <row r="623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</row>
    <row r="624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</row>
    <row r="62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</row>
    <row r="626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</row>
    <row r="627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</row>
    <row r="628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</row>
    <row r="629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</row>
    <row r="630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</row>
    <row r="63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</row>
    <row r="632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</row>
    <row r="633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</row>
    <row r="634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</row>
    <row r="63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</row>
    <row r="636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</row>
    <row r="637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</row>
    <row r="638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</row>
    <row r="639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</row>
    <row r="640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</row>
    <row r="64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</row>
    <row r="642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</row>
    <row r="643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</row>
    <row r="644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</row>
    <row r="64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</row>
    <row r="646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</row>
    <row r="647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</row>
    <row r="648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</row>
    <row r="649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</row>
    <row r="650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</row>
    <row r="65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</row>
    <row r="652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</row>
    <row r="653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</row>
    <row r="654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</row>
    <row r="65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</row>
    <row r="656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</row>
    <row r="657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</row>
    <row r="658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</row>
    <row r="659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</row>
    <row r="660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</row>
    <row r="66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</row>
    <row r="662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</row>
    <row r="663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</row>
    <row r="664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</row>
    <row r="66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</row>
    <row r="666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</row>
    <row r="667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</row>
    <row r="668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</row>
    <row r="669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</row>
    <row r="670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</row>
    <row r="67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</row>
    <row r="672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</row>
    <row r="673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</row>
    <row r="674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</row>
    <row r="6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</row>
    <row r="676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</row>
    <row r="677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</row>
    <row r="678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</row>
    <row r="679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</row>
    <row r="680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</row>
    <row r="68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</row>
    <row r="682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</row>
    <row r="683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</row>
    <row r="684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</row>
    <row r="68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</row>
    <row r="686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</row>
    <row r="687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</row>
    <row r="688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</row>
    <row r="689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</row>
    <row r="690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</row>
    <row r="69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</row>
    <row r="692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</row>
    <row r="693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</row>
    <row r="694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</row>
    <row r="69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</row>
    <row r="696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</row>
    <row r="697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</row>
    <row r="698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</row>
    <row r="699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</row>
    <row r="700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</row>
    <row r="70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</row>
    <row r="702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</row>
    <row r="703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</row>
    <row r="704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</row>
    <row r="70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</row>
    <row r="706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</row>
    <row r="707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</row>
    <row r="708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</row>
    <row r="709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</row>
    <row r="710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</row>
    <row r="71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</row>
    <row r="712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</row>
    <row r="713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</row>
    <row r="714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</row>
    <row r="71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</row>
    <row r="716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</row>
    <row r="717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</row>
    <row r="718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</row>
    <row r="719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</row>
    <row r="720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</row>
    <row r="72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</row>
    <row r="722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</row>
    <row r="723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</row>
    <row r="724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</row>
    <row r="72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</row>
    <row r="726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</row>
    <row r="727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</row>
    <row r="728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</row>
    <row r="729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</row>
    <row r="730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</row>
    <row r="73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</row>
    <row r="732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</row>
    <row r="733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</row>
    <row r="734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</row>
    <row r="73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</row>
    <row r="736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</row>
    <row r="737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</row>
    <row r="738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</row>
    <row r="739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</row>
    <row r="740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</row>
    <row r="74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</row>
    <row r="742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</row>
    <row r="743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</row>
    <row r="744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</row>
    <row r="74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</row>
    <row r="746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</row>
    <row r="747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</row>
    <row r="748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</row>
    <row r="749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</row>
    <row r="750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</row>
    <row r="75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</row>
    <row r="752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</row>
    <row r="753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</row>
    <row r="754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</row>
    <row r="75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</row>
    <row r="756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</row>
    <row r="757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</row>
    <row r="758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</row>
    <row r="759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</row>
    <row r="760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</row>
    <row r="76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</row>
    <row r="762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</row>
    <row r="763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</row>
    <row r="764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</row>
    <row r="76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</row>
    <row r="766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</row>
    <row r="767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</row>
    <row r="768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</row>
    <row r="769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</row>
    <row r="770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</row>
    <row r="77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</row>
    <row r="772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</row>
    <row r="773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</row>
    <row r="774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</row>
    <row r="7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</row>
    <row r="776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</row>
    <row r="777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</row>
    <row r="778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</row>
    <row r="779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</row>
    <row r="780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</row>
    <row r="78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</row>
    <row r="782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</row>
    <row r="783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</row>
    <row r="784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</row>
    <row r="78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</row>
    <row r="786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</row>
    <row r="787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</row>
    <row r="788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</row>
    <row r="789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</row>
    <row r="790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</row>
    <row r="79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</row>
    <row r="792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</row>
    <row r="793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</row>
    <row r="794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</row>
    <row r="79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</row>
    <row r="796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</row>
    <row r="797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</row>
    <row r="798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</row>
    <row r="799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</row>
    <row r="800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</row>
    <row r="80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</row>
    <row r="802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</row>
    <row r="803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</row>
    <row r="804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</row>
    <row r="80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</row>
    <row r="806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</row>
    <row r="807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</row>
    <row r="808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</row>
    <row r="809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</row>
    <row r="810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</row>
    <row r="81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</row>
    <row r="812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</row>
    <row r="813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</row>
    <row r="814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</row>
    <row r="81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</row>
    <row r="816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</row>
    <row r="817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</row>
    <row r="818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</row>
    <row r="819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</row>
    <row r="820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</row>
    <row r="82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</row>
    <row r="822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</row>
    <row r="823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</row>
    <row r="824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</row>
    <row r="82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</row>
    <row r="826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</row>
    <row r="827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</row>
    <row r="828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</row>
    <row r="829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</row>
    <row r="830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</row>
    <row r="83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</row>
    <row r="832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</row>
    <row r="833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</row>
    <row r="834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</row>
    <row r="83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</row>
    <row r="836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</row>
    <row r="837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</row>
    <row r="838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</row>
    <row r="839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</row>
    <row r="840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</row>
    <row r="84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</row>
    <row r="842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</row>
    <row r="843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</row>
    <row r="844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</row>
    <row r="84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</row>
    <row r="846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</row>
    <row r="847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</row>
    <row r="848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</row>
    <row r="849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</row>
    <row r="850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</row>
    <row r="85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</row>
    <row r="852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</row>
    <row r="853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</row>
    <row r="854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</row>
    <row r="85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</row>
    <row r="856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</row>
    <row r="857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</row>
    <row r="858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</row>
    <row r="859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</row>
    <row r="860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</row>
    <row r="86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</row>
    <row r="862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</row>
    <row r="863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</row>
    <row r="864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</row>
    <row r="86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</row>
    <row r="866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</row>
    <row r="867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</row>
    <row r="868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</row>
    <row r="869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</row>
    <row r="870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</row>
    <row r="87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</row>
    <row r="872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</row>
    <row r="873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</row>
    <row r="874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</row>
    <row r="8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</row>
    <row r="876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</row>
    <row r="877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</row>
    <row r="878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</row>
    <row r="879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</row>
    <row r="880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</row>
    <row r="88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</row>
    <row r="882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</row>
    <row r="883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</row>
    <row r="884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</row>
    <row r="88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</row>
    <row r="886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</row>
    <row r="887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</row>
    <row r="888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</row>
    <row r="889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</row>
    <row r="890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</row>
    <row r="89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</row>
    <row r="892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</row>
    <row r="893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</row>
    <row r="894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</row>
    <row r="89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</row>
    <row r="896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</row>
    <row r="897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</row>
    <row r="898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</row>
    <row r="899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</row>
    <row r="900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</row>
    <row r="90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</row>
    <row r="902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</row>
    <row r="903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</row>
    <row r="904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</row>
    <row r="90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</row>
    <row r="906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</row>
    <row r="907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</row>
    <row r="908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</row>
    <row r="909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</row>
    <row r="910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</row>
    <row r="91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</row>
    <row r="912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</row>
    <row r="913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</row>
    <row r="914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</row>
    <row r="91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</row>
    <row r="916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</row>
    <row r="917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</row>
    <row r="918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</row>
    <row r="919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</row>
    <row r="920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</row>
    <row r="92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</row>
    <row r="922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</row>
    <row r="923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</row>
    <row r="924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</row>
    <row r="92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</row>
    <row r="926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</row>
    <row r="927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</row>
    <row r="928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</row>
    <row r="929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</row>
    <row r="930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</row>
    <row r="93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</row>
    <row r="932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</row>
    <row r="933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</row>
    <row r="934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</row>
    <row r="93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</row>
    <row r="936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</row>
    <row r="937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</row>
    <row r="938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</row>
    <row r="939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</row>
    <row r="940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</row>
    <row r="94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</row>
    <row r="942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</row>
    <row r="943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</row>
    <row r="944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</row>
    <row r="94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</row>
    <row r="946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</row>
    <row r="947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</row>
    <row r="948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</row>
    <row r="949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</row>
    <row r="950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</row>
    <row r="95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</row>
    <row r="952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</row>
    <row r="953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</row>
    <row r="954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</row>
    <row r="95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</row>
    <row r="956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</row>
    <row r="957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</row>
    <row r="958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</row>
    <row r="959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</row>
    <row r="960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</row>
    <row r="96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</row>
    <row r="962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</row>
    <row r="963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</row>
    <row r="964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</row>
    <row r="96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</row>
    <row r="966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</row>
    <row r="967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</row>
    <row r="968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</row>
    <row r="969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</row>
    <row r="970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</row>
    <row r="97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</row>
    <row r="972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</row>
    <row r="973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</row>
    <row r="974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</row>
    <row r="9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</row>
    <row r="976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</row>
    <row r="977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</row>
    <row r="978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</row>
    <row r="979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</row>
    <row r="980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</row>
    <row r="98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</row>
    <row r="982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</row>
    <row r="983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</row>
    <row r="984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</row>
    <row r="98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</row>
    <row r="986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</row>
    <row r="987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</row>
    <row r="988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</row>
    <row r="989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</row>
    <row r="990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</row>
    <row r="99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</row>
    <row r="992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</row>
    <row r="993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</row>
    <row r="994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</row>
    <row r="99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</row>
    <row r="996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</row>
    <row r="997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</row>
    <row r="998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</row>
    <row r="999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</row>
    <row r="1000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</row>
    <row r="1001">
      <c r="A1001" s="342"/>
      <c r="B1001" s="342"/>
      <c r="C1001" s="342"/>
      <c r="D1001" s="342"/>
      <c r="E1001" s="342"/>
      <c r="F1001" s="342"/>
      <c r="G1001" s="342"/>
      <c r="H1001" s="342"/>
      <c r="I1001" s="342"/>
      <c r="J1001" s="342"/>
      <c r="K1001" s="342"/>
      <c r="L1001" s="342"/>
      <c r="M1001" s="342"/>
      <c r="N1001" s="342"/>
      <c r="O1001" s="342"/>
      <c r="P1001" s="342"/>
      <c r="Q1001" s="342"/>
      <c r="R1001" s="342"/>
      <c r="S1001" s="342"/>
      <c r="T1001" s="342"/>
      <c r="U1001" s="342"/>
      <c r="V1001" s="342"/>
      <c r="W1001" s="342"/>
      <c r="X1001" s="342"/>
      <c r="Y1001" s="342"/>
      <c r="Z1001" s="342"/>
    </row>
    <row r="1002">
      <c r="A1002" s="342"/>
      <c r="B1002" s="342"/>
      <c r="C1002" s="342"/>
      <c r="D1002" s="342"/>
      <c r="E1002" s="342"/>
      <c r="F1002" s="342"/>
      <c r="G1002" s="342"/>
      <c r="H1002" s="342"/>
      <c r="I1002" s="342"/>
      <c r="J1002" s="342"/>
      <c r="K1002" s="342"/>
      <c r="L1002" s="342"/>
      <c r="M1002" s="342"/>
      <c r="N1002" s="342"/>
      <c r="O1002" s="342"/>
      <c r="P1002" s="342"/>
      <c r="Q1002" s="342"/>
      <c r="R1002" s="342"/>
      <c r="S1002" s="342"/>
      <c r="T1002" s="342"/>
      <c r="U1002" s="342"/>
      <c r="V1002" s="342"/>
      <c r="W1002" s="342"/>
      <c r="X1002" s="342"/>
      <c r="Y1002" s="342"/>
      <c r="Z1002" s="342"/>
    </row>
    <row r="1003">
      <c r="A1003" s="342"/>
      <c r="B1003" s="342"/>
      <c r="C1003" s="342"/>
      <c r="D1003" s="342"/>
      <c r="E1003" s="342"/>
      <c r="F1003" s="342"/>
      <c r="G1003" s="342"/>
      <c r="H1003" s="342"/>
      <c r="I1003" s="342"/>
      <c r="J1003" s="342"/>
      <c r="K1003" s="342"/>
      <c r="L1003" s="342"/>
      <c r="M1003" s="342"/>
      <c r="N1003" s="342"/>
      <c r="O1003" s="342"/>
      <c r="P1003" s="342"/>
      <c r="Q1003" s="342"/>
      <c r="R1003" s="342"/>
      <c r="S1003" s="342"/>
      <c r="T1003" s="342"/>
      <c r="U1003" s="342"/>
      <c r="V1003" s="342"/>
      <c r="W1003" s="342"/>
      <c r="X1003" s="342"/>
      <c r="Y1003" s="342"/>
      <c r="Z1003" s="342"/>
    </row>
  </sheetData>
  <drawing r:id="rId1"/>
</worksheet>
</file>